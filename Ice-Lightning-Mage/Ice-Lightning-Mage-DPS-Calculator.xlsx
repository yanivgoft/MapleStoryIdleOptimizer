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Arch Mage (Ice/Lightning)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Freezing Breath's Weaken debuff and Elemental Reset's own Damage Taken bonus assume the target is permanently afflicted at steady state, not an exact on/off timer.</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(Magic Guard, Meditation, Infinity) are modeled at steady-state duty-cycle average uptime, not as an exact moment-to-moment state machine.</t>
        </is>
      </c>
    </row>
    <row r="13">
      <c r="A13"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4">
      <c r="A14" s="2" t="inlineStr">
        <is>
          <t>Not modeled (out of scope): crowd control, Accuracy/Evasion/Defense reduction, movement speed, the character's own Defense stat, and Companion Summoning Time.</t>
        </is>
      </c>
    </row>
    <row r="15">
      <c r="A1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Arch Mage (Ice/Lightning)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Nimble Feet/MP Eater)</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INT</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INT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LUK</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 excludes Infinity)</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applies to every cooldown — skills, buffs and passives)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4"/>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8" customWidth="1" min="3" max="3"/>
    <col width="11" customWidth="1" min="4" max="4"/>
    <col width="15" customWidth="1" min="5" max="5"/>
    <col width="13" customWidth="1" min="6" max="6"/>
    <col width="8" customWidth="1" min="7" max="7"/>
    <col width="15" customWidth="1" min="8" max="8"/>
    <col width="11" customWidth="1" min="9" max="9"/>
    <col width="12" customWidth="1" min="10" max="10"/>
    <col width="18" customWidth="1" min="11" max="11"/>
    <col width="11" customWidth="1" min="12" max="12"/>
    <col width="14" customWidth="1" min="13" max="13"/>
    <col width="17" customWidth="1" min="14" max="14"/>
    <col width="16" customWidth="1" min="15" max="15"/>
    <col width="18" customWidth="1" min="16" max="16"/>
    <col width="20" customWidth="1" min="17" max="17"/>
    <col width="16" customWidth="1" min="18" max="18"/>
    <col width="15" customWidth="1" min="19" max="19"/>
    <col width="20" customWidth="1" min="20" max="20"/>
    <col width="20" customWidth="1" min="21" max="21"/>
    <col width="8"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HitsPerCast</t>
        </is>
      </c>
      <c r="G1" s="5" t="inlineStr">
        <is>
          <t>ICD(s)</t>
        </is>
      </c>
      <c r="H1" s="5" t="inlineStr">
        <is>
          <t>ActiveWindow(s)</t>
        </is>
      </c>
      <c r="I1" s="5" t="inlineStr">
        <is>
          <t>ProcChance%</t>
        </is>
      </c>
      <c r="J1" s="5" t="inlineStr">
        <is>
          <t>RollsPerCast</t>
        </is>
      </c>
      <c r="K1" s="5" t="inlineStr">
        <is>
          <t>BaseDamage(tenths%)</t>
        </is>
      </c>
      <c r="L1" s="5" t="inlineStr">
        <is>
          <t>FactorIndex</t>
        </is>
      </c>
      <c r="M1" s="5" t="inlineStr">
        <is>
          <t>ScalesWithLevel</t>
        </is>
      </c>
      <c r="N1" s="5" t="inlineStr">
        <is>
          <t>SkillMasteryBonus%</t>
        </is>
      </c>
      <c r="O1" s="5" t="inlineStr">
        <is>
          <t>MasteryBossDamage%</t>
        </is>
      </c>
      <c r="P1" s="5" t="inlineStr">
        <is>
          <t>MasteryNormalDamage%</t>
        </is>
      </c>
      <c r="Q1" s="5" t="inlineStr">
        <is>
          <t>NormalMonsterTargets</t>
        </is>
      </c>
      <c r="R1" s="5" t="inlineStr">
        <is>
          <t>BuffTargetStat</t>
        </is>
      </c>
      <c r="S1" s="5" t="inlineStr">
        <is>
          <t>BuffDuration(s)</t>
        </is>
      </c>
      <c r="T1" s="5" t="inlineStr">
        <is>
          <t>MapleHeroBase(tenths%)</t>
        </is>
      </c>
      <c r="U1" s="5" t="inlineStr">
        <is>
          <t>MapleHeroFactorIndex</t>
        </is>
      </c>
      <c r="V1" s="5" t="inlineStr">
        <is>
          <t>Stacks</t>
        </is>
      </c>
      <c r="W1" s="5" t="inlineStr">
        <is>
          <t>Note</t>
        </is>
      </c>
    </row>
    <row r="2">
      <c r="A2" t="inlineStr">
        <is>
          <t>CHAIN_LIGHTNING</t>
        </is>
      </c>
      <c r="B2" t="inlineStr">
        <is>
          <t>Chain Lightning</t>
        </is>
      </c>
      <c r="C2" t="n">
        <v>4</v>
      </c>
      <c r="D2" t="inlineStr"/>
      <c r="E2" t="b">
        <v>0</v>
      </c>
      <c r="F2">
        <f>IF(Inputs!$B$3&gt;=136,6,5)</f>
        <v/>
      </c>
      <c r="G2" t="n">
        <v>0</v>
      </c>
      <c r="H2" t="n">
        <v>0</v>
      </c>
      <c r="I2" t="n">
        <v>100</v>
      </c>
      <c r="J2" t="n">
        <v>1</v>
      </c>
      <c r="K2" t="inlineStr"/>
      <c r="L2" t="inlineStr"/>
      <c r="M2" t="b">
        <v>1</v>
      </c>
      <c r="N2">
        <f>SUMPRODUCT((Inputs!$B$3&gt;={102,106,116,120,128,132})*{10,11,12,13,14,15})</f>
        <v/>
      </c>
      <c r="O2">
        <f>SUMPRODUCT((Inputs!$B$3&gt;={111,124})*{10,10})</f>
        <v/>
      </c>
      <c r="P2" t="n">
        <v>0</v>
      </c>
      <c r="Q2">
        <f>6+Inputs!$B$33</f>
        <v/>
      </c>
      <c r="R2" t="inlineStr"/>
      <c r="S2" t="n">
        <v>0</v>
      </c>
      <c r="T2" t="inlineStr"/>
      <c r="U2" t="inlineStr"/>
      <c r="V2" t="inlineStr"/>
      <c r="W2" t="inlineStr">
        <is>
          <t>4th-job basic-attack effect (supersedes Energy Bolt/Cold Beam/Ice Strike, out of scope per the project's job-tier-is-gone convention). Wiki: 290%-&gt;522% (levels 1-200) to 6 target(s) 5 time(s) — factorIndex 21, baseDamage 2900 tenths%, matching Inputs!skill_coefficient (=290*basic_factor/1000) exactly, so this row's own coefficient is just that Inputs value + SkillMasteryBonus% (same mechanism as FP-Mage/Night Lord's own Basic Attack/Showdown rows). SkillMasteryBonus% is the 6-tier 'Chain Lightning - Damage' mastery chain (102/106/116/120/128/132): every tier is its own add-on (user-confirmed 2026-10-21: +10, +11, +12, +13, +14, +15 = 75% total at max), so level_gated_sum uses the RAW tier values. MasteryBossDamage% is the 2-tier 'Chain Lightning - Boss Monster Damage' chain (111/124), each independently +10%, totaling +20%. HitsPerCast 5-&gt;6 once the level-136 'Strike' mastery unlocks.</t>
        </is>
      </c>
    </row>
    <row r="3">
      <c r="A3" t="inlineStr">
        <is>
          <t>MAGIC_GUARD</t>
        </is>
      </c>
      <c r="B3" t="inlineStr">
        <is>
          <t>Magic Guard</t>
        </is>
      </c>
      <c r="C3" t="n">
        <v>1</v>
      </c>
      <c r="D3">
        <f>IF(Inputs!$B$3&gt;=21,30*0.7,30)</f>
        <v/>
      </c>
      <c r="E3" t="b">
        <v>1</v>
      </c>
      <c r="F3" t="n">
        <v>1</v>
      </c>
      <c r="G3" t="n">
        <v>0</v>
      </c>
      <c r="H3" t="n">
        <v>0</v>
      </c>
      <c r="I3" t="n">
        <v>100</v>
      </c>
      <c r="J3" t="n">
        <v>1</v>
      </c>
      <c r="K3" t="n">
        <v>120</v>
      </c>
      <c r="L3" t="n">
        <v>21</v>
      </c>
      <c r="M3" t="b">
        <v>1</v>
      </c>
      <c r="N3" t="n">
        <v>0</v>
      </c>
      <c r="O3" t="n">
        <v>0</v>
      </c>
      <c r="P3" t="n">
        <v>0</v>
      </c>
      <c r="Q3" t="n">
        <v>1</v>
      </c>
      <c r="R3" t="inlineStr">
        <is>
          <t>ATTACK</t>
        </is>
      </c>
      <c r="S3" t="n">
        <v>15</v>
      </c>
      <c r="T3" t="inlineStr"/>
      <c r="U3" t="inlineStr"/>
      <c r="V3" t="inlineStr"/>
      <c r="W3" t="inlineStr">
        <is>
          <t>Self-buff, +12%-&gt;16.8% Attack (levels 1-100), 15s duration/30s cooldown (Mastery Lv.21 'Magic Guard - Reuse' -30% cooldown -&gt; 21s, baked directly into the Cooldown(s) formula). factorIndex 21, baseDamage 120 tenths%. Shared w/ FP-Mage.</t>
        </is>
      </c>
    </row>
    <row r="4">
      <c r="A4" t="inlineStr">
        <is>
          <t>MEDITATION</t>
        </is>
      </c>
      <c r="B4" t="inlineStr">
        <is>
          <t>Meditation</t>
        </is>
      </c>
      <c r="C4" t="n">
        <v>2</v>
      </c>
      <c r="D4" t="n">
        <v>30</v>
      </c>
      <c r="E4" t="b">
        <v>1</v>
      </c>
      <c r="F4" t="n">
        <v>1</v>
      </c>
      <c r="G4" t="n">
        <v>0</v>
      </c>
      <c r="H4" t="n">
        <v>0</v>
      </c>
      <c r="I4" t="n">
        <v>100</v>
      </c>
      <c r="J4" t="n">
        <v>1</v>
      </c>
      <c r="K4" t="n">
        <v>200</v>
      </c>
      <c r="L4" t="n">
        <v>21</v>
      </c>
      <c r="M4" t="b">
        <v>1</v>
      </c>
      <c r="N4" t="n">
        <v>0</v>
      </c>
      <c r="O4" t="n">
        <v>0</v>
      </c>
      <c r="P4" t="n">
        <v>0</v>
      </c>
      <c r="Q4" t="n">
        <v>1</v>
      </c>
      <c r="R4" t="inlineStr">
        <is>
          <t>ATTACK</t>
        </is>
      </c>
      <c r="S4">
        <f>IF(Inputs!$B$3&gt;=44,15*1.3,15)</f>
        <v/>
      </c>
      <c r="T4" t="inlineStr"/>
      <c r="U4" t="inlineStr"/>
      <c r="V4" t="inlineStr"/>
      <c r="W4" t="inlineStr">
        <is>
          <t>Self-buff, +20%-&gt;28% Attack (levels 1-100), 15s duration (Mastery Lv.44 'Meditation - Persistence' +30% duration -&gt; 19.5s, baked directly into the BuffDuration(s) formula), 30s cooldown. factorIndex 21, baseDamage 200 tenths%. Shared w/ FP-Mage.</t>
        </is>
      </c>
    </row>
    <row r="5">
      <c r="A5" t="inlineStr">
        <is>
          <t>THUNDER_BOLT</t>
        </is>
      </c>
      <c r="B5" t="inlineStr">
        <is>
          <t>Thunder Bolt</t>
        </is>
      </c>
      <c r="C5" t="n">
        <v>2</v>
      </c>
      <c r="D5" t="n">
        <v>18</v>
      </c>
      <c r="E5" t="b">
        <v>1</v>
      </c>
      <c r="F5" t="n">
        <v>3</v>
      </c>
      <c r="G5" t="n">
        <v>0</v>
      </c>
      <c r="H5" t="n">
        <v>0</v>
      </c>
      <c r="I5" t="n">
        <v>100</v>
      </c>
      <c r="J5" t="n">
        <v>1</v>
      </c>
      <c r="K5" t="n">
        <v>1800</v>
      </c>
      <c r="L5" t="n">
        <v>12</v>
      </c>
      <c r="M5" t="b">
        <v>1</v>
      </c>
      <c r="N5">
        <f>SUMPRODUCT((Inputs!$B$3&gt;={39})*{70})</f>
        <v/>
      </c>
      <c r="O5" t="n">
        <v>0</v>
      </c>
      <c r="P5" t="n">
        <v>0</v>
      </c>
      <c r="Q5" t="n">
        <v>8</v>
      </c>
      <c r="R5" t="inlineStr"/>
      <c r="S5" t="n">
        <v>0</v>
      </c>
      <c r="T5" t="n">
        <v>1000</v>
      </c>
      <c r="U5" t="n">
        <v>23</v>
      </c>
      <c r="V5" t="inlineStr"/>
      <c r="W5" t="inlineStr">
        <is>
          <t>Wiki: 180%-&gt;270% (levels 1-100) to 8 target(s) 3 time(s), cooldown 18s. factorIndex 12, baseDamage 1800 tenths%. Mastery Lv.39 'Thunder Bolt - Damage' +70% (single-tier, real SkillMasteryBonus%). Maple Hero (Ice/Lightning) target: 100%-&gt;780% (levels 1-200), factorIndex 23, baseDamage 1000 tenths% (jointly reverse-engineered with Glacier Wall's and Thunder Sphere's own Maple Hero curves, confirmed same factorIndex).</t>
        </is>
      </c>
    </row>
    <row r="6">
      <c r="A6" t="inlineStr">
        <is>
          <t>GLACIER_WALL</t>
        </is>
      </c>
      <c r="B6" t="inlineStr">
        <is>
          <t>Glacier Wall</t>
        </is>
      </c>
      <c r="C6" t="n">
        <v>3</v>
      </c>
      <c r="D6">
        <f>IF(Inputs!$B$3&gt;=90,22*0.7,22)</f>
        <v/>
      </c>
      <c r="E6" t="b">
        <v>1</v>
      </c>
      <c r="F6" t="n">
        <v>3</v>
      </c>
      <c r="G6" t="n">
        <v>0</v>
      </c>
      <c r="H6" t="n">
        <v>0</v>
      </c>
      <c r="I6" t="n">
        <v>100</v>
      </c>
      <c r="J6" t="n">
        <v>1</v>
      </c>
      <c r="K6" t="n">
        <v>2900</v>
      </c>
      <c r="L6" t="n">
        <v>12</v>
      </c>
      <c r="M6" t="b">
        <v>1</v>
      </c>
      <c r="N6">
        <f>SUMPRODUCT((Inputs!$B$3&gt;={68})*{80})</f>
        <v/>
      </c>
      <c r="O6" t="n">
        <v>0</v>
      </c>
      <c r="P6" t="n">
        <v>0</v>
      </c>
      <c r="Q6" t="n">
        <v>8</v>
      </c>
      <c r="R6" t="inlineStr"/>
      <c r="S6" t="n">
        <v>0</v>
      </c>
      <c r="T6" t="n">
        <v>300</v>
      </c>
      <c r="U6" t="n">
        <v>23</v>
      </c>
      <c r="V6" t="inlineStr"/>
      <c r="W6" t="inlineStr">
        <is>
          <t>Wiki: 290%-&gt;580% (levels 1-200) to 8 target(s) 3 time(s), freezing them for 2s (freeze not modeled — no CC mechanic anywhere in this calculator), cooldown 22s. factorIndex 12, baseDamage 2900 tenths%. Mastery Lv.68 'Glacier Wall - Damage' +80% (real SkillMasteryBonus%), Lv.90 'Glacier Wall - Reuse' -30% cooldown -&gt; 15.4s (baked into the Cooldown(s) formula). Maple Hero target: 30%-&gt;234% (levels 1-200), factorIndex 23, baseDamage 300 tenths%.</t>
        </is>
      </c>
    </row>
    <row r="7">
      <c r="A7" t="inlineStr">
        <is>
          <t>THUNDER_SPHERE</t>
        </is>
      </c>
      <c r="B7" t="inlineStr">
        <is>
          <t>Thunder Sphere</t>
        </is>
      </c>
      <c r="C7" t="n">
        <v>3</v>
      </c>
      <c r="D7">
        <f>IF(Inputs!$B$3&gt;=78,30*0.7,30)</f>
        <v/>
      </c>
      <c r="E7" t="b">
        <v>1</v>
      </c>
      <c r="F7" t="n">
        <v>3</v>
      </c>
      <c r="G7">
        <f>IF(Inputs!$B$3&gt;=104,2*0.7,2)</f>
        <v/>
      </c>
      <c r="H7" t="n">
        <v>10</v>
      </c>
      <c r="I7" t="n">
        <v>100</v>
      </c>
      <c r="J7" t="n">
        <v>1</v>
      </c>
      <c r="K7" t="n">
        <v>1000</v>
      </c>
      <c r="L7" t="n">
        <v>12</v>
      </c>
      <c r="M7" t="b">
        <v>1</v>
      </c>
      <c r="N7">
        <f>SUMPRODUCT((Inputs!$B$3&gt;={73})*{50})</f>
        <v/>
      </c>
      <c r="O7" t="n">
        <v>0</v>
      </c>
      <c r="P7">
        <f>150+SUMPRODUCT((Inputs!$B$3&gt;={94})*{100})</f>
        <v/>
      </c>
      <c r="Q7" t="n">
        <v>6</v>
      </c>
      <c r="R7" t="inlineStr"/>
      <c r="S7" t="n">
        <v>0</v>
      </c>
      <c r="T7" t="n">
        <v>200</v>
      </c>
      <c r="U7" t="n">
        <v>23</v>
      </c>
      <c r="V7" t="inlineStr"/>
      <c r="W7" t="inlineStr">
        <is>
          <t>Wiki: 100%-&gt;200% (levels 1-200) to 6 target(s) 3 time(s) every 2s, for a 10s duration, cooldown 30s. factorIndex 12, baseDamage 1000 tenths%. Skill-intrinsic (unconditional, NOT mastery-gated) +150% Normal Monster Damage baked directly into this row's own MasteryNormalDamage% field, PLUS Mastery Lv.94's +100%p on top (so the field itself is '150 + level_gated_sum'). Mastery Lv.73 'Thunder Sphere - Damage' +50% (real SkillMasteryBonus%), Lv.78 'Thunder Sphere - Reuse' -30% cooldown -&gt; 21s, Lv.104 'Thunder Sphere - Strike Interval' -30% tick interval (2s-&gt;1.4s, baked into the ICD(s) formula). Maple Hero target: 20%-&gt;200% (levels 1-200), factorIndex 23, baseDamage 200 tenths%.</t>
        </is>
      </c>
    </row>
    <row r="8">
      <c r="A8" t="inlineStr">
        <is>
          <t>FREEZING_BREATH</t>
        </is>
      </c>
      <c r="B8" t="inlineStr">
        <is>
          <t>Freezing Breath</t>
        </is>
      </c>
      <c r="C8" t="n">
        <v>4</v>
      </c>
      <c r="D8" t="n">
        <v>40</v>
      </c>
      <c r="E8" t="b">
        <v>1</v>
      </c>
      <c r="F8" t="n">
        <v>1</v>
      </c>
      <c r="G8" t="n">
        <v>0.5</v>
      </c>
      <c r="H8" t="n">
        <v>5</v>
      </c>
      <c r="I8" t="n">
        <v>100</v>
      </c>
      <c r="J8" t="n">
        <v>1</v>
      </c>
      <c r="K8" t="n">
        <v>8000</v>
      </c>
      <c r="L8" t="n">
        <v>12</v>
      </c>
      <c r="M8" t="b">
        <v>1</v>
      </c>
      <c r="N8">
        <f>SUMPRODUCT((Inputs!$B$3&gt;={108})*{50})</f>
        <v/>
      </c>
      <c r="O8" t="n">
        <v>0</v>
      </c>
      <c r="P8" t="n">
        <v>0</v>
      </c>
      <c r="Q8" t="n">
        <v>10</v>
      </c>
      <c r="R8" t="inlineStr"/>
      <c r="S8" t="n">
        <v>0</v>
      </c>
      <c r="T8" t="inlineStr"/>
      <c r="U8" t="inlineStr"/>
      <c r="V8" t="inlineStr"/>
      <c r="W8" t="inlineStr">
        <is>
          <t>Wiki: 800%-&gt;1600% (levels 1-200) to 10 target(s) every 0.5s for a 5s duration, cooldown 45s (patched -&gt; 40s, Aug 13 2026 patch note — the wiki page itself is stale). factorIndex 12, baseDamage 8000 tenths%. EffectiveHits = 1*(5/0.5) = 10 ticks per cast. Mastery Lv.108 'Freezing Breath - Damage' +50% (real SkillMasteryBonus%). Mastery Lv.118 'Freezing Breath - Weaken' (+15% Damage Taken debuff, 30s) is NOT part of this row — it's a separate global Summary-sheet duty-cycle-averaged monster-damage bonus (see build_summary_sheet, mirrors Night Lord's Venom Lv.82/Frailty Curse Debuff precedent), added in a later build stage.</t>
        </is>
      </c>
    </row>
    <row r="9">
      <c r="A9" t="inlineStr">
        <is>
          <t>BLIZZARD</t>
        </is>
      </c>
      <c r="B9" t="inlineStr">
        <is>
          <t>Blizzard</t>
        </is>
      </c>
      <c r="C9" t="n">
        <v>4</v>
      </c>
      <c r="D9" t="n">
        <v>33</v>
      </c>
      <c r="E9" t="b">
        <v>1</v>
      </c>
      <c r="F9" t="n">
        <v>3</v>
      </c>
      <c r="G9" t="n">
        <v>0</v>
      </c>
      <c r="H9" t="n">
        <v>0</v>
      </c>
      <c r="I9" t="n">
        <v>100</v>
      </c>
      <c r="J9" t="n">
        <v>1</v>
      </c>
      <c r="K9" t="n">
        <v>6000</v>
      </c>
      <c r="L9" t="n">
        <v>12</v>
      </c>
      <c r="M9" t="b">
        <v>1</v>
      </c>
      <c r="N9">
        <f>SUMPRODUCT((Inputs!$B$3&gt;={134})*{50})</f>
        <v/>
      </c>
      <c r="O9" t="n">
        <v>0</v>
      </c>
      <c r="P9" t="n">
        <v>0</v>
      </c>
      <c r="Q9" t="n">
        <v>7</v>
      </c>
      <c r="R9" t="inlineStr"/>
      <c r="S9" t="n">
        <v>0</v>
      </c>
      <c r="T9" t="inlineStr"/>
      <c r="U9" t="inlineStr"/>
      <c r="V9" t="inlineStr"/>
      <c r="W9" t="inlineStr">
        <is>
          <t>Wiki: 600%-&gt;1200% (levels 1-200) to 5 target(s) 3 time(s) (patched targets 5-&gt;7, Aug 13 2026 patch note — the wiki page is stale), cooldown 33s. factorIndex 12, baseDamage 6000 tenths%. Mastery Lv.134 'Blizzard - Damage' +50% (user-confirmed in-game text: 'Blizzard and Blizzard Final Attack damage +50%'; the wiki's Lv.130 '+40%' line was a garbled name/description pairing) — real SkillMasteryBonus%, and the same +50 is applied to the Final Attack row below. Mastery Lv.113 'Blizzard - Final Attack' is its own separate proc row, see BLIZZARD_FINAL_ATTACK below, not part of this row's own fields.</t>
        </is>
      </c>
    </row>
    <row r="10">
      <c r="A10" t="inlineStr">
        <is>
          <t>BLIZZARD_FINAL_ATTACK</t>
        </is>
      </c>
      <c r="B10" t="inlineStr">
        <is>
          <t>Blizzard - Final Attack (Mastery Lv.113)</t>
        </is>
      </c>
      <c r="C10" t="n">
        <v>4</v>
      </c>
      <c r="D10" t="inlineStr"/>
      <c r="E10" t="b">
        <v>0</v>
      </c>
      <c r="F10" t="n">
        <v>1</v>
      </c>
      <c r="G10" t="n">
        <v>1</v>
      </c>
      <c r="H10" t="n">
        <v>0</v>
      </c>
      <c r="I10" t="n">
        <v>30</v>
      </c>
      <c r="J10" t="n">
        <v>1</v>
      </c>
      <c r="K10" t="n">
        <v>9500</v>
      </c>
      <c r="L10" t="n">
        <v>21</v>
      </c>
      <c r="M10" t="b">
        <v>1</v>
      </c>
      <c r="N10">
        <f>SUMPRODUCT((Inputs!$B$3&gt;={134})*{50})</f>
        <v/>
      </c>
      <c r="O10" t="n">
        <v>0</v>
      </c>
      <c r="P10" t="n">
        <v>0</v>
      </c>
      <c r="Q10" t="n">
        <v>1</v>
      </c>
      <c r="R10" t="inlineStr"/>
      <c r="S10" t="n">
        <v>0</v>
      </c>
      <c r="T10" t="inlineStr"/>
      <c r="U10" t="inlineStr"/>
      <c r="V10" t="inlineStr"/>
      <c r="W10" t="inlineStr">
        <is>
          <t>Standalone proc row, same structure as FP-Mage's METEOR_PROC: '[Blizzard in Slot] When attacking, deals ...% additional damage with a 30% chance' + the Aug-13 patch note 'Cooldown set to 1s' =&gt; ANY attack can trigger it (30% per attack, 1s ICD), not just Blizzard's own casts (an earlier version modeled Blizzard-only triggers, a large undercount). Steady-state proc rate = (Chance*R)/(1+ICD*Chance*R) where R is the combined cast rate of the triggering attacks (Summary!BLIZZARD_TRIGGER_RATE): Chain Lightning's cast rate + one trigger per cast of Thunder Bolt/Glacier Wall/Freezing Breath/Frozen Orb + 3 per Blizzard cast (its 3 frost spears are independent triggers, same convention as Meteor Shower in FP-Mage). ASSUMPTION (mirrors FP-Mage's user-confirmed trigger set): summons and damage-over-time ticks (Thunder Sphere, Elquines) do not trigger it. This row has NO cooldown of its own (RollsPerCast=1: Chance applies per triggering attack; ICD(s)=1 is the internal cooldown, ActiveWindow=0 so EffectiveHits is unused). Mastery Lv.134 'Blizzard - Damage' also boosts this row by +50 (same SkillMasteryBonus% as Blizzard). Wiki formula ({#expr:750*(1+x*0.004)}%, patched base 750-&gt;950%, chance 20%-&gt;30%): reverse-engineered as factorIndex 21, baseDamage 9500 tenths% (950%, already the patched value). Single-target (NormalMonsterTargets=1), matching FP-Mage's own Meteor Proc precedent for an 'additional damage on a hit' style proc, absent any wiki text specifying a target count of its own.</t>
        </is>
      </c>
    </row>
    <row r="11">
      <c r="A11" t="inlineStr">
        <is>
          <t>FROZEN_ORB</t>
        </is>
      </c>
      <c r="B11" t="inlineStr">
        <is>
          <t>Frozen Orb</t>
        </is>
      </c>
      <c r="C11" t="n">
        <v>4</v>
      </c>
      <c r="D11" t="n">
        <v>23</v>
      </c>
      <c r="E11" t="b">
        <v>1</v>
      </c>
      <c r="F11" t="n">
        <v>1</v>
      </c>
      <c r="G11">
        <f>IF(Inputs!$B$3&gt;=126,0.5-0.2,0.5)</f>
        <v/>
      </c>
      <c r="H11" t="n">
        <v>6</v>
      </c>
      <c r="I11" t="n">
        <v>100</v>
      </c>
      <c r="J11" t="n">
        <v>1</v>
      </c>
      <c r="K11" t="n">
        <v>9000</v>
      </c>
      <c r="L11" t="n">
        <v>12</v>
      </c>
      <c r="M11" t="b">
        <v>1</v>
      </c>
      <c r="N11">
        <f>SUMPRODUCT((Inputs!$B$3&gt;={122})*{50})</f>
        <v/>
      </c>
      <c r="O11" t="n">
        <v>0</v>
      </c>
      <c r="P11" t="n">
        <v>0</v>
      </c>
      <c r="Q11" t="n">
        <v>10</v>
      </c>
      <c r="R11" t="inlineStr"/>
      <c r="S11" t="n">
        <v>0</v>
      </c>
      <c r="T11" t="inlineStr"/>
      <c r="U11" t="inlineStr"/>
      <c r="V11" t="inlineStr"/>
      <c r="W11" t="inlineStr">
        <is>
          <t>Wiki: 900%-&gt;1800% (levels 1-200) to 10 target(s) every 0.5s for a 5s duration (patched -&gt; 6s, Aug 13 2026 patch note), cooldown 23s. factorIndex 12, baseDamage 9000 tenths%. 'If there is 1 target near the orb, the damage is halved' — a single-target (boss) halving mechanic implemented ONLY in this row's own Calc!O (DPS) formula in a later build stage (x0.5 when monster_type=boss, x1 otherwise), not a Skills-sheet field. Mastery Lv.122 'Frozen Orb - Damage' +50% (real SkillMasteryBonus%), Lv.126 'Frozen Orb - Strike Interval' -0.2 SEC tick interval (0.5s-&gt;0.3s, baked into the ICD(s) formula; user-confirmed in-game text — earlier versions had this as -50% at Lv.134, a garbled wiki pairing).</t>
        </is>
      </c>
    </row>
    <row r="12">
      <c r="A12" t="inlineStr">
        <is>
          <t>ELQUINES</t>
        </is>
      </c>
      <c r="B12" t="inlineStr">
        <is>
          <t>Elquines</t>
        </is>
      </c>
      <c r="C12" t="n">
        <v>4</v>
      </c>
      <c r="D12" t="n">
        <v>80</v>
      </c>
      <c r="E12" t="b">
        <v>1</v>
      </c>
      <c r="F12" t="n">
        <v>1</v>
      </c>
      <c r="G12">
        <f>IF(Inputs!$B$3&gt;=130,4*0.8,4)</f>
        <v/>
      </c>
      <c r="H12" t="n">
        <v>30</v>
      </c>
      <c r="I12" t="n">
        <v>100</v>
      </c>
      <c r="J12" t="n">
        <v>1</v>
      </c>
      <c r="K12" t="n">
        <v>35000</v>
      </c>
      <c r="L12" t="n">
        <v>12</v>
      </c>
      <c r="M12" t="b">
        <v>1</v>
      </c>
      <c r="N12">
        <f>SUMPRODUCT((Inputs!$B$3&gt;={138})*{50})</f>
        <v/>
      </c>
      <c r="O12" t="n">
        <v>0</v>
      </c>
      <c r="P12" t="n">
        <v>0</v>
      </c>
      <c r="Q12">
        <f>IF(Inputs!$B$3&gt;=138,6,3)</f>
        <v/>
      </c>
      <c r="R12" t="inlineStr"/>
      <c r="S12" t="n">
        <v>0</v>
      </c>
      <c r="T12" t="inlineStr"/>
      <c r="U12" t="inlineStr"/>
      <c r="V12" t="inlineStr"/>
      <c r="W12" t="inlineStr">
        <is>
          <t>Summon, wiki: 3500%-&gt;7000% (levels 1-200) to 3 target(s) every 4s for a 30s duration, cooldown 80s. factorIndex 12, baseDamage 35000 tenths%. Mastery Lv.130 'Elquines - Strike Interval' -20% attack interval (4s-&gt;3.2s, baked into the ICD(s) formula; the wiki prints a typo'd '0.2%' on the Lv.126 row, an earlier session recorded the user confirming 20%, and BOTH sources' mastery NAMES put Elquines-Strike Interval at Lv.130 — the level was moved 126-&gt;130 on that basis; the exact in-game text is still unverified), Lv.138 'Elquines - Damage &amp; Target' +50% damage (real SkillMasteryBonus%) AND +3 max targets (3-&gt;6, baked into the NormalMonsterTargets formula).</t>
        </is>
      </c>
    </row>
    <row r="13">
      <c r="A13" t="inlineStr">
        <is>
          <t>MP_EATER_MP_BOOST</t>
        </is>
      </c>
      <c r="B13" t="inlineStr">
        <is>
          <t>MP Eater - MP Boost (Mastery Lv.49)</t>
        </is>
      </c>
      <c r="C13" t="n">
        <v>2</v>
      </c>
      <c r="D13" t="inlineStr"/>
      <c r="E13" t="b">
        <v>0</v>
      </c>
      <c r="F13" t="n">
        <v>1</v>
      </c>
      <c r="G13" t="n">
        <v>0</v>
      </c>
      <c r="H13" t="n">
        <v>0</v>
      </c>
      <c r="I13" t="n">
        <v>100</v>
      </c>
      <c r="J13" t="n">
        <v>1</v>
      </c>
      <c r="K13" t="n">
        <v>70</v>
      </c>
      <c r="L13" t="n">
        <v>0</v>
      </c>
      <c r="M13" t="b">
        <v>0</v>
      </c>
      <c r="N13" t="n">
        <v>0</v>
      </c>
      <c r="O13" t="n">
        <v>0</v>
      </c>
      <c r="P13" t="n">
        <v>0</v>
      </c>
      <c r="Q13" t="n">
        <v>1</v>
      </c>
      <c r="R13" t="inlineStr"/>
      <c r="S13" t="n">
        <v>0</v>
      </c>
      <c r="T13" t="inlineStr"/>
      <c r="U13" t="inlineStr"/>
      <c r="V13" t="inlineStr"/>
      <c r="W13" t="inlineStr">
        <is>
          <t>Mastery-only row (MP Eater's own base MP-recovery mechanic is not modeled — MP isn't tracked anywhere in this calculator). Flat +7% Attack Speed once unlocked (level 49, see UNLOCK_LEVEL's own note on the 47-vs-49 discrepancy), ignoring the MP&gt;=50% condition per the user's always-on decision (same treatment as Element Amplification). This IS a real, always-on contributor (NOT baked into Inputs, unlike the Magic-Critical-pattern rows below) — folds into the Attack Speed diminishing-returns stack in Summary once unlocked, with no uptime averaging (it's a permanent passive, not a timed buff — BuffTargetStat deliberately left blank so the generic buff-uptime machinery doesn't try to average it; Summary reads this row's Calc!F and Calc!C directly instead). FactorIndex is an unused placeholder (ScalesWithLevel=False), same convention as Nimble Feet's own non-scaling row in FP-Mage/Night Lord.</t>
        </is>
      </c>
    </row>
    <row r="14">
      <c r="A14" t="inlineStr">
        <is>
          <t>ELEMENTAL_RESET</t>
        </is>
      </c>
      <c r="B14" t="inlineStr">
        <is>
          <t>Elemental Reset</t>
        </is>
      </c>
      <c r="C14" t="n">
        <v>3</v>
      </c>
      <c r="D14" t="inlineStr"/>
      <c r="E14" t="b">
        <v>0</v>
      </c>
      <c r="F14" t="n">
        <v>1</v>
      </c>
      <c r="G14" t="n">
        <v>0</v>
      </c>
      <c r="H14" t="n">
        <v>0</v>
      </c>
      <c r="I14">
        <f>IF(Inputs!$B$3&gt;=82,50,25)</f>
        <v/>
      </c>
      <c r="J14" t="n">
        <v>1</v>
      </c>
      <c r="K14" t="n">
        <v>120</v>
      </c>
      <c r="L14" t="n">
        <v>22</v>
      </c>
      <c r="M14" t="b">
        <v>1</v>
      </c>
      <c r="N14" t="n">
        <v>0</v>
      </c>
      <c r="O14" t="n">
        <v>0</v>
      </c>
      <c r="P14" t="n">
        <v>0</v>
      </c>
      <c r="Q14" t="n">
        <v>1</v>
      </c>
      <c r="R14" t="inlineStr"/>
      <c r="S14" t="n">
        <v>7</v>
      </c>
      <c r="T14" t="inlineStr"/>
      <c r="U14" t="inlineStr"/>
      <c r="V14" t="inlineStr"/>
      <c r="W14" t="inlineStr">
        <is>
          <t>User-confirmed: this is the patch note's 'Elemental Decrease' entry (patched base chance 20%-&gt;25%, base Damage Taken 10%-&gt;12% — the wiki's own 10%-&gt;16% curve rescaled by the patch's 12/10=1.2x factor, giving the reverse-engineered factorIndex 22/baseDamage 120 used here, which already reflects the patched 12%-&gt;19.2% curve). Mastery Lv.82 'Elemental Reset - Chance' doubles the PATCHED chance (25%-&gt;50%, NOT the stale wiki 20%-&gt;40%). Modeled always-on (100% uptime), same precedent as FP-Mage's own Elemental Decrease — ProcChance%/BuffDuration(s) here are reference-only, they do not feed the Summary formula (which instead just adds Calc!F/100 as an unconditional multiplier).</t>
        </is>
      </c>
    </row>
    <row r="15">
      <c r="A15" t="inlineStr">
        <is>
          <t>ELEMENT_AMPLIFICATION</t>
        </is>
      </c>
      <c r="B15" t="inlineStr">
        <is>
          <t>Element Amplification</t>
        </is>
      </c>
      <c r="C15" t="n">
        <v>3</v>
      </c>
      <c r="D15" t="inlineStr"/>
      <c r="E15" t="b">
        <v>0</v>
      </c>
      <c r="F15" t="n">
        <v>1</v>
      </c>
      <c r="G15" t="n">
        <v>0</v>
      </c>
      <c r="H15" t="n">
        <v>0</v>
      </c>
      <c r="I15" t="n">
        <v>100</v>
      </c>
      <c r="J15" t="n">
        <v>1</v>
      </c>
      <c r="K15" t="n">
        <v>150</v>
      </c>
      <c r="L15" t="n">
        <v>22</v>
      </c>
      <c r="M15" t="b">
        <v>1</v>
      </c>
      <c r="N15" t="n">
        <v>0</v>
      </c>
      <c r="O15" t="n">
        <v>0</v>
      </c>
      <c r="P15" t="n">
        <v>0</v>
      </c>
      <c r="Q15" t="n">
        <v>1</v>
      </c>
      <c r="R15" t="inlineStr">
        <is>
          <t>FINAL_DAMAGE</t>
        </is>
      </c>
      <c r="S15" t="n">
        <v>0</v>
      </c>
      <c r="T15" t="inlineStr"/>
      <c r="U15" t="inlineStr"/>
      <c r="V15" t="inlineStr"/>
      <c r="W15" t="inlineStr">
        <is>
          <t>Wiki: +15%-&gt;24% Final Damage (levels 1-200), unconditional (ignore the MP&gt;=50% condition and MP-cost increase per the user's decision, matching FP-Mage's own established treatment of this exact shared-kit passive). factorIndex 22, baseDamage 150 tenths%. Not reflected anywhere in Inputs — added directly into the Final Damage chain (multiplied in, same as Arcane Aim/Element Amplification are combined in FP-Mage) in a later build stage.</t>
        </is>
      </c>
    </row>
    <row r="16">
      <c r="A16" t="inlineStr">
        <is>
          <t>INFINITY</t>
        </is>
      </c>
      <c r="B16" t="inlineStr">
        <is>
          <t>Infinity</t>
        </is>
      </c>
      <c r="C16" t="n">
        <v>4</v>
      </c>
      <c r="D16" t="n">
        <v>30</v>
      </c>
      <c r="E16" t="b">
        <v>1</v>
      </c>
      <c r="F16" t="n">
        <v>1</v>
      </c>
      <c r="G16" t="n">
        <v>0</v>
      </c>
      <c r="H16" t="n">
        <v>0</v>
      </c>
      <c r="I16" t="n">
        <v>100</v>
      </c>
      <c r="J16" t="n">
        <v>1</v>
      </c>
      <c r="K16" t="n">
        <v>150</v>
      </c>
      <c r="L16" t="n">
        <v>21</v>
      </c>
      <c r="M16" t="b">
        <v>1</v>
      </c>
      <c r="N16" t="n">
        <v>0</v>
      </c>
      <c r="O16" t="n">
        <v>0</v>
      </c>
      <c r="P16" t="n">
        <v>0</v>
      </c>
      <c r="Q16" t="n">
        <v>1</v>
      </c>
      <c r="R16" t="inlineStr">
        <is>
          <t>FINAL_DAMAGE</t>
        </is>
      </c>
      <c r="S16" t="n">
        <v>15</v>
      </c>
      <c r="T16" t="inlineStr"/>
      <c r="U16" t="inlineStr"/>
      <c r="V16" t="inlineStr"/>
      <c r="W16" t="inlineStr">
        <is>
          <t>Wiki: base +15%-&gt;27% Final Damage for 15s, ADDITIONALLY +1%-&gt;1.8% per second, stacking up to 10 times (levels 1-200), cooldown 30s. Both curves reverse-engineered independently: base factorIndex 21/baseDamage 150 tenths%, increment factorIndex 21/baseDamage 10 tenths% — the increment is EXACTLY base/15 at every sampled level (zero residual error), confirming the ramp is a fixed fraction of the base, not an independently-scaled curve. Time-averaged stacks over the 15s window = (0+1+...+9+10*5)/15 = 6.3333, so the time-averaged total = base*(1+6.3333/15) = base*64/45 exactly. This row's own Calc!F needs a BESPOKE formula in build_calc_sheet (base_pct * 64/45, using the single factorIndex-21 lookup for 'base_pct') instead of the generic F-column formula every other row uses — flagged here so the Calc-sheet build stage doesn't miss it.</t>
        </is>
      </c>
    </row>
    <row r="17">
      <c r="A17" t="inlineStr">
        <is>
          <t>MAGIC_ACCELERATION</t>
        </is>
      </c>
      <c r="B17" t="inlineStr">
        <is>
          <t>Magic Acceleration</t>
        </is>
      </c>
      <c r="C17" t="n">
        <v>2</v>
      </c>
      <c r="D17" t="inlineStr"/>
      <c r="E17" t="b">
        <v>0</v>
      </c>
      <c r="F17" t="n">
        <v>1</v>
      </c>
      <c r="G17" t="n">
        <v>0</v>
      </c>
      <c r="H17" t="n">
        <v>0</v>
      </c>
      <c r="I17" t="n">
        <v>100</v>
      </c>
      <c r="J17" t="n">
        <v>1</v>
      </c>
      <c r="K17" t="n">
        <v>50</v>
      </c>
      <c r="L17" t="n">
        <v>22</v>
      </c>
      <c r="M17" t="b">
        <v>1</v>
      </c>
      <c r="N17" t="n">
        <v>0</v>
      </c>
      <c r="O17" t="n">
        <v>0</v>
      </c>
      <c r="P17" t="n">
        <v>0</v>
      </c>
      <c r="Q17" t="n">
        <v>1</v>
      </c>
      <c r="R17" t="inlineStr">
        <is>
          <t>ATTACK_SPEED</t>
        </is>
      </c>
      <c r="S17" t="n">
        <v>0</v>
      </c>
      <c r="T17" t="inlineStr"/>
      <c r="U17" t="inlineStr"/>
      <c r="V17" t="inlineStr"/>
      <c r="W17" t="inlineStr">
        <is>
          <t>Permanent passive, +5%-&gt;6.5% Attack Speed (levels 1-100) — Magic Critical pattern, already baked into Inputs!ATTACK_SPEED%; this row only feeds the 2nd-Job Skill Level Bonus Sensitivity delta. factorIndex 22, baseDamage 50 tenths%.</t>
        </is>
      </c>
    </row>
    <row r="18">
      <c r="A18" t="inlineStr">
        <is>
          <t>SPELL_MASTERY</t>
        </is>
      </c>
      <c r="B18" t="inlineStr">
        <is>
          <t>Spell Mastery</t>
        </is>
      </c>
      <c r="C18" t="n">
        <v>2</v>
      </c>
      <c r="D18" t="inlineStr"/>
      <c r="E18" t="b">
        <v>0</v>
      </c>
      <c r="F18" t="n">
        <v>1</v>
      </c>
      <c r="G18" t="n">
        <v>0</v>
      </c>
      <c r="H18" t="n">
        <v>0</v>
      </c>
      <c r="I18" t="n">
        <v>100</v>
      </c>
      <c r="J18" t="n">
        <v>1</v>
      </c>
      <c r="K18" t="n">
        <v>150</v>
      </c>
      <c r="L18" t="n">
        <v>22</v>
      </c>
      <c r="M18" t="b">
        <v>1</v>
      </c>
      <c r="N18" t="n">
        <v>0</v>
      </c>
      <c r="O18" t="n">
        <v>0</v>
      </c>
      <c r="P18" t="n">
        <v>0</v>
      </c>
      <c r="Q18" t="n">
        <v>1</v>
      </c>
      <c r="R18" t="inlineStr">
        <is>
          <t>MIN_DAMAGE</t>
        </is>
      </c>
      <c r="S18" t="n">
        <v>0</v>
      </c>
      <c r="T18" t="inlineStr"/>
      <c r="U18" t="inlineStr"/>
      <c r="V18" t="inlineStr"/>
      <c r="W18" t="inlineStr">
        <is>
          <t>Permanent passive, +15%-&gt;19.5% Min Damage Multiplier (levels 1-100) — Magic Critical pattern, already baked into Inputs!MIN_DAMAGE%; feeds the 2nd-Job Skill Level Bonus delta. factorIndex 22, baseDamage 150 tenths%.</t>
        </is>
      </c>
    </row>
    <row r="19">
      <c r="A19" t="inlineStr">
        <is>
          <t>HIGH_WISDOM</t>
        </is>
      </c>
      <c r="B19" t="inlineStr">
        <is>
          <t>High Wisdom</t>
        </is>
      </c>
      <c r="C19" t="n">
        <v>2</v>
      </c>
      <c r="D19" t="inlineStr"/>
      <c r="E19" t="b">
        <v>0</v>
      </c>
      <c r="F19" t="n">
        <v>1</v>
      </c>
      <c r="G19" t="n">
        <v>0</v>
      </c>
      <c r="H19" t="n">
        <v>0</v>
      </c>
      <c r="I19" t="n">
        <v>100</v>
      </c>
      <c r="J19" t="n">
        <v>1</v>
      </c>
      <c r="K19" t="n">
        <v>80</v>
      </c>
      <c r="L19" t="n">
        <v>22</v>
      </c>
      <c r="M19" t="b">
        <v>1</v>
      </c>
      <c r="N19" t="n">
        <v>0</v>
      </c>
      <c r="O19" t="n">
        <v>0</v>
      </c>
      <c r="P19" t="n">
        <v>0</v>
      </c>
      <c r="Q19" t="n">
        <v>1</v>
      </c>
      <c r="R19" t="inlineStr">
        <is>
          <t>CRIT_RATE</t>
        </is>
      </c>
      <c r="S19" t="n">
        <v>0</v>
      </c>
      <c r="T19" t="inlineStr"/>
      <c r="U19" t="inlineStr"/>
      <c r="V19" t="inlineStr"/>
      <c r="W19" t="inlineStr">
        <is>
          <t>Permanent passive, +8%-&gt;10.4% Critical Rate (levels 1-100) — Magic Critical pattern, already baked into Inputs!CRIT_RATE% (jointly with Magic Critical (Crit Rate) below, both are separate skills contributing to the same Inputs field); feeds the 2nd-Job Skill Level Bonus delta. factorIndex 22, baseDamage 80 tenths%.</t>
        </is>
      </c>
    </row>
    <row r="20">
      <c r="A20" t="inlineStr">
        <is>
          <t>MAGIC_CRITICAL_RATE</t>
        </is>
      </c>
      <c r="B20" t="inlineStr">
        <is>
          <t>Magic Critical (Crit Rate)</t>
        </is>
      </c>
      <c r="C20" t="n">
        <v>3</v>
      </c>
      <c r="D20" t="inlineStr"/>
      <c r="E20" t="b">
        <v>0</v>
      </c>
      <c r="F20" t="n">
        <v>1</v>
      </c>
      <c r="G20" t="n">
        <v>0</v>
      </c>
      <c r="H20" t="n">
        <v>0</v>
      </c>
      <c r="I20" t="n">
        <v>100</v>
      </c>
      <c r="J20" t="n">
        <v>1</v>
      </c>
      <c r="K20" t="n">
        <v>80</v>
      </c>
      <c r="L20" t="n">
        <v>22</v>
      </c>
      <c r="M20" t="b">
        <v>1</v>
      </c>
      <c r="N20" t="n">
        <v>0</v>
      </c>
      <c r="O20" t="n">
        <v>0</v>
      </c>
      <c r="P20" t="n">
        <v>0</v>
      </c>
      <c r="Q20" t="n">
        <v>1</v>
      </c>
      <c r="R20" t="inlineStr">
        <is>
          <t>CRIT_RATE</t>
        </is>
      </c>
      <c r="S20" t="n">
        <v>0</v>
      </c>
      <c r="T20" t="inlineStr"/>
      <c r="U20" t="inlineStr"/>
      <c r="V20" t="inlineStr"/>
      <c r="W20" t="inlineStr">
        <is>
          <t>Permanent passive, +8%-&gt;12.8% Critical Rate (levels 1-200) — Magic Critical pattern, already baked into Inputs!CRIT_RATE%; feeds the 3rd-Job Skill Level Bonus delta. factorIndex 22, baseDamage 80 tenths%.</t>
        </is>
      </c>
    </row>
    <row r="21">
      <c r="A21" t="inlineStr">
        <is>
          <t>MAGIC_CRITICAL_DAMAGE</t>
        </is>
      </c>
      <c r="B21" t="inlineStr">
        <is>
          <t>Magic Critical (Crit Damage)</t>
        </is>
      </c>
      <c r="C21" t="n">
        <v>3</v>
      </c>
      <c r="D21" t="inlineStr"/>
      <c r="E21" t="b">
        <v>0</v>
      </c>
      <c r="F21" t="n">
        <v>1</v>
      </c>
      <c r="G21" t="n">
        <v>0</v>
      </c>
      <c r="H21" t="n">
        <v>0</v>
      </c>
      <c r="I21" t="n">
        <v>100</v>
      </c>
      <c r="J21" t="n">
        <v>1</v>
      </c>
      <c r="K21" t="n">
        <v>120</v>
      </c>
      <c r="L21" t="n">
        <v>22</v>
      </c>
      <c r="M21" t="b">
        <v>1</v>
      </c>
      <c r="N21" t="n">
        <v>0</v>
      </c>
      <c r="O21" t="n">
        <v>0</v>
      </c>
      <c r="P21" t="n">
        <v>0</v>
      </c>
      <c r="Q21" t="n">
        <v>1</v>
      </c>
      <c r="R21" t="inlineStr">
        <is>
          <t>CRIT_DAMAGE</t>
        </is>
      </c>
      <c r="S21" t="n">
        <v>0</v>
      </c>
      <c r="T21" t="inlineStr"/>
      <c r="U21" t="inlineStr"/>
      <c r="V21" t="inlineStr"/>
      <c r="W21" t="inlineStr">
        <is>
          <t>Same skill as Magic Critical (Crit Rate) above, +12%-&gt;19.2% Critical Damage (levels 1-200) — Magic Critical pattern, already baked into Inputs!CRIT_DAMAGE%; feeds the 3rd-Job Skill Level Bonus delta. factorIndex 22, baseDamage 120 tenths%.</t>
        </is>
      </c>
    </row>
    <row r="22">
      <c r="A22" t="inlineStr">
        <is>
          <t>BUFF_MASTERY</t>
        </is>
      </c>
      <c r="B22" t="inlineStr">
        <is>
          <t>Buff Mastery</t>
        </is>
      </c>
      <c r="C22" t="n">
        <v>4</v>
      </c>
      <c r="D22" t="inlineStr"/>
      <c r="E22" t="b">
        <v>0</v>
      </c>
      <c r="F22" t="n">
        <v>1</v>
      </c>
      <c r="G22" t="n">
        <v>0</v>
      </c>
      <c r="H22" t="n">
        <v>0</v>
      </c>
      <c r="I22" t="n">
        <v>100</v>
      </c>
      <c r="J22" t="n">
        <v>1</v>
      </c>
      <c r="K22" t="n">
        <v>100</v>
      </c>
      <c r="L22" t="n">
        <v>22</v>
      </c>
      <c r="M22" t="b">
        <v>1</v>
      </c>
      <c r="N22" t="n">
        <v>0</v>
      </c>
      <c r="O22" t="n">
        <v>0</v>
      </c>
      <c r="P22" t="n">
        <v>0</v>
      </c>
      <c r="Q22" t="n">
        <v>1</v>
      </c>
      <c r="R22" t="inlineStr"/>
      <c r="S22" t="n">
        <v>0</v>
      </c>
      <c r="T22" t="inlineStr"/>
      <c r="U22" t="inlineStr"/>
      <c r="V22" t="inlineStr"/>
      <c r="W22" t="inlineStr">
        <is>
          <t>Permanent passive (unlocked level 117), +10%-&gt;16% Buff Duration (levels 1-200) — not added on top of Inputs: Inputs!buff_duration_increase_pct already includes it (confirmed by the user). Informational row only. factorIndex 22, baseDamage 100 tenths%. Shared w/ FP-Mage.</t>
        </is>
      </c>
    </row>
    <row r="23">
      <c r="A23" t="inlineStr">
        <is>
          <t>ARCANE_AIM</t>
        </is>
      </c>
      <c r="B23" t="inlineStr">
        <is>
          <t>Arcane Aim</t>
        </is>
      </c>
      <c r="C23" t="n">
        <v>4</v>
      </c>
      <c r="D23" t="inlineStr"/>
      <c r="E23" t="b">
        <v>0</v>
      </c>
      <c r="F23" t="n">
        <v>1</v>
      </c>
      <c r="G23" t="n">
        <v>0</v>
      </c>
      <c r="H23" t="n">
        <v>0</v>
      </c>
      <c r="I23" t="n">
        <v>100</v>
      </c>
      <c r="J23" t="n">
        <v>1</v>
      </c>
      <c r="K23" t="n">
        <v>30</v>
      </c>
      <c r="L23" t="n">
        <v>22</v>
      </c>
      <c r="M23" t="b">
        <v>1</v>
      </c>
      <c r="N23" t="n">
        <v>0</v>
      </c>
      <c r="O23" t="n">
        <v>0</v>
      </c>
      <c r="P23" t="n">
        <v>0</v>
      </c>
      <c r="Q23" t="n">
        <v>1</v>
      </c>
      <c r="R23" t="inlineStr"/>
      <c r="S23" t="n">
        <v>0</v>
      </c>
      <c r="T23" t="inlineStr"/>
      <c r="U23" t="inlineStr"/>
      <c r="V23" t="inlineStr"/>
      <c r="W23" t="inlineStr">
        <is>
          <t>Permanent passive (unlocked level 120), 25% chance per attack for +3%-&gt;4.8% Final Damage (levels 1-200) for 10s, stacking up to 5 times — modeled as always at max 5 stacks (same always-on-proc-stack precedent as Elemental Reset/FP-Mage's own Arcane Aim). Combined MULTIPLICATIVELY into the Final Damage chain as (1+Calc!F/100)^5 in a later build stage. factorIndex 22, baseDamage 30 tenths%. Shared w/ FP-Mage.</t>
        </is>
      </c>
    </row>
    <row r="24">
      <c r="A24" t="inlineStr">
        <is>
          <t>NIMBLE_FEET</t>
        </is>
      </c>
      <c r="B24" t="inlineStr">
        <is>
          <t>Nimble Feet</t>
        </is>
      </c>
      <c r="C24" t="n">
        <v>1</v>
      </c>
      <c r="D24" t="n">
        <v>60</v>
      </c>
      <c r="E24" t="b">
        <v>1</v>
      </c>
      <c r="F24" t="n">
        <v>1</v>
      </c>
      <c r="G24" t="n">
        <v>0</v>
      </c>
      <c r="H24" t="n">
        <v>0</v>
      </c>
      <c r="I24" t="n">
        <v>100</v>
      </c>
      <c r="J24" t="n">
        <v>1</v>
      </c>
      <c r="K24" t="n">
        <v>150</v>
      </c>
      <c r="L24" t="n">
        <v>0</v>
      </c>
      <c r="M24" t="b">
        <v>0</v>
      </c>
      <c r="N24" t="n">
        <v>0</v>
      </c>
      <c r="O24" t="n">
        <v>0</v>
      </c>
      <c r="P24" t="n">
        <v>0</v>
      </c>
      <c r="Q24" t="n">
        <v>1</v>
      </c>
      <c r="R24" t="inlineStr">
        <is>
          <t>ATTACK_SPEED</t>
        </is>
      </c>
      <c r="S24" t="n">
        <v>15</v>
      </c>
      <c r="T24" t="inlineStr"/>
      <c r="U24" t="inlineStr"/>
      <c r="V24" t="inlineStr"/>
      <c r="W24" t="inlineStr">
        <is>
          <t>Universal 1st-Job Explorer skill (identical wording on both idle.maplestorywiki.net and maplestoryidle.info — 'Increases Attack Speed by 15% and Speed by 10% for 15 sec', 60s cooldown, reqLevel 5) — was missing from this workbook entirely (a real gap found by cross-class comparison, not a class-design difference: Bowmaster/Dark Knight/FP-Mage/Hero/Marksman/Night Lord/Paladin/Shadower all already have it). Flat +15% Attack Speed / +10% Speed for 15s, non-scaling. Speed component not modeled (no Speed stat anywhere in this project). FactorIndex unused placeholder.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Arch Mage (Ice/Lightning)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Inputs!$B$38&lt;&gt;"pvp",Inputs!$B$43=0),1,IF(IF(Inputs!$B$38="pvp",15,Inputs!$B$43)-(Summary!$B$21)&lt;=0,1,MAX(0,IF(Inputs!$B$38="pvp",15,Inputs!$B$43)-MAX(5,Summary!$B$21))/(IF(Inputs!$B$38="pvp",15,Inputs!$B$43)-(Summary!$B$21))))*IF(AND(ArtifactsInput!$M$42,B4&lt;100),CHOOSE(ArtifactsInput!$N$42+1,30,36,42,48,54,60),0)</f>
        <v/>
      </c>
    </row>
    <row r="6">
      <c r="A6" t="inlineStr">
        <is>
          <t>Ring of Cycles — Skill Damage (if threshold &gt;= 100%)</t>
        </is>
      </c>
      <c r="B6">
        <f>IF(AND(Inputs!$B$38&lt;&gt;"pvp",Inputs!$B$43=0),1,IF(IF(Inputs!$B$38="pvp",15,Inputs!$B$43)-(Summary!$B$21)&lt;=0,1,MAX(0,IF(Inputs!$B$38="pvp",15,Inputs!$B$43)-MAX(5,Summary!$B$21))/(IF(Inputs!$B$38="pvp",15,Inputs!$B$43)-(Summary!$B$21))))*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$38&lt;&gt;"pvp",Inputs!$B$43=0),1,IF(IF(Inputs!$B$38="pvp",15,Inputs!$B$43)-(Summary!$B$21)&lt;=0,1,MAX(0,IF(Inputs!$B$38="pvp",15,Inputs!$B$43)-MAX(5,Summary!$B$21))/(IF(Inputs!$B$38="pvp",15,Inputs!$B$43)-(Summary!$B$21))))*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t="inlineStr">
        <is>
          <t>InvCooldown</t>
        </is>
      </c>
      <c r="R1" t="inlineStr">
        <is>
          <t>CastsInFight</t>
        </is>
      </c>
      <c r="S1" t="inlineStr">
        <is>
          <t>BossOnlyDPS</t>
        </is>
      </c>
      <c r="U1" t="inlineStr">
        <is>
          <t>NormalOnlyDPS</t>
        </is>
      </c>
      <c r="Z1" s="6" t="inlineStr">
        <is>
          <t>Maple Hero helper (jobStep4, factorIndex23)</t>
        </is>
      </c>
    </row>
    <row r="2">
      <c r="A2">
        <f>Skills!A2</f>
        <v/>
      </c>
      <c r="B2">
        <f>Skills!B2</f>
        <v/>
      </c>
      <c r="C2">
        <f>Inputs!$B$3&gt;=100</f>
        <v/>
      </c>
      <c r="D2" t="inlineStr"/>
      <c r="E2" t="inlineStr"/>
      <c r="F2">
        <f>Summary!$B$10+Skills!N2</f>
        <v/>
      </c>
      <c r="G2">
        <f>Skills!F2*IF(Skills!G2&gt;0,Skills!H2/Skills!G2,1)</f>
        <v/>
      </c>
      <c r="H2">
        <f>1-(1-Skills!I2/100)^Skills!J2</f>
        <v/>
      </c>
      <c r="I2">
        <f>IF(Skills!T2&lt;&gt;"",1+(Skills!T2/10)*($Z$3/1000)/100,1)</f>
        <v/>
      </c>
      <c r="J2">
        <f>Summary!$B$6*(F2/100)</f>
        <v/>
      </c>
      <c r="K2">
        <f>J2*(1+Summary!$B$7/100)*(1+(Inputs!$B$15+Summary!$B$15)/100)*(1+Inputs!$B$16/100)*(5000/(6000+Inputs!$B$42*(1-Inputs!$B$19/100)))*(1+Inputs!$B$24/100)*(1+Artifacts!$B$34/100)*(1+IF(C15=TRUE,F15,0)/100)*(1+IF(C23=TRUE,F23,0)/100)^5*(1+(IF(Skills!A2="CHAIN_LIGHTNING",Inputs!$B$17+Artifacts!$B$40,Inputs!$B$18+Artifacts!$B$39))/100)*(Summary!$B$13*(1+Artifacts!$B$38/100)*I2)</f>
        <v/>
      </c>
      <c r="L2">
        <f>K2*(MIN(Inputs!$B$22,Inputs!$B$23)/100+Inputs!$B$23/100)/2</f>
        <v/>
      </c>
      <c r="M2">
        <f>L2*(1+(Inputs!$B$10+Artifacts!$B$33)/100)</f>
        <v/>
      </c>
      <c r="N2">
        <f>L2*(1-MIN((Inputs!$B$9+Artifacts!$B$32),100)/100)+M2*(MIN((Inputs!$B$9+Artifacts!$B$32),100)/100)</f>
        <v/>
      </c>
      <c r="O2">
        <f>(1-Summary!$B$11)*S2+Summary!$B$11*U2</f>
        <v/>
      </c>
      <c r="P2">
        <f>IF(Summary!$B$3=0,0,O2/Summary!$B$3)</f>
        <v/>
      </c>
      <c r="Q2">
        <f>IFERROR(1/(IF(Inputs!$B$38="pvp",15,MAX(0.1,Skills!D2-IF(TRUE=TRUE,Inputs!$B$32,0)))*(1-IF(AND(ArtifactsInput!$M$27,Inputs!$B$4="Chapter Hunt"),CHOOSE(ArtifactsInput!$N$27+1,20,24,28,32,36,40),0)/100)),0)</f>
        <v/>
      </c>
      <c r="R2" t="n">
        <v>0</v>
      </c>
      <c r="S2">
        <f>IF(C2,(Skills!F2*N2*Summary!$B$19)*IF(Inputs!$B$38="pvp",1,1+(Inputs!$B$20+Skills!O2+Summary!$B$14+Artifacts!$B$35)/100)*((((5000/(6000+Inputs!$B$42*(1-(100*(1-(1-Inputs!$B$19/100)*(1-Artifacts!$B$51/100)^IF(Inputs!$B$38="pvp",1,2)))/100)))/(5000/(6000+Inputs!$B$42*(1-Inputs!$B$19/100))))*((L2*(1-MIN(100,(Inputs!$B$9+Artifacts!$B$32)+Artifacts!$B$69)/100)+M2*(MIN(100,(Inputs!$B$9+Artifacts!$B$32)+Artifacts!$B$69)/100))/(L2*(1-MIN(100,(Inputs!$B$9+Artifacts!$B$32))/100)+M2*(MIN(100,(Inputs!$B$9+Artifacts!$B$32))/100)))*(1+Artifacts!$B$81/100))),0)</f>
        <v/>
      </c>
      <c r="U2">
        <f>IF(C2,(Skills!F2*N2*Summary!$B$19)*IF(Inputs!$B$38="pvp",1,(1+(Inputs!$B$21+Skills!P2+Summary!$B$14+Artifacts!$B$80)/100)*(MIN(Skills!Q2,Inputs!$B$37)))*((1+Artifacts!$B$53/100)),0)</f>
        <v/>
      </c>
      <c r="Z2">
        <f>MAX(0,(Inputs!$B$3-100)*3)+Inputs!$B$28+Inputs!$B$29</f>
        <v/>
      </c>
    </row>
    <row r="3">
      <c r="A3">
        <f>Skills!A3</f>
        <v/>
      </c>
      <c r="B3">
        <f>Skills!B3</f>
        <v/>
      </c>
      <c r="C3">
        <f>Inputs!$B$3&gt;=15</f>
        <v/>
      </c>
      <c r="D3">
        <f>IF(Skills!C3=1,60+Inputs!$B$25+Inputs!$B$29,IF(Skills!C3=2,90+Inputs!$B$26+Inputs!$B$29,IF(Skills!C3=3,120+Inputs!$B$27+Inputs!$B$29,MAX(0,(Inputs!$B$3-100)*3)+Inputs!$B$28+Inputs!$B$29)))</f>
        <v/>
      </c>
      <c r="E3">
        <f>INDEX(FactorTable!$B$2:$Y$301, MATCH(ROUND(MIN(300,MAX(1,D3)),0), FactorTable!$A$2:$A$301,0), Skills!L3+1)</f>
        <v/>
      </c>
      <c r="F3">
        <f>IF(Skills!M3=TRUE,(Skills!K3/10)*(E3/1000),Skills!K3/10)+Skills!N3</f>
        <v/>
      </c>
      <c r="G3">
        <f>Skills!F3*IF(Skills!G3&gt;0,Skills!H3/Skills!G3,1)</f>
        <v/>
      </c>
      <c r="H3">
        <f>1-(1-Skills!I3/100)^Skills!J3</f>
        <v/>
      </c>
      <c r="I3">
        <f>IF(Skills!T3&lt;&gt;"",1+(Skills!T3/10)*($Z$3/1000)/100,1)</f>
        <v/>
      </c>
      <c r="J3" t="inlineStr"/>
      <c r="K3" t="inlineStr"/>
      <c r="L3" t="inlineStr"/>
      <c r="M3" t="inlineStr"/>
      <c r="N3" t="inlineStr"/>
      <c r="O3">
        <f>(1-Summary!$B$11)*S3+Summary!$B$11*U3</f>
        <v/>
      </c>
      <c r="P3">
        <f>IF(Summary!$B$3=0,0,O3/Summary!$B$3)</f>
        <v/>
      </c>
      <c r="Q3">
        <f>IFERROR(1/(IF(Inputs!$B$38="pvp",15,MAX(0.1,Skills!D3-IF(TRUE=TRUE,Inputs!$B$32,0)))*(1-IF(AND(ArtifactsInput!$M$27,Inputs!$B$4="Chapter Hunt"),CHOOSE(ArtifactsInput!$N$27+1,20,24,28,32,36,40),0)/100)),0)</f>
        <v/>
      </c>
      <c r="R3">
        <f>IF(AND(Inputs!$B$38&lt;&gt;"pvp",Inputs!$B$43&gt;0),IF(Inputs!$B$43&lt;=0,0,(INT(Inputs!$B$43/(IF(Inputs!$B$38="pvp",15,MAX(0.1,Skills!D3-IF(TRUE=TRUE,Inputs!$B$32,0)))*(1-IF(AND(ArtifactsInput!$M$27,Inputs!$B$4="Chapter Hunt"),CHOOSE(ArtifactsInput!$N$27+1,20,24,28,32,36,40),0)/100)))+1)),0)</f>
        <v/>
      </c>
      <c r="S3" t="n">
        <v>0</v>
      </c>
      <c r="U3" t="n">
        <v>0</v>
      </c>
      <c r="Z3">
        <f>INDEX(FactorTable!$B$2:$Y$301, MATCH(ROUND(MIN(300,MAX(1,Z2)),0), FactorTable!$A$2:$A$301,0), 24)</f>
        <v/>
      </c>
    </row>
    <row r="4">
      <c r="A4">
        <f>Skills!A4</f>
        <v/>
      </c>
      <c r="B4">
        <f>Skills!B4</f>
        <v/>
      </c>
      <c r="C4">
        <f>Inputs!$B$3&gt;=40</f>
        <v/>
      </c>
      <c r="D4">
        <f>IF(Skills!C4=1,60+Inputs!$B$25+Inputs!$B$29,IF(Skills!C4=2,90+Inputs!$B$26+Inputs!$B$29,IF(Skills!C4=3,120+Inputs!$B$27+Inputs!$B$29,MAX(0,(Inputs!$B$3-100)*3)+Inputs!$B$28+Inputs!$B$29)))</f>
        <v/>
      </c>
      <c r="E4">
        <f>INDEX(FactorTable!$B$2:$Y$301, MATCH(ROUND(MIN(300,MAX(1,D4)),0), FactorTable!$A$2:$A$301,0), Skills!L4+1)</f>
        <v/>
      </c>
      <c r="F4">
        <f>IF(Skills!M4=TRUE,(Skills!K4/10)*(E4/1000),Skills!K4/10)+Skills!N4</f>
        <v/>
      </c>
      <c r="G4">
        <f>Skills!F4*IF(Skills!G4&gt;0,Skills!H4/Skills!G4,1)</f>
        <v/>
      </c>
      <c r="H4">
        <f>1-(1-Skills!I4/100)^Skills!J4</f>
        <v/>
      </c>
      <c r="I4">
        <f>IF(Skills!T4&lt;&gt;"",1+(Skills!T4/10)*($Z$3/1000)/100,1)</f>
        <v/>
      </c>
      <c r="J4" t="inlineStr"/>
      <c r="K4" t="inlineStr"/>
      <c r="L4" t="inlineStr"/>
      <c r="M4" t="inlineStr"/>
      <c r="N4" t="inlineStr"/>
      <c r="O4">
        <f>(1-Summary!$B$11)*S4+Summary!$B$11*U4</f>
        <v/>
      </c>
      <c r="P4">
        <f>IF(Summary!$B$3=0,0,O4/Summary!$B$3)</f>
        <v/>
      </c>
      <c r="Q4">
        <f>IFERROR(1/(IF(Inputs!$B$38="pvp",15,MAX(0.1,Skills!D4-IF(TRUE=TRUE,Inputs!$B$32,0)))*(1-IF(AND(ArtifactsInput!$M$27,Inputs!$B$4="Chapter Hunt"),CHOOSE(ArtifactsInput!$N$27+1,20,24,28,32,36,40),0)/100)),0)</f>
        <v/>
      </c>
      <c r="R4">
        <f>IF(AND(Inputs!$B$38&lt;&gt;"pvp",Inputs!$B$43&gt;0),IF(Inputs!$B$43&lt;=0,0,(INT(Inputs!$B$43/(IF(Inputs!$B$38="pvp",15,MAX(0.1,Skills!D4-IF(TRUE=TRUE,Inputs!$B$32,0)))*(1-IF(AND(ArtifactsInput!$M$27,Inputs!$B$4="Chapter Hunt"),CHOOSE(ArtifactsInput!$N$27+1,20,24,28,32,36,40),0)/100)))+1)),0)</f>
        <v/>
      </c>
      <c r="S4" t="n">
        <v>0</v>
      </c>
      <c r="U4" t="n">
        <v>0</v>
      </c>
    </row>
    <row r="5">
      <c r="A5">
        <f>Skills!A5</f>
        <v/>
      </c>
      <c r="B5">
        <f>Skills!B5</f>
        <v/>
      </c>
      <c r="C5">
        <f>Inputs!$B$3&gt;=38</f>
        <v/>
      </c>
      <c r="D5">
        <f>IF(Skills!C5=1,60+Inputs!$B$25+Inputs!$B$29,IF(Skills!C5=2,90+Inputs!$B$26+Inputs!$B$29,IF(Skills!C5=3,120+Inputs!$B$27+Inputs!$B$29,MAX(0,(Inputs!$B$3-100)*3)+Inputs!$B$28+Inputs!$B$29)))</f>
        <v/>
      </c>
      <c r="E5">
        <f>INDEX(FactorTable!$B$2:$Y$301, MATCH(ROUND(MIN(300,MAX(1,D5)),0), FactorTable!$A$2:$A$301,0), Skills!L5+1)</f>
        <v/>
      </c>
      <c r="F5">
        <f>IF(Skills!M5=TRUE,(Skills!K5/10)*(E5/1000),Skills!K5/10)+Skills!N5</f>
        <v/>
      </c>
      <c r="G5">
        <f>Skills!F5*IF(Skills!G5&gt;0,Skills!H5/Skills!G5,1)</f>
        <v/>
      </c>
      <c r="H5">
        <f>1-(1-Skills!I5/100)^Skills!J5</f>
        <v/>
      </c>
      <c r="I5">
        <f>IF(Skills!T5&lt;&gt;"",1+(Skills!T5/10)*($Z$3/1000)/100,1)</f>
        <v/>
      </c>
      <c r="J5">
        <f>Summary!$B$6*(F5/100)</f>
        <v/>
      </c>
      <c r="K5">
        <f>J5*(1+Summary!$B$7/100)*(1+(Inputs!$B$15+Summary!$B$15)/100)*(1+Inputs!$B$16/100)*(5000/(6000+Inputs!$B$42*(1-Inputs!$B$19/100)))*(1+Inputs!$B$24/100)*(1+Artifacts!$B$34/100)*(1+IF(C15=TRUE,F15,0)/100)*(1+IF(C23=TRUE,F23,0)/100)^5*(1+(IF(Skills!A5="CHAIN_LIGHTNING",Inputs!$B$17+Artifacts!$B$40,Inputs!$B$18+Artifacts!$B$39))/100)*(Summary!$B$13*(1+Artifacts!$B$38/100)*I5)</f>
        <v/>
      </c>
      <c r="L5">
        <f>K5*(MIN(Inputs!$B$22,Inputs!$B$23)/100+Inputs!$B$23/100)/2</f>
        <v/>
      </c>
      <c r="M5">
        <f>L5*(1+(Inputs!$B$10+Artifacts!$B$33)/100)</f>
        <v/>
      </c>
      <c r="N5">
        <f>L5*(1-MIN((Inputs!$B$9+Artifacts!$B$32),100)/100)+M5*(MIN((Inputs!$B$9+Artifacts!$B$32),100)/100)</f>
        <v/>
      </c>
      <c r="O5">
        <f>(1-Summary!$B$11)*S5+Summary!$B$11*U5</f>
        <v/>
      </c>
      <c r="P5">
        <f>IF(Summary!$B$3=0,0,O5/Summary!$B$3)</f>
        <v/>
      </c>
      <c r="Q5">
        <f>IFERROR(1/(IF(Inputs!$B$38="pvp",15,MAX(0.1,Skills!D5-IF(TRUE=TRUE,Inputs!$B$32,0)))*(1-IF(AND(ArtifactsInput!$M$27,Inputs!$B$4="Chapter Hunt"),CHOOSE(ArtifactsInput!$N$27+1,20,24,28,32,36,40),0)/100)),0)</f>
        <v/>
      </c>
      <c r="R5">
        <f>IF(AND(Inputs!$B$38&lt;&gt;"pvp",Inputs!$B$43&gt;0),IF(MAX(0,Inputs!$B$43-Summary!$B$21)&lt;=0,0,(INT(MAX(0,Inputs!$B$43-Summary!$B$21)/(IF(Inputs!$B$38="pvp",15,MAX(0.1,Skills!D5-IF(TRUE=TRUE,Inputs!$B$32,0)))*(1-IF(AND(ArtifactsInput!$M$27,Inputs!$B$4="Chapter Hunt"),CHOOSE(ArtifactsInput!$N$27+1,20,24,28,32,36,40),0)/100)))+1)),0)</f>
        <v/>
      </c>
      <c r="S5">
        <f>IF(C5,(H5*N5*IF(AND(Inputs!$B$38&lt;&gt;"pvp",Inputs!$B$43&gt;0),((Skills!F5*((R5-1)*IF(Skills!G5&gt;0,Skills!H5/Skills!G5,1)+IF(Skills!G5&gt;0,MIN(Skills!H5,MAX(0,MAX(0,Inputs!$B$43-Summary!$B$21)-((R5-1)*(IF(Inputs!$B$38="pvp",15,MAX(0.1,Skills!D5-IF(TRUE=TRUE,Inputs!$B$32,0)))*(1-IF(AND(ArtifactsInput!$M$27,Inputs!$B$4="Chapter Hunt"),CHOOSE(ArtifactsInput!$N$27+1,20,24,28,32,36,40),0)/100)))))/Skills!G5,1)))/Inputs!$B$43),G5*Q5))*IF(Inputs!$B$38="pvp",1,1+(Inputs!$B$20+Skills!O5+Summary!$B$14+Artifacts!$B$35)/100)*((((5000/(6000+Inputs!$B$42*(1-(100*(1-(1-Inputs!$B$19/100)*(1-Artifacts!$B$51/100)^IF(Inputs!$B$38="pvp",1,2)))/100)))/(5000/(6000+Inputs!$B$42*(1-Inputs!$B$19/100))))*((L5*(1-MIN(100,(Inputs!$B$9+Artifacts!$B$32)+Artifacts!$B$69)/100)+M5*(MIN(100,(Inputs!$B$9+Artifacts!$B$32)+Artifacts!$B$69)/100))/(L5*(1-MIN(100,(Inputs!$B$9+Artifacts!$B$32))/100)+M5*(MIN(100,(Inputs!$B$9+Artifacts!$B$32))/100)))*(1+Artifacts!$B$81/100))),0)</f>
        <v/>
      </c>
      <c r="U5">
        <f>IF(C5,(H5*N5*IF(AND(Inputs!$B$38&lt;&gt;"pvp",Inputs!$B$43&gt;0),((Skills!F5*((R5-1)*IF(Skills!G5&gt;0,Skills!H5/Skills!G5,1)+IF(Skills!G5&gt;0,MIN(Skills!H5,MAX(0,MAX(0,Inputs!$B$43-Summary!$B$21)-((R5-1)*(IF(Inputs!$B$38="pvp",15,MAX(0.1,Skills!D5-IF(TRUE=TRUE,Inputs!$B$32,0)))*(1-IF(AND(ArtifactsInput!$M$27,Inputs!$B$4="Chapter Hunt"),CHOOSE(ArtifactsInput!$N$27+1,20,24,28,32,36,40),0)/100)))))/Skills!G5,1)))/Inputs!$B$43),G5*Q5))*IF(Inputs!$B$38="pvp",1,(1+(Inputs!$B$21+Skills!P5+Summary!$B$14+Artifacts!$B$80)/100)*(MIN(Skills!Q5,Inputs!$B$37)))*((1+Artifacts!$B$53/100)),0)</f>
        <v/>
      </c>
    </row>
    <row r="6">
      <c r="A6">
        <f>Skills!A6</f>
        <v/>
      </c>
      <c r="B6">
        <f>Skills!B6</f>
        <v/>
      </c>
      <c r="C6">
        <f>Inputs!$B$3&gt;=63</f>
        <v/>
      </c>
      <c r="D6">
        <f>IF(Skills!C6=1,60+Inputs!$B$25+Inputs!$B$29,IF(Skills!C6=2,90+Inputs!$B$26+Inputs!$B$29,IF(Skills!C6=3,120+Inputs!$B$27+Inputs!$B$29,MAX(0,(Inputs!$B$3-100)*3)+Inputs!$B$28+Inputs!$B$29)))</f>
        <v/>
      </c>
      <c r="E6">
        <f>INDEX(FactorTable!$B$2:$Y$301, MATCH(ROUND(MIN(300,MAX(1,D6)),0), FactorTable!$A$2:$A$301,0), Skills!L6+1)</f>
        <v/>
      </c>
      <c r="F6">
        <f>IF(Skills!M6=TRUE,(Skills!K6/10)*(E6/1000),Skills!K6/10)+Skills!N6</f>
        <v/>
      </c>
      <c r="G6">
        <f>Skills!F6*IF(Skills!G6&gt;0,Skills!H6/Skills!G6,1)</f>
        <v/>
      </c>
      <c r="H6">
        <f>1-(1-Skills!I6/100)^Skills!J6</f>
        <v/>
      </c>
      <c r="I6">
        <f>IF(Skills!T6&lt;&gt;"",1+(Skills!T6/10)*($Z$3/1000)/100,1)</f>
        <v/>
      </c>
      <c r="J6">
        <f>Summary!$B$6*(F6/100)</f>
        <v/>
      </c>
      <c r="K6">
        <f>J6*(1+Summary!$B$7/100)*(1+(Inputs!$B$15+Summary!$B$15)/100)*(1+Inputs!$B$16/100)*(5000/(6000+Inputs!$B$42*(1-Inputs!$B$19/100)))*(1+Inputs!$B$24/100)*(1+Artifacts!$B$34/100)*(1+IF(C15=TRUE,F15,0)/100)*(1+IF(C23=TRUE,F23,0)/100)^5*(1+(IF(Skills!A6="CHAIN_LIGHTNING",Inputs!$B$17+Artifacts!$B$40,Inputs!$B$18+Artifacts!$B$39))/100)*(Summary!$B$13*(1+Artifacts!$B$38/100)*I6)</f>
        <v/>
      </c>
      <c r="L6">
        <f>K6*(MIN(Inputs!$B$22,Inputs!$B$23)/100+Inputs!$B$23/100)/2</f>
        <v/>
      </c>
      <c r="M6">
        <f>L6*(1+(Inputs!$B$10+Artifacts!$B$33)/100)</f>
        <v/>
      </c>
      <c r="N6">
        <f>L6*(1-MIN((Inputs!$B$9+Artifacts!$B$32),100)/100)+M6*(MIN((Inputs!$B$9+Artifacts!$B$32),100)/100)</f>
        <v/>
      </c>
      <c r="O6">
        <f>(1-Summary!$B$11)*S6+Summary!$B$11*U6</f>
        <v/>
      </c>
      <c r="P6">
        <f>IF(Summary!$B$3=0,0,O6/Summary!$B$3)</f>
        <v/>
      </c>
      <c r="Q6">
        <f>IFERROR(1/(IF(Inputs!$B$38="pvp",15,MAX(0.1,Skills!D6-IF(TRUE=TRUE,Inputs!$B$32,0)))*(1-IF(AND(ArtifactsInput!$M$27,Inputs!$B$4="Chapter Hunt"),CHOOSE(ArtifactsInput!$N$27+1,20,24,28,32,36,40),0)/100)),0)</f>
        <v/>
      </c>
      <c r="R6">
        <f>IF(AND(Inputs!$B$38&lt;&gt;"pvp",Inputs!$B$43&gt;0),IF(MAX(0,Inputs!$B$43-Summary!$B$21)&lt;=0,0,(INT(MAX(0,Inputs!$B$43-Summary!$B$21)/(IF(Inputs!$B$38="pvp",15,MAX(0.1,Skills!D6-IF(TRUE=TRUE,Inputs!$B$32,0)))*(1-IF(AND(ArtifactsInput!$M$27,Inputs!$B$4="Chapter Hunt"),CHOOSE(ArtifactsInput!$N$27+1,20,24,28,32,36,40),0)/100)))+1)),0)</f>
        <v/>
      </c>
      <c r="S6">
        <f>IF(C6,(H6*N6*IF(AND(Inputs!$B$38&lt;&gt;"pvp",Inputs!$B$43&gt;0),((Skills!F6*((R6-1)*IF(Skills!G6&gt;0,Skills!H6/Skills!G6,1)+IF(Skills!G6&gt;0,MIN(Skills!H6,MAX(0,MAX(0,Inputs!$B$43-Summary!$B$21)-((R6-1)*(IF(Inputs!$B$38="pvp",15,MAX(0.1,Skills!D6-IF(TRUE=TRUE,Inputs!$B$32,0)))*(1-IF(AND(ArtifactsInput!$M$27,Inputs!$B$4="Chapter Hunt"),CHOOSE(ArtifactsInput!$N$27+1,20,24,28,32,36,40),0)/100)))))/Skills!G6,1)))/Inputs!$B$43),G6*Q6))*IF(Inputs!$B$38="pvp",1,1+(Inputs!$B$20+Skills!O6+Summary!$B$14+Artifacts!$B$35)/100)*((((5000/(6000+Inputs!$B$42*(1-(100*(1-(1-Inputs!$B$19/100)*(1-Artifacts!$B$51/100)^IF(Inputs!$B$38="pvp",1,2)))/100)))/(5000/(6000+Inputs!$B$42*(1-Inputs!$B$19/100))))*((L6*(1-MIN(100,(Inputs!$B$9+Artifacts!$B$32)+Artifacts!$B$69)/100)+M6*(MIN(100,(Inputs!$B$9+Artifacts!$B$32)+Artifacts!$B$69)/100))/(L6*(1-MIN(100,(Inputs!$B$9+Artifacts!$B$32))/100)+M6*(MIN(100,(Inputs!$B$9+Artifacts!$B$32))/100)))*(1+Artifacts!$B$81/100))),0)</f>
        <v/>
      </c>
      <c r="U6">
        <f>IF(C6,(H6*N6*IF(AND(Inputs!$B$38&lt;&gt;"pvp",Inputs!$B$43&gt;0),((Skills!F6*((R6-1)*IF(Skills!G6&gt;0,Skills!H6/Skills!G6,1)+IF(Skills!G6&gt;0,MIN(Skills!H6,MAX(0,MAX(0,Inputs!$B$43-Summary!$B$21)-((R6-1)*(IF(Inputs!$B$38="pvp",15,MAX(0.1,Skills!D6-IF(TRUE=TRUE,Inputs!$B$32,0)))*(1-IF(AND(ArtifactsInput!$M$27,Inputs!$B$4="Chapter Hunt"),CHOOSE(ArtifactsInput!$N$27+1,20,24,28,32,36,40),0)/100)))))/Skills!G6,1)))/Inputs!$B$43),G6*Q6))*IF(Inputs!$B$38="pvp",1,(1+(Inputs!$B$21+Skills!P6+Summary!$B$14+Artifacts!$B$80)/100)*(MIN(Skills!Q6,Inputs!$B$37)))*((1+Artifacts!$B$53/100)),0)</f>
        <v/>
      </c>
    </row>
    <row r="7">
      <c r="A7">
        <f>Skills!A7</f>
        <v/>
      </c>
      <c r="B7">
        <f>Skills!B7</f>
        <v/>
      </c>
      <c r="C7">
        <f>Inputs!$B$3&gt;=69</f>
        <v/>
      </c>
      <c r="D7">
        <f>IF(Skills!C7=1,60+Inputs!$B$25+Inputs!$B$29,IF(Skills!C7=2,90+Inputs!$B$26+Inputs!$B$29,IF(Skills!C7=3,120+Inputs!$B$27+Inputs!$B$29,MAX(0,(Inputs!$B$3-100)*3)+Inputs!$B$28+Inputs!$B$29)))</f>
        <v/>
      </c>
      <c r="E7">
        <f>INDEX(FactorTable!$B$2:$Y$301, MATCH(ROUND(MIN(300,MAX(1,D7)),0), FactorTable!$A$2:$A$301,0), Skills!L7+1)</f>
        <v/>
      </c>
      <c r="F7">
        <f>IF(Skills!M7=TRUE,(Skills!K7/10)*(E7/1000),Skills!K7/10)+Skills!N7</f>
        <v/>
      </c>
      <c r="G7">
        <f>Skills!F7*IF(Skills!G7&gt;0,Skills!H7/Skills!G7,1)</f>
        <v/>
      </c>
      <c r="H7">
        <f>1-(1-Skills!I7/100)^Skills!J7</f>
        <v/>
      </c>
      <c r="I7">
        <f>IF(Skills!T7&lt;&gt;"",1+(Skills!T7/10)*($Z$3/1000)/100,1)</f>
        <v/>
      </c>
      <c r="J7">
        <f>Summary!$B$6*(F7/100)</f>
        <v/>
      </c>
      <c r="K7">
        <f>J7*(1+Summary!$B$7/100)*(1+(Inputs!$B$15+Summary!$B$15)/100)*(1+Inputs!$B$16/100)*(5000/(6000+Inputs!$B$42*(1-Inputs!$B$19/100)))*(1+Inputs!$B$24/100)*(1+Artifacts!$B$34/100)*(1+IF(C15=TRUE,F15,0)/100)*(1+IF(C23=TRUE,F23,0)/100)^5*(1+(IF(Skills!A7="CHAIN_LIGHTNING",Inputs!$B$17+Artifacts!$B$40,Inputs!$B$18+Artifacts!$B$39))/100)*(Summary!$B$13*(1+Artifacts!$B$38/100)*I7)</f>
        <v/>
      </c>
      <c r="L7">
        <f>K7*(MIN(Inputs!$B$22,Inputs!$B$23)/100+Inputs!$B$23/100)/2</f>
        <v/>
      </c>
      <c r="M7">
        <f>L7*(1+(Inputs!$B$10+Artifacts!$B$33)/100)</f>
        <v/>
      </c>
      <c r="N7">
        <f>L7*(1-MIN((Inputs!$B$9+Artifacts!$B$32),100)/100)+M7*(MIN((Inputs!$B$9+Artifacts!$B$32),100)/100)</f>
        <v/>
      </c>
      <c r="O7">
        <f>(1-Summary!$B$11)*S7+Summary!$B$11*U7</f>
        <v/>
      </c>
      <c r="P7">
        <f>IF(Summary!$B$3=0,0,O7/Summary!$B$3)</f>
        <v/>
      </c>
      <c r="Q7">
        <f>IFERROR(1/(IF(Inputs!$B$38="pvp",15,MAX(0.1,Skills!D7-IF(TRUE=TRUE,Inputs!$B$32,0)))*(1-IF(AND(ArtifactsInput!$M$27,Inputs!$B$4="Chapter Hunt"),CHOOSE(ArtifactsInput!$N$27+1,20,24,28,32,36,40),0)/100)),0)</f>
        <v/>
      </c>
      <c r="R7">
        <f>IF(AND(Inputs!$B$38&lt;&gt;"pvp",Inputs!$B$43&gt;0),IF(MAX(0,Inputs!$B$43-Summary!$B$21)&lt;=0,0,(INT(MAX(0,Inputs!$B$43-Summary!$B$21)/(IF(Inputs!$B$38="pvp",15,MAX(0.1,Skills!D7-IF(TRUE=TRUE,Inputs!$B$32,0)))*(1-IF(AND(ArtifactsInput!$M$27,Inputs!$B$4="Chapter Hunt"),CHOOSE(ArtifactsInput!$N$27+1,20,24,28,32,36,40),0)/100)))+1)),0)</f>
        <v/>
      </c>
      <c r="S7">
        <f>IF(C7,(H7*N7*IF(AND(Inputs!$B$38&lt;&gt;"pvp",Inputs!$B$43&gt;0),((Skills!F7*((R7-1)*IF(Skills!G7&gt;0,Skills!H7/Skills!G7,1)+IF(Skills!G7&gt;0,MIN(Skills!H7,MAX(0,MAX(0,Inputs!$B$43-Summary!$B$21)-((R7-1)*(IF(Inputs!$B$38="pvp",15,MAX(0.1,Skills!D7-IF(TRUE=TRUE,Inputs!$B$32,0)))*(1-IF(AND(ArtifactsInput!$M$27,Inputs!$B$4="Chapter Hunt"),CHOOSE(ArtifactsInput!$N$27+1,20,24,28,32,36,40),0)/100)))))/Skills!G7,1)))/Inputs!$B$43),G7*Q7))*IF(Inputs!$B$38="pvp",1,1+(Inputs!$B$20+Skills!O7+Summary!$B$14+Artifacts!$B$35)/100)*((((5000/(6000+Inputs!$B$42*(1-(100*(1-(1-Inputs!$B$19/100)*(1-Artifacts!$B$51/100)^IF(Inputs!$B$38="pvp",1,2)))/100)))/(5000/(6000+Inputs!$B$42*(1-Inputs!$B$19/100))))*((L7*(1-MIN(100,(Inputs!$B$9+Artifacts!$B$32)+Artifacts!$B$69)/100)+M7*(MIN(100,(Inputs!$B$9+Artifacts!$B$32)+Artifacts!$B$69)/100))/(L7*(1-MIN(100,(Inputs!$B$9+Artifacts!$B$32))/100)+M7*(MIN(100,(Inputs!$B$9+Artifacts!$B$32))/100)))*(1+Artifacts!$B$81/100))),0)</f>
        <v/>
      </c>
      <c r="U7">
        <f>IF(C7,(H7*N7*IF(AND(Inputs!$B$38&lt;&gt;"pvp",Inputs!$B$43&gt;0),((Skills!F7*((R7-1)*IF(Skills!G7&gt;0,Skills!H7/Skills!G7,1)+IF(Skills!G7&gt;0,MIN(Skills!H7,MAX(0,MAX(0,Inputs!$B$43-Summary!$B$21)-((R7-1)*(IF(Inputs!$B$38="pvp",15,MAX(0.1,Skills!D7-IF(TRUE=TRUE,Inputs!$B$32,0)))*(1-IF(AND(ArtifactsInput!$M$27,Inputs!$B$4="Chapter Hunt"),CHOOSE(ArtifactsInput!$N$27+1,20,24,28,32,36,40),0)/100)))))/Skills!G7,1)))/Inputs!$B$43),G7*Q7))*IF(Inputs!$B$38="pvp",1,(1+(Inputs!$B$21+Skills!P7+Summary!$B$14+Artifacts!$B$80)/100)*(MIN(Skills!Q7,Inputs!$B$37)))*((1+Artifacts!$B$53/100)),0)</f>
        <v/>
      </c>
    </row>
    <row r="8">
      <c r="A8">
        <f>Skills!A8</f>
        <v/>
      </c>
      <c r="B8">
        <f>Skills!B8</f>
        <v/>
      </c>
      <c r="C8">
        <f>Inputs!$B$3&gt;=103</f>
        <v/>
      </c>
      <c r="D8">
        <f>IF(Skills!C8=1,60+Inputs!$B$25+Inputs!$B$29,IF(Skills!C8=2,90+Inputs!$B$26+Inputs!$B$29,IF(Skills!C8=3,120+Inputs!$B$27+Inputs!$B$29,MAX(0,(Inputs!$B$3-100)*3)+Inputs!$B$28+Inputs!$B$29)))</f>
        <v/>
      </c>
      <c r="E8">
        <f>INDEX(FactorTable!$B$2:$Y$301, MATCH(ROUND(MIN(300,MAX(1,D8)),0), FactorTable!$A$2:$A$301,0), Skills!L8+1)</f>
        <v/>
      </c>
      <c r="F8">
        <f>IF(Skills!M8=TRUE,(Skills!K8/10)*(E8/1000),Skills!K8/10)+Skills!N8</f>
        <v/>
      </c>
      <c r="G8">
        <f>Skills!F8*IF(Skills!G8&gt;0,Skills!H8/Skills!G8,1)</f>
        <v/>
      </c>
      <c r="H8">
        <f>1-(1-Skills!I8/100)^Skills!J8</f>
        <v/>
      </c>
      <c r="I8">
        <f>IF(Skills!T8&lt;&gt;"",1+(Skills!T8/10)*($Z$3/1000)/100,1)</f>
        <v/>
      </c>
      <c r="J8">
        <f>Summary!$B$6*(F8/100)</f>
        <v/>
      </c>
      <c r="K8">
        <f>J8*(1+Summary!$B$7/100)*(1+(Inputs!$B$15+Summary!$B$15)/100)*(1+Inputs!$B$16/100)*(5000/(6000+Inputs!$B$42*(1-Inputs!$B$19/100)))*(1+Inputs!$B$24/100)*(1+Artifacts!$B$34/100)*(1+IF(C15=TRUE,F15,0)/100)*(1+IF(C23=TRUE,F23,0)/100)^5*(1+(IF(Skills!A8="CHAIN_LIGHTNING",Inputs!$B$17+Artifacts!$B$40,Inputs!$B$18+Artifacts!$B$39))/100)*(Summary!$B$13*(1+Artifacts!$B$38/100)*I8)</f>
        <v/>
      </c>
      <c r="L8">
        <f>K8*(MIN(Inputs!$B$22,Inputs!$B$23)/100+Inputs!$B$23/100)/2</f>
        <v/>
      </c>
      <c r="M8">
        <f>L8*(1+(Inputs!$B$10+Artifacts!$B$33)/100)</f>
        <v/>
      </c>
      <c r="N8">
        <f>L8*(1-MIN((Inputs!$B$9+Artifacts!$B$32),100)/100)+M8*(MIN((Inputs!$B$9+Artifacts!$B$32),100)/100)</f>
        <v/>
      </c>
      <c r="O8">
        <f>(1-Summary!$B$11)*S8+Summary!$B$11*U8</f>
        <v/>
      </c>
      <c r="P8">
        <f>IF(Summary!$B$3=0,0,O8/Summary!$B$3)</f>
        <v/>
      </c>
      <c r="Q8">
        <f>IFERROR(1/(IF(Inputs!$B$38="pvp",15,MAX(0.1,Skills!D8-IF(TRUE=TRUE,Inputs!$B$32,0)))*(1-IF(AND(ArtifactsInput!$M$27,Inputs!$B$4="Chapter Hunt"),CHOOSE(ArtifactsInput!$N$27+1,20,24,28,32,36,40),0)/100)),0)</f>
        <v/>
      </c>
      <c r="R8">
        <f>IF(AND(Inputs!$B$38&lt;&gt;"pvp",Inputs!$B$43&gt;0),IF(MAX(0,Inputs!$B$43-Summary!$B$21)&lt;=0,0,(INT(MAX(0,Inputs!$B$43-Summary!$B$21)/(IF(Inputs!$B$38="pvp",15,MAX(0.1,Skills!D8-IF(TRUE=TRUE,Inputs!$B$32,0)))*(1-IF(AND(ArtifactsInput!$M$27,Inputs!$B$4="Chapter Hunt"),CHOOSE(ArtifactsInput!$N$27+1,20,24,28,32,36,40),0)/100)))+1)),0)</f>
        <v/>
      </c>
      <c r="S8">
        <f>IF(C8,(H8*N8*IF(AND(Inputs!$B$38&lt;&gt;"pvp",Inputs!$B$43&gt;0),((Skills!F8*((R8-1)*IF(Skills!G8&gt;0,Skills!H8/Skills!G8,1)+IF(Skills!G8&gt;0,MIN(Skills!H8,MAX(0,MAX(0,Inputs!$B$43-Summary!$B$21)-((R8-1)*(IF(Inputs!$B$38="pvp",15,MAX(0.1,Skills!D8-IF(TRUE=TRUE,Inputs!$B$32,0)))*(1-IF(AND(ArtifactsInput!$M$27,Inputs!$B$4="Chapter Hunt"),CHOOSE(ArtifactsInput!$N$27+1,20,24,28,32,36,40),0)/100)))))/Skills!G8,1)))/Inputs!$B$43),G8*Q8))*IF(Inputs!$B$38="pvp",1,1+(Inputs!$B$20+Skills!O8+Summary!$B$14+Artifacts!$B$35)/100)*((((5000/(6000+Inputs!$B$42*(1-(100*(1-(1-Inputs!$B$19/100)*(1-Artifacts!$B$51/100)^IF(Inputs!$B$38="pvp",1,2)))/100)))/(5000/(6000+Inputs!$B$42*(1-Inputs!$B$19/100))))*((L8*(1-MIN(100,(Inputs!$B$9+Artifacts!$B$32)+Artifacts!$B$69)/100)+M8*(MIN(100,(Inputs!$B$9+Artifacts!$B$32)+Artifacts!$B$69)/100))/(L8*(1-MIN(100,(Inputs!$B$9+Artifacts!$B$32))/100)+M8*(MIN(100,(Inputs!$B$9+Artifacts!$B$32))/100)))*(1+Artifacts!$B$81/100))),0)</f>
        <v/>
      </c>
      <c r="U8">
        <f>IF(C8,(H8*N8*IF(AND(Inputs!$B$38&lt;&gt;"pvp",Inputs!$B$43&gt;0),((Skills!F8*((R8-1)*IF(Skills!G8&gt;0,Skills!H8/Skills!G8,1)+IF(Skills!G8&gt;0,MIN(Skills!H8,MAX(0,MAX(0,Inputs!$B$43-Summary!$B$21)-((R8-1)*(IF(Inputs!$B$38="pvp",15,MAX(0.1,Skills!D8-IF(TRUE=TRUE,Inputs!$B$32,0)))*(1-IF(AND(ArtifactsInput!$M$27,Inputs!$B$4="Chapter Hunt"),CHOOSE(ArtifactsInput!$N$27+1,20,24,28,32,36,40),0)/100)))))/Skills!G8,1)))/Inputs!$B$43),G8*Q8))*IF(Inputs!$B$38="pvp",1,(1+(Inputs!$B$21+Skills!P8+Summary!$B$14+Artifacts!$B$80)/100)*(MIN(Skills!Q8,Inputs!$B$37)))*((1+Artifacts!$B$53/100)),0)</f>
        <v/>
      </c>
    </row>
    <row r="9">
      <c r="A9">
        <f>Skills!A9</f>
        <v/>
      </c>
      <c r="B9">
        <f>Skills!B9</f>
        <v/>
      </c>
      <c r="C9">
        <f>Inputs!$B$3&gt;=105</f>
        <v/>
      </c>
      <c r="D9">
        <f>IF(Skills!C9=1,60+Inputs!$B$25+Inputs!$B$29,IF(Skills!C9=2,90+Inputs!$B$26+Inputs!$B$29,IF(Skills!C9=3,120+Inputs!$B$27+Inputs!$B$29,MAX(0,(Inputs!$B$3-100)*3)+Inputs!$B$28+Inputs!$B$29)))</f>
        <v/>
      </c>
      <c r="E9">
        <f>INDEX(FactorTable!$B$2:$Y$301, MATCH(ROUND(MIN(300,MAX(1,D9)),0), FactorTable!$A$2:$A$301,0), Skills!L9+1)</f>
        <v/>
      </c>
      <c r="F9">
        <f>IF(Skills!M9=TRUE,(Skills!K9/10)*(E9/1000),Skills!K9/10)+Skills!N9</f>
        <v/>
      </c>
      <c r="G9">
        <f>Skills!F9*IF(Skills!G9&gt;0,Skills!H9/Skills!G9,1)</f>
        <v/>
      </c>
      <c r="H9">
        <f>1-(1-Skills!I9/100)^Skills!J9</f>
        <v/>
      </c>
      <c r="I9">
        <f>IF(Skills!T9&lt;&gt;"",1+(Skills!T9/10)*($Z$3/1000)/100,1)</f>
        <v/>
      </c>
      <c r="J9">
        <f>Summary!$B$6*(F9/100)</f>
        <v/>
      </c>
      <c r="K9">
        <f>J9*(1+Summary!$B$7/100)*(1+(Inputs!$B$15+Summary!$B$15)/100)*(1+Inputs!$B$16/100)*(5000/(6000+Inputs!$B$42*(1-Inputs!$B$19/100)))*(1+Inputs!$B$24/100)*(1+Artifacts!$B$34/100)*(1+IF(C15=TRUE,F15,0)/100)*(1+IF(C23=TRUE,F23,0)/100)^5*(1+(IF(Skills!A9="CHAIN_LIGHTNING",Inputs!$B$17+Artifacts!$B$40,Inputs!$B$18+Artifacts!$B$39))/100)*(Summary!$B$13*(1+Artifacts!$B$38/100)*I9)</f>
        <v/>
      </c>
      <c r="L9">
        <f>K9*(MIN(Inputs!$B$22,Inputs!$B$23)/100+Inputs!$B$23/100)/2</f>
        <v/>
      </c>
      <c r="M9">
        <f>L9*(1+(Inputs!$B$10+Artifacts!$B$33)/100)</f>
        <v/>
      </c>
      <c r="N9">
        <f>L9*(1-MIN((Inputs!$B$9+Artifacts!$B$32),100)/100)+M9*(MIN((Inputs!$B$9+Artifacts!$B$32),100)/100)</f>
        <v/>
      </c>
      <c r="O9">
        <f>(1-Summary!$B$11)*S9+Summary!$B$11*U9</f>
        <v/>
      </c>
      <c r="P9">
        <f>IF(Summary!$B$3=0,0,O9/Summary!$B$3)</f>
        <v/>
      </c>
      <c r="Q9">
        <f>IFERROR(1/(IF(Inputs!$B$38="pvp",15,MAX(0.1,Skills!D9-IF(TRUE=TRUE,Inputs!$B$32,0)))*(1-IF(AND(ArtifactsInput!$M$27,Inputs!$B$4="Chapter Hunt"),CHOOSE(ArtifactsInput!$N$27+1,20,24,28,32,36,40),0)/100)),0)</f>
        <v/>
      </c>
      <c r="R9">
        <f>IF(AND(Inputs!$B$38&lt;&gt;"pvp",Inputs!$B$43&gt;0),IF(MAX(0,Inputs!$B$43-Summary!$B$21)&lt;=0,0,(INT(MAX(0,Inputs!$B$43-Summary!$B$21)/(IF(Inputs!$B$38="pvp",15,MAX(0.1,Skills!D9-IF(TRUE=TRUE,Inputs!$B$32,0)))*(1-IF(AND(ArtifactsInput!$M$27,Inputs!$B$4="Chapter Hunt"),CHOOSE(ArtifactsInput!$N$27+1,20,24,28,32,36,40),0)/100)))+1)),0)</f>
        <v/>
      </c>
      <c r="S9">
        <f>IF(C9,(H9*N9*IF(AND(Inputs!$B$38&lt;&gt;"pvp",Inputs!$B$43&gt;0),((Skills!F9*((R9-1)*IF(Skills!G9&gt;0,Skills!H9/Skills!G9,1)+IF(Skills!G9&gt;0,MIN(Skills!H9,MAX(0,MAX(0,Inputs!$B$43-Summary!$B$21)-((R9-1)*(IF(Inputs!$B$38="pvp",15,MAX(0.1,Skills!D9-IF(TRUE=TRUE,Inputs!$B$32,0)))*(1-IF(AND(ArtifactsInput!$M$27,Inputs!$B$4="Chapter Hunt"),CHOOSE(ArtifactsInput!$N$27+1,20,24,28,32,36,40),0)/100)))))/Skills!G9,1)))/Inputs!$B$43),G9*Q9))*IF(Inputs!$B$38="pvp",1,1+(Inputs!$B$20+Skills!O9+Summary!$B$14+Artifacts!$B$35)/100)*((((5000/(6000+Inputs!$B$42*(1-(100*(1-(1-Inputs!$B$19/100)*(1-Artifacts!$B$51/100)^IF(Inputs!$B$38="pvp",1,2)))/100)))/(5000/(6000+Inputs!$B$42*(1-Inputs!$B$19/100))))*((L9*(1-MIN(100,(Inputs!$B$9+Artifacts!$B$32)+Artifacts!$B$69)/100)+M9*(MIN(100,(Inputs!$B$9+Artifacts!$B$32)+Artifacts!$B$69)/100))/(L9*(1-MIN(100,(Inputs!$B$9+Artifacts!$B$32))/100)+M9*(MIN(100,(Inputs!$B$9+Artifacts!$B$32))/100)))*(1+Artifacts!$B$81/100))),0)</f>
        <v/>
      </c>
      <c r="U9">
        <f>IF(C9,(H9*N9*IF(AND(Inputs!$B$38&lt;&gt;"pvp",Inputs!$B$43&gt;0),((Skills!F9*((R9-1)*IF(Skills!G9&gt;0,Skills!H9/Skills!G9,1)+IF(Skills!G9&gt;0,MIN(Skills!H9,MAX(0,MAX(0,Inputs!$B$43-Summary!$B$21)-((R9-1)*(IF(Inputs!$B$38="pvp",15,MAX(0.1,Skills!D9-IF(TRUE=TRUE,Inputs!$B$32,0)))*(1-IF(AND(ArtifactsInput!$M$27,Inputs!$B$4="Chapter Hunt"),CHOOSE(ArtifactsInput!$N$27+1,20,24,28,32,36,40),0)/100)))))/Skills!G9,1)))/Inputs!$B$43),G9*Q9))*IF(Inputs!$B$38="pvp",1,(1+(Inputs!$B$21+Skills!P9+Summary!$B$14+Artifacts!$B$80)/100)*(MIN(Skills!Q9,Inputs!$B$37)))*((1+Artifacts!$B$53/100)),0)</f>
        <v/>
      </c>
    </row>
    <row r="10">
      <c r="A10">
        <f>Skills!A10</f>
        <v/>
      </c>
      <c r="B10">
        <f>Skills!B10</f>
        <v/>
      </c>
      <c r="C10">
        <f>Inputs!$B$3&gt;=113</f>
        <v/>
      </c>
      <c r="D10">
        <f>IF(Skills!C10=1,60+Inputs!$B$25+Inputs!$B$29,IF(Skills!C10=2,90+Inputs!$B$26+Inputs!$B$29,IF(Skills!C10=3,120+Inputs!$B$27+Inputs!$B$29,MAX(0,(Inputs!$B$3-100)*3)+Inputs!$B$28+Inputs!$B$29)))</f>
        <v/>
      </c>
      <c r="E10">
        <f>INDEX(FactorTable!$B$2:$Y$301, MATCH(ROUND(MIN(300,MAX(1,D10)),0), FactorTable!$A$2:$A$301,0), Skills!L10+1)</f>
        <v/>
      </c>
      <c r="F10">
        <f>IF(Skills!M10=TRUE,(Skills!K10/10)*(E10/1000),Skills!K10/10)+Skills!N10</f>
        <v/>
      </c>
      <c r="G10">
        <f>Skills!F10*IF(Skills!G10&gt;0,Skills!H10/Skills!G10,1)</f>
        <v/>
      </c>
      <c r="H10">
        <f>1-(1-Skills!I10/100)^Skills!J10</f>
        <v/>
      </c>
      <c r="I10">
        <f>IF(Skills!T10&lt;&gt;"",1+(Skills!T10/10)*($Z$3/1000)/100,1)</f>
        <v/>
      </c>
      <c r="J10">
        <f>Summary!$B$6*(F10/100)</f>
        <v/>
      </c>
      <c r="K10">
        <f>J10*(1+Summary!$B$7/100)*(1+(Inputs!$B$15+Summary!$B$15)/100)*(1+Inputs!$B$16/100)*(5000/(6000+Inputs!$B$42*(1-Inputs!$B$19/100)))*(1+Inputs!$B$24/100)*(1+Artifacts!$B$34/100)*(1+IF(C15=TRUE,F15,0)/100)*(1+IF(C23=TRUE,F23,0)/100)^5*(1+(IF(Skills!A10="CHAIN_LIGHTNING",Inputs!$B$17+Artifacts!$B$40,Inputs!$B$18+Artifacts!$B$39))/100)*(Summary!$B$13*(1+Artifacts!$B$38/100)*I10)</f>
        <v/>
      </c>
      <c r="L10">
        <f>K10*(MIN(Inputs!$B$22,Inputs!$B$23)/100+Inputs!$B$23/100)/2</f>
        <v/>
      </c>
      <c r="M10">
        <f>L10*(1+(Inputs!$B$10+Artifacts!$B$33)/100)</f>
        <v/>
      </c>
      <c r="N10">
        <f>L10*(1-MIN((Inputs!$B$9+Artifacts!$B$32),100)/100)+M10*(MIN((Inputs!$B$9+Artifacts!$B$32),100)/100)</f>
        <v/>
      </c>
      <c r="O10">
        <f>(1-Summary!$B$11)*S10+Summary!$B$11*U10</f>
        <v/>
      </c>
      <c r="P10">
        <f>IF(Summary!$B$3=0,0,O10/Summary!$B$3)</f>
        <v/>
      </c>
      <c r="Q10">
        <f>IFERROR(1/(IF(Inputs!$B$38="pvp",15,MAX(0.1,Skills!D10-IF(TRUE=TRUE,Inputs!$B$32,0)))*(1-IF(AND(ArtifactsInput!$M$27,Inputs!$B$4="Chapter Hunt"),CHOOSE(ArtifactsInput!$N$27+1,20,24,28,32,36,40),0)/100)),0)</f>
        <v/>
      </c>
      <c r="R10" t="n">
        <v>0</v>
      </c>
      <c r="S10">
        <f>IF(C10,((H10*Summary!$B$24)/(1+Skills!G10*H10*Summary!$B$24)*N10)*IF(Inputs!$B$38="pvp",1,1+(Inputs!$B$20+Skills!O10+Summary!$B$14+Artifacts!$B$35)/100)*((((5000/(6000+Inputs!$B$42*(1-(100*(1-(1-Inputs!$B$19/100)*(1-Artifacts!$B$51/100)^IF(Inputs!$B$38="pvp",1,2)))/100)))/(5000/(6000+Inputs!$B$42*(1-Inputs!$B$19/100))))*((L10*(1-MIN(100,(Inputs!$B$9+Artifacts!$B$32)+Artifacts!$B$69)/100)+M10*(MIN(100,(Inputs!$B$9+Artifacts!$B$32)+Artifacts!$B$69)/100))/(L10*(1-MIN(100,(Inputs!$B$9+Artifacts!$B$32))/100)+M10*(MIN(100,(Inputs!$B$9+Artifacts!$B$32))/100)))*(1+Artifacts!$B$81/100))),0)</f>
        <v/>
      </c>
      <c r="U10">
        <f>IF(C10,((H10*Summary!$B$24)/(1+Skills!G10*H10*Summary!$B$24)*N10)*IF(Inputs!$B$38="pvp",1,(1+(Inputs!$B$21+Skills!P10+Summary!$B$14+Artifacts!$B$80)/100)*(MIN(Skills!Q10,Inputs!$B$37)))*((1+Artifacts!$B$53/100)),0)</f>
        <v/>
      </c>
    </row>
    <row r="11">
      <c r="A11">
        <f>Skills!A11</f>
        <v/>
      </c>
      <c r="B11">
        <f>Skills!B11</f>
        <v/>
      </c>
      <c r="C11">
        <f>Inputs!$B$3&gt;=107</f>
        <v/>
      </c>
      <c r="D11">
        <f>IF(Skills!C11=1,60+Inputs!$B$25+Inputs!$B$29,IF(Skills!C11=2,90+Inputs!$B$26+Inputs!$B$29,IF(Skills!C11=3,120+Inputs!$B$27+Inputs!$B$29,MAX(0,(Inputs!$B$3-100)*3)+Inputs!$B$28+Inputs!$B$29)))</f>
        <v/>
      </c>
      <c r="E11">
        <f>INDEX(FactorTable!$B$2:$Y$301, MATCH(ROUND(MIN(300,MAX(1,D11)),0), FactorTable!$A$2:$A$301,0), Skills!L11+1)</f>
        <v/>
      </c>
      <c r="F11">
        <f>IF(Skills!M11=TRUE,(Skills!K11/10)*(E11/1000),Skills!K11/10)+Skills!N11</f>
        <v/>
      </c>
      <c r="G11">
        <f>Skills!F11*IF(Skills!G11&gt;0,Skills!H11/Skills!G11,1)</f>
        <v/>
      </c>
      <c r="H11">
        <f>1-(1-Skills!I11/100)^Skills!J11</f>
        <v/>
      </c>
      <c r="I11">
        <f>IF(Skills!T11&lt;&gt;"",1+(Skills!T11/10)*($Z$3/1000)/100,1)</f>
        <v/>
      </c>
      <c r="J11">
        <f>Summary!$B$6*(F11/100)</f>
        <v/>
      </c>
      <c r="K11">
        <f>J11*(1+Summary!$B$7/100)*(1+(Inputs!$B$15+Summary!$B$15)/100)*(1+Inputs!$B$16/100)*(5000/(6000+Inputs!$B$42*(1-Inputs!$B$19/100)))*(1+Inputs!$B$24/100)*(1+Artifacts!$B$34/100)*(1+IF(C15=TRUE,F15,0)/100)*(1+IF(C23=TRUE,F23,0)/100)^5*(1+(IF(Skills!A11="CHAIN_LIGHTNING",Inputs!$B$17+Artifacts!$B$40,Inputs!$B$18+Artifacts!$B$39))/100)*(Summary!$B$13*(1+Artifacts!$B$38/100)*I11)</f>
        <v/>
      </c>
      <c r="L11">
        <f>K11*(MIN(Inputs!$B$22,Inputs!$B$23)/100+Inputs!$B$23/100)/2</f>
        <v/>
      </c>
      <c r="M11">
        <f>L11*(1+(Inputs!$B$10+Artifacts!$B$33)/100)</f>
        <v/>
      </c>
      <c r="N11">
        <f>L11*(1-MIN((Inputs!$B$9+Artifacts!$B$32),100)/100)+M11*(MIN((Inputs!$B$9+Artifacts!$B$32),100)/100)</f>
        <v/>
      </c>
      <c r="O11">
        <f>(1-Summary!$B$11)*S11+Summary!$B$11*U11</f>
        <v/>
      </c>
      <c r="P11">
        <f>IF(Summary!$B$3=0,0,O11/Summary!$B$3)</f>
        <v/>
      </c>
      <c r="Q11">
        <f>IFERROR(1/(IF(Inputs!$B$38="pvp",15,MAX(0.1,Skills!D11-IF(TRUE=TRUE,Inputs!$B$32,0)))*(1-IF(AND(ArtifactsInput!$M$27,Inputs!$B$4="Chapter Hunt"),CHOOSE(ArtifactsInput!$N$27+1,20,24,28,32,36,40),0)/100)),0)</f>
        <v/>
      </c>
      <c r="R11">
        <f>IF(AND(Inputs!$B$38&lt;&gt;"pvp",Inputs!$B$43&gt;0),IF(MAX(0,Inputs!$B$43-Summary!$B$21)&lt;=0,0,(INT(MAX(0,Inputs!$B$43-Summary!$B$21)/(IF(Inputs!$B$38="pvp",15,MAX(0.1,Skills!D11-IF(TRUE=TRUE,Inputs!$B$32,0)))*(1-IF(AND(ArtifactsInput!$M$27,Inputs!$B$4="Chapter Hunt"),CHOOSE(ArtifactsInput!$N$27+1,20,24,28,32,36,40),0)/100)))+1)),0)</f>
        <v/>
      </c>
      <c r="S11">
        <f>IF(C11,H11*N11*IF(AND(Inputs!$B$38&lt;&gt;"pvp",Inputs!$B$43&gt;0),((Skills!F11*((R11-1)*IF(Skills!G11&gt;0,Skills!H11/Skills!G11,1)+IF(Skills!G11&gt;0,MIN(Skills!H11,MAX(0,MAX(0,Inputs!$B$43-Summary!$B$21)-((R11-1)*(IF(Inputs!$B$38="pvp",15,MAX(0.1,Skills!D11-IF(TRUE=TRUE,Inputs!$B$32,0)))*(1-IF(AND(ArtifactsInput!$M$27,Inputs!$B$4="Chapter Hunt"),CHOOSE(ArtifactsInput!$N$27+1,20,24,28,32,36,40),0)/100)))))/Skills!G11,1)))/Inputs!$B$43),G11*Q11)*0.5*IF(Inputs!$B$38="pvp",1,1+(Inputs!$B$20+Skills!O11+Summary!$B$14+Artifacts!$B$35)/100)*(((5000/(6000+Inputs!$B$42*(1-(100*(1-(1-Inputs!$B$19/100)*(1-Artifacts!$B$51/100)^IF(Inputs!$B$38="pvp",1,2)))/100)))/(5000/(6000+Inputs!$B$42*(1-Inputs!$B$19/100))))*((L11*(1-MIN(100,(Inputs!$B$9+Artifacts!$B$32)+Artifacts!$B$69)/100)+M11*(MIN(100,(Inputs!$B$9+Artifacts!$B$32)+Artifacts!$B$69)/100))/(L11*(1-MIN(100,(Inputs!$B$9+Artifacts!$B$32))/100)+M11*(MIN(100,(Inputs!$B$9+Artifacts!$B$32))/100)))*(1+Artifacts!$B$81/100)),0)</f>
        <v/>
      </c>
      <c r="U11">
        <f>IF(C11,H11*N11*IF(AND(Inputs!$B$38&lt;&gt;"pvp",Inputs!$B$43&gt;0),((Skills!F11*((R11-1)*IF(Skills!G11&gt;0,Skills!H11/Skills!G11,1)+IF(Skills!G11&gt;0,MIN(Skills!H11,MAX(0,MAX(0,Inputs!$B$43-Summary!$B$21)-((R11-1)*(IF(Inputs!$B$38="pvp",15,MAX(0.1,Skills!D11-IF(TRUE=TRUE,Inputs!$B$32,0)))*(1-IF(AND(ArtifactsInput!$M$27,Inputs!$B$4="Chapter Hunt"),CHOOSE(ArtifactsInput!$N$27+1,20,24,28,32,36,40),0)/100)))))/Skills!G11,1)))/Inputs!$B$43),G11*Q11)*1*IF(Inputs!$B$38="pvp",1,(1+(Inputs!$B$21+Skills!P11+Summary!$B$14+Artifacts!$B$80)/100)*(MIN(Skills!Q11,Inputs!$B$37)))*(1+Artifacts!$B$53/100),0)</f>
        <v/>
      </c>
    </row>
    <row r="12">
      <c r="A12">
        <f>Skills!A12</f>
        <v/>
      </c>
      <c r="B12">
        <f>Skills!B12</f>
        <v/>
      </c>
      <c r="C12">
        <f>Inputs!$B$3&gt;=115</f>
        <v/>
      </c>
      <c r="D12">
        <f>IF(Skills!C12=1,60+Inputs!$B$25+Inputs!$B$29,IF(Skills!C12=2,90+Inputs!$B$26+Inputs!$B$29,IF(Skills!C12=3,120+Inputs!$B$27+Inputs!$B$29,MAX(0,(Inputs!$B$3-100)*3)+Inputs!$B$28+Inputs!$B$29)))</f>
        <v/>
      </c>
      <c r="E12">
        <f>INDEX(FactorTable!$B$2:$Y$301, MATCH(ROUND(MIN(300,MAX(1,D12)),0), FactorTable!$A$2:$A$301,0), Skills!L12+1)</f>
        <v/>
      </c>
      <c r="F12">
        <f>IF(Skills!M12=TRUE,(Skills!K12/10)*(E12/1000),Skills!K12/10)+Skills!N12</f>
        <v/>
      </c>
      <c r="G12">
        <f>Skills!F12*IF(Skills!G12&gt;0,Skills!H12/Skills!G12,1)</f>
        <v/>
      </c>
      <c r="H12">
        <f>1-(1-Skills!I12/100)^Skills!J12</f>
        <v/>
      </c>
      <c r="I12">
        <f>IF(Skills!T12&lt;&gt;"",1+(Skills!T12/10)*($Z$3/1000)/100,1)</f>
        <v/>
      </c>
      <c r="J12">
        <f>Summary!$B$6*(F12/100)</f>
        <v/>
      </c>
      <c r="K12">
        <f>J12*(1+Summary!$B$7/100)*(1+(Inputs!$B$15+Summary!$B$15)/100)*(1+Inputs!$B$16/100)*(5000/(6000+Inputs!$B$42*(1-Inputs!$B$19/100)))*(1+Inputs!$B$24/100)*(1+Artifacts!$B$34/100)*(1+IF(C15=TRUE,F15,0)/100)*(1+IF(C23=TRUE,F23,0)/100)^5*(1+(IF(Skills!A12="CHAIN_LIGHTNING",Inputs!$B$17+Artifacts!$B$40,Inputs!$B$18+Artifacts!$B$39))/100)*(Summary!$B$13*(1+Artifacts!$B$38/100)*I12)</f>
        <v/>
      </c>
      <c r="L12">
        <f>K12*(MIN(Inputs!$B$22,Inputs!$B$23)/100+Inputs!$B$23/100)/2</f>
        <v/>
      </c>
      <c r="M12">
        <f>L12*(1+(Inputs!$B$10+Artifacts!$B$33)/100)</f>
        <v/>
      </c>
      <c r="N12">
        <f>L12*(1-MIN((Inputs!$B$9+Artifacts!$B$32),100)/100)+M12*(MIN((Inputs!$B$9+Artifacts!$B$32),100)/100)</f>
        <v/>
      </c>
      <c r="O12">
        <f>(1-Summary!$B$11)*S12+Summary!$B$11*U12</f>
        <v/>
      </c>
      <c r="P12">
        <f>IF(Summary!$B$3=0,0,O12/Summary!$B$3)</f>
        <v/>
      </c>
      <c r="Q12">
        <f>IFERROR(1/(IF(Inputs!$B$38="pvp",15,MAX(0.1,Skills!D12-IF(TRUE=TRUE,Inputs!$B$32,0)))*(1-IF(AND(ArtifactsInput!$M$27,Inputs!$B$4="Chapter Hunt"),CHOOSE(ArtifactsInput!$N$27+1,20,24,28,32,36,40),0)/100)),0)</f>
        <v/>
      </c>
      <c r="R12">
        <f>IF(AND(Inputs!$B$38&lt;&gt;"pvp",Inputs!$B$43&gt;0),IF(MAX(0,Inputs!$B$43-Summary!$B$21)&lt;=0,0,(INT(MAX(0,Inputs!$B$43-Summary!$B$21)/(IF(Inputs!$B$38="pvp",15,MAX(0.1,Skills!D12-IF(TRUE=TRUE,Inputs!$B$32,0)))*(1-IF(AND(ArtifactsInput!$M$27,Inputs!$B$4="Chapter Hunt"),CHOOSE(ArtifactsInput!$N$27+1,20,24,28,32,36,40),0)/100)))+1)),0)</f>
        <v/>
      </c>
      <c r="S12">
        <f>IF(C12,(H12*N12*IF(AND(Inputs!$B$38&lt;&gt;"pvp",Inputs!$B$43&gt;0),((Skills!F12*((R12-1)*IF(Skills!G12&gt;0,Skills!H12/Skills!G12,1)+IF(Skills!G12&gt;0,MIN(Skills!H12,MAX(0,MAX(0,Inputs!$B$43-Summary!$B$21)-((R12-1)*(IF(Inputs!$B$38="pvp",15,MAX(0.1,Skills!D12-IF(TRUE=TRUE,Inputs!$B$32,0)))*(1-IF(AND(ArtifactsInput!$M$27,Inputs!$B$4="Chapter Hunt"),CHOOSE(ArtifactsInput!$N$27+1,20,24,28,32,36,40),0)/100)))))/Skills!G12,1)))/Inputs!$B$43),G12*Q12))*IF(Inputs!$B$38="pvp",1,1+(Inputs!$B$20+Skills!O12+Summary!$B$14+Artifacts!$B$35)/100)*((((5000/(6000+Inputs!$B$42*(1-(100*(1-(1-Inputs!$B$19/100)*(1-Artifacts!$B$51/100)^IF(Inputs!$B$38="pvp",1,2)))/100)))/(5000/(6000+Inputs!$B$42*(1-Inputs!$B$19/100))))*((L12*(1-MIN(100,(Inputs!$B$9+Artifacts!$B$32)+Artifacts!$B$69)/100)+M12*(MIN(100,(Inputs!$B$9+Artifacts!$B$32)+Artifacts!$B$69)/100))/(L12*(1-MIN(100,(Inputs!$B$9+Artifacts!$B$32))/100)+M12*(MIN(100,(Inputs!$B$9+Artifacts!$B$32))/100)))*(1+Artifacts!$B$81/100))),0)</f>
        <v/>
      </c>
      <c r="U12">
        <f>IF(C12,(H12*N12*IF(AND(Inputs!$B$38&lt;&gt;"pvp",Inputs!$B$43&gt;0),((Skills!F12*((R12-1)*IF(Skills!G12&gt;0,Skills!H12/Skills!G12,1)+IF(Skills!G12&gt;0,MIN(Skills!H12,MAX(0,MAX(0,Inputs!$B$43-Summary!$B$21)-((R12-1)*(IF(Inputs!$B$38="pvp",15,MAX(0.1,Skills!D12-IF(TRUE=TRUE,Inputs!$B$32,0)))*(1-IF(AND(ArtifactsInput!$M$27,Inputs!$B$4="Chapter Hunt"),CHOOSE(ArtifactsInput!$N$27+1,20,24,28,32,36,40),0)/100)))))/Skills!G12,1)))/Inputs!$B$43),G12*Q12))*IF(Inputs!$B$38="pvp",1,(1+(Inputs!$B$21+Skills!P12+Summary!$B$14+Artifacts!$B$80)/100)*(MIN(Skills!Q12,Inputs!$B$37)))*((1+Artifacts!$B$53/100)),0)</f>
        <v/>
      </c>
    </row>
    <row r="13">
      <c r="A13">
        <f>Skills!A13</f>
        <v/>
      </c>
      <c r="B13">
        <f>Skills!B13</f>
        <v/>
      </c>
      <c r="C13">
        <f>Inputs!$B$3&gt;=49</f>
        <v/>
      </c>
      <c r="D13">
        <f>IF(Skills!C13=1,60+Inputs!$B$25+Inputs!$B$29,IF(Skills!C13=2,90+Inputs!$B$26+Inputs!$B$29,IF(Skills!C13=3,120+Inputs!$B$27+Inputs!$B$29,MAX(0,(Inputs!$B$3-100)*3)+Inputs!$B$28+Inputs!$B$29)))</f>
        <v/>
      </c>
      <c r="E13">
        <f>INDEX(FactorTable!$B$2:$Y$301, MATCH(ROUND(MIN(300,MAX(1,D13)),0), FactorTable!$A$2:$A$301,0), Skills!L13+1)</f>
        <v/>
      </c>
      <c r="F13">
        <f>IF(Skills!M13=TRUE,(Skills!K13/10)*(E13/1000),Skills!K13/10)+Skills!N13</f>
        <v/>
      </c>
      <c r="G13">
        <f>Skills!F13*IF(Skills!G13&gt;0,Skills!H13/Skills!G13,1)</f>
        <v/>
      </c>
      <c r="H13">
        <f>1-(1-Skills!I13/100)^Skills!J13</f>
        <v/>
      </c>
      <c r="I13">
        <f>IF(Skills!T13&lt;&gt;"",1+(Skills!T13/10)*($Z$3/1000)/100,1)</f>
        <v/>
      </c>
      <c r="J13" t="inlineStr"/>
      <c r="K13" t="inlineStr"/>
      <c r="L13" t="inlineStr"/>
      <c r="M13" t="inlineStr"/>
      <c r="N13" t="inlineStr"/>
      <c r="O13">
        <f>(1-Summary!$B$11)*S13+Summary!$B$11*U13</f>
        <v/>
      </c>
      <c r="P13">
        <f>IF(Summary!$B$3=0,0,O13/Summary!$B$3)</f>
        <v/>
      </c>
      <c r="Q13">
        <f>IFERROR(1/(IF(Inputs!$B$38="pvp",15,MAX(0.1,Skills!D13-IF(TRUE=TRUE,Inputs!$B$32,0)))*(1-IF(AND(ArtifactsInput!$M$27,Inputs!$B$4="Chapter Hunt"),CHOOSE(ArtifactsInput!$N$27+1,20,24,28,32,36,40),0)/100)),0)</f>
        <v/>
      </c>
      <c r="R13" t="n">
        <v>0</v>
      </c>
      <c r="S13" t="n">
        <v>0</v>
      </c>
      <c r="U13" t="n">
        <v>0</v>
      </c>
    </row>
    <row r="14">
      <c r="A14">
        <f>Skills!A14</f>
        <v/>
      </c>
      <c r="B14">
        <f>Skills!B14</f>
        <v/>
      </c>
      <c r="C14">
        <f>Inputs!$B$3&gt;=72</f>
        <v/>
      </c>
      <c r="D14">
        <f>IF(Skills!C14=1,60+Inputs!$B$25+Inputs!$B$29,IF(Skills!C14=2,90+Inputs!$B$26+Inputs!$B$29,IF(Skills!C14=3,120+Inputs!$B$27+Inputs!$B$29,MAX(0,(Inputs!$B$3-100)*3)+Inputs!$B$28+Inputs!$B$29)))</f>
        <v/>
      </c>
      <c r="E14">
        <f>INDEX(FactorTable!$B$2:$Y$301, MATCH(ROUND(MIN(300,MAX(1,D14)),0), FactorTable!$A$2:$A$301,0), Skills!L14+1)</f>
        <v/>
      </c>
      <c r="F14">
        <f>IF(Skills!M14=TRUE,(Skills!K14/10)*(E14/1000),Skills!K14/10)+Skills!N14</f>
        <v/>
      </c>
      <c r="G14">
        <f>Skills!F14*IF(Skills!G14&gt;0,Skills!H14/Skills!G14,1)</f>
        <v/>
      </c>
      <c r="H14">
        <f>1-(1-Skills!I14/100)^Skills!J14</f>
        <v/>
      </c>
      <c r="I14">
        <f>IF(Skills!T14&lt;&gt;"",1+(Skills!T14/10)*($Z$3/1000)/100,1)</f>
        <v/>
      </c>
      <c r="J14" t="inlineStr"/>
      <c r="K14" t="inlineStr"/>
      <c r="L14" t="inlineStr"/>
      <c r="M14" t="inlineStr"/>
      <c r="N14" t="inlineStr"/>
      <c r="O14">
        <f>(1-Summary!$B$11)*S14+Summary!$B$11*U14</f>
        <v/>
      </c>
      <c r="P14">
        <f>IF(Summary!$B$3=0,0,O14/Summary!$B$3)</f>
        <v/>
      </c>
      <c r="Q14">
        <f>IFERROR(1/(IF(Inputs!$B$38="pvp",15,MAX(0.1,Skills!D14-IF(TRUE=TRUE,Inputs!$B$32,0)))*(1-IF(AND(ArtifactsInput!$M$27,Inputs!$B$4="Chapter Hunt"),CHOOSE(ArtifactsInput!$N$27+1,20,24,28,32,36,40),0)/100)),0)</f>
        <v/>
      </c>
      <c r="R14" t="n">
        <v>0</v>
      </c>
      <c r="S14" t="n">
        <v>0</v>
      </c>
      <c r="U14" t="n">
        <v>0</v>
      </c>
    </row>
    <row r="15">
      <c r="A15">
        <f>Skills!A15</f>
        <v/>
      </c>
      <c r="B15">
        <f>Skills!B15</f>
        <v/>
      </c>
      <c r="C15">
        <f>Inputs!$B$3&gt;=75</f>
        <v/>
      </c>
      <c r="D15">
        <f>IF(Skills!C15=1,60+Inputs!$B$25+Inputs!$B$29,IF(Skills!C15=2,90+Inputs!$B$26+Inputs!$B$29,IF(Skills!C15=3,120+Inputs!$B$27+Inputs!$B$29,MAX(0,(Inputs!$B$3-100)*3)+Inputs!$B$28+Inputs!$B$29)))</f>
        <v/>
      </c>
      <c r="E15">
        <f>INDEX(FactorTable!$B$2:$Y$301, MATCH(ROUND(MIN(300,MAX(1,D15)),0), FactorTable!$A$2:$A$301,0), Skills!L15+1)</f>
        <v/>
      </c>
      <c r="F15">
        <f>IF(Skills!M15=TRUE,(Skills!K15/10)*(E15/1000),Skills!K15/10)+Skills!N15</f>
        <v/>
      </c>
      <c r="G15">
        <f>Skills!F15*IF(Skills!G15&gt;0,Skills!H15/Skills!G15,1)</f>
        <v/>
      </c>
      <c r="H15">
        <f>1-(1-Skills!I15/100)^Skills!J15</f>
        <v/>
      </c>
      <c r="I15">
        <f>IF(Skills!T15&lt;&gt;"",1+(Skills!T15/10)*($Z$3/1000)/100,1)</f>
        <v/>
      </c>
      <c r="J15" t="inlineStr"/>
      <c r="K15" t="inlineStr"/>
      <c r="L15" t="inlineStr"/>
      <c r="M15" t="inlineStr"/>
      <c r="N15" t="inlineStr"/>
      <c r="O15">
        <f>(1-Summary!$B$11)*S15+Summary!$B$11*U15</f>
        <v/>
      </c>
      <c r="P15">
        <f>IF(Summary!$B$3=0,0,O15/Summary!$B$3)</f>
        <v/>
      </c>
      <c r="Q15">
        <f>IFERROR(1/(IF(Inputs!$B$38="pvp",15,MAX(0.1,Skills!D15-IF(TRUE=TRUE,Inputs!$B$32,0)))*(1-IF(AND(ArtifactsInput!$M$27,Inputs!$B$4="Chapter Hunt"),CHOOSE(ArtifactsInput!$N$27+1,20,24,28,32,36,40),0)/100)),0)</f>
        <v/>
      </c>
      <c r="R15" t="n">
        <v>0</v>
      </c>
      <c r="S15" t="n">
        <v>0</v>
      </c>
      <c r="U15" t="n">
        <v>0</v>
      </c>
    </row>
    <row r="16">
      <c r="A16">
        <f>Skills!A16</f>
        <v/>
      </c>
      <c r="B16">
        <f>Skills!B16</f>
        <v/>
      </c>
      <c r="C16">
        <f>Inputs!$B$3&gt;=110</f>
        <v/>
      </c>
      <c r="D16">
        <f>IF(Skills!C16=1,60+Inputs!$B$25+Inputs!$B$29,IF(Skills!C16=2,90+Inputs!$B$26+Inputs!$B$29,IF(Skills!C16=3,120+Inputs!$B$27+Inputs!$B$29,MAX(0,(Inputs!$B$3-100)*3)+Inputs!$B$28+Inputs!$B$29)))</f>
        <v/>
      </c>
      <c r="E16">
        <f>INDEX(FactorTable!$B$2:$Y$301, MATCH(ROUND(MIN(300,MAX(1,D16)),0), FactorTable!$A$2:$A$301,0), Skills!L16+1)</f>
        <v/>
      </c>
      <c r="F16">
        <f>(Skills!K16/10)*(E16/1000)*64/45+Skills!N16</f>
        <v/>
      </c>
      <c r="G16">
        <f>Skills!F16*IF(Skills!G16&gt;0,Skills!H16/Skills!G16,1)</f>
        <v/>
      </c>
      <c r="H16">
        <f>1-(1-Skills!I16/100)^Skills!J16</f>
        <v/>
      </c>
      <c r="I16">
        <f>IF(Skills!T16&lt;&gt;"",1+(Skills!T16/10)*($Z$3/1000)/100,1)</f>
        <v/>
      </c>
      <c r="J16" t="inlineStr"/>
      <c r="K16" t="inlineStr"/>
      <c r="L16" t="inlineStr"/>
      <c r="M16" t="inlineStr"/>
      <c r="N16" t="inlineStr"/>
      <c r="O16">
        <f>(1-Summary!$B$11)*S16+Summary!$B$11*U16</f>
        <v/>
      </c>
      <c r="P16">
        <f>IF(Summary!$B$3=0,0,O16/Summary!$B$3)</f>
        <v/>
      </c>
      <c r="Q16">
        <f>IFERROR(1/(IF(Inputs!$B$38="pvp",15,MAX(0.1,Skills!D16-IF(TRUE=TRUE,Inputs!$B$32,0)))*(1-IF(AND(ArtifactsInput!$M$27,Inputs!$B$4="Chapter Hunt"),CHOOSE(ArtifactsInput!$N$27+1,20,24,28,32,36,40),0)/100)),0)</f>
        <v/>
      </c>
      <c r="R16">
        <f>IF(AND(Inputs!$B$38&lt;&gt;"pvp",Inputs!$B$43&gt;0),IF(Inputs!$B$43&lt;=0,0,(INT(Inputs!$B$43/(IF(Inputs!$B$38="pvp",15,MAX(0.1,Skills!D16-IF(TRUE=TRUE,Inputs!$B$32,0)))*(1-IF(AND(ArtifactsInput!$M$27,Inputs!$B$4="Chapter Hunt"),CHOOSE(ArtifactsInput!$N$27+1,20,24,28,32,36,40),0)/100)))+1)),0)</f>
        <v/>
      </c>
      <c r="S16" t="n">
        <v>0</v>
      </c>
      <c r="U16" t="n">
        <v>0</v>
      </c>
    </row>
    <row r="17">
      <c r="A17">
        <f>Skills!A17</f>
        <v/>
      </c>
      <c r="B17">
        <f>Skills!B17</f>
        <v/>
      </c>
      <c r="C17">
        <f>Inputs!$B$3&gt;=33</f>
        <v/>
      </c>
      <c r="D17">
        <f>IF(Skills!C17=1,60+Inputs!$B$25+Inputs!$B$29,IF(Skills!C17=2,90+Inputs!$B$26+Inputs!$B$29,IF(Skills!C17=3,120+Inputs!$B$27+Inputs!$B$29,MAX(0,(Inputs!$B$3-100)*3)+Inputs!$B$28+Inputs!$B$29)))</f>
        <v/>
      </c>
      <c r="E17">
        <f>INDEX(FactorTable!$B$2:$Y$301, MATCH(ROUND(MIN(300,MAX(1,D17)),0), FactorTable!$A$2:$A$301,0), Skills!L17+1)</f>
        <v/>
      </c>
      <c r="F17">
        <f>IF(Skills!M17=TRUE,(Skills!K17/10)*(E17/1000),Skills!K17/10)+Skills!N17</f>
        <v/>
      </c>
      <c r="G17">
        <f>Skills!F17*IF(Skills!G17&gt;0,Skills!H17/Skills!G17,1)</f>
        <v/>
      </c>
      <c r="H17">
        <f>1-(1-Skills!I17/100)^Skills!J17</f>
        <v/>
      </c>
      <c r="I17">
        <f>IF(Skills!T17&lt;&gt;"",1+(Skills!T17/10)*($Z$3/1000)/100,1)</f>
        <v/>
      </c>
      <c r="J17" t="inlineStr"/>
      <c r="K17" t="inlineStr"/>
      <c r="L17" t="inlineStr"/>
      <c r="M17" t="inlineStr"/>
      <c r="N17" t="inlineStr"/>
      <c r="O17">
        <f>(1-Summary!$B$11)*S17+Summary!$B$11*U17</f>
        <v/>
      </c>
      <c r="P17">
        <f>IF(Summary!$B$3=0,0,O17/Summary!$B$3)</f>
        <v/>
      </c>
      <c r="Q17">
        <f>IFERROR(1/(IF(Inputs!$B$38="pvp",15,MAX(0.1,Skills!D17-IF(TRUE=TRUE,Inputs!$B$32,0)))*(1-IF(AND(ArtifactsInput!$M$27,Inputs!$B$4="Chapter Hunt"),CHOOSE(ArtifactsInput!$N$27+1,20,24,28,32,36,40),0)/100)),0)</f>
        <v/>
      </c>
      <c r="R17" t="n">
        <v>0</v>
      </c>
      <c r="S17" t="n">
        <v>0</v>
      </c>
      <c r="U17" t="n">
        <v>0</v>
      </c>
    </row>
    <row r="18">
      <c r="A18">
        <f>Skills!A18</f>
        <v/>
      </c>
      <c r="B18">
        <f>Skills!B18</f>
        <v/>
      </c>
      <c r="C18">
        <f>Inputs!$B$3&gt;=43</f>
        <v/>
      </c>
      <c r="D18">
        <f>IF(Skills!C18=1,60+Inputs!$B$25+Inputs!$B$29,IF(Skills!C18=2,90+Inputs!$B$26+Inputs!$B$29,IF(Skills!C18=3,120+Inputs!$B$27+Inputs!$B$29,MAX(0,(Inputs!$B$3-100)*3)+Inputs!$B$28+Inputs!$B$29)))</f>
        <v/>
      </c>
      <c r="E18">
        <f>INDEX(FactorTable!$B$2:$Y$301, MATCH(ROUND(MIN(300,MAX(1,D18)),0), FactorTable!$A$2:$A$301,0), Skills!L18+1)</f>
        <v/>
      </c>
      <c r="F18">
        <f>IF(Skills!M18=TRUE,(Skills!K18/10)*(E18/1000),Skills!K18/10)+Skills!N18</f>
        <v/>
      </c>
      <c r="G18">
        <f>Skills!F18*IF(Skills!G18&gt;0,Skills!H18/Skills!G18,1)</f>
        <v/>
      </c>
      <c r="H18">
        <f>1-(1-Skills!I18/100)^Skills!J18</f>
        <v/>
      </c>
      <c r="I18">
        <f>IF(Skills!T18&lt;&gt;"",1+(Skills!T18/10)*($Z$3/1000)/100,1)</f>
        <v/>
      </c>
      <c r="J18" t="inlineStr"/>
      <c r="K18" t="inlineStr"/>
      <c r="L18" t="inlineStr"/>
      <c r="M18" t="inlineStr"/>
      <c r="N18" t="inlineStr"/>
      <c r="O18">
        <f>(1-Summary!$B$11)*S18+Summary!$B$11*U18</f>
        <v/>
      </c>
      <c r="P18">
        <f>IF(Summary!$B$3=0,0,O18/Summary!$B$3)</f>
        <v/>
      </c>
      <c r="Q18">
        <f>IFERROR(1/(IF(Inputs!$B$38="pvp",15,MAX(0.1,Skills!D18-IF(TRUE=TRUE,Inputs!$B$32,0)))*(1-IF(AND(ArtifactsInput!$M$27,Inputs!$B$4="Chapter Hunt"),CHOOSE(ArtifactsInput!$N$27+1,20,24,28,32,36,40),0)/100)),0)</f>
        <v/>
      </c>
      <c r="R18" t="n">
        <v>0</v>
      </c>
      <c r="S18" t="n">
        <v>0</v>
      </c>
      <c r="U18" t="n">
        <v>0</v>
      </c>
    </row>
    <row r="19">
      <c r="A19">
        <f>Skills!A19</f>
        <v/>
      </c>
      <c r="B19">
        <f>Skills!B19</f>
        <v/>
      </c>
      <c r="C19">
        <f>Inputs!$B$3&gt;=50</f>
        <v/>
      </c>
      <c r="D19">
        <f>IF(Skills!C19=1,60+Inputs!$B$25+Inputs!$B$29,IF(Skills!C19=2,90+Inputs!$B$26+Inputs!$B$29,IF(Skills!C19=3,120+Inputs!$B$27+Inputs!$B$29,MAX(0,(Inputs!$B$3-100)*3)+Inputs!$B$28+Inputs!$B$29)))</f>
        <v/>
      </c>
      <c r="E19">
        <f>INDEX(FactorTable!$B$2:$Y$301, MATCH(ROUND(MIN(300,MAX(1,D19)),0), FactorTable!$A$2:$A$301,0), Skills!L19+1)</f>
        <v/>
      </c>
      <c r="F19">
        <f>IF(Skills!M19=TRUE,(Skills!K19/10)*(E19/1000),Skills!K19/10)+Skills!N19</f>
        <v/>
      </c>
      <c r="G19">
        <f>Skills!F19*IF(Skills!G19&gt;0,Skills!H19/Skills!G19,1)</f>
        <v/>
      </c>
      <c r="H19">
        <f>1-(1-Skills!I19/100)^Skills!J19</f>
        <v/>
      </c>
      <c r="I19">
        <f>IF(Skills!T19&lt;&gt;"",1+(Skills!T19/10)*($Z$3/1000)/100,1)</f>
        <v/>
      </c>
      <c r="J19" t="inlineStr"/>
      <c r="K19" t="inlineStr"/>
      <c r="L19" t="inlineStr"/>
      <c r="M19" t="inlineStr"/>
      <c r="N19" t="inlineStr"/>
      <c r="O19">
        <f>(1-Summary!$B$11)*S19+Summary!$B$11*U19</f>
        <v/>
      </c>
      <c r="P19">
        <f>IF(Summary!$B$3=0,0,O19/Summary!$B$3)</f>
        <v/>
      </c>
      <c r="Q19">
        <f>IFERROR(1/(IF(Inputs!$B$38="pvp",15,MAX(0.1,Skills!D19-IF(TRUE=TRUE,Inputs!$B$32,0)))*(1-IF(AND(ArtifactsInput!$M$27,Inputs!$B$4="Chapter Hunt"),CHOOSE(ArtifactsInput!$N$27+1,20,24,28,32,36,40),0)/100)),0)</f>
        <v/>
      </c>
      <c r="R19" t="n">
        <v>0</v>
      </c>
      <c r="S19" t="n">
        <v>0</v>
      </c>
      <c r="U19" t="n">
        <v>0</v>
      </c>
    </row>
    <row r="20">
      <c r="A20">
        <f>Skills!A20</f>
        <v/>
      </c>
      <c r="B20">
        <f>Skills!B20</f>
        <v/>
      </c>
      <c r="C20">
        <f>Inputs!$B$3&gt;=74</f>
        <v/>
      </c>
      <c r="D20">
        <f>IF(Skills!C20=1,60+Inputs!$B$25+Inputs!$B$29,IF(Skills!C20=2,90+Inputs!$B$26+Inputs!$B$29,IF(Skills!C20=3,120+Inputs!$B$27+Inputs!$B$29,MAX(0,(Inputs!$B$3-100)*3)+Inputs!$B$28+Inputs!$B$29)))</f>
        <v/>
      </c>
      <c r="E20">
        <f>INDEX(FactorTable!$B$2:$Y$301, MATCH(ROUND(MIN(300,MAX(1,D20)),0), FactorTable!$A$2:$A$301,0), Skills!L20+1)</f>
        <v/>
      </c>
      <c r="F20">
        <f>IF(Skills!M20=TRUE,(Skills!K20/10)*(E20/1000),Skills!K20/10)+Skills!N20</f>
        <v/>
      </c>
      <c r="G20">
        <f>Skills!F20*IF(Skills!G20&gt;0,Skills!H20/Skills!G20,1)</f>
        <v/>
      </c>
      <c r="H20">
        <f>1-(1-Skills!I20/100)^Skills!J20</f>
        <v/>
      </c>
      <c r="I20">
        <f>IF(Skills!T20&lt;&gt;"",1+(Skills!T20/10)*($Z$3/1000)/100,1)</f>
        <v/>
      </c>
      <c r="J20" t="inlineStr"/>
      <c r="K20" t="inlineStr"/>
      <c r="L20" t="inlineStr"/>
      <c r="M20" t="inlineStr"/>
      <c r="N20" t="inlineStr"/>
      <c r="O20">
        <f>(1-Summary!$B$11)*S20+Summary!$B$11*U20</f>
        <v/>
      </c>
      <c r="P20">
        <f>IF(Summary!$B$3=0,0,O20/Summary!$B$3)</f>
        <v/>
      </c>
      <c r="Q20">
        <f>IFERROR(1/(IF(Inputs!$B$38="pvp",15,MAX(0.1,Skills!D20-IF(TRUE=TRUE,Inputs!$B$32,0)))*(1-IF(AND(ArtifactsInput!$M$27,Inputs!$B$4="Chapter Hunt"),CHOOSE(ArtifactsInput!$N$27+1,20,24,28,32,36,40),0)/100)),0)</f>
        <v/>
      </c>
      <c r="R20" t="n">
        <v>0</v>
      </c>
      <c r="S20" t="n">
        <v>0</v>
      </c>
      <c r="U20" t="n">
        <v>0</v>
      </c>
    </row>
    <row r="21">
      <c r="A21">
        <f>Skills!A21</f>
        <v/>
      </c>
      <c r="B21">
        <f>Skills!B21</f>
        <v/>
      </c>
      <c r="C21">
        <f>Inputs!$B$3&gt;=74</f>
        <v/>
      </c>
      <c r="D21">
        <f>IF(Skills!C21=1,60+Inputs!$B$25+Inputs!$B$29,IF(Skills!C21=2,90+Inputs!$B$26+Inputs!$B$29,IF(Skills!C21=3,120+Inputs!$B$27+Inputs!$B$29,MAX(0,(Inputs!$B$3-100)*3)+Inputs!$B$28+Inputs!$B$29)))</f>
        <v/>
      </c>
      <c r="E21">
        <f>INDEX(FactorTable!$B$2:$Y$301, MATCH(ROUND(MIN(300,MAX(1,D21)),0), FactorTable!$A$2:$A$301,0), Skills!L21+1)</f>
        <v/>
      </c>
      <c r="F21">
        <f>IF(Skills!M21=TRUE,(Skills!K21/10)*(E21/1000),Skills!K21/10)+Skills!N21</f>
        <v/>
      </c>
      <c r="G21">
        <f>Skills!F21*IF(Skills!G21&gt;0,Skills!H21/Skills!G21,1)</f>
        <v/>
      </c>
      <c r="H21">
        <f>1-(1-Skills!I21/100)^Skills!J21</f>
        <v/>
      </c>
      <c r="I21">
        <f>IF(Skills!T21&lt;&gt;"",1+(Skills!T21/10)*($Z$3/1000)/100,1)</f>
        <v/>
      </c>
      <c r="J21" t="inlineStr"/>
      <c r="K21" t="inlineStr"/>
      <c r="L21" t="inlineStr"/>
      <c r="M21" t="inlineStr"/>
      <c r="N21" t="inlineStr"/>
      <c r="O21">
        <f>(1-Summary!$B$11)*S21+Summary!$B$11*U21</f>
        <v/>
      </c>
      <c r="P21">
        <f>IF(Summary!$B$3=0,0,O21/Summary!$B$3)</f>
        <v/>
      </c>
      <c r="Q21">
        <f>IFERROR(1/(IF(Inputs!$B$38="pvp",15,MAX(0.1,Skills!D21-IF(TRUE=TRUE,Inputs!$B$32,0)))*(1-IF(AND(ArtifactsInput!$M$27,Inputs!$B$4="Chapter Hunt"),CHOOSE(ArtifactsInput!$N$27+1,20,24,28,32,36,40),0)/100)),0)</f>
        <v/>
      </c>
      <c r="R21" t="n">
        <v>0</v>
      </c>
      <c r="S21" t="n">
        <v>0</v>
      </c>
      <c r="U21" t="n">
        <v>0</v>
      </c>
    </row>
    <row r="22">
      <c r="A22">
        <f>Skills!A22</f>
        <v/>
      </c>
      <c r="B22">
        <f>Skills!B22</f>
        <v/>
      </c>
      <c r="C22">
        <f>Inputs!$B$3&gt;=117</f>
        <v/>
      </c>
      <c r="D22">
        <f>IF(Skills!C22=1,60+Inputs!$B$25+Inputs!$B$29,IF(Skills!C22=2,90+Inputs!$B$26+Inputs!$B$29,IF(Skills!C22=3,120+Inputs!$B$27+Inputs!$B$29,MAX(0,(Inputs!$B$3-100)*3)+Inputs!$B$28+Inputs!$B$29)))</f>
        <v/>
      </c>
      <c r="E22">
        <f>INDEX(FactorTable!$B$2:$Y$301, MATCH(ROUND(MIN(300,MAX(1,D22)),0), FactorTable!$A$2:$A$301,0), Skills!L22+1)</f>
        <v/>
      </c>
      <c r="F22">
        <f>IF(Skills!M22=TRUE,(Skills!K22/10)*(E22/1000),Skills!K22/10)+Skills!N22</f>
        <v/>
      </c>
      <c r="G22">
        <f>Skills!F22*IF(Skills!G22&gt;0,Skills!H22/Skills!G22,1)</f>
        <v/>
      </c>
      <c r="H22">
        <f>1-(1-Skills!I22/100)^Skills!J22</f>
        <v/>
      </c>
      <c r="I22">
        <f>IF(Skills!T22&lt;&gt;"",1+(Skills!T22/10)*($Z$3/1000)/100,1)</f>
        <v/>
      </c>
      <c r="J22" t="inlineStr"/>
      <c r="K22" t="inlineStr"/>
      <c r="L22" t="inlineStr"/>
      <c r="M22" t="inlineStr"/>
      <c r="N22" t="inlineStr"/>
      <c r="O22">
        <f>(1-Summary!$B$11)*S22+Summary!$B$11*U22</f>
        <v/>
      </c>
      <c r="P22">
        <f>IF(Summary!$B$3=0,0,O22/Summary!$B$3)</f>
        <v/>
      </c>
      <c r="Q22">
        <f>IFERROR(1/(IF(Inputs!$B$38="pvp",15,MAX(0.1,Skills!D22-IF(TRUE=TRUE,Inputs!$B$32,0)))*(1-IF(AND(ArtifactsInput!$M$27,Inputs!$B$4="Chapter Hunt"),CHOOSE(ArtifactsInput!$N$27+1,20,24,28,32,36,40),0)/100)),0)</f>
        <v/>
      </c>
      <c r="R22" t="n">
        <v>0</v>
      </c>
      <c r="S22" t="n">
        <v>0</v>
      </c>
      <c r="U22" t="n">
        <v>0</v>
      </c>
    </row>
    <row r="23">
      <c r="A23">
        <f>Skills!A23</f>
        <v/>
      </c>
      <c r="B23">
        <f>Skills!B23</f>
        <v/>
      </c>
      <c r="C23">
        <f>Inputs!$B$3&gt;=120</f>
        <v/>
      </c>
      <c r="D23">
        <f>IF(Skills!C23=1,60+Inputs!$B$25+Inputs!$B$29,IF(Skills!C23=2,90+Inputs!$B$26+Inputs!$B$29,IF(Skills!C23=3,120+Inputs!$B$27+Inputs!$B$29,MAX(0,(Inputs!$B$3-100)*3)+Inputs!$B$28+Inputs!$B$29)))</f>
        <v/>
      </c>
      <c r="E23">
        <f>INDEX(FactorTable!$B$2:$Y$301, MATCH(ROUND(MIN(300,MAX(1,D23)),0), FactorTable!$A$2:$A$301,0), Skills!L23+1)</f>
        <v/>
      </c>
      <c r="F23">
        <f>IF(Skills!M23=TRUE,(Skills!K23/10)*(E23/1000),Skills!K23/10)+Skills!N23</f>
        <v/>
      </c>
      <c r="G23">
        <f>Skills!F23*IF(Skills!G23&gt;0,Skills!H23/Skills!G23,1)</f>
        <v/>
      </c>
      <c r="H23">
        <f>1-(1-Skills!I23/100)^Skills!J23</f>
        <v/>
      </c>
      <c r="I23">
        <f>IF(Skills!T23&lt;&gt;"",1+(Skills!T23/10)*($Z$3/1000)/100,1)</f>
        <v/>
      </c>
      <c r="J23" t="inlineStr"/>
      <c r="K23" t="inlineStr"/>
      <c r="L23" t="inlineStr"/>
      <c r="M23" t="inlineStr"/>
      <c r="N23" t="inlineStr"/>
      <c r="O23">
        <f>(1-Summary!$B$11)*S23+Summary!$B$11*U23</f>
        <v/>
      </c>
      <c r="P23">
        <f>IF(Summary!$B$3=0,0,O23/Summary!$B$3)</f>
        <v/>
      </c>
      <c r="Q23">
        <f>IFERROR(1/(IF(Inputs!$B$38="pvp",15,MAX(0.1,Skills!D23-IF(TRUE=TRUE,Inputs!$B$32,0)))*(1-IF(AND(ArtifactsInput!$M$27,Inputs!$B$4="Chapter Hunt"),CHOOSE(ArtifactsInput!$N$27+1,20,24,28,32,36,40),0)/100)),0)</f>
        <v/>
      </c>
      <c r="R23" t="n">
        <v>0</v>
      </c>
      <c r="S23" t="n">
        <v>0</v>
      </c>
      <c r="U23" t="n">
        <v>0</v>
      </c>
    </row>
    <row r="24">
      <c r="A24">
        <f>Skills!A24</f>
        <v/>
      </c>
      <c r="B24">
        <f>Skills!B24</f>
        <v/>
      </c>
      <c r="C24">
        <f>TRUE</f>
        <v/>
      </c>
      <c r="D24">
        <f>IF(Skills!C24=1,60+Inputs!$B$25+Inputs!$B$29,IF(Skills!C24=2,90+Inputs!$B$26+Inputs!$B$29,IF(Skills!C24=3,120+Inputs!$B$27+Inputs!$B$29,MAX(0,(Inputs!$B$3-100)*3)+Inputs!$B$28+Inputs!$B$29)))</f>
        <v/>
      </c>
      <c r="E24">
        <f>INDEX(FactorTable!$B$2:$Y$301, MATCH(ROUND(MIN(300,MAX(1,D24)),0), FactorTable!$A$2:$A$301,0), Skills!L24+1)</f>
        <v/>
      </c>
      <c r="F24">
        <f>IF(Skills!M24=TRUE,(Skills!K24/10)*(E24/1000),Skills!K24/10)+Skills!N24</f>
        <v/>
      </c>
      <c r="G24">
        <f>Skills!F24*IF(Skills!G24&gt;0,Skills!H24/Skills!G24,1)</f>
        <v/>
      </c>
      <c r="H24">
        <f>1-(1-Skills!I24/100)^Skills!J24</f>
        <v/>
      </c>
      <c r="I24">
        <f>IF(Skills!T24&lt;&gt;"",1+(Skills!T24/10)*($Z$3/1000)/100,1)</f>
        <v/>
      </c>
      <c r="J24" t="inlineStr"/>
      <c r="K24" t="inlineStr"/>
      <c r="L24" t="inlineStr"/>
      <c r="M24" t="inlineStr"/>
      <c r="N24" t="inlineStr"/>
      <c r="O24">
        <f>(1-Summary!$B$11)*S24+Summary!$B$11*U24</f>
        <v/>
      </c>
      <c r="P24">
        <f>IF(Summary!$B$3=0,0,O24/Summary!$B$3)</f>
        <v/>
      </c>
      <c r="Q24">
        <f>IFERROR(1/(IF(Inputs!$B$38="pvp",15,MAX(0.1,Skills!D24-IF(TRUE=TRUE,Inputs!$B$32,0)))*(1-IF(AND(ArtifactsInput!$M$27,Inputs!$B$4="Chapter Hunt"),CHOOSE(ArtifactsInput!$N$27+1,20,24,28,32,36,40),0)/100)),0)</f>
        <v/>
      </c>
      <c r="R24">
        <f>IF(AND(Inputs!$B$38&lt;&gt;"pvp",Inputs!$B$43&gt;0),IF(Inputs!$B$43&lt;=0,0,(INT(Inputs!$B$43/(IF(Inputs!$B$38="pvp",15,MAX(0.1,Skills!D24-IF(TRUE=TRUE,Inputs!$B$32,0)))*(1-IF(AND(ArtifactsInput!$M$27,Inputs!$B$4="Chapter Hunt"),CHOOSE(ArtifactsInput!$N$27+1,20,24,28,32,36,40),0)/100)))+1)),0)</f>
        <v/>
      </c>
      <c r="S24" t="n">
        <v>0</v>
      </c>
      <c r="U2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60" customWidth="1" min="1" max="1"/>
    <col width="16" customWidth="1" min="2" max="2"/>
    <col width="12" customWidth="1" min="3" max="3"/>
  </cols>
  <sheetData>
    <row r="1">
      <c r="A1" s="4" t="inlineStr">
        <is>
          <t>Arch Mage (Ice/Lightning) — DPS Summary</t>
        </is>
      </c>
    </row>
    <row r="3">
      <c r="A3" s="10" t="inlineStr">
        <is>
          <t>TOTAL DPS</t>
        </is>
      </c>
      <c r="B3" s="10">
        <f>SUM(Calc!O2:O24)</f>
        <v/>
      </c>
    </row>
    <row r="5">
      <c r="A5" s="9" t="inlineStr">
        <is>
          <t>Derived Values (read-only, computed from Inputs)</t>
        </is>
      </c>
    </row>
    <row r="6">
      <c r="A6" t="inlineStr">
        <is>
          <t>ATTACK (= Flat ATTACK x (1+ATTACK%/100))</t>
        </is>
      </c>
      <c r="B6">
        <f>Inputs!$B$6*(1+Inputs!$B$7/100)</f>
        <v/>
      </c>
    </row>
    <row r="7">
      <c r="A7" t="inlineStr">
        <is>
          <t>STAT_DAMAGE % (= 1% of total INT + 0.25% of LUK)</t>
        </is>
      </c>
      <c r="B7">
        <f>(Inputs!$B$12*(1+Inputs!$B$13/100))*0.01+Inputs!$B$14*0.0025</f>
        <v/>
      </c>
    </row>
    <row r="8">
      <c r="A8" t="inlineStr">
        <is>
          <t>Basic Attack (Chain Lightning) Input Level (4th job formula)</t>
        </is>
      </c>
      <c r="B8">
        <f>MAX(0,(Inputs!$B$3-100)*3)+Inputs!$B$28+Inputs!$B$29</f>
        <v/>
      </c>
    </row>
    <row r="9">
      <c r="A9" t="inlineStr">
        <is>
          <t>Basic Attack Factor (factorIndex 21, from Chain Lightning reverse-engineering)</t>
        </is>
      </c>
      <c r="B9">
        <f>INDEX(FactorTable!$B$2:$Y$301, MATCH(ROUND(MIN(300,MAX(1,Summary!$B$8)),0), FactorTable!$A$2:$A$301,0), 22)</f>
        <v/>
      </c>
    </row>
    <row r="10">
      <c r="A10" t="inlineStr">
        <is>
          <t>SKILL_COEFFICIENT — Chain Lightning base coefficient % (before Skill Mastery)</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Average Buff Multiplier (Magic Guard + Meditation + Artifact Attack%, summed; then Infinity)</t>
        </is>
      </c>
      <c r="B13">
        <f>(1+(IF(Calc!C3=TRUE,Calc!F3*IF(AND(Inputs!$B$38&lt;&gt;"pvp",Inputs!$B$43&gt;0),(((Calc!R3-1)*MIN((Skills!S3*(1+(Inputs!$B$34)/100)),(1/Calc!Q3))+MIN((Skills!S3*(1+(Inputs!$B$34)/100)),MAX(0,Inputs!$B$43-((Calc!R3-1)*(1/Calc!Q3)))))/Inputs!$B$43),IF(Inputs!$B$38="pvp",MIN((Skills!S3*(1+(Inputs!$B$34)/100)),15)/15,MIN(1,(Skills!S3*(1+(Inputs!$B$34)/100))/(1/Calc!Q3)))),0)+IF(Calc!C4=TRUE,Calc!F4*IF(AND(Inputs!$B$38&lt;&gt;"pvp",Inputs!$B$43&gt;0),(((Calc!R4-1)*MIN((Skills!S4*(1+(Inputs!$B$34)/100)),(1/Calc!Q4))+MIN((Skills!S4*(1+(Inputs!$B$34)/100)),MAX(0,Inputs!$B$43-((Calc!R4-1)*(1/Calc!Q4)))))/Inputs!$B$43),IF(Inputs!$B$38="pvp",MIN((Skills!S4*(1+(Inputs!$B$34)/100)),15)/15,MIN(1,(Skills!S4*(1+(Inputs!$B$34)/100))/(1/Calc!Q4)))),0)+Artifacts!$B$52)/100)*IF(Calc!C16=TRUE,(1+Calc!F16*IF(AND(Inputs!$B$38&lt;&gt;"pvp",Inputs!$B$43&gt;0),(((Calc!R16-1)*MIN((Skills!S16*(1+(Inputs!$B$34)/100)),(1/Calc!Q16))+MIN((Skills!S16*(1+(Inputs!$B$34)/100)),MAX(0,Inputs!$B$43-((Calc!R16-1)*(1/Calc!Q16)))))/Inputs!$B$43),IF(Inputs!$B$38="pvp",MIN((Skills!S16*(1+(Inputs!$B$34)/100)),15)/15,MIN(1,(Skills!S16*(1+(Inputs!$B$34)/100))/(1/Calc!Q16))))/100),1)</f>
        <v/>
      </c>
    </row>
    <row r="14">
      <c r="A14" t="inlineStr">
        <is>
          <t>Monster Damage Taken Bonus % (Freezing Breath - Weaken + Elemental Reset + Artifact Enemy Damage Taken, summed)</t>
        </is>
      </c>
      <c r="B14">
        <f>IF(Inputs!$B$3&gt;=118,15*IF(Inputs!$B$38="pvp",MIN((30*(1+(Inputs!$B$34)/100)),15)/15,MIN(1,(30*(1+(Inputs!$B$34)/100))/(1/Calc!Q8))),0)+IF(Calc!C14=TRUE,Calc!F14,0)+Artifacts!$B$36</f>
        <v/>
      </c>
    </row>
    <row r="15">
      <c r="A15" t="inlineStr">
        <is>
          <t>Damage % Bonus (Frozen Break + Frost Clutch, flat)</t>
        </is>
      </c>
      <c r="B15">
        <f>IF(Inputs!$B$3&gt;=66,15,0)+IF(Inputs!$B$3&gt;=98,10,0)+IF(Inputs!$B$3&gt;=125,20,0)</f>
        <v/>
      </c>
    </row>
    <row r="16">
      <c r="A16" t="inlineStr">
        <is>
          <t>Attack Speed Bonus % (MP Eater - MP Boost, always-on + Nimble Feet, duty-cycle averaged)</t>
        </is>
      </c>
      <c r="B16">
        <f>IF(Calc!C13=TRUE,Calc!F13,0)+((Calc!C24=TRUE)*Calc!F24*IF(AND(Inputs!$B$38&lt;&gt;"pvp",Inputs!$B$43&gt;0),(((Calc!R24-1)*MIN((Skills!S24*(1+(Inputs!$B$34)/100)),(1/Calc!Q24))+MIN((Skills!S24*(1+(Inputs!$B$34)/100)),MAX(0,Inputs!$B$43-((Calc!R24-1)*(1/Calc!Q24)))))/Inputs!$B$43),IF(Inputs!$B$38="pvp",MIN((Skills!S24*(1+(Inputs!$B$34)/100)),15)/15,MIN(1,(Skills!S24*(1+(Inputs!$B$34)/100))/(1/Calc!Q24)))))</f>
        <v/>
      </c>
    </row>
    <row r="17">
      <c r="A17" t="inlineStr">
        <is>
          <t>Actions Per Second (Attack Speed combined via diminishing-returns stack, factor 150, then capped)</t>
        </is>
      </c>
      <c r="B17">
        <f>1+MIN(150,150*(1-(1-Inputs!$B$11/150)*(1-B16/150)))/100</f>
        <v/>
      </c>
    </row>
    <row r="18">
      <c r="A18" t="inlineStr">
        <is>
          <t>Skill + Buff Cast Rate (subtracted from Chain Lightning, 1/s)</t>
        </is>
      </c>
      <c r="B18">
        <f>IF(AND(Inputs!$B$38&lt;&gt;"pvp",Inputs!$B$43&gt;0),SUMPRODUCT((Skills!E2:E24=TRUE)*(Calc!C2:C24=TRUE)*Calc!R2:R24)/Inputs!$B$43,SUMPRODUCT((Skills!E2:E24=TRUE)*(Calc!C2:C24=TRUE)*Calc!Q2:Q24))</f>
        <v/>
      </c>
    </row>
    <row r="19">
      <c r="A19" t="inlineStr">
        <is>
          <t>Chain Lightning Casts Per Second (basic-attack rate)</t>
        </is>
      </c>
      <c r="B19">
        <f>MAX(0,B17-B18)</f>
        <v/>
      </c>
    </row>
    <row r="20">
      <c r="A20" t="inlineStr">
        <is>
          <t>Chain Lightning DPS</t>
        </is>
      </c>
      <c r="B20">
        <f>Calc!O2</f>
        <v/>
      </c>
    </row>
    <row r="21">
      <c r="A21" t="inlineStr">
        <is>
          <t>Buff-Casting Startup Delay (s, before first damage-skill cast; fixed-duration only)</t>
        </is>
      </c>
      <c r="B21">
        <f>IF(AND(Inputs!$B$38&lt;&gt;"pvp",Inputs!$B$43&gt;0),SUMPRODUCT((Skills!S2:S24&gt;0)*(Skills!E2:E24=TRUE)*(Calc!C2:C24=TRUE))/B17,0)</f>
        <v/>
      </c>
    </row>
    <row r="22">
      <c r="A22" t="inlineStr">
        <is>
          <t>Boss-Only Total DPS (Sensitivity baseline)</t>
        </is>
      </c>
      <c r="B22">
        <f>SUM(Calc!S2:S24)</f>
        <v/>
      </c>
    </row>
    <row r="23">
      <c r="A23" t="inlineStr">
        <is>
          <t>Normal-Only Total DPS (Sensitivity baseline)</t>
        </is>
      </c>
      <c r="B23">
        <f>SUM(Calc!U2:U24)</f>
        <v/>
      </c>
    </row>
    <row r="24">
      <c r="A24" t="inlineStr">
        <is>
          <t>Blizzard Final Attack — triggering attacks' combined cast rate, incl. Chain Lightning (1/s)</t>
        </is>
      </c>
      <c r="B24">
        <f>IF(AND(Inputs!$B$38&lt;&gt;"pvp",Inputs!$B$43&gt;0),(((Calc!C5=TRUE)*Calc!R5*1)+((Calc!C6=TRUE)*Calc!R6*1)+((Calc!C8=TRUE)*Calc!R8*1)+((Calc!C9=TRUE)*Calc!R9*3)+((Calc!C11=TRUE)*Calc!R11*1))/Inputs!$B$43,((Calc!C5=TRUE)*Calc!Q5*1)+((Calc!C6=TRUE)*Calc!Q6*1)+((Calc!C8=TRUE)*Calc!Q8*1)+((Calc!C9=TRUE)*Calc!Q9*3)+((Calc!C11=TRUE)*Calc!Q11*1))+B19</f>
        <v/>
      </c>
    </row>
    <row r="26">
      <c r="A26" s="9" t="inlineStr">
        <is>
          <t>Per-Skill DPS Breakdown</t>
        </is>
      </c>
    </row>
    <row r="27">
      <c r="A27" s="5" t="inlineStr">
        <is>
          <t>Skill</t>
        </is>
      </c>
      <c r="B27" s="5" t="inlineStr">
        <is>
          <t>DPS</t>
        </is>
      </c>
      <c r="C27" s="5" t="inlineStr">
        <is>
          <t>% of Total</t>
        </is>
      </c>
    </row>
    <row r="28">
      <c r="A28">
        <f>Calc!B2</f>
        <v/>
      </c>
      <c r="B28">
        <f>Calc!O2</f>
        <v/>
      </c>
      <c r="C28">
        <f>Calc!P2*100</f>
        <v/>
      </c>
    </row>
    <row r="29">
      <c r="A29">
        <f>Calc!B5</f>
        <v/>
      </c>
      <c r="B29">
        <f>Calc!O5</f>
        <v/>
      </c>
      <c r="C29">
        <f>Calc!P5*100</f>
        <v/>
      </c>
    </row>
    <row r="30">
      <c r="A30">
        <f>Calc!B6</f>
        <v/>
      </c>
      <c r="B30">
        <f>Calc!O6</f>
        <v/>
      </c>
      <c r="C30">
        <f>Calc!P6*100</f>
        <v/>
      </c>
    </row>
    <row r="31">
      <c r="A31">
        <f>Calc!B7</f>
        <v/>
      </c>
      <c r="B31">
        <f>Calc!O7</f>
        <v/>
      </c>
      <c r="C31">
        <f>Calc!P7*100</f>
        <v/>
      </c>
    </row>
    <row r="32">
      <c r="A32">
        <f>Calc!B8</f>
        <v/>
      </c>
      <c r="B32">
        <f>Calc!O8</f>
        <v/>
      </c>
      <c r="C32">
        <f>Calc!P8*100</f>
        <v/>
      </c>
    </row>
    <row r="33">
      <c r="A33">
        <f>Calc!B9</f>
        <v/>
      </c>
      <c r="B33">
        <f>Calc!O9</f>
        <v/>
      </c>
      <c r="C33">
        <f>Calc!P9*100</f>
        <v/>
      </c>
    </row>
    <row r="34">
      <c r="A34">
        <f>Calc!B10</f>
        <v/>
      </c>
      <c r="B34">
        <f>Calc!O10</f>
        <v/>
      </c>
      <c r="C34">
        <f>Calc!P10*100</f>
        <v/>
      </c>
    </row>
    <row r="35">
      <c r="A35">
        <f>Calc!B11</f>
        <v/>
      </c>
      <c r="B35">
        <f>Calc!O11</f>
        <v/>
      </c>
      <c r="C35">
        <f>Calc!P11*100</f>
        <v/>
      </c>
    </row>
    <row r="36">
      <c r="A36">
        <f>Calc!B12</f>
        <v/>
      </c>
      <c r="B36">
        <f>Calc!O12</f>
        <v/>
      </c>
      <c r="C36">
        <f>Calc!P12*100</f>
        <v/>
      </c>
    </row>
    <row r="37">
      <c r="A37" s="9" t="inlineStr">
        <is>
          <t>Marginal DPS &amp; Stat Value (see Sensitivity for full detail)</t>
        </is>
      </c>
    </row>
    <row r="39">
      <c r="A39" s="5" t="inlineStr">
        <is>
          <t>Stat</t>
        </is>
      </c>
      <c r="B39" s="5" t="inlineStr">
        <is>
          <t>DPS per +1</t>
        </is>
      </c>
      <c r="C39" s="5" t="inlineStr">
        <is>
          <t>Units per +1% DPS</t>
        </is>
      </c>
    </row>
    <row r="40">
      <c r="A40">
        <f>Sensitivity!A5</f>
        <v/>
      </c>
      <c r="B40">
        <f>Sensitivity!H5</f>
        <v/>
      </c>
      <c r="C40">
        <f>Sensitivity!B5</f>
        <v/>
      </c>
    </row>
    <row r="41">
      <c r="A41">
        <f>Sensitivity!A6</f>
        <v/>
      </c>
      <c r="B41">
        <f>Sensitivity!H6</f>
        <v/>
      </c>
      <c r="C41">
        <f>Sensitivity!B6</f>
        <v/>
      </c>
    </row>
    <row r="42">
      <c r="A42">
        <f>Sensitivity!A7</f>
        <v/>
      </c>
      <c r="B42">
        <f>Sensitivity!H7</f>
        <v/>
      </c>
      <c r="C42">
        <f>Sensitivity!B7</f>
        <v/>
      </c>
    </row>
    <row r="43">
      <c r="A43">
        <f>Sensitivity!A8</f>
        <v/>
      </c>
      <c r="B43">
        <f>Sensitivity!H8</f>
        <v/>
      </c>
      <c r="C43">
        <f>Sensitivity!B8</f>
        <v/>
      </c>
    </row>
    <row r="44">
      <c r="A44">
        <f>Sensitivity!A9</f>
        <v/>
      </c>
      <c r="B44">
        <f>Sensitivity!H9</f>
        <v/>
      </c>
      <c r="C44">
        <f>Sensitivity!B9</f>
        <v/>
      </c>
    </row>
    <row r="45">
      <c r="A45">
        <f>Sensitivity!A10</f>
        <v/>
      </c>
      <c r="B45">
        <f>Sensitivity!H10</f>
        <v/>
      </c>
      <c r="C45">
        <f>Sensitivity!B10</f>
        <v/>
      </c>
    </row>
    <row r="46">
      <c r="A46">
        <f>Sensitivity!A11</f>
        <v/>
      </c>
      <c r="B46">
        <f>Sensitivity!H11</f>
        <v/>
      </c>
      <c r="C46">
        <f>Sensitivity!B11</f>
        <v/>
      </c>
    </row>
    <row r="47">
      <c r="A47">
        <f>Sensitivity!A12</f>
        <v/>
      </c>
      <c r="B47">
        <f>Sensitivity!H12</f>
        <v/>
      </c>
      <c r="C47">
        <f>Sensitivity!B12</f>
        <v/>
      </c>
    </row>
    <row r="48">
      <c r="A48">
        <f>Sensitivity!A13</f>
        <v/>
      </c>
      <c r="B48">
        <f>Sensitivity!H13</f>
        <v/>
      </c>
      <c r="C48">
        <f>Sensitivity!B13</f>
        <v/>
      </c>
    </row>
    <row r="49">
      <c r="A49">
        <f>Sensitivity!A14</f>
        <v/>
      </c>
      <c r="B49">
        <f>Sensitivity!H14</f>
        <v/>
      </c>
      <c r="C49">
        <f>Sensitivity!B14</f>
        <v/>
      </c>
    </row>
    <row r="50">
      <c r="A50">
        <f>Sensitivity!A15</f>
        <v/>
      </c>
      <c r="B50">
        <f>Sensitivity!H15</f>
        <v/>
      </c>
      <c r="C50">
        <f>Sensitivity!B15</f>
        <v/>
      </c>
    </row>
    <row r="51">
      <c r="A51">
        <f>Sensitivity!A16</f>
        <v/>
      </c>
      <c r="B51">
        <f>Sensitivity!H16</f>
        <v/>
      </c>
      <c r="C51">
        <f>Sensitivity!B16</f>
        <v/>
      </c>
    </row>
    <row r="52">
      <c r="A52">
        <f>Sensitivity!A17</f>
        <v/>
      </c>
      <c r="B52">
        <f>Sensitivity!H17</f>
        <v/>
      </c>
      <c r="C52">
        <f>Sensitivity!B17</f>
        <v/>
      </c>
    </row>
    <row r="53">
      <c r="A53">
        <f>Sensitivity!A18</f>
        <v/>
      </c>
      <c r="B53">
        <f>Sensitivity!H18</f>
        <v/>
      </c>
      <c r="C53">
        <f>Sensitivity!B18</f>
        <v/>
      </c>
    </row>
    <row r="54">
      <c r="A54">
        <f>Sensitivity!A19</f>
        <v/>
      </c>
      <c r="B54">
        <f>Sensitivity!H19</f>
        <v/>
      </c>
      <c r="C54">
        <f>Sensitivity!B19</f>
        <v/>
      </c>
    </row>
    <row r="55">
      <c r="A55">
        <f>Sensitivity!A20</f>
        <v/>
      </c>
      <c r="B55">
        <f>Sensitivity!H20</f>
        <v/>
      </c>
      <c r="C55">
        <f>Sensitivity!B20</f>
        <v/>
      </c>
    </row>
    <row r="56">
      <c r="A56">
        <f>Sensitivity!A21</f>
        <v/>
      </c>
      <c r="B56">
        <f>Sensitivity!H21</f>
        <v/>
      </c>
      <c r="C56">
        <f>Sensitivity!B21</f>
        <v/>
      </c>
    </row>
    <row r="57">
      <c r="A57">
        <f>Sensitivity!A22</f>
        <v/>
      </c>
      <c r="B57">
        <f>Sensitivity!H22</f>
        <v/>
      </c>
      <c r="C57">
        <f>Sensitivity!B22</f>
        <v/>
      </c>
    </row>
    <row r="58">
      <c r="A58">
        <f>Sensitivity!A23</f>
        <v/>
      </c>
      <c r="B58">
        <f>Sensitivity!H23</f>
        <v/>
      </c>
      <c r="C58">
        <f>Sensitivity!B23</f>
        <v/>
      </c>
    </row>
    <row r="59">
      <c r="A59">
        <f>Sensitivity!A24</f>
        <v/>
      </c>
      <c r="B59">
        <f>Sensitivity!H24</f>
        <v/>
      </c>
      <c r="C59">
        <f>Sensitivity!B24</f>
        <v/>
      </c>
    </row>
    <row r="60">
      <c r="A60">
        <f>Sensitivity!A25</f>
        <v/>
      </c>
      <c r="B60">
        <f>Sensitivity!H25</f>
        <v/>
      </c>
      <c r="C60">
        <f>Sensitivity!B25</f>
        <v/>
      </c>
    </row>
    <row r="61">
      <c r="A61">
        <f>Sensitivity!A26</f>
        <v/>
      </c>
      <c r="B61">
        <f>Sensitivity!H26</f>
        <v/>
      </c>
      <c r="C61">
        <f>Sensitivity!B26</f>
        <v/>
      </c>
    </row>
    <row r="62">
      <c r="A62">
        <f>Sensitivity!A27</f>
        <v/>
      </c>
      <c r="B62">
        <f>Sensitivity!H27</f>
        <v/>
      </c>
      <c r="C62">
        <f>Sensitivity!B27</f>
        <v/>
      </c>
    </row>
    <row r="63">
      <c r="A63">
        <f>Sensitivity!A28</f>
        <v/>
      </c>
      <c r="B63">
        <f>Sensitivity!H28</f>
        <v/>
      </c>
      <c r="C63">
        <f>Sensitivity!B28</f>
        <v/>
      </c>
    </row>
    <row r="64">
      <c r="A64">
        <f>Sensitivity!A29</f>
        <v/>
      </c>
      <c r="B64">
        <f>Sensitivity!H29</f>
        <v/>
      </c>
      <c r="C64">
        <f>Sensitivity!B29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992"/>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INT</t>
        </is>
      </c>
      <c r="B5">
        <f>IFERROR(1/(I5-100),"n/a")</f>
        <v/>
      </c>
      <c r="C5" t="inlineStr">
        <is>
          <t>flat</t>
        </is>
      </c>
      <c r="D5">
        <f>Inputs!$B$12</f>
        <v/>
      </c>
      <c r="E5">
        <f>(Inputs!$B$12+1)</f>
        <v/>
      </c>
      <c r="F5">
        <f>Summary!$B$3</f>
        <v/>
      </c>
      <c r="G5">
        <f>B107</f>
        <v/>
      </c>
      <c r="H5">
        <f>Summary!$B$3*(((1-Summary!$B$11)*IFERROR(B105/Summary!$B$22,1)+Summary!$B$11*IFERROR(B106/Summary!$B$23,1))-1)</f>
        <v/>
      </c>
      <c r="I5">
        <f>((1-Summary!$B$11)*IFERROR(B105/Summary!$B$22,1)+Summary!$B$11*IFERROR(B106/Summary!$B$23,1))*100</f>
        <v/>
      </c>
    </row>
    <row r="6">
      <c r="A6" t="inlineStr">
        <is>
          <t>INT %</t>
        </is>
      </c>
      <c r="B6">
        <f>IFERROR(1/(I6-100),"n/a")</f>
        <v/>
      </c>
      <c r="C6" t="inlineStr">
        <is>
          <t>pct</t>
        </is>
      </c>
      <c r="D6">
        <f>Inputs!$B$13</f>
        <v/>
      </c>
      <c r="E6">
        <f>(Inputs!$B$13+1)</f>
        <v/>
      </c>
      <c r="F6">
        <f>Summary!$B$3</f>
        <v/>
      </c>
      <c r="G6">
        <f>B148</f>
        <v/>
      </c>
      <c r="H6">
        <f>Summary!$B$3*(((1-Summary!$B$11)*IFERROR(B146/Summary!$B$22,1)+Summary!$B$11*IFERROR(B147/Summary!$B$23,1))-1)</f>
        <v/>
      </c>
      <c r="I6">
        <f>((1-Summary!$B$11)*IFERROR(B146/Summary!$B$22,1)+Summary!$B$11*IFERROR(B147/Summary!$B$23,1))*100</f>
        <v/>
      </c>
    </row>
    <row r="7">
      <c r="A7" t="inlineStr">
        <is>
          <t>DAMAGE %</t>
        </is>
      </c>
      <c r="B7">
        <f>IFERROR(1/(I7-100),"n/a")</f>
        <v/>
      </c>
      <c r="C7" t="inlineStr">
        <is>
          <t>pct</t>
        </is>
      </c>
      <c r="D7">
        <f>Inputs!$B$15</f>
        <v/>
      </c>
      <c r="E7">
        <f>(Inputs!$B$15+1)</f>
        <v/>
      </c>
      <c r="F7">
        <f>Summary!$B$3</f>
        <v/>
      </c>
      <c r="G7">
        <f>B189</f>
        <v/>
      </c>
      <c r="H7">
        <f>Summary!$B$3*(((1-Summary!$B$11)*IFERROR(B187/Summary!$B$22,1)+Summary!$B$11*IFERROR(B188/Summary!$B$23,1))-1)</f>
        <v/>
      </c>
      <c r="I7">
        <f>((1-Summary!$B$11)*IFERROR(B187/Summary!$B$22,1)+Summary!$B$11*IFERROR(B188/Summary!$B$23,1))*100</f>
        <v/>
      </c>
    </row>
    <row r="8">
      <c r="A8" t="inlineStr">
        <is>
          <t>DAMAGE_AMP %</t>
        </is>
      </c>
      <c r="B8">
        <f>IFERROR(1/(I8-100),"n/a")</f>
        <v/>
      </c>
      <c r="C8" t="inlineStr">
        <is>
          <t>pct</t>
        </is>
      </c>
      <c r="D8">
        <f>Inputs!$B$16</f>
        <v/>
      </c>
      <c r="E8">
        <f>(Inputs!$B$16+1)</f>
        <v/>
      </c>
      <c r="F8">
        <f>Summary!$B$3</f>
        <v/>
      </c>
      <c r="G8">
        <f>B230</f>
        <v/>
      </c>
      <c r="H8">
        <f>Summary!$B$3*(((1-Summary!$B$11)*IFERROR(B228/Summary!$B$22,1)+Summary!$B$11*IFERROR(B229/Summary!$B$23,1))-1)</f>
        <v/>
      </c>
      <c r="I8">
        <f>((1-Summary!$B$11)*IFERROR(B228/Summary!$B$22,1)+Summary!$B$11*IFERROR(B229/Summary!$B$23,1))*100</f>
        <v/>
      </c>
    </row>
    <row r="9">
      <c r="A9" t="inlineStr">
        <is>
          <t>BOSS_DAMAGE %</t>
        </is>
      </c>
      <c r="B9">
        <f>IFERROR(1/(I9-100),"n/a")</f>
        <v/>
      </c>
      <c r="C9" t="inlineStr">
        <is>
          <t>pct</t>
        </is>
      </c>
      <c r="D9">
        <f>Inputs!$B$20</f>
        <v/>
      </c>
      <c r="E9">
        <f>(Inputs!$B$20+1)</f>
        <v/>
      </c>
      <c r="F9">
        <f>Summary!$B$3</f>
        <v/>
      </c>
      <c r="G9">
        <f>B271</f>
        <v/>
      </c>
      <c r="H9">
        <f>Summary!$B$3*(((1-Summary!$B$11)*IFERROR(B269/Summary!$B$22,1)+Summary!$B$11*IFERROR(B270/Summary!$B$23,1))-1)</f>
        <v/>
      </c>
      <c r="I9">
        <f>((1-Summary!$B$11)*IFERROR(B269/Summary!$B$22,1)+Summary!$B$11*IFERROR(B270/Summary!$B$23,1))*100</f>
        <v/>
      </c>
    </row>
    <row r="10">
      <c r="A10" t="inlineStr">
        <is>
          <t>NORMAL_DAMAGE %</t>
        </is>
      </c>
      <c r="B10">
        <f>IFERROR(1/(I10-100),"n/a")</f>
        <v/>
      </c>
      <c r="C10" t="inlineStr">
        <is>
          <t>pct</t>
        </is>
      </c>
      <c r="D10">
        <f>Inputs!$B$21</f>
        <v/>
      </c>
      <c r="E10">
        <f>(Inputs!$B$21+1)</f>
        <v/>
      </c>
      <c r="F10">
        <f>Summary!$B$3</f>
        <v/>
      </c>
      <c r="G10">
        <f>B312</f>
        <v/>
      </c>
      <c r="H10">
        <f>Summary!$B$3*(((1-Summary!$B$11)*IFERROR(B310/Summary!$B$22,1)+Summary!$B$11*IFERROR(B311/Summary!$B$23,1))-1)</f>
        <v/>
      </c>
      <c r="I10">
        <f>((1-Summary!$B$11)*IFERROR(B310/Summary!$B$22,1)+Summary!$B$11*IFERROR(B311/Summary!$B$23,1))*100</f>
        <v/>
      </c>
    </row>
    <row r="11">
      <c r="A11" t="inlineStr">
        <is>
          <t>FINAL_DAMAGE % (multiplicative source)</t>
        </is>
      </c>
      <c r="B11">
        <f>IFERROR(1/(I11-100),"n/a")</f>
        <v/>
      </c>
      <c r="C11" t="inlineStr">
        <is>
          <t>mult</t>
        </is>
      </c>
      <c r="D11">
        <f>Inputs!$B$24</f>
        <v/>
      </c>
      <c r="E11">
        <f>((((1+Inputs!$B$24/100)*(1.01))-1)*100)</f>
        <v/>
      </c>
      <c r="F11">
        <f>Summary!$B$3</f>
        <v/>
      </c>
      <c r="G11">
        <f>B353</f>
        <v/>
      </c>
      <c r="H11">
        <f>Summary!$B$3*(((1-Summary!$B$11)*IFERROR(B351/Summary!$B$22,1)+Summary!$B$11*IFERROR(B352/Summary!$B$23,1))-1)</f>
        <v/>
      </c>
      <c r="I11">
        <f>((1-Summary!$B$11)*IFERROR(B351/Summary!$B$22,1)+Summary!$B$11*IFERROR(B352/Summary!$B$23,1))*100</f>
        <v/>
      </c>
    </row>
    <row r="12">
      <c r="A12" t="inlineStr">
        <is>
          <t>MIN_DAMAGE %</t>
        </is>
      </c>
      <c r="B12">
        <f>IFERROR(1/(I12-100),"n/a")</f>
        <v/>
      </c>
      <c r="C12" t="inlineStr">
        <is>
          <t>pct</t>
        </is>
      </c>
      <c r="D12">
        <f>Inputs!$B$22</f>
        <v/>
      </c>
      <c r="E12">
        <f>(Inputs!$B$22+1)</f>
        <v/>
      </c>
      <c r="F12">
        <f>Summary!$B$3</f>
        <v/>
      </c>
      <c r="G12">
        <f>B394</f>
        <v/>
      </c>
      <c r="H12">
        <f>Summary!$B$3*(((1-Summary!$B$11)*IFERROR(B392/Summary!$B$22,1)+Summary!$B$11*IFERROR(B393/Summary!$B$23,1))-1)</f>
        <v/>
      </c>
      <c r="I12">
        <f>((1-Summary!$B$11)*IFERROR(B392/Summary!$B$22,1)+Summary!$B$11*IFERROR(B393/Summary!$B$23,1))*100</f>
        <v/>
      </c>
    </row>
    <row r="13">
      <c r="A13" t="inlineStr">
        <is>
          <t>MAX_DAMAGE %</t>
        </is>
      </c>
      <c r="B13">
        <f>IFERROR(1/(I13-100),"n/a")</f>
        <v/>
      </c>
      <c r="C13" t="inlineStr">
        <is>
          <t>pct</t>
        </is>
      </c>
      <c r="D13">
        <f>Inputs!$B$23</f>
        <v/>
      </c>
      <c r="E13">
        <f>(Inputs!$B$23+1)</f>
        <v/>
      </c>
      <c r="F13">
        <f>Summary!$B$3</f>
        <v/>
      </c>
      <c r="G13">
        <f>B435</f>
        <v/>
      </c>
      <c r="H13">
        <f>Summary!$B$3*(((1-Summary!$B$11)*IFERROR(B433/Summary!$B$22,1)+Summary!$B$11*IFERROR(B434/Summary!$B$23,1))-1)</f>
        <v/>
      </c>
      <c r="I13">
        <f>((1-Summary!$B$11)*IFERROR(B433/Summary!$B$22,1)+Summary!$B$11*IFERROR(B434/Summary!$B$23,1))*100</f>
        <v/>
      </c>
    </row>
    <row r="14">
      <c r="A14" t="inlineStr">
        <is>
          <t>CRIT_RATE %</t>
        </is>
      </c>
      <c r="B14">
        <f>IFERROR(1/(I14-100),"n/a")</f>
        <v/>
      </c>
      <c r="C14" t="inlineStr">
        <is>
          <t>pct</t>
        </is>
      </c>
      <c r="D14">
        <f>Inputs!$B$9</f>
        <v/>
      </c>
      <c r="E14">
        <f>(Inputs!$B$9+1)</f>
        <v/>
      </c>
      <c r="F14">
        <f>Summary!$B$3</f>
        <v/>
      </c>
      <c r="G14">
        <f>B476</f>
        <v/>
      </c>
      <c r="H14">
        <f>Summary!$B$3*(((1-Summary!$B$11)*IFERROR(B474/Summary!$B$22,1)+Summary!$B$11*IFERROR(B475/Summary!$B$23,1))-1)</f>
        <v/>
      </c>
      <c r="I14">
        <f>((1-Summary!$B$11)*IFERROR(B474/Summary!$B$22,1)+Summary!$B$11*IFERROR(B475/Summary!$B$23,1))*100</f>
        <v/>
      </c>
    </row>
    <row r="15">
      <c r="A15" t="inlineStr">
        <is>
          <t>CRIT_DAMAGE %</t>
        </is>
      </c>
      <c r="B15">
        <f>IFERROR(1/(I15-100),"n/a")</f>
        <v/>
      </c>
      <c r="C15" t="inlineStr">
        <is>
          <t>pct</t>
        </is>
      </c>
      <c r="D15">
        <f>Inputs!$B$10</f>
        <v/>
      </c>
      <c r="E15">
        <f>(Inputs!$B$10+1)</f>
        <v/>
      </c>
      <c r="F15">
        <f>Summary!$B$3</f>
        <v/>
      </c>
      <c r="G15">
        <f>B517</f>
        <v/>
      </c>
      <c r="H15">
        <f>Summary!$B$3*(((1-Summary!$B$11)*IFERROR(B515/Summary!$B$22,1)+Summary!$B$11*IFERROR(B516/Summary!$B$23,1))-1)</f>
        <v/>
      </c>
      <c r="I15">
        <f>((1-Summary!$B$11)*IFERROR(B515/Summary!$B$22,1)+Summary!$B$11*IFERROR(B516/Summary!$B$23,1))*100</f>
        <v/>
      </c>
    </row>
    <row r="16">
      <c r="A16" t="inlineStr">
        <is>
          <t>ATTACK_SPEED % (diminishing returns, factor 150)</t>
        </is>
      </c>
      <c r="B16">
        <f>IFERROR(1/(I16-100),"n/a")</f>
        <v/>
      </c>
      <c r="C16" t="inlineStr">
        <is>
          <t>dr150</t>
        </is>
      </c>
      <c r="D16">
        <f>Inputs!$B$11</f>
        <v/>
      </c>
      <c r="E16">
        <f>((1-(1-Inputs!$B$11/150)*(1-1/150))*150)</f>
        <v/>
      </c>
      <c r="F16">
        <f>Summary!$B$3</f>
        <v/>
      </c>
      <c r="G16">
        <f>B558</f>
        <v/>
      </c>
      <c r="H16">
        <f>Summary!$B$3*(((1-Summary!$B$11)*IFERROR(B556/Summary!$B$22,1)+Summary!$B$11*IFERROR(B557/Summary!$B$23,1))-1)</f>
        <v/>
      </c>
      <c r="I16">
        <f>((1-Summary!$B$11)*IFERROR(B556/Summary!$B$22,1)+Summary!$B$11*IFERROR(B557/Summary!$B$23,1))*100</f>
        <v/>
      </c>
    </row>
    <row r="17">
      <c r="A17" t="inlineStr">
        <is>
          <t>DEF_PEN % (diminishing returns, factor 100)</t>
        </is>
      </c>
      <c r="B17">
        <f>IFERROR(1/(I17-100),"n/a")</f>
        <v/>
      </c>
      <c r="C17" t="inlineStr">
        <is>
          <t>dr100</t>
        </is>
      </c>
      <c r="D17">
        <f>Inputs!$B$19</f>
        <v/>
      </c>
      <c r="E17">
        <f>((1-(1-Inputs!$B$19/100)*(1-1/100))*100)</f>
        <v/>
      </c>
      <c r="F17">
        <f>Summary!$B$3</f>
        <v/>
      </c>
      <c r="G17">
        <f>B599</f>
        <v/>
      </c>
      <c r="H17">
        <f>Summary!$B$3*(((1-Summary!$B$11)*IFERROR(B597/Summary!$B$22,1)+Summary!$B$11*IFERROR(B598/Summary!$B$23,1))-1)</f>
        <v/>
      </c>
      <c r="I17">
        <f>((1-Summary!$B$11)*IFERROR(B597/Summary!$B$22,1)+Summary!$B$11*IFERROR(B598/Summary!$B$23,1))*100</f>
        <v/>
      </c>
    </row>
    <row r="18">
      <c r="A18" t="inlineStr">
        <is>
          <t>BASIC_ATTACK_DAMAGE %</t>
        </is>
      </c>
      <c r="B18">
        <f>IFERROR(1/(I18-100),"n/a")</f>
        <v/>
      </c>
      <c r="C18" t="inlineStr">
        <is>
          <t>pct</t>
        </is>
      </c>
      <c r="D18">
        <f>Inputs!$B$17</f>
        <v/>
      </c>
      <c r="E18">
        <f>(Inputs!$B$17+1)</f>
        <v/>
      </c>
      <c r="F18">
        <f>Summary!$B$3</f>
        <v/>
      </c>
      <c r="G18">
        <f>B640</f>
        <v/>
      </c>
      <c r="H18">
        <f>Summary!$B$3*(((1-Summary!$B$11)*IFERROR(B638/Summary!$B$22,1)+Summary!$B$11*IFERROR(B639/Summary!$B$23,1))-1)</f>
        <v/>
      </c>
      <c r="I18">
        <f>((1-Summary!$B$11)*IFERROR(B638/Summary!$B$22,1)+Summary!$B$11*IFERROR(B639/Summary!$B$23,1))*100</f>
        <v/>
      </c>
    </row>
    <row r="19">
      <c r="A19" t="inlineStr">
        <is>
          <t>SKILL_DAMAGE %</t>
        </is>
      </c>
      <c r="B19">
        <f>IFERROR(1/(I19-100),"n/a")</f>
        <v/>
      </c>
      <c r="C19" t="inlineStr">
        <is>
          <t>pct</t>
        </is>
      </c>
      <c r="D19">
        <f>Inputs!$B$18</f>
        <v/>
      </c>
      <c r="E19">
        <f>(Inputs!$B$18+1)</f>
        <v/>
      </c>
      <c r="F19">
        <f>Summary!$B$3</f>
        <v/>
      </c>
      <c r="G19">
        <f>B681</f>
        <v/>
      </c>
      <c r="H19">
        <f>Summary!$B$3*(((1-Summary!$B$11)*IFERROR(B679/Summary!$B$22,1)+Summary!$B$11*IFERROR(B680/Summary!$B$23,1))-1)</f>
        <v/>
      </c>
      <c r="I19">
        <f>((1-Summary!$B$11)*IFERROR(B679/Summary!$B$22,1)+Summary!$B$11*IFERROR(B680/Summary!$B$23,1))*100</f>
        <v/>
      </c>
    </row>
    <row r="20">
      <c r="A20" t="inlineStr">
        <is>
          <t>Skill Level Bonus — 1st Job</t>
        </is>
      </c>
      <c r="B20">
        <f>IFERROR(1/(I20-100),"n/a")</f>
        <v/>
      </c>
      <c r="C20" t="inlineStr">
        <is>
          <t>level</t>
        </is>
      </c>
      <c r="D20">
        <f>Inputs!$B$25</f>
        <v/>
      </c>
      <c r="E20">
        <f>(Inputs!$B$25+1)</f>
        <v/>
      </c>
      <c r="F20">
        <f>Summary!$B$3</f>
        <v/>
      </c>
      <c r="G20">
        <f>B722</f>
        <v/>
      </c>
      <c r="H20">
        <f>Summary!$B$3*(((1-Summary!$B$11)*IFERROR(B720/Summary!$B$22,1)+Summary!$B$11*IFERROR(B721/Summary!$B$23,1))-1)</f>
        <v/>
      </c>
      <c r="I20">
        <f>((1-Summary!$B$11)*IFERROR(B720/Summary!$B$22,1)+Summary!$B$11*IFERROR(B721/Summary!$B$23,1))*100</f>
        <v/>
      </c>
    </row>
    <row r="21">
      <c r="A21" t="inlineStr">
        <is>
          <t>Skill Level Bonus — 2nd Job</t>
        </is>
      </c>
      <c r="B21">
        <f>IFERROR(1/(I21-100),"n/a")</f>
        <v/>
      </c>
      <c r="C21" t="inlineStr">
        <is>
          <t>level</t>
        </is>
      </c>
      <c r="D21">
        <f>Inputs!$B$26</f>
        <v/>
      </c>
      <c r="E21">
        <f>(Inputs!$B$26+1)</f>
        <v/>
      </c>
      <c r="F21">
        <f>Summary!$B$3</f>
        <v/>
      </c>
      <c r="G21">
        <f>B763</f>
        <v/>
      </c>
      <c r="H21">
        <f>Summary!$B$3*(((1-Summary!$B$11)*IFERROR(B761/Summary!$B$22,1)+Summary!$B$11*IFERROR(B762/Summary!$B$23,1))-1)</f>
        <v/>
      </c>
      <c r="I21">
        <f>((1-Summary!$B$11)*IFERROR(B761/Summary!$B$22,1)+Summary!$B$11*IFERROR(B762/Summary!$B$23,1))*100</f>
        <v/>
      </c>
    </row>
    <row r="22">
      <c r="A22" t="inlineStr">
        <is>
          <t>Skill Level Bonus — 3rd Job</t>
        </is>
      </c>
      <c r="B22">
        <f>IFERROR(1/(I22-100),"n/a")</f>
        <v/>
      </c>
      <c r="C22" t="inlineStr">
        <is>
          <t>level</t>
        </is>
      </c>
      <c r="D22">
        <f>Inputs!$B$27</f>
        <v/>
      </c>
      <c r="E22">
        <f>(Inputs!$B$27+1)</f>
        <v/>
      </c>
      <c r="F22">
        <f>Summary!$B$3</f>
        <v/>
      </c>
      <c r="G22">
        <f>B804</f>
        <v/>
      </c>
      <c r="H22">
        <f>Summary!$B$3*(((1-Summary!$B$11)*IFERROR(B802/Summary!$B$22,1)+Summary!$B$11*IFERROR(B803/Summary!$B$23,1))-1)</f>
        <v/>
      </c>
      <c r="I22">
        <f>((1-Summary!$B$11)*IFERROR(B802/Summary!$B$22,1)+Summary!$B$11*IFERROR(B803/Summary!$B$23,1))*100</f>
        <v/>
      </c>
    </row>
    <row r="23">
      <c r="A23" t="inlineStr">
        <is>
          <t>Skill Level Bonus — 4th Job</t>
        </is>
      </c>
      <c r="B23">
        <f>IFERROR(1/(I23-100),"n/a")</f>
        <v/>
      </c>
      <c r="C23" t="inlineStr">
        <is>
          <t>level</t>
        </is>
      </c>
      <c r="D23">
        <f>Inputs!$B$28</f>
        <v/>
      </c>
      <c r="E23">
        <f>(Inputs!$B$28+1)</f>
        <v/>
      </c>
      <c r="F23">
        <f>Summary!$B$3</f>
        <v/>
      </c>
      <c r="G23">
        <f>B845</f>
        <v/>
      </c>
      <c r="H23">
        <f>Summary!$B$3*(((1-Summary!$B$11)*IFERROR(B843/Summary!$B$22,1)+Summary!$B$11*IFERROR(B844/Summary!$B$23,1))-1)</f>
        <v/>
      </c>
      <c r="I23">
        <f>((1-Summary!$B$11)*IFERROR(B843/Summary!$B$22,1)+Summary!$B$11*IFERROR(B844/Summary!$B$23,1))*100</f>
        <v/>
      </c>
    </row>
    <row r="24">
      <c r="A24" t="inlineStr">
        <is>
          <t>Skill Level Bonus — All Skills</t>
        </is>
      </c>
      <c r="B24">
        <f>IFERROR(1/(I24-100),"n/a")</f>
        <v/>
      </c>
      <c r="C24" t="inlineStr">
        <is>
          <t>level</t>
        </is>
      </c>
      <c r="D24">
        <f>Inputs!$B$29</f>
        <v/>
      </c>
      <c r="E24">
        <f>(Inputs!$B$29+1)</f>
        <v/>
      </c>
      <c r="F24">
        <f>Summary!$B$3</f>
        <v/>
      </c>
      <c r="G24">
        <f>B886</f>
        <v/>
      </c>
      <c r="H24">
        <f>Summary!$B$3*(((1-Summary!$B$11)*IFERROR(B884/Summary!$B$22,1)+Summary!$B$11*IFERROR(B885/Summary!$B$23,1))-1)</f>
        <v/>
      </c>
      <c r="I24">
        <f>((1-Summary!$B$11)*IFERROR(B884/Summary!$B$22,1)+Summary!$B$11*IFERROR(B885/Summary!$B$23,1))*100</f>
        <v/>
      </c>
    </row>
    <row r="25">
      <c r="A25" t="inlineStr">
        <is>
          <t>Flat ATTACK</t>
        </is>
      </c>
      <c r="B25">
        <f>IFERROR(1/(I25-100),"n/a")</f>
        <v/>
      </c>
      <c r="C25" t="inlineStr">
        <is>
          <t>flat</t>
        </is>
      </c>
      <c r="D25">
        <f>Inputs!$B$6</f>
        <v/>
      </c>
      <c r="E25">
        <f>(Inputs!$B$6+1)</f>
        <v/>
      </c>
      <c r="F25">
        <f>Summary!$B$3</f>
        <v/>
      </c>
      <c r="G25">
        <f>B927</f>
        <v/>
      </c>
      <c r="H25">
        <f>Summary!$B$3*(((1-Summary!$B$11)*IFERROR(B925/Summary!$B$22,1)+Summary!$B$11*IFERROR(B926/Summary!$B$23,1))-1)</f>
        <v/>
      </c>
      <c r="I25">
        <f>((1-Summary!$B$11)*IFERROR(B925/Summary!$B$22,1)+Summary!$B$11*IFERROR(B926/Summary!$B$23,1))*100</f>
        <v/>
      </c>
    </row>
    <row r="26">
      <c r="A26" t="inlineStr">
        <is>
          <t>ATTACK %</t>
        </is>
      </c>
      <c r="B26">
        <f>IFERROR(1/(I26-100),"n/a")</f>
        <v/>
      </c>
      <c r="C26" t="inlineStr">
        <is>
          <t>pct</t>
        </is>
      </c>
      <c r="D26">
        <f>Inputs!$B$7</f>
        <v/>
      </c>
      <c r="E26">
        <f>(Inputs!$B$7+1)</f>
        <v/>
      </c>
      <c r="F26">
        <f>Summary!$B$3</f>
        <v/>
      </c>
      <c r="G26">
        <f>B968</f>
        <v/>
      </c>
      <c r="H26">
        <f>Summary!$B$3*(((1-Summary!$B$11)*IFERROR(B966/Summary!$B$22,1)+Summary!$B$11*IFERROR(B967/Summary!$B$23,1))-1)</f>
        <v/>
      </c>
      <c r="I26">
        <f>((1-Summary!$B$11)*IFERROR(B966/Summary!$B$22,1)+Summary!$B$11*IFERROR(B967/Summary!$B$23,1))*100</f>
        <v/>
      </c>
    </row>
    <row r="27">
      <c r="A27" t="inlineStr">
        <is>
          <t>Skill Cooldown Decrease (seconds)</t>
        </is>
      </c>
      <c r="B27">
        <f>IFERROR(1/(I27-100),"n/a")</f>
        <v/>
      </c>
      <c r="C27" t="inlineStr">
        <is>
          <t>flat</t>
        </is>
      </c>
      <c r="D27">
        <f>Inputs!$B$32</f>
        <v/>
      </c>
      <c r="E27">
        <f>(Inputs!$B$32+1)</f>
        <v/>
      </c>
      <c r="F27">
        <f>Summary!$B$3</f>
        <v/>
      </c>
      <c r="G27">
        <f>B1009</f>
        <v/>
      </c>
      <c r="H27">
        <f>Summary!$B$3*(((1-Summary!$B$11)*IFERROR(B1007/Summary!$B$22,1)+Summary!$B$11*IFERROR(B1008/Summary!$B$23,1))-1)</f>
        <v/>
      </c>
      <c r="I27">
        <f>((1-Summary!$B$11)*IFERROR(B1007/Summary!$B$22,1)+Summary!$B$11*IFERROR(B1008/Summary!$B$23,1))*100</f>
        <v/>
      </c>
    </row>
    <row r="28">
      <c r="A28" t="inlineStr">
        <is>
          <t>Basic Attack Target Increase (flat)</t>
        </is>
      </c>
      <c r="B28">
        <f>IFERROR(1/(I28-100),"n/a")</f>
        <v/>
      </c>
      <c r="C28" t="inlineStr">
        <is>
          <t>flat</t>
        </is>
      </c>
      <c r="D28">
        <f>Inputs!$B$33</f>
        <v/>
      </c>
      <c r="E28">
        <f>(Inputs!$B$33+1)</f>
        <v/>
      </c>
      <c r="F28">
        <f>Summary!$B$3</f>
        <v/>
      </c>
      <c r="G28">
        <f>B1050</f>
        <v/>
      </c>
      <c r="H28">
        <f>Summary!$B$3*(((1-Summary!$B$11)*IFERROR(B1048/Summary!$B$22,1)+Summary!$B$11*IFERROR(B1049/Summary!$B$23,1))-1)</f>
        <v/>
      </c>
      <c r="I28">
        <f>((1-Summary!$B$11)*IFERROR(B1048/Summary!$B$22,1)+Summary!$B$11*IFERROR(B1049/Summary!$B$23,1))*100</f>
        <v/>
      </c>
    </row>
    <row r="29">
      <c r="A29" t="inlineStr">
        <is>
          <t>Buff Duration Increase %</t>
        </is>
      </c>
      <c r="B29">
        <f>IFERROR(1/(I29-100),"n/a")</f>
        <v/>
      </c>
      <c r="C29" t="inlineStr">
        <is>
          <t>pct</t>
        </is>
      </c>
      <c r="D29">
        <f>Inputs!$B$34</f>
        <v/>
      </c>
      <c r="E29">
        <f>(Inputs!$B$34+1)</f>
        <v/>
      </c>
      <c r="F29">
        <f>Summary!$B$3</f>
        <v/>
      </c>
      <c r="G29">
        <f>B1091</f>
        <v/>
      </c>
      <c r="H29">
        <f>Summary!$B$3*(((1-Summary!$B$11)*IFERROR(B1089/Summary!$B$22,1)+Summary!$B$11*IFERROR(B1090/Summary!$B$23,1))-1)</f>
        <v/>
      </c>
      <c r="I29">
        <f>((1-Summary!$B$11)*IFERROR(B1089/Summary!$B$22,1)+Summary!$B$11*IFERROR(B1090/Summary!$B$23,1))*100</f>
        <v/>
      </c>
    </row>
    <row r="30">
      <c r="A30" s="9" t="inlineStr">
        <is>
          <t>Artifact Equip-Toggle DPS Gain</t>
        </is>
      </c>
    </row>
    <row r="31">
      <c r="A31" s="5" t="inlineStr">
        <is>
          <t>Artifact</t>
        </is>
      </c>
      <c r="B31" s="5" t="inlineStr">
        <is>
          <t>DPS Gain</t>
        </is>
      </c>
      <c r="C31" s="5" t="inlineStr">
        <is>
          <t>% Gain</t>
        </is>
      </c>
    </row>
    <row r="32">
      <c r="A32">
        <f>IF(1&gt;COUNTIF($AD$32:$AD$67,TRUE),"",INDEX($AA$32:$AA$67,MATCH(1,$AE$32:$AE$67,0)))</f>
        <v/>
      </c>
      <c r="B32">
        <f>IF(1&gt;COUNTIF($AD$32:$AD$67,TRUE),"",INDEX($AB$32:$AB$67,MATCH(1,$AE$32:$AE$67,0)))</f>
        <v/>
      </c>
      <c r="C32">
        <f>IF(1&gt;COUNTIF($AD$32:$AD$67,TRUE),"",INDEX($AC$32:$AC$67,MATCH(1,$AE$32:$AE$67,0)))</f>
        <v/>
      </c>
      <c r="AA32" t="inlineStr">
        <is>
          <t>Charm of the Undead (Equip)</t>
        </is>
      </c>
      <c r="AB32">
        <f>(IF(ArtifactsInput!$M$5,-1,1)*Summary!$B$3*(((1-Summary!$B$11)*IFERROR(B1130/Summary!$B$22,1)+Summary!$B$11*IFERROR(B1131/Summary!$B$23,1))-1)+ArtifactsInput!$L$5)</f>
        <v/>
      </c>
      <c r="AC32">
        <f>IF(ArtifactsInput!$M$5,Summary!$B$3/(Summary!$B$3-(IF(ArtifactsInput!$M$5,-1,1)*Summary!$B$3*(((1-Summary!$B$11)*IFERROR(B1130/Summary!$B$22,1)+Summary!$B$11*IFERROR(B1131/Summary!$B$23,1))-1)+ArtifactsInput!$L$5))*100,(Summary!$B$3+(IF(ArtifactsInput!$M$5,-1,1)*Summary!$B$3*(((1-Summary!$B$11)*IFERROR(B1130/Summary!$B$22,1)+Summary!$B$11*IFERROR(B1131/Summary!$B$23,1))-1)+ArtifactsInput!$L$5))/Summary!$B$3*100)</f>
        <v/>
      </c>
      <c r="AD32">
        <f>ArtifactsInput!$B$5&lt;&gt;"Not Unlocked"</f>
        <v/>
      </c>
      <c r="AE32">
        <f>IF(AD32,SUMPRODUCT(($AD$32:$AD$67)*($AC$32:$AC$67&gt;AC32))+COUNTIFS($AD$32:AD32,TRUE,$AC$32:AC32,AC32),"")</f>
        <v/>
      </c>
    </row>
    <row r="33">
      <c r="A33">
        <f>IF(2&gt;COUNTIF($AD$32:$AD$67,TRUE),"",INDEX($AA$32:$AA$67,MATCH(2,$AE$32:$AE$67,0)))</f>
        <v/>
      </c>
      <c r="B33">
        <f>IF(2&gt;COUNTIF($AD$32:$AD$67,TRUE),"",INDEX($AB$32:$AB$67,MATCH(2,$AE$32:$AE$67,0)))</f>
        <v/>
      </c>
      <c r="C33">
        <f>IF(2&gt;COUNTIF($AD$32:$AD$67,TRUE),"",INDEX($AC$32:$AC$67,MATCH(2,$AE$32:$AE$67,0)))</f>
        <v/>
      </c>
      <c r="AA33" t="inlineStr">
        <is>
          <t>Pig's Ribbon (Equip)</t>
        </is>
      </c>
      <c r="AB33">
        <f>(IF(ArtifactsInput!$M$6,-1,1)*Summary!$B$3*(((1-Summary!$B$11)*IFERROR(B1171/Summary!$B$22,1)+Summary!$B$11*IFERROR(B1172/Summary!$B$23,1))-1)+ArtifactsInput!$L$6)</f>
        <v/>
      </c>
      <c r="AC33">
        <f>IF(ArtifactsInput!$M$6,Summary!$B$3/(Summary!$B$3-(IF(ArtifactsInput!$M$6,-1,1)*Summary!$B$3*(((1-Summary!$B$11)*IFERROR(B1171/Summary!$B$22,1)+Summary!$B$11*IFERROR(B1172/Summary!$B$23,1))-1)+ArtifactsInput!$L$6))*100,(Summary!$B$3+(IF(ArtifactsInput!$M$6,-1,1)*Summary!$B$3*(((1-Summary!$B$11)*IFERROR(B1171/Summary!$B$22,1)+Summary!$B$11*IFERROR(B1172/Summary!$B$23,1))-1)+ArtifactsInput!$L$6))/Summary!$B$3*100)</f>
        <v/>
      </c>
      <c r="AD33">
        <f>ArtifactsInput!$B$6&lt;&gt;"Not Unlocked"</f>
        <v/>
      </c>
      <c r="AE33">
        <f>IF(AD33,SUMPRODUCT(($AD$32:$AD$67)*($AC$32:$AC$67&gt;AC33))+COUNTIFS($AD$32:AD33,TRUE,$AC$32:AC33,AC33),"")</f>
        <v/>
      </c>
    </row>
    <row r="34">
      <c r="A34">
        <f>IF(3&gt;COUNTIF($AD$32:$AD$67,TRUE),"",INDEX($AA$32:$AA$67,MATCH(3,$AE$32:$AE$67,0)))</f>
        <v/>
      </c>
      <c r="B34">
        <f>IF(3&gt;COUNTIF($AD$32:$AD$67,TRUE),"",INDEX($AB$32:$AB$67,MATCH(3,$AE$32:$AE$67,0)))</f>
        <v/>
      </c>
      <c r="C34">
        <f>IF(3&gt;COUNTIF($AD$32:$AD$67,TRUE),"",INDEX($AC$32:$AC$67,MATCH(3,$AE$32:$AE$67,0)))</f>
        <v/>
      </c>
      <c r="AA34" t="inlineStr">
        <is>
          <t>Shamaness Marble (Equip)</t>
        </is>
      </c>
      <c r="AB34">
        <f>(IF(ArtifactsInput!$M$7,-1,1)*Summary!$B$3*(((1-Summary!$B$11)*IFERROR(B1212/Summary!$B$22,1)+Summary!$B$11*IFERROR(B1213/Summary!$B$23,1))-1)+ArtifactsInput!$L$7)</f>
        <v/>
      </c>
      <c r="AC34">
        <f>IF(ArtifactsInput!$M$7,Summary!$B$3/(Summary!$B$3-(IF(ArtifactsInput!$M$7,-1,1)*Summary!$B$3*(((1-Summary!$B$11)*IFERROR(B1212/Summary!$B$22,1)+Summary!$B$11*IFERROR(B1213/Summary!$B$23,1))-1)+ArtifactsInput!$L$7))*100,(Summary!$B$3+(IF(ArtifactsInput!$M$7,-1,1)*Summary!$B$3*(((1-Summary!$B$11)*IFERROR(B1212/Summary!$B$22,1)+Summary!$B$11*IFERROR(B1213/Summary!$B$23,1))-1)+ArtifactsInput!$L$7))/Summary!$B$3*100)</f>
        <v/>
      </c>
      <c r="AD34">
        <f>ArtifactsInput!$B$7&lt;&gt;"Not Unlocked"</f>
        <v/>
      </c>
      <c r="AE34">
        <f>IF(AD34,SUMPRODUCT(($AD$32:$AD$67)*($AC$32:$AC$67&gt;AC34))+COUNTIFS($AD$32:AD34,TRUE,$AC$32:AC34,AC34),"")</f>
        <v/>
      </c>
    </row>
    <row r="35">
      <c r="A35">
        <f>IF(4&gt;COUNTIF($AD$32:$AD$67,TRUE),"",INDEX($AA$32:$AA$67,MATCH(4,$AE$32:$AE$67,0)))</f>
        <v/>
      </c>
      <c r="B35">
        <f>IF(4&gt;COUNTIF($AD$32:$AD$67,TRUE),"",INDEX($AB$32:$AB$67,MATCH(4,$AE$32:$AE$67,0)))</f>
        <v/>
      </c>
      <c r="C35">
        <f>IF(4&gt;COUNTIF($AD$32:$AD$67,TRUE),"",INDEX($AC$32:$AC$67,MATCH(4,$AE$32:$AE$67,0)))</f>
        <v/>
      </c>
      <c r="AA35" t="inlineStr">
        <is>
          <t>The Contract of Darkness (Equip)</t>
        </is>
      </c>
      <c r="AB35">
        <f>(IF(ArtifactsInput!$M$8,-1,1)*Summary!$B$3*(((1-Summary!$B$11)*IFERROR(B1253/Summary!$B$22,1)+Summary!$B$11*IFERROR(B1254/Summary!$B$23,1))-1)+ArtifactsInput!$L$8)</f>
        <v/>
      </c>
      <c r="AC35">
        <f>IF(ArtifactsInput!$M$8,Summary!$B$3/(Summary!$B$3-(IF(ArtifactsInput!$M$8,-1,1)*Summary!$B$3*(((1-Summary!$B$11)*IFERROR(B1253/Summary!$B$22,1)+Summary!$B$11*IFERROR(B1254/Summary!$B$23,1))-1)+ArtifactsInput!$L$8))*100,(Summary!$B$3+(IF(ArtifactsInput!$M$8,-1,1)*Summary!$B$3*(((1-Summary!$B$11)*IFERROR(B1253/Summary!$B$22,1)+Summary!$B$11*IFERROR(B1254/Summary!$B$23,1))-1)+ArtifactsInput!$L$8))/Summary!$B$3*100)</f>
        <v/>
      </c>
      <c r="AD35">
        <f>ArtifactsInput!$B$8&lt;&gt;"Not Unlocked"</f>
        <v/>
      </c>
      <c r="AE35">
        <f>IF(AD35,SUMPRODUCT(($AD$32:$AD$67)*($AC$32:$AC$67&gt;AC35))+COUNTIFS($AD$32:AD35,TRUE,$AC$32:AC35,AC35),"")</f>
        <v/>
      </c>
    </row>
    <row r="36">
      <c r="A36">
        <f>IF(5&gt;COUNTIF($AD$32:$AD$67,TRUE),"",INDEX($AA$32:$AA$67,MATCH(5,$AE$32:$AE$67,0)))</f>
        <v/>
      </c>
      <c r="B36">
        <f>IF(5&gt;COUNTIF($AD$32:$AD$67,TRUE),"",INDEX($AB$32:$AB$67,MATCH(5,$AE$32:$AE$67,0)))</f>
        <v/>
      </c>
      <c r="C36">
        <f>IF(5&gt;COUNTIF($AD$32:$AD$67,TRUE),"",INDEX($AC$32:$AC$67,MATCH(5,$AE$32:$AE$67,0)))</f>
        <v/>
      </c>
      <c r="AA36" t="inlineStr">
        <is>
          <t>Rainbow-colored Snail Shell (Equip)</t>
        </is>
      </c>
      <c r="AB36">
        <f>(IF(ArtifactsInput!$M$10,-1,1)*Summary!$B$3*(((1-Summary!$B$11)*IFERROR(B1294/Summary!$B$22,1)+Summary!$B$11*IFERROR(B1295/Summary!$B$23,1))-1)+ArtifactsInput!$L$10)</f>
        <v/>
      </c>
      <c r="AC36">
        <f>IF(ArtifactsInput!$M$10,Summary!$B$3/(Summary!$B$3-(IF(ArtifactsInput!$M$10,-1,1)*Summary!$B$3*(((1-Summary!$B$11)*IFERROR(B1294/Summary!$B$22,1)+Summary!$B$11*IFERROR(B1295/Summary!$B$23,1))-1)+ArtifactsInput!$L$10))*100,(Summary!$B$3+(IF(ArtifactsInput!$M$10,-1,1)*Summary!$B$3*(((1-Summary!$B$11)*IFERROR(B1294/Summary!$B$22,1)+Summary!$B$11*IFERROR(B1295/Summary!$B$23,1))-1)+ArtifactsInput!$L$10))/Summary!$B$3*100)</f>
        <v/>
      </c>
      <c r="AD36">
        <f>ArtifactsInput!$B$10&lt;&gt;"Not Unlocked"</f>
        <v/>
      </c>
      <c r="AE36">
        <f>IF(AD36,SUMPRODUCT(($AD$32:$AD$67)*($AC$32:$AC$67&gt;AC36))+COUNTIFS($AD$32:AD36,TRUE,$AC$32:AC36,AC36),"")</f>
        <v/>
      </c>
    </row>
    <row r="37">
      <c r="A37">
        <f>IF(6&gt;COUNTIF($AD$32:$AD$67,TRUE),"",INDEX($AA$32:$AA$67,MATCH(6,$AE$32:$AE$67,0)))</f>
        <v/>
      </c>
      <c r="B37">
        <f>IF(6&gt;COUNTIF($AD$32:$AD$67,TRUE),"",INDEX($AB$32:$AB$67,MATCH(6,$AE$32:$AE$67,0)))</f>
        <v/>
      </c>
      <c r="C37">
        <f>IF(6&gt;COUNTIF($AD$32:$AD$67,TRUE),"",INDEX($AC$32:$AC$67,MATCH(6,$AE$32:$AE$67,0)))</f>
        <v/>
      </c>
      <c r="AA37" t="inlineStr">
        <is>
          <t>Hexagon Necklace (Equip)</t>
        </is>
      </c>
      <c r="AB37">
        <f>(IF(ArtifactsInput!$M$11,-1,1)*Summary!$B$3*(((1-Summary!$B$11)*IFERROR(B1335/Summary!$B$22,1)+Summary!$B$11*IFERROR(B1336/Summary!$B$23,1))-1)+ArtifactsInput!$L$11)</f>
        <v/>
      </c>
      <c r="AC37">
        <f>IF(ArtifactsInput!$M$11,Summary!$B$3/(Summary!$B$3-(IF(ArtifactsInput!$M$11,-1,1)*Summary!$B$3*(((1-Summary!$B$11)*IFERROR(B1335/Summary!$B$22,1)+Summary!$B$11*IFERROR(B1336/Summary!$B$23,1))-1)+ArtifactsInput!$L$11))*100,(Summary!$B$3+(IF(ArtifactsInput!$M$11,-1,1)*Summary!$B$3*(((1-Summary!$B$11)*IFERROR(B1335/Summary!$B$22,1)+Summary!$B$11*IFERROR(B1336/Summary!$B$23,1))-1)+ArtifactsInput!$L$11))/Summary!$B$3*100)</f>
        <v/>
      </c>
      <c r="AD37">
        <f>ArtifactsInput!$B$11&lt;&gt;"Not Unlocked"</f>
        <v/>
      </c>
      <c r="AE37">
        <f>IF(AD37,SUMPRODUCT(($AD$32:$AD$67)*($AC$32:$AC$67&gt;AC37))+COUNTIFS($AD$32:AD37,TRUE,$AC$32:AC37,AC37),"")</f>
        <v/>
      </c>
    </row>
    <row r="38">
      <c r="A38">
        <f>IF(7&gt;COUNTIF($AD$32:$AD$67,TRUE),"",INDEX($AA$32:$AA$67,MATCH(7,$AE$32:$AE$67,0)))</f>
        <v/>
      </c>
      <c r="B38">
        <f>IF(7&gt;COUNTIF($AD$32:$AD$67,TRUE),"",INDEX($AB$32:$AB$67,MATCH(7,$AE$32:$AE$67,0)))</f>
        <v/>
      </c>
      <c r="C38">
        <f>IF(7&gt;COUNTIF($AD$32:$AD$67,TRUE),"",INDEX($AC$32:$AC$67,MATCH(7,$AE$32:$AE$67,0)))</f>
        <v/>
      </c>
      <c r="AA38" t="inlineStr">
        <is>
          <t>Arwen's Glass Shoes (Equip)</t>
        </is>
      </c>
      <c r="AB38">
        <f>(IF(ArtifactsInput!$M$12,-1,1)*Summary!$B$3*(((1-Summary!$B$11)*IFERROR(B1376/Summary!$B$22,1)+Summary!$B$11*IFERROR(B1377/Summary!$B$23,1))-1)+ArtifactsInput!$L$12)</f>
        <v/>
      </c>
      <c r="AC38">
        <f>IF(ArtifactsInput!$M$12,Summary!$B$3/(Summary!$B$3-(IF(ArtifactsInput!$M$12,-1,1)*Summary!$B$3*(((1-Summary!$B$11)*IFERROR(B1376/Summary!$B$22,1)+Summary!$B$11*IFERROR(B1377/Summary!$B$23,1))-1)+ArtifactsInput!$L$12))*100,(Summary!$B$3+(IF(ArtifactsInput!$M$12,-1,1)*Summary!$B$3*(((1-Summary!$B$11)*IFERROR(B1376/Summary!$B$22,1)+Summary!$B$11*IFERROR(B1377/Summary!$B$23,1))-1)+ArtifactsInput!$L$12))/Summary!$B$3*100)</f>
        <v/>
      </c>
      <c r="AD38">
        <f>ArtifactsInput!$B$12&lt;&gt;"Not Unlocked"</f>
        <v/>
      </c>
      <c r="AE38">
        <f>IF(AD38,SUMPRODUCT(($AD$32:$AD$67)*($AC$32:$AC$67&gt;AC38))+COUNTIFS($AD$32:AD38,TRUE,$AC$32:AC38,AC38),"")</f>
        <v/>
      </c>
    </row>
    <row r="39">
      <c r="A39">
        <f>IF(8&gt;COUNTIF($AD$32:$AD$67,TRUE),"",INDEX($AA$32:$AA$67,MATCH(8,$AE$32:$AE$67,0)))</f>
        <v/>
      </c>
      <c r="B39">
        <f>IF(8&gt;COUNTIF($AD$32:$AD$67,TRUE),"",INDEX($AB$32:$AB$67,MATCH(8,$AE$32:$AE$67,0)))</f>
        <v/>
      </c>
      <c r="C39">
        <f>IF(8&gt;COUNTIF($AD$32:$AD$67,TRUE),"",INDEX($AC$32:$AC$67,MATCH(8,$AE$32:$AE$67,0)))</f>
        <v/>
      </c>
      <c r="AA39" t="inlineStr">
        <is>
          <t>Mushmom's Cap (Equip)</t>
        </is>
      </c>
      <c r="AB39">
        <f>(IF(ArtifactsInput!$M$13,-1,1)*Summary!$B$3*(((1-Summary!$B$11)*IFERROR(B1417/Summary!$B$22,1)+Summary!$B$11*IFERROR(B1418/Summary!$B$23,1))-1)+ArtifactsInput!$L$13)</f>
        <v/>
      </c>
      <c r="AC39">
        <f>IF(ArtifactsInput!$M$13,Summary!$B$3/(Summary!$B$3-(IF(ArtifactsInput!$M$13,-1,1)*Summary!$B$3*(((1-Summary!$B$11)*IFERROR(B1417/Summary!$B$22,1)+Summary!$B$11*IFERROR(B1418/Summary!$B$23,1))-1)+ArtifactsInput!$L$13))*100,(Summary!$B$3+(IF(ArtifactsInput!$M$13,-1,1)*Summary!$B$3*(((1-Summary!$B$11)*IFERROR(B1417/Summary!$B$22,1)+Summary!$B$11*IFERROR(B1418/Summary!$B$23,1))-1)+ArtifactsInput!$L$13))/Summary!$B$3*100)</f>
        <v/>
      </c>
      <c r="AD39">
        <f>ArtifactsInput!$B$13&lt;&gt;"Not Unlocked"</f>
        <v/>
      </c>
      <c r="AE39">
        <f>IF(AD39,SUMPRODUCT(($AD$32:$AD$67)*($AC$32:$AC$67&gt;AC39))+COUNTIFS($AD$32:AD39,TRUE,$AC$32:AC39,AC39),"")</f>
        <v/>
      </c>
    </row>
    <row r="40">
      <c r="A40">
        <f>IF(9&gt;COUNTIF($AD$32:$AD$67,TRUE),"",INDEX($AA$32:$AA$67,MATCH(9,$AE$32:$AE$67,0)))</f>
        <v/>
      </c>
      <c r="B40">
        <f>IF(9&gt;COUNTIF($AD$32:$AD$67,TRUE),"",INDEX($AB$32:$AB$67,MATCH(9,$AE$32:$AE$67,0)))</f>
        <v/>
      </c>
      <c r="C40">
        <f>IF(9&gt;COUNTIF($AD$32:$AD$67,TRUE),"",INDEX($AC$32:$AC$67,MATCH(9,$AE$32:$AE$67,0)))</f>
        <v/>
      </c>
      <c r="AA40" t="inlineStr">
        <is>
          <t>Clear Spring Water (Equip)</t>
        </is>
      </c>
      <c r="AB40">
        <f>(IF(ArtifactsInput!$M$14,-1,1)*Summary!$B$3*(((1-Summary!$B$11)*IFERROR(B1458/Summary!$B$22,1)+Summary!$B$11*IFERROR(B1459/Summary!$B$23,1))-1)+ArtifactsInput!$L$14)</f>
        <v/>
      </c>
      <c r="AC40">
        <f>IF(ArtifactsInput!$M$14,Summary!$B$3/(Summary!$B$3-(IF(ArtifactsInput!$M$14,-1,1)*Summary!$B$3*(((1-Summary!$B$11)*IFERROR(B1458/Summary!$B$22,1)+Summary!$B$11*IFERROR(B1459/Summary!$B$23,1))-1)+ArtifactsInput!$L$14))*100,(Summary!$B$3+(IF(ArtifactsInput!$M$14,-1,1)*Summary!$B$3*(((1-Summary!$B$11)*IFERROR(B1458/Summary!$B$22,1)+Summary!$B$11*IFERROR(B1459/Summary!$B$23,1))-1)+ArtifactsInput!$L$14))/Summary!$B$3*100)</f>
        <v/>
      </c>
      <c r="AD40">
        <f>ArtifactsInput!$B$14&lt;&gt;"Not Unlocked"</f>
        <v/>
      </c>
      <c r="AE40">
        <f>IF(AD40,SUMPRODUCT(($AD$32:$AD$67)*($AC$32:$AC$67&gt;AC40))+COUNTIFS($AD$32:AD40,TRUE,$AC$32:AC40,AC40),"")</f>
        <v/>
      </c>
    </row>
    <row r="41">
      <c r="A41">
        <f>IF(10&gt;COUNTIF($AD$32:$AD$67,TRUE),"",INDEX($AA$32:$AA$67,MATCH(10,$AE$32:$AE$67,0)))</f>
        <v/>
      </c>
      <c r="B41">
        <f>IF(10&gt;COUNTIF($AD$32:$AD$67,TRUE),"",INDEX($AB$32:$AB$67,MATCH(10,$AE$32:$AE$67,0)))</f>
        <v/>
      </c>
      <c r="C41">
        <f>IF(10&gt;COUNTIF($AD$32:$AD$67,TRUE),"",INDEX($AC$32:$AC$67,MATCH(10,$AE$32:$AE$67,0)))</f>
        <v/>
      </c>
      <c r="AA41" t="inlineStr">
        <is>
          <t>Athena Pierce's Old Gloves (Equip)</t>
        </is>
      </c>
      <c r="AB41">
        <f>(IF(ArtifactsInput!$M$15,-1,1)*Summary!$B$3*(((1-Summary!$B$11)*IFERROR(B1499/Summary!$B$22,1)+Summary!$B$11*IFERROR(B1500/Summary!$B$23,1))-1)+ArtifactsInput!$L$15)</f>
        <v/>
      </c>
      <c r="AC41">
        <f>IF(ArtifactsInput!$M$15,Summary!$B$3/(Summary!$B$3-(IF(ArtifactsInput!$M$15,-1,1)*Summary!$B$3*(((1-Summary!$B$11)*IFERROR(B1499/Summary!$B$22,1)+Summary!$B$11*IFERROR(B1500/Summary!$B$23,1))-1)+ArtifactsInput!$L$15))*100,(Summary!$B$3+(IF(ArtifactsInput!$M$15,-1,1)*Summary!$B$3*(((1-Summary!$B$11)*IFERROR(B1499/Summary!$B$22,1)+Summary!$B$11*IFERROR(B1500/Summary!$B$23,1))-1)+ArtifactsInput!$L$15))/Summary!$B$3*100)</f>
        <v/>
      </c>
      <c r="AD41">
        <f>ArtifactsInput!$B$15&lt;&gt;"Not Unlocked"</f>
        <v/>
      </c>
      <c r="AE41">
        <f>IF(AD41,SUMPRODUCT(($AD$32:$AD$67)*($AC$32:$AC$67&gt;AC41))+COUNTIFS($AD$32:AD41,TRUE,$AC$32:AC41,AC41),"")</f>
        <v/>
      </c>
    </row>
    <row r="42">
      <c r="A42">
        <f>IF(11&gt;COUNTIF($AD$32:$AD$67,TRUE),"",INDEX($AA$32:$AA$67,MATCH(11,$AE$32:$AE$67,0)))</f>
        <v/>
      </c>
      <c r="B42">
        <f>IF(11&gt;COUNTIF($AD$32:$AD$67,TRUE),"",INDEX($AB$32:$AB$67,MATCH(11,$AE$32:$AE$67,0)))</f>
        <v/>
      </c>
      <c r="C42">
        <f>IF(11&gt;COUNTIF($AD$32:$AD$67,TRUE),"",INDEX($AC$32:$AC$67,MATCH(11,$AE$32:$AE$67,0)))</f>
        <v/>
      </c>
      <c r="AA42" t="inlineStr">
        <is>
          <t>Zakum's Stone Piece (Equip)</t>
        </is>
      </c>
      <c r="AB42">
        <f>(IF(ArtifactsInput!$M$16,-1,1)*Summary!$B$3*(((1-Summary!$B$11)*IFERROR(B1540/Summary!$B$22,1)+Summary!$B$11*IFERROR(B1541/Summary!$B$23,1))-1)+ArtifactsInput!$L$16)</f>
        <v/>
      </c>
      <c r="AC42">
        <f>IF(ArtifactsInput!$M$16,Summary!$B$3/(Summary!$B$3-(IF(ArtifactsInput!$M$16,-1,1)*Summary!$B$3*(((1-Summary!$B$11)*IFERROR(B1540/Summary!$B$22,1)+Summary!$B$11*IFERROR(B1541/Summary!$B$23,1))-1)+ArtifactsInput!$L$16))*100,(Summary!$B$3+(IF(ArtifactsInput!$M$16,-1,1)*Summary!$B$3*(((1-Summary!$B$11)*IFERROR(B1540/Summary!$B$22,1)+Summary!$B$11*IFERROR(B1541/Summary!$B$23,1))-1)+ArtifactsInput!$L$16))/Summary!$B$3*100)</f>
        <v/>
      </c>
      <c r="AD42">
        <f>ArtifactsInput!$B$16&lt;&gt;"Not Unlocked"</f>
        <v/>
      </c>
      <c r="AE42">
        <f>IF(AD42,SUMPRODUCT(($AD$32:$AD$67)*($AC$32:$AC$67&gt;AC42))+COUNTIFS($AD$32:AD42,TRUE,$AC$32:AC42,AC42),"")</f>
        <v/>
      </c>
    </row>
    <row r="43">
      <c r="A43">
        <f>IF(12&gt;COUNTIF($AD$32:$AD$67,TRUE),"",INDEX($AA$32:$AA$67,MATCH(12,$AE$32:$AE$67,0)))</f>
        <v/>
      </c>
      <c r="B43">
        <f>IF(12&gt;COUNTIF($AD$32:$AD$67,TRUE),"",INDEX($AB$32:$AB$67,MATCH(12,$AE$32:$AE$67,0)))</f>
        <v/>
      </c>
      <c r="C43">
        <f>IF(12&gt;COUNTIF($AD$32:$AD$67,TRUE),"",INDEX($AC$32:$AC$67,MATCH(12,$AE$32:$AE$67,0)))</f>
        <v/>
      </c>
      <c r="AA43" t="inlineStr">
        <is>
          <t>Horntail's Scale (Equip)</t>
        </is>
      </c>
      <c r="AB43">
        <f>(IF(ArtifactsInput!$M$17,-1,1)*Summary!$B$3*(((1-Summary!$B$11)*IFERROR(B1581/Summary!$B$22,1)+Summary!$B$11*IFERROR(B1582/Summary!$B$23,1))-1)+ArtifactsInput!$L$17)</f>
        <v/>
      </c>
      <c r="AC43">
        <f>IF(ArtifactsInput!$M$17,Summary!$B$3/(Summary!$B$3-(IF(ArtifactsInput!$M$17,-1,1)*Summary!$B$3*(((1-Summary!$B$11)*IFERROR(B1581/Summary!$B$22,1)+Summary!$B$11*IFERROR(B1582/Summary!$B$23,1))-1)+ArtifactsInput!$L$17))*100,(Summary!$B$3+(IF(ArtifactsInput!$M$17,-1,1)*Summary!$B$3*(((1-Summary!$B$11)*IFERROR(B1581/Summary!$B$22,1)+Summary!$B$11*IFERROR(B1582/Summary!$B$23,1))-1)+ArtifactsInput!$L$17))/Summary!$B$3*100)</f>
        <v/>
      </c>
      <c r="AD43">
        <f>ArtifactsInput!$B$17&lt;&gt;"Not Unlocked"</f>
        <v/>
      </c>
      <c r="AE43">
        <f>IF(AD43,SUMPRODUCT(($AD$32:$AD$67)*($AC$32:$AC$67&gt;AC43))+COUNTIFS($AD$32:AD43,TRUE,$AC$32:AC43,AC43),"")</f>
        <v/>
      </c>
    </row>
    <row r="44">
      <c r="A44">
        <f>IF(13&gt;COUNTIF($AD$32:$AD$67,TRUE),"",INDEX($AA$32:$AA$67,MATCH(13,$AE$32:$AE$67,0)))</f>
        <v/>
      </c>
      <c r="B44">
        <f>IF(13&gt;COUNTIF($AD$32:$AD$67,TRUE),"",INDEX($AB$32:$AB$67,MATCH(13,$AE$32:$AE$67,0)))</f>
        <v/>
      </c>
      <c r="C44">
        <f>IF(13&gt;COUNTIF($AD$32:$AD$67,TRUE),"",INDEX($AC$32:$AC$67,MATCH(13,$AE$32:$AE$67,0)))</f>
        <v/>
      </c>
      <c r="AA44" t="inlineStr">
        <is>
          <t>Pink Bean's Giant Rib (Equip)</t>
        </is>
      </c>
      <c r="AB44">
        <f>(IF(ArtifactsInput!$M$18,-1,1)*Summary!$B$3*(((1-Summary!$B$11)*IFERROR(B1622/Summary!$B$22,1)+Summary!$B$11*IFERROR(B1623/Summary!$B$23,1))-1)+ArtifactsInput!$L$18)</f>
        <v/>
      </c>
      <c r="AC44">
        <f>IF(ArtifactsInput!$M$18,Summary!$B$3/(Summary!$B$3-(IF(ArtifactsInput!$M$18,-1,1)*Summary!$B$3*(((1-Summary!$B$11)*IFERROR(B1622/Summary!$B$22,1)+Summary!$B$11*IFERROR(B1623/Summary!$B$23,1))-1)+ArtifactsInput!$L$18))*100,(Summary!$B$3+(IF(ArtifactsInput!$M$18,-1,1)*Summary!$B$3*(((1-Summary!$B$11)*IFERROR(B1622/Summary!$B$22,1)+Summary!$B$11*IFERROR(B1623/Summary!$B$23,1))-1)+ArtifactsInput!$L$18))/Summary!$B$3*100)</f>
        <v/>
      </c>
      <c r="AD44">
        <f>ArtifactsInput!$B$18&lt;&gt;"Not Unlocked"</f>
        <v/>
      </c>
      <c r="AE44">
        <f>IF(AD44,SUMPRODUCT(($AD$32:$AD$67)*($AC$32:$AC$67&gt;AC44))+COUNTIFS($AD$32:AD44,TRUE,$AC$32:AC44,AC44),"")</f>
        <v/>
      </c>
    </row>
    <row r="45">
      <c r="A45">
        <f>IF(14&gt;COUNTIF($AD$32:$AD$67,TRUE),"",INDEX($AA$32:$AA$67,MATCH(14,$AE$32:$AE$67,0)))</f>
        <v/>
      </c>
      <c r="B45">
        <f>IF(14&gt;COUNTIF($AD$32:$AD$67,TRUE),"",INDEX($AB$32:$AB$67,MATCH(14,$AE$32:$AE$67,0)))</f>
        <v/>
      </c>
      <c r="C45">
        <f>IF(14&gt;COUNTIF($AD$32:$AD$67,TRUE),"",INDEX($AC$32:$AC$67,MATCH(14,$AE$32:$AE$67,0)))</f>
        <v/>
      </c>
      <c r="AA45" t="inlineStr">
        <is>
          <t>Chalice (Equip)</t>
        </is>
      </c>
      <c r="AB45">
        <f>(IF(ArtifactsInput!$M$20,-1,1)*Summary!$B$3*(((1-Summary!$B$11)*IFERROR(B1663/Summary!$B$22,1)+Summary!$B$11*IFERROR(B1664/Summary!$B$23,1))-1)+ArtifactsInput!$L$20)</f>
        <v/>
      </c>
      <c r="AC45">
        <f>IF(ArtifactsInput!$M$20,Summary!$B$3/(Summary!$B$3-(IF(ArtifactsInput!$M$20,-1,1)*Summary!$B$3*(((1-Summary!$B$11)*IFERROR(B1663/Summary!$B$22,1)+Summary!$B$11*IFERROR(B1664/Summary!$B$23,1))-1)+ArtifactsInput!$L$20))*100,(Summary!$B$3+(IF(ArtifactsInput!$M$20,-1,1)*Summary!$B$3*(((1-Summary!$B$11)*IFERROR(B1663/Summary!$B$22,1)+Summary!$B$11*IFERROR(B1664/Summary!$B$23,1))-1)+ArtifactsInput!$L$20))/Summary!$B$3*100)</f>
        <v/>
      </c>
      <c r="AD45">
        <f>ArtifactsInput!$B$20&lt;&gt;"Not Unlocked"</f>
        <v/>
      </c>
      <c r="AE45">
        <f>IF(AD45,SUMPRODUCT(($AD$32:$AD$67)*($AC$32:$AC$67&gt;AC45))+COUNTIFS($AD$32:AD45,TRUE,$AC$32:AC45,AC45),"")</f>
        <v/>
      </c>
    </row>
    <row r="46">
      <c r="A46">
        <f>IF(15&gt;COUNTIF($AD$32:$AD$67,TRUE),"",INDEX($AA$32:$AA$67,MATCH(15,$AE$32:$AE$67,0)))</f>
        <v/>
      </c>
      <c r="B46">
        <f>IF(15&gt;COUNTIF($AD$32:$AD$67,TRUE),"",INDEX($AB$32:$AB$67,MATCH(15,$AE$32:$AE$67,0)))</f>
        <v/>
      </c>
      <c r="C46">
        <f>IF(15&gt;COUNTIF($AD$32:$AD$67,TRUE),"",INDEX($AC$32:$AC$67,MATCH(15,$AE$32:$AE$67,0)))</f>
        <v/>
      </c>
      <c r="AA46" t="inlineStr">
        <is>
          <t>Old Music Box (Equip)</t>
        </is>
      </c>
      <c r="AB46">
        <f>(IF(ArtifactsInput!$M$21,-1,1)*Summary!$B$3*(((1-Summary!$B$11)*IFERROR(B1704/Summary!$B$22,1)+Summary!$B$11*IFERROR(B1705/Summary!$B$23,1))-1)+ArtifactsInput!$L$21)</f>
        <v/>
      </c>
      <c r="AC46">
        <f>IF(ArtifactsInput!$M$21,Summary!$B$3/(Summary!$B$3-(IF(ArtifactsInput!$M$21,-1,1)*Summary!$B$3*(((1-Summary!$B$11)*IFERROR(B1704/Summary!$B$22,1)+Summary!$B$11*IFERROR(B1705/Summary!$B$23,1))-1)+ArtifactsInput!$L$21))*100,(Summary!$B$3+(IF(ArtifactsInput!$M$21,-1,1)*Summary!$B$3*(((1-Summary!$B$11)*IFERROR(B1704/Summary!$B$22,1)+Summary!$B$11*IFERROR(B1705/Summary!$B$23,1))-1)+ArtifactsInput!$L$21))/Summary!$B$3*100)</f>
        <v/>
      </c>
      <c r="AD46">
        <f>ArtifactsInput!$B$21&lt;&gt;"Not Unlocked"</f>
        <v/>
      </c>
      <c r="AE46">
        <f>IF(AD46,SUMPRODUCT(($AD$32:$AD$67)*($AC$32:$AC$67&gt;AC46))+COUNTIFS($AD$32:AD46,TRUE,$AC$32:AC46,AC46),"")</f>
        <v/>
      </c>
    </row>
    <row r="47">
      <c r="A47">
        <f>IF(16&gt;COUNTIF($AD$32:$AD$67,TRUE),"",INDEX($AA$32:$AA$67,MATCH(16,$AE$32:$AE$67,0)))</f>
        <v/>
      </c>
      <c r="B47">
        <f>IF(16&gt;COUNTIF($AD$32:$AD$67,TRUE),"",INDEX($AB$32:$AB$67,MATCH(16,$AE$32:$AE$67,0)))</f>
        <v/>
      </c>
      <c r="C47">
        <f>IF(16&gt;COUNTIF($AD$32:$AD$67,TRUE),"",INDEX($AC$32:$AC$67,MATCH(16,$AE$32:$AE$67,0)))</f>
        <v/>
      </c>
      <c r="AA47" t="inlineStr">
        <is>
          <t>Silver Pendant (Equip)</t>
        </is>
      </c>
      <c r="AB47">
        <f>(IF(ArtifactsInput!$M$22,-1,1)*Summary!$B$3*(((1-Summary!$B$11)*IFERROR(B1745/Summary!$B$22,1)+Summary!$B$11*IFERROR(B1746/Summary!$B$23,1))-1)+ArtifactsInput!$L$22)</f>
        <v/>
      </c>
      <c r="AC47">
        <f>IF(ArtifactsInput!$M$22,Summary!$B$3/(Summary!$B$3-(IF(ArtifactsInput!$M$22,-1,1)*Summary!$B$3*(((1-Summary!$B$11)*IFERROR(B1745/Summary!$B$22,1)+Summary!$B$11*IFERROR(B1746/Summary!$B$23,1))-1)+ArtifactsInput!$L$22))*100,(Summary!$B$3+(IF(ArtifactsInput!$M$22,-1,1)*Summary!$B$3*(((1-Summary!$B$11)*IFERROR(B1745/Summary!$B$22,1)+Summary!$B$11*IFERROR(B1746/Summary!$B$23,1))-1)+ArtifactsInput!$L$22))/Summary!$B$3*100)</f>
        <v/>
      </c>
      <c r="AD47">
        <f>ArtifactsInput!$B$22&lt;&gt;"Not Unlocked"</f>
        <v/>
      </c>
      <c r="AE47">
        <f>IF(AD47,SUMPRODUCT(($AD$32:$AD$67)*($AC$32:$AC$67&gt;AC47))+COUNTIFS($AD$32:AD47,TRUE,$AC$32:AC47,AC47),"")</f>
        <v/>
      </c>
    </row>
    <row r="48">
      <c r="A48">
        <f>IF(17&gt;COUNTIF($AD$32:$AD$67,TRUE),"",INDEX($AA$32:$AA$67,MATCH(17,$AE$32:$AE$67,0)))</f>
        <v/>
      </c>
      <c r="B48">
        <f>IF(17&gt;COUNTIF($AD$32:$AD$67,TRUE),"",INDEX($AB$32:$AB$67,MATCH(17,$AE$32:$AE$67,0)))</f>
        <v/>
      </c>
      <c r="C48">
        <f>IF(17&gt;COUNTIF($AD$32:$AD$67,TRUE),"",INDEX($AC$32:$AC$67,MATCH(17,$AE$32:$AE$67,0)))</f>
        <v/>
      </c>
      <c r="AA48" t="inlineStr">
        <is>
          <t>Star Rock (Equip)</t>
        </is>
      </c>
      <c r="AB48">
        <f>(IF(ArtifactsInput!$M$23,-1,1)*Summary!$B$3*(((1-Summary!$B$11)*IFERROR(B1786/Summary!$B$22,1)+Summary!$B$11*IFERROR(B1787/Summary!$B$23,1))-1)+ArtifactsInput!$L$23)</f>
        <v/>
      </c>
      <c r="AC48">
        <f>IF(ArtifactsInput!$M$23,Summary!$B$3/(Summary!$B$3-(IF(ArtifactsInput!$M$23,-1,1)*Summary!$B$3*(((1-Summary!$B$11)*IFERROR(B1786/Summary!$B$22,1)+Summary!$B$11*IFERROR(B1787/Summary!$B$23,1))-1)+ArtifactsInput!$L$23))*100,(Summary!$B$3+(IF(ArtifactsInput!$M$23,-1,1)*Summary!$B$3*(((1-Summary!$B$11)*IFERROR(B1786/Summary!$B$22,1)+Summary!$B$11*IFERROR(B1787/Summary!$B$23,1))-1)+ArtifactsInput!$L$23))/Summary!$B$3*100)</f>
        <v/>
      </c>
      <c r="AD48">
        <f>ArtifactsInput!$B$23&lt;&gt;"Not Unlocked"</f>
        <v/>
      </c>
      <c r="AE48">
        <f>IF(AD48,SUMPRODUCT(($AD$32:$AD$67)*($AC$32:$AC$67&gt;AC48))+COUNTIFS($AD$32:AD48,TRUE,$AC$32:AC48,AC48),"")</f>
        <v/>
      </c>
    </row>
    <row r="49">
      <c r="A49">
        <f>IF(18&gt;COUNTIF($AD$32:$AD$67,TRUE),"",INDEX($AA$32:$AA$67,MATCH(18,$AE$32:$AE$67,0)))</f>
        <v/>
      </c>
      <c r="B49">
        <f>IF(18&gt;COUNTIF($AD$32:$AD$67,TRUE),"",INDEX($AB$32:$AB$67,MATCH(18,$AE$32:$AE$67,0)))</f>
        <v/>
      </c>
      <c r="C49">
        <f>IF(18&gt;COUNTIF($AD$32:$AD$67,TRUE),"",INDEX($AC$32:$AC$67,MATCH(18,$AE$32:$AE$67,0)))</f>
        <v/>
      </c>
      <c r="AA49" t="inlineStr">
        <is>
          <t>Book of Ancient (Equip)</t>
        </is>
      </c>
      <c r="AB49">
        <f>(IF(ArtifactsInput!$M$24,-1,1)*Summary!$B$3*(((1-Summary!$B$11)*IFERROR(B1827/Summary!$B$22,1)+Summary!$B$11*IFERROR(B1828/Summary!$B$23,1))-1)+ArtifactsInput!$L$24)</f>
        <v/>
      </c>
      <c r="AC49">
        <f>IF(ArtifactsInput!$M$24,Summary!$B$3/(Summary!$B$3-(IF(ArtifactsInput!$M$24,-1,1)*Summary!$B$3*(((1-Summary!$B$11)*IFERROR(B1827/Summary!$B$22,1)+Summary!$B$11*IFERROR(B1828/Summary!$B$23,1))-1)+ArtifactsInput!$L$24))*100,(Summary!$B$3+(IF(ArtifactsInput!$M$24,-1,1)*Summary!$B$3*(((1-Summary!$B$11)*IFERROR(B1827/Summary!$B$22,1)+Summary!$B$11*IFERROR(B1828/Summary!$B$23,1))-1)+ArtifactsInput!$L$24))/Summary!$B$3*100)</f>
        <v/>
      </c>
      <c r="AD49">
        <f>ArtifactsInput!$B$24&lt;&gt;"Not Unlocked"</f>
        <v/>
      </c>
      <c r="AE49">
        <f>IF(AD49,SUMPRODUCT(($AD$32:$AD$67)*($AC$32:$AC$67&gt;AC49))+COUNTIFS($AD$32:AD49,TRUE,$AC$32:AC49,AC49),"")</f>
        <v/>
      </c>
    </row>
    <row r="50">
      <c r="A50">
        <f>IF(19&gt;COUNTIF($AD$32:$AD$67,TRUE),"",INDEX($AA$32:$AA$67,MATCH(19,$AE$32:$AE$67,0)))</f>
        <v/>
      </c>
      <c r="B50">
        <f>IF(19&gt;COUNTIF($AD$32:$AD$67,TRUE),"",INDEX($AB$32:$AB$67,MATCH(19,$AE$32:$AE$67,0)))</f>
        <v/>
      </c>
      <c r="C50">
        <f>IF(19&gt;COUNTIF($AD$32:$AD$67,TRUE),"",INDEX($AC$32:$AC$67,MATCH(19,$AE$32:$AE$67,0)))</f>
        <v/>
      </c>
      <c r="AA50" t="inlineStr">
        <is>
          <t>Lunar Dew (Equip)</t>
        </is>
      </c>
      <c r="AB50">
        <f>(IF(ArtifactsInput!$M$25,-1,1)*Summary!$B$3*(((1-Summary!$B$11)*IFERROR(B1868/Summary!$B$22,1)+Summary!$B$11*IFERROR(B1869/Summary!$B$23,1))-1)+ArtifactsInput!$L$25)</f>
        <v/>
      </c>
      <c r="AC50">
        <f>IF(ArtifactsInput!$M$25,Summary!$B$3/(Summary!$B$3-(IF(ArtifactsInput!$M$25,-1,1)*Summary!$B$3*(((1-Summary!$B$11)*IFERROR(B1868/Summary!$B$22,1)+Summary!$B$11*IFERROR(B1869/Summary!$B$23,1))-1)+ArtifactsInput!$L$25))*100,(Summary!$B$3+(IF(ArtifactsInput!$M$25,-1,1)*Summary!$B$3*(((1-Summary!$B$11)*IFERROR(B1868/Summary!$B$22,1)+Summary!$B$11*IFERROR(B1869/Summary!$B$23,1))-1)+ArtifactsInput!$L$25))/Summary!$B$3*100)</f>
        <v/>
      </c>
      <c r="AD50">
        <f>ArtifactsInput!$B$25&lt;&gt;"Not Unlocked"</f>
        <v/>
      </c>
      <c r="AE50">
        <f>IF(AD50,SUMPRODUCT(($AD$32:$AD$67)*($AC$32:$AC$67&gt;AC50))+COUNTIFS($AD$32:AD50,TRUE,$AC$32:AC50,AC50),"")</f>
        <v/>
      </c>
    </row>
    <row r="51">
      <c r="A51">
        <f>IF(20&gt;COUNTIF($AD$32:$AD$67,TRUE),"",INDEX($AA$32:$AA$67,MATCH(20,$AE$32:$AE$67,0)))</f>
        <v/>
      </c>
      <c r="B51">
        <f>IF(20&gt;COUNTIF($AD$32:$AD$67,TRUE),"",INDEX($AB$32:$AB$67,MATCH(20,$AE$32:$AE$67,0)))</f>
        <v/>
      </c>
      <c r="C51">
        <f>IF(20&gt;COUNTIF($AD$32:$AD$67,TRUE),"",INDEX($AC$32:$AC$67,MATCH(20,$AE$32:$AE$67,0)))</f>
        <v/>
      </c>
      <c r="AA51" t="inlineStr">
        <is>
          <t>Fire Flower (Equip)</t>
        </is>
      </c>
      <c r="AB51">
        <f>(IF(ArtifactsInput!$M$26,-1,1)*Summary!$B$3*(((1-Summary!$B$11)*IFERROR(B1909/Summary!$B$22,1)+Summary!$B$11*IFERROR(B1910/Summary!$B$23,1))-1)+ArtifactsInput!$L$26)</f>
        <v/>
      </c>
      <c r="AC51">
        <f>IF(ArtifactsInput!$M$26,Summary!$B$3/(Summary!$B$3-(IF(ArtifactsInput!$M$26,-1,1)*Summary!$B$3*(((1-Summary!$B$11)*IFERROR(B1909/Summary!$B$22,1)+Summary!$B$11*IFERROR(B1910/Summary!$B$23,1))-1)+ArtifactsInput!$L$26))*100,(Summary!$B$3+(IF(ArtifactsInput!$M$26,-1,1)*Summary!$B$3*(((1-Summary!$B$11)*IFERROR(B1909/Summary!$B$22,1)+Summary!$B$11*IFERROR(B1910/Summary!$B$23,1))-1)+ArtifactsInput!$L$26))/Summary!$B$3*100)</f>
        <v/>
      </c>
      <c r="AD51">
        <f>ArtifactsInput!$B$26&lt;&gt;"Not Unlocked"</f>
        <v/>
      </c>
      <c r="AE51">
        <f>IF(AD51,SUMPRODUCT(($AD$32:$AD$67)*($AC$32:$AC$67&gt;AC51))+COUNTIFS($AD$32:AD51,TRUE,$AC$32:AC51,AC51),"")</f>
        <v/>
      </c>
    </row>
    <row r="52">
      <c r="A52">
        <f>IF(21&gt;COUNTIF($AD$32:$AD$67,TRUE),"",INDEX($AA$32:$AA$67,MATCH(21,$AE$32:$AE$67,0)))</f>
        <v/>
      </c>
      <c r="B52">
        <f>IF(21&gt;COUNTIF($AD$32:$AD$67,TRUE),"",INDEX($AB$32:$AB$67,MATCH(21,$AE$32:$AE$67,0)))</f>
        <v/>
      </c>
      <c r="C52">
        <f>IF(21&gt;COUNTIF($AD$32:$AD$67,TRUE),"",INDEX($AC$32:$AC$67,MATCH(21,$AE$32:$AE$67,0)))</f>
        <v/>
      </c>
      <c r="AA52" t="inlineStr">
        <is>
          <t>Soul Contract (Equip)</t>
        </is>
      </c>
      <c r="AB52">
        <f>(IF(ArtifactsInput!$M$27,-1,1)*Summary!$B$3*(((1-Summary!$B$11)*IFERROR(B1950/Summary!$B$22,1)+Summary!$B$11*IFERROR(B1951/Summary!$B$23,1))-1)+ArtifactsInput!$L$27)</f>
        <v/>
      </c>
      <c r="AC52">
        <f>IF(ArtifactsInput!$M$27,Summary!$B$3/(Summary!$B$3-(IF(ArtifactsInput!$M$27,-1,1)*Summary!$B$3*(((1-Summary!$B$11)*IFERROR(B1950/Summary!$B$22,1)+Summary!$B$11*IFERROR(B1951/Summary!$B$23,1))-1)+ArtifactsInput!$L$27))*100,(Summary!$B$3+(IF(ArtifactsInput!$M$27,-1,1)*Summary!$B$3*(((1-Summary!$B$11)*IFERROR(B1950/Summary!$B$22,1)+Summary!$B$11*IFERROR(B1951/Summary!$B$23,1))-1)+ArtifactsInput!$L$27))/Summary!$B$3*100)</f>
        <v/>
      </c>
      <c r="AD52">
        <f>ArtifactsInput!$B$27&lt;&gt;"Not Unlocked"</f>
        <v/>
      </c>
      <c r="AE52">
        <f>IF(AD52,SUMPRODUCT(($AD$32:$AD$67)*($AC$32:$AC$67&gt;AC52))+COUNTIFS($AD$32:AD52,TRUE,$AC$32:AC52,AC52),"")</f>
        <v/>
      </c>
    </row>
    <row r="53">
      <c r="A53">
        <f>IF(22&gt;COUNTIF($AD$32:$AD$67,TRUE),"",INDEX($AA$32:$AA$67,MATCH(22,$AE$32:$AE$67,0)))</f>
        <v/>
      </c>
      <c r="B53">
        <f>IF(22&gt;COUNTIF($AD$32:$AD$67,TRUE),"",INDEX($AB$32:$AB$67,MATCH(22,$AE$32:$AE$67,0)))</f>
        <v/>
      </c>
      <c r="C53">
        <f>IF(22&gt;COUNTIF($AD$32:$AD$67,TRUE),"",INDEX($AC$32:$AC$67,MATCH(22,$AE$32:$AE$67,0)))</f>
        <v/>
      </c>
      <c r="AA53" t="inlineStr">
        <is>
          <t>Lit Lamp (Equip)</t>
        </is>
      </c>
      <c r="AB53">
        <f>(IF(ArtifactsInput!$M$28,-1,1)*Summary!$B$3*(((1-Summary!$B$11)*IFERROR(B1991/Summary!$B$22,1)+Summary!$B$11*IFERROR(B1992/Summary!$B$23,1))-1)+ArtifactsInput!$L$28)</f>
        <v/>
      </c>
      <c r="AC53">
        <f>IF(ArtifactsInput!$M$28,Summary!$B$3/(Summary!$B$3-(IF(ArtifactsInput!$M$28,-1,1)*Summary!$B$3*(((1-Summary!$B$11)*IFERROR(B1991/Summary!$B$22,1)+Summary!$B$11*IFERROR(B1992/Summary!$B$23,1))-1)+ArtifactsInput!$L$28))*100,(Summary!$B$3+(IF(ArtifactsInput!$M$28,-1,1)*Summary!$B$3*(((1-Summary!$B$11)*IFERROR(B1991/Summary!$B$22,1)+Summary!$B$11*IFERROR(B1992/Summary!$B$23,1))-1)+ArtifactsInput!$L$28))/Summary!$B$3*100)</f>
        <v/>
      </c>
      <c r="AD53">
        <f>ArtifactsInput!$B$28&lt;&gt;"Not Unlocked"</f>
        <v/>
      </c>
      <c r="AE53">
        <f>IF(AD53,SUMPRODUCT(($AD$32:$AD$67)*($AC$32:$AC$67&gt;AC53))+COUNTIFS($AD$32:AD53,TRUE,$AC$32:AC53,AC53),"")</f>
        <v/>
      </c>
    </row>
    <row r="54">
      <c r="A54">
        <f>IF(23&gt;COUNTIF($AD$32:$AD$67,TRUE),"",INDEX($AA$32:$AA$67,MATCH(23,$AE$32:$AE$67,0)))</f>
        <v/>
      </c>
      <c r="B54">
        <f>IF(23&gt;COUNTIF($AD$32:$AD$67,TRUE),"",INDEX($AB$32:$AB$67,MATCH(23,$AE$32:$AE$67,0)))</f>
        <v/>
      </c>
      <c r="C54">
        <f>IF(23&gt;COUNTIF($AD$32:$AD$67,TRUE),"",INDEX($AC$32:$AC$67,MATCH(23,$AE$32:$AE$67,0)))</f>
        <v/>
      </c>
      <c r="AA54" t="inlineStr">
        <is>
          <t>Soul Pouch (Equip)</t>
        </is>
      </c>
      <c r="AB54">
        <f>(IF(ArtifactsInput!$M$29,-1,1)*Summary!$B$3*(((1-Summary!$B$11)*IFERROR(B2032/Summary!$B$22,1)+Summary!$B$11*IFERROR(B2033/Summary!$B$23,1))-1)+ArtifactsInput!$L$29)</f>
        <v/>
      </c>
      <c r="AC54">
        <f>IF(ArtifactsInput!$M$29,Summary!$B$3/(Summary!$B$3-(IF(ArtifactsInput!$M$29,-1,1)*Summary!$B$3*(((1-Summary!$B$11)*IFERROR(B2032/Summary!$B$22,1)+Summary!$B$11*IFERROR(B2033/Summary!$B$23,1))-1)+ArtifactsInput!$L$29))*100,(Summary!$B$3+(IF(ArtifactsInput!$M$29,-1,1)*Summary!$B$3*(((1-Summary!$B$11)*IFERROR(B2032/Summary!$B$22,1)+Summary!$B$11*IFERROR(B2033/Summary!$B$23,1))-1)+ArtifactsInput!$L$29))/Summary!$B$3*100)</f>
        <v/>
      </c>
      <c r="AD54">
        <f>ArtifactsInput!$B$29&lt;&gt;"Not Unlocked"</f>
        <v/>
      </c>
      <c r="AE54">
        <f>IF(AD54,SUMPRODUCT(($AD$32:$AD$67)*($AC$32:$AC$67&gt;AC54))+COUNTIFS($AD$32:AD54,TRUE,$AC$32:AC54,AC54),"")</f>
        <v/>
      </c>
    </row>
    <row r="55">
      <c r="A55">
        <f>IF(24&gt;COUNTIF($AD$32:$AD$67,TRUE),"",INDEX($AA$32:$AA$67,MATCH(24,$AE$32:$AE$67,0)))</f>
        <v/>
      </c>
      <c r="B55">
        <f>IF(24&gt;COUNTIF($AD$32:$AD$67,TRUE),"",INDEX($AB$32:$AB$67,MATCH(24,$AE$32:$AE$67,0)))</f>
        <v/>
      </c>
      <c r="C55">
        <f>IF(24&gt;COUNTIF($AD$32:$AD$67,TRUE),"",INDEX($AC$32:$AC$67,MATCH(24,$AE$32:$AE$67,0)))</f>
        <v/>
      </c>
      <c r="AA55" t="inlineStr">
        <is>
          <t>Ancient Text Piece (Equip)</t>
        </is>
      </c>
      <c r="AB55">
        <f>(IF(ArtifactsInput!$M$30,-1,1)*Summary!$B$3*(((1-Summary!$B$11)*IFERROR(B2073/Summary!$B$22,1)+Summary!$B$11*IFERROR(B2074/Summary!$B$23,1))-1)+ArtifactsInput!$L$30)</f>
        <v/>
      </c>
      <c r="AC55">
        <f>IF(ArtifactsInput!$M$30,Summary!$B$3/(Summary!$B$3-(IF(ArtifactsInput!$M$30,-1,1)*Summary!$B$3*(((1-Summary!$B$11)*IFERROR(B2073/Summary!$B$22,1)+Summary!$B$11*IFERROR(B2074/Summary!$B$23,1))-1)+ArtifactsInput!$L$30))*100,(Summary!$B$3+(IF(ArtifactsInput!$M$30,-1,1)*Summary!$B$3*(((1-Summary!$B$11)*IFERROR(B2073/Summary!$B$22,1)+Summary!$B$11*IFERROR(B2074/Summary!$B$23,1))-1)+ArtifactsInput!$L$30))/Summary!$B$3*100)</f>
        <v/>
      </c>
      <c r="AD55">
        <f>ArtifactsInput!$B$30&lt;&gt;"Not Unlocked"</f>
        <v/>
      </c>
      <c r="AE55">
        <f>IF(AD55,SUMPRODUCT(($AD$32:$AD$67)*($AC$32:$AC$67&gt;AC55))+COUNTIFS($AD$32:AD55,TRUE,$AC$32:AC55,AC55),"")</f>
        <v/>
      </c>
    </row>
    <row r="56">
      <c r="A56">
        <f>IF(25&gt;COUNTIF($AD$32:$AD$67,TRUE),"",INDEX($AA$32:$AA$67,MATCH(25,$AE$32:$AE$67,0)))</f>
        <v/>
      </c>
      <c r="B56">
        <f>IF(25&gt;COUNTIF($AD$32:$AD$67,TRUE),"",INDEX($AB$32:$AB$67,MATCH(25,$AE$32:$AE$67,0)))</f>
        <v/>
      </c>
      <c r="C56">
        <f>IF(25&gt;COUNTIF($AD$32:$AD$67,TRUE),"",INDEX($AC$32:$AC$67,MATCH(25,$AE$32:$AE$67,0)))</f>
        <v/>
      </c>
      <c r="AA56" t="inlineStr">
        <is>
          <t>Icy Soul Rock (Equip)</t>
        </is>
      </c>
      <c r="AB56">
        <f>(IF(ArtifactsInput!$M$31,-1,1)*Summary!$B$3*(((1-Summary!$B$11)*IFERROR(B2114/Summary!$B$22,1)+Summary!$B$11*IFERROR(B2115/Summary!$B$23,1))-1)+ArtifactsInput!$L$31)</f>
        <v/>
      </c>
      <c r="AC56">
        <f>IF(ArtifactsInput!$M$31,Summary!$B$3/(Summary!$B$3-(IF(ArtifactsInput!$M$31,-1,1)*Summary!$B$3*(((1-Summary!$B$11)*IFERROR(B2114/Summary!$B$22,1)+Summary!$B$11*IFERROR(B2115/Summary!$B$23,1))-1)+ArtifactsInput!$L$31))*100,(Summary!$B$3+(IF(ArtifactsInput!$M$31,-1,1)*Summary!$B$3*(((1-Summary!$B$11)*IFERROR(B2114/Summary!$B$22,1)+Summary!$B$11*IFERROR(B2115/Summary!$B$23,1))-1)+ArtifactsInput!$L$31))/Summary!$B$3*100)</f>
        <v/>
      </c>
      <c r="AD56">
        <f>ArtifactsInput!$B$31&lt;&gt;"Not Unlocked"</f>
        <v/>
      </c>
      <c r="AE56">
        <f>IF(AD56,SUMPRODUCT(($AD$32:$AD$67)*($AC$32:$AC$67&gt;AC56))+COUNTIFS($AD$32:AD56,TRUE,$AC$32:AC56,AC56),"")</f>
        <v/>
      </c>
    </row>
    <row r="57">
      <c r="A57">
        <f>IF(26&gt;COUNTIF($AD$32:$AD$67,TRUE),"",INDEX($AA$32:$AA$67,MATCH(26,$AE$32:$AE$67,0)))</f>
        <v/>
      </c>
      <c r="B57">
        <f>IF(26&gt;COUNTIF($AD$32:$AD$67,TRUE),"",INDEX($AB$32:$AB$67,MATCH(26,$AE$32:$AE$67,0)))</f>
        <v/>
      </c>
      <c r="C57">
        <f>IF(26&gt;COUNTIF($AD$32:$AD$67,TRUE),"",INDEX($AC$32:$AC$67,MATCH(26,$AE$32:$AE$67,0)))</f>
        <v/>
      </c>
      <c r="AA57" t="inlineStr">
        <is>
          <t>Flaming Lava (Equip)</t>
        </is>
      </c>
      <c r="AB57">
        <f>(IF(ArtifactsInput!$M$32,-1,1)*Summary!$B$3*(((1-Summary!$B$11)*IFERROR(B2155/Summary!$B$22,1)+Summary!$B$11*IFERROR(B2156/Summary!$B$23,1))-1)+ArtifactsInput!$L$32)</f>
        <v/>
      </c>
      <c r="AC57">
        <f>IF(ArtifactsInput!$M$32,Summary!$B$3/(Summary!$B$3-(IF(ArtifactsInput!$M$32,-1,1)*Summary!$B$3*(((1-Summary!$B$11)*IFERROR(B2155/Summary!$B$22,1)+Summary!$B$11*IFERROR(B2156/Summary!$B$23,1))-1)+ArtifactsInput!$L$32))*100,(Summary!$B$3+(IF(ArtifactsInput!$M$32,-1,1)*Summary!$B$3*(((1-Summary!$B$11)*IFERROR(B2155/Summary!$B$22,1)+Summary!$B$11*IFERROR(B2156/Summary!$B$23,1))-1)+ArtifactsInput!$L$32))/Summary!$B$3*100)</f>
        <v/>
      </c>
      <c r="AD57">
        <f>ArtifactsInput!$B$32&lt;&gt;"Not Unlocked"</f>
        <v/>
      </c>
      <c r="AE57">
        <f>IF(AD57,SUMPRODUCT(($AD$32:$AD$67)*($AC$32:$AC$67&gt;AC57))+COUNTIFS($AD$32:AD57,TRUE,$AC$32:AC57,AC57),"")</f>
        <v/>
      </c>
    </row>
    <row r="58">
      <c r="A58">
        <f>IF(27&gt;COUNTIF($AD$32:$AD$67,TRUE),"",INDEX($AA$32:$AA$67,MATCH(27,$AE$32:$AE$67,0)))</f>
        <v/>
      </c>
      <c r="B58">
        <f>IF(27&gt;COUNTIF($AD$32:$AD$67,TRUE),"",INDEX($AB$32:$AB$67,MATCH(27,$AE$32:$AE$67,0)))</f>
        <v/>
      </c>
      <c r="C58">
        <f>IF(27&gt;COUNTIF($AD$32:$AD$67,TRUE),"",INDEX($AC$32:$AC$67,MATCH(27,$AE$32:$AE$67,0)))</f>
        <v/>
      </c>
      <c r="AA58" t="inlineStr">
        <is>
          <t>Sayram's Necklace (Equip)</t>
        </is>
      </c>
      <c r="AB58">
        <f>(IF(ArtifactsInput!$M$33,-1,1)*Summary!$B$3*(((1-Summary!$B$11)*IFERROR(B2196/Summary!$B$22,1)+Summary!$B$11*IFERROR(B2197/Summary!$B$23,1))-1)+ArtifactsInput!$L$33)</f>
        <v/>
      </c>
      <c r="AC58">
        <f>IF(ArtifactsInput!$M$33,Summary!$B$3/(Summary!$B$3-(IF(ArtifactsInput!$M$33,-1,1)*Summary!$B$3*(((1-Summary!$B$11)*IFERROR(B2196/Summary!$B$22,1)+Summary!$B$11*IFERROR(B2197/Summary!$B$23,1))-1)+ArtifactsInput!$L$33))*100,(Summary!$B$3+(IF(ArtifactsInput!$M$33,-1,1)*Summary!$B$3*(((1-Summary!$B$11)*IFERROR(B2196/Summary!$B$22,1)+Summary!$B$11*IFERROR(B2197/Summary!$B$23,1))-1)+ArtifactsInput!$L$33))/Summary!$B$3*100)</f>
        <v/>
      </c>
      <c r="AD58">
        <f>ArtifactsInput!$B$33&lt;&gt;"Not Unlocked"</f>
        <v/>
      </c>
      <c r="AE58">
        <f>IF(AD58,SUMPRODUCT(($AD$32:$AD$67)*($AC$32:$AC$67&gt;AC58))+COUNTIFS($AD$32:AD58,TRUE,$AC$32:AC58,AC58),"")</f>
        <v/>
      </c>
    </row>
    <row r="59">
      <c r="A59">
        <f>IF(28&gt;COUNTIF($AD$32:$AD$67,TRUE),"",INDEX($AA$32:$AA$67,MATCH(28,$AE$32:$AE$67,0)))</f>
        <v/>
      </c>
      <c r="B59">
        <f>IF(28&gt;COUNTIF($AD$32:$AD$67,TRUE),"",INDEX($AB$32:$AB$67,MATCH(28,$AE$32:$AE$67,0)))</f>
        <v/>
      </c>
      <c r="C59">
        <f>IF(28&gt;COUNTIF($AD$32:$AD$67,TRUE),"",INDEX($AC$32:$AC$67,MATCH(28,$AE$32:$AE$67,0)))</f>
        <v/>
      </c>
      <c r="AA59" t="inlineStr">
        <is>
          <t>Bottle of Emotion (Equip)</t>
        </is>
      </c>
      <c r="AB59">
        <f>(IF(ArtifactsInput!$M$34,-1,1)*Summary!$B$3*(((1-Summary!$B$11)*IFERROR(B2237/Summary!$B$22,1)+Summary!$B$11*IFERROR(B2238/Summary!$B$23,1))-1)+ArtifactsInput!$L$34)</f>
        <v/>
      </c>
      <c r="AC59">
        <f>IF(ArtifactsInput!$M$34,Summary!$B$3/(Summary!$B$3-(IF(ArtifactsInput!$M$34,-1,1)*Summary!$B$3*(((1-Summary!$B$11)*IFERROR(B2237/Summary!$B$22,1)+Summary!$B$11*IFERROR(B2238/Summary!$B$23,1))-1)+ArtifactsInput!$L$34))*100,(Summary!$B$3+(IF(ArtifactsInput!$M$34,-1,1)*Summary!$B$3*(((1-Summary!$B$11)*IFERROR(B2237/Summary!$B$22,1)+Summary!$B$11*IFERROR(B2238/Summary!$B$23,1))-1)+ArtifactsInput!$L$34))/Summary!$B$3*100)</f>
        <v/>
      </c>
      <c r="AD59">
        <f>ArtifactsInput!$B$34&lt;&gt;"Not Unlocked"</f>
        <v/>
      </c>
      <c r="AE59">
        <f>IF(AD59,SUMPRODUCT(($AD$32:$AD$67)*($AC$32:$AC$67&gt;AC59))+COUNTIFS($AD$32:AD59,TRUE,$AC$32:AC59,AC59),"")</f>
        <v/>
      </c>
    </row>
    <row r="60">
      <c r="A60">
        <f>IF(29&gt;COUNTIF($AD$32:$AD$67,TRUE),"",INDEX($AA$32:$AA$67,MATCH(29,$AE$32:$AE$67,0)))</f>
        <v/>
      </c>
      <c r="B60">
        <f>IF(29&gt;COUNTIF($AD$32:$AD$67,TRUE),"",INDEX($AB$32:$AB$67,MATCH(29,$AE$32:$AE$67,0)))</f>
        <v/>
      </c>
      <c r="C60">
        <f>IF(29&gt;COUNTIF($AD$32:$AD$67,TRUE),"",INDEX($AC$32:$AC$67,MATCH(29,$AE$32:$AE$67,0)))</f>
        <v/>
      </c>
      <c r="AA60" t="inlineStr">
        <is>
          <t>Peach Tree Herb Pouch (Equip)</t>
        </is>
      </c>
      <c r="AB60">
        <f>(IF(ArtifactsInput!$M$35,-1,1)*Summary!$B$3*(((1-Summary!$B$11)*IFERROR(B2278/Summary!$B$22,1)+Summary!$B$11*IFERROR(B2279/Summary!$B$23,1))-1)+ArtifactsInput!$L$35)</f>
        <v/>
      </c>
      <c r="AC60">
        <f>IF(ArtifactsInput!$M$35,Summary!$B$3/(Summary!$B$3-(IF(ArtifactsInput!$M$35,-1,1)*Summary!$B$3*(((1-Summary!$B$11)*IFERROR(B2278/Summary!$B$22,1)+Summary!$B$11*IFERROR(B2279/Summary!$B$23,1))-1)+ArtifactsInput!$L$35))*100,(Summary!$B$3+(IF(ArtifactsInput!$M$35,-1,1)*Summary!$B$3*(((1-Summary!$B$11)*IFERROR(B2278/Summary!$B$22,1)+Summary!$B$11*IFERROR(B2279/Summary!$B$23,1))-1)+ArtifactsInput!$L$35))/Summary!$B$3*100)</f>
        <v/>
      </c>
      <c r="AD60">
        <f>ArtifactsInput!$B$35&lt;&gt;"Not Unlocked"</f>
        <v/>
      </c>
      <c r="AE60">
        <f>IF(AD60,SUMPRODUCT(($AD$32:$AD$67)*($AC$32:$AC$67&gt;AC60))+COUNTIFS($AD$32:AD60,TRUE,$AC$32:AC60,AC60),"")</f>
        <v/>
      </c>
    </row>
    <row r="61">
      <c r="A61">
        <f>IF(30&gt;COUNTIF($AD$32:$AD$67,TRUE),"",INDEX($AA$32:$AA$67,MATCH(30,$AE$32:$AE$67,0)))</f>
        <v/>
      </c>
      <c r="B61">
        <f>IF(30&gt;COUNTIF($AD$32:$AD$67,TRUE),"",INDEX($AB$32:$AB$67,MATCH(30,$AE$32:$AE$67,0)))</f>
        <v/>
      </c>
      <c r="C61">
        <f>IF(30&gt;COUNTIF($AD$32:$AD$67,TRUE),"",INDEX($AC$32:$AC$67,MATCH(30,$AE$32:$AE$67,0)))</f>
        <v/>
      </c>
      <c r="AA61" t="inlineStr">
        <is>
          <t>Candle (Equip)</t>
        </is>
      </c>
      <c r="AB61">
        <f>(IF(ArtifactsInput!$M$36,-1,1)*Summary!$B$3*(((1-Summary!$B$11)*IFERROR(B2319/Summary!$B$22,1)+Summary!$B$11*IFERROR(B2320/Summary!$B$23,1))-1)+ArtifactsInput!$L$36)</f>
        <v/>
      </c>
      <c r="AC61">
        <f>IF(ArtifactsInput!$M$36,Summary!$B$3/(Summary!$B$3-(IF(ArtifactsInput!$M$36,-1,1)*Summary!$B$3*(((1-Summary!$B$11)*IFERROR(B2319/Summary!$B$22,1)+Summary!$B$11*IFERROR(B2320/Summary!$B$23,1))-1)+ArtifactsInput!$L$36))*100,(Summary!$B$3+(IF(ArtifactsInput!$M$36,-1,1)*Summary!$B$3*(((1-Summary!$B$11)*IFERROR(B2319/Summary!$B$22,1)+Summary!$B$11*IFERROR(B2320/Summary!$B$23,1))-1)+ArtifactsInput!$L$36))/Summary!$B$3*100)</f>
        <v/>
      </c>
      <c r="AD61">
        <f>ArtifactsInput!$B$36&lt;&gt;"Not Unlocked"</f>
        <v/>
      </c>
      <c r="AE61">
        <f>IF(AD61,SUMPRODUCT(($AD$32:$AD$67)*($AC$32:$AC$67&gt;AC61))+COUNTIFS($AD$32:AD61,TRUE,$AC$32:AC61,AC61),"")</f>
        <v/>
      </c>
    </row>
    <row r="62">
      <c r="A62">
        <f>IF(31&gt;COUNTIF($AD$32:$AD$67,TRUE),"",INDEX($AA$32:$AA$67,MATCH(31,$AE$32:$AE$67,0)))</f>
        <v/>
      </c>
      <c r="B62">
        <f>IF(31&gt;COUNTIF($AD$32:$AD$67,TRUE),"",INDEX($AB$32:$AB$67,MATCH(31,$AE$32:$AE$67,0)))</f>
        <v/>
      </c>
      <c r="C62">
        <f>IF(31&gt;COUNTIF($AD$32:$AD$67,TRUE),"",INDEX($AC$32:$AC$67,MATCH(31,$AE$32:$AE$67,0)))</f>
        <v/>
      </c>
      <c r="AA62" t="inlineStr">
        <is>
          <t>Alliance Badge (Equip)</t>
        </is>
      </c>
      <c r="AB62">
        <f>(IF(ArtifactsInput!$M$37,-1,1)*Summary!$B$3*(((1-Summary!$B$11)*IFERROR(B2360/Summary!$B$22,1)+Summary!$B$11*IFERROR(B2361/Summary!$B$23,1))-1)+ArtifactsInput!$L$37)</f>
        <v/>
      </c>
      <c r="AC62">
        <f>IF(ArtifactsInput!$M$37,Summary!$B$3/(Summary!$B$3-(IF(ArtifactsInput!$M$37,-1,1)*Summary!$B$3*(((1-Summary!$B$11)*IFERROR(B2360/Summary!$B$22,1)+Summary!$B$11*IFERROR(B2361/Summary!$B$23,1))-1)+ArtifactsInput!$L$37))*100,(Summary!$B$3+(IF(ArtifactsInput!$M$37,-1,1)*Summary!$B$3*(((1-Summary!$B$11)*IFERROR(B2360/Summary!$B$22,1)+Summary!$B$11*IFERROR(B2361/Summary!$B$23,1))-1)+ArtifactsInput!$L$37))/Summary!$B$3*100)</f>
        <v/>
      </c>
      <c r="AD62">
        <f>ArtifactsInput!$B$37&lt;&gt;"Not Unlocked"</f>
        <v/>
      </c>
      <c r="AE62">
        <f>IF(AD62,SUMPRODUCT(($AD$32:$AD$67)*($AC$32:$AC$67&gt;AC62))+COUNTIFS($AD$32:AD62,TRUE,$AC$32:AC62,AC62),"")</f>
        <v/>
      </c>
    </row>
    <row r="63">
      <c r="A63">
        <f>IF(32&gt;COUNTIF($AD$32:$AD$67,TRUE),"",INDEX($AA$32:$AA$67,MATCH(32,$AE$32:$AE$67,0)))</f>
        <v/>
      </c>
      <c r="B63">
        <f>IF(32&gt;COUNTIF($AD$32:$AD$67,TRUE),"",INDEX($AB$32:$AB$67,MATCH(32,$AE$32:$AE$67,0)))</f>
        <v/>
      </c>
      <c r="C63">
        <f>IF(32&gt;COUNTIF($AD$32:$AD$67,TRUE),"",INDEX($AC$32:$AC$67,MATCH(32,$AE$32:$AE$67,0)))</f>
        <v/>
      </c>
      <c r="AA63" t="inlineStr">
        <is>
          <t>Horn Flute (Equip)</t>
        </is>
      </c>
      <c r="AB63">
        <f>(IF(ArtifactsInput!$M$38,-1,1)*Summary!$B$3*(((1-Summary!$B$11)*IFERROR(B2401/Summary!$B$22,1)+Summary!$B$11*IFERROR(B2402/Summary!$B$23,1))-1)+ArtifactsInput!$L$38)</f>
        <v/>
      </c>
      <c r="AC63">
        <f>IF(ArtifactsInput!$M$38,Summary!$B$3/(Summary!$B$3-(IF(ArtifactsInput!$M$38,-1,1)*Summary!$B$3*(((1-Summary!$B$11)*IFERROR(B2401/Summary!$B$22,1)+Summary!$B$11*IFERROR(B2402/Summary!$B$23,1))-1)+ArtifactsInput!$L$38))*100,(Summary!$B$3+(IF(ArtifactsInput!$M$38,-1,1)*Summary!$B$3*(((1-Summary!$B$11)*IFERROR(B2401/Summary!$B$22,1)+Summary!$B$11*IFERROR(B2402/Summary!$B$23,1))-1)+ArtifactsInput!$L$38))/Summary!$B$3*100)</f>
        <v/>
      </c>
      <c r="AD63">
        <f>ArtifactsInput!$B$38&lt;&gt;"Not Unlocked"</f>
        <v/>
      </c>
      <c r="AE63">
        <f>IF(AD63,SUMPRODUCT(($AD$32:$AD$67)*($AC$32:$AC$67&gt;AC63))+COUNTIFS($AD$32:AD63,TRUE,$AC$32:AC63,AC63),"")</f>
        <v/>
      </c>
    </row>
    <row r="64">
      <c r="A64">
        <f>IF(33&gt;COUNTIF($AD$32:$AD$67,TRUE),"",INDEX($AA$32:$AA$67,MATCH(33,$AE$32:$AE$67,0)))</f>
        <v/>
      </c>
      <c r="B64">
        <f>IF(33&gt;COUNTIF($AD$32:$AD$67,TRUE),"",INDEX($AB$32:$AB$67,MATCH(33,$AE$32:$AE$67,0)))</f>
        <v/>
      </c>
      <c r="C64">
        <f>IF(33&gt;COUNTIF($AD$32:$AD$67,TRUE),"",INDEX($AC$32:$AC$67,MATCH(33,$AE$32:$AE$67,0)))</f>
        <v/>
      </c>
      <c r="AA64" t="inlineStr">
        <is>
          <t>Cursed Doll (Equip)</t>
        </is>
      </c>
      <c r="AB64">
        <f>(IF(ArtifactsInput!$M$39,-1,1)*Summary!$B$3*(((1-Summary!$B$11)*IFERROR(B2442/Summary!$B$22,1)+Summary!$B$11*IFERROR(B2443/Summary!$B$23,1))-1)+ArtifactsInput!$L$39)</f>
        <v/>
      </c>
      <c r="AC64">
        <f>IF(ArtifactsInput!$M$39,Summary!$B$3/(Summary!$B$3-(IF(ArtifactsInput!$M$39,-1,1)*Summary!$B$3*(((1-Summary!$B$11)*IFERROR(B2442/Summary!$B$22,1)+Summary!$B$11*IFERROR(B2443/Summary!$B$23,1))-1)+ArtifactsInput!$L$39))*100,(Summary!$B$3+(IF(ArtifactsInput!$M$39,-1,1)*Summary!$B$3*(((1-Summary!$B$11)*IFERROR(B2442/Summary!$B$22,1)+Summary!$B$11*IFERROR(B2443/Summary!$B$23,1))-1)+ArtifactsInput!$L$39))/Summary!$B$3*100)</f>
        <v/>
      </c>
      <c r="AD64">
        <f>ArtifactsInput!$B$39&lt;&gt;"Not Unlocked"</f>
        <v/>
      </c>
      <c r="AE64">
        <f>IF(AD64,SUMPRODUCT(($AD$32:$AD$67)*($AC$32:$AC$67&gt;AC64))+COUNTIFS($AD$32:AD64,TRUE,$AC$32:AC64,AC64),"")</f>
        <v/>
      </c>
    </row>
    <row r="65">
      <c r="A65">
        <f>IF(34&gt;COUNTIF($AD$32:$AD$67,TRUE),"",INDEX($AA$32:$AA$67,MATCH(34,$AE$32:$AE$67,0)))</f>
        <v/>
      </c>
      <c r="B65">
        <f>IF(34&gt;COUNTIF($AD$32:$AD$67,TRUE),"",INDEX($AB$32:$AB$67,MATCH(34,$AE$32:$AE$67,0)))</f>
        <v/>
      </c>
      <c r="C65">
        <f>IF(34&gt;COUNTIF($AD$32:$AD$67,TRUE),"",INDEX($AC$32:$AC$67,MATCH(34,$AE$32:$AE$67,0)))</f>
        <v/>
      </c>
      <c r="AA65" t="inlineStr">
        <is>
          <t>Reindeer's Spear (Equip)</t>
        </is>
      </c>
      <c r="AB65">
        <f>(IF(ArtifactsInput!$M$40,-1,1)*Summary!$B$3*(((1-Summary!$B$11)*IFERROR(B2483/Summary!$B$22,1)+Summary!$B$11*IFERROR(B2484/Summary!$B$23,1))-1)+ArtifactsInput!$L$40)</f>
        <v/>
      </c>
      <c r="AC65">
        <f>IF(ArtifactsInput!$M$40,Summary!$B$3/(Summary!$B$3-(IF(ArtifactsInput!$M$40,-1,1)*Summary!$B$3*(((1-Summary!$B$11)*IFERROR(B2483/Summary!$B$22,1)+Summary!$B$11*IFERROR(B2484/Summary!$B$23,1))-1)+ArtifactsInput!$L$40))*100,(Summary!$B$3+(IF(ArtifactsInput!$M$40,-1,1)*Summary!$B$3*(((1-Summary!$B$11)*IFERROR(B2483/Summary!$B$22,1)+Summary!$B$11*IFERROR(B2484/Summary!$B$23,1))-1)+ArtifactsInput!$L$40))/Summary!$B$3*100)</f>
        <v/>
      </c>
      <c r="AD65">
        <f>ArtifactsInput!$B$40&lt;&gt;"Not Unlocked"</f>
        <v/>
      </c>
      <c r="AE65">
        <f>IF(AD65,SUMPRODUCT(($AD$32:$AD$67)*($AC$32:$AC$67&gt;AC65))+COUNTIFS($AD$32:AD65,TRUE,$AC$32:AC65,AC65),"")</f>
        <v/>
      </c>
    </row>
    <row r="66">
      <c r="A66">
        <f>IF(35&gt;COUNTIF($AD$32:$AD$67,TRUE),"",INDEX($AA$32:$AA$67,MATCH(35,$AE$32:$AE$67,0)))</f>
        <v/>
      </c>
      <c r="B66">
        <f>IF(35&gt;COUNTIF($AD$32:$AD$67,TRUE),"",INDEX($AB$32:$AB$67,MATCH(35,$AE$32:$AE$67,0)))</f>
        <v/>
      </c>
      <c r="C66">
        <f>IF(35&gt;COUNTIF($AD$32:$AD$67,TRUE),"",INDEX($AC$32:$AC$67,MATCH(35,$AE$32:$AE$67,0)))</f>
        <v/>
      </c>
      <c r="AA66" t="inlineStr">
        <is>
          <t>Secret Map (Equip)</t>
        </is>
      </c>
      <c r="AB66">
        <f>(IF(ArtifactsInput!$M$41,-1,1)*Summary!$B$3*(((1-Summary!$B$11)*IFERROR(B2524/Summary!$B$22,1)+Summary!$B$11*IFERROR(B2525/Summary!$B$23,1))-1)+ArtifactsInput!$L$41)</f>
        <v/>
      </c>
      <c r="AC66">
        <f>IF(ArtifactsInput!$M$41,Summary!$B$3/(Summary!$B$3-(IF(ArtifactsInput!$M$41,-1,1)*Summary!$B$3*(((1-Summary!$B$11)*IFERROR(B2524/Summary!$B$22,1)+Summary!$B$11*IFERROR(B2525/Summary!$B$23,1))-1)+ArtifactsInput!$L$41))*100,(Summary!$B$3+(IF(ArtifactsInput!$M$41,-1,1)*Summary!$B$3*(((1-Summary!$B$11)*IFERROR(B2524/Summary!$B$22,1)+Summary!$B$11*IFERROR(B2525/Summary!$B$23,1))-1)+ArtifactsInput!$L$41))/Summary!$B$3*100)</f>
        <v/>
      </c>
      <c r="AD66">
        <f>ArtifactsInput!$B$41&lt;&gt;"Not Unlocked"</f>
        <v/>
      </c>
      <c r="AE66">
        <f>IF(AD66,SUMPRODUCT(($AD$32:$AD$67)*($AC$32:$AC$67&gt;AC66))+COUNTIFS($AD$32:AD66,TRUE,$AC$32:AC66,AC66),"")</f>
        <v/>
      </c>
    </row>
    <row r="67">
      <c r="A67">
        <f>IF(36&gt;COUNTIF($AD$32:$AD$67,TRUE),"",INDEX($AA$32:$AA$67,MATCH(36,$AE$32:$AE$67,0)))</f>
        <v/>
      </c>
      <c r="B67">
        <f>IF(36&gt;COUNTIF($AD$32:$AD$67,TRUE),"",INDEX($AB$32:$AB$67,MATCH(36,$AE$32:$AE$67,0)))</f>
        <v/>
      </c>
      <c r="C67">
        <f>IF(36&gt;COUNTIF($AD$32:$AD$67,TRUE),"",INDEX($AC$32:$AC$67,MATCH(36,$AE$32:$AE$67,0)))</f>
        <v/>
      </c>
      <c r="AA67" t="inlineStr">
        <is>
          <t>Ring of Cycles (Equip)</t>
        </is>
      </c>
      <c r="AB67">
        <f>(IF(ArtifactsInput!$M$42,-1,1)*Summary!$B$3*(((1-Summary!$B$11)*IFERROR(B2565/Summary!$B$22,1)+Summary!$B$11*IFERROR(B2566/Summary!$B$23,1))-1)+ArtifactsInput!$L$42)</f>
        <v/>
      </c>
      <c r="AC67">
        <f>IF(ArtifactsInput!$M$42,Summary!$B$3/(Summary!$B$3-(IF(ArtifactsInput!$M$42,-1,1)*Summary!$B$3*(((1-Summary!$B$11)*IFERROR(B2565/Summary!$B$22,1)+Summary!$B$11*IFERROR(B2566/Summary!$B$23,1))-1)+ArtifactsInput!$L$42))*100,(Summary!$B$3+(IF(ArtifactsInput!$M$42,-1,1)*Summary!$B$3*(((1-Summary!$B$11)*IFERROR(B2565/Summary!$B$22,1)+Summary!$B$11*IFERROR(B2566/Summary!$B$23,1))-1)+ArtifactsInput!$L$42))/Summary!$B$3*100)</f>
        <v/>
      </c>
      <c r="AD67">
        <f>ArtifactsInput!$B$42&lt;&gt;"Not Unlocked"</f>
        <v/>
      </c>
      <c r="AE67">
        <f>IF(AD67,SUMPRODUCT(($AD$32:$AD$67)*($AC$32:$AC$67&gt;AC67))+COUNTIFS($AD$32:AD67,TRUE,$AC$32:AC67,AC67),"")</f>
        <v/>
      </c>
    </row>
    <row r="70">
      <c r="A70" s="6" t="inlineStr">
        <is>
          <t>Stat: Flat INT</t>
        </is>
      </c>
    </row>
    <row r="71">
      <c r="A71" s="5" t="inlineStr">
        <is>
          <t>Key</t>
        </is>
      </c>
      <c r="B71" s="5" t="inlineStr">
        <is>
          <t>Name</t>
        </is>
      </c>
      <c r="C71" s="5" t="inlineStr">
        <is>
          <t>Unlocked</t>
        </is>
      </c>
      <c r="D71" s="5" t="inlineStr">
        <is>
          <t>InputLevel</t>
        </is>
      </c>
      <c r="E71" s="5" t="inlineStr">
        <is>
          <t>Factor</t>
        </is>
      </c>
      <c r="F71" s="5" t="inlineStr">
        <is>
          <t>CoefficientPercent</t>
        </is>
      </c>
      <c r="G71" s="5" t="inlineStr">
        <is>
          <t>EffectiveHits</t>
        </is>
      </c>
      <c r="H71" s="5" t="inlineStr">
        <is>
          <t>ProcProbability</t>
        </is>
      </c>
      <c r="I71" s="5" t="inlineStr">
        <is>
          <t>MapleHeroMultiplier</t>
        </is>
      </c>
      <c r="J71" s="5" t="inlineStr">
        <is>
          <t>BaseDamage</t>
        </is>
      </c>
      <c r="K71" s="5" t="inlineStr">
        <is>
          <t>BaseHitDamage</t>
        </is>
      </c>
      <c r="L71" s="5" t="inlineStr">
        <is>
          <t>NonCritAvg</t>
        </is>
      </c>
      <c r="M71" s="5" t="inlineStr">
        <is>
          <t>CritAvg</t>
        </is>
      </c>
      <c r="N71" s="5" t="inlineStr">
        <is>
          <t>ExpectedDamage(perHit)</t>
        </is>
      </c>
      <c r="O71" s="5" t="inlineStr">
        <is>
          <t>DPS</t>
        </is>
      </c>
      <c r="P71" s="5" t="inlineStr">
        <is>
          <t>% of Total</t>
        </is>
      </c>
      <c r="R71" t="inlineStr">
        <is>
          <t>helpers</t>
        </is>
      </c>
    </row>
    <row r="72">
      <c r="A72">
        <f>Skills!A2</f>
        <v/>
      </c>
      <c r="B72">
        <f>Skills!B2</f>
        <v/>
      </c>
      <c r="C72">
        <f>Inputs!$B$3&gt;=100</f>
        <v/>
      </c>
      <c r="D72" t="inlineStr"/>
      <c r="E72" t="inlineStr"/>
      <c r="F72">
        <f>T74+Skills!N2</f>
        <v/>
      </c>
      <c r="G72">
        <f>Calc!G2</f>
        <v/>
      </c>
      <c r="H72">
        <f>Calc!H2</f>
        <v/>
      </c>
      <c r="I72">
        <f>IF(Skills!T2&lt;&gt;"",1+(Skills!T2/10)*(Z73/1000)/100,1)</f>
        <v/>
      </c>
      <c r="J72">
        <f>((Inputs!$B$6*(1+Inputs!$B$7/100))+((((Inputs!$B$12+1)*(1+Inputs!$B$13/100))-(Inputs!$B$12*(1+Inputs!$B$13/100)))+0.25*(Inputs!$B$14-Inputs!$B$14))*(1+Inputs!$B$7/100))*(F72/100)</f>
        <v/>
      </c>
      <c r="K72">
        <f>J72*(1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2="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f>
        <v/>
      </c>
      <c r="L72">
        <f>K72*(MIN(Inputs!$B$22+(F88-Calc!F18),(Inputs!$B$23+(IF(ArtifactsInput!$M$15,CHOOSE(ArtifactsInput!$N$15+1,25,30,35,40,45,50)/100*(Inputs!$B$11-Inputs!$B$11),0))))/100+(Inputs!$B$23+(IF(ArtifactsInput!$M$15,CHOOSE(ArtifactsInput!$N$15+1,25,30,35,40,45,50)/100*(Inputs!$B$11-Inputs!$B$11),0)))/100)/2</f>
        <v/>
      </c>
      <c r="M72">
        <f>L72*(1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
        <f>L72*(1-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
        <f>(1-Summary!$B$11)*S72+Summary!$B$11*U72</f>
        <v/>
      </c>
      <c r="P72">
        <f>IF(B107=0,0,O72/B107)</f>
        <v/>
      </c>
      <c r="Q72">
        <f>IFERROR(1/(IF(Inputs!$B$38="pvp",15,MAX(0.1,Skills!D2-IF(TRUE=TRUE,Inputs!$B$32,0)))*(1-IF(AND(ArtifactsInput!$M$27,Inputs!$B$4="Chapter Hunt"),CHOOSE(ArtifactsInput!$N$27+1,20,24,28,32,36,40),0)/100)),0)</f>
        <v/>
      </c>
      <c r="R72" t="n">
        <v>0</v>
      </c>
      <c r="S72">
        <f>IF(C72,(Skills!F2*N72*B103)*IF(Inputs!$B$38="pvp",1,1+(Inputs!$B$20+Skills!O2+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72*(1-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2">
        <f>MAX(0,(Inputs!$B$3-100)*3)+Inputs!$B$28+Inputs!$B$29</f>
        <v/>
      </c>
      <c r="U72">
        <f>IF(C72,(Skills!F2*N72*B103)*IF(Inputs!$B$38="pvp",1,(1+(Inputs!$B$21+Skills!P2+B98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2">
        <f>MAX(0,(Inputs!$B$3-100)*3)+Inputs!$B$28+Inputs!$B$29</f>
        <v/>
      </c>
    </row>
    <row r="73">
      <c r="A73">
        <f>Skills!A3</f>
        <v/>
      </c>
      <c r="B73">
        <f>Skills!B3</f>
        <v/>
      </c>
      <c r="C73">
        <f>Inputs!$B$3&gt;=15</f>
        <v/>
      </c>
      <c r="D73">
        <f>IF(Skills!C3=1,60+Inputs!$B$25+Inputs!$B$29,IF(Skills!C3=2,90+Inputs!$B$26+Inputs!$B$29,IF(Skills!C3=3,120+Inputs!$B$27+Inputs!$B$29,MAX(0,(Inputs!$B$3-100)*3)+Inputs!$B$28+Inputs!$B$29)))</f>
        <v/>
      </c>
      <c r="E73">
        <f>INDEX(FactorTable!$B$2:$Y$301, MATCH(ROUND(MIN(300,MAX(1,D73)),0), FactorTable!$A$2:$A$301,0), Skills!L3+1)</f>
        <v/>
      </c>
      <c r="F73">
        <f>IF(Skills!M3=TRUE,(Skills!K3/10)*(E73/1000),Skills!K3/10)+Skills!N3</f>
        <v/>
      </c>
      <c r="G73">
        <f>Calc!G3</f>
        <v/>
      </c>
      <c r="H73">
        <f>Calc!H3</f>
        <v/>
      </c>
      <c r="I73">
        <f>IF(Skills!T3&lt;&gt;"",1+(Skills!T3/10)*(Z73/1000)/100,1)</f>
        <v/>
      </c>
      <c r="J73" t="inlineStr"/>
      <c r="K73" t="inlineStr"/>
      <c r="L73" t="inlineStr"/>
      <c r="M73" t="inlineStr"/>
      <c r="N73" t="inlineStr"/>
      <c r="O73">
        <f>(1-Summary!$B$11)*S73+Summary!$B$11*U73</f>
        <v/>
      </c>
      <c r="P73">
        <f>IF(B107=0,0,O73/B107)</f>
        <v/>
      </c>
      <c r="Q73">
        <f>IFERROR(1/(IF(Inputs!$B$38="pvp",15,MAX(0.1,Skills!D3-IF(TRUE=TRUE,Inputs!$B$32,0)))*(1-IF(AND(ArtifactsInput!$M$27,Inputs!$B$4="Chapter Hunt"),CHOOSE(ArtifactsInput!$N$27+1,20,24,28,32,36,40),0)/100)),0)</f>
        <v/>
      </c>
      <c r="R73">
        <f>IF(AND(Inputs!$B$38&lt;&gt;"pvp",Inputs!$B$43&gt;0),IF(Inputs!$B$43&lt;=0,0,(INT(Inputs!$B$43/(IF(Inputs!$B$38="pvp",15,MAX(0.1,Skills!D3-IF(TRUE=TRUE,Inputs!$B$32,0)))*(1-IF(AND(ArtifactsInput!$M$27,Inputs!$B$4="Chapter Hunt"),CHOOSE(ArtifactsInput!$N$27+1,20,24,28,32,36,40),0)/100)))+1)),0)</f>
        <v/>
      </c>
      <c r="S73" t="n">
        <v>0</v>
      </c>
      <c r="T73">
        <f>INDEX(FactorTable!$B$2:$Y$301, MATCH(ROUND(MIN(300,MAX(1,T72)),0), FactorTable!$A$2:$A$301,0), 22)</f>
        <v/>
      </c>
      <c r="U73" t="n">
        <v>0</v>
      </c>
      <c r="Z73">
        <f>INDEX(FactorTable!$B$2:$Y$301, MATCH(ROUND(MIN(300,MAX(1,Z72)),0), FactorTable!$A$2:$A$301,0), 24)</f>
        <v/>
      </c>
    </row>
    <row r="74">
      <c r="A74">
        <f>Skills!A4</f>
        <v/>
      </c>
      <c r="B74">
        <f>Skills!B4</f>
        <v/>
      </c>
      <c r="C74">
        <f>Inputs!$B$3&gt;=40</f>
        <v/>
      </c>
      <c r="D74">
        <f>IF(Skills!C4=1,60+Inputs!$B$25+Inputs!$B$29,IF(Skills!C4=2,90+Inputs!$B$26+Inputs!$B$29,IF(Skills!C4=3,120+Inputs!$B$27+Inputs!$B$29,MAX(0,(Inputs!$B$3-100)*3)+Inputs!$B$28+Inputs!$B$29)))</f>
        <v/>
      </c>
      <c r="E74">
        <f>INDEX(FactorTable!$B$2:$Y$301, MATCH(ROUND(MIN(300,MAX(1,D74)),0), FactorTable!$A$2:$A$301,0), Skills!L4+1)</f>
        <v/>
      </c>
      <c r="F74">
        <f>IF(Skills!M4=TRUE,(Skills!K4/10)*(E74/1000),Skills!K4/10)+Skills!N4</f>
        <v/>
      </c>
      <c r="G74">
        <f>Calc!G4</f>
        <v/>
      </c>
      <c r="H74">
        <f>Calc!H4</f>
        <v/>
      </c>
      <c r="I74">
        <f>IF(Skills!T4&lt;&gt;"",1+(Skills!T4/10)*(Z73/1000)/100,1)</f>
        <v/>
      </c>
      <c r="J74" t="inlineStr"/>
      <c r="K74" t="inlineStr"/>
      <c r="L74" t="inlineStr"/>
      <c r="M74" t="inlineStr"/>
      <c r="N74" t="inlineStr"/>
      <c r="O74">
        <f>(1-Summary!$B$11)*S74+Summary!$B$11*U74</f>
        <v/>
      </c>
      <c r="P74">
        <f>IF(B107=0,0,O74/B107)</f>
        <v/>
      </c>
      <c r="Q74">
        <f>IFERROR(1/(IF(Inputs!$B$38="pvp",15,MAX(0.1,Skills!D4-IF(TRUE=TRUE,Inputs!$B$32,0)))*(1-IF(AND(ArtifactsInput!$M$27,Inputs!$B$4="Chapter Hunt"),CHOOSE(ArtifactsInput!$N$27+1,20,24,28,32,36,40),0)/100)),0)</f>
        <v/>
      </c>
      <c r="R74">
        <f>IF(AND(Inputs!$B$38&lt;&gt;"pvp",Inputs!$B$43&gt;0),IF(Inputs!$B$43&lt;=0,0,(INT(Inputs!$B$43/(IF(Inputs!$B$38="pvp",15,MAX(0.1,Skills!D4-IF(TRUE=TRUE,Inputs!$B$32,0)))*(1-IF(AND(ArtifactsInput!$M$27,Inputs!$B$4="Chapter Hunt"),CHOOSE(ArtifactsInput!$N$27+1,20,24,28,32,36,40),0)/100)))+1)),0)</f>
        <v/>
      </c>
      <c r="S74" t="n">
        <v>0</v>
      </c>
      <c r="T74">
        <f>290*T73/1000</f>
        <v/>
      </c>
      <c r="U74" t="n">
        <v>0</v>
      </c>
    </row>
    <row r="75">
      <c r="A75">
        <f>Skills!A5</f>
        <v/>
      </c>
      <c r="B75">
        <f>Skills!B5</f>
        <v/>
      </c>
      <c r="C75">
        <f>Inputs!$B$3&gt;=38</f>
        <v/>
      </c>
      <c r="D75">
        <f>IF(Skills!C5=1,60+Inputs!$B$25+Inputs!$B$29,IF(Skills!C5=2,90+Inputs!$B$26+Inputs!$B$29,IF(Skills!C5=3,120+Inputs!$B$27+Inputs!$B$29,MAX(0,(Inputs!$B$3-100)*3)+Inputs!$B$28+Inputs!$B$29)))</f>
        <v/>
      </c>
      <c r="E75">
        <f>INDEX(FactorTable!$B$2:$Y$301, MATCH(ROUND(MIN(300,MAX(1,D75)),0), FactorTable!$A$2:$A$301,0), Skills!L5+1)</f>
        <v/>
      </c>
      <c r="F75">
        <f>IF(Skills!M5=TRUE,(Skills!K5/10)*(E75/1000),Skills!K5/10)+Skills!N5</f>
        <v/>
      </c>
      <c r="G75">
        <f>Calc!G5</f>
        <v/>
      </c>
      <c r="H75">
        <f>Calc!H5</f>
        <v/>
      </c>
      <c r="I75">
        <f>IF(Skills!T5&lt;&gt;"",1+(Skills!T5/10)*(Z73/1000)/100,1)</f>
        <v/>
      </c>
      <c r="J75">
        <f>((Inputs!$B$6*(1+Inputs!$B$7/100))+((((Inputs!$B$12+1)*(1+Inputs!$B$13/100))-(Inputs!$B$12*(1+Inputs!$B$13/100)))+0.25*(Inputs!$B$14-Inputs!$B$14))*(1+Inputs!$B$7/100))*(F75/100)</f>
        <v/>
      </c>
      <c r="K75">
        <f>J75*(1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5="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f>
        <v/>
      </c>
      <c r="L75">
        <f>K75*(MIN(Inputs!$B$22+(F88-Calc!F18),(Inputs!$B$23+(IF(ArtifactsInput!$M$15,CHOOSE(ArtifactsInput!$N$15+1,25,30,35,40,45,50)/100*(Inputs!$B$11-Inputs!$B$11),0))))/100+(Inputs!$B$23+(IF(ArtifactsInput!$M$15,CHOOSE(ArtifactsInput!$N$15+1,25,30,35,40,45,50)/100*(Inputs!$B$11-Inputs!$B$11),0)))/100)/2</f>
        <v/>
      </c>
      <c r="M75">
        <f>L75*(1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
        <f>L75*(1-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
        <f>(1-Summary!$B$11)*S75+Summary!$B$11*U75</f>
        <v/>
      </c>
      <c r="P75">
        <f>IF(B107=0,0,O75/B107)</f>
        <v/>
      </c>
      <c r="Q75">
        <f>IFERROR(1/(IF(Inputs!$B$38="pvp",15,MAX(0.1,Skills!D5-IF(TRUE=TRUE,Inputs!$B$32,0)))*(1-IF(AND(ArtifactsInput!$M$27,Inputs!$B$4="Chapter Hunt"),CHOOSE(ArtifactsInput!$N$27+1,20,24,28,32,36,40),0)/100)),0)</f>
        <v/>
      </c>
      <c r="R75">
        <f>IF(AND(Inputs!$B$38&lt;&gt;"pvp",Inputs!$B$43&gt;0),IF(MAX(0,Inputs!$B$43-B104)&lt;=0,0,(INT(MAX(0,Inputs!$B$43-B104)/(IF(Inputs!$B$38="pvp",15,MAX(0.1,Skills!D5-IF(TRUE=TRUE,Inputs!$B$32,0)))*(1-IF(AND(ArtifactsInput!$M$27,Inputs!$B$4="Chapter Hunt"),CHOOSE(ArtifactsInput!$N$27+1,20,24,28,32,36,40),0)/100)))+1)),0)</f>
        <v/>
      </c>
      <c r="S75">
        <f>IF(C75,(H75*N75*IF(AND(Inputs!$B$38&lt;&gt;"pvp",Inputs!$B$43&gt;0),((Skills!F5*((R75-1)*IF(Skills!G5&gt;0,Skills!H5/Skills!G5,1)+IF(Skills!G5&gt;0,MIN(Skills!H5,MAX(0,MAX(0,Inputs!$B$43-B104)-((R75-1)*(IF(Inputs!$B$38="pvp",15,MAX(0.1,Skills!D5-IF(TRUE=TRUE,Inputs!$B$32,0)))*(1-IF(AND(ArtifactsInput!$M$27,Inputs!$B$4="Chapter Hunt"),CHOOSE(ArtifactsInput!$N$27+1,20,24,28,32,36,40),0)/100)))))/Skills!G5,1)))/Inputs!$B$43),G75*Q75))*IF(Inputs!$B$38="pvp",1,1+(Inputs!$B$20+Skills!O5+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75*(1-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5">
        <f>IF(C75,(H75*N75*IF(AND(Inputs!$B$38&lt;&gt;"pvp",Inputs!$B$43&gt;0),((Skills!F5*((R75-1)*IF(Skills!G5&gt;0,Skills!H5/Skills!G5,1)+IF(Skills!G5&gt;0,MIN(Skills!H5,MAX(0,MAX(0,Inputs!$B$43-B104)-((R75-1)*(IF(Inputs!$B$38="pvp",15,MAX(0.1,Skills!D5-IF(TRUE=TRUE,Inputs!$B$32,0)))*(1-IF(AND(ArtifactsInput!$M$27,Inputs!$B$4="Chapter Hunt"),CHOOSE(ArtifactsInput!$N$27+1,20,24,28,32,36,40),0)/100)))))/Skills!G5,1)))/Inputs!$B$43),G75*Q75))*IF(Inputs!$B$38="pvp",1,(1+(Inputs!$B$21+Skills!P5+B98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6">
      <c r="A76">
        <f>Skills!A6</f>
        <v/>
      </c>
      <c r="B76">
        <f>Skills!B6</f>
        <v/>
      </c>
      <c r="C76">
        <f>Inputs!$B$3&gt;=63</f>
        <v/>
      </c>
      <c r="D76">
        <f>IF(Skills!C6=1,60+Inputs!$B$25+Inputs!$B$29,IF(Skills!C6=2,90+Inputs!$B$26+Inputs!$B$29,IF(Skills!C6=3,120+Inputs!$B$27+Inputs!$B$29,MAX(0,(Inputs!$B$3-100)*3)+Inputs!$B$28+Inputs!$B$29)))</f>
        <v/>
      </c>
      <c r="E76">
        <f>INDEX(FactorTable!$B$2:$Y$301, MATCH(ROUND(MIN(300,MAX(1,D76)),0), FactorTable!$A$2:$A$301,0), Skills!L6+1)</f>
        <v/>
      </c>
      <c r="F76">
        <f>IF(Skills!M6=TRUE,(Skills!K6/10)*(E76/1000),Skills!K6/10)+Skills!N6</f>
        <v/>
      </c>
      <c r="G76">
        <f>Calc!G6</f>
        <v/>
      </c>
      <c r="H76">
        <f>Calc!H6</f>
        <v/>
      </c>
      <c r="I76">
        <f>IF(Skills!T6&lt;&gt;"",1+(Skills!T6/10)*(Z73/1000)/100,1)</f>
        <v/>
      </c>
      <c r="J76">
        <f>((Inputs!$B$6*(1+Inputs!$B$7/100))+((((Inputs!$B$12+1)*(1+Inputs!$B$13/100))-(Inputs!$B$12*(1+Inputs!$B$13/100)))+0.25*(Inputs!$B$14-Inputs!$B$14))*(1+Inputs!$B$7/100))*(F76/100)</f>
        <v/>
      </c>
      <c r="K76">
        <f>J76*(1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6="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f>
        <v/>
      </c>
      <c r="L76">
        <f>K76*(MIN(Inputs!$B$22+(F88-Calc!F18),(Inputs!$B$23+(IF(ArtifactsInput!$M$15,CHOOSE(ArtifactsInput!$N$15+1,25,30,35,40,45,50)/100*(Inputs!$B$11-Inputs!$B$11),0))))/100+(Inputs!$B$23+(IF(ArtifactsInput!$M$15,CHOOSE(ArtifactsInput!$N$15+1,25,30,35,40,45,50)/100*(Inputs!$B$11-Inputs!$B$11),0)))/100)/2</f>
        <v/>
      </c>
      <c r="M76">
        <f>L76*(1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(1-Summary!$B$11)*S76+Summary!$B$11*U76</f>
        <v/>
      </c>
      <c r="P76">
        <f>IF(B107=0,0,O76/B107)</f>
        <v/>
      </c>
      <c r="Q76">
        <f>IFERROR(1/(IF(Inputs!$B$38="pvp",15,MAX(0.1,Skills!D6-IF(TRUE=TRUE,Inputs!$B$32,0)))*(1-IF(AND(ArtifactsInput!$M$27,Inputs!$B$4="Chapter Hunt"),CHOOSE(ArtifactsInput!$N$27+1,20,24,28,32,36,40),0)/100)),0)</f>
        <v/>
      </c>
      <c r="R76">
        <f>IF(AND(Inputs!$B$38&lt;&gt;"pvp",Inputs!$B$43&gt;0),IF(MAX(0,Inputs!$B$43-B104)&lt;=0,0,(INT(MAX(0,Inputs!$B$43-B104)/(IF(Inputs!$B$38="pvp",15,MAX(0.1,Skills!D6-IF(TRUE=TRUE,Inputs!$B$32,0)))*(1-IF(AND(ArtifactsInput!$M$27,Inputs!$B$4="Chapter Hunt"),CHOOSE(ArtifactsInput!$N$27+1,20,24,28,32,36,40),0)/100)))+1)),0)</f>
        <v/>
      </c>
      <c r="S76">
        <f>IF(C76,(H76*N76*IF(AND(Inputs!$B$38&lt;&gt;"pvp",Inputs!$B$43&gt;0),((Skills!F6*((R76-1)*IF(Skills!G6&gt;0,Skills!H6/Skills!G6,1)+IF(Skills!G6&gt;0,MIN(Skills!H6,MAX(0,MAX(0,Inputs!$B$43-B104)-((R76-1)*(IF(Inputs!$B$38="pvp",15,MAX(0.1,Skills!D6-IF(TRUE=TRUE,Inputs!$B$32,0)))*(1-IF(AND(ArtifactsInput!$M$27,Inputs!$B$4="Chapter Hunt"),CHOOSE(ArtifactsInput!$N$27+1,20,24,28,32,36,40),0)/100)))))/Skills!G6,1)))/Inputs!$B$43),G76*Q76))*IF(Inputs!$B$38="pvp",1,1+(Inputs!$B$20+Skills!O6+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76*(1-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6">
        <f>IF(C76,(H76*N76*IF(AND(Inputs!$B$38&lt;&gt;"pvp",Inputs!$B$43&gt;0),((Skills!F6*((R76-1)*IF(Skills!G6&gt;0,Skills!H6/Skills!G6,1)+IF(Skills!G6&gt;0,MIN(Skills!H6,MAX(0,MAX(0,Inputs!$B$43-B104)-((R76-1)*(IF(Inputs!$B$38="pvp",15,MAX(0.1,Skills!D6-IF(TRUE=TRUE,Inputs!$B$32,0)))*(1-IF(AND(ArtifactsInput!$M$27,Inputs!$B$4="Chapter Hunt"),CHOOSE(ArtifactsInput!$N$27+1,20,24,28,32,36,40),0)/100)))))/Skills!G6,1)))/Inputs!$B$43),G76*Q76))*IF(Inputs!$B$38="pvp",1,(1+(Inputs!$B$21+Skills!P6+B98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Skills!A7</f>
        <v/>
      </c>
      <c r="B77">
        <f>Skills!B7</f>
        <v/>
      </c>
      <c r="C77">
        <f>Inputs!$B$3&gt;=69</f>
        <v/>
      </c>
      <c r="D77">
        <f>IF(Skills!C7=1,60+Inputs!$B$25+Inputs!$B$29,IF(Skills!C7=2,90+Inputs!$B$26+Inputs!$B$29,IF(Skills!C7=3,120+Inputs!$B$27+Inputs!$B$29,MAX(0,(Inputs!$B$3-100)*3)+Inputs!$B$28+Inputs!$B$29)))</f>
        <v/>
      </c>
      <c r="E77">
        <f>INDEX(FactorTable!$B$2:$Y$301, MATCH(ROUND(MIN(300,MAX(1,D77)),0), FactorTable!$A$2:$A$301,0), Skills!L7+1)</f>
        <v/>
      </c>
      <c r="F77">
        <f>IF(Skills!M7=TRUE,(Skills!K7/10)*(E77/1000),Skills!K7/10)+Skills!N7</f>
        <v/>
      </c>
      <c r="G77">
        <f>Calc!G7</f>
        <v/>
      </c>
      <c r="H77">
        <f>Calc!H7</f>
        <v/>
      </c>
      <c r="I77">
        <f>IF(Skills!T7&lt;&gt;"",1+(Skills!T7/10)*(Z73/1000)/100,1)</f>
        <v/>
      </c>
      <c r="J77">
        <f>((Inputs!$B$6*(1+Inputs!$B$7/100))+((((Inputs!$B$12+1)*(1+Inputs!$B$13/100))-(Inputs!$B$12*(1+Inputs!$B$13/100)))+0.25*(Inputs!$B$14-Inputs!$B$14))*(1+Inputs!$B$7/100))*(F77/100)</f>
        <v/>
      </c>
      <c r="K77">
        <f>J77*(1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7="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F88-Calc!F18),(Inputs!$B$23+(IF(ArtifactsInput!$M$15,CHOOSE(ArtifactsInput!$N$15+1,25,30,35,40,45,50)/100*(Inputs!$B$11-Inputs!$B$11),0))))/100+(Inputs!$B$23+(IF(ArtifactsInput!$M$15,CHOOSE(ArtifactsInput!$N$15+1,25,30,35,40,45,50)/100*(Inputs!$B$11-Inputs!$B$11),0)))/100)/2</f>
        <v/>
      </c>
      <c r="M77">
        <f>L77*(1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(1-Summary!$B$11)*S77+Summary!$B$11*U77</f>
        <v/>
      </c>
      <c r="P77">
        <f>IF(B107=0,0,O77/B107)</f>
        <v/>
      </c>
      <c r="Q77">
        <f>IFERROR(1/(IF(Inputs!$B$38="pvp",15,MAX(0.1,Skills!D7-IF(TRUE=TRUE,Inputs!$B$32,0)))*(1-IF(AND(ArtifactsInput!$M$27,Inputs!$B$4="Chapter Hunt"),CHOOSE(ArtifactsInput!$N$27+1,20,24,28,32,36,40),0)/100)),0)</f>
        <v/>
      </c>
      <c r="R77">
        <f>IF(AND(Inputs!$B$38&lt;&gt;"pvp",Inputs!$B$43&gt;0),IF(MAX(0,Inputs!$B$43-B104)&lt;=0,0,(INT(MAX(0,Inputs!$B$43-B104)/(IF(Inputs!$B$38="pvp",15,MAX(0.1,Skills!D7-IF(TRUE=TRUE,Inputs!$B$32,0)))*(1-IF(AND(ArtifactsInput!$M$27,Inputs!$B$4="Chapter Hunt"),CHOOSE(ArtifactsInput!$N$27+1,20,24,28,32,36,40),0)/100)))+1)),0)</f>
        <v/>
      </c>
      <c r="S77">
        <f>IF(C77,(H77*N77*IF(AND(Inputs!$B$38&lt;&gt;"pvp",Inputs!$B$43&gt;0),((Skills!F7*((R77-1)*IF(Skills!G7&gt;0,Skills!H7/Skills!G7,1)+IF(Skills!G7&gt;0,MIN(Skills!H7,MAX(0,MAX(0,Inputs!$B$43-B104)-((R77-1)*(IF(Inputs!$B$38="pvp",15,MAX(0.1,Skills!D7-IF(TRUE=TRUE,Inputs!$B$32,0)))*(1-IF(AND(ArtifactsInput!$M$27,Inputs!$B$4="Chapter Hunt"),CHOOSE(ArtifactsInput!$N$27+1,20,24,28,32,36,40),0)/100)))))/Skills!G7,1)))/Inputs!$B$43),G77*Q77))*IF(Inputs!$B$38="pvp",1,1+(Inputs!$B$20+Skills!O7+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
        <f>IF(C77,(H77*N77*IF(AND(Inputs!$B$38&lt;&gt;"pvp",Inputs!$B$43&gt;0),((Skills!F7*((R77-1)*IF(Skills!G7&gt;0,Skills!H7/Skills!G7,1)+IF(Skills!G7&gt;0,MIN(Skills!H7,MAX(0,MAX(0,Inputs!$B$43-B104)-((R77-1)*(IF(Inputs!$B$38="pvp",15,MAX(0.1,Skills!D7-IF(TRUE=TRUE,Inputs!$B$32,0)))*(1-IF(AND(ArtifactsInput!$M$27,Inputs!$B$4="Chapter Hunt"),CHOOSE(ArtifactsInput!$N$27+1,20,24,28,32,36,40),0)/100)))))/Skills!G7,1)))/Inputs!$B$43),G77*Q77))*IF(Inputs!$B$38="pvp",1,(1+(Inputs!$B$21+Skills!P7+B98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Skills!A8</f>
        <v/>
      </c>
      <c r="B78">
        <f>Skills!B8</f>
        <v/>
      </c>
      <c r="C78">
        <f>Inputs!$B$3&gt;=103</f>
        <v/>
      </c>
      <c r="D78">
        <f>IF(Skills!C8=1,60+Inputs!$B$25+Inputs!$B$29,IF(Skills!C8=2,90+Inputs!$B$26+Inputs!$B$29,IF(Skills!C8=3,120+Inputs!$B$27+Inputs!$B$29,MAX(0,(Inputs!$B$3-100)*3)+Inputs!$B$28+Inputs!$B$29)))</f>
        <v/>
      </c>
      <c r="E78">
        <f>INDEX(FactorTable!$B$2:$Y$301, MATCH(ROUND(MIN(300,MAX(1,D78)),0), FactorTable!$A$2:$A$301,0), Skills!L8+1)</f>
        <v/>
      </c>
      <c r="F78">
        <f>IF(Skills!M8=TRUE,(Skills!K8/10)*(E78/1000),Skills!K8/10)+Skills!N8</f>
        <v/>
      </c>
      <c r="G78">
        <f>Calc!G8</f>
        <v/>
      </c>
      <c r="H78">
        <f>Calc!H8</f>
        <v/>
      </c>
      <c r="I78">
        <f>IF(Skills!T8&lt;&gt;"",1+(Skills!T8/10)*(Z73/1000)/100,1)</f>
        <v/>
      </c>
      <c r="J78">
        <f>((Inputs!$B$6*(1+Inputs!$B$7/100))+((((Inputs!$B$12+1)*(1+Inputs!$B$13/100))-(Inputs!$B$12*(1+Inputs!$B$13/100)))+0.25*(Inputs!$B$14-Inputs!$B$14))*(1+Inputs!$B$7/100))*(F78/100)</f>
        <v/>
      </c>
      <c r="K78">
        <f>J78*(1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8="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F88-Calc!F18),(Inputs!$B$23+(IF(ArtifactsInput!$M$15,CHOOSE(ArtifactsInput!$N$15+1,25,30,35,40,45,50)/100*(Inputs!$B$11-Inputs!$B$11),0))))/100+(Inputs!$B$23+(IF(ArtifactsInput!$M$15,CHOOSE(ArtifactsInput!$N$15+1,25,30,35,40,45,50)/100*(Inputs!$B$11-Inputs!$B$11),0)))/100)/2</f>
        <v/>
      </c>
      <c r="M78">
        <f>L78*(1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(1-Summary!$B$11)*S78+Summary!$B$11*U78</f>
        <v/>
      </c>
      <c r="P78">
        <f>IF(B107=0,0,O78/B107)</f>
        <v/>
      </c>
      <c r="Q78">
        <f>IFERROR(1/(IF(Inputs!$B$38="pvp",15,MAX(0.1,Skills!D8-IF(TRUE=TRUE,Inputs!$B$32,0)))*(1-IF(AND(ArtifactsInput!$M$27,Inputs!$B$4="Chapter Hunt"),CHOOSE(ArtifactsInput!$N$27+1,20,24,28,32,36,40),0)/100)),0)</f>
        <v/>
      </c>
      <c r="R78">
        <f>IF(AND(Inputs!$B$38&lt;&gt;"pvp",Inputs!$B$43&gt;0),IF(MAX(0,Inputs!$B$43-B104)&lt;=0,0,(INT(MAX(0,Inputs!$B$43-B104)/(IF(Inputs!$B$38="pvp",15,MAX(0.1,Skills!D8-IF(TRUE=TRUE,Inputs!$B$32,0)))*(1-IF(AND(ArtifactsInput!$M$27,Inputs!$B$4="Chapter Hunt"),CHOOSE(ArtifactsInput!$N$27+1,20,24,28,32,36,40),0)/100)))+1)),0)</f>
        <v/>
      </c>
      <c r="S78">
        <f>IF(C78,(H78*N78*IF(AND(Inputs!$B$38&lt;&gt;"pvp",Inputs!$B$43&gt;0),((Skills!F8*((R78-1)*IF(Skills!G8&gt;0,Skills!H8/Skills!G8,1)+IF(Skills!G8&gt;0,MIN(Skills!H8,MAX(0,MAX(0,Inputs!$B$43-B104)-((R78-1)*(IF(Inputs!$B$38="pvp",15,MAX(0.1,Skills!D8-IF(TRUE=TRUE,Inputs!$B$32,0)))*(1-IF(AND(ArtifactsInput!$M$27,Inputs!$B$4="Chapter Hunt"),CHOOSE(ArtifactsInput!$N$27+1,20,24,28,32,36,40),0)/100)))))/Skills!G8,1)))/Inputs!$B$43),G78*Q78))*IF(Inputs!$B$38="pvp",1,1+(Inputs!$B$20+Skills!O8+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78*(1-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8">
        <f>IF(C78,(H78*N78*IF(AND(Inputs!$B$38&lt;&gt;"pvp",Inputs!$B$43&gt;0),((Skills!F8*((R78-1)*IF(Skills!G8&gt;0,Skills!H8/Skills!G8,1)+IF(Skills!G8&gt;0,MIN(Skills!H8,MAX(0,MAX(0,Inputs!$B$43-B104)-((R78-1)*(IF(Inputs!$B$38="pvp",15,MAX(0.1,Skills!D8-IF(TRUE=TRUE,Inputs!$B$32,0)))*(1-IF(AND(ArtifactsInput!$M$27,Inputs!$B$4="Chapter Hunt"),CHOOSE(ArtifactsInput!$N$27+1,20,24,28,32,36,40),0)/100)))))/Skills!G8,1)))/Inputs!$B$43),G78*Q78))*IF(Inputs!$B$38="pvp",1,(1+(Inputs!$B$21+Skills!P8+B98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Skills!A9</f>
        <v/>
      </c>
      <c r="B79">
        <f>Skills!B9</f>
        <v/>
      </c>
      <c r="C79">
        <f>Inputs!$B$3&gt;=105</f>
        <v/>
      </c>
      <c r="D79">
        <f>IF(Skills!C9=1,60+Inputs!$B$25+Inputs!$B$29,IF(Skills!C9=2,90+Inputs!$B$26+Inputs!$B$29,IF(Skills!C9=3,120+Inputs!$B$27+Inputs!$B$29,MAX(0,(Inputs!$B$3-100)*3)+Inputs!$B$28+Inputs!$B$29)))</f>
        <v/>
      </c>
      <c r="E79">
        <f>INDEX(FactorTable!$B$2:$Y$301, MATCH(ROUND(MIN(300,MAX(1,D79)),0), FactorTable!$A$2:$A$301,0), Skills!L9+1)</f>
        <v/>
      </c>
      <c r="F79">
        <f>IF(Skills!M9=TRUE,(Skills!K9/10)*(E79/1000),Skills!K9/10)+Skills!N9</f>
        <v/>
      </c>
      <c r="G79">
        <f>Calc!G9</f>
        <v/>
      </c>
      <c r="H79">
        <f>Calc!H9</f>
        <v/>
      </c>
      <c r="I79">
        <f>IF(Skills!T9&lt;&gt;"",1+(Skills!T9/10)*(Z73/1000)/100,1)</f>
        <v/>
      </c>
      <c r="J79">
        <f>((Inputs!$B$6*(1+Inputs!$B$7/100))+((((Inputs!$B$12+1)*(1+Inputs!$B$13/100))-(Inputs!$B$12*(1+Inputs!$B$13/100)))+0.25*(Inputs!$B$14-Inputs!$B$14))*(1+Inputs!$B$7/100))*(F79/100)</f>
        <v/>
      </c>
      <c r="K79">
        <f>J79*(1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9="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f>
        <v/>
      </c>
      <c r="L79">
        <f>K79*(MIN(Inputs!$B$22+(F88-Calc!F18),(Inputs!$B$23+(IF(ArtifactsInput!$M$15,CHOOSE(ArtifactsInput!$N$15+1,25,30,35,40,45,50)/100*(Inputs!$B$11-Inputs!$B$11),0))))/100+(Inputs!$B$23+(IF(ArtifactsInput!$M$15,CHOOSE(ArtifactsInput!$N$15+1,25,30,35,40,45,50)/100*(Inputs!$B$11-Inputs!$B$11),0)))/100)/2</f>
        <v/>
      </c>
      <c r="M79">
        <f>L79*(1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
        <f>L79*(1-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
        <f>(1-Summary!$B$11)*S79+Summary!$B$11*U79</f>
        <v/>
      </c>
      <c r="P79">
        <f>IF(B107=0,0,O79/B107)</f>
        <v/>
      </c>
      <c r="Q79">
        <f>IFERROR(1/(IF(Inputs!$B$38="pvp",15,MAX(0.1,Skills!D9-IF(TRUE=TRUE,Inputs!$B$32,0)))*(1-IF(AND(ArtifactsInput!$M$27,Inputs!$B$4="Chapter Hunt"),CHOOSE(ArtifactsInput!$N$27+1,20,24,28,32,36,40),0)/100)),0)</f>
        <v/>
      </c>
      <c r="R79">
        <f>IF(AND(Inputs!$B$38&lt;&gt;"pvp",Inputs!$B$43&gt;0),IF(MAX(0,Inputs!$B$43-B104)&lt;=0,0,(INT(MAX(0,Inputs!$B$43-B104)/(IF(Inputs!$B$38="pvp",15,MAX(0.1,Skills!D9-IF(TRUE=TRUE,Inputs!$B$32,0)))*(1-IF(AND(ArtifactsInput!$M$27,Inputs!$B$4="Chapter Hunt"),CHOOSE(ArtifactsInput!$N$27+1,20,24,28,32,36,40),0)/100)))+1)),0)</f>
        <v/>
      </c>
      <c r="S79">
        <f>IF(C79,(H79*N79*IF(AND(Inputs!$B$38&lt;&gt;"pvp",Inputs!$B$43&gt;0),((Skills!F9*((R79-1)*IF(Skills!G9&gt;0,Skills!H9/Skills!G9,1)+IF(Skills!G9&gt;0,MIN(Skills!H9,MAX(0,MAX(0,Inputs!$B$43-B104)-((R79-1)*(IF(Inputs!$B$38="pvp",15,MAX(0.1,Skills!D9-IF(TRUE=TRUE,Inputs!$B$32,0)))*(1-IF(AND(ArtifactsInput!$M$27,Inputs!$B$4="Chapter Hunt"),CHOOSE(ArtifactsInput!$N$27+1,20,24,28,32,36,40),0)/100)))))/Skills!G9,1)))/Inputs!$B$43),G79*Q79))*IF(Inputs!$B$38="pvp",1,1+(Inputs!$B$20+Skills!O9+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79*(1-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
        <f>IF(C79,(H79*N79*IF(AND(Inputs!$B$38&lt;&gt;"pvp",Inputs!$B$43&gt;0),((Skills!F9*((R79-1)*IF(Skills!G9&gt;0,Skills!H9/Skills!G9,1)+IF(Skills!G9&gt;0,MIN(Skills!H9,MAX(0,MAX(0,Inputs!$B$43-B104)-((R79-1)*(IF(Inputs!$B$38="pvp",15,MAX(0.1,Skills!D9-IF(TRUE=TRUE,Inputs!$B$32,0)))*(1-IF(AND(ArtifactsInput!$M$27,Inputs!$B$4="Chapter Hunt"),CHOOSE(ArtifactsInput!$N$27+1,20,24,28,32,36,40),0)/100)))))/Skills!G9,1)))/Inputs!$B$43),G79*Q79))*IF(Inputs!$B$38="pvp",1,(1+(Inputs!$B$21+Skills!P9+B98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
      <c r="A80">
        <f>Skills!A10</f>
        <v/>
      </c>
      <c r="B80">
        <f>Skills!B10</f>
        <v/>
      </c>
      <c r="C80">
        <f>Inputs!$B$3&gt;=113</f>
        <v/>
      </c>
      <c r="D80">
        <f>IF(Skills!C10=1,60+Inputs!$B$25+Inputs!$B$29,IF(Skills!C10=2,90+Inputs!$B$26+Inputs!$B$29,IF(Skills!C10=3,120+Inputs!$B$27+Inputs!$B$29,MAX(0,(Inputs!$B$3-100)*3)+Inputs!$B$28+Inputs!$B$29)))</f>
        <v/>
      </c>
      <c r="E80">
        <f>INDEX(FactorTable!$B$2:$Y$301, MATCH(ROUND(MIN(300,MAX(1,D80)),0), FactorTable!$A$2:$A$301,0), Skills!L10+1)</f>
        <v/>
      </c>
      <c r="F80">
        <f>IF(Skills!M10=TRUE,(Skills!K10/10)*(E80/1000),Skills!K10/10)+Skills!N10</f>
        <v/>
      </c>
      <c r="G80">
        <f>Calc!G10</f>
        <v/>
      </c>
      <c r="H80">
        <f>Calc!H10</f>
        <v/>
      </c>
      <c r="I80">
        <f>IF(Skills!T10&lt;&gt;"",1+(Skills!T10/10)*(Z73/1000)/100,1)</f>
        <v/>
      </c>
      <c r="J80">
        <f>((Inputs!$B$6*(1+Inputs!$B$7/100))+((((Inputs!$B$12+1)*(1+Inputs!$B$13/100))-(Inputs!$B$12*(1+Inputs!$B$13/100)))+0.25*(Inputs!$B$14-Inputs!$B$14))*(1+Inputs!$B$7/100))*(F80/100)</f>
        <v/>
      </c>
      <c r="K80">
        <f>J80*(1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10="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F88-Calc!F18),(Inputs!$B$23+(IF(ArtifactsInput!$M$15,CHOOSE(ArtifactsInput!$N$15+1,25,30,35,40,45,50)/100*(Inputs!$B$11-Inputs!$B$11),0))))/100+(Inputs!$B$23+(IF(ArtifactsInput!$M$15,CHOOSE(ArtifactsInput!$N$15+1,25,30,35,40,45,50)/100*(Inputs!$B$11-Inputs!$B$11),0)))/100)/2</f>
        <v/>
      </c>
      <c r="M80">
        <f>L80*(1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(1-Summary!$B$11)*S80+Summary!$B$11*U80</f>
        <v/>
      </c>
      <c r="P80">
        <f>IF(B107=0,0,O80/B107)</f>
        <v/>
      </c>
      <c r="Q80">
        <f>IFERROR(1/(IF(Inputs!$B$38="pvp",15,MAX(0.1,Skills!D10-IF(TRUE=TRUE,Inputs!$B$32,0)))*(1-IF(AND(ArtifactsInput!$M$27,Inputs!$B$4="Chapter Hunt"),CHOOSE(ArtifactsInput!$N$27+1,20,24,28,32,36,40),0)/100)),0)</f>
        <v/>
      </c>
      <c r="R80" t="n">
        <v>0</v>
      </c>
      <c r="S80">
        <f>IF(C80,((H80*B108)/(1+Skills!G10*H80*B108)*N80)*IF(Inputs!$B$38="pvp",1,1+(Inputs!$B$20+Skills!O10+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80*(1-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0">
        <f>IF(C80,((H80*B108)/(1+Skills!G10*H80*B108)*N80)*IF(Inputs!$B$38="pvp",1,(1+(Inputs!$B$21+Skills!P10+B98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Skills!A11</f>
        <v/>
      </c>
      <c r="B81">
        <f>Skills!B11</f>
        <v/>
      </c>
      <c r="C81">
        <f>Inputs!$B$3&gt;=107</f>
        <v/>
      </c>
      <c r="D81">
        <f>IF(Skills!C11=1,60+Inputs!$B$25+Inputs!$B$29,IF(Skills!C11=2,90+Inputs!$B$26+Inputs!$B$29,IF(Skills!C11=3,120+Inputs!$B$27+Inputs!$B$29,MAX(0,(Inputs!$B$3-100)*3)+Inputs!$B$28+Inputs!$B$29)))</f>
        <v/>
      </c>
      <c r="E81">
        <f>INDEX(FactorTable!$B$2:$Y$301, MATCH(ROUND(MIN(300,MAX(1,D81)),0), FactorTable!$A$2:$A$301,0), Skills!L11+1)</f>
        <v/>
      </c>
      <c r="F81">
        <f>IF(Skills!M11=TRUE,(Skills!K11/10)*(E81/1000),Skills!K11/10)+Skills!N11</f>
        <v/>
      </c>
      <c r="G81">
        <f>Calc!G11</f>
        <v/>
      </c>
      <c r="H81">
        <f>Calc!H11</f>
        <v/>
      </c>
      <c r="I81">
        <f>IF(Skills!T11&lt;&gt;"",1+(Skills!T11/10)*(Z73/1000)/100,1)</f>
        <v/>
      </c>
      <c r="J81">
        <f>((Inputs!$B$6*(1+Inputs!$B$7/100))+((((Inputs!$B$12+1)*(1+Inputs!$B$13/100))-(Inputs!$B$12*(1+Inputs!$B$13/100)))+0.25*(Inputs!$B$14-Inputs!$B$14))*(1+Inputs!$B$7/100))*(F81/100)</f>
        <v/>
      </c>
      <c r="K81">
        <f>J81*(1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11="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F88-Calc!F18),(Inputs!$B$23+(IF(ArtifactsInput!$M$15,CHOOSE(ArtifactsInput!$N$15+1,25,30,35,40,45,50)/100*(Inputs!$B$11-Inputs!$B$11),0))))/100+(Inputs!$B$23+(IF(ArtifactsInput!$M$15,CHOOSE(ArtifactsInput!$N$15+1,25,30,35,40,45,50)/100*(Inputs!$B$11-Inputs!$B$11),0)))/100)/2</f>
        <v/>
      </c>
      <c r="M81">
        <f>L81*(1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(1-Summary!$B$11)*S81+Summary!$B$11*U81</f>
        <v/>
      </c>
      <c r="P81">
        <f>IF(B107=0,0,O81/B107)</f>
        <v/>
      </c>
      <c r="Q81">
        <f>IFERROR(1/(IF(Inputs!$B$38="pvp",15,MAX(0.1,Skills!D11-IF(TRUE=TRUE,Inputs!$B$32,0)))*(1-IF(AND(ArtifactsInput!$M$27,Inputs!$B$4="Chapter Hunt"),CHOOSE(ArtifactsInput!$N$27+1,20,24,28,32,36,40),0)/100)),0)</f>
        <v/>
      </c>
      <c r="R81">
        <f>IF(AND(Inputs!$B$38&lt;&gt;"pvp",Inputs!$B$43&gt;0),IF(MAX(0,Inputs!$B$43-B104)&lt;=0,0,(INT(MAX(0,Inputs!$B$43-B104)/(IF(Inputs!$B$38="pvp",15,MAX(0.1,Skills!D11-IF(TRUE=TRUE,Inputs!$B$32,0)))*(1-IF(AND(ArtifactsInput!$M$27,Inputs!$B$4="Chapter Hunt"),CHOOSE(ArtifactsInput!$N$27+1,20,24,28,32,36,40),0)/100)))+1)),0)</f>
        <v/>
      </c>
      <c r="S81">
        <f>IF(C81,H81*N81*IF(AND(Inputs!$B$38&lt;&gt;"pvp",Inputs!$B$43&gt;0),((Skills!F11*((R81-1)*IF(Skills!G11&gt;0,Skills!H11/Skills!G11,1)+IF(Skills!G11&gt;0,MIN(Skills!H11,MAX(0,MAX(0,Inputs!$B$43-B104)-((R81-1)*(IF(Inputs!$B$38="pvp",15,MAX(0.1,Skills!D11-IF(TRUE=TRUE,Inputs!$B$32,0)))*(1-IF(AND(ArtifactsInput!$M$27,Inputs!$B$4="Chapter Hunt"),CHOOSE(ArtifactsInput!$N$27+1,20,24,28,32,36,40),0)/100)))))/Skills!G11,1)))/Inputs!$B$43),G81*Q81)*0.5*IF(Inputs!$B$38="pvp",1,1+(Inputs!$B$20+Skills!O11+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
        <f>IF(C81,H81*N81*IF(AND(Inputs!$B$38&lt;&gt;"pvp",Inputs!$B$43&gt;0),((Skills!F11*((R81-1)*IF(Skills!G11&gt;0,Skills!H11/Skills!G11,1)+IF(Skills!G11&gt;0,MIN(Skills!H11,MAX(0,MAX(0,Inputs!$B$43-B104)-((R81-1)*(IF(Inputs!$B$38="pvp",15,MAX(0.1,Skills!D11-IF(TRUE=TRUE,Inputs!$B$32,0)))*(1-IF(AND(ArtifactsInput!$M$27,Inputs!$B$4="Chapter Hunt"),CHOOSE(ArtifactsInput!$N$27+1,20,24,28,32,36,40),0)/100)))))/Skills!G11,1)))/Inputs!$B$43),G81*Q81)*1*IF(Inputs!$B$38="pvp",1,(1+(Inputs!$B$21+Skills!P11+B98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Skills!A12</f>
        <v/>
      </c>
      <c r="B82">
        <f>Skills!B12</f>
        <v/>
      </c>
      <c r="C82">
        <f>Inputs!$B$3&gt;=115</f>
        <v/>
      </c>
      <c r="D82">
        <f>IF(Skills!C12=1,60+Inputs!$B$25+Inputs!$B$29,IF(Skills!C12=2,90+Inputs!$B$26+Inputs!$B$29,IF(Skills!C12=3,120+Inputs!$B$27+Inputs!$B$29,MAX(0,(Inputs!$B$3-100)*3)+Inputs!$B$28+Inputs!$B$29)))</f>
        <v/>
      </c>
      <c r="E82">
        <f>INDEX(FactorTable!$B$2:$Y$301, MATCH(ROUND(MIN(300,MAX(1,D82)),0), FactorTable!$A$2:$A$301,0), Skills!L12+1)</f>
        <v/>
      </c>
      <c r="F82">
        <f>IF(Skills!M12=TRUE,(Skills!K12/10)*(E82/1000),Skills!K12/10)+Skills!N12</f>
        <v/>
      </c>
      <c r="G82">
        <f>Calc!G12</f>
        <v/>
      </c>
      <c r="H82">
        <f>Calc!H12</f>
        <v/>
      </c>
      <c r="I82">
        <f>IF(Skills!T12&lt;&gt;"",1+(Skills!T12/10)*(Z73/1000)/100,1)</f>
        <v/>
      </c>
      <c r="J82">
        <f>((Inputs!$B$6*(1+Inputs!$B$7/100))+((((Inputs!$B$12+1)*(1+Inputs!$B$13/100))-(Inputs!$B$12*(1+Inputs!$B$13/100)))+0.25*(Inputs!$B$14-Inputs!$B$14))*(1+Inputs!$B$7/100))*(F82/100)</f>
        <v/>
      </c>
      <c r="K82">
        <f>J82*(1+(((Inputs!$B$12+1)*(1+Inputs!$B$13/100))*0.01+Inputs!$B$14*0.0025)/100)*(1+(Inputs!$B$15+B99)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85=TRUE,F85,0)/100)*(1+IF(C93=TRUE,F93,0)/100)^5*(1+(IF(Skills!A12="CHAIN_LIGHTNING",Inputs!$B$17+((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f>
        <v/>
      </c>
      <c r="L82">
        <f>K82*(MIN(Inputs!$B$22+(F88-Calc!F18),(Inputs!$B$23+(IF(ArtifactsInput!$M$15,CHOOSE(ArtifactsInput!$N$15+1,25,30,35,40,45,50)/100*(Inputs!$B$11-Inputs!$B$11),0))))/100+(Inputs!$B$23+(IF(ArtifactsInput!$M$15,CHOOSE(ArtifactsInput!$N$15+1,25,30,35,40,45,50)/100*(Inputs!$B$11-Inputs!$B$11),0)))/100)/2</f>
        <v/>
      </c>
      <c r="M82">
        <f>L82*(1+(Inputs!$B$10+(F91-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(1-Summary!$B$11)*S82+Summary!$B$11*U82</f>
        <v/>
      </c>
      <c r="P82">
        <f>IF(B107=0,0,O82/B107)</f>
        <v/>
      </c>
      <c r="Q82">
        <f>IFERROR(1/(IF(Inputs!$B$38="pvp",15,MAX(0.1,Skills!D12-IF(TRUE=TRUE,Inputs!$B$32,0)))*(1-IF(AND(ArtifactsInput!$M$27,Inputs!$B$4="Chapter Hunt"),CHOOSE(ArtifactsInput!$N$27+1,20,24,28,32,36,40),0)/100)),0)</f>
        <v/>
      </c>
      <c r="R82">
        <f>IF(AND(Inputs!$B$38&lt;&gt;"pvp",Inputs!$B$43&gt;0),IF(MAX(0,Inputs!$B$43-B104)&lt;=0,0,(INT(MAX(0,Inputs!$B$43-B104)/(IF(Inputs!$B$38="pvp",15,MAX(0.1,Skills!D12-IF(TRUE=TRUE,Inputs!$B$32,0)))*(1-IF(AND(ArtifactsInput!$M$27,Inputs!$B$4="Chapter Hunt"),CHOOSE(ArtifactsInput!$N$27+1,20,24,28,32,36,40),0)/100)))+1)),0)</f>
        <v/>
      </c>
      <c r="S82">
        <f>IF(C82,(H82*N82*IF(AND(Inputs!$B$38&lt;&gt;"pvp",Inputs!$B$43&gt;0),((Skills!F12*((R82-1)*IF(Skills!G12&gt;0,Skills!H12/Skills!G12,1)+IF(Skills!G12&gt;0,MIN(Skills!H12,MAX(0,MAX(0,Inputs!$B$43-B104)-((R82-1)*(IF(Inputs!$B$38="pvp",15,MAX(0.1,Skills!D12-IF(TRUE=TRUE,Inputs!$B$32,0)))*(1-IF(AND(ArtifactsInput!$M$27,Inputs!$B$4="Chapter Hunt"),CHOOSE(ArtifactsInput!$N$27+1,20,24,28,32,36,40),0)/100)))))/Skills!G12,1)))/Inputs!$B$43),G82*Q82))*IF(Inputs!$B$38="pvp",1,1+(Inputs!$B$20+Skills!O12+B98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F90-Calc!F20)+(F89-Calc!F19))+(ArtifactsInput!$M$24-ArtifactsInput!$M$24)*CHOOSE(ArtifactsInput!$N$24+1,10,12,14,16,18,20)+(IF(AND(Inputs!$B$38&lt;&gt;"pvp",Inputs!$B$43=0),1,IF(IF(Inputs!$B$38="pvp",15,Inputs!$B$43)-(B104)&lt;=0,1,MAX(0,IF(Inputs!$B$38="pvp",15,Inputs!$B$43)-MAX(5,B104))/(IF(Inputs!$B$38="pvp",15,Inputs!$B$43)-(B104)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
        <f>IF(C82,(H82*N82*IF(AND(Inputs!$B$38&lt;&gt;"pvp",Inputs!$B$43&gt;0),((Skills!F12*((R82-1)*IF(Skills!G12&gt;0,Skills!H12/Skills!G12,1)+IF(Skills!G12&gt;0,MIN(Skills!H12,MAX(0,MAX(0,Inputs!$B$43-B104)-((R82-1)*(IF(Inputs!$B$38="pvp",15,MAX(0.1,Skills!D12-IF(TRUE=TRUE,Inputs!$B$32,0)))*(1-IF(AND(ArtifactsInput!$M$27,Inputs!$B$4="Chapter Hunt"),CHOOSE(ArtifactsInput!$N$27+1,20,24,28,32,36,40),0)/100)))))/Skills!G12,1)))/Inputs!$B$43),G82*Q82))*IF(Inputs!$B$38="pvp",1,(1+(Inputs!$B$21+Skills!P12+B98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Skills!A13</f>
        <v/>
      </c>
      <c r="B83">
        <f>Skills!B13</f>
        <v/>
      </c>
      <c r="C83">
        <f>Inputs!$B$3&gt;=49</f>
        <v/>
      </c>
      <c r="D83">
        <f>IF(Skills!C13=1,60+Inputs!$B$25+Inputs!$B$29,IF(Skills!C13=2,90+Inputs!$B$26+Inputs!$B$29,IF(Skills!C13=3,120+Inputs!$B$27+Inputs!$B$29,MAX(0,(Inputs!$B$3-100)*3)+Inputs!$B$28+Inputs!$B$29)))</f>
        <v/>
      </c>
      <c r="E83">
        <f>INDEX(FactorTable!$B$2:$Y$301, MATCH(ROUND(MIN(300,MAX(1,D83)),0), FactorTable!$A$2:$A$301,0), Skills!L13+1)</f>
        <v/>
      </c>
      <c r="F83">
        <f>IF(Skills!M13=TRUE,(Skills!K13/10)*(E83/1000),Skills!K13/10)+Skills!N13</f>
        <v/>
      </c>
      <c r="G83">
        <f>Calc!G13</f>
        <v/>
      </c>
      <c r="H83">
        <f>Calc!H13</f>
        <v/>
      </c>
      <c r="I83">
        <f>IF(Skills!T13&lt;&gt;"",1+(Skills!T13/10)*(Z73/1000)/100,1)</f>
        <v/>
      </c>
      <c r="J83" t="inlineStr"/>
      <c r="K83" t="inlineStr"/>
      <c r="L83" t="inlineStr"/>
      <c r="M83" t="inlineStr"/>
      <c r="N83" t="inlineStr"/>
      <c r="O83">
        <f>(1-Summary!$B$11)*S83+Summary!$B$11*U83</f>
        <v/>
      </c>
      <c r="P83">
        <f>IF(B107=0,0,O83/B107)</f>
        <v/>
      </c>
      <c r="Q83">
        <f>IFERROR(1/(IF(Inputs!$B$38="pvp",15,MAX(0.1,Skills!D13-IF(TRUE=TRUE,Inputs!$B$32,0)))*(1-IF(AND(ArtifactsInput!$M$27,Inputs!$B$4="Chapter Hunt"),CHOOSE(ArtifactsInput!$N$27+1,20,24,28,32,36,40),0)/100)),0)</f>
        <v/>
      </c>
      <c r="R83" t="n">
        <v>0</v>
      </c>
      <c r="S83" t="n">
        <v>0</v>
      </c>
      <c r="U83" t="n">
        <v>0</v>
      </c>
    </row>
    <row r="84">
      <c r="A84">
        <f>Skills!A14</f>
        <v/>
      </c>
      <c r="B84">
        <f>Skills!B14</f>
        <v/>
      </c>
      <c r="C84">
        <f>Inputs!$B$3&gt;=72</f>
        <v/>
      </c>
      <c r="D84">
        <f>IF(Skills!C14=1,60+Inputs!$B$25+Inputs!$B$29,IF(Skills!C14=2,90+Inputs!$B$26+Inputs!$B$29,IF(Skills!C14=3,120+Inputs!$B$27+Inputs!$B$29,MAX(0,(Inputs!$B$3-100)*3)+Inputs!$B$28+Inputs!$B$29)))</f>
        <v/>
      </c>
      <c r="E84">
        <f>INDEX(FactorTable!$B$2:$Y$301, MATCH(ROUND(MIN(300,MAX(1,D84)),0), FactorTable!$A$2:$A$301,0), Skills!L14+1)</f>
        <v/>
      </c>
      <c r="F84">
        <f>IF(Skills!M14=TRUE,(Skills!K14/10)*(E84/1000),Skills!K14/10)+Skills!N14</f>
        <v/>
      </c>
      <c r="G84">
        <f>Calc!G14</f>
        <v/>
      </c>
      <c r="H84">
        <f>Calc!H14</f>
        <v/>
      </c>
      <c r="I84">
        <f>IF(Skills!T14&lt;&gt;"",1+(Skills!T14/10)*(Z73/1000)/100,1)</f>
        <v/>
      </c>
      <c r="J84" t="inlineStr"/>
      <c r="K84" t="inlineStr"/>
      <c r="L84" t="inlineStr"/>
      <c r="M84" t="inlineStr"/>
      <c r="N84" t="inlineStr"/>
      <c r="O84">
        <f>(1-Summary!$B$11)*S84+Summary!$B$11*U84</f>
        <v/>
      </c>
      <c r="P84">
        <f>IF(B107=0,0,O84/B107)</f>
        <v/>
      </c>
      <c r="Q84">
        <f>IFERROR(1/(IF(Inputs!$B$38="pvp",15,MAX(0.1,Skills!D14-IF(TRUE=TRUE,Inputs!$B$32,0)))*(1-IF(AND(ArtifactsInput!$M$27,Inputs!$B$4="Chapter Hunt"),CHOOSE(ArtifactsInput!$N$27+1,20,24,28,32,36,40),0)/100)),0)</f>
        <v/>
      </c>
      <c r="R84" t="n">
        <v>0</v>
      </c>
      <c r="S84" t="n">
        <v>0</v>
      </c>
      <c r="U84" t="n">
        <v>0</v>
      </c>
    </row>
    <row r="85">
      <c r="A85">
        <f>Skills!A15</f>
        <v/>
      </c>
      <c r="B85">
        <f>Skills!B15</f>
        <v/>
      </c>
      <c r="C85">
        <f>Inputs!$B$3&gt;=75</f>
        <v/>
      </c>
      <c r="D85">
        <f>IF(Skills!C15=1,60+Inputs!$B$25+Inputs!$B$29,IF(Skills!C15=2,90+Inputs!$B$26+Inputs!$B$29,IF(Skills!C15=3,120+Inputs!$B$27+Inputs!$B$29,MAX(0,(Inputs!$B$3-100)*3)+Inputs!$B$28+Inputs!$B$29)))</f>
        <v/>
      </c>
      <c r="E85">
        <f>INDEX(FactorTable!$B$2:$Y$301, MATCH(ROUND(MIN(300,MAX(1,D85)),0), FactorTable!$A$2:$A$301,0), Skills!L15+1)</f>
        <v/>
      </c>
      <c r="F85">
        <f>IF(Skills!M15=TRUE,(Skills!K15/10)*(E85/1000),Skills!K15/10)+Skills!N15</f>
        <v/>
      </c>
      <c r="G85">
        <f>Calc!G15</f>
        <v/>
      </c>
      <c r="H85">
        <f>Calc!H15</f>
        <v/>
      </c>
      <c r="I85">
        <f>IF(Skills!T15&lt;&gt;"",1+(Skills!T15/10)*(Z73/1000)/100,1)</f>
        <v/>
      </c>
      <c r="J85" t="inlineStr"/>
      <c r="K85" t="inlineStr"/>
      <c r="L85" t="inlineStr"/>
      <c r="M85" t="inlineStr"/>
      <c r="N85" t="inlineStr"/>
      <c r="O85">
        <f>(1-Summary!$B$11)*S85+Summary!$B$11*U85</f>
        <v/>
      </c>
      <c r="P85">
        <f>IF(B107=0,0,O85/B107)</f>
        <v/>
      </c>
      <c r="Q85">
        <f>IFERROR(1/(IF(Inputs!$B$38="pvp",15,MAX(0.1,Skills!D15-IF(TRUE=TRUE,Inputs!$B$32,0)))*(1-IF(AND(ArtifactsInput!$M$27,Inputs!$B$4="Chapter Hunt"),CHOOSE(ArtifactsInput!$N$27+1,20,24,28,32,36,40),0)/100)),0)</f>
        <v/>
      </c>
      <c r="R85" t="n">
        <v>0</v>
      </c>
      <c r="S85" t="n">
        <v>0</v>
      </c>
      <c r="U85" t="n">
        <v>0</v>
      </c>
    </row>
    <row r="86">
      <c r="A86">
        <f>Skills!A16</f>
        <v/>
      </c>
      <c r="B86">
        <f>Skills!B16</f>
        <v/>
      </c>
      <c r="C86">
        <f>Inputs!$B$3&gt;=110</f>
        <v/>
      </c>
      <c r="D86">
        <f>IF(Skills!C16=1,60+Inputs!$B$25+Inputs!$B$29,IF(Skills!C16=2,90+Inputs!$B$26+Inputs!$B$29,IF(Skills!C16=3,120+Inputs!$B$27+Inputs!$B$29,MAX(0,(Inputs!$B$3-100)*3)+Inputs!$B$28+Inputs!$B$29)))</f>
        <v/>
      </c>
      <c r="E86">
        <f>INDEX(FactorTable!$B$2:$Y$301, MATCH(ROUND(MIN(300,MAX(1,D86)),0), FactorTable!$A$2:$A$301,0), Skills!L16+1)</f>
        <v/>
      </c>
      <c r="F86">
        <f>(Skills!K16/10)*(E86/1000)*64/45+Skills!N16</f>
        <v/>
      </c>
      <c r="G86">
        <f>Calc!G16</f>
        <v/>
      </c>
      <c r="H86">
        <f>Calc!H16</f>
        <v/>
      </c>
      <c r="I86">
        <f>IF(Skills!T16&lt;&gt;"",1+(Skills!T16/10)*(Z73/1000)/100,1)</f>
        <v/>
      </c>
      <c r="J86" t="inlineStr"/>
      <c r="K86" t="inlineStr"/>
      <c r="L86" t="inlineStr"/>
      <c r="M86" t="inlineStr"/>
      <c r="N86" t="inlineStr"/>
      <c r="O86">
        <f>(1-Summary!$B$11)*S86+Summary!$B$11*U86</f>
        <v/>
      </c>
      <c r="P86">
        <f>IF(B107=0,0,O86/B107)</f>
        <v/>
      </c>
      <c r="Q86">
        <f>IFERROR(1/(IF(Inputs!$B$38="pvp",15,MAX(0.1,Skills!D16-IF(TRUE=TRUE,Inputs!$B$32,0)))*(1-IF(AND(ArtifactsInput!$M$27,Inputs!$B$4="Chapter Hunt"),CHOOSE(ArtifactsInput!$N$27+1,20,24,28,32,36,40),0)/100)),0)</f>
        <v/>
      </c>
      <c r="R86">
        <f>IF(AND(Inputs!$B$38&lt;&gt;"pvp",Inputs!$B$43&gt;0),IF(Inputs!$B$43&lt;=0,0,(INT(Inputs!$B$43/(IF(Inputs!$B$38="pvp",15,MAX(0.1,Skills!D16-IF(TRUE=TRUE,Inputs!$B$32,0)))*(1-IF(AND(ArtifactsInput!$M$27,Inputs!$B$4="Chapter Hunt"),CHOOSE(ArtifactsInput!$N$27+1,20,24,28,32,36,40),0)/100)))+1)),0)</f>
        <v/>
      </c>
      <c r="S86" t="n">
        <v>0</v>
      </c>
      <c r="U86" t="n">
        <v>0</v>
      </c>
    </row>
    <row r="87">
      <c r="A87">
        <f>Skills!A17</f>
        <v/>
      </c>
      <c r="B87">
        <f>Skills!B17</f>
        <v/>
      </c>
      <c r="C87">
        <f>Inputs!$B$3&gt;=33</f>
        <v/>
      </c>
      <c r="D87">
        <f>IF(Skills!C17=1,60+Inputs!$B$25+Inputs!$B$29,IF(Skills!C17=2,90+Inputs!$B$26+Inputs!$B$29,IF(Skills!C17=3,120+Inputs!$B$27+Inputs!$B$29,MAX(0,(Inputs!$B$3-100)*3)+Inputs!$B$28+Inputs!$B$29)))</f>
        <v/>
      </c>
      <c r="E87">
        <f>INDEX(FactorTable!$B$2:$Y$301, MATCH(ROUND(MIN(300,MAX(1,D87)),0), FactorTable!$A$2:$A$301,0), Skills!L17+1)</f>
        <v/>
      </c>
      <c r="F87">
        <f>IF(Skills!M17=TRUE,(Skills!K17/10)*(E87/1000),Skills!K17/10)+Skills!N17</f>
        <v/>
      </c>
      <c r="G87">
        <f>Calc!G17</f>
        <v/>
      </c>
      <c r="H87">
        <f>Calc!H17</f>
        <v/>
      </c>
      <c r="I87">
        <f>IF(Skills!T17&lt;&gt;"",1+(Skills!T17/10)*(Z73/1000)/100,1)</f>
        <v/>
      </c>
      <c r="J87" t="inlineStr"/>
      <c r="K87" t="inlineStr"/>
      <c r="L87" t="inlineStr"/>
      <c r="M87" t="inlineStr"/>
      <c r="N87" t="inlineStr"/>
      <c r="O87">
        <f>(1-Summary!$B$11)*S87+Summary!$B$11*U87</f>
        <v/>
      </c>
      <c r="P87">
        <f>IF(B107=0,0,O87/B107)</f>
        <v/>
      </c>
      <c r="Q87">
        <f>IFERROR(1/(IF(Inputs!$B$38="pvp",15,MAX(0.1,Skills!D17-IF(TRUE=TRUE,Inputs!$B$32,0)))*(1-IF(AND(ArtifactsInput!$M$27,Inputs!$B$4="Chapter Hunt"),CHOOSE(ArtifactsInput!$N$27+1,20,24,28,32,36,40),0)/100)),0)</f>
        <v/>
      </c>
      <c r="R87" t="n">
        <v>0</v>
      </c>
      <c r="S87" t="n">
        <v>0</v>
      </c>
      <c r="U87" t="n">
        <v>0</v>
      </c>
    </row>
    <row r="88">
      <c r="A88">
        <f>Skills!A18</f>
        <v/>
      </c>
      <c r="B88">
        <f>Skills!B18</f>
        <v/>
      </c>
      <c r="C88">
        <f>Inputs!$B$3&gt;=43</f>
        <v/>
      </c>
      <c r="D88">
        <f>IF(Skills!C18=1,60+Inputs!$B$25+Inputs!$B$29,IF(Skills!C18=2,90+Inputs!$B$26+Inputs!$B$29,IF(Skills!C18=3,120+Inputs!$B$27+Inputs!$B$29,MAX(0,(Inputs!$B$3-100)*3)+Inputs!$B$28+Inputs!$B$29)))</f>
        <v/>
      </c>
      <c r="E88">
        <f>INDEX(FactorTable!$B$2:$Y$301, MATCH(ROUND(MIN(300,MAX(1,D88)),0), FactorTable!$A$2:$A$301,0), Skills!L18+1)</f>
        <v/>
      </c>
      <c r="F88">
        <f>IF(Skills!M18=TRUE,(Skills!K18/10)*(E88/1000),Skills!K18/10)+Skills!N18</f>
        <v/>
      </c>
      <c r="G88">
        <f>Calc!G18</f>
        <v/>
      </c>
      <c r="H88">
        <f>Calc!H18</f>
        <v/>
      </c>
      <c r="I88">
        <f>IF(Skills!T18&lt;&gt;"",1+(Skills!T18/10)*(Z73/1000)/100,1)</f>
        <v/>
      </c>
      <c r="J88" t="inlineStr"/>
      <c r="K88" t="inlineStr"/>
      <c r="L88" t="inlineStr"/>
      <c r="M88" t="inlineStr"/>
      <c r="N88" t="inlineStr"/>
      <c r="O88">
        <f>(1-Summary!$B$11)*S88+Summary!$B$11*U88</f>
        <v/>
      </c>
      <c r="P88">
        <f>IF(B107=0,0,O88/B107)</f>
        <v/>
      </c>
      <c r="Q88">
        <f>IFERROR(1/(IF(Inputs!$B$38="pvp",15,MAX(0.1,Skills!D18-IF(TRUE=TRUE,Inputs!$B$32,0)))*(1-IF(AND(ArtifactsInput!$M$27,Inputs!$B$4="Chapter Hunt"),CHOOSE(ArtifactsInput!$N$27+1,20,24,28,32,36,40),0)/100)),0)</f>
        <v/>
      </c>
      <c r="R88" t="n">
        <v>0</v>
      </c>
      <c r="S88" t="n">
        <v>0</v>
      </c>
      <c r="U88" t="n">
        <v>0</v>
      </c>
    </row>
    <row r="89">
      <c r="A89">
        <f>Skills!A19</f>
        <v/>
      </c>
      <c r="B89">
        <f>Skills!B19</f>
        <v/>
      </c>
      <c r="C89">
        <f>Inputs!$B$3&gt;=50</f>
        <v/>
      </c>
      <c r="D89">
        <f>IF(Skills!C19=1,60+Inputs!$B$25+Inputs!$B$29,IF(Skills!C19=2,90+Inputs!$B$26+Inputs!$B$29,IF(Skills!C19=3,120+Inputs!$B$27+Inputs!$B$29,MAX(0,(Inputs!$B$3-100)*3)+Inputs!$B$28+Inputs!$B$29)))</f>
        <v/>
      </c>
      <c r="E89">
        <f>INDEX(FactorTable!$B$2:$Y$301, MATCH(ROUND(MIN(300,MAX(1,D89)),0), FactorTable!$A$2:$A$301,0), Skills!L19+1)</f>
        <v/>
      </c>
      <c r="F89">
        <f>IF(Skills!M19=TRUE,(Skills!K19/10)*(E89/1000),Skills!K19/10)+Skills!N19</f>
        <v/>
      </c>
      <c r="G89">
        <f>Calc!G19</f>
        <v/>
      </c>
      <c r="H89">
        <f>Calc!H19</f>
        <v/>
      </c>
      <c r="I89">
        <f>IF(Skills!T19&lt;&gt;"",1+(Skills!T19/10)*(Z73/1000)/100,1)</f>
        <v/>
      </c>
      <c r="J89" t="inlineStr"/>
      <c r="K89" t="inlineStr"/>
      <c r="L89" t="inlineStr"/>
      <c r="M89" t="inlineStr"/>
      <c r="N89" t="inlineStr"/>
      <c r="O89">
        <f>(1-Summary!$B$11)*S89+Summary!$B$11*U89</f>
        <v/>
      </c>
      <c r="P89">
        <f>IF(B107=0,0,O89/B107)</f>
        <v/>
      </c>
      <c r="Q89">
        <f>IFERROR(1/(IF(Inputs!$B$38="pvp",15,MAX(0.1,Skills!D19-IF(TRUE=TRUE,Inputs!$B$32,0)))*(1-IF(AND(ArtifactsInput!$M$27,Inputs!$B$4="Chapter Hunt"),CHOOSE(ArtifactsInput!$N$27+1,20,24,28,32,36,40),0)/100)),0)</f>
        <v/>
      </c>
      <c r="R89" t="n">
        <v>0</v>
      </c>
      <c r="S89" t="n">
        <v>0</v>
      </c>
      <c r="U89" t="n">
        <v>0</v>
      </c>
    </row>
    <row r="90">
      <c r="A90">
        <f>Skills!A20</f>
        <v/>
      </c>
      <c r="B90">
        <f>Skills!B20</f>
        <v/>
      </c>
      <c r="C90">
        <f>Inputs!$B$3&gt;=74</f>
        <v/>
      </c>
      <c r="D90">
        <f>IF(Skills!C20=1,60+Inputs!$B$25+Inputs!$B$29,IF(Skills!C20=2,90+Inputs!$B$26+Inputs!$B$29,IF(Skills!C20=3,120+Inputs!$B$27+Inputs!$B$29,MAX(0,(Inputs!$B$3-100)*3)+Inputs!$B$28+Inputs!$B$29)))</f>
        <v/>
      </c>
      <c r="E90">
        <f>INDEX(FactorTable!$B$2:$Y$301, MATCH(ROUND(MIN(300,MAX(1,D90)),0), FactorTable!$A$2:$A$301,0), Skills!L20+1)</f>
        <v/>
      </c>
      <c r="F90">
        <f>IF(Skills!M20=TRUE,(Skills!K20/10)*(E90/1000),Skills!K20/10)+Skills!N20</f>
        <v/>
      </c>
      <c r="G90">
        <f>Calc!G20</f>
        <v/>
      </c>
      <c r="H90">
        <f>Calc!H20</f>
        <v/>
      </c>
      <c r="I90">
        <f>IF(Skills!T20&lt;&gt;"",1+(Skills!T20/10)*(Z73/1000)/100,1)</f>
        <v/>
      </c>
      <c r="J90" t="inlineStr"/>
      <c r="K90" t="inlineStr"/>
      <c r="L90" t="inlineStr"/>
      <c r="M90" t="inlineStr"/>
      <c r="N90" t="inlineStr"/>
      <c r="O90">
        <f>(1-Summary!$B$11)*S90+Summary!$B$11*U90</f>
        <v/>
      </c>
      <c r="P90">
        <f>IF(B107=0,0,O90/B107)</f>
        <v/>
      </c>
      <c r="Q90">
        <f>IFERROR(1/(IF(Inputs!$B$38="pvp",15,MAX(0.1,Skills!D20-IF(TRUE=TRUE,Inputs!$B$32,0)))*(1-IF(AND(ArtifactsInput!$M$27,Inputs!$B$4="Chapter Hunt"),CHOOSE(ArtifactsInput!$N$27+1,20,24,28,32,36,40),0)/100)),0)</f>
        <v/>
      </c>
      <c r="R90" t="n">
        <v>0</v>
      </c>
      <c r="S90" t="n">
        <v>0</v>
      </c>
      <c r="U90" t="n">
        <v>0</v>
      </c>
    </row>
    <row r="91">
      <c r="A91">
        <f>Skills!A21</f>
        <v/>
      </c>
      <c r="B91">
        <f>Skills!B21</f>
        <v/>
      </c>
      <c r="C91">
        <f>Inputs!$B$3&gt;=74</f>
        <v/>
      </c>
      <c r="D91">
        <f>IF(Skills!C21=1,60+Inputs!$B$25+Inputs!$B$29,IF(Skills!C21=2,90+Inputs!$B$26+Inputs!$B$29,IF(Skills!C21=3,120+Inputs!$B$27+Inputs!$B$29,MAX(0,(Inputs!$B$3-100)*3)+Inputs!$B$28+Inputs!$B$29)))</f>
        <v/>
      </c>
      <c r="E91">
        <f>INDEX(FactorTable!$B$2:$Y$301, MATCH(ROUND(MIN(300,MAX(1,D91)),0), FactorTable!$A$2:$A$301,0), Skills!L21+1)</f>
        <v/>
      </c>
      <c r="F91">
        <f>IF(Skills!M21=TRUE,(Skills!K21/10)*(E91/1000),Skills!K21/10)+Skills!N21</f>
        <v/>
      </c>
      <c r="G91">
        <f>Calc!G21</f>
        <v/>
      </c>
      <c r="H91">
        <f>Calc!H21</f>
        <v/>
      </c>
      <c r="I91">
        <f>IF(Skills!T21&lt;&gt;"",1+(Skills!T21/10)*(Z73/1000)/100,1)</f>
        <v/>
      </c>
      <c r="J91" t="inlineStr"/>
      <c r="K91" t="inlineStr"/>
      <c r="L91" t="inlineStr"/>
      <c r="M91" t="inlineStr"/>
      <c r="N91" t="inlineStr"/>
      <c r="O91">
        <f>(1-Summary!$B$11)*S91+Summary!$B$11*U91</f>
        <v/>
      </c>
      <c r="P91">
        <f>IF(B107=0,0,O91/B107)</f>
        <v/>
      </c>
      <c r="Q91">
        <f>IFERROR(1/(IF(Inputs!$B$38="pvp",15,MAX(0.1,Skills!D21-IF(TRUE=TRUE,Inputs!$B$32,0)))*(1-IF(AND(ArtifactsInput!$M$27,Inputs!$B$4="Chapter Hunt"),CHOOSE(ArtifactsInput!$N$27+1,20,24,28,32,36,40),0)/100)),0)</f>
        <v/>
      </c>
      <c r="R91" t="n">
        <v>0</v>
      </c>
      <c r="S91" t="n">
        <v>0</v>
      </c>
      <c r="U91" t="n">
        <v>0</v>
      </c>
    </row>
    <row r="92">
      <c r="A92">
        <f>Skills!A22</f>
        <v/>
      </c>
      <c r="B92">
        <f>Skills!B22</f>
        <v/>
      </c>
      <c r="C92">
        <f>Inputs!$B$3&gt;=117</f>
        <v/>
      </c>
      <c r="D92">
        <f>IF(Skills!C22=1,60+Inputs!$B$25+Inputs!$B$29,IF(Skills!C22=2,90+Inputs!$B$26+Inputs!$B$29,IF(Skills!C22=3,120+Inputs!$B$27+Inputs!$B$29,MAX(0,(Inputs!$B$3-100)*3)+Inputs!$B$28+Inputs!$B$29)))</f>
        <v/>
      </c>
      <c r="E92">
        <f>INDEX(FactorTable!$B$2:$Y$301, MATCH(ROUND(MIN(300,MAX(1,D92)),0), FactorTable!$A$2:$A$301,0), Skills!L22+1)</f>
        <v/>
      </c>
      <c r="F92">
        <f>IF(Skills!M22=TRUE,(Skills!K22/10)*(E92/1000),Skills!K22/10)+Skills!N22</f>
        <v/>
      </c>
      <c r="G92">
        <f>Calc!G22</f>
        <v/>
      </c>
      <c r="H92">
        <f>Calc!H22</f>
        <v/>
      </c>
      <c r="I92">
        <f>IF(Skills!T22&lt;&gt;"",1+(Skills!T22/10)*(Z73/1000)/100,1)</f>
        <v/>
      </c>
      <c r="J92" t="inlineStr"/>
      <c r="K92" t="inlineStr"/>
      <c r="L92" t="inlineStr"/>
      <c r="M92" t="inlineStr"/>
      <c r="N92" t="inlineStr"/>
      <c r="O92">
        <f>(1-Summary!$B$11)*S92+Summary!$B$11*U92</f>
        <v/>
      </c>
      <c r="P92">
        <f>IF(B107=0,0,O92/B107)</f>
        <v/>
      </c>
      <c r="Q92">
        <f>IFERROR(1/(IF(Inputs!$B$38="pvp",15,MAX(0.1,Skills!D22-IF(TRUE=TRUE,Inputs!$B$32,0)))*(1-IF(AND(ArtifactsInput!$M$27,Inputs!$B$4="Chapter Hunt"),CHOOSE(ArtifactsInput!$N$27+1,20,24,28,32,36,40),0)/100)),0)</f>
        <v/>
      </c>
      <c r="R92" t="n">
        <v>0</v>
      </c>
      <c r="S92" t="n">
        <v>0</v>
      </c>
      <c r="U92" t="n">
        <v>0</v>
      </c>
    </row>
    <row r="93">
      <c r="A93">
        <f>Skills!A23</f>
        <v/>
      </c>
      <c r="B93">
        <f>Skills!B23</f>
        <v/>
      </c>
      <c r="C93">
        <f>Inputs!$B$3&gt;=120</f>
        <v/>
      </c>
      <c r="D93">
        <f>IF(Skills!C23=1,60+Inputs!$B$25+Inputs!$B$29,IF(Skills!C23=2,90+Inputs!$B$26+Inputs!$B$29,IF(Skills!C23=3,120+Inputs!$B$27+Inputs!$B$29,MAX(0,(Inputs!$B$3-100)*3)+Inputs!$B$28+Inputs!$B$29)))</f>
        <v/>
      </c>
      <c r="E93">
        <f>INDEX(FactorTable!$B$2:$Y$301, MATCH(ROUND(MIN(300,MAX(1,D93)),0), FactorTable!$A$2:$A$301,0), Skills!L23+1)</f>
        <v/>
      </c>
      <c r="F93">
        <f>IF(Skills!M23=TRUE,(Skills!K23/10)*(E93/1000),Skills!K23/10)+Skills!N23</f>
        <v/>
      </c>
      <c r="G93">
        <f>Calc!G23</f>
        <v/>
      </c>
      <c r="H93">
        <f>Calc!H23</f>
        <v/>
      </c>
      <c r="I93">
        <f>IF(Skills!T23&lt;&gt;"",1+(Skills!T23/10)*(Z73/1000)/100,1)</f>
        <v/>
      </c>
      <c r="J93" t="inlineStr"/>
      <c r="K93" t="inlineStr"/>
      <c r="L93" t="inlineStr"/>
      <c r="M93" t="inlineStr"/>
      <c r="N93" t="inlineStr"/>
      <c r="O93">
        <f>(1-Summary!$B$11)*S93+Summary!$B$11*U93</f>
        <v/>
      </c>
      <c r="P93">
        <f>IF(B107=0,0,O93/B107)</f>
        <v/>
      </c>
      <c r="Q93">
        <f>IFERROR(1/(IF(Inputs!$B$38="pvp",15,MAX(0.1,Skills!D23-IF(TRUE=TRUE,Inputs!$B$32,0)))*(1-IF(AND(ArtifactsInput!$M$27,Inputs!$B$4="Chapter Hunt"),CHOOSE(ArtifactsInput!$N$27+1,20,24,28,32,36,40),0)/100)),0)</f>
        <v/>
      </c>
      <c r="R93" t="n">
        <v>0</v>
      </c>
      <c r="S93" t="n">
        <v>0</v>
      </c>
      <c r="U93" t="n">
        <v>0</v>
      </c>
    </row>
    <row r="94">
      <c r="A94">
        <f>Skills!A24</f>
        <v/>
      </c>
      <c r="B94">
        <f>Skills!B24</f>
        <v/>
      </c>
      <c r="C94">
        <f>TRUE</f>
        <v/>
      </c>
      <c r="D94">
        <f>IF(Skills!C24=1,60+Inputs!$B$25+Inputs!$B$29,IF(Skills!C24=2,90+Inputs!$B$26+Inputs!$B$29,IF(Skills!C24=3,120+Inputs!$B$27+Inputs!$B$29,MAX(0,(Inputs!$B$3-100)*3)+Inputs!$B$28+Inputs!$B$29)))</f>
        <v/>
      </c>
      <c r="E94">
        <f>INDEX(FactorTable!$B$2:$Y$301, MATCH(ROUND(MIN(300,MAX(1,D94)),0), FactorTable!$A$2:$A$301,0), Skills!L24+1)</f>
        <v/>
      </c>
      <c r="F94">
        <f>IF(Skills!M24=TRUE,(Skills!K24/10)*(E94/1000),Skills!K24/10)+Skills!N24</f>
        <v/>
      </c>
      <c r="G94">
        <f>Calc!G24</f>
        <v/>
      </c>
      <c r="H94">
        <f>Calc!H24</f>
        <v/>
      </c>
      <c r="I94">
        <f>IF(Skills!T24&lt;&gt;"",1+(Skills!T24/10)*(Z73/1000)/100,1)</f>
        <v/>
      </c>
      <c r="J94" t="inlineStr"/>
      <c r="K94" t="inlineStr"/>
      <c r="L94" t="inlineStr"/>
      <c r="M94" t="inlineStr"/>
      <c r="N94" t="inlineStr"/>
      <c r="O94">
        <f>(1-Summary!$B$11)*S94+Summary!$B$11*U94</f>
        <v/>
      </c>
      <c r="P94">
        <f>IF(B107=0,0,O94/B107)</f>
        <v/>
      </c>
      <c r="Q94">
        <f>IFERROR(1/(IF(Inputs!$B$38="pvp",15,MAX(0.1,Skills!D24-IF(TRUE=TRUE,Inputs!$B$32,0)))*(1-IF(AND(ArtifactsInput!$M$27,Inputs!$B$4="Chapter Hunt"),CHOOSE(ArtifactsInput!$N$27+1,20,24,28,32,36,40),0)/100)),0)</f>
        <v/>
      </c>
      <c r="R94">
        <f>IF(AND(Inputs!$B$38&lt;&gt;"pvp",Inputs!$B$43&gt;0),IF(Inputs!$B$43&lt;=0,0,(INT(Inputs!$B$43/(IF(Inputs!$B$38="pvp",15,MAX(0.1,Skills!D24-IF(TRUE=TRUE,Inputs!$B$32,0)))*(1-IF(AND(ArtifactsInput!$M$27,Inputs!$B$4="Chapter Hunt"),CHOOSE(ArtifactsInput!$N$27+1,20,24,28,32,36,40),0)/100)))+1)),0)</f>
        <v/>
      </c>
      <c r="S94" t="n">
        <v>0</v>
      </c>
      <c r="U94" t="n">
        <v>0</v>
      </c>
    </row>
    <row r="97">
      <c r="A97" t="inlineStr">
        <is>
          <t>Average Buff Multiplier (Magic Guard + Meditation + Artifact Attack%, summed; then Infinity)</t>
        </is>
      </c>
      <c r="B97">
        <f>(1+(IF(C73=TRUE,F73*IF(AND(Inputs!$B$38&lt;&gt;"pvp",Inputs!$B$43&gt;0),(((R73-1)*MIN((Skills!S3*(1+(Inputs!$B$34)/100)),(1/Q73))+MIN((Skills!S3*(1+(Inputs!$B$34)/100)),MAX(0,Inputs!$B$43-((R73-1)*(1/Q73)))))/Inputs!$B$43),IF(Inputs!$B$38="pvp",MIN((Skills!S3*(1+(Inputs!$B$34)/100)),15)/15,MIN(1,(Skills!S3*(1+(Inputs!$B$34)/100))/(1/Q73)))),0)+IF(C74=TRUE,F74*IF(AND(Inputs!$B$38&lt;&gt;"pvp",Inputs!$B$43&gt;0),(((R74-1)*MIN((Skills!S4*(1+(Inputs!$B$34)/100)),(1/Q74))+MIN((Skills!S4*(1+(Inputs!$B$34)/100)),MAX(0,Inputs!$B$43-((R74-1)*(1/Q74)))))/Inputs!$B$43),IF(Inputs!$B$38="pvp",MIN((Skills!S4*(1+(Inputs!$B$34)/100)),15)/15,MIN(1,(Skills!S4*(1+(Inputs!$B$34)/100))/(1/Q74)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86=TRUE,(1+F86*IF(AND(Inputs!$B$38&lt;&gt;"pvp",Inputs!$B$43&gt;0),(((R86-1)*MIN((Skills!S16*(1+(Inputs!$B$34)/100)),(1/Q86))+MIN((Skills!S16*(1+(Inputs!$B$34)/100)),MAX(0,Inputs!$B$43-((R86-1)*(1/Q86)))))/Inputs!$B$43),IF(Inputs!$B$38="pvp",MIN((Skills!S16*(1+(Inputs!$B$34)/100)),15)/15,MIN(1,(Skills!S16*(1+(Inputs!$B$34)/100))/(1/Q86))))/100),1)</f>
        <v/>
      </c>
    </row>
    <row r="98">
      <c r="A98" t="inlineStr">
        <is>
          <t>Monster Damage Taken Bonus % (Freezing Breath - Weaken + Elemental Reset + Artifact Enemy Damage Taken, summed)</t>
        </is>
      </c>
      <c r="B98">
        <f>IF(Inputs!$B$3&gt;=118,15*IF(Inputs!$B$38="pvp",MIN((30*(1+(Inputs!$B$34)/100)),15)/15,MIN(1,(30*(1+(Inputs!$B$34)/100))/(1/Q78))),0)+IF(C84=TRUE,F84,0)+(IF(AND(ArtifactsInput!$M$35,Inputs!$B$4&lt;&gt;"Chapter Hunt"),CHOOSE(ArtifactsInput!$N$35+1,15,18,21,24,27,30)*(1-EXP(-(0.2*B101)*5)),0)+IF(AND(ArtifactsInput!$M$22,Inputs!$B$4&lt;&gt;"Chapter Hunt"),CHOOSE(ArtifactsInput!$N$22+1,10,12,14,16,18,20)*((0*(((0.15*B101*5))^0/1)+1*(((0.15*B101*5))^1/1)+2*(((0.15*B101*5))^2/2)+3*(((0.15*B101*5))^3/6)+4*(((0.15*B101*5))^4/24)+5*(((0.15*B101*5))^5/120))/((((0.15*B101*5))^0/1)+(((0.15*B101*5))^1/1)+(((0.15*B101*5))^2/2)+(((0.15*B101*5))^3/6)+(((0.15*B101*5))^4/24)+(((0.15*B101*5))^5/120))),0))</f>
        <v/>
      </c>
    </row>
    <row r="99">
      <c r="A99" t="inlineStr">
        <is>
          <t>Damage % Bonus (Frozen Break + Frost Clutch, flat)</t>
        </is>
      </c>
      <c r="B99">
        <f>IF(Inputs!$B$3&gt;=66,15,0)+IF(Inputs!$B$3&gt;=98,10,0)+IF(Inputs!$B$3&gt;=125,20,0)</f>
        <v/>
      </c>
    </row>
    <row r="100">
      <c r="A100" t="inlineStr">
        <is>
          <t>Attack Speed Bonus % (MP Eater - MP Boost, always-on + Nimble Feet, duty-cycle averaged)</t>
        </is>
      </c>
      <c r="B100">
        <f>IF(C83=TRUE,F83+(F87-Calc!F17),0)+((C94=TRUE)*F94*IF(AND(Inputs!$B$38&lt;&gt;"pvp",Inputs!$B$43&gt;0),(((R94-1)*MIN((Skills!S24*(1+(Inputs!$B$34)/100)),(1/Q94))+MIN((Skills!S24*(1+(Inputs!$B$34)/100)),MAX(0,Inputs!$B$43-((R94-1)*(1/Q94)))))/Inputs!$B$43),IF(Inputs!$B$38="pvp",MIN((Skills!S24*(1+(Inputs!$B$34)/100)),15)/15,MIN(1,(Skills!S24*(1+(Inputs!$B$34)/100))/(1/Q94)))))</f>
        <v/>
      </c>
    </row>
    <row r="101">
      <c r="A101" t="inlineStr">
        <is>
          <t>Actions Per Second</t>
        </is>
      </c>
      <c r="B101">
        <f>1+MIN(150,150*(1-(1-(Inputs!$B$11+(ArtifactsInput!$M$15-ArtifactsInput!$M$15)*CHOOSE(ArtifactsInput!$N$15+1,8,9.6,11.2,12.8,14.4,16))/150)*(1-B100/150)))/100</f>
        <v/>
      </c>
    </row>
    <row r="102">
      <c r="A102" t="inlineStr">
        <is>
          <t>Skill + Buff Cast Rate</t>
        </is>
      </c>
      <c r="B102">
        <f>IF(AND(Inputs!$B$38&lt;&gt;"pvp",Inputs!$B$43&gt;0),SUMPRODUCT((Skills!E2:E24=TRUE)*(C72:C94=TRUE)*R72:R94)/Inputs!$B$43,SUMPRODUCT((Skills!E2:E24=TRUE)*(C72:C94=TRUE)*Q72:Q94))</f>
        <v/>
      </c>
    </row>
    <row r="103">
      <c r="A103" t="inlineStr">
        <is>
          <t>Chain Lightning Casts Per Second</t>
        </is>
      </c>
      <c r="B103">
        <f>MAX(0,B101-B102)</f>
        <v/>
      </c>
    </row>
    <row r="104">
      <c r="A104" t="inlineStr">
        <is>
          <t>Buff-Casting Startup Delay (s, fixed-duration only)</t>
        </is>
      </c>
      <c r="B104">
        <f>IF(AND(Inputs!$B$38&lt;&gt;"pvp",Inputs!$B$43&gt;0),SUMPRODUCT((Skills!S2:S24&gt;0)*(Skills!E2:E24=TRUE)*(C72:C94=TRUE))/B101,0)</f>
        <v/>
      </c>
    </row>
    <row r="105">
      <c r="A105" t="inlineStr">
        <is>
          <t>Boss-Only Total DPS (this block's swept value)</t>
        </is>
      </c>
      <c r="B105">
        <f>SUM(S72:S94)</f>
        <v/>
      </c>
    </row>
    <row r="106">
      <c r="A106" t="inlineStr">
        <is>
          <t>Normal-Only Total DPS (this block's swept value)</t>
        </is>
      </c>
      <c r="B106">
        <f>SUM(U72:U94)</f>
        <v/>
      </c>
    </row>
    <row r="107">
      <c r="A107" s="6" t="inlineStr">
        <is>
          <t>TOTAL DPS</t>
        </is>
      </c>
      <c r="B107" s="6">
        <f>SUM(O72:O94)</f>
        <v/>
      </c>
    </row>
    <row r="108">
      <c r="A108" t="inlineStr">
        <is>
          <t>Blizzard Final Attack trigger rate (this block's own Q/R)</t>
        </is>
      </c>
      <c r="B108">
        <f>IF(AND(Inputs!$B$38&lt;&gt;"pvp",Inputs!$B$43&gt;0),(((C75=TRUE)*R75*1)+((C76=TRUE)*R76*1)+((C78=TRUE)*R78*1)+((C79=TRUE)*R79*3)+((C81=TRUE)*R81*1))/Inputs!$B$43,((C75=TRUE)*Q75*1)+((C76=TRUE)*Q76*1)+((C78=TRUE)*Q78*1)+((C79=TRUE)*Q79*3)+((C81=TRUE)*Q81*1))+B103</f>
        <v/>
      </c>
    </row>
    <row r="111">
      <c r="A111" s="6" t="inlineStr">
        <is>
          <t>Stat: INT %</t>
        </is>
      </c>
    </row>
    <row r="112">
      <c r="A112" s="5" t="inlineStr">
        <is>
          <t>Key</t>
        </is>
      </c>
      <c r="B112" s="5" t="inlineStr">
        <is>
          <t>Name</t>
        </is>
      </c>
      <c r="C112" s="5" t="inlineStr">
        <is>
          <t>Unlocked</t>
        </is>
      </c>
      <c r="D112" s="5" t="inlineStr">
        <is>
          <t>InputLevel</t>
        </is>
      </c>
      <c r="E112" s="5" t="inlineStr">
        <is>
          <t>Factor</t>
        </is>
      </c>
      <c r="F112" s="5" t="inlineStr">
        <is>
          <t>CoefficientPercent</t>
        </is>
      </c>
      <c r="G112" s="5" t="inlineStr">
        <is>
          <t>EffectiveHits</t>
        </is>
      </c>
      <c r="H112" s="5" t="inlineStr">
        <is>
          <t>ProcProbability</t>
        </is>
      </c>
      <c r="I112" s="5" t="inlineStr">
        <is>
          <t>MapleHeroMultiplier</t>
        </is>
      </c>
      <c r="J112" s="5" t="inlineStr">
        <is>
          <t>BaseDamage</t>
        </is>
      </c>
      <c r="K112" s="5" t="inlineStr">
        <is>
          <t>BaseHitDamage</t>
        </is>
      </c>
      <c r="L112" s="5" t="inlineStr">
        <is>
          <t>NonCritAvg</t>
        </is>
      </c>
      <c r="M112" s="5" t="inlineStr">
        <is>
          <t>CritAvg</t>
        </is>
      </c>
      <c r="N112" s="5" t="inlineStr">
        <is>
          <t>ExpectedDamage(perHit)</t>
        </is>
      </c>
      <c r="O112" s="5" t="inlineStr">
        <is>
          <t>DPS</t>
        </is>
      </c>
      <c r="P112" s="5" t="inlineStr">
        <is>
          <t>% of Total</t>
        </is>
      </c>
      <c r="R112" t="inlineStr">
        <is>
          <t>helpers</t>
        </is>
      </c>
    </row>
    <row r="113">
      <c r="A113">
        <f>Skills!A2</f>
        <v/>
      </c>
      <c r="B113">
        <f>Skills!B2</f>
        <v/>
      </c>
      <c r="C113">
        <f>Inputs!$B$3&gt;=100</f>
        <v/>
      </c>
      <c r="D113" t="inlineStr"/>
      <c r="E113" t="inlineStr"/>
      <c r="F113">
        <f>T115+Skills!N2</f>
        <v/>
      </c>
      <c r="G113">
        <f>Calc!G2</f>
        <v/>
      </c>
      <c r="H113">
        <f>Calc!H2</f>
        <v/>
      </c>
      <c r="I113">
        <f>IF(Skills!T2&lt;&gt;"",1+(Skills!T2/10)*(Z114/1000)/100,1)</f>
        <v/>
      </c>
      <c r="J113">
        <f>((Inputs!$B$6*(1+Inputs!$B$7/100))+(((Inputs!$B$12*(1+(Inputs!$B$13+1)/100))-(Inputs!$B$12*(1+Inputs!$B$13/100)))+0.25*(Inputs!$B$14-Inputs!$B$14))*(1+Inputs!$B$7/100))*(F113/100)</f>
        <v/>
      </c>
      <c r="K113">
        <f>J113*(1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2="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f>
        <v/>
      </c>
      <c r="L113">
        <f>K113*(MIN(Inputs!$B$22+(F129-Calc!F18),(Inputs!$B$23+(IF(ArtifactsInput!$M$15,CHOOSE(ArtifactsInput!$N$15+1,25,30,35,40,45,50)/100*(Inputs!$B$11-Inputs!$B$11),0))))/100+(Inputs!$B$23+(IF(ArtifactsInput!$M$15,CHOOSE(ArtifactsInput!$N$15+1,25,30,35,40,45,50)/100*(Inputs!$B$11-Inputs!$B$11),0)))/100)/2</f>
        <v/>
      </c>
      <c r="M113">
        <f>L113*(1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
        <f>L113*(1-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
        <f>(1-Summary!$B$11)*S113+Summary!$B$11*U113</f>
        <v/>
      </c>
      <c r="P113">
        <f>IF(B148=0,0,O113/B148)</f>
        <v/>
      </c>
      <c r="Q113">
        <f>IFERROR(1/(IF(Inputs!$B$38="pvp",15,MAX(0.1,Skills!D2-IF(TRUE=TRUE,Inputs!$B$32,0)))*(1-IF(AND(ArtifactsInput!$M$27,Inputs!$B$4="Chapter Hunt"),CHOOSE(ArtifactsInput!$N$27+1,20,24,28,32,36,40),0)/100)),0)</f>
        <v/>
      </c>
      <c r="R113" t="n">
        <v>0</v>
      </c>
      <c r="S113">
        <f>IF(C113,(Skills!F2*N113*B144)*IF(Inputs!$B$38="pvp",1,1+(Inputs!$B$20+Skills!O2+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3">
        <f>MAX(0,(Inputs!$B$3-100)*3)+Inputs!$B$28+Inputs!$B$29</f>
        <v/>
      </c>
      <c r="U113">
        <f>IF(C113,(Skills!F2*N113*B144)*IF(Inputs!$B$38="pvp",1,(1+(Inputs!$B$21+Skills!P2+B139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3">
        <f>MAX(0,(Inputs!$B$3-100)*3)+Inputs!$B$28+Inputs!$B$29</f>
        <v/>
      </c>
    </row>
    <row r="114">
      <c r="A114">
        <f>Skills!A3</f>
        <v/>
      </c>
      <c r="B114">
        <f>Skills!B3</f>
        <v/>
      </c>
      <c r="C114">
        <f>Inputs!$B$3&gt;=15</f>
        <v/>
      </c>
      <c r="D114">
        <f>IF(Skills!C3=1,60+Inputs!$B$25+Inputs!$B$29,IF(Skills!C3=2,90+Inputs!$B$26+Inputs!$B$29,IF(Skills!C3=3,120+Inputs!$B$27+Inputs!$B$29,MAX(0,(Inputs!$B$3-100)*3)+Inputs!$B$28+Inputs!$B$29)))</f>
        <v/>
      </c>
      <c r="E114">
        <f>INDEX(FactorTable!$B$2:$Y$301, MATCH(ROUND(MIN(300,MAX(1,D114)),0), FactorTable!$A$2:$A$301,0), Skills!L3+1)</f>
        <v/>
      </c>
      <c r="F114">
        <f>IF(Skills!M3=TRUE,(Skills!K3/10)*(E114/1000),Skills!K3/10)+Skills!N3</f>
        <v/>
      </c>
      <c r="G114">
        <f>Calc!G3</f>
        <v/>
      </c>
      <c r="H114">
        <f>Calc!H3</f>
        <v/>
      </c>
      <c r="I114">
        <f>IF(Skills!T3&lt;&gt;"",1+(Skills!T3/10)*(Z114/1000)/100,1)</f>
        <v/>
      </c>
      <c r="J114" t="inlineStr"/>
      <c r="K114" t="inlineStr"/>
      <c r="L114" t="inlineStr"/>
      <c r="M114" t="inlineStr"/>
      <c r="N114" t="inlineStr"/>
      <c r="O114">
        <f>(1-Summary!$B$11)*S114+Summary!$B$11*U114</f>
        <v/>
      </c>
      <c r="P114">
        <f>IF(B148=0,0,O114/B148)</f>
        <v/>
      </c>
      <c r="Q114">
        <f>IFERROR(1/(IF(Inputs!$B$38="pvp",15,MAX(0.1,Skills!D3-IF(TRUE=TRUE,Inputs!$B$32,0)))*(1-IF(AND(ArtifactsInput!$M$27,Inputs!$B$4="Chapter Hunt"),CHOOSE(ArtifactsInput!$N$27+1,20,24,28,32,36,40),0)/100)),0)</f>
        <v/>
      </c>
      <c r="R114">
        <f>IF(AND(Inputs!$B$38&lt;&gt;"pvp",Inputs!$B$43&gt;0),IF(Inputs!$B$43&lt;=0,0,(INT(Inputs!$B$43/(IF(Inputs!$B$38="pvp",15,MAX(0.1,Skills!D3-IF(TRUE=TRUE,Inputs!$B$32,0)))*(1-IF(AND(ArtifactsInput!$M$27,Inputs!$B$4="Chapter Hunt"),CHOOSE(ArtifactsInput!$N$27+1,20,24,28,32,36,40),0)/100)))+1)),0)</f>
        <v/>
      </c>
      <c r="S114" t="n">
        <v>0</v>
      </c>
      <c r="T114">
        <f>INDEX(FactorTable!$B$2:$Y$301, MATCH(ROUND(MIN(300,MAX(1,T113)),0), FactorTable!$A$2:$A$301,0), 22)</f>
        <v/>
      </c>
      <c r="U114" t="n">
        <v>0</v>
      </c>
      <c r="Z114">
        <f>INDEX(FactorTable!$B$2:$Y$301, MATCH(ROUND(MIN(300,MAX(1,Z113)),0), FactorTable!$A$2:$A$301,0), 24)</f>
        <v/>
      </c>
    </row>
    <row r="115">
      <c r="A115">
        <f>Skills!A4</f>
        <v/>
      </c>
      <c r="B115">
        <f>Skills!B4</f>
        <v/>
      </c>
      <c r="C115">
        <f>Inputs!$B$3&gt;=40</f>
        <v/>
      </c>
      <c r="D115">
        <f>IF(Skills!C4=1,60+Inputs!$B$25+Inputs!$B$29,IF(Skills!C4=2,90+Inputs!$B$26+Inputs!$B$29,IF(Skills!C4=3,120+Inputs!$B$27+Inputs!$B$29,MAX(0,(Inputs!$B$3-100)*3)+Inputs!$B$28+Inputs!$B$29)))</f>
        <v/>
      </c>
      <c r="E115">
        <f>INDEX(FactorTable!$B$2:$Y$301, MATCH(ROUND(MIN(300,MAX(1,D115)),0), FactorTable!$A$2:$A$301,0), Skills!L4+1)</f>
        <v/>
      </c>
      <c r="F115">
        <f>IF(Skills!M4=TRUE,(Skills!K4/10)*(E115/1000),Skills!K4/10)+Skills!N4</f>
        <v/>
      </c>
      <c r="G115">
        <f>Calc!G4</f>
        <v/>
      </c>
      <c r="H115">
        <f>Calc!H4</f>
        <v/>
      </c>
      <c r="I115">
        <f>IF(Skills!T4&lt;&gt;"",1+(Skills!T4/10)*(Z114/1000)/100,1)</f>
        <v/>
      </c>
      <c r="J115" t="inlineStr"/>
      <c r="K115" t="inlineStr"/>
      <c r="L115" t="inlineStr"/>
      <c r="M115" t="inlineStr"/>
      <c r="N115" t="inlineStr"/>
      <c r="O115">
        <f>(1-Summary!$B$11)*S115+Summary!$B$11*U115</f>
        <v/>
      </c>
      <c r="P115">
        <f>IF(B148=0,0,O115/B148)</f>
        <v/>
      </c>
      <c r="Q115">
        <f>IFERROR(1/(IF(Inputs!$B$38="pvp",15,MAX(0.1,Skills!D4-IF(TRUE=TRUE,Inputs!$B$32,0)))*(1-IF(AND(ArtifactsInput!$M$27,Inputs!$B$4="Chapter Hunt"),CHOOSE(ArtifactsInput!$N$27+1,20,24,28,32,36,40),0)/100)),0)</f>
        <v/>
      </c>
      <c r="R115">
        <f>IF(AND(Inputs!$B$38&lt;&gt;"pvp",Inputs!$B$43&gt;0),IF(Inputs!$B$43&lt;=0,0,(INT(Inputs!$B$43/(IF(Inputs!$B$38="pvp",15,MAX(0.1,Skills!D4-IF(TRUE=TRUE,Inputs!$B$32,0)))*(1-IF(AND(ArtifactsInput!$M$27,Inputs!$B$4="Chapter Hunt"),CHOOSE(ArtifactsInput!$N$27+1,20,24,28,32,36,40),0)/100)))+1)),0)</f>
        <v/>
      </c>
      <c r="S115" t="n">
        <v>0</v>
      </c>
      <c r="T115">
        <f>290*T114/1000</f>
        <v/>
      </c>
      <c r="U115" t="n">
        <v>0</v>
      </c>
    </row>
    <row r="116">
      <c r="A116">
        <f>Skills!A5</f>
        <v/>
      </c>
      <c r="B116">
        <f>Skills!B5</f>
        <v/>
      </c>
      <c r="C116">
        <f>Inputs!$B$3&gt;=38</f>
        <v/>
      </c>
      <c r="D116">
        <f>IF(Skills!C5=1,60+Inputs!$B$25+Inputs!$B$29,IF(Skills!C5=2,90+Inputs!$B$26+Inputs!$B$29,IF(Skills!C5=3,120+Inputs!$B$27+Inputs!$B$29,MAX(0,(Inputs!$B$3-100)*3)+Inputs!$B$28+Inputs!$B$29)))</f>
        <v/>
      </c>
      <c r="E116">
        <f>INDEX(FactorTable!$B$2:$Y$301, MATCH(ROUND(MIN(300,MAX(1,D116)),0), FactorTable!$A$2:$A$301,0), Skills!L5+1)</f>
        <v/>
      </c>
      <c r="F116">
        <f>IF(Skills!M5=TRUE,(Skills!K5/10)*(E116/1000),Skills!K5/10)+Skills!N5</f>
        <v/>
      </c>
      <c r="G116">
        <f>Calc!G5</f>
        <v/>
      </c>
      <c r="H116">
        <f>Calc!H5</f>
        <v/>
      </c>
      <c r="I116">
        <f>IF(Skills!T5&lt;&gt;"",1+(Skills!T5/10)*(Z114/1000)/100,1)</f>
        <v/>
      </c>
      <c r="J116">
        <f>((Inputs!$B$6*(1+Inputs!$B$7/100))+(((Inputs!$B$12*(1+(Inputs!$B$13+1)/100))-(Inputs!$B$12*(1+Inputs!$B$13/100)))+0.25*(Inputs!$B$14-Inputs!$B$14))*(1+Inputs!$B$7/100))*(F116/100)</f>
        <v/>
      </c>
      <c r="K116">
        <f>J116*(1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5="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f>
        <v/>
      </c>
      <c r="L116">
        <f>K116*(MIN(Inputs!$B$22+(F129-Calc!F18),(Inputs!$B$23+(IF(ArtifactsInput!$M$15,CHOOSE(ArtifactsInput!$N$15+1,25,30,35,40,45,50)/100*(Inputs!$B$11-Inputs!$B$11),0))))/100+(Inputs!$B$23+(IF(ArtifactsInput!$M$15,CHOOSE(ArtifactsInput!$N$15+1,25,30,35,40,45,50)/100*(Inputs!$B$11-Inputs!$B$11),0)))/100)/2</f>
        <v/>
      </c>
      <c r="M116">
        <f>L116*(1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
        <f>L116*(1-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
        <f>(1-Summary!$B$11)*S116+Summary!$B$11*U116</f>
        <v/>
      </c>
      <c r="P116">
        <f>IF(B148=0,0,O116/B148)</f>
        <v/>
      </c>
      <c r="Q116">
        <f>IFERROR(1/(IF(Inputs!$B$38="pvp",15,MAX(0.1,Skills!D5-IF(TRUE=TRUE,Inputs!$B$32,0)))*(1-IF(AND(ArtifactsInput!$M$27,Inputs!$B$4="Chapter Hunt"),CHOOSE(ArtifactsInput!$N$27+1,20,24,28,32,36,40),0)/100)),0)</f>
        <v/>
      </c>
      <c r="R116">
        <f>IF(AND(Inputs!$B$38&lt;&gt;"pvp",Inputs!$B$43&gt;0),IF(MAX(0,Inputs!$B$43-B145)&lt;=0,0,(INT(MAX(0,Inputs!$B$43-B145)/(IF(Inputs!$B$38="pvp",15,MAX(0.1,Skills!D5-IF(TRUE=TRUE,Inputs!$B$32,0)))*(1-IF(AND(ArtifactsInput!$M$27,Inputs!$B$4="Chapter Hunt"),CHOOSE(ArtifactsInput!$N$27+1,20,24,28,32,36,40),0)/100)))+1)),0)</f>
        <v/>
      </c>
      <c r="S116">
        <f>IF(C116,(H116*N116*IF(AND(Inputs!$B$38&lt;&gt;"pvp",Inputs!$B$43&gt;0),((Skills!F5*((R116-1)*IF(Skills!G5&gt;0,Skills!H5/Skills!G5,1)+IF(Skills!G5&gt;0,MIN(Skills!H5,MAX(0,MAX(0,Inputs!$B$43-B145)-((R116-1)*(IF(Inputs!$B$38="pvp",15,MAX(0.1,Skills!D5-IF(TRUE=TRUE,Inputs!$B$32,0)))*(1-IF(AND(ArtifactsInput!$M$27,Inputs!$B$4="Chapter Hunt"),CHOOSE(ArtifactsInput!$N$27+1,20,24,28,32,36,40),0)/100)))))/Skills!G5,1)))/Inputs!$B$43),G116*Q116))*IF(Inputs!$B$38="pvp",1,1+(Inputs!$B$20+Skills!O5+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116*(1-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6">
        <f>IF(C116,(H116*N116*IF(AND(Inputs!$B$38&lt;&gt;"pvp",Inputs!$B$43&gt;0),((Skills!F5*((R116-1)*IF(Skills!G5&gt;0,Skills!H5/Skills!G5,1)+IF(Skills!G5&gt;0,MIN(Skills!H5,MAX(0,MAX(0,Inputs!$B$43-B145)-((R116-1)*(IF(Inputs!$B$38="pvp",15,MAX(0.1,Skills!D5-IF(TRUE=TRUE,Inputs!$B$32,0)))*(1-IF(AND(ArtifactsInput!$M$27,Inputs!$B$4="Chapter Hunt"),CHOOSE(ArtifactsInput!$N$27+1,20,24,28,32,36,40),0)/100)))))/Skills!G5,1)))/Inputs!$B$43),G116*Q116))*IF(Inputs!$B$38="pvp",1,(1+(Inputs!$B$21+Skills!P5+B139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7">
      <c r="A117">
        <f>Skills!A6</f>
        <v/>
      </c>
      <c r="B117">
        <f>Skills!B6</f>
        <v/>
      </c>
      <c r="C117">
        <f>Inputs!$B$3&gt;=63</f>
        <v/>
      </c>
      <c r="D117">
        <f>IF(Skills!C6=1,60+Inputs!$B$25+Inputs!$B$29,IF(Skills!C6=2,90+Inputs!$B$26+Inputs!$B$29,IF(Skills!C6=3,120+Inputs!$B$27+Inputs!$B$29,MAX(0,(Inputs!$B$3-100)*3)+Inputs!$B$28+Inputs!$B$29)))</f>
        <v/>
      </c>
      <c r="E117">
        <f>INDEX(FactorTable!$B$2:$Y$301, MATCH(ROUND(MIN(300,MAX(1,D117)),0), FactorTable!$A$2:$A$301,0), Skills!L6+1)</f>
        <v/>
      </c>
      <c r="F117">
        <f>IF(Skills!M6=TRUE,(Skills!K6/10)*(E117/1000),Skills!K6/10)+Skills!N6</f>
        <v/>
      </c>
      <c r="G117">
        <f>Calc!G6</f>
        <v/>
      </c>
      <c r="H117">
        <f>Calc!H6</f>
        <v/>
      </c>
      <c r="I117">
        <f>IF(Skills!T6&lt;&gt;"",1+(Skills!T6/10)*(Z114/1000)/100,1)</f>
        <v/>
      </c>
      <c r="J117">
        <f>((Inputs!$B$6*(1+Inputs!$B$7/100))+(((Inputs!$B$12*(1+(Inputs!$B$13+1)/100))-(Inputs!$B$12*(1+Inputs!$B$13/100)))+0.25*(Inputs!$B$14-Inputs!$B$14))*(1+Inputs!$B$7/100))*(F117/100)</f>
        <v/>
      </c>
      <c r="K117">
        <f>J117*(1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6="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f>
        <v/>
      </c>
      <c r="L117">
        <f>K117*(MIN(Inputs!$B$22+(F129-Calc!F18),(Inputs!$B$23+(IF(ArtifactsInput!$M$15,CHOOSE(ArtifactsInput!$N$15+1,25,30,35,40,45,50)/100*(Inputs!$B$11-Inputs!$B$11),0))))/100+(Inputs!$B$23+(IF(ArtifactsInput!$M$15,CHOOSE(ArtifactsInput!$N$15+1,25,30,35,40,45,50)/100*(Inputs!$B$11-Inputs!$B$11),0)))/100)/2</f>
        <v/>
      </c>
      <c r="M117">
        <f>L117*(1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
        <f>L117*(1-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
        <f>(1-Summary!$B$11)*S117+Summary!$B$11*U117</f>
        <v/>
      </c>
      <c r="P117">
        <f>IF(B148=0,0,O117/B148)</f>
        <v/>
      </c>
      <c r="Q117">
        <f>IFERROR(1/(IF(Inputs!$B$38="pvp",15,MAX(0.1,Skills!D6-IF(TRUE=TRUE,Inputs!$B$32,0)))*(1-IF(AND(ArtifactsInput!$M$27,Inputs!$B$4="Chapter Hunt"),CHOOSE(ArtifactsInput!$N$27+1,20,24,28,32,36,40),0)/100)),0)</f>
        <v/>
      </c>
      <c r="R117">
        <f>IF(AND(Inputs!$B$38&lt;&gt;"pvp",Inputs!$B$43&gt;0),IF(MAX(0,Inputs!$B$43-B145)&lt;=0,0,(INT(MAX(0,Inputs!$B$43-B145)/(IF(Inputs!$B$38="pvp",15,MAX(0.1,Skills!D6-IF(TRUE=TRUE,Inputs!$B$32,0)))*(1-IF(AND(ArtifactsInput!$M$27,Inputs!$B$4="Chapter Hunt"),CHOOSE(ArtifactsInput!$N$27+1,20,24,28,32,36,40),0)/100)))+1)),0)</f>
        <v/>
      </c>
      <c r="S117">
        <f>IF(C117,(H117*N117*IF(AND(Inputs!$B$38&lt;&gt;"pvp",Inputs!$B$43&gt;0),((Skills!F6*((R117-1)*IF(Skills!G6&gt;0,Skills!H6/Skills!G6,1)+IF(Skills!G6&gt;0,MIN(Skills!H6,MAX(0,MAX(0,Inputs!$B$43-B145)-((R117-1)*(IF(Inputs!$B$38="pvp",15,MAX(0.1,Skills!D6-IF(TRUE=TRUE,Inputs!$B$32,0)))*(1-IF(AND(ArtifactsInput!$M$27,Inputs!$B$4="Chapter Hunt"),CHOOSE(ArtifactsInput!$N$27+1,20,24,28,32,36,40),0)/100)))))/Skills!G6,1)))/Inputs!$B$43),G117*Q117))*IF(Inputs!$B$38="pvp",1,1+(Inputs!$B$20+Skills!O6+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7">
        <f>IF(C117,(H117*N117*IF(AND(Inputs!$B$38&lt;&gt;"pvp",Inputs!$B$43&gt;0),((Skills!F6*((R117-1)*IF(Skills!G6&gt;0,Skills!H6/Skills!G6,1)+IF(Skills!G6&gt;0,MIN(Skills!H6,MAX(0,MAX(0,Inputs!$B$43-B145)-((R117-1)*(IF(Inputs!$B$38="pvp",15,MAX(0.1,Skills!D6-IF(TRUE=TRUE,Inputs!$B$32,0)))*(1-IF(AND(ArtifactsInput!$M$27,Inputs!$B$4="Chapter Hunt"),CHOOSE(ArtifactsInput!$N$27+1,20,24,28,32,36,40),0)/100)))))/Skills!G6,1)))/Inputs!$B$43),G117*Q117))*IF(Inputs!$B$38="pvp",1,(1+(Inputs!$B$21+Skills!P6+B139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
      <c r="A118">
        <f>Skills!A7</f>
        <v/>
      </c>
      <c r="B118">
        <f>Skills!B7</f>
        <v/>
      </c>
      <c r="C118">
        <f>Inputs!$B$3&gt;=69</f>
        <v/>
      </c>
      <c r="D118">
        <f>IF(Skills!C7=1,60+Inputs!$B$25+Inputs!$B$29,IF(Skills!C7=2,90+Inputs!$B$26+Inputs!$B$29,IF(Skills!C7=3,120+Inputs!$B$27+Inputs!$B$29,MAX(0,(Inputs!$B$3-100)*3)+Inputs!$B$28+Inputs!$B$29)))</f>
        <v/>
      </c>
      <c r="E118">
        <f>INDEX(FactorTable!$B$2:$Y$301, MATCH(ROUND(MIN(300,MAX(1,D118)),0), FactorTable!$A$2:$A$301,0), Skills!L7+1)</f>
        <v/>
      </c>
      <c r="F118">
        <f>IF(Skills!M7=TRUE,(Skills!K7/10)*(E118/1000),Skills!K7/10)+Skills!N7</f>
        <v/>
      </c>
      <c r="G118">
        <f>Calc!G7</f>
        <v/>
      </c>
      <c r="H118">
        <f>Calc!H7</f>
        <v/>
      </c>
      <c r="I118">
        <f>IF(Skills!T7&lt;&gt;"",1+(Skills!T7/10)*(Z114/1000)/100,1)</f>
        <v/>
      </c>
      <c r="J118">
        <f>((Inputs!$B$6*(1+Inputs!$B$7/100))+(((Inputs!$B$12*(1+(Inputs!$B$13+1)/100))-(Inputs!$B$12*(1+Inputs!$B$13/100)))+0.25*(Inputs!$B$14-Inputs!$B$14))*(1+Inputs!$B$7/100))*(F118/100)</f>
        <v/>
      </c>
      <c r="K118">
        <f>J118*(1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7="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f>
        <v/>
      </c>
      <c r="L118">
        <f>K118*(MIN(Inputs!$B$22+(F129-Calc!F18),(Inputs!$B$23+(IF(ArtifactsInput!$M$15,CHOOSE(ArtifactsInput!$N$15+1,25,30,35,40,45,50)/100*(Inputs!$B$11-Inputs!$B$11),0))))/100+(Inputs!$B$23+(IF(ArtifactsInput!$M$15,CHOOSE(ArtifactsInput!$N$15+1,25,30,35,40,45,50)/100*(Inputs!$B$11-Inputs!$B$11),0)))/100)/2</f>
        <v/>
      </c>
      <c r="M118">
        <f>L118*(1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(1-Summary!$B$11)*S118+Summary!$B$11*U118</f>
        <v/>
      </c>
      <c r="P118">
        <f>IF(B148=0,0,O118/B148)</f>
        <v/>
      </c>
      <c r="Q118">
        <f>IFERROR(1/(IF(Inputs!$B$38="pvp",15,MAX(0.1,Skills!D7-IF(TRUE=TRUE,Inputs!$B$32,0)))*(1-IF(AND(ArtifactsInput!$M$27,Inputs!$B$4="Chapter Hunt"),CHOOSE(ArtifactsInput!$N$27+1,20,24,28,32,36,40),0)/100)),0)</f>
        <v/>
      </c>
      <c r="R118">
        <f>IF(AND(Inputs!$B$38&lt;&gt;"pvp",Inputs!$B$43&gt;0),IF(MAX(0,Inputs!$B$43-B145)&lt;=0,0,(INT(MAX(0,Inputs!$B$43-B145)/(IF(Inputs!$B$38="pvp",15,MAX(0.1,Skills!D7-IF(TRUE=TRUE,Inputs!$B$32,0)))*(1-IF(AND(ArtifactsInput!$M$27,Inputs!$B$4="Chapter Hunt"),CHOOSE(ArtifactsInput!$N$27+1,20,24,28,32,36,40),0)/100)))+1)),0)</f>
        <v/>
      </c>
      <c r="S118">
        <f>IF(C118,(H118*N118*IF(AND(Inputs!$B$38&lt;&gt;"pvp",Inputs!$B$43&gt;0),((Skills!F7*((R118-1)*IF(Skills!G7&gt;0,Skills!H7/Skills!G7,1)+IF(Skills!G7&gt;0,MIN(Skills!H7,MAX(0,MAX(0,Inputs!$B$43-B145)-((R118-1)*(IF(Inputs!$B$38="pvp",15,MAX(0.1,Skills!D7-IF(TRUE=TRUE,Inputs!$B$32,0)))*(1-IF(AND(ArtifactsInput!$M$27,Inputs!$B$4="Chapter Hunt"),CHOOSE(ArtifactsInput!$N$27+1,20,24,28,32,36,40),0)/100)))))/Skills!G7,1)))/Inputs!$B$43),G118*Q118))*IF(Inputs!$B$38="pvp",1,1+(Inputs!$B$20+Skills!O7+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
        <f>IF(C118,(H118*N118*IF(AND(Inputs!$B$38&lt;&gt;"pvp",Inputs!$B$43&gt;0),((Skills!F7*((R118-1)*IF(Skills!G7&gt;0,Skills!H7/Skills!G7,1)+IF(Skills!G7&gt;0,MIN(Skills!H7,MAX(0,MAX(0,Inputs!$B$43-B145)-((R118-1)*(IF(Inputs!$B$38="pvp",15,MAX(0.1,Skills!D7-IF(TRUE=TRUE,Inputs!$B$32,0)))*(1-IF(AND(ArtifactsInput!$M$27,Inputs!$B$4="Chapter Hunt"),CHOOSE(ArtifactsInput!$N$27+1,20,24,28,32,36,40),0)/100)))))/Skills!G7,1)))/Inputs!$B$43),G118*Q118))*IF(Inputs!$B$38="pvp",1,(1+(Inputs!$B$21+Skills!P7+B139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Skills!A8</f>
        <v/>
      </c>
      <c r="B119">
        <f>Skills!B8</f>
        <v/>
      </c>
      <c r="C119">
        <f>Inputs!$B$3&gt;=103</f>
        <v/>
      </c>
      <c r="D119">
        <f>IF(Skills!C8=1,60+Inputs!$B$25+Inputs!$B$29,IF(Skills!C8=2,90+Inputs!$B$26+Inputs!$B$29,IF(Skills!C8=3,120+Inputs!$B$27+Inputs!$B$29,MAX(0,(Inputs!$B$3-100)*3)+Inputs!$B$28+Inputs!$B$29)))</f>
        <v/>
      </c>
      <c r="E119">
        <f>INDEX(FactorTable!$B$2:$Y$301, MATCH(ROUND(MIN(300,MAX(1,D119)),0), FactorTable!$A$2:$A$301,0), Skills!L8+1)</f>
        <v/>
      </c>
      <c r="F119">
        <f>IF(Skills!M8=TRUE,(Skills!K8/10)*(E119/1000),Skills!K8/10)+Skills!N8</f>
        <v/>
      </c>
      <c r="G119">
        <f>Calc!G8</f>
        <v/>
      </c>
      <c r="H119">
        <f>Calc!H8</f>
        <v/>
      </c>
      <c r="I119">
        <f>IF(Skills!T8&lt;&gt;"",1+(Skills!T8/10)*(Z114/1000)/100,1)</f>
        <v/>
      </c>
      <c r="J119">
        <f>((Inputs!$B$6*(1+Inputs!$B$7/100))+(((Inputs!$B$12*(1+(Inputs!$B$13+1)/100))-(Inputs!$B$12*(1+Inputs!$B$13/100)))+0.25*(Inputs!$B$14-Inputs!$B$14))*(1+Inputs!$B$7/100))*(F119/100)</f>
        <v/>
      </c>
      <c r="K119">
        <f>J119*(1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8="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f>
        <v/>
      </c>
      <c r="L119">
        <f>K119*(MIN(Inputs!$B$22+(F129-Calc!F18),(Inputs!$B$23+(IF(ArtifactsInput!$M$15,CHOOSE(ArtifactsInput!$N$15+1,25,30,35,40,45,50)/100*(Inputs!$B$11-Inputs!$B$11),0))))/100+(Inputs!$B$23+(IF(ArtifactsInput!$M$15,CHOOSE(ArtifactsInput!$N$15+1,25,30,35,40,45,50)/100*(Inputs!$B$11-Inputs!$B$11),0)))/100)/2</f>
        <v/>
      </c>
      <c r="M119">
        <f>L119*(1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
        <f>L119*(1-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
        <f>(1-Summary!$B$11)*S119+Summary!$B$11*U119</f>
        <v/>
      </c>
      <c r="P119">
        <f>IF(B148=0,0,O119/B148)</f>
        <v/>
      </c>
      <c r="Q119">
        <f>IFERROR(1/(IF(Inputs!$B$38="pvp",15,MAX(0.1,Skills!D8-IF(TRUE=TRUE,Inputs!$B$32,0)))*(1-IF(AND(ArtifactsInput!$M$27,Inputs!$B$4="Chapter Hunt"),CHOOSE(ArtifactsInput!$N$27+1,20,24,28,32,36,40),0)/100)),0)</f>
        <v/>
      </c>
      <c r="R119">
        <f>IF(AND(Inputs!$B$38&lt;&gt;"pvp",Inputs!$B$43&gt;0),IF(MAX(0,Inputs!$B$43-B145)&lt;=0,0,(INT(MAX(0,Inputs!$B$43-B145)/(IF(Inputs!$B$38="pvp",15,MAX(0.1,Skills!D8-IF(TRUE=TRUE,Inputs!$B$32,0)))*(1-IF(AND(ArtifactsInput!$M$27,Inputs!$B$4="Chapter Hunt"),CHOOSE(ArtifactsInput!$N$27+1,20,24,28,32,36,40),0)/100)))+1)),0)</f>
        <v/>
      </c>
      <c r="S119">
        <f>IF(C119,(H119*N119*IF(AND(Inputs!$B$38&lt;&gt;"pvp",Inputs!$B$43&gt;0),((Skills!F8*((R119-1)*IF(Skills!G8&gt;0,Skills!H8/Skills!G8,1)+IF(Skills!G8&gt;0,MIN(Skills!H8,MAX(0,MAX(0,Inputs!$B$43-B145)-((R119-1)*(IF(Inputs!$B$38="pvp",15,MAX(0.1,Skills!D8-IF(TRUE=TRUE,Inputs!$B$32,0)))*(1-IF(AND(ArtifactsInput!$M$27,Inputs!$B$4="Chapter Hunt"),CHOOSE(ArtifactsInput!$N$27+1,20,24,28,32,36,40),0)/100)))))/Skills!G8,1)))/Inputs!$B$43),G119*Q119))*IF(Inputs!$B$38="pvp",1,1+(Inputs!$B$20+Skills!O8+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119*(1-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
        <f>IF(C119,(H119*N119*IF(AND(Inputs!$B$38&lt;&gt;"pvp",Inputs!$B$43&gt;0),((Skills!F8*((R119-1)*IF(Skills!G8&gt;0,Skills!H8/Skills!G8,1)+IF(Skills!G8&gt;0,MIN(Skills!H8,MAX(0,MAX(0,Inputs!$B$43-B145)-((R119-1)*(IF(Inputs!$B$38="pvp",15,MAX(0.1,Skills!D8-IF(TRUE=TRUE,Inputs!$B$32,0)))*(1-IF(AND(ArtifactsInput!$M$27,Inputs!$B$4="Chapter Hunt"),CHOOSE(ArtifactsInput!$N$27+1,20,24,28,32,36,40),0)/100)))))/Skills!G8,1)))/Inputs!$B$43),G119*Q119))*IF(Inputs!$B$38="pvp",1,(1+(Inputs!$B$21+Skills!P8+B139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
      <c r="A120">
        <f>Skills!A9</f>
        <v/>
      </c>
      <c r="B120">
        <f>Skills!B9</f>
        <v/>
      </c>
      <c r="C120">
        <f>Inputs!$B$3&gt;=105</f>
        <v/>
      </c>
      <c r="D120">
        <f>IF(Skills!C9=1,60+Inputs!$B$25+Inputs!$B$29,IF(Skills!C9=2,90+Inputs!$B$26+Inputs!$B$29,IF(Skills!C9=3,120+Inputs!$B$27+Inputs!$B$29,MAX(0,(Inputs!$B$3-100)*3)+Inputs!$B$28+Inputs!$B$29)))</f>
        <v/>
      </c>
      <c r="E120">
        <f>INDEX(FactorTable!$B$2:$Y$301, MATCH(ROUND(MIN(300,MAX(1,D120)),0), FactorTable!$A$2:$A$301,0), Skills!L9+1)</f>
        <v/>
      </c>
      <c r="F120">
        <f>IF(Skills!M9=TRUE,(Skills!K9/10)*(E120/1000),Skills!K9/10)+Skills!N9</f>
        <v/>
      </c>
      <c r="G120">
        <f>Calc!G9</f>
        <v/>
      </c>
      <c r="H120">
        <f>Calc!H9</f>
        <v/>
      </c>
      <c r="I120">
        <f>IF(Skills!T9&lt;&gt;"",1+(Skills!T9/10)*(Z114/1000)/100,1)</f>
        <v/>
      </c>
      <c r="J120">
        <f>((Inputs!$B$6*(1+Inputs!$B$7/100))+(((Inputs!$B$12*(1+(Inputs!$B$13+1)/100))-(Inputs!$B$12*(1+Inputs!$B$13/100)))+0.25*(Inputs!$B$14-Inputs!$B$14))*(1+Inputs!$B$7/100))*(F120/100)</f>
        <v/>
      </c>
      <c r="K120">
        <f>J120*(1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9="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f>
        <v/>
      </c>
      <c r="L120">
        <f>K120*(MIN(Inputs!$B$22+(F129-Calc!F18),(Inputs!$B$23+(IF(ArtifactsInput!$M$15,CHOOSE(ArtifactsInput!$N$15+1,25,30,35,40,45,50)/100*(Inputs!$B$11-Inputs!$B$11),0))))/100+(Inputs!$B$23+(IF(ArtifactsInput!$M$15,CHOOSE(ArtifactsInput!$N$15+1,25,30,35,40,45,50)/100*(Inputs!$B$11-Inputs!$B$11),0)))/100)/2</f>
        <v/>
      </c>
      <c r="M120">
        <f>L120*(1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
        <f>L120*(1-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
        <f>(1-Summary!$B$11)*S120+Summary!$B$11*U120</f>
        <v/>
      </c>
      <c r="P120">
        <f>IF(B148=0,0,O120/B148)</f>
        <v/>
      </c>
      <c r="Q120">
        <f>IFERROR(1/(IF(Inputs!$B$38="pvp",15,MAX(0.1,Skills!D9-IF(TRUE=TRUE,Inputs!$B$32,0)))*(1-IF(AND(ArtifactsInput!$M$27,Inputs!$B$4="Chapter Hunt"),CHOOSE(ArtifactsInput!$N$27+1,20,24,28,32,36,40),0)/100)),0)</f>
        <v/>
      </c>
      <c r="R120">
        <f>IF(AND(Inputs!$B$38&lt;&gt;"pvp",Inputs!$B$43&gt;0),IF(MAX(0,Inputs!$B$43-B145)&lt;=0,0,(INT(MAX(0,Inputs!$B$43-B145)/(IF(Inputs!$B$38="pvp",15,MAX(0.1,Skills!D9-IF(TRUE=TRUE,Inputs!$B$32,0)))*(1-IF(AND(ArtifactsInput!$M$27,Inputs!$B$4="Chapter Hunt"),CHOOSE(ArtifactsInput!$N$27+1,20,24,28,32,36,40),0)/100)))+1)),0)</f>
        <v/>
      </c>
      <c r="S120">
        <f>IF(C120,(H120*N120*IF(AND(Inputs!$B$38&lt;&gt;"pvp",Inputs!$B$43&gt;0),((Skills!F9*((R120-1)*IF(Skills!G9&gt;0,Skills!H9/Skills!G9,1)+IF(Skills!G9&gt;0,MIN(Skills!H9,MAX(0,MAX(0,Inputs!$B$43-B145)-((R120-1)*(IF(Inputs!$B$38="pvp",15,MAX(0.1,Skills!D9-IF(TRUE=TRUE,Inputs!$B$32,0)))*(1-IF(AND(ArtifactsInput!$M$27,Inputs!$B$4="Chapter Hunt"),CHOOSE(ArtifactsInput!$N$27+1,20,24,28,32,36,40),0)/100)))))/Skills!G9,1)))/Inputs!$B$43),G120*Q120))*IF(Inputs!$B$38="pvp",1,1+(Inputs!$B$20+Skills!O9+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120*(1-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0">
        <f>IF(C120,(H120*N120*IF(AND(Inputs!$B$38&lt;&gt;"pvp",Inputs!$B$43&gt;0),((Skills!F9*((R120-1)*IF(Skills!G9&gt;0,Skills!H9/Skills!G9,1)+IF(Skills!G9&gt;0,MIN(Skills!H9,MAX(0,MAX(0,Inputs!$B$43-B145)-((R120-1)*(IF(Inputs!$B$38="pvp",15,MAX(0.1,Skills!D9-IF(TRUE=TRUE,Inputs!$B$32,0)))*(1-IF(AND(ArtifactsInput!$M$27,Inputs!$B$4="Chapter Hunt"),CHOOSE(ArtifactsInput!$N$27+1,20,24,28,32,36,40),0)/100)))))/Skills!G9,1)))/Inputs!$B$43),G120*Q120))*IF(Inputs!$B$38="pvp",1,(1+(Inputs!$B$21+Skills!P9+B139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1">
      <c r="A121">
        <f>Skills!A10</f>
        <v/>
      </c>
      <c r="B121">
        <f>Skills!B10</f>
        <v/>
      </c>
      <c r="C121">
        <f>Inputs!$B$3&gt;=113</f>
        <v/>
      </c>
      <c r="D121">
        <f>IF(Skills!C10=1,60+Inputs!$B$25+Inputs!$B$29,IF(Skills!C10=2,90+Inputs!$B$26+Inputs!$B$29,IF(Skills!C10=3,120+Inputs!$B$27+Inputs!$B$29,MAX(0,(Inputs!$B$3-100)*3)+Inputs!$B$28+Inputs!$B$29)))</f>
        <v/>
      </c>
      <c r="E121">
        <f>INDEX(FactorTable!$B$2:$Y$301, MATCH(ROUND(MIN(300,MAX(1,D121)),0), FactorTable!$A$2:$A$301,0), Skills!L10+1)</f>
        <v/>
      </c>
      <c r="F121">
        <f>IF(Skills!M10=TRUE,(Skills!K10/10)*(E121/1000),Skills!K10/10)+Skills!N10</f>
        <v/>
      </c>
      <c r="G121">
        <f>Calc!G10</f>
        <v/>
      </c>
      <c r="H121">
        <f>Calc!H10</f>
        <v/>
      </c>
      <c r="I121">
        <f>IF(Skills!T10&lt;&gt;"",1+(Skills!T10/10)*(Z114/1000)/100,1)</f>
        <v/>
      </c>
      <c r="J121">
        <f>((Inputs!$B$6*(1+Inputs!$B$7/100))+(((Inputs!$B$12*(1+(Inputs!$B$13+1)/100))-(Inputs!$B$12*(1+Inputs!$B$13/100)))+0.25*(Inputs!$B$14-Inputs!$B$14))*(1+Inputs!$B$7/100))*(F121/100)</f>
        <v/>
      </c>
      <c r="K121">
        <f>J121*(1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10="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F129-Calc!F18),(Inputs!$B$23+(IF(ArtifactsInput!$M$15,CHOOSE(ArtifactsInput!$N$15+1,25,30,35,40,45,50)/100*(Inputs!$B$11-Inputs!$B$11),0))))/100+(Inputs!$B$23+(IF(ArtifactsInput!$M$15,CHOOSE(ArtifactsInput!$N$15+1,25,30,35,40,45,50)/100*(Inputs!$B$11-Inputs!$B$11),0)))/100)/2</f>
        <v/>
      </c>
      <c r="M121">
        <f>L121*(1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(1-Summary!$B$11)*S121+Summary!$B$11*U121</f>
        <v/>
      </c>
      <c r="P121">
        <f>IF(B148=0,0,O121/B148)</f>
        <v/>
      </c>
      <c r="Q121">
        <f>IFERROR(1/(IF(Inputs!$B$38="pvp",15,MAX(0.1,Skills!D10-IF(TRUE=TRUE,Inputs!$B$32,0)))*(1-IF(AND(ArtifactsInput!$M$27,Inputs!$B$4="Chapter Hunt"),CHOOSE(ArtifactsInput!$N$27+1,20,24,28,32,36,40),0)/100)),0)</f>
        <v/>
      </c>
      <c r="R121" t="n">
        <v>0</v>
      </c>
      <c r="S121">
        <f>IF(C121,((H121*B149)/(1+Skills!G10*H121*B149)*N121)*IF(Inputs!$B$38="pvp",1,1+(Inputs!$B$20+Skills!O10+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121*(1-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1">
        <f>IF(C121,((H121*B149)/(1+Skills!G10*H121*B149)*N121)*IF(Inputs!$B$38="pvp",1,(1+(Inputs!$B$21+Skills!P10+B139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Skills!A11</f>
        <v/>
      </c>
      <c r="B122">
        <f>Skills!B11</f>
        <v/>
      </c>
      <c r="C122">
        <f>Inputs!$B$3&gt;=107</f>
        <v/>
      </c>
      <c r="D122">
        <f>IF(Skills!C11=1,60+Inputs!$B$25+Inputs!$B$29,IF(Skills!C11=2,90+Inputs!$B$26+Inputs!$B$29,IF(Skills!C11=3,120+Inputs!$B$27+Inputs!$B$29,MAX(0,(Inputs!$B$3-100)*3)+Inputs!$B$28+Inputs!$B$29)))</f>
        <v/>
      </c>
      <c r="E122">
        <f>INDEX(FactorTable!$B$2:$Y$301, MATCH(ROUND(MIN(300,MAX(1,D122)),0), FactorTable!$A$2:$A$301,0), Skills!L11+1)</f>
        <v/>
      </c>
      <c r="F122">
        <f>IF(Skills!M11=TRUE,(Skills!K11/10)*(E122/1000),Skills!K11/10)+Skills!N11</f>
        <v/>
      </c>
      <c r="G122">
        <f>Calc!G11</f>
        <v/>
      </c>
      <c r="H122">
        <f>Calc!H11</f>
        <v/>
      </c>
      <c r="I122">
        <f>IF(Skills!T11&lt;&gt;"",1+(Skills!T11/10)*(Z114/1000)/100,1)</f>
        <v/>
      </c>
      <c r="J122">
        <f>((Inputs!$B$6*(1+Inputs!$B$7/100))+(((Inputs!$B$12*(1+(Inputs!$B$13+1)/100))-(Inputs!$B$12*(1+Inputs!$B$13/100)))+0.25*(Inputs!$B$14-Inputs!$B$14))*(1+Inputs!$B$7/100))*(F122/100)</f>
        <v/>
      </c>
      <c r="K122">
        <f>J122*(1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11="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F129-Calc!F18),(Inputs!$B$23+(IF(ArtifactsInput!$M$15,CHOOSE(ArtifactsInput!$N$15+1,25,30,35,40,45,50)/100*(Inputs!$B$11-Inputs!$B$11),0))))/100+(Inputs!$B$23+(IF(ArtifactsInput!$M$15,CHOOSE(ArtifactsInput!$N$15+1,25,30,35,40,45,50)/100*(Inputs!$B$11-Inputs!$B$11),0)))/100)/2</f>
        <v/>
      </c>
      <c r="M122">
        <f>L122*(1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(1-Summary!$B$11)*S122+Summary!$B$11*U122</f>
        <v/>
      </c>
      <c r="P122">
        <f>IF(B148=0,0,O122/B148)</f>
        <v/>
      </c>
      <c r="Q122">
        <f>IFERROR(1/(IF(Inputs!$B$38="pvp",15,MAX(0.1,Skills!D11-IF(TRUE=TRUE,Inputs!$B$32,0)))*(1-IF(AND(ArtifactsInput!$M$27,Inputs!$B$4="Chapter Hunt"),CHOOSE(ArtifactsInput!$N$27+1,20,24,28,32,36,40),0)/100)),0)</f>
        <v/>
      </c>
      <c r="R122">
        <f>IF(AND(Inputs!$B$38&lt;&gt;"pvp",Inputs!$B$43&gt;0),IF(MAX(0,Inputs!$B$43-B145)&lt;=0,0,(INT(MAX(0,Inputs!$B$43-B145)/(IF(Inputs!$B$38="pvp",15,MAX(0.1,Skills!D11-IF(TRUE=TRUE,Inputs!$B$32,0)))*(1-IF(AND(ArtifactsInput!$M$27,Inputs!$B$4="Chapter Hunt"),CHOOSE(ArtifactsInput!$N$27+1,20,24,28,32,36,40),0)/100)))+1)),0)</f>
        <v/>
      </c>
      <c r="S122">
        <f>IF(C122,H122*N122*IF(AND(Inputs!$B$38&lt;&gt;"pvp",Inputs!$B$43&gt;0),((Skills!F11*((R122-1)*IF(Skills!G11&gt;0,Skills!H11/Skills!G11,1)+IF(Skills!G11&gt;0,MIN(Skills!H11,MAX(0,MAX(0,Inputs!$B$43-B145)-((R122-1)*(IF(Inputs!$B$38="pvp",15,MAX(0.1,Skills!D11-IF(TRUE=TRUE,Inputs!$B$32,0)))*(1-IF(AND(ArtifactsInput!$M$27,Inputs!$B$4="Chapter Hunt"),CHOOSE(ArtifactsInput!$N$27+1,20,24,28,32,36,40),0)/100)))))/Skills!G11,1)))/Inputs!$B$43),G122*Q122)*0.5*IF(Inputs!$B$38="pvp",1,1+(Inputs!$B$20+Skills!O11+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
        <f>IF(C122,H122*N122*IF(AND(Inputs!$B$38&lt;&gt;"pvp",Inputs!$B$43&gt;0),((Skills!F11*((R122-1)*IF(Skills!G11&gt;0,Skills!H11/Skills!G11,1)+IF(Skills!G11&gt;0,MIN(Skills!H11,MAX(0,MAX(0,Inputs!$B$43-B145)-((R122-1)*(IF(Inputs!$B$38="pvp",15,MAX(0.1,Skills!D11-IF(TRUE=TRUE,Inputs!$B$32,0)))*(1-IF(AND(ArtifactsInput!$M$27,Inputs!$B$4="Chapter Hunt"),CHOOSE(ArtifactsInput!$N$27+1,20,24,28,32,36,40),0)/100)))))/Skills!G11,1)))/Inputs!$B$43),G122*Q122)*1*IF(Inputs!$B$38="pvp",1,(1+(Inputs!$B$21+Skills!P11+B139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Skills!A12</f>
        <v/>
      </c>
      <c r="B123">
        <f>Skills!B12</f>
        <v/>
      </c>
      <c r="C123">
        <f>Inputs!$B$3&gt;=115</f>
        <v/>
      </c>
      <c r="D123">
        <f>IF(Skills!C12=1,60+Inputs!$B$25+Inputs!$B$29,IF(Skills!C12=2,90+Inputs!$B$26+Inputs!$B$29,IF(Skills!C12=3,120+Inputs!$B$27+Inputs!$B$29,MAX(0,(Inputs!$B$3-100)*3)+Inputs!$B$28+Inputs!$B$29)))</f>
        <v/>
      </c>
      <c r="E123">
        <f>INDEX(FactorTable!$B$2:$Y$301, MATCH(ROUND(MIN(300,MAX(1,D123)),0), FactorTable!$A$2:$A$301,0), Skills!L12+1)</f>
        <v/>
      </c>
      <c r="F123">
        <f>IF(Skills!M12=TRUE,(Skills!K12/10)*(E123/1000),Skills!K12/10)+Skills!N12</f>
        <v/>
      </c>
      <c r="G123">
        <f>Calc!G12</f>
        <v/>
      </c>
      <c r="H123">
        <f>Calc!H12</f>
        <v/>
      </c>
      <c r="I123">
        <f>IF(Skills!T12&lt;&gt;"",1+(Skills!T12/10)*(Z114/1000)/100,1)</f>
        <v/>
      </c>
      <c r="J123">
        <f>((Inputs!$B$6*(1+Inputs!$B$7/100))+(((Inputs!$B$12*(1+(Inputs!$B$13+1)/100))-(Inputs!$B$12*(1+Inputs!$B$13/100)))+0.25*(Inputs!$B$14-Inputs!$B$14))*(1+Inputs!$B$7/100))*(F123/100)</f>
        <v/>
      </c>
      <c r="K123">
        <f>J123*(1+((Inputs!$B$12*(1+(Inputs!$B$13+1)/100))*0.01+Inputs!$B$14*0.0025)/100)*(1+(Inputs!$B$15+B140)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126=TRUE,F126,0)/100)*(1+IF(C134=TRUE,F134,0)/100)^5*(1+(IF(Skills!A12="CHAIN_LIGHTNING",Inputs!$B$17+((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F129-Calc!F18),(Inputs!$B$23+(IF(ArtifactsInput!$M$15,CHOOSE(ArtifactsInput!$N$15+1,25,30,35,40,45,50)/100*(Inputs!$B$11-Inputs!$B$11),0))))/100+(Inputs!$B$23+(IF(ArtifactsInput!$M$15,CHOOSE(ArtifactsInput!$N$15+1,25,30,35,40,45,50)/100*(Inputs!$B$11-Inputs!$B$11),0)))/100)/2</f>
        <v/>
      </c>
      <c r="M123">
        <f>L123*(1+(Inputs!$B$10+(F132-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(1-Summary!$B$11)*S123+Summary!$B$11*U123</f>
        <v/>
      </c>
      <c r="P123">
        <f>IF(B148=0,0,O123/B148)</f>
        <v/>
      </c>
      <c r="Q123">
        <f>IFERROR(1/(IF(Inputs!$B$38="pvp",15,MAX(0.1,Skills!D12-IF(TRUE=TRUE,Inputs!$B$32,0)))*(1-IF(AND(ArtifactsInput!$M$27,Inputs!$B$4="Chapter Hunt"),CHOOSE(ArtifactsInput!$N$27+1,20,24,28,32,36,40),0)/100)),0)</f>
        <v/>
      </c>
      <c r="R123">
        <f>IF(AND(Inputs!$B$38&lt;&gt;"pvp",Inputs!$B$43&gt;0),IF(MAX(0,Inputs!$B$43-B145)&lt;=0,0,(INT(MAX(0,Inputs!$B$43-B145)/(IF(Inputs!$B$38="pvp",15,MAX(0.1,Skills!D12-IF(TRUE=TRUE,Inputs!$B$32,0)))*(1-IF(AND(ArtifactsInput!$M$27,Inputs!$B$4="Chapter Hunt"),CHOOSE(ArtifactsInput!$N$27+1,20,24,28,32,36,40),0)/100)))+1)),0)</f>
        <v/>
      </c>
      <c r="S123">
        <f>IF(C123,(H123*N123*IF(AND(Inputs!$B$38&lt;&gt;"pvp",Inputs!$B$43&gt;0),((Skills!F12*((R123-1)*IF(Skills!G12&gt;0,Skills!H12/Skills!G12,1)+IF(Skills!G12&gt;0,MIN(Skills!H12,MAX(0,MAX(0,Inputs!$B$43-B145)-((R123-1)*(IF(Inputs!$B$38="pvp",15,MAX(0.1,Skills!D12-IF(TRUE=TRUE,Inputs!$B$32,0)))*(1-IF(AND(ArtifactsInput!$M$27,Inputs!$B$4="Chapter Hunt"),CHOOSE(ArtifactsInput!$N$27+1,20,24,28,32,36,40),0)/100)))))/Skills!G12,1)))/Inputs!$B$43),G123*Q123))*IF(Inputs!$B$38="pvp",1,1+(Inputs!$B$20+Skills!O12+B139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123*(1-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F131-Calc!F20)+(F130-Calc!F19))+(ArtifactsInput!$M$24-ArtifactsInput!$M$24)*CHOOSE(ArtifactsInput!$N$24+1,10,12,14,16,18,20)+(IF(AND(Inputs!$B$38&lt;&gt;"pvp",Inputs!$B$43=0),1,IF(IF(Inputs!$B$38="pvp",15,Inputs!$B$43)-(B145)&lt;=0,1,MAX(0,IF(Inputs!$B$38="pvp",15,Inputs!$B$43)-MAX(5,B145))/(IF(Inputs!$B$38="pvp",15,Inputs!$B$43)-(B145)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
        <f>IF(C123,(H123*N123*IF(AND(Inputs!$B$38&lt;&gt;"pvp",Inputs!$B$43&gt;0),((Skills!F12*((R123-1)*IF(Skills!G12&gt;0,Skills!H12/Skills!G12,1)+IF(Skills!G12&gt;0,MIN(Skills!H12,MAX(0,MAX(0,Inputs!$B$43-B145)-((R123-1)*(IF(Inputs!$B$38="pvp",15,MAX(0.1,Skills!D12-IF(TRUE=TRUE,Inputs!$B$32,0)))*(1-IF(AND(ArtifactsInput!$M$27,Inputs!$B$4="Chapter Hunt"),CHOOSE(ArtifactsInput!$N$27+1,20,24,28,32,36,40),0)/100)))))/Skills!G12,1)))/Inputs!$B$43),G123*Q123))*IF(Inputs!$B$38="pvp",1,(1+(Inputs!$B$21+Skills!P12+B139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Skills!A13</f>
        <v/>
      </c>
      <c r="B124">
        <f>Skills!B13</f>
        <v/>
      </c>
      <c r="C124">
        <f>Inputs!$B$3&gt;=49</f>
        <v/>
      </c>
      <c r="D124">
        <f>IF(Skills!C13=1,60+Inputs!$B$25+Inputs!$B$29,IF(Skills!C13=2,90+Inputs!$B$26+Inputs!$B$29,IF(Skills!C13=3,120+Inputs!$B$27+Inputs!$B$29,MAX(0,(Inputs!$B$3-100)*3)+Inputs!$B$28+Inputs!$B$29)))</f>
        <v/>
      </c>
      <c r="E124">
        <f>INDEX(FactorTable!$B$2:$Y$301, MATCH(ROUND(MIN(300,MAX(1,D124)),0), FactorTable!$A$2:$A$301,0), Skills!L13+1)</f>
        <v/>
      </c>
      <c r="F124">
        <f>IF(Skills!M13=TRUE,(Skills!K13/10)*(E124/1000),Skills!K13/10)+Skills!N13</f>
        <v/>
      </c>
      <c r="G124">
        <f>Calc!G13</f>
        <v/>
      </c>
      <c r="H124">
        <f>Calc!H13</f>
        <v/>
      </c>
      <c r="I124">
        <f>IF(Skills!T13&lt;&gt;"",1+(Skills!T13/10)*(Z114/1000)/100,1)</f>
        <v/>
      </c>
      <c r="J124" t="inlineStr"/>
      <c r="K124" t="inlineStr"/>
      <c r="L124" t="inlineStr"/>
      <c r="M124" t="inlineStr"/>
      <c r="N124" t="inlineStr"/>
      <c r="O124">
        <f>(1-Summary!$B$11)*S124+Summary!$B$11*U124</f>
        <v/>
      </c>
      <c r="P124">
        <f>IF(B148=0,0,O124/B148)</f>
        <v/>
      </c>
      <c r="Q124">
        <f>IFERROR(1/(IF(Inputs!$B$38="pvp",15,MAX(0.1,Skills!D13-IF(TRUE=TRUE,Inputs!$B$32,0)))*(1-IF(AND(ArtifactsInput!$M$27,Inputs!$B$4="Chapter Hunt"),CHOOSE(ArtifactsInput!$N$27+1,20,24,28,32,36,40),0)/100)),0)</f>
        <v/>
      </c>
      <c r="R124" t="n">
        <v>0</v>
      </c>
      <c r="S124" t="n">
        <v>0</v>
      </c>
      <c r="U124" t="n">
        <v>0</v>
      </c>
    </row>
    <row r="125">
      <c r="A125">
        <f>Skills!A14</f>
        <v/>
      </c>
      <c r="B125">
        <f>Skills!B14</f>
        <v/>
      </c>
      <c r="C125">
        <f>Inputs!$B$3&gt;=72</f>
        <v/>
      </c>
      <c r="D125">
        <f>IF(Skills!C14=1,60+Inputs!$B$25+Inputs!$B$29,IF(Skills!C14=2,90+Inputs!$B$26+Inputs!$B$29,IF(Skills!C14=3,120+Inputs!$B$27+Inputs!$B$29,MAX(0,(Inputs!$B$3-100)*3)+Inputs!$B$28+Inputs!$B$29)))</f>
        <v/>
      </c>
      <c r="E125">
        <f>INDEX(FactorTable!$B$2:$Y$301, MATCH(ROUND(MIN(300,MAX(1,D125)),0), FactorTable!$A$2:$A$301,0), Skills!L14+1)</f>
        <v/>
      </c>
      <c r="F125">
        <f>IF(Skills!M14=TRUE,(Skills!K14/10)*(E125/1000),Skills!K14/10)+Skills!N14</f>
        <v/>
      </c>
      <c r="G125">
        <f>Calc!G14</f>
        <v/>
      </c>
      <c r="H125">
        <f>Calc!H14</f>
        <v/>
      </c>
      <c r="I125">
        <f>IF(Skills!T14&lt;&gt;"",1+(Skills!T14/10)*(Z114/1000)/100,1)</f>
        <v/>
      </c>
      <c r="J125" t="inlineStr"/>
      <c r="K125" t="inlineStr"/>
      <c r="L125" t="inlineStr"/>
      <c r="M125" t="inlineStr"/>
      <c r="N125" t="inlineStr"/>
      <c r="O125">
        <f>(1-Summary!$B$11)*S125+Summary!$B$11*U125</f>
        <v/>
      </c>
      <c r="P125">
        <f>IF(B148=0,0,O125/B148)</f>
        <v/>
      </c>
      <c r="Q125">
        <f>IFERROR(1/(IF(Inputs!$B$38="pvp",15,MAX(0.1,Skills!D14-IF(TRUE=TRUE,Inputs!$B$32,0)))*(1-IF(AND(ArtifactsInput!$M$27,Inputs!$B$4="Chapter Hunt"),CHOOSE(ArtifactsInput!$N$27+1,20,24,28,32,36,40),0)/100)),0)</f>
        <v/>
      </c>
      <c r="R125" t="n">
        <v>0</v>
      </c>
      <c r="S125" t="n">
        <v>0</v>
      </c>
      <c r="U125" t="n">
        <v>0</v>
      </c>
    </row>
    <row r="126">
      <c r="A126">
        <f>Skills!A15</f>
        <v/>
      </c>
      <c r="B126">
        <f>Skills!B15</f>
        <v/>
      </c>
      <c r="C126">
        <f>Inputs!$B$3&gt;=75</f>
        <v/>
      </c>
      <c r="D126">
        <f>IF(Skills!C15=1,60+Inputs!$B$25+Inputs!$B$29,IF(Skills!C15=2,90+Inputs!$B$26+Inputs!$B$29,IF(Skills!C15=3,120+Inputs!$B$27+Inputs!$B$29,MAX(0,(Inputs!$B$3-100)*3)+Inputs!$B$28+Inputs!$B$29)))</f>
        <v/>
      </c>
      <c r="E126">
        <f>INDEX(FactorTable!$B$2:$Y$301, MATCH(ROUND(MIN(300,MAX(1,D126)),0), FactorTable!$A$2:$A$301,0), Skills!L15+1)</f>
        <v/>
      </c>
      <c r="F126">
        <f>IF(Skills!M15=TRUE,(Skills!K15/10)*(E126/1000),Skills!K15/10)+Skills!N15</f>
        <v/>
      </c>
      <c r="G126">
        <f>Calc!G15</f>
        <v/>
      </c>
      <c r="H126">
        <f>Calc!H15</f>
        <v/>
      </c>
      <c r="I126">
        <f>IF(Skills!T15&lt;&gt;"",1+(Skills!T15/10)*(Z114/1000)/100,1)</f>
        <v/>
      </c>
      <c r="J126" t="inlineStr"/>
      <c r="K126" t="inlineStr"/>
      <c r="L126" t="inlineStr"/>
      <c r="M126" t="inlineStr"/>
      <c r="N126" t="inlineStr"/>
      <c r="O126">
        <f>(1-Summary!$B$11)*S126+Summary!$B$11*U126</f>
        <v/>
      </c>
      <c r="P126">
        <f>IF(B148=0,0,O126/B148)</f>
        <v/>
      </c>
      <c r="Q126">
        <f>IFERROR(1/(IF(Inputs!$B$38="pvp",15,MAX(0.1,Skills!D15-IF(TRUE=TRUE,Inputs!$B$32,0)))*(1-IF(AND(ArtifactsInput!$M$27,Inputs!$B$4="Chapter Hunt"),CHOOSE(ArtifactsInput!$N$27+1,20,24,28,32,36,40),0)/100)),0)</f>
        <v/>
      </c>
      <c r="R126" t="n">
        <v>0</v>
      </c>
      <c r="S126" t="n">
        <v>0</v>
      </c>
      <c r="U126" t="n">
        <v>0</v>
      </c>
    </row>
    <row r="127">
      <c r="A127">
        <f>Skills!A16</f>
        <v/>
      </c>
      <c r="B127">
        <f>Skills!B16</f>
        <v/>
      </c>
      <c r="C127">
        <f>Inputs!$B$3&gt;=110</f>
        <v/>
      </c>
      <c r="D127">
        <f>IF(Skills!C16=1,60+Inputs!$B$25+Inputs!$B$29,IF(Skills!C16=2,90+Inputs!$B$26+Inputs!$B$29,IF(Skills!C16=3,120+Inputs!$B$27+Inputs!$B$29,MAX(0,(Inputs!$B$3-100)*3)+Inputs!$B$28+Inputs!$B$29)))</f>
        <v/>
      </c>
      <c r="E127">
        <f>INDEX(FactorTable!$B$2:$Y$301, MATCH(ROUND(MIN(300,MAX(1,D127)),0), FactorTable!$A$2:$A$301,0), Skills!L16+1)</f>
        <v/>
      </c>
      <c r="F127">
        <f>(Skills!K16/10)*(E127/1000)*64/45+Skills!N16</f>
        <v/>
      </c>
      <c r="G127">
        <f>Calc!G16</f>
        <v/>
      </c>
      <c r="H127">
        <f>Calc!H16</f>
        <v/>
      </c>
      <c r="I127">
        <f>IF(Skills!T16&lt;&gt;"",1+(Skills!T16/10)*(Z114/1000)/100,1)</f>
        <v/>
      </c>
      <c r="J127" t="inlineStr"/>
      <c r="K127" t="inlineStr"/>
      <c r="L127" t="inlineStr"/>
      <c r="M127" t="inlineStr"/>
      <c r="N127" t="inlineStr"/>
      <c r="O127">
        <f>(1-Summary!$B$11)*S127+Summary!$B$11*U127</f>
        <v/>
      </c>
      <c r="P127">
        <f>IF(B148=0,0,O127/B148)</f>
        <v/>
      </c>
      <c r="Q127">
        <f>IFERROR(1/(IF(Inputs!$B$38="pvp",15,MAX(0.1,Skills!D16-IF(TRUE=TRUE,Inputs!$B$32,0)))*(1-IF(AND(ArtifactsInput!$M$27,Inputs!$B$4="Chapter Hunt"),CHOOSE(ArtifactsInput!$N$27+1,20,24,28,32,36,40),0)/100)),0)</f>
        <v/>
      </c>
      <c r="R127">
        <f>IF(AND(Inputs!$B$38&lt;&gt;"pvp",Inputs!$B$43&gt;0),IF(Inputs!$B$43&lt;=0,0,(INT(Inputs!$B$43/(IF(Inputs!$B$38="pvp",15,MAX(0.1,Skills!D16-IF(TRUE=TRUE,Inputs!$B$32,0)))*(1-IF(AND(ArtifactsInput!$M$27,Inputs!$B$4="Chapter Hunt"),CHOOSE(ArtifactsInput!$N$27+1,20,24,28,32,36,40),0)/100)))+1)),0)</f>
        <v/>
      </c>
      <c r="S127" t="n">
        <v>0</v>
      </c>
      <c r="U127" t="n">
        <v>0</v>
      </c>
    </row>
    <row r="128">
      <c r="A128">
        <f>Skills!A17</f>
        <v/>
      </c>
      <c r="B128">
        <f>Skills!B17</f>
        <v/>
      </c>
      <c r="C128">
        <f>Inputs!$B$3&gt;=33</f>
        <v/>
      </c>
      <c r="D128">
        <f>IF(Skills!C17=1,60+Inputs!$B$25+Inputs!$B$29,IF(Skills!C17=2,90+Inputs!$B$26+Inputs!$B$29,IF(Skills!C17=3,120+Inputs!$B$27+Inputs!$B$29,MAX(0,(Inputs!$B$3-100)*3)+Inputs!$B$28+Inputs!$B$29)))</f>
        <v/>
      </c>
      <c r="E128">
        <f>INDEX(FactorTable!$B$2:$Y$301, MATCH(ROUND(MIN(300,MAX(1,D128)),0), FactorTable!$A$2:$A$301,0), Skills!L17+1)</f>
        <v/>
      </c>
      <c r="F128">
        <f>IF(Skills!M17=TRUE,(Skills!K17/10)*(E128/1000),Skills!K17/10)+Skills!N17</f>
        <v/>
      </c>
      <c r="G128">
        <f>Calc!G17</f>
        <v/>
      </c>
      <c r="H128">
        <f>Calc!H17</f>
        <v/>
      </c>
      <c r="I128">
        <f>IF(Skills!T17&lt;&gt;"",1+(Skills!T17/10)*(Z114/1000)/100,1)</f>
        <v/>
      </c>
      <c r="J128" t="inlineStr"/>
      <c r="K128" t="inlineStr"/>
      <c r="L128" t="inlineStr"/>
      <c r="M128" t="inlineStr"/>
      <c r="N128" t="inlineStr"/>
      <c r="O128">
        <f>(1-Summary!$B$11)*S128+Summary!$B$11*U128</f>
        <v/>
      </c>
      <c r="P128">
        <f>IF(B148=0,0,O128/B148)</f>
        <v/>
      </c>
      <c r="Q128">
        <f>IFERROR(1/(IF(Inputs!$B$38="pvp",15,MAX(0.1,Skills!D17-IF(TRUE=TRUE,Inputs!$B$32,0)))*(1-IF(AND(ArtifactsInput!$M$27,Inputs!$B$4="Chapter Hunt"),CHOOSE(ArtifactsInput!$N$27+1,20,24,28,32,36,40),0)/100)),0)</f>
        <v/>
      </c>
      <c r="R128" t="n">
        <v>0</v>
      </c>
      <c r="S128" t="n">
        <v>0</v>
      </c>
      <c r="U128" t="n">
        <v>0</v>
      </c>
    </row>
    <row r="129">
      <c r="A129">
        <f>Skills!A18</f>
        <v/>
      </c>
      <c r="B129">
        <f>Skills!B18</f>
        <v/>
      </c>
      <c r="C129">
        <f>Inputs!$B$3&gt;=43</f>
        <v/>
      </c>
      <c r="D129">
        <f>IF(Skills!C18=1,60+Inputs!$B$25+Inputs!$B$29,IF(Skills!C18=2,90+Inputs!$B$26+Inputs!$B$29,IF(Skills!C18=3,120+Inputs!$B$27+Inputs!$B$29,MAX(0,(Inputs!$B$3-100)*3)+Inputs!$B$28+Inputs!$B$29)))</f>
        <v/>
      </c>
      <c r="E129">
        <f>INDEX(FactorTable!$B$2:$Y$301, MATCH(ROUND(MIN(300,MAX(1,D129)),0), FactorTable!$A$2:$A$301,0), Skills!L18+1)</f>
        <v/>
      </c>
      <c r="F129">
        <f>IF(Skills!M18=TRUE,(Skills!K18/10)*(E129/1000),Skills!K18/10)+Skills!N18</f>
        <v/>
      </c>
      <c r="G129">
        <f>Calc!G18</f>
        <v/>
      </c>
      <c r="H129">
        <f>Calc!H18</f>
        <v/>
      </c>
      <c r="I129">
        <f>IF(Skills!T18&lt;&gt;"",1+(Skills!T18/10)*(Z114/1000)/100,1)</f>
        <v/>
      </c>
      <c r="J129" t="inlineStr"/>
      <c r="K129" t="inlineStr"/>
      <c r="L129" t="inlineStr"/>
      <c r="M129" t="inlineStr"/>
      <c r="N129" t="inlineStr"/>
      <c r="O129">
        <f>(1-Summary!$B$11)*S129+Summary!$B$11*U129</f>
        <v/>
      </c>
      <c r="P129">
        <f>IF(B148=0,0,O129/B148)</f>
        <v/>
      </c>
      <c r="Q129">
        <f>IFERROR(1/(IF(Inputs!$B$38="pvp",15,MAX(0.1,Skills!D18-IF(TRUE=TRUE,Inputs!$B$32,0)))*(1-IF(AND(ArtifactsInput!$M$27,Inputs!$B$4="Chapter Hunt"),CHOOSE(ArtifactsInput!$N$27+1,20,24,28,32,36,40),0)/100)),0)</f>
        <v/>
      </c>
      <c r="R129" t="n">
        <v>0</v>
      </c>
      <c r="S129" t="n">
        <v>0</v>
      </c>
      <c r="U129" t="n">
        <v>0</v>
      </c>
    </row>
    <row r="130">
      <c r="A130">
        <f>Skills!A19</f>
        <v/>
      </c>
      <c r="B130">
        <f>Skills!B19</f>
        <v/>
      </c>
      <c r="C130">
        <f>Inputs!$B$3&gt;=50</f>
        <v/>
      </c>
      <c r="D130">
        <f>IF(Skills!C19=1,60+Inputs!$B$25+Inputs!$B$29,IF(Skills!C19=2,90+Inputs!$B$26+Inputs!$B$29,IF(Skills!C19=3,120+Inputs!$B$27+Inputs!$B$29,MAX(0,(Inputs!$B$3-100)*3)+Inputs!$B$28+Inputs!$B$29)))</f>
        <v/>
      </c>
      <c r="E130">
        <f>INDEX(FactorTable!$B$2:$Y$301, MATCH(ROUND(MIN(300,MAX(1,D130)),0), FactorTable!$A$2:$A$301,0), Skills!L19+1)</f>
        <v/>
      </c>
      <c r="F130">
        <f>IF(Skills!M19=TRUE,(Skills!K19/10)*(E130/1000),Skills!K19/10)+Skills!N19</f>
        <v/>
      </c>
      <c r="G130">
        <f>Calc!G19</f>
        <v/>
      </c>
      <c r="H130">
        <f>Calc!H19</f>
        <v/>
      </c>
      <c r="I130">
        <f>IF(Skills!T19&lt;&gt;"",1+(Skills!T19/10)*(Z114/1000)/100,1)</f>
        <v/>
      </c>
      <c r="J130" t="inlineStr"/>
      <c r="K130" t="inlineStr"/>
      <c r="L130" t="inlineStr"/>
      <c r="M130" t="inlineStr"/>
      <c r="N130" t="inlineStr"/>
      <c r="O130">
        <f>(1-Summary!$B$11)*S130+Summary!$B$11*U130</f>
        <v/>
      </c>
      <c r="P130">
        <f>IF(B148=0,0,O130/B148)</f>
        <v/>
      </c>
      <c r="Q130">
        <f>IFERROR(1/(IF(Inputs!$B$38="pvp",15,MAX(0.1,Skills!D19-IF(TRUE=TRUE,Inputs!$B$32,0)))*(1-IF(AND(ArtifactsInput!$M$27,Inputs!$B$4="Chapter Hunt"),CHOOSE(ArtifactsInput!$N$27+1,20,24,28,32,36,40),0)/100)),0)</f>
        <v/>
      </c>
      <c r="R130" t="n">
        <v>0</v>
      </c>
      <c r="S130" t="n">
        <v>0</v>
      </c>
      <c r="U130" t="n">
        <v>0</v>
      </c>
    </row>
    <row r="131">
      <c r="A131">
        <f>Skills!A20</f>
        <v/>
      </c>
      <c r="B131">
        <f>Skills!B20</f>
        <v/>
      </c>
      <c r="C131">
        <f>Inputs!$B$3&gt;=74</f>
        <v/>
      </c>
      <c r="D131">
        <f>IF(Skills!C20=1,60+Inputs!$B$25+Inputs!$B$29,IF(Skills!C20=2,90+Inputs!$B$26+Inputs!$B$29,IF(Skills!C20=3,120+Inputs!$B$27+Inputs!$B$29,MAX(0,(Inputs!$B$3-100)*3)+Inputs!$B$28+Inputs!$B$29)))</f>
        <v/>
      </c>
      <c r="E131">
        <f>INDEX(FactorTable!$B$2:$Y$301, MATCH(ROUND(MIN(300,MAX(1,D131)),0), FactorTable!$A$2:$A$301,0), Skills!L20+1)</f>
        <v/>
      </c>
      <c r="F131">
        <f>IF(Skills!M20=TRUE,(Skills!K20/10)*(E131/1000),Skills!K20/10)+Skills!N20</f>
        <v/>
      </c>
      <c r="G131">
        <f>Calc!G20</f>
        <v/>
      </c>
      <c r="H131">
        <f>Calc!H20</f>
        <v/>
      </c>
      <c r="I131">
        <f>IF(Skills!T20&lt;&gt;"",1+(Skills!T20/10)*(Z114/1000)/100,1)</f>
        <v/>
      </c>
      <c r="J131" t="inlineStr"/>
      <c r="K131" t="inlineStr"/>
      <c r="L131" t="inlineStr"/>
      <c r="M131" t="inlineStr"/>
      <c r="N131" t="inlineStr"/>
      <c r="O131">
        <f>(1-Summary!$B$11)*S131+Summary!$B$11*U131</f>
        <v/>
      </c>
      <c r="P131">
        <f>IF(B148=0,0,O131/B148)</f>
        <v/>
      </c>
      <c r="Q131">
        <f>IFERROR(1/(IF(Inputs!$B$38="pvp",15,MAX(0.1,Skills!D20-IF(TRUE=TRUE,Inputs!$B$32,0)))*(1-IF(AND(ArtifactsInput!$M$27,Inputs!$B$4="Chapter Hunt"),CHOOSE(ArtifactsInput!$N$27+1,20,24,28,32,36,40),0)/100)),0)</f>
        <v/>
      </c>
      <c r="R131" t="n">
        <v>0</v>
      </c>
      <c r="S131" t="n">
        <v>0</v>
      </c>
      <c r="U131" t="n">
        <v>0</v>
      </c>
    </row>
    <row r="132">
      <c r="A132">
        <f>Skills!A21</f>
        <v/>
      </c>
      <c r="B132">
        <f>Skills!B21</f>
        <v/>
      </c>
      <c r="C132">
        <f>Inputs!$B$3&gt;=74</f>
        <v/>
      </c>
      <c r="D132">
        <f>IF(Skills!C21=1,60+Inputs!$B$25+Inputs!$B$29,IF(Skills!C21=2,90+Inputs!$B$26+Inputs!$B$29,IF(Skills!C21=3,120+Inputs!$B$27+Inputs!$B$29,MAX(0,(Inputs!$B$3-100)*3)+Inputs!$B$28+Inputs!$B$29)))</f>
        <v/>
      </c>
      <c r="E132">
        <f>INDEX(FactorTable!$B$2:$Y$301, MATCH(ROUND(MIN(300,MAX(1,D132)),0), FactorTable!$A$2:$A$301,0), Skills!L21+1)</f>
        <v/>
      </c>
      <c r="F132">
        <f>IF(Skills!M21=TRUE,(Skills!K21/10)*(E132/1000),Skills!K21/10)+Skills!N21</f>
        <v/>
      </c>
      <c r="G132">
        <f>Calc!G21</f>
        <v/>
      </c>
      <c r="H132">
        <f>Calc!H21</f>
        <v/>
      </c>
      <c r="I132">
        <f>IF(Skills!T21&lt;&gt;"",1+(Skills!T21/10)*(Z114/1000)/100,1)</f>
        <v/>
      </c>
      <c r="J132" t="inlineStr"/>
      <c r="K132" t="inlineStr"/>
      <c r="L132" t="inlineStr"/>
      <c r="M132" t="inlineStr"/>
      <c r="N132" t="inlineStr"/>
      <c r="O132">
        <f>(1-Summary!$B$11)*S132+Summary!$B$11*U132</f>
        <v/>
      </c>
      <c r="P132">
        <f>IF(B148=0,0,O132/B148)</f>
        <v/>
      </c>
      <c r="Q132">
        <f>IFERROR(1/(IF(Inputs!$B$38="pvp",15,MAX(0.1,Skills!D21-IF(TRUE=TRUE,Inputs!$B$32,0)))*(1-IF(AND(ArtifactsInput!$M$27,Inputs!$B$4="Chapter Hunt"),CHOOSE(ArtifactsInput!$N$27+1,20,24,28,32,36,40),0)/100)),0)</f>
        <v/>
      </c>
      <c r="R132" t="n">
        <v>0</v>
      </c>
      <c r="S132" t="n">
        <v>0</v>
      </c>
      <c r="U132" t="n">
        <v>0</v>
      </c>
    </row>
    <row r="133">
      <c r="A133">
        <f>Skills!A22</f>
        <v/>
      </c>
      <c r="B133">
        <f>Skills!B22</f>
        <v/>
      </c>
      <c r="C133">
        <f>Inputs!$B$3&gt;=117</f>
        <v/>
      </c>
      <c r="D133">
        <f>IF(Skills!C22=1,60+Inputs!$B$25+Inputs!$B$29,IF(Skills!C22=2,90+Inputs!$B$26+Inputs!$B$29,IF(Skills!C22=3,120+Inputs!$B$27+Inputs!$B$29,MAX(0,(Inputs!$B$3-100)*3)+Inputs!$B$28+Inputs!$B$29)))</f>
        <v/>
      </c>
      <c r="E133">
        <f>INDEX(FactorTable!$B$2:$Y$301, MATCH(ROUND(MIN(300,MAX(1,D133)),0), FactorTable!$A$2:$A$301,0), Skills!L22+1)</f>
        <v/>
      </c>
      <c r="F133">
        <f>IF(Skills!M22=TRUE,(Skills!K22/10)*(E133/1000),Skills!K22/10)+Skills!N22</f>
        <v/>
      </c>
      <c r="G133">
        <f>Calc!G22</f>
        <v/>
      </c>
      <c r="H133">
        <f>Calc!H22</f>
        <v/>
      </c>
      <c r="I133">
        <f>IF(Skills!T22&lt;&gt;"",1+(Skills!T22/10)*(Z114/1000)/100,1)</f>
        <v/>
      </c>
      <c r="J133" t="inlineStr"/>
      <c r="K133" t="inlineStr"/>
      <c r="L133" t="inlineStr"/>
      <c r="M133" t="inlineStr"/>
      <c r="N133" t="inlineStr"/>
      <c r="O133">
        <f>(1-Summary!$B$11)*S133+Summary!$B$11*U133</f>
        <v/>
      </c>
      <c r="P133">
        <f>IF(B148=0,0,O133/B148)</f>
        <v/>
      </c>
      <c r="Q133">
        <f>IFERROR(1/(IF(Inputs!$B$38="pvp",15,MAX(0.1,Skills!D22-IF(TRUE=TRUE,Inputs!$B$32,0)))*(1-IF(AND(ArtifactsInput!$M$27,Inputs!$B$4="Chapter Hunt"),CHOOSE(ArtifactsInput!$N$27+1,20,24,28,32,36,40),0)/100)),0)</f>
        <v/>
      </c>
      <c r="R133" t="n">
        <v>0</v>
      </c>
      <c r="S133" t="n">
        <v>0</v>
      </c>
      <c r="U133" t="n">
        <v>0</v>
      </c>
    </row>
    <row r="134">
      <c r="A134">
        <f>Skills!A23</f>
        <v/>
      </c>
      <c r="B134">
        <f>Skills!B23</f>
        <v/>
      </c>
      <c r="C134">
        <f>Inputs!$B$3&gt;=120</f>
        <v/>
      </c>
      <c r="D134">
        <f>IF(Skills!C23=1,60+Inputs!$B$25+Inputs!$B$29,IF(Skills!C23=2,90+Inputs!$B$26+Inputs!$B$29,IF(Skills!C23=3,120+Inputs!$B$27+Inputs!$B$29,MAX(0,(Inputs!$B$3-100)*3)+Inputs!$B$28+Inputs!$B$29)))</f>
        <v/>
      </c>
      <c r="E134">
        <f>INDEX(FactorTable!$B$2:$Y$301, MATCH(ROUND(MIN(300,MAX(1,D134)),0), FactorTable!$A$2:$A$301,0), Skills!L23+1)</f>
        <v/>
      </c>
      <c r="F134">
        <f>IF(Skills!M23=TRUE,(Skills!K23/10)*(E134/1000),Skills!K23/10)+Skills!N23</f>
        <v/>
      </c>
      <c r="G134">
        <f>Calc!G23</f>
        <v/>
      </c>
      <c r="H134">
        <f>Calc!H23</f>
        <v/>
      </c>
      <c r="I134">
        <f>IF(Skills!T23&lt;&gt;"",1+(Skills!T23/10)*(Z114/1000)/100,1)</f>
        <v/>
      </c>
      <c r="J134" t="inlineStr"/>
      <c r="K134" t="inlineStr"/>
      <c r="L134" t="inlineStr"/>
      <c r="M134" t="inlineStr"/>
      <c r="N134" t="inlineStr"/>
      <c r="O134">
        <f>(1-Summary!$B$11)*S134+Summary!$B$11*U134</f>
        <v/>
      </c>
      <c r="P134">
        <f>IF(B148=0,0,O134/B148)</f>
        <v/>
      </c>
      <c r="Q134">
        <f>IFERROR(1/(IF(Inputs!$B$38="pvp",15,MAX(0.1,Skills!D23-IF(TRUE=TRUE,Inputs!$B$32,0)))*(1-IF(AND(ArtifactsInput!$M$27,Inputs!$B$4="Chapter Hunt"),CHOOSE(ArtifactsInput!$N$27+1,20,24,28,32,36,40),0)/100)),0)</f>
        <v/>
      </c>
      <c r="R134" t="n">
        <v>0</v>
      </c>
      <c r="S134" t="n">
        <v>0</v>
      </c>
      <c r="U134" t="n">
        <v>0</v>
      </c>
    </row>
    <row r="135">
      <c r="A135">
        <f>Skills!A24</f>
        <v/>
      </c>
      <c r="B135">
        <f>Skills!B24</f>
        <v/>
      </c>
      <c r="C135">
        <f>TRUE</f>
        <v/>
      </c>
      <c r="D135">
        <f>IF(Skills!C24=1,60+Inputs!$B$25+Inputs!$B$29,IF(Skills!C24=2,90+Inputs!$B$26+Inputs!$B$29,IF(Skills!C24=3,120+Inputs!$B$27+Inputs!$B$29,MAX(0,(Inputs!$B$3-100)*3)+Inputs!$B$28+Inputs!$B$29)))</f>
        <v/>
      </c>
      <c r="E135">
        <f>INDEX(FactorTable!$B$2:$Y$301, MATCH(ROUND(MIN(300,MAX(1,D135)),0), FactorTable!$A$2:$A$301,0), Skills!L24+1)</f>
        <v/>
      </c>
      <c r="F135">
        <f>IF(Skills!M24=TRUE,(Skills!K24/10)*(E135/1000),Skills!K24/10)+Skills!N24</f>
        <v/>
      </c>
      <c r="G135">
        <f>Calc!G24</f>
        <v/>
      </c>
      <c r="H135">
        <f>Calc!H24</f>
        <v/>
      </c>
      <c r="I135">
        <f>IF(Skills!T24&lt;&gt;"",1+(Skills!T24/10)*(Z114/1000)/100,1)</f>
        <v/>
      </c>
      <c r="J135" t="inlineStr"/>
      <c r="K135" t="inlineStr"/>
      <c r="L135" t="inlineStr"/>
      <c r="M135" t="inlineStr"/>
      <c r="N135" t="inlineStr"/>
      <c r="O135">
        <f>(1-Summary!$B$11)*S135+Summary!$B$11*U135</f>
        <v/>
      </c>
      <c r="P135">
        <f>IF(B148=0,0,O135/B148)</f>
        <v/>
      </c>
      <c r="Q135">
        <f>IFERROR(1/(IF(Inputs!$B$38="pvp",15,MAX(0.1,Skills!D24-IF(TRUE=TRUE,Inputs!$B$32,0)))*(1-IF(AND(ArtifactsInput!$M$27,Inputs!$B$4="Chapter Hunt"),CHOOSE(ArtifactsInput!$N$27+1,20,24,28,32,36,40),0)/100)),0)</f>
        <v/>
      </c>
      <c r="R135">
        <f>IF(AND(Inputs!$B$38&lt;&gt;"pvp",Inputs!$B$43&gt;0),IF(Inputs!$B$43&lt;=0,0,(INT(Inputs!$B$43/(IF(Inputs!$B$38="pvp",15,MAX(0.1,Skills!D24-IF(TRUE=TRUE,Inputs!$B$32,0)))*(1-IF(AND(ArtifactsInput!$M$27,Inputs!$B$4="Chapter Hunt"),CHOOSE(ArtifactsInput!$N$27+1,20,24,28,32,36,40),0)/100)))+1)),0)</f>
        <v/>
      </c>
      <c r="S135" t="n">
        <v>0</v>
      </c>
      <c r="U135" t="n">
        <v>0</v>
      </c>
    </row>
    <row r="138">
      <c r="A138" t="inlineStr">
        <is>
          <t>Average Buff Multiplier (Magic Guard + Meditation + Artifact Attack%, summed; then Infinity)</t>
        </is>
      </c>
      <c r="B138">
        <f>(1+(IF(C114=TRUE,F114*IF(AND(Inputs!$B$38&lt;&gt;"pvp",Inputs!$B$43&gt;0),(((R114-1)*MIN((Skills!S3*(1+(Inputs!$B$34)/100)),(1/Q114))+MIN((Skills!S3*(1+(Inputs!$B$34)/100)),MAX(0,Inputs!$B$43-((R114-1)*(1/Q114)))))/Inputs!$B$43),IF(Inputs!$B$38="pvp",MIN((Skills!S3*(1+(Inputs!$B$34)/100)),15)/15,MIN(1,(Skills!S3*(1+(Inputs!$B$34)/100))/(1/Q114)))),0)+IF(C115=TRUE,F115*IF(AND(Inputs!$B$38&lt;&gt;"pvp",Inputs!$B$43&gt;0),(((R115-1)*MIN((Skills!S4*(1+(Inputs!$B$34)/100)),(1/Q115))+MIN((Skills!S4*(1+(Inputs!$B$34)/100)),MAX(0,Inputs!$B$43-((R115-1)*(1/Q115)))))/Inputs!$B$43),IF(Inputs!$B$38="pvp",MIN((Skills!S4*(1+(Inputs!$B$34)/100)),15)/15,MIN(1,(Skills!S4*(1+(Inputs!$B$34)/100))/(1/Q115)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127=TRUE,(1+F127*IF(AND(Inputs!$B$38&lt;&gt;"pvp",Inputs!$B$43&gt;0),(((R127-1)*MIN((Skills!S16*(1+(Inputs!$B$34)/100)),(1/Q127))+MIN((Skills!S16*(1+(Inputs!$B$34)/100)),MAX(0,Inputs!$B$43-((R127-1)*(1/Q127)))))/Inputs!$B$43),IF(Inputs!$B$38="pvp",MIN((Skills!S16*(1+(Inputs!$B$34)/100)),15)/15,MIN(1,(Skills!S16*(1+(Inputs!$B$34)/100))/(1/Q127))))/100),1)</f>
        <v/>
      </c>
    </row>
    <row r="139">
      <c r="A139" t="inlineStr">
        <is>
          <t>Monster Damage Taken Bonus % (Freezing Breath - Weaken + Elemental Reset + Artifact Enemy Damage Taken, summed)</t>
        </is>
      </c>
      <c r="B139">
        <f>IF(Inputs!$B$3&gt;=118,15*IF(Inputs!$B$38="pvp",MIN((30*(1+(Inputs!$B$34)/100)),15)/15,MIN(1,(30*(1+(Inputs!$B$34)/100))/(1/Q119))),0)+IF(C125=TRUE,F125,0)+(IF(AND(ArtifactsInput!$M$35,Inputs!$B$4&lt;&gt;"Chapter Hunt"),CHOOSE(ArtifactsInput!$N$35+1,15,18,21,24,27,30)*(1-EXP(-(0.2*B142)*5)),0)+IF(AND(ArtifactsInput!$M$22,Inputs!$B$4&lt;&gt;"Chapter Hunt"),CHOOSE(ArtifactsInput!$N$22+1,10,12,14,16,18,20)*((0*(((0.15*B142*5))^0/1)+1*(((0.15*B142*5))^1/1)+2*(((0.15*B142*5))^2/2)+3*(((0.15*B142*5))^3/6)+4*(((0.15*B142*5))^4/24)+5*(((0.15*B142*5))^5/120))/((((0.15*B142*5))^0/1)+(((0.15*B142*5))^1/1)+(((0.15*B142*5))^2/2)+(((0.15*B142*5))^3/6)+(((0.15*B142*5))^4/24)+(((0.15*B142*5))^5/120))),0))</f>
        <v/>
      </c>
    </row>
    <row r="140">
      <c r="A140" t="inlineStr">
        <is>
          <t>Damage % Bonus (Frozen Break + Frost Clutch, flat)</t>
        </is>
      </c>
      <c r="B140">
        <f>IF(Inputs!$B$3&gt;=66,15,0)+IF(Inputs!$B$3&gt;=98,10,0)+IF(Inputs!$B$3&gt;=125,20,0)</f>
        <v/>
      </c>
    </row>
    <row r="141">
      <c r="A141" t="inlineStr">
        <is>
          <t>Attack Speed Bonus % (MP Eater - MP Boost, always-on + Nimble Feet, duty-cycle averaged)</t>
        </is>
      </c>
      <c r="B141">
        <f>IF(C124=TRUE,F124+(F128-Calc!F17),0)+((C135=TRUE)*F135*IF(AND(Inputs!$B$38&lt;&gt;"pvp",Inputs!$B$43&gt;0),(((R135-1)*MIN((Skills!S24*(1+(Inputs!$B$34)/100)),(1/Q135))+MIN((Skills!S24*(1+(Inputs!$B$34)/100)),MAX(0,Inputs!$B$43-((R135-1)*(1/Q135)))))/Inputs!$B$43),IF(Inputs!$B$38="pvp",MIN((Skills!S24*(1+(Inputs!$B$34)/100)),15)/15,MIN(1,(Skills!S24*(1+(Inputs!$B$34)/100))/(1/Q135)))))</f>
        <v/>
      </c>
    </row>
    <row r="142">
      <c r="A142" t="inlineStr">
        <is>
          <t>Actions Per Second</t>
        </is>
      </c>
      <c r="B142">
        <f>1+MIN(150,150*(1-(1-(Inputs!$B$11+(ArtifactsInput!$M$15-ArtifactsInput!$M$15)*CHOOSE(ArtifactsInput!$N$15+1,8,9.6,11.2,12.8,14.4,16))/150)*(1-B141/150)))/100</f>
        <v/>
      </c>
    </row>
    <row r="143">
      <c r="A143" t="inlineStr">
        <is>
          <t>Skill + Buff Cast Rate</t>
        </is>
      </c>
      <c r="B143">
        <f>IF(AND(Inputs!$B$38&lt;&gt;"pvp",Inputs!$B$43&gt;0),SUMPRODUCT((Skills!E2:E24=TRUE)*(C113:C135=TRUE)*R113:R135)/Inputs!$B$43,SUMPRODUCT((Skills!E2:E24=TRUE)*(C113:C135=TRUE)*Q113:Q135))</f>
        <v/>
      </c>
    </row>
    <row r="144">
      <c r="A144" t="inlineStr">
        <is>
          <t>Chain Lightning Casts Per Second</t>
        </is>
      </c>
      <c r="B144">
        <f>MAX(0,B142-B143)</f>
        <v/>
      </c>
    </row>
    <row r="145">
      <c r="A145" t="inlineStr">
        <is>
          <t>Buff-Casting Startup Delay (s, fixed-duration only)</t>
        </is>
      </c>
      <c r="B145">
        <f>IF(AND(Inputs!$B$38&lt;&gt;"pvp",Inputs!$B$43&gt;0),SUMPRODUCT((Skills!S2:S24&gt;0)*(Skills!E2:E24=TRUE)*(C113:C135=TRUE))/B142,0)</f>
        <v/>
      </c>
    </row>
    <row r="146">
      <c r="A146" t="inlineStr">
        <is>
          <t>Boss-Only Total DPS (this block's swept value)</t>
        </is>
      </c>
      <c r="B146">
        <f>SUM(S113:S135)</f>
        <v/>
      </c>
    </row>
    <row r="147">
      <c r="A147" t="inlineStr">
        <is>
          <t>Normal-Only Total DPS (this block's swept value)</t>
        </is>
      </c>
      <c r="B147">
        <f>SUM(U113:U135)</f>
        <v/>
      </c>
    </row>
    <row r="148">
      <c r="A148" s="6" t="inlineStr">
        <is>
          <t>TOTAL DPS</t>
        </is>
      </c>
      <c r="B148" s="6">
        <f>SUM(O113:O135)</f>
        <v/>
      </c>
    </row>
    <row r="149">
      <c r="A149" t="inlineStr">
        <is>
          <t>Blizzard Final Attack trigger rate (this block's own Q/R)</t>
        </is>
      </c>
      <c r="B149">
        <f>IF(AND(Inputs!$B$38&lt;&gt;"pvp",Inputs!$B$43&gt;0),(((C116=TRUE)*R116*1)+((C117=TRUE)*R117*1)+((C119=TRUE)*R119*1)+((C120=TRUE)*R120*3)+((C122=TRUE)*R122*1))/Inputs!$B$43,((C116=TRUE)*Q116*1)+((C117=TRUE)*Q117*1)+((C119=TRUE)*Q119*1)+((C120=TRUE)*Q120*3)+((C122=TRUE)*Q122*1))+B144</f>
        <v/>
      </c>
    </row>
    <row r="152">
      <c r="A152" s="6" t="inlineStr">
        <is>
          <t>Stat: DAMAGE %</t>
        </is>
      </c>
    </row>
    <row r="153">
      <c r="A153" s="5" t="inlineStr">
        <is>
          <t>Key</t>
        </is>
      </c>
      <c r="B153" s="5" t="inlineStr">
        <is>
          <t>Name</t>
        </is>
      </c>
      <c r="C153" s="5" t="inlineStr">
        <is>
          <t>Unlocked</t>
        </is>
      </c>
      <c r="D153" s="5" t="inlineStr">
        <is>
          <t>InputLevel</t>
        </is>
      </c>
      <c r="E153" s="5" t="inlineStr">
        <is>
          <t>Factor</t>
        </is>
      </c>
      <c r="F153" s="5" t="inlineStr">
        <is>
          <t>CoefficientPercent</t>
        </is>
      </c>
      <c r="G153" s="5" t="inlineStr">
        <is>
          <t>EffectiveHits</t>
        </is>
      </c>
      <c r="H153" s="5" t="inlineStr">
        <is>
          <t>ProcProbability</t>
        </is>
      </c>
      <c r="I153" s="5" t="inlineStr">
        <is>
          <t>MapleHeroMultiplier</t>
        </is>
      </c>
      <c r="J153" s="5" t="inlineStr">
        <is>
          <t>BaseDamage</t>
        </is>
      </c>
      <c r="K153" s="5" t="inlineStr">
        <is>
          <t>BaseHitDamage</t>
        </is>
      </c>
      <c r="L153" s="5" t="inlineStr">
        <is>
          <t>NonCritAvg</t>
        </is>
      </c>
      <c r="M153" s="5" t="inlineStr">
        <is>
          <t>CritAvg</t>
        </is>
      </c>
      <c r="N153" s="5" t="inlineStr">
        <is>
          <t>ExpectedDamage(perHit)</t>
        </is>
      </c>
      <c r="O153" s="5" t="inlineStr">
        <is>
          <t>DPS</t>
        </is>
      </c>
      <c r="P153" s="5" t="inlineStr">
        <is>
          <t>% of Total</t>
        </is>
      </c>
      <c r="R153" t="inlineStr">
        <is>
          <t>helpers</t>
        </is>
      </c>
    </row>
    <row r="154">
      <c r="A154">
        <f>Skills!A2</f>
        <v/>
      </c>
      <c r="B154">
        <f>Skills!B2</f>
        <v/>
      </c>
      <c r="C154">
        <f>Inputs!$B$3&gt;=100</f>
        <v/>
      </c>
      <c r="D154" t="inlineStr"/>
      <c r="E154" t="inlineStr"/>
      <c r="F154">
        <f>T156+Skills!N2</f>
        <v/>
      </c>
      <c r="G154">
        <f>Calc!G2</f>
        <v/>
      </c>
      <c r="H154">
        <f>Calc!H2</f>
        <v/>
      </c>
      <c r="I154">
        <f>IF(Skills!T2&lt;&gt;"",1+(Skills!T2/10)*(Z155/1000)/100,1)</f>
        <v/>
      </c>
      <c r="J154">
        <f>((Inputs!$B$6*(1+Inputs!$B$7/100))+(((Inputs!$B$12*(1+Inputs!$B$13/100))-(Inputs!$B$12*(1+Inputs!$B$13/100)))+0.25*(Inputs!$B$14-Inputs!$B$14))*(1+Inputs!$B$7/100))*(F154/100)</f>
        <v/>
      </c>
      <c r="K154">
        <f>J154*(1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2="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f>
        <v/>
      </c>
      <c r="L154">
        <f>K154*(MIN(Inputs!$B$22+(F170-Calc!F18),(Inputs!$B$23+(IF(ArtifactsInput!$M$15,CHOOSE(ArtifactsInput!$N$15+1,25,30,35,40,45,50)/100*(Inputs!$B$11-Inputs!$B$11),0))))/100+(Inputs!$B$23+(IF(ArtifactsInput!$M$15,CHOOSE(ArtifactsInput!$N$15+1,25,30,35,40,45,50)/100*(Inputs!$B$11-Inputs!$B$11),0)))/100)/2</f>
        <v/>
      </c>
      <c r="M154">
        <f>L154*(1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
        <f>L154*(1-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
        <f>(1-Summary!$B$11)*S154+Summary!$B$11*U154</f>
        <v/>
      </c>
      <c r="P154">
        <f>IF(B189=0,0,O154/B189)</f>
        <v/>
      </c>
      <c r="Q154">
        <f>IFERROR(1/(IF(Inputs!$B$38="pvp",15,MAX(0.1,Skills!D2-IF(TRUE=TRUE,Inputs!$B$32,0)))*(1-IF(AND(ArtifactsInput!$M$27,Inputs!$B$4="Chapter Hunt"),CHOOSE(ArtifactsInput!$N$27+1,20,24,28,32,36,40),0)/100)),0)</f>
        <v/>
      </c>
      <c r="R154" t="n">
        <v>0</v>
      </c>
      <c r="S154">
        <f>IF(C154,(Skills!F2*N154*B185)*IF(Inputs!$B$38="pvp",1,1+(Inputs!$B$20+Skills!O2+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154*(1-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4">
        <f>MAX(0,(Inputs!$B$3-100)*3)+Inputs!$B$28+Inputs!$B$29</f>
        <v/>
      </c>
      <c r="U154">
        <f>IF(C154,(Skills!F2*N154*B185)*IF(Inputs!$B$38="pvp",1,(1+(Inputs!$B$21+Skills!P2+B180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4">
        <f>MAX(0,(Inputs!$B$3-100)*3)+Inputs!$B$28+Inputs!$B$29</f>
        <v/>
      </c>
    </row>
    <row r="155">
      <c r="A155">
        <f>Skills!A3</f>
        <v/>
      </c>
      <c r="B155">
        <f>Skills!B3</f>
        <v/>
      </c>
      <c r="C155">
        <f>Inputs!$B$3&gt;=15</f>
        <v/>
      </c>
      <c r="D155">
        <f>IF(Skills!C3=1,60+Inputs!$B$25+Inputs!$B$29,IF(Skills!C3=2,90+Inputs!$B$26+Inputs!$B$29,IF(Skills!C3=3,120+Inputs!$B$27+Inputs!$B$29,MAX(0,(Inputs!$B$3-100)*3)+Inputs!$B$28+Inputs!$B$29)))</f>
        <v/>
      </c>
      <c r="E155">
        <f>INDEX(FactorTable!$B$2:$Y$301, MATCH(ROUND(MIN(300,MAX(1,D155)),0), FactorTable!$A$2:$A$301,0), Skills!L3+1)</f>
        <v/>
      </c>
      <c r="F155">
        <f>IF(Skills!M3=TRUE,(Skills!K3/10)*(E155/1000),Skills!K3/10)+Skills!N3</f>
        <v/>
      </c>
      <c r="G155">
        <f>Calc!G3</f>
        <v/>
      </c>
      <c r="H155">
        <f>Calc!H3</f>
        <v/>
      </c>
      <c r="I155">
        <f>IF(Skills!T3&lt;&gt;"",1+(Skills!T3/10)*(Z155/1000)/100,1)</f>
        <v/>
      </c>
      <c r="J155" t="inlineStr"/>
      <c r="K155" t="inlineStr"/>
      <c r="L155" t="inlineStr"/>
      <c r="M155" t="inlineStr"/>
      <c r="N155" t="inlineStr"/>
      <c r="O155">
        <f>(1-Summary!$B$11)*S155+Summary!$B$11*U155</f>
        <v/>
      </c>
      <c r="P155">
        <f>IF(B189=0,0,O155/B189)</f>
        <v/>
      </c>
      <c r="Q155">
        <f>IFERROR(1/(IF(Inputs!$B$38="pvp",15,MAX(0.1,Skills!D3-IF(TRUE=TRUE,Inputs!$B$32,0)))*(1-IF(AND(ArtifactsInput!$M$27,Inputs!$B$4="Chapter Hunt"),CHOOSE(ArtifactsInput!$N$27+1,20,24,28,32,36,40),0)/100)),0)</f>
        <v/>
      </c>
      <c r="R155">
        <f>IF(AND(Inputs!$B$38&lt;&gt;"pvp",Inputs!$B$43&gt;0),IF(Inputs!$B$43&lt;=0,0,(INT(Inputs!$B$43/(IF(Inputs!$B$38="pvp",15,MAX(0.1,Skills!D3-IF(TRUE=TRUE,Inputs!$B$32,0)))*(1-IF(AND(ArtifactsInput!$M$27,Inputs!$B$4="Chapter Hunt"),CHOOSE(ArtifactsInput!$N$27+1,20,24,28,32,36,40),0)/100)))+1)),0)</f>
        <v/>
      </c>
      <c r="S155" t="n">
        <v>0</v>
      </c>
      <c r="T155">
        <f>INDEX(FactorTable!$B$2:$Y$301, MATCH(ROUND(MIN(300,MAX(1,T154)),0), FactorTable!$A$2:$A$301,0), 22)</f>
        <v/>
      </c>
      <c r="U155" t="n">
        <v>0</v>
      </c>
      <c r="Z155">
        <f>INDEX(FactorTable!$B$2:$Y$301, MATCH(ROUND(MIN(300,MAX(1,Z154)),0), FactorTable!$A$2:$A$301,0), 24)</f>
        <v/>
      </c>
    </row>
    <row r="156">
      <c r="A156">
        <f>Skills!A4</f>
        <v/>
      </c>
      <c r="B156">
        <f>Skills!B4</f>
        <v/>
      </c>
      <c r="C156">
        <f>Inputs!$B$3&gt;=40</f>
        <v/>
      </c>
      <c r="D156">
        <f>IF(Skills!C4=1,60+Inputs!$B$25+Inputs!$B$29,IF(Skills!C4=2,90+Inputs!$B$26+Inputs!$B$29,IF(Skills!C4=3,120+Inputs!$B$27+Inputs!$B$29,MAX(0,(Inputs!$B$3-100)*3)+Inputs!$B$28+Inputs!$B$29)))</f>
        <v/>
      </c>
      <c r="E156">
        <f>INDEX(FactorTable!$B$2:$Y$301, MATCH(ROUND(MIN(300,MAX(1,D156)),0), FactorTable!$A$2:$A$301,0), Skills!L4+1)</f>
        <v/>
      </c>
      <c r="F156">
        <f>IF(Skills!M4=TRUE,(Skills!K4/10)*(E156/1000),Skills!K4/10)+Skills!N4</f>
        <v/>
      </c>
      <c r="G156">
        <f>Calc!G4</f>
        <v/>
      </c>
      <c r="H156">
        <f>Calc!H4</f>
        <v/>
      </c>
      <c r="I156">
        <f>IF(Skills!T4&lt;&gt;"",1+(Skills!T4/10)*(Z155/1000)/100,1)</f>
        <v/>
      </c>
      <c r="J156" t="inlineStr"/>
      <c r="K156" t="inlineStr"/>
      <c r="L156" t="inlineStr"/>
      <c r="M156" t="inlineStr"/>
      <c r="N156" t="inlineStr"/>
      <c r="O156">
        <f>(1-Summary!$B$11)*S156+Summary!$B$11*U156</f>
        <v/>
      </c>
      <c r="P156">
        <f>IF(B189=0,0,O156/B189)</f>
        <v/>
      </c>
      <c r="Q156">
        <f>IFERROR(1/(IF(Inputs!$B$38="pvp",15,MAX(0.1,Skills!D4-IF(TRUE=TRUE,Inputs!$B$32,0)))*(1-IF(AND(ArtifactsInput!$M$27,Inputs!$B$4="Chapter Hunt"),CHOOSE(ArtifactsInput!$N$27+1,20,24,28,32,36,40),0)/100)),0)</f>
        <v/>
      </c>
      <c r="R156">
        <f>IF(AND(Inputs!$B$38&lt;&gt;"pvp",Inputs!$B$43&gt;0),IF(Inputs!$B$43&lt;=0,0,(INT(Inputs!$B$43/(IF(Inputs!$B$38="pvp",15,MAX(0.1,Skills!D4-IF(TRUE=TRUE,Inputs!$B$32,0)))*(1-IF(AND(ArtifactsInput!$M$27,Inputs!$B$4="Chapter Hunt"),CHOOSE(ArtifactsInput!$N$27+1,20,24,28,32,36,40),0)/100)))+1)),0)</f>
        <v/>
      </c>
      <c r="S156" t="n">
        <v>0</v>
      </c>
      <c r="T156">
        <f>290*T155/1000</f>
        <v/>
      </c>
      <c r="U156" t="n">
        <v>0</v>
      </c>
    </row>
    <row r="157">
      <c r="A157">
        <f>Skills!A5</f>
        <v/>
      </c>
      <c r="B157">
        <f>Skills!B5</f>
        <v/>
      </c>
      <c r="C157">
        <f>Inputs!$B$3&gt;=38</f>
        <v/>
      </c>
      <c r="D157">
        <f>IF(Skills!C5=1,60+Inputs!$B$25+Inputs!$B$29,IF(Skills!C5=2,90+Inputs!$B$26+Inputs!$B$29,IF(Skills!C5=3,120+Inputs!$B$27+Inputs!$B$29,MAX(0,(Inputs!$B$3-100)*3)+Inputs!$B$28+Inputs!$B$29)))</f>
        <v/>
      </c>
      <c r="E157">
        <f>INDEX(FactorTable!$B$2:$Y$301, MATCH(ROUND(MIN(300,MAX(1,D157)),0), FactorTable!$A$2:$A$301,0), Skills!L5+1)</f>
        <v/>
      </c>
      <c r="F157">
        <f>IF(Skills!M5=TRUE,(Skills!K5/10)*(E157/1000),Skills!K5/10)+Skills!N5</f>
        <v/>
      </c>
      <c r="G157">
        <f>Calc!G5</f>
        <v/>
      </c>
      <c r="H157">
        <f>Calc!H5</f>
        <v/>
      </c>
      <c r="I157">
        <f>IF(Skills!T5&lt;&gt;"",1+(Skills!T5/10)*(Z155/1000)/100,1)</f>
        <v/>
      </c>
      <c r="J157">
        <f>((Inputs!$B$6*(1+Inputs!$B$7/100))+(((Inputs!$B$12*(1+Inputs!$B$13/100))-(Inputs!$B$12*(1+Inputs!$B$13/100)))+0.25*(Inputs!$B$14-Inputs!$B$14))*(1+Inputs!$B$7/100))*(F157/100)</f>
        <v/>
      </c>
      <c r="K157">
        <f>J157*(1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5="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157)</f>
        <v/>
      </c>
      <c r="L157">
        <f>K157*(MIN(Inputs!$B$22+(F170-Calc!F18),(Inputs!$B$23+(IF(ArtifactsInput!$M$15,CHOOSE(ArtifactsInput!$N$15+1,25,30,35,40,45,50)/100*(Inputs!$B$11-Inputs!$B$11),0))))/100+(Inputs!$B$23+(IF(ArtifactsInput!$M$15,CHOOSE(ArtifactsInput!$N$15+1,25,30,35,40,45,50)/100*(Inputs!$B$11-Inputs!$B$11),0)))/100)/2</f>
        <v/>
      </c>
      <c r="M157">
        <f>L157*(1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7">
        <f>L157*(1-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157*(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7">
        <f>(1-Summary!$B$11)*S157+Summary!$B$11*U157</f>
        <v/>
      </c>
      <c r="P157">
        <f>IF(B189=0,0,O157/B189)</f>
        <v/>
      </c>
      <c r="Q157">
        <f>IFERROR(1/(IF(Inputs!$B$38="pvp",15,MAX(0.1,Skills!D5-IF(TRUE=TRUE,Inputs!$B$32,0)))*(1-IF(AND(ArtifactsInput!$M$27,Inputs!$B$4="Chapter Hunt"),CHOOSE(ArtifactsInput!$N$27+1,20,24,28,32,36,40),0)/100)),0)</f>
        <v/>
      </c>
      <c r="R157">
        <f>IF(AND(Inputs!$B$38&lt;&gt;"pvp",Inputs!$B$43&gt;0),IF(MAX(0,Inputs!$B$43-B186)&lt;=0,0,(INT(MAX(0,Inputs!$B$43-B186)/(IF(Inputs!$B$38="pvp",15,MAX(0.1,Skills!D5-IF(TRUE=TRUE,Inputs!$B$32,0)))*(1-IF(AND(ArtifactsInput!$M$27,Inputs!$B$4="Chapter Hunt"),CHOOSE(ArtifactsInput!$N$27+1,20,24,28,32,36,40),0)/100)))+1)),0)</f>
        <v/>
      </c>
      <c r="S157">
        <f>IF(C157,(H157*N157*IF(AND(Inputs!$B$38&lt;&gt;"pvp",Inputs!$B$43&gt;0),((Skills!F5*((R157-1)*IF(Skills!G5&gt;0,Skills!H5/Skills!G5,1)+IF(Skills!G5&gt;0,MIN(Skills!H5,MAX(0,MAX(0,Inputs!$B$43-B186)-((R157-1)*(IF(Inputs!$B$38="pvp",15,MAX(0.1,Skills!D5-IF(TRUE=TRUE,Inputs!$B$32,0)))*(1-IF(AND(ArtifactsInput!$M$27,Inputs!$B$4="Chapter Hunt"),CHOOSE(ArtifactsInput!$N$27+1,20,24,28,32,36,40),0)/100)))))/Skills!G5,1)))/Inputs!$B$43),G157*Q157))*IF(Inputs!$B$38="pvp",1,1+(Inputs!$B$20+Skills!O5+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157*(1-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157*(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157*(1-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157*(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7">
        <f>IF(C157,(H157*N157*IF(AND(Inputs!$B$38&lt;&gt;"pvp",Inputs!$B$43&gt;0),((Skills!F5*((R157-1)*IF(Skills!G5&gt;0,Skills!H5/Skills!G5,1)+IF(Skills!G5&gt;0,MIN(Skills!H5,MAX(0,MAX(0,Inputs!$B$43-B186)-((R157-1)*(IF(Inputs!$B$38="pvp",15,MAX(0.1,Skills!D5-IF(TRUE=TRUE,Inputs!$B$32,0)))*(1-IF(AND(ArtifactsInput!$M$27,Inputs!$B$4="Chapter Hunt"),CHOOSE(ArtifactsInput!$N$27+1,20,24,28,32,36,40),0)/100)))))/Skills!G5,1)))/Inputs!$B$43),G157*Q157))*IF(Inputs!$B$38="pvp",1,(1+(Inputs!$B$21+Skills!P5+B180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8">
      <c r="A158">
        <f>Skills!A6</f>
        <v/>
      </c>
      <c r="B158">
        <f>Skills!B6</f>
        <v/>
      </c>
      <c r="C158">
        <f>Inputs!$B$3&gt;=63</f>
        <v/>
      </c>
      <c r="D158">
        <f>IF(Skills!C6=1,60+Inputs!$B$25+Inputs!$B$29,IF(Skills!C6=2,90+Inputs!$B$26+Inputs!$B$29,IF(Skills!C6=3,120+Inputs!$B$27+Inputs!$B$29,MAX(0,(Inputs!$B$3-100)*3)+Inputs!$B$28+Inputs!$B$29)))</f>
        <v/>
      </c>
      <c r="E158">
        <f>INDEX(FactorTable!$B$2:$Y$301, MATCH(ROUND(MIN(300,MAX(1,D158)),0), FactorTable!$A$2:$A$301,0), Skills!L6+1)</f>
        <v/>
      </c>
      <c r="F158">
        <f>IF(Skills!M6=TRUE,(Skills!K6/10)*(E158/1000),Skills!K6/10)+Skills!N6</f>
        <v/>
      </c>
      <c r="G158">
        <f>Calc!G6</f>
        <v/>
      </c>
      <c r="H158">
        <f>Calc!H6</f>
        <v/>
      </c>
      <c r="I158">
        <f>IF(Skills!T6&lt;&gt;"",1+(Skills!T6/10)*(Z155/1000)/100,1)</f>
        <v/>
      </c>
      <c r="J158">
        <f>((Inputs!$B$6*(1+Inputs!$B$7/100))+(((Inputs!$B$12*(1+Inputs!$B$13/100))-(Inputs!$B$12*(1+Inputs!$B$13/100)))+0.25*(Inputs!$B$14-Inputs!$B$14))*(1+Inputs!$B$7/100))*(F158/100)</f>
        <v/>
      </c>
      <c r="K158">
        <f>J158*(1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6="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f>
        <v/>
      </c>
      <c r="L158">
        <f>K158*(MIN(Inputs!$B$22+(F170-Calc!F18),(Inputs!$B$23+(IF(ArtifactsInput!$M$15,CHOOSE(ArtifactsInput!$N$15+1,25,30,35,40,45,50)/100*(Inputs!$B$11-Inputs!$B$11),0))))/100+(Inputs!$B$23+(IF(ArtifactsInput!$M$15,CHOOSE(ArtifactsInput!$N$15+1,25,30,35,40,45,50)/100*(Inputs!$B$11-Inputs!$B$11),0)))/100)/2</f>
        <v/>
      </c>
      <c r="M158">
        <f>L158*(1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
        <f>L158*(1-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
        <f>(1-Summary!$B$11)*S158+Summary!$B$11*U158</f>
        <v/>
      </c>
      <c r="P158">
        <f>IF(B189=0,0,O158/B189)</f>
        <v/>
      </c>
      <c r="Q158">
        <f>IFERROR(1/(IF(Inputs!$B$38="pvp",15,MAX(0.1,Skills!D6-IF(TRUE=TRUE,Inputs!$B$32,0)))*(1-IF(AND(ArtifactsInput!$M$27,Inputs!$B$4="Chapter Hunt"),CHOOSE(ArtifactsInput!$N$27+1,20,24,28,32,36,40),0)/100)),0)</f>
        <v/>
      </c>
      <c r="R158">
        <f>IF(AND(Inputs!$B$38&lt;&gt;"pvp",Inputs!$B$43&gt;0),IF(MAX(0,Inputs!$B$43-B186)&lt;=0,0,(INT(MAX(0,Inputs!$B$43-B186)/(IF(Inputs!$B$38="pvp",15,MAX(0.1,Skills!D6-IF(TRUE=TRUE,Inputs!$B$32,0)))*(1-IF(AND(ArtifactsInput!$M$27,Inputs!$B$4="Chapter Hunt"),CHOOSE(ArtifactsInput!$N$27+1,20,24,28,32,36,40),0)/100)))+1)),0)</f>
        <v/>
      </c>
      <c r="S158">
        <f>IF(C158,(H158*N158*IF(AND(Inputs!$B$38&lt;&gt;"pvp",Inputs!$B$43&gt;0),((Skills!F6*((R158-1)*IF(Skills!G6&gt;0,Skills!H6/Skills!G6,1)+IF(Skills!G6&gt;0,MIN(Skills!H6,MAX(0,MAX(0,Inputs!$B$43-B186)-((R158-1)*(IF(Inputs!$B$38="pvp",15,MAX(0.1,Skills!D6-IF(TRUE=TRUE,Inputs!$B$32,0)))*(1-IF(AND(ArtifactsInput!$M$27,Inputs!$B$4="Chapter Hunt"),CHOOSE(ArtifactsInput!$N$27+1,20,24,28,32,36,40),0)/100)))))/Skills!G6,1)))/Inputs!$B$43),G158*Q158))*IF(Inputs!$B$38="pvp",1,1+(Inputs!$B$20+Skills!O6+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158*(1-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8">
        <f>IF(C158,(H158*N158*IF(AND(Inputs!$B$38&lt;&gt;"pvp",Inputs!$B$43&gt;0),((Skills!F6*((R158-1)*IF(Skills!G6&gt;0,Skills!H6/Skills!G6,1)+IF(Skills!G6&gt;0,MIN(Skills!H6,MAX(0,MAX(0,Inputs!$B$43-B186)-((R158-1)*(IF(Inputs!$B$38="pvp",15,MAX(0.1,Skills!D6-IF(TRUE=TRUE,Inputs!$B$32,0)))*(1-IF(AND(ArtifactsInput!$M$27,Inputs!$B$4="Chapter Hunt"),CHOOSE(ArtifactsInput!$N$27+1,20,24,28,32,36,40),0)/100)))))/Skills!G6,1)))/Inputs!$B$43),G158*Q158))*IF(Inputs!$B$38="pvp",1,(1+(Inputs!$B$21+Skills!P6+B180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
      <c r="A159">
        <f>Skills!A7</f>
        <v/>
      </c>
      <c r="B159">
        <f>Skills!B7</f>
        <v/>
      </c>
      <c r="C159">
        <f>Inputs!$B$3&gt;=69</f>
        <v/>
      </c>
      <c r="D159">
        <f>IF(Skills!C7=1,60+Inputs!$B$25+Inputs!$B$29,IF(Skills!C7=2,90+Inputs!$B$26+Inputs!$B$29,IF(Skills!C7=3,120+Inputs!$B$27+Inputs!$B$29,MAX(0,(Inputs!$B$3-100)*3)+Inputs!$B$28+Inputs!$B$29)))</f>
        <v/>
      </c>
      <c r="E159">
        <f>INDEX(FactorTable!$B$2:$Y$301, MATCH(ROUND(MIN(300,MAX(1,D159)),0), FactorTable!$A$2:$A$301,0), Skills!L7+1)</f>
        <v/>
      </c>
      <c r="F159">
        <f>IF(Skills!M7=TRUE,(Skills!K7/10)*(E159/1000),Skills!K7/10)+Skills!N7</f>
        <v/>
      </c>
      <c r="G159">
        <f>Calc!G7</f>
        <v/>
      </c>
      <c r="H159">
        <f>Calc!H7</f>
        <v/>
      </c>
      <c r="I159">
        <f>IF(Skills!T7&lt;&gt;"",1+(Skills!T7/10)*(Z155/1000)/100,1)</f>
        <v/>
      </c>
      <c r="J159">
        <f>((Inputs!$B$6*(1+Inputs!$B$7/100))+(((Inputs!$B$12*(1+Inputs!$B$13/100))-(Inputs!$B$12*(1+Inputs!$B$13/100)))+0.25*(Inputs!$B$14-Inputs!$B$14))*(1+Inputs!$B$7/100))*(F159/100)</f>
        <v/>
      </c>
      <c r="K159">
        <f>J159*(1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7="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f>
        <v/>
      </c>
      <c r="L159">
        <f>K159*(MIN(Inputs!$B$22+(F170-Calc!F18),(Inputs!$B$23+(IF(ArtifactsInput!$M$15,CHOOSE(ArtifactsInput!$N$15+1,25,30,35,40,45,50)/100*(Inputs!$B$11-Inputs!$B$11),0))))/100+(Inputs!$B$23+(IF(ArtifactsInput!$M$15,CHOOSE(ArtifactsInput!$N$15+1,25,30,35,40,45,50)/100*(Inputs!$B$11-Inputs!$B$11),0)))/100)/2</f>
        <v/>
      </c>
      <c r="M159">
        <f>L159*(1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
        <f>L159*(1-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
        <f>(1-Summary!$B$11)*S159+Summary!$B$11*U159</f>
        <v/>
      </c>
      <c r="P159">
        <f>IF(B189=0,0,O159/B189)</f>
        <v/>
      </c>
      <c r="Q159">
        <f>IFERROR(1/(IF(Inputs!$B$38="pvp",15,MAX(0.1,Skills!D7-IF(TRUE=TRUE,Inputs!$B$32,0)))*(1-IF(AND(ArtifactsInput!$M$27,Inputs!$B$4="Chapter Hunt"),CHOOSE(ArtifactsInput!$N$27+1,20,24,28,32,36,40),0)/100)),0)</f>
        <v/>
      </c>
      <c r="R159">
        <f>IF(AND(Inputs!$B$38&lt;&gt;"pvp",Inputs!$B$43&gt;0),IF(MAX(0,Inputs!$B$43-B186)&lt;=0,0,(INT(MAX(0,Inputs!$B$43-B186)/(IF(Inputs!$B$38="pvp",15,MAX(0.1,Skills!D7-IF(TRUE=TRUE,Inputs!$B$32,0)))*(1-IF(AND(ArtifactsInput!$M$27,Inputs!$B$4="Chapter Hunt"),CHOOSE(ArtifactsInput!$N$27+1,20,24,28,32,36,40),0)/100)))+1)),0)</f>
        <v/>
      </c>
      <c r="S159">
        <f>IF(C159,(H159*N159*IF(AND(Inputs!$B$38&lt;&gt;"pvp",Inputs!$B$43&gt;0),((Skills!F7*((R159-1)*IF(Skills!G7&gt;0,Skills!H7/Skills!G7,1)+IF(Skills!G7&gt;0,MIN(Skills!H7,MAX(0,MAX(0,Inputs!$B$43-B186)-((R159-1)*(IF(Inputs!$B$38="pvp",15,MAX(0.1,Skills!D7-IF(TRUE=TRUE,Inputs!$B$32,0)))*(1-IF(AND(ArtifactsInput!$M$27,Inputs!$B$4="Chapter Hunt"),CHOOSE(ArtifactsInput!$N$27+1,20,24,28,32,36,40),0)/100)))))/Skills!G7,1)))/Inputs!$B$43),G159*Q159))*IF(Inputs!$B$38="pvp",1,1+(Inputs!$B$20+Skills!O7+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
        <f>IF(C159,(H159*N159*IF(AND(Inputs!$B$38&lt;&gt;"pvp",Inputs!$B$43&gt;0),((Skills!F7*((R159-1)*IF(Skills!G7&gt;0,Skills!H7/Skills!G7,1)+IF(Skills!G7&gt;0,MIN(Skills!H7,MAX(0,MAX(0,Inputs!$B$43-B186)-((R159-1)*(IF(Inputs!$B$38="pvp",15,MAX(0.1,Skills!D7-IF(TRUE=TRUE,Inputs!$B$32,0)))*(1-IF(AND(ArtifactsInput!$M$27,Inputs!$B$4="Chapter Hunt"),CHOOSE(ArtifactsInput!$N$27+1,20,24,28,32,36,40),0)/100)))))/Skills!G7,1)))/Inputs!$B$43),G159*Q159))*IF(Inputs!$B$38="pvp",1,(1+(Inputs!$B$21+Skills!P7+B180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
      <c r="A160">
        <f>Skills!A8</f>
        <v/>
      </c>
      <c r="B160">
        <f>Skills!B8</f>
        <v/>
      </c>
      <c r="C160">
        <f>Inputs!$B$3&gt;=103</f>
        <v/>
      </c>
      <c r="D160">
        <f>IF(Skills!C8=1,60+Inputs!$B$25+Inputs!$B$29,IF(Skills!C8=2,90+Inputs!$B$26+Inputs!$B$29,IF(Skills!C8=3,120+Inputs!$B$27+Inputs!$B$29,MAX(0,(Inputs!$B$3-100)*3)+Inputs!$B$28+Inputs!$B$29)))</f>
        <v/>
      </c>
      <c r="E160">
        <f>INDEX(FactorTable!$B$2:$Y$301, MATCH(ROUND(MIN(300,MAX(1,D160)),0), FactorTable!$A$2:$A$301,0), Skills!L8+1)</f>
        <v/>
      </c>
      <c r="F160">
        <f>IF(Skills!M8=TRUE,(Skills!K8/10)*(E160/1000),Skills!K8/10)+Skills!N8</f>
        <v/>
      </c>
      <c r="G160">
        <f>Calc!G8</f>
        <v/>
      </c>
      <c r="H160">
        <f>Calc!H8</f>
        <v/>
      </c>
      <c r="I160">
        <f>IF(Skills!T8&lt;&gt;"",1+(Skills!T8/10)*(Z155/1000)/100,1)</f>
        <v/>
      </c>
      <c r="J160">
        <f>((Inputs!$B$6*(1+Inputs!$B$7/100))+(((Inputs!$B$12*(1+Inputs!$B$13/100))-(Inputs!$B$12*(1+Inputs!$B$13/100)))+0.25*(Inputs!$B$14-Inputs!$B$14))*(1+Inputs!$B$7/100))*(F160/100)</f>
        <v/>
      </c>
      <c r="K160">
        <f>J160*(1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8="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f>
        <v/>
      </c>
      <c r="L160">
        <f>K160*(MIN(Inputs!$B$22+(F170-Calc!F18),(Inputs!$B$23+(IF(ArtifactsInput!$M$15,CHOOSE(ArtifactsInput!$N$15+1,25,30,35,40,45,50)/100*(Inputs!$B$11-Inputs!$B$11),0))))/100+(Inputs!$B$23+(IF(ArtifactsInput!$M$15,CHOOSE(ArtifactsInput!$N$15+1,25,30,35,40,45,50)/100*(Inputs!$B$11-Inputs!$B$11),0)))/100)/2</f>
        <v/>
      </c>
      <c r="M160">
        <f>L160*(1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
        <f>L160*(1-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
        <f>(1-Summary!$B$11)*S160+Summary!$B$11*U160</f>
        <v/>
      </c>
      <c r="P160">
        <f>IF(B189=0,0,O160/B189)</f>
        <v/>
      </c>
      <c r="Q160">
        <f>IFERROR(1/(IF(Inputs!$B$38="pvp",15,MAX(0.1,Skills!D8-IF(TRUE=TRUE,Inputs!$B$32,0)))*(1-IF(AND(ArtifactsInput!$M$27,Inputs!$B$4="Chapter Hunt"),CHOOSE(ArtifactsInput!$N$27+1,20,24,28,32,36,40),0)/100)),0)</f>
        <v/>
      </c>
      <c r="R160">
        <f>IF(AND(Inputs!$B$38&lt;&gt;"pvp",Inputs!$B$43&gt;0),IF(MAX(0,Inputs!$B$43-B186)&lt;=0,0,(INT(MAX(0,Inputs!$B$43-B186)/(IF(Inputs!$B$38="pvp",15,MAX(0.1,Skills!D8-IF(TRUE=TRUE,Inputs!$B$32,0)))*(1-IF(AND(ArtifactsInput!$M$27,Inputs!$B$4="Chapter Hunt"),CHOOSE(ArtifactsInput!$N$27+1,20,24,28,32,36,40),0)/100)))+1)),0)</f>
        <v/>
      </c>
      <c r="S160">
        <f>IF(C160,(H160*N160*IF(AND(Inputs!$B$38&lt;&gt;"pvp",Inputs!$B$43&gt;0),((Skills!F8*((R160-1)*IF(Skills!G8&gt;0,Skills!H8/Skills!G8,1)+IF(Skills!G8&gt;0,MIN(Skills!H8,MAX(0,MAX(0,Inputs!$B$43-B186)-((R160-1)*(IF(Inputs!$B$38="pvp",15,MAX(0.1,Skills!D8-IF(TRUE=TRUE,Inputs!$B$32,0)))*(1-IF(AND(ArtifactsInput!$M$27,Inputs!$B$4="Chapter Hunt"),CHOOSE(ArtifactsInput!$N$27+1,20,24,28,32,36,40),0)/100)))))/Skills!G8,1)))/Inputs!$B$43),G160*Q160))*IF(Inputs!$B$38="pvp",1,1+(Inputs!$B$20+Skills!O8+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160*(1-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0">
        <f>IF(C160,(H160*N160*IF(AND(Inputs!$B$38&lt;&gt;"pvp",Inputs!$B$43&gt;0),((Skills!F8*((R160-1)*IF(Skills!G8&gt;0,Skills!H8/Skills!G8,1)+IF(Skills!G8&gt;0,MIN(Skills!H8,MAX(0,MAX(0,Inputs!$B$43-B186)-((R160-1)*(IF(Inputs!$B$38="pvp",15,MAX(0.1,Skills!D8-IF(TRUE=TRUE,Inputs!$B$32,0)))*(1-IF(AND(ArtifactsInput!$M$27,Inputs!$B$4="Chapter Hunt"),CHOOSE(ArtifactsInput!$N$27+1,20,24,28,32,36,40),0)/100)))))/Skills!G8,1)))/Inputs!$B$43),G160*Q160))*IF(Inputs!$B$38="pvp",1,(1+(Inputs!$B$21+Skills!P8+B180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
      <c r="A161">
        <f>Skills!A9</f>
        <v/>
      </c>
      <c r="B161">
        <f>Skills!B9</f>
        <v/>
      </c>
      <c r="C161">
        <f>Inputs!$B$3&gt;=105</f>
        <v/>
      </c>
      <c r="D161">
        <f>IF(Skills!C9=1,60+Inputs!$B$25+Inputs!$B$29,IF(Skills!C9=2,90+Inputs!$B$26+Inputs!$B$29,IF(Skills!C9=3,120+Inputs!$B$27+Inputs!$B$29,MAX(0,(Inputs!$B$3-100)*3)+Inputs!$B$28+Inputs!$B$29)))</f>
        <v/>
      </c>
      <c r="E161">
        <f>INDEX(FactorTable!$B$2:$Y$301, MATCH(ROUND(MIN(300,MAX(1,D161)),0), FactorTable!$A$2:$A$301,0), Skills!L9+1)</f>
        <v/>
      </c>
      <c r="F161">
        <f>IF(Skills!M9=TRUE,(Skills!K9/10)*(E161/1000),Skills!K9/10)+Skills!N9</f>
        <v/>
      </c>
      <c r="G161">
        <f>Calc!G9</f>
        <v/>
      </c>
      <c r="H161">
        <f>Calc!H9</f>
        <v/>
      </c>
      <c r="I161">
        <f>IF(Skills!T9&lt;&gt;"",1+(Skills!T9/10)*(Z155/1000)/100,1)</f>
        <v/>
      </c>
      <c r="J161">
        <f>((Inputs!$B$6*(1+Inputs!$B$7/100))+(((Inputs!$B$12*(1+Inputs!$B$13/100))-(Inputs!$B$12*(1+Inputs!$B$13/100)))+0.25*(Inputs!$B$14-Inputs!$B$14))*(1+Inputs!$B$7/100))*(F161/100)</f>
        <v/>
      </c>
      <c r="K161">
        <f>J161*(1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9="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f>
        <v/>
      </c>
      <c r="L161">
        <f>K161*(MIN(Inputs!$B$22+(F170-Calc!F18),(Inputs!$B$23+(IF(ArtifactsInput!$M$15,CHOOSE(ArtifactsInput!$N$15+1,25,30,35,40,45,50)/100*(Inputs!$B$11-Inputs!$B$11),0))))/100+(Inputs!$B$23+(IF(ArtifactsInput!$M$15,CHOOSE(ArtifactsInput!$N$15+1,25,30,35,40,45,50)/100*(Inputs!$B$11-Inputs!$B$11),0)))/100)/2</f>
        <v/>
      </c>
      <c r="M161">
        <f>L161*(1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
        <f>L161*(1-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
        <f>(1-Summary!$B$11)*S161+Summary!$B$11*U161</f>
        <v/>
      </c>
      <c r="P161">
        <f>IF(B189=0,0,O161/B189)</f>
        <v/>
      </c>
      <c r="Q161">
        <f>IFERROR(1/(IF(Inputs!$B$38="pvp",15,MAX(0.1,Skills!D9-IF(TRUE=TRUE,Inputs!$B$32,0)))*(1-IF(AND(ArtifactsInput!$M$27,Inputs!$B$4="Chapter Hunt"),CHOOSE(ArtifactsInput!$N$27+1,20,24,28,32,36,40),0)/100)),0)</f>
        <v/>
      </c>
      <c r="R161">
        <f>IF(AND(Inputs!$B$38&lt;&gt;"pvp",Inputs!$B$43&gt;0),IF(MAX(0,Inputs!$B$43-B186)&lt;=0,0,(INT(MAX(0,Inputs!$B$43-B186)/(IF(Inputs!$B$38="pvp",15,MAX(0.1,Skills!D9-IF(TRUE=TRUE,Inputs!$B$32,0)))*(1-IF(AND(ArtifactsInput!$M$27,Inputs!$B$4="Chapter Hunt"),CHOOSE(ArtifactsInput!$N$27+1,20,24,28,32,36,40),0)/100)))+1)),0)</f>
        <v/>
      </c>
      <c r="S161">
        <f>IF(C161,(H161*N161*IF(AND(Inputs!$B$38&lt;&gt;"pvp",Inputs!$B$43&gt;0),((Skills!F9*((R161-1)*IF(Skills!G9&gt;0,Skills!H9/Skills!G9,1)+IF(Skills!G9&gt;0,MIN(Skills!H9,MAX(0,MAX(0,Inputs!$B$43-B186)-((R161-1)*(IF(Inputs!$B$38="pvp",15,MAX(0.1,Skills!D9-IF(TRUE=TRUE,Inputs!$B$32,0)))*(1-IF(AND(ArtifactsInput!$M$27,Inputs!$B$4="Chapter Hunt"),CHOOSE(ArtifactsInput!$N$27+1,20,24,28,32,36,40),0)/100)))))/Skills!G9,1)))/Inputs!$B$43),G161*Q161))*IF(Inputs!$B$38="pvp",1,1+(Inputs!$B$20+Skills!O9+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161*(1-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1">
        <f>IF(C161,(H161*N161*IF(AND(Inputs!$B$38&lt;&gt;"pvp",Inputs!$B$43&gt;0),((Skills!F9*((R161-1)*IF(Skills!G9&gt;0,Skills!H9/Skills!G9,1)+IF(Skills!G9&gt;0,MIN(Skills!H9,MAX(0,MAX(0,Inputs!$B$43-B186)-((R161-1)*(IF(Inputs!$B$38="pvp",15,MAX(0.1,Skills!D9-IF(TRUE=TRUE,Inputs!$B$32,0)))*(1-IF(AND(ArtifactsInput!$M$27,Inputs!$B$4="Chapter Hunt"),CHOOSE(ArtifactsInput!$N$27+1,20,24,28,32,36,40),0)/100)))))/Skills!G9,1)))/Inputs!$B$43),G161*Q161))*IF(Inputs!$B$38="pvp",1,(1+(Inputs!$B$21+Skills!P9+B180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2">
      <c r="A162">
        <f>Skills!A10</f>
        <v/>
      </c>
      <c r="B162">
        <f>Skills!B10</f>
        <v/>
      </c>
      <c r="C162">
        <f>Inputs!$B$3&gt;=113</f>
        <v/>
      </c>
      <c r="D162">
        <f>IF(Skills!C10=1,60+Inputs!$B$25+Inputs!$B$29,IF(Skills!C10=2,90+Inputs!$B$26+Inputs!$B$29,IF(Skills!C10=3,120+Inputs!$B$27+Inputs!$B$29,MAX(0,(Inputs!$B$3-100)*3)+Inputs!$B$28+Inputs!$B$29)))</f>
        <v/>
      </c>
      <c r="E162">
        <f>INDEX(FactorTable!$B$2:$Y$301, MATCH(ROUND(MIN(300,MAX(1,D162)),0), FactorTable!$A$2:$A$301,0), Skills!L10+1)</f>
        <v/>
      </c>
      <c r="F162">
        <f>IF(Skills!M10=TRUE,(Skills!K10/10)*(E162/1000),Skills!K10/10)+Skills!N10</f>
        <v/>
      </c>
      <c r="G162">
        <f>Calc!G10</f>
        <v/>
      </c>
      <c r="H162">
        <f>Calc!H10</f>
        <v/>
      </c>
      <c r="I162">
        <f>IF(Skills!T10&lt;&gt;"",1+(Skills!T10/10)*(Z155/1000)/100,1)</f>
        <v/>
      </c>
      <c r="J162">
        <f>((Inputs!$B$6*(1+Inputs!$B$7/100))+(((Inputs!$B$12*(1+Inputs!$B$13/100))-(Inputs!$B$12*(1+Inputs!$B$13/100)))+0.25*(Inputs!$B$14-Inputs!$B$14))*(1+Inputs!$B$7/100))*(F162/100)</f>
        <v/>
      </c>
      <c r="K162">
        <f>J162*(1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10="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162)</f>
        <v/>
      </c>
      <c r="L162">
        <f>K162*(MIN(Inputs!$B$22+(F170-Calc!F18),(Inputs!$B$23+(IF(ArtifactsInput!$M$15,CHOOSE(ArtifactsInput!$N$15+1,25,30,35,40,45,50)/100*(Inputs!$B$11-Inputs!$B$11),0))))/100+(Inputs!$B$23+(IF(ArtifactsInput!$M$15,CHOOSE(ArtifactsInput!$N$15+1,25,30,35,40,45,50)/100*(Inputs!$B$11-Inputs!$B$11),0)))/100)/2</f>
        <v/>
      </c>
      <c r="M162">
        <f>L162*(1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2">
        <f>L162*(1-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162*(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2">
        <f>(1-Summary!$B$11)*S162+Summary!$B$11*U162</f>
        <v/>
      </c>
      <c r="P162">
        <f>IF(B189=0,0,O162/B189)</f>
        <v/>
      </c>
      <c r="Q162">
        <f>IFERROR(1/(IF(Inputs!$B$38="pvp",15,MAX(0.1,Skills!D10-IF(TRUE=TRUE,Inputs!$B$32,0)))*(1-IF(AND(ArtifactsInput!$M$27,Inputs!$B$4="Chapter Hunt"),CHOOSE(ArtifactsInput!$N$27+1,20,24,28,32,36,40),0)/100)),0)</f>
        <v/>
      </c>
      <c r="R162" t="n">
        <v>0</v>
      </c>
      <c r="S162">
        <f>IF(C162,((H162*B190)/(1+Skills!G10*H162*B190)*N162)*IF(Inputs!$B$38="pvp",1,1+(Inputs!$B$20+Skills!O10+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162*(1-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162*(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162*(1-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162*(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2">
        <f>IF(C162,((H162*B190)/(1+Skills!G10*H162*B190)*N162)*IF(Inputs!$B$38="pvp",1,(1+(Inputs!$B$21+Skills!P10+B180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
      <c r="A163">
        <f>Skills!A11</f>
        <v/>
      </c>
      <c r="B163">
        <f>Skills!B11</f>
        <v/>
      </c>
      <c r="C163">
        <f>Inputs!$B$3&gt;=107</f>
        <v/>
      </c>
      <c r="D163">
        <f>IF(Skills!C11=1,60+Inputs!$B$25+Inputs!$B$29,IF(Skills!C11=2,90+Inputs!$B$26+Inputs!$B$29,IF(Skills!C11=3,120+Inputs!$B$27+Inputs!$B$29,MAX(0,(Inputs!$B$3-100)*3)+Inputs!$B$28+Inputs!$B$29)))</f>
        <v/>
      </c>
      <c r="E163">
        <f>INDEX(FactorTable!$B$2:$Y$301, MATCH(ROUND(MIN(300,MAX(1,D163)),0), FactorTable!$A$2:$A$301,0), Skills!L11+1)</f>
        <v/>
      </c>
      <c r="F163">
        <f>IF(Skills!M11=TRUE,(Skills!K11/10)*(E163/1000),Skills!K11/10)+Skills!N11</f>
        <v/>
      </c>
      <c r="G163">
        <f>Calc!G11</f>
        <v/>
      </c>
      <c r="H163">
        <f>Calc!H11</f>
        <v/>
      </c>
      <c r="I163">
        <f>IF(Skills!T11&lt;&gt;"",1+(Skills!T11/10)*(Z155/1000)/100,1)</f>
        <v/>
      </c>
      <c r="J163">
        <f>((Inputs!$B$6*(1+Inputs!$B$7/100))+(((Inputs!$B$12*(1+Inputs!$B$13/100))-(Inputs!$B$12*(1+Inputs!$B$13/100)))+0.25*(Inputs!$B$14-Inputs!$B$14))*(1+Inputs!$B$7/100))*(F163/100)</f>
        <v/>
      </c>
      <c r="K163">
        <f>J163*(1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11="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f>
        <v/>
      </c>
      <c r="L163">
        <f>K163*(MIN(Inputs!$B$22+(F170-Calc!F18),(Inputs!$B$23+(IF(ArtifactsInput!$M$15,CHOOSE(ArtifactsInput!$N$15+1,25,30,35,40,45,50)/100*(Inputs!$B$11-Inputs!$B$11),0))))/100+(Inputs!$B$23+(IF(ArtifactsInput!$M$15,CHOOSE(ArtifactsInput!$N$15+1,25,30,35,40,45,50)/100*(Inputs!$B$11-Inputs!$B$11),0)))/100)/2</f>
        <v/>
      </c>
      <c r="M163">
        <f>L163*(1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
        <f>L163*(1-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
        <f>(1-Summary!$B$11)*S163+Summary!$B$11*U163</f>
        <v/>
      </c>
      <c r="P163">
        <f>IF(B189=0,0,O163/B189)</f>
        <v/>
      </c>
      <c r="Q163">
        <f>IFERROR(1/(IF(Inputs!$B$38="pvp",15,MAX(0.1,Skills!D11-IF(TRUE=TRUE,Inputs!$B$32,0)))*(1-IF(AND(ArtifactsInput!$M$27,Inputs!$B$4="Chapter Hunt"),CHOOSE(ArtifactsInput!$N$27+1,20,24,28,32,36,40),0)/100)),0)</f>
        <v/>
      </c>
      <c r="R163">
        <f>IF(AND(Inputs!$B$38&lt;&gt;"pvp",Inputs!$B$43&gt;0),IF(MAX(0,Inputs!$B$43-B186)&lt;=0,0,(INT(MAX(0,Inputs!$B$43-B186)/(IF(Inputs!$B$38="pvp",15,MAX(0.1,Skills!D11-IF(TRUE=TRUE,Inputs!$B$32,0)))*(1-IF(AND(ArtifactsInput!$M$27,Inputs!$B$4="Chapter Hunt"),CHOOSE(ArtifactsInput!$N$27+1,20,24,28,32,36,40),0)/100)))+1)),0)</f>
        <v/>
      </c>
      <c r="S163">
        <f>IF(C163,H163*N163*IF(AND(Inputs!$B$38&lt;&gt;"pvp",Inputs!$B$43&gt;0),((Skills!F11*((R163-1)*IF(Skills!G11&gt;0,Skills!H11/Skills!G11,1)+IF(Skills!G11&gt;0,MIN(Skills!H11,MAX(0,MAX(0,Inputs!$B$43-B186)-((R163-1)*(IF(Inputs!$B$38="pvp",15,MAX(0.1,Skills!D11-IF(TRUE=TRUE,Inputs!$B$32,0)))*(1-IF(AND(ArtifactsInput!$M$27,Inputs!$B$4="Chapter Hunt"),CHOOSE(ArtifactsInput!$N$27+1,20,24,28,32,36,40),0)/100)))))/Skills!G11,1)))/Inputs!$B$43),G163*Q163)*0.5*IF(Inputs!$B$38="pvp",1,1+(Inputs!$B$20+Skills!O11+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
        <f>IF(C163,H163*N163*IF(AND(Inputs!$B$38&lt;&gt;"pvp",Inputs!$B$43&gt;0),((Skills!F11*((R163-1)*IF(Skills!G11&gt;0,Skills!H11/Skills!G11,1)+IF(Skills!G11&gt;0,MIN(Skills!H11,MAX(0,MAX(0,Inputs!$B$43-B186)-((R163-1)*(IF(Inputs!$B$38="pvp",15,MAX(0.1,Skills!D11-IF(TRUE=TRUE,Inputs!$B$32,0)))*(1-IF(AND(ArtifactsInput!$M$27,Inputs!$B$4="Chapter Hunt"),CHOOSE(ArtifactsInput!$N$27+1,20,24,28,32,36,40),0)/100)))))/Skills!G11,1)))/Inputs!$B$43),G163*Q163)*1*IF(Inputs!$B$38="pvp",1,(1+(Inputs!$B$21+Skills!P11+B180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
      <c r="A164">
        <f>Skills!A12</f>
        <v/>
      </c>
      <c r="B164">
        <f>Skills!B12</f>
        <v/>
      </c>
      <c r="C164">
        <f>Inputs!$B$3&gt;=115</f>
        <v/>
      </c>
      <c r="D164">
        <f>IF(Skills!C12=1,60+Inputs!$B$25+Inputs!$B$29,IF(Skills!C12=2,90+Inputs!$B$26+Inputs!$B$29,IF(Skills!C12=3,120+Inputs!$B$27+Inputs!$B$29,MAX(0,(Inputs!$B$3-100)*3)+Inputs!$B$28+Inputs!$B$29)))</f>
        <v/>
      </c>
      <c r="E164">
        <f>INDEX(FactorTable!$B$2:$Y$301, MATCH(ROUND(MIN(300,MAX(1,D164)),0), FactorTable!$A$2:$A$301,0), Skills!L12+1)</f>
        <v/>
      </c>
      <c r="F164">
        <f>IF(Skills!M12=TRUE,(Skills!K12/10)*(E164/1000),Skills!K12/10)+Skills!N12</f>
        <v/>
      </c>
      <c r="G164">
        <f>Calc!G12</f>
        <v/>
      </c>
      <c r="H164">
        <f>Calc!H12</f>
        <v/>
      </c>
      <c r="I164">
        <f>IF(Skills!T12&lt;&gt;"",1+(Skills!T12/10)*(Z155/1000)/100,1)</f>
        <v/>
      </c>
      <c r="J164">
        <f>((Inputs!$B$6*(1+Inputs!$B$7/100))+(((Inputs!$B$12*(1+Inputs!$B$13/100))-(Inputs!$B$12*(1+Inputs!$B$13/100)))+0.25*(Inputs!$B$14-Inputs!$B$14))*(1+Inputs!$B$7/100))*(F164/100)</f>
        <v/>
      </c>
      <c r="K164">
        <f>J164*(1+((Inputs!$B$12*(1+Inputs!$B$13/100))*0.01+Inputs!$B$14*0.0025)/100)*(1+((Inputs!$B$15+1)+B181)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167=TRUE,F167,0)/100)*(1+IF(C175=TRUE,F175,0)/100)^5*(1+(IF(Skills!A12="CHAIN_LIGHTNING",Inputs!$B$17+((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f>
        <v/>
      </c>
      <c r="L164">
        <f>K164*(MIN(Inputs!$B$22+(F170-Calc!F18),(Inputs!$B$23+(IF(ArtifactsInput!$M$15,CHOOSE(ArtifactsInput!$N$15+1,25,30,35,40,45,50)/100*(Inputs!$B$11-Inputs!$B$11),0))))/100+(Inputs!$B$23+(IF(ArtifactsInput!$M$15,CHOOSE(ArtifactsInput!$N$15+1,25,30,35,40,45,50)/100*(Inputs!$B$11-Inputs!$B$11),0)))/100)/2</f>
        <v/>
      </c>
      <c r="M164">
        <f>L164*(1+(Inputs!$B$10+(F173-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
        <f>L164*(1-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MIN((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
        <f>(1-Summary!$B$11)*S164+Summary!$B$11*U164</f>
        <v/>
      </c>
      <c r="P164">
        <f>IF(B189=0,0,O164/B189)</f>
        <v/>
      </c>
      <c r="Q164">
        <f>IFERROR(1/(IF(Inputs!$B$38="pvp",15,MAX(0.1,Skills!D12-IF(TRUE=TRUE,Inputs!$B$32,0)))*(1-IF(AND(ArtifactsInput!$M$27,Inputs!$B$4="Chapter Hunt"),CHOOSE(ArtifactsInput!$N$27+1,20,24,28,32,36,40),0)/100)),0)</f>
        <v/>
      </c>
      <c r="R164">
        <f>IF(AND(Inputs!$B$38&lt;&gt;"pvp",Inputs!$B$43&gt;0),IF(MAX(0,Inputs!$B$43-B186)&lt;=0,0,(INT(MAX(0,Inputs!$B$43-B186)/(IF(Inputs!$B$38="pvp",15,MAX(0.1,Skills!D12-IF(TRUE=TRUE,Inputs!$B$32,0)))*(1-IF(AND(ArtifactsInput!$M$27,Inputs!$B$4="Chapter Hunt"),CHOOSE(ArtifactsInput!$N$27+1,20,24,28,32,36,40),0)/100)))+1)),0)</f>
        <v/>
      </c>
      <c r="S164">
        <f>IF(C164,(H164*N164*IF(AND(Inputs!$B$38&lt;&gt;"pvp",Inputs!$B$43&gt;0),((Skills!F12*((R164-1)*IF(Skills!G12&gt;0,Skills!H12/Skills!G12,1)+IF(Skills!G12&gt;0,MIN(Skills!H12,MAX(0,MAX(0,Inputs!$B$43-B186)-((R164-1)*(IF(Inputs!$B$38="pvp",15,MAX(0.1,Skills!D12-IF(TRUE=TRUE,Inputs!$B$32,0)))*(1-IF(AND(ArtifactsInput!$M$27,Inputs!$B$4="Chapter Hunt"),CHOOSE(ArtifactsInput!$N$27+1,20,24,28,32,36,40),0)/100)))))/Skills!G12,1)))/Inputs!$B$43),G164*Q164))*IF(Inputs!$B$38="pvp",1,1+(Inputs!$B$20+Skills!O12+B180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164*(1-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(1-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MIN(100,(Inputs!$B$9+((F172-Calc!F20)+(F171-Calc!F19))+(ArtifactsInput!$M$24-ArtifactsInput!$M$24)*CHOOSE(ArtifactsInput!$N$24+1,10,12,14,16,18,20)+(IF(AND(Inputs!$B$38&lt;&gt;"pvp",Inputs!$B$43=0),1,IF(IF(Inputs!$B$38="pvp",15,Inputs!$B$43)-(B186)&lt;=0,1,MAX(0,IF(Inputs!$B$38="pvp",15,Inputs!$B$43)-MAX(5,B186))/(IF(Inputs!$B$38="pvp",15,Inputs!$B$43)-(B186)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
        <f>IF(C164,(H164*N164*IF(AND(Inputs!$B$38&lt;&gt;"pvp",Inputs!$B$43&gt;0),((Skills!F12*((R164-1)*IF(Skills!G12&gt;0,Skills!H12/Skills!G12,1)+IF(Skills!G12&gt;0,MIN(Skills!H12,MAX(0,MAX(0,Inputs!$B$43-B186)-((R164-1)*(IF(Inputs!$B$38="pvp",15,MAX(0.1,Skills!D12-IF(TRUE=TRUE,Inputs!$B$32,0)))*(1-IF(AND(ArtifactsInput!$M$27,Inputs!$B$4="Chapter Hunt"),CHOOSE(ArtifactsInput!$N$27+1,20,24,28,32,36,40),0)/100)))))/Skills!G12,1)))/Inputs!$B$43),G164*Q164))*IF(Inputs!$B$38="pvp",1,(1+(Inputs!$B$21+Skills!P12+B180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
      <c r="A165">
        <f>Skills!A13</f>
        <v/>
      </c>
      <c r="B165">
        <f>Skills!B13</f>
        <v/>
      </c>
      <c r="C165">
        <f>Inputs!$B$3&gt;=49</f>
        <v/>
      </c>
      <c r="D165">
        <f>IF(Skills!C13=1,60+Inputs!$B$25+Inputs!$B$29,IF(Skills!C13=2,90+Inputs!$B$26+Inputs!$B$29,IF(Skills!C13=3,120+Inputs!$B$27+Inputs!$B$29,MAX(0,(Inputs!$B$3-100)*3)+Inputs!$B$28+Inputs!$B$29)))</f>
        <v/>
      </c>
      <c r="E165">
        <f>INDEX(FactorTable!$B$2:$Y$301, MATCH(ROUND(MIN(300,MAX(1,D165)),0), FactorTable!$A$2:$A$301,0), Skills!L13+1)</f>
        <v/>
      </c>
      <c r="F165">
        <f>IF(Skills!M13=TRUE,(Skills!K13/10)*(E165/1000),Skills!K13/10)+Skills!N13</f>
        <v/>
      </c>
      <c r="G165">
        <f>Calc!G13</f>
        <v/>
      </c>
      <c r="H165">
        <f>Calc!H13</f>
        <v/>
      </c>
      <c r="I165">
        <f>IF(Skills!T13&lt;&gt;"",1+(Skills!T13/10)*(Z155/1000)/100,1)</f>
        <v/>
      </c>
      <c r="J165" t="inlineStr"/>
      <c r="K165" t="inlineStr"/>
      <c r="L165" t="inlineStr"/>
      <c r="M165" t="inlineStr"/>
      <c r="N165" t="inlineStr"/>
      <c r="O165">
        <f>(1-Summary!$B$11)*S165+Summary!$B$11*U165</f>
        <v/>
      </c>
      <c r="P165">
        <f>IF(B189=0,0,O165/B189)</f>
        <v/>
      </c>
      <c r="Q165">
        <f>IFERROR(1/(IF(Inputs!$B$38="pvp",15,MAX(0.1,Skills!D13-IF(TRUE=TRUE,Inputs!$B$32,0)))*(1-IF(AND(ArtifactsInput!$M$27,Inputs!$B$4="Chapter Hunt"),CHOOSE(ArtifactsInput!$N$27+1,20,24,28,32,36,40),0)/100)),0)</f>
        <v/>
      </c>
      <c r="R165" t="n">
        <v>0</v>
      </c>
      <c r="S165" t="n">
        <v>0</v>
      </c>
      <c r="U165" t="n">
        <v>0</v>
      </c>
    </row>
    <row r="166">
      <c r="A166">
        <f>Skills!A14</f>
        <v/>
      </c>
      <c r="B166">
        <f>Skills!B14</f>
        <v/>
      </c>
      <c r="C166">
        <f>Inputs!$B$3&gt;=72</f>
        <v/>
      </c>
      <c r="D166">
        <f>IF(Skills!C14=1,60+Inputs!$B$25+Inputs!$B$29,IF(Skills!C14=2,90+Inputs!$B$26+Inputs!$B$29,IF(Skills!C14=3,120+Inputs!$B$27+Inputs!$B$29,MAX(0,(Inputs!$B$3-100)*3)+Inputs!$B$28+Inputs!$B$29)))</f>
        <v/>
      </c>
      <c r="E166">
        <f>INDEX(FactorTable!$B$2:$Y$301, MATCH(ROUND(MIN(300,MAX(1,D166)),0), FactorTable!$A$2:$A$301,0), Skills!L14+1)</f>
        <v/>
      </c>
      <c r="F166">
        <f>IF(Skills!M14=TRUE,(Skills!K14/10)*(E166/1000),Skills!K14/10)+Skills!N14</f>
        <v/>
      </c>
      <c r="G166">
        <f>Calc!G14</f>
        <v/>
      </c>
      <c r="H166">
        <f>Calc!H14</f>
        <v/>
      </c>
      <c r="I166">
        <f>IF(Skills!T14&lt;&gt;"",1+(Skills!T14/10)*(Z155/1000)/100,1)</f>
        <v/>
      </c>
      <c r="J166" t="inlineStr"/>
      <c r="K166" t="inlineStr"/>
      <c r="L166" t="inlineStr"/>
      <c r="M166" t="inlineStr"/>
      <c r="N166" t="inlineStr"/>
      <c r="O166">
        <f>(1-Summary!$B$11)*S166+Summary!$B$11*U166</f>
        <v/>
      </c>
      <c r="P166">
        <f>IF(B189=0,0,O166/B189)</f>
        <v/>
      </c>
      <c r="Q166">
        <f>IFERROR(1/(IF(Inputs!$B$38="pvp",15,MAX(0.1,Skills!D14-IF(TRUE=TRUE,Inputs!$B$32,0)))*(1-IF(AND(ArtifactsInput!$M$27,Inputs!$B$4="Chapter Hunt"),CHOOSE(ArtifactsInput!$N$27+1,20,24,28,32,36,40),0)/100)),0)</f>
        <v/>
      </c>
      <c r="R166" t="n">
        <v>0</v>
      </c>
      <c r="S166" t="n">
        <v>0</v>
      </c>
      <c r="U166" t="n">
        <v>0</v>
      </c>
    </row>
    <row r="167">
      <c r="A167">
        <f>Skills!A15</f>
        <v/>
      </c>
      <c r="B167">
        <f>Skills!B15</f>
        <v/>
      </c>
      <c r="C167">
        <f>Inputs!$B$3&gt;=75</f>
        <v/>
      </c>
      <c r="D167">
        <f>IF(Skills!C15=1,60+Inputs!$B$25+Inputs!$B$29,IF(Skills!C15=2,90+Inputs!$B$26+Inputs!$B$29,IF(Skills!C15=3,120+Inputs!$B$27+Inputs!$B$29,MAX(0,(Inputs!$B$3-100)*3)+Inputs!$B$28+Inputs!$B$29)))</f>
        <v/>
      </c>
      <c r="E167">
        <f>INDEX(FactorTable!$B$2:$Y$301, MATCH(ROUND(MIN(300,MAX(1,D167)),0), FactorTable!$A$2:$A$301,0), Skills!L15+1)</f>
        <v/>
      </c>
      <c r="F167">
        <f>IF(Skills!M15=TRUE,(Skills!K15/10)*(E167/1000),Skills!K15/10)+Skills!N15</f>
        <v/>
      </c>
      <c r="G167">
        <f>Calc!G15</f>
        <v/>
      </c>
      <c r="H167">
        <f>Calc!H15</f>
        <v/>
      </c>
      <c r="I167">
        <f>IF(Skills!T15&lt;&gt;"",1+(Skills!T15/10)*(Z155/1000)/100,1)</f>
        <v/>
      </c>
      <c r="J167" t="inlineStr"/>
      <c r="K167" t="inlineStr"/>
      <c r="L167" t="inlineStr"/>
      <c r="M167" t="inlineStr"/>
      <c r="N167" t="inlineStr"/>
      <c r="O167">
        <f>(1-Summary!$B$11)*S167+Summary!$B$11*U167</f>
        <v/>
      </c>
      <c r="P167">
        <f>IF(B189=0,0,O167/B189)</f>
        <v/>
      </c>
      <c r="Q167">
        <f>IFERROR(1/(IF(Inputs!$B$38="pvp",15,MAX(0.1,Skills!D15-IF(TRUE=TRUE,Inputs!$B$32,0)))*(1-IF(AND(ArtifactsInput!$M$27,Inputs!$B$4="Chapter Hunt"),CHOOSE(ArtifactsInput!$N$27+1,20,24,28,32,36,40),0)/100)),0)</f>
        <v/>
      </c>
      <c r="R167" t="n">
        <v>0</v>
      </c>
      <c r="S167" t="n">
        <v>0</v>
      </c>
      <c r="U167" t="n">
        <v>0</v>
      </c>
    </row>
    <row r="168">
      <c r="A168">
        <f>Skills!A16</f>
        <v/>
      </c>
      <c r="B168">
        <f>Skills!B16</f>
        <v/>
      </c>
      <c r="C168">
        <f>Inputs!$B$3&gt;=110</f>
        <v/>
      </c>
      <c r="D168">
        <f>IF(Skills!C16=1,60+Inputs!$B$25+Inputs!$B$29,IF(Skills!C16=2,90+Inputs!$B$26+Inputs!$B$29,IF(Skills!C16=3,120+Inputs!$B$27+Inputs!$B$29,MAX(0,(Inputs!$B$3-100)*3)+Inputs!$B$28+Inputs!$B$29)))</f>
        <v/>
      </c>
      <c r="E168">
        <f>INDEX(FactorTable!$B$2:$Y$301, MATCH(ROUND(MIN(300,MAX(1,D168)),0), FactorTable!$A$2:$A$301,0), Skills!L16+1)</f>
        <v/>
      </c>
      <c r="F168">
        <f>(Skills!K16/10)*(E168/1000)*64/45+Skills!N16</f>
        <v/>
      </c>
      <c r="G168">
        <f>Calc!G16</f>
        <v/>
      </c>
      <c r="H168">
        <f>Calc!H16</f>
        <v/>
      </c>
      <c r="I168">
        <f>IF(Skills!T16&lt;&gt;"",1+(Skills!T16/10)*(Z155/1000)/100,1)</f>
        <v/>
      </c>
      <c r="J168" t="inlineStr"/>
      <c r="K168" t="inlineStr"/>
      <c r="L168" t="inlineStr"/>
      <c r="M168" t="inlineStr"/>
      <c r="N168" t="inlineStr"/>
      <c r="O168">
        <f>(1-Summary!$B$11)*S168+Summary!$B$11*U168</f>
        <v/>
      </c>
      <c r="P168">
        <f>IF(B189=0,0,O168/B189)</f>
        <v/>
      </c>
      <c r="Q168">
        <f>IFERROR(1/(IF(Inputs!$B$38="pvp",15,MAX(0.1,Skills!D16-IF(TRUE=TRUE,Inputs!$B$32,0)))*(1-IF(AND(ArtifactsInput!$M$27,Inputs!$B$4="Chapter Hunt"),CHOOSE(ArtifactsInput!$N$27+1,20,24,28,32,36,40),0)/100)),0)</f>
        <v/>
      </c>
      <c r="R168">
        <f>IF(AND(Inputs!$B$38&lt;&gt;"pvp",Inputs!$B$43&gt;0),IF(Inputs!$B$43&lt;=0,0,(INT(Inputs!$B$43/(IF(Inputs!$B$38="pvp",15,MAX(0.1,Skills!D16-IF(TRUE=TRUE,Inputs!$B$32,0)))*(1-IF(AND(ArtifactsInput!$M$27,Inputs!$B$4="Chapter Hunt"),CHOOSE(ArtifactsInput!$N$27+1,20,24,28,32,36,40),0)/100)))+1)),0)</f>
        <v/>
      </c>
      <c r="S168" t="n">
        <v>0</v>
      </c>
      <c r="U168" t="n">
        <v>0</v>
      </c>
    </row>
    <row r="169">
      <c r="A169">
        <f>Skills!A17</f>
        <v/>
      </c>
      <c r="B169">
        <f>Skills!B17</f>
        <v/>
      </c>
      <c r="C169">
        <f>Inputs!$B$3&gt;=33</f>
        <v/>
      </c>
      <c r="D169">
        <f>IF(Skills!C17=1,60+Inputs!$B$25+Inputs!$B$29,IF(Skills!C17=2,90+Inputs!$B$26+Inputs!$B$29,IF(Skills!C17=3,120+Inputs!$B$27+Inputs!$B$29,MAX(0,(Inputs!$B$3-100)*3)+Inputs!$B$28+Inputs!$B$29)))</f>
        <v/>
      </c>
      <c r="E169">
        <f>INDEX(FactorTable!$B$2:$Y$301, MATCH(ROUND(MIN(300,MAX(1,D169)),0), FactorTable!$A$2:$A$301,0), Skills!L17+1)</f>
        <v/>
      </c>
      <c r="F169">
        <f>IF(Skills!M17=TRUE,(Skills!K17/10)*(E169/1000),Skills!K17/10)+Skills!N17</f>
        <v/>
      </c>
      <c r="G169">
        <f>Calc!G17</f>
        <v/>
      </c>
      <c r="H169">
        <f>Calc!H17</f>
        <v/>
      </c>
      <c r="I169">
        <f>IF(Skills!T17&lt;&gt;"",1+(Skills!T17/10)*(Z155/1000)/100,1)</f>
        <v/>
      </c>
      <c r="J169" t="inlineStr"/>
      <c r="K169" t="inlineStr"/>
      <c r="L169" t="inlineStr"/>
      <c r="M169" t="inlineStr"/>
      <c r="N169" t="inlineStr"/>
      <c r="O169">
        <f>(1-Summary!$B$11)*S169+Summary!$B$11*U169</f>
        <v/>
      </c>
      <c r="P169">
        <f>IF(B189=0,0,O169/B189)</f>
        <v/>
      </c>
      <c r="Q169">
        <f>IFERROR(1/(IF(Inputs!$B$38="pvp",15,MAX(0.1,Skills!D17-IF(TRUE=TRUE,Inputs!$B$32,0)))*(1-IF(AND(ArtifactsInput!$M$27,Inputs!$B$4="Chapter Hunt"),CHOOSE(ArtifactsInput!$N$27+1,20,24,28,32,36,40),0)/100)),0)</f>
        <v/>
      </c>
      <c r="R169" t="n">
        <v>0</v>
      </c>
      <c r="S169" t="n">
        <v>0</v>
      </c>
      <c r="U169" t="n">
        <v>0</v>
      </c>
    </row>
    <row r="170">
      <c r="A170">
        <f>Skills!A18</f>
        <v/>
      </c>
      <c r="B170">
        <f>Skills!B18</f>
        <v/>
      </c>
      <c r="C170">
        <f>Inputs!$B$3&gt;=43</f>
        <v/>
      </c>
      <c r="D170">
        <f>IF(Skills!C18=1,60+Inputs!$B$25+Inputs!$B$29,IF(Skills!C18=2,90+Inputs!$B$26+Inputs!$B$29,IF(Skills!C18=3,120+Inputs!$B$27+Inputs!$B$29,MAX(0,(Inputs!$B$3-100)*3)+Inputs!$B$28+Inputs!$B$29)))</f>
        <v/>
      </c>
      <c r="E170">
        <f>INDEX(FactorTable!$B$2:$Y$301, MATCH(ROUND(MIN(300,MAX(1,D170)),0), FactorTable!$A$2:$A$301,0), Skills!L18+1)</f>
        <v/>
      </c>
      <c r="F170">
        <f>IF(Skills!M18=TRUE,(Skills!K18/10)*(E170/1000),Skills!K18/10)+Skills!N18</f>
        <v/>
      </c>
      <c r="G170">
        <f>Calc!G18</f>
        <v/>
      </c>
      <c r="H170">
        <f>Calc!H18</f>
        <v/>
      </c>
      <c r="I170">
        <f>IF(Skills!T18&lt;&gt;"",1+(Skills!T18/10)*(Z155/1000)/100,1)</f>
        <v/>
      </c>
      <c r="J170" t="inlineStr"/>
      <c r="K170" t="inlineStr"/>
      <c r="L170" t="inlineStr"/>
      <c r="M170" t="inlineStr"/>
      <c r="N170" t="inlineStr"/>
      <c r="O170">
        <f>(1-Summary!$B$11)*S170+Summary!$B$11*U170</f>
        <v/>
      </c>
      <c r="P170">
        <f>IF(B189=0,0,O170/B189)</f>
        <v/>
      </c>
      <c r="Q170">
        <f>IFERROR(1/(IF(Inputs!$B$38="pvp",15,MAX(0.1,Skills!D18-IF(TRUE=TRUE,Inputs!$B$32,0)))*(1-IF(AND(ArtifactsInput!$M$27,Inputs!$B$4="Chapter Hunt"),CHOOSE(ArtifactsInput!$N$27+1,20,24,28,32,36,40),0)/100)),0)</f>
        <v/>
      </c>
      <c r="R170" t="n">
        <v>0</v>
      </c>
      <c r="S170" t="n">
        <v>0</v>
      </c>
      <c r="U170" t="n">
        <v>0</v>
      </c>
    </row>
    <row r="171">
      <c r="A171">
        <f>Skills!A19</f>
        <v/>
      </c>
      <c r="B171">
        <f>Skills!B19</f>
        <v/>
      </c>
      <c r="C171">
        <f>Inputs!$B$3&gt;=50</f>
        <v/>
      </c>
      <c r="D171">
        <f>IF(Skills!C19=1,60+Inputs!$B$25+Inputs!$B$29,IF(Skills!C19=2,90+Inputs!$B$26+Inputs!$B$29,IF(Skills!C19=3,120+Inputs!$B$27+Inputs!$B$29,MAX(0,(Inputs!$B$3-100)*3)+Inputs!$B$28+Inputs!$B$29)))</f>
        <v/>
      </c>
      <c r="E171">
        <f>INDEX(FactorTable!$B$2:$Y$301, MATCH(ROUND(MIN(300,MAX(1,D171)),0), FactorTable!$A$2:$A$301,0), Skills!L19+1)</f>
        <v/>
      </c>
      <c r="F171">
        <f>IF(Skills!M19=TRUE,(Skills!K19/10)*(E171/1000),Skills!K19/10)+Skills!N19</f>
        <v/>
      </c>
      <c r="G171">
        <f>Calc!G19</f>
        <v/>
      </c>
      <c r="H171">
        <f>Calc!H19</f>
        <v/>
      </c>
      <c r="I171">
        <f>IF(Skills!T19&lt;&gt;"",1+(Skills!T19/10)*(Z155/1000)/100,1)</f>
        <v/>
      </c>
      <c r="J171" t="inlineStr"/>
      <c r="K171" t="inlineStr"/>
      <c r="L171" t="inlineStr"/>
      <c r="M171" t="inlineStr"/>
      <c r="N171" t="inlineStr"/>
      <c r="O171">
        <f>(1-Summary!$B$11)*S171+Summary!$B$11*U171</f>
        <v/>
      </c>
      <c r="P171">
        <f>IF(B189=0,0,O171/B189)</f>
        <v/>
      </c>
      <c r="Q171">
        <f>IFERROR(1/(IF(Inputs!$B$38="pvp",15,MAX(0.1,Skills!D19-IF(TRUE=TRUE,Inputs!$B$32,0)))*(1-IF(AND(ArtifactsInput!$M$27,Inputs!$B$4="Chapter Hunt"),CHOOSE(ArtifactsInput!$N$27+1,20,24,28,32,36,40),0)/100)),0)</f>
        <v/>
      </c>
      <c r="R171" t="n">
        <v>0</v>
      </c>
      <c r="S171" t="n">
        <v>0</v>
      </c>
      <c r="U171" t="n">
        <v>0</v>
      </c>
    </row>
    <row r="172">
      <c r="A172">
        <f>Skills!A20</f>
        <v/>
      </c>
      <c r="B172">
        <f>Skills!B20</f>
        <v/>
      </c>
      <c r="C172">
        <f>Inputs!$B$3&gt;=74</f>
        <v/>
      </c>
      <c r="D172">
        <f>IF(Skills!C20=1,60+Inputs!$B$25+Inputs!$B$29,IF(Skills!C20=2,90+Inputs!$B$26+Inputs!$B$29,IF(Skills!C20=3,120+Inputs!$B$27+Inputs!$B$29,MAX(0,(Inputs!$B$3-100)*3)+Inputs!$B$28+Inputs!$B$29)))</f>
        <v/>
      </c>
      <c r="E172">
        <f>INDEX(FactorTable!$B$2:$Y$301, MATCH(ROUND(MIN(300,MAX(1,D172)),0), FactorTable!$A$2:$A$301,0), Skills!L20+1)</f>
        <v/>
      </c>
      <c r="F172">
        <f>IF(Skills!M20=TRUE,(Skills!K20/10)*(E172/1000),Skills!K20/10)+Skills!N20</f>
        <v/>
      </c>
      <c r="G172">
        <f>Calc!G20</f>
        <v/>
      </c>
      <c r="H172">
        <f>Calc!H20</f>
        <v/>
      </c>
      <c r="I172">
        <f>IF(Skills!T20&lt;&gt;"",1+(Skills!T20/10)*(Z155/1000)/100,1)</f>
        <v/>
      </c>
      <c r="J172" t="inlineStr"/>
      <c r="K172" t="inlineStr"/>
      <c r="L172" t="inlineStr"/>
      <c r="M172" t="inlineStr"/>
      <c r="N172" t="inlineStr"/>
      <c r="O172">
        <f>(1-Summary!$B$11)*S172+Summary!$B$11*U172</f>
        <v/>
      </c>
      <c r="P172">
        <f>IF(B189=0,0,O172/B189)</f>
        <v/>
      </c>
      <c r="Q172">
        <f>IFERROR(1/(IF(Inputs!$B$38="pvp",15,MAX(0.1,Skills!D20-IF(TRUE=TRUE,Inputs!$B$32,0)))*(1-IF(AND(ArtifactsInput!$M$27,Inputs!$B$4="Chapter Hunt"),CHOOSE(ArtifactsInput!$N$27+1,20,24,28,32,36,40),0)/100)),0)</f>
        <v/>
      </c>
      <c r="R172" t="n">
        <v>0</v>
      </c>
      <c r="S172" t="n">
        <v>0</v>
      </c>
      <c r="U172" t="n">
        <v>0</v>
      </c>
    </row>
    <row r="173">
      <c r="A173">
        <f>Skills!A21</f>
        <v/>
      </c>
      <c r="B173">
        <f>Skills!B21</f>
        <v/>
      </c>
      <c r="C173">
        <f>Inputs!$B$3&gt;=74</f>
        <v/>
      </c>
      <c r="D173">
        <f>IF(Skills!C21=1,60+Inputs!$B$25+Inputs!$B$29,IF(Skills!C21=2,90+Inputs!$B$26+Inputs!$B$29,IF(Skills!C21=3,120+Inputs!$B$27+Inputs!$B$29,MAX(0,(Inputs!$B$3-100)*3)+Inputs!$B$28+Inputs!$B$29)))</f>
        <v/>
      </c>
      <c r="E173">
        <f>INDEX(FactorTable!$B$2:$Y$301, MATCH(ROUND(MIN(300,MAX(1,D173)),0), FactorTable!$A$2:$A$301,0), Skills!L21+1)</f>
        <v/>
      </c>
      <c r="F173">
        <f>IF(Skills!M21=TRUE,(Skills!K21/10)*(E173/1000),Skills!K21/10)+Skills!N21</f>
        <v/>
      </c>
      <c r="G173">
        <f>Calc!G21</f>
        <v/>
      </c>
      <c r="H173">
        <f>Calc!H21</f>
        <v/>
      </c>
      <c r="I173">
        <f>IF(Skills!T21&lt;&gt;"",1+(Skills!T21/10)*(Z155/1000)/100,1)</f>
        <v/>
      </c>
      <c r="J173" t="inlineStr"/>
      <c r="K173" t="inlineStr"/>
      <c r="L173" t="inlineStr"/>
      <c r="M173" t="inlineStr"/>
      <c r="N173" t="inlineStr"/>
      <c r="O173">
        <f>(1-Summary!$B$11)*S173+Summary!$B$11*U173</f>
        <v/>
      </c>
      <c r="P173">
        <f>IF(B189=0,0,O173/B189)</f>
        <v/>
      </c>
      <c r="Q173">
        <f>IFERROR(1/(IF(Inputs!$B$38="pvp",15,MAX(0.1,Skills!D21-IF(TRUE=TRUE,Inputs!$B$32,0)))*(1-IF(AND(ArtifactsInput!$M$27,Inputs!$B$4="Chapter Hunt"),CHOOSE(ArtifactsInput!$N$27+1,20,24,28,32,36,40),0)/100)),0)</f>
        <v/>
      </c>
      <c r="R173" t="n">
        <v>0</v>
      </c>
      <c r="S173" t="n">
        <v>0</v>
      </c>
      <c r="U173" t="n">
        <v>0</v>
      </c>
    </row>
    <row r="174">
      <c r="A174">
        <f>Skills!A22</f>
        <v/>
      </c>
      <c r="B174">
        <f>Skills!B22</f>
        <v/>
      </c>
      <c r="C174">
        <f>Inputs!$B$3&gt;=117</f>
        <v/>
      </c>
      <c r="D174">
        <f>IF(Skills!C22=1,60+Inputs!$B$25+Inputs!$B$29,IF(Skills!C22=2,90+Inputs!$B$26+Inputs!$B$29,IF(Skills!C22=3,120+Inputs!$B$27+Inputs!$B$29,MAX(0,(Inputs!$B$3-100)*3)+Inputs!$B$28+Inputs!$B$29)))</f>
        <v/>
      </c>
      <c r="E174">
        <f>INDEX(FactorTable!$B$2:$Y$301, MATCH(ROUND(MIN(300,MAX(1,D174)),0), FactorTable!$A$2:$A$301,0), Skills!L22+1)</f>
        <v/>
      </c>
      <c r="F174">
        <f>IF(Skills!M22=TRUE,(Skills!K22/10)*(E174/1000),Skills!K22/10)+Skills!N22</f>
        <v/>
      </c>
      <c r="G174">
        <f>Calc!G22</f>
        <v/>
      </c>
      <c r="H174">
        <f>Calc!H22</f>
        <v/>
      </c>
      <c r="I174">
        <f>IF(Skills!T22&lt;&gt;"",1+(Skills!T22/10)*(Z155/1000)/100,1)</f>
        <v/>
      </c>
      <c r="J174" t="inlineStr"/>
      <c r="K174" t="inlineStr"/>
      <c r="L174" t="inlineStr"/>
      <c r="M174" t="inlineStr"/>
      <c r="N174" t="inlineStr"/>
      <c r="O174">
        <f>(1-Summary!$B$11)*S174+Summary!$B$11*U174</f>
        <v/>
      </c>
      <c r="P174">
        <f>IF(B189=0,0,O174/B189)</f>
        <v/>
      </c>
      <c r="Q174">
        <f>IFERROR(1/(IF(Inputs!$B$38="pvp",15,MAX(0.1,Skills!D22-IF(TRUE=TRUE,Inputs!$B$32,0)))*(1-IF(AND(ArtifactsInput!$M$27,Inputs!$B$4="Chapter Hunt"),CHOOSE(ArtifactsInput!$N$27+1,20,24,28,32,36,40),0)/100)),0)</f>
        <v/>
      </c>
      <c r="R174" t="n">
        <v>0</v>
      </c>
      <c r="S174" t="n">
        <v>0</v>
      </c>
      <c r="U174" t="n">
        <v>0</v>
      </c>
    </row>
    <row r="175">
      <c r="A175">
        <f>Skills!A23</f>
        <v/>
      </c>
      <c r="B175">
        <f>Skills!B23</f>
        <v/>
      </c>
      <c r="C175">
        <f>Inputs!$B$3&gt;=120</f>
        <v/>
      </c>
      <c r="D175">
        <f>IF(Skills!C23=1,60+Inputs!$B$25+Inputs!$B$29,IF(Skills!C23=2,90+Inputs!$B$26+Inputs!$B$29,IF(Skills!C23=3,120+Inputs!$B$27+Inputs!$B$29,MAX(0,(Inputs!$B$3-100)*3)+Inputs!$B$28+Inputs!$B$29)))</f>
        <v/>
      </c>
      <c r="E175">
        <f>INDEX(FactorTable!$B$2:$Y$301, MATCH(ROUND(MIN(300,MAX(1,D175)),0), FactorTable!$A$2:$A$301,0), Skills!L23+1)</f>
        <v/>
      </c>
      <c r="F175">
        <f>IF(Skills!M23=TRUE,(Skills!K23/10)*(E175/1000),Skills!K23/10)+Skills!N23</f>
        <v/>
      </c>
      <c r="G175">
        <f>Calc!G23</f>
        <v/>
      </c>
      <c r="H175">
        <f>Calc!H23</f>
        <v/>
      </c>
      <c r="I175">
        <f>IF(Skills!T23&lt;&gt;"",1+(Skills!T23/10)*(Z155/1000)/100,1)</f>
        <v/>
      </c>
      <c r="J175" t="inlineStr"/>
      <c r="K175" t="inlineStr"/>
      <c r="L175" t="inlineStr"/>
      <c r="M175" t="inlineStr"/>
      <c r="N175" t="inlineStr"/>
      <c r="O175">
        <f>(1-Summary!$B$11)*S175+Summary!$B$11*U175</f>
        <v/>
      </c>
      <c r="P175">
        <f>IF(B189=0,0,O175/B189)</f>
        <v/>
      </c>
      <c r="Q175">
        <f>IFERROR(1/(IF(Inputs!$B$38="pvp",15,MAX(0.1,Skills!D23-IF(TRUE=TRUE,Inputs!$B$32,0)))*(1-IF(AND(ArtifactsInput!$M$27,Inputs!$B$4="Chapter Hunt"),CHOOSE(ArtifactsInput!$N$27+1,20,24,28,32,36,40),0)/100)),0)</f>
        <v/>
      </c>
      <c r="R175" t="n">
        <v>0</v>
      </c>
      <c r="S175" t="n">
        <v>0</v>
      </c>
      <c r="U175" t="n">
        <v>0</v>
      </c>
    </row>
    <row r="176">
      <c r="A176">
        <f>Skills!A24</f>
        <v/>
      </c>
      <c r="B176">
        <f>Skills!B24</f>
        <v/>
      </c>
      <c r="C176">
        <f>TRUE</f>
        <v/>
      </c>
      <c r="D176">
        <f>IF(Skills!C24=1,60+Inputs!$B$25+Inputs!$B$29,IF(Skills!C24=2,90+Inputs!$B$26+Inputs!$B$29,IF(Skills!C24=3,120+Inputs!$B$27+Inputs!$B$29,MAX(0,(Inputs!$B$3-100)*3)+Inputs!$B$28+Inputs!$B$29)))</f>
        <v/>
      </c>
      <c r="E176">
        <f>INDEX(FactorTable!$B$2:$Y$301, MATCH(ROUND(MIN(300,MAX(1,D176)),0), FactorTable!$A$2:$A$301,0), Skills!L24+1)</f>
        <v/>
      </c>
      <c r="F176">
        <f>IF(Skills!M24=TRUE,(Skills!K24/10)*(E176/1000),Skills!K24/10)+Skills!N24</f>
        <v/>
      </c>
      <c r="G176">
        <f>Calc!G24</f>
        <v/>
      </c>
      <c r="H176">
        <f>Calc!H24</f>
        <v/>
      </c>
      <c r="I176">
        <f>IF(Skills!T24&lt;&gt;"",1+(Skills!T24/10)*(Z155/1000)/100,1)</f>
        <v/>
      </c>
      <c r="J176" t="inlineStr"/>
      <c r="K176" t="inlineStr"/>
      <c r="L176" t="inlineStr"/>
      <c r="M176" t="inlineStr"/>
      <c r="N176" t="inlineStr"/>
      <c r="O176">
        <f>(1-Summary!$B$11)*S176+Summary!$B$11*U176</f>
        <v/>
      </c>
      <c r="P176">
        <f>IF(B189=0,0,O176/B189)</f>
        <v/>
      </c>
      <c r="Q176">
        <f>IFERROR(1/(IF(Inputs!$B$38="pvp",15,MAX(0.1,Skills!D24-IF(TRUE=TRUE,Inputs!$B$32,0)))*(1-IF(AND(ArtifactsInput!$M$27,Inputs!$B$4="Chapter Hunt"),CHOOSE(ArtifactsInput!$N$27+1,20,24,28,32,36,40),0)/100)),0)</f>
        <v/>
      </c>
      <c r="R176">
        <f>IF(AND(Inputs!$B$38&lt;&gt;"pvp",Inputs!$B$43&gt;0),IF(Inputs!$B$43&lt;=0,0,(INT(Inputs!$B$43/(IF(Inputs!$B$38="pvp",15,MAX(0.1,Skills!D24-IF(TRUE=TRUE,Inputs!$B$32,0)))*(1-IF(AND(ArtifactsInput!$M$27,Inputs!$B$4="Chapter Hunt"),CHOOSE(ArtifactsInput!$N$27+1,20,24,28,32,36,40),0)/100)))+1)),0)</f>
        <v/>
      </c>
      <c r="S176" t="n">
        <v>0</v>
      </c>
      <c r="U176" t="n">
        <v>0</v>
      </c>
    </row>
    <row r="179">
      <c r="A179" t="inlineStr">
        <is>
          <t>Average Buff Multiplier (Magic Guard + Meditation + Artifact Attack%, summed; then Infinity)</t>
        </is>
      </c>
      <c r="B179">
        <f>(1+(IF(C155=TRUE,F155*IF(AND(Inputs!$B$38&lt;&gt;"pvp",Inputs!$B$43&gt;0),(((R155-1)*MIN((Skills!S3*(1+(Inputs!$B$34)/100)),(1/Q155))+MIN((Skills!S3*(1+(Inputs!$B$34)/100)),MAX(0,Inputs!$B$43-((R155-1)*(1/Q155)))))/Inputs!$B$43),IF(Inputs!$B$38="pvp",MIN((Skills!S3*(1+(Inputs!$B$34)/100)),15)/15,MIN(1,(Skills!S3*(1+(Inputs!$B$34)/100))/(1/Q155)))),0)+IF(C156=TRUE,F156*IF(AND(Inputs!$B$38&lt;&gt;"pvp",Inputs!$B$43&gt;0),(((R156-1)*MIN((Skills!S4*(1+(Inputs!$B$34)/100)),(1/Q156))+MIN((Skills!S4*(1+(Inputs!$B$34)/100)),MAX(0,Inputs!$B$43-((R156-1)*(1/Q156)))))/Inputs!$B$43),IF(Inputs!$B$38="pvp",MIN((Skills!S4*(1+(Inputs!$B$34)/100)),15)/15,MIN(1,(Skills!S4*(1+(Inputs!$B$34)/100))/(1/Q156)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168=TRUE,(1+F168*IF(AND(Inputs!$B$38&lt;&gt;"pvp",Inputs!$B$43&gt;0),(((R168-1)*MIN((Skills!S16*(1+(Inputs!$B$34)/100)),(1/Q168))+MIN((Skills!S16*(1+(Inputs!$B$34)/100)),MAX(0,Inputs!$B$43-((R168-1)*(1/Q168)))))/Inputs!$B$43),IF(Inputs!$B$38="pvp",MIN((Skills!S16*(1+(Inputs!$B$34)/100)),15)/15,MIN(1,(Skills!S16*(1+(Inputs!$B$34)/100))/(1/Q168))))/100),1)</f>
        <v/>
      </c>
    </row>
    <row r="180">
      <c r="A180" t="inlineStr">
        <is>
          <t>Monster Damage Taken Bonus % (Freezing Breath - Weaken + Elemental Reset + Artifact Enemy Damage Taken, summed)</t>
        </is>
      </c>
      <c r="B180">
        <f>IF(Inputs!$B$3&gt;=118,15*IF(Inputs!$B$38="pvp",MIN((30*(1+(Inputs!$B$34)/100)),15)/15,MIN(1,(30*(1+(Inputs!$B$34)/100))/(1/Q160))),0)+IF(C166=TRUE,F166,0)+(IF(AND(ArtifactsInput!$M$35,Inputs!$B$4&lt;&gt;"Chapter Hunt"),CHOOSE(ArtifactsInput!$N$35+1,15,18,21,24,27,30)*(1-EXP(-(0.2*B183)*5)),0)+IF(AND(ArtifactsInput!$M$22,Inputs!$B$4&lt;&gt;"Chapter Hunt"),CHOOSE(ArtifactsInput!$N$22+1,10,12,14,16,18,20)*((0*(((0.15*B183*5))^0/1)+1*(((0.15*B183*5))^1/1)+2*(((0.15*B183*5))^2/2)+3*(((0.15*B183*5))^3/6)+4*(((0.15*B183*5))^4/24)+5*(((0.15*B183*5))^5/120))/((((0.15*B183*5))^0/1)+(((0.15*B183*5))^1/1)+(((0.15*B183*5))^2/2)+(((0.15*B183*5))^3/6)+(((0.15*B183*5))^4/24)+(((0.15*B183*5))^5/120))),0))</f>
        <v/>
      </c>
    </row>
    <row r="181">
      <c r="A181" t="inlineStr">
        <is>
          <t>Damage % Bonus (Frozen Break + Frost Clutch, flat)</t>
        </is>
      </c>
      <c r="B181">
        <f>IF(Inputs!$B$3&gt;=66,15,0)+IF(Inputs!$B$3&gt;=98,10,0)+IF(Inputs!$B$3&gt;=125,20,0)</f>
        <v/>
      </c>
    </row>
    <row r="182">
      <c r="A182" t="inlineStr">
        <is>
          <t>Attack Speed Bonus % (MP Eater - MP Boost, always-on + Nimble Feet, duty-cycle averaged)</t>
        </is>
      </c>
      <c r="B182">
        <f>IF(C165=TRUE,F165+(F169-Calc!F17),0)+((C176=TRUE)*F176*IF(AND(Inputs!$B$38&lt;&gt;"pvp",Inputs!$B$43&gt;0),(((R176-1)*MIN((Skills!S24*(1+(Inputs!$B$34)/100)),(1/Q176))+MIN((Skills!S24*(1+(Inputs!$B$34)/100)),MAX(0,Inputs!$B$43-((R176-1)*(1/Q176)))))/Inputs!$B$43),IF(Inputs!$B$38="pvp",MIN((Skills!S24*(1+(Inputs!$B$34)/100)),15)/15,MIN(1,(Skills!S24*(1+(Inputs!$B$34)/100))/(1/Q176)))))</f>
        <v/>
      </c>
    </row>
    <row r="183">
      <c r="A183" t="inlineStr">
        <is>
          <t>Actions Per Second</t>
        </is>
      </c>
      <c r="B183">
        <f>1+MIN(150,150*(1-(1-(Inputs!$B$11+(ArtifactsInput!$M$15-ArtifactsInput!$M$15)*CHOOSE(ArtifactsInput!$N$15+1,8,9.6,11.2,12.8,14.4,16))/150)*(1-B182/150)))/100</f>
        <v/>
      </c>
    </row>
    <row r="184">
      <c r="A184" t="inlineStr">
        <is>
          <t>Skill + Buff Cast Rate</t>
        </is>
      </c>
      <c r="B184">
        <f>IF(AND(Inputs!$B$38&lt;&gt;"pvp",Inputs!$B$43&gt;0),SUMPRODUCT((Skills!E2:E24=TRUE)*(C154:C176=TRUE)*R154:R176)/Inputs!$B$43,SUMPRODUCT((Skills!E2:E24=TRUE)*(C154:C176=TRUE)*Q154:Q176))</f>
        <v/>
      </c>
    </row>
    <row r="185">
      <c r="A185" t="inlineStr">
        <is>
          <t>Chain Lightning Casts Per Second</t>
        </is>
      </c>
      <c r="B185">
        <f>MAX(0,B183-B184)</f>
        <v/>
      </c>
    </row>
    <row r="186">
      <c r="A186" t="inlineStr">
        <is>
          <t>Buff-Casting Startup Delay (s, fixed-duration only)</t>
        </is>
      </c>
      <c r="B186">
        <f>IF(AND(Inputs!$B$38&lt;&gt;"pvp",Inputs!$B$43&gt;0),SUMPRODUCT((Skills!S2:S24&gt;0)*(Skills!E2:E24=TRUE)*(C154:C176=TRUE))/B183,0)</f>
        <v/>
      </c>
    </row>
    <row r="187">
      <c r="A187" t="inlineStr">
        <is>
          <t>Boss-Only Total DPS (this block's swept value)</t>
        </is>
      </c>
      <c r="B187">
        <f>SUM(S154:S176)</f>
        <v/>
      </c>
    </row>
    <row r="188">
      <c r="A188" t="inlineStr">
        <is>
          <t>Normal-Only Total DPS (this block's swept value)</t>
        </is>
      </c>
      <c r="B188">
        <f>SUM(U154:U176)</f>
        <v/>
      </c>
    </row>
    <row r="189">
      <c r="A189" s="6" t="inlineStr">
        <is>
          <t>TOTAL DPS</t>
        </is>
      </c>
      <c r="B189" s="6">
        <f>SUM(O154:O176)</f>
        <v/>
      </c>
    </row>
    <row r="190">
      <c r="A190" t="inlineStr">
        <is>
          <t>Blizzard Final Attack trigger rate (this block's own Q/R)</t>
        </is>
      </c>
      <c r="B190">
        <f>IF(AND(Inputs!$B$38&lt;&gt;"pvp",Inputs!$B$43&gt;0),(((C157=TRUE)*R157*1)+((C158=TRUE)*R158*1)+((C160=TRUE)*R160*1)+((C161=TRUE)*R161*3)+((C163=TRUE)*R163*1))/Inputs!$B$43,((C157=TRUE)*Q157*1)+((C158=TRUE)*Q158*1)+((C160=TRUE)*Q160*1)+((C161=TRUE)*Q161*3)+((C163=TRUE)*Q163*1))+B185</f>
        <v/>
      </c>
    </row>
    <row r="193">
      <c r="A193" s="6" t="inlineStr">
        <is>
          <t>Stat: DAMAGE_AMP %</t>
        </is>
      </c>
    </row>
    <row r="194">
      <c r="A194" s="5" t="inlineStr">
        <is>
          <t>Key</t>
        </is>
      </c>
      <c r="B194" s="5" t="inlineStr">
        <is>
          <t>Name</t>
        </is>
      </c>
      <c r="C194" s="5" t="inlineStr">
        <is>
          <t>Unlocked</t>
        </is>
      </c>
      <c r="D194" s="5" t="inlineStr">
        <is>
          <t>InputLevel</t>
        </is>
      </c>
      <c r="E194" s="5" t="inlineStr">
        <is>
          <t>Factor</t>
        </is>
      </c>
      <c r="F194" s="5" t="inlineStr">
        <is>
          <t>CoefficientPercent</t>
        </is>
      </c>
      <c r="G194" s="5" t="inlineStr">
        <is>
          <t>EffectiveHits</t>
        </is>
      </c>
      <c r="H194" s="5" t="inlineStr">
        <is>
          <t>ProcProbability</t>
        </is>
      </c>
      <c r="I194" s="5" t="inlineStr">
        <is>
          <t>MapleHeroMultiplier</t>
        </is>
      </c>
      <c r="J194" s="5" t="inlineStr">
        <is>
          <t>BaseDamage</t>
        </is>
      </c>
      <c r="K194" s="5" t="inlineStr">
        <is>
          <t>BaseHitDamage</t>
        </is>
      </c>
      <c r="L194" s="5" t="inlineStr">
        <is>
          <t>NonCritAvg</t>
        </is>
      </c>
      <c r="M194" s="5" t="inlineStr">
        <is>
          <t>CritAvg</t>
        </is>
      </c>
      <c r="N194" s="5" t="inlineStr">
        <is>
          <t>ExpectedDamage(perHit)</t>
        </is>
      </c>
      <c r="O194" s="5" t="inlineStr">
        <is>
          <t>DPS</t>
        </is>
      </c>
      <c r="P194" s="5" t="inlineStr">
        <is>
          <t>% of Total</t>
        </is>
      </c>
      <c r="R194" t="inlineStr">
        <is>
          <t>helpers</t>
        </is>
      </c>
    </row>
    <row r="195">
      <c r="A195">
        <f>Skills!A2</f>
        <v/>
      </c>
      <c r="B195">
        <f>Skills!B2</f>
        <v/>
      </c>
      <c r="C195">
        <f>Inputs!$B$3&gt;=100</f>
        <v/>
      </c>
      <c r="D195" t="inlineStr"/>
      <c r="E195" t="inlineStr"/>
      <c r="F195">
        <f>T197+Skills!N2</f>
        <v/>
      </c>
      <c r="G195">
        <f>Calc!G2</f>
        <v/>
      </c>
      <c r="H195">
        <f>Calc!H2</f>
        <v/>
      </c>
      <c r="I195">
        <f>IF(Skills!T2&lt;&gt;"",1+(Skills!T2/10)*(Z196/1000)/100,1)</f>
        <v/>
      </c>
      <c r="J195">
        <f>((Inputs!$B$6*(1+Inputs!$B$7/100))+(((Inputs!$B$12*(1+Inputs!$B$13/100))-(Inputs!$B$12*(1+Inputs!$B$13/100)))+0.25*(Inputs!$B$14-Inputs!$B$14))*(1+Inputs!$B$7/100))*(F195/100)</f>
        <v/>
      </c>
      <c r="K195">
        <f>J195*(1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2="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f>
        <v/>
      </c>
      <c r="L195">
        <f>K195*(MIN(Inputs!$B$22+(F211-Calc!F18),(Inputs!$B$23+(IF(ArtifactsInput!$M$15,CHOOSE(ArtifactsInput!$N$15+1,25,30,35,40,45,50)/100*(Inputs!$B$11-Inputs!$B$11),0))))/100+(Inputs!$B$23+(IF(ArtifactsInput!$M$15,CHOOSE(ArtifactsInput!$N$15+1,25,30,35,40,45,50)/100*(Inputs!$B$11-Inputs!$B$11),0)))/100)/2</f>
        <v/>
      </c>
      <c r="M195">
        <f>L195*(1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
        <f>L195*(1-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
        <f>(1-Summary!$B$11)*S195+Summary!$B$11*U195</f>
        <v/>
      </c>
      <c r="P195">
        <f>IF(B230=0,0,O195/B230)</f>
        <v/>
      </c>
      <c r="Q195">
        <f>IFERROR(1/(IF(Inputs!$B$38="pvp",15,MAX(0.1,Skills!D2-IF(TRUE=TRUE,Inputs!$B$32,0)))*(1-IF(AND(ArtifactsInput!$M$27,Inputs!$B$4="Chapter Hunt"),CHOOSE(ArtifactsInput!$N$27+1,20,24,28,32,36,40),0)/100)),0)</f>
        <v/>
      </c>
      <c r="R195" t="n">
        <v>0</v>
      </c>
      <c r="S195">
        <f>IF(C195,(Skills!F2*N195*B226)*IF(Inputs!$B$38="pvp",1,1+(Inputs!$B$20+Skills!O2+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195*(1-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5">
        <f>MAX(0,(Inputs!$B$3-100)*3)+Inputs!$B$28+Inputs!$B$29</f>
        <v/>
      </c>
      <c r="U195">
        <f>IF(C195,(Skills!F2*N195*B226)*IF(Inputs!$B$38="pvp",1,(1+(Inputs!$B$21+Skills!P2+B221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5">
        <f>MAX(0,(Inputs!$B$3-100)*3)+Inputs!$B$28+Inputs!$B$29</f>
        <v/>
      </c>
    </row>
    <row r="196">
      <c r="A196">
        <f>Skills!A3</f>
        <v/>
      </c>
      <c r="B196">
        <f>Skills!B3</f>
        <v/>
      </c>
      <c r="C196">
        <f>Inputs!$B$3&gt;=15</f>
        <v/>
      </c>
      <c r="D196">
        <f>IF(Skills!C3=1,60+Inputs!$B$25+Inputs!$B$29,IF(Skills!C3=2,90+Inputs!$B$26+Inputs!$B$29,IF(Skills!C3=3,120+Inputs!$B$27+Inputs!$B$29,MAX(0,(Inputs!$B$3-100)*3)+Inputs!$B$28+Inputs!$B$29)))</f>
        <v/>
      </c>
      <c r="E196">
        <f>INDEX(FactorTable!$B$2:$Y$301, MATCH(ROUND(MIN(300,MAX(1,D196)),0), FactorTable!$A$2:$A$301,0), Skills!L3+1)</f>
        <v/>
      </c>
      <c r="F196">
        <f>IF(Skills!M3=TRUE,(Skills!K3/10)*(E196/1000),Skills!K3/10)+Skills!N3</f>
        <v/>
      </c>
      <c r="G196">
        <f>Calc!G3</f>
        <v/>
      </c>
      <c r="H196">
        <f>Calc!H3</f>
        <v/>
      </c>
      <c r="I196">
        <f>IF(Skills!T3&lt;&gt;"",1+(Skills!T3/10)*(Z196/1000)/100,1)</f>
        <v/>
      </c>
      <c r="J196" t="inlineStr"/>
      <c r="K196" t="inlineStr"/>
      <c r="L196" t="inlineStr"/>
      <c r="M196" t="inlineStr"/>
      <c r="N196" t="inlineStr"/>
      <c r="O196">
        <f>(1-Summary!$B$11)*S196+Summary!$B$11*U196</f>
        <v/>
      </c>
      <c r="P196">
        <f>IF(B230=0,0,O196/B230)</f>
        <v/>
      </c>
      <c r="Q196">
        <f>IFERROR(1/(IF(Inputs!$B$38="pvp",15,MAX(0.1,Skills!D3-IF(TRUE=TRUE,Inputs!$B$32,0)))*(1-IF(AND(ArtifactsInput!$M$27,Inputs!$B$4="Chapter Hunt"),CHOOSE(ArtifactsInput!$N$27+1,20,24,28,32,36,40),0)/100)),0)</f>
        <v/>
      </c>
      <c r="R196">
        <f>IF(AND(Inputs!$B$38&lt;&gt;"pvp",Inputs!$B$43&gt;0),IF(Inputs!$B$43&lt;=0,0,(INT(Inputs!$B$43/(IF(Inputs!$B$38="pvp",15,MAX(0.1,Skills!D3-IF(TRUE=TRUE,Inputs!$B$32,0)))*(1-IF(AND(ArtifactsInput!$M$27,Inputs!$B$4="Chapter Hunt"),CHOOSE(ArtifactsInput!$N$27+1,20,24,28,32,36,40),0)/100)))+1)),0)</f>
        <v/>
      </c>
      <c r="S196" t="n">
        <v>0</v>
      </c>
      <c r="T196">
        <f>INDEX(FactorTable!$B$2:$Y$301, MATCH(ROUND(MIN(300,MAX(1,T195)),0), FactorTable!$A$2:$A$301,0), 22)</f>
        <v/>
      </c>
      <c r="U196" t="n">
        <v>0</v>
      </c>
      <c r="Z196">
        <f>INDEX(FactorTable!$B$2:$Y$301, MATCH(ROUND(MIN(300,MAX(1,Z195)),0), FactorTable!$A$2:$A$301,0), 24)</f>
        <v/>
      </c>
    </row>
    <row r="197">
      <c r="A197">
        <f>Skills!A4</f>
        <v/>
      </c>
      <c r="B197">
        <f>Skills!B4</f>
        <v/>
      </c>
      <c r="C197">
        <f>Inputs!$B$3&gt;=40</f>
        <v/>
      </c>
      <c r="D197">
        <f>IF(Skills!C4=1,60+Inputs!$B$25+Inputs!$B$29,IF(Skills!C4=2,90+Inputs!$B$26+Inputs!$B$29,IF(Skills!C4=3,120+Inputs!$B$27+Inputs!$B$29,MAX(0,(Inputs!$B$3-100)*3)+Inputs!$B$28+Inputs!$B$29)))</f>
        <v/>
      </c>
      <c r="E197">
        <f>INDEX(FactorTable!$B$2:$Y$301, MATCH(ROUND(MIN(300,MAX(1,D197)),0), FactorTable!$A$2:$A$301,0), Skills!L4+1)</f>
        <v/>
      </c>
      <c r="F197">
        <f>IF(Skills!M4=TRUE,(Skills!K4/10)*(E197/1000),Skills!K4/10)+Skills!N4</f>
        <v/>
      </c>
      <c r="G197">
        <f>Calc!G4</f>
        <v/>
      </c>
      <c r="H197">
        <f>Calc!H4</f>
        <v/>
      </c>
      <c r="I197">
        <f>IF(Skills!T4&lt;&gt;"",1+(Skills!T4/10)*(Z196/1000)/100,1)</f>
        <v/>
      </c>
      <c r="J197" t="inlineStr"/>
      <c r="K197" t="inlineStr"/>
      <c r="L197" t="inlineStr"/>
      <c r="M197" t="inlineStr"/>
      <c r="N197" t="inlineStr"/>
      <c r="O197">
        <f>(1-Summary!$B$11)*S197+Summary!$B$11*U197</f>
        <v/>
      </c>
      <c r="P197">
        <f>IF(B230=0,0,O197/B230)</f>
        <v/>
      </c>
      <c r="Q197">
        <f>IFERROR(1/(IF(Inputs!$B$38="pvp",15,MAX(0.1,Skills!D4-IF(TRUE=TRUE,Inputs!$B$32,0)))*(1-IF(AND(ArtifactsInput!$M$27,Inputs!$B$4="Chapter Hunt"),CHOOSE(ArtifactsInput!$N$27+1,20,24,28,32,36,40),0)/100)),0)</f>
        <v/>
      </c>
      <c r="R197">
        <f>IF(AND(Inputs!$B$38&lt;&gt;"pvp",Inputs!$B$43&gt;0),IF(Inputs!$B$43&lt;=0,0,(INT(Inputs!$B$43/(IF(Inputs!$B$38="pvp",15,MAX(0.1,Skills!D4-IF(TRUE=TRUE,Inputs!$B$32,0)))*(1-IF(AND(ArtifactsInput!$M$27,Inputs!$B$4="Chapter Hunt"),CHOOSE(ArtifactsInput!$N$27+1,20,24,28,32,36,40),0)/100)))+1)),0)</f>
        <v/>
      </c>
      <c r="S197" t="n">
        <v>0</v>
      </c>
      <c r="T197">
        <f>290*T196/1000</f>
        <v/>
      </c>
      <c r="U197" t="n">
        <v>0</v>
      </c>
    </row>
    <row r="198">
      <c r="A198">
        <f>Skills!A5</f>
        <v/>
      </c>
      <c r="B198">
        <f>Skills!B5</f>
        <v/>
      </c>
      <c r="C198">
        <f>Inputs!$B$3&gt;=38</f>
        <v/>
      </c>
      <c r="D198">
        <f>IF(Skills!C5=1,60+Inputs!$B$25+Inputs!$B$29,IF(Skills!C5=2,90+Inputs!$B$26+Inputs!$B$29,IF(Skills!C5=3,120+Inputs!$B$27+Inputs!$B$29,MAX(0,(Inputs!$B$3-100)*3)+Inputs!$B$28+Inputs!$B$29)))</f>
        <v/>
      </c>
      <c r="E198">
        <f>INDEX(FactorTable!$B$2:$Y$301, MATCH(ROUND(MIN(300,MAX(1,D198)),0), FactorTable!$A$2:$A$301,0), Skills!L5+1)</f>
        <v/>
      </c>
      <c r="F198">
        <f>IF(Skills!M5=TRUE,(Skills!K5/10)*(E198/1000),Skills!K5/10)+Skills!N5</f>
        <v/>
      </c>
      <c r="G198">
        <f>Calc!G5</f>
        <v/>
      </c>
      <c r="H198">
        <f>Calc!H5</f>
        <v/>
      </c>
      <c r="I198">
        <f>IF(Skills!T5&lt;&gt;"",1+(Skills!T5/10)*(Z196/1000)/100,1)</f>
        <v/>
      </c>
      <c r="J198">
        <f>((Inputs!$B$6*(1+Inputs!$B$7/100))+(((Inputs!$B$12*(1+Inputs!$B$13/100))-(Inputs!$B$12*(1+Inputs!$B$13/100)))+0.25*(Inputs!$B$14-Inputs!$B$14))*(1+Inputs!$B$7/100))*(F198/100)</f>
        <v/>
      </c>
      <c r="K198">
        <f>J198*(1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5="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198)</f>
        <v/>
      </c>
      <c r="L198">
        <f>K198*(MIN(Inputs!$B$22+(F211-Calc!F18),(Inputs!$B$23+(IF(ArtifactsInput!$M$15,CHOOSE(ArtifactsInput!$N$15+1,25,30,35,40,45,50)/100*(Inputs!$B$11-Inputs!$B$11),0))))/100+(Inputs!$B$23+(IF(ArtifactsInput!$M$15,CHOOSE(ArtifactsInput!$N$15+1,25,30,35,40,45,50)/100*(Inputs!$B$11-Inputs!$B$11),0)))/100)/2</f>
        <v/>
      </c>
      <c r="M198">
        <f>L198*(1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8">
        <f>L198*(1-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198*(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8">
        <f>(1-Summary!$B$11)*S198+Summary!$B$11*U198</f>
        <v/>
      </c>
      <c r="P198">
        <f>IF(B230=0,0,O198/B230)</f>
        <v/>
      </c>
      <c r="Q198">
        <f>IFERROR(1/(IF(Inputs!$B$38="pvp",15,MAX(0.1,Skills!D5-IF(TRUE=TRUE,Inputs!$B$32,0)))*(1-IF(AND(ArtifactsInput!$M$27,Inputs!$B$4="Chapter Hunt"),CHOOSE(ArtifactsInput!$N$27+1,20,24,28,32,36,40),0)/100)),0)</f>
        <v/>
      </c>
      <c r="R198">
        <f>IF(AND(Inputs!$B$38&lt;&gt;"pvp",Inputs!$B$43&gt;0),IF(MAX(0,Inputs!$B$43-B227)&lt;=0,0,(INT(MAX(0,Inputs!$B$43-B227)/(IF(Inputs!$B$38="pvp",15,MAX(0.1,Skills!D5-IF(TRUE=TRUE,Inputs!$B$32,0)))*(1-IF(AND(ArtifactsInput!$M$27,Inputs!$B$4="Chapter Hunt"),CHOOSE(ArtifactsInput!$N$27+1,20,24,28,32,36,40),0)/100)))+1)),0)</f>
        <v/>
      </c>
      <c r="S198">
        <f>IF(C198,(H198*N198*IF(AND(Inputs!$B$38&lt;&gt;"pvp",Inputs!$B$43&gt;0),((Skills!F5*((R198-1)*IF(Skills!G5&gt;0,Skills!H5/Skills!G5,1)+IF(Skills!G5&gt;0,MIN(Skills!H5,MAX(0,MAX(0,Inputs!$B$43-B227)-((R198-1)*(IF(Inputs!$B$38="pvp",15,MAX(0.1,Skills!D5-IF(TRUE=TRUE,Inputs!$B$32,0)))*(1-IF(AND(ArtifactsInput!$M$27,Inputs!$B$4="Chapter Hunt"),CHOOSE(ArtifactsInput!$N$27+1,20,24,28,32,36,40),0)/100)))))/Skills!G5,1)))/Inputs!$B$43),G198*Q198))*IF(Inputs!$B$38="pvp",1,1+(Inputs!$B$20+Skills!O5+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198*(1-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198*(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198*(1-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198*(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8">
        <f>IF(C198,(H198*N198*IF(AND(Inputs!$B$38&lt;&gt;"pvp",Inputs!$B$43&gt;0),((Skills!F5*((R198-1)*IF(Skills!G5&gt;0,Skills!H5/Skills!G5,1)+IF(Skills!G5&gt;0,MIN(Skills!H5,MAX(0,MAX(0,Inputs!$B$43-B227)-((R198-1)*(IF(Inputs!$B$38="pvp",15,MAX(0.1,Skills!D5-IF(TRUE=TRUE,Inputs!$B$32,0)))*(1-IF(AND(ArtifactsInput!$M$27,Inputs!$B$4="Chapter Hunt"),CHOOSE(ArtifactsInput!$N$27+1,20,24,28,32,36,40),0)/100)))))/Skills!G5,1)))/Inputs!$B$43),G198*Q198))*IF(Inputs!$B$38="pvp",1,(1+(Inputs!$B$21+Skills!P5+B221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9">
      <c r="A199">
        <f>Skills!A6</f>
        <v/>
      </c>
      <c r="B199">
        <f>Skills!B6</f>
        <v/>
      </c>
      <c r="C199">
        <f>Inputs!$B$3&gt;=63</f>
        <v/>
      </c>
      <c r="D199">
        <f>IF(Skills!C6=1,60+Inputs!$B$25+Inputs!$B$29,IF(Skills!C6=2,90+Inputs!$B$26+Inputs!$B$29,IF(Skills!C6=3,120+Inputs!$B$27+Inputs!$B$29,MAX(0,(Inputs!$B$3-100)*3)+Inputs!$B$28+Inputs!$B$29)))</f>
        <v/>
      </c>
      <c r="E199">
        <f>INDEX(FactorTable!$B$2:$Y$301, MATCH(ROUND(MIN(300,MAX(1,D199)),0), FactorTable!$A$2:$A$301,0), Skills!L6+1)</f>
        <v/>
      </c>
      <c r="F199">
        <f>IF(Skills!M6=TRUE,(Skills!K6/10)*(E199/1000),Skills!K6/10)+Skills!N6</f>
        <v/>
      </c>
      <c r="G199">
        <f>Calc!G6</f>
        <v/>
      </c>
      <c r="H199">
        <f>Calc!H6</f>
        <v/>
      </c>
      <c r="I199">
        <f>IF(Skills!T6&lt;&gt;"",1+(Skills!T6/10)*(Z196/1000)/100,1)</f>
        <v/>
      </c>
      <c r="J199">
        <f>((Inputs!$B$6*(1+Inputs!$B$7/100))+(((Inputs!$B$12*(1+Inputs!$B$13/100))-(Inputs!$B$12*(1+Inputs!$B$13/100)))+0.25*(Inputs!$B$14-Inputs!$B$14))*(1+Inputs!$B$7/100))*(F199/100)</f>
        <v/>
      </c>
      <c r="K199">
        <f>J199*(1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6="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f>
        <v/>
      </c>
      <c r="L199">
        <f>K199*(MIN(Inputs!$B$22+(F211-Calc!F18),(Inputs!$B$23+(IF(ArtifactsInput!$M$15,CHOOSE(ArtifactsInput!$N$15+1,25,30,35,40,45,50)/100*(Inputs!$B$11-Inputs!$B$11),0))))/100+(Inputs!$B$23+(IF(ArtifactsInput!$M$15,CHOOSE(ArtifactsInput!$N$15+1,25,30,35,40,45,50)/100*(Inputs!$B$11-Inputs!$B$11),0)))/100)/2</f>
        <v/>
      </c>
      <c r="M199">
        <f>L199*(1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
        <f>L199*(1-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
        <f>(1-Summary!$B$11)*S199+Summary!$B$11*U199</f>
        <v/>
      </c>
      <c r="P199">
        <f>IF(B230=0,0,O199/B230)</f>
        <v/>
      </c>
      <c r="Q199">
        <f>IFERROR(1/(IF(Inputs!$B$38="pvp",15,MAX(0.1,Skills!D6-IF(TRUE=TRUE,Inputs!$B$32,0)))*(1-IF(AND(ArtifactsInput!$M$27,Inputs!$B$4="Chapter Hunt"),CHOOSE(ArtifactsInput!$N$27+1,20,24,28,32,36,40),0)/100)),0)</f>
        <v/>
      </c>
      <c r="R199">
        <f>IF(AND(Inputs!$B$38&lt;&gt;"pvp",Inputs!$B$43&gt;0),IF(MAX(0,Inputs!$B$43-B227)&lt;=0,0,(INT(MAX(0,Inputs!$B$43-B227)/(IF(Inputs!$B$38="pvp",15,MAX(0.1,Skills!D6-IF(TRUE=TRUE,Inputs!$B$32,0)))*(1-IF(AND(ArtifactsInput!$M$27,Inputs!$B$4="Chapter Hunt"),CHOOSE(ArtifactsInput!$N$27+1,20,24,28,32,36,40),0)/100)))+1)),0)</f>
        <v/>
      </c>
      <c r="S199">
        <f>IF(C199,(H199*N199*IF(AND(Inputs!$B$38&lt;&gt;"pvp",Inputs!$B$43&gt;0),((Skills!F6*((R199-1)*IF(Skills!G6&gt;0,Skills!H6/Skills!G6,1)+IF(Skills!G6&gt;0,MIN(Skills!H6,MAX(0,MAX(0,Inputs!$B$43-B227)-((R199-1)*(IF(Inputs!$B$38="pvp",15,MAX(0.1,Skills!D6-IF(TRUE=TRUE,Inputs!$B$32,0)))*(1-IF(AND(ArtifactsInput!$M$27,Inputs!$B$4="Chapter Hunt"),CHOOSE(ArtifactsInput!$N$27+1,20,24,28,32,36,40),0)/100)))))/Skills!G6,1)))/Inputs!$B$43),G199*Q199))*IF(Inputs!$B$38="pvp",1,1+(Inputs!$B$20+Skills!O6+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199*(1-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9">
        <f>IF(C199,(H199*N199*IF(AND(Inputs!$B$38&lt;&gt;"pvp",Inputs!$B$43&gt;0),((Skills!F6*((R199-1)*IF(Skills!G6&gt;0,Skills!H6/Skills!G6,1)+IF(Skills!G6&gt;0,MIN(Skills!H6,MAX(0,MAX(0,Inputs!$B$43-B227)-((R199-1)*(IF(Inputs!$B$38="pvp",15,MAX(0.1,Skills!D6-IF(TRUE=TRUE,Inputs!$B$32,0)))*(1-IF(AND(ArtifactsInput!$M$27,Inputs!$B$4="Chapter Hunt"),CHOOSE(ArtifactsInput!$N$27+1,20,24,28,32,36,40),0)/100)))))/Skills!G6,1)))/Inputs!$B$43),G199*Q199))*IF(Inputs!$B$38="pvp",1,(1+(Inputs!$B$21+Skills!P6+B221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
      <c r="A200">
        <f>Skills!A7</f>
        <v/>
      </c>
      <c r="B200">
        <f>Skills!B7</f>
        <v/>
      </c>
      <c r="C200">
        <f>Inputs!$B$3&gt;=69</f>
        <v/>
      </c>
      <c r="D200">
        <f>IF(Skills!C7=1,60+Inputs!$B$25+Inputs!$B$29,IF(Skills!C7=2,90+Inputs!$B$26+Inputs!$B$29,IF(Skills!C7=3,120+Inputs!$B$27+Inputs!$B$29,MAX(0,(Inputs!$B$3-100)*3)+Inputs!$B$28+Inputs!$B$29)))</f>
        <v/>
      </c>
      <c r="E200">
        <f>INDEX(FactorTable!$B$2:$Y$301, MATCH(ROUND(MIN(300,MAX(1,D200)),0), FactorTable!$A$2:$A$301,0), Skills!L7+1)</f>
        <v/>
      </c>
      <c r="F200">
        <f>IF(Skills!M7=TRUE,(Skills!K7/10)*(E200/1000),Skills!K7/10)+Skills!N7</f>
        <v/>
      </c>
      <c r="G200">
        <f>Calc!G7</f>
        <v/>
      </c>
      <c r="H200">
        <f>Calc!H7</f>
        <v/>
      </c>
      <c r="I200">
        <f>IF(Skills!T7&lt;&gt;"",1+(Skills!T7/10)*(Z196/1000)/100,1)</f>
        <v/>
      </c>
      <c r="J200">
        <f>((Inputs!$B$6*(1+Inputs!$B$7/100))+(((Inputs!$B$12*(1+Inputs!$B$13/100))-(Inputs!$B$12*(1+Inputs!$B$13/100)))+0.25*(Inputs!$B$14-Inputs!$B$14))*(1+Inputs!$B$7/100))*(F200/100)</f>
        <v/>
      </c>
      <c r="K200">
        <f>J200*(1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7="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f>
        <v/>
      </c>
      <c r="L200">
        <f>K200*(MIN(Inputs!$B$22+(F211-Calc!F18),(Inputs!$B$23+(IF(ArtifactsInput!$M$15,CHOOSE(ArtifactsInput!$N$15+1,25,30,35,40,45,50)/100*(Inputs!$B$11-Inputs!$B$11),0))))/100+(Inputs!$B$23+(IF(ArtifactsInput!$M$15,CHOOSE(ArtifactsInput!$N$15+1,25,30,35,40,45,50)/100*(Inputs!$B$11-Inputs!$B$11),0)))/100)/2</f>
        <v/>
      </c>
      <c r="M200">
        <f>L200*(1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
        <f>L200*(1-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
        <f>(1-Summary!$B$11)*S200+Summary!$B$11*U200</f>
        <v/>
      </c>
      <c r="P200">
        <f>IF(B230=0,0,O200/B230)</f>
        <v/>
      </c>
      <c r="Q200">
        <f>IFERROR(1/(IF(Inputs!$B$38="pvp",15,MAX(0.1,Skills!D7-IF(TRUE=TRUE,Inputs!$B$32,0)))*(1-IF(AND(ArtifactsInput!$M$27,Inputs!$B$4="Chapter Hunt"),CHOOSE(ArtifactsInput!$N$27+1,20,24,28,32,36,40),0)/100)),0)</f>
        <v/>
      </c>
      <c r="R200">
        <f>IF(AND(Inputs!$B$38&lt;&gt;"pvp",Inputs!$B$43&gt;0),IF(MAX(0,Inputs!$B$43-B227)&lt;=0,0,(INT(MAX(0,Inputs!$B$43-B227)/(IF(Inputs!$B$38="pvp",15,MAX(0.1,Skills!D7-IF(TRUE=TRUE,Inputs!$B$32,0)))*(1-IF(AND(ArtifactsInput!$M$27,Inputs!$B$4="Chapter Hunt"),CHOOSE(ArtifactsInput!$N$27+1,20,24,28,32,36,40),0)/100)))+1)),0)</f>
        <v/>
      </c>
      <c r="S200">
        <f>IF(C200,(H200*N200*IF(AND(Inputs!$B$38&lt;&gt;"pvp",Inputs!$B$43&gt;0),((Skills!F7*((R200-1)*IF(Skills!G7&gt;0,Skills!H7/Skills!G7,1)+IF(Skills!G7&gt;0,MIN(Skills!H7,MAX(0,MAX(0,Inputs!$B$43-B227)-((R200-1)*(IF(Inputs!$B$38="pvp",15,MAX(0.1,Skills!D7-IF(TRUE=TRUE,Inputs!$B$32,0)))*(1-IF(AND(ArtifactsInput!$M$27,Inputs!$B$4="Chapter Hunt"),CHOOSE(ArtifactsInput!$N$27+1,20,24,28,32,36,40),0)/100)))))/Skills!G7,1)))/Inputs!$B$43),G200*Q200))*IF(Inputs!$B$38="pvp",1,1+(Inputs!$B$20+Skills!O7+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
        <f>IF(C200,(H200*N200*IF(AND(Inputs!$B$38&lt;&gt;"pvp",Inputs!$B$43&gt;0),((Skills!F7*((R200-1)*IF(Skills!G7&gt;0,Skills!H7/Skills!G7,1)+IF(Skills!G7&gt;0,MIN(Skills!H7,MAX(0,MAX(0,Inputs!$B$43-B227)-((R200-1)*(IF(Inputs!$B$38="pvp",15,MAX(0.1,Skills!D7-IF(TRUE=TRUE,Inputs!$B$32,0)))*(1-IF(AND(ArtifactsInput!$M$27,Inputs!$B$4="Chapter Hunt"),CHOOSE(ArtifactsInput!$N$27+1,20,24,28,32,36,40),0)/100)))))/Skills!G7,1)))/Inputs!$B$43),G200*Q200))*IF(Inputs!$B$38="pvp",1,(1+(Inputs!$B$21+Skills!P7+B221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
      <c r="A201">
        <f>Skills!A8</f>
        <v/>
      </c>
      <c r="B201">
        <f>Skills!B8</f>
        <v/>
      </c>
      <c r="C201">
        <f>Inputs!$B$3&gt;=103</f>
        <v/>
      </c>
      <c r="D201">
        <f>IF(Skills!C8=1,60+Inputs!$B$25+Inputs!$B$29,IF(Skills!C8=2,90+Inputs!$B$26+Inputs!$B$29,IF(Skills!C8=3,120+Inputs!$B$27+Inputs!$B$29,MAX(0,(Inputs!$B$3-100)*3)+Inputs!$B$28+Inputs!$B$29)))</f>
        <v/>
      </c>
      <c r="E201">
        <f>INDEX(FactorTable!$B$2:$Y$301, MATCH(ROUND(MIN(300,MAX(1,D201)),0), FactorTable!$A$2:$A$301,0), Skills!L8+1)</f>
        <v/>
      </c>
      <c r="F201">
        <f>IF(Skills!M8=TRUE,(Skills!K8/10)*(E201/1000),Skills!K8/10)+Skills!N8</f>
        <v/>
      </c>
      <c r="G201">
        <f>Calc!G8</f>
        <v/>
      </c>
      <c r="H201">
        <f>Calc!H8</f>
        <v/>
      </c>
      <c r="I201">
        <f>IF(Skills!T8&lt;&gt;"",1+(Skills!T8/10)*(Z196/1000)/100,1)</f>
        <v/>
      </c>
      <c r="J201">
        <f>((Inputs!$B$6*(1+Inputs!$B$7/100))+(((Inputs!$B$12*(1+Inputs!$B$13/100))-(Inputs!$B$12*(1+Inputs!$B$13/100)))+0.25*(Inputs!$B$14-Inputs!$B$14))*(1+Inputs!$B$7/100))*(F201/100)</f>
        <v/>
      </c>
      <c r="K201">
        <f>J201*(1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8="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f>
        <v/>
      </c>
      <c r="L201">
        <f>K201*(MIN(Inputs!$B$22+(F211-Calc!F18),(Inputs!$B$23+(IF(ArtifactsInput!$M$15,CHOOSE(ArtifactsInput!$N$15+1,25,30,35,40,45,50)/100*(Inputs!$B$11-Inputs!$B$11),0))))/100+(Inputs!$B$23+(IF(ArtifactsInput!$M$15,CHOOSE(ArtifactsInput!$N$15+1,25,30,35,40,45,50)/100*(Inputs!$B$11-Inputs!$B$11),0)))/100)/2</f>
        <v/>
      </c>
      <c r="M201">
        <f>L201*(1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1">
        <f>L201*(1-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
        <f>(1-Summary!$B$11)*S201+Summary!$B$11*U201</f>
        <v/>
      </c>
      <c r="P201">
        <f>IF(B230=0,0,O201/B230)</f>
        <v/>
      </c>
      <c r="Q201">
        <f>IFERROR(1/(IF(Inputs!$B$38="pvp",15,MAX(0.1,Skills!D8-IF(TRUE=TRUE,Inputs!$B$32,0)))*(1-IF(AND(ArtifactsInput!$M$27,Inputs!$B$4="Chapter Hunt"),CHOOSE(ArtifactsInput!$N$27+1,20,24,28,32,36,40),0)/100)),0)</f>
        <v/>
      </c>
      <c r="R201">
        <f>IF(AND(Inputs!$B$38&lt;&gt;"pvp",Inputs!$B$43&gt;0),IF(MAX(0,Inputs!$B$43-B227)&lt;=0,0,(INT(MAX(0,Inputs!$B$43-B227)/(IF(Inputs!$B$38="pvp",15,MAX(0.1,Skills!D8-IF(TRUE=TRUE,Inputs!$B$32,0)))*(1-IF(AND(ArtifactsInput!$M$27,Inputs!$B$4="Chapter Hunt"),CHOOSE(ArtifactsInput!$N$27+1,20,24,28,32,36,40),0)/100)))+1)),0)</f>
        <v/>
      </c>
      <c r="S201">
        <f>IF(C201,(H201*N201*IF(AND(Inputs!$B$38&lt;&gt;"pvp",Inputs!$B$43&gt;0),((Skills!F8*((R201-1)*IF(Skills!G8&gt;0,Skills!H8/Skills!G8,1)+IF(Skills!G8&gt;0,MIN(Skills!H8,MAX(0,MAX(0,Inputs!$B$43-B227)-((R201-1)*(IF(Inputs!$B$38="pvp",15,MAX(0.1,Skills!D8-IF(TRUE=TRUE,Inputs!$B$32,0)))*(1-IF(AND(ArtifactsInput!$M$27,Inputs!$B$4="Chapter Hunt"),CHOOSE(ArtifactsInput!$N$27+1,20,24,28,32,36,40),0)/100)))))/Skills!G8,1)))/Inputs!$B$43),G201*Q201))*IF(Inputs!$B$38="pvp",1,1+(Inputs!$B$20+Skills!O8+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201*(1-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1">
        <f>IF(C201,(H201*N201*IF(AND(Inputs!$B$38&lt;&gt;"pvp",Inputs!$B$43&gt;0),((Skills!F8*((R201-1)*IF(Skills!G8&gt;0,Skills!H8/Skills!G8,1)+IF(Skills!G8&gt;0,MIN(Skills!H8,MAX(0,MAX(0,Inputs!$B$43-B227)-((R201-1)*(IF(Inputs!$B$38="pvp",15,MAX(0.1,Skills!D8-IF(TRUE=TRUE,Inputs!$B$32,0)))*(1-IF(AND(ArtifactsInput!$M$27,Inputs!$B$4="Chapter Hunt"),CHOOSE(ArtifactsInput!$N$27+1,20,24,28,32,36,40),0)/100)))))/Skills!G8,1)))/Inputs!$B$43),G201*Q201))*IF(Inputs!$B$38="pvp",1,(1+(Inputs!$B$21+Skills!P8+B221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2">
      <c r="A202">
        <f>Skills!A9</f>
        <v/>
      </c>
      <c r="B202">
        <f>Skills!B9</f>
        <v/>
      </c>
      <c r="C202">
        <f>Inputs!$B$3&gt;=105</f>
        <v/>
      </c>
      <c r="D202">
        <f>IF(Skills!C9=1,60+Inputs!$B$25+Inputs!$B$29,IF(Skills!C9=2,90+Inputs!$B$26+Inputs!$B$29,IF(Skills!C9=3,120+Inputs!$B$27+Inputs!$B$29,MAX(0,(Inputs!$B$3-100)*3)+Inputs!$B$28+Inputs!$B$29)))</f>
        <v/>
      </c>
      <c r="E202">
        <f>INDEX(FactorTable!$B$2:$Y$301, MATCH(ROUND(MIN(300,MAX(1,D202)),0), FactorTable!$A$2:$A$301,0), Skills!L9+1)</f>
        <v/>
      </c>
      <c r="F202">
        <f>IF(Skills!M9=TRUE,(Skills!K9/10)*(E202/1000),Skills!K9/10)+Skills!N9</f>
        <v/>
      </c>
      <c r="G202">
        <f>Calc!G9</f>
        <v/>
      </c>
      <c r="H202">
        <f>Calc!H9</f>
        <v/>
      </c>
      <c r="I202">
        <f>IF(Skills!T9&lt;&gt;"",1+(Skills!T9/10)*(Z196/1000)/100,1)</f>
        <v/>
      </c>
      <c r="J202">
        <f>((Inputs!$B$6*(1+Inputs!$B$7/100))+(((Inputs!$B$12*(1+Inputs!$B$13/100))-(Inputs!$B$12*(1+Inputs!$B$13/100)))+0.25*(Inputs!$B$14-Inputs!$B$14))*(1+Inputs!$B$7/100))*(F202/100)</f>
        <v/>
      </c>
      <c r="K202">
        <f>J202*(1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9="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202)</f>
        <v/>
      </c>
      <c r="L202">
        <f>K202*(MIN(Inputs!$B$22+(F211-Calc!F18),(Inputs!$B$23+(IF(ArtifactsInput!$M$15,CHOOSE(ArtifactsInput!$N$15+1,25,30,35,40,45,50)/100*(Inputs!$B$11-Inputs!$B$11),0))))/100+(Inputs!$B$23+(IF(ArtifactsInput!$M$15,CHOOSE(ArtifactsInput!$N$15+1,25,30,35,40,45,50)/100*(Inputs!$B$11-Inputs!$B$11),0)))/100)/2</f>
        <v/>
      </c>
      <c r="M202">
        <f>L202*(1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2">
        <f>L202*(1-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202*(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2">
        <f>(1-Summary!$B$11)*S202+Summary!$B$11*U202</f>
        <v/>
      </c>
      <c r="P202">
        <f>IF(B230=0,0,O202/B230)</f>
        <v/>
      </c>
      <c r="Q202">
        <f>IFERROR(1/(IF(Inputs!$B$38="pvp",15,MAX(0.1,Skills!D9-IF(TRUE=TRUE,Inputs!$B$32,0)))*(1-IF(AND(ArtifactsInput!$M$27,Inputs!$B$4="Chapter Hunt"),CHOOSE(ArtifactsInput!$N$27+1,20,24,28,32,36,40),0)/100)),0)</f>
        <v/>
      </c>
      <c r="R202">
        <f>IF(AND(Inputs!$B$38&lt;&gt;"pvp",Inputs!$B$43&gt;0),IF(MAX(0,Inputs!$B$43-B227)&lt;=0,0,(INT(MAX(0,Inputs!$B$43-B227)/(IF(Inputs!$B$38="pvp",15,MAX(0.1,Skills!D9-IF(TRUE=TRUE,Inputs!$B$32,0)))*(1-IF(AND(ArtifactsInput!$M$27,Inputs!$B$4="Chapter Hunt"),CHOOSE(ArtifactsInput!$N$27+1,20,24,28,32,36,40),0)/100)))+1)),0)</f>
        <v/>
      </c>
      <c r="S202">
        <f>IF(C202,(H202*N202*IF(AND(Inputs!$B$38&lt;&gt;"pvp",Inputs!$B$43&gt;0),((Skills!F9*((R202-1)*IF(Skills!G9&gt;0,Skills!H9/Skills!G9,1)+IF(Skills!G9&gt;0,MIN(Skills!H9,MAX(0,MAX(0,Inputs!$B$43-B227)-((R202-1)*(IF(Inputs!$B$38="pvp",15,MAX(0.1,Skills!D9-IF(TRUE=TRUE,Inputs!$B$32,0)))*(1-IF(AND(ArtifactsInput!$M$27,Inputs!$B$4="Chapter Hunt"),CHOOSE(ArtifactsInput!$N$27+1,20,24,28,32,36,40),0)/100)))))/Skills!G9,1)))/Inputs!$B$43),G202*Q202))*IF(Inputs!$B$38="pvp",1,1+(Inputs!$B$20+Skills!O9+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202*(1-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202*(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202*(1-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202*(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2">
        <f>IF(C202,(H202*N202*IF(AND(Inputs!$B$38&lt;&gt;"pvp",Inputs!$B$43&gt;0),((Skills!F9*((R202-1)*IF(Skills!G9&gt;0,Skills!H9/Skills!G9,1)+IF(Skills!G9&gt;0,MIN(Skills!H9,MAX(0,MAX(0,Inputs!$B$43-B227)-((R202-1)*(IF(Inputs!$B$38="pvp",15,MAX(0.1,Skills!D9-IF(TRUE=TRUE,Inputs!$B$32,0)))*(1-IF(AND(ArtifactsInput!$M$27,Inputs!$B$4="Chapter Hunt"),CHOOSE(ArtifactsInput!$N$27+1,20,24,28,32,36,40),0)/100)))))/Skills!G9,1)))/Inputs!$B$43),G202*Q202))*IF(Inputs!$B$38="pvp",1,(1+(Inputs!$B$21+Skills!P9+B221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3">
      <c r="A203">
        <f>Skills!A10</f>
        <v/>
      </c>
      <c r="B203">
        <f>Skills!B10</f>
        <v/>
      </c>
      <c r="C203">
        <f>Inputs!$B$3&gt;=113</f>
        <v/>
      </c>
      <c r="D203">
        <f>IF(Skills!C10=1,60+Inputs!$B$25+Inputs!$B$29,IF(Skills!C10=2,90+Inputs!$B$26+Inputs!$B$29,IF(Skills!C10=3,120+Inputs!$B$27+Inputs!$B$29,MAX(0,(Inputs!$B$3-100)*3)+Inputs!$B$28+Inputs!$B$29)))</f>
        <v/>
      </c>
      <c r="E203">
        <f>INDEX(FactorTable!$B$2:$Y$301, MATCH(ROUND(MIN(300,MAX(1,D203)),0), FactorTable!$A$2:$A$301,0), Skills!L10+1)</f>
        <v/>
      </c>
      <c r="F203">
        <f>IF(Skills!M10=TRUE,(Skills!K10/10)*(E203/1000),Skills!K10/10)+Skills!N10</f>
        <v/>
      </c>
      <c r="G203">
        <f>Calc!G10</f>
        <v/>
      </c>
      <c r="H203">
        <f>Calc!H10</f>
        <v/>
      </c>
      <c r="I203">
        <f>IF(Skills!T10&lt;&gt;"",1+(Skills!T10/10)*(Z196/1000)/100,1)</f>
        <v/>
      </c>
      <c r="J203">
        <f>((Inputs!$B$6*(1+Inputs!$B$7/100))+(((Inputs!$B$12*(1+Inputs!$B$13/100))-(Inputs!$B$12*(1+Inputs!$B$13/100)))+0.25*(Inputs!$B$14-Inputs!$B$14))*(1+Inputs!$B$7/100))*(F203/100)</f>
        <v/>
      </c>
      <c r="K203">
        <f>J203*(1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10="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203)</f>
        <v/>
      </c>
      <c r="L203">
        <f>K203*(MIN(Inputs!$B$22+(F211-Calc!F18),(Inputs!$B$23+(IF(ArtifactsInput!$M$15,CHOOSE(ArtifactsInput!$N$15+1,25,30,35,40,45,50)/100*(Inputs!$B$11-Inputs!$B$11),0))))/100+(Inputs!$B$23+(IF(ArtifactsInput!$M$15,CHOOSE(ArtifactsInput!$N$15+1,25,30,35,40,45,50)/100*(Inputs!$B$11-Inputs!$B$11),0)))/100)/2</f>
        <v/>
      </c>
      <c r="M203">
        <f>L203*(1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3">
        <f>L203*(1-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203*(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3">
        <f>(1-Summary!$B$11)*S203+Summary!$B$11*U203</f>
        <v/>
      </c>
      <c r="P203">
        <f>IF(B230=0,0,O203/B230)</f>
        <v/>
      </c>
      <c r="Q203">
        <f>IFERROR(1/(IF(Inputs!$B$38="pvp",15,MAX(0.1,Skills!D10-IF(TRUE=TRUE,Inputs!$B$32,0)))*(1-IF(AND(ArtifactsInput!$M$27,Inputs!$B$4="Chapter Hunt"),CHOOSE(ArtifactsInput!$N$27+1,20,24,28,32,36,40),0)/100)),0)</f>
        <v/>
      </c>
      <c r="R203" t="n">
        <v>0</v>
      </c>
      <c r="S203">
        <f>IF(C203,((H203*B231)/(1+Skills!G10*H203*B231)*N203)*IF(Inputs!$B$38="pvp",1,1+(Inputs!$B$20+Skills!O10+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203*(1-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203*(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203*(1-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203*(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3">
        <f>IF(C203,((H203*B231)/(1+Skills!G10*H203*B231)*N203)*IF(Inputs!$B$38="pvp",1,(1+(Inputs!$B$21+Skills!P10+B221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
      <c r="A204">
        <f>Skills!A11</f>
        <v/>
      </c>
      <c r="B204">
        <f>Skills!B11</f>
        <v/>
      </c>
      <c r="C204">
        <f>Inputs!$B$3&gt;=107</f>
        <v/>
      </c>
      <c r="D204">
        <f>IF(Skills!C11=1,60+Inputs!$B$25+Inputs!$B$29,IF(Skills!C11=2,90+Inputs!$B$26+Inputs!$B$29,IF(Skills!C11=3,120+Inputs!$B$27+Inputs!$B$29,MAX(0,(Inputs!$B$3-100)*3)+Inputs!$B$28+Inputs!$B$29)))</f>
        <v/>
      </c>
      <c r="E204">
        <f>INDEX(FactorTable!$B$2:$Y$301, MATCH(ROUND(MIN(300,MAX(1,D204)),0), FactorTable!$A$2:$A$301,0), Skills!L11+1)</f>
        <v/>
      </c>
      <c r="F204">
        <f>IF(Skills!M11=TRUE,(Skills!K11/10)*(E204/1000),Skills!K11/10)+Skills!N11</f>
        <v/>
      </c>
      <c r="G204">
        <f>Calc!G11</f>
        <v/>
      </c>
      <c r="H204">
        <f>Calc!H11</f>
        <v/>
      </c>
      <c r="I204">
        <f>IF(Skills!T11&lt;&gt;"",1+(Skills!T11/10)*(Z196/1000)/100,1)</f>
        <v/>
      </c>
      <c r="J204">
        <f>((Inputs!$B$6*(1+Inputs!$B$7/100))+(((Inputs!$B$12*(1+Inputs!$B$13/100))-(Inputs!$B$12*(1+Inputs!$B$13/100)))+0.25*(Inputs!$B$14-Inputs!$B$14))*(1+Inputs!$B$7/100))*(F204/100)</f>
        <v/>
      </c>
      <c r="K204">
        <f>J204*(1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11="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f>
        <v/>
      </c>
      <c r="L204">
        <f>K204*(MIN(Inputs!$B$22+(F211-Calc!F18),(Inputs!$B$23+(IF(ArtifactsInput!$M$15,CHOOSE(ArtifactsInput!$N$15+1,25,30,35,40,45,50)/100*(Inputs!$B$11-Inputs!$B$11),0))))/100+(Inputs!$B$23+(IF(ArtifactsInput!$M$15,CHOOSE(ArtifactsInput!$N$15+1,25,30,35,40,45,50)/100*(Inputs!$B$11-Inputs!$B$11),0)))/100)/2</f>
        <v/>
      </c>
      <c r="M204">
        <f>L204*(1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
        <f>L204*(1-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
        <f>(1-Summary!$B$11)*S204+Summary!$B$11*U204</f>
        <v/>
      </c>
      <c r="P204">
        <f>IF(B230=0,0,O204/B230)</f>
        <v/>
      </c>
      <c r="Q204">
        <f>IFERROR(1/(IF(Inputs!$B$38="pvp",15,MAX(0.1,Skills!D11-IF(TRUE=TRUE,Inputs!$B$32,0)))*(1-IF(AND(ArtifactsInput!$M$27,Inputs!$B$4="Chapter Hunt"),CHOOSE(ArtifactsInput!$N$27+1,20,24,28,32,36,40),0)/100)),0)</f>
        <v/>
      </c>
      <c r="R204">
        <f>IF(AND(Inputs!$B$38&lt;&gt;"pvp",Inputs!$B$43&gt;0),IF(MAX(0,Inputs!$B$43-B227)&lt;=0,0,(INT(MAX(0,Inputs!$B$43-B227)/(IF(Inputs!$B$38="pvp",15,MAX(0.1,Skills!D11-IF(TRUE=TRUE,Inputs!$B$32,0)))*(1-IF(AND(ArtifactsInput!$M$27,Inputs!$B$4="Chapter Hunt"),CHOOSE(ArtifactsInput!$N$27+1,20,24,28,32,36,40),0)/100)))+1)),0)</f>
        <v/>
      </c>
      <c r="S204">
        <f>IF(C204,H204*N204*IF(AND(Inputs!$B$38&lt;&gt;"pvp",Inputs!$B$43&gt;0),((Skills!F11*((R204-1)*IF(Skills!G11&gt;0,Skills!H11/Skills!G11,1)+IF(Skills!G11&gt;0,MIN(Skills!H11,MAX(0,MAX(0,Inputs!$B$43-B227)-((R204-1)*(IF(Inputs!$B$38="pvp",15,MAX(0.1,Skills!D11-IF(TRUE=TRUE,Inputs!$B$32,0)))*(1-IF(AND(ArtifactsInput!$M$27,Inputs!$B$4="Chapter Hunt"),CHOOSE(ArtifactsInput!$N$27+1,20,24,28,32,36,40),0)/100)))))/Skills!G11,1)))/Inputs!$B$43),G204*Q204)*0.5*IF(Inputs!$B$38="pvp",1,1+(Inputs!$B$20+Skills!O11+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
        <f>IF(C204,H204*N204*IF(AND(Inputs!$B$38&lt;&gt;"pvp",Inputs!$B$43&gt;0),((Skills!F11*((R204-1)*IF(Skills!G11&gt;0,Skills!H11/Skills!G11,1)+IF(Skills!G11&gt;0,MIN(Skills!H11,MAX(0,MAX(0,Inputs!$B$43-B227)-((R204-1)*(IF(Inputs!$B$38="pvp",15,MAX(0.1,Skills!D11-IF(TRUE=TRUE,Inputs!$B$32,0)))*(1-IF(AND(ArtifactsInput!$M$27,Inputs!$B$4="Chapter Hunt"),CHOOSE(ArtifactsInput!$N$27+1,20,24,28,32,36,40),0)/100)))))/Skills!G11,1)))/Inputs!$B$43),G204*Q204)*1*IF(Inputs!$B$38="pvp",1,(1+(Inputs!$B$21+Skills!P11+B221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
      <c r="A205">
        <f>Skills!A12</f>
        <v/>
      </c>
      <c r="B205">
        <f>Skills!B12</f>
        <v/>
      </c>
      <c r="C205">
        <f>Inputs!$B$3&gt;=115</f>
        <v/>
      </c>
      <c r="D205">
        <f>IF(Skills!C12=1,60+Inputs!$B$25+Inputs!$B$29,IF(Skills!C12=2,90+Inputs!$B$26+Inputs!$B$29,IF(Skills!C12=3,120+Inputs!$B$27+Inputs!$B$29,MAX(0,(Inputs!$B$3-100)*3)+Inputs!$B$28+Inputs!$B$29)))</f>
        <v/>
      </c>
      <c r="E205">
        <f>INDEX(FactorTable!$B$2:$Y$301, MATCH(ROUND(MIN(300,MAX(1,D205)),0), FactorTable!$A$2:$A$301,0), Skills!L12+1)</f>
        <v/>
      </c>
      <c r="F205">
        <f>IF(Skills!M12=TRUE,(Skills!K12/10)*(E205/1000),Skills!K12/10)+Skills!N12</f>
        <v/>
      </c>
      <c r="G205">
        <f>Calc!G12</f>
        <v/>
      </c>
      <c r="H205">
        <f>Calc!H12</f>
        <v/>
      </c>
      <c r="I205">
        <f>IF(Skills!T12&lt;&gt;"",1+(Skills!T12/10)*(Z196/1000)/100,1)</f>
        <v/>
      </c>
      <c r="J205">
        <f>((Inputs!$B$6*(1+Inputs!$B$7/100))+(((Inputs!$B$12*(1+Inputs!$B$13/100))-(Inputs!$B$12*(1+Inputs!$B$13/100)))+0.25*(Inputs!$B$14-Inputs!$B$14))*(1+Inputs!$B$7/100))*(F205/100)</f>
        <v/>
      </c>
      <c r="K205">
        <f>J205*(1+((Inputs!$B$12*(1+Inputs!$B$13/100))*0.01+Inputs!$B$14*0.0025)/100)*(1+(Inputs!$B$15+B222)/100)*(1+(Inputs!$B$16+1)/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208=TRUE,F208,0)/100)*(1+IF(C216=TRUE,F216,0)/100)^5*(1+(IF(Skills!A12="CHAIN_LIGHTNING",Inputs!$B$17+((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f>
        <v/>
      </c>
      <c r="L205">
        <f>K205*(MIN(Inputs!$B$22+(F211-Calc!F18),(Inputs!$B$23+(IF(ArtifactsInput!$M$15,CHOOSE(ArtifactsInput!$N$15+1,25,30,35,40,45,50)/100*(Inputs!$B$11-Inputs!$B$11),0))))/100+(Inputs!$B$23+(IF(ArtifactsInput!$M$15,CHOOSE(ArtifactsInput!$N$15+1,25,30,35,40,45,50)/100*(Inputs!$B$11-Inputs!$B$11),0)))/100)/2</f>
        <v/>
      </c>
      <c r="M205">
        <f>L205*(1+(Inputs!$B$10+(F214-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
        <f>L205*(1-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MIN((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
        <f>(1-Summary!$B$11)*S205+Summary!$B$11*U205</f>
        <v/>
      </c>
      <c r="P205">
        <f>IF(B230=0,0,O205/B230)</f>
        <v/>
      </c>
      <c r="Q205">
        <f>IFERROR(1/(IF(Inputs!$B$38="pvp",15,MAX(0.1,Skills!D12-IF(TRUE=TRUE,Inputs!$B$32,0)))*(1-IF(AND(ArtifactsInput!$M$27,Inputs!$B$4="Chapter Hunt"),CHOOSE(ArtifactsInput!$N$27+1,20,24,28,32,36,40),0)/100)),0)</f>
        <v/>
      </c>
      <c r="R205">
        <f>IF(AND(Inputs!$B$38&lt;&gt;"pvp",Inputs!$B$43&gt;0),IF(MAX(0,Inputs!$B$43-B227)&lt;=0,0,(INT(MAX(0,Inputs!$B$43-B227)/(IF(Inputs!$B$38="pvp",15,MAX(0.1,Skills!D12-IF(TRUE=TRUE,Inputs!$B$32,0)))*(1-IF(AND(ArtifactsInput!$M$27,Inputs!$B$4="Chapter Hunt"),CHOOSE(ArtifactsInput!$N$27+1,20,24,28,32,36,40),0)/100)))+1)),0)</f>
        <v/>
      </c>
      <c r="S205">
        <f>IF(C205,(H205*N205*IF(AND(Inputs!$B$38&lt;&gt;"pvp",Inputs!$B$43&gt;0),((Skills!F12*((R205-1)*IF(Skills!G12&gt;0,Skills!H12/Skills!G12,1)+IF(Skills!G12&gt;0,MIN(Skills!H12,MAX(0,MAX(0,Inputs!$B$43-B227)-((R205-1)*(IF(Inputs!$B$38="pvp",15,MAX(0.1,Skills!D12-IF(TRUE=TRUE,Inputs!$B$32,0)))*(1-IF(AND(ArtifactsInput!$M$27,Inputs!$B$4="Chapter Hunt"),CHOOSE(ArtifactsInput!$N$27+1,20,24,28,32,36,40),0)/100)))))/Skills!G12,1)))/Inputs!$B$43),G205*Q205))*IF(Inputs!$B$38="pvp",1,1+(Inputs!$B$20+Skills!O12+B221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(1-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MIN(100,(Inputs!$B$9+((F213-Calc!F20)+(F212-Calc!F19))+(ArtifactsInput!$M$24-ArtifactsInput!$M$24)*CHOOSE(ArtifactsInput!$N$24+1,10,12,14,16,18,20)+(IF(AND(Inputs!$B$38&lt;&gt;"pvp",Inputs!$B$43=0),1,IF(IF(Inputs!$B$38="pvp",15,Inputs!$B$43)-(B227)&lt;=0,1,MAX(0,IF(Inputs!$B$38="pvp",15,Inputs!$B$43)-MAX(5,B227))/(IF(Inputs!$B$38="pvp",15,Inputs!$B$43)-(B227)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
        <f>IF(C205,(H205*N205*IF(AND(Inputs!$B$38&lt;&gt;"pvp",Inputs!$B$43&gt;0),((Skills!F12*((R205-1)*IF(Skills!G12&gt;0,Skills!H12/Skills!G12,1)+IF(Skills!G12&gt;0,MIN(Skills!H12,MAX(0,MAX(0,Inputs!$B$43-B227)-((R205-1)*(IF(Inputs!$B$38="pvp",15,MAX(0.1,Skills!D12-IF(TRUE=TRUE,Inputs!$B$32,0)))*(1-IF(AND(ArtifactsInput!$M$27,Inputs!$B$4="Chapter Hunt"),CHOOSE(ArtifactsInput!$N$27+1,20,24,28,32,36,40),0)/100)))))/Skills!G12,1)))/Inputs!$B$43),G205*Q205))*IF(Inputs!$B$38="pvp",1,(1+(Inputs!$B$21+Skills!P12+B221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
      <c r="A206">
        <f>Skills!A13</f>
        <v/>
      </c>
      <c r="B206">
        <f>Skills!B13</f>
        <v/>
      </c>
      <c r="C206">
        <f>Inputs!$B$3&gt;=49</f>
        <v/>
      </c>
      <c r="D206">
        <f>IF(Skills!C13=1,60+Inputs!$B$25+Inputs!$B$29,IF(Skills!C13=2,90+Inputs!$B$26+Inputs!$B$29,IF(Skills!C13=3,120+Inputs!$B$27+Inputs!$B$29,MAX(0,(Inputs!$B$3-100)*3)+Inputs!$B$28+Inputs!$B$29)))</f>
        <v/>
      </c>
      <c r="E206">
        <f>INDEX(FactorTable!$B$2:$Y$301, MATCH(ROUND(MIN(300,MAX(1,D206)),0), FactorTable!$A$2:$A$301,0), Skills!L13+1)</f>
        <v/>
      </c>
      <c r="F206">
        <f>IF(Skills!M13=TRUE,(Skills!K13/10)*(E206/1000),Skills!K13/10)+Skills!N13</f>
        <v/>
      </c>
      <c r="G206">
        <f>Calc!G13</f>
        <v/>
      </c>
      <c r="H206">
        <f>Calc!H13</f>
        <v/>
      </c>
      <c r="I206">
        <f>IF(Skills!T13&lt;&gt;"",1+(Skills!T13/10)*(Z196/1000)/100,1)</f>
        <v/>
      </c>
      <c r="J206" t="inlineStr"/>
      <c r="K206" t="inlineStr"/>
      <c r="L206" t="inlineStr"/>
      <c r="M206" t="inlineStr"/>
      <c r="N206" t="inlineStr"/>
      <c r="O206">
        <f>(1-Summary!$B$11)*S206+Summary!$B$11*U206</f>
        <v/>
      </c>
      <c r="P206">
        <f>IF(B230=0,0,O206/B230)</f>
        <v/>
      </c>
      <c r="Q206">
        <f>IFERROR(1/(IF(Inputs!$B$38="pvp",15,MAX(0.1,Skills!D13-IF(TRUE=TRUE,Inputs!$B$32,0)))*(1-IF(AND(ArtifactsInput!$M$27,Inputs!$B$4="Chapter Hunt"),CHOOSE(ArtifactsInput!$N$27+1,20,24,28,32,36,40),0)/100)),0)</f>
        <v/>
      </c>
      <c r="R206" t="n">
        <v>0</v>
      </c>
      <c r="S206" t="n">
        <v>0</v>
      </c>
      <c r="U206" t="n">
        <v>0</v>
      </c>
    </row>
    <row r="207">
      <c r="A207">
        <f>Skills!A14</f>
        <v/>
      </c>
      <c r="B207">
        <f>Skills!B14</f>
        <v/>
      </c>
      <c r="C207">
        <f>Inputs!$B$3&gt;=72</f>
        <v/>
      </c>
      <c r="D207">
        <f>IF(Skills!C14=1,60+Inputs!$B$25+Inputs!$B$29,IF(Skills!C14=2,90+Inputs!$B$26+Inputs!$B$29,IF(Skills!C14=3,120+Inputs!$B$27+Inputs!$B$29,MAX(0,(Inputs!$B$3-100)*3)+Inputs!$B$28+Inputs!$B$29)))</f>
        <v/>
      </c>
      <c r="E207">
        <f>INDEX(FactorTable!$B$2:$Y$301, MATCH(ROUND(MIN(300,MAX(1,D207)),0), FactorTable!$A$2:$A$301,0), Skills!L14+1)</f>
        <v/>
      </c>
      <c r="F207">
        <f>IF(Skills!M14=TRUE,(Skills!K14/10)*(E207/1000),Skills!K14/10)+Skills!N14</f>
        <v/>
      </c>
      <c r="G207">
        <f>Calc!G14</f>
        <v/>
      </c>
      <c r="H207">
        <f>Calc!H14</f>
        <v/>
      </c>
      <c r="I207">
        <f>IF(Skills!T14&lt;&gt;"",1+(Skills!T14/10)*(Z196/1000)/100,1)</f>
        <v/>
      </c>
      <c r="J207" t="inlineStr"/>
      <c r="K207" t="inlineStr"/>
      <c r="L207" t="inlineStr"/>
      <c r="M207" t="inlineStr"/>
      <c r="N207" t="inlineStr"/>
      <c r="O207">
        <f>(1-Summary!$B$11)*S207+Summary!$B$11*U207</f>
        <v/>
      </c>
      <c r="P207">
        <f>IF(B230=0,0,O207/B230)</f>
        <v/>
      </c>
      <c r="Q207">
        <f>IFERROR(1/(IF(Inputs!$B$38="pvp",15,MAX(0.1,Skills!D14-IF(TRUE=TRUE,Inputs!$B$32,0)))*(1-IF(AND(ArtifactsInput!$M$27,Inputs!$B$4="Chapter Hunt"),CHOOSE(ArtifactsInput!$N$27+1,20,24,28,32,36,40),0)/100)),0)</f>
        <v/>
      </c>
      <c r="R207" t="n">
        <v>0</v>
      </c>
      <c r="S207" t="n">
        <v>0</v>
      </c>
      <c r="U207" t="n">
        <v>0</v>
      </c>
    </row>
    <row r="208">
      <c r="A208">
        <f>Skills!A15</f>
        <v/>
      </c>
      <c r="B208">
        <f>Skills!B15</f>
        <v/>
      </c>
      <c r="C208">
        <f>Inputs!$B$3&gt;=75</f>
        <v/>
      </c>
      <c r="D208">
        <f>IF(Skills!C15=1,60+Inputs!$B$25+Inputs!$B$29,IF(Skills!C15=2,90+Inputs!$B$26+Inputs!$B$29,IF(Skills!C15=3,120+Inputs!$B$27+Inputs!$B$29,MAX(0,(Inputs!$B$3-100)*3)+Inputs!$B$28+Inputs!$B$29)))</f>
        <v/>
      </c>
      <c r="E208">
        <f>INDEX(FactorTable!$B$2:$Y$301, MATCH(ROUND(MIN(300,MAX(1,D208)),0), FactorTable!$A$2:$A$301,0), Skills!L15+1)</f>
        <v/>
      </c>
      <c r="F208">
        <f>IF(Skills!M15=TRUE,(Skills!K15/10)*(E208/1000),Skills!K15/10)+Skills!N15</f>
        <v/>
      </c>
      <c r="G208">
        <f>Calc!G15</f>
        <v/>
      </c>
      <c r="H208">
        <f>Calc!H15</f>
        <v/>
      </c>
      <c r="I208">
        <f>IF(Skills!T15&lt;&gt;"",1+(Skills!T15/10)*(Z196/1000)/100,1)</f>
        <v/>
      </c>
      <c r="J208" t="inlineStr"/>
      <c r="K208" t="inlineStr"/>
      <c r="L208" t="inlineStr"/>
      <c r="M208" t="inlineStr"/>
      <c r="N208" t="inlineStr"/>
      <c r="O208">
        <f>(1-Summary!$B$11)*S208+Summary!$B$11*U208</f>
        <v/>
      </c>
      <c r="P208">
        <f>IF(B230=0,0,O208/B230)</f>
        <v/>
      </c>
      <c r="Q208">
        <f>IFERROR(1/(IF(Inputs!$B$38="pvp",15,MAX(0.1,Skills!D15-IF(TRUE=TRUE,Inputs!$B$32,0)))*(1-IF(AND(ArtifactsInput!$M$27,Inputs!$B$4="Chapter Hunt"),CHOOSE(ArtifactsInput!$N$27+1,20,24,28,32,36,40),0)/100)),0)</f>
        <v/>
      </c>
      <c r="R208" t="n">
        <v>0</v>
      </c>
      <c r="S208" t="n">
        <v>0</v>
      </c>
      <c r="U208" t="n">
        <v>0</v>
      </c>
    </row>
    <row r="209">
      <c r="A209">
        <f>Skills!A16</f>
        <v/>
      </c>
      <c r="B209">
        <f>Skills!B16</f>
        <v/>
      </c>
      <c r="C209">
        <f>Inputs!$B$3&gt;=110</f>
        <v/>
      </c>
      <c r="D209">
        <f>IF(Skills!C16=1,60+Inputs!$B$25+Inputs!$B$29,IF(Skills!C16=2,90+Inputs!$B$26+Inputs!$B$29,IF(Skills!C16=3,120+Inputs!$B$27+Inputs!$B$29,MAX(0,(Inputs!$B$3-100)*3)+Inputs!$B$28+Inputs!$B$29)))</f>
        <v/>
      </c>
      <c r="E209">
        <f>INDEX(FactorTable!$B$2:$Y$301, MATCH(ROUND(MIN(300,MAX(1,D209)),0), FactorTable!$A$2:$A$301,0), Skills!L16+1)</f>
        <v/>
      </c>
      <c r="F209">
        <f>(Skills!K16/10)*(E209/1000)*64/45+Skills!N16</f>
        <v/>
      </c>
      <c r="G209">
        <f>Calc!G16</f>
        <v/>
      </c>
      <c r="H209">
        <f>Calc!H16</f>
        <v/>
      </c>
      <c r="I209">
        <f>IF(Skills!T16&lt;&gt;"",1+(Skills!T16/10)*(Z196/1000)/100,1)</f>
        <v/>
      </c>
      <c r="J209" t="inlineStr"/>
      <c r="K209" t="inlineStr"/>
      <c r="L209" t="inlineStr"/>
      <c r="M209" t="inlineStr"/>
      <c r="N209" t="inlineStr"/>
      <c r="O209">
        <f>(1-Summary!$B$11)*S209+Summary!$B$11*U209</f>
        <v/>
      </c>
      <c r="P209">
        <f>IF(B230=0,0,O209/B230)</f>
        <v/>
      </c>
      <c r="Q209">
        <f>IFERROR(1/(IF(Inputs!$B$38="pvp",15,MAX(0.1,Skills!D16-IF(TRUE=TRUE,Inputs!$B$32,0)))*(1-IF(AND(ArtifactsInput!$M$27,Inputs!$B$4="Chapter Hunt"),CHOOSE(ArtifactsInput!$N$27+1,20,24,28,32,36,40),0)/100)),0)</f>
        <v/>
      </c>
      <c r="R209">
        <f>IF(AND(Inputs!$B$38&lt;&gt;"pvp",Inputs!$B$43&gt;0),IF(Inputs!$B$43&lt;=0,0,(INT(Inputs!$B$43/(IF(Inputs!$B$38="pvp",15,MAX(0.1,Skills!D16-IF(TRUE=TRUE,Inputs!$B$32,0)))*(1-IF(AND(ArtifactsInput!$M$27,Inputs!$B$4="Chapter Hunt"),CHOOSE(ArtifactsInput!$N$27+1,20,24,28,32,36,40),0)/100)))+1)),0)</f>
        <v/>
      </c>
      <c r="S209" t="n">
        <v>0</v>
      </c>
      <c r="U209" t="n">
        <v>0</v>
      </c>
    </row>
    <row r="210">
      <c r="A210">
        <f>Skills!A17</f>
        <v/>
      </c>
      <c r="B210">
        <f>Skills!B17</f>
        <v/>
      </c>
      <c r="C210">
        <f>Inputs!$B$3&gt;=33</f>
        <v/>
      </c>
      <c r="D210">
        <f>IF(Skills!C17=1,60+Inputs!$B$25+Inputs!$B$29,IF(Skills!C17=2,90+Inputs!$B$26+Inputs!$B$29,IF(Skills!C17=3,120+Inputs!$B$27+Inputs!$B$29,MAX(0,(Inputs!$B$3-100)*3)+Inputs!$B$28+Inputs!$B$29)))</f>
        <v/>
      </c>
      <c r="E210">
        <f>INDEX(FactorTable!$B$2:$Y$301, MATCH(ROUND(MIN(300,MAX(1,D210)),0), FactorTable!$A$2:$A$301,0), Skills!L17+1)</f>
        <v/>
      </c>
      <c r="F210">
        <f>IF(Skills!M17=TRUE,(Skills!K17/10)*(E210/1000),Skills!K17/10)+Skills!N17</f>
        <v/>
      </c>
      <c r="G210">
        <f>Calc!G17</f>
        <v/>
      </c>
      <c r="H210">
        <f>Calc!H17</f>
        <v/>
      </c>
      <c r="I210">
        <f>IF(Skills!T17&lt;&gt;"",1+(Skills!T17/10)*(Z196/1000)/100,1)</f>
        <v/>
      </c>
      <c r="J210" t="inlineStr"/>
      <c r="K210" t="inlineStr"/>
      <c r="L210" t="inlineStr"/>
      <c r="M210" t="inlineStr"/>
      <c r="N210" t="inlineStr"/>
      <c r="O210">
        <f>(1-Summary!$B$11)*S210+Summary!$B$11*U210</f>
        <v/>
      </c>
      <c r="P210">
        <f>IF(B230=0,0,O210/B230)</f>
        <v/>
      </c>
      <c r="Q210">
        <f>IFERROR(1/(IF(Inputs!$B$38="pvp",15,MAX(0.1,Skills!D17-IF(TRUE=TRUE,Inputs!$B$32,0)))*(1-IF(AND(ArtifactsInput!$M$27,Inputs!$B$4="Chapter Hunt"),CHOOSE(ArtifactsInput!$N$27+1,20,24,28,32,36,40),0)/100)),0)</f>
        <v/>
      </c>
      <c r="R210" t="n">
        <v>0</v>
      </c>
      <c r="S210" t="n">
        <v>0</v>
      </c>
      <c r="U210" t="n">
        <v>0</v>
      </c>
    </row>
    <row r="211">
      <c r="A211">
        <f>Skills!A18</f>
        <v/>
      </c>
      <c r="B211">
        <f>Skills!B18</f>
        <v/>
      </c>
      <c r="C211">
        <f>Inputs!$B$3&gt;=43</f>
        <v/>
      </c>
      <c r="D211">
        <f>IF(Skills!C18=1,60+Inputs!$B$25+Inputs!$B$29,IF(Skills!C18=2,90+Inputs!$B$26+Inputs!$B$29,IF(Skills!C18=3,120+Inputs!$B$27+Inputs!$B$29,MAX(0,(Inputs!$B$3-100)*3)+Inputs!$B$28+Inputs!$B$29)))</f>
        <v/>
      </c>
      <c r="E211">
        <f>INDEX(FactorTable!$B$2:$Y$301, MATCH(ROUND(MIN(300,MAX(1,D211)),0), FactorTable!$A$2:$A$301,0), Skills!L18+1)</f>
        <v/>
      </c>
      <c r="F211">
        <f>IF(Skills!M18=TRUE,(Skills!K18/10)*(E211/1000),Skills!K18/10)+Skills!N18</f>
        <v/>
      </c>
      <c r="G211">
        <f>Calc!G18</f>
        <v/>
      </c>
      <c r="H211">
        <f>Calc!H18</f>
        <v/>
      </c>
      <c r="I211">
        <f>IF(Skills!T18&lt;&gt;"",1+(Skills!T18/10)*(Z196/1000)/100,1)</f>
        <v/>
      </c>
      <c r="J211" t="inlineStr"/>
      <c r="K211" t="inlineStr"/>
      <c r="L211" t="inlineStr"/>
      <c r="M211" t="inlineStr"/>
      <c r="N211" t="inlineStr"/>
      <c r="O211">
        <f>(1-Summary!$B$11)*S211+Summary!$B$11*U211</f>
        <v/>
      </c>
      <c r="P211">
        <f>IF(B230=0,0,O211/B230)</f>
        <v/>
      </c>
      <c r="Q211">
        <f>IFERROR(1/(IF(Inputs!$B$38="pvp",15,MAX(0.1,Skills!D18-IF(TRUE=TRUE,Inputs!$B$32,0)))*(1-IF(AND(ArtifactsInput!$M$27,Inputs!$B$4="Chapter Hunt"),CHOOSE(ArtifactsInput!$N$27+1,20,24,28,32,36,40),0)/100)),0)</f>
        <v/>
      </c>
      <c r="R211" t="n">
        <v>0</v>
      </c>
      <c r="S211" t="n">
        <v>0</v>
      </c>
      <c r="U211" t="n">
        <v>0</v>
      </c>
    </row>
    <row r="212">
      <c r="A212">
        <f>Skills!A19</f>
        <v/>
      </c>
      <c r="B212">
        <f>Skills!B19</f>
        <v/>
      </c>
      <c r="C212">
        <f>Inputs!$B$3&gt;=50</f>
        <v/>
      </c>
      <c r="D212">
        <f>IF(Skills!C19=1,60+Inputs!$B$25+Inputs!$B$29,IF(Skills!C19=2,90+Inputs!$B$26+Inputs!$B$29,IF(Skills!C19=3,120+Inputs!$B$27+Inputs!$B$29,MAX(0,(Inputs!$B$3-100)*3)+Inputs!$B$28+Inputs!$B$29)))</f>
        <v/>
      </c>
      <c r="E212">
        <f>INDEX(FactorTable!$B$2:$Y$301, MATCH(ROUND(MIN(300,MAX(1,D212)),0), FactorTable!$A$2:$A$301,0), Skills!L19+1)</f>
        <v/>
      </c>
      <c r="F212">
        <f>IF(Skills!M19=TRUE,(Skills!K19/10)*(E212/1000),Skills!K19/10)+Skills!N19</f>
        <v/>
      </c>
      <c r="G212">
        <f>Calc!G19</f>
        <v/>
      </c>
      <c r="H212">
        <f>Calc!H19</f>
        <v/>
      </c>
      <c r="I212">
        <f>IF(Skills!T19&lt;&gt;"",1+(Skills!T19/10)*(Z196/1000)/100,1)</f>
        <v/>
      </c>
      <c r="J212" t="inlineStr"/>
      <c r="K212" t="inlineStr"/>
      <c r="L212" t="inlineStr"/>
      <c r="M212" t="inlineStr"/>
      <c r="N212" t="inlineStr"/>
      <c r="O212">
        <f>(1-Summary!$B$11)*S212+Summary!$B$11*U212</f>
        <v/>
      </c>
      <c r="P212">
        <f>IF(B230=0,0,O212/B230)</f>
        <v/>
      </c>
      <c r="Q212">
        <f>IFERROR(1/(IF(Inputs!$B$38="pvp",15,MAX(0.1,Skills!D19-IF(TRUE=TRUE,Inputs!$B$32,0)))*(1-IF(AND(ArtifactsInput!$M$27,Inputs!$B$4="Chapter Hunt"),CHOOSE(ArtifactsInput!$N$27+1,20,24,28,32,36,40),0)/100)),0)</f>
        <v/>
      </c>
      <c r="R212" t="n">
        <v>0</v>
      </c>
      <c r="S212" t="n">
        <v>0</v>
      </c>
      <c r="U212" t="n">
        <v>0</v>
      </c>
    </row>
    <row r="213">
      <c r="A213">
        <f>Skills!A20</f>
        <v/>
      </c>
      <c r="B213">
        <f>Skills!B20</f>
        <v/>
      </c>
      <c r="C213">
        <f>Inputs!$B$3&gt;=74</f>
        <v/>
      </c>
      <c r="D213">
        <f>IF(Skills!C20=1,60+Inputs!$B$25+Inputs!$B$29,IF(Skills!C20=2,90+Inputs!$B$26+Inputs!$B$29,IF(Skills!C20=3,120+Inputs!$B$27+Inputs!$B$29,MAX(0,(Inputs!$B$3-100)*3)+Inputs!$B$28+Inputs!$B$29)))</f>
        <v/>
      </c>
      <c r="E213">
        <f>INDEX(FactorTable!$B$2:$Y$301, MATCH(ROUND(MIN(300,MAX(1,D213)),0), FactorTable!$A$2:$A$301,0), Skills!L20+1)</f>
        <v/>
      </c>
      <c r="F213">
        <f>IF(Skills!M20=TRUE,(Skills!K20/10)*(E213/1000),Skills!K20/10)+Skills!N20</f>
        <v/>
      </c>
      <c r="G213">
        <f>Calc!G20</f>
        <v/>
      </c>
      <c r="H213">
        <f>Calc!H20</f>
        <v/>
      </c>
      <c r="I213">
        <f>IF(Skills!T20&lt;&gt;"",1+(Skills!T20/10)*(Z196/1000)/100,1)</f>
        <v/>
      </c>
      <c r="J213" t="inlineStr"/>
      <c r="K213" t="inlineStr"/>
      <c r="L213" t="inlineStr"/>
      <c r="M213" t="inlineStr"/>
      <c r="N213" t="inlineStr"/>
      <c r="O213">
        <f>(1-Summary!$B$11)*S213+Summary!$B$11*U213</f>
        <v/>
      </c>
      <c r="P213">
        <f>IF(B230=0,0,O213/B230)</f>
        <v/>
      </c>
      <c r="Q213">
        <f>IFERROR(1/(IF(Inputs!$B$38="pvp",15,MAX(0.1,Skills!D20-IF(TRUE=TRUE,Inputs!$B$32,0)))*(1-IF(AND(ArtifactsInput!$M$27,Inputs!$B$4="Chapter Hunt"),CHOOSE(ArtifactsInput!$N$27+1,20,24,28,32,36,40),0)/100)),0)</f>
        <v/>
      </c>
      <c r="R213" t="n">
        <v>0</v>
      </c>
      <c r="S213" t="n">
        <v>0</v>
      </c>
      <c r="U213" t="n">
        <v>0</v>
      </c>
    </row>
    <row r="214">
      <c r="A214">
        <f>Skills!A21</f>
        <v/>
      </c>
      <c r="B214">
        <f>Skills!B21</f>
        <v/>
      </c>
      <c r="C214">
        <f>Inputs!$B$3&gt;=74</f>
        <v/>
      </c>
      <c r="D214">
        <f>IF(Skills!C21=1,60+Inputs!$B$25+Inputs!$B$29,IF(Skills!C21=2,90+Inputs!$B$26+Inputs!$B$29,IF(Skills!C21=3,120+Inputs!$B$27+Inputs!$B$29,MAX(0,(Inputs!$B$3-100)*3)+Inputs!$B$28+Inputs!$B$29)))</f>
        <v/>
      </c>
      <c r="E214">
        <f>INDEX(FactorTable!$B$2:$Y$301, MATCH(ROUND(MIN(300,MAX(1,D214)),0), FactorTable!$A$2:$A$301,0), Skills!L21+1)</f>
        <v/>
      </c>
      <c r="F214">
        <f>IF(Skills!M21=TRUE,(Skills!K21/10)*(E214/1000),Skills!K21/10)+Skills!N21</f>
        <v/>
      </c>
      <c r="G214">
        <f>Calc!G21</f>
        <v/>
      </c>
      <c r="H214">
        <f>Calc!H21</f>
        <v/>
      </c>
      <c r="I214">
        <f>IF(Skills!T21&lt;&gt;"",1+(Skills!T21/10)*(Z196/1000)/100,1)</f>
        <v/>
      </c>
      <c r="J214" t="inlineStr"/>
      <c r="K214" t="inlineStr"/>
      <c r="L214" t="inlineStr"/>
      <c r="M214" t="inlineStr"/>
      <c r="N214" t="inlineStr"/>
      <c r="O214">
        <f>(1-Summary!$B$11)*S214+Summary!$B$11*U214</f>
        <v/>
      </c>
      <c r="P214">
        <f>IF(B230=0,0,O214/B230)</f>
        <v/>
      </c>
      <c r="Q214">
        <f>IFERROR(1/(IF(Inputs!$B$38="pvp",15,MAX(0.1,Skills!D21-IF(TRUE=TRUE,Inputs!$B$32,0)))*(1-IF(AND(ArtifactsInput!$M$27,Inputs!$B$4="Chapter Hunt"),CHOOSE(ArtifactsInput!$N$27+1,20,24,28,32,36,40),0)/100)),0)</f>
        <v/>
      </c>
      <c r="R214" t="n">
        <v>0</v>
      </c>
      <c r="S214" t="n">
        <v>0</v>
      </c>
      <c r="U214" t="n">
        <v>0</v>
      </c>
    </row>
    <row r="215">
      <c r="A215">
        <f>Skills!A22</f>
        <v/>
      </c>
      <c r="B215">
        <f>Skills!B22</f>
        <v/>
      </c>
      <c r="C215">
        <f>Inputs!$B$3&gt;=117</f>
        <v/>
      </c>
      <c r="D215">
        <f>IF(Skills!C22=1,60+Inputs!$B$25+Inputs!$B$29,IF(Skills!C22=2,90+Inputs!$B$26+Inputs!$B$29,IF(Skills!C22=3,120+Inputs!$B$27+Inputs!$B$29,MAX(0,(Inputs!$B$3-100)*3)+Inputs!$B$28+Inputs!$B$29)))</f>
        <v/>
      </c>
      <c r="E215">
        <f>INDEX(FactorTable!$B$2:$Y$301, MATCH(ROUND(MIN(300,MAX(1,D215)),0), FactorTable!$A$2:$A$301,0), Skills!L22+1)</f>
        <v/>
      </c>
      <c r="F215">
        <f>IF(Skills!M22=TRUE,(Skills!K22/10)*(E215/1000),Skills!K22/10)+Skills!N22</f>
        <v/>
      </c>
      <c r="G215">
        <f>Calc!G22</f>
        <v/>
      </c>
      <c r="H215">
        <f>Calc!H22</f>
        <v/>
      </c>
      <c r="I215">
        <f>IF(Skills!T22&lt;&gt;"",1+(Skills!T22/10)*(Z196/1000)/100,1)</f>
        <v/>
      </c>
      <c r="J215" t="inlineStr"/>
      <c r="K215" t="inlineStr"/>
      <c r="L215" t="inlineStr"/>
      <c r="M215" t="inlineStr"/>
      <c r="N215" t="inlineStr"/>
      <c r="O215">
        <f>(1-Summary!$B$11)*S215+Summary!$B$11*U215</f>
        <v/>
      </c>
      <c r="P215">
        <f>IF(B230=0,0,O215/B230)</f>
        <v/>
      </c>
      <c r="Q215">
        <f>IFERROR(1/(IF(Inputs!$B$38="pvp",15,MAX(0.1,Skills!D22-IF(TRUE=TRUE,Inputs!$B$32,0)))*(1-IF(AND(ArtifactsInput!$M$27,Inputs!$B$4="Chapter Hunt"),CHOOSE(ArtifactsInput!$N$27+1,20,24,28,32,36,40),0)/100)),0)</f>
        <v/>
      </c>
      <c r="R215" t="n">
        <v>0</v>
      </c>
      <c r="S215" t="n">
        <v>0</v>
      </c>
      <c r="U215" t="n">
        <v>0</v>
      </c>
    </row>
    <row r="216">
      <c r="A216">
        <f>Skills!A23</f>
        <v/>
      </c>
      <c r="B216">
        <f>Skills!B23</f>
        <v/>
      </c>
      <c r="C216">
        <f>Inputs!$B$3&gt;=120</f>
        <v/>
      </c>
      <c r="D216">
        <f>IF(Skills!C23=1,60+Inputs!$B$25+Inputs!$B$29,IF(Skills!C23=2,90+Inputs!$B$26+Inputs!$B$29,IF(Skills!C23=3,120+Inputs!$B$27+Inputs!$B$29,MAX(0,(Inputs!$B$3-100)*3)+Inputs!$B$28+Inputs!$B$29)))</f>
        <v/>
      </c>
      <c r="E216">
        <f>INDEX(FactorTable!$B$2:$Y$301, MATCH(ROUND(MIN(300,MAX(1,D216)),0), FactorTable!$A$2:$A$301,0), Skills!L23+1)</f>
        <v/>
      </c>
      <c r="F216">
        <f>IF(Skills!M23=TRUE,(Skills!K23/10)*(E216/1000),Skills!K23/10)+Skills!N23</f>
        <v/>
      </c>
      <c r="G216">
        <f>Calc!G23</f>
        <v/>
      </c>
      <c r="H216">
        <f>Calc!H23</f>
        <v/>
      </c>
      <c r="I216">
        <f>IF(Skills!T23&lt;&gt;"",1+(Skills!T23/10)*(Z196/1000)/100,1)</f>
        <v/>
      </c>
      <c r="J216" t="inlineStr"/>
      <c r="K216" t="inlineStr"/>
      <c r="L216" t="inlineStr"/>
      <c r="M216" t="inlineStr"/>
      <c r="N216" t="inlineStr"/>
      <c r="O216">
        <f>(1-Summary!$B$11)*S216+Summary!$B$11*U216</f>
        <v/>
      </c>
      <c r="P216">
        <f>IF(B230=0,0,O216/B230)</f>
        <v/>
      </c>
      <c r="Q216">
        <f>IFERROR(1/(IF(Inputs!$B$38="pvp",15,MAX(0.1,Skills!D23-IF(TRUE=TRUE,Inputs!$B$32,0)))*(1-IF(AND(ArtifactsInput!$M$27,Inputs!$B$4="Chapter Hunt"),CHOOSE(ArtifactsInput!$N$27+1,20,24,28,32,36,40),0)/100)),0)</f>
        <v/>
      </c>
      <c r="R216" t="n">
        <v>0</v>
      </c>
      <c r="S216" t="n">
        <v>0</v>
      </c>
      <c r="U216" t="n">
        <v>0</v>
      </c>
    </row>
    <row r="217">
      <c r="A217">
        <f>Skills!A24</f>
        <v/>
      </c>
      <c r="B217">
        <f>Skills!B24</f>
        <v/>
      </c>
      <c r="C217">
        <f>TRUE</f>
        <v/>
      </c>
      <c r="D217">
        <f>IF(Skills!C24=1,60+Inputs!$B$25+Inputs!$B$29,IF(Skills!C24=2,90+Inputs!$B$26+Inputs!$B$29,IF(Skills!C24=3,120+Inputs!$B$27+Inputs!$B$29,MAX(0,(Inputs!$B$3-100)*3)+Inputs!$B$28+Inputs!$B$29)))</f>
        <v/>
      </c>
      <c r="E217">
        <f>INDEX(FactorTable!$B$2:$Y$301, MATCH(ROUND(MIN(300,MAX(1,D217)),0), FactorTable!$A$2:$A$301,0), Skills!L24+1)</f>
        <v/>
      </c>
      <c r="F217">
        <f>IF(Skills!M24=TRUE,(Skills!K24/10)*(E217/1000),Skills!K24/10)+Skills!N24</f>
        <v/>
      </c>
      <c r="G217">
        <f>Calc!G24</f>
        <v/>
      </c>
      <c r="H217">
        <f>Calc!H24</f>
        <v/>
      </c>
      <c r="I217">
        <f>IF(Skills!T24&lt;&gt;"",1+(Skills!T24/10)*(Z196/1000)/100,1)</f>
        <v/>
      </c>
      <c r="J217" t="inlineStr"/>
      <c r="K217" t="inlineStr"/>
      <c r="L217" t="inlineStr"/>
      <c r="M217" t="inlineStr"/>
      <c r="N217" t="inlineStr"/>
      <c r="O217">
        <f>(1-Summary!$B$11)*S217+Summary!$B$11*U217</f>
        <v/>
      </c>
      <c r="P217">
        <f>IF(B230=0,0,O217/B230)</f>
        <v/>
      </c>
      <c r="Q217">
        <f>IFERROR(1/(IF(Inputs!$B$38="pvp",15,MAX(0.1,Skills!D24-IF(TRUE=TRUE,Inputs!$B$32,0)))*(1-IF(AND(ArtifactsInput!$M$27,Inputs!$B$4="Chapter Hunt"),CHOOSE(ArtifactsInput!$N$27+1,20,24,28,32,36,40),0)/100)),0)</f>
        <v/>
      </c>
      <c r="R217">
        <f>IF(AND(Inputs!$B$38&lt;&gt;"pvp",Inputs!$B$43&gt;0),IF(Inputs!$B$43&lt;=0,0,(INT(Inputs!$B$43/(IF(Inputs!$B$38="pvp",15,MAX(0.1,Skills!D24-IF(TRUE=TRUE,Inputs!$B$32,0)))*(1-IF(AND(ArtifactsInput!$M$27,Inputs!$B$4="Chapter Hunt"),CHOOSE(ArtifactsInput!$N$27+1,20,24,28,32,36,40),0)/100)))+1)),0)</f>
        <v/>
      </c>
      <c r="S217" t="n">
        <v>0</v>
      </c>
      <c r="U217" t="n">
        <v>0</v>
      </c>
    </row>
    <row r="220">
      <c r="A220" t="inlineStr">
        <is>
          <t>Average Buff Multiplier (Magic Guard + Meditation + Artifact Attack%, summed; then Infinity)</t>
        </is>
      </c>
      <c r="B220">
        <f>(1+(IF(C196=TRUE,F196*IF(AND(Inputs!$B$38&lt;&gt;"pvp",Inputs!$B$43&gt;0),(((R196-1)*MIN((Skills!S3*(1+(Inputs!$B$34)/100)),(1/Q196))+MIN((Skills!S3*(1+(Inputs!$B$34)/100)),MAX(0,Inputs!$B$43-((R196-1)*(1/Q196)))))/Inputs!$B$43),IF(Inputs!$B$38="pvp",MIN((Skills!S3*(1+(Inputs!$B$34)/100)),15)/15,MIN(1,(Skills!S3*(1+(Inputs!$B$34)/100))/(1/Q196)))),0)+IF(C197=TRUE,F197*IF(AND(Inputs!$B$38&lt;&gt;"pvp",Inputs!$B$43&gt;0),(((R197-1)*MIN((Skills!S4*(1+(Inputs!$B$34)/100)),(1/Q197))+MIN((Skills!S4*(1+(Inputs!$B$34)/100)),MAX(0,Inputs!$B$43-((R197-1)*(1/Q197)))))/Inputs!$B$43),IF(Inputs!$B$38="pvp",MIN((Skills!S4*(1+(Inputs!$B$34)/100)),15)/15,MIN(1,(Skills!S4*(1+(Inputs!$B$34)/100))/(1/Q197)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209=TRUE,(1+F209*IF(AND(Inputs!$B$38&lt;&gt;"pvp",Inputs!$B$43&gt;0),(((R209-1)*MIN((Skills!S16*(1+(Inputs!$B$34)/100)),(1/Q209))+MIN((Skills!S16*(1+(Inputs!$B$34)/100)),MAX(0,Inputs!$B$43-((R209-1)*(1/Q209)))))/Inputs!$B$43),IF(Inputs!$B$38="pvp",MIN((Skills!S16*(1+(Inputs!$B$34)/100)),15)/15,MIN(1,(Skills!S16*(1+(Inputs!$B$34)/100))/(1/Q209))))/100),1)</f>
        <v/>
      </c>
    </row>
    <row r="221">
      <c r="A221" t="inlineStr">
        <is>
          <t>Monster Damage Taken Bonus % (Freezing Breath - Weaken + Elemental Reset + Artifact Enemy Damage Taken, summed)</t>
        </is>
      </c>
      <c r="B221">
        <f>IF(Inputs!$B$3&gt;=118,15*IF(Inputs!$B$38="pvp",MIN((30*(1+(Inputs!$B$34)/100)),15)/15,MIN(1,(30*(1+(Inputs!$B$34)/100))/(1/Q201))),0)+IF(C207=TRUE,F207,0)+(IF(AND(ArtifactsInput!$M$35,Inputs!$B$4&lt;&gt;"Chapter Hunt"),CHOOSE(ArtifactsInput!$N$35+1,15,18,21,24,27,30)*(1-EXP(-(0.2*B224)*5)),0)+IF(AND(ArtifactsInput!$M$22,Inputs!$B$4&lt;&gt;"Chapter Hunt"),CHOOSE(ArtifactsInput!$N$22+1,10,12,14,16,18,20)*((0*(((0.15*B224*5))^0/1)+1*(((0.15*B224*5))^1/1)+2*(((0.15*B224*5))^2/2)+3*(((0.15*B224*5))^3/6)+4*(((0.15*B224*5))^4/24)+5*(((0.15*B224*5))^5/120))/((((0.15*B224*5))^0/1)+(((0.15*B224*5))^1/1)+(((0.15*B224*5))^2/2)+(((0.15*B224*5))^3/6)+(((0.15*B224*5))^4/24)+(((0.15*B224*5))^5/120))),0))</f>
        <v/>
      </c>
    </row>
    <row r="222">
      <c r="A222" t="inlineStr">
        <is>
          <t>Damage % Bonus (Frozen Break + Frost Clutch, flat)</t>
        </is>
      </c>
      <c r="B222">
        <f>IF(Inputs!$B$3&gt;=66,15,0)+IF(Inputs!$B$3&gt;=98,10,0)+IF(Inputs!$B$3&gt;=125,20,0)</f>
        <v/>
      </c>
    </row>
    <row r="223">
      <c r="A223" t="inlineStr">
        <is>
          <t>Attack Speed Bonus % (MP Eater - MP Boost, always-on + Nimble Feet, duty-cycle averaged)</t>
        </is>
      </c>
      <c r="B223">
        <f>IF(C206=TRUE,F206+(F210-Calc!F17),0)+((C217=TRUE)*F217*IF(AND(Inputs!$B$38&lt;&gt;"pvp",Inputs!$B$43&gt;0),(((R217-1)*MIN((Skills!S24*(1+(Inputs!$B$34)/100)),(1/Q217))+MIN((Skills!S24*(1+(Inputs!$B$34)/100)),MAX(0,Inputs!$B$43-((R217-1)*(1/Q217)))))/Inputs!$B$43),IF(Inputs!$B$38="pvp",MIN((Skills!S24*(1+(Inputs!$B$34)/100)),15)/15,MIN(1,(Skills!S24*(1+(Inputs!$B$34)/100))/(1/Q217)))))</f>
        <v/>
      </c>
    </row>
    <row r="224">
      <c r="A224" t="inlineStr">
        <is>
          <t>Actions Per Second</t>
        </is>
      </c>
      <c r="B224">
        <f>1+MIN(150,150*(1-(1-(Inputs!$B$11+(ArtifactsInput!$M$15-ArtifactsInput!$M$15)*CHOOSE(ArtifactsInput!$N$15+1,8,9.6,11.2,12.8,14.4,16))/150)*(1-B223/150)))/100</f>
        <v/>
      </c>
    </row>
    <row r="225">
      <c r="A225" t="inlineStr">
        <is>
          <t>Skill + Buff Cast Rate</t>
        </is>
      </c>
      <c r="B225">
        <f>IF(AND(Inputs!$B$38&lt;&gt;"pvp",Inputs!$B$43&gt;0),SUMPRODUCT((Skills!E2:E24=TRUE)*(C195:C217=TRUE)*R195:R217)/Inputs!$B$43,SUMPRODUCT((Skills!E2:E24=TRUE)*(C195:C217=TRUE)*Q195:Q217))</f>
        <v/>
      </c>
    </row>
    <row r="226">
      <c r="A226" t="inlineStr">
        <is>
          <t>Chain Lightning Casts Per Second</t>
        </is>
      </c>
      <c r="B226">
        <f>MAX(0,B224-B225)</f>
        <v/>
      </c>
    </row>
    <row r="227">
      <c r="A227" t="inlineStr">
        <is>
          <t>Buff-Casting Startup Delay (s, fixed-duration only)</t>
        </is>
      </c>
      <c r="B227">
        <f>IF(AND(Inputs!$B$38&lt;&gt;"pvp",Inputs!$B$43&gt;0),SUMPRODUCT((Skills!S2:S24&gt;0)*(Skills!E2:E24=TRUE)*(C195:C217=TRUE))/B224,0)</f>
        <v/>
      </c>
    </row>
    <row r="228">
      <c r="A228" t="inlineStr">
        <is>
          <t>Boss-Only Total DPS (this block's swept value)</t>
        </is>
      </c>
      <c r="B228">
        <f>SUM(S195:S217)</f>
        <v/>
      </c>
    </row>
    <row r="229">
      <c r="A229" t="inlineStr">
        <is>
          <t>Normal-Only Total DPS (this block's swept value)</t>
        </is>
      </c>
      <c r="B229">
        <f>SUM(U195:U217)</f>
        <v/>
      </c>
    </row>
    <row r="230">
      <c r="A230" s="6" t="inlineStr">
        <is>
          <t>TOTAL DPS</t>
        </is>
      </c>
      <c r="B230" s="6">
        <f>SUM(O195:O217)</f>
        <v/>
      </c>
    </row>
    <row r="231">
      <c r="A231" t="inlineStr">
        <is>
          <t>Blizzard Final Attack trigger rate (this block's own Q/R)</t>
        </is>
      </c>
      <c r="B231">
        <f>IF(AND(Inputs!$B$38&lt;&gt;"pvp",Inputs!$B$43&gt;0),(((C198=TRUE)*R198*1)+((C199=TRUE)*R199*1)+((C201=TRUE)*R201*1)+((C202=TRUE)*R202*3)+((C204=TRUE)*R204*1))/Inputs!$B$43,((C198=TRUE)*Q198*1)+((C199=TRUE)*Q199*1)+((C201=TRUE)*Q201*1)+((C202=TRUE)*Q202*3)+((C204=TRUE)*Q204*1))+B226</f>
        <v/>
      </c>
    </row>
    <row r="234">
      <c r="A234" s="6" t="inlineStr">
        <is>
          <t>Stat: BOSS_DAMAGE %</t>
        </is>
      </c>
    </row>
    <row r="235">
      <c r="A235" s="5" t="inlineStr">
        <is>
          <t>Key</t>
        </is>
      </c>
      <c r="B235" s="5" t="inlineStr">
        <is>
          <t>Name</t>
        </is>
      </c>
      <c r="C235" s="5" t="inlineStr">
        <is>
          <t>Unlocked</t>
        </is>
      </c>
      <c r="D235" s="5" t="inlineStr">
        <is>
          <t>InputLevel</t>
        </is>
      </c>
      <c r="E235" s="5" t="inlineStr">
        <is>
          <t>Factor</t>
        </is>
      </c>
      <c r="F235" s="5" t="inlineStr">
        <is>
          <t>CoefficientPercent</t>
        </is>
      </c>
      <c r="G235" s="5" t="inlineStr">
        <is>
          <t>EffectiveHits</t>
        </is>
      </c>
      <c r="H235" s="5" t="inlineStr">
        <is>
          <t>ProcProbability</t>
        </is>
      </c>
      <c r="I235" s="5" t="inlineStr">
        <is>
          <t>MapleHeroMultiplier</t>
        </is>
      </c>
      <c r="J235" s="5" t="inlineStr">
        <is>
          <t>BaseDamage</t>
        </is>
      </c>
      <c r="K235" s="5" t="inlineStr">
        <is>
          <t>BaseHitDamage</t>
        </is>
      </c>
      <c r="L235" s="5" t="inlineStr">
        <is>
          <t>NonCritAvg</t>
        </is>
      </c>
      <c r="M235" s="5" t="inlineStr">
        <is>
          <t>CritAvg</t>
        </is>
      </c>
      <c r="N235" s="5" t="inlineStr">
        <is>
          <t>ExpectedDamage(perHit)</t>
        </is>
      </c>
      <c r="O235" s="5" t="inlineStr">
        <is>
          <t>DPS</t>
        </is>
      </c>
      <c r="P235" s="5" t="inlineStr">
        <is>
          <t>% of Total</t>
        </is>
      </c>
      <c r="R235" t="inlineStr">
        <is>
          <t>helpers</t>
        </is>
      </c>
    </row>
    <row r="236">
      <c r="A236">
        <f>Skills!A2</f>
        <v/>
      </c>
      <c r="B236">
        <f>Skills!B2</f>
        <v/>
      </c>
      <c r="C236">
        <f>Inputs!$B$3&gt;=100</f>
        <v/>
      </c>
      <c r="D236" t="inlineStr"/>
      <c r="E236" t="inlineStr"/>
      <c r="F236">
        <f>T238+Skills!N2</f>
        <v/>
      </c>
      <c r="G236">
        <f>Calc!G2</f>
        <v/>
      </c>
      <c r="H236">
        <f>Calc!H2</f>
        <v/>
      </c>
      <c r="I236">
        <f>IF(Skills!T2&lt;&gt;"",1+(Skills!T2/10)*(Z237/1000)/100,1)</f>
        <v/>
      </c>
      <c r="J236">
        <f>((Inputs!$B$6*(1+Inputs!$B$7/100))+(((Inputs!$B$12*(1+Inputs!$B$13/100))-(Inputs!$B$12*(1+Inputs!$B$13/100)))+0.25*(Inputs!$B$14-Inputs!$B$14))*(1+Inputs!$B$7/100))*(F236/100)</f>
        <v/>
      </c>
      <c r="K236">
        <f>J236*(1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2="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f>
        <v/>
      </c>
      <c r="L236">
        <f>K236*(MIN(Inputs!$B$22+(F252-Calc!F18),(Inputs!$B$23+(IF(ArtifactsInput!$M$15,CHOOSE(ArtifactsInput!$N$15+1,25,30,35,40,45,50)/100*(Inputs!$B$11-Inputs!$B$11),0))))/100+(Inputs!$B$23+(IF(ArtifactsInput!$M$15,CHOOSE(ArtifactsInput!$N$15+1,25,30,35,40,45,50)/100*(Inputs!$B$11-Inputs!$B$11),0)))/100)/2</f>
        <v/>
      </c>
      <c r="M236">
        <f>L236*(1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
        <f>L236*(1-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
        <f>(1-Summary!$B$11)*S236+Summary!$B$11*U236</f>
        <v/>
      </c>
      <c r="P236">
        <f>IF(B271=0,0,O236/B271)</f>
        <v/>
      </c>
      <c r="Q236">
        <f>IFERROR(1/(IF(Inputs!$B$38="pvp",15,MAX(0.1,Skills!D2-IF(TRUE=TRUE,Inputs!$B$32,0)))*(1-IF(AND(ArtifactsInput!$M$27,Inputs!$B$4="Chapter Hunt"),CHOOSE(ArtifactsInput!$N$27+1,20,24,28,32,36,40),0)/100)),0)</f>
        <v/>
      </c>
      <c r="R236" t="n">
        <v>0</v>
      </c>
      <c r="S236">
        <f>IF(C236,(Skills!F2*N236*B267)*IF(Inputs!$B$38="pvp",1,1+((Inputs!$B$20+1)+Skills!O2+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6">
        <f>MAX(0,(Inputs!$B$3-100)*3)+Inputs!$B$28+Inputs!$B$29</f>
        <v/>
      </c>
      <c r="U236">
        <f>IF(C236,(Skills!F2*N236*B267)*IF(Inputs!$B$38="pvp",1,(1+(Inputs!$B$21+Skills!P2+B262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36">
        <f>MAX(0,(Inputs!$B$3-100)*3)+Inputs!$B$28+Inputs!$B$29</f>
        <v/>
      </c>
    </row>
    <row r="237">
      <c r="A237">
        <f>Skills!A3</f>
        <v/>
      </c>
      <c r="B237">
        <f>Skills!B3</f>
        <v/>
      </c>
      <c r="C237">
        <f>Inputs!$B$3&gt;=15</f>
        <v/>
      </c>
      <c r="D237">
        <f>IF(Skills!C3=1,60+Inputs!$B$25+Inputs!$B$29,IF(Skills!C3=2,90+Inputs!$B$26+Inputs!$B$29,IF(Skills!C3=3,120+Inputs!$B$27+Inputs!$B$29,MAX(0,(Inputs!$B$3-100)*3)+Inputs!$B$28+Inputs!$B$29)))</f>
        <v/>
      </c>
      <c r="E237">
        <f>INDEX(FactorTable!$B$2:$Y$301, MATCH(ROUND(MIN(300,MAX(1,D237)),0), FactorTable!$A$2:$A$301,0), Skills!L3+1)</f>
        <v/>
      </c>
      <c r="F237">
        <f>IF(Skills!M3=TRUE,(Skills!K3/10)*(E237/1000),Skills!K3/10)+Skills!N3</f>
        <v/>
      </c>
      <c r="G237">
        <f>Calc!G3</f>
        <v/>
      </c>
      <c r="H237">
        <f>Calc!H3</f>
        <v/>
      </c>
      <c r="I237">
        <f>IF(Skills!T3&lt;&gt;"",1+(Skills!T3/10)*(Z237/1000)/100,1)</f>
        <v/>
      </c>
      <c r="J237" t="inlineStr"/>
      <c r="K237" t="inlineStr"/>
      <c r="L237" t="inlineStr"/>
      <c r="M237" t="inlineStr"/>
      <c r="N237" t="inlineStr"/>
      <c r="O237">
        <f>(1-Summary!$B$11)*S237+Summary!$B$11*U237</f>
        <v/>
      </c>
      <c r="P237">
        <f>IF(B271=0,0,O237/B271)</f>
        <v/>
      </c>
      <c r="Q237">
        <f>IFERROR(1/(IF(Inputs!$B$38="pvp",15,MAX(0.1,Skills!D3-IF(TRUE=TRUE,Inputs!$B$32,0)))*(1-IF(AND(ArtifactsInput!$M$27,Inputs!$B$4="Chapter Hunt"),CHOOSE(ArtifactsInput!$N$27+1,20,24,28,32,36,40),0)/100)),0)</f>
        <v/>
      </c>
      <c r="R237">
        <f>IF(AND(Inputs!$B$38&lt;&gt;"pvp",Inputs!$B$43&gt;0),IF(Inputs!$B$43&lt;=0,0,(INT(Inputs!$B$43/(IF(Inputs!$B$38="pvp",15,MAX(0.1,Skills!D3-IF(TRUE=TRUE,Inputs!$B$32,0)))*(1-IF(AND(ArtifactsInput!$M$27,Inputs!$B$4="Chapter Hunt"),CHOOSE(ArtifactsInput!$N$27+1,20,24,28,32,36,40),0)/100)))+1)),0)</f>
        <v/>
      </c>
      <c r="S237" t="n">
        <v>0</v>
      </c>
      <c r="T237">
        <f>INDEX(FactorTable!$B$2:$Y$301, MATCH(ROUND(MIN(300,MAX(1,T236)),0), FactorTable!$A$2:$A$301,0), 22)</f>
        <v/>
      </c>
      <c r="U237" t="n">
        <v>0</v>
      </c>
      <c r="Z237">
        <f>INDEX(FactorTable!$B$2:$Y$301, MATCH(ROUND(MIN(300,MAX(1,Z236)),0), FactorTable!$A$2:$A$301,0), 24)</f>
        <v/>
      </c>
    </row>
    <row r="238">
      <c r="A238">
        <f>Skills!A4</f>
        <v/>
      </c>
      <c r="B238">
        <f>Skills!B4</f>
        <v/>
      </c>
      <c r="C238">
        <f>Inputs!$B$3&gt;=40</f>
        <v/>
      </c>
      <c r="D238">
        <f>IF(Skills!C4=1,60+Inputs!$B$25+Inputs!$B$29,IF(Skills!C4=2,90+Inputs!$B$26+Inputs!$B$29,IF(Skills!C4=3,120+Inputs!$B$27+Inputs!$B$29,MAX(0,(Inputs!$B$3-100)*3)+Inputs!$B$28+Inputs!$B$29)))</f>
        <v/>
      </c>
      <c r="E238">
        <f>INDEX(FactorTable!$B$2:$Y$301, MATCH(ROUND(MIN(300,MAX(1,D238)),0), FactorTable!$A$2:$A$301,0), Skills!L4+1)</f>
        <v/>
      </c>
      <c r="F238">
        <f>IF(Skills!M4=TRUE,(Skills!K4/10)*(E238/1000),Skills!K4/10)+Skills!N4</f>
        <v/>
      </c>
      <c r="G238">
        <f>Calc!G4</f>
        <v/>
      </c>
      <c r="H238">
        <f>Calc!H4</f>
        <v/>
      </c>
      <c r="I238">
        <f>IF(Skills!T4&lt;&gt;"",1+(Skills!T4/10)*(Z237/1000)/100,1)</f>
        <v/>
      </c>
      <c r="J238" t="inlineStr"/>
      <c r="K238" t="inlineStr"/>
      <c r="L238" t="inlineStr"/>
      <c r="M238" t="inlineStr"/>
      <c r="N238" t="inlineStr"/>
      <c r="O238">
        <f>(1-Summary!$B$11)*S238+Summary!$B$11*U238</f>
        <v/>
      </c>
      <c r="P238">
        <f>IF(B271=0,0,O238/B271)</f>
        <v/>
      </c>
      <c r="Q238">
        <f>IFERROR(1/(IF(Inputs!$B$38="pvp",15,MAX(0.1,Skills!D4-IF(TRUE=TRUE,Inputs!$B$32,0)))*(1-IF(AND(ArtifactsInput!$M$27,Inputs!$B$4="Chapter Hunt"),CHOOSE(ArtifactsInput!$N$27+1,20,24,28,32,36,40),0)/100)),0)</f>
        <v/>
      </c>
      <c r="R238">
        <f>IF(AND(Inputs!$B$38&lt;&gt;"pvp",Inputs!$B$43&gt;0),IF(Inputs!$B$43&lt;=0,0,(INT(Inputs!$B$43/(IF(Inputs!$B$38="pvp",15,MAX(0.1,Skills!D4-IF(TRUE=TRUE,Inputs!$B$32,0)))*(1-IF(AND(ArtifactsInput!$M$27,Inputs!$B$4="Chapter Hunt"),CHOOSE(ArtifactsInput!$N$27+1,20,24,28,32,36,40),0)/100)))+1)),0)</f>
        <v/>
      </c>
      <c r="S238" t="n">
        <v>0</v>
      </c>
      <c r="T238">
        <f>290*T237/1000</f>
        <v/>
      </c>
      <c r="U238" t="n">
        <v>0</v>
      </c>
    </row>
    <row r="239">
      <c r="A239">
        <f>Skills!A5</f>
        <v/>
      </c>
      <c r="B239">
        <f>Skills!B5</f>
        <v/>
      </c>
      <c r="C239">
        <f>Inputs!$B$3&gt;=38</f>
        <v/>
      </c>
      <c r="D239">
        <f>IF(Skills!C5=1,60+Inputs!$B$25+Inputs!$B$29,IF(Skills!C5=2,90+Inputs!$B$26+Inputs!$B$29,IF(Skills!C5=3,120+Inputs!$B$27+Inputs!$B$29,MAX(0,(Inputs!$B$3-100)*3)+Inputs!$B$28+Inputs!$B$29)))</f>
        <v/>
      </c>
      <c r="E239">
        <f>INDEX(FactorTable!$B$2:$Y$301, MATCH(ROUND(MIN(300,MAX(1,D239)),0), FactorTable!$A$2:$A$301,0), Skills!L5+1)</f>
        <v/>
      </c>
      <c r="F239">
        <f>IF(Skills!M5=TRUE,(Skills!K5/10)*(E239/1000),Skills!K5/10)+Skills!N5</f>
        <v/>
      </c>
      <c r="G239">
        <f>Calc!G5</f>
        <v/>
      </c>
      <c r="H239">
        <f>Calc!H5</f>
        <v/>
      </c>
      <c r="I239">
        <f>IF(Skills!T5&lt;&gt;"",1+(Skills!T5/10)*(Z237/1000)/100,1)</f>
        <v/>
      </c>
      <c r="J239">
        <f>((Inputs!$B$6*(1+Inputs!$B$7/100))+(((Inputs!$B$12*(1+Inputs!$B$13/100))-(Inputs!$B$12*(1+Inputs!$B$13/100)))+0.25*(Inputs!$B$14-Inputs!$B$14))*(1+Inputs!$B$7/100))*(F239/100)</f>
        <v/>
      </c>
      <c r="K239">
        <f>J239*(1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5="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239)</f>
        <v/>
      </c>
      <c r="L239">
        <f>K239*(MIN(Inputs!$B$22+(F252-Calc!F18),(Inputs!$B$23+(IF(ArtifactsInput!$M$15,CHOOSE(ArtifactsInput!$N$15+1,25,30,35,40,45,50)/100*(Inputs!$B$11-Inputs!$B$11),0))))/100+(Inputs!$B$23+(IF(ArtifactsInput!$M$15,CHOOSE(ArtifactsInput!$N$15+1,25,30,35,40,45,50)/100*(Inputs!$B$11-Inputs!$B$11),0)))/100)/2</f>
        <v/>
      </c>
      <c r="M239">
        <f>L239*(1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9">
        <f>L239*(1-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239*(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9">
        <f>(1-Summary!$B$11)*S239+Summary!$B$11*U239</f>
        <v/>
      </c>
      <c r="P239">
        <f>IF(B271=0,0,O239/B271)</f>
        <v/>
      </c>
      <c r="Q239">
        <f>IFERROR(1/(IF(Inputs!$B$38="pvp",15,MAX(0.1,Skills!D5-IF(TRUE=TRUE,Inputs!$B$32,0)))*(1-IF(AND(ArtifactsInput!$M$27,Inputs!$B$4="Chapter Hunt"),CHOOSE(ArtifactsInput!$N$27+1,20,24,28,32,36,40),0)/100)),0)</f>
        <v/>
      </c>
      <c r="R239">
        <f>IF(AND(Inputs!$B$38&lt;&gt;"pvp",Inputs!$B$43&gt;0),IF(MAX(0,Inputs!$B$43-B268)&lt;=0,0,(INT(MAX(0,Inputs!$B$43-B268)/(IF(Inputs!$B$38="pvp",15,MAX(0.1,Skills!D5-IF(TRUE=TRUE,Inputs!$B$32,0)))*(1-IF(AND(ArtifactsInput!$M$27,Inputs!$B$4="Chapter Hunt"),CHOOSE(ArtifactsInput!$N$27+1,20,24,28,32,36,40),0)/100)))+1)),0)</f>
        <v/>
      </c>
      <c r="S239">
        <f>IF(C239,(H239*N239*IF(AND(Inputs!$B$38&lt;&gt;"pvp",Inputs!$B$43&gt;0),((Skills!F5*((R239-1)*IF(Skills!G5&gt;0,Skills!H5/Skills!G5,1)+IF(Skills!G5&gt;0,MIN(Skills!H5,MAX(0,MAX(0,Inputs!$B$43-B268)-((R239-1)*(IF(Inputs!$B$38="pvp",15,MAX(0.1,Skills!D5-IF(TRUE=TRUE,Inputs!$B$32,0)))*(1-IF(AND(ArtifactsInput!$M$27,Inputs!$B$4="Chapter Hunt"),CHOOSE(ArtifactsInput!$N$27+1,20,24,28,32,36,40),0)/100)))))/Skills!G5,1)))/Inputs!$B$43),G239*Q239))*IF(Inputs!$B$38="pvp",1,1+((Inputs!$B$20+1)+Skills!O5+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239*(1-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239*(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239*(1-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239*(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9">
        <f>IF(C239,(H239*N239*IF(AND(Inputs!$B$38&lt;&gt;"pvp",Inputs!$B$43&gt;0),((Skills!F5*((R239-1)*IF(Skills!G5&gt;0,Skills!H5/Skills!G5,1)+IF(Skills!G5&gt;0,MIN(Skills!H5,MAX(0,MAX(0,Inputs!$B$43-B268)-((R239-1)*(IF(Inputs!$B$38="pvp",15,MAX(0.1,Skills!D5-IF(TRUE=TRUE,Inputs!$B$32,0)))*(1-IF(AND(ArtifactsInput!$M$27,Inputs!$B$4="Chapter Hunt"),CHOOSE(ArtifactsInput!$N$27+1,20,24,28,32,36,40),0)/100)))))/Skills!G5,1)))/Inputs!$B$43),G239*Q239))*IF(Inputs!$B$38="pvp",1,(1+(Inputs!$B$21+Skills!P5+B262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0">
      <c r="A240">
        <f>Skills!A6</f>
        <v/>
      </c>
      <c r="B240">
        <f>Skills!B6</f>
        <v/>
      </c>
      <c r="C240">
        <f>Inputs!$B$3&gt;=63</f>
        <v/>
      </c>
      <c r="D240">
        <f>IF(Skills!C6=1,60+Inputs!$B$25+Inputs!$B$29,IF(Skills!C6=2,90+Inputs!$B$26+Inputs!$B$29,IF(Skills!C6=3,120+Inputs!$B$27+Inputs!$B$29,MAX(0,(Inputs!$B$3-100)*3)+Inputs!$B$28+Inputs!$B$29)))</f>
        <v/>
      </c>
      <c r="E240">
        <f>INDEX(FactorTable!$B$2:$Y$301, MATCH(ROUND(MIN(300,MAX(1,D240)),0), FactorTable!$A$2:$A$301,0), Skills!L6+1)</f>
        <v/>
      </c>
      <c r="F240">
        <f>IF(Skills!M6=TRUE,(Skills!K6/10)*(E240/1000),Skills!K6/10)+Skills!N6</f>
        <v/>
      </c>
      <c r="G240">
        <f>Calc!G6</f>
        <v/>
      </c>
      <c r="H240">
        <f>Calc!H6</f>
        <v/>
      </c>
      <c r="I240">
        <f>IF(Skills!T6&lt;&gt;"",1+(Skills!T6/10)*(Z237/1000)/100,1)</f>
        <v/>
      </c>
      <c r="J240">
        <f>((Inputs!$B$6*(1+Inputs!$B$7/100))+(((Inputs!$B$12*(1+Inputs!$B$13/100))-(Inputs!$B$12*(1+Inputs!$B$13/100)))+0.25*(Inputs!$B$14-Inputs!$B$14))*(1+Inputs!$B$7/100))*(F240/100)</f>
        <v/>
      </c>
      <c r="K240">
        <f>J240*(1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6="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f>
        <v/>
      </c>
      <c r="L240">
        <f>K240*(MIN(Inputs!$B$22+(F252-Calc!F18),(Inputs!$B$23+(IF(ArtifactsInput!$M$15,CHOOSE(ArtifactsInput!$N$15+1,25,30,35,40,45,50)/100*(Inputs!$B$11-Inputs!$B$11),0))))/100+(Inputs!$B$23+(IF(ArtifactsInput!$M$15,CHOOSE(ArtifactsInput!$N$15+1,25,30,35,40,45,50)/100*(Inputs!$B$11-Inputs!$B$11),0)))/100)/2</f>
        <v/>
      </c>
      <c r="M240">
        <f>L240*(1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
        <f>L240*(1-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
        <f>(1-Summary!$B$11)*S240+Summary!$B$11*U240</f>
        <v/>
      </c>
      <c r="P240">
        <f>IF(B271=0,0,O240/B271)</f>
        <v/>
      </c>
      <c r="Q240">
        <f>IFERROR(1/(IF(Inputs!$B$38="pvp",15,MAX(0.1,Skills!D6-IF(TRUE=TRUE,Inputs!$B$32,0)))*(1-IF(AND(ArtifactsInput!$M$27,Inputs!$B$4="Chapter Hunt"),CHOOSE(ArtifactsInput!$N$27+1,20,24,28,32,36,40),0)/100)),0)</f>
        <v/>
      </c>
      <c r="R240">
        <f>IF(AND(Inputs!$B$38&lt;&gt;"pvp",Inputs!$B$43&gt;0),IF(MAX(0,Inputs!$B$43-B268)&lt;=0,0,(INT(MAX(0,Inputs!$B$43-B268)/(IF(Inputs!$B$38="pvp",15,MAX(0.1,Skills!D6-IF(TRUE=TRUE,Inputs!$B$32,0)))*(1-IF(AND(ArtifactsInput!$M$27,Inputs!$B$4="Chapter Hunt"),CHOOSE(ArtifactsInput!$N$27+1,20,24,28,32,36,40),0)/100)))+1)),0)</f>
        <v/>
      </c>
      <c r="S240">
        <f>IF(C240,(H240*N240*IF(AND(Inputs!$B$38&lt;&gt;"pvp",Inputs!$B$43&gt;0),((Skills!F6*((R240-1)*IF(Skills!G6&gt;0,Skills!H6/Skills!G6,1)+IF(Skills!G6&gt;0,MIN(Skills!H6,MAX(0,MAX(0,Inputs!$B$43-B268)-((R240-1)*(IF(Inputs!$B$38="pvp",15,MAX(0.1,Skills!D6-IF(TRUE=TRUE,Inputs!$B$32,0)))*(1-IF(AND(ArtifactsInput!$M$27,Inputs!$B$4="Chapter Hunt"),CHOOSE(ArtifactsInput!$N$27+1,20,24,28,32,36,40),0)/100)))))/Skills!G6,1)))/Inputs!$B$43),G240*Q240))*IF(Inputs!$B$38="pvp",1,1+((Inputs!$B$20+1)+Skills!O6+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0">
        <f>IF(C240,(H240*N240*IF(AND(Inputs!$B$38&lt;&gt;"pvp",Inputs!$B$43&gt;0),((Skills!F6*((R240-1)*IF(Skills!G6&gt;0,Skills!H6/Skills!G6,1)+IF(Skills!G6&gt;0,MIN(Skills!H6,MAX(0,MAX(0,Inputs!$B$43-B268)-((R240-1)*(IF(Inputs!$B$38="pvp",15,MAX(0.1,Skills!D6-IF(TRUE=TRUE,Inputs!$B$32,0)))*(1-IF(AND(ArtifactsInput!$M$27,Inputs!$B$4="Chapter Hunt"),CHOOSE(ArtifactsInput!$N$27+1,20,24,28,32,36,40),0)/100)))))/Skills!G6,1)))/Inputs!$B$43),G240*Q240))*IF(Inputs!$B$38="pvp",1,(1+(Inputs!$B$21+Skills!P6+B262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
      <c r="A241">
        <f>Skills!A7</f>
        <v/>
      </c>
      <c r="B241">
        <f>Skills!B7</f>
        <v/>
      </c>
      <c r="C241">
        <f>Inputs!$B$3&gt;=69</f>
        <v/>
      </c>
      <c r="D241">
        <f>IF(Skills!C7=1,60+Inputs!$B$25+Inputs!$B$29,IF(Skills!C7=2,90+Inputs!$B$26+Inputs!$B$29,IF(Skills!C7=3,120+Inputs!$B$27+Inputs!$B$29,MAX(0,(Inputs!$B$3-100)*3)+Inputs!$B$28+Inputs!$B$29)))</f>
        <v/>
      </c>
      <c r="E241">
        <f>INDEX(FactorTable!$B$2:$Y$301, MATCH(ROUND(MIN(300,MAX(1,D241)),0), FactorTable!$A$2:$A$301,0), Skills!L7+1)</f>
        <v/>
      </c>
      <c r="F241">
        <f>IF(Skills!M7=TRUE,(Skills!K7/10)*(E241/1000),Skills!K7/10)+Skills!N7</f>
        <v/>
      </c>
      <c r="G241">
        <f>Calc!G7</f>
        <v/>
      </c>
      <c r="H241">
        <f>Calc!H7</f>
        <v/>
      </c>
      <c r="I241">
        <f>IF(Skills!T7&lt;&gt;"",1+(Skills!T7/10)*(Z237/1000)/100,1)</f>
        <v/>
      </c>
      <c r="J241">
        <f>((Inputs!$B$6*(1+Inputs!$B$7/100))+(((Inputs!$B$12*(1+Inputs!$B$13/100))-(Inputs!$B$12*(1+Inputs!$B$13/100)))+0.25*(Inputs!$B$14-Inputs!$B$14))*(1+Inputs!$B$7/100))*(F241/100)</f>
        <v/>
      </c>
      <c r="K241">
        <f>J241*(1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7="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f>
        <v/>
      </c>
      <c r="L241">
        <f>K241*(MIN(Inputs!$B$22+(F252-Calc!F18),(Inputs!$B$23+(IF(ArtifactsInput!$M$15,CHOOSE(ArtifactsInput!$N$15+1,25,30,35,40,45,50)/100*(Inputs!$B$11-Inputs!$B$11),0))))/100+(Inputs!$B$23+(IF(ArtifactsInput!$M$15,CHOOSE(ArtifactsInput!$N$15+1,25,30,35,40,45,50)/100*(Inputs!$B$11-Inputs!$B$11),0)))/100)/2</f>
        <v/>
      </c>
      <c r="M241">
        <f>L241*(1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
        <f>L241*(1-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
        <f>(1-Summary!$B$11)*S241+Summary!$B$11*U241</f>
        <v/>
      </c>
      <c r="P241">
        <f>IF(B271=0,0,O241/B271)</f>
        <v/>
      </c>
      <c r="Q241">
        <f>IFERROR(1/(IF(Inputs!$B$38="pvp",15,MAX(0.1,Skills!D7-IF(TRUE=TRUE,Inputs!$B$32,0)))*(1-IF(AND(ArtifactsInput!$M$27,Inputs!$B$4="Chapter Hunt"),CHOOSE(ArtifactsInput!$N$27+1,20,24,28,32,36,40),0)/100)),0)</f>
        <v/>
      </c>
      <c r="R241">
        <f>IF(AND(Inputs!$B$38&lt;&gt;"pvp",Inputs!$B$43&gt;0),IF(MAX(0,Inputs!$B$43-B268)&lt;=0,0,(INT(MAX(0,Inputs!$B$43-B268)/(IF(Inputs!$B$38="pvp",15,MAX(0.1,Skills!D7-IF(TRUE=TRUE,Inputs!$B$32,0)))*(1-IF(AND(ArtifactsInput!$M$27,Inputs!$B$4="Chapter Hunt"),CHOOSE(ArtifactsInput!$N$27+1,20,24,28,32,36,40),0)/100)))+1)),0)</f>
        <v/>
      </c>
      <c r="S241">
        <f>IF(C241,(H241*N241*IF(AND(Inputs!$B$38&lt;&gt;"pvp",Inputs!$B$43&gt;0),((Skills!F7*((R241-1)*IF(Skills!G7&gt;0,Skills!H7/Skills!G7,1)+IF(Skills!G7&gt;0,MIN(Skills!H7,MAX(0,MAX(0,Inputs!$B$43-B268)-((R241-1)*(IF(Inputs!$B$38="pvp",15,MAX(0.1,Skills!D7-IF(TRUE=TRUE,Inputs!$B$32,0)))*(1-IF(AND(ArtifactsInput!$M$27,Inputs!$B$4="Chapter Hunt"),CHOOSE(ArtifactsInput!$N$27+1,20,24,28,32,36,40),0)/100)))))/Skills!G7,1)))/Inputs!$B$43),G241*Q241))*IF(Inputs!$B$38="pvp",1,1+((Inputs!$B$20+1)+Skills!O7+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
        <f>IF(C241,(H241*N241*IF(AND(Inputs!$B$38&lt;&gt;"pvp",Inputs!$B$43&gt;0),((Skills!F7*((R241-1)*IF(Skills!G7&gt;0,Skills!H7/Skills!G7,1)+IF(Skills!G7&gt;0,MIN(Skills!H7,MAX(0,MAX(0,Inputs!$B$43-B268)-((R241-1)*(IF(Inputs!$B$38="pvp",15,MAX(0.1,Skills!D7-IF(TRUE=TRUE,Inputs!$B$32,0)))*(1-IF(AND(ArtifactsInput!$M$27,Inputs!$B$4="Chapter Hunt"),CHOOSE(ArtifactsInput!$N$27+1,20,24,28,32,36,40),0)/100)))))/Skills!G7,1)))/Inputs!$B$43),G241*Q241))*IF(Inputs!$B$38="pvp",1,(1+(Inputs!$B$21+Skills!P7+B262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
      <c r="A242">
        <f>Skills!A8</f>
        <v/>
      </c>
      <c r="B242">
        <f>Skills!B8</f>
        <v/>
      </c>
      <c r="C242">
        <f>Inputs!$B$3&gt;=103</f>
        <v/>
      </c>
      <c r="D242">
        <f>IF(Skills!C8=1,60+Inputs!$B$25+Inputs!$B$29,IF(Skills!C8=2,90+Inputs!$B$26+Inputs!$B$29,IF(Skills!C8=3,120+Inputs!$B$27+Inputs!$B$29,MAX(0,(Inputs!$B$3-100)*3)+Inputs!$B$28+Inputs!$B$29)))</f>
        <v/>
      </c>
      <c r="E242">
        <f>INDEX(FactorTable!$B$2:$Y$301, MATCH(ROUND(MIN(300,MAX(1,D242)),0), FactorTable!$A$2:$A$301,0), Skills!L8+1)</f>
        <v/>
      </c>
      <c r="F242">
        <f>IF(Skills!M8=TRUE,(Skills!K8/10)*(E242/1000),Skills!K8/10)+Skills!N8</f>
        <v/>
      </c>
      <c r="G242">
        <f>Calc!G8</f>
        <v/>
      </c>
      <c r="H242">
        <f>Calc!H8</f>
        <v/>
      </c>
      <c r="I242">
        <f>IF(Skills!T8&lt;&gt;"",1+(Skills!T8/10)*(Z237/1000)/100,1)</f>
        <v/>
      </c>
      <c r="J242">
        <f>((Inputs!$B$6*(1+Inputs!$B$7/100))+(((Inputs!$B$12*(1+Inputs!$B$13/100))-(Inputs!$B$12*(1+Inputs!$B$13/100)))+0.25*(Inputs!$B$14-Inputs!$B$14))*(1+Inputs!$B$7/100))*(F242/100)</f>
        <v/>
      </c>
      <c r="K242">
        <f>J242*(1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8="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f>
        <v/>
      </c>
      <c r="L242">
        <f>K242*(MIN(Inputs!$B$22+(F252-Calc!F18),(Inputs!$B$23+(IF(ArtifactsInput!$M$15,CHOOSE(ArtifactsInput!$N$15+1,25,30,35,40,45,50)/100*(Inputs!$B$11-Inputs!$B$11),0))))/100+(Inputs!$B$23+(IF(ArtifactsInput!$M$15,CHOOSE(ArtifactsInput!$N$15+1,25,30,35,40,45,50)/100*(Inputs!$B$11-Inputs!$B$11),0)))/100)/2</f>
        <v/>
      </c>
      <c r="M242">
        <f>L242*(1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
        <f>L242*(1-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
        <f>(1-Summary!$B$11)*S242+Summary!$B$11*U242</f>
        <v/>
      </c>
      <c r="P242">
        <f>IF(B271=0,0,O242/B271)</f>
        <v/>
      </c>
      <c r="Q242">
        <f>IFERROR(1/(IF(Inputs!$B$38="pvp",15,MAX(0.1,Skills!D8-IF(TRUE=TRUE,Inputs!$B$32,0)))*(1-IF(AND(ArtifactsInput!$M$27,Inputs!$B$4="Chapter Hunt"),CHOOSE(ArtifactsInput!$N$27+1,20,24,28,32,36,40),0)/100)),0)</f>
        <v/>
      </c>
      <c r="R242">
        <f>IF(AND(Inputs!$B$38&lt;&gt;"pvp",Inputs!$B$43&gt;0),IF(MAX(0,Inputs!$B$43-B268)&lt;=0,0,(INT(MAX(0,Inputs!$B$43-B268)/(IF(Inputs!$B$38="pvp",15,MAX(0.1,Skills!D8-IF(TRUE=TRUE,Inputs!$B$32,0)))*(1-IF(AND(ArtifactsInput!$M$27,Inputs!$B$4="Chapter Hunt"),CHOOSE(ArtifactsInput!$N$27+1,20,24,28,32,36,40),0)/100)))+1)),0)</f>
        <v/>
      </c>
      <c r="S242">
        <f>IF(C242,(H242*N242*IF(AND(Inputs!$B$38&lt;&gt;"pvp",Inputs!$B$43&gt;0),((Skills!F8*((R242-1)*IF(Skills!G8&gt;0,Skills!H8/Skills!G8,1)+IF(Skills!G8&gt;0,MIN(Skills!H8,MAX(0,MAX(0,Inputs!$B$43-B268)-((R242-1)*(IF(Inputs!$B$38="pvp",15,MAX(0.1,Skills!D8-IF(TRUE=TRUE,Inputs!$B$32,0)))*(1-IF(AND(ArtifactsInput!$M$27,Inputs!$B$4="Chapter Hunt"),CHOOSE(ArtifactsInput!$N$27+1,20,24,28,32,36,40),0)/100)))))/Skills!G8,1)))/Inputs!$B$43),G242*Q242))*IF(Inputs!$B$38="pvp",1,1+((Inputs!$B$20+1)+Skills!O8+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242*(1-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2">
        <f>IF(C242,(H242*N242*IF(AND(Inputs!$B$38&lt;&gt;"pvp",Inputs!$B$43&gt;0),((Skills!F8*((R242-1)*IF(Skills!G8&gt;0,Skills!H8/Skills!G8,1)+IF(Skills!G8&gt;0,MIN(Skills!H8,MAX(0,MAX(0,Inputs!$B$43-B268)-((R242-1)*(IF(Inputs!$B$38="pvp",15,MAX(0.1,Skills!D8-IF(TRUE=TRUE,Inputs!$B$32,0)))*(1-IF(AND(ArtifactsInput!$M$27,Inputs!$B$4="Chapter Hunt"),CHOOSE(ArtifactsInput!$N$27+1,20,24,28,32,36,40),0)/100)))))/Skills!G8,1)))/Inputs!$B$43),G242*Q242))*IF(Inputs!$B$38="pvp",1,(1+(Inputs!$B$21+Skills!P8+B262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3">
      <c r="A243">
        <f>Skills!A9</f>
        <v/>
      </c>
      <c r="B243">
        <f>Skills!B9</f>
        <v/>
      </c>
      <c r="C243">
        <f>Inputs!$B$3&gt;=105</f>
        <v/>
      </c>
      <c r="D243">
        <f>IF(Skills!C9=1,60+Inputs!$B$25+Inputs!$B$29,IF(Skills!C9=2,90+Inputs!$B$26+Inputs!$B$29,IF(Skills!C9=3,120+Inputs!$B$27+Inputs!$B$29,MAX(0,(Inputs!$B$3-100)*3)+Inputs!$B$28+Inputs!$B$29)))</f>
        <v/>
      </c>
      <c r="E243">
        <f>INDEX(FactorTable!$B$2:$Y$301, MATCH(ROUND(MIN(300,MAX(1,D243)),0), FactorTable!$A$2:$A$301,0), Skills!L9+1)</f>
        <v/>
      </c>
      <c r="F243">
        <f>IF(Skills!M9=TRUE,(Skills!K9/10)*(E243/1000),Skills!K9/10)+Skills!N9</f>
        <v/>
      </c>
      <c r="G243">
        <f>Calc!G9</f>
        <v/>
      </c>
      <c r="H243">
        <f>Calc!H9</f>
        <v/>
      </c>
      <c r="I243">
        <f>IF(Skills!T9&lt;&gt;"",1+(Skills!T9/10)*(Z237/1000)/100,1)</f>
        <v/>
      </c>
      <c r="J243">
        <f>((Inputs!$B$6*(1+Inputs!$B$7/100))+(((Inputs!$B$12*(1+Inputs!$B$13/100))-(Inputs!$B$12*(1+Inputs!$B$13/100)))+0.25*(Inputs!$B$14-Inputs!$B$14))*(1+Inputs!$B$7/100))*(F243/100)</f>
        <v/>
      </c>
      <c r="K243">
        <f>J243*(1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9="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243)</f>
        <v/>
      </c>
      <c r="L243">
        <f>K243*(MIN(Inputs!$B$22+(F252-Calc!F18),(Inputs!$B$23+(IF(ArtifactsInput!$M$15,CHOOSE(ArtifactsInput!$N$15+1,25,30,35,40,45,50)/100*(Inputs!$B$11-Inputs!$B$11),0))))/100+(Inputs!$B$23+(IF(ArtifactsInput!$M$15,CHOOSE(ArtifactsInput!$N$15+1,25,30,35,40,45,50)/100*(Inputs!$B$11-Inputs!$B$11),0)))/100)/2</f>
        <v/>
      </c>
      <c r="M243">
        <f>L243*(1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3">
        <f>L243*(1-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243*(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3">
        <f>(1-Summary!$B$11)*S243+Summary!$B$11*U243</f>
        <v/>
      </c>
      <c r="P243">
        <f>IF(B271=0,0,O243/B271)</f>
        <v/>
      </c>
      <c r="Q243">
        <f>IFERROR(1/(IF(Inputs!$B$38="pvp",15,MAX(0.1,Skills!D9-IF(TRUE=TRUE,Inputs!$B$32,0)))*(1-IF(AND(ArtifactsInput!$M$27,Inputs!$B$4="Chapter Hunt"),CHOOSE(ArtifactsInput!$N$27+1,20,24,28,32,36,40),0)/100)),0)</f>
        <v/>
      </c>
      <c r="R243">
        <f>IF(AND(Inputs!$B$38&lt;&gt;"pvp",Inputs!$B$43&gt;0),IF(MAX(0,Inputs!$B$43-B268)&lt;=0,0,(INT(MAX(0,Inputs!$B$43-B268)/(IF(Inputs!$B$38="pvp",15,MAX(0.1,Skills!D9-IF(TRUE=TRUE,Inputs!$B$32,0)))*(1-IF(AND(ArtifactsInput!$M$27,Inputs!$B$4="Chapter Hunt"),CHOOSE(ArtifactsInput!$N$27+1,20,24,28,32,36,40),0)/100)))+1)),0)</f>
        <v/>
      </c>
      <c r="S243">
        <f>IF(C243,(H243*N243*IF(AND(Inputs!$B$38&lt;&gt;"pvp",Inputs!$B$43&gt;0),((Skills!F9*((R243-1)*IF(Skills!G9&gt;0,Skills!H9/Skills!G9,1)+IF(Skills!G9&gt;0,MIN(Skills!H9,MAX(0,MAX(0,Inputs!$B$43-B268)-((R243-1)*(IF(Inputs!$B$38="pvp",15,MAX(0.1,Skills!D9-IF(TRUE=TRUE,Inputs!$B$32,0)))*(1-IF(AND(ArtifactsInput!$M$27,Inputs!$B$4="Chapter Hunt"),CHOOSE(ArtifactsInput!$N$27+1,20,24,28,32,36,40),0)/100)))))/Skills!G9,1)))/Inputs!$B$43),G243*Q243))*IF(Inputs!$B$38="pvp",1,1+((Inputs!$B$20+1)+Skills!O9+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243*(1-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243*(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243*(1-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243*(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3">
        <f>IF(C243,(H243*N243*IF(AND(Inputs!$B$38&lt;&gt;"pvp",Inputs!$B$43&gt;0),((Skills!F9*((R243-1)*IF(Skills!G9&gt;0,Skills!H9/Skills!G9,1)+IF(Skills!G9&gt;0,MIN(Skills!H9,MAX(0,MAX(0,Inputs!$B$43-B268)-((R243-1)*(IF(Inputs!$B$38="pvp",15,MAX(0.1,Skills!D9-IF(TRUE=TRUE,Inputs!$B$32,0)))*(1-IF(AND(ArtifactsInput!$M$27,Inputs!$B$4="Chapter Hunt"),CHOOSE(ArtifactsInput!$N$27+1,20,24,28,32,36,40),0)/100)))))/Skills!G9,1)))/Inputs!$B$43),G243*Q243))*IF(Inputs!$B$38="pvp",1,(1+(Inputs!$B$21+Skills!P9+B262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4">
      <c r="A244">
        <f>Skills!A10</f>
        <v/>
      </c>
      <c r="B244">
        <f>Skills!B10</f>
        <v/>
      </c>
      <c r="C244">
        <f>Inputs!$B$3&gt;=113</f>
        <v/>
      </c>
      <c r="D244">
        <f>IF(Skills!C10=1,60+Inputs!$B$25+Inputs!$B$29,IF(Skills!C10=2,90+Inputs!$B$26+Inputs!$B$29,IF(Skills!C10=3,120+Inputs!$B$27+Inputs!$B$29,MAX(0,(Inputs!$B$3-100)*3)+Inputs!$B$28+Inputs!$B$29)))</f>
        <v/>
      </c>
      <c r="E244">
        <f>INDEX(FactorTable!$B$2:$Y$301, MATCH(ROUND(MIN(300,MAX(1,D244)),0), FactorTable!$A$2:$A$301,0), Skills!L10+1)</f>
        <v/>
      </c>
      <c r="F244">
        <f>IF(Skills!M10=TRUE,(Skills!K10/10)*(E244/1000),Skills!K10/10)+Skills!N10</f>
        <v/>
      </c>
      <c r="G244">
        <f>Calc!G10</f>
        <v/>
      </c>
      <c r="H244">
        <f>Calc!H10</f>
        <v/>
      </c>
      <c r="I244">
        <f>IF(Skills!T10&lt;&gt;"",1+(Skills!T10/10)*(Z237/1000)/100,1)</f>
        <v/>
      </c>
      <c r="J244">
        <f>((Inputs!$B$6*(1+Inputs!$B$7/100))+(((Inputs!$B$12*(1+Inputs!$B$13/100))-(Inputs!$B$12*(1+Inputs!$B$13/100)))+0.25*(Inputs!$B$14-Inputs!$B$14))*(1+Inputs!$B$7/100))*(F244/100)</f>
        <v/>
      </c>
      <c r="K244">
        <f>J244*(1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10="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244)</f>
        <v/>
      </c>
      <c r="L244">
        <f>K244*(MIN(Inputs!$B$22+(F252-Calc!F18),(Inputs!$B$23+(IF(ArtifactsInput!$M$15,CHOOSE(ArtifactsInput!$N$15+1,25,30,35,40,45,50)/100*(Inputs!$B$11-Inputs!$B$11),0))))/100+(Inputs!$B$23+(IF(ArtifactsInput!$M$15,CHOOSE(ArtifactsInput!$N$15+1,25,30,35,40,45,50)/100*(Inputs!$B$11-Inputs!$B$11),0)))/100)/2</f>
        <v/>
      </c>
      <c r="M244">
        <f>L244*(1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4">
        <f>L244*(1-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244*(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4">
        <f>(1-Summary!$B$11)*S244+Summary!$B$11*U244</f>
        <v/>
      </c>
      <c r="P244">
        <f>IF(B271=0,0,O244/B271)</f>
        <v/>
      </c>
      <c r="Q244">
        <f>IFERROR(1/(IF(Inputs!$B$38="pvp",15,MAX(0.1,Skills!D10-IF(TRUE=TRUE,Inputs!$B$32,0)))*(1-IF(AND(ArtifactsInput!$M$27,Inputs!$B$4="Chapter Hunt"),CHOOSE(ArtifactsInput!$N$27+1,20,24,28,32,36,40),0)/100)),0)</f>
        <v/>
      </c>
      <c r="R244" t="n">
        <v>0</v>
      </c>
      <c r="S244">
        <f>IF(C244,((H244*B272)/(1+Skills!G10*H244*B272)*N244)*IF(Inputs!$B$38="pvp",1,1+((Inputs!$B$20+1)+Skills!O10+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244*(1-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244*(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244*(1-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244*(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4">
        <f>IF(C244,((H244*B272)/(1+Skills!G10*H244*B272)*N244)*IF(Inputs!$B$38="pvp",1,(1+(Inputs!$B$21+Skills!P10+B262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
      <c r="A245">
        <f>Skills!A11</f>
        <v/>
      </c>
      <c r="B245">
        <f>Skills!B11</f>
        <v/>
      </c>
      <c r="C245">
        <f>Inputs!$B$3&gt;=107</f>
        <v/>
      </c>
      <c r="D245">
        <f>IF(Skills!C11=1,60+Inputs!$B$25+Inputs!$B$29,IF(Skills!C11=2,90+Inputs!$B$26+Inputs!$B$29,IF(Skills!C11=3,120+Inputs!$B$27+Inputs!$B$29,MAX(0,(Inputs!$B$3-100)*3)+Inputs!$B$28+Inputs!$B$29)))</f>
        <v/>
      </c>
      <c r="E245">
        <f>INDEX(FactorTable!$B$2:$Y$301, MATCH(ROUND(MIN(300,MAX(1,D245)),0), FactorTable!$A$2:$A$301,0), Skills!L11+1)</f>
        <v/>
      </c>
      <c r="F245">
        <f>IF(Skills!M11=TRUE,(Skills!K11/10)*(E245/1000),Skills!K11/10)+Skills!N11</f>
        <v/>
      </c>
      <c r="G245">
        <f>Calc!G11</f>
        <v/>
      </c>
      <c r="H245">
        <f>Calc!H11</f>
        <v/>
      </c>
      <c r="I245">
        <f>IF(Skills!T11&lt;&gt;"",1+(Skills!T11/10)*(Z237/1000)/100,1)</f>
        <v/>
      </c>
      <c r="J245">
        <f>((Inputs!$B$6*(1+Inputs!$B$7/100))+(((Inputs!$B$12*(1+Inputs!$B$13/100))-(Inputs!$B$12*(1+Inputs!$B$13/100)))+0.25*(Inputs!$B$14-Inputs!$B$14))*(1+Inputs!$B$7/100))*(F245/100)</f>
        <v/>
      </c>
      <c r="K245">
        <f>J245*(1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11="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f>
        <v/>
      </c>
      <c r="L245">
        <f>K245*(MIN(Inputs!$B$22+(F252-Calc!F18),(Inputs!$B$23+(IF(ArtifactsInput!$M$15,CHOOSE(ArtifactsInput!$N$15+1,25,30,35,40,45,50)/100*(Inputs!$B$11-Inputs!$B$11),0))))/100+(Inputs!$B$23+(IF(ArtifactsInput!$M$15,CHOOSE(ArtifactsInput!$N$15+1,25,30,35,40,45,50)/100*(Inputs!$B$11-Inputs!$B$11),0)))/100)/2</f>
        <v/>
      </c>
      <c r="M245">
        <f>L245*(1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
        <f>L245*(1-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
        <f>(1-Summary!$B$11)*S245+Summary!$B$11*U245</f>
        <v/>
      </c>
      <c r="P245">
        <f>IF(B271=0,0,O245/B271)</f>
        <v/>
      </c>
      <c r="Q245">
        <f>IFERROR(1/(IF(Inputs!$B$38="pvp",15,MAX(0.1,Skills!D11-IF(TRUE=TRUE,Inputs!$B$32,0)))*(1-IF(AND(ArtifactsInput!$M$27,Inputs!$B$4="Chapter Hunt"),CHOOSE(ArtifactsInput!$N$27+1,20,24,28,32,36,40),0)/100)),0)</f>
        <v/>
      </c>
      <c r="R245">
        <f>IF(AND(Inputs!$B$38&lt;&gt;"pvp",Inputs!$B$43&gt;0),IF(MAX(0,Inputs!$B$43-B268)&lt;=0,0,(INT(MAX(0,Inputs!$B$43-B268)/(IF(Inputs!$B$38="pvp",15,MAX(0.1,Skills!D11-IF(TRUE=TRUE,Inputs!$B$32,0)))*(1-IF(AND(ArtifactsInput!$M$27,Inputs!$B$4="Chapter Hunt"),CHOOSE(ArtifactsInput!$N$27+1,20,24,28,32,36,40),0)/100)))+1)),0)</f>
        <v/>
      </c>
      <c r="S245">
        <f>IF(C245,H245*N245*IF(AND(Inputs!$B$38&lt;&gt;"pvp",Inputs!$B$43&gt;0),((Skills!F11*((R245-1)*IF(Skills!G11&gt;0,Skills!H11/Skills!G11,1)+IF(Skills!G11&gt;0,MIN(Skills!H11,MAX(0,MAX(0,Inputs!$B$43-B268)-((R245-1)*(IF(Inputs!$B$38="pvp",15,MAX(0.1,Skills!D11-IF(TRUE=TRUE,Inputs!$B$32,0)))*(1-IF(AND(ArtifactsInput!$M$27,Inputs!$B$4="Chapter Hunt"),CHOOSE(ArtifactsInput!$N$27+1,20,24,28,32,36,40),0)/100)))))/Skills!G11,1)))/Inputs!$B$43),G245*Q245)*0.5*IF(Inputs!$B$38="pvp",1,1+((Inputs!$B$20+1)+Skills!O11+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245*(1-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
        <f>IF(C245,H245*N245*IF(AND(Inputs!$B$38&lt;&gt;"pvp",Inputs!$B$43&gt;0),((Skills!F11*((R245-1)*IF(Skills!G11&gt;0,Skills!H11/Skills!G11,1)+IF(Skills!G11&gt;0,MIN(Skills!H11,MAX(0,MAX(0,Inputs!$B$43-B268)-((R245-1)*(IF(Inputs!$B$38="pvp",15,MAX(0.1,Skills!D11-IF(TRUE=TRUE,Inputs!$B$32,0)))*(1-IF(AND(ArtifactsInput!$M$27,Inputs!$B$4="Chapter Hunt"),CHOOSE(ArtifactsInput!$N$27+1,20,24,28,32,36,40),0)/100)))))/Skills!G11,1)))/Inputs!$B$43),G245*Q245)*1*IF(Inputs!$B$38="pvp",1,(1+(Inputs!$B$21+Skills!P11+B262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
      <c r="A246">
        <f>Skills!A12</f>
        <v/>
      </c>
      <c r="B246">
        <f>Skills!B12</f>
        <v/>
      </c>
      <c r="C246">
        <f>Inputs!$B$3&gt;=115</f>
        <v/>
      </c>
      <c r="D246">
        <f>IF(Skills!C12=1,60+Inputs!$B$25+Inputs!$B$29,IF(Skills!C12=2,90+Inputs!$B$26+Inputs!$B$29,IF(Skills!C12=3,120+Inputs!$B$27+Inputs!$B$29,MAX(0,(Inputs!$B$3-100)*3)+Inputs!$B$28+Inputs!$B$29)))</f>
        <v/>
      </c>
      <c r="E246">
        <f>INDEX(FactorTable!$B$2:$Y$301, MATCH(ROUND(MIN(300,MAX(1,D246)),0), FactorTable!$A$2:$A$301,0), Skills!L12+1)</f>
        <v/>
      </c>
      <c r="F246">
        <f>IF(Skills!M12=TRUE,(Skills!K12/10)*(E246/1000),Skills!K12/10)+Skills!N12</f>
        <v/>
      </c>
      <c r="G246">
        <f>Calc!G12</f>
        <v/>
      </c>
      <c r="H246">
        <f>Calc!H12</f>
        <v/>
      </c>
      <c r="I246">
        <f>IF(Skills!T12&lt;&gt;"",1+(Skills!T12/10)*(Z237/1000)/100,1)</f>
        <v/>
      </c>
      <c r="J246">
        <f>((Inputs!$B$6*(1+Inputs!$B$7/100))+(((Inputs!$B$12*(1+Inputs!$B$13/100))-(Inputs!$B$12*(1+Inputs!$B$13/100)))+0.25*(Inputs!$B$14-Inputs!$B$14))*(1+Inputs!$B$7/100))*(F246/100)</f>
        <v/>
      </c>
      <c r="K246">
        <f>J246*(1+((Inputs!$B$12*(1+Inputs!$B$13/100))*0.01+Inputs!$B$14*0.0025)/100)*(1+(Inputs!$B$15+B263)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249=TRUE,F249,0)/100)*(1+IF(C257=TRUE,F257,0)/100)^5*(1+(IF(Skills!A12="CHAIN_LIGHTNING",Inputs!$B$17+((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f>
        <v/>
      </c>
      <c r="L246">
        <f>K246*(MIN(Inputs!$B$22+(F252-Calc!F18),(Inputs!$B$23+(IF(ArtifactsInput!$M$15,CHOOSE(ArtifactsInput!$N$15+1,25,30,35,40,45,50)/100*(Inputs!$B$11-Inputs!$B$11),0))))/100+(Inputs!$B$23+(IF(ArtifactsInput!$M$15,CHOOSE(ArtifactsInput!$N$15+1,25,30,35,40,45,50)/100*(Inputs!$B$11-Inputs!$B$11),0)))/100)/2</f>
        <v/>
      </c>
      <c r="M246">
        <f>L246*(1+(Inputs!$B$10+(F255-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
        <f>L246*(1-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MIN((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
        <f>(1-Summary!$B$11)*S246+Summary!$B$11*U246</f>
        <v/>
      </c>
      <c r="P246">
        <f>IF(B271=0,0,O246/B271)</f>
        <v/>
      </c>
      <c r="Q246">
        <f>IFERROR(1/(IF(Inputs!$B$38="pvp",15,MAX(0.1,Skills!D12-IF(TRUE=TRUE,Inputs!$B$32,0)))*(1-IF(AND(ArtifactsInput!$M$27,Inputs!$B$4="Chapter Hunt"),CHOOSE(ArtifactsInput!$N$27+1,20,24,28,32,36,40),0)/100)),0)</f>
        <v/>
      </c>
      <c r="R246">
        <f>IF(AND(Inputs!$B$38&lt;&gt;"pvp",Inputs!$B$43&gt;0),IF(MAX(0,Inputs!$B$43-B268)&lt;=0,0,(INT(MAX(0,Inputs!$B$43-B268)/(IF(Inputs!$B$38="pvp",15,MAX(0.1,Skills!D12-IF(TRUE=TRUE,Inputs!$B$32,0)))*(1-IF(AND(ArtifactsInput!$M$27,Inputs!$B$4="Chapter Hunt"),CHOOSE(ArtifactsInput!$N$27+1,20,24,28,32,36,40),0)/100)))+1)),0)</f>
        <v/>
      </c>
      <c r="S246">
        <f>IF(C246,(H246*N246*IF(AND(Inputs!$B$38&lt;&gt;"pvp",Inputs!$B$43&gt;0),((Skills!F12*((R246-1)*IF(Skills!G12&gt;0,Skills!H12/Skills!G12,1)+IF(Skills!G12&gt;0,MIN(Skills!H12,MAX(0,MAX(0,Inputs!$B$43-B268)-((R246-1)*(IF(Inputs!$B$38="pvp",15,MAX(0.1,Skills!D12-IF(TRUE=TRUE,Inputs!$B$32,0)))*(1-IF(AND(ArtifactsInput!$M$27,Inputs!$B$4="Chapter Hunt"),CHOOSE(ArtifactsInput!$N$27+1,20,24,28,32,36,40),0)/100)))))/Skills!G12,1)))/Inputs!$B$43),G246*Q246))*IF(Inputs!$B$38="pvp",1,1+((Inputs!$B$20+1)+Skills!O12+B262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246*(1-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(1-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MIN(100,(Inputs!$B$9+((F254-Calc!F20)+(F253-Calc!F19))+(ArtifactsInput!$M$24-ArtifactsInput!$M$24)*CHOOSE(ArtifactsInput!$N$24+1,10,12,14,16,18,20)+(IF(AND(Inputs!$B$38&lt;&gt;"pvp",Inputs!$B$43=0),1,IF(IF(Inputs!$B$38="pvp",15,Inputs!$B$43)-(B268)&lt;=0,1,MAX(0,IF(Inputs!$B$38="pvp",15,Inputs!$B$43)-MAX(5,B268))/(IF(Inputs!$B$38="pvp",15,Inputs!$B$43)-(B268)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
        <f>IF(C246,(H246*N246*IF(AND(Inputs!$B$38&lt;&gt;"pvp",Inputs!$B$43&gt;0),((Skills!F12*((R246-1)*IF(Skills!G12&gt;0,Skills!H12/Skills!G12,1)+IF(Skills!G12&gt;0,MIN(Skills!H12,MAX(0,MAX(0,Inputs!$B$43-B268)-((R246-1)*(IF(Inputs!$B$38="pvp",15,MAX(0.1,Skills!D12-IF(TRUE=TRUE,Inputs!$B$32,0)))*(1-IF(AND(ArtifactsInput!$M$27,Inputs!$B$4="Chapter Hunt"),CHOOSE(ArtifactsInput!$N$27+1,20,24,28,32,36,40),0)/100)))))/Skills!G12,1)))/Inputs!$B$43),G246*Q246))*IF(Inputs!$B$38="pvp",1,(1+(Inputs!$B$21+Skills!P12+B262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7">
      <c r="A247">
        <f>Skills!A13</f>
        <v/>
      </c>
      <c r="B247">
        <f>Skills!B13</f>
        <v/>
      </c>
      <c r="C247">
        <f>Inputs!$B$3&gt;=49</f>
        <v/>
      </c>
      <c r="D247">
        <f>IF(Skills!C13=1,60+Inputs!$B$25+Inputs!$B$29,IF(Skills!C13=2,90+Inputs!$B$26+Inputs!$B$29,IF(Skills!C13=3,120+Inputs!$B$27+Inputs!$B$29,MAX(0,(Inputs!$B$3-100)*3)+Inputs!$B$28+Inputs!$B$29)))</f>
        <v/>
      </c>
      <c r="E247">
        <f>INDEX(FactorTable!$B$2:$Y$301, MATCH(ROUND(MIN(300,MAX(1,D247)),0), FactorTable!$A$2:$A$301,0), Skills!L13+1)</f>
        <v/>
      </c>
      <c r="F247">
        <f>IF(Skills!M13=TRUE,(Skills!K13/10)*(E247/1000),Skills!K13/10)+Skills!N13</f>
        <v/>
      </c>
      <c r="G247">
        <f>Calc!G13</f>
        <v/>
      </c>
      <c r="H247">
        <f>Calc!H13</f>
        <v/>
      </c>
      <c r="I247">
        <f>IF(Skills!T13&lt;&gt;"",1+(Skills!T13/10)*(Z237/1000)/100,1)</f>
        <v/>
      </c>
      <c r="J247" t="inlineStr"/>
      <c r="K247" t="inlineStr"/>
      <c r="L247" t="inlineStr"/>
      <c r="M247" t="inlineStr"/>
      <c r="N247" t="inlineStr"/>
      <c r="O247">
        <f>(1-Summary!$B$11)*S247+Summary!$B$11*U247</f>
        <v/>
      </c>
      <c r="P247">
        <f>IF(B271=0,0,O247/B271)</f>
        <v/>
      </c>
      <c r="Q247">
        <f>IFERROR(1/(IF(Inputs!$B$38="pvp",15,MAX(0.1,Skills!D13-IF(TRUE=TRUE,Inputs!$B$32,0)))*(1-IF(AND(ArtifactsInput!$M$27,Inputs!$B$4="Chapter Hunt"),CHOOSE(ArtifactsInput!$N$27+1,20,24,28,32,36,40),0)/100)),0)</f>
        <v/>
      </c>
      <c r="R247" t="n">
        <v>0</v>
      </c>
      <c r="S247" t="n">
        <v>0</v>
      </c>
      <c r="U247" t="n">
        <v>0</v>
      </c>
    </row>
    <row r="248">
      <c r="A248">
        <f>Skills!A14</f>
        <v/>
      </c>
      <c r="B248">
        <f>Skills!B14</f>
        <v/>
      </c>
      <c r="C248">
        <f>Inputs!$B$3&gt;=72</f>
        <v/>
      </c>
      <c r="D248">
        <f>IF(Skills!C14=1,60+Inputs!$B$25+Inputs!$B$29,IF(Skills!C14=2,90+Inputs!$B$26+Inputs!$B$29,IF(Skills!C14=3,120+Inputs!$B$27+Inputs!$B$29,MAX(0,(Inputs!$B$3-100)*3)+Inputs!$B$28+Inputs!$B$29)))</f>
        <v/>
      </c>
      <c r="E248">
        <f>INDEX(FactorTable!$B$2:$Y$301, MATCH(ROUND(MIN(300,MAX(1,D248)),0), FactorTable!$A$2:$A$301,0), Skills!L14+1)</f>
        <v/>
      </c>
      <c r="F248">
        <f>IF(Skills!M14=TRUE,(Skills!K14/10)*(E248/1000),Skills!K14/10)+Skills!N14</f>
        <v/>
      </c>
      <c r="G248">
        <f>Calc!G14</f>
        <v/>
      </c>
      <c r="H248">
        <f>Calc!H14</f>
        <v/>
      </c>
      <c r="I248">
        <f>IF(Skills!T14&lt;&gt;"",1+(Skills!T14/10)*(Z237/1000)/100,1)</f>
        <v/>
      </c>
      <c r="J248" t="inlineStr"/>
      <c r="K248" t="inlineStr"/>
      <c r="L248" t="inlineStr"/>
      <c r="M248" t="inlineStr"/>
      <c r="N248" t="inlineStr"/>
      <c r="O248">
        <f>(1-Summary!$B$11)*S248+Summary!$B$11*U248</f>
        <v/>
      </c>
      <c r="P248">
        <f>IF(B271=0,0,O248/B271)</f>
        <v/>
      </c>
      <c r="Q248">
        <f>IFERROR(1/(IF(Inputs!$B$38="pvp",15,MAX(0.1,Skills!D14-IF(TRUE=TRUE,Inputs!$B$32,0)))*(1-IF(AND(ArtifactsInput!$M$27,Inputs!$B$4="Chapter Hunt"),CHOOSE(ArtifactsInput!$N$27+1,20,24,28,32,36,40),0)/100)),0)</f>
        <v/>
      </c>
      <c r="R248" t="n">
        <v>0</v>
      </c>
      <c r="S248" t="n">
        <v>0</v>
      </c>
      <c r="U248" t="n">
        <v>0</v>
      </c>
    </row>
    <row r="249">
      <c r="A249">
        <f>Skills!A15</f>
        <v/>
      </c>
      <c r="B249">
        <f>Skills!B15</f>
        <v/>
      </c>
      <c r="C249">
        <f>Inputs!$B$3&gt;=75</f>
        <v/>
      </c>
      <c r="D249">
        <f>IF(Skills!C15=1,60+Inputs!$B$25+Inputs!$B$29,IF(Skills!C15=2,90+Inputs!$B$26+Inputs!$B$29,IF(Skills!C15=3,120+Inputs!$B$27+Inputs!$B$29,MAX(0,(Inputs!$B$3-100)*3)+Inputs!$B$28+Inputs!$B$29)))</f>
        <v/>
      </c>
      <c r="E249">
        <f>INDEX(FactorTable!$B$2:$Y$301, MATCH(ROUND(MIN(300,MAX(1,D249)),0), FactorTable!$A$2:$A$301,0), Skills!L15+1)</f>
        <v/>
      </c>
      <c r="F249">
        <f>IF(Skills!M15=TRUE,(Skills!K15/10)*(E249/1000),Skills!K15/10)+Skills!N15</f>
        <v/>
      </c>
      <c r="G249">
        <f>Calc!G15</f>
        <v/>
      </c>
      <c r="H249">
        <f>Calc!H15</f>
        <v/>
      </c>
      <c r="I249">
        <f>IF(Skills!T15&lt;&gt;"",1+(Skills!T15/10)*(Z237/1000)/100,1)</f>
        <v/>
      </c>
      <c r="J249" t="inlineStr"/>
      <c r="K249" t="inlineStr"/>
      <c r="L249" t="inlineStr"/>
      <c r="M249" t="inlineStr"/>
      <c r="N249" t="inlineStr"/>
      <c r="O249">
        <f>(1-Summary!$B$11)*S249+Summary!$B$11*U249</f>
        <v/>
      </c>
      <c r="P249">
        <f>IF(B271=0,0,O249/B271)</f>
        <v/>
      </c>
      <c r="Q249">
        <f>IFERROR(1/(IF(Inputs!$B$38="pvp",15,MAX(0.1,Skills!D15-IF(TRUE=TRUE,Inputs!$B$32,0)))*(1-IF(AND(ArtifactsInput!$M$27,Inputs!$B$4="Chapter Hunt"),CHOOSE(ArtifactsInput!$N$27+1,20,24,28,32,36,40),0)/100)),0)</f>
        <v/>
      </c>
      <c r="R249" t="n">
        <v>0</v>
      </c>
      <c r="S249" t="n">
        <v>0</v>
      </c>
      <c r="U249" t="n">
        <v>0</v>
      </c>
    </row>
    <row r="250">
      <c r="A250">
        <f>Skills!A16</f>
        <v/>
      </c>
      <c r="B250">
        <f>Skills!B16</f>
        <v/>
      </c>
      <c r="C250">
        <f>Inputs!$B$3&gt;=110</f>
        <v/>
      </c>
      <c r="D250">
        <f>IF(Skills!C16=1,60+Inputs!$B$25+Inputs!$B$29,IF(Skills!C16=2,90+Inputs!$B$26+Inputs!$B$29,IF(Skills!C16=3,120+Inputs!$B$27+Inputs!$B$29,MAX(0,(Inputs!$B$3-100)*3)+Inputs!$B$28+Inputs!$B$29)))</f>
        <v/>
      </c>
      <c r="E250">
        <f>INDEX(FactorTable!$B$2:$Y$301, MATCH(ROUND(MIN(300,MAX(1,D250)),0), FactorTable!$A$2:$A$301,0), Skills!L16+1)</f>
        <v/>
      </c>
      <c r="F250">
        <f>(Skills!K16/10)*(E250/1000)*64/45+Skills!N16</f>
        <v/>
      </c>
      <c r="G250">
        <f>Calc!G16</f>
        <v/>
      </c>
      <c r="H250">
        <f>Calc!H16</f>
        <v/>
      </c>
      <c r="I250">
        <f>IF(Skills!T16&lt;&gt;"",1+(Skills!T16/10)*(Z237/1000)/100,1)</f>
        <v/>
      </c>
      <c r="J250" t="inlineStr"/>
      <c r="K250" t="inlineStr"/>
      <c r="L250" t="inlineStr"/>
      <c r="M250" t="inlineStr"/>
      <c r="N250" t="inlineStr"/>
      <c r="O250">
        <f>(1-Summary!$B$11)*S250+Summary!$B$11*U250</f>
        <v/>
      </c>
      <c r="P250">
        <f>IF(B271=0,0,O250/B271)</f>
        <v/>
      </c>
      <c r="Q250">
        <f>IFERROR(1/(IF(Inputs!$B$38="pvp",15,MAX(0.1,Skills!D16-IF(TRUE=TRUE,Inputs!$B$32,0)))*(1-IF(AND(ArtifactsInput!$M$27,Inputs!$B$4="Chapter Hunt"),CHOOSE(ArtifactsInput!$N$27+1,20,24,28,32,36,40),0)/100)),0)</f>
        <v/>
      </c>
      <c r="R250">
        <f>IF(AND(Inputs!$B$38&lt;&gt;"pvp",Inputs!$B$43&gt;0),IF(Inputs!$B$43&lt;=0,0,(INT(Inputs!$B$43/(IF(Inputs!$B$38="pvp",15,MAX(0.1,Skills!D16-IF(TRUE=TRUE,Inputs!$B$32,0)))*(1-IF(AND(ArtifactsInput!$M$27,Inputs!$B$4="Chapter Hunt"),CHOOSE(ArtifactsInput!$N$27+1,20,24,28,32,36,40),0)/100)))+1)),0)</f>
        <v/>
      </c>
      <c r="S250" t="n">
        <v>0</v>
      </c>
      <c r="U250" t="n">
        <v>0</v>
      </c>
    </row>
    <row r="251">
      <c r="A251">
        <f>Skills!A17</f>
        <v/>
      </c>
      <c r="B251">
        <f>Skills!B17</f>
        <v/>
      </c>
      <c r="C251">
        <f>Inputs!$B$3&gt;=33</f>
        <v/>
      </c>
      <c r="D251">
        <f>IF(Skills!C17=1,60+Inputs!$B$25+Inputs!$B$29,IF(Skills!C17=2,90+Inputs!$B$26+Inputs!$B$29,IF(Skills!C17=3,120+Inputs!$B$27+Inputs!$B$29,MAX(0,(Inputs!$B$3-100)*3)+Inputs!$B$28+Inputs!$B$29)))</f>
        <v/>
      </c>
      <c r="E251">
        <f>INDEX(FactorTable!$B$2:$Y$301, MATCH(ROUND(MIN(300,MAX(1,D251)),0), FactorTable!$A$2:$A$301,0), Skills!L17+1)</f>
        <v/>
      </c>
      <c r="F251">
        <f>IF(Skills!M17=TRUE,(Skills!K17/10)*(E251/1000),Skills!K17/10)+Skills!N17</f>
        <v/>
      </c>
      <c r="G251">
        <f>Calc!G17</f>
        <v/>
      </c>
      <c r="H251">
        <f>Calc!H17</f>
        <v/>
      </c>
      <c r="I251">
        <f>IF(Skills!T17&lt;&gt;"",1+(Skills!T17/10)*(Z237/1000)/100,1)</f>
        <v/>
      </c>
      <c r="J251" t="inlineStr"/>
      <c r="K251" t="inlineStr"/>
      <c r="L251" t="inlineStr"/>
      <c r="M251" t="inlineStr"/>
      <c r="N251" t="inlineStr"/>
      <c r="O251">
        <f>(1-Summary!$B$11)*S251+Summary!$B$11*U251</f>
        <v/>
      </c>
      <c r="P251">
        <f>IF(B271=0,0,O251/B271)</f>
        <v/>
      </c>
      <c r="Q251">
        <f>IFERROR(1/(IF(Inputs!$B$38="pvp",15,MAX(0.1,Skills!D17-IF(TRUE=TRUE,Inputs!$B$32,0)))*(1-IF(AND(ArtifactsInput!$M$27,Inputs!$B$4="Chapter Hunt"),CHOOSE(ArtifactsInput!$N$27+1,20,24,28,32,36,40),0)/100)),0)</f>
        <v/>
      </c>
      <c r="R251" t="n">
        <v>0</v>
      </c>
      <c r="S251" t="n">
        <v>0</v>
      </c>
      <c r="U251" t="n">
        <v>0</v>
      </c>
    </row>
    <row r="252">
      <c r="A252">
        <f>Skills!A18</f>
        <v/>
      </c>
      <c r="B252">
        <f>Skills!B18</f>
        <v/>
      </c>
      <c r="C252">
        <f>Inputs!$B$3&gt;=43</f>
        <v/>
      </c>
      <c r="D252">
        <f>IF(Skills!C18=1,60+Inputs!$B$25+Inputs!$B$29,IF(Skills!C18=2,90+Inputs!$B$26+Inputs!$B$29,IF(Skills!C18=3,120+Inputs!$B$27+Inputs!$B$29,MAX(0,(Inputs!$B$3-100)*3)+Inputs!$B$28+Inputs!$B$29)))</f>
        <v/>
      </c>
      <c r="E252">
        <f>INDEX(FactorTable!$B$2:$Y$301, MATCH(ROUND(MIN(300,MAX(1,D252)),0), FactorTable!$A$2:$A$301,0), Skills!L18+1)</f>
        <v/>
      </c>
      <c r="F252">
        <f>IF(Skills!M18=TRUE,(Skills!K18/10)*(E252/1000),Skills!K18/10)+Skills!N18</f>
        <v/>
      </c>
      <c r="G252">
        <f>Calc!G18</f>
        <v/>
      </c>
      <c r="H252">
        <f>Calc!H18</f>
        <v/>
      </c>
      <c r="I252">
        <f>IF(Skills!T18&lt;&gt;"",1+(Skills!T18/10)*(Z237/1000)/100,1)</f>
        <v/>
      </c>
      <c r="J252" t="inlineStr"/>
      <c r="K252" t="inlineStr"/>
      <c r="L252" t="inlineStr"/>
      <c r="M252" t="inlineStr"/>
      <c r="N252" t="inlineStr"/>
      <c r="O252">
        <f>(1-Summary!$B$11)*S252+Summary!$B$11*U252</f>
        <v/>
      </c>
      <c r="P252">
        <f>IF(B271=0,0,O252/B271)</f>
        <v/>
      </c>
      <c r="Q252">
        <f>IFERROR(1/(IF(Inputs!$B$38="pvp",15,MAX(0.1,Skills!D18-IF(TRUE=TRUE,Inputs!$B$32,0)))*(1-IF(AND(ArtifactsInput!$M$27,Inputs!$B$4="Chapter Hunt"),CHOOSE(ArtifactsInput!$N$27+1,20,24,28,32,36,40),0)/100)),0)</f>
        <v/>
      </c>
      <c r="R252" t="n">
        <v>0</v>
      </c>
      <c r="S252" t="n">
        <v>0</v>
      </c>
      <c r="U252" t="n">
        <v>0</v>
      </c>
    </row>
    <row r="253">
      <c r="A253">
        <f>Skills!A19</f>
        <v/>
      </c>
      <c r="B253">
        <f>Skills!B19</f>
        <v/>
      </c>
      <c r="C253">
        <f>Inputs!$B$3&gt;=50</f>
        <v/>
      </c>
      <c r="D253">
        <f>IF(Skills!C19=1,60+Inputs!$B$25+Inputs!$B$29,IF(Skills!C19=2,90+Inputs!$B$26+Inputs!$B$29,IF(Skills!C19=3,120+Inputs!$B$27+Inputs!$B$29,MAX(0,(Inputs!$B$3-100)*3)+Inputs!$B$28+Inputs!$B$29)))</f>
        <v/>
      </c>
      <c r="E253">
        <f>INDEX(FactorTable!$B$2:$Y$301, MATCH(ROUND(MIN(300,MAX(1,D253)),0), FactorTable!$A$2:$A$301,0), Skills!L19+1)</f>
        <v/>
      </c>
      <c r="F253">
        <f>IF(Skills!M19=TRUE,(Skills!K19/10)*(E253/1000),Skills!K19/10)+Skills!N19</f>
        <v/>
      </c>
      <c r="G253">
        <f>Calc!G19</f>
        <v/>
      </c>
      <c r="H253">
        <f>Calc!H19</f>
        <v/>
      </c>
      <c r="I253">
        <f>IF(Skills!T19&lt;&gt;"",1+(Skills!T19/10)*(Z237/1000)/100,1)</f>
        <v/>
      </c>
      <c r="J253" t="inlineStr"/>
      <c r="K253" t="inlineStr"/>
      <c r="L253" t="inlineStr"/>
      <c r="M253" t="inlineStr"/>
      <c r="N253" t="inlineStr"/>
      <c r="O253">
        <f>(1-Summary!$B$11)*S253+Summary!$B$11*U253</f>
        <v/>
      </c>
      <c r="P253">
        <f>IF(B271=0,0,O253/B271)</f>
        <v/>
      </c>
      <c r="Q253">
        <f>IFERROR(1/(IF(Inputs!$B$38="pvp",15,MAX(0.1,Skills!D19-IF(TRUE=TRUE,Inputs!$B$32,0)))*(1-IF(AND(ArtifactsInput!$M$27,Inputs!$B$4="Chapter Hunt"),CHOOSE(ArtifactsInput!$N$27+1,20,24,28,32,36,40),0)/100)),0)</f>
        <v/>
      </c>
      <c r="R253" t="n">
        <v>0</v>
      </c>
      <c r="S253" t="n">
        <v>0</v>
      </c>
      <c r="U253" t="n">
        <v>0</v>
      </c>
    </row>
    <row r="254">
      <c r="A254">
        <f>Skills!A20</f>
        <v/>
      </c>
      <c r="B254">
        <f>Skills!B20</f>
        <v/>
      </c>
      <c r="C254">
        <f>Inputs!$B$3&gt;=74</f>
        <v/>
      </c>
      <c r="D254">
        <f>IF(Skills!C20=1,60+Inputs!$B$25+Inputs!$B$29,IF(Skills!C20=2,90+Inputs!$B$26+Inputs!$B$29,IF(Skills!C20=3,120+Inputs!$B$27+Inputs!$B$29,MAX(0,(Inputs!$B$3-100)*3)+Inputs!$B$28+Inputs!$B$29)))</f>
        <v/>
      </c>
      <c r="E254">
        <f>INDEX(FactorTable!$B$2:$Y$301, MATCH(ROUND(MIN(300,MAX(1,D254)),0), FactorTable!$A$2:$A$301,0), Skills!L20+1)</f>
        <v/>
      </c>
      <c r="F254">
        <f>IF(Skills!M20=TRUE,(Skills!K20/10)*(E254/1000),Skills!K20/10)+Skills!N20</f>
        <v/>
      </c>
      <c r="G254">
        <f>Calc!G20</f>
        <v/>
      </c>
      <c r="H254">
        <f>Calc!H20</f>
        <v/>
      </c>
      <c r="I254">
        <f>IF(Skills!T20&lt;&gt;"",1+(Skills!T20/10)*(Z237/1000)/100,1)</f>
        <v/>
      </c>
      <c r="J254" t="inlineStr"/>
      <c r="K254" t="inlineStr"/>
      <c r="L254" t="inlineStr"/>
      <c r="M254" t="inlineStr"/>
      <c r="N254" t="inlineStr"/>
      <c r="O254">
        <f>(1-Summary!$B$11)*S254+Summary!$B$11*U254</f>
        <v/>
      </c>
      <c r="P254">
        <f>IF(B271=0,0,O254/B271)</f>
        <v/>
      </c>
      <c r="Q254">
        <f>IFERROR(1/(IF(Inputs!$B$38="pvp",15,MAX(0.1,Skills!D20-IF(TRUE=TRUE,Inputs!$B$32,0)))*(1-IF(AND(ArtifactsInput!$M$27,Inputs!$B$4="Chapter Hunt"),CHOOSE(ArtifactsInput!$N$27+1,20,24,28,32,36,40),0)/100)),0)</f>
        <v/>
      </c>
      <c r="R254" t="n">
        <v>0</v>
      </c>
      <c r="S254" t="n">
        <v>0</v>
      </c>
      <c r="U254" t="n">
        <v>0</v>
      </c>
    </row>
    <row r="255">
      <c r="A255">
        <f>Skills!A21</f>
        <v/>
      </c>
      <c r="B255">
        <f>Skills!B21</f>
        <v/>
      </c>
      <c r="C255">
        <f>Inputs!$B$3&gt;=74</f>
        <v/>
      </c>
      <c r="D255">
        <f>IF(Skills!C21=1,60+Inputs!$B$25+Inputs!$B$29,IF(Skills!C21=2,90+Inputs!$B$26+Inputs!$B$29,IF(Skills!C21=3,120+Inputs!$B$27+Inputs!$B$29,MAX(0,(Inputs!$B$3-100)*3)+Inputs!$B$28+Inputs!$B$29)))</f>
        <v/>
      </c>
      <c r="E255">
        <f>INDEX(FactorTable!$B$2:$Y$301, MATCH(ROUND(MIN(300,MAX(1,D255)),0), FactorTable!$A$2:$A$301,0), Skills!L21+1)</f>
        <v/>
      </c>
      <c r="F255">
        <f>IF(Skills!M21=TRUE,(Skills!K21/10)*(E255/1000),Skills!K21/10)+Skills!N21</f>
        <v/>
      </c>
      <c r="G255">
        <f>Calc!G21</f>
        <v/>
      </c>
      <c r="H255">
        <f>Calc!H21</f>
        <v/>
      </c>
      <c r="I255">
        <f>IF(Skills!T21&lt;&gt;"",1+(Skills!T21/10)*(Z237/1000)/100,1)</f>
        <v/>
      </c>
      <c r="J255" t="inlineStr"/>
      <c r="K255" t="inlineStr"/>
      <c r="L255" t="inlineStr"/>
      <c r="M255" t="inlineStr"/>
      <c r="N255" t="inlineStr"/>
      <c r="O255">
        <f>(1-Summary!$B$11)*S255+Summary!$B$11*U255</f>
        <v/>
      </c>
      <c r="P255">
        <f>IF(B271=0,0,O255/B271)</f>
        <v/>
      </c>
      <c r="Q255">
        <f>IFERROR(1/(IF(Inputs!$B$38="pvp",15,MAX(0.1,Skills!D21-IF(TRUE=TRUE,Inputs!$B$32,0)))*(1-IF(AND(ArtifactsInput!$M$27,Inputs!$B$4="Chapter Hunt"),CHOOSE(ArtifactsInput!$N$27+1,20,24,28,32,36,40),0)/100)),0)</f>
        <v/>
      </c>
      <c r="R255" t="n">
        <v>0</v>
      </c>
      <c r="S255" t="n">
        <v>0</v>
      </c>
      <c r="U255" t="n">
        <v>0</v>
      </c>
    </row>
    <row r="256">
      <c r="A256">
        <f>Skills!A22</f>
        <v/>
      </c>
      <c r="B256">
        <f>Skills!B22</f>
        <v/>
      </c>
      <c r="C256">
        <f>Inputs!$B$3&gt;=117</f>
        <v/>
      </c>
      <c r="D256">
        <f>IF(Skills!C22=1,60+Inputs!$B$25+Inputs!$B$29,IF(Skills!C22=2,90+Inputs!$B$26+Inputs!$B$29,IF(Skills!C22=3,120+Inputs!$B$27+Inputs!$B$29,MAX(0,(Inputs!$B$3-100)*3)+Inputs!$B$28+Inputs!$B$29)))</f>
        <v/>
      </c>
      <c r="E256">
        <f>INDEX(FactorTable!$B$2:$Y$301, MATCH(ROUND(MIN(300,MAX(1,D256)),0), FactorTable!$A$2:$A$301,0), Skills!L22+1)</f>
        <v/>
      </c>
      <c r="F256">
        <f>IF(Skills!M22=TRUE,(Skills!K22/10)*(E256/1000),Skills!K22/10)+Skills!N22</f>
        <v/>
      </c>
      <c r="G256">
        <f>Calc!G22</f>
        <v/>
      </c>
      <c r="H256">
        <f>Calc!H22</f>
        <v/>
      </c>
      <c r="I256">
        <f>IF(Skills!T22&lt;&gt;"",1+(Skills!T22/10)*(Z237/1000)/100,1)</f>
        <v/>
      </c>
      <c r="J256" t="inlineStr"/>
      <c r="K256" t="inlineStr"/>
      <c r="L256" t="inlineStr"/>
      <c r="M256" t="inlineStr"/>
      <c r="N256" t="inlineStr"/>
      <c r="O256">
        <f>(1-Summary!$B$11)*S256+Summary!$B$11*U256</f>
        <v/>
      </c>
      <c r="P256">
        <f>IF(B271=0,0,O256/B271)</f>
        <v/>
      </c>
      <c r="Q256">
        <f>IFERROR(1/(IF(Inputs!$B$38="pvp",15,MAX(0.1,Skills!D22-IF(TRUE=TRUE,Inputs!$B$32,0)))*(1-IF(AND(ArtifactsInput!$M$27,Inputs!$B$4="Chapter Hunt"),CHOOSE(ArtifactsInput!$N$27+1,20,24,28,32,36,40),0)/100)),0)</f>
        <v/>
      </c>
      <c r="R256" t="n">
        <v>0</v>
      </c>
      <c r="S256" t="n">
        <v>0</v>
      </c>
      <c r="U256" t="n">
        <v>0</v>
      </c>
    </row>
    <row r="257">
      <c r="A257">
        <f>Skills!A23</f>
        <v/>
      </c>
      <c r="B257">
        <f>Skills!B23</f>
        <v/>
      </c>
      <c r="C257">
        <f>Inputs!$B$3&gt;=120</f>
        <v/>
      </c>
      <c r="D257">
        <f>IF(Skills!C23=1,60+Inputs!$B$25+Inputs!$B$29,IF(Skills!C23=2,90+Inputs!$B$26+Inputs!$B$29,IF(Skills!C23=3,120+Inputs!$B$27+Inputs!$B$29,MAX(0,(Inputs!$B$3-100)*3)+Inputs!$B$28+Inputs!$B$29)))</f>
        <v/>
      </c>
      <c r="E257">
        <f>INDEX(FactorTable!$B$2:$Y$301, MATCH(ROUND(MIN(300,MAX(1,D257)),0), FactorTable!$A$2:$A$301,0), Skills!L23+1)</f>
        <v/>
      </c>
      <c r="F257">
        <f>IF(Skills!M23=TRUE,(Skills!K23/10)*(E257/1000),Skills!K23/10)+Skills!N23</f>
        <v/>
      </c>
      <c r="G257">
        <f>Calc!G23</f>
        <v/>
      </c>
      <c r="H257">
        <f>Calc!H23</f>
        <v/>
      </c>
      <c r="I257">
        <f>IF(Skills!T23&lt;&gt;"",1+(Skills!T23/10)*(Z237/1000)/100,1)</f>
        <v/>
      </c>
      <c r="J257" t="inlineStr"/>
      <c r="K257" t="inlineStr"/>
      <c r="L257" t="inlineStr"/>
      <c r="M257" t="inlineStr"/>
      <c r="N257" t="inlineStr"/>
      <c r="O257">
        <f>(1-Summary!$B$11)*S257+Summary!$B$11*U257</f>
        <v/>
      </c>
      <c r="P257">
        <f>IF(B271=0,0,O257/B271)</f>
        <v/>
      </c>
      <c r="Q257">
        <f>IFERROR(1/(IF(Inputs!$B$38="pvp",15,MAX(0.1,Skills!D23-IF(TRUE=TRUE,Inputs!$B$32,0)))*(1-IF(AND(ArtifactsInput!$M$27,Inputs!$B$4="Chapter Hunt"),CHOOSE(ArtifactsInput!$N$27+1,20,24,28,32,36,40),0)/100)),0)</f>
        <v/>
      </c>
      <c r="R257" t="n">
        <v>0</v>
      </c>
      <c r="S257" t="n">
        <v>0</v>
      </c>
      <c r="U257" t="n">
        <v>0</v>
      </c>
    </row>
    <row r="258">
      <c r="A258">
        <f>Skills!A24</f>
        <v/>
      </c>
      <c r="B258">
        <f>Skills!B24</f>
        <v/>
      </c>
      <c r="C258">
        <f>TRUE</f>
        <v/>
      </c>
      <c r="D258">
        <f>IF(Skills!C24=1,60+Inputs!$B$25+Inputs!$B$29,IF(Skills!C24=2,90+Inputs!$B$26+Inputs!$B$29,IF(Skills!C24=3,120+Inputs!$B$27+Inputs!$B$29,MAX(0,(Inputs!$B$3-100)*3)+Inputs!$B$28+Inputs!$B$29)))</f>
        <v/>
      </c>
      <c r="E258">
        <f>INDEX(FactorTable!$B$2:$Y$301, MATCH(ROUND(MIN(300,MAX(1,D258)),0), FactorTable!$A$2:$A$301,0), Skills!L24+1)</f>
        <v/>
      </c>
      <c r="F258">
        <f>IF(Skills!M24=TRUE,(Skills!K24/10)*(E258/1000),Skills!K24/10)+Skills!N24</f>
        <v/>
      </c>
      <c r="G258">
        <f>Calc!G24</f>
        <v/>
      </c>
      <c r="H258">
        <f>Calc!H24</f>
        <v/>
      </c>
      <c r="I258">
        <f>IF(Skills!T24&lt;&gt;"",1+(Skills!T24/10)*(Z237/1000)/100,1)</f>
        <v/>
      </c>
      <c r="J258" t="inlineStr"/>
      <c r="K258" t="inlineStr"/>
      <c r="L258" t="inlineStr"/>
      <c r="M258" t="inlineStr"/>
      <c r="N258" t="inlineStr"/>
      <c r="O258">
        <f>(1-Summary!$B$11)*S258+Summary!$B$11*U258</f>
        <v/>
      </c>
      <c r="P258">
        <f>IF(B271=0,0,O258/B271)</f>
        <v/>
      </c>
      <c r="Q258">
        <f>IFERROR(1/(IF(Inputs!$B$38="pvp",15,MAX(0.1,Skills!D24-IF(TRUE=TRUE,Inputs!$B$32,0)))*(1-IF(AND(ArtifactsInput!$M$27,Inputs!$B$4="Chapter Hunt"),CHOOSE(ArtifactsInput!$N$27+1,20,24,28,32,36,40),0)/100)),0)</f>
        <v/>
      </c>
      <c r="R258">
        <f>IF(AND(Inputs!$B$38&lt;&gt;"pvp",Inputs!$B$43&gt;0),IF(Inputs!$B$43&lt;=0,0,(INT(Inputs!$B$43/(IF(Inputs!$B$38="pvp",15,MAX(0.1,Skills!D24-IF(TRUE=TRUE,Inputs!$B$32,0)))*(1-IF(AND(ArtifactsInput!$M$27,Inputs!$B$4="Chapter Hunt"),CHOOSE(ArtifactsInput!$N$27+1,20,24,28,32,36,40),0)/100)))+1)),0)</f>
        <v/>
      </c>
      <c r="S258" t="n">
        <v>0</v>
      </c>
      <c r="U258" t="n">
        <v>0</v>
      </c>
    </row>
    <row r="261">
      <c r="A261" t="inlineStr">
        <is>
          <t>Average Buff Multiplier (Magic Guard + Meditation + Artifact Attack%, summed; then Infinity)</t>
        </is>
      </c>
      <c r="B261">
        <f>(1+(IF(C237=TRUE,F237*IF(AND(Inputs!$B$38&lt;&gt;"pvp",Inputs!$B$43&gt;0),(((R237-1)*MIN((Skills!S3*(1+(Inputs!$B$34)/100)),(1/Q237))+MIN((Skills!S3*(1+(Inputs!$B$34)/100)),MAX(0,Inputs!$B$43-((R237-1)*(1/Q237)))))/Inputs!$B$43),IF(Inputs!$B$38="pvp",MIN((Skills!S3*(1+(Inputs!$B$34)/100)),15)/15,MIN(1,(Skills!S3*(1+(Inputs!$B$34)/100))/(1/Q237)))),0)+IF(C238=TRUE,F238*IF(AND(Inputs!$B$38&lt;&gt;"pvp",Inputs!$B$43&gt;0),(((R238-1)*MIN((Skills!S4*(1+(Inputs!$B$34)/100)),(1/Q238))+MIN((Skills!S4*(1+(Inputs!$B$34)/100)),MAX(0,Inputs!$B$43-((R238-1)*(1/Q238)))))/Inputs!$B$43),IF(Inputs!$B$38="pvp",MIN((Skills!S4*(1+(Inputs!$B$34)/100)),15)/15,MIN(1,(Skills!S4*(1+(Inputs!$B$34)/100))/(1/Q238)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250=TRUE,(1+F250*IF(AND(Inputs!$B$38&lt;&gt;"pvp",Inputs!$B$43&gt;0),(((R250-1)*MIN((Skills!S16*(1+(Inputs!$B$34)/100)),(1/Q250))+MIN((Skills!S16*(1+(Inputs!$B$34)/100)),MAX(0,Inputs!$B$43-((R250-1)*(1/Q250)))))/Inputs!$B$43),IF(Inputs!$B$38="pvp",MIN((Skills!S16*(1+(Inputs!$B$34)/100)),15)/15,MIN(1,(Skills!S16*(1+(Inputs!$B$34)/100))/(1/Q250))))/100),1)</f>
        <v/>
      </c>
    </row>
    <row r="262">
      <c r="A262" t="inlineStr">
        <is>
          <t>Monster Damage Taken Bonus % (Freezing Breath - Weaken + Elemental Reset + Artifact Enemy Damage Taken, summed)</t>
        </is>
      </c>
      <c r="B262">
        <f>IF(Inputs!$B$3&gt;=118,15*IF(Inputs!$B$38="pvp",MIN((30*(1+(Inputs!$B$34)/100)),15)/15,MIN(1,(30*(1+(Inputs!$B$34)/100))/(1/Q242))),0)+IF(C248=TRUE,F248,0)+(IF(AND(ArtifactsInput!$M$35,Inputs!$B$4&lt;&gt;"Chapter Hunt"),CHOOSE(ArtifactsInput!$N$35+1,15,18,21,24,27,30)*(1-EXP(-(0.2*B265)*5)),0)+IF(AND(ArtifactsInput!$M$22,Inputs!$B$4&lt;&gt;"Chapter Hunt"),CHOOSE(ArtifactsInput!$N$22+1,10,12,14,16,18,20)*((0*(((0.15*B265*5))^0/1)+1*(((0.15*B265*5))^1/1)+2*(((0.15*B265*5))^2/2)+3*(((0.15*B265*5))^3/6)+4*(((0.15*B265*5))^4/24)+5*(((0.15*B265*5))^5/120))/((((0.15*B265*5))^0/1)+(((0.15*B265*5))^1/1)+(((0.15*B265*5))^2/2)+(((0.15*B265*5))^3/6)+(((0.15*B265*5))^4/24)+(((0.15*B265*5))^5/120))),0))</f>
        <v/>
      </c>
    </row>
    <row r="263">
      <c r="A263" t="inlineStr">
        <is>
          <t>Damage % Bonus (Frozen Break + Frost Clutch, flat)</t>
        </is>
      </c>
      <c r="B263">
        <f>IF(Inputs!$B$3&gt;=66,15,0)+IF(Inputs!$B$3&gt;=98,10,0)+IF(Inputs!$B$3&gt;=125,20,0)</f>
        <v/>
      </c>
    </row>
    <row r="264">
      <c r="A264" t="inlineStr">
        <is>
          <t>Attack Speed Bonus % (MP Eater - MP Boost, always-on + Nimble Feet, duty-cycle averaged)</t>
        </is>
      </c>
      <c r="B264">
        <f>IF(C247=TRUE,F247+(F251-Calc!F17),0)+((C258=TRUE)*F258*IF(AND(Inputs!$B$38&lt;&gt;"pvp",Inputs!$B$43&gt;0),(((R258-1)*MIN((Skills!S24*(1+(Inputs!$B$34)/100)),(1/Q258))+MIN((Skills!S24*(1+(Inputs!$B$34)/100)),MAX(0,Inputs!$B$43-((R258-1)*(1/Q258)))))/Inputs!$B$43),IF(Inputs!$B$38="pvp",MIN((Skills!S24*(1+(Inputs!$B$34)/100)),15)/15,MIN(1,(Skills!S24*(1+(Inputs!$B$34)/100))/(1/Q258)))))</f>
        <v/>
      </c>
    </row>
    <row r="265">
      <c r="A265" t="inlineStr">
        <is>
          <t>Actions Per Second</t>
        </is>
      </c>
      <c r="B265">
        <f>1+MIN(150,150*(1-(1-(Inputs!$B$11+(ArtifactsInput!$M$15-ArtifactsInput!$M$15)*CHOOSE(ArtifactsInput!$N$15+1,8,9.6,11.2,12.8,14.4,16))/150)*(1-B264/150)))/100</f>
        <v/>
      </c>
    </row>
    <row r="266">
      <c r="A266" t="inlineStr">
        <is>
          <t>Skill + Buff Cast Rate</t>
        </is>
      </c>
      <c r="B266">
        <f>IF(AND(Inputs!$B$38&lt;&gt;"pvp",Inputs!$B$43&gt;0),SUMPRODUCT((Skills!E2:E24=TRUE)*(C236:C258=TRUE)*R236:R258)/Inputs!$B$43,SUMPRODUCT((Skills!E2:E24=TRUE)*(C236:C258=TRUE)*Q236:Q258))</f>
        <v/>
      </c>
    </row>
    <row r="267">
      <c r="A267" t="inlineStr">
        <is>
          <t>Chain Lightning Casts Per Second</t>
        </is>
      </c>
      <c r="B267">
        <f>MAX(0,B265-B266)</f>
        <v/>
      </c>
    </row>
    <row r="268">
      <c r="A268" t="inlineStr">
        <is>
          <t>Buff-Casting Startup Delay (s, fixed-duration only)</t>
        </is>
      </c>
      <c r="B268">
        <f>IF(AND(Inputs!$B$38&lt;&gt;"pvp",Inputs!$B$43&gt;0),SUMPRODUCT((Skills!S2:S24&gt;0)*(Skills!E2:E24=TRUE)*(C236:C258=TRUE))/B265,0)</f>
        <v/>
      </c>
    </row>
    <row r="269">
      <c r="A269" t="inlineStr">
        <is>
          <t>Boss-Only Total DPS (this block's swept value)</t>
        </is>
      </c>
      <c r="B269">
        <f>SUM(S236:S258)</f>
        <v/>
      </c>
    </row>
    <row r="270">
      <c r="A270" t="inlineStr">
        <is>
          <t>Normal-Only Total DPS (this block's swept value)</t>
        </is>
      </c>
      <c r="B270">
        <f>SUM(U236:U258)</f>
        <v/>
      </c>
    </row>
    <row r="271">
      <c r="A271" s="6" t="inlineStr">
        <is>
          <t>TOTAL DPS</t>
        </is>
      </c>
      <c r="B271" s="6">
        <f>SUM(O236:O258)</f>
        <v/>
      </c>
    </row>
    <row r="272">
      <c r="A272" t="inlineStr">
        <is>
          <t>Blizzard Final Attack trigger rate (this block's own Q/R)</t>
        </is>
      </c>
      <c r="B272">
        <f>IF(AND(Inputs!$B$38&lt;&gt;"pvp",Inputs!$B$43&gt;0),(((C239=TRUE)*R239*1)+((C240=TRUE)*R240*1)+((C242=TRUE)*R242*1)+((C243=TRUE)*R243*3)+((C245=TRUE)*R245*1))/Inputs!$B$43,((C239=TRUE)*Q239*1)+((C240=TRUE)*Q240*1)+((C242=TRUE)*Q242*1)+((C243=TRUE)*Q243*3)+((C245=TRUE)*Q245*1))+B267</f>
        <v/>
      </c>
    </row>
    <row r="275">
      <c r="A275" s="6" t="inlineStr">
        <is>
          <t>Stat: NORMAL_DAMAGE %</t>
        </is>
      </c>
    </row>
    <row r="276">
      <c r="A276" s="5" t="inlineStr">
        <is>
          <t>Key</t>
        </is>
      </c>
      <c r="B276" s="5" t="inlineStr">
        <is>
          <t>Name</t>
        </is>
      </c>
      <c r="C276" s="5" t="inlineStr">
        <is>
          <t>Unlocked</t>
        </is>
      </c>
      <c r="D276" s="5" t="inlineStr">
        <is>
          <t>InputLevel</t>
        </is>
      </c>
      <c r="E276" s="5" t="inlineStr">
        <is>
          <t>Factor</t>
        </is>
      </c>
      <c r="F276" s="5" t="inlineStr">
        <is>
          <t>CoefficientPercent</t>
        </is>
      </c>
      <c r="G276" s="5" t="inlineStr">
        <is>
          <t>EffectiveHits</t>
        </is>
      </c>
      <c r="H276" s="5" t="inlineStr">
        <is>
          <t>ProcProbability</t>
        </is>
      </c>
      <c r="I276" s="5" t="inlineStr">
        <is>
          <t>MapleHeroMultiplier</t>
        </is>
      </c>
      <c r="J276" s="5" t="inlineStr">
        <is>
          <t>BaseDamage</t>
        </is>
      </c>
      <c r="K276" s="5" t="inlineStr">
        <is>
          <t>BaseHitDamage</t>
        </is>
      </c>
      <c r="L276" s="5" t="inlineStr">
        <is>
          <t>NonCritAvg</t>
        </is>
      </c>
      <c r="M276" s="5" t="inlineStr">
        <is>
          <t>CritAvg</t>
        </is>
      </c>
      <c r="N276" s="5" t="inlineStr">
        <is>
          <t>ExpectedDamage(perHit)</t>
        </is>
      </c>
      <c r="O276" s="5" t="inlineStr">
        <is>
          <t>DPS</t>
        </is>
      </c>
      <c r="P276" s="5" t="inlineStr">
        <is>
          <t>% of Total</t>
        </is>
      </c>
      <c r="R276" t="inlineStr">
        <is>
          <t>helpers</t>
        </is>
      </c>
    </row>
    <row r="277">
      <c r="A277">
        <f>Skills!A2</f>
        <v/>
      </c>
      <c r="B277">
        <f>Skills!B2</f>
        <v/>
      </c>
      <c r="C277">
        <f>Inputs!$B$3&gt;=100</f>
        <v/>
      </c>
      <c r="D277" t="inlineStr"/>
      <c r="E277" t="inlineStr"/>
      <c r="F277">
        <f>T279+Skills!N2</f>
        <v/>
      </c>
      <c r="G277">
        <f>Calc!G2</f>
        <v/>
      </c>
      <c r="H277">
        <f>Calc!H2</f>
        <v/>
      </c>
      <c r="I277">
        <f>IF(Skills!T2&lt;&gt;"",1+(Skills!T2/10)*(Z278/1000)/100,1)</f>
        <v/>
      </c>
      <c r="J277">
        <f>((Inputs!$B$6*(1+Inputs!$B$7/100))+(((Inputs!$B$12*(1+Inputs!$B$13/100))-(Inputs!$B$12*(1+Inputs!$B$13/100)))+0.25*(Inputs!$B$14-Inputs!$B$14))*(1+Inputs!$B$7/100))*(F277/100)</f>
        <v/>
      </c>
      <c r="K277">
        <f>J277*(1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2="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f>
        <v/>
      </c>
      <c r="L277">
        <f>K277*(MIN(Inputs!$B$22+(F293-Calc!F18),(Inputs!$B$23+(IF(ArtifactsInput!$M$15,CHOOSE(ArtifactsInput!$N$15+1,25,30,35,40,45,50)/100*(Inputs!$B$11-Inputs!$B$11),0))))/100+(Inputs!$B$23+(IF(ArtifactsInput!$M$15,CHOOSE(ArtifactsInput!$N$15+1,25,30,35,40,45,50)/100*(Inputs!$B$11-Inputs!$B$11),0)))/100)/2</f>
        <v/>
      </c>
      <c r="M277">
        <f>L277*(1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
        <f>L277*(1-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
        <f>(1-Summary!$B$11)*S277+Summary!$B$11*U277</f>
        <v/>
      </c>
      <c r="P277">
        <f>IF(B312=0,0,O277/B312)</f>
        <v/>
      </c>
      <c r="Q277">
        <f>IFERROR(1/(IF(Inputs!$B$38="pvp",15,MAX(0.1,Skills!D2-IF(TRUE=TRUE,Inputs!$B$32,0)))*(1-IF(AND(ArtifactsInput!$M$27,Inputs!$B$4="Chapter Hunt"),CHOOSE(ArtifactsInput!$N$27+1,20,24,28,32,36,40),0)/100)),0)</f>
        <v/>
      </c>
      <c r="R277" t="n">
        <v>0</v>
      </c>
      <c r="S277">
        <f>IF(C277,(Skills!F2*N277*B308)*IF(Inputs!$B$38="pvp",1,1+(Inputs!$B$20+Skills!O2+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277*(1-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7">
        <f>MAX(0,(Inputs!$B$3-100)*3)+Inputs!$B$28+Inputs!$B$29</f>
        <v/>
      </c>
      <c r="U277">
        <f>IF(C277,(Skills!F2*N277*B308)*IF(Inputs!$B$38="pvp",1,(1+((Inputs!$B$21+1)+Skills!P2+B303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7">
        <f>MAX(0,(Inputs!$B$3-100)*3)+Inputs!$B$28+Inputs!$B$29</f>
        <v/>
      </c>
    </row>
    <row r="278">
      <c r="A278">
        <f>Skills!A3</f>
        <v/>
      </c>
      <c r="B278">
        <f>Skills!B3</f>
        <v/>
      </c>
      <c r="C278">
        <f>Inputs!$B$3&gt;=15</f>
        <v/>
      </c>
      <c r="D278">
        <f>IF(Skills!C3=1,60+Inputs!$B$25+Inputs!$B$29,IF(Skills!C3=2,90+Inputs!$B$26+Inputs!$B$29,IF(Skills!C3=3,120+Inputs!$B$27+Inputs!$B$29,MAX(0,(Inputs!$B$3-100)*3)+Inputs!$B$28+Inputs!$B$29)))</f>
        <v/>
      </c>
      <c r="E278">
        <f>INDEX(FactorTable!$B$2:$Y$301, MATCH(ROUND(MIN(300,MAX(1,D278)),0), FactorTable!$A$2:$A$301,0), Skills!L3+1)</f>
        <v/>
      </c>
      <c r="F278">
        <f>IF(Skills!M3=TRUE,(Skills!K3/10)*(E278/1000),Skills!K3/10)+Skills!N3</f>
        <v/>
      </c>
      <c r="G278">
        <f>Calc!G3</f>
        <v/>
      </c>
      <c r="H278">
        <f>Calc!H3</f>
        <v/>
      </c>
      <c r="I278">
        <f>IF(Skills!T3&lt;&gt;"",1+(Skills!T3/10)*(Z278/1000)/100,1)</f>
        <v/>
      </c>
      <c r="J278" t="inlineStr"/>
      <c r="K278" t="inlineStr"/>
      <c r="L278" t="inlineStr"/>
      <c r="M278" t="inlineStr"/>
      <c r="N278" t="inlineStr"/>
      <c r="O278">
        <f>(1-Summary!$B$11)*S278+Summary!$B$11*U278</f>
        <v/>
      </c>
      <c r="P278">
        <f>IF(B312=0,0,O278/B312)</f>
        <v/>
      </c>
      <c r="Q278">
        <f>IFERROR(1/(IF(Inputs!$B$38="pvp",15,MAX(0.1,Skills!D3-IF(TRUE=TRUE,Inputs!$B$32,0)))*(1-IF(AND(ArtifactsInput!$M$27,Inputs!$B$4="Chapter Hunt"),CHOOSE(ArtifactsInput!$N$27+1,20,24,28,32,36,40),0)/100)),0)</f>
        <v/>
      </c>
      <c r="R278">
        <f>IF(AND(Inputs!$B$38&lt;&gt;"pvp",Inputs!$B$43&gt;0),IF(Inputs!$B$43&lt;=0,0,(INT(Inputs!$B$43/(IF(Inputs!$B$38="pvp",15,MAX(0.1,Skills!D3-IF(TRUE=TRUE,Inputs!$B$32,0)))*(1-IF(AND(ArtifactsInput!$M$27,Inputs!$B$4="Chapter Hunt"),CHOOSE(ArtifactsInput!$N$27+1,20,24,28,32,36,40),0)/100)))+1)),0)</f>
        <v/>
      </c>
      <c r="S278" t="n">
        <v>0</v>
      </c>
      <c r="T278">
        <f>INDEX(FactorTable!$B$2:$Y$301, MATCH(ROUND(MIN(300,MAX(1,T277)),0), FactorTable!$A$2:$A$301,0), 22)</f>
        <v/>
      </c>
      <c r="U278" t="n">
        <v>0</v>
      </c>
      <c r="Z278">
        <f>INDEX(FactorTable!$B$2:$Y$301, MATCH(ROUND(MIN(300,MAX(1,Z277)),0), FactorTable!$A$2:$A$301,0), 24)</f>
        <v/>
      </c>
    </row>
    <row r="279">
      <c r="A279">
        <f>Skills!A4</f>
        <v/>
      </c>
      <c r="B279">
        <f>Skills!B4</f>
        <v/>
      </c>
      <c r="C279">
        <f>Inputs!$B$3&gt;=40</f>
        <v/>
      </c>
      <c r="D279">
        <f>IF(Skills!C4=1,60+Inputs!$B$25+Inputs!$B$29,IF(Skills!C4=2,90+Inputs!$B$26+Inputs!$B$29,IF(Skills!C4=3,120+Inputs!$B$27+Inputs!$B$29,MAX(0,(Inputs!$B$3-100)*3)+Inputs!$B$28+Inputs!$B$29)))</f>
        <v/>
      </c>
      <c r="E279">
        <f>INDEX(FactorTable!$B$2:$Y$301, MATCH(ROUND(MIN(300,MAX(1,D279)),0), FactorTable!$A$2:$A$301,0), Skills!L4+1)</f>
        <v/>
      </c>
      <c r="F279">
        <f>IF(Skills!M4=TRUE,(Skills!K4/10)*(E279/1000),Skills!K4/10)+Skills!N4</f>
        <v/>
      </c>
      <c r="G279">
        <f>Calc!G4</f>
        <v/>
      </c>
      <c r="H279">
        <f>Calc!H4</f>
        <v/>
      </c>
      <c r="I279">
        <f>IF(Skills!T4&lt;&gt;"",1+(Skills!T4/10)*(Z278/1000)/100,1)</f>
        <v/>
      </c>
      <c r="J279" t="inlineStr"/>
      <c r="K279" t="inlineStr"/>
      <c r="L279" t="inlineStr"/>
      <c r="M279" t="inlineStr"/>
      <c r="N279" t="inlineStr"/>
      <c r="O279">
        <f>(1-Summary!$B$11)*S279+Summary!$B$11*U279</f>
        <v/>
      </c>
      <c r="P279">
        <f>IF(B312=0,0,O279/B312)</f>
        <v/>
      </c>
      <c r="Q279">
        <f>IFERROR(1/(IF(Inputs!$B$38="pvp",15,MAX(0.1,Skills!D4-IF(TRUE=TRUE,Inputs!$B$32,0)))*(1-IF(AND(ArtifactsInput!$M$27,Inputs!$B$4="Chapter Hunt"),CHOOSE(ArtifactsInput!$N$27+1,20,24,28,32,36,40),0)/100)),0)</f>
        <v/>
      </c>
      <c r="R279">
        <f>IF(AND(Inputs!$B$38&lt;&gt;"pvp",Inputs!$B$43&gt;0),IF(Inputs!$B$43&lt;=0,0,(INT(Inputs!$B$43/(IF(Inputs!$B$38="pvp",15,MAX(0.1,Skills!D4-IF(TRUE=TRUE,Inputs!$B$32,0)))*(1-IF(AND(ArtifactsInput!$M$27,Inputs!$B$4="Chapter Hunt"),CHOOSE(ArtifactsInput!$N$27+1,20,24,28,32,36,40),0)/100)))+1)),0)</f>
        <v/>
      </c>
      <c r="S279" t="n">
        <v>0</v>
      </c>
      <c r="T279">
        <f>290*T278/1000</f>
        <v/>
      </c>
      <c r="U279" t="n">
        <v>0</v>
      </c>
    </row>
    <row r="280">
      <c r="A280">
        <f>Skills!A5</f>
        <v/>
      </c>
      <c r="B280">
        <f>Skills!B5</f>
        <v/>
      </c>
      <c r="C280">
        <f>Inputs!$B$3&gt;=38</f>
        <v/>
      </c>
      <c r="D280">
        <f>IF(Skills!C5=1,60+Inputs!$B$25+Inputs!$B$29,IF(Skills!C5=2,90+Inputs!$B$26+Inputs!$B$29,IF(Skills!C5=3,120+Inputs!$B$27+Inputs!$B$29,MAX(0,(Inputs!$B$3-100)*3)+Inputs!$B$28+Inputs!$B$29)))</f>
        <v/>
      </c>
      <c r="E280">
        <f>INDEX(FactorTable!$B$2:$Y$301, MATCH(ROUND(MIN(300,MAX(1,D280)),0), FactorTable!$A$2:$A$301,0), Skills!L5+1)</f>
        <v/>
      </c>
      <c r="F280">
        <f>IF(Skills!M5=TRUE,(Skills!K5/10)*(E280/1000),Skills!K5/10)+Skills!N5</f>
        <v/>
      </c>
      <c r="G280">
        <f>Calc!G5</f>
        <v/>
      </c>
      <c r="H280">
        <f>Calc!H5</f>
        <v/>
      </c>
      <c r="I280">
        <f>IF(Skills!T5&lt;&gt;"",1+(Skills!T5/10)*(Z278/1000)/100,1)</f>
        <v/>
      </c>
      <c r="J280">
        <f>((Inputs!$B$6*(1+Inputs!$B$7/100))+(((Inputs!$B$12*(1+Inputs!$B$13/100))-(Inputs!$B$12*(1+Inputs!$B$13/100)))+0.25*(Inputs!$B$14-Inputs!$B$14))*(1+Inputs!$B$7/100))*(F280/100)</f>
        <v/>
      </c>
      <c r="K280">
        <f>J280*(1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5="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f>
        <v/>
      </c>
      <c r="L280">
        <f>K280*(MIN(Inputs!$B$22+(F293-Calc!F18),(Inputs!$B$23+(IF(ArtifactsInput!$M$15,CHOOSE(ArtifactsInput!$N$15+1,25,30,35,40,45,50)/100*(Inputs!$B$11-Inputs!$B$11),0))))/100+(Inputs!$B$23+(IF(ArtifactsInput!$M$15,CHOOSE(ArtifactsInput!$N$15+1,25,30,35,40,45,50)/100*(Inputs!$B$11-Inputs!$B$11),0)))/100)/2</f>
        <v/>
      </c>
      <c r="M280">
        <f>L280*(1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
        <f>L280*(1-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
        <f>(1-Summary!$B$11)*S280+Summary!$B$11*U280</f>
        <v/>
      </c>
      <c r="P280">
        <f>IF(B312=0,0,O280/B312)</f>
        <v/>
      </c>
      <c r="Q280">
        <f>IFERROR(1/(IF(Inputs!$B$38="pvp",15,MAX(0.1,Skills!D5-IF(TRUE=TRUE,Inputs!$B$32,0)))*(1-IF(AND(ArtifactsInput!$M$27,Inputs!$B$4="Chapter Hunt"),CHOOSE(ArtifactsInput!$N$27+1,20,24,28,32,36,40),0)/100)),0)</f>
        <v/>
      </c>
      <c r="R280">
        <f>IF(AND(Inputs!$B$38&lt;&gt;"pvp",Inputs!$B$43&gt;0),IF(MAX(0,Inputs!$B$43-B309)&lt;=0,0,(INT(MAX(0,Inputs!$B$43-B309)/(IF(Inputs!$B$38="pvp",15,MAX(0.1,Skills!D5-IF(TRUE=TRUE,Inputs!$B$32,0)))*(1-IF(AND(ArtifactsInput!$M$27,Inputs!$B$4="Chapter Hunt"),CHOOSE(ArtifactsInput!$N$27+1,20,24,28,32,36,40),0)/100)))+1)),0)</f>
        <v/>
      </c>
      <c r="S280">
        <f>IF(C280,(H280*N280*IF(AND(Inputs!$B$38&lt;&gt;"pvp",Inputs!$B$43&gt;0),((Skills!F5*((R280-1)*IF(Skills!G5&gt;0,Skills!H5/Skills!G5,1)+IF(Skills!G5&gt;0,MIN(Skills!H5,MAX(0,MAX(0,Inputs!$B$43-B309)-((R280-1)*(IF(Inputs!$B$38="pvp",15,MAX(0.1,Skills!D5-IF(TRUE=TRUE,Inputs!$B$32,0)))*(1-IF(AND(ArtifactsInput!$M$27,Inputs!$B$4="Chapter Hunt"),CHOOSE(ArtifactsInput!$N$27+1,20,24,28,32,36,40),0)/100)))))/Skills!G5,1)))/Inputs!$B$43),G280*Q280))*IF(Inputs!$B$38="pvp",1,1+(Inputs!$B$20+Skills!O5+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280*(1-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
        <f>IF(C280,(H280*N280*IF(AND(Inputs!$B$38&lt;&gt;"pvp",Inputs!$B$43&gt;0),((Skills!F5*((R280-1)*IF(Skills!G5&gt;0,Skills!H5/Skills!G5,1)+IF(Skills!G5&gt;0,MIN(Skills!H5,MAX(0,MAX(0,Inputs!$B$43-B309)-((R280-1)*(IF(Inputs!$B$38="pvp",15,MAX(0.1,Skills!D5-IF(TRUE=TRUE,Inputs!$B$32,0)))*(1-IF(AND(ArtifactsInput!$M$27,Inputs!$B$4="Chapter Hunt"),CHOOSE(ArtifactsInput!$N$27+1,20,24,28,32,36,40),0)/100)))))/Skills!G5,1)))/Inputs!$B$43),G280*Q280))*IF(Inputs!$B$38="pvp",1,(1+((Inputs!$B$21+1)+Skills!P5+B303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
      <c r="A281">
        <f>Skills!A6</f>
        <v/>
      </c>
      <c r="B281">
        <f>Skills!B6</f>
        <v/>
      </c>
      <c r="C281">
        <f>Inputs!$B$3&gt;=63</f>
        <v/>
      </c>
      <c r="D281">
        <f>IF(Skills!C6=1,60+Inputs!$B$25+Inputs!$B$29,IF(Skills!C6=2,90+Inputs!$B$26+Inputs!$B$29,IF(Skills!C6=3,120+Inputs!$B$27+Inputs!$B$29,MAX(0,(Inputs!$B$3-100)*3)+Inputs!$B$28+Inputs!$B$29)))</f>
        <v/>
      </c>
      <c r="E281">
        <f>INDEX(FactorTable!$B$2:$Y$301, MATCH(ROUND(MIN(300,MAX(1,D281)),0), FactorTable!$A$2:$A$301,0), Skills!L6+1)</f>
        <v/>
      </c>
      <c r="F281">
        <f>IF(Skills!M6=TRUE,(Skills!K6/10)*(E281/1000),Skills!K6/10)+Skills!N6</f>
        <v/>
      </c>
      <c r="G281">
        <f>Calc!G6</f>
        <v/>
      </c>
      <c r="H281">
        <f>Calc!H6</f>
        <v/>
      </c>
      <c r="I281">
        <f>IF(Skills!T6&lt;&gt;"",1+(Skills!T6/10)*(Z278/1000)/100,1)</f>
        <v/>
      </c>
      <c r="J281">
        <f>((Inputs!$B$6*(1+Inputs!$B$7/100))+(((Inputs!$B$12*(1+Inputs!$B$13/100))-(Inputs!$B$12*(1+Inputs!$B$13/100)))+0.25*(Inputs!$B$14-Inputs!$B$14))*(1+Inputs!$B$7/100))*(F281/100)</f>
        <v/>
      </c>
      <c r="K281">
        <f>J281*(1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6="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f>
        <v/>
      </c>
      <c r="L281">
        <f>K281*(MIN(Inputs!$B$22+(F293-Calc!F18),(Inputs!$B$23+(IF(ArtifactsInput!$M$15,CHOOSE(ArtifactsInput!$N$15+1,25,30,35,40,45,50)/100*(Inputs!$B$11-Inputs!$B$11),0))))/100+(Inputs!$B$23+(IF(ArtifactsInput!$M$15,CHOOSE(ArtifactsInput!$N$15+1,25,30,35,40,45,50)/100*(Inputs!$B$11-Inputs!$B$11),0)))/100)/2</f>
        <v/>
      </c>
      <c r="M281">
        <f>L281*(1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
        <f>L281*(1-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
        <f>(1-Summary!$B$11)*S281+Summary!$B$11*U281</f>
        <v/>
      </c>
      <c r="P281">
        <f>IF(B312=0,0,O281/B312)</f>
        <v/>
      </c>
      <c r="Q281">
        <f>IFERROR(1/(IF(Inputs!$B$38="pvp",15,MAX(0.1,Skills!D6-IF(TRUE=TRUE,Inputs!$B$32,0)))*(1-IF(AND(ArtifactsInput!$M$27,Inputs!$B$4="Chapter Hunt"),CHOOSE(ArtifactsInput!$N$27+1,20,24,28,32,36,40),0)/100)),0)</f>
        <v/>
      </c>
      <c r="R281">
        <f>IF(AND(Inputs!$B$38&lt;&gt;"pvp",Inputs!$B$43&gt;0),IF(MAX(0,Inputs!$B$43-B309)&lt;=0,0,(INT(MAX(0,Inputs!$B$43-B309)/(IF(Inputs!$B$38="pvp",15,MAX(0.1,Skills!D6-IF(TRUE=TRUE,Inputs!$B$32,0)))*(1-IF(AND(ArtifactsInput!$M$27,Inputs!$B$4="Chapter Hunt"),CHOOSE(ArtifactsInput!$N$27+1,20,24,28,32,36,40),0)/100)))+1)),0)</f>
        <v/>
      </c>
      <c r="S281">
        <f>IF(C281,(H281*N281*IF(AND(Inputs!$B$38&lt;&gt;"pvp",Inputs!$B$43&gt;0),((Skills!F6*((R281-1)*IF(Skills!G6&gt;0,Skills!H6/Skills!G6,1)+IF(Skills!G6&gt;0,MIN(Skills!H6,MAX(0,MAX(0,Inputs!$B$43-B309)-((R281-1)*(IF(Inputs!$B$38="pvp",15,MAX(0.1,Skills!D6-IF(TRUE=TRUE,Inputs!$B$32,0)))*(1-IF(AND(ArtifactsInput!$M$27,Inputs!$B$4="Chapter Hunt"),CHOOSE(ArtifactsInput!$N$27+1,20,24,28,32,36,40),0)/100)))))/Skills!G6,1)))/Inputs!$B$43),G281*Q281))*IF(Inputs!$B$38="pvp",1,1+(Inputs!$B$20+Skills!O6+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281*(1-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
        <f>IF(C281,(H281*N281*IF(AND(Inputs!$B$38&lt;&gt;"pvp",Inputs!$B$43&gt;0),((Skills!F6*((R281-1)*IF(Skills!G6&gt;0,Skills!H6/Skills!G6,1)+IF(Skills!G6&gt;0,MIN(Skills!H6,MAX(0,MAX(0,Inputs!$B$43-B309)-((R281-1)*(IF(Inputs!$B$38="pvp",15,MAX(0.1,Skills!D6-IF(TRUE=TRUE,Inputs!$B$32,0)))*(1-IF(AND(ArtifactsInput!$M$27,Inputs!$B$4="Chapter Hunt"),CHOOSE(ArtifactsInput!$N$27+1,20,24,28,32,36,40),0)/100)))))/Skills!G6,1)))/Inputs!$B$43),G281*Q281))*IF(Inputs!$B$38="pvp",1,(1+((Inputs!$B$21+1)+Skills!P6+B303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
      <c r="A282">
        <f>Skills!A7</f>
        <v/>
      </c>
      <c r="B282">
        <f>Skills!B7</f>
        <v/>
      </c>
      <c r="C282">
        <f>Inputs!$B$3&gt;=69</f>
        <v/>
      </c>
      <c r="D282">
        <f>IF(Skills!C7=1,60+Inputs!$B$25+Inputs!$B$29,IF(Skills!C7=2,90+Inputs!$B$26+Inputs!$B$29,IF(Skills!C7=3,120+Inputs!$B$27+Inputs!$B$29,MAX(0,(Inputs!$B$3-100)*3)+Inputs!$B$28+Inputs!$B$29)))</f>
        <v/>
      </c>
      <c r="E282">
        <f>INDEX(FactorTable!$B$2:$Y$301, MATCH(ROUND(MIN(300,MAX(1,D282)),0), FactorTable!$A$2:$A$301,0), Skills!L7+1)</f>
        <v/>
      </c>
      <c r="F282">
        <f>IF(Skills!M7=TRUE,(Skills!K7/10)*(E282/1000),Skills!K7/10)+Skills!N7</f>
        <v/>
      </c>
      <c r="G282">
        <f>Calc!G7</f>
        <v/>
      </c>
      <c r="H282">
        <f>Calc!H7</f>
        <v/>
      </c>
      <c r="I282">
        <f>IF(Skills!T7&lt;&gt;"",1+(Skills!T7/10)*(Z278/1000)/100,1)</f>
        <v/>
      </c>
      <c r="J282">
        <f>((Inputs!$B$6*(1+Inputs!$B$7/100))+(((Inputs!$B$12*(1+Inputs!$B$13/100))-(Inputs!$B$12*(1+Inputs!$B$13/100)))+0.25*(Inputs!$B$14-Inputs!$B$14))*(1+Inputs!$B$7/100))*(F282/100)</f>
        <v/>
      </c>
      <c r="K282">
        <f>J282*(1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7="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f>
        <v/>
      </c>
      <c r="L282">
        <f>K282*(MIN(Inputs!$B$22+(F293-Calc!F18),(Inputs!$B$23+(IF(ArtifactsInput!$M$15,CHOOSE(ArtifactsInput!$N$15+1,25,30,35,40,45,50)/100*(Inputs!$B$11-Inputs!$B$11),0))))/100+(Inputs!$B$23+(IF(ArtifactsInput!$M$15,CHOOSE(ArtifactsInput!$N$15+1,25,30,35,40,45,50)/100*(Inputs!$B$11-Inputs!$B$11),0)))/100)/2</f>
        <v/>
      </c>
      <c r="M282">
        <f>L282*(1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
        <f>L282*(1-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
        <f>(1-Summary!$B$11)*S282+Summary!$B$11*U282</f>
        <v/>
      </c>
      <c r="P282">
        <f>IF(B312=0,0,O282/B312)</f>
        <v/>
      </c>
      <c r="Q282">
        <f>IFERROR(1/(IF(Inputs!$B$38="pvp",15,MAX(0.1,Skills!D7-IF(TRUE=TRUE,Inputs!$B$32,0)))*(1-IF(AND(ArtifactsInput!$M$27,Inputs!$B$4="Chapter Hunt"),CHOOSE(ArtifactsInput!$N$27+1,20,24,28,32,36,40),0)/100)),0)</f>
        <v/>
      </c>
      <c r="R282">
        <f>IF(AND(Inputs!$B$38&lt;&gt;"pvp",Inputs!$B$43&gt;0),IF(MAX(0,Inputs!$B$43-B309)&lt;=0,0,(INT(MAX(0,Inputs!$B$43-B309)/(IF(Inputs!$B$38="pvp",15,MAX(0.1,Skills!D7-IF(TRUE=TRUE,Inputs!$B$32,0)))*(1-IF(AND(ArtifactsInput!$M$27,Inputs!$B$4="Chapter Hunt"),CHOOSE(ArtifactsInput!$N$27+1,20,24,28,32,36,40),0)/100)))+1)),0)</f>
        <v/>
      </c>
      <c r="S282">
        <f>IF(C282,(H282*N282*IF(AND(Inputs!$B$38&lt;&gt;"pvp",Inputs!$B$43&gt;0),((Skills!F7*((R282-1)*IF(Skills!G7&gt;0,Skills!H7/Skills!G7,1)+IF(Skills!G7&gt;0,MIN(Skills!H7,MAX(0,MAX(0,Inputs!$B$43-B309)-((R282-1)*(IF(Inputs!$B$38="pvp",15,MAX(0.1,Skills!D7-IF(TRUE=TRUE,Inputs!$B$32,0)))*(1-IF(AND(ArtifactsInput!$M$27,Inputs!$B$4="Chapter Hunt"),CHOOSE(ArtifactsInput!$N$27+1,20,24,28,32,36,40),0)/100)))))/Skills!G7,1)))/Inputs!$B$43),G282*Q282))*IF(Inputs!$B$38="pvp",1,1+(Inputs!$B$20+Skills!O7+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282*(1-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2">
        <f>IF(C282,(H282*N282*IF(AND(Inputs!$B$38&lt;&gt;"pvp",Inputs!$B$43&gt;0),((Skills!F7*((R282-1)*IF(Skills!G7&gt;0,Skills!H7/Skills!G7,1)+IF(Skills!G7&gt;0,MIN(Skills!H7,MAX(0,MAX(0,Inputs!$B$43-B309)-((R282-1)*(IF(Inputs!$B$38="pvp",15,MAX(0.1,Skills!D7-IF(TRUE=TRUE,Inputs!$B$32,0)))*(1-IF(AND(ArtifactsInput!$M$27,Inputs!$B$4="Chapter Hunt"),CHOOSE(ArtifactsInput!$N$27+1,20,24,28,32,36,40),0)/100)))))/Skills!G7,1)))/Inputs!$B$43),G282*Q282))*IF(Inputs!$B$38="pvp",1,(1+((Inputs!$B$21+1)+Skills!P7+B303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
      <c r="A283">
        <f>Skills!A8</f>
        <v/>
      </c>
      <c r="B283">
        <f>Skills!B8</f>
        <v/>
      </c>
      <c r="C283">
        <f>Inputs!$B$3&gt;=103</f>
        <v/>
      </c>
      <c r="D283">
        <f>IF(Skills!C8=1,60+Inputs!$B$25+Inputs!$B$29,IF(Skills!C8=2,90+Inputs!$B$26+Inputs!$B$29,IF(Skills!C8=3,120+Inputs!$B$27+Inputs!$B$29,MAX(0,(Inputs!$B$3-100)*3)+Inputs!$B$28+Inputs!$B$29)))</f>
        <v/>
      </c>
      <c r="E283">
        <f>INDEX(FactorTable!$B$2:$Y$301, MATCH(ROUND(MIN(300,MAX(1,D283)),0), FactorTable!$A$2:$A$301,0), Skills!L8+1)</f>
        <v/>
      </c>
      <c r="F283">
        <f>IF(Skills!M8=TRUE,(Skills!K8/10)*(E283/1000),Skills!K8/10)+Skills!N8</f>
        <v/>
      </c>
      <c r="G283">
        <f>Calc!G8</f>
        <v/>
      </c>
      <c r="H283">
        <f>Calc!H8</f>
        <v/>
      </c>
      <c r="I283">
        <f>IF(Skills!T8&lt;&gt;"",1+(Skills!T8/10)*(Z278/1000)/100,1)</f>
        <v/>
      </c>
      <c r="J283">
        <f>((Inputs!$B$6*(1+Inputs!$B$7/100))+(((Inputs!$B$12*(1+Inputs!$B$13/100))-(Inputs!$B$12*(1+Inputs!$B$13/100)))+0.25*(Inputs!$B$14-Inputs!$B$14))*(1+Inputs!$B$7/100))*(F283/100)</f>
        <v/>
      </c>
      <c r="K283">
        <f>J283*(1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8="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f>
        <v/>
      </c>
      <c r="L283">
        <f>K283*(MIN(Inputs!$B$22+(F293-Calc!F18),(Inputs!$B$23+(IF(ArtifactsInput!$M$15,CHOOSE(ArtifactsInput!$N$15+1,25,30,35,40,45,50)/100*(Inputs!$B$11-Inputs!$B$11),0))))/100+(Inputs!$B$23+(IF(ArtifactsInput!$M$15,CHOOSE(ArtifactsInput!$N$15+1,25,30,35,40,45,50)/100*(Inputs!$B$11-Inputs!$B$11),0)))/100)/2</f>
        <v/>
      </c>
      <c r="M283">
        <f>L283*(1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
        <f>L283*(1-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
        <f>(1-Summary!$B$11)*S283+Summary!$B$11*U283</f>
        <v/>
      </c>
      <c r="P283">
        <f>IF(B312=0,0,O283/B312)</f>
        <v/>
      </c>
      <c r="Q283">
        <f>IFERROR(1/(IF(Inputs!$B$38="pvp",15,MAX(0.1,Skills!D8-IF(TRUE=TRUE,Inputs!$B$32,0)))*(1-IF(AND(ArtifactsInput!$M$27,Inputs!$B$4="Chapter Hunt"),CHOOSE(ArtifactsInput!$N$27+1,20,24,28,32,36,40),0)/100)),0)</f>
        <v/>
      </c>
      <c r="R283">
        <f>IF(AND(Inputs!$B$38&lt;&gt;"pvp",Inputs!$B$43&gt;0),IF(MAX(0,Inputs!$B$43-B309)&lt;=0,0,(INT(MAX(0,Inputs!$B$43-B309)/(IF(Inputs!$B$38="pvp",15,MAX(0.1,Skills!D8-IF(TRUE=TRUE,Inputs!$B$32,0)))*(1-IF(AND(ArtifactsInput!$M$27,Inputs!$B$4="Chapter Hunt"),CHOOSE(ArtifactsInput!$N$27+1,20,24,28,32,36,40),0)/100)))+1)),0)</f>
        <v/>
      </c>
      <c r="S283">
        <f>IF(C283,(H283*N283*IF(AND(Inputs!$B$38&lt;&gt;"pvp",Inputs!$B$43&gt;0),((Skills!F8*((R283-1)*IF(Skills!G8&gt;0,Skills!H8/Skills!G8,1)+IF(Skills!G8&gt;0,MIN(Skills!H8,MAX(0,MAX(0,Inputs!$B$43-B309)-((R283-1)*(IF(Inputs!$B$38="pvp",15,MAX(0.1,Skills!D8-IF(TRUE=TRUE,Inputs!$B$32,0)))*(1-IF(AND(ArtifactsInput!$M$27,Inputs!$B$4="Chapter Hunt"),CHOOSE(ArtifactsInput!$N$27+1,20,24,28,32,36,40),0)/100)))))/Skills!G8,1)))/Inputs!$B$43),G283*Q283))*IF(Inputs!$B$38="pvp",1,1+(Inputs!$B$20+Skills!O8+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
        <f>IF(C283,(H283*N283*IF(AND(Inputs!$B$38&lt;&gt;"pvp",Inputs!$B$43&gt;0),((Skills!F8*((R283-1)*IF(Skills!G8&gt;0,Skills!H8/Skills!G8,1)+IF(Skills!G8&gt;0,MIN(Skills!H8,MAX(0,MAX(0,Inputs!$B$43-B309)-((R283-1)*(IF(Inputs!$B$38="pvp",15,MAX(0.1,Skills!D8-IF(TRUE=TRUE,Inputs!$B$32,0)))*(1-IF(AND(ArtifactsInput!$M$27,Inputs!$B$4="Chapter Hunt"),CHOOSE(ArtifactsInput!$N$27+1,20,24,28,32,36,40),0)/100)))))/Skills!G8,1)))/Inputs!$B$43),G283*Q283))*IF(Inputs!$B$38="pvp",1,(1+((Inputs!$B$21+1)+Skills!P8+B303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
      <c r="A284">
        <f>Skills!A9</f>
        <v/>
      </c>
      <c r="B284">
        <f>Skills!B9</f>
        <v/>
      </c>
      <c r="C284">
        <f>Inputs!$B$3&gt;=105</f>
        <v/>
      </c>
      <c r="D284">
        <f>IF(Skills!C9=1,60+Inputs!$B$25+Inputs!$B$29,IF(Skills!C9=2,90+Inputs!$B$26+Inputs!$B$29,IF(Skills!C9=3,120+Inputs!$B$27+Inputs!$B$29,MAX(0,(Inputs!$B$3-100)*3)+Inputs!$B$28+Inputs!$B$29)))</f>
        <v/>
      </c>
      <c r="E284">
        <f>INDEX(FactorTable!$B$2:$Y$301, MATCH(ROUND(MIN(300,MAX(1,D284)),0), FactorTable!$A$2:$A$301,0), Skills!L9+1)</f>
        <v/>
      </c>
      <c r="F284">
        <f>IF(Skills!M9=TRUE,(Skills!K9/10)*(E284/1000),Skills!K9/10)+Skills!N9</f>
        <v/>
      </c>
      <c r="G284">
        <f>Calc!G9</f>
        <v/>
      </c>
      <c r="H284">
        <f>Calc!H9</f>
        <v/>
      </c>
      <c r="I284">
        <f>IF(Skills!T9&lt;&gt;"",1+(Skills!T9/10)*(Z278/1000)/100,1)</f>
        <v/>
      </c>
      <c r="J284">
        <f>((Inputs!$B$6*(1+Inputs!$B$7/100))+(((Inputs!$B$12*(1+Inputs!$B$13/100))-(Inputs!$B$12*(1+Inputs!$B$13/100)))+0.25*(Inputs!$B$14-Inputs!$B$14))*(1+Inputs!$B$7/100))*(F284/100)</f>
        <v/>
      </c>
      <c r="K284">
        <f>J284*(1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9="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f>
        <v/>
      </c>
      <c r="L284">
        <f>K284*(MIN(Inputs!$B$22+(F293-Calc!F18),(Inputs!$B$23+(IF(ArtifactsInput!$M$15,CHOOSE(ArtifactsInput!$N$15+1,25,30,35,40,45,50)/100*(Inputs!$B$11-Inputs!$B$11),0))))/100+(Inputs!$B$23+(IF(ArtifactsInput!$M$15,CHOOSE(ArtifactsInput!$N$15+1,25,30,35,40,45,50)/100*(Inputs!$B$11-Inputs!$B$11),0)))/100)/2</f>
        <v/>
      </c>
      <c r="M284">
        <f>L284*(1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
        <f>L284*(1-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
        <f>(1-Summary!$B$11)*S284+Summary!$B$11*U284</f>
        <v/>
      </c>
      <c r="P284">
        <f>IF(B312=0,0,O284/B312)</f>
        <v/>
      </c>
      <c r="Q284">
        <f>IFERROR(1/(IF(Inputs!$B$38="pvp",15,MAX(0.1,Skills!D9-IF(TRUE=TRUE,Inputs!$B$32,0)))*(1-IF(AND(ArtifactsInput!$M$27,Inputs!$B$4="Chapter Hunt"),CHOOSE(ArtifactsInput!$N$27+1,20,24,28,32,36,40),0)/100)),0)</f>
        <v/>
      </c>
      <c r="R284">
        <f>IF(AND(Inputs!$B$38&lt;&gt;"pvp",Inputs!$B$43&gt;0),IF(MAX(0,Inputs!$B$43-B309)&lt;=0,0,(INT(MAX(0,Inputs!$B$43-B309)/(IF(Inputs!$B$38="pvp",15,MAX(0.1,Skills!D9-IF(TRUE=TRUE,Inputs!$B$32,0)))*(1-IF(AND(ArtifactsInput!$M$27,Inputs!$B$4="Chapter Hunt"),CHOOSE(ArtifactsInput!$N$27+1,20,24,28,32,36,40),0)/100)))+1)),0)</f>
        <v/>
      </c>
      <c r="S284">
        <f>IF(C284,(H284*N284*IF(AND(Inputs!$B$38&lt;&gt;"pvp",Inputs!$B$43&gt;0),((Skills!F9*((R284-1)*IF(Skills!G9&gt;0,Skills!H9/Skills!G9,1)+IF(Skills!G9&gt;0,MIN(Skills!H9,MAX(0,MAX(0,Inputs!$B$43-B309)-((R284-1)*(IF(Inputs!$B$38="pvp",15,MAX(0.1,Skills!D9-IF(TRUE=TRUE,Inputs!$B$32,0)))*(1-IF(AND(ArtifactsInput!$M$27,Inputs!$B$4="Chapter Hunt"),CHOOSE(ArtifactsInput!$N$27+1,20,24,28,32,36,40),0)/100)))))/Skills!G9,1)))/Inputs!$B$43),G284*Q284))*IF(Inputs!$B$38="pvp",1,1+(Inputs!$B$20+Skills!O9+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
        <f>IF(C284,(H284*N284*IF(AND(Inputs!$B$38&lt;&gt;"pvp",Inputs!$B$43&gt;0),((Skills!F9*((R284-1)*IF(Skills!G9&gt;0,Skills!H9/Skills!G9,1)+IF(Skills!G9&gt;0,MIN(Skills!H9,MAX(0,MAX(0,Inputs!$B$43-B309)-((R284-1)*(IF(Inputs!$B$38="pvp",15,MAX(0.1,Skills!D9-IF(TRUE=TRUE,Inputs!$B$32,0)))*(1-IF(AND(ArtifactsInput!$M$27,Inputs!$B$4="Chapter Hunt"),CHOOSE(ArtifactsInput!$N$27+1,20,24,28,32,36,40),0)/100)))))/Skills!G9,1)))/Inputs!$B$43),G284*Q284))*IF(Inputs!$B$38="pvp",1,(1+((Inputs!$B$21+1)+Skills!P9+B303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5">
      <c r="A285">
        <f>Skills!A10</f>
        <v/>
      </c>
      <c r="B285">
        <f>Skills!B10</f>
        <v/>
      </c>
      <c r="C285">
        <f>Inputs!$B$3&gt;=113</f>
        <v/>
      </c>
      <c r="D285">
        <f>IF(Skills!C10=1,60+Inputs!$B$25+Inputs!$B$29,IF(Skills!C10=2,90+Inputs!$B$26+Inputs!$B$29,IF(Skills!C10=3,120+Inputs!$B$27+Inputs!$B$29,MAX(0,(Inputs!$B$3-100)*3)+Inputs!$B$28+Inputs!$B$29)))</f>
        <v/>
      </c>
      <c r="E285">
        <f>INDEX(FactorTable!$B$2:$Y$301, MATCH(ROUND(MIN(300,MAX(1,D285)),0), FactorTable!$A$2:$A$301,0), Skills!L10+1)</f>
        <v/>
      </c>
      <c r="F285">
        <f>IF(Skills!M10=TRUE,(Skills!K10/10)*(E285/1000),Skills!K10/10)+Skills!N10</f>
        <v/>
      </c>
      <c r="G285">
        <f>Calc!G10</f>
        <v/>
      </c>
      <c r="H285">
        <f>Calc!H10</f>
        <v/>
      </c>
      <c r="I285">
        <f>IF(Skills!T10&lt;&gt;"",1+(Skills!T10/10)*(Z278/1000)/100,1)</f>
        <v/>
      </c>
      <c r="J285">
        <f>((Inputs!$B$6*(1+Inputs!$B$7/100))+(((Inputs!$B$12*(1+Inputs!$B$13/100))-(Inputs!$B$12*(1+Inputs!$B$13/100)))+0.25*(Inputs!$B$14-Inputs!$B$14))*(1+Inputs!$B$7/100))*(F285/100)</f>
        <v/>
      </c>
      <c r="K285">
        <f>J285*(1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10="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285)</f>
        <v/>
      </c>
      <c r="L285">
        <f>K285*(MIN(Inputs!$B$22+(F293-Calc!F18),(Inputs!$B$23+(IF(ArtifactsInput!$M$15,CHOOSE(ArtifactsInput!$N$15+1,25,30,35,40,45,50)/100*(Inputs!$B$11-Inputs!$B$11),0))))/100+(Inputs!$B$23+(IF(ArtifactsInput!$M$15,CHOOSE(ArtifactsInput!$N$15+1,25,30,35,40,45,50)/100*(Inputs!$B$11-Inputs!$B$11),0)))/100)/2</f>
        <v/>
      </c>
      <c r="M285">
        <f>L285*(1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5">
        <f>L285*(1-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285*(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5">
        <f>(1-Summary!$B$11)*S285+Summary!$B$11*U285</f>
        <v/>
      </c>
      <c r="P285">
        <f>IF(B312=0,0,O285/B312)</f>
        <v/>
      </c>
      <c r="Q285">
        <f>IFERROR(1/(IF(Inputs!$B$38="pvp",15,MAX(0.1,Skills!D10-IF(TRUE=TRUE,Inputs!$B$32,0)))*(1-IF(AND(ArtifactsInput!$M$27,Inputs!$B$4="Chapter Hunt"),CHOOSE(ArtifactsInput!$N$27+1,20,24,28,32,36,40),0)/100)),0)</f>
        <v/>
      </c>
      <c r="R285" t="n">
        <v>0</v>
      </c>
      <c r="S285">
        <f>IF(C285,((H285*B313)/(1+Skills!G10*H285*B313)*N285)*IF(Inputs!$B$38="pvp",1,1+(Inputs!$B$20+Skills!O10+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285*(1-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285*(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285*(1-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285*(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5">
        <f>IF(C285,((H285*B313)/(1+Skills!G10*H285*B313)*N285)*IF(Inputs!$B$38="pvp",1,(1+((Inputs!$B$21+1)+Skills!P10+B303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6">
      <c r="A286">
        <f>Skills!A11</f>
        <v/>
      </c>
      <c r="B286">
        <f>Skills!B11</f>
        <v/>
      </c>
      <c r="C286">
        <f>Inputs!$B$3&gt;=107</f>
        <v/>
      </c>
      <c r="D286">
        <f>IF(Skills!C11=1,60+Inputs!$B$25+Inputs!$B$29,IF(Skills!C11=2,90+Inputs!$B$26+Inputs!$B$29,IF(Skills!C11=3,120+Inputs!$B$27+Inputs!$B$29,MAX(0,(Inputs!$B$3-100)*3)+Inputs!$B$28+Inputs!$B$29)))</f>
        <v/>
      </c>
      <c r="E286">
        <f>INDEX(FactorTable!$B$2:$Y$301, MATCH(ROUND(MIN(300,MAX(1,D286)),0), FactorTable!$A$2:$A$301,0), Skills!L11+1)</f>
        <v/>
      </c>
      <c r="F286">
        <f>IF(Skills!M11=TRUE,(Skills!K11/10)*(E286/1000),Skills!K11/10)+Skills!N11</f>
        <v/>
      </c>
      <c r="G286">
        <f>Calc!G11</f>
        <v/>
      </c>
      <c r="H286">
        <f>Calc!H11</f>
        <v/>
      </c>
      <c r="I286">
        <f>IF(Skills!T11&lt;&gt;"",1+(Skills!T11/10)*(Z278/1000)/100,1)</f>
        <v/>
      </c>
      <c r="J286">
        <f>((Inputs!$B$6*(1+Inputs!$B$7/100))+(((Inputs!$B$12*(1+Inputs!$B$13/100))-(Inputs!$B$12*(1+Inputs!$B$13/100)))+0.25*(Inputs!$B$14-Inputs!$B$14))*(1+Inputs!$B$7/100))*(F286/100)</f>
        <v/>
      </c>
      <c r="K286">
        <f>J286*(1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11="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286)</f>
        <v/>
      </c>
      <c r="L286">
        <f>K286*(MIN(Inputs!$B$22+(F293-Calc!F18),(Inputs!$B$23+(IF(ArtifactsInput!$M$15,CHOOSE(ArtifactsInput!$N$15+1,25,30,35,40,45,50)/100*(Inputs!$B$11-Inputs!$B$11),0))))/100+(Inputs!$B$23+(IF(ArtifactsInput!$M$15,CHOOSE(ArtifactsInput!$N$15+1,25,30,35,40,45,50)/100*(Inputs!$B$11-Inputs!$B$11),0)))/100)/2</f>
        <v/>
      </c>
      <c r="M286">
        <f>L286*(1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6">
        <f>L286*(1-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286*(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6">
        <f>(1-Summary!$B$11)*S286+Summary!$B$11*U286</f>
        <v/>
      </c>
      <c r="P286">
        <f>IF(B312=0,0,O286/B312)</f>
        <v/>
      </c>
      <c r="Q286">
        <f>IFERROR(1/(IF(Inputs!$B$38="pvp",15,MAX(0.1,Skills!D11-IF(TRUE=TRUE,Inputs!$B$32,0)))*(1-IF(AND(ArtifactsInput!$M$27,Inputs!$B$4="Chapter Hunt"),CHOOSE(ArtifactsInput!$N$27+1,20,24,28,32,36,40),0)/100)),0)</f>
        <v/>
      </c>
      <c r="R286">
        <f>IF(AND(Inputs!$B$38&lt;&gt;"pvp",Inputs!$B$43&gt;0),IF(MAX(0,Inputs!$B$43-B309)&lt;=0,0,(INT(MAX(0,Inputs!$B$43-B309)/(IF(Inputs!$B$38="pvp",15,MAX(0.1,Skills!D11-IF(TRUE=TRUE,Inputs!$B$32,0)))*(1-IF(AND(ArtifactsInput!$M$27,Inputs!$B$4="Chapter Hunt"),CHOOSE(ArtifactsInput!$N$27+1,20,24,28,32,36,40),0)/100)))+1)),0)</f>
        <v/>
      </c>
      <c r="S286">
        <f>IF(C286,H286*N286*IF(AND(Inputs!$B$38&lt;&gt;"pvp",Inputs!$B$43&gt;0),((Skills!F11*((R286-1)*IF(Skills!G11&gt;0,Skills!H11/Skills!G11,1)+IF(Skills!G11&gt;0,MIN(Skills!H11,MAX(0,MAX(0,Inputs!$B$43-B309)-((R286-1)*(IF(Inputs!$B$38="pvp",15,MAX(0.1,Skills!D11-IF(TRUE=TRUE,Inputs!$B$32,0)))*(1-IF(AND(ArtifactsInput!$M$27,Inputs!$B$4="Chapter Hunt"),CHOOSE(ArtifactsInput!$N$27+1,20,24,28,32,36,40),0)/100)))))/Skills!G11,1)))/Inputs!$B$43),G286*Q286)*0.5*IF(Inputs!$B$38="pvp",1,1+(Inputs!$B$20+Skills!O11+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286*(1-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286*(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286*(1-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286*(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6">
        <f>IF(C286,H286*N286*IF(AND(Inputs!$B$38&lt;&gt;"pvp",Inputs!$B$43&gt;0),((Skills!F11*((R286-1)*IF(Skills!G11&gt;0,Skills!H11/Skills!G11,1)+IF(Skills!G11&gt;0,MIN(Skills!H11,MAX(0,MAX(0,Inputs!$B$43-B309)-((R286-1)*(IF(Inputs!$B$38="pvp",15,MAX(0.1,Skills!D11-IF(TRUE=TRUE,Inputs!$B$32,0)))*(1-IF(AND(ArtifactsInput!$M$27,Inputs!$B$4="Chapter Hunt"),CHOOSE(ArtifactsInput!$N$27+1,20,24,28,32,36,40),0)/100)))))/Skills!G11,1)))/Inputs!$B$43),G286*Q286)*1*IF(Inputs!$B$38="pvp",1,(1+((Inputs!$B$21+1)+Skills!P11+B303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
      <c r="A287">
        <f>Skills!A12</f>
        <v/>
      </c>
      <c r="B287">
        <f>Skills!B12</f>
        <v/>
      </c>
      <c r="C287">
        <f>Inputs!$B$3&gt;=115</f>
        <v/>
      </c>
      <c r="D287">
        <f>IF(Skills!C12=1,60+Inputs!$B$25+Inputs!$B$29,IF(Skills!C12=2,90+Inputs!$B$26+Inputs!$B$29,IF(Skills!C12=3,120+Inputs!$B$27+Inputs!$B$29,MAX(0,(Inputs!$B$3-100)*3)+Inputs!$B$28+Inputs!$B$29)))</f>
        <v/>
      </c>
      <c r="E287">
        <f>INDEX(FactorTable!$B$2:$Y$301, MATCH(ROUND(MIN(300,MAX(1,D287)),0), FactorTable!$A$2:$A$301,0), Skills!L12+1)</f>
        <v/>
      </c>
      <c r="F287">
        <f>IF(Skills!M12=TRUE,(Skills!K12/10)*(E287/1000),Skills!K12/10)+Skills!N12</f>
        <v/>
      </c>
      <c r="G287">
        <f>Calc!G12</f>
        <v/>
      </c>
      <c r="H287">
        <f>Calc!H12</f>
        <v/>
      </c>
      <c r="I287">
        <f>IF(Skills!T12&lt;&gt;"",1+(Skills!T12/10)*(Z278/1000)/100,1)</f>
        <v/>
      </c>
      <c r="J287">
        <f>((Inputs!$B$6*(1+Inputs!$B$7/100))+(((Inputs!$B$12*(1+Inputs!$B$13/100))-(Inputs!$B$12*(1+Inputs!$B$13/100)))+0.25*(Inputs!$B$14-Inputs!$B$14))*(1+Inputs!$B$7/100))*(F287/100)</f>
        <v/>
      </c>
      <c r="K287">
        <f>J287*(1+((Inputs!$B$12*(1+Inputs!$B$13/100))*0.01+Inputs!$B$14*0.0025)/100)*(1+(Inputs!$B$15+B304)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290=TRUE,F290,0)/100)*(1+IF(C298=TRUE,F298,0)/100)^5*(1+(IF(Skills!A12="CHAIN_LIGHTNING",Inputs!$B$17+((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302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f>
        <v/>
      </c>
      <c r="L287">
        <f>K287*(MIN(Inputs!$B$22+(F293-Calc!F18),(Inputs!$B$23+(IF(ArtifactsInput!$M$15,CHOOSE(ArtifactsInput!$N$15+1,25,30,35,40,45,50)/100*(Inputs!$B$11-Inputs!$B$11),0))))/100+(Inputs!$B$23+(IF(ArtifactsInput!$M$15,CHOOSE(ArtifactsInput!$N$15+1,25,30,35,40,45,50)/100*(Inputs!$B$11-Inputs!$B$11),0)))/100)/2</f>
        <v/>
      </c>
      <c r="M287">
        <f>L287*(1+(Inputs!$B$10+(F296-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
        <f>L287*(1-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MIN((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
        <f>(1-Summary!$B$11)*S287+Summary!$B$11*U287</f>
        <v/>
      </c>
      <c r="P287">
        <f>IF(B312=0,0,O287/B312)</f>
        <v/>
      </c>
      <c r="Q287">
        <f>IFERROR(1/(IF(Inputs!$B$38="pvp",15,MAX(0.1,Skills!D12-IF(TRUE=TRUE,Inputs!$B$32,0)))*(1-IF(AND(ArtifactsInput!$M$27,Inputs!$B$4="Chapter Hunt"),CHOOSE(ArtifactsInput!$N$27+1,20,24,28,32,36,40),0)/100)),0)</f>
        <v/>
      </c>
      <c r="R287">
        <f>IF(AND(Inputs!$B$38&lt;&gt;"pvp",Inputs!$B$43&gt;0),IF(MAX(0,Inputs!$B$43-B309)&lt;=0,0,(INT(MAX(0,Inputs!$B$43-B309)/(IF(Inputs!$B$38="pvp",15,MAX(0.1,Skills!D12-IF(TRUE=TRUE,Inputs!$B$32,0)))*(1-IF(AND(ArtifactsInput!$M$27,Inputs!$B$4="Chapter Hunt"),CHOOSE(ArtifactsInput!$N$27+1,20,24,28,32,36,40),0)/100)))+1)),0)</f>
        <v/>
      </c>
      <c r="S287">
        <f>IF(C287,(H287*N287*IF(AND(Inputs!$B$38&lt;&gt;"pvp",Inputs!$B$43&gt;0),((Skills!F12*((R287-1)*IF(Skills!G12&gt;0,Skills!H12/Skills!G12,1)+IF(Skills!G12&gt;0,MIN(Skills!H12,MAX(0,MAX(0,Inputs!$B$43-B309)-((R287-1)*(IF(Inputs!$B$38="pvp",15,MAX(0.1,Skills!D12-IF(TRUE=TRUE,Inputs!$B$32,0)))*(1-IF(AND(ArtifactsInput!$M$27,Inputs!$B$4="Chapter Hunt"),CHOOSE(ArtifactsInput!$N$27+1,20,24,28,32,36,40),0)/100)))))/Skills!G12,1)))/Inputs!$B$43),G287*Q287))*IF(Inputs!$B$38="pvp",1,1+(Inputs!$B$20+Skills!O12+B303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(1-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MIN(100,(Inputs!$B$9+((F295-Calc!F20)+(F294-Calc!F19))+(ArtifactsInput!$M$24-ArtifactsInput!$M$24)*CHOOSE(ArtifactsInput!$N$24+1,10,12,14,16,18,20)+(IF(AND(Inputs!$B$38&lt;&gt;"pvp",Inputs!$B$43=0),1,IF(IF(Inputs!$B$38="pvp",15,Inputs!$B$43)-(B309)&lt;=0,1,MAX(0,IF(Inputs!$B$38="pvp",15,Inputs!$B$43)-MAX(5,B309))/(IF(Inputs!$B$38="pvp",15,Inputs!$B$43)-(B309)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
        <f>IF(C287,(H287*N287*IF(AND(Inputs!$B$38&lt;&gt;"pvp",Inputs!$B$43&gt;0),((Skills!F12*((R287-1)*IF(Skills!G12&gt;0,Skills!H12/Skills!G12,1)+IF(Skills!G12&gt;0,MIN(Skills!H12,MAX(0,MAX(0,Inputs!$B$43-B309)-((R287-1)*(IF(Inputs!$B$38="pvp",15,MAX(0.1,Skills!D12-IF(TRUE=TRUE,Inputs!$B$32,0)))*(1-IF(AND(ArtifactsInput!$M$27,Inputs!$B$4="Chapter Hunt"),CHOOSE(ArtifactsInput!$N$27+1,20,24,28,32,36,40),0)/100)))))/Skills!G12,1)))/Inputs!$B$43),G287*Q287))*IF(Inputs!$B$38="pvp",1,(1+((Inputs!$B$21+1)+Skills!P12+B303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
      <c r="A288">
        <f>Skills!A13</f>
        <v/>
      </c>
      <c r="B288">
        <f>Skills!B13</f>
        <v/>
      </c>
      <c r="C288">
        <f>Inputs!$B$3&gt;=49</f>
        <v/>
      </c>
      <c r="D288">
        <f>IF(Skills!C13=1,60+Inputs!$B$25+Inputs!$B$29,IF(Skills!C13=2,90+Inputs!$B$26+Inputs!$B$29,IF(Skills!C13=3,120+Inputs!$B$27+Inputs!$B$29,MAX(0,(Inputs!$B$3-100)*3)+Inputs!$B$28+Inputs!$B$29)))</f>
        <v/>
      </c>
      <c r="E288">
        <f>INDEX(FactorTable!$B$2:$Y$301, MATCH(ROUND(MIN(300,MAX(1,D288)),0), FactorTable!$A$2:$A$301,0), Skills!L13+1)</f>
        <v/>
      </c>
      <c r="F288">
        <f>IF(Skills!M13=TRUE,(Skills!K13/10)*(E288/1000),Skills!K13/10)+Skills!N13</f>
        <v/>
      </c>
      <c r="G288">
        <f>Calc!G13</f>
        <v/>
      </c>
      <c r="H288">
        <f>Calc!H13</f>
        <v/>
      </c>
      <c r="I288">
        <f>IF(Skills!T13&lt;&gt;"",1+(Skills!T13/10)*(Z278/1000)/100,1)</f>
        <v/>
      </c>
      <c r="J288" t="inlineStr"/>
      <c r="K288" t="inlineStr"/>
      <c r="L288" t="inlineStr"/>
      <c r="M288" t="inlineStr"/>
      <c r="N288" t="inlineStr"/>
      <c r="O288">
        <f>(1-Summary!$B$11)*S288+Summary!$B$11*U288</f>
        <v/>
      </c>
      <c r="P288">
        <f>IF(B312=0,0,O288/B312)</f>
        <v/>
      </c>
      <c r="Q288">
        <f>IFERROR(1/(IF(Inputs!$B$38="pvp",15,MAX(0.1,Skills!D13-IF(TRUE=TRUE,Inputs!$B$32,0)))*(1-IF(AND(ArtifactsInput!$M$27,Inputs!$B$4="Chapter Hunt"),CHOOSE(ArtifactsInput!$N$27+1,20,24,28,32,36,40),0)/100)),0)</f>
        <v/>
      </c>
      <c r="R288" t="n">
        <v>0</v>
      </c>
      <c r="S288" t="n">
        <v>0</v>
      </c>
      <c r="U288" t="n">
        <v>0</v>
      </c>
    </row>
    <row r="289">
      <c r="A289">
        <f>Skills!A14</f>
        <v/>
      </c>
      <c r="B289">
        <f>Skills!B14</f>
        <v/>
      </c>
      <c r="C289">
        <f>Inputs!$B$3&gt;=72</f>
        <v/>
      </c>
      <c r="D289">
        <f>IF(Skills!C14=1,60+Inputs!$B$25+Inputs!$B$29,IF(Skills!C14=2,90+Inputs!$B$26+Inputs!$B$29,IF(Skills!C14=3,120+Inputs!$B$27+Inputs!$B$29,MAX(0,(Inputs!$B$3-100)*3)+Inputs!$B$28+Inputs!$B$29)))</f>
        <v/>
      </c>
      <c r="E289">
        <f>INDEX(FactorTable!$B$2:$Y$301, MATCH(ROUND(MIN(300,MAX(1,D289)),0), FactorTable!$A$2:$A$301,0), Skills!L14+1)</f>
        <v/>
      </c>
      <c r="F289">
        <f>IF(Skills!M14=TRUE,(Skills!K14/10)*(E289/1000),Skills!K14/10)+Skills!N14</f>
        <v/>
      </c>
      <c r="G289">
        <f>Calc!G14</f>
        <v/>
      </c>
      <c r="H289">
        <f>Calc!H14</f>
        <v/>
      </c>
      <c r="I289">
        <f>IF(Skills!T14&lt;&gt;"",1+(Skills!T14/10)*(Z278/1000)/100,1)</f>
        <v/>
      </c>
      <c r="J289" t="inlineStr"/>
      <c r="K289" t="inlineStr"/>
      <c r="L289" t="inlineStr"/>
      <c r="M289" t="inlineStr"/>
      <c r="N289" t="inlineStr"/>
      <c r="O289">
        <f>(1-Summary!$B$11)*S289+Summary!$B$11*U289</f>
        <v/>
      </c>
      <c r="P289">
        <f>IF(B312=0,0,O289/B312)</f>
        <v/>
      </c>
      <c r="Q289">
        <f>IFERROR(1/(IF(Inputs!$B$38="pvp",15,MAX(0.1,Skills!D14-IF(TRUE=TRUE,Inputs!$B$32,0)))*(1-IF(AND(ArtifactsInput!$M$27,Inputs!$B$4="Chapter Hunt"),CHOOSE(ArtifactsInput!$N$27+1,20,24,28,32,36,40),0)/100)),0)</f>
        <v/>
      </c>
      <c r="R289" t="n">
        <v>0</v>
      </c>
      <c r="S289" t="n">
        <v>0</v>
      </c>
      <c r="U289" t="n">
        <v>0</v>
      </c>
    </row>
    <row r="290">
      <c r="A290">
        <f>Skills!A15</f>
        <v/>
      </c>
      <c r="B290">
        <f>Skills!B15</f>
        <v/>
      </c>
      <c r="C290">
        <f>Inputs!$B$3&gt;=75</f>
        <v/>
      </c>
      <c r="D290">
        <f>IF(Skills!C15=1,60+Inputs!$B$25+Inputs!$B$29,IF(Skills!C15=2,90+Inputs!$B$26+Inputs!$B$29,IF(Skills!C15=3,120+Inputs!$B$27+Inputs!$B$29,MAX(0,(Inputs!$B$3-100)*3)+Inputs!$B$28+Inputs!$B$29)))</f>
        <v/>
      </c>
      <c r="E290">
        <f>INDEX(FactorTable!$B$2:$Y$301, MATCH(ROUND(MIN(300,MAX(1,D290)),0), FactorTable!$A$2:$A$301,0), Skills!L15+1)</f>
        <v/>
      </c>
      <c r="F290">
        <f>IF(Skills!M15=TRUE,(Skills!K15/10)*(E290/1000),Skills!K15/10)+Skills!N15</f>
        <v/>
      </c>
      <c r="G290">
        <f>Calc!G15</f>
        <v/>
      </c>
      <c r="H290">
        <f>Calc!H15</f>
        <v/>
      </c>
      <c r="I290">
        <f>IF(Skills!T15&lt;&gt;"",1+(Skills!T15/10)*(Z278/1000)/100,1)</f>
        <v/>
      </c>
      <c r="J290" t="inlineStr"/>
      <c r="K290" t="inlineStr"/>
      <c r="L290" t="inlineStr"/>
      <c r="M290" t="inlineStr"/>
      <c r="N290" t="inlineStr"/>
      <c r="O290">
        <f>(1-Summary!$B$11)*S290+Summary!$B$11*U290</f>
        <v/>
      </c>
      <c r="P290">
        <f>IF(B312=0,0,O290/B312)</f>
        <v/>
      </c>
      <c r="Q290">
        <f>IFERROR(1/(IF(Inputs!$B$38="pvp",15,MAX(0.1,Skills!D15-IF(TRUE=TRUE,Inputs!$B$32,0)))*(1-IF(AND(ArtifactsInput!$M$27,Inputs!$B$4="Chapter Hunt"),CHOOSE(ArtifactsInput!$N$27+1,20,24,28,32,36,40),0)/100)),0)</f>
        <v/>
      </c>
      <c r="R290" t="n">
        <v>0</v>
      </c>
      <c r="S290" t="n">
        <v>0</v>
      </c>
      <c r="U290" t="n">
        <v>0</v>
      </c>
    </row>
    <row r="291">
      <c r="A291">
        <f>Skills!A16</f>
        <v/>
      </c>
      <c r="B291">
        <f>Skills!B16</f>
        <v/>
      </c>
      <c r="C291">
        <f>Inputs!$B$3&gt;=110</f>
        <v/>
      </c>
      <c r="D291">
        <f>IF(Skills!C16=1,60+Inputs!$B$25+Inputs!$B$29,IF(Skills!C16=2,90+Inputs!$B$26+Inputs!$B$29,IF(Skills!C16=3,120+Inputs!$B$27+Inputs!$B$29,MAX(0,(Inputs!$B$3-100)*3)+Inputs!$B$28+Inputs!$B$29)))</f>
        <v/>
      </c>
      <c r="E291">
        <f>INDEX(FactorTable!$B$2:$Y$301, MATCH(ROUND(MIN(300,MAX(1,D291)),0), FactorTable!$A$2:$A$301,0), Skills!L16+1)</f>
        <v/>
      </c>
      <c r="F291">
        <f>(Skills!K16/10)*(E291/1000)*64/45+Skills!N16</f>
        <v/>
      </c>
      <c r="G291">
        <f>Calc!G16</f>
        <v/>
      </c>
      <c r="H291">
        <f>Calc!H16</f>
        <v/>
      </c>
      <c r="I291">
        <f>IF(Skills!T16&lt;&gt;"",1+(Skills!T16/10)*(Z278/1000)/100,1)</f>
        <v/>
      </c>
      <c r="J291" t="inlineStr"/>
      <c r="K291" t="inlineStr"/>
      <c r="L291" t="inlineStr"/>
      <c r="M291" t="inlineStr"/>
      <c r="N291" t="inlineStr"/>
      <c r="O291">
        <f>(1-Summary!$B$11)*S291+Summary!$B$11*U291</f>
        <v/>
      </c>
      <c r="P291">
        <f>IF(B312=0,0,O291/B312)</f>
        <v/>
      </c>
      <c r="Q291">
        <f>IFERROR(1/(IF(Inputs!$B$38="pvp",15,MAX(0.1,Skills!D16-IF(TRUE=TRUE,Inputs!$B$32,0)))*(1-IF(AND(ArtifactsInput!$M$27,Inputs!$B$4="Chapter Hunt"),CHOOSE(ArtifactsInput!$N$27+1,20,24,28,32,36,40),0)/100)),0)</f>
        <v/>
      </c>
      <c r="R291">
        <f>IF(AND(Inputs!$B$38&lt;&gt;"pvp",Inputs!$B$43&gt;0),IF(Inputs!$B$43&lt;=0,0,(INT(Inputs!$B$43/(IF(Inputs!$B$38="pvp",15,MAX(0.1,Skills!D16-IF(TRUE=TRUE,Inputs!$B$32,0)))*(1-IF(AND(ArtifactsInput!$M$27,Inputs!$B$4="Chapter Hunt"),CHOOSE(ArtifactsInput!$N$27+1,20,24,28,32,36,40),0)/100)))+1)),0)</f>
        <v/>
      </c>
      <c r="S291" t="n">
        <v>0</v>
      </c>
      <c r="U291" t="n">
        <v>0</v>
      </c>
    </row>
    <row r="292">
      <c r="A292">
        <f>Skills!A17</f>
        <v/>
      </c>
      <c r="B292">
        <f>Skills!B17</f>
        <v/>
      </c>
      <c r="C292">
        <f>Inputs!$B$3&gt;=33</f>
        <v/>
      </c>
      <c r="D292">
        <f>IF(Skills!C17=1,60+Inputs!$B$25+Inputs!$B$29,IF(Skills!C17=2,90+Inputs!$B$26+Inputs!$B$29,IF(Skills!C17=3,120+Inputs!$B$27+Inputs!$B$29,MAX(0,(Inputs!$B$3-100)*3)+Inputs!$B$28+Inputs!$B$29)))</f>
        <v/>
      </c>
      <c r="E292">
        <f>INDEX(FactorTable!$B$2:$Y$301, MATCH(ROUND(MIN(300,MAX(1,D292)),0), FactorTable!$A$2:$A$301,0), Skills!L17+1)</f>
        <v/>
      </c>
      <c r="F292">
        <f>IF(Skills!M17=TRUE,(Skills!K17/10)*(E292/1000),Skills!K17/10)+Skills!N17</f>
        <v/>
      </c>
      <c r="G292">
        <f>Calc!G17</f>
        <v/>
      </c>
      <c r="H292">
        <f>Calc!H17</f>
        <v/>
      </c>
      <c r="I292">
        <f>IF(Skills!T17&lt;&gt;"",1+(Skills!T17/10)*(Z278/1000)/100,1)</f>
        <v/>
      </c>
      <c r="J292" t="inlineStr"/>
      <c r="K292" t="inlineStr"/>
      <c r="L292" t="inlineStr"/>
      <c r="M292" t="inlineStr"/>
      <c r="N292" t="inlineStr"/>
      <c r="O292">
        <f>(1-Summary!$B$11)*S292+Summary!$B$11*U292</f>
        <v/>
      </c>
      <c r="P292">
        <f>IF(B312=0,0,O292/B312)</f>
        <v/>
      </c>
      <c r="Q292">
        <f>IFERROR(1/(IF(Inputs!$B$38="pvp",15,MAX(0.1,Skills!D17-IF(TRUE=TRUE,Inputs!$B$32,0)))*(1-IF(AND(ArtifactsInput!$M$27,Inputs!$B$4="Chapter Hunt"),CHOOSE(ArtifactsInput!$N$27+1,20,24,28,32,36,40),0)/100)),0)</f>
        <v/>
      </c>
      <c r="R292" t="n">
        <v>0</v>
      </c>
      <c r="S292" t="n">
        <v>0</v>
      </c>
      <c r="U292" t="n">
        <v>0</v>
      </c>
    </row>
    <row r="293">
      <c r="A293">
        <f>Skills!A18</f>
        <v/>
      </c>
      <c r="B293">
        <f>Skills!B18</f>
        <v/>
      </c>
      <c r="C293">
        <f>Inputs!$B$3&gt;=43</f>
        <v/>
      </c>
      <c r="D293">
        <f>IF(Skills!C18=1,60+Inputs!$B$25+Inputs!$B$29,IF(Skills!C18=2,90+Inputs!$B$26+Inputs!$B$29,IF(Skills!C18=3,120+Inputs!$B$27+Inputs!$B$29,MAX(0,(Inputs!$B$3-100)*3)+Inputs!$B$28+Inputs!$B$29)))</f>
        <v/>
      </c>
      <c r="E293">
        <f>INDEX(FactorTable!$B$2:$Y$301, MATCH(ROUND(MIN(300,MAX(1,D293)),0), FactorTable!$A$2:$A$301,0), Skills!L18+1)</f>
        <v/>
      </c>
      <c r="F293">
        <f>IF(Skills!M18=TRUE,(Skills!K18/10)*(E293/1000),Skills!K18/10)+Skills!N18</f>
        <v/>
      </c>
      <c r="G293">
        <f>Calc!G18</f>
        <v/>
      </c>
      <c r="H293">
        <f>Calc!H18</f>
        <v/>
      </c>
      <c r="I293">
        <f>IF(Skills!T18&lt;&gt;"",1+(Skills!T18/10)*(Z278/1000)/100,1)</f>
        <v/>
      </c>
      <c r="J293" t="inlineStr"/>
      <c r="K293" t="inlineStr"/>
      <c r="L293" t="inlineStr"/>
      <c r="M293" t="inlineStr"/>
      <c r="N293" t="inlineStr"/>
      <c r="O293">
        <f>(1-Summary!$B$11)*S293+Summary!$B$11*U293</f>
        <v/>
      </c>
      <c r="P293">
        <f>IF(B312=0,0,O293/B312)</f>
        <v/>
      </c>
      <c r="Q293">
        <f>IFERROR(1/(IF(Inputs!$B$38="pvp",15,MAX(0.1,Skills!D18-IF(TRUE=TRUE,Inputs!$B$32,0)))*(1-IF(AND(ArtifactsInput!$M$27,Inputs!$B$4="Chapter Hunt"),CHOOSE(ArtifactsInput!$N$27+1,20,24,28,32,36,40),0)/100)),0)</f>
        <v/>
      </c>
      <c r="R293" t="n">
        <v>0</v>
      </c>
      <c r="S293" t="n">
        <v>0</v>
      </c>
      <c r="U293" t="n">
        <v>0</v>
      </c>
    </row>
    <row r="294">
      <c r="A294">
        <f>Skills!A19</f>
        <v/>
      </c>
      <c r="B294">
        <f>Skills!B19</f>
        <v/>
      </c>
      <c r="C294">
        <f>Inputs!$B$3&gt;=50</f>
        <v/>
      </c>
      <c r="D294">
        <f>IF(Skills!C19=1,60+Inputs!$B$25+Inputs!$B$29,IF(Skills!C19=2,90+Inputs!$B$26+Inputs!$B$29,IF(Skills!C19=3,120+Inputs!$B$27+Inputs!$B$29,MAX(0,(Inputs!$B$3-100)*3)+Inputs!$B$28+Inputs!$B$29)))</f>
        <v/>
      </c>
      <c r="E294">
        <f>INDEX(FactorTable!$B$2:$Y$301, MATCH(ROUND(MIN(300,MAX(1,D294)),0), FactorTable!$A$2:$A$301,0), Skills!L19+1)</f>
        <v/>
      </c>
      <c r="F294">
        <f>IF(Skills!M19=TRUE,(Skills!K19/10)*(E294/1000),Skills!K19/10)+Skills!N19</f>
        <v/>
      </c>
      <c r="G294">
        <f>Calc!G19</f>
        <v/>
      </c>
      <c r="H294">
        <f>Calc!H19</f>
        <v/>
      </c>
      <c r="I294">
        <f>IF(Skills!T19&lt;&gt;"",1+(Skills!T19/10)*(Z278/1000)/100,1)</f>
        <v/>
      </c>
      <c r="J294" t="inlineStr"/>
      <c r="K294" t="inlineStr"/>
      <c r="L294" t="inlineStr"/>
      <c r="M294" t="inlineStr"/>
      <c r="N294" t="inlineStr"/>
      <c r="O294">
        <f>(1-Summary!$B$11)*S294+Summary!$B$11*U294</f>
        <v/>
      </c>
      <c r="P294">
        <f>IF(B312=0,0,O294/B312)</f>
        <v/>
      </c>
      <c r="Q294">
        <f>IFERROR(1/(IF(Inputs!$B$38="pvp",15,MAX(0.1,Skills!D19-IF(TRUE=TRUE,Inputs!$B$32,0)))*(1-IF(AND(ArtifactsInput!$M$27,Inputs!$B$4="Chapter Hunt"),CHOOSE(ArtifactsInput!$N$27+1,20,24,28,32,36,40),0)/100)),0)</f>
        <v/>
      </c>
      <c r="R294" t="n">
        <v>0</v>
      </c>
      <c r="S294" t="n">
        <v>0</v>
      </c>
      <c r="U294" t="n">
        <v>0</v>
      </c>
    </row>
    <row r="295">
      <c r="A295">
        <f>Skills!A20</f>
        <v/>
      </c>
      <c r="B295">
        <f>Skills!B20</f>
        <v/>
      </c>
      <c r="C295">
        <f>Inputs!$B$3&gt;=74</f>
        <v/>
      </c>
      <c r="D295">
        <f>IF(Skills!C20=1,60+Inputs!$B$25+Inputs!$B$29,IF(Skills!C20=2,90+Inputs!$B$26+Inputs!$B$29,IF(Skills!C20=3,120+Inputs!$B$27+Inputs!$B$29,MAX(0,(Inputs!$B$3-100)*3)+Inputs!$B$28+Inputs!$B$29)))</f>
        <v/>
      </c>
      <c r="E295">
        <f>INDEX(FactorTable!$B$2:$Y$301, MATCH(ROUND(MIN(300,MAX(1,D295)),0), FactorTable!$A$2:$A$301,0), Skills!L20+1)</f>
        <v/>
      </c>
      <c r="F295">
        <f>IF(Skills!M20=TRUE,(Skills!K20/10)*(E295/1000),Skills!K20/10)+Skills!N20</f>
        <v/>
      </c>
      <c r="G295">
        <f>Calc!G20</f>
        <v/>
      </c>
      <c r="H295">
        <f>Calc!H20</f>
        <v/>
      </c>
      <c r="I295">
        <f>IF(Skills!T20&lt;&gt;"",1+(Skills!T20/10)*(Z278/1000)/100,1)</f>
        <v/>
      </c>
      <c r="J295" t="inlineStr"/>
      <c r="K295" t="inlineStr"/>
      <c r="L295" t="inlineStr"/>
      <c r="M295" t="inlineStr"/>
      <c r="N295" t="inlineStr"/>
      <c r="O295">
        <f>(1-Summary!$B$11)*S295+Summary!$B$11*U295</f>
        <v/>
      </c>
      <c r="P295">
        <f>IF(B312=0,0,O295/B312)</f>
        <v/>
      </c>
      <c r="Q295">
        <f>IFERROR(1/(IF(Inputs!$B$38="pvp",15,MAX(0.1,Skills!D20-IF(TRUE=TRUE,Inputs!$B$32,0)))*(1-IF(AND(ArtifactsInput!$M$27,Inputs!$B$4="Chapter Hunt"),CHOOSE(ArtifactsInput!$N$27+1,20,24,28,32,36,40),0)/100)),0)</f>
        <v/>
      </c>
      <c r="R295" t="n">
        <v>0</v>
      </c>
      <c r="S295" t="n">
        <v>0</v>
      </c>
      <c r="U295" t="n">
        <v>0</v>
      </c>
    </row>
    <row r="296">
      <c r="A296">
        <f>Skills!A21</f>
        <v/>
      </c>
      <c r="B296">
        <f>Skills!B21</f>
        <v/>
      </c>
      <c r="C296">
        <f>Inputs!$B$3&gt;=74</f>
        <v/>
      </c>
      <c r="D296">
        <f>IF(Skills!C21=1,60+Inputs!$B$25+Inputs!$B$29,IF(Skills!C21=2,90+Inputs!$B$26+Inputs!$B$29,IF(Skills!C21=3,120+Inputs!$B$27+Inputs!$B$29,MAX(0,(Inputs!$B$3-100)*3)+Inputs!$B$28+Inputs!$B$29)))</f>
        <v/>
      </c>
      <c r="E296">
        <f>INDEX(FactorTable!$B$2:$Y$301, MATCH(ROUND(MIN(300,MAX(1,D296)),0), FactorTable!$A$2:$A$301,0), Skills!L21+1)</f>
        <v/>
      </c>
      <c r="F296">
        <f>IF(Skills!M21=TRUE,(Skills!K21/10)*(E296/1000),Skills!K21/10)+Skills!N21</f>
        <v/>
      </c>
      <c r="G296">
        <f>Calc!G21</f>
        <v/>
      </c>
      <c r="H296">
        <f>Calc!H21</f>
        <v/>
      </c>
      <c r="I296">
        <f>IF(Skills!T21&lt;&gt;"",1+(Skills!T21/10)*(Z278/1000)/100,1)</f>
        <v/>
      </c>
      <c r="J296" t="inlineStr"/>
      <c r="K296" t="inlineStr"/>
      <c r="L296" t="inlineStr"/>
      <c r="M296" t="inlineStr"/>
      <c r="N296" t="inlineStr"/>
      <c r="O296">
        <f>(1-Summary!$B$11)*S296+Summary!$B$11*U296</f>
        <v/>
      </c>
      <c r="P296">
        <f>IF(B312=0,0,O296/B312)</f>
        <v/>
      </c>
      <c r="Q296">
        <f>IFERROR(1/(IF(Inputs!$B$38="pvp",15,MAX(0.1,Skills!D21-IF(TRUE=TRUE,Inputs!$B$32,0)))*(1-IF(AND(ArtifactsInput!$M$27,Inputs!$B$4="Chapter Hunt"),CHOOSE(ArtifactsInput!$N$27+1,20,24,28,32,36,40),0)/100)),0)</f>
        <v/>
      </c>
      <c r="R296" t="n">
        <v>0</v>
      </c>
      <c r="S296" t="n">
        <v>0</v>
      </c>
      <c r="U296" t="n">
        <v>0</v>
      </c>
    </row>
    <row r="297">
      <c r="A297">
        <f>Skills!A22</f>
        <v/>
      </c>
      <c r="B297">
        <f>Skills!B22</f>
        <v/>
      </c>
      <c r="C297">
        <f>Inputs!$B$3&gt;=117</f>
        <v/>
      </c>
      <c r="D297">
        <f>IF(Skills!C22=1,60+Inputs!$B$25+Inputs!$B$29,IF(Skills!C22=2,90+Inputs!$B$26+Inputs!$B$29,IF(Skills!C22=3,120+Inputs!$B$27+Inputs!$B$29,MAX(0,(Inputs!$B$3-100)*3)+Inputs!$B$28+Inputs!$B$29)))</f>
        <v/>
      </c>
      <c r="E297">
        <f>INDEX(FactorTable!$B$2:$Y$301, MATCH(ROUND(MIN(300,MAX(1,D297)),0), FactorTable!$A$2:$A$301,0), Skills!L22+1)</f>
        <v/>
      </c>
      <c r="F297">
        <f>IF(Skills!M22=TRUE,(Skills!K22/10)*(E297/1000),Skills!K22/10)+Skills!N22</f>
        <v/>
      </c>
      <c r="G297">
        <f>Calc!G22</f>
        <v/>
      </c>
      <c r="H297">
        <f>Calc!H22</f>
        <v/>
      </c>
      <c r="I297">
        <f>IF(Skills!T22&lt;&gt;"",1+(Skills!T22/10)*(Z278/1000)/100,1)</f>
        <v/>
      </c>
      <c r="J297" t="inlineStr"/>
      <c r="K297" t="inlineStr"/>
      <c r="L297" t="inlineStr"/>
      <c r="M297" t="inlineStr"/>
      <c r="N297" t="inlineStr"/>
      <c r="O297">
        <f>(1-Summary!$B$11)*S297+Summary!$B$11*U297</f>
        <v/>
      </c>
      <c r="P297">
        <f>IF(B312=0,0,O297/B312)</f>
        <v/>
      </c>
      <c r="Q297">
        <f>IFERROR(1/(IF(Inputs!$B$38="pvp",15,MAX(0.1,Skills!D22-IF(TRUE=TRUE,Inputs!$B$32,0)))*(1-IF(AND(ArtifactsInput!$M$27,Inputs!$B$4="Chapter Hunt"),CHOOSE(ArtifactsInput!$N$27+1,20,24,28,32,36,40),0)/100)),0)</f>
        <v/>
      </c>
      <c r="R297" t="n">
        <v>0</v>
      </c>
      <c r="S297" t="n">
        <v>0</v>
      </c>
      <c r="U297" t="n">
        <v>0</v>
      </c>
    </row>
    <row r="298">
      <c r="A298">
        <f>Skills!A23</f>
        <v/>
      </c>
      <c r="B298">
        <f>Skills!B23</f>
        <v/>
      </c>
      <c r="C298">
        <f>Inputs!$B$3&gt;=120</f>
        <v/>
      </c>
      <c r="D298">
        <f>IF(Skills!C23=1,60+Inputs!$B$25+Inputs!$B$29,IF(Skills!C23=2,90+Inputs!$B$26+Inputs!$B$29,IF(Skills!C23=3,120+Inputs!$B$27+Inputs!$B$29,MAX(0,(Inputs!$B$3-100)*3)+Inputs!$B$28+Inputs!$B$29)))</f>
        <v/>
      </c>
      <c r="E298">
        <f>INDEX(FactorTable!$B$2:$Y$301, MATCH(ROUND(MIN(300,MAX(1,D298)),0), FactorTable!$A$2:$A$301,0), Skills!L23+1)</f>
        <v/>
      </c>
      <c r="F298">
        <f>IF(Skills!M23=TRUE,(Skills!K23/10)*(E298/1000),Skills!K23/10)+Skills!N23</f>
        <v/>
      </c>
      <c r="G298">
        <f>Calc!G23</f>
        <v/>
      </c>
      <c r="H298">
        <f>Calc!H23</f>
        <v/>
      </c>
      <c r="I298">
        <f>IF(Skills!T23&lt;&gt;"",1+(Skills!T23/10)*(Z278/1000)/100,1)</f>
        <v/>
      </c>
      <c r="J298" t="inlineStr"/>
      <c r="K298" t="inlineStr"/>
      <c r="L298" t="inlineStr"/>
      <c r="M298" t="inlineStr"/>
      <c r="N298" t="inlineStr"/>
      <c r="O298">
        <f>(1-Summary!$B$11)*S298+Summary!$B$11*U298</f>
        <v/>
      </c>
      <c r="P298">
        <f>IF(B312=0,0,O298/B312)</f>
        <v/>
      </c>
      <c r="Q298">
        <f>IFERROR(1/(IF(Inputs!$B$38="pvp",15,MAX(0.1,Skills!D23-IF(TRUE=TRUE,Inputs!$B$32,0)))*(1-IF(AND(ArtifactsInput!$M$27,Inputs!$B$4="Chapter Hunt"),CHOOSE(ArtifactsInput!$N$27+1,20,24,28,32,36,40),0)/100)),0)</f>
        <v/>
      </c>
      <c r="R298" t="n">
        <v>0</v>
      </c>
      <c r="S298" t="n">
        <v>0</v>
      </c>
      <c r="U298" t="n">
        <v>0</v>
      </c>
    </row>
    <row r="299">
      <c r="A299">
        <f>Skills!A24</f>
        <v/>
      </c>
      <c r="B299">
        <f>Skills!B24</f>
        <v/>
      </c>
      <c r="C299">
        <f>TRUE</f>
        <v/>
      </c>
      <c r="D299">
        <f>IF(Skills!C24=1,60+Inputs!$B$25+Inputs!$B$29,IF(Skills!C24=2,90+Inputs!$B$26+Inputs!$B$29,IF(Skills!C24=3,120+Inputs!$B$27+Inputs!$B$29,MAX(0,(Inputs!$B$3-100)*3)+Inputs!$B$28+Inputs!$B$29)))</f>
        <v/>
      </c>
      <c r="E299">
        <f>INDEX(FactorTable!$B$2:$Y$301, MATCH(ROUND(MIN(300,MAX(1,D299)),0), FactorTable!$A$2:$A$301,0), Skills!L24+1)</f>
        <v/>
      </c>
      <c r="F299">
        <f>IF(Skills!M24=TRUE,(Skills!K24/10)*(E299/1000),Skills!K24/10)+Skills!N24</f>
        <v/>
      </c>
      <c r="G299">
        <f>Calc!G24</f>
        <v/>
      </c>
      <c r="H299">
        <f>Calc!H24</f>
        <v/>
      </c>
      <c r="I299">
        <f>IF(Skills!T24&lt;&gt;"",1+(Skills!T24/10)*(Z278/1000)/100,1)</f>
        <v/>
      </c>
      <c r="J299" t="inlineStr"/>
      <c r="K299" t="inlineStr"/>
      <c r="L299" t="inlineStr"/>
      <c r="M299" t="inlineStr"/>
      <c r="N299" t="inlineStr"/>
      <c r="O299">
        <f>(1-Summary!$B$11)*S299+Summary!$B$11*U299</f>
        <v/>
      </c>
      <c r="P299">
        <f>IF(B312=0,0,O299/B312)</f>
        <v/>
      </c>
      <c r="Q299">
        <f>IFERROR(1/(IF(Inputs!$B$38="pvp",15,MAX(0.1,Skills!D24-IF(TRUE=TRUE,Inputs!$B$32,0)))*(1-IF(AND(ArtifactsInput!$M$27,Inputs!$B$4="Chapter Hunt"),CHOOSE(ArtifactsInput!$N$27+1,20,24,28,32,36,40),0)/100)),0)</f>
        <v/>
      </c>
      <c r="R299">
        <f>IF(AND(Inputs!$B$38&lt;&gt;"pvp",Inputs!$B$43&gt;0),IF(Inputs!$B$43&lt;=0,0,(INT(Inputs!$B$43/(IF(Inputs!$B$38="pvp",15,MAX(0.1,Skills!D24-IF(TRUE=TRUE,Inputs!$B$32,0)))*(1-IF(AND(ArtifactsInput!$M$27,Inputs!$B$4="Chapter Hunt"),CHOOSE(ArtifactsInput!$N$27+1,20,24,28,32,36,40),0)/100)))+1)),0)</f>
        <v/>
      </c>
      <c r="S299" t="n">
        <v>0</v>
      </c>
      <c r="U299" t="n">
        <v>0</v>
      </c>
    </row>
    <row r="302">
      <c r="A302" t="inlineStr">
        <is>
          <t>Average Buff Multiplier (Magic Guard + Meditation + Artifact Attack%, summed; then Infinity)</t>
        </is>
      </c>
      <c r="B302">
        <f>(1+(IF(C278=TRUE,F278*IF(AND(Inputs!$B$38&lt;&gt;"pvp",Inputs!$B$43&gt;0),(((R278-1)*MIN((Skills!S3*(1+(Inputs!$B$34)/100)),(1/Q278))+MIN((Skills!S3*(1+(Inputs!$B$34)/100)),MAX(0,Inputs!$B$43-((R278-1)*(1/Q278)))))/Inputs!$B$43),IF(Inputs!$B$38="pvp",MIN((Skills!S3*(1+(Inputs!$B$34)/100)),15)/15,MIN(1,(Skills!S3*(1+(Inputs!$B$34)/100))/(1/Q278)))),0)+IF(C279=TRUE,F279*IF(AND(Inputs!$B$38&lt;&gt;"pvp",Inputs!$B$43&gt;0),(((R279-1)*MIN((Skills!S4*(1+(Inputs!$B$34)/100)),(1/Q279))+MIN((Skills!S4*(1+(Inputs!$B$34)/100)),MAX(0,Inputs!$B$43-((R279-1)*(1/Q279)))))/Inputs!$B$43),IF(Inputs!$B$38="pvp",MIN((Skills!S4*(1+(Inputs!$B$34)/100)),15)/15,MIN(1,(Skills!S4*(1+(Inputs!$B$34)/100))/(1/Q279)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291=TRUE,(1+F291*IF(AND(Inputs!$B$38&lt;&gt;"pvp",Inputs!$B$43&gt;0),(((R291-1)*MIN((Skills!S16*(1+(Inputs!$B$34)/100)),(1/Q291))+MIN((Skills!S16*(1+(Inputs!$B$34)/100)),MAX(0,Inputs!$B$43-((R291-1)*(1/Q291)))))/Inputs!$B$43),IF(Inputs!$B$38="pvp",MIN((Skills!S16*(1+(Inputs!$B$34)/100)),15)/15,MIN(1,(Skills!S16*(1+(Inputs!$B$34)/100))/(1/Q291))))/100),1)</f>
        <v/>
      </c>
    </row>
    <row r="303">
      <c r="A303" t="inlineStr">
        <is>
          <t>Monster Damage Taken Bonus % (Freezing Breath - Weaken + Elemental Reset + Artifact Enemy Damage Taken, summed)</t>
        </is>
      </c>
      <c r="B303">
        <f>IF(Inputs!$B$3&gt;=118,15*IF(Inputs!$B$38="pvp",MIN((30*(1+(Inputs!$B$34)/100)),15)/15,MIN(1,(30*(1+(Inputs!$B$34)/100))/(1/Q283))),0)+IF(C289=TRUE,F289,0)+(IF(AND(ArtifactsInput!$M$35,Inputs!$B$4&lt;&gt;"Chapter Hunt"),CHOOSE(ArtifactsInput!$N$35+1,15,18,21,24,27,30)*(1-EXP(-(0.2*B306)*5)),0)+IF(AND(ArtifactsInput!$M$22,Inputs!$B$4&lt;&gt;"Chapter Hunt"),CHOOSE(ArtifactsInput!$N$22+1,10,12,14,16,18,20)*((0*(((0.15*B306*5))^0/1)+1*(((0.15*B306*5))^1/1)+2*(((0.15*B306*5))^2/2)+3*(((0.15*B306*5))^3/6)+4*(((0.15*B306*5))^4/24)+5*(((0.15*B306*5))^5/120))/((((0.15*B306*5))^0/1)+(((0.15*B306*5))^1/1)+(((0.15*B306*5))^2/2)+(((0.15*B306*5))^3/6)+(((0.15*B306*5))^4/24)+(((0.15*B306*5))^5/120))),0))</f>
        <v/>
      </c>
    </row>
    <row r="304">
      <c r="A304" t="inlineStr">
        <is>
          <t>Damage % Bonus (Frozen Break + Frost Clutch, flat)</t>
        </is>
      </c>
      <c r="B304">
        <f>IF(Inputs!$B$3&gt;=66,15,0)+IF(Inputs!$B$3&gt;=98,10,0)+IF(Inputs!$B$3&gt;=125,20,0)</f>
        <v/>
      </c>
    </row>
    <row r="305">
      <c r="A305" t="inlineStr">
        <is>
          <t>Attack Speed Bonus % (MP Eater - MP Boost, always-on + Nimble Feet, duty-cycle averaged)</t>
        </is>
      </c>
      <c r="B305">
        <f>IF(C288=TRUE,F288+(F292-Calc!F17),0)+((C299=TRUE)*F299*IF(AND(Inputs!$B$38&lt;&gt;"pvp",Inputs!$B$43&gt;0),(((R299-1)*MIN((Skills!S24*(1+(Inputs!$B$34)/100)),(1/Q299))+MIN((Skills!S24*(1+(Inputs!$B$34)/100)),MAX(0,Inputs!$B$43-((R299-1)*(1/Q299)))))/Inputs!$B$43),IF(Inputs!$B$38="pvp",MIN((Skills!S24*(1+(Inputs!$B$34)/100)),15)/15,MIN(1,(Skills!S24*(1+(Inputs!$B$34)/100))/(1/Q299)))))</f>
        <v/>
      </c>
    </row>
    <row r="306">
      <c r="A306" t="inlineStr">
        <is>
          <t>Actions Per Second</t>
        </is>
      </c>
      <c r="B306">
        <f>1+MIN(150,150*(1-(1-(Inputs!$B$11+(ArtifactsInput!$M$15-ArtifactsInput!$M$15)*CHOOSE(ArtifactsInput!$N$15+1,8,9.6,11.2,12.8,14.4,16))/150)*(1-B305/150)))/100</f>
        <v/>
      </c>
    </row>
    <row r="307">
      <c r="A307" t="inlineStr">
        <is>
          <t>Skill + Buff Cast Rate</t>
        </is>
      </c>
      <c r="B307">
        <f>IF(AND(Inputs!$B$38&lt;&gt;"pvp",Inputs!$B$43&gt;0),SUMPRODUCT((Skills!E2:E24=TRUE)*(C277:C299=TRUE)*R277:R299)/Inputs!$B$43,SUMPRODUCT((Skills!E2:E24=TRUE)*(C277:C299=TRUE)*Q277:Q299))</f>
        <v/>
      </c>
    </row>
    <row r="308">
      <c r="A308" t="inlineStr">
        <is>
          <t>Chain Lightning Casts Per Second</t>
        </is>
      </c>
      <c r="B308">
        <f>MAX(0,B306-B307)</f>
        <v/>
      </c>
    </row>
    <row r="309">
      <c r="A309" t="inlineStr">
        <is>
          <t>Buff-Casting Startup Delay (s, fixed-duration only)</t>
        </is>
      </c>
      <c r="B309">
        <f>IF(AND(Inputs!$B$38&lt;&gt;"pvp",Inputs!$B$43&gt;0),SUMPRODUCT((Skills!S2:S24&gt;0)*(Skills!E2:E24=TRUE)*(C277:C299=TRUE))/B306,0)</f>
        <v/>
      </c>
    </row>
    <row r="310">
      <c r="A310" t="inlineStr">
        <is>
          <t>Boss-Only Total DPS (this block's swept value)</t>
        </is>
      </c>
      <c r="B310">
        <f>SUM(S277:S299)</f>
        <v/>
      </c>
    </row>
    <row r="311">
      <c r="A311" t="inlineStr">
        <is>
          <t>Normal-Only Total DPS (this block's swept value)</t>
        </is>
      </c>
      <c r="B311">
        <f>SUM(U277:U299)</f>
        <v/>
      </c>
    </row>
    <row r="312">
      <c r="A312" s="6" t="inlineStr">
        <is>
          <t>TOTAL DPS</t>
        </is>
      </c>
      <c r="B312" s="6">
        <f>SUM(O277:O299)</f>
        <v/>
      </c>
    </row>
    <row r="313">
      <c r="A313" t="inlineStr">
        <is>
          <t>Blizzard Final Attack trigger rate (this block's own Q/R)</t>
        </is>
      </c>
      <c r="B313">
        <f>IF(AND(Inputs!$B$38&lt;&gt;"pvp",Inputs!$B$43&gt;0),(((C280=TRUE)*R280*1)+((C281=TRUE)*R281*1)+((C283=TRUE)*R283*1)+((C284=TRUE)*R284*3)+((C286=TRUE)*R286*1))/Inputs!$B$43,((C280=TRUE)*Q280*1)+((C281=TRUE)*Q281*1)+((C283=TRUE)*Q283*1)+((C284=TRUE)*Q284*3)+((C286=TRUE)*Q286*1))+B308</f>
        <v/>
      </c>
    </row>
    <row r="316">
      <c r="A316" s="6" t="inlineStr">
        <is>
          <t>Stat: FINAL_DAMAGE % (multiplicative source)</t>
        </is>
      </c>
    </row>
    <row r="317">
      <c r="A317" s="5" t="inlineStr">
        <is>
          <t>Key</t>
        </is>
      </c>
      <c r="B317" s="5" t="inlineStr">
        <is>
          <t>Name</t>
        </is>
      </c>
      <c r="C317" s="5" t="inlineStr">
        <is>
          <t>Unlocked</t>
        </is>
      </c>
      <c r="D317" s="5" t="inlineStr">
        <is>
          <t>InputLevel</t>
        </is>
      </c>
      <c r="E317" s="5" t="inlineStr">
        <is>
          <t>Factor</t>
        </is>
      </c>
      <c r="F317" s="5" t="inlineStr">
        <is>
          <t>CoefficientPercent</t>
        </is>
      </c>
      <c r="G317" s="5" t="inlineStr">
        <is>
          <t>EffectiveHits</t>
        </is>
      </c>
      <c r="H317" s="5" t="inlineStr">
        <is>
          <t>ProcProbability</t>
        </is>
      </c>
      <c r="I317" s="5" t="inlineStr">
        <is>
          <t>MapleHeroMultiplier</t>
        </is>
      </c>
      <c r="J317" s="5" t="inlineStr">
        <is>
          <t>BaseDamage</t>
        </is>
      </c>
      <c r="K317" s="5" t="inlineStr">
        <is>
          <t>BaseHitDamage</t>
        </is>
      </c>
      <c r="L317" s="5" t="inlineStr">
        <is>
          <t>NonCritAvg</t>
        </is>
      </c>
      <c r="M317" s="5" t="inlineStr">
        <is>
          <t>CritAvg</t>
        </is>
      </c>
      <c r="N317" s="5" t="inlineStr">
        <is>
          <t>ExpectedDamage(perHit)</t>
        </is>
      </c>
      <c r="O317" s="5" t="inlineStr">
        <is>
          <t>DPS</t>
        </is>
      </c>
      <c r="P317" s="5" t="inlineStr">
        <is>
          <t>% of Total</t>
        </is>
      </c>
      <c r="R317" t="inlineStr">
        <is>
          <t>helpers</t>
        </is>
      </c>
    </row>
    <row r="318">
      <c r="A318">
        <f>Skills!A2</f>
        <v/>
      </c>
      <c r="B318">
        <f>Skills!B2</f>
        <v/>
      </c>
      <c r="C318">
        <f>Inputs!$B$3&gt;=100</f>
        <v/>
      </c>
      <c r="D318" t="inlineStr"/>
      <c r="E318" t="inlineStr"/>
      <c r="F318">
        <f>T320+Skills!N2</f>
        <v/>
      </c>
      <c r="G318">
        <f>Calc!G2</f>
        <v/>
      </c>
      <c r="H318">
        <f>Calc!H2</f>
        <v/>
      </c>
      <c r="I318">
        <f>IF(Skills!T2&lt;&gt;"",1+(Skills!T2/10)*(Z319/1000)/100,1)</f>
        <v/>
      </c>
      <c r="J318">
        <f>((Inputs!$B$6*(1+Inputs!$B$7/100))+(((Inputs!$B$12*(1+Inputs!$B$13/100))-(Inputs!$B$12*(1+Inputs!$B$13/100)))+0.25*(Inputs!$B$14-Inputs!$B$14))*(1+Inputs!$B$7/100))*(F318/100)</f>
        <v/>
      </c>
      <c r="K318">
        <f>J318*(1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2="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318)</f>
        <v/>
      </c>
      <c r="L318">
        <f>K318*(MIN(Inputs!$B$22+(F334-Calc!F18),(Inputs!$B$23+(IF(ArtifactsInput!$M$15,CHOOSE(ArtifactsInput!$N$15+1,25,30,35,40,45,50)/100*(Inputs!$B$11-Inputs!$B$11),0))))/100+(Inputs!$B$23+(IF(ArtifactsInput!$M$15,CHOOSE(ArtifactsInput!$N$15+1,25,30,35,40,45,50)/100*(Inputs!$B$11-Inputs!$B$11),0)))/100)/2</f>
        <v/>
      </c>
      <c r="M318">
        <f>L318*(1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8">
        <f>L318*(1-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318*(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8">
        <f>(1-Summary!$B$11)*S318+Summary!$B$11*U318</f>
        <v/>
      </c>
      <c r="P318">
        <f>IF(B353=0,0,O318/B353)</f>
        <v/>
      </c>
      <c r="Q318">
        <f>IFERROR(1/(IF(Inputs!$B$38="pvp",15,MAX(0.1,Skills!D2-IF(TRUE=TRUE,Inputs!$B$32,0)))*(1-IF(AND(ArtifactsInput!$M$27,Inputs!$B$4="Chapter Hunt"),CHOOSE(ArtifactsInput!$N$27+1,20,24,28,32,36,40),0)/100)),0)</f>
        <v/>
      </c>
      <c r="R318" t="n">
        <v>0</v>
      </c>
      <c r="S318">
        <f>IF(C318,(Skills!F2*N318*B349)*IF(Inputs!$B$38="pvp",1,1+(Inputs!$B$20+Skills!O2+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318*(1-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318*(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318*(1-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318*(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18">
        <f>MAX(0,(Inputs!$B$3-100)*3)+Inputs!$B$28+Inputs!$B$29</f>
        <v/>
      </c>
      <c r="U318">
        <f>IF(C318,(Skills!F2*N318*B349)*IF(Inputs!$B$38="pvp",1,(1+(Inputs!$B$21+Skills!P2+B344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18">
        <f>MAX(0,(Inputs!$B$3-100)*3)+Inputs!$B$28+Inputs!$B$29</f>
        <v/>
      </c>
    </row>
    <row r="319">
      <c r="A319">
        <f>Skills!A3</f>
        <v/>
      </c>
      <c r="B319">
        <f>Skills!B3</f>
        <v/>
      </c>
      <c r="C319">
        <f>Inputs!$B$3&gt;=15</f>
        <v/>
      </c>
      <c r="D319">
        <f>IF(Skills!C3=1,60+Inputs!$B$25+Inputs!$B$29,IF(Skills!C3=2,90+Inputs!$B$26+Inputs!$B$29,IF(Skills!C3=3,120+Inputs!$B$27+Inputs!$B$29,MAX(0,(Inputs!$B$3-100)*3)+Inputs!$B$28+Inputs!$B$29)))</f>
        <v/>
      </c>
      <c r="E319">
        <f>INDEX(FactorTable!$B$2:$Y$301, MATCH(ROUND(MIN(300,MAX(1,D319)),0), FactorTable!$A$2:$A$301,0), Skills!L3+1)</f>
        <v/>
      </c>
      <c r="F319">
        <f>IF(Skills!M3=TRUE,(Skills!K3/10)*(E319/1000),Skills!K3/10)+Skills!N3</f>
        <v/>
      </c>
      <c r="G319">
        <f>Calc!G3</f>
        <v/>
      </c>
      <c r="H319">
        <f>Calc!H3</f>
        <v/>
      </c>
      <c r="I319">
        <f>IF(Skills!T3&lt;&gt;"",1+(Skills!T3/10)*(Z319/1000)/100,1)</f>
        <v/>
      </c>
      <c r="J319" t="inlineStr"/>
      <c r="K319" t="inlineStr"/>
      <c r="L319" t="inlineStr"/>
      <c r="M319" t="inlineStr"/>
      <c r="N319" t="inlineStr"/>
      <c r="O319">
        <f>(1-Summary!$B$11)*S319+Summary!$B$11*U319</f>
        <v/>
      </c>
      <c r="P319">
        <f>IF(B353=0,0,O319/B353)</f>
        <v/>
      </c>
      <c r="Q319">
        <f>IFERROR(1/(IF(Inputs!$B$38="pvp",15,MAX(0.1,Skills!D3-IF(TRUE=TRUE,Inputs!$B$32,0)))*(1-IF(AND(ArtifactsInput!$M$27,Inputs!$B$4="Chapter Hunt"),CHOOSE(ArtifactsInput!$N$27+1,20,24,28,32,36,40),0)/100)),0)</f>
        <v/>
      </c>
      <c r="R319">
        <f>IF(AND(Inputs!$B$38&lt;&gt;"pvp",Inputs!$B$43&gt;0),IF(Inputs!$B$43&lt;=0,0,(INT(Inputs!$B$43/(IF(Inputs!$B$38="pvp",15,MAX(0.1,Skills!D3-IF(TRUE=TRUE,Inputs!$B$32,0)))*(1-IF(AND(ArtifactsInput!$M$27,Inputs!$B$4="Chapter Hunt"),CHOOSE(ArtifactsInput!$N$27+1,20,24,28,32,36,40),0)/100)))+1)),0)</f>
        <v/>
      </c>
      <c r="S319" t="n">
        <v>0</v>
      </c>
      <c r="T319">
        <f>INDEX(FactorTable!$B$2:$Y$301, MATCH(ROUND(MIN(300,MAX(1,T318)),0), FactorTable!$A$2:$A$301,0), 22)</f>
        <v/>
      </c>
      <c r="U319" t="n">
        <v>0</v>
      </c>
      <c r="Z319">
        <f>INDEX(FactorTable!$B$2:$Y$301, MATCH(ROUND(MIN(300,MAX(1,Z318)),0), FactorTable!$A$2:$A$301,0), 24)</f>
        <v/>
      </c>
    </row>
    <row r="320">
      <c r="A320">
        <f>Skills!A4</f>
        <v/>
      </c>
      <c r="B320">
        <f>Skills!B4</f>
        <v/>
      </c>
      <c r="C320">
        <f>Inputs!$B$3&gt;=40</f>
        <v/>
      </c>
      <c r="D320">
        <f>IF(Skills!C4=1,60+Inputs!$B$25+Inputs!$B$29,IF(Skills!C4=2,90+Inputs!$B$26+Inputs!$B$29,IF(Skills!C4=3,120+Inputs!$B$27+Inputs!$B$29,MAX(0,(Inputs!$B$3-100)*3)+Inputs!$B$28+Inputs!$B$29)))</f>
        <v/>
      </c>
      <c r="E320">
        <f>INDEX(FactorTable!$B$2:$Y$301, MATCH(ROUND(MIN(300,MAX(1,D320)),0), FactorTable!$A$2:$A$301,0), Skills!L4+1)</f>
        <v/>
      </c>
      <c r="F320">
        <f>IF(Skills!M4=TRUE,(Skills!K4/10)*(E320/1000),Skills!K4/10)+Skills!N4</f>
        <v/>
      </c>
      <c r="G320">
        <f>Calc!G4</f>
        <v/>
      </c>
      <c r="H320">
        <f>Calc!H4</f>
        <v/>
      </c>
      <c r="I320">
        <f>IF(Skills!T4&lt;&gt;"",1+(Skills!T4/10)*(Z319/1000)/100,1)</f>
        <v/>
      </c>
      <c r="J320" t="inlineStr"/>
      <c r="K320" t="inlineStr"/>
      <c r="L320" t="inlineStr"/>
      <c r="M320" t="inlineStr"/>
      <c r="N320" t="inlineStr"/>
      <c r="O320">
        <f>(1-Summary!$B$11)*S320+Summary!$B$11*U320</f>
        <v/>
      </c>
      <c r="P320">
        <f>IF(B353=0,0,O320/B353)</f>
        <v/>
      </c>
      <c r="Q320">
        <f>IFERROR(1/(IF(Inputs!$B$38="pvp",15,MAX(0.1,Skills!D4-IF(TRUE=TRUE,Inputs!$B$32,0)))*(1-IF(AND(ArtifactsInput!$M$27,Inputs!$B$4="Chapter Hunt"),CHOOSE(ArtifactsInput!$N$27+1,20,24,28,32,36,40),0)/100)),0)</f>
        <v/>
      </c>
      <c r="R320">
        <f>IF(AND(Inputs!$B$38&lt;&gt;"pvp",Inputs!$B$43&gt;0),IF(Inputs!$B$43&lt;=0,0,(INT(Inputs!$B$43/(IF(Inputs!$B$38="pvp",15,MAX(0.1,Skills!D4-IF(TRUE=TRUE,Inputs!$B$32,0)))*(1-IF(AND(ArtifactsInput!$M$27,Inputs!$B$4="Chapter Hunt"),CHOOSE(ArtifactsInput!$N$27+1,20,24,28,32,36,40),0)/100)))+1)),0)</f>
        <v/>
      </c>
      <c r="S320" t="n">
        <v>0</v>
      </c>
      <c r="T320">
        <f>290*T319/1000</f>
        <v/>
      </c>
      <c r="U320" t="n">
        <v>0</v>
      </c>
    </row>
    <row r="321">
      <c r="A321">
        <f>Skills!A5</f>
        <v/>
      </c>
      <c r="B321">
        <f>Skills!B5</f>
        <v/>
      </c>
      <c r="C321">
        <f>Inputs!$B$3&gt;=38</f>
        <v/>
      </c>
      <c r="D321">
        <f>IF(Skills!C5=1,60+Inputs!$B$25+Inputs!$B$29,IF(Skills!C5=2,90+Inputs!$B$26+Inputs!$B$29,IF(Skills!C5=3,120+Inputs!$B$27+Inputs!$B$29,MAX(0,(Inputs!$B$3-100)*3)+Inputs!$B$28+Inputs!$B$29)))</f>
        <v/>
      </c>
      <c r="E321">
        <f>INDEX(FactorTable!$B$2:$Y$301, MATCH(ROUND(MIN(300,MAX(1,D321)),0), FactorTable!$A$2:$A$301,0), Skills!L5+1)</f>
        <v/>
      </c>
      <c r="F321">
        <f>IF(Skills!M5=TRUE,(Skills!K5/10)*(E321/1000),Skills!K5/10)+Skills!N5</f>
        <v/>
      </c>
      <c r="G321">
        <f>Calc!G5</f>
        <v/>
      </c>
      <c r="H321">
        <f>Calc!H5</f>
        <v/>
      </c>
      <c r="I321">
        <f>IF(Skills!T5&lt;&gt;"",1+(Skills!T5/10)*(Z319/1000)/100,1)</f>
        <v/>
      </c>
      <c r="J321">
        <f>((Inputs!$B$6*(1+Inputs!$B$7/100))+(((Inputs!$B$12*(1+Inputs!$B$13/100))-(Inputs!$B$12*(1+Inputs!$B$13/100)))+0.25*(Inputs!$B$14-Inputs!$B$14))*(1+Inputs!$B$7/100))*(F321/100)</f>
        <v/>
      </c>
      <c r="K321">
        <f>J321*(1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5="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321)</f>
        <v/>
      </c>
      <c r="L321">
        <f>K321*(MIN(Inputs!$B$22+(F334-Calc!F18),(Inputs!$B$23+(IF(ArtifactsInput!$M$15,CHOOSE(ArtifactsInput!$N$15+1,25,30,35,40,45,50)/100*(Inputs!$B$11-Inputs!$B$11),0))))/100+(Inputs!$B$23+(IF(ArtifactsInput!$M$15,CHOOSE(ArtifactsInput!$N$15+1,25,30,35,40,45,50)/100*(Inputs!$B$11-Inputs!$B$11),0)))/100)/2</f>
        <v/>
      </c>
      <c r="M321">
        <f>L321*(1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1">
        <f>L321*(1-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1">
        <f>(1-Summary!$B$11)*S321+Summary!$B$11*U321</f>
        <v/>
      </c>
      <c r="P321">
        <f>IF(B353=0,0,O321/B353)</f>
        <v/>
      </c>
      <c r="Q321">
        <f>IFERROR(1/(IF(Inputs!$B$38="pvp",15,MAX(0.1,Skills!D5-IF(TRUE=TRUE,Inputs!$B$32,0)))*(1-IF(AND(ArtifactsInput!$M$27,Inputs!$B$4="Chapter Hunt"),CHOOSE(ArtifactsInput!$N$27+1,20,24,28,32,36,40),0)/100)),0)</f>
        <v/>
      </c>
      <c r="R321">
        <f>IF(AND(Inputs!$B$38&lt;&gt;"pvp",Inputs!$B$43&gt;0),IF(MAX(0,Inputs!$B$43-B350)&lt;=0,0,(INT(MAX(0,Inputs!$B$43-B350)/(IF(Inputs!$B$38="pvp",15,MAX(0.1,Skills!D5-IF(TRUE=TRUE,Inputs!$B$32,0)))*(1-IF(AND(ArtifactsInput!$M$27,Inputs!$B$4="Chapter Hunt"),CHOOSE(ArtifactsInput!$N$27+1,20,24,28,32,36,40),0)/100)))+1)),0)</f>
        <v/>
      </c>
      <c r="S321">
        <f>IF(C321,(H321*N321*IF(AND(Inputs!$B$38&lt;&gt;"pvp",Inputs!$B$43&gt;0),((Skills!F5*((R321-1)*IF(Skills!G5&gt;0,Skills!H5/Skills!G5,1)+IF(Skills!G5&gt;0,MIN(Skills!H5,MAX(0,MAX(0,Inputs!$B$43-B350)-((R321-1)*(IF(Inputs!$B$38="pvp",15,MAX(0.1,Skills!D5-IF(TRUE=TRUE,Inputs!$B$32,0)))*(1-IF(AND(ArtifactsInput!$M$27,Inputs!$B$4="Chapter Hunt"),CHOOSE(ArtifactsInput!$N$27+1,20,24,28,32,36,40),0)/100)))))/Skills!G5,1)))/Inputs!$B$43),G321*Q321))*IF(Inputs!$B$38="pvp",1,1+(Inputs!$B$20+Skills!O5+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321*(1-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321*(1-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1">
        <f>IF(C321,(H321*N321*IF(AND(Inputs!$B$38&lt;&gt;"pvp",Inputs!$B$43&gt;0),((Skills!F5*((R321-1)*IF(Skills!G5&gt;0,Skills!H5/Skills!G5,1)+IF(Skills!G5&gt;0,MIN(Skills!H5,MAX(0,MAX(0,Inputs!$B$43-B350)-((R321-1)*(IF(Inputs!$B$38="pvp",15,MAX(0.1,Skills!D5-IF(TRUE=TRUE,Inputs!$B$32,0)))*(1-IF(AND(ArtifactsInput!$M$27,Inputs!$B$4="Chapter Hunt"),CHOOSE(ArtifactsInput!$N$27+1,20,24,28,32,36,40),0)/100)))))/Skills!G5,1)))/Inputs!$B$43),G321*Q321))*IF(Inputs!$B$38="pvp",1,(1+(Inputs!$B$21+Skills!P5+B344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2">
      <c r="A322">
        <f>Skills!A6</f>
        <v/>
      </c>
      <c r="B322">
        <f>Skills!B6</f>
        <v/>
      </c>
      <c r="C322">
        <f>Inputs!$B$3&gt;=63</f>
        <v/>
      </c>
      <c r="D322">
        <f>IF(Skills!C6=1,60+Inputs!$B$25+Inputs!$B$29,IF(Skills!C6=2,90+Inputs!$B$26+Inputs!$B$29,IF(Skills!C6=3,120+Inputs!$B$27+Inputs!$B$29,MAX(0,(Inputs!$B$3-100)*3)+Inputs!$B$28+Inputs!$B$29)))</f>
        <v/>
      </c>
      <c r="E322">
        <f>INDEX(FactorTable!$B$2:$Y$301, MATCH(ROUND(MIN(300,MAX(1,D322)),0), FactorTable!$A$2:$A$301,0), Skills!L6+1)</f>
        <v/>
      </c>
      <c r="F322">
        <f>IF(Skills!M6=TRUE,(Skills!K6/10)*(E322/1000),Skills!K6/10)+Skills!N6</f>
        <v/>
      </c>
      <c r="G322">
        <f>Calc!G6</f>
        <v/>
      </c>
      <c r="H322">
        <f>Calc!H6</f>
        <v/>
      </c>
      <c r="I322">
        <f>IF(Skills!T6&lt;&gt;"",1+(Skills!T6/10)*(Z319/1000)/100,1)</f>
        <v/>
      </c>
      <c r="J322">
        <f>((Inputs!$B$6*(1+Inputs!$B$7/100))+(((Inputs!$B$12*(1+Inputs!$B$13/100))-(Inputs!$B$12*(1+Inputs!$B$13/100)))+0.25*(Inputs!$B$14-Inputs!$B$14))*(1+Inputs!$B$7/100))*(F322/100)</f>
        <v/>
      </c>
      <c r="K322">
        <f>J322*(1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6="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322)</f>
        <v/>
      </c>
      <c r="L322">
        <f>K322*(MIN(Inputs!$B$22+(F334-Calc!F18),(Inputs!$B$23+(IF(ArtifactsInput!$M$15,CHOOSE(ArtifactsInput!$N$15+1,25,30,35,40,45,50)/100*(Inputs!$B$11-Inputs!$B$11),0))))/100+(Inputs!$B$23+(IF(ArtifactsInput!$M$15,CHOOSE(ArtifactsInput!$N$15+1,25,30,35,40,45,50)/100*(Inputs!$B$11-Inputs!$B$11),0)))/100)/2</f>
        <v/>
      </c>
      <c r="M322">
        <f>L322*(1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2">
        <f>L322*(1-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322*(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2">
        <f>(1-Summary!$B$11)*S322+Summary!$B$11*U322</f>
        <v/>
      </c>
      <c r="P322">
        <f>IF(B353=0,0,O322/B353)</f>
        <v/>
      </c>
      <c r="Q322">
        <f>IFERROR(1/(IF(Inputs!$B$38="pvp",15,MAX(0.1,Skills!D6-IF(TRUE=TRUE,Inputs!$B$32,0)))*(1-IF(AND(ArtifactsInput!$M$27,Inputs!$B$4="Chapter Hunt"),CHOOSE(ArtifactsInput!$N$27+1,20,24,28,32,36,40),0)/100)),0)</f>
        <v/>
      </c>
      <c r="R322">
        <f>IF(AND(Inputs!$B$38&lt;&gt;"pvp",Inputs!$B$43&gt;0),IF(MAX(0,Inputs!$B$43-B350)&lt;=0,0,(INT(MAX(0,Inputs!$B$43-B350)/(IF(Inputs!$B$38="pvp",15,MAX(0.1,Skills!D6-IF(TRUE=TRUE,Inputs!$B$32,0)))*(1-IF(AND(ArtifactsInput!$M$27,Inputs!$B$4="Chapter Hunt"),CHOOSE(ArtifactsInput!$N$27+1,20,24,28,32,36,40),0)/100)))+1)),0)</f>
        <v/>
      </c>
      <c r="S322">
        <f>IF(C322,(H322*N322*IF(AND(Inputs!$B$38&lt;&gt;"pvp",Inputs!$B$43&gt;0),((Skills!F6*((R322-1)*IF(Skills!G6&gt;0,Skills!H6/Skills!G6,1)+IF(Skills!G6&gt;0,MIN(Skills!H6,MAX(0,MAX(0,Inputs!$B$43-B350)-((R322-1)*(IF(Inputs!$B$38="pvp",15,MAX(0.1,Skills!D6-IF(TRUE=TRUE,Inputs!$B$32,0)))*(1-IF(AND(ArtifactsInput!$M$27,Inputs!$B$4="Chapter Hunt"),CHOOSE(ArtifactsInput!$N$27+1,20,24,28,32,36,40),0)/100)))))/Skills!G6,1)))/Inputs!$B$43),G322*Q322))*IF(Inputs!$B$38="pvp",1,1+(Inputs!$B$20+Skills!O6+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322*(1-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322*(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322*(1-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322*(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2">
        <f>IF(C322,(H322*N322*IF(AND(Inputs!$B$38&lt;&gt;"pvp",Inputs!$B$43&gt;0),((Skills!F6*((R322-1)*IF(Skills!G6&gt;0,Skills!H6/Skills!G6,1)+IF(Skills!G6&gt;0,MIN(Skills!H6,MAX(0,MAX(0,Inputs!$B$43-B350)-((R322-1)*(IF(Inputs!$B$38="pvp",15,MAX(0.1,Skills!D6-IF(TRUE=TRUE,Inputs!$B$32,0)))*(1-IF(AND(ArtifactsInput!$M$27,Inputs!$B$4="Chapter Hunt"),CHOOSE(ArtifactsInput!$N$27+1,20,24,28,32,36,40),0)/100)))))/Skills!G6,1)))/Inputs!$B$43),G322*Q322))*IF(Inputs!$B$38="pvp",1,(1+(Inputs!$B$21+Skills!P6+B344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
      <c r="A323">
        <f>Skills!A7</f>
        <v/>
      </c>
      <c r="B323">
        <f>Skills!B7</f>
        <v/>
      </c>
      <c r="C323">
        <f>Inputs!$B$3&gt;=69</f>
        <v/>
      </c>
      <c r="D323">
        <f>IF(Skills!C7=1,60+Inputs!$B$25+Inputs!$B$29,IF(Skills!C7=2,90+Inputs!$B$26+Inputs!$B$29,IF(Skills!C7=3,120+Inputs!$B$27+Inputs!$B$29,MAX(0,(Inputs!$B$3-100)*3)+Inputs!$B$28+Inputs!$B$29)))</f>
        <v/>
      </c>
      <c r="E323">
        <f>INDEX(FactorTable!$B$2:$Y$301, MATCH(ROUND(MIN(300,MAX(1,D323)),0), FactorTable!$A$2:$A$301,0), Skills!L7+1)</f>
        <v/>
      </c>
      <c r="F323">
        <f>IF(Skills!M7=TRUE,(Skills!K7/10)*(E323/1000),Skills!K7/10)+Skills!N7</f>
        <v/>
      </c>
      <c r="G323">
        <f>Calc!G7</f>
        <v/>
      </c>
      <c r="H323">
        <f>Calc!H7</f>
        <v/>
      </c>
      <c r="I323">
        <f>IF(Skills!T7&lt;&gt;"",1+(Skills!T7/10)*(Z319/1000)/100,1)</f>
        <v/>
      </c>
      <c r="J323">
        <f>((Inputs!$B$6*(1+Inputs!$B$7/100))+(((Inputs!$B$12*(1+Inputs!$B$13/100))-(Inputs!$B$12*(1+Inputs!$B$13/100)))+0.25*(Inputs!$B$14-Inputs!$B$14))*(1+Inputs!$B$7/100))*(F323/100)</f>
        <v/>
      </c>
      <c r="K323">
        <f>J323*(1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7="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f>
        <v/>
      </c>
      <c r="L323">
        <f>K323*(MIN(Inputs!$B$22+(F334-Calc!F18),(Inputs!$B$23+(IF(ArtifactsInput!$M$15,CHOOSE(ArtifactsInput!$N$15+1,25,30,35,40,45,50)/100*(Inputs!$B$11-Inputs!$B$11),0))))/100+(Inputs!$B$23+(IF(ArtifactsInput!$M$15,CHOOSE(ArtifactsInput!$N$15+1,25,30,35,40,45,50)/100*(Inputs!$B$11-Inputs!$B$11),0)))/100)/2</f>
        <v/>
      </c>
      <c r="M323">
        <f>L323*(1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
        <f>L323*(1-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
        <f>(1-Summary!$B$11)*S323+Summary!$B$11*U323</f>
        <v/>
      </c>
      <c r="P323">
        <f>IF(B353=0,0,O323/B353)</f>
        <v/>
      </c>
      <c r="Q323">
        <f>IFERROR(1/(IF(Inputs!$B$38="pvp",15,MAX(0.1,Skills!D7-IF(TRUE=TRUE,Inputs!$B$32,0)))*(1-IF(AND(ArtifactsInput!$M$27,Inputs!$B$4="Chapter Hunt"),CHOOSE(ArtifactsInput!$N$27+1,20,24,28,32,36,40),0)/100)),0)</f>
        <v/>
      </c>
      <c r="R323">
        <f>IF(AND(Inputs!$B$38&lt;&gt;"pvp",Inputs!$B$43&gt;0),IF(MAX(0,Inputs!$B$43-B350)&lt;=0,0,(INT(MAX(0,Inputs!$B$43-B350)/(IF(Inputs!$B$38="pvp",15,MAX(0.1,Skills!D7-IF(TRUE=TRUE,Inputs!$B$32,0)))*(1-IF(AND(ArtifactsInput!$M$27,Inputs!$B$4="Chapter Hunt"),CHOOSE(ArtifactsInput!$N$27+1,20,24,28,32,36,40),0)/100)))+1)),0)</f>
        <v/>
      </c>
      <c r="S323">
        <f>IF(C323,(H323*N323*IF(AND(Inputs!$B$38&lt;&gt;"pvp",Inputs!$B$43&gt;0),((Skills!F7*((R323-1)*IF(Skills!G7&gt;0,Skills!H7/Skills!G7,1)+IF(Skills!G7&gt;0,MIN(Skills!H7,MAX(0,MAX(0,Inputs!$B$43-B350)-((R323-1)*(IF(Inputs!$B$38="pvp",15,MAX(0.1,Skills!D7-IF(TRUE=TRUE,Inputs!$B$32,0)))*(1-IF(AND(ArtifactsInput!$M$27,Inputs!$B$4="Chapter Hunt"),CHOOSE(ArtifactsInput!$N$27+1,20,24,28,32,36,40),0)/100)))))/Skills!G7,1)))/Inputs!$B$43),G323*Q323))*IF(Inputs!$B$38="pvp",1,1+(Inputs!$B$20+Skills!O7+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323*(1-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
        <f>IF(C323,(H323*N323*IF(AND(Inputs!$B$38&lt;&gt;"pvp",Inputs!$B$43&gt;0),((Skills!F7*((R323-1)*IF(Skills!G7&gt;0,Skills!H7/Skills!G7,1)+IF(Skills!G7&gt;0,MIN(Skills!H7,MAX(0,MAX(0,Inputs!$B$43-B350)-((R323-1)*(IF(Inputs!$B$38="pvp",15,MAX(0.1,Skills!D7-IF(TRUE=TRUE,Inputs!$B$32,0)))*(1-IF(AND(ArtifactsInput!$M$27,Inputs!$B$4="Chapter Hunt"),CHOOSE(ArtifactsInput!$N$27+1,20,24,28,32,36,40),0)/100)))))/Skills!G7,1)))/Inputs!$B$43),G323*Q323))*IF(Inputs!$B$38="pvp",1,(1+(Inputs!$B$21+Skills!P7+B344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
      <c r="A324">
        <f>Skills!A8</f>
        <v/>
      </c>
      <c r="B324">
        <f>Skills!B8</f>
        <v/>
      </c>
      <c r="C324">
        <f>Inputs!$B$3&gt;=103</f>
        <v/>
      </c>
      <c r="D324">
        <f>IF(Skills!C8=1,60+Inputs!$B$25+Inputs!$B$29,IF(Skills!C8=2,90+Inputs!$B$26+Inputs!$B$29,IF(Skills!C8=3,120+Inputs!$B$27+Inputs!$B$29,MAX(0,(Inputs!$B$3-100)*3)+Inputs!$B$28+Inputs!$B$29)))</f>
        <v/>
      </c>
      <c r="E324">
        <f>INDEX(FactorTable!$B$2:$Y$301, MATCH(ROUND(MIN(300,MAX(1,D324)),0), FactorTable!$A$2:$A$301,0), Skills!L8+1)</f>
        <v/>
      </c>
      <c r="F324">
        <f>IF(Skills!M8=TRUE,(Skills!K8/10)*(E324/1000),Skills!K8/10)+Skills!N8</f>
        <v/>
      </c>
      <c r="G324">
        <f>Calc!G8</f>
        <v/>
      </c>
      <c r="H324">
        <f>Calc!H8</f>
        <v/>
      </c>
      <c r="I324">
        <f>IF(Skills!T8&lt;&gt;"",1+(Skills!T8/10)*(Z319/1000)/100,1)</f>
        <v/>
      </c>
      <c r="J324">
        <f>((Inputs!$B$6*(1+Inputs!$B$7/100))+(((Inputs!$B$12*(1+Inputs!$B$13/100))-(Inputs!$B$12*(1+Inputs!$B$13/100)))+0.25*(Inputs!$B$14-Inputs!$B$14))*(1+Inputs!$B$7/100))*(F324/100)</f>
        <v/>
      </c>
      <c r="K324">
        <f>J324*(1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8="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f>
        <v/>
      </c>
      <c r="L324">
        <f>K324*(MIN(Inputs!$B$22+(F334-Calc!F18),(Inputs!$B$23+(IF(ArtifactsInput!$M$15,CHOOSE(ArtifactsInput!$N$15+1,25,30,35,40,45,50)/100*(Inputs!$B$11-Inputs!$B$11),0))))/100+(Inputs!$B$23+(IF(ArtifactsInput!$M$15,CHOOSE(ArtifactsInput!$N$15+1,25,30,35,40,45,50)/100*(Inputs!$B$11-Inputs!$B$11),0)))/100)/2</f>
        <v/>
      </c>
      <c r="M324">
        <f>L324*(1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
        <f>L324*(1-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
        <f>(1-Summary!$B$11)*S324+Summary!$B$11*U324</f>
        <v/>
      </c>
      <c r="P324">
        <f>IF(B353=0,0,O324/B353)</f>
        <v/>
      </c>
      <c r="Q324">
        <f>IFERROR(1/(IF(Inputs!$B$38="pvp",15,MAX(0.1,Skills!D8-IF(TRUE=TRUE,Inputs!$B$32,0)))*(1-IF(AND(ArtifactsInput!$M$27,Inputs!$B$4="Chapter Hunt"),CHOOSE(ArtifactsInput!$N$27+1,20,24,28,32,36,40),0)/100)),0)</f>
        <v/>
      </c>
      <c r="R324">
        <f>IF(AND(Inputs!$B$38&lt;&gt;"pvp",Inputs!$B$43&gt;0),IF(MAX(0,Inputs!$B$43-B350)&lt;=0,0,(INT(MAX(0,Inputs!$B$43-B350)/(IF(Inputs!$B$38="pvp",15,MAX(0.1,Skills!D8-IF(TRUE=TRUE,Inputs!$B$32,0)))*(1-IF(AND(ArtifactsInput!$M$27,Inputs!$B$4="Chapter Hunt"),CHOOSE(ArtifactsInput!$N$27+1,20,24,28,32,36,40),0)/100)))+1)),0)</f>
        <v/>
      </c>
      <c r="S324">
        <f>IF(C324,(H324*N324*IF(AND(Inputs!$B$38&lt;&gt;"pvp",Inputs!$B$43&gt;0),((Skills!F8*((R324-1)*IF(Skills!G8&gt;0,Skills!H8/Skills!G8,1)+IF(Skills!G8&gt;0,MIN(Skills!H8,MAX(0,MAX(0,Inputs!$B$43-B350)-((R324-1)*(IF(Inputs!$B$38="pvp",15,MAX(0.1,Skills!D8-IF(TRUE=TRUE,Inputs!$B$32,0)))*(1-IF(AND(ArtifactsInput!$M$27,Inputs!$B$4="Chapter Hunt"),CHOOSE(ArtifactsInput!$N$27+1,20,24,28,32,36,40),0)/100)))))/Skills!G8,1)))/Inputs!$B$43),G324*Q324))*IF(Inputs!$B$38="pvp",1,1+(Inputs!$B$20+Skills!O8+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324*(1-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4">
        <f>IF(C324,(H324*N324*IF(AND(Inputs!$B$38&lt;&gt;"pvp",Inputs!$B$43&gt;0),((Skills!F8*((R324-1)*IF(Skills!G8&gt;0,Skills!H8/Skills!G8,1)+IF(Skills!G8&gt;0,MIN(Skills!H8,MAX(0,MAX(0,Inputs!$B$43-B350)-((R324-1)*(IF(Inputs!$B$38="pvp",15,MAX(0.1,Skills!D8-IF(TRUE=TRUE,Inputs!$B$32,0)))*(1-IF(AND(ArtifactsInput!$M$27,Inputs!$B$4="Chapter Hunt"),CHOOSE(ArtifactsInput!$N$27+1,20,24,28,32,36,40),0)/100)))))/Skills!G8,1)))/Inputs!$B$43),G324*Q324))*IF(Inputs!$B$38="pvp",1,(1+(Inputs!$B$21+Skills!P8+B344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5">
      <c r="A325">
        <f>Skills!A9</f>
        <v/>
      </c>
      <c r="B325">
        <f>Skills!B9</f>
        <v/>
      </c>
      <c r="C325">
        <f>Inputs!$B$3&gt;=105</f>
        <v/>
      </c>
      <c r="D325">
        <f>IF(Skills!C9=1,60+Inputs!$B$25+Inputs!$B$29,IF(Skills!C9=2,90+Inputs!$B$26+Inputs!$B$29,IF(Skills!C9=3,120+Inputs!$B$27+Inputs!$B$29,MAX(0,(Inputs!$B$3-100)*3)+Inputs!$B$28+Inputs!$B$29)))</f>
        <v/>
      </c>
      <c r="E325">
        <f>INDEX(FactorTable!$B$2:$Y$301, MATCH(ROUND(MIN(300,MAX(1,D325)),0), FactorTable!$A$2:$A$301,0), Skills!L9+1)</f>
        <v/>
      </c>
      <c r="F325">
        <f>IF(Skills!M9=TRUE,(Skills!K9/10)*(E325/1000),Skills!K9/10)+Skills!N9</f>
        <v/>
      </c>
      <c r="G325">
        <f>Calc!G9</f>
        <v/>
      </c>
      <c r="H325">
        <f>Calc!H9</f>
        <v/>
      </c>
      <c r="I325">
        <f>IF(Skills!T9&lt;&gt;"",1+(Skills!T9/10)*(Z319/1000)/100,1)</f>
        <v/>
      </c>
      <c r="J325">
        <f>((Inputs!$B$6*(1+Inputs!$B$7/100))+(((Inputs!$B$12*(1+Inputs!$B$13/100))-(Inputs!$B$12*(1+Inputs!$B$13/100)))+0.25*(Inputs!$B$14-Inputs!$B$14))*(1+Inputs!$B$7/100))*(F325/100)</f>
        <v/>
      </c>
      <c r="K325">
        <f>J325*(1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9="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325)</f>
        <v/>
      </c>
      <c r="L325">
        <f>K325*(MIN(Inputs!$B$22+(F334-Calc!F18),(Inputs!$B$23+(IF(ArtifactsInput!$M$15,CHOOSE(ArtifactsInput!$N$15+1,25,30,35,40,45,50)/100*(Inputs!$B$11-Inputs!$B$11),0))))/100+(Inputs!$B$23+(IF(ArtifactsInput!$M$15,CHOOSE(ArtifactsInput!$N$15+1,25,30,35,40,45,50)/100*(Inputs!$B$11-Inputs!$B$11),0)))/100)/2</f>
        <v/>
      </c>
      <c r="M325">
        <f>L325*(1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5">
        <f>L325*(1-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325*(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5">
        <f>(1-Summary!$B$11)*S325+Summary!$B$11*U325</f>
        <v/>
      </c>
      <c r="P325">
        <f>IF(B353=0,0,O325/B353)</f>
        <v/>
      </c>
      <c r="Q325">
        <f>IFERROR(1/(IF(Inputs!$B$38="pvp",15,MAX(0.1,Skills!D9-IF(TRUE=TRUE,Inputs!$B$32,0)))*(1-IF(AND(ArtifactsInput!$M$27,Inputs!$B$4="Chapter Hunt"),CHOOSE(ArtifactsInput!$N$27+1,20,24,28,32,36,40),0)/100)),0)</f>
        <v/>
      </c>
      <c r="R325">
        <f>IF(AND(Inputs!$B$38&lt;&gt;"pvp",Inputs!$B$43&gt;0),IF(MAX(0,Inputs!$B$43-B350)&lt;=0,0,(INT(MAX(0,Inputs!$B$43-B350)/(IF(Inputs!$B$38="pvp",15,MAX(0.1,Skills!D9-IF(TRUE=TRUE,Inputs!$B$32,0)))*(1-IF(AND(ArtifactsInput!$M$27,Inputs!$B$4="Chapter Hunt"),CHOOSE(ArtifactsInput!$N$27+1,20,24,28,32,36,40),0)/100)))+1)),0)</f>
        <v/>
      </c>
      <c r="S325">
        <f>IF(C325,(H325*N325*IF(AND(Inputs!$B$38&lt;&gt;"pvp",Inputs!$B$43&gt;0),((Skills!F9*((R325-1)*IF(Skills!G9&gt;0,Skills!H9/Skills!G9,1)+IF(Skills!G9&gt;0,MIN(Skills!H9,MAX(0,MAX(0,Inputs!$B$43-B350)-((R325-1)*(IF(Inputs!$B$38="pvp",15,MAX(0.1,Skills!D9-IF(TRUE=TRUE,Inputs!$B$32,0)))*(1-IF(AND(ArtifactsInput!$M$27,Inputs!$B$4="Chapter Hunt"),CHOOSE(ArtifactsInput!$N$27+1,20,24,28,32,36,40),0)/100)))))/Skills!G9,1)))/Inputs!$B$43),G325*Q325))*IF(Inputs!$B$38="pvp",1,1+(Inputs!$B$20+Skills!O9+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325*(1-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325*(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325*(1-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325*(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5">
        <f>IF(C325,(H325*N325*IF(AND(Inputs!$B$38&lt;&gt;"pvp",Inputs!$B$43&gt;0),((Skills!F9*((R325-1)*IF(Skills!G9&gt;0,Skills!H9/Skills!G9,1)+IF(Skills!G9&gt;0,MIN(Skills!H9,MAX(0,MAX(0,Inputs!$B$43-B350)-((R325-1)*(IF(Inputs!$B$38="pvp",15,MAX(0.1,Skills!D9-IF(TRUE=TRUE,Inputs!$B$32,0)))*(1-IF(AND(ArtifactsInput!$M$27,Inputs!$B$4="Chapter Hunt"),CHOOSE(ArtifactsInput!$N$27+1,20,24,28,32,36,40),0)/100)))))/Skills!G9,1)))/Inputs!$B$43),G325*Q325))*IF(Inputs!$B$38="pvp",1,(1+(Inputs!$B$21+Skills!P9+B344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6">
      <c r="A326">
        <f>Skills!A10</f>
        <v/>
      </c>
      <c r="B326">
        <f>Skills!B10</f>
        <v/>
      </c>
      <c r="C326">
        <f>Inputs!$B$3&gt;=113</f>
        <v/>
      </c>
      <c r="D326">
        <f>IF(Skills!C10=1,60+Inputs!$B$25+Inputs!$B$29,IF(Skills!C10=2,90+Inputs!$B$26+Inputs!$B$29,IF(Skills!C10=3,120+Inputs!$B$27+Inputs!$B$29,MAX(0,(Inputs!$B$3-100)*3)+Inputs!$B$28+Inputs!$B$29)))</f>
        <v/>
      </c>
      <c r="E326">
        <f>INDEX(FactorTable!$B$2:$Y$301, MATCH(ROUND(MIN(300,MAX(1,D326)),0), FactorTable!$A$2:$A$301,0), Skills!L10+1)</f>
        <v/>
      </c>
      <c r="F326">
        <f>IF(Skills!M10=TRUE,(Skills!K10/10)*(E326/1000),Skills!K10/10)+Skills!N10</f>
        <v/>
      </c>
      <c r="G326">
        <f>Calc!G10</f>
        <v/>
      </c>
      <c r="H326">
        <f>Calc!H10</f>
        <v/>
      </c>
      <c r="I326">
        <f>IF(Skills!T10&lt;&gt;"",1+(Skills!T10/10)*(Z319/1000)/100,1)</f>
        <v/>
      </c>
      <c r="J326">
        <f>((Inputs!$B$6*(1+Inputs!$B$7/100))+(((Inputs!$B$12*(1+Inputs!$B$13/100))-(Inputs!$B$12*(1+Inputs!$B$13/100)))+0.25*(Inputs!$B$14-Inputs!$B$14))*(1+Inputs!$B$7/100))*(F326/100)</f>
        <v/>
      </c>
      <c r="K326">
        <f>J326*(1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10="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326)</f>
        <v/>
      </c>
      <c r="L326">
        <f>K326*(MIN(Inputs!$B$22+(F334-Calc!F18),(Inputs!$B$23+(IF(ArtifactsInput!$M$15,CHOOSE(ArtifactsInput!$N$15+1,25,30,35,40,45,50)/100*(Inputs!$B$11-Inputs!$B$11),0))))/100+(Inputs!$B$23+(IF(ArtifactsInput!$M$15,CHOOSE(ArtifactsInput!$N$15+1,25,30,35,40,45,50)/100*(Inputs!$B$11-Inputs!$B$11),0)))/100)/2</f>
        <v/>
      </c>
      <c r="M326">
        <f>L326*(1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6">
        <f>L326*(1-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326*(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6">
        <f>(1-Summary!$B$11)*S326+Summary!$B$11*U326</f>
        <v/>
      </c>
      <c r="P326">
        <f>IF(B353=0,0,O326/B353)</f>
        <v/>
      </c>
      <c r="Q326">
        <f>IFERROR(1/(IF(Inputs!$B$38="pvp",15,MAX(0.1,Skills!D10-IF(TRUE=TRUE,Inputs!$B$32,0)))*(1-IF(AND(ArtifactsInput!$M$27,Inputs!$B$4="Chapter Hunt"),CHOOSE(ArtifactsInput!$N$27+1,20,24,28,32,36,40),0)/100)),0)</f>
        <v/>
      </c>
      <c r="R326" t="n">
        <v>0</v>
      </c>
      <c r="S326">
        <f>IF(C326,((H326*B354)/(1+Skills!G10*H326*B354)*N326)*IF(Inputs!$B$38="pvp",1,1+(Inputs!$B$20+Skills!O10+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326*(1-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326*(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326*(1-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326*(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6">
        <f>IF(C326,((H326*B354)/(1+Skills!G10*H326*B354)*N326)*IF(Inputs!$B$38="pvp",1,(1+(Inputs!$B$21+Skills!P10+B344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7">
      <c r="A327">
        <f>Skills!A11</f>
        <v/>
      </c>
      <c r="B327">
        <f>Skills!B11</f>
        <v/>
      </c>
      <c r="C327">
        <f>Inputs!$B$3&gt;=107</f>
        <v/>
      </c>
      <c r="D327">
        <f>IF(Skills!C11=1,60+Inputs!$B$25+Inputs!$B$29,IF(Skills!C11=2,90+Inputs!$B$26+Inputs!$B$29,IF(Skills!C11=3,120+Inputs!$B$27+Inputs!$B$29,MAX(0,(Inputs!$B$3-100)*3)+Inputs!$B$28+Inputs!$B$29)))</f>
        <v/>
      </c>
      <c r="E327">
        <f>INDEX(FactorTable!$B$2:$Y$301, MATCH(ROUND(MIN(300,MAX(1,D327)),0), FactorTable!$A$2:$A$301,0), Skills!L11+1)</f>
        <v/>
      </c>
      <c r="F327">
        <f>IF(Skills!M11=TRUE,(Skills!K11/10)*(E327/1000),Skills!K11/10)+Skills!N11</f>
        <v/>
      </c>
      <c r="G327">
        <f>Calc!G11</f>
        <v/>
      </c>
      <c r="H327">
        <f>Calc!H11</f>
        <v/>
      </c>
      <c r="I327">
        <f>IF(Skills!T11&lt;&gt;"",1+(Skills!T11/10)*(Z319/1000)/100,1)</f>
        <v/>
      </c>
      <c r="J327">
        <f>((Inputs!$B$6*(1+Inputs!$B$7/100))+(((Inputs!$B$12*(1+Inputs!$B$13/100))-(Inputs!$B$12*(1+Inputs!$B$13/100)))+0.25*(Inputs!$B$14-Inputs!$B$14))*(1+Inputs!$B$7/100))*(F327/100)</f>
        <v/>
      </c>
      <c r="K327">
        <f>J327*(1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11="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327)</f>
        <v/>
      </c>
      <c r="L327">
        <f>K327*(MIN(Inputs!$B$22+(F334-Calc!F18),(Inputs!$B$23+(IF(ArtifactsInput!$M$15,CHOOSE(ArtifactsInput!$N$15+1,25,30,35,40,45,50)/100*(Inputs!$B$11-Inputs!$B$11),0))))/100+(Inputs!$B$23+(IF(ArtifactsInput!$M$15,CHOOSE(ArtifactsInput!$N$15+1,25,30,35,40,45,50)/100*(Inputs!$B$11-Inputs!$B$11),0)))/100)/2</f>
        <v/>
      </c>
      <c r="M327">
        <f>L327*(1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7">
        <f>L327*(1-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327*(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7">
        <f>(1-Summary!$B$11)*S327+Summary!$B$11*U327</f>
        <v/>
      </c>
      <c r="P327">
        <f>IF(B353=0,0,O327/B353)</f>
        <v/>
      </c>
      <c r="Q327">
        <f>IFERROR(1/(IF(Inputs!$B$38="pvp",15,MAX(0.1,Skills!D11-IF(TRUE=TRUE,Inputs!$B$32,0)))*(1-IF(AND(ArtifactsInput!$M$27,Inputs!$B$4="Chapter Hunt"),CHOOSE(ArtifactsInput!$N$27+1,20,24,28,32,36,40),0)/100)),0)</f>
        <v/>
      </c>
      <c r="R327">
        <f>IF(AND(Inputs!$B$38&lt;&gt;"pvp",Inputs!$B$43&gt;0),IF(MAX(0,Inputs!$B$43-B350)&lt;=0,0,(INT(MAX(0,Inputs!$B$43-B350)/(IF(Inputs!$B$38="pvp",15,MAX(0.1,Skills!D11-IF(TRUE=TRUE,Inputs!$B$32,0)))*(1-IF(AND(ArtifactsInput!$M$27,Inputs!$B$4="Chapter Hunt"),CHOOSE(ArtifactsInput!$N$27+1,20,24,28,32,36,40),0)/100)))+1)),0)</f>
        <v/>
      </c>
      <c r="S327">
        <f>IF(C327,H327*N327*IF(AND(Inputs!$B$38&lt;&gt;"pvp",Inputs!$B$43&gt;0),((Skills!F11*((R327-1)*IF(Skills!G11&gt;0,Skills!H11/Skills!G11,1)+IF(Skills!G11&gt;0,MIN(Skills!H11,MAX(0,MAX(0,Inputs!$B$43-B350)-((R327-1)*(IF(Inputs!$B$38="pvp",15,MAX(0.1,Skills!D11-IF(TRUE=TRUE,Inputs!$B$32,0)))*(1-IF(AND(ArtifactsInput!$M$27,Inputs!$B$4="Chapter Hunt"),CHOOSE(ArtifactsInput!$N$27+1,20,24,28,32,36,40),0)/100)))))/Skills!G11,1)))/Inputs!$B$43),G327*Q327)*0.5*IF(Inputs!$B$38="pvp",1,1+(Inputs!$B$20+Skills!O11+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327*(1-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327*(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327*(1-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327*(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7">
        <f>IF(C327,H327*N327*IF(AND(Inputs!$B$38&lt;&gt;"pvp",Inputs!$B$43&gt;0),((Skills!F11*((R327-1)*IF(Skills!G11&gt;0,Skills!H11/Skills!G11,1)+IF(Skills!G11&gt;0,MIN(Skills!H11,MAX(0,MAX(0,Inputs!$B$43-B350)-((R327-1)*(IF(Inputs!$B$38="pvp",15,MAX(0.1,Skills!D11-IF(TRUE=TRUE,Inputs!$B$32,0)))*(1-IF(AND(ArtifactsInput!$M$27,Inputs!$B$4="Chapter Hunt"),CHOOSE(ArtifactsInput!$N$27+1,20,24,28,32,36,40),0)/100)))))/Skills!G11,1)))/Inputs!$B$43),G327*Q327)*1*IF(Inputs!$B$38="pvp",1,(1+(Inputs!$B$21+Skills!P11+B344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
      <c r="A328">
        <f>Skills!A12</f>
        <v/>
      </c>
      <c r="B328">
        <f>Skills!B12</f>
        <v/>
      </c>
      <c r="C328">
        <f>Inputs!$B$3&gt;=115</f>
        <v/>
      </c>
      <c r="D328">
        <f>IF(Skills!C12=1,60+Inputs!$B$25+Inputs!$B$29,IF(Skills!C12=2,90+Inputs!$B$26+Inputs!$B$29,IF(Skills!C12=3,120+Inputs!$B$27+Inputs!$B$29,MAX(0,(Inputs!$B$3-100)*3)+Inputs!$B$28+Inputs!$B$29)))</f>
        <v/>
      </c>
      <c r="E328">
        <f>INDEX(FactorTable!$B$2:$Y$301, MATCH(ROUND(MIN(300,MAX(1,D328)),0), FactorTable!$A$2:$A$301,0), Skills!L12+1)</f>
        <v/>
      </c>
      <c r="F328">
        <f>IF(Skills!M12=TRUE,(Skills!K12/10)*(E328/1000),Skills!K12/10)+Skills!N12</f>
        <v/>
      </c>
      <c r="G328">
        <f>Calc!G12</f>
        <v/>
      </c>
      <c r="H328">
        <f>Calc!H12</f>
        <v/>
      </c>
      <c r="I328">
        <f>IF(Skills!T12&lt;&gt;"",1+(Skills!T12/10)*(Z319/1000)/100,1)</f>
        <v/>
      </c>
      <c r="J328">
        <f>((Inputs!$B$6*(1+Inputs!$B$7/100))+(((Inputs!$B$12*(1+Inputs!$B$13/100))-(Inputs!$B$12*(1+Inputs!$B$13/100)))+0.25*(Inputs!$B$14-Inputs!$B$14))*(1+Inputs!$B$7/100))*(F328/100)</f>
        <v/>
      </c>
      <c r="K328">
        <f>J328*(1+((Inputs!$B$12*(1+Inputs!$B$13/100))*0.01+Inputs!$B$14*0.0025)/100)*(1+(Inputs!$B$15+B345)/100)*(1+Inputs!$B$16/100)*(5000/(6000+Inputs!$B$42*(1-(100*(1-(1-Inputs!$B$19/100)*(1-CHOOSE(ArtifactsInput!$N$40+1,5,6,7,8,9,10)/100)^(ArtifactsInput!$M$40-ArtifactsInput!$M$40)))/100)))*(1+((((1+Inputs!$B$24/100)*(1.01))-1)*100)/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331=TRUE,F331,0)/100)*(1+IF(C339=TRUE,F339,0)/100)^5*(1+(IF(Skills!A12="CHAIN_LIGHTNING",Inputs!$B$17+((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343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f>
        <v/>
      </c>
      <c r="L328">
        <f>K328*(MIN(Inputs!$B$22+(F334-Calc!F18),(Inputs!$B$23+(IF(ArtifactsInput!$M$15,CHOOSE(ArtifactsInput!$N$15+1,25,30,35,40,45,50)/100*(Inputs!$B$11-Inputs!$B$11),0))))/100+(Inputs!$B$23+(IF(ArtifactsInput!$M$15,CHOOSE(ArtifactsInput!$N$15+1,25,30,35,40,45,50)/100*(Inputs!$B$11-Inputs!$B$11),0)))/100)/2</f>
        <v/>
      </c>
      <c r="M328">
        <f>L328*(1+(Inputs!$B$10+(F337-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
        <f>L328*(1-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MIN((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
        <f>(1-Summary!$B$11)*S328+Summary!$B$11*U328</f>
        <v/>
      </c>
      <c r="P328">
        <f>IF(B353=0,0,O328/B353)</f>
        <v/>
      </c>
      <c r="Q328">
        <f>IFERROR(1/(IF(Inputs!$B$38="pvp",15,MAX(0.1,Skills!D12-IF(TRUE=TRUE,Inputs!$B$32,0)))*(1-IF(AND(ArtifactsInput!$M$27,Inputs!$B$4="Chapter Hunt"),CHOOSE(ArtifactsInput!$N$27+1,20,24,28,32,36,40),0)/100)),0)</f>
        <v/>
      </c>
      <c r="R328">
        <f>IF(AND(Inputs!$B$38&lt;&gt;"pvp",Inputs!$B$43&gt;0),IF(MAX(0,Inputs!$B$43-B350)&lt;=0,0,(INT(MAX(0,Inputs!$B$43-B350)/(IF(Inputs!$B$38="pvp",15,MAX(0.1,Skills!D12-IF(TRUE=TRUE,Inputs!$B$32,0)))*(1-IF(AND(ArtifactsInput!$M$27,Inputs!$B$4="Chapter Hunt"),CHOOSE(ArtifactsInput!$N$27+1,20,24,28,32,36,40),0)/100)))+1)),0)</f>
        <v/>
      </c>
      <c r="S328">
        <f>IF(C328,(H328*N328*IF(AND(Inputs!$B$38&lt;&gt;"pvp",Inputs!$B$43&gt;0),((Skills!F12*((R328-1)*IF(Skills!G12&gt;0,Skills!H12/Skills!G12,1)+IF(Skills!G12&gt;0,MIN(Skills!H12,MAX(0,MAX(0,Inputs!$B$43-B350)-((R328-1)*(IF(Inputs!$B$38="pvp",15,MAX(0.1,Skills!D12-IF(TRUE=TRUE,Inputs!$B$32,0)))*(1-IF(AND(ArtifactsInput!$M$27,Inputs!$B$4="Chapter Hunt"),CHOOSE(ArtifactsInput!$N$27+1,20,24,28,32,36,40),0)/100)))))/Skills!G12,1)))/Inputs!$B$43),G328*Q328))*IF(Inputs!$B$38="pvp",1,1+(Inputs!$B$20+Skills!O12+B344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328*(1-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(1-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MIN(100,(Inputs!$B$9+((F336-Calc!F20)+(F335-Calc!F19))+(ArtifactsInput!$M$24-ArtifactsInput!$M$24)*CHOOSE(ArtifactsInput!$N$24+1,10,12,14,16,18,20)+(IF(AND(Inputs!$B$38&lt;&gt;"pvp",Inputs!$B$43=0),1,IF(IF(Inputs!$B$38="pvp",15,Inputs!$B$43)-(B350)&lt;=0,1,MAX(0,IF(Inputs!$B$38="pvp",15,Inputs!$B$43)-MAX(5,B350))/(IF(Inputs!$B$38="pvp",15,Inputs!$B$43)-(B350)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
        <f>IF(C328,(H328*N328*IF(AND(Inputs!$B$38&lt;&gt;"pvp",Inputs!$B$43&gt;0),((Skills!F12*((R328-1)*IF(Skills!G12&gt;0,Skills!H12/Skills!G12,1)+IF(Skills!G12&gt;0,MIN(Skills!H12,MAX(0,MAX(0,Inputs!$B$43-B350)-((R328-1)*(IF(Inputs!$B$38="pvp",15,MAX(0.1,Skills!D12-IF(TRUE=TRUE,Inputs!$B$32,0)))*(1-IF(AND(ArtifactsInput!$M$27,Inputs!$B$4="Chapter Hunt"),CHOOSE(ArtifactsInput!$N$27+1,20,24,28,32,36,40),0)/100)))))/Skills!G12,1)))/Inputs!$B$43),G328*Q328))*IF(Inputs!$B$38="pvp",1,(1+(Inputs!$B$21+Skills!P12+B344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
      <c r="A329">
        <f>Skills!A13</f>
        <v/>
      </c>
      <c r="B329">
        <f>Skills!B13</f>
        <v/>
      </c>
      <c r="C329">
        <f>Inputs!$B$3&gt;=49</f>
        <v/>
      </c>
      <c r="D329">
        <f>IF(Skills!C13=1,60+Inputs!$B$25+Inputs!$B$29,IF(Skills!C13=2,90+Inputs!$B$26+Inputs!$B$29,IF(Skills!C13=3,120+Inputs!$B$27+Inputs!$B$29,MAX(0,(Inputs!$B$3-100)*3)+Inputs!$B$28+Inputs!$B$29)))</f>
        <v/>
      </c>
      <c r="E329">
        <f>INDEX(FactorTable!$B$2:$Y$301, MATCH(ROUND(MIN(300,MAX(1,D329)),0), FactorTable!$A$2:$A$301,0), Skills!L13+1)</f>
        <v/>
      </c>
      <c r="F329">
        <f>IF(Skills!M13=TRUE,(Skills!K13/10)*(E329/1000),Skills!K13/10)+Skills!N13</f>
        <v/>
      </c>
      <c r="G329">
        <f>Calc!G13</f>
        <v/>
      </c>
      <c r="H329">
        <f>Calc!H13</f>
        <v/>
      </c>
      <c r="I329">
        <f>IF(Skills!T13&lt;&gt;"",1+(Skills!T13/10)*(Z319/1000)/100,1)</f>
        <v/>
      </c>
      <c r="J329" t="inlineStr"/>
      <c r="K329" t="inlineStr"/>
      <c r="L329" t="inlineStr"/>
      <c r="M329" t="inlineStr"/>
      <c r="N329" t="inlineStr"/>
      <c r="O329">
        <f>(1-Summary!$B$11)*S329+Summary!$B$11*U329</f>
        <v/>
      </c>
      <c r="P329">
        <f>IF(B353=0,0,O329/B353)</f>
        <v/>
      </c>
      <c r="Q329">
        <f>IFERROR(1/(IF(Inputs!$B$38="pvp",15,MAX(0.1,Skills!D13-IF(TRUE=TRUE,Inputs!$B$32,0)))*(1-IF(AND(ArtifactsInput!$M$27,Inputs!$B$4="Chapter Hunt"),CHOOSE(ArtifactsInput!$N$27+1,20,24,28,32,36,40),0)/100)),0)</f>
        <v/>
      </c>
      <c r="R329" t="n">
        <v>0</v>
      </c>
      <c r="S329" t="n">
        <v>0</v>
      </c>
      <c r="U329" t="n">
        <v>0</v>
      </c>
    </row>
    <row r="330">
      <c r="A330">
        <f>Skills!A14</f>
        <v/>
      </c>
      <c r="B330">
        <f>Skills!B14</f>
        <v/>
      </c>
      <c r="C330">
        <f>Inputs!$B$3&gt;=72</f>
        <v/>
      </c>
      <c r="D330">
        <f>IF(Skills!C14=1,60+Inputs!$B$25+Inputs!$B$29,IF(Skills!C14=2,90+Inputs!$B$26+Inputs!$B$29,IF(Skills!C14=3,120+Inputs!$B$27+Inputs!$B$29,MAX(0,(Inputs!$B$3-100)*3)+Inputs!$B$28+Inputs!$B$29)))</f>
        <v/>
      </c>
      <c r="E330">
        <f>INDEX(FactorTable!$B$2:$Y$301, MATCH(ROUND(MIN(300,MAX(1,D330)),0), FactorTable!$A$2:$A$301,0), Skills!L14+1)</f>
        <v/>
      </c>
      <c r="F330">
        <f>IF(Skills!M14=TRUE,(Skills!K14/10)*(E330/1000),Skills!K14/10)+Skills!N14</f>
        <v/>
      </c>
      <c r="G330">
        <f>Calc!G14</f>
        <v/>
      </c>
      <c r="H330">
        <f>Calc!H14</f>
        <v/>
      </c>
      <c r="I330">
        <f>IF(Skills!T14&lt;&gt;"",1+(Skills!T14/10)*(Z319/1000)/100,1)</f>
        <v/>
      </c>
      <c r="J330" t="inlineStr"/>
      <c r="K330" t="inlineStr"/>
      <c r="L330" t="inlineStr"/>
      <c r="M330" t="inlineStr"/>
      <c r="N330" t="inlineStr"/>
      <c r="O330">
        <f>(1-Summary!$B$11)*S330+Summary!$B$11*U330</f>
        <v/>
      </c>
      <c r="P330">
        <f>IF(B353=0,0,O330/B353)</f>
        <v/>
      </c>
      <c r="Q330">
        <f>IFERROR(1/(IF(Inputs!$B$38="pvp",15,MAX(0.1,Skills!D14-IF(TRUE=TRUE,Inputs!$B$32,0)))*(1-IF(AND(ArtifactsInput!$M$27,Inputs!$B$4="Chapter Hunt"),CHOOSE(ArtifactsInput!$N$27+1,20,24,28,32,36,40),0)/100)),0)</f>
        <v/>
      </c>
      <c r="R330" t="n">
        <v>0</v>
      </c>
      <c r="S330" t="n">
        <v>0</v>
      </c>
      <c r="U330" t="n">
        <v>0</v>
      </c>
    </row>
    <row r="331">
      <c r="A331">
        <f>Skills!A15</f>
        <v/>
      </c>
      <c r="B331">
        <f>Skills!B15</f>
        <v/>
      </c>
      <c r="C331">
        <f>Inputs!$B$3&gt;=75</f>
        <v/>
      </c>
      <c r="D331">
        <f>IF(Skills!C15=1,60+Inputs!$B$25+Inputs!$B$29,IF(Skills!C15=2,90+Inputs!$B$26+Inputs!$B$29,IF(Skills!C15=3,120+Inputs!$B$27+Inputs!$B$29,MAX(0,(Inputs!$B$3-100)*3)+Inputs!$B$28+Inputs!$B$29)))</f>
        <v/>
      </c>
      <c r="E331">
        <f>INDEX(FactorTable!$B$2:$Y$301, MATCH(ROUND(MIN(300,MAX(1,D331)),0), FactorTable!$A$2:$A$301,0), Skills!L15+1)</f>
        <v/>
      </c>
      <c r="F331">
        <f>IF(Skills!M15=TRUE,(Skills!K15/10)*(E331/1000),Skills!K15/10)+Skills!N15</f>
        <v/>
      </c>
      <c r="G331">
        <f>Calc!G15</f>
        <v/>
      </c>
      <c r="H331">
        <f>Calc!H15</f>
        <v/>
      </c>
      <c r="I331">
        <f>IF(Skills!T15&lt;&gt;"",1+(Skills!T15/10)*(Z319/1000)/100,1)</f>
        <v/>
      </c>
      <c r="J331" t="inlineStr"/>
      <c r="K331" t="inlineStr"/>
      <c r="L331" t="inlineStr"/>
      <c r="M331" t="inlineStr"/>
      <c r="N331" t="inlineStr"/>
      <c r="O331">
        <f>(1-Summary!$B$11)*S331+Summary!$B$11*U331</f>
        <v/>
      </c>
      <c r="P331">
        <f>IF(B353=0,0,O331/B353)</f>
        <v/>
      </c>
      <c r="Q331">
        <f>IFERROR(1/(IF(Inputs!$B$38="pvp",15,MAX(0.1,Skills!D15-IF(TRUE=TRUE,Inputs!$B$32,0)))*(1-IF(AND(ArtifactsInput!$M$27,Inputs!$B$4="Chapter Hunt"),CHOOSE(ArtifactsInput!$N$27+1,20,24,28,32,36,40),0)/100)),0)</f>
        <v/>
      </c>
      <c r="R331" t="n">
        <v>0</v>
      </c>
      <c r="S331" t="n">
        <v>0</v>
      </c>
      <c r="U331" t="n">
        <v>0</v>
      </c>
    </row>
    <row r="332">
      <c r="A332">
        <f>Skills!A16</f>
        <v/>
      </c>
      <c r="B332">
        <f>Skills!B16</f>
        <v/>
      </c>
      <c r="C332">
        <f>Inputs!$B$3&gt;=110</f>
        <v/>
      </c>
      <c r="D332">
        <f>IF(Skills!C16=1,60+Inputs!$B$25+Inputs!$B$29,IF(Skills!C16=2,90+Inputs!$B$26+Inputs!$B$29,IF(Skills!C16=3,120+Inputs!$B$27+Inputs!$B$29,MAX(0,(Inputs!$B$3-100)*3)+Inputs!$B$28+Inputs!$B$29)))</f>
        <v/>
      </c>
      <c r="E332">
        <f>INDEX(FactorTable!$B$2:$Y$301, MATCH(ROUND(MIN(300,MAX(1,D332)),0), FactorTable!$A$2:$A$301,0), Skills!L16+1)</f>
        <v/>
      </c>
      <c r="F332">
        <f>(Skills!K16/10)*(E332/1000)*64/45+Skills!N16</f>
        <v/>
      </c>
      <c r="G332">
        <f>Calc!G16</f>
        <v/>
      </c>
      <c r="H332">
        <f>Calc!H16</f>
        <v/>
      </c>
      <c r="I332">
        <f>IF(Skills!T16&lt;&gt;"",1+(Skills!T16/10)*(Z319/1000)/100,1)</f>
        <v/>
      </c>
      <c r="J332" t="inlineStr"/>
      <c r="K332" t="inlineStr"/>
      <c r="L332" t="inlineStr"/>
      <c r="M332" t="inlineStr"/>
      <c r="N332" t="inlineStr"/>
      <c r="O332">
        <f>(1-Summary!$B$11)*S332+Summary!$B$11*U332</f>
        <v/>
      </c>
      <c r="P332">
        <f>IF(B353=0,0,O332/B353)</f>
        <v/>
      </c>
      <c r="Q332">
        <f>IFERROR(1/(IF(Inputs!$B$38="pvp",15,MAX(0.1,Skills!D16-IF(TRUE=TRUE,Inputs!$B$32,0)))*(1-IF(AND(ArtifactsInput!$M$27,Inputs!$B$4="Chapter Hunt"),CHOOSE(ArtifactsInput!$N$27+1,20,24,28,32,36,40),0)/100)),0)</f>
        <v/>
      </c>
      <c r="R332">
        <f>IF(AND(Inputs!$B$38&lt;&gt;"pvp",Inputs!$B$43&gt;0),IF(Inputs!$B$43&lt;=0,0,(INT(Inputs!$B$43/(IF(Inputs!$B$38="pvp",15,MAX(0.1,Skills!D16-IF(TRUE=TRUE,Inputs!$B$32,0)))*(1-IF(AND(ArtifactsInput!$M$27,Inputs!$B$4="Chapter Hunt"),CHOOSE(ArtifactsInput!$N$27+1,20,24,28,32,36,40),0)/100)))+1)),0)</f>
        <v/>
      </c>
      <c r="S332" t="n">
        <v>0</v>
      </c>
      <c r="U332" t="n">
        <v>0</v>
      </c>
    </row>
    <row r="333">
      <c r="A333">
        <f>Skills!A17</f>
        <v/>
      </c>
      <c r="B333">
        <f>Skills!B17</f>
        <v/>
      </c>
      <c r="C333">
        <f>Inputs!$B$3&gt;=33</f>
        <v/>
      </c>
      <c r="D333">
        <f>IF(Skills!C17=1,60+Inputs!$B$25+Inputs!$B$29,IF(Skills!C17=2,90+Inputs!$B$26+Inputs!$B$29,IF(Skills!C17=3,120+Inputs!$B$27+Inputs!$B$29,MAX(0,(Inputs!$B$3-100)*3)+Inputs!$B$28+Inputs!$B$29)))</f>
        <v/>
      </c>
      <c r="E333">
        <f>INDEX(FactorTable!$B$2:$Y$301, MATCH(ROUND(MIN(300,MAX(1,D333)),0), FactorTable!$A$2:$A$301,0), Skills!L17+1)</f>
        <v/>
      </c>
      <c r="F333">
        <f>IF(Skills!M17=TRUE,(Skills!K17/10)*(E333/1000),Skills!K17/10)+Skills!N17</f>
        <v/>
      </c>
      <c r="G333">
        <f>Calc!G17</f>
        <v/>
      </c>
      <c r="H333">
        <f>Calc!H17</f>
        <v/>
      </c>
      <c r="I333">
        <f>IF(Skills!T17&lt;&gt;"",1+(Skills!T17/10)*(Z319/1000)/100,1)</f>
        <v/>
      </c>
      <c r="J333" t="inlineStr"/>
      <c r="K333" t="inlineStr"/>
      <c r="L333" t="inlineStr"/>
      <c r="M333" t="inlineStr"/>
      <c r="N333" t="inlineStr"/>
      <c r="O333">
        <f>(1-Summary!$B$11)*S333+Summary!$B$11*U333</f>
        <v/>
      </c>
      <c r="P333">
        <f>IF(B353=0,0,O333/B353)</f>
        <v/>
      </c>
      <c r="Q333">
        <f>IFERROR(1/(IF(Inputs!$B$38="pvp",15,MAX(0.1,Skills!D17-IF(TRUE=TRUE,Inputs!$B$32,0)))*(1-IF(AND(ArtifactsInput!$M$27,Inputs!$B$4="Chapter Hunt"),CHOOSE(ArtifactsInput!$N$27+1,20,24,28,32,36,40),0)/100)),0)</f>
        <v/>
      </c>
      <c r="R333" t="n">
        <v>0</v>
      </c>
      <c r="S333" t="n">
        <v>0</v>
      </c>
      <c r="U333" t="n">
        <v>0</v>
      </c>
    </row>
    <row r="334">
      <c r="A334">
        <f>Skills!A18</f>
        <v/>
      </c>
      <c r="B334">
        <f>Skills!B18</f>
        <v/>
      </c>
      <c r="C334">
        <f>Inputs!$B$3&gt;=43</f>
        <v/>
      </c>
      <c r="D334">
        <f>IF(Skills!C18=1,60+Inputs!$B$25+Inputs!$B$29,IF(Skills!C18=2,90+Inputs!$B$26+Inputs!$B$29,IF(Skills!C18=3,120+Inputs!$B$27+Inputs!$B$29,MAX(0,(Inputs!$B$3-100)*3)+Inputs!$B$28+Inputs!$B$29)))</f>
        <v/>
      </c>
      <c r="E334">
        <f>INDEX(FactorTable!$B$2:$Y$301, MATCH(ROUND(MIN(300,MAX(1,D334)),0), FactorTable!$A$2:$A$301,0), Skills!L18+1)</f>
        <v/>
      </c>
      <c r="F334">
        <f>IF(Skills!M18=TRUE,(Skills!K18/10)*(E334/1000),Skills!K18/10)+Skills!N18</f>
        <v/>
      </c>
      <c r="G334">
        <f>Calc!G18</f>
        <v/>
      </c>
      <c r="H334">
        <f>Calc!H18</f>
        <v/>
      </c>
      <c r="I334">
        <f>IF(Skills!T18&lt;&gt;"",1+(Skills!T18/10)*(Z319/1000)/100,1)</f>
        <v/>
      </c>
      <c r="J334" t="inlineStr"/>
      <c r="K334" t="inlineStr"/>
      <c r="L334" t="inlineStr"/>
      <c r="M334" t="inlineStr"/>
      <c r="N334" t="inlineStr"/>
      <c r="O334">
        <f>(1-Summary!$B$11)*S334+Summary!$B$11*U334</f>
        <v/>
      </c>
      <c r="P334">
        <f>IF(B353=0,0,O334/B353)</f>
        <v/>
      </c>
      <c r="Q334">
        <f>IFERROR(1/(IF(Inputs!$B$38="pvp",15,MAX(0.1,Skills!D18-IF(TRUE=TRUE,Inputs!$B$32,0)))*(1-IF(AND(ArtifactsInput!$M$27,Inputs!$B$4="Chapter Hunt"),CHOOSE(ArtifactsInput!$N$27+1,20,24,28,32,36,40),0)/100)),0)</f>
        <v/>
      </c>
      <c r="R334" t="n">
        <v>0</v>
      </c>
      <c r="S334" t="n">
        <v>0</v>
      </c>
      <c r="U334" t="n">
        <v>0</v>
      </c>
    </row>
    <row r="335">
      <c r="A335">
        <f>Skills!A19</f>
        <v/>
      </c>
      <c r="B335">
        <f>Skills!B19</f>
        <v/>
      </c>
      <c r="C335">
        <f>Inputs!$B$3&gt;=50</f>
        <v/>
      </c>
      <c r="D335">
        <f>IF(Skills!C19=1,60+Inputs!$B$25+Inputs!$B$29,IF(Skills!C19=2,90+Inputs!$B$26+Inputs!$B$29,IF(Skills!C19=3,120+Inputs!$B$27+Inputs!$B$29,MAX(0,(Inputs!$B$3-100)*3)+Inputs!$B$28+Inputs!$B$29)))</f>
        <v/>
      </c>
      <c r="E335">
        <f>INDEX(FactorTable!$B$2:$Y$301, MATCH(ROUND(MIN(300,MAX(1,D335)),0), FactorTable!$A$2:$A$301,0), Skills!L19+1)</f>
        <v/>
      </c>
      <c r="F335">
        <f>IF(Skills!M19=TRUE,(Skills!K19/10)*(E335/1000),Skills!K19/10)+Skills!N19</f>
        <v/>
      </c>
      <c r="G335">
        <f>Calc!G19</f>
        <v/>
      </c>
      <c r="H335">
        <f>Calc!H19</f>
        <v/>
      </c>
      <c r="I335">
        <f>IF(Skills!T19&lt;&gt;"",1+(Skills!T19/10)*(Z319/1000)/100,1)</f>
        <v/>
      </c>
      <c r="J335" t="inlineStr"/>
      <c r="K335" t="inlineStr"/>
      <c r="L335" t="inlineStr"/>
      <c r="M335" t="inlineStr"/>
      <c r="N335" t="inlineStr"/>
      <c r="O335">
        <f>(1-Summary!$B$11)*S335+Summary!$B$11*U335</f>
        <v/>
      </c>
      <c r="P335">
        <f>IF(B353=0,0,O335/B353)</f>
        <v/>
      </c>
      <c r="Q335">
        <f>IFERROR(1/(IF(Inputs!$B$38="pvp",15,MAX(0.1,Skills!D19-IF(TRUE=TRUE,Inputs!$B$32,0)))*(1-IF(AND(ArtifactsInput!$M$27,Inputs!$B$4="Chapter Hunt"),CHOOSE(ArtifactsInput!$N$27+1,20,24,28,32,36,40),0)/100)),0)</f>
        <v/>
      </c>
      <c r="R335" t="n">
        <v>0</v>
      </c>
      <c r="S335" t="n">
        <v>0</v>
      </c>
      <c r="U335" t="n">
        <v>0</v>
      </c>
    </row>
    <row r="336">
      <c r="A336">
        <f>Skills!A20</f>
        <v/>
      </c>
      <c r="B336">
        <f>Skills!B20</f>
        <v/>
      </c>
      <c r="C336">
        <f>Inputs!$B$3&gt;=74</f>
        <v/>
      </c>
      <c r="D336">
        <f>IF(Skills!C20=1,60+Inputs!$B$25+Inputs!$B$29,IF(Skills!C20=2,90+Inputs!$B$26+Inputs!$B$29,IF(Skills!C20=3,120+Inputs!$B$27+Inputs!$B$29,MAX(0,(Inputs!$B$3-100)*3)+Inputs!$B$28+Inputs!$B$29)))</f>
        <v/>
      </c>
      <c r="E336">
        <f>INDEX(FactorTable!$B$2:$Y$301, MATCH(ROUND(MIN(300,MAX(1,D336)),0), FactorTable!$A$2:$A$301,0), Skills!L20+1)</f>
        <v/>
      </c>
      <c r="F336">
        <f>IF(Skills!M20=TRUE,(Skills!K20/10)*(E336/1000),Skills!K20/10)+Skills!N20</f>
        <v/>
      </c>
      <c r="G336">
        <f>Calc!G20</f>
        <v/>
      </c>
      <c r="H336">
        <f>Calc!H20</f>
        <v/>
      </c>
      <c r="I336">
        <f>IF(Skills!T20&lt;&gt;"",1+(Skills!T20/10)*(Z319/1000)/100,1)</f>
        <v/>
      </c>
      <c r="J336" t="inlineStr"/>
      <c r="K336" t="inlineStr"/>
      <c r="L336" t="inlineStr"/>
      <c r="M336" t="inlineStr"/>
      <c r="N336" t="inlineStr"/>
      <c r="O336">
        <f>(1-Summary!$B$11)*S336+Summary!$B$11*U336</f>
        <v/>
      </c>
      <c r="P336">
        <f>IF(B353=0,0,O336/B353)</f>
        <v/>
      </c>
      <c r="Q336">
        <f>IFERROR(1/(IF(Inputs!$B$38="pvp",15,MAX(0.1,Skills!D20-IF(TRUE=TRUE,Inputs!$B$32,0)))*(1-IF(AND(ArtifactsInput!$M$27,Inputs!$B$4="Chapter Hunt"),CHOOSE(ArtifactsInput!$N$27+1,20,24,28,32,36,40),0)/100)),0)</f>
        <v/>
      </c>
      <c r="R336" t="n">
        <v>0</v>
      </c>
      <c r="S336" t="n">
        <v>0</v>
      </c>
      <c r="U336" t="n">
        <v>0</v>
      </c>
    </row>
    <row r="337">
      <c r="A337">
        <f>Skills!A21</f>
        <v/>
      </c>
      <c r="B337">
        <f>Skills!B21</f>
        <v/>
      </c>
      <c r="C337">
        <f>Inputs!$B$3&gt;=74</f>
        <v/>
      </c>
      <c r="D337">
        <f>IF(Skills!C21=1,60+Inputs!$B$25+Inputs!$B$29,IF(Skills!C21=2,90+Inputs!$B$26+Inputs!$B$29,IF(Skills!C21=3,120+Inputs!$B$27+Inputs!$B$29,MAX(0,(Inputs!$B$3-100)*3)+Inputs!$B$28+Inputs!$B$29)))</f>
        <v/>
      </c>
      <c r="E337">
        <f>INDEX(FactorTable!$B$2:$Y$301, MATCH(ROUND(MIN(300,MAX(1,D337)),0), FactorTable!$A$2:$A$301,0), Skills!L21+1)</f>
        <v/>
      </c>
      <c r="F337">
        <f>IF(Skills!M21=TRUE,(Skills!K21/10)*(E337/1000),Skills!K21/10)+Skills!N21</f>
        <v/>
      </c>
      <c r="G337">
        <f>Calc!G21</f>
        <v/>
      </c>
      <c r="H337">
        <f>Calc!H21</f>
        <v/>
      </c>
      <c r="I337">
        <f>IF(Skills!T21&lt;&gt;"",1+(Skills!T21/10)*(Z319/1000)/100,1)</f>
        <v/>
      </c>
      <c r="J337" t="inlineStr"/>
      <c r="K337" t="inlineStr"/>
      <c r="L337" t="inlineStr"/>
      <c r="M337" t="inlineStr"/>
      <c r="N337" t="inlineStr"/>
      <c r="O337">
        <f>(1-Summary!$B$11)*S337+Summary!$B$11*U337</f>
        <v/>
      </c>
      <c r="P337">
        <f>IF(B353=0,0,O337/B353)</f>
        <v/>
      </c>
      <c r="Q337">
        <f>IFERROR(1/(IF(Inputs!$B$38="pvp",15,MAX(0.1,Skills!D21-IF(TRUE=TRUE,Inputs!$B$32,0)))*(1-IF(AND(ArtifactsInput!$M$27,Inputs!$B$4="Chapter Hunt"),CHOOSE(ArtifactsInput!$N$27+1,20,24,28,32,36,40),0)/100)),0)</f>
        <v/>
      </c>
      <c r="R337" t="n">
        <v>0</v>
      </c>
      <c r="S337" t="n">
        <v>0</v>
      </c>
      <c r="U337" t="n">
        <v>0</v>
      </c>
    </row>
    <row r="338">
      <c r="A338">
        <f>Skills!A22</f>
        <v/>
      </c>
      <c r="B338">
        <f>Skills!B22</f>
        <v/>
      </c>
      <c r="C338">
        <f>Inputs!$B$3&gt;=117</f>
        <v/>
      </c>
      <c r="D338">
        <f>IF(Skills!C22=1,60+Inputs!$B$25+Inputs!$B$29,IF(Skills!C22=2,90+Inputs!$B$26+Inputs!$B$29,IF(Skills!C22=3,120+Inputs!$B$27+Inputs!$B$29,MAX(0,(Inputs!$B$3-100)*3)+Inputs!$B$28+Inputs!$B$29)))</f>
        <v/>
      </c>
      <c r="E338">
        <f>INDEX(FactorTable!$B$2:$Y$301, MATCH(ROUND(MIN(300,MAX(1,D338)),0), FactorTable!$A$2:$A$301,0), Skills!L22+1)</f>
        <v/>
      </c>
      <c r="F338">
        <f>IF(Skills!M22=TRUE,(Skills!K22/10)*(E338/1000),Skills!K22/10)+Skills!N22</f>
        <v/>
      </c>
      <c r="G338">
        <f>Calc!G22</f>
        <v/>
      </c>
      <c r="H338">
        <f>Calc!H22</f>
        <v/>
      </c>
      <c r="I338">
        <f>IF(Skills!T22&lt;&gt;"",1+(Skills!T22/10)*(Z319/1000)/100,1)</f>
        <v/>
      </c>
      <c r="J338" t="inlineStr"/>
      <c r="K338" t="inlineStr"/>
      <c r="L338" t="inlineStr"/>
      <c r="M338" t="inlineStr"/>
      <c r="N338" t="inlineStr"/>
      <c r="O338">
        <f>(1-Summary!$B$11)*S338+Summary!$B$11*U338</f>
        <v/>
      </c>
      <c r="P338">
        <f>IF(B353=0,0,O338/B353)</f>
        <v/>
      </c>
      <c r="Q338">
        <f>IFERROR(1/(IF(Inputs!$B$38="pvp",15,MAX(0.1,Skills!D22-IF(TRUE=TRUE,Inputs!$B$32,0)))*(1-IF(AND(ArtifactsInput!$M$27,Inputs!$B$4="Chapter Hunt"),CHOOSE(ArtifactsInput!$N$27+1,20,24,28,32,36,40),0)/100)),0)</f>
        <v/>
      </c>
      <c r="R338" t="n">
        <v>0</v>
      </c>
      <c r="S338" t="n">
        <v>0</v>
      </c>
      <c r="U338" t="n">
        <v>0</v>
      </c>
    </row>
    <row r="339">
      <c r="A339">
        <f>Skills!A23</f>
        <v/>
      </c>
      <c r="B339">
        <f>Skills!B23</f>
        <v/>
      </c>
      <c r="C339">
        <f>Inputs!$B$3&gt;=120</f>
        <v/>
      </c>
      <c r="D339">
        <f>IF(Skills!C23=1,60+Inputs!$B$25+Inputs!$B$29,IF(Skills!C23=2,90+Inputs!$B$26+Inputs!$B$29,IF(Skills!C23=3,120+Inputs!$B$27+Inputs!$B$29,MAX(0,(Inputs!$B$3-100)*3)+Inputs!$B$28+Inputs!$B$29)))</f>
        <v/>
      </c>
      <c r="E339">
        <f>INDEX(FactorTable!$B$2:$Y$301, MATCH(ROUND(MIN(300,MAX(1,D339)),0), FactorTable!$A$2:$A$301,0), Skills!L23+1)</f>
        <v/>
      </c>
      <c r="F339">
        <f>IF(Skills!M23=TRUE,(Skills!K23/10)*(E339/1000),Skills!K23/10)+Skills!N23</f>
        <v/>
      </c>
      <c r="G339">
        <f>Calc!G23</f>
        <v/>
      </c>
      <c r="H339">
        <f>Calc!H23</f>
        <v/>
      </c>
      <c r="I339">
        <f>IF(Skills!T23&lt;&gt;"",1+(Skills!T23/10)*(Z319/1000)/100,1)</f>
        <v/>
      </c>
      <c r="J339" t="inlineStr"/>
      <c r="K339" t="inlineStr"/>
      <c r="L339" t="inlineStr"/>
      <c r="M339" t="inlineStr"/>
      <c r="N339" t="inlineStr"/>
      <c r="O339">
        <f>(1-Summary!$B$11)*S339+Summary!$B$11*U339</f>
        <v/>
      </c>
      <c r="P339">
        <f>IF(B353=0,0,O339/B353)</f>
        <v/>
      </c>
      <c r="Q339">
        <f>IFERROR(1/(IF(Inputs!$B$38="pvp",15,MAX(0.1,Skills!D23-IF(TRUE=TRUE,Inputs!$B$32,0)))*(1-IF(AND(ArtifactsInput!$M$27,Inputs!$B$4="Chapter Hunt"),CHOOSE(ArtifactsInput!$N$27+1,20,24,28,32,36,40),0)/100)),0)</f>
        <v/>
      </c>
      <c r="R339" t="n">
        <v>0</v>
      </c>
      <c r="S339" t="n">
        <v>0</v>
      </c>
      <c r="U339" t="n">
        <v>0</v>
      </c>
    </row>
    <row r="340">
      <c r="A340">
        <f>Skills!A24</f>
        <v/>
      </c>
      <c r="B340">
        <f>Skills!B24</f>
        <v/>
      </c>
      <c r="C340">
        <f>TRUE</f>
        <v/>
      </c>
      <c r="D340">
        <f>IF(Skills!C24=1,60+Inputs!$B$25+Inputs!$B$29,IF(Skills!C24=2,90+Inputs!$B$26+Inputs!$B$29,IF(Skills!C24=3,120+Inputs!$B$27+Inputs!$B$29,MAX(0,(Inputs!$B$3-100)*3)+Inputs!$B$28+Inputs!$B$29)))</f>
        <v/>
      </c>
      <c r="E340">
        <f>INDEX(FactorTable!$B$2:$Y$301, MATCH(ROUND(MIN(300,MAX(1,D340)),0), FactorTable!$A$2:$A$301,0), Skills!L24+1)</f>
        <v/>
      </c>
      <c r="F340">
        <f>IF(Skills!M24=TRUE,(Skills!K24/10)*(E340/1000),Skills!K24/10)+Skills!N24</f>
        <v/>
      </c>
      <c r="G340">
        <f>Calc!G24</f>
        <v/>
      </c>
      <c r="H340">
        <f>Calc!H24</f>
        <v/>
      </c>
      <c r="I340">
        <f>IF(Skills!T24&lt;&gt;"",1+(Skills!T24/10)*(Z319/1000)/100,1)</f>
        <v/>
      </c>
      <c r="J340" t="inlineStr"/>
      <c r="K340" t="inlineStr"/>
      <c r="L340" t="inlineStr"/>
      <c r="M340" t="inlineStr"/>
      <c r="N340" t="inlineStr"/>
      <c r="O340">
        <f>(1-Summary!$B$11)*S340+Summary!$B$11*U340</f>
        <v/>
      </c>
      <c r="P340">
        <f>IF(B353=0,0,O340/B353)</f>
        <v/>
      </c>
      <c r="Q340">
        <f>IFERROR(1/(IF(Inputs!$B$38="pvp",15,MAX(0.1,Skills!D24-IF(TRUE=TRUE,Inputs!$B$32,0)))*(1-IF(AND(ArtifactsInput!$M$27,Inputs!$B$4="Chapter Hunt"),CHOOSE(ArtifactsInput!$N$27+1,20,24,28,32,36,40),0)/100)),0)</f>
        <v/>
      </c>
      <c r="R340">
        <f>IF(AND(Inputs!$B$38&lt;&gt;"pvp",Inputs!$B$43&gt;0),IF(Inputs!$B$43&lt;=0,0,(INT(Inputs!$B$43/(IF(Inputs!$B$38="pvp",15,MAX(0.1,Skills!D24-IF(TRUE=TRUE,Inputs!$B$32,0)))*(1-IF(AND(ArtifactsInput!$M$27,Inputs!$B$4="Chapter Hunt"),CHOOSE(ArtifactsInput!$N$27+1,20,24,28,32,36,40),0)/100)))+1)),0)</f>
        <v/>
      </c>
      <c r="S340" t="n">
        <v>0</v>
      </c>
      <c r="U340" t="n">
        <v>0</v>
      </c>
    </row>
    <row r="343">
      <c r="A343" t="inlineStr">
        <is>
          <t>Average Buff Multiplier (Magic Guard + Meditation + Artifact Attack%, summed; then Infinity)</t>
        </is>
      </c>
      <c r="B343">
        <f>(1+(IF(C319=TRUE,F319*IF(AND(Inputs!$B$38&lt;&gt;"pvp",Inputs!$B$43&gt;0),(((R319-1)*MIN((Skills!S3*(1+(Inputs!$B$34)/100)),(1/Q319))+MIN((Skills!S3*(1+(Inputs!$B$34)/100)),MAX(0,Inputs!$B$43-((R319-1)*(1/Q319)))))/Inputs!$B$43),IF(Inputs!$B$38="pvp",MIN((Skills!S3*(1+(Inputs!$B$34)/100)),15)/15,MIN(1,(Skills!S3*(1+(Inputs!$B$34)/100))/(1/Q319)))),0)+IF(C320=TRUE,F320*IF(AND(Inputs!$B$38&lt;&gt;"pvp",Inputs!$B$43&gt;0),(((R320-1)*MIN((Skills!S4*(1+(Inputs!$B$34)/100)),(1/Q320))+MIN((Skills!S4*(1+(Inputs!$B$34)/100)),MAX(0,Inputs!$B$43-((R320-1)*(1/Q320)))))/Inputs!$B$43),IF(Inputs!$B$38="pvp",MIN((Skills!S4*(1+(Inputs!$B$34)/100)),15)/15,MIN(1,(Skills!S4*(1+(Inputs!$B$34)/100))/(1/Q320)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332=TRUE,(1+F332*IF(AND(Inputs!$B$38&lt;&gt;"pvp",Inputs!$B$43&gt;0),(((R332-1)*MIN((Skills!S16*(1+(Inputs!$B$34)/100)),(1/Q332))+MIN((Skills!S16*(1+(Inputs!$B$34)/100)),MAX(0,Inputs!$B$43-((R332-1)*(1/Q332)))))/Inputs!$B$43),IF(Inputs!$B$38="pvp",MIN((Skills!S16*(1+(Inputs!$B$34)/100)),15)/15,MIN(1,(Skills!S16*(1+(Inputs!$B$34)/100))/(1/Q332))))/100),1)</f>
        <v/>
      </c>
    </row>
    <row r="344">
      <c r="A344" t="inlineStr">
        <is>
          <t>Monster Damage Taken Bonus % (Freezing Breath - Weaken + Elemental Reset + Artifact Enemy Damage Taken, summed)</t>
        </is>
      </c>
      <c r="B344">
        <f>IF(Inputs!$B$3&gt;=118,15*IF(Inputs!$B$38="pvp",MIN((30*(1+(Inputs!$B$34)/100)),15)/15,MIN(1,(30*(1+(Inputs!$B$34)/100))/(1/Q324))),0)+IF(C330=TRUE,F330,0)+(IF(AND(ArtifactsInput!$M$35,Inputs!$B$4&lt;&gt;"Chapter Hunt"),CHOOSE(ArtifactsInput!$N$35+1,15,18,21,24,27,30)*(1-EXP(-(0.2*B347)*5)),0)+IF(AND(ArtifactsInput!$M$22,Inputs!$B$4&lt;&gt;"Chapter Hunt"),CHOOSE(ArtifactsInput!$N$22+1,10,12,14,16,18,20)*((0*(((0.15*B347*5))^0/1)+1*(((0.15*B347*5))^1/1)+2*(((0.15*B347*5))^2/2)+3*(((0.15*B347*5))^3/6)+4*(((0.15*B347*5))^4/24)+5*(((0.15*B347*5))^5/120))/((((0.15*B347*5))^0/1)+(((0.15*B347*5))^1/1)+(((0.15*B347*5))^2/2)+(((0.15*B347*5))^3/6)+(((0.15*B347*5))^4/24)+(((0.15*B347*5))^5/120))),0))</f>
        <v/>
      </c>
    </row>
    <row r="345">
      <c r="A345" t="inlineStr">
        <is>
          <t>Damage % Bonus (Frozen Break + Frost Clutch, flat)</t>
        </is>
      </c>
      <c r="B345">
        <f>IF(Inputs!$B$3&gt;=66,15,0)+IF(Inputs!$B$3&gt;=98,10,0)+IF(Inputs!$B$3&gt;=125,20,0)</f>
        <v/>
      </c>
    </row>
    <row r="346">
      <c r="A346" t="inlineStr">
        <is>
          <t>Attack Speed Bonus % (MP Eater - MP Boost, always-on + Nimble Feet, duty-cycle averaged)</t>
        </is>
      </c>
      <c r="B346">
        <f>IF(C329=TRUE,F329+(F333-Calc!F17),0)+((C340=TRUE)*F340*IF(AND(Inputs!$B$38&lt;&gt;"pvp",Inputs!$B$43&gt;0),(((R340-1)*MIN((Skills!S24*(1+(Inputs!$B$34)/100)),(1/Q340))+MIN((Skills!S24*(1+(Inputs!$B$34)/100)),MAX(0,Inputs!$B$43-((R340-1)*(1/Q340)))))/Inputs!$B$43),IF(Inputs!$B$38="pvp",MIN((Skills!S24*(1+(Inputs!$B$34)/100)),15)/15,MIN(1,(Skills!S24*(1+(Inputs!$B$34)/100))/(1/Q340)))))</f>
        <v/>
      </c>
    </row>
    <row r="347">
      <c r="A347" t="inlineStr">
        <is>
          <t>Actions Per Second</t>
        </is>
      </c>
      <c r="B347">
        <f>1+MIN(150,150*(1-(1-(Inputs!$B$11+(ArtifactsInput!$M$15-ArtifactsInput!$M$15)*CHOOSE(ArtifactsInput!$N$15+1,8,9.6,11.2,12.8,14.4,16))/150)*(1-B346/150)))/100</f>
        <v/>
      </c>
    </row>
    <row r="348">
      <c r="A348" t="inlineStr">
        <is>
          <t>Skill + Buff Cast Rate</t>
        </is>
      </c>
      <c r="B348">
        <f>IF(AND(Inputs!$B$38&lt;&gt;"pvp",Inputs!$B$43&gt;0),SUMPRODUCT((Skills!E2:E24=TRUE)*(C318:C340=TRUE)*R318:R340)/Inputs!$B$43,SUMPRODUCT((Skills!E2:E24=TRUE)*(C318:C340=TRUE)*Q318:Q340))</f>
        <v/>
      </c>
    </row>
    <row r="349">
      <c r="A349" t="inlineStr">
        <is>
          <t>Chain Lightning Casts Per Second</t>
        </is>
      </c>
      <c r="B349">
        <f>MAX(0,B347-B348)</f>
        <v/>
      </c>
    </row>
    <row r="350">
      <c r="A350" t="inlineStr">
        <is>
          <t>Buff-Casting Startup Delay (s, fixed-duration only)</t>
        </is>
      </c>
      <c r="B350">
        <f>IF(AND(Inputs!$B$38&lt;&gt;"pvp",Inputs!$B$43&gt;0),SUMPRODUCT((Skills!S2:S24&gt;0)*(Skills!E2:E24=TRUE)*(C318:C340=TRUE))/B347,0)</f>
        <v/>
      </c>
    </row>
    <row r="351">
      <c r="A351" t="inlineStr">
        <is>
          <t>Boss-Only Total DPS (this block's swept value)</t>
        </is>
      </c>
      <c r="B351">
        <f>SUM(S318:S340)</f>
        <v/>
      </c>
    </row>
    <row r="352">
      <c r="A352" t="inlineStr">
        <is>
          <t>Normal-Only Total DPS (this block's swept value)</t>
        </is>
      </c>
      <c r="B352">
        <f>SUM(U318:U340)</f>
        <v/>
      </c>
    </row>
    <row r="353">
      <c r="A353" s="6" t="inlineStr">
        <is>
          <t>TOTAL DPS</t>
        </is>
      </c>
      <c r="B353" s="6">
        <f>SUM(O318:O340)</f>
        <v/>
      </c>
    </row>
    <row r="354">
      <c r="A354" t="inlineStr">
        <is>
          <t>Blizzard Final Attack trigger rate (this block's own Q/R)</t>
        </is>
      </c>
      <c r="B354">
        <f>IF(AND(Inputs!$B$38&lt;&gt;"pvp",Inputs!$B$43&gt;0),(((C321=TRUE)*R321*1)+((C322=TRUE)*R322*1)+((C324=TRUE)*R324*1)+((C325=TRUE)*R325*3)+((C327=TRUE)*R327*1))/Inputs!$B$43,((C321=TRUE)*Q321*1)+((C322=TRUE)*Q322*1)+((C324=TRUE)*Q324*1)+((C325=TRUE)*Q325*3)+((C327=TRUE)*Q327*1))+B349</f>
        <v/>
      </c>
    </row>
    <row r="357">
      <c r="A357" s="6" t="inlineStr">
        <is>
          <t>Stat: MIN_DAMAGE %</t>
        </is>
      </c>
    </row>
    <row r="358">
      <c r="A358" s="5" t="inlineStr">
        <is>
          <t>Key</t>
        </is>
      </c>
      <c r="B358" s="5" t="inlineStr">
        <is>
          <t>Name</t>
        </is>
      </c>
      <c r="C358" s="5" t="inlineStr">
        <is>
          <t>Unlocked</t>
        </is>
      </c>
      <c r="D358" s="5" t="inlineStr">
        <is>
          <t>InputLevel</t>
        </is>
      </c>
      <c r="E358" s="5" t="inlineStr">
        <is>
          <t>Factor</t>
        </is>
      </c>
      <c r="F358" s="5" t="inlineStr">
        <is>
          <t>CoefficientPercent</t>
        </is>
      </c>
      <c r="G358" s="5" t="inlineStr">
        <is>
          <t>EffectiveHits</t>
        </is>
      </c>
      <c r="H358" s="5" t="inlineStr">
        <is>
          <t>ProcProbability</t>
        </is>
      </c>
      <c r="I358" s="5" t="inlineStr">
        <is>
          <t>MapleHeroMultiplier</t>
        </is>
      </c>
      <c r="J358" s="5" t="inlineStr">
        <is>
          <t>BaseDamage</t>
        </is>
      </c>
      <c r="K358" s="5" t="inlineStr">
        <is>
          <t>BaseHitDamage</t>
        </is>
      </c>
      <c r="L358" s="5" t="inlineStr">
        <is>
          <t>NonCritAvg</t>
        </is>
      </c>
      <c r="M358" s="5" t="inlineStr">
        <is>
          <t>CritAvg</t>
        </is>
      </c>
      <c r="N358" s="5" t="inlineStr">
        <is>
          <t>ExpectedDamage(perHit)</t>
        </is>
      </c>
      <c r="O358" s="5" t="inlineStr">
        <is>
          <t>DPS</t>
        </is>
      </c>
      <c r="P358" s="5" t="inlineStr">
        <is>
          <t>% of Total</t>
        </is>
      </c>
      <c r="R358" t="inlineStr">
        <is>
          <t>helpers</t>
        </is>
      </c>
    </row>
    <row r="359">
      <c r="A359">
        <f>Skills!A2</f>
        <v/>
      </c>
      <c r="B359">
        <f>Skills!B2</f>
        <v/>
      </c>
      <c r="C359">
        <f>Inputs!$B$3&gt;=100</f>
        <v/>
      </c>
      <c r="D359" t="inlineStr"/>
      <c r="E359" t="inlineStr"/>
      <c r="F359">
        <f>T361+Skills!N2</f>
        <v/>
      </c>
      <c r="G359">
        <f>Calc!G2</f>
        <v/>
      </c>
      <c r="H359">
        <f>Calc!H2</f>
        <v/>
      </c>
      <c r="I359">
        <f>IF(Skills!T2&lt;&gt;"",1+(Skills!T2/10)*(Z360/1000)/100,1)</f>
        <v/>
      </c>
      <c r="J359">
        <f>((Inputs!$B$6*(1+Inputs!$B$7/100))+(((Inputs!$B$12*(1+Inputs!$B$13/100))-(Inputs!$B$12*(1+Inputs!$B$13/100)))+0.25*(Inputs!$B$14-Inputs!$B$14))*(1+Inputs!$B$7/100))*(F359/100)</f>
        <v/>
      </c>
      <c r="K359">
        <f>J359*(1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2="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359)</f>
        <v/>
      </c>
      <c r="L359">
        <f>K359*(MIN((Inputs!$B$22+1)+(F375-Calc!F18),(Inputs!$B$23+(IF(ArtifactsInput!$M$15,CHOOSE(ArtifactsInput!$N$15+1,25,30,35,40,45,50)/100*(Inputs!$B$11-Inputs!$B$11),0))))/100+(Inputs!$B$23+(IF(ArtifactsInput!$M$15,CHOOSE(ArtifactsInput!$N$15+1,25,30,35,40,45,50)/100*(Inputs!$B$11-Inputs!$B$11),0)))/100)/2</f>
        <v/>
      </c>
      <c r="M359">
        <f>L359*(1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9">
        <f>L359*(1-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359*(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9">
        <f>(1-Summary!$B$11)*S359+Summary!$B$11*U359</f>
        <v/>
      </c>
      <c r="P359">
        <f>IF(B394=0,0,O359/B394)</f>
        <v/>
      </c>
      <c r="Q359">
        <f>IFERROR(1/(IF(Inputs!$B$38="pvp",15,MAX(0.1,Skills!D2-IF(TRUE=TRUE,Inputs!$B$32,0)))*(1-IF(AND(ArtifactsInput!$M$27,Inputs!$B$4="Chapter Hunt"),CHOOSE(ArtifactsInput!$N$27+1,20,24,28,32,36,40),0)/100)),0)</f>
        <v/>
      </c>
      <c r="R359" t="n">
        <v>0</v>
      </c>
      <c r="S359">
        <f>IF(C359,(Skills!F2*N359*B390)*IF(Inputs!$B$38="pvp",1,1+(Inputs!$B$20+Skills!O2+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359*(1-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359*(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359*(1-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359*(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359">
        <f>MAX(0,(Inputs!$B$3-100)*3)+Inputs!$B$28+Inputs!$B$29</f>
        <v/>
      </c>
      <c r="U359">
        <f>IF(C359,(Skills!F2*N359*B390)*IF(Inputs!$B$38="pvp",1,(1+(Inputs!$B$21+Skills!P2+B385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359">
        <f>MAX(0,(Inputs!$B$3-100)*3)+Inputs!$B$28+Inputs!$B$29</f>
        <v/>
      </c>
    </row>
    <row r="360">
      <c r="A360">
        <f>Skills!A3</f>
        <v/>
      </c>
      <c r="B360">
        <f>Skills!B3</f>
        <v/>
      </c>
      <c r="C360">
        <f>Inputs!$B$3&gt;=15</f>
        <v/>
      </c>
      <c r="D360">
        <f>IF(Skills!C3=1,60+Inputs!$B$25+Inputs!$B$29,IF(Skills!C3=2,90+Inputs!$B$26+Inputs!$B$29,IF(Skills!C3=3,120+Inputs!$B$27+Inputs!$B$29,MAX(0,(Inputs!$B$3-100)*3)+Inputs!$B$28+Inputs!$B$29)))</f>
        <v/>
      </c>
      <c r="E360">
        <f>INDEX(FactorTable!$B$2:$Y$301, MATCH(ROUND(MIN(300,MAX(1,D360)),0), FactorTable!$A$2:$A$301,0), Skills!L3+1)</f>
        <v/>
      </c>
      <c r="F360">
        <f>IF(Skills!M3=TRUE,(Skills!K3/10)*(E360/1000),Skills!K3/10)+Skills!N3</f>
        <v/>
      </c>
      <c r="G360">
        <f>Calc!G3</f>
        <v/>
      </c>
      <c r="H360">
        <f>Calc!H3</f>
        <v/>
      </c>
      <c r="I360">
        <f>IF(Skills!T3&lt;&gt;"",1+(Skills!T3/10)*(Z360/1000)/100,1)</f>
        <v/>
      </c>
      <c r="J360" t="inlineStr"/>
      <c r="K360" t="inlineStr"/>
      <c r="L360" t="inlineStr"/>
      <c r="M360" t="inlineStr"/>
      <c r="N360" t="inlineStr"/>
      <c r="O360">
        <f>(1-Summary!$B$11)*S360+Summary!$B$11*U360</f>
        <v/>
      </c>
      <c r="P360">
        <f>IF(B394=0,0,O360/B394)</f>
        <v/>
      </c>
      <c r="Q360">
        <f>IFERROR(1/(IF(Inputs!$B$38="pvp",15,MAX(0.1,Skills!D3-IF(TRUE=TRUE,Inputs!$B$32,0)))*(1-IF(AND(ArtifactsInput!$M$27,Inputs!$B$4="Chapter Hunt"),CHOOSE(ArtifactsInput!$N$27+1,20,24,28,32,36,40),0)/100)),0)</f>
        <v/>
      </c>
      <c r="R360">
        <f>IF(AND(Inputs!$B$38&lt;&gt;"pvp",Inputs!$B$43&gt;0),IF(Inputs!$B$43&lt;=0,0,(INT(Inputs!$B$43/(IF(Inputs!$B$38="pvp",15,MAX(0.1,Skills!D3-IF(TRUE=TRUE,Inputs!$B$32,0)))*(1-IF(AND(ArtifactsInput!$M$27,Inputs!$B$4="Chapter Hunt"),CHOOSE(ArtifactsInput!$N$27+1,20,24,28,32,36,40),0)/100)))+1)),0)</f>
        <v/>
      </c>
      <c r="S360" t="n">
        <v>0</v>
      </c>
      <c r="T360">
        <f>INDEX(FactorTable!$B$2:$Y$301, MATCH(ROUND(MIN(300,MAX(1,T359)),0), FactorTable!$A$2:$A$301,0), 22)</f>
        <v/>
      </c>
      <c r="U360" t="n">
        <v>0</v>
      </c>
      <c r="Z360">
        <f>INDEX(FactorTable!$B$2:$Y$301, MATCH(ROUND(MIN(300,MAX(1,Z359)),0), FactorTable!$A$2:$A$301,0), 24)</f>
        <v/>
      </c>
    </row>
    <row r="361">
      <c r="A361">
        <f>Skills!A4</f>
        <v/>
      </c>
      <c r="B361">
        <f>Skills!B4</f>
        <v/>
      </c>
      <c r="C361">
        <f>Inputs!$B$3&gt;=40</f>
        <v/>
      </c>
      <c r="D361">
        <f>IF(Skills!C4=1,60+Inputs!$B$25+Inputs!$B$29,IF(Skills!C4=2,90+Inputs!$B$26+Inputs!$B$29,IF(Skills!C4=3,120+Inputs!$B$27+Inputs!$B$29,MAX(0,(Inputs!$B$3-100)*3)+Inputs!$B$28+Inputs!$B$29)))</f>
        <v/>
      </c>
      <c r="E361">
        <f>INDEX(FactorTable!$B$2:$Y$301, MATCH(ROUND(MIN(300,MAX(1,D361)),0), FactorTable!$A$2:$A$301,0), Skills!L4+1)</f>
        <v/>
      </c>
      <c r="F361">
        <f>IF(Skills!M4=TRUE,(Skills!K4/10)*(E361/1000),Skills!K4/10)+Skills!N4</f>
        <v/>
      </c>
      <c r="G361">
        <f>Calc!G4</f>
        <v/>
      </c>
      <c r="H361">
        <f>Calc!H4</f>
        <v/>
      </c>
      <c r="I361">
        <f>IF(Skills!T4&lt;&gt;"",1+(Skills!T4/10)*(Z360/1000)/100,1)</f>
        <v/>
      </c>
      <c r="J361" t="inlineStr"/>
      <c r="K361" t="inlineStr"/>
      <c r="L361" t="inlineStr"/>
      <c r="M361" t="inlineStr"/>
      <c r="N361" t="inlineStr"/>
      <c r="O361">
        <f>(1-Summary!$B$11)*S361+Summary!$B$11*U361</f>
        <v/>
      </c>
      <c r="P361">
        <f>IF(B394=0,0,O361/B394)</f>
        <v/>
      </c>
      <c r="Q361">
        <f>IFERROR(1/(IF(Inputs!$B$38="pvp",15,MAX(0.1,Skills!D4-IF(TRUE=TRUE,Inputs!$B$32,0)))*(1-IF(AND(ArtifactsInput!$M$27,Inputs!$B$4="Chapter Hunt"),CHOOSE(ArtifactsInput!$N$27+1,20,24,28,32,36,40),0)/100)),0)</f>
        <v/>
      </c>
      <c r="R361">
        <f>IF(AND(Inputs!$B$38&lt;&gt;"pvp",Inputs!$B$43&gt;0),IF(Inputs!$B$43&lt;=0,0,(INT(Inputs!$B$43/(IF(Inputs!$B$38="pvp",15,MAX(0.1,Skills!D4-IF(TRUE=TRUE,Inputs!$B$32,0)))*(1-IF(AND(ArtifactsInput!$M$27,Inputs!$B$4="Chapter Hunt"),CHOOSE(ArtifactsInput!$N$27+1,20,24,28,32,36,40),0)/100)))+1)),0)</f>
        <v/>
      </c>
      <c r="S361" t="n">
        <v>0</v>
      </c>
      <c r="T361">
        <f>290*T360/1000</f>
        <v/>
      </c>
      <c r="U361" t="n">
        <v>0</v>
      </c>
    </row>
    <row r="362">
      <c r="A362">
        <f>Skills!A5</f>
        <v/>
      </c>
      <c r="B362">
        <f>Skills!B5</f>
        <v/>
      </c>
      <c r="C362">
        <f>Inputs!$B$3&gt;=38</f>
        <v/>
      </c>
      <c r="D362">
        <f>IF(Skills!C5=1,60+Inputs!$B$25+Inputs!$B$29,IF(Skills!C5=2,90+Inputs!$B$26+Inputs!$B$29,IF(Skills!C5=3,120+Inputs!$B$27+Inputs!$B$29,MAX(0,(Inputs!$B$3-100)*3)+Inputs!$B$28+Inputs!$B$29)))</f>
        <v/>
      </c>
      <c r="E362">
        <f>INDEX(FactorTable!$B$2:$Y$301, MATCH(ROUND(MIN(300,MAX(1,D362)),0), FactorTable!$A$2:$A$301,0), Skills!L5+1)</f>
        <v/>
      </c>
      <c r="F362">
        <f>IF(Skills!M5=TRUE,(Skills!K5/10)*(E362/1000),Skills!K5/10)+Skills!N5</f>
        <v/>
      </c>
      <c r="G362">
        <f>Calc!G5</f>
        <v/>
      </c>
      <c r="H362">
        <f>Calc!H5</f>
        <v/>
      </c>
      <c r="I362">
        <f>IF(Skills!T5&lt;&gt;"",1+(Skills!T5/10)*(Z360/1000)/100,1)</f>
        <v/>
      </c>
      <c r="J362">
        <f>((Inputs!$B$6*(1+Inputs!$B$7/100))+(((Inputs!$B$12*(1+Inputs!$B$13/100))-(Inputs!$B$12*(1+Inputs!$B$13/100)))+0.25*(Inputs!$B$14-Inputs!$B$14))*(1+Inputs!$B$7/100))*(F362/100)</f>
        <v/>
      </c>
      <c r="K362">
        <f>J362*(1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5="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362)</f>
        <v/>
      </c>
      <c r="L362">
        <f>K362*(MIN((Inputs!$B$22+1)+(F375-Calc!F18),(Inputs!$B$23+(IF(ArtifactsInput!$M$15,CHOOSE(ArtifactsInput!$N$15+1,25,30,35,40,45,50)/100*(Inputs!$B$11-Inputs!$B$11),0))))/100+(Inputs!$B$23+(IF(ArtifactsInput!$M$15,CHOOSE(ArtifactsInput!$N$15+1,25,30,35,40,45,50)/100*(Inputs!$B$11-Inputs!$B$11),0)))/100)/2</f>
        <v/>
      </c>
      <c r="M362">
        <f>L362*(1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2">
        <f>L362*(1-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362*(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2">
        <f>(1-Summary!$B$11)*S362+Summary!$B$11*U362</f>
        <v/>
      </c>
      <c r="P362">
        <f>IF(B394=0,0,O362/B394)</f>
        <v/>
      </c>
      <c r="Q362">
        <f>IFERROR(1/(IF(Inputs!$B$38="pvp",15,MAX(0.1,Skills!D5-IF(TRUE=TRUE,Inputs!$B$32,0)))*(1-IF(AND(ArtifactsInput!$M$27,Inputs!$B$4="Chapter Hunt"),CHOOSE(ArtifactsInput!$N$27+1,20,24,28,32,36,40),0)/100)),0)</f>
        <v/>
      </c>
      <c r="R362">
        <f>IF(AND(Inputs!$B$38&lt;&gt;"pvp",Inputs!$B$43&gt;0),IF(MAX(0,Inputs!$B$43-B391)&lt;=0,0,(INT(MAX(0,Inputs!$B$43-B391)/(IF(Inputs!$B$38="pvp",15,MAX(0.1,Skills!D5-IF(TRUE=TRUE,Inputs!$B$32,0)))*(1-IF(AND(ArtifactsInput!$M$27,Inputs!$B$4="Chapter Hunt"),CHOOSE(ArtifactsInput!$N$27+1,20,24,28,32,36,40),0)/100)))+1)),0)</f>
        <v/>
      </c>
      <c r="S362">
        <f>IF(C362,(H362*N362*IF(AND(Inputs!$B$38&lt;&gt;"pvp",Inputs!$B$43&gt;0),((Skills!F5*((R362-1)*IF(Skills!G5&gt;0,Skills!H5/Skills!G5,1)+IF(Skills!G5&gt;0,MIN(Skills!H5,MAX(0,MAX(0,Inputs!$B$43-B391)-((R362-1)*(IF(Inputs!$B$38="pvp",15,MAX(0.1,Skills!D5-IF(TRUE=TRUE,Inputs!$B$32,0)))*(1-IF(AND(ArtifactsInput!$M$27,Inputs!$B$4="Chapter Hunt"),CHOOSE(ArtifactsInput!$N$27+1,20,24,28,32,36,40),0)/100)))))/Skills!G5,1)))/Inputs!$B$43),G362*Q362))*IF(Inputs!$B$38="pvp",1,1+(Inputs!$B$20+Skills!O5+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362*(1-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362*(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362*(1-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362*(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2">
        <f>IF(C362,(H362*N362*IF(AND(Inputs!$B$38&lt;&gt;"pvp",Inputs!$B$43&gt;0),((Skills!F5*((R362-1)*IF(Skills!G5&gt;0,Skills!H5/Skills!G5,1)+IF(Skills!G5&gt;0,MIN(Skills!H5,MAX(0,MAX(0,Inputs!$B$43-B391)-((R362-1)*(IF(Inputs!$B$38="pvp",15,MAX(0.1,Skills!D5-IF(TRUE=TRUE,Inputs!$B$32,0)))*(1-IF(AND(ArtifactsInput!$M$27,Inputs!$B$4="Chapter Hunt"),CHOOSE(ArtifactsInput!$N$27+1,20,24,28,32,36,40),0)/100)))))/Skills!G5,1)))/Inputs!$B$43),G362*Q362))*IF(Inputs!$B$38="pvp",1,(1+(Inputs!$B$21+Skills!P5+B385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3">
      <c r="A363">
        <f>Skills!A6</f>
        <v/>
      </c>
      <c r="B363">
        <f>Skills!B6</f>
        <v/>
      </c>
      <c r="C363">
        <f>Inputs!$B$3&gt;=63</f>
        <v/>
      </c>
      <c r="D363">
        <f>IF(Skills!C6=1,60+Inputs!$B$25+Inputs!$B$29,IF(Skills!C6=2,90+Inputs!$B$26+Inputs!$B$29,IF(Skills!C6=3,120+Inputs!$B$27+Inputs!$B$29,MAX(0,(Inputs!$B$3-100)*3)+Inputs!$B$28+Inputs!$B$29)))</f>
        <v/>
      </c>
      <c r="E363">
        <f>INDEX(FactorTable!$B$2:$Y$301, MATCH(ROUND(MIN(300,MAX(1,D363)),0), FactorTable!$A$2:$A$301,0), Skills!L6+1)</f>
        <v/>
      </c>
      <c r="F363">
        <f>IF(Skills!M6=TRUE,(Skills!K6/10)*(E363/1000),Skills!K6/10)+Skills!N6</f>
        <v/>
      </c>
      <c r="G363">
        <f>Calc!G6</f>
        <v/>
      </c>
      <c r="H363">
        <f>Calc!H6</f>
        <v/>
      </c>
      <c r="I363">
        <f>IF(Skills!T6&lt;&gt;"",1+(Skills!T6/10)*(Z360/1000)/100,1)</f>
        <v/>
      </c>
      <c r="J363">
        <f>((Inputs!$B$6*(1+Inputs!$B$7/100))+(((Inputs!$B$12*(1+Inputs!$B$13/100))-(Inputs!$B$12*(1+Inputs!$B$13/100)))+0.25*(Inputs!$B$14-Inputs!$B$14))*(1+Inputs!$B$7/100))*(F363/100)</f>
        <v/>
      </c>
      <c r="K363">
        <f>J363*(1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6="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363)</f>
        <v/>
      </c>
      <c r="L363">
        <f>K363*(MIN((Inputs!$B$22+1)+(F375-Calc!F18),(Inputs!$B$23+(IF(ArtifactsInput!$M$15,CHOOSE(ArtifactsInput!$N$15+1,25,30,35,40,45,50)/100*(Inputs!$B$11-Inputs!$B$11),0))))/100+(Inputs!$B$23+(IF(ArtifactsInput!$M$15,CHOOSE(ArtifactsInput!$N$15+1,25,30,35,40,45,50)/100*(Inputs!$B$11-Inputs!$B$11),0)))/100)/2</f>
        <v/>
      </c>
      <c r="M363">
        <f>L363*(1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3">
        <f>L363*(1-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363*(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3">
        <f>(1-Summary!$B$11)*S363+Summary!$B$11*U363</f>
        <v/>
      </c>
      <c r="P363">
        <f>IF(B394=0,0,O363/B394)</f>
        <v/>
      </c>
      <c r="Q363">
        <f>IFERROR(1/(IF(Inputs!$B$38="pvp",15,MAX(0.1,Skills!D6-IF(TRUE=TRUE,Inputs!$B$32,0)))*(1-IF(AND(ArtifactsInput!$M$27,Inputs!$B$4="Chapter Hunt"),CHOOSE(ArtifactsInput!$N$27+1,20,24,28,32,36,40),0)/100)),0)</f>
        <v/>
      </c>
      <c r="R363">
        <f>IF(AND(Inputs!$B$38&lt;&gt;"pvp",Inputs!$B$43&gt;0),IF(MAX(0,Inputs!$B$43-B391)&lt;=0,0,(INT(MAX(0,Inputs!$B$43-B391)/(IF(Inputs!$B$38="pvp",15,MAX(0.1,Skills!D6-IF(TRUE=TRUE,Inputs!$B$32,0)))*(1-IF(AND(ArtifactsInput!$M$27,Inputs!$B$4="Chapter Hunt"),CHOOSE(ArtifactsInput!$N$27+1,20,24,28,32,36,40),0)/100)))+1)),0)</f>
        <v/>
      </c>
      <c r="S363">
        <f>IF(C363,(H363*N363*IF(AND(Inputs!$B$38&lt;&gt;"pvp",Inputs!$B$43&gt;0),((Skills!F6*((R363-1)*IF(Skills!G6&gt;0,Skills!H6/Skills!G6,1)+IF(Skills!G6&gt;0,MIN(Skills!H6,MAX(0,MAX(0,Inputs!$B$43-B391)-((R363-1)*(IF(Inputs!$B$38="pvp",15,MAX(0.1,Skills!D6-IF(TRUE=TRUE,Inputs!$B$32,0)))*(1-IF(AND(ArtifactsInput!$M$27,Inputs!$B$4="Chapter Hunt"),CHOOSE(ArtifactsInput!$N$27+1,20,24,28,32,36,40),0)/100)))))/Skills!G6,1)))/Inputs!$B$43),G363*Q363))*IF(Inputs!$B$38="pvp",1,1+(Inputs!$B$20+Skills!O6+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363*(1-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363*(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363*(1-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363*(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3">
        <f>IF(C363,(H363*N363*IF(AND(Inputs!$B$38&lt;&gt;"pvp",Inputs!$B$43&gt;0),((Skills!F6*((R363-1)*IF(Skills!G6&gt;0,Skills!H6/Skills!G6,1)+IF(Skills!G6&gt;0,MIN(Skills!H6,MAX(0,MAX(0,Inputs!$B$43-B391)-((R363-1)*(IF(Inputs!$B$38="pvp",15,MAX(0.1,Skills!D6-IF(TRUE=TRUE,Inputs!$B$32,0)))*(1-IF(AND(ArtifactsInput!$M$27,Inputs!$B$4="Chapter Hunt"),CHOOSE(ArtifactsInput!$N$27+1,20,24,28,32,36,40),0)/100)))))/Skills!G6,1)))/Inputs!$B$43),G363*Q363))*IF(Inputs!$B$38="pvp",1,(1+(Inputs!$B$21+Skills!P6+B385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4">
      <c r="A364">
        <f>Skills!A7</f>
        <v/>
      </c>
      <c r="B364">
        <f>Skills!B7</f>
        <v/>
      </c>
      <c r="C364">
        <f>Inputs!$B$3&gt;=69</f>
        <v/>
      </c>
      <c r="D364">
        <f>IF(Skills!C7=1,60+Inputs!$B$25+Inputs!$B$29,IF(Skills!C7=2,90+Inputs!$B$26+Inputs!$B$29,IF(Skills!C7=3,120+Inputs!$B$27+Inputs!$B$29,MAX(0,(Inputs!$B$3-100)*3)+Inputs!$B$28+Inputs!$B$29)))</f>
        <v/>
      </c>
      <c r="E364">
        <f>INDEX(FactorTable!$B$2:$Y$301, MATCH(ROUND(MIN(300,MAX(1,D364)),0), FactorTable!$A$2:$A$301,0), Skills!L7+1)</f>
        <v/>
      </c>
      <c r="F364">
        <f>IF(Skills!M7=TRUE,(Skills!K7/10)*(E364/1000),Skills!K7/10)+Skills!N7</f>
        <v/>
      </c>
      <c r="G364">
        <f>Calc!G7</f>
        <v/>
      </c>
      <c r="H364">
        <f>Calc!H7</f>
        <v/>
      </c>
      <c r="I364">
        <f>IF(Skills!T7&lt;&gt;"",1+(Skills!T7/10)*(Z360/1000)/100,1)</f>
        <v/>
      </c>
      <c r="J364">
        <f>((Inputs!$B$6*(1+Inputs!$B$7/100))+(((Inputs!$B$12*(1+Inputs!$B$13/100))-(Inputs!$B$12*(1+Inputs!$B$13/100)))+0.25*(Inputs!$B$14-Inputs!$B$14))*(1+Inputs!$B$7/100))*(F364/100)</f>
        <v/>
      </c>
      <c r="K364">
        <f>J364*(1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7="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364)</f>
        <v/>
      </c>
      <c r="L364">
        <f>K364*(MIN((Inputs!$B$22+1)+(F375-Calc!F18),(Inputs!$B$23+(IF(ArtifactsInput!$M$15,CHOOSE(ArtifactsInput!$N$15+1,25,30,35,40,45,50)/100*(Inputs!$B$11-Inputs!$B$11),0))))/100+(Inputs!$B$23+(IF(ArtifactsInput!$M$15,CHOOSE(ArtifactsInput!$N$15+1,25,30,35,40,45,50)/100*(Inputs!$B$11-Inputs!$B$11),0)))/100)/2</f>
        <v/>
      </c>
      <c r="M364">
        <f>L364*(1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4">
        <f>L364*(1-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364*(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4">
        <f>(1-Summary!$B$11)*S364+Summary!$B$11*U364</f>
        <v/>
      </c>
      <c r="P364">
        <f>IF(B394=0,0,O364/B394)</f>
        <v/>
      </c>
      <c r="Q364">
        <f>IFERROR(1/(IF(Inputs!$B$38="pvp",15,MAX(0.1,Skills!D7-IF(TRUE=TRUE,Inputs!$B$32,0)))*(1-IF(AND(ArtifactsInput!$M$27,Inputs!$B$4="Chapter Hunt"),CHOOSE(ArtifactsInput!$N$27+1,20,24,28,32,36,40),0)/100)),0)</f>
        <v/>
      </c>
      <c r="R364">
        <f>IF(AND(Inputs!$B$38&lt;&gt;"pvp",Inputs!$B$43&gt;0),IF(MAX(0,Inputs!$B$43-B391)&lt;=0,0,(INT(MAX(0,Inputs!$B$43-B391)/(IF(Inputs!$B$38="pvp",15,MAX(0.1,Skills!D7-IF(TRUE=TRUE,Inputs!$B$32,0)))*(1-IF(AND(ArtifactsInput!$M$27,Inputs!$B$4="Chapter Hunt"),CHOOSE(ArtifactsInput!$N$27+1,20,24,28,32,36,40),0)/100)))+1)),0)</f>
        <v/>
      </c>
      <c r="S364">
        <f>IF(C364,(H364*N364*IF(AND(Inputs!$B$38&lt;&gt;"pvp",Inputs!$B$43&gt;0),((Skills!F7*((R364-1)*IF(Skills!G7&gt;0,Skills!H7/Skills!G7,1)+IF(Skills!G7&gt;0,MIN(Skills!H7,MAX(0,MAX(0,Inputs!$B$43-B391)-((R364-1)*(IF(Inputs!$B$38="pvp",15,MAX(0.1,Skills!D7-IF(TRUE=TRUE,Inputs!$B$32,0)))*(1-IF(AND(ArtifactsInput!$M$27,Inputs!$B$4="Chapter Hunt"),CHOOSE(ArtifactsInput!$N$27+1,20,24,28,32,36,40),0)/100)))))/Skills!G7,1)))/Inputs!$B$43),G364*Q364))*IF(Inputs!$B$38="pvp",1,1+(Inputs!$B$20+Skills!O7+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364*(1-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364*(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364*(1-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364*(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4">
        <f>IF(C364,(H364*N364*IF(AND(Inputs!$B$38&lt;&gt;"pvp",Inputs!$B$43&gt;0),((Skills!F7*((R364-1)*IF(Skills!G7&gt;0,Skills!H7/Skills!G7,1)+IF(Skills!G7&gt;0,MIN(Skills!H7,MAX(0,MAX(0,Inputs!$B$43-B391)-((R364-1)*(IF(Inputs!$B$38="pvp",15,MAX(0.1,Skills!D7-IF(TRUE=TRUE,Inputs!$B$32,0)))*(1-IF(AND(ArtifactsInput!$M$27,Inputs!$B$4="Chapter Hunt"),CHOOSE(ArtifactsInput!$N$27+1,20,24,28,32,36,40),0)/100)))))/Skills!G7,1)))/Inputs!$B$43),G364*Q364))*IF(Inputs!$B$38="pvp",1,(1+(Inputs!$B$21+Skills!P7+B385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5">
      <c r="A365">
        <f>Skills!A8</f>
        <v/>
      </c>
      <c r="B365">
        <f>Skills!B8</f>
        <v/>
      </c>
      <c r="C365">
        <f>Inputs!$B$3&gt;=103</f>
        <v/>
      </c>
      <c r="D365">
        <f>IF(Skills!C8=1,60+Inputs!$B$25+Inputs!$B$29,IF(Skills!C8=2,90+Inputs!$B$26+Inputs!$B$29,IF(Skills!C8=3,120+Inputs!$B$27+Inputs!$B$29,MAX(0,(Inputs!$B$3-100)*3)+Inputs!$B$28+Inputs!$B$29)))</f>
        <v/>
      </c>
      <c r="E365">
        <f>INDEX(FactorTable!$B$2:$Y$301, MATCH(ROUND(MIN(300,MAX(1,D365)),0), FactorTable!$A$2:$A$301,0), Skills!L8+1)</f>
        <v/>
      </c>
      <c r="F365">
        <f>IF(Skills!M8=TRUE,(Skills!K8/10)*(E365/1000),Skills!K8/10)+Skills!N8</f>
        <v/>
      </c>
      <c r="G365">
        <f>Calc!G8</f>
        <v/>
      </c>
      <c r="H365">
        <f>Calc!H8</f>
        <v/>
      </c>
      <c r="I365">
        <f>IF(Skills!T8&lt;&gt;"",1+(Skills!T8/10)*(Z360/1000)/100,1)</f>
        <v/>
      </c>
      <c r="J365">
        <f>((Inputs!$B$6*(1+Inputs!$B$7/100))+(((Inputs!$B$12*(1+Inputs!$B$13/100))-(Inputs!$B$12*(1+Inputs!$B$13/100)))+0.25*(Inputs!$B$14-Inputs!$B$14))*(1+Inputs!$B$7/100))*(F365/100)</f>
        <v/>
      </c>
      <c r="K365">
        <f>J365*(1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8="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365)</f>
        <v/>
      </c>
      <c r="L365">
        <f>K365*(MIN((Inputs!$B$22+1)+(F375-Calc!F18),(Inputs!$B$23+(IF(ArtifactsInput!$M$15,CHOOSE(ArtifactsInput!$N$15+1,25,30,35,40,45,50)/100*(Inputs!$B$11-Inputs!$B$11),0))))/100+(Inputs!$B$23+(IF(ArtifactsInput!$M$15,CHOOSE(ArtifactsInput!$N$15+1,25,30,35,40,45,50)/100*(Inputs!$B$11-Inputs!$B$11),0)))/100)/2</f>
        <v/>
      </c>
      <c r="M365">
        <f>L365*(1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5">
        <f>L365*(1-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365*(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5">
        <f>(1-Summary!$B$11)*S365+Summary!$B$11*U365</f>
        <v/>
      </c>
      <c r="P365">
        <f>IF(B394=0,0,O365/B394)</f>
        <v/>
      </c>
      <c r="Q365">
        <f>IFERROR(1/(IF(Inputs!$B$38="pvp",15,MAX(0.1,Skills!D8-IF(TRUE=TRUE,Inputs!$B$32,0)))*(1-IF(AND(ArtifactsInput!$M$27,Inputs!$B$4="Chapter Hunt"),CHOOSE(ArtifactsInput!$N$27+1,20,24,28,32,36,40),0)/100)),0)</f>
        <v/>
      </c>
      <c r="R365">
        <f>IF(AND(Inputs!$B$38&lt;&gt;"pvp",Inputs!$B$43&gt;0),IF(MAX(0,Inputs!$B$43-B391)&lt;=0,0,(INT(MAX(0,Inputs!$B$43-B391)/(IF(Inputs!$B$38="pvp",15,MAX(0.1,Skills!D8-IF(TRUE=TRUE,Inputs!$B$32,0)))*(1-IF(AND(ArtifactsInput!$M$27,Inputs!$B$4="Chapter Hunt"),CHOOSE(ArtifactsInput!$N$27+1,20,24,28,32,36,40),0)/100)))+1)),0)</f>
        <v/>
      </c>
      <c r="S365">
        <f>IF(C365,(H365*N365*IF(AND(Inputs!$B$38&lt;&gt;"pvp",Inputs!$B$43&gt;0),((Skills!F8*((R365-1)*IF(Skills!G8&gt;0,Skills!H8/Skills!G8,1)+IF(Skills!G8&gt;0,MIN(Skills!H8,MAX(0,MAX(0,Inputs!$B$43-B391)-((R365-1)*(IF(Inputs!$B$38="pvp",15,MAX(0.1,Skills!D8-IF(TRUE=TRUE,Inputs!$B$32,0)))*(1-IF(AND(ArtifactsInput!$M$27,Inputs!$B$4="Chapter Hunt"),CHOOSE(ArtifactsInput!$N$27+1,20,24,28,32,36,40),0)/100)))))/Skills!G8,1)))/Inputs!$B$43),G365*Q365))*IF(Inputs!$B$38="pvp",1,1+(Inputs!$B$20+Skills!O8+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365*(1-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365*(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365*(1-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365*(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5">
        <f>IF(C365,(H365*N365*IF(AND(Inputs!$B$38&lt;&gt;"pvp",Inputs!$B$43&gt;0),((Skills!F8*((R365-1)*IF(Skills!G8&gt;0,Skills!H8/Skills!G8,1)+IF(Skills!G8&gt;0,MIN(Skills!H8,MAX(0,MAX(0,Inputs!$B$43-B391)-((R365-1)*(IF(Inputs!$B$38="pvp",15,MAX(0.1,Skills!D8-IF(TRUE=TRUE,Inputs!$B$32,0)))*(1-IF(AND(ArtifactsInput!$M$27,Inputs!$B$4="Chapter Hunt"),CHOOSE(ArtifactsInput!$N$27+1,20,24,28,32,36,40),0)/100)))))/Skills!G8,1)))/Inputs!$B$43),G365*Q365))*IF(Inputs!$B$38="pvp",1,(1+(Inputs!$B$21+Skills!P8+B385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6">
      <c r="A366">
        <f>Skills!A9</f>
        <v/>
      </c>
      <c r="B366">
        <f>Skills!B9</f>
        <v/>
      </c>
      <c r="C366">
        <f>Inputs!$B$3&gt;=105</f>
        <v/>
      </c>
      <c r="D366">
        <f>IF(Skills!C9=1,60+Inputs!$B$25+Inputs!$B$29,IF(Skills!C9=2,90+Inputs!$B$26+Inputs!$B$29,IF(Skills!C9=3,120+Inputs!$B$27+Inputs!$B$29,MAX(0,(Inputs!$B$3-100)*3)+Inputs!$B$28+Inputs!$B$29)))</f>
        <v/>
      </c>
      <c r="E366">
        <f>INDEX(FactorTable!$B$2:$Y$301, MATCH(ROUND(MIN(300,MAX(1,D366)),0), FactorTable!$A$2:$A$301,0), Skills!L9+1)</f>
        <v/>
      </c>
      <c r="F366">
        <f>IF(Skills!M9=TRUE,(Skills!K9/10)*(E366/1000),Skills!K9/10)+Skills!N9</f>
        <v/>
      </c>
      <c r="G366">
        <f>Calc!G9</f>
        <v/>
      </c>
      <c r="H366">
        <f>Calc!H9</f>
        <v/>
      </c>
      <c r="I366">
        <f>IF(Skills!T9&lt;&gt;"",1+(Skills!T9/10)*(Z360/1000)/100,1)</f>
        <v/>
      </c>
      <c r="J366">
        <f>((Inputs!$B$6*(1+Inputs!$B$7/100))+(((Inputs!$B$12*(1+Inputs!$B$13/100))-(Inputs!$B$12*(1+Inputs!$B$13/100)))+0.25*(Inputs!$B$14-Inputs!$B$14))*(1+Inputs!$B$7/100))*(F366/100)</f>
        <v/>
      </c>
      <c r="K366">
        <f>J366*(1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9="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366)</f>
        <v/>
      </c>
      <c r="L366">
        <f>K366*(MIN((Inputs!$B$22+1)+(F375-Calc!F18),(Inputs!$B$23+(IF(ArtifactsInput!$M$15,CHOOSE(ArtifactsInput!$N$15+1,25,30,35,40,45,50)/100*(Inputs!$B$11-Inputs!$B$11),0))))/100+(Inputs!$B$23+(IF(ArtifactsInput!$M$15,CHOOSE(ArtifactsInput!$N$15+1,25,30,35,40,45,50)/100*(Inputs!$B$11-Inputs!$B$11),0)))/100)/2</f>
        <v/>
      </c>
      <c r="M366">
        <f>L366*(1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6">
        <f>L366*(1-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366*(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6">
        <f>(1-Summary!$B$11)*S366+Summary!$B$11*U366</f>
        <v/>
      </c>
      <c r="P366">
        <f>IF(B394=0,0,O366/B394)</f>
        <v/>
      </c>
      <c r="Q366">
        <f>IFERROR(1/(IF(Inputs!$B$38="pvp",15,MAX(0.1,Skills!D9-IF(TRUE=TRUE,Inputs!$B$32,0)))*(1-IF(AND(ArtifactsInput!$M$27,Inputs!$B$4="Chapter Hunt"),CHOOSE(ArtifactsInput!$N$27+1,20,24,28,32,36,40),0)/100)),0)</f>
        <v/>
      </c>
      <c r="R366">
        <f>IF(AND(Inputs!$B$38&lt;&gt;"pvp",Inputs!$B$43&gt;0),IF(MAX(0,Inputs!$B$43-B391)&lt;=0,0,(INT(MAX(0,Inputs!$B$43-B391)/(IF(Inputs!$B$38="pvp",15,MAX(0.1,Skills!D9-IF(TRUE=TRUE,Inputs!$B$32,0)))*(1-IF(AND(ArtifactsInput!$M$27,Inputs!$B$4="Chapter Hunt"),CHOOSE(ArtifactsInput!$N$27+1,20,24,28,32,36,40),0)/100)))+1)),0)</f>
        <v/>
      </c>
      <c r="S366">
        <f>IF(C366,(H366*N366*IF(AND(Inputs!$B$38&lt;&gt;"pvp",Inputs!$B$43&gt;0),((Skills!F9*((R366-1)*IF(Skills!G9&gt;0,Skills!H9/Skills!G9,1)+IF(Skills!G9&gt;0,MIN(Skills!H9,MAX(0,MAX(0,Inputs!$B$43-B391)-((R366-1)*(IF(Inputs!$B$38="pvp",15,MAX(0.1,Skills!D9-IF(TRUE=TRUE,Inputs!$B$32,0)))*(1-IF(AND(ArtifactsInput!$M$27,Inputs!$B$4="Chapter Hunt"),CHOOSE(ArtifactsInput!$N$27+1,20,24,28,32,36,40),0)/100)))))/Skills!G9,1)))/Inputs!$B$43),G366*Q366))*IF(Inputs!$B$38="pvp",1,1+(Inputs!$B$20+Skills!O9+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366*(1-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366*(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366*(1-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366*(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6">
        <f>IF(C366,(H366*N366*IF(AND(Inputs!$B$38&lt;&gt;"pvp",Inputs!$B$43&gt;0),((Skills!F9*((R366-1)*IF(Skills!G9&gt;0,Skills!H9/Skills!G9,1)+IF(Skills!G9&gt;0,MIN(Skills!H9,MAX(0,MAX(0,Inputs!$B$43-B391)-((R366-1)*(IF(Inputs!$B$38="pvp",15,MAX(0.1,Skills!D9-IF(TRUE=TRUE,Inputs!$B$32,0)))*(1-IF(AND(ArtifactsInput!$M$27,Inputs!$B$4="Chapter Hunt"),CHOOSE(ArtifactsInput!$N$27+1,20,24,28,32,36,40),0)/100)))))/Skills!G9,1)))/Inputs!$B$43),G366*Q366))*IF(Inputs!$B$38="pvp",1,(1+(Inputs!$B$21+Skills!P9+B385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7">
      <c r="A367">
        <f>Skills!A10</f>
        <v/>
      </c>
      <c r="B367">
        <f>Skills!B10</f>
        <v/>
      </c>
      <c r="C367">
        <f>Inputs!$B$3&gt;=113</f>
        <v/>
      </c>
      <c r="D367">
        <f>IF(Skills!C10=1,60+Inputs!$B$25+Inputs!$B$29,IF(Skills!C10=2,90+Inputs!$B$26+Inputs!$B$29,IF(Skills!C10=3,120+Inputs!$B$27+Inputs!$B$29,MAX(0,(Inputs!$B$3-100)*3)+Inputs!$B$28+Inputs!$B$29)))</f>
        <v/>
      </c>
      <c r="E367">
        <f>INDEX(FactorTable!$B$2:$Y$301, MATCH(ROUND(MIN(300,MAX(1,D367)),0), FactorTable!$A$2:$A$301,0), Skills!L10+1)</f>
        <v/>
      </c>
      <c r="F367">
        <f>IF(Skills!M10=TRUE,(Skills!K10/10)*(E367/1000),Skills!K10/10)+Skills!N10</f>
        <v/>
      </c>
      <c r="G367">
        <f>Calc!G10</f>
        <v/>
      </c>
      <c r="H367">
        <f>Calc!H10</f>
        <v/>
      </c>
      <c r="I367">
        <f>IF(Skills!T10&lt;&gt;"",1+(Skills!T10/10)*(Z360/1000)/100,1)</f>
        <v/>
      </c>
      <c r="J367">
        <f>((Inputs!$B$6*(1+Inputs!$B$7/100))+(((Inputs!$B$12*(1+Inputs!$B$13/100))-(Inputs!$B$12*(1+Inputs!$B$13/100)))+0.25*(Inputs!$B$14-Inputs!$B$14))*(1+Inputs!$B$7/100))*(F367/100)</f>
        <v/>
      </c>
      <c r="K367">
        <f>J367*(1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10="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367)</f>
        <v/>
      </c>
      <c r="L367">
        <f>K367*(MIN((Inputs!$B$22+1)+(F375-Calc!F18),(Inputs!$B$23+(IF(ArtifactsInput!$M$15,CHOOSE(ArtifactsInput!$N$15+1,25,30,35,40,45,50)/100*(Inputs!$B$11-Inputs!$B$11),0))))/100+(Inputs!$B$23+(IF(ArtifactsInput!$M$15,CHOOSE(ArtifactsInput!$N$15+1,25,30,35,40,45,50)/100*(Inputs!$B$11-Inputs!$B$11),0)))/100)/2</f>
        <v/>
      </c>
      <c r="M367">
        <f>L367*(1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7">
        <f>L367*(1-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367*(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7">
        <f>(1-Summary!$B$11)*S367+Summary!$B$11*U367</f>
        <v/>
      </c>
      <c r="P367">
        <f>IF(B394=0,0,O367/B394)</f>
        <v/>
      </c>
      <c r="Q367">
        <f>IFERROR(1/(IF(Inputs!$B$38="pvp",15,MAX(0.1,Skills!D10-IF(TRUE=TRUE,Inputs!$B$32,0)))*(1-IF(AND(ArtifactsInput!$M$27,Inputs!$B$4="Chapter Hunt"),CHOOSE(ArtifactsInput!$N$27+1,20,24,28,32,36,40),0)/100)),0)</f>
        <v/>
      </c>
      <c r="R367" t="n">
        <v>0</v>
      </c>
      <c r="S367">
        <f>IF(C367,((H367*B395)/(1+Skills!G10*H367*B395)*N367)*IF(Inputs!$B$38="pvp",1,1+(Inputs!$B$20+Skills!O10+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367*(1-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367*(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367*(1-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367*(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7">
        <f>IF(C367,((H367*B395)/(1+Skills!G10*H367*B395)*N367)*IF(Inputs!$B$38="pvp",1,(1+(Inputs!$B$21+Skills!P10+B385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8">
      <c r="A368">
        <f>Skills!A11</f>
        <v/>
      </c>
      <c r="B368">
        <f>Skills!B11</f>
        <v/>
      </c>
      <c r="C368">
        <f>Inputs!$B$3&gt;=107</f>
        <v/>
      </c>
      <c r="D368">
        <f>IF(Skills!C11=1,60+Inputs!$B$25+Inputs!$B$29,IF(Skills!C11=2,90+Inputs!$B$26+Inputs!$B$29,IF(Skills!C11=3,120+Inputs!$B$27+Inputs!$B$29,MAX(0,(Inputs!$B$3-100)*3)+Inputs!$B$28+Inputs!$B$29)))</f>
        <v/>
      </c>
      <c r="E368">
        <f>INDEX(FactorTable!$B$2:$Y$301, MATCH(ROUND(MIN(300,MAX(1,D368)),0), FactorTable!$A$2:$A$301,0), Skills!L11+1)</f>
        <v/>
      </c>
      <c r="F368">
        <f>IF(Skills!M11=TRUE,(Skills!K11/10)*(E368/1000),Skills!K11/10)+Skills!N11</f>
        <v/>
      </c>
      <c r="G368">
        <f>Calc!G11</f>
        <v/>
      </c>
      <c r="H368">
        <f>Calc!H11</f>
        <v/>
      </c>
      <c r="I368">
        <f>IF(Skills!T11&lt;&gt;"",1+(Skills!T11/10)*(Z360/1000)/100,1)</f>
        <v/>
      </c>
      <c r="J368">
        <f>((Inputs!$B$6*(1+Inputs!$B$7/100))+(((Inputs!$B$12*(1+Inputs!$B$13/100))-(Inputs!$B$12*(1+Inputs!$B$13/100)))+0.25*(Inputs!$B$14-Inputs!$B$14))*(1+Inputs!$B$7/100))*(F368/100)</f>
        <v/>
      </c>
      <c r="K368">
        <f>J368*(1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11="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368)</f>
        <v/>
      </c>
      <c r="L368">
        <f>K368*(MIN((Inputs!$B$22+1)+(F375-Calc!F18),(Inputs!$B$23+(IF(ArtifactsInput!$M$15,CHOOSE(ArtifactsInput!$N$15+1,25,30,35,40,45,50)/100*(Inputs!$B$11-Inputs!$B$11),0))))/100+(Inputs!$B$23+(IF(ArtifactsInput!$M$15,CHOOSE(ArtifactsInput!$N$15+1,25,30,35,40,45,50)/100*(Inputs!$B$11-Inputs!$B$11),0)))/100)/2</f>
        <v/>
      </c>
      <c r="M368">
        <f>L368*(1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8">
        <f>L368*(1-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368*(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8">
        <f>(1-Summary!$B$11)*S368+Summary!$B$11*U368</f>
        <v/>
      </c>
      <c r="P368">
        <f>IF(B394=0,0,O368/B394)</f>
        <v/>
      </c>
      <c r="Q368">
        <f>IFERROR(1/(IF(Inputs!$B$38="pvp",15,MAX(0.1,Skills!D11-IF(TRUE=TRUE,Inputs!$B$32,0)))*(1-IF(AND(ArtifactsInput!$M$27,Inputs!$B$4="Chapter Hunt"),CHOOSE(ArtifactsInput!$N$27+1,20,24,28,32,36,40),0)/100)),0)</f>
        <v/>
      </c>
      <c r="R368">
        <f>IF(AND(Inputs!$B$38&lt;&gt;"pvp",Inputs!$B$43&gt;0),IF(MAX(0,Inputs!$B$43-B391)&lt;=0,0,(INT(MAX(0,Inputs!$B$43-B391)/(IF(Inputs!$B$38="pvp",15,MAX(0.1,Skills!D11-IF(TRUE=TRUE,Inputs!$B$32,0)))*(1-IF(AND(ArtifactsInput!$M$27,Inputs!$B$4="Chapter Hunt"),CHOOSE(ArtifactsInput!$N$27+1,20,24,28,32,36,40),0)/100)))+1)),0)</f>
        <v/>
      </c>
      <c r="S368">
        <f>IF(C368,H368*N368*IF(AND(Inputs!$B$38&lt;&gt;"pvp",Inputs!$B$43&gt;0),((Skills!F11*((R368-1)*IF(Skills!G11&gt;0,Skills!H11/Skills!G11,1)+IF(Skills!G11&gt;0,MIN(Skills!H11,MAX(0,MAX(0,Inputs!$B$43-B391)-((R368-1)*(IF(Inputs!$B$38="pvp",15,MAX(0.1,Skills!D11-IF(TRUE=TRUE,Inputs!$B$32,0)))*(1-IF(AND(ArtifactsInput!$M$27,Inputs!$B$4="Chapter Hunt"),CHOOSE(ArtifactsInput!$N$27+1,20,24,28,32,36,40),0)/100)))))/Skills!G11,1)))/Inputs!$B$43),G368*Q368)*0.5*IF(Inputs!$B$38="pvp",1,1+(Inputs!$B$20+Skills!O11+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368*(1-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368*(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368*(1-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368*(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8">
        <f>IF(C368,H368*N368*IF(AND(Inputs!$B$38&lt;&gt;"pvp",Inputs!$B$43&gt;0),((Skills!F11*((R368-1)*IF(Skills!G11&gt;0,Skills!H11/Skills!G11,1)+IF(Skills!G11&gt;0,MIN(Skills!H11,MAX(0,MAX(0,Inputs!$B$43-B391)-((R368-1)*(IF(Inputs!$B$38="pvp",15,MAX(0.1,Skills!D11-IF(TRUE=TRUE,Inputs!$B$32,0)))*(1-IF(AND(ArtifactsInput!$M$27,Inputs!$B$4="Chapter Hunt"),CHOOSE(ArtifactsInput!$N$27+1,20,24,28,32,36,40),0)/100)))))/Skills!G11,1)))/Inputs!$B$43),G368*Q368)*1*IF(Inputs!$B$38="pvp",1,(1+(Inputs!$B$21+Skills!P11+B385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69">
      <c r="A369">
        <f>Skills!A12</f>
        <v/>
      </c>
      <c r="B369">
        <f>Skills!B12</f>
        <v/>
      </c>
      <c r="C369">
        <f>Inputs!$B$3&gt;=115</f>
        <v/>
      </c>
      <c r="D369">
        <f>IF(Skills!C12=1,60+Inputs!$B$25+Inputs!$B$29,IF(Skills!C12=2,90+Inputs!$B$26+Inputs!$B$29,IF(Skills!C12=3,120+Inputs!$B$27+Inputs!$B$29,MAX(0,(Inputs!$B$3-100)*3)+Inputs!$B$28+Inputs!$B$29)))</f>
        <v/>
      </c>
      <c r="E369">
        <f>INDEX(FactorTable!$B$2:$Y$301, MATCH(ROUND(MIN(300,MAX(1,D369)),0), FactorTable!$A$2:$A$301,0), Skills!L12+1)</f>
        <v/>
      </c>
      <c r="F369">
        <f>IF(Skills!M12=TRUE,(Skills!K12/10)*(E369/1000),Skills!K12/10)+Skills!N12</f>
        <v/>
      </c>
      <c r="G369">
        <f>Calc!G12</f>
        <v/>
      </c>
      <c r="H369">
        <f>Calc!H12</f>
        <v/>
      </c>
      <c r="I369">
        <f>IF(Skills!T12&lt;&gt;"",1+(Skills!T12/10)*(Z360/1000)/100,1)</f>
        <v/>
      </c>
      <c r="J369">
        <f>((Inputs!$B$6*(1+Inputs!$B$7/100))+(((Inputs!$B$12*(1+Inputs!$B$13/100))-(Inputs!$B$12*(1+Inputs!$B$13/100)))+0.25*(Inputs!$B$14-Inputs!$B$14))*(1+Inputs!$B$7/100))*(F369/100)</f>
        <v/>
      </c>
      <c r="K369">
        <f>J369*(1+((Inputs!$B$12*(1+Inputs!$B$13/100))*0.01+Inputs!$B$14*0.0025)/100)*(1+(Inputs!$B$15+B386)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372=TRUE,F372,0)/100)*(1+IF(C380=TRUE,F380,0)/100)^5*(1+(IF(Skills!A12="CHAIN_LIGHTNING",Inputs!$B$17+((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384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369)</f>
        <v/>
      </c>
      <c r="L369">
        <f>K369*(MIN((Inputs!$B$22+1)+(F375-Calc!F18),(Inputs!$B$23+(IF(ArtifactsInput!$M$15,CHOOSE(ArtifactsInput!$N$15+1,25,30,35,40,45,50)/100*(Inputs!$B$11-Inputs!$B$11),0))))/100+(Inputs!$B$23+(IF(ArtifactsInput!$M$15,CHOOSE(ArtifactsInput!$N$15+1,25,30,35,40,45,50)/100*(Inputs!$B$11-Inputs!$B$11),0)))/100)/2</f>
        <v/>
      </c>
      <c r="M369">
        <f>L369*(1+(Inputs!$B$10+(F378-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69">
        <f>L369*(1-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369*(MIN((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69">
        <f>(1-Summary!$B$11)*S369+Summary!$B$11*U369</f>
        <v/>
      </c>
      <c r="P369">
        <f>IF(B394=0,0,O369/B394)</f>
        <v/>
      </c>
      <c r="Q369">
        <f>IFERROR(1/(IF(Inputs!$B$38="pvp",15,MAX(0.1,Skills!D12-IF(TRUE=TRUE,Inputs!$B$32,0)))*(1-IF(AND(ArtifactsInput!$M$27,Inputs!$B$4="Chapter Hunt"),CHOOSE(ArtifactsInput!$N$27+1,20,24,28,32,36,40),0)/100)),0)</f>
        <v/>
      </c>
      <c r="R369">
        <f>IF(AND(Inputs!$B$38&lt;&gt;"pvp",Inputs!$B$43&gt;0),IF(MAX(0,Inputs!$B$43-B391)&lt;=0,0,(INT(MAX(0,Inputs!$B$43-B391)/(IF(Inputs!$B$38="pvp",15,MAX(0.1,Skills!D12-IF(TRUE=TRUE,Inputs!$B$32,0)))*(1-IF(AND(ArtifactsInput!$M$27,Inputs!$B$4="Chapter Hunt"),CHOOSE(ArtifactsInput!$N$27+1,20,24,28,32,36,40),0)/100)))+1)),0)</f>
        <v/>
      </c>
      <c r="S369">
        <f>IF(C369,(H369*N369*IF(AND(Inputs!$B$38&lt;&gt;"pvp",Inputs!$B$43&gt;0),((Skills!F12*((R369-1)*IF(Skills!G12&gt;0,Skills!H12/Skills!G12,1)+IF(Skills!G12&gt;0,MIN(Skills!H12,MAX(0,MAX(0,Inputs!$B$43-B391)-((R369-1)*(IF(Inputs!$B$38="pvp",15,MAX(0.1,Skills!D12-IF(TRUE=TRUE,Inputs!$B$32,0)))*(1-IF(AND(ArtifactsInput!$M$27,Inputs!$B$4="Chapter Hunt"),CHOOSE(ArtifactsInput!$N$27+1,20,24,28,32,36,40),0)/100)))))/Skills!G12,1)))/Inputs!$B$43),G369*Q369))*IF(Inputs!$B$38="pvp",1,1+(Inputs!$B$20+Skills!O12+B385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369*(1-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369*(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369*(1-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369*(MIN(100,(Inputs!$B$9+((F377-Calc!F20)+(F376-Calc!F19))+(ArtifactsInput!$M$24-ArtifactsInput!$M$24)*CHOOSE(ArtifactsInput!$N$24+1,10,12,14,16,18,20)+(IF(AND(Inputs!$B$38&lt;&gt;"pvp",Inputs!$B$43=0),1,IF(IF(Inputs!$B$38="pvp",15,Inputs!$B$43)-(B391)&lt;=0,1,MAX(0,IF(Inputs!$B$38="pvp",15,Inputs!$B$43)-MAX(5,B391))/(IF(Inputs!$B$38="pvp",15,Inputs!$B$43)-(B391)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69">
        <f>IF(C369,(H369*N369*IF(AND(Inputs!$B$38&lt;&gt;"pvp",Inputs!$B$43&gt;0),((Skills!F12*((R369-1)*IF(Skills!G12&gt;0,Skills!H12/Skills!G12,1)+IF(Skills!G12&gt;0,MIN(Skills!H12,MAX(0,MAX(0,Inputs!$B$43-B391)-((R369-1)*(IF(Inputs!$B$38="pvp",15,MAX(0.1,Skills!D12-IF(TRUE=TRUE,Inputs!$B$32,0)))*(1-IF(AND(ArtifactsInput!$M$27,Inputs!$B$4="Chapter Hunt"),CHOOSE(ArtifactsInput!$N$27+1,20,24,28,32,36,40),0)/100)))))/Skills!G12,1)))/Inputs!$B$43),G369*Q369))*IF(Inputs!$B$38="pvp",1,(1+(Inputs!$B$21+Skills!P12+B385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70">
      <c r="A370">
        <f>Skills!A13</f>
        <v/>
      </c>
      <c r="B370">
        <f>Skills!B13</f>
        <v/>
      </c>
      <c r="C370">
        <f>Inputs!$B$3&gt;=49</f>
        <v/>
      </c>
      <c r="D370">
        <f>IF(Skills!C13=1,60+Inputs!$B$25+Inputs!$B$29,IF(Skills!C13=2,90+Inputs!$B$26+Inputs!$B$29,IF(Skills!C13=3,120+Inputs!$B$27+Inputs!$B$29,MAX(0,(Inputs!$B$3-100)*3)+Inputs!$B$28+Inputs!$B$29)))</f>
        <v/>
      </c>
      <c r="E370">
        <f>INDEX(FactorTable!$B$2:$Y$301, MATCH(ROUND(MIN(300,MAX(1,D370)),0), FactorTable!$A$2:$A$301,0), Skills!L13+1)</f>
        <v/>
      </c>
      <c r="F370">
        <f>IF(Skills!M13=TRUE,(Skills!K13/10)*(E370/1000),Skills!K13/10)+Skills!N13</f>
        <v/>
      </c>
      <c r="G370">
        <f>Calc!G13</f>
        <v/>
      </c>
      <c r="H370">
        <f>Calc!H13</f>
        <v/>
      </c>
      <c r="I370">
        <f>IF(Skills!T13&lt;&gt;"",1+(Skills!T13/10)*(Z360/1000)/100,1)</f>
        <v/>
      </c>
      <c r="J370" t="inlineStr"/>
      <c r="K370" t="inlineStr"/>
      <c r="L370" t="inlineStr"/>
      <c r="M370" t="inlineStr"/>
      <c r="N370" t="inlineStr"/>
      <c r="O370">
        <f>(1-Summary!$B$11)*S370+Summary!$B$11*U370</f>
        <v/>
      </c>
      <c r="P370">
        <f>IF(B394=0,0,O370/B394)</f>
        <v/>
      </c>
      <c r="Q370">
        <f>IFERROR(1/(IF(Inputs!$B$38="pvp",15,MAX(0.1,Skills!D13-IF(TRUE=TRUE,Inputs!$B$32,0)))*(1-IF(AND(ArtifactsInput!$M$27,Inputs!$B$4="Chapter Hunt"),CHOOSE(ArtifactsInput!$N$27+1,20,24,28,32,36,40),0)/100)),0)</f>
        <v/>
      </c>
      <c r="R370" t="n">
        <v>0</v>
      </c>
      <c r="S370" t="n">
        <v>0</v>
      </c>
      <c r="U370" t="n">
        <v>0</v>
      </c>
    </row>
    <row r="371">
      <c r="A371">
        <f>Skills!A14</f>
        <v/>
      </c>
      <c r="B371">
        <f>Skills!B14</f>
        <v/>
      </c>
      <c r="C371">
        <f>Inputs!$B$3&gt;=72</f>
        <v/>
      </c>
      <c r="D371">
        <f>IF(Skills!C14=1,60+Inputs!$B$25+Inputs!$B$29,IF(Skills!C14=2,90+Inputs!$B$26+Inputs!$B$29,IF(Skills!C14=3,120+Inputs!$B$27+Inputs!$B$29,MAX(0,(Inputs!$B$3-100)*3)+Inputs!$B$28+Inputs!$B$29)))</f>
        <v/>
      </c>
      <c r="E371">
        <f>INDEX(FactorTable!$B$2:$Y$301, MATCH(ROUND(MIN(300,MAX(1,D371)),0), FactorTable!$A$2:$A$301,0), Skills!L14+1)</f>
        <v/>
      </c>
      <c r="F371">
        <f>IF(Skills!M14=TRUE,(Skills!K14/10)*(E371/1000),Skills!K14/10)+Skills!N14</f>
        <v/>
      </c>
      <c r="G371">
        <f>Calc!G14</f>
        <v/>
      </c>
      <c r="H371">
        <f>Calc!H14</f>
        <v/>
      </c>
      <c r="I371">
        <f>IF(Skills!T14&lt;&gt;"",1+(Skills!T14/10)*(Z360/1000)/100,1)</f>
        <v/>
      </c>
      <c r="J371" t="inlineStr"/>
      <c r="K371" t="inlineStr"/>
      <c r="L371" t="inlineStr"/>
      <c r="M371" t="inlineStr"/>
      <c r="N371" t="inlineStr"/>
      <c r="O371">
        <f>(1-Summary!$B$11)*S371+Summary!$B$11*U371</f>
        <v/>
      </c>
      <c r="P371">
        <f>IF(B394=0,0,O371/B394)</f>
        <v/>
      </c>
      <c r="Q371">
        <f>IFERROR(1/(IF(Inputs!$B$38="pvp",15,MAX(0.1,Skills!D14-IF(TRUE=TRUE,Inputs!$B$32,0)))*(1-IF(AND(ArtifactsInput!$M$27,Inputs!$B$4="Chapter Hunt"),CHOOSE(ArtifactsInput!$N$27+1,20,24,28,32,36,40),0)/100)),0)</f>
        <v/>
      </c>
      <c r="R371" t="n">
        <v>0</v>
      </c>
      <c r="S371" t="n">
        <v>0</v>
      </c>
      <c r="U371" t="n">
        <v>0</v>
      </c>
    </row>
    <row r="372">
      <c r="A372">
        <f>Skills!A15</f>
        <v/>
      </c>
      <c r="B372">
        <f>Skills!B15</f>
        <v/>
      </c>
      <c r="C372">
        <f>Inputs!$B$3&gt;=75</f>
        <v/>
      </c>
      <c r="D372">
        <f>IF(Skills!C15=1,60+Inputs!$B$25+Inputs!$B$29,IF(Skills!C15=2,90+Inputs!$B$26+Inputs!$B$29,IF(Skills!C15=3,120+Inputs!$B$27+Inputs!$B$29,MAX(0,(Inputs!$B$3-100)*3)+Inputs!$B$28+Inputs!$B$29)))</f>
        <v/>
      </c>
      <c r="E372">
        <f>INDEX(FactorTable!$B$2:$Y$301, MATCH(ROUND(MIN(300,MAX(1,D372)),0), FactorTable!$A$2:$A$301,0), Skills!L15+1)</f>
        <v/>
      </c>
      <c r="F372">
        <f>IF(Skills!M15=TRUE,(Skills!K15/10)*(E372/1000),Skills!K15/10)+Skills!N15</f>
        <v/>
      </c>
      <c r="G372">
        <f>Calc!G15</f>
        <v/>
      </c>
      <c r="H372">
        <f>Calc!H15</f>
        <v/>
      </c>
      <c r="I372">
        <f>IF(Skills!T15&lt;&gt;"",1+(Skills!T15/10)*(Z360/1000)/100,1)</f>
        <v/>
      </c>
      <c r="J372" t="inlineStr"/>
      <c r="K372" t="inlineStr"/>
      <c r="L372" t="inlineStr"/>
      <c r="M372" t="inlineStr"/>
      <c r="N372" t="inlineStr"/>
      <c r="O372">
        <f>(1-Summary!$B$11)*S372+Summary!$B$11*U372</f>
        <v/>
      </c>
      <c r="P372">
        <f>IF(B394=0,0,O372/B394)</f>
        <v/>
      </c>
      <c r="Q372">
        <f>IFERROR(1/(IF(Inputs!$B$38="pvp",15,MAX(0.1,Skills!D15-IF(TRUE=TRUE,Inputs!$B$32,0)))*(1-IF(AND(ArtifactsInput!$M$27,Inputs!$B$4="Chapter Hunt"),CHOOSE(ArtifactsInput!$N$27+1,20,24,28,32,36,40),0)/100)),0)</f>
        <v/>
      </c>
      <c r="R372" t="n">
        <v>0</v>
      </c>
      <c r="S372" t="n">
        <v>0</v>
      </c>
      <c r="U372" t="n">
        <v>0</v>
      </c>
    </row>
    <row r="373">
      <c r="A373">
        <f>Skills!A16</f>
        <v/>
      </c>
      <c r="B373">
        <f>Skills!B16</f>
        <v/>
      </c>
      <c r="C373">
        <f>Inputs!$B$3&gt;=110</f>
        <v/>
      </c>
      <c r="D373">
        <f>IF(Skills!C16=1,60+Inputs!$B$25+Inputs!$B$29,IF(Skills!C16=2,90+Inputs!$B$26+Inputs!$B$29,IF(Skills!C16=3,120+Inputs!$B$27+Inputs!$B$29,MAX(0,(Inputs!$B$3-100)*3)+Inputs!$B$28+Inputs!$B$29)))</f>
        <v/>
      </c>
      <c r="E373">
        <f>INDEX(FactorTable!$B$2:$Y$301, MATCH(ROUND(MIN(300,MAX(1,D373)),0), FactorTable!$A$2:$A$301,0), Skills!L16+1)</f>
        <v/>
      </c>
      <c r="F373">
        <f>(Skills!K16/10)*(E373/1000)*64/45+Skills!N16</f>
        <v/>
      </c>
      <c r="G373">
        <f>Calc!G16</f>
        <v/>
      </c>
      <c r="H373">
        <f>Calc!H16</f>
        <v/>
      </c>
      <c r="I373">
        <f>IF(Skills!T16&lt;&gt;"",1+(Skills!T16/10)*(Z360/1000)/100,1)</f>
        <v/>
      </c>
      <c r="J373" t="inlineStr"/>
      <c r="K373" t="inlineStr"/>
      <c r="L373" t="inlineStr"/>
      <c r="M373" t="inlineStr"/>
      <c r="N373" t="inlineStr"/>
      <c r="O373">
        <f>(1-Summary!$B$11)*S373+Summary!$B$11*U373</f>
        <v/>
      </c>
      <c r="P373">
        <f>IF(B394=0,0,O373/B394)</f>
        <v/>
      </c>
      <c r="Q373">
        <f>IFERROR(1/(IF(Inputs!$B$38="pvp",15,MAX(0.1,Skills!D16-IF(TRUE=TRUE,Inputs!$B$32,0)))*(1-IF(AND(ArtifactsInput!$M$27,Inputs!$B$4="Chapter Hunt"),CHOOSE(ArtifactsInput!$N$27+1,20,24,28,32,36,40),0)/100)),0)</f>
        <v/>
      </c>
      <c r="R373">
        <f>IF(AND(Inputs!$B$38&lt;&gt;"pvp",Inputs!$B$43&gt;0),IF(Inputs!$B$43&lt;=0,0,(INT(Inputs!$B$43/(IF(Inputs!$B$38="pvp",15,MAX(0.1,Skills!D16-IF(TRUE=TRUE,Inputs!$B$32,0)))*(1-IF(AND(ArtifactsInput!$M$27,Inputs!$B$4="Chapter Hunt"),CHOOSE(ArtifactsInput!$N$27+1,20,24,28,32,36,40),0)/100)))+1)),0)</f>
        <v/>
      </c>
      <c r="S373" t="n">
        <v>0</v>
      </c>
      <c r="U373" t="n">
        <v>0</v>
      </c>
    </row>
    <row r="374">
      <c r="A374">
        <f>Skills!A17</f>
        <v/>
      </c>
      <c r="B374">
        <f>Skills!B17</f>
        <v/>
      </c>
      <c r="C374">
        <f>Inputs!$B$3&gt;=33</f>
        <v/>
      </c>
      <c r="D374">
        <f>IF(Skills!C17=1,60+Inputs!$B$25+Inputs!$B$29,IF(Skills!C17=2,90+Inputs!$B$26+Inputs!$B$29,IF(Skills!C17=3,120+Inputs!$B$27+Inputs!$B$29,MAX(0,(Inputs!$B$3-100)*3)+Inputs!$B$28+Inputs!$B$29)))</f>
        <v/>
      </c>
      <c r="E374">
        <f>INDEX(FactorTable!$B$2:$Y$301, MATCH(ROUND(MIN(300,MAX(1,D374)),0), FactorTable!$A$2:$A$301,0), Skills!L17+1)</f>
        <v/>
      </c>
      <c r="F374">
        <f>IF(Skills!M17=TRUE,(Skills!K17/10)*(E374/1000),Skills!K17/10)+Skills!N17</f>
        <v/>
      </c>
      <c r="G374">
        <f>Calc!G17</f>
        <v/>
      </c>
      <c r="H374">
        <f>Calc!H17</f>
        <v/>
      </c>
      <c r="I374">
        <f>IF(Skills!T17&lt;&gt;"",1+(Skills!T17/10)*(Z360/1000)/100,1)</f>
        <v/>
      </c>
      <c r="J374" t="inlineStr"/>
      <c r="K374" t="inlineStr"/>
      <c r="L374" t="inlineStr"/>
      <c r="M374" t="inlineStr"/>
      <c r="N374" t="inlineStr"/>
      <c r="O374">
        <f>(1-Summary!$B$11)*S374+Summary!$B$11*U374</f>
        <v/>
      </c>
      <c r="P374">
        <f>IF(B394=0,0,O374/B394)</f>
        <v/>
      </c>
      <c r="Q374">
        <f>IFERROR(1/(IF(Inputs!$B$38="pvp",15,MAX(0.1,Skills!D17-IF(TRUE=TRUE,Inputs!$B$32,0)))*(1-IF(AND(ArtifactsInput!$M$27,Inputs!$B$4="Chapter Hunt"),CHOOSE(ArtifactsInput!$N$27+1,20,24,28,32,36,40),0)/100)),0)</f>
        <v/>
      </c>
      <c r="R374" t="n">
        <v>0</v>
      </c>
      <c r="S374" t="n">
        <v>0</v>
      </c>
      <c r="U374" t="n">
        <v>0</v>
      </c>
    </row>
    <row r="375">
      <c r="A375">
        <f>Skills!A18</f>
        <v/>
      </c>
      <c r="B375">
        <f>Skills!B18</f>
        <v/>
      </c>
      <c r="C375">
        <f>Inputs!$B$3&gt;=43</f>
        <v/>
      </c>
      <c r="D375">
        <f>IF(Skills!C18=1,60+Inputs!$B$25+Inputs!$B$29,IF(Skills!C18=2,90+Inputs!$B$26+Inputs!$B$29,IF(Skills!C18=3,120+Inputs!$B$27+Inputs!$B$29,MAX(0,(Inputs!$B$3-100)*3)+Inputs!$B$28+Inputs!$B$29)))</f>
        <v/>
      </c>
      <c r="E375">
        <f>INDEX(FactorTable!$B$2:$Y$301, MATCH(ROUND(MIN(300,MAX(1,D375)),0), FactorTable!$A$2:$A$301,0), Skills!L18+1)</f>
        <v/>
      </c>
      <c r="F375">
        <f>IF(Skills!M18=TRUE,(Skills!K18/10)*(E375/1000),Skills!K18/10)+Skills!N18</f>
        <v/>
      </c>
      <c r="G375">
        <f>Calc!G18</f>
        <v/>
      </c>
      <c r="H375">
        <f>Calc!H18</f>
        <v/>
      </c>
      <c r="I375">
        <f>IF(Skills!T18&lt;&gt;"",1+(Skills!T18/10)*(Z360/1000)/100,1)</f>
        <v/>
      </c>
      <c r="J375" t="inlineStr"/>
      <c r="K375" t="inlineStr"/>
      <c r="L375" t="inlineStr"/>
      <c r="M375" t="inlineStr"/>
      <c r="N375" t="inlineStr"/>
      <c r="O375">
        <f>(1-Summary!$B$11)*S375+Summary!$B$11*U375</f>
        <v/>
      </c>
      <c r="P375">
        <f>IF(B394=0,0,O375/B394)</f>
        <v/>
      </c>
      <c r="Q375">
        <f>IFERROR(1/(IF(Inputs!$B$38="pvp",15,MAX(0.1,Skills!D18-IF(TRUE=TRUE,Inputs!$B$32,0)))*(1-IF(AND(ArtifactsInput!$M$27,Inputs!$B$4="Chapter Hunt"),CHOOSE(ArtifactsInput!$N$27+1,20,24,28,32,36,40),0)/100)),0)</f>
        <v/>
      </c>
      <c r="R375" t="n">
        <v>0</v>
      </c>
      <c r="S375" t="n">
        <v>0</v>
      </c>
      <c r="U375" t="n">
        <v>0</v>
      </c>
    </row>
    <row r="376">
      <c r="A376">
        <f>Skills!A19</f>
        <v/>
      </c>
      <c r="B376">
        <f>Skills!B19</f>
        <v/>
      </c>
      <c r="C376">
        <f>Inputs!$B$3&gt;=50</f>
        <v/>
      </c>
      <c r="D376">
        <f>IF(Skills!C19=1,60+Inputs!$B$25+Inputs!$B$29,IF(Skills!C19=2,90+Inputs!$B$26+Inputs!$B$29,IF(Skills!C19=3,120+Inputs!$B$27+Inputs!$B$29,MAX(0,(Inputs!$B$3-100)*3)+Inputs!$B$28+Inputs!$B$29)))</f>
        <v/>
      </c>
      <c r="E376">
        <f>INDEX(FactorTable!$B$2:$Y$301, MATCH(ROUND(MIN(300,MAX(1,D376)),0), FactorTable!$A$2:$A$301,0), Skills!L19+1)</f>
        <v/>
      </c>
      <c r="F376">
        <f>IF(Skills!M19=TRUE,(Skills!K19/10)*(E376/1000),Skills!K19/10)+Skills!N19</f>
        <v/>
      </c>
      <c r="G376">
        <f>Calc!G19</f>
        <v/>
      </c>
      <c r="H376">
        <f>Calc!H19</f>
        <v/>
      </c>
      <c r="I376">
        <f>IF(Skills!T19&lt;&gt;"",1+(Skills!T19/10)*(Z360/1000)/100,1)</f>
        <v/>
      </c>
      <c r="J376" t="inlineStr"/>
      <c r="K376" t="inlineStr"/>
      <c r="L376" t="inlineStr"/>
      <c r="M376" t="inlineStr"/>
      <c r="N376" t="inlineStr"/>
      <c r="O376">
        <f>(1-Summary!$B$11)*S376+Summary!$B$11*U376</f>
        <v/>
      </c>
      <c r="P376">
        <f>IF(B394=0,0,O376/B394)</f>
        <v/>
      </c>
      <c r="Q376">
        <f>IFERROR(1/(IF(Inputs!$B$38="pvp",15,MAX(0.1,Skills!D19-IF(TRUE=TRUE,Inputs!$B$32,0)))*(1-IF(AND(ArtifactsInput!$M$27,Inputs!$B$4="Chapter Hunt"),CHOOSE(ArtifactsInput!$N$27+1,20,24,28,32,36,40),0)/100)),0)</f>
        <v/>
      </c>
      <c r="R376" t="n">
        <v>0</v>
      </c>
      <c r="S376" t="n">
        <v>0</v>
      </c>
      <c r="U376" t="n">
        <v>0</v>
      </c>
    </row>
    <row r="377">
      <c r="A377">
        <f>Skills!A20</f>
        <v/>
      </c>
      <c r="B377">
        <f>Skills!B20</f>
        <v/>
      </c>
      <c r="C377">
        <f>Inputs!$B$3&gt;=74</f>
        <v/>
      </c>
      <c r="D377">
        <f>IF(Skills!C20=1,60+Inputs!$B$25+Inputs!$B$29,IF(Skills!C20=2,90+Inputs!$B$26+Inputs!$B$29,IF(Skills!C20=3,120+Inputs!$B$27+Inputs!$B$29,MAX(0,(Inputs!$B$3-100)*3)+Inputs!$B$28+Inputs!$B$29)))</f>
        <v/>
      </c>
      <c r="E377">
        <f>INDEX(FactorTable!$B$2:$Y$301, MATCH(ROUND(MIN(300,MAX(1,D377)),0), FactorTable!$A$2:$A$301,0), Skills!L20+1)</f>
        <v/>
      </c>
      <c r="F377">
        <f>IF(Skills!M20=TRUE,(Skills!K20/10)*(E377/1000),Skills!K20/10)+Skills!N20</f>
        <v/>
      </c>
      <c r="G377">
        <f>Calc!G20</f>
        <v/>
      </c>
      <c r="H377">
        <f>Calc!H20</f>
        <v/>
      </c>
      <c r="I377">
        <f>IF(Skills!T20&lt;&gt;"",1+(Skills!T20/10)*(Z360/1000)/100,1)</f>
        <v/>
      </c>
      <c r="J377" t="inlineStr"/>
      <c r="K377" t="inlineStr"/>
      <c r="L377" t="inlineStr"/>
      <c r="M377" t="inlineStr"/>
      <c r="N377" t="inlineStr"/>
      <c r="O377">
        <f>(1-Summary!$B$11)*S377+Summary!$B$11*U377</f>
        <v/>
      </c>
      <c r="P377">
        <f>IF(B394=0,0,O377/B394)</f>
        <v/>
      </c>
      <c r="Q377">
        <f>IFERROR(1/(IF(Inputs!$B$38="pvp",15,MAX(0.1,Skills!D20-IF(TRUE=TRUE,Inputs!$B$32,0)))*(1-IF(AND(ArtifactsInput!$M$27,Inputs!$B$4="Chapter Hunt"),CHOOSE(ArtifactsInput!$N$27+1,20,24,28,32,36,40),0)/100)),0)</f>
        <v/>
      </c>
      <c r="R377" t="n">
        <v>0</v>
      </c>
      <c r="S377" t="n">
        <v>0</v>
      </c>
      <c r="U377" t="n">
        <v>0</v>
      </c>
    </row>
    <row r="378">
      <c r="A378">
        <f>Skills!A21</f>
        <v/>
      </c>
      <c r="B378">
        <f>Skills!B21</f>
        <v/>
      </c>
      <c r="C378">
        <f>Inputs!$B$3&gt;=74</f>
        <v/>
      </c>
      <c r="D378">
        <f>IF(Skills!C21=1,60+Inputs!$B$25+Inputs!$B$29,IF(Skills!C21=2,90+Inputs!$B$26+Inputs!$B$29,IF(Skills!C21=3,120+Inputs!$B$27+Inputs!$B$29,MAX(0,(Inputs!$B$3-100)*3)+Inputs!$B$28+Inputs!$B$29)))</f>
        <v/>
      </c>
      <c r="E378">
        <f>INDEX(FactorTable!$B$2:$Y$301, MATCH(ROUND(MIN(300,MAX(1,D378)),0), FactorTable!$A$2:$A$301,0), Skills!L21+1)</f>
        <v/>
      </c>
      <c r="F378">
        <f>IF(Skills!M21=TRUE,(Skills!K21/10)*(E378/1000),Skills!K21/10)+Skills!N21</f>
        <v/>
      </c>
      <c r="G378">
        <f>Calc!G21</f>
        <v/>
      </c>
      <c r="H378">
        <f>Calc!H21</f>
        <v/>
      </c>
      <c r="I378">
        <f>IF(Skills!T21&lt;&gt;"",1+(Skills!T21/10)*(Z360/1000)/100,1)</f>
        <v/>
      </c>
      <c r="J378" t="inlineStr"/>
      <c r="K378" t="inlineStr"/>
      <c r="L378" t="inlineStr"/>
      <c r="M378" t="inlineStr"/>
      <c r="N378" t="inlineStr"/>
      <c r="O378">
        <f>(1-Summary!$B$11)*S378+Summary!$B$11*U378</f>
        <v/>
      </c>
      <c r="P378">
        <f>IF(B394=0,0,O378/B394)</f>
        <v/>
      </c>
      <c r="Q378">
        <f>IFERROR(1/(IF(Inputs!$B$38="pvp",15,MAX(0.1,Skills!D21-IF(TRUE=TRUE,Inputs!$B$32,0)))*(1-IF(AND(ArtifactsInput!$M$27,Inputs!$B$4="Chapter Hunt"),CHOOSE(ArtifactsInput!$N$27+1,20,24,28,32,36,40),0)/100)),0)</f>
        <v/>
      </c>
      <c r="R378" t="n">
        <v>0</v>
      </c>
      <c r="S378" t="n">
        <v>0</v>
      </c>
      <c r="U378" t="n">
        <v>0</v>
      </c>
    </row>
    <row r="379">
      <c r="A379">
        <f>Skills!A22</f>
        <v/>
      </c>
      <c r="B379">
        <f>Skills!B22</f>
        <v/>
      </c>
      <c r="C379">
        <f>Inputs!$B$3&gt;=117</f>
        <v/>
      </c>
      <c r="D379">
        <f>IF(Skills!C22=1,60+Inputs!$B$25+Inputs!$B$29,IF(Skills!C22=2,90+Inputs!$B$26+Inputs!$B$29,IF(Skills!C22=3,120+Inputs!$B$27+Inputs!$B$29,MAX(0,(Inputs!$B$3-100)*3)+Inputs!$B$28+Inputs!$B$29)))</f>
        <v/>
      </c>
      <c r="E379">
        <f>INDEX(FactorTable!$B$2:$Y$301, MATCH(ROUND(MIN(300,MAX(1,D379)),0), FactorTable!$A$2:$A$301,0), Skills!L22+1)</f>
        <v/>
      </c>
      <c r="F379">
        <f>IF(Skills!M22=TRUE,(Skills!K22/10)*(E379/1000),Skills!K22/10)+Skills!N22</f>
        <v/>
      </c>
      <c r="G379">
        <f>Calc!G22</f>
        <v/>
      </c>
      <c r="H379">
        <f>Calc!H22</f>
        <v/>
      </c>
      <c r="I379">
        <f>IF(Skills!T22&lt;&gt;"",1+(Skills!T22/10)*(Z360/1000)/100,1)</f>
        <v/>
      </c>
      <c r="J379" t="inlineStr"/>
      <c r="K379" t="inlineStr"/>
      <c r="L379" t="inlineStr"/>
      <c r="M379" t="inlineStr"/>
      <c r="N379" t="inlineStr"/>
      <c r="O379">
        <f>(1-Summary!$B$11)*S379+Summary!$B$11*U379</f>
        <v/>
      </c>
      <c r="P379">
        <f>IF(B394=0,0,O379/B394)</f>
        <v/>
      </c>
      <c r="Q379">
        <f>IFERROR(1/(IF(Inputs!$B$38="pvp",15,MAX(0.1,Skills!D22-IF(TRUE=TRUE,Inputs!$B$32,0)))*(1-IF(AND(ArtifactsInput!$M$27,Inputs!$B$4="Chapter Hunt"),CHOOSE(ArtifactsInput!$N$27+1,20,24,28,32,36,40),0)/100)),0)</f>
        <v/>
      </c>
      <c r="R379" t="n">
        <v>0</v>
      </c>
      <c r="S379" t="n">
        <v>0</v>
      </c>
      <c r="U379" t="n">
        <v>0</v>
      </c>
    </row>
    <row r="380">
      <c r="A380">
        <f>Skills!A23</f>
        <v/>
      </c>
      <c r="B380">
        <f>Skills!B23</f>
        <v/>
      </c>
      <c r="C380">
        <f>Inputs!$B$3&gt;=120</f>
        <v/>
      </c>
      <c r="D380">
        <f>IF(Skills!C23=1,60+Inputs!$B$25+Inputs!$B$29,IF(Skills!C23=2,90+Inputs!$B$26+Inputs!$B$29,IF(Skills!C23=3,120+Inputs!$B$27+Inputs!$B$29,MAX(0,(Inputs!$B$3-100)*3)+Inputs!$B$28+Inputs!$B$29)))</f>
        <v/>
      </c>
      <c r="E380">
        <f>INDEX(FactorTable!$B$2:$Y$301, MATCH(ROUND(MIN(300,MAX(1,D380)),0), FactorTable!$A$2:$A$301,0), Skills!L23+1)</f>
        <v/>
      </c>
      <c r="F380">
        <f>IF(Skills!M23=TRUE,(Skills!K23/10)*(E380/1000),Skills!K23/10)+Skills!N23</f>
        <v/>
      </c>
      <c r="G380">
        <f>Calc!G23</f>
        <v/>
      </c>
      <c r="H380">
        <f>Calc!H23</f>
        <v/>
      </c>
      <c r="I380">
        <f>IF(Skills!T23&lt;&gt;"",1+(Skills!T23/10)*(Z360/1000)/100,1)</f>
        <v/>
      </c>
      <c r="J380" t="inlineStr"/>
      <c r="K380" t="inlineStr"/>
      <c r="L380" t="inlineStr"/>
      <c r="M380" t="inlineStr"/>
      <c r="N380" t="inlineStr"/>
      <c r="O380">
        <f>(1-Summary!$B$11)*S380+Summary!$B$11*U380</f>
        <v/>
      </c>
      <c r="P380">
        <f>IF(B394=0,0,O380/B394)</f>
        <v/>
      </c>
      <c r="Q380">
        <f>IFERROR(1/(IF(Inputs!$B$38="pvp",15,MAX(0.1,Skills!D23-IF(TRUE=TRUE,Inputs!$B$32,0)))*(1-IF(AND(ArtifactsInput!$M$27,Inputs!$B$4="Chapter Hunt"),CHOOSE(ArtifactsInput!$N$27+1,20,24,28,32,36,40),0)/100)),0)</f>
        <v/>
      </c>
      <c r="R380" t="n">
        <v>0</v>
      </c>
      <c r="S380" t="n">
        <v>0</v>
      </c>
      <c r="U380" t="n">
        <v>0</v>
      </c>
    </row>
    <row r="381">
      <c r="A381">
        <f>Skills!A24</f>
        <v/>
      </c>
      <c r="B381">
        <f>Skills!B24</f>
        <v/>
      </c>
      <c r="C381">
        <f>TRUE</f>
        <v/>
      </c>
      <c r="D381">
        <f>IF(Skills!C24=1,60+Inputs!$B$25+Inputs!$B$29,IF(Skills!C24=2,90+Inputs!$B$26+Inputs!$B$29,IF(Skills!C24=3,120+Inputs!$B$27+Inputs!$B$29,MAX(0,(Inputs!$B$3-100)*3)+Inputs!$B$28+Inputs!$B$29)))</f>
        <v/>
      </c>
      <c r="E381">
        <f>INDEX(FactorTable!$B$2:$Y$301, MATCH(ROUND(MIN(300,MAX(1,D381)),0), FactorTable!$A$2:$A$301,0), Skills!L24+1)</f>
        <v/>
      </c>
      <c r="F381">
        <f>IF(Skills!M24=TRUE,(Skills!K24/10)*(E381/1000),Skills!K24/10)+Skills!N24</f>
        <v/>
      </c>
      <c r="G381">
        <f>Calc!G24</f>
        <v/>
      </c>
      <c r="H381">
        <f>Calc!H24</f>
        <v/>
      </c>
      <c r="I381">
        <f>IF(Skills!T24&lt;&gt;"",1+(Skills!T24/10)*(Z360/1000)/100,1)</f>
        <v/>
      </c>
      <c r="J381" t="inlineStr"/>
      <c r="K381" t="inlineStr"/>
      <c r="L381" t="inlineStr"/>
      <c r="M381" t="inlineStr"/>
      <c r="N381" t="inlineStr"/>
      <c r="O381">
        <f>(1-Summary!$B$11)*S381+Summary!$B$11*U381</f>
        <v/>
      </c>
      <c r="P381">
        <f>IF(B394=0,0,O381/B394)</f>
        <v/>
      </c>
      <c r="Q381">
        <f>IFERROR(1/(IF(Inputs!$B$38="pvp",15,MAX(0.1,Skills!D24-IF(TRUE=TRUE,Inputs!$B$32,0)))*(1-IF(AND(ArtifactsInput!$M$27,Inputs!$B$4="Chapter Hunt"),CHOOSE(ArtifactsInput!$N$27+1,20,24,28,32,36,40),0)/100)),0)</f>
        <v/>
      </c>
      <c r="R381">
        <f>IF(AND(Inputs!$B$38&lt;&gt;"pvp",Inputs!$B$43&gt;0),IF(Inputs!$B$43&lt;=0,0,(INT(Inputs!$B$43/(IF(Inputs!$B$38="pvp",15,MAX(0.1,Skills!D24-IF(TRUE=TRUE,Inputs!$B$32,0)))*(1-IF(AND(ArtifactsInput!$M$27,Inputs!$B$4="Chapter Hunt"),CHOOSE(ArtifactsInput!$N$27+1,20,24,28,32,36,40),0)/100)))+1)),0)</f>
        <v/>
      </c>
      <c r="S381" t="n">
        <v>0</v>
      </c>
      <c r="U381" t="n">
        <v>0</v>
      </c>
    </row>
    <row r="384">
      <c r="A384" t="inlineStr">
        <is>
          <t>Average Buff Multiplier (Magic Guard + Meditation + Artifact Attack%, summed; then Infinity)</t>
        </is>
      </c>
      <c r="B384">
        <f>(1+(IF(C360=TRUE,F360*IF(AND(Inputs!$B$38&lt;&gt;"pvp",Inputs!$B$43&gt;0),(((R360-1)*MIN((Skills!S3*(1+(Inputs!$B$34)/100)),(1/Q360))+MIN((Skills!S3*(1+(Inputs!$B$34)/100)),MAX(0,Inputs!$B$43-((R360-1)*(1/Q360)))))/Inputs!$B$43),IF(Inputs!$B$38="pvp",MIN((Skills!S3*(1+(Inputs!$B$34)/100)),15)/15,MIN(1,(Skills!S3*(1+(Inputs!$B$34)/100))/(1/Q360)))),0)+IF(C361=TRUE,F361*IF(AND(Inputs!$B$38&lt;&gt;"pvp",Inputs!$B$43&gt;0),(((R361-1)*MIN((Skills!S4*(1+(Inputs!$B$34)/100)),(1/Q361))+MIN((Skills!S4*(1+(Inputs!$B$34)/100)),MAX(0,Inputs!$B$43-((R361-1)*(1/Q361)))))/Inputs!$B$43),IF(Inputs!$B$38="pvp",MIN((Skills!S4*(1+(Inputs!$B$34)/100)),15)/15,MIN(1,(Skills!S4*(1+(Inputs!$B$34)/100))/(1/Q361)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373=TRUE,(1+F373*IF(AND(Inputs!$B$38&lt;&gt;"pvp",Inputs!$B$43&gt;0),(((R373-1)*MIN((Skills!S16*(1+(Inputs!$B$34)/100)),(1/Q373))+MIN((Skills!S16*(1+(Inputs!$B$34)/100)),MAX(0,Inputs!$B$43-((R373-1)*(1/Q373)))))/Inputs!$B$43),IF(Inputs!$B$38="pvp",MIN((Skills!S16*(1+(Inputs!$B$34)/100)),15)/15,MIN(1,(Skills!S16*(1+(Inputs!$B$34)/100))/(1/Q373))))/100),1)</f>
        <v/>
      </c>
    </row>
    <row r="385">
      <c r="A385" t="inlineStr">
        <is>
          <t>Monster Damage Taken Bonus % (Freezing Breath - Weaken + Elemental Reset + Artifact Enemy Damage Taken, summed)</t>
        </is>
      </c>
      <c r="B385">
        <f>IF(Inputs!$B$3&gt;=118,15*IF(Inputs!$B$38="pvp",MIN((30*(1+(Inputs!$B$34)/100)),15)/15,MIN(1,(30*(1+(Inputs!$B$34)/100))/(1/Q365))),0)+IF(C371=TRUE,F371,0)+(IF(AND(ArtifactsInput!$M$35,Inputs!$B$4&lt;&gt;"Chapter Hunt"),CHOOSE(ArtifactsInput!$N$35+1,15,18,21,24,27,30)*(1-EXP(-(0.2*B388)*5)),0)+IF(AND(ArtifactsInput!$M$22,Inputs!$B$4&lt;&gt;"Chapter Hunt"),CHOOSE(ArtifactsInput!$N$22+1,10,12,14,16,18,20)*((0*(((0.15*B388*5))^0/1)+1*(((0.15*B388*5))^1/1)+2*(((0.15*B388*5))^2/2)+3*(((0.15*B388*5))^3/6)+4*(((0.15*B388*5))^4/24)+5*(((0.15*B388*5))^5/120))/((((0.15*B388*5))^0/1)+(((0.15*B388*5))^1/1)+(((0.15*B388*5))^2/2)+(((0.15*B388*5))^3/6)+(((0.15*B388*5))^4/24)+(((0.15*B388*5))^5/120))),0))</f>
        <v/>
      </c>
    </row>
    <row r="386">
      <c r="A386" t="inlineStr">
        <is>
          <t>Damage % Bonus (Frozen Break + Frost Clutch, flat)</t>
        </is>
      </c>
      <c r="B386">
        <f>IF(Inputs!$B$3&gt;=66,15,0)+IF(Inputs!$B$3&gt;=98,10,0)+IF(Inputs!$B$3&gt;=125,20,0)</f>
        <v/>
      </c>
    </row>
    <row r="387">
      <c r="A387" t="inlineStr">
        <is>
          <t>Attack Speed Bonus % (MP Eater - MP Boost, always-on + Nimble Feet, duty-cycle averaged)</t>
        </is>
      </c>
      <c r="B387">
        <f>IF(C370=TRUE,F370+(F374-Calc!F17),0)+((C381=TRUE)*F381*IF(AND(Inputs!$B$38&lt;&gt;"pvp",Inputs!$B$43&gt;0),(((R381-1)*MIN((Skills!S24*(1+(Inputs!$B$34)/100)),(1/Q381))+MIN((Skills!S24*(1+(Inputs!$B$34)/100)),MAX(0,Inputs!$B$43-((R381-1)*(1/Q381)))))/Inputs!$B$43),IF(Inputs!$B$38="pvp",MIN((Skills!S24*(1+(Inputs!$B$34)/100)),15)/15,MIN(1,(Skills!S24*(1+(Inputs!$B$34)/100))/(1/Q381)))))</f>
        <v/>
      </c>
    </row>
    <row r="388">
      <c r="A388" t="inlineStr">
        <is>
          <t>Actions Per Second</t>
        </is>
      </c>
      <c r="B388">
        <f>1+MIN(150,150*(1-(1-(Inputs!$B$11+(ArtifactsInput!$M$15-ArtifactsInput!$M$15)*CHOOSE(ArtifactsInput!$N$15+1,8,9.6,11.2,12.8,14.4,16))/150)*(1-B387/150)))/100</f>
        <v/>
      </c>
    </row>
    <row r="389">
      <c r="A389" t="inlineStr">
        <is>
          <t>Skill + Buff Cast Rate</t>
        </is>
      </c>
      <c r="B389">
        <f>IF(AND(Inputs!$B$38&lt;&gt;"pvp",Inputs!$B$43&gt;0),SUMPRODUCT((Skills!E2:E24=TRUE)*(C359:C381=TRUE)*R359:R381)/Inputs!$B$43,SUMPRODUCT((Skills!E2:E24=TRUE)*(C359:C381=TRUE)*Q359:Q381))</f>
        <v/>
      </c>
    </row>
    <row r="390">
      <c r="A390" t="inlineStr">
        <is>
          <t>Chain Lightning Casts Per Second</t>
        </is>
      </c>
      <c r="B390">
        <f>MAX(0,B388-B389)</f>
        <v/>
      </c>
    </row>
    <row r="391">
      <c r="A391" t="inlineStr">
        <is>
          <t>Buff-Casting Startup Delay (s, fixed-duration only)</t>
        </is>
      </c>
      <c r="B391">
        <f>IF(AND(Inputs!$B$38&lt;&gt;"pvp",Inputs!$B$43&gt;0),SUMPRODUCT((Skills!S2:S24&gt;0)*(Skills!E2:E24=TRUE)*(C359:C381=TRUE))/B388,0)</f>
        <v/>
      </c>
    </row>
    <row r="392">
      <c r="A392" t="inlineStr">
        <is>
          <t>Boss-Only Total DPS (this block's swept value)</t>
        </is>
      </c>
      <c r="B392">
        <f>SUM(S359:S381)</f>
        <v/>
      </c>
    </row>
    <row r="393">
      <c r="A393" t="inlineStr">
        <is>
          <t>Normal-Only Total DPS (this block's swept value)</t>
        </is>
      </c>
      <c r="B393">
        <f>SUM(U359:U381)</f>
        <v/>
      </c>
    </row>
    <row r="394">
      <c r="A394" s="6" t="inlineStr">
        <is>
          <t>TOTAL DPS</t>
        </is>
      </c>
      <c r="B394" s="6">
        <f>SUM(O359:O381)</f>
        <v/>
      </c>
    </row>
    <row r="395">
      <c r="A395" t="inlineStr">
        <is>
          <t>Blizzard Final Attack trigger rate (this block's own Q/R)</t>
        </is>
      </c>
      <c r="B395">
        <f>IF(AND(Inputs!$B$38&lt;&gt;"pvp",Inputs!$B$43&gt;0),(((C362=TRUE)*R362*1)+((C363=TRUE)*R363*1)+((C365=TRUE)*R365*1)+((C366=TRUE)*R366*3)+((C368=TRUE)*R368*1))/Inputs!$B$43,((C362=TRUE)*Q362*1)+((C363=TRUE)*Q363*1)+((C365=TRUE)*Q365*1)+((C366=TRUE)*Q366*3)+((C368=TRUE)*Q368*1))+B390</f>
        <v/>
      </c>
    </row>
    <row r="398">
      <c r="A398" s="6" t="inlineStr">
        <is>
          <t>Stat: MAX_DAMAGE %</t>
        </is>
      </c>
    </row>
    <row r="399">
      <c r="A399" s="5" t="inlineStr">
        <is>
          <t>Key</t>
        </is>
      </c>
      <c r="B399" s="5" t="inlineStr">
        <is>
          <t>Name</t>
        </is>
      </c>
      <c r="C399" s="5" t="inlineStr">
        <is>
          <t>Unlocked</t>
        </is>
      </c>
      <c r="D399" s="5" t="inlineStr">
        <is>
          <t>InputLevel</t>
        </is>
      </c>
      <c r="E399" s="5" t="inlineStr">
        <is>
          <t>Factor</t>
        </is>
      </c>
      <c r="F399" s="5" t="inlineStr">
        <is>
          <t>CoefficientPercent</t>
        </is>
      </c>
      <c r="G399" s="5" t="inlineStr">
        <is>
          <t>EffectiveHits</t>
        </is>
      </c>
      <c r="H399" s="5" t="inlineStr">
        <is>
          <t>ProcProbability</t>
        </is>
      </c>
      <c r="I399" s="5" t="inlineStr">
        <is>
          <t>MapleHeroMultiplier</t>
        </is>
      </c>
      <c r="J399" s="5" t="inlineStr">
        <is>
          <t>BaseDamage</t>
        </is>
      </c>
      <c r="K399" s="5" t="inlineStr">
        <is>
          <t>BaseHitDamage</t>
        </is>
      </c>
      <c r="L399" s="5" t="inlineStr">
        <is>
          <t>NonCritAvg</t>
        </is>
      </c>
      <c r="M399" s="5" t="inlineStr">
        <is>
          <t>CritAvg</t>
        </is>
      </c>
      <c r="N399" s="5" t="inlineStr">
        <is>
          <t>ExpectedDamage(perHit)</t>
        </is>
      </c>
      <c r="O399" s="5" t="inlineStr">
        <is>
          <t>DPS</t>
        </is>
      </c>
      <c r="P399" s="5" t="inlineStr">
        <is>
          <t>% of Total</t>
        </is>
      </c>
      <c r="R399" t="inlineStr">
        <is>
          <t>helpers</t>
        </is>
      </c>
    </row>
    <row r="400">
      <c r="A400">
        <f>Skills!A2</f>
        <v/>
      </c>
      <c r="B400">
        <f>Skills!B2</f>
        <v/>
      </c>
      <c r="C400">
        <f>Inputs!$B$3&gt;=100</f>
        <v/>
      </c>
      <c r="D400" t="inlineStr"/>
      <c r="E400" t="inlineStr"/>
      <c r="F400">
        <f>T402+Skills!N2</f>
        <v/>
      </c>
      <c r="G400">
        <f>Calc!G2</f>
        <v/>
      </c>
      <c r="H400">
        <f>Calc!H2</f>
        <v/>
      </c>
      <c r="I400">
        <f>IF(Skills!T2&lt;&gt;"",1+(Skills!T2/10)*(Z401/1000)/100,1)</f>
        <v/>
      </c>
      <c r="J400">
        <f>((Inputs!$B$6*(1+Inputs!$B$7/100))+(((Inputs!$B$12*(1+Inputs!$B$13/100))-(Inputs!$B$12*(1+Inputs!$B$13/100)))+0.25*(Inputs!$B$14-Inputs!$B$14))*(1+Inputs!$B$7/100))*(F400/100)</f>
        <v/>
      </c>
      <c r="K400">
        <f>J400*(1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2="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400)</f>
        <v/>
      </c>
      <c r="L400">
        <f>K400*(MIN(Inputs!$B$22+(F416-Calc!F18),((Inputs!$B$23+1)+(IF(ArtifactsInput!$M$15,CHOOSE(ArtifactsInput!$N$15+1,25,30,35,40,45,50)/100*(Inputs!$B$11-Inputs!$B$11),0))))/100+((Inputs!$B$23+1)+(IF(ArtifactsInput!$M$15,CHOOSE(ArtifactsInput!$N$15+1,25,30,35,40,45,50)/100*(Inputs!$B$11-Inputs!$B$11),0)))/100)/2</f>
        <v/>
      </c>
      <c r="M400">
        <f>L400*(1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0">
        <f>L400*(1-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400*(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0">
        <f>(1-Summary!$B$11)*S400+Summary!$B$11*U400</f>
        <v/>
      </c>
      <c r="P400">
        <f>IF(B435=0,0,O400/B435)</f>
        <v/>
      </c>
      <c r="Q400">
        <f>IFERROR(1/(IF(Inputs!$B$38="pvp",15,MAX(0.1,Skills!D2-IF(TRUE=TRUE,Inputs!$B$32,0)))*(1-IF(AND(ArtifactsInput!$M$27,Inputs!$B$4="Chapter Hunt"),CHOOSE(ArtifactsInput!$N$27+1,20,24,28,32,36,40),0)/100)),0)</f>
        <v/>
      </c>
      <c r="R400" t="n">
        <v>0</v>
      </c>
      <c r="S400">
        <f>IF(C400,(Skills!F2*N400*B431)*IF(Inputs!$B$38="pvp",1,1+(Inputs!$B$20+Skills!O2+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400*(1-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400*(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400*(1-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400*(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00">
        <f>MAX(0,(Inputs!$B$3-100)*3)+Inputs!$B$28+Inputs!$B$29</f>
        <v/>
      </c>
      <c r="U400">
        <f>IF(C400,(Skills!F2*N400*B431)*IF(Inputs!$B$38="pvp",1,(1+(Inputs!$B$21+Skills!P2+B426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400">
        <f>MAX(0,(Inputs!$B$3-100)*3)+Inputs!$B$28+Inputs!$B$29</f>
        <v/>
      </c>
    </row>
    <row r="401">
      <c r="A401">
        <f>Skills!A3</f>
        <v/>
      </c>
      <c r="B401">
        <f>Skills!B3</f>
        <v/>
      </c>
      <c r="C401">
        <f>Inputs!$B$3&gt;=15</f>
        <v/>
      </c>
      <c r="D401">
        <f>IF(Skills!C3=1,60+Inputs!$B$25+Inputs!$B$29,IF(Skills!C3=2,90+Inputs!$B$26+Inputs!$B$29,IF(Skills!C3=3,120+Inputs!$B$27+Inputs!$B$29,MAX(0,(Inputs!$B$3-100)*3)+Inputs!$B$28+Inputs!$B$29)))</f>
        <v/>
      </c>
      <c r="E401">
        <f>INDEX(FactorTable!$B$2:$Y$301, MATCH(ROUND(MIN(300,MAX(1,D401)),0), FactorTable!$A$2:$A$301,0), Skills!L3+1)</f>
        <v/>
      </c>
      <c r="F401">
        <f>IF(Skills!M3=TRUE,(Skills!K3/10)*(E401/1000),Skills!K3/10)+Skills!N3</f>
        <v/>
      </c>
      <c r="G401">
        <f>Calc!G3</f>
        <v/>
      </c>
      <c r="H401">
        <f>Calc!H3</f>
        <v/>
      </c>
      <c r="I401">
        <f>IF(Skills!T3&lt;&gt;"",1+(Skills!T3/10)*(Z401/1000)/100,1)</f>
        <v/>
      </c>
      <c r="J401" t="inlineStr"/>
      <c r="K401" t="inlineStr"/>
      <c r="L401" t="inlineStr"/>
      <c r="M401" t="inlineStr"/>
      <c r="N401" t="inlineStr"/>
      <c r="O401">
        <f>(1-Summary!$B$11)*S401+Summary!$B$11*U401</f>
        <v/>
      </c>
      <c r="P401">
        <f>IF(B435=0,0,O401/B435)</f>
        <v/>
      </c>
      <c r="Q401">
        <f>IFERROR(1/(IF(Inputs!$B$38="pvp",15,MAX(0.1,Skills!D3-IF(TRUE=TRUE,Inputs!$B$32,0)))*(1-IF(AND(ArtifactsInput!$M$27,Inputs!$B$4="Chapter Hunt"),CHOOSE(ArtifactsInput!$N$27+1,20,24,28,32,36,40),0)/100)),0)</f>
        <v/>
      </c>
      <c r="R401">
        <f>IF(AND(Inputs!$B$38&lt;&gt;"pvp",Inputs!$B$43&gt;0),IF(Inputs!$B$43&lt;=0,0,(INT(Inputs!$B$43/(IF(Inputs!$B$38="pvp",15,MAX(0.1,Skills!D3-IF(TRUE=TRUE,Inputs!$B$32,0)))*(1-IF(AND(ArtifactsInput!$M$27,Inputs!$B$4="Chapter Hunt"),CHOOSE(ArtifactsInput!$N$27+1,20,24,28,32,36,40),0)/100)))+1)),0)</f>
        <v/>
      </c>
      <c r="S401" t="n">
        <v>0</v>
      </c>
      <c r="T401">
        <f>INDEX(FactorTable!$B$2:$Y$301, MATCH(ROUND(MIN(300,MAX(1,T400)),0), FactorTable!$A$2:$A$301,0), 22)</f>
        <v/>
      </c>
      <c r="U401" t="n">
        <v>0</v>
      </c>
      <c r="Z401">
        <f>INDEX(FactorTable!$B$2:$Y$301, MATCH(ROUND(MIN(300,MAX(1,Z400)),0), FactorTable!$A$2:$A$301,0), 24)</f>
        <v/>
      </c>
    </row>
    <row r="402">
      <c r="A402">
        <f>Skills!A4</f>
        <v/>
      </c>
      <c r="B402">
        <f>Skills!B4</f>
        <v/>
      </c>
      <c r="C402">
        <f>Inputs!$B$3&gt;=40</f>
        <v/>
      </c>
      <c r="D402">
        <f>IF(Skills!C4=1,60+Inputs!$B$25+Inputs!$B$29,IF(Skills!C4=2,90+Inputs!$B$26+Inputs!$B$29,IF(Skills!C4=3,120+Inputs!$B$27+Inputs!$B$29,MAX(0,(Inputs!$B$3-100)*3)+Inputs!$B$28+Inputs!$B$29)))</f>
        <v/>
      </c>
      <c r="E402">
        <f>INDEX(FactorTable!$B$2:$Y$301, MATCH(ROUND(MIN(300,MAX(1,D402)),0), FactorTable!$A$2:$A$301,0), Skills!L4+1)</f>
        <v/>
      </c>
      <c r="F402">
        <f>IF(Skills!M4=TRUE,(Skills!K4/10)*(E402/1000),Skills!K4/10)+Skills!N4</f>
        <v/>
      </c>
      <c r="G402">
        <f>Calc!G4</f>
        <v/>
      </c>
      <c r="H402">
        <f>Calc!H4</f>
        <v/>
      </c>
      <c r="I402">
        <f>IF(Skills!T4&lt;&gt;"",1+(Skills!T4/10)*(Z401/1000)/100,1)</f>
        <v/>
      </c>
      <c r="J402" t="inlineStr"/>
      <c r="K402" t="inlineStr"/>
      <c r="L402" t="inlineStr"/>
      <c r="M402" t="inlineStr"/>
      <c r="N402" t="inlineStr"/>
      <c r="O402">
        <f>(1-Summary!$B$11)*S402+Summary!$B$11*U402</f>
        <v/>
      </c>
      <c r="P402">
        <f>IF(B435=0,0,O402/B435)</f>
        <v/>
      </c>
      <c r="Q402">
        <f>IFERROR(1/(IF(Inputs!$B$38="pvp",15,MAX(0.1,Skills!D4-IF(TRUE=TRUE,Inputs!$B$32,0)))*(1-IF(AND(ArtifactsInput!$M$27,Inputs!$B$4="Chapter Hunt"),CHOOSE(ArtifactsInput!$N$27+1,20,24,28,32,36,40),0)/100)),0)</f>
        <v/>
      </c>
      <c r="R402">
        <f>IF(AND(Inputs!$B$38&lt;&gt;"pvp",Inputs!$B$43&gt;0),IF(Inputs!$B$43&lt;=0,0,(INT(Inputs!$B$43/(IF(Inputs!$B$38="pvp",15,MAX(0.1,Skills!D4-IF(TRUE=TRUE,Inputs!$B$32,0)))*(1-IF(AND(ArtifactsInput!$M$27,Inputs!$B$4="Chapter Hunt"),CHOOSE(ArtifactsInput!$N$27+1,20,24,28,32,36,40),0)/100)))+1)),0)</f>
        <v/>
      </c>
      <c r="S402" t="n">
        <v>0</v>
      </c>
      <c r="T402">
        <f>290*T401/1000</f>
        <v/>
      </c>
      <c r="U402" t="n">
        <v>0</v>
      </c>
    </row>
    <row r="403">
      <c r="A403">
        <f>Skills!A5</f>
        <v/>
      </c>
      <c r="B403">
        <f>Skills!B5</f>
        <v/>
      </c>
      <c r="C403">
        <f>Inputs!$B$3&gt;=38</f>
        <v/>
      </c>
      <c r="D403">
        <f>IF(Skills!C5=1,60+Inputs!$B$25+Inputs!$B$29,IF(Skills!C5=2,90+Inputs!$B$26+Inputs!$B$29,IF(Skills!C5=3,120+Inputs!$B$27+Inputs!$B$29,MAX(0,(Inputs!$B$3-100)*3)+Inputs!$B$28+Inputs!$B$29)))</f>
        <v/>
      </c>
      <c r="E403">
        <f>INDEX(FactorTable!$B$2:$Y$301, MATCH(ROUND(MIN(300,MAX(1,D403)),0), FactorTable!$A$2:$A$301,0), Skills!L5+1)</f>
        <v/>
      </c>
      <c r="F403">
        <f>IF(Skills!M5=TRUE,(Skills!K5/10)*(E403/1000),Skills!K5/10)+Skills!N5</f>
        <v/>
      </c>
      <c r="G403">
        <f>Calc!G5</f>
        <v/>
      </c>
      <c r="H403">
        <f>Calc!H5</f>
        <v/>
      </c>
      <c r="I403">
        <f>IF(Skills!T5&lt;&gt;"",1+(Skills!T5/10)*(Z401/1000)/100,1)</f>
        <v/>
      </c>
      <c r="J403">
        <f>((Inputs!$B$6*(1+Inputs!$B$7/100))+(((Inputs!$B$12*(1+Inputs!$B$13/100))-(Inputs!$B$12*(1+Inputs!$B$13/100)))+0.25*(Inputs!$B$14-Inputs!$B$14))*(1+Inputs!$B$7/100))*(F403/100)</f>
        <v/>
      </c>
      <c r="K403">
        <f>J403*(1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5="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403)</f>
        <v/>
      </c>
      <c r="L403">
        <f>K403*(MIN(Inputs!$B$22+(F416-Calc!F18),((Inputs!$B$23+1)+(IF(ArtifactsInput!$M$15,CHOOSE(ArtifactsInput!$N$15+1,25,30,35,40,45,50)/100*(Inputs!$B$11-Inputs!$B$11),0))))/100+((Inputs!$B$23+1)+(IF(ArtifactsInput!$M$15,CHOOSE(ArtifactsInput!$N$15+1,25,30,35,40,45,50)/100*(Inputs!$B$11-Inputs!$B$11),0)))/100)/2</f>
        <v/>
      </c>
      <c r="M403">
        <f>L403*(1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3">
        <f>L403*(1-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403*(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3">
        <f>(1-Summary!$B$11)*S403+Summary!$B$11*U403</f>
        <v/>
      </c>
      <c r="P403">
        <f>IF(B435=0,0,O403/B435)</f>
        <v/>
      </c>
      <c r="Q403">
        <f>IFERROR(1/(IF(Inputs!$B$38="pvp",15,MAX(0.1,Skills!D5-IF(TRUE=TRUE,Inputs!$B$32,0)))*(1-IF(AND(ArtifactsInput!$M$27,Inputs!$B$4="Chapter Hunt"),CHOOSE(ArtifactsInput!$N$27+1,20,24,28,32,36,40),0)/100)),0)</f>
        <v/>
      </c>
      <c r="R403">
        <f>IF(AND(Inputs!$B$38&lt;&gt;"pvp",Inputs!$B$43&gt;0),IF(MAX(0,Inputs!$B$43-B432)&lt;=0,0,(INT(MAX(0,Inputs!$B$43-B432)/(IF(Inputs!$B$38="pvp",15,MAX(0.1,Skills!D5-IF(TRUE=TRUE,Inputs!$B$32,0)))*(1-IF(AND(ArtifactsInput!$M$27,Inputs!$B$4="Chapter Hunt"),CHOOSE(ArtifactsInput!$N$27+1,20,24,28,32,36,40),0)/100)))+1)),0)</f>
        <v/>
      </c>
      <c r="S403">
        <f>IF(C403,(H403*N403*IF(AND(Inputs!$B$38&lt;&gt;"pvp",Inputs!$B$43&gt;0),((Skills!F5*((R403-1)*IF(Skills!G5&gt;0,Skills!H5/Skills!G5,1)+IF(Skills!G5&gt;0,MIN(Skills!H5,MAX(0,MAX(0,Inputs!$B$43-B432)-((R403-1)*(IF(Inputs!$B$38="pvp",15,MAX(0.1,Skills!D5-IF(TRUE=TRUE,Inputs!$B$32,0)))*(1-IF(AND(ArtifactsInput!$M$27,Inputs!$B$4="Chapter Hunt"),CHOOSE(ArtifactsInput!$N$27+1,20,24,28,32,36,40),0)/100)))))/Skills!G5,1)))/Inputs!$B$43),G403*Q403))*IF(Inputs!$B$38="pvp",1,1+(Inputs!$B$20+Skills!O5+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403*(1-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403*(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403*(1-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403*(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3">
        <f>IF(C403,(H403*N403*IF(AND(Inputs!$B$38&lt;&gt;"pvp",Inputs!$B$43&gt;0),((Skills!F5*((R403-1)*IF(Skills!G5&gt;0,Skills!H5/Skills!G5,1)+IF(Skills!G5&gt;0,MIN(Skills!H5,MAX(0,MAX(0,Inputs!$B$43-B432)-((R403-1)*(IF(Inputs!$B$38="pvp",15,MAX(0.1,Skills!D5-IF(TRUE=TRUE,Inputs!$B$32,0)))*(1-IF(AND(ArtifactsInput!$M$27,Inputs!$B$4="Chapter Hunt"),CHOOSE(ArtifactsInput!$N$27+1,20,24,28,32,36,40),0)/100)))))/Skills!G5,1)))/Inputs!$B$43),G403*Q403))*IF(Inputs!$B$38="pvp",1,(1+(Inputs!$B$21+Skills!P5+B426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4">
      <c r="A404">
        <f>Skills!A6</f>
        <v/>
      </c>
      <c r="B404">
        <f>Skills!B6</f>
        <v/>
      </c>
      <c r="C404">
        <f>Inputs!$B$3&gt;=63</f>
        <v/>
      </c>
      <c r="D404">
        <f>IF(Skills!C6=1,60+Inputs!$B$25+Inputs!$B$29,IF(Skills!C6=2,90+Inputs!$B$26+Inputs!$B$29,IF(Skills!C6=3,120+Inputs!$B$27+Inputs!$B$29,MAX(0,(Inputs!$B$3-100)*3)+Inputs!$B$28+Inputs!$B$29)))</f>
        <v/>
      </c>
      <c r="E404">
        <f>INDEX(FactorTable!$B$2:$Y$301, MATCH(ROUND(MIN(300,MAX(1,D404)),0), FactorTable!$A$2:$A$301,0), Skills!L6+1)</f>
        <v/>
      </c>
      <c r="F404">
        <f>IF(Skills!M6=TRUE,(Skills!K6/10)*(E404/1000),Skills!K6/10)+Skills!N6</f>
        <v/>
      </c>
      <c r="G404">
        <f>Calc!G6</f>
        <v/>
      </c>
      <c r="H404">
        <f>Calc!H6</f>
        <v/>
      </c>
      <c r="I404">
        <f>IF(Skills!T6&lt;&gt;"",1+(Skills!T6/10)*(Z401/1000)/100,1)</f>
        <v/>
      </c>
      <c r="J404">
        <f>((Inputs!$B$6*(1+Inputs!$B$7/100))+(((Inputs!$B$12*(1+Inputs!$B$13/100))-(Inputs!$B$12*(1+Inputs!$B$13/100)))+0.25*(Inputs!$B$14-Inputs!$B$14))*(1+Inputs!$B$7/100))*(F404/100)</f>
        <v/>
      </c>
      <c r="K404">
        <f>J404*(1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6="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404)</f>
        <v/>
      </c>
      <c r="L404">
        <f>K404*(MIN(Inputs!$B$22+(F416-Calc!F18),((Inputs!$B$23+1)+(IF(ArtifactsInput!$M$15,CHOOSE(ArtifactsInput!$N$15+1,25,30,35,40,45,50)/100*(Inputs!$B$11-Inputs!$B$11),0))))/100+((Inputs!$B$23+1)+(IF(ArtifactsInput!$M$15,CHOOSE(ArtifactsInput!$N$15+1,25,30,35,40,45,50)/100*(Inputs!$B$11-Inputs!$B$11),0)))/100)/2</f>
        <v/>
      </c>
      <c r="M404">
        <f>L404*(1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4">
        <f>L404*(1-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404*(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4">
        <f>(1-Summary!$B$11)*S404+Summary!$B$11*U404</f>
        <v/>
      </c>
      <c r="P404">
        <f>IF(B435=0,0,O404/B435)</f>
        <v/>
      </c>
      <c r="Q404">
        <f>IFERROR(1/(IF(Inputs!$B$38="pvp",15,MAX(0.1,Skills!D6-IF(TRUE=TRUE,Inputs!$B$32,0)))*(1-IF(AND(ArtifactsInput!$M$27,Inputs!$B$4="Chapter Hunt"),CHOOSE(ArtifactsInput!$N$27+1,20,24,28,32,36,40),0)/100)),0)</f>
        <v/>
      </c>
      <c r="R404">
        <f>IF(AND(Inputs!$B$38&lt;&gt;"pvp",Inputs!$B$43&gt;0),IF(MAX(0,Inputs!$B$43-B432)&lt;=0,0,(INT(MAX(0,Inputs!$B$43-B432)/(IF(Inputs!$B$38="pvp",15,MAX(0.1,Skills!D6-IF(TRUE=TRUE,Inputs!$B$32,0)))*(1-IF(AND(ArtifactsInput!$M$27,Inputs!$B$4="Chapter Hunt"),CHOOSE(ArtifactsInput!$N$27+1,20,24,28,32,36,40),0)/100)))+1)),0)</f>
        <v/>
      </c>
      <c r="S404">
        <f>IF(C404,(H404*N404*IF(AND(Inputs!$B$38&lt;&gt;"pvp",Inputs!$B$43&gt;0),((Skills!F6*((R404-1)*IF(Skills!G6&gt;0,Skills!H6/Skills!G6,1)+IF(Skills!G6&gt;0,MIN(Skills!H6,MAX(0,MAX(0,Inputs!$B$43-B432)-((R404-1)*(IF(Inputs!$B$38="pvp",15,MAX(0.1,Skills!D6-IF(TRUE=TRUE,Inputs!$B$32,0)))*(1-IF(AND(ArtifactsInput!$M$27,Inputs!$B$4="Chapter Hunt"),CHOOSE(ArtifactsInput!$N$27+1,20,24,28,32,36,40),0)/100)))))/Skills!G6,1)))/Inputs!$B$43),G404*Q404))*IF(Inputs!$B$38="pvp",1,1+(Inputs!$B$20+Skills!O6+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404*(1-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404*(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404*(1-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404*(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4">
        <f>IF(C404,(H404*N404*IF(AND(Inputs!$B$38&lt;&gt;"pvp",Inputs!$B$43&gt;0),((Skills!F6*((R404-1)*IF(Skills!G6&gt;0,Skills!H6/Skills!G6,1)+IF(Skills!G6&gt;0,MIN(Skills!H6,MAX(0,MAX(0,Inputs!$B$43-B432)-((R404-1)*(IF(Inputs!$B$38="pvp",15,MAX(0.1,Skills!D6-IF(TRUE=TRUE,Inputs!$B$32,0)))*(1-IF(AND(ArtifactsInput!$M$27,Inputs!$B$4="Chapter Hunt"),CHOOSE(ArtifactsInput!$N$27+1,20,24,28,32,36,40),0)/100)))))/Skills!G6,1)))/Inputs!$B$43),G404*Q404))*IF(Inputs!$B$38="pvp",1,(1+(Inputs!$B$21+Skills!P6+B426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5">
      <c r="A405">
        <f>Skills!A7</f>
        <v/>
      </c>
      <c r="B405">
        <f>Skills!B7</f>
        <v/>
      </c>
      <c r="C405">
        <f>Inputs!$B$3&gt;=69</f>
        <v/>
      </c>
      <c r="D405">
        <f>IF(Skills!C7=1,60+Inputs!$B$25+Inputs!$B$29,IF(Skills!C7=2,90+Inputs!$B$26+Inputs!$B$29,IF(Skills!C7=3,120+Inputs!$B$27+Inputs!$B$29,MAX(0,(Inputs!$B$3-100)*3)+Inputs!$B$28+Inputs!$B$29)))</f>
        <v/>
      </c>
      <c r="E405">
        <f>INDEX(FactorTable!$B$2:$Y$301, MATCH(ROUND(MIN(300,MAX(1,D405)),0), FactorTable!$A$2:$A$301,0), Skills!L7+1)</f>
        <v/>
      </c>
      <c r="F405">
        <f>IF(Skills!M7=TRUE,(Skills!K7/10)*(E405/1000),Skills!K7/10)+Skills!N7</f>
        <v/>
      </c>
      <c r="G405">
        <f>Calc!G7</f>
        <v/>
      </c>
      <c r="H405">
        <f>Calc!H7</f>
        <v/>
      </c>
      <c r="I405">
        <f>IF(Skills!T7&lt;&gt;"",1+(Skills!T7/10)*(Z401/1000)/100,1)</f>
        <v/>
      </c>
      <c r="J405">
        <f>((Inputs!$B$6*(1+Inputs!$B$7/100))+(((Inputs!$B$12*(1+Inputs!$B$13/100))-(Inputs!$B$12*(1+Inputs!$B$13/100)))+0.25*(Inputs!$B$14-Inputs!$B$14))*(1+Inputs!$B$7/100))*(F405/100)</f>
        <v/>
      </c>
      <c r="K405">
        <f>J405*(1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7="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405)</f>
        <v/>
      </c>
      <c r="L405">
        <f>K405*(MIN(Inputs!$B$22+(F416-Calc!F18),((Inputs!$B$23+1)+(IF(ArtifactsInput!$M$15,CHOOSE(ArtifactsInput!$N$15+1,25,30,35,40,45,50)/100*(Inputs!$B$11-Inputs!$B$11),0))))/100+((Inputs!$B$23+1)+(IF(ArtifactsInput!$M$15,CHOOSE(ArtifactsInput!$N$15+1,25,30,35,40,45,50)/100*(Inputs!$B$11-Inputs!$B$11),0)))/100)/2</f>
        <v/>
      </c>
      <c r="M405">
        <f>L405*(1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5">
        <f>L405*(1-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405*(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5">
        <f>(1-Summary!$B$11)*S405+Summary!$B$11*U405</f>
        <v/>
      </c>
      <c r="P405">
        <f>IF(B435=0,0,O405/B435)</f>
        <v/>
      </c>
      <c r="Q405">
        <f>IFERROR(1/(IF(Inputs!$B$38="pvp",15,MAX(0.1,Skills!D7-IF(TRUE=TRUE,Inputs!$B$32,0)))*(1-IF(AND(ArtifactsInput!$M$27,Inputs!$B$4="Chapter Hunt"),CHOOSE(ArtifactsInput!$N$27+1,20,24,28,32,36,40),0)/100)),0)</f>
        <v/>
      </c>
      <c r="R405">
        <f>IF(AND(Inputs!$B$38&lt;&gt;"pvp",Inputs!$B$43&gt;0),IF(MAX(0,Inputs!$B$43-B432)&lt;=0,0,(INT(MAX(0,Inputs!$B$43-B432)/(IF(Inputs!$B$38="pvp",15,MAX(0.1,Skills!D7-IF(TRUE=TRUE,Inputs!$B$32,0)))*(1-IF(AND(ArtifactsInput!$M$27,Inputs!$B$4="Chapter Hunt"),CHOOSE(ArtifactsInput!$N$27+1,20,24,28,32,36,40),0)/100)))+1)),0)</f>
        <v/>
      </c>
      <c r="S405">
        <f>IF(C405,(H405*N405*IF(AND(Inputs!$B$38&lt;&gt;"pvp",Inputs!$B$43&gt;0),((Skills!F7*((R405-1)*IF(Skills!G7&gt;0,Skills!H7/Skills!G7,1)+IF(Skills!G7&gt;0,MIN(Skills!H7,MAX(0,MAX(0,Inputs!$B$43-B432)-((R405-1)*(IF(Inputs!$B$38="pvp",15,MAX(0.1,Skills!D7-IF(TRUE=TRUE,Inputs!$B$32,0)))*(1-IF(AND(ArtifactsInput!$M$27,Inputs!$B$4="Chapter Hunt"),CHOOSE(ArtifactsInput!$N$27+1,20,24,28,32,36,40),0)/100)))))/Skills!G7,1)))/Inputs!$B$43),G405*Q405))*IF(Inputs!$B$38="pvp",1,1+(Inputs!$B$20+Skills!O7+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405*(1-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405*(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405*(1-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405*(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5">
        <f>IF(C405,(H405*N405*IF(AND(Inputs!$B$38&lt;&gt;"pvp",Inputs!$B$43&gt;0),((Skills!F7*((R405-1)*IF(Skills!G7&gt;0,Skills!H7/Skills!G7,1)+IF(Skills!G7&gt;0,MIN(Skills!H7,MAX(0,MAX(0,Inputs!$B$43-B432)-((R405-1)*(IF(Inputs!$B$38="pvp",15,MAX(0.1,Skills!D7-IF(TRUE=TRUE,Inputs!$B$32,0)))*(1-IF(AND(ArtifactsInput!$M$27,Inputs!$B$4="Chapter Hunt"),CHOOSE(ArtifactsInput!$N$27+1,20,24,28,32,36,40),0)/100)))))/Skills!G7,1)))/Inputs!$B$43),G405*Q405))*IF(Inputs!$B$38="pvp",1,(1+(Inputs!$B$21+Skills!P7+B426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6">
      <c r="A406">
        <f>Skills!A8</f>
        <v/>
      </c>
      <c r="B406">
        <f>Skills!B8</f>
        <v/>
      </c>
      <c r="C406">
        <f>Inputs!$B$3&gt;=103</f>
        <v/>
      </c>
      <c r="D406">
        <f>IF(Skills!C8=1,60+Inputs!$B$25+Inputs!$B$29,IF(Skills!C8=2,90+Inputs!$B$26+Inputs!$B$29,IF(Skills!C8=3,120+Inputs!$B$27+Inputs!$B$29,MAX(0,(Inputs!$B$3-100)*3)+Inputs!$B$28+Inputs!$B$29)))</f>
        <v/>
      </c>
      <c r="E406">
        <f>INDEX(FactorTable!$B$2:$Y$301, MATCH(ROUND(MIN(300,MAX(1,D406)),0), FactorTable!$A$2:$A$301,0), Skills!L8+1)</f>
        <v/>
      </c>
      <c r="F406">
        <f>IF(Skills!M8=TRUE,(Skills!K8/10)*(E406/1000),Skills!K8/10)+Skills!N8</f>
        <v/>
      </c>
      <c r="G406">
        <f>Calc!G8</f>
        <v/>
      </c>
      <c r="H406">
        <f>Calc!H8</f>
        <v/>
      </c>
      <c r="I406">
        <f>IF(Skills!T8&lt;&gt;"",1+(Skills!T8/10)*(Z401/1000)/100,1)</f>
        <v/>
      </c>
      <c r="J406">
        <f>((Inputs!$B$6*(1+Inputs!$B$7/100))+(((Inputs!$B$12*(1+Inputs!$B$13/100))-(Inputs!$B$12*(1+Inputs!$B$13/100)))+0.25*(Inputs!$B$14-Inputs!$B$14))*(1+Inputs!$B$7/100))*(F406/100)</f>
        <v/>
      </c>
      <c r="K406">
        <f>J406*(1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8="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406)</f>
        <v/>
      </c>
      <c r="L406">
        <f>K406*(MIN(Inputs!$B$22+(F416-Calc!F18),((Inputs!$B$23+1)+(IF(ArtifactsInput!$M$15,CHOOSE(ArtifactsInput!$N$15+1,25,30,35,40,45,50)/100*(Inputs!$B$11-Inputs!$B$11),0))))/100+((Inputs!$B$23+1)+(IF(ArtifactsInput!$M$15,CHOOSE(ArtifactsInput!$N$15+1,25,30,35,40,45,50)/100*(Inputs!$B$11-Inputs!$B$11),0)))/100)/2</f>
        <v/>
      </c>
      <c r="M406">
        <f>L406*(1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6">
        <f>L406*(1-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406*(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6">
        <f>(1-Summary!$B$11)*S406+Summary!$B$11*U406</f>
        <v/>
      </c>
      <c r="P406">
        <f>IF(B435=0,0,O406/B435)</f>
        <v/>
      </c>
      <c r="Q406">
        <f>IFERROR(1/(IF(Inputs!$B$38="pvp",15,MAX(0.1,Skills!D8-IF(TRUE=TRUE,Inputs!$B$32,0)))*(1-IF(AND(ArtifactsInput!$M$27,Inputs!$B$4="Chapter Hunt"),CHOOSE(ArtifactsInput!$N$27+1,20,24,28,32,36,40),0)/100)),0)</f>
        <v/>
      </c>
      <c r="R406">
        <f>IF(AND(Inputs!$B$38&lt;&gt;"pvp",Inputs!$B$43&gt;0),IF(MAX(0,Inputs!$B$43-B432)&lt;=0,0,(INT(MAX(0,Inputs!$B$43-B432)/(IF(Inputs!$B$38="pvp",15,MAX(0.1,Skills!D8-IF(TRUE=TRUE,Inputs!$B$32,0)))*(1-IF(AND(ArtifactsInput!$M$27,Inputs!$B$4="Chapter Hunt"),CHOOSE(ArtifactsInput!$N$27+1,20,24,28,32,36,40),0)/100)))+1)),0)</f>
        <v/>
      </c>
      <c r="S406">
        <f>IF(C406,(H406*N406*IF(AND(Inputs!$B$38&lt;&gt;"pvp",Inputs!$B$43&gt;0),((Skills!F8*((R406-1)*IF(Skills!G8&gt;0,Skills!H8/Skills!G8,1)+IF(Skills!G8&gt;0,MIN(Skills!H8,MAX(0,MAX(0,Inputs!$B$43-B432)-((R406-1)*(IF(Inputs!$B$38="pvp",15,MAX(0.1,Skills!D8-IF(TRUE=TRUE,Inputs!$B$32,0)))*(1-IF(AND(ArtifactsInput!$M$27,Inputs!$B$4="Chapter Hunt"),CHOOSE(ArtifactsInput!$N$27+1,20,24,28,32,36,40),0)/100)))))/Skills!G8,1)))/Inputs!$B$43),G406*Q406))*IF(Inputs!$B$38="pvp",1,1+(Inputs!$B$20+Skills!O8+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406*(1-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406*(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406*(1-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406*(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6">
        <f>IF(C406,(H406*N406*IF(AND(Inputs!$B$38&lt;&gt;"pvp",Inputs!$B$43&gt;0),((Skills!F8*((R406-1)*IF(Skills!G8&gt;0,Skills!H8/Skills!G8,1)+IF(Skills!G8&gt;0,MIN(Skills!H8,MAX(0,MAX(0,Inputs!$B$43-B432)-((R406-1)*(IF(Inputs!$B$38="pvp",15,MAX(0.1,Skills!D8-IF(TRUE=TRUE,Inputs!$B$32,0)))*(1-IF(AND(ArtifactsInput!$M$27,Inputs!$B$4="Chapter Hunt"),CHOOSE(ArtifactsInput!$N$27+1,20,24,28,32,36,40),0)/100)))))/Skills!G8,1)))/Inputs!$B$43),G406*Q406))*IF(Inputs!$B$38="pvp",1,(1+(Inputs!$B$21+Skills!P8+B426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7">
      <c r="A407">
        <f>Skills!A9</f>
        <v/>
      </c>
      <c r="B407">
        <f>Skills!B9</f>
        <v/>
      </c>
      <c r="C407">
        <f>Inputs!$B$3&gt;=105</f>
        <v/>
      </c>
      <c r="D407">
        <f>IF(Skills!C9=1,60+Inputs!$B$25+Inputs!$B$29,IF(Skills!C9=2,90+Inputs!$B$26+Inputs!$B$29,IF(Skills!C9=3,120+Inputs!$B$27+Inputs!$B$29,MAX(0,(Inputs!$B$3-100)*3)+Inputs!$B$28+Inputs!$B$29)))</f>
        <v/>
      </c>
      <c r="E407">
        <f>INDEX(FactorTable!$B$2:$Y$301, MATCH(ROUND(MIN(300,MAX(1,D407)),0), FactorTable!$A$2:$A$301,0), Skills!L9+1)</f>
        <v/>
      </c>
      <c r="F407">
        <f>IF(Skills!M9=TRUE,(Skills!K9/10)*(E407/1000),Skills!K9/10)+Skills!N9</f>
        <v/>
      </c>
      <c r="G407">
        <f>Calc!G9</f>
        <v/>
      </c>
      <c r="H407">
        <f>Calc!H9</f>
        <v/>
      </c>
      <c r="I407">
        <f>IF(Skills!T9&lt;&gt;"",1+(Skills!T9/10)*(Z401/1000)/100,1)</f>
        <v/>
      </c>
      <c r="J407">
        <f>((Inputs!$B$6*(1+Inputs!$B$7/100))+(((Inputs!$B$12*(1+Inputs!$B$13/100))-(Inputs!$B$12*(1+Inputs!$B$13/100)))+0.25*(Inputs!$B$14-Inputs!$B$14))*(1+Inputs!$B$7/100))*(F407/100)</f>
        <v/>
      </c>
      <c r="K407">
        <f>J407*(1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9="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407)</f>
        <v/>
      </c>
      <c r="L407">
        <f>K407*(MIN(Inputs!$B$22+(F416-Calc!F18),((Inputs!$B$23+1)+(IF(ArtifactsInput!$M$15,CHOOSE(ArtifactsInput!$N$15+1,25,30,35,40,45,50)/100*(Inputs!$B$11-Inputs!$B$11),0))))/100+((Inputs!$B$23+1)+(IF(ArtifactsInput!$M$15,CHOOSE(ArtifactsInput!$N$15+1,25,30,35,40,45,50)/100*(Inputs!$B$11-Inputs!$B$11),0)))/100)/2</f>
        <v/>
      </c>
      <c r="M407">
        <f>L407*(1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7">
        <f>L407*(1-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407*(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7">
        <f>(1-Summary!$B$11)*S407+Summary!$B$11*U407</f>
        <v/>
      </c>
      <c r="P407">
        <f>IF(B435=0,0,O407/B435)</f>
        <v/>
      </c>
      <c r="Q407">
        <f>IFERROR(1/(IF(Inputs!$B$38="pvp",15,MAX(0.1,Skills!D9-IF(TRUE=TRUE,Inputs!$B$32,0)))*(1-IF(AND(ArtifactsInput!$M$27,Inputs!$B$4="Chapter Hunt"),CHOOSE(ArtifactsInput!$N$27+1,20,24,28,32,36,40),0)/100)),0)</f>
        <v/>
      </c>
      <c r="R407">
        <f>IF(AND(Inputs!$B$38&lt;&gt;"pvp",Inputs!$B$43&gt;0),IF(MAX(0,Inputs!$B$43-B432)&lt;=0,0,(INT(MAX(0,Inputs!$B$43-B432)/(IF(Inputs!$B$38="pvp",15,MAX(0.1,Skills!D9-IF(TRUE=TRUE,Inputs!$B$32,0)))*(1-IF(AND(ArtifactsInput!$M$27,Inputs!$B$4="Chapter Hunt"),CHOOSE(ArtifactsInput!$N$27+1,20,24,28,32,36,40),0)/100)))+1)),0)</f>
        <v/>
      </c>
      <c r="S407">
        <f>IF(C407,(H407*N407*IF(AND(Inputs!$B$38&lt;&gt;"pvp",Inputs!$B$43&gt;0),((Skills!F9*((R407-1)*IF(Skills!G9&gt;0,Skills!H9/Skills!G9,1)+IF(Skills!G9&gt;0,MIN(Skills!H9,MAX(0,MAX(0,Inputs!$B$43-B432)-((R407-1)*(IF(Inputs!$B$38="pvp",15,MAX(0.1,Skills!D9-IF(TRUE=TRUE,Inputs!$B$32,0)))*(1-IF(AND(ArtifactsInput!$M$27,Inputs!$B$4="Chapter Hunt"),CHOOSE(ArtifactsInput!$N$27+1,20,24,28,32,36,40),0)/100)))))/Skills!G9,1)))/Inputs!$B$43),G407*Q407))*IF(Inputs!$B$38="pvp",1,1+(Inputs!$B$20+Skills!O9+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407*(1-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407*(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407*(1-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407*(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7">
        <f>IF(C407,(H407*N407*IF(AND(Inputs!$B$38&lt;&gt;"pvp",Inputs!$B$43&gt;0),((Skills!F9*((R407-1)*IF(Skills!G9&gt;0,Skills!H9/Skills!G9,1)+IF(Skills!G9&gt;0,MIN(Skills!H9,MAX(0,MAX(0,Inputs!$B$43-B432)-((R407-1)*(IF(Inputs!$B$38="pvp",15,MAX(0.1,Skills!D9-IF(TRUE=TRUE,Inputs!$B$32,0)))*(1-IF(AND(ArtifactsInput!$M$27,Inputs!$B$4="Chapter Hunt"),CHOOSE(ArtifactsInput!$N$27+1,20,24,28,32,36,40),0)/100)))))/Skills!G9,1)))/Inputs!$B$43),G407*Q407))*IF(Inputs!$B$38="pvp",1,(1+(Inputs!$B$21+Skills!P9+B426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8">
      <c r="A408">
        <f>Skills!A10</f>
        <v/>
      </c>
      <c r="B408">
        <f>Skills!B10</f>
        <v/>
      </c>
      <c r="C408">
        <f>Inputs!$B$3&gt;=113</f>
        <v/>
      </c>
      <c r="D408">
        <f>IF(Skills!C10=1,60+Inputs!$B$25+Inputs!$B$29,IF(Skills!C10=2,90+Inputs!$B$26+Inputs!$B$29,IF(Skills!C10=3,120+Inputs!$B$27+Inputs!$B$29,MAX(0,(Inputs!$B$3-100)*3)+Inputs!$B$28+Inputs!$B$29)))</f>
        <v/>
      </c>
      <c r="E408">
        <f>INDEX(FactorTable!$B$2:$Y$301, MATCH(ROUND(MIN(300,MAX(1,D408)),0), FactorTable!$A$2:$A$301,0), Skills!L10+1)</f>
        <v/>
      </c>
      <c r="F408">
        <f>IF(Skills!M10=TRUE,(Skills!K10/10)*(E408/1000),Skills!K10/10)+Skills!N10</f>
        <v/>
      </c>
      <c r="G408">
        <f>Calc!G10</f>
        <v/>
      </c>
      <c r="H408">
        <f>Calc!H10</f>
        <v/>
      </c>
      <c r="I408">
        <f>IF(Skills!T10&lt;&gt;"",1+(Skills!T10/10)*(Z401/1000)/100,1)</f>
        <v/>
      </c>
      <c r="J408">
        <f>((Inputs!$B$6*(1+Inputs!$B$7/100))+(((Inputs!$B$12*(1+Inputs!$B$13/100))-(Inputs!$B$12*(1+Inputs!$B$13/100)))+0.25*(Inputs!$B$14-Inputs!$B$14))*(1+Inputs!$B$7/100))*(F408/100)</f>
        <v/>
      </c>
      <c r="K408">
        <f>J408*(1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10="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408)</f>
        <v/>
      </c>
      <c r="L408">
        <f>K408*(MIN(Inputs!$B$22+(F416-Calc!F18),((Inputs!$B$23+1)+(IF(ArtifactsInput!$M$15,CHOOSE(ArtifactsInput!$N$15+1,25,30,35,40,45,50)/100*(Inputs!$B$11-Inputs!$B$11),0))))/100+((Inputs!$B$23+1)+(IF(ArtifactsInput!$M$15,CHOOSE(ArtifactsInput!$N$15+1,25,30,35,40,45,50)/100*(Inputs!$B$11-Inputs!$B$11),0)))/100)/2</f>
        <v/>
      </c>
      <c r="M408">
        <f>L408*(1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8">
        <f>L408*(1-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408*(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8">
        <f>(1-Summary!$B$11)*S408+Summary!$B$11*U408</f>
        <v/>
      </c>
      <c r="P408">
        <f>IF(B435=0,0,O408/B435)</f>
        <v/>
      </c>
      <c r="Q408">
        <f>IFERROR(1/(IF(Inputs!$B$38="pvp",15,MAX(0.1,Skills!D10-IF(TRUE=TRUE,Inputs!$B$32,0)))*(1-IF(AND(ArtifactsInput!$M$27,Inputs!$B$4="Chapter Hunt"),CHOOSE(ArtifactsInput!$N$27+1,20,24,28,32,36,40),0)/100)),0)</f>
        <v/>
      </c>
      <c r="R408" t="n">
        <v>0</v>
      </c>
      <c r="S408">
        <f>IF(C408,((H408*B436)/(1+Skills!G10*H408*B436)*N408)*IF(Inputs!$B$38="pvp",1,1+(Inputs!$B$20+Skills!O10+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408*(1-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408*(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408*(1-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408*(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8">
        <f>IF(C408,((H408*B436)/(1+Skills!G10*H408*B436)*N408)*IF(Inputs!$B$38="pvp",1,(1+(Inputs!$B$21+Skills!P10+B426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09">
      <c r="A409">
        <f>Skills!A11</f>
        <v/>
      </c>
      <c r="B409">
        <f>Skills!B11</f>
        <v/>
      </c>
      <c r="C409">
        <f>Inputs!$B$3&gt;=107</f>
        <v/>
      </c>
      <c r="D409">
        <f>IF(Skills!C11=1,60+Inputs!$B$25+Inputs!$B$29,IF(Skills!C11=2,90+Inputs!$B$26+Inputs!$B$29,IF(Skills!C11=3,120+Inputs!$B$27+Inputs!$B$29,MAX(0,(Inputs!$B$3-100)*3)+Inputs!$B$28+Inputs!$B$29)))</f>
        <v/>
      </c>
      <c r="E409">
        <f>INDEX(FactorTable!$B$2:$Y$301, MATCH(ROUND(MIN(300,MAX(1,D409)),0), FactorTable!$A$2:$A$301,0), Skills!L11+1)</f>
        <v/>
      </c>
      <c r="F409">
        <f>IF(Skills!M11=TRUE,(Skills!K11/10)*(E409/1000),Skills!K11/10)+Skills!N11</f>
        <v/>
      </c>
      <c r="G409">
        <f>Calc!G11</f>
        <v/>
      </c>
      <c r="H409">
        <f>Calc!H11</f>
        <v/>
      </c>
      <c r="I409">
        <f>IF(Skills!T11&lt;&gt;"",1+(Skills!T11/10)*(Z401/1000)/100,1)</f>
        <v/>
      </c>
      <c r="J409">
        <f>((Inputs!$B$6*(1+Inputs!$B$7/100))+(((Inputs!$B$12*(1+Inputs!$B$13/100))-(Inputs!$B$12*(1+Inputs!$B$13/100)))+0.25*(Inputs!$B$14-Inputs!$B$14))*(1+Inputs!$B$7/100))*(F409/100)</f>
        <v/>
      </c>
      <c r="K409">
        <f>J409*(1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11="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409)</f>
        <v/>
      </c>
      <c r="L409">
        <f>K409*(MIN(Inputs!$B$22+(F416-Calc!F18),((Inputs!$B$23+1)+(IF(ArtifactsInput!$M$15,CHOOSE(ArtifactsInput!$N$15+1,25,30,35,40,45,50)/100*(Inputs!$B$11-Inputs!$B$11),0))))/100+((Inputs!$B$23+1)+(IF(ArtifactsInput!$M$15,CHOOSE(ArtifactsInput!$N$15+1,25,30,35,40,45,50)/100*(Inputs!$B$11-Inputs!$B$11),0)))/100)/2</f>
        <v/>
      </c>
      <c r="M409">
        <f>L409*(1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09">
        <f>L409*(1-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409*(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09">
        <f>(1-Summary!$B$11)*S409+Summary!$B$11*U409</f>
        <v/>
      </c>
      <c r="P409">
        <f>IF(B435=0,0,O409/B435)</f>
        <v/>
      </c>
      <c r="Q409">
        <f>IFERROR(1/(IF(Inputs!$B$38="pvp",15,MAX(0.1,Skills!D11-IF(TRUE=TRUE,Inputs!$B$32,0)))*(1-IF(AND(ArtifactsInput!$M$27,Inputs!$B$4="Chapter Hunt"),CHOOSE(ArtifactsInput!$N$27+1,20,24,28,32,36,40),0)/100)),0)</f>
        <v/>
      </c>
      <c r="R409">
        <f>IF(AND(Inputs!$B$38&lt;&gt;"pvp",Inputs!$B$43&gt;0),IF(MAX(0,Inputs!$B$43-B432)&lt;=0,0,(INT(MAX(0,Inputs!$B$43-B432)/(IF(Inputs!$B$38="pvp",15,MAX(0.1,Skills!D11-IF(TRUE=TRUE,Inputs!$B$32,0)))*(1-IF(AND(ArtifactsInput!$M$27,Inputs!$B$4="Chapter Hunt"),CHOOSE(ArtifactsInput!$N$27+1,20,24,28,32,36,40),0)/100)))+1)),0)</f>
        <v/>
      </c>
      <c r="S409">
        <f>IF(C409,H409*N409*IF(AND(Inputs!$B$38&lt;&gt;"pvp",Inputs!$B$43&gt;0),((Skills!F11*((R409-1)*IF(Skills!G11&gt;0,Skills!H11/Skills!G11,1)+IF(Skills!G11&gt;0,MIN(Skills!H11,MAX(0,MAX(0,Inputs!$B$43-B432)-((R409-1)*(IF(Inputs!$B$38="pvp",15,MAX(0.1,Skills!D11-IF(TRUE=TRUE,Inputs!$B$32,0)))*(1-IF(AND(ArtifactsInput!$M$27,Inputs!$B$4="Chapter Hunt"),CHOOSE(ArtifactsInput!$N$27+1,20,24,28,32,36,40),0)/100)))))/Skills!G11,1)))/Inputs!$B$43),G409*Q409)*0.5*IF(Inputs!$B$38="pvp",1,1+(Inputs!$B$20+Skills!O11+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409*(1-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409*(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409*(1-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409*(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09">
        <f>IF(C409,H409*N409*IF(AND(Inputs!$B$38&lt;&gt;"pvp",Inputs!$B$43&gt;0),((Skills!F11*((R409-1)*IF(Skills!G11&gt;0,Skills!H11/Skills!G11,1)+IF(Skills!G11&gt;0,MIN(Skills!H11,MAX(0,MAX(0,Inputs!$B$43-B432)-((R409-1)*(IF(Inputs!$B$38="pvp",15,MAX(0.1,Skills!D11-IF(TRUE=TRUE,Inputs!$B$32,0)))*(1-IF(AND(ArtifactsInput!$M$27,Inputs!$B$4="Chapter Hunt"),CHOOSE(ArtifactsInput!$N$27+1,20,24,28,32,36,40),0)/100)))))/Skills!G11,1)))/Inputs!$B$43),G409*Q409)*1*IF(Inputs!$B$38="pvp",1,(1+(Inputs!$B$21+Skills!P11+B426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0">
      <c r="A410">
        <f>Skills!A12</f>
        <v/>
      </c>
      <c r="B410">
        <f>Skills!B12</f>
        <v/>
      </c>
      <c r="C410">
        <f>Inputs!$B$3&gt;=115</f>
        <v/>
      </c>
      <c r="D410">
        <f>IF(Skills!C12=1,60+Inputs!$B$25+Inputs!$B$29,IF(Skills!C12=2,90+Inputs!$B$26+Inputs!$B$29,IF(Skills!C12=3,120+Inputs!$B$27+Inputs!$B$29,MAX(0,(Inputs!$B$3-100)*3)+Inputs!$B$28+Inputs!$B$29)))</f>
        <v/>
      </c>
      <c r="E410">
        <f>INDEX(FactorTable!$B$2:$Y$301, MATCH(ROUND(MIN(300,MAX(1,D410)),0), FactorTable!$A$2:$A$301,0), Skills!L12+1)</f>
        <v/>
      </c>
      <c r="F410">
        <f>IF(Skills!M12=TRUE,(Skills!K12/10)*(E410/1000),Skills!K12/10)+Skills!N12</f>
        <v/>
      </c>
      <c r="G410">
        <f>Calc!G12</f>
        <v/>
      </c>
      <c r="H410">
        <f>Calc!H12</f>
        <v/>
      </c>
      <c r="I410">
        <f>IF(Skills!T12&lt;&gt;"",1+(Skills!T12/10)*(Z401/1000)/100,1)</f>
        <v/>
      </c>
      <c r="J410">
        <f>((Inputs!$B$6*(1+Inputs!$B$7/100))+(((Inputs!$B$12*(1+Inputs!$B$13/100))-(Inputs!$B$12*(1+Inputs!$B$13/100)))+0.25*(Inputs!$B$14-Inputs!$B$14))*(1+Inputs!$B$7/100))*(F410/100)</f>
        <v/>
      </c>
      <c r="K410">
        <f>J410*(1+((Inputs!$B$12*(1+Inputs!$B$13/100))*0.01+Inputs!$B$14*0.0025)/100)*(1+(Inputs!$B$15+B427)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413=TRUE,F413,0)/100)*(1+IF(C421=TRUE,F421,0)/100)^5*(1+(IF(Skills!A12="CHAIN_LIGHTNING",Inputs!$B$17+((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425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410)</f>
        <v/>
      </c>
      <c r="L410">
        <f>K410*(MIN(Inputs!$B$22+(F416-Calc!F18),((Inputs!$B$23+1)+(IF(ArtifactsInput!$M$15,CHOOSE(ArtifactsInput!$N$15+1,25,30,35,40,45,50)/100*(Inputs!$B$11-Inputs!$B$11),0))))/100+((Inputs!$B$23+1)+(IF(ArtifactsInput!$M$15,CHOOSE(ArtifactsInput!$N$15+1,25,30,35,40,45,50)/100*(Inputs!$B$11-Inputs!$B$11),0)))/100)/2</f>
        <v/>
      </c>
      <c r="M410">
        <f>L410*(1+(Inputs!$B$10+(F419-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10">
        <f>L410*(1-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410*(MIN((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10">
        <f>(1-Summary!$B$11)*S410+Summary!$B$11*U410</f>
        <v/>
      </c>
      <c r="P410">
        <f>IF(B435=0,0,O410/B435)</f>
        <v/>
      </c>
      <c r="Q410">
        <f>IFERROR(1/(IF(Inputs!$B$38="pvp",15,MAX(0.1,Skills!D12-IF(TRUE=TRUE,Inputs!$B$32,0)))*(1-IF(AND(ArtifactsInput!$M$27,Inputs!$B$4="Chapter Hunt"),CHOOSE(ArtifactsInput!$N$27+1,20,24,28,32,36,40),0)/100)),0)</f>
        <v/>
      </c>
      <c r="R410">
        <f>IF(AND(Inputs!$B$38&lt;&gt;"pvp",Inputs!$B$43&gt;0),IF(MAX(0,Inputs!$B$43-B432)&lt;=0,0,(INT(MAX(0,Inputs!$B$43-B432)/(IF(Inputs!$B$38="pvp",15,MAX(0.1,Skills!D12-IF(TRUE=TRUE,Inputs!$B$32,0)))*(1-IF(AND(ArtifactsInput!$M$27,Inputs!$B$4="Chapter Hunt"),CHOOSE(ArtifactsInput!$N$27+1,20,24,28,32,36,40),0)/100)))+1)),0)</f>
        <v/>
      </c>
      <c r="S410">
        <f>IF(C410,(H410*N410*IF(AND(Inputs!$B$38&lt;&gt;"pvp",Inputs!$B$43&gt;0),((Skills!F12*((R410-1)*IF(Skills!G12&gt;0,Skills!H12/Skills!G12,1)+IF(Skills!G12&gt;0,MIN(Skills!H12,MAX(0,MAX(0,Inputs!$B$43-B432)-((R410-1)*(IF(Inputs!$B$38="pvp",15,MAX(0.1,Skills!D12-IF(TRUE=TRUE,Inputs!$B$32,0)))*(1-IF(AND(ArtifactsInput!$M$27,Inputs!$B$4="Chapter Hunt"),CHOOSE(ArtifactsInput!$N$27+1,20,24,28,32,36,40),0)/100)))))/Skills!G12,1)))/Inputs!$B$43),G410*Q410))*IF(Inputs!$B$38="pvp",1,1+(Inputs!$B$20+Skills!O12+B426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410*(1-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410*(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410*(1-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410*(MIN(100,(Inputs!$B$9+((F418-Calc!F20)+(F417-Calc!F19))+(ArtifactsInput!$M$24-ArtifactsInput!$M$24)*CHOOSE(ArtifactsInput!$N$24+1,10,12,14,16,18,20)+(IF(AND(Inputs!$B$38&lt;&gt;"pvp",Inputs!$B$43=0),1,IF(IF(Inputs!$B$38="pvp",15,Inputs!$B$43)-(B432)&lt;=0,1,MAX(0,IF(Inputs!$B$38="pvp",15,Inputs!$B$43)-MAX(5,B432))/(IF(Inputs!$B$38="pvp",15,Inputs!$B$43)-(B432)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10">
        <f>IF(C410,(H410*N410*IF(AND(Inputs!$B$38&lt;&gt;"pvp",Inputs!$B$43&gt;0),((Skills!F12*((R410-1)*IF(Skills!G12&gt;0,Skills!H12/Skills!G12,1)+IF(Skills!G12&gt;0,MIN(Skills!H12,MAX(0,MAX(0,Inputs!$B$43-B432)-((R410-1)*(IF(Inputs!$B$38="pvp",15,MAX(0.1,Skills!D12-IF(TRUE=TRUE,Inputs!$B$32,0)))*(1-IF(AND(ArtifactsInput!$M$27,Inputs!$B$4="Chapter Hunt"),CHOOSE(ArtifactsInput!$N$27+1,20,24,28,32,36,40),0)/100)))))/Skills!G12,1)))/Inputs!$B$43),G410*Q410))*IF(Inputs!$B$38="pvp",1,(1+(Inputs!$B$21+Skills!P12+B426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11">
      <c r="A411">
        <f>Skills!A13</f>
        <v/>
      </c>
      <c r="B411">
        <f>Skills!B13</f>
        <v/>
      </c>
      <c r="C411">
        <f>Inputs!$B$3&gt;=49</f>
        <v/>
      </c>
      <c r="D411">
        <f>IF(Skills!C13=1,60+Inputs!$B$25+Inputs!$B$29,IF(Skills!C13=2,90+Inputs!$B$26+Inputs!$B$29,IF(Skills!C13=3,120+Inputs!$B$27+Inputs!$B$29,MAX(0,(Inputs!$B$3-100)*3)+Inputs!$B$28+Inputs!$B$29)))</f>
        <v/>
      </c>
      <c r="E411">
        <f>INDEX(FactorTable!$B$2:$Y$301, MATCH(ROUND(MIN(300,MAX(1,D411)),0), FactorTable!$A$2:$A$301,0), Skills!L13+1)</f>
        <v/>
      </c>
      <c r="F411">
        <f>IF(Skills!M13=TRUE,(Skills!K13/10)*(E411/1000),Skills!K13/10)+Skills!N13</f>
        <v/>
      </c>
      <c r="G411">
        <f>Calc!G13</f>
        <v/>
      </c>
      <c r="H411">
        <f>Calc!H13</f>
        <v/>
      </c>
      <c r="I411">
        <f>IF(Skills!T13&lt;&gt;"",1+(Skills!T13/10)*(Z401/1000)/100,1)</f>
        <v/>
      </c>
      <c r="J411" t="inlineStr"/>
      <c r="K411" t="inlineStr"/>
      <c r="L411" t="inlineStr"/>
      <c r="M411" t="inlineStr"/>
      <c r="N411" t="inlineStr"/>
      <c r="O411">
        <f>(1-Summary!$B$11)*S411+Summary!$B$11*U411</f>
        <v/>
      </c>
      <c r="P411">
        <f>IF(B435=0,0,O411/B435)</f>
        <v/>
      </c>
      <c r="Q411">
        <f>IFERROR(1/(IF(Inputs!$B$38="pvp",15,MAX(0.1,Skills!D13-IF(TRUE=TRUE,Inputs!$B$32,0)))*(1-IF(AND(ArtifactsInput!$M$27,Inputs!$B$4="Chapter Hunt"),CHOOSE(ArtifactsInput!$N$27+1,20,24,28,32,36,40),0)/100)),0)</f>
        <v/>
      </c>
      <c r="R411" t="n">
        <v>0</v>
      </c>
      <c r="S411" t="n">
        <v>0</v>
      </c>
      <c r="U411" t="n">
        <v>0</v>
      </c>
    </row>
    <row r="412">
      <c r="A412">
        <f>Skills!A14</f>
        <v/>
      </c>
      <c r="B412">
        <f>Skills!B14</f>
        <v/>
      </c>
      <c r="C412">
        <f>Inputs!$B$3&gt;=72</f>
        <v/>
      </c>
      <c r="D412">
        <f>IF(Skills!C14=1,60+Inputs!$B$25+Inputs!$B$29,IF(Skills!C14=2,90+Inputs!$B$26+Inputs!$B$29,IF(Skills!C14=3,120+Inputs!$B$27+Inputs!$B$29,MAX(0,(Inputs!$B$3-100)*3)+Inputs!$B$28+Inputs!$B$29)))</f>
        <v/>
      </c>
      <c r="E412">
        <f>INDEX(FactorTable!$B$2:$Y$301, MATCH(ROUND(MIN(300,MAX(1,D412)),0), FactorTable!$A$2:$A$301,0), Skills!L14+1)</f>
        <v/>
      </c>
      <c r="F412">
        <f>IF(Skills!M14=TRUE,(Skills!K14/10)*(E412/1000),Skills!K14/10)+Skills!N14</f>
        <v/>
      </c>
      <c r="G412">
        <f>Calc!G14</f>
        <v/>
      </c>
      <c r="H412">
        <f>Calc!H14</f>
        <v/>
      </c>
      <c r="I412">
        <f>IF(Skills!T14&lt;&gt;"",1+(Skills!T14/10)*(Z401/1000)/100,1)</f>
        <v/>
      </c>
      <c r="J412" t="inlineStr"/>
      <c r="K412" t="inlineStr"/>
      <c r="L412" t="inlineStr"/>
      <c r="M412" t="inlineStr"/>
      <c r="N412" t="inlineStr"/>
      <c r="O412">
        <f>(1-Summary!$B$11)*S412+Summary!$B$11*U412</f>
        <v/>
      </c>
      <c r="P412">
        <f>IF(B435=0,0,O412/B435)</f>
        <v/>
      </c>
      <c r="Q412">
        <f>IFERROR(1/(IF(Inputs!$B$38="pvp",15,MAX(0.1,Skills!D14-IF(TRUE=TRUE,Inputs!$B$32,0)))*(1-IF(AND(ArtifactsInput!$M$27,Inputs!$B$4="Chapter Hunt"),CHOOSE(ArtifactsInput!$N$27+1,20,24,28,32,36,40),0)/100)),0)</f>
        <v/>
      </c>
      <c r="R412" t="n">
        <v>0</v>
      </c>
      <c r="S412" t="n">
        <v>0</v>
      </c>
      <c r="U412" t="n">
        <v>0</v>
      </c>
    </row>
    <row r="413">
      <c r="A413">
        <f>Skills!A15</f>
        <v/>
      </c>
      <c r="B413">
        <f>Skills!B15</f>
        <v/>
      </c>
      <c r="C413">
        <f>Inputs!$B$3&gt;=75</f>
        <v/>
      </c>
      <c r="D413">
        <f>IF(Skills!C15=1,60+Inputs!$B$25+Inputs!$B$29,IF(Skills!C15=2,90+Inputs!$B$26+Inputs!$B$29,IF(Skills!C15=3,120+Inputs!$B$27+Inputs!$B$29,MAX(0,(Inputs!$B$3-100)*3)+Inputs!$B$28+Inputs!$B$29)))</f>
        <v/>
      </c>
      <c r="E413">
        <f>INDEX(FactorTable!$B$2:$Y$301, MATCH(ROUND(MIN(300,MAX(1,D413)),0), FactorTable!$A$2:$A$301,0), Skills!L15+1)</f>
        <v/>
      </c>
      <c r="F413">
        <f>IF(Skills!M15=TRUE,(Skills!K15/10)*(E413/1000),Skills!K15/10)+Skills!N15</f>
        <v/>
      </c>
      <c r="G413">
        <f>Calc!G15</f>
        <v/>
      </c>
      <c r="H413">
        <f>Calc!H15</f>
        <v/>
      </c>
      <c r="I413">
        <f>IF(Skills!T15&lt;&gt;"",1+(Skills!T15/10)*(Z401/1000)/100,1)</f>
        <v/>
      </c>
      <c r="J413" t="inlineStr"/>
      <c r="K413" t="inlineStr"/>
      <c r="L413" t="inlineStr"/>
      <c r="M413" t="inlineStr"/>
      <c r="N413" t="inlineStr"/>
      <c r="O413">
        <f>(1-Summary!$B$11)*S413+Summary!$B$11*U413</f>
        <v/>
      </c>
      <c r="P413">
        <f>IF(B435=0,0,O413/B435)</f>
        <v/>
      </c>
      <c r="Q413">
        <f>IFERROR(1/(IF(Inputs!$B$38="pvp",15,MAX(0.1,Skills!D15-IF(TRUE=TRUE,Inputs!$B$32,0)))*(1-IF(AND(ArtifactsInput!$M$27,Inputs!$B$4="Chapter Hunt"),CHOOSE(ArtifactsInput!$N$27+1,20,24,28,32,36,40),0)/100)),0)</f>
        <v/>
      </c>
      <c r="R413" t="n">
        <v>0</v>
      </c>
      <c r="S413" t="n">
        <v>0</v>
      </c>
      <c r="U413" t="n">
        <v>0</v>
      </c>
    </row>
    <row r="414">
      <c r="A414">
        <f>Skills!A16</f>
        <v/>
      </c>
      <c r="B414">
        <f>Skills!B16</f>
        <v/>
      </c>
      <c r="C414">
        <f>Inputs!$B$3&gt;=110</f>
        <v/>
      </c>
      <c r="D414">
        <f>IF(Skills!C16=1,60+Inputs!$B$25+Inputs!$B$29,IF(Skills!C16=2,90+Inputs!$B$26+Inputs!$B$29,IF(Skills!C16=3,120+Inputs!$B$27+Inputs!$B$29,MAX(0,(Inputs!$B$3-100)*3)+Inputs!$B$28+Inputs!$B$29)))</f>
        <v/>
      </c>
      <c r="E414">
        <f>INDEX(FactorTable!$B$2:$Y$301, MATCH(ROUND(MIN(300,MAX(1,D414)),0), FactorTable!$A$2:$A$301,0), Skills!L16+1)</f>
        <v/>
      </c>
      <c r="F414">
        <f>(Skills!K16/10)*(E414/1000)*64/45+Skills!N16</f>
        <v/>
      </c>
      <c r="G414">
        <f>Calc!G16</f>
        <v/>
      </c>
      <c r="H414">
        <f>Calc!H16</f>
        <v/>
      </c>
      <c r="I414">
        <f>IF(Skills!T16&lt;&gt;"",1+(Skills!T16/10)*(Z401/1000)/100,1)</f>
        <v/>
      </c>
      <c r="J414" t="inlineStr"/>
      <c r="K414" t="inlineStr"/>
      <c r="L414" t="inlineStr"/>
      <c r="M414" t="inlineStr"/>
      <c r="N414" t="inlineStr"/>
      <c r="O414">
        <f>(1-Summary!$B$11)*S414+Summary!$B$11*U414</f>
        <v/>
      </c>
      <c r="P414">
        <f>IF(B435=0,0,O414/B435)</f>
        <v/>
      </c>
      <c r="Q414">
        <f>IFERROR(1/(IF(Inputs!$B$38="pvp",15,MAX(0.1,Skills!D16-IF(TRUE=TRUE,Inputs!$B$32,0)))*(1-IF(AND(ArtifactsInput!$M$27,Inputs!$B$4="Chapter Hunt"),CHOOSE(ArtifactsInput!$N$27+1,20,24,28,32,36,40),0)/100)),0)</f>
        <v/>
      </c>
      <c r="R414">
        <f>IF(AND(Inputs!$B$38&lt;&gt;"pvp",Inputs!$B$43&gt;0),IF(Inputs!$B$43&lt;=0,0,(INT(Inputs!$B$43/(IF(Inputs!$B$38="pvp",15,MAX(0.1,Skills!D16-IF(TRUE=TRUE,Inputs!$B$32,0)))*(1-IF(AND(ArtifactsInput!$M$27,Inputs!$B$4="Chapter Hunt"),CHOOSE(ArtifactsInput!$N$27+1,20,24,28,32,36,40),0)/100)))+1)),0)</f>
        <v/>
      </c>
      <c r="S414" t="n">
        <v>0</v>
      </c>
      <c r="U414" t="n">
        <v>0</v>
      </c>
    </row>
    <row r="415">
      <c r="A415">
        <f>Skills!A17</f>
        <v/>
      </c>
      <c r="B415">
        <f>Skills!B17</f>
        <v/>
      </c>
      <c r="C415">
        <f>Inputs!$B$3&gt;=33</f>
        <v/>
      </c>
      <c r="D415">
        <f>IF(Skills!C17=1,60+Inputs!$B$25+Inputs!$B$29,IF(Skills!C17=2,90+Inputs!$B$26+Inputs!$B$29,IF(Skills!C17=3,120+Inputs!$B$27+Inputs!$B$29,MAX(0,(Inputs!$B$3-100)*3)+Inputs!$B$28+Inputs!$B$29)))</f>
        <v/>
      </c>
      <c r="E415">
        <f>INDEX(FactorTable!$B$2:$Y$301, MATCH(ROUND(MIN(300,MAX(1,D415)),0), FactorTable!$A$2:$A$301,0), Skills!L17+1)</f>
        <v/>
      </c>
      <c r="F415">
        <f>IF(Skills!M17=TRUE,(Skills!K17/10)*(E415/1000),Skills!K17/10)+Skills!N17</f>
        <v/>
      </c>
      <c r="G415">
        <f>Calc!G17</f>
        <v/>
      </c>
      <c r="H415">
        <f>Calc!H17</f>
        <v/>
      </c>
      <c r="I415">
        <f>IF(Skills!T17&lt;&gt;"",1+(Skills!T17/10)*(Z401/1000)/100,1)</f>
        <v/>
      </c>
      <c r="J415" t="inlineStr"/>
      <c r="K415" t="inlineStr"/>
      <c r="L415" t="inlineStr"/>
      <c r="M415" t="inlineStr"/>
      <c r="N415" t="inlineStr"/>
      <c r="O415">
        <f>(1-Summary!$B$11)*S415+Summary!$B$11*U415</f>
        <v/>
      </c>
      <c r="P415">
        <f>IF(B435=0,0,O415/B435)</f>
        <v/>
      </c>
      <c r="Q415">
        <f>IFERROR(1/(IF(Inputs!$B$38="pvp",15,MAX(0.1,Skills!D17-IF(TRUE=TRUE,Inputs!$B$32,0)))*(1-IF(AND(ArtifactsInput!$M$27,Inputs!$B$4="Chapter Hunt"),CHOOSE(ArtifactsInput!$N$27+1,20,24,28,32,36,40),0)/100)),0)</f>
        <v/>
      </c>
      <c r="R415" t="n">
        <v>0</v>
      </c>
      <c r="S415" t="n">
        <v>0</v>
      </c>
      <c r="U415" t="n">
        <v>0</v>
      </c>
    </row>
    <row r="416">
      <c r="A416">
        <f>Skills!A18</f>
        <v/>
      </c>
      <c r="B416">
        <f>Skills!B18</f>
        <v/>
      </c>
      <c r="C416">
        <f>Inputs!$B$3&gt;=43</f>
        <v/>
      </c>
      <c r="D416">
        <f>IF(Skills!C18=1,60+Inputs!$B$25+Inputs!$B$29,IF(Skills!C18=2,90+Inputs!$B$26+Inputs!$B$29,IF(Skills!C18=3,120+Inputs!$B$27+Inputs!$B$29,MAX(0,(Inputs!$B$3-100)*3)+Inputs!$B$28+Inputs!$B$29)))</f>
        <v/>
      </c>
      <c r="E416">
        <f>INDEX(FactorTable!$B$2:$Y$301, MATCH(ROUND(MIN(300,MAX(1,D416)),0), FactorTable!$A$2:$A$301,0), Skills!L18+1)</f>
        <v/>
      </c>
      <c r="F416">
        <f>IF(Skills!M18=TRUE,(Skills!K18/10)*(E416/1000),Skills!K18/10)+Skills!N18</f>
        <v/>
      </c>
      <c r="G416">
        <f>Calc!G18</f>
        <v/>
      </c>
      <c r="H416">
        <f>Calc!H18</f>
        <v/>
      </c>
      <c r="I416">
        <f>IF(Skills!T18&lt;&gt;"",1+(Skills!T18/10)*(Z401/1000)/100,1)</f>
        <v/>
      </c>
      <c r="J416" t="inlineStr"/>
      <c r="K416" t="inlineStr"/>
      <c r="L416" t="inlineStr"/>
      <c r="M416" t="inlineStr"/>
      <c r="N416" t="inlineStr"/>
      <c r="O416">
        <f>(1-Summary!$B$11)*S416+Summary!$B$11*U416</f>
        <v/>
      </c>
      <c r="P416">
        <f>IF(B435=0,0,O416/B435)</f>
        <v/>
      </c>
      <c r="Q416">
        <f>IFERROR(1/(IF(Inputs!$B$38="pvp",15,MAX(0.1,Skills!D18-IF(TRUE=TRUE,Inputs!$B$32,0)))*(1-IF(AND(ArtifactsInput!$M$27,Inputs!$B$4="Chapter Hunt"),CHOOSE(ArtifactsInput!$N$27+1,20,24,28,32,36,40),0)/100)),0)</f>
        <v/>
      </c>
      <c r="R416" t="n">
        <v>0</v>
      </c>
      <c r="S416" t="n">
        <v>0</v>
      </c>
      <c r="U416" t="n">
        <v>0</v>
      </c>
    </row>
    <row r="417">
      <c r="A417">
        <f>Skills!A19</f>
        <v/>
      </c>
      <c r="B417">
        <f>Skills!B19</f>
        <v/>
      </c>
      <c r="C417">
        <f>Inputs!$B$3&gt;=50</f>
        <v/>
      </c>
      <c r="D417">
        <f>IF(Skills!C19=1,60+Inputs!$B$25+Inputs!$B$29,IF(Skills!C19=2,90+Inputs!$B$26+Inputs!$B$29,IF(Skills!C19=3,120+Inputs!$B$27+Inputs!$B$29,MAX(0,(Inputs!$B$3-100)*3)+Inputs!$B$28+Inputs!$B$29)))</f>
        <v/>
      </c>
      <c r="E417">
        <f>INDEX(FactorTable!$B$2:$Y$301, MATCH(ROUND(MIN(300,MAX(1,D417)),0), FactorTable!$A$2:$A$301,0), Skills!L19+1)</f>
        <v/>
      </c>
      <c r="F417">
        <f>IF(Skills!M19=TRUE,(Skills!K19/10)*(E417/1000),Skills!K19/10)+Skills!N19</f>
        <v/>
      </c>
      <c r="G417">
        <f>Calc!G19</f>
        <v/>
      </c>
      <c r="H417">
        <f>Calc!H19</f>
        <v/>
      </c>
      <c r="I417">
        <f>IF(Skills!T19&lt;&gt;"",1+(Skills!T19/10)*(Z401/1000)/100,1)</f>
        <v/>
      </c>
      <c r="J417" t="inlineStr"/>
      <c r="K417" t="inlineStr"/>
      <c r="L417" t="inlineStr"/>
      <c r="M417" t="inlineStr"/>
      <c r="N417" t="inlineStr"/>
      <c r="O417">
        <f>(1-Summary!$B$11)*S417+Summary!$B$11*U417</f>
        <v/>
      </c>
      <c r="P417">
        <f>IF(B435=0,0,O417/B435)</f>
        <v/>
      </c>
      <c r="Q417">
        <f>IFERROR(1/(IF(Inputs!$B$38="pvp",15,MAX(0.1,Skills!D19-IF(TRUE=TRUE,Inputs!$B$32,0)))*(1-IF(AND(ArtifactsInput!$M$27,Inputs!$B$4="Chapter Hunt"),CHOOSE(ArtifactsInput!$N$27+1,20,24,28,32,36,40),0)/100)),0)</f>
        <v/>
      </c>
      <c r="R417" t="n">
        <v>0</v>
      </c>
      <c r="S417" t="n">
        <v>0</v>
      </c>
      <c r="U417" t="n">
        <v>0</v>
      </c>
    </row>
    <row r="418">
      <c r="A418">
        <f>Skills!A20</f>
        <v/>
      </c>
      <c r="B418">
        <f>Skills!B20</f>
        <v/>
      </c>
      <c r="C418">
        <f>Inputs!$B$3&gt;=74</f>
        <v/>
      </c>
      <c r="D418">
        <f>IF(Skills!C20=1,60+Inputs!$B$25+Inputs!$B$29,IF(Skills!C20=2,90+Inputs!$B$26+Inputs!$B$29,IF(Skills!C20=3,120+Inputs!$B$27+Inputs!$B$29,MAX(0,(Inputs!$B$3-100)*3)+Inputs!$B$28+Inputs!$B$29)))</f>
        <v/>
      </c>
      <c r="E418">
        <f>INDEX(FactorTable!$B$2:$Y$301, MATCH(ROUND(MIN(300,MAX(1,D418)),0), FactorTable!$A$2:$A$301,0), Skills!L20+1)</f>
        <v/>
      </c>
      <c r="F418">
        <f>IF(Skills!M20=TRUE,(Skills!K20/10)*(E418/1000),Skills!K20/10)+Skills!N20</f>
        <v/>
      </c>
      <c r="G418">
        <f>Calc!G20</f>
        <v/>
      </c>
      <c r="H418">
        <f>Calc!H20</f>
        <v/>
      </c>
      <c r="I418">
        <f>IF(Skills!T20&lt;&gt;"",1+(Skills!T20/10)*(Z401/1000)/100,1)</f>
        <v/>
      </c>
      <c r="J418" t="inlineStr"/>
      <c r="K418" t="inlineStr"/>
      <c r="L418" t="inlineStr"/>
      <c r="M418" t="inlineStr"/>
      <c r="N418" t="inlineStr"/>
      <c r="O418">
        <f>(1-Summary!$B$11)*S418+Summary!$B$11*U418</f>
        <v/>
      </c>
      <c r="P418">
        <f>IF(B435=0,0,O418/B435)</f>
        <v/>
      </c>
      <c r="Q418">
        <f>IFERROR(1/(IF(Inputs!$B$38="pvp",15,MAX(0.1,Skills!D20-IF(TRUE=TRUE,Inputs!$B$32,0)))*(1-IF(AND(ArtifactsInput!$M$27,Inputs!$B$4="Chapter Hunt"),CHOOSE(ArtifactsInput!$N$27+1,20,24,28,32,36,40),0)/100)),0)</f>
        <v/>
      </c>
      <c r="R418" t="n">
        <v>0</v>
      </c>
      <c r="S418" t="n">
        <v>0</v>
      </c>
      <c r="U418" t="n">
        <v>0</v>
      </c>
    </row>
    <row r="419">
      <c r="A419">
        <f>Skills!A21</f>
        <v/>
      </c>
      <c r="B419">
        <f>Skills!B21</f>
        <v/>
      </c>
      <c r="C419">
        <f>Inputs!$B$3&gt;=74</f>
        <v/>
      </c>
      <c r="D419">
        <f>IF(Skills!C21=1,60+Inputs!$B$25+Inputs!$B$29,IF(Skills!C21=2,90+Inputs!$B$26+Inputs!$B$29,IF(Skills!C21=3,120+Inputs!$B$27+Inputs!$B$29,MAX(0,(Inputs!$B$3-100)*3)+Inputs!$B$28+Inputs!$B$29)))</f>
        <v/>
      </c>
      <c r="E419">
        <f>INDEX(FactorTable!$B$2:$Y$301, MATCH(ROUND(MIN(300,MAX(1,D419)),0), FactorTable!$A$2:$A$301,0), Skills!L21+1)</f>
        <v/>
      </c>
      <c r="F419">
        <f>IF(Skills!M21=TRUE,(Skills!K21/10)*(E419/1000),Skills!K21/10)+Skills!N21</f>
        <v/>
      </c>
      <c r="G419">
        <f>Calc!G21</f>
        <v/>
      </c>
      <c r="H419">
        <f>Calc!H21</f>
        <v/>
      </c>
      <c r="I419">
        <f>IF(Skills!T21&lt;&gt;"",1+(Skills!T21/10)*(Z401/1000)/100,1)</f>
        <v/>
      </c>
      <c r="J419" t="inlineStr"/>
      <c r="K419" t="inlineStr"/>
      <c r="L419" t="inlineStr"/>
      <c r="M419" t="inlineStr"/>
      <c r="N419" t="inlineStr"/>
      <c r="O419">
        <f>(1-Summary!$B$11)*S419+Summary!$B$11*U419</f>
        <v/>
      </c>
      <c r="P419">
        <f>IF(B435=0,0,O419/B435)</f>
        <v/>
      </c>
      <c r="Q419">
        <f>IFERROR(1/(IF(Inputs!$B$38="pvp",15,MAX(0.1,Skills!D21-IF(TRUE=TRUE,Inputs!$B$32,0)))*(1-IF(AND(ArtifactsInput!$M$27,Inputs!$B$4="Chapter Hunt"),CHOOSE(ArtifactsInput!$N$27+1,20,24,28,32,36,40),0)/100)),0)</f>
        <v/>
      </c>
      <c r="R419" t="n">
        <v>0</v>
      </c>
      <c r="S419" t="n">
        <v>0</v>
      </c>
      <c r="U419" t="n">
        <v>0</v>
      </c>
    </row>
    <row r="420">
      <c r="A420">
        <f>Skills!A22</f>
        <v/>
      </c>
      <c r="B420">
        <f>Skills!B22</f>
        <v/>
      </c>
      <c r="C420">
        <f>Inputs!$B$3&gt;=117</f>
        <v/>
      </c>
      <c r="D420">
        <f>IF(Skills!C22=1,60+Inputs!$B$25+Inputs!$B$29,IF(Skills!C22=2,90+Inputs!$B$26+Inputs!$B$29,IF(Skills!C22=3,120+Inputs!$B$27+Inputs!$B$29,MAX(0,(Inputs!$B$3-100)*3)+Inputs!$B$28+Inputs!$B$29)))</f>
        <v/>
      </c>
      <c r="E420">
        <f>INDEX(FactorTable!$B$2:$Y$301, MATCH(ROUND(MIN(300,MAX(1,D420)),0), FactorTable!$A$2:$A$301,0), Skills!L22+1)</f>
        <v/>
      </c>
      <c r="F420">
        <f>IF(Skills!M22=TRUE,(Skills!K22/10)*(E420/1000),Skills!K22/10)+Skills!N22</f>
        <v/>
      </c>
      <c r="G420">
        <f>Calc!G22</f>
        <v/>
      </c>
      <c r="H420">
        <f>Calc!H22</f>
        <v/>
      </c>
      <c r="I420">
        <f>IF(Skills!T22&lt;&gt;"",1+(Skills!T22/10)*(Z401/1000)/100,1)</f>
        <v/>
      </c>
      <c r="J420" t="inlineStr"/>
      <c r="K420" t="inlineStr"/>
      <c r="L420" t="inlineStr"/>
      <c r="M420" t="inlineStr"/>
      <c r="N420" t="inlineStr"/>
      <c r="O420">
        <f>(1-Summary!$B$11)*S420+Summary!$B$11*U420</f>
        <v/>
      </c>
      <c r="P420">
        <f>IF(B435=0,0,O420/B435)</f>
        <v/>
      </c>
      <c r="Q420">
        <f>IFERROR(1/(IF(Inputs!$B$38="pvp",15,MAX(0.1,Skills!D22-IF(TRUE=TRUE,Inputs!$B$32,0)))*(1-IF(AND(ArtifactsInput!$M$27,Inputs!$B$4="Chapter Hunt"),CHOOSE(ArtifactsInput!$N$27+1,20,24,28,32,36,40),0)/100)),0)</f>
        <v/>
      </c>
      <c r="R420" t="n">
        <v>0</v>
      </c>
      <c r="S420" t="n">
        <v>0</v>
      </c>
      <c r="U420" t="n">
        <v>0</v>
      </c>
    </row>
    <row r="421">
      <c r="A421">
        <f>Skills!A23</f>
        <v/>
      </c>
      <c r="B421">
        <f>Skills!B23</f>
        <v/>
      </c>
      <c r="C421">
        <f>Inputs!$B$3&gt;=120</f>
        <v/>
      </c>
      <c r="D421">
        <f>IF(Skills!C23=1,60+Inputs!$B$25+Inputs!$B$29,IF(Skills!C23=2,90+Inputs!$B$26+Inputs!$B$29,IF(Skills!C23=3,120+Inputs!$B$27+Inputs!$B$29,MAX(0,(Inputs!$B$3-100)*3)+Inputs!$B$28+Inputs!$B$29)))</f>
        <v/>
      </c>
      <c r="E421">
        <f>INDEX(FactorTable!$B$2:$Y$301, MATCH(ROUND(MIN(300,MAX(1,D421)),0), FactorTable!$A$2:$A$301,0), Skills!L23+1)</f>
        <v/>
      </c>
      <c r="F421">
        <f>IF(Skills!M23=TRUE,(Skills!K23/10)*(E421/1000),Skills!K23/10)+Skills!N23</f>
        <v/>
      </c>
      <c r="G421">
        <f>Calc!G23</f>
        <v/>
      </c>
      <c r="H421">
        <f>Calc!H23</f>
        <v/>
      </c>
      <c r="I421">
        <f>IF(Skills!T23&lt;&gt;"",1+(Skills!T23/10)*(Z401/1000)/100,1)</f>
        <v/>
      </c>
      <c r="J421" t="inlineStr"/>
      <c r="K421" t="inlineStr"/>
      <c r="L421" t="inlineStr"/>
      <c r="M421" t="inlineStr"/>
      <c r="N421" t="inlineStr"/>
      <c r="O421">
        <f>(1-Summary!$B$11)*S421+Summary!$B$11*U421</f>
        <v/>
      </c>
      <c r="P421">
        <f>IF(B435=0,0,O421/B435)</f>
        <v/>
      </c>
      <c r="Q421">
        <f>IFERROR(1/(IF(Inputs!$B$38="pvp",15,MAX(0.1,Skills!D23-IF(TRUE=TRUE,Inputs!$B$32,0)))*(1-IF(AND(ArtifactsInput!$M$27,Inputs!$B$4="Chapter Hunt"),CHOOSE(ArtifactsInput!$N$27+1,20,24,28,32,36,40),0)/100)),0)</f>
        <v/>
      </c>
      <c r="R421" t="n">
        <v>0</v>
      </c>
      <c r="S421" t="n">
        <v>0</v>
      </c>
      <c r="U421" t="n">
        <v>0</v>
      </c>
    </row>
    <row r="422">
      <c r="A422">
        <f>Skills!A24</f>
        <v/>
      </c>
      <c r="B422">
        <f>Skills!B24</f>
        <v/>
      </c>
      <c r="C422">
        <f>TRUE</f>
        <v/>
      </c>
      <c r="D422">
        <f>IF(Skills!C24=1,60+Inputs!$B$25+Inputs!$B$29,IF(Skills!C24=2,90+Inputs!$B$26+Inputs!$B$29,IF(Skills!C24=3,120+Inputs!$B$27+Inputs!$B$29,MAX(0,(Inputs!$B$3-100)*3)+Inputs!$B$28+Inputs!$B$29)))</f>
        <v/>
      </c>
      <c r="E422">
        <f>INDEX(FactorTable!$B$2:$Y$301, MATCH(ROUND(MIN(300,MAX(1,D422)),0), FactorTable!$A$2:$A$301,0), Skills!L24+1)</f>
        <v/>
      </c>
      <c r="F422">
        <f>IF(Skills!M24=TRUE,(Skills!K24/10)*(E422/1000),Skills!K24/10)+Skills!N24</f>
        <v/>
      </c>
      <c r="G422">
        <f>Calc!G24</f>
        <v/>
      </c>
      <c r="H422">
        <f>Calc!H24</f>
        <v/>
      </c>
      <c r="I422">
        <f>IF(Skills!T24&lt;&gt;"",1+(Skills!T24/10)*(Z401/1000)/100,1)</f>
        <v/>
      </c>
      <c r="J422" t="inlineStr"/>
      <c r="K422" t="inlineStr"/>
      <c r="L422" t="inlineStr"/>
      <c r="M422" t="inlineStr"/>
      <c r="N422" t="inlineStr"/>
      <c r="O422">
        <f>(1-Summary!$B$11)*S422+Summary!$B$11*U422</f>
        <v/>
      </c>
      <c r="P422">
        <f>IF(B435=0,0,O422/B435)</f>
        <v/>
      </c>
      <c r="Q422">
        <f>IFERROR(1/(IF(Inputs!$B$38="pvp",15,MAX(0.1,Skills!D24-IF(TRUE=TRUE,Inputs!$B$32,0)))*(1-IF(AND(ArtifactsInput!$M$27,Inputs!$B$4="Chapter Hunt"),CHOOSE(ArtifactsInput!$N$27+1,20,24,28,32,36,40),0)/100)),0)</f>
        <v/>
      </c>
      <c r="R422">
        <f>IF(AND(Inputs!$B$38&lt;&gt;"pvp",Inputs!$B$43&gt;0),IF(Inputs!$B$43&lt;=0,0,(INT(Inputs!$B$43/(IF(Inputs!$B$38="pvp",15,MAX(0.1,Skills!D24-IF(TRUE=TRUE,Inputs!$B$32,0)))*(1-IF(AND(ArtifactsInput!$M$27,Inputs!$B$4="Chapter Hunt"),CHOOSE(ArtifactsInput!$N$27+1,20,24,28,32,36,40),0)/100)))+1)),0)</f>
        <v/>
      </c>
      <c r="S422" t="n">
        <v>0</v>
      </c>
      <c r="U422" t="n">
        <v>0</v>
      </c>
    </row>
    <row r="425">
      <c r="A425" t="inlineStr">
        <is>
          <t>Average Buff Multiplier (Magic Guard + Meditation + Artifact Attack%, summed; then Infinity)</t>
        </is>
      </c>
      <c r="B425">
        <f>(1+(IF(C401=TRUE,F401*IF(AND(Inputs!$B$38&lt;&gt;"pvp",Inputs!$B$43&gt;0),(((R401-1)*MIN((Skills!S3*(1+(Inputs!$B$34)/100)),(1/Q401))+MIN((Skills!S3*(1+(Inputs!$B$34)/100)),MAX(0,Inputs!$B$43-((R401-1)*(1/Q401)))))/Inputs!$B$43),IF(Inputs!$B$38="pvp",MIN((Skills!S3*(1+(Inputs!$B$34)/100)),15)/15,MIN(1,(Skills!S3*(1+(Inputs!$B$34)/100))/(1/Q401)))),0)+IF(C402=TRUE,F402*IF(AND(Inputs!$B$38&lt;&gt;"pvp",Inputs!$B$43&gt;0),(((R402-1)*MIN((Skills!S4*(1+(Inputs!$B$34)/100)),(1/Q402))+MIN((Skills!S4*(1+(Inputs!$B$34)/100)),MAX(0,Inputs!$B$43-((R402-1)*(1/Q402)))))/Inputs!$B$43),IF(Inputs!$B$38="pvp",MIN((Skills!S4*(1+(Inputs!$B$34)/100)),15)/15,MIN(1,(Skills!S4*(1+(Inputs!$B$34)/100))/(1/Q402)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414=TRUE,(1+F414*IF(AND(Inputs!$B$38&lt;&gt;"pvp",Inputs!$B$43&gt;0),(((R414-1)*MIN((Skills!S16*(1+(Inputs!$B$34)/100)),(1/Q414))+MIN((Skills!S16*(1+(Inputs!$B$34)/100)),MAX(0,Inputs!$B$43-((R414-1)*(1/Q414)))))/Inputs!$B$43),IF(Inputs!$B$38="pvp",MIN((Skills!S16*(1+(Inputs!$B$34)/100)),15)/15,MIN(1,(Skills!S16*(1+(Inputs!$B$34)/100))/(1/Q414))))/100),1)</f>
        <v/>
      </c>
    </row>
    <row r="426">
      <c r="A426" t="inlineStr">
        <is>
          <t>Monster Damage Taken Bonus % (Freezing Breath - Weaken + Elemental Reset + Artifact Enemy Damage Taken, summed)</t>
        </is>
      </c>
      <c r="B426">
        <f>IF(Inputs!$B$3&gt;=118,15*IF(Inputs!$B$38="pvp",MIN((30*(1+(Inputs!$B$34)/100)),15)/15,MIN(1,(30*(1+(Inputs!$B$34)/100))/(1/Q406))),0)+IF(C412=TRUE,F412,0)+(IF(AND(ArtifactsInput!$M$35,Inputs!$B$4&lt;&gt;"Chapter Hunt"),CHOOSE(ArtifactsInput!$N$35+1,15,18,21,24,27,30)*(1-EXP(-(0.2*B429)*5)),0)+IF(AND(ArtifactsInput!$M$22,Inputs!$B$4&lt;&gt;"Chapter Hunt"),CHOOSE(ArtifactsInput!$N$22+1,10,12,14,16,18,20)*((0*(((0.15*B429*5))^0/1)+1*(((0.15*B429*5))^1/1)+2*(((0.15*B429*5))^2/2)+3*(((0.15*B429*5))^3/6)+4*(((0.15*B429*5))^4/24)+5*(((0.15*B429*5))^5/120))/((((0.15*B429*5))^0/1)+(((0.15*B429*5))^1/1)+(((0.15*B429*5))^2/2)+(((0.15*B429*5))^3/6)+(((0.15*B429*5))^4/24)+(((0.15*B429*5))^5/120))),0))</f>
        <v/>
      </c>
    </row>
    <row r="427">
      <c r="A427" t="inlineStr">
        <is>
          <t>Damage % Bonus (Frozen Break + Frost Clutch, flat)</t>
        </is>
      </c>
      <c r="B427">
        <f>IF(Inputs!$B$3&gt;=66,15,0)+IF(Inputs!$B$3&gt;=98,10,0)+IF(Inputs!$B$3&gt;=125,20,0)</f>
        <v/>
      </c>
    </row>
    <row r="428">
      <c r="A428" t="inlineStr">
        <is>
          <t>Attack Speed Bonus % (MP Eater - MP Boost, always-on + Nimble Feet, duty-cycle averaged)</t>
        </is>
      </c>
      <c r="B428">
        <f>IF(C411=TRUE,F411+(F415-Calc!F17),0)+((C422=TRUE)*F422*IF(AND(Inputs!$B$38&lt;&gt;"pvp",Inputs!$B$43&gt;0),(((R422-1)*MIN((Skills!S24*(1+(Inputs!$B$34)/100)),(1/Q422))+MIN((Skills!S24*(1+(Inputs!$B$34)/100)),MAX(0,Inputs!$B$43-((R422-1)*(1/Q422)))))/Inputs!$B$43),IF(Inputs!$B$38="pvp",MIN((Skills!S24*(1+(Inputs!$B$34)/100)),15)/15,MIN(1,(Skills!S24*(1+(Inputs!$B$34)/100))/(1/Q422)))))</f>
        <v/>
      </c>
    </row>
    <row r="429">
      <c r="A429" t="inlineStr">
        <is>
          <t>Actions Per Second</t>
        </is>
      </c>
      <c r="B429">
        <f>1+MIN(150,150*(1-(1-(Inputs!$B$11+(ArtifactsInput!$M$15-ArtifactsInput!$M$15)*CHOOSE(ArtifactsInput!$N$15+1,8,9.6,11.2,12.8,14.4,16))/150)*(1-B428/150)))/100</f>
        <v/>
      </c>
    </row>
    <row r="430">
      <c r="A430" t="inlineStr">
        <is>
          <t>Skill + Buff Cast Rate</t>
        </is>
      </c>
      <c r="B430">
        <f>IF(AND(Inputs!$B$38&lt;&gt;"pvp",Inputs!$B$43&gt;0),SUMPRODUCT((Skills!E2:E24=TRUE)*(C400:C422=TRUE)*R400:R422)/Inputs!$B$43,SUMPRODUCT((Skills!E2:E24=TRUE)*(C400:C422=TRUE)*Q400:Q422))</f>
        <v/>
      </c>
    </row>
    <row r="431">
      <c r="A431" t="inlineStr">
        <is>
          <t>Chain Lightning Casts Per Second</t>
        </is>
      </c>
      <c r="B431">
        <f>MAX(0,B429-B430)</f>
        <v/>
      </c>
    </row>
    <row r="432">
      <c r="A432" t="inlineStr">
        <is>
          <t>Buff-Casting Startup Delay (s, fixed-duration only)</t>
        </is>
      </c>
      <c r="B432">
        <f>IF(AND(Inputs!$B$38&lt;&gt;"pvp",Inputs!$B$43&gt;0),SUMPRODUCT((Skills!S2:S24&gt;0)*(Skills!E2:E24=TRUE)*(C400:C422=TRUE))/B429,0)</f>
        <v/>
      </c>
    </row>
    <row r="433">
      <c r="A433" t="inlineStr">
        <is>
          <t>Boss-Only Total DPS (this block's swept value)</t>
        </is>
      </c>
      <c r="B433">
        <f>SUM(S400:S422)</f>
        <v/>
      </c>
    </row>
    <row r="434">
      <c r="A434" t="inlineStr">
        <is>
          <t>Normal-Only Total DPS (this block's swept value)</t>
        </is>
      </c>
      <c r="B434">
        <f>SUM(U400:U422)</f>
        <v/>
      </c>
    </row>
    <row r="435">
      <c r="A435" s="6" t="inlineStr">
        <is>
          <t>TOTAL DPS</t>
        </is>
      </c>
      <c r="B435" s="6">
        <f>SUM(O400:O422)</f>
        <v/>
      </c>
    </row>
    <row r="436">
      <c r="A436" t="inlineStr">
        <is>
          <t>Blizzard Final Attack trigger rate (this block's own Q/R)</t>
        </is>
      </c>
      <c r="B436">
        <f>IF(AND(Inputs!$B$38&lt;&gt;"pvp",Inputs!$B$43&gt;0),(((C403=TRUE)*R403*1)+((C404=TRUE)*R404*1)+((C406=TRUE)*R406*1)+((C407=TRUE)*R407*3)+((C409=TRUE)*R409*1))/Inputs!$B$43,((C403=TRUE)*Q403*1)+((C404=TRUE)*Q404*1)+((C406=TRUE)*Q406*1)+((C407=TRUE)*Q407*3)+((C409=TRUE)*Q409*1))+B431</f>
        <v/>
      </c>
    </row>
    <row r="439">
      <c r="A439" s="6" t="inlineStr">
        <is>
          <t>Stat: CRIT_RATE %</t>
        </is>
      </c>
    </row>
    <row r="440">
      <c r="A440" s="5" t="inlineStr">
        <is>
          <t>Key</t>
        </is>
      </c>
      <c r="B440" s="5" t="inlineStr">
        <is>
          <t>Name</t>
        </is>
      </c>
      <c r="C440" s="5" t="inlineStr">
        <is>
          <t>Unlocked</t>
        </is>
      </c>
      <c r="D440" s="5" t="inlineStr">
        <is>
          <t>InputLevel</t>
        </is>
      </c>
      <c r="E440" s="5" t="inlineStr">
        <is>
          <t>Factor</t>
        </is>
      </c>
      <c r="F440" s="5" t="inlineStr">
        <is>
          <t>CoefficientPercent</t>
        </is>
      </c>
      <c r="G440" s="5" t="inlineStr">
        <is>
          <t>EffectiveHits</t>
        </is>
      </c>
      <c r="H440" s="5" t="inlineStr">
        <is>
          <t>ProcProbability</t>
        </is>
      </c>
      <c r="I440" s="5" t="inlineStr">
        <is>
          <t>MapleHeroMultiplier</t>
        </is>
      </c>
      <c r="J440" s="5" t="inlineStr">
        <is>
          <t>BaseDamage</t>
        </is>
      </c>
      <c r="K440" s="5" t="inlineStr">
        <is>
          <t>BaseHitDamage</t>
        </is>
      </c>
      <c r="L440" s="5" t="inlineStr">
        <is>
          <t>NonCritAvg</t>
        </is>
      </c>
      <c r="M440" s="5" t="inlineStr">
        <is>
          <t>CritAvg</t>
        </is>
      </c>
      <c r="N440" s="5" t="inlineStr">
        <is>
          <t>ExpectedDamage(perHit)</t>
        </is>
      </c>
      <c r="O440" s="5" t="inlineStr">
        <is>
          <t>DPS</t>
        </is>
      </c>
      <c r="P440" s="5" t="inlineStr">
        <is>
          <t>% of Total</t>
        </is>
      </c>
      <c r="R440" t="inlineStr">
        <is>
          <t>helpers</t>
        </is>
      </c>
    </row>
    <row r="441">
      <c r="A441">
        <f>Skills!A2</f>
        <v/>
      </c>
      <c r="B441">
        <f>Skills!B2</f>
        <v/>
      </c>
      <c r="C441">
        <f>Inputs!$B$3&gt;=100</f>
        <v/>
      </c>
      <c r="D441" t="inlineStr"/>
      <c r="E441" t="inlineStr"/>
      <c r="F441">
        <f>T443+Skills!N2</f>
        <v/>
      </c>
      <c r="G441">
        <f>Calc!G2</f>
        <v/>
      </c>
      <c r="H441">
        <f>Calc!H2</f>
        <v/>
      </c>
      <c r="I441">
        <f>IF(Skills!T2&lt;&gt;"",1+(Skills!T2/10)*(Z442/1000)/100,1)</f>
        <v/>
      </c>
      <c r="J441">
        <f>((Inputs!$B$6*(1+Inputs!$B$7/100))+(((Inputs!$B$12*(1+Inputs!$B$13/100))-(Inputs!$B$12*(1+Inputs!$B$13/100)))+0.25*(Inputs!$B$14-Inputs!$B$14))*(1+Inputs!$B$7/100))*(F441/100)</f>
        <v/>
      </c>
      <c r="K441">
        <f>J441*(1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2="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441)</f>
        <v/>
      </c>
      <c r="L441">
        <f>K441*(MIN(Inputs!$B$22+(F457-Calc!F18),(Inputs!$B$23+(IF(ArtifactsInput!$M$15,CHOOSE(ArtifactsInput!$N$15+1,25,30,35,40,45,50)/100*(Inputs!$B$11-Inputs!$B$11),0))))/100+(Inputs!$B$23+(IF(ArtifactsInput!$M$15,CHOOSE(ArtifactsInput!$N$15+1,25,30,35,40,45,50)/100*(Inputs!$B$11-Inputs!$B$11),0)))/100)/2</f>
        <v/>
      </c>
      <c r="M441">
        <f>L441*(1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1">
        <f>L441*(1-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1">
        <f>(1-Summary!$B$11)*S441+Summary!$B$11*U441</f>
        <v/>
      </c>
      <c r="P441">
        <f>IF(B476=0,0,O441/B476)</f>
        <v/>
      </c>
      <c r="Q441">
        <f>IFERROR(1/(IF(Inputs!$B$38="pvp",15,MAX(0.1,Skills!D2-IF(TRUE=TRUE,Inputs!$B$32,0)))*(1-IF(AND(ArtifactsInput!$M$27,Inputs!$B$4="Chapter Hunt"),CHOOSE(ArtifactsInput!$N$27+1,20,24,28,32,36,40),0)/100)),0)</f>
        <v/>
      </c>
      <c r="R441" t="n">
        <v>0</v>
      </c>
      <c r="S441">
        <f>IF(C441,(Skills!F2*N441*B472)*IF(Inputs!$B$38="pvp",1,1+(Inputs!$B$20+Skills!O2+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441*(1-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441*(1-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41">
        <f>MAX(0,(Inputs!$B$3-100)*3)+Inputs!$B$28+Inputs!$B$29</f>
        <v/>
      </c>
      <c r="U441">
        <f>IF(C441,(Skills!F2*N441*B472)*IF(Inputs!$B$38="pvp",1,(1+(Inputs!$B$21+Skills!P2+B467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441">
        <f>MAX(0,(Inputs!$B$3-100)*3)+Inputs!$B$28+Inputs!$B$29</f>
        <v/>
      </c>
    </row>
    <row r="442">
      <c r="A442">
        <f>Skills!A3</f>
        <v/>
      </c>
      <c r="B442">
        <f>Skills!B3</f>
        <v/>
      </c>
      <c r="C442">
        <f>Inputs!$B$3&gt;=15</f>
        <v/>
      </c>
      <c r="D442">
        <f>IF(Skills!C3=1,60+Inputs!$B$25+Inputs!$B$29,IF(Skills!C3=2,90+Inputs!$B$26+Inputs!$B$29,IF(Skills!C3=3,120+Inputs!$B$27+Inputs!$B$29,MAX(0,(Inputs!$B$3-100)*3)+Inputs!$B$28+Inputs!$B$29)))</f>
        <v/>
      </c>
      <c r="E442">
        <f>INDEX(FactorTable!$B$2:$Y$301, MATCH(ROUND(MIN(300,MAX(1,D442)),0), FactorTable!$A$2:$A$301,0), Skills!L3+1)</f>
        <v/>
      </c>
      <c r="F442">
        <f>IF(Skills!M3=TRUE,(Skills!K3/10)*(E442/1000),Skills!K3/10)+Skills!N3</f>
        <v/>
      </c>
      <c r="G442">
        <f>Calc!G3</f>
        <v/>
      </c>
      <c r="H442">
        <f>Calc!H3</f>
        <v/>
      </c>
      <c r="I442">
        <f>IF(Skills!T3&lt;&gt;"",1+(Skills!T3/10)*(Z442/1000)/100,1)</f>
        <v/>
      </c>
      <c r="J442" t="inlineStr"/>
      <c r="K442" t="inlineStr"/>
      <c r="L442" t="inlineStr"/>
      <c r="M442" t="inlineStr"/>
      <c r="N442" t="inlineStr"/>
      <c r="O442">
        <f>(1-Summary!$B$11)*S442+Summary!$B$11*U442</f>
        <v/>
      </c>
      <c r="P442">
        <f>IF(B476=0,0,O442/B476)</f>
        <v/>
      </c>
      <c r="Q442">
        <f>IFERROR(1/(IF(Inputs!$B$38="pvp",15,MAX(0.1,Skills!D3-IF(TRUE=TRUE,Inputs!$B$32,0)))*(1-IF(AND(ArtifactsInput!$M$27,Inputs!$B$4="Chapter Hunt"),CHOOSE(ArtifactsInput!$N$27+1,20,24,28,32,36,40),0)/100)),0)</f>
        <v/>
      </c>
      <c r="R442">
        <f>IF(AND(Inputs!$B$38&lt;&gt;"pvp",Inputs!$B$43&gt;0),IF(Inputs!$B$43&lt;=0,0,(INT(Inputs!$B$43/(IF(Inputs!$B$38="pvp",15,MAX(0.1,Skills!D3-IF(TRUE=TRUE,Inputs!$B$32,0)))*(1-IF(AND(ArtifactsInput!$M$27,Inputs!$B$4="Chapter Hunt"),CHOOSE(ArtifactsInput!$N$27+1,20,24,28,32,36,40),0)/100)))+1)),0)</f>
        <v/>
      </c>
      <c r="S442" t="n">
        <v>0</v>
      </c>
      <c r="T442">
        <f>INDEX(FactorTable!$B$2:$Y$301, MATCH(ROUND(MIN(300,MAX(1,T441)),0), FactorTable!$A$2:$A$301,0), 22)</f>
        <v/>
      </c>
      <c r="U442" t="n">
        <v>0</v>
      </c>
      <c r="Z442">
        <f>INDEX(FactorTable!$B$2:$Y$301, MATCH(ROUND(MIN(300,MAX(1,Z441)),0), FactorTable!$A$2:$A$301,0), 24)</f>
        <v/>
      </c>
    </row>
    <row r="443">
      <c r="A443">
        <f>Skills!A4</f>
        <v/>
      </c>
      <c r="B443">
        <f>Skills!B4</f>
        <v/>
      </c>
      <c r="C443">
        <f>Inputs!$B$3&gt;=40</f>
        <v/>
      </c>
      <c r="D443">
        <f>IF(Skills!C4=1,60+Inputs!$B$25+Inputs!$B$29,IF(Skills!C4=2,90+Inputs!$B$26+Inputs!$B$29,IF(Skills!C4=3,120+Inputs!$B$27+Inputs!$B$29,MAX(0,(Inputs!$B$3-100)*3)+Inputs!$B$28+Inputs!$B$29)))</f>
        <v/>
      </c>
      <c r="E443">
        <f>INDEX(FactorTable!$B$2:$Y$301, MATCH(ROUND(MIN(300,MAX(1,D443)),0), FactorTable!$A$2:$A$301,0), Skills!L4+1)</f>
        <v/>
      </c>
      <c r="F443">
        <f>IF(Skills!M4=TRUE,(Skills!K4/10)*(E443/1000),Skills!K4/10)+Skills!N4</f>
        <v/>
      </c>
      <c r="G443">
        <f>Calc!G4</f>
        <v/>
      </c>
      <c r="H443">
        <f>Calc!H4</f>
        <v/>
      </c>
      <c r="I443">
        <f>IF(Skills!T4&lt;&gt;"",1+(Skills!T4/10)*(Z442/1000)/100,1)</f>
        <v/>
      </c>
      <c r="J443" t="inlineStr"/>
      <c r="K443" t="inlineStr"/>
      <c r="L443" t="inlineStr"/>
      <c r="M443" t="inlineStr"/>
      <c r="N443" t="inlineStr"/>
      <c r="O443">
        <f>(1-Summary!$B$11)*S443+Summary!$B$11*U443</f>
        <v/>
      </c>
      <c r="P443">
        <f>IF(B476=0,0,O443/B476)</f>
        <v/>
      </c>
      <c r="Q443">
        <f>IFERROR(1/(IF(Inputs!$B$38="pvp",15,MAX(0.1,Skills!D4-IF(TRUE=TRUE,Inputs!$B$32,0)))*(1-IF(AND(ArtifactsInput!$M$27,Inputs!$B$4="Chapter Hunt"),CHOOSE(ArtifactsInput!$N$27+1,20,24,28,32,36,40),0)/100)),0)</f>
        <v/>
      </c>
      <c r="R443">
        <f>IF(AND(Inputs!$B$38&lt;&gt;"pvp",Inputs!$B$43&gt;0),IF(Inputs!$B$43&lt;=0,0,(INT(Inputs!$B$43/(IF(Inputs!$B$38="pvp",15,MAX(0.1,Skills!D4-IF(TRUE=TRUE,Inputs!$B$32,0)))*(1-IF(AND(ArtifactsInput!$M$27,Inputs!$B$4="Chapter Hunt"),CHOOSE(ArtifactsInput!$N$27+1,20,24,28,32,36,40),0)/100)))+1)),0)</f>
        <v/>
      </c>
      <c r="S443" t="n">
        <v>0</v>
      </c>
      <c r="T443">
        <f>290*T442/1000</f>
        <v/>
      </c>
      <c r="U443" t="n">
        <v>0</v>
      </c>
    </row>
    <row r="444">
      <c r="A444">
        <f>Skills!A5</f>
        <v/>
      </c>
      <c r="B444">
        <f>Skills!B5</f>
        <v/>
      </c>
      <c r="C444">
        <f>Inputs!$B$3&gt;=38</f>
        <v/>
      </c>
      <c r="D444">
        <f>IF(Skills!C5=1,60+Inputs!$B$25+Inputs!$B$29,IF(Skills!C5=2,90+Inputs!$B$26+Inputs!$B$29,IF(Skills!C5=3,120+Inputs!$B$27+Inputs!$B$29,MAX(0,(Inputs!$B$3-100)*3)+Inputs!$B$28+Inputs!$B$29)))</f>
        <v/>
      </c>
      <c r="E444">
        <f>INDEX(FactorTable!$B$2:$Y$301, MATCH(ROUND(MIN(300,MAX(1,D444)),0), FactorTable!$A$2:$A$301,0), Skills!L5+1)</f>
        <v/>
      </c>
      <c r="F444">
        <f>IF(Skills!M5=TRUE,(Skills!K5/10)*(E444/1000),Skills!K5/10)+Skills!N5</f>
        <v/>
      </c>
      <c r="G444">
        <f>Calc!G5</f>
        <v/>
      </c>
      <c r="H444">
        <f>Calc!H5</f>
        <v/>
      </c>
      <c r="I444">
        <f>IF(Skills!T5&lt;&gt;"",1+(Skills!T5/10)*(Z442/1000)/100,1)</f>
        <v/>
      </c>
      <c r="J444">
        <f>((Inputs!$B$6*(1+Inputs!$B$7/100))+(((Inputs!$B$12*(1+Inputs!$B$13/100))-(Inputs!$B$12*(1+Inputs!$B$13/100)))+0.25*(Inputs!$B$14-Inputs!$B$14))*(1+Inputs!$B$7/100))*(F444/100)</f>
        <v/>
      </c>
      <c r="K444">
        <f>J444*(1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5="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444)</f>
        <v/>
      </c>
      <c r="L444">
        <f>K444*(MIN(Inputs!$B$22+(F457-Calc!F18),(Inputs!$B$23+(IF(ArtifactsInput!$M$15,CHOOSE(ArtifactsInput!$N$15+1,25,30,35,40,45,50)/100*(Inputs!$B$11-Inputs!$B$11),0))))/100+(Inputs!$B$23+(IF(ArtifactsInput!$M$15,CHOOSE(ArtifactsInput!$N$15+1,25,30,35,40,45,50)/100*(Inputs!$B$11-Inputs!$B$11),0)))/100)/2</f>
        <v/>
      </c>
      <c r="M444">
        <f>L444*(1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4">
        <f>L444*(1-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444*(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4">
        <f>(1-Summary!$B$11)*S444+Summary!$B$11*U444</f>
        <v/>
      </c>
      <c r="P444">
        <f>IF(B476=0,0,O444/B476)</f>
        <v/>
      </c>
      <c r="Q444">
        <f>IFERROR(1/(IF(Inputs!$B$38="pvp",15,MAX(0.1,Skills!D5-IF(TRUE=TRUE,Inputs!$B$32,0)))*(1-IF(AND(ArtifactsInput!$M$27,Inputs!$B$4="Chapter Hunt"),CHOOSE(ArtifactsInput!$N$27+1,20,24,28,32,36,40),0)/100)),0)</f>
        <v/>
      </c>
      <c r="R444">
        <f>IF(AND(Inputs!$B$38&lt;&gt;"pvp",Inputs!$B$43&gt;0),IF(MAX(0,Inputs!$B$43-B473)&lt;=0,0,(INT(MAX(0,Inputs!$B$43-B473)/(IF(Inputs!$B$38="pvp",15,MAX(0.1,Skills!D5-IF(TRUE=TRUE,Inputs!$B$32,0)))*(1-IF(AND(ArtifactsInput!$M$27,Inputs!$B$4="Chapter Hunt"),CHOOSE(ArtifactsInput!$N$27+1,20,24,28,32,36,40),0)/100)))+1)),0)</f>
        <v/>
      </c>
      <c r="S444">
        <f>IF(C444,(H444*N444*IF(AND(Inputs!$B$38&lt;&gt;"pvp",Inputs!$B$43&gt;0),((Skills!F5*((R444-1)*IF(Skills!G5&gt;0,Skills!H5/Skills!G5,1)+IF(Skills!G5&gt;0,MIN(Skills!H5,MAX(0,MAX(0,Inputs!$B$43-B473)-((R444-1)*(IF(Inputs!$B$38="pvp",15,MAX(0.1,Skills!D5-IF(TRUE=TRUE,Inputs!$B$32,0)))*(1-IF(AND(ArtifactsInput!$M$27,Inputs!$B$4="Chapter Hunt"),CHOOSE(ArtifactsInput!$N$27+1,20,24,28,32,36,40),0)/100)))))/Skills!G5,1)))/Inputs!$B$43),G444*Q444))*IF(Inputs!$B$38="pvp",1,1+(Inputs!$B$20+Skills!O5+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444*(1-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444*(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444*(1-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444*(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4">
        <f>IF(C444,(H444*N444*IF(AND(Inputs!$B$38&lt;&gt;"pvp",Inputs!$B$43&gt;0),((Skills!F5*((R444-1)*IF(Skills!G5&gt;0,Skills!H5/Skills!G5,1)+IF(Skills!G5&gt;0,MIN(Skills!H5,MAX(0,MAX(0,Inputs!$B$43-B473)-((R444-1)*(IF(Inputs!$B$38="pvp",15,MAX(0.1,Skills!D5-IF(TRUE=TRUE,Inputs!$B$32,0)))*(1-IF(AND(ArtifactsInput!$M$27,Inputs!$B$4="Chapter Hunt"),CHOOSE(ArtifactsInput!$N$27+1,20,24,28,32,36,40),0)/100)))))/Skills!G5,1)))/Inputs!$B$43),G444*Q444))*IF(Inputs!$B$38="pvp",1,(1+(Inputs!$B$21+Skills!P5+B467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5">
      <c r="A445">
        <f>Skills!A6</f>
        <v/>
      </c>
      <c r="B445">
        <f>Skills!B6</f>
        <v/>
      </c>
      <c r="C445">
        <f>Inputs!$B$3&gt;=63</f>
        <v/>
      </c>
      <c r="D445">
        <f>IF(Skills!C6=1,60+Inputs!$B$25+Inputs!$B$29,IF(Skills!C6=2,90+Inputs!$B$26+Inputs!$B$29,IF(Skills!C6=3,120+Inputs!$B$27+Inputs!$B$29,MAX(0,(Inputs!$B$3-100)*3)+Inputs!$B$28+Inputs!$B$29)))</f>
        <v/>
      </c>
      <c r="E445">
        <f>INDEX(FactorTable!$B$2:$Y$301, MATCH(ROUND(MIN(300,MAX(1,D445)),0), FactorTable!$A$2:$A$301,0), Skills!L6+1)</f>
        <v/>
      </c>
      <c r="F445">
        <f>IF(Skills!M6=TRUE,(Skills!K6/10)*(E445/1000),Skills!K6/10)+Skills!N6</f>
        <v/>
      </c>
      <c r="G445">
        <f>Calc!G6</f>
        <v/>
      </c>
      <c r="H445">
        <f>Calc!H6</f>
        <v/>
      </c>
      <c r="I445">
        <f>IF(Skills!T6&lt;&gt;"",1+(Skills!T6/10)*(Z442/1000)/100,1)</f>
        <v/>
      </c>
      <c r="J445">
        <f>((Inputs!$B$6*(1+Inputs!$B$7/100))+(((Inputs!$B$12*(1+Inputs!$B$13/100))-(Inputs!$B$12*(1+Inputs!$B$13/100)))+0.25*(Inputs!$B$14-Inputs!$B$14))*(1+Inputs!$B$7/100))*(F445/100)</f>
        <v/>
      </c>
      <c r="K445">
        <f>J445*(1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6="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445)</f>
        <v/>
      </c>
      <c r="L445">
        <f>K445*(MIN(Inputs!$B$22+(F457-Calc!F18),(Inputs!$B$23+(IF(ArtifactsInput!$M$15,CHOOSE(ArtifactsInput!$N$15+1,25,30,35,40,45,50)/100*(Inputs!$B$11-Inputs!$B$11),0))))/100+(Inputs!$B$23+(IF(ArtifactsInput!$M$15,CHOOSE(ArtifactsInput!$N$15+1,25,30,35,40,45,50)/100*(Inputs!$B$11-Inputs!$B$11),0)))/100)/2</f>
        <v/>
      </c>
      <c r="M445">
        <f>L445*(1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5">
        <f>L445*(1-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445*(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5">
        <f>(1-Summary!$B$11)*S445+Summary!$B$11*U445</f>
        <v/>
      </c>
      <c r="P445">
        <f>IF(B476=0,0,O445/B476)</f>
        <v/>
      </c>
      <c r="Q445">
        <f>IFERROR(1/(IF(Inputs!$B$38="pvp",15,MAX(0.1,Skills!D6-IF(TRUE=TRUE,Inputs!$B$32,0)))*(1-IF(AND(ArtifactsInput!$M$27,Inputs!$B$4="Chapter Hunt"),CHOOSE(ArtifactsInput!$N$27+1,20,24,28,32,36,40),0)/100)),0)</f>
        <v/>
      </c>
      <c r="R445">
        <f>IF(AND(Inputs!$B$38&lt;&gt;"pvp",Inputs!$B$43&gt;0),IF(MAX(0,Inputs!$B$43-B473)&lt;=0,0,(INT(MAX(0,Inputs!$B$43-B473)/(IF(Inputs!$B$38="pvp",15,MAX(0.1,Skills!D6-IF(TRUE=TRUE,Inputs!$B$32,0)))*(1-IF(AND(ArtifactsInput!$M$27,Inputs!$B$4="Chapter Hunt"),CHOOSE(ArtifactsInput!$N$27+1,20,24,28,32,36,40),0)/100)))+1)),0)</f>
        <v/>
      </c>
      <c r="S445">
        <f>IF(C445,(H445*N445*IF(AND(Inputs!$B$38&lt;&gt;"pvp",Inputs!$B$43&gt;0),((Skills!F6*((R445-1)*IF(Skills!G6&gt;0,Skills!H6/Skills!G6,1)+IF(Skills!G6&gt;0,MIN(Skills!H6,MAX(0,MAX(0,Inputs!$B$43-B473)-((R445-1)*(IF(Inputs!$B$38="pvp",15,MAX(0.1,Skills!D6-IF(TRUE=TRUE,Inputs!$B$32,0)))*(1-IF(AND(ArtifactsInput!$M$27,Inputs!$B$4="Chapter Hunt"),CHOOSE(ArtifactsInput!$N$27+1,20,24,28,32,36,40),0)/100)))))/Skills!G6,1)))/Inputs!$B$43),G445*Q445))*IF(Inputs!$B$38="pvp",1,1+(Inputs!$B$20+Skills!O6+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445*(1-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445*(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445*(1-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445*(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5">
        <f>IF(C445,(H445*N445*IF(AND(Inputs!$B$38&lt;&gt;"pvp",Inputs!$B$43&gt;0),((Skills!F6*((R445-1)*IF(Skills!G6&gt;0,Skills!H6/Skills!G6,1)+IF(Skills!G6&gt;0,MIN(Skills!H6,MAX(0,MAX(0,Inputs!$B$43-B473)-((R445-1)*(IF(Inputs!$B$38="pvp",15,MAX(0.1,Skills!D6-IF(TRUE=TRUE,Inputs!$B$32,0)))*(1-IF(AND(ArtifactsInput!$M$27,Inputs!$B$4="Chapter Hunt"),CHOOSE(ArtifactsInput!$N$27+1,20,24,28,32,36,40),0)/100)))))/Skills!G6,1)))/Inputs!$B$43),G445*Q445))*IF(Inputs!$B$38="pvp",1,(1+(Inputs!$B$21+Skills!P6+B467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6">
      <c r="A446">
        <f>Skills!A7</f>
        <v/>
      </c>
      <c r="B446">
        <f>Skills!B7</f>
        <v/>
      </c>
      <c r="C446">
        <f>Inputs!$B$3&gt;=69</f>
        <v/>
      </c>
      <c r="D446">
        <f>IF(Skills!C7=1,60+Inputs!$B$25+Inputs!$B$29,IF(Skills!C7=2,90+Inputs!$B$26+Inputs!$B$29,IF(Skills!C7=3,120+Inputs!$B$27+Inputs!$B$29,MAX(0,(Inputs!$B$3-100)*3)+Inputs!$B$28+Inputs!$B$29)))</f>
        <v/>
      </c>
      <c r="E446">
        <f>INDEX(FactorTable!$B$2:$Y$301, MATCH(ROUND(MIN(300,MAX(1,D446)),0), FactorTable!$A$2:$A$301,0), Skills!L7+1)</f>
        <v/>
      </c>
      <c r="F446">
        <f>IF(Skills!M7=TRUE,(Skills!K7/10)*(E446/1000),Skills!K7/10)+Skills!N7</f>
        <v/>
      </c>
      <c r="G446">
        <f>Calc!G7</f>
        <v/>
      </c>
      <c r="H446">
        <f>Calc!H7</f>
        <v/>
      </c>
      <c r="I446">
        <f>IF(Skills!T7&lt;&gt;"",1+(Skills!T7/10)*(Z442/1000)/100,1)</f>
        <v/>
      </c>
      <c r="J446">
        <f>((Inputs!$B$6*(1+Inputs!$B$7/100))+(((Inputs!$B$12*(1+Inputs!$B$13/100))-(Inputs!$B$12*(1+Inputs!$B$13/100)))+0.25*(Inputs!$B$14-Inputs!$B$14))*(1+Inputs!$B$7/100))*(F446/100)</f>
        <v/>
      </c>
      <c r="K446">
        <f>J446*(1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7="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446)</f>
        <v/>
      </c>
      <c r="L446">
        <f>K446*(MIN(Inputs!$B$22+(F457-Calc!F18),(Inputs!$B$23+(IF(ArtifactsInput!$M$15,CHOOSE(ArtifactsInput!$N$15+1,25,30,35,40,45,50)/100*(Inputs!$B$11-Inputs!$B$11),0))))/100+(Inputs!$B$23+(IF(ArtifactsInput!$M$15,CHOOSE(ArtifactsInput!$N$15+1,25,30,35,40,45,50)/100*(Inputs!$B$11-Inputs!$B$11),0)))/100)/2</f>
        <v/>
      </c>
      <c r="M446">
        <f>L446*(1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6">
        <f>L446*(1-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446*(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6">
        <f>(1-Summary!$B$11)*S446+Summary!$B$11*U446</f>
        <v/>
      </c>
      <c r="P446">
        <f>IF(B476=0,0,O446/B476)</f>
        <v/>
      </c>
      <c r="Q446">
        <f>IFERROR(1/(IF(Inputs!$B$38="pvp",15,MAX(0.1,Skills!D7-IF(TRUE=TRUE,Inputs!$B$32,0)))*(1-IF(AND(ArtifactsInput!$M$27,Inputs!$B$4="Chapter Hunt"),CHOOSE(ArtifactsInput!$N$27+1,20,24,28,32,36,40),0)/100)),0)</f>
        <v/>
      </c>
      <c r="R446">
        <f>IF(AND(Inputs!$B$38&lt;&gt;"pvp",Inputs!$B$43&gt;0),IF(MAX(0,Inputs!$B$43-B473)&lt;=0,0,(INT(MAX(0,Inputs!$B$43-B473)/(IF(Inputs!$B$38="pvp",15,MAX(0.1,Skills!D7-IF(TRUE=TRUE,Inputs!$B$32,0)))*(1-IF(AND(ArtifactsInput!$M$27,Inputs!$B$4="Chapter Hunt"),CHOOSE(ArtifactsInput!$N$27+1,20,24,28,32,36,40),0)/100)))+1)),0)</f>
        <v/>
      </c>
      <c r="S446">
        <f>IF(C446,(H446*N446*IF(AND(Inputs!$B$38&lt;&gt;"pvp",Inputs!$B$43&gt;0),((Skills!F7*((R446-1)*IF(Skills!G7&gt;0,Skills!H7/Skills!G7,1)+IF(Skills!G7&gt;0,MIN(Skills!H7,MAX(0,MAX(0,Inputs!$B$43-B473)-((R446-1)*(IF(Inputs!$B$38="pvp",15,MAX(0.1,Skills!D7-IF(TRUE=TRUE,Inputs!$B$32,0)))*(1-IF(AND(ArtifactsInput!$M$27,Inputs!$B$4="Chapter Hunt"),CHOOSE(ArtifactsInput!$N$27+1,20,24,28,32,36,40),0)/100)))))/Skills!G7,1)))/Inputs!$B$43),G446*Q446))*IF(Inputs!$B$38="pvp",1,1+(Inputs!$B$20+Skills!O7+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446*(1-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446*(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446*(1-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446*(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6">
        <f>IF(C446,(H446*N446*IF(AND(Inputs!$B$38&lt;&gt;"pvp",Inputs!$B$43&gt;0),((Skills!F7*((R446-1)*IF(Skills!G7&gt;0,Skills!H7/Skills!G7,1)+IF(Skills!G7&gt;0,MIN(Skills!H7,MAX(0,MAX(0,Inputs!$B$43-B473)-((R446-1)*(IF(Inputs!$B$38="pvp",15,MAX(0.1,Skills!D7-IF(TRUE=TRUE,Inputs!$B$32,0)))*(1-IF(AND(ArtifactsInput!$M$27,Inputs!$B$4="Chapter Hunt"),CHOOSE(ArtifactsInput!$N$27+1,20,24,28,32,36,40),0)/100)))))/Skills!G7,1)))/Inputs!$B$43),G446*Q446))*IF(Inputs!$B$38="pvp",1,(1+(Inputs!$B$21+Skills!P7+B467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7">
      <c r="A447">
        <f>Skills!A8</f>
        <v/>
      </c>
      <c r="B447">
        <f>Skills!B8</f>
        <v/>
      </c>
      <c r="C447">
        <f>Inputs!$B$3&gt;=103</f>
        <v/>
      </c>
      <c r="D447">
        <f>IF(Skills!C8=1,60+Inputs!$B$25+Inputs!$B$29,IF(Skills!C8=2,90+Inputs!$B$26+Inputs!$B$29,IF(Skills!C8=3,120+Inputs!$B$27+Inputs!$B$29,MAX(0,(Inputs!$B$3-100)*3)+Inputs!$B$28+Inputs!$B$29)))</f>
        <v/>
      </c>
      <c r="E447">
        <f>INDEX(FactorTable!$B$2:$Y$301, MATCH(ROUND(MIN(300,MAX(1,D447)),0), FactorTable!$A$2:$A$301,0), Skills!L8+1)</f>
        <v/>
      </c>
      <c r="F447">
        <f>IF(Skills!M8=TRUE,(Skills!K8/10)*(E447/1000),Skills!K8/10)+Skills!N8</f>
        <v/>
      </c>
      <c r="G447">
        <f>Calc!G8</f>
        <v/>
      </c>
      <c r="H447">
        <f>Calc!H8</f>
        <v/>
      </c>
      <c r="I447">
        <f>IF(Skills!T8&lt;&gt;"",1+(Skills!T8/10)*(Z442/1000)/100,1)</f>
        <v/>
      </c>
      <c r="J447">
        <f>((Inputs!$B$6*(1+Inputs!$B$7/100))+(((Inputs!$B$12*(1+Inputs!$B$13/100))-(Inputs!$B$12*(1+Inputs!$B$13/100)))+0.25*(Inputs!$B$14-Inputs!$B$14))*(1+Inputs!$B$7/100))*(F447/100)</f>
        <v/>
      </c>
      <c r="K447">
        <f>J447*(1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8="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447)</f>
        <v/>
      </c>
      <c r="L447">
        <f>K447*(MIN(Inputs!$B$22+(F457-Calc!F18),(Inputs!$B$23+(IF(ArtifactsInput!$M$15,CHOOSE(ArtifactsInput!$N$15+1,25,30,35,40,45,50)/100*(Inputs!$B$11-Inputs!$B$11),0))))/100+(Inputs!$B$23+(IF(ArtifactsInput!$M$15,CHOOSE(ArtifactsInput!$N$15+1,25,30,35,40,45,50)/100*(Inputs!$B$11-Inputs!$B$11),0)))/100)/2</f>
        <v/>
      </c>
      <c r="M447">
        <f>L447*(1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7">
        <f>L447*(1-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447*(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7">
        <f>(1-Summary!$B$11)*S447+Summary!$B$11*U447</f>
        <v/>
      </c>
      <c r="P447">
        <f>IF(B476=0,0,O447/B476)</f>
        <v/>
      </c>
      <c r="Q447">
        <f>IFERROR(1/(IF(Inputs!$B$38="pvp",15,MAX(0.1,Skills!D8-IF(TRUE=TRUE,Inputs!$B$32,0)))*(1-IF(AND(ArtifactsInput!$M$27,Inputs!$B$4="Chapter Hunt"),CHOOSE(ArtifactsInput!$N$27+1,20,24,28,32,36,40),0)/100)),0)</f>
        <v/>
      </c>
      <c r="R447">
        <f>IF(AND(Inputs!$B$38&lt;&gt;"pvp",Inputs!$B$43&gt;0),IF(MAX(0,Inputs!$B$43-B473)&lt;=0,0,(INT(MAX(0,Inputs!$B$43-B473)/(IF(Inputs!$B$38="pvp",15,MAX(0.1,Skills!D8-IF(TRUE=TRUE,Inputs!$B$32,0)))*(1-IF(AND(ArtifactsInput!$M$27,Inputs!$B$4="Chapter Hunt"),CHOOSE(ArtifactsInput!$N$27+1,20,24,28,32,36,40),0)/100)))+1)),0)</f>
        <v/>
      </c>
      <c r="S447">
        <f>IF(C447,(H447*N447*IF(AND(Inputs!$B$38&lt;&gt;"pvp",Inputs!$B$43&gt;0),((Skills!F8*((R447-1)*IF(Skills!G8&gt;0,Skills!H8/Skills!G8,1)+IF(Skills!G8&gt;0,MIN(Skills!H8,MAX(0,MAX(0,Inputs!$B$43-B473)-((R447-1)*(IF(Inputs!$B$38="pvp",15,MAX(0.1,Skills!D8-IF(TRUE=TRUE,Inputs!$B$32,0)))*(1-IF(AND(ArtifactsInput!$M$27,Inputs!$B$4="Chapter Hunt"),CHOOSE(ArtifactsInput!$N$27+1,20,24,28,32,36,40),0)/100)))))/Skills!G8,1)))/Inputs!$B$43),G447*Q447))*IF(Inputs!$B$38="pvp",1,1+(Inputs!$B$20+Skills!O8+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447*(1-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447*(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447*(1-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447*(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7">
        <f>IF(C447,(H447*N447*IF(AND(Inputs!$B$38&lt;&gt;"pvp",Inputs!$B$43&gt;0),((Skills!F8*((R447-1)*IF(Skills!G8&gt;0,Skills!H8/Skills!G8,1)+IF(Skills!G8&gt;0,MIN(Skills!H8,MAX(0,MAX(0,Inputs!$B$43-B473)-((R447-1)*(IF(Inputs!$B$38="pvp",15,MAX(0.1,Skills!D8-IF(TRUE=TRUE,Inputs!$B$32,0)))*(1-IF(AND(ArtifactsInput!$M$27,Inputs!$B$4="Chapter Hunt"),CHOOSE(ArtifactsInput!$N$27+1,20,24,28,32,36,40),0)/100)))))/Skills!G8,1)))/Inputs!$B$43),G447*Q447))*IF(Inputs!$B$38="pvp",1,(1+(Inputs!$B$21+Skills!P8+B467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8">
      <c r="A448">
        <f>Skills!A9</f>
        <v/>
      </c>
      <c r="B448">
        <f>Skills!B9</f>
        <v/>
      </c>
      <c r="C448">
        <f>Inputs!$B$3&gt;=105</f>
        <v/>
      </c>
      <c r="D448">
        <f>IF(Skills!C9=1,60+Inputs!$B$25+Inputs!$B$29,IF(Skills!C9=2,90+Inputs!$B$26+Inputs!$B$29,IF(Skills!C9=3,120+Inputs!$B$27+Inputs!$B$29,MAX(0,(Inputs!$B$3-100)*3)+Inputs!$B$28+Inputs!$B$29)))</f>
        <v/>
      </c>
      <c r="E448">
        <f>INDEX(FactorTable!$B$2:$Y$301, MATCH(ROUND(MIN(300,MAX(1,D448)),0), FactorTable!$A$2:$A$301,0), Skills!L9+1)</f>
        <v/>
      </c>
      <c r="F448">
        <f>IF(Skills!M9=TRUE,(Skills!K9/10)*(E448/1000),Skills!K9/10)+Skills!N9</f>
        <v/>
      </c>
      <c r="G448">
        <f>Calc!G9</f>
        <v/>
      </c>
      <c r="H448">
        <f>Calc!H9</f>
        <v/>
      </c>
      <c r="I448">
        <f>IF(Skills!T9&lt;&gt;"",1+(Skills!T9/10)*(Z442/1000)/100,1)</f>
        <v/>
      </c>
      <c r="J448">
        <f>((Inputs!$B$6*(1+Inputs!$B$7/100))+(((Inputs!$B$12*(1+Inputs!$B$13/100))-(Inputs!$B$12*(1+Inputs!$B$13/100)))+0.25*(Inputs!$B$14-Inputs!$B$14))*(1+Inputs!$B$7/100))*(F448/100)</f>
        <v/>
      </c>
      <c r="K448">
        <f>J448*(1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9="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448)</f>
        <v/>
      </c>
      <c r="L448">
        <f>K448*(MIN(Inputs!$B$22+(F457-Calc!F18),(Inputs!$B$23+(IF(ArtifactsInput!$M$15,CHOOSE(ArtifactsInput!$N$15+1,25,30,35,40,45,50)/100*(Inputs!$B$11-Inputs!$B$11),0))))/100+(Inputs!$B$23+(IF(ArtifactsInput!$M$15,CHOOSE(ArtifactsInput!$N$15+1,25,30,35,40,45,50)/100*(Inputs!$B$11-Inputs!$B$11),0)))/100)/2</f>
        <v/>
      </c>
      <c r="M448">
        <f>L448*(1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8">
        <f>L448*(1-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448*(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8">
        <f>(1-Summary!$B$11)*S448+Summary!$B$11*U448</f>
        <v/>
      </c>
      <c r="P448">
        <f>IF(B476=0,0,O448/B476)</f>
        <v/>
      </c>
      <c r="Q448">
        <f>IFERROR(1/(IF(Inputs!$B$38="pvp",15,MAX(0.1,Skills!D9-IF(TRUE=TRUE,Inputs!$B$32,0)))*(1-IF(AND(ArtifactsInput!$M$27,Inputs!$B$4="Chapter Hunt"),CHOOSE(ArtifactsInput!$N$27+1,20,24,28,32,36,40),0)/100)),0)</f>
        <v/>
      </c>
      <c r="R448">
        <f>IF(AND(Inputs!$B$38&lt;&gt;"pvp",Inputs!$B$43&gt;0),IF(MAX(0,Inputs!$B$43-B473)&lt;=0,0,(INT(MAX(0,Inputs!$B$43-B473)/(IF(Inputs!$B$38="pvp",15,MAX(0.1,Skills!D9-IF(TRUE=TRUE,Inputs!$B$32,0)))*(1-IF(AND(ArtifactsInput!$M$27,Inputs!$B$4="Chapter Hunt"),CHOOSE(ArtifactsInput!$N$27+1,20,24,28,32,36,40),0)/100)))+1)),0)</f>
        <v/>
      </c>
      <c r="S448">
        <f>IF(C448,(H448*N448*IF(AND(Inputs!$B$38&lt;&gt;"pvp",Inputs!$B$43&gt;0),((Skills!F9*((R448-1)*IF(Skills!G9&gt;0,Skills!H9/Skills!G9,1)+IF(Skills!G9&gt;0,MIN(Skills!H9,MAX(0,MAX(0,Inputs!$B$43-B473)-((R448-1)*(IF(Inputs!$B$38="pvp",15,MAX(0.1,Skills!D9-IF(TRUE=TRUE,Inputs!$B$32,0)))*(1-IF(AND(ArtifactsInput!$M$27,Inputs!$B$4="Chapter Hunt"),CHOOSE(ArtifactsInput!$N$27+1,20,24,28,32,36,40),0)/100)))))/Skills!G9,1)))/Inputs!$B$43),G448*Q448))*IF(Inputs!$B$38="pvp",1,1+(Inputs!$B$20+Skills!O9+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448*(1-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448*(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448*(1-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448*(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8">
        <f>IF(C448,(H448*N448*IF(AND(Inputs!$B$38&lt;&gt;"pvp",Inputs!$B$43&gt;0),((Skills!F9*((R448-1)*IF(Skills!G9&gt;0,Skills!H9/Skills!G9,1)+IF(Skills!G9&gt;0,MIN(Skills!H9,MAX(0,MAX(0,Inputs!$B$43-B473)-((R448-1)*(IF(Inputs!$B$38="pvp",15,MAX(0.1,Skills!D9-IF(TRUE=TRUE,Inputs!$B$32,0)))*(1-IF(AND(ArtifactsInput!$M$27,Inputs!$B$4="Chapter Hunt"),CHOOSE(ArtifactsInput!$N$27+1,20,24,28,32,36,40),0)/100)))))/Skills!G9,1)))/Inputs!$B$43),G448*Q448))*IF(Inputs!$B$38="pvp",1,(1+(Inputs!$B$21+Skills!P9+B467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9">
      <c r="A449">
        <f>Skills!A10</f>
        <v/>
      </c>
      <c r="B449">
        <f>Skills!B10</f>
        <v/>
      </c>
      <c r="C449">
        <f>Inputs!$B$3&gt;=113</f>
        <v/>
      </c>
      <c r="D449">
        <f>IF(Skills!C10=1,60+Inputs!$B$25+Inputs!$B$29,IF(Skills!C10=2,90+Inputs!$B$26+Inputs!$B$29,IF(Skills!C10=3,120+Inputs!$B$27+Inputs!$B$29,MAX(0,(Inputs!$B$3-100)*3)+Inputs!$B$28+Inputs!$B$29)))</f>
        <v/>
      </c>
      <c r="E449">
        <f>INDEX(FactorTable!$B$2:$Y$301, MATCH(ROUND(MIN(300,MAX(1,D449)),0), FactorTable!$A$2:$A$301,0), Skills!L10+1)</f>
        <v/>
      </c>
      <c r="F449">
        <f>IF(Skills!M10=TRUE,(Skills!K10/10)*(E449/1000),Skills!K10/10)+Skills!N10</f>
        <v/>
      </c>
      <c r="G449">
        <f>Calc!G10</f>
        <v/>
      </c>
      <c r="H449">
        <f>Calc!H10</f>
        <v/>
      </c>
      <c r="I449">
        <f>IF(Skills!T10&lt;&gt;"",1+(Skills!T10/10)*(Z442/1000)/100,1)</f>
        <v/>
      </c>
      <c r="J449">
        <f>((Inputs!$B$6*(1+Inputs!$B$7/100))+(((Inputs!$B$12*(1+Inputs!$B$13/100))-(Inputs!$B$12*(1+Inputs!$B$13/100)))+0.25*(Inputs!$B$14-Inputs!$B$14))*(1+Inputs!$B$7/100))*(F449/100)</f>
        <v/>
      </c>
      <c r="K449">
        <f>J449*(1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10="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449)</f>
        <v/>
      </c>
      <c r="L449">
        <f>K449*(MIN(Inputs!$B$22+(F457-Calc!F18),(Inputs!$B$23+(IF(ArtifactsInput!$M$15,CHOOSE(ArtifactsInput!$N$15+1,25,30,35,40,45,50)/100*(Inputs!$B$11-Inputs!$B$11),0))))/100+(Inputs!$B$23+(IF(ArtifactsInput!$M$15,CHOOSE(ArtifactsInput!$N$15+1,25,30,35,40,45,50)/100*(Inputs!$B$11-Inputs!$B$11),0)))/100)/2</f>
        <v/>
      </c>
      <c r="M449">
        <f>L449*(1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49">
        <f>L449*(1-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449*(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9">
        <f>(1-Summary!$B$11)*S449+Summary!$B$11*U449</f>
        <v/>
      </c>
      <c r="P449">
        <f>IF(B476=0,0,O449/B476)</f>
        <v/>
      </c>
      <c r="Q449">
        <f>IFERROR(1/(IF(Inputs!$B$38="pvp",15,MAX(0.1,Skills!D10-IF(TRUE=TRUE,Inputs!$B$32,0)))*(1-IF(AND(ArtifactsInput!$M$27,Inputs!$B$4="Chapter Hunt"),CHOOSE(ArtifactsInput!$N$27+1,20,24,28,32,36,40),0)/100)),0)</f>
        <v/>
      </c>
      <c r="R449" t="n">
        <v>0</v>
      </c>
      <c r="S449">
        <f>IF(C449,((H449*B477)/(1+Skills!G10*H449*B477)*N449)*IF(Inputs!$B$38="pvp",1,1+(Inputs!$B$20+Skills!O10+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449*(1-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449*(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449*(1-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449*(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49">
        <f>IF(C449,((H449*B477)/(1+Skills!G10*H449*B477)*N449)*IF(Inputs!$B$38="pvp",1,(1+(Inputs!$B$21+Skills!P10+B467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0">
      <c r="A450">
        <f>Skills!A11</f>
        <v/>
      </c>
      <c r="B450">
        <f>Skills!B11</f>
        <v/>
      </c>
      <c r="C450">
        <f>Inputs!$B$3&gt;=107</f>
        <v/>
      </c>
      <c r="D450">
        <f>IF(Skills!C11=1,60+Inputs!$B$25+Inputs!$B$29,IF(Skills!C11=2,90+Inputs!$B$26+Inputs!$B$29,IF(Skills!C11=3,120+Inputs!$B$27+Inputs!$B$29,MAX(0,(Inputs!$B$3-100)*3)+Inputs!$B$28+Inputs!$B$29)))</f>
        <v/>
      </c>
      <c r="E450">
        <f>INDEX(FactorTable!$B$2:$Y$301, MATCH(ROUND(MIN(300,MAX(1,D450)),0), FactorTable!$A$2:$A$301,0), Skills!L11+1)</f>
        <v/>
      </c>
      <c r="F450">
        <f>IF(Skills!M11=TRUE,(Skills!K11/10)*(E450/1000),Skills!K11/10)+Skills!N11</f>
        <v/>
      </c>
      <c r="G450">
        <f>Calc!G11</f>
        <v/>
      </c>
      <c r="H450">
        <f>Calc!H11</f>
        <v/>
      </c>
      <c r="I450">
        <f>IF(Skills!T11&lt;&gt;"",1+(Skills!T11/10)*(Z442/1000)/100,1)</f>
        <v/>
      </c>
      <c r="J450">
        <f>((Inputs!$B$6*(1+Inputs!$B$7/100))+(((Inputs!$B$12*(1+Inputs!$B$13/100))-(Inputs!$B$12*(1+Inputs!$B$13/100)))+0.25*(Inputs!$B$14-Inputs!$B$14))*(1+Inputs!$B$7/100))*(F450/100)</f>
        <v/>
      </c>
      <c r="K450">
        <f>J450*(1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11="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450)</f>
        <v/>
      </c>
      <c r="L450">
        <f>K450*(MIN(Inputs!$B$22+(F457-Calc!F18),(Inputs!$B$23+(IF(ArtifactsInput!$M$15,CHOOSE(ArtifactsInput!$N$15+1,25,30,35,40,45,50)/100*(Inputs!$B$11-Inputs!$B$11),0))))/100+(Inputs!$B$23+(IF(ArtifactsInput!$M$15,CHOOSE(ArtifactsInput!$N$15+1,25,30,35,40,45,50)/100*(Inputs!$B$11-Inputs!$B$11),0)))/100)/2</f>
        <v/>
      </c>
      <c r="M450">
        <f>L450*(1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50">
        <f>L450*(1-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450*(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0">
        <f>(1-Summary!$B$11)*S450+Summary!$B$11*U450</f>
        <v/>
      </c>
      <c r="P450">
        <f>IF(B476=0,0,O450/B476)</f>
        <v/>
      </c>
      <c r="Q450">
        <f>IFERROR(1/(IF(Inputs!$B$38="pvp",15,MAX(0.1,Skills!D11-IF(TRUE=TRUE,Inputs!$B$32,0)))*(1-IF(AND(ArtifactsInput!$M$27,Inputs!$B$4="Chapter Hunt"),CHOOSE(ArtifactsInput!$N$27+1,20,24,28,32,36,40),0)/100)),0)</f>
        <v/>
      </c>
      <c r="R450">
        <f>IF(AND(Inputs!$B$38&lt;&gt;"pvp",Inputs!$B$43&gt;0),IF(MAX(0,Inputs!$B$43-B473)&lt;=0,0,(INT(MAX(0,Inputs!$B$43-B473)/(IF(Inputs!$B$38="pvp",15,MAX(0.1,Skills!D11-IF(TRUE=TRUE,Inputs!$B$32,0)))*(1-IF(AND(ArtifactsInput!$M$27,Inputs!$B$4="Chapter Hunt"),CHOOSE(ArtifactsInput!$N$27+1,20,24,28,32,36,40),0)/100)))+1)),0)</f>
        <v/>
      </c>
      <c r="S450">
        <f>IF(C450,H450*N450*IF(AND(Inputs!$B$38&lt;&gt;"pvp",Inputs!$B$43&gt;0),((Skills!F11*((R450-1)*IF(Skills!G11&gt;0,Skills!H11/Skills!G11,1)+IF(Skills!G11&gt;0,MIN(Skills!H11,MAX(0,MAX(0,Inputs!$B$43-B473)-((R450-1)*(IF(Inputs!$B$38="pvp",15,MAX(0.1,Skills!D11-IF(TRUE=TRUE,Inputs!$B$32,0)))*(1-IF(AND(ArtifactsInput!$M$27,Inputs!$B$4="Chapter Hunt"),CHOOSE(ArtifactsInput!$N$27+1,20,24,28,32,36,40),0)/100)))))/Skills!G11,1)))/Inputs!$B$43),G450*Q450)*0.5*IF(Inputs!$B$38="pvp",1,1+(Inputs!$B$20+Skills!O11+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450*(1-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450*(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450*(1-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450*(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50">
        <f>IF(C450,H450*N450*IF(AND(Inputs!$B$38&lt;&gt;"pvp",Inputs!$B$43&gt;0),((Skills!F11*((R450-1)*IF(Skills!G11&gt;0,Skills!H11/Skills!G11,1)+IF(Skills!G11&gt;0,MIN(Skills!H11,MAX(0,MAX(0,Inputs!$B$43-B473)-((R450-1)*(IF(Inputs!$B$38="pvp",15,MAX(0.1,Skills!D11-IF(TRUE=TRUE,Inputs!$B$32,0)))*(1-IF(AND(ArtifactsInput!$M$27,Inputs!$B$4="Chapter Hunt"),CHOOSE(ArtifactsInput!$N$27+1,20,24,28,32,36,40),0)/100)))))/Skills!G11,1)))/Inputs!$B$43),G450*Q450)*1*IF(Inputs!$B$38="pvp",1,(1+(Inputs!$B$21+Skills!P11+B467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1">
      <c r="A451">
        <f>Skills!A12</f>
        <v/>
      </c>
      <c r="B451">
        <f>Skills!B12</f>
        <v/>
      </c>
      <c r="C451">
        <f>Inputs!$B$3&gt;=115</f>
        <v/>
      </c>
      <c r="D451">
        <f>IF(Skills!C12=1,60+Inputs!$B$25+Inputs!$B$29,IF(Skills!C12=2,90+Inputs!$B$26+Inputs!$B$29,IF(Skills!C12=3,120+Inputs!$B$27+Inputs!$B$29,MAX(0,(Inputs!$B$3-100)*3)+Inputs!$B$28+Inputs!$B$29)))</f>
        <v/>
      </c>
      <c r="E451">
        <f>INDEX(FactorTable!$B$2:$Y$301, MATCH(ROUND(MIN(300,MAX(1,D451)),0), FactorTable!$A$2:$A$301,0), Skills!L12+1)</f>
        <v/>
      </c>
      <c r="F451">
        <f>IF(Skills!M12=TRUE,(Skills!K12/10)*(E451/1000),Skills!K12/10)+Skills!N12</f>
        <v/>
      </c>
      <c r="G451">
        <f>Calc!G12</f>
        <v/>
      </c>
      <c r="H451">
        <f>Calc!H12</f>
        <v/>
      </c>
      <c r="I451">
        <f>IF(Skills!T12&lt;&gt;"",1+(Skills!T12/10)*(Z442/1000)/100,1)</f>
        <v/>
      </c>
      <c r="J451">
        <f>((Inputs!$B$6*(1+Inputs!$B$7/100))+(((Inputs!$B$12*(1+Inputs!$B$13/100))-(Inputs!$B$12*(1+Inputs!$B$13/100)))+0.25*(Inputs!$B$14-Inputs!$B$14))*(1+Inputs!$B$7/100))*(F451/100)</f>
        <v/>
      </c>
      <c r="K451">
        <f>J451*(1+((Inputs!$B$12*(1+Inputs!$B$13/100))*0.01+Inputs!$B$14*0.0025)/100)*(1+(Inputs!$B$15+B468)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454=TRUE,F454,0)/100)*(1+IF(C462=TRUE,F462,0)/100)^5*(1+(IF(Skills!A12="CHAIN_LIGHTNING",Inputs!$B$17+((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MIN(100,(((Inputs!$B$9+1)+(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gt;=100),CHOOSE(ArtifactsInput!$N$42+1,40,48,56,64,72,80),0))))/100)*(B466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451)</f>
        <v/>
      </c>
      <c r="L451">
        <f>K451*(MIN(Inputs!$B$22+(F457-Calc!F18),(Inputs!$B$23+(IF(ArtifactsInput!$M$15,CHOOSE(ArtifactsInput!$N$15+1,25,30,35,40,45,50)/100*(Inputs!$B$11-Inputs!$B$11),0))))/100+(Inputs!$B$23+(IF(ArtifactsInput!$M$15,CHOOSE(ArtifactsInput!$N$15+1,25,30,35,40,45,50)/100*(Inputs!$B$11-Inputs!$B$11),0)))/100)/2</f>
        <v/>
      </c>
      <c r="M451">
        <f>L451*(1+(Inputs!$B$10+(F460-Calc!F21)+(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451">
        <f>L451*(1-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451*(MIN(((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51">
        <f>(1-Summary!$B$11)*S451+Summary!$B$11*U451</f>
        <v/>
      </c>
      <c r="P451">
        <f>IF(B476=0,0,O451/B476)</f>
        <v/>
      </c>
      <c r="Q451">
        <f>IFERROR(1/(IF(Inputs!$B$38="pvp",15,MAX(0.1,Skills!D12-IF(TRUE=TRUE,Inputs!$B$32,0)))*(1-IF(AND(ArtifactsInput!$M$27,Inputs!$B$4="Chapter Hunt"),CHOOSE(ArtifactsInput!$N$27+1,20,24,28,32,36,40),0)/100)),0)</f>
        <v/>
      </c>
      <c r="R451">
        <f>IF(AND(Inputs!$B$38&lt;&gt;"pvp",Inputs!$B$43&gt;0),IF(MAX(0,Inputs!$B$43-B473)&lt;=0,0,(INT(MAX(0,Inputs!$B$43-B473)/(IF(Inputs!$B$38="pvp",15,MAX(0.1,Skills!D12-IF(TRUE=TRUE,Inputs!$B$32,0)))*(1-IF(AND(ArtifactsInput!$M$27,Inputs!$B$4="Chapter Hunt"),CHOOSE(ArtifactsInput!$N$27+1,20,24,28,32,36,40),0)/100)))+1)),0)</f>
        <v/>
      </c>
      <c r="S451">
        <f>IF(C451,(H451*N451*IF(AND(Inputs!$B$38&lt;&gt;"pvp",Inputs!$B$43&gt;0),((Skills!F12*((R451-1)*IF(Skills!G12&gt;0,Skills!H12/Skills!G12,1)+IF(Skills!G12&gt;0,MIN(Skills!H12,MAX(0,MAX(0,Inputs!$B$43-B473)-((R451-1)*(IF(Inputs!$B$38="pvp",15,MAX(0.1,Skills!D12-IF(TRUE=TRUE,Inputs!$B$32,0)))*(1-IF(AND(ArtifactsInput!$M$27,Inputs!$B$4="Chapter Hunt"),CHOOSE(ArtifactsInput!$N$27+1,20,24,28,32,36,40),0)/100)))))/Skills!G12,1)))/Inputs!$B$43),G451*Q451))*IF(Inputs!$B$38="pvp",1,1+(Inputs!$B$20+Skills!O12+B467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451*(1-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451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451*(1-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451*(MIN(100,((Inputs!$B$9+1)+((F459-Calc!F20)+(F458-Calc!F19))+(ArtifactsInput!$M$24-ArtifactsInput!$M$24)*CHOOSE(ArtifactsInput!$N$24+1,10,12,14,16,18,20)+(IF(AND(Inputs!$B$38&lt;&gt;"pvp",Inputs!$B$43=0),1,IF(IF(Inputs!$B$38="pvp",15,Inputs!$B$43)-(B473)&lt;=0,1,MAX(0,IF(Inputs!$B$38="pvp",15,Inputs!$B$43)-MAX(5,B473))/(IF(Inputs!$B$38="pvp",15,Inputs!$B$43)-(B473))))*IF(AND(ArtifactsInput!$M$42,(((Inputs!$B$9+1)+(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51">
        <f>IF(C451,(H451*N451*IF(AND(Inputs!$B$38&lt;&gt;"pvp",Inputs!$B$43&gt;0),((Skills!F12*((R451-1)*IF(Skills!G12&gt;0,Skills!H12/Skills!G12,1)+IF(Skills!G12&gt;0,MIN(Skills!H12,MAX(0,MAX(0,Inputs!$B$43-B473)-((R451-1)*(IF(Inputs!$B$38="pvp",15,MAX(0.1,Skills!D12-IF(TRUE=TRUE,Inputs!$B$32,0)))*(1-IF(AND(ArtifactsInput!$M$27,Inputs!$B$4="Chapter Hunt"),CHOOSE(ArtifactsInput!$N$27+1,20,24,28,32,36,40),0)/100)))))/Skills!G12,1)))/Inputs!$B$43),G451*Q451))*IF(Inputs!$B$38="pvp",1,(1+(Inputs!$B$21+Skills!P12+B467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52">
      <c r="A452">
        <f>Skills!A13</f>
        <v/>
      </c>
      <c r="B452">
        <f>Skills!B13</f>
        <v/>
      </c>
      <c r="C452">
        <f>Inputs!$B$3&gt;=49</f>
        <v/>
      </c>
      <c r="D452">
        <f>IF(Skills!C13=1,60+Inputs!$B$25+Inputs!$B$29,IF(Skills!C13=2,90+Inputs!$B$26+Inputs!$B$29,IF(Skills!C13=3,120+Inputs!$B$27+Inputs!$B$29,MAX(0,(Inputs!$B$3-100)*3)+Inputs!$B$28+Inputs!$B$29)))</f>
        <v/>
      </c>
      <c r="E452">
        <f>INDEX(FactorTable!$B$2:$Y$301, MATCH(ROUND(MIN(300,MAX(1,D452)),0), FactorTable!$A$2:$A$301,0), Skills!L13+1)</f>
        <v/>
      </c>
      <c r="F452">
        <f>IF(Skills!M13=TRUE,(Skills!K13/10)*(E452/1000),Skills!K13/10)+Skills!N13</f>
        <v/>
      </c>
      <c r="G452">
        <f>Calc!G13</f>
        <v/>
      </c>
      <c r="H452">
        <f>Calc!H13</f>
        <v/>
      </c>
      <c r="I452">
        <f>IF(Skills!T13&lt;&gt;"",1+(Skills!T13/10)*(Z442/1000)/100,1)</f>
        <v/>
      </c>
      <c r="J452" t="inlineStr"/>
      <c r="K452" t="inlineStr"/>
      <c r="L452" t="inlineStr"/>
      <c r="M452" t="inlineStr"/>
      <c r="N452" t="inlineStr"/>
      <c r="O452">
        <f>(1-Summary!$B$11)*S452+Summary!$B$11*U452</f>
        <v/>
      </c>
      <c r="P452">
        <f>IF(B476=0,0,O452/B476)</f>
        <v/>
      </c>
      <c r="Q452">
        <f>IFERROR(1/(IF(Inputs!$B$38="pvp",15,MAX(0.1,Skills!D13-IF(TRUE=TRUE,Inputs!$B$32,0)))*(1-IF(AND(ArtifactsInput!$M$27,Inputs!$B$4="Chapter Hunt"),CHOOSE(ArtifactsInput!$N$27+1,20,24,28,32,36,40),0)/100)),0)</f>
        <v/>
      </c>
      <c r="R452" t="n">
        <v>0</v>
      </c>
      <c r="S452" t="n">
        <v>0</v>
      </c>
      <c r="U452" t="n">
        <v>0</v>
      </c>
    </row>
    <row r="453">
      <c r="A453">
        <f>Skills!A14</f>
        <v/>
      </c>
      <c r="B453">
        <f>Skills!B14</f>
        <v/>
      </c>
      <c r="C453">
        <f>Inputs!$B$3&gt;=72</f>
        <v/>
      </c>
      <c r="D453">
        <f>IF(Skills!C14=1,60+Inputs!$B$25+Inputs!$B$29,IF(Skills!C14=2,90+Inputs!$B$26+Inputs!$B$29,IF(Skills!C14=3,120+Inputs!$B$27+Inputs!$B$29,MAX(0,(Inputs!$B$3-100)*3)+Inputs!$B$28+Inputs!$B$29)))</f>
        <v/>
      </c>
      <c r="E453">
        <f>INDEX(FactorTable!$B$2:$Y$301, MATCH(ROUND(MIN(300,MAX(1,D453)),0), FactorTable!$A$2:$A$301,0), Skills!L14+1)</f>
        <v/>
      </c>
      <c r="F453">
        <f>IF(Skills!M14=TRUE,(Skills!K14/10)*(E453/1000),Skills!K14/10)+Skills!N14</f>
        <v/>
      </c>
      <c r="G453">
        <f>Calc!G14</f>
        <v/>
      </c>
      <c r="H453">
        <f>Calc!H14</f>
        <v/>
      </c>
      <c r="I453">
        <f>IF(Skills!T14&lt;&gt;"",1+(Skills!T14/10)*(Z442/1000)/100,1)</f>
        <v/>
      </c>
      <c r="J453" t="inlineStr"/>
      <c r="K453" t="inlineStr"/>
      <c r="L453" t="inlineStr"/>
      <c r="M453" t="inlineStr"/>
      <c r="N453" t="inlineStr"/>
      <c r="O453">
        <f>(1-Summary!$B$11)*S453+Summary!$B$11*U453</f>
        <v/>
      </c>
      <c r="P453">
        <f>IF(B476=0,0,O453/B476)</f>
        <v/>
      </c>
      <c r="Q453">
        <f>IFERROR(1/(IF(Inputs!$B$38="pvp",15,MAX(0.1,Skills!D14-IF(TRUE=TRUE,Inputs!$B$32,0)))*(1-IF(AND(ArtifactsInput!$M$27,Inputs!$B$4="Chapter Hunt"),CHOOSE(ArtifactsInput!$N$27+1,20,24,28,32,36,40),0)/100)),0)</f>
        <v/>
      </c>
      <c r="R453" t="n">
        <v>0</v>
      </c>
      <c r="S453" t="n">
        <v>0</v>
      </c>
      <c r="U453" t="n">
        <v>0</v>
      </c>
    </row>
    <row r="454">
      <c r="A454">
        <f>Skills!A15</f>
        <v/>
      </c>
      <c r="B454">
        <f>Skills!B15</f>
        <v/>
      </c>
      <c r="C454">
        <f>Inputs!$B$3&gt;=75</f>
        <v/>
      </c>
      <c r="D454">
        <f>IF(Skills!C15=1,60+Inputs!$B$25+Inputs!$B$29,IF(Skills!C15=2,90+Inputs!$B$26+Inputs!$B$29,IF(Skills!C15=3,120+Inputs!$B$27+Inputs!$B$29,MAX(0,(Inputs!$B$3-100)*3)+Inputs!$B$28+Inputs!$B$29)))</f>
        <v/>
      </c>
      <c r="E454">
        <f>INDEX(FactorTable!$B$2:$Y$301, MATCH(ROUND(MIN(300,MAX(1,D454)),0), FactorTable!$A$2:$A$301,0), Skills!L15+1)</f>
        <v/>
      </c>
      <c r="F454">
        <f>IF(Skills!M15=TRUE,(Skills!K15/10)*(E454/1000),Skills!K15/10)+Skills!N15</f>
        <v/>
      </c>
      <c r="G454">
        <f>Calc!G15</f>
        <v/>
      </c>
      <c r="H454">
        <f>Calc!H15</f>
        <v/>
      </c>
      <c r="I454">
        <f>IF(Skills!T15&lt;&gt;"",1+(Skills!T15/10)*(Z442/1000)/100,1)</f>
        <v/>
      </c>
      <c r="J454" t="inlineStr"/>
      <c r="K454" t="inlineStr"/>
      <c r="L454" t="inlineStr"/>
      <c r="M454" t="inlineStr"/>
      <c r="N454" t="inlineStr"/>
      <c r="O454">
        <f>(1-Summary!$B$11)*S454+Summary!$B$11*U454</f>
        <v/>
      </c>
      <c r="P454">
        <f>IF(B476=0,0,O454/B476)</f>
        <v/>
      </c>
      <c r="Q454">
        <f>IFERROR(1/(IF(Inputs!$B$38="pvp",15,MAX(0.1,Skills!D15-IF(TRUE=TRUE,Inputs!$B$32,0)))*(1-IF(AND(ArtifactsInput!$M$27,Inputs!$B$4="Chapter Hunt"),CHOOSE(ArtifactsInput!$N$27+1,20,24,28,32,36,40),0)/100)),0)</f>
        <v/>
      </c>
      <c r="R454" t="n">
        <v>0</v>
      </c>
      <c r="S454" t="n">
        <v>0</v>
      </c>
      <c r="U454" t="n">
        <v>0</v>
      </c>
    </row>
    <row r="455">
      <c r="A455">
        <f>Skills!A16</f>
        <v/>
      </c>
      <c r="B455">
        <f>Skills!B16</f>
        <v/>
      </c>
      <c r="C455">
        <f>Inputs!$B$3&gt;=110</f>
        <v/>
      </c>
      <c r="D455">
        <f>IF(Skills!C16=1,60+Inputs!$B$25+Inputs!$B$29,IF(Skills!C16=2,90+Inputs!$B$26+Inputs!$B$29,IF(Skills!C16=3,120+Inputs!$B$27+Inputs!$B$29,MAX(0,(Inputs!$B$3-100)*3)+Inputs!$B$28+Inputs!$B$29)))</f>
        <v/>
      </c>
      <c r="E455">
        <f>INDEX(FactorTable!$B$2:$Y$301, MATCH(ROUND(MIN(300,MAX(1,D455)),0), FactorTable!$A$2:$A$301,0), Skills!L16+1)</f>
        <v/>
      </c>
      <c r="F455">
        <f>(Skills!K16/10)*(E455/1000)*64/45+Skills!N16</f>
        <v/>
      </c>
      <c r="G455">
        <f>Calc!G16</f>
        <v/>
      </c>
      <c r="H455">
        <f>Calc!H16</f>
        <v/>
      </c>
      <c r="I455">
        <f>IF(Skills!T16&lt;&gt;"",1+(Skills!T16/10)*(Z442/1000)/100,1)</f>
        <v/>
      </c>
      <c r="J455" t="inlineStr"/>
      <c r="K455" t="inlineStr"/>
      <c r="L455" t="inlineStr"/>
      <c r="M455" t="inlineStr"/>
      <c r="N455" t="inlineStr"/>
      <c r="O455">
        <f>(1-Summary!$B$11)*S455+Summary!$B$11*U455</f>
        <v/>
      </c>
      <c r="P455">
        <f>IF(B476=0,0,O455/B476)</f>
        <v/>
      </c>
      <c r="Q455">
        <f>IFERROR(1/(IF(Inputs!$B$38="pvp",15,MAX(0.1,Skills!D16-IF(TRUE=TRUE,Inputs!$B$32,0)))*(1-IF(AND(ArtifactsInput!$M$27,Inputs!$B$4="Chapter Hunt"),CHOOSE(ArtifactsInput!$N$27+1,20,24,28,32,36,40),0)/100)),0)</f>
        <v/>
      </c>
      <c r="R455">
        <f>IF(AND(Inputs!$B$38&lt;&gt;"pvp",Inputs!$B$43&gt;0),IF(Inputs!$B$43&lt;=0,0,(INT(Inputs!$B$43/(IF(Inputs!$B$38="pvp",15,MAX(0.1,Skills!D16-IF(TRUE=TRUE,Inputs!$B$32,0)))*(1-IF(AND(ArtifactsInput!$M$27,Inputs!$B$4="Chapter Hunt"),CHOOSE(ArtifactsInput!$N$27+1,20,24,28,32,36,40),0)/100)))+1)),0)</f>
        <v/>
      </c>
      <c r="S455" t="n">
        <v>0</v>
      </c>
      <c r="U455" t="n">
        <v>0</v>
      </c>
    </row>
    <row r="456">
      <c r="A456">
        <f>Skills!A17</f>
        <v/>
      </c>
      <c r="B456">
        <f>Skills!B17</f>
        <v/>
      </c>
      <c r="C456">
        <f>Inputs!$B$3&gt;=33</f>
        <v/>
      </c>
      <c r="D456">
        <f>IF(Skills!C17=1,60+Inputs!$B$25+Inputs!$B$29,IF(Skills!C17=2,90+Inputs!$B$26+Inputs!$B$29,IF(Skills!C17=3,120+Inputs!$B$27+Inputs!$B$29,MAX(0,(Inputs!$B$3-100)*3)+Inputs!$B$28+Inputs!$B$29)))</f>
        <v/>
      </c>
      <c r="E456">
        <f>INDEX(FactorTable!$B$2:$Y$301, MATCH(ROUND(MIN(300,MAX(1,D456)),0), FactorTable!$A$2:$A$301,0), Skills!L17+1)</f>
        <v/>
      </c>
      <c r="F456">
        <f>IF(Skills!M17=TRUE,(Skills!K17/10)*(E456/1000),Skills!K17/10)+Skills!N17</f>
        <v/>
      </c>
      <c r="G456">
        <f>Calc!G17</f>
        <v/>
      </c>
      <c r="H456">
        <f>Calc!H17</f>
        <v/>
      </c>
      <c r="I456">
        <f>IF(Skills!T17&lt;&gt;"",1+(Skills!T17/10)*(Z442/1000)/100,1)</f>
        <v/>
      </c>
      <c r="J456" t="inlineStr"/>
      <c r="K456" t="inlineStr"/>
      <c r="L456" t="inlineStr"/>
      <c r="M456" t="inlineStr"/>
      <c r="N456" t="inlineStr"/>
      <c r="O456">
        <f>(1-Summary!$B$11)*S456+Summary!$B$11*U456</f>
        <v/>
      </c>
      <c r="P456">
        <f>IF(B476=0,0,O456/B476)</f>
        <v/>
      </c>
      <c r="Q456">
        <f>IFERROR(1/(IF(Inputs!$B$38="pvp",15,MAX(0.1,Skills!D17-IF(TRUE=TRUE,Inputs!$B$32,0)))*(1-IF(AND(ArtifactsInput!$M$27,Inputs!$B$4="Chapter Hunt"),CHOOSE(ArtifactsInput!$N$27+1,20,24,28,32,36,40),0)/100)),0)</f>
        <v/>
      </c>
      <c r="R456" t="n">
        <v>0</v>
      </c>
      <c r="S456" t="n">
        <v>0</v>
      </c>
      <c r="U456" t="n">
        <v>0</v>
      </c>
    </row>
    <row r="457">
      <c r="A457">
        <f>Skills!A18</f>
        <v/>
      </c>
      <c r="B457">
        <f>Skills!B18</f>
        <v/>
      </c>
      <c r="C457">
        <f>Inputs!$B$3&gt;=43</f>
        <v/>
      </c>
      <c r="D457">
        <f>IF(Skills!C18=1,60+Inputs!$B$25+Inputs!$B$29,IF(Skills!C18=2,90+Inputs!$B$26+Inputs!$B$29,IF(Skills!C18=3,120+Inputs!$B$27+Inputs!$B$29,MAX(0,(Inputs!$B$3-100)*3)+Inputs!$B$28+Inputs!$B$29)))</f>
        <v/>
      </c>
      <c r="E457">
        <f>INDEX(FactorTable!$B$2:$Y$301, MATCH(ROUND(MIN(300,MAX(1,D457)),0), FactorTable!$A$2:$A$301,0), Skills!L18+1)</f>
        <v/>
      </c>
      <c r="F457">
        <f>IF(Skills!M18=TRUE,(Skills!K18/10)*(E457/1000),Skills!K18/10)+Skills!N18</f>
        <v/>
      </c>
      <c r="G457">
        <f>Calc!G18</f>
        <v/>
      </c>
      <c r="H457">
        <f>Calc!H18</f>
        <v/>
      </c>
      <c r="I457">
        <f>IF(Skills!T18&lt;&gt;"",1+(Skills!T18/10)*(Z442/1000)/100,1)</f>
        <v/>
      </c>
      <c r="J457" t="inlineStr"/>
      <c r="K457" t="inlineStr"/>
      <c r="L457" t="inlineStr"/>
      <c r="M457" t="inlineStr"/>
      <c r="N457" t="inlineStr"/>
      <c r="O457">
        <f>(1-Summary!$B$11)*S457+Summary!$B$11*U457</f>
        <v/>
      </c>
      <c r="P457">
        <f>IF(B476=0,0,O457/B476)</f>
        <v/>
      </c>
      <c r="Q457">
        <f>IFERROR(1/(IF(Inputs!$B$38="pvp",15,MAX(0.1,Skills!D18-IF(TRUE=TRUE,Inputs!$B$32,0)))*(1-IF(AND(ArtifactsInput!$M$27,Inputs!$B$4="Chapter Hunt"),CHOOSE(ArtifactsInput!$N$27+1,20,24,28,32,36,40),0)/100)),0)</f>
        <v/>
      </c>
      <c r="R457" t="n">
        <v>0</v>
      </c>
      <c r="S457" t="n">
        <v>0</v>
      </c>
      <c r="U457" t="n">
        <v>0</v>
      </c>
    </row>
    <row r="458">
      <c r="A458">
        <f>Skills!A19</f>
        <v/>
      </c>
      <c r="B458">
        <f>Skills!B19</f>
        <v/>
      </c>
      <c r="C458">
        <f>Inputs!$B$3&gt;=50</f>
        <v/>
      </c>
      <c r="D458">
        <f>IF(Skills!C19=1,60+Inputs!$B$25+Inputs!$B$29,IF(Skills!C19=2,90+Inputs!$B$26+Inputs!$B$29,IF(Skills!C19=3,120+Inputs!$B$27+Inputs!$B$29,MAX(0,(Inputs!$B$3-100)*3)+Inputs!$B$28+Inputs!$B$29)))</f>
        <v/>
      </c>
      <c r="E458">
        <f>INDEX(FactorTable!$B$2:$Y$301, MATCH(ROUND(MIN(300,MAX(1,D458)),0), FactorTable!$A$2:$A$301,0), Skills!L19+1)</f>
        <v/>
      </c>
      <c r="F458">
        <f>IF(Skills!M19=TRUE,(Skills!K19/10)*(E458/1000),Skills!K19/10)+Skills!N19</f>
        <v/>
      </c>
      <c r="G458">
        <f>Calc!G19</f>
        <v/>
      </c>
      <c r="H458">
        <f>Calc!H19</f>
        <v/>
      </c>
      <c r="I458">
        <f>IF(Skills!T19&lt;&gt;"",1+(Skills!T19/10)*(Z442/1000)/100,1)</f>
        <v/>
      </c>
      <c r="J458" t="inlineStr"/>
      <c r="K458" t="inlineStr"/>
      <c r="L458" t="inlineStr"/>
      <c r="M458" t="inlineStr"/>
      <c r="N458" t="inlineStr"/>
      <c r="O458">
        <f>(1-Summary!$B$11)*S458+Summary!$B$11*U458</f>
        <v/>
      </c>
      <c r="P458">
        <f>IF(B476=0,0,O458/B476)</f>
        <v/>
      </c>
      <c r="Q458">
        <f>IFERROR(1/(IF(Inputs!$B$38="pvp",15,MAX(0.1,Skills!D19-IF(TRUE=TRUE,Inputs!$B$32,0)))*(1-IF(AND(ArtifactsInput!$M$27,Inputs!$B$4="Chapter Hunt"),CHOOSE(ArtifactsInput!$N$27+1,20,24,28,32,36,40),0)/100)),0)</f>
        <v/>
      </c>
      <c r="R458" t="n">
        <v>0</v>
      </c>
      <c r="S458" t="n">
        <v>0</v>
      </c>
      <c r="U458" t="n">
        <v>0</v>
      </c>
    </row>
    <row r="459">
      <c r="A459">
        <f>Skills!A20</f>
        <v/>
      </c>
      <c r="B459">
        <f>Skills!B20</f>
        <v/>
      </c>
      <c r="C459">
        <f>Inputs!$B$3&gt;=74</f>
        <v/>
      </c>
      <c r="D459">
        <f>IF(Skills!C20=1,60+Inputs!$B$25+Inputs!$B$29,IF(Skills!C20=2,90+Inputs!$B$26+Inputs!$B$29,IF(Skills!C20=3,120+Inputs!$B$27+Inputs!$B$29,MAX(0,(Inputs!$B$3-100)*3)+Inputs!$B$28+Inputs!$B$29)))</f>
        <v/>
      </c>
      <c r="E459">
        <f>INDEX(FactorTable!$B$2:$Y$301, MATCH(ROUND(MIN(300,MAX(1,D459)),0), FactorTable!$A$2:$A$301,0), Skills!L20+1)</f>
        <v/>
      </c>
      <c r="F459">
        <f>IF(Skills!M20=TRUE,(Skills!K20/10)*(E459/1000),Skills!K20/10)+Skills!N20</f>
        <v/>
      </c>
      <c r="G459">
        <f>Calc!G20</f>
        <v/>
      </c>
      <c r="H459">
        <f>Calc!H20</f>
        <v/>
      </c>
      <c r="I459">
        <f>IF(Skills!T20&lt;&gt;"",1+(Skills!T20/10)*(Z442/1000)/100,1)</f>
        <v/>
      </c>
      <c r="J459" t="inlineStr"/>
      <c r="K459" t="inlineStr"/>
      <c r="L459" t="inlineStr"/>
      <c r="M459" t="inlineStr"/>
      <c r="N459" t="inlineStr"/>
      <c r="O459">
        <f>(1-Summary!$B$11)*S459+Summary!$B$11*U459</f>
        <v/>
      </c>
      <c r="P459">
        <f>IF(B476=0,0,O459/B476)</f>
        <v/>
      </c>
      <c r="Q459">
        <f>IFERROR(1/(IF(Inputs!$B$38="pvp",15,MAX(0.1,Skills!D20-IF(TRUE=TRUE,Inputs!$B$32,0)))*(1-IF(AND(ArtifactsInput!$M$27,Inputs!$B$4="Chapter Hunt"),CHOOSE(ArtifactsInput!$N$27+1,20,24,28,32,36,40),0)/100)),0)</f>
        <v/>
      </c>
      <c r="R459" t="n">
        <v>0</v>
      </c>
      <c r="S459" t="n">
        <v>0</v>
      </c>
      <c r="U459" t="n">
        <v>0</v>
      </c>
    </row>
    <row r="460">
      <c r="A460">
        <f>Skills!A21</f>
        <v/>
      </c>
      <c r="B460">
        <f>Skills!B21</f>
        <v/>
      </c>
      <c r="C460">
        <f>Inputs!$B$3&gt;=74</f>
        <v/>
      </c>
      <c r="D460">
        <f>IF(Skills!C21=1,60+Inputs!$B$25+Inputs!$B$29,IF(Skills!C21=2,90+Inputs!$B$26+Inputs!$B$29,IF(Skills!C21=3,120+Inputs!$B$27+Inputs!$B$29,MAX(0,(Inputs!$B$3-100)*3)+Inputs!$B$28+Inputs!$B$29)))</f>
        <v/>
      </c>
      <c r="E460">
        <f>INDEX(FactorTable!$B$2:$Y$301, MATCH(ROUND(MIN(300,MAX(1,D460)),0), FactorTable!$A$2:$A$301,0), Skills!L21+1)</f>
        <v/>
      </c>
      <c r="F460">
        <f>IF(Skills!M21=TRUE,(Skills!K21/10)*(E460/1000),Skills!K21/10)+Skills!N21</f>
        <v/>
      </c>
      <c r="G460">
        <f>Calc!G21</f>
        <v/>
      </c>
      <c r="H460">
        <f>Calc!H21</f>
        <v/>
      </c>
      <c r="I460">
        <f>IF(Skills!T21&lt;&gt;"",1+(Skills!T21/10)*(Z442/1000)/100,1)</f>
        <v/>
      </c>
      <c r="J460" t="inlineStr"/>
      <c r="K460" t="inlineStr"/>
      <c r="L460" t="inlineStr"/>
      <c r="M460" t="inlineStr"/>
      <c r="N460" t="inlineStr"/>
      <c r="O460">
        <f>(1-Summary!$B$11)*S460+Summary!$B$11*U460</f>
        <v/>
      </c>
      <c r="P460">
        <f>IF(B476=0,0,O460/B476)</f>
        <v/>
      </c>
      <c r="Q460">
        <f>IFERROR(1/(IF(Inputs!$B$38="pvp",15,MAX(0.1,Skills!D21-IF(TRUE=TRUE,Inputs!$B$32,0)))*(1-IF(AND(ArtifactsInput!$M$27,Inputs!$B$4="Chapter Hunt"),CHOOSE(ArtifactsInput!$N$27+1,20,24,28,32,36,40),0)/100)),0)</f>
        <v/>
      </c>
      <c r="R460" t="n">
        <v>0</v>
      </c>
      <c r="S460" t="n">
        <v>0</v>
      </c>
      <c r="U460" t="n">
        <v>0</v>
      </c>
    </row>
    <row r="461">
      <c r="A461">
        <f>Skills!A22</f>
        <v/>
      </c>
      <c r="B461">
        <f>Skills!B22</f>
        <v/>
      </c>
      <c r="C461">
        <f>Inputs!$B$3&gt;=117</f>
        <v/>
      </c>
      <c r="D461">
        <f>IF(Skills!C22=1,60+Inputs!$B$25+Inputs!$B$29,IF(Skills!C22=2,90+Inputs!$B$26+Inputs!$B$29,IF(Skills!C22=3,120+Inputs!$B$27+Inputs!$B$29,MAX(0,(Inputs!$B$3-100)*3)+Inputs!$B$28+Inputs!$B$29)))</f>
        <v/>
      </c>
      <c r="E461">
        <f>INDEX(FactorTable!$B$2:$Y$301, MATCH(ROUND(MIN(300,MAX(1,D461)),0), FactorTable!$A$2:$A$301,0), Skills!L22+1)</f>
        <v/>
      </c>
      <c r="F461">
        <f>IF(Skills!M22=TRUE,(Skills!K22/10)*(E461/1000),Skills!K22/10)+Skills!N22</f>
        <v/>
      </c>
      <c r="G461">
        <f>Calc!G22</f>
        <v/>
      </c>
      <c r="H461">
        <f>Calc!H22</f>
        <v/>
      </c>
      <c r="I461">
        <f>IF(Skills!T22&lt;&gt;"",1+(Skills!T22/10)*(Z442/1000)/100,1)</f>
        <v/>
      </c>
      <c r="J461" t="inlineStr"/>
      <c r="K461" t="inlineStr"/>
      <c r="L461" t="inlineStr"/>
      <c r="M461" t="inlineStr"/>
      <c r="N461" t="inlineStr"/>
      <c r="O461">
        <f>(1-Summary!$B$11)*S461+Summary!$B$11*U461</f>
        <v/>
      </c>
      <c r="P461">
        <f>IF(B476=0,0,O461/B476)</f>
        <v/>
      </c>
      <c r="Q461">
        <f>IFERROR(1/(IF(Inputs!$B$38="pvp",15,MAX(0.1,Skills!D22-IF(TRUE=TRUE,Inputs!$B$32,0)))*(1-IF(AND(ArtifactsInput!$M$27,Inputs!$B$4="Chapter Hunt"),CHOOSE(ArtifactsInput!$N$27+1,20,24,28,32,36,40),0)/100)),0)</f>
        <v/>
      </c>
      <c r="R461" t="n">
        <v>0</v>
      </c>
      <c r="S461" t="n">
        <v>0</v>
      </c>
      <c r="U461" t="n">
        <v>0</v>
      </c>
    </row>
    <row r="462">
      <c r="A462">
        <f>Skills!A23</f>
        <v/>
      </c>
      <c r="B462">
        <f>Skills!B23</f>
        <v/>
      </c>
      <c r="C462">
        <f>Inputs!$B$3&gt;=120</f>
        <v/>
      </c>
      <c r="D462">
        <f>IF(Skills!C23=1,60+Inputs!$B$25+Inputs!$B$29,IF(Skills!C23=2,90+Inputs!$B$26+Inputs!$B$29,IF(Skills!C23=3,120+Inputs!$B$27+Inputs!$B$29,MAX(0,(Inputs!$B$3-100)*3)+Inputs!$B$28+Inputs!$B$29)))</f>
        <v/>
      </c>
      <c r="E462">
        <f>INDEX(FactorTable!$B$2:$Y$301, MATCH(ROUND(MIN(300,MAX(1,D462)),0), FactorTable!$A$2:$A$301,0), Skills!L23+1)</f>
        <v/>
      </c>
      <c r="F462">
        <f>IF(Skills!M23=TRUE,(Skills!K23/10)*(E462/1000),Skills!K23/10)+Skills!N23</f>
        <v/>
      </c>
      <c r="G462">
        <f>Calc!G23</f>
        <v/>
      </c>
      <c r="H462">
        <f>Calc!H23</f>
        <v/>
      </c>
      <c r="I462">
        <f>IF(Skills!T23&lt;&gt;"",1+(Skills!T23/10)*(Z442/1000)/100,1)</f>
        <v/>
      </c>
      <c r="J462" t="inlineStr"/>
      <c r="K462" t="inlineStr"/>
      <c r="L462" t="inlineStr"/>
      <c r="M462" t="inlineStr"/>
      <c r="N462" t="inlineStr"/>
      <c r="O462">
        <f>(1-Summary!$B$11)*S462+Summary!$B$11*U462</f>
        <v/>
      </c>
      <c r="P462">
        <f>IF(B476=0,0,O462/B476)</f>
        <v/>
      </c>
      <c r="Q462">
        <f>IFERROR(1/(IF(Inputs!$B$38="pvp",15,MAX(0.1,Skills!D23-IF(TRUE=TRUE,Inputs!$B$32,0)))*(1-IF(AND(ArtifactsInput!$M$27,Inputs!$B$4="Chapter Hunt"),CHOOSE(ArtifactsInput!$N$27+1,20,24,28,32,36,40),0)/100)),0)</f>
        <v/>
      </c>
      <c r="R462" t="n">
        <v>0</v>
      </c>
      <c r="S462" t="n">
        <v>0</v>
      </c>
      <c r="U462" t="n">
        <v>0</v>
      </c>
    </row>
    <row r="463">
      <c r="A463">
        <f>Skills!A24</f>
        <v/>
      </c>
      <c r="B463">
        <f>Skills!B24</f>
        <v/>
      </c>
      <c r="C463">
        <f>TRUE</f>
        <v/>
      </c>
      <c r="D463">
        <f>IF(Skills!C24=1,60+Inputs!$B$25+Inputs!$B$29,IF(Skills!C24=2,90+Inputs!$B$26+Inputs!$B$29,IF(Skills!C24=3,120+Inputs!$B$27+Inputs!$B$29,MAX(0,(Inputs!$B$3-100)*3)+Inputs!$B$28+Inputs!$B$29)))</f>
        <v/>
      </c>
      <c r="E463">
        <f>INDEX(FactorTable!$B$2:$Y$301, MATCH(ROUND(MIN(300,MAX(1,D463)),0), FactorTable!$A$2:$A$301,0), Skills!L24+1)</f>
        <v/>
      </c>
      <c r="F463">
        <f>IF(Skills!M24=TRUE,(Skills!K24/10)*(E463/1000),Skills!K24/10)+Skills!N24</f>
        <v/>
      </c>
      <c r="G463">
        <f>Calc!G24</f>
        <v/>
      </c>
      <c r="H463">
        <f>Calc!H24</f>
        <v/>
      </c>
      <c r="I463">
        <f>IF(Skills!T24&lt;&gt;"",1+(Skills!T24/10)*(Z442/1000)/100,1)</f>
        <v/>
      </c>
      <c r="J463" t="inlineStr"/>
      <c r="K463" t="inlineStr"/>
      <c r="L463" t="inlineStr"/>
      <c r="M463" t="inlineStr"/>
      <c r="N463" t="inlineStr"/>
      <c r="O463">
        <f>(1-Summary!$B$11)*S463+Summary!$B$11*U463</f>
        <v/>
      </c>
      <c r="P463">
        <f>IF(B476=0,0,O463/B476)</f>
        <v/>
      </c>
      <c r="Q463">
        <f>IFERROR(1/(IF(Inputs!$B$38="pvp",15,MAX(0.1,Skills!D24-IF(TRUE=TRUE,Inputs!$B$32,0)))*(1-IF(AND(ArtifactsInput!$M$27,Inputs!$B$4="Chapter Hunt"),CHOOSE(ArtifactsInput!$N$27+1,20,24,28,32,36,40),0)/100)),0)</f>
        <v/>
      </c>
      <c r="R463">
        <f>IF(AND(Inputs!$B$38&lt;&gt;"pvp",Inputs!$B$43&gt;0),IF(Inputs!$B$43&lt;=0,0,(INT(Inputs!$B$43/(IF(Inputs!$B$38="pvp",15,MAX(0.1,Skills!D24-IF(TRUE=TRUE,Inputs!$B$32,0)))*(1-IF(AND(ArtifactsInput!$M$27,Inputs!$B$4="Chapter Hunt"),CHOOSE(ArtifactsInput!$N$27+1,20,24,28,32,36,40),0)/100)))+1)),0)</f>
        <v/>
      </c>
      <c r="S463" t="n">
        <v>0</v>
      </c>
      <c r="U463" t="n">
        <v>0</v>
      </c>
    </row>
    <row r="466">
      <c r="A466" t="inlineStr">
        <is>
          <t>Average Buff Multiplier (Magic Guard + Meditation + Artifact Attack%, summed; then Infinity)</t>
        </is>
      </c>
      <c r="B466">
        <f>(1+(IF(C442=TRUE,F442*IF(AND(Inputs!$B$38&lt;&gt;"pvp",Inputs!$B$43&gt;0),(((R442-1)*MIN((Skills!S3*(1+(Inputs!$B$34)/100)),(1/Q442))+MIN((Skills!S3*(1+(Inputs!$B$34)/100)),MAX(0,Inputs!$B$43-((R442-1)*(1/Q442)))))/Inputs!$B$43),IF(Inputs!$B$38="pvp",MIN((Skills!S3*(1+(Inputs!$B$34)/100)),15)/15,MIN(1,(Skills!S3*(1+(Inputs!$B$34)/100))/(1/Q442)))),0)+IF(C443=TRUE,F443*IF(AND(Inputs!$B$38&lt;&gt;"pvp",Inputs!$B$43&gt;0),(((R443-1)*MIN((Skills!S4*(1+(Inputs!$B$34)/100)),(1/Q443))+MIN((Skills!S4*(1+(Inputs!$B$34)/100)),MAX(0,Inputs!$B$43-((R443-1)*(1/Q443)))))/Inputs!$B$43),IF(Inputs!$B$38="pvp",MIN((Skills!S4*(1+(Inputs!$B$34)/100)),15)/15,MIN(1,(Skills!S4*(1+(Inputs!$B$34)/100))/(1/Q443)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455=TRUE,(1+F455*IF(AND(Inputs!$B$38&lt;&gt;"pvp",Inputs!$B$43&gt;0),(((R455-1)*MIN((Skills!S16*(1+(Inputs!$B$34)/100)),(1/Q455))+MIN((Skills!S16*(1+(Inputs!$B$34)/100)),MAX(0,Inputs!$B$43-((R455-1)*(1/Q455)))))/Inputs!$B$43),IF(Inputs!$B$38="pvp",MIN((Skills!S16*(1+(Inputs!$B$34)/100)),15)/15,MIN(1,(Skills!S16*(1+(Inputs!$B$34)/100))/(1/Q455))))/100),1)</f>
        <v/>
      </c>
    </row>
    <row r="467">
      <c r="A467" t="inlineStr">
        <is>
          <t>Monster Damage Taken Bonus % (Freezing Breath - Weaken + Elemental Reset + Artifact Enemy Damage Taken, summed)</t>
        </is>
      </c>
      <c r="B467">
        <f>IF(Inputs!$B$3&gt;=118,15*IF(Inputs!$B$38="pvp",MIN((30*(1+(Inputs!$B$34)/100)),15)/15,MIN(1,(30*(1+(Inputs!$B$34)/100))/(1/Q447))),0)+IF(C453=TRUE,F453,0)+(IF(AND(ArtifactsInput!$M$35,Inputs!$B$4&lt;&gt;"Chapter Hunt"),CHOOSE(ArtifactsInput!$N$35+1,15,18,21,24,27,30)*(1-EXP(-(0.2*B470)*5)),0)+IF(AND(ArtifactsInput!$M$22,Inputs!$B$4&lt;&gt;"Chapter Hunt"),CHOOSE(ArtifactsInput!$N$22+1,10,12,14,16,18,20)*((0*(((0.15*B470*5))^0/1)+1*(((0.15*B470*5))^1/1)+2*(((0.15*B470*5))^2/2)+3*(((0.15*B470*5))^3/6)+4*(((0.15*B470*5))^4/24)+5*(((0.15*B470*5))^5/120))/((((0.15*B470*5))^0/1)+(((0.15*B470*5))^1/1)+(((0.15*B470*5))^2/2)+(((0.15*B470*5))^3/6)+(((0.15*B470*5))^4/24)+(((0.15*B470*5))^5/120))),0))</f>
        <v/>
      </c>
    </row>
    <row r="468">
      <c r="A468" t="inlineStr">
        <is>
          <t>Damage % Bonus (Frozen Break + Frost Clutch, flat)</t>
        </is>
      </c>
      <c r="B468">
        <f>IF(Inputs!$B$3&gt;=66,15,0)+IF(Inputs!$B$3&gt;=98,10,0)+IF(Inputs!$B$3&gt;=125,20,0)</f>
        <v/>
      </c>
    </row>
    <row r="469">
      <c r="A469" t="inlineStr">
        <is>
          <t>Attack Speed Bonus % (MP Eater - MP Boost, always-on + Nimble Feet, duty-cycle averaged)</t>
        </is>
      </c>
      <c r="B469">
        <f>IF(C452=TRUE,F452+(F456-Calc!F17),0)+((C463=TRUE)*F463*IF(AND(Inputs!$B$38&lt;&gt;"pvp",Inputs!$B$43&gt;0),(((R463-1)*MIN((Skills!S24*(1+(Inputs!$B$34)/100)),(1/Q463))+MIN((Skills!S24*(1+(Inputs!$B$34)/100)),MAX(0,Inputs!$B$43-((R463-1)*(1/Q463)))))/Inputs!$B$43),IF(Inputs!$B$38="pvp",MIN((Skills!S24*(1+(Inputs!$B$34)/100)),15)/15,MIN(1,(Skills!S24*(1+(Inputs!$B$34)/100))/(1/Q463)))))</f>
        <v/>
      </c>
    </row>
    <row r="470">
      <c r="A470" t="inlineStr">
        <is>
          <t>Actions Per Second</t>
        </is>
      </c>
      <c r="B470">
        <f>1+MIN(150,150*(1-(1-(Inputs!$B$11+(ArtifactsInput!$M$15-ArtifactsInput!$M$15)*CHOOSE(ArtifactsInput!$N$15+1,8,9.6,11.2,12.8,14.4,16))/150)*(1-B469/150)))/100</f>
        <v/>
      </c>
    </row>
    <row r="471">
      <c r="A471" t="inlineStr">
        <is>
          <t>Skill + Buff Cast Rate</t>
        </is>
      </c>
      <c r="B471">
        <f>IF(AND(Inputs!$B$38&lt;&gt;"pvp",Inputs!$B$43&gt;0),SUMPRODUCT((Skills!E2:E24=TRUE)*(C441:C463=TRUE)*R441:R463)/Inputs!$B$43,SUMPRODUCT((Skills!E2:E24=TRUE)*(C441:C463=TRUE)*Q441:Q463))</f>
        <v/>
      </c>
    </row>
    <row r="472">
      <c r="A472" t="inlineStr">
        <is>
          <t>Chain Lightning Casts Per Second</t>
        </is>
      </c>
      <c r="B472">
        <f>MAX(0,B470-B471)</f>
        <v/>
      </c>
    </row>
    <row r="473">
      <c r="A473" t="inlineStr">
        <is>
          <t>Buff-Casting Startup Delay (s, fixed-duration only)</t>
        </is>
      </c>
      <c r="B473">
        <f>IF(AND(Inputs!$B$38&lt;&gt;"pvp",Inputs!$B$43&gt;0),SUMPRODUCT((Skills!S2:S24&gt;0)*(Skills!E2:E24=TRUE)*(C441:C463=TRUE))/B470,0)</f>
        <v/>
      </c>
    </row>
    <row r="474">
      <c r="A474" t="inlineStr">
        <is>
          <t>Boss-Only Total DPS (this block's swept value)</t>
        </is>
      </c>
      <c r="B474">
        <f>SUM(S441:S463)</f>
        <v/>
      </c>
    </row>
    <row r="475">
      <c r="A475" t="inlineStr">
        <is>
          <t>Normal-Only Total DPS (this block's swept value)</t>
        </is>
      </c>
      <c r="B475">
        <f>SUM(U441:U463)</f>
        <v/>
      </c>
    </row>
    <row r="476">
      <c r="A476" s="6" t="inlineStr">
        <is>
          <t>TOTAL DPS</t>
        </is>
      </c>
      <c r="B476" s="6">
        <f>SUM(O441:O463)</f>
        <v/>
      </c>
    </row>
    <row r="477">
      <c r="A477" t="inlineStr">
        <is>
          <t>Blizzard Final Attack trigger rate (this block's own Q/R)</t>
        </is>
      </c>
      <c r="B477">
        <f>IF(AND(Inputs!$B$38&lt;&gt;"pvp",Inputs!$B$43&gt;0),(((C444=TRUE)*R444*1)+((C445=TRUE)*R445*1)+((C447=TRUE)*R447*1)+((C448=TRUE)*R448*3)+((C450=TRUE)*R450*1))/Inputs!$B$43,((C444=TRUE)*Q444*1)+((C445=TRUE)*Q445*1)+((C447=TRUE)*Q447*1)+((C448=TRUE)*Q448*3)+((C450=TRUE)*Q450*1))+B472</f>
        <v/>
      </c>
    </row>
    <row r="480">
      <c r="A480" s="6" t="inlineStr">
        <is>
          <t>Stat: CRIT_DAMAGE %</t>
        </is>
      </c>
    </row>
    <row r="481">
      <c r="A481" s="5" t="inlineStr">
        <is>
          <t>Key</t>
        </is>
      </c>
      <c r="B481" s="5" t="inlineStr">
        <is>
          <t>Name</t>
        </is>
      </c>
      <c r="C481" s="5" t="inlineStr">
        <is>
          <t>Unlocked</t>
        </is>
      </c>
      <c r="D481" s="5" t="inlineStr">
        <is>
          <t>InputLevel</t>
        </is>
      </c>
      <c r="E481" s="5" t="inlineStr">
        <is>
          <t>Factor</t>
        </is>
      </c>
      <c r="F481" s="5" t="inlineStr">
        <is>
          <t>CoefficientPercent</t>
        </is>
      </c>
      <c r="G481" s="5" t="inlineStr">
        <is>
          <t>EffectiveHits</t>
        </is>
      </c>
      <c r="H481" s="5" t="inlineStr">
        <is>
          <t>ProcProbability</t>
        </is>
      </c>
      <c r="I481" s="5" t="inlineStr">
        <is>
          <t>MapleHeroMultiplier</t>
        </is>
      </c>
      <c r="J481" s="5" t="inlineStr">
        <is>
          <t>BaseDamage</t>
        </is>
      </c>
      <c r="K481" s="5" t="inlineStr">
        <is>
          <t>BaseHitDamage</t>
        </is>
      </c>
      <c r="L481" s="5" t="inlineStr">
        <is>
          <t>NonCritAvg</t>
        </is>
      </c>
      <c r="M481" s="5" t="inlineStr">
        <is>
          <t>CritAvg</t>
        </is>
      </c>
      <c r="N481" s="5" t="inlineStr">
        <is>
          <t>ExpectedDamage(perHit)</t>
        </is>
      </c>
      <c r="O481" s="5" t="inlineStr">
        <is>
          <t>DPS</t>
        </is>
      </c>
      <c r="P481" s="5" t="inlineStr">
        <is>
          <t>% of Total</t>
        </is>
      </c>
      <c r="R481" t="inlineStr">
        <is>
          <t>helpers</t>
        </is>
      </c>
    </row>
    <row r="482">
      <c r="A482">
        <f>Skills!A2</f>
        <v/>
      </c>
      <c r="B482">
        <f>Skills!B2</f>
        <v/>
      </c>
      <c r="C482">
        <f>Inputs!$B$3&gt;=100</f>
        <v/>
      </c>
      <c r="D482" t="inlineStr"/>
      <c r="E482" t="inlineStr"/>
      <c r="F482">
        <f>T484+Skills!N2</f>
        <v/>
      </c>
      <c r="G482">
        <f>Calc!G2</f>
        <v/>
      </c>
      <c r="H482">
        <f>Calc!H2</f>
        <v/>
      </c>
      <c r="I482">
        <f>IF(Skills!T2&lt;&gt;"",1+(Skills!T2/10)*(Z483/1000)/100,1)</f>
        <v/>
      </c>
      <c r="J482">
        <f>((Inputs!$B$6*(1+Inputs!$B$7/100))+(((Inputs!$B$12*(1+Inputs!$B$13/100))-(Inputs!$B$12*(1+Inputs!$B$13/100)))+0.25*(Inputs!$B$14-Inputs!$B$14))*(1+Inputs!$B$7/100))*(F482/100)</f>
        <v/>
      </c>
      <c r="K482">
        <f>J482*(1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2="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482)</f>
        <v/>
      </c>
      <c r="L482">
        <f>K482*(MIN(Inputs!$B$22+(F498-Calc!F18),(Inputs!$B$23+(IF(ArtifactsInput!$M$15,CHOOSE(ArtifactsInput!$N$15+1,25,30,35,40,45,50)/100*(Inputs!$B$11-Inputs!$B$11),0))))/100+(Inputs!$B$23+(IF(ArtifactsInput!$M$15,CHOOSE(ArtifactsInput!$N$15+1,25,30,35,40,45,50)/100*(Inputs!$B$11-Inputs!$B$11),0)))/100)/2</f>
        <v/>
      </c>
      <c r="M482">
        <f>L482*(1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2">
        <f>L482*(1-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482*(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2">
        <f>(1-Summary!$B$11)*S482+Summary!$B$11*U482</f>
        <v/>
      </c>
      <c r="P482">
        <f>IF(B517=0,0,O482/B517)</f>
        <v/>
      </c>
      <c r="Q482">
        <f>IFERROR(1/(IF(Inputs!$B$38="pvp",15,MAX(0.1,Skills!D2-IF(TRUE=TRUE,Inputs!$B$32,0)))*(1-IF(AND(ArtifactsInput!$M$27,Inputs!$B$4="Chapter Hunt"),CHOOSE(ArtifactsInput!$N$27+1,20,24,28,32,36,40),0)/100)),0)</f>
        <v/>
      </c>
      <c r="R482" t="n">
        <v>0</v>
      </c>
      <c r="S482">
        <f>IF(C482,(Skills!F2*N482*B513)*IF(Inputs!$B$38="pvp",1,1+(Inputs!$B$20+Skills!O2+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482*(1-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482*(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482*(1-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482*(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482">
        <f>MAX(0,(Inputs!$B$3-100)*3)+Inputs!$B$28+Inputs!$B$29</f>
        <v/>
      </c>
      <c r="U482">
        <f>IF(C482,(Skills!F2*N482*B513)*IF(Inputs!$B$38="pvp",1,(1+(Inputs!$B$21+Skills!P2+B508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482">
        <f>MAX(0,(Inputs!$B$3-100)*3)+Inputs!$B$28+Inputs!$B$29</f>
        <v/>
      </c>
    </row>
    <row r="483">
      <c r="A483">
        <f>Skills!A3</f>
        <v/>
      </c>
      <c r="B483">
        <f>Skills!B3</f>
        <v/>
      </c>
      <c r="C483">
        <f>Inputs!$B$3&gt;=15</f>
        <v/>
      </c>
      <c r="D483">
        <f>IF(Skills!C3=1,60+Inputs!$B$25+Inputs!$B$29,IF(Skills!C3=2,90+Inputs!$B$26+Inputs!$B$29,IF(Skills!C3=3,120+Inputs!$B$27+Inputs!$B$29,MAX(0,(Inputs!$B$3-100)*3)+Inputs!$B$28+Inputs!$B$29)))</f>
        <v/>
      </c>
      <c r="E483">
        <f>INDEX(FactorTable!$B$2:$Y$301, MATCH(ROUND(MIN(300,MAX(1,D483)),0), FactorTable!$A$2:$A$301,0), Skills!L3+1)</f>
        <v/>
      </c>
      <c r="F483">
        <f>IF(Skills!M3=TRUE,(Skills!K3/10)*(E483/1000),Skills!K3/10)+Skills!N3</f>
        <v/>
      </c>
      <c r="G483">
        <f>Calc!G3</f>
        <v/>
      </c>
      <c r="H483">
        <f>Calc!H3</f>
        <v/>
      </c>
      <c r="I483">
        <f>IF(Skills!T3&lt;&gt;"",1+(Skills!T3/10)*(Z483/1000)/100,1)</f>
        <v/>
      </c>
      <c r="J483" t="inlineStr"/>
      <c r="K483" t="inlineStr"/>
      <c r="L483" t="inlineStr"/>
      <c r="M483" t="inlineStr"/>
      <c r="N483" t="inlineStr"/>
      <c r="O483">
        <f>(1-Summary!$B$11)*S483+Summary!$B$11*U483</f>
        <v/>
      </c>
      <c r="P483">
        <f>IF(B517=0,0,O483/B517)</f>
        <v/>
      </c>
      <c r="Q483">
        <f>IFERROR(1/(IF(Inputs!$B$38="pvp",15,MAX(0.1,Skills!D3-IF(TRUE=TRUE,Inputs!$B$32,0)))*(1-IF(AND(ArtifactsInput!$M$27,Inputs!$B$4="Chapter Hunt"),CHOOSE(ArtifactsInput!$N$27+1,20,24,28,32,36,40),0)/100)),0)</f>
        <v/>
      </c>
      <c r="R483">
        <f>IF(AND(Inputs!$B$38&lt;&gt;"pvp",Inputs!$B$43&gt;0),IF(Inputs!$B$43&lt;=0,0,(INT(Inputs!$B$43/(IF(Inputs!$B$38="pvp",15,MAX(0.1,Skills!D3-IF(TRUE=TRUE,Inputs!$B$32,0)))*(1-IF(AND(ArtifactsInput!$M$27,Inputs!$B$4="Chapter Hunt"),CHOOSE(ArtifactsInput!$N$27+1,20,24,28,32,36,40),0)/100)))+1)),0)</f>
        <v/>
      </c>
      <c r="S483" t="n">
        <v>0</v>
      </c>
      <c r="T483">
        <f>INDEX(FactorTable!$B$2:$Y$301, MATCH(ROUND(MIN(300,MAX(1,T482)),0), FactorTable!$A$2:$A$301,0), 22)</f>
        <v/>
      </c>
      <c r="U483" t="n">
        <v>0</v>
      </c>
      <c r="Z483">
        <f>INDEX(FactorTable!$B$2:$Y$301, MATCH(ROUND(MIN(300,MAX(1,Z482)),0), FactorTable!$A$2:$A$301,0), 24)</f>
        <v/>
      </c>
    </row>
    <row r="484">
      <c r="A484">
        <f>Skills!A4</f>
        <v/>
      </c>
      <c r="B484">
        <f>Skills!B4</f>
        <v/>
      </c>
      <c r="C484">
        <f>Inputs!$B$3&gt;=40</f>
        <v/>
      </c>
      <c r="D484">
        <f>IF(Skills!C4=1,60+Inputs!$B$25+Inputs!$B$29,IF(Skills!C4=2,90+Inputs!$B$26+Inputs!$B$29,IF(Skills!C4=3,120+Inputs!$B$27+Inputs!$B$29,MAX(0,(Inputs!$B$3-100)*3)+Inputs!$B$28+Inputs!$B$29)))</f>
        <v/>
      </c>
      <c r="E484">
        <f>INDEX(FactorTable!$B$2:$Y$301, MATCH(ROUND(MIN(300,MAX(1,D484)),0), FactorTable!$A$2:$A$301,0), Skills!L4+1)</f>
        <v/>
      </c>
      <c r="F484">
        <f>IF(Skills!M4=TRUE,(Skills!K4/10)*(E484/1000),Skills!K4/10)+Skills!N4</f>
        <v/>
      </c>
      <c r="G484">
        <f>Calc!G4</f>
        <v/>
      </c>
      <c r="H484">
        <f>Calc!H4</f>
        <v/>
      </c>
      <c r="I484">
        <f>IF(Skills!T4&lt;&gt;"",1+(Skills!T4/10)*(Z483/1000)/100,1)</f>
        <v/>
      </c>
      <c r="J484" t="inlineStr"/>
      <c r="K484" t="inlineStr"/>
      <c r="L484" t="inlineStr"/>
      <c r="M484" t="inlineStr"/>
      <c r="N484" t="inlineStr"/>
      <c r="O484">
        <f>(1-Summary!$B$11)*S484+Summary!$B$11*U484</f>
        <v/>
      </c>
      <c r="P484">
        <f>IF(B517=0,0,O484/B517)</f>
        <v/>
      </c>
      <c r="Q484">
        <f>IFERROR(1/(IF(Inputs!$B$38="pvp",15,MAX(0.1,Skills!D4-IF(TRUE=TRUE,Inputs!$B$32,0)))*(1-IF(AND(ArtifactsInput!$M$27,Inputs!$B$4="Chapter Hunt"),CHOOSE(ArtifactsInput!$N$27+1,20,24,28,32,36,40),0)/100)),0)</f>
        <v/>
      </c>
      <c r="R484">
        <f>IF(AND(Inputs!$B$38&lt;&gt;"pvp",Inputs!$B$43&gt;0),IF(Inputs!$B$43&lt;=0,0,(INT(Inputs!$B$43/(IF(Inputs!$B$38="pvp",15,MAX(0.1,Skills!D4-IF(TRUE=TRUE,Inputs!$B$32,0)))*(1-IF(AND(ArtifactsInput!$M$27,Inputs!$B$4="Chapter Hunt"),CHOOSE(ArtifactsInput!$N$27+1,20,24,28,32,36,40),0)/100)))+1)),0)</f>
        <v/>
      </c>
      <c r="S484" t="n">
        <v>0</v>
      </c>
      <c r="T484">
        <f>290*T483/1000</f>
        <v/>
      </c>
      <c r="U484" t="n">
        <v>0</v>
      </c>
    </row>
    <row r="485">
      <c r="A485">
        <f>Skills!A5</f>
        <v/>
      </c>
      <c r="B485">
        <f>Skills!B5</f>
        <v/>
      </c>
      <c r="C485">
        <f>Inputs!$B$3&gt;=38</f>
        <v/>
      </c>
      <c r="D485">
        <f>IF(Skills!C5=1,60+Inputs!$B$25+Inputs!$B$29,IF(Skills!C5=2,90+Inputs!$B$26+Inputs!$B$29,IF(Skills!C5=3,120+Inputs!$B$27+Inputs!$B$29,MAX(0,(Inputs!$B$3-100)*3)+Inputs!$B$28+Inputs!$B$29)))</f>
        <v/>
      </c>
      <c r="E485">
        <f>INDEX(FactorTable!$B$2:$Y$301, MATCH(ROUND(MIN(300,MAX(1,D485)),0), FactorTable!$A$2:$A$301,0), Skills!L5+1)</f>
        <v/>
      </c>
      <c r="F485">
        <f>IF(Skills!M5=TRUE,(Skills!K5/10)*(E485/1000),Skills!K5/10)+Skills!N5</f>
        <v/>
      </c>
      <c r="G485">
        <f>Calc!G5</f>
        <v/>
      </c>
      <c r="H485">
        <f>Calc!H5</f>
        <v/>
      </c>
      <c r="I485">
        <f>IF(Skills!T5&lt;&gt;"",1+(Skills!T5/10)*(Z483/1000)/100,1)</f>
        <v/>
      </c>
      <c r="J485">
        <f>((Inputs!$B$6*(1+Inputs!$B$7/100))+(((Inputs!$B$12*(1+Inputs!$B$13/100))-(Inputs!$B$12*(1+Inputs!$B$13/100)))+0.25*(Inputs!$B$14-Inputs!$B$14))*(1+Inputs!$B$7/100))*(F485/100)</f>
        <v/>
      </c>
      <c r="K485">
        <f>J485*(1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5="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485)</f>
        <v/>
      </c>
      <c r="L485">
        <f>K485*(MIN(Inputs!$B$22+(F498-Calc!F18),(Inputs!$B$23+(IF(ArtifactsInput!$M$15,CHOOSE(ArtifactsInput!$N$15+1,25,30,35,40,45,50)/100*(Inputs!$B$11-Inputs!$B$11),0))))/100+(Inputs!$B$23+(IF(ArtifactsInput!$M$15,CHOOSE(ArtifactsInput!$N$15+1,25,30,35,40,45,50)/100*(Inputs!$B$11-Inputs!$B$11),0)))/100)/2</f>
        <v/>
      </c>
      <c r="M485">
        <f>L485*(1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5">
        <f>L485*(1-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485*(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5">
        <f>(1-Summary!$B$11)*S485+Summary!$B$11*U485</f>
        <v/>
      </c>
      <c r="P485">
        <f>IF(B517=0,0,O485/B517)</f>
        <v/>
      </c>
      <c r="Q485">
        <f>IFERROR(1/(IF(Inputs!$B$38="pvp",15,MAX(0.1,Skills!D5-IF(TRUE=TRUE,Inputs!$B$32,0)))*(1-IF(AND(ArtifactsInput!$M$27,Inputs!$B$4="Chapter Hunt"),CHOOSE(ArtifactsInput!$N$27+1,20,24,28,32,36,40),0)/100)),0)</f>
        <v/>
      </c>
      <c r="R485">
        <f>IF(AND(Inputs!$B$38&lt;&gt;"pvp",Inputs!$B$43&gt;0),IF(MAX(0,Inputs!$B$43-B514)&lt;=0,0,(INT(MAX(0,Inputs!$B$43-B514)/(IF(Inputs!$B$38="pvp",15,MAX(0.1,Skills!D5-IF(TRUE=TRUE,Inputs!$B$32,0)))*(1-IF(AND(ArtifactsInput!$M$27,Inputs!$B$4="Chapter Hunt"),CHOOSE(ArtifactsInput!$N$27+1,20,24,28,32,36,40),0)/100)))+1)),0)</f>
        <v/>
      </c>
      <c r="S485">
        <f>IF(C485,(H485*N485*IF(AND(Inputs!$B$38&lt;&gt;"pvp",Inputs!$B$43&gt;0),((Skills!F5*((R485-1)*IF(Skills!G5&gt;0,Skills!H5/Skills!G5,1)+IF(Skills!G5&gt;0,MIN(Skills!H5,MAX(0,MAX(0,Inputs!$B$43-B514)-((R485-1)*(IF(Inputs!$B$38="pvp",15,MAX(0.1,Skills!D5-IF(TRUE=TRUE,Inputs!$B$32,0)))*(1-IF(AND(ArtifactsInput!$M$27,Inputs!$B$4="Chapter Hunt"),CHOOSE(ArtifactsInput!$N$27+1,20,24,28,32,36,40),0)/100)))))/Skills!G5,1)))/Inputs!$B$43),G485*Q485))*IF(Inputs!$B$38="pvp",1,1+(Inputs!$B$20+Skills!O5+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485*(1-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485*(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485*(1-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485*(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5">
        <f>IF(C485,(H485*N485*IF(AND(Inputs!$B$38&lt;&gt;"pvp",Inputs!$B$43&gt;0),((Skills!F5*((R485-1)*IF(Skills!G5&gt;0,Skills!H5/Skills!G5,1)+IF(Skills!G5&gt;0,MIN(Skills!H5,MAX(0,MAX(0,Inputs!$B$43-B514)-((R485-1)*(IF(Inputs!$B$38="pvp",15,MAX(0.1,Skills!D5-IF(TRUE=TRUE,Inputs!$B$32,0)))*(1-IF(AND(ArtifactsInput!$M$27,Inputs!$B$4="Chapter Hunt"),CHOOSE(ArtifactsInput!$N$27+1,20,24,28,32,36,40),0)/100)))))/Skills!G5,1)))/Inputs!$B$43),G485*Q485))*IF(Inputs!$B$38="pvp",1,(1+(Inputs!$B$21+Skills!P5+B508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6">
      <c r="A486">
        <f>Skills!A6</f>
        <v/>
      </c>
      <c r="B486">
        <f>Skills!B6</f>
        <v/>
      </c>
      <c r="C486">
        <f>Inputs!$B$3&gt;=63</f>
        <v/>
      </c>
      <c r="D486">
        <f>IF(Skills!C6=1,60+Inputs!$B$25+Inputs!$B$29,IF(Skills!C6=2,90+Inputs!$B$26+Inputs!$B$29,IF(Skills!C6=3,120+Inputs!$B$27+Inputs!$B$29,MAX(0,(Inputs!$B$3-100)*3)+Inputs!$B$28+Inputs!$B$29)))</f>
        <v/>
      </c>
      <c r="E486">
        <f>INDEX(FactorTable!$B$2:$Y$301, MATCH(ROUND(MIN(300,MAX(1,D486)),0), FactorTable!$A$2:$A$301,0), Skills!L6+1)</f>
        <v/>
      </c>
      <c r="F486">
        <f>IF(Skills!M6=TRUE,(Skills!K6/10)*(E486/1000),Skills!K6/10)+Skills!N6</f>
        <v/>
      </c>
      <c r="G486">
        <f>Calc!G6</f>
        <v/>
      </c>
      <c r="H486">
        <f>Calc!H6</f>
        <v/>
      </c>
      <c r="I486">
        <f>IF(Skills!T6&lt;&gt;"",1+(Skills!T6/10)*(Z483/1000)/100,1)</f>
        <v/>
      </c>
      <c r="J486">
        <f>((Inputs!$B$6*(1+Inputs!$B$7/100))+(((Inputs!$B$12*(1+Inputs!$B$13/100))-(Inputs!$B$12*(1+Inputs!$B$13/100)))+0.25*(Inputs!$B$14-Inputs!$B$14))*(1+Inputs!$B$7/100))*(F486/100)</f>
        <v/>
      </c>
      <c r="K486">
        <f>J486*(1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6="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486)</f>
        <v/>
      </c>
      <c r="L486">
        <f>K486*(MIN(Inputs!$B$22+(F498-Calc!F18),(Inputs!$B$23+(IF(ArtifactsInput!$M$15,CHOOSE(ArtifactsInput!$N$15+1,25,30,35,40,45,50)/100*(Inputs!$B$11-Inputs!$B$11),0))))/100+(Inputs!$B$23+(IF(ArtifactsInput!$M$15,CHOOSE(ArtifactsInput!$N$15+1,25,30,35,40,45,50)/100*(Inputs!$B$11-Inputs!$B$11),0)))/100)/2</f>
        <v/>
      </c>
      <c r="M486">
        <f>L486*(1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6">
        <f>L486*(1-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486*(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6">
        <f>(1-Summary!$B$11)*S486+Summary!$B$11*U486</f>
        <v/>
      </c>
      <c r="P486">
        <f>IF(B517=0,0,O486/B517)</f>
        <v/>
      </c>
      <c r="Q486">
        <f>IFERROR(1/(IF(Inputs!$B$38="pvp",15,MAX(0.1,Skills!D6-IF(TRUE=TRUE,Inputs!$B$32,0)))*(1-IF(AND(ArtifactsInput!$M$27,Inputs!$B$4="Chapter Hunt"),CHOOSE(ArtifactsInput!$N$27+1,20,24,28,32,36,40),0)/100)),0)</f>
        <v/>
      </c>
      <c r="R486">
        <f>IF(AND(Inputs!$B$38&lt;&gt;"pvp",Inputs!$B$43&gt;0),IF(MAX(0,Inputs!$B$43-B514)&lt;=0,0,(INT(MAX(0,Inputs!$B$43-B514)/(IF(Inputs!$B$38="pvp",15,MAX(0.1,Skills!D6-IF(TRUE=TRUE,Inputs!$B$32,0)))*(1-IF(AND(ArtifactsInput!$M$27,Inputs!$B$4="Chapter Hunt"),CHOOSE(ArtifactsInput!$N$27+1,20,24,28,32,36,40),0)/100)))+1)),0)</f>
        <v/>
      </c>
      <c r="S486">
        <f>IF(C486,(H486*N486*IF(AND(Inputs!$B$38&lt;&gt;"pvp",Inputs!$B$43&gt;0),((Skills!F6*((R486-1)*IF(Skills!G6&gt;0,Skills!H6/Skills!G6,1)+IF(Skills!G6&gt;0,MIN(Skills!H6,MAX(0,MAX(0,Inputs!$B$43-B514)-((R486-1)*(IF(Inputs!$B$38="pvp",15,MAX(0.1,Skills!D6-IF(TRUE=TRUE,Inputs!$B$32,0)))*(1-IF(AND(ArtifactsInput!$M$27,Inputs!$B$4="Chapter Hunt"),CHOOSE(ArtifactsInput!$N$27+1,20,24,28,32,36,40),0)/100)))))/Skills!G6,1)))/Inputs!$B$43),G486*Q486))*IF(Inputs!$B$38="pvp",1,1+(Inputs!$B$20+Skills!O6+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486*(1-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486*(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486*(1-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486*(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6">
        <f>IF(C486,(H486*N486*IF(AND(Inputs!$B$38&lt;&gt;"pvp",Inputs!$B$43&gt;0),((Skills!F6*((R486-1)*IF(Skills!G6&gt;0,Skills!H6/Skills!G6,1)+IF(Skills!G6&gt;0,MIN(Skills!H6,MAX(0,MAX(0,Inputs!$B$43-B514)-((R486-1)*(IF(Inputs!$B$38="pvp",15,MAX(0.1,Skills!D6-IF(TRUE=TRUE,Inputs!$B$32,0)))*(1-IF(AND(ArtifactsInput!$M$27,Inputs!$B$4="Chapter Hunt"),CHOOSE(ArtifactsInput!$N$27+1,20,24,28,32,36,40),0)/100)))))/Skills!G6,1)))/Inputs!$B$43),G486*Q486))*IF(Inputs!$B$38="pvp",1,(1+(Inputs!$B$21+Skills!P6+B508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7">
      <c r="A487">
        <f>Skills!A7</f>
        <v/>
      </c>
      <c r="B487">
        <f>Skills!B7</f>
        <v/>
      </c>
      <c r="C487">
        <f>Inputs!$B$3&gt;=69</f>
        <v/>
      </c>
      <c r="D487">
        <f>IF(Skills!C7=1,60+Inputs!$B$25+Inputs!$B$29,IF(Skills!C7=2,90+Inputs!$B$26+Inputs!$B$29,IF(Skills!C7=3,120+Inputs!$B$27+Inputs!$B$29,MAX(0,(Inputs!$B$3-100)*3)+Inputs!$B$28+Inputs!$B$29)))</f>
        <v/>
      </c>
      <c r="E487">
        <f>INDEX(FactorTable!$B$2:$Y$301, MATCH(ROUND(MIN(300,MAX(1,D487)),0), FactorTable!$A$2:$A$301,0), Skills!L7+1)</f>
        <v/>
      </c>
      <c r="F487">
        <f>IF(Skills!M7=TRUE,(Skills!K7/10)*(E487/1000),Skills!K7/10)+Skills!N7</f>
        <v/>
      </c>
      <c r="G487">
        <f>Calc!G7</f>
        <v/>
      </c>
      <c r="H487">
        <f>Calc!H7</f>
        <v/>
      </c>
      <c r="I487">
        <f>IF(Skills!T7&lt;&gt;"",1+(Skills!T7/10)*(Z483/1000)/100,1)</f>
        <v/>
      </c>
      <c r="J487">
        <f>((Inputs!$B$6*(1+Inputs!$B$7/100))+(((Inputs!$B$12*(1+Inputs!$B$13/100))-(Inputs!$B$12*(1+Inputs!$B$13/100)))+0.25*(Inputs!$B$14-Inputs!$B$14))*(1+Inputs!$B$7/100))*(F487/100)</f>
        <v/>
      </c>
      <c r="K487">
        <f>J487*(1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7="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487)</f>
        <v/>
      </c>
      <c r="L487">
        <f>K487*(MIN(Inputs!$B$22+(F498-Calc!F18),(Inputs!$B$23+(IF(ArtifactsInput!$M$15,CHOOSE(ArtifactsInput!$N$15+1,25,30,35,40,45,50)/100*(Inputs!$B$11-Inputs!$B$11),0))))/100+(Inputs!$B$23+(IF(ArtifactsInput!$M$15,CHOOSE(ArtifactsInput!$N$15+1,25,30,35,40,45,50)/100*(Inputs!$B$11-Inputs!$B$11),0)))/100)/2</f>
        <v/>
      </c>
      <c r="M487">
        <f>L487*(1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7">
        <f>L487*(1-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487*(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7">
        <f>(1-Summary!$B$11)*S487+Summary!$B$11*U487</f>
        <v/>
      </c>
      <c r="P487">
        <f>IF(B517=0,0,O487/B517)</f>
        <v/>
      </c>
      <c r="Q487">
        <f>IFERROR(1/(IF(Inputs!$B$38="pvp",15,MAX(0.1,Skills!D7-IF(TRUE=TRUE,Inputs!$B$32,0)))*(1-IF(AND(ArtifactsInput!$M$27,Inputs!$B$4="Chapter Hunt"),CHOOSE(ArtifactsInput!$N$27+1,20,24,28,32,36,40),0)/100)),0)</f>
        <v/>
      </c>
      <c r="R487">
        <f>IF(AND(Inputs!$B$38&lt;&gt;"pvp",Inputs!$B$43&gt;0),IF(MAX(0,Inputs!$B$43-B514)&lt;=0,0,(INT(MAX(0,Inputs!$B$43-B514)/(IF(Inputs!$B$38="pvp",15,MAX(0.1,Skills!D7-IF(TRUE=TRUE,Inputs!$B$32,0)))*(1-IF(AND(ArtifactsInput!$M$27,Inputs!$B$4="Chapter Hunt"),CHOOSE(ArtifactsInput!$N$27+1,20,24,28,32,36,40),0)/100)))+1)),0)</f>
        <v/>
      </c>
      <c r="S487">
        <f>IF(C487,(H487*N487*IF(AND(Inputs!$B$38&lt;&gt;"pvp",Inputs!$B$43&gt;0),((Skills!F7*((R487-1)*IF(Skills!G7&gt;0,Skills!H7/Skills!G7,1)+IF(Skills!G7&gt;0,MIN(Skills!H7,MAX(0,MAX(0,Inputs!$B$43-B514)-((R487-1)*(IF(Inputs!$B$38="pvp",15,MAX(0.1,Skills!D7-IF(TRUE=TRUE,Inputs!$B$32,0)))*(1-IF(AND(ArtifactsInput!$M$27,Inputs!$B$4="Chapter Hunt"),CHOOSE(ArtifactsInput!$N$27+1,20,24,28,32,36,40),0)/100)))))/Skills!G7,1)))/Inputs!$B$43),G487*Q487))*IF(Inputs!$B$38="pvp",1,1+(Inputs!$B$20+Skills!O7+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487*(1-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487*(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487*(1-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487*(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7">
        <f>IF(C487,(H487*N487*IF(AND(Inputs!$B$38&lt;&gt;"pvp",Inputs!$B$43&gt;0),((Skills!F7*((R487-1)*IF(Skills!G7&gt;0,Skills!H7/Skills!G7,1)+IF(Skills!G7&gt;0,MIN(Skills!H7,MAX(0,MAX(0,Inputs!$B$43-B514)-((R487-1)*(IF(Inputs!$B$38="pvp",15,MAX(0.1,Skills!D7-IF(TRUE=TRUE,Inputs!$B$32,0)))*(1-IF(AND(ArtifactsInput!$M$27,Inputs!$B$4="Chapter Hunt"),CHOOSE(ArtifactsInput!$N$27+1,20,24,28,32,36,40),0)/100)))))/Skills!G7,1)))/Inputs!$B$43),G487*Q487))*IF(Inputs!$B$38="pvp",1,(1+(Inputs!$B$21+Skills!P7+B508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8">
      <c r="A488">
        <f>Skills!A8</f>
        <v/>
      </c>
      <c r="B488">
        <f>Skills!B8</f>
        <v/>
      </c>
      <c r="C488">
        <f>Inputs!$B$3&gt;=103</f>
        <v/>
      </c>
      <c r="D488">
        <f>IF(Skills!C8=1,60+Inputs!$B$25+Inputs!$B$29,IF(Skills!C8=2,90+Inputs!$B$26+Inputs!$B$29,IF(Skills!C8=3,120+Inputs!$B$27+Inputs!$B$29,MAX(0,(Inputs!$B$3-100)*3)+Inputs!$B$28+Inputs!$B$29)))</f>
        <v/>
      </c>
      <c r="E488">
        <f>INDEX(FactorTable!$B$2:$Y$301, MATCH(ROUND(MIN(300,MAX(1,D488)),0), FactorTable!$A$2:$A$301,0), Skills!L8+1)</f>
        <v/>
      </c>
      <c r="F488">
        <f>IF(Skills!M8=TRUE,(Skills!K8/10)*(E488/1000),Skills!K8/10)+Skills!N8</f>
        <v/>
      </c>
      <c r="G488">
        <f>Calc!G8</f>
        <v/>
      </c>
      <c r="H488">
        <f>Calc!H8</f>
        <v/>
      </c>
      <c r="I488">
        <f>IF(Skills!T8&lt;&gt;"",1+(Skills!T8/10)*(Z483/1000)/100,1)</f>
        <v/>
      </c>
      <c r="J488">
        <f>((Inputs!$B$6*(1+Inputs!$B$7/100))+(((Inputs!$B$12*(1+Inputs!$B$13/100))-(Inputs!$B$12*(1+Inputs!$B$13/100)))+0.25*(Inputs!$B$14-Inputs!$B$14))*(1+Inputs!$B$7/100))*(F488/100)</f>
        <v/>
      </c>
      <c r="K488">
        <f>J488*(1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8="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488)</f>
        <v/>
      </c>
      <c r="L488">
        <f>K488*(MIN(Inputs!$B$22+(F498-Calc!F18),(Inputs!$B$23+(IF(ArtifactsInput!$M$15,CHOOSE(ArtifactsInput!$N$15+1,25,30,35,40,45,50)/100*(Inputs!$B$11-Inputs!$B$11),0))))/100+(Inputs!$B$23+(IF(ArtifactsInput!$M$15,CHOOSE(ArtifactsInput!$N$15+1,25,30,35,40,45,50)/100*(Inputs!$B$11-Inputs!$B$11),0)))/100)/2</f>
        <v/>
      </c>
      <c r="M488">
        <f>L488*(1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8">
        <f>L488*(1-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488*(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8">
        <f>(1-Summary!$B$11)*S488+Summary!$B$11*U488</f>
        <v/>
      </c>
      <c r="P488">
        <f>IF(B517=0,0,O488/B517)</f>
        <v/>
      </c>
      <c r="Q488">
        <f>IFERROR(1/(IF(Inputs!$B$38="pvp",15,MAX(0.1,Skills!D8-IF(TRUE=TRUE,Inputs!$B$32,0)))*(1-IF(AND(ArtifactsInput!$M$27,Inputs!$B$4="Chapter Hunt"),CHOOSE(ArtifactsInput!$N$27+1,20,24,28,32,36,40),0)/100)),0)</f>
        <v/>
      </c>
      <c r="R488">
        <f>IF(AND(Inputs!$B$38&lt;&gt;"pvp",Inputs!$B$43&gt;0),IF(MAX(0,Inputs!$B$43-B514)&lt;=0,0,(INT(MAX(0,Inputs!$B$43-B514)/(IF(Inputs!$B$38="pvp",15,MAX(0.1,Skills!D8-IF(TRUE=TRUE,Inputs!$B$32,0)))*(1-IF(AND(ArtifactsInput!$M$27,Inputs!$B$4="Chapter Hunt"),CHOOSE(ArtifactsInput!$N$27+1,20,24,28,32,36,40),0)/100)))+1)),0)</f>
        <v/>
      </c>
      <c r="S488">
        <f>IF(C488,(H488*N488*IF(AND(Inputs!$B$38&lt;&gt;"pvp",Inputs!$B$43&gt;0),((Skills!F8*((R488-1)*IF(Skills!G8&gt;0,Skills!H8/Skills!G8,1)+IF(Skills!G8&gt;0,MIN(Skills!H8,MAX(0,MAX(0,Inputs!$B$43-B514)-((R488-1)*(IF(Inputs!$B$38="pvp",15,MAX(0.1,Skills!D8-IF(TRUE=TRUE,Inputs!$B$32,0)))*(1-IF(AND(ArtifactsInput!$M$27,Inputs!$B$4="Chapter Hunt"),CHOOSE(ArtifactsInput!$N$27+1,20,24,28,32,36,40),0)/100)))))/Skills!G8,1)))/Inputs!$B$43),G488*Q488))*IF(Inputs!$B$38="pvp",1,1+(Inputs!$B$20+Skills!O8+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488*(1-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488*(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488*(1-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488*(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8">
        <f>IF(C488,(H488*N488*IF(AND(Inputs!$B$38&lt;&gt;"pvp",Inputs!$B$43&gt;0),((Skills!F8*((R488-1)*IF(Skills!G8&gt;0,Skills!H8/Skills!G8,1)+IF(Skills!G8&gt;0,MIN(Skills!H8,MAX(0,MAX(0,Inputs!$B$43-B514)-((R488-1)*(IF(Inputs!$B$38="pvp",15,MAX(0.1,Skills!D8-IF(TRUE=TRUE,Inputs!$B$32,0)))*(1-IF(AND(ArtifactsInput!$M$27,Inputs!$B$4="Chapter Hunt"),CHOOSE(ArtifactsInput!$N$27+1,20,24,28,32,36,40),0)/100)))))/Skills!G8,1)))/Inputs!$B$43),G488*Q488))*IF(Inputs!$B$38="pvp",1,(1+(Inputs!$B$21+Skills!P8+B508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9">
      <c r="A489">
        <f>Skills!A9</f>
        <v/>
      </c>
      <c r="B489">
        <f>Skills!B9</f>
        <v/>
      </c>
      <c r="C489">
        <f>Inputs!$B$3&gt;=105</f>
        <v/>
      </c>
      <c r="D489">
        <f>IF(Skills!C9=1,60+Inputs!$B$25+Inputs!$B$29,IF(Skills!C9=2,90+Inputs!$B$26+Inputs!$B$29,IF(Skills!C9=3,120+Inputs!$B$27+Inputs!$B$29,MAX(0,(Inputs!$B$3-100)*3)+Inputs!$B$28+Inputs!$B$29)))</f>
        <v/>
      </c>
      <c r="E489">
        <f>INDEX(FactorTable!$B$2:$Y$301, MATCH(ROUND(MIN(300,MAX(1,D489)),0), FactorTable!$A$2:$A$301,0), Skills!L9+1)</f>
        <v/>
      </c>
      <c r="F489">
        <f>IF(Skills!M9=TRUE,(Skills!K9/10)*(E489/1000),Skills!K9/10)+Skills!N9</f>
        <v/>
      </c>
      <c r="G489">
        <f>Calc!G9</f>
        <v/>
      </c>
      <c r="H489">
        <f>Calc!H9</f>
        <v/>
      </c>
      <c r="I489">
        <f>IF(Skills!T9&lt;&gt;"",1+(Skills!T9/10)*(Z483/1000)/100,1)</f>
        <v/>
      </c>
      <c r="J489">
        <f>((Inputs!$B$6*(1+Inputs!$B$7/100))+(((Inputs!$B$12*(1+Inputs!$B$13/100))-(Inputs!$B$12*(1+Inputs!$B$13/100)))+0.25*(Inputs!$B$14-Inputs!$B$14))*(1+Inputs!$B$7/100))*(F489/100)</f>
        <v/>
      </c>
      <c r="K489">
        <f>J489*(1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9="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489)</f>
        <v/>
      </c>
      <c r="L489">
        <f>K489*(MIN(Inputs!$B$22+(F498-Calc!F18),(Inputs!$B$23+(IF(ArtifactsInput!$M$15,CHOOSE(ArtifactsInput!$N$15+1,25,30,35,40,45,50)/100*(Inputs!$B$11-Inputs!$B$11),0))))/100+(Inputs!$B$23+(IF(ArtifactsInput!$M$15,CHOOSE(ArtifactsInput!$N$15+1,25,30,35,40,45,50)/100*(Inputs!$B$11-Inputs!$B$11),0)))/100)/2</f>
        <v/>
      </c>
      <c r="M489">
        <f>L489*(1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9">
        <f>L489*(1-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489*(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9">
        <f>(1-Summary!$B$11)*S489+Summary!$B$11*U489</f>
        <v/>
      </c>
      <c r="P489">
        <f>IF(B517=0,0,O489/B517)</f>
        <v/>
      </c>
      <c r="Q489">
        <f>IFERROR(1/(IF(Inputs!$B$38="pvp",15,MAX(0.1,Skills!D9-IF(TRUE=TRUE,Inputs!$B$32,0)))*(1-IF(AND(ArtifactsInput!$M$27,Inputs!$B$4="Chapter Hunt"),CHOOSE(ArtifactsInput!$N$27+1,20,24,28,32,36,40),0)/100)),0)</f>
        <v/>
      </c>
      <c r="R489">
        <f>IF(AND(Inputs!$B$38&lt;&gt;"pvp",Inputs!$B$43&gt;0),IF(MAX(0,Inputs!$B$43-B514)&lt;=0,0,(INT(MAX(0,Inputs!$B$43-B514)/(IF(Inputs!$B$38="pvp",15,MAX(0.1,Skills!D9-IF(TRUE=TRUE,Inputs!$B$32,0)))*(1-IF(AND(ArtifactsInput!$M$27,Inputs!$B$4="Chapter Hunt"),CHOOSE(ArtifactsInput!$N$27+1,20,24,28,32,36,40),0)/100)))+1)),0)</f>
        <v/>
      </c>
      <c r="S489">
        <f>IF(C489,(H489*N489*IF(AND(Inputs!$B$38&lt;&gt;"pvp",Inputs!$B$43&gt;0),((Skills!F9*((R489-1)*IF(Skills!G9&gt;0,Skills!H9/Skills!G9,1)+IF(Skills!G9&gt;0,MIN(Skills!H9,MAX(0,MAX(0,Inputs!$B$43-B514)-((R489-1)*(IF(Inputs!$B$38="pvp",15,MAX(0.1,Skills!D9-IF(TRUE=TRUE,Inputs!$B$32,0)))*(1-IF(AND(ArtifactsInput!$M$27,Inputs!$B$4="Chapter Hunt"),CHOOSE(ArtifactsInput!$N$27+1,20,24,28,32,36,40),0)/100)))))/Skills!G9,1)))/Inputs!$B$43),G489*Q489))*IF(Inputs!$B$38="pvp",1,1+(Inputs!$B$20+Skills!O9+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489*(1-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489*(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489*(1-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489*(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89">
        <f>IF(C489,(H489*N489*IF(AND(Inputs!$B$38&lt;&gt;"pvp",Inputs!$B$43&gt;0),((Skills!F9*((R489-1)*IF(Skills!G9&gt;0,Skills!H9/Skills!G9,1)+IF(Skills!G9&gt;0,MIN(Skills!H9,MAX(0,MAX(0,Inputs!$B$43-B514)-((R489-1)*(IF(Inputs!$B$38="pvp",15,MAX(0.1,Skills!D9-IF(TRUE=TRUE,Inputs!$B$32,0)))*(1-IF(AND(ArtifactsInput!$M$27,Inputs!$B$4="Chapter Hunt"),CHOOSE(ArtifactsInput!$N$27+1,20,24,28,32,36,40),0)/100)))))/Skills!G9,1)))/Inputs!$B$43),G489*Q489))*IF(Inputs!$B$38="pvp",1,(1+(Inputs!$B$21+Skills!P9+B508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0">
      <c r="A490">
        <f>Skills!A10</f>
        <v/>
      </c>
      <c r="B490">
        <f>Skills!B10</f>
        <v/>
      </c>
      <c r="C490">
        <f>Inputs!$B$3&gt;=113</f>
        <v/>
      </c>
      <c r="D490">
        <f>IF(Skills!C10=1,60+Inputs!$B$25+Inputs!$B$29,IF(Skills!C10=2,90+Inputs!$B$26+Inputs!$B$29,IF(Skills!C10=3,120+Inputs!$B$27+Inputs!$B$29,MAX(0,(Inputs!$B$3-100)*3)+Inputs!$B$28+Inputs!$B$29)))</f>
        <v/>
      </c>
      <c r="E490">
        <f>INDEX(FactorTable!$B$2:$Y$301, MATCH(ROUND(MIN(300,MAX(1,D490)),0), FactorTable!$A$2:$A$301,0), Skills!L10+1)</f>
        <v/>
      </c>
      <c r="F490">
        <f>IF(Skills!M10=TRUE,(Skills!K10/10)*(E490/1000),Skills!K10/10)+Skills!N10</f>
        <v/>
      </c>
      <c r="G490">
        <f>Calc!G10</f>
        <v/>
      </c>
      <c r="H490">
        <f>Calc!H10</f>
        <v/>
      </c>
      <c r="I490">
        <f>IF(Skills!T10&lt;&gt;"",1+(Skills!T10/10)*(Z483/1000)/100,1)</f>
        <v/>
      </c>
      <c r="J490">
        <f>((Inputs!$B$6*(1+Inputs!$B$7/100))+(((Inputs!$B$12*(1+Inputs!$B$13/100))-(Inputs!$B$12*(1+Inputs!$B$13/100)))+0.25*(Inputs!$B$14-Inputs!$B$14))*(1+Inputs!$B$7/100))*(F490/100)</f>
        <v/>
      </c>
      <c r="K490">
        <f>J490*(1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10="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490)</f>
        <v/>
      </c>
      <c r="L490">
        <f>K490*(MIN(Inputs!$B$22+(F498-Calc!F18),(Inputs!$B$23+(IF(ArtifactsInput!$M$15,CHOOSE(ArtifactsInput!$N$15+1,25,30,35,40,45,50)/100*(Inputs!$B$11-Inputs!$B$11),0))))/100+(Inputs!$B$23+(IF(ArtifactsInput!$M$15,CHOOSE(ArtifactsInput!$N$15+1,25,30,35,40,45,50)/100*(Inputs!$B$11-Inputs!$B$11),0)))/100)/2</f>
        <v/>
      </c>
      <c r="M490">
        <f>L490*(1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0">
        <f>L490*(1-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490*(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0">
        <f>(1-Summary!$B$11)*S490+Summary!$B$11*U490</f>
        <v/>
      </c>
      <c r="P490">
        <f>IF(B517=0,0,O490/B517)</f>
        <v/>
      </c>
      <c r="Q490">
        <f>IFERROR(1/(IF(Inputs!$B$38="pvp",15,MAX(0.1,Skills!D10-IF(TRUE=TRUE,Inputs!$B$32,0)))*(1-IF(AND(ArtifactsInput!$M$27,Inputs!$B$4="Chapter Hunt"),CHOOSE(ArtifactsInput!$N$27+1,20,24,28,32,36,40),0)/100)),0)</f>
        <v/>
      </c>
      <c r="R490" t="n">
        <v>0</v>
      </c>
      <c r="S490">
        <f>IF(C490,((H490*B518)/(1+Skills!G10*H490*B518)*N490)*IF(Inputs!$B$38="pvp",1,1+(Inputs!$B$20+Skills!O10+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490*(1-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490*(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490*(1-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490*(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0">
        <f>IF(C490,((H490*B518)/(1+Skills!G10*H490*B518)*N490)*IF(Inputs!$B$38="pvp",1,(1+(Inputs!$B$21+Skills!P10+B508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1">
      <c r="A491">
        <f>Skills!A11</f>
        <v/>
      </c>
      <c r="B491">
        <f>Skills!B11</f>
        <v/>
      </c>
      <c r="C491">
        <f>Inputs!$B$3&gt;=107</f>
        <v/>
      </c>
      <c r="D491">
        <f>IF(Skills!C11=1,60+Inputs!$B$25+Inputs!$B$29,IF(Skills!C11=2,90+Inputs!$B$26+Inputs!$B$29,IF(Skills!C11=3,120+Inputs!$B$27+Inputs!$B$29,MAX(0,(Inputs!$B$3-100)*3)+Inputs!$B$28+Inputs!$B$29)))</f>
        <v/>
      </c>
      <c r="E491">
        <f>INDEX(FactorTable!$B$2:$Y$301, MATCH(ROUND(MIN(300,MAX(1,D491)),0), FactorTable!$A$2:$A$301,0), Skills!L11+1)</f>
        <v/>
      </c>
      <c r="F491">
        <f>IF(Skills!M11=TRUE,(Skills!K11/10)*(E491/1000),Skills!K11/10)+Skills!N11</f>
        <v/>
      </c>
      <c r="G491">
        <f>Calc!G11</f>
        <v/>
      </c>
      <c r="H491">
        <f>Calc!H11</f>
        <v/>
      </c>
      <c r="I491">
        <f>IF(Skills!T11&lt;&gt;"",1+(Skills!T11/10)*(Z483/1000)/100,1)</f>
        <v/>
      </c>
      <c r="J491">
        <f>((Inputs!$B$6*(1+Inputs!$B$7/100))+(((Inputs!$B$12*(1+Inputs!$B$13/100))-(Inputs!$B$12*(1+Inputs!$B$13/100)))+0.25*(Inputs!$B$14-Inputs!$B$14))*(1+Inputs!$B$7/100))*(F491/100)</f>
        <v/>
      </c>
      <c r="K491">
        <f>J491*(1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11="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491)</f>
        <v/>
      </c>
      <c r="L491">
        <f>K491*(MIN(Inputs!$B$22+(F498-Calc!F18),(Inputs!$B$23+(IF(ArtifactsInput!$M$15,CHOOSE(ArtifactsInput!$N$15+1,25,30,35,40,45,50)/100*(Inputs!$B$11-Inputs!$B$11),0))))/100+(Inputs!$B$23+(IF(ArtifactsInput!$M$15,CHOOSE(ArtifactsInput!$N$15+1,25,30,35,40,45,50)/100*(Inputs!$B$11-Inputs!$B$11),0)))/100)/2</f>
        <v/>
      </c>
      <c r="M491">
        <f>L491*(1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1">
        <f>L491*(1-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1">
        <f>(1-Summary!$B$11)*S491+Summary!$B$11*U491</f>
        <v/>
      </c>
      <c r="P491">
        <f>IF(B517=0,0,O491/B517)</f>
        <v/>
      </c>
      <c r="Q491">
        <f>IFERROR(1/(IF(Inputs!$B$38="pvp",15,MAX(0.1,Skills!D11-IF(TRUE=TRUE,Inputs!$B$32,0)))*(1-IF(AND(ArtifactsInput!$M$27,Inputs!$B$4="Chapter Hunt"),CHOOSE(ArtifactsInput!$N$27+1,20,24,28,32,36,40),0)/100)),0)</f>
        <v/>
      </c>
      <c r="R491">
        <f>IF(AND(Inputs!$B$38&lt;&gt;"pvp",Inputs!$B$43&gt;0),IF(MAX(0,Inputs!$B$43-B514)&lt;=0,0,(INT(MAX(0,Inputs!$B$43-B514)/(IF(Inputs!$B$38="pvp",15,MAX(0.1,Skills!D11-IF(TRUE=TRUE,Inputs!$B$32,0)))*(1-IF(AND(ArtifactsInput!$M$27,Inputs!$B$4="Chapter Hunt"),CHOOSE(ArtifactsInput!$N$27+1,20,24,28,32,36,40),0)/100)))+1)),0)</f>
        <v/>
      </c>
      <c r="S491">
        <f>IF(C491,H491*N491*IF(AND(Inputs!$B$38&lt;&gt;"pvp",Inputs!$B$43&gt;0),((Skills!F11*((R491-1)*IF(Skills!G11&gt;0,Skills!H11/Skills!G11,1)+IF(Skills!G11&gt;0,MIN(Skills!H11,MAX(0,MAX(0,Inputs!$B$43-B514)-((R491-1)*(IF(Inputs!$B$38="pvp",15,MAX(0.1,Skills!D11-IF(TRUE=TRUE,Inputs!$B$32,0)))*(1-IF(AND(ArtifactsInput!$M$27,Inputs!$B$4="Chapter Hunt"),CHOOSE(ArtifactsInput!$N$27+1,20,24,28,32,36,40),0)/100)))))/Skills!G11,1)))/Inputs!$B$43),G491*Q491)*0.5*IF(Inputs!$B$38="pvp",1,1+(Inputs!$B$20+Skills!O11+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491*(1-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491*(1-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1">
        <f>IF(C491,H491*N491*IF(AND(Inputs!$B$38&lt;&gt;"pvp",Inputs!$B$43&gt;0),((Skills!F11*((R491-1)*IF(Skills!G11&gt;0,Skills!H11/Skills!G11,1)+IF(Skills!G11&gt;0,MIN(Skills!H11,MAX(0,MAX(0,Inputs!$B$43-B514)-((R491-1)*(IF(Inputs!$B$38="pvp",15,MAX(0.1,Skills!D11-IF(TRUE=TRUE,Inputs!$B$32,0)))*(1-IF(AND(ArtifactsInput!$M$27,Inputs!$B$4="Chapter Hunt"),CHOOSE(ArtifactsInput!$N$27+1,20,24,28,32,36,40),0)/100)))))/Skills!G11,1)))/Inputs!$B$43),G491*Q491)*1*IF(Inputs!$B$38="pvp",1,(1+(Inputs!$B$21+Skills!P11+B508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2">
      <c r="A492">
        <f>Skills!A12</f>
        <v/>
      </c>
      <c r="B492">
        <f>Skills!B12</f>
        <v/>
      </c>
      <c r="C492">
        <f>Inputs!$B$3&gt;=115</f>
        <v/>
      </c>
      <c r="D492">
        <f>IF(Skills!C12=1,60+Inputs!$B$25+Inputs!$B$29,IF(Skills!C12=2,90+Inputs!$B$26+Inputs!$B$29,IF(Skills!C12=3,120+Inputs!$B$27+Inputs!$B$29,MAX(0,(Inputs!$B$3-100)*3)+Inputs!$B$28+Inputs!$B$29)))</f>
        <v/>
      </c>
      <c r="E492">
        <f>INDEX(FactorTable!$B$2:$Y$301, MATCH(ROUND(MIN(300,MAX(1,D492)),0), FactorTable!$A$2:$A$301,0), Skills!L12+1)</f>
        <v/>
      </c>
      <c r="F492">
        <f>IF(Skills!M12=TRUE,(Skills!K12/10)*(E492/1000),Skills!K12/10)+Skills!N12</f>
        <v/>
      </c>
      <c r="G492">
        <f>Calc!G12</f>
        <v/>
      </c>
      <c r="H492">
        <f>Calc!H12</f>
        <v/>
      </c>
      <c r="I492">
        <f>IF(Skills!T12&lt;&gt;"",1+(Skills!T12/10)*(Z483/1000)/100,1)</f>
        <v/>
      </c>
      <c r="J492">
        <f>((Inputs!$B$6*(1+Inputs!$B$7/100))+(((Inputs!$B$12*(1+Inputs!$B$13/100))-(Inputs!$B$12*(1+Inputs!$B$13/100)))+0.25*(Inputs!$B$14-Inputs!$B$14))*(1+Inputs!$B$7/100))*(F492/100)</f>
        <v/>
      </c>
      <c r="K492">
        <f>J492*(1+((Inputs!$B$12*(1+Inputs!$B$13/100))*0.01+Inputs!$B$14*0.0025)/100)*(1+(Inputs!$B$15+B509)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495=TRUE,F495,0)/100)*(1+IF(C503=TRUE,F503,0)/100)^5*(1+(IF(Skills!A12="CHAIN_LIGHTNING",Inputs!$B$17+((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507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492)</f>
        <v/>
      </c>
      <c r="L492">
        <f>K492*(MIN(Inputs!$B$22+(F498-Calc!F18),(Inputs!$B$23+(IF(ArtifactsInput!$M$15,CHOOSE(ArtifactsInput!$N$15+1,25,30,35,40,45,50)/100*(Inputs!$B$11-Inputs!$B$11),0))))/100+(Inputs!$B$23+(IF(ArtifactsInput!$M$15,CHOOSE(ArtifactsInput!$N$15+1,25,30,35,40,45,50)/100*(Inputs!$B$11-Inputs!$B$11),0)))/100)/2</f>
        <v/>
      </c>
      <c r="M492">
        <f>L492*(1+((Inputs!$B$10+1)+(F501-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92">
        <f>L492*(1-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492*(MIN((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92">
        <f>(1-Summary!$B$11)*S492+Summary!$B$11*U492</f>
        <v/>
      </c>
      <c r="P492">
        <f>IF(B517=0,0,O492/B517)</f>
        <v/>
      </c>
      <c r="Q492">
        <f>IFERROR(1/(IF(Inputs!$B$38="pvp",15,MAX(0.1,Skills!D12-IF(TRUE=TRUE,Inputs!$B$32,0)))*(1-IF(AND(ArtifactsInput!$M$27,Inputs!$B$4="Chapter Hunt"),CHOOSE(ArtifactsInput!$N$27+1,20,24,28,32,36,40),0)/100)),0)</f>
        <v/>
      </c>
      <c r="R492">
        <f>IF(AND(Inputs!$B$38&lt;&gt;"pvp",Inputs!$B$43&gt;0),IF(MAX(0,Inputs!$B$43-B514)&lt;=0,0,(INT(MAX(0,Inputs!$B$43-B514)/(IF(Inputs!$B$38="pvp",15,MAX(0.1,Skills!D12-IF(TRUE=TRUE,Inputs!$B$32,0)))*(1-IF(AND(ArtifactsInput!$M$27,Inputs!$B$4="Chapter Hunt"),CHOOSE(ArtifactsInput!$N$27+1,20,24,28,32,36,40),0)/100)))+1)),0)</f>
        <v/>
      </c>
      <c r="S492">
        <f>IF(C492,(H492*N492*IF(AND(Inputs!$B$38&lt;&gt;"pvp",Inputs!$B$43&gt;0),((Skills!F12*((R492-1)*IF(Skills!G12&gt;0,Skills!H12/Skills!G12,1)+IF(Skills!G12&gt;0,MIN(Skills!H12,MAX(0,MAX(0,Inputs!$B$43-B514)-((R492-1)*(IF(Inputs!$B$38="pvp",15,MAX(0.1,Skills!D12-IF(TRUE=TRUE,Inputs!$B$32,0)))*(1-IF(AND(ArtifactsInput!$M$27,Inputs!$B$4="Chapter Hunt"),CHOOSE(ArtifactsInput!$N$27+1,20,24,28,32,36,40),0)/100)))))/Skills!G12,1)))/Inputs!$B$43),G492*Q492))*IF(Inputs!$B$38="pvp",1,1+(Inputs!$B$20+Skills!O12+B508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492*(1-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492*(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492*(1-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492*(MIN(100,(Inputs!$B$9+((F500-Calc!F20)+(F499-Calc!F19))+(ArtifactsInput!$M$24-ArtifactsInput!$M$24)*CHOOSE(ArtifactsInput!$N$24+1,10,12,14,16,18,20)+(IF(AND(Inputs!$B$38&lt;&gt;"pvp",Inputs!$B$43=0),1,IF(IF(Inputs!$B$38="pvp",15,Inputs!$B$43)-(B514)&lt;=0,1,MAX(0,IF(Inputs!$B$38="pvp",15,Inputs!$B$43)-MAX(5,B514))/(IF(Inputs!$B$38="pvp",15,Inputs!$B$43)-(B514)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92">
        <f>IF(C492,(H492*N492*IF(AND(Inputs!$B$38&lt;&gt;"pvp",Inputs!$B$43&gt;0),((Skills!F12*((R492-1)*IF(Skills!G12&gt;0,Skills!H12/Skills!G12,1)+IF(Skills!G12&gt;0,MIN(Skills!H12,MAX(0,MAX(0,Inputs!$B$43-B514)-((R492-1)*(IF(Inputs!$B$38="pvp",15,MAX(0.1,Skills!D12-IF(TRUE=TRUE,Inputs!$B$32,0)))*(1-IF(AND(ArtifactsInput!$M$27,Inputs!$B$4="Chapter Hunt"),CHOOSE(ArtifactsInput!$N$27+1,20,24,28,32,36,40),0)/100)))))/Skills!G12,1)))/Inputs!$B$43),G492*Q492))*IF(Inputs!$B$38="pvp",1,(1+(Inputs!$B$21+Skills!P12+B508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93">
      <c r="A493">
        <f>Skills!A13</f>
        <v/>
      </c>
      <c r="B493">
        <f>Skills!B13</f>
        <v/>
      </c>
      <c r="C493">
        <f>Inputs!$B$3&gt;=49</f>
        <v/>
      </c>
      <c r="D493">
        <f>IF(Skills!C13=1,60+Inputs!$B$25+Inputs!$B$29,IF(Skills!C13=2,90+Inputs!$B$26+Inputs!$B$29,IF(Skills!C13=3,120+Inputs!$B$27+Inputs!$B$29,MAX(0,(Inputs!$B$3-100)*3)+Inputs!$B$28+Inputs!$B$29)))</f>
        <v/>
      </c>
      <c r="E493">
        <f>INDEX(FactorTable!$B$2:$Y$301, MATCH(ROUND(MIN(300,MAX(1,D493)),0), FactorTable!$A$2:$A$301,0), Skills!L13+1)</f>
        <v/>
      </c>
      <c r="F493">
        <f>IF(Skills!M13=TRUE,(Skills!K13/10)*(E493/1000),Skills!K13/10)+Skills!N13</f>
        <v/>
      </c>
      <c r="G493">
        <f>Calc!G13</f>
        <v/>
      </c>
      <c r="H493">
        <f>Calc!H13</f>
        <v/>
      </c>
      <c r="I493">
        <f>IF(Skills!T13&lt;&gt;"",1+(Skills!T13/10)*(Z483/1000)/100,1)</f>
        <v/>
      </c>
      <c r="J493" t="inlineStr"/>
      <c r="K493" t="inlineStr"/>
      <c r="L493" t="inlineStr"/>
      <c r="M493" t="inlineStr"/>
      <c r="N493" t="inlineStr"/>
      <c r="O493">
        <f>(1-Summary!$B$11)*S493+Summary!$B$11*U493</f>
        <v/>
      </c>
      <c r="P493">
        <f>IF(B517=0,0,O493/B517)</f>
        <v/>
      </c>
      <c r="Q493">
        <f>IFERROR(1/(IF(Inputs!$B$38="pvp",15,MAX(0.1,Skills!D13-IF(TRUE=TRUE,Inputs!$B$32,0)))*(1-IF(AND(ArtifactsInput!$M$27,Inputs!$B$4="Chapter Hunt"),CHOOSE(ArtifactsInput!$N$27+1,20,24,28,32,36,40),0)/100)),0)</f>
        <v/>
      </c>
      <c r="R493" t="n">
        <v>0</v>
      </c>
      <c r="S493" t="n">
        <v>0</v>
      </c>
      <c r="U493" t="n">
        <v>0</v>
      </c>
    </row>
    <row r="494">
      <c r="A494">
        <f>Skills!A14</f>
        <v/>
      </c>
      <c r="B494">
        <f>Skills!B14</f>
        <v/>
      </c>
      <c r="C494">
        <f>Inputs!$B$3&gt;=72</f>
        <v/>
      </c>
      <c r="D494">
        <f>IF(Skills!C14=1,60+Inputs!$B$25+Inputs!$B$29,IF(Skills!C14=2,90+Inputs!$B$26+Inputs!$B$29,IF(Skills!C14=3,120+Inputs!$B$27+Inputs!$B$29,MAX(0,(Inputs!$B$3-100)*3)+Inputs!$B$28+Inputs!$B$29)))</f>
        <v/>
      </c>
      <c r="E494">
        <f>INDEX(FactorTable!$B$2:$Y$301, MATCH(ROUND(MIN(300,MAX(1,D494)),0), FactorTable!$A$2:$A$301,0), Skills!L14+1)</f>
        <v/>
      </c>
      <c r="F494">
        <f>IF(Skills!M14=TRUE,(Skills!K14/10)*(E494/1000),Skills!K14/10)+Skills!N14</f>
        <v/>
      </c>
      <c r="G494">
        <f>Calc!G14</f>
        <v/>
      </c>
      <c r="H494">
        <f>Calc!H14</f>
        <v/>
      </c>
      <c r="I494">
        <f>IF(Skills!T14&lt;&gt;"",1+(Skills!T14/10)*(Z483/1000)/100,1)</f>
        <v/>
      </c>
      <c r="J494" t="inlineStr"/>
      <c r="K494" t="inlineStr"/>
      <c r="L494" t="inlineStr"/>
      <c r="M494" t="inlineStr"/>
      <c r="N494" t="inlineStr"/>
      <c r="O494">
        <f>(1-Summary!$B$11)*S494+Summary!$B$11*U494</f>
        <v/>
      </c>
      <c r="P494">
        <f>IF(B517=0,0,O494/B517)</f>
        <v/>
      </c>
      <c r="Q494">
        <f>IFERROR(1/(IF(Inputs!$B$38="pvp",15,MAX(0.1,Skills!D14-IF(TRUE=TRUE,Inputs!$B$32,0)))*(1-IF(AND(ArtifactsInput!$M$27,Inputs!$B$4="Chapter Hunt"),CHOOSE(ArtifactsInput!$N$27+1,20,24,28,32,36,40),0)/100)),0)</f>
        <v/>
      </c>
      <c r="R494" t="n">
        <v>0</v>
      </c>
      <c r="S494" t="n">
        <v>0</v>
      </c>
      <c r="U494" t="n">
        <v>0</v>
      </c>
    </row>
    <row r="495">
      <c r="A495">
        <f>Skills!A15</f>
        <v/>
      </c>
      <c r="B495">
        <f>Skills!B15</f>
        <v/>
      </c>
      <c r="C495">
        <f>Inputs!$B$3&gt;=75</f>
        <v/>
      </c>
      <c r="D495">
        <f>IF(Skills!C15=1,60+Inputs!$B$25+Inputs!$B$29,IF(Skills!C15=2,90+Inputs!$B$26+Inputs!$B$29,IF(Skills!C15=3,120+Inputs!$B$27+Inputs!$B$29,MAX(0,(Inputs!$B$3-100)*3)+Inputs!$B$28+Inputs!$B$29)))</f>
        <v/>
      </c>
      <c r="E495">
        <f>INDEX(FactorTable!$B$2:$Y$301, MATCH(ROUND(MIN(300,MAX(1,D495)),0), FactorTable!$A$2:$A$301,0), Skills!L15+1)</f>
        <v/>
      </c>
      <c r="F495">
        <f>IF(Skills!M15=TRUE,(Skills!K15/10)*(E495/1000),Skills!K15/10)+Skills!N15</f>
        <v/>
      </c>
      <c r="G495">
        <f>Calc!G15</f>
        <v/>
      </c>
      <c r="H495">
        <f>Calc!H15</f>
        <v/>
      </c>
      <c r="I495">
        <f>IF(Skills!T15&lt;&gt;"",1+(Skills!T15/10)*(Z483/1000)/100,1)</f>
        <v/>
      </c>
      <c r="J495" t="inlineStr"/>
      <c r="K495" t="inlineStr"/>
      <c r="L495" t="inlineStr"/>
      <c r="M495" t="inlineStr"/>
      <c r="N495" t="inlineStr"/>
      <c r="O495">
        <f>(1-Summary!$B$11)*S495+Summary!$B$11*U495</f>
        <v/>
      </c>
      <c r="P495">
        <f>IF(B517=0,0,O495/B517)</f>
        <v/>
      </c>
      <c r="Q495">
        <f>IFERROR(1/(IF(Inputs!$B$38="pvp",15,MAX(0.1,Skills!D15-IF(TRUE=TRUE,Inputs!$B$32,0)))*(1-IF(AND(ArtifactsInput!$M$27,Inputs!$B$4="Chapter Hunt"),CHOOSE(ArtifactsInput!$N$27+1,20,24,28,32,36,40),0)/100)),0)</f>
        <v/>
      </c>
      <c r="R495" t="n">
        <v>0</v>
      </c>
      <c r="S495" t="n">
        <v>0</v>
      </c>
      <c r="U495" t="n">
        <v>0</v>
      </c>
    </row>
    <row r="496">
      <c r="A496">
        <f>Skills!A16</f>
        <v/>
      </c>
      <c r="B496">
        <f>Skills!B16</f>
        <v/>
      </c>
      <c r="C496">
        <f>Inputs!$B$3&gt;=110</f>
        <v/>
      </c>
      <c r="D496">
        <f>IF(Skills!C16=1,60+Inputs!$B$25+Inputs!$B$29,IF(Skills!C16=2,90+Inputs!$B$26+Inputs!$B$29,IF(Skills!C16=3,120+Inputs!$B$27+Inputs!$B$29,MAX(0,(Inputs!$B$3-100)*3)+Inputs!$B$28+Inputs!$B$29)))</f>
        <v/>
      </c>
      <c r="E496">
        <f>INDEX(FactorTable!$B$2:$Y$301, MATCH(ROUND(MIN(300,MAX(1,D496)),0), FactorTable!$A$2:$A$301,0), Skills!L16+1)</f>
        <v/>
      </c>
      <c r="F496">
        <f>(Skills!K16/10)*(E496/1000)*64/45+Skills!N16</f>
        <v/>
      </c>
      <c r="G496">
        <f>Calc!G16</f>
        <v/>
      </c>
      <c r="H496">
        <f>Calc!H16</f>
        <v/>
      </c>
      <c r="I496">
        <f>IF(Skills!T16&lt;&gt;"",1+(Skills!T16/10)*(Z483/1000)/100,1)</f>
        <v/>
      </c>
      <c r="J496" t="inlineStr"/>
      <c r="K496" t="inlineStr"/>
      <c r="L496" t="inlineStr"/>
      <c r="M496" t="inlineStr"/>
      <c r="N496" t="inlineStr"/>
      <c r="O496">
        <f>(1-Summary!$B$11)*S496+Summary!$B$11*U496</f>
        <v/>
      </c>
      <c r="P496">
        <f>IF(B517=0,0,O496/B517)</f>
        <v/>
      </c>
      <c r="Q496">
        <f>IFERROR(1/(IF(Inputs!$B$38="pvp",15,MAX(0.1,Skills!D16-IF(TRUE=TRUE,Inputs!$B$32,0)))*(1-IF(AND(ArtifactsInput!$M$27,Inputs!$B$4="Chapter Hunt"),CHOOSE(ArtifactsInput!$N$27+1,20,24,28,32,36,40),0)/100)),0)</f>
        <v/>
      </c>
      <c r="R496">
        <f>IF(AND(Inputs!$B$38&lt;&gt;"pvp",Inputs!$B$43&gt;0),IF(Inputs!$B$43&lt;=0,0,(INT(Inputs!$B$43/(IF(Inputs!$B$38="pvp",15,MAX(0.1,Skills!D16-IF(TRUE=TRUE,Inputs!$B$32,0)))*(1-IF(AND(ArtifactsInput!$M$27,Inputs!$B$4="Chapter Hunt"),CHOOSE(ArtifactsInput!$N$27+1,20,24,28,32,36,40),0)/100)))+1)),0)</f>
        <v/>
      </c>
      <c r="S496" t="n">
        <v>0</v>
      </c>
      <c r="U496" t="n">
        <v>0</v>
      </c>
    </row>
    <row r="497">
      <c r="A497">
        <f>Skills!A17</f>
        <v/>
      </c>
      <c r="B497">
        <f>Skills!B17</f>
        <v/>
      </c>
      <c r="C497">
        <f>Inputs!$B$3&gt;=33</f>
        <v/>
      </c>
      <c r="D497">
        <f>IF(Skills!C17=1,60+Inputs!$B$25+Inputs!$B$29,IF(Skills!C17=2,90+Inputs!$B$26+Inputs!$B$29,IF(Skills!C17=3,120+Inputs!$B$27+Inputs!$B$29,MAX(0,(Inputs!$B$3-100)*3)+Inputs!$B$28+Inputs!$B$29)))</f>
        <v/>
      </c>
      <c r="E497">
        <f>INDEX(FactorTable!$B$2:$Y$301, MATCH(ROUND(MIN(300,MAX(1,D497)),0), FactorTable!$A$2:$A$301,0), Skills!L17+1)</f>
        <v/>
      </c>
      <c r="F497">
        <f>IF(Skills!M17=TRUE,(Skills!K17/10)*(E497/1000),Skills!K17/10)+Skills!N17</f>
        <v/>
      </c>
      <c r="G497">
        <f>Calc!G17</f>
        <v/>
      </c>
      <c r="H497">
        <f>Calc!H17</f>
        <v/>
      </c>
      <c r="I497">
        <f>IF(Skills!T17&lt;&gt;"",1+(Skills!T17/10)*(Z483/1000)/100,1)</f>
        <v/>
      </c>
      <c r="J497" t="inlineStr"/>
      <c r="K497" t="inlineStr"/>
      <c r="L497" t="inlineStr"/>
      <c r="M497" t="inlineStr"/>
      <c r="N497" t="inlineStr"/>
      <c r="O497">
        <f>(1-Summary!$B$11)*S497+Summary!$B$11*U497</f>
        <v/>
      </c>
      <c r="P497">
        <f>IF(B517=0,0,O497/B517)</f>
        <v/>
      </c>
      <c r="Q497">
        <f>IFERROR(1/(IF(Inputs!$B$38="pvp",15,MAX(0.1,Skills!D17-IF(TRUE=TRUE,Inputs!$B$32,0)))*(1-IF(AND(ArtifactsInput!$M$27,Inputs!$B$4="Chapter Hunt"),CHOOSE(ArtifactsInput!$N$27+1,20,24,28,32,36,40),0)/100)),0)</f>
        <v/>
      </c>
      <c r="R497" t="n">
        <v>0</v>
      </c>
      <c r="S497" t="n">
        <v>0</v>
      </c>
      <c r="U497" t="n">
        <v>0</v>
      </c>
    </row>
    <row r="498">
      <c r="A498">
        <f>Skills!A18</f>
        <v/>
      </c>
      <c r="B498">
        <f>Skills!B18</f>
        <v/>
      </c>
      <c r="C498">
        <f>Inputs!$B$3&gt;=43</f>
        <v/>
      </c>
      <c r="D498">
        <f>IF(Skills!C18=1,60+Inputs!$B$25+Inputs!$B$29,IF(Skills!C18=2,90+Inputs!$B$26+Inputs!$B$29,IF(Skills!C18=3,120+Inputs!$B$27+Inputs!$B$29,MAX(0,(Inputs!$B$3-100)*3)+Inputs!$B$28+Inputs!$B$29)))</f>
        <v/>
      </c>
      <c r="E498">
        <f>INDEX(FactorTable!$B$2:$Y$301, MATCH(ROUND(MIN(300,MAX(1,D498)),0), FactorTable!$A$2:$A$301,0), Skills!L18+1)</f>
        <v/>
      </c>
      <c r="F498">
        <f>IF(Skills!M18=TRUE,(Skills!K18/10)*(E498/1000),Skills!K18/10)+Skills!N18</f>
        <v/>
      </c>
      <c r="G498">
        <f>Calc!G18</f>
        <v/>
      </c>
      <c r="H498">
        <f>Calc!H18</f>
        <v/>
      </c>
      <c r="I498">
        <f>IF(Skills!T18&lt;&gt;"",1+(Skills!T18/10)*(Z483/1000)/100,1)</f>
        <v/>
      </c>
      <c r="J498" t="inlineStr"/>
      <c r="K498" t="inlineStr"/>
      <c r="L498" t="inlineStr"/>
      <c r="M498" t="inlineStr"/>
      <c r="N498" t="inlineStr"/>
      <c r="O498">
        <f>(1-Summary!$B$11)*S498+Summary!$B$11*U498</f>
        <v/>
      </c>
      <c r="P498">
        <f>IF(B517=0,0,O498/B517)</f>
        <v/>
      </c>
      <c r="Q498">
        <f>IFERROR(1/(IF(Inputs!$B$38="pvp",15,MAX(0.1,Skills!D18-IF(TRUE=TRUE,Inputs!$B$32,0)))*(1-IF(AND(ArtifactsInput!$M$27,Inputs!$B$4="Chapter Hunt"),CHOOSE(ArtifactsInput!$N$27+1,20,24,28,32,36,40),0)/100)),0)</f>
        <v/>
      </c>
      <c r="R498" t="n">
        <v>0</v>
      </c>
      <c r="S498" t="n">
        <v>0</v>
      </c>
      <c r="U498" t="n">
        <v>0</v>
      </c>
    </row>
    <row r="499">
      <c r="A499">
        <f>Skills!A19</f>
        <v/>
      </c>
      <c r="B499">
        <f>Skills!B19</f>
        <v/>
      </c>
      <c r="C499">
        <f>Inputs!$B$3&gt;=50</f>
        <v/>
      </c>
      <c r="D499">
        <f>IF(Skills!C19=1,60+Inputs!$B$25+Inputs!$B$29,IF(Skills!C19=2,90+Inputs!$B$26+Inputs!$B$29,IF(Skills!C19=3,120+Inputs!$B$27+Inputs!$B$29,MAX(0,(Inputs!$B$3-100)*3)+Inputs!$B$28+Inputs!$B$29)))</f>
        <v/>
      </c>
      <c r="E499">
        <f>INDEX(FactorTable!$B$2:$Y$301, MATCH(ROUND(MIN(300,MAX(1,D499)),0), FactorTable!$A$2:$A$301,0), Skills!L19+1)</f>
        <v/>
      </c>
      <c r="F499">
        <f>IF(Skills!M19=TRUE,(Skills!K19/10)*(E499/1000),Skills!K19/10)+Skills!N19</f>
        <v/>
      </c>
      <c r="G499">
        <f>Calc!G19</f>
        <v/>
      </c>
      <c r="H499">
        <f>Calc!H19</f>
        <v/>
      </c>
      <c r="I499">
        <f>IF(Skills!T19&lt;&gt;"",1+(Skills!T19/10)*(Z483/1000)/100,1)</f>
        <v/>
      </c>
      <c r="J499" t="inlineStr"/>
      <c r="K499" t="inlineStr"/>
      <c r="L499" t="inlineStr"/>
      <c r="M499" t="inlineStr"/>
      <c r="N499" t="inlineStr"/>
      <c r="O499">
        <f>(1-Summary!$B$11)*S499+Summary!$B$11*U499</f>
        <v/>
      </c>
      <c r="P499">
        <f>IF(B517=0,0,O499/B517)</f>
        <v/>
      </c>
      <c r="Q499">
        <f>IFERROR(1/(IF(Inputs!$B$38="pvp",15,MAX(0.1,Skills!D19-IF(TRUE=TRUE,Inputs!$B$32,0)))*(1-IF(AND(ArtifactsInput!$M$27,Inputs!$B$4="Chapter Hunt"),CHOOSE(ArtifactsInput!$N$27+1,20,24,28,32,36,40),0)/100)),0)</f>
        <v/>
      </c>
      <c r="R499" t="n">
        <v>0</v>
      </c>
      <c r="S499" t="n">
        <v>0</v>
      </c>
      <c r="U499" t="n">
        <v>0</v>
      </c>
    </row>
    <row r="500">
      <c r="A500">
        <f>Skills!A20</f>
        <v/>
      </c>
      <c r="B500">
        <f>Skills!B20</f>
        <v/>
      </c>
      <c r="C500">
        <f>Inputs!$B$3&gt;=74</f>
        <v/>
      </c>
      <c r="D500">
        <f>IF(Skills!C20=1,60+Inputs!$B$25+Inputs!$B$29,IF(Skills!C20=2,90+Inputs!$B$26+Inputs!$B$29,IF(Skills!C20=3,120+Inputs!$B$27+Inputs!$B$29,MAX(0,(Inputs!$B$3-100)*3)+Inputs!$B$28+Inputs!$B$29)))</f>
        <v/>
      </c>
      <c r="E500">
        <f>INDEX(FactorTable!$B$2:$Y$301, MATCH(ROUND(MIN(300,MAX(1,D500)),0), FactorTable!$A$2:$A$301,0), Skills!L20+1)</f>
        <v/>
      </c>
      <c r="F500">
        <f>IF(Skills!M20=TRUE,(Skills!K20/10)*(E500/1000),Skills!K20/10)+Skills!N20</f>
        <v/>
      </c>
      <c r="G500">
        <f>Calc!G20</f>
        <v/>
      </c>
      <c r="H500">
        <f>Calc!H20</f>
        <v/>
      </c>
      <c r="I500">
        <f>IF(Skills!T20&lt;&gt;"",1+(Skills!T20/10)*(Z483/1000)/100,1)</f>
        <v/>
      </c>
      <c r="J500" t="inlineStr"/>
      <c r="K500" t="inlineStr"/>
      <c r="L500" t="inlineStr"/>
      <c r="M500" t="inlineStr"/>
      <c r="N500" t="inlineStr"/>
      <c r="O500">
        <f>(1-Summary!$B$11)*S500+Summary!$B$11*U500</f>
        <v/>
      </c>
      <c r="P500">
        <f>IF(B517=0,0,O500/B517)</f>
        <v/>
      </c>
      <c r="Q500">
        <f>IFERROR(1/(IF(Inputs!$B$38="pvp",15,MAX(0.1,Skills!D20-IF(TRUE=TRUE,Inputs!$B$32,0)))*(1-IF(AND(ArtifactsInput!$M$27,Inputs!$B$4="Chapter Hunt"),CHOOSE(ArtifactsInput!$N$27+1,20,24,28,32,36,40),0)/100)),0)</f>
        <v/>
      </c>
      <c r="R500" t="n">
        <v>0</v>
      </c>
      <c r="S500" t="n">
        <v>0</v>
      </c>
      <c r="U500" t="n">
        <v>0</v>
      </c>
    </row>
    <row r="501">
      <c r="A501">
        <f>Skills!A21</f>
        <v/>
      </c>
      <c r="B501">
        <f>Skills!B21</f>
        <v/>
      </c>
      <c r="C501">
        <f>Inputs!$B$3&gt;=74</f>
        <v/>
      </c>
      <c r="D501">
        <f>IF(Skills!C21=1,60+Inputs!$B$25+Inputs!$B$29,IF(Skills!C21=2,90+Inputs!$B$26+Inputs!$B$29,IF(Skills!C21=3,120+Inputs!$B$27+Inputs!$B$29,MAX(0,(Inputs!$B$3-100)*3)+Inputs!$B$28+Inputs!$B$29)))</f>
        <v/>
      </c>
      <c r="E501">
        <f>INDEX(FactorTable!$B$2:$Y$301, MATCH(ROUND(MIN(300,MAX(1,D501)),0), FactorTable!$A$2:$A$301,0), Skills!L21+1)</f>
        <v/>
      </c>
      <c r="F501">
        <f>IF(Skills!M21=TRUE,(Skills!K21/10)*(E501/1000),Skills!K21/10)+Skills!N21</f>
        <v/>
      </c>
      <c r="G501">
        <f>Calc!G21</f>
        <v/>
      </c>
      <c r="H501">
        <f>Calc!H21</f>
        <v/>
      </c>
      <c r="I501">
        <f>IF(Skills!T21&lt;&gt;"",1+(Skills!T21/10)*(Z483/1000)/100,1)</f>
        <v/>
      </c>
      <c r="J501" t="inlineStr"/>
      <c r="K501" t="inlineStr"/>
      <c r="L501" t="inlineStr"/>
      <c r="M501" t="inlineStr"/>
      <c r="N501" t="inlineStr"/>
      <c r="O501">
        <f>(1-Summary!$B$11)*S501+Summary!$B$11*U501</f>
        <v/>
      </c>
      <c r="P501">
        <f>IF(B517=0,0,O501/B517)</f>
        <v/>
      </c>
      <c r="Q501">
        <f>IFERROR(1/(IF(Inputs!$B$38="pvp",15,MAX(0.1,Skills!D21-IF(TRUE=TRUE,Inputs!$B$32,0)))*(1-IF(AND(ArtifactsInput!$M$27,Inputs!$B$4="Chapter Hunt"),CHOOSE(ArtifactsInput!$N$27+1,20,24,28,32,36,40),0)/100)),0)</f>
        <v/>
      </c>
      <c r="R501" t="n">
        <v>0</v>
      </c>
      <c r="S501" t="n">
        <v>0</v>
      </c>
      <c r="U501" t="n">
        <v>0</v>
      </c>
    </row>
    <row r="502">
      <c r="A502">
        <f>Skills!A22</f>
        <v/>
      </c>
      <c r="B502">
        <f>Skills!B22</f>
        <v/>
      </c>
      <c r="C502">
        <f>Inputs!$B$3&gt;=117</f>
        <v/>
      </c>
      <c r="D502">
        <f>IF(Skills!C22=1,60+Inputs!$B$25+Inputs!$B$29,IF(Skills!C22=2,90+Inputs!$B$26+Inputs!$B$29,IF(Skills!C22=3,120+Inputs!$B$27+Inputs!$B$29,MAX(0,(Inputs!$B$3-100)*3)+Inputs!$B$28+Inputs!$B$29)))</f>
        <v/>
      </c>
      <c r="E502">
        <f>INDEX(FactorTable!$B$2:$Y$301, MATCH(ROUND(MIN(300,MAX(1,D502)),0), FactorTable!$A$2:$A$301,0), Skills!L22+1)</f>
        <v/>
      </c>
      <c r="F502">
        <f>IF(Skills!M22=TRUE,(Skills!K22/10)*(E502/1000),Skills!K22/10)+Skills!N22</f>
        <v/>
      </c>
      <c r="G502">
        <f>Calc!G22</f>
        <v/>
      </c>
      <c r="H502">
        <f>Calc!H22</f>
        <v/>
      </c>
      <c r="I502">
        <f>IF(Skills!T22&lt;&gt;"",1+(Skills!T22/10)*(Z483/1000)/100,1)</f>
        <v/>
      </c>
      <c r="J502" t="inlineStr"/>
      <c r="K502" t="inlineStr"/>
      <c r="L502" t="inlineStr"/>
      <c r="M502" t="inlineStr"/>
      <c r="N502" t="inlineStr"/>
      <c r="O502">
        <f>(1-Summary!$B$11)*S502+Summary!$B$11*U502</f>
        <v/>
      </c>
      <c r="P502">
        <f>IF(B517=0,0,O502/B517)</f>
        <v/>
      </c>
      <c r="Q502">
        <f>IFERROR(1/(IF(Inputs!$B$38="pvp",15,MAX(0.1,Skills!D22-IF(TRUE=TRUE,Inputs!$B$32,0)))*(1-IF(AND(ArtifactsInput!$M$27,Inputs!$B$4="Chapter Hunt"),CHOOSE(ArtifactsInput!$N$27+1,20,24,28,32,36,40),0)/100)),0)</f>
        <v/>
      </c>
      <c r="R502" t="n">
        <v>0</v>
      </c>
      <c r="S502" t="n">
        <v>0</v>
      </c>
      <c r="U502" t="n">
        <v>0</v>
      </c>
    </row>
    <row r="503">
      <c r="A503">
        <f>Skills!A23</f>
        <v/>
      </c>
      <c r="B503">
        <f>Skills!B23</f>
        <v/>
      </c>
      <c r="C503">
        <f>Inputs!$B$3&gt;=120</f>
        <v/>
      </c>
      <c r="D503">
        <f>IF(Skills!C23=1,60+Inputs!$B$25+Inputs!$B$29,IF(Skills!C23=2,90+Inputs!$B$26+Inputs!$B$29,IF(Skills!C23=3,120+Inputs!$B$27+Inputs!$B$29,MAX(0,(Inputs!$B$3-100)*3)+Inputs!$B$28+Inputs!$B$29)))</f>
        <v/>
      </c>
      <c r="E503">
        <f>INDEX(FactorTable!$B$2:$Y$301, MATCH(ROUND(MIN(300,MAX(1,D503)),0), FactorTable!$A$2:$A$301,0), Skills!L23+1)</f>
        <v/>
      </c>
      <c r="F503">
        <f>IF(Skills!M23=TRUE,(Skills!K23/10)*(E503/1000),Skills!K23/10)+Skills!N23</f>
        <v/>
      </c>
      <c r="G503">
        <f>Calc!G23</f>
        <v/>
      </c>
      <c r="H503">
        <f>Calc!H23</f>
        <v/>
      </c>
      <c r="I503">
        <f>IF(Skills!T23&lt;&gt;"",1+(Skills!T23/10)*(Z483/1000)/100,1)</f>
        <v/>
      </c>
      <c r="J503" t="inlineStr"/>
      <c r="K503" t="inlineStr"/>
      <c r="L503" t="inlineStr"/>
      <c r="M503" t="inlineStr"/>
      <c r="N503" t="inlineStr"/>
      <c r="O503">
        <f>(1-Summary!$B$11)*S503+Summary!$B$11*U503</f>
        <v/>
      </c>
      <c r="P503">
        <f>IF(B517=0,0,O503/B517)</f>
        <v/>
      </c>
      <c r="Q503">
        <f>IFERROR(1/(IF(Inputs!$B$38="pvp",15,MAX(0.1,Skills!D23-IF(TRUE=TRUE,Inputs!$B$32,0)))*(1-IF(AND(ArtifactsInput!$M$27,Inputs!$B$4="Chapter Hunt"),CHOOSE(ArtifactsInput!$N$27+1,20,24,28,32,36,40),0)/100)),0)</f>
        <v/>
      </c>
      <c r="R503" t="n">
        <v>0</v>
      </c>
      <c r="S503" t="n">
        <v>0</v>
      </c>
      <c r="U503" t="n">
        <v>0</v>
      </c>
    </row>
    <row r="504">
      <c r="A504">
        <f>Skills!A24</f>
        <v/>
      </c>
      <c r="B504">
        <f>Skills!B24</f>
        <v/>
      </c>
      <c r="C504">
        <f>TRUE</f>
        <v/>
      </c>
      <c r="D504">
        <f>IF(Skills!C24=1,60+Inputs!$B$25+Inputs!$B$29,IF(Skills!C24=2,90+Inputs!$B$26+Inputs!$B$29,IF(Skills!C24=3,120+Inputs!$B$27+Inputs!$B$29,MAX(0,(Inputs!$B$3-100)*3)+Inputs!$B$28+Inputs!$B$29)))</f>
        <v/>
      </c>
      <c r="E504">
        <f>INDEX(FactorTable!$B$2:$Y$301, MATCH(ROUND(MIN(300,MAX(1,D504)),0), FactorTable!$A$2:$A$301,0), Skills!L24+1)</f>
        <v/>
      </c>
      <c r="F504">
        <f>IF(Skills!M24=TRUE,(Skills!K24/10)*(E504/1000),Skills!K24/10)+Skills!N24</f>
        <v/>
      </c>
      <c r="G504">
        <f>Calc!G24</f>
        <v/>
      </c>
      <c r="H504">
        <f>Calc!H24</f>
        <v/>
      </c>
      <c r="I504">
        <f>IF(Skills!T24&lt;&gt;"",1+(Skills!T24/10)*(Z483/1000)/100,1)</f>
        <v/>
      </c>
      <c r="J504" t="inlineStr"/>
      <c r="K504" t="inlineStr"/>
      <c r="L504" t="inlineStr"/>
      <c r="M504" t="inlineStr"/>
      <c r="N504" t="inlineStr"/>
      <c r="O504">
        <f>(1-Summary!$B$11)*S504+Summary!$B$11*U504</f>
        <v/>
      </c>
      <c r="P504">
        <f>IF(B517=0,0,O504/B517)</f>
        <v/>
      </c>
      <c r="Q504">
        <f>IFERROR(1/(IF(Inputs!$B$38="pvp",15,MAX(0.1,Skills!D24-IF(TRUE=TRUE,Inputs!$B$32,0)))*(1-IF(AND(ArtifactsInput!$M$27,Inputs!$B$4="Chapter Hunt"),CHOOSE(ArtifactsInput!$N$27+1,20,24,28,32,36,40),0)/100)),0)</f>
        <v/>
      </c>
      <c r="R504">
        <f>IF(AND(Inputs!$B$38&lt;&gt;"pvp",Inputs!$B$43&gt;0),IF(Inputs!$B$43&lt;=0,0,(INT(Inputs!$B$43/(IF(Inputs!$B$38="pvp",15,MAX(0.1,Skills!D24-IF(TRUE=TRUE,Inputs!$B$32,0)))*(1-IF(AND(ArtifactsInput!$M$27,Inputs!$B$4="Chapter Hunt"),CHOOSE(ArtifactsInput!$N$27+1,20,24,28,32,36,40),0)/100)))+1)),0)</f>
        <v/>
      </c>
      <c r="S504" t="n">
        <v>0</v>
      </c>
      <c r="U504" t="n">
        <v>0</v>
      </c>
    </row>
    <row r="507">
      <c r="A507" t="inlineStr">
        <is>
          <t>Average Buff Multiplier (Magic Guard + Meditation + Artifact Attack%, summed; then Infinity)</t>
        </is>
      </c>
      <c r="B507">
        <f>(1+(IF(C483=TRUE,F483*IF(AND(Inputs!$B$38&lt;&gt;"pvp",Inputs!$B$43&gt;0),(((R483-1)*MIN((Skills!S3*(1+(Inputs!$B$34)/100)),(1/Q483))+MIN((Skills!S3*(1+(Inputs!$B$34)/100)),MAX(0,Inputs!$B$43-((R483-1)*(1/Q483)))))/Inputs!$B$43),IF(Inputs!$B$38="pvp",MIN((Skills!S3*(1+(Inputs!$B$34)/100)),15)/15,MIN(1,(Skills!S3*(1+(Inputs!$B$34)/100))/(1/Q483)))),0)+IF(C484=TRUE,F484*IF(AND(Inputs!$B$38&lt;&gt;"pvp",Inputs!$B$43&gt;0),(((R484-1)*MIN((Skills!S4*(1+(Inputs!$B$34)/100)),(1/Q484))+MIN((Skills!S4*(1+(Inputs!$B$34)/100)),MAX(0,Inputs!$B$43-((R484-1)*(1/Q484)))))/Inputs!$B$43),IF(Inputs!$B$38="pvp",MIN((Skills!S4*(1+(Inputs!$B$34)/100)),15)/15,MIN(1,(Skills!S4*(1+(Inputs!$B$34)/100))/(1/Q484)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496=TRUE,(1+F496*IF(AND(Inputs!$B$38&lt;&gt;"pvp",Inputs!$B$43&gt;0),(((R496-1)*MIN((Skills!S16*(1+(Inputs!$B$34)/100)),(1/Q496))+MIN((Skills!S16*(1+(Inputs!$B$34)/100)),MAX(0,Inputs!$B$43-((R496-1)*(1/Q496)))))/Inputs!$B$43),IF(Inputs!$B$38="pvp",MIN((Skills!S16*(1+(Inputs!$B$34)/100)),15)/15,MIN(1,(Skills!S16*(1+(Inputs!$B$34)/100))/(1/Q496))))/100),1)</f>
        <v/>
      </c>
    </row>
    <row r="508">
      <c r="A508" t="inlineStr">
        <is>
          <t>Monster Damage Taken Bonus % (Freezing Breath - Weaken + Elemental Reset + Artifact Enemy Damage Taken, summed)</t>
        </is>
      </c>
      <c r="B508">
        <f>IF(Inputs!$B$3&gt;=118,15*IF(Inputs!$B$38="pvp",MIN((30*(1+(Inputs!$B$34)/100)),15)/15,MIN(1,(30*(1+(Inputs!$B$34)/100))/(1/Q488))),0)+IF(C494=TRUE,F494,0)+(IF(AND(ArtifactsInput!$M$35,Inputs!$B$4&lt;&gt;"Chapter Hunt"),CHOOSE(ArtifactsInput!$N$35+1,15,18,21,24,27,30)*(1-EXP(-(0.2*B511)*5)),0)+IF(AND(ArtifactsInput!$M$22,Inputs!$B$4&lt;&gt;"Chapter Hunt"),CHOOSE(ArtifactsInput!$N$22+1,10,12,14,16,18,20)*((0*(((0.15*B511*5))^0/1)+1*(((0.15*B511*5))^1/1)+2*(((0.15*B511*5))^2/2)+3*(((0.15*B511*5))^3/6)+4*(((0.15*B511*5))^4/24)+5*(((0.15*B511*5))^5/120))/((((0.15*B511*5))^0/1)+(((0.15*B511*5))^1/1)+(((0.15*B511*5))^2/2)+(((0.15*B511*5))^3/6)+(((0.15*B511*5))^4/24)+(((0.15*B511*5))^5/120))),0))</f>
        <v/>
      </c>
    </row>
    <row r="509">
      <c r="A509" t="inlineStr">
        <is>
          <t>Damage % Bonus (Frozen Break + Frost Clutch, flat)</t>
        </is>
      </c>
      <c r="B509">
        <f>IF(Inputs!$B$3&gt;=66,15,0)+IF(Inputs!$B$3&gt;=98,10,0)+IF(Inputs!$B$3&gt;=125,20,0)</f>
        <v/>
      </c>
    </row>
    <row r="510">
      <c r="A510" t="inlineStr">
        <is>
          <t>Attack Speed Bonus % (MP Eater - MP Boost, always-on + Nimble Feet, duty-cycle averaged)</t>
        </is>
      </c>
      <c r="B510">
        <f>IF(C493=TRUE,F493+(F497-Calc!F17),0)+((C504=TRUE)*F504*IF(AND(Inputs!$B$38&lt;&gt;"pvp",Inputs!$B$43&gt;0),(((R504-1)*MIN((Skills!S24*(1+(Inputs!$B$34)/100)),(1/Q504))+MIN((Skills!S24*(1+(Inputs!$B$34)/100)),MAX(0,Inputs!$B$43-((R504-1)*(1/Q504)))))/Inputs!$B$43),IF(Inputs!$B$38="pvp",MIN((Skills!S24*(1+(Inputs!$B$34)/100)),15)/15,MIN(1,(Skills!S24*(1+(Inputs!$B$34)/100))/(1/Q504)))))</f>
        <v/>
      </c>
    </row>
    <row r="511">
      <c r="A511" t="inlineStr">
        <is>
          <t>Actions Per Second</t>
        </is>
      </c>
      <c r="B511">
        <f>1+MIN(150,150*(1-(1-(Inputs!$B$11+(ArtifactsInput!$M$15-ArtifactsInput!$M$15)*CHOOSE(ArtifactsInput!$N$15+1,8,9.6,11.2,12.8,14.4,16))/150)*(1-B510/150)))/100</f>
        <v/>
      </c>
    </row>
    <row r="512">
      <c r="A512" t="inlineStr">
        <is>
          <t>Skill + Buff Cast Rate</t>
        </is>
      </c>
      <c r="B512">
        <f>IF(AND(Inputs!$B$38&lt;&gt;"pvp",Inputs!$B$43&gt;0),SUMPRODUCT((Skills!E2:E24=TRUE)*(C482:C504=TRUE)*R482:R504)/Inputs!$B$43,SUMPRODUCT((Skills!E2:E24=TRUE)*(C482:C504=TRUE)*Q482:Q504))</f>
        <v/>
      </c>
    </row>
    <row r="513">
      <c r="A513" t="inlineStr">
        <is>
          <t>Chain Lightning Casts Per Second</t>
        </is>
      </c>
      <c r="B513">
        <f>MAX(0,B511-B512)</f>
        <v/>
      </c>
    </row>
    <row r="514">
      <c r="A514" t="inlineStr">
        <is>
          <t>Buff-Casting Startup Delay (s, fixed-duration only)</t>
        </is>
      </c>
      <c r="B514">
        <f>IF(AND(Inputs!$B$38&lt;&gt;"pvp",Inputs!$B$43&gt;0),SUMPRODUCT((Skills!S2:S24&gt;0)*(Skills!E2:E24=TRUE)*(C482:C504=TRUE))/B511,0)</f>
        <v/>
      </c>
    </row>
    <row r="515">
      <c r="A515" t="inlineStr">
        <is>
          <t>Boss-Only Total DPS (this block's swept value)</t>
        </is>
      </c>
      <c r="B515">
        <f>SUM(S482:S504)</f>
        <v/>
      </c>
    </row>
    <row r="516">
      <c r="A516" t="inlineStr">
        <is>
          <t>Normal-Only Total DPS (this block's swept value)</t>
        </is>
      </c>
      <c r="B516">
        <f>SUM(U482:U504)</f>
        <v/>
      </c>
    </row>
    <row r="517">
      <c r="A517" s="6" t="inlineStr">
        <is>
          <t>TOTAL DPS</t>
        </is>
      </c>
      <c r="B517" s="6">
        <f>SUM(O482:O504)</f>
        <v/>
      </c>
    </row>
    <row r="518">
      <c r="A518" t="inlineStr">
        <is>
          <t>Blizzard Final Attack trigger rate (this block's own Q/R)</t>
        </is>
      </c>
      <c r="B518">
        <f>IF(AND(Inputs!$B$38&lt;&gt;"pvp",Inputs!$B$43&gt;0),(((C485=TRUE)*R485*1)+((C486=TRUE)*R486*1)+((C488=TRUE)*R488*1)+((C489=TRUE)*R489*3)+((C491=TRUE)*R491*1))/Inputs!$B$43,((C485=TRUE)*Q485*1)+((C486=TRUE)*Q486*1)+((C488=TRUE)*Q488*1)+((C489=TRUE)*Q489*3)+((C491=TRUE)*Q491*1))+B513</f>
        <v/>
      </c>
    </row>
    <row r="521">
      <c r="A521" s="6" t="inlineStr">
        <is>
          <t>Stat: ATTACK_SPEED % (diminishing returns, factor 150)</t>
        </is>
      </c>
    </row>
    <row r="522">
      <c r="A522" s="5" t="inlineStr">
        <is>
          <t>Key</t>
        </is>
      </c>
      <c r="B522" s="5" t="inlineStr">
        <is>
          <t>Name</t>
        </is>
      </c>
      <c r="C522" s="5" t="inlineStr">
        <is>
          <t>Unlocked</t>
        </is>
      </c>
      <c r="D522" s="5" t="inlineStr">
        <is>
          <t>InputLevel</t>
        </is>
      </c>
      <c r="E522" s="5" t="inlineStr">
        <is>
          <t>Factor</t>
        </is>
      </c>
      <c r="F522" s="5" t="inlineStr">
        <is>
          <t>CoefficientPercent</t>
        </is>
      </c>
      <c r="G522" s="5" t="inlineStr">
        <is>
          <t>EffectiveHits</t>
        </is>
      </c>
      <c r="H522" s="5" t="inlineStr">
        <is>
          <t>ProcProbability</t>
        </is>
      </c>
      <c r="I522" s="5" t="inlineStr">
        <is>
          <t>MapleHeroMultiplier</t>
        </is>
      </c>
      <c r="J522" s="5" t="inlineStr">
        <is>
          <t>BaseDamage</t>
        </is>
      </c>
      <c r="K522" s="5" t="inlineStr">
        <is>
          <t>BaseHitDamage</t>
        </is>
      </c>
      <c r="L522" s="5" t="inlineStr">
        <is>
          <t>NonCritAvg</t>
        </is>
      </c>
      <c r="M522" s="5" t="inlineStr">
        <is>
          <t>CritAvg</t>
        </is>
      </c>
      <c r="N522" s="5" t="inlineStr">
        <is>
          <t>ExpectedDamage(perHit)</t>
        </is>
      </c>
      <c r="O522" s="5" t="inlineStr">
        <is>
          <t>DPS</t>
        </is>
      </c>
      <c r="P522" s="5" t="inlineStr">
        <is>
          <t>% of Total</t>
        </is>
      </c>
      <c r="R522" t="inlineStr">
        <is>
          <t>helpers</t>
        </is>
      </c>
    </row>
    <row r="523">
      <c r="A523">
        <f>Skills!A2</f>
        <v/>
      </c>
      <c r="B523">
        <f>Skills!B2</f>
        <v/>
      </c>
      <c r="C523">
        <f>Inputs!$B$3&gt;=100</f>
        <v/>
      </c>
      <c r="D523" t="inlineStr"/>
      <c r="E523" t="inlineStr"/>
      <c r="F523">
        <f>T525+Skills!N2</f>
        <v/>
      </c>
      <c r="G523">
        <f>Calc!G2</f>
        <v/>
      </c>
      <c r="H523">
        <f>Calc!H2</f>
        <v/>
      </c>
      <c r="I523">
        <f>IF(Skills!T2&lt;&gt;"",1+(Skills!T2/10)*(Z524/1000)/100,1)</f>
        <v/>
      </c>
      <c r="J523">
        <f>((Inputs!$B$6*(1+Inputs!$B$7/100))+(((Inputs!$B$12*(1+Inputs!$B$13/100))-(Inputs!$B$12*(1+Inputs!$B$13/100)))+0.25*(Inputs!$B$14-Inputs!$B$14))*(1+Inputs!$B$7/100))*(F523/100)</f>
        <v/>
      </c>
      <c r="K523">
        <f>J523*(1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2="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523)</f>
        <v/>
      </c>
      <c r="L523">
        <f>K523*(MIN(Inputs!$B$22+(F539-Calc!F18),(Inputs!$B$23+(IF(ArtifactsInput!$M$15,CHOOSE(ArtifactsInput!$N$15+1,25,30,35,40,45,50)/100*(((1-(1-Inputs!$B$11/150)*(1-1/150))*150)-Inputs!$B$11),0))))/100+(Inputs!$B$23+(IF(ArtifactsInput!$M$15,CHOOSE(ArtifactsInput!$N$15+1,25,30,35,40,45,50)/100*(((1-(1-Inputs!$B$11/150)*(1-1/150))*150)-Inputs!$B$11),0)))/100)/2</f>
        <v/>
      </c>
      <c r="M523">
        <f>L523*(1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3">
        <f>L523*(1-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523*(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3">
        <f>(1-Summary!$B$11)*S523+Summary!$B$11*U523</f>
        <v/>
      </c>
      <c r="P523">
        <f>IF(B558=0,0,O523/B558)</f>
        <v/>
      </c>
      <c r="Q523">
        <f>IFERROR(1/(IF(Inputs!$B$38="pvp",15,MAX(0.1,Skills!D2-IF(TRUE=TRUE,Inputs!$B$32,0)))*(1-IF(AND(ArtifactsInput!$M$27,Inputs!$B$4="Chapter Hunt"),CHOOSE(ArtifactsInput!$N$27+1,20,24,28,32,36,40),0)/100)),0)</f>
        <v/>
      </c>
      <c r="R523" t="n">
        <v>0</v>
      </c>
      <c r="S523">
        <f>IF(C523,(Skills!F2*N523*B554)*IF(Inputs!$B$38="pvp",1,1+(Inputs!$B$20+Skills!O2+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523*(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523*(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23">
        <f>MAX(0,(Inputs!$B$3-100)*3)+Inputs!$B$28+Inputs!$B$29</f>
        <v/>
      </c>
      <c r="U523">
        <f>IF(C523,(Skills!F2*N523*B554)*IF(Inputs!$B$38="pvp",1,(1+(Inputs!$B$21+Skills!P2+B549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523">
        <f>MAX(0,(Inputs!$B$3-100)*3)+Inputs!$B$28+Inputs!$B$29</f>
        <v/>
      </c>
    </row>
    <row r="524">
      <c r="A524">
        <f>Skills!A3</f>
        <v/>
      </c>
      <c r="B524">
        <f>Skills!B3</f>
        <v/>
      </c>
      <c r="C524">
        <f>Inputs!$B$3&gt;=15</f>
        <v/>
      </c>
      <c r="D524">
        <f>IF(Skills!C3=1,60+Inputs!$B$25+Inputs!$B$29,IF(Skills!C3=2,90+Inputs!$B$26+Inputs!$B$29,IF(Skills!C3=3,120+Inputs!$B$27+Inputs!$B$29,MAX(0,(Inputs!$B$3-100)*3)+Inputs!$B$28+Inputs!$B$29)))</f>
        <v/>
      </c>
      <c r="E524">
        <f>INDEX(FactorTable!$B$2:$Y$301, MATCH(ROUND(MIN(300,MAX(1,D524)),0), FactorTable!$A$2:$A$301,0), Skills!L3+1)</f>
        <v/>
      </c>
      <c r="F524">
        <f>IF(Skills!M3=TRUE,(Skills!K3/10)*(E524/1000),Skills!K3/10)+Skills!N3</f>
        <v/>
      </c>
      <c r="G524">
        <f>Calc!G3</f>
        <v/>
      </c>
      <c r="H524">
        <f>Calc!H3</f>
        <v/>
      </c>
      <c r="I524">
        <f>IF(Skills!T3&lt;&gt;"",1+(Skills!T3/10)*(Z524/1000)/100,1)</f>
        <v/>
      </c>
      <c r="J524" t="inlineStr"/>
      <c r="K524" t="inlineStr"/>
      <c r="L524" t="inlineStr"/>
      <c r="M524" t="inlineStr"/>
      <c r="N524" t="inlineStr"/>
      <c r="O524">
        <f>(1-Summary!$B$11)*S524+Summary!$B$11*U524</f>
        <v/>
      </c>
      <c r="P524">
        <f>IF(B558=0,0,O524/B558)</f>
        <v/>
      </c>
      <c r="Q524">
        <f>IFERROR(1/(IF(Inputs!$B$38="pvp",15,MAX(0.1,Skills!D3-IF(TRUE=TRUE,Inputs!$B$32,0)))*(1-IF(AND(ArtifactsInput!$M$27,Inputs!$B$4="Chapter Hunt"),CHOOSE(ArtifactsInput!$N$27+1,20,24,28,32,36,40),0)/100)),0)</f>
        <v/>
      </c>
      <c r="R524">
        <f>IF(AND(Inputs!$B$38&lt;&gt;"pvp",Inputs!$B$43&gt;0),IF(Inputs!$B$43&lt;=0,0,(INT(Inputs!$B$43/(IF(Inputs!$B$38="pvp",15,MAX(0.1,Skills!D3-IF(TRUE=TRUE,Inputs!$B$32,0)))*(1-IF(AND(ArtifactsInput!$M$27,Inputs!$B$4="Chapter Hunt"),CHOOSE(ArtifactsInput!$N$27+1,20,24,28,32,36,40),0)/100)))+1)),0)</f>
        <v/>
      </c>
      <c r="S524" t="n">
        <v>0</v>
      </c>
      <c r="T524">
        <f>INDEX(FactorTable!$B$2:$Y$301, MATCH(ROUND(MIN(300,MAX(1,T523)),0), FactorTable!$A$2:$A$301,0), 22)</f>
        <v/>
      </c>
      <c r="U524" t="n">
        <v>0</v>
      </c>
      <c r="Z524">
        <f>INDEX(FactorTable!$B$2:$Y$301, MATCH(ROUND(MIN(300,MAX(1,Z523)),0), FactorTable!$A$2:$A$301,0), 24)</f>
        <v/>
      </c>
    </row>
    <row r="525">
      <c r="A525">
        <f>Skills!A4</f>
        <v/>
      </c>
      <c r="B525">
        <f>Skills!B4</f>
        <v/>
      </c>
      <c r="C525">
        <f>Inputs!$B$3&gt;=40</f>
        <v/>
      </c>
      <c r="D525">
        <f>IF(Skills!C4=1,60+Inputs!$B$25+Inputs!$B$29,IF(Skills!C4=2,90+Inputs!$B$26+Inputs!$B$29,IF(Skills!C4=3,120+Inputs!$B$27+Inputs!$B$29,MAX(0,(Inputs!$B$3-100)*3)+Inputs!$B$28+Inputs!$B$29)))</f>
        <v/>
      </c>
      <c r="E525">
        <f>INDEX(FactorTable!$B$2:$Y$301, MATCH(ROUND(MIN(300,MAX(1,D525)),0), FactorTable!$A$2:$A$301,0), Skills!L4+1)</f>
        <v/>
      </c>
      <c r="F525">
        <f>IF(Skills!M4=TRUE,(Skills!K4/10)*(E525/1000),Skills!K4/10)+Skills!N4</f>
        <v/>
      </c>
      <c r="G525">
        <f>Calc!G4</f>
        <v/>
      </c>
      <c r="H525">
        <f>Calc!H4</f>
        <v/>
      </c>
      <c r="I525">
        <f>IF(Skills!T4&lt;&gt;"",1+(Skills!T4/10)*(Z524/1000)/100,1)</f>
        <v/>
      </c>
      <c r="J525" t="inlineStr"/>
      <c r="K525" t="inlineStr"/>
      <c r="L525" t="inlineStr"/>
      <c r="M525" t="inlineStr"/>
      <c r="N525" t="inlineStr"/>
      <c r="O525">
        <f>(1-Summary!$B$11)*S525+Summary!$B$11*U525</f>
        <v/>
      </c>
      <c r="P525">
        <f>IF(B558=0,0,O525/B558)</f>
        <v/>
      </c>
      <c r="Q525">
        <f>IFERROR(1/(IF(Inputs!$B$38="pvp",15,MAX(0.1,Skills!D4-IF(TRUE=TRUE,Inputs!$B$32,0)))*(1-IF(AND(ArtifactsInput!$M$27,Inputs!$B$4="Chapter Hunt"),CHOOSE(ArtifactsInput!$N$27+1,20,24,28,32,36,40),0)/100)),0)</f>
        <v/>
      </c>
      <c r="R525">
        <f>IF(AND(Inputs!$B$38&lt;&gt;"pvp",Inputs!$B$43&gt;0),IF(Inputs!$B$43&lt;=0,0,(INT(Inputs!$B$43/(IF(Inputs!$B$38="pvp",15,MAX(0.1,Skills!D4-IF(TRUE=TRUE,Inputs!$B$32,0)))*(1-IF(AND(ArtifactsInput!$M$27,Inputs!$B$4="Chapter Hunt"),CHOOSE(ArtifactsInput!$N$27+1,20,24,28,32,36,40),0)/100)))+1)),0)</f>
        <v/>
      </c>
      <c r="S525" t="n">
        <v>0</v>
      </c>
      <c r="T525">
        <f>290*T524/1000</f>
        <v/>
      </c>
      <c r="U525" t="n">
        <v>0</v>
      </c>
    </row>
    <row r="526">
      <c r="A526">
        <f>Skills!A5</f>
        <v/>
      </c>
      <c r="B526">
        <f>Skills!B5</f>
        <v/>
      </c>
      <c r="C526">
        <f>Inputs!$B$3&gt;=38</f>
        <v/>
      </c>
      <c r="D526">
        <f>IF(Skills!C5=1,60+Inputs!$B$25+Inputs!$B$29,IF(Skills!C5=2,90+Inputs!$B$26+Inputs!$B$29,IF(Skills!C5=3,120+Inputs!$B$27+Inputs!$B$29,MAX(0,(Inputs!$B$3-100)*3)+Inputs!$B$28+Inputs!$B$29)))</f>
        <v/>
      </c>
      <c r="E526">
        <f>INDEX(FactorTable!$B$2:$Y$301, MATCH(ROUND(MIN(300,MAX(1,D526)),0), FactorTable!$A$2:$A$301,0), Skills!L5+1)</f>
        <v/>
      </c>
      <c r="F526">
        <f>IF(Skills!M5=TRUE,(Skills!K5/10)*(E526/1000),Skills!K5/10)+Skills!N5</f>
        <v/>
      </c>
      <c r="G526">
        <f>Calc!G5</f>
        <v/>
      </c>
      <c r="H526">
        <f>Calc!H5</f>
        <v/>
      </c>
      <c r="I526">
        <f>IF(Skills!T5&lt;&gt;"",1+(Skills!T5/10)*(Z524/1000)/100,1)</f>
        <v/>
      </c>
      <c r="J526">
        <f>((Inputs!$B$6*(1+Inputs!$B$7/100))+(((Inputs!$B$12*(1+Inputs!$B$13/100))-(Inputs!$B$12*(1+Inputs!$B$13/100)))+0.25*(Inputs!$B$14-Inputs!$B$14))*(1+Inputs!$B$7/100))*(F526/100)</f>
        <v/>
      </c>
      <c r="K526">
        <f>J526*(1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5="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526)</f>
        <v/>
      </c>
      <c r="L526">
        <f>K526*(MIN(Inputs!$B$22+(F539-Calc!F18),(Inputs!$B$23+(IF(ArtifactsInput!$M$15,CHOOSE(ArtifactsInput!$N$15+1,25,30,35,40,45,50)/100*(((1-(1-Inputs!$B$11/150)*(1-1/150))*150)-Inputs!$B$11),0))))/100+(Inputs!$B$23+(IF(ArtifactsInput!$M$15,CHOOSE(ArtifactsInput!$N$15+1,25,30,35,40,45,50)/100*(((1-(1-Inputs!$B$11/150)*(1-1/150))*150)-Inputs!$B$11),0)))/100)/2</f>
        <v/>
      </c>
      <c r="M526">
        <f>L526*(1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6">
        <f>L526*(1-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526*(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6">
        <f>(1-Summary!$B$11)*S526+Summary!$B$11*U526</f>
        <v/>
      </c>
      <c r="P526">
        <f>IF(B558=0,0,O526/B558)</f>
        <v/>
      </c>
      <c r="Q526">
        <f>IFERROR(1/(IF(Inputs!$B$38="pvp",15,MAX(0.1,Skills!D5-IF(TRUE=TRUE,Inputs!$B$32,0)))*(1-IF(AND(ArtifactsInput!$M$27,Inputs!$B$4="Chapter Hunt"),CHOOSE(ArtifactsInput!$N$27+1,20,24,28,32,36,40),0)/100)),0)</f>
        <v/>
      </c>
      <c r="R526">
        <f>IF(AND(Inputs!$B$38&lt;&gt;"pvp",Inputs!$B$43&gt;0),IF(MAX(0,Inputs!$B$43-B555)&lt;=0,0,(INT(MAX(0,Inputs!$B$43-B555)/(IF(Inputs!$B$38="pvp",15,MAX(0.1,Skills!D5-IF(TRUE=TRUE,Inputs!$B$32,0)))*(1-IF(AND(ArtifactsInput!$M$27,Inputs!$B$4="Chapter Hunt"),CHOOSE(ArtifactsInput!$N$27+1,20,24,28,32,36,40),0)/100)))+1)),0)</f>
        <v/>
      </c>
      <c r="S526">
        <f>IF(C526,(H526*N526*IF(AND(Inputs!$B$38&lt;&gt;"pvp",Inputs!$B$43&gt;0),((Skills!F5*((R526-1)*IF(Skills!G5&gt;0,Skills!H5/Skills!G5,1)+IF(Skills!G5&gt;0,MIN(Skills!H5,MAX(0,MAX(0,Inputs!$B$43-B555)-((R526-1)*(IF(Inputs!$B$38="pvp",15,MAX(0.1,Skills!D5-IF(TRUE=TRUE,Inputs!$B$32,0)))*(1-IF(AND(ArtifactsInput!$M$27,Inputs!$B$4="Chapter Hunt"),CHOOSE(ArtifactsInput!$N$27+1,20,24,28,32,36,40),0)/100)))))/Skills!G5,1)))/Inputs!$B$43),G526*Q526))*IF(Inputs!$B$38="pvp",1,1+(Inputs!$B$20+Skills!O5+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526*(1-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526*(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526*(1-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526*(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6">
        <f>IF(C526,(H526*N526*IF(AND(Inputs!$B$38&lt;&gt;"pvp",Inputs!$B$43&gt;0),((Skills!F5*((R526-1)*IF(Skills!G5&gt;0,Skills!H5/Skills!G5,1)+IF(Skills!G5&gt;0,MIN(Skills!H5,MAX(0,MAX(0,Inputs!$B$43-B555)-((R526-1)*(IF(Inputs!$B$38="pvp",15,MAX(0.1,Skills!D5-IF(TRUE=TRUE,Inputs!$B$32,0)))*(1-IF(AND(ArtifactsInput!$M$27,Inputs!$B$4="Chapter Hunt"),CHOOSE(ArtifactsInput!$N$27+1,20,24,28,32,36,40),0)/100)))))/Skills!G5,1)))/Inputs!$B$43),G526*Q526))*IF(Inputs!$B$38="pvp",1,(1+(Inputs!$B$21+Skills!P5+B549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7">
      <c r="A527">
        <f>Skills!A6</f>
        <v/>
      </c>
      <c r="B527">
        <f>Skills!B6</f>
        <v/>
      </c>
      <c r="C527">
        <f>Inputs!$B$3&gt;=63</f>
        <v/>
      </c>
      <c r="D527">
        <f>IF(Skills!C6=1,60+Inputs!$B$25+Inputs!$B$29,IF(Skills!C6=2,90+Inputs!$B$26+Inputs!$B$29,IF(Skills!C6=3,120+Inputs!$B$27+Inputs!$B$29,MAX(0,(Inputs!$B$3-100)*3)+Inputs!$B$28+Inputs!$B$29)))</f>
        <v/>
      </c>
      <c r="E527">
        <f>INDEX(FactorTable!$B$2:$Y$301, MATCH(ROUND(MIN(300,MAX(1,D527)),0), FactorTable!$A$2:$A$301,0), Skills!L6+1)</f>
        <v/>
      </c>
      <c r="F527">
        <f>IF(Skills!M6=TRUE,(Skills!K6/10)*(E527/1000),Skills!K6/10)+Skills!N6</f>
        <v/>
      </c>
      <c r="G527">
        <f>Calc!G6</f>
        <v/>
      </c>
      <c r="H527">
        <f>Calc!H6</f>
        <v/>
      </c>
      <c r="I527">
        <f>IF(Skills!T6&lt;&gt;"",1+(Skills!T6/10)*(Z524/1000)/100,1)</f>
        <v/>
      </c>
      <c r="J527">
        <f>((Inputs!$B$6*(1+Inputs!$B$7/100))+(((Inputs!$B$12*(1+Inputs!$B$13/100))-(Inputs!$B$12*(1+Inputs!$B$13/100)))+0.25*(Inputs!$B$14-Inputs!$B$14))*(1+Inputs!$B$7/100))*(F527/100)</f>
        <v/>
      </c>
      <c r="K527">
        <f>J527*(1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6="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527)</f>
        <v/>
      </c>
      <c r="L527">
        <f>K527*(MIN(Inputs!$B$22+(F539-Calc!F18),(Inputs!$B$23+(IF(ArtifactsInput!$M$15,CHOOSE(ArtifactsInput!$N$15+1,25,30,35,40,45,50)/100*(((1-(1-Inputs!$B$11/150)*(1-1/150))*150)-Inputs!$B$11),0))))/100+(Inputs!$B$23+(IF(ArtifactsInput!$M$15,CHOOSE(ArtifactsInput!$N$15+1,25,30,35,40,45,50)/100*(((1-(1-Inputs!$B$11/150)*(1-1/150))*150)-Inputs!$B$11),0)))/100)/2</f>
        <v/>
      </c>
      <c r="M527">
        <f>L527*(1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7">
        <f>L527*(1-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527*(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7">
        <f>(1-Summary!$B$11)*S527+Summary!$B$11*U527</f>
        <v/>
      </c>
      <c r="P527">
        <f>IF(B558=0,0,O527/B558)</f>
        <v/>
      </c>
      <c r="Q527">
        <f>IFERROR(1/(IF(Inputs!$B$38="pvp",15,MAX(0.1,Skills!D6-IF(TRUE=TRUE,Inputs!$B$32,0)))*(1-IF(AND(ArtifactsInput!$M$27,Inputs!$B$4="Chapter Hunt"),CHOOSE(ArtifactsInput!$N$27+1,20,24,28,32,36,40),0)/100)),0)</f>
        <v/>
      </c>
      <c r="R527">
        <f>IF(AND(Inputs!$B$38&lt;&gt;"pvp",Inputs!$B$43&gt;0),IF(MAX(0,Inputs!$B$43-B555)&lt;=0,0,(INT(MAX(0,Inputs!$B$43-B555)/(IF(Inputs!$B$38="pvp",15,MAX(0.1,Skills!D6-IF(TRUE=TRUE,Inputs!$B$32,0)))*(1-IF(AND(ArtifactsInput!$M$27,Inputs!$B$4="Chapter Hunt"),CHOOSE(ArtifactsInput!$N$27+1,20,24,28,32,36,40),0)/100)))+1)),0)</f>
        <v/>
      </c>
      <c r="S527">
        <f>IF(C527,(H527*N527*IF(AND(Inputs!$B$38&lt;&gt;"pvp",Inputs!$B$43&gt;0),((Skills!F6*((R527-1)*IF(Skills!G6&gt;0,Skills!H6/Skills!G6,1)+IF(Skills!G6&gt;0,MIN(Skills!H6,MAX(0,MAX(0,Inputs!$B$43-B555)-((R527-1)*(IF(Inputs!$B$38="pvp",15,MAX(0.1,Skills!D6-IF(TRUE=TRUE,Inputs!$B$32,0)))*(1-IF(AND(ArtifactsInput!$M$27,Inputs!$B$4="Chapter Hunt"),CHOOSE(ArtifactsInput!$N$27+1,20,24,28,32,36,40),0)/100)))))/Skills!G6,1)))/Inputs!$B$43),G527*Q527))*IF(Inputs!$B$38="pvp",1,1+(Inputs!$B$20+Skills!O6+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527*(1-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527*(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527*(1-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527*(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7">
        <f>IF(C527,(H527*N527*IF(AND(Inputs!$B$38&lt;&gt;"pvp",Inputs!$B$43&gt;0),((Skills!F6*((R527-1)*IF(Skills!G6&gt;0,Skills!H6/Skills!G6,1)+IF(Skills!G6&gt;0,MIN(Skills!H6,MAX(0,MAX(0,Inputs!$B$43-B555)-((R527-1)*(IF(Inputs!$B$38="pvp",15,MAX(0.1,Skills!D6-IF(TRUE=TRUE,Inputs!$B$32,0)))*(1-IF(AND(ArtifactsInput!$M$27,Inputs!$B$4="Chapter Hunt"),CHOOSE(ArtifactsInput!$N$27+1,20,24,28,32,36,40),0)/100)))))/Skills!G6,1)))/Inputs!$B$43),G527*Q527))*IF(Inputs!$B$38="pvp",1,(1+(Inputs!$B$21+Skills!P6+B549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8">
      <c r="A528">
        <f>Skills!A7</f>
        <v/>
      </c>
      <c r="B528">
        <f>Skills!B7</f>
        <v/>
      </c>
      <c r="C528">
        <f>Inputs!$B$3&gt;=69</f>
        <v/>
      </c>
      <c r="D528">
        <f>IF(Skills!C7=1,60+Inputs!$B$25+Inputs!$B$29,IF(Skills!C7=2,90+Inputs!$B$26+Inputs!$B$29,IF(Skills!C7=3,120+Inputs!$B$27+Inputs!$B$29,MAX(0,(Inputs!$B$3-100)*3)+Inputs!$B$28+Inputs!$B$29)))</f>
        <v/>
      </c>
      <c r="E528">
        <f>INDEX(FactorTable!$B$2:$Y$301, MATCH(ROUND(MIN(300,MAX(1,D528)),0), FactorTable!$A$2:$A$301,0), Skills!L7+1)</f>
        <v/>
      </c>
      <c r="F528">
        <f>IF(Skills!M7=TRUE,(Skills!K7/10)*(E528/1000),Skills!K7/10)+Skills!N7</f>
        <v/>
      </c>
      <c r="G528">
        <f>Calc!G7</f>
        <v/>
      </c>
      <c r="H528">
        <f>Calc!H7</f>
        <v/>
      </c>
      <c r="I528">
        <f>IF(Skills!T7&lt;&gt;"",1+(Skills!T7/10)*(Z524/1000)/100,1)</f>
        <v/>
      </c>
      <c r="J528">
        <f>((Inputs!$B$6*(1+Inputs!$B$7/100))+(((Inputs!$B$12*(1+Inputs!$B$13/100))-(Inputs!$B$12*(1+Inputs!$B$13/100)))+0.25*(Inputs!$B$14-Inputs!$B$14))*(1+Inputs!$B$7/100))*(F528/100)</f>
        <v/>
      </c>
      <c r="K528">
        <f>J528*(1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7="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528)</f>
        <v/>
      </c>
      <c r="L528">
        <f>K528*(MIN(Inputs!$B$22+(F539-Calc!F18),(Inputs!$B$23+(IF(ArtifactsInput!$M$15,CHOOSE(ArtifactsInput!$N$15+1,25,30,35,40,45,50)/100*(((1-(1-Inputs!$B$11/150)*(1-1/150))*150)-Inputs!$B$11),0))))/100+(Inputs!$B$23+(IF(ArtifactsInput!$M$15,CHOOSE(ArtifactsInput!$N$15+1,25,30,35,40,45,50)/100*(((1-(1-Inputs!$B$11/150)*(1-1/150))*150)-Inputs!$B$11),0)))/100)/2</f>
        <v/>
      </c>
      <c r="M528">
        <f>L528*(1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8">
        <f>L528*(1-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528*(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8">
        <f>(1-Summary!$B$11)*S528+Summary!$B$11*U528</f>
        <v/>
      </c>
      <c r="P528">
        <f>IF(B558=0,0,O528/B558)</f>
        <v/>
      </c>
      <c r="Q528">
        <f>IFERROR(1/(IF(Inputs!$B$38="pvp",15,MAX(0.1,Skills!D7-IF(TRUE=TRUE,Inputs!$B$32,0)))*(1-IF(AND(ArtifactsInput!$M$27,Inputs!$B$4="Chapter Hunt"),CHOOSE(ArtifactsInput!$N$27+1,20,24,28,32,36,40),0)/100)),0)</f>
        <v/>
      </c>
      <c r="R528">
        <f>IF(AND(Inputs!$B$38&lt;&gt;"pvp",Inputs!$B$43&gt;0),IF(MAX(0,Inputs!$B$43-B555)&lt;=0,0,(INT(MAX(0,Inputs!$B$43-B555)/(IF(Inputs!$B$38="pvp",15,MAX(0.1,Skills!D7-IF(TRUE=TRUE,Inputs!$B$32,0)))*(1-IF(AND(ArtifactsInput!$M$27,Inputs!$B$4="Chapter Hunt"),CHOOSE(ArtifactsInput!$N$27+1,20,24,28,32,36,40),0)/100)))+1)),0)</f>
        <v/>
      </c>
      <c r="S528">
        <f>IF(C528,(H528*N528*IF(AND(Inputs!$B$38&lt;&gt;"pvp",Inputs!$B$43&gt;0),((Skills!F7*((R528-1)*IF(Skills!G7&gt;0,Skills!H7/Skills!G7,1)+IF(Skills!G7&gt;0,MIN(Skills!H7,MAX(0,MAX(0,Inputs!$B$43-B555)-((R528-1)*(IF(Inputs!$B$38="pvp",15,MAX(0.1,Skills!D7-IF(TRUE=TRUE,Inputs!$B$32,0)))*(1-IF(AND(ArtifactsInput!$M$27,Inputs!$B$4="Chapter Hunt"),CHOOSE(ArtifactsInput!$N$27+1,20,24,28,32,36,40),0)/100)))))/Skills!G7,1)))/Inputs!$B$43),G528*Q528))*IF(Inputs!$B$38="pvp",1,1+(Inputs!$B$20+Skills!O7+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528*(1-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528*(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528*(1-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528*(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8">
        <f>IF(C528,(H528*N528*IF(AND(Inputs!$B$38&lt;&gt;"pvp",Inputs!$B$43&gt;0),((Skills!F7*((R528-1)*IF(Skills!G7&gt;0,Skills!H7/Skills!G7,1)+IF(Skills!G7&gt;0,MIN(Skills!H7,MAX(0,MAX(0,Inputs!$B$43-B555)-((R528-1)*(IF(Inputs!$B$38="pvp",15,MAX(0.1,Skills!D7-IF(TRUE=TRUE,Inputs!$B$32,0)))*(1-IF(AND(ArtifactsInput!$M$27,Inputs!$B$4="Chapter Hunt"),CHOOSE(ArtifactsInput!$N$27+1,20,24,28,32,36,40),0)/100)))))/Skills!G7,1)))/Inputs!$B$43),G528*Q528))*IF(Inputs!$B$38="pvp",1,(1+(Inputs!$B$21+Skills!P7+B549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9">
      <c r="A529">
        <f>Skills!A8</f>
        <v/>
      </c>
      <c r="B529">
        <f>Skills!B8</f>
        <v/>
      </c>
      <c r="C529">
        <f>Inputs!$B$3&gt;=103</f>
        <v/>
      </c>
      <c r="D529">
        <f>IF(Skills!C8=1,60+Inputs!$B$25+Inputs!$B$29,IF(Skills!C8=2,90+Inputs!$B$26+Inputs!$B$29,IF(Skills!C8=3,120+Inputs!$B$27+Inputs!$B$29,MAX(0,(Inputs!$B$3-100)*3)+Inputs!$B$28+Inputs!$B$29)))</f>
        <v/>
      </c>
      <c r="E529">
        <f>INDEX(FactorTable!$B$2:$Y$301, MATCH(ROUND(MIN(300,MAX(1,D529)),0), FactorTable!$A$2:$A$301,0), Skills!L8+1)</f>
        <v/>
      </c>
      <c r="F529">
        <f>IF(Skills!M8=TRUE,(Skills!K8/10)*(E529/1000),Skills!K8/10)+Skills!N8</f>
        <v/>
      </c>
      <c r="G529">
        <f>Calc!G8</f>
        <v/>
      </c>
      <c r="H529">
        <f>Calc!H8</f>
        <v/>
      </c>
      <c r="I529">
        <f>IF(Skills!T8&lt;&gt;"",1+(Skills!T8/10)*(Z524/1000)/100,1)</f>
        <v/>
      </c>
      <c r="J529">
        <f>((Inputs!$B$6*(1+Inputs!$B$7/100))+(((Inputs!$B$12*(1+Inputs!$B$13/100))-(Inputs!$B$12*(1+Inputs!$B$13/100)))+0.25*(Inputs!$B$14-Inputs!$B$14))*(1+Inputs!$B$7/100))*(F529/100)</f>
        <v/>
      </c>
      <c r="K529">
        <f>J529*(1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8="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529)</f>
        <v/>
      </c>
      <c r="L529">
        <f>K529*(MIN(Inputs!$B$22+(F539-Calc!F18),(Inputs!$B$23+(IF(ArtifactsInput!$M$15,CHOOSE(ArtifactsInput!$N$15+1,25,30,35,40,45,50)/100*(((1-(1-Inputs!$B$11/150)*(1-1/150))*150)-Inputs!$B$11),0))))/100+(Inputs!$B$23+(IF(ArtifactsInput!$M$15,CHOOSE(ArtifactsInput!$N$15+1,25,30,35,40,45,50)/100*(((1-(1-Inputs!$B$11/150)*(1-1/150))*150)-Inputs!$B$11),0)))/100)/2</f>
        <v/>
      </c>
      <c r="M529">
        <f>L529*(1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29">
        <f>L529*(1-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529*(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9">
        <f>(1-Summary!$B$11)*S529+Summary!$B$11*U529</f>
        <v/>
      </c>
      <c r="P529">
        <f>IF(B558=0,0,O529/B558)</f>
        <v/>
      </c>
      <c r="Q529">
        <f>IFERROR(1/(IF(Inputs!$B$38="pvp",15,MAX(0.1,Skills!D8-IF(TRUE=TRUE,Inputs!$B$32,0)))*(1-IF(AND(ArtifactsInput!$M$27,Inputs!$B$4="Chapter Hunt"),CHOOSE(ArtifactsInput!$N$27+1,20,24,28,32,36,40),0)/100)),0)</f>
        <v/>
      </c>
      <c r="R529">
        <f>IF(AND(Inputs!$B$38&lt;&gt;"pvp",Inputs!$B$43&gt;0),IF(MAX(0,Inputs!$B$43-B555)&lt;=0,0,(INT(MAX(0,Inputs!$B$43-B555)/(IF(Inputs!$B$38="pvp",15,MAX(0.1,Skills!D8-IF(TRUE=TRUE,Inputs!$B$32,0)))*(1-IF(AND(ArtifactsInput!$M$27,Inputs!$B$4="Chapter Hunt"),CHOOSE(ArtifactsInput!$N$27+1,20,24,28,32,36,40),0)/100)))+1)),0)</f>
        <v/>
      </c>
      <c r="S529">
        <f>IF(C529,(H529*N529*IF(AND(Inputs!$B$38&lt;&gt;"pvp",Inputs!$B$43&gt;0),((Skills!F8*((R529-1)*IF(Skills!G8&gt;0,Skills!H8/Skills!G8,1)+IF(Skills!G8&gt;0,MIN(Skills!H8,MAX(0,MAX(0,Inputs!$B$43-B555)-((R529-1)*(IF(Inputs!$B$38="pvp",15,MAX(0.1,Skills!D8-IF(TRUE=TRUE,Inputs!$B$32,0)))*(1-IF(AND(ArtifactsInput!$M$27,Inputs!$B$4="Chapter Hunt"),CHOOSE(ArtifactsInput!$N$27+1,20,24,28,32,36,40),0)/100)))))/Skills!G8,1)))/Inputs!$B$43),G529*Q529))*IF(Inputs!$B$38="pvp",1,1+(Inputs!$B$20+Skills!O8+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529*(1-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529*(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529*(1-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529*(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9">
        <f>IF(C529,(H529*N529*IF(AND(Inputs!$B$38&lt;&gt;"pvp",Inputs!$B$43&gt;0),((Skills!F8*((R529-1)*IF(Skills!G8&gt;0,Skills!H8/Skills!G8,1)+IF(Skills!G8&gt;0,MIN(Skills!H8,MAX(0,MAX(0,Inputs!$B$43-B555)-((R529-1)*(IF(Inputs!$B$38="pvp",15,MAX(0.1,Skills!D8-IF(TRUE=TRUE,Inputs!$B$32,0)))*(1-IF(AND(ArtifactsInput!$M$27,Inputs!$B$4="Chapter Hunt"),CHOOSE(ArtifactsInput!$N$27+1,20,24,28,32,36,40),0)/100)))))/Skills!G8,1)))/Inputs!$B$43),G529*Q529))*IF(Inputs!$B$38="pvp",1,(1+(Inputs!$B$21+Skills!P8+B549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0">
      <c r="A530">
        <f>Skills!A9</f>
        <v/>
      </c>
      <c r="B530">
        <f>Skills!B9</f>
        <v/>
      </c>
      <c r="C530">
        <f>Inputs!$B$3&gt;=105</f>
        <v/>
      </c>
      <c r="D530">
        <f>IF(Skills!C9=1,60+Inputs!$B$25+Inputs!$B$29,IF(Skills!C9=2,90+Inputs!$B$26+Inputs!$B$29,IF(Skills!C9=3,120+Inputs!$B$27+Inputs!$B$29,MAX(0,(Inputs!$B$3-100)*3)+Inputs!$B$28+Inputs!$B$29)))</f>
        <v/>
      </c>
      <c r="E530">
        <f>INDEX(FactorTable!$B$2:$Y$301, MATCH(ROUND(MIN(300,MAX(1,D530)),0), FactorTable!$A$2:$A$301,0), Skills!L9+1)</f>
        <v/>
      </c>
      <c r="F530">
        <f>IF(Skills!M9=TRUE,(Skills!K9/10)*(E530/1000),Skills!K9/10)+Skills!N9</f>
        <v/>
      </c>
      <c r="G530">
        <f>Calc!G9</f>
        <v/>
      </c>
      <c r="H530">
        <f>Calc!H9</f>
        <v/>
      </c>
      <c r="I530">
        <f>IF(Skills!T9&lt;&gt;"",1+(Skills!T9/10)*(Z524/1000)/100,1)</f>
        <v/>
      </c>
      <c r="J530">
        <f>((Inputs!$B$6*(1+Inputs!$B$7/100))+(((Inputs!$B$12*(1+Inputs!$B$13/100))-(Inputs!$B$12*(1+Inputs!$B$13/100)))+0.25*(Inputs!$B$14-Inputs!$B$14))*(1+Inputs!$B$7/100))*(F530/100)</f>
        <v/>
      </c>
      <c r="K530">
        <f>J530*(1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9="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530)</f>
        <v/>
      </c>
      <c r="L530">
        <f>K530*(MIN(Inputs!$B$22+(F539-Calc!F18),(Inputs!$B$23+(IF(ArtifactsInput!$M$15,CHOOSE(ArtifactsInput!$N$15+1,25,30,35,40,45,50)/100*(((1-(1-Inputs!$B$11/150)*(1-1/150))*150)-Inputs!$B$11),0))))/100+(Inputs!$B$23+(IF(ArtifactsInput!$M$15,CHOOSE(ArtifactsInput!$N$15+1,25,30,35,40,45,50)/100*(((1-(1-Inputs!$B$11/150)*(1-1/150))*150)-Inputs!$B$11),0)))/100)/2</f>
        <v/>
      </c>
      <c r="M530">
        <f>L530*(1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0">
        <f>L530*(1-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530*(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0">
        <f>(1-Summary!$B$11)*S530+Summary!$B$11*U530</f>
        <v/>
      </c>
      <c r="P530">
        <f>IF(B558=0,0,O530/B558)</f>
        <v/>
      </c>
      <c r="Q530">
        <f>IFERROR(1/(IF(Inputs!$B$38="pvp",15,MAX(0.1,Skills!D9-IF(TRUE=TRUE,Inputs!$B$32,0)))*(1-IF(AND(ArtifactsInput!$M$27,Inputs!$B$4="Chapter Hunt"),CHOOSE(ArtifactsInput!$N$27+1,20,24,28,32,36,40),0)/100)),0)</f>
        <v/>
      </c>
      <c r="R530">
        <f>IF(AND(Inputs!$B$38&lt;&gt;"pvp",Inputs!$B$43&gt;0),IF(MAX(0,Inputs!$B$43-B555)&lt;=0,0,(INT(MAX(0,Inputs!$B$43-B555)/(IF(Inputs!$B$38="pvp",15,MAX(0.1,Skills!D9-IF(TRUE=TRUE,Inputs!$B$32,0)))*(1-IF(AND(ArtifactsInput!$M$27,Inputs!$B$4="Chapter Hunt"),CHOOSE(ArtifactsInput!$N$27+1,20,24,28,32,36,40),0)/100)))+1)),0)</f>
        <v/>
      </c>
      <c r="S530">
        <f>IF(C530,(H530*N530*IF(AND(Inputs!$B$38&lt;&gt;"pvp",Inputs!$B$43&gt;0),((Skills!F9*((R530-1)*IF(Skills!G9&gt;0,Skills!H9/Skills!G9,1)+IF(Skills!G9&gt;0,MIN(Skills!H9,MAX(0,MAX(0,Inputs!$B$43-B555)-((R530-1)*(IF(Inputs!$B$38="pvp",15,MAX(0.1,Skills!D9-IF(TRUE=TRUE,Inputs!$B$32,0)))*(1-IF(AND(ArtifactsInput!$M$27,Inputs!$B$4="Chapter Hunt"),CHOOSE(ArtifactsInput!$N$27+1,20,24,28,32,36,40),0)/100)))))/Skills!G9,1)))/Inputs!$B$43),G530*Q530))*IF(Inputs!$B$38="pvp",1,1+(Inputs!$B$20+Skills!O9+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530*(1-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530*(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530*(1-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530*(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0">
        <f>IF(C530,(H530*N530*IF(AND(Inputs!$B$38&lt;&gt;"pvp",Inputs!$B$43&gt;0),((Skills!F9*((R530-1)*IF(Skills!G9&gt;0,Skills!H9/Skills!G9,1)+IF(Skills!G9&gt;0,MIN(Skills!H9,MAX(0,MAX(0,Inputs!$B$43-B555)-((R530-1)*(IF(Inputs!$B$38="pvp",15,MAX(0.1,Skills!D9-IF(TRUE=TRUE,Inputs!$B$32,0)))*(1-IF(AND(ArtifactsInput!$M$27,Inputs!$B$4="Chapter Hunt"),CHOOSE(ArtifactsInput!$N$27+1,20,24,28,32,36,40),0)/100)))))/Skills!G9,1)))/Inputs!$B$43),G530*Q530))*IF(Inputs!$B$38="pvp",1,(1+(Inputs!$B$21+Skills!P9+B549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1">
      <c r="A531">
        <f>Skills!A10</f>
        <v/>
      </c>
      <c r="B531">
        <f>Skills!B10</f>
        <v/>
      </c>
      <c r="C531">
        <f>Inputs!$B$3&gt;=113</f>
        <v/>
      </c>
      <c r="D531">
        <f>IF(Skills!C10=1,60+Inputs!$B$25+Inputs!$B$29,IF(Skills!C10=2,90+Inputs!$B$26+Inputs!$B$29,IF(Skills!C10=3,120+Inputs!$B$27+Inputs!$B$29,MAX(0,(Inputs!$B$3-100)*3)+Inputs!$B$28+Inputs!$B$29)))</f>
        <v/>
      </c>
      <c r="E531">
        <f>INDEX(FactorTable!$B$2:$Y$301, MATCH(ROUND(MIN(300,MAX(1,D531)),0), FactorTable!$A$2:$A$301,0), Skills!L10+1)</f>
        <v/>
      </c>
      <c r="F531">
        <f>IF(Skills!M10=TRUE,(Skills!K10/10)*(E531/1000),Skills!K10/10)+Skills!N10</f>
        <v/>
      </c>
      <c r="G531">
        <f>Calc!G10</f>
        <v/>
      </c>
      <c r="H531">
        <f>Calc!H10</f>
        <v/>
      </c>
      <c r="I531">
        <f>IF(Skills!T10&lt;&gt;"",1+(Skills!T10/10)*(Z524/1000)/100,1)</f>
        <v/>
      </c>
      <c r="J531">
        <f>((Inputs!$B$6*(1+Inputs!$B$7/100))+(((Inputs!$B$12*(1+Inputs!$B$13/100))-(Inputs!$B$12*(1+Inputs!$B$13/100)))+0.25*(Inputs!$B$14-Inputs!$B$14))*(1+Inputs!$B$7/100))*(F531/100)</f>
        <v/>
      </c>
      <c r="K531">
        <f>J531*(1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10="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531)</f>
        <v/>
      </c>
      <c r="L531">
        <f>K531*(MIN(Inputs!$B$22+(F539-Calc!F18),(Inputs!$B$23+(IF(ArtifactsInput!$M$15,CHOOSE(ArtifactsInput!$N$15+1,25,30,35,40,45,50)/100*(((1-(1-Inputs!$B$11/150)*(1-1/150))*150)-Inputs!$B$11),0))))/100+(Inputs!$B$23+(IF(ArtifactsInput!$M$15,CHOOSE(ArtifactsInput!$N$15+1,25,30,35,40,45,50)/100*(((1-(1-Inputs!$B$11/150)*(1-1/150))*150)-Inputs!$B$11),0)))/100)/2</f>
        <v/>
      </c>
      <c r="M531">
        <f>L531*(1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1">
        <f>L531*(1-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1">
        <f>(1-Summary!$B$11)*S531+Summary!$B$11*U531</f>
        <v/>
      </c>
      <c r="P531">
        <f>IF(B558=0,0,O531/B558)</f>
        <v/>
      </c>
      <c r="Q531">
        <f>IFERROR(1/(IF(Inputs!$B$38="pvp",15,MAX(0.1,Skills!D10-IF(TRUE=TRUE,Inputs!$B$32,0)))*(1-IF(AND(ArtifactsInput!$M$27,Inputs!$B$4="Chapter Hunt"),CHOOSE(ArtifactsInput!$N$27+1,20,24,28,32,36,40),0)/100)),0)</f>
        <v/>
      </c>
      <c r="R531" t="n">
        <v>0</v>
      </c>
      <c r="S531">
        <f>IF(C531,((H531*B559)/(1+Skills!G10*H531*B559)*N531)*IF(Inputs!$B$38="pvp",1,1+(Inputs!$B$20+Skills!O10+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531*(1-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531*(1-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1">
        <f>IF(C531,((H531*B559)/(1+Skills!G10*H531*B559)*N531)*IF(Inputs!$B$38="pvp",1,(1+(Inputs!$B$21+Skills!P10+B549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2">
      <c r="A532">
        <f>Skills!A11</f>
        <v/>
      </c>
      <c r="B532">
        <f>Skills!B11</f>
        <v/>
      </c>
      <c r="C532">
        <f>Inputs!$B$3&gt;=107</f>
        <v/>
      </c>
      <c r="D532">
        <f>IF(Skills!C11=1,60+Inputs!$B$25+Inputs!$B$29,IF(Skills!C11=2,90+Inputs!$B$26+Inputs!$B$29,IF(Skills!C11=3,120+Inputs!$B$27+Inputs!$B$29,MAX(0,(Inputs!$B$3-100)*3)+Inputs!$B$28+Inputs!$B$29)))</f>
        <v/>
      </c>
      <c r="E532">
        <f>INDEX(FactorTable!$B$2:$Y$301, MATCH(ROUND(MIN(300,MAX(1,D532)),0), FactorTable!$A$2:$A$301,0), Skills!L11+1)</f>
        <v/>
      </c>
      <c r="F532">
        <f>IF(Skills!M11=TRUE,(Skills!K11/10)*(E532/1000),Skills!K11/10)+Skills!N11</f>
        <v/>
      </c>
      <c r="G532">
        <f>Calc!G11</f>
        <v/>
      </c>
      <c r="H532">
        <f>Calc!H11</f>
        <v/>
      </c>
      <c r="I532">
        <f>IF(Skills!T11&lt;&gt;"",1+(Skills!T11/10)*(Z524/1000)/100,1)</f>
        <v/>
      </c>
      <c r="J532">
        <f>((Inputs!$B$6*(1+Inputs!$B$7/100))+(((Inputs!$B$12*(1+Inputs!$B$13/100))-(Inputs!$B$12*(1+Inputs!$B$13/100)))+0.25*(Inputs!$B$14-Inputs!$B$14))*(1+Inputs!$B$7/100))*(F532/100)</f>
        <v/>
      </c>
      <c r="K532">
        <f>J532*(1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11="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532)</f>
        <v/>
      </c>
      <c r="L532">
        <f>K532*(MIN(Inputs!$B$22+(F539-Calc!F18),(Inputs!$B$23+(IF(ArtifactsInput!$M$15,CHOOSE(ArtifactsInput!$N$15+1,25,30,35,40,45,50)/100*(((1-(1-Inputs!$B$11/150)*(1-1/150))*150)-Inputs!$B$11),0))))/100+(Inputs!$B$23+(IF(ArtifactsInput!$M$15,CHOOSE(ArtifactsInput!$N$15+1,25,30,35,40,45,50)/100*(((1-(1-Inputs!$B$11/150)*(1-1/150))*150)-Inputs!$B$11),0)))/100)/2</f>
        <v/>
      </c>
      <c r="M532">
        <f>L532*(1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2">
        <f>L532*(1-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532*(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2">
        <f>(1-Summary!$B$11)*S532+Summary!$B$11*U532</f>
        <v/>
      </c>
      <c r="P532">
        <f>IF(B558=0,0,O532/B558)</f>
        <v/>
      </c>
      <c r="Q532">
        <f>IFERROR(1/(IF(Inputs!$B$38="pvp",15,MAX(0.1,Skills!D11-IF(TRUE=TRUE,Inputs!$B$32,0)))*(1-IF(AND(ArtifactsInput!$M$27,Inputs!$B$4="Chapter Hunt"),CHOOSE(ArtifactsInput!$N$27+1,20,24,28,32,36,40),0)/100)),0)</f>
        <v/>
      </c>
      <c r="R532">
        <f>IF(AND(Inputs!$B$38&lt;&gt;"pvp",Inputs!$B$43&gt;0),IF(MAX(0,Inputs!$B$43-B555)&lt;=0,0,(INT(MAX(0,Inputs!$B$43-B555)/(IF(Inputs!$B$38="pvp",15,MAX(0.1,Skills!D11-IF(TRUE=TRUE,Inputs!$B$32,0)))*(1-IF(AND(ArtifactsInput!$M$27,Inputs!$B$4="Chapter Hunt"),CHOOSE(ArtifactsInput!$N$27+1,20,24,28,32,36,40),0)/100)))+1)),0)</f>
        <v/>
      </c>
      <c r="S532">
        <f>IF(C532,H532*N532*IF(AND(Inputs!$B$38&lt;&gt;"pvp",Inputs!$B$43&gt;0),((Skills!F11*((R532-1)*IF(Skills!G11&gt;0,Skills!H11/Skills!G11,1)+IF(Skills!G11&gt;0,MIN(Skills!H11,MAX(0,MAX(0,Inputs!$B$43-B555)-((R532-1)*(IF(Inputs!$B$38="pvp",15,MAX(0.1,Skills!D11-IF(TRUE=TRUE,Inputs!$B$32,0)))*(1-IF(AND(ArtifactsInput!$M$27,Inputs!$B$4="Chapter Hunt"),CHOOSE(ArtifactsInput!$N$27+1,20,24,28,32,36,40),0)/100)))))/Skills!G11,1)))/Inputs!$B$43),G532*Q532)*0.5*IF(Inputs!$B$38="pvp",1,1+(Inputs!$B$20+Skills!O11+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532*(1-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532*(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532*(1-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532*(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2">
        <f>IF(C532,H532*N532*IF(AND(Inputs!$B$38&lt;&gt;"pvp",Inputs!$B$43&gt;0),((Skills!F11*((R532-1)*IF(Skills!G11&gt;0,Skills!H11/Skills!G11,1)+IF(Skills!G11&gt;0,MIN(Skills!H11,MAX(0,MAX(0,Inputs!$B$43-B555)-((R532-1)*(IF(Inputs!$B$38="pvp",15,MAX(0.1,Skills!D11-IF(TRUE=TRUE,Inputs!$B$32,0)))*(1-IF(AND(ArtifactsInput!$M$27,Inputs!$B$4="Chapter Hunt"),CHOOSE(ArtifactsInput!$N$27+1,20,24,28,32,36,40),0)/100)))))/Skills!G11,1)))/Inputs!$B$43),G532*Q532)*1*IF(Inputs!$B$38="pvp",1,(1+(Inputs!$B$21+Skills!P11+B549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3">
      <c r="A533">
        <f>Skills!A12</f>
        <v/>
      </c>
      <c r="B533">
        <f>Skills!B12</f>
        <v/>
      </c>
      <c r="C533">
        <f>Inputs!$B$3&gt;=115</f>
        <v/>
      </c>
      <c r="D533">
        <f>IF(Skills!C12=1,60+Inputs!$B$25+Inputs!$B$29,IF(Skills!C12=2,90+Inputs!$B$26+Inputs!$B$29,IF(Skills!C12=3,120+Inputs!$B$27+Inputs!$B$29,MAX(0,(Inputs!$B$3-100)*3)+Inputs!$B$28+Inputs!$B$29)))</f>
        <v/>
      </c>
      <c r="E533">
        <f>INDEX(FactorTable!$B$2:$Y$301, MATCH(ROUND(MIN(300,MAX(1,D533)),0), FactorTable!$A$2:$A$301,0), Skills!L12+1)</f>
        <v/>
      </c>
      <c r="F533">
        <f>IF(Skills!M12=TRUE,(Skills!K12/10)*(E533/1000),Skills!K12/10)+Skills!N12</f>
        <v/>
      </c>
      <c r="G533">
        <f>Calc!G12</f>
        <v/>
      </c>
      <c r="H533">
        <f>Calc!H12</f>
        <v/>
      </c>
      <c r="I533">
        <f>IF(Skills!T12&lt;&gt;"",1+(Skills!T12/10)*(Z524/1000)/100,1)</f>
        <v/>
      </c>
      <c r="J533">
        <f>((Inputs!$B$6*(1+Inputs!$B$7/100))+(((Inputs!$B$12*(1+Inputs!$B$13/100))-(Inputs!$B$12*(1+Inputs!$B$13/100)))+0.25*(Inputs!$B$14-Inputs!$B$14))*(1+Inputs!$B$7/100))*(F533/100)</f>
        <v/>
      </c>
      <c r="K533">
        <f>J533*(1+((Inputs!$B$12*(1+Inputs!$B$13/100))*0.01+Inputs!$B$14*0.0025)/100)*(1+(Inputs!$B$15+B550)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C536=TRUE,F536,0)/100)*(1+IF(C544=TRUE,F544,0)/100)^5*(1+(IF(Skills!A12="CHAIN_LIGHTNING",Inputs!$B$17+((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548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533)</f>
        <v/>
      </c>
      <c r="L533">
        <f>K533*(MIN(Inputs!$B$22+(F539-Calc!F18),(Inputs!$B$23+(IF(ArtifactsInput!$M$15,CHOOSE(ArtifactsInput!$N$15+1,25,30,35,40,45,50)/100*(((1-(1-Inputs!$B$11/150)*(1-1/150))*150)-Inputs!$B$11),0))))/100+(Inputs!$B$23+(IF(ArtifactsInput!$M$15,CHOOSE(ArtifactsInput!$N$15+1,25,30,35,40,45,50)/100*(((1-(1-Inputs!$B$11/150)*(1-1/150))*150)-Inputs!$B$11),0)))/100)/2</f>
        <v/>
      </c>
      <c r="M533">
        <f>L533*(1+(Inputs!$B$10+(F542-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33">
        <f>L533*(1-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533*(MIN((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3">
        <f>(1-Summary!$B$11)*S533+Summary!$B$11*U533</f>
        <v/>
      </c>
      <c r="P533">
        <f>IF(B558=0,0,O533/B558)</f>
        <v/>
      </c>
      <c r="Q533">
        <f>IFERROR(1/(IF(Inputs!$B$38="pvp",15,MAX(0.1,Skills!D12-IF(TRUE=TRUE,Inputs!$B$32,0)))*(1-IF(AND(ArtifactsInput!$M$27,Inputs!$B$4="Chapter Hunt"),CHOOSE(ArtifactsInput!$N$27+1,20,24,28,32,36,40),0)/100)),0)</f>
        <v/>
      </c>
      <c r="R533">
        <f>IF(AND(Inputs!$B$38&lt;&gt;"pvp",Inputs!$B$43&gt;0),IF(MAX(0,Inputs!$B$43-B555)&lt;=0,0,(INT(MAX(0,Inputs!$B$43-B555)/(IF(Inputs!$B$38="pvp",15,MAX(0.1,Skills!D12-IF(TRUE=TRUE,Inputs!$B$32,0)))*(1-IF(AND(ArtifactsInput!$M$27,Inputs!$B$4="Chapter Hunt"),CHOOSE(ArtifactsInput!$N$27+1,20,24,28,32,36,40),0)/100)))+1)),0)</f>
        <v/>
      </c>
      <c r="S533">
        <f>IF(C533,(H533*N533*IF(AND(Inputs!$B$38&lt;&gt;"pvp",Inputs!$B$43&gt;0),((Skills!F12*((R533-1)*IF(Skills!G12&gt;0,Skills!H12/Skills!G12,1)+IF(Skills!G12&gt;0,MIN(Skills!H12,MAX(0,MAX(0,Inputs!$B$43-B555)-((R533-1)*(IF(Inputs!$B$38="pvp",15,MAX(0.1,Skills!D12-IF(TRUE=TRUE,Inputs!$B$32,0)))*(1-IF(AND(ArtifactsInput!$M$27,Inputs!$B$4="Chapter Hunt"),CHOOSE(ArtifactsInput!$N$27+1,20,24,28,32,36,40),0)/100)))))/Skills!G12,1)))/Inputs!$B$43),G533*Q533))*IF(Inputs!$B$38="pvp",1,1+(Inputs!$B$20+Skills!O12+B549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533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533*(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533*(1-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533*(MIN(100,(Inputs!$B$9+((F541-Calc!F20)+(F540-Calc!F19))+(ArtifactsInput!$M$24-ArtifactsInput!$M$24)*CHOOSE(ArtifactsInput!$N$24+1,10,12,14,16,18,20)+(IF(AND(Inputs!$B$38&lt;&gt;"pvp",Inputs!$B$43=0),1,IF(IF(Inputs!$B$38="pvp",15,Inputs!$B$43)-(B555)&lt;=0,1,MAX(0,IF(Inputs!$B$38="pvp",15,Inputs!$B$43)-MAX(5,B555))/(IF(Inputs!$B$38="pvp",15,Inputs!$B$43)-(B555)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33">
        <f>IF(C533,(H533*N533*IF(AND(Inputs!$B$38&lt;&gt;"pvp",Inputs!$B$43&gt;0),((Skills!F12*((R533-1)*IF(Skills!G12&gt;0,Skills!H12/Skills!G12,1)+IF(Skills!G12&gt;0,MIN(Skills!H12,MAX(0,MAX(0,Inputs!$B$43-B555)-((R533-1)*(IF(Inputs!$B$38="pvp",15,MAX(0.1,Skills!D12-IF(TRUE=TRUE,Inputs!$B$32,0)))*(1-IF(AND(ArtifactsInput!$M$27,Inputs!$B$4="Chapter Hunt"),CHOOSE(ArtifactsInput!$N$27+1,20,24,28,32,36,40),0)/100)))))/Skills!G12,1)))/Inputs!$B$43),G533*Q533))*IF(Inputs!$B$38="pvp",1,(1+(Inputs!$B$21+Skills!P12+B549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4">
      <c r="A534">
        <f>Skills!A13</f>
        <v/>
      </c>
      <c r="B534">
        <f>Skills!B13</f>
        <v/>
      </c>
      <c r="C534">
        <f>Inputs!$B$3&gt;=49</f>
        <v/>
      </c>
      <c r="D534">
        <f>IF(Skills!C13=1,60+Inputs!$B$25+Inputs!$B$29,IF(Skills!C13=2,90+Inputs!$B$26+Inputs!$B$29,IF(Skills!C13=3,120+Inputs!$B$27+Inputs!$B$29,MAX(0,(Inputs!$B$3-100)*3)+Inputs!$B$28+Inputs!$B$29)))</f>
        <v/>
      </c>
      <c r="E534">
        <f>INDEX(FactorTable!$B$2:$Y$301, MATCH(ROUND(MIN(300,MAX(1,D534)),0), FactorTable!$A$2:$A$301,0), Skills!L13+1)</f>
        <v/>
      </c>
      <c r="F534">
        <f>IF(Skills!M13=TRUE,(Skills!K13/10)*(E534/1000),Skills!K13/10)+Skills!N13</f>
        <v/>
      </c>
      <c r="G534">
        <f>Calc!G13</f>
        <v/>
      </c>
      <c r="H534">
        <f>Calc!H13</f>
        <v/>
      </c>
      <c r="I534">
        <f>IF(Skills!T13&lt;&gt;"",1+(Skills!T13/10)*(Z524/1000)/100,1)</f>
        <v/>
      </c>
      <c r="J534" t="inlineStr"/>
      <c r="K534" t="inlineStr"/>
      <c r="L534" t="inlineStr"/>
      <c r="M534" t="inlineStr"/>
      <c r="N534" t="inlineStr"/>
      <c r="O534">
        <f>(1-Summary!$B$11)*S534+Summary!$B$11*U534</f>
        <v/>
      </c>
      <c r="P534">
        <f>IF(B558=0,0,O534/B558)</f>
        <v/>
      </c>
      <c r="Q534">
        <f>IFERROR(1/(IF(Inputs!$B$38="pvp",15,MAX(0.1,Skills!D13-IF(TRUE=TRUE,Inputs!$B$32,0)))*(1-IF(AND(ArtifactsInput!$M$27,Inputs!$B$4="Chapter Hunt"),CHOOSE(ArtifactsInput!$N$27+1,20,24,28,32,36,40),0)/100)),0)</f>
        <v/>
      </c>
      <c r="R534" t="n">
        <v>0</v>
      </c>
      <c r="S534" t="n">
        <v>0</v>
      </c>
      <c r="U534" t="n">
        <v>0</v>
      </c>
    </row>
    <row r="535">
      <c r="A535">
        <f>Skills!A14</f>
        <v/>
      </c>
      <c r="B535">
        <f>Skills!B14</f>
        <v/>
      </c>
      <c r="C535">
        <f>Inputs!$B$3&gt;=72</f>
        <v/>
      </c>
      <c r="D535">
        <f>IF(Skills!C14=1,60+Inputs!$B$25+Inputs!$B$29,IF(Skills!C14=2,90+Inputs!$B$26+Inputs!$B$29,IF(Skills!C14=3,120+Inputs!$B$27+Inputs!$B$29,MAX(0,(Inputs!$B$3-100)*3)+Inputs!$B$28+Inputs!$B$29)))</f>
        <v/>
      </c>
      <c r="E535">
        <f>INDEX(FactorTable!$B$2:$Y$301, MATCH(ROUND(MIN(300,MAX(1,D535)),0), FactorTable!$A$2:$A$301,0), Skills!L14+1)</f>
        <v/>
      </c>
      <c r="F535">
        <f>IF(Skills!M14=TRUE,(Skills!K14/10)*(E535/1000),Skills!K14/10)+Skills!N14</f>
        <v/>
      </c>
      <c r="G535">
        <f>Calc!G14</f>
        <v/>
      </c>
      <c r="H535">
        <f>Calc!H14</f>
        <v/>
      </c>
      <c r="I535">
        <f>IF(Skills!T14&lt;&gt;"",1+(Skills!T14/10)*(Z524/1000)/100,1)</f>
        <v/>
      </c>
      <c r="J535" t="inlineStr"/>
      <c r="K535" t="inlineStr"/>
      <c r="L535" t="inlineStr"/>
      <c r="M535" t="inlineStr"/>
      <c r="N535" t="inlineStr"/>
      <c r="O535">
        <f>(1-Summary!$B$11)*S535+Summary!$B$11*U535</f>
        <v/>
      </c>
      <c r="P535">
        <f>IF(B558=0,0,O535/B558)</f>
        <v/>
      </c>
      <c r="Q535">
        <f>IFERROR(1/(IF(Inputs!$B$38="pvp",15,MAX(0.1,Skills!D14-IF(TRUE=TRUE,Inputs!$B$32,0)))*(1-IF(AND(ArtifactsInput!$M$27,Inputs!$B$4="Chapter Hunt"),CHOOSE(ArtifactsInput!$N$27+1,20,24,28,32,36,40),0)/100)),0)</f>
        <v/>
      </c>
      <c r="R535" t="n">
        <v>0</v>
      </c>
      <c r="S535" t="n">
        <v>0</v>
      </c>
      <c r="U535" t="n">
        <v>0</v>
      </c>
    </row>
    <row r="536">
      <c r="A536">
        <f>Skills!A15</f>
        <v/>
      </c>
      <c r="B536">
        <f>Skills!B15</f>
        <v/>
      </c>
      <c r="C536">
        <f>Inputs!$B$3&gt;=75</f>
        <v/>
      </c>
      <c r="D536">
        <f>IF(Skills!C15=1,60+Inputs!$B$25+Inputs!$B$29,IF(Skills!C15=2,90+Inputs!$B$26+Inputs!$B$29,IF(Skills!C15=3,120+Inputs!$B$27+Inputs!$B$29,MAX(0,(Inputs!$B$3-100)*3)+Inputs!$B$28+Inputs!$B$29)))</f>
        <v/>
      </c>
      <c r="E536">
        <f>INDEX(FactorTable!$B$2:$Y$301, MATCH(ROUND(MIN(300,MAX(1,D536)),0), FactorTable!$A$2:$A$301,0), Skills!L15+1)</f>
        <v/>
      </c>
      <c r="F536">
        <f>IF(Skills!M15=TRUE,(Skills!K15/10)*(E536/1000),Skills!K15/10)+Skills!N15</f>
        <v/>
      </c>
      <c r="G536">
        <f>Calc!G15</f>
        <v/>
      </c>
      <c r="H536">
        <f>Calc!H15</f>
        <v/>
      </c>
      <c r="I536">
        <f>IF(Skills!T15&lt;&gt;"",1+(Skills!T15/10)*(Z524/1000)/100,1)</f>
        <v/>
      </c>
      <c r="J536" t="inlineStr"/>
      <c r="K536" t="inlineStr"/>
      <c r="L536" t="inlineStr"/>
      <c r="M536" t="inlineStr"/>
      <c r="N536" t="inlineStr"/>
      <c r="O536">
        <f>(1-Summary!$B$11)*S536+Summary!$B$11*U536</f>
        <v/>
      </c>
      <c r="P536">
        <f>IF(B558=0,0,O536/B558)</f>
        <v/>
      </c>
      <c r="Q536">
        <f>IFERROR(1/(IF(Inputs!$B$38="pvp",15,MAX(0.1,Skills!D15-IF(TRUE=TRUE,Inputs!$B$32,0)))*(1-IF(AND(ArtifactsInput!$M$27,Inputs!$B$4="Chapter Hunt"),CHOOSE(ArtifactsInput!$N$27+1,20,24,28,32,36,40),0)/100)),0)</f>
        <v/>
      </c>
      <c r="R536" t="n">
        <v>0</v>
      </c>
      <c r="S536" t="n">
        <v>0</v>
      </c>
      <c r="U536" t="n">
        <v>0</v>
      </c>
    </row>
    <row r="537">
      <c r="A537">
        <f>Skills!A16</f>
        <v/>
      </c>
      <c r="B537">
        <f>Skills!B16</f>
        <v/>
      </c>
      <c r="C537">
        <f>Inputs!$B$3&gt;=110</f>
        <v/>
      </c>
      <c r="D537">
        <f>IF(Skills!C16=1,60+Inputs!$B$25+Inputs!$B$29,IF(Skills!C16=2,90+Inputs!$B$26+Inputs!$B$29,IF(Skills!C16=3,120+Inputs!$B$27+Inputs!$B$29,MAX(0,(Inputs!$B$3-100)*3)+Inputs!$B$28+Inputs!$B$29)))</f>
        <v/>
      </c>
      <c r="E537">
        <f>INDEX(FactorTable!$B$2:$Y$301, MATCH(ROUND(MIN(300,MAX(1,D537)),0), FactorTable!$A$2:$A$301,0), Skills!L16+1)</f>
        <v/>
      </c>
      <c r="F537">
        <f>(Skills!K16/10)*(E537/1000)*64/45+Skills!N16</f>
        <v/>
      </c>
      <c r="G537">
        <f>Calc!G16</f>
        <v/>
      </c>
      <c r="H537">
        <f>Calc!H16</f>
        <v/>
      </c>
      <c r="I537">
        <f>IF(Skills!T16&lt;&gt;"",1+(Skills!T16/10)*(Z524/1000)/100,1)</f>
        <v/>
      </c>
      <c r="J537" t="inlineStr"/>
      <c r="K537" t="inlineStr"/>
      <c r="L537" t="inlineStr"/>
      <c r="M537" t="inlineStr"/>
      <c r="N537" t="inlineStr"/>
      <c r="O537">
        <f>(1-Summary!$B$11)*S537+Summary!$B$11*U537</f>
        <v/>
      </c>
      <c r="P537">
        <f>IF(B558=0,0,O537/B558)</f>
        <v/>
      </c>
      <c r="Q537">
        <f>IFERROR(1/(IF(Inputs!$B$38="pvp",15,MAX(0.1,Skills!D16-IF(TRUE=TRUE,Inputs!$B$32,0)))*(1-IF(AND(ArtifactsInput!$M$27,Inputs!$B$4="Chapter Hunt"),CHOOSE(ArtifactsInput!$N$27+1,20,24,28,32,36,40),0)/100)),0)</f>
        <v/>
      </c>
      <c r="R537">
        <f>IF(AND(Inputs!$B$38&lt;&gt;"pvp",Inputs!$B$43&gt;0),IF(Inputs!$B$43&lt;=0,0,(INT(Inputs!$B$43/(IF(Inputs!$B$38="pvp",15,MAX(0.1,Skills!D16-IF(TRUE=TRUE,Inputs!$B$32,0)))*(1-IF(AND(ArtifactsInput!$M$27,Inputs!$B$4="Chapter Hunt"),CHOOSE(ArtifactsInput!$N$27+1,20,24,28,32,36,40),0)/100)))+1)),0)</f>
        <v/>
      </c>
      <c r="S537" t="n">
        <v>0</v>
      </c>
      <c r="U537" t="n">
        <v>0</v>
      </c>
    </row>
    <row r="538">
      <c r="A538">
        <f>Skills!A17</f>
        <v/>
      </c>
      <c r="B538">
        <f>Skills!B17</f>
        <v/>
      </c>
      <c r="C538">
        <f>Inputs!$B$3&gt;=33</f>
        <v/>
      </c>
      <c r="D538">
        <f>IF(Skills!C17=1,60+Inputs!$B$25+Inputs!$B$29,IF(Skills!C17=2,90+Inputs!$B$26+Inputs!$B$29,IF(Skills!C17=3,120+Inputs!$B$27+Inputs!$B$29,MAX(0,(Inputs!$B$3-100)*3)+Inputs!$B$28+Inputs!$B$29)))</f>
        <v/>
      </c>
      <c r="E538">
        <f>INDEX(FactorTable!$B$2:$Y$301, MATCH(ROUND(MIN(300,MAX(1,D538)),0), FactorTable!$A$2:$A$301,0), Skills!L17+1)</f>
        <v/>
      </c>
      <c r="F538">
        <f>IF(Skills!M17=TRUE,(Skills!K17/10)*(E538/1000),Skills!K17/10)+Skills!N17</f>
        <v/>
      </c>
      <c r="G538">
        <f>Calc!G17</f>
        <v/>
      </c>
      <c r="H538">
        <f>Calc!H17</f>
        <v/>
      </c>
      <c r="I538">
        <f>IF(Skills!T17&lt;&gt;"",1+(Skills!T17/10)*(Z524/1000)/100,1)</f>
        <v/>
      </c>
      <c r="J538" t="inlineStr"/>
      <c r="K538" t="inlineStr"/>
      <c r="L538" t="inlineStr"/>
      <c r="M538" t="inlineStr"/>
      <c r="N538" t="inlineStr"/>
      <c r="O538">
        <f>(1-Summary!$B$11)*S538+Summary!$B$11*U538</f>
        <v/>
      </c>
      <c r="P538">
        <f>IF(B558=0,0,O538/B558)</f>
        <v/>
      </c>
      <c r="Q538">
        <f>IFERROR(1/(IF(Inputs!$B$38="pvp",15,MAX(0.1,Skills!D17-IF(TRUE=TRUE,Inputs!$B$32,0)))*(1-IF(AND(ArtifactsInput!$M$27,Inputs!$B$4="Chapter Hunt"),CHOOSE(ArtifactsInput!$N$27+1,20,24,28,32,36,40),0)/100)),0)</f>
        <v/>
      </c>
      <c r="R538" t="n">
        <v>0</v>
      </c>
      <c r="S538" t="n">
        <v>0</v>
      </c>
      <c r="U538" t="n">
        <v>0</v>
      </c>
    </row>
    <row r="539">
      <c r="A539">
        <f>Skills!A18</f>
        <v/>
      </c>
      <c r="B539">
        <f>Skills!B18</f>
        <v/>
      </c>
      <c r="C539">
        <f>Inputs!$B$3&gt;=43</f>
        <v/>
      </c>
      <c r="D539">
        <f>IF(Skills!C18=1,60+Inputs!$B$25+Inputs!$B$29,IF(Skills!C18=2,90+Inputs!$B$26+Inputs!$B$29,IF(Skills!C18=3,120+Inputs!$B$27+Inputs!$B$29,MAX(0,(Inputs!$B$3-100)*3)+Inputs!$B$28+Inputs!$B$29)))</f>
        <v/>
      </c>
      <c r="E539">
        <f>INDEX(FactorTable!$B$2:$Y$301, MATCH(ROUND(MIN(300,MAX(1,D539)),0), FactorTable!$A$2:$A$301,0), Skills!L18+1)</f>
        <v/>
      </c>
      <c r="F539">
        <f>IF(Skills!M18=TRUE,(Skills!K18/10)*(E539/1000),Skills!K18/10)+Skills!N18</f>
        <v/>
      </c>
      <c r="G539">
        <f>Calc!G18</f>
        <v/>
      </c>
      <c r="H539">
        <f>Calc!H18</f>
        <v/>
      </c>
      <c r="I539">
        <f>IF(Skills!T18&lt;&gt;"",1+(Skills!T18/10)*(Z524/1000)/100,1)</f>
        <v/>
      </c>
      <c r="J539" t="inlineStr"/>
      <c r="K539" t="inlineStr"/>
      <c r="L539" t="inlineStr"/>
      <c r="M539" t="inlineStr"/>
      <c r="N539" t="inlineStr"/>
      <c r="O539">
        <f>(1-Summary!$B$11)*S539+Summary!$B$11*U539</f>
        <v/>
      </c>
      <c r="P539">
        <f>IF(B558=0,0,O539/B558)</f>
        <v/>
      </c>
      <c r="Q539">
        <f>IFERROR(1/(IF(Inputs!$B$38="pvp",15,MAX(0.1,Skills!D18-IF(TRUE=TRUE,Inputs!$B$32,0)))*(1-IF(AND(ArtifactsInput!$M$27,Inputs!$B$4="Chapter Hunt"),CHOOSE(ArtifactsInput!$N$27+1,20,24,28,32,36,40),0)/100)),0)</f>
        <v/>
      </c>
      <c r="R539" t="n">
        <v>0</v>
      </c>
      <c r="S539" t="n">
        <v>0</v>
      </c>
      <c r="U539" t="n">
        <v>0</v>
      </c>
    </row>
    <row r="540">
      <c r="A540">
        <f>Skills!A19</f>
        <v/>
      </c>
      <c r="B540">
        <f>Skills!B19</f>
        <v/>
      </c>
      <c r="C540">
        <f>Inputs!$B$3&gt;=50</f>
        <v/>
      </c>
      <c r="D540">
        <f>IF(Skills!C19=1,60+Inputs!$B$25+Inputs!$B$29,IF(Skills!C19=2,90+Inputs!$B$26+Inputs!$B$29,IF(Skills!C19=3,120+Inputs!$B$27+Inputs!$B$29,MAX(0,(Inputs!$B$3-100)*3)+Inputs!$B$28+Inputs!$B$29)))</f>
        <v/>
      </c>
      <c r="E540">
        <f>INDEX(FactorTable!$B$2:$Y$301, MATCH(ROUND(MIN(300,MAX(1,D540)),0), FactorTable!$A$2:$A$301,0), Skills!L19+1)</f>
        <v/>
      </c>
      <c r="F540">
        <f>IF(Skills!M19=TRUE,(Skills!K19/10)*(E540/1000),Skills!K19/10)+Skills!N19</f>
        <v/>
      </c>
      <c r="G540">
        <f>Calc!G19</f>
        <v/>
      </c>
      <c r="H540">
        <f>Calc!H19</f>
        <v/>
      </c>
      <c r="I540">
        <f>IF(Skills!T19&lt;&gt;"",1+(Skills!T19/10)*(Z524/1000)/100,1)</f>
        <v/>
      </c>
      <c r="J540" t="inlineStr"/>
      <c r="K540" t="inlineStr"/>
      <c r="L540" t="inlineStr"/>
      <c r="M540" t="inlineStr"/>
      <c r="N540" t="inlineStr"/>
      <c r="O540">
        <f>(1-Summary!$B$11)*S540+Summary!$B$11*U540</f>
        <v/>
      </c>
      <c r="P540">
        <f>IF(B558=0,0,O540/B558)</f>
        <v/>
      </c>
      <c r="Q540">
        <f>IFERROR(1/(IF(Inputs!$B$38="pvp",15,MAX(0.1,Skills!D19-IF(TRUE=TRUE,Inputs!$B$32,0)))*(1-IF(AND(ArtifactsInput!$M$27,Inputs!$B$4="Chapter Hunt"),CHOOSE(ArtifactsInput!$N$27+1,20,24,28,32,36,40),0)/100)),0)</f>
        <v/>
      </c>
      <c r="R540" t="n">
        <v>0</v>
      </c>
      <c r="S540" t="n">
        <v>0</v>
      </c>
      <c r="U540" t="n">
        <v>0</v>
      </c>
    </row>
    <row r="541">
      <c r="A541">
        <f>Skills!A20</f>
        <v/>
      </c>
      <c r="B541">
        <f>Skills!B20</f>
        <v/>
      </c>
      <c r="C541">
        <f>Inputs!$B$3&gt;=74</f>
        <v/>
      </c>
      <c r="D541">
        <f>IF(Skills!C20=1,60+Inputs!$B$25+Inputs!$B$29,IF(Skills!C20=2,90+Inputs!$B$26+Inputs!$B$29,IF(Skills!C20=3,120+Inputs!$B$27+Inputs!$B$29,MAX(0,(Inputs!$B$3-100)*3)+Inputs!$B$28+Inputs!$B$29)))</f>
        <v/>
      </c>
      <c r="E541">
        <f>INDEX(FactorTable!$B$2:$Y$301, MATCH(ROUND(MIN(300,MAX(1,D541)),0), FactorTable!$A$2:$A$301,0), Skills!L20+1)</f>
        <v/>
      </c>
      <c r="F541">
        <f>IF(Skills!M20=TRUE,(Skills!K20/10)*(E541/1000),Skills!K20/10)+Skills!N20</f>
        <v/>
      </c>
      <c r="G541">
        <f>Calc!G20</f>
        <v/>
      </c>
      <c r="H541">
        <f>Calc!H20</f>
        <v/>
      </c>
      <c r="I541">
        <f>IF(Skills!T20&lt;&gt;"",1+(Skills!T20/10)*(Z524/1000)/100,1)</f>
        <v/>
      </c>
      <c r="J541" t="inlineStr"/>
      <c r="K541" t="inlineStr"/>
      <c r="L541" t="inlineStr"/>
      <c r="M541" t="inlineStr"/>
      <c r="N541" t="inlineStr"/>
      <c r="O541">
        <f>(1-Summary!$B$11)*S541+Summary!$B$11*U541</f>
        <v/>
      </c>
      <c r="P541">
        <f>IF(B558=0,0,O541/B558)</f>
        <v/>
      </c>
      <c r="Q541">
        <f>IFERROR(1/(IF(Inputs!$B$38="pvp",15,MAX(0.1,Skills!D20-IF(TRUE=TRUE,Inputs!$B$32,0)))*(1-IF(AND(ArtifactsInput!$M$27,Inputs!$B$4="Chapter Hunt"),CHOOSE(ArtifactsInput!$N$27+1,20,24,28,32,36,40),0)/100)),0)</f>
        <v/>
      </c>
      <c r="R541" t="n">
        <v>0</v>
      </c>
      <c r="S541" t="n">
        <v>0</v>
      </c>
      <c r="U541" t="n">
        <v>0</v>
      </c>
    </row>
    <row r="542">
      <c r="A542">
        <f>Skills!A21</f>
        <v/>
      </c>
      <c r="B542">
        <f>Skills!B21</f>
        <v/>
      </c>
      <c r="C542">
        <f>Inputs!$B$3&gt;=74</f>
        <v/>
      </c>
      <c r="D542">
        <f>IF(Skills!C21=1,60+Inputs!$B$25+Inputs!$B$29,IF(Skills!C21=2,90+Inputs!$B$26+Inputs!$B$29,IF(Skills!C21=3,120+Inputs!$B$27+Inputs!$B$29,MAX(0,(Inputs!$B$3-100)*3)+Inputs!$B$28+Inputs!$B$29)))</f>
        <v/>
      </c>
      <c r="E542">
        <f>INDEX(FactorTable!$B$2:$Y$301, MATCH(ROUND(MIN(300,MAX(1,D542)),0), FactorTable!$A$2:$A$301,0), Skills!L21+1)</f>
        <v/>
      </c>
      <c r="F542">
        <f>IF(Skills!M21=TRUE,(Skills!K21/10)*(E542/1000),Skills!K21/10)+Skills!N21</f>
        <v/>
      </c>
      <c r="G542">
        <f>Calc!G21</f>
        <v/>
      </c>
      <c r="H542">
        <f>Calc!H21</f>
        <v/>
      </c>
      <c r="I542">
        <f>IF(Skills!T21&lt;&gt;"",1+(Skills!T21/10)*(Z524/1000)/100,1)</f>
        <v/>
      </c>
      <c r="J542" t="inlineStr"/>
      <c r="K542" t="inlineStr"/>
      <c r="L542" t="inlineStr"/>
      <c r="M542" t="inlineStr"/>
      <c r="N542" t="inlineStr"/>
      <c r="O542">
        <f>(1-Summary!$B$11)*S542+Summary!$B$11*U542</f>
        <v/>
      </c>
      <c r="P542">
        <f>IF(B558=0,0,O542/B558)</f>
        <v/>
      </c>
      <c r="Q542">
        <f>IFERROR(1/(IF(Inputs!$B$38="pvp",15,MAX(0.1,Skills!D21-IF(TRUE=TRUE,Inputs!$B$32,0)))*(1-IF(AND(ArtifactsInput!$M$27,Inputs!$B$4="Chapter Hunt"),CHOOSE(ArtifactsInput!$N$27+1,20,24,28,32,36,40),0)/100)),0)</f>
        <v/>
      </c>
      <c r="R542" t="n">
        <v>0</v>
      </c>
      <c r="S542" t="n">
        <v>0</v>
      </c>
      <c r="U542" t="n">
        <v>0</v>
      </c>
    </row>
    <row r="543">
      <c r="A543">
        <f>Skills!A22</f>
        <v/>
      </c>
      <c r="B543">
        <f>Skills!B22</f>
        <v/>
      </c>
      <c r="C543">
        <f>Inputs!$B$3&gt;=117</f>
        <v/>
      </c>
      <c r="D543">
        <f>IF(Skills!C22=1,60+Inputs!$B$25+Inputs!$B$29,IF(Skills!C22=2,90+Inputs!$B$26+Inputs!$B$29,IF(Skills!C22=3,120+Inputs!$B$27+Inputs!$B$29,MAX(0,(Inputs!$B$3-100)*3)+Inputs!$B$28+Inputs!$B$29)))</f>
        <v/>
      </c>
      <c r="E543">
        <f>INDEX(FactorTable!$B$2:$Y$301, MATCH(ROUND(MIN(300,MAX(1,D543)),0), FactorTable!$A$2:$A$301,0), Skills!L22+1)</f>
        <v/>
      </c>
      <c r="F543">
        <f>IF(Skills!M22=TRUE,(Skills!K22/10)*(E543/1000),Skills!K22/10)+Skills!N22</f>
        <v/>
      </c>
      <c r="G543">
        <f>Calc!G22</f>
        <v/>
      </c>
      <c r="H543">
        <f>Calc!H22</f>
        <v/>
      </c>
      <c r="I543">
        <f>IF(Skills!T22&lt;&gt;"",1+(Skills!T22/10)*(Z524/1000)/100,1)</f>
        <v/>
      </c>
      <c r="J543" t="inlineStr"/>
      <c r="K543" t="inlineStr"/>
      <c r="L543" t="inlineStr"/>
      <c r="M543" t="inlineStr"/>
      <c r="N543" t="inlineStr"/>
      <c r="O543">
        <f>(1-Summary!$B$11)*S543+Summary!$B$11*U543</f>
        <v/>
      </c>
      <c r="P543">
        <f>IF(B558=0,0,O543/B558)</f>
        <v/>
      </c>
      <c r="Q543">
        <f>IFERROR(1/(IF(Inputs!$B$38="pvp",15,MAX(0.1,Skills!D22-IF(TRUE=TRUE,Inputs!$B$32,0)))*(1-IF(AND(ArtifactsInput!$M$27,Inputs!$B$4="Chapter Hunt"),CHOOSE(ArtifactsInput!$N$27+1,20,24,28,32,36,40),0)/100)),0)</f>
        <v/>
      </c>
      <c r="R543" t="n">
        <v>0</v>
      </c>
      <c r="S543" t="n">
        <v>0</v>
      </c>
      <c r="U543" t="n">
        <v>0</v>
      </c>
    </row>
    <row r="544">
      <c r="A544">
        <f>Skills!A23</f>
        <v/>
      </c>
      <c r="B544">
        <f>Skills!B23</f>
        <v/>
      </c>
      <c r="C544">
        <f>Inputs!$B$3&gt;=120</f>
        <v/>
      </c>
      <c r="D544">
        <f>IF(Skills!C23=1,60+Inputs!$B$25+Inputs!$B$29,IF(Skills!C23=2,90+Inputs!$B$26+Inputs!$B$29,IF(Skills!C23=3,120+Inputs!$B$27+Inputs!$B$29,MAX(0,(Inputs!$B$3-100)*3)+Inputs!$B$28+Inputs!$B$29)))</f>
        <v/>
      </c>
      <c r="E544">
        <f>INDEX(FactorTable!$B$2:$Y$301, MATCH(ROUND(MIN(300,MAX(1,D544)),0), FactorTable!$A$2:$A$301,0), Skills!L23+1)</f>
        <v/>
      </c>
      <c r="F544">
        <f>IF(Skills!M23=TRUE,(Skills!K23/10)*(E544/1000),Skills!K23/10)+Skills!N23</f>
        <v/>
      </c>
      <c r="G544">
        <f>Calc!G23</f>
        <v/>
      </c>
      <c r="H544">
        <f>Calc!H23</f>
        <v/>
      </c>
      <c r="I544">
        <f>IF(Skills!T23&lt;&gt;"",1+(Skills!T23/10)*(Z524/1000)/100,1)</f>
        <v/>
      </c>
      <c r="J544" t="inlineStr"/>
      <c r="K544" t="inlineStr"/>
      <c r="L544" t="inlineStr"/>
      <c r="M544" t="inlineStr"/>
      <c r="N544" t="inlineStr"/>
      <c r="O544">
        <f>(1-Summary!$B$11)*S544+Summary!$B$11*U544</f>
        <v/>
      </c>
      <c r="P544">
        <f>IF(B558=0,0,O544/B558)</f>
        <v/>
      </c>
      <c r="Q544">
        <f>IFERROR(1/(IF(Inputs!$B$38="pvp",15,MAX(0.1,Skills!D23-IF(TRUE=TRUE,Inputs!$B$32,0)))*(1-IF(AND(ArtifactsInput!$M$27,Inputs!$B$4="Chapter Hunt"),CHOOSE(ArtifactsInput!$N$27+1,20,24,28,32,36,40),0)/100)),0)</f>
        <v/>
      </c>
      <c r="R544" t="n">
        <v>0</v>
      </c>
      <c r="S544" t="n">
        <v>0</v>
      </c>
      <c r="U544" t="n">
        <v>0</v>
      </c>
    </row>
    <row r="545">
      <c r="A545">
        <f>Skills!A24</f>
        <v/>
      </c>
      <c r="B545">
        <f>Skills!B24</f>
        <v/>
      </c>
      <c r="C545">
        <f>TRUE</f>
        <v/>
      </c>
      <c r="D545">
        <f>IF(Skills!C24=1,60+Inputs!$B$25+Inputs!$B$29,IF(Skills!C24=2,90+Inputs!$B$26+Inputs!$B$29,IF(Skills!C24=3,120+Inputs!$B$27+Inputs!$B$29,MAX(0,(Inputs!$B$3-100)*3)+Inputs!$B$28+Inputs!$B$29)))</f>
        <v/>
      </c>
      <c r="E545">
        <f>INDEX(FactorTable!$B$2:$Y$301, MATCH(ROUND(MIN(300,MAX(1,D545)),0), FactorTable!$A$2:$A$301,0), Skills!L24+1)</f>
        <v/>
      </c>
      <c r="F545">
        <f>IF(Skills!M24=TRUE,(Skills!K24/10)*(E545/1000),Skills!K24/10)+Skills!N24</f>
        <v/>
      </c>
      <c r="G545">
        <f>Calc!G24</f>
        <v/>
      </c>
      <c r="H545">
        <f>Calc!H24</f>
        <v/>
      </c>
      <c r="I545">
        <f>IF(Skills!T24&lt;&gt;"",1+(Skills!T24/10)*(Z524/1000)/100,1)</f>
        <v/>
      </c>
      <c r="J545" t="inlineStr"/>
      <c r="K545" t="inlineStr"/>
      <c r="L545" t="inlineStr"/>
      <c r="M545" t="inlineStr"/>
      <c r="N545" t="inlineStr"/>
      <c r="O545">
        <f>(1-Summary!$B$11)*S545+Summary!$B$11*U545</f>
        <v/>
      </c>
      <c r="P545">
        <f>IF(B558=0,0,O545/B558)</f>
        <v/>
      </c>
      <c r="Q545">
        <f>IFERROR(1/(IF(Inputs!$B$38="pvp",15,MAX(0.1,Skills!D24-IF(TRUE=TRUE,Inputs!$B$32,0)))*(1-IF(AND(ArtifactsInput!$M$27,Inputs!$B$4="Chapter Hunt"),CHOOSE(ArtifactsInput!$N$27+1,20,24,28,32,36,40),0)/100)),0)</f>
        <v/>
      </c>
      <c r="R545">
        <f>IF(AND(Inputs!$B$38&lt;&gt;"pvp",Inputs!$B$43&gt;0),IF(Inputs!$B$43&lt;=0,0,(INT(Inputs!$B$43/(IF(Inputs!$B$38="pvp",15,MAX(0.1,Skills!D24-IF(TRUE=TRUE,Inputs!$B$32,0)))*(1-IF(AND(ArtifactsInput!$M$27,Inputs!$B$4="Chapter Hunt"),CHOOSE(ArtifactsInput!$N$27+1,20,24,28,32,36,40),0)/100)))+1)),0)</f>
        <v/>
      </c>
      <c r="S545" t="n">
        <v>0</v>
      </c>
      <c r="U545" t="n">
        <v>0</v>
      </c>
    </row>
    <row r="548">
      <c r="A548" t="inlineStr">
        <is>
          <t>Average Buff Multiplier (Magic Guard + Meditation + Artifact Attack%, summed; then Infinity)</t>
        </is>
      </c>
      <c r="B548">
        <f>(1+(IF(C524=TRUE,F524*IF(AND(Inputs!$B$38&lt;&gt;"pvp",Inputs!$B$43&gt;0),(((R524-1)*MIN((Skills!S3*(1+(Inputs!$B$34)/100)),(1/Q524))+MIN((Skills!S3*(1+(Inputs!$B$34)/100)),MAX(0,Inputs!$B$43-((R524-1)*(1/Q524)))))/Inputs!$B$43),IF(Inputs!$B$38="pvp",MIN((Skills!S3*(1+(Inputs!$B$34)/100)),15)/15,MIN(1,(Skills!S3*(1+(Inputs!$B$34)/100))/(1/Q524)))),0)+IF(C525=TRUE,F525*IF(AND(Inputs!$B$38&lt;&gt;"pvp",Inputs!$B$43&gt;0),(((R525-1)*MIN((Skills!S4*(1+(Inputs!$B$34)/100)),(1/Q525))+MIN((Skills!S4*(1+(Inputs!$B$34)/100)),MAX(0,Inputs!$B$43-((R525-1)*(1/Q525)))))/Inputs!$B$43),IF(Inputs!$B$38="pvp",MIN((Skills!S4*(1+(Inputs!$B$34)/100)),15)/15,MIN(1,(Skills!S4*(1+(Inputs!$B$34)/100))/(1/Q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537=TRUE,(1+F537*IF(AND(Inputs!$B$38&lt;&gt;"pvp",Inputs!$B$43&gt;0),(((R537-1)*MIN((Skills!S16*(1+(Inputs!$B$34)/100)),(1/Q537))+MIN((Skills!S16*(1+(Inputs!$B$34)/100)),MAX(0,Inputs!$B$43-((R537-1)*(1/Q537)))))/Inputs!$B$43),IF(Inputs!$B$38="pvp",MIN((Skills!S16*(1+(Inputs!$B$34)/100)),15)/15,MIN(1,(Skills!S16*(1+(Inputs!$B$34)/100))/(1/Q537))))/100),1)</f>
        <v/>
      </c>
    </row>
    <row r="549">
      <c r="A549" t="inlineStr">
        <is>
          <t>Monster Damage Taken Bonus % (Freezing Breath - Weaken + Elemental Reset + Artifact Enemy Damage Taken, summed)</t>
        </is>
      </c>
      <c r="B549">
        <f>IF(Inputs!$B$3&gt;=118,15*IF(Inputs!$B$38="pvp",MIN((30*(1+(Inputs!$B$34)/100)),15)/15,MIN(1,(30*(1+(Inputs!$B$34)/100))/(1/Q529))),0)+IF(C535=TRUE,F535,0)+(IF(AND(ArtifactsInput!$M$35,Inputs!$B$4&lt;&gt;"Chapter Hunt"),CHOOSE(ArtifactsInput!$N$35+1,15,18,21,24,27,30)*(1-EXP(-(0.2*B552)*5)),0)+IF(AND(ArtifactsInput!$M$22,Inputs!$B$4&lt;&gt;"Chapter Hunt"),CHOOSE(ArtifactsInput!$N$22+1,10,12,14,16,18,20)*((0*(((0.15*B552*5))^0/1)+1*(((0.15*B552*5))^1/1)+2*(((0.15*B552*5))^2/2)+3*(((0.15*B552*5))^3/6)+4*(((0.15*B552*5))^4/24)+5*(((0.15*B552*5))^5/120))/((((0.15*B552*5))^0/1)+(((0.15*B552*5))^1/1)+(((0.15*B552*5))^2/2)+(((0.15*B552*5))^3/6)+(((0.15*B552*5))^4/24)+(((0.15*B552*5))^5/120))),0))</f>
        <v/>
      </c>
    </row>
    <row r="550">
      <c r="A550" t="inlineStr">
        <is>
          <t>Damage % Bonus (Frozen Break + Frost Clutch, flat)</t>
        </is>
      </c>
      <c r="B550">
        <f>IF(Inputs!$B$3&gt;=66,15,0)+IF(Inputs!$B$3&gt;=98,10,0)+IF(Inputs!$B$3&gt;=125,20,0)</f>
        <v/>
      </c>
    </row>
    <row r="551">
      <c r="A551" t="inlineStr">
        <is>
          <t>Attack Speed Bonus % (MP Eater - MP Boost, always-on + Nimble Feet, duty-cycle averaged)</t>
        </is>
      </c>
      <c r="B551">
        <f>IF(C534=TRUE,F534+(F538-Calc!F17),0)+((C545=TRUE)*F545*IF(AND(Inputs!$B$38&lt;&gt;"pvp",Inputs!$B$43&gt;0),(((R545-1)*MIN((Skills!S24*(1+(Inputs!$B$34)/100)),(1/Q545))+MIN((Skills!S24*(1+(Inputs!$B$34)/100)),MAX(0,Inputs!$B$43-((R545-1)*(1/Q545)))))/Inputs!$B$43),IF(Inputs!$B$38="pvp",MIN((Skills!S24*(1+(Inputs!$B$34)/100)),15)/15,MIN(1,(Skills!S24*(1+(Inputs!$B$34)/100))/(1/Q545)))))</f>
        <v/>
      </c>
    </row>
    <row r="552">
      <c r="A552" t="inlineStr">
        <is>
          <t>Actions Per Second</t>
        </is>
      </c>
      <c r="B552">
        <f>1+MIN(150,150*(1-(1-(((1-(1-Inputs!$B$11/150)*(1-1/150))*150)+(ArtifactsInput!$M$15-ArtifactsInput!$M$15)*CHOOSE(ArtifactsInput!$N$15+1,8,9.6,11.2,12.8,14.4,16))/150)*(1-B551/150)))/100</f>
        <v/>
      </c>
    </row>
    <row r="553">
      <c r="A553" t="inlineStr">
        <is>
          <t>Skill + Buff Cast Rate</t>
        </is>
      </c>
      <c r="B553">
        <f>IF(AND(Inputs!$B$38&lt;&gt;"pvp",Inputs!$B$43&gt;0),SUMPRODUCT((Skills!E2:E24=TRUE)*(C523:C545=TRUE)*R523:R545)/Inputs!$B$43,SUMPRODUCT((Skills!E2:E24=TRUE)*(C523:C545=TRUE)*Q523:Q545))</f>
        <v/>
      </c>
    </row>
    <row r="554">
      <c r="A554" t="inlineStr">
        <is>
          <t>Chain Lightning Casts Per Second</t>
        </is>
      </c>
      <c r="B554">
        <f>MAX(0,B552-B553)</f>
        <v/>
      </c>
    </row>
    <row r="555">
      <c r="A555" t="inlineStr">
        <is>
          <t>Buff-Casting Startup Delay (s, fixed-duration only)</t>
        </is>
      </c>
      <c r="B555">
        <f>IF(AND(Inputs!$B$38&lt;&gt;"pvp",Inputs!$B$43&gt;0),SUMPRODUCT((Skills!S2:S24&gt;0)*(Skills!E2:E24=TRUE)*(C523:C545=TRUE))/B552,0)</f>
        <v/>
      </c>
    </row>
    <row r="556">
      <c r="A556" t="inlineStr">
        <is>
          <t>Boss-Only Total DPS (this block's swept value)</t>
        </is>
      </c>
      <c r="B556">
        <f>SUM(S523:S545)</f>
        <v/>
      </c>
    </row>
    <row r="557">
      <c r="A557" t="inlineStr">
        <is>
          <t>Normal-Only Total DPS (this block's swept value)</t>
        </is>
      </c>
      <c r="B557">
        <f>SUM(U523:U545)</f>
        <v/>
      </c>
    </row>
    <row r="558">
      <c r="A558" s="6" t="inlineStr">
        <is>
          <t>TOTAL DPS</t>
        </is>
      </c>
      <c r="B558" s="6">
        <f>SUM(O523:O545)</f>
        <v/>
      </c>
    </row>
    <row r="559">
      <c r="A559" t="inlineStr">
        <is>
          <t>Blizzard Final Attack trigger rate (this block's own Q/R)</t>
        </is>
      </c>
      <c r="B559">
        <f>IF(AND(Inputs!$B$38&lt;&gt;"pvp",Inputs!$B$43&gt;0),(((C526=TRUE)*R526*1)+((C527=TRUE)*R527*1)+((C529=TRUE)*R529*1)+((C530=TRUE)*R530*3)+((C532=TRUE)*R532*1))/Inputs!$B$43,((C526=TRUE)*Q526*1)+((C527=TRUE)*Q527*1)+((C529=TRUE)*Q529*1)+((C530=TRUE)*Q530*3)+((C532=TRUE)*Q532*1))+B554</f>
        <v/>
      </c>
    </row>
    <row r="562">
      <c r="A562" s="6" t="inlineStr">
        <is>
          <t>Stat: DEF_PEN % (diminishing returns, factor 100)</t>
        </is>
      </c>
    </row>
    <row r="563">
      <c r="A563" s="5" t="inlineStr">
        <is>
          <t>Key</t>
        </is>
      </c>
      <c r="B563" s="5" t="inlineStr">
        <is>
          <t>Name</t>
        </is>
      </c>
      <c r="C563" s="5" t="inlineStr">
        <is>
          <t>Unlocked</t>
        </is>
      </c>
      <c r="D563" s="5" t="inlineStr">
        <is>
          <t>InputLevel</t>
        </is>
      </c>
      <c r="E563" s="5" t="inlineStr">
        <is>
          <t>Factor</t>
        </is>
      </c>
      <c r="F563" s="5" t="inlineStr">
        <is>
          <t>CoefficientPercent</t>
        </is>
      </c>
      <c r="G563" s="5" t="inlineStr">
        <is>
          <t>EffectiveHits</t>
        </is>
      </c>
      <c r="H563" s="5" t="inlineStr">
        <is>
          <t>ProcProbability</t>
        </is>
      </c>
      <c r="I563" s="5" t="inlineStr">
        <is>
          <t>MapleHeroMultiplier</t>
        </is>
      </c>
      <c r="J563" s="5" t="inlineStr">
        <is>
          <t>BaseDamage</t>
        </is>
      </c>
      <c r="K563" s="5" t="inlineStr">
        <is>
          <t>BaseHitDamage</t>
        </is>
      </c>
      <c r="L563" s="5" t="inlineStr">
        <is>
          <t>NonCritAvg</t>
        </is>
      </c>
      <c r="M563" s="5" t="inlineStr">
        <is>
          <t>CritAvg</t>
        </is>
      </c>
      <c r="N563" s="5" t="inlineStr">
        <is>
          <t>ExpectedDamage(perHit)</t>
        </is>
      </c>
      <c r="O563" s="5" t="inlineStr">
        <is>
          <t>DPS</t>
        </is>
      </c>
      <c r="P563" s="5" t="inlineStr">
        <is>
          <t>% of Total</t>
        </is>
      </c>
      <c r="R563" t="inlineStr">
        <is>
          <t>helpers</t>
        </is>
      </c>
    </row>
    <row r="564">
      <c r="A564">
        <f>Skills!A2</f>
        <v/>
      </c>
      <c r="B564">
        <f>Skills!B2</f>
        <v/>
      </c>
      <c r="C564">
        <f>Inputs!$B$3&gt;=100</f>
        <v/>
      </c>
      <c r="D564" t="inlineStr"/>
      <c r="E564" t="inlineStr"/>
      <c r="F564">
        <f>T566+Skills!N2</f>
        <v/>
      </c>
      <c r="G564">
        <f>Calc!G2</f>
        <v/>
      </c>
      <c r="H564">
        <f>Calc!H2</f>
        <v/>
      </c>
      <c r="I564">
        <f>IF(Skills!T2&lt;&gt;"",1+(Skills!T2/10)*(Z565/1000)/100,1)</f>
        <v/>
      </c>
      <c r="J564">
        <f>((Inputs!$B$6*(1+Inputs!$B$7/100))+(((Inputs!$B$12*(1+Inputs!$B$13/100))-(Inputs!$B$12*(1+Inputs!$B$13/100)))+0.25*(Inputs!$B$14-Inputs!$B$14))*(1+Inputs!$B$7/100))*(F564/100)</f>
        <v/>
      </c>
      <c r="K564">
        <f>J564*(1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2="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564)</f>
        <v/>
      </c>
      <c r="L564">
        <f>K564*(MIN(Inputs!$B$22+(F580-Calc!F18),(Inputs!$B$23+(IF(ArtifactsInput!$M$15,CHOOSE(ArtifactsInput!$N$15+1,25,30,35,40,45,50)/100*(Inputs!$B$11-Inputs!$B$11),0))))/100+(Inputs!$B$23+(IF(ArtifactsInput!$M$15,CHOOSE(ArtifactsInput!$N$15+1,25,30,35,40,45,50)/100*(Inputs!$B$11-Inputs!$B$11),0)))/100)/2</f>
        <v/>
      </c>
      <c r="M564">
        <f>L564*(1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4">
        <f>L564*(1-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564*(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4">
        <f>(1-Summary!$B$11)*S564+Summary!$B$11*U564</f>
        <v/>
      </c>
      <c r="P564">
        <f>IF(B599=0,0,O564/B599)</f>
        <v/>
      </c>
      <c r="Q564">
        <f>IFERROR(1/(IF(Inputs!$B$38="pvp",15,MAX(0.1,Skills!D2-IF(TRUE=TRUE,Inputs!$B$32,0)))*(1-IF(AND(ArtifactsInput!$M$27,Inputs!$B$4="Chapter Hunt"),CHOOSE(ArtifactsInput!$N$27+1,20,24,28,32,36,40),0)/100)),0)</f>
        <v/>
      </c>
      <c r="R564" t="n">
        <v>0</v>
      </c>
      <c r="S564">
        <f>IF(C564,(Skills!F2*N564*B595)*IF(Inputs!$B$38="pvp",1,1+(Inputs!$B$20+Skills!O2+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564*(1-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564*(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564*(1-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564*(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564">
        <f>MAX(0,(Inputs!$B$3-100)*3)+Inputs!$B$28+Inputs!$B$29</f>
        <v/>
      </c>
      <c r="U564">
        <f>IF(C564,(Skills!F2*N564*B595)*IF(Inputs!$B$38="pvp",1,(1+(Inputs!$B$21+Skills!P2+B590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564">
        <f>MAX(0,(Inputs!$B$3-100)*3)+Inputs!$B$28+Inputs!$B$29</f>
        <v/>
      </c>
    </row>
    <row r="565">
      <c r="A565">
        <f>Skills!A3</f>
        <v/>
      </c>
      <c r="B565">
        <f>Skills!B3</f>
        <v/>
      </c>
      <c r="C565">
        <f>Inputs!$B$3&gt;=15</f>
        <v/>
      </c>
      <c r="D565">
        <f>IF(Skills!C3=1,60+Inputs!$B$25+Inputs!$B$29,IF(Skills!C3=2,90+Inputs!$B$26+Inputs!$B$29,IF(Skills!C3=3,120+Inputs!$B$27+Inputs!$B$29,MAX(0,(Inputs!$B$3-100)*3)+Inputs!$B$28+Inputs!$B$29)))</f>
        <v/>
      </c>
      <c r="E565">
        <f>INDEX(FactorTable!$B$2:$Y$301, MATCH(ROUND(MIN(300,MAX(1,D565)),0), FactorTable!$A$2:$A$301,0), Skills!L3+1)</f>
        <v/>
      </c>
      <c r="F565">
        <f>IF(Skills!M3=TRUE,(Skills!K3/10)*(E565/1000),Skills!K3/10)+Skills!N3</f>
        <v/>
      </c>
      <c r="G565">
        <f>Calc!G3</f>
        <v/>
      </c>
      <c r="H565">
        <f>Calc!H3</f>
        <v/>
      </c>
      <c r="I565">
        <f>IF(Skills!T3&lt;&gt;"",1+(Skills!T3/10)*(Z565/1000)/100,1)</f>
        <v/>
      </c>
      <c r="J565" t="inlineStr"/>
      <c r="K565" t="inlineStr"/>
      <c r="L565" t="inlineStr"/>
      <c r="M565" t="inlineStr"/>
      <c r="N565" t="inlineStr"/>
      <c r="O565">
        <f>(1-Summary!$B$11)*S565+Summary!$B$11*U565</f>
        <v/>
      </c>
      <c r="P565">
        <f>IF(B599=0,0,O565/B599)</f>
        <v/>
      </c>
      <c r="Q565">
        <f>IFERROR(1/(IF(Inputs!$B$38="pvp",15,MAX(0.1,Skills!D3-IF(TRUE=TRUE,Inputs!$B$32,0)))*(1-IF(AND(ArtifactsInput!$M$27,Inputs!$B$4="Chapter Hunt"),CHOOSE(ArtifactsInput!$N$27+1,20,24,28,32,36,40),0)/100)),0)</f>
        <v/>
      </c>
      <c r="R565">
        <f>IF(AND(Inputs!$B$38&lt;&gt;"pvp",Inputs!$B$43&gt;0),IF(Inputs!$B$43&lt;=0,0,(INT(Inputs!$B$43/(IF(Inputs!$B$38="pvp",15,MAX(0.1,Skills!D3-IF(TRUE=TRUE,Inputs!$B$32,0)))*(1-IF(AND(ArtifactsInput!$M$27,Inputs!$B$4="Chapter Hunt"),CHOOSE(ArtifactsInput!$N$27+1,20,24,28,32,36,40),0)/100)))+1)),0)</f>
        <v/>
      </c>
      <c r="S565" t="n">
        <v>0</v>
      </c>
      <c r="T565">
        <f>INDEX(FactorTable!$B$2:$Y$301, MATCH(ROUND(MIN(300,MAX(1,T564)),0), FactorTable!$A$2:$A$301,0), 22)</f>
        <v/>
      </c>
      <c r="U565" t="n">
        <v>0</v>
      </c>
      <c r="Z565">
        <f>INDEX(FactorTable!$B$2:$Y$301, MATCH(ROUND(MIN(300,MAX(1,Z564)),0), FactorTable!$A$2:$A$301,0), 24)</f>
        <v/>
      </c>
    </row>
    <row r="566">
      <c r="A566">
        <f>Skills!A4</f>
        <v/>
      </c>
      <c r="B566">
        <f>Skills!B4</f>
        <v/>
      </c>
      <c r="C566">
        <f>Inputs!$B$3&gt;=40</f>
        <v/>
      </c>
      <c r="D566">
        <f>IF(Skills!C4=1,60+Inputs!$B$25+Inputs!$B$29,IF(Skills!C4=2,90+Inputs!$B$26+Inputs!$B$29,IF(Skills!C4=3,120+Inputs!$B$27+Inputs!$B$29,MAX(0,(Inputs!$B$3-100)*3)+Inputs!$B$28+Inputs!$B$29)))</f>
        <v/>
      </c>
      <c r="E566">
        <f>INDEX(FactorTable!$B$2:$Y$301, MATCH(ROUND(MIN(300,MAX(1,D566)),0), FactorTable!$A$2:$A$301,0), Skills!L4+1)</f>
        <v/>
      </c>
      <c r="F566">
        <f>IF(Skills!M4=TRUE,(Skills!K4/10)*(E566/1000),Skills!K4/10)+Skills!N4</f>
        <v/>
      </c>
      <c r="G566">
        <f>Calc!G4</f>
        <v/>
      </c>
      <c r="H566">
        <f>Calc!H4</f>
        <v/>
      </c>
      <c r="I566">
        <f>IF(Skills!T4&lt;&gt;"",1+(Skills!T4/10)*(Z565/1000)/100,1)</f>
        <v/>
      </c>
      <c r="J566" t="inlineStr"/>
      <c r="K566" t="inlineStr"/>
      <c r="L566" t="inlineStr"/>
      <c r="M566" t="inlineStr"/>
      <c r="N566" t="inlineStr"/>
      <c r="O566">
        <f>(1-Summary!$B$11)*S566+Summary!$B$11*U566</f>
        <v/>
      </c>
      <c r="P566">
        <f>IF(B599=0,0,O566/B599)</f>
        <v/>
      </c>
      <c r="Q566">
        <f>IFERROR(1/(IF(Inputs!$B$38="pvp",15,MAX(0.1,Skills!D4-IF(TRUE=TRUE,Inputs!$B$32,0)))*(1-IF(AND(ArtifactsInput!$M$27,Inputs!$B$4="Chapter Hunt"),CHOOSE(ArtifactsInput!$N$27+1,20,24,28,32,36,40),0)/100)),0)</f>
        <v/>
      </c>
      <c r="R566">
        <f>IF(AND(Inputs!$B$38&lt;&gt;"pvp",Inputs!$B$43&gt;0),IF(Inputs!$B$43&lt;=0,0,(INT(Inputs!$B$43/(IF(Inputs!$B$38="pvp",15,MAX(0.1,Skills!D4-IF(TRUE=TRUE,Inputs!$B$32,0)))*(1-IF(AND(ArtifactsInput!$M$27,Inputs!$B$4="Chapter Hunt"),CHOOSE(ArtifactsInput!$N$27+1,20,24,28,32,36,40),0)/100)))+1)),0)</f>
        <v/>
      </c>
      <c r="S566" t="n">
        <v>0</v>
      </c>
      <c r="T566">
        <f>290*T565/1000</f>
        <v/>
      </c>
      <c r="U566" t="n">
        <v>0</v>
      </c>
    </row>
    <row r="567">
      <c r="A567">
        <f>Skills!A5</f>
        <v/>
      </c>
      <c r="B567">
        <f>Skills!B5</f>
        <v/>
      </c>
      <c r="C567">
        <f>Inputs!$B$3&gt;=38</f>
        <v/>
      </c>
      <c r="D567">
        <f>IF(Skills!C5=1,60+Inputs!$B$25+Inputs!$B$29,IF(Skills!C5=2,90+Inputs!$B$26+Inputs!$B$29,IF(Skills!C5=3,120+Inputs!$B$27+Inputs!$B$29,MAX(0,(Inputs!$B$3-100)*3)+Inputs!$B$28+Inputs!$B$29)))</f>
        <v/>
      </c>
      <c r="E567">
        <f>INDEX(FactorTable!$B$2:$Y$301, MATCH(ROUND(MIN(300,MAX(1,D567)),0), FactorTable!$A$2:$A$301,0), Skills!L5+1)</f>
        <v/>
      </c>
      <c r="F567">
        <f>IF(Skills!M5=TRUE,(Skills!K5/10)*(E567/1000),Skills!K5/10)+Skills!N5</f>
        <v/>
      </c>
      <c r="G567">
        <f>Calc!G5</f>
        <v/>
      </c>
      <c r="H567">
        <f>Calc!H5</f>
        <v/>
      </c>
      <c r="I567">
        <f>IF(Skills!T5&lt;&gt;"",1+(Skills!T5/10)*(Z565/1000)/100,1)</f>
        <v/>
      </c>
      <c r="J567">
        <f>((Inputs!$B$6*(1+Inputs!$B$7/100))+(((Inputs!$B$12*(1+Inputs!$B$13/100))-(Inputs!$B$12*(1+Inputs!$B$13/100)))+0.25*(Inputs!$B$14-Inputs!$B$14))*(1+Inputs!$B$7/100))*(F567/100)</f>
        <v/>
      </c>
      <c r="K567">
        <f>J567*(1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5="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567)</f>
        <v/>
      </c>
      <c r="L567">
        <f>K567*(MIN(Inputs!$B$22+(F580-Calc!F18),(Inputs!$B$23+(IF(ArtifactsInput!$M$15,CHOOSE(ArtifactsInput!$N$15+1,25,30,35,40,45,50)/100*(Inputs!$B$11-Inputs!$B$11),0))))/100+(Inputs!$B$23+(IF(ArtifactsInput!$M$15,CHOOSE(ArtifactsInput!$N$15+1,25,30,35,40,45,50)/100*(Inputs!$B$11-Inputs!$B$11),0)))/100)/2</f>
        <v/>
      </c>
      <c r="M567">
        <f>L567*(1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7">
        <f>L567*(1-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567*(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7">
        <f>(1-Summary!$B$11)*S567+Summary!$B$11*U567</f>
        <v/>
      </c>
      <c r="P567">
        <f>IF(B599=0,0,O567/B599)</f>
        <v/>
      </c>
      <c r="Q567">
        <f>IFERROR(1/(IF(Inputs!$B$38="pvp",15,MAX(0.1,Skills!D5-IF(TRUE=TRUE,Inputs!$B$32,0)))*(1-IF(AND(ArtifactsInput!$M$27,Inputs!$B$4="Chapter Hunt"),CHOOSE(ArtifactsInput!$N$27+1,20,24,28,32,36,40),0)/100)),0)</f>
        <v/>
      </c>
      <c r="R567">
        <f>IF(AND(Inputs!$B$38&lt;&gt;"pvp",Inputs!$B$43&gt;0),IF(MAX(0,Inputs!$B$43-B596)&lt;=0,0,(INT(MAX(0,Inputs!$B$43-B596)/(IF(Inputs!$B$38="pvp",15,MAX(0.1,Skills!D5-IF(TRUE=TRUE,Inputs!$B$32,0)))*(1-IF(AND(ArtifactsInput!$M$27,Inputs!$B$4="Chapter Hunt"),CHOOSE(ArtifactsInput!$N$27+1,20,24,28,32,36,40),0)/100)))+1)),0)</f>
        <v/>
      </c>
      <c r="S567">
        <f>IF(C567,(H567*N567*IF(AND(Inputs!$B$38&lt;&gt;"pvp",Inputs!$B$43&gt;0),((Skills!F5*((R567-1)*IF(Skills!G5&gt;0,Skills!H5/Skills!G5,1)+IF(Skills!G5&gt;0,MIN(Skills!H5,MAX(0,MAX(0,Inputs!$B$43-B596)-((R567-1)*(IF(Inputs!$B$38="pvp",15,MAX(0.1,Skills!D5-IF(TRUE=TRUE,Inputs!$B$32,0)))*(1-IF(AND(ArtifactsInput!$M$27,Inputs!$B$4="Chapter Hunt"),CHOOSE(ArtifactsInput!$N$27+1,20,24,28,32,36,40),0)/100)))))/Skills!G5,1)))/Inputs!$B$43),G567*Q567))*IF(Inputs!$B$38="pvp",1,1+(Inputs!$B$20+Skills!O5+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567*(1-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567*(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567*(1-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567*(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7">
        <f>IF(C567,(H567*N567*IF(AND(Inputs!$B$38&lt;&gt;"pvp",Inputs!$B$43&gt;0),((Skills!F5*((R567-1)*IF(Skills!G5&gt;0,Skills!H5/Skills!G5,1)+IF(Skills!G5&gt;0,MIN(Skills!H5,MAX(0,MAX(0,Inputs!$B$43-B596)-((R567-1)*(IF(Inputs!$B$38="pvp",15,MAX(0.1,Skills!D5-IF(TRUE=TRUE,Inputs!$B$32,0)))*(1-IF(AND(ArtifactsInput!$M$27,Inputs!$B$4="Chapter Hunt"),CHOOSE(ArtifactsInput!$N$27+1,20,24,28,32,36,40),0)/100)))))/Skills!G5,1)))/Inputs!$B$43),G567*Q567))*IF(Inputs!$B$38="pvp",1,(1+(Inputs!$B$21+Skills!P5+B590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8">
      <c r="A568">
        <f>Skills!A6</f>
        <v/>
      </c>
      <c r="B568">
        <f>Skills!B6</f>
        <v/>
      </c>
      <c r="C568">
        <f>Inputs!$B$3&gt;=63</f>
        <v/>
      </c>
      <c r="D568">
        <f>IF(Skills!C6=1,60+Inputs!$B$25+Inputs!$B$29,IF(Skills!C6=2,90+Inputs!$B$26+Inputs!$B$29,IF(Skills!C6=3,120+Inputs!$B$27+Inputs!$B$29,MAX(0,(Inputs!$B$3-100)*3)+Inputs!$B$28+Inputs!$B$29)))</f>
        <v/>
      </c>
      <c r="E568">
        <f>INDEX(FactorTable!$B$2:$Y$301, MATCH(ROUND(MIN(300,MAX(1,D568)),0), FactorTable!$A$2:$A$301,0), Skills!L6+1)</f>
        <v/>
      </c>
      <c r="F568">
        <f>IF(Skills!M6=TRUE,(Skills!K6/10)*(E568/1000),Skills!K6/10)+Skills!N6</f>
        <v/>
      </c>
      <c r="G568">
        <f>Calc!G6</f>
        <v/>
      </c>
      <c r="H568">
        <f>Calc!H6</f>
        <v/>
      </c>
      <c r="I568">
        <f>IF(Skills!T6&lt;&gt;"",1+(Skills!T6/10)*(Z565/1000)/100,1)</f>
        <v/>
      </c>
      <c r="J568">
        <f>((Inputs!$B$6*(1+Inputs!$B$7/100))+(((Inputs!$B$12*(1+Inputs!$B$13/100))-(Inputs!$B$12*(1+Inputs!$B$13/100)))+0.25*(Inputs!$B$14-Inputs!$B$14))*(1+Inputs!$B$7/100))*(F568/100)</f>
        <v/>
      </c>
      <c r="K568">
        <f>J568*(1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6="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568)</f>
        <v/>
      </c>
      <c r="L568">
        <f>K568*(MIN(Inputs!$B$22+(F580-Calc!F18),(Inputs!$B$23+(IF(ArtifactsInput!$M$15,CHOOSE(ArtifactsInput!$N$15+1,25,30,35,40,45,50)/100*(Inputs!$B$11-Inputs!$B$11),0))))/100+(Inputs!$B$23+(IF(ArtifactsInput!$M$15,CHOOSE(ArtifactsInput!$N$15+1,25,30,35,40,45,50)/100*(Inputs!$B$11-Inputs!$B$11),0)))/100)/2</f>
        <v/>
      </c>
      <c r="M568">
        <f>L568*(1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8">
        <f>L568*(1-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568*(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8">
        <f>(1-Summary!$B$11)*S568+Summary!$B$11*U568</f>
        <v/>
      </c>
      <c r="P568">
        <f>IF(B599=0,0,O568/B599)</f>
        <v/>
      </c>
      <c r="Q568">
        <f>IFERROR(1/(IF(Inputs!$B$38="pvp",15,MAX(0.1,Skills!D6-IF(TRUE=TRUE,Inputs!$B$32,0)))*(1-IF(AND(ArtifactsInput!$M$27,Inputs!$B$4="Chapter Hunt"),CHOOSE(ArtifactsInput!$N$27+1,20,24,28,32,36,40),0)/100)),0)</f>
        <v/>
      </c>
      <c r="R568">
        <f>IF(AND(Inputs!$B$38&lt;&gt;"pvp",Inputs!$B$43&gt;0),IF(MAX(0,Inputs!$B$43-B596)&lt;=0,0,(INT(MAX(0,Inputs!$B$43-B596)/(IF(Inputs!$B$38="pvp",15,MAX(0.1,Skills!D6-IF(TRUE=TRUE,Inputs!$B$32,0)))*(1-IF(AND(ArtifactsInput!$M$27,Inputs!$B$4="Chapter Hunt"),CHOOSE(ArtifactsInput!$N$27+1,20,24,28,32,36,40),0)/100)))+1)),0)</f>
        <v/>
      </c>
      <c r="S568">
        <f>IF(C568,(H568*N568*IF(AND(Inputs!$B$38&lt;&gt;"pvp",Inputs!$B$43&gt;0),((Skills!F6*((R568-1)*IF(Skills!G6&gt;0,Skills!H6/Skills!G6,1)+IF(Skills!G6&gt;0,MIN(Skills!H6,MAX(0,MAX(0,Inputs!$B$43-B596)-((R568-1)*(IF(Inputs!$B$38="pvp",15,MAX(0.1,Skills!D6-IF(TRUE=TRUE,Inputs!$B$32,0)))*(1-IF(AND(ArtifactsInput!$M$27,Inputs!$B$4="Chapter Hunt"),CHOOSE(ArtifactsInput!$N$27+1,20,24,28,32,36,40),0)/100)))))/Skills!G6,1)))/Inputs!$B$43),G568*Q568))*IF(Inputs!$B$38="pvp",1,1+(Inputs!$B$20+Skills!O6+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568*(1-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568*(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568*(1-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568*(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8">
        <f>IF(C568,(H568*N568*IF(AND(Inputs!$B$38&lt;&gt;"pvp",Inputs!$B$43&gt;0),((Skills!F6*((R568-1)*IF(Skills!G6&gt;0,Skills!H6/Skills!G6,1)+IF(Skills!G6&gt;0,MIN(Skills!H6,MAX(0,MAX(0,Inputs!$B$43-B596)-((R568-1)*(IF(Inputs!$B$38="pvp",15,MAX(0.1,Skills!D6-IF(TRUE=TRUE,Inputs!$B$32,0)))*(1-IF(AND(ArtifactsInput!$M$27,Inputs!$B$4="Chapter Hunt"),CHOOSE(ArtifactsInput!$N$27+1,20,24,28,32,36,40),0)/100)))))/Skills!G6,1)))/Inputs!$B$43),G568*Q568))*IF(Inputs!$B$38="pvp",1,(1+(Inputs!$B$21+Skills!P6+B590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9">
      <c r="A569">
        <f>Skills!A7</f>
        <v/>
      </c>
      <c r="B569">
        <f>Skills!B7</f>
        <v/>
      </c>
      <c r="C569">
        <f>Inputs!$B$3&gt;=69</f>
        <v/>
      </c>
      <c r="D569">
        <f>IF(Skills!C7=1,60+Inputs!$B$25+Inputs!$B$29,IF(Skills!C7=2,90+Inputs!$B$26+Inputs!$B$29,IF(Skills!C7=3,120+Inputs!$B$27+Inputs!$B$29,MAX(0,(Inputs!$B$3-100)*3)+Inputs!$B$28+Inputs!$B$29)))</f>
        <v/>
      </c>
      <c r="E569">
        <f>INDEX(FactorTable!$B$2:$Y$301, MATCH(ROUND(MIN(300,MAX(1,D569)),0), FactorTable!$A$2:$A$301,0), Skills!L7+1)</f>
        <v/>
      </c>
      <c r="F569">
        <f>IF(Skills!M7=TRUE,(Skills!K7/10)*(E569/1000),Skills!K7/10)+Skills!N7</f>
        <v/>
      </c>
      <c r="G569">
        <f>Calc!G7</f>
        <v/>
      </c>
      <c r="H569">
        <f>Calc!H7</f>
        <v/>
      </c>
      <c r="I569">
        <f>IF(Skills!T7&lt;&gt;"",1+(Skills!T7/10)*(Z565/1000)/100,1)</f>
        <v/>
      </c>
      <c r="J569">
        <f>((Inputs!$B$6*(1+Inputs!$B$7/100))+(((Inputs!$B$12*(1+Inputs!$B$13/100))-(Inputs!$B$12*(1+Inputs!$B$13/100)))+0.25*(Inputs!$B$14-Inputs!$B$14))*(1+Inputs!$B$7/100))*(F569/100)</f>
        <v/>
      </c>
      <c r="K569">
        <f>J569*(1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7="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569)</f>
        <v/>
      </c>
      <c r="L569">
        <f>K569*(MIN(Inputs!$B$22+(F580-Calc!F18),(Inputs!$B$23+(IF(ArtifactsInput!$M$15,CHOOSE(ArtifactsInput!$N$15+1,25,30,35,40,45,50)/100*(Inputs!$B$11-Inputs!$B$11),0))))/100+(Inputs!$B$23+(IF(ArtifactsInput!$M$15,CHOOSE(ArtifactsInput!$N$15+1,25,30,35,40,45,50)/100*(Inputs!$B$11-Inputs!$B$11),0)))/100)/2</f>
        <v/>
      </c>
      <c r="M569">
        <f>L569*(1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9">
        <f>L569*(1-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569*(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9">
        <f>(1-Summary!$B$11)*S569+Summary!$B$11*U569</f>
        <v/>
      </c>
      <c r="P569">
        <f>IF(B599=0,0,O569/B599)</f>
        <v/>
      </c>
      <c r="Q569">
        <f>IFERROR(1/(IF(Inputs!$B$38="pvp",15,MAX(0.1,Skills!D7-IF(TRUE=TRUE,Inputs!$B$32,0)))*(1-IF(AND(ArtifactsInput!$M$27,Inputs!$B$4="Chapter Hunt"),CHOOSE(ArtifactsInput!$N$27+1,20,24,28,32,36,40),0)/100)),0)</f>
        <v/>
      </c>
      <c r="R569">
        <f>IF(AND(Inputs!$B$38&lt;&gt;"pvp",Inputs!$B$43&gt;0),IF(MAX(0,Inputs!$B$43-B596)&lt;=0,0,(INT(MAX(0,Inputs!$B$43-B596)/(IF(Inputs!$B$38="pvp",15,MAX(0.1,Skills!D7-IF(TRUE=TRUE,Inputs!$B$32,0)))*(1-IF(AND(ArtifactsInput!$M$27,Inputs!$B$4="Chapter Hunt"),CHOOSE(ArtifactsInput!$N$27+1,20,24,28,32,36,40),0)/100)))+1)),0)</f>
        <v/>
      </c>
      <c r="S569">
        <f>IF(C569,(H569*N569*IF(AND(Inputs!$B$38&lt;&gt;"pvp",Inputs!$B$43&gt;0),((Skills!F7*((R569-1)*IF(Skills!G7&gt;0,Skills!H7/Skills!G7,1)+IF(Skills!G7&gt;0,MIN(Skills!H7,MAX(0,MAX(0,Inputs!$B$43-B596)-((R569-1)*(IF(Inputs!$B$38="pvp",15,MAX(0.1,Skills!D7-IF(TRUE=TRUE,Inputs!$B$32,0)))*(1-IF(AND(ArtifactsInput!$M$27,Inputs!$B$4="Chapter Hunt"),CHOOSE(ArtifactsInput!$N$27+1,20,24,28,32,36,40),0)/100)))))/Skills!G7,1)))/Inputs!$B$43),G569*Q569))*IF(Inputs!$B$38="pvp",1,1+(Inputs!$B$20+Skills!O7+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569*(1-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569*(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569*(1-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569*(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9">
        <f>IF(C569,(H569*N569*IF(AND(Inputs!$B$38&lt;&gt;"pvp",Inputs!$B$43&gt;0),((Skills!F7*((R569-1)*IF(Skills!G7&gt;0,Skills!H7/Skills!G7,1)+IF(Skills!G7&gt;0,MIN(Skills!H7,MAX(0,MAX(0,Inputs!$B$43-B596)-((R569-1)*(IF(Inputs!$B$38="pvp",15,MAX(0.1,Skills!D7-IF(TRUE=TRUE,Inputs!$B$32,0)))*(1-IF(AND(ArtifactsInput!$M$27,Inputs!$B$4="Chapter Hunt"),CHOOSE(ArtifactsInput!$N$27+1,20,24,28,32,36,40),0)/100)))))/Skills!G7,1)))/Inputs!$B$43),G569*Q569))*IF(Inputs!$B$38="pvp",1,(1+(Inputs!$B$21+Skills!P7+B590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0">
      <c r="A570">
        <f>Skills!A8</f>
        <v/>
      </c>
      <c r="B570">
        <f>Skills!B8</f>
        <v/>
      </c>
      <c r="C570">
        <f>Inputs!$B$3&gt;=103</f>
        <v/>
      </c>
      <c r="D570">
        <f>IF(Skills!C8=1,60+Inputs!$B$25+Inputs!$B$29,IF(Skills!C8=2,90+Inputs!$B$26+Inputs!$B$29,IF(Skills!C8=3,120+Inputs!$B$27+Inputs!$B$29,MAX(0,(Inputs!$B$3-100)*3)+Inputs!$B$28+Inputs!$B$29)))</f>
        <v/>
      </c>
      <c r="E570">
        <f>INDEX(FactorTable!$B$2:$Y$301, MATCH(ROUND(MIN(300,MAX(1,D570)),0), FactorTable!$A$2:$A$301,0), Skills!L8+1)</f>
        <v/>
      </c>
      <c r="F570">
        <f>IF(Skills!M8=TRUE,(Skills!K8/10)*(E570/1000),Skills!K8/10)+Skills!N8</f>
        <v/>
      </c>
      <c r="G570">
        <f>Calc!G8</f>
        <v/>
      </c>
      <c r="H570">
        <f>Calc!H8</f>
        <v/>
      </c>
      <c r="I570">
        <f>IF(Skills!T8&lt;&gt;"",1+(Skills!T8/10)*(Z565/1000)/100,1)</f>
        <v/>
      </c>
      <c r="J570">
        <f>((Inputs!$B$6*(1+Inputs!$B$7/100))+(((Inputs!$B$12*(1+Inputs!$B$13/100))-(Inputs!$B$12*(1+Inputs!$B$13/100)))+0.25*(Inputs!$B$14-Inputs!$B$14))*(1+Inputs!$B$7/100))*(F570/100)</f>
        <v/>
      </c>
      <c r="K570">
        <f>J570*(1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8="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570)</f>
        <v/>
      </c>
      <c r="L570">
        <f>K570*(MIN(Inputs!$B$22+(F580-Calc!F18),(Inputs!$B$23+(IF(ArtifactsInput!$M$15,CHOOSE(ArtifactsInput!$N$15+1,25,30,35,40,45,50)/100*(Inputs!$B$11-Inputs!$B$11),0))))/100+(Inputs!$B$23+(IF(ArtifactsInput!$M$15,CHOOSE(ArtifactsInput!$N$15+1,25,30,35,40,45,50)/100*(Inputs!$B$11-Inputs!$B$11),0)))/100)/2</f>
        <v/>
      </c>
      <c r="M570">
        <f>L570*(1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0">
        <f>L570*(1-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570*(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0">
        <f>(1-Summary!$B$11)*S570+Summary!$B$11*U570</f>
        <v/>
      </c>
      <c r="P570">
        <f>IF(B599=0,0,O570/B599)</f>
        <v/>
      </c>
      <c r="Q570">
        <f>IFERROR(1/(IF(Inputs!$B$38="pvp",15,MAX(0.1,Skills!D8-IF(TRUE=TRUE,Inputs!$B$32,0)))*(1-IF(AND(ArtifactsInput!$M$27,Inputs!$B$4="Chapter Hunt"),CHOOSE(ArtifactsInput!$N$27+1,20,24,28,32,36,40),0)/100)),0)</f>
        <v/>
      </c>
      <c r="R570">
        <f>IF(AND(Inputs!$B$38&lt;&gt;"pvp",Inputs!$B$43&gt;0),IF(MAX(0,Inputs!$B$43-B596)&lt;=0,0,(INT(MAX(0,Inputs!$B$43-B596)/(IF(Inputs!$B$38="pvp",15,MAX(0.1,Skills!D8-IF(TRUE=TRUE,Inputs!$B$32,0)))*(1-IF(AND(ArtifactsInput!$M$27,Inputs!$B$4="Chapter Hunt"),CHOOSE(ArtifactsInput!$N$27+1,20,24,28,32,36,40),0)/100)))+1)),0)</f>
        <v/>
      </c>
      <c r="S570">
        <f>IF(C570,(H570*N570*IF(AND(Inputs!$B$38&lt;&gt;"pvp",Inputs!$B$43&gt;0),((Skills!F8*((R570-1)*IF(Skills!G8&gt;0,Skills!H8/Skills!G8,1)+IF(Skills!G8&gt;0,MIN(Skills!H8,MAX(0,MAX(0,Inputs!$B$43-B596)-((R570-1)*(IF(Inputs!$B$38="pvp",15,MAX(0.1,Skills!D8-IF(TRUE=TRUE,Inputs!$B$32,0)))*(1-IF(AND(ArtifactsInput!$M$27,Inputs!$B$4="Chapter Hunt"),CHOOSE(ArtifactsInput!$N$27+1,20,24,28,32,36,40),0)/100)))))/Skills!G8,1)))/Inputs!$B$43),G570*Q570))*IF(Inputs!$B$38="pvp",1,1+(Inputs!$B$20+Skills!O8+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570*(1-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570*(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570*(1-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570*(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0">
        <f>IF(C570,(H570*N570*IF(AND(Inputs!$B$38&lt;&gt;"pvp",Inputs!$B$43&gt;0),((Skills!F8*((R570-1)*IF(Skills!G8&gt;0,Skills!H8/Skills!G8,1)+IF(Skills!G8&gt;0,MIN(Skills!H8,MAX(0,MAX(0,Inputs!$B$43-B596)-((R570-1)*(IF(Inputs!$B$38="pvp",15,MAX(0.1,Skills!D8-IF(TRUE=TRUE,Inputs!$B$32,0)))*(1-IF(AND(ArtifactsInput!$M$27,Inputs!$B$4="Chapter Hunt"),CHOOSE(ArtifactsInput!$N$27+1,20,24,28,32,36,40),0)/100)))))/Skills!G8,1)))/Inputs!$B$43),G570*Q570))*IF(Inputs!$B$38="pvp",1,(1+(Inputs!$B$21+Skills!P8+B590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1">
      <c r="A571">
        <f>Skills!A9</f>
        <v/>
      </c>
      <c r="B571">
        <f>Skills!B9</f>
        <v/>
      </c>
      <c r="C571">
        <f>Inputs!$B$3&gt;=105</f>
        <v/>
      </c>
      <c r="D571">
        <f>IF(Skills!C9=1,60+Inputs!$B$25+Inputs!$B$29,IF(Skills!C9=2,90+Inputs!$B$26+Inputs!$B$29,IF(Skills!C9=3,120+Inputs!$B$27+Inputs!$B$29,MAX(0,(Inputs!$B$3-100)*3)+Inputs!$B$28+Inputs!$B$29)))</f>
        <v/>
      </c>
      <c r="E571">
        <f>INDEX(FactorTable!$B$2:$Y$301, MATCH(ROUND(MIN(300,MAX(1,D571)),0), FactorTable!$A$2:$A$301,0), Skills!L9+1)</f>
        <v/>
      </c>
      <c r="F571">
        <f>IF(Skills!M9=TRUE,(Skills!K9/10)*(E571/1000),Skills!K9/10)+Skills!N9</f>
        <v/>
      </c>
      <c r="G571">
        <f>Calc!G9</f>
        <v/>
      </c>
      <c r="H571">
        <f>Calc!H9</f>
        <v/>
      </c>
      <c r="I571">
        <f>IF(Skills!T9&lt;&gt;"",1+(Skills!T9/10)*(Z565/1000)/100,1)</f>
        <v/>
      </c>
      <c r="J571">
        <f>((Inputs!$B$6*(1+Inputs!$B$7/100))+(((Inputs!$B$12*(1+Inputs!$B$13/100))-(Inputs!$B$12*(1+Inputs!$B$13/100)))+0.25*(Inputs!$B$14-Inputs!$B$14))*(1+Inputs!$B$7/100))*(F571/100)</f>
        <v/>
      </c>
      <c r="K571">
        <f>J571*(1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9="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571)</f>
        <v/>
      </c>
      <c r="L571">
        <f>K571*(MIN(Inputs!$B$22+(F580-Calc!F18),(Inputs!$B$23+(IF(ArtifactsInput!$M$15,CHOOSE(ArtifactsInput!$N$15+1,25,30,35,40,45,50)/100*(Inputs!$B$11-Inputs!$B$11),0))))/100+(Inputs!$B$23+(IF(ArtifactsInput!$M$15,CHOOSE(ArtifactsInput!$N$15+1,25,30,35,40,45,50)/100*(Inputs!$B$11-Inputs!$B$11),0)))/100)/2</f>
        <v/>
      </c>
      <c r="M571">
        <f>L571*(1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1">
        <f>L571*(1-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1">
        <f>(1-Summary!$B$11)*S571+Summary!$B$11*U571</f>
        <v/>
      </c>
      <c r="P571">
        <f>IF(B599=0,0,O571/B599)</f>
        <v/>
      </c>
      <c r="Q571">
        <f>IFERROR(1/(IF(Inputs!$B$38="pvp",15,MAX(0.1,Skills!D9-IF(TRUE=TRUE,Inputs!$B$32,0)))*(1-IF(AND(ArtifactsInput!$M$27,Inputs!$B$4="Chapter Hunt"),CHOOSE(ArtifactsInput!$N$27+1,20,24,28,32,36,40),0)/100)),0)</f>
        <v/>
      </c>
      <c r="R571">
        <f>IF(AND(Inputs!$B$38&lt;&gt;"pvp",Inputs!$B$43&gt;0),IF(MAX(0,Inputs!$B$43-B596)&lt;=0,0,(INT(MAX(0,Inputs!$B$43-B596)/(IF(Inputs!$B$38="pvp",15,MAX(0.1,Skills!D9-IF(TRUE=TRUE,Inputs!$B$32,0)))*(1-IF(AND(ArtifactsInput!$M$27,Inputs!$B$4="Chapter Hunt"),CHOOSE(ArtifactsInput!$N$27+1,20,24,28,32,36,40),0)/100)))+1)),0)</f>
        <v/>
      </c>
      <c r="S571">
        <f>IF(C571,(H571*N571*IF(AND(Inputs!$B$38&lt;&gt;"pvp",Inputs!$B$43&gt;0),((Skills!F9*((R571-1)*IF(Skills!G9&gt;0,Skills!H9/Skills!G9,1)+IF(Skills!G9&gt;0,MIN(Skills!H9,MAX(0,MAX(0,Inputs!$B$43-B596)-((R571-1)*(IF(Inputs!$B$38="pvp",15,MAX(0.1,Skills!D9-IF(TRUE=TRUE,Inputs!$B$32,0)))*(1-IF(AND(ArtifactsInput!$M$27,Inputs!$B$4="Chapter Hunt"),CHOOSE(ArtifactsInput!$N$27+1,20,24,28,32,36,40),0)/100)))))/Skills!G9,1)))/Inputs!$B$43),G571*Q571))*IF(Inputs!$B$38="pvp",1,1+(Inputs!$B$20+Skills!O9+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571*(1-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571*(1-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1">
        <f>IF(C571,(H571*N571*IF(AND(Inputs!$B$38&lt;&gt;"pvp",Inputs!$B$43&gt;0),((Skills!F9*((R571-1)*IF(Skills!G9&gt;0,Skills!H9/Skills!G9,1)+IF(Skills!G9&gt;0,MIN(Skills!H9,MAX(0,MAX(0,Inputs!$B$43-B596)-((R571-1)*(IF(Inputs!$B$38="pvp",15,MAX(0.1,Skills!D9-IF(TRUE=TRUE,Inputs!$B$32,0)))*(1-IF(AND(ArtifactsInput!$M$27,Inputs!$B$4="Chapter Hunt"),CHOOSE(ArtifactsInput!$N$27+1,20,24,28,32,36,40),0)/100)))))/Skills!G9,1)))/Inputs!$B$43),G571*Q571))*IF(Inputs!$B$38="pvp",1,(1+(Inputs!$B$21+Skills!P9+B590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2">
      <c r="A572">
        <f>Skills!A10</f>
        <v/>
      </c>
      <c r="B572">
        <f>Skills!B10</f>
        <v/>
      </c>
      <c r="C572">
        <f>Inputs!$B$3&gt;=113</f>
        <v/>
      </c>
      <c r="D572">
        <f>IF(Skills!C10=1,60+Inputs!$B$25+Inputs!$B$29,IF(Skills!C10=2,90+Inputs!$B$26+Inputs!$B$29,IF(Skills!C10=3,120+Inputs!$B$27+Inputs!$B$29,MAX(0,(Inputs!$B$3-100)*3)+Inputs!$B$28+Inputs!$B$29)))</f>
        <v/>
      </c>
      <c r="E572">
        <f>INDEX(FactorTable!$B$2:$Y$301, MATCH(ROUND(MIN(300,MAX(1,D572)),0), FactorTable!$A$2:$A$301,0), Skills!L10+1)</f>
        <v/>
      </c>
      <c r="F572">
        <f>IF(Skills!M10=TRUE,(Skills!K10/10)*(E572/1000),Skills!K10/10)+Skills!N10</f>
        <v/>
      </c>
      <c r="G572">
        <f>Calc!G10</f>
        <v/>
      </c>
      <c r="H572">
        <f>Calc!H10</f>
        <v/>
      </c>
      <c r="I572">
        <f>IF(Skills!T10&lt;&gt;"",1+(Skills!T10/10)*(Z565/1000)/100,1)</f>
        <v/>
      </c>
      <c r="J572">
        <f>((Inputs!$B$6*(1+Inputs!$B$7/100))+(((Inputs!$B$12*(1+Inputs!$B$13/100))-(Inputs!$B$12*(1+Inputs!$B$13/100)))+0.25*(Inputs!$B$14-Inputs!$B$14))*(1+Inputs!$B$7/100))*(F572/100)</f>
        <v/>
      </c>
      <c r="K572">
        <f>J572*(1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10="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572)</f>
        <v/>
      </c>
      <c r="L572">
        <f>K572*(MIN(Inputs!$B$22+(F580-Calc!F18),(Inputs!$B$23+(IF(ArtifactsInput!$M$15,CHOOSE(ArtifactsInput!$N$15+1,25,30,35,40,45,50)/100*(Inputs!$B$11-Inputs!$B$11),0))))/100+(Inputs!$B$23+(IF(ArtifactsInput!$M$15,CHOOSE(ArtifactsInput!$N$15+1,25,30,35,40,45,50)/100*(Inputs!$B$11-Inputs!$B$11),0)))/100)/2</f>
        <v/>
      </c>
      <c r="M572">
        <f>L572*(1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2">
        <f>L572*(1-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572*(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2">
        <f>(1-Summary!$B$11)*S572+Summary!$B$11*U572</f>
        <v/>
      </c>
      <c r="P572">
        <f>IF(B599=0,0,O572/B599)</f>
        <v/>
      </c>
      <c r="Q572">
        <f>IFERROR(1/(IF(Inputs!$B$38="pvp",15,MAX(0.1,Skills!D10-IF(TRUE=TRUE,Inputs!$B$32,0)))*(1-IF(AND(ArtifactsInput!$M$27,Inputs!$B$4="Chapter Hunt"),CHOOSE(ArtifactsInput!$N$27+1,20,24,28,32,36,40),0)/100)),0)</f>
        <v/>
      </c>
      <c r="R572" t="n">
        <v>0</v>
      </c>
      <c r="S572">
        <f>IF(C572,((H572*B600)/(1+Skills!G10*H572*B600)*N572)*IF(Inputs!$B$38="pvp",1,1+(Inputs!$B$20+Skills!O10+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572*(1-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572*(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572*(1-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572*(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2">
        <f>IF(C572,((H572*B600)/(1+Skills!G10*H572*B600)*N572)*IF(Inputs!$B$38="pvp",1,(1+(Inputs!$B$21+Skills!P10+B590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3">
      <c r="A573">
        <f>Skills!A11</f>
        <v/>
      </c>
      <c r="B573">
        <f>Skills!B11</f>
        <v/>
      </c>
      <c r="C573">
        <f>Inputs!$B$3&gt;=107</f>
        <v/>
      </c>
      <c r="D573">
        <f>IF(Skills!C11=1,60+Inputs!$B$25+Inputs!$B$29,IF(Skills!C11=2,90+Inputs!$B$26+Inputs!$B$29,IF(Skills!C11=3,120+Inputs!$B$27+Inputs!$B$29,MAX(0,(Inputs!$B$3-100)*3)+Inputs!$B$28+Inputs!$B$29)))</f>
        <v/>
      </c>
      <c r="E573">
        <f>INDEX(FactorTable!$B$2:$Y$301, MATCH(ROUND(MIN(300,MAX(1,D573)),0), FactorTable!$A$2:$A$301,0), Skills!L11+1)</f>
        <v/>
      </c>
      <c r="F573">
        <f>IF(Skills!M11=TRUE,(Skills!K11/10)*(E573/1000),Skills!K11/10)+Skills!N11</f>
        <v/>
      </c>
      <c r="G573">
        <f>Calc!G11</f>
        <v/>
      </c>
      <c r="H573">
        <f>Calc!H11</f>
        <v/>
      </c>
      <c r="I573">
        <f>IF(Skills!T11&lt;&gt;"",1+(Skills!T11/10)*(Z565/1000)/100,1)</f>
        <v/>
      </c>
      <c r="J573">
        <f>((Inputs!$B$6*(1+Inputs!$B$7/100))+(((Inputs!$B$12*(1+Inputs!$B$13/100))-(Inputs!$B$12*(1+Inputs!$B$13/100)))+0.25*(Inputs!$B$14-Inputs!$B$14))*(1+Inputs!$B$7/100))*(F573/100)</f>
        <v/>
      </c>
      <c r="K573">
        <f>J573*(1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11="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573)</f>
        <v/>
      </c>
      <c r="L573">
        <f>K573*(MIN(Inputs!$B$22+(F580-Calc!F18),(Inputs!$B$23+(IF(ArtifactsInput!$M$15,CHOOSE(ArtifactsInput!$N$15+1,25,30,35,40,45,50)/100*(Inputs!$B$11-Inputs!$B$11),0))))/100+(Inputs!$B$23+(IF(ArtifactsInput!$M$15,CHOOSE(ArtifactsInput!$N$15+1,25,30,35,40,45,50)/100*(Inputs!$B$11-Inputs!$B$11),0)))/100)/2</f>
        <v/>
      </c>
      <c r="M573">
        <f>L573*(1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3">
        <f>L573*(1-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573*(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3">
        <f>(1-Summary!$B$11)*S573+Summary!$B$11*U573</f>
        <v/>
      </c>
      <c r="P573">
        <f>IF(B599=0,0,O573/B599)</f>
        <v/>
      </c>
      <c r="Q573">
        <f>IFERROR(1/(IF(Inputs!$B$38="pvp",15,MAX(0.1,Skills!D11-IF(TRUE=TRUE,Inputs!$B$32,0)))*(1-IF(AND(ArtifactsInput!$M$27,Inputs!$B$4="Chapter Hunt"),CHOOSE(ArtifactsInput!$N$27+1,20,24,28,32,36,40),0)/100)),0)</f>
        <v/>
      </c>
      <c r="R573">
        <f>IF(AND(Inputs!$B$38&lt;&gt;"pvp",Inputs!$B$43&gt;0),IF(MAX(0,Inputs!$B$43-B596)&lt;=0,0,(INT(MAX(0,Inputs!$B$43-B596)/(IF(Inputs!$B$38="pvp",15,MAX(0.1,Skills!D11-IF(TRUE=TRUE,Inputs!$B$32,0)))*(1-IF(AND(ArtifactsInput!$M$27,Inputs!$B$4="Chapter Hunt"),CHOOSE(ArtifactsInput!$N$27+1,20,24,28,32,36,40),0)/100)))+1)),0)</f>
        <v/>
      </c>
      <c r="S573">
        <f>IF(C573,H573*N573*IF(AND(Inputs!$B$38&lt;&gt;"pvp",Inputs!$B$43&gt;0),((Skills!F11*((R573-1)*IF(Skills!G11&gt;0,Skills!H11/Skills!G11,1)+IF(Skills!G11&gt;0,MIN(Skills!H11,MAX(0,MAX(0,Inputs!$B$43-B596)-((R573-1)*(IF(Inputs!$B$38="pvp",15,MAX(0.1,Skills!D11-IF(TRUE=TRUE,Inputs!$B$32,0)))*(1-IF(AND(ArtifactsInput!$M$27,Inputs!$B$4="Chapter Hunt"),CHOOSE(ArtifactsInput!$N$27+1,20,24,28,32,36,40),0)/100)))))/Skills!G11,1)))/Inputs!$B$43),G573*Q573)*0.5*IF(Inputs!$B$38="pvp",1,1+(Inputs!$B$20+Skills!O11+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573*(1-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573*(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573*(1-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573*(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3">
        <f>IF(C573,H573*N573*IF(AND(Inputs!$B$38&lt;&gt;"pvp",Inputs!$B$43&gt;0),((Skills!F11*((R573-1)*IF(Skills!G11&gt;0,Skills!H11/Skills!G11,1)+IF(Skills!G11&gt;0,MIN(Skills!H11,MAX(0,MAX(0,Inputs!$B$43-B596)-((R573-1)*(IF(Inputs!$B$38="pvp",15,MAX(0.1,Skills!D11-IF(TRUE=TRUE,Inputs!$B$32,0)))*(1-IF(AND(ArtifactsInput!$M$27,Inputs!$B$4="Chapter Hunt"),CHOOSE(ArtifactsInput!$N$27+1,20,24,28,32,36,40),0)/100)))))/Skills!G11,1)))/Inputs!$B$43),G573*Q573)*1*IF(Inputs!$B$38="pvp",1,(1+(Inputs!$B$21+Skills!P11+B590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4">
      <c r="A574">
        <f>Skills!A12</f>
        <v/>
      </c>
      <c r="B574">
        <f>Skills!B12</f>
        <v/>
      </c>
      <c r="C574">
        <f>Inputs!$B$3&gt;=115</f>
        <v/>
      </c>
      <c r="D574">
        <f>IF(Skills!C12=1,60+Inputs!$B$25+Inputs!$B$29,IF(Skills!C12=2,90+Inputs!$B$26+Inputs!$B$29,IF(Skills!C12=3,120+Inputs!$B$27+Inputs!$B$29,MAX(0,(Inputs!$B$3-100)*3)+Inputs!$B$28+Inputs!$B$29)))</f>
        <v/>
      </c>
      <c r="E574">
        <f>INDEX(FactorTable!$B$2:$Y$301, MATCH(ROUND(MIN(300,MAX(1,D574)),0), FactorTable!$A$2:$A$301,0), Skills!L12+1)</f>
        <v/>
      </c>
      <c r="F574">
        <f>IF(Skills!M12=TRUE,(Skills!K12/10)*(E574/1000),Skills!K12/10)+Skills!N12</f>
        <v/>
      </c>
      <c r="G574">
        <f>Calc!G12</f>
        <v/>
      </c>
      <c r="H574">
        <f>Calc!H12</f>
        <v/>
      </c>
      <c r="I574">
        <f>IF(Skills!T12&lt;&gt;"",1+(Skills!T12/10)*(Z565/1000)/100,1)</f>
        <v/>
      </c>
      <c r="J574">
        <f>((Inputs!$B$6*(1+Inputs!$B$7/100))+(((Inputs!$B$12*(1+Inputs!$B$13/100))-(Inputs!$B$12*(1+Inputs!$B$13/100)))+0.25*(Inputs!$B$14-Inputs!$B$14))*(1+Inputs!$B$7/100))*(F574/100)</f>
        <v/>
      </c>
      <c r="K574">
        <f>J574*(1+((Inputs!$B$12*(1+Inputs!$B$13/100))*0.01+Inputs!$B$14*0.0025)/100)*(1+(Inputs!$B$15+B591)/100)*(1+Inputs!$B$16/100)*(5000/(6000+Inputs!$B$42*(1-(100*(1-(1-((1-(1-Inputs!$B$19/100)*(1-1/100))*100)/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577=TRUE,F577,0)/100)*(1+IF(C585=TRUE,F585,0)/100)^5*(1+(IF(Skills!A12="CHAIN_LIGHTNING",Inputs!$B$17+((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589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574)</f>
        <v/>
      </c>
      <c r="L574">
        <f>K574*(MIN(Inputs!$B$22+(F580-Calc!F18),(Inputs!$B$23+(IF(ArtifactsInput!$M$15,CHOOSE(ArtifactsInput!$N$15+1,25,30,35,40,45,50)/100*(Inputs!$B$11-Inputs!$B$11),0))))/100+(Inputs!$B$23+(IF(ArtifactsInput!$M$15,CHOOSE(ArtifactsInput!$N$15+1,25,30,35,40,45,50)/100*(Inputs!$B$11-Inputs!$B$11),0)))/100)/2</f>
        <v/>
      </c>
      <c r="M574">
        <f>L574*(1+(Inputs!$B$10+(F583-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4">
        <f>L574*(1-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574*(MIN((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4">
        <f>(1-Summary!$B$11)*S574+Summary!$B$11*U574</f>
        <v/>
      </c>
      <c r="P574">
        <f>IF(B599=0,0,O574/B599)</f>
        <v/>
      </c>
      <c r="Q574">
        <f>IFERROR(1/(IF(Inputs!$B$38="pvp",15,MAX(0.1,Skills!D12-IF(TRUE=TRUE,Inputs!$B$32,0)))*(1-IF(AND(ArtifactsInput!$M$27,Inputs!$B$4="Chapter Hunt"),CHOOSE(ArtifactsInput!$N$27+1,20,24,28,32,36,40),0)/100)),0)</f>
        <v/>
      </c>
      <c r="R574">
        <f>IF(AND(Inputs!$B$38&lt;&gt;"pvp",Inputs!$B$43&gt;0),IF(MAX(0,Inputs!$B$43-B596)&lt;=0,0,(INT(MAX(0,Inputs!$B$43-B596)/(IF(Inputs!$B$38="pvp",15,MAX(0.1,Skills!D12-IF(TRUE=TRUE,Inputs!$B$32,0)))*(1-IF(AND(ArtifactsInput!$M$27,Inputs!$B$4="Chapter Hunt"),CHOOSE(ArtifactsInput!$N$27+1,20,24,28,32,36,40),0)/100)))+1)),0)</f>
        <v/>
      </c>
      <c r="S574">
        <f>IF(C574,(H574*N574*IF(AND(Inputs!$B$38&lt;&gt;"pvp",Inputs!$B$43&gt;0),((Skills!F12*((R574-1)*IF(Skills!G12&gt;0,Skills!H12/Skills!G12,1)+IF(Skills!G12&gt;0,MIN(Skills!H12,MAX(0,MAX(0,Inputs!$B$43-B596)-((R574-1)*(IF(Inputs!$B$38="pvp",15,MAX(0.1,Skills!D12-IF(TRUE=TRUE,Inputs!$B$32,0)))*(1-IF(AND(ArtifactsInput!$M$27,Inputs!$B$4="Chapter Hunt"),CHOOSE(ArtifactsInput!$N$27+1,20,24,28,32,36,40),0)/100)))))/Skills!G12,1)))/Inputs!$B$43),G574*Q574))*IF(Inputs!$B$38="pvp",1,1+(Inputs!$B$20+Skills!O12+B590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(1-(1-Inputs!$B$19/100)*(1-1/100))*100)/100)*(1-CHOOSE(ArtifactsInput!$N$40+1,5,6,7,8,9,10)/100)^(ArtifactsInput!$M$40-ArtifactsInput!$M$40)))/100)*(1-IF(ArtifactsInput!$M$40,CHOOSE(ArtifactsInput!$N$40+1,5,6,7,8,9,10),0)/100)^IF(Inputs!$B$38="pvp",1,2)))/100)))/(5000/(6000+Inputs!$B$42*(1-(100*(1-(1-((1-(1-Inputs!$B$19/100)*(1-1/100))*100)/100)*(1-CHOOSE(ArtifactsInput!$N$40+1,5,6,7,8,9,10)/100)^(ArtifactsInput!$M$40-ArtifactsInput!$M$40)))/100))))*((L574*(1-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574*(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574*(1-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574*(MIN(100,(Inputs!$B$9+((F582-Calc!F20)+(F581-Calc!F19))+(ArtifactsInput!$M$24-ArtifactsInput!$M$24)*CHOOSE(ArtifactsInput!$N$24+1,10,12,14,16,18,20)+(IF(AND(Inputs!$B$38&lt;&gt;"pvp",Inputs!$B$43=0),1,IF(IF(Inputs!$B$38="pvp",15,Inputs!$B$43)-(B596)&lt;=0,1,MAX(0,IF(Inputs!$B$38="pvp",15,Inputs!$B$43)-MAX(5,B596))/(IF(Inputs!$B$38="pvp",15,Inputs!$B$43)-(B596)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74">
        <f>IF(C574,(H574*N574*IF(AND(Inputs!$B$38&lt;&gt;"pvp",Inputs!$B$43&gt;0),((Skills!F12*((R574-1)*IF(Skills!G12&gt;0,Skills!H12/Skills!G12,1)+IF(Skills!G12&gt;0,MIN(Skills!H12,MAX(0,MAX(0,Inputs!$B$43-B596)-((R574-1)*(IF(Inputs!$B$38="pvp",15,MAX(0.1,Skills!D12-IF(TRUE=TRUE,Inputs!$B$32,0)))*(1-IF(AND(ArtifactsInput!$M$27,Inputs!$B$4="Chapter Hunt"),CHOOSE(ArtifactsInput!$N$27+1,20,24,28,32,36,40),0)/100)))))/Skills!G12,1)))/Inputs!$B$43),G574*Q574))*IF(Inputs!$B$38="pvp",1,(1+(Inputs!$B$21+Skills!P12+B590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5">
      <c r="A575">
        <f>Skills!A13</f>
        <v/>
      </c>
      <c r="B575">
        <f>Skills!B13</f>
        <v/>
      </c>
      <c r="C575">
        <f>Inputs!$B$3&gt;=49</f>
        <v/>
      </c>
      <c r="D575">
        <f>IF(Skills!C13=1,60+Inputs!$B$25+Inputs!$B$29,IF(Skills!C13=2,90+Inputs!$B$26+Inputs!$B$29,IF(Skills!C13=3,120+Inputs!$B$27+Inputs!$B$29,MAX(0,(Inputs!$B$3-100)*3)+Inputs!$B$28+Inputs!$B$29)))</f>
        <v/>
      </c>
      <c r="E575">
        <f>INDEX(FactorTable!$B$2:$Y$301, MATCH(ROUND(MIN(300,MAX(1,D575)),0), FactorTable!$A$2:$A$301,0), Skills!L13+1)</f>
        <v/>
      </c>
      <c r="F575">
        <f>IF(Skills!M13=TRUE,(Skills!K13/10)*(E575/1000),Skills!K13/10)+Skills!N13</f>
        <v/>
      </c>
      <c r="G575">
        <f>Calc!G13</f>
        <v/>
      </c>
      <c r="H575">
        <f>Calc!H13</f>
        <v/>
      </c>
      <c r="I575">
        <f>IF(Skills!T13&lt;&gt;"",1+(Skills!T13/10)*(Z565/1000)/100,1)</f>
        <v/>
      </c>
      <c r="J575" t="inlineStr"/>
      <c r="K575" t="inlineStr"/>
      <c r="L575" t="inlineStr"/>
      <c r="M575" t="inlineStr"/>
      <c r="N575" t="inlineStr"/>
      <c r="O575">
        <f>(1-Summary!$B$11)*S575+Summary!$B$11*U575</f>
        <v/>
      </c>
      <c r="P575">
        <f>IF(B599=0,0,O575/B599)</f>
        <v/>
      </c>
      <c r="Q575">
        <f>IFERROR(1/(IF(Inputs!$B$38="pvp",15,MAX(0.1,Skills!D13-IF(TRUE=TRUE,Inputs!$B$32,0)))*(1-IF(AND(ArtifactsInput!$M$27,Inputs!$B$4="Chapter Hunt"),CHOOSE(ArtifactsInput!$N$27+1,20,24,28,32,36,40),0)/100)),0)</f>
        <v/>
      </c>
      <c r="R575" t="n">
        <v>0</v>
      </c>
      <c r="S575" t="n">
        <v>0</v>
      </c>
      <c r="U575" t="n">
        <v>0</v>
      </c>
    </row>
    <row r="576">
      <c r="A576">
        <f>Skills!A14</f>
        <v/>
      </c>
      <c r="B576">
        <f>Skills!B14</f>
        <v/>
      </c>
      <c r="C576">
        <f>Inputs!$B$3&gt;=72</f>
        <v/>
      </c>
      <c r="D576">
        <f>IF(Skills!C14=1,60+Inputs!$B$25+Inputs!$B$29,IF(Skills!C14=2,90+Inputs!$B$26+Inputs!$B$29,IF(Skills!C14=3,120+Inputs!$B$27+Inputs!$B$29,MAX(0,(Inputs!$B$3-100)*3)+Inputs!$B$28+Inputs!$B$29)))</f>
        <v/>
      </c>
      <c r="E576">
        <f>INDEX(FactorTable!$B$2:$Y$301, MATCH(ROUND(MIN(300,MAX(1,D576)),0), FactorTable!$A$2:$A$301,0), Skills!L14+1)</f>
        <v/>
      </c>
      <c r="F576">
        <f>IF(Skills!M14=TRUE,(Skills!K14/10)*(E576/1000),Skills!K14/10)+Skills!N14</f>
        <v/>
      </c>
      <c r="G576">
        <f>Calc!G14</f>
        <v/>
      </c>
      <c r="H576">
        <f>Calc!H14</f>
        <v/>
      </c>
      <c r="I576">
        <f>IF(Skills!T14&lt;&gt;"",1+(Skills!T14/10)*(Z565/1000)/100,1)</f>
        <v/>
      </c>
      <c r="J576" t="inlineStr"/>
      <c r="K576" t="inlineStr"/>
      <c r="L576" t="inlineStr"/>
      <c r="M576" t="inlineStr"/>
      <c r="N576" t="inlineStr"/>
      <c r="O576">
        <f>(1-Summary!$B$11)*S576+Summary!$B$11*U576</f>
        <v/>
      </c>
      <c r="P576">
        <f>IF(B599=0,0,O576/B599)</f>
        <v/>
      </c>
      <c r="Q576">
        <f>IFERROR(1/(IF(Inputs!$B$38="pvp",15,MAX(0.1,Skills!D14-IF(TRUE=TRUE,Inputs!$B$32,0)))*(1-IF(AND(ArtifactsInput!$M$27,Inputs!$B$4="Chapter Hunt"),CHOOSE(ArtifactsInput!$N$27+1,20,24,28,32,36,40),0)/100)),0)</f>
        <v/>
      </c>
      <c r="R576" t="n">
        <v>0</v>
      </c>
      <c r="S576" t="n">
        <v>0</v>
      </c>
      <c r="U576" t="n">
        <v>0</v>
      </c>
    </row>
    <row r="577">
      <c r="A577">
        <f>Skills!A15</f>
        <v/>
      </c>
      <c r="B577">
        <f>Skills!B15</f>
        <v/>
      </c>
      <c r="C577">
        <f>Inputs!$B$3&gt;=75</f>
        <v/>
      </c>
      <c r="D577">
        <f>IF(Skills!C15=1,60+Inputs!$B$25+Inputs!$B$29,IF(Skills!C15=2,90+Inputs!$B$26+Inputs!$B$29,IF(Skills!C15=3,120+Inputs!$B$27+Inputs!$B$29,MAX(0,(Inputs!$B$3-100)*3)+Inputs!$B$28+Inputs!$B$29)))</f>
        <v/>
      </c>
      <c r="E577">
        <f>INDEX(FactorTable!$B$2:$Y$301, MATCH(ROUND(MIN(300,MAX(1,D577)),0), FactorTable!$A$2:$A$301,0), Skills!L15+1)</f>
        <v/>
      </c>
      <c r="F577">
        <f>IF(Skills!M15=TRUE,(Skills!K15/10)*(E577/1000),Skills!K15/10)+Skills!N15</f>
        <v/>
      </c>
      <c r="G577">
        <f>Calc!G15</f>
        <v/>
      </c>
      <c r="H577">
        <f>Calc!H15</f>
        <v/>
      </c>
      <c r="I577">
        <f>IF(Skills!T15&lt;&gt;"",1+(Skills!T15/10)*(Z565/1000)/100,1)</f>
        <v/>
      </c>
      <c r="J577" t="inlineStr"/>
      <c r="K577" t="inlineStr"/>
      <c r="L577" t="inlineStr"/>
      <c r="M577" t="inlineStr"/>
      <c r="N577" t="inlineStr"/>
      <c r="O577">
        <f>(1-Summary!$B$11)*S577+Summary!$B$11*U577</f>
        <v/>
      </c>
      <c r="P577">
        <f>IF(B599=0,0,O577/B599)</f>
        <v/>
      </c>
      <c r="Q577">
        <f>IFERROR(1/(IF(Inputs!$B$38="pvp",15,MAX(0.1,Skills!D15-IF(TRUE=TRUE,Inputs!$B$32,0)))*(1-IF(AND(ArtifactsInput!$M$27,Inputs!$B$4="Chapter Hunt"),CHOOSE(ArtifactsInput!$N$27+1,20,24,28,32,36,40),0)/100)),0)</f>
        <v/>
      </c>
      <c r="R577" t="n">
        <v>0</v>
      </c>
      <c r="S577" t="n">
        <v>0</v>
      </c>
      <c r="U577" t="n">
        <v>0</v>
      </c>
    </row>
    <row r="578">
      <c r="A578">
        <f>Skills!A16</f>
        <v/>
      </c>
      <c r="B578">
        <f>Skills!B16</f>
        <v/>
      </c>
      <c r="C578">
        <f>Inputs!$B$3&gt;=110</f>
        <v/>
      </c>
      <c r="D578">
        <f>IF(Skills!C16=1,60+Inputs!$B$25+Inputs!$B$29,IF(Skills!C16=2,90+Inputs!$B$26+Inputs!$B$29,IF(Skills!C16=3,120+Inputs!$B$27+Inputs!$B$29,MAX(0,(Inputs!$B$3-100)*3)+Inputs!$B$28+Inputs!$B$29)))</f>
        <v/>
      </c>
      <c r="E578">
        <f>INDEX(FactorTable!$B$2:$Y$301, MATCH(ROUND(MIN(300,MAX(1,D578)),0), FactorTable!$A$2:$A$301,0), Skills!L16+1)</f>
        <v/>
      </c>
      <c r="F578">
        <f>(Skills!K16/10)*(E578/1000)*64/45+Skills!N16</f>
        <v/>
      </c>
      <c r="G578">
        <f>Calc!G16</f>
        <v/>
      </c>
      <c r="H578">
        <f>Calc!H16</f>
        <v/>
      </c>
      <c r="I578">
        <f>IF(Skills!T16&lt;&gt;"",1+(Skills!T16/10)*(Z565/1000)/100,1)</f>
        <v/>
      </c>
      <c r="J578" t="inlineStr"/>
      <c r="K578" t="inlineStr"/>
      <c r="L578" t="inlineStr"/>
      <c r="M578" t="inlineStr"/>
      <c r="N578" t="inlineStr"/>
      <c r="O578">
        <f>(1-Summary!$B$11)*S578+Summary!$B$11*U578</f>
        <v/>
      </c>
      <c r="P578">
        <f>IF(B599=0,0,O578/B599)</f>
        <v/>
      </c>
      <c r="Q578">
        <f>IFERROR(1/(IF(Inputs!$B$38="pvp",15,MAX(0.1,Skills!D16-IF(TRUE=TRUE,Inputs!$B$32,0)))*(1-IF(AND(ArtifactsInput!$M$27,Inputs!$B$4="Chapter Hunt"),CHOOSE(ArtifactsInput!$N$27+1,20,24,28,32,36,40),0)/100)),0)</f>
        <v/>
      </c>
      <c r="R578">
        <f>IF(AND(Inputs!$B$38&lt;&gt;"pvp",Inputs!$B$43&gt;0),IF(Inputs!$B$43&lt;=0,0,(INT(Inputs!$B$43/(IF(Inputs!$B$38="pvp",15,MAX(0.1,Skills!D16-IF(TRUE=TRUE,Inputs!$B$32,0)))*(1-IF(AND(ArtifactsInput!$M$27,Inputs!$B$4="Chapter Hunt"),CHOOSE(ArtifactsInput!$N$27+1,20,24,28,32,36,40),0)/100)))+1)),0)</f>
        <v/>
      </c>
      <c r="S578" t="n">
        <v>0</v>
      </c>
      <c r="U578" t="n">
        <v>0</v>
      </c>
    </row>
    <row r="579">
      <c r="A579">
        <f>Skills!A17</f>
        <v/>
      </c>
      <c r="B579">
        <f>Skills!B17</f>
        <v/>
      </c>
      <c r="C579">
        <f>Inputs!$B$3&gt;=33</f>
        <v/>
      </c>
      <c r="D579">
        <f>IF(Skills!C17=1,60+Inputs!$B$25+Inputs!$B$29,IF(Skills!C17=2,90+Inputs!$B$26+Inputs!$B$29,IF(Skills!C17=3,120+Inputs!$B$27+Inputs!$B$29,MAX(0,(Inputs!$B$3-100)*3)+Inputs!$B$28+Inputs!$B$29)))</f>
        <v/>
      </c>
      <c r="E579">
        <f>INDEX(FactorTable!$B$2:$Y$301, MATCH(ROUND(MIN(300,MAX(1,D579)),0), FactorTable!$A$2:$A$301,0), Skills!L17+1)</f>
        <v/>
      </c>
      <c r="F579">
        <f>IF(Skills!M17=TRUE,(Skills!K17/10)*(E579/1000),Skills!K17/10)+Skills!N17</f>
        <v/>
      </c>
      <c r="G579">
        <f>Calc!G17</f>
        <v/>
      </c>
      <c r="H579">
        <f>Calc!H17</f>
        <v/>
      </c>
      <c r="I579">
        <f>IF(Skills!T17&lt;&gt;"",1+(Skills!T17/10)*(Z565/1000)/100,1)</f>
        <v/>
      </c>
      <c r="J579" t="inlineStr"/>
      <c r="K579" t="inlineStr"/>
      <c r="L579" t="inlineStr"/>
      <c r="M579" t="inlineStr"/>
      <c r="N579" t="inlineStr"/>
      <c r="O579">
        <f>(1-Summary!$B$11)*S579+Summary!$B$11*U579</f>
        <v/>
      </c>
      <c r="P579">
        <f>IF(B599=0,0,O579/B599)</f>
        <v/>
      </c>
      <c r="Q579">
        <f>IFERROR(1/(IF(Inputs!$B$38="pvp",15,MAX(0.1,Skills!D17-IF(TRUE=TRUE,Inputs!$B$32,0)))*(1-IF(AND(ArtifactsInput!$M$27,Inputs!$B$4="Chapter Hunt"),CHOOSE(ArtifactsInput!$N$27+1,20,24,28,32,36,40),0)/100)),0)</f>
        <v/>
      </c>
      <c r="R579" t="n">
        <v>0</v>
      </c>
      <c r="S579" t="n">
        <v>0</v>
      </c>
      <c r="U579" t="n">
        <v>0</v>
      </c>
    </row>
    <row r="580">
      <c r="A580">
        <f>Skills!A18</f>
        <v/>
      </c>
      <c r="B580">
        <f>Skills!B18</f>
        <v/>
      </c>
      <c r="C580">
        <f>Inputs!$B$3&gt;=43</f>
        <v/>
      </c>
      <c r="D580">
        <f>IF(Skills!C18=1,60+Inputs!$B$25+Inputs!$B$29,IF(Skills!C18=2,90+Inputs!$B$26+Inputs!$B$29,IF(Skills!C18=3,120+Inputs!$B$27+Inputs!$B$29,MAX(0,(Inputs!$B$3-100)*3)+Inputs!$B$28+Inputs!$B$29)))</f>
        <v/>
      </c>
      <c r="E580">
        <f>INDEX(FactorTable!$B$2:$Y$301, MATCH(ROUND(MIN(300,MAX(1,D580)),0), FactorTable!$A$2:$A$301,0), Skills!L18+1)</f>
        <v/>
      </c>
      <c r="F580">
        <f>IF(Skills!M18=TRUE,(Skills!K18/10)*(E580/1000),Skills!K18/10)+Skills!N18</f>
        <v/>
      </c>
      <c r="G580">
        <f>Calc!G18</f>
        <v/>
      </c>
      <c r="H580">
        <f>Calc!H18</f>
        <v/>
      </c>
      <c r="I580">
        <f>IF(Skills!T18&lt;&gt;"",1+(Skills!T18/10)*(Z565/1000)/100,1)</f>
        <v/>
      </c>
      <c r="J580" t="inlineStr"/>
      <c r="K580" t="inlineStr"/>
      <c r="L580" t="inlineStr"/>
      <c r="M580" t="inlineStr"/>
      <c r="N580" t="inlineStr"/>
      <c r="O580">
        <f>(1-Summary!$B$11)*S580+Summary!$B$11*U580</f>
        <v/>
      </c>
      <c r="P580">
        <f>IF(B599=0,0,O580/B599)</f>
        <v/>
      </c>
      <c r="Q580">
        <f>IFERROR(1/(IF(Inputs!$B$38="pvp",15,MAX(0.1,Skills!D18-IF(TRUE=TRUE,Inputs!$B$32,0)))*(1-IF(AND(ArtifactsInput!$M$27,Inputs!$B$4="Chapter Hunt"),CHOOSE(ArtifactsInput!$N$27+1,20,24,28,32,36,40),0)/100)),0)</f>
        <v/>
      </c>
      <c r="R580" t="n">
        <v>0</v>
      </c>
      <c r="S580" t="n">
        <v>0</v>
      </c>
      <c r="U580" t="n">
        <v>0</v>
      </c>
    </row>
    <row r="581">
      <c r="A581">
        <f>Skills!A19</f>
        <v/>
      </c>
      <c r="B581">
        <f>Skills!B19</f>
        <v/>
      </c>
      <c r="C581">
        <f>Inputs!$B$3&gt;=50</f>
        <v/>
      </c>
      <c r="D581">
        <f>IF(Skills!C19=1,60+Inputs!$B$25+Inputs!$B$29,IF(Skills!C19=2,90+Inputs!$B$26+Inputs!$B$29,IF(Skills!C19=3,120+Inputs!$B$27+Inputs!$B$29,MAX(0,(Inputs!$B$3-100)*3)+Inputs!$B$28+Inputs!$B$29)))</f>
        <v/>
      </c>
      <c r="E581">
        <f>INDEX(FactorTable!$B$2:$Y$301, MATCH(ROUND(MIN(300,MAX(1,D581)),0), FactorTable!$A$2:$A$301,0), Skills!L19+1)</f>
        <v/>
      </c>
      <c r="F581">
        <f>IF(Skills!M19=TRUE,(Skills!K19/10)*(E581/1000),Skills!K19/10)+Skills!N19</f>
        <v/>
      </c>
      <c r="G581">
        <f>Calc!G19</f>
        <v/>
      </c>
      <c r="H581">
        <f>Calc!H19</f>
        <v/>
      </c>
      <c r="I581">
        <f>IF(Skills!T19&lt;&gt;"",1+(Skills!T19/10)*(Z565/1000)/100,1)</f>
        <v/>
      </c>
      <c r="J581" t="inlineStr"/>
      <c r="K581" t="inlineStr"/>
      <c r="L581" t="inlineStr"/>
      <c r="M581" t="inlineStr"/>
      <c r="N581" t="inlineStr"/>
      <c r="O581">
        <f>(1-Summary!$B$11)*S581+Summary!$B$11*U581</f>
        <v/>
      </c>
      <c r="P581">
        <f>IF(B599=0,0,O581/B599)</f>
        <v/>
      </c>
      <c r="Q581">
        <f>IFERROR(1/(IF(Inputs!$B$38="pvp",15,MAX(0.1,Skills!D19-IF(TRUE=TRUE,Inputs!$B$32,0)))*(1-IF(AND(ArtifactsInput!$M$27,Inputs!$B$4="Chapter Hunt"),CHOOSE(ArtifactsInput!$N$27+1,20,24,28,32,36,40),0)/100)),0)</f>
        <v/>
      </c>
      <c r="R581" t="n">
        <v>0</v>
      </c>
      <c r="S581" t="n">
        <v>0</v>
      </c>
      <c r="U581" t="n">
        <v>0</v>
      </c>
    </row>
    <row r="582">
      <c r="A582">
        <f>Skills!A20</f>
        <v/>
      </c>
      <c r="B582">
        <f>Skills!B20</f>
        <v/>
      </c>
      <c r="C582">
        <f>Inputs!$B$3&gt;=74</f>
        <v/>
      </c>
      <c r="D582">
        <f>IF(Skills!C20=1,60+Inputs!$B$25+Inputs!$B$29,IF(Skills!C20=2,90+Inputs!$B$26+Inputs!$B$29,IF(Skills!C20=3,120+Inputs!$B$27+Inputs!$B$29,MAX(0,(Inputs!$B$3-100)*3)+Inputs!$B$28+Inputs!$B$29)))</f>
        <v/>
      </c>
      <c r="E582">
        <f>INDEX(FactorTable!$B$2:$Y$301, MATCH(ROUND(MIN(300,MAX(1,D582)),0), FactorTable!$A$2:$A$301,0), Skills!L20+1)</f>
        <v/>
      </c>
      <c r="F582">
        <f>IF(Skills!M20=TRUE,(Skills!K20/10)*(E582/1000),Skills!K20/10)+Skills!N20</f>
        <v/>
      </c>
      <c r="G582">
        <f>Calc!G20</f>
        <v/>
      </c>
      <c r="H582">
        <f>Calc!H20</f>
        <v/>
      </c>
      <c r="I582">
        <f>IF(Skills!T20&lt;&gt;"",1+(Skills!T20/10)*(Z565/1000)/100,1)</f>
        <v/>
      </c>
      <c r="J582" t="inlineStr"/>
      <c r="K582" t="inlineStr"/>
      <c r="L582" t="inlineStr"/>
      <c r="M582" t="inlineStr"/>
      <c r="N582" t="inlineStr"/>
      <c r="O582">
        <f>(1-Summary!$B$11)*S582+Summary!$B$11*U582</f>
        <v/>
      </c>
      <c r="P582">
        <f>IF(B599=0,0,O582/B599)</f>
        <v/>
      </c>
      <c r="Q582">
        <f>IFERROR(1/(IF(Inputs!$B$38="pvp",15,MAX(0.1,Skills!D20-IF(TRUE=TRUE,Inputs!$B$32,0)))*(1-IF(AND(ArtifactsInput!$M$27,Inputs!$B$4="Chapter Hunt"),CHOOSE(ArtifactsInput!$N$27+1,20,24,28,32,36,40),0)/100)),0)</f>
        <v/>
      </c>
      <c r="R582" t="n">
        <v>0</v>
      </c>
      <c r="S582" t="n">
        <v>0</v>
      </c>
      <c r="U582" t="n">
        <v>0</v>
      </c>
    </row>
    <row r="583">
      <c r="A583">
        <f>Skills!A21</f>
        <v/>
      </c>
      <c r="B583">
        <f>Skills!B21</f>
        <v/>
      </c>
      <c r="C583">
        <f>Inputs!$B$3&gt;=74</f>
        <v/>
      </c>
      <c r="D583">
        <f>IF(Skills!C21=1,60+Inputs!$B$25+Inputs!$B$29,IF(Skills!C21=2,90+Inputs!$B$26+Inputs!$B$29,IF(Skills!C21=3,120+Inputs!$B$27+Inputs!$B$29,MAX(0,(Inputs!$B$3-100)*3)+Inputs!$B$28+Inputs!$B$29)))</f>
        <v/>
      </c>
      <c r="E583">
        <f>INDEX(FactorTable!$B$2:$Y$301, MATCH(ROUND(MIN(300,MAX(1,D583)),0), FactorTable!$A$2:$A$301,0), Skills!L21+1)</f>
        <v/>
      </c>
      <c r="F583">
        <f>IF(Skills!M21=TRUE,(Skills!K21/10)*(E583/1000),Skills!K21/10)+Skills!N21</f>
        <v/>
      </c>
      <c r="G583">
        <f>Calc!G21</f>
        <v/>
      </c>
      <c r="H583">
        <f>Calc!H21</f>
        <v/>
      </c>
      <c r="I583">
        <f>IF(Skills!T21&lt;&gt;"",1+(Skills!T21/10)*(Z565/1000)/100,1)</f>
        <v/>
      </c>
      <c r="J583" t="inlineStr"/>
      <c r="K583" t="inlineStr"/>
      <c r="L583" t="inlineStr"/>
      <c r="M583" t="inlineStr"/>
      <c r="N583" t="inlineStr"/>
      <c r="O583">
        <f>(1-Summary!$B$11)*S583+Summary!$B$11*U583</f>
        <v/>
      </c>
      <c r="P583">
        <f>IF(B599=0,0,O583/B599)</f>
        <v/>
      </c>
      <c r="Q583">
        <f>IFERROR(1/(IF(Inputs!$B$38="pvp",15,MAX(0.1,Skills!D21-IF(TRUE=TRUE,Inputs!$B$32,0)))*(1-IF(AND(ArtifactsInput!$M$27,Inputs!$B$4="Chapter Hunt"),CHOOSE(ArtifactsInput!$N$27+1,20,24,28,32,36,40),0)/100)),0)</f>
        <v/>
      </c>
      <c r="R583" t="n">
        <v>0</v>
      </c>
      <c r="S583" t="n">
        <v>0</v>
      </c>
      <c r="U583" t="n">
        <v>0</v>
      </c>
    </row>
    <row r="584">
      <c r="A584">
        <f>Skills!A22</f>
        <v/>
      </c>
      <c r="B584">
        <f>Skills!B22</f>
        <v/>
      </c>
      <c r="C584">
        <f>Inputs!$B$3&gt;=117</f>
        <v/>
      </c>
      <c r="D584">
        <f>IF(Skills!C22=1,60+Inputs!$B$25+Inputs!$B$29,IF(Skills!C22=2,90+Inputs!$B$26+Inputs!$B$29,IF(Skills!C22=3,120+Inputs!$B$27+Inputs!$B$29,MAX(0,(Inputs!$B$3-100)*3)+Inputs!$B$28+Inputs!$B$29)))</f>
        <v/>
      </c>
      <c r="E584">
        <f>INDEX(FactorTable!$B$2:$Y$301, MATCH(ROUND(MIN(300,MAX(1,D584)),0), FactorTable!$A$2:$A$301,0), Skills!L22+1)</f>
        <v/>
      </c>
      <c r="F584">
        <f>IF(Skills!M22=TRUE,(Skills!K22/10)*(E584/1000),Skills!K22/10)+Skills!N22</f>
        <v/>
      </c>
      <c r="G584">
        <f>Calc!G22</f>
        <v/>
      </c>
      <c r="H584">
        <f>Calc!H22</f>
        <v/>
      </c>
      <c r="I584">
        <f>IF(Skills!T22&lt;&gt;"",1+(Skills!T22/10)*(Z565/1000)/100,1)</f>
        <v/>
      </c>
      <c r="J584" t="inlineStr"/>
      <c r="K584" t="inlineStr"/>
      <c r="L584" t="inlineStr"/>
      <c r="M584" t="inlineStr"/>
      <c r="N584" t="inlineStr"/>
      <c r="O584">
        <f>(1-Summary!$B$11)*S584+Summary!$B$11*U584</f>
        <v/>
      </c>
      <c r="P584">
        <f>IF(B599=0,0,O584/B599)</f>
        <v/>
      </c>
      <c r="Q584">
        <f>IFERROR(1/(IF(Inputs!$B$38="pvp",15,MAX(0.1,Skills!D22-IF(TRUE=TRUE,Inputs!$B$32,0)))*(1-IF(AND(ArtifactsInput!$M$27,Inputs!$B$4="Chapter Hunt"),CHOOSE(ArtifactsInput!$N$27+1,20,24,28,32,36,40),0)/100)),0)</f>
        <v/>
      </c>
      <c r="R584" t="n">
        <v>0</v>
      </c>
      <c r="S584" t="n">
        <v>0</v>
      </c>
      <c r="U584" t="n">
        <v>0</v>
      </c>
    </row>
    <row r="585">
      <c r="A585">
        <f>Skills!A23</f>
        <v/>
      </c>
      <c r="B585">
        <f>Skills!B23</f>
        <v/>
      </c>
      <c r="C585">
        <f>Inputs!$B$3&gt;=120</f>
        <v/>
      </c>
      <c r="D585">
        <f>IF(Skills!C23=1,60+Inputs!$B$25+Inputs!$B$29,IF(Skills!C23=2,90+Inputs!$B$26+Inputs!$B$29,IF(Skills!C23=3,120+Inputs!$B$27+Inputs!$B$29,MAX(0,(Inputs!$B$3-100)*3)+Inputs!$B$28+Inputs!$B$29)))</f>
        <v/>
      </c>
      <c r="E585">
        <f>INDEX(FactorTable!$B$2:$Y$301, MATCH(ROUND(MIN(300,MAX(1,D585)),0), FactorTable!$A$2:$A$301,0), Skills!L23+1)</f>
        <v/>
      </c>
      <c r="F585">
        <f>IF(Skills!M23=TRUE,(Skills!K23/10)*(E585/1000),Skills!K23/10)+Skills!N23</f>
        <v/>
      </c>
      <c r="G585">
        <f>Calc!G23</f>
        <v/>
      </c>
      <c r="H585">
        <f>Calc!H23</f>
        <v/>
      </c>
      <c r="I585">
        <f>IF(Skills!T23&lt;&gt;"",1+(Skills!T23/10)*(Z565/1000)/100,1)</f>
        <v/>
      </c>
      <c r="J585" t="inlineStr"/>
      <c r="K585" t="inlineStr"/>
      <c r="L585" t="inlineStr"/>
      <c r="M585" t="inlineStr"/>
      <c r="N585" t="inlineStr"/>
      <c r="O585">
        <f>(1-Summary!$B$11)*S585+Summary!$B$11*U585</f>
        <v/>
      </c>
      <c r="P585">
        <f>IF(B599=0,0,O585/B599)</f>
        <v/>
      </c>
      <c r="Q585">
        <f>IFERROR(1/(IF(Inputs!$B$38="pvp",15,MAX(0.1,Skills!D23-IF(TRUE=TRUE,Inputs!$B$32,0)))*(1-IF(AND(ArtifactsInput!$M$27,Inputs!$B$4="Chapter Hunt"),CHOOSE(ArtifactsInput!$N$27+1,20,24,28,32,36,40),0)/100)),0)</f>
        <v/>
      </c>
      <c r="R585" t="n">
        <v>0</v>
      </c>
      <c r="S585" t="n">
        <v>0</v>
      </c>
      <c r="U585" t="n">
        <v>0</v>
      </c>
    </row>
    <row r="586">
      <c r="A586">
        <f>Skills!A24</f>
        <v/>
      </c>
      <c r="B586">
        <f>Skills!B24</f>
        <v/>
      </c>
      <c r="C586">
        <f>TRUE</f>
        <v/>
      </c>
      <c r="D586">
        <f>IF(Skills!C24=1,60+Inputs!$B$25+Inputs!$B$29,IF(Skills!C24=2,90+Inputs!$B$26+Inputs!$B$29,IF(Skills!C24=3,120+Inputs!$B$27+Inputs!$B$29,MAX(0,(Inputs!$B$3-100)*3)+Inputs!$B$28+Inputs!$B$29)))</f>
        <v/>
      </c>
      <c r="E586">
        <f>INDEX(FactorTable!$B$2:$Y$301, MATCH(ROUND(MIN(300,MAX(1,D586)),0), FactorTable!$A$2:$A$301,0), Skills!L24+1)</f>
        <v/>
      </c>
      <c r="F586">
        <f>IF(Skills!M24=TRUE,(Skills!K24/10)*(E586/1000),Skills!K24/10)+Skills!N24</f>
        <v/>
      </c>
      <c r="G586">
        <f>Calc!G24</f>
        <v/>
      </c>
      <c r="H586">
        <f>Calc!H24</f>
        <v/>
      </c>
      <c r="I586">
        <f>IF(Skills!T24&lt;&gt;"",1+(Skills!T24/10)*(Z565/1000)/100,1)</f>
        <v/>
      </c>
      <c r="J586" t="inlineStr"/>
      <c r="K586" t="inlineStr"/>
      <c r="L586" t="inlineStr"/>
      <c r="M586" t="inlineStr"/>
      <c r="N586" t="inlineStr"/>
      <c r="O586">
        <f>(1-Summary!$B$11)*S586+Summary!$B$11*U586</f>
        <v/>
      </c>
      <c r="P586">
        <f>IF(B599=0,0,O586/B599)</f>
        <v/>
      </c>
      <c r="Q586">
        <f>IFERROR(1/(IF(Inputs!$B$38="pvp",15,MAX(0.1,Skills!D24-IF(TRUE=TRUE,Inputs!$B$32,0)))*(1-IF(AND(ArtifactsInput!$M$27,Inputs!$B$4="Chapter Hunt"),CHOOSE(ArtifactsInput!$N$27+1,20,24,28,32,36,40),0)/100)),0)</f>
        <v/>
      </c>
      <c r="R586">
        <f>IF(AND(Inputs!$B$38&lt;&gt;"pvp",Inputs!$B$43&gt;0),IF(Inputs!$B$43&lt;=0,0,(INT(Inputs!$B$43/(IF(Inputs!$B$38="pvp",15,MAX(0.1,Skills!D24-IF(TRUE=TRUE,Inputs!$B$32,0)))*(1-IF(AND(ArtifactsInput!$M$27,Inputs!$B$4="Chapter Hunt"),CHOOSE(ArtifactsInput!$N$27+1,20,24,28,32,36,40),0)/100)))+1)),0)</f>
        <v/>
      </c>
      <c r="S586" t="n">
        <v>0</v>
      </c>
      <c r="U586" t="n">
        <v>0</v>
      </c>
    </row>
    <row r="589">
      <c r="A589" t="inlineStr">
        <is>
          <t>Average Buff Multiplier (Magic Guard + Meditation + Artifact Attack%, summed; then Infinity)</t>
        </is>
      </c>
      <c r="B589">
        <f>(1+(IF(C565=TRUE,F565*IF(AND(Inputs!$B$38&lt;&gt;"pvp",Inputs!$B$43&gt;0),(((R565-1)*MIN((Skills!S3*(1+(Inputs!$B$34)/100)),(1/Q565))+MIN((Skills!S3*(1+(Inputs!$B$34)/100)),MAX(0,Inputs!$B$43-((R565-1)*(1/Q565)))))/Inputs!$B$43),IF(Inputs!$B$38="pvp",MIN((Skills!S3*(1+(Inputs!$B$34)/100)),15)/15,MIN(1,(Skills!S3*(1+(Inputs!$B$34)/100))/(1/Q565)))),0)+IF(C566=TRUE,F566*IF(AND(Inputs!$B$38&lt;&gt;"pvp",Inputs!$B$43&gt;0),(((R566-1)*MIN((Skills!S4*(1+(Inputs!$B$34)/100)),(1/Q566))+MIN((Skills!S4*(1+(Inputs!$B$34)/100)),MAX(0,Inputs!$B$43-((R566-1)*(1/Q566)))))/Inputs!$B$43),IF(Inputs!$B$38="pvp",MIN((Skills!S4*(1+(Inputs!$B$34)/100)),15)/15,MIN(1,(Skills!S4*(1+(Inputs!$B$34)/100))/(1/Q566)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578=TRUE,(1+F578*IF(AND(Inputs!$B$38&lt;&gt;"pvp",Inputs!$B$43&gt;0),(((R578-1)*MIN((Skills!S16*(1+(Inputs!$B$34)/100)),(1/Q578))+MIN((Skills!S16*(1+(Inputs!$B$34)/100)),MAX(0,Inputs!$B$43-((R578-1)*(1/Q578)))))/Inputs!$B$43),IF(Inputs!$B$38="pvp",MIN((Skills!S16*(1+(Inputs!$B$34)/100)),15)/15,MIN(1,(Skills!S16*(1+(Inputs!$B$34)/100))/(1/Q578))))/100),1)</f>
        <v/>
      </c>
    </row>
    <row r="590">
      <c r="A590" t="inlineStr">
        <is>
          <t>Monster Damage Taken Bonus % (Freezing Breath - Weaken + Elemental Reset + Artifact Enemy Damage Taken, summed)</t>
        </is>
      </c>
      <c r="B590">
        <f>IF(Inputs!$B$3&gt;=118,15*IF(Inputs!$B$38="pvp",MIN((30*(1+(Inputs!$B$34)/100)),15)/15,MIN(1,(30*(1+(Inputs!$B$34)/100))/(1/Q570))),0)+IF(C576=TRUE,F576,0)+(IF(AND(ArtifactsInput!$M$35,Inputs!$B$4&lt;&gt;"Chapter Hunt"),CHOOSE(ArtifactsInput!$N$35+1,15,18,21,24,27,30)*(1-EXP(-(0.2*B593)*5)),0)+IF(AND(ArtifactsInput!$M$22,Inputs!$B$4&lt;&gt;"Chapter Hunt"),CHOOSE(ArtifactsInput!$N$22+1,10,12,14,16,18,20)*((0*(((0.15*B593*5))^0/1)+1*(((0.15*B593*5))^1/1)+2*(((0.15*B593*5))^2/2)+3*(((0.15*B593*5))^3/6)+4*(((0.15*B593*5))^4/24)+5*(((0.15*B593*5))^5/120))/((((0.15*B593*5))^0/1)+(((0.15*B593*5))^1/1)+(((0.15*B593*5))^2/2)+(((0.15*B593*5))^3/6)+(((0.15*B593*5))^4/24)+(((0.15*B593*5))^5/120))),0))</f>
        <v/>
      </c>
    </row>
    <row r="591">
      <c r="A591" t="inlineStr">
        <is>
          <t>Damage % Bonus (Frozen Break + Frost Clutch, flat)</t>
        </is>
      </c>
      <c r="B591">
        <f>IF(Inputs!$B$3&gt;=66,15,0)+IF(Inputs!$B$3&gt;=98,10,0)+IF(Inputs!$B$3&gt;=125,20,0)</f>
        <v/>
      </c>
    </row>
    <row r="592">
      <c r="A592" t="inlineStr">
        <is>
          <t>Attack Speed Bonus % (MP Eater - MP Boost, always-on + Nimble Feet, duty-cycle averaged)</t>
        </is>
      </c>
      <c r="B592">
        <f>IF(C575=TRUE,F575+(F579-Calc!F17),0)+((C586=TRUE)*F586*IF(AND(Inputs!$B$38&lt;&gt;"pvp",Inputs!$B$43&gt;0),(((R586-1)*MIN((Skills!S24*(1+(Inputs!$B$34)/100)),(1/Q586))+MIN((Skills!S24*(1+(Inputs!$B$34)/100)),MAX(0,Inputs!$B$43-((R586-1)*(1/Q586)))))/Inputs!$B$43),IF(Inputs!$B$38="pvp",MIN((Skills!S24*(1+(Inputs!$B$34)/100)),15)/15,MIN(1,(Skills!S24*(1+(Inputs!$B$34)/100))/(1/Q586)))))</f>
        <v/>
      </c>
    </row>
    <row r="593">
      <c r="A593" t="inlineStr">
        <is>
          <t>Actions Per Second</t>
        </is>
      </c>
      <c r="B593">
        <f>1+MIN(150,150*(1-(1-(Inputs!$B$11+(ArtifactsInput!$M$15-ArtifactsInput!$M$15)*CHOOSE(ArtifactsInput!$N$15+1,8,9.6,11.2,12.8,14.4,16))/150)*(1-B592/150)))/100</f>
        <v/>
      </c>
    </row>
    <row r="594">
      <c r="A594" t="inlineStr">
        <is>
          <t>Skill + Buff Cast Rate</t>
        </is>
      </c>
      <c r="B594">
        <f>IF(AND(Inputs!$B$38&lt;&gt;"pvp",Inputs!$B$43&gt;0),SUMPRODUCT((Skills!E2:E24=TRUE)*(C564:C586=TRUE)*R564:R586)/Inputs!$B$43,SUMPRODUCT((Skills!E2:E24=TRUE)*(C564:C586=TRUE)*Q564:Q586))</f>
        <v/>
      </c>
    </row>
    <row r="595">
      <c r="A595" t="inlineStr">
        <is>
          <t>Chain Lightning Casts Per Second</t>
        </is>
      </c>
      <c r="B595">
        <f>MAX(0,B593-B594)</f>
        <v/>
      </c>
    </row>
    <row r="596">
      <c r="A596" t="inlineStr">
        <is>
          <t>Buff-Casting Startup Delay (s, fixed-duration only)</t>
        </is>
      </c>
      <c r="B596">
        <f>IF(AND(Inputs!$B$38&lt;&gt;"pvp",Inputs!$B$43&gt;0),SUMPRODUCT((Skills!S2:S24&gt;0)*(Skills!E2:E24=TRUE)*(C564:C586=TRUE))/B593,0)</f>
        <v/>
      </c>
    </row>
    <row r="597">
      <c r="A597" t="inlineStr">
        <is>
          <t>Boss-Only Total DPS (this block's swept value)</t>
        </is>
      </c>
      <c r="B597">
        <f>SUM(S564:S586)</f>
        <v/>
      </c>
    </row>
    <row r="598">
      <c r="A598" t="inlineStr">
        <is>
          <t>Normal-Only Total DPS (this block's swept value)</t>
        </is>
      </c>
      <c r="B598">
        <f>SUM(U564:U586)</f>
        <v/>
      </c>
    </row>
    <row r="599">
      <c r="A599" s="6" t="inlineStr">
        <is>
          <t>TOTAL DPS</t>
        </is>
      </c>
      <c r="B599" s="6">
        <f>SUM(O564:O586)</f>
        <v/>
      </c>
    </row>
    <row r="600">
      <c r="A600" t="inlineStr">
        <is>
          <t>Blizzard Final Attack trigger rate (this block's own Q/R)</t>
        </is>
      </c>
      <c r="B600">
        <f>IF(AND(Inputs!$B$38&lt;&gt;"pvp",Inputs!$B$43&gt;0),(((C567=TRUE)*R567*1)+((C568=TRUE)*R568*1)+((C570=TRUE)*R570*1)+((C571=TRUE)*R571*3)+((C573=TRUE)*R573*1))/Inputs!$B$43,((C567=TRUE)*Q567*1)+((C568=TRUE)*Q568*1)+((C570=TRUE)*Q570*1)+((C571=TRUE)*Q571*3)+((C573=TRUE)*Q573*1))+B595</f>
        <v/>
      </c>
    </row>
    <row r="603">
      <c r="A603" s="6" t="inlineStr">
        <is>
          <t>Stat: BASIC_ATTACK_DAMAGE %</t>
        </is>
      </c>
    </row>
    <row r="604">
      <c r="A604" s="5" t="inlineStr">
        <is>
          <t>Key</t>
        </is>
      </c>
      <c r="B604" s="5" t="inlineStr">
        <is>
          <t>Name</t>
        </is>
      </c>
      <c r="C604" s="5" t="inlineStr">
        <is>
          <t>Unlocked</t>
        </is>
      </c>
      <c r="D604" s="5" t="inlineStr">
        <is>
          <t>InputLevel</t>
        </is>
      </c>
      <c r="E604" s="5" t="inlineStr">
        <is>
          <t>Factor</t>
        </is>
      </c>
      <c r="F604" s="5" t="inlineStr">
        <is>
          <t>CoefficientPercent</t>
        </is>
      </c>
      <c r="G604" s="5" t="inlineStr">
        <is>
          <t>EffectiveHits</t>
        </is>
      </c>
      <c r="H604" s="5" t="inlineStr">
        <is>
          <t>ProcProbability</t>
        </is>
      </c>
      <c r="I604" s="5" t="inlineStr">
        <is>
          <t>MapleHeroMultiplier</t>
        </is>
      </c>
      <c r="J604" s="5" t="inlineStr">
        <is>
          <t>BaseDamage</t>
        </is>
      </c>
      <c r="K604" s="5" t="inlineStr">
        <is>
          <t>BaseHitDamage</t>
        </is>
      </c>
      <c r="L604" s="5" t="inlineStr">
        <is>
          <t>NonCritAvg</t>
        </is>
      </c>
      <c r="M604" s="5" t="inlineStr">
        <is>
          <t>CritAvg</t>
        </is>
      </c>
      <c r="N604" s="5" t="inlineStr">
        <is>
          <t>ExpectedDamage(perHit)</t>
        </is>
      </c>
      <c r="O604" s="5" t="inlineStr">
        <is>
          <t>DPS</t>
        </is>
      </c>
      <c r="P604" s="5" t="inlineStr">
        <is>
          <t>% of Total</t>
        </is>
      </c>
      <c r="R604" t="inlineStr">
        <is>
          <t>helpers</t>
        </is>
      </c>
    </row>
    <row r="605">
      <c r="A605">
        <f>Skills!A2</f>
        <v/>
      </c>
      <c r="B605">
        <f>Skills!B2</f>
        <v/>
      </c>
      <c r="C605">
        <f>Inputs!$B$3&gt;=100</f>
        <v/>
      </c>
      <c r="D605" t="inlineStr"/>
      <c r="E605" t="inlineStr"/>
      <c r="F605">
        <f>T607+Skills!N2</f>
        <v/>
      </c>
      <c r="G605">
        <f>Calc!G2</f>
        <v/>
      </c>
      <c r="H605">
        <f>Calc!H2</f>
        <v/>
      </c>
      <c r="I605">
        <f>IF(Skills!T2&lt;&gt;"",1+(Skills!T2/10)*(Z606/1000)/100,1)</f>
        <v/>
      </c>
      <c r="J605">
        <f>((Inputs!$B$6*(1+Inputs!$B$7/100))+(((Inputs!$B$12*(1+Inputs!$B$13/100))-(Inputs!$B$12*(1+Inputs!$B$13/100)))+0.25*(Inputs!$B$14-Inputs!$B$14))*(1+Inputs!$B$7/100))*(F605/100)</f>
        <v/>
      </c>
      <c r="K605">
        <f>J605*(1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2="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605)</f>
        <v/>
      </c>
      <c r="L605">
        <f>K605*(MIN(Inputs!$B$22+(F621-Calc!F18),(Inputs!$B$23+(IF(ArtifactsInput!$M$15,CHOOSE(ArtifactsInput!$N$15+1,25,30,35,40,45,50)/100*(Inputs!$B$11-Inputs!$B$11),0))))/100+(Inputs!$B$23+(IF(ArtifactsInput!$M$15,CHOOSE(ArtifactsInput!$N$15+1,25,30,35,40,45,50)/100*(Inputs!$B$11-Inputs!$B$11),0)))/100)/2</f>
        <v/>
      </c>
      <c r="M605">
        <f>L605*(1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5">
        <f>L605*(1-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605*(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5">
        <f>(1-Summary!$B$11)*S605+Summary!$B$11*U605</f>
        <v/>
      </c>
      <c r="P605">
        <f>IF(B640=0,0,O605/B640)</f>
        <v/>
      </c>
      <c r="Q605">
        <f>IFERROR(1/(IF(Inputs!$B$38="pvp",15,MAX(0.1,Skills!D2-IF(TRUE=TRUE,Inputs!$B$32,0)))*(1-IF(AND(ArtifactsInput!$M$27,Inputs!$B$4="Chapter Hunt"),CHOOSE(ArtifactsInput!$N$27+1,20,24,28,32,36,40),0)/100)),0)</f>
        <v/>
      </c>
      <c r="R605" t="n">
        <v>0</v>
      </c>
      <c r="S605">
        <f>IF(C605,(Skills!F2*N605*B636)*IF(Inputs!$B$38="pvp",1,1+(Inputs!$B$20+Skills!O2+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605*(1-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605*(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605*(1-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605*(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05">
        <f>MAX(0,(Inputs!$B$3-100)*3)+Inputs!$B$28+Inputs!$B$29</f>
        <v/>
      </c>
      <c r="U605">
        <f>IF(C605,(Skills!F2*N605*B636)*IF(Inputs!$B$38="pvp",1,(1+(Inputs!$B$21+Skills!P2+B631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05">
        <f>MAX(0,(Inputs!$B$3-100)*3)+Inputs!$B$28+Inputs!$B$29</f>
        <v/>
      </c>
    </row>
    <row r="606">
      <c r="A606">
        <f>Skills!A3</f>
        <v/>
      </c>
      <c r="B606">
        <f>Skills!B3</f>
        <v/>
      </c>
      <c r="C606">
        <f>Inputs!$B$3&gt;=15</f>
        <v/>
      </c>
      <c r="D606">
        <f>IF(Skills!C3=1,60+Inputs!$B$25+Inputs!$B$29,IF(Skills!C3=2,90+Inputs!$B$26+Inputs!$B$29,IF(Skills!C3=3,120+Inputs!$B$27+Inputs!$B$29,MAX(0,(Inputs!$B$3-100)*3)+Inputs!$B$28+Inputs!$B$29)))</f>
        <v/>
      </c>
      <c r="E606">
        <f>INDEX(FactorTable!$B$2:$Y$301, MATCH(ROUND(MIN(300,MAX(1,D606)),0), FactorTable!$A$2:$A$301,0), Skills!L3+1)</f>
        <v/>
      </c>
      <c r="F606">
        <f>IF(Skills!M3=TRUE,(Skills!K3/10)*(E606/1000),Skills!K3/10)+Skills!N3</f>
        <v/>
      </c>
      <c r="G606">
        <f>Calc!G3</f>
        <v/>
      </c>
      <c r="H606">
        <f>Calc!H3</f>
        <v/>
      </c>
      <c r="I606">
        <f>IF(Skills!T3&lt;&gt;"",1+(Skills!T3/10)*(Z606/1000)/100,1)</f>
        <v/>
      </c>
      <c r="J606" t="inlineStr"/>
      <c r="K606" t="inlineStr"/>
      <c r="L606" t="inlineStr"/>
      <c r="M606" t="inlineStr"/>
      <c r="N606" t="inlineStr"/>
      <c r="O606">
        <f>(1-Summary!$B$11)*S606+Summary!$B$11*U606</f>
        <v/>
      </c>
      <c r="P606">
        <f>IF(B640=0,0,O606/B640)</f>
        <v/>
      </c>
      <c r="Q606">
        <f>IFERROR(1/(IF(Inputs!$B$38="pvp",15,MAX(0.1,Skills!D3-IF(TRUE=TRUE,Inputs!$B$32,0)))*(1-IF(AND(ArtifactsInput!$M$27,Inputs!$B$4="Chapter Hunt"),CHOOSE(ArtifactsInput!$N$27+1,20,24,28,32,36,40),0)/100)),0)</f>
        <v/>
      </c>
      <c r="R606">
        <f>IF(AND(Inputs!$B$38&lt;&gt;"pvp",Inputs!$B$43&gt;0),IF(Inputs!$B$43&lt;=0,0,(INT(Inputs!$B$43/(IF(Inputs!$B$38="pvp",15,MAX(0.1,Skills!D3-IF(TRUE=TRUE,Inputs!$B$32,0)))*(1-IF(AND(ArtifactsInput!$M$27,Inputs!$B$4="Chapter Hunt"),CHOOSE(ArtifactsInput!$N$27+1,20,24,28,32,36,40),0)/100)))+1)),0)</f>
        <v/>
      </c>
      <c r="S606" t="n">
        <v>0</v>
      </c>
      <c r="T606">
        <f>INDEX(FactorTable!$B$2:$Y$301, MATCH(ROUND(MIN(300,MAX(1,T605)),0), FactorTable!$A$2:$A$301,0), 22)</f>
        <v/>
      </c>
      <c r="U606" t="n">
        <v>0</v>
      </c>
      <c r="Z606">
        <f>INDEX(FactorTable!$B$2:$Y$301, MATCH(ROUND(MIN(300,MAX(1,Z605)),0), FactorTable!$A$2:$A$301,0), 24)</f>
        <v/>
      </c>
    </row>
    <row r="607">
      <c r="A607">
        <f>Skills!A4</f>
        <v/>
      </c>
      <c r="B607">
        <f>Skills!B4</f>
        <v/>
      </c>
      <c r="C607">
        <f>Inputs!$B$3&gt;=40</f>
        <v/>
      </c>
      <c r="D607">
        <f>IF(Skills!C4=1,60+Inputs!$B$25+Inputs!$B$29,IF(Skills!C4=2,90+Inputs!$B$26+Inputs!$B$29,IF(Skills!C4=3,120+Inputs!$B$27+Inputs!$B$29,MAX(0,(Inputs!$B$3-100)*3)+Inputs!$B$28+Inputs!$B$29)))</f>
        <v/>
      </c>
      <c r="E607">
        <f>INDEX(FactorTable!$B$2:$Y$301, MATCH(ROUND(MIN(300,MAX(1,D607)),0), FactorTable!$A$2:$A$301,0), Skills!L4+1)</f>
        <v/>
      </c>
      <c r="F607">
        <f>IF(Skills!M4=TRUE,(Skills!K4/10)*(E607/1000),Skills!K4/10)+Skills!N4</f>
        <v/>
      </c>
      <c r="G607">
        <f>Calc!G4</f>
        <v/>
      </c>
      <c r="H607">
        <f>Calc!H4</f>
        <v/>
      </c>
      <c r="I607">
        <f>IF(Skills!T4&lt;&gt;"",1+(Skills!T4/10)*(Z606/1000)/100,1)</f>
        <v/>
      </c>
      <c r="J607" t="inlineStr"/>
      <c r="K607" t="inlineStr"/>
      <c r="L607" t="inlineStr"/>
      <c r="M607" t="inlineStr"/>
      <c r="N607" t="inlineStr"/>
      <c r="O607">
        <f>(1-Summary!$B$11)*S607+Summary!$B$11*U607</f>
        <v/>
      </c>
      <c r="P607">
        <f>IF(B640=0,0,O607/B640)</f>
        <v/>
      </c>
      <c r="Q607">
        <f>IFERROR(1/(IF(Inputs!$B$38="pvp",15,MAX(0.1,Skills!D4-IF(TRUE=TRUE,Inputs!$B$32,0)))*(1-IF(AND(ArtifactsInput!$M$27,Inputs!$B$4="Chapter Hunt"),CHOOSE(ArtifactsInput!$N$27+1,20,24,28,32,36,40),0)/100)),0)</f>
        <v/>
      </c>
      <c r="R607">
        <f>IF(AND(Inputs!$B$38&lt;&gt;"pvp",Inputs!$B$43&gt;0),IF(Inputs!$B$43&lt;=0,0,(INT(Inputs!$B$43/(IF(Inputs!$B$38="pvp",15,MAX(0.1,Skills!D4-IF(TRUE=TRUE,Inputs!$B$32,0)))*(1-IF(AND(ArtifactsInput!$M$27,Inputs!$B$4="Chapter Hunt"),CHOOSE(ArtifactsInput!$N$27+1,20,24,28,32,36,40),0)/100)))+1)),0)</f>
        <v/>
      </c>
      <c r="S607" t="n">
        <v>0</v>
      </c>
      <c r="T607">
        <f>290*T606/1000</f>
        <v/>
      </c>
      <c r="U607" t="n">
        <v>0</v>
      </c>
    </row>
    <row r="608">
      <c r="A608">
        <f>Skills!A5</f>
        <v/>
      </c>
      <c r="B608">
        <f>Skills!B5</f>
        <v/>
      </c>
      <c r="C608">
        <f>Inputs!$B$3&gt;=38</f>
        <v/>
      </c>
      <c r="D608">
        <f>IF(Skills!C5=1,60+Inputs!$B$25+Inputs!$B$29,IF(Skills!C5=2,90+Inputs!$B$26+Inputs!$B$29,IF(Skills!C5=3,120+Inputs!$B$27+Inputs!$B$29,MAX(0,(Inputs!$B$3-100)*3)+Inputs!$B$28+Inputs!$B$29)))</f>
        <v/>
      </c>
      <c r="E608">
        <f>INDEX(FactorTable!$B$2:$Y$301, MATCH(ROUND(MIN(300,MAX(1,D608)),0), FactorTable!$A$2:$A$301,0), Skills!L5+1)</f>
        <v/>
      </c>
      <c r="F608">
        <f>IF(Skills!M5=TRUE,(Skills!K5/10)*(E608/1000),Skills!K5/10)+Skills!N5</f>
        <v/>
      </c>
      <c r="G608">
        <f>Calc!G5</f>
        <v/>
      </c>
      <c r="H608">
        <f>Calc!H5</f>
        <v/>
      </c>
      <c r="I608">
        <f>IF(Skills!T5&lt;&gt;"",1+(Skills!T5/10)*(Z606/1000)/100,1)</f>
        <v/>
      </c>
      <c r="J608">
        <f>((Inputs!$B$6*(1+Inputs!$B$7/100))+(((Inputs!$B$12*(1+Inputs!$B$13/100))-(Inputs!$B$12*(1+Inputs!$B$13/100)))+0.25*(Inputs!$B$14-Inputs!$B$14))*(1+Inputs!$B$7/100))*(F608/100)</f>
        <v/>
      </c>
      <c r="K608">
        <f>J608*(1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5="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608)</f>
        <v/>
      </c>
      <c r="L608">
        <f>K608*(MIN(Inputs!$B$22+(F621-Calc!F18),(Inputs!$B$23+(IF(ArtifactsInput!$M$15,CHOOSE(ArtifactsInput!$N$15+1,25,30,35,40,45,50)/100*(Inputs!$B$11-Inputs!$B$11),0))))/100+(Inputs!$B$23+(IF(ArtifactsInput!$M$15,CHOOSE(ArtifactsInput!$N$15+1,25,30,35,40,45,50)/100*(Inputs!$B$11-Inputs!$B$11),0)))/100)/2</f>
        <v/>
      </c>
      <c r="M608">
        <f>L608*(1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8">
        <f>L608*(1-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608*(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8">
        <f>(1-Summary!$B$11)*S608+Summary!$B$11*U608</f>
        <v/>
      </c>
      <c r="P608">
        <f>IF(B640=0,0,O608/B640)</f>
        <v/>
      </c>
      <c r="Q608">
        <f>IFERROR(1/(IF(Inputs!$B$38="pvp",15,MAX(0.1,Skills!D5-IF(TRUE=TRUE,Inputs!$B$32,0)))*(1-IF(AND(ArtifactsInput!$M$27,Inputs!$B$4="Chapter Hunt"),CHOOSE(ArtifactsInput!$N$27+1,20,24,28,32,36,40),0)/100)),0)</f>
        <v/>
      </c>
      <c r="R608">
        <f>IF(AND(Inputs!$B$38&lt;&gt;"pvp",Inputs!$B$43&gt;0),IF(MAX(0,Inputs!$B$43-B637)&lt;=0,0,(INT(MAX(0,Inputs!$B$43-B637)/(IF(Inputs!$B$38="pvp",15,MAX(0.1,Skills!D5-IF(TRUE=TRUE,Inputs!$B$32,0)))*(1-IF(AND(ArtifactsInput!$M$27,Inputs!$B$4="Chapter Hunt"),CHOOSE(ArtifactsInput!$N$27+1,20,24,28,32,36,40),0)/100)))+1)),0)</f>
        <v/>
      </c>
      <c r="S608">
        <f>IF(C608,(H608*N608*IF(AND(Inputs!$B$38&lt;&gt;"pvp",Inputs!$B$43&gt;0),((Skills!F5*((R608-1)*IF(Skills!G5&gt;0,Skills!H5/Skills!G5,1)+IF(Skills!G5&gt;0,MIN(Skills!H5,MAX(0,MAX(0,Inputs!$B$43-B637)-((R608-1)*(IF(Inputs!$B$38="pvp",15,MAX(0.1,Skills!D5-IF(TRUE=TRUE,Inputs!$B$32,0)))*(1-IF(AND(ArtifactsInput!$M$27,Inputs!$B$4="Chapter Hunt"),CHOOSE(ArtifactsInput!$N$27+1,20,24,28,32,36,40),0)/100)))))/Skills!G5,1)))/Inputs!$B$43),G608*Q608))*IF(Inputs!$B$38="pvp",1,1+(Inputs!$B$20+Skills!O5+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608*(1-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608*(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608*(1-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608*(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8">
        <f>IF(C608,(H608*N608*IF(AND(Inputs!$B$38&lt;&gt;"pvp",Inputs!$B$43&gt;0),((Skills!F5*((R608-1)*IF(Skills!G5&gt;0,Skills!H5/Skills!G5,1)+IF(Skills!G5&gt;0,MIN(Skills!H5,MAX(0,MAX(0,Inputs!$B$43-B637)-((R608-1)*(IF(Inputs!$B$38="pvp",15,MAX(0.1,Skills!D5-IF(TRUE=TRUE,Inputs!$B$32,0)))*(1-IF(AND(ArtifactsInput!$M$27,Inputs!$B$4="Chapter Hunt"),CHOOSE(ArtifactsInput!$N$27+1,20,24,28,32,36,40),0)/100)))))/Skills!G5,1)))/Inputs!$B$43),G608*Q608))*IF(Inputs!$B$38="pvp",1,(1+(Inputs!$B$21+Skills!P5+B631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09">
      <c r="A609">
        <f>Skills!A6</f>
        <v/>
      </c>
      <c r="B609">
        <f>Skills!B6</f>
        <v/>
      </c>
      <c r="C609">
        <f>Inputs!$B$3&gt;=63</f>
        <v/>
      </c>
      <c r="D609">
        <f>IF(Skills!C6=1,60+Inputs!$B$25+Inputs!$B$29,IF(Skills!C6=2,90+Inputs!$B$26+Inputs!$B$29,IF(Skills!C6=3,120+Inputs!$B$27+Inputs!$B$29,MAX(0,(Inputs!$B$3-100)*3)+Inputs!$B$28+Inputs!$B$29)))</f>
        <v/>
      </c>
      <c r="E609">
        <f>INDEX(FactorTable!$B$2:$Y$301, MATCH(ROUND(MIN(300,MAX(1,D609)),0), FactorTable!$A$2:$A$301,0), Skills!L6+1)</f>
        <v/>
      </c>
      <c r="F609">
        <f>IF(Skills!M6=TRUE,(Skills!K6/10)*(E609/1000),Skills!K6/10)+Skills!N6</f>
        <v/>
      </c>
      <c r="G609">
        <f>Calc!G6</f>
        <v/>
      </c>
      <c r="H609">
        <f>Calc!H6</f>
        <v/>
      </c>
      <c r="I609">
        <f>IF(Skills!T6&lt;&gt;"",1+(Skills!T6/10)*(Z606/1000)/100,1)</f>
        <v/>
      </c>
      <c r="J609">
        <f>((Inputs!$B$6*(1+Inputs!$B$7/100))+(((Inputs!$B$12*(1+Inputs!$B$13/100))-(Inputs!$B$12*(1+Inputs!$B$13/100)))+0.25*(Inputs!$B$14-Inputs!$B$14))*(1+Inputs!$B$7/100))*(F609/100)</f>
        <v/>
      </c>
      <c r="K609">
        <f>J609*(1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6="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609)</f>
        <v/>
      </c>
      <c r="L609">
        <f>K609*(MIN(Inputs!$B$22+(F621-Calc!F18),(Inputs!$B$23+(IF(ArtifactsInput!$M$15,CHOOSE(ArtifactsInput!$N$15+1,25,30,35,40,45,50)/100*(Inputs!$B$11-Inputs!$B$11),0))))/100+(Inputs!$B$23+(IF(ArtifactsInput!$M$15,CHOOSE(ArtifactsInput!$N$15+1,25,30,35,40,45,50)/100*(Inputs!$B$11-Inputs!$B$11),0)))/100)/2</f>
        <v/>
      </c>
      <c r="M609">
        <f>L609*(1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09">
        <f>L609*(1-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609*(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09">
        <f>(1-Summary!$B$11)*S609+Summary!$B$11*U609</f>
        <v/>
      </c>
      <c r="P609">
        <f>IF(B640=0,0,O609/B640)</f>
        <v/>
      </c>
      <c r="Q609">
        <f>IFERROR(1/(IF(Inputs!$B$38="pvp",15,MAX(0.1,Skills!D6-IF(TRUE=TRUE,Inputs!$B$32,0)))*(1-IF(AND(ArtifactsInput!$M$27,Inputs!$B$4="Chapter Hunt"),CHOOSE(ArtifactsInput!$N$27+1,20,24,28,32,36,40),0)/100)),0)</f>
        <v/>
      </c>
      <c r="R609">
        <f>IF(AND(Inputs!$B$38&lt;&gt;"pvp",Inputs!$B$43&gt;0),IF(MAX(0,Inputs!$B$43-B637)&lt;=0,0,(INT(MAX(0,Inputs!$B$43-B637)/(IF(Inputs!$B$38="pvp",15,MAX(0.1,Skills!D6-IF(TRUE=TRUE,Inputs!$B$32,0)))*(1-IF(AND(ArtifactsInput!$M$27,Inputs!$B$4="Chapter Hunt"),CHOOSE(ArtifactsInput!$N$27+1,20,24,28,32,36,40),0)/100)))+1)),0)</f>
        <v/>
      </c>
      <c r="S609">
        <f>IF(C609,(H609*N609*IF(AND(Inputs!$B$38&lt;&gt;"pvp",Inputs!$B$43&gt;0),((Skills!F6*((R609-1)*IF(Skills!G6&gt;0,Skills!H6/Skills!G6,1)+IF(Skills!G6&gt;0,MIN(Skills!H6,MAX(0,MAX(0,Inputs!$B$43-B637)-((R609-1)*(IF(Inputs!$B$38="pvp",15,MAX(0.1,Skills!D6-IF(TRUE=TRUE,Inputs!$B$32,0)))*(1-IF(AND(ArtifactsInput!$M$27,Inputs!$B$4="Chapter Hunt"),CHOOSE(ArtifactsInput!$N$27+1,20,24,28,32,36,40),0)/100)))))/Skills!G6,1)))/Inputs!$B$43),G609*Q609))*IF(Inputs!$B$38="pvp",1,1+(Inputs!$B$20+Skills!O6+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609*(1-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609*(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609*(1-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609*(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09">
        <f>IF(C609,(H609*N609*IF(AND(Inputs!$B$38&lt;&gt;"pvp",Inputs!$B$43&gt;0),((Skills!F6*((R609-1)*IF(Skills!G6&gt;0,Skills!H6/Skills!G6,1)+IF(Skills!G6&gt;0,MIN(Skills!H6,MAX(0,MAX(0,Inputs!$B$43-B637)-((R609-1)*(IF(Inputs!$B$38="pvp",15,MAX(0.1,Skills!D6-IF(TRUE=TRUE,Inputs!$B$32,0)))*(1-IF(AND(ArtifactsInput!$M$27,Inputs!$B$4="Chapter Hunt"),CHOOSE(ArtifactsInput!$N$27+1,20,24,28,32,36,40),0)/100)))))/Skills!G6,1)))/Inputs!$B$43),G609*Q609))*IF(Inputs!$B$38="pvp",1,(1+(Inputs!$B$21+Skills!P6+B631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0">
      <c r="A610">
        <f>Skills!A7</f>
        <v/>
      </c>
      <c r="B610">
        <f>Skills!B7</f>
        <v/>
      </c>
      <c r="C610">
        <f>Inputs!$B$3&gt;=69</f>
        <v/>
      </c>
      <c r="D610">
        <f>IF(Skills!C7=1,60+Inputs!$B$25+Inputs!$B$29,IF(Skills!C7=2,90+Inputs!$B$26+Inputs!$B$29,IF(Skills!C7=3,120+Inputs!$B$27+Inputs!$B$29,MAX(0,(Inputs!$B$3-100)*3)+Inputs!$B$28+Inputs!$B$29)))</f>
        <v/>
      </c>
      <c r="E610">
        <f>INDEX(FactorTable!$B$2:$Y$301, MATCH(ROUND(MIN(300,MAX(1,D610)),0), FactorTable!$A$2:$A$301,0), Skills!L7+1)</f>
        <v/>
      </c>
      <c r="F610">
        <f>IF(Skills!M7=TRUE,(Skills!K7/10)*(E610/1000),Skills!K7/10)+Skills!N7</f>
        <v/>
      </c>
      <c r="G610">
        <f>Calc!G7</f>
        <v/>
      </c>
      <c r="H610">
        <f>Calc!H7</f>
        <v/>
      </c>
      <c r="I610">
        <f>IF(Skills!T7&lt;&gt;"",1+(Skills!T7/10)*(Z606/1000)/100,1)</f>
        <v/>
      </c>
      <c r="J610">
        <f>((Inputs!$B$6*(1+Inputs!$B$7/100))+(((Inputs!$B$12*(1+Inputs!$B$13/100))-(Inputs!$B$12*(1+Inputs!$B$13/100)))+0.25*(Inputs!$B$14-Inputs!$B$14))*(1+Inputs!$B$7/100))*(F610/100)</f>
        <v/>
      </c>
      <c r="K610">
        <f>J610*(1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7="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610)</f>
        <v/>
      </c>
      <c r="L610">
        <f>K610*(MIN(Inputs!$B$22+(F621-Calc!F18),(Inputs!$B$23+(IF(ArtifactsInput!$M$15,CHOOSE(ArtifactsInput!$N$15+1,25,30,35,40,45,50)/100*(Inputs!$B$11-Inputs!$B$11),0))))/100+(Inputs!$B$23+(IF(ArtifactsInput!$M$15,CHOOSE(ArtifactsInput!$N$15+1,25,30,35,40,45,50)/100*(Inputs!$B$11-Inputs!$B$11),0)))/100)/2</f>
        <v/>
      </c>
      <c r="M610">
        <f>L610*(1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0">
        <f>L610*(1-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610*(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0">
        <f>(1-Summary!$B$11)*S610+Summary!$B$11*U610</f>
        <v/>
      </c>
      <c r="P610">
        <f>IF(B640=0,0,O610/B640)</f>
        <v/>
      </c>
      <c r="Q610">
        <f>IFERROR(1/(IF(Inputs!$B$38="pvp",15,MAX(0.1,Skills!D7-IF(TRUE=TRUE,Inputs!$B$32,0)))*(1-IF(AND(ArtifactsInput!$M$27,Inputs!$B$4="Chapter Hunt"),CHOOSE(ArtifactsInput!$N$27+1,20,24,28,32,36,40),0)/100)),0)</f>
        <v/>
      </c>
      <c r="R610">
        <f>IF(AND(Inputs!$B$38&lt;&gt;"pvp",Inputs!$B$43&gt;0),IF(MAX(0,Inputs!$B$43-B637)&lt;=0,0,(INT(MAX(0,Inputs!$B$43-B637)/(IF(Inputs!$B$38="pvp",15,MAX(0.1,Skills!D7-IF(TRUE=TRUE,Inputs!$B$32,0)))*(1-IF(AND(ArtifactsInput!$M$27,Inputs!$B$4="Chapter Hunt"),CHOOSE(ArtifactsInput!$N$27+1,20,24,28,32,36,40),0)/100)))+1)),0)</f>
        <v/>
      </c>
      <c r="S610">
        <f>IF(C610,(H610*N610*IF(AND(Inputs!$B$38&lt;&gt;"pvp",Inputs!$B$43&gt;0),((Skills!F7*((R610-1)*IF(Skills!G7&gt;0,Skills!H7/Skills!G7,1)+IF(Skills!G7&gt;0,MIN(Skills!H7,MAX(0,MAX(0,Inputs!$B$43-B637)-((R610-1)*(IF(Inputs!$B$38="pvp",15,MAX(0.1,Skills!D7-IF(TRUE=TRUE,Inputs!$B$32,0)))*(1-IF(AND(ArtifactsInput!$M$27,Inputs!$B$4="Chapter Hunt"),CHOOSE(ArtifactsInput!$N$27+1,20,24,28,32,36,40),0)/100)))))/Skills!G7,1)))/Inputs!$B$43),G610*Q610))*IF(Inputs!$B$38="pvp",1,1+(Inputs!$B$20+Skills!O7+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610*(1-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610*(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610*(1-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610*(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0">
        <f>IF(C610,(H610*N610*IF(AND(Inputs!$B$38&lt;&gt;"pvp",Inputs!$B$43&gt;0),((Skills!F7*((R610-1)*IF(Skills!G7&gt;0,Skills!H7/Skills!G7,1)+IF(Skills!G7&gt;0,MIN(Skills!H7,MAX(0,MAX(0,Inputs!$B$43-B637)-((R610-1)*(IF(Inputs!$B$38="pvp",15,MAX(0.1,Skills!D7-IF(TRUE=TRUE,Inputs!$B$32,0)))*(1-IF(AND(ArtifactsInput!$M$27,Inputs!$B$4="Chapter Hunt"),CHOOSE(ArtifactsInput!$N$27+1,20,24,28,32,36,40),0)/100)))))/Skills!G7,1)))/Inputs!$B$43),G610*Q610))*IF(Inputs!$B$38="pvp",1,(1+(Inputs!$B$21+Skills!P7+B631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1">
      <c r="A611">
        <f>Skills!A8</f>
        <v/>
      </c>
      <c r="B611">
        <f>Skills!B8</f>
        <v/>
      </c>
      <c r="C611">
        <f>Inputs!$B$3&gt;=103</f>
        <v/>
      </c>
      <c r="D611">
        <f>IF(Skills!C8=1,60+Inputs!$B$25+Inputs!$B$29,IF(Skills!C8=2,90+Inputs!$B$26+Inputs!$B$29,IF(Skills!C8=3,120+Inputs!$B$27+Inputs!$B$29,MAX(0,(Inputs!$B$3-100)*3)+Inputs!$B$28+Inputs!$B$29)))</f>
        <v/>
      </c>
      <c r="E611">
        <f>INDEX(FactorTable!$B$2:$Y$301, MATCH(ROUND(MIN(300,MAX(1,D611)),0), FactorTable!$A$2:$A$301,0), Skills!L8+1)</f>
        <v/>
      </c>
      <c r="F611">
        <f>IF(Skills!M8=TRUE,(Skills!K8/10)*(E611/1000),Skills!K8/10)+Skills!N8</f>
        <v/>
      </c>
      <c r="G611">
        <f>Calc!G8</f>
        <v/>
      </c>
      <c r="H611">
        <f>Calc!H8</f>
        <v/>
      </c>
      <c r="I611">
        <f>IF(Skills!T8&lt;&gt;"",1+(Skills!T8/10)*(Z606/1000)/100,1)</f>
        <v/>
      </c>
      <c r="J611">
        <f>((Inputs!$B$6*(1+Inputs!$B$7/100))+(((Inputs!$B$12*(1+Inputs!$B$13/100))-(Inputs!$B$12*(1+Inputs!$B$13/100)))+0.25*(Inputs!$B$14-Inputs!$B$14))*(1+Inputs!$B$7/100))*(F611/100)</f>
        <v/>
      </c>
      <c r="K611">
        <f>J611*(1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8="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611)</f>
        <v/>
      </c>
      <c r="L611">
        <f>K611*(MIN(Inputs!$B$22+(F621-Calc!F18),(Inputs!$B$23+(IF(ArtifactsInput!$M$15,CHOOSE(ArtifactsInput!$N$15+1,25,30,35,40,45,50)/100*(Inputs!$B$11-Inputs!$B$11),0))))/100+(Inputs!$B$23+(IF(ArtifactsInput!$M$15,CHOOSE(ArtifactsInput!$N$15+1,25,30,35,40,45,50)/100*(Inputs!$B$11-Inputs!$B$11),0)))/100)/2</f>
        <v/>
      </c>
      <c r="M611">
        <f>L611*(1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1">
        <f>L611*(1-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1">
        <f>(1-Summary!$B$11)*S611+Summary!$B$11*U611</f>
        <v/>
      </c>
      <c r="P611">
        <f>IF(B640=0,0,O611/B640)</f>
        <v/>
      </c>
      <c r="Q611">
        <f>IFERROR(1/(IF(Inputs!$B$38="pvp",15,MAX(0.1,Skills!D8-IF(TRUE=TRUE,Inputs!$B$32,0)))*(1-IF(AND(ArtifactsInput!$M$27,Inputs!$B$4="Chapter Hunt"),CHOOSE(ArtifactsInput!$N$27+1,20,24,28,32,36,40),0)/100)),0)</f>
        <v/>
      </c>
      <c r="R611">
        <f>IF(AND(Inputs!$B$38&lt;&gt;"pvp",Inputs!$B$43&gt;0),IF(MAX(0,Inputs!$B$43-B637)&lt;=0,0,(INT(MAX(0,Inputs!$B$43-B637)/(IF(Inputs!$B$38="pvp",15,MAX(0.1,Skills!D8-IF(TRUE=TRUE,Inputs!$B$32,0)))*(1-IF(AND(ArtifactsInput!$M$27,Inputs!$B$4="Chapter Hunt"),CHOOSE(ArtifactsInput!$N$27+1,20,24,28,32,36,40),0)/100)))+1)),0)</f>
        <v/>
      </c>
      <c r="S611">
        <f>IF(C611,(H611*N611*IF(AND(Inputs!$B$38&lt;&gt;"pvp",Inputs!$B$43&gt;0),((Skills!F8*((R611-1)*IF(Skills!G8&gt;0,Skills!H8/Skills!G8,1)+IF(Skills!G8&gt;0,MIN(Skills!H8,MAX(0,MAX(0,Inputs!$B$43-B637)-((R611-1)*(IF(Inputs!$B$38="pvp",15,MAX(0.1,Skills!D8-IF(TRUE=TRUE,Inputs!$B$32,0)))*(1-IF(AND(ArtifactsInput!$M$27,Inputs!$B$4="Chapter Hunt"),CHOOSE(ArtifactsInput!$N$27+1,20,24,28,32,36,40),0)/100)))))/Skills!G8,1)))/Inputs!$B$43),G611*Q611))*IF(Inputs!$B$38="pvp",1,1+(Inputs!$B$20+Skills!O8+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611*(1-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611*(1-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1">
        <f>IF(C611,(H611*N611*IF(AND(Inputs!$B$38&lt;&gt;"pvp",Inputs!$B$43&gt;0),((Skills!F8*((R611-1)*IF(Skills!G8&gt;0,Skills!H8/Skills!G8,1)+IF(Skills!G8&gt;0,MIN(Skills!H8,MAX(0,MAX(0,Inputs!$B$43-B637)-((R611-1)*(IF(Inputs!$B$38="pvp",15,MAX(0.1,Skills!D8-IF(TRUE=TRUE,Inputs!$B$32,0)))*(1-IF(AND(ArtifactsInput!$M$27,Inputs!$B$4="Chapter Hunt"),CHOOSE(ArtifactsInput!$N$27+1,20,24,28,32,36,40),0)/100)))))/Skills!G8,1)))/Inputs!$B$43),G611*Q611))*IF(Inputs!$B$38="pvp",1,(1+(Inputs!$B$21+Skills!P8+B631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2">
      <c r="A612">
        <f>Skills!A9</f>
        <v/>
      </c>
      <c r="B612">
        <f>Skills!B9</f>
        <v/>
      </c>
      <c r="C612">
        <f>Inputs!$B$3&gt;=105</f>
        <v/>
      </c>
      <c r="D612">
        <f>IF(Skills!C9=1,60+Inputs!$B$25+Inputs!$B$29,IF(Skills!C9=2,90+Inputs!$B$26+Inputs!$B$29,IF(Skills!C9=3,120+Inputs!$B$27+Inputs!$B$29,MAX(0,(Inputs!$B$3-100)*3)+Inputs!$B$28+Inputs!$B$29)))</f>
        <v/>
      </c>
      <c r="E612">
        <f>INDEX(FactorTable!$B$2:$Y$301, MATCH(ROUND(MIN(300,MAX(1,D612)),0), FactorTable!$A$2:$A$301,0), Skills!L9+1)</f>
        <v/>
      </c>
      <c r="F612">
        <f>IF(Skills!M9=TRUE,(Skills!K9/10)*(E612/1000),Skills!K9/10)+Skills!N9</f>
        <v/>
      </c>
      <c r="G612">
        <f>Calc!G9</f>
        <v/>
      </c>
      <c r="H612">
        <f>Calc!H9</f>
        <v/>
      </c>
      <c r="I612">
        <f>IF(Skills!T9&lt;&gt;"",1+(Skills!T9/10)*(Z606/1000)/100,1)</f>
        <v/>
      </c>
      <c r="J612">
        <f>((Inputs!$B$6*(1+Inputs!$B$7/100))+(((Inputs!$B$12*(1+Inputs!$B$13/100))-(Inputs!$B$12*(1+Inputs!$B$13/100)))+0.25*(Inputs!$B$14-Inputs!$B$14))*(1+Inputs!$B$7/100))*(F612/100)</f>
        <v/>
      </c>
      <c r="K612">
        <f>J612*(1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9="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612)</f>
        <v/>
      </c>
      <c r="L612">
        <f>K612*(MIN(Inputs!$B$22+(F621-Calc!F18),(Inputs!$B$23+(IF(ArtifactsInput!$M$15,CHOOSE(ArtifactsInput!$N$15+1,25,30,35,40,45,50)/100*(Inputs!$B$11-Inputs!$B$11),0))))/100+(Inputs!$B$23+(IF(ArtifactsInput!$M$15,CHOOSE(ArtifactsInput!$N$15+1,25,30,35,40,45,50)/100*(Inputs!$B$11-Inputs!$B$11),0)))/100)/2</f>
        <v/>
      </c>
      <c r="M612">
        <f>L612*(1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2">
        <f>L612*(1-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612*(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2">
        <f>(1-Summary!$B$11)*S612+Summary!$B$11*U612</f>
        <v/>
      </c>
      <c r="P612">
        <f>IF(B640=0,0,O612/B640)</f>
        <v/>
      </c>
      <c r="Q612">
        <f>IFERROR(1/(IF(Inputs!$B$38="pvp",15,MAX(0.1,Skills!D9-IF(TRUE=TRUE,Inputs!$B$32,0)))*(1-IF(AND(ArtifactsInput!$M$27,Inputs!$B$4="Chapter Hunt"),CHOOSE(ArtifactsInput!$N$27+1,20,24,28,32,36,40),0)/100)),0)</f>
        <v/>
      </c>
      <c r="R612">
        <f>IF(AND(Inputs!$B$38&lt;&gt;"pvp",Inputs!$B$43&gt;0),IF(MAX(0,Inputs!$B$43-B637)&lt;=0,0,(INT(MAX(0,Inputs!$B$43-B637)/(IF(Inputs!$B$38="pvp",15,MAX(0.1,Skills!D9-IF(TRUE=TRUE,Inputs!$B$32,0)))*(1-IF(AND(ArtifactsInput!$M$27,Inputs!$B$4="Chapter Hunt"),CHOOSE(ArtifactsInput!$N$27+1,20,24,28,32,36,40),0)/100)))+1)),0)</f>
        <v/>
      </c>
      <c r="S612">
        <f>IF(C612,(H612*N612*IF(AND(Inputs!$B$38&lt;&gt;"pvp",Inputs!$B$43&gt;0),((Skills!F9*((R612-1)*IF(Skills!G9&gt;0,Skills!H9/Skills!G9,1)+IF(Skills!G9&gt;0,MIN(Skills!H9,MAX(0,MAX(0,Inputs!$B$43-B637)-((R612-1)*(IF(Inputs!$B$38="pvp",15,MAX(0.1,Skills!D9-IF(TRUE=TRUE,Inputs!$B$32,0)))*(1-IF(AND(ArtifactsInput!$M$27,Inputs!$B$4="Chapter Hunt"),CHOOSE(ArtifactsInput!$N$27+1,20,24,28,32,36,40),0)/100)))))/Skills!G9,1)))/Inputs!$B$43),G612*Q612))*IF(Inputs!$B$38="pvp",1,1+(Inputs!$B$20+Skills!O9+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612*(1-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612*(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612*(1-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612*(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2">
        <f>IF(C612,(H612*N612*IF(AND(Inputs!$B$38&lt;&gt;"pvp",Inputs!$B$43&gt;0),((Skills!F9*((R612-1)*IF(Skills!G9&gt;0,Skills!H9/Skills!G9,1)+IF(Skills!G9&gt;0,MIN(Skills!H9,MAX(0,MAX(0,Inputs!$B$43-B637)-((R612-1)*(IF(Inputs!$B$38="pvp",15,MAX(0.1,Skills!D9-IF(TRUE=TRUE,Inputs!$B$32,0)))*(1-IF(AND(ArtifactsInput!$M$27,Inputs!$B$4="Chapter Hunt"),CHOOSE(ArtifactsInput!$N$27+1,20,24,28,32,36,40),0)/100)))))/Skills!G9,1)))/Inputs!$B$43),G612*Q612))*IF(Inputs!$B$38="pvp",1,(1+(Inputs!$B$21+Skills!P9+B631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3">
      <c r="A613">
        <f>Skills!A10</f>
        <v/>
      </c>
      <c r="B613">
        <f>Skills!B10</f>
        <v/>
      </c>
      <c r="C613">
        <f>Inputs!$B$3&gt;=113</f>
        <v/>
      </c>
      <c r="D613">
        <f>IF(Skills!C10=1,60+Inputs!$B$25+Inputs!$B$29,IF(Skills!C10=2,90+Inputs!$B$26+Inputs!$B$29,IF(Skills!C10=3,120+Inputs!$B$27+Inputs!$B$29,MAX(0,(Inputs!$B$3-100)*3)+Inputs!$B$28+Inputs!$B$29)))</f>
        <v/>
      </c>
      <c r="E613">
        <f>INDEX(FactorTable!$B$2:$Y$301, MATCH(ROUND(MIN(300,MAX(1,D613)),0), FactorTable!$A$2:$A$301,0), Skills!L10+1)</f>
        <v/>
      </c>
      <c r="F613">
        <f>IF(Skills!M10=TRUE,(Skills!K10/10)*(E613/1000),Skills!K10/10)+Skills!N10</f>
        <v/>
      </c>
      <c r="G613">
        <f>Calc!G10</f>
        <v/>
      </c>
      <c r="H613">
        <f>Calc!H10</f>
        <v/>
      </c>
      <c r="I613">
        <f>IF(Skills!T10&lt;&gt;"",1+(Skills!T10/10)*(Z606/1000)/100,1)</f>
        <v/>
      </c>
      <c r="J613">
        <f>((Inputs!$B$6*(1+Inputs!$B$7/100))+(((Inputs!$B$12*(1+Inputs!$B$13/100))-(Inputs!$B$12*(1+Inputs!$B$13/100)))+0.25*(Inputs!$B$14-Inputs!$B$14))*(1+Inputs!$B$7/100))*(F613/100)</f>
        <v/>
      </c>
      <c r="K613">
        <f>J613*(1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10="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613)</f>
        <v/>
      </c>
      <c r="L613">
        <f>K613*(MIN(Inputs!$B$22+(F621-Calc!F18),(Inputs!$B$23+(IF(ArtifactsInput!$M$15,CHOOSE(ArtifactsInput!$N$15+1,25,30,35,40,45,50)/100*(Inputs!$B$11-Inputs!$B$11),0))))/100+(Inputs!$B$23+(IF(ArtifactsInput!$M$15,CHOOSE(ArtifactsInput!$N$15+1,25,30,35,40,45,50)/100*(Inputs!$B$11-Inputs!$B$11),0)))/100)/2</f>
        <v/>
      </c>
      <c r="M613">
        <f>L613*(1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3">
        <f>L613*(1-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613*(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3">
        <f>(1-Summary!$B$11)*S613+Summary!$B$11*U613</f>
        <v/>
      </c>
      <c r="P613">
        <f>IF(B640=0,0,O613/B640)</f>
        <v/>
      </c>
      <c r="Q613">
        <f>IFERROR(1/(IF(Inputs!$B$38="pvp",15,MAX(0.1,Skills!D10-IF(TRUE=TRUE,Inputs!$B$32,0)))*(1-IF(AND(ArtifactsInput!$M$27,Inputs!$B$4="Chapter Hunt"),CHOOSE(ArtifactsInput!$N$27+1,20,24,28,32,36,40),0)/100)),0)</f>
        <v/>
      </c>
      <c r="R613" t="n">
        <v>0</v>
      </c>
      <c r="S613">
        <f>IF(C613,((H613*B641)/(1+Skills!G10*H613*B641)*N613)*IF(Inputs!$B$38="pvp",1,1+(Inputs!$B$20+Skills!O10+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613*(1-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613*(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613*(1-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613*(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3">
        <f>IF(C613,((H613*B641)/(1+Skills!G10*H613*B641)*N613)*IF(Inputs!$B$38="pvp",1,(1+(Inputs!$B$21+Skills!P10+B631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4">
      <c r="A614">
        <f>Skills!A11</f>
        <v/>
      </c>
      <c r="B614">
        <f>Skills!B11</f>
        <v/>
      </c>
      <c r="C614">
        <f>Inputs!$B$3&gt;=107</f>
        <v/>
      </c>
      <c r="D614">
        <f>IF(Skills!C11=1,60+Inputs!$B$25+Inputs!$B$29,IF(Skills!C11=2,90+Inputs!$B$26+Inputs!$B$29,IF(Skills!C11=3,120+Inputs!$B$27+Inputs!$B$29,MAX(0,(Inputs!$B$3-100)*3)+Inputs!$B$28+Inputs!$B$29)))</f>
        <v/>
      </c>
      <c r="E614">
        <f>INDEX(FactorTable!$B$2:$Y$301, MATCH(ROUND(MIN(300,MAX(1,D614)),0), FactorTable!$A$2:$A$301,0), Skills!L11+1)</f>
        <v/>
      </c>
      <c r="F614">
        <f>IF(Skills!M11=TRUE,(Skills!K11/10)*(E614/1000),Skills!K11/10)+Skills!N11</f>
        <v/>
      </c>
      <c r="G614">
        <f>Calc!G11</f>
        <v/>
      </c>
      <c r="H614">
        <f>Calc!H11</f>
        <v/>
      </c>
      <c r="I614">
        <f>IF(Skills!T11&lt;&gt;"",1+(Skills!T11/10)*(Z606/1000)/100,1)</f>
        <v/>
      </c>
      <c r="J614">
        <f>((Inputs!$B$6*(1+Inputs!$B$7/100))+(((Inputs!$B$12*(1+Inputs!$B$13/100))-(Inputs!$B$12*(1+Inputs!$B$13/100)))+0.25*(Inputs!$B$14-Inputs!$B$14))*(1+Inputs!$B$7/100))*(F614/100)</f>
        <v/>
      </c>
      <c r="K614">
        <f>J614*(1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11="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614)</f>
        <v/>
      </c>
      <c r="L614">
        <f>K614*(MIN(Inputs!$B$22+(F621-Calc!F18),(Inputs!$B$23+(IF(ArtifactsInput!$M$15,CHOOSE(ArtifactsInput!$N$15+1,25,30,35,40,45,50)/100*(Inputs!$B$11-Inputs!$B$11),0))))/100+(Inputs!$B$23+(IF(ArtifactsInput!$M$15,CHOOSE(ArtifactsInput!$N$15+1,25,30,35,40,45,50)/100*(Inputs!$B$11-Inputs!$B$11),0)))/100)/2</f>
        <v/>
      </c>
      <c r="M614">
        <f>L614*(1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4">
        <f>L614*(1-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614*(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4">
        <f>(1-Summary!$B$11)*S614+Summary!$B$11*U614</f>
        <v/>
      </c>
      <c r="P614">
        <f>IF(B640=0,0,O614/B640)</f>
        <v/>
      </c>
      <c r="Q614">
        <f>IFERROR(1/(IF(Inputs!$B$38="pvp",15,MAX(0.1,Skills!D11-IF(TRUE=TRUE,Inputs!$B$32,0)))*(1-IF(AND(ArtifactsInput!$M$27,Inputs!$B$4="Chapter Hunt"),CHOOSE(ArtifactsInput!$N$27+1,20,24,28,32,36,40),0)/100)),0)</f>
        <v/>
      </c>
      <c r="R614">
        <f>IF(AND(Inputs!$B$38&lt;&gt;"pvp",Inputs!$B$43&gt;0),IF(MAX(0,Inputs!$B$43-B637)&lt;=0,0,(INT(MAX(0,Inputs!$B$43-B637)/(IF(Inputs!$B$38="pvp",15,MAX(0.1,Skills!D11-IF(TRUE=TRUE,Inputs!$B$32,0)))*(1-IF(AND(ArtifactsInput!$M$27,Inputs!$B$4="Chapter Hunt"),CHOOSE(ArtifactsInput!$N$27+1,20,24,28,32,36,40),0)/100)))+1)),0)</f>
        <v/>
      </c>
      <c r="S614">
        <f>IF(C614,H614*N614*IF(AND(Inputs!$B$38&lt;&gt;"pvp",Inputs!$B$43&gt;0),((Skills!F11*((R614-1)*IF(Skills!G11&gt;0,Skills!H11/Skills!G11,1)+IF(Skills!G11&gt;0,MIN(Skills!H11,MAX(0,MAX(0,Inputs!$B$43-B637)-((R614-1)*(IF(Inputs!$B$38="pvp",15,MAX(0.1,Skills!D11-IF(TRUE=TRUE,Inputs!$B$32,0)))*(1-IF(AND(ArtifactsInput!$M$27,Inputs!$B$4="Chapter Hunt"),CHOOSE(ArtifactsInput!$N$27+1,20,24,28,32,36,40),0)/100)))))/Skills!G11,1)))/Inputs!$B$43),G614*Q614)*0.5*IF(Inputs!$B$38="pvp",1,1+(Inputs!$B$20+Skills!O11+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614*(1-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614*(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614*(1-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614*(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4">
        <f>IF(C614,H614*N614*IF(AND(Inputs!$B$38&lt;&gt;"pvp",Inputs!$B$43&gt;0),((Skills!F11*((R614-1)*IF(Skills!G11&gt;0,Skills!H11/Skills!G11,1)+IF(Skills!G11&gt;0,MIN(Skills!H11,MAX(0,MAX(0,Inputs!$B$43-B637)-((R614-1)*(IF(Inputs!$B$38="pvp",15,MAX(0.1,Skills!D11-IF(TRUE=TRUE,Inputs!$B$32,0)))*(1-IF(AND(ArtifactsInput!$M$27,Inputs!$B$4="Chapter Hunt"),CHOOSE(ArtifactsInput!$N$27+1,20,24,28,32,36,40),0)/100)))))/Skills!G11,1)))/Inputs!$B$43),G614*Q614)*1*IF(Inputs!$B$38="pvp",1,(1+(Inputs!$B$21+Skills!P11+B631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5">
      <c r="A615">
        <f>Skills!A12</f>
        <v/>
      </c>
      <c r="B615">
        <f>Skills!B12</f>
        <v/>
      </c>
      <c r="C615">
        <f>Inputs!$B$3&gt;=115</f>
        <v/>
      </c>
      <c r="D615">
        <f>IF(Skills!C12=1,60+Inputs!$B$25+Inputs!$B$29,IF(Skills!C12=2,90+Inputs!$B$26+Inputs!$B$29,IF(Skills!C12=3,120+Inputs!$B$27+Inputs!$B$29,MAX(0,(Inputs!$B$3-100)*3)+Inputs!$B$28+Inputs!$B$29)))</f>
        <v/>
      </c>
      <c r="E615">
        <f>INDEX(FactorTable!$B$2:$Y$301, MATCH(ROUND(MIN(300,MAX(1,D615)),0), FactorTable!$A$2:$A$301,0), Skills!L12+1)</f>
        <v/>
      </c>
      <c r="F615">
        <f>IF(Skills!M12=TRUE,(Skills!K12/10)*(E615/1000),Skills!K12/10)+Skills!N12</f>
        <v/>
      </c>
      <c r="G615">
        <f>Calc!G12</f>
        <v/>
      </c>
      <c r="H615">
        <f>Calc!H12</f>
        <v/>
      </c>
      <c r="I615">
        <f>IF(Skills!T12&lt;&gt;"",1+(Skills!T12/10)*(Z606/1000)/100,1)</f>
        <v/>
      </c>
      <c r="J615">
        <f>((Inputs!$B$6*(1+Inputs!$B$7/100))+(((Inputs!$B$12*(1+Inputs!$B$13/100))-(Inputs!$B$12*(1+Inputs!$B$13/100)))+0.25*(Inputs!$B$14-Inputs!$B$14))*(1+Inputs!$B$7/100))*(F615/100)</f>
        <v/>
      </c>
      <c r="K615">
        <f>J615*(1+((Inputs!$B$12*(1+Inputs!$B$13/100))*0.01+Inputs!$B$14*0.0025)/100)*(1+(Inputs!$B$15+B632)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618=TRUE,F618,0)/100)*(1+IF(C626=TRUE,F626,0)/100)^5*(1+(IF(Skills!A12="CHAIN_LIGHTNING",(Inputs!$B$17+1)+((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630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615)</f>
        <v/>
      </c>
      <c r="L615">
        <f>K615*(MIN(Inputs!$B$22+(F621-Calc!F18),(Inputs!$B$23+(IF(ArtifactsInput!$M$15,CHOOSE(ArtifactsInput!$N$15+1,25,30,35,40,45,50)/100*(Inputs!$B$11-Inputs!$B$11),0))))/100+(Inputs!$B$23+(IF(ArtifactsInput!$M$15,CHOOSE(ArtifactsInput!$N$15+1,25,30,35,40,45,50)/100*(Inputs!$B$11-Inputs!$B$11),0)))/100)/2</f>
        <v/>
      </c>
      <c r="M615">
        <f>L615*(1+(Inputs!$B$10+(F624-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5">
        <f>L615*(1-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615*(MIN((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5">
        <f>(1-Summary!$B$11)*S615+Summary!$B$11*U615</f>
        <v/>
      </c>
      <c r="P615">
        <f>IF(B640=0,0,O615/B640)</f>
        <v/>
      </c>
      <c r="Q615">
        <f>IFERROR(1/(IF(Inputs!$B$38="pvp",15,MAX(0.1,Skills!D12-IF(TRUE=TRUE,Inputs!$B$32,0)))*(1-IF(AND(ArtifactsInput!$M$27,Inputs!$B$4="Chapter Hunt"),CHOOSE(ArtifactsInput!$N$27+1,20,24,28,32,36,40),0)/100)),0)</f>
        <v/>
      </c>
      <c r="R615">
        <f>IF(AND(Inputs!$B$38&lt;&gt;"pvp",Inputs!$B$43&gt;0),IF(MAX(0,Inputs!$B$43-B637)&lt;=0,0,(INT(MAX(0,Inputs!$B$43-B637)/(IF(Inputs!$B$38="pvp",15,MAX(0.1,Skills!D12-IF(TRUE=TRUE,Inputs!$B$32,0)))*(1-IF(AND(ArtifactsInput!$M$27,Inputs!$B$4="Chapter Hunt"),CHOOSE(ArtifactsInput!$N$27+1,20,24,28,32,36,40),0)/100)))+1)),0)</f>
        <v/>
      </c>
      <c r="S615">
        <f>IF(C615,(H615*N615*IF(AND(Inputs!$B$38&lt;&gt;"pvp",Inputs!$B$43&gt;0),((Skills!F12*((R615-1)*IF(Skills!G12&gt;0,Skills!H12/Skills!G12,1)+IF(Skills!G12&gt;0,MIN(Skills!H12,MAX(0,MAX(0,Inputs!$B$43-B637)-((R615-1)*(IF(Inputs!$B$38="pvp",15,MAX(0.1,Skills!D12-IF(TRUE=TRUE,Inputs!$B$32,0)))*(1-IF(AND(ArtifactsInput!$M$27,Inputs!$B$4="Chapter Hunt"),CHOOSE(ArtifactsInput!$N$27+1,20,24,28,32,36,40),0)/100)))))/Skills!G12,1)))/Inputs!$B$43),G615*Q615))*IF(Inputs!$B$38="pvp",1,1+(Inputs!$B$20+Skills!O12+B631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615*(1-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615*(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615*(1-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615*(MIN(100,(Inputs!$B$9+((F623-Calc!F20)+(F622-Calc!F19))+(ArtifactsInput!$M$24-ArtifactsInput!$M$24)*CHOOSE(ArtifactsInput!$N$24+1,10,12,14,16,18,20)+(IF(AND(Inputs!$B$38&lt;&gt;"pvp",Inputs!$B$43=0),1,IF(IF(Inputs!$B$38="pvp",15,Inputs!$B$43)-(B637)&lt;=0,1,MAX(0,IF(Inputs!$B$38="pvp",15,Inputs!$B$43)-MAX(5,B637))/(IF(Inputs!$B$38="pvp",15,Inputs!$B$43)-(B637)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5">
        <f>IF(C615,(H615*N615*IF(AND(Inputs!$B$38&lt;&gt;"pvp",Inputs!$B$43&gt;0),((Skills!F12*((R615-1)*IF(Skills!G12&gt;0,Skills!H12/Skills!G12,1)+IF(Skills!G12&gt;0,MIN(Skills!H12,MAX(0,MAX(0,Inputs!$B$43-B637)-((R615-1)*(IF(Inputs!$B$38="pvp",15,MAX(0.1,Skills!D12-IF(TRUE=TRUE,Inputs!$B$32,0)))*(1-IF(AND(ArtifactsInput!$M$27,Inputs!$B$4="Chapter Hunt"),CHOOSE(ArtifactsInput!$N$27+1,20,24,28,32,36,40),0)/100)))))/Skills!G12,1)))/Inputs!$B$43),G615*Q615))*IF(Inputs!$B$38="pvp",1,(1+(Inputs!$B$21+Skills!P12+B631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6">
      <c r="A616">
        <f>Skills!A13</f>
        <v/>
      </c>
      <c r="B616">
        <f>Skills!B13</f>
        <v/>
      </c>
      <c r="C616">
        <f>Inputs!$B$3&gt;=49</f>
        <v/>
      </c>
      <c r="D616">
        <f>IF(Skills!C13=1,60+Inputs!$B$25+Inputs!$B$29,IF(Skills!C13=2,90+Inputs!$B$26+Inputs!$B$29,IF(Skills!C13=3,120+Inputs!$B$27+Inputs!$B$29,MAX(0,(Inputs!$B$3-100)*3)+Inputs!$B$28+Inputs!$B$29)))</f>
        <v/>
      </c>
      <c r="E616">
        <f>INDEX(FactorTable!$B$2:$Y$301, MATCH(ROUND(MIN(300,MAX(1,D616)),0), FactorTable!$A$2:$A$301,0), Skills!L13+1)</f>
        <v/>
      </c>
      <c r="F616">
        <f>IF(Skills!M13=TRUE,(Skills!K13/10)*(E616/1000),Skills!K13/10)+Skills!N13</f>
        <v/>
      </c>
      <c r="G616">
        <f>Calc!G13</f>
        <v/>
      </c>
      <c r="H616">
        <f>Calc!H13</f>
        <v/>
      </c>
      <c r="I616">
        <f>IF(Skills!T13&lt;&gt;"",1+(Skills!T13/10)*(Z606/1000)/100,1)</f>
        <v/>
      </c>
      <c r="J616" t="inlineStr"/>
      <c r="K616" t="inlineStr"/>
      <c r="L616" t="inlineStr"/>
      <c r="M616" t="inlineStr"/>
      <c r="N616" t="inlineStr"/>
      <c r="O616">
        <f>(1-Summary!$B$11)*S616+Summary!$B$11*U616</f>
        <v/>
      </c>
      <c r="P616">
        <f>IF(B640=0,0,O616/B640)</f>
        <v/>
      </c>
      <c r="Q616">
        <f>IFERROR(1/(IF(Inputs!$B$38="pvp",15,MAX(0.1,Skills!D13-IF(TRUE=TRUE,Inputs!$B$32,0)))*(1-IF(AND(ArtifactsInput!$M$27,Inputs!$B$4="Chapter Hunt"),CHOOSE(ArtifactsInput!$N$27+1,20,24,28,32,36,40),0)/100)),0)</f>
        <v/>
      </c>
      <c r="R616" t="n">
        <v>0</v>
      </c>
      <c r="S616" t="n">
        <v>0</v>
      </c>
      <c r="U616" t="n">
        <v>0</v>
      </c>
    </row>
    <row r="617">
      <c r="A617">
        <f>Skills!A14</f>
        <v/>
      </c>
      <c r="B617">
        <f>Skills!B14</f>
        <v/>
      </c>
      <c r="C617">
        <f>Inputs!$B$3&gt;=72</f>
        <v/>
      </c>
      <c r="D617">
        <f>IF(Skills!C14=1,60+Inputs!$B$25+Inputs!$B$29,IF(Skills!C14=2,90+Inputs!$B$26+Inputs!$B$29,IF(Skills!C14=3,120+Inputs!$B$27+Inputs!$B$29,MAX(0,(Inputs!$B$3-100)*3)+Inputs!$B$28+Inputs!$B$29)))</f>
        <v/>
      </c>
      <c r="E617">
        <f>INDEX(FactorTable!$B$2:$Y$301, MATCH(ROUND(MIN(300,MAX(1,D617)),0), FactorTable!$A$2:$A$301,0), Skills!L14+1)</f>
        <v/>
      </c>
      <c r="F617">
        <f>IF(Skills!M14=TRUE,(Skills!K14/10)*(E617/1000),Skills!K14/10)+Skills!N14</f>
        <v/>
      </c>
      <c r="G617">
        <f>Calc!G14</f>
        <v/>
      </c>
      <c r="H617">
        <f>Calc!H14</f>
        <v/>
      </c>
      <c r="I617">
        <f>IF(Skills!T14&lt;&gt;"",1+(Skills!T14/10)*(Z606/1000)/100,1)</f>
        <v/>
      </c>
      <c r="J617" t="inlineStr"/>
      <c r="K617" t="inlineStr"/>
      <c r="L617" t="inlineStr"/>
      <c r="M617" t="inlineStr"/>
      <c r="N617" t="inlineStr"/>
      <c r="O617">
        <f>(1-Summary!$B$11)*S617+Summary!$B$11*U617</f>
        <v/>
      </c>
      <c r="P617">
        <f>IF(B640=0,0,O617/B640)</f>
        <v/>
      </c>
      <c r="Q617">
        <f>IFERROR(1/(IF(Inputs!$B$38="pvp",15,MAX(0.1,Skills!D14-IF(TRUE=TRUE,Inputs!$B$32,0)))*(1-IF(AND(ArtifactsInput!$M$27,Inputs!$B$4="Chapter Hunt"),CHOOSE(ArtifactsInput!$N$27+1,20,24,28,32,36,40),0)/100)),0)</f>
        <v/>
      </c>
      <c r="R617" t="n">
        <v>0</v>
      </c>
      <c r="S617" t="n">
        <v>0</v>
      </c>
      <c r="U617" t="n">
        <v>0</v>
      </c>
    </row>
    <row r="618">
      <c r="A618">
        <f>Skills!A15</f>
        <v/>
      </c>
      <c r="B618">
        <f>Skills!B15</f>
        <v/>
      </c>
      <c r="C618">
        <f>Inputs!$B$3&gt;=75</f>
        <v/>
      </c>
      <c r="D618">
        <f>IF(Skills!C15=1,60+Inputs!$B$25+Inputs!$B$29,IF(Skills!C15=2,90+Inputs!$B$26+Inputs!$B$29,IF(Skills!C15=3,120+Inputs!$B$27+Inputs!$B$29,MAX(0,(Inputs!$B$3-100)*3)+Inputs!$B$28+Inputs!$B$29)))</f>
        <v/>
      </c>
      <c r="E618">
        <f>INDEX(FactorTable!$B$2:$Y$301, MATCH(ROUND(MIN(300,MAX(1,D618)),0), FactorTable!$A$2:$A$301,0), Skills!L15+1)</f>
        <v/>
      </c>
      <c r="F618">
        <f>IF(Skills!M15=TRUE,(Skills!K15/10)*(E618/1000),Skills!K15/10)+Skills!N15</f>
        <v/>
      </c>
      <c r="G618">
        <f>Calc!G15</f>
        <v/>
      </c>
      <c r="H618">
        <f>Calc!H15</f>
        <v/>
      </c>
      <c r="I618">
        <f>IF(Skills!T15&lt;&gt;"",1+(Skills!T15/10)*(Z606/1000)/100,1)</f>
        <v/>
      </c>
      <c r="J618" t="inlineStr"/>
      <c r="K618" t="inlineStr"/>
      <c r="L618" t="inlineStr"/>
      <c r="M618" t="inlineStr"/>
      <c r="N618" t="inlineStr"/>
      <c r="O618">
        <f>(1-Summary!$B$11)*S618+Summary!$B$11*U618</f>
        <v/>
      </c>
      <c r="P618">
        <f>IF(B640=0,0,O618/B640)</f>
        <v/>
      </c>
      <c r="Q618">
        <f>IFERROR(1/(IF(Inputs!$B$38="pvp",15,MAX(0.1,Skills!D15-IF(TRUE=TRUE,Inputs!$B$32,0)))*(1-IF(AND(ArtifactsInput!$M$27,Inputs!$B$4="Chapter Hunt"),CHOOSE(ArtifactsInput!$N$27+1,20,24,28,32,36,40),0)/100)),0)</f>
        <v/>
      </c>
      <c r="R618" t="n">
        <v>0</v>
      </c>
      <c r="S618" t="n">
        <v>0</v>
      </c>
      <c r="U618" t="n">
        <v>0</v>
      </c>
    </row>
    <row r="619">
      <c r="A619">
        <f>Skills!A16</f>
        <v/>
      </c>
      <c r="B619">
        <f>Skills!B16</f>
        <v/>
      </c>
      <c r="C619">
        <f>Inputs!$B$3&gt;=110</f>
        <v/>
      </c>
      <c r="D619">
        <f>IF(Skills!C16=1,60+Inputs!$B$25+Inputs!$B$29,IF(Skills!C16=2,90+Inputs!$B$26+Inputs!$B$29,IF(Skills!C16=3,120+Inputs!$B$27+Inputs!$B$29,MAX(0,(Inputs!$B$3-100)*3)+Inputs!$B$28+Inputs!$B$29)))</f>
        <v/>
      </c>
      <c r="E619">
        <f>INDEX(FactorTable!$B$2:$Y$301, MATCH(ROUND(MIN(300,MAX(1,D619)),0), FactorTable!$A$2:$A$301,0), Skills!L16+1)</f>
        <v/>
      </c>
      <c r="F619">
        <f>(Skills!K16/10)*(E619/1000)*64/45+Skills!N16</f>
        <v/>
      </c>
      <c r="G619">
        <f>Calc!G16</f>
        <v/>
      </c>
      <c r="H619">
        <f>Calc!H16</f>
        <v/>
      </c>
      <c r="I619">
        <f>IF(Skills!T16&lt;&gt;"",1+(Skills!T16/10)*(Z606/1000)/100,1)</f>
        <v/>
      </c>
      <c r="J619" t="inlineStr"/>
      <c r="K619" t="inlineStr"/>
      <c r="L619" t="inlineStr"/>
      <c r="M619" t="inlineStr"/>
      <c r="N619" t="inlineStr"/>
      <c r="O619">
        <f>(1-Summary!$B$11)*S619+Summary!$B$11*U619</f>
        <v/>
      </c>
      <c r="P619">
        <f>IF(B640=0,0,O619/B640)</f>
        <v/>
      </c>
      <c r="Q619">
        <f>IFERROR(1/(IF(Inputs!$B$38="pvp",15,MAX(0.1,Skills!D16-IF(TRUE=TRUE,Inputs!$B$32,0)))*(1-IF(AND(ArtifactsInput!$M$27,Inputs!$B$4="Chapter Hunt"),CHOOSE(ArtifactsInput!$N$27+1,20,24,28,32,36,40),0)/100)),0)</f>
        <v/>
      </c>
      <c r="R619">
        <f>IF(AND(Inputs!$B$38&lt;&gt;"pvp",Inputs!$B$43&gt;0),IF(Inputs!$B$43&lt;=0,0,(INT(Inputs!$B$43/(IF(Inputs!$B$38="pvp",15,MAX(0.1,Skills!D16-IF(TRUE=TRUE,Inputs!$B$32,0)))*(1-IF(AND(ArtifactsInput!$M$27,Inputs!$B$4="Chapter Hunt"),CHOOSE(ArtifactsInput!$N$27+1,20,24,28,32,36,40),0)/100)))+1)),0)</f>
        <v/>
      </c>
      <c r="S619" t="n">
        <v>0</v>
      </c>
      <c r="U619" t="n">
        <v>0</v>
      </c>
    </row>
    <row r="620">
      <c r="A620">
        <f>Skills!A17</f>
        <v/>
      </c>
      <c r="B620">
        <f>Skills!B17</f>
        <v/>
      </c>
      <c r="C620">
        <f>Inputs!$B$3&gt;=33</f>
        <v/>
      </c>
      <c r="D620">
        <f>IF(Skills!C17=1,60+Inputs!$B$25+Inputs!$B$29,IF(Skills!C17=2,90+Inputs!$B$26+Inputs!$B$29,IF(Skills!C17=3,120+Inputs!$B$27+Inputs!$B$29,MAX(0,(Inputs!$B$3-100)*3)+Inputs!$B$28+Inputs!$B$29)))</f>
        <v/>
      </c>
      <c r="E620">
        <f>INDEX(FactorTable!$B$2:$Y$301, MATCH(ROUND(MIN(300,MAX(1,D620)),0), FactorTable!$A$2:$A$301,0), Skills!L17+1)</f>
        <v/>
      </c>
      <c r="F620">
        <f>IF(Skills!M17=TRUE,(Skills!K17/10)*(E620/1000),Skills!K17/10)+Skills!N17</f>
        <v/>
      </c>
      <c r="G620">
        <f>Calc!G17</f>
        <v/>
      </c>
      <c r="H620">
        <f>Calc!H17</f>
        <v/>
      </c>
      <c r="I620">
        <f>IF(Skills!T17&lt;&gt;"",1+(Skills!T17/10)*(Z606/1000)/100,1)</f>
        <v/>
      </c>
      <c r="J620" t="inlineStr"/>
      <c r="K620" t="inlineStr"/>
      <c r="L620" t="inlineStr"/>
      <c r="M620" t="inlineStr"/>
      <c r="N620" t="inlineStr"/>
      <c r="O620">
        <f>(1-Summary!$B$11)*S620+Summary!$B$11*U620</f>
        <v/>
      </c>
      <c r="P620">
        <f>IF(B640=0,0,O620/B640)</f>
        <v/>
      </c>
      <c r="Q620">
        <f>IFERROR(1/(IF(Inputs!$B$38="pvp",15,MAX(0.1,Skills!D17-IF(TRUE=TRUE,Inputs!$B$32,0)))*(1-IF(AND(ArtifactsInput!$M$27,Inputs!$B$4="Chapter Hunt"),CHOOSE(ArtifactsInput!$N$27+1,20,24,28,32,36,40),0)/100)),0)</f>
        <v/>
      </c>
      <c r="R620" t="n">
        <v>0</v>
      </c>
      <c r="S620" t="n">
        <v>0</v>
      </c>
      <c r="U620" t="n">
        <v>0</v>
      </c>
    </row>
    <row r="621">
      <c r="A621">
        <f>Skills!A18</f>
        <v/>
      </c>
      <c r="B621">
        <f>Skills!B18</f>
        <v/>
      </c>
      <c r="C621">
        <f>Inputs!$B$3&gt;=43</f>
        <v/>
      </c>
      <c r="D621">
        <f>IF(Skills!C18=1,60+Inputs!$B$25+Inputs!$B$29,IF(Skills!C18=2,90+Inputs!$B$26+Inputs!$B$29,IF(Skills!C18=3,120+Inputs!$B$27+Inputs!$B$29,MAX(0,(Inputs!$B$3-100)*3)+Inputs!$B$28+Inputs!$B$29)))</f>
        <v/>
      </c>
      <c r="E621">
        <f>INDEX(FactorTable!$B$2:$Y$301, MATCH(ROUND(MIN(300,MAX(1,D621)),0), FactorTable!$A$2:$A$301,0), Skills!L18+1)</f>
        <v/>
      </c>
      <c r="F621">
        <f>IF(Skills!M18=TRUE,(Skills!K18/10)*(E621/1000),Skills!K18/10)+Skills!N18</f>
        <v/>
      </c>
      <c r="G621">
        <f>Calc!G18</f>
        <v/>
      </c>
      <c r="H621">
        <f>Calc!H18</f>
        <v/>
      </c>
      <c r="I621">
        <f>IF(Skills!T18&lt;&gt;"",1+(Skills!T18/10)*(Z606/1000)/100,1)</f>
        <v/>
      </c>
      <c r="J621" t="inlineStr"/>
      <c r="K621" t="inlineStr"/>
      <c r="L621" t="inlineStr"/>
      <c r="M621" t="inlineStr"/>
      <c r="N621" t="inlineStr"/>
      <c r="O621">
        <f>(1-Summary!$B$11)*S621+Summary!$B$11*U621</f>
        <v/>
      </c>
      <c r="P621">
        <f>IF(B640=0,0,O621/B640)</f>
        <v/>
      </c>
      <c r="Q621">
        <f>IFERROR(1/(IF(Inputs!$B$38="pvp",15,MAX(0.1,Skills!D18-IF(TRUE=TRUE,Inputs!$B$32,0)))*(1-IF(AND(ArtifactsInput!$M$27,Inputs!$B$4="Chapter Hunt"),CHOOSE(ArtifactsInput!$N$27+1,20,24,28,32,36,40),0)/100)),0)</f>
        <v/>
      </c>
      <c r="R621" t="n">
        <v>0</v>
      </c>
      <c r="S621" t="n">
        <v>0</v>
      </c>
      <c r="U621" t="n">
        <v>0</v>
      </c>
    </row>
    <row r="622">
      <c r="A622">
        <f>Skills!A19</f>
        <v/>
      </c>
      <c r="B622">
        <f>Skills!B19</f>
        <v/>
      </c>
      <c r="C622">
        <f>Inputs!$B$3&gt;=50</f>
        <v/>
      </c>
      <c r="D622">
        <f>IF(Skills!C19=1,60+Inputs!$B$25+Inputs!$B$29,IF(Skills!C19=2,90+Inputs!$B$26+Inputs!$B$29,IF(Skills!C19=3,120+Inputs!$B$27+Inputs!$B$29,MAX(0,(Inputs!$B$3-100)*3)+Inputs!$B$28+Inputs!$B$29)))</f>
        <v/>
      </c>
      <c r="E622">
        <f>INDEX(FactorTable!$B$2:$Y$301, MATCH(ROUND(MIN(300,MAX(1,D622)),0), FactorTable!$A$2:$A$301,0), Skills!L19+1)</f>
        <v/>
      </c>
      <c r="F622">
        <f>IF(Skills!M19=TRUE,(Skills!K19/10)*(E622/1000),Skills!K19/10)+Skills!N19</f>
        <v/>
      </c>
      <c r="G622">
        <f>Calc!G19</f>
        <v/>
      </c>
      <c r="H622">
        <f>Calc!H19</f>
        <v/>
      </c>
      <c r="I622">
        <f>IF(Skills!T19&lt;&gt;"",1+(Skills!T19/10)*(Z606/1000)/100,1)</f>
        <v/>
      </c>
      <c r="J622" t="inlineStr"/>
      <c r="K622" t="inlineStr"/>
      <c r="L622" t="inlineStr"/>
      <c r="M622" t="inlineStr"/>
      <c r="N622" t="inlineStr"/>
      <c r="O622">
        <f>(1-Summary!$B$11)*S622+Summary!$B$11*U622</f>
        <v/>
      </c>
      <c r="P622">
        <f>IF(B640=0,0,O622/B640)</f>
        <v/>
      </c>
      <c r="Q622">
        <f>IFERROR(1/(IF(Inputs!$B$38="pvp",15,MAX(0.1,Skills!D19-IF(TRUE=TRUE,Inputs!$B$32,0)))*(1-IF(AND(ArtifactsInput!$M$27,Inputs!$B$4="Chapter Hunt"),CHOOSE(ArtifactsInput!$N$27+1,20,24,28,32,36,40),0)/100)),0)</f>
        <v/>
      </c>
      <c r="R622" t="n">
        <v>0</v>
      </c>
      <c r="S622" t="n">
        <v>0</v>
      </c>
      <c r="U622" t="n">
        <v>0</v>
      </c>
    </row>
    <row r="623">
      <c r="A623">
        <f>Skills!A20</f>
        <v/>
      </c>
      <c r="B623">
        <f>Skills!B20</f>
        <v/>
      </c>
      <c r="C623">
        <f>Inputs!$B$3&gt;=74</f>
        <v/>
      </c>
      <c r="D623">
        <f>IF(Skills!C20=1,60+Inputs!$B$25+Inputs!$B$29,IF(Skills!C20=2,90+Inputs!$B$26+Inputs!$B$29,IF(Skills!C20=3,120+Inputs!$B$27+Inputs!$B$29,MAX(0,(Inputs!$B$3-100)*3)+Inputs!$B$28+Inputs!$B$29)))</f>
        <v/>
      </c>
      <c r="E623">
        <f>INDEX(FactorTable!$B$2:$Y$301, MATCH(ROUND(MIN(300,MAX(1,D623)),0), FactorTable!$A$2:$A$301,0), Skills!L20+1)</f>
        <v/>
      </c>
      <c r="F623">
        <f>IF(Skills!M20=TRUE,(Skills!K20/10)*(E623/1000),Skills!K20/10)+Skills!N20</f>
        <v/>
      </c>
      <c r="G623">
        <f>Calc!G20</f>
        <v/>
      </c>
      <c r="H623">
        <f>Calc!H20</f>
        <v/>
      </c>
      <c r="I623">
        <f>IF(Skills!T20&lt;&gt;"",1+(Skills!T20/10)*(Z606/1000)/100,1)</f>
        <v/>
      </c>
      <c r="J623" t="inlineStr"/>
      <c r="K623" t="inlineStr"/>
      <c r="L623" t="inlineStr"/>
      <c r="M623" t="inlineStr"/>
      <c r="N623" t="inlineStr"/>
      <c r="O623">
        <f>(1-Summary!$B$11)*S623+Summary!$B$11*U623</f>
        <v/>
      </c>
      <c r="P623">
        <f>IF(B640=0,0,O623/B640)</f>
        <v/>
      </c>
      <c r="Q623">
        <f>IFERROR(1/(IF(Inputs!$B$38="pvp",15,MAX(0.1,Skills!D20-IF(TRUE=TRUE,Inputs!$B$32,0)))*(1-IF(AND(ArtifactsInput!$M$27,Inputs!$B$4="Chapter Hunt"),CHOOSE(ArtifactsInput!$N$27+1,20,24,28,32,36,40),0)/100)),0)</f>
        <v/>
      </c>
      <c r="R623" t="n">
        <v>0</v>
      </c>
      <c r="S623" t="n">
        <v>0</v>
      </c>
      <c r="U623" t="n">
        <v>0</v>
      </c>
    </row>
    <row r="624">
      <c r="A624">
        <f>Skills!A21</f>
        <v/>
      </c>
      <c r="B624">
        <f>Skills!B21</f>
        <v/>
      </c>
      <c r="C624">
        <f>Inputs!$B$3&gt;=74</f>
        <v/>
      </c>
      <c r="D624">
        <f>IF(Skills!C21=1,60+Inputs!$B$25+Inputs!$B$29,IF(Skills!C21=2,90+Inputs!$B$26+Inputs!$B$29,IF(Skills!C21=3,120+Inputs!$B$27+Inputs!$B$29,MAX(0,(Inputs!$B$3-100)*3)+Inputs!$B$28+Inputs!$B$29)))</f>
        <v/>
      </c>
      <c r="E624">
        <f>INDEX(FactorTable!$B$2:$Y$301, MATCH(ROUND(MIN(300,MAX(1,D624)),0), FactorTable!$A$2:$A$301,0), Skills!L21+1)</f>
        <v/>
      </c>
      <c r="F624">
        <f>IF(Skills!M21=TRUE,(Skills!K21/10)*(E624/1000),Skills!K21/10)+Skills!N21</f>
        <v/>
      </c>
      <c r="G624">
        <f>Calc!G21</f>
        <v/>
      </c>
      <c r="H624">
        <f>Calc!H21</f>
        <v/>
      </c>
      <c r="I624">
        <f>IF(Skills!T21&lt;&gt;"",1+(Skills!T21/10)*(Z606/1000)/100,1)</f>
        <v/>
      </c>
      <c r="J624" t="inlineStr"/>
      <c r="K624" t="inlineStr"/>
      <c r="L624" t="inlineStr"/>
      <c r="M624" t="inlineStr"/>
      <c r="N624" t="inlineStr"/>
      <c r="O624">
        <f>(1-Summary!$B$11)*S624+Summary!$B$11*U624</f>
        <v/>
      </c>
      <c r="P624">
        <f>IF(B640=0,0,O624/B640)</f>
        <v/>
      </c>
      <c r="Q624">
        <f>IFERROR(1/(IF(Inputs!$B$38="pvp",15,MAX(0.1,Skills!D21-IF(TRUE=TRUE,Inputs!$B$32,0)))*(1-IF(AND(ArtifactsInput!$M$27,Inputs!$B$4="Chapter Hunt"),CHOOSE(ArtifactsInput!$N$27+1,20,24,28,32,36,40),0)/100)),0)</f>
        <v/>
      </c>
      <c r="R624" t="n">
        <v>0</v>
      </c>
      <c r="S624" t="n">
        <v>0</v>
      </c>
      <c r="U624" t="n">
        <v>0</v>
      </c>
    </row>
    <row r="625">
      <c r="A625">
        <f>Skills!A22</f>
        <v/>
      </c>
      <c r="B625">
        <f>Skills!B22</f>
        <v/>
      </c>
      <c r="C625">
        <f>Inputs!$B$3&gt;=117</f>
        <v/>
      </c>
      <c r="D625">
        <f>IF(Skills!C22=1,60+Inputs!$B$25+Inputs!$B$29,IF(Skills!C22=2,90+Inputs!$B$26+Inputs!$B$29,IF(Skills!C22=3,120+Inputs!$B$27+Inputs!$B$29,MAX(0,(Inputs!$B$3-100)*3)+Inputs!$B$28+Inputs!$B$29)))</f>
        <v/>
      </c>
      <c r="E625">
        <f>INDEX(FactorTable!$B$2:$Y$301, MATCH(ROUND(MIN(300,MAX(1,D625)),0), FactorTable!$A$2:$A$301,0), Skills!L22+1)</f>
        <v/>
      </c>
      <c r="F625">
        <f>IF(Skills!M22=TRUE,(Skills!K22/10)*(E625/1000),Skills!K22/10)+Skills!N22</f>
        <v/>
      </c>
      <c r="G625">
        <f>Calc!G22</f>
        <v/>
      </c>
      <c r="H625">
        <f>Calc!H22</f>
        <v/>
      </c>
      <c r="I625">
        <f>IF(Skills!T22&lt;&gt;"",1+(Skills!T22/10)*(Z606/1000)/100,1)</f>
        <v/>
      </c>
      <c r="J625" t="inlineStr"/>
      <c r="K625" t="inlineStr"/>
      <c r="L625" t="inlineStr"/>
      <c r="M625" t="inlineStr"/>
      <c r="N625" t="inlineStr"/>
      <c r="O625">
        <f>(1-Summary!$B$11)*S625+Summary!$B$11*U625</f>
        <v/>
      </c>
      <c r="P625">
        <f>IF(B640=0,0,O625/B640)</f>
        <v/>
      </c>
      <c r="Q625">
        <f>IFERROR(1/(IF(Inputs!$B$38="pvp",15,MAX(0.1,Skills!D22-IF(TRUE=TRUE,Inputs!$B$32,0)))*(1-IF(AND(ArtifactsInput!$M$27,Inputs!$B$4="Chapter Hunt"),CHOOSE(ArtifactsInput!$N$27+1,20,24,28,32,36,40),0)/100)),0)</f>
        <v/>
      </c>
      <c r="R625" t="n">
        <v>0</v>
      </c>
      <c r="S625" t="n">
        <v>0</v>
      </c>
      <c r="U625" t="n">
        <v>0</v>
      </c>
    </row>
    <row r="626">
      <c r="A626">
        <f>Skills!A23</f>
        <v/>
      </c>
      <c r="B626">
        <f>Skills!B23</f>
        <v/>
      </c>
      <c r="C626">
        <f>Inputs!$B$3&gt;=120</f>
        <v/>
      </c>
      <c r="D626">
        <f>IF(Skills!C23=1,60+Inputs!$B$25+Inputs!$B$29,IF(Skills!C23=2,90+Inputs!$B$26+Inputs!$B$29,IF(Skills!C23=3,120+Inputs!$B$27+Inputs!$B$29,MAX(0,(Inputs!$B$3-100)*3)+Inputs!$B$28+Inputs!$B$29)))</f>
        <v/>
      </c>
      <c r="E626">
        <f>INDEX(FactorTable!$B$2:$Y$301, MATCH(ROUND(MIN(300,MAX(1,D626)),0), FactorTable!$A$2:$A$301,0), Skills!L23+1)</f>
        <v/>
      </c>
      <c r="F626">
        <f>IF(Skills!M23=TRUE,(Skills!K23/10)*(E626/1000),Skills!K23/10)+Skills!N23</f>
        <v/>
      </c>
      <c r="G626">
        <f>Calc!G23</f>
        <v/>
      </c>
      <c r="H626">
        <f>Calc!H23</f>
        <v/>
      </c>
      <c r="I626">
        <f>IF(Skills!T23&lt;&gt;"",1+(Skills!T23/10)*(Z606/1000)/100,1)</f>
        <v/>
      </c>
      <c r="J626" t="inlineStr"/>
      <c r="K626" t="inlineStr"/>
      <c r="L626" t="inlineStr"/>
      <c r="M626" t="inlineStr"/>
      <c r="N626" t="inlineStr"/>
      <c r="O626">
        <f>(1-Summary!$B$11)*S626+Summary!$B$11*U626</f>
        <v/>
      </c>
      <c r="P626">
        <f>IF(B640=0,0,O626/B640)</f>
        <v/>
      </c>
      <c r="Q626">
        <f>IFERROR(1/(IF(Inputs!$B$38="pvp",15,MAX(0.1,Skills!D23-IF(TRUE=TRUE,Inputs!$B$32,0)))*(1-IF(AND(ArtifactsInput!$M$27,Inputs!$B$4="Chapter Hunt"),CHOOSE(ArtifactsInput!$N$27+1,20,24,28,32,36,40),0)/100)),0)</f>
        <v/>
      </c>
      <c r="R626" t="n">
        <v>0</v>
      </c>
      <c r="S626" t="n">
        <v>0</v>
      </c>
      <c r="U626" t="n">
        <v>0</v>
      </c>
    </row>
    <row r="627">
      <c r="A627">
        <f>Skills!A24</f>
        <v/>
      </c>
      <c r="B627">
        <f>Skills!B24</f>
        <v/>
      </c>
      <c r="C627">
        <f>TRUE</f>
        <v/>
      </c>
      <c r="D627">
        <f>IF(Skills!C24=1,60+Inputs!$B$25+Inputs!$B$29,IF(Skills!C24=2,90+Inputs!$B$26+Inputs!$B$29,IF(Skills!C24=3,120+Inputs!$B$27+Inputs!$B$29,MAX(0,(Inputs!$B$3-100)*3)+Inputs!$B$28+Inputs!$B$29)))</f>
        <v/>
      </c>
      <c r="E627">
        <f>INDEX(FactorTable!$B$2:$Y$301, MATCH(ROUND(MIN(300,MAX(1,D627)),0), FactorTable!$A$2:$A$301,0), Skills!L24+1)</f>
        <v/>
      </c>
      <c r="F627">
        <f>IF(Skills!M24=TRUE,(Skills!K24/10)*(E627/1000),Skills!K24/10)+Skills!N24</f>
        <v/>
      </c>
      <c r="G627">
        <f>Calc!G24</f>
        <v/>
      </c>
      <c r="H627">
        <f>Calc!H24</f>
        <v/>
      </c>
      <c r="I627">
        <f>IF(Skills!T24&lt;&gt;"",1+(Skills!T24/10)*(Z606/1000)/100,1)</f>
        <v/>
      </c>
      <c r="J627" t="inlineStr"/>
      <c r="K627" t="inlineStr"/>
      <c r="L627" t="inlineStr"/>
      <c r="M627" t="inlineStr"/>
      <c r="N627" t="inlineStr"/>
      <c r="O627">
        <f>(1-Summary!$B$11)*S627+Summary!$B$11*U627</f>
        <v/>
      </c>
      <c r="P627">
        <f>IF(B640=0,0,O627/B640)</f>
        <v/>
      </c>
      <c r="Q627">
        <f>IFERROR(1/(IF(Inputs!$B$38="pvp",15,MAX(0.1,Skills!D24-IF(TRUE=TRUE,Inputs!$B$32,0)))*(1-IF(AND(ArtifactsInput!$M$27,Inputs!$B$4="Chapter Hunt"),CHOOSE(ArtifactsInput!$N$27+1,20,24,28,32,36,40),0)/100)),0)</f>
        <v/>
      </c>
      <c r="R627">
        <f>IF(AND(Inputs!$B$38&lt;&gt;"pvp",Inputs!$B$43&gt;0),IF(Inputs!$B$43&lt;=0,0,(INT(Inputs!$B$43/(IF(Inputs!$B$38="pvp",15,MAX(0.1,Skills!D24-IF(TRUE=TRUE,Inputs!$B$32,0)))*(1-IF(AND(ArtifactsInput!$M$27,Inputs!$B$4="Chapter Hunt"),CHOOSE(ArtifactsInput!$N$27+1,20,24,28,32,36,40),0)/100)))+1)),0)</f>
        <v/>
      </c>
      <c r="S627" t="n">
        <v>0</v>
      </c>
      <c r="U627" t="n">
        <v>0</v>
      </c>
    </row>
    <row r="630">
      <c r="A630" t="inlineStr">
        <is>
          <t>Average Buff Multiplier (Magic Guard + Meditation + Artifact Attack%, summed; then Infinity)</t>
        </is>
      </c>
      <c r="B630">
        <f>(1+(IF(C606=TRUE,F606*IF(AND(Inputs!$B$38&lt;&gt;"pvp",Inputs!$B$43&gt;0),(((R606-1)*MIN((Skills!S3*(1+(Inputs!$B$34)/100)),(1/Q606))+MIN((Skills!S3*(1+(Inputs!$B$34)/100)),MAX(0,Inputs!$B$43-((R606-1)*(1/Q606)))))/Inputs!$B$43),IF(Inputs!$B$38="pvp",MIN((Skills!S3*(1+(Inputs!$B$34)/100)),15)/15,MIN(1,(Skills!S3*(1+(Inputs!$B$34)/100))/(1/Q606)))),0)+IF(C607=TRUE,F607*IF(AND(Inputs!$B$38&lt;&gt;"pvp",Inputs!$B$43&gt;0),(((R607-1)*MIN((Skills!S4*(1+(Inputs!$B$34)/100)),(1/Q607))+MIN((Skills!S4*(1+(Inputs!$B$34)/100)),MAX(0,Inputs!$B$43-((R607-1)*(1/Q607)))))/Inputs!$B$43),IF(Inputs!$B$38="pvp",MIN((Skills!S4*(1+(Inputs!$B$34)/100)),15)/15,MIN(1,(Skills!S4*(1+(Inputs!$B$34)/100))/(1/Q607)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619=TRUE,(1+F619*IF(AND(Inputs!$B$38&lt;&gt;"pvp",Inputs!$B$43&gt;0),(((R619-1)*MIN((Skills!S16*(1+(Inputs!$B$34)/100)),(1/Q619))+MIN((Skills!S16*(1+(Inputs!$B$34)/100)),MAX(0,Inputs!$B$43-((R619-1)*(1/Q619)))))/Inputs!$B$43),IF(Inputs!$B$38="pvp",MIN((Skills!S16*(1+(Inputs!$B$34)/100)),15)/15,MIN(1,(Skills!S16*(1+(Inputs!$B$34)/100))/(1/Q619))))/100),1)</f>
        <v/>
      </c>
    </row>
    <row r="631">
      <c r="A631" t="inlineStr">
        <is>
          <t>Monster Damage Taken Bonus % (Freezing Breath - Weaken + Elemental Reset + Artifact Enemy Damage Taken, summed)</t>
        </is>
      </c>
      <c r="B631">
        <f>IF(Inputs!$B$3&gt;=118,15*IF(Inputs!$B$38="pvp",MIN((30*(1+(Inputs!$B$34)/100)),15)/15,MIN(1,(30*(1+(Inputs!$B$34)/100))/(1/Q611))),0)+IF(C617=TRUE,F617,0)+(IF(AND(ArtifactsInput!$M$35,Inputs!$B$4&lt;&gt;"Chapter Hunt"),CHOOSE(ArtifactsInput!$N$35+1,15,18,21,24,27,30)*(1-EXP(-(0.2*B634)*5)),0)+IF(AND(ArtifactsInput!$M$22,Inputs!$B$4&lt;&gt;"Chapter Hunt"),CHOOSE(ArtifactsInput!$N$22+1,10,12,14,16,18,20)*((0*(((0.15*B634*5))^0/1)+1*(((0.15*B634*5))^1/1)+2*(((0.15*B634*5))^2/2)+3*(((0.15*B634*5))^3/6)+4*(((0.15*B634*5))^4/24)+5*(((0.15*B634*5))^5/120))/((((0.15*B634*5))^0/1)+(((0.15*B634*5))^1/1)+(((0.15*B634*5))^2/2)+(((0.15*B634*5))^3/6)+(((0.15*B634*5))^4/24)+(((0.15*B634*5))^5/120))),0))</f>
        <v/>
      </c>
    </row>
    <row r="632">
      <c r="A632" t="inlineStr">
        <is>
          <t>Damage % Bonus (Frozen Break + Frost Clutch, flat)</t>
        </is>
      </c>
      <c r="B632">
        <f>IF(Inputs!$B$3&gt;=66,15,0)+IF(Inputs!$B$3&gt;=98,10,0)+IF(Inputs!$B$3&gt;=125,20,0)</f>
        <v/>
      </c>
    </row>
    <row r="633">
      <c r="A633" t="inlineStr">
        <is>
          <t>Attack Speed Bonus % (MP Eater - MP Boost, always-on + Nimble Feet, duty-cycle averaged)</t>
        </is>
      </c>
      <c r="B633">
        <f>IF(C616=TRUE,F616+(F620-Calc!F17),0)+((C627=TRUE)*F627*IF(AND(Inputs!$B$38&lt;&gt;"pvp",Inputs!$B$43&gt;0),(((R627-1)*MIN((Skills!S24*(1+(Inputs!$B$34)/100)),(1/Q627))+MIN((Skills!S24*(1+(Inputs!$B$34)/100)),MAX(0,Inputs!$B$43-((R627-1)*(1/Q627)))))/Inputs!$B$43),IF(Inputs!$B$38="pvp",MIN((Skills!S24*(1+(Inputs!$B$34)/100)),15)/15,MIN(1,(Skills!S24*(1+(Inputs!$B$34)/100))/(1/Q627)))))</f>
        <v/>
      </c>
    </row>
    <row r="634">
      <c r="A634" t="inlineStr">
        <is>
          <t>Actions Per Second</t>
        </is>
      </c>
      <c r="B634">
        <f>1+MIN(150,150*(1-(1-(Inputs!$B$11+(ArtifactsInput!$M$15-ArtifactsInput!$M$15)*CHOOSE(ArtifactsInput!$N$15+1,8,9.6,11.2,12.8,14.4,16))/150)*(1-B633/150)))/100</f>
        <v/>
      </c>
    </row>
    <row r="635">
      <c r="A635" t="inlineStr">
        <is>
          <t>Skill + Buff Cast Rate</t>
        </is>
      </c>
      <c r="B635">
        <f>IF(AND(Inputs!$B$38&lt;&gt;"pvp",Inputs!$B$43&gt;0),SUMPRODUCT((Skills!E2:E24=TRUE)*(C605:C627=TRUE)*R605:R627)/Inputs!$B$43,SUMPRODUCT((Skills!E2:E24=TRUE)*(C605:C627=TRUE)*Q605:Q627))</f>
        <v/>
      </c>
    </row>
    <row r="636">
      <c r="A636" t="inlineStr">
        <is>
          <t>Chain Lightning Casts Per Second</t>
        </is>
      </c>
      <c r="B636">
        <f>MAX(0,B634-B635)</f>
        <v/>
      </c>
    </row>
    <row r="637">
      <c r="A637" t="inlineStr">
        <is>
          <t>Buff-Casting Startup Delay (s, fixed-duration only)</t>
        </is>
      </c>
      <c r="B637">
        <f>IF(AND(Inputs!$B$38&lt;&gt;"pvp",Inputs!$B$43&gt;0),SUMPRODUCT((Skills!S2:S24&gt;0)*(Skills!E2:E24=TRUE)*(C605:C627=TRUE))/B634,0)</f>
        <v/>
      </c>
    </row>
    <row r="638">
      <c r="A638" t="inlineStr">
        <is>
          <t>Boss-Only Total DPS (this block's swept value)</t>
        </is>
      </c>
      <c r="B638">
        <f>SUM(S605:S627)</f>
        <v/>
      </c>
    </row>
    <row r="639">
      <c r="A639" t="inlineStr">
        <is>
          <t>Normal-Only Total DPS (this block's swept value)</t>
        </is>
      </c>
      <c r="B639">
        <f>SUM(U605:U627)</f>
        <v/>
      </c>
    </row>
    <row r="640">
      <c r="A640" s="6" t="inlineStr">
        <is>
          <t>TOTAL DPS</t>
        </is>
      </c>
      <c r="B640" s="6">
        <f>SUM(O605:O627)</f>
        <v/>
      </c>
    </row>
    <row r="641">
      <c r="A641" t="inlineStr">
        <is>
          <t>Blizzard Final Attack trigger rate (this block's own Q/R)</t>
        </is>
      </c>
      <c r="B641">
        <f>IF(AND(Inputs!$B$38&lt;&gt;"pvp",Inputs!$B$43&gt;0),(((C608=TRUE)*R608*1)+((C609=TRUE)*R609*1)+((C611=TRUE)*R611*1)+((C612=TRUE)*R612*3)+((C614=TRUE)*R614*1))/Inputs!$B$43,((C608=TRUE)*Q608*1)+((C609=TRUE)*Q609*1)+((C611=TRUE)*Q611*1)+((C612=TRUE)*Q612*3)+((C614=TRUE)*Q614*1))+B636</f>
        <v/>
      </c>
    </row>
    <row r="644">
      <c r="A644" s="6" t="inlineStr">
        <is>
          <t>Stat: SKILL_DAMAGE %</t>
        </is>
      </c>
    </row>
    <row r="645">
      <c r="A645" s="5" t="inlineStr">
        <is>
          <t>Key</t>
        </is>
      </c>
      <c r="B645" s="5" t="inlineStr">
        <is>
          <t>Name</t>
        </is>
      </c>
      <c r="C645" s="5" t="inlineStr">
        <is>
          <t>Unlocked</t>
        </is>
      </c>
      <c r="D645" s="5" t="inlineStr">
        <is>
          <t>InputLevel</t>
        </is>
      </c>
      <c r="E645" s="5" t="inlineStr">
        <is>
          <t>Factor</t>
        </is>
      </c>
      <c r="F645" s="5" t="inlineStr">
        <is>
          <t>CoefficientPercent</t>
        </is>
      </c>
      <c r="G645" s="5" t="inlineStr">
        <is>
          <t>EffectiveHits</t>
        </is>
      </c>
      <c r="H645" s="5" t="inlineStr">
        <is>
          <t>ProcProbability</t>
        </is>
      </c>
      <c r="I645" s="5" t="inlineStr">
        <is>
          <t>MapleHeroMultiplier</t>
        </is>
      </c>
      <c r="J645" s="5" t="inlineStr">
        <is>
          <t>BaseDamage</t>
        </is>
      </c>
      <c r="K645" s="5" t="inlineStr">
        <is>
          <t>BaseHitDamage</t>
        </is>
      </c>
      <c r="L645" s="5" t="inlineStr">
        <is>
          <t>NonCritAvg</t>
        </is>
      </c>
      <c r="M645" s="5" t="inlineStr">
        <is>
          <t>CritAvg</t>
        </is>
      </c>
      <c r="N645" s="5" t="inlineStr">
        <is>
          <t>ExpectedDamage(perHit)</t>
        </is>
      </c>
      <c r="O645" s="5" t="inlineStr">
        <is>
          <t>DPS</t>
        </is>
      </c>
      <c r="P645" s="5" t="inlineStr">
        <is>
          <t>% of Total</t>
        </is>
      </c>
      <c r="R645" t="inlineStr">
        <is>
          <t>helpers</t>
        </is>
      </c>
    </row>
    <row r="646">
      <c r="A646">
        <f>Skills!A2</f>
        <v/>
      </c>
      <c r="B646">
        <f>Skills!B2</f>
        <v/>
      </c>
      <c r="C646">
        <f>Inputs!$B$3&gt;=100</f>
        <v/>
      </c>
      <c r="D646" t="inlineStr"/>
      <c r="E646" t="inlineStr"/>
      <c r="F646">
        <f>T648+Skills!N2</f>
        <v/>
      </c>
      <c r="G646">
        <f>Calc!G2</f>
        <v/>
      </c>
      <c r="H646">
        <f>Calc!H2</f>
        <v/>
      </c>
      <c r="I646">
        <f>IF(Skills!T2&lt;&gt;"",1+(Skills!T2/10)*(Z647/1000)/100,1)</f>
        <v/>
      </c>
      <c r="J646">
        <f>((Inputs!$B$6*(1+Inputs!$B$7/100))+(((Inputs!$B$12*(1+Inputs!$B$13/100))-(Inputs!$B$12*(1+Inputs!$B$13/100)))+0.25*(Inputs!$B$14-Inputs!$B$14))*(1+Inputs!$B$7/100))*(F646/100)</f>
        <v/>
      </c>
      <c r="K646">
        <f>J646*(1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2="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646)</f>
        <v/>
      </c>
      <c r="L646">
        <f>K646*(MIN(Inputs!$B$22+(F662-Calc!F18),(Inputs!$B$23+(IF(ArtifactsInput!$M$15,CHOOSE(ArtifactsInput!$N$15+1,25,30,35,40,45,50)/100*(Inputs!$B$11-Inputs!$B$11),0))))/100+(Inputs!$B$23+(IF(ArtifactsInput!$M$15,CHOOSE(ArtifactsInput!$N$15+1,25,30,35,40,45,50)/100*(Inputs!$B$11-Inputs!$B$11),0)))/100)/2</f>
        <v/>
      </c>
      <c r="M646">
        <f>L646*(1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6">
        <f>L646*(1-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646*(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6">
        <f>(1-Summary!$B$11)*S646+Summary!$B$11*U646</f>
        <v/>
      </c>
      <c r="P646">
        <f>IF(B681=0,0,O646/B681)</f>
        <v/>
      </c>
      <c r="Q646">
        <f>IFERROR(1/(IF(Inputs!$B$38="pvp",15,MAX(0.1,Skills!D2-IF(TRUE=TRUE,Inputs!$B$32,0)))*(1-IF(AND(ArtifactsInput!$M$27,Inputs!$B$4="Chapter Hunt"),CHOOSE(ArtifactsInput!$N$27+1,20,24,28,32,36,40),0)/100)),0)</f>
        <v/>
      </c>
      <c r="R646" t="n">
        <v>0</v>
      </c>
      <c r="S646">
        <f>IF(C646,(Skills!F2*N646*B677)*IF(Inputs!$B$38="pvp",1,1+(Inputs!$B$20+Skills!O2+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646*(1-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646*(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646*(1-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646*(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46">
        <f>MAX(0,(Inputs!$B$3-100)*3)+Inputs!$B$28+Inputs!$B$29</f>
        <v/>
      </c>
      <c r="U646">
        <f>IF(C646,(Skills!F2*N646*B677)*IF(Inputs!$B$38="pvp",1,(1+(Inputs!$B$21+Skills!P2+B672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46">
        <f>MAX(0,(Inputs!$B$3-100)*3)+Inputs!$B$28+Inputs!$B$29</f>
        <v/>
      </c>
    </row>
    <row r="647">
      <c r="A647">
        <f>Skills!A3</f>
        <v/>
      </c>
      <c r="B647">
        <f>Skills!B3</f>
        <v/>
      </c>
      <c r="C647">
        <f>Inputs!$B$3&gt;=15</f>
        <v/>
      </c>
      <c r="D647">
        <f>IF(Skills!C3=1,60+Inputs!$B$25+Inputs!$B$29,IF(Skills!C3=2,90+Inputs!$B$26+Inputs!$B$29,IF(Skills!C3=3,120+Inputs!$B$27+Inputs!$B$29,MAX(0,(Inputs!$B$3-100)*3)+Inputs!$B$28+Inputs!$B$29)))</f>
        <v/>
      </c>
      <c r="E647">
        <f>INDEX(FactorTable!$B$2:$Y$301, MATCH(ROUND(MIN(300,MAX(1,D647)),0), FactorTable!$A$2:$A$301,0), Skills!L3+1)</f>
        <v/>
      </c>
      <c r="F647">
        <f>IF(Skills!M3=TRUE,(Skills!K3/10)*(E647/1000),Skills!K3/10)+Skills!N3</f>
        <v/>
      </c>
      <c r="G647">
        <f>Calc!G3</f>
        <v/>
      </c>
      <c r="H647">
        <f>Calc!H3</f>
        <v/>
      </c>
      <c r="I647">
        <f>IF(Skills!T3&lt;&gt;"",1+(Skills!T3/10)*(Z647/1000)/100,1)</f>
        <v/>
      </c>
      <c r="J647" t="inlineStr"/>
      <c r="K647" t="inlineStr"/>
      <c r="L647" t="inlineStr"/>
      <c r="M647" t="inlineStr"/>
      <c r="N647" t="inlineStr"/>
      <c r="O647">
        <f>(1-Summary!$B$11)*S647+Summary!$B$11*U647</f>
        <v/>
      </c>
      <c r="P647">
        <f>IF(B681=0,0,O647/B681)</f>
        <v/>
      </c>
      <c r="Q647">
        <f>IFERROR(1/(IF(Inputs!$B$38="pvp",15,MAX(0.1,Skills!D3-IF(TRUE=TRUE,Inputs!$B$32,0)))*(1-IF(AND(ArtifactsInput!$M$27,Inputs!$B$4="Chapter Hunt"),CHOOSE(ArtifactsInput!$N$27+1,20,24,28,32,36,40),0)/100)),0)</f>
        <v/>
      </c>
      <c r="R647">
        <f>IF(AND(Inputs!$B$38&lt;&gt;"pvp",Inputs!$B$43&gt;0),IF(Inputs!$B$43&lt;=0,0,(INT(Inputs!$B$43/(IF(Inputs!$B$38="pvp",15,MAX(0.1,Skills!D3-IF(TRUE=TRUE,Inputs!$B$32,0)))*(1-IF(AND(ArtifactsInput!$M$27,Inputs!$B$4="Chapter Hunt"),CHOOSE(ArtifactsInput!$N$27+1,20,24,28,32,36,40),0)/100)))+1)),0)</f>
        <v/>
      </c>
      <c r="S647" t="n">
        <v>0</v>
      </c>
      <c r="T647">
        <f>INDEX(FactorTable!$B$2:$Y$301, MATCH(ROUND(MIN(300,MAX(1,T646)),0), FactorTable!$A$2:$A$301,0), 22)</f>
        <v/>
      </c>
      <c r="U647" t="n">
        <v>0</v>
      </c>
      <c r="Z647">
        <f>INDEX(FactorTable!$B$2:$Y$301, MATCH(ROUND(MIN(300,MAX(1,Z646)),0), FactorTable!$A$2:$A$301,0), 24)</f>
        <v/>
      </c>
    </row>
    <row r="648">
      <c r="A648">
        <f>Skills!A4</f>
        <v/>
      </c>
      <c r="B648">
        <f>Skills!B4</f>
        <v/>
      </c>
      <c r="C648">
        <f>Inputs!$B$3&gt;=40</f>
        <v/>
      </c>
      <c r="D648">
        <f>IF(Skills!C4=1,60+Inputs!$B$25+Inputs!$B$29,IF(Skills!C4=2,90+Inputs!$B$26+Inputs!$B$29,IF(Skills!C4=3,120+Inputs!$B$27+Inputs!$B$29,MAX(0,(Inputs!$B$3-100)*3)+Inputs!$B$28+Inputs!$B$29)))</f>
        <v/>
      </c>
      <c r="E648">
        <f>INDEX(FactorTable!$B$2:$Y$301, MATCH(ROUND(MIN(300,MAX(1,D648)),0), FactorTable!$A$2:$A$301,0), Skills!L4+1)</f>
        <v/>
      </c>
      <c r="F648">
        <f>IF(Skills!M4=TRUE,(Skills!K4/10)*(E648/1000),Skills!K4/10)+Skills!N4</f>
        <v/>
      </c>
      <c r="G648">
        <f>Calc!G4</f>
        <v/>
      </c>
      <c r="H648">
        <f>Calc!H4</f>
        <v/>
      </c>
      <c r="I648">
        <f>IF(Skills!T4&lt;&gt;"",1+(Skills!T4/10)*(Z647/1000)/100,1)</f>
        <v/>
      </c>
      <c r="J648" t="inlineStr"/>
      <c r="K648" t="inlineStr"/>
      <c r="L648" t="inlineStr"/>
      <c r="M648" t="inlineStr"/>
      <c r="N648" t="inlineStr"/>
      <c r="O648">
        <f>(1-Summary!$B$11)*S648+Summary!$B$11*U648</f>
        <v/>
      </c>
      <c r="P648">
        <f>IF(B681=0,0,O648/B681)</f>
        <v/>
      </c>
      <c r="Q648">
        <f>IFERROR(1/(IF(Inputs!$B$38="pvp",15,MAX(0.1,Skills!D4-IF(TRUE=TRUE,Inputs!$B$32,0)))*(1-IF(AND(ArtifactsInput!$M$27,Inputs!$B$4="Chapter Hunt"),CHOOSE(ArtifactsInput!$N$27+1,20,24,28,32,36,40),0)/100)),0)</f>
        <v/>
      </c>
      <c r="R648">
        <f>IF(AND(Inputs!$B$38&lt;&gt;"pvp",Inputs!$B$43&gt;0),IF(Inputs!$B$43&lt;=0,0,(INT(Inputs!$B$43/(IF(Inputs!$B$38="pvp",15,MAX(0.1,Skills!D4-IF(TRUE=TRUE,Inputs!$B$32,0)))*(1-IF(AND(ArtifactsInput!$M$27,Inputs!$B$4="Chapter Hunt"),CHOOSE(ArtifactsInput!$N$27+1,20,24,28,32,36,40),0)/100)))+1)),0)</f>
        <v/>
      </c>
      <c r="S648" t="n">
        <v>0</v>
      </c>
      <c r="T648">
        <f>290*T647/1000</f>
        <v/>
      </c>
      <c r="U648" t="n">
        <v>0</v>
      </c>
    </row>
    <row r="649">
      <c r="A649">
        <f>Skills!A5</f>
        <v/>
      </c>
      <c r="B649">
        <f>Skills!B5</f>
        <v/>
      </c>
      <c r="C649">
        <f>Inputs!$B$3&gt;=38</f>
        <v/>
      </c>
      <c r="D649">
        <f>IF(Skills!C5=1,60+Inputs!$B$25+Inputs!$B$29,IF(Skills!C5=2,90+Inputs!$B$26+Inputs!$B$29,IF(Skills!C5=3,120+Inputs!$B$27+Inputs!$B$29,MAX(0,(Inputs!$B$3-100)*3)+Inputs!$B$28+Inputs!$B$29)))</f>
        <v/>
      </c>
      <c r="E649">
        <f>INDEX(FactorTable!$B$2:$Y$301, MATCH(ROUND(MIN(300,MAX(1,D649)),0), FactorTable!$A$2:$A$301,0), Skills!L5+1)</f>
        <v/>
      </c>
      <c r="F649">
        <f>IF(Skills!M5=TRUE,(Skills!K5/10)*(E649/1000),Skills!K5/10)+Skills!N5</f>
        <v/>
      </c>
      <c r="G649">
        <f>Calc!G5</f>
        <v/>
      </c>
      <c r="H649">
        <f>Calc!H5</f>
        <v/>
      </c>
      <c r="I649">
        <f>IF(Skills!T5&lt;&gt;"",1+(Skills!T5/10)*(Z647/1000)/100,1)</f>
        <v/>
      </c>
      <c r="J649">
        <f>((Inputs!$B$6*(1+Inputs!$B$7/100))+(((Inputs!$B$12*(1+Inputs!$B$13/100))-(Inputs!$B$12*(1+Inputs!$B$13/100)))+0.25*(Inputs!$B$14-Inputs!$B$14))*(1+Inputs!$B$7/100))*(F649/100)</f>
        <v/>
      </c>
      <c r="K649">
        <f>J649*(1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5="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649)</f>
        <v/>
      </c>
      <c r="L649">
        <f>K649*(MIN(Inputs!$B$22+(F662-Calc!F18),(Inputs!$B$23+(IF(ArtifactsInput!$M$15,CHOOSE(ArtifactsInput!$N$15+1,25,30,35,40,45,50)/100*(Inputs!$B$11-Inputs!$B$11),0))))/100+(Inputs!$B$23+(IF(ArtifactsInput!$M$15,CHOOSE(ArtifactsInput!$N$15+1,25,30,35,40,45,50)/100*(Inputs!$B$11-Inputs!$B$11),0)))/100)/2</f>
        <v/>
      </c>
      <c r="M649">
        <f>L649*(1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49">
        <f>L649*(1-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649*(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49">
        <f>(1-Summary!$B$11)*S649+Summary!$B$11*U649</f>
        <v/>
      </c>
      <c r="P649">
        <f>IF(B681=0,0,O649/B681)</f>
        <v/>
      </c>
      <c r="Q649">
        <f>IFERROR(1/(IF(Inputs!$B$38="pvp",15,MAX(0.1,Skills!D5-IF(TRUE=TRUE,Inputs!$B$32,0)))*(1-IF(AND(ArtifactsInput!$M$27,Inputs!$B$4="Chapter Hunt"),CHOOSE(ArtifactsInput!$N$27+1,20,24,28,32,36,40),0)/100)),0)</f>
        <v/>
      </c>
      <c r="R649">
        <f>IF(AND(Inputs!$B$38&lt;&gt;"pvp",Inputs!$B$43&gt;0),IF(MAX(0,Inputs!$B$43-B678)&lt;=0,0,(INT(MAX(0,Inputs!$B$43-B678)/(IF(Inputs!$B$38="pvp",15,MAX(0.1,Skills!D5-IF(TRUE=TRUE,Inputs!$B$32,0)))*(1-IF(AND(ArtifactsInput!$M$27,Inputs!$B$4="Chapter Hunt"),CHOOSE(ArtifactsInput!$N$27+1,20,24,28,32,36,40),0)/100)))+1)),0)</f>
        <v/>
      </c>
      <c r="S649">
        <f>IF(C649,(H649*N649*IF(AND(Inputs!$B$38&lt;&gt;"pvp",Inputs!$B$43&gt;0),((Skills!F5*((R649-1)*IF(Skills!G5&gt;0,Skills!H5/Skills!G5,1)+IF(Skills!G5&gt;0,MIN(Skills!H5,MAX(0,MAX(0,Inputs!$B$43-B678)-((R649-1)*(IF(Inputs!$B$38="pvp",15,MAX(0.1,Skills!D5-IF(TRUE=TRUE,Inputs!$B$32,0)))*(1-IF(AND(ArtifactsInput!$M$27,Inputs!$B$4="Chapter Hunt"),CHOOSE(ArtifactsInput!$N$27+1,20,24,28,32,36,40),0)/100)))))/Skills!G5,1)))/Inputs!$B$43),G649*Q649))*IF(Inputs!$B$38="pvp",1,1+(Inputs!$B$20+Skills!O5+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649*(1-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649*(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649*(1-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649*(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49">
        <f>IF(C649,(H649*N649*IF(AND(Inputs!$B$38&lt;&gt;"pvp",Inputs!$B$43&gt;0),((Skills!F5*((R649-1)*IF(Skills!G5&gt;0,Skills!H5/Skills!G5,1)+IF(Skills!G5&gt;0,MIN(Skills!H5,MAX(0,MAX(0,Inputs!$B$43-B678)-((R649-1)*(IF(Inputs!$B$38="pvp",15,MAX(0.1,Skills!D5-IF(TRUE=TRUE,Inputs!$B$32,0)))*(1-IF(AND(ArtifactsInput!$M$27,Inputs!$B$4="Chapter Hunt"),CHOOSE(ArtifactsInput!$N$27+1,20,24,28,32,36,40),0)/100)))))/Skills!G5,1)))/Inputs!$B$43),G649*Q649))*IF(Inputs!$B$38="pvp",1,(1+(Inputs!$B$21+Skills!P5+B672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0">
      <c r="A650">
        <f>Skills!A6</f>
        <v/>
      </c>
      <c r="B650">
        <f>Skills!B6</f>
        <v/>
      </c>
      <c r="C650">
        <f>Inputs!$B$3&gt;=63</f>
        <v/>
      </c>
      <c r="D650">
        <f>IF(Skills!C6=1,60+Inputs!$B$25+Inputs!$B$29,IF(Skills!C6=2,90+Inputs!$B$26+Inputs!$B$29,IF(Skills!C6=3,120+Inputs!$B$27+Inputs!$B$29,MAX(0,(Inputs!$B$3-100)*3)+Inputs!$B$28+Inputs!$B$29)))</f>
        <v/>
      </c>
      <c r="E650">
        <f>INDEX(FactorTable!$B$2:$Y$301, MATCH(ROUND(MIN(300,MAX(1,D650)),0), FactorTable!$A$2:$A$301,0), Skills!L6+1)</f>
        <v/>
      </c>
      <c r="F650">
        <f>IF(Skills!M6=TRUE,(Skills!K6/10)*(E650/1000),Skills!K6/10)+Skills!N6</f>
        <v/>
      </c>
      <c r="G650">
        <f>Calc!G6</f>
        <v/>
      </c>
      <c r="H650">
        <f>Calc!H6</f>
        <v/>
      </c>
      <c r="I650">
        <f>IF(Skills!T6&lt;&gt;"",1+(Skills!T6/10)*(Z647/1000)/100,1)</f>
        <v/>
      </c>
      <c r="J650">
        <f>((Inputs!$B$6*(1+Inputs!$B$7/100))+(((Inputs!$B$12*(1+Inputs!$B$13/100))-(Inputs!$B$12*(1+Inputs!$B$13/100)))+0.25*(Inputs!$B$14-Inputs!$B$14))*(1+Inputs!$B$7/100))*(F650/100)</f>
        <v/>
      </c>
      <c r="K650">
        <f>J650*(1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6="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650)</f>
        <v/>
      </c>
      <c r="L650">
        <f>K650*(MIN(Inputs!$B$22+(F662-Calc!F18),(Inputs!$B$23+(IF(ArtifactsInput!$M$15,CHOOSE(ArtifactsInput!$N$15+1,25,30,35,40,45,50)/100*(Inputs!$B$11-Inputs!$B$11),0))))/100+(Inputs!$B$23+(IF(ArtifactsInput!$M$15,CHOOSE(ArtifactsInput!$N$15+1,25,30,35,40,45,50)/100*(Inputs!$B$11-Inputs!$B$11),0)))/100)/2</f>
        <v/>
      </c>
      <c r="M650">
        <f>L650*(1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0">
        <f>L650*(1-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650*(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0">
        <f>(1-Summary!$B$11)*S650+Summary!$B$11*U650</f>
        <v/>
      </c>
      <c r="P650">
        <f>IF(B681=0,0,O650/B681)</f>
        <v/>
      </c>
      <c r="Q650">
        <f>IFERROR(1/(IF(Inputs!$B$38="pvp",15,MAX(0.1,Skills!D6-IF(TRUE=TRUE,Inputs!$B$32,0)))*(1-IF(AND(ArtifactsInput!$M$27,Inputs!$B$4="Chapter Hunt"),CHOOSE(ArtifactsInput!$N$27+1,20,24,28,32,36,40),0)/100)),0)</f>
        <v/>
      </c>
      <c r="R650">
        <f>IF(AND(Inputs!$B$38&lt;&gt;"pvp",Inputs!$B$43&gt;0),IF(MAX(0,Inputs!$B$43-B678)&lt;=0,0,(INT(MAX(0,Inputs!$B$43-B678)/(IF(Inputs!$B$38="pvp",15,MAX(0.1,Skills!D6-IF(TRUE=TRUE,Inputs!$B$32,0)))*(1-IF(AND(ArtifactsInput!$M$27,Inputs!$B$4="Chapter Hunt"),CHOOSE(ArtifactsInput!$N$27+1,20,24,28,32,36,40),0)/100)))+1)),0)</f>
        <v/>
      </c>
      <c r="S650">
        <f>IF(C650,(H650*N650*IF(AND(Inputs!$B$38&lt;&gt;"pvp",Inputs!$B$43&gt;0),((Skills!F6*((R650-1)*IF(Skills!G6&gt;0,Skills!H6/Skills!G6,1)+IF(Skills!G6&gt;0,MIN(Skills!H6,MAX(0,MAX(0,Inputs!$B$43-B678)-((R650-1)*(IF(Inputs!$B$38="pvp",15,MAX(0.1,Skills!D6-IF(TRUE=TRUE,Inputs!$B$32,0)))*(1-IF(AND(ArtifactsInput!$M$27,Inputs!$B$4="Chapter Hunt"),CHOOSE(ArtifactsInput!$N$27+1,20,24,28,32,36,40),0)/100)))))/Skills!G6,1)))/Inputs!$B$43),G650*Q650))*IF(Inputs!$B$38="pvp",1,1+(Inputs!$B$20+Skills!O6+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650*(1-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650*(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650*(1-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650*(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0">
        <f>IF(C650,(H650*N650*IF(AND(Inputs!$B$38&lt;&gt;"pvp",Inputs!$B$43&gt;0),((Skills!F6*((R650-1)*IF(Skills!G6&gt;0,Skills!H6/Skills!G6,1)+IF(Skills!G6&gt;0,MIN(Skills!H6,MAX(0,MAX(0,Inputs!$B$43-B678)-((R650-1)*(IF(Inputs!$B$38="pvp",15,MAX(0.1,Skills!D6-IF(TRUE=TRUE,Inputs!$B$32,0)))*(1-IF(AND(ArtifactsInput!$M$27,Inputs!$B$4="Chapter Hunt"),CHOOSE(ArtifactsInput!$N$27+1,20,24,28,32,36,40),0)/100)))))/Skills!G6,1)))/Inputs!$B$43),G650*Q650))*IF(Inputs!$B$38="pvp",1,(1+(Inputs!$B$21+Skills!P6+B672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1">
      <c r="A651">
        <f>Skills!A7</f>
        <v/>
      </c>
      <c r="B651">
        <f>Skills!B7</f>
        <v/>
      </c>
      <c r="C651">
        <f>Inputs!$B$3&gt;=69</f>
        <v/>
      </c>
      <c r="D651">
        <f>IF(Skills!C7=1,60+Inputs!$B$25+Inputs!$B$29,IF(Skills!C7=2,90+Inputs!$B$26+Inputs!$B$29,IF(Skills!C7=3,120+Inputs!$B$27+Inputs!$B$29,MAX(0,(Inputs!$B$3-100)*3)+Inputs!$B$28+Inputs!$B$29)))</f>
        <v/>
      </c>
      <c r="E651">
        <f>INDEX(FactorTable!$B$2:$Y$301, MATCH(ROUND(MIN(300,MAX(1,D651)),0), FactorTable!$A$2:$A$301,0), Skills!L7+1)</f>
        <v/>
      </c>
      <c r="F651">
        <f>IF(Skills!M7=TRUE,(Skills!K7/10)*(E651/1000),Skills!K7/10)+Skills!N7</f>
        <v/>
      </c>
      <c r="G651">
        <f>Calc!G7</f>
        <v/>
      </c>
      <c r="H651">
        <f>Calc!H7</f>
        <v/>
      </c>
      <c r="I651">
        <f>IF(Skills!T7&lt;&gt;"",1+(Skills!T7/10)*(Z647/1000)/100,1)</f>
        <v/>
      </c>
      <c r="J651">
        <f>((Inputs!$B$6*(1+Inputs!$B$7/100))+(((Inputs!$B$12*(1+Inputs!$B$13/100))-(Inputs!$B$12*(1+Inputs!$B$13/100)))+0.25*(Inputs!$B$14-Inputs!$B$14))*(1+Inputs!$B$7/100))*(F651/100)</f>
        <v/>
      </c>
      <c r="K651">
        <f>J651*(1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7="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651)</f>
        <v/>
      </c>
      <c r="L651">
        <f>K651*(MIN(Inputs!$B$22+(F662-Calc!F18),(Inputs!$B$23+(IF(ArtifactsInput!$M$15,CHOOSE(ArtifactsInput!$N$15+1,25,30,35,40,45,50)/100*(Inputs!$B$11-Inputs!$B$11),0))))/100+(Inputs!$B$23+(IF(ArtifactsInput!$M$15,CHOOSE(ArtifactsInput!$N$15+1,25,30,35,40,45,50)/100*(Inputs!$B$11-Inputs!$B$11),0)))/100)/2</f>
        <v/>
      </c>
      <c r="M651">
        <f>L651*(1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1">
        <f>L651*(1-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1">
        <f>(1-Summary!$B$11)*S651+Summary!$B$11*U651</f>
        <v/>
      </c>
      <c r="P651">
        <f>IF(B681=0,0,O651/B681)</f>
        <v/>
      </c>
      <c r="Q651">
        <f>IFERROR(1/(IF(Inputs!$B$38="pvp",15,MAX(0.1,Skills!D7-IF(TRUE=TRUE,Inputs!$B$32,0)))*(1-IF(AND(ArtifactsInput!$M$27,Inputs!$B$4="Chapter Hunt"),CHOOSE(ArtifactsInput!$N$27+1,20,24,28,32,36,40),0)/100)),0)</f>
        <v/>
      </c>
      <c r="R651">
        <f>IF(AND(Inputs!$B$38&lt;&gt;"pvp",Inputs!$B$43&gt;0),IF(MAX(0,Inputs!$B$43-B678)&lt;=0,0,(INT(MAX(0,Inputs!$B$43-B678)/(IF(Inputs!$B$38="pvp",15,MAX(0.1,Skills!D7-IF(TRUE=TRUE,Inputs!$B$32,0)))*(1-IF(AND(ArtifactsInput!$M$27,Inputs!$B$4="Chapter Hunt"),CHOOSE(ArtifactsInput!$N$27+1,20,24,28,32,36,40),0)/100)))+1)),0)</f>
        <v/>
      </c>
      <c r="S651">
        <f>IF(C651,(H651*N651*IF(AND(Inputs!$B$38&lt;&gt;"pvp",Inputs!$B$43&gt;0),((Skills!F7*((R651-1)*IF(Skills!G7&gt;0,Skills!H7/Skills!G7,1)+IF(Skills!G7&gt;0,MIN(Skills!H7,MAX(0,MAX(0,Inputs!$B$43-B678)-((R651-1)*(IF(Inputs!$B$38="pvp",15,MAX(0.1,Skills!D7-IF(TRUE=TRUE,Inputs!$B$32,0)))*(1-IF(AND(ArtifactsInput!$M$27,Inputs!$B$4="Chapter Hunt"),CHOOSE(ArtifactsInput!$N$27+1,20,24,28,32,36,40),0)/100)))))/Skills!G7,1)))/Inputs!$B$43),G651*Q651))*IF(Inputs!$B$38="pvp",1,1+(Inputs!$B$20+Skills!O7+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651*(1-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651*(1-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1">
        <f>IF(C651,(H651*N651*IF(AND(Inputs!$B$38&lt;&gt;"pvp",Inputs!$B$43&gt;0),((Skills!F7*((R651-1)*IF(Skills!G7&gt;0,Skills!H7/Skills!G7,1)+IF(Skills!G7&gt;0,MIN(Skills!H7,MAX(0,MAX(0,Inputs!$B$43-B678)-((R651-1)*(IF(Inputs!$B$38="pvp",15,MAX(0.1,Skills!D7-IF(TRUE=TRUE,Inputs!$B$32,0)))*(1-IF(AND(ArtifactsInput!$M$27,Inputs!$B$4="Chapter Hunt"),CHOOSE(ArtifactsInput!$N$27+1,20,24,28,32,36,40),0)/100)))))/Skills!G7,1)))/Inputs!$B$43),G651*Q651))*IF(Inputs!$B$38="pvp",1,(1+(Inputs!$B$21+Skills!P7+B672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2">
      <c r="A652">
        <f>Skills!A8</f>
        <v/>
      </c>
      <c r="B652">
        <f>Skills!B8</f>
        <v/>
      </c>
      <c r="C652">
        <f>Inputs!$B$3&gt;=103</f>
        <v/>
      </c>
      <c r="D652">
        <f>IF(Skills!C8=1,60+Inputs!$B$25+Inputs!$B$29,IF(Skills!C8=2,90+Inputs!$B$26+Inputs!$B$29,IF(Skills!C8=3,120+Inputs!$B$27+Inputs!$B$29,MAX(0,(Inputs!$B$3-100)*3)+Inputs!$B$28+Inputs!$B$29)))</f>
        <v/>
      </c>
      <c r="E652">
        <f>INDEX(FactorTable!$B$2:$Y$301, MATCH(ROUND(MIN(300,MAX(1,D652)),0), FactorTable!$A$2:$A$301,0), Skills!L8+1)</f>
        <v/>
      </c>
      <c r="F652">
        <f>IF(Skills!M8=TRUE,(Skills!K8/10)*(E652/1000),Skills!K8/10)+Skills!N8</f>
        <v/>
      </c>
      <c r="G652">
        <f>Calc!G8</f>
        <v/>
      </c>
      <c r="H652">
        <f>Calc!H8</f>
        <v/>
      </c>
      <c r="I652">
        <f>IF(Skills!T8&lt;&gt;"",1+(Skills!T8/10)*(Z647/1000)/100,1)</f>
        <v/>
      </c>
      <c r="J652">
        <f>((Inputs!$B$6*(1+Inputs!$B$7/100))+(((Inputs!$B$12*(1+Inputs!$B$13/100))-(Inputs!$B$12*(1+Inputs!$B$13/100)))+0.25*(Inputs!$B$14-Inputs!$B$14))*(1+Inputs!$B$7/100))*(F652/100)</f>
        <v/>
      </c>
      <c r="K652">
        <f>J652*(1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8="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652)</f>
        <v/>
      </c>
      <c r="L652">
        <f>K652*(MIN(Inputs!$B$22+(F662-Calc!F18),(Inputs!$B$23+(IF(ArtifactsInput!$M$15,CHOOSE(ArtifactsInput!$N$15+1,25,30,35,40,45,50)/100*(Inputs!$B$11-Inputs!$B$11),0))))/100+(Inputs!$B$23+(IF(ArtifactsInput!$M$15,CHOOSE(ArtifactsInput!$N$15+1,25,30,35,40,45,50)/100*(Inputs!$B$11-Inputs!$B$11),0)))/100)/2</f>
        <v/>
      </c>
      <c r="M652">
        <f>L652*(1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2">
        <f>L652*(1-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652*(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2">
        <f>(1-Summary!$B$11)*S652+Summary!$B$11*U652</f>
        <v/>
      </c>
      <c r="P652">
        <f>IF(B681=0,0,O652/B681)</f>
        <v/>
      </c>
      <c r="Q652">
        <f>IFERROR(1/(IF(Inputs!$B$38="pvp",15,MAX(0.1,Skills!D8-IF(TRUE=TRUE,Inputs!$B$32,0)))*(1-IF(AND(ArtifactsInput!$M$27,Inputs!$B$4="Chapter Hunt"),CHOOSE(ArtifactsInput!$N$27+1,20,24,28,32,36,40),0)/100)),0)</f>
        <v/>
      </c>
      <c r="R652">
        <f>IF(AND(Inputs!$B$38&lt;&gt;"pvp",Inputs!$B$43&gt;0),IF(MAX(0,Inputs!$B$43-B678)&lt;=0,0,(INT(MAX(0,Inputs!$B$43-B678)/(IF(Inputs!$B$38="pvp",15,MAX(0.1,Skills!D8-IF(TRUE=TRUE,Inputs!$B$32,0)))*(1-IF(AND(ArtifactsInput!$M$27,Inputs!$B$4="Chapter Hunt"),CHOOSE(ArtifactsInput!$N$27+1,20,24,28,32,36,40),0)/100)))+1)),0)</f>
        <v/>
      </c>
      <c r="S652">
        <f>IF(C652,(H652*N652*IF(AND(Inputs!$B$38&lt;&gt;"pvp",Inputs!$B$43&gt;0),((Skills!F8*((R652-1)*IF(Skills!G8&gt;0,Skills!H8/Skills!G8,1)+IF(Skills!G8&gt;0,MIN(Skills!H8,MAX(0,MAX(0,Inputs!$B$43-B678)-((R652-1)*(IF(Inputs!$B$38="pvp",15,MAX(0.1,Skills!D8-IF(TRUE=TRUE,Inputs!$B$32,0)))*(1-IF(AND(ArtifactsInput!$M$27,Inputs!$B$4="Chapter Hunt"),CHOOSE(ArtifactsInput!$N$27+1,20,24,28,32,36,40),0)/100)))))/Skills!G8,1)))/Inputs!$B$43),G652*Q652))*IF(Inputs!$B$38="pvp",1,1+(Inputs!$B$20+Skills!O8+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652*(1-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652*(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652*(1-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652*(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2">
        <f>IF(C652,(H652*N652*IF(AND(Inputs!$B$38&lt;&gt;"pvp",Inputs!$B$43&gt;0),((Skills!F8*((R652-1)*IF(Skills!G8&gt;0,Skills!H8/Skills!G8,1)+IF(Skills!G8&gt;0,MIN(Skills!H8,MAX(0,MAX(0,Inputs!$B$43-B678)-((R652-1)*(IF(Inputs!$B$38="pvp",15,MAX(0.1,Skills!D8-IF(TRUE=TRUE,Inputs!$B$32,0)))*(1-IF(AND(ArtifactsInput!$M$27,Inputs!$B$4="Chapter Hunt"),CHOOSE(ArtifactsInput!$N$27+1,20,24,28,32,36,40),0)/100)))))/Skills!G8,1)))/Inputs!$B$43),G652*Q652))*IF(Inputs!$B$38="pvp",1,(1+(Inputs!$B$21+Skills!P8+B672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3">
      <c r="A653">
        <f>Skills!A9</f>
        <v/>
      </c>
      <c r="B653">
        <f>Skills!B9</f>
        <v/>
      </c>
      <c r="C653">
        <f>Inputs!$B$3&gt;=105</f>
        <v/>
      </c>
      <c r="D653">
        <f>IF(Skills!C9=1,60+Inputs!$B$25+Inputs!$B$29,IF(Skills!C9=2,90+Inputs!$B$26+Inputs!$B$29,IF(Skills!C9=3,120+Inputs!$B$27+Inputs!$B$29,MAX(0,(Inputs!$B$3-100)*3)+Inputs!$B$28+Inputs!$B$29)))</f>
        <v/>
      </c>
      <c r="E653">
        <f>INDEX(FactorTable!$B$2:$Y$301, MATCH(ROUND(MIN(300,MAX(1,D653)),0), FactorTable!$A$2:$A$301,0), Skills!L9+1)</f>
        <v/>
      </c>
      <c r="F653">
        <f>IF(Skills!M9=TRUE,(Skills!K9/10)*(E653/1000),Skills!K9/10)+Skills!N9</f>
        <v/>
      </c>
      <c r="G653">
        <f>Calc!G9</f>
        <v/>
      </c>
      <c r="H653">
        <f>Calc!H9</f>
        <v/>
      </c>
      <c r="I653">
        <f>IF(Skills!T9&lt;&gt;"",1+(Skills!T9/10)*(Z647/1000)/100,1)</f>
        <v/>
      </c>
      <c r="J653">
        <f>((Inputs!$B$6*(1+Inputs!$B$7/100))+(((Inputs!$B$12*(1+Inputs!$B$13/100))-(Inputs!$B$12*(1+Inputs!$B$13/100)))+0.25*(Inputs!$B$14-Inputs!$B$14))*(1+Inputs!$B$7/100))*(F653/100)</f>
        <v/>
      </c>
      <c r="K653">
        <f>J653*(1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9="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653)</f>
        <v/>
      </c>
      <c r="L653">
        <f>K653*(MIN(Inputs!$B$22+(F662-Calc!F18),(Inputs!$B$23+(IF(ArtifactsInput!$M$15,CHOOSE(ArtifactsInput!$N$15+1,25,30,35,40,45,50)/100*(Inputs!$B$11-Inputs!$B$11),0))))/100+(Inputs!$B$23+(IF(ArtifactsInput!$M$15,CHOOSE(ArtifactsInput!$N$15+1,25,30,35,40,45,50)/100*(Inputs!$B$11-Inputs!$B$11),0)))/100)/2</f>
        <v/>
      </c>
      <c r="M653">
        <f>L653*(1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3">
        <f>L653*(1-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653*(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3">
        <f>(1-Summary!$B$11)*S653+Summary!$B$11*U653</f>
        <v/>
      </c>
      <c r="P653">
        <f>IF(B681=0,0,O653/B681)</f>
        <v/>
      </c>
      <c r="Q653">
        <f>IFERROR(1/(IF(Inputs!$B$38="pvp",15,MAX(0.1,Skills!D9-IF(TRUE=TRUE,Inputs!$B$32,0)))*(1-IF(AND(ArtifactsInput!$M$27,Inputs!$B$4="Chapter Hunt"),CHOOSE(ArtifactsInput!$N$27+1,20,24,28,32,36,40),0)/100)),0)</f>
        <v/>
      </c>
      <c r="R653">
        <f>IF(AND(Inputs!$B$38&lt;&gt;"pvp",Inputs!$B$43&gt;0),IF(MAX(0,Inputs!$B$43-B678)&lt;=0,0,(INT(MAX(0,Inputs!$B$43-B678)/(IF(Inputs!$B$38="pvp",15,MAX(0.1,Skills!D9-IF(TRUE=TRUE,Inputs!$B$32,0)))*(1-IF(AND(ArtifactsInput!$M$27,Inputs!$B$4="Chapter Hunt"),CHOOSE(ArtifactsInput!$N$27+1,20,24,28,32,36,40),0)/100)))+1)),0)</f>
        <v/>
      </c>
      <c r="S653">
        <f>IF(C653,(H653*N653*IF(AND(Inputs!$B$38&lt;&gt;"pvp",Inputs!$B$43&gt;0),((Skills!F9*((R653-1)*IF(Skills!G9&gt;0,Skills!H9/Skills!G9,1)+IF(Skills!G9&gt;0,MIN(Skills!H9,MAX(0,MAX(0,Inputs!$B$43-B678)-((R653-1)*(IF(Inputs!$B$38="pvp",15,MAX(0.1,Skills!D9-IF(TRUE=TRUE,Inputs!$B$32,0)))*(1-IF(AND(ArtifactsInput!$M$27,Inputs!$B$4="Chapter Hunt"),CHOOSE(ArtifactsInput!$N$27+1,20,24,28,32,36,40),0)/100)))))/Skills!G9,1)))/Inputs!$B$43),G653*Q653))*IF(Inputs!$B$38="pvp",1,1+(Inputs!$B$20+Skills!O9+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653*(1-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653*(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653*(1-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653*(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3">
        <f>IF(C653,(H653*N653*IF(AND(Inputs!$B$38&lt;&gt;"pvp",Inputs!$B$43&gt;0),((Skills!F9*((R653-1)*IF(Skills!G9&gt;0,Skills!H9/Skills!G9,1)+IF(Skills!G9&gt;0,MIN(Skills!H9,MAX(0,MAX(0,Inputs!$B$43-B678)-((R653-1)*(IF(Inputs!$B$38="pvp",15,MAX(0.1,Skills!D9-IF(TRUE=TRUE,Inputs!$B$32,0)))*(1-IF(AND(ArtifactsInput!$M$27,Inputs!$B$4="Chapter Hunt"),CHOOSE(ArtifactsInput!$N$27+1,20,24,28,32,36,40),0)/100)))))/Skills!G9,1)))/Inputs!$B$43),G653*Q653))*IF(Inputs!$B$38="pvp",1,(1+(Inputs!$B$21+Skills!P9+B672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4">
      <c r="A654">
        <f>Skills!A10</f>
        <v/>
      </c>
      <c r="B654">
        <f>Skills!B10</f>
        <v/>
      </c>
      <c r="C654">
        <f>Inputs!$B$3&gt;=113</f>
        <v/>
      </c>
      <c r="D654">
        <f>IF(Skills!C10=1,60+Inputs!$B$25+Inputs!$B$29,IF(Skills!C10=2,90+Inputs!$B$26+Inputs!$B$29,IF(Skills!C10=3,120+Inputs!$B$27+Inputs!$B$29,MAX(0,(Inputs!$B$3-100)*3)+Inputs!$B$28+Inputs!$B$29)))</f>
        <v/>
      </c>
      <c r="E654">
        <f>INDEX(FactorTable!$B$2:$Y$301, MATCH(ROUND(MIN(300,MAX(1,D654)),0), FactorTable!$A$2:$A$301,0), Skills!L10+1)</f>
        <v/>
      </c>
      <c r="F654">
        <f>IF(Skills!M10=TRUE,(Skills!K10/10)*(E654/1000),Skills!K10/10)+Skills!N10</f>
        <v/>
      </c>
      <c r="G654">
        <f>Calc!G10</f>
        <v/>
      </c>
      <c r="H654">
        <f>Calc!H10</f>
        <v/>
      </c>
      <c r="I654">
        <f>IF(Skills!T10&lt;&gt;"",1+(Skills!T10/10)*(Z647/1000)/100,1)</f>
        <v/>
      </c>
      <c r="J654">
        <f>((Inputs!$B$6*(1+Inputs!$B$7/100))+(((Inputs!$B$12*(1+Inputs!$B$13/100))-(Inputs!$B$12*(1+Inputs!$B$13/100)))+0.25*(Inputs!$B$14-Inputs!$B$14))*(1+Inputs!$B$7/100))*(F654/100)</f>
        <v/>
      </c>
      <c r="K654">
        <f>J654*(1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10="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654)</f>
        <v/>
      </c>
      <c r="L654">
        <f>K654*(MIN(Inputs!$B$22+(F662-Calc!F18),(Inputs!$B$23+(IF(ArtifactsInput!$M$15,CHOOSE(ArtifactsInput!$N$15+1,25,30,35,40,45,50)/100*(Inputs!$B$11-Inputs!$B$11),0))))/100+(Inputs!$B$23+(IF(ArtifactsInput!$M$15,CHOOSE(ArtifactsInput!$N$15+1,25,30,35,40,45,50)/100*(Inputs!$B$11-Inputs!$B$11),0)))/100)/2</f>
        <v/>
      </c>
      <c r="M654">
        <f>L654*(1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4">
        <f>L654*(1-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654*(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4">
        <f>(1-Summary!$B$11)*S654+Summary!$B$11*U654</f>
        <v/>
      </c>
      <c r="P654">
        <f>IF(B681=0,0,O654/B681)</f>
        <v/>
      </c>
      <c r="Q654">
        <f>IFERROR(1/(IF(Inputs!$B$38="pvp",15,MAX(0.1,Skills!D10-IF(TRUE=TRUE,Inputs!$B$32,0)))*(1-IF(AND(ArtifactsInput!$M$27,Inputs!$B$4="Chapter Hunt"),CHOOSE(ArtifactsInput!$N$27+1,20,24,28,32,36,40),0)/100)),0)</f>
        <v/>
      </c>
      <c r="R654" t="n">
        <v>0</v>
      </c>
      <c r="S654">
        <f>IF(C654,((H654*B682)/(1+Skills!G10*H654*B682)*N654)*IF(Inputs!$B$38="pvp",1,1+(Inputs!$B$20+Skills!O10+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654*(1-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654*(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654*(1-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654*(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4">
        <f>IF(C654,((H654*B682)/(1+Skills!G10*H654*B682)*N654)*IF(Inputs!$B$38="pvp",1,(1+(Inputs!$B$21+Skills!P10+B672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5">
      <c r="A655">
        <f>Skills!A11</f>
        <v/>
      </c>
      <c r="B655">
        <f>Skills!B11</f>
        <v/>
      </c>
      <c r="C655">
        <f>Inputs!$B$3&gt;=107</f>
        <v/>
      </c>
      <c r="D655">
        <f>IF(Skills!C11=1,60+Inputs!$B$25+Inputs!$B$29,IF(Skills!C11=2,90+Inputs!$B$26+Inputs!$B$29,IF(Skills!C11=3,120+Inputs!$B$27+Inputs!$B$29,MAX(0,(Inputs!$B$3-100)*3)+Inputs!$B$28+Inputs!$B$29)))</f>
        <v/>
      </c>
      <c r="E655">
        <f>INDEX(FactorTable!$B$2:$Y$301, MATCH(ROUND(MIN(300,MAX(1,D655)),0), FactorTable!$A$2:$A$301,0), Skills!L11+1)</f>
        <v/>
      </c>
      <c r="F655">
        <f>IF(Skills!M11=TRUE,(Skills!K11/10)*(E655/1000),Skills!K11/10)+Skills!N11</f>
        <v/>
      </c>
      <c r="G655">
        <f>Calc!G11</f>
        <v/>
      </c>
      <c r="H655">
        <f>Calc!H11</f>
        <v/>
      </c>
      <c r="I655">
        <f>IF(Skills!T11&lt;&gt;"",1+(Skills!T11/10)*(Z647/1000)/100,1)</f>
        <v/>
      </c>
      <c r="J655">
        <f>((Inputs!$B$6*(1+Inputs!$B$7/100))+(((Inputs!$B$12*(1+Inputs!$B$13/100))-(Inputs!$B$12*(1+Inputs!$B$13/100)))+0.25*(Inputs!$B$14-Inputs!$B$14))*(1+Inputs!$B$7/100))*(F655/100)</f>
        <v/>
      </c>
      <c r="K655">
        <f>J655*(1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11="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655)</f>
        <v/>
      </c>
      <c r="L655">
        <f>K655*(MIN(Inputs!$B$22+(F662-Calc!F18),(Inputs!$B$23+(IF(ArtifactsInput!$M$15,CHOOSE(ArtifactsInput!$N$15+1,25,30,35,40,45,50)/100*(Inputs!$B$11-Inputs!$B$11),0))))/100+(Inputs!$B$23+(IF(ArtifactsInput!$M$15,CHOOSE(ArtifactsInput!$N$15+1,25,30,35,40,45,50)/100*(Inputs!$B$11-Inputs!$B$11),0)))/100)/2</f>
        <v/>
      </c>
      <c r="M655">
        <f>L655*(1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5">
        <f>L655*(1-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655*(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5">
        <f>(1-Summary!$B$11)*S655+Summary!$B$11*U655</f>
        <v/>
      </c>
      <c r="P655">
        <f>IF(B681=0,0,O655/B681)</f>
        <v/>
      </c>
      <c r="Q655">
        <f>IFERROR(1/(IF(Inputs!$B$38="pvp",15,MAX(0.1,Skills!D11-IF(TRUE=TRUE,Inputs!$B$32,0)))*(1-IF(AND(ArtifactsInput!$M$27,Inputs!$B$4="Chapter Hunt"),CHOOSE(ArtifactsInput!$N$27+1,20,24,28,32,36,40),0)/100)),0)</f>
        <v/>
      </c>
      <c r="R655">
        <f>IF(AND(Inputs!$B$38&lt;&gt;"pvp",Inputs!$B$43&gt;0),IF(MAX(0,Inputs!$B$43-B678)&lt;=0,0,(INT(MAX(0,Inputs!$B$43-B678)/(IF(Inputs!$B$38="pvp",15,MAX(0.1,Skills!D11-IF(TRUE=TRUE,Inputs!$B$32,0)))*(1-IF(AND(ArtifactsInput!$M$27,Inputs!$B$4="Chapter Hunt"),CHOOSE(ArtifactsInput!$N$27+1,20,24,28,32,36,40),0)/100)))+1)),0)</f>
        <v/>
      </c>
      <c r="S655">
        <f>IF(C655,H655*N655*IF(AND(Inputs!$B$38&lt;&gt;"pvp",Inputs!$B$43&gt;0),((Skills!F11*((R655-1)*IF(Skills!G11&gt;0,Skills!H11/Skills!G11,1)+IF(Skills!G11&gt;0,MIN(Skills!H11,MAX(0,MAX(0,Inputs!$B$43-B678)-((R655-1)*(IF(Inputs!$B$38="pvp",15,MAX(0.1,Skills!D11-IF(TRUE=TRUE,Inputs!$B$32,0)))*(1-IF(AND(ArtifactsInput!$M$27,Inputs!$B$4="Chapter Hunt"),CHOOSE(ArtifactsInput!$N$27+1,20,24,28,32,36,40),0)/100)))))/Skills!G11,1)))/Inputs!$B$43),G655*Q655)*0.5*IF(Inputs!$B$38="pvp",1,1+(Inputs!$B$20+Skills!O11+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655*(1-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655*(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655*(1-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655*(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5">
        <f>IF(C655,H655*N655*IF(AND(Inputs!$B$38&lt;&gt;"pvp",Inputs!$B$43&gt;0),((Skills!F11*((R655-1)*IF(Skills!G11&gt;0,Skills!H11/Skills!G11,1)+IF(Skills!G11&gt;0,MIN(Skills!H11,MAX(0,MAX(0,Inputs!$B$43-B678)-((R655-1)*(IF(Inputs!$B$38="pvp",15,MAX(0.1,Skills!D11-IF(TRUE=TRUE,Inputs!$B$32,0)))*(1-IF(AND(ArtifactsInput!$M$27,Inputs!$B$4="Chapter Hunt"),CHOOSE(ArtifactsInput!$N$27+1,20,24,28,32,36,40),0)/100)))))/Skills!G11,1)))/Inputs!$B$43),G655*Q655)*1*IF(Inputs!$B$38="pvp",1,(1+(Inputs!$B$21+Skills!P11+B672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6">
      <c r="A656">
        <f>Skills!A12</f>
        <v/>
      </c>
      <c r="B656">
        <f>Skills!B12</f>
        <v/>
      </c>
      <c r="C656">
        <f>Inputs!$B$3&gt;=115</f>
        <v/>
      </c>
      <c r="D656">
        <f>IF(Skills!C12=1,60+Inputs!$B$25+Inputs!$B$29,IF(Skills!C12=2,90+Inputs!$B$26+Inputs!$B$29,IF(Skills!C12=3,120+Inputs!$B$27+Inputs!$B$29,MAX(0,(Inputs!$B$3-100)*3)+Inputs!$B$28+Inputs!$B$29)))</f>
        <v/>
      </c>
      <c r="E656">
        <f>INDEX(FactorTable!$B$2:$Y$301, MATCH(ROUND(MIN(300,MAX(1,D656)),0), FactorTable!$A$2:$A$301,0), Skills!L12+1)</f>
        <v/>
      </c>
      <c r="F656">
        <f>IF(Skills!M12=TRUE,(Skills!K12/10)*(E656/1000),Skills!K12/10)+Skills!N12</f>
        <v/>
      </c>
      <c r="G656">
        <f>Calc!G12</f>
        <v/>
      </c>
      <c r="H656">
        <f>Calc!H12</f>
        <v/>
      </c>
      <c r="I656">
        <f>IF(Skills!T12&lt;&gt;"",1+(Skills!T12/10)*(Z647/1000)/100,1)</f>
        <v/>
      </c>
      <c r="J656">
        <f>((Inputs!$B$6*(1+Inputs!$B$7/100))+(((Inputs!$B$12*(1+Inputs!$B$13/100))-(Inputs!$B$12*(1+Inputs!$B$13/100)))+0.25*(Inputs!$B$14-Inputs!$B$14))*(1+Inputs!$B$7/100))*(F656/100)</f>
        <v/>
      </c>
      <c r="K656">
        <f>J656*(1+((Inputs!$B$12*(1+Inputs!$B$13/100))*0.01+Inputs!$B$14*0.0025)/100)*(1+(Inputs!$B$15+B673)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659=TRUE,F659,0)/100)*(1+IF(C667=TRUE,F667,0)/100)^5*(1+(IF(Skills!A12="CHAIN_LIGHTNING",Inputs!$B$17+((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+1)+(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671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656)</f>
        <v/>
      </c>
      <c r="L656">
        <f>K656*(MIN(Inputs!$B$22+(F662-Calc!F18),(Inputs!$B$23+(IF(ArtifactsInput!$M$15,CHOOSE(ArtifactsInput!$N$15+1,25,30,35,40,45,50)/100*(Inputs!$B$11-Inputs!$B$11),0))))/100+(Inputs!$B$23+(IF(ArtifactsInput!$M$15,CHOOSE(ArtifactsInput!$N$15+1,25,30,35,40,45,50)/100*(Inputs!$B$11-Inputs!$B$11),0)))/100)/2</f>
        <v/>
      </c>
      <c r="M656">
        <f>L656*(1+(Inputs!$B$10+(F665-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6">
        <f>L656*(1-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656*(MIN((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6">
        <f>(1-Summary!$B$11)*S656+Summary!$B$11*U656</f>
        <v/>
      </c>
      <c r="P656">
        <f>IF(B681=0,0,O656/B681)</f>
        <v/>
      </c>
      <c r="Q656">
        <f>IFERROR(1/(IF(Inputs!$B$38="pvp",15,MAX(0.1,Skills!D12-IF(TRUE=TRUE,Inputs!$B$32,0)))*(1-IF(AND(ArtifactsInput!$M$27,Inputs!$B$4="Chapter Hunt"),CHOOSE(ArtifactsInput!$N$27+1,20,24,28,32,36,40),0)/100)),0)</f>
        <v/>
      </c>
      <c r="R656">
        <f>IF(AND(Inputs!$B$38&lt;&gt;"pvp",Inputs!$B$43&gt;0),IF(MAX(0,Inputs!$B$43-B678)&lt;=0,0,(INT(MAX(0,Inputs!$B$43-B678)/(IF(Inputs!$B$38="pvp",15,MAX(0.1,Skills!D12-IF(TRUE=TRUE,Inputs!$B$32,0)))*(1-IF(AND(ArtifactsInput!$M$27,Inputs!$B$4="Chapter Hunt"),CHOOSE(ArtifactsInput!$N$27+1,20,24,28,32,36,40),0)/100)))+1)),0)</f>
        <v/>
      </c>
      <c r="S656">
        <f>IF(C656,(H656*N656*IF(AND(Inputs!$B$38&lt;&gt;"pvp",Inputs!$B$43&gt;0),((Skills!F12*((R656-1)*IF(Skills!G12&gt;0,Skills!H12/Skills!G12,1)+IF(Skills!G12&gt;0,MIN(Skills!H12,MAX(0,MAX(0,Inputs!$B$43-B678)-((R656-1)*(IF(Inputs!$B$38="pvp",15,MAX(0.1,Skills!D12-IF(TRUE=TRUE,Inputs!$B$32,0)))*(1-IF(AND(ArtifactsInput!$M$27,Inputs!$B$4="Chapter Hunt"),CHOOSE(ArtifactsInput!$N$27+1,20,24,28,32,36,40),0)/100)))))/Skills!G12,1)))/Inputs!$B$43),G656*Q656))*IF(Inputs!$B$38="pvp",1,1+(Inputs!$B$20+Skills!O12+B672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656*(1-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656*(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656*(1-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656*(MIN(100,(Inputs!$B$9+((F664-Calc!F20)+(F663-Calc!F19))+(ArtifactsInput!$M$24-ArtifactsInput!$M$24)*CHOOSE(ArtifactsInput!$N$24+1,10,12,14,16,18,20)+(IF(AND(Inputs!$B$38&lt;&gt;"pvp",Inputs!$B$43=0),1,IF(IF(Inputs!$B$38="pvp",15,Inputs!$B$43)-(B678)&lt;=0,1,MAX(0,IF(Inputs!$B$38="pvp",15,Inputs!$B$43)-MAX(5,B678))/(IF(Inputs!$B$38="pvp",15,Inputs!$B$43)-(B678)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6">
        <f>IF(C656,(H656*N656*IF(AND(Inputs!$B$38&lt;&gt;"pvp",Inputs!$B$43&gt;0),((Skills!F12*((R656-1)*IF(Skills!G12&gt;0,Skills!H12/Skills!G12,1)+IF(Skills!G12&gt;0,MIN(Skills!H12,MAX(0,MAX(0,Inputs!$B$43-B678)-((R656-1)*(IF(Inputs!$B$38="pvp",15,MAX(0.1,Skills!D12-IF(TRUE=TRUE,Inputs!$B$32,0)))*(1-IF(AND(ArtifactsInput!$M$27,Inputs!$B$4="Chapter Hunt"),CHOOSE(ArtifactsInput!$N$27+1,20,24,28,32,36,40),0)/100)))))/Skills!G12,1)))/Inputs!$B$43),G656*Q656))*IF(Inputs!$B$38="pvp",1,(1+(Inputs!$B$21+Skills!P12+B672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7">
      <c r="A657">
        <f>Skills!A13</f>
        <v/>
      </c>
      <c r="B657">
        <f>Skills!B13</f>
        <v/>
      </c>
      <c r="C657">
        <f>Inputs!$B$3&gt;=49</f>
        <v/>
      </c>
      <c r="D657">
        <f>IF(Skills!C13=1,60+Inputs!$B$25+Inputs!$B$29,IF(Skills!C13=2,90+Inputs!$B$26+Inputs!$B$29,IF(Skills!C13=3,120+Inputs!$B$27+Inputs!$B$29,MAX(0,(Inputs!$B$3-100)*3)+Inputs!$B$28+Inputs!$B$29)))</f>
        <v/>
      </c>
      <c r="E657">
        <f>INDEX(FactorTable!$B$2:$Y$301, MATCH(ROUND(MIN(300,MAX(1,D657)),0), FactorTable!$A$2:$A$301,0), Skills!L13+1)</f>
        <v/>
      </c>
      <c r="F657">
        <f>IF(Skills!M13=TRUE,(Skills!K13/10)*(E657/1000),Skills!K13/10)+Skills!N13</f>
        <v/>
      </c>
      <c r="G657">
        <f>Calc!G13</f>
        <v/>
      </c>
      <c r="H657">
        <f>Calc!H13</f>
        <v/>
      </c>
      <c r="I657">
        <f>IF(Skills!T13&lt;&gt;"",1+(Skills!T13/10)*(Z647/1000)/100,1)</f>
        <v/>
      </c>
      <c r="J657" t="inlineStr"/>
      <c r="K657" t="inlineStr"/>
      <c r="L657" t="inlineStr"/>
      <c r="M657" t="inlineStr"/>
      <c r="N657" t="inlineStr"/>
      <c r="O657">
        <f>(1-Summary!$B$11)*S657+Summary!$B$11*U657</f>
        <v/>
      </c>
      <c r="P657">
        <f>IF(B681=0,0,O657/B681)</f>
        <v/>
      </c>
      <c r="Q657">
        <f>IFERROR(1/(IF(Inputs!$B$38="pvp",15,MAX(0.1,Skills!D13-IF(TRUE=TRUE,Inputs!$B$32,0)))*(1-IF(AND(ArtifactsInput!$M$27,Inputs!$B$4="Chapter Hunt"),CHOOSE(ArtifactsInput!$N$27+1,20,24,28,32,36,40),0)/100)),0)</f>
        <v/>
      </c>
      <c r="R657" t="n">
        <v>0</v>
      </c>
      <c r="S657" t="n">
        <v>0</v>
      </c>
      <c r="U657" t="n">
        <v>0</v>
      </c>
    </row>
    <row r="658">
      <c r="A658">
        <f>Skills!A14</f>
        <v/>
      </c>
      <c r="B658">
        <f>Skills!B14</f>
        <v/>
      </c>
      <c r="C658">
        <f>Inputs!$B$3&gt;=72</f>
        <v/>
      </c>
      <c r="D658">
        <f>IF(Skills!C14=1,60+Inputs!$B$25+Inputs!$B$29,IF(Skills!C14=2,90+Inputs!$B$26+Inputs!$B$29,IF(Skills!C14=3,120+Inputs!$B$27+Inputs!$B$29,MAX(0,(Inputs!$B$3-100)*3)+Inputs!$B$28+Inputs!$B$29)))</f>
        <v/>
      </c>
      <c r="E658">
        <f>INDEX(FactorTable!$B$2:$Y$301, MATCH(ROUND(MIN(300,MAX(1,D658)),0), FactorTable!$A$2:$A$301,0), Skills!L14+1)</f>
        <v/>
      </c>
      <c r="F658">
        <f>IF(Skills!M14=TRUE,(Skills!K14/10)*(E658/1000),Skills!K14/10)+Skills!N14</f>
        <v/>
      </c>
      <c r="G658">
        <f>Calc!G14</f>
        <v/>
      </c>
      <c r="H658">
        <f>Calc!H14</f>
        <v/>
      </c>
      <c r="I658">
        <f>IF(Skills!T14&lt;&gt;"",1+(Skills!T14/10)*(Z647/1000)/100,1)</f>
        <v/>
      </c>
      <c r="J658" t="inlineStr"/>
      <c r="K658" t="inlineStr"/>
      <c r="L658" t="inlineStr"/>
      <c r="M658" t="inlineStr"/>
      <c r="N658" t="inlineStr"/>
      <c r="O658">
        <f>(1-Summary!$B$11)*S658+Summary!$B$11*U658</f>
        <v/>
      </c>
      <c r="P658">
        <f>IF(B681=0,0,O658/B681)</f>
        <v/>
      </c>
      <c r="Q658">
        <f>IFERROR(1/(IF(Inputs!$B$38="pvp",15,MAX(0.1,Skills!D14-IF(TRUE=TRUE,Inputs!$B$32,0)))*(1-IF(AND(ArtifactsInput!$M$27,Inputs!$B$4="Chapter Hunt"),CHOOSE(ArtifactsInput!$N$27+1,20,24,28,32,36,40),0)/100)),0)</f>
        <v/>
      </c>
      <c r="R658" t="n">
        <v>0</v>
      </c>
      <c r="S658" t="n">
        <v>0</v>
      </c>
      <c r="U658" t="n">
        <v>0</v>
      </c>
    </row>
    <row r="659">
      <c r="A659">
        <f>Skills!A15</f>
        <v/>
      </c>
      <c r="B659">
        <f>Skills!B15</f>
        <v/>
      </c>
      <c r="C659">
        <f>Inputs!$B$3&gt;=75</f>
        <v/>
      </c>
      <c r="D659">
        <f>IF(Skills!C15=1,60+Inputs!$B$25+Inputs!$B$29,IF(Skills!C15=2,90+Inputs!$B$26+Inputs!$B$29,IF(Skills!C15=3,120+Inputs!$B$27+Inputs!$B$29,MAX(0,(Inputs!$B$3-100)*3)+Inputs!$B$28+Inputs!$B$29)))</f>
        <v/>
      </c>
      <c r="E659">
        <f>INDEX(FactorTable!$B$2:$Y$301, MATCH(ROUND(MIN(300,MAX(1,D659)),0), FactorTable!$A$2:$A$301,0), Skills!L15+1)</f>
        <v/>
      </c>
      <c r="F659">
        <f>IF(Skills!M15=TRUE,(Skills!K15/10)*(E659/1000),Skills!K15/10)+Skills!N15</f>
        <v/>
      </c>
      <c r="G659">
        <f>Calc!G15</f>
        <v/>
      </c>
      <c r="H659">
        <f>Calc!H15</f>
        <v/>
      </c>
      <c r="I659">
        <f>IF(Skills!T15&lt;&gt;"",1+(Skills!T15/10)*(Z647/1000)/100,1)</f>
        <v/>
      </c>
      <c r="J659" t="inlineStr"/>
      <c r="K659" t="inlineStr"/>
      <c r="L659" t="inlineStr"/>
      <c r="M659" t="inlineStr"/>
      <c r="N659" t="inlineStr"/>
      <c r="O659">
        <f>(1-Summary!$B$11)*S659+Summary!$B$11*U659</f>
        <v/>
      </c>
      <c r="P659">
        <f>IF(B681=0,0,O659/B681)</f>
        <v/>
      </c>
      <c r="Q659">
        <f>IFERROR(1/(IF(Inputs!$B$38="pvp",15,MAX(0.1,Skills!D15-IF(TRUE=TRUE,Inputs!$B$32,0)))*(1-IF(AND(ArtifactsInput!$M$27,Inputs!$B$4="Chapter Hunt"),CHOOSE(ArtifactsInput!$N$27+1,20,24,28,32,36,40),0)/100)),0)</f>
        <v/>
      </c>
      <c r="R659" t="n">
        <v>0</v>
      </c>
      <c r="S659" t="n">
        <v>0</v>
      </c>
      <c r="U659" t="n">
        <v>0</v>
      </c>
    </row>
    <row r="660">
      <c r="A660">
        <f>Skills!A16</f>
        <v/>
      </c>
      <c r="B660">
        <f>Skills!B16</f>
        <v/>
      </c>
      <c r="C660">
        <f>Inputs!$B$3&gt;=110</f>
        <v/>
      </c>
      <c r="D660">
        <f>IF(Skills!C16=1,60+Inputs!$B$25+Inputs!$B$29,IF(Skills!C16=2,90+Inputs!$B$26+Inputs!$B$29,IF(Skills!C16=3,120+Inputs!$B$27+Inputs!$B$29,MAX(0,(Inputs!$B$3-100)*3)+Inputs!$B$28+Inputs!$B$29)))</f>
        <v/>
      </c>
      <c r="E660">
        <f>INDEX(FactorTable!$B$2:$Y$301, MATCH(ROUND(MIN(300,MAX(1,D660)),0), FactorTable!$A$2:$A$301,0), Skills!L16+1)</f>
        <v/>
      </c>
      <c r="F660">
        <f>(Skills!K16/10)*(E660/1000)*64/45+Skills!N16</f>
        <v/>
      </c>
      <c r="G660">
        <f>Calc!G16</f>
        <v/>
      </c>
      <c r="H660">
        <f>Calc!H16</f>
        <v/>
      </c>
      <c r="I660">
        <f>IF(Skills!T16&lt;&gt;"",1+(Skills!T16/10)*(Z647/1000)/100,1)</f>
        <v/>
      </c>
      <c r="J660" t="inlineStr"/>
      <c r="K660" t="inlineStr"/>
      <c r="L660" t="inlineStr"/>
      <c r="M660" t="inlineStr"/>
      <c r="N660" t="inlineStr"/>
      <c r="O660">
        <f>(1-Summary!$B$11)*S660+Summary!$B$11*U660</f>
        <v/>
      </c>
      <c r="P660">
        <f>IF(B681=0,0,O660/B681)</f>
        <v/>
      </c>
      <c r="Q660">
        <f>IFERROR(1/(IF(Inputs!$B$38="pvp",15,MAX(0.1,Skills!D16-IF(TRUE=TRUE,Inputs!$B$32,0)))*(1-IF(AND(ArtifactsInput!$M$27,Inputs!$B$4="Chapter Hunt"),CHOOSE(ArtifactsInput!$N$27+1,20,24,28,32,36,40),0)/100)),0)</f>
        <v/>
      </c>
      <c r="R660">
        <f>IF(AND(Inputs!$B$38&lt;&gt;"pvp",Inputs!$B$43&gt;0),IF(Inputs!$B$43&lt;=0,0,(INT(Inputs!$B$43/(IF(Inputs!$B$38="pvp",15,MAX(0.1,Skills!D16-IF(TRUE=TRUE,Inputs!$B$32,0)))*(1-IF(AND(ArtifactsInput!$M$27,Inputs!$B$4="Chapter Hunt"),CHOOSE(ArtifactsInput!$N$27+1,20,24,28,32,36,40),0)/100)))+1)),0)</f>
        <v/>
      </c>
      <c r="S660" t="n">
        <v>0</v>
      </c>
      <c r="U660" t="n">
        <v>0</v>
      </c>
    </row>
    <row r="661">
      <c r="A661">
        <f>Skills!A17</f>
        <v/>
      </c>
      <c r="B661">
        <f>Skills!B17</f>
        <v/>
      </c>
      <c r="C661">
        <f>Inputs!$B$3&gt;=33</f>
        <v/>
      </c>
      <c r="D661">
        <f>IF(Skills!C17=1,60+Inputs!$B$25+Inputs!$B$29,IF(Skills!C17=2,90+Inputs!$B$26+Inputs!$B$29,IF(Skills!C17=3,120+Inputs!$B$27+Inputs!$B$29,MAX(0,(Inputs!$B$3-100)*3)+Inputs!$B$28+Inputs!$B$29)))</f>
        <v/>
      </c>
      <c r="E661">
        <f>INDEX(FactorTable!$B$2:$Y$301, MATCH(ROUND(MIN(300,MAX(1,D661)),0), FactorTable!$A$2:$A$301,0), Skills!L17+1)</f>
        <v/>
      </c>
      <c r="F661">
        <f>IF(Skills!M17=TRUE,(Skills!K17/10)*(E661/1000),Skills!K17/10)+Skills!N17</f>
        <v/>
      </c>
      <c r="G661">
        <f>Calc!G17</f>
        <v/>
      </c>
      <c r="H661">
        <f>Calc!H17</f>
        <v/>
      </c>
      <c r="I661">
        <f>IF(Skills!T17&lt;&gt;"",1+(Skills!T17/10)*(Z647/1000)/100,1)</f>
        <v/>
      </c>
      <c r="J661" t="inlineStr"/>
      <c r="K661" t="inlineStr"/>
      <c r="L661" t="inlineStr"/>
      <c r="M661" t="inlineStr"/>
      <c r="N661" t="inlineStr"/>
      <c r="O661">
        <f>(1-Summary!$B$11)*S661+Summary!$B$11*U661</f>
        <v/>
      </c>
      <c r="P661">
        <f>IF(B681=0,0,O661/B681)</f>
        <v/>
      </c>
      <c r="Q661">
        <f>IFERROR(1/(IF(Inputs!$B$38="pvp",15,MAX(0.1,Skills!D17-IF(TRUE=TRUE,Inputs!$B$32,0)))*(1-IF(AND(ArtifactsInput!$M$27,Inputs!$B$4="Chapter Hunt"),CHOOSE(ArtifactsInput!$N$27+1,20,24,28,32,36,40),0)/100)),0)</f>
        <v/>
      </c>
      <c r="R661" t="n">
        <v>0</v>
      </c>
      <c r="S661" t="n">
        <v>0</v>
      </c>
      <c r="U661" t="n">
        <v>0</v>
      </c>
    </row>
    <row r="662">
      <c r="A662">
        <f>Skills!A18</f>
        <v/>
      </c>
      <c r="B662">
        <f>Skills!B18</f>
        <v/>
      </c>
      <c r="C662">
        <f>Inputs!$B$3&gt;=43</f>
        <v/>
      </c>
      <c r="D662">
        <f>IF(Skills!C18=1,60+Inputs!$B$25+Inputs!$B$29,IF(Skills!C18=2,90+Inputs!$B$26+Inputs!$B$29,IF(Skills!C18=3,120+Inputs!$B$27+Inputs!$B$29,MAX(0,(Inputs!$B$3-100)*3)+Inputs!$B$28+Inputs!$B$29)))</f>
        <v/>
      </c>
      <c r="E662">
        <f>INDEX(FactorTable!$B$2:$Y$301, MATCH(ROUND(MIN(300,MAX(1,D662)),0), FactorTable!$A$2:$A$301,0), Skills!L18+1)</f>
        <v/>
      </c>
      <c r="F662">
        <f>IF(Skills!M18=TRUE,(Skills!K18/10)*(E662/1000),Skills!K18/10)+Skills!N18</f>
        <v/>
      </c>
      <c r="G662">
        <f>Calc!G18</f>
        <v/>
      </c>
      <c r="H662">
        <f>Calc!H18</f>
        <v/>
      </c>
      <c r="I662">
        <f>IF(Skills!T18&lt;&gt;"",1+(Skills!T18/10)*(Z647/1000)/100,1)</f>
        <v/>
      </c>
      <c r="J662" t="inlineStr"/>
      <c r="K662" t="inlineStr"/>
      <c r="L662" t="inlineStr"/>
      <c r="M662" t="inlineStr"/>
      <c r="N662" t="inlineStr"/>
      <c r="O662">
        <f>(1-Summary!$B$11)*S662+Summary!$B$11*U662</f>
        <v/>
      </c>
      <c r="P662">
        <f>IF(B681=0,0,O662/B681)</f>
        <v/>
      </c>
      <c r="Q662">
        <f>IFERROR(1/(IF(Inputs!$B$38="pvp",15,MAX(0.1,Skills!D18-IF(TRUE=TRUE,Inputs!$B$32,0)))*(1-IF(AND(ArtifactsInput!$M$27,Inputs!$B$4="Chapter Hunt"),CHOOSE(ArtifactsInput!$N$27+1,20,24,28,32,36,40),0)/100)),0)</f>
        <v/>
      </c>
      <c r="R662" t="n">
        <v>0</v>
      </c>
      <c r="S662" t="n">
        <v>0</v>
      </c>
      <c r="U662" t="n">
        <v>0</v>
      </c>
    </row>
    <row r="663">
      <c r="A663">
        <f>Skills!A19</f>
        <v/>
      </c>
      <c r="B663">
        <f>Skills!B19</f>
        <v/>
      </c>
      <c r="C663">
        <f>Inputs!$B$3&gt;=50</f>
        <v/>
      </c>
      <c r="D663">
        <f>IF(Skills!C19=1,60+Inputs!$B$25+Inputs!$B$29,IF(Skills!C19=2,90+Inputs!$B$26+Inputs!$B$29,IF(Skills!C19=3,120+Inputs!$B$27+Inputs!$B$29,MAX(0,(Inputs!$B$3-100)*3)+Inputs!$B$28+Inputs!$B$29)))</f>
        <v/>
      </c>
      <c r="E663">
        <f>INDEX(FactorTable!$B$2:$Y$301, MATCH(ROUND(MIN(300,MAX(1,D663)),0), FactorTable!$A$2:$A$301,0), Skills!L19+1)</f>
        <v/>
      </c>
      <c r="F663">
        <f>IF(Skills!M19=TRUE,(Skills!K19/10)*(E663/1000),Skills!K19/10)+Skills!N19</f>
        <v/>
      </c>
      <c r="G663">
        <f>Calc!G19</f>
        <v/>
      </c>
      <c r="H663">
        <f>Calc!H19</f>
        <v/>
      </c>
      <c r="I663">
        <f>IF(Skills!T19&lt;&gt;"",1+(Skills!T19/10)*(Z647/1000)/100,1)</f>
        <v/>
      </c>
      <c r="J663" t="inlineStr"/>
      <c r="K663" t="inlineStr"/>
      <c r="L663" t="inlineStr"/>
      <c r="M663" t="inlineStr"/>
      <c r="N663" t="inlineStr"/>
      <c r="O663">
        <f>(1-Summary!$B$11)*S663+Summary!$B$11*U663</f>
        <v/>
      </c>
      <c r="P663">
        <f>IF(B681=0,0,O663/B681)</f>
        <v/>
      </c>
      <c r="Q663">
        <f>IFERROR(1/(IF(Inputs!$B$38="pvp",15,MAX(0.1,Skills!D19-IF(TRUE=TRUE,Inputs!$B$32,0)))*(1-IF(AND(ArtifactsInput!$M$27,Inputs!$B$4="Chapter Hunt"),CHOOSE(ArtifactsInput!$N$27+1,20,24,28,32,36,40),0)/100)),0)</f>
        <v/>
      </c>
      <c r="R663" t="n">
        <v>0</v>
      </c>
      <c r="S663" t="n">
        <v>0</v>
      </c>
      <c r="U663" t="n">
        <v>0</v>
      </c>
    </row>
    <row r="664">
      <c r="A664">
        <f>Skills!A20</f>
        <v/>
      </c>
      <c r="B664">
        <f>Skills!B20</f>
        <v/>
      </c>
      <c r="C664">
        <f>Inputs!$B$3&gt;=74</f>
        <v/>
      </c>
      <c r="D664">
        <f>IF(Skills!C20=1,60+Inputs!$B$25+Inputs!$B$29,IF(Skills!C20=2,90+Inputs!$B$26+Inputs!$B$29,IF(Skills!C20=3,120+Inputs!$B$27+Inputs!$B$29,MAX(0,(Inputs!$B$3-100)*3)+Inputs!$B$28+Inputs!$B$29)))</f>
        <v/>
      </c>
      <c r="E664">
        <f>INDEX(FactorTable!$B$2:$Y$301, MATCH(ROUND(MIN(300,MAX(1,D664)),0), FactorTable!$A$2:$A$301,0), Skills!L20+1)</f>
        <v/>
      </c>
      <c r="F664">
        <f>IF(Skills!M20=TRUE,(Skills!K20/10)*(E664/1000),Skills!K20/10)+Skills!N20</f>
        <v/>
      </c>
      <c r="G664">
        <f>Calc!G20</f>
        <v/>
      </c>
      <c r="H664">
        <f>Calc!H20</f>
        <v/>
      </c>
      <c r="I664">
        <f>IF(Skills!T20&lt;&gt;"",1+(Skills!T20/10)*(Z647/1000)/100,1)</f>
        <v/>
      </c>
      <c r="J664" t="inlineStr"/>
      <c r="K664" t="inlineStr"/>
      <c r="L664" t="inlineStr"/>
      <c r="M664" t="inlineStr"/>
      <c r="N664" t="inlineStr"/>
      <c r="O664">
        <f>(1-Summary!$B$11)*S664+Summary!$B$11*U664</f>
        <v/>
      </c>
      <c r="P664">
        <f>IF(B681=0,0,O664/B681)</f>
        <v/>
      </c>
      <c r="Q664">
        <f>IFERROR(1/(IF(Inputs!$B$38="pvp",15,MAX(0.1,Skills!D20-IF(TRUE=TRUE,Inputs!$B$32,0)))*(1-IF(AND(ArtifactsInput!$M$27,Inputs!$B$4="Chapter Hunt"),CHOOSE(ArtifactsInput!$N$27+1,20,24,28,32,36,40),0)/100)),0)</f>
        <v/>
      </c>
      <c r="R664" t="n">
        <v>0</v>
      </c>
      <c r="S664" t="n">
        <v>0</v>
      </c>
      <c r="U664" t="n">
        <v>0</v>
      </c>
    </row>
    <row r="665">
      <c r="A665">
        <f>Skills!A21</f>
        <v/>
      </c>
      <c r="B665">
        <f>Skills!B21</f>
        <v/>
      </c>
      <c r="C665">
        <f>Inputs!$B$3&gt;=74</f>
        <v/>
      </c>
      <c r="D665">
        <f>IF(Skills!C21=1,60+Inputs!$B$25+Inputs!$B$29,IF(Skills!C21=2,90+Inputs!$B$26+Inputs!$B$29,IF(Skills!C21=3,120+Inputs!$B$27+Inputs!$B$29,MAX(0,(Inputs!$B$3-100)*3)+Inputs!$B$28+Inputs!$B$29)))</f>
        <v/>
      </c>
      <c r="E665">
        <f>INDEX(FactorTable!$B$2:$Y$301, MATCH(ROUND(MIN(300,MAX(1,D665)),0), FactorTable!$A$2:$A$301,0), Skills!L21+1)</f>
        <v/>
      </c>
      <c r="F665">
        <f>IF(Skills!M21=TRUE,(Skills!K21/10)*(E665/1000),Skills!K21/10)+Skills!N21</f>
        <v/>
      </c>
      <c r="G665">
        <f>Calc!G21</f>
        <v/>
      </c>
      <c r="H665">
        <f>Calc!H21</f>
        <v/>
      </c>
      <c r="I665">
        <f>IF(Skills!T21&lt;&gt;"",1+(Skills!T21/10)*(Z647/1000)/100,1)</f>
        <v/>
      </c>
      <c r="J665" t="inlineStr"/>
      <c r="K665" t="inlineStr"/>
      <c r="L665" t="inlineStr"/>
      <c r="M665" t="inlineStr"/>
      <c r="N665" t="inlineStr"/>
      <c r="O665">
        <f>(1-Summary!$B$11)*S665+Summary!$B$11*U665</f>
        <v/>
      </c>
      <c r="P665">
        <f>IF(B681=0,0,O665/B681)</f>
        <v/>
      </c>
      <c r="Q665">
        <f>IFERROR(1/(IF(Inputs!$B$38="pvp",15,MAX(0.1,Skills!D21-IF(TRUE=TRUE,Inputs!$B$32,0)))*(1-IF(AND(ArtifactsInput!$M$27,Inputs!$B$4="Chapter Hunt"),CHOOSE(ArtifactsInput!$N$27+1,20,24,28,32,36,40),0)/100)),0)</f>
        <v/>
      </c>
      <c r="R665" t="n">
        <v>0</v>
      </c>
      <c r="S665" t="n">
        <v>0</v>
      </c>
      <c r="U665" t="n">
        <v>0</v>
      </c>
    </row>
    <row r="666">
      <c r="A666">
        <f>Skills!A22</f>
        <v/>
      </c>
      <c r="B666">
        <f>Skills!B22</f>
        <v/>
      </c>
      <c r="C666">
        <f>Inputs!$B$3&gt;=117</f>
        <v/>
      </c>
      <c r="D666">
        <f>IF(Skills!C22=1,60+Inputs!$B$25+Inputs!$B$29,IF(Skills!C22=2,90+Inputs!$B$26+Inputs!$B$29,IF(Skills!C22=3,120+Inputs!$B$27+Inputs!$B$29,MAX(0,(Inputs!$B$3-100)*3)+Inputs!$B$28+Inputs!$B$29)))</f>
        <v/>
      </c>
      <c r="E666">
        <f>INDEX(FactorTable!$B$2:$Y$301, MATCH(ROUND(MIN(300,MAX(1,D666)),0), FactorTable!$A$2:$A$301,0), Skills!L22+1)</f>
        <v/>
      </c>
      <c r="F666">
        <f>IF(Skills!M22=TRUE,(Skills!K22/10)*(E666/1000),Skills!K22/10)+Skills!N22</f>
        <v/>
      </c>
      <c r="G666">
        <f>Calc!G22</f>
        <v/>
      </c>
      <c r="H666">
        <f>Calc!H22</f>
        <v/>
      </c>
      <c r="I666">
        <f>IF(Skills!T22&lt;&gt;"",1+(Skills!T22/10)*(Z647/1000)/100,1)</f>
        <v/>
      </c>
      <c r="J666" t="inlineStr"/>
      <c r="K666" t="inlineStr"/>
      <c r="L666" t="inlineStr"/>
      <c r="M666" t="inlineStr"/>
      <c r="N666" t="inlineStr"/>
      <c r="O666">
        <f>(1-Summary!$B$11)*S666+Summary!$B$11*U666</f>
        <v/>
      </c>
      <c r="P666">
        <f>IF(B681=0,0,O666/B681)</f>
        <v/>
      </c>
      <c r="Q666">
        <f>IFERROR(1/(IF(Inputs!$B$38="pvp",15,MAX(0.1,Skills!D22-IF(TRUE=TRUE,Inputs!$B$32,0)))*(1-IF(AND(ArtifactsInput!$M$27,Inputs!$B$4="Chapter Hunt"),CHOOSE(ArtifactsInput!$N$27+1,20,24,28,32,36,40),0)/100)),0)</f>
        <v/>
      </c>
      <c r="R666" t="n">
        <v>0</v>
      </c>
      <c r="S666" t="n">
        <v>0</v>
      </c>
      <c r="U666" t="n">
        <v>0</v>
      </c>
    </row>
    <row r="667">
      <c r="A667">
        <f>Skills!A23</f>
        <v/>
      </c>
      <c r="B667">
        <f>Skills!B23</f>
        <v/>
      </c>
      <c r="C667">
        <f>Inputs!$B$3&gt;=120</f>
        <v/>
      </c>
      <c r="D667">
        <f>IF(Skills!C23=1,60+Inputs!$B$25+Inputs!$B$29,IF(Skills!C23=2,90+Inputs!$B$26+Inputs!$B$29,IF(Skills!C23=3,120+Inputs!$B$27+Inputs!$B$29,MAX(0,(Inputs!$B$3-100)*3)+Inputs!$B$28+Inputs!$B$29)))</f>
        <v/>
      </c>
      <c r="E667">
        <f>INDEX(FactorTable!$B$2:$Y$301, MATCH(ROUND(MIN(300,MAX(1,D667)),0), FactorTable!$A$2:$A$301,0), Skills!L23+1)</f>
        <v/>
      </c>
      <c r="F667">
        <f>IF(Skills!M23=TRUE,(Skills!K23/10)*(E667/1000),Skills!K23/10)+Skills!N23</f>
        <v/>
      </c>
      <c r="G667">
        <f>Calc!G23</f>
        <v/>
      </c>
      <c r="H667">
        <f>Calc!H23</f>
        <v/>
      </c>
      <c r="I667">
        <f>IF(Skills!T23&lt;&gt;"",1+(Skills!T23/10)*(Z647/1000)/100,1)</f>
        <v/>
      </c>
      <c r="J667" t="inlineStr"/>
      <c r="K667" t="inlineStr"/>
      <c r="L667" t="inlineStr"/>
      <c r="M667" t="inlineStr"/>
      <c r="N667" t="inlineStr"/>
      <c r="O667">
        <f>(1-Summary!$B$11)*S667+Summary!$B$11*U667</f>
        <v/>
      </c>
      <c r="P667">
        <f>IF(B681=0,0,O667/B681)</f>
        <v/>
      </c>
      <c r="Q667">
        <f>IFERROR(1/(IF(Inputs!$B$38="pvp",15,MAX(0.1,Skills!D23-IF(TRUE=TRUE,Inputs!$B$32,0)))*(1-IF(AND(ArtifactsInput!$M$27,Inputs!$B$4="Chapter Hunt"),CHOOSE(ArtifactsInput!$N$27+1,20,24,28,32,36,40),0)/100)),0)</f>
        <v/>
      </c>
      <c r="R667" t="n">
        <v>0</v>
      </c>
      <c r="S667" t="n">
        <v>0</v>
      </c>
      <c r="U667" t="n">
        <v>0</v>
      </c>
    </row>
    <row r="668">
      <c r="A668">
        <f>Skills!A24</f>
        <v/>
      </c>
      <c r="B668">
        <f>Skills!B24</f>
        <v/>
      </c>
      <c r="C668">
        <f>TRUE</f>
        <v/>
      </c>
      <c r="D668">
        <f>IF(Skills!C24=1,60+Inputs!$B$25+Inputs!$B$29,IF(Skills!C24=2,90+Inputs!$B$26+Inputs!$B$29,IF(Skills!C24=3,120+Inputs!$B$27+Inputs!$B$29,MAX(0,(Inputs!$B$3-100)*3)+Inputs!$B$28+Inputs!$B$29)))</f>
        <v/>
      </c>
      <c r="E668">
        <f>INDEX(FactorTable!$B$2:$Y$301, MATCH(ROUND(MIN(300,MAX(1,D668)),0), FactorTable!$A$2:$A$301,0), Skills!L24+1)</f>
        <v/>
      </c>
      <c r="F668">
        <f>IF(Skills!M24=TRUE,(Skills!K24/10)*(E668/1000),Skills!K24/10)+Skills!N24</f>
        <v/>
      </c>
      <c r="G668">
        <f>Calc!G24</f>
        <v/>
      </c>
      <c r="H668">
        <f>Calc!H24</f>
        <v/>
      </c>
      <c r="I668">
        <f>IF(Skills!T24&lt;&gt;"",1+(Skills!T24/10)*(Z647/1000)/100,1)</f>
        <v/>
      </c>
      <c r="J668" t="inlineStr"/>
      <c r="K668" t="inlineStr"/>
      <c r="L668" t="inlineStr"/>
      <c r="M668" t="inlineStr"/>
      <c r="N668" t="inlineStr"/>
      <c r="O668">
        <f>(1-Summary!$B$11)*S668+Summary!$B$11*U668</f>
        <v/>
      </c>
      <c r="P668">
        <f>IF(B681=0,0,O668/B681)</f>
        <v/>
      </c>
      <c r="Q668">
        <f>IFERROR(1/(IF(Inputs!$B$38="pvp",15,MAX(0.1,Skills!D24-IF(TRUE=TRUE,Inputs!$B$32,0)))*(1-IF(AND(ArtifactsInput!$M$27,Inputs!$B$4="Chapter Hunt"),CHOOSE(ArtifactsInput!$N$27+1,20,24,28,32,36,40),0)/100)),0)</f>
        <v/>
      </c>
      <c r="R668">
        <f>IF(AND(Inputs!$B$38&lt;&gt;"pvp",Inputs!$B$43&gt;0),IF(Inputs!$B$43&lt;=0,0,(INT(Inputs!$B$43/(IF(Inputs!$B$38="pvp",15,MAX(0.1,Skills!D24-IF(TRUE=TRUE,Inputs!$B$32,0)))*(1-IF(AND(ArtifactsInput!$M$27,Inputs!$B$4="Chapter Hunt"),CHOOSE(ArtifactsInput!$N$27+1,20,24,28,32,36,40),0)/100)))+1)),0)</f>
        <v/>
      </c>
      <c r="S668" t="n">
        <v>0</v>
      </c>
      <c r="U668" t="n">
        <v>0</v>
      </c>
    </row>
    <row r="671">
      <c r="A671" t="inlineStr">
        <is>
          <t>Average Buff Multiplier (Magic Guard + Meditation + Artifact Attack%, summed; then Infinity)</t>
        </is>
      </c>
      <c r="B671">
        <f>(1+(IF(C647=TRUE,F647*IF(AND(Inputs!$B$38&lt;&gt;"pvp",Inputs!$B$43&gt;0),(((R647-1)*MIN((Skills!S3*(1+(Inputs!$B$34)/100)),(1/Q647))+MIN((Skills!S3*(1+(Inputs!$B$34)/100)),MAX(0,Inputs!$B$43-((R647-1)*(1/Q647)))))/Inputs!$B$43),IF(Inputs!$B$38="pvp",MIN((Skills!S3*(1+(Inputs!$B$34)/100)),15)/15,MIN(1,(Skills!S3*(1+(Inputs!$B$34)/100))/(1/Q647)))),0)+IF(C648=TRUE,F648*IF(AND(Inputs!$B$38&lt;&gt;"pvp",Inputs!$B$43&gt;0),(((R648-1)*MIN((Skills!S4*(1+(Inputs!$B$34)/100)),(1/Q648))+MIN((Skills!S4*(1+(Inputs!$B$34)/100)),MAX(0,Inputs!$B$43-((R648-1)*(1/Q648)))))/Inputs!$B$43),IF(Inputs!$B$38="pvp",MIN((Skills!S4*(1+(Inputs!$B$34)/100)),15)/15,MIN(1,(Skills!S4*(1+(Inputs!$B$34)/100))/(1/Q648)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660=TRUE,(1+F660*IF(AND(Inputs!$B$38&lt;&gt;"pvp",Inputs!$B$43&gt;0),(((R660-1)*MIN((Skills!S16*(1+(Inputs!$B$34)/100)),(1/Q660))+MIN((Skills!S16*(1+(Inputs!$B$34)/100)),MAX(0,Inputs!$B$43-((R660-1)*(1/Q660)))))/Inputs!$B$43),IF(Inputs!$B$38="pvp",MIN((Skills!S16*(1+(Inputs!$B$34)/100)),15)/15,MIN(1,(Skills!S16*(1+(Inputs!$B$34)/100))/(1/Q660))))/100),1)</f>
        <v/>
      </c>
    </row>
    <row r="672">
      <c r="A672" t="inlineStr">
        <is>
          <t>Monster Damage Taken Bonus % (Freezing Breath - Weaken + Elemental Reset + Artifact Enemy Damage Taken, summed)</t>
        </is>
      </c>
      <c r="B672">
        <f>IF(Inputs!$B$3&gt;=118,15*IF(Inputs!$B$38="pvp",MIN((30*(1+(Inputs!$B$34)/100)),15)/15,MIN(1,(30*(1+(Inputs!$B$34)/100))/(1/Q652))),0)+IF(C658=TRUE,F658,0)+(IF(AND(ArtifactsInput!$M$35,Inputs!$B$4&lt;&gt;"Chapter Hunt"),CHOOSE(ArtifactsInput!$N$35+1,15,18,21,24,27,30)*(1-EXP(-(0.2*B675)*5)),0)+IF(AND(ArtifactsInput!$M$22,Inputs!$B$4&lt;&gt;"Chapter Hunt"),CHOOSE(ArtifactsInput!$N$22+1,10,12,14,16,18,20)*((0*(((0.15*B675*5))^0/1)+1*(((0.15*B675*5))^1/1)+2*(((0.15*B675*5))^2/2)+3*(((0.15*B675*5))^3/6)+4*(((0.15*B675*5))^4/24)+5*(((0.15*B675*5))^5/120))/((((0.15*B675*5))^0/1)+(((0.15*B675*5))^1/1)+(((0.15*B675*5))^2/2)+(((0.15*B675*5))^3/6)+(((0.15*B675*5))^4/24)+(((0.15*B675*5))^5/120))),0))</f>
        <v/>
      </c>
    </row>
    <row r="673">
      <c r="A673" t="inlineStr">
        <is>
          <t>Damage % Bonus (Frozen Break + Frost Clutch, flat)</t>
        </is>
      </c>
      <c r="B673">
        <f>IF(Inputs!$B$3&gt;=66,15,0)+IF(Inputs!$B$3&gt;=98,10,0)+IF(Inputs!$B$3&gt;=125,20,0)</f>
        <v/>
      </c>
    </row>
    <row r="674">
      <c r="A674" t="inlineStr">
        <is>
          <t>Attack Speed Bonus % (MP Eater - MP Boost, always-on + Nimble Feet, duty-cycle averaged)</t>
        </is>
      </c>
      <c r="B674">
        <f>IF(C657=TRUE,F657+(F661-Calc!F17),0)+((C668=TRUE)*F668*IF(AND(Inputs!$B$38&lt;&gt;"pvp",Inputs!$B$43&gt;0),(((R668-1)*MIN((Skills!S24*(1+(Inputs!$B$34)/100)),(1/Q668))+MIN((Skills!S24*(1+(Inputs!$B$34)/100)),MAX(0,Inputs!$B$43-((R668-1)*(1/Q668)))))/Inputs!$B$43),IF(Inputs!$B$38="pvp",MIN((Skills!S24*(1+(Inputs!$B$34)/100)),15)/15,MIN(1,(Skills!S24*(1+(Inputs!$B$34)/100))/(1/Q668)))))</f>
        <v/>
      </c>
    </row>
    <row r="675">
      <c r="A675" t="inlineStr">
        <is>
          <t>Actions Per Second</t>
        </is>
      </c>
      <c r="B675">
        <f>1+MIN(150,150*(1-(1-(Inputs!$B$11+(ArtifactsInput!$M$15-ArtifactsInput!$M$15)*CHOOSE(ArtifactsInput!$N$15+1,8,9.6,11.2,12.8,14.4,16))/150)*(1-B674/150)))/100</f>
        <v/>
      </c>
    </row>
    <row r="676">
      <c r="A676" t="inlineStr">
        <is>
          <t>Skill + Buff Cast Rate</t>
        </is>
      </c>
      <c r="B676">
        <f>IF(AND(Inputs!$B$38&lt;&gt;"pvp",Inputs!$B$43&gt;0),SUMPRODUCT((Skills!E2:E24=TRUE)*(C646:C668=TRUE)*R646:R668)/Inputs!$B$43,SUMPRODUCT((Skills!E2:E24=TRUE)*(C646:C668=TRUE)*Q646:Q668))</f>
        <v/>
      </c>
    </row>
    <row r="677">
      <c r="A677" t="inlineStr">
        <is>
          <t>Chain Lightning Casts Per Second</t>
        </is>
      </c>
      <c r="B677">
        <f>MAX(0,B675-B676)</f>
        <v/>
      </c>
    </row>
    <row r="678">
      <c r="A678" t="inlineStr">
        <is>
          <t>Buff-Casting Startup Delay (s, fixed-duration only)</t>
        </is>
      </c>
      <c r="B678">
        <f>IF(AND(Inputs!$B$38&lt;&gt;"pvp",Inputs!$B$43&gt;0),SUMPRODUCT((Skills!S2:S24&gt;0)*(Skills!E2:E24=TRUE)*(C646:C668=TRUE))/B675,0)</f>
        <v/>
      </c>
    </row>
    <row r="679">
      <c r="A679" t="inlineStr">
        <is>
          <t>Boss-Only Total DPS (this block's swept value)</t>
        </is>
      </c>
      <c r="B679">
        <f>SUM(S646:S668)</f>
        <v/>
      </c>
    </row>
    <row r="680">
      <c r="A680" t="inlineStr">
        <is>
          <t>Normal-Only Total DPS (this block's swept value)</t>
        </is>
      </c>
      <c r="B680">
        <f>SUM(U646:U668)</f>
        <v/>
      </c>
    </row>
    <row r="681">
      <c r="A681" s="6" t="inlineStr">
        <is>
          <t>TOTAL DPS</t>
        </is>
      </c>
      <c r="B681" s="6">
        <f>SUM(O646:O668)</f>
        <v/>
      </c>
    </row>
    <row r="682">
      <c r="A682" t="inlineStr">
        <is>
          <t>Blizzard Final Attack trigger rate (this block's own Q/R)</t>
        </is>
      </c>
      <c r="B682">
        <f>IF(AND(Inputs!$B$38&lt;&gt;"pvp",Inputs!$B$43&gt;0),(((C649=TRUE)*R649*1)+((C650=TRUE)*R650*1)+((C652=TRUE)*R652*1)+((C653=TRUE)*R653*3)+((C655=TRUE)*R655*1))/Inputs!$B$43,((C649=TRUE)*Q649*1)+((C650=TRUE)*Q650*1)+((C652=TRUE)*Q652*1)+((C653=TRUE)*Q653*3)+((C655=TRUE)*Q655*1))+B677</f>
        <v/>
      </c>
    </row>
    <row r="685">
      <c r="A685" s="6" t="inlineStr">
        <is>
          <t>Stat: Skill Level Bonus — 1st Job</t>
        </is>
      </c>
    </row>
    <row r="686">
      <c r="A686" s="5" t="inlineStr">
        <is>
          <t>Key</t>
        </is>
      </c>
      <c r="B686" s="5" t="inlineStr">
        <is>
          <t>Name</t>
        </is>
      </c>
      <c r="C686" s="5" t="inlineStr">
        <is>
          <t>Unlocked</t>
        </is>
      </c>
      <c r="D686" s="5" t="inlineStr">
        <is>
          <t>InputLevel</t>
        </is>
      </c>
      <c r="E686" s="5" t="inlineStr">
        <is>
          <t>Factor</t>
        </is>
      </c>
      <c r="F686" s="5" t="inlineStr">
        <is>
          <t>CoefficientPercent</t>
        </is>
      </c>
      <c r="G686" s="5" t="inlineStr">
        <is>
          <t>EffectiveHits</t>
        </is>
      </c>
      <c r="H686" s="5" t="inlineStr">
        <is>
          <t>ProcProbability</t>
        </is>
      </c>
      <c r="I686" s="5" t="inlineStr">
        <is>
          <t>MapleHeroMultiplier</t>
        </is>
      </c>
      <c r="J686" s="5" t="inlineStr">
        <is>
          <t>BaseDamage</t>
        </is>
      </c>
      <c r="K686" s="5" t="inlineStr">
        <is>
          <t>BaseHitDamage</t>
        </is>
      </c>
      <c r="L686" s="5" t="inlineStr">
        <is>
          <t>NonCritAvg</t>
        </is>
      </c>
      <c r="M686" s="5" t="inlineStr">
        <is>
          <t>CritAvg</t>
        </is>
      </c>
      <c r="N686" s="5" t="inlineStr">
        <is>
          <t>ExpectedDamage(perHit)</t>
        </is>
      </c>
      <c r="O686" s="5" t="inlineStr">
        <is>
          <t>DPS</t>
        </is>
      </c>
      <c r="P686" s="5" t="inlineStr">
        <is>
          <t>% of Total</t>
        </is>
      </c>
      <c r="R686" t="inlineStr">
        <is>
          <t>helpers</t>
        </is>
      </c>
    </row>
    <row r="687">
      <c r="A687">
        <f>Skills!A2</f>
        <v/>
      </c>
      <c r="B687">
        <f>Skills!B2</f>
        <v/>
      </c>
      <c r="C687">
        <f>Inputs!$B$3&gt;=100</f>
        <v/>
      </c>
      <c r="D687" t="inlineStr"/>
      <c r="E687" t="inlineStr"/>
      <c r="F687">
        <f>T689+Skills!N2</f>
        <v/>
      </c>
      <c r="G687">
        <f>Calc!G2</f>
        <v/>
      </c>
      <c r="H687">
        <f>Calc!H2</f>
        <v/>
      </c>
      <c r="I687">
        <f>IF(Skills!T2&lt;&gt;"",1+(Skills!T2/10)*(Z688/1000)/100,1)</f>
        <v/>
      </c>
      <c r="J687">
        <f>((Inputs!$B$6*(1+Inputs!$B$7/100))+(((Inputs!$B$12*(1+Inputs!$B$13/100))-(Inputs!$B$12*(1+Inputs!$B$13/100)))+0.25*(Inputs!$B$14-Inputs!$B$14))*(1+Inputs!$B$7/100))*(F687/100)</f>
        <v/>
      </c>
      <c r="K687">
        <f>J687*(1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2="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687)</f>
        <v/>
      </c>
      <c r="L687">
        <f>K687*(MIN(Inputs!$B$22+(F703-Calc!F18),(Inputs!$B$23+(IF(ArtifactsInput!$M$15,CHOOSE(ArtifactsInput!$N$15+1,25,30,35,40,45,50)/100*(Inputs!$B$11-Inputs!$B$11),0))))/100+(Inputs!$B$23+(IF(ArtifactsInput!$M$15,CHOOSE(ArtifactsInput!$N$15+1,25,30,35,40,45,50)/100*(Inputs!$B$11-Inputs!$B$11),0)))/100)/2</f>
        <v/>
      </c>
      <c r="M687">
        <f>L687*(1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87">
        <f>L687*(1-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687*(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87">
        <f>(1-Summary!$B$11)*S687+Summary!$B$11*U687</f>
        <v/>
      </c>
      <c r="P687">
        <f>IF(B722=0,0,O687/B722)</f>
        <v/>
      </c>
      <c r="Q687">
        <f>IFERROR(1/(IF(Inputs!$B$38="pvp",15,MAX(0.1,Skills!D2-IF(TRUE=TRUE,Inputs!$B$32,0)))*(1-IF(AND(ArtifactsInput!$M$27,Inputs!$B$4="Chapter Hunt"),CHOOSE(ArtifactsInput!$N$27+1,20,24,28,32,36,40),0)/100)),0)</f>
        <v/>
      </c>
      <c r="R687" t="n">
        <v>0</v>
      </c>
      <c r="S687">
        <f>IF(C687,(Skills!F2*N687*B718)*IF(Inputs!$B$38="pvp",1,1+(Inputs!$B$20+Skills!O2+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687*(1-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687*(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687*(1-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687*(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687">
        <f>MAX(0,(Inputs!$B$3-100)*3)+Inputs!$B$28+Inputs!$B$29</f>
        <v/>
      </c>
      <c r="U687">
        <f>IF(C687,(Skills!F2*N687*B718)*IF(Inputs!$B$38="pvp",1,(1+(Inputs!$B$21+Skills!P2+B713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687">
        <f>MAX(0,(Inputs!$B$3-100)*3)+Inputs!$B$28+Inputs!$B$29</f>
        <v/>
      </c>
    </row>
    <row r="688">
      <c r="A688">
        <f>Skills!A3</f>
        <v/>
      </c>
      <c r="B688">
        <f>Skills!B3</f>
        <v/>
      </c>
      <c r="C688">
        <f>Inputs!$B$3&gt;=15</f>
        <v/>
      </c>
      <c r="D688">
        <f>IF(Skills!C3=1,60+(Inputs!$B$25+1)+Inputs!$B$29,IF(Skills!C3=2,90+Inputs!$B$26+Inputs!$B$29,IF(Skills!C3=3,120+Inputs!$B$27+Inputs!$B$29,MAX(0,(Inputs!$B$3-100)*3)+Inputs!$B$28+Inputs!$B$29)))</f>
        <v/>
      </c>
      <c r="E688">
        <f>INDEX(FactorTable!$B$2:$Y$301, MATCH(ROUND(MIN(300,MAX(1,D688)),0), FactorTable!$A$2:$A$301,0), Skills!L3+1)</f>
        <v/>
      </c>
      <c r="F688">
        <f>IF(Skills!M3=TRUE,(Skills!K3/10)*(E688/1000),Skills!K3/10)+Skills!N3</f>
        <v/>
      </c>
      <c r="G688">
        <f>Calc!G3</f>
        <v/>
      </c>
      <c r="H688">
        <f>Calc!H3</f>
        <v/>
      </c>
      <c r="I688">
        <f>IF(Skills!T3&lt;&gt;"",1+(Skills!T3/10)*(Z688/1000)/100,1)</f>
        <v/>
      </c>
      <c r="J688" t="inlineStr"/>
      <c r="K688" t="inlineStr"/>
      <c r="L688" t="inlineStr"/>
      <c r="M688" t="inlineStr"/>
      <c r="N688" t="inlineStr"/>
      <c r="O688">
        <f>(1-Summary!$B$11)*S688+Summary!$B$11*U688</f>
        <v/>
      </c>
      <c r="P688">
        <f>IF(B722=0,0,O688/B722)</f>
        <v/>
      </c>
      <c r="Q688">
        <f>IFERROR(1/(IF(Inputs!$B$38="pvp",15,MAX(0.1,Skills!D3-IF(TRUE=TRUE,Inputs!$B$32,0)))*(1-IF(AND(ArtifactsInput!$M$27,Inputs!$B$4="Chapter Hunt"),CHOOSE(ArtifactsInput!$N$27+1,20,24,28,32,36,40),0)/100)),0)</f>
        <v/>
      </c>
      <c r="R688">
        <f>IF(AND(Inputs!$B$38&lt;&gt;"pvp",Inputs!$B$43&gt;0),IF(Inputs!$B$43&lt;=0,0,(INT(Inputs!$B$43/(IF(Inputs!$B$38="pvp",15,MAX(0.1,Skills!D3-IF(TRUE=TRUE,Inputs!$B$32,0)))*(1-IF(AND(ArtifactsInput!$M$27,Inputs!$B$4="Chapter Hunt"),CHOOSE(ArtifactsInput!$N$27+1,20,24,28,32,36,40),0)/100)))+1)),0)</f>
        <v/>
      </c>
      <c r="S688" t="n">
        <v>0</v>
      </c>
      <c r="T688">
        <f>INDEX(FactorTable!$B$2:$Y$301, MATCH(ROUND(MIN(300,MAX(1,T687)),0), FactorTable!$A$2:$A$301,0), 22)</f>
        <v/>
      </c>
      <c r="U688" t="n">
        <v>0</v>
      </c>
      <c r="Z688">
        <f>INDEX(FactorTable!$B$2:$Y$301, MATCH(ROUND(MIN(300,MAX(1,Z687)),0), FactorTable!$A$2:$A$301,0), 24)</f>
        <v/>
      </c>
    </row>
    <row r="689">
      <c r="A689">
        <f>Skills!A4</f>
        <v/>
      </c>
      <c r="B689">
        <f>Skills!B4</f>
        <v/>
      </c>
      <c r="C689">
        <f>Inputs!$B$3&gt;=40</f>
        <v/>
      </c>
      <c r="D689">
        <f>IF(Skills!C4=1,60+(Inputs!$B$25+1)+Inputs!$B$29,IF(Skills!C4=2,90+Inputs!$B$26+Inputs!$B$29,IF(Skills!C4=3,120+Inputs!$B$27+Inputs!$B$29,MAX(0,(Inputs!$B$3-100)*3)+Inputs!$B$28+Inputs!$B$29)))</f>
        <v/>
      </c>
      <c r="E689">
        <f>INDEX(FactorTable!$B$2:$Y$301, MATCH(ROUND(MIN(300,MAX(1,D689)),0), FactorTable!$A$2:$A$301,0), Skills!L4+1)</f>
        <v/>
      </c>
      <c r="F689">
        <f>IF(Skills!M4=TRUE,(Skills!K4/10)*(E689/1000),Skills!K4/10)+Skills!N4</f>
        <v/>
      </c>
      <c r="G689">
        <f>Calc!G4</f>
        <v/>
      </c>
      <c r="H689">
        <f>Calc!H4</f>
        <v/>
      </c>
      <c r="I689">
        <f>IF(Skills!T4&lt;&gt;"",1+(Skills!T4/10)*(Z688/1000)/100,1)</f>
        <v/>
      </c>
      <c r="J689" t="inlineStr"/>
      <c r="K689" t="inlineStr"/>
      <c r="L689" t="inlineStr"/>
      <c r="M689" t="inlineStr"/>
      <c r="N689" t="inlineStr"/>
      <c r="O689">
        <f>(1-Summary!$B$11)*S689+Summary!$B$11*U689</f>
        <v/>
      </c>
      <c r="P689">
        <f>IF(B722=0,0,O689/B722)</f>
        <v/>
      </c>
      <c r="Q689">
        <f>IFERROR(1/(IF(Inputs!$B$38="pvp",15,MAX(0.1,Skills!D4-IF(TRUE=TRUE,Inputs!$B$32,0)))*(1-IF(AND(ArtifactsInput!$M$27,Inputs!$B$4="Chapter Hunt"),CHOOSE(ArtifactsInput!$N$27+1,20,24,28,32,36,40),0)/100)),0)</f>
        <v/>
      </c>
      <c r="R689">
        <f>IF(AND(Inputs!$B$38&lt;&gt;"pvp",Inputs!$B$43&gt;0),IF(Inputs!$B$43&lt;=0,0,(INT(Inputs!$B$43/(IF(Inputs!$B$38="pvp",15,MAX(0.1,Skills!D4-IF(TRUE=TRUE,Inputs!$B$32,0)))*(1-IF(AND(ArtifactsInput!$M$27,Inputs!$B$4="Chapter Hunt"),CHOOSE(ArtifactsInput!$N$27+1,20,24,28,32,36,40),0)/100)))+1)),0)</f>
        <v/>
      </c>
      <c r="S689" t="n">
        <v>0</v>
      </c>
      <c r="T689">
        <f>290*T688/1000</f>
        <v/>
      </c>
      <c r="U689" t="n">
        <v>0</v>
      </c>
    </row>
    <row r="690">
      <c r="A690">
        <f>Skills!A5</f>
        <v/>
      </c>
      <c r="B690">
        <f>Skills!B5</f>
        <v/>
      </c>
      <c r="C690">
        <f>Inputs!$B$3&gt;=38</f>
        <v/>
      </c>
      <c r="D690">
        <f>IF(Skills!C5=1,60+(Inputs!$B$25+1)+Inputs!$B$29,IF(Skills!C5=2,90+Inputs!$B$26+Inputs!$B$29,IF(Skills!C5=3,120+Inputs!$B$27+Inputs!$B$29,MAX(0,(Inputs!$B$3-100)*3)+Inputs!$B$28+Inputs!$B$29)))</f>
        <v/>
      </c>
      <c r="E690">
        <f>INDEX(FactorTable!$B$2:$Y$301, MATCH(ROUND(MIN(300,MAX(1,D690)),0), FactorTable!$A$2:$A$301,0), Skills!L5+1)</f>
        <v/>
      </c>
      <c r="F690">
        <f>IF(Skills!M5=TRUE,(Skills!K5/10)*(E690/1000),Skills!K5/10)+Skills!N5</f>
        <v/>
      </c>
      <c r="G690">
        <f>Calc!G5</f>
        <v/>
      </c>
      <c r="H690">
        <f>Calc!H5</f>
        <v/>
      </c>
      <c r="I690">
        <f>IF(Skills!T5&lt;&gt;"",1+(Skills!T5/10)*(Z688/1000)/100,1)</f>
        <v/>
      </c>
      <c r="J690">
        <f>((Inputs!$B$6*(1+Inputs!$B$7/100))+(((Inputs!$B$12*(1+Inputs!$B$13/100))-(Inputs!$B$12*(1+Inputs!$B$13/100)))+0.25*(Inputs!$B$14-Inputs!$B$14))*(1+Inputs!$B$7/100))*(F690/100)</f>
        <v/>
      </c>
      <c r="K690">
        <f>J690*(1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5="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690)</f>
        <v/>
      </c>
      <c r="L690">
        <f>K690*(MIN(Inputs!$B$22+(F703-Calc!F18),(Inputs!$B$23+(IF(ArtifactsInput!$M$15,CHOOSE(ArtifactsInput!$N$15+1,25,30,35,40,45,50)/100*(Inputs!$B$11-Inputs!$B$11),0))))/100+(Inputs!$B$23+(IF(ArtifactsInput!$M$15,CHOOSE(ArtifactsInput!$N$15+1,25,30,35,40,45,50)/100*(Inputs!$B$11-Inputs!$B$11),0)))/100)/2</f>
        <v/>
      </c>
      <c r="M690">
        <f>L690*(1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0">
        <f>L690*(1-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690*(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0">
        <f>(1-Summary!$B$11)*S690+Summary!$B$11*U690</f>
        <v/>
      </c>
      <c r="P690">
        <f>IF(B722=0,0,O690/B722)</f>
        <v/>
      </c>
      <c r="Q690">
        <f>IFERROR(1/(IF(Inputs!$B$38="pvp",15,MAX(0.1,Skills!D5-IF(TRUE=TRUE,Inputs!$B$32,0)))*(1-IF(AND(ArtifactsInput!$M$27,Inputs!$B$4="Chapter Hunt"),CHOOSE(ArtifactsInput!$N$27+1,20,24,28,32,36,40),0)/100)),0)</f>
        <v/>
      </c>
      <c r="R690">
        <f>IF(AND(Inputs!$B$38&lt;&gt;"pvp",Inputs!$B$43&gt;0),IF(MAX(0,Inputs!$B$43-B719)&lt;=0,0,(INT(MAX(0,Inputs!$B$43-B719)/(IF(Inputs!$B$38="pvp",15,MAX(0.1,Skills!D5-IF(TRUE=TRUE,Inputs!$B$32,0)))*(1-IF(AND(ArtifactsInput!$M$27,Inputs!$B$4="Chapter Hunt"),CHOOSE(ArtifactsInput!$N$27+1,20,24,28,32,36,40),0)/100)))+1)),0)</f>
        <v/>
      </c>
      <c r="S690">
        <f>IF(C690,(H690*N690*IF(AND(Inputs!$B$38&lt;&gt;"pvp",Inputs!$B$43&gt;0),((Skills!F5*((R690-1)*IF(Skills!G5&gt;0,Skills!H5/Skills!G5,1)+IF(Skills!G5&gt;0,MIN(Skills!H5,MAX(0,MAX(0,Inputs!$B$43-B719)-((R690-1)*(IF(Inputs!$B$38="pvp",15,MAX(0.1,Skills!D5-IF(TRUE=TRUE,Inputs!$B$32,0)))*(1-IF(AND(ArtifactsInput!$M$27,Inputs!$B$4="Chapter Hunt"),CHOOSE(ArtifactsInput!$N$27+1,20,24,28,32,36,40),0)/100)))))/Skills!G5,1)))/Inputs!$B$43),G690*Q690))*IF(Inputs!$B$38="pvp",1,1+(Inputs!$B$20+Skills!O5+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690*(1-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690*(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690*(1-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690*(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0">
        <f>IF(C690,(H690*N690*IF(AND(Inputs!$B$38&lt;&gt;"pvp",Inputs!$B$43&gt;0),((Skills!F5*((R690-1)*IF(Skills!G5&gt;0,Skills!H5/Skills!G5,1)+IF(Skills!G5&gt;0,MIN(Skills!H5,MAX(0,MAX(0,Inputs!$B$43-B719)-((R690-1)*(IF(Inputs!$B$38="pvp",15,MAX(0.1,Skills!D5-IF(TRUE=TRUE,Inputs!$B$32,0)))*(1-IF(AND(ArtifactsInput!$M$27,Inputs!$B$4="Chapter Hunt"),CHOOSE(ArtifactsInput!$N$27+1,20,24,28,32,36,40),0)/100)))))/Skills!G5,1)))/Inputs!$B$43),G690*Q690))*IF(Inputs!$B$38="pvp",1,(1+(Inputs!$B$21+Skills!P5+B713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1">
      <c r="A691">
        <f>Skills!A6</f>
        <v/>
      </c>
      <c r="B691">
        <f>Skills!B6</f>
        <v/>
      </c>
      <c r="C691">
        <f>Inputs!$B$3&gt;=63</f>
        <v/>
      </c>
      <c r="D691">
        <f>IF(Skills!C6=1,60+(Inputs!$B$25+1)+Inputs!$B$29,IF(Skills!C6=2,90+Inputs!$B$26+Inputs!$B$29,IF(Skills!C6=3,120+Inputs!$B$27+Inputs!$B$29,MAX(0,(Inputs!$B$3-100)*3)+Inputs!$B$28+Inputs!$B$29)))</f>
        <v/>
      </c>
      <c r="E691">
        <f>INDEX(FactorTable!$B$2:$Y$301, MATCH(ROUND(MIN(300,MAX(1,D691)),0), FactorTable!$A$2:$A$301,0), Skills!L6+1)</f>
        <v/>
      </c>
      <c r="F691">
        <f>IF(Skills!M6=TRUE,(Skills!K6/10)*(E691/1000),Skills!K6/10)+Skills!N6</f>
        <v/>
      </c>
      <c r="G691">
        <f>Calc!G6</f>
        <v/>
      </c>
      <c r="H691">
        <f>Calc!H6</f>
        <v/>
      </c>
      <c r="I691">
        <f>IF(Skills!T6&lt;&gt;"",1+(Skills!T6/10)*(Z688/1000)/100,1)</f>
        <v/>
      </c>
      <c r="J691">
        <f>((Inputs!$B$6*(1+Inputs!$B$7/100))+(((Inputs!$B$12*(1+Inputs!$B$13/100))-(Inputs!$B$12*(1+Inputs!$B$13/100)))+0.25*(Inputs!$B$14-Inputs!$B$14))*(1+Inputs!$B$7/100))*(F691/100)</f>
        <v/>
      </c>
      <c r="K691">
        <f>J691*(1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6="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691)</f>
        <v/>
      </c>
      <c r="L691">
        <f>K691*(MIN(Inputs!$B$22+(F703-Calc!F18),(Inputs!$B$23+(IF(ArtifactsInput!$M$15,CHOOSE(ArtifactsInput!$N$15+1,25,30,35,40,45,50)/100*(Inputs!$B$11-Inputs!$B$11),0))))/100+(Inputs!$B$23+(IF(ArtifactsInput!$M$15,CHOOSE(ArtifactsInput!$N$15+1,25,30,35,40,45,50)/100*(Inputs!$B$11-Inputs!$B$11),0)))/100)/2</f>
        <v/>
      </c>
      <c r="M691">
        <f>L691*(1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1">
        <f>L691*(1-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1">
        <f>(1-Summary!$B$11)*S691+Summary!$B$11*U691</f>
        <v/>
      </c>
      <c r="P691">
        <f>IF(B722=0,0,O691/B722)</f>
        <v/>
      </c>
      <c r="Q691">
        <f>IFERROR(1/(IF(Inputs!$B$38="pvp",15,MAX(0.1,Skills!D6-IF(TRUE=TRUE,Inputs!$B$32,0)))*(1-IF(AND(ArtifactsInput!$M$27,Inputs!$B$4="Chapter Hunt"),CHOOSE(ArtifactsInput!$N$27+1,20,24,28,32,36,40),0)/100)),0)</f>
        <v/>
      </c>
      <c r="R691">
        <f>IF(AND(Inputs!$B$38&lt;&gt;"pvp",Inputs!$B$43&gt;0),IF(MAX(0,Inputs!$B$43-B719)&lt;=0,0,(INT(MAX(0,Inputs!$B$43-B719)/(IF(Inputs!$B$38="pvp",15,MAX(0.1,Skills!D6-IF(TRUE=TRUE,Inputs!$B$32,0)))*(1-IF(AND(ArtifactsInput!$M$27,Inputs!$B$4="Chapter Hunt"),CHOOSE(ArtifactsInput!$N$27+1,20,24,28,32,36,40),0)/100)))+1)),0)</f>
        <v/>
      </c>
      <c r="S691">
        <f>IF(C691,(H691*N691*IF(AND(Inputs!$B$38&lt;&gt;"pvp",Inputs!$B$43&gt;0),((Skills!F6*((R691-1)*IF(Skills!G6&gt;0,Skills!H6/Skills!G6,1)+IF(Skills!G6&gt;0,MIN(Skills!H6,MAX(0,MAX(0,Inputs!$B$43-B719)-((R691-1)*(IF(Inputs!$B$38="pvp",15,MAX(0.1,Skills!D6-IF(TRUE=TRUE,Inputs!$B$32,0)))*(1-IF(AND(ArtifactsInput!$M$27,Inputs!$B$4="Chapter Hunt"),CHOOSE(ArtifactsInput!$N$27+1,20,24,28,32,36,40),0)/100)))))/Skills!G6,1)))/Inputs!$B$43),G691*Q691))*IF(Inputs!$B$38="pvp",1,1+(Inputs!$B$20+Skills!O6+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691*(1-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691*(1-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1">
        <f>IF(C691,(H691*N691*IF(AND(Inputs!$B$38&lt;&gt;"pvp",Inputs!$B$43&gt;0),((Skills!F6*((R691-1)*IF(Skills!G6&gt;0,Skills!H6/Skills!G6,1)+IF(Skills!G6&gt;0,MIN(Skills!H6,MAX(0,MAX(0,Inputs!$B$43-B719)-((R691-1)*(IF(Inputs!$B$38="pvp",15,MAX(0.1,Skills!D6-IF(TRUE=TRUE,Inputs!$B$32,0)))*(1-IF(AND(ArtifactsInput!$M$27,Inputs!$B$4="Chapter Hunt"),CHOOSE(ArtifactsInput!$N$27+1,20,24,28,32,36,40),0)/100)))))/Skills!G6,1)))/Inputs!$B$43),G691*Q691))*IF(Inputs!$B$38="pvp",1,(1+(Inputs!$B$21+Skills!P6+B713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2">
      <c r="A692">
        <f>Skills!A7</f>
        <v/>
      </c>
      <c r="B692">
        <f>Skills!B7</f>
        <v/>
      </c>
      <c r="C692">
        <f>Inputs!$B$3&gt;=69</f>
        <v/>
      </c>
      <c r="D692">
        <f>IF(Skills!C7=1,60+(Inputs!$B$25+1)+Inputs!$B$29,IF(Skills!C7=2,90+Inputs!$B$26+Inputs!$B$29,IF(Skills!C7=3,120+Inputs!$B$27+Inputs!$B$29,MAX(0,(Inputs!$B$3-100)*3)+Inputs!$B$28+Inputs!$B$29)))</f>
        <v/>
      </c>
      <c r="E692">
        <f>INDEX(FactorTable!$B$2:$Y$301, MATCH(ROUND(MIN(300,MAX(1,D692)),0), FactorTable!$A$2:$A$301,0), Skills!L7+1)</f>
        <v/>
      </c>
      <c r="F692">
        <f>IF(Skills!M7=TRUE,(Skills!K7/10)*(E692/1000),Skills!K7/10)+Skills!N7</f>
        <v/>
      </c>
      <c r="G692">
        <f>Calc!G7</f>
        <v/>
      </c>
      <c r="H692">
        <f>Calc!H7</f>
        <v/>
      </c>
      <c r="I692">
        <f>IF(Skills!T7&lt;&gt;"",1+(Skills!T7/10)*(Z688/1000)/100,1)</f>
        <v/>
      </c>
      <c r="J692">
        <f>((Inputs!$B$6*(1+Inputs!$B$7/100))+(((Inputs!$B$12*(1+Inputs!$B$13/100))-(Inputs!$B$12*(1+Inputs!$B$13/100)))+0.25*(Inputs!$B$14-Inputs!$B$14))*(1+Inputs!$B$7/100))*(F692/100)</f>
        <v/>
      </c>
      <c r="K692">
        <f>J692*(1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7="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692)</f>
        <v/>
      </c>
      <c r="L692">
        <f>K692*(MIN(Inputs!$B$22+(F703-Calc!F18),(Inputs!$B$23+(IF(ArtifactsInput!$M$15,CHOOSE(ArtifactsInput!$N$15+1,25,30,35,40,45,50)/100*(Inputs!$B$11-Inputs!$B$11),0))))/100+(Inputs!$B$23+(IF(ArtifactsInput!$M$15,CHOOSE(ArtifactsInput!$N$15+1,25,30,35,40,45,50)/100*(Inputs!$B$11-Inputs!$B$11),0)))/100)/2</f>
        <v/>
      </c>
      <c r="M692">
        <f>L692*(1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2">
        <f>L692*(1-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692*(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2">
        <f>(1-Summary!$B$11)*S692+Summary!$B$11*U692</f>
        <v/>
      </c>
      <c r="P692">
        <f>IF(B722=0,0,O692/B722)</f>
        <v/>
      </c>
      <c r="Q692">
        <f>IFERROR(1/(IF(Inputs!$B$38="pvp",15,MAX(0.1,Skills!D7-IF(TRUE=TRUE,Inputs!$B$32,0)))*(1-IF(AND(ArtifactsInput!$M$27,Inputs!$B$4="Chapter Hunt"),CHOOSE(ArtifactsInput!$N$27+1,20,24,28,32,36,40),0)/100)),0)</f>
        <v/>
      </c>
      <c r="R692">
        <f>IF(AND(Inputs!$B$38&lt;&gt;"pvp",Inputs!$B$43&gt;0),IF(MAX(0,Inputs!$B$43-B719)&lt;=0,0,(INT(MAX(0,Inputs!$B$43-B719)/(IF(Inputs!$B$38="pvp",15,MAX(0.1,Skills!D7-IF(TRUE=TRUE,Inputs!$B$32,0)))*(1-IF(AND(ArtifactsInput!$M$27,Inputs!$B$4="Chapter Hunt"),CHOOSE(ArtifactsInput!$N$27+1,20,24,28,32,36,40),0)/100)))+1)),0)</f>
        <v/>
      </c>
      <c r="S692">
        <f>IF(C692,(H692*N692*IF(AND(Inputs!$B$38&lt;&gt;"pvp",Inputs!$B$43&gt;0),((Skills!F7*((R692-1)*IF(Skills!G7&gt;0,Skills!H7/Skills!G7,1)+IF(Skills!G7&gt;0,MIN(Skills!H7,MAX(0,MAX(0,Inputs!$B$43-B719)-((R692-1)*(IF(Inputs!$B$38="pvp",15,MAX(0.1,Skills!D7-IF(TRUE=TRUE,Inputs!$B$32,0)))*(1-IF(AND(ArtifactsInput!$M$27,Inputs!$B$4="Chapter Hunt"),CHOOSE(ArtifactsInput!$N$27+1,20,24,28,32,36,40),0)/100)))))/Skills!G7,1)))/Inputs!$B$43),G692*Q692))*IF(Inputs!$B$38="pvp",1,1+(Inputs!$B$20+Skills!O7+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692*(1-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692*(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692*(1-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692*(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2">
        <f>IF(C692,(H692*N692*IF(AND(Inputs!$B$38&lt;&gt;"pvp",Inputs!$B$43&gt;0),((Skills!F7*((R692-1)*IF(Skills!G7&gt;0,Skills!H7/Skills!G7,1)+IF(Skills!G7&gt;0,MIN(Skills!H7,MAX(0,MAX(0,Inputs!$B$43-B719)-((R692-1)*(IF(Inputs!$B$38="pvp",15,MAX(0.1,Skills!D7-IF(TRUE=TRUE,Inputs!$B$32,0)))*(1-IF(AND(ArtifactsInput!$M$27,Inputs!$B$4="Chapter Hunt"),CHOOSE(ArtifactsInput!$N$27+1,20,24,28,32,36,40),0)/100)))))/Skills!G7,1)))/Inputs!$B$43),G692*Q692))*IF(Inputs!$B$38="pvp",1,(1+(Inputs!$B$21+Skills!P7+B713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3">
      <c r="A693">
        <f>Skills!A8</f>
        <v/>
      </c>
      <c r="B693">
        <f>Skills!B8</f>
        <v/>
      </c>
      <c r="C693">
        <f>Inputs!$B$3&gt;=103</f>
        <v/>
      </c>
      <c r="D693">
        <f>IF(Skills!C8=1,60+(Inputs!$B$25+1)+Inputs!$B$29,IF(Skills!C8=2,90+Inputs!$B$26+Inputs!$B$29,IF(Skills!C8=3,120+Inputs!$B$27+Inputs!$B$29,MAX(0,(Inputs!$B$3-100)*3)+Inputs!$B$28+Inputs!$B$29)))</f>
        <v/>
      </c>
      <c r="E693">
        <f>INDEX(FactorTable!$B$2:$Y$301, MATCH(ROUND(MIN(300,MAX(1,D693)),0), FactorTable!$A$2:$A$301,0), Skills!L8+1)</f>
        <v/>
      </c>
      <c r="F693">
        <f>IF(Skills!M8=TRUE,(Skills!K8/10)*(E693/1000),Skills!K8/10)+Skills!N8</f>
        <v/>
      </c>
      <c r="G693">
        <f>Calc!G8</f>
        <v/>
      </c>
      <c r="H693">
        <f>Calc!H8</f>
        <v/>
      </c>
      <c r="I693">
        <f>IF(Skills!T8&lt;&gt;"",1+(Skills!T8/10)*(Z688/1000)/100,1)</f>
        <v/>
      </c>
      <c r="J693">
        <f>((Inputs!$B$6*(1+Inputs!$B$7/100))+(((Inputs!$B$12*(1+Inputs!$B$13/100))-(Inputs!$B$12*(1+Inputs!$B$13/100)))+0.25*(Inputs!$B$14-Inputs!$B$14))*(1+Inputs!$B$7/100))*(F693/100)</f>
        <v/>
      </c>
      <c r="K693">
        <f>J693*(1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8="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693)</f>
        <v/>
      </c>
      <c r="L693">
        <f>K693*(MIN(Inputs!$B$22+(F703-Calc!F18),(Inputs!$B$23+(IF(ArtifactsInput!$M$15,CHOOSE(ArtifactsInput!$N$15+1,25,30,35,40,45,50)/100*(Inputs!$B$11-Inputs!$B$11),0))))/100+(Inputs!$B$23+(IF(ArtifactsInput!$M$15,CHOOSE(ArtifactsInput!$N$15+1,25,30,35,40,45,50)/100*(Inputs!$B$11-Inputs!$B$11),0)))/100)/2</f>
        <v/>
      </c>
      <c r="M693">
        <f>L693*(1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3">
        <f>L693*(1-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693*(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3">
        <f>(1-Summary!$B$11)*S693+Summary!$B$11*U693</f>
        <v/>
      </c>
      <c r="P693">
        <f>IF(B722=0,0,O693/B722)</f>
        <v/>
      </c>
      <c r="Q693">
        <f>IFERROR(1/(IF(Inputs!$B$38="pvp",15,MAX(0.1,Skills!D8-IF(TRUE=TRUE,Inputs!$B$32,0)))*(1-IF(AND(ArtifactsInput!$M$27,Inputs!$B$4="Chapter Hunt"),CHOOSE(ArtifactsInput!$N$27+1,20,24,28,32,36,40),0)/100)),0)</f>
        <v/>
      </c>
      <c r="R693">
        <f>IF(AND(Inputs!$B$38&lt;&gt;"pvp",Inputs!$B$43&gt;0),IF(MAX(0,Inputs!$B$43-B719)&lt;=0,0,(INT(MAX(0,Inputs!$B$43-B719)/(IF(Inputs!$B$38="pvp",15,MAX(0.1,Skills!D8-IF(TRUE=TRUE,Inputs!$B$32,0)))*(1-IF(AND(ArtifactsInput!$M$27,Inputs!$B$4="Chapter Hunt"),CHOOSE(ArtifactsInput!$N$27+1,20,24,28,32,36,40),0)/100)))+1)),0)</f>
        <v/>
      </c>
      <c r="S693">
        <f>IF(C693,(H693*N693*IF(AND(Inputs!$B$38&lt;&gt;"pvp",Inputs!$B$43&gt;0),((Skills!F8*((R693-1)*IF(Skills!G8&gt;0,Skills!H8/Skills!G8,1)+IF(Skills!G8&gt;0,MIN(Skills!H8,MAX(0,MAX(0,Inputs!$B$43-B719)-((R693-1)*(IF(Inputs!$B$38="pvp",15,MAX(0.1,Skills!D8-IF(TRUE=TRUE,Inputs!$B$32,0)))*(1-IF(AND(ArtifactsInput!$M$27,Inputs!$B$4="Chapter Hunt"),CHOOSE(ArtifactsInput!$N$27+1,20,24,28,32,36,40),0)/100)))))/Skills!G8,1)))/Inputs!$B$43),G693*Q693))*IF(Inputs!$B$38="pvp",1,1+(Inputs!$B$20+Skills!O8+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693*(1-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693*(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693*(1-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693*(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3">
        <f>IF(C693,(H693*N693*IF(AND(Inputs!$B$38&lt;&gt;"pvp",Inputs!$B$43&gt;0),((Skills!F8*((R693-1)*IF(Skills!G8&gt;0,Skills!H8/Skills!G8,1)+IF(Skills!G8&gt;0,MIN(Skills!H8,MAX(0,MAX(0,Inputs!$B$43-B719)-((R693-1)*(IF(Inputs!$B$38="pvp",15,MAX(0.1,Skills!D8-IF(TRUE=TRUE,Inputs!$B$32,0)))*(1-IF(AND(ArtifactsInput!$M$27,Inputs!$B$4="Chapter Hunt"),CHOOSE(ArtifactsInput!$N$27+1,20,24,28,32,36,40),0)/100)))))/Skills!G8,1)))/Inputs!$B$43),G693*Q693))*IF(Inputs!$B$38="pvp",1,(1+(Inputs!$B$21+Skills!P8+B713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4">
      <c r="A694">
        <f>Skills!A9</f>
        <v/>
      </c>
      <c r="B694">
        <f>Skills!B9</f>
        <v/>
      </c>
      <c r="C694">
        <f>Inputs!$B$3&gt;=105</f>
        <v/>
      </c>
      <c r="D694">
        <f>IF(Skills!C9=1,60+(Inputs!$B$25+1)+Inputs!$B$29,IF(Skills!C9=2,90+Inputs!$B$26+Inputs!$B$29,IF(Skills!C9=3,120+Inputs!$B$27+Inputs!$B$29,MAX(0,(Inputs!$B$3-100)*3)+Inputs!$B$28+Inputs!$B$29)))</f>
        <v/>
      </c>
      <c r="E694">
        <f>INDEX(FactorTable!$B$2:$Y$301, MATCH(ROUND(MIN(300,MAX(1,D694)),0), FactorTable!$A$2:$A$301,0), Skills!L9+1)</f>
        <v/>
      </c>
      <c r="F694">
        <f>IF(Skills!M9=TRUE,(Skills!K9/10)*(E694/1000),Skills!K9/10)+Skills!N9</f>
        <v/>
      </c>
      <c r="G694">
        <f>Calc!G9</f>
        <v/>
      </c>
      <c r="H694">
        <f>Calc!H9</f>
        <v/>
      </c>
      <c r="I694">
        <f>IF(Skills!T9&lt;&gt;"",1+(Skills!T9/10)*(Z688/1000)/100,1)</f>
        <v/>
      </c>
      <c r="J694">
        <f>((Inputs!$B$6*(1+Inputs!$B$7/100))+(((Inputs!$B$12*(1+Inputs!$B$13/100))-(Inputs!$B$12*(1+Inputs!$B$13/100)))+0.25*(Inputs!$B$14-Inputs!$B$14))*(1+Inputs!$B$7/100))*(F694/100)</f>
        <v/>
      </c>
      <c r="K694">
        <f>J694*(1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9="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694)</f>
        <v/>
      </c>
      <c r="L694">
        <f>K694*(MIN(Inputs!$B$22+(F703-Calc!F18),(Inputs!$B$23+(IF(ArtifactsInput!$M$15,CHOOSE(ArtifactsInput!$N$15+1,25,30,35,40,45,50)/100*(Inputs!$B$11-Inputs!$B$11),0))))/100+(Inputs!$B$23+(IF(ArtifactsInput!$M$15,CHOOSE(ArtifactsInput!$N$15+1,25,30,35,40,45,50)/100*(Inputs!$B$11-Inputs!$B$11),0)))/100)/2</f>
        <v/>
      </c>
      <c r="M694">
        <f>L694*(1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4">
        <f>L694*(1-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694*(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4">
        <f>(1-Summary!$B$11)*S694+Summary!$B$11*U694</f>
        <v/>
      </c>
      <c r="P694">
        <f>IF(B722=0,0,O694/B722)</f>
        <v/>
      </c>
      <c r="Q694">
        <f>IFERROR(1/(IF(Inputs!$B$38="pvp",15,MAX(0.1,Skills!D9-IF(TRUE=TRUE,Inputs!$B$32,0)))*(1-IF(AND(ArtifactsInput!$M$27,Inputs!$B$4="Chapter Hunt"),CHOOSE(ArtifactsInput!$N$27+1,20,24,28,32,36,40),0)/100)),0)</f>
        <v/>
      </c>
      <c r="R694">
        <f>IF(AND(Inputs!$B$38&lt;&gt;"pvp",Inputs!$B$43&gt;0),IF(MAX(0,Inputs!$B$43-B719)&lt;=0,0,(INT(MAX(0,Inputs!$B$43-B719)/(IF(Inputs!$B$38="pvp",15,MAX(0.1,Skills!D9-IF(TRUE=TRUE,Inputs!$B$32,0)))*(1-IF(AND(ArtifactsInput!$M$27,Inputs!$B$4="Chapter Hunt"),CHOOSE(ArtifactsInput!$N$27+1,20,24,28,32,36,40),0)/100)))+1)),0)</f>
        <v/>
      </c>
      <c r="S694">
        <f>IF(C694,(H694*N694*IF(AND(Inputs!$B$38&lt;&gt;"pvp",Inputs!$B$43&gt;0),((Skills!F9*((R694-1)*IF(Skills!G9&gt;0,Skills!H9/Skills!G9,1)+IF(Skills!G9&gt;0,MIN(Skills!H9,MAX(0,MAX(0,Inputs!$B$43-B719)-((R694-1)*(IF(Inputs!$B$38="pvp",15,MAX(0.1,Skills!D9-IF(TRUE=TRUE,Inputs!$B$32,0)))*(1-IF(AND(ArtifactsInput!$M$27,Inputs!$B$4="Chapter Hunt"),CHOOSE(ArtifactsInput!$N$27+1,20,24,28,32,36,40),0)/100)))))/Skills!G9,1)))/Inputs!$B$43),G694*Q694))*IF(Inputs!$B$38="pvp",1,1+(Inputs!$B$20+Skills!O9+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694*(1-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694*(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694*(1-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694*(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4">
        <f>IF(C694,(H694*N694*IF(AND(Inputs!$B$38&lt;&gt;"pvp",Inputs!$B$43&gt;0),((Skills!F9*((R694-1)*IF(Skills!G9&gt;0,Skills!H9/Skills!G9,1)+IF(Skills!G9&gt;0,MIN(Skills!H9,MAX(0,MAX(0,Inputs!$B$43-B719)-((R694-1)*(IF(Inputs!$B$38="pvp",15,MAX(0.1,Skills!D9-IF(TRUE=TRUE,Inputs!$B$32,0)))*(1-IF(AND(ArtifactsInput!$M$27,Inputs!$B$4="Chapter Hunt"),CHOOSE(ArtifactsInput!$N$27+1,20,24,28,32,36,40),0)/100)))))/Skills!G9,1)))/Inputs!$B$43),G694*Q694))*IF(Inputs!$B$38="pvp",1,(1+(Inputs!$B$21+Skills!P9+B713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5">
      <c r="A695">
        <f>Skills!A10</f>
        <v/>
      </c>
      <c r="B695">
        <f>Skills!B10</f>
        <v/>
      </c>
      <c r="C695">
        <f>Inputs!$B$3&gt;=113</f>
        <v/>
      </c>
      <c r="D695">
        <f>IF(Skills!C10=1,60+(Inputs!$B$25+1)+Inputs!$B$29,IF(Skills!C10=2,90+Inputs!$B$26+Inputs!$B$29,IF(Skills!C10=3,120+Inputs!$B$27+Inputs!$B$29,MAX(0,(Inputs!$B$3-100)*3)+Inputs!$B$28+Inputs!$B$29)))</f>
        <v/>
      </c>
      <c r="E695">
        <f>INDEX(FactorTable!$B$2:$Y$301, MATCH(ROUND(MIN(300,MAX(1,D695)),0), FactorTable!$A$2:$A$301,0), Skills!L10+1)</f>
        <v/>
      </c>
      <c r="F695">
        <f>IF(Skills!M10=TRUE,(Skills!K10/10)*(E695/1000),Skills!K10/10)+Skills!N10</f>
        <v/>
      </c>
      <c r="G695">
        <f>Calc!G10</f>
        <v/>
      </c>
      <c r="H695">
        <f>Calc!H10</f>
        <v/>
      </c>
      <c r="I695">
        <f>IF(Skills!T10&lt;&gt;"",1+(Skills!T10/10)*(Z688/1000)/100,1)</f>
        <v/>
      </c>
      <c r="J695">
        <f>((Inputs!$B$6*(1+Inputs!$B$7/100))+(((Inputs!$B$12*(1+Inputs!$B$13/100))-(Inputs!$B$12*(1+Inputs!$B$13/100)))+0.25*(Inputs!$B$14-Inputs!$B$14))*(1+Inputs!$B$7/100))*(F695/100)</f>
        <v/>
      </c>
      <c r="K695">
        <f>J695*(1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10="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695)</f>
        <v/>
      </c>
      <c r="L695">
        <f>K695*(MIN(Inputs!$B$22+(F703-Calc!F18),(Inputs!$B$23+(IF(ArtifactsInput!$M$15,CHOOSE(ArtifactsInput!$N$15+1,25,30,35,40,45,50)/100*(Inputs!$B$11-Inputs!$B$11),0))))/100+(Inputs!$B$23+(IF(ArtifactsInput!$M$15,CHOOSE(ArtifactsInput!$N$15+1,25,30,35,40,45,50)/100*(Inputs!$B$11-Inputs!$B$11),0)))/100)/2</f>
        <v/>
      </c>
      <c r="M695">
        <f>L695*(1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5">
        <f>L695*(1-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695*(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5">
        <f>(1-Summary!$B$11)*S695+Summary!$B$11*U695</f>
        <v/>
      </c>
      <c r="P695">
        <f>IF(B722=0,0,O695/B722)</f>
        <v/>
      </c>
      <c r="Q695">
        <f>IFERROR(1/(IF(Inputs!$B$38="pvp",15,MAX(0.1,Skills!D10-IF(TRUE=TRUE,Inputs!$B$32,0)))*(1-IF(AND(ArtifactsInput!$M$27,Inputs!$B$4="Chapter Hunt"),CHOOSE(ArtifactsInput!$N$27+1,20,24,28,32,36,40),0)/100)),0)</f>
        <v/>
      </c>
      <c r="R695" t="n">
        <v>0</v>
      </c>
      <c r="S695">
        <f>IF(C695,((H695*B723)/(1+Skills!G10*H695*B723)*N695)*IF(Inputs!$B$38="pvp",1,1+(Inputs!$B$20+Skills!O10+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695*(1-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695*(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695*(1-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695*(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5">
        <f>IF(C695,((H695*B723)/(1+Skills!G10*H695*B723)*N695)*IF(Inputs!$B$38="pvp",1,(1+(Inputs!$B$21+Skills!P10+B713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6">
      <c r="A696">
        <f>Skills!A11</f>
        <v/>
      </c>
      <c r="B696">
        <f>Skills!B11</f>
        <v/>
      </c>
      <c r="C696">
        <f>Inputs!$B$3&gt;=107</f>
        <v/>
      </c>
      <c r="D696">
        <f>IF(Skills!C11=1,60+(Inputs!$B$25+1)+Inputs!$B$29,IF(Skills!C11=2,90+Inputs!$B$26+Inputs!$B$29,IF(Skills!C11=3,120+Inputs!$B$27+Inputs!$B$29,MAX(0,(Inputs!$B$3-100)*3)+Inputs!$B$28+Inputs!$B$29)))</f>
        <v/>
      </c>
      <c r="E696">
        <f>INDEX(FactorTable!$B$2:$Y$301, MATCH(ROUND(MIN(300,MAX(1,D696)),0), FactorTable!$A$2:$A$301,0), Skills!L11+1)</f>
        <v/>
      </c>
      <c r="F696">
        <f>IF(Skills!M11=TRUE,(Skills!K11/10)*(E696/1000),Skills!K11/10)+Skills!N11</f>
        <v/>
      </c>
      <c r="G696">
        <f>Calc!G11</f>
        <v/>
      </c>
      <c r="H696">
        <f>Calc!H11</f>
        <v/>
      </c>
      <c r="I696">
        <f>IF(Skills!T11&lt;&gt;"",1+(Skills!T11/10)*(Z688/1000)/100,1)</f>
        <v/>
      </c>
      <c r="J696">
        <f>((Inputs!$B$6*(1+Inputs!$B$7/100))+(((Inputs!$B$12*(1+Inputs!$B$13/100))-(Inputs!$B$12*(1+Inputs!$B$13/100)))+0.25*(Inputs!$B$14-Inputs!$B$14))*(1+Inputs!$B$7/100))*(F696/100)</f>
        <v/>
      </c>
      <c r="K696">
        <f>J696*(1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11="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696)</f>
        <v/>
      </c>
      <c r="L696">
        <f>K696*(MIN(Inputs!$B$22+(F703-Calc!F18),(Inputs!$B$23+(IF(ArtifactsInput!$M$15,CHOOSE(ArtifactsInput!$N$15+1,25,30,35,40,45,50)/100*(Inputs!$B$11-Inputs!$B$11),0))))/100+(Inputs!$B$23+(IF(ArtifactsInput!$M$15,CHOOSE(ArtifactsInput!$N$15+1,25,30,35,40,45,50)/100*(Inputs!$B$11-Inputs!$B$11),0)))/100)/2</f>
        <v/>
      </c>
      <c r="M696">
        <f>L696*(1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6">
        <f>L696*(1-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696*(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6">
        <f>(1-Summary!$B$11)*S696+Summary!$B$11*U696</f>
        <v/>
      </c>
      <c r="P696">
        <f>IF(B722=0,0,O696/B722)</f>
        <v/>
      </c>
      <c r="Q696">
        <f>IFERROR(1/(IF(Inputs!$B$38="pvp",15,MAX(0.1,Skills!D11-IF(TRUE=TRUE,Inputs!$B$32,0)))*(1-IF(AND(ArtifactsInput!$M$27,Inputs!$B$4="Chapter Hunt"),CHOOSE(ArtifactsInput!$N$27+1,20,24,28,32,36,40),0)/100)),0)</f>
        <v/>
      </c>
      <c r="R696">
        <f>IF(AND(Inputs!$B$38&lt;&gt;"pvp",Inputs!$B$43&gt;0),IF(MAX(0,Inputs!$B$43-B719)&lt;=0,0,(INT(MAX(0,Inputs!$B$43-B719)/(IF(Inputs!$B$38="pvp",15,MAX(0.1,Skills!D11-IF(TRUE=TRUE,Inputs!$B$32,0)))*(1-IF(AND(ArtifactsInput!$M$27,Inputs!$B$4="Chapter Hunt"),CHOOSE(ArtifactsInput!$N$27+1,20,24,28,32,36,40),0)/100)))+1)),0)</f>
        <v/>
      </c>
      <c r="S696">
        <f>IF(C696,H696*N696*IF(AND(Inputs!$B$38&lt;&gt;"pvp",Inputs!$B$43&gt;0),((Skills!F11*((R696-1)*IF(Skills!G11&gt;0,Skills!H11/Skills!G11,1)+IF(Skills!G11&gt;0,MIN(Skills!H11,MAX(0,MAX(0,Inputs!$B$43-B719)-((R696-1)*(IF(Inputs!$B$38="pvp",15,MAX(0.1,Skills!D11-IF(TRUE=TRUE,Inputs!$B$32,0)))*(1-IF(AND(ArtifactsInput!$M$27,Inputs!$B$4="Chapter Hunt"),CHOOSE(ArtifactsInput!$N$27+1,20,24,28,32,36,40),0)/100)))))/Skills!G11,1)))/Inputs!$B$43),G696*Q696)*0.5*IF(Inputs!$B$38="pvp",1,1+(Inputs!$B$20+Skills!O11+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696*(1-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696*(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696*(1-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696*(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6">
        <f>IF(C696,H696*N696*IF(AND(Inputs!$B$38&lt;&gt;"pvp",Inputs!$B$43&gt;0),((Skills!F11*((R696-1)*IF(Skills!G11&gt;0,Skills!H11/Skills!G11,1)+IF(Skills!G11&gt;0,MIN(Skills!H11,MAX(0,MAX(0,Inputs!$B$43-B719)-((R696-1)*(IF(Inputs!$B$38="pvp",15,MAX(0.1,Skills!D11-IF(TRUE=TRUE,Inputs!$B$32,0)))*(1-IF(AND(ArtifactsInput!$M$27,Inputs!$B$4="Chapter Hunt"),CHOOSE(ArtifactsInput!$N$27+1,20,24,28,32,36,40),0)/100)))))/Skills!G11,1)))/Inputs!$B$43),G696*Q696)*1*IF(Inputs!$B$38="pvp",1,(1+(Inputs!$B$21+Skills!P11+B713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7">
      <c r="A697">
        <f>Skills!A12</f>
        <v/>
      </c>
      <c r="B697">
        <f>Skills!B12</f>
        <v/>
      </c>
      <c r="C697">
        <f>Inputs!$B$3&gt;=115</f>
        <v/>
      </c>
      <c r="D697">
        <f>IF(Skills!C12=1,60+(Inputs!$B$25+1)+Inputs!$B$29,IF(Skills!C12=2,90+Inputs!$B$26+Inputs!$B$29,IF(Skills!C12=3,120+Inputs!$B$27+Inputs!$B$29,MAX(0,(Inputs!$B$3-100)*3)+Inputs!$B$28+Inputs!$B$29)))</f>
        <v/>
      </c>
      <c r="E697">
        <f>INDEX(FactorTable!$B$2:$Y$301, MATCH(ROUND(MIN(300,MAX(1,D697)),0), FactorTable!$A$2:$A$301,0), Skills!L12+1)</f>
        <v/>
      </c>
      <c r="F697">
        <f>IF(Skills!M12=TRUE,(Skills!K12/10)*(E697/1000),Skills!K12/10)+Skills!N12</f>
        <v/>
      </c>
      <c r="G697">
        <f>Calc!G12</f>
        <v/>
      </c>
      <c r="H697">
        <f>Calc!H12</f>
        <v/>
      </c>
      <c r="I697">
        <f>IF(Skills!T12&lt;&gt;"",1+(Skills!T12/10)*(Z688/1000)/100,1)</f>
        <v/>
      </c>
      <c r="J697">
        <f>((Inputs!$B$6*(1+Inputs!$B$7/100))+(((Inputs!$B$12*(1+Inputs!$B$13/100))-(Inputs!$B$12*(1+Inputs!$B$13/100)))+0.25*(Inputs!$B$14-Inputs!$B$14))*(1+Inputs!$B$7/100))*(F697/100)</f>
        <v/>
      </c>
      <c r="K697">
        <f>J697*(1+((Inputs!$B$12*(1+Inputs!$B$13/100))*0.01+Inputs!$B$14*0.0025)/100)*(1+(Inputs!$B$15+B714)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700=TRUE,F700,0)/100)*(1+IF(C708=TRUE,F708,0)/100)^5*(1+(IF(Skills!A12="CHAIN_LIGHTNING",Inputs!$B$17+((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697)</f>
        <v/>
      </c>
      <c r="L697">
        <f>K697*(MIN(Inputs!$B$22+(F703-Calc!F18),(Inputs!$B$23+(IF(ArtifactsInput!$M$15,CHOOSE(ArtifactsInput!$N$15+1,25,30,35,40,45,50)/100*(Inputs!$B$11-Inputs!$B$11),0))))/100+(Inputs!$B$23+(IF(ArtifactsInput!$M$15,CHOOSE(ArtifactsInput!$N$15+1,25,30,35,40,45,50)/100*(Inputs!$B$11-Inputs!$B$11),0)))/100)/2</f>
        <v/>
      </c>
      <c r="M697">
        <f>L697*(1+(Inputs!$B$10+(F706-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97">
        <f>L697*(1-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697*(MIN((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97">
        <f>(1-Summary!$B$11)*S697+Summary!$B$11*U697</f>
        <v/>
      </c>
      <c r="P697">
        <f>IF(B722=0,0,O697/B722)</f>
        <v/>
      </c>
      <c r="Q697">
        <f>IFERROR(1/(IF(Inputs!$B$38="pvp",15,MAX(0.1,Skills!D12-IF(TRUE=TRUE,Inputs!$B$32,0)))*(1-IF(AND(ArtifactsInput!$M$27,Inputs!$B$4="Chapter Hunt"),CHOOSE(ArtifactsInput!$N$27+1,20,24,28,32,36,40),0)/100)),0)</f>
        <v/>
      </c>
      <c r="R697">
        <f>IF(AND(Inputs!$B$38&lt;&gt;"pvp",Inputs!$B$43&gt;0),IF(MAX(0,Inputs!$B$43-B719)&lt;=0,0,(INT(MAX(0,Inputs!$B$43-B719)/(IF(Inputs!$B$38="pvp",15,MAX(0.1,Skills!D12-IF(TRUE=TRUE,Inputs!$B$32,0)))*(1-IF(AND(ArtifactsInput!$M$27,Inputs!$B$4="Chapter Hunt"),CHOOSE(ArtifactsInput!$N$27+1,20,24,28,32,36,40),0)/100)))+1)),0)</f>
        <v/>
      </c>
      <c r="S697">
        <f>IF(C697,(H697*N697*IF(AND(Inputs!$B$38&lt;&gt;"pvp",Inputs!$B$43&gt;0),((Skills!F12*((R697-1)*IF(Skills!G12&gt;0,Skills!H12/Skills!G12,1)+IF(Skills!G12&gt;0,MIN(Skills!H12,MAX(0,MAX(0,Inputs!$B$43-B719)-((R697-1)*(IF(Inputs!$B$38="pvp",15,MAX(0.1,Skills!D12-IF(TRUE=TRUE,Inputs!$B$32,0)))*(1-IF(AND(ArtifactsInput!$M$27,Inputs!$B$4="Chapter Hunt"),CHOOSE(ArtifactsInput!$N$27+1,20,24,28,32,36,40),0)/100)))))/Skills!G12,1)))/Inputs!$B$43),G697*Q697))*IF(Inputs!$B$38="pvp",1,1+(Inputs!$B$20+Skills!O12+B713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697*(1-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697*(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697*(1-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697*(MIN(100,(Inputs!$B$9+((F705-Calc!F20)+(F704-Calc!F19))+(ArtifactsInput!$M$24-ArtifactsInput!$M$24)*CHOOSE(ArtifactsInput!$N$24+1,10,12,14,16,18,20)+(IF(AND(Inputs!$B$38&lt;&gt;"pvp",Inputs!$B$43=0),1,IF(IF(Inputs!$B$38="pvp",15,Inputs!$B$43)-(B719)&lt;=0,1,MAX(0,IF(Inputs!$B$38="pvp",15,Inputs!$B$43)-MAX(5,B719))/(IF(Inputs!$B$38="pvp",15,Inputs!$B$43)-(B719)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97">
        <f>IF(C697,(H697*N697*IF(AND(Inputs!$B$38&lt;&gt;"pvp",Inputs!$B$43&gt;0),((Skills!F12*((R697-1)*IF(Skills!G12&gt;0,Skills!H12/Skills!G12,1)+IF(Skills!G12&gt;0,MIN(Skills!H12,MAX(0,MAX(0,Inputs!$B$43-B719)-((R697-1)*(IF(Inputs!$B$38="pvp",15,MAX(0.1,Skills!D12-IF(TRUE=TRUE,Inputs!$B$32,0)))*(1-IF(AND(ArtifactsInput!$M$27,Inputs!$B$4="Chapter Hunt"),CHOOSE(ArtifactsInput!$N$27+1,20,24,28,32,36,40),0)/100)))))/Skills!G12,1)))/Inputs!$B$43),G697*Q697))*IF(Inputs!$B$38="pvp",1,(1+(Inputs!$B$21+Skills!P12+B713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98">
      <c r="A698">
        <f>Skills!A13</f>
        <v/>
      </c>
      <c r="B698">
        <f>Skills!B13</f>
        <v/>
      </c>
      <c r="C698">
        <f>Inputs!$B$3&gt;=49</f>
        <v/>
      </c>
      <c r="D698">
        <f>IF(Skills!C13=1,60+(Inputs!$B$25+1)+Inputs!$B$29,IF(Skills!C13=2,90+Inputs!$B$26+Inputs!$B$29,IF(Skills!C13=3,120+Inputs!$B$27+Inputs!$B$29,MAX(0,(Inputs!$B$3-100)*3)+Inputs!$B$28+Inputs!$B$29)))</f>
        <v/>
      </c>
      <c r="E698">
        <f>INDEX(FactorTable!$B$2:$Y$301, MATCH(ROUND(MIN(300,MAX(1,D698)),0), FactorTable!$A$2:$A$301,0), Skills!L13+1)</f>
        <v/>
      </c>
      <c r="F698">
        <f>IF(Skills!M13=TRUE,(Skills!K13/10)*(E698/1000),Skills!K13/10)+Skills!N13</f>
        <v/>
      </c>
      <c r="G698">
        <f>Calc!G13</f>
        <v/>
      </c>
      <c r="H698">
        <f>Calc!H13</f>
        <v/>
      </c>
      <c r="I698">
        <f>IF(Skills!T13&lt;&gt;"",1+(Skills!T13/10)*(Z688/1000)/100,1)</f>
        <v/>
      </c>
      <c r="J698" t="inlineStr"/>
      <c r="K698" t="inlineStr"/>
      <c r="L698" t="inlineStr"/>
      <c r="M698" t="inlineStr"/>
      <c r="N698" t="inlineStr"/>
      <c r="O698">
        <f>(1-Summary!$B$11)*S698+Summary!$B$11*U698</f>
        <v/>
      </c>
      <c r="P698">
        <f>IF(B722=0,0,O698/B722)</f>
        <v/>
      </c>
      <c r="Q698">
        <f>IFERROR(1/(IF(Inputs!$B$38="pvp",15,MAX(0.1,Skills!D13-IF(TRUE=TRUE,Inputs!$B$32,0)))*(1-IF(AND(ArtifactsInput!$M$27,Inputs!$B$4="Chapter Hunt"),CHOOSE(ArtifactsInput!$N$27+1,20,24,28,32,36,40),0)/100)),0)</f>
        <v/>
      </c>
      <c r="R698" t="n">
        <v>0</v>
      </c>
      <c r="S698" t="n">
        <v>0</v>
      </c>
      <c r="U698" t="n">
        <v>0</v>
      </c>
    </row>
    <row r="699">
      <c r="A699">
        <f>Skills!A14</f>
        <v/>
      </c>
      <c r="B699">
        <f>Skills!B14</f>
        <v/>
      </c>
      <c r="C699">
        <f>Inputs!$B$3&gt;=72</f>
        <v/>
      </c>
      <c r="D699">
        <f>IF(Skills!C14=1,60+(Inputs!$B$25+1)+Inputs!$B$29,IF(Skills!C14=2,90+Inputs!$B$26+Inputs!$B$29,IF(Skills!C14=3,120+Inputs!$B$27+Inputs!$B$29,MAX(0,(Inputs!$B$3-100)*3)+Inputs!$B$28+Inputs!$B$29)))</f>
        <v/>
      </c>
      <c r="E699">
        <f>INDEX(FactorTable!$B$2:$Y$301, MATCH(ROUND(MIN(300,MAX(1,D699)),0), FactorTable!$A$2:$A$301,0), Skills!L14+1)</f>
        <v/>
      </c>
      <c r="F699">
        <f>IF(Skills!M14=TRUE,(Skills!K14/10)*(E699/1000),Skills!K14/10)+Skills!N14</f>
        <v/>
      </c>
      <c r="G699">
        <f>Calc!G14</f>
        <v/>
      </c>
      <c r="H699">
        <f>Calc!H14</f>
        <v/>
      </c>
      <c r="I699">
        <f>IF(Skills!T14&lt;&gt;"",1+(Skills!T14/10)*(Z688/1000)/100,1)</f>
        <v/>
      </c>
      <c r="J699" t="inlineStr"/>
      <c r="K699" t="inlineStr"/>
      <c r="L699" t="inlineStr"/>
      <c r="M699" t="inlineStr"/>
      <c r="N699" t="inlineStr"/>
      <c r="O699">
        <f>(1-Summary!$B$11)*S699+Summary!$B$11*U699</f>
        <v/>
      </c>
      <c r="P699">
        <f>IF(B722=0,0,O699/B722)</f>
        <v/>
      </c>
      <c r="Q699">
        <f>IFERROR(1/(IF(Inputs!$B$38="pvp",15,MAX(0.1,Skills!D14-IF(TRUE=TRUE,Inputs!$B$32,0)))*(1-IF(AND(ArtifactsInput!$M$27,Inputs!$B$4="Chapter Hunt"),CHOOSE(ArtifactsInput!$N$27+1,20,24,28,32,36,40),0)/100)),0)</f>
        <v/>
      </c>
      <c r="R699" t="n">
        <v>0</v>
      </c>
      <c r="S699" t="n">
        <v>0</v>
      </c>
      <c r="U699" t="n">
        <v>0</v>
      </c>
    </row>
    <row r="700">
      <c r="A700">
        <f>Skills!A15</f>
        <v/>
      </c>
      <c r="B700">
        <f>Skills!B15</f>
        <v/>
      </c>
      <c r="C700">
        <f>Inputs!$B$3&gt;=75</f>
        <v/>
      </c>
      <c r="D700">
        <f>IF(Skills!C15=1,60+(Inputs!$B$25+1)+Inputs!$B$29,IF(Skills!C15=2,90+Inputs!$B$26+Inputs!$B$29,IF(Skills!C15=3,120+Inputs!$B$27+Inputs!$B$29,MAX(0,(Inputs!$B$3-100)*3)+Inputs!$B$28+Inputs!$B$29)))</f>
        <v/>
      </c>
      <c r="E700">
        <f>INDEX(FactorTable!$B$2:$Y$301, MATCH(ROUND(MIN(300,MAX(1,D700)),0), FactorTable!$A$2:$A$301,0), Skills!L15+1)</f>
        <v/>
      </c>
      <c r="F700">
        <f>IF(Skills!M15=TRUE,(Skills!K15/10)*(E700/1000),Skills!K15/10)+Skills!N15</f>
        <v/>
      </c>
      <c r="G700">
        <f>Calc!G15</f>
        <v/>
      </c>
      <c r="H700">
        <f>Calc!H15</f>
        <v/>
      </c>
      <c r="I700">
        <f>IF(Skills!T15&lt;&gt;"",1+(Skills!T15/10)*(Z688/1000)/100,1)</f>
        <v/>
      </c>
      <c r="J700" t="inlineStr"/>
      <c r="K700" t="inlineStr"/>
      <c r="L700" t="inlineStr"/>
      <c r="M700" t="inlineStr"/>
      <c r="N700" t="inlineStr"/>
      <c r="O700">
        <f>(1-Summary!$B$11)*S700+Summary!$B$11*U700</f>
        <v/>
      </c>
      <c r="P700">
        <f>IF(B722=0,0,O700/B722)</f>
        <v/>
      </c>
      <c r="Q700">
        <f>IFERROR(1/(IF(Inputs!$B$38="pvp",15,MAX(0.1,Skills!D15-IF(TRUE=TRUE,Inputs!$B$32,0)))*(1-IF(AND(ArtifactsInput!$M$27,Inputs!$B$4="Chapter Hunt"),CHOOSE(ArtifactsInput!$N$27+1,20,24,28,32,36,40),0)/100)),0)</f>
        <v/>
      </c>
      <c r="R700" t="n">
        <v>0</v>
      </c>
      <c r="S700" t="n">
        <v>0</v>
      </c>
      <c r="U700" t="n">
        <v>0</v>
      </c>
    </row>
    <row r="701">
      <c r="A701">
        <f>Skills!A16</f>
        <v/>
      </c>
      <c r="B701">
        <f>Skills!B16</f>
        <v/>
      </c>
      <c r="C701">
        <f>Inputs!$B$3&gt;=110</f>
        <v/>
      </c>
      <c r="D701">
        <f>IF(Skills!C16=1,60+(Inputs!$B$25+1)+Inputs!$B$29,IF(Skills!C16=2,90+Inputs!$B$26+Inputs!$B$29,IF(Skills!C16=3,120+Inputs!$B$27+Inputs!$B$29,MAX(0,(Inputs!$B$3-100)*3)+Inputs!$B$28+Inputs!$B$29)))</f>
        <v/>
      </c>
      <c r="E701">
        <f>INDEX(FactorTable!$B$2:$Y$301, MATCH(ROUND(MIN(300,MAX(1,D701)),0), FactorTable!$A$2:$A$301,0), Skills!L16+1)</f>
        <v/>
      </c>
      <c r="F701">
        <f>(Skills!K16/10)*(E701/1000)*64/45+Skills!N16</f>
        <v/>
      </c>
      <c r="G701">
        <f>Calc!G16</f>
        <v/>
      </c>
      <c r="H701">
        <f>Calc!H16</f>
        <v/>
      </c>
      <c r="I701">
        <f>IF(Skills!T16&lt;&gt;"",1+(Skills!T16/10)*(Z688/1000)/100,1)</f>
        <v/>
      </c>
      <c r="J701" t="inlineStr"/>
      <c r="K701" t="inlineStr"/>
      <c r="L701" t="inlineStr"/>
      <c r="M701" t="inlineStr"/>
      <c r="N701" t="inlineStr"/>
      <c r="O701">
        <f>(1-Summary!$B$11)*S701+Summary!$B$11*U701</f>
        <v/>
      </c>
      <c r="P701">
        <f>IF(B722=0,0,O701/B722)</f>
        <v/>
      </c>
      <c r="Q701">
        <f>IFERROR(1/(IF(Inputs!$B$38="pvp",15,MAX(0.1,Skills!D16-IF(TRUE=TRUE,Inputs!$B$32,0)))*(1-IF(AND(ArtifactsInput!$M$27,Inputs!$B$4="Chapter Hunt"),CHOOSE(ArtifactsInput!$N$27+1,20,24,28,32,36,40),0)/100)),0)</f>
        <v/>
      </c>
      <c r="R701">
        <f>IF(AND(Inputs!$B$38&lt;&gt;"pvp",Inputs!$B$43&gt;0),IF(Inputs!$B$43&lt;=0,0,(INT(Inputs!$B$43/(IF(Inputs!$B$38="pvp",15,MAX(0.1,Skills!D16-IF(TRUE=TRUE,Inputs!$B$32,0)))*(1-IF(AND(ArtifactsInput!$M$27,Inputs!$B$4="Chapter Hunt"),CHOOSE(ArtifactsInput!$N$27+1,20,24,28,32,36,40),0)/100)))+1)),0)</f>
        <v/>
      </c>
      <c r="S701" t="n">
        <v>0</v>
      </c>
      <c r="U701" t="n">
        <v>0</v>
      </c>
    </row>
    <row r="702">
      <c r="A702">
        <f>Skills!A17</f>
        <v/>
      </c>
      <c r="B702">
        <f>Skills!B17</f>
        <v/>
      </c>
      <c r="C702">
        <f>Inputs!$B$3&gt;=33</f>
        <v/>
      </c>
      <c r="D702">
        <f>IF(Skills!C17=1,60+(Inputs!$B$25+1)+Inputs!$B$29,IF(Skills!C17=2,90+Inputs!$B$26+Inputs!$B$29,IF(Skills!C17=3,120+Inputs!$B$27+Inputs!$B$29,MAX(0,(Inputs!$B$3-100)*3)+Inputs!$B$28+Inputs!$B$29)))</f>
        <v/>
      </c>
      <c r="E702">
        <f>INDEX(FactorTable!$B$2:$Y$301, MATCH(ROUND(MIN(300,MAX(1,D702)),0), FactorTable!$A$2:$A$301,0), Skills!L17+1)</f>
        <v/>
      </c>
      <c r="F702">
        <f>IF(Skills!M17=TRUE,(Skills!K17/10)*(E702/1000),Skills!K17/10)+Skills!N17</f>
        <v/>
      </c>
      <c r="G702">
        <f>Calc!G17</f>
        <v/>
      </c>
      <c r="H702">
        <f>Calc!H17</f>
        <v/>
      </c>
      <c r="I702">
        <f>IF(Skills!T17&lt;&gt;"",1+(Skills!T17/10)*(Z688/1000)/100,1)</f>
        <v/>
      </c>
      <c r="J702" t="inlineStr"/>
      <c r="K702" t="inlineStr"/>
      <c r="L702" t="inlineStr"/>
      <c r="M702" t="inlineStr"/>
      <c r="N702" t="inlineStr"/>
      <c r="O702">
        <f>(1-Summary!$B$11)*S702+Summary!$B$11*U702</f>
        <v/>
      </c>
      <c r="P702">
        <f>IF(B722=0,0,O702/B722)</f>
        <v/>
      </c>
      <c r="Q702">
        <f>IFERROR(1/(IF(Inputs!$B$38="pvp",15,MAX(0.1,Skills!D17-IF(TRUE=TRUE,Inputs!$B$32,0)))*(1-IF(AND(ArtifactsInput!$M$27,Inputs!$B$4="Chapter Hunt"),CHOOSE(ArtifactsInput!$N$27+1,20,24,28,32,36,40),0)/100)),0)</f>
        <v/>
      </c>
      <c r="R702" t="n">
        <v>0</v>
      </c>
      <c r="S702" t="n">
        <v>0</v>
      </c>
      <c r="U702" t="n">
        <v>0</v>
      </c>
    </row>
    <row r="703">
      <c r="A703">
        <f>Skills!A18</f>
        <v/>
      </c>
      <c r="B703">
        <f>Skills!B18</f>
        <v/>
      </c>
      <c r="C703">
        <f>Inputs!$B$3&gt;=43</f>
        <v/>
      </c>
      <c r="D703">
        <f>IF(Skills!C18=1,60+(Inputs!$B$25+1)+Inputs!$B$29,IF(Skills!C18=2,90+Inputs!$B$26+Inputs!$B$29,IF(Skills!C18=3,120+Inputs!$B$27+Inputs!$B$29,MAX(0,(Inputs!$B$3-100)*3)+Inputs!$B$28+Inputs!$B$29)))</f>
        <v/>
      </c>
      <c r="E703">
        <f>INDEX(FactorTable!$B$2:$Y$301, MATCH(ROUND(MIN(300,MAX(1,D703)),0), FactorTable!$A$2:$A$301,0), Skills!L18+1)</f>
        <v/>
      </c>
      <c r="F703">
        <f>IF(Skills!M18=TRUE,(Skills!K18/10)*(E703/1000),Skills!K18/10)+Skills!N18</f>
        <v/>
      </c>
      <c r="G703">
        <f>Calc!G18</f>
        <v/>
      </c>
      <c r="H703">
        <f>Calc!H18</f>
        <v/>
      </c>
      <c r="I703">
        <f>IF(Skills!T18&lt;&gt;"",1+(Skills!T18/10)*(Z688/1000)/100,1)</f>
        <v/>
      </c>
      <c r="J703" t="inlineStr"/>
      <c r="K703" t="inlineStr"/>
      <c r="L703" t="inlineStr"/>
      <c r="M703" t="inlineStr"/>
      <c r="N703" t="inlineStr"/>
      <c r="O703">
        <f>(1-Summary!$B$11)*S703+Summary!$B$11*U703</f>
        <v/>
      </c>
      <c r="P703">
        <f>IF(B722=0,0,O703/B722)</f>
        <v/>
      </c>
      <c r="Q703">
        <f>IFERROR(1/(IF(Inputs!$B$38="pvp",15,MAX(0.1,Skills!D18-IF(TRUE=TRUE,Inputs!$B$32,0)))*(1-IF(AND(ArtifactsInput!$M$27,Inputs!$B$4="Chapter Hunt"),CHOOSE(ArtifactsInput!$N$27+1,20,24,28,32,36,40),0)/100)),0)</f>
        <v/>
      </c>
      <c r="R703" t="n">
        <v>0</v>
      </c>
      <c r="S703" t="n">
        <v>0</v>
      </c>
      <c r="U703" t="n">
        <v>0</v>
      </c>
    </row>
    <row r="704">
      <c r="A704">
        <f>Skills!A19</f>
        <v/>
      </c>
      <c r="B704">
        <f>Skills!B19</f>
        <v/>
      </c>
      <c r="C704">
        <f>Inputs!$B$3&gt;=50</f>
        <v/>
      </c>
      <c r="D704">
        <f>IF(Skills!C19=1,60+(Inputs!$B$25+1)+Inputs!$B$29,IF(Skills!C19=2,90+Inputs!$B$26+Inputs!$B$29,IF(Skills!C19=3,120+Inputs!$B$27+Inputs!$B$29,MAX(0,(Inputs!$B$3-100)*3)+Inputs!$B$28+Inputs!$B$29)))</f>
        <v/>
      </c>
      <c r="E704">
        <f>INDEX(FactorTable!$B$2:$Y$301, MATCH(ROUND(MIN(300,MAX(1,D704)),0), FactorTable!$A$2:$A$301,0), Skills!L19+1)</f>
        <v/>
      </c>
      <c r="F704">
        <f>IF(Skills!M19=TRUE,(Skills!K19/10)*(E704/1000),Skills!K19/10)+Skills!N19</f>
        <v/>
      </c>
      <c r="G704">
        <f>Calc!G19</f>
        <v/>
      </c>
      <c r="H704">
        <f>Calc!H19</f>
        <v/>
      </c>
      <c r="I704">
        <f>IF(Skills!T19&lt;&gt;"",1+(Skills!T19/10)*(Z688/1000)/100,1)</f>
        <v/>
      </c>
      <c r="J704" t="inlineStr"/>
      <c r="K704" t="inlineStr"/>
      <c r="L704" t="inlineStr"/>
      <c r="M704" t="inlineStr"/>
      <c r="N704" t="inlineStr"/>
      <c r="O704">
        <f>(1-Summary!$B$11)*S704+Summary!$B$11*U704</f>
        <v/>
      </c>
      <c r="P704">
        <f>IF(B722=0,0,O704/B722)</f>
        <v/>
      </c>
      <c r="Q704">
        <f>IFERROR(1/(IF(Inputs!$B$38="pvp",15,MAX(0.1,Skills!D19-IF(TRUE=TRUE,Inputs!$B$32,0)))*(1-IF(AND(ArtifactsInput!$M$27,Inputs!$B$4="Chapter Hunt"),CHOOSE(ArtifactsInput!$N$27+1,20,24,28,32,36,40),0)/100)),0)</f>
        <v/>
      </c>
      <c r="R704" t="n">
        <v>0</v>
      </c>
      <c r="S704" t="n">
        <v>0</v>
      </c>
      <c r="U704" t="n">
        <v>0</v>
      </c>
    </row>
    <row r="705">
      <c r="A705">
        <f>Skills!A20</f>
        <v/>
      </c>
      <c r="B705">
        <f>Skills!B20</f>
        <v/>
      </c>
      <c r="C705">
        <f>Inputs!$B$3&gt;=74</f>
        <v/>
      </c>
      <c r="D705">
        <f>IF(Skills!C20=1,60+(Inputs!$B$25+1)+Inputs!$B$29,IF(Skills!C20=2,90+Inputs!$B$26+Inputs!$B$29,IF(Skills!C20=3,120+Inputs!$B$27+Inputs!$B$29,MAX(0,(Inputs!$B$3-100)*3)+Inputs!$B$28+Inputs!$B$29)))</f>
        <v/>
      </c>
      <c r="E705">
        <f>INDEX(FactorTable!$B$2:$Y$301, MATCH(ROUND(MIN(300,MAX(1,D705)),0), FactorTable!$A$2:$A$301,0), Skills!L20+1)</f>
        <v/>
      </c>
      <c r="F705">
        <f>IF(Skills!M20=TRUE,(Skills!K20/10)*(E705/1000),Skills!K20/10)+Skills!N20</f>
        <v/>
      </c>
      <c r="G705">
        <f>Calc!G20</f>
        <v/>
      </c>
      <c r="H705">
        <f>Calc!H20</f>
        <v/>
      </c>
      <c r="I705">
        <f>IF(Skills!T20&lt;&gt;"",1+(Skills!T20/10)*(Z688/1000)/100,1)</f>
        <v/>
      </c>
      <c r="J705" t="inlineStr"/>
      <c r="K705" t="inlineStr"/>
      <c r="L705" t="inlineStr"/>
      <c r="M705" t="inlineStr"/>
      <c r="N705" t="inlineStr"/>
      <c r="O705">
        <f>(1-Summary!$B$11)*S705+Summary!$B$11*U705</f>
        <v/>
      </c>
      <c r="P705">
        <f>IF(B722=0,0,O705/B722)</f>
        <v/>
      </c>
      <c r="Q705">
        <f>IFERROR(1/(IF(Inputs!$B$38="pvp",15,MAX(0.1,Skills!D20-IF(TRUE=TRUE,Inputs!$B$32,0)))*(1-IF(AND(ArtifactsInput!$M$27,Inputs!$B$4="Chapter Hunt"),CHOOSE(ArtifactsInput!$N$27+1,20,24,28,32,36,40),0)/100)),0)</f>
        <v/>
      </c>
      <c r="R705" t="n">
        <v>0</v>
      </c>
      <c r="S705" t="n">
        <v>0</v>
      </c>
      <c r="U705" t="n">
        <v>0</v>
      </c>
    </row>
    <row r="706">
      <c r="A706">
        <f>Skills!A21</f>
        <v/>
      </c>
      <c r="B706">
        <f>Skills!B21</f>
        <v/>
      </c>
      <c r="C706">
        <f>Inputs!$B$3&gt;=74</f>
        <v/>
      </c>
      <c r="D706">
        <f>IF(Skills!C21=1,60+(Inputs!$B$25+1)+Inputs!$B$29,IF(Skills!C21=2,90+Inputs!$B$26+Inputs!$B$29,IF(Skills!C21=3,120+Inputs!$B$27+Inputs!$B$29,MAX(0,(Inputs!$B$3-100)*3)+Inputs!$B$28+Inputs!$B$29)))</f>
        <v/>
      </c>
      <c r="E706">
        <f>INDEX(FactorTable!$B$2:$Y$301, MATCH(ROUND(MIN(300,MAX(1,D706)),0), FactorTable!$A$2:$A$301,0), Skills!L21+1)</f>
        <v/>
      </c>
      <c r="F706">
        <f>IF(Skills!M21=TRUE,(Skills!K21/10)*(E706/1000),Skills!K21/10)+Skills!N21</f>
        <v/>
      </c>
      <c r="G706">
        <f>Calc!G21</f>
        <v/>
      </c>
      <c r="H706">
        <f>Calc!H21</f>
        <v/>
      </c>
      <c r="I706">
        <f>IF(Skills!T21&lt;&gt;"",1+(Skills!T21/10)*(Z688/1000)/100,1)</f>
        <v/>
      </c>
      <c r="J706" t="inlineStr"/>
      <c r="K706" t="inlineStr"/>
      <c r="L706" t="inlineStr"/>
      <c r="M706" t="inlineStr"/>
      <c r="N706" t="inlineStr"/>
      <c r="O706">
        <f>(1-Summary!$B$11)*S706+Summary!$B$11*U706</f>
        <v/>
      </c>
      <c r="P706">
        <f>IF(B722=0,0,O706/B722)</f>
        <v/>
      </c>
      <c r="Q706">
        <f>IFERROR(1/(IF(Inputs!$B$38="pvp",15,MAX(0.1,Skills!D21-IF(TRUE=TRUE,Inputs!$B$32,0)))*(1-IF(AND(ArtifactsInput!$M$27,Inputs!$B$4="Chapter Hunt"),CHOOSE(ArtifactsInput!$N$27+1,20,24,28,32,36,40),0)/100)),0)</f>
        <v/>
      </c>
      <c r="R706" t="n">
        <v>0</v>
      </c>
      <c r="S706" t="n">
        <v>0</v>
      </c>
      <c r="U706" t="n">
        <v>0</v>
      </c>
    </row>
    <row r="707">
      <c r="A707">
        <f>Skills!A22</f>
        <v/>
      </c>
      <c r="B707">
        <f>Skills!B22</f>
        <v/>
      </c>
      <c r="C707">
        <f>Inputs!$B$3&gt;=117</f>
        <v/>
      </c>
      <c r="D707">
        <f>IF(Skills!C22=1,60+(Inputs!$B$25+1)+Inputs!$B$29,IF(Skills!C22=2,90+Inputs!$B$26+Inputs!$B$29,IF(Skills!C22=3,120+Inputs!$B$27+Inputs!$B$29,MAX(0,(Inputs!$B$3-100)*3)+Inputs!$B$28+Inputs!$B$29)))</f>
        <v/>
      </c>
      <c r="E707">
        <f>INDEX(FactorTable!$B$2:$Y$301, MATCH(ROUND(MIN(300,MAX(1,D707)),0), FactorTable!$A$2:$A$301,0), Skills!L22+1)</f>
        <v/>
      </c>
      <c r="F707">
        <f>IF(Skills!M22=TRUE,(Skills!K22/10)*(E707/1000),Skills!K22/10)+Skills!N22</f>
        <v/>
      </c>
      <c r="G707">
        <f>Calc!G22</f>
        <v/>
      </c>
      <c r="H707">
        <f>Calc!H22</f>
        <v/>
      </c>
      <c r="I707">
        <f>IF(Skills!T22&lt;&gt;"",1+(Skills!T22/10)*(Z688/1000)/100,1)</f>
        <v/>
      </c>
      <c r="J707" t="inlineStr"/>
      <c r="K707" t="inlineStr"/>
      <c r="L707" t="inlineStr"/>
      <c r="M707" t="inlineStr"/>
      <c r="N707" t="inlineStr"/>
      <c r="O707">
        <f>(1-Summary!$B$11)*S707+Summary!$B$11*U707</f>
        <v/>
      </c>
      <c r="P707">
        <f>IF(B722=0,0,O707/B722)</f>
        <v/>
      </c>
      <c r="Q707">
        <f>IFERROR(1/(IF(Inputs!$B$38="pvp",15,MAX(0.1,Skills!D22-IF(TRUE=TRUE,Inputs!$B$32,0)))*(1-IF(AND(ArtifactsInput!$M$27,Inputs!$B$4="Chapter Hunt"),CHOOSE(ArtifactsInput!$N$27+1,20,24,28,32,36,40),0)/100)),0)</f>
        <v/>
      </c>
      <c r="R707" t="n">
        <v>0</v>
      </c>
      <c r="S707" t="n">
        <v>0</v>
      </c>
      <c r="U707" t="n">
        <v>0</v>
      </c>
    </row>
    <row r="708">
      <c r="A708">
        <f>Skills!A23</f>
        <v/>
      </c>
      <c r="B708">
        <f>Skills!B23</f>
        <v/>
      </c>
      <c r="C708">
        <f>Inputs!$B$3&gt;=120</f>
        <v/>
      </c>
      <c r="D708">
        <f>IF(Skills!C23=1,60+(Inputs!$B$25+1)+Inputs!$B$29,IF(Skills!C23=2,90+Inputs!$B$26+Inputs!$B$29,IF(Skills!C23=3,120+Inputs!$B$27+Inputs!$B$29,MAX(0,(Inputs!$B$3-100)*3)+Inputs!$B$28+Inputs!$B$29)))</f>
        <v/>
      </c>
      <c r="E708">
        <f>INDEX(FactorTable!$B$2:$Y$301, MATCH(ROUND(MIN(300,MAX(1,D708)),0), FactorTable!$A$2:$A$301,0), Skills!L23+1)</f>
        <v/>
      </c>
      <c r="F708">
        <f>IF(Skills!M23=TRUE,(Skills!K23/10)*(E708/1000),Skills!K23/10)+Skills!N23</f>
        <v/>
      </c>
      <c r="G708">
        <f>Calc!G23</f>
        <v/>
      </c>
      <c r="H708">
        <f>Calc!H23</f>
        <v/>
      </c>
      <c r="I708">
        <f>IF(Skills!T23&lt;&gt;"",1+(Skills!T23/10)*(Z688/1000)/100,1)</f>
        <v/>
      </c>
      <c r="J708" t="inlineStr"/>
      <c r="K708" t="inlineStr"/>
      <c r="L708" t="inlineStr"/>
      <c r="M708" t="inlineStr"/>
      <c r="N708" t="inlineStr"/>
      <c r="O708">
        <f>(1-Summary!$B$11)*S708+Summary!$B$11*U708</f>
        <v/>
      </c>
      <c r="P708">
        <f>IF(B722=0,0,O708/B722)</f>
        <v/>
      </c>
      <c r="Q708">
        <f>IFERROR(1/(IF(Inputs!$B$38="pvp",15,MAX(0.1,Skills!D23-IF(TRUE=TRUE,Inputs!$B$32,0)))*(1-IF(AND(ArtifactsInput!$M$27,Inputs!$B$4="Chapter Hunt"),CHOOSE(ArtifactsInput!$N$27+1,20,24,28,32,36,40),0)/100)),0)</f>
        <v/>
      </c>
      <c r="R708" t="n">
        <v>0</v>
      </c>
      <c r="S708" t="n">
        <v>0</v>
      </c>
      <c r="U708" t="n">
        <v>0</v>
      </c>
    </row>
    <row r="709">
      <c r="A709">
        <f>Skills!A24</f>
        <v/>
      </c>
      <c r="B709">
        <f>Skills!B24</f>
        <v/>
      </c>
      <c r="C709">
        <f>TRUE</f>
        <v/>
      </c>
      <c r="D709">
        <f>IF(Skills!C24=1,60+(Inputs!$B$25+1)+Inputs!$B$29,IF(Skills!C24=2,90+Inputs!$B$26+Inputs!$B$29,IF(Skills!C24=3,120+Inputs!$B$27+Inputs!$B$29,MAX(0,(Inputs!$B$3-100)*3)+Inputs!$B$28+Inputs!$B$29)))</f>
        <v/>
      </c>
      <c r="E709">
        <f>INDEX(FactorTable!$B$2:$Y$301, MATCH(ROUND(MIN(300,MAX(1,D709)),0), FactorTable!$A$2:$A$301,0), Skills!L24+1)</f>
        <v/>
      </c>
      <c r="F709">
        <f>IF(Skills!M24=TRUE,(Skills!K24/10)*(E709/1000),Skills!K24/10)+Skills!N24</f>
        <v/>
      </c>
      <c r="G709">
        <f>Calc!G24</f>
        <v/>
      </c>
      <c r="H709">
        <f>Calc!H24</f>
        <v/>
      </c>
      <c r="I709">
        <f>IF(Skills!T24&lt;&gt;"",1+(Skills!T24/10)*(Z688/1000)/100,1)</f>
        <v/>
      </c>
      <c r="J709" t="inlineStr"/>
      <c r="K709" t="inlineStr"/>
      <c r="L709" t="inlineStr"/>
      <c r="M709" t="inlineStr"/>
      <c r="N709" t="inlineStr"/>
      <c r="O709">
        <f>(1-Summary!$B$11)*S709+Summary!$B$11*U709</f>
        <v/>
      </c>
      <c r="P709">
        <f>IF(B722=0,0,O709/B722)</f>
        <v/>
      </c>
      <c r="Q709">
        <f>IFERROR(1/(IF(Inputs!$B$38="pvp",15,MAX(0.1,Skills!D24-IF(TRUE=TRUE,Inputs!$B$32,0)))*(1-IF(AND(ArtifactsInput!$M$27,Inputs!$B$4="Chapter Hunt"),CHOOSE(ArtifactsInput!$N$27+1,20,24,28,32,36,40),0)/100)),0)</f>
        <v/>
      </c>
      <c r="R709">
        <f>IF(AND(Inputs!$B$38&lt;&gt;"pvp",Inputs!$B$43&gt;0),IF(Inputs!$B$43&lt;=0,0,(INT(Inputs!$B$43/(IF(Inputs!$B$38="pvp",15,MAX(0.1,Skills!D24-IF(TRUE=TRUE,Inputs!$B$32,0)))*(1-IF(AND(ArtifactsInput!$M$27,Inputs!$B$4="Chapter Hunt"),CHOOSE(ArtifactsInput!$N$27+1,20,24,28,32,36,40),0)/100)))+1)),0)</f>
        <v/>
      </c>
      <c r="S709" t="n">
        <v>0</v>
      </c>
      <c r="U709" t="n">
        <v>0</v>
      </c>
    </row>
    <row r="712">
      <c r="A712" t="inlineStr">
        <is>
          <t>Average Buff Multiplier (Magic Guard + Meditation + Artifact Attack%, summed; then Infinity)</t>
        </is>
      </c>
      <c r="B712">
        <f>(1+(IF(C688=TRUE,F688*IF(AND(Inputs!$B$38&lt;&gt;"pvp",Inputs!$B$43&gt;0),(((R688-1)*MIN((Skills!S3*(1+(Inputs!$B$34)/100)),(1/Q688))+MIN((Skills!S3*(1+(Inputs!$B$34)/100)),MAX(0,Inputs!$B$43-((R688-1)*(1/Q688)))))/Inputs!$B$43),IF(Inputs!$B$38="pvp",MIN((Skills!S3*(1+(Inputs!$B$34)/100)),15)/15,MIN(1,(Skills!S3*(1+(Inputs!$B$34)/100))/(1/Q688)))),0)+IF(C689=TRUE,F689*IF(AND(Inputs!$B$38&lt;&gt;"pvp",Inputs!$B$43&gt;0),(((R689-1)*MIN((Skills!S4*(1+(Inputs!$B$34)/100)),(1/Q689))+MIN((Skills!S4*(1+(Inputs!$B$34)/100)),MAX(0,Inputs!$B$43-((R689-1)*(1/Q689)))))/Inputs!$B$43),IF(Inputs!$B$38="pvp",MIN((Skills!S4*(1+(Inputs!$B$34)/100)),15)/15,MIN(1,(Skills!S4*(1+(Inputs!$B$34)/100))/(1/Q689)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701=TRUE,(1+F701*IF(AND(Inputs!$B$38&lt;&gt;"pvp",Inputs!$B$43&gt;0),(((R701-1)*MIN((Skills!S16*(1+(Inputs!$B$34)/100)),(1/Q701))+MIN((Skills!S16*(1+(Inputs!$B$34)/100)),MAX(0,Inputs!$B$43-((R701-1)*(1/Q701)))))/Inputs!$B$43),IF(Inputs!$B$38="pvp",MIN((Skills!S16*(1+(Inputs!$B$34)/100)),15)/15,MIN(1,(Skills!S16*(1+(Inputs!$B$34)/100))/(1/Q701))))/100),1)</f>
        <v/>
      </c>
    </row>
    <row r="713">
      <c r="A713" t="inlineStr">
        <is>
          <t>Monster Damage Taken Bonus % (Freezing Breath - Weaken + Elemental Reset + Artifact Enemy Damage Taken, summed)</t>
        </is>
      </c>
      <c r="B713">
        <f>IF(Inputs!$B$3&gt;=118,15*IF(Inputs!$B$38="pvp",MIN((30*(1+(Inputs!$B$34)/100)),15)/15,MIN(1,(30*(1+(Inputs!$B$34)/100))/(1/Q693))),0)+IF(C699=TRUE,F699,0)+(IF(AND(ArtifactsInput!$M$35,Inputs!$B$4&lt;&gt;"Chapter Hunt"),CHOOSE(ArtifactsInput!$N$35+1,15,18,21,24,27,30)*(1-EXP(-(0.2*B716)*5)),0)+IF(AND(ArtifactsInput!$M$22,Inputs!$B$4&lt;&gt;"Chapter Hunt"),CHOOSE(ArtifactsInput!$N$22+1,10,12,14,16,18,20)*((0*(((0.15*B716*5))^0/1)+1*(((0.15*B716*5))^1/1)+2*(((0.15*B716*5))^2/2)+3*(((0.15*B716*5))^3/6)+4*(((0.15*B716*5))^4/24)+5*(((0.15*B716*5))^5/120))/((((0.15*B716*5))^0/1)+(((0.15*B716*5))^1/1)+(((0.15*B716*5))^2/2)+(((0.15*B716*5))^3/6)+(((0.15*B716*5))^4/24)+(((0.15*B716*5))^5/120))),0))</f>
        <v/>
      </c>
    </row>
    <row r="714">
      <c r="A714" t="inlineStr">
        <is>
          <t>Damage % Bonus (Frozen Break + Frost Clutch, flat)</t>
        </is>
      </c>
      <c r="B714">
        <f>IF(Inputs!$B$3&gt;=66,15,0)+IF(Inputs!$B$3&gt;=98,10,0)+IF(Inputs!$B$3&gt;=125,20,0)</f>
        <v/>
      </c>
    </row>
    <row r="715">
      <c r="A715" t="inlineStr">
        <is>
          <t>Attack Speed Bonus % (MP Eater - MP Boost, always-on + Nimble Feet, duty-cycle averaged)</t>
        </is>
      </c>
      <c r="B715">
        <f>IF(C698=TRUE,F698+(F702-Calc!F17),0)+((C709=TRUE)*F709*IF(AND(Inputs!$B$38&lt;&gt;"pvp",Inputs!$B$43&gt;0),(((R709-1)*MIN((Skills!S24*(1+(Inputs!$B$34)/100)),(1/Q709))+MIN((Skills!S24*(1+(Inputs!$B$34)/100)),MAX(0,Inputs!$B$43-((R709-1)*(1/Q709)))))/Inputs!$B$43),IF(Inputs!$B$38="pvp",MIN((Skills!S24*(1+(Inputs!$B$34)/100)),15)/15,MIN(1,(Skills!S24*(1+(Inputs!$B$34)/100))/(1/Q709)))))</f>
        <v/>
      </c>
    </row>
    <row r="716">
      <c r="A716" t="inlineStr">
        <is>
          <t>Actions Per Second</t>
        </is>
      </c>
      <c r="B716">
        <f>1+MIN(150,150*(1-(1-(Inputs!$B$11+(ArtifactsInput!$M$15-ArtifactsInput!$M$15)*CHOOSE(ArtifactsInput!$N$15+1,8,9.6,11.2,12.8,14.4,16))/150)*(1-B715/150)))/100</f>
        <v/>
      </c>
    </row>
    <row r="717">
      <c r="A717" t="inlineStr">
        <is>
          <t>Skill + Buff Cast Rate</t>
        </is>
      </c>
      <c r="B717">
        <f>IF(AND(Inputs!$B$38&lt;&gt;"pvp",Inputs!$B$43&gt;0),SUMPRODUCT((Skills!E2:E24=TRUE)*(C687:C709=TRUE)*R687:R709)/Inputs!$B$43,SUMPRODUCT((Skills!E2:E24=TRUE)*(C687:C709=TRUE)*Q687:Q709))</f>
        <v/>
      </c>
    </row>
    <row r="718">
      <c r="A718" t="inlineStr">
        <is>
          <t>Chain Lightning Casts Per Second</t>
        </is>
      </c>
      <c r="B718">
        <f>MAX(0,B716-B717)</f>
        <v/>
      </c>
    </row>
    <row r="719">
      <c r="A719" t="inlineStr">
        <is>
          <t>Buff-Casting Startup Delay (s, fixed-duration only)</t>
        </is>
      </c>
      <c r="B719">
        <f>IF(AND(Inputs!$B$38&lt;&gt;"pvp",Inputs!$B$43&gt;0),SUMPRODUCT((Skills!S2:S24&gt;0)*(Skills!E2:E24=TRUE)*(C687:C709=TRUE))/B716,0)</f>
        <v/>
      </c>
    </row>
    <row r="720">
      <c r="A720" t="inlineStr">
        <is>
          <t>Boss-Only Total DPS (this block's swept value)</t>
        </is>
      </c>
      <c r="B720">
        <f>SUM(S687:S709)</f>
        <v/>
      </c>
    </row>
    <row r="721">
      <c r="A721" t="inlineStr">
        <is>
          <t>Normal-Only Total DPS (this block's swept value)</t>
        </is>
      </c>
      <c r="B721">
        <f>SUM(U687:U709)</f>
        <v/>
      </c>
    </row>
    <row r="722">
      <c r="A722" s="6" t="inlineStr">
        <is>
          <t>TOTAL DPS</t>
        </is>
      </c>
      <c r="B722" s="6">
        <f>SUM(O687:O709)</f>
        <v/>
      </c>
    </row>
    <row r="723">
      <c r="A723" t="inlineStr">
        <is>
          <t>Blizzard Final Attack trigger rate (this block's own Q/R)</t>
        </is>
      </c>
      <c r="B723">
        <f>IF(AND(Inputs!$B$38&lt;&gt;"pvp",Inputs!$B$43&gt;0),(((C690=TRUE)*R690*1)+((C691=TRUE)*R691*1)+((C693=TRUE)*R693*1)+((C694=TRUE)*R694*3)+((C696=TRUE)*R696*1))/Inputs!$B$43,((C690=TRUE)*Q690*1)+((C691=TRUE)*Q691*1)+((C693=TRUE)*Q693*1)+((C694=TRUE)*Q694*3)+((C696=TRUE)*Q696*1))+B718</f>
        <v/>
      </c>
    </row>
    <row r="726">
      <c r="A726" s="6" t="inlineStr">
        <is>
          <t>Stat: Skill Level Bonus — 2nd Job</t>
        </is>
      </c>
    </row>
    <row r="727">
      <c r="A727" s="5" t="inlineStr">
        <is>
          <t>Key</t>
        </is>
      </c>
      <c r="B727" s="5" t="inlineStr">
        <is>
          <t>Name</t>
        </is>
      </c>
      <c r="C727" s="5" t="inlineStr">
        <is>
          <t>Unlocked</t>
        </is>
      </c>
      <c r="D727" s="5" t="inlineStr">
        <is>
          <t>InputLevel</t>
        </is>
      </c>
      <c r="E727" s="5" t="inlineStr">
        <is>
          <t>Factor</t>
        </is>
      </c>
      <c r="F727" s="5" t="inlineStr">
        <is>
          <t>CoefficientPercent</t>
        </is>
      </c>
      <c r="G727" s="5" t="inlineStr">
        <is>
          <t>EffectiveHits</t>
        </is>
      </c>
      <c r="H727" s="5" t="inlineStr">
        <is>
          <t>ProcProbability</t>
        </is>
      </c>
      <c r="I727" s="5" t="inlineStr">
        <is>
          <t>MapleHeroMultiplier</t>
        </is>
      </c>
      <c r="J727" s="5" t="inlineStr">
        <is>
          <t>BaseDamage</t>
        </is>
      </c>
      <c r="K727" s="5" t="inlineStr">
        <is>
          <t>BaseHitDamage</t>
        </is>
      </c>
      <c r="L727" s="5" t="inlineStr">
        <is>
          <t>NonCritAvg</t>
        </is>
      </c>
      <c r="M727" s="5" t="inlineStr">
        <is>
          <t>CritAvg</t>
        </is>
      </c>
      <c r="N727" s="5" t="inlineStr">
        <is>
          <t>ExpectedDamage(perHit)</t>
        </is>
      </c>
      <c r="O727" s="5" t="inlineStr">
        <is>
          <t>DPS</t>
        </is>
      </c>
      <c r="P727" s="5" t="inlineStr">
        <is>
          <t>% of Total</t>
        </is>
      </c>
      <c r="R727" t="inlineStr">
        <is>
          <t>helpers</t>
        </is>
      </c>
    </row>
    <row r="728">
      <c r="A728">
        <f>Skills!A2</f>
        <v/>
      </c>
      <c r="B728">
        <f>Skills!B2</f>
        <v/>
      </c>
      <c r="C728">
        <f>Inputs!$B$3&gt;=100</f>
        <v/>
      </c>
      <c r="D728" t="inlineStr"/>
      <c r="E728" t="inlineStr"/>
      <c r="F728">
        <f>T730+Skills!N2</f>
        <v/>
      </c>
      <c r="G728">
        <f>Calc!G2</f>
        <v/>
      </c>
      <c r="H728">
        <f>Calc!H2</f>
        <v/>
      </c>
      <c r="I728">
        <f>IF(Skills!T2&lt;&gt;"",1+(Skills!T2/10)*(Z729/1000)/100,1)</f>
        <v/>
      </c>
      <c r="J728">
        <f>((Inputs!$B$6*(1+Inputs!$B$7/100))+(((Inputs!$B$12*(1+Inputs!$B$13/100))-(Inputs!$B$12*(1+Inputs!$B$13/100)))+0.25*(Inputs!$B$14-Inputs!$B$14))*(1+Inputs!$B$7/100))*(F728/100)</f>
        <v/>
      </c>
      <c r="K728">
        <f>J728*(1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2="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728)</f>
        <v/>
      </c>
      <c r="L728">
        <f>K728*(MIN(Inputs!$B$22+(F744-Calc!F18),(Inputs!$B$23+(IF(ArtifactsInput!$M$15,CHOOSE(ArtifactsInput!$N$15+1,25,30,35,40,45,50)/100*(Inputs!$B$11-Inputs!$B$11),0))))/100+(Inputs!$B$23+(IF(ArtifactsInput!$M$15,CHOOSE(ArtifactsInput!$N$15+1,25,30,35,40,45,50)/100*(Inputs!$B$11-Inputs!$B$11),0)))/100)/2</f>
        <v/>
      </c>
      <c r="M728">
        <f>L728*(1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28">
        <f>L728*(1-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728*(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28">
        <f>(1-Summary!$B$11)*S728+Summary!$B$11*U728</f>
        <v/>
      </c>
      <c r="P728">
        <f>IF(B763=0,0,O728/B763)</f>
        <v/>
      </c>
      <c r="Q728">
        <f>IFERROR(1/(IF(Inputs!$B$38="pvp",15,MAX(0.1,Skills!D2-IF(TRUE=TRUE,Inputs!$B$32,0)))*(1-IF(AND(ArtifactsInput!$M$27,Inputs!$B$4="Chapter Hunt"),CHOOSE(ArtifactsInput!$N$27+1,20,24,28,32,36,40),0)/100)),0)</f>
        <v/>
      </c>
      <c r="R728" t="n">
        <v>0</v>
      </c>
      <c r="S728">
        <f>IF(C728,(Skills!F2*N728*B759)*IF(Inputs!$B$38="pvp",1,1+(Inputs!$B$20+Skills!O2+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728*(1-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728*(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728*(1-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728*(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28">
        <f>MAX(0,(Inputs!$B$3-100)*3)+Inputs!$B$28+Inputs!$B$29</f>
        <v/>
      </c>
      <c r="U728">
        <f>IF(C728,(Skills!F2*N728*B759)*IF(Inputs!$B$38="pvp",1,(1+(Inputs!$B$21+Skills!P2+B754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28">
        <f>MAX(0,(Inputs!$B$3-100)*3)+Inputs!$B$28+Inputs!$B$29</f>
        <v/>
      </c>
    </row>
    <row r="729">
      <c r="A729">
        <f>Skills!A3</f>
        <v/>
      </c>
      <c r="B729">
        <f>Skills!B3</f>
        <v/>
      </c>
      <c r="C729">
        <f>Inputs!$B$3&gt;=15</f>
        <v/>
      </c>
      <c r="D729">
        <f>IF(Skills!C3=1,60+Inputs!$B$25+Inputs!$B$29,IF(Skills!C3=2,90+(Inputs!$B$26+1)+Inputs!$B$29,IF(Skills!C3=3,120+Inputs!$B$27+Inputs!$B$29,MAX(0,(Inputs!$B$3-100)*3)+Inputs!$B$28+Inputs!$B$29)))</f>
        <v/>
      </c>
      <c r="E729">
        <f>INDEX(FactorTable!$B$2:$Y$301, MATCH(ROUND(MIN(300,MAX(1,D729)),0), FactorTable!$A$2:$A$301,0), Skills!L3+1)</f>
        <v/>
      </c>
      <c r="F729">
        <f>IF(Skills!M3=TRUE,(Skills!K3/10)*(E729/1000),Skills!K3/10)+Skills!N3</f>
        <v/>
      </c>
      <c r="G729">
        <f>Calc!G3</f>
        <v/>
      </c>
      <c r="H729">
        <f>Calc!H3</f>
        <v/>
      </c>
      <c r="I729">
        <f>IF(Skills!T3&lt;&gt;"",1+(Skills!T3/10)*(Z729/1000)/100,1)</f>
        <v/>
      </c>
      <c r="J729" t="inlineStr"/>
      <c r="K729" t="inlineStr"/>
      <c r="L729" t="inlineStr"/>
      <c r="M729" t="inlineStr"/>
      <c r="N729" t="inlineStr"/>
      <c r="O729">
        <f>(1-Summary!$B$11)*S729+Summary!$B$11*U729</f>
        <v/>
      </c>
      <c r="P729">
        <f>IF(B763=0,0,O729/B763)</f>
        <v/>
      </c>
      <c r="Q729">
        <f>IFERROR(1/(IF(Inputs!$B$38="pvp",15,MAX(0.1,Skills!D3-IF(TRUE=TRUE,Inputs!$B$32,0)))*(1-IF(AND(ArtifactsInput!$M$27,Inputs!$B$4="Chapter Hunt"),CHOOSE(ArtifactsInput!$N$27+1,20,24,28,32,36,40),0)/100)),0)</f>
        <v/>
      </c>
      <c r="R729">
        <f>IF(AND(Inputs!$B$38&lt;&gt;"pvp",Inputs!$B$43&gt;0),IF(Inputs!$B$43&lt;=0,0,(INT(Inputs!$B$43/(IF(Inputs!$B$38="pvp",15,MAX(0.1,Skills!D3-IF(TRUE=TRUE,Inputs!$B$32,0)))*(1-IF(AND(ArtifactsInput!$M$27,Inputs!$B$4="Chapter Hunt"),CHOOSE(ArtifactsInput!$N$27+1,20,24,28,32,36,40),0)/100)))+1)),0)</f>
        <v/>
      </c>
      <c r="S729" t="n">
        <v>0</v>
      </c>
      <c r="T729">
        <f>INDEX(FactorTable!$B$2:$Y$301, MATCH(ROUND(MIN(300,MAX(1,T728)),0), FactorTable!$A$2:$A$301,0), 22)</f>
        <v/>
      </c>
      <c r="U729" t="n">
        <v>0</v>
      </c>
      <c r="Z729">
        <f>INDEX(FactorTable!$B$2:$Y$301, MATCH(ROUND(MIN(300,MAX(1,Z728)),0), FactorTable!$A$2:$A$301,0), 24)</f>
        <v/>
      </c>
    </row>
    <row r="730">
      <c r="A730">
        <f>Skills!A4</f>
        <v/>
      </c>
      <c r="B730">
        <f>Skills!B4</f>
        <v/>
      </c>
      <c r="C730">
        <f>Inputs!$B$3&gt;=40</f>
        <v/>
      </c>
      <c r="D730">
        <f>IF(Skills!C4=1,60+Inputs!$B$25+Inputs!$B$29,IF(Skills!C4=2,90+(Inputs!$B$26+1)+Inputs!$B$29,IF(Skills!C4=3,120+Inputs!$B$27+Inputs!$B$29,MAX(0,(Inputs!$B$3-100)*3)+Inputs!$B$28+Inputs!$B$29)))</f>
        <v/>
      </c>
      <c r="E730">
        <f>INDEX(FactorTable!$B$2:$Y$301, MATCH(ROUND(MIN(300,MAX(1,D730)),0), FactorTable!$A$2:$A$301,0), Skills!L4+1)</f>
        <v/>
      </c>
      <c r="F730">
        <f>IF(Skills!M4=TRUE,(Skills!K4/10)*(E730/1000),Skills!K4/10)+Skills!N4</f>
        <v/>
      </c>
      <c r="G730">
        <f>Calc!G4</f>
        <v/>
      </c>
      <c r="H730">
        <f>Calc!H4</f>
        <v/>
      </c>
      <c r="I730">
        <f>IF(Skills!T4&lt;&gt;"",1+(Skills!T4/10)*(Z729/1000)/100,1)</f>
        <v/>
      </c>
      <c r="J730" t="inlineStr"/>
      <c r="K730" t="inlineStr"/>
      <c r="L730" t="inlineStr"/>
      <c r="M730" t="inlineStr"/>
      <c r="N730" t="inlineStr"/>
      <c r="O730">
        <f>(1-Summary!$B$11)*S730+Summary!$B$11*U730</f>
        <v/>
      </c>
      <c r="P730">
        <f>IF(B763=0,0,O730/B763)</f>
        <v/>
      </c>
      <c r="Q730">
        <f>IFERROR(1/(IF(Inputs!$B$38="pvp",15,MAX(0.1,Skills!D4-IF(TRUE=TRUE,Inputs!$B$32,0)))*(1-IF(AND(ArtifactsInput!$M$27,Inputs!$B$4="Chapter Hunt"),CHOOSE(ArtifactsInput!$N$27+1,20,24,28,32,36,40),0)/100)),0)</f>
        <v/>
      </c>
      <c r="R730">
        <f>IF(AND(Inputs!$B$38&lt;&gt;"pvp",Inputs!$B$43&gt;0),IF(Inputs!$B$43&lt;=0,0,(INT(Inputs!$B$43/(IF(Inputs!$B$38="pvp",15,MAX(0.1,Skills!D4-IF(TRUE=TRUE,Inputs!$B$32,0)))*(1-IF(AND(ArtifactsInput!$M$27,Inputs!$B$4="Chapter Hunt"),CHOOSE(ArtifactsInput!$N$27+1,20,24,28,32,36,40),0)/100)))+1)),0)</f>
        <v/>
      </c>
      <c r="S730" t="n">
        <v>0</v>
      </c>
      <c r="T730">
        <f>290*T729/1000</f>
        <v/>
      </c>
      <c r="U730" t="n">
        <v>0</v>
      </c>
    </row>
    <row r="731">
      <c r="A731">
        <f>Skills!A5</f>
        <v/>
      </c>
      <c r="B731">
        <f>Skills!B5</f>
        <v/>
      </c>
      <c r="C731">
        <f>Inputs!$B$3&gt;=38</f>
        <v/>
      </c>
      <c r="D731">
        <f>IF(Skills!C5=1,60+Inputs!$B$25+Inputs!$B$29,IF(Skills!C5=2,90+(Inputs!$B$26+1)+Inputs!$B$29,IF(Skills!C5=3,120+Inputs!$B$27+Inputs!$B$29,MAX(0,(Inputs!$B$3-100)*3)+Inputs!$B$28+Inputs!$B$29)))</f>
        <v/>
      </c>
      <c r="E731">
        <f>INDEX(FactorTable!$B$2:$Y$301, MATCH(ROUND(MIN(300,MAX(1,D731)),0), FactorTable!$A$2:$A$301,0), Skills!L5+1)</f>
        <v/>
      </c>
      <c r="F731">
        <f>IF(Skills!M5=TRUE,(Skills!K5/10)*(E731/1000),Skills!K5/10)+Skills!N5</f>
        <v/>
      </c>
      <c r="G731">
        <f>Calc!G5</f>
        <v/>
      </c>
      <c r="H731">
        <f>Calc!H5</f>
        <v/>
      </c>
      <c r="I731">
        <f>IF(Skills!T5&lt;&gt;"",1+(Skills!T5/10)*(Z729/1000)/100,1)</f>
        <v/>
      </c>
      <c r="J731">
        <f>((Inputs!$B$6*(1+Inputs!$B$7/100))+(((Inputs!$B$12*(1+Inputs!$B$13/100))-(Inputs!$B$12*(1+Inputs!$B$13/100)))+0.25*(Inputs!$B$14-Inputs!$B$14))*(1+Inputs!$B$7/100))*(F731/100)</f>
        <v/>
      </c>
      <c r="K731">
        <f>J731*(1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5="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731)</f>
        <v/>
      </c>
      <c r="L731">
        <f>K731*(MIN(Inputs!$B$22+(F744-Calc!F18),(Inputs!$B$23+(IF(ArtifactsInput!$M$15,CHOOSE(ArtifactsInput!$N$15+1,25,30,35,40,45,50)/100*(Inputs!$B$11-Inputs!$B$11),0))))/100+(Inputs!$B$23+(IF(ArtifactsInput!$M$15,CHOOSE(ArtifactsInput!$N$15+1,25,30,35,40,45,50)/100*(Inputs!$B$11-Inputs!$B$11),0)))/100)/2</f>
        <v/>
      </c>
      <c r="M731">
        <f>L731*(1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1">
        <f>L731*(1-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1">
        <f>(1-Summary!$B$11)*S731+Summary!$B$11*U731</f>
        <v/>
      </c>
      <c r="P731">
        <f>IF(B763=0,0,O731/B763)</f>
        <v/>
      </c>
      <c r="Q731">
        <f>IFERROR(1/(IF(Inputs!$B$38="pvp",15,MAX(0.1,Skills!D5-IF(TRUE=TRUE,Inputs!$B$32,0)))*(1-IF(AND(ArtifactsInput!$M$27,Inputs!$B$4="Chapter Hunt"),CHOOSE(ArtifactsInput!$N$27+1,20,24,28,32,36,40),0)/100)),0)</f>
        <v/>
      </c>
      <c r="R731">
        <f>IF(AND(Inputs!$B$38&lt;&gt;"pvp",Inputs!$B$43&gt;0),IF(MAX(0,Inputs!$B$43-B760)&lt;=0,0,(INT(MAX(0,Inputs!$B$43-B760)/(IF(Inputs!$B$38="pvp",15,MAX(0.1,Skills!D5-IF(TRUE=TRUE,Inputs!$B$32,0)))*(1-IF(AND(ArtifactsInput!$M$27,Inputs!$B$4="Chapter Hunt"),CHOOSE(ArtifactsInput!$N$27+1,20,24,28,32,36,40),0)/100)))+1)),0)</f>
        <v/>
      </c>
      <c r="S731">
        <f>IF(C731,(H731*N731*IF(AND(Inputs!$B$38&lt;&gt;"pvp",Inputs!$B$43&gt;0),((Skills!F5*((R731-1)*IF(Skills!G5&gt;0,Skills!H5/Skills!G5,1)+IF(Skills!G5&gt;0,MIN(Skills!H5,MAX(0,MAX(0,Inputs!$B$43-B760)-((R731-1)*(IF(Inputs!$B$38="pvp",15,MAX(0.1,Skills!D5-IF(TRUE=TRUE,Inputs!$B$32,0)))*(1-IF(AND(ArtifactsInput!$M$27,Inputs!$B$4="Chapter Hunt"),CHOOSE(ArtifactsInput!$N$27+1,20,24,28,32,36,40),0)/100)))))/Skills!G5,1)))/Inputs!$B$43),G731*Q731))*IF(Inputs!$B$38="pvp",1,1+(Inputs!$B$20+Skills!O5+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731*(1-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1">
        <f>IF(C731,(H731*N731*IF(AND(Inputs!$B$38&lt;&gt;"pvp",Inputs!$B$43&gt;0),((Skills!F5*((R731-1)*IF(Skills!G5&gt;0,Skills!H5/Skills!G5,1)+IF(Skills!G5&gt;0,MIN(Skills!H5,MAX(0,MAX(0,Inputs!$B$43-B760)-((R731-1)*(IF(Inputs!$B$38="pvp",15,MAX(0.1,Skills!D5-IF(TRUE=TRUE,Inputs!$B$32,0)))*(1-IF(AND(ArtifactsInput!$M$27,Inputs!$B$4="Chapter Hunt"),CHOOSE(ArtifactsInput!$N$27+1,20,24,28,32,36,40),0)/100)))))/Skills!G5,1)))/Inputs!$B$43),G731*Q731))*IF(Inputs!$B$38="pvp",1,(1+(Inputs!$B$21+Skills!P5+B754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2">
      <c r="A732">
        <f>Skills!A6</f>
        <v/>
      </c>
      <c r="B732">
        <f>Skills!B6</f>
        <v/>
      </c>
      <c r="C732">
        <f>Inputs!$B$3&gt;=63</f>
        <v/>
      </c>
      <c r="D732">
        <f>IF(Skills!C6=1,60+Inputs!$B$25+Inputs!$B$29,IF(Skills!C6=2,90+(Inputs!$B$26+1)+Inputs!$B$29,IF(Skills!C6=3,120+Inputs!$B$27+Inputs!$B$29,MAX(0,(Inputs!$B$3-100)*3)+Inputs!$B$28+Inputs!$B$29)))</f>
        <v/>
      </c>
      <c r="E732">
        <f>INDEX(FactorTable!$B$2:$Y$301, MATCH(ROUND(MIN(300,MAX(1,D732)),0), FactorTable!$A$2:$A$301,0), Skills!L6+1)</f>
        <v/>
      </c>
      <c r="F732">
        <f>IF(Skills!M6=TRUE,(Skills!K6/10)*(E732/1000),Skills!K6/10)+Skills!N6</f>
        <v/>
      </c>
      <c r="G732">
        <f>Calc!G6</f>
        <v/>
      </c>
      <c r="H732">
        <f>Calc!H6</f>
        <v/>
      </c>
      <c r="I732">
        <f>IF(Skills!T6&lt;&gt;"",1+(Skills!T6/10)*(Z729/1000)/100,1)</f>
        <v/>
      </c>
      <c r="J732">
        <f>((Inputs!$B$6*(1+Inputs!$B$7/100))+(((Inputs!$B$12*(1+Inputs!$B$13/100))-(Inputs!$B$12*(1+Inputs!$B$13/100)))+0.25*(Inputs!$B$14-Inputs!$B$14))*(1+Inputs!$B$7/100))*(F732/100)</f>
        <v/>
      </c>
      <c r="K732">
        <f>J732*(1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6="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732)</f>
        <v/>
      </c>
      <c r="L732">
        <f>K732*(MIN(Inputs!$B$22+(F744-Calc!F18),(Inputs!$B$23+(IF(ArtifactsInput!$M$15,CHOOSE(ArtifactsInput!$N$15+1,25,30,35,40,45,50)/100*(Inputs!$B$11-Inputs!$B$11),0))))/100+(Inputs!$B$23+(IF(ArtifactsInput!$M$15,CHOOSE(ArtifactsInput!$N$15+1,25,30,35,40,45,50)/100*(Inputs!$B$11-Inputs!$B$11),0)))/100)/2</f>
        <v/>
      </c>
      <c r="M732">
        <f>L732*(1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2">
        <f>L732*(1-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732*(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2">
        <f>(1-Summary!$B$11)*S732+Summary!$B$11*U732</f>
        <v/>
      </c>
      <c r="P732">
        <f>IF(B763=0,0,O732/B763)</f>
        <v/>
      </c>
      <c r="Q732">
        <f>IFERROR(1/(IF(Inputs!$B$38="pvp",15,MAX(0.1,Skills!D6-IF(TRUE=TRUE,Inputs!$B$32,0)))*(1-IF(AND(ArtifactsInput!$M$27,Inputs!$B$4="Chapter Hunt"),CHOOSE(ArtifactsInput!$N$27+1,20,24,28,32,36,40),0)/100)),0)</f>
        <v/>
      </c>
      <c r="R732">
        <f>IF(AND(Inputs!$B$38&lt;&gt;"pvp",Inputs!$B$43&gt;0),IF(MAX(0,Inputs!$B$43-B760)&lt;=0,0,(INT(MAX(0,Inputs!$B$43-B760)/(IF(Inputs!$B$38="pvp",15,MAX(0.1,Skills!D6-IF(TRUE=TRUE,Inputs!$B$32,0)))*(1-IF(AND(ArtifactsInput!$M$27,Inputs!$B$4="Chapter Hunt"),CHOOSE(ArtifactsInput!$N$27+1,20,24,28,32,36,40),0)/100)))+1)),0)</f>
        <v/>
      </c>
      <c r="S732">
        <f>IF(C732,(H732*N732*IF(AND(Inputs!$B$38&lt;&gt;"pvp",Inputs!$B$43&gt;0),((Skills!F6*((R732-1)*IF(Skills!G6&gt;0,Skills!H6/Skills!G6,1)+IF(Skills!G6&gt;0,MIN(Skills!H6,MAX(0,MAX(0,Inputs!$B$43-B760)-((R732-1)*(IF(Inputs!$B$38="pvp",15,MAX(0.1,Skills!D6-IF(TRUE=TRUE,Inputs!$B$32,0)))*(1-IF(AND(ArtifactsInput!$M$27,Inputs!$B$4="Chapter Hunt"),CHOOSE(ArtifactsInput!$N$27+1,20,24,28,32,36,40),0)/100)))))/Skills!G6,1)))/Inputs!$B$43),G732*Q732))*IF(Inputs!$B$38="pvp",1,1+(Inputs!$B$20+Skills!O6+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732*(1-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732*(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732*(1-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732*(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2">
        <f>IF(C732,(H732*N732*IF(AND(Inputs!$B$38&lt;&gt;"pvp",Inputs!$B$43&gt;0),((Skills!F6*((R732-1)*IF(Skills!G6&gt;0,Skills!H6/Skills!G6,1)+IF(Skills!G6&gt;0,MIN(Skills!H6,MAX(0,MAX(0,Inputs!$B$43-B760)-((R732-1)*(IF(Inputs!$B$38="pvp",15,MAX(0.1,Skills!D6-IF(TRUE=TRUE,Inputs!$B$32,0)))*(1-IF(AND(ArtifactsInput!$M$27,Inputs!$B$4="Chapter Hunt"),CHOOSE(ArtifactsInput!$N$27+1,20,24,28,32,36,40),0)/100)))))/Skills!G6,1)))/Inputs!$B$43),G732*Q732))*IF(Inputs!$B$38="pvp",1,(1+(Inputs!$B$21+Skills!P6+B754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3">
      <c r="A733">
        <f>Skills!A7</f>
        <v/>
      </c>
      <c r="B733">
        <f>Skills!B7</f>
        <v/>
      </c>
      <c r="C733">
        <f>Inputs!$B$3&gt;=69</f>
        <v/>
      </c>
      <c r="D733">
        <f>IF(Skills!C7=1,60+Inputs!$B$25+Inputs!$B$29,IF(Skills!C7=2,90+(Inputs!$B$26+1)+Inputs!$B$29,IF(Skills!C7=3,120+Inputs!$B$27+Inputs!$B$29,MAX(0,(Inputs!$B$3-100)*3)+Inputs!$B$28+Inputs!$B$29)))</f>
        <v/>
      </c>
      <c r="E733">
        <f>INDEX(FactorTable!$B$2:$Y$301, MATCH(ROUND(MIN(300,MAX(1,D733)),0), FactorTable!$A$2:$A$301,0), Skills!L7+1)</f>
        <v/>
      </c>
      <c r="F733">
        <f>IF(Skills!M7=TRUE,(Skills!K7/10)*(E733/1000),Skills!K7/10)+Skills!N7</f>
        <v/>
      </c>
      <c r="G733">
        <f>Calc!G7</f>
        <v/>
      </c>
      <c r="H733">
        <f>Calc!H7</f>
        <v/>
      </c>
      <c r="I733">
        <f>IF(Skills!T7&lt;&gt;"",1+(Skills!T7/10)*(Z729/1000)/100,1)</f>
        <v/>
      </c>
      <c r="J733">
        <f>((Inputs!$B$6*(1+Inputs!$B$7/100))+(((Inputs!$B$12*(1+Inputs!$B$13/100))-(Inputs!$B$12*(1+Inputs!$B$13/100)))+0.25*(Inputs!$B$14-Inputs!$B$14))*(1+Inputs!$B$7/100))*(F733/100)</f>
        <v/>
      </c>
      <c r="K733">
        <f>J733*(1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7="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733)</f>
        <v/>
      </c>
      <c r="L733">
        <f>K733*(MIN(Inputs!$B$22+(F744-Calc!F18),(Inputs!$B$23+(IF(ArtifactsInput!$M$15,CHOOSE(ArtifactsInput!$N$15+1,25,30,35,40,45,50)/100*(Inputs!$B$11-Inputs!$B$11),0))))/100+(Inputs!$B$23+(IF(ArtifactsInput!$M$15,CHOOSE(ArtifactsInput!$N$15+1,25,30,35,40,45,50)/100*(Inputs!$B$11-Inputs!$B$11),0)))/100)/2</f>
        <v/>
      </c>
      <c r="M733">
        <f>L733*(1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3">
        <f>L733*(1-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733*(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3">
        <f>(1-Summary!$B$11)*S733+Summary!$B$11*U733</f>
        <v/>
      </c>
      <c r="P733">
        <f>IF(B763=0,0,O733/B763)</f>
        <v/>
      </c>
      <c r="Q733">
        <f>IFERROR(1/(IF(Inputs!$B$38="pvp",15,MAX(0.1,Skills!D7-IF(TRUE=TRUE,Inputs!$B$32,0)))*(1-IF(AND(ArtifactsInput!$M$27,Inputs!$B$4="Chapter Hunt"),CHOOSE(ArtifactsInput!$N$27+1,20,24,28,32,36,40),0)/100)),0)</f>
        <v/>
      </c>
      <c r="R733">
        <f>IF(AND(Inputs!$B$38&lt;&gt;"pvp",Inputs!$B$43&gt;0),IF(MAX(0,Inputs!$B$43-B760)&lt;=0,0,(INT(MAX(0,Inputs!$B$43-B760)/(IF(Inputs!$B$38="pvp",15,MAX(0.1,Skills!D7-IF(TRUE=TRUE,Inputs!$B$32,0)))*(1-IF(AND(ArtifactsInput!$M$27,Inputs!$B$4="Chapter Hunt"),CHOOSE(ArtifactsInput!$N$27+1,20,24,28,32,36,40),0)/100)))+1)),0)</f>
        <v/>
      </c>
      <c r="S733">
        <f>IF(C733,(H733*N733*IF(AND(Inputs!$B$38&lt;&gt;"pvp",Inputs!$B$43&gt;0),((Skills!F7*((R733-1)*IF(Skills!G7&gt;0,Skills!H7/Skills!G7,1)+IF(Skills!G7&gt;0,MIN(Skills!H7,MAX(0,MAX(0,Inputs!$B$43-B760)-((R733-1)*(IF(Inputs!$B$38="pvp",15,MAX(0.1,Skills!D7-IF(TRUE=TRUE,Inputs!$B$32,0)))*(1-IF(AND(ArtifactsInput!$M$27,Inputs!$B$4="Chapter Hunt"),CHOOSE(ArtifactsInput!$N$27+1,20,24,28,32,36,40),0)/100)))))/Skills!G7,1)))/Inputs!$B$43),G733*Q733))*IF(Inputs!$B$38="pvp",1,1+(Inputs!$B$20+Skills!O7+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733*(1-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733*(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733*(1-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733*(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3">
        <f>IF(C733,(H733*N733*IF(AND(Inputs!$B$38&lt;&gt;"pvp",Inputs!$B$43&gt;0),((Skills!F7*((R733-1)*IF(Skills!G7&gt;0,Skills!H7/Skills!G7,1)+IF(Skills!G7&gt;0,MIN(Skills!H7,MAX(0,MAX(0,Inputs!$B$43-B760)-((R733-1)*(IF(Inputs!$B$38="pvp",15,MAX(0.1,Skills!D7-IF(TRUE=TRUE,Inputs!$B$32,0)))*(1-IF(AND(ArtifactsInput!$M$27,Inputs!$B$4="Chapter Hunt"),CHOOSE(ArtifactsInput!$N$27+1,20,24,28,32,36,40),0)/100)))))/Skills!G7,1)))/Inputs!$B$43),G733*Q733))*IF(Inputs!$B$38="pvp",1,(1+(Inputs!$B$21+Skills!P7+B754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4">
      <c r="A734">
        <f>Skills!A8</f>
        <v/>
      </c>
      <c r="B734">
        <f>Skills!B8</f>
        <v/>
      </c>
      <c r="C734">
        <f>Inputs!$B$3&gt;=103</f>
        <v/>
      </c>
      <c r="D734">
        <f>IF(Skills!C8=1,60+Inputs!$B$25+Inputs!$B$29,IF(Skills!C8=2,90+(Inputs!$B$26+1)+Inputs!$B$29,IF(Skills!C8=3,120+Inputs!$B$27+Inputs!$B$29,MAX(0,(Inputs!$B$3-100)*3)+Inputs!$B$28+Inputs!$B$29)))</f>
        <v/>
      </c>
      <c r="E734">
        <f>INDEX(FactorTable!$B$2:$Y$301, MATCH(ROUND(MIN(300,MAX(1,D734)),0), FactorTable!$A$2:$A$301,0), Skills!L8+1)</f>
        <v/>
      </c>
      <c r="F734">
        <f>IF(Skills!M8=TRUE,(Skills!K8/10)*(E734/1000),Skills!K8/10)+Skills!N8</f>
        <v/>
      </c>
      <c r="G734">
        <f>Calc!G8</f>
        <v/>
      </c>
      <c r="H734">
        <f>Calc!H8</f>
        <v/>
      </c>
      <c r="I734">
        <f>IF(Skills!T8&lt;&gt;"",1+(Skills!T8/10)*(Z729/1000)/100,1)</f>
        <v/>
      </c>
      <c r="J734">
        <f>((Inputs!$B$6*(1+Inputs!$B$7/100))+(((Inputs!$B$12*(1+Inputs!$B$13/100))-(Inputs!$B$12*(1+Inputs!$B$13/100)))+0.25*(Inputs!$B$14-Inputs!$B$14))*(1+Inputs!$B$7/100))*(F734/100)</f>
        <v/>
      </c>
      <c r="K734">
        <f>J734*(1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8="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734)</f>
        <v/>
      </c>
      <c r="L734">
        <f>K734*(MIN(Inputs!$B$22+(F744-Calc!F18),(Inputs!$B$23+(IF(ArtifactsInput!$M$15,CHOOSE(ArtifactsInput!$N$15+1,25,30,35,40,45,50)/100*(Inputs!$B$11-Inputs!$B$11),0))))/100+(Inputs!$B$23+(IF(ArtifactsInput!$M$15,CHOOSE(ArtifactsInput!$N$15+1,25,30,35,40,45,50)/100*(Inputs!$B$11-Inputs!$B$11),0)))/100)/2</f>
        <v/>
      </c>
      <c r="M734">
        <f>L734*(1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4">
        <f>L734*(1-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734*(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4">
        <f>(1-Summary!$B$11)*S734+Summary!$B$11*U734</f>
        <v/>
      </c>
      <c r="P734">
        <f>IF(B763=0,0,O734/B763)</f>
        <v/>
      </c>
      <c r="Q734">
        <f>IFERROR(1/(IF(Inputs!$B$38="pvp",15,MAX(0.1,Skills!D8-IF(TRUE=TRUE,Inputs!$B$32,0)))*(1-IF(AND(ArtifactsInput!$M$27,Inputs!$B$4="Chapter Hunt"),CHOOSE(ArtifactsInput!$N$27+1,20,24,28,32,36,40),0)/100)),0)</f>
        <v/>
      </c>
      <c r="R734">
        <f>IF(AND(Inputs!$B$38&lt;&gt;"pvp",Inputs!$B$43&gt;0),IF(MAX(0,Inputs!$B$43-B760)&lt;=0,0,(INT(MAX(0,Inputs!$B$43-B760)/(IF(Inputs!$B$38="pvp",15,MAX(0.1,Skills!D8-IF(TRUE=TRUE,Inputs!$B$32,0)))*(1-IF(AND(ArtifactsInput!$M$27,Inputs!$B$4="Chapter Hunt"),CHOOSE(ArtifactsInput!$N$27+1,20,24,28,32,36,40),0)/100)))+1)),0)</f>
        <v/>
      </c>
      <c r="S734">
        <f>IF(C734,(H734*N734*IF(AND(Inputs!$B$38&lt;&gt;"pvp",Inputs!$B$43&gt;0),((Skills!F8*((R734-1)*IF(Skills!G8&gt;0,Skills!H8/Skills!G8,1)+IF(Skills!G8&gt;0,MIN(Skills!H8,MAX(0,MAX(0,Inputs!$B$43-B760)-((R734-1)*(IF(Inputs!$B$38="pvp",15,MAX(0.1,Skills!D8-IF(TRUE=TRUE,Inputs!$B$32,0)))*(1-IF(AND(ArtifactsInput!$M$27,Inputs!$B$4="Chapter Hunt"),CHOOSE(ArtifactsInput!$N$27+1,20,24,28,32,36,40),0)/100)))))/Skills!G8,1)))/Inputs!$B$43),G734*Q734))*IF(Inputs!$B$38="pvp",1,1+(Inputs!$B$20+Skills!O8+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734*(1-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734*(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734*(1-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734*(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4">
        <f>IF(C734,(H734*N734*IF(AND(Inputs!$B$38&lt;&gt;"pvp",Inputs!$B$43&gt;0),((Skills!F8*((R734-1)*IF(Skills!G8&gt;0,Skills!H8/Skills!G8,1)+IF(Skills!G8&gt;0,MIN(Skills!H8,MAX(0,MAX(0,Inputs!$B$43-B760)-((R734-1)*(IF(Inputs!$B$38="pvp",15,MAX(0.1,Skills!D8-IF(TRUE=TRUE,Inputs!$B$32,0)))*(1-IF(AND(ArtifactsInput!$M$27,Inputs!$B$4="Chapter Hunt"),CHOOSE(ArtifactsInput!$N$27+1,20,24,28,32,36,40),0)/100)))))/Skills!G8,1)))/Inputs!$B$43),G734*Q734))*IF(Inputs!$B$38="pvp",1,(1+(Inputs!$B$21+Skills!P8+B754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5">
      <c r="A735">
        <f>Skills!A9</f>
        <v/>
      </c>
      <c r="B735">
        <f>Skills!B9</f>
        <v/>
      </c>
      <c r="C735">
        <f>Inputs!$B$3&gt;=105</f>
        <v/>
      </c>
      <c r="D735">
        <f>IF(Skills!C9=1,60+Inputs!$B$25+Inputs!$B$29,IF(Skills!C9=2,90+(Inputs!$B$26+1)+Inputs!$B$29,IF(Skills!C9=3,120+Inputs!$B$27+Inputs!$B$29,MAX(0,(Inputs!$B$3-100)*3)+Inputs!$B$28+Inputs!$B$29)))</f>
        <v/>
      </c>
      <c r="E735">
        <f>INDEX(FactorTable!$B$2:$Y$301, MATCH(ROUND(MIN(300,MAX(1,D735)),0), FactorTable!$A$2:$A$301,0), Skills!L9+1)</f>
        <v/>
      </c>
      <c r="F735">
        <f>IF(Skills!M9=TRUE,(Skills!K9/10)*(E735/1000),Skills!K9/10)+Skills!N9</f>
        <v/>
      </c>
      <c r="G735">
        <f>Calc!G9</f>
        <v/>
      </c>
      <c r="H735">
        <f>Calc!H9</f>
        <v/>
      </c>
      <c r="I735">
        <f>IF(Skills!T9&lt;&gt;"",1+(Skills!T9/10)*(Z729/1000)/100,1)</f>
        <v/>
      </c>
      <c r="J735">
        <f>((Inputs!$B$6*(1+Inputs!$B$7/100))+(((Inputs!$B$12*(1+Inputs!$B$13/100))-(Inputs!$B$12*(1+Inputs!$B$13/100)))+0.25*(Inputs!$B$14-Inputs!$B$14))*(1+Inputs!$B$7/100))*(F735/100)</f>
        <v/>
      </c>
      <c r="K735">
        <f>J735*(1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9="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735)</f>
        <v/>
      </c>
      <c r="L735">
        <f>K735*(MIN(Inputs!$B$22+(F744-Calc!F18),(Inputs!$B$23+(IF(ArtifactsInput!$M$15,CHOOSE(ArtifactsInput!$N$15+1,25,30,35,40,45,50)/100*(Inputs!$B$11-Inputs!$B$11),0))))/100+(Inputs!$B$23+(IF(ArtifactsInput!$M$15,CHOOSE(ArtifactsInput!$N$15+1,25,30,35,40,45,50)/100*(Inputs!$B$11-Inputs!$B$11),0)))/100)/2</f>
        <v/>
      </c>
      <c r="M735">
        <f>L735*(1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5">
        <f>L735*(1-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735*(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5">
        <f>(1-Summary!$B$11)*S735+Summary!$B$11*U735</f>
        <v/>
      </c>
      <c r="P735">
        <f>IF(B763=0,0,O735/B763)</f>
        <v/>
      </c>
      <c r="Q735">
        <f>IFERROR(1/(IF(Inputs!$B$38="pvp",15,MAX(0.1,Skills!D9-IF(TRUE=TRUE,Inputs!$B$32,0)))*(1-IF(AND(ArtifactsInput!$M$27,Inputs!$B$4="Chapter Hunt"),CHOOSE(ArtifactsInput!$N$27+1,20,24,28,32,36,40),0)/100)),0)</f>
        <v/>
      </c>
      <c r="R735">
        <f>IF(AND(Inputs!$B$38&lt;&gt;"pvp",Inputs!$B$43&gt;0),IF(MAX(0,Inputs!$B$43-B760)&lt;=0,0,(INT(MAX(0,Inputs!$B$43-B760)/(IF(Inputs!$B$38="pvp",15,MAX(0.1,Skills!D9-IF(TRUE=TRUE,Inputs!$B$32,0)))*(1-IF(AND(ArtifactsInput!$M$27,Inputs!$B$4="Chapter Hunt"),CHOOSE(ArtifactsInput!$N$27+1,20,24,28,32,36,40),0)/100)))+1)),0)</f>
        <v/>
      </c>
      <c r="S735">
        <f>IF(C735,(H735*N735*IF(AND(Inputs!$B$38&lt;&gt;"pvp",Inputs!$B$43&gt;0),((Skills!F9*((R735-1)*IF(Skills!G9&gt;0,Skills!H9/Skills!G9,1)+IF(Skills!G9&gt;0,MIN(Skills!H9,MAX(0,MAX(0,Inputs!$B$43-B760)-((R735-1)*(IF(Inputs!$B$38="pvp",15,MAX(0.1,Skills!D9-IF(TRUE=TRUE,Inputs!$B$32,0)))*(1-IF(AND(ArtifactsInput!$M$27,Inputs!$B$4="Chapter Hunt"),CHOOSE(ArtifactsInput!$N$27+1,20,24,28,32,36,40),0)/100)))))/Skills!G9,1)))/Inputs!$B$43),G735*Q735))*IF(Inputs!$B$38="pvp",1,1+(Inputs!$B$20+Skills!O9+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735*(1-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735*(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735*(1-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735*(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5">
        <f>IF(C735,(H735*N735*IF(AND(Inputs!$B$38&lt;&gt;"pvp",Inputs!$B$43&gt;0),((Skills!F9*((R735-1)*IF(Skills!G9&gt;0,Skills!H9/Skills!G9,1)+IF(Skills!G9&gt;0,MIN(Skills!H9,MAX(0,MAX(0,Inputs!$B$43-B760)-((R735-1)*(IF(Inputs!$B$38="pvp",15,MAX(0.1,Skills!D9-IF(TRUE=TRUE,Inputs!$B$32,0)))*(1-IF(AND(ArtifactsInput!$M$27,Inputs!$B$4="Chapter Hunt"),CHOOSE(ArtifactsInput!$N$27+1,20,24,28,32,36,40),0)/100)))))/Skills!G9,1)))/Inputs!$B$43),G735*Q735))*IF(Inputs!$B$38="pvp",1,(1+(Inputs!$B$21+Skills!P9+B754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6">
      <c r="A736">
        <f>Skills!A10</f>
        <v/>
      </c>
      <c r="B736">
        <f>Skills!B10</f>
        <v/>
      </c>
      <c r="C736">
        <f>Inputs!$B$3&gt;=113</f>
        <v/>
      </c>
      <c r="D736">
        <f>IF(Skills!C10=1,60+Inputs!$B$25+Inputs!$B$29,IF(Skills!C10=2,90+(Inputs!$B$26+1)+Inputs!$B$29,IF(Skills!C10=3,120+Inputs!$B$27+Inputs!$B$29,MAX(0,(Inputs!$B$3-100)*3)+Inputs!$B$28+Inputs!$B$29)))</f>
        <v/>
      </c>
      <c r="E736">
        <f>INDEX(FactorTable!$B$2:$Y$301, MATCH(ROUND(MIN(300,MAX(1,D736)),0), FactorTable!$A$2:$A$301,0), Skills!L10+1)</f>
        <v/>
      </c>
      <c r="F736">
        <f>IF(Skills!M10=TRUE,(Skills!K10/10)*(E736/1000),Skills!K10/10)+Skills!N10</f>
        <v/>
      </c>
      <c r="G736">
        <f>Calc!G10</f>
        <v/>
      </c>
      <c r="H736">
        <f>Calc!H10</f>
        <v/>
      </c>
      <c r="I736">
        <f>IF(Skills!T10&lt;&gt;"",1+(Skills!T10/10)*(Z729/1000)/100,1)</f>
        <v/>
      </c>
      <c r="J736">
        <f>((Inputs!$B$6*(1+Inputs!$B$7/100))+(((Inputs!$B$12*(1+Inputs!$B$13/100))-(Inputs!$B$12*(1+Inputs!$B$13/100)))+0.25*(Inputs!$B$14-Inputs!$B$14))*(1+Inputs!$B$7/100))*(F736/100)</f>
        <v/>
      </c>
      <c r="K736">
        <f>J736*(1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10="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736)</f>
        <v/>
      </c>
      <c r="L736">
        <f>K736*(MIN(Inputs!$B$22+(F744-Calc!F18),(Inputs!$B$23+(IF(ArtifactsInput!$M$15,CHOOSE(ArtifactsInput!$N$15+1,25,30,35,40,45,50)/100*(Inputs!$B$11-Inputs!$B$11),0))))/100+(Inputs!$B$23+(IF(ArtifactsInput!$M$15,CHOOSE(ArtifactsInput!$N$15+1,25,30,35,40,45,50)/100*(Inputs!$B$11-Inputs!$B$11),0)))/100)/2</f>
        <v/>
      </c>
      <c r="M736">
        <f>L736*(1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6">
        <f>L736*(1-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736*(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6">
        <f>(1-Summary!$B$11)*S736+Summary!$B$11*U736</f>
        <v/>
      </c>
      <c r="P736">
        <f>IF(B763=0,0,O736/B763)</f>
        <v/>
      </c>
      <c r="Q736">
        <f>IFERROR(1/(IF(Inputs!$B$38="pvp",15,MAX(0.1,Skills!D10-IF(TRUE=TRUE,Inputs!$B$32,0)))*(1-IF(AND(ArtifactsInput!$M$27,Inputs!$B$4="Chapter Hunt"),CHOOSE(ArtifactsInput!$N$27+1,20,24,28,32,36,40),0)/100)),0)</f>
        <v/>
      </c>
      <c r="R736" t="n">
        <v>0</v>
      </c>
      <c r="S736">
        <f>IF(C736,((H736*B764)/(1+Skills!G10*H736*B764)*N736)*IF(Inputs!$B$38="pvp",1,1+(Inputs!$B$20+Skills!O10+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736*(1-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736*(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736*(1-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736*(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6">
        <f>IF(C736,((H736*B764)/(1+Skills!G10*H736*B764)*N736)*IF(Inputs!$B$38="pvp",1,(1+(Inputs!$B$21+Skills!P10+B754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7">
      <c r="A737">
        <f>Skills!A11</f>
        <v/>
      </c>
      <c r="B737">
        <f>Skills!B11</f>
        <v/>
      </c>
      <c r="C737">
        <f>Inputs!$B$3&gt;=107</f>
        <v/>
      </c>
      <c r="D737">
        <f>IF(Skills!C11=1,60+Inputs!$B$25+Inputs!$B$29,IF(Skills!C11=2,90+(Inputs!$B$26+1)+Inputs!$B$29,IF(Skills!C11=3,120+Inputs!$B$27+Inputs!$B$29,MAX(0,(Inputs!$B$3-100)*3)+Inputs!$B$28+Inputs!$B$29)))</f>
        <v/>
      </c>
      <c r="E737">
        <f>INDEX(FactorTable!$B$2:$Y$301, MATCH(ROUND(MIN(300,MAX(1,D737)),0), FactorTable!$A$2:$A$301,0), Skills!L11+1)</f>
        <v/>
      </c>
      <c r="F737">
        <f>IF(Skills!M11=TRUE,(Skills!K11/10)*(E737/1000),Skills!K11/10)+Skills!N11</f>
        <v/>
      </c>
      <c r="G737">
        <f>Calc!G11</f>
        <v/>
      </c>
      <c r="H737">
        <f>Calc!H11</f>
        <v/>
      </c>
      <c r="I737">
        <f>IF(Skills!T11&lt;&gt;"",1+(Skills!T11/10)*(Z729/1000)/100,1)</f>
        <v/>
      </c>
      <c r="J737">
        <f>((Inputs!$B$6*(1+Inputs!$B$7/100))+(((Inputs!$B$12*(1+Inputs!$B$13/100))-(Inputs!$B$12*(1+Inputs!$B$13/100)))+0.25*(Inputs!$B$14-Inputs!$B$14))*(1+Inputs!$B$7/100))*(F737/100)</f>
        <v/>
      </c>
      <c r="K737">
        <f>J737*(1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11="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737)</f>
        <v/>
      </c>
      <c r="L737">
        <f>K737*(MIN(Inputs!$B$22+(F744-Calc!F18),(Inputs!$B$23+(IF(ArtifactsInput!$M$15,CHOOSE(ArtifactsInput!$N$15+1,25,30,35,40,45,50)/100*(Inputs!$B$11-Inputs!$B$11),0))))/100+(Inputs!$B$23+(IF(ArtifactsInput!$M$15,CHOOSE(ArtifactsInput!$N$15+1,25,30,35,40,45,50)/100*(Inputs!$B$11-Inputs!$B$11),0)))/100)/2</f>
        <v/>
      </c>
      <c r="M737">
        <f>L737*(1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7">
        <f>L737*(1-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737*(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7">
        <f>(1-Summary!$B$11)*S737+Summary!$B$11*U737</f>
        <v/>
      </c>
      <c r="P737">
        <f>IF(B763=0,0,O737/B763)</f>
        <v/>
      </c>
      <c r="Q737">
        <f>IFERROR(1/(IF(Inputs!$B$38="pvp",15,MAX(0.1,Skills!D11-IF(TRUE=TRUE,Inputs!$B$32,0)))*(1-IF(AND(ArtifactsInput!$M$27,Inputs!$B$4="Chapter Hunt"),CHOOSE(ArtifactsInput!$N$27+1,20,24,28,32,36,40),0)/100)),0)</f>
        <v/>
      </c>
      <c r="R737">
        <f>IF(AND(Inputs!$B$38&lt;&gt;"pvp",Inputs!$B$43&gt;0),IF(MAX(0,Inputs!$B$43-B760)&lt;=0,0,(INT(MAX(0,Inputs!$B$43-B760)/(IF(Inputs!$B$38="pvp",15,MAX(0.1,Skills!D11-IF(TRUE=TRUE,Inputs!$B$32,0)))*(1-IF(AND(ArtifactsInput!$M$27,Inputs!$B$4="Chapter Hunt"),CHOOSE(ArtifactsInput!$N$27+1,20,24,28,32,36,40),0)/100)))+1)),0)</f>
        <v/>
      </c>
      <c r="S737">
        <f>IF(C737,H737*N737*IF(AND(Inputs!$B$38&lt;&gt;"pvp",Inputs!$B$43&gt;0),((Skills!F11*((R737-1)*IF(Skills!G11&gt;0,Skills!H11/Skills!G11,1)+IF(Skills!G11&gt;0,MIN(Skills!H11,MAX(0,MAX(0,Inputs!$B$43-B760)-((R737-1)*(IF(Inputs!$B$38="pvp",15,MAX(0.1,Skills!D11-IF(TRUE=TRUE,Inputs!$B$32,0)))*(1-IF(AND(ArtifactsInput!$M$27,Inputs!$B$4="Chapter Hunt"),CHOOSE(ArtifactsInput!$N$27+1,20,24,28,32,36,40),0)/100)))))/Skills!G11,1)))/Inputs!$B$43),G737*Q737)*0.5*IF(Inputs!$B$38="pvp",1,1+(Inputs!$B$20+Skills!O11+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737*(1-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737*(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737*(1-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737*(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7">
        <f>IF(C737,H737*N737*IF(AND(Inputs!$B$38&lt;&gt;"pvp",Inputs!$B$43&gt;0),((Skills!F11*((R737-1)*IF(Skills!G11&gt;0,Skills!H11/Skills!G11,1)+IF(Skills!G11&gt;0,MIN(Skills!H11,MAX(0,MAX(0,Inputs!$B$43-B760)-((R737-1)*(IF(Inputs!$B$38="pvp",15,MAX(0.1,Skills!D11-IF(TRUE=TRUE,Inputs!$B$32,0)))*(1-IF(AND(ArtifactsInput!$M$27,Inputs!$B$4="Chapter Hunt"),CHOOSE(ArtifactsInput!$N$27+1,20,24,28,32,36,40),0)/100)))))/Skills!G11,1)))/Inputs!$B$43),G737*Q737)*1*IF(Inputs!$B$38="pvp",1,(1+(Inputs!$B$21+Skills!P11+B754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8">
      <c r="A738">
        <f>Skills!A12</f>
        <v/>
      </c>
      <c r="B738">
        <f>Skills!B12</f>
        <v/>
      </c>
      <c r="C738">
        <f>Inputs!$B$3&gt;=115</f>
        <v/>
      </c>
      <c r="D738">
        <f>IF(Skills!C12=1,60+Inputs!$B$25+Inputs!$B$29,IF(Skills!C12=2,90+(Inputs!$B$26+1)+Inputs!$B$29,IF(Skills!C12=3,120+Inputs!$B$27+Inputs!$B$29,MAX(0,(Inputs!$B$3-100)*3)+Inputs!$B$28+Inputs!$B$29)))</f>
        <v/>
      </c>
      <c r="E738">
        <f>INDEX(FactorTable!$B$2:$Y$301, MATCH(ROUND(MIN(300,MAX(1,D738)),0), FactorTable!$A$2:$A$301,0), Skills!L12+1)</f>
        <v/>
      </c>
      <c r="F738">
        <f>IF(Skills!M12=TRUE,(Skills!K12/10)*(E738/1000),Skills!K12/10)+Skills!N12</f>
        <v/>
      </c>
      <c r="G738">
        <f>Calc!G12</f>
        <v/>
      </c>
      <c r="H738">
        <f>Calc!H12</f>
        <v/>
      </c>
      <c r="I738">
        <f>IF(Skills!T12&lt;&gt;"",1+(Skills!T12/10)*(Z729/1000)/100,1)</f>
        <v/>
      </c>
      <c r="J738">
        <f>((Inputs!$B$6*(1+Inputs!$B$7/100))+(((Inputs!$B$12*(1+Inputs!$B$13/100))-(Inputs!$B$12*(1+Inputs!$B$13/100)))+0.25*(Inputs!$B$14-Inputs!$B$14))*(1+Inputs!$B$7/100))*(F738/100)</f>
        <v/>
      </c>
      <c r="K738">
        <f>J738*(1+((Inputs!$B$12*(1+Inputs!$B$13/100))*0.01+Inputs!$B$14*0.0025)/100)*(1+(Inputs!$B$15+B755)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741=TRUE,F741,0)/100)*(1+IF(C749=TRUE,F749,0)/100)^5*(1+(IF(Skills!A12="CHAIN_LIGHTNING",Inputs!$B$17+((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738)</f>
        <v/>
      </c>
      <c r="L738">
        <f>K738*(MIN(Inputs!$B$22+(F744-Calc!F18),(Inputs!$B$23+(IF(ArtifactsInput!$M$15,CHOOSE(ArtifactsInput!$N$15+1,25,30,35,40,45,50)/100*(Inputs!$B$11-Inputs!$B$11),0))))/100+(Inputs!$B$23+(IF(ArtifactsInput!$M$15,CHOOSE(ArtifactsInput!$N$15+1,25,30,35,40,45,50)/100*(Inputs!$B$11-Inputs!$B$11),0)))/100)/2</f>
        <v/>
      </c>
      <c r="M738">
        <f>L738*(1+(Inputs!$B$10+(F747-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8">
        <f>L738*(1-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738*(MIN((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8">
        <f>(1-Summary!$B$11)*S738+Summary!$B$11*U738</f>
        <v/>
      </c>
      <c r="P738">
        <f>IF(B763=0,0,O738/B763)</f>
        <v/>
      </c>
      <c r="Q738">
        <f>IFERROR(1/(IF(Inputs!$B$38="pvp",15,MAX(0.1,Skills!D12-IF(TRUE=TRUE,Inputs!$B$32,0)))*(1-IF(AND(ArtifactsInput!$M$27,Inputs!$B$4="Chapter Hunt"),CHOOSE(ArtifactsInput!$N$27+1,20,24,28,32,36,40),0)/100)),0)</f>
        <v/>
      </c>
      <c r="R738">
        <f>IF(AND(Inputs!$B$38&lt;&gt;"pvp",Inputs!$B$43&gt;0),IF(MAX(0,Inputs!$B$43-B760)&lt;=0,0,(INT(MAX(0,Inputs!$B$43-B760)/(IF(Inputs!$B$38="pvp",15,MAX(0.1,Skills!D12-IF(TRUE=TRUE,Inputs!$B$32,0)))*(1-IF(AND(ArtifactsInput!$M$27,Inputs!$B$4="Chapter Hunt"),CHOOSE(ArtifactsInput!$N$27+1,20,24,28,32,36,40),0)/100)))+1)),0)</f>
        <v/>
      </c>
      <c r="S738">
        <f>IF(C738,(H738*N738*IF(AND(Inputs!$B$38&lt;&gt;"pvp",Inputs!$B$43&gt;0),((Skills!F12*((R738-1)*IF(Skills!G12&gt;0,Skills!H12/Skills!G12,1)+IF(Skills!G12&gt;0,MIN(Skills!H12,MAX(0,MAX(0,Inputs!$B$43-B760)-((R738-1)*(IF(Inputs!$B$38="pvp",15,MAX(0.1,Skills!D12-IF(TRUE=TRUE,Inputs!$B$32,0)))*(1-IF(AND(ArtifactsInput!$M$27,Inputs!$B$4="Chapter Hunt"),CHOOSE(ArtifactsInput!$N$27+1,20,24,28,32,36,40),0)/100)))))/Skills!G12,1)))/Inputs!$B$43),G738*Q738))*IF(Inputs!$B$38="pvp",1,1+(Inputs!$B$20+Skills!O12+B754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738*(1-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738*(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738*(1-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738*(MIN(100,(Inputs!$B$9+((F746-Calc!F20)+(F745-Calc!F19))+(ArtifactsInput!$M$24-ArtifactsInput!$M$24)*CHOOSE(ArtifactsInput!$N$24+1,10,12,14,16,18,20)+(IF(AND(Inputs!$B$38&lt;&gt;"pvp",Inputs!$B$43=0),1,IF(IF(Inputs!$B$38="pvp",15,Inputs!$B$43)-(B760)&lt;=0,1,MAX(0,IF(Inputs!$B$38="pvp",15,Inputs!$B$43)-MAX(5,B760))/(IF(Inputs!$B$38="pvp",15,Inputs!$B$43)-(B760)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8">
        <f>IF(C738,(H738*N738*IF(AND(Inputs!$B$38&lt;&gt;"pvp",Inputs!$B$43&gt;0),((Skills!F12*((R738-1)*IF(Skills!G12&gt;0,Skills!H12/Skills!G12,1)+IF(Skills!G12&gt;0,MIN(Skills!H12,MAX(0,MAX(0,Inputs!$B$43-B760)-((R738-1)*(IF(Inputs!$B$38="pvp",15,MAX(0.1,Skills!D12-IF(TRUE=TRUE,Inputs!$B$32,0)))*(1-IF(AND(ArtifactsInput!$M$27,Inputs!$B$4="Chapter Hunt"),CHOOSE(ArtifactsInput!$N$27+1,20,24,28,32,36,40),0)/100)))))/Skills!G12,1)))/Inputs!$B$43),G738*Q738))*IF(Inputs!$B$38="pvp",1,(1+(Inputs!$B$21+Skills!P12+B754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39">
      <c r="A739">
        <f>Skills!A13</f>
        <v/>
      </c>
      <c r="B739">
        <f>Skills!B13</f>
        <v/>
      </c>
      <c r="C739">
        <f>Inputs!$B$3&gt;=49</f>
        <v/>
      </c>
      <c r="D739">
        <f>IF(Skills!C13=1,60+Inputs!$B$25+Inputs!$B$29,IF(Skills!C13=2,90+(Inputs!$B$26+1)+Inputs!$B$29,IF(Skills!C13=3,120+Inputs!$B$27+Inputs!$B$29,MAX(0,(Inputs!$B$3-100)*3)+Inputs!$B$28+Inputs!$B$29)))</f>
        <v/>
      </c>
      <c r="E739">
        <f>INDEX(FactorTable!$B$2:$Y$301, MATCH(ROUND(MIN(300,MAX(1,D739)),0), FactorTable!$A$2:$A$301,0), Skills!L13+1)</f>
        <v/>
      </c>
      <c r="F739">
        <f>IF(Skills!M13=TRUE,(Skills!K13/10)*(E739/1000),Skills!K13/10)+Skills!N13</f>
        <v/>
      </c>
      <c r="G739">
        <f>Calc!G13</f>
        <v/>
      </c>
      <c r="H739">
        <f>Calc!H13</f>
        <v/>
      </c>
      <c r="I739">
        <f>IF(Skills!T13&lt;&gt;"",1+(Skills!T13/10)*(Z729/1000)/100,1)</f>
        <v/>
      </c>
      <c r="J739" t="inlineStr"/>
      <c r="K739" t="inlineStr"/>
      <c r="L739" t="inlineStr"/>
      <c r="M739" t="inlineStr"/>
      <c r="N739" t="inlineStr"/>
      <c r="O739">
        <f>(1-Summary!$B$11)*S739+Summary!$B$11*U739</f>
        <v/>
      </c>
      <c r="P739">
        <f>IF(B763=0,0,O739/B763)</f>
        <v/>
      </c>
      <c r="Q739">
        <f>IFERROR(1/(IF(Inputs!$B$38="pvp",15,MAX(0.1,Skills!D13-IF(TRUE=TRUE,Inputs!$B$32,0)))*(1-IF(AND(ArtifactsInput!$M$27,Inputs!$B$4="Chapter Hunt"),CHOOSE(ArtifactsInput!$N$27+1,20,24,28,32,36,40),0)/100)),0)</f>
        <v/>
      </c>
      <c r="R739" t="n">
        <v>0</v>
      </c>
      <c r="S739" t="n">
        <v>0</v>
      </c>
      <c r="U739" t="n">
        <v>0</v>
      </c>
    </row>
    <row r="740">
      <c r="A740">
        <f>Skills!A14</f>
        <v/>
      </c>
      <c r="B740">
        <f>Skills!B14</f>
        <v/>
      </c>
      <c r="C740">
        <f>Inputs!$B$3&gt;=72</f>
        <v/>
      </c>
      <c r="D740">
        <f>IF(Skills!C14=1,60+Inputs!$B$25+Inputs!$B$29,IF(Skills!C14=2,90+(Inputs!$B$26+1)+Inputs!$B$29,IF(Skills!C14=3,120+Inputs!$B$27+Inputs!$B$29,MAX(0,(Inputs!$B$3-100)*3)+Inputs!$B$28+Inputs!$B$29)))</f>
        <v/>
      </c>
      <c r="E740">
        <f>INDEX(FactorTable!$B$2:$Y$301, MATCH(ROUND(MIN(300,MAX(1,D740)),0), FactorTable!$A$2:$A$301,0), Skills!L14+1)</f>
        <v/>
      </c>
      <c r="F740">
        <f>IF(Skills!M14=TRUE,(Skills!K14/10)*(E740/1000),Skills!K14/10)+Skills!N14</f>
        <v/>
      </c>
      <c r="G740">
        <f>Calc!G14</f>
        <v/>
      </c>
      <c r="H740">
        <f>Calc!H14</f>
        <v/>
      </c>
      <c r="I740">
        <f>IF(Skills!T14&lt;&gt;"",1+(Skills!T14/10)*(Z729/1000)/100,1)</f>
        <v/>
      </c>
      <c r="J740" t="inlineStr"/>
      <c r="K740" t="inlineStr"/>
      <c r="L740" t="inlineStr"/>
      <c r="M740" t="inlineStr"/>
      <c r="N740" t="inlineStr"/>
      <c r="O740">
        <f>(1-Summary!$B$11)*S740+Summary!$B$11*U740</f>
        <v/>
      </c>
      <c r="P740">
        <f>IF(B763=0,0,O740/B763)</f>
        <v/>
      </c>
      <c r="Q740">
        <f>IFERROR(1/(IF(Inputs!$B$38="pvp",15,MAX(0.1,Skills!D14-IF(TRUE=TRUE,Inputs!$B$32,0)))*(1-IF(AND(ArtifactsInput!$M$27,Inputs!$B$4="Chapter Hunt"),CHOOSE(ArtifactsInput!$N$27+1,20,24,28,32,36,40),0)/100)),0)</f>
        <v/>
      </c>
      <c r="R740" t="n">
        <v>0</v>
      </c>
      <c r="S740" t="n">
        <v>0</v>
      </c>
      <c r="U740" t="n">
        <v>0</v>
      </c>
    </row>
    <row r="741">
      <c r="A741">
        <f>Skills!A15</f>
        <v/>
      </c>
      <c r="B741">
        <f>Skills!B15</f>
        <v/>
      </c>
      <c r="C741">
        <f>Inputs!$B$3&gt;=75</f>
        <v/>
      </c>
      <c r="D741">
        <f>IF(Skills!C15=1,60+Inputs!$B$25+Inputs!$B$29,IF(Skills!C15=2,90+(Inputs!$B$26+1)+Inputs!$B$29,IF(Skills!C15=3,120+Inputs!$B$27+Inputs!$B$29,MAX(0,(Inputs!$B$3-100)*3)+Inputs!$B$28+Inputs!$B$29)))</f>
        <v/>
      </c>
      <c r="E741">
        <f>INDEX(FactorTable!$B$2:$Y$301, MATCH(ROUND(MIN(300,MAX(1,D741)),0), FactorTable!$A$2:$A$301,0), Skills!L15+1)</f>
        <v/>
      </c>
      <c r="F741">
        <f>IF(Skills!M15=TRUE,(Skills!K15/10)*(E741/1000),Skills!K15/10)+Skills!N15</f>
        <v/>
      </c>
      <c r="G741">
        <f>Calc!G15</f>
        <v/>
      </c>
      <c r="H741">
        <f>Calc!H15</f>
        <v/>
      </c>
      <c r="I741">
        <f>IF(Skills!T15&lt;&gt;"",1+(Skills!T15/10)*(Z729/1000)/100,1)</f>
        <v/>
      </c>
      <c r="J741" t="inlineStr"/>
      <c r="K741" t="inlineStr"/>
      <c r="L741" t="inlineStr"/>
      <c r="M741" t="inlineStr"/>
      <c r="N741" t="inlineStr"/>
      <c r="O741">
        <f>(1-Summary!$B$11)*S741+Summary!$B$11*U741</f>
        <v/>
      </c>
      <c r="P741">
        <f>IF(B763=0,0,O741/B763)</f>
        <v/>
      </c>
      <c r="Q741">
        <f>IFERROR(1/(IF(Inputs!$B$38="pvp",15,MAX(0.1,Skills!D15-IF(TRUE=TRUE,Inputs!$B$32,0)))*(1-IF(AND(ArtifactsInput!$M$27,Inputs!$B$4="Chapter Hunt"),CHOOSE(ArtifactsInput!$N$27+1,20,24,28,32,36,40),0)/100)),0)</f>
        <v/>
      </c>
      <c r="R741" t="n">
        <v>0</v>
      </c>
      <c r="S741" t="n">
        <v>0</v>
      </c>
      <c r="U741" t="n">
        <v>0</v>
      </c>
    </row>
    <row r="742">
      <c r="A742">
        <f>Skills!A16</f>
        <v/>
      </c>
      <c r="B742">
        <f>Skills!B16</f>
        <v/>
      </c>
      <c r="C742">
        <f>Inputs!$B$3&gt;=110</f>
        <v/>
      </c>
      <c r="D742">
        <f>IF(Skills!C16=1,60+Inputs!$B$25+Inputs!$B$29,IF(Skills!C16=2,90+(Inputs!$B$26+1)+Inputs!$B$29,IF(Skills!C16=3,120+Inputs!$B$27+Inputs!$B$29,MAX(0,(Inputs!$B$3-100)*3)+Inputs!$B$28+Inputs!$B$29)))</f>
        <v/>
      </c>
      <c r="E742">
        <f>INDEX(FactorTable!$B$2:$Y$301, MATCH(ROUND(MIN(300,MAX(1,D742)),0), FactorTable!$A$2:$A$301,0), Skills!L16+1)</f>
        <v/>
      </c>
      <c r="F742">
        <f>(Skills!K16/10)*(E742/1000)*64/45+Skills!N16</f>
        <v/>
      </c>
      <c r="G742">
        <f>Calc!G16</f>
        <v/>
      </c>
      <c r="H742">
        <f>Calc!H16</f>
        <v/>
      </c>
      <c r="I742">
        <f>IF(Skills!T16&lt;&gt;"",1+(Skills!T16/10)*(Z729/1000)/100,1)</f>
        <v/>
      </c>
      <c r="J742" t="inlineStr"/>
      <c r="K742" t="inlineStr"/>
      <c r="L742" t="inlineStr"/>
      <c r="M742" t="inlineStr"/>
      <c r="N742" t="inlineStr"/>
      <c r="O742">
        <f>(1-Summary!$B$11)*S742+Summary!$B$11*U742</f>
        <v/>
      </c>
      <c r="P742">
        <f>IF(B763=0,0,O742/B763)</f>
        <v/>
      </c>
      <c r="Q742">
        <f>IFERROR(1/(IF(Inputs!$B$38="pvp",15,MAX(0.1,Skills!D16-IF(TRUE=TRUE,Inputs!$B$32,0)))*(1-IF(AND(ArtifactsInput!$M$27,Inputs!$B$4="Chapter Hunt"),CHOOSE(ArtifactsInput!$N$27+1,20,24,28,32,36,40),0)/100)),0)</f>
        <v/>
      </c>
      <c r="R742">
        <f>IF(AND(Inputs!$B$38&lt;&gt;"pvp",Inputs!$B$43&gt;0),IF(Inputs!$B$43&lt;=0,0,(INT(Inputs!$B$43/(IF(Inputs!$B$38="pvp",15,MAX(0.1,Skills!D16-IF(TRUE=TRUE,Inputs!$B$32,0)))*(1-IF(AND(ArtifactsInput!$M$27,Inputs!$B$4="Chapter Hunt"),CHOOSE(ArtifactsInput!$N$27+1,20,24,28,32,36,40),0)/100)))+1)),0)</f>
        <v/>
      </c>
      <c r="S742" t="n">
        <v>0</v>
      </c>
      <c r="U742" t="n">
        <v>0</v>
      </c>
    </row>
    <row r="743">
      <c r="A743">
        <f>Skills!A17</f>
        <v/>
      </c>
      <c r="B743">
        <f>Skills!B17</f>
        <v/>
      </c>
      <c r="C743">
        <f>Inputs!$B$3&gt;=33</f>
        <v/>
      </c>
      <c r="D743">
        <f>IF(Skills!C17=1,60+Inputs!$B$25+Inputs!$B$29,IF(Skills!C17=2,90+(Inputs!$B$26+1)+Inputs!$B$29,IF(Skills!C17=3,120+Inputs!$B$27+Inputs!$B$29,MAX(0,(Inputs!$B$3-100)*3)+Inputs!$B$28+Inputs!$B$29)))</f>
        <v/>
      </c>
      <c r="E743">
        <f>INDEX(FactorTable!$B$2:$Y$301, MATCH(ROUND(MIN(300,MAX(1,D743)),0), FactorTable!$A$2:$A$301,0), Skills!L17+1)</f>
        <v/>
      </c>
      <c r="F743">
        <f>IF(Skills!M17=TRUE,(Skills!K17/10)*(E743/1000),Skills!K17/10)+Skills!N17</f>
        <v/>
      </c>
      <c r="G743">
        <f>Calc!G17</f>
        <v/>
      </c>
      <c r="H743">
        <f>Calc!H17</f>
        <v/>
      </c>
      <c r="I743">
        <f>IF(Skills!T17&lt;&gt;"",1+(Skills!T17/10)*(Z729/1000)/100,1)</f>
        <v/>
      </c>
      <c r="J743" t="inlineStr"/>
      <c r="K743" t="inlineStr"/>
      <c r="L743" t="inlineStr"/>
      <c r="M743" t="inlineStr"/>
      <c r="N743" t="inlineStr"/>
      <c r="O743">
        <f>(1-Summary!$B$11)*S743+Summary!$B$11*U743</f>
        <v/>
      </c>
      <c r="P743">
        <f>IF(B763=0,0,O743/B763)</f>
        <v/>
      </c>
      <c r="Q743">
        <f>IFERROR(1/(IF(Inputs!$B$38="pvp",15,MAX(0.1,Skills!D17-IF(TRUE=TRUE,Inputs!$B$32,0)))*(1-IF(AND(ArtifactsInput!$M$27,Inputs!$B$4="Chapter Hunt"),CHOOSE(ArtifactsInput!$N$27+1,20,24,28,32,36,40),0)/100)),0)</f>
        <v/>
      </c>
      <c r="R743" t="n">
        <v>0</v>
      </c>
      <c r="S743" t="n">
        <v>0</v>
      </c>
      <c r="U743" t="n">
        <v>0</v>
      </c>
    </row>
    <row r="744">
      <c r="A744">
        <f>Skills!A18</f>
        <v/>
      </c>
      <c r="B744">
        <f>Skills!B18</f>
        <v/>
      </c>
      <c r="C744">
        <f>Inputs!$B$3&gt;=43</f>
        <v/>
      </c>
      <c r="D744">
        <f>IF(Skills!C18=1,60+Inputs!$B$25+Inputs!$B$29,IF(Skills!C18=2,90+(Inputs!$B$26+1)+Inputs!$B$29,IF(Skills!C18=3,120+Inputs!$B$27+Inputs!$B$29,MAX(0,(Inputs!$B$3-100)*3)+Inputs!$B$28+Inputs!$B$29)))</f>
        <v/>
      </c>
      <c r="E744">
        <f>INDEX(FactorTable!$B$2:$Y$301, MATCH(ROUND(MIN(300,MAX(1,D744)),0), FactorTable!$A$2:$A$301,0), Skills!L18+1)</f>
        <v/>
      </c>
      <c r="F744">
        <f>IF(Skills!M18=TRUE,(Skills!K18/10)*(E744/1000),Skills!K18/10)+Skills!N18</f>
        <v/>
      </c>
      <c r="G744">
        <f>Calc!G18</f>
        <v/>
      </c>
      <c r="H744">
        <f>Calc!H18</f>
        <v/>
      </c>
      <c r="I744">
        <f>IF(Skills!T18&lt;&gt;"",1+(Skills!T18/10)*(Z729/1000)/100,1)</f>
        <v/>
      </c>
      <c r="J744" t="inlineStr"/>
      <c r="K744" t="inlineStr"/>
      <c r="L744" t="inlineStr"/>
      <c r="M744" t="inlineStr"/>
      <c r="N744" t="inlineStr"/>
      <c r="O744">
        <f>(1-Summary!$B$11)*S744+Summary!$B$11*U744</f>
        <v/>
      </c>
      <c r="P744">
        <f>IF(B763=0,0,O744/B763)</f>
        <v/>
      </c>
      <c r="Q744">
        <f>IFERROR(1/(IF(Inputs!$B$38="pvp",15,MAX(0.1,Skills!D18-IF(TRUE=TRUE,Inputs!$B$32,0)))*(1-IF(AND(ArtifactsInput!$M$27,Inputs!$B$4="Chapter Hunt"),CHOOSE(ArtifactsInput!$N$27+1,20,24,28,32,36,40),0)/100)),0)</f>
        <v/>
      </c>
      <c r="R744" t="n">
        <v>0</v>
      </c>
      <c r="S744" t="n">
        <v>0</v>
      </c>
      <c r="U744" t="n">
        <v>0</v>
      </c>
    </row>
    <row r="745">
      <c r="A745">
        <f>Skills!A19</f>
        <v/>
      </c>
      <c r="B745">
        <f>Skills!B19</f>
        <v/>
      </c>
      <c r="C745">
        <f>Inputs!$B$3&gt;=50</f>
        <v/>
      </c>
      <c r="D745">
        <f>IF(Skills!C19=1,60+Inputs!$B$25+Inputs!$B$29,IF(Skills!C19=2,90+(Inputs!$B$26+1)+Inputs!$B$29,IF(Skills!C19=3,120+Inputs!$B$27+Inputs!$B$29,MAX(0,(Inputs!$B$3-100)*3)+Inputs!$B$28+Inputs!$B$29)))</f>
        <v/>
      </c>
      <c r="E745">
        <f>INDEX(FactorTable!$B$2:$Y$301, MATCH(ROUND(MIN(300,MAX(1,D745)),0), FactorTable!$A$2:$A$301,0), Skills!L19+1)</f>
        <v/>
      </c>
      <c r="F745">
        <f>IF(Skills!M19=TRUE,(Skills!K19/10)*(E745/1000),Skills!K19/10)+Skills!N19</f>
        <v/>
      </c>
      <c r="G745">
        <f>Calc!G19</f>
        <v/>
      </c>
      <c r="H745">
        <f>Calc!H19</f>
        <v/>
      </c>
      <c r="I745">
        <f>IF(Skills!T19&lt;&gt;"",1+(Skills!T19/10)*(Z729/1000)/100,1)</f>
        <v/>
      </c>
      <c r="J745" t="inlineStr"/>
      <c r="K745" t="inlineStr"/>
      <c r="L745" t="inlineStr"/>
      <c r="M745" t="inlineStr"/>
      <c r="N745" t="inlineStr"/>
      <c r="O745">
        <f>(1-Summary!$B$11)*S745+Summary!$B$11*U745</f>
        <v/>
      </c>
      <c r="P745">
        <f>IF(B763=0,0,O745/B763)</f>
        <v/>
      </c>
      <c r="Q745">
        <f>IFERROR(1/(IF(Inputs!$B$38="pvp",15,MAX(0.1,Skills!D19-IF(TRUE=TRUE,Inputs!$B$32,0)))*(1-IF(AND(ArtifactsInput!$M$27,Inputs!$B$4="Chapter Hunt"),CHOOSE(ArtifactsInput!$N$27+1,20,24,28,32,36,40),0)/100)),0)</f>
        <v/>
      </c>
      <c r="R745" t="n">
        <v>0</v>
      </c>
      <c r="S745" t="n">
        <v>0</v>
      </c>
      <c r="U745" t="n">
        <v>0</v>
      </c>
    </row>
    <row r="746">
      <c r="A746">
        <f>Skills!A20</f>
        <v/>
      </c>
      <c r="B746">
        <f>Skills!B20</f>
        <v/>
      </c>
      <c r="C746">
        <f>Inputs!$B$3&gt;=74</f>
        <v/>
      </c>
      <c r="D746">
        <f>IF(Skills!C20=1,60+Inputs!$B$25+Inputs!$B$29,IF(Skills!C20=2,90+(Inputs!$B$26+1)+Inputs!$B$29,IF(Skills!C20=3,120+Inputs!$B$27+Inputs!$B$29,MAX(0,(Inputs!$B$3-100)*3)+Inputs!$B$28+Inputs!$B$29)))</f>
        <v/>
      </c>
      <c r="E746">
        <f>INDEX(FactorTable!$B$2:$Y$301, MATCH(ROUND(MIN(300,MAX(1,D746)),0), FactorTable!$A$2:$A$301,0), Skills!L20+1)</f>
        <v/>
      </c>
      <c r="F746">
        <f>IF(Skills!M20=TRUE,(Skills!K20/10)*(E746/1000),Skills!K20/10)+Skills!N20</f>
        <v/>
      </c>
      <c r="G746">
        <f>Calc!G20</f>
        <v/>
      </c>
      <c r="H746">
        <f>Calc!H20</f>
        <v/>
      </c>
      <c r="I746">
        <f>IF(Skills!T20&lt;&gt;"",1+(Skills!T20/10)*(Z729/1000)/100,1)</f>
        <v/>
      </c>
      <c r="J746" t="inlineStr"/>
      <c r="K746" t="inlineStr"/>
      <c r="L746" t="inlineStr"/>
      <c r="M746" t="inlineStr"/>
      <c r="N746" t="inlineStr"/>
      <c r="O746">
        <f>(1-Summary!$B$11)*S746+Summary!$B$11*U746</f>
        <v/>
      </c>
      <c r="P746">
        <f>IF(B763=0,0,O746/B763)</f>
        <v/>
      </c>
      <c r="Q746">
        <f>IFERROR(1/(IF(Inputs!$B$38="pvp",15,MAX(0.1,Skills!D20-IF(TRUE=TRUE,Inputs!$B$32,0)))*(1-IF(AND(ArtifactsInput!$M$27,Inputs!$B$4="Chapter Hunt"),CHOOSE(ArtifactsInput!$N$27+1,20,24,28,32,36,40),0)/100)),0)</f>
        <v/>
      </c>
      <c r="R746" t="n">
        <v>0</v>
      </c>
      <c r="S746" t="n">
        <v>0</v>
      </c>
      <c r="U746" t="n">
        <v>0</v>
      </c>
    </row>
    <row r="747">
      <c r="A747">
        <f>Skills!A21</f>
        <v/>
      </c>
      <c r="B747">
        <f>Skills!B21</f>
        <v/>
      </c>
      <c r="C747">
        <f>Inputs!$B$3&gt;=74</f>
        <v/>
      </c>
      <c r="D747">
        <f>IF(Skills!C21=1,60+Inputs!$B$25+Inputs!$B$29,IF(Skills!C21=2,90+(Inputs!$B$26+1)+Inputs!$B$29,IF(Skills!C21=3,120+Inputs!$B$27+Inputs!$B$29,MAX(0,(Inputs!$B$3-100)*3)+Inputs!$B$28+Inputs!$B$29)))</f>
        <v/>
      </c>
      <c r="E747">
        <f>INDEX(FactorTable!$B$2:$Y$301, MATCH(ROUND(MIN(300,MAX(1,D747)),0), FactorTable!$A$2:$A$301,0), Skills!L21+1)</f>
        <v/>
      </c>
      <c r="F747">
        <f>IF(Skills!M21=TRUE,(Skills!K21/10)*(E747/1000),Skills!K21/10)+Skills!N21</f>
        <v/>
      </c>
      <c r="G747">
        <f>Calc!G21</f>
        <v/>
      </c>
      <c r="H747">
        <f>Calc!H21</f>
        <v/>
      </c>
      <c r="I747">
        <f>IF(Skills!T21&lt;&gt;"",1+(Skills!T21/10)*(Z729/1000)/100,1)</f>
        <v/>
      </c>
      <c r="J747" t="inlineStr"/>
      <c r="K747" t="inlineStr"/>
      <c r="L747" t="inlineStr"/>
      <c r="M747" t="inlineStr"/>
      <c r="N747" t="inlineStr"/>
      <c r="O747">
        <f>(1-Summary!$B$11)*S747+Summary!$B$11*U747</f>
        <v/>
      </c>
      <c r="P747">
        <f>IF(B763=0,0,O747/B763)</f>
        <v/>
      </c>
      <c r="Q747">
        <f>IFERROR(1/(IF(Inputs!$B$38="pvp",15,MAX(0.1,Skills!D21-IF(TRUE=TRUE,Inputs!$B$32,0)))*(1-IF(AND(ArtifactsInput!$M$27,Inputs!$B$4="Chapter Hunt"),CHOOSE(ArtifactsInput!$N$27+1,20,24,28,32,36,40),0)/100)),0)</f>
        <v/>
      </c>
      <c r="R747" t="n">
        <v>0</v>
      </c>
      <c r="S747" t="n">
        <v>0</v>
      </c>
      <c r="U747" t="n">
        <v>0</v>
      </c>
    </row>
    <row r="748">
      <c r="A748">
        <f>Skills!A22</f>
        <v/>
      </c>
      <c r="B748">
        <f>Skills!B22</f>
        <v/>
      </c>
      <c r="C748">
        <f>Inputs!$B$3&gt;=117</f>
        <v/>
      </c>
      <c r="D748">
        <f>IF(Skills!C22=1,60+Inputs!$B$25+Inputs!$B$29,IF(Skills!C22=2,90+(Inputs!$B$26+1)+Inputs!$B$29,IF(Skills!C22=3,120+Inputs!$B$27+Inputs!$B$29,MAX(0,(Inputs!$B$3-100)*3)+Inputs!$B$28+Inputs!$B$29)))</f>
        <v/>
      </c>
      <c r="E748">
        <f>INDEX(FactorTable!$B$2:$Y$301, MATCH(ROUND(MIN(300,MAX(1,D748)),0), FactorTable!$A$2:$A$301,0), Skills!L22+1)</f>
        <v/>
      </c>
      <c r="F748">
        <f>IF(Skills!M22=TRUE,(Skills!K22/10)*(E748/1000),Skills!K22/10)+Skills!N22</f>
        <v/>
      </c>
      <c r="G748">
        <f>Calc!G22</f>
        <v/>
      </c>
      <c r="H748">
        <f>Calc!H22</f>
        <v/>
      </c>
      <c r="I748">
        <f>IF(Skills!T22&lt;&gt;"",1+(Skills!T22/10)*(Z729/1000)/100,1)</f>
        <v/>
      </c>
      <c r="J748" t="inlineStr"/>
      <c r="K748" t="inlineStr"/>
      <c r="L748" t="inlineStr"/>
      <c r="M748" t="inlineStr"/>
      <c r="N748" t="inlineStr"/>
      <c r="O748">
        <f>(1-Summary!$B$11)*S748+Summary!$B$11*U748</f>
        <v/>
      </c>
      <c r="P748">
        <f>IF(B763=0,0,O748/B763)</f>
        <v/>
      </c>
      <c r="Q748">
        <f>IFERROR(1/(IF(Inputs!$B$38="pvp",15,MAX(0.1,Skills!D22-IF(TRUE=TRUE,Inputs!$B$32,0)))*(1-IF(AND(ArtifactsInput!$M$27,Inputs!$B$4="Chapter Hunt"),CHOOSE(ArtifactsInput!$N$27+1,20,24,28,32,36,40),0)/100)),0)</f>
        <v/>
      </c>
      <c r="R748" t="n">
        <v>0</v>
      </c>
      <c r="S748" t="n">
        <v>0</v>
      </c>
      <c r="U748" t="n">
        <v>0</v>
      </c>
    </row>
    <row r="749">
      <c r="A749">
        <f>Skills!A23</f>
        <v/>
      </c>
      <c r="B749">
        <f>Skills!B23</f>
        <v/>
      </c>
      <c r="C749">
        <f>Inputs!$B$3&gt;=120</f>
        <v/>
      </c>
      <c r="D749">
        <f>IF(Skills!C23=1,60+Inputs!$B$25+Inputs!$B$29,IF(Skills!C23=2,90+(Inputs!$B$26+1)+Inputs!$B$29,IF(Skills!C23=3,120+Inputs!$B$27+Inputs!$B$29,MAX(0,(Inputs!$B$3-100)*3)+Inputs!$B$28+Inputs!$B$29)))</f>
        <v/>
      </c>
      <c r="E749">
        <f>INDEX(FactorTable!$B$2:$Y$301, MATCH(ROUND(MIN(300,MAX(1,D749)),0), FactorTable!$A$2:$A$301,0), Skills!L23+1)</f>
        <v/>
      </c>
      <c r="F749">
        <f>IF(Skills!M23=TRUE,(Skills!K23/10)*(E749/1000),Skills!K23/10)+Skills!N23</f>
        <v/>
      </c>
      <c r="G749">
        <f>Calc!G23</f>
        <v/>
      </c>
      <c r="H749">
        <f>Calc!H23</f>
        <v/>
      </c>
      <c r="I749">
        <f>IF(Skills!T23&lt;&gt;"",1+(Skills!T23/10)*(Z729/1000)/100,1)</f>
        <v/>
      </c>
      <c r="J749" t="inlineStr"/>
      <c r="K749" t="inlineStr"/>
      <c r="L749" t="inlineStr"/>
      <c r="M749" t="inlineStr"/>
      <c r="N749" t="inlineStr"/>
      <c r="O749">
        <f>(1-Summary!$B$11)*S749+Summary!$B$11*U749</f>
        <v/>
      </c>
      <c r="P749">
        <f>IF(B763=0,0,O749/B763)</f>
        <v/>
      </c>
      <c r="Q749">
        <f>IFERROR(1/(IF(Inputs!$B$38="pvp",15,MAX(0.1,Skills!D23-IF(TRUE=TRUE,Inputs!$B$32,0)))*(1-IF(AND(ArtifactsInput!$M$27,Inputs!$B$4="Chapter Hunt"),CHOOSE(ArtifactsInput!$N$27+1,20,24,28,32,36,40),0)/100)),0)</f>
        <v/>
      </c>
      <c r="R749" t="n">
        <v>0</v>
      </c>
      <c r="S749" t="n">
        <v>0</v>
      </c>
      <c r="U749" t="n">
        <v>0</v>
      </c>
    </row>
    <row r="750">
      <c r="A750">
        <f>Skills!A24</f>
        <v/>
      </c>
      <c r="B750">
        <f>Skills!B24</f>
        <v/>
      </c>
      <c r="C750">
        <f>TRUE</f>
        <v/>
      </c>
      <c r="D750">
        <f>IF(Skills!C24=1,60+Inputs!$B$25+Inputs!$B$29,IF(Skills!C24=2,90+(Inputs!$B$26+1)+Inputs!$B$29,IF(Skills!C24=3,120+Inputs!$B$27+Inputs!$B$29,MAX(0,(Inputs!$B$3-100)*3)+Inputs!$B$28+Inputs!$B$29)))</f>
        <v/>
      </c>
      <c r="E750">
        <f>INDEX(FactorTable!$B$2:$Y$301, MATCH(ROUND(MIN(300,MAX(1,D750)),0), FactorTable!$A$2:$A$301,0), Skills!L24+1)</f>
        <v/>
      </c>
      <c r="F750">
        <f>IF(Skills!M24=TRUE,(Skills!K24/10)*(E750/1000),Skills!K24/10)+Skills!N24</f>
        <v/>
      </c>
      <c r="G750">
        <f>Calc!G24</f>
        <v/>
      </c>
      <c r="H750">
        <f>Calc!H24</f>
        <v/>
      </c>
      <c r="I750">
        <f>IF(Skills!T24&lt;&gt;"",1+(Skills!T24/10)*(Z729/1000)/100,1)</f>
        <v/>
      </c>
      <c r="J750" t="inlineStr"/>
      <c r="K750" t="inlineStr"/>
      <c r="L750" t="inlineStr"/>
      <c r="M750" t="inlineStr"/>
      <c r="N750" t="inlineStr"/>
      <c r="O750">
        <f>(1-Summary!$B$11)*S750+Summary!$B$11*U750</f>
        <v/>
      </c>
      <c r="P750">
        <f>IF(B763=0,0,O750/B763)</f>
        <v/>
      </c>
      <c r="Q750">
        <f>IFERROR(1/(IF(Inputs!$B$38="pvp",15,MAX(0.1,Skills!D24-IF(TRUE=TRUE,Inputs!$B$32,0)))*(1-IF(AND(ArtifactsInput!$M$27,Inputs!$B$4="Chapter Hunt"),CHOOSE(ArtifactsInput!$N$27+1,20,24,28,32,36,40),0)/100)),0)</f>
        <v/>
      </c>
      <c r="R750">
        <f>IF(AND(Inputs!$B$38&lt;&gt;"pvp",Inputs!$B$43&gt;0),IF(Inputs!$B$43&lt;=0,0,(INT(Inputs!$B$43/(IF(Inputs!$B$38="pvp",15,MAX(0.1,Skills!D24-IF(TRUE=TRUE,Inputs!$B$32,0)))*(1-IF(AND(ArtifactsInput!$M$27,Inputs!$B$4="Chapter Hunt"),CHOOSE(ArtifactsInput!$N$27+1,20,24,28,32,36,40),0)/100)))+1)),0)</f>
        <v/>
      </c>
      <c r="S750" t="n">
        <v>0</v>
      </c>
      <c r="U750" t="n">
        <v>0</v>
      </c>
    </row>
    <row r="753">
      <c r="A753" t="inlineStr">
        <is>
          <t>Average Buff Multiplier (Magic Guard + Meditation + Artifact Attack%, summed; then Infinity)</t>
        </is>
      </c>
      <c r="B753">
        <f>(1+(IF(C729=TRUE,F729*IF(AND(Inputs!$B$38&lt;&gt;"pvp",Inputs!$B$43&gt;0),(((R729-1)*MIN((Skills!S3*(1+(Inputs!$B$34)/100)),(1/Q729))+MIN((Skills!S3*(1+(Inputs!$B$34)/100)),MAX(0,Inputs!$B$43-((R729-1)*(1/Q729)))))/Inputs!$B$43),IF(Inputs!$B$38="pvp",MIN((Skills!S3*(1+(Inputs!$B$34)/100)),15)/15,MIN(1,(Skills!S3*(1+(Inputs!$B$34)/100))/(1/Q729)))),0)+IF(C730=TRUE,F730*IF(AND(Inputs!$B$38&lt;&gt;"pvp",Inputs!$B$43&gt;0),(((R730-1)*MIN((Skills!S4*(1+(Inputs!$B$34)/100)),(1/Q730))+MIN((Skills!S4*(1+(Inputs!$B$34)/100)),MAX(0,Inputs!$B$43-((R730-1)*(1/Q730)))))/Inputs!$B$43),IF(Inputs!$B$38="pvp",MIN((Skills!S4*(1+(Inputs!$B$34)/100)),15)/15,MIN(1,(Skills!S4*(1+(Inputs!$B$34)/100))/(1/Q730)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742=TRUE,(1+F742*IF(AND(Inputs!$B$38&lt;&gt;"pvp",Inputs!$B$43&gt;0),(((R742-1)*MIN((Skills!S16*(1+(Inputs!$B$34)/100)),(1/Q742))+MIN((Skills!S16*(1+(Inputs!$B$34)/100)),MAX(0,Inputs!$B$43-((R742-1)*(1/Q742)))))/Inputs!$B$43),IF(Inputs!$B$38="pvp",MIN((Skills!S16*(1+(Inputs!$B$34)/100)),15)/15,MIN(1,(Skills!S16*(1+(Inputs!$B$34)/100))/(1/Q742))))/100),1)</f>
        <v/>
      </c>
    </row>
    <row r="754">
      <c r="A754" t="inlineStr">
        <is>
          <t>Monster Damage Taken Bonus % (Freezing Breath - Weaken + Elemental Reset + Artifact Enemy Damage Taken, summed)</t>
        </is>
      </c>
      <c r="B754">
        <f>IF(Inputs!$B$3&gt;=118,15*IF(Inputs!$B$38="pvp",MIN((30*(1+(Inputs!$B$34)/100)),15)/15,MIN(1,(30*(1+(Inputs!$B$34)/100))/(1/Q734))),0)+IF(C740=TRUE,F740,0)+(IF(AND(ArtifactsInput!$M$35,Inputs!$B$4&lt;&gt;"Chapter Hunt"),CHOOSE(ArtifactsInput!$N$35+1,15,18,21,24,27,30)*(1-EXP(-(0.2*B757)*5)),0)+IF(AND(ArtifactsInput!$M$22,Inputs!$B$4&lt;&gt;"Chapter Hunt"),CHOOSE(ArtifactsInput!$N$22+1,10,12,14,16,18,20)*((0*(((0.15*B757*5))^0/1)+1*(((0.15*B757*5))^1/1)+2*(((0.15*B757*5))^2/2)+3*(((0.15*B757*5))^3/6)+4*(((0.15*B757*5))^4/24)+5*(((0.15*B757*5))^5/120))/((((0.15*B757*5))^0/1)+(((0.15*B757*5))^1/1)+(((0.15*B757*5))^2/2)+(((0.15*B757*5))^3/6)+(((0.15*B757*5))^4/24)+(((0.15*B757*5))^5/120))),0))</f>
        <v/>
      </c>
    </row>
    <row r="755">
      <c r="A755" t="inlineStr">
        <is>
          <t>Damage % Bonus (Frozen Break + Frost Clutch, flat)</t>
        </is>
      </c>
      <c r="B755">
        <f>IF(Inputs!$B$3&gt;=66,15,0)+IF(Inputs!$B$3&gt;=98,10,0)+IF(Inputs!$B$3&gt;=125,20,0)</f>
        <v/>
      </c>
    </row>
    <row r="756">
      <c r="A756" t="inlineStr">
        <is>
          <t>Attack Speed Bonus % (MP Eater - MP Boost, always-on + Nimble Feet, duty-cycle averaged)</t>
        </is>
      </c>
      <c r="B756">
        <f>IF(C739=TRUE,F739+(F743-Calc!F17),0)+((C750=TRUE)*F750*IF(AND(Inputs!$B$38&lt;&gt;"pvp",Inputs!$B$43&gt;0),(((R750-1)*MIN((Skills!S24*(1+(Inputs!$B$34)/100)),(1/Q750))+MIN((Skills!S24*(1+(Inputs!$B$34)/100)),MAX(0,Inputs!$B$43-((R750-1)*(1/Q750)))))/Inputs!$B$43),IF(Inputs!$B$38="pvp",MIN((Skills!S24*(1+(Inputs!$B$34)/100)),15)/15,MIN(1,(Skills!S24*(1+(Inputs!$B$34)/100))/(1/Q750)))))</f>
        <v/>
      </c>
    </row>
    <row r="757">
      <c r="A757" t="inlineStr">
        <is>
          <t>Actions Per Second</t>
        </is>
      </c>
      <c r="B757">
        <f>1+MIN(150,150*(1-(1-(Inputs!$B$11+(ArtifactsInput!$M$15-ArtifactsInput!$M$15)*CHOOSE(ArtifactsInput!$N$15+1,8,9.6,11.2,12.8,14.4,16))/150)*(1-B756/150)))/100</f>
        <v/>
      </c>
    </row>
    <row r="758">
      <c r="A758" t="inlineStr">
        <is>
          <t>Skill + Buff Cast Rate</t>
        </is>
      </c>
      <c r="B758">
        <f>IF(AND(Inputs!$B$38&lt;&gt;"pvp",Inputs!$B$43&gt;0),SUMPRODUCT((Skills!E2:E24=TRUE)*(C728:C750=TRUE)*R728:R750)/Inputs!$B$43,SUMPRODUCT((Skills!E2:E24=TRUE)*(C728:C750=TRUE)*Q728:Q750))</f>
        <v/>
      </c>
    </row>
    <row r="759">
      <c r="A759" t="inlineStr">
        <is>
          <t>Chain Lightning Casts Per Second</t>
        </is>
      </c>
      <c r="B759">
        <f>MAX(0,B757-B758)</f>
        <v/>
      </c>
    </row>
    <row r="760">
      <c r="A760" t="inlineStr">
        <is>
          <t>Buff-Casting Startup Delay (s, fixed-duration only)</t>
        </is>
      </c>
      <c r="B760">
        <f>IF(AND(Inputs!$B$38&lt;&gt;"pvp",Inputs!$B$43&gt;0),SUMPRODUCT((Skills!S2:S24&gt;0)*(Skills!E2:E24=TRUE)*(C728:C750=TRUE))/B757,0)</f>
        <v/>
      </c>
    </row>
    <row r="761">
      <c r="A761" t="inlineStr">
        <is>
          <t>Boss-Only Total DPS (this block's swept value)</t>
        </is>
      </c>
      <c r="B761">
        <f>SUM(S728:S750)</f>
        <v/>
      </c>
    </row>
    <row r="762">
      <c r="A762" t="inlineStr">
        <is>
          <t>Normal-Only Total DPS (this block's swept value)</t>
        </is>
      </c>
      <c r="B762">
        <f>SUM(U728:U750)</f>
        <v/>
      </c>
    </row>
    <row r="763">
      <c r="A763" s="6" t="inlineStr">
        <is>
          <t>TOTAL DPS</t>
        </is>
      </c>
      <c r="B763" s="6">
        <f>SUM(O728:O750)</f>
        <v/>
      </c>
    </row>
    <row r="764">
      <c r="A764" t="inlineStr">
        <is>
          <t>Blizzard Final Attack trigger rate (this block's own Q/R)</t>
        </is>
      </c>
      <c r="B764">
        <f>IF(AND(Inputs!$B$38&lt;&gt;"pvp",Inputs!$B$43&gt;0),(((C731=TRUE)*R731*1)+((C732=TRUE)*R732*1)+((C734=TRUE)*R734*1)+((C735=TRUE)*R735*3)+((C737=TRUE)*R737*1))/Inputs!$B$43,((C731=TRUE)*Q731*1)+((C732=TRUE)*Q732*1)+((C734=TRUE)*Q734*1)+((C735=TRUE)*Q735*3)+((C737=TRUE)*Q737*1))+B759</f>
        <v/>
      </c>
    </row>
    <row r="767">
      <c r="A767" s="6" t="inlineStr">
        <is>
          <t>Stat: Skill Level Bonus — 3rd Job</t>
        </is>
      </c>
    </row>
    <row r="768">
      <c r="A768" s="5" t="inlineStr">
        <is>
          <t>Key</t>
        </is>
      </c>
      <c r="B768" s="5" t="inlineStr">
        <is>
          <t>Name</t>
        </is>
      </c>
      <c r="C768" s="5" t="inlineStr">
        <is>
          <t>Unlocked</t>
        </is>
      </c>
      <c r="D768" s="5" t="inlineStr">
        <is>
          <t>InputLevel</t>
        </is>
      </c>
      <c r="E768" s="5" t="inlineStr">
        <is>
          <t>Factor</t>
        </is>
      </c>
      <c r="F768" s="5" t="inlineStr">
        <is>
          <t>CoefficientPercent</t>
        </is>
      </c>
      <c r="G768" s="5" t="inlineStr">
        <is>
          <t>EffectiveHits</t>
        </is>
      </c>
      <c r="H768" s="5" t="inlineStr">
        <is>
          <t>ProcProbability</t>
        </is>
      </c>
      <c r="I768" s="5" t="inlineStr">
        <is>
          <t>MapleHeroMultiplier</t>
        </is>
      </c>
      <c r="J768" s="5" t="inlineStr">
        <is>
          <t>BaseDamage</t>
        </is>
      </c>
      <c r="K768" s="5" t="inlineStr">
        <is>
          <t>BaseHitDamage</t>
        </is>
      </c>
      <c r="L768" s="5" t="inlineStr">
        <is>
          <t>NonCritAvg</t>
        </is>
      </c>
      <c r="M768" s="5" t="inlineStr">
        <is>
          <t>CritAvg</t>
        </is>
      </c>
      <c r="N768" s="5" t="inlineStr">
        <is>
          <t>ExpectedDamage(perHit)</t>
        </is>
      </c>
      <c r="O768" s="5" t="inlineStr">
        <is>
          <t>DPS</t>
        </is>
      </c>
      <c r="P768" s="5" t="inlineStr">
        <is>
          <t>% of Total</t>
        </is>
      </c>
      <c r="R768" t="inlineStr">
        <is>
          <t>helpers</t>
        </is>
      </c>
    </row>
    <row r="769">
      <c r="A769">
        <f>Skills!A2</f>
        <v/>
      </c>
      <c r="B769">
        <f>Skills!B2</f>
        <v/>
      </c>
      <c r="C769">
        <f>Inputs!$B$3&gt;=100</f>
        <v/>
      </c>
      <c r="D769" t="inlineStr"/>
      <c r="E769" t="inlineStr"/>
      <c r="F769">
        <f>T771+Skills!N2</f>
        <v/>
      </c>
      <c r="G769">
        <f>Calc!G2</f>
        <v/>
      </c>
      <c r="H769">
        <f>Calc!H2</f>
        <v/>
      </c>
      <c r="I769">
        <f>IF(Skills!T2&lt;&gt;"",1+(Skills!T2/10)*(Z770/1000)/100,1)</f>
        <v/>
      </c>
      <c r="J769">
        <f>((Inputs!$B$6*(1+Inputs!$B$7/100))+(((Inputs!$B$12*(1+Inputs!$B$13/100))-(Inputs!$B$12*(1+Inputs!$B$13/100)))+0.25*(Inputs!$B$14-Inputs!$B$14))*(1+Inputs!$B$7/100))*(F769/100)</f>
        <v/>
      </c>
      <c r="K769">
        <f>J769*(1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2="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769)</f>
        <v/>
      </c>
      <c r="L769">
        <f>K769*(MIN(Inputs!$B$22+(F785-Calc!F18),(Inputs!$B$23+(IF(ArtifactsInput!$M$15,CHOOSE(ArtifactsInput!$N$15+1,25,30,35,40,45,50)/100*(Inputs!$B$11-Inputs!$B$11),0))))/100+(Inputs!$B$23+(IF(ArtifactsInput!$M$15,CHOOSE(ArtifactsInput!$N$15+1,25,30,35,40,45,50)/100*(Inputs!$B$11-Inputs!$B$11),0)))/100)/2</f>
        <v/>
      </c>
      <c r="M769">
        <f>L769*(1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9">
        <f>L769*(1-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769*(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9">
        <f>(1-Summary!$B$11)*S769+Summary!$B$11*U769</f>
        <v/>
      </c>
      <c r="P769">
        <f>IF(B804=0,0,O769/B804)</f>
        <v/>
      </c>
      <c r="Q769">
        <f>IFERROR(1/(IF(Inputs!$B$38="pvp",15,MAX(0.1,Skills!D2-IF(TRUE=TRUE,Inputs!$B$32,0)))*(1-IF(AND(ArtifactsInput!$M$27,Inputs!$B$4="Chapter Hunt"),CHOOSE(ArtifactsInput!$N$27+1,20,24,28,32,36,40),0)/100)),0)</f>
        <v/>
      </c>
      <c r="R769" t="n">
        <v>0</v>
      </c>
      <c r="S769">
        <f>IF(C769,(Skills!F2*N769*B800)*IF(Inputs!$B$38="pvp",1,1+(Inputs!$B$20+Skills!O2+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769*(1-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769*(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769*(1-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769*(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769">
        <f>MAX(0,(Inputs!$B$3-100)*3)+Inputs!$B$28+Inputs!$B$29</f>
        <v/>
      </c>
      <c r="U769">
        <f>IF(C769,(Skills!F2*N769*B800)*IF(Inputs!$B$38="pvp",1,(1+(Inputs!$B$21+Skills!P2+B795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769">
        <f>MAX(0,(Inputs!$B$3-100)*3)+Inputs!$B$28+Inputs!$B$29</f>
        <v/>
      </c>
    </row>
    <row r="770">
      <c r="A770">
        <f>Skills!A3</f>
        <v/>
      </c>
      <c r="B770">
        <f>Skills!B3</f>
        <v/>
      </c>
      <c r="C770">
        <f>Inputs!$B$3&gt;=15</f>
        <v/>
      </c>
      <c r="D770">
        <f>IF(Skills!C3=1,60+Inputs!$B$25+Inputs!$B$29,IF(Skills!C3=2,90+Inputs!$B$26+Inputs!$B$29,IF(Skills!C3=3,120+(Inputs!$B$27+1)+Inputs!$B$29,MAX(0,(Inputs!$B$3-100)*3)+Inputs!$B$28+Inputs!$B$29)))</f>
        <v/>
      </c>
      <c r="E770">
        <f>INDEX(FactorTable!$B$2:$Y$301, MATCH(ROUND(MIN(300,MAX(1,D770)),0), FactorTable!$A$2:$A$301,0), Skills!L3+1)</f>
        <v/>
      </c>
      <c r="F770">
        <f>IF(Skills!M3=TRUE,(Skills!K3/10)*(E770/1000),Skills!K3/10)+Skills!N3</f>
        <v/>
      </c>
      <c r="G770">
        <f>Calc!G3</f>
        <v/>
      </c>
      <c r="H770">
        <f>Calc!H3</f>
        <v/>
      </c>
      <c r="I770">
        <f>IF(Skills!T3&lt;&gt;"",1+(Skills!T3/10)*(Z770/1000)/100,1)</f>
        <v/>
      </c>
      <c r="J770" t="inlineStr"/>
      <c r="K770" t="inlineStr"/>
      <c r="L770" t="inlineStr"/>
      <c r="M770" t="inlineStr"/>
      <c r="N770" t="inlineStr"/>
      <c r="O770">
        <f>(1-Summary!$B$11)*S770+Summary!$B$11*U770</f>
        <v/>
      </c>
      <c r="P770">
        <f>IF(B804=0,0,O770/B804)</f>
        <v/>
      </c>
      <c r="Q770">
        <f>IFERROR(1/(IF(Inputs!$B$38="pvp",15,MAX(0.1,Skills!D3-IF(TRUE=TRUE,Inputs!$B$32,0)))*(1-IF(AND(ArtifactsInput!$M$27,Inputs!$B$4="Chapter Hunt"),CHOOSE(ArtifactsInput!$N$27+1,20,24,28,32,36,40),0)/100)),0)</f>
        <v/>
      </c>
      <c r="R770">
        <f>IF(AND(Inputs!$B$38&lt;&gt;"pvp",Inputs!$B$43&gt;0),IF(Inputs!$B$43&lt;=0,0,(INT(Inputs!$B$43/(IF(Inputs!$B$38="pvp",15,MAX(0.1,Skills!D3-IF(TRUE=TRUE,Inputs!$B$32,0)))*(1-IF(AND(ArtifactsInput!$M$27,Inputs!$B$4="Chapter Hunt"),CHOOSE(ArtifactsInput!$N$27+1,20,24,28,32,36,40),0)/100)))+1)),0)</f>
        <v/>
      </c>
      <c r="S770" t="n">
        <v>0</v>
      </c>
      <c r="T770">
        <f>INDEX(FactorTable!$B$2:$Y$301, MATCH(ROUND(MIN(300,MAX(1,T769)),0), FactorTable!$A$2:$A$301,0), 22)</f>
        <v/>
      </c>
      <c r="U770" t="n">
        <v>0</v>
      </c>
      <c r="Z770">
        <f>INDEX(FactorTable!$B$2:$Y$301, MATCH(ROUND(MIN(300,MAX(1,Z769)),0), FactorTable!$A$2:$A$301,0), 24)</f>
        <v/>
      </c>
    </row>
    <row r="771">
      <c r="A771">
        <f>Skills!A4</f>
        <v/>
      </c>
      <c r="B771">
        <f>Skills!B4</f>
        <v/>
      </c>
      <c r="C771">
        <f>Inputs!$B$3&gt;=40</f>
        <v/>
      </c>
      <c r="D771">
        <f>IF(Skills!C4=1,60+Inputs!$B$25+Inputs!$B$29,IF(Skills!C4=2,90+Inputs!$B$26+Inputs!$B$29,IF(Skills!C4=3,120+(Inputs!$B$27+1)+Inputs!$B$29,MAX(0,(Inputs!$B$3-100)*3)+Inputs!$B$28+Inputs!$B$29)))</f>
        <v/>
      </c>
      <c r="E771">
        <f>INDEX(FactorTable!$B$2:$Y$301, MATCH(ROUND(MIN(300,MAX(1,D771)),0), FactorTable!$A$2:$A$301,0), Skills!L4+1)</f>
        <v/>
      </c>
      <c r="F771">
        <f>IF(Skills!M4=TRUE,(Skills!K4/10)*(E771/1000),Skills!K4/10)+Skills!N4</f>
        <v/>
      </c>
      <c r="G771">
        <f>Calc!G4</f>
        <v/>
      </c>
      <c r="H771">
        <f>Calc!H4</f>
        <v/>
      </c>
      <c r="I771">
        <f>IF(Skills!T4&lt;&gt;"",1+(Skills!T4/10)*(Z770/1000)/100,1)</f>
        <v/>
      </c>
      <c r="J771" t="inlineStr"/>
      <c r="K771" t="inlineStr"/>
      <c r="L771" t="inlineStr"/>
      <c r="M771" t="inlineStr"/>
      <c r="N771" t="inlineStr"/>
      <c r="O771">
        <f>(1-Summary!$B$11)*S771+Summary!$B$11*U771</f>
        <v/>
      </c>
      <c r="P771">
        <f>IF(B804=0,0,O771/B804)</f>
        <v/>
      </c>
      <c r="Q771">
        <f>IFERROR(1/(IF(Inputs!$B$38="pvp",15,MAX(0.1,Skills!D4-IF(TRUE=TRUE,Inputs!$B$32,0)))*(1-IF(AND(ArtifactsInput!$M$27,Inputs!$B$4="Chapter Hunt"),CHOOSE(ArtifactsInput!$N$27+1,20,24,28,32,36,40),0)/100)),0)</f>
        <v/>
      </c>
      <c r="R771">
        <f>IF(AND(Inputs!$B$38&lt;&gt;"pvp",Inputs!$B$43&gt;0),IF(Inputs!$B$43&lt;=0,0,(INT(Inputs!$B$43/(IF(Inputs!$B$38="pvp",15,MAX(0.1,Skills!D4-IF(TRUE=TRUE,Inputs!$B$32,0)))*(1-IF(AND(ArtifactsInput!$M$27,Inputs!$B$4="Chapter Hunt"),CHOOSE(ArtifactsInput!$N$27+1,20,24,28,32,36,40),0)/100)))+1)),0)</f>
        <v/>
      </c>
      <c r="S771" t="n">
        <v>0</v>
      </c>
      <c r="T771">
        <f>290*T770/1000</f>
        <v/>
      </c>
      <c r="U771" t="n">
        <v>0</v>
      </c>
    </row>
    <row r="772">
      <c r="A772">
        <f>Skills!A5</f>
        <v/>
      </c>
      <c r="B772">
        <f>Skills!B5</f>
        <v/>
      </c>
      <c r="C772">
        <f>Inputs!$B$3&gt;=38</f>
        <v/>
      </c>
      <c r="D772">
        <f>IF(Skills!C5=1,60+Inputs!$B$25+Inputs!$B$29,IF(Skills!C5=2,90+Inputs!$B$26+Inputs!$B$29,IF(Skills!C5=3,120+(Inputs!$B$27+1)+Inputs!$B$29,MAX(0,(Inputs!$B$3-100)*3)+Inputs!$B$28+Inputs!$B$29)))</f>
        <v/>
      </c>
      <c r="E772">
        <f>INDEX(FactorTable!$B$2:$Y$301, MATCH(ROUND(MIN(300,MAX(1,D772)),0), FactorTable!$A$2:$A$301,0), Skills!L5+1)</f>
        <v/>
      </c>
      <c r="F772">
        <f>IF(Skills!M5=TRUE,(Skills!K5/10)*(E772/1000),Skills!K5/10)+Skills!N5</f>
        <v/>
      </c>
      <c r="G772">
        <f>Calc!G5</f>
        <v/>
      </c>
      <c r="H772">
        <f>Calc!H5</f>
        <v/>
      </c>
      <c r="I772">
        <f>IF(Skills!T5&lt;&gt;"",1+(Skills!T5/10)*(Z770/1000)/100,1)</f>
        <v/>
      </c>
      <c r="J772">
        <f>((Inputs!$B$6*(1+Inputs!$B$7/100))+(((Inputs!$B$12*(1+Inputs!$B$13/100))-(Inputs!$B$12*(1+Inputs!$B$13/100)))+0.25*(Inputs!$B$14-Inputs!$B$14))*(1+Inputs!$B$7/100))*(F772/100)</f>
        <v/>
      </c>
      <c r="K772">
        <f>J772*(1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5="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772)</f>
        <v/>
      </c>
      <c r="L772">
        <f>K772*(MIN(Inputs!$B$22+(F785-Calc!F18),(Inputs!$B$23+(IF(ArtifactsInput!$M$15,CHOOSE(ArtifactsInput!$N$15+1,25,30,35,40,45,50)/100*(Inputs!$B$11-Inputs!$B$11),0))))/100+(Inputs!$B$23+(IF(ArtifactsInput!$M$15,CHOOSE(ArtifactsInput!$N$15+1,25,30,35,40,45,50)/100*(Inputs!$B$11-Inputs!$B$11),0)))/100)/2</f>
        <v/>
      </c>
      <c r="M772">
        <f>L772*(1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2">
        <f>L772*(1-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772*(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2">
        <f>(1-Summary!$B$11)*S772+Summary!$B$11*U772</f>
        <v/>
      </c>
      <c r="P772">
        <f>IF(B804=0,0,O772/B804)</f>
        <v/>
      </c>
      <c r="Q772">
        <f>IFERROR(1/(IF(Inputs!$B$38="pvp",15,MAX(0.1,Skills!D5-IF(TRUE=TRUE,Inputs!$B$32,0)))*(1-IF(AND(ArtifactsInput!$M$27,Inputs!$B$4="Chapter Hunt"),CHOOSE(ArtifactsInput!$N$27+1,20,24,28,32,36,40),0)/100)),0)</f>
        <v/>
      </c>
      <c r="R772">
        <f>IF(AND(Inputs!$B$38&lt;&gt;"pvp",Inputs!$B$43&gt;0),IF(MAX(0,Inputs!$B$43-B801)&lt;=0,0,(INT(MAX(0,Inputs!$B$43-B801)/(IF(Inputs!$B$38="pvp",15,MAX(0.1,Skills!D5-IF(TRUE=TRUE,Inputs!$B$32,0)))*(1-IF(AND(ArtifactsInput!$M$27,Inputs!$B$4="Chapter Hunt"),CHOOSE(ArtifactsInput!$N$27+1,20,24,28,32,36,40),0)/100)))+1)),0)</f>
        <v/>
      </c>
      <c r="S772">
        <f>IF(C772,(H772*N772*IF(AND(Inputs!$B$38&lt;&gt;"pvp",Inputs!$B$43&gt;0),((Skills!F5*((R772-1)*IF(Skills!G5&gt;0,Skills!H5/Skills!G5,1)+IF(Skills!G5&gt;0,MIN(Skills!H5,MAX(0,MAX(0,Inputs!$B$43-B801)-((R772-1)*(IF(Inputs!$B$38="pvp",15,MAX(0.1,Skills!D5-IF(TRUE=TRUE,Inputs!$B$32,0)))*(1-IF(AND(ArtifactsInput!$M$27,Inputs!$B$4="Chapter Hunt"),CHOOSE(ArtifactsInput!$N$27+1,20,24,28,32,36,40),0)/100)))))/Skills!G5,1)))/Inputs!$B$43),G772*Q772))*IF(Inputs!$B$38="pvp",1,1+(Inputs!$B$20+Skills!O5+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772*(1-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772*(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772*(1-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772*(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2">
        <f>IF(C772,(H772*N772*IF(AND(Inputs!$B$38&lt;&gt;"pvp",Inputs!$B$43&gt;0),((Skills!F5*((R772-1)*IF(Skills!G5&gt;0,Skills!H5/Skills!G5,1)+IF(Skills!G5&gt;0,MIN(Skills!H5,MAX(0,MAX(0,Inputs!$B$43-B801)-((R772-1)*(IF(Inputs!$B$38="pvp",15,MAX(0.1,Skills!D5-IF(TRUE=TRUE,Inputs!$B$32,0)))*(1-IF(AND(ArtifactsInput!$M$27,Inputs!$B$4="Chapter Hunt"),CHOOSE(ArtifactsInput!$N$27+1,20,24,28,32,36,40),0)/100)))))/Skills!G5,1)))/Inputs!$B$43),G772*Q772))*IF(Inputs!$B$38="pvp",1,(1+(Inputs!$B$21+Skills!P5+B795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3">
      <c r="A773">
        <f>Skills!A6</f>
        <v/>
      </c>
      <c r="B773">
        <f>Skills!B6</f>
        <v/>
      </c>
      <c r="C773">
        <f>Inputs!$B$3&gt;=63</f>
        <v/>
      </c>
      <c r="D773">
        <f>IF(Skills!C6=1,60+Inputs!$B$25+Inputs!$B$29,IF(Skills!C6=2,90+Inputs!$B$26+Inputs!$B$29,IF(Skills!C6=3,120+(Inputs!$B$27+1)+Inputs!$B$29,MAX(0,(Inputs!$B$3-100)*3)+Inputs!$B$28+Inputs!$B$29)))</f>
        <v/>
      </c>
      <c r="E773">
        <f>INDEX(FactorTable!$B$2:$Y$301, MATCH(ROUND(MIN(300,MAX(1,D773)),0), FactorTable!$A$2:$A$301,0), Skills!L6+1)</f>
        <v/>
      </c>
      <c r="F773">
        <f>IF(Skills!M6=TRUE,(Skills!K6/10)*(E773/1000),Skills!K6/10)+Skills!N6</f>
        <v/>
      </c>
      <c r="G773">
        <f>Calc!G6</f>
        <v/>
      </c>
      <c r="H773">
        <f>Calc!H6</f>
        <v/>
      </c>
      <c r="I773">
        <f>IF(Skills!T6&lt;&gt;"",1+(Skills!T6/10)*(Z770/1000)/100,1)</f>
        <v/>
      </c>
      <c r="J773">
        <f>((Inputs!$B$6*(1+Inputs!$B$7/100))+(((Inputs!$B$12*(1+Inputs!$B$13/100))-(Inputs!$B$12*(1+Inputs!$B$13/100)))+0.25*(Inputs!$B$14-Inputs!$B$14))*(1+Inputs!$B$7/100))*(F773/100)</f>
        <v/>
      </c>
      <c r="K773">
        <f>J773*(1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6="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773)</f>
        <v/>
      </c>
      <c r="L773">
        <f>K773*(MIN(Inputs!$B$22+(F785-Calc!F18),(Inputs!$B$23+(IF(ArtifactsInput!$M$15,CHOOSE(ArtifactsInput!$N$15+1,25,30,35,40,45,50)/100*(Inputs!$B$11-Inputs!$B$11),0))))/100+(Inputs!$B$23+(IF(ArtifactsInput!$M$15,CHOOSE(ArtifactsInput!$N$15+1,25,30,35,40,45,50)/100*(Inputs!$B$11-Inputs!$B$11),0)))/100)/2</f>
        <v/>
      </c>
      <c r="M773">
        <f>L773*(1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3">
        <f>L773*(1-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773*(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3">
        <f>(1-Summary!$B$11)*S773+Summary!$B$11*U773</f>
        <v/>
      </c>
      <c r="P773">
        <f>IF(B804=0,0,O773/B804)</f>
        <v/>
      </c>
      <c r="Q773">
        <f>IFERROR(1/(IF(Inputs!$B$38="pvp",15,MAX(0.1,Skills!D6-IF(TRUE=TRUE,Inputs!$B$32,0)))*(1-IF(AND(ArtifactsInput!$M$27,Inputs!$B$4="Chapter Hunt"),CHOOSE(ArtifactsInput!$N$27+1,20,24,28,32,36,40),0)/100)),0)</f>
        <v/>
      </c>
      <c r="R773">
        <f>IF(AND(Inputs!$B$38&lt;&gt;"pvp",Inputs!$B$43&gt;0),IF(MAX(0,Inputs!$B$43-B801)&lt;=0,0,(INT(MAX(0,Inputs!$B$43-B801)/(IF(Inputs!$B$38="pvp",15,MAX(0.1,Skills!D6-IF(TRUE=TRUE,Inputs!$B$32,0)))*(1-IF(AND(ArtifactsInput!$M$27,Inputs!$B$4="Chapter Hunt"),CHOOSE(ArtifactsInput!$N$27+1,20,24,28,32,36,40),0)/100)))+1)),0)</f>
        <v/>
      </c>
      <c r="S773">
        <f>IF(C773,(H773*N773*IF(AND(Inputs!$B$38&lt;&gt;"pvp",Inputs!$B$43&gt;0),((Skills!F6*((R773-1)*IF(Skills!G6&gt;0,Skills!H6/Skills!G6,1)+IF(Skills!G6&gt;0,MIN(Skills!H6,MAX(0,MAX(0,Inputs!$B$43-B801)-((R773-1)*(IF(Inputs!$B$38="pvp",15,MAX(0.1,Skills!D6-IF(TRUE=TRUE,Inputs!$B$32,0)))*(1-IF(AND(ArtifactsInput!$M$27,Inputs!$B$4="Chapter Hunt"),CHOOSE(ArtifactsInput!$N$27+1,20,24,28,32,36,40),0)/100)))))/Skills!G6,1)))/Inputs!$B$43),G773*Q773))*IF(Inputs!$B$38="pvp",1,1+(Inputs!$B$20+Skills!O6+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773*(1-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773*(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773*(1-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773*(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3">
        <f>IF(C773,(H773*N773*IF(AND(Inputs!$B$38&lt;&gt;"pvp",Inputs!$B$43&gt;0),((Skills!F6*((R773-1)*IF(Skills!G6&gt;0,Skills!H6/Skills!G6,1)+IF(Skills!G6&gt;0,MIN(Skills!H6,MAX(0,MAX(0,Inputs!$B$43-B801)-((R773-1)*(IF(Inputs!$B$38="pvp",15,MAX(0.1,Skills!D6-IF(TRUE=TRUE,Inputs!$B$32,0)))*(1-IF(AND(ArtifactsInput!$M$27,Inputs!$B$4="Chapter Hunt"),CHOOSE(ArtifactsInput!$N$27+1,20,24,28,32,36,40),0)/100)))))/Skills!G6,1)))/Inputs!$B$43),G773*Q773))*IF(Inputs!$B$38="pvp",1,(1+(Inputs!$B$21+Skills!P6+B795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4">
      <c r="A774">
        <f>Skills!A7</f>
        <v/>
      </c>
      <c r="B774">
        <f>Skills!B7</f>
        <v/>
      </c>
      <c r="C774">
        <f>Inputs!$B$3&gt;=69</f>
        <v/>
      </c>
      <c r="D774">
        <f>IF(Skills!C7=1,60+Inputs!$B$25+Inputs!$B$29,IF(Skills!C7=2,90+Inputs!$B$26+Inputs!$B$29,IF(Skills!C7=3,120+(Inputs!$B$27+1)+Inputs!$B$29,MAX(0,(Inputs!$B$3-100)*3)+Inputs!$B$28+Inputs!$B$29)))</f>
        <v/>
      </c>
      <c r="E774">
        <f>INDEX(FactorTable!$B$2:$Y$301, MATCH(ROUND(MIN(300,MAX(1,D774)),0), FactorTable!$A$2:$A$301,0), Skills!L7+1)</f>
        <v/>
      </c>
      <c r="F774">
        <f>IF(Skills!M7=TRUE,(Skills!K7/10)*(E774/1000),Skills!K7/10)+Skills!N7</f>
        <v/>
      </c>
      <c r="G774">
        <f>Calc!G7</f>
        <v/>
      </c>
      <c r="H774">
        <f>Calc!H7</f>
        <v/>
      </c>
      <c r="I774">
        <f>IF(Skills!T7&lt;&gt;"",1+(Skills!T7/10)*(Z770/1000)/100,1)</f>
        <v/>
      </c>
      <c r="J774">
        <f>((Inputs!$B$6*(1+Inputs!$B$7/100))+(((Inputs!$B$12*(1+Inputs!$B$13/100))-(Inputs!$B$12*(1+Inputs!$B$13/100)))+0.25*(Inputs!$B$14-Inputs!$B$14))*(1+Inputs!$B$7/100))*(F774/100)</f>
        <v/>
      </c>
      <c r="K774">
        <f>J774*(1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7="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774)</f>
        <v/>
      </c>
      <c r="L774">
        <f>K774*(MIN(Inputs!$B$22+(F785-Calc!F18),(Inputs!$B$23+(IF(ArtifactsInput!$M$15,CHOOSE(ArtifactsInput!$N$15+1,25,30,35,40,45,50)/100*(Inputs!$B$11-Inputs!$B$11),0))))/100+(Inputs!$B$23+(IF(ArtifactsInput!$M$15,CHOOSE(ArtifactsInput!$N$15+1,25,30,35,40,45,50)/100*(Inputs!$B$11-Inputs!$B$11),0)))/100)/2</f>
        <v/>
      </c>
      <c r="M774">
        <f>L774*(1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4">
        <f>L774*(1-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774*(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4">
        <f>(1-Summary!$B$11)*S774+Summary!$B$11*U774</f>
        <v/>
      </c>
      <c r="P774">
        <f>IF(B804=0,0,O774/B804)</f>
        <v/>
      </c>
      <c r="Q774">
        <f>IFERROR(1/(IF(Inputs!$B$38="pvp",15,MAX(0.1,Skills!D7-IF(TRUE=TRUE,Inputs!$B$32,0)))*(1-IF(AND(ArtifactsInput!$M$27,Inputs!$B$4="Chapter Hunt"),CHOOSE(ArtifactsInput!$N$27+1,20,24,28,32,36,40),0)/100)),0)</f>
        <v/>
      </c>
      <c r="R774">
        <f>IF(AND(Inputs!$B$38&lt;&gt;"pvp",Inputs!$B$43&gt;0),IF(MAX(0,Inputs!$B$43-B801)&lt;=0,0,(INT(MAX(0,Inputs!$B$43-B801)/(IF(Inputs!$B$38="pvp",15,MAX(0.1,Skills!D7-IF(TRUE=TRUE,Inputs!$B$32,0)))*(1-IF(AND(ArtifactsInput!$M$27,Inputs!$B$4="Chapter Hunt"),CHOOSE(ArtifactsInput!$N$27+1,20,24,28,32,36,40),0)/100)))+1)),0)</f>
        <v/>
      </c>
      <c r="S774">
        <f>IF(C774,(H774*N774*IF(AND(Inputs!$B$38&lt;&gt;"pvp",Inputs!$B$43&gt;0),((Skills!F7*((R774-1)*IF(Skills!G7&gt;0,Skills!H7/Skills!G7,1)+IF(Skills!G7&gt;0,MIN(Skills!H7,MAX(0,MAX(0,Inputs!$B$43-B801)-((R774-1)*(IF(Inputs!$B$38="pvp",15,MAX(0.1,Skills!D7-IF(TRUE=TRUE,Inputs!$B$32,0)))*(1-IF(AND(ArtifactsInput!$M$27,Inputs!$B$4="Chapter Hunt"),CHOOSE(ArtifactsInput!$N$27+1,20,24,28,32,36,40),0)/100)))))/Skills!G7,1)))/Inputs!$B$43),G774*Q774))*IF(Inputs!$B$38="pvp",1,1+(Inputs!$B$20+Skills!O7+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774*(1-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774*(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774*(1-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774*(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4">
        <f>IF(C774,(H774*N774*IF(AND(Inputs!$B$38&lt;&gt;"pvp",Inputs!$B$43&gt;0),((Skills!F7*((R774-1)*IF(Skills!G7&gt;0,Skills!H7/Skills!G7,1)+IF(Skills!G7&gt;0,MIN(Skills!H7,MAX(0,MAX(0,Inputs!$B$43-B801)-((R774-1)*(IF(Inputs!$B$38="pvp",15,MAX(0.1,Skills!D7-IF(TRUE=TRUE,Inputs!$B$32,0)))*(1-IF(AND(ArtifactsInput!$M$27,Inputs!$B$4="Chapter Hunt"),CHOOSE(ArtifactsInput!$N$27+1,20,24,28,32,36,40),0)/100)))))/Skills!G7,1)))/Inputs!$B$43),G774*Q774))*IF(Inputs!$B$38="pvp",1,(1+(Inputs!$B$21+Skills!P7+B795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5">
      <c r="A775">
        <f>Skills!A8</f>
        <v/>
      </c>
      <c r="B775">
        <f>Skills!B8</f>
        <v/>
      </c>
      <c r="C775">
        <f>Inputs!$B$3&gt;=103</f>
        <v/>
      </c>
      <c r="D775">
        <f>IF(Skills!C8=1,60+Inputs!$B$25+Inputs!$B$29,IF(Skills!C8=2,90+Inputs!$B$26+Inputs!$B$29,IF(Skills!C8=3,120+(Inputs!$B$27+1)+Inputs!$B$29,MAX(0,(Inputs!$B$3-100)*3)+Inputs!$B$28+Inputs!$B$29)))</f>
        <v/>
      </c>
      <c r="E775">
        <f>INDEX(FactorTable!$B$2:$Y$301, MATCH(ROUND(MIN(300,MAX(1,D775)),0), FactorTable!$A$2:$A$301,0), Skills!L8+1)</f>
        <v/>
      </c>
      <c r="F775">
        <f>IF(Skills!M8=TRUE,(Skills!K8/10)*(E775/1000),Skills!K8/10)+Skills!N8</f>
        <v/>
      </c>
      <c r="G775">
        <f>Calc!G8</f>
        <v/>
      </c>
      <c r="H775">
        <f>Calc!H8</f>
        <v/>
      </c>
      <c r="I775">
        <f>IF(Skills!T8&lt;&gt;"",1+(Skills!T8/10)*(Z770/1000)/100,1)</f>
        <v/>
      </c>
      <c r="J775">
        <f>((Inputs!$B$6*(1+Inputs!$B$7/100))+(((Inputs!$B$12*(1+Inputs!$B$13/100))-(Inputs!$B$12*(1+Inputs!$B$13/100)))+0.25*(Inputs!$B$14-Inputs!$B$14))*(1+Inputs!$B$7/100))*(F775/100)</f>
        <v/>
      </c>
      <c r="K775">
        <f>J775*(1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8="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775)</f>
        <v/>
      </c>
      <c r="L775">
        <f>K775*(MIN(Inputs!$B$22+(F785-Calc!F18),(Inputs!$B$23+(IF(ArtifactsInput!$M$15,CHOOSE(ArtifactsInput!$N$15+1,25,30,35,40,45,50)/100*(Inputs!$B$11-Inputs!$B$11),0))))/100+(Inputs!$B$23+(IF(ArtifactsInput!$M$15,CHOOSE(ArtifactsInput!$N$15+1,25,30,35,40,45,50)/100*(Inputs!$B$11-Inputs!$B$11),0)))/100)/2</f>
        <v/>
      </c>
      <c r="M775">
        <f>L775*(1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5">
        <f>L775*(1-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775*(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5">
        <f>(1-Summary!$B$11)*S775+Summary!$B$11*U775</f>
        <v/>
      </c>
      <c r="P775">
        <f>IF(B804=0,0,O775/B804)</f>
        <v/>
      </c>
      <c r="Q775">
        <f>IFERROR(1/(IF(Inputs!$B$38="pvp",15,MAX(0.1,Skills!D8-IF(TRUE=TRUE,Inputs!$B$32,0)))*(1-IF(AND(ArtifactsInput!$M$27,Inputs!$B$4="Chapter Hunt"),CHOOSE(ArtifactsInput!$N$27+1,20,24,28,32,36,40),0)/100)),0)</f>
        <v/>
      </c>
      <c r="R775">
        <f>IF(AND(Inputs!$B$38&lt;&gt;"pvp",Inputs!$B$43&gt;0),IF(MAX(0,Inputs!$B$43-B801)&lt;=0,0,(INT(MAX(0,Inputs!$B$43-B801)/(IF(Inputs!$B$38="pvp",15,MAX(0.1,Skills!D8-IF(TRUE=TRUE,Inputs!$B$32,0)))*(1-IF(AND(ArtifactsInput!$M$27,Inputs!$B$4="Chapter Hunt"),CHOOSE(ArtifactsInput!$N$27+1,20,24,28,32,36,40),0)/100)))+1)),0)</f>
        <v/>
      </c>
      <c r="S775">
        <f>IF(C775,(H775*N775*IF(AND(Inputs!$B$38&lt;&gt;"pvp",Inputs!$B$43&gt;0),((Skills!F8*((R775-1)*IF(Skills!G8&gt;0,Skills!H8/Skills!G8,1)+IF(Skills!G8&gt;0,MIN(Skills!H8,MAX(0,MAX(0,Inputs!$B$43-B801)-((R775-1)*(IF(Inputs!$B$38="pvp",15,MAX(0.1,Skills!D8-IF(TRUE=TRUE,Inputs!$B$32,0)))*(1-IF(AND(ArtifactsInput!$M$27,Inputs!$B$4="Chapter Hunt"),CHOOSE(ArtifactsInput!$N$27+1,20,24,28,32,36,40),0)/100)))))/Skills!G8,1)))/Inputs!$B$43),G775*Q775))*IF(Inputs!$B$38="pvp",1,1+(Inputs!$B$20+Skills!O8+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775*(1-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775*(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775*(1-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775*(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5">
        <f>IF(C775,(H775*N775*IF(AND(Inputs!$B$38&lt;&gt;"pvp",Inputs!$B$43&gt;0),((Skills!F8*((R775-1)*IF(Skills!G8&gt;0,Skills!H8/Skills!G8,1)+IF(Skills!G8&gt;0,MIN(Skills!H8,MAX(0,MAX(0,Inputs!$B$43-B801)-((R775-1)*(IF(Inputs!$B$38="pvp",15,MAX(0.1,Skills!D8-IF(TRUE=TRUE,Inputs!$B$32,0)))*(1-IF(AND(ArtifactsInput!$M$27,Inputs!$B$4="Chapter Hunt"),CHOOSE(ArtifactsInput!$N$27+1,20,24,28,32,36,40),0)/100)))))/Skills!G8,1)))/Inputs!$B$43),G775*Q775))*IF(Inputs!$B$38="pvp",1,(1+(Inputs!$B$21+Skills!P8+B795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6">
      <c r="A776">
        <f>Skills!A9</f>
        <v/>
      </c>
      <c r="B776">
        <f>Skills!B9</f>
        <v/>
      </c>
      <c r="C776">
        <f>Inputs!$B$3&gt;=105</f>
        <v/>
      </c>
      <c r="D776">
        <f>IF(Skills!C9=1,60+Inputs!$B$25+Inputs!$B$29,IF(Skills!C9=2,90+Inputs!$B$26+Inputs!$B$29,IF(Skills!C9=3,120+(Inputs!$B$27+1)+Inputs!$B$29,MAX(0,(Inputs!$B$3-100)*3)+Inputs!$B$28+Inputs!$B$29)))</f>
        <v/>
      </c>
      <c r="E776">
        <f>INDEX(FactorTable!$B$2:$Y$301, MATCH(ROUND(MIN(300,MAX(1,D776)),0), FactorTable!$A$2:$A$301,0), Skills!L9+1)</f>
        <v/>
      </c>
      <c r="F776">
        <f>IF(Skills!M9=TRUE,(Skills!K9/10)*(E776/1000),Skills!K9/10)+Skills!N9</f>
        <v/>
      </c>
      <c r="G776">
        <f>Calc!G9</f>
        <v/>
      </c>
      <c r="H776">
        <f>Calc!H9</f>
        <v/>
      </c>
      <c r="I776">
        <f>IF(Skills!T9&lt;&gt;"",1+(Skills!T9/10)*(Z770/1000)/100,1)</f>
        <v/>
      </c>
      <c r="J776">
        <f>((Inputs!$B$6*(1+Inputs!$B$7/100))+(((Inputs!$B$12*(1+Inputs!$B$13/100))-(Inputs!$B$12*(1+Inputs!$B$13/100)))+0.25*(Inputs!$B$14-Inputs!$B$14))*(1+Inputs!$B$7/100))*(F776/100)</f>
        <v/>
      </c>
      <c r="K776">
        <f>J776*(1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9="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776)</f>
        <v/>
      </c>
      <c r="L776">
        <f>K776*(MIN(Inputs!$B$22+(F785-Calc!F18),(Inputs!$B$23+(IF(ArtifactsInput!$M$15,CHOOSE(ArtifactsInput!$N$15+1,25,30,35,40,45,50)/100*(Inputs!$B$11-Inputs!$B$11),0))))/100+(Inputs!$B$23+(IF(ArtifactsInput!$M$15,CHOOSE(ArtifactsInput!$N$15+1,25,30,35,40,45,50)/100*(Inputs!$B$11-Inputs!$B$11),0)))/100)/2</f>
        <v/>
      </c>
      <c r="M776">
        <f>L776*(1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6">
        <f>L776*(1-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776*(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6">
        <f>(1-Summary!$B$11)*S776+Summary!$B$11*U776</f>
        <v/>
      </c>
      <c r="P776">
        <f>IF(B804=0,0,O776/B804)</f>
        <v/>
      </c>
      <c r="Q776">
        <f>IFERROR(1/(IF(Inputs!$B$38="pvp",15,MAX(0.1,Skills!D9-IF(TRUE=TRUE,Inputs!$B$32,0)))*(1-IF(AND(ArtifactsInput!$M$27,Inputs!$B$4="Chapter Hunt"),CHOOSE(ArtifactsInput!$N$27+1,20,24,28,32,36,40),0)/100)),0)</f>
        <v/>
      </c>
      <c r="R776">
        <f>IF(AND(Inputs!$B$38&lt;&gt;"pvp",Inputs!$B$43&gt;0),IF(MAX(0,Inputs!$B$43-B801)&lt;=0,0,(INT(MAX(0,Inputs!$B$43-B801)/(IF(Inputs!$B$38="pvp",15,MAX(0.1,Skills!D9-IF(TRUE=TRUE,Inputs!$B$32,0)))*(1-IF(AND(ArtifactsInput!$M$27,Inputs!$B$4="Chapter Hunt"),CHOOSE(ArtifactsInput!$N$27+1,20,24,28,32,36,40),0)/100)))+1)),0)</f>
        <v/>
      </c>
      <c r="S776">
        <f>IF(C776,(H776*N776*IF(AND(Inputs!$B$38&lt;&gt;"pvp",Inputs!$B$43&gt;0),((Skills!F9*((R776-1)*IF(Skills!G9&gt;0,Skills!H9/Skills!G9,1)+IF(Skills!G9&gt;0,MIN(Skills!H9,MAX(0,MAX(0,Inputs!$B$43-B801)-((R776-1)*(IF(Inputs!$B$38="pvp",15,MAX(0.1,Skills!D9-IF(TRUE=TRUE,Inputs!$B$32,0)))*(1-IF(AND(ArtifactsInput!$M$27,Inputs!$B$4="Chapter Hunt"),CHOOSE(ArtifactsInput!$N$27+1,20,24,28,32,36,40),0)/100)))))/Skills!G9,1)))/Inputs!$B$43),G776*Q776))*IF(Inputs!$B$38="pvp",1,1+(Inputs!$B$20+Skills!O9+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776*(1-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776*(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776*(1-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776*(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6">
        <f>IF(C776,(H776*N776*IF(AND(Inputs!$B$38&lt;&gt;"pvp",Inputs!$B$43&gt;0),((Skills!F9*((R776-1)*IF(Skills!G9&gt;0,Skills!H9/Skills!G9,1)+IF(Skills!G9&gt;0,MIN(Skills!H9,MAX(0,MAX(0,Inputs!$B$43-B801)-((R776-1)*(IF(Inputs!$B$38="pvp",15,MAX(0.1,Skills!D9-IF(TRUE=TRUE,Inputs!$B$32,0)))*(1-IF(AND(ArtifactsInput!$M$27,Inputs!$B$4="Chapter Hunt"),CHOOSE(ArtifactsInput!$N$27+1,20,24,28,32,36,40),0)/100)))))/Skills!G9,1)))/Inputs!$B$43),G776*Q776))*IF(Inputs!$B$38="pvp",1,(1+(Inputs!$B$21+Skills!P9+B795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7">
      <c r="A777">
        <f>Skills!A10</f>
        <v/>
      </c>
      <c r="B777">
        <f>Skills!B10</f>
        <v/>
      </c>
      <c r="C777">
        <f>Inputs!$B$3&gt;=113</f>
        <v/>
      </c>
      <c r="D777">
        <f>IF(Skills!C10=1,60+Inputs!$B$25+Inputs!$B$29,IF(Skills!C10=2,90+Inputs!$B$26+Inputs!$B$29,IF(Skills!C10=3,120+(Inputs!$B$27+1)+Inputs!$B$29,MAX(0,(Inputs!$B$3-100)*3)+Inputs!$B$28+Inputs!$B$29)))</f>
        <v/>
      </c>
      <c r="E777">
        <f>INDEX(FactorTable!$B$2:$Y$301, MATCH(ROUND(MIN(300,MAX(1,D777)),0), FactorTable!$A$2:$A$301,0), Skills!L10+1)</f>
        <v/>
      </c>
      <c r="F777">
        <f>IF(Skills!M10=TRUE,(Skills!K10/10)*(E777/1000),Skills!K10/10)+Skills!N10</f>
        <v/>
      </c>
      <c r="G777">
        <f>Calc!G10</f>
        <v/>
      </c>
      <c r="H777">
        <f>Calc!H10</f>
        <v/>
      </c>
      <c r="I777">
        <f>IF(Skills!T10&lt;&gt;"",1+(Skills!T10/10)*(Z770/1000)/100,1)</f>
        <v/>
      </c>
      <c r="J777">
        <f>((Inputs!$B$6*(1+Inputs!$B$7/100))+(((Inputs!$B$12*(1+Inputs!$B$13/100))-(Inputs!$B$12*(1+Inputs!$B$13/100)))+0.25*(Inputs!$B$14-Inputs!$B$14))*(1+Inputs!$B$7/100))*(F777/100)</f>
        <v/>
      </c>
      <c r="K777">
        <f>J777*(1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10="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777)</f>
        <v/>
      </c>
      <c r="L777">
        <f>K777*(MIN(Inputs!$B$22+(F785-Calc!F18),(Inputs!$B$23+(IF(ArtifactsInput!$M$15,CHOOSE(ArtifactsInput!$N$15+1,25,30,35,40,45,50)/100*(Inputs!$B$11-Inputs!$B$11),0))))/100+(Inputs!$B$23+(IF(ArtifactsInput!$M$15,CHOOSE(ArtifactsInput!$N$15+1,25,30,35,40,45,50)/100*(Inputs!$B$11-Inputs!$B$11),0)))/100)/2</f>
        <v/>
      </c>
      <c r="M777">
        <f>L777*(1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7">
        <f>L777*(1-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777*(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7">
        <f>(1-Summary!$B$11)*S777+Summary!$B$11*U777</f>
        <v/>
      </c>
      <c r="P777">
        <f>IF(B804=0,0,O777/B804)</f>
        <v/>
      </c>
      <c r="Q777">
        <f>IFERROR(1/(IF(Inputs!$B$38="pvp",15,MAX(0.1,Skills!D10-IF(TRUE=TRUE,Inputs!$B$32,0)))*(1-IF(AND(ArtifactsInput!$M$27,Inputs!$B$4="Chapter Hunt"),CHOOSE(ArtifactsInput!$N$27+1,20,24,28,32,36,40),0)/100)),0)</f>
        <v/>
      </c>
      <c r="R777" t="n">
        <v>0</v>
      </c>
      <c r="S777">
        <f>IF(C777,((H777*B805)/(1+Skills!G10*H777*B805)*N777)*IF(Inputs!$B$38="pvp",1,1+(Inputs!$B$20+Skills!O10+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777*(1-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777*(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777*(1-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777*(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7">
        <f>IF(C777,((H777*B805)/(1+Skills!G10*H777*B805)*N777)*IF(Inputs!$B$38="pvp",1,(1+(Inputs!$B$21+Skills!P10+B795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8">
      <c r="A778">
        <f>Skills!A11</f>
        <v/>
      </c>
      <c r="B778">
        <f>Skills!B11</f>
        <v/>
      </c>
      <c r="C778">
        <f>Inputs!$B$3&gt;=107</f>
        <v/>
      </c>
      <c r="D778">
        <f>IF(Skills!C11=1,60+Inputs!$B$25+Inputs!$B$29,IF(Skills!C11=2,90+Inputs!$B$26+Inputs!$B$29,IF(Skills!C11=3,120+(Inputs!$B$27+1)+Inputs!$B$29,MAX(0,(Inputs!$B$3-100)*3)+Inputs!$B$28+Inputs!$B$29)))</f>
        <v/>
      </c>
      <c r="E778">
        <f>INDEX(FactorTable!$B$2:$Y$301, MATCH(ROUND(MIN(300,MAX(1,D778)),0), FactorTable!$A$2:$A$301,0), Skills!L11+1)</f>
        <v/>
      </c>
      <c r="F778">
        <f>IF(Skills!M11=TRUE,(Skills!K11/10)*(E778/1000),Skills!K11/10)+Skills!N11</f>
        <v/>
      </c>
      <c r="G778">
        <f>Calc!G11</f>
        <v/>
      </c>
      <c r="H778">
        <f>Calc!H11</f>
        <v/>
      </c>
      <c r="I778">
        <f>IF(Skills!T11&lt;&gt;"",1+(Skills!T11/10)*(Z770/1000)/100,1)</f>
        <v/>
      </c>
      <c r="J778">
        <f>((Inputs!$B$6*(1+Inputs!$B$7/100))+(((Inputs!$B$12*(1+Inputs!$B$13/100))-(Inputs!$B$12*(1+Inputs!$B$13/100)))+0.25*(Inputs!$B$14-Inputs!$B$14))*(1+Inputs!$B$7/100))*(F778/100)</f>
        <v/>
      </c>
      <c r="K778">
        <f>J778*(1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11="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778)</f>
        <v/>
      </c>
      <c r="L778">
        <f>K778*(MIN(Inputs!$B$22+(F785-Calc!F18),(Inputs!$B$23+(IF(ArtifactsInput!$M$15,CHOOSE(ArtifactsInput!$N$15+1,25,30,35,40,45,50)/100*(Inputs!$B$11-Inputs!$B$11),0))))/100+(Inputs!$B$23+(IF(ArtifactsInput!$M$15,CHOOSE(ArtifactsInput!$N$15+1,25,30,35,40,45,50)/100*(Inputs!$B$11-Inputs!$B$11),0)))/100)/2</f>
        <v/>
      </c>
      <c r="M778">
        <f>L778*(1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8">
        <f>L778*(1-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778*(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8">
        <f>(1-Summary!$B$11)*S778+Summary!$B$11*U778</f>
        <v/>
      </c>
      <c r="P778">
        <f>IF(B804=0,0,O778/B804)</f>
        <v/>
      </c>
      <c r="Q778">
        <f>IFERROR(1/(IF(Inputs!$B$38="pvp",15,MAX(0.1,Skills!D11-IF(TRUE=TRUE,Inputs!$B$32,0)))*(1-IF(AND(ArtifactsInput!$M$27,Inputs!$B$4="Chapter Hunt"),CHOOSE(ArtifactsInput!$N$27+1,20,24,28,32,36,40),0)/100)),0)</f>
        <v/>
      </c>
      <c r="R778">
        <f>IF(AND(Inputs!$B$38&lt;&gt;"pvp",Inputs!$B$43&gt;0),IF(MAX(0,Inputs!$B$43-B801)&lt;=0,0,(INT(MAX(0,Inputs!$B$43-B801)/(IF(Inputs!$B$38="pvp",15,MAX(0.1,Skills!D11-IF(TRUE=TRUE,Inputs!$B$32,0)))*(1-IF(AND(ArtifactsInput!$M$27,Inputs!$B$4="Chapter Hunt"),CHOOSE(ArtifactsInput!$N$27+1,20,24,28,32,36,40),0)/100)))+1)),0)</f>
        <v/>
      </c>
      <c r="S778">
        <f>IF(C778,H778*N778*IF(AND(Inputs!$B$38&lt;&gt;"pvp",Inputs!$B$43&gt;0),((Skills!F11*((R778-1)*IF(Skills!G11&gt;0,Skills!H11/Skills!G11,1)+IF(Skills!G11&gt;0,MIN(Skills!H11,MAX(0,MAX(0,Inputs!$B$43-B801)-((R778-1)*(IF(Inputs!$B$38="pvp",15,MAX(0.1,Skills!D11-IF(TRUE=TRUE,Inputs!$B$32,0)))*(1-IF(AND(ArtifactsInput!$M$27,Inputs!$B$4="Chapter Hunt"),CHOOSE(ArtifactsInput!$N$27+1,20,24,28,32,36,40),0)/100)))))/Skills!G11,1)))/Inputs!$B$43),G778*Q778)*0.5*IF(Inputs!$B$38="pvp",1,1+(Inputs!$B$20+Skills!O11+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778*(1-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778*(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778*(1-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778*(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8">
        <f>IF(C778,H778*N778*IF(AND(Inputs!$B$38&lt;&gt;"pvp",Inputs!$B$43&gt;0),((Skills!F11*((R778-1)*IF(Skills!G11&gt;0,Skills!H11/Skills!G11,1)+IF(Skills!G11&gt;0,MIN(Skills!H11,MAX(0,MAX(0,Inputs!$B$43-B801)-((R778-1)*(IF(Inputs!$B$38="pvp",15,MAX(0.1,Skills!D11-IF(TRUE=TRUE,Inputs!$B$32,0)))*(1-IF(AND(ArtifactsInput!$M$27,Inputs!$B$4="Chapter Hunt"),CHOOSE(ArtifactsInput!$N$27+1,20,24,28,32,36,40),0)/100)))))/Skills!G11,1)))/Inputs!$B$43),G778*Q778)*1*IF(Inputs!$B$38="pvp",1,(1+(Inputs!$B$21+Skills!P11+B795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9">
      <c r="A779">
        <f>Skills!A12</f>
        <v/>
      </c>
      <c r="B779">
        <f>Skills!B12</f>
        <v/>
      </c>
      <c r="C779">
        <f>Inputs!$B$3&gt;=115</f>
        <v/>
      </c>
      <c r="D779">
        <f>IF(Skills!C12=1,60+Inputs!$B$25+Inputs!$B$29,IF(Skills!C12=2,90+Inputs!$B$26+Inputs!$B$29,IF(Skills!C12=3,120+(Inputs!$B$27+1)+Inputs!$B$29,MAX(0,(Inputs!$B$3-100)*3)+Inputs!$B$28+Inputs!$B$29)))</f>
        <v/>
      </c>
      <c r="E779">
        <f>INDEX(FactorTable!$B$2:$Y$301, MATCH(ROUND(MIN(300,MAX(1,D779)),0), FactorTable!$A$2:$A$301,0), Skills!L12+1)</f>
        <v/>
      </c>
      <c r="F779">
        <f>IF(Skills!M12=TRUE,(Skills!K12/10)*(E779/1000),Skills!K12/10)+Skills!N12</f>
        <v/>
      </c>
      <c r="G779">
        <f>Calc!G12</f>
        <v/>
      </c>
      <c r="H779">
        <f>Calc!H12</f>
        <v/>
      </c>
      <c r="I779">
        <f>IF(Skills!T12&lt;&gt;"",1+(Skills!T12/10)*(Z770/1000)/100,1)</f>
        <v/>
      </c>
      <c r="J779">
        <f>((Inputs!$B$6*(1+Inputs!$B$7/100))+(((Inputs!$B$12*(1+Inputs!$B$13/100))-(Inputs!$B$12*(1+Inputs!$B$13/100)))+0.25*(Inputs!$B$14-Inputs!$B$14))*(1+Inputs!$B$7/100))*(F779/100)</f>
        <v/>
      </c>
      <c r="K779">
        <f>J779*(1+((Inputs!$B$12*(1+Inputs!$B$13/100))*0.01+Inputs!$B$14*0.0025)/100)*(1+(Inputs!$B$15+B796)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782=TRUE,F782,0)/100)*(1+IF(C790=TRUE,F790,0)/100)^5*(1+(IF(Skills!A12="CHAIN_LIGHTNING",Inputs!$B$17+((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794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779)</f>
        <v/>
      </c>
      <c r="L779">
        <f>K779*(MIN(Inputs!$B$22+(F785-Calc!F18),(Inputs!$B$23+(IF(ArtifactsInput!$M$15,CHOOSE(ArtifactsInput!$N$15+1,25,30,35,40,45,50)/100*(Inputs!$B$11-Inputs!$B$11),0))))/100+(Inputs!$B$23+(IF(ArtifactsInput!$M$15,CHOOSE(ArtifactsInput!$N$15+1,25,30,35,40,45,50)/100*(Inputs!$B$11-Inputs!$B$11),0)))/100)/2</f>
        <v/>
      </c>
      <c r="M779">
        <f>L779*(1+(Inputs!$B$10+(F788-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9">
        <f>L779*(1-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779*(MIN((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9">
        <f>(1-Summary!$B$11)*S779+Summary!$B$11*U779</f>
        <v/>
      </c>
      <c r="P779">
        <f>IF(B804=0,0,O779/B804)</f>
        <v/>
      </c>
      <c r="Q779">
        <f>IFERROR(1/(IF(Inputs!$B$38="pvp",15,MAX(0.1,Skills!D12-IF(TRUE=TRUE,Inputs!$B$32,0)))*(1-IF(AND(ArtifactsInput!$M$27,Inputs!$B$4="Chapter Hunt"),CHOOSE(ArtifactsInput!$N$27+1,20,24,28,32,36,40),0)/100)),0)</f>
        <v/>
      </c>
      <c r="R779">
        <f>IF(AND(Inputs!$B$38&lt;&gt;"pvp",Inputs!$B$43&gt;0),IF(MAX(0,Inputs!$B$43-B801)&lt;=0,0,(INT(MAX(0,Inputs!$B$43-B801)/(IF(Inputs!$B$38="pvp",15,MAX(0.1,Skills!D12-IF(TRUE=TRUE,Inputs!$B$32,0)))*(1-IF(AND(ArtifactsInput!$M$27,Inputs!$B$4="Chapter Hunt"),CHOOSE(ArtifactsInput!$N$27+1,20,24,28,32,36,40),0)/100)))+1)),0)</f>
        <v/>
      </c>
      <c r="S779">
        <f>IF(C779,(H779*N779*IF(AND(Inputs!$B$38&lt;&gt;"pvp",Inputs!$B$43&gt;0),((Skills!F12*((R779-1)*IF(Skills!G12&gt;0,Skills!H12/Skills!G12,1)+IF(Skills!G12&gt;0,MIN(Skills!H12,MAX(0,MAX(0,Inputs!$B$43-B801)-((R779-1)*(IF(Inputs!$B$38="pvp",15,MAX(0.1,Skills!D12-IF(TRUE=TRUE,Inputs!$B$32,0)))*(1-IF(AND(ArtifactsInput!$M$27,Inputs!$B$4="Chapter Hunt"),CHOOSE(ArtifactsInput!$N$27+1,20,24,28,32,36,40),0)/100)))))/Skills!G12,1)))/Inputs!$B$43),G779*Q779))*IF(Inputs!$B$38="pvp",1,1+(Inputs!$B$20+Skills!O12+B795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779*(1-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779*(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779*(1-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779*(MIN(100,(Inputs!$B$9+((F787-Calc!F20)+(F786-Calc!F19))+(ArtifactsInput!$M$24-ArtifactsInput!$M$24)*CHOOSE(ArtifactsInput!$N$24+1,10,12,14,16,18,20)+(IF(AND(Inputs!$B$38&lt;&gt;"pvp",Inputs!$B$43=0),1,IF(IF(Inputs!$B$38="pvp",15,Inputs!$B$43)-(B801)&lt;=0,1,MAX(0,IF(Inputs!$B$38="pvp",15,Inputs!$B$43)-MAX(5,B801))/(IF(Inputs!$B$38="pvp",15,Inputs!$B$43)-(B801)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79">
        <f>IF(C779,(H779*N779*IF(AND(Inputs!$B$38&lt;&gt;"pvp",Inputs!$B$43&gt;0),((Skills!F12*((R779-1)*IF(Skills!G12&gt;0,Skills!H12/Skills!G12,1)+IF(Skills!G12&gt;0,MIN(Skills!H12,MAX(0,MAX(0,Inputs!$B$43-B801)-((R779-1)*(IF(Inputs!$B$38="pvp",15,MAX(0.1,Skills!D12-IF(TRUE=TRUE,Inputs!$B$32,0)))*(1-IF(AND(ArtifactsInput!$M$27,Inputs!$B$4="Chapter Hunt"),CHOOSE(ArtifactsInput!$N$27+1,20,24,28,32,36,40),0)/100)))))/Skills!G12,1)))/Inputs!$B$43),G779*Q779))*IF(Inputs!$B$38="pvp",1,(1+(Inputs!$B$21+Skills!P12+B795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0">
      <c r="A780">
        <f>Skills!A13</f>
        <v/>
      </c>
      <c r="B780">
        <f>Skills!B13</f>
        <v/>
      </c>
      <c r="C780">
        <f>Inputs!$B$3&gt;=49</f>
        <v/>
      </c>
      <c r="D780">
        <f>IF(Skills!C13=1,60+Inputs!$B$25+Inputs!$B$29,IF(Skills!C13=2,90+Inputs!$B$26+Inputs!$B$29,IF(Skills!C13=3,120+(Inputs!$B$27+1)+Inputs!$B$29,MAX(0,(Inputs!$B$3-100)*3)+Inputs!$B$28+Inputs!$B$29)))</f>
        <v/>
      </c>
      <c r="E780">
        <f>INDEX(FactorTable!$B$2:$Y$301, MATCH(ROUND(MIN(300,MAX(1,D780)),0), FactorTable!$A$2:$A$301,0), Skills!L13+1)</f>
        <v/>
      </c>
      <c r="F780">
        <f>IF(Skills!M13=TRUE,(Skills!K13/10)*(E780/1000),Skills!K13/10)+Skills!N13</f>
        <v/>
      </c>
      <c r="G780">
        <f>Calc!G13</f>
        <v/>
      </c>
      <c r="H780">
        <f>Calc!H13</f>
        <v/>
      </c>
      <c r="I780">
        <f>IF(Skills!T13&lt;&gt;"",1+(Skills!T13/10)*(Z770/1000)/100,1)</f>
        <v/>
      </c>
      <c r="J780" t="inlineStr"/>
      <c r="K780" t="inlineStr"/>
      <c r="L780" t="inlineStr"/>
      <c r="M780" t="inlineStr"/>
      <c r="N780" t="inlineStr"/>
      <c r="O780">
        <f>(1-Summary!$B$11)*S780+Summary!$B$11*U780</f>
        <v/>
      </c>
      <c r="P780">
        <f>IF(B804=0,0,O780/B804)</f>
        <v/>
      </c>
      <c r="Q780">
        <f>IFERROR(1/(IF(Inputs!$B$38="pvp",15,MAX(0.1,Skills!D13-IF(TRUE=TRUE,Inputs!$B$32,0)))*(1-IF(AND(ArtifactsInput!$M$27,Inputs!$B$4="Chapter Hunt"),CHOOSE(ArtifactsInput!$N$27+1,20,24,28,32,36,40),0)/100)),0)</f>
        <v/>
      </c>
      <c r="R780" t="n">
        <v>0</v>
      </c>
      <c r="S780" t="n">
        <v>0</v>
      </c>
      <c r="U780" t="n">
        <v>0</v>
      </c>
    </row>
    <row r="781">
      <c r="A781">
        <f>Skills!A14</f>
        <v/>
      </c>
      <c r="B781">
        <f>Skills!B14</f>
        <v/>
      </c>
      <c r="C781">
        <f>Inputs!$B$3&gt;=72</f>
        <v/>
      </c>
      <c r="D781">
        <f>IF(Skills!C14=1,60+Inputs!$B$25+Inputs!$B$29,IF(Skills!C14=2,90+Inputs!$B$26+Inputs!$B$29,IF(Skills!C14=3,120+(Inputs!$B$27+1)+Inputs!$B$29,MAX(0,(Inputs!$B$3-100)*3)+Inputs!$B$28+Inputs!$B$29)))</f>
        <v/>
      </c>
      <c r="E781">
        <f>INDEX(FactorTable!$B$2:$Y$301, MATCH(ROUND(MIN(300,MAX(1,D781)),0), FactorTable!$A$2:$A$301,0), Skills!L14+1)</f>
        <v/>
      </c>
      <c r="F781">
        <f>IF(Skills!M14=TRUE,(Skills!K14/10)*(E781/1000),Skills!K14/10)+Skills!N14</f>
        <v/>
      </c>
      <c r="G781">
        <f>Calc!G14</f>
        <v/>
      </c>
      <c r="H781">
        <f>Calc!H14</f>
        <v/>
      </c>
      <c r="I781">
        <f>IF(Skills!T14&lt;&gt;"",1+(Skills!T14/10)*(Z770/1000)/100,1)</f>
        <v/>
      </c>
      <c r="J781" t="inlineStr"/>
      <c r="K781" t="inlineStr"/>
      <c r="L781" t="inlineStr"/>
      <c r="M781" t="inlineStr"/>
      <c r="N781" t="inlineStr"/>
      <c r="O781">
        <f>(1-Summary!$B$11)*S781+Summary!$B$11*U781</f>
        <v/>
      </c>
      <c r="P781">
        <f>IF(B804=0,0,O781/B804)</f>
        <v/>
      </c>
      <c r="Q781">
        <f>IFERROR(1/(IF(Inputs!$B$38="pvp",15,MAX(0.1,Skills!D14-IF(TRUE=TRUE,Inputs!$B$32,0)))*(1-IF(AND(ArtifactsInput!$M$27,Inputs!$B$4="Chapter Hunt"),CHOOSE(ArtifactsInput!$N$27+1,20,24,28,32,36,40),0)/100)),0)</f>
        <v/>
      </c>
      <c r="R781" t="n">
        <v>0</v>
      </c>
      <c r="S781" t="n">
        <v>0</v>
      </c>
      <c r="U781" t="n">
        <v>0</v>
      </c>
    </row>
    <row r="782">
      <c r="A782">
        <f>Skills!A15</f>
        <v/>
      </c>
      <c r="B782">
        <f>Skills!B15</f>
        <v/>
      </c>
      <c r="C782">
        <f>Inputs!$B$3&gt;=75</f>
        <v/>
      </c>
      <c r="D782">
        <f>IF(Skills!C15=1,60+Inputs!$B$25+Inputs!$B$29,IF(Skills!C15=2,90+Inputs!$B$26+Inputs!$B$29,IF(Skills!C15=3,120+(Inputs!$B$27+1)+Inputs!$B$29,MAX(0,(Inputs!$B$3-100)*3)+Inputs!$B$28+Inputs!$B$29)))</f>
        <v/>
      </c>
      <c r="E782">
        <f>INDEX(FactorTable!$B$2:$Y$301, MATCH(ROUND(MIN(300,MAX(1,D782)),0), FactorTable!$A$2:$A$301,0), Skills!L15+1)</f>
        <v/>
      </c>
      <c r="F782">
        <f>IF(Skills!M15=TRUE,(Skills!K15/10)*(E782/1000),Skills!K15/10)+Skills!N15</f>
        <v/>
      </c>
      <c r="G782">
        <f>Calc!G15</f>
        <v/>
      </c>
      <c r="H782">
        <f>Calc!H15</f>
        <v/>
      </c>
      <c r="I782">
        <f>IF(Skills!T15&lt;&gt;"",1+(Skills!T15/10)*(Z770/1000)/100,1)</f>
        <v/>
      </c>
      <c r="J782" t="inlineStr"/>
      <c r="K782" t="inlineStr"/>
      <c r="L782" t="inlineStr"/>
      <c r="M782" t="inlineStr"/>
      <c r="N782" t="inlineStr"/>
      <c r="O782">
        <f>(1-Summary!$B$11)*S782+Summary!$B$11*U782</f>
        <v/>
      </c>
      <c r="P782">
        <f>IF(B804=0,0,O782/B804)</f>
        <v/>
      </c>
      <c r="Q782">
        <f>IFERROR(1/(IF(Inputs!$B$38="pvp",15,MAX(0.1,Skills!D15-IF(TRUE=TRUE,Inputs!$B$32,0)))*(1-IF(AND(ArtifactsInput!$M$27,Inputs!$B$4="Chapter Hunt"),CHOOSE(ArtifactsInput!$N$27+1,20,24,28,32,36,40),0)/100)),0)</f>
        <v/>
      </c>
      <c r="R782" t="n">
        <v>0</v>
      </c>
      <c r="S782" t="n">
        <v>0</v>
      </c>
      <c r="U782" t="n">
        <v>0</v>
      </c>
    </row>
    <row r="783">
      <c r="A783">
        <f>Skills!A16</f>
        <v/>
      </c>
      <c r="B783">
        <f>Skills!B16</f>
        <v/>
      </c>
      <c r="C783">
        <f>Inputs!$B$3&gt;=110</f>
        <v/>
      </c>
      <c r="D783">
        <f>IF(Skills!C16=1,60+Inputs!$B$25+Inputs!$B$29,IF(Skills!C16=2,90+Inputs!$B$26+Inputs!$B$29,IF(Skills!C16=3,120+(Inputs!$B$27+1)+Inputs!$B$29,MAX(0,(Inputs!$B$3-100)*3)+Inputs!$B$28+Inputs!$B$29)))</f>
        <v/>
      </c>
      <c r="E783">
        <f>INDEX(FactorTable!$B$2:$Y$301, MATCH(ROUND(MIN(300,MAX(1,D783)),0), FactorTable!$A$2:$A$301,0), Skills!L16+1)</f>
        <v/>
      </c>
      <c r="F783">
        <f>(Skills!K16/10)*(E783/1000)*64/45+Skills!N16</f>
        <v/>
      </c>
      <c r="G783">
        <f>Calc!G16</f>
        <v/>
      </c>
      <c r="H783">
        <f>Calc!H16</f>
        <v/>
      </c>
      <c r="I783">
        <f>IF(Skills!T16&lt;&gt;"",1+(Skills!T16/10)*(Z770/1000)/100,1)</f>
        <v/>
      </c>
      <c r="J783" t="inlineStr"/>
      <c r="K783" t="inlineStr"/>
      <c r="L783" t="inlineStr"/>
      <c r="M783" t="inlineStr"/>
      <c r="N783" t="inlineStr"/>
      <c r="O783">
        <f>(1-Summary!$B$11)*S783+Summary!$B$11*U783</f>
        <v/>
      </c>
      <c r="P783">
        <f>IF(B804=0,0,O783/B804)</f>
        <v/>
      </c>
      <c r="Q783">
        <f>IFERROR(1/(IF(Inputs!$B$38="pvp",15,MAX(0.1,Skills!D16-IF(TRUE=TRUE,Inputs!$B$32,0)))*(1-IF(AND(ArtifactsInput!$M$27,Inputs!$B$4="Chapter Hunt"),CHOOSE(ArtifactsInput!$N$27+1,20,24,28,32,36,40),0)/100)),0)</f>
        <v/>
      </c>
      <c r="R783">
        <f>IF(AND(Inputs!$B$38&lt;&gt;"pvp",Inputs!$B$43&gt;0),IF(Inputs!$B$43&lt;=0,0,(INT(Inputs!$B$43/(IF(Inputs!$B$38="pvp",15,MAX(0.1,Skills!D16-IF(TRUE=TRUE,Inputs!$B$32,0)))*(1-IF(AND(ArtifactsInput!$M$27,Inputs!$B$4="Chapter Hunt"),CHOOSE(ArtifactsInput!$N$27+1,20,24,28,32,36,40),0)/100)))+1)),0)</f>
        <v/>
      </c>
      <c r="S783" t="n">
        <v>0</v>
      </c>
      <c r="U783" t="n">
        <v>0</v>
      </c>
    </row>
    <row r="784">
      <c r="A784">
        <f>Skills!A17</f>
        <v/>
      </c>
      <c r="B784">
        <f>Skills!B17</f>
        <v/>
      </c>
      <c r="C784">
        <f>Inputs!$B$3&gt;=33</f>
        <v/>
      </c>
      <c r="D784">
        <f>IF(Skills!C17=1,60+Inputs!$B$25+Inputs!$B$29,IF(Skills!C17=2,90+Inputs!$B$26+Inputs!$B$29,IF(Skills!C17=3,120+(Inputs!$B$27+1)+Inputs!$B$29,MAX(0,(Inputs!$B$3-100)*3)+Inputs!$B$28+Inputs!$B$29)))</f>
        <v/>
      </c>
      <c r="E784">
        <f>INDEX(FactorTable!$B$2:$Y$301, MATCH(ROUND(MIN(300,MAX(1,D784)),0), FactorTable!$A$2:$A$301,0), Skills!L17+1)</f>
        <v/>
      </c>
      <c r="F784">
        <f>IF(Skills!M17=TRUE,(Skills!K17/10)*(E784/1000),Skills!K17/10)+Skills!N17</f>
        <v/>
      </c>
      <c r="G784">
        <f>Calc!G17</f>
        <v/>
      </c>
      <c r="H784">
        <f>Calc!H17</f>
        <v/>
      </c>
      <c r="I784">
        <f>IF(Skills!T17&lt;&gt;"",1+(Skills!T17/10)*(Z770/1000)/100,1)</f>
        <v/>
      </c>
      <c r="J784" t="inlineStr"/>
      <c r="K784" t="inlineStr"/>
      <c r="L784" t="inlineStr"/>
      <c r="M784" t="inlineStr"/>
      <c r="N784" t="inlineStr"/>
      <c r="O784">
        <f>(1-Summary!$B$11)*S784+Summary!$B$11*U784</f>
        <v/>
      </c>
      <c r="P784">
        <f>IF(B804=0,0,O784/B804)</f>
        <v/>
      </c>
      <c r="Q784">
        <f>IFERROR(1/(IF(Inputs!$B$38="pvp",15,MAX(0.1,Skills!D17-IF(TRUE=TRUE,Inputs!$B$32,0)))*(1-IF(AND(ArtifactsInput!$M$27,Inputs!$B$4="Chapter Hunt"),CHOOSE(ArtifactsInput!$N$27+1,20,24,28,32,36,40),0)/100)),0)</f>
        <v/>
      </c>
      <c r="R784" t="n">
        <v>0</v>
      </c>
      <c r="S784" t="n">
        <v>0</v>
      </c>
      <c r="U784" t="n">
        <v>0</v>
      </c>
    </row>
    <row r="785">
      <c r="A785">
        <f>Skills!A18</f>
        <v/>
      </c>
      <c r="B785">
        <f>Skills!B18</f>
        <v/>
      </c>
      <c r="C785">
        <f>Inputs!$B$3&gt;=43</f>
        <v/>
      </c>
      <c r="D785">
        <f>IF(Skills!C18=1,60+Inputs!$B$25+Inputs!$B$29,IF(Skills!C18=2,90+Inputs!$B$26+Inputs!$B$29,IF(Skills!C18=3,120+(Inputs!$B$27+1)+Inputs!$B$29,MAX(0,(Inputs!$B$3-100)*3)+Inputs!$B$28+Inputs!$B$29)))</f>
        <v/>
      </c>
      <c r="E785">
        <f>INDEX(FactorTable!$B$2:$Y$301, MATCH(ROUND(MIN(300,MAX(1,D785)),0), FactorTable!$A$2:$A$301,0), Skills!L18+1)</f>
        <v/>
      </c>
      <c r="F785">
        <f>IF(Skills!M18=TRUE,(Skills!K18/10)*(E785/1000),Skills!K18/10)+Skills!N18</f>
        <v/>
      </c>
      <c r="G785">
        <f>Calc!G18</f>
        <v/>
      </c>
      <c r="H785">
        <f>Calc!H18</f>
        <v/>
      </c>
      <c r="I785">
        <f>IF(Skills!T18&lt;&gt;"",1+(Skills!T18/10)*(Z770/1000)/100,1)</f>
        <v/>
      </c>
      <c r="J785" t="inlineStr"/>
      <c r="K785" t="inlineStr"/>
      <c r="L785" t="inlineStr"/>
      <c r="M785" t="inlineStr"/>
      <c r="N785" t="inlineStr"/>
      <c r="O785">
        <f>(1-Summary!$B$11)*S785+Summary!$B$11*U785</f>
        <v/>
      </c>
      <c r="P785">
        <f>IF(B804=0,0,O785/B804)</f>
        <v/>
      </c>
      <c r="Q785">
        <f>IFERROR(1/(IF(Inputs!$B$38="pvp",15,MAX(0.1,Skills!D18-IF(TRUE=TRUE,Inputs!$B$32,0)))*(1-IF(AND(ArtifactsInput!$M$27,Inputs!$B$4="Chapter Hunt"),CHOOSE(ArtifactsInput!$N$27+1,20,24,28,32,36,40),0)/100)),0)</f>
        <v/>
      </c>
      <c r="R785" t="n">
        <v>0</v>
      </c>
      <c r="S785" t="n">
        <v>0</v>
      </c>
      <c r="U785" t="n">
        <v>0</v>
      </c>
    </row>
    <row r="786">
      <c r="A786">
        <f>Skills!A19</f>
        <v/>
      </c>
      <c r="B786">
        <f>Skills!B19</f>
        <v/>
      </c>
      <c r="C786">
        <f>Inputs!$B$3&gt;=50</f>
        <v/>
      </c>
      <c r="D786">
        <f>IF(Skills!C19=1,60+Inputs!$B$25+Inputs!$B$29,IF(Skills!C19=2,90+Inputs!$B$26+Inputs!$B$29,IF(Skills!C19=3,120+(Inputs!$B$27+1)+Inputs!$B$29,MAX(0,(Inputs!$B$3-100)*3)+Inputs!$B$28+Inputs!$B$29)))</f>
        <v/>
      </c>
      <c r="E786">
        <f>INDEX(FactorTable!$B$2:$Y$301, MATCH(ROUND(MIN(300,MAX(1,D786)),0), FactorTable!$A$2:$A$301,0), Skills!L19+1)</f>
        <v/>
      </c>
      <c r="F786">
        <f>IF(Skills!M19=TRUE,(Skills!K19/10)*(E786/1000),Skills!K19/10)+Skills!N19</f>
        <v/>
      </c>
      <c r="G786">
        <f>Calc!G19</f>
        <v/>
      </c>
      <c r="H786">
        <f>Calc!H19</f>
        <v/>
      </c>
      <c r="I786">
        <f>IF(Skills!T19&lt;&gt;"",1+(Skills!T19/10)*(Z770/1000)/100,1)</f>
        <v/>
      </c>
      <c r="J786" t="inlineStr"/>
      <c r="K786" t="inlineStr"/>
      <c r="L786" t="inlineStr"/>
      <c r="M786" t="inlineStr"/>
      <c r="N786" t="inlineStr"/>
      <c r="O786">
        <f>(1-Summary!$B$11)*S786+Summary!$B$11*U786</f>
        <v/>
      </c>
      <c r="P786">
        <f>IF(B804=0,0,O786/B804)</f>
        <v/>
      </c>
      <c r="Q786">
        <f>IFERROR(1/(IF(Inputs!$B$38="pvp",15,MAX(0.1,Skills!D19-IF(TRUE=TRUE,Inputs!$B$32,0)))*(1-IF(AND(ArtifactsInput!$M$27,Inputs!$B$4="Chapter Hunt"),CHOOSE(ArtifactsInput!$N$27+1,20,24,28,32,36,40),0)/100)),0)</f>
        <v/>
      </c>
      <c r="R786" t="n">
        <v>0</v>
      </c>
      <c r="S786" t="n">
        <v>0</v>
      </c>
      <c r="U786" t="n">
        <v>0</v>
      </c>
    </row>
    <row r="787">
      <c r="A787">
        <f>Skills!A20</f>
        <v/>
      </c>
      <c r="B787">
        <f>Skills!B20</f>
        <v/>
      </c>
      <c r="C787">
        <f>Inputs!$B$3&gt;=74</f>
        <v/>
      </c>
      <c r="D787">
        <f>IF(Skills!C20=1,60+Inputs!$B$25+Inputs!$B$29,IF(Skills!C20=2,90+Inputs!$B$26+Inputs!$B$29,IF(Skills!C20=3,120+(Inputs!$B$27+1)+Inputs!$B$29,MAX(0,(Inputs!$B$3-100)*3)+Inputs!$B$28+Inputs!$B$29)))</f>
        <v/>
      </c>
      <c r="E787">
        <f>INDEX(FactorTable!$B$2:$Y$301, MATCH(ROUND(MIN(300,MAX(1,D787)),0), FactorTable!$A$2:$A$301,0), Skills!L20+1)</f>
        <v/>
      </c>
      <c r="F787">
        <f>IF(Skills!M20=TRUE,(Skills!K20/10)*(E787/1000),Skills!K20/10)+Skills!N20</f>
        <v/>
      </c>
      <c r="G787">
        <f>Calc!G20</f>
        <v/>
      </c>
      <c r="H787">
        <f>Calc!H20</f>
        <v/>
      </c>
      <c r="I787">
        <f>IF(Skills!T20&lt;&gt;"",1+(Skills!T20/10)*(Z770/1000)/100,1)</f>
        <v/>
      </c>
      <c r="J787" t="inlineStr"/>
      <c r="K787" t="inlineStr"/>
      <c r="L787" t="inlineStr"/>
      <c r="M787" t="inlineStr"/>
      <c r="N787" t="inlineStr"/>
      <c r="O787">
        <f>(1-Summary!$B$11)*S787+Summary!$B$11*U787</f>
        <v/>
      </c>
      <c r="P787">
        <f>IF(B804=0,0,O787/B804)</f>
        <v/>
      </c>
      <c r="Q787">
        <f>IFERROR(1/(IF(Inputs!$B$38="pvp",15,MAX(0.1,Skills!D20-IF(TRUE=TRUE,Inputs!$B$32,0)))*(1-IF(AND(ArtifactsInput!$M$27,Inputs!$B$4="Chapter Hunt"),CHOOSE(ArtifactsInput!$N$27+1,20,24,28,32,36,40),0)/100)),0)</f>
        <v/>
      </c>
      <c r="R787" t="n">
        <v>0</v>
      </c>
      <c r="S787" t="n">
        <v>0</v>
      </c>
      <c r="U787" t="n">
        <v>0</v>
      </c>
    </row>
    <row r="788">
      <c r="A788">
        <f>Skills!A21</f>
        <v/>
      </c>
      <c r="B788">
        <f>Skills!B21</f>
        <v/>
      </c>
      <c r="C788">
        <f>Inputs!$B$3&gt;=74</f>
        <v/>
      </c>
      <c r="D788">
        <f>IF(Skills!C21=1,60+Inputs!$B$25+Inputs!$B$29,IF(Skills!C21=2,90+Inputs!$B$26+Inputs!$B$29,IF(Skills!C21=3,120+(Inputs!$B$27+1)+Inputs!$B$29,MAX(0,(Inputs!$B$3-100)*3)+Inputs!$B$28+Inputs!$B$29)))</f>
        <v/>
      </c>
      <c r="E788">
        <f>INDEX(FactorTable!$B$2:$Y$301, MATCH(ROUND(MIN(300,MAX(1,D788)),0), FactorTable!$A$2:$A$301,0), Skills!L21+1)</f>
        <v/>
      </c>
      <c r="F788">
        <f>IF(Skills!M21=TRUE,(Skills!K21/10)*(E788/1000),Skills!K21/10)+Skills!N21</f>
        <v/>
      </c>
      <c r="G788">
        <f>Calc!G21</f>
        <v/>
      </c>
      <c r="H788">
        <f>Calc!H21</f>
        <v/>
      </c>
      <c r="I788">
        <f>IF(Skills!T21&lt;&gt;"",1+(Skills!T21/10)*(Z770/1000)/100,1)</f>
        <v/>
      </c>
      <c r="J788" t="inlineStr"/>
      <c r="K788" t="inlineStr"/>
      <c r="L788" t="inlineStr"/>
      <c r="M788" t="inlineStr"/>
      <c r="N788" t="inlineStr"/>
      <c r="O788">
        <f>(1-Summary!$B$11)*S788+Summary!$B$11*U788</f>
        <v/>
      </c>
      <c r="P788">
        <f>IF(B804=0,0,O788/B804)</f>
        <v/>
      </c>
      <c r="Q788">
        <f>IFERROR(1/(IF(Inputs!$B$38="pvp",15,MAX(0.1,Skills!D21-IF(TRUE=TRUE,Inputs!$B$32,0)))*(1-IF(AND(ArtifactsInput!$M$27,Inputs!$B$4="Chapter Hunt"),CHOOSE(ArtifactsInput!$N$27+1,20,24,28,32,36,40),0)/100)),0)</f>
        <v/>
      </c>
      <c r="R788" t="n">
        <v>0</v>
      </c>
      <c r="S788" t="n">
        <v>0</v>
      </c>
      <c r="U788" t="n">
        <v>0</v>
      </c>
    </row>
    <row r="789">
      <c r="A789">
        <f>Skills!A22</f>
        <v/>
      </c>
      <c r="B789">
        <f>Skills!B22</f>
        <v/>
      </c>
      <c r="C789">
        <f>Inputs!$B$3&gt;=117</f>
        <v/>
      </c>
      <c r="D789">
        <f>IF(Skills!C22=1,60+Inputs!$B$25+Inputs!$B$29,IF(Skills!C22=2,90+Inputs!$B$26+Inputs!$B$29,IF(Skills!C22=3,120+(Inputs!$B$27+1)+Inputs!$B$29,MAX(0,(Inputs!$B$3-100)*3)+Inputs!$B$28+Inputs!$B$29)))</f>
        <v/>
      </c>
      <c r="E789">
        <f>INDEX(FactorTable!$B$2:$Y$301, MATCH(ROUND(MIN(300,MAX(1,D789)),0), FactorTable!$A$2:$A$301,0), Skills!L22+1)</f>
        <v/>
      </c>
      <c r="F789">
        <f>IF(Skills!M22=TRUE,(Skills!K22/10)*(E789/1000),Skills!K22/10)+Skills!N22</f>
        <v/>
      </c>
      <c r="G789">
        <f>Calc!G22</f>
        <v/>
      </c>
      <c r="H789">
        <f>Calc!H22</f>
        <v/>
      </c>
      <c r="I789">
        <f>IF(Skills!T22&lt;&gt;"",1+(Skills!T22/10)*(Z770/1000)/100,1)</f>
        <v/>
      </c>
      <c r="J789" t="inlineStr"/>
      <c r="K789" t="inlineStr"/>
      <c r="L789" t="inlineStr"/>
      <c r="M789" t="inlineStr"/>
      <c r="N789" t="inlineStr"/>
      <c r="O789">
        <f>(1-Summary!$B$11)*S789+Summary!$B$11*U789</f>
        <v/>
      </c>
      <c r="P789">
        <f>IF(B804=0,0,O789/B804)</f>
        <v/>
      </c>
      <c r="Q789">
        <f>IFERROR(1/(IF(Inputs!$B$38="pvp",15,MAX(0.1,Skills!D22-IF(TRUE=TRUE,Inputs!$B$32,0)))*(1-IF(AND(ArtifactsInput!$M$27,Inputs!$B$4="Chapter Hunt"),CHOOSE(ArtifactsInput!$N$27+1,20,24,28,32,36,40),0)/100)),0)</f>
        <v/>
      </c>
      <c r="R789" t="n">
        <v>0</v>
      </c>
      <c r="S789" t="n">
        <v>0</v>
      </c>
      <c r="U789" t="n">
        <v>0</v>
      </c>
    </row>
    <row r="790">
      <c r="A790">
        <f>Skills!A23</f>
        <v/>
      </c>
      <c r="B790">
        <f>Skills!B23</f>
        <v/>
      </c>
      <c r="C790">
        <f>Inputs!$B$3&gt;=120</f>
        <v/>
      </c>
      <c r="D790">
        <f>IF(Skills!C23=1,60+Inputs!$B$25+Inputs!$B$29,IF(Skills!C23=2,90+Inputs!$B$26+Inputs!$B$29,IF(Skills!C23=3,120+(Inputs!$B$27+1)+Inputs!$B$29,MAX(0,(Inputs!$B$3-100)*3)+Inputs!$B$28+Inputs!$B$29)))</f>
        <v/>
      </c>
      <c r="E790">
        <f>INDEX(FactorTable!$B$2:$Y$301, MATCH(ROUND(MIN(300,MAX(1,D790)),0), FactorTable!$A$2:$A$301,0), Skills!L23+1)</f>
        <v/>
      </c>
      <c r="F790">
        <f>IF(Skills!M23=TRUE,(Skills!K23/10)*(E790/1000),Skills!K23/10)+Skills!N23</f>
        <v/>
      </c>
      <c r="G790">
        <f>Calc!G23</f>
        <v/>
      </c>
      <c r="H790">
        <f>Calc!H23</f>
        <v/>
      </c>
      <c r="I790">
        <f>IF(Skills!T23&lt;&gt;"",1+(Skills!T23/10)*(Z770/1000)/100,1)</f>
        <v/>
      </c>
      <c r="J790" t="inlineStr"/>
      <c r="K790" t="inlineStr"/>
      <c r="L790" t="inlineStr"/>
      <c r="M790" t="inlineStr"/>
      <c r="N790" t="inlineStr"/>
      <c r="O790">
        <f>(1-Summary!$B$11)*S790+Summary!$B$11*U790</f>
        <v/>
      </c>
      <c r="P790">
        <f>IF(B804=0,0,O790/B804)</f>
        <v/>
      </c>
      <c r="Q790">
        <f>IFERROR(1/(IF(Inputs!$B$38="pvp",15,MAX(0.1,Skills!D23-IF(TRUE=TRUE,Inputs!$B$32,0)))*(1-IF(AND(ArtifactsInput!$M$27,Inputs!$B$4="Chapter Hunt"),CHOOSE(ArtifactsInput!$N$27+1,20,24,28,32,36,40),0)/100)),0)</f>
        <v/>
      </c>
      <c r="R790" t="n">
        <v>0</v>
      </c>
      <c r="S790" t="n">
        <v>0</v>
      </c>
      <c r="U790" t="n">
        <v>0</v>
      </c>
    </row>
    <row r="791">
      <c r="A791">
        <f>Skills!A24</f>
        <v/>
      </c>
      <c r="B791">
        <f>Skills!B24</f>
        <v/>
      </c>
      <c r="C791">
        <f>TRUE</f>
        <v/>
      </c>
      <c r="D791">
        <f>IF(Skills!C24=1,60+Inputs!$B$25+Inputs!$B$29,IF(Skills!C24=2,90+Inputs!$B$26+Inputs!$B$29,IF(Skills!C24=3,120+(Inputs!$B$27+1)+Inputs!$B$29,MAX(0,(Inputs!$B$3-100)*3)+Inputs!$B$28+Inputs!$B$29)))</f>
        <v/>
      </c>
      <c r="E791">
        <f>INDEX(FactorTable!$B$2:$Y$301, MATCH(ROUND(MIN(300,MAX(1,D791)),0), FactorTable!$A$2:$A$301,0), Skills!L24+1)</f>
        <v/>
      </c>
      <c r="F791">
        <f>IF(Skills!M24=TRUE,(Skills!K24/10)*(E791/1000),Skills!K24/10)+Skills!N24</f>
        <v/>
      </c>
      <c r="G791">
        <f>Calc!G24</f>
        <v/>
      </c>
      <c r="H791">
        <f>Calc!H24</f>
        <v/>
      </c>
      <c r="I791">
        <f>IF(Skills!T24&lt;&gt;"",1+(Skills!T24/10)*(Z770/1000)/100,1)</f>
        <v/>
      </c>
      <c r="J791" t="inlineStr"/>
      <c r="K791" t="inlineStr"/>
      <c r="L791" t="inlineStr"/>
      <c r="M791" t="inlineStr"/>
      <c r="N791" t="inlineStr"/>
      <c r="O791">
        <f>(1-Summary!$B$11)*S791+Summary!$B$11*U791</f>
        <v/>
      </c>
      <c r="P791">
        <f>IF(B804=0,0,O791/B804)</f>
        <v/>
      </c>
      <c r="Q791">
        <f>IFERROR(1/(IF(Inputs!$B$38="pvp",15,MAX(0.1,Skills!D24-IF(TRUE=TRUE,Inputs!$B$32,0)))*(1-IF(AND(ArtifactsInput!$M$27,Inputs!$B$4="Chapter Hunt"),CHOOSE(ArtifactsInput!$N$27+1,20,24,28,32,36,40),0)/100)),0)</f>
        <v/>
      </c>
      <c r="R791">
        <f>IF(AND(Inputs!$B$38&lt;&gt;"pvp",Inputs!$B$43&gt;0),IF(Inputs!$B$43&lt;=0,0,(INT(Inputs!$B$43/(IF(Inputs!$B$38="pvp",15,MAX(0.1,Skills!D24-IF(TRUE=TRUE,Inputs!$B$32,0)))*(1-IF(AND(ArtifactsInput!$M$27,Inputs!$B$4="Chapter Hunt"),CHOOSE(ArtifactsInput!$N$27+1,20,24,28,32,36,40),0)/100)))+1)),0)</f>
        <v/>
      </c>
      <c r="S791" t="n">
        <v>0</v>
      </c>
      <c r="U791" t="n">
        <v>0</v>
      </c>
    </row>
    <row r="794">
      <c r="A794" t="inlineStr">
        <is>
          <t>Average Buff Multiplier (Magic Guard + Meditation + Artifact Attack%, summed; then Infinity)</t>
        </is>
      </c>
      <c r="B794">
        <f>(1+(IF(C770=TRUE,F770*IF(AND(Inputs!$B$38&lt;&gt;"pvp",Inputs!$B$43&gt;0),(((R770-1)*MIN((Skills!S3*(1+(Inputs!$B$34)/100)),(1/Q770))+MIN((Skills!S3*(1+(Inputs!$B$34)/100)),MAX(0,Inputs!$B$43-((R770-1)*(1/Q770)))))/Inputs!$B$43),IF(Inputs!$B$38="pvp",MIN((Skills!S3*(1+(Inputs!$B$34)/100)),15)/15,MIN(1,(Skills!S3*(1+(Inputs!$B$34)/100))/(1/Q770)))),0)+IF(C771=TRUE,F771*IF(AND(Inputs!$B$38&lt;&gt;"pvp",Inputs!$B$43&gt;0),(((R771-1)*MIN((Skills!S4*(1+(Inputs!$B$34)/100)),(1/Q771))+MIN((Skills!S4*(1+(Inputs!$B$34)/100)),MAX(0,Inputs!$B$43-((R771-1)*(1/Q771)))))/Inputs!$B$43),IF(Inputs!$B$38="pvp",MIN((Skills!S4*(1+(Inputs!$B$34)/100)),15)/15,MIN(1,(Skills!S4*(1+(Inputs!$B$34)/100))/(1/Q771)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783=TRUE,(1+F783*IF(AND(Inputs!$B$38&lt;&gt;"pvp",Inputs!$B$43&gt;0),(((R783-1)*MIN((Skills!S16*(1+(Inputs!$B$34)/100)),(1/Q783))+MIN((Skills!S16*(1+(Inputs!$B$34)/100)),MAX(0,Inputs!$B$43-((R783-1)*(1/Q783)))))/Inputs!$B$43),IF(Inputs!$B$38="pvp",MIN((Skills!S16*(1+(Inputs!$B$34)/100)),15)/15,MIN(1,(Skills!S16*(1+(Inputs!$B$34)/100))/(1/Q783))))/100),1)</f>
        <v/>
      </c>
    </row>
    <row r="795">
      <c r="A795" t="inlineStr">
        <is>
          <t>Monster Damage Taken Bonus % (Freezing Breath - Weaken + Elemental Reset + Artifact Enemy Damage Taken, summed)</t>
        </is>
      </c>
      <c r="B795">
        <f>IF(Inputs!$B$3&gt;=118,15*IF(Inputs!$B$38="pvp",MIN((30*(1+(Inputs!$B$34)/100)),15)/15,MIN(1,(30*(1+(Inputs!$B$34)/100))/(1/Q775))),0)+IF(C781=TRUE,F781,0)+(IF(AND(ArtifactsInput!$M$35,Inputs!$B$4&lt;&gt;"Chapter Hunt"),CHOOSE(ArtifactsInput!$N$35+1,15,18,21,24,27,30)*(1-EXP(-(0.2*B798)*5)),0)+IF(AND(ArtifactsInput!$M$22,Inputs!$B$4&lt;&gt;"Chapter Hunt"),CHOOSE(ArtifactsInput!$N$22+1,10,12,14,16,18,20)*((0*(((0.15*B798*5))^0/1)+1*(((0.15*B798*5))^1/1)+2*(((0.15*B798*5))^2/2)+3*(((0.15*B798*5))^3/6)+4*(((0.15*B798*5))^4/24)+5*(((0.15*B798*5))^5/120))/((((0.15*B798*5))^0/1)+(((0.15*B798*5))^1/1)+(((0.15*B798*5))^2/2)+(((0.15*B798*5))^3/6)+(((0.15*B798*5))^4/24)+(((0.15*B798*5))^5/120))),0))</f>
        <v/>
      </c>
    </row>
    <row r="796">
      <c r="A796" t="inlineStr">
        <is>
          <t>Damage % Bonus (Frozen Break + Frost Clutch, flat)</t>
        </is>
      </c>
      <c r="B796">
        <f>IF(Inputs!$B$3&gt;=66,15,0)+IF(Inputs!$B$3&gt;=98,10,0)+IF(Inputs!$B$3&gt;=125,20,0)</f>
        <v/>
      </c>
    </row>
    <row r="797">
      <c r="A797" t="inlineStr">
        <is>
          <t>Attack Speed Bonus % (MP Eater - MP Boost, always-on + Nimble Feet, duty-cycle averaged)</t>
        </is>
      </c>
      <c r="B797">
        <f>IF(C780=TRUE,F780+(F784-Calc!F17),0)+((C791=TRUE)*F791*IF(AND(Inputs!$B$38&lt;&gt;"pvp",Inputs!$B$43&gt;0),(((R791-1)*MIN((Skills!S24*(1+(Inputs!$B$34)/100)),(1/Q791))+MIN((Skills!S24*(1+(Inputs!$B$34)/100)),MAX(0,Inputs!$B$43-((R791-1)*(1/Q791)))))/Inputs!$B$43),IF(Inputs!$B$38="pvp",MIN((Skills!S24*(1+(Inputs!$B$34)/100)),15)/15,MIN(1,(Skills!S24*(1+(Inputs!$B$34)/100))/(1/Q791)))))</f>
        <v/>
      </c>
    </row>
    <row r="798">
      <c r="A798" t="inlineStr">
        <is>
          <t>Actions Per Second</t>
        </is>
      </c>
      <c r="B798">
        <f>1+MIN(150,150*(1-(1-(Inputs!$B$11+(ArtifactsInput!$M$15-ArtifactsInput!$M$15)*CHOOSE(ArtifactsInput!$N$15+1,8,9.6,11.2,12.8,14.4,16))/150)*(1-B797/150)))/100</f>
        <v/>
      </c>
    </row>
    <row r="799">
      <c r="A799" t="inlineStr">
        <is>
          <t>Skill + Buff Cast Rate</t>
        </is>
      </c>
      <c r="B799">
        <f>IF(AND(Inputs!$B$38&lt;&gt;"pvp",Inputs!$B$43&gt;0),SUMPRODUCT((Skills!E2:E24=TRUE)*(C769:C791=TRUE)*R769:R791)/Inputs!$B$43,SUMPRODUCT((Skills!E2:E24=TRUE)*(C769:C791=TRUE)*Q769:Q791))</f>
        <v/>
      </c>
    </row>
    <row r="800">
      <c r="A800" t="inlineStr">
        <is>
          <t>Chain Lightning Casts Per Second</t>
        </is>
      </c>
      <c r="B800">
        <f>MAX(0,B798-B799)</f>
        <v/>
      </c>
    </row>
    <row r="801">
      <c r="A801" t="inlineStr">
        <is>
          <t>Buff-Casting Startup Delay (s, fixed-duration only)</t>
        </is>
      </c>
      <c r="B801">
        <f>IF(AND(Inputs!$B$38&lt;&gt;"pvp",Inputs!$B$43&gt;0),SUMPRODUCT((Skills!S2:S24&gt;0)*(Skills!E2:E24=TRUE)*(C769:C791=TRUE))/B798,0)</f>
        <v/>
      </c>
    </row>
    <row r="802">
      <c r="A802" t="inlineStr">
        <is>
          <t>Boss-Only Total DPS (this block's swept value)</t>
        </is>
      </c>
      <c r="B802">
        <f>SUM(S769:S791)</f>
        <v/>
      </c>
    </row>
    <row r="803">
      <c r="A803" t="inlineStr">
        <is>
          <t>Normal-Only Total DPS (this block's swept value)</t>
        </is>
      </c>
      <c r="B803">
        <f>SUM(U769:U791)</f>
        <v/>
      </c>
    </row>
    <row r="804">
      <c r="A804" s="6" t="inlineStr">
        <is>
          <t>TOTAL DPS</t>
        </is>
      </c>
      <c r="B804" s="6">
        <f>SUM(O769:O791)</f>
        <v/>
      </c>
    </row>
    <row r="805">
      <c r="A805" t="inlineStr">
        <is>
          <t>Blizzard Final Attack trigger rate (this block's own Q/R)</t>
        </is>
      </c>
      <c r="B805">
        <f>IF(AND(Inputs!$B$38&lt;&gt;"pvp",Inputs!$B$43&gt;0),(((C772=TRUE)*R772*1)+((C773=TRUE)*R773*1)+((C775=TRUE)*R775*1)+((C776=TRUE)*R776*3)+((C778=TRUE)*R778*1))/Inputs!$B$43,((C772=TRUE)*Q772*1)+((C773=TRUE)*Q773*1)+((C775=TRUE)*Q775*1)+((C776=TRUE)*Q776*3)+((C778=TRUE)*Q778*1))+B800</f>
        <v/>
      </c>
    </row>
    <row r="808">
      <c r="A808" s="6" t="inlineStr">
        <is>
          <t>Stat: Skill Level Bonus — 4th Job</t>
        </is>
      </c>
    </row>
    <row r="809">
      <c r="A809" s="5" t="inlineStr">
        <is>
          <t>Key</t>
        </is>
      </c>
      <c r="B809" s="5" t="inlineStr">
        <is>
          <t>Name</t>
        </is>
      </c>
      <c r="C809" s="5" t="inlineStr">
        <is>
          <t>Unlocked</t>
        </is>
      </c>
      <c r="D809" s="5" t="inlineStr">
        <is>
          <t>InputLevel</t>
        </is>
      </c>
      <c r="E809" s="5" t="inlineStr">
        <is>
          <t>Factor</t>
        </is>
      </c>
      <c r="F809" s="5" t="inlineStr">
        <is>
          <t>CoefficientPercent</t>
        </is>
      </c>
      <c r="G809" s="5" t="inlineStr">
        <is>
          <t>EffectiveHits</t>
        </is>
      </c>
      <c r="H809" s="5" t="inlineStr">
        <is>
          <t>ProcProbability</t>
        </is>
      </c>
      <c r="I809" s="5" t="inlineStr">
        <is>
          <t>MapleHeroMultiplier</t>
        </is>
      </c>
      <c r="J809" s="5" t="inlineStr">
        <is>
          <t>BaseDamage</t>
        </is>
      </c>
      <c r="K809" s="5" t="inlineStr">
        <is>
          <t>BaseHitDamage</t>
        </is>
      </c>
      <c r="L809" s="5" t="inlineStr">
        <is>
          <t>NonCritAvg</t>
        </is>
      </c>
      <c r="M809" s="5" t="inlineStr">
        <is>
          <t>CritAvg</t>
        </is>
      </c>
      <c r="N809" s="5" t="inlineStr">
        <is>
          <t>ExpectedDamage(perHit)</t>
        </is>
      </c>
      <c r="O809" s="5" t="inlineStr">
        <is>
          <t>DPS</t>
        </is>
      </c>
      <c r="P809" s="5" t="inlineStr">
        <is>
          <t>% of Total</t>
        </is>
      </c>
      <c r="R809" t="inlineStr">
        <is>
          <t>helpers</t>
        </is>
      </c>
    </row>
    <row r="810">
      <c r="A810">
        <f>Skills!A2</f>
        <v/>
      </c>
      <c r="B810">
        <f>Skills!B2</f>
        <v/>
      </c>
      <c r="C810">
        <f>Inputs!$B$3&gt;=100</f>
        <v/>
      </c>
      <c r="D810" t="inlineStr"/>
      <c r="E810" t="inlineStr"/>
      <c r="F810">
        <f>T812+Skills!N2</f>
        <v/>
      </c>
      <c r="G810">
        <f>Calc!G2</f>
        <v/>
      </c>
      <c r="H810">
        <f>Calc!H2</f>
        <v/>
      </c>
      <c r="I810">
        <f>IF(Skills!T2&lt;&gt;"",1+(Skills!T2/10)*(Z811/1000)/100,1)</f>
        <v/>
      </c>
      <c r="J810">
        <f>((Inputs!$B$6*(1+Inputs!$B$7/100))+(((Inputs!$B$12*(1+Inputs!$B$13/100))-(Inputs!$B$12*(1+Inputs!$B$13/100)))+0.25*(Inputs!$B$14-Inputs!$B$14))*(1+Inputs!$B$7/100))*(F810/100)</f>
        <v/>
      </c>
      <c r="K810">
        <f>J810*(1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2="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810)</f>
        <v/>
      </c>
      <c r="L810">
        <f>K810*(MIN(Inputs!$B$22+(F826-Calc!F18),(Inputs!$B$23+(IF(ArtifactsInput!$M$15,CHOOSE(ArtifactsInput!$N$15+1,25,30,35,40,45,50)/100*(Inputs!$B$11-Inputs!$B$11),0))))/100+(Inputs!$B$23+(IF(ArtifactsInput!$M$15,CHOOSE(ArtifactsInput!$N$15+1,25,30,35,40,45,50)/100*(Inputs!$B$11-Inputs!$B$11),0)))/100)/2</f>
        <v/>
      </c>
      <c r="M810">
        <f>L810*(1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0">
        <f>L810*(1-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810*(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0">
        <f>(1-Summary!$B$11)*S810+Summary!$B$11*U810</f>
        <v/>
      </c>
      <c r="P810">
        <f>IF(B845=0,0,O810/B845)</f>
        <v/>
      </c>
      <c r="Q810">
        <f>IFERROR(1/(IF(Inputs!$B$38="pvp",15,MAX(0.1,Skills!D2-IF(TRUE=TRUE,Inputs!$B$32,0)))*(1-IF(AND(ArtifactsInput!$M$27,Inputs!$B$4="Chapter Hunt"),CHOOSE(ArtifactsInput!$N$27+1,20,24,28,32,36,40),0)/100)),0)</f>
        <v/>
      </c>
      <c r="R810" t="n">
        <v>0</v>
      </c>
      <c r="S810">
        <f>IF(C810,(Skills!F2*N810*B841)*IF(Inputs!$B$38="pvp",1,1+(Inputs!$B$20+Skills!O2+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810*(1-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810*(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810*(1-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810*(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10">
        <f>MAX(0,(Inputs!$B$3-100)*3)+(Inputs!$B$28+1)+Inputs!$B$29</f>
        <v/>
      </c>
      <c r="U810">
        <f>IF(C810,(Skills!F2*N810*B841)*IF(Inputs!$B$38="pvp",1,(1+(Inputs!$B$21+Skills!P2+B836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810">
        <f>MAX(0,(Inputs!$B$3-100)*3)+(Inputs!$B$28+1)+Inputs!$B$29</f>
        <v/>
      </c>
    </row>
    <row r="811">
      <c r="A811">
        <f>Skills!A3</f>
        <v/>
      </c>
      <c r="B811">
        <f>Skills!B3</f>
        <v/>
      </c>
      <c r="C811">
        <f>Inputs!$B$3&gt;=15</f>
        <v/>
      </c>
      <c r="D811">
        <f>IF(Skills!C3=1,60+Inputs!$B$25+Inputs!$B$29,IF(Skills!C3=2,90+Inputs!$B$26+Inputs!$B$29,IF(Skills!C3=3,120+Inputs!$B$27+Inputs!$B$29,MAX(0,(Inputs!$B$3-100)*3)+(Inputs!$B$28+1)+Inputs!$B$29)))</f>
        <v/>
      </c>
      <c r="E811">
        <f>INDEX(FactorTable!$B$2:$Y$301, MATCH(ROUND(MIN(300,MAX(1,D811)),0), FactorTable!$A$2:$A$301,0), Skills!L3+1)</f>
        <v/>
      </c>
      <c r="F811">
        <f>IF(Skills!M3=TRUE,(Skills!K3/10)*(E811/1000),Skills!K3/10)+Skills!N3</f>
        <v/>
      </c>
      <c r="G811">
        <f>Calc!G3</f>
        <v/>
      </c>
      <c r="H811">
        <f>Calc!H3</f>
        <v/>
      </c>
      <c r="I811">
        <f>IF(Skills!T3&lt;&gt;"",1+(Skills!T3/10)*(Z811/1000)/100,1)</f>
        <v/>
      </c>
      <c r="J811" t="inlineStr"/>
      <c r="K811" t="inlineStr"/>
      <c r="L811" t="inlineStr"/>
      <c r="M811" t="inlineStr"/>
      <c r="N811" t="inlineStr"/>
      <c r="O811">
        <f>(1-Summary!$B$11)*S811+Summary!$B$11*U811</f>
        <v/>
      </c>
      <c r="P811">
        <f>IF(B845=0,0,O811/B845)</f>
        <v/>
      </c>
      <c r="Q811">
        <f>IFERROR(1/(IF(Inputs!$B$38="pvp",15,MAX(0.1,Skills!D3-IF(TRUE=TRUE,Inputs!$B$32,0)))*(1-IF(AND(ArtifactsInput!$M$27,Inputs!$B$4="Chapter Hunt"),CHOOSE(ArtifactsInput!$N$27+1,20,24,28,32,36,40),0)/100)),0)</f>
        <v/>
      </c>
      <c r="R811">
        <f>IF(AND(Inputs!$B$38&lt;&gt;"pvp",Inputs!$B$43&gt;0),IF(Inputs!$B$43&lt;=0,0,(INT(Inputs!$B$43/(IF(Inputs!$B$38="pvp",15,MAX(0.1,Skills!D3-IF(TRUE=TRUE,Inputs!$B$32,0)))*(1-IF(AND(ArtifactsInput!$M$27,Inputs!$B$4="Chapter Hunt"),CHOOSE(ArtifactsInput!$N$27+1,20,24,28,32,36,40),0)/100)))+1)),0)</f>
        <v/>
      </c>
      <c r="S811" t="n">
        <v>0</v>
      </c>
      <c r="T811">
        <f>INDEX(FactorTable!$B$2:$Y$301, MATCH(ROUND(MIN(300,MAX(1,T810)),0), FactorTable!$A$2:$A$301,0), 22)</f>
        <v/>
      </c>
      <c r="U811" t="n">
        <v>0</v>
      </c>
      <c r="Z811">
        <f>INDEX(FactorTable!$B$2:$Y$301, MATCH(ROUND(MIN(300,MAX(1,Z810)),0), FactorTable!$A$2:$A$301,0), 24)</f>
        <v/>
      </c>
    </row>
    <row r="812">
      <c r="A812">
        <f>Skills!A4</f>
        <v/>
      </c>
      <c r="B812">
        <f>Skills!B4</f>
        <v/>
      </c>
      <c r="C812">
        <f>Inputs!$B$3&gt;=40</f>
        <v/>
      </c>
      <c r="D812">
        <f>IF(Skills!C4=1,60+Inputs!$B$25+Inputs!$B$29,IF(Skills!C4=2,90+Inputs!$B$26+Inputs!$B$29,IF(Skills!C4=3,120+Inputs!$B$27+Inputs!$B$29,MAX(0,(Inputs!$B$3-100)*3)+(Inputs!$B$28+1)+Inputs!$B$29)))</f>
        <v/>
      </c>
      <c r="E812">
        <f>INDEX(FactorTable!$B$2:$Y$301, MATCH(ROUND(MIN(300,MAX(1,D812)),0), FactorTable!$A$2:$A$301,0), Skills!L4+1)</f>
        <v/>
      </c>
      <c r="F812">
        <f>IF(Skills!M4=TRUE,(Skills!K4/10)*(E812/1000),Skills!K4/10)+Skills!N4</f>
        <v/>
      </c>
      <c r="G812">
        <f>Calc!G4</f>
        <v/>
      </c>
      <c r="H812">
        <f>Calc!H4</f>
        <v/>
      </c>
      <c r="I812">
        <f>IF(Skills!T4&lt;&gt;"",1+(Skills!T4/10)*(Z811/1000)/100,1)</f>
        <v/>
      </c>
      <c r="J812" t="inlineStr"/>
      <c r="K812" t="inlineStr"/>
      <c r="L812" t="inlineStr"/>
      <c r="M812" t="inlineStr"/>
      <c r="N812" t="inlineStr"/>
      <c r="O812">
        <f>(1-Summary!$B$11)*S812+Summary!$B$11*U812</f>
        <v/>
      </c>
      <c r="P812">
        <f>IF(B845=0,0,O812/B845)</f>
        <v/>
      </c>
      <c r="Q812">
        <f>IFERROR(1/(IF(Inputs!$B$38="pvp",15,MAX(0.1,Skills!D4-IF(TRUE=TRUE,Inputs!$B$32,0)))*(1-IF(AND(ArtifactsInput!$M$27,Inputs!$B$4="Chapter Hunt"),CHOOSE(ArtifactsInput!$N$27+1,20,24,28,32,36,40),0)/100)),0)</f>
        <v/>
      </c>
      <c r="R812">
        <f>IF(AND(Inputs!$B$38&lt;&gt;"pvp",Inputs!$B$43&gt;0),IF(Inputs!$B$43&lt;=0,0,(INT(Inputs!$B$43/(IF(Inputs!$B$38="pvp",15,MAX(0.1,Skills!D4-IF(TRUE=TRUE,Inputs!$B$32,0)))*(1-IF(AND(ArtifactsInput!$M$27,Inputs!$B$4="Chapter Hunt"),CHOOSE(ArtifactsInput!$N$27+1,20,24,28,32,36,40),0)/100)))+1)),0)</f>
        <v/>
      </c>
      <c r="S812" t="n">
        <v>0</v>
      </c>
      <c r="T812">
        <f>290*T811/1000</f>
        <v/>
      </c>
      <c r="U812" t="n">
        <v>0</v>
      </c>
    </row>
    <row r="813">
      <c r="A813">
        <f>Skills!A5</f>
        <v/>
      </c>
      <c r="B813">
        <f>Skills!B5</f>
        <v/>
      </c>
      <c r="C813">
        <f>Inputs!$B$3&gt;=38</f>
        <v/>
      </c>
      <c r="D813">
        <f>IF(Skills!C5=1,60+Inputs!$B$25+Inputs!$B$29,IF(Skills!C5=2,90+Inputs!$B$26+Inputs!$B$29,IF(Skills!C5=3,120+Inputs!$B$27+Inputs!$B$29,MAX(0,(Inputs!$B$3-100)*3)+(Inputs!$B$28+1)+Inputs!$B$29)))</f>
        <v/>
      </c>
      <c r="E813">
        <f>INDEX(FactorTable!$B$2:$Y$301, MATCH(ROUND(MIN(300,MAX(1,D813)),0), FactorTable!$A$2:$A$301,0), Skills!L5+1)</f>
        <v/>
      </c>
      <c r="F813">
        <f>IF(Skills!M5=TRUE,(Skills!K5/10)*(E813/1000),Skills!K5/10)+Skills!N5</f>
        <v/>
      </c>
      <c r="G813">
        <f>Calc!G5</f>
        <v/>
      </c>
      <c r="H813">
        <f>Calc!H5</f>
        <v/>
      </c>
      <c r="I813">
        <f>IF(Skills!T5&lt;&gt;"",1+(Skills!T5/10)*(Z811/1000)/100,1)</f>
        <v/>
      </c>
      <c r="J813">
        <f>((Inputs!$B$6*(1+Inputs!$B$7/100))+(((Inputs!$B$12*(1+Inputs!$B$13/100))-(Inputs!$B$12*(1+Inputs!$B$13/100)))+0.25*(Inputs!$B$14-Inputs!$B$14))*(1+Inputs!$B$7/100))*(F813/100)</f>
        <v/>
      </c>
      <c r="K813">
        <f>J813*(1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5="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813)</f>
        <v/>
      </c>
      <c r="L813">
        <f>K813*(MIN(Inputs!$B$22+(F826-Calc!F18),(Inputs!$B$23+(IF(ArtifactsInput!$M$15,CHOOSE(ArtifactsInput!$N$15+1,25,30,35,40,45,50)/100*(Inputs!$B$11-Inputs!$B$11),0))))/100+(Inputs!$B$23+(IF(ArtifactsInput!$M$15,CHOOSE(ArtifactsInput!$N$15+1,25,30,35,40,45,50)/100*(Inputs!$B$11-Inputs!$B$11),0)))/100)/2</f>
        <v/>
      </c>
      <c r="M813">
        <f>L813*(1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3">
        <f>L813*(1-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813*(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3">
        <f>(1-Summary!$B$11)*S813+Summary!$B$11*U813</f>
        <v/>
      </c>
      <c r="P813">
        <f>IF(B845=0,0,O813/B845)</f>
        <v/>
      </c>
      <c r="Q813">
        <f>IFERROR(1/(IF(Inputs!$B$38="pvp",15,MAX(0.1,Skills!D5-IF(TRUE=TRUE,Inputs!$B$32,0)))*(1-IF(AND(ArtifactsInput!$M$27,Inputs!$B$4="Chapter Hunt"),CHOOSE(ArtifactsInput!$N$27+1,20,24,28,32,36,40),0)/100)),0)</f>
        <v/>
      </c>
      <c r="R813">
        <f>IF(AND(Inputs!$B$38&lt;&gt;"pvp",Inputs!$B$43&gt;0),IF(MAX(0,Inputs!$B$43-B842)&lt;=0,0,(INT(MAX(0,Inputs!$B$43-B842)/(IF(Inputs!$B$38="pvp",15,MAX(0.1,Skills!D5-IF(TRUE=TRUE,Inputs!$B$32,0)))*(1-IF(AND(ArtifactsInput!$M$27,Inputs!$B$4="Chapter Hunt"),CHOOSE(ArtifactsInput!$N$27+1,20,24,28,32,36,40),0)/100)))+1)),0)</f>
        <v/>
      </c>
      <c r="S813">
        <f>IF(C813,(H813*N813*IF(AND(Inputs!$B$38&lt;&gt;"pvp",Inputs!$B$43&gt;0),((Skills!F5*((R813-1)*IF(Skills!G5&gt;0,Skills!H5/Skills!G5,1)+IF(Skills!G5&gt;0,MIN(Skills!H5,MAX(0,MAX(0,Inputs!$B$43-B842)-((R813-1)*(IF(Inputs!$B$38="pvp",15,MAX(0.1,Skills!D5-IF(TRUE=TRUE,Inputs!$B$32,0)))*(1-IF(AND(ArtifactsInput!$M$27,Inputs!$B$4="Chapter Hunt"),CHOOSE(ArtifactsInput!$N$27+1,20,24,28,32,36,40),0)/100)))))/Skills!G5,1)))/Inputs!$B$43),G813*Q813))*IF(Inputs!$B$38="pvp",1,1+(Inputs!$B$20+Skills!O5+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813*(1-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813*(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813*(1-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813*(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3">
        <f>IF(C813,(H813*N813*IF(AND(Inputs!$B$38&lt;&gt;"pvp",Inputs!$B$43&gt;0),((Skills!F5*((R813-1)*IF(Skills!G5&gt;0,Skills!H5/Skills!G5,1)+IF(Skills!G5&gt;0,MIN(Skills!H5,MAX(0,MAX(0,Inputs!$B$43-B842)-((R813-1)*(IF(Inputs!$B$38="pvp",15,MAX(0.1,Skills!D5-IF(TRUE=TRUE,Inputs!$B$32,0)))*(1-IF(AND(ArtifactsInput!$M$27,Inputs!$B$4="Chapter Hunt"),CHOOSE(ArtifactsInput!$N$27+1,20,24,28,32,36,40),0)/100)))))/Skills!G5,1)))/Inputs!$B$43),G813*Q813))*IF(Inputs!$B$38="pvp",1,(1+(Inputs!$B$21+Skills!P5+B836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4">
      <c r="A814">
        <f>Skills!A6</f>
        <v/>
      </c>
      <c r="B814">
        <f>Skills!B6</f>
        <v/>
      </c>
      <c r="C814">
        <f>Inputs!$B$3&gt;=63</f>
        <v/>
      </c>
      <c r="D814">
        <f>IF(Skills!C6=1,60+Inputs!$B$25+Inputs!$B$29,IF(Skills!C6=2,90+Inputs!$B$26+Inputs!$B$29,IF(Skills!C6=3,120+Inputs!$B$27+Inputs!$B$29,MAX(0,(Inputs!$B$3-100)*3)+(Inputs!$B$28+1)+Inputs!$B$29)))</f>
        <v/>
      </c>
      <c r="E814">
        <f>INDEX(FactorTable!$B$2:$Y$301, MATCH(ROUND(MIN(300,MAX(1,D814)),0), FactorTable!$A$2:$A$301,0), Skills!L6+1)</f>
        <v/>
      </c>
      <c r="F814">
        <f>IF(Skills!M6=TRUE,(Skills!K6/10)*(E814/1000),Skills!K6/10)+Skills!N6</f>
        <v/>
      </c>
      <c r="G814">
        <f>Calc!G6</f>
        <v/>
      </c>
      <c r="H814">
        <f>Calc!H6</f>
        <v/>
      </c>
      <c r="I814">
        <f>IF(Skills!T6&lt;&gt;"",1+(Skills!T6/10)*(Z811/1000)/100,1)</f>
        <v/>
      </c>
      <c r="J814">
        <f>((Inputs!$B$6*(1+Inputs!$B$7/100))+(((Inputs!$B$12*(1+Inputs!$B$13/100))-(Inputs!$B$12*(1+Inputs!$B$13/100)))+0.25*(Inputs!$B$14-Inputs!$B$14))*(1+Inputs!$B$7/100))*(F814/100)</f>
        <v/>
      </c>
      <c r="K814">
        <f>J814*(1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6="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814)</f>
        <v/>
      </c>
      <c r="L814">
        <f>K814*(MIN(Inputs!$B$22+(F826-Calc!F18),(Inputs!$B$23+(IF(ArtifactsInput!$M$15,CHOOSE(ArtifactsInput!$N$15+1,25,30,35,40,45,50)/100*(Inputs!$B$11-Inputs!$B$11),0))))/100+(Inputs!$B$23+(IF(ArtifactsInput!$M$15,CHOOSE(ArtifactsInput!$N$15+1,25,30,35,40,45,50)/100*(Inputs!$B$11-Inputs!$B$11),0)))/100)/2</f>
        <v/>
      </c>
      <c r="M814">
        <f>L814*(1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4">
        <f>L814*(1-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814*(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4">
        <f>(1-Summary!$B$11)*S814+Summary!$B$11*U814</f>
        <v/>
      </c>
      <c r="P814">
        <f>IF(B845=0,0,O814/B845)</f>
        <v/>
      </c>
      <c r="Q814">
        <f>IFERROR(1/(IF(Inputs!$B$38="pvp",15,MAX(0.1,Skills!D6-IF(TRUE=TRUE,Inputs!$B$32,0)))*(1-IF(AND(ArtifactsInput!$M$27,Inputs!$B$4="Chapter Hunt"),CHOOSE(ArtifactsInput!$N$27+1,20,24,28,32,36,40),0)/100)),0)</f>
        <v/>
      </c>
      <c r="R814">
        <f>IF(AND(Inputs!$B$38&lt;&gt;"pvp",Inputs!$B$43&gt;0),IF(MAX(0,Inputs!$B$43-B842)&lt;=0,0,(INT(MAX(0,Inputs!$B$43-B842)/(IF(Inputs!$B$38="pvp",15,MAX(0.1,Skills!D6-IF(TRUE=TRUE,Inputs!$B$32,0)))*(1-IF(AND(ArtifactsInput!$M$27,Inputs!$B$4="Chapter Hunt"),CHOOSE(ArtifactsInput!$N$27+1,20,24,28,32,36,40),0)/100)))+1)),0)</f>
        <v/>
      </c>
      <c r="S814">
        <f>IF(C814,(H814*N814*IF(AND(Inputs!$B$38&lt;&gt;"pvp",Inputs!$B$43&gt;0),((Skills!F6*((R814-1)*IF(Skills!G6&gt;0,Skills!H6/Skills!G6,1)+IF(Skills!G6&gt;0,MIN(Skills!H6,MAX(0,MAX(0,Inputs!$B$43-B842)-((R814-1)*(IF(Inputs!$B$38="pvp",15,MAX(0.1,Skills!D6-IF(TRUE=TRUE,Inputs!$B$32,0)))*(1-IF(AND(ArtifactsInput!$M$27,Inputs!$B$4="Chapter Hunt"),CHOOSE(ArtifactsInput!$N$27+1,20,24,28,32,36,40),0)/100)))))/Skills!G6,1)))/Inputs!$B$43),G814*Q814))*IF(Inputs!$B$38="pvp",1,1+(Inputs!$B$20+Skills!O6+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814*(1-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814*(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814*(1-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814*(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4">
        <f>IF(C814,(H814*N814*IF(AND(Inputs!$B$38&lt;&gt;"pvp",Inputs!$B$43&gt;0),((Skills!F6*((R814-1)*IF(Skills!G6&gt;0,Skills!H6/Skills!G6,1)+IF(Skills!G6&gt;0,MIN(Skills!H6,MAX(0,MAX(0,Inputs!$B$43-B842)-((R814-1)*(IF(Inputs!$B$38="pvp",15,MAX(0.1,Skills!D6-IF(TRUE=TRUE,Inputs!$B$32,0)))*(1-IF(AND(ArtifactsInput!$M$27,Inputs!$B$4="Chapter Hunt"),CHOOSE(ArtifactsInput!$N$27+1,20,24,28,32,36,40),0)/100)))))/Skills!G6,1)))/Inputs!$B$43),G814*Q814))*IF(Inputs!$B$38="pvp",1,(1+(Inputs!$B$21+Skills!P6+B836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5">
      <c r="A815">
        <f>Skills!A7</f>
        <v/>
      </c>
      <c r="B815">
        <f>Skills!B7</f>
        <v/>
      </c>
      <c r="C815">
        <f>Inputs!$B$3&gt;=69</f>
        <v/>
      </c>
      <c r="D815">
        <f>IF(Skills!C7=1,60+Inputs!$B$25+Inputs!$B$29,IF(Skills!C7=2,90+Inputs!$B$26+Inputs!$B$29,IF(Skills!C7=3,120+Inputs!$B$27+Inputs!$B$29,MAX(0,(Inputs!$B$3-100)*3)+(Inputs!$B$28+1)+Inputs!$B$29)))</f>
        <v/>
      </c>
      <c r="E815">
        <f>INDEX(FactorTable!$B$2:$Y$301, MATCH(ROUND(MIN(300,MAX(1,D815)),0), FactorTable!$A$2:$A$301,0), Skills!L7+1)</f>
        <v/>
      </c>
      <c r="F815">
        <f>IF(Skills!M7=TRUE,(Skills!K7/10)*(E815/1000),Skills!K7/10)+Skills!N7</f>
        <v/>
      </c>
      <c r="G815">
        <f>Calc!G7</f>
        <v/>
      </c>
      <c r="H815">
        <f>Calc!H7</f>
        <v/>
      </c>
      <c r="I815">
        <f>IF(Skills!T7&lt;&gt;"",1+(Skills!T7/10)*(Z811/1000)/100,1)</f>
        <v/>
      </c>
      <c r="J815">
        <f>((Inputs!$B$6*(1+Inputs!$B$7/100))+(((Inputs!$B$12*(1+Inputs!$B$13/100))-(Inputs!$B$12*(1+Inputs!$B$13/100)))+0.25*(Inputs!$B$14-Inputs!$B$14))*(1+Inputs!$B$7/100))*(F815/100)</f>
        <v/>
      </c>
      <c r="K815">
        <f>J815*(1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7="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815)</f>
        <v/>
      </c>
      <c r="L815">
        <f>K815*(MIN(Inputs!$B$22+(F826-Calc!F18),(Inputs!$B$23+(IF(ArtifactsInput!$M$15,CHOOSE(ArtifactsInput!$N$15+1,25,30,35,40,45,50)/100*(Inputs!$B$11-Inputs!$B$11),0))))/100+(Inputs!$B$23+(IF(ArtifactsInput!$M$15,CHOOSE(ArtifactsInput!$N$15+1,25,30,35,40,45,50)/100*(Inputs!$B$11-Inputs!$B$11),0)))/100)/2</f>
        <v/>
      </c>
      <c r="M815">
        <f>L815*(1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5">
        <f>L815*(1-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815*(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5">
        <f>(1-Summary!$B$11)*S815+Summary!$B$11*U815</f>
        <v/>
      </c>
      <c r="P815">
        <f>IF(B845=0,0,O815/B845)</f>
        <v/>
      </c>
      <c r="Q815">
        <f>IFERROR(1/(IF(Inputs!$B$38="pvp",15,MAX(0.1,Skills!D7-IF(TRUE=TRUE,Inputs!$B$32,0)))*(1-IF(AND(ArtifactsInput!$M$27,Inputs!$B$4="Chapter Hunt"),CHOOSE(ArtifactsInput!$N$27+1,20,24,28,32,36,40),0)/100)),0)</f>
        <v/>
      </c>
      <c r="R815">
        <f>IF(AND(Inputs!$B$38&lt;&gt;"pvp",Inputs!$B$43&gt;0),IF(MAX(0,Inputs!$B$43-B842)&lt;=0,0,(INT(MAX(0,Inputs!$B$43-B842)/(IF(Inputs!$B$38="pvp",15,MAX(0.1,Skills!D7-IF(TRUE=TRUE,Inputs!$B$32,0)))*(1-IF(AND(ArtifactsInput!$M$27,Inputs!$B$4="Chapter Hunt"),CHOOSE(ArtifactsInput!$N$27+1,20,24,28,32,36,40),0)/100)))+1)),0)</f>
        <v/>
      </c>
      <c r="S815">
        <f>IF(C815,(H815*N815*IF(AND(Inputs!$B$38&lt;&gt;"pvp",Inputs!$B$43&gt;0),((Skills!F7*((R815-1)*IF(Skills!G7&gt;0,Skills!H7/Skills!G7,1)+IF(Skills!G7&gt;0,MIN(Skills!H7,MAX(0,MAX(0,Inputs!$B$43-B842)-((R815-1)*(IF(Inputs!$B$38="pvp",15,MAX(0.1,Skills!D7-IF(TRUE=TRUE,Inputs!$B$32,0)))*(1-IF(AND(ArtifactsInput!$M$27,Inputs!$B$4="Chapter Hunt"),CHOOSE(ArtifactsInput!$N$27+1,20,24,28,32,36,40),0)/100)))))/Skills!G7,1)))/Inputs!$B$43),G815*Q815))*IF(Inputs!$B$38="pvp",1,1+(Inputs!$B$20+Skills!O7+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815*(1-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815*(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815*(1-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815*(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5">
        <f>IF(C815,(H815*N815*IF(AND(Inputs!$B$38&lt;&gt;"pvp",Inputs!$B$43&gt;0),((Skills!F7*((R815-1)*IF(Skills!G7&gt;0,Skills!H7/Skills!G7,1)+IF(Skills!G7&gt;0,MIN(Skills!H7,MAX(0,MAX(0,Inputs!$B$43-B842)-((R815-1)*(IF(Inputs!$B$38="pvp",15,MAX(0.1,Skills!D7-IF(TRUE=TRUE,Inputs!$B$32,0)))*(1-IF(AND(ArtifactsInput!$M$27,Inputs!$B$4="Chapter Hunt"),CHOOSE(ArtifactsInput!$N$27+1,20,24,28,32,36,40),0)/100)))))/Skills!G7,1)))/Inputs!$B$43),G815*Q815))*IF(Inputs!$B$38="pvp",1,(1+(Inputs!$B$21+Skills!P7+B836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6">
      <c r="A816">
        <f>Skills!A8</f>
        <v/>
      </c>
      <c r="B816">
        <f>Skills!B8</f>
        <v/>
      </c>
      <c r="C816">
        <f>Inputs!$B$3&gt;=103</f>
        <v/>
      </c>
      <c r="D816">
        <f>IF(Skills!C8=1,60+Inputs!$B$25+Inputs!$B$29,IF(Skills!C8=2,90+Inputs!$B$26+Inputs!$B$29,IF(Skills!C8=3,120+Inputs!$B$27+Inputs!$B$29,MAX(0,(Inputs!$B$3-100)*3)+(Inputs!$B$28+1)+Inputs!$B$29)))</f>
        <v/>
      </c>
      <c r="E816">
        <f>INDEX(FactorTable!$B$2:$Y$301, MATCH(ROUND(MIN(300,MAX(1,D816)),0), FactorTable!$A$2:$A$301,0), Skills!L8+1)</f>
        <v/>
      </c>
      <c r="F816">
        <f>IF(Skills!M8=TRUE,(Skills!K8/10)*(E816/1000),Skills!K8/10)+Skills!N8</f>
        <v/>
      </c>
      <c r="G816">
        <f>Calc!G8</f>
        <v/>
      </c>
      <c r="H816">
        <f>Calc!H8</f>
        <v/>
      </c>
      <c r="I816">
        <f>IF(Skills!T8&lt;&gt;"",1+(Skills!T8/10)*(Z811/1000)/100,1)</f>
        <v/>
      </c>
      <c r="J816">
        <f>((Inputs!$B$6*(1+Inputs!$B$7/100))+(((Inputs!$B$12*(1+Inputs!$B$13/100))-(Inputs!$B$12*(1+Inputs!$B$13/100)))+0.25*(Inputs!$B$14-Inputs!$B$14))*(1+Inputs!$B$7/100))*(F816/100)</f>
        <v/>
      </c>
      <c r="K816">
        <f>J816*(1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8="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816)</f>
        <v/>
      </c>
      <c r="L816">
        <f>K816*(MIN(Inputs!$B$22+(F826-Calc!F18),(Inputs!$B$23+(IF(ArtifactsInput!$M$15,CHOOSE(ArtifactsInput!$N$15+1,25,30,35,40,45,50)/100*(Inputs!$B$11-Inputs!$B$11),0))))/100+(Inputs!$B$23+(IF(ArtifactsInput!$M$15,CHOOSE(ArtifactsInput!$N$15+1,25,30,35,40,45,50)/100*(Inputs!$B$11-Inputs!$B$11),0)))/100)/2</f>
        <v/>
      </c>
      <c r="M816">
        <f>L816*(1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6">
        <f>L816*(1-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816*(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6">
        <f>(1-Summary!$B$11)*S816+Summary!$B$11*U816</f>
        <v/>
      </c>
      <c r="P816">
        <f>IF(B845=0,0,O816/B845)</f>
        <v/>
      </c>
      <c r="Q816">
        <f>IFERROR(1/(IF(Inputs!$B$38="pvp",15,MAX(0.1,Skills!D8-IF(TRUE=TRUE,Inputs!$B$32,0)))*(1-IF(AND(ArtifactsInput!$M$27,Inputs!$B$4="Chapter Hunt"),CHOOSE(ArtifactsInput!$N$27+1,20,24,28,32,36,40),0)/100)),0)</f>
        <v/>
      </c>
      <c r="R816">
        <f>IF(AND(Inputs!$B$38&lt;&gt;"pvp",Inputs!$B$43&gt;0),IF(MAX(0,Inputs!$B$43-B842)&lt;=0,0,(INT(MAX(0,Inputs!$B$43-B842)/(IF(Inputs!$B$38="pvp",15,MAX(0.1,Skills!D8-IF(TRUE=TRUE,Inputs!$B$32,0)))*(1-IF(AND(ArtifactsInput!$M$27,Inputs!$B$4="Chapter Hunt"),CHOOSE(ArtifactsInput!$N$27+1,20,24,28,32,36,40),0)/100)))+1)),0)</f>
        <v/>
      </c>
      <c r="S816">
        <f>IF(C816,(H816*N816*IF(AND(Inputs!$B$38&lt;&gt;"pvp",Inputs!$B$43&gt;0),((Skills!F8*((R816-1)*IF(Skills!G8&gt;0,Skills!H8/Skills!G8,1)+IF(Skills!G8&gt;0,MIN(Skills!H8,MAX(0,MAX(0,Inputs!$B$43-B842)-((R816-1)*(IF(Inputs!$B$38="pvp",15,MAX(0.1,Skills!D8-IF(TRUE=TRUE,Inputs!$B$32,0)))*(1-IF(AND(ArtifactsInput!$M$27,Inputs!$B$4="Chapter Hunt"),CHOOSE(ArtifactsInput!$N$27+1,20,24,28,32,36,40),0)/100)))))/Skills!G8,1)))/Inputs!$B$43),G816*Q816))*IF(Inputs!$B$38="pvp",1,1+(Inputs!$B$20+Skills!O8+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816*(1-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816*(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816*(1-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816*(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6">
        <f>IF(C816,(H816*N816*IF(AND(Inputs!$B$38&lt;&gt;"pvp",Inputs!$B$43&gt;0),((Skills!F8*((R816-1)*IF(Skills!G8&gt;0,Skills!H8/Skills!G8,1)+IF(Skills!G8&gt;0,MIN(Skills!H8,MAX(0,MAX(0,Inputs!$B$43-B842)-((R816-1)*(IF(Inputs!$B$38="pvp",15,MAX(0.1,Skills!D8-IF(TRUE=TRUE,Inputs!$B$32,0)))*(1-IF(AND(ArtifactsInput!$M$27,Inputs!$B$4="Chapter Hunt"),CHOOSE(ArtifactsInput!$N$27+1,20,24,28,32,36,40),0)/100)))))/Skills!G8,1)))/Inputs!$B$43),G816*Q816))*IF(Inputs!$B$38="pvp",1,(1+(Inputs!$B$21+Skills!P8+B836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7">
      <c r="A817">
        <f>Skills!A9</f>
        <v/>
      </c>
      <c r="B817">
        <f>Skills!B9</f>
        <v/>
      </c>
      <c r="C817">
        <f>Inputs!$B$3&gt;=105</f>
        <v/>
      </c>
      <c r="D817">
        <f>IF(Skills!C9=1,60+Inputs!$B$25+Inputs!$B$29,IF(Skills!C9=2,90+Inputs!$B$26+Inputs!$B$29,IF(Skills!C9=3,120+Inputs!$B$27+Inputs!$B$29,MAX(0,(Inputs!$B$3-100)*3)+(Inputs!$B$28+1)+Inputs!$B$29)))</f>
        <v/>
      </c>
      <c r="E817">
        <f>INDEX(FactorTable!$B$2:$Y$301, MATCH(ROUND(MIN(300,MAX(1,D817)),0), FactorTable!$A$2:$A$301,0), Skills!L9+1)</f>
        <v/>
      </c>
      <c r="F817">
        <f>IF(Skills!M9=TRUE,(Skills!K9/10)*(E817/1000),Skills!K9/10)+Skills!N9</f>
        <v/>
      </c>
      <c r="G817">
        <f>Calc!G9</f>
        <v/>
      </c>
      <c r="H817">
        <f>Calc!H9</f>
        <v/>
      </c>
      <c r="I817">
        <f>IF(Skills!T9&lt;&gt;"",1+(Skills!T9/10)*(Z811/1000)/100,1)</f>
        <v/>
      </c>
      <c r="J817">
        <f>((Inputs!$B$6*(1+Inputs!$B$7/100))+(((Inputs!$B$12*(1+Inputs!$B$13/100))-(Inputs!$B$12*(1+Inputs!$B$13/100)))+0.25*(Inputs!$B$14-Inputs!$B$14))*(1+Inputs!$B$7/100))*(F817/100)</f>
        <v/>
      </c>
      <c r="K817">
        <f>J817*(1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9="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817)</f>
        <v/>
      </c>
      <c r="L817">
        <f>K817*(MIN(Inputs!$B$22+(F826-Calc!F18),(Inputs!$B$23+(IF(ArtifactsInput!$M$15,CHOOSE(ArtifactsInput!$N$15+1,25,30,35,40,45,50)/100*(Inputs!$B$11-Inputs!$B$11),0))))/100+(Inputs!$B$23+(IF(ArtifactsInput!$M$15,CHOOSE(ArtifactsInput!$N$15+1,25,30,35,40,45,50)/100*(Inputs!$B$11-Inputs!$B$11),0)))/100)/2</f>
        <v/>
      </c>
      <c r="M817">
        <f>L817*(1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7">
        <f>L817*(1-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817*(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7">
        <f>(1-Summary!$B$11)*S817+Summary!$B$11*U817</f>
        <v/>
      </c>
      <c r="P817">
        <f>IF(B845=0,0,O817/B845)</f>
        <v/>
      </c>
      <c r="Q817">
        <f>IFERROR(1/(IF(Inputs!$B$38="pvp",15,MAX(0.1,Skills!D9-IF(TRUE=TRUE,Inputs!$B$32,0)))*(1-IF(AND(ArtifactsInput!$M$27,Inputs!$B$4="Chapter Hunt"),CHOOSE(ArtifactsInput!$N$27+1,20,24,28,32,36,40),0)/100)),0)</f>
        <v/>
      </c>
      <c r="R817">
        <f>IF(AND(Inputs!$B$38&lt;&gt;"pvp",Inputs!$B$43&gt;0),IF(MAX(0,Inputs!$B$43-B842)&lt;=0,0,(INT(MAX(0,Inputs!$B$43-B842)/(IF(Inputs!$B$38="pvp",15,MAX(0.1,Skills!D9-IF(TRUE=TRUE,Inputs!$B$32,0)))*(1-IF(AND(ArtifactsInput!$M$27,Inputs!$B$4="Chapter Hunt"),CHOOSE(ArtifactsInput!$N$27+1,20,24,28,32,36,40),0)/100)))+1)),0)</f>
        <v/>
      </c>
      <c r="S817">
        <f>IF(C817,(H817*N817*IF(AND(Inputs!$B$38&lt;&gt;"pvp",Inputs!$B$43&gt;0),((Skills!F9*((R817-1)*IF(Skills!G9&gt;0,Skills!H9/Skills!G9,1)+IF(Skills!G9&gt;0,MIN(Skills!H9,MAX(0,MAX(0,Inputs!$B$43-B842)-((R817-1)*(IF(Inputs!$B$38="pvp",15,MAX(0.1,Skills!D9-IF(TRUE=TRUE,Inputs!$B$32,0)))*(1-IF(AND(ArtifactsInput!$M$27,Inputs!$B$4="Chapter Hunt"),CHOOSE(ArtifactsInput!$N$27+1,20,24,28,32,36,40),0)/100)))))/Skills!G9,1)))/Inputs!$B$43),G817*Q817))*IF(Inputs!$B$38="pvp",1,1+(Inputs!$B$20+Skills!O9+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817*(1-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817*(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817*(1-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817*(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7">
        <f>IF(C817,(H817*N817*IF(AND(Inputs!$B$38&lt;&gt;"pvp",Inputs!$B$43&gt;0),((Skills!F9*((R817-1)*IF(Skills!G9&gt;0,Skills!H9/Skills!G9,1)+IF(Skills!G9&gt;0,MIN(Skills!H9,MAX(0,MAX(0,Inputs!$B$43-B842)-((R817-1)*(IF(Inputs!$B$38="pvp",15,MAX(0.1,Skills!D9-IF(TRUE=TRUE,Inputs!$B$32,0)))*(1-IF(AND(ArtifactsInput!$M$27,Inputs!$B$4="Chapter Hunt"),CHOOSE(ArtifactsInput!$N$27+1,20,24,28,32,36,40),0)/100)))))/Skills!G9,1)))/Inputs!$B$43),G817*Q817))*IF(Inputs!$B$38="pvp",1,(1+(Inputs!$B$21+Skills!P9+B836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8">
      <c r="A818">
        <f>Skills!A10</f>
        <v/>
      </c>
      <c r="B818">
        <f>Skills!B10</f>
        <v/>
      </c>
      <c r="C818">
        <f>Inputs!$B$3&gt;=113</f>
        <v/>
      </c>
      <c r="D818">
        <f>IF(Skills!C10=1,60+Inputs!$B$25+Inputs!$B$29,IF(Skills!C10=2,90+Inputs!$B$26+Inputs!$B$29,IF(Skills!C10=3,120+Inputs!$B$27+Inputs!$B$29,MAX(0,(Inputs!$B$3-100)*3)+(Inputs!$B$28+1)+Inputs!$B$29)))</f>
        <v/>
      </c>
      <c r="E818">
        <f>INDEX(FactorTable!$B$2:$Y$301, MATCH(ROUND(MIN(300,MAX(1,D818)),0), FactorTable!$A$2:$A$301,0), Skills!L10+1)</f>
        <v/>
      </c>
      <c r="F818">
        <f>IF(Skills!M10=TRUE,(Skills!K10/10)*(E818/1000),Skills!K10/10)+Skills!N10</f>
        <v/>
      </c>
      <c r="G818">
        <f>Calc!G10</f>
        <v/>
      </c>
      <c r="H818">
        <f>Calc!H10</f>
        <v/>
      </c>
      <c r="I818">
        <f>IF(Skills!T10&lt;&gt;"",1+(Skills!T10/10)*(Z811/1000)/100,1)</f>
        <v/>
      </c>
      <c r="J818">
        <f>((Inputs!$B$6*(1+Inputs!$B$7/100))+(((Inputs!$B$12*(1+Inputs!$B$13/100))-(Inputs!$B$12*(1+Inputs!$B$13/100)))+0.25*(Inputs!$B$14-Inputs!$B$14))*(1+Inputs!$B$7/100))*(F818/100)</f>
        <v/>
      </c>
      <c r="K818">
        <f>J818*(1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10="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818)</f>
        <v/>
      </c>
      <c r="L818">
        <f>K818*(MIN(Inputs!$B$22+(F826-Calc!F18),(Inputs!$B$23+(IF(ArtifactsInput!$M$15,CHOOSE(ArtifactsInput!$N$15+1,25,30,35,40,45,50)/100*(Inputs!$B$11-Inputs!$B$11),0))))/100+(Inputs!$B$23+(IF(ArtifactsInput!$M$15,CHOOSE(ArtifactsInput!$N$15+1,25,30,35,40,45,50)/100*(Inputs!$B$11-Inputs!$B$11),0)))/100)/2</f>
        <v/>
      </c>
      <c r="M818">
        <f>L818*(1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8">
        <f>L818*(1-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818*(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8">
        <f>(1-Summary!$B$11)*S818+Summary!$B$11*U818</f>
        <v/>
      </c>
      <c r="P818">
        <f>IF(B845=0,0,O818/B845)</f>
        <v/>
      </c>
      <c r="Q818">
        <f>IFERROR(1/(IF(Inputs!$B$38="pvp",15,MAX(0.1,Skills!D10-IF(TRUE=TRUE,Inputs!$B$32,0)))*(1-IF(AND(ArtifactsInput!$M$27,Inputs!$B$4="Chapter Hunt"),CHOOSE(ArtifactsInput!$N$27+1,20,24,28,32,36,40),0)/100)),0)</f>
        <v/>
      </c>
      <c r="R818" t="n">
        <v>0</v>
      </c>
      <c r="S818">
        <f>IF(C818,((H818*B846)/(1+Skills!G10*H818*B846)*N818)*IF(Inputs!$B$38="pvp",1,1+(Inputs!$B$20+Skills!O10+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818*(1-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818*(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818*(1-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818*(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8">
        <f>IF(C818,((H818*B846)/(1+Skills!G10*H818*B846)*N818)*IF(Inputs!$B$38="pvp",1,(1+(Inputs!$B$21+Skills!P10+B836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9">
      <c r="A819">
        <f>Skills!A11</f>
        <v/>
      </c>
      <c r="B819">
        <f>Skills!B11</f>
        <v/>
      </c>
      <c r="C819">
        <f>Inputs!$B$3&gt;=107</f>
        <v/>
      </c>
      <c r="D819">
        <f>IF(Skills!C11=1,60+Inputs!$B$25+Inputs!$B$29,IF(Skills!C11=2,90+Inputs!$B$26+Inputs!$B$29,IF(Skills!C11=3,120+Inputs!$B$27+Inputs!$B$29,MAX(0,(Inputs!$B$3-100)*3)+(Inputs!$B$28+1)+Inputs!$B$29)))</f>
        <v/>
      </c>
      <c r="E819">
        <f>INDEX(FactorTable!$B$2:$Y$301, MATCH(ROUND(MIN(300,MAX(1,D819)),0), FactorTable!$A$2:$A$301,0), Skills!L11+1)</f>
        <v/>
      </c>
      <c r="F819">
        <f>IF(Skills!M11=TRUE,(Skills!K11/10)*(E819/1000),Skills!K11/10)+Skills!N11</f>
        <v/>
      </c>
      <c r="G819">
        <f>Calc!G11</f>
        <v/>
      </c>
      <c r="H819">
        <f>Calc!H11</f>
        <v/>
      </c>
      <c r="I819">
        <f>IF(Skills!T11&lt;&gt;"",1+(Skills!T11/10)*(Z811/1000)/100,1)</f>
        <v/>
      </c>
      <c r="J819">
        <f>((Inputs!$B$6*(1+Inputs!$B$7/100))+(((Inputs!$B$12*(1+Inputs!$B$13/100))-(Inputs!$B$12*(1+Inputs!$B$13/100)))+0.25*(Inputs!$B$14-Inputs!$B$14))*(1+Inputs!$B$7/100))*(F819/100)</f>
        <v/>
      </c>
      <c r="K819">
        <f>J819*(1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11="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819)</f>
        <v/>
      </c>
      <c r="L819">
        <f>K819*(MIN(Inputs!$B$22+(F826-Calc!F18),(Inputs!$B$23+(IF(ArtifactsInput!$M$15,CHOOSE(ArtifactsInput!$N$15+1,25,30,35,40,45,50)/100*(Inputs!$B$11-Inputs!$B$11),0))))/100+(Inputs!$B$23+(IF(ArtifactsInput!$M$15,CHOOSE(ArtifactsInput!$N$15+1,25,30,35,40,45,50)/100*(Inputs!$B$11-Inputs!$B$11),0)))/100)/2</f>
        <v/>
      </c>
      <c r="M819">
        <f>L819*(1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9">
        <f>L819*(1-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819*(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9">
        <f>(1-Summary!$B$11)*S819+Summary!$B$11*U819</f>
        <v/>
      </c>
      <c r="P819">
        <f>IF(B845=0,0,O819/B845)</f>
        <v/>
      </c>
      <c r="Q819">
        <f>IFERROR(1/(IF(Inputs!$B$38="pvp",15,MAX(0.1,Skills!D11-IF(TRUE=TRUE,Inputs!$B$32,0)))*(1-IF(AND(ArtifactsInput!$M$27,Inputs!$B$4="Chapter Hunt"),CHOOSE(ArtifactsInput!$N$27+1,20,24,28,32,36,40),0)/100)),0)</f>
        <v/>
      </c>
      <c r="R819">
        <f>IF(AND(Inputs!$B$38&lt;&gt;"pvp",Inputs!$B$43&gt;0),IF(MAX(0,Inputs!$B$43-B842)&lt;=0,0,(INT(MAX(0,Inputs!$B$43-B842)/(IF(Inputs!$B$38="pvp",15,MAX(0.1,Skills!D11-IF(TRUE=TRUE,Inputs!$B$32,0)))*(1-IF(AND(ArtifactsInput!$M$27,Inputs!$B$4="Chapter Hunt"),CHOOSE(ArtifactsInput!$N$27+1,20,24,28,32,36,40),0)/100)))+1)),0)</f>
        <v/>
      </c>
      <c r="S819">
        <f>IF(C819,H819*N819*IF(AND(Inputs!$B$38&lt;&gt;"pvp",Inputs!$B$43&gt;0),((Skills!F11*((R819-1)*IF(Skills!G11&gt;0,Skills!H11/Skills!G11,1)+IF(Skills!G11&gt;0,MIN(Skills!H11,MAX(0,MAX(0,Inputs!$B$43-B842)-((R819-1)*(IF(Inputs!$B$38="pvp",15,MAX(0.1,Skills!D11-IF(TRUE=TRUE,Inputs!$B$32,0)))*(1-IF(AND(ArtifactsInput!$M$27,Inputs!$B$4="Chapter Hunt"),CHOOSE(ArtifactsInput!$N$27+1,20,24,28,32,36,40),0)/100)))))/Skills!G11,1)))/Inputs!$B$43),G819*Q819)*0.5*IF(Inputs!$B$38="pvp",1,1+(Inputs!$B$20+Skills!O11+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819*(1-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819*(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819*(1-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819*(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19">
        <f>IF(C819,H819*N819*IF(AND(Inputs!$B$38&lt;&gt;"pvp",Inputs!$B$43&gt;0),((Skills!F11*((R819-1)*IF(Skills!G11&gt;0,Skills!H11/Skills!G11,1)+IF(Skills!G11&gt;0,MIN(Skills!H11,MAX(0,MAX(0,Inputs!$B$43-B842)-((R819-1)*(IF(Inputs!$B$38="pvp",15,MAX(0.1,Skills!D11-IF(TRUE=TRUE,Inputs!$B$32,0)))*(1-IF(AND(ArtifactsInput!$M$27,Inputs!$B$4="Chapter Hunt"),CHOOSE(ArtifactsInput!$N$27+1,20,24,28,32,36,40),0)/100)))))/Skills!G11,1)))/Inputs!$B$43),G819*Q819)*1*IF(Inputs!$B$38="pvp",1,(1+(Inputs!$B$21+Skills!P11+B836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0">
      <c r="A820">
        <f>Skills!A12</f>
        <v/>
      </c>
      <c r="B820">
        <f>Skills!B12</f>
        <v/>
      </c>
      <c r="C820">
        <f>Inputs!$B$3&gt;=115</f>
        <v/>
      </c>
      <c r="D820">
        <f>IF(Skills!C12=1,60+Inputs!$B$25+Inputs!$B$29,IF(Skills!C12=2,90+Inputs!$B$26+Inputs!$B$29,IF(Skills!C12=3,120+Inputs!$B$27+Inputs!$B$29,MAX(0,(Inputs!$B$3-100)*3)+(Inputs!$B$28+1)+Inputs!$B$29)))</f>
        <v/>
      </c>
      <c r="E820">
        <f>INDEX(FactorTable!$B$2:$Y$301, MATCH(ROUND(MIN(300,MAX(1,D820)),0), FactorTable!$A$2:$A$301,0), Skills!L12+1)</f>
        <v/>
      </c>
      <c r="F820">
        <f>IF(Skills!M12=TRUE,(Skills!K12/10)*(E820/1000),Skills!K12/10)+Skills!N12</f>
        <v/>
      </c>
      <c r="G820">
        <f>Calc!G12</f>
        <v/>
      </c>
      <c r="H820">
        <f>Calc!H12</f>
        <v/>
      </c>
      <c r="I820">
        <f>IF(Skills!T12&lt;&gt;"",1+(Skills!T12/10)*(Z811/1000)/100,1)</f>
        <v/>
      </c>
      <c r="J820">
        <f>((Inputs!$B$6*(1+Inputs!$B$7/100))+(((Inputs!$B$12*(1+Inputs!$B$13/100))-(Inputs!$B$12*(1+Inputs!$B$13/100)))+0.25*(Inputs!$B$14-Inputs!$B$14))*(1+Inputs!$B$7/100))*(F820/100)</f>
        <v/>
      </c>
      <c r="K820">
        <f>J820*(1+((Inputs!$B$12*(1+Inputs!$B$13/100))*0.01+Inputs!$B$14*0.0025)/100)*(1+(Inputs!$B$15+B837)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823=TRUE,F823,0)/100)*(1+IF(C831=TRUE,F831,0)/100)^5*(1+(IF(Skills!A12="CHAIN_LIGHTNING",Inputs!$B$17+((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820)</f>
        <v/>
      </c>
      <c r="L820">
        <f>K820*(MIN(Inputs!$B$22+(F826-Calc!F18),(Inputs!$B$23+(IF(ArtifactsInput!$M$15,CHOOSE(ArtifactsInput!$N$15+1,25,30,35,40,45,50)/100*(Inputs!$B$11-Inputs!$B$11),0))))/100+(Inputs!$B$23+(IF(ArtifactsInput!$M$15,CHOOSE(ArtifactsInput!$N$15+1,25,30,35,40,45,50)/100*(Inputs!$B$11-Inputs!$B$11),0)))/100)/2</f>
        <v/>
      </c>
      <c r="M820">
        <f>L820*(1+(Inputs!$B$10+(F829-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0">
        <f>L820*(1-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820*(MIN((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0">
        <f>(1-Summary!$B$11)*S820+Summary!$B$11*U820</f>
        <v/>
      </c>
      <c r="P820">
        <f>IF(B845=0,0,O820/B845)</f>
        <v/>
      </c>
      <c r="Q820">
        <f>IFERROR(1/(IF(Inputs!$B$38="pvp",15,MAX(0.1,Skills!D12-IF(TRUE=TRUE,Inputs!$B$32,0)))*(1-IF(AND(ArtifactsInput!$M$27,Inputs!$B$4="Chapter Hunt"),CHOOSE(ArtifactsInput!$N$27+1,20,24,28,32,36,40),0)/100)),0)</f>
        <v/>
      </c>
      <c r="R820">
        <f>IF(AND(Inputs!$B$38&lt;&gt;"pvp",Inputs!$B$43&gt;0),IF(MAX(0,Inputs!$B$43-B842)&lt;=0,0,(INT(MAX(0,Inputs!$B$43-B842)/(IF(Inputs!$B$38="pvp",15,MAX(0.1,Skills!D12-IF(TRUE=TRUE,Inputs!$B$32,0)))*(1-IF(AND(ArtifactsInput!$M$27,Inputs!$B$4="Chapter Hunt"),CHOOSE(ArtifactsInput!$N$27+1,20,24,28,32,36,40),0)/100)))+1)),0)</f>
        <v/>
      </c>
      <c r="S820">
        <f>IF(C820,(H820*N820*IF(AND(Inputs!$B$38&lt;&gt;"pvp",Inputs!$B$43&gt;0),((Skills!F12*((R820-1)*IF(Skills!G12&gt;0,Skills!H12/Skills!G12,1)+IF(Skills!G12&gt;0,MIN(Skills!H12,MAX(0,MAX(0,Inputs!$B$43-B842)-((R820-1)*(IF(Inputs!$B$38="pvp",15,MAX(0.1,Skills!D12-IF(TRUE=TRUE,Inputs!$B$32,0)))*(1-IF(AND(ArtifactsInput!$M$27,Inputs!$B$4="Chapter Hunt"),CHOOSE(ArtifactsInput!$N$27+1,20,24,28,32,36,40),0)/100)))))/Skills!G12,1)))/Inputs!$B$43),G820*Q820))*IF(Inputs!$B$38="pvp",1,1+(Inputs!$B$20+Skills!O12+B836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820*(1-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820*(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820*(1-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820*(MIN(100,(Inputs!$B$9+((F828-Calc!F20)+(F827-Calc!F19))+(ArtifactsInput!$M$24-ArtifactsInput!$M$24)*CHOOSE(ArtifactsInput!$N$24+1,10,12,14,16,18,20)+(IF(AND(Inputs!$B$38&lt;&gt;"pvp",Inputs!$B$43=0),1,IF(IF(Inputs!$B$38="pvp",15,Inputs!$B$43)-(B842)&lt;=0,1,MAX(0,IF(Inputs!$B$38="pvp",15,Inputs!$B$43)-MAX(5,B842))/(IF(Inputs!$B$38="pvp",15,Inputs!$B$43)-(B842)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20">
        <f>IF(C820,(H820*N820*IF(AND(Inputs!$B$38&lt;&gt;"pvp",Inputs!$B$43&gt;0),((Skills!F12*((R820-1)*IF(Skills!G12&gt;0,Skills!H12/Skills!G12,1)+IF(Skills!G12&gt;0,MIN(Skills!H12,MAX(0,MAX(0,Inputs!$B$43-B842)-((R820-1)*(IF(Inputs!$B$38="pvp",15,MAX(0.1,Skills!D12-IF(TRUE=TRUE,Inputs!$B$32,0)))*(1-IF(AND(ArtifactsInput!$M$27,Inputs!$B$4="Chapter Hunt"),CHOOSE(ArtifactsInput!$N$27+1,20,24,28,32,36,40),0)/100)))))/Skills!G12,1)))/Inputs!$B$43),G820*Q820))*IF(Inputs!$B$38="pvp",1,(1+(Inputs!$B$21+Skills!P12+B836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1">
      <c r="A821">
        <f>Skills!A13</f>
        <v/>
      </c>
      <c r="B821">
        <f>Skills!B13</f>
        <v/>
      </c>
      <c r="C821">
        <f>Inputs!$B$3&gt;=49</f>
        <v/>
      </c>
      <c r="D821">
        <f>IF(Skills!C13=1,60+Inputs!$B$25+Inputs!$B$29,IF(Skills!C13=2,90+Inputs!$B$26+Inputs!$B$29,IF(Skills!C13=3,120+Inputs!$B$27+Inputs!$B$29,MAX(0,(Inputs!$B$3-100)*3)+(Inputs!$B$28+1)+Inputs!$B$29)))</f>
        <v/>
      </c>
      <c r="E821">
        <f>INDEX(FactorTable!$B$2:$Y$301, MATCH(ROUND(MIN(300,MAX(1,D821)),0), FactorTable!$A$2:$A$301,0), Skills!L13+1)</f>
        <v/>
      </c>
      <c r="F821">
        <f>IF(Skills!M13=TRUE,(Skills!K13/10)*(E821/1000),Skills!K13/10)+Skills!N13</f>
        <v/>
      </c>
      <c r="G821">
        <f>Calc!G13</f>
        <v/>
      </c>
      <c r="H821">
        <f>Calc!H13</f>
        <v/>
      </c>
      <c r="I821">
        <f>IF(Skills!T13&lt;&gt;"",1+(Skills!T13/10)*(Z811/1000)/100,1)</f>
        <v/>
      </c>
      <c r="J821" t="inlineStr"/>
      <c r="K821" t="inlineStr"/>
      <c r="L821" t="inlineStr"/>
      <c r="M821" t="inlineStr"/>
      <c r="N821" t="inlineStr"/>
      <c r="O821">
        <f>(1-Summary!$B$11)*S821+Summary!$B$11*U821</f>
        <v/>
      </c>
      <c r="P821">
        <f>IF(B845=0,0,O821/B845)</f>
        <v/>
      </c>
      <c r="Q821">
        <f>IFERROR(1/(IF(Inputs!$B$38="pvp",15,MAX(0.1,Skills!D13-IF(TRUE=TRUE,Inputs!$B$32,0)))*(1-IF(AND(ArtifactsInput!$M$27,Inputs!$B$4="Chapter Hunt"),CHOOSE(ArtifactsInput!$N$27+1,20,24,28,32,36,40),0)/100)),0)</f>
        <v/>
      </c>
      <c r="R821" t="n">
        <v>0</v>
      </c>
      <c r="S821" t="n">
        <v>0</v>
      </c>
      <c r="U821" t="n">
        <v>0</v>
      </c>
    </row>
    <row r="822">
      <c r="A822">
        <f>Skills!A14</f>
        <v/>
      </c>
      <c r="B822">
        <f>Skills!B14</f>
        <v/>
      </c>
      <c r="C822">
        <f>Inputs!$B$3&gt;=72</f>
        <v/>
      </c>
      <c r="D822">
        <f>IF(Skills!C14=1,60+Inputs!$B$25+Inputs!$B$29,IF(Skills!C14=2,90+Inputs!$B$26+Inputs!$B$29,IF(Skills!C14=3,120+Inputs!$B$27+Inputs!$B$29,MAX(0,(Inputs!$B$3-100)*3)+(Inputs!$B$28+1)+Inputs!$B$29)))</f>
        <v/>
      </c>
      <c r="E822">
        <f>INDEX(FactorTable!$B$2:$Y$301, MATCH(ROUND(MIN(300,MAX(1,D822)),0), FactorTable!$A$2:$A$301,0), Skills!L14+1)</f>
        <v/>
      </c>
      <c r="F822">
        <f>IF(Skills!M14=TRUE,(Skills!K14/10)*(E822/1000),Skills!K14/10)+Skills!N14</f>
        <v/>
      </c>
      <c r="G822">
        <f>Calc!G14</f>
        <v/>
      </c>
      <c r="H822">
        <f>Calc!H14</f>
        <v/>
      </c>
      <c r="I822">
        <f>IF(Skills!T14&lt;&gt;"",1+(Skills!T14/10)*(Z811/1000)/100,1)</f>
        <v/>
      </c>
      <c r="J822" t="inlineStr"/>
      <c r="K822" t="inlineStr"/>
      <c r="L822" t="inlineStr"/>
      <c r="M822" t="inlineStr"/>
      <c r="N822" t="inlineStr"/>
      <c r="O822">
        <f>(1-Summary!$B$11)*S822+Summary!$B$11*U822</f>
        <v/>
      </c>
      <c r="P822">
        <f>IF(B845=0,0,O822/B845)</f>
        <v/>
      </c>
      <c r="Q822">
        <f>IFERROR(1/(IF(Inputs!$B$38="pvp",15,MAX(0.1,Skills!D14-IF(TRUE=TRUE,Inputs!$B$32,0)))*(1-IF(AND(ArtifactsInput!$M$27,Inputs!$B$4="Chapter Hunt"),CHOOSE(ArtifactsInput!$N$27+1,20,24,28,32,36,40),0)/100)),0)</f>
        <v/>
      </c>
      <c r="R822" t="n">
        <v>0</v>
      </c>
      <c r="S822" t="n">
        <v>0</v>
      </c>
      <c r="U822" t="n">
        <v>0</v>
      </c>
    </row>
    <row r="823">
      <c r="A823">
        <f>Skills!A15</f>
        <v/>
      </c>
      <c r="B823">
        <f>Skills!B15</f>
        <v/>
      </c>
      <c r="C823">
        <f>Inputs!$B$3&gt;=75</f>
        <v/>
      </c>
      <c r="D823">
        <f>IF(Skills!C15=1,60+Inputs!$B$25+Inputs!$B$29,IF(Skills!C15=2,90+Inputs!$B$26+Inputs!$B$29,IF(Skills!C15=3,120+Inputs!$B$27+Inputs!$B$29,MAX(0,(Inputs!$B$3-100)*3)+(Inputs!$B$28+1)+Inputs!$B$29)))</f>
        <v/>
      </c>
      <c r="E823">
        <f>INDEX(FactorTable!$B$2:$Y$301, MATCH(ROUND(MIN(300,MAX(1,D823)),0), FactorTable!$A$2:$A$301,0), Skills!L15+1)</f>
        <v/>
      </c>
      <c r="F823">
        <f>IF(Skills!M15=TRUE,(Skills!K15/10)*(E823/1000),Skills!K15/10)+Skills!N15</f>
        <v/>
      </c>
      <c r="G823">
        <f>Calc!G15</f>
        <v/>
      </c>
      <c r="H823">
        <f>Calc!H15</f>
        <v/>
      </c>
      <c r="I823">
        <f>IF(Skills!T15&lt;&gt;"",1+(Skills!T15/10)*(Z811/1000)/100,1)</f>
        <v/>
      </c>
      <c r="J823" t="inlineStr"/>
      <c r="K823" t="inlineStr"/>
      <c r="L823" t="inlineStr"/>
      <c r="M823" t="inlineStr"/>
      <c r="N823" t="inlineStr"/>
      <c r="O823">
        <f>(1-Summary!$B$11)*S823+Summary!$B$11*U823</f>
        <v/>
      </c>
      <c r="P823">
        <f>IF(B845=0,0,O823/B845)</f>
        <v/>
      </c>
      <c r="Q823">
        <f>IFERROR(1/(IF(Inputs!$B$38="pvp",15,MAX(0.1,Skills!D15-IF(TRUE=TRUE,Inputs!$B$32,0)))*(1-IF(AND(ArtifactsInput!$M$27,Inputs!$B$4="Chapter Hunt"),CHOOSE(ArtifactsInput!$N$27+1,20,24,28,32,36,40),0)/100)),0)</f>
        <v/>
      </c>
      <c r="R823" t="n">
        <v>0</v>
      </c>
      <c r="S823" t="n">
        <v>0</v>
      </c>
      <c r="U823" t="n">
        <v>0</v>
      </c>
    </row>
    <row r="824">
      <c r="A824">
        <f>Skills!A16</f>
        <v/>
      </c>
      <c r="B824">
        <f>Skills!B16</f>
        <v/>
      </c>
      <c r="C824">
        <f>Inputs!$B$3&gt;=110</f>
        <v/>
      </c>
      <c r="D824">
        <f>IF(Skills!C16=1,60+Inputs!$B$25+Inputs!$B$29,IF(Skills!C16=2,90+Inputs!$B$26+Inputs!$B$29,IF(Skills!C16=3,120+Inputs!$B$27+Inputs!$B$29,MAX(0,(Inputs!$B$3-100)*3)+(Inputs!$B$28+1)+Inputs!$B$29)))</f>
        <v/>
      </c>
      <c r="E824">
        <f>INDEX(FactorTable!$B$2:$Y$301, MATCH(ROUND(MIN(300,MAX(1,D824)),0), FactorTable!$A$2:$A$301,0), Skills!L16+1)</f>
        <v/>
      </c>
      <c r="F824">
        <f>(Skills!K16/10)*(E824/1000)*64/45+Skills!N16</f>
        <v/>
      </c>
      <c r="G824">
        <f>Calc!G16</f>
        <v/>
      </c>
      <c r="H824">
        <f>Calc!H16</f>
        <v/>
      </c>
      <c r="I824">
        <f>IF(Skills!T16&lt;&gt;"",1+(Skills!T16/10)*(Z811/1000)/100,1)</f>
        <v/>
      </c>
      <c r="J824" t="inlineStr"/>
      <c r="K824" t="inlineStr"/>
      <c r="L824" t="inlineStr"/>
      <c r="M824" t="inlineStr"/>
      <c r="N824" t="inlineStr"/>
      <c r="O824">
        <f>(1-Summary!$B$11)*S824+Summary!$B$11*U824</f>
        <v/>
      </c>
      <c r="P824">
        <f>IF(B845=0,0,O824/B845)</f>
        <v/>
      </c>
      <c r="Q824">
        <f>IFERROR(1/(IF(Inputs!$B$38="pvp",15,MAX(0.1,Skills!D16-IF(TRUE=TRUE,Inputs!$B$32,0)))*(1-IF(AND(ArtifactsInput!$M$27,Inputs!$B$4="Chapter Hunt"),CHOOSE(ArtifactsInput!$N$27+1,20,24,28,32,36,40),0)/100)),0)</f>
        <v/>
      </c>
      <c r="R824">
        <f>IF(AND(Inputs!$B$38&lt;&gt;"pvp",Inputs!$B$43&gt;0),IF(Inputs!$B$43&lt;=0,0,(INT(Inputs!$B$43/(IF(Inputs!$B$38="pvp",15,MAX(0.1,Skills!D16-IF(TRUE=TRUE,Inputs!$B$32,0)))*(1-IF(AND(ArtifactsInput!$M$27,Inputs!$B$4="Chapter Hunt"),CHOOSE(ArtifactsInput!$N$27+1,20,24,28,32,36,40),0)/100)))+1)),0)</f>
        <v/>
      </c>
      <c r="S824" t="n">
        <v>0</v>
      </c>
      <c r="U824" t="n">
        <v>0</v>
      </c>
    </row>
    <row r="825">
      <c r="A825">
        <f>Skills!A17</f>
        <v/>
      </c>
      <c r="B825">
        <f>Skills!B17</f>
        <v/>
      </c>
      <c r="C825">
        <f>Inputs!$B$3&gt;=33</f>
        <v/>
      </c>
      <c r="D825">
        <f>IF(Skills!C17=1,60+Inputs!$B$25+Inputs!$B$29,IF(Skills!C17=2,90+Inputs!$B$26+Inputs!$B$29,IF(Skills!C17=3,120+Inputs!$B$27+Inputs!$B$29,MAX(0,(Inputs!$B$3-100)*3)+(Inputs!$B$28+1)+Inputs!$B$29)))</f>
        <v/>
      </c>
      <c r="E825">
        <f>INDEX(FactorTable!$B$2:$Y$301, MATCH(ROUND(MIN(300,MAX(1,D825)),0), FactorTable!$A$2:$A$301,0), Skills!L17+1)</f>
        <v/>
      </c>
      <c r="F825">
        <f>IF(Skills!M17=TRUE,(Skills!K17/10)*(E825/1000),Skills!K17/10)+Skills!N17</f>
        <v/>
      </c>
      <c r="G825">
        <f>Calc!G17</f>
        <v/>
      </c>
      <c r="H825">
        <f>Calc!H17</f>
        <v/>
      </c>
      <c r="I825">
        <f>IF(Skills!T17&lt;&gt;"",1+(Skills!T17/10)*(Z811/1000)/100,1)</f>
        <v/>
      </c>
      <c r="J825" t="inlineStr"/>
      <c r="K825" t="inlineStr"/>
      <c r="L825" t="inlineStr"/>
      <c r="M825" t="inlineStr"/>
      <c r="N825" t="inlineStr"/>
      <c r="O825">
        <f>(1-Summary!$B$11)*S825+Summary!$B$11*U825</f>
        <v/>
      </c>
      <c r="P825">
        <f>IF(B845=0,0,O825/B845)</f>
        <v/>
      </c>
      <c r="Q825">
        <f>IFERROR(1/(IF(Inputs!$B$38="pvp",15,MAX(0.1,Skills!D17-IF(TRUE=TRUE,Inputs!$B$32,0)))*(1-IF(AND(ArtifactsInput!$M$27,Inputs!$B$4="Chapter Hunt"),CHOOSE(ArtifactsInput!$N$27+1,20,24,28,32,36,40),0)/100)),0)</f>
        <v/>
      </c>
      <c r="R825" t="n">
        <v>0</v>
      </c>
      <c r="S825" t="n">
        <v>0</v>
      </c>
      <c r="U825" t="n">
        <v>0</v>
      </c>
    </row>
    <row r="826">
      <c r="A826">
        <f>Skills!A18</f>
        <v/>
      </c>
      <c r="B826">
        <f>Skills!B18</f>
        <v/>
      </c>
      <c r="C826">
        <f>Inputs!$B$3&gt;=43</f>
        <v/>
      </c>
      <c r="D826">
        <f>IF(Skills!C18=1,60+Inputs!$B$25+Inputs!$B$29,IF(Skills!C18=2,90+Inputs!$B$26+Inputs!$B$29,IF(Skills!C18=3,120+Inputs!$B$27+Inputs!$B$29,MAX(0,(Inputs!$B$3-100)*3)+(Inputs!$B$28+1)+Inputs!$B$29)))</f>
        <v/>
      </c>
      <c r="E826">
        <f>INDEX(FactorTable!$B$2:$Y$301, MATCH(ROUND(MIN(300,MAX(1,D826)),0), FactorTable!$A$2:$A$301,0), Skills!L18+1)</f>
        <v/>
      </c>
      <c r="F826">
        <f>IF(Skills!M18=TRUE,(Skills!K18/10)*(E826/1000),Skills!K18/10)+Skills!N18</f>
        <v/>
      </c>
      <c r="G826">
        <f>Calc!G18</f>
        <v/>
      </c>
      <c r="H826">
        <f>Calc!H18</f>
        <v/>
      </c>
      <c r="I826">
        <f>IF(Skills!T18&lt;&gt;"",1+(Skills!T18/10)*(Z811/1000)/100,1)</f>
        <v/>
      </c>
      <c r="J826" t="inlineStr"/>
      <c r="K826" t="inlineStr"/>
      <c r="L826" t="inlineStr"/>
      <c r="M826" t="inlineStr"/>
      <c r="N826" t="inlineStr"/>
      <c r="O826">
        <f>(1-Summary!$B$11)*S826+Summary!$B$11*U826</f>
        <v/>
      </c>
      <c r="P826">
        <f>IF(B845=0,0,O826/B845)</f>
        <v/>
      </c>
      <c r="Q826">
        <f>IFERROR(1/(IF(Inputs!$B$38="pvp",15,MAX(0.1,Skills!D18-IF(TRUE=TRUE,Inputs!$B$32,0)))*(1-IF(AND(ArtifactsInput!$M$27,Inputs!$B$4="Chapter Hunt"),CHOOSE(ArtifactsInput!$N$27+1,20,24,28,32,36,40),0)/100)),0)</f>
        <v/>
      </c>
      <c r="R826" t="n">
        <v>0</v>
      </c>
      <c r="S826" t="n">
        <v>0</v>
      </c>
      <c r="U826" t="n">
        <v>0</v>
      </c>
    </row>
    <row r="827">
      <c r="A827">
        <f>Skills!A19</f>
        <v/>
      </c>
      <c r="B827">
        <f>Skills!B19</f>
        <v/>
      </c>
      <c r="C827">
        <f>Inputs!$B$3&gt;=50</f>
        <v/>
      </c>
      <c r="D827">
        <f>IF(Skills!C19=1,60+Inputs!$B$25+Inputs!$B$29,IF(Skills!C19=2,90+Inputs!$B$26+Inputs!$B$29,IF(Skills!C19=3,120+Inputs!$B$27+Inputs!$B$29,MAX(0,(Inputs!$B$3-100)*3)+(Inputs!$B$28+1)+Inputs!$B$29)))</f>
        <v/>
      </c>
      <c r="E827">
        <f>INDEX(FactorTable!$B$2:$Y$301, MATCH(ROUND(MIN(300,MAX(1,D827)),0), FactorTable!$A$2:$A$301,0), Skills!L19+1)</f>
        <v/>
      </c>
      <c r="F827">
        <f>IF(Skills!M19=TRUE,(Skills!K19/10)*(E827/1000),Skills!K19/10)+Skills!N19</f>
        <v/>
      </c>
      <c r="G827">
        <f>Calc!G19</f>
        <v/>
      </c>
      <c r="H827">
        <f>Calc!H19</f>
        <v/>
      </c>
      <c r="I827">
        <f>IF(Skills!T19&lt;&gt;"",1+(Skills!T19/10)*(Z811/1000)/100,1)</f>
        <v/>
      </c>
      <c r="J827" t="inlineStr"/>
      <c r="K827" t="inlineStr"/>
      <c r="L827" t="inlineStr"/>
      <c r="M827" t="inlineStr"/>
      <c r="N827" t="inlineStr"/>
      <c r="O827">
        <f>(1-Summary!$B$11)*S827+Summary!$B$11*U827</f>
        <v/>
      </c>
      <c r="P827">
        <f>IF(B845=0,0,O827/B845)</f>
        <v/>
      </c>
      <c r="Q827">
        <f>IFERROR(1/(IF(Inputs!$B$38="pvp",15,MAX(0.1,Skills!D19-IF(TRUE=TRUE,Inputs!$B$32,0)))*(1-IF(AND(ArtifactsInput!$M$27,Inputs!$B$4="Chapter Hunt"),CHOOSE(ArtifactsInput!$N$27+1,20,24,28,32,36,40),0)/100)),0)</f>
        <v/>
      </c>
      <c r="R827" t="n">
        <v>0</v>
      </c>
      <c r="S827" t="n">
        <v>0</v>
      </c>
      <c r="U827" t="n">
        <v>0</v>
      </c>
    </row>
    <row r="828">
      <c r="A828">
        <f>Skills!A20</f>
        <v/>
      </c>
      <c r="B828">
        <f>Skills!B20</f>
        <v/>
      </c>
      <c r="C828">
        <f>Inputs!$B$3&gt;=74</f>
        <v/>
      </c>
      <c r="D828">
        <f>IF(Skills!C20=1,60+Inputs!$B$25+Inputs!$B$29,IF(Skills!C20=2,90+Inputs!$B$26+Inputs!$B$29,IF(Skills!C20=3,120+Inputs!$B$27+Inputs!$B$29,MAX(0,(Inputs!$B$3-100)*3)+(Inputs!$B$28+1)+Inputs!$B$29)))</f>
        <v/>
      </c>
      <c r="E828">
        <f>INDEX(FactorTable!$B$2:$Y$301, MATCH(ROUND(MIN(300,MAX(1,D828)),0), FactorTable!$A$2:$A$301,0), Skills!L20+1)</f>
        <v/>
      </c>
      <c r="F828">
        <f>IF(Skills!M20=TRUE,(Skills!K20/10)*(E828/1000),Skills!K20/10)+Skills!N20</f>
        <v/>
      </c>
      <c r="G828">
        <f>Calc!G20</f>
        <v/>
      </c>
      <c r="H828">
        <f>Calc!H20</f>
        <v/>
      </c>
      <c r="I828">
        <f>IF(Skills!T20&lt;&gt;"",1+(Skills!T20/10)*(Z811/1000)/100,1)</f>
        <v/>
      </c>
      <c r="J828" t="inlineStr"/>
      <c r="K828" t="inlineStr"/>
      <c r="L828" t="inlineStr"/>
      <c r="M828" t="inlineStr"/>
      <c r="N828" t="inlineStr"/>
      <c r="O828">
        <f>(1-Summary!$B$11)*S828+Summary!$B$11*U828</f>
        <v/>
      </c>
      <c r="P828">
        <f>IF(B845=0,0,O828/B845)</f>
        <v/>
      </c>
      <c r="Q828">
        <f>IFERROR(1/(IF(Inputs!$B$38="pvp",15,MAX(0.1,Skills!D20-IF(TRUE=TRUE,Inputs!$B$32,0)))*(1-IF(AND(ArtifactsInput!$M$27,Inputs!$B$4="Chapter Hunt"),CHOOSE(ArtifactsInput!$N$27+1,20,24,28,32,36,40),0)/100)),0)</f>
        <v/>
      </c>
      <c r="R828" t="n">
        <v>0</v>
      </c>
      <c r="S828" t="n">
        <v>0</v>
      </c>
      <c r="U828" t="n">
        <v>0</v>
      </c>
    </row>
    <row r="829">
      <c r="A829">
        <f>Skills!A21</f>
        <v/>
      </c>
      <c r="B829">
        <f>Skills!B21</f>
        <v/>
      </c>
      <c r="C829">
        <f>Inputs!$B$3&gt;=74</f>
        <v/>
      </c>
      <c r="D829">
        <f>IF(Skills!C21=1,60+Inputs!$B$25+Inputs!$B$29,IF(Skills!C21=2,90+Inputs!$B$26+Inputs!$B$29,IF(Skills!C21=3,120+Inputs!$B$27+Inputs!$B$29,MAX(0,(Inputs!$B$3-100)*3)+(Inputs!$B$28+1)+Inputs!$B$29)))</f>
        <v/>
      </c>
      <c r="E829">
        <f>INDEX(FactorTable!$B$2:$Y$301, MATCH(ROUND(MIN(300,MAX(1,D829)),0), FactorTable!$A$2:$A$301,0), Skills!L21+1)</f>
        <v/>
      </c>
      <c r="F829">
        <f>IF(Skills!M21=TRUE,(Skills!K21/10)*(E829/1000),Skills!K21/10)+Skills!N21</f>
        <v/>
      </c>
      <c r="G829">
        <f>Calc!G21</f>
        <v/>
      </c>
      <c r="H829">
        <f>Calc!H21</f>
        <v/>
      </c>
      <c r="I829">
        <f>IF(Skills!T21&lt;&gt;"",1+(Skills!T21/10)*(Z811/1000)/100,1)</f>
        <v/>
      </c>
      <c r="J829" t="inlineStr"/>
      <c r="K829" t="inlineStr"/>
      <c r="L829" t="inlineStr"/>
      <c r="M829" t="inlineStr"/>
      <c r="N829" t="inlineStr"/>
      <c r="O829">
        <f>(1-Summary!$B$11)*S829+Summary!$B$11*U829</f>
        <v/>
      </c>
      <c r="P829">
        <f>IF(B845=0,0,O829/B845)</f>
        <v/>
      </c>
      <c r="Q829">
        <f>IFERROR(1/(IF(Inputs!$B$38="pvp",15,MAX(0.1,Skills!D21-IF(TRUE=TRUE,Inputs!$B$32,0)))*(1-IF(AND(ArtifactsInput!$M$27,Inputs!$B$4="Chapter Hunt"),CHOOSE(ArtifactsInput!$N$27+1,20,24,28,32,36,40),0)/100)),0)</f>
        <v/>
      </c>
      <c r="R829" t="n">
        <v>0</v>
      </c>
      <c r="S829" t="n">
        <v>0</v>
      </c>
      <c r="U829" t="n">
        <v>0</v>
      </c>
    </row>
    <row r="830">
      <c r="A830">
        <f>Skills!A22</f>
        <v/>
      </c>
      <c r="B830">
        <f>Skills!B22</f>
        <v/>
      </c>
      <c r="C830">
        <f>Inputs!$B$3&gt;=117</f>
        <v/>
      </c>
      <c r="D830">
        <f>IF(Skills!C22=1,60+Inputs!$B$25+Inputs!$B$29,IF(Skills!C22=2,90+Inputs!$B$26+Inputs!$B$29,IF(Skills!C22=3,120+Inputs!$B$27+Inputs!$B$29,MAX(0,(Inputs!$B$3-100)*3)+(Inputs!$B$28+1)+Inputs!$B$29)))</f>
        <v/>
      </c>
      <c r="E830">
        <f>INDEX(FactorTable!$B$2:$Y$301, MATCH(ROUND(MIN(300,MAX(1,D830)),0), FactorTable!$A$2:$A$301,0), Skills!L22+1)</f>
        <v/>
      </c>
      <c r="F830">
        <f>IF(Skills!M22=TRUE,(Skills!K22/10)*(E830/1000),Skills!K22/10)+Skills!N22</f>
        <v/>
      </c>
      <c r="G830">
        <f>Calc!G22</f>
        <v/>
      </c>
      <c r="H830">
        <f>Calc!H22</f>
        <v/>
      </c>
      <c r="I830">
        <f>IF(Skills!T22&lt;&gt;"",1+(Skills!T22/10)*(Z811/1000)/100,1)</f>
        <v/>
      </c>
      <c r="J830" t="inlineStr"/>
      <c r="K830" t="inlineStr"/>
      <c r="L830" t="inlineStr"/>
      <c r="M830" t="inlineStr"/>
      <c r="N830" t="inlineStr"/>
      <c r="O830">
        <f>(1-Summary!$B$11)*S830+Summary!$B$11*U830</f>
        <v/>
      </c>
      <c r="P830">
        <f>IF(B845=0,0,O830/B845)</f>
        <v/>
      </c>
      <c r="Q830">
        <f>IFERROR(1/(IF(Inputs!$B$38="pvp",15,MAX(0.1,Skills!D22-IF(TRUE=TRUE,Inputs!$B$32,0)))*(1-IF(AND(ArtifactsInput!$M$27,Inputs!$B$4="Chapter Hunt"),CHOOSE(ArtifactsInput!$N$27+1,20,24,28,32,36,40),0)/100)),0)</f>
        <v/>
      </c>
      <c r="R830" t="n">
        <v>0</v>
      </c>
      <c r="S830" t="n">
        <v>0</v>
      </c>
      <c r="U830" t="n">
        <v>0</v>
      </c>
    </row>
    <row r="831">
      <c r="A831">
        <f>Skills!A23</f>
        <v/>
      </c>
      <c r="B831">
        <f>Skills!B23</f>
        <v/>
      </c>
      <c r="C831">
        <f>Inputs!$B$3&gt;=120</f>
        <v/>
      </c>
      <c r="D831">
        <f>IF(Skills!C23=1,60+Inputs!$B$25+Inputs!$B$29,IF(Skills!C23=2,90+Inputs!$B$26+Inputs!$B$29,IF(Skills!C23=3,120+Inputs!$B$27+Inputs!$B$29,MAX(0,(Inputs!$B$3-100)*3)+(Inputs!$B$28+1)+Inputs!$B$29)))</f>
        <v/>
      </c>
      <c r="E831">
        <f>INDEX(FactorTable!$B$2:$Y$301, MATCH(ROUND(MIN(300,MAX(1,D831)),0), FactorTable!$A$2:$A$301,0), Skills!L23+1)</f>
        <v/>
      </c>
      <c r="F831">
        <f>IF(Skills!M23=TRUE,(Skills!K23/10)*(E831/1000),Skills!K23/10)+Skills!N23</f>
        <v/>
      </c>
      <c r="G831">
        <f>Calc!G23</f>
        <v/>
      </c>
      <c r="H831">
        <f>Calc!H23</f>
        <v/>
      </c>
      <c r="I831">
        <f>IF(Skills!T23&lt;&gt;"",1+(Skills!T23/10)*(Z811/1000)/100,1)</f>
        <v/>
      </c>
      <c r="J831" t="inlineStr"/>
      <c r="K831" t="inlineStr"/>
      <c r="L831" t="inlineStr"/>
      <c r="M831" t="inlineStr"/>
      <c r="N831" t="inlineStr"/>
      <c r="O831">
        <f>(1-Summary!$B$11)*S831+Summary!$B$11*U831</f>
        <v/>
      </c>
      <c r="P831">
        <f>IF(B845=0,0,O831/B845)</f>
        <v/>
      </c>
      <c r="Q831">
        <f>IFERROR(1/(IF(Inputs!$B$38="pvp",15,MAX(0.1,Skills!D23-IF(TRUE=TRUE,Inputs!$B$32,0)))*(1-IF(AND(ArtifactsInput!$M$27,Inputs!$B$4="Chapter Hunt"),CHOOSE(ArtifactsInput!$N$27+1,20,24,28,32,36,40),0)/100)),0)</f>
        <v/>
      </c>
      <c r="R831" t="n">
        <v>0</v>
      </c>
      <c r="S831" t="n">
        <v>0</v>
      </c>
      <c r="U831" t="n">
        <v>0</v>
      </c>
    </row>
    <row r="832">
      <c r="A832">
        <f>Skills!A24</f>
        <v/>
      </c>
      <c r="B832">
        <f>Skills!B24</f>
        <v/>
      </c>
      <c r="C832">
        <f>TRUE</f>
        <v/>
      </c>
      <c r="D832">
        <f>IF(Skills!C24=1,60+Inputs!$B$25+Inputs!$B$29,IF(Skills!C24=2,90+Inputs!$B$26+Inputs!$B$29,IF(Skills!C24=3,120+Inputs!$B$27+Inputs!$B$29,MAX(0,(Inputs!$B$3-100)*3)+(Inputs!$B$28+1)+Inputs!$B$29)))</f>
        <v/>
      </c>
      <c r="E832">
        <f>INDEX(FactorTable!$B$2:$Y$301, MATCH(ROUND(MIN(300,MAX(1,D832)),0), FactorTable!$A$2:$A$301,0), Skills!L24+1)</f>
        <v/>
      </c>
      <c r="F832">
        <f>IF(Skills!M24=TRUE,(Skills!K24/10)*(E832/1000),Skills!K24/10)+Skills!N24</f>
        <v/>
      </c>
      <c r="G832">
        <f>Calc!G24</f>
        <v/>
      </c>
      <c r="H832">
        <f>Calc!H24</f>
        <v/>
      </c>
      <c r="I832">
        <f>IF(Skills!T24&lt;&gt;"",1+(Skills!T24/10)*(Z811/1000)/100,1)</f>
        <v/>
      </c>
      <c r="J832" t="inlineStr"/>
      <c r="K832" t="inlineStr"/>
      <c r="L832" t="inlineStr"/>
      <c r="M832" t="inlineStr"/>
      <c r="N832" t="inlineStr"/>
      <c r="O832">
        <f>(1-Summary!$B$11)*S832+Summary!$B$11*U832</f>
        <v/>
      </c>
      <c r="P832">
        <f>IF(B845=0,0,O832/B845)</f>
        <v/>
      </c>
      <c r="Q832">
        <f>IFERROR(1/(IF(Inputs!$B$38="pvp",15,MAX(0.1,Skills!D24-IF(TRUE=TRUE,Inputs!$B$32,0)))*(1-IF(AND(ArtifactsInput!$M$27,Inputs!$B$4="Chapter Hunt"),CHOOSE(ArtifactsInput!$N$27+1,20,24,28,32,36,40),0)/100)),0)</f>
        <v/>
      </c>
      <c r="R832">
        <f>IF(AND(Inputs!$B$38&lt;&gt;"pvp",Inputs!$B$43&gt;0),IF(Inputs!$B$43&lt;=0,0,(INT(Inputs!$B$43/(IF(Inputs!$B$38="pvp",15,MAX(0.1,Skills!D24-IF(TRUE=TRUE,Inputs!$B$32,0)))*(1-IF(AND(ArtifactsInput!$M$27,Inputs!$B$4="Chapter Hunt"),CHOOSE(ArtifactsInput!$N$27+1,20,24,28,32,36,40),0)/100)))+1)),0)</f>
        <v/>
      </c>
      <c r="S832" t="n">
        <v>0</v>
      </c>
      <c r="U832" t="n">
        <v>0</v>
      </c>
    </row>
    <row r="835">
      <c r="A835" t="inlineStr">
        <is>
          <t>Average Buff Multiplier (Magic Guard + Meditation + Artifact Attack%, summed; then Infinity)</t>
        </is>
      </c>
      <c r="B835">
        <f>(1+(IF(C811=TRUE,F811*IF(AND(Inputs!$B$38&lt;&gt;"pvp",Inputs!$B$43&gt;0),(((R811-1)*MIN((Skills!S3*(1+(Inputs!$B$34)/100)),(1/Q811))+MIN((Skills!S3*(1+(Inputs!$B$34)/100)),MAX(0,Inputs!$B$43-((R811-1)*(1/Q811)))))/Inputs!$B$43),IF(Inputs!$B$38="pvp",MIN((Skills!S3*(1+(Inputs!$B$34)/100)),15)/15,MIN(1,(Skills!S3*(1+(Inputs!$B$34)/100))/(1/Q811)))),0)+IF(C812=TRUE,F812*IF(AND(Inputs!$B$38&lt;&gt;"pvp",Inputs!$B$43&gt;0),(((R812-1)*MIN((Skills!S4*(1+(Inputs!$B$34)/100)),(1/Q812))+MIN((Skills!S4*(1+(Inputs!$B$34)/100)),MAX(0,Inputs!$B$43-((R812-1)*(1/Q812)))))/Inputs!$B$43),IF(Inputs!$B$38="pvp",MIN((Skills!S4*(1+(Inputs!$B$34)/100)),15)/15,MIN(1,(Skills!S4*(1+(Inputs!$B$34)/100))/(1/Q812)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824=TRUE,(1+F824*IF(AND(Inputs!$B$38&lt;&gt;"pvp",Inputs!$B$43&gt;0),(((R824-1)*MIN((Skills!S16*(1+(Inputs!$B$34)/100)),(1/Q824))+MIN((Skills!S16*(1+(Inputs!$B$34)/100)),MAX(0,Inputs!$B$43-((R824-1)*(1/Q824)))))/Inputs!$B$43),IF(Inputs!$B$38="pvp",MIN((Skills!S16*(1+(Inputs!$B$34)/100)),15)/15,MIN(1,(Skills!S16*(1+(Inputs!$B$34)/100))/(1/Q824))))/100),1)</f>
        <v/>
      </c>
    </row>
    <row r="836">
      <c r="A836" t="inlineStr">
        <is>
          <t>Monster Damage Taken Bonus % (Freezing Breath - Weaken + Elemental Reset + Artifact Enemy Damage Taken, summed)</t>
        </is>
      </c>
      <c r="B836">
        <f>IF(Inputs!$B$3&gt;=118,15*IF(Inputs!$B$38="pvp",MIN((30*(1+(Inputs!$B$34)/100)),15)/15,MIN(1,(30*(1+(Inputs!$B$34)/100))/(1/Q816))),0)+IF(C822=TRUE,F822,0)+(IF(AND(ArtifactsInput!$M$35,Inputs!$B$4&lt;&gt;"Chapter Hunt"),CHOOSE(ArtifactsInput!$N$35+1,15,18,21,24,27,30)*(1-EXP(-(0.2*B839)*5)),0)+IF(AND(ArtifactsInput!$M$22,Inputs!$B$4&lt;&gt;"Chapter Hunt"),CHOOSE(ArtifactsInput!$N$22+1,10,12,14,16,18,20)*((0*(((0.15*B839*5))^0/1)+1*(((0.15*B839*5))^1/1)+2*(((0.15*B839*5))^2/2)+3*(((0.15*B839*5))^3/6)+4*(((0.15*B839*5))^4/24)+5*(((0.15*B839*5))^5/120))/((((0.15*B839*5))^0/1)+(((0.15*B839*5))^1/1)+(((0.15*B839*5))^2/2)+(((0.15*B839*5))^3/6)+(((0.15*B839*5))^4/24)+(((0.15*B839*5))^5/120))),0))</f>
        <v/>
      </c>
    </row>
    <row r="837">
      <c r="A837" t="inlineStr">
        <is>
          <t>Damage % Bonus (Frozen Break + Frost Clutch, flat)</t>
        </is>
      </c>
      <c r="B837">
        <f>IF(Inputs!$B$3&gt;=66,15,0)+IF(Inputs!$B$3&gt;=98,10,0)+IF(Inputs!$B$3&gt;=125,20,0)</f>
        <v/>
      </c>
    </row>
    <row r="838">
      <c r="A838" t="inlineStr">
        <is>
          <t>Attack Speed Bonus % (MP Eater - MP Boost, always-on + Nimble Feet, duty-cycle averaged)</t>
        </is>
      </c>
      <c r="B838">
        <f>IF(C821=TRUE,F821+(F825-Calc!F17),0)+((C832=TRUE)*F832*IF(AND(Inputs!$B$38&lt;&gt;"pvp",Inputs!$B$43&gt;0),(((R832-1)*MIN((Skills!S24*(1+(Inputs!$B$34)/100)),(1/Q832))+MIN((Skills!S24*(1+(Inputs!$B$34)/100)),MAX(0,Inputs!$B$43-((R832-1)*(1/Q832)))))/Inputs!$B$43),IF(Inputs!$B$38="pvp",MIN((Skills!S24*(1+(Inputs!$B$34)/100)),15)/15,MIN(1,(Skills!S24*(1+(Inputs!$B$34)/100))/(1/Q832)))))</f>
        <v/>
      </c>
    </row>
    <row r="839">
      <c r="A839" t="inlineStr">
        <is>
          <t>Actions Per Second</t>
        </is>
      </c>
      <c r="B839">
        <f>1+MIN(150,150*(1-(1-(Inputs!$B$11+(ArtifactsInput!$M$15-ArtifactsInput!$M$15)*CHOOSE(ArtifactsInput!$N$15+1,8,9.6,11.2,12.8,14.4,16))/150)*(1-B838/150)))/100</f>
        <v/>
      </c>
    </row>
    <row r="840">
      <c r="A840" t="inlineStr">
        <is>
          <t>Skill + Buff Cast Rate</t>
        </is>
      </c>
      <c r="B840">
        <f>IF(AND(Inputs!$B$38&lt;&gt;"pvp",Inputs!$B$43&gt;0),SUMPRODUCT((Skills!E2:E24=TRUE)*(C810:C832=TRUE)*R810:R832)/Inputs!$B$43,SUMPRODUCT((Skills!E2:E24=TRUE)*(C810:C832=TRUE)*Q810:Q832))</f>
        <v/>
      </c>
    </row>
    <row r="841">
      <c r="A841" t="inlineStr">
        <is>
          <t>Chain Lightning Casts Per Second</t>
        </is>
      </c>
      <c r="B841">
        <f>MAX(0,B839-B840)</f>
        <v/>
      </c>
    </row>
    <row r="842">
      <c r="A842" t="inlineStr">
        <is>
          <t>Buff-Casting Startup Delay (s, fixed-duration only)</t>
        </is>
      </c>
      <c r="B842">
        <f>IF(AND(Inputs!$B$38&lt;&gt;"pvp",Inputs!$B$43&gt;0),SUMPRODUCT((Skills!S2:S24&gt;0)*(Skills!E2:E24=TRUE)*(C810:C832=TRUE))/B839,0)</f>
        <v/>
      </c>
    </row>
    <row r="843">
      <c r="A843" t="inlineStr">
        <is>
          <t>Boss-Only Total DPS (this block's swept value)</t>
        </is>
      </c>
      <c r="B843">
        <f>SUM(S810:S832)</f>
        <v/>
      </c>
    </row>
    <row r="844">
      <c r="A844" t="inlineStr">
        <is>
          <t>Normal-Only Total DPS (this block's swept value)</t>
        </is>
      </c>
      <c r="B844">
        <f>SUM(U810:U832)</f>
        <v/>
      </c>
    </row>
    <row r="845">
      <c r="A845" s="6" t="inlineStr">
        <is>
          <t>TOTAL DPS</t>
        </is>
      </c>
      <c r="B845" s="6">
        <f>SUM(O810:O832)</f>
        <v/>
      </c>
    </row>
    <row r="846">
      <c r="A846" t="inlineStr">
        <is>
          <t>Blizzard Final Attack trigger rate (this block's own Q/R)</t>
        </is>
      </c>
      <c r="B846">
        <f>IF(AND(Inputs!$B$38&lt;&gt;"pvp",Inputs!$B$43&gt;0),(((C813=TRUE)*R813*1)+((C814=TRUE)*R814*1)+((C816=TRUE)*R816*1)+((C817=TRUE)*R817*3)+((C819=TRUE)*R819*1))/Inputs!$B$43,((C813=TRUE)*Q813*1)+((C814=TRUE)*Q814*1)+((C816=TRUE)*Q816*1)+((C817=TRUE)*Q817*3)+((C819=TRUE)*Q819*1))+B841</f>
        <v/>
      </c>
    </row>
    <row r="849">
      <c r="A849" s="6" t="inlineStr">
        <is>
          <t>Stat: Skill Level Bonus — All Skills</t>
        </is>
      </c>
    </row>
    <row r="850">
      <c r="A850" s="5" t="inlineStr">
        <is>
          <t>Key</t>
        </is>
      </c>
      <c r="B850" s="5" t="inlineStr">
        <is>
          <t>Name</t>
        </is>
      </c>
      <c r="C850" s="5" t="inlineStr">
        <is>
          <t>Unlocked</t>
        </is>
      </c>
      <c r="D850" s="5" t="inlineStr">
        <is>
          <t>InputLevel</t>
        </is>
      </c>
      <c r="E850" s="5" t="inlineStr">
        <is>
          <t>Factor</t>
        </is>
      </c>
      <c r="F850" s="5" t="inlineStr">
        <is>
          <t>CoefficientPercent</t>
        </is>
      </c>
      <c r="G850" s="5" t="inlineStr">
        <is>
          <t>EffectiveHits</t>
        </is>
      </c>
      <c r="H850" s="5" t="inlineStr">
        <is>
          <t>ProcProbability</t>
        </is>
      </c>
      <c r="I850" s="5" t="inlineStr">
        <is>
          <t>MapleHeroMultiplier</t>
        </is>
      </c>
      <c r="J850" s="5" t="inlineStr">
        <is>
          <t>BaseDamage</t>
        </is>
      </c>
      <c r="K850" s="5" t="inlineStr">
        <is>
          <t>BaseHitDamage</t>
        </is>
      </c>
      <c r="L850" s="5" t="inlineStr">
        <is>
          <t>NonCritAvg</t>
        </is>
      </c>
      <c r="M850" s="5" t="inlineStr">
        <is>
          <t>CritAvg</t>
        </is>
      </c>
      <c r="N850" s="5" t="inlineStr">
        <is>
          <t>ExpectedDamage(perHit)</t>
        </is>
      </c>
      <c r="O850" s="5" t="inlineStr">
        <is>
          <t>DPS</t>
        </is>
      </c>
      <c r="P850" s="5" t="inlineStr">
        <is>
          <t>% of Total</t>
        </is>
      </c>
      <c r="R850" t="inlineStr">
        <is>
          <t>helpers</t>
        </is>
      </c>
    </row>
    <row r="851">
      <c r="A851">
        <f>Skills!A2</f>
        <v/>
      </c>
      <c r="B851">
        <f>Skills!B2</f>
        <v/>
      </c>
      <c r="C851">
        <f>Inputs!$B$3&gt;=100</f>
        <v/>
      </c>
      <c r="D851" t="inlineStr"/>
      <c r="E851" t="inlineStr"/>
      <c r="F851">
        <f>T853+Skills!N2</f>
        <v/>
      </c>
      <c r="G851">
        <f>Calc!G2</f>
        <v/>
      </c>
      <c r="H851">
        <f>Calc!H2</f>
        <v/>
      </c>
      <c r="I851">
        <f>IF(Skills!T2&lt;&gt;"",1+(Skills!T2/10)*(Z852/1000)/100,1)</f>
        <v/>
      </c>
      <c r="J851">
        <f>((Inputs!$B$6*(1+Inputs!$B$7/100))+(((Inputs!$B$12*(1+Inputs!$B$13/100))-(Inputs!$B$12*(1+Inputs!$B$13/100)))+0.25*(Inputs!$B$14-Inputs!$B$14))*(1+Inputs!$B$7/100))*(F851/100)</f>
        <v/>
      </c>
      <c r="K851">
        <f>J851*(1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2="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851)</f>
        <v/>
      </c>
      <c r="L851">
        <f>K851*(MIN(Inputs!$B$22+(F867-Calc!F18),(Inputs!$B$23+(IF(ArtifactsInput!$M$15,CHOOSE(ArtifactsInput!$N$15+1,25,30,35,40,45,50)/100*(Inputs!$B$11-Inputs!$B$11),0))))/100+(Inputs!$B$23+(IF(ArtifactsInput!$M$15,CHOOSE(ArtifactsInput!$N$15+1,25,30,35,40,45,50)/100*(Inputs!$B$11-Inputs!$B$11),0)))/100)/2</f>
        <v/>
      </c>
      <c r="M851">
        <f>L851*(1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1">
        <f>L851*(1-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1">
        <f>(1-Summary!$B$11)*S851+Summary!$B$11*U851</f>
        <v/>
      </c>
      <c r="P851">
        <f>IF(B886=0,0,O851/B886)</f>
        <v/>
      </c>
      <c r="Q851">
        <f>IFERROR(1/(IF(Inputs!$B$38="pvp",15,MAX(0.1,Skills!D2-IF(TRUE=TRUE,Inputs!$B$32,0)))*(1-IF(AND(ArtifactsInput!$M$27,Inputs!$B$4="Chapter Hunt"),CHOOSE(ArtifactsInput!$N$27+1,20,24,28,32,36,40),0)/100)),0)</f>
        <v/>
      </c>
      <c r="R851" t="n">
        <v>0</v>
      </c>
      <c r="S851">
        <f>IF(C851,(Skills!F2*N851*B882)*IF(Inputs!$B$38="pvp",1,1+(Inputs!$B$20+Skills!O2+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851*(1-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851*(1-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51">
        <f>MAX(0,(Inputs!$B$3-100)*3)+Inputs!$B$28+(Inputs!$B$29+1)</f>
        <v/>
      </c>
      <c r="U851">
        <f>IF(C851,(Skills!F2*N851*B882)*IF(Inputs!$B$38="pvp",1,(1+(Inputs!$B$21+Skills!P2+B877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851">
        <f>MAX(0,(Inputs!$B$3-100)*3)+Inputs!$B$28+(Inputs!$B$29+1)</f>
        <v/>
      </c>
    </row>
    <row r="852">
      <c r="A852">
        <f>Skills!A3</f>
        <v/>
      </c>
      <c r="B852">
        <f>Skills!B3</f>
        <v/>
      </c>
      <c r="C852">
        <f>Inputs!$B$3&gt;=15</f>
        <v/>
      </c>
      <c r="D852">
        <f>IF(Skills!C3=1,60+Inputs!$B$25+(Inputs!$B$29+1),IF(Skills!C3=2,90+Inputs!$B$26+(Inputs!$B$29+1),IF(Skills!C3=3,120+Inputs!$B$27+(Inputs!$B$29+1),MAX(0,(Inputs!$B$3-100)*3)+Inputs!$B$28+(Inputs!$B$29+1))))</f>
        <v/>
      </c>
      <c r="E852">
        <f>INDEX(FactorTable!$B$2:$Y$301, MATCH(ROUND(MIN(300,MAX(1,D852)),0), FactorTable!$A$2:$A$301,0), Skills!L3+1)</f>
        <v/>
      </c>
      <c r="F852">
        <f>IF(Skills!M3=TRUE,(Skills!K3/10)*(E852/1000),Skills!K3/10)+Skills!N3</f>
        <v/>
      </c>
      <c r="G852">
        <f>Calc!G3</f>
        <v/>
      </c>
      <c r="H852">
        <f>Calc!H3</f>
        <v/>
      </c>
      <c r="I852">
        <f>IF(Skills!T3&lt;&gt;"",1+(Skills!T3/10)*(Z852/1000)/100,1)</f>
        <v/>
      </c>
      <c r="J852" t="inlineStr"/>
      <c r="K852" t="inlineStr"/>
      <c r="L852" t="inlineStr"/>
      <c r="M852" t="inlineStr"/>
      <c r="N852" t="inlineStr"/>
      <c r="O852">
        <f>(1-Summary!$B$11)*S852+Summary!$B$11*U852</f>
        <v/>
      </c>
      <c r="P852">
        <f>IF(B886=0,0,O852/B886)</f>
        <v/>
      </c>
      <c r="Q852">
        <f>IFERROR(1/(IF(Inputs!$B$38="pvp",15,MAX(0.1,Skills!D3-IF(TRUE=TRUE,Inputs!$B$32,0)))*(1-IF(AND(ArtifactsInput!$M$27,Inputs!$B$4="Chapter Hunt"),CHOOSE(ArtifactsInput!$N$27+1,20,24,28,32,36,40),0)/100)),0)</f>
        <v/>
      </c>
      <c r="R852">
        <f>IF(AND(Inputs!$B$38&lt;&gt;"pvp",Inputs!$B$43&gt;0),IF(Inputs!$B$43&lt;=0,0,(INT(Inputs!$B$43/(IF(Inputs!$B$38="pvp",15,MAX(0.1,Skills!D3-IF(TRUE=TRUE,Inputs!$B$32,0)))*(1-IF(AND(ArtifactsInput!$M$27,Inputs!$B$4="Chapter Hunt"),CHOOSE(ArtifactsInput!$N$27+1,20,24,28,32,36,40),0)/100)))+1)),0)</f>
        <v/>
      </c>
      <c r="S852" t="n">
        <v>0</v>
      </c>
      <c r="T852">
        <f>INDEX(FactorTable!$B$2:$Y$301, MATCH(ROUND(MIN(300,MAX(1,T851)),0), FactorTable!$A$2:$A$301,0), 22)</f>
        <v/>
      </c>
      <c r="U852" t="n">
        <v>0</v>
      </c>
      <c r="Z852">
        <f>INDEX(FactorTable!$B$2:$Y$301, MATCH(ROUND(MIN(300,MAX(1,Z851)),0), FactorTable!$A$2:$A$301,0), 24)</f>
        <v/>
      </c>
    </row>
    <row r="853">
      <c r="A853">
        <f>Skills!A4</f>
        <v/>
      </c>
      <c r="B853">
        <f>Skills!B4</f>
        <v/>
      </c>
      <c r="C853">
        <f>Inputs!$B$3&gt;=40</f>
        <v/>
      </c>
      <c r="D853">
        <f>IF(Skills!C4=1,60+Inputs!$B$25+(Inputs!$B$29+1),IF(Skills!C4=2,90+Inputs!$B$26+(Inputs!$B$29+1),IF(Skills!C4=3,120+Inputs!$B$27+(Inputs!$B$29+1),MAX(0,(Inputs!$B$3-100)*3)+Inputs!$B$28+(Inputs!$B$29+1))))</f>
        <v/>
      </c>
      <c r="E853">
        <f>INDEX(FactorTable!$B$2:$Y$301, MATCH(ROUND(MIN(300,MAX(1,D853)),0), FactorTable!$A$2:$A$301,0), Skills!L4+1)</f>
        <v/>
      </c>
      <c r="F853">
        <f>IF(Skills!M4=TRUE,(Skills!K4/10)*(E853/1000),Skills!K4/10)+Skills!N4</f>
        <v/>
      </c>
      <c r="G853">
        <f>Calc!G4</f>
        <v/>
      </c>
      <c r="H853">
        <f>Calc!H4</f>
        <v/>
      </c>
      <c r="I853">
        <f>IF(Skills!T4&lt;&gt;"",1+(Skills!T4/10)*(Z852/1000)/100,1)</f>
        <v/>
      </c>
      <c r="J853" t="inlineStr"/>
      <c r="K853" t="inlineStr"/>
      <c r="L853" t="inlineStr"/>
      <c r="M853" t="inlineStr"/>
      <c r="N853" t="inlineStr"/>
      <c r="O853">
        <f>(1-Summary!$B$11)*S853+Summary!$B$11*U853</f>
        <v/>
      </c>
      <c r="P853">
        <f>IF(B886=0,0,O853/B886)</f>
        <v/>
      </c>
      <c r="Q853">
        <f>IFERROR(1/(IF(Inputs!$B$38="pvp",15,MAX(0.1,Skills!D4-IF(TRUE=TRUE,Inputs!$B$32,0)))*(1-IF(AND(ArtifactsInput!$M$27,Inputs!$B$4="Chapter Hunt"),CHOOSE(ArtifactsInput!$N$27+1,20,24,28,32,36,40),0)/100)),0)</f>
        <v/>
      </c>
      <c r="R853">
        <f>IF(AND(Inputs!$B$38&lt;&gt;"pvp",Inputs!$B$43&gt;0),IF(Inputs!$B$43&lt;=0,0,(INT(Inputs!$B$43/(IF(Inputs!$B$38="pvp",15,MAX(0.1,Skills!D4-IF(TRUE=TRUE,Inputs!$B$32,0)))*(1-IF(AND(ArtifactsInput!$M$27,Inputs!$B$4="Chapter Hunt"),CHOOSE(ArtifactsInput!$N$27+1,20,24,28,32,36,40),0)/100)))+1)),0)</f>
        <v/>
      </c>
      <c r="S853" t="n">
        <v>0</v>
      </c>
      <c r="T853">
        <f>290*T852/1000</f>
        <v/>
      </c>
      <c r="U853" t="n">
        <v>0</v>
      </c>
    </row>
    <row r="854">
      <c r="A854">
        <f>Skills!A5</f>
        <v/>
      </c>
      <c r="B854">
        <f>Skills!B5</f>
        <v/>
      </c>
      <c r="C854">
        <f>Inputs!$B$3&gt;=38</f>
        <v/>
      </c>
      <c r="D854">
        <f>IF(Skills!C5=1,60+Inputs!$B$25+(Inputs!$B$29+1),IF(Skills!C5=2,90+Inputs!$B$26+(Inputs!$B$29+1),IF(Skills!C5=3,120+Inputs!$B$27+(Inputs!$B$29+1),MAX(0,(Inputs!$B$3-100)*3)+Inputs!$B$28+(Inputs!$B$29+1))))</f>
        <v/>
      </c>
      <c r="E854">
        <f>INDEX(FactorTable!$B$2:$Y$301, MATCH(ROUND(MIN(300,MAX(1,D854)),0), FactorTable!$A$2:$A$301,0), Skills!L5+1)</f>
        <v/>
      </c>
      <c r="F854">
        <f>IF(Skills!M5=TRUE,(Skills!K5/10)*(E854/1000),Skills!K5/10)+Skills!N5</f>
        <v/>
      </c>
      <c r="G854">
        <f>Calc!G5</f>
        <v/>
      </c>
      <c r="H854">
        <f>Calc!H5</f>
        <v/>
      </c>
      <c r="I854">
        <f>IF(Skills!T5&lt;&gt;"",1+(Skills!T5/10)*(Z852/1000)/100,1)</f>
        <v/>
      </c>
      <c r="J854">
        <f>((Inputs!$B$6*(1+Inputs!$B$7/100))+(((Inputs!$B$12*(1+Inputs!$B$13/100))-(Inputs!$B$12*(1+Inputs!$B$13/100)))+0.25*(Inputs!$B$14-Inputs!$B$14))*(1+Inputs!$B$7/100))*(F854/100)</f>
        <v/>
      </c>
      <c r="K854">
        <f>J854*(1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5="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854)</f>
        <v/>
      </c>
      <c r="L854">
        <f>K854*(MIN(Inputs!$B$22+(F867-Calc!F18),(Inputs!$B$23+(IF(ArtifactsInput!$M$15,CHOOSE(ArtifactsInput!$N$15+1,25,30,35,40,45,50)/100*(Inputs!$B$11-Inputs!$B$11),0))))/100+(Inputs!$B$23+(IF(ArtifactsInput!$M$15,CHOOSE(ArtifactsInput!$N$15+1,25,30,35,40,45,50)/100*(Inputs!$B$11-Inputs!$B$11),0)))/100)/2</f>
        <v/>
      </c>
      <c r="M854">
        <f>L854*(1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4">
        <f>L854*(1-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854*(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4">
        <f>(1-Summary!$B$11)*S854+Summary!$B$11*U854</f>
        <v/>
      </c>
      <c r="P854">
        <f>IF(B886=0,0,O854/B886)</f>
        <v/>
      </c>
      <c r="Q854">
        <f>IFERROR(1/(IF(Inputs!$B$38="pvp",15,MAX(0.1,Skills!D5-IF(TRUE=TRUE,Inputs!$B$32,0)))*(1-IF(AND(ArtifactsInput!$M$27,Inputs!$B$4="Chapter Hunt"),CHOOSE(ArtifactsInput!$N$27+1,20,24,28,32,36,40),0)/100)),0)</f>
        <v/>
      </c>
      <c r="R854">
        <f>IF(AND(Inputs!$B$38&lt;&gt;"pvp",Inputs!$B$43&gt;0),IF(MAX(0,Inputs!$B$43-B883)&lt;=0,0,(INT(MAX(0,Inputs!$B$43-B883)/(IF(Inputs!$B$38="pvp",15,MAX(0.1,Skills!D5-IF(TRUE=TRUE,Inputs!$B$32,0)))*(1-IF(AND(ArtifactsInput!$M$27,Inputs!$B$4="Chapter Hunt"),CHOOSE(ArtifactsInput!$N$27+1,20,24,28,32,36,40),0)/100)))+1)),0)</f>
        <v/>
      </c>
      <c r="S854">
        <f>IF(C854,(H854*N854*IF(AND(Inputs!$B$38&lt;&gt;"pvp",Inputs!$B$43&gt;0),((Skills!F5*((R854-1)*IF(Skills!G5&gt;0,Skills!H5/Skills!G5,1)+IF(Skills!G5&gt;0,MIN(Skills!H5,MAX(0,MAX(0,Inputs!$B$43-B883)-((R854-1)*(IF(Inputs!$B$38="pvp",15,MAX(0.1,Skills!D5-IF(TRUE=TRUE,Inputs!$B$32,0)))*(1-IF(AND(ArtifactsInput!$M$27,Inputs!$B$4="Chapter Hunt"),CHOOSE(ArtifactsInput!$N$27+1,20,24,28,32,36,40),0)/100)))))/Skills!G5,1)))/Inputs!$B$43),G854*Q854))*IF(Inputs!$B$38="pvp",1,1+(Inputs!$B$20+Skills!O5+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854*(1-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854*(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854*(1-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854*(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4">
        <f>IF(C854,(H854*N854*IF(AND(Inputs!$B$38&lt;&gt;"pvp",Inputs!$B$43&gt;0),((Skills!F5*((R854-1)*IF(Skills!G5&gt;0,Skills!H5/Skills!G5,1)+IF(Skills!G5&gt;0,MIN(Skills!H5,MAX(0,MAX(0,Inputs!$B$43-B883)-((R854-1)*(IF(Inputs!$B$38="pvp",15,MAX(0.1,Skills!D5-IF(TRUE=TRUE,Inputs!$B$32,0)))*(1-IF(AND(ArtifactsInput!$M$27,Inputs!$B$4="Chapter Hunt"),CHOOSE(ArtifactsInput!$N$27+1,20,24,28,32,36,40),0)/100)))))/Skills!G5,1)))/Inputs!$B$43),G854*Q854))*IF(Inputs!$B$38="pvp",1,(1+(Inputs!$B$21+Skills!P5+B877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5">
      <c r="A855">
        <f>Skills!A6</f>
        <v/>
      </c>
      <c r="B855">
        <f>Skills!B6</f>
        <v/>
      </c>
      <c r="C855">
        <f>Inputs!$B$3&gt;=63</f>
        <v/>
      </c>
      <c r="D855">
        <f>IF(Skills!C6=1,60+Inputs!$B$25+(Inputs!$B$29+1),IF(Skills!C6=2,90+Inputs!$B$26+(Inputs!$B$29+1),IF(Skills!C6=3,120+Inputs!$B$27+(Inputs!$B$29+1),MAX(0,(Inputs!$B$3-100)*3)+Inputs!$B$28+(Inputs!$B$29+1))))</f>
        <v/>
      </c>
      <c r="E855">
        <f>INDEX(FactorTable!$B$2:$Y$301, MATCH(ROUND(MIN(300,MAX(1,D855)),0), FactorTable!$A$2:$A$301,0), Skills!L6+1)</f>
        <v/>
      </c>
      <c r="F855">
        <f>IF(Skills!M6=TRUE,(Skills!K6/10)*(E855/1000),Skills!K6/10)+Skills!N6</f>
        <v/>
      </c>
      <c r="G855">
        <f>Calc!G6</f>
        <v/>
      </c>
      <c r="H855">
        <f>Calc!H6</f>
        <v/>
      </c>
      <c r="I855">
        <f>IF(Skills!T6&lt;&gt;"",1+(Skills!T6/10)*(Z852/1000)/100,1)</f>
        <v/>
      </c>
      <c r="J855">
        <f>((Inputs!$B$6*(1+Inputs!$B$7/100))+(((Inputs!$B$12*(1+Inputs!$B$13/100))-(Inputs!$B$12*(1+Inputs!$B$13/100)))+0.25*(Inputs!$B$14-Inputs!$B$14))*(1+Inputs!$B$7/100))*(F855/100)</f>
        <v/>
      </c>
      <c r="K855">
        <f>J855*(1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6="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855)</f>
        <v/>
      </c>
      <c r="L855">
        <f>K855*(MIN(Inputs!$B$22+(F867-Calc!F18),(Inputs!$B$23+(IF(ArtifactsInput!$M$15,CHOOSE(ArtifactsInput!$N$15+1,25,30,35,40,45,50)/100*(Inputs!$B$11-Inputs!$B$11),0))))/100+(Inputs!$B$23+(IF(ArtifactsInput!$M$15,CHOOSE(ArtifactsInput!$N$15+1,25,30,35,40,45,50)/100*(Inputs!$B$11-Inputs!$B$11),0)))/100)/2</f>
        <v/>
      </c>
      <c r="M855">
        <f>L855*(1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5">
        <f>L855*(1-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855*(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5">
        <f>(1-Summary!$B$11)*S855+Summary!$B$11*U855</f>
        <v/>
      </c>
      <c r="P855">
        <f>IF(B886=0,0,O855/B886)</f>
        <v/>
      </c>
      <c r="Q855">
        <f>IFERROR(1/(IF(Inputs!$B$38="pvp",15,MAX(0.1,Skills!D6-IF(TRUE=TRUE,Inputs!$B$32,0)))*(1-IF(AND(ArtifactsInput!$M$27,Inputs!$B$4="Chapter Hunt"),CHOOSE(ArtifactsInput!$N$27+1,20,24,28,32,36,40),0)/100)),0)</f>
        <v/>
      </c>
      <c r="R855">
        <f>IF(AND(Inputs!$B$38&lt;&gt;"pvp",Inputs!$B$43&gt;0),IF(MAX(0,Inputs!$B$43-B883)&lt;=0,0,(INT(MAX(0,Inputs!$B$43-B883)/(IF(Inputs!$B$38="pvp",15,MAX(0.1,Skills!D6-IF(TRUE=TRUE,Inputs!$B$32,0)))*(1-IF(AND(ArtifactsInput!$M$27,Inputs!$B$4="Chapter Hunt"),CHOOSE(ArtifactsInput!$N$27+1,20,24,28,32,36,40),0)/100)))+1)),0)</f>
        <v/>
      </c>
      <c r="S855">
        <f>IF(C855,(H855*N855*IF(AND(Inputs!$B$38&lt;&gt;"pvp",Inputs!$B$43&gt;0),((Skills!F6*((R855-1)*IF(Skills!G6&gt;0,Skills!H6/Skills!G6,1)+IF(Skills!G6&gt;0,MIN(Skills!H6,MAX(0,MAX(0,Inputs!$B$43-B883)-((R855-1)*(IF(Inputs!$B$38="pvp",15,MAX(0.1,Skills!D6-IF(TRUE=TRUE,Inputs!$B$32,0)))*(1-IF(AND(ArtifactsInput!$M$27,Inputs!$B$4="Chapter Hunt"),CHOOSE(ArtifactsInput!$N$27+1,20,24,28,32,36,40),0)/100)))))/Skills!G6,1)))/Inputs!$B$43),G855*Q855))*IF(Inputs!$B$38="pvp",1,1+(Inputs!$B$20+Skills!O6+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855*(1-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855*(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855*(1-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855*(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5">
        <f>IF(C855,(H855*N855*IF(AND(Inputs!$B$38&lt;&gt;"pvp",Inputs!$B$43&gt;0),((Skills!F6*((R855-1)*IF(Skills!G6&gt;0,Skills!H6/Skills!G6,1)+IF(Skills!G6&gt;0,MIN(Skills!H6,MAX(0,MAX(0,Inputs!$B$43-B883)-((R855-1)*(IF(Inputs!$B$38="pvp",15,MAX(0.1,Skills!D6-IF(TRUE=TRUE,Inputs!$B$32,0)))*(1-IF(AND(ArtifactsInput!$M$27,Inputs!$B$4="Chapter Hunt"),CHOOSE(ArtifactsInput!$N$27+1,20,24,28,32,36,40),0)/100)))))/Skills!G6,1)))/Inputs!$B$43),G855*Q855))*IF(Inputs!$B$38="pvp",1,(1+(Inputs!$B$21+Skills!P6+B877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6">
      <c r="A856">
        <f>Skills!A7</f>
        <v/>
      </c>
      <c r="B856">
        <f>Skills!B7</f>
        <v/>
      </c>
      <c r="C856">
        <f>Inputs!$B$3&gt;=69</f>
        <v/>
      </c>
      <c r="D856">
        <f>IF(Skills!C7=1,60+Inputs!$B$25+(Inputs!$B$29+1),IF(Skills!C7=2,90+Inputs!$B$26+(Inputs!$B$29+1),IF(Skills!C7=3,120+Inputs!$B$27+(Inputs!$B$29+1),MAX(0,(Inputs!$B$3-100)*3)+Inputs!$B$28+(Inputs!$B$29+1))))</f>
        <v/>
      </c>
      <c r="E856">
        <f>INDEX(FactorTable!$B$2:$Y$301, MATCH(ROUND(MIN(300,MAX(1,D856)),0), FactorTable!$A$2:$A$301,0), Skills!L7+1)</f>
        <v/>
      </c>
      <c r="F856">
        <f>IF(Skills!M7=TRUE,(Skills!K7/10)*(E856/1000),Skills!K7/10)+Skills!N7</f>
        <v/>
      </c>
      <c r="G856">
        <f>Calc!G7</f>
        <v/>
      </c>
      <c r="H856">
        <f>Calc!H7</f>
        <v/>
      </c>
      <c r="I856">
        <f>IF(Skills!T7&lt;&gt;"",1+(Skills!T7/10)*(Z852/1000)/100,1)</f>
        <v/>
      </c>
      <c r="J856">
        <f>((Inputs!$B$6*(1+Inputs!$B$7/100))+(((Inputs!$B$12*(1+Inputs!$B$13/100))-(Inputs!$B$12*(1+Inputs!$B$13/100)))+0.25*(Inputs!$B$14-Inputs!$B$14))*(1+Inputs!$B$7/100))*(F856/100)</f>
        <v/>
      </c>
      <c r="K856">
        <f>J856*(1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7="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856)</f>
        <v/>
      </c>
      <c r="L856">
        <f>K856*(MIN(Inputs!$B$22+(F867-Calc!F18),(Inputs!$B$23+(IF(ArtifactsInput!$M$15,CHOOSE(ArtifactsInput!$N$15+1,25,30,35,40,45,50)/100*(Inputs!$B$11-Inputs!$B$11),0))))/100+(Inputs!$B$23+(IF(ArtifactsInput!$M$15,CHOOSE(ArtifactsInput!$N$15+1,25,30,35,40,45,50)/100*(Inputs!$B$11-Inputs!$B$11),0)))/100)/2</f>
        <v/>
      </c>
      <c r="M856">
        <f>L856*(1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6">
        <f>L856*(1-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856*(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6">
        <f>(1-Summary!$B$11)*S856+Summary!$B$11*U856</f>
        <v/>
      </c>
      <c r="P856">
        <f>IF(B886=0,0,O856/B886)</f>
        <v/>
      </c>
      <c r="Q856">
        <f>IFERROR(1/(IF(Inputs!$B$38="pvp",15,MAX(0.1,Skills!D7-IF(TRUE=TRUE,Inputs!$B$32,0)))*(1-IF(AND(ArtifactsInput!$M$27,Inputs!$B$4="Chapter Hunt"),CHOOSE(ArtifactsInput!$N$27+1,20,24,28,32,36,40),0)/100)),0)</f>
        <v/>
      </c>
      <c r="R856">
        <f>IF(AND(Inputs!$B$38&lt;&gt;"pvp",Inputs!$B$43&gt;0),IF(MAX(0,Inputs!$B$43-B883)&lt;=0,0,(INT(MAX(0,Inputs!$B$43-B883)/(IF(Inputs!$B$38="pvp",15,MAX(0.1,Skills!D7-IF(TRUE=TRUE,Inputs!$B$32,0)))*(1-IF(AND(ArtifactsInput!$M$27,Inputs!$B$4="Chapter Hunt"),CHOOSE(ArtifactsInput!$N$27+1,20,24,28,32,36,40),0)/100)))+1)),0)</f>
        <v/>
      </c>
      <c r="S856">
        <f>IF(C856,(H856*N856*IF(AND(Inputs!$B$38&lt;&gt;"pvp",Inputs!$B$43&gt;0),((Skills!F7*((R856-1)*IF(Skills!G7&gt;0,Skills!H7/Skills!G7,1)+IF(Skills!G7&gt;0,MIN(Skills!H7,MAX(0,MAX(0,Inputs!$B$43-B883)-((R856-1)*(IF(Inputs!$B$38="pvp",15,MAX(0.1,Skills!D7-IF(TRUE=TRUE,Inputs!$B$32,0)))*(1-IF(AND(ArtifactsInput!$M$27,Inputs!$B$4="Chapter Hunt"),CHOOSE(ArtifactsInput!$N$27+1,20,24,28,32,36,40),0)/100)))))/Skills!G7,1)))/Inputs!$B$43),G856*Q856))*IF(Inputs!$B$38="pvp",1,1+(Inputs!$B$20+Skills!O7+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856*(1-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856*(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856*(1-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856*(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6">
        <f>IF(C856,(H856*N856*IF(AND(Inputs!$B$38&lt;&gt;"pvp",Inputs!$B$43&gt;0),((Skills!F7*((R856-1)*IF(Skills!G7&gt;0,Skills!H7/Skills!G7,1)+IF(Skills!G7&gt;0,MIN(Skills!H7,MAX(0,MAX(0,Inputs!$B$43-B883)-((R856-1)*(IF(Inputs!$B$38="pvp",15,MAX(0.1,Skills!D7-IF(TRUE=TRUE,Inputs!$B$32,0)))*(1-IF(AND(ArtifactsInput!$M$27,Inputs!$B$4="Chapter Hunt"),CHOOSE(ArtifactsInput!$N$27+1,20,24,28,32,36,40),0)/100)))))/Skills!G7,1)))/Inputs!$B$43),G856*Q856))*IF(Inputs!$B$38="pvp",1,(1+(Inputs!$B$21+Skills!P7+B877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7">
      <c r="A857">
        <f>Skills!A8</f>
        <v/>
      </c>
      <c r="B857">
        <f>Skills!B8</f>
        <v/>
      </c>
      <c r="C857">
        <f>Inputs!$B$3&gt;=103</f>
        <v/>
      </c>
      <c r="D857">
        <f>IF(Skills!C8=1,60+Inputs!$B$25+(Inputs!$B$29+1),IF(Skills!C8=2,90+Inputs!$B$26+(Inputs!$B$29+1),IF(Skills!C8=3,120+Inputs!$B$27+(Inputs!$B$29+1),MAX(0,(Inputs!$B$3-100)*3)+Inputs!$B$28+(Inputs!$B$29+1))))</f>
        <v/>
      </c>
      <c r="E857">
        <f>INDEX(FactorTable!$B$2:$Y$301, MATCH(ROUND(MIN(300,MAX(1,D857)),0), FactorTable!$A$2:$A$301,0), Skills!L8+1)</f>
        <v/>
      </c>
      <c r="F857">
        <f>IF(Skills!M8=TRUE,(Skills!K8/10)*(E857/1000),Skills!K8/10)+Skills!N8</f>
        <v/>
      </c>
      <c r="G857">
        <f>Calc!G8</f>
        <v/>
      </c>
      <c r="H857">
        <f>Calc!H8</f>
        <v/>
      </c>
      <c r="I857">
        <f>IF(Skills!T8&lt;&gt;"",1+(Skills!T8/10)*(Z852/1000)/100,1)</f>
        <v/>
      </c>
      <c r="J857">
        <f>((Inputs!$B$6*(1+Inputs!$B$7/100))+(((Inputs!$B$12*(1+Inputs!$B$13/100))-(Inputs!$B$12*(1+Inputs!$B$13/100)))+0.25*(Inputs!$B$14-Inputs!$B$14))*(1+Inputs!$B$7/100))*(F857/100)</f>
        <v/>
      </c>
      <c r="K857">
        <f>J857*(1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8="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857)</f>
        <v/>
      </c>
      <c r="L857">
        <f>K857*(MIN(Inputs!$B$22+(F867-Calc!F18),(Inputs!$B$23+(IF(ArtifactsInput!$M$15,CHOOSE(ArtifactsInput!$N$15+1,25,30,35,40,45,50)/100*(Inputs!$B$11-Inputs!$B$11),0))))/100+(Inputs!$B$23+(IF(ArtifactsInput!$M$15,CHOOSE(ArtifactsInput!$N$15+1,25,30,35,40,45,50)/100*(Inputs!$B$11-Inputs!$B$11),0)))/100)/2</f>
        <v/>
      </c>
      <c r="M857">
        <f>L857*(1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7">
        <f>L857*(1-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857*(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7">
        <f>(1-Summary!$B$11)*S857+Summary!$B$11*U857</f>
        <v/>
      </c>
      <c r="P857">
        <f>IF(B886=0,0,O857/B886)</f>
        <v/>
      </c>
      <c r="Q857">
        <f>IFERROR(1/(IF(Inputs!$B$38="pvp",15,MAX(0.1,Skills!D8-IF(TRUE=TRUE,Inputs!$B$32,0)))*(1-IF(AND(ArtifactsInput!$M$27,Inputs!$B$4="Chapter Hunt"),CHOOSE(ArtifactsInput!$N$27+1,20,24,28,32,36,40),0)/100)),0)</f>
        <v/>
      </c>
      <c r="R857">
        <f>IF(AND(Inputs!$B$38&lt;&gt;"pvp",Inputs!$B$43&gt;0),IF(MAX(0,Inputs!$B$43-B883)&lt;=0,0,(INT(MAX(0,Inputs!$B$43-B883)/(IF(Inputs!$B$38="pvp",15,MAX(0.1,Skills!D8-IF(TRUE=TRUE,Inputs!$B$32,0)))*(1-IF(AND(ArtifactsInput!$M$27,Inputs!$B$4="Chapter Hunt"),CHOOSE(ArtifactsInput!$N$27+1,20,24,28,32,36,40),0)/100)))+1)),0)</f>
        <v/>
      </c>
      <c r="S857">
        <f>IF(C857,(H857*N857*IF(AND(Inputs!$B$38&lt;&gt;"pvp",Inputs!$B$43&gt;0),((Skills!F8*((R857-1)*IF(Skills!G8&gt;0,Skills!H8/Skills!G8,1)+IF(Skills!G8&gt;0,MIN(Skills!H8,MAX(0,MAX(0,Inputs!$B$43-B883)-((R857-1)*(IF(Inputs!$B$38="pvp",15,MAX(0.1,Skills!D8-IF(TRUE=TRUE,Inputs!$B$32,0)))*(1-IF(AND(ArtifactsInput!$M$27,Inputs!$B$4="Chapter Hunt"),CHOOSE(ArtifactsInput!$N$27+1,20,24,28,32,36,40),0)/100)))))/Skills!G8,1)))/Inputs!$B$43),G857*Q857))*IF(Inputs!$B$38="pvp",1,1+(Inputs!$B$20+Skills!O8+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857*(1-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857*(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857*(1-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857*(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7">
        <f>IF(C857,(H857*N857*IF(AND(Inputs!$B$38&lt;&gt;"pvp",Inputs!$B$43&gt;0),((Skills!F8*((R857-1)*IF(Skills!G8&gt;0,Skills!H8/Skills!G8,1)+IF(Skills!G8&gt;0,MIN(Skills!H8,MAX(0,MAX(0,Inputs!$B$43-B883)-((R857-1)*(IF(Inputs!$B$38="pvp",15,MAX(0.1,Skills!D8-IF(TRUE=TRUE,Inputs!$B$32,0)))*(1-IF(AND(ArtifactsInput!$M$27,Inputs!$B$4="Chapter Hunt"),CHOOSE(ArtifactsInput!$N$27+1,20,24,28,32,36,40),0)/100)))))/Skills!G8,1)))/Inputs!$B$43),G857*Q857))*IF(Inputs!$B$38="pvp",1,(1+(Inputs!$B$21+Skills!P8+B877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8">
      <c r="A858">
        <f>Skills!A9</f>
        <v/>
      </c>
      <c r="B858">
        <f>Skills!B9</f>
        <v/>
      </c>
      <c r="C858">
        <f>Inputs!$B$3&gt;=105</f>
        <v/>
      </c>
      <c r="D858">
        <f>IF(Skills!C9=1,60+Inputs!$B$25+(Inputs!$B$29+1),IF(Skills!C9=2,90+Inputs!$B$26+(Inputs!$B$29+1),IF(Skills!C9=3,120+Inputs!$B$27+(Inputs!$B$29+1),MAX(0,(Inputs!$B$3-100)*3)+Inputs!$B$28+(Inputs!$B$29+1))))</f>
        <v/>
      </c>
      <c r="E858">
        <f>INDEX(FactorTable!$B$2:$Y$301, MATCH(ROUND(MIN(300,MAX(1,D858)),0), FactorTable!$A$2:$A$301,0), Skills!L9+1)</f>
        <v/>
      </c>
      <c r="F858">
        <f>IF(Skills!M9=TRUE,(Skills!K9/10)*(E858/1000),Skills!K9/10)+Skills!N9</f>
        <v/>
      </c>
      <c r="G858">
        <f>Calc!G9</f>
        <v/>
      </c>
      <c r="H858">
        <f>Calc!H9</f>
        <v/>
      </c>
      <c r="I858">
        <f>IF(Skills!T9&lt;&gt;"",1+(Skills!T9/10)*(Z852/1000)/100,1)</f>
        <v/>
      </c>
      <c r="J858">
        <f>((Inputs!$B$6*(1+Inputs!$B$7/100))+(((Inputs!$B$12*(1+Inputs!$B$13/100))-(Inputs!$B$12*(1+Inputs!$B$13/100)))+0.25*(Inputs!$B$14-Inputs!$B$14))*(1+Inputs!$B$7/100))*(F858/100)</f>
        <v/>
      </c>
      <c r="K858">
        <f>J858*(1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9="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858)</f>
        <v/>
      </c>
      <c r="L858">
        <f>K858*(MIN(Inputs!$B$22+(F867-Calc!F18),(Inputs!$B$23+(IF(ArtifactsInput!$M$15,CHOOSE(ArtifactsInput!$N$15+1,25,30,35,40,45,50)/100*(Inputs!$B$11-Inputs!$B$11),0))))/100+(Inputs!$B$23+(IF(ArtifactsInput!$M$15,CHOOSE(ArtifactsInput!$N$15+1,25,30,35,40,45,50)/100*(Inputs!$B$11-Inputs!$B$11),0)))/100)/2</f>
        <v/>
      </c>
      <c r="M858">
        <f>L858*(1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8">
        <f>L858*(1-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858*(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8">
        <f>(1-Summary!$B$11)*S858+Summary!$B$11*U858</f>
        <v/>
      </c>
      <c r="P858">
        <f>IF(B886=0,0,O858/B886)</f>
        <v/>
      </c>
      <c r="Q858">
        <f>IFERROR(1/(IF(Inputs!$B$38="pvp",15,MAX(0.1,Skills!D9-IF(TRUE=TRUE,Inputs!$B$32,0)))*(1-IF(AND(ArtifactsInput!$M$27,Inputs!$B$4="Chapter Hunt"),CHOOSE(ArtifactsInput!$N$27+1,20,24,28,32,36,40),0)/100)),0)</f>
        <v/>
      </c>
      <c r="R858">
        <f>IF(AND(Inputs!$B$38&lt;&gt;"pvp",Inputs!$B$43&gt;0),IF(MAX(0,Inputs!$B$43-B883)&lt;=0,0,(INT(MAX(0,Inputs!$B$43-B883)/(IF(Inputs!$B$38="pvp",15,MAX(0.1,Skills!D9-IF(TRUE=TRUE,Inputs!$B$32,0)))*(1-IF(AND(ArtifactsInput!$M$27,Inputs!$B$4="Chapter Hunt"),CHOOSE(ArtifactsInput!$N$27+1,20,24,28,32,36,40),0)/100)))+1)),0)</f>
        <v/>
      </c>
      <c r="S858">
        <f>IF(C858,(H858*N858*IF(AND(Inputs!$B$38&lt;&gt;"pvp",Inputs!$B$43&gt;0),((Skills!F9*((R858-1)*IF(Skills!G9&gt;0,Skills!H9/Skills!G9,1)+IF(Skills!G9&gt;0,MIN(Skills!H9,MAX(0,MAX(0,Inputs!$B$43-B883)-((R858-1)*(IF(Inputs!$B$38="pvp",15,MAX(0.1,Skills!D9-IF(TRUE=TRUE,Inputs!$B$32,0)))*(1-IF(AND(ArtifactsInput!$M$27,Inputs!$B$4="Chapter Hunt"),CHOOSE(ArtifactsInput!$N$27+1,20,24,28,32,36,40),0)/100)))))/Skills!G9,1)))/Inputs!$B$43),G858*Q858))*IF(Inputs!$B$38="pvp",1,1+(Inputs!$B$20+Skills!O9+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858*(1-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858*(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858*(1-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858*(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8">
        <f>IF(C858,(H858*N858*IF(AND(Inputs!$B$38&lt;&gt;"pvp",Inputs!$B$43&gt;0),((Skills!F9*((R858-1)*IF(Skills!G9&gt;0,Skills!H9/Skills!G9,1)+IF(Skills!G9&gt;0,MIN(Skills!H9,MAX(0,MAX(0,Inputs!$B$43-B883)-((R858-1)*(IF(Inputs!$B$38="pvp",15,MAX(0.1,Skills!D9-IF(TRUE=TRUE,Inputs!$B$32,0)))*(1-IF(AND(ArtifactsInput!$M$27,Inputs!$B$4="Chapter Hunt"),CHOOSE(ArtifactsInput!$N$27+1,20,24,28,32,36,40),0)/100)))))/Skills!G9,1)))/Inputs!$B$43),G858*Q858))*IF(Inputs!$B$38="pvp",1,(1+(Inputs!$B$21+Skills!P9+B877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59">
      <c r="A859">
        <f>Skills!A10</f>
        <v/>
      </c>
      <c r="B859">
        <f>Skills!B10</f>
        <v/>
      </c>
      <c r="C859">
        <f>Inputs!$B$3&gt;=113</f>
        <v/>
      </c>
      <c r="D859">
        <f>IF(Skills!C10=1,60+Inputs!$B$25+(Inputs!$B$29+1),IF(Skills!C10=2,90+Inputs!$B$26+(Inputs!$B$29+1),IF(Skills!C10=3,120+Inputs!$B$27+(Inputs!$B$29+1),MAX(0,(Inputs!$B$3-100)*3)+Inputs!$B$28+(Inputs!$B$29+1))))</f>
        <v/>
      </c>
      <c r="E859">
        <f>INDEX(FactorTable!$B$2:$Y$301, MATCH(ROUND(MIN(300,MAX(1,D859)),0), FactorTable!$A$2:$A$301,0), Skills!L10+1)</f>
        <v/>
      </c>
      <c r="F859">
        <f>IF(Skills!M10=TRUE,(Skills!K10/10)*(E859/1000),Skills!K10/10)+Skills!N10</f>
        <v/>
      </c>
      <c r="G859">
        <f>Calc!G10</f>
        <v/>
      </c>
      <c r="H859">
        <f>Calc!H10</f>
        <v/>
      </c>
      <c r="I859">
        <f>IF(Skills!T10&lt;&gt;"",1+(Skills!T10/10)*(Z852/1000)/100,1)</f>
        <v/>
      </c>
      <c r="J859">
        <f>((Inputs!$B$6*(1+Inputs!$B$7/100))+(((Inputs!$B$12*(1+Inputs!$B$13/100))-(Inputs!$B$12*(1+Inputs!$B$13/100)))+0.25*(Inputs!$B$14-Inputs!$B$14))*(1+Inputs!$B$7/100))*(F859/100)</f>
        <v/>
      </c>
      <c r="K859">
        <f>J859*(1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10="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859)</f>
        <v/>
      </c>
      <c r="L859">
        <f>K859*(MIN(Inputs!$B$22+(F867-Calc!F18),(Inputs!$B$23+(IF(ArtifactsInput!$M$15,CHOOSE(ArtifactsInput!$N$15+1,25,30,35,40,45,50)/100*(Inputs!$B$11-Inputs!$B$11),0))))/100+(Inputs!$B$23+(IF(ArtifactsInput!$M$15,CHOOSE(ArtifactsInput!$N$15+1,25,30,35,40,45,50)/100*(Inputs!$B$11-Inputs!$B$11),0)))/100)/2</f>
        <v/>
      </c>
      <c r="M859">
        <f>L859*(1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59">
        <f>L859*(1-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859*(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59">
        <f>(1-Summary!$B$11)*S859+Summary!$B$11*U859</f>
        <v/>
      </c>
      <c r="P859">
        <f>IF(B886=0,0,O859/B886)</f>
        <v/>
      </c>
      <c r="Q859">
        <f>IFERROR(1/(IF(Inputs!$B$38="pvp",15,MAX(0.1,Skills!D10-IF(TRUE=TRUE,Inputs!$B$32,0)))*(1-IF(AND(ArtifactsInput!$M$27,Inputs!$B$4="Chapter Hunt"),CHOOSE(ArtifactsInput!$N$27+1,20,24,28,32,36,40),0)/100)),0)</f>
        <v/>
      </c>
      <c r="R859" t="n">
        <v>0</v>
      </c>
      <c r="S859">
        <f>IF(C859,((H859*B887)/(1+Skills!G10*H859*B887)*N859)*IF(Inputs!$B$38="pvp",1,1+(Inputs!$B$20+Skills!O10+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859*(1-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859*(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859*(1-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859*(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59">
        <f>IF(C859,((H859*B887)/(1+Skills!G10*H859*B887)*N859)*IF(Inputs!$B$38="pvp",1,(1+(Inputs!$B$21+Skills!P10+B877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0">
      <c r="A860">
        <f>Skills!A11</f>
        <v/>
      </c>
      <c r="B860">
        <f>Skills!B11</f>
        <v/>
      </c>
      <c r="C860">
        <f>Inputs!$B$3&gt;=107</f>
        <v/>
      </c>
      <c r="D860">
        <f>IF(Skills!C11=1,60+Inputs!$B$25+(Inputs!$B$29+1),IF(Skills!C11=2,90+Inputs!$B$26+(Inputs!$B$29+1),IF(Skills!C11=3,120+Inputs!$B$27+(Inputs!$B$29+1),MAX(0,(Inputs!$B$3-100)*3)+Inputs!$B$28+(Inputs!$B$29+1))))</f>
        <v/>
      </c>
      <c r="E860">
        <f>INDEX(FactorTable!$B$2:$Y$301, MATCH(ROUND(MIN(300,MAX(1,D860)),0), FactorTable!$A$2:$A$301,0), Skills!L11+1)</f>
        <v/>
      </c>
      <c r="F860">
        <f>IF(Skills!M11=TRUE,(Skills!K11/10)*(E860/1000),Skills!K11/10)+Skills!N11</f>
        <v/>
      </c>
      <c r="G860">
        <f>Calc!G11</f>
        <v/>
      </c>
      <c r="H860">
        <f>Calc!H11</f>
        <v/>
      </c>
      <c r="I860">
        <f>IF(Skills!T11&lt;&gt;"",1+(Skills!T11/10)*(Z852/1000)/100,1)</f>
        <v/>
      </c>
      <c r="J860">
        <f>((Inputs!$B$6*(1+Inputs!$B$7/100))+(((Inputs!$B$12*(1+Inputs!$B$13/100))-(Inputs!$B$12*(1+Inputs!$B$13/100)))+0.25*(Inputs!$B$14-Inputs!$B$14))*(1+Inputs!$B$7/100))*(F860/100)</f>
        <v/>
      </c>
      <c r="K860">
        <f>J860*(1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11="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860)</f>
        <v/>
      </c>
      <c r="L860">
        <f>K860*(MIN(Inputs!$B$22+(F867-Calc!F18),(Inputs!$B$23+(IF(ArtifactsInput!$M$15,CHOOSE(ArtifactsInput!$N$15+1,25,30,35,40,45,50)/100*(Inputs!$B$11-Inputs!$B$11),0))))/100+(Inputs!$B$23+(IF(ArtifactsInput!$M$15,CHOOSE(ArtifactsInput!$N$15+1,25,30,35,40,45,50)/100*(Inputs!$B$11-Inputs!$B$11),0)))/100)/2</f>
        <v/>
      </c>
      <c r="M860">
        <f>L860*(1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0">
        <f>L860*(1-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860*(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0">
        <f>(1-Summary!$B$11)*S860+Summary!$B$11*U860</f>
        <v/>
      </c>
      <c r="P860">
        <f>IF(B886=0,0,O860/B886)</f>
        <v/>
      </c>
      <c r="Q860">
        <f>IFERROR(1/(IF(Inputs!$B$38="pvp",15,MAX(0.1,Skills!D11-IF(TRUE=TRUE,Inputs!$B$32,0)))*(1-IF(AND(ArtifactsInput!$M$27,Inputs!$B$4="Chapter Hunt"),CHOOSE(ArtifactsInput!$N$27+1,20,24,28,32,36,40),0)/100)),0)</f>
        <v/>
      </c>
      <c r="R860">
        <f>IF(AND(Inputs!$B$38&lt;&gt;"pvp",Inputs!$B$43&gt;0),IF(MAX(0,Inputs!$B$43-B883)&lt;=0,0,(INT(MAX(0,Inputs!$B$43-B883)/(IF(Inputs!$B$38="pvp",15,MAX(0.1,Skills!D11-IF(TRUE=TRUE,Inputs!$B$32,0)))*(1-IF(AND(ArtifactsInput!$M$27,Inputs!$B$4="Chapter Hunt"),CHOOSE(ArtifactsInput!$N$27+1,20,24,28,32,36,40),0)/100)))+1)),0)</f>
        <v/>
      </c>
      <c r="S860">
        <f>IF(C860,H860*N860*IF(AND(Inputs!$B$38&lt;&gt;"pvp",Inputs!$B$43&gt;0),((Skills!F11*((R860-1)*IF(Skills!G11&gt;0,Skills!H11/Skills!G11,1)+IF(Skills!G11&gt;0,MIN(Skills!H11,MAX(0,MAX(0,Inputs!$B$43-B883)-((R860-1)*(IF(Inputs!$B$38="pvp",15,MAX(0.1,Skills!D11-IF(TRUE=TRUE,Inputs!$B$32,0)))*(1-IF(AND(ArtifactsInput!$M$27,Inputs!$B$4="Chapter Hunt"),CHOOSE(ArtifactsInput!$N$27+1,20,24,28,32,36,40),0)/100)))))/Skills!G11,1)))/Inputs!$B$43),G860*Q860)*0.5*IF(Inputs!$B$38="pvp",1,1+(Inputs!$B$20+Skills!O11+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860*(1-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860*(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860*(1-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860*(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60">
        <f>IF(C860,H860*N860*IF(AND(Inputs!$B$38&lt;&gt;"pvp",Inputs!$B$43&gt;0),((Skills!F11*((R860-1)*IF(Skills!G11&gt;0,Skills!H11/Skills!G11,1)+IF(Skills!G11&gt;0,MIN(Skills!H11,MAX(0,MAX(0,Inputs!$B$43-B883)-((R860-1)*(IF(Inputs!$B$38="pvp",15,MAX(0.1,Skills!D11-IF(TRUE=TRUE,Inputs!$B$32,0)))*(1-IF(AND(ArtifactsInput!$M$27,Inputs!$B$4="Chapter Hunt"),CHOOSE(ArtifactsInput!$N$27+1,20,24,28,32,36,40),0)/100)))))/Skills!G11,1)))/Inputs!$B$43),G860*Q860)*1*IF(Inputs!$B$38="pvp",1,(1+(Inputs!$B$21+Skills!P11+B877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1">
      <c r="A861">
        <f>Skills!A12</f>
        <v/>
      </c>
      <c r="B861">
        <f>Skills!B12</f>
        <v/>
      </c>
      <c r="C861">
        <f>Inputs!$B$3&gt;=115</f>
        <v/>
      </c>
      <c r="D861">
        <f>IF(Skills!C12=1,60+Inputs!$B$25+(Inputs!$B$29+1),IF(Skills!C12=2,90+Inputs!$B$26+(Inputs!$B$29+1),IF(Skills!C12=3,120+Inputs!$B$27+(Inputs!$B$29+1),MAX(0,(Inputs!$B$3-100)*3)+Inputs!$B$28+(Inputs!$B$29+1))))</f>
        <v/>
      </c>
      <c r="E861">
        <f>INDEX(FactorTable!$B$2:$Y$301, MATCH(ROUND(MIN(300,MAX(1,D861)),0), FactorTable!$A$2:$A$301,0), Skills!L12+1)</f>
        <v/>
      </c>
      <c r="F861">
        <f>IF(Skills!M12=TRUE,(Skills!K12/10)*(E861/1000),Skills!K12/10)+Skills!N12</f>
        <v/>
      </c>
      <c r="G861">
        <f>Calc!G12</f>
        <v/>
      </c>
      <c r="H861">
        <f>Calc!H12</f>
        <v/>
      </c>
      <c r="I861">
        <f>IF(Skills!T12&lt;&gt;"",1+(Skills!T12/10)*(Z852/1000)/100,1)</f>
        <v/>
      </c>
      <c r="J861">
        <f>((Inputs!$B$6*(1+Inputs!$B$7/100))+(((Inputs!$B$12*(1+Inputs!$B$13/100))-(Inputs!$B$12*(1+Inputs!$B$13/100)))+0.25*(Inputs!$B$14-Inputs!$B$14))*(1+Inputs!$B$7/100))*(F861/100)</f>
        <v/>
      </c>
      <c r="K861">
        <f>J861*(1+((Inputs!$B$12*(1+Inputs!$B$13/100))*0.01+Inputs!$B$14*0.0025)/100)*(1+(Inputs!$B$15+B878)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864=TRUE,F864,0)/100)*(1+IF(C872=TRUE,F872,0)/100)^5*(1+(IF(Skills!A12="CHAIN_LIGHTNING",Inputs!$B$17+((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876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861)</f>
        <v/>
      </c>
      <c r="L861">
        <f>K861*(MIN(Inputs!$B$22+(F867-Calc!F18),(Inputs!$B$23+(IF(ArtifactsInput!$M$15,CHOOSE(ArtifactsInput!$N$15+1,25,30,35,40,45,50)/100*(Inputs!$B$11-Inputs!$B$11),0))))/100+(Inputs!$B$23+(IF(ArtifactsInput!$M$15,CHOOSE(ArtifactsInput!$N$15+1,25,30,35,40,45,50)/100*(Inputs!$B$11-Inputs!$B$11),0)))/100)/2</f>
        <v/>
      </c>
      <c r="M861">
        <f>L861*(1+(Inputs!$B$10+(F870-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61">
        <f>L861*(1-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861*(MIN((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61">
        <f>(1-Summary!$B$11)*S861+Summary!$B$11*U861</f>
        <v/>
      </c>
      <c r="P861">
        <f>IF(B886=0,0,O861/B886)</f>
        <v/>
      </c>
      <c r="Q861">
        <f>IFERROR(1/(IF(Inputs!$B$38="pvp",15,MAX(0.1,Skills!D12-IF(TRUE=TRUE,Inputs!$B$32,0)))*(1-IF(AND(ArtifactsInput!$M$27,Inputs!$B$4="Chapter Hunt"),CHOOSE(ArtifactsInput!$N$27+1,20,24,28,32,36,40),0)/100)),0)</f>
        <v/>
      </c>
      <c r="R861">
        <f>IF(AND(Inputs!$B$38&lt;&gt;"pvp",Inputs!$B$43&gt;0),IF(MAX(0,Inputs!$B$43-B883)&lt;=0,0,(INT(MAX(0,Inputs!$B$43-B883)/(IF(Inputs!$B$38="pvp",15,MAX(0.1,Skills!D12-IF(TRUE=TRUE,Inputs!$B$32,0)))*(1-IF(AND(ArtifactsInput!$M$27,Inputs!$B$4="Chapter Hunt"),CHOOSE(ArtifactsInput!$N$27+1,20,24,28,32,36,40),0)/100)))+1)),0)</f>
        <v/>
      </c>
      <c r="S861">
        <f>IF(C861,(H861*N861*IF(AND(Inputs!$B$38&lt;&gt;"pvp",Inputs!$B$43&gt;0),((Skills!F12*((R861-1)*IF(Skills!G12&gt;0,Skills!H12/Skills!G12,1)+IF(Skills!G12&gt;0,MIN(Skills!H12,MAX(0,MAX(0,Inputs!$B$43-B883)-((R861-1)*(IF(Inputs!$B$38="pvp",15,MAX(0.1,Skills!D12-IF(TRUE=TRUE,Inputs!$B$32,0)))*(1-IF(AND(ArtifactsInput!$M$27,Inputs!$B$4="Chapter Hunt"),CHOOSE(ArtifactsInput!$N$27+1,20,24,28,32,36,40),0)/100)))))/Skills!G12,1)))/Inputs!$B$43),G861*Q861))*IF(Inputs!$B$38="pvp",1,1+(Inputs!$B$20+Skills!O12+B877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861*(1-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861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861*(1-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861*(MIN(100,(Inputs!$B$9+((F869-Calc!F20)+(F868-Calc!F19))+(ArtifactsInput!$M$24-ArtifactsInput!$M$24)*CHOOSE(ArtifactsInput!$N$24+1,10,12,14,16,18,20)+(IF(AND(Inputs!$B$38&lt;&gt;"pvp",Inputs!$B$43=0),1,IF(IF(Inputs!$B$38="pvp",15,Inputs!$B$43)-(B883)&lt;=0,1,MAX(0,IF(Inputs!$B$38="pvp",15,Inputs!$B$43)-MAX(5,B883))/(IF(Inputs!$B$38="pvp",15,Inputs!$B$43)-(B883)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61">
        <f>IF(C861,(H861*N861*IF(AND(Inputs!$B$38&lt;&gt;"pvp",Inputs!$B$43&gt;0),((Skills!F12*((R861-1)*IF(Skills!G12&gt;0,Skills!H12/Skills!G12,1)+IF(Skills!G12&gt;0,MIN(Skills!H12,MAX(0,MAX(0,Inputs!$B$43-B883)-((R861-1)*(IF(Inputs!$B$38="pvp",15,MAX(0.1,Skills!D12-IF(TRUE=TRUE,Inputs!$B$32,0)))*(1-IF(AND(ArtifactsInput!$M$27,Inputs!$B$4="Chapter Hunt"),CHOOSE(ArtifactsInput!$N$27+1,20,24,28,32,36,40),0)/100)))))/Skills!G12,1)))/Inputs!$B$43),G861*Q861))*IF(Inputs!$B$38="pvp",1,(1+(Inputs!$B$21+Skills!P12+B877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62">
      <c r="A862">
        <f>Skills!A13</f>
        <v/>
      </c>
      <c r="B862">
        <f>Skills!B13</f>
        <v/>
      </c>
      <c r="C862">
        <f>Inputs!$B$3&gt;=49</f>
        <v/>
      </c>
      <c r="D862">
        <f>IF(Skills!C13=1,60+Inputs!$B$25+(Inputs!$B$29+1),IF(Skills!C13=2,90+Inputs!$B$26+(Inputs!$B$29+1),IF(Skills!C13=3,120+Inputs!$B$27+(Inputs!$B$29+1),MAX(0,(Inputs!$B$3-100)*3)+Inputs!$B$28+(Inputs!$B$29+1))))</f>
        <v/>
      </c>
      <c r="E862">
        <f>INDEX(FactorTable!$B$2:$Y$301, MATCH(ROUND(MIN(300,MAX(1,D862)),0), FactorTable!$A$2:$A$301,0), Skills!L13+1)</f>
        <v/>
      </c>
      <c r="F862">
        <f>IF(Skills!M13=TRUE,(Skills!K13/10)*(E862/1000),Skills!K13/10)+Skills!N13</f>
        <v/>
      </c>
      <c r="G862">
        <f>Calc!G13</f>
        <v/>
      </c>
      <c r="H862">
        <f>Calc!H13</f>
        <v/>
      </c>
      <c r="I862">
        <f>IF(Skills!T13&lt;&gt;"",1+(Skills!T13/10)*(Z852/1000)/100,1)</f>
        <v/>
      </c>
      <c r="J862" t="inlineStr"/>
      <c r="K862" t="inlineStr"/>
      <c r="L862" t="inlineStr"/>
      <c r="M862" t="inlineStr"/>
      <c r="N862" t="inlineStr"/>
      <c r="O862">
        <f>(1-Summary!$B$11)*S862+Summary!$B$11*U862</f>
        <v/>
      </c>
      <c r="P862">
        <f>IF(B886=0,0,O862/B886)</f>
        <v/>
      </c>
      <c r="Q862">
        <f>IFERROR(1/(IF(Inputs!$B$38="pvp",15,MAX(0.1,Skills!D13-IF(TRUE=TRUE,Inputs!$B$32,0)))*(1-IF(AND(ArtifactsInput!$M$27,Inputs!$B$4="Chapter Hunt"),CHOOSE(ArtifactsInput!$N$27+1,20,24,28,32,36,40),0)/100)),0)</f>
        <v/>
      </c>
      <c r="R862" t="n">
        <v>0</v>
      </c>
      <c r="S862" t="n">
        <v>0</v>
      </c>
      <c r="U862" t="n">
        <v>0</v>
      </c>
    </row>
    <row r="863">
      <c r="A863">
        <f>Skills!A14</f>
        <v/>
      </c>
      <c r="B863">
        <f>Skills!B14</f>
        <v/>
      </c>
      <c r="C863">
        <f>Inputs!$B$3&gt;=72</f>
        <v/>
      </c>
      <c r="D863">
        <f>IF(Skills!C14=1,60+Inputs!$B$25+(Inputs!$B$29+1),IF(Skills!C14=2,90+Inputs!$B$26+(Inputs!$B$29+1),IF(Skills!C14=3,120+Inputs!$B$27+(Inputs!$B$29+1),MAX(0,(Inputs!$B$3-100)*3)+Inputs!$B$28+(Inputs!$B$29+1))))</f>
        <v/>
      </c>
      <c r="E863">
        <f>INDEX(FactorTable!$B$2:$Y$301, MATCH(ROUND(MIN(300,MAX(1,D863)),0), FactorTable!$A$2:$A$301,0), Skills!L14+1)</f>
        <v/>
      </c>
      <c r="F863">
        <f>IF(Skills!M14=TRUE,(Skills!K14/10)*(E863/1000),Skills!K14/10)+Skills!N14</f>
        <v/>
      </c>
      <c r="G863">
        <f>Calc!G14</f>
        <v/>
      </c>
      <c r="H863">
        <f>Calc!H14</f>
        <v/>
      </c>
      <c r="I863">
        <f>IF(Skills!T14&lt;&gt;"",1+(Skills!T14/10)*(Z852/1000)/100,1)</f>
        <v/>
      </c>
      <c r="J863" t="inlineStr"/>
      <c r="K863" t="inlineStr"/>
      <c r="L863" t="inlineStr"/>
      <c r="M863" t="inlineStr"/>
      <c r="N863" t="inlineStr"/>
      <c r="O863">
        <f>(1-Summary!$B$11)*S863+Summary!$B$11*U863</f>
        <v/>
      </c>
      <c r="P863">
        <f>IF(B886=0,0,O863/B886)</f>
        <v/>
      </c>
      <c r="Q863">
        <f>IFERROR(1/(IF(Inputs!$B$38="pvp",15,MAX(0.1,Skills!D14-IF(TRUE=TRUE,Inputs!$B$32,0)))*(1-IF(AND(ArtifactsInput!$M$27,Inputs!$B$4="Chapter Hunt"),CHOOSE(ArtifactsInput!$N$27+1,20,24,28,32,36,40),0)/100)),0)</f>
        <v/>
      </c>
      <c r="R863" t="n">
        <v>0</v>
      </c>
      <c r="S863" t="n">
        <v>0</v>
      </c>
      <c r="U863" t="n">
        <v>0</v>
      </c>
    </row>
    <row r="864">
      <c r="A864">
        <f>Skills!A15</f>
        <v/>
      </c>
      <c r="B864">
        <f>Skills!B15</f>
        <v/>
      </c>
      <c r="C864">
        <f>Inputs!$B$3&gt;=75</f>
        <v/>
      </c>
      <c r="D864">
        <f>IF(Skills!C15=1,60+Inputs!$B$25+(Inputs!$B$29+1),IF(Skills!C15=2,90+Inputs!$B$26+(Inputs!$B$29+1),IF(Skills!C15=3,120+Inputs!$B$27+(Inputs!$B$29+1),MAX(0,(Inputs!$B$3-100)*3)+Inputs!$B$28+(Inputs!$B$29+1))))</f>
        <v/>
      </c>
      <c r="E864">
        <f>INDEX(FactorTable!$B$2:$Y$301, MATCH(ROUND(MIN(300,MAX(1,D864)),0), FactorTable!$A$2:$A$301,0), Skills!L15+1)</f>
        <v/>
      </c>
      <c r="F864">
        <f>IF(Skills!M15=TRUE,(Skills!K15/10)*(E864/1000),Skills!K15/10)+Skills!N15</f>
        <v/>
      </c>
      <c r="G864">
        <f>Calc!G15</f>
        <v/>
      </c>
      <c r="H864">
        <f>Calc!H15</f>
        <v/>
      </c>
      <c r="I864">
        <f>IF(Skills!T15&lt;&gt;"",1+(Skills!T15/10)*(Z852/1000)/100,1)</f>
        <v/>
      </c>
      <c r="J864" t="inlineStr"/>
      <c r="K864" t="inlineStr"/>
      <c r="L864" t="inlineStr"/>
      <c r="M864" t="inlineStr"/>
      <c r="N864" t="inlineStr"/>
      <c r="O864">
        <f>(1-Summary!$B$11)*S864+Summary!$B$11*U864</f>
        <v/>
      </c>
      <c r="P864">
        <f>IF(B886=0,0,O864/B886)</f>
        <v/>
      </c>
      <c r="Q864">
        <f>IFERROR(1/(IF(Inputs!$B$38="pvp",15,MAX(0.1,Skills!D15-IF(TRUE=TRUE,Inputs!$B$32,0)))*(1-IF(AND(ArtifactsInput!$M$27,Inputs!$B$4="Chapter Hunt"),CHOOSE(ArtifactsInput!$N$27+1,20,24,28,32,36,40),0)/100)),0)</f>
        <v/>
      </c>
      <c r="R864" t="n">
        <v>0</v>
      </c>
      <c r="S864" t="n">
        <v>0</v>
      </c>
      <c r="U864" t="n">
        <v>0</v>
      </c>
    </row>
    <row r="865">
      <c r="A865">
        <f>Skills!A16</f>
        <v/>
      </c>
      <c r="B865">
        <f>Skills!B16</f>
        <v/>
      </c>
      <c r="C865">
        <f>Inputs!$B$3&gt;=110</f>
        <v/>
      </c>
      <c r="D865">
        <f>IF(Skills!C16=1,60+Inputs!$B$25+(Inputs!$B$29+1),IF(Skills!C16=2,90+Inputs!$B$26+(Inputs!$B$29+1),IF(Skills!C16=3,120+Inputs!$B$27+(Inputs!$B$29+1),MAX(0,(Inputs!$B$3-100)*3)+Inputs!$B$28+(Inputs!$B$29+1))))</f>
        <v/>
      </c>
      <c r="E865">
        <f>INDEX(FactorTable!$B$2:$Y$301, MATCH(ROUND(MIN(300,MAX(1,D865)),0), FactorTable!$A$2:$A$301,0), Skills!L16+1)</f>
        <v/>
      </c>
      <c r="F865">
        <f>(Skills!K16/10)*(E865/1000)*64/45+Skills!N16</f>
        <v/>
      </c>
      <c r="G865">
        <f>Calc!G16</f>
        <v/>
      </c>
      <c r="H865">
        <f>Calc!H16</f>
        <v/>
      </c>
      <c r="I865">
        <f>IF(Skills!T16&lt;&gt;"",1+(Skills!T16/10)*(Z852/1000)/100,1)</f>
        <v/>
      </c>
      <c r="J865" t="inlineStr"/>
      <c r="K865" t="inlineStr"/>
      <c r="L865" t="inlineStr"/>
      <c r="M865" t="inlineStr"/>
      <c r="N865" t="inlineStr"/>
      <c r="O865">
        <f>(1-Summary!$B$11)*S865+Summary!$B$11*U865</f>
        <v/>
      </c>
      <c r="P865">
        <f>IF(B886=0,0,O865/B886)</f>
        <v/>
      </c>
      <c r="Q865">
        <f>IFERROR(1/(IF(Inputs!$B$38="pvp",15,MAX(0.1,Skills!D16-IF(TRUE=TRUE,Inputs!$B$32,0)))*(1-IF(AND(ArtifactsInput!$M$27,Inputs!$B$4="Chapter Hunt"),CHOOSE(ArtifactsInput!$N$27+1,20,24,28,32,36,40),0)/100)),0)</f>
        <v/>
      </c>
      <c r="R865">
        <f>IF(AND(Inputs!$B$38&lt;&gt;"pvp",Inputs!$B$43&gt;0),IF(Inputs!$B$43&lt;=0,0,(INT(Inputs!$B$43/(IF(Inputs!$B$38="pvp",15,MAX(0.1,Skills!D16-IF(TRUE=TRUE,Inputs!$B$32,0)))*(1-IF(AND(ArtifactsInput!$M$27,Inputs!$B$4="Chapter Hunt"),CHOOSE(ArtifactsInput!$N$27+1,20,24,28,32,36,40),0)/100)))+1)),0)</f>
        <v/>
      </c>
      <c r="S865" t="n">
        <v>0</v>
      </c>
      <c r="U865" t="n">
        <v>0</v>
      </c>
    </row>
    <row r="866">
      <c r="A866">
        <f>Skills!A17</f>
        <v/>
      </c>
      <c r="B866">
        <f>Skills!B17</f>
        <v/>
      </c>
      <c r="C866">
        <f>Inputs!$B$3&gt;=33</f>
        <v/>
      </c>
      <c r="D866">
        <f>IF(Skills!C17=1,60+Inputs!$B$25+(Inputs!$B$29+1),IF(Skills!C17=2,90+Inputs!$B$26+(Inputs!$B$29+1),IF(Skills!C17=3,120+Inputs!$B$27+(Inputs!$B$29+1),MAX(0,(Inputs!$B$3-100)*3)+Inputs!$B$28+(Inputs!$B$29+1))))</f>
        <v/>
      </c>
      <c r="E866">
        <f>INDEX(FactorTable!$B$2:$Y$301, MATCH(ROUND(MIN(300,MAX(1,D866)),0), FactorTable!$A$2:$A$301,0), Skills!L17+1)</f>
        <v/>
      </c>
      <c r="F866">
        <f>IF(Skills!M17=TRUE,(Skills!K17/10)*(E866/1000),Skills!K17/10)+Skills!N17</f>
        <v/>
      </c>
      <c r="G866">
        <f>Calc!G17</f>
        <v/>
      </c>
      <c r="H866">
        <f>Calc!H17</f>
        <v/>
      </c>
      <c r="I866">
        <f>IF(Skills!T17&lt;&gt;"",1+(Skills!T17/10)*(Z852/1000)/100,1)</f>
        <v/>
      </c>
      <c r="J866" t="inlineStr"/>
      <c r="K866" t="inlineStr"/>
      <c r="L866" t="inlineStr"/>
      <c r="M866" t="inlineStr"/>
      <c r="N866" t="inlineStr"/>
      <c r="O866">
        <f>(1-Summary!$B$11)*S866+Summary!$B$11*U866</f>
        <v/>
      </c>
      <c r="P866">
        <f>IF(B886=0,0,O866/B886)</f>
        <v/>
      </c>
      <c r="Q866">
        <f>IFERROR(1/(IF(Inputs!$B$38="pvp",15,MAX(0.1,Skills!D17-IF(TRUE=TRUE,Inputs!$B$32,0)))*(1-IF(AND(ArtifactsInput!$M$27,Inputs!$B$4="Chapter Hunt"),CHOOSE(ArtifactsInput!$N$27+1,20,24,28,32,36,40),0)/100)),0)</f>
        <v/>
      </c>
      <c r="R866" t="n">
        <v>0</v>
      </c>
      <c r="S866" t="n">
        <v>0</v>
      </c>
      <c r="U866" t="n">
        <v>0</v>
      </c>
    </row>
    <row r="867">
      <c r="A867">
        <f>Skills!A18</f>
        <v/>
      </c>
      <c r="B867">
        <f>Skills!B18</f>
        <v/>
      </c>
      <c r="C867">
        <f>Inputs!$B$3&gt;=43</f>
        <v/>
      </c>
      <c r="D867">
        <f>IF(Skills!C18=1,60+Inputs!$B$25+(Inputs!$B$29+1),IF(Skills!C18=2,90+Inputs!$B$26+(Inputs!$B$29+1),IF(Skills!C18=3,120+Inputs!$B$27+(Inputs!$B$29+1),MAX(0,(Inputs!$B$3-100)*3)+Inputs!$B$28+(Inputs!$B$29+1))))</f>
        <v/>
      </c>
      <c r="E867">
        <f>INDEX(FactorTable!$B$2:$Y$301, MATCH(ROUND(MIN(300,MAX(1,D867)),0), FactorTable!$A$2:$A$301,0), Skills!L18+1)</f>
        <v/>
      </c>
      <c r="F867">
        <f>IF(Skills!M18=TRUE,(Skills!K18/10)*(E867/1000),Skills!K18/10)+Skills!N18</f>
        <v/>
      </c>
      <c r="G867">
        <f>Calc!G18</f>
        <v/>
      </c>
      <c r="H867">
        <f>Calc!H18</f>
        <v/>
      </c>
      <c r="I867">
        <f>IF(Skills!T18&lt;&gt;"",1+(Skills!T18/10)*(Z852/1000)/100,1)</f>
        <v/>
      </c>
      <c r="J867" t="inlineStr"/>
      <c r="K867" t="inlineStr"/>
      <c r="L867" t="inlineStr"/>
      <c r="M867" t="inlineStr"/>
      <c r="N867" t="inlineStr"/>
      <c r="O867">
        <f>(1-Summary!$B$11)*S867+Summary!$B$11*U867</f>
        <v/>
      </c>
      <c r="P867">
        <f>IF(B886=0,0,O867/B886)</f>
        <v/>
      </c>
      <c r="Q867">
        <f>IFERROR(1/(IF(Inputs!$B$38="pvp",15,MAX(0.1,Skills!D18-IF(TRUE=TRUE,Inputs!$B$32,0)))*(1-IF(AND(ArtifactsInput!$M$27,Inputs!$B$4="Chapter Hunt"),CHOOSE(ArtifactsInput!$N$27+1,20,24,28,32,36,40),0)/100)),0)</f>
        <v/>
      </c>
      <c r="R867" t="n">
        <v>0</v>
      </c>
      <c r="S867" t="n">
        <v>0</v>
      </c>
      <c r="U867" t="n">
        <v>0</v>
      </c>
    </row>
    <row r="868">
      <c r="A868">
        <f>Skills!A19</f>
        <v/>
      </c>
      <c r="B868">
        <f>Skills!B19</f>
        <v/>
      </c>
      <c r="C868">
        <f>Inputs!$B$3&gt;=50</f>
        <v/>
      </c>
      <c r="D868">
        <f>IF(Skills!C19=1,60+Inputs!$B$25+(Inputs!$B$29+1),IF(Skills!C19=2,90+Inputs!$B$26+(Inputs!$B$29+1),IF(Skills!C19=3,120+Inputs!$B$27+(Inputs!$B$29+1),MAX(0,(Inputs!$B$3-100)*3)+Inputs!$B$28+(Inputs!$B$29+1))))</f>
        <v/>
      </c>
      <c r="E868">
        <f>INDEX(FactorTable!$B$2:$Y$301, MATCH(ROUND(MIN(300,MAX(1,D868)),0), FactorTable!$A$2:$A$301,0), Skills!L19+1)</f>
        <v/>
      </c>
      <c r="F868">
        <f>IF(Skills!M19=TRUE,(Skills!K19/10)*(E868/1000),Skills!K19/10)+Skills!N19</f>
        <v/>
      </c>
      <c r="G868">
        <f>Calc!G19</f>
        <v/>
      </c>
      <c r="H868">
        <f>Calc!H19</f>
        <v/>
      </c>
      <c r="I868">
        <f>IF(Skills!T19&lt;&gt;"",1+(Skills!T19/10)*(Z852/1000)/100,1)</f>
        <v/>
      </c>
      <c r="J868" t="inlineStr"/>
      <c r="K868" t="inlineStr"/>
      <c r="L868" t="inlineStr"/>
      <c r="M868" t="inlineStr"/>
      <c r="N868" t="inlineStr"/>
      <c r="O868">
        <f>(1-Summary!$B$11)*S868+Summary!$B$11*U868</f>
        <v/>
      </c>
      <c r="P868">
        <f>IF(B886=0,0,O868/B886)</f>
        <v/>
      </c>
      <c r="Q868">
        <f>IFERROR(1/(IF(Inputs!$B$38="pvp",15,MAX(0.1,Skills!D19-IF(TRUE=TRUE,Inputs!$B$32,0)))*(1-IF(AND(ArtifactsInput!$M$27,Inputs!$B$4="Chapter Hunt"),CHOOSE(ArtifactsInput!$N$27+1,20,24,28,32,36,40),0)/100)),0)</f>
        <v/>
      </c>
      <c r="R868" t="n">
        <v>0</v>
      </c>
      <c r="S868" t="n">
        <v>0</v>
      </c>
      <c r="U868" t="n">
        <v>0</v>
      </c>
    </row>
    <row r="869">
      <c r="A869">
        <f>Skills!A20</f>
        <v/>
      </c>
      <c r="B869">
        <f>Skills!B20</f>
        <v/>
      </c>
      <c r="C869">
        <f>Inputs!$B$3&gt;=74</f>
        <v/>
      </c>
      <c r="D869">
        <f>IF(Skills!C20=1,60+Inputs!$B$25+(Inputs!$B$29+1),IF(Skills!C20=2,90+Inputs!$B$26+(Inputs!$B$29+1),IF(Skills!C20=3,120+Inputs!$B$27+(Inputs!$B$29+1),MAX(0,(Inputs!$B$3-100)*3)+Inputs!$B$28+(Inputs!$B$29+1))))</f>
        <v/>
      </c>
      <c r="E869">
        <f>INDEX(FactorTable!$B$2:$Y$301, MATCH(ROUND(MIN(300,MAX(1,D869)),0), FactorTable!$A$2:$A$301,0), Skills!L20+1)</f>
        <v/>
      </c>
      <c r="F869">
        <f>IF(Skills!M20=TRUE,(Skills!K20/10)*(E869/1000),Skills!K20/10)+Skills!N20</f>
        <v/>
      </c>
      <c r="G869">
        <f>Calc!G20</f>
        <v/>
      </c>
      <c r="H869">
        <f>Calc!H20</f>
        <v/>
      </c>
      <c r="I869">
        <f>IF(Skills!T20&lt;&gt;"",1+(Skills!T20/10)*(Z852/1000)/100,1)</f>
        <v/>
      </c>
      <c r="J869" t="inlineStr"/>
      <c r="K869" t="inlineStr"/>
      <c r="L869" t="inlineStr"/>
      <c r="M869" t="inlineStr"/>
      <c r="N869" t="inlineStr"/>
      <c r="O869">
        <f>(1-Summary!$B$11)*S869+Summary!$B$11*U869</f>
        <v/>
      </c>
      <c r="P869">
        <f>IF(B886=0,0,O869/B886)</f>
        <v/>
      </c>
      <c r="Q869">
        <f>IFERROR(1/(IF(Inputs!$B$38="pvp",15,MAX(0.1,Skills!D20-IF(TRUE=TRUE,Inputs!$B$32,0)))*(1-IF(AND(ArtifactsInput!$M$27,Inputs!$B$4="Chapter Hunt"),CHOOSE(ArtifactsInput!$N$27+1,20,24,28,32,36,40),0)/100)),0)</f>
        <v/>
      </c>
      <c r="R869" t="n">
        <v>0</v>
      </c>
      <c r="S869" t="n">
        <v>0</v>
      </c>
      <c r="U869" t="n">
        <v>0</v>
      </c>
    </row>
    <row r="870">
      <c r="A870">
        <f>Skills!A21</f>
        <v/>
      </c>
      <c r="B870">
        <f>Skills!B21</f>
        <v/>
      </c>
      <c r="C870">
        <f>Inputs!$B$3&gt;=74</f>
        <v/>
      </c>
      <c r="D870">
        <f>IF(Skills!C21=1,60+Inputs!$B$25+(Inputs!$B$29+1),IF(Skills!C21=2,90+Inputs!$B$26+(Inputs!$B$29+1),IF(Skills!C21=3,120+Inputs!$B$27+(Inputs!$B$29+1),MAX(0,(Inputs!$B$3-100)*3)+Inputs!$B$28+(Inputs!$B$29+1))))</f>
        <v/>
      </c>
      <c r="E870">
        <f>INDEX(FactorTable!$B$2:$Y$301, MATCH(ROUND(MIN(300,MAX(1,D870)),0), FactorTable!$A$2:$A$301,0), Skills!L21+1)</f>
        <v/>
      </c>
      <c r="F870">
        <f>IF(Skills!M21=TRUE,(Skills!K21/10)*(E870/1000),Skills!K21/10)+Skills!N21</f>
        <v/>
      </c>
      <c r="G870">
        <f>Calc!G21</f>
        <v/>
      </c>
      <c r="H870">
        <f>Calc!H21</f>
        <v/>
      </c>
      <c r="I870">
        <f>IF(Skills!T21&lt;&gt;"",1+(Skills!T21/10)*(Z852/1000)/100,1)</f>
        <v/>
      </c>
      <c r="J870" t="inlineStr"/>
      <c r="K870" t="inlineStr"/>
      <c r="L870" t="inlineStr"/>
      <c r="M870" t="inlineStr"/>
      <c r="N870" t="inlineStr"/>
      <c r="O870">
        <f>(1-Summary!$B$11)*S870+Summary!$B$11*U870</f>
        <v/>
      </c>
      <c r="P870">
        <f>IF(B886=0,0,O870/B886)</f>
        <v/>
      </c>
      <c r="Q870">
        <f>IFERROR(1/(IF(Inputs!$B$38="pvp",15,MAX(0.1,Skills!D21-IF(TRUE=TRUE,Inputs!$B$32,0)))*(1-IF(AND(ArtifactsInput!$M$27,Inputs!$B$4="Chapter Hunt"),CHOOSE(ArtifactsInput!$N$27+1,20,24,28,32,36,40),0)/100)),0)</f>
        <v/>
      </c>
      <c r="R870" t="n">
        <v>0</v>
      </c>
      <c r="S870" t="n">
        <v>0</v>
      </c>
      <c r="U870" t="n">
        <v>0</v>
      </c>
    </row>
    <row r="871">
      <c r="A871">
        <f>Skills!A22</f>
        <v/>
      </c>
      <c r="B871">
        <f>Skills!B22</f>
        <v/>
      </c>
      <c r="C871">
        <f>Inputs!$B$3&gt;=117</f>
        <v/>
      </c>
      <c r="D871">
        <f>IF(Skills!C22=1,60+Inputs!$B$25+(Inputs!$B$29+1),IF(Skills!C22=2,90+Inputs!$B$26+(Inputs!$B$29+1),IF(Skills!C22=3,120+Inputs!$B$27+(Inputs!$B$29+1),MAX(0,(Inputs!$B$3-100)*3)+Inputs!$B$28+(Inputs!$B$29+1))))</f>
        <v/>
      </c>
      <c r="E871">
        <f>INDEX(FactorTable!$B$2:$Y$301, MATCH(ROUND(MIN(300,MAX(1,D871)),0), FactorTable!$A$2:$A$301,0), Skills!L22+1)</f>
        <v/>
      </c>
      <c r="F871">
        <f>IF(Skills!M22=TRUE,(Skills!K22/10)*(E871/1000),Skills!K22/10)+Skills!N22</f>
        <v/>
      </c>
      <c r="G871">
        <f>Calc!G22</f>
        <v/>
      </c>
      <c r="H871">
        <f>Calc!H22</f>
        <v/>
      </c>
      <c r="I871">
        <f>IF(Skills!T22&lt;&gt;"",1+(Skills!T22/10)*(Z852/1000)/100,1)</f>
        <v/>
      </c>
      <c r="J871" t="inlineStr"/>
      <c r="K871" t="inlineStr"/>
      <c r="L871" t="inlineStr"/>
      <c r="M871" t="inlineStr"/>
      <c r="N871" t="inlineStr"/>
      <c r="O871">
        <f>(1-Summary!$B$11)*S871+Summary!$B$11*U871</f>
        <v/>
      </c>
      <c r="P871">
        <f>IF(B886=0,0,O871/B886)</f>
        <v/>
      </c>
      <c r="Q871">
        <f>IFERROR(1/(IF(Inputs!$B$38="pvp",15,MAX(0.1,Skills!D22-IF(TRUE=TRUE,Inputs!$B$32,0)))*(1-IF(AND(ArtifactsInput!$M$27,Inputs!$B$4="Chapter Hunt"),CHOOSE(ArtifactsInput!$N$27+1,20,24,28,32,36,40),0)/100)),0)</f>
        <v/>
      </c>
      <c r="R871" t="n">
        <v>0</v>
      </c>
      <c r="S871" t="n">
        <v>0</v>
      </c>
      <c r="U871" t="n">
        <v>0</v>
      </c>
    </row>
    <row r="872">
      <c r="A872">
        <f>Skills!A23</f>
        <v/>
      </c>
      <c r="B872">
        <f>Skills!B23</f>
        <v/>
      </c>
      <c r="C872">
        <f>Inputs!$B$3&gt;=120</f>
        <v/>
      </c>
      <c r="D872">
        <f>IF(Skills!C23=1,60+Inputs!$B$25+(Inputs!$B$29+1),IF(Skills!C23=2,90+Inputs!$B$26+(Inputs!$B$29+1),IF(Skills!C23=3,120+Inputs!$B$27+(Inputs!$B$29+1),MAX(0,(Inputs!$B$3-100)*3)+Inputs!$B$28+(Inputs!$B$29+1))))</f>
        <v/>
      </c>
      <c r="E872">
        <f>INDEX(FactorTable!$B$2:$Y$301, MATCH(ROUND(MIN(300,MAX(1,D872)),0), FactorTable!$A$2:$A$301,0), Skills!L23+1)</f>
        <v/>
      </c>
      <c r="F872">
        <f>IF(Skills!M23=TRUE,(Skills!K23/10)*(E872/1000),Skills!K23/10)+Skills!N23</f>
        <v/>
      </c>
      <c r="G872">
        <f>Calc!G23</f>
        <v/>
      </c>
      <c r="H872">
        <f>Calc!H23</f>
        <v/>
      </c>
      <c r="I872">
        <f>IF(Skills!T23&lt;&gt;"",1+(Skills!T23/10)*(Z852/1000)/100,1)</f>
        <v/>
      </c>
      <c r="J872" t="inlineStr"/>
      <c r="K872" t="inlineStr"/>
      <c r="L872" t="inlineStr"/>
      <c r="M872" t="inlineStr"/>
      <c r="N872" t="inlineStr"/>
      <c r="O872">
        <f>(1-Summary!$B$11)*S872+Summary!$B$11*U872</f>
        <v/>
      </c>
      <c r="P872">
        <f>IF(B886=0,0,O872/B886)</f>
        <v/>
      </c>
      <c r="Q872">
        <f>IFERROR(1/(IF(Inputs!$B$38="pvp",15,MAX(0.1,Skills!D23-IF(TRUE=TRUE,Inputs!$B$32,0)))*(1-IF(AND(ArtifactsInput!$M$27,Inputs!$B$4="Chapter Hunt"),CHOOSE(ArtifactsInput!$N$27+1,20,24,28,32,36,40),0)/100)),0)</f>
        <v/>
      </c>
      <c r="R872" t="n">
        <v>0</v>
      </c>
      <c r="S872" t="n">
        <v>0</v>
      </c>
      <c r="U872" t="n">
        <v>0</v>
      </c>
    </row>
    <row r="873">
      <c r="A873">
        <f>Skills!A24</f>
        <v/>
      </c>
      <c r="B873">
        <f>Skills!B24</f>
        <v/>
      </c>
      <c r="C873">
        <f>TRUE</f>
        <v/>
      </c>
      <c r="D873">
        <f>IF(Skills!C24=1,60+Inputs!$B$25+(Inputs!$B$29+1),IF(Skills!C24=2,90+Inputs!$B$26+(Inputs!$B$29+1),IF(Skills!C24=3,120+Inputs!$B$27+(Inputs!$B$29+1),MAX(0,(Inputs!$B$3-100)*3)+Inputs!$B$28+(Inputs!$B$29+1))))</f>
        <v/>
      </c>
      <c r="E873">
        <f>INDEX(FactorTable!$B$2:$Y$301, MATCH(ROUND(MIN(300,MAX(1,D873)),0), FactorTable!$A$2:$A$301,0), Skills!L24+1)</f>
        <v/>
      </c>
      <c r="F873">
        <f>IF(Skills!M24=TRUE,(Skills!K24/10)*(E873/1000),Skills!K24/10)+Skills!N24</f>
        <v/>
      </c>
      <c r="G873">
        <f>Calc!G24</f>
        <v/>
      </c>
      <c r="H873">
        <f>Calc!H24</f>
        <v/>
      </c>
      <c r="I873">
        <f>IF(Skills!T24&lt;&gt;"",1+(Skills!T24/10)*(Z852/1000)/100,1)</f>
        <v/>
      </c>
      <c r="J873" t="inlineStr"/>
      <c r="K873" t="inlineStr"/>
      <c r="L873" t="inlineStr"/>
      <c r="M873" t="inlineStr"/>
      <c r="N873" t="inlineStr"/>
      <c r="O873">
        <f>(1-Summary!$B$11)*S873+Summary!$B$11*U873</f>
        <v/>
      </c>
      <c r="P873">
        <f>IF(B886=0,0,O873/B886)</f>
        <v/>
      </c>
      <c r="Q873">
        <f>IFERROR(1/(IF(Inputs!$B$38="pvp",15,MAX(0.1,Skills!D24-IF(TRUE=TRUE,Inputs!$B$32,0)))*(1-IF(AND(ArtifactsInput!$M$27,Inputs!$B$4="Chapter Hunt"),CHOOSE(ArtifactsInput!$N$27+1,20,24,28,32,36,40),0)/100)),0)</f>
        <v/>
      </c>
      <c r="R873">
        <f>IF(AND(Inputs!$B$38&lt;&gt;"pvp",Inputs!$B$43&gt;0),IF(Inputs!$B$43&lt;=0,0,(INT(Inputs!$B$43/(IF(Inputs!$B$38="pvp",15,MAX(0.1,Skills!D24-IF(TRUE=TRUE,Inputs!$B$32,0)))*(1-IF(AND(ArtifactsInput!$M$27,Inputs!$B$4="Chapter Hunt"),CHOOSE(ArtifactsInput!$N$27+1,20,24,28,32,36,40),0)/100)))+1)),0)</f>
        <v/>
      </c>
      <c r="S873" t="n">
        <v>0</v>
      </c>
      <c r="U873" t="n">
        <v>0</v>
      </c>
    </row>
    <row r="876">
      <c r="A876" t="inlineStr">
        <is>
          <t>Average Buff Multiplier (Magic Guard + Meditation + Artifact Attack%, summed; then Infinity)</t>
        </is>
      </c>
      <c r="B876">
        <f>(1+(IF(C852=TRUE,F852*IF(AND(Inputs!$B$38&lt;&gt;"pvp",Inputs!$B$43&gt;0),(((R852-1)*MIN((Skills!S3*(1+(Inputs!$B$34)/100)),(1/Q852))+MIN((Skills!S3*(1+(Inputs!$B$34)/100)),MAX(0,Inputs!$B$43-((R852-1)*(1/Q852)))))/Inputs!$B$43),IF(Inputs!$B$38="pvp",MIN((Skills!S3*(1+(Inputs!$B$34)/100)),15)/15,MIN(1,(Skills!S3*(1+(Inputs!$B$34)/100))/(1/Q852)))),0)+IF(C853=TRUE,F853*IF(AND(Inputs!$B$38&lt;&gt;"pvp",Inputs!$B$43&gt;0),(((R853-1)*MIN((Skills!S4*(1+(Inputs!$B$34)/100)),(1/Q853))+MIN((Skills!S4*(1+(Inputs!$B$34)/100)),MAX(0,Inputs!$B$43-((R853-1)*(1/Q853)))))/Inputs!$B$43),IF(Inputs!$B$38="pvp",MIN((Skills!S4*(1+(Inputs!$B$34)/100)),15)/15,MIN(1,(Skills!S4*(1+(Inputs!$B$34)/100))/(1/Q853)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865=TRUE,(1+F865*IF(AND(Inputs!$B$38&lt;&gt;"pvp",Inputs!$B$43&gt;0),(((R865-1)*MIN((Skills!S16*(1+(Inputs!$B$34)/100)),(1/Q865))+MIN((Skills!S16*(1+(Inputs!$B$34)/100)),MAX(0,Inputs!$B$43-((R865-1)*(1/Q865)))))/Inputs!$B$43),IF(Inputs!$B$38="pvp",MIN((Skills!S16*(1+(Inputs!$B$34)/100)),15)/15,MIN(1,(Skills!S16*(1+(Inputs!$B$34)/100))/(1/Q865))))/100),1)</f>
        <v/>
      </c>
    </row>
    <row r="877">
      <c r="A877" t="inlineStr">
        <is>
          <t>Monster Damage Taken Bonus % (Freezing Breath - Weaken + Elemental Reset + Artifact Enemy Damage Taken, summed)</t>
        </is>
      </c>
      <c r="B877">
        <f>IF(Inputs!$B$3&gt;=118,15*IF(Inputs!$B$38="pvp",MIN((30*(1+(Inputs!$B$34)/100)),15)/15,MIN(1,(30*(1+(Inputs!$B$34)/100))/(1/Q857))),0)+IF(C863=TRUE,F863,0)+(IF(AND(ArtifactsInput!$M$35,Inputs!$B$4&lt;&gt;"Chapter Hunt"),CHOOSE(ArtifactsInput!$N$35+1,15,18,21,24,27,30)*(1-EXP(-(0.2*B880)*5)),0)+IF(AND(ArtifactsInput!$M$22,Inputs!$B$4&lt;&gt;"Chapter Hunt"),CHOOSE(ArtifactsInput!$N$22+1,10,12,14,16,18,20)*((0*(((0.15*B880*5))^0/1)+1*(((0.15*B880*5))^1/1)+2*(((0.15*B880*5))^2/2)+3*(((0.15*B880*5))^3/6)+4*(((0.15*B880*5))^4/24)+5*(((0.15*B880*5))^5/120))/((((0.15*B880*5))^0/1)+(((0.15*B880*5))^1/1)+(((0.15*B880*5))^2/2)+(((0.15*B880*5))^3/6)+(((0.15*B880*5))^4/24)+(((0.15*B880*5))^5/120))),0))</f>
        <v/>
      </c>
    </row>
    <row r="878">
      <c r="A878" t="inlineStr">
        <is>
          <t>Damage % Bonus (Frozen Break + Frost Clutch, flat)</t>
        </is>
      </c>
      <c r="B878">
        <f>IF(Inputs!$B$3&gt;=66,15,0)+IF(Inputs!$B$3&gt;=98,10,0)+IF(Inputs!$B$3&gt;=125,20,0)</f>
        <v/>
      </c>
    </row>
    <row r="879">
      <c r="A879" t="inlineStr">
        <is>
          <t>Attack Speed Bonus % (MP Eater - MP Boost, always-on + Nimble Feet, duty-cycle averaged)</t>
        </is>
      </c>
      <c r="B879">
        <f>IF(C862=TRUE,F862+(F866-Calc!F17),0)+((C873=TRUE)*F873*IF(AND(Inputs!$B$38&lt;&gt;"pvp",Inputs!$B$43&gt;0),(((R873-1)*MIN((Skills!S24*(1+(Inputs!$B$34)/100)),(1/Q873))+MIN((Skills!S24*(1+(Inputs!$B$34)/100)),MAX(0,Inputs!$B$43-((R873-1)*(1/Q873)))))/Inputs!$B$43),IF(Inputs!$B$38="pvp",MIN((Skills!S24*(1+(Inputs!$B$34)/100)),15)/15,MIN(1,(Skills!S24*(1+(Inputs!$B$34)/100))/(1/Q873)))))</f>
        <v/>
      </c>
    </row>
    <row r="880">
      <c r="A880" t="inlineStr">
        <is>
          <t>Actions Per Second</t>
        </is>
      </c>
      <c r="B880">
        <f>1+MIN(150,150*(1-(1-(Inputs!$B$11+(ArtifactsInput!$M$15-ArtifactsInput!$M$15)*CHOOSE(ArtifactsInput!$N$15+1,8,9.6,11.2,12.8,14.4,16))/150)*(1-B879/150)))/100</f>
        <v/>
      </c>
    </row>
    <row r="881">
      <c r="A881" t="inlineStr">
        <is>
          <t>Skill + Buff Cast Rate</t>
        </is>
      </c>
      <c r="B881">
        <f>IF(AND(Inputs!$B$38&lt;&gt;"pvp",Inputs!$B$43&gt;0),SUMPRODUCT((Skills!E2:E24=TRUE)*(C851:C873=TRUE)*R851:R873)/Inputs!$B$43,SUMPRODUCT((Skills!E2:E24=TRUE)*(C851:C873=TRUE)*Q851:Q873))</f>
        <v/>
      </c>
    </row>
    <row r="882">
      <c r="A882" t="inlineStr">
        <is>
          <t>Chain Lightning Casts Per Second</t>
        </is>
      </c>
      <c r="B882">
        <f>MAX(0,B880-B881)</f>
        <v/>
      </c>
    </row>
    <row r="883">
      <c r="A883" t="inlineStr">
        <is>
          <t>Buff-Casting Startup Delay (s, fixed-duration only)</t>
        </is>
      </c>
      <c r="B883">
        <f>IF(AND(Inputs!$B$38&lt;&gt;"pvp",Inputs!$B$43&gt;0),SUMPRODUCT((Skills!S2:S24&gt;0)*(Skills!E2:E24=TRUE)*(C851:C873=TRUE))/B880,0)</f>
        <v/>
      </c>
    </row>
    <row r="884">
      <c r="A884" t="inlineStr">
        <is>
          <t>Boss-Only Total DPS (this block's swept value)</t>
        </is>
      </c>
      <c r="B884">
        <f>SUM(S851:S873)</f>
        <v/>
      </c>
    </row>
    <row r="885">
      <c r="A885" t="inlineStr">
        <is>
          <t>Normal-Only Total DPS (this block's swept value)</t>
        </is>
      </c>
      <c r="B885">
        <f>SUM(U851:U873)</f>
        <v/>
      </c>
    </row>
    <row r="886">
      <c r="A886" s="6" t="inlineStr">
        <is>
          <t>TOTAL DPS</t>
        </is>
      </c>
      <c r="B886" s="6">
        <f>SUM(O851:O873)</f>
        <v/>
      </c>
    </row>
    <row r="887">
      <c r="A887" t="inlineStr">
        <is>
          <t>Blizzard Final Attack trigger rate (this block's own Q/R)</t>
        </is>
      </c>
      <c r="B887">
        <f>IF(AND(Inputs!$B$38&lt;&gt;"pvp",Inputs!$B$43&gt;0),(((C854=TRUE)*R854*1)+((C855=TRUE)*R855*1)+((C857=TRUE)*R857*1)+((C858=TRUE)*R858*3)+((C860=TRUE)*R860*1))/Inputs!$B$43,((C854=TRUE)*Q854*1)+((C855=TRUE)*Q855*1)+((C857=TRUE)*Q857*1)+((C858=TRUE)*Q858*3)+((C860=TRUE)*Q860*1))+B882</f>
        <v/>
      </c>
    </row>
    <row r="890">
      <c r="A890" s="6" t="inlineStr">
        <is>
          <t>Stat: Flat ATTACK</t>
        </is>
      </c>
    </row>
    <row r="891">
      <c r="A891" s="5" t="inlineStr">
        <is>
          <t>Key</t>
        </is>
      </c>
      <c r="B891" s="5" t="inlineStr">
        <is>
          <t>Name</t>
        </is>
      </c>
      <c r="C891" s="5" t="inlineStr">
        <is>
          <t>Unlocked</t>
        </is>
      </c>
      <c r="D891" s="5" t="inlineStr">
        <is>
          <t>InputLevel</t>
        </is>
      </c>
      <c r="E891" s="5" t="inlineStr">
        <is>
          <t>Factor</t>
        </is>
      </c>
      <c r="F891" s="5" t="inlineStr">
        <is>
          <t>CoefficientPercent</t>
        </is>
      </c>
      <c r="G891" s="5" t="inlineStr">
        <is>
          <t>EffectiveHits</t>
        </is>
      </c>
      <c r="H891" s="5" t="inlineStr">
        <is>
          <t>ProcProbability</t>
        </is>
      </c>
      <c r="I891" s="5" t="inlineStr">
        <is>
          <t>MapleHeroMultiplier</t>
        </is>
      </c>
      <c r="J891" s="5" t="inlineStr">
        <is>
          <t>BaseDamage</t>
        </is>
      </c>
      <c r="K891" s="5" t="inlineStr">
        <is>
          <t>BaseHitDamage</t>
        </is>
      </c>
      <c r="L891" s="5" t="inlineStr">
        <is>
          <t>NonCritAvg</t>
        </is>
      </c>
      <c r="M891" s="5" t="inlineStr">
        <is>
          <t>CritAvg</t>
        </is>
      </c>
      <c r="N891" s="5" t="inlineStr">
        <is>
          <t>ExpectedDamage(perHit)</t>
        </is>
      </c>
      <c r="O891" s="5" t="inlineStr">
        <is>
          <t>DPS</t>
        </is>
      </c>
      <c r="P891" s="5" t="inlineStr">
        <is>
          <t>% of Total</t>
        </is>
      </c>
      <c r="R891" t="inlineStr">
        <is>
          <t>helpers</t>
        </is>
      </c>
    </row>
    <row r="892">
      <c r="A892">
        <f>Skills!A2</f>
        <v/>
      </c>
      <c r="B892">
        <f>Skills!B2</f>
        <v/>
      </c>
      <c r="C892">
        <f>Inputs!$B$3&gt;=100</f>
        <v/>
      </c>
      <c r="D892" t="inlineStr"/>
      <c r="E892" t="inlineStr"/>
      <c r="F892">
        <f>T894+Skills!N2</f>
        <v/>
      </c>
      <c r="G892">
        <f>Calc!G2</f>
        <v/>
      </c>
      <c r="H892">
        <f>Calc!H2</f>
        <v/>
      </c>
      <c r="I892">
        <f>IF(Skills!T2&lt;&gt;"",1+(Skills!T2/10)*(Z893/1000)/100,1)</f>
        <v/>
      </c>
      <c r="J892">
        <f>(((Inputs!$B$6+1)*(1+Inputs!$B$7/100))+(((Inputs!$B$12*(1+Inputs!$B$13/100))-(Inputs!$B$12*(1+Inputs!$B$13/100)))+0.25*(Inputs!$B$14-Inputs!$B$14))*(1+Inputs!$B$7/100))*(F892/100)</f>
        <v/>
      </c>
      <c r="K892">
        <f>J892*(1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2="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892)</f>
        <v/>
      </c>
      <c r="L892">
        <f>K892*(MIN(Inputs!$B$22+(F908-Calc!F18),(Inputs!$B$23+(IF(ArtifactsInput!$M$15,CHOOSE(ArtifactsInput!$N$15+1,25,30,35,40,45,50)/100*(Inputs!$B$11-Inputs!$B$11),0))))/100+(Inputs!$B$23+(IF(ArtifactsInput!$M$15,CHOOSE(ArtifactsInput!$N$15+1,25,30,35,40,45,50)/100*(Inputs!$B$11-Inputs!$B$11),0)))/100)/2</f>
        <v/>
      </c>
      <c r="M892">
        <f>L892*(1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2">
        <f>L892*(1-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892*(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2">
        <f>(1-Summary!$B$11)*S892+Summary!$B$11*U892</f>
        <v/>
      </c>
      <c r="P892">
        <f>IF(B927=0,0,O892/B927)</f>
        <v/>
      </c>
      <c r="Q892">
        <f>IFERROR(1/(IF(Inputs!$B$38="pvp",15,MAX(0.1,Skills!D2-IF(TRUE=TRUE,Inputs!$B$32,0)))*(1-IF(AND(ArtifactsInput!$M$27,Inputs!$B$4="Chapter Hunt"),CHOOSE(ArtifactsInput!$N$27+1,20,24,28,32,36,40),0)/100)),0)</f>
        <v/>
      </c>
      <c r="R892" t="n">
        <v>0</v>
      </c>
      <c r="S892">
        <f>IF(C892,(Skills!F2*N892*B923)*IF(Inputs!$B$38="pvp",1,1+(Inputs!$B$20+Skills!O2+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892*(1-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892*(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892*(1-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892*(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892">
        <f>MAX(0,(Inputs!$B$3-100)*3)+Inputs!$B$28+Inputs!$B$29</f>
        <v/>
      </c>
      <c r="U892">
        <f>IF(C892,(Skills!F2*N892*B923)*IF(Inputs!$B$38="pvp",1,(1+(Inputs!$B$21+Skills!P2+B918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892">
        <f>MAX(0,(Inputs!$B$3-100)*3)+Inputs!$B$28+Inputs!$B$29</f>
        <v/>
      </c>
    </row>
    <row r="893">
      <c r="A893">
        <f>Skills!A3</f>
        <v/>
      </c>
      <c r="B893">
        <f>Skills!B3</f>
        <v/>
      </c>
      <c r="C893">
        <f>Inputs!$B$3&gt;=15</f>
        <v/>
      </c>
      <c r="D893">
        <f>IF(Skills!C3=1,60+Inputs!$B$25+Inputs!$B$29,IF(Skills!C3=2,90+Inputs!$B$26+Inputs!$B$29,IF(Skills!C3=3,120+Inputs!$B$27+Inputs!$B$29,MAX(0,(Inputs!$B$3-100)*3)+Inputs!$B$28+Inputs!$B$29)))</f>
        <v/>
      </c>
      <c r="E893">
        <f>INDEX(FactorTable!$B$2:$Y$301, MATCH(ROUND(MIN(300,MAX(1,D893)),0), FactorTable!$A$2:$A$301,0), Skills!L3+1)</f>
        <v/>
      </c>
      <c r="F893">
        <f>IF(Skills!M3=TRUE,(Skills!K3/10)*(E893/1000),Skills!K3/10)+Skills!N3</f>
        <v/>
      </c>
      <c r="G893">
        <f>Calc!G3</f>
        <v/>
      </c>
      <c r="H893">
        <f>Calc!H3</f>
        <v/>
      </c>
      <c r="I893">
        <f>IF(Skills!T3&lt;&gt;"",1+(Skills!T3/10)*(Z893/1000)/100,1)</f>
        <v/>
      </c>
      <c r="J893" t="inlineStr"/>
      <c r="K893" t="inlineStr"/>
      <c r="L893" t="inlineStr"/>
      <c r="M893" t="inlineStr"/>
      <c r="N893" t="inlineStr"/>
      <c r="O893">
        <f>(1-Summary!$B$11)*S893+Summary!$B$11*U893</f>
        <v/>
      </c>
      <c r="P893">
        <f>IF(B927=0,0,O893/B927)</f>
        <v/>
      </c>
      <c r="Q893">
        <f>IFERROR(1/(IF(Inputs!$B$38="pvp",15,MAX(0.1,Skills!D3-IF(TRUE=TRUE,Inputs!$B$32,0)))*(1-IF(AND(ArtifactsInput!$M$27,Inputs!$B$4="Chapter Hunt"),CHOOSE(ArtifactsInput!$N$27+1,20,24,28,32,36,40),0)/100)),0)</f>
        <v/>
      </c>
      <c r="R893">
        <f>IF(AND(Inputs!$B$38&lt;&gt;"pvp",Inputs!$B$43&gt;0),IF(Inputs!$B$43&lt;=0,0,(INT(Inputs!$B$43/(IF(Inputs!$B$38="pvp",15,MAX(0.1,Skills!D3-IF(TRUE=TRUE,Inputs!$B$32,0)))*(1-IF(AND(ArtifactsInput!$M$27,Inputs!$B$4="Chapter Hunt"),CHOOSE(ArtifactsInput!$N$27+1,20,24,28,32,36,40),0)/100)))+1)),0)</f>
        <v/>
      </c>
      <c r="S893" t="n">
        <v>0</v>
      </c>
      <c r="T893">
        <f>INDEX(FactorTable!$B$2:$Y$301, MATCH(ROUND(MIN(300,MAX(1,T892)),0), FactorTable!$A$2:$A$301,0), 22)</f>
        <v/>
      </c>
      <c r="U893" t="n">
        <v>0</v>
      </c>
      <c r="Z893">
        <f>INDEX(FactorTable!$B$2:$Y$301, MATCH(ROUND(MIN(300,MAX(1,Z892)),0), FactorTable!$A$2:$A$301,0), 24)</f>
        <v/>
      </c>
    </row>
    <row r="894">
      <c r="A894">
        <f>Skills!A4</f>
        <v/>
      </c>
      <c r="B894">
        <f>Skills!B4</f>
        <v/>
      </c>
      <c r="C894">
        <f>Inputs!$B$3&gt;=40</f>
        <v/>
      </c>
      <c r="D894">
        <f>IF(Skills!C4=1,60+Inputs!$B$25+Inputs!$B$29,IF(Skills!C4=2,90+Inputs!$B$26+Inputs!$B$29,IF(Skills!C4=3,120+Inputs!$B$27+Inputs!$B$29,MAX(0,(Inputs!$B$3-100)*3)+Inputs!$B$28+Inputs!$B$29)))</f>
        <v/>
      </c>
      <c r="E894">
        <f>INDEX(FactorTable!$B$2:$Y$301, MATCH(ROUND(MIN(300,MAX(1,D894)),0), FactorTable!$A$2:$A$301,0), Skills!L4+1)</f>
        <v/>
      </c>
      <c r="F894">
        <f>IF(Skills!M4=TRUE,(Skills!K4/10)*(E894/1000),Skills!K4/10)+Skills!N4</f>
        <v/>
      </c>
      <c r="G894">
        <f>Calc!G4</f>
        <v/>
      </c>
      <c r="H894">
        <f>Calc!H4</f>
        <v/>
      </c>
      <c r="I894">
        <f>IF(Skills!T4&lt;&gt;"",1+(Skills!T4/10)*(Z893/1000)/100,1)</f>
        <v/>
      </c>
      <c r="J894" t="inlineStr"/>
      <c r="K894" t="inlineStr"/>
      <c r="L894" t="inlineStr"/>
      <c r="M894" t="inlineStr"/>
      <c r="N894" t="inlineStr"/>
      <c r="O894">
        <f>(1-Summary!$B$11)*S894+Summary!$B$11*U894</f>
        <v/>
      </c>
      <c r="P894">
        <f>IF(B927=0,0,O894/B927)</f>
        <v/>
      </c>
      <c r="Q894">
        <f>IFERROR(1/(IF(Inputs!$B$38="pvp",15,MAX(0.1,Skills!D4-IF(TRUE=TRUE,Inputs!$B$32,0)))*(1-IF(AND(ArtifactsInput!$M$27,Inputs!$B$4="Chapter Hunt"),CHOOSE(ArtifactsInput!$N$27+1,20,24,28,32,36,40),0)/100)),0)</f>
        <v/>
      </c>
      <c r="R894">
        <f>IF(AND(Inputs!$B$38&lt;&gt;"pvp",Inputs!$B$43&gt;0),IF(Inputs!$B$43&lt;=0,0,(INT(Inputs!$B$43/(IF(Inputs!$B$38="pvp",15,MAX(0.1,Skills!D4-IF(TRUE=TRUE,Inputs!$B$32,0)))*(1-IF(AND(ArtifactsInput!$M$27,Inputs!$B$4="Chapter Hunt"),CHOOSE(ArtifactsInput!$N$27+1,20,24,28,32,36,40),0)/100)))+1)),0)</f>
        <v/>
      </c>
      <c r="S894" t="n">
        <v>0</v>
      </c>
      <c r="T894">
        <f>290*T893/1000</f>
        <v/>
      </c>
      <c r="U894" t="n">
        <v>0</v>
      </c>
    </row>
    <row r="895">
      <c r="A895">
        <f>Skills!A5</f>
        <v/>
      </c>
      <c r="B895">
        <f>Skills!B5</f>
        <v/>
      </c>
      <c r="C895">
        <f>Inputs!$B$3&gt;=38</f>
        <v/>
      </c>
      <c r="D895">
        <f>IF(Skills!C5=1,60+Inputs!$B$25+Inputs!$B$29,IF(Skills!C5=2,90+Inputs!$B$26+Inputs!$B$29,IF(Skills!C5=3,120+Inputs!$B$27+Inputs!$B$29,MAX(0,(Inputs!$B$3-100)*3)+Inputs!$B$28+Inputs!$B$29)))</f>
        <v/>
      </c>
      <c r="E895">
        <f>INDEX(FactorTable!$B$2:$Y$301, MATCH(ROUND(MIN(300,MAX(1,D895)),0), FactorTable!$A$2:$A$301,0), Skills!L5+1)</f>
        <v/>
      </c>
      <c r="F895">
        <f>IF(Skills!M5=TRUE,(Skills!K5/10)*(E895/1000),Skills!K5/10)+Skills!N5</f>
        <v/>
      </c>
      <c r="G895">
        <f>Calc!G5</f>
        <v/>
      </c>
      <c r="H895">
        <f>Calc!H5</f>
        <v/>
      </c>
      <c r="I895">
        <f>IF(Skills!T5&lt;&gt;"",1+(Skills!T5/10)*(Z893/1000)/100,1)</f>
        <v/>
      </c>
      <c r="J895">
        <f>(((Inputs!$B$6+1)*(1+Inputs!$B$7/100))+(((Inputs!$B$12*(1+Inputs!$B$13/100))-(Inputs!$B$12*(1+Inputs!$B$13/100)))+0.25*(Inputs!$B$14-Inputs!$B$14))*(1+Inputs!$B$7/100))*(F895/100)</f>
        <v/>
      </c>
      <c r="K895">
        <f>J895*(1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5="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895)</f>
        <v/>
      </c>
      <c r="L895">
        <f>K895*(MIN(Inputs!$B$22+(F908-Calc!F18),(Inputs!$B$23+(IF(ArtifactsInput!$M$15,CHOOSE(ArtifactsInput!$N$15+1,25,30,35,40,45,50)/100*(Inputs!$B$11-Inputs!$B$11),0))))/100+(Inputs!$B$23+(IF(ArtifactsInput!$M$15,CHOOSE(ArtifactsInput!$N$15+1,25,30,35,40,45,50)/100*(Inputs!$B$11-Inputs!$B$11),0)))/100)/2</f>
        <v/>
      </c>
      <c r="M895">
        <f>L895*(1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5">
        <f>L895*(1-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895*(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5">
        <f>(1-Summary!$B$11)*S895+Summary!$B$11*U895</f>
        <v/>
      </c>
      <c r="P895">
        <f>IF(B927=0,0,O895/B927)</f>
        <v/>
      </c>
      <c r="Q895">
        <f>IFERROR(1/(IF(Inputs!$B$38="pvp",15,MAX(0.1,Skills!D5-IF(TRUE=TRUE,Inputs!$B$32,0)))*(1-IF(AND(ArtifactsInput!$M$27,Inputs!$B$4="Chapter Hunt"),CHOOSE(ArtifactsInput!$N$27+1,20,24,28,32,36,40),0)/100)),0)</f>
        <v/>
      </c>
      <c r="R895">
        <f>IF(AND(Inputs!$B$38&lt;&gt;"pvp",Inputs!$B$43&gt;0),IF(MAX(0,Inputs!$B$43-B924)&lt;=0,0,(INT(MAX(0,Inputs!$B$43-B924)/(IF(Inputs!$B$38="pvp",15,MAX(0.1,Skills!D5-IF(TRUE=TRUE,Inputs!$B$32,0)))*(1-IF(AND(ArtifactsInput!$M$27,Inputs!$B$4="Chapter Hunt"),CHOOSE(ArtifactsInput!$N$27+1,20,24,28,32,36,40),0)/100)))+1)),0)</f>
        <v/>
      </c>
      <c r="S895">
        <f>IF(C895,(H895*N895*IF(AND(Inputs!$B$38&lt;&gt;"pvp",Inputs!$B$43&gt;0),((Skills!F5*((R895-1)*IF(Skills!G5&gt;0,Skills!H5/Skills!G5,1)+IF(Skills!G5&gt;0,MIN(Skills!H5,MAX(0,MAX(0,Inputs!$B$43-B924)-((R895-1)*(IF(Inputs!$B$38="pvp",15,MAX(0.1,Skills!D5-IF(TRUE=TRUE,Inputs!$B$32,0)))*(1-IF(AND(ArtifactsInput!$M$27,Inputs!$B$4="Chapter Hunt"),CHOOSE(ArtifactsInput!$N$27+1,20,24,28,32,36,40),0)/100)))))/Skills!G5,1)))/Inputs!$B$43),G895*Q895))*IF(Inputs!$B$38="pvp",1,1+(Inputs!$B$20+Skills!O5+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895*(1-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895*(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895*(1-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895*(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5">
        <f>IF(C895,(H895*N895*IF(AND(Inputs!$B$38&lt;&gt;"pvp",Inputs!$B$43&gt;0),((Skills!F5*((R895-1)*IF(Skills!G5&gt;0,Skills!H5/Skills!G5,1)+IF(Skills!G5&gt;0,MIN(Skills!H5,MAX(0,MAX(0,Inputs!$B$43-B924)-((R895-1)*(IF(Inputs!$B$38="pvp",15,MAX(0.1,Skills!D5-IF(TRUE=TRUE,Inputs!$B$32,0)))*(1-IF(AND(ArtifactsInput!$M$27,Inputs!$B$4="Chapter Hunt"),CHOOSE(ArtifactsInput!$N$27+1,20,24,28,32,36,40),0)/100)))))/Skills!G5,1)))/Inputs!$B$43),G895*Q895))*IF(Inputs!$B$38="pvp",1,(1+(Inputs!$B$21+Skills!P5+B918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6">
      <c r="A896">
        <f>Skills!A6</f>
        <v/>
      </c>
      <c r="B896">
        <f>Skills!B6</f>
        <v/>
      </c>
      <c r="C896">
        <f>Inputs!$B$3&gt;=63</f>
        <v/>
      </c>
      <c r="D896">
        <f>IF(Skills!C6=1,60+Inputs!$B$25+Inputs!$B$29,IF(Skills!C6=2,90+Inputs!$B$26+Inputs!$B$29,IF(Skills!C6=3,120+Inputs!$B$27+Inputs!$B$29,MAX(0,(Inputs!$B$3-100)*3)+Inputs!$B$28+Inputs!$B$29)))</f>
        <v/>
      </c>
      <c r="E896">
        <f>INDEX(FactorTable!$B$2:$Y$301, MATCH(ROUND(MIN(300,MAX(1,D896)),0), FactorTable!$A$2:$A$301,0), Skills!L6+1)</f>
        <v/>
      </c>
      <c r="F896">
        <f>IF(Skills!M6=TRUE,(Skills!K6/10)*(E896/1000),Skills!K6/10)+Skills!N6</f>
        <v/>
      </c>
      <c r="G896">
        <f>Calc!G6</f>
        <v/>
      </c>
      <c r="H896">
        <f>Calc!H6</f>
        <v/>
      </c>
      <c r="I896">
        <f>IF(Skills!T6&lt;&gt;"",1+(Skills!T6/10)*(Z893/1000)/100,1)</f>
        <v/>
      </c>
      <c r="J896">
        <f>(((Inputs!$B$6+1)*(1+Inputs!$B$7/100))+(((Inputs!$B$12*(1+Inputs!$B$13/100))-(Inputs!$B$12*(1+Inputs!$B$13/100)))+0.25*(Inputs!$B$14-Inputs!$B$14))*(1+Inputs!$B$7/100))*(F896/100)</f>
        <v/>
      </c>
      <c r="K896">
        <f>J896*(1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6="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896)</f>
        <v/>
      </c>
      <c r="L896">
        <f>K896*(MIN(Inputs!$B$22+(F908-Calc!F18),(Inputs!$B$23+(IF(ArtifactsInput!$M$15,CHOOSE(ArtifactsInput!$N$15+1,25,30,35,40,45,50)/100*(Inputs!$B$11-Inputs!$B$11),0))))/100+(Inputs!$B$23+(IF(ArtifactsInput!$M$15,CHOOSE(ArtifactsInput!$N$15+1,25,30,35,40,45,50)/100*(Inputs!$B$11-Inputs!$B$11),0)))/100)/2</f>
        <v/>
      </c>
      <c r="M896">
        <f>L896*(1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6">
        <f>L896*(1-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896*(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6">
        <f>(1-Summary!$B$11)*S896+Summary!$B$11*U896</f>
        <v/>
      </c>
      <c r="P896">
        <f>IF(B927=0,0,O896/B927)</f>
        <v/>
      </c>
      <c r="Q896">
        <f>IFERROR(1/(IF(Inputs!$B$38="pvp",15,MAX(0.1,Skills!D6-IF(TRUE=TRUE,Inputs!$B$32,0)))*(1-IF(AND(ArtifactsInput!$M$27,Inputs!$B$4="Chapter Hunt"),CHOOSE(ArtifactsInput!$N$27+1,20,24,28,32,36,40),0)/100)),0)</f>
        <v/>
      </c>
      <c r="R896">
        <f>IF(AND(Inputs!$B$38&lt;&gt;"pvp",Inputs!$B$43&gt;0),IF(MAX(0,Inputs!$B$43-B924)&lt;=0,0,(INT(MAX(0,Inputs!$B$43-B924)/(IF(Inputs!$B$38="pvp",15,MAX(0.1,Skills!D6-IF(TRUE=TRUE,Inputs!$B$32,0)))*(1-IF(AND(ArtifactsInput!$M$27,Inputs!$B$4="Chapter Hunt"),CHOOSE(ArtifactsInput!$N$27+1,20,24,28,32,36,40),0)/100)))+1)),0)</f>
        <v/>
      </c>
      <c r="S896">
        <f>IF(C896,(H896*N896*IF(AND(Inputs!$B$38&lt;&gt;"pvp",Inputs!$B$43&gt;0),((Skills!F6*((R896-1)*IF(Skills!G6&gt;0,Skills!H6/Skills!G6,1)+IF(Skills!G6&gt;0,MIN(Skills!H6,MAX(0,MAX(0,Inputs!$B$43-B924)-((R896-1)*(IF(Inputs!$B$38="pvp",15,MAX(0.1,Skills!D6-IF(TRUE=TRUE,Inputs!$B$32,0)))*(1-IF(AND(ArtifactsInput!$M$27,Inputs!$B$4="Chapter Hunt"),CHOOSE(ArtifactsInput!$N$27+1,20,24,28,32,36,40),0)/100)))))/Skills!G6,1)))/Inputs!$B$43),G896*Q896))*IF(Inputs!$B$38="pvp",1,1+(Inputs!$B$20+Skills!O6+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896*(1-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896*(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896*(1-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896*(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6">
        <f>IF(C896,(H896*N896*IF(AND(Inputs!$B$38&lt;&gt;"pvp",Inputs!$B$43&gt;0),((Skills!F6*((R896-1)*IF(Skills!G6&gt;0,Skills!H6/Skills!G6,1)+IF(Skills!G6&gt;0,MIN(Skills!H6,MAX(0,MAX(0,Inputs!$B$43-B924)-((R896-1)*(IF(Inputs!$B$38="pvp",15,MAX(0.1,Skills!D6-IF(TRUE=TRUE,Inputs!$B$32,0)))*(1-IF(AND(ArtifactsInput!$M$27,Inputs!$B$4="Chapter Hunt"),CHOOSE(ArtifactsInput!$N$27+1,20,24,28,32,36,40),0)/100)))))/Skills!G6,1)))/Inputs!$B$43),G896*Q896))*IF(Inputs!$B$38="pvp",1,(1+(Inputs!$B$21+Skills!P6+B918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7">
      <c r="A897">
        <f>Skills!A7</f>
        <v/>
      </c>
      <c r="B897">
        <f>Skills!B7</f>
        <v/>
      </c>
      <c r="C897">
        <f>Inputs!$B$3&gt;=69</f>
        <v/>
      </c>
      <c r="D897">
        <f>IF(Skills!C7=1,60+Inputs!$B$25+Inputs!$B$29,IF(Skills!C7=2,90+Inputs!$B$26+Inputs!$B$29,IF(Skills!C7=3,120+Inputs!$B$27+Inputs!$B$29,MAX(0,(Inputs!$B$3-100)*3)+Inputs!$B$28+Inputs!$B$29)))</f>
        <v/>
      </c>
      <c r="E897">
        <f>INDEX(FactorTable!$B$2:$Y$301, MATCH(ROUND(MIN(300,MAX(1,D897)),0), FactorTable!$A$2:$A$301,0), Skills!L7+1)</f>
        <v/>
      </c>
      <c r="F897">
        <f>IF(Skills!M7=TRUE,(Skills!K7/10)*(E897/1000),Skills!K7/10)+Skills!N7</f>
        <v/>
      </c>
      <c r="G897">
        <f>Calc!G7</f>
        <v/>
      </c>
      <c r="H897">
        <f>Calc!H7</f>
        <v/>
      </c>
      <c r="I897">
        <f>IF(Skills!T7&lt;&gt;"",1+(Skills!T7/10)*(Z893/1000)/100,1)</f>
        <v/>
      </c>
      <c r="J897">
        <f>(((Inputs!$B$6+1)*(1+Inputs!$B$7/100))+(((Inputs!$B$12*(1+Inputs!$B$13/100))-(Inputs!$B$12*(1+Inputs!$B$13/100)))+0.25*(Inputs!$B$14-Inputs!$B$14))*(1+Inputs!$B$7/100))*(F897/100)</f>
        <v/>
      </c>
      <c r="K897">
        <f>J897*(1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7="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897)</f>
        <v/>
      </c>
      <c r="L897">
        <f>K897*(MIN(Inputs!$B$22+(F908-Calc!F18),(Inputs!$B$23+(IF(ArtifactsInput!$M$15,CHOOSE(ArtifactsInput!$N$15+1,25,30,35,40,45,50)/100*(Inputs!$B$11-Inputs!$B$11),0))))/100+(Inputs!$B$23+(IF(ArtifactsInput!$M$15,CHOOSE(ArtifactsInput!$N$15+1,25,30,35,40,45,50)/100*(Inputs!$B$11-Inputs!$B$11),0)))/100)/2</f>
        <v/>
      </c>
      <c r="M897">
        <f>L897*(1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7">
        <f>L897*(1-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897*(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7">
        <f>(1-Summary!$B$11)*S897+Summary!$B$11*U897</f>
        <v/>
      </c>
      <c r="P897">
        <f>IF(B927=0,0,O897/B927)</f>
        <v/>
      </c>
      <c r="Q897">
        <f>IFERROR(1/(IF(Inputs!$B$38="pvp",15,MAX(0.1,Skills!D7-IF(TRUE=TRUE,Inputs!$B$32,0)))*(1-IF(AND(ArtifactsInput!$M$27,Inputs!$B$4="Chapter Hunt"),CHOOSE(ArtifactsInput!$N$27+1,20,24,28,32,36,40),0)/100)),0)</f>
        <v/>
      </c>
      <c r="R897">
        <f>IF(AND(Inputs!$B$38&lt;&gt;"pvp",Inputs!$B$43&gt;0),IF(MAX(0,Inputs!$B$43-B924)&lt;=0,0,(INT(MAX(0,Inputs!$B$43-B924)/(IF(Inputs!$B$38="pvp",15,MAX(0.1,Skills!D7-IF(TRUE=TRUE,Inputs!$B$32,0)))*(1-IF(AND(ArtifactsInput!$M$27,Inputs!$B$4="Chapter Hunt"),CHOOSE(ArtifactsInput!$N$27+1,20,24,28,32,36,40),0)/100)))+1)),0)</f>
        <v/>
      </c>
      <c r="S897">
        <f>IF(C897,(H897*N897*IF(AND(Inputs!$B$38&lt;&gt;"pvp",Inputs!$B$43&gt;0),((Skills!F7*((R897-1)*IF(Skills!G7&gt;0,Skills!H7/Skills!G7,1)+IF(Skills!G7&gt;0,MIN(Skills!H7,MAX(0,MAX(0,Inputs!$B$43-B924)-((R897-1)*(IF(Inputs!$B$38="pvp",15,MAX(0.1,Skills!D7-IF(TRUE=TRUE,Inputs!$B$32,0)))*(1-IF(AND(ArtifactsInput!$M$27,Inputs!$B$4="Chapter Hunt"),CHOOSE(ArtifactsInput!$N$27+1,20,24,28,32,36,40),0)/100)))))/Skills!G7,1)))/Inputs!$B$43),G897*Q897))*IF(Inputs!$B$38="pvp",1,1+(Inputs!$B$20+Skills!O7+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897*(1-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897*(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897*(1-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897*(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7">
        <f>IF(C897,(H897*N897*IF(AND(Inputs!$B$38&lt;&gt;"pvp",Inputs!$B$43&gt;0),((Skills!F7*((R897-1)*IF(Skills!G7&gt;0,Skills!H7/Skills!G7,1)+IF(Skills!G7&gt;0,MIN(Skills!H7,MAX(0,MAX(0,Inputs!$B$43-B924)-((R897-1)*(IF(Inputs!$B$38="pvp",15,MAX(0.1,Skills!D7-IF(TRUE=TRUE,Inputs!$B$32,0)))*(1-IF(AND(ArtifactsInput!$M$27,Inputs!$B$4="Chapter Hunt"),CHOOSE(ArtifactsInput!$N$27+1,20,24,28,32,36,40),0)/100)))))/Skills!G7,1)))/Inputs!$B$43),G897*Q897))*IF(Inputs!$B$38="pvp",1,(1+(Inputs!$B$21+Skills!P7+B918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8">
      <c r="A898">
        <f>Skills!A8</f>
        <v/>
      </c>
      <c r="B898">
        <f>Skills!B8</f>
        <v/>
      </c>
      <c r="C898">
        <f>Inputs!$B$3&gt;=103</f>
        <v/>
      </c>
      <c r="D898">
        <f>IF(Skills!C8=1,60+Inputs!$B$25+Inputs!$B$29,IF(Skills!C8=2,90+Inputs!$B$26+Inputs!$B$29,IF(Skills!C8=3,120+Inputs!$B$27+Inputs!$B$29,MAX(0,(Inputs!$B$3-100)*3)+Inputs!$B$28+Inputs!$B$29)))</f>
        <v/>
      </c>
      <c r="E898">
        <f>INDEX(FactorTable!$B$2:$Y$301, MATCH(ROUND(MIN(300,MAX(1,D898)),0), FactorTable!$A$2:$A$301,0), Skills!L8+1)</f>
        <v/>
      </c>
      <c r="F898">
        <f>IF(Skills!M8=TRUE,(Skills!K8/10)*(E898/1000),Skills!K8/10)+Skills!N8</f>
        <v/>
      </c>
      <c r="G898">
        <f>Calc!G8</f>
        <v/>
      </c>
      <c r="H898">
        <f>Calc!H8</f>
        <v/>
      </c>
      <c r="I898">
        <f>IF(Skills!T8&lt;&gt;"",1+(Skills!T8/10)*(Z893/1000)/100,1)</f>
        <v/>
      </c>
      <c r="J898">
        <f>(((Inputs!$B$6+1)*(1+Inputs!$B$7/100))+(((Inputs!$B$12*(1+Inputs!$B$13/100))-(Inputs!$B$12*(1+Inputs!$B$13/100)))+0.25*(Inputs!$B$14-Inputs!$B$14))*(1+Inputs!$B$7/100))*(F898/100)</f>
        <v/>
      </c>
      <c r="K898">
        <f>J898*(1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8="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898)</f>
        <v/>
      </c>
      <c r="L898">
        <f>K898*(MIN(Inputs!$B$22+(F908-Calc!F18),(Inputs!$B$23+(IF(ArtifactsInput!$M$15,CHOOSE(ArtifactsInput!$N$15+1,25,30,35,40,45,50)/100*(Inputs!$B$11-Inputs!$B$11),0))))/100+(Inputs!$B$23+(IF(ArtifactsInput!$M$15,CHOOSE(ArtifactsInput!$N$15+1,25,30,35,40,45,50)/100*(Inputs!$B$11-Inputs!$B$11),0)))/100)/2</f>
        <v/>
      </c>
      <c r="M898">
        <f>L898*(1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8">
        <f>L898*(1-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898*(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8">
        <f>(1-Summary!$B$11)*S898+Summary!$B$11*U898</f>
        <v/>
      </c>
      <c r="P898">
        <f>IF(B927=0,0,O898/B927)</f>
        <v/>
      </c>
      <c r="Q898">
        <f>IFERROR(1/(IF(Inputs!$B$38="pvp",15,MAX(0.1,Skills!D8-IF(TRUE=TRUE,Inputs!$B$32,0)))*(1-IF(AND(ArtifactsInput!$M$27,Inputs!$B$4="Chapter Hunt"),CHOOSE(ArtifactsInput!$N$27+1,20,24,28,32,36,40),0)/100)),0)</f>
        <v/>
      </c>
      <c r="R898">
        <f>IF(AND(Inputs!$B$38&lt;&gt;"pvp",Inputs!$B$43&gt;0),IF(MAX(0,Inputs!$B$43-B924)&lt;=0,0,(INT(MAX(0,Inputs!$B$43-B924)/(IF(Inputs!$B$38="pvp",15,MAX(0.1,Skills!D8-IF(TRUE=TRUE,Inputs!$B$32,0)))*(1-IF(AND(ArtifactsInput!$M$27,Inputs!$B$4="Chapter Hunt"),CHOOSE(ArtifactsInput!$N$27+1,20,24,28,32,36,40),0)/100)))+1)),0)</f>
        <v/>
      </c>
      <c r="S898">
        <f>IF(C898,(H898*N898*IF(AND(Inputs!$B$38&lt;&gt;"pvp",Inputs!$B$43&gt;0),((Skills!F8*((R898-1)*IF(Skills!G8&gt;0,Skills!H8/Skills!G8,1)+IF(Skills!G8&gt;0,MIN(Skills!H8,MAX(0,MAX(0,Inputs!$B$43-B924)-((R898-1)*(IF(Inputs!$B$38="pvp",15,MAX(0.1,Skills!D8-IF(TRUE=TRUE,Inputs!$B$32,0)))*(1-IF(AND(ArtifactsInput!$M$27,Inputs!$B$4="Chapter Hunt"),CHOOSE(ArtifactsInput!$N$27+1,20,24,28,32,36,40),0)/100)))))/Skills!G8,1)))/Inputs!$B$43),G898*Q898))*IF(Inputs!$B$38="pvp",1,1+(Inputs!$B$20+Skills!O8+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898*(1-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898*(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898*(1-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898*(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8">
        <f>IF(C898,(H898*N898*IF(AND(Inputs!$B$38&lt;&gt;"pvp",Inputs!$B$43&gt;0),((Skills!F8*((R898-1)*IF(Skills!G8&gt;0,Skills!H8/Skills!G8,1)+IF(Skills!G8&gt;0,MIN(Skills!H8,MAX(0,MAX(0,Inputs!$B$43-B924)-((R898-1)*(IF(Inputs!$B$38="pvp",15,MAX(0.1,Skills!D8-IF(TRUE=TRUE,Inputs!$B$32,0)))*(1-IF(AND(ArtifactsInput!$M$27,Inputs!$B$4="Chapter Hunt"),CHOOSE(ArtifactsInput!$N$27+1,20,24,28,32,36,40),0)/100)))))/Skills!G8,1)))/Inputs!$B$43),G898*Q898))*IF(Inputs!$B$38="pvp",1,(1+(Inputs!$B$21+Skills!P8+B918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9">
      <c r="A899">
        <f>Skills!A9</f>
        <v/>
      </c>
      <c r="B899">
        <f>Skills!B9</f>
        <v/>
      </c>
      <c r="C899">
        <f>Inputs!$B$3&gt;=105</f>
        <v/>
      </c>
      <c r="D899">
        <f>IF(Skills!C9=1,60+Inputs!$B$25+Inputs!$B$29,IF(Skills!C9=2,90+Inputs!$B$26+Inputs!$B$29,IF(Skills!C9=3,120+Inputs!$B$27+Inputs!$B$29,MAX(0,(Inputs!$B$3-100)*3)+Inputs!$B$28+Inputs!$B$29)))</f>
        <v/>
      </c>
      <c r="E899">
        <f>INDEX(FactorTable!$B$2:$Y$301, MATCH(ROUND(MIN(300,MAX(1,D899)),0), FactorTable!$A$2:$A$301,0), Skills!L9+1)</f>
        <v/>
      </c>
      <c r="F899">
        <f>IF(Skills!M9=TRUE,(Skills!K9/10)*(E899/1000),Skills!K9/10)+Skills!N9</f>
        <v/>
      </c>
      <c r="G899">
        <f>Calc!G9</f>
        <v/>
      </c>
      <c r="H899">
        <f>Calc!H9</f>
        <v/>
      </c>
      <c r="I899">
        <f>IF(Skills!T9&lt;&gt;"",1+(Skills!T9/10)*(Z893/1000)/100,1)</f>
        <v/>
      </c>
      <c r="J899">
        <f>(((Inputs!$B$6+1)*(1+Inputs!$B$7/100))+(((Inputs!$B$12*(1+Inputs!$B$13/100))-(Inputs!$B$12*(1+Inputs!$B$13/100)))+0.25*(Inputs!$B$14-Inputs!$B$14))*(1+Inputs!$B$7/100))*(F899/100)</f>
        <v/>
      </c>
      <c r="K899">
        <f>J899*(1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9="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899)</f>
        <v/>
      </c>
      <c r="L899">
        <f>K899*(MIN(Inputs!$B$22+(F908-Calc!F18),(Inputs!$B$23+(IF(ArtifactsInput!$M$15,CHOOSE(ArtifactsInput!$N$15+1,25,30,35,40,45,50)/100*(Inputs!$B$11-Inputs!$B$11),0))))/100+(Inputs!$B$23+(IF(ArtifactsInput!$M$15,CHOOSE(ArtifactsInput!$N$15+1,25,30,35,40,45,50)/100*(Inputs!$B$11-Inputs!$B$11),0)))/100)/2</f>
        <v/>
      </c>
      <c r="M899">
        <f>L899*(1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9">
        <f>L899*(1-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899*(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9">
        <f>(1-Summary!$B$11)*S899+Summary!$B$11*U899</f>
        <v/>
      </c>
      <c r="P899">
        <f>IF(B927=0,0,O899/B927)</f>
        <v/>
      </c>
      <c r="Q899">
        <f>IFERROR(1/(IF(Inputs!$B$38="pvp",15,MAX(0.1,Skills!D9-IF(TRUE=TRUE,Inputs!$B$32,0)))*(1-IF(AND(ArtifactsInput!$M$27,Inputs!$B$4="Chapter Hunt"),CHOOSE(ArtifactsInput!$N$27+1,20,24,28,32,36,40),0)/100)),0)</f>
        <v/>
      </c>
      <c r="R899">
        <f>IF(AND(Inputs!$B$38&lt;&gt;"pvp",Inputs!$B$43&gt;0),IF(MAX(0,Inputs!$B$43-B924)&lt;=0,0,(INT(MAX(0,Inputs!$B$43-B924)/(IF(Inputs!$B$38="pvp",15,MAX(0.1,Skills!D9-IF(TRUE=TRUE,Inputs!$B$32,0)))*(1-IF(AND(ArtifactsInput!$M$27,Inputs!$B$4="Chapter Hunt"),CHOOSE(ArtifactsInput!$N$27+1,20,24,28,32,36,40),0)/100)))+1)),0)</f>
        <v/>
      </c>
      <c r="S899">
        <f>IF(C899,(H899*N899*IF(AND(Inputs!$B$38&lt;&gt;"pvp",Inputs!$B$43&gt;0),((Skills!F9*((R899-1)*IF(Skills!G9&gt;0,Skills!H9/Skills!G9,1)+IF(Skills!G9&gt;0,MIN(Skills!H9,MAX(0,MAX(0,Inputs!$B$43-B924)-((R899-1)*(IF(Inputs!$B$38="pvp",15,MAX(0.1,Skills!D9-IF(TRUE=TRUE,Inputs!$B$32,0)))*(1-IF(AND(ArtifactsInput!$M$27,Inputs!$B$4="Chapter Hunt"),CHOOSE(ArtifactsInput!$N$27+1,20,24,28,32,36,40),0)/100)))))/Skills!G9,1)))/Inputs!$B$43),G899*Q899))*IF(Inputs!$B$38="pvp",1,1+(Inputs!$B$20+Skills!O9+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899*(1-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899*(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899*(1-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899*(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99">
        <f>IF(C899,(H899*N899*IF(AND(Inputs!$B$38&lt;&gt;"pvp",Inputs!$B$43&gt;0),((Skills!F9*((R899-1)*IF(Skills!G9&gt;0,Skills!H9/Skills!G9,1)+IF(Skills!G9&gt;0,MIN(Skills!H9,MAX(0,MAX(0,Inputs!$B$43-B924)-((R899-1)*(IF(Inputs!$B$38="pvp",15,MAX(0.1,Skills!D9-IF(TRUE=TRUE,Inputs!$B$32,0)))*(1-IF(AND(ArtifactsInput!$M$27,Inputs!$B$4="Chapter Hunt"),CHOOSE(ArtifactsInput!$N$27+1,20,24,28,32,36,40),0)/100)))))/Skills!G9,1)))/Inputs!$B$43),G899*Q899))*IF(Inputs!$B$38="pvp",1,(1+(Inputs!$B$21+Skills!P9+B918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0">
      <c r="A900">
        <f>Skills!A10</f>
        <v/>
      </c>
      <c r="B900">
        <f>Skills!B10</f>
        <v/>
      </c>
      <c r="C900">
        <f>Inputs!$B$3&gt;=113</f>
        <v/>
      </c>
      <c r="D900">
        <f>IF(Skills!C10=1,60+Inputs!$B$25+Inputs!$B$29,IF(Skills!C10=2,90+Inputs!$B$26+Inputs!$B$29,IF(Skills!C10=3,120+Inputs!$B$27+Inputs!$B$29,MAX(0,(Inputs!$B$3-100)*3)+Inputs!$B$28+Inputs!$B$29)))</f>
        <v/>
      </c>
      <c r="E900">
        <f>INDEX(FactorTable!$B$2:$Y$301, MATCH(ROUND(MIN(300,MAX(1,D900)),0), FactorTable!$A$2:$A$301,0), Skills!L10+1)</f>
        <v/>
      </c>
      <c r="F900">
        <f>IF(Skills!M10=TRUE,(Skills!K10/10)*(E900/1000),Skills!K10/10)+Skills!N10</f>
        <v/>
      </c>
      <c r="G900">
        <f>Calc!G10</f>
        <v/>
      </c>
      <c r="H900">
        <f>Calc!H10</f>
        <v/>
      </c>
      <c r="I900">
        <f>IF(Skills!T10&lt;&gt;"",1+(Skills!T10/10)*(Z893/1000)/100,1)</f>
        <v/>
      </c>
      <c r="J900">
        <f>(((Inputs!$B$6+1)*(1+Inputs!$B$7/100))+(((Inputs!$B$12*(1+Inputs!$B$13/100))-(Inputs!$B$12*(1+Inputs!$B$13/100)))+0.25*(Inputs!$B$14-Inputs!$B$14))*(1+Inputs!$B$7/100))*(F900/100)</f>
        <v/>
      </c>
      <c r="K900">
        <f>J900*(1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10="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900)</f>
        <v/>
      </c>
      <c r="L900">
        <f>K900*(MIN(Inputs!$B$22+(F908-Calc!F18),(Inputs!$B$23+(IF(ArtifactsInput!$M$15,CHOOSE(ArtifactsInput!$N$15+1,25,30,35,40,45,50)/100*(Inputs!$B$11-Inputs!$B$11),0))))/100+(Inputs!$B$23+(IF(ArtifactsInput!$M$15,CHOOSE(ArtifactsInput!$N$15+1,25,30,35,40,45,50)/100*(Inputs!$B$11-Inputs!$B$11),0)))/100)/2</f>
        <v/>
      </c>
      <c r="M900">
        <f>L900*(1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0">
        <f>L900*(1-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900*(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0">
        <f>(1-Summary!$B$11)*S900+Summary!$B$11*U900</f>
        <v/>
      </c>
      <c r="P900">
        <f>IF(B927=0,0,O900/B927)</f>
        <v/>
      </c>
      <c r="Q900">
        <f>IFERROR(1/(IF(Inputs!$B$38="pvp",15,MAX(0.1,Skills!D10-IF(TRUE=TRUE,Inputs!$B$32,0)))*(1-IF(AND(ArtifactsInput!$M$27,Inputs!$B$4="Chapter Hunt"),CHOOSE(ArtifactsInput!$N$27+1,20,24,28,32,36,40),0)/100)),0)</f>
        <v/>
      </c>
      <c r="R900" t="n">
        <v>0</v>
      </c>
      <c r="S900">
        <f>IF(C900,((H900*B928)/(1+Skills!G10*H900*B928)*N900)*IF(Inputs!$B$38="pvp",1,1+(Inputs!$B$20+Skills!O10+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900*(1-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900*(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900*(1-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900*(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0">
        <f>IF(C900,((H900*B928)/(1+Skills!G10*H900*B928)*N900)*IF(Inputs!$B$38="pvp",1,(1+(Inputs!$B$21+Skills!P10+B918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1">
      <c r="A901">
        <f>Skills!A11</f>
        <v/>
      </c>
      <c r="B901">
        <f>Skills!B11</f>
        <v/>
      </c>
      <c r="C901">
        <f>Inputs!$B$3&gt;=107</f>
        <v/>
      </c>
      <c r="D901">
        <f>IF(Skills!C11=1,60+Inputs!$B$25+Inputs!$B$29,IF(Skills!C11=2,90+Inputs!$B$26+Inputs!$B$29,IF(Skills!C11=3,120+Inputs!$B$27+Inputs!$B$29,MAX(0,(Inputs!$B$3-100)*3)+Inputs!$B$28+Inputs!$B$29)))</f>
        <v/>
      </c>
      <c r="E901">
        <f>INDEX(FactorTable!$B$2:$Y$301, MATCH(ROUND(MIN(300,MAX(1,D901)),0), FactorTable!$A$2:$A$301,0), Skills!L11+1)</f>
        <v/>
      </c>
      <c r="F901">
        <f>IF(Skills!M11=TRUE,(Skills!K11/10)*(E901/1000),Skills!K11/10)+Skills!N11</f>
        <v/>
      </c>
      <c r="G901">
        <f>Calc!G11</f>
        <v/>
      </c>
      <c r="H901">
        <f>Calc!H11</f>
        <v/>
      </c>
      <c r="I901">
        <f>IF(Skills!T11&lt;&gt;"",1+(Skills!T11/10)*(Z893/1000)/100,1)</f>
        <v/>
      </c>
      <c r="J901">
        <f>(((Inputs!$B$6+1)*(1+Inputs!$B$7/100))+(((Inputs!$B$12*(1+Inputs!$B$13/100))-(Inputs!$B$12*(1+Inputs!$B$13/100)))+0.25*(Inputs!$B$14-Inputs!$B$14))*(1+Inputs!$B$7/100))*(F901/100)</f>
        <v/>
      </c>
      <c r="K901">
        <f>J901*(1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11="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901)</f>
        <v/>
      </c>
      <c r="L901">
        <f>K901*(MIN(Inputs!$B$22+(F908-Calc!F18),(Inputs!$B$23+(IF(ArtifactsInput!$M$15,CHOOSE(ArtifactsInput!$N$15+1,25,30,35,40,45,50)/100*(Inputs!$B$11-Inputs!$B$11),0))))/100+(Inputs!$B$23+(IF(ArtifactsInput!$M$15,CHOOSE(ArtifactsInput!$N$15+1,25,30,35,40,45,50)/100*(Inputs!$B$11-Inputs!$B$11),0)))/100)/2</f>
        <v/>
      </c>
      <c r="M901">
        <f>L901*(1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1">
        <f>L901*(1-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1">
        <f>(1-Summary!$B$11)*S901+Summary!$B$11*U901</f>
        <v/>
      </c>
      <c r="P901">
        <f>IF(B927=0,0,O901/B927)</f>
        <v/>
      </c>
      <c r="Q901">
        <f>IFERROR(1/(IF(Inputs!$B$38="pvp",15,MAX(0.1,Skills!D11-IF(TRUE=TRUE,Inputs!$B$32,0)))*(1-IF(AND(ArtifactsInput!$M$27,Inputs!$B$4="Chapter Hunt"),CHOOSE(ArtifactsInput!$N$27+1,20,24,28,32,36,40),0)/100)),0)</f>
        <v/>
      </c>
      <c r="R901">
        <f>IF(AND(Inputs!$B$38&lt;&gt;"pvp",Inputs!$B$43&gt;0),IF(MAX(0,Inputs!$B$43-B924)&lt;=0,0,(INT(MAX(0,Inputs!$B$43-B924)/(IF(Inputs!$B$38="pvp",15,MAX(0.1,Skills!D11-IF(TRUE=TRUE,Inputs!$B$32,0)))*(1-IF(AND(ArtifactsInput!$M$27,Inputs!$B$4="Chapter Hunt"),CHOOSE(ArtifactsInput!$N$27+1,20,24,28,32,36,40),0)/100)))+1)),0)</f>
        <v/>
      </c>
      <c r="S901">
        <f>IF(C901,H901*N901*IF(AND(Inputs!$B$38&lt;&gt;"pvp",Inputs!$B$43&gt;0),((Skills!F11*((R901-1)*IF(Skills!G11&gt;0,Skills!H11/Skills!G11,1)+IF(Skills!G11&gt;0,MIN(Skills!H11,MAX(0,MAX(0,Inputs!$B$43-B924)-((R901-1)*(IF(Inputs!$B$38="pvp",15,MAX(0.1,Skills!D11-IF(TRUE=TRUE,Inputs!$B$32,0)))*(1-IF(AND(ArtifactsInput!$M$27,Inputs!$B$4="Chapter Hunt"),CHOOSE(ArtifactsInput!$N$27+1,20,24,28,32,36,40),0)/100)))))/Skills!G11,1)))/Inputs!$B$43),G901*Q901)*0.5*IF(Inputs!$B$38="pvp",1,1+(Inputs!$B$20+Skills!O11+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901*(1-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901*(1-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1">
        <f>IF(C901,H901*N901*IF(AND(Inputs!$B$38&lt;&gt;"pvp",Inputs!$B$43&gt;0),((Skills!F11*((R901-1)*IF(Skills!G11&gt;0,Skills!H11/Skills!G11,1)+IF(Skills!G11&gt;0,MIN(Skills!H11,MAX(0,MAX(0,Inputs!$B$43-B924)-((R901-1)*(IF(Inputs!$B$38="pvp",15,MAX(0.1,Skills!D11-IF(TRUE=TRUE,Inputs!$B$32,0)))*(1-IF(AND(ArtifactsInput!$M$27,Inputs!$B$4="Chapter Hunt"),CHOOSE(ArtifactsInput!$N$27+1,20,24,28,32,36,40),0)/100)))))/Skills!G11,1)))/Inputs!$B$43),G901*Q901)*1*IF(Inputs!$B$38="pvp",1,(1+(Inputs!$B$21+Skills!P11+B918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2">
      <c r="A902">
        <f>Skills!A12</f>
        <v/>
      </c>
      <c r="B902">
        <f>Skills!B12</f>
        <v/>
      </c>
      <c r="C902">
        <f>Inputs!$B$3&gt;=115</f>
        <v/>
      </c>
      <c r="D902">
        <f>IF(Skills!C12=1,60+Inputs!$B$25+Inputs!$B$29,IF(Skills!C12=2,90+Inputs!$B$26+Inputs!$B$29,IF(Skills!C12=3,120+Inputs!$B$27+Inputs!$B$29,MAX(0,(Inputs!$B$3-100)*3)+Inputs!$B$28+Inputs!$B$29)))</f>
        <v/>
      </c>
      <c r="E902">
        <f>INDEX(FactorTable!$B$2:$Y$301, MATCH(ROUND(MIN(300,MAX(1,D902)),0), FactorTable!$A$2:$A$301,0), Skills!L12+1)</f>
        <v/>
      </c>
      <c r="F902">
        <f>IF(Skills!M12=TRUE,(Skills!K12/10)*(E902/1000),Skills!K12/10)+Skills!N12</f>
        <v/>
      </c>
      <c r="G902">
        <f>Calc!G12</f>
        <v/>
      </c>
      <c r="H902">
        <f>Calc!H12</f>
        <v/>
      </c>
      <c r="I902">
        <f>IF(Skills!T12&lt;&gt;"",1+(Skills!T12/10)*(Z893/1000)/100,1)</f>
        <v/>
      </c>
      <c r="J902">
        <f>(((Inputs!$B$6+1)*(1+Inputs!$B$7/100))+(((Inputs!$B$12*(1+Inputs!$B$13/100))-(Inputs!$B$12*(1+Inputs!$B$13/100)))+0.25*(Inputs!$B$14-Inputs!$B$14))*(1+Inputs!$B$7/100))*(F902/100)</f>
        <v/>
      </c>
      <c r="K902">
        <f>J902*(1+((Inputs!$B$12*(1+Inputs!$B$13/100))*0.01+Inputs!$B$14*0.0025)/100)*(1+(Inputs!$B$15+B919)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905=TRUE,F905,0)/100)*(1+IF(C913=TRUE,F913,0)/100)^5*(1+(IF(Skills!A12="CHAIN_LIGHTNING",Inputs!$B$17+((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902)</f>
        <v/>
      </c>
      <c r="L902">
        <f>K902*(MIN(Inputs!$B$22+(F908-Calc!F18),(Inputs!$B$23+(IF(ArtifactsInput!$M$15,CHOOSE(ArtifactsInput!$N$15+1,25,30,35,40,45,50)/100*(Inputs!$B$11-Inputs!$B$11),0))))/100+(Inputs!$B$23+(IF(ArtifactsInput!$M$15,CHOOSE(ArtifactsInput!$N$15+1,25,30,35,40,45,50)/100*(Inputs!$B$11-Inputs!$B$11),0)))/100)/2</f>
        <v/>
      </c>
      <c r="M902">
        <f>L902*(1+(Inputs!$B$10+(F911-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02">
        <f>L902*(1-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902*(MIN((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02">
        <f>(1-Summary!$B$11)*S902+Summary!$B$11*U902</f>
        <v/>
      </c>
      <c r="P902">
        <f>IF(B927=0,0,O902/B927)</f>
        <v/>
      </c>
      <c r="Q902">
        <f>IFERROR(1/(IF(Inputs!$B$38="pvp",15,MAX(0.1,Skills!D12-IF(TRUE=TRUE,Inputs!$B$32,0)))*(1-IF(AND(ArtifactsInput!$M$27,Inputs!$B$4="Chapter Hunt"),CHOOSE(ArtifactsInput!$N$27+1,20,24,28,32,36,40),0)/100)),0)</f>
        <v/>
      </c>
      <c r="R902">
        <f>IF(AND(Inputs!$B$38&lt;&gt;"pvp",Inputs!$B$43&gt;0),IF(MAX(0,Inputs!$B$43-B924)&lt;=0,0,(INT(MAX(0,Inputs!$B$43-B924)/(IF(Inputs!$B$38="pvp",15,MAX(0.1,Skills!D12-IF(TRUE=TRUE,Inputs!$B$32,0)))*(1-IF(AND(ArtifactsInput!$M$27,Inputs!$B$4="Chapter Hunt"),CHOOSE(ArtifactsInput!$N$27+1,20,24,28,32,36,40),0)/100)))+1)),0)</f>
        <v/>
      </c>
      <c r="S902">
        <f>IF(C902,(H902*N902*IF(AND(Inputs!$B$38&lt;&gt;"pvp",Inputs!$B$43&gt;0),((Skills!F12*((R902-1)*IF(Skills!G12&gt;0,Skills!H12/Skills!G12,1)+IF(Skills!G12&gt;0,MIN(Skills!H12,MAX(0,MAX(0,Inputs!$B$43-B924)-((R902-1)*(IF(Inputs!$B$38="pvp",15,MAX(0.1,Skills!D12-IF(TRUE=TRUE,Inputs!$B$32,0)))*(1-IF(AND(ArtifactsInput!$M$27,Inputs!$B$4="Chapter Hunt"),CHOOSE(ArtifactsInput!$N$27+1,20,24,28,32,36,40),0)/100)))))/Skills!G12,1)))/Inputs!$B$43),G902*Q902))*IF(Inputs!$B$38="pvp",1,1+(Inputs!$B$20+Skills!O12+B918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902*(1-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902*(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902*(1-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902*(MIN(100,(Inputs!$B$9+((F910-Calc!F20)+(F909-Calc!F19))+(ArtifactsInput!$M$24-ArtifactsInput!$M$24)*CHOOSE(ArtifactsInput!$N$24+1,10,12,14,16,18,20)+(IF(AND(Inputs!$B$38&lt;&gt;"pvp",Inputs!$B$43=0),1,IF(IF(Inputs!$B$38="pvp",15,Inputs!$B$43)-(B924)&lt;=0,1,MAX(0,IF(Inputs!$B$38="pvp",15,Inputs!$B$43)-MAX(5,B924))/(IF(Inputs!$B$38="pvp",15,Inputs!$B$43)-(B924)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02">
        <f>IF(C902,(H902*N902*IF(AND(Inputs!$B$38&lt;&gt;"pvp",Inputs!$B$43&gt;0),((Skills!F12*((R902-1)*IF(Skills!G12&gt;0,Skills!H12/Skills!G12,1)+IF(Skills!G12&gt;0,MIN(Skills!H12,MAX(0,MAX(0,Inputs!$B$43-B924)-((R902-1)*(IF(Inputs!$B$38="pvp",15,MAX(0.1,Skills!D12-IF(TRUE=TRUE,Inputs!$B$32,0)))*(1-IF(AND(ArtifactsInput!$M$27,Inputs!$B$4="Chapter Hunt"),CHOOSE(ArtifactsInput!$N$27+1,20,24,28,32,36,40),0)/100)))))/Skills!G12,1)))/Inputs!$B$43),G902*Q902))*IF(Inputs!$B$38="pvp",1,(1+(Inputs!$B$21+Skills!P12+B918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03">
      <c r="A903">
        <f>Skills!A13</f>
        <v/>
      </c>
      <c r="B903">
        <f>Skills!B13</f>
        <v/>
      </c>
      <c r="C903">
        <f>Inputs!$B$3&gt;=49</f>
        <v/>
      </c>
      <c r="D903">
        <f>IF(Skills!C13=1,60+Inputs!$B$25+Inputs!$B$29,IF(Skills!C13=2,90+Inputs!$B$26+Inputs!$B$29,IF(Skills!C13=3,120+Inputs!$B$27+Inputs!$B$29,MAX(0,(Inputs!$B$3-100)*3)+Inputs!$B$28+Inputs!$B$29)))</f>
        <v/>
      </c>
      <c r="E903">
        <f>INDEX(FactorTable!$B$2:$Y$301, MATCH(ROUND(MIN(300,MAX(1,D903)),0), FactorTable!$A$2:$A$301,0), Skills!L13+1)</f>
        <v/>
      </c>
      <c r="F903">
        <f>IF(Skills!M13=TRUE,(Skills!K13/10)*(E903/1000),Skills!K13/10)+Skills!N13</f>
        <v/>
      </c>
      <c r="G903">
        <f>Calc!G13</f>
        <v/>
      </c>
      <c r="H903">
        <f>Calc!H13</f>
        <v/>
      </c>
      <c r="I903">
        <f>IF(Skills!T13&lt;&gt;"",1+(Skills!T13/10)*(Z893/1000)/100,1)</f>
        <v/>
      </c>
      <c r="J903" t="inlineStr"/>
      <c r="K903" t="inlineStr"/>
      <c r="L903" t="inlineStr"/>
      <c r="M903" t="inlineStr"/>
      <c r="N903" t="inlineStr"/>
      <c r="O903">
        <f>(1-Summary!$B$11)*S903+Summary!$B$11*U903</f>
        <v/>
      </c>
      <c r="P903">
        <f>IF(B927=0,0,O903/B927)</f>
        <v/>
      </c>
      <c r="Q903">
        <f>IFERROR(1/(IF(Inputs!$B$38="pvp",15,MAX(0.1,Skills!D13-IF(TRUE=TRUE,Inputs!$B$32,0)))*(1-IF(AND(ArtifactsInput!$M$27,Inputs!$B$4="Chapter Hunt"),CHOOSE(ArtifactsInput!$N$27+1,20,24,28,32,36,40),0)/100)),0)</f>
        <v/>
      </c>
      <c r="R903" t="n">
        <v>0</v>
      </c>
      <c r="S903" t="n">
        <v>0</v>
      </c>
      <c r="U903" t="n">
        <v>0</v>
      </c>
    </row>
    <row r="904">
      <c r="A904">
        <f>Skills!A14</f>
        <v/>
      </c>
      <c r="B904">
        <f>Skills!B14</f>
        <v/>
      </c>
      <c r="C904">
        <f>Inputs!$B$3&gt;=72</f>
        <v/>
      </c>
      <c r="D904">
        <f>IF(Skills!C14=1,60+Inputs!$B$25+Inputs!$B$29,IF(Skills!C14=2,90+Inputs!$B$26+Inputs!$B$29,IF(Skills!C14=3,120+Inputs!$B$27+Inputs!$B$29,MAX(0,(Inputs!$B$3-100)*3)+Inputs!$B$28+Inputs!$B$29)))</f>
        <v/>
      </c>
      <c r="E904">
        <f>INDEX(FactorTable!$B$2:$Y$301, MATCH(ROUND(MIN(300,MAX(1,D904)),0), FactorTable!$A$2:$A$301,0), Skills!L14+1)</f>
        <v/>
      </c>
      <c r="F904">
        <f>IF(Skills!M14=TRUE,(Skills!K14/10)*(E904/1000),Skills!K14/10)+Skills!N14</f>
        <v/>
      </c>
      <c r="G904">
        <f>Calc!G14</f>
        <v/>
      </c>
      <c r="H904">
        <f>Calc!H14</f>
        <v/>
      </c>
      <c r="I904">
        <f>IF(Skills!T14&lt;&gt;"",1+(Skills!T14/10)*(Z893/1000)/100,1)</f>
        <v/>
      </c>
      <c r="J904" t="inlineStr"/>
      <c r="K904" t="inlineStr"/>
      <c r="L904" t="inlineStr"/>
      <c r="M904" t="inlineStr"/>
      <c r="N904" t="inlineStr"/>
      <c r="O904">
        <f>(1-Summary!$B$11)*S904+Summary!$B$11*U904</f>
        <v/>
      </c>
      <c r="P904">
        <f>IF(B927=0,0,O904/B927)</f>
        <v/>
      </c>
      <c r="Q904">
        <f>IFERROR(1/(IF(Inputs!$B$38="pvp",15,MAX(0.1,Skills!D14-IF(TRUE=TRUE,Inputs!$B$32,0)))*(1-IF(AND(ArtifactsInput!$M$27,Inputs!$B$4="Chapter Hunt"),CHOOSE(ArtifactsInput!$N$27+1,20,24,28,32,36,40),0)/100)),0)</f>
        <v/>
      </c>
      <c r="R904" t="n">
        <v>0</v>
      </c>
      <c r="S904" t="n">
        <v>0</v>
      </c>
      <c r="U904" t="n">
        <v>0</v>
      </c>
    </row>
    <row r="905">
      <c r="A905">
        <f>Skills!A15</f>
        <v/>
      </c>
      <c r="B905">
        <f>Skills!B15</f>
        <v/>
      </c>
      <c r="C905">
        <f>Inputs!$B$3&gt;=75</f>
        <v/>
      </c>
      <c r="D905">
        <f>IF(Skills!C15=1,60+Inputs!$B$25+Inputs!$B$29,IF(Skills!C15=2,90+Inputs!$B$26+Inputs!$B$29,IF(Skills!C15=3,120+Inputs!$B$27+Inputs!$B$29,MAX(0,(Inputs!$B$3-100)*3)+Inputs!$B$28+Inputs!$B$29)))</f>
        <v/>
      </c>
      <c r="E905">
        <f>INDEX(FactorTable!$B$2:$Y$301, MATCH(ROUND(MIN(300,MAX(1,D905)),0), FactorTable!$A$2:$A$301,0), Skills!L15+1)</f>
        <v/>
      </c>
      <c r="F905">
        <f>IF(Skills!M15=TRUE,(Skills!K15/10)*(E905/1000),Skills!K15/10)+Skills!N15</f>
        <v/>
      </c>
      <c r="G905">
        <f>Calc!G15</f>
        <v/>
      </c>
      <c r="H905">
        <f>Calc!H15</f>
        <v/>
      </c>
      <c r="I905">
        <f>IF(Skills!T15&lt;&gt;"",1+(Skills!T15/10)*(Z893/1000)/100,1)</f>
        <v/>
      </c>
      <c r="J905" t="inlineStr"/>
      <c r="K905" t="inlineStr"/>
      <c r="L905" t="inlineStr"/>
      <c r="M905" t="inlineStr"/>
      <c r="N905" t="inlineStr"/>
      <c r="O905">
        <f>(1-Summary!$B$11)*S905+Summary!$B$11*U905</f>
        <v/>
      </c>
      <c r="P905">
        <f>IF(B927=0,0,O905/B927)</f>
        <v/>
      </c>
      <c r="Q905">
        <f>IFERROR(1/(IF(Inputs!$B$38="pvp",15,MAX(0.1,Skills!D15-IF(TRUE=TRUE,Inputs!$B$32,0)))*(1-IF(AND(ArtifactsInput!$M$27,Inputs!$B$4="Chapter Hunt"),CHOOSE(ArtifactsInput!$N$27+1,20,24,28,32,36,40),0)/100)),0)</f>
        <v/>
      </c>
      <c r="R905" t="n">
        <v>0</v>
      </c>
      <c r="S905" t="n">
        <v>0</v>
      </c>
      <c r="U905" t="n">
        <v>0</v>
      </c>
    </row>
    <row r="906">
      <c r="A906">
        <f>Skills!A16</f>
        <v/>
      </c>
      <c r="B906">
        <f>Skills!B16</f>
        <v/>
      </c>
      <c r="C906">
        <f>Inputs!$B$3&gt;=110</f>
        <v/>
      </c>
      <c r="D906">
        <f>IF(Skills!C16=1,60+Inputs!$B$25+Inputs!$B$29,IF(Skills!C16=2,90+Inputs!$B$26+Inputs!$B$29,IF(Skills!C16=3,120+Inputs!$B$27+Inputs!$B$29,MAX(0,(Inputs!$B$3-100)*3)+Inputs!$B$28+Inputs!$B$29)))</f>
        <v/>
      </c>
      <c r="E906">
        <f>INDEX(FactorTable!$B$2:$Y$301, MATCH(ROUND(MIN(300,MAX(1,D906)),0), FactorTable!$A$2:$A$301,0), Skills!L16+1)</f>
        <v/>
      </c>
      <c r="F906">
        <f>(Skills!K16/10)*(E906/1000)*64/45+Skills!N16</f>
        <v/>
      </c>
      <c r="G906">
        <f>Calc!G16</f>
        <v/>
      </c>
      <c r="H906">
        <f>Calc!H16</f>
        <v/>
      </c>
      <c r="I906">
        <f>IF(Skills!T16&lt;&gt;"",1+(Skills!T16/10)*(Z893/1000)/100,1)</f>
        <v/>
      </c>
      <c r="J906" t="inlineStr"/>
      <c r="K906" t="inlineStr"/>
      <c r="L906" t="inlineStr"/>
      <c r="M906" t="inlineStr"/>
      <c r="N906" t="inlineStr"/>
      <c r="O906">
        <f>(1-Summary!$B$11)*S906+Summary!$B$11*U906</f>
        <v/>
      </c>
      <c r="P906">
        <f>IF(B927=0,0,O906/B927)</f>
        <v/>
      </c>
      <c r="Q906">
        <f>IFERROR(1/(IF(Inputs!$B$38="pvp",15,MAX(0.1,Skills!D16-IF(TRUE=TRUE,Inputs!$B$32,0)))*(1-IF(AND(ArtifactsInput!$M$27,Inputs!$B$4="Chapter Hunt"),CHOOSE(ArtifactsInput!$N$27+1,20,24,28,32,36,40),0)/100)),0)</f>
        <v/>
      </c>
      <c r="R906">
        <f>IF(AND(Inputs!$B$38&lt;&gt;"pvp",Inputs!$B$43&gt;0),IF(Inputs!$B$43&lt;=0,0,(INT(Inputs!$B$43/(IF(Inputs!$B$38="pvp",15,MAX(0.1,Skills!D16-IF(TRUE=TRUE,Inputs!$B$32,0)))*(1-IF(AND(ArtifactsInput!$M$27,Inputs!$B$4="Chapter Hunt"),CHOOSE(ArtifactsInput!$N$27+1,20,24,28,32,36,40),0)/100)))+1)),0)</f>
        <v/>
      </c>
      <c r="S906" t="n">
        <v>0</v>
      </c>
      <c r="U906" t="n">
        <v>0</v>
      </c>
    </row>
    <row r="907">
      <c r="A907">
        <f>Skills!A17</f>
        <v/>
      </c>
      <c r="B907">
        <f>Skills!B17</f>
        <v/>
      </c>
      <c r="C907">
        <f>Inputs!$B$3&gt;=33</f>
        <v/>
      </c>
      <c r="D907">
        <f>IF(Skills!C17=1,60+Inputs!$B$25+Inputs!$B$29,IF(Skills!C17=2,90+Inputs!$B$26+Inputs!$B$29,IF(Skills!C17=3,120+Inputs!$B$27+Inputs!$B$29,MAX(0,(Inputs!$B$3-100)*3)+Inputs!$B$28+Inputs!$B$29)))</f>
        <v/>
      </c>
      <c r="E907">
        <f>INDEX(FactorTable!$B$2:$Y$301, MATCH(ROUND(MIN(300,MAX(1,D907)),0), FactorTable!$A$2:$A$301,0), Skills!L17+1)</f>
        <v/>
      </c>
      <c r="F907">
        <f>IF(Skills!M17=TRUE,(Skills!K17/10)*(E907/1000),Skills!K17/10)+Skills!N17</f>
        <v/>
      </c>
      <c r="G907">
        <f>Calc!G17</f>
        <v/>
      </c>
      <c r="H907">
        <f>Calc!H17</f>
        <v/>
      </c>
      <c r="I907">
        <f>IF(Skills!T17&lt;&gt;"",1+(Skills!T17/10)*(Z893/1000)/100,1)</f>
        <v/>
      </c>
      <c r="J907" t="inlineStr"/>
      <c r="K907" t="inlineStr"/>
      <c r="L907" t="inlineStr"/>
      <c r="M907" t="inlineStr"/>
      <c r="N907" t="inlineStr"/>
      <c r="O907">
        <f>(1-Summary!$B$11)*S907+Summary!$B$11*U907</f>
        <v/>
      </c>
      <c r="P907">
        <f>IF(B927=0,0,O907/B927)</f>
        <v/>
      </c>
      <c r="Q907">
        <f>IFERROR(1/(IF(Inputs!$B$38="pvp",15,MAX(0.1,Skills!D17-IF(TRUE=TRUE,Inputs!$B$32,0)))*(1-IF(AND(ArtifactsInput!$M$27,Inputs!$B$4="Chapter Hunt"),CHOOSE(ArtifactsInput!$N$27+1,20,24,28,32,36,40),0)/100)),0)</f>
        <v/>
      </c>
      <c r="R907" t="n">
        <v>0</v>
      </c>
      <c r="S907" t="n">
        <v>0</v>
      </c>
      <c r="U907" t="n">
        <v>0</v>
      </c>
    </row>
    <row r="908">
      <c r="A908">
        <f>Skills!A18</f>
        <v/>
      </c>
      <c r="B908">
        <f>Skills!B18</f>
        <v/>
      </c>
      <c r="C908">
        <f>Inputs!$B$3&gt;=43</f>
        <v/>
      </c>
      <c r="D908">
        <f>IF(Skills!C18=1,60+Inputs!$B$25+Inputs!$B$29,IF(Skills!C18=2,90+Inputs!$B$26+Inputs!$B$29,IF(Skills!C18=3,120+Inputs!$B$27+Inputs!$B$29,MAX(0,(Inputs!$B$3-100)*3)+Inputs!$B$28+Inputs!$B$29)))</f>
        <v/>
      </c>
      <c r="E908">
        <f>INDEX(FactorTable!$B$2:$Y$301, MATCH(ROUND(MIN(300,MAX(1,D908)),0), FactorTable!$A$2:$A$301,0), Skills!L18+1)</f>
        <v/>
      </c>
      <c r="F908">
        <f>IF(Skills!M18=TRUE,(Skills!K18/10)*(E908/1000),Skills!K18/10)+Skills!N18</f>
        <v/>
      </c>
      <c r="G908">
        <f>Calc!G18</f>
        <v/>
      </c>
      <c r="H908">
        <f>Calc!H18</f>
        <v/>
      </c>
      <c r="I908">
        <f>IF(Skills!T18&lt;&gt;"",1+(Skills!T18/10)*(Z893/1000)/100,1)</f>
        <v/>
      </c>
      <c r="J908" t="inlineStr"/>
      <c r="K908" t="inlineStr"/>
      <c r="L908" t="inlineStr"/>
      <c r="M908" t="inlineStr"/>
      <c r="N908" t="inlineStr"/>
      <c r="O908">
        <f>(1-Summary!$B$11)*S908+Summary!$B$11*U908</f>
        <v/>
      </c>
      <c r="P908">
        <f>IF(B927=0,0,O908/B927)</f>
        <v/>
      </c>
      <c r="Q908">
        <f>IFERROR(1/(IF(Inputs!$B$38="pvp",15,MAX(0.1,Skills!D18-IF(TRUE=TRUE,Inputs!$B$32,0)))*(1-IF(AND(ArtifactsInput!$M$27,Inputs!$B$4="Chapter Hunt"),CHOOSE(ArtifactsInput!$N$27+1,20,24,28,32,36,40),0)/100)),0)</f>
        <v/>
      </c>
      <c r="R908" t="n">
        <v>0</v>
      </c>
      <c r="S908" t="n">
        <v>0</v>
      </c>
      <c r="U908" t="n">
        <v>0</v>
      </c>
    </row>
    <row r="909">
      <c r="A909">
        <f>Skills!A19</f>
        <v/>
      </c>
      <c r="B909">
        <f>Skills!B19</f>
        <v/>
      </c>
      <c r="C909">
        <f>Inputs!$B$3&gt;=50</f>
        <v/>
      </c>
      <c r="D909">
        <f>IF(Skills!C19=1,60+Inputs!$B$25+Inputs!$B$29,IF(Skills!C19=2,90+Inputs!$B$26+Inputs!$B$29,IF(Skills!C19=3,120+Inputs!$B$27+Inputs!$B$29,MAX(0,(Inputs!$B$3-100)*3)+Inputs!$B$28+Inputs!$B$29)))</f>
        <v/>
      </c>
      <c r="E909">
        <f>INDEX(FactorTable!$B$2:$Y$301, MATCH(ROUND(MIN(300,MAX(1,D909)),0), FactorTable!$A$2:$A$301,0), Skills!L19+1)</f>
        <v/>
      </c>
      <c r="F909">
        <f>IF(Skills!M19=TRUE,(Skills!K19/10)*(E909/1000),Skills!K19/10)+Skills!N19</f>
        <v/>
      </c>
      <c r="G909">
        <f>Calc!G19</f>
        <v/>
      </c>
      <c r="H909">
        <f>Calc!H19</f>
        <v/>
      </c>
      <c r="I909">
        <f>IF(Skills!T19&lt;&gt;"",1+(Skills!T19/10)*(Z893/1000)/100,1)</f>
        <v/>
      </c>
      <c r="J909" t="inlineStr"/>
      <c r="K909" t="inlineStr"/>
      <c r="L909" t="inlineStr"/>
      <c r="M909" t="inlineStr"/>
      <c r="N909" t="inlineStr"/>
      <c r="O909">
        <f>(1-Summary!$B$11)*S909+Summary!$B$11*U909</f>
        <v/>
      </c>
      <c r="P909">
        <f>IF(B927=0,0,O909/B927)</f>
        <v/>
      </c>
      <c r="Q909">
        <f>IFERROR(1/(IF(Inputs!$B$38="pvp",15,MAX(0.1,Skills!D19-IF(TRUE=TRUE,Inputs!$B$32,0)))*(1-IF(AND(ArtifactsInput!$M$27,Inputs!$B$4="Chapter Hunt"),CHOOSE(ArtifactsInput!$N$27+1,20,24,28,32,36,40),0)/100)),0)</f>
        <v/>
      </c>
      <c r="R909" t="n">
        <v>0</v>
      </c>
      <c r="S909" t="n">
        <v>0</v>
      </c>
      <c r="U909" t="n">
        <v>0</v>
      </c>
    </row>
    <row r="910">
      <c r="A910">
        <f>Skills!A20</f>
        <v/>
      </c>
      <c r="B910">
        <f>Skills!B20</f>
        <v/>
      </c>
      <c r="C910">
        <f>Inputs!$B$3&gt;=74</f>
        <v/>
      </c>
      <c r="D910">
        <f>IF(Skills!C20=1,60+Inputs!$B$25+Inputs!$B$29,IF(Skills!C20=2,90+Inputs!$B$26+Inputs!$B$29,IF(Skills!C20=3,120+Inputs!$B$27+Inputs!$B$29,MAX(0,(Inputs!$B$3-100)*3)+Inputs!$B$28+Inputs!$B$29)))</f>
        <v/>
      </c>
      <c r="E910">
        <f>INDEX(FactorTable!$B$2:$Y$301, MATCH(ROUND(MIN(300,MAX(1,D910)),0), FactorTable!$A$2:$A$301,0), Skills!L20+1)</f>
        <v/>
      </c>
      <c r="F910">
        <f>IF(Skills!M20=TRUE,(Skills!K20/10)*(E910/1000),Skills!K20/10)+Skills!N20</f>
        <v/>
      </c>
      <c r="G910">
        <f>Calc!G20</f>
        <v/>
      </c>
      <c r="H910">
        <f>Calc!H20</f>
        <v/>
      </c>
      <c r="I910">
        <f>IF(Skills!T20&lt;&gt;"",1+(Skills!T20/10)*(Z893/1000)/100,1)</f>
        <v/>
      </c>
      <c r="J910" t="inlineStr"/>
      <c r="K910" t="inlineStr"/>
      <c r="L910" t="inlineStr"/>
      <c r="M910" t="inlineStr"/>
      <c r="N910" t="inlineStr"/>
      <c r="O910">
        <f>(1-Summary!$B$11)*S910+Summary!$B$11*U910</f>
        <v/>
      </c>
      <c r="P910">
        <f>IF(B927=0,0,O910/B927)</f>
        <v/>
      </c>
      <c r="Q910">
        <f>IFERROR(1/(IF(Inputs!$B$38="pvp",15,MAX(0.1,Skills!D20-IF(TRUE=TRUE,Inputs!$B$32,0)))*(1-IF(AND(ArtifactsInput!$M$27,Inputs!$B$4="Chapter Hunt"),CHOOSE(ArtifactsInput!$N$27+1,20,24,28,32,36,40),0)/100)),0)</f>
        <v/>
      </c>
      <c r="R910" t="n">
        <v>0</v>
      </c>
      <c r="S910" t="n">
        <v>0</v>
      </c>
      <c r="U910" t="n">
        <v>0</v>
      </c>
    </row>
    <row r="911">
      <c r="A911">
        <f>Skills!A21</f>
        <v/>
      </c>
      <c r="B911">
        <f>Skills!B21</f>
        <v/>
      </c>
      <c r="C911">
        <f>Inputs!$B$3&gt;=74</f>
        <v/>
      </c>
      <c r="D911">
        <f>IF(Skills!C21=1,60+Inputs!$B$25+Inputs!$B$29,IF(Skills!C21=2,90+Inputs!$B$26+Inputs!$B$29,IF(Skills!C21=3,120+Inputs!$B$27+Inputs!$B$29,MAX(0,(Inputs!$B$3-100)*3)+Inputs!$B$28+Inputs!$B$29)))</f>
        <v/>
      </c>
      <c r="E911">
        <f>INDEX(FactorTable!$B$2:$Y$301, MATCH(ROUND(MIN(300,MAX(1,D911)),0), FactorTable!$A$2:$A$301,0), Skills!L21+1)</f>
        <v/>
      </c>
      <c r="F911">
        <f>IF(Skills!M21=TRUE,(Skills!K21/10)*(E911/1000),Skills!K21/10)+Skills!N21</f>
        <v/>
      </c>
      <c r="G911">
        <f>Calc!G21</f>
        <v/>
      </c>
      <c r="H911">
        <f>Calc!H21</f>
        <v/>
      </c>
      <c r="I911">
        <f>IF(Skills!T21&lt;&gt;"",1+(Skills!T21/10)*(Z893/1000)/100,1)</f>
        <v/>
      </c>
      <c r="J911" t="inlineStr"/>
      <c r="K911" t="inlineStr"/>
      <c r="L911" t="inlineStr"/>
      <c r="M911" t="inlineStr"/>
      <c r="N911" t="inlineStr"/>
      <c r="O911">
        <f>(1-Summary!$B$11)*S911+Summary!$B$11*U911</f>
        <v/>
      </c>
      <c r="P911">
        <f>IF(B927=0,0,O911/B927)</f>
        <v/>
      </c>
      <c r="Q911">
        <f>IFERROR(1/(IF(Inputs!$B$38="pvp",15,MAX(0.1,Skills!D21-IF(TRUE=TRUE,Inputs!$B$32,0)))*(1-IF(AND(ArtifactsInput!$M$27,Inputs!$B$4="Chapter Hunt"),CHOOSE(ArtifactsInput!$N$27+1,20,24,28,32,36,40),0)/100)),0)</f>
        <v/>
      </c>
      <c r="R911" t="n">
        <v>0</v>
      </c>
      <c r="S911" t="n">
        <v>0</v>
      </c>
      <c r="U911" t="n">
        <v>0</v>
      </c>
    </row>
    <row r="912">
      <c r="A912">
        <f>Skills!A22</f>
        <v/>
      </c>
      <c r="B912">
        <f>Skills!B22</f>
        <v/>
      </c>
      <c r="C912">
        <f>Inputs!$B$3&gt;=117</f>
        <v/>
      </c>
      <c r="D912">
        <f>IF(Skills!C22=1,60+Inputs!$B$25+Inputs!$B$29,IF(Skills!C22=2,90+Inputs!$B$26+Inputs!$B$29,IF(Skills!C22=3,120+Inputs!$B$27+Inputs!$B$29,MAX(0,(Inputs!$B$3-100)*3)+Inputs!$B$28+Inputs!$B$29)))</f>
        <v/>
      </c>
      <c r="E912">
        <f>INDEX(FactorTable!$B$2:$Y$301, MATCH(ROUND(MIN(300,MAX(1,D912)),0), FactorTable!$A$2:$A$301,0), Skills!L22+1)</f>
        <v/>
      </c>
      <c r="F912">
        <f>IF(Skills!M22=TRUE,(Skills!K22/10)*(E912/1000),Skills!K22/10)+Skills!N22</f>
        <v/>
      </c>
      <c r="G912">
        <f>Calc!G22</f>
        <v/>
      </c>
      <c r="H912">
        <f>Calc!H22</f>
        <v/>
      </c>
      <c r="I912">
        <f>IF(Skills!T22&lt;&gt;"",1+(Skills!T22/10)*(Z893/1000)/100,1)</f>
        <v/>
      </c>
      <c r="J912" t="inlineStr"/>
      <c r="K912" t="inlineStr"/>
      <c r="L912" t="inlineStr"/>
      <c r="M912" t="inlineStr"/>
      <c r="N912" t="inlineStr"/>
      <c r="O912">
        <f>(1-Summary!$B$11)*S912+Summary!$B$11*U912</f>
        <v/>
      </c>
      <c r="P912">
        <f>IF(B927=0,0,O912/B927)</f>
        <v/>
      </c>
      <c r="Q912">
        <f>IFERROR(1/(IF(Inputs!$B$38="pvp",15,MAX(0.1,Skills!D22-IF(TRUE=TRUE,Inputs!$B$32,0)))*(1-IF(AND(ArtifactsInput!$M$27,Inputs!$B$4="Chapter Hunt"),CHOOSE(ArtifactsInput!$N$27+1,20,24,28,32,36,40),0)/100)),0)</f>
        <v/>
      </c>
      <c r="R912" t="n">
        <v>0</v>
      </c>
      <c r="S912" t="n">
        <v>0</v>
      </c>
      <c r="U912" t="n">
        <v>0</v>
      </c>
    </row>
    <row r="913">
      <c r="A913">
        <f>Skills!A23</f>
        <v/>
      </c>
      <c r="B913">
        <f>Skills!B23</f>
        <v/>
      </c>
      <c r="C913">
        <f>Inputs!$B$3&gt;=120</f>
        <v/>
      </c>
      <c r="D913">
        <f>IF(Skills!C23=1,60+Inputs!$B$25+Inputs!$B$29,IF(Skills!C23=2,90+Inputs!$B$26+Inputs!$B$29,IF(Skills!C23=3,120+Inputs!$B$27+Inputs!$B$29,MAX(0,(Inputs!$B$3-100)*3)+Inputs!$B$28+Inputs!$B$29)))</f>
        <v/>
      </c>
      <c r="E913">
        <f>INDEX(FactorTable!$B$2:$Y$301, MATCH(ROUND(MIN(300,MAX(1,D913)),0), FactorTable!$A$2:$A$301,0), Skills!L23+1)</f>
        <v/>
      </c>
      <c r="F913">
        <f>IF(Skills!M23=TRUE,(Skills!K23/10)*(E913/1000),Skills!K23/10)+Skills!N23</f>
        <v/>
      </c>
      <c r="G913">
        <f>Calc!G23</f>
        <v/>
      </c>
      <c r="H913">
        <f>Calc!H23</f>
        <v/>
      </c>
      <c r="I913">
        <f>IF(Skills!T23&lt;&gt;"",1+(Skills!T23/10)*(Z893/1000)/100,1)</f>
        <v/>
      </c>
      <c r="J913" t="inlineStr"/>
      <c r="K913" t="inlineStr"/>
      <c r="L913" t="inlineStr"/>
      <c r="M913" t="inlineStr"/>
      <c r="N913" t="inlineStr"/>
      <c r="O913">
        <f>(1-Summary!$B$11)*S913+Summary!$B$11*U913</f>
        <v/>
      </c>
      <c r="P913">
        <f>IF(B927=0,0,O913/B927)</f>
        <v/>
      </c>
      <c r="Q913">
        <f>IFERROR(1/(IF(Inputs!$B$38="pvp",15,MAX(0.1,Skills!D23-IF(TRUE=TRUE,Inputs!$B$32,0)))*(1-IF(AND(ArtifactsInput!$M$27,Inputs!$B$4="Chapter Hunt"),CHOOSE(ArtifactsInput!$N$27+1,20,24,28,32,36,40),0)/100)),0)</f>
        <v/>
      </c>
      <c r="R913" t="n">
        <v>0</v>
      </c>
      <c r="S913" t="n">
        <v>0</v>
      </c>
      <c r="U913" t="n">
        <v>0</v>
      </c>
    </row>
    <row r="914">
      <c r="A914">
        <f>Skills!A24</f>
        <v/>
      </c>
      <c r="B914">
        <f>Skills!B24</f>
        <v/>
      </c>
      <c r="C914">
        <f>TRUE</f>
        <v/>
      </c>
      <c r="D914">
        <f>IF(Skills!C24=1,60+Inputs!$B$25+Inputs!$B$29,IF(Skills!C24=2,90+Inputs!$B$26+Inputs!$B$29,IF(Skills!C24=3,120+Inputs!$B$27+Inputs!$B$29,MAX(0,(Inputs!$B$3-100)*3)+Inputs!$B$28+Inputs!$B$29)))</f>
        <v/>
      </c>
      <c r="E914">
        <f>INDEX(FactorTable!$B$2:$Y$301, MATCH(ROUND(MIN(300,MAX(1,D914)),0), FactorTable!$A$2:$A$301,0), Skills!L24+1)</f>
        <v/>
      </c>
      <c r="F914">
        <f>IF(Skills!M24=TRUE,(Skills!K24/10)*(E914/1000),Skills!K24/10)+Skills!N24</f>
        <v/>
      </c>
      <c r="G914">
        <f>Calc!G24</f>
        <v/>
      </c>
      <c r="H914">
        <f>Calc!H24</f>
        <v/>
      </c>
      <c r="I914">
        <f>IF(Skills!T24&lt;&gt;"",1+(Skills!T24/10)*(Z893/1000)/100,1)</f>
        <v/>
      </c>
      <c r="J914" t="inlineStr"/>
      <c r="K914" t="inlineStr"/>
      <c r="L914" t="inlineStr"/>
      <c r="M914" t="inlineStr"/>
      <c r="N914" t="inlineStr"/>
      <c r="O914">
        <f>(1-Summary!$B$11)*S914+Summary!$B$11*U914</f>
        <v/>
      </c>
      <c r="P914">
        <f>IF(B927=0,0,O914/B927)</f>
        <v/>
      </c>
      <c r="Q914">
        <f>IFERROR(1/(IF(Inputs!$B$38="pvp",15,MAX(0.1,Skills!D24-IF(TRUE=TRUE,Inputs!$B$32,0)))*(1-IF(AND(ArtifactsInput!$M$27,Inputs!$B$4="Chapter Hunt"),CHOOSE(ArtifactsInput!$N$27+1,20,24,28,32,36,40),0)/100)),0)</f>
        <v/>
      </c>
      <c r="R914">
        <f>IF(AND(Inputs!$B$38&lt;&gt;"pvp",Inputs!$B$43&gt;0),IF(Inputs!$B$43&lt;=0,0,(INT(Inputs!$B$43/(IF(Inputs!$B$38="pvp",15,MAX(0.1,Skills!D24-IF(TRUE=TRUE,Inputs!$B$32,0)))*(1-IF(AND(ArtifactsInput!$M$27,Inputs!$B$4="Chapter Hunt"),CHOOSE(ArtifactsInput!$N$27+1,20,24,28,32,36,40),0)/100)))+1)),0)</f>
        <v/>
      </c>
      <c r="S914" t="n">
        <v>0</v>
      </c>
      <c r="U914" t="n">
        <v>0</v>
      </c>
    </row>
    <row r="917">
      <c r="A917" t="inlineStr">
        <is>
          <t>Average Buff Multiplier (Magic Guard + Meditation + Artifact Attack%, summed; then Infinity)</t>
        </is>
      </c>
      <c r="B917">
        <f>(1+(IF(C893=TRUE,F893*IF(AND(Inputs!$B$38&lt;&gt;"pvp",Inputs!$B$43&gt;0),(((R893-1)*MIN((Skills!S3*(1+(Inputs!$B$34)/100)),(1/Q893))+MIN((Skills!S3*(1+(Inputs!$B$34)/100)),MAX(0,Inputs!$B$43-((R893-1)*(1/Q893)))))/Inputs!$B$43),IF(Inputs!$B$38="pvp",MIN((Skills!S3*(1+(Inputs!$B$34)/100)),15)/15,MIN(1,(Skills!S3*(1+(Inputs!$B$34)/100))/(1/Q893)))),0)+IF(C894=TRUE,F894*IF(AND(Inputs!$B$38&lt;&gt;"pvp",Inputs!$B$43&gt;0),(((R894-1)*MIN((Skills!S4*(1+(Inputs!$B$34)/100)),(1/Q894))+MIN((Skills!S4*(1+(Inputs!$B$34)/100)),MAX(0,Inputs!$B$43-((R894-1)*(1/Q894)))))/Inputs!$B$43),IF(Inputs!$B$38="pvp",MIN((Skills!S4*(1+(Inputs!$B$34)/100)),15)/15,MIN(1,(Skills!S4*(1+(Inputs!$B$34)/100))/(1/Q894)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906=TRUE,(1+F906*IF(AND(Inputs!$B$38&lt;&gt;"pvp",Inputs!$B$43&gt;0),(((R906-1)*MIN((Skills!S16*(1+(Inputs!$B$34)/100)),(1/Q906))+MIN((Skills!S16*(1+(Inputs!$B$34)/100)),MAX(0,Inputs!$B$43-((R906-1)*(1/Q906)))))/Inputs!$B$43),IF(Inputs!$B$38="pvp",MIN((Skills!S16*(1+(Inputs!$B$34)/100)),15)/15,MIN(1,(Skills!S16*(1+(Inputs!$B$34)/100))/(1/Q906))))/100),1)</f>
        <v/>
      </c>
    </row>
    <row r="918">
      <c r="A918" t="inlineStr">
        <is>
          <t>Monster Damage Taken Bonus % (Freezing Breath - Weaken + Elemental Reset + Artifact Enemy Damage Taken, summed)</t>
        </is>
      </c>
      <c r="B918">
        <f>IF(Inputs!$B$3&gt;=118,15*IF(Inputs!$B$38="pvp",MIN((30*(1+(Inputs!$B$34)/100)),15)/15,MIN(1,(30*(1+(Inputs!$B$34)/100))/(1/Q898))),0)+IF(C904=TRUE,F904,0)+(IF(AND(ArtifactsInput!$M$35,Inputs!$B$4&lt;&gt;"Chapter Hunt"),CHOOSE(ArtifactsInput!$N$35+1,15,18,21,24,27,30)*(1-EXP(-(0.2*B921)*5)),0)+IF(AND(ArtifactsInput!$M$22,Inputs!$B$4&lt;&gt;"Chapter Hunt"),CHOOSE(ArtifactsInput!$N$22+1,10,12,14,16,18,20)*((0*(((0.15*B921*5))^0/1)+1*(((0.15*B921*5))^1/1)+2*(((0.15*B921*5))^2/2)+3*(((0.15*B921*5))^3/6)+4*(((0.15*B921*5))^4/24)+5*(((0.15*B921*5))^5/120))/((((0.15*B921*5))^0/1)+(((0.15*B921*5))^1/1)+(((0.15*B921*5))^2/2)+(((0.15*B921*5))^3/6)+(((0.15*B921*5))^4/24)+(((0.15*B921*5))^5/120))),0))</f>
        <v/>
      </c>
    </row>
    <row r="919">
      <c r="A919" t="inlineStr">
        <is>
          <t>Damage % Bonus (Frozen Break + Frost Clutch, flat)</t>
        </is>
      </c>
      <c r="B919">
        <f>IF(Inputs!$B$3&gt;=66,15,0)+IF(Inputs!$B$3&gt;=98,10,0)+IF(Inputs!$B$3&gt;=125,20,0)</f>
        <v/>
      </c>
    </row>
    <row r="920">
      <c r="A920" t="inlineStr">
        <is>
          <t>Attack Speed Bonus % (MP Eater - MP Boost, always-on + Nimble Feet, duty-cycle averaged)</t>
        </is>
      </c>
      <c r="B920">
        <f>IF(C903=TRUE,F903+(F907-Calc!F17),0)+((C914=TRUE)*F914*IF(AND(Inputs!$B$38&lt;&gt;"pvp",Inputs!$B$43&gt;0),(((R914-1)*MIN((Skills!S24*(1+(Inputs!$B$34)/100)),(1/Q914))+MIN((Skills!S24*(1+(Inputs!$B$34)/100)),MAX(0,Inputs!$B$43-((R914-1)*(1/Q914)))))/Inputs!$B$43),IF(Inputs!$B$38="pvp",MIN((Skills!S24*(1+(Inputs!$B$34)/100)),15)/15,MIN(1,(Skills!S24*(1+(Inputs!$B$34)/100))/(1/Q914)))))</f>
        <v/>
      </c>
    </row>
    <row r="921">
      <c r="A921" t="inlineStr">
        <is>
          <t>Actions Per Second</t>
        </is>
      </c>
      <c r="B921">
        <f>1+MIN(150,150*(1-(1-(Inputs!$B$11+(ArtifactsInput!$M$15-ArtifactsInput!$M$15)*CHOOSE(ArtifactsInput!$N$15+1,8,9.6,11.2,12.8,14.4,16))/150)*(1-B920/150)))/100</f>
        <v/>
      </c>
    </row>
    <row r="922">
      <c r="A922" t="inlineStr">
        <is>
          <t>Skill + Buff Cast Rate</t>
        </is>
      </c>
      <c r="B922">
        <f>IF(AND(Inputs!$B$38&lt;&gt;"pvp",Inputs!$B$43&gt;0),SUMPRODUCT((Skills!E2:E24=TRUE)*(C892:C914=TRUE)*R892:R914)/Inputs!$B$43,SUMPRODUCT((Skills!E2:E24=TRUE)*(C892:C914=TRUE)*Q892:Q914))</f>
        <v/>
      </c>
    </row>
    <row r="923">
      <c r="A923" t="inlineStr">
        <is>
          <t>Chain Lightning Casts Per Second</t>
        </is>
      </c>
      <c r="B923">
        <f>MAX(0,B921-B922)</f>
        <v/>
      </c>
    </row>
    <row r="924">
      <c r="A924" t="inlineStr">
        <is>
          <t>Buff-Casting Startup Delay (s, fixed-duration only)</t>
        </is>
      </c>
      <c r="B924">
        <f>IF(AND(Inputs!$B$38&lt;&gt;"pvp",Inputs!$B$43&gt;0),SUMPRODUCT((Skills!S2:S24&gt;0)*(Skills!E2:E24=TRUE)*(C892:C914=TRUE))/B921,0)</f>
        <v/>
      </c>
    </row>
    <row r="925">
      <c r="A925" t="inlineStr">
        <is>
          <t>Boss-Only Total DPS (this block's swept value)</t>
        </is>
      </c>
      <c r="B925">
        <f>SUM(S892:S914)</f>
        <v/>
      </c>
    </row>
    <row r="926">
      <c r="A926" t="inlineStr">
        <is>
          <t>Normal-Only Total DPS (this block's swept value)</t>
        </is>
      </c>
      <c r="B926">
        <f>SUM(U892:U914)</f>
        <v/>
      </c>
    </row>
    <row r="927">
      <c r="A927" s="6" t="inlineStr">
        <is>
          <t>TOTAL DPS</t>
        </is>
      </c>
      <c r="B927" s="6">
        <f>SUM(O892:O914)</f>
        <v/>
      </c>
    </row>
    <row r="928">
      <c r="A928" t="inlineStr">
        <is>
          <t>Blizzard Final Attack trigger rate (this block's own Q/R)</t>
        </is>
      </c>
      <c r="B928">
        <f>IF(AND(Inputs!$B$38&lt;&gt;"pvp",Inputs!$B$43&gt;0),(((C895=TRUE)*R895*1)+((C896=TRUE)*R896*1)+((C898=TRUE)*R898*1)+((C899=TRUE)*R899*3)+((C901=TRUE)*R901*1))/Inputs!$B$43,((C895=TRUE)*Q895*1)+((C896=TRUE)*Q896*1)+((C898=TRUE)*Q898*1)+((C899=TRUE)*Q899*3)+((C901=TRUE)*Q901*1))+B923</f>
        <v/>
      </c>
    </row>
    <row r="931">
      <c r="A931" s="6" t="inlineStr">
        <is>
          <t>Stat: ATTACK %</t>
        </is>
      </c>
    </row>
    <row r="932">
      <c r="A932" s="5" t="inlineStr">
        <is>
          <t>Key</t>
        </is>
      </c>
      <c r="B932" s="5" t="inlineStr">
        <is>
          <t>Name</t>
        </is>
      </c>
      <c r="C932" s="5" t="inlineStr">
        <is>
          <t>Unlocked</t>
        </is>
      </c>
      <c r="D932" s="5" t="inlineStr">
        <is>
          <t>InputLevel</t>
        </is>
      </c>
      <c r="E932" s="5" t="inlineStr">
        <is>
          <t>Factor</t>
        </is>
      </c>
      <c r="F932" s="5" t="inlineStr">
        <is>
          <t>CoefficientPercent</t>
        </is>
      </c>
      <c r="G932" s="5" t="inlineStr">
        <is>
          <t>EffectiveHits</t>
        </is>
      </c>
      <c r="H932" s="5" t="inlineStr">
        <is>
          <t>ProcProbability</t>
        </is>
      </c>
      <c r="I932" s="5" t="inlineStr">
        <is>
          <t>MapleHeroMultiplier</t>
        </is>
      </c>
      <c r="J932" s="5" t="inlineStr">
        <is>
          <t>BaseDamage</t>
        </is>
      </c>
      <c r="K932" s="5" t="inlineStr">
        <is>
          <t>BaseHitDamage</t>
        </is>
      </c>
      <c r="L932" s="5" t="inlineStr">
        <is>
          <t>NonCritAvg</t>
        </is>
      </c>
      <c r="M932" s="5" t="inlineStr">
        <is>
          <t>CritAvg</t>
        </is>
      </c>
      <c r="N932" s="5" t="inlineStr">
        <is>
          <t>ExpectedDamage(perHit)</t>
        </is>
      </c>
      <c r="O932" s="5" t="inlineStr">
        <is>
          <t>DPS</t>
        </is>
      </c>
      <c r="P932" s="5" t="inlineStr">
        <is>
          <t>% of Total</t>
        </is>
      </c>
      <c r="R932" t="inlineStr">
        <is>
          <t>helpers</t>
        </is>
      </c>
    </row>
    <row r="933">
      <c r="A933">
        <f>Skills!A2</f>
        <v/>
      </c>
      <c r="B933">
        <f>Skills!B2</f>
        <v/>
      </c>
      <c r="C933">
        <f>Inputs!$B$3&gt;=100</f>
        <v/>
      </c>
      <c r="D933" t="inlineStr"/>
      <c r="E933" t="inlineStr"/>
      <c r="F933">
        <f>T935+Skills!N2</f>
        <v/>
      </c>
      <c r="G933">
        <f>Calc!G2</f>
        <v/>
      </c>
      <c r="H933">
        <f>Calc!H2</f>
        <v/>
      </c>
      <c r="I933">
        <f>IF(Skills!T2&lt;&gt;"",1+(Skills!T2/10)*(Z934/1000)/100,1)</f>
        <v/>
      </c>
      <c r="J933">
        <f>((Inputs!$B$6*(1+(Inputs!$B$7+1)/100))+(((Inputs!$B$12*(1+Inputs!$B$13/100))-(Inputs!$B$12*(1+Inputs!$B$13/100)))+0.25*(Inputs!$B$14-Inputs!$B$14))*(1+(Inputs!$B$7+1)/100))*(F933/100)</f>
        <v/>
      </c>
      <c r="K933">
        <f>J933*(1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2="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933)</f>
        <v/>
      </c>
      <c r="L933">
        <f>K933*(MIN(Inputs!$B$22+(F949-Calc!F18),(Inputs!$B$23+(IF(ArtifactsInput!$M$15,CHOOSE(ArtifactsInput!$N$15+1,25,30,35,40,45,50)/100*(Inputs!$B$11-Inputs!$B$11),0))))/100+(Inputs!$B$23+(IF(ArtifactsInput!$M$15,CHOOSE(ArtifactsInput!$N$15+1,25,30,35,40,45,50)/100*(Inputs!$B$11-Inputs!$B$11),0)))/100)/2</f>
        <v/>
      </c>
      <c r="M933">
        <f>L933*(1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3">
        <f>L933*(1-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933*(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3">
        <f>(1-Summary!$B$11)*S933+Summary!$B$11*U933</f>
        <v/>
      </c>
      <c r="P933">
        <f>IF(B968=0,0,O933/B968)</f>
        <v/>
      </c>
      <c r="Q933">
        <f>IFERROR(1/(IF(Inputs!$B$38="pvp",15,MAX(0.1,Skills!D2-IF(TRUE=TRUE,Inputs!$B$32,0)))*(1-IF(AND(ArtifactsInput!$M$27,Inputs!$B$4="Chapter Hunt"),CHOOSE(ArtifactsInput!$N$27+1,20,24,28,32,36,40),0)/100)),0)</f>
        <v/>
      </c>
      <c r="R933" t="n">
        <v>0</v>
      </c>
      <c r="S933">
        <f>IF(C933,(Skills!F2*N933*B964)*IF(Inputs!$B$38="pvp",1,1+(Inputs!$B$20+Skills!O2+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933*(1-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933*(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933*(1-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933*(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33">
        <f>MAX(0,(Inputs!$B$3-100)*3)+Inputs!$B$28+Inputs!$B$29</f>
        <v/>
      </c>
      <c r="U933">
        <f>IF(C933,(Skills!F2*N933*B964)*IF(Inputs!$B$38="pvp",1,(1+(Inputs!$B$21+Skills!P2+B959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933">
        <f>MAX(0,(Inputs!$B$3-100)*3)+Inputs!$B$28+Inputs!$B$29</f>
        <v/>
      </c>
    </row>
    <row r="934">
      <c r="A934">
        <f>Skills!A3</f>
        <v/>
      </c>
      <c r="B934">
        <f>Skills!B3</f>
        <v/>
      </c>
      <c r="C934">
        <f>Inputs!$B$3&gt;=15</f>
        <v/>
      </c>
      <c r="D934">
        <f>IF(Skills!C3=1,60+Inputs!$B$25+Inputs!$B$29,IF(Skills!C3=2,90+Inputs!$B$26+Inputs!$B$29,IF(Skills!C3=3,120+Inputs!$B$27+Inputs!$B$29,MAX(0,(Inputs!$B$3-100)*3)+Inputs!$B$28+Inputs!$B$29)))</f>
        <v/>
      </c>
      <c r="E934">
        <f>INDEX(FactorTable!$B$2:$Y$301, MATCH(ROUND(MIN(300,MAX(1,D934)),0), FactorTable!$A$2:$A$301,0), Skills!L3+1)</f>
        <v/>
      </c>
      <c r="F934">
        <f>IF(Skills!M3=TRUE,(Skills!K3/10)*(E934/1000),Skills!K3/10)+Skills!N3</f>
        <v/>
      </c>
      <c r="G934">
        <f>Calc!G3</f>
        <v/>
      </c>
      <c r="H934">
        <f>Calc!H3</f>
        <v/>
      </c>
      <c r="I934">
        <f>IF(Skills!T3&lt;&gt;"",1+(Skills!T3/10)*(Z934/1000)/100,1)</f>
        <v/>
      </c>
      <c r="J934" t="inlineStr"/>
      <c r="K934" t="inlineStr"/>
      <c r="L934" t="inlineStr"/>
      <c r="M934" t="inlineStr"/>
      <c r="N934" t="inlineStr"/>
      <c r="O934">
        <f>(1-Summary!$B$11)*S934+Summary!$B$11*U934</f>
        <v/>
      </c>
      <c r="P934">
        <f>IF(B968=0,0,O934/B968)</f>
        <v/>
      </c>
      <c r="Q934">
        <f>IFERROR(1/(IF(Inputs!$B$38="pvp",15,MAX(0.1,Skills!D3-IF(TRUE=TRUE,Inputs!$B$32,0)))*(1-IF(AND(ArtifactsInput!$M$27,Inputs!$B$4="Chapter Hunt"),CHOOSE(ArtifactsInput!$N$27+1,20,24,28,32,36,40),0)/100)),0)</f>
        <v/>
      </c>
      <c r="R934">
        <f>IF(AND(Inputs!$B$38&lt;&gt;"pvp",Inputs!$B$43&gt;0),IF(Inputs!$B$43&lt;=0,0,(INT(Inputs!$B$43/(IF(Inputs!$B$38="pvp",15,MAX(0.1,Skills!D3-IF(TRUE=TRUE,Inputs!$B$32,0)))*(1-IF(AND(ArtifactsInput!$M$27,Inputs!$B$4="Chapter Hunt"),CHOOSE(ArtifactsInput!$N$27+1,20,24,28,32,36,40),0)/100)))+1)),0)</f>
        <v/>
      </c>
      <c r="S934" t="n">
        <v>0</v>
      </c>
      <c r="T934">
        <f>INDEX(FactorTable!$B$2:$Y$301, MATCH(ROUND(MIN(300,MAX(1,T933)),0), FactorTable!$A$2:$A$301,0), 22)</f>
        <v/>
      </c>
      <c r="U934" t="n">
        <v>0</v>
      </c>
      <c r="Z934">
        <f>INDEX(FactorTable!$B$2:$Y$301, MATCH(ROUND(MIN(300,MAX(1,Z933)),0), FactorTable!$A$2:$A$301,0), 24)</f>
        <v/>
      </c>
    </row>
    <row r="935">
      <c r="A935">
        <f>Skills!A4</f>
        <v/>
      </c>
      <c r="B935">
        <f>Skills!B4</f>
        <v/>
      </c>
      <c r="C935">
        <f>Inputs!$B$3&gt;=40</f>
        <v/>
      </c>
      <c r="D935">
        <f>IF(Skills!C4=1,60+Inputs!$B$25+Inputs!$B$29,IF(Skills!C4=2,90+Inputs!$B$26+Inputs!$B$29,IF(Skills!C4=3,120+Inputs!$B$27+Inputs!$B$29,MAX(0,(Inputs!$B$3-100)*3)+Inputs!$B$28+Inputs!$B$29)))</f>
        <v/>
      </c>
      <c r="E935">
        <f>INDEX(FactorTable!$B$2:$Y$301, MATCH(ROUND(MIN(300,MAX(1,D935)),0), FactorTable!$A$2:$A$301,0), Skills!L4+1)</f>
        <v/>
      </c>
      <c r="F935">
        <f>IF(Skills!M4=TRUE,(Skills!K4/10)*(E935/1000),Skills!K4/10)+Skills!N4</f>
        <v/>
      </c>
      <c r="G935">
        <f>Calc!G4</f>
        <v/>
      </c>
      <c r="H935">
        <f>Calc!H4</f>
        <v/>
      </c>
      <c r="I935">
        <f>IF(Skills!T4&lt;&gt;"",1+(Skills!T4/10)*(Z934/1000)/100,1)</f>
        <v/>
      </c>
      <c r="J935" t="inlineStr"/>
      <c r="K935" t="inlineStr"/>
      <c r="L935" t="inlineStr"/>
      <c r="M935" t="inlineStr"/>
      <c r="N935" t="inlineStr"/>
      <c r="O935">
        <f>(1-Summary!$B$11)*S935+Summary!$B$11*U935</f>
        <v/>
      </c>
      <c r="P935">
        <f>IF(B968=0,0,O935/B968)</f>
        <v/>
      </c>
      <c r="Q935">
        <f>IFERROR(1/(IF(Inputs!$B$38="pvp",15,MAX(0.1,Skills!D4-IF(TRUE=TRUE,Inputs!$B$32,0)))*(1-IF(AND(ArtifactsInput!$M$27,Inputs!$B$4="Chapter Hunt"),CHOOSE(ArtifactsInput!$N$27+1,20,24,28,32,36,40),0)/100)),0)</f>
        <v/>
      </c>
      <c r="R935">
        <f>IF(AND(Inputs!$B$38&lt;&gt;"pvp",Inputs!$B$43&gt;0),IF(Inputs!$B$43&lt;=0,0,(INT(Inputs!$B$43/(IF(Inputs!$B$38="pvp",15,MAX(0.1,Skills!D4-IF(TRUE=TRUE,Inputs!$B$32,0)))*(1-IF(AND(ArtifactsInput!$M$27,Inputs!$B$4="Chapter Hunt"),CHOOSE(ArtifactsInput!$N$27+1,20,24,28,32,36,40),0)/100)))+1)),0)</f>
        <v/>
      </c>
      <c r="S935" t="n">
        <v>0</v>
      </c>
      <c r="T935">
        <f>290*T934/1000</f>
        <v/>
      </c>
      <c r="U935" t="n">
        <v>0</v>
      </c>
    </row>
    <row r="936">
      <c r="A936">
        <f>Skills!A5</f>
        <v/>
      </c>
      <c r="B936">
        <f>Skills!B5</f>
        <v/>
      </c>
      <c r="C936">
        <f>Inputs!$B$3&gt;=38</f>
        <v/>
      </c>
      <c r="D936">
        <f>IF(Skills!C5=1,60+Inputs!$B$25+Inputs!$B$29,IF(Skills!C5=2,90+Inputs!$B$26+Inputs!$B$29,IF(Skills!C5=3,120+Inputs!$B$27+Inputs!$B$29,MAX(0,(Inputs!$B$3-100)*3)+Inputs!$B$28+Inputs!$B$29)))</f>
        <v/>
      </c>
      <c r="E936">
        <f>INDEX(FactorTable!$B$2:$Y$301, MATCH(ROUND(MIN(300,MAX(1,D936)),0), FactorTable!$A$2:$A$301,0), Skills!L5+1)</f>
        <v/>
      </c>
      <c r="F936">
        <f>IF(Skills!M5=TRUE,(Skills!K5/10)*(E936/1000),Skills!K5/10)+Skills!N5</f>
        <v/>
      </c>
      <c r="G936">
        <f>Calc!G5</f>
        <v/>
      </c>
      <c r="H936">
        <f>Calc!H5</f>
        <v/>
      </c>
      <c r="I936">
        <f>IF(Skills!T5&lt;&gt;"",1+(Skills!T5/10)*(Z934/1000)/100,1)</f>
        <v/>
      </c>
      <c r="J936">
        <f>((Inputs!$B$6*(1+(Inputs!$B$7+1)/100))+(((Inputs!$B$12*(1+Inputs!$B$13/100))-(Inputs!$B$12*(1+Inputs!$B$13/100)))+0.25*(Inputs!$B$14-Inputs!$B$14))*(1+(Inputs!$B$7+1)/100))*(F936/100)</f>
        <v/>
      </c>
      <c r="K936">
        <f>J936*(1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5="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936)</f>
        <v/>
      </c>
      <c r="L936">
        <f>K936*(MIN(Inputs!$B$22+(F949-Calc!F18),(Inputs!$B$23+(IF(ArtifactsInput!$M$15,CHOOSE(ArtifactsInput!$N$15+1,25,30,35,40,45,50)/100*(Inputs!$B$11-Inputs!$B$11),0))))/100+(Inputs!$B$23+(IF(ArtifactsInput!$M$15,CHOOSE(ArtifactsInput!$N$15+1,25,30,35,40,45,50)/100*(Inputs!$B$11-Inputs!$B$11),0)))/100)/2</f>
        <v/>
      </c>
      <c r="M936">
        <f>L936*(1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6">
        <f>L936*(1-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936*(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6">
        <f>(1-Summary!$B$11)*S936+Summary!$B$11*U936</f>
        <v/>
      </c>
      <c r="P936">
        <f>IF(B968=0,0,O936/B968)</f>
        <v/>
      </c>
      <c r="Q936">
        <f>IFERROR(1/(IF(Inputs!$B$38="pvp",15,MAX(0.1,Skills!D5-IF(TRUE=TRUE,Inputs!$B$32,0)))*(1-IF(AND(ArtifactsInput!$M$27,Inputs!$B$4="Chapter Hunt"),CHOOSE(ArtifactsInput!$N$27+1,20,24,28,32,36,40),0)/100)),0)</f>
        <v/>
      </c>
      <c r="R936">
        <f>IF(AND(Inputs!$B$38&lt;&gt;"pvp",Inputs!$B$43&gt;0),IF(MAX(0,Inputs!$B$43-B965)&lt;=0,0,(INT(MAX(0,Inputs!$B$43-B965)/(IF(Inputs!$B$38="pvp",15,MAX(0.1,Skills!D5-IF(TRUE=TRUE,Inputs!$B$32,0)))*(1-IF(AND(ArtifactsInput!$M$27,Inputs!$B$4="Chapter Hunt"),CHOOSE(ArtifactsInput!$N$27+1,20,24,28,32,36,40),0)/100)))+1)),0)</f>
        <v/>
      </c>
      <c r="S936">
        <f>IF(C936,(H936*N936*IF(AND(Inputs!$B$38&lt;&gt;"pvp",Inputs!$B$43&gt;0),((Skills!F5*((R936-1)*IF(Skills!G5&gt;0,Skills!H5/Skills!G5,1)+IF(Skills!G5&gt;0,MIN(Skills!H5,MAX(0,MAX(0,Inputs!$B$43-B965)-((R936-1)*(IF(Inputs!$B$38="pvp",15,MAX(0.1,Skills!D5-IF(TRUE=TRUE,Inputs!$B$32,0)))*(1-IF(AND(ArtifactsInput!$M$27,Inputs!$B$4="Chapter Hunt"),CHOOSE(ArtifactsInput!$N$27+1,20,24,28,32,36,40),0)/100)))))/Skills!G5,1)))/Inputs!$B$43),G936*Q936))*IF(Inputs!$B$38="pvp",1,1+(Inputs!$B$20+Skills!O5+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936*(1-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936*(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936*(1-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936*(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6">
        <f>IF(C936,(H936*N936*IF(AND(Inputs!$B$38&lt;&gt;"pvp",Inputs!$B$43&gt;0),((Skills!F5*((R936-1)*IF(Skills!G5&gt;0,Skills!H5/Skills!G5,1)+IF(Skills!G5&gt;0,MIN(Skills!H5,MAX(0,MAX(0,Inputs!$B$43-B965)-((R936-1)*(IF(Inputs!$B$38="pvp",15,MAX(0.1,Skills!D5-IF(TRUE=TRUE,Inputs!$B$32,0)))*(1-IF(AND(ArtifactsInput!$M$27,Inputs!$B$4="Chapter Hunt"),CHOOSE(ArtifactsInput!$N$27+1,20,24,28,32,36,40),0)/100)))))/Skills!G5,1)))/Inputs!$B$43),G936*Q936))*IF(Inputs!$B$38="pvp",1,(1+(Inputs!$B$21+Skills!P5+B959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7">
      <c r="A937">
        <f>Skills!A6</f>
        <v/>
      </c>
      <c r="B937">
        <f>Skills!B6</f>
        <v/>
      </c>
      <c r="C937">
        <f>Inputs!$B$3&gt;=63</f>
        <v/>
      </c>
      <c r="D937">
        <f>IF(Skills!C6=1,60+Inputs!$B$25+Inputs!$B$29,IF(Skills!C6=2,90+Inputs!$B$26+Inputs!$B$29,IF(Skills!C6=3,120+Inputs!$B$27+Inputs!$B$29,MAX(0,(Inputs!$B$3-100)*3)+Inputs!$B$28+Inputs!$B$29)))</f>
        <v/>
      </c>
      <c r="E937">
        <f>INDEX(FactorTable!$B$2:$Y$301, MATCH(ROUND(MIN(300,MAX(1,D937)),0), FactorTable!$A$2:$A$301,0), Skills!L6+1)</f>
        <v/>
      </c>
      <c r="F937">
        <f>IF(Skills!M6=TRUE,(Skills!K6/10)*(E937/1000),Skills!K6/10)+Skills!N6</f>
        <v/>
      </c>
      <c r="G937">
        <f>Calc!G6</f>
        <v/>
      </c>
      <c r="H937">
        <f>Calc!H6</f>
        <v/>
      </c>
      <c r="I937">
        <f>IF(Skills!T6&lt;&gt;"",1+(Skills!T6/10)*(Z934/1000)/100,1)</f>
        <v/>
      </c>
      <c r="J937">
        <f>((Inputs!$B$6*(1+(Inputs!$B$7+1)/100))+(((Inputs!$B$12*(1+Inputs!$B$13/100))-(Inputs!$B$12*(1+Inputs!$B$13/100)))+0.25*(Inputs!$B$14-Inputs!$B$14))*(1+(Inputs!$B$7+1)/100))*(F937/100)</f>
        <v/>
      </c>
      <c r="K937">
        <f>J937*(1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6="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937)</f>
        <v/>
      </c>
      <c r="L937">
        <f>K937*(MIN(Inputs!$B$22+(F949-Calc!F18),(Inputs!$B$23+(IF(ArtifactsInput!$M$15,CHOOSE(ArtifactsInput!$N$15+1,25,30,35,40,45,50)/100*(Inputs!$B$11-Inputs!$B$11),0))))/100+(Inputs!$B$23+(IF(ArtifactsInput!$M$15,CHOOSE(ArtifactsInput!$N$15+1,25,30,35,40,45,50)/100*(Inputs!$B$11-Inputs!$B$11),0)))/100)/2</f>
        <v/>
      </c>
      <c r="M937">
        <f>L937*(1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7">
        <f>L937*(1-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937*(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7">
        <f>(1-Summary!$B$11)*S937+Summary!$B$11*U937</f>
        <v/>
      </c>
      <c r="P937">
        <f>IF(B968=0,0,O937/B968)</f>
        <v/>
      </c>
      <c r="Q937">
        <f>IFERROR(1/(IF(Inputs!$B$38="pvp",15,MAX(0.1,Skills!D6-IF(TRUE=TRUE,Inputs!$B$32,0)))*(1-IF(AND(ArtifactsInput!$M$27,Inputs!$B$4="Chapter Hunt"),CHOOSE(ArtifactsInput!$N$27+1,20,24,28,32,36,40),0)/100)),0)</f>
        <v/>
      </c>
      <c r="R937">
        <f>IF(AND(Inputs!$B$38&lt;&gt;"pvp",Inputs!$B$43&gt;0),IF(MAX(0,Inputs!$B$43-B965)&lt;=0,0,(INT(MAX(0,Inputs!$B$43-B965)/(IF(Inputs!$B$38="pvp",15,MAX(0.1,Skills!D6-IF(TRUE=TRUE,Inputs!$B$32,0)))*(1-IF(AND(ArtifactsInput!$M$27,Inputs!$B$4="Chapter Hunt"),CHOOSE(ArtifactsInput!$N$27+1,20,24,28,32,36,40),0)/100)))+1)),0)</f>
        <v/>
      </c>
      <c r="S937">
        <f>IF(C937,(H937*N937*IF(AND(Inputs!$B$38&lt;&gt;"pvp",Inputs!$B$43&gt;0),((Skills!F6*((R937-1)*IF(Skills!G6&gt;0,Skills!H6/Skills!G6,1)+IF(Skills!G6&gt;0,MIN(Skills!H6,MAX(0,MAX(0,Inputs!$B$43-B965)-((R937-1)*(IF(Inputs!$B$38="pvp",15,MAX(0.1,Skills!D6-IF(TRUE=TRUE,Inputs!$B$32,0)))*(1-IF(AND(ArtifactsInput!$M$27,Inputs!$B$4="Chapter Hunt"),CHOOSE(ArtifactsInput!$N$27+1,20,24,28,32,36,40),0)/100)))))/Skills!G6,1)))/Inputs!$B$43),G937*Q937))*IF(Inputs!$B$38="pvp",1,1+(Inputs!$B$20+Skills!O6+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937*(1-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937*(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937*(1-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937*(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7">
        <f>IF(C937,(H937*N937*IF(AND(Inputs!$B$38&lt;&gt;"pvp",Inputs!$B$43&gt;0),((Skills!F6*((R937-1)*IF(Skills!G6&gt;0,Skills!H6/Skills!G6,1)+IF(Skills!G6&gt;0,MIN(Skills!H6,MAX(0,MAX(0,Inputs!$B$43-B965)-((R937-1)*(IF(Inputs!$B$38="pvp",15,MAX(0.1,Skills!D6-IF(TRUE=TRUE,Inputs!$B$32,0)))*(1-IF(AND(ArtifactsInput!$M$27,Inputs!$B$4="Chapter Hunt"),CHOOSE(ArtifactsInput!$N$27+1,20,24,28,32,36,40),0)/100)))))/Skills!G6,1)))/Inputs!$B$43),G937*Q937))*IF(Inputs!$B$38="pvp",1,(1+(Inputs!$B$21+Skills!P6+B959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8">
      <c r="A938">
        <f>Skills!A7</f>
        <v/>
      </c>
      <c r="B938">
        <f>Skills!B7</f>
        <v/>
      </c>
      <c r="C938">
        <f>Inputs!$B$3&gt;=69</f>
        <v/>
      </c>
      <c r="D938">
        <f>IF(Skills!C7=1,60+Inputs!$B$25+Inputs!$B$29,IF(Skills!C7=2,90+Inputs!$B$26+Inputs!$B$29,IF(Skills!C7=3,120+Inputs!$B$27+Inputs!$B$29,MAX(0,(Inputs!$B$3-100)*3)+Inputs!$B$28+Inputs!$B$29)))</f>
        <v/>
      </c>
      <c r="E938">
        <f>INDEX(FactorTable!$B$2:$Y$301, MATCH(ROUND(MIN(300,MAX(1,D938)),0), FactorTable!$A$2:$A$301,0), Skills!L7+1)</f>
        <v/>
      </c>
      <c r="F938">
        <f>IF(Skills!M7=TRUE,(Skills!K7/10)*(E938/1000),Skills!K7/10)+Skills!N7</f>
        <v/>
      </c>
      <c r="G938">
        <f>Calc!G7</f>
        <v/>
      </c>
      <c r="H938">
        <f>Calc!H7</f>
        <v/>
      </c>
      <c r="I938">
        <f>IF(Skills!T7&lt;&gt;"",1+(Skills!T7/10)*(Z934/1000)/100,1)</f>
        <v/>
      </c>
      <c r="J938">
        <f>((Inputs!$B$6*(1+(Inputs!$B$7+1)/100))+(((Inputs!$B$12*(1+Inputs!$B$13/100))-(Inputs!$B$12*(1+Inputs!$B$13/100)))+0.25*(Inputs!$B$14-Inputs!$B$14))*(1+(Inputs!$B$7+1)/100))*(F938/100)</f>
        <v/>
      </c>
      <c r="K938">
        <f>J938*(1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7="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938)</f>
        <v/>
      </c>
      <c r="L938">
        <f>K938*(MIN(Inputs!$B$22+(F949-Calc!F18),(Inputs!$B$23+(IF(ArtifactsInput!$M$15,CHOOSE(ArtifactsInput!$N$15+1,25,30,35,40,45,50)/100*(Inputs!$B$11-Inputs!$B$11),0))))/100+(Inputs!$B$23+(IF(ArtifactsInput!$M$15,CHOOSE(ArtifactsInput!$N$15+1,25,30,35,40,45,50)/100*(Inputs!$B$11-Inputs!$B$11),0)))/100)/2</f>
        <v/>
      </c>
      <c r="M938">
        <f>L938*(1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8">
        <f>L938*(1-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938*(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8">
        <f>(1-Summary!$B$11)*S938+Summary!$B$11*U938</f>
        <v/>
      </c>
      <c r="P938">
        <f>IF(B968=0,0,O938/B968)</f>
        <v/>
      </c>
      <c r="Q938">
        <f>IFERROR(1/(IF(Inputs!$B$38="pvp",15,MAX(0.1,Skills!D7-IF(TRUE=TRUE,Inputs!$B$32,0)))*(1-IF(AND(ArtifactsInput!$M$27,Inputs!$B$4="Chapter Hunt"),CHOOSE(ArtifactsInput!$N$27+1,20,24,28,32,36,40),0)/100)),0)</f>
        <v/>
      </c>
      <c r="R938">
        <f>IF(AND(Inputs!$B$38&lt;&gt;"pvp",Inputs!$B$43&gt;0),IF(MAX(0,Inputs!$B$43-B965)&lt;=0,0,(INT(MAX(0,Inputs!$B$43-B965)/(IF(Inputs!$B$38="pvp",15,MAX(0.1,Skills!D7-IF(TRUE=TRUE,Inputs!$B$32,0)))*(1-IF(AND(ArtifactsInput!$M$27,Inputs!$B$4="Chapter Hunt"),CHOOSE(ArtifactsInput!$N$27+1,20,24,28,32,36,40),0)/100)))+1)),0)</f>
        <v/>
      </c>
      <c r="S938">
        <f>IF(C938,(H938*N938*IF(AND(Inputs!$B$38&lt;&gt;"pvp",Inputs!$B$43&gt;0),((Skills!F7*((R938-1)*IF(Skills!G7&gt;0,Skills!H7/Skills!G7,1)+IF(Skills!G7&gt;0,MIN(Skills!H7,MAX(0,MAX(0,Inputs!$B$43-B965)-((R938-1)*(IF(Inputs!$B$38="pvp",15,MAX(0.1,Skills!D7-IF(TRUE=TRUE,Inputs!$B$32,0)))*(1-IF(AND(ArtifactsInput!$M$27,Inputs!$B$4="Chapter Hunt"),CHOOSE(ArtifactsInput!$N$27+1,20,24,28,32,36,40),0)/100)))))/Skills!G7,1)))/Inputs!$B$43),G938*Q938))*IF(Inputs!$B$38="pvp",1,1+(Inputs!$B$20+Skills!O7+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938*(1-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938*(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938*(1-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938*(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8">
        <f>IF(C938,(H938*N938*IF(AND(Inputs!$B$38&lt;&gt;"pvp",Inputs!$B$43&gt;0),((Skills!F7*((R938-1)*IF(Skills!G7&gt;0,Skills!H7/Skills!G7,1)+IF(Skills!G7&gt;0,MIN(Skills!H7,MAX(0,MAX(0,Inputs!$B$43-B965)-((R938-1)*(IF(Inputs!$B$38="pvp",15,MAX(0.1,Skills!D7-IF(TRUE=TRUE,Inputs!$B$32,0)))*(1-IF(AND(ArtifactsInput!$M$27,Inputs!$B$4="Chapter Hunt"),CHOOSE(ArtifactsInput!$N$27+1,20,24,28,32,36,40),0)/100)))))/Skills!G7,1)))/Inputs!$B$43),G938*Q938))*IF(Inputs!$B$38="pvp",1,(1+(Inputs!$B$21+Skills!P7+B959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9">
      <c r="A939">
        <f>Skills!A8</f>
        <v/>
      </c>
      <c r="B939">
        <f>Skills!B8</f>
        <v/>
      </c>
      <c r="C939">
        <f>Inputs!$B$3&gt;=103</f>
        <v/>
      </c>
      <c r="D939">
        <f>IF(Skills!C8=1,60+Inputs!$B$25+Inputs!$B$29,IF(Skills!C8=2,90+Inputs!$B$26+Inputs!$B$29,IF(Skills!C8=3,120+Inputs!$B$27+Inputs!$B$29,MAX(0,(Inputs!$B$3-100)*3)+Inputs!$B$28+Inputs!$B$29)))</f>
        <v/>
      </c>
      <c r="E939">
        <f>INDEX(FactorTable!$B$2:$Y$301, MATCH(ROUND(MIN(300,MAX(1,D939)),0), FactorTable!$A$2:$A$301,0), Skills!L8+1)</f>
        <v/>
      </c>
      <c r="F939">
        <f>IF(Skills!M8=TRUE,(Skills!K8/10)*(E939/1000),Skills!K8/10)+Skills!N8</f>
        <v/>
      </c>
      <c r="G939">
        <f>Calc!G8</f>
        <v/>
      </c>
      <c r="H939">
        <f>Calc!H8</f>
        <v/>
      </c>
      <c r="I939">
        <f>IF(Skills!T8&lt;&gt;"",1+(Skills!T8/10)*(Z934/1000)/100,1)</f>
        <v/>
      </c>
      <c r="J939">
        <f>((Inputs!$B$6*(1+(Inputs!$B$7+1)/100))+(((Inputs!$B$12*(1+Inputs!$B$13/100))-(Inputs!$B$12*(1+Inputs!$B$13/100)))+0.25*(Inputs!$B$14-Inputs!$B$14))*(1+(Inputs!$B$7+1)/100))*(F939/100)</f>
        <v/>
      </c>
      <c r="K939">
        <f>J939*(1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8="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939)</f>
        <v/>
      </c>
      <c r="L939">
        <f>K939*(MIN(Inputs!$B$22+(F949-Calc!F18),(Inputs!$B$23+(IF(ArtifactsInput!$M$15,CHOOSE(ArtifactsInput!$N$15+1,25,30,35,40,45,50)/100*(Inputs!$B$11-Inputs!$B$11),0))))/100+(Inputs!$B$23+(IF(ArtifactsInput!$M$15,CHOOSE(ArtifactsInput!$N$15+1,25,30,35,40,45,50)/100*(Inputs!$B$11-Inputs!$B$11),0)))/100)/2</f>
        <v/>
      </c>
      <c r="M939">
        <f>L939*(1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9">
        <f>L939*(1-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939*(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9">
        <f>(1-Summary!$B$11)*S939+Summary!$B$11*U939</f>
        <v/>
      </c>
      <c r="P939">
        <f>IF(B968=0,0,O939/B968)</f>
        <v/>
      </c>
      <c r="Q939">
        <f>IFERROR(1/(IF(Inputs!$B$38="pvp",15,MAX(0.1,Skills!D8-IF(TRUE=TRUE,Inputs!$B$32,0)))*(1-IF(AND(ArtifactsInput!$M$27,Inputs!$B$4="Chapter Hunt"),CHOOSE(ArtifactsInput!$N$27+1,20,24,28,32,36,40),0)/100)),0)</f>
        <v/>
      </c>
      <c r="R939">
        <f>IF(AND(Inputs!$B$38&lt;&gt;"pvp",Inputs!$B$43&gt;0),IF(MAX(0,Inputs!$B$43-B965)&lt;=0,0,(INT(MAX(0,Inputs!$B$43-B965)/(IF(Inputs!$B$38="pvp",15,MAX(0.1,Skills!D8-IF(TRUE=TRUE,Inputs!$B$32,0)))*(1-IF(AND(ArtifactsInput!$M$27,Inputs!$B$4="Chapter Hunt"),CHOOSE(ArtifactsInput!$N$27+1,20,24,28,32,36,40),0)/100)))+1)),0)</f>
        <v/>
      </c>
      <c r="S939">
        <f>IF(C939,(H939*N939*IF(AND(Inputs!$B$38&lt;&gt;"pvp",Inputs!$B$43&gt;0),((Skills!F8*((R939-1)*IF(Skills!G8&gt;0,Skills!H8/Skills!G8,1)+IF(Skills!G8&gt;0,MIN(Skills!H8,MAX(0,MAX(0,Inputs!$B$43-B965)-((R939-1)*(IF(Inputs!$B$38="pvp",15,MAX(0.1,Skills!D8-IF(TRUE=TRUE,Inputs!$B$32,0)))*(1-IF(AND(ArtifactsInput!$M$27,Inputs!$B$4="Chapter Hunt"),CHOOSE(ArtifactsInput!$N$27+1,20,24,28,32,36,40),0)/100)))))/Skills!G8,1)))/Inputs!$B$43),G939*Q939))*IF(Inputs!$B$38="pvp",1,1+(Inputs!$B$20+Skills!O8+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939*(1-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939*(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939*(1-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939*(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39">
        <f>IF(C939,(H939*N939*IF(AND(Inputs!$B$38&lt;&gt;"pvp",Inputs!$B$43&gt;0),((Skills!F8*((R939-1)*IF(Skills!G8&gt;0,Skills!H8/Skills!G8,1)+IF(Skills!G8&gt;0,MIN(Skills!H8,MAX(0,MAX(0,Inputs!$B$43-B965)-((R939-1)*(IF(Inputs!$B$38="pvp",15,MAX(0.1,Skills!D8-IF(TRUE=TRUE,Inputs!$B$32,0)))*(1-IF(AND(ArtifactsInput!$M$27,Inputs!$B$4="Chapter Hunt"),CHOOSE(ArtifactsInput!$N$27+1,20,24,28,32,36,40),0)/100)))))/Skills!G8,1)))/Inputs!$B$43),G939*Q939))*IF(Inputs!$B$38="pvp",1,(1+(Inputs!$B$21+Skills!P8+B959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0">
      <c r="A940">
        <f>Skills!A9</f>
        <v/>
      </c>
      <c r="B940">
        <f>Skills!B9</f>
        <v/>
      </c>
      <c r="C940">
        <f>Inputs!$B$3&gt;=105</f>
        <v/>
      </c>
      <c r="D940">
        <f>IF(Skills!C9=1,60+Inputs!$B$25+Inputs!$B$29,IF(Skills!C9=2,90+Inputs!$B$26+Inputs!$B$29,IF(Skills!C9=3,120+Inputs!$B$27+Inputs!$B$29,MAX(0,(Inputs!$B$3-100)*3)+Inputs!$B$28+Inputs!$B$29)))</f>
        <v/>
      </c>
      <c r="E940">
        <f>INDEX(FactorTable!$B$2:$Y$301, MATCH(ROUND(MIN(300,MAX(1,D940)),0), FactorTable!$A$2:$A$301,0), Skills!L9+1)</f>
        <v/>
      </c>
      <c r="F940">
        <f>IF(Skills!M9=TRUE,(Skills!K9/10)*(E940/1000),Skills!K9/10)+Skills!N9</f>
        <v/>
      </c>
      <c r="G940">
        <f>Calc!G9</f>
        <v/>
      </c>
      <c r="H940">
        <f>Calc!H9</f>
        <v/>
      </c>
      <c r="I940">
        <f>IF(Skills!T9&lt;&gt;"",1+(Skills!T9/10)*(Z934/1000)/100,1)</f>
        <v/>
      </c>
      <c r="J940">
        <f>((Inputs!$B$6*(1+(Inputs!$B$7+1)/100))+(((Inputs!$B$12*(1+Inputs!$B$13/100))-(Inputs!$B$12*(1+Inputs!$B$13/100)))+0.25*(Inputs!$B$14-Inputs!$B$14))*(1+(Inputs!$B$7+1)/100))*(F940/100)</f>
        <v/>
      </c>
      <c r="K940">
        <f>J940*(1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9="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940)</f>
        <v/>
      </c>
      <c r="L940">
        <f>K940*(MIN(Inputs!$B$22+(F949-Calc!F18),(Inputs!$B$23+(IF(ArtifactsInput!$M$15,CHOOSE(ArtifactsInput!$N$15+1,25,30,35,40,45,50)/100*(Inputs!$B$11-Inputs!$B$11),0))))/100+(Inputs!$B$23+(IF(ArtifactsInput!$M$15,CHOOSE(ArtifactsInput!$N$15+1,25,30,35,40,45,50)/100*(Inputs!$B$11-Inputs!$B$11),0)))/100)/2</f>
        <v/>
      </c>
      <c r="M940">
        <f>L940*(1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0">
        <f>L940*(1-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940*(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0">
        <f>(1-Summary!$B$11)*S940+Summary!$B$11*U940</f>
        <v/>
      </c>
      <c r="P940">
        <f>IF(B968=0,0,O940/B968)</f>
        <v/>
      </c>
      <c r="Q940">
        <f>IFERROR(1/(IF(Inputs!$B$38="pvp",15,MAX(0.1,Skills!D9-IF(TRUE=TRUE,Inputs!$B$32,0)))*(1-IF(AND(ArtifactsInput!$M$27,Inputs!$B$4="Chapter Hunt"),CHOOSE(ArtifactsInput!$N$27+1,20,24,28,32,36,40),0)/100)),0)</f>
        <v/>
      </c>
      <c r="R940">
        <f>IF(AND(Inputs!$B$38&lt;&gt;"pvp",Inputs!$B$43&gt;0),IF(MAX(0,Inputs!$B$43-B965)&lt;=0,0,(INT(MAX(0,Inputs!$B$43-B965)/(IF(Inputs!$B$38="pvp",15,MAX(0.1,Skills!D9-IF(TRUE=TRUE,Inputs!$B$32,0)))*(1-IF(AND(ArtifactsInput!$M$27,Inputs!$B$4="Chapter Hunt"),CHOOSE(ArtifactsInput!$N$27+1,20,24,28,32,36,40),0)/100)))+1)),0)</f>
        <v/>
      </c>
      <c r="S940">
        <f>IF(C940,(H940*N940*IF(AND(Inputs!$B$38&lt;&gt;"pvp",Inputs!$B$43&gt;0),((Skills!F9*((R940-1)*IF(Skills!G9&gt;0,Skills!H9/Skills!G9,1)+IF(Skills!G9&gt;0,MIN(Skills!H9,MAX(0,MAX(0,Inputs!$B$43-B965)-((R940-1)*(IF(Inputs!$B$38="pvp",15,MAX(0.1,Skills!D9-IF(TRUE=TRUE,Inputs!$B$32,0)))*(1-IF(AND(ArtifactsInput!$M$27,Inputs!$B$4="Chapter Hunt"),CHOOSE(ArtifactsInput!$N$27+1,20,24,28,32,36,40),0)/100)))))/Skills!G9,1)))/Inputs!$B$43),G940*Q940))*IF(Inputs!$B$38="pvp",1,1+(Inputs!$B$20+Skills!O9+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940*(1-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940*(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940*(1-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940*(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0">
        <f>IF(C940,(H940*N940*IF(AND(Inputs!$B$38&lt;&gt;"pvp",Inputs!$B$43&gt;0),((Skills!F9*((R940-1)*IF(Skills!G9&gt;0,Skills!H9/Skills!G9,1)+IF(Skills!G9&gt;0,MIN(Skills!H9,MAX(0,MAX(0,Inputs!$B$43-B965)-((R940-1)*(IF(Inputs!$B$38="pvp",15,MAX(0.1,Skills!D9-IF(TRUE=TRUE,Inputs!$B$32,0)))*(1-IF(AND(ArtifactsInput!$M$27,Inputs!$B$4="Chapter Hunt"),CHOOSE(ArtifactsInput!$N$27+1,20,24,28,32,36,40),0)/100)))))/Skills!G9,1)))/Inputs!$B$43),G940*Q940))*IF(Inputs!$B$38="pvp",1,(1+(Inputs!$B$21+Skills!P9+B959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1">
      <c r="A941">
        <f>Skills!A10</f>
        <v/>
      </c>
      <c r="B941">
        <f>Skills!B10</f>
        <v/>
      </c>
      <c r="C941">
        <f>Inputs!$B$3&gt;=113</f>
        <v/>
      </c>
      <c r="D941">
        <f>IF(Skills!C10=1,60+Inputs!$B$25+Inputs!$B$29,IF(Skills!C10=2,90+Inputs!$B$26+Inputs!$B$29,IF(Skills!C10=3,120+Inputs!$B$27+Inputs!$B$29,MAX(0,(Inputs!$B$3-100)*3)+Inputs!$B$28+Inputs!$B$29)))</f>
        <v/>
      </c>
      <c r="E941">
        <f>INDEX(FactorTable!$B$2:$Y$301, MATCH(ROUND(MIN(300,MAX(1,D941)),0), FactorTable!$A$2:$A$301,0), Skills!L10+1)</f>
        <v/>
      </c>
      <c r="F941">
        <f>IF(Skills!M10=TRUE,(Skills!K10/10)*(E941/1000),Skills!K10/10)+Skills!N10</f>
        <v/>
      </c>
      <c r="G941">
        <f>Calc!G10</f>
        <v/>
      </c>
      <c r="H941">
        <f>Calc!H10</f>
        <v/>
      </c>
      <c r="I941">
        <f>IF(Skills!T10&lt;&gt;"",1+(Skills!T10/10)*(Z934/1000)/100,1)</f>
        <v/>
      </c>
      <c r="J941">
        <f>((Inputs!$B$6*(1+(Inputs!$B$7+1)/100))+(((Inputs!$B$12*(1+Inputs!$B$13/100))-(Inputs!$B$12*(1+Inputs!$B$13/100)))+0.25*(Inputs!$B$14-Inputs!$B$14))*(1+(Inputs!$B$7+1)/100))*(F941/100)</f>
        <v/>
      </c>
      <c r="K941">
        <f>J941*(1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10="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941)</f>
        <v/>
      </c>
      <c r="L941">
        <f>K941*(MIN(Inputs!$B$22+(F949-Calc!F18),(Inputs!$B$23+(IF(ArtifactsInput!$M$15,CHOOSE(ArtifactsInput!$N$15+1,25,30,35,40,45,50)/100*(Inputs!$B$11-Inputs!$B$11),0))))/100+(Inputs!$B$23+(IF(ArtifactsInput!$M$15,CHOOSE(ArtifactsInput!$N$15+1,25,30,35,40,45,50)/100*(Inputs!$B$11-Inputs!$B$11),0)))/100)/2</f>
        <v/>
      </c>
      <c r="M941">
        <f>L941*(1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1">
        <f>L941*(1-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1">
        <f>(1-Summary!$B$11)*S941+Summary!$B$11*U941</f>
        <v/>
      </c>
      <c r="P941">
        <f>IF(B968=0,0,O941/B968)</f>
        <v/>
      </c>
      <c r="Q941">
        <f>IFERROR(1/(IF(Inputs!$B$38="pvp",15,MAX(0.1,Skills!D10-IF(TRUE=TRUE,Inputs!$B$32,0)))*(1-IF(AND(ArtifactsInput!$M$27,Inputs!$B$4="Chapter Hunt"),CHOOSE(ArtifactsInput!$N$27+1,20,24,28,32,36,40),0)/100)),0)</f>
        <v/>
      </c>
      <c r="R941" t="n">
        <v>0</v>
      </c>
      <c r="S941">
        <f>IF(C941,((H941*B969)/(1+Skills!G10*H941*B969)*N941)*IF(Inputs!$B$38="pvp",1,1+(Inputs!$B$20+Skills!O10+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941*(1-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941*(1-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1">
        <f>IF(C941,((H941*B969)/(1+Skills!G10*H941*B969)*N941)*IF(Inputs!$B$38="pvp",1,(1+(Inputs!$B$21+Skills!P10+B959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2">
      <c r="A942">
        <f>Skills!A11</f>
        <v/>
      </c>
      <c r="B942">
        <f>Skills!B11</f>
        <v/>
      </c>
      <c r="C942">
        <f>Inputs!$B$3&gt;=107</f>
        <v/>
      </c>
      <c r="D942">
        <f>IF(Skills!C11=1,60+Inputs!$B$25+Inputs!$B$29,IF(Skills!C11=2,90+Inputs!$B$26+Inputs!$B$29,IF(Skills!C11=3,120+Inputs!$B$27+Inputs!$B$29,MAX(0,(Inputs!$B$3-100)*3)+Inputs!$B$28+Inputs!$B$29)))</f>
        <v/>
      </c>
      <c r="E942">
        <f>INDEX(FactorTable!$B$2:$Y$301, MATCH(ROUND(MIN(300,MAX(1,D942)),0), FactorTable!$A$2:$A$301,0), Skills!L11+1)</f>
        <v/>
      </c>
      <c r="F942">
        <f>IF(Skills!M11=TRUE,(Skills!K11/10)*(E942/1000),Skills!K11/10)+Skills!N11</f>
        <v/>
      </c>
      <c r="G942">
        <f>Calc!G11</f>
        <v/>
      </c>
      <c r="H942">
        <f>Calc!H11</f>
        <v/>
      </c>
      <c r="I942">
        <f>IF(Skills!T11&lt;&gt;"",1+(Skills!T11/10)*(Z934/1000)/100,1)</f>
        <v/>
      </c>
      <c r="J942">
        <f>((Inputs!$B$6*(1+(Inputs!$B$7+1)/100))+(((Inputs!$B$12*(1+Inputs!$B$13/100))-(Inputs!$B$12*(1+Inputs!$B$13/100)))+0.25*(Inputs!$B$14-Inputs!$B$14))*(1+(Inputs!$B$7+1)/100))*(F942/100)</f>
        <v/>
      </c>
      <c r="K942">
        <f>J942*(1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11="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942)</f>
        <v/>
      </c>
      <c r="L942">
        <f>K942*(MIN(Inputs!$B$22+(F949-Calc!F18),(Inputs!$B$23+(IF(ArtifactsInput!$M$15,CHOOSE(ArtifactsInput!$N$15+1,25,30,35,40,45,50)/100*(Inputs!$B$11-Inputs!$B$11),0))))/100+(Inputs!$B$23+(IF(ArtifactsInput!$M$15,CHOOSE(ArtifactsInput!$N$15+1,25,30,35,40,45,50)/100*(Inputs!$B$11-Inputs!$B$11),0)))/100)/2</f>
        <v/>
      </c>
      <c r="M942">
        <f>L942*(1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2">
        <f>L942*(1-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942*(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2">
        <f>(1-Summary!$B$11)*S942+Summary!$B$11*U942</f>
        <v/>
      </c>
      <c r="P942">
        <f>IF(B968=0,0,O942/B968)</f>
        <v/>
      </c>
      <c r="Q942">
        <f>IFERROR(1/(IF(Inputs!$B$38="pvp",15,MAX(0.1,Skills!D11-IF(TRUE=TRUE,Inputs!$B$32,0)))*(1-IF(AND(ArtifactsInput!$M$27,Inputs!$B$4="Chapter Hunt"),CHOOSE(ArtifactsInput!$N$27+1,20,24,28,32,36,40),0)/100)),0)</f>
        <v/>
      </c>
      <c r="R942">
        <f>IF(AND(Inputs!$B$38&lt;&gt;"pvp",Inputs!$B$43&gt;0),IF(MAX(0,Inputs!$B$43-B965)&lt;=0,0,(INT(MAX(0,Inputs!$B$43-B965)/(IF(Inputs!$B$38="pvp",15,MAX(0.1,Skills!D11-IF(TRUE=TRUE,Inputs!$B$32,0)))*(1-IF(AND(ArtifactsInput!$M$27,Inputs!$B$4="Chapter Hunt"),CHOOSE(ArtifactsInput!$N$27+1,20,24,28,32,36,40),0)/100)))+1)),0)</f>
        <v/>
      </c>
      <c r="S942">
        <f>IF(C942,H942*N942*IF(AND(Inputs!$B$38&lt;&gt;"pvp",Inputs!$B$43&gt;0),((Skills!F11*((R942-1)*IF(Skills!G11&gt;0,Skills!H11/Skills!G11,1)+IF(Skills!G11&gt;0,MIN(Skills!H11,MAX(0,MAX(0,Inputs!$B$43-B965)-((R942-1)*(IF(Inputs!$B$38="pvp",15,MAX(0.1,Skills!D11-IF(TRUE=TRUE,Inputs!$B$32,0)))*(1-IF(AND(ArtifactsInput!$M$27,Inputs!$B$4="Chapter Hunt"),CHOOSE(ArtifactsInput!$N$27+1,20,24,28,32,36,40),0)/100)))))/Skills!G11,1)))/Inputs!$B$43),G942*Q942)*0.5*IF(Inputs!$B$38="pvp",1,1+(Inputs!$B$20+Skills!O11+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942*(1-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942*(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942*(1-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942*(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2">
        <f>IF(C942,H942*N942*IF(AND(Inputs!$B$38&lt;&gt;"pvp",Inputs!$B$43&gt;0),((Skills!F11*((R942-1)*IF(Skills!G11&gt;0,Skills!H11/Skills!G11,1)+IF(Skills!G11&gt;0,MIN(Skills!H11,MAX(0,MAX(0,Inputs!$B$43-B965)-((R942-1)*(IF(Inputs!$B$38="pvp",15,MAX(0.1,Skills!D11-IF(TRUE=TRUE,Inputs!$B$32,0)))*(1-IF(AND(ArtifactsInput!$M$27,Inputs!$B$4="Chapter Hunt"),CHOOSE(ArtifactsInput!$N$27+1,20,24,28,32,36,40),0)/100)))))/Skills!G11,1)))/Inputs!$B$43),G942*Q942)*1*IF(Inputs!$B$38="pvp",1,(1+(Inputs!$B$21+Skills!P11+B959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3">
      <c r="A943">
        <f>Skills!A12</f>
        <v/>
      </c>
      <c r="B943">
        <f>Skills!B12</f>
        <v/>
      </c>
      <c r="C943">
        <f>Inputs!$B$3&gt;=115</f>
        <v/>
      </c>
      <c r="D943">
        <f>IF(Skills!C12=1,60+Inputs!$B$25+Inputs!$B$29,IF(Skills!C12=2,90+Inputs!$B$26+Inputs!$B$29,IF(Skills!C12=3,120+Inputs!$B$27+Inputs!$B$29,MAX(0,(Inputs!$B$3-100)*3)+Inputs!$B$28+Inputs!$B$29)))</f>
        <v/>
      </c>
      <c r="E943">
        <f>INDEX(FactorTable!$B$2:$Y$301, MATCH(ROUND(MIN(300,MAX(1,D943)),0), FactorTable!$A$2:$A$301,0), Skills!L12+1)</f>
        <v/>
      </c>
      <c r="F943">
        <f>IF(Skills!M12=TRUE,(Skills!K12/10)*(E943/1000),Skills!K12/10)+Skills!N12</f>
        <v/>
      </c>
      <c r="G943">
        <f>Calc!G12</f>
        <v/>
      </c>
      <c r="H943">
        <f>Calc!H12</f>
        <v/>
      </c>
      <c r="I943">
        <f>IF(Skills!T12&lt;&gt;"",1+(Skills!T12/10)*(Z934/1000)/100,1)</f>
        <v/>
      </c>
      <c r="J943">
        <f>((Inputs!$B$6*(1+(Inputs!$B$7+1)/100))+(((Inputs!$B$12*(1+Inputs!$B$13/100))-(Inputs!$B$12*(1+Inputs!$B$13/100)))+0.25*(Inputs!$B$14-Inputs!$B$14))*(1+(Inputs!$B$7+1)/100))*(F943/100)</f>
        <v/>
      </c>
      <c r="K943">
        <f>J943*(1+((Inputs!$B$12*(1+Inputs!$B$13/100))*0.01+Inputs!$B$14*0.0025)/100)*(1+(Inputs!$B$15+B960)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946=TRUE,F946,0)/100)*(1+IF(C954=TRUE,F954,0)/100)^5*(1+(IF(Skills!A12="CHAIN_LIGHTNING",Inputs!$B$17+((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943)</f>
        <v/>
      </c>
      <c r="L943">
        <f>K943*(MIN(Inputs!$B$22+(F949-Calc!F18),(Inputs!$B$23+(IF(ArtifactsInput!$M$15,CHOOSE(ArtifactsInput!$N$15+1,25,30,35,40,45,50)/100*(Inputs!$B$11-Inputs!$B$11),0))))/100+(Inputs!$B$23+(IF(ArtifactsInput!$M$15,CHOOSE(ArtifactsInput!$N$15+1,25,30,35,40,45,50)/100*(Inputs!$B$11-Inputs!$B$11),0)))/100)/2</f>
        <v/>
      </c>
      <c r="M943">
        <f>L943*(1+(Inputs!$B$10+(F952-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43">
        <f>L943*(1-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943*(MIN((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43">
        <f>(1-Summary!$B$11)*S943+Summary!$B$11*U943</f>
        <v/>
      </c>
      <c r="P943">
        <f>IF(B968=0,0,O943/B968)</f>
        <v/>
      </c>
      <c r="Q943">
        <f>IFERROR(1/(IF(Inputs!$B$38="pvp",15,MAX(0.1,Skills!D12-IF(TRUE=TRUE,Inputs!$B$32,0)))*(1-IF(AND(ArtifactsInput!$M$27,Inputs!$B$4="Chapter Hunt"),CHOOSE(ArtifactsInput!$N$27+1,20,24,28,32,36,40),0)/100)),0)</f>
        <v/>
      </c>
      <c r="R943">
        <f>IF(AND(Inputs!$B$38&lt;&gt;"pvp",Inputs!$B$43&gt;0),IF(MAX(0,Inputs!$B$43-B965)&lt;=0,0,(INT(MAX(0,Inputs!$B$43-B965)/(IF(Inputs!$B$38="pvp",15,MAX(0.1,Skills!D12-IF(TRUE=TRUE,Inputs!$B$32,0)))*(1-IF(AND(ArtifactsInput!$M$27,Inputs!$B$4="Chapter Hunt"),CHOOSE(ArtifactsInput!$N$27+1,20,24,28,32,36,40),0)/100)))+1)),0)</f>
        <v/>
      </c>
      <c r="S943">
        <f>IF(C943,(H943*N943*IF(AND(Inputs!$B$38&lt;&gt;"pvp",Inputs!$B$43&gt;0),((Skills!F12*((R943-1)*IF(Skills!G12&gt;0,Skills!H12/Skills!G12,1)+IF(Skills!G12&gt;0,MIN(Skills!H12,MAX(0,MAX(0,Inputs!$B$43-B965)-((R943-1)*(IF(Inputs!$B$38="pvp",15,MAX(0.1,Skills!D12-IF(TRUE=TRUE,Inputs!$B$32,0)))*(1-IF(AND(ArtifactsInput!$M$27,Inputs!$B$4="Chapter Hunt"),CHOOSE(ArtifactsInput!$N$27+1,20,24,28,32,36,40),0)/100)))))/Skills!G12,1)))/Inputs!$B$43),G943*Q943))*IF(Inputs!$B$38="pvp",1,1+(Inputs!$B$20+Skills!O12+B959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943*(1-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943*(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943*(1-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943*(MIN(100,(Inputs!$B$9+((F951-Calc!F20)+(F950-Calc!F19))+(ArtifactsInput!$M$24-ArtifactsInput!$M$24)*CHOOSE(ArtifactsInput!$N$24+1,10,12,14,16,18,20)+(IF(AND(Inputs!$B$38&lt;&gt;"pvp",Inputs!$B$43=0),1,IF(IF(Inputs!$B$38="pvp",15,Inputs!$B$43)-(B965)&lt;=0,1,MAX(0,IF(Inputs!$B$38="pvp",15,Inputs!$B$43)-MAX(5,B965))/(IF(Inputs!$B$38="pvp",15,Inputs!$B$43)-(B965)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43">
        <f>IF(C943,(H943*N943*IF(AND(Inputs!$B$38&lt;&gt;"pvp",Inputs!$B$43&gt;0),((Skills!F12*((R943-1)*IF(Skills!G12&gt;0,Skills!H12/Skills!G12,1)+IF(Skills!G12&gt;0,MIN(Skills!H12,MAX(0,MAX(0,Inputs!$B$43-B965)-((R943-1)*(IF(Inputs!$B$38="pvp",15,MAX(0.1,Skills!D12-IF(TRUE=TRUE,Inputs!$B$32,0)))*(1-IF(AND(ArtifactsInput!$M$27,Inputs!$B$4="Chapter Hunt"),CHOOSE(ArtifactsInput!$N$27+1,20,24,28,32,36,40),0)/100)))))/Skills!G12,1)))/Inputs!$B$43),G943*Q943))*IF(Inputs!$B$38="pvp",1,(1+(Inputs!$B$21+Skills!P12+B959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44">
      <c r="A944">
        <f>Skills!A13</f>
        <v/>
      </c>
      <c r="B944">
        <f>Skills!B13</f>
        <v/>
      </c>
      <c r="C944">
        <f>Inputs!$B$3&gt;=49</f>
        <v/>
      </c>
      <c r="D944">
        <f>IF(Skills!C13=1,60+Inputs!$B$25+Inputs!$B$29,IF(Skills!C13=2,90+Inputs!$B$26+Inputs!$B$29,IF(Skills!C13=3,120+Inputs!$B$27+Inputs!$B$29,MAX(0,(Inputs!$B$3-100)*3)+Inputs!$B$28+Inputs!$B$29)))</f>
        <v/>
      </c>
      <c r="E944">
        <f>INDEX(FactorTable!$B$2:$Y$301, MATCH(ROUND(MIN(300,MAX(1,D944)),0), FactorTable!$A$2:$A$301,0), Skills!L13+1)</f>
        <v/>
      </c>
      <c r="F944">
        <f>IF(Skills!M13=TRUE,(Skills!K13/10)*(E944/1000),Skills!K13/10)+Skills!N13</f>
        <v/>
      </c>
      <c r="G944">
        <f>Calc!G13</f>
        <v/>
      </c>
      <c r="H944">
        <f>Calc!H13</f>
        <v/>
      </c>
      <c r="I944">
        <f>IF(Skills!T13&lt;&gt;"",1+(Skills!T13/10)*(Z934/1000)/100,1)</f>
        <v/>
      </c>
      <c r="J944" t="inlineStr"/>
      <c r="K944" t="inlineStr"/>
      <c r="L944" t="inlineStr"/>
      <c r="M944" t="inlineStr"/>
      <c r="N944" t="inlineStr"/>
      <c r="O944">
        <f>(1-Summary!$B$11)*S944+Summary!$B$11*U944</f>
        <v/>
      </c>
      <c r="P944">
        <f>IF(B968=0,0,O944/B968)</f>
        <v/>
      </c>
      <c r="Q944">
        <f>IFERROR(1/(IF(Inputs!$B$38="pvp",15,MAX(0.1,Skills!D13-IF(TRUE=TRUE,Inputs!$B$32,0)))*(1-IF(AND(ArtifactsInput!$M$27,Inputs!$B$4="Chapter Hunt"),CHOOSE(ArtifactsInput!$N$27+1,20,24,28,32,36,40),0)/100)),0)</f>
        <v/>
      </c>
      <c r="R944" t="n">
        <v>0</v>
      </c>
      <c r="S944" t="n">
        <v>0</v>
      </c>
      <c r="U944" t="n">
        <v>0</v>
      </c>
    </row>
    <row r="945">
      <c r="A945">
        <f>Skills!A14</f>
        <v/>
      </c>
      <c r="B945">
        <f>Skills!B14</f>
        <v/>
      </c>
      <c r="C945">
        <f>Inputs!$B$3&gt;=72</f>
        <v/>
      </c>
      <c r="D945">
        <f>IF(Skills!C14=1,60+Inputs!$B$25+Inputs!$B$29,IF(Skills!C14=2,90+Inputs!$B$26+Inputs!$B$29,IF(Skills!C14=3,120+Inputs!$B$27+Inputs!$B$29,MAX(0,(Inputs!$B$3-100)*3)+Inputs!$B$28+Inputs!$B$29)))</f>
        <v/>
      </c>
      <c r="E945">
        <f>INDEX(FactorTable!$B$2:$Y$301, MATCH(ROUND(MIN(300,MAX(1,D945)),0), FactorTable!$A$2:$A$301,0), Skills!L14+1)</f>
        <v/>
      </c>
      <c r="F945">
        <f>IF(Skills!M14=TRUE,(Skills!K14/10)*(E945/1000),Skills!K14/10)+Skills!N14</f>
        <v/>
      </c>
      <c r="G945">
        <f>Calc!G14</f>
        <v/>
      </c>
      <c r="H945">
        <f>Calc!H14</f>
        <v/>
      </c>
      <c r="I945">
        <f>IF(Skills!T14&lt;&gt;"",1+(Skills!T14/10)*(Z934/1000)/100,1)</f>
        <v/>
      </c>
      <c r="J945" t="inlineStr"/>
      <c r="K945" t="inlineStr"/>
      <c r="L945" t="inlineStr"/>
      <c r="M945" t="inlineStr"/>
      <c r="N945" t="inlineStr"/>
      <c r="O945">
        <f>(1-Summary!$B$11)*S945+Summary!$B$11*U945</f>
        <v/>
      </c>
      <c r="P945">
        <f>IF(B968=0,0,O945/B968)</f>
        <v/>
      </c>
      <c r="Q945">
        <f>IFERROR(1/(IF(Inputs!$B$38="pvp",15,MAX(0.1,Skills!D14-IF(TRUE=TRUE,Inputs!$B$32,0)))*(1-IF(AND(ArtifactsInput!$M$27,Inputs!$B$4="Chapter Hunt"),CHOOSE(ArtifactsInput!$N$27+1,20,24,28,32,36,40),0)/100)),0)</f>
        <v/>
      </c>
      <c r="R945" t="n">
        <v>0</v>
      </c>
      <c r="S945" t="n">
        <v>0</v>
      </c>
      <c r="U945" t="n">
        <v>0</v>
      </c>
    </row>
    <row r="946">
      <c r="A946">
        <f>Skills!A15</f>
        <v/>
      </c>
      <c r="B946">
        <f>Skills!B15</f>
        <v/>
      </c>
      <c r="C946">
        <f>Inputs!$B$3&gt;=75</f>
        <v/>
      </c>
      <c r="D946">
        <f>IF(Skills!C15=1,60+Inputs!$B$25+Inputs!$B$29,IF(Skills!C15=2,90+Inputs!$B$26+Inputs!$B$29,IF(Skills!C15=3,120+Inputs!$B$27+Inputs!$B$29,MAX(0,(Inputs!$B$3-100)*3)+Inputs!$B$28+Inputs!$B$29)))</f>
        <v/>
      </c>
      <c r="E946">
        <f>INDEX(FactorTable!$B$2:$Y$301, MATCH(ROUND(MIN(300,MAX(1,D946)),0), FactorTable!$A$2:$A$301,0), Skills!L15+1)</f>
        <v/>
      </c>
      <c r="F946">
        <f>IF(Skills!M15=TRUE,(Skills!K15/10)*(E946/1000),Skills!K15/10)+Skills!N15</f>
        <v/>
      </c>
      <c r="G946">
        <f>Calc!G15</f>
        <v/>
      </c>
      <c r="H946">
        <f>Calc!H15</f>
        <v/>
      </c>
      <c r="I946">
        <f>IF(Skills!T15&lt;&gt;"",1+(Skills!T15/10)*(Z934/1000)/100,1)</f>
        <v/>
      </c>
      <c r="J946" t="inlineStr"/>
      <c r="K946" t="inlineStr"/>
      <c r="L946" t="inlineStr"/>
      <c r="M946" t="inlineStr"/>
      <c r="N946" t="inlineStr"/>
      <c r="O946">
        <f>(1-Summary!$B$11)*S946+Summary!$B$11*U946</f>
        <v/>
      </c>
      <c r="P946">
        <f>IF(B968=0,0,O946/B968)</f>
        <v/>
      </c>
      <c r="Q946">
        <f>IFERROR(1/(IF(Inputs!$B$38="pvp",15,MAX(0.1,Skills!D15-IF(TRUE=TRUE,Inputs!$B$32,0)))*(1-IF(AND(ArtifactsInput!$M$27,Inputs!$B$4="Chapter Hunt"),CHOOSE(ArtifactsInput!$N$27+1,20,24,28,32,36,40),0)/100)),0)</f>
        <v/>
      </c>
      <c r="R946" t="n">
        <v>0</v>
      </c>
      <c r="S946" t="n">
        <v>0</v>
      </c>
      <c r="U946" t="n">
        <v>0</v>
      </c>
    </row>
    <row r="947">
      <c r="A947">
        <f>Skills!A16</f>
        <v/>
      </c>
      <c r="B947">
        <f>Skills!B16</f>
        <v/>
      </c>
      <c r="C947">
        <f>Inputs!$B$3&gt;=110</f>
        <v/>
      </c>
      <c r="D947">
        <f>IF(Skills!C16=1,60+Inputs!$B$25+Inputs!$B$29,IF(Skills!C16=2,90+Inputs!$B$26+Inputs!$B$29,IF(Skills!C16=3,120+Inputs!$B$27+Inputs!$B$29,MAX(0,(Inputs!$B$3-100)*3)+Inputs!$B$28+Inputs!$B$29)))</f>
        <v/>
      </c>
      <c r="E947">
        <f>INDEX(FactorTable!$B$2:$Y$301, MATCH(ROUND(MIN(300,MAX(1,D947)),0), FactorTable!$A$2:$A$301,0), Skills!L16+1)</f>
        <v/>
      </c>
      <c r="F947">
        <f>(Skills!K16/10)*(E947/1000)*64/45+Skills!N16</f>
        <v/>
      </c>
      <c r="G947">
        <f>Calc!G16</f>
        <v/>
      </c>
      <c r="H947">
        <f>Calc!H16</f>
        <v/>
      </c>
      <c r="I947">
        <f>IF(Skills!T16&lt;&gt;"",1+(Skills!T16/10)*(Z934/1000)/100,1)</f>
        <v/>
      </c>
      <c r="J947" t="inlineStr"/>
      <c r="K947" t="inlineStr"/>
      <c r="L947" t="inlineStr"/>
      <c r="M947" t="inlineStr"/>
      <c r="N947" t="inlineStr"/>
      <c r="O947">
        <f>(1-Summary!$B$11)*S947+Summary!$B$11*U947</f>
        <v/>
      </c>
      <c r="P947">
        <f>IF(B968=0,0,O947/B968)</f>
        <v/>
      </c>
      <c r="Q947">
        <f>IFERROR(1/(IF(Inputs!$B$38="pvp",15,MAX(0.1,Skills!D16-IF(TRUE=TRUE,Inputs!$B$32,0)))*(1-IF(AND(ArtifactsInput!$M$27,Inputs!$B$4="Chapter Hunt"),CHOOSE(ArtifactsInput!$N$27+1,20,24,28,32,36,40),0)/100)),0)</f>
        <v/>
      </c>
      <c r="R947">
        <f>IF(AND(Inputs!$B$38&lt;&gt;"pvp",Inputs!$B$43&gt;0),IF(Inputs!$B$43&lt;=0,0,(INT(Inputs!$B$43/(IF(Inputs!$B$38="pvp",15,MAX(0.1,Skills!D16-IF(TRUE=TRUE,Inputs!$B$32,0)))*(1-IF(AND(ArtifactsInput!$M$27,Inputs!$B$4="Chapter Hunt"),CHOOSE(ArtifactsInput!$N$27+1,20,24,28,32,36,40),0)/100)))+1)),0)</f>
        <v/>
      </c>
      <c r="S947" t="n">
        <v>0</v>
      </c>
      <c r="U947" t="n">
        <v>0</v>
      </c>
    </row>
    <row r="948">
      <c r="A948">
        <f>Skills!A17</f>
        <v/>
      </c>
      <c r="B948">
        <f>Skills!B17</f>
        <v/>
      </c>
      <c r="C948">
        <f>Inputs!$B$3&gt;=33</f>
        <v/>
      </c>
      <c r="D948">
        <f>IF(Skills!C17=1,60+Inputs!$B$25+Inputs!$B$29,IF(Skills!C17=2,90+Inputs!$B$26+Inputs!$B$29,IF(Skills!C17=3,120+Inputs!$B$27+Inputs!$B$29,MAX(0,(Inputs!$B$3-100)*3)+Inputs!$B$28+Inputs!$B$29)))</f>
        <v/>
      </c>
      <c r="E948">
        <f>INDEX(FactorTable!$B$2:$Y$301, MATCH(ROUND(MIN(300,MAX(1,D948)),0), FactorTable!$A$2:$A$301,0), Skills!L17+1)</f>
        <v/>
      </c>
      <c r="F948">
        <f>IF(Skills!M17=TRUE,(Skills!K17/10)*(E948/1000),Skills!K17/10)+Skills!N17</f>
        <v/>
      </c>
      <c r="G948">
        <f>Calc!G17</f>
        <v/>
      </c>
      <c r="H948">
        <f>Calc!H17</f>
        <v/>
      </c>
      <c r="I948">
        <f>IF(Skills!T17&lt;&gt;"",1+(Skills!T17/10)*(Z934/1000)/100,1)</f>
        <v/>
      </c>
      <c r="J948" t="inlineStr"/>
      <c r="K948" t="inlineStr"/>
      <c r="L948" t="inlineStr"/>
      <c r="M948" t="inlineStr"/>
      <c r="N948" t="inlineStr"/>
      <c r="O948">
        <f>(1-Summary!$B$11)*S948+Summary!$B$11*U948</f>
        <v/>
      </c>
      <c r="P948">
        <f>IF(B968=0,0,O948/B968)</f>
        <v/>
      </c>
      <c r="Q948">
        <f>IFERROR(1/(IF(Inputs!$B$38="pvp",15,MAX(0.1,Skills!D17-IF(TRUE=TRUE,Inputs!$B$32,0)))*(1-IF(AND(ArtifactsInput!$M$27,Inputs!$B$4="Chapter Hunt"),CHOOSE(ArtifactsInput!$N$27+1,20,24,28,32,36,40),0)/100)),0)</f>
        <v/>
      </c>
      <c r="R948" t="n">
        <v>0</v>
      </c>
      <c r="S948" t="n">
        <v>0</v>
      </c>
      <c r="U948" t="n">
        <v>0</v>
      </c>
    </row>
    <row r="949">
      <c r="A949">
        <f>Skills!A18</f>
        <v/>
      </c>
      <c r="B949">
        <f>Skills!B18</f>
        <v/>
      </c>
      <c r="C949">
        <f>Inputs!$B$3&gt;=43</f>
        <v/>
      </c>
      <c r="D949">
        <f>IF(Skills!C18=1,60+Inputs!$B$25+Inputs!$B$29,IF(Skills!C18=2,90+Inputs!$B$26+Inputs!$B$29,IF(Skills!C18=3,120+Inputs!$B$27+Inputs!$B$29,MAX(0,(Inputs!$B$3-100)*3)+Inputs!$B$28+Inputs!$B$29)))</f>
        <v/>
      </c>
      <c r="E949">
        <f>INDEX(FactorTable!$B$2:$Y$301, MATCH(ROUND(MIN(300,MAX(1,D949)),0), FactorTable!$A$2:$A$301,0), Skills!L18+1)</f>
        <v/>
      </c>
      <c r="F949">
        <f>IF(Skills!M18=TRUE,(Skills!K18/10)*(E949/1000),Skills!K18/10)+Skills!N18</f>
        <v/>
      </c>
      <c r="G949">
        <f>Calc!G18</f>
        <v/>
      </c>
      <c r="H949">
        <f>Calc!H18</f>
        <v/>
      </c>
      <c r="I949">
        <f>IF(Skills!T18&lt;&gt;"",1+(Skills!T18/10)*(Z934/1000)/100,1)</f>
        <v/>
      </c>
      <c r="J949" t="inlineStr"/>
      <c r="K949" t="inlineStr"/>
      <c r="L949" t="inlineStr"/>
      <c r="M949" t="inlineStr"/>
      <c r="N949" t="inlineStr"/>
      <c r="O949">
        <f>(1-Summary!$B$11)*S949+Summary!$B$11*U949</f>
        <v/>
      </c>
      <c r="P949">
        <f>IF(B968=0,0,O949/B968)</f>
        <v/>
      </c>
      <c r="Q949">
        <f>IFERROR(1/(IF(Inputs!$B$38="pvp",15,MAX(0.1,Skills!D18-IF(TRUE=TRUE,Inputs!$B$32,0)))*(1-IF(AND(ArtifactsInput!$M$27,Inputs!$B$4="Chapter Hunt"),CHOOSE(ArtifactsInput!$N$27+1,20,24,28,32,36,40),0)/100)),0)</f>
        <v/>
      </c>
      <c r="R949" t="n">
        <v>0</v>
      </c>
      <c r="S949" t="n">
        <v>0</v>
      </c>
      <c r="U949" t="n">
        <v>0</v>
      </c>
    </row>
    <row r="950">
      <c r="A950">
        <f>Skills!A19</f>
        <v/>
      </c>
      <c r="B950">
        <f>Skills!B19</f>
        <v/>
      </c>
      <c r="C950">
        <f>Inputs!$B$3&gt;=50</f>
        <v/>
      </c>
      <c r="D950">
        <f>IF(Skills!C19=1,60+Inputs!$B$25+Inputs!$B$29,IF(Skills!C19=2,90+Inputs!$B$26+Inputs!$B$29,IF(Skills!C19=3,120+Inputs!$B$27+Inputs!$B$29,MAX(0,(Inputs!$B$3-100)*3)+Inputs!$B$28+Inputs!$B$29)))</f>
        <v/>
      </c>
      <c r="E950">
        <f>INDEX(FactorTable!$B$2:$Y$301, MATCH(ROUND(MIN(300,MAX(1,D950)),0), FactorTable!$A$2:$A$301,0), Skills!L19+1)</f>
        <v/>
      </c>
      <c r="F950">
        <f>IF(Skills!M19=TRUE,(Skills!K19/10)*(E950/1000),Skills!K19/10)+Skills!N19</f>
        <v/>
      </c>
      <c r="G950">
        <f>Calc!G19</f>
        <v/>
      </c>
      <c r="H950">
        <f>Calc!H19</f>
        <v/>
      </c>
      <c r="I950">
        <f>IF(Skills!T19&lt;&gt;"",1+(Skills!T19/10)*(Z934/1000)/100,1)</f>
        <v/>
      </c>
      <c r="J950" t="inlineStr"/>
      <c r="K950" t="inlineStr"/>
      <c r="L950" t="inlineStr"/>
      <c r="M950" t="inlineStr"/>
      <c r="N950" t="inlineStr"/>
      <c r="O950">
        <f>(1-Summary!$B$11)*S950+Summary!$B$11*U950</f>
        <v/>
      </c>
      <c r="P950">
        <f>IF(B968=0,0,O950/B968)</f>
        <v/>
      </c>
      <c r="Q950">
        <f>IFERROR(1/(IF(Inputs!$B$38="pvp",15,MAX(0.1,Skills!D19-IF(TRUE=TRUE,Inputs!$B$32,0)))*(1-IF(AND(ArtifactsInput!$M$27,Inputs!$B$4="Chapter Hunt"),CHOOSE(ArtifactsInput!$N$27+1,20,24,28,32,36,40),0)/100)),0)</f>
        <v/>
      </c>
      <c r="R950" t="n">
        <v>0</v>
      </c>
      <c r="S950" t="n">
        <v>0</v>
      </c>
      <c r="U950" t="n">
        <v>0</v>
      </c>
    </row>
    <row r="951">
      <c r="A951">
        <f>Skills!A20</f>
        <v/>
      </c>
      <c r="B951">
        <f>Skills!B20</f>
        <v/>
      </c>
      <c r="C951">
        <f>Inputs!$B$3&gt;=74</f>
        <v/>
      </c>
      <c r="D951">
        <f>IF(Skills!C20=1,60+Inputs!$B$25+Inputs!$B$29,IF(Skills!C20=2,90+Inputs!$B$26+Inputs!$B$29,IF(Skills!C20=3,120+Inputs!$B$27+Inputs!$B$29,MAX(0,(Inputs!$B$3-100)*3)+Inputs!$B$28+Inputs!$B$29)))</f>
        <v/>
      </c>
      <c r="E951">
        <f>INDEX(FactorTable!$B$2:$Y$301, MATCH(ROUND(MIN(300,MAX(1,D951)),0), FactorTable!$A$2:$A$301,0), Skills!L20+1)</f>
        <v/>
      </c>
      <c r="F951">
        <f>IF(Skills!M20=TRUE,(Skills!K20/10)*(E951/1000),Skills!K20/10)+Skills!N20</f>
        <v/>
      </c>
      <c r="G951">
        <f>Calc!G20</f>
        <v/>
      </c>
      <c r="H951">
        <f>Calc!H20</f>
        <v/>
      </c>
      <c r="I951">
        <f>IF(Skills!T20&lt;&gt;"",1+(Skills!T20/10)*(Z934/1000)/100,1)</f>
        <v/>
      </c>
      <c r="J951" t="inlineStr"/>
      <c r="K951" t="inlineStr"/>
      <c r="L951" t="inlineStr"/>
      <c r="M951" t="inlineStr"/>
      <c r="N951" t="inlineStr"/>
      <c r="O951">
        <f>(1-Summary!$B$11)*S951+Summary!$B$11*U951</f>
        <v/>
      </c>
      <c r="P951">
        <f>IF(B968=0,0,O951/B968)</f>
        <v/>
      </c>
      <c r="Q951">
        <f>IFERROR(1/(IF(Inputs!$B$38="pvp",15,MAX(0.1,Skills!D20-IF(TRUE=TRUE,Inputs!$B$32,0)))*(1-IF(AND(ArtifactsInput!$M$27,Inputs!$B$4="Chapter Hunt"),CHOOSE(ArtifactsInput!$N$27+1,20,24,28,32,36,40),0)/100)),0)</f>
        <v/>
      </c>
      <c r="R951" t="n">
        <v>0</v>
      </c>
      <c r="S951" t="n">
        <v>0</v>
      </c>
      <c r="U951" t="n">
        <v>0</v>
      </c>
    </row>
    <row r="952">
      <c r="A952">
        <f>Skills!A21</f>
        <v/>
      </c>
      <c r="B952">
        <f>Skills!B21</f>
        <v/>
      </c>
      <c r="C952">
        <f>Inputs!$B$3&gt;=74</f>
        <v/>
      </c>
      <c r="D952">
        <f>IF(Skills!C21=1,60+Inputs!$B$25+Inputs!$B$29,IF(Skills!C21=2,90+Inputs!$B$26+Inputs!$B$29,IF(Skills!C21=3,120+Inputs!$B$27+Inputs!$B$29,MAX(0,(Inputs!$B$3-100)*3)+Inputs!$B$28+Inputs!$B$29)))</f>
        <v/>
      </c>
      <c r="E952">
        <f>INDEX(FactorTable!$B$2:$Y$301, MATCH(ROUND(MIN(300,MAX(1,D952)),0), FactorTable!$A$2:$A$301,0), Skills!L21+1)</f>
        <v/>
      </c>
      <c r="F952">
        <f>IF(Skills!M21=TRUE,(Skills!K21/10)*(E952/1000),Skills!K21/10)+Skills!N21</f>
        <v/>
      </c>
      <c r="G952">
        <f>Calc!G21</f>
        <v/>
      </c>
      <c r="H952">
        <f>Calc!H21</f>
        <v/>
      </c>
      <c r="I952">
        <f>IF(Skills!T21&lt;&gt;"",1+(Skills!T21/10)*(Z934/1000)/100,1)</f>
        <v/>
      </c>
      <c r="J952" t="inlineStr"/>
      <c r="K952" t="inlineStr"/>
      <c r="L952" t="inlineStr"/>
      <c r="M952" t="inlineStr"/>
      <c r="N952" t="inlineStr"/>
      <c r="O952">
        <f>(1-Summary!$B$11)*S952+Summary!$B$11*U952</f>
        <v/>
      </c>
      <c r="P952">
        <f>IF(B968=0,0,O952/B968)</f>
        <v/>
      </c>
      <c r="Q952">
        <f>IFERROR(1/(IF(Inputs!$B$38="pvp",15,MAX(0.1,Skills!D21-IF(TRUE=TRUE,Inputs!$B$32,0)))*(1-IF(AND(ArtifactsInput!$M$27,Inputs!$B$4="Chapter Hunt"),CHOOSE(ArtifactsInput!$N$27+1,20,24,28,32,36,40),0)/100)),0)</f>
        <v/>
      </c>
      <c r="R952" t="n">
        <v>0</v>
      </c>
      <c r="S952" t="n">
        <v>0</v>
      </c>
      <c r="U952" t="n">
        <v>0</v>
      </c>
    </row>
    <row r="953">
      <c r="A953">
        <f>Skills!A22</f>
        <v/>
      </c>
      <c r="B953">
        <f>Skills!B22</f>
        <v/>
      </c>
      <c r="C953">
        <f>Inputs!$B$3&gt;=117</f>
        <v/>
      </c>
      <c r="D953">
        <f>IF(Skills!C22=1,60+Inputs!$B$25+Inputs!$B$29,IF(Skills!C22=2,90+Inputs!$B$26+Inputs!$B$29,IF(Skills!C22=3,120+Inputs!$B$27+Inputs!$B$29,MAX(0,(Inputs!$B$3-100)*3)+Inputs!$B$28+Inputs!$B$29)))</f>
        <v/>
      </c>
      <c r="E953">
        <f>INDEX(FactorTable!$B$2:$Y$301, MATCH(ROUND(MIN(300,MAX(1,D953)),0), FactorTable!$A$2:$A$301,0), Skills!L22+1)</f>
        <v/>
      </c>
      <c r="F953">
        <f>IF(Skills!M22=TRUE,(Skills!K22/10)*(E953/1000),Skills!K22/10)+Skills!N22</f>
        <v/>
      </c>
      <c r="G953">
        <f>Calc!G22</f>
        <v/>
      </c>
      <c r="H953">
        <f>Calc!H22</f>
        <v/>
      </c>
      <c r="I953">
        <f>IF(Skills!T22&lt;&gt;"",1+(Skills!T22/10)*(Z934/1000)/100,1)</f>
        <v/>
      </c>
      <c r="J953" t="inlineStr"/>
      <c r="K953" t="inlineStr"/>
      <c r="L953" t="inlineStr"/>
      <c r="M953" t="inlineStr"/>
      <c r="N953" t="inlineStr"/>
      <c r="O953">
        <f>(1-Summary!$B$11)*S953+Summary!$B$11*U953</f>
        <v/>
      </c>
      <c r="P953">
        <f>IF(B968=0,0,O953/B968)</f>
        <v/>
      </c>
      <c r="Q953">
        <f>IFERROR(1/(IF(Inputs!$B$38="pvp",15,MAX(0.1,Skills!D22-IF(TRUE=TRUE,Inputs!$B$32,0)))*(1-IF(AND(ArtifactsInput!$M$27,Inputs!$B$4="Chapter Hunt"),CHOOSE(ArtifactsInput!$N$27+1,20,24,28,32,36,40),0)/100)),0)</f>
        <v/>
      </c>
      <c r="R953" t="n">
        <v>0</v>
      </c>
      <c r="S953" t="n">
        <v>0</v>
      </c>
      <c r="U953" t="n">
        <v>0</v>
      </c>
    </row>
    <row r="954">
      <c r="A954">
        <f>Skills!A23</f>
        <v/>
      </c>
      <c r="B954">
        <f>Skills!B23</f>
        <v/>
      </c>
      <c r="C954">
        <f>Inputs!$B$3&gt;=120</f>
        <v/>
      </c>
      <c r="D954">
        <f>IF(Skills!C23=1,60+Inputs!$B$25+Inputs!$B$29,IF(Skills!C23=2,90+Inputs!$B$26+Inputs!$B$29,IF(Skills!C23=3,120+Inputs!$B$27+Inputs!$B$29,MAX(0,(Inputs!$B$3-100)*3)+Inputs!$B$28+Inputs!$B$29)))</f>
        <v/>
      </c>
      <c r="E954">
        <f>INDEX(FactorTable!$B$2:$Y$301, MATCH(ROUND(MIN(300,MAX(1,D954)),0), FactorTable!$A$2:$A$301,0), Skills!L23+1)</f>
        <v/>
      </c>
      <c r="F954">
        <f>IF(Skills!M23=TRUE,(Skills!K23/10)*(E954/1000),Skills!K23/10)+Skills!N23</f>
        <v/>
      </c>
      <c r="G954">
        <f>Calc!G23</f>
        <v/>
      </c>
      <c r="H954">
        <f>Calc!H23</f>
        <v/>
      </c>
      <c r="I954">
        <f>IF(Skills!T23&lt;&gt;"",1+(Skills!T23/10)*(Z934/1000)/100,1)</f>
        <v/>
      </c>
      <c r="J954" t="inlineStr"/>
      <c r="K954" t="inlineStr"/>
      <c r="L954" t="inlineStr"/>
      <c r="M954" t="inlineStr"/>
      <c r="N954" t="inlineStr"/>
      <c r="O954">
        <f>(1-Summary!$B$11)*S954+Summary!$B$11*U954</f>
        <v/>
      </c>
      <c r="P954">
        <f>IF(B968=0,0,O954/B968)</f>
        <v/>
      </c>
      <c r="Q954">
        <f>IFERROR(1/(IF(Inputs!$B$38="pvp",15,MAX(0.1,Skills!D23-IF(TRUE=TRUE,Inputs!$B$32,0)))*(1-IF(AND(ArtifactsInput!$M$27,Inputs!$B$4="Chapter Hunt"),CHOOSE(ArtifactsInput!$N$27+1,20,24,28,32,36,40),0)/100)),0)</f>
        <v/>
      </c>
      <c r="R954" t="n">
        <v>0</v>
      </c>
      <c r="S954" t="n">
        <v>0</v>
      </c>
      <c r="U954" t="n">
        <v>0</v>
      </c>
    </row>
    <row r="955">
      <c r="A955">
        <f>Skills!A24</f>
        <v/>
      </c>
      <c r="B955">
        <f>Skills!B24</f>
        <v/>
      </c>
      <c r="C955">
        <f>TRUE</f>
        <v/>
      </c>
      <c r="D955">
        <f>IF(Skills!C24=1,60+Inputs!$B$25+Inputs!$B$29,IF(Skills!C24=2,90+Inputs!$B$26+Inputs!$B$29,IF(Skills!C24=3,120+Inputs!$B$27+Inputs!$B$29,MAX(0,(Inputs!$B$3-100)*3)+Inputs!$B$28+Inputs!$B$29)))</f>
        <v/>
      </c>
      <c r="E955">
        <f>INDEX(FactorTable!$B$2:$Y$301, MATCH(ROUND(MIN(300,MAX(1,D955)),0), FactorTable!$A$2:$A$301,0), Skills!L24+1)</f>
        <v/>
      </c>
      <c r="F955">
        <f>IF(Skills!M24=TRUE,(Skills!K24/10)*(E955/1000),Skills!K24/10)+Skills!N24</f>
        <v/>
      </c>
      <c r="G955">
        <f>Calc!G24</f>
        <v/>
      </c>
      <c r="H955">
        <f>Calc!H24</f>
        <v/>
      </c>
      <c r="I955">
        <f>IF(Skills!T24&lt;&gt;"",1+(Skills!T24/10)*(Z934/1000)/100,1)</f>
        <v/>
      </c>
      <c r="J955" t="inlineStr"/>
      <c r="K955" t="inlineStr"/>
      <c r="L955" t="inlineStr"/>
      <c r="M955" t="inlineStr"/>
      <c r="N955" t="inlineStr"/>
      <c r="O955">
        <f>(1-Summary!$B$11)*S955+Summary!$B$11*U955</f>
        <v/>
      </c>
      <c r="P955">
        <f>IF(B968=0,0,O955/B968)</f>
        <v/>
      </c>
      <c r="Q955">
        <f>IFERROR(1/(IF(Inputs!$B$38="pvp",15,MAX(0.1,Skills!D24-IF(TRUE=TRUE,Inputs!$B$32,0)))*(1-IF(AND(ArtifactsInput!$M$27,Inputs!$B$4="Chapter Hunt"),CHOOSE(ArtifactsInput!$N$27+1,20,24,28,32,36,40),0)/100)),0)</f>
        <v/>
      </c>
      <c r="R955">
        <f>IF(AND(Inputs!$B$38&lt;&gt;"pvp",Inputs!$B$43&gt;0),IF(Inputs!$B$43&lt;=0,0,(INT(Inputs!$B$43/(IF(Inputs!$B$38="pvp",15,MAX(0.1,Skills!D24-IF(TRUE=TRUE,Inputs!$B$32,0)))*(1-IF(AND(ArtifactsInput!$M$27,Inputs!$B$4="Chapter Hunt"),CHOOSE(ArtifactsInput!$N$27+1,20,24,28,32,36,40),0)/100)))+1)),0)</f>
        <v/>
      </c>
      <c r="S955" t="n">
        <v>0</v>
      </c>
      <c r="U955" t="n">
        <v>0</v>
      </c>
    </row>
    <row r="958">
      <c r="A958" t="inlineStr">
        <is>
          <t>Average Buff Multiplier (Magic Guard + Meditation + Artifact Attack%, summed; then Infinity)</t>
        </is>
      </c>
      <c r="B958">
        <f>(1+(IF(C934=TRUE,F934*IF(AND(Inputs!$B$38&lt;&gt;"pvp",Inputs!$B$43&gt;0),(((R934-1)*MIN((Skills!S3*(1+(Inputs!$B$34)/100)),(1/Q934))+MIN((Skills!S3*(1+(Inputs!$B$34)/100)),MAX(0,Inputs!$B$43-((R934-1)*(1/Q934)))))/Inputs!$B$43),IF(Inputs!$B$38="pvp",MIN((Skills!S3*(1+(Inputs!$B$34)/100)),15)/15,MIN(1,(Skills!S3*(1+(Inputs!$B$34)/100))/(1/Q934)))),0)+IF(C935=TRUE,F935*IF(AND(Inputs!$B$38&lt;&gt;"pvp",Inputs!$B$43&gt;0),(((R935-1)*MIN((Skills!S4*(1+(Inputs!$B$34)/100)),(1/Q935))+MIN((Skills!S4*(1+(Inputs!$B$34)/100)),MAX(0,Inputs!$B$43-((R935-1)*(1/Q935)))))/Inputs!$B$43),IF(Inputs!$B$38="pvp",MIN((Skills!S4*(1+(Inputs!$B$34)/100)),15)/15,MIN(1,(Skills!S4*(1+(Inputs!$B$34)/100))/(1/Q935)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947=TRUE,(1+F947*IF(AND(Inputs!$B$38&lt;&gt;"pvp",Inputs!$B$43&gt;0),(((R947-1)*MIN((Skills!S16*(1+(Inputs!$B$34)/100)),(1/Q947))+MIN((Skills!S16*(1+(Inputs!$B$34)/100)),MAX(0,Inputs!$B$43-((R947-1)*(1/Q947)))))/Inputs!$B$43),IF(Inputs!$B$38="pvp",MIN((Skills!S16*(1+(Inputs!$B$34)/100)),15)/15,MIN(1,(Skills!S16*(1+(Inputs!$B$34)/100))/(1/Q947))))/100),1)</f>
        <v/>
      </c>
    </row>
    <row r="959">
      <c r="A959" t="inlineStr">
        <is>
          <t>Monster Damage Taken Bonus % (Freezing Breath - Weaken + Elemental Reset + Artifact Enemy Damage Taken, summed)</t>
        </is>
      </c>
      <c r="B959">
        <f>IF(Inputs!$B$3&gt;=118,15*IF(Inputs!$B$38="pvp",MIN((30*(1+(Inputs!$B$34)/100)),15)/15,MIN(1,(30*(1+(Inputs!$B$34)/100))/(1/Q939))),0)+IF(C945=TRUE,F945,0)+(IF(AND(ArtifactsInput!$M$35,Inputs!$B$4&lt;&gt;"Chapter Hunt"),CHOOSE(ArtifactsInput!$N$35+1,15,18,21,24,27,30)*(1-EXP(-(0.2*B962)*5)),0)+IF(AND(ArtifactsInput!$M$22,Inputs!$B$4&lt;&gt;"Chapter Hunt"),CHOOSE(ArtifactsInput!$N$22+1,10,12,14,16,18,20)*((0*(((0.15*B962*5))^0/1)+1*(((0.15*B962*5))^1/1)+2*(((0.15*B962*5))^2/2)+3*(((0.15*B962*5))^3/6)+4*(((0.15*B962*5))^4/24)+5*(((0.15*B962*5))^5/120))/((((0.15*B962*5))^0/1)+(((0.15*B962*5))^1/1)+(((0.15*B962*5))^2/2)+(((0.15*B962*5))^3/6)+(((0.15*B962*5))^4/24)+(((0.15*B962*5))^5/120))),0))</f>
        <v/>
      </c>
    </row>
    <row r="960">
      <c r="A960" t="inlineStr">
        <is>
          <t>Damage % Bonus (Frozen Break + Frost Clutch, flat)</t>
        </is>
      </c>
      <c r="B960">
        <f>IF(Inputs!$B$3&gt;=66,15,0)+IF(Inputs!$B$3&gt;=98,10,0)+IF(Inputs!$B$3&gt;=125,20,0)</f>
        <v/>
      </c>
    </row>
    <row r="961">
      <c r="A961" t="inlineStr">
        <is>
          <t>Attack Speed Bonus % (MP Eater - MP Boost, always-on + Nimble Feet, duty-cycle averaged)</t>
        </is>
      </c>
      <c r="B961">
        <f>IF(C944=TRUE,F944+(F948-Calc!F17),0)+((C955=TRUE)*F955*IF(AND(Inputs!$B$38&lt;&gt;"pvp",Inputs!$B$43&gt;0),(((R955-1)*MIN((Skills!S24*(1+(Inputs!$B$34)/100)),(1/Q955))+MIN((Skills!S24*(1+(Inputs!$B$34)/100)),MAX(0,Inputs!$B$43-((R955-1)*(1/Q955)))))/Inputs!$B$43),IF(Inputs!$B$38="pvp",MIN((Skills!S24*(1+(Inputs!$B$34)/100)),15)/15,MIN(1,(Skills!S24*(1+(Inputs!$B$34)/100))/(1/Q955)))))</f>
        <v/>
      </c>
    </row>
    <row r="962">
      <c r="A962" t="inlineStr">
        <is>
          <t>Actions Per Second</t>
        </is>
      </c>
      <c r="B962">
        <f>1+MIN(150,150*(1-(1-(Inputs!$B$11+(ArtifactsInput!$M$15-ArtifactsInput!$M$15)*CHOOSE(ArtifactsInput!$N$15+1,8,9.6,11.2,12.8,14.4,16))/150)*(1-B961/150)))/100</f>
        <v/>
      </c>
    </row>
    <row r="963">
      <c r="A963" t="inlineStr">
        <is>
          <t>Skill + Buff Cast Rate</t>
        </is>
      </c>
      <c r="B963">
        <f>IF(AND(Inputs!$B$38&lt;&gt;"pvp",Inputs!$B$43&gt;0),SUMPRODUCT((Skills!E2:E24=TRUE)*(C933:C955=TRUE)*R933:R955)/Inputs!$B$43,SUMPRODUCT((Skills!E2:E24=TRUE)*(C933:C955=TRUE)*Q933:Q955))</f>
        <v/>
      </c>
    </row>
    <row r="964">
      <c r="A964" t="inlineStr">
        <is>
          <t>Chain Lightning Casts Per Second</t>
        </is>
      </c>
      <c r="B964">
        <f>MAX(0,B962-B963)</f>
        <v/>
      </c>
    </row>
    <row r="965">
      <c r="A965" t="inlineStr">
        <is>
          <t>Buff-Casting Startup Delay (s, fixed-duration only)</t>
        </is>
      </c>
      <c r="B965">
        <f>IF(AND(Inputs!$B$38&lt;&gt;"pvp",Inputs!$B$43&gt;0),SUMPRODUCT((Skills!S2:S24&gt;0)*(Skills!E2:E24=TRUE)*(C933:C955=TRUE))/B962,0)</f>
        <v/>
      </c>
    </row>
    <row r="966">
      <c r="A966" t="inlineStr">
        <is>
          <t>Boss-Only Total DPS (this block's swept value)</t>
        </is>
      </c>
      <c r="B966">
        <f>SUM(S933:S955)</f>
        <v/>
      </c>
    </row>
    <row r="967">
      <c r="A967" t="inlineStr">
        <is>
          <t>Normal-Only Total DPS (this block's swept value)</t>
        </is>
      </c>
      <c r="B967">
        <f>SUM(U933:U955)</f>
        <v/>
      </c>
    </row>
    <row r="968">
      <c r="A968" s="6" t="inlineStr">
        <is>
          <t>TOTAL DPS</t>
        </is>
      </c>
      <c r="B968" s="6">
        <f>SUM(O933:O955)</f>
        <v/>
      </c>
    </row>
    <row r="969">
      <c r="A969" t="inlineStr">
        <is>
          <t>Blizzard Final Attack trigger rate (this block's own Q/R)</t>
        </is>
      </c>
      <c r="B969">
        <f>IF(AND(Inputs!$B$38&lt;&gt;"pvp",Inputs!$B$43&gt;0),(((C936=TRUE)*R936*1)+((C937=TRUE)*R937*1)+((C939=TRUE)*R939*1)+((C940=TRUE)*R940*3)+((C942=TRUE)*R942*1))/Inputs!$B$43,((C936=TRUE)*Q936*1)+((C937=TRUE)*Q937*1)+((C939=TRUE)*Q939*1)+((C940=TRUE)*Q940*3)+((C942=TRUE)*Q942*1))+B964</f>
        <v/>
      </c>
    </row>
    <row r="972">
      <c r="A972" s="6" t="inlineStr">
        <is>
          <t>Stat: Skill Cooldown Decrease (seconds)</t>
        </is>
      </c>
    </row>
    <row r="973">
      <c r="A973" s="5" t="inlineStr">
        <is>
          <t>Key</t>
        </is>
      </c>
      <c r="B973" s="5" t="inlineStr">
        <is>
          <t>Name</t>
        </is>
      </c>
      <c r="C973" s="5" t="inlineStr">
        <is>
          <t>Unlocked</t>
        </is>
      </c>
      <c r="D973" s="5" t="inlineStr">
        <is>
          <t>InputLevel</t>
        </is>
      </c>
      <c r="E973" s="5" t="inlineStr">
        <is>
          <t>Factor</t>
        </is>
      </c>
      <c r="F973" s="5" t="inlineStr">
        <is>
          <t>CoefficientPercent</t>
        </is>
      </c>
      <c r="G973" s="5" t="inlineStr">
        <is>
          <t>EffectiveHits</t>
        </is>
      </c>
      <c r="H973" s="5" t="inlineStr">
        <is>
          <t>ProcProbability</t>
        </is>
      </c>
      <c r="I973" s="5" t="inlineStr">
        <is>
          <t>MapleHeroMultiplier</t>
        </is>
      </c>
      <c r="J973" s="5" t="inlineStr">
        <is>
          <t>BaseDamage</t>
        </is>
      </c>
      <c r="K973" s="5" t="inlineStr">
        <is>
          <t>BaseHitDamage</t>
        </is>
      </c>
      <c r="L973" s="5" t="inlineStr">
        <is>
          <t>NonCritAvg</t>
        </is>
      </c>
      <c r="M973" s="5" t="inlineStr">
        <is>
          <t>CritAvg</t>
        </is>
      </c>
      <c r="N973" s="5" t="inlineStr">
        <is>
          <t>ExpectedDamage(perHit)</t>
        </is>
      </c>
      <c r="O973" s="5" t="inlineStr">
        <is>
          <t>DPS</t>
        </is>
      </c>
      <c r="P973" s="5" t="inlineStr">
        <is>
          <t>% of Total</t>
        </is>
      </c>
      <c r="R973" t="inlineStr">
        <is>
          <t>helpers</t>
        </is>
      </c>
    </row>
    <row r="974">
      <c r="A974">
        <f>Skills!A2</f>
        <v/>
      </c>
      <c r="B974">
        <f>Skills!B2</f>
        <v/>
      </c>
      <c r="C974">
        <f>Inputs!$B$3&gt;=100</f>
        <v/>
      </c>
      <c r="D974" t="inlineStr"/>
      <c r="E974" t="inlineStr"/>
      <c r="F974">
        <f>T976+Skills!N2</f>
        <v/>
      </c>
      <c r="G974">
        <f>Calc!G2</f>
        <v/>
      </c>
      <c r="H974">
        <f>Calc!H2</f>
        <v/>
      </c>
      <c r="I974">
        <f>IF(Skills!T2&lt;&gt;"",1+(Skills!T2/10)*(Z975/1000)/100,1)</f>
        <v/>
      </c>
      <c r="J974">
        <f>((Inputs!$B$6*(1+Inputs!$B$7/100))+(((Inputs!$B$12*(1+Inputs!$B$13/100))-(Inputs!$B$12*(1+Inputs!$B$13/100)))+0.25*(Inputs!$B$14-Inputs!$B$14))*(1+Inputs!$B$7/100))*(F974/100)</f>
        <v/>
      </c>
      <c r="K974">
        <f>J974*(1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2="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974)</f>
        <v/>
      </c>
      <c r="L974">
        <f>K974*(MIN(Inputs!$B$22+(F990-Calc!F18),(Inputs!$B$23+(IF(ArtifactsInput!$M$15,CHOOSE(ArtifactsInput!$N$15+1,25,30,35,40,45,50)/100*(Inputs!$B$11-Inputs!$B$11),0))))/100+(Inputs!$B$23+(IF(ArtifactsInput!$M$15,CHOOSE(ArtifactsInput!$N$15+1,25,30,35,40,45,50)/100*(Inputs!$B$11-Inputs!$B$11),0)))/100)/2</f>
        <v/>
      </c>
      <c r="M974">
        <f>L974*(1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4">
        <f>L974*(1-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974*(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4">
        <f>(1-Summary!$B$11)*S974+Summary!$B$11*U974</f>
        <v/>
      </c>
      <c r="P974">
        <f>IF(B1009=0,0,O974/B1009)</f>
        <v/>
      </c>
      <c r="Q974">
        <f>IFERROR(1/(IF(Inputs!$B$38="pvp",15,MAX(0.1,Skills!D2-IF(TRUE=TRUE,(Inputs!$B$32+1),0)))*(1-IF(AND(ArtifactsInput!$M$27,Inputs!$B$4="Chapter Hunt"),CHOOSE(ArtifactsInput!$N$27+1,20,24,28,32,36,40),0)/100)),0)</f>
        <v/>
      </c>
      <c r="R974" t="n">
        <v>0</v>
      </c>
      <c r="S974">
        <f>IF(C974,(Skills!F2*N974*B1005)*IF(Inputs!$B$38="pvp",1,1+(Inputs!$B$20+Skills!O2+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974*(1-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974*(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974*(1-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974*(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974">
        <f>MAX(0,(Inputs!$B$3-100)*3)+Inputs!$B$28+Inputs!$B$29</f>
        <v/>
      </c>
      <c r="U974">
        <f>IF(C974,(Skills!F2*N974*B1005)*IF(Inputs!$B$38="pvp",1,(1+(Inputs!$B$21+Skills!P2+B1000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974">
        <f>MAX(0,(Inputs!$B$3-100)*3)+Inputs!$B$28+Inputs!$B$29</f>
        <v/>
      </c>
    </row>
    <row r="975">
      <c r="A975">
        <f>Skills!A3</f>
        <v/>
      </c>
      <c r="B975">
        <f>Skills!B3</f>
        <v/>
      </c>
      <c r="C975">
        <f>Inputs!$B$3&gt;=15</f>
        <v/>
      </c>
      <c r="D975">
        <f>IF(Skills!C3=1,60+Inputs!$B$25+Inputs!$B$29,IF(Skills!C3=2,90+Inputs!$B$26+Inputs!$B$29,IF(Skills!C3=3,120+Inputs!$B$27+Inputs!$B$29,MAX(0,(Inputs!$B$3-100)*3)+Inputs!$B$28+Inputs!$B$29)))</f>
        <v/>
      </c>
      <c r="E975">
        <f>INDEX(FactorTable!$B$2:$Y$301, MATCH(ROUND(MIN(300,MAX(1,D975)),0), FactorTable!$A$2:$A$301,0), Skills!L3+1)</f>
        <v/>
      </c>
      <c r="F975">
        <f>IF(Skills!M3=TRUE,(Skills!K3/10)*(E975/1000),Skills!K3/10)+Skills!N3</f>
        <v/>
      </c>
      <c r="G975">
        <f>Calc!G3</f>
        <v/>
      </c>
      <c r="H975">
        <f>Calc!H3</f>
        <v/>
      </c>
      <c r="I975">
        <f>IF(Skills!T3&lt;&gt;"",1+(Skills!T3/10)*(Z975/1000)/100,1)</f>
        <v/>
      </c>
      <c r="J975" t="inlineStr"/>
      <c r="K975" t="inlineStr"/>
      <c r="L975" t="inlineStr"/>
      <c r="M975" t="inlineStr"/>
      <c r="N975" t="inlineStr"/>
      <c r="O975">
        <f>(1-Summary!$B$11)*S975+Summary!$B$11*U975</f>
        <v/>
      </c>
      <c r="P975">
        <f>IF(B1009=0,0,O975/B1009)</f>
        <v/>
      </c>
      <c r="Q975">
        <f>IFERROR(1/(IF(Inputs!$B$38="pvp",15,MAX(0.1,Skills!D3-IF(TRUE=TRUE,(Inputs!$B$32+1),0)))*(1-IF(AND(ArtifactsInput!$M$27,Inputs!$B$4="Chapter Hunt"),CHOOSE(ArtifactsInput!$N$27+1,20,24,28,32,36,40),0)/100)),0)</f>
        <v/>
      </c>
      <c r="R975">
        <f>IF(AND(Inputs!$B$38&lt;&gt;"pvp",Inputs!$B$43&gt;0),IF(Inputs!$B$43&lt;=0,0,(INT(Inputs!$B$43/(IF(Inputs!$B$38="pvp",15,MAX(0.1,Skills!D3-IF(TRUE=TRUE,(Inputs!$B$32+1),0)))*(1-IF(AND(ArtifactsInput!$M$27,Inputs!$B$4="Chapter Hunt"),CHOOSE(ArtifactsInput!$N$27+1,20,24,28,32,36,40),0)/100)))+1)),0)</f>
        <v/>
      </c>
      <c r="S975" t="n">
        <v>0</v>
      </c>
      <c r="T975">
        <f>INDEX(FactorTable!$B$2:$Y$301, MATCH(ROUND(MIN(300,MAX(1,T974)),0), FactorTable!$A$2:$A$301,0), 22)</f>
        <v/>
      </c>
      <c r="U975" t="n">
        <v>0</v>
      </c>
      <c r="Z975">
        <f>INDEX(FactorTable!$B$2:$Y$301, MATCH(ROUND(MIN(300,MAX(1,Z974)),0), FactorTable!$A$2:$A$301,0), 24)</f>
        <v/>
      </c>
    </row>
    <row r="976">
      <c r="A976">
        <f>Skills!A4</f>
        <v/>
      </c>
      <c r="B976">
        <f>Skills!B4</f>
        <v/>
      </c>
      <c r="C976">
        <f>Inputs!$B$3&gt;=40</f>
        <v/>
      </c>
      <c r="D976">
        <f>IF(Skills!C4=1,60+Inputs!$B$25+Inputs!$B$29,IF(Skills!C4=2,90+Inputs!$B$26+Inputs!$B$29,IF(Skills!C4=3,120+Inputs!$B$27+Inputs!$B$29,MAX(0,(Inputs!$B$3-100)*3)+Inputs!$B$28+Inputs!$B$29)))</f>
        <v/>
      </c>
      <c r="E976">
        <f>INDEX(FactorTable!$B$2:$Y$301, MATCH(ROUND(MIN(300,MAX(1,D976)),0), FactorTable!$A$2:$A$301,0), Skills!L4+1)</f>
        <v/>
      </c>
      <c r="F976">
        <f>IF(Skills!M4=TRUE,(Skills!K4/10)*(E976/1000),Skills!K4/10)+Skills!N4</f>
        <v/>
      </c>
      <c r="G976">
        <f>Calc!G4</f>
        <v/>
      </c>
      <c r="H976">
        <f>Calc!H4</f>
        <v/>
      </c>
      <c r="I976">
        <f>IF(Skills!T4&lt;&gt;"",1+(Skills!T4/10)*(Z975/1000)/100,1)</f>
        <v/>
      </c>
      <c r="J976" t="inlineStr"/>
      <c r="K976" t="inlineStr"/>
      <c r="L976" t="inlineStr"/>
      <c r="M976" t="inlineStr"/>
      <c r="N976" t="inlineStr"/>
      <c r="O976">
        <f>(1-Summary!$B$11)*S976+Summary!$B$11*U976</f>
        <v/>
      </c>
      <c r="P976">
        <f>IF(B1009=0,0,O976/B1009)</f>
        <v/>
      </c>
      <c r="Q976">
        <f>IFERROR(1/(IF(Inputs!$B$38="pvp",15,MAX(0.1,Skills!D4-IF(TRUE=TRUE,(Inputs!$B$32+1),0)))*(1-IF(AND(ArtifactsInput!$M$27,Inputs!$B$4="Chapter Hunt"),CHOOSE(ArtifactsInput!$N$27+1,20,24,28,32,36,40),0)/100)),0)</f>
        <v/>
      </c>
      <c r="R976">
        <f>IF(AND(Inputs!$B$38&lt;&gt;"pvp",Inputs!$B$43&gt;0),IF(Inputs!$B$43&lt;=0,0,(INT(Inputs!$B$43/(IF(Inputs!$B$38="pvp",15,MAX(0.1,Skills!D4-IF(TRUE=TRUE,(Inputs!$B$32+1),0)))*(1-IF(AND(ArtifactsInput!$M$27,Inputs!$B$4="Chapter Hunt"),CHOOSE(ArtifactsInput!$N$27+1,20,24,28,32,36,40),0)/100)))+1)),0)</f>
        <v/>
      </c>
      <c r="S976" t="n">
        <v>0</v>
      </c>
      <c r="T976">
        <f>290*T975/1000</f>
        <v/>
      </c>
      <c r="U976" t="n">
        <v>0</v>
      </c>
    </row>
    <row r="977">
      <c r="A977">
        <f>Skills!A5</f>
        <v/>
      </c>
      <c r="B977">
        <f>Skills!B5</f>
        <v/>
      </c>
      <c r="C977">
        <f>Inputs!$B$3&gt;=38</f>
        <v/>
      </c>
      <c r="D977">
        <f>IF(Skills!C5=1,60+Inputs!$B$25+Inputs!$B$29,IF(Skills!C5=2,90+Inputs!$B$26+Inputs!$B$29,IF(Skills!C5=3,120+Inputs!$B$27+Inputs!$B$29,MAX(0,(Inputs!$B$3-100)*3)+Inputs!$B$28+Inputs!$B$29)))</f>
        <v/>
      </c>
      <c r="E977">
        <f>INDEX(FactorTable!$B$2:$Y$301, MATCH(ROUND(MIN(300,MAX(1,D977)),0), FactorTable!$A$2:$A$301,0), Skills!L5+1)</f>
        <v/>
      </c>
      <c r="F977">
        <f>IF(Skills!M5=TRUE,(Skills!K5/10)*(E977/1000),Skills!K5/10)+Skills!N5</f>
        <v/>
      </c>
      <c r="G977">
        <f>Calc!G5</f>
        <v/>
      </c>
      <c r="H977">
        <f>Calc!H5</f>
        <v/>
      </c>
      <c r="I977">
        <f>IF(Skills!T5&lt;&gt;"",1+(Skills!T5/10)*(Z975/1000)/100,1)</f>
        <v/>
      </c>
      <c r="J977">
        <f>((Inputs!$B$6*(1+Inputs!$B$7/100))+(((Inputs!$B$12*(1+Inputs!$B$13/100))-(Inputs!$B$12*(1+Inputs!$B$13/100)))+0.25*(Inputs!$B$14-Inputs!$B$14))*(1+Inputs!$B$7/100))*(F977/100)</f>
        <v/>
      </c>
      <c r="K977">
        <f>J977*(1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5="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977)</f>
        <v/>
      </c>
      <c r="L977">
        <f>K977*(MIN(Inputs!$B$22+(F990-Calc!F18),(Inputs!$B$23+(IF(ArtifactsInput!$M$15,CHOOSE(ArtifactsInput!$N$15+1,25,30,35,40,45,50)/100*(Inputs!$B$11-Inputs!$B$11),0))))/100+(Inputs!$B$23+(IF(ArtifactsInput!$M$15,CHOOSE(ArtifactsInput!$N$15+1,25,30,35,40,45,50)/100*(Inputs!$B$11-Inputs!$B$11),0)))/100)/2</f>
        <v/>
      </c>
      <c r="M977">
        <f>L977*(1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7">
        <f>L977*(1-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977*(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7">
        <f>(1-Summary!$B$11)*S977+Summary!$B$11*U977</f>
        <v/>
      </c>
      <c r="P977">
        <f>IF(B1009=0,0,O977/B1009)</f>
        <v/>
      </c>
      <c r="Q977">
        <f>IFERROR(1/(IF(Inputs!$B$38="pvp",15,MAX(0.1,Skills!D5-IF(TRUE=TRUE,(Inputs!$B$32+1),0)))*(1-IF(AND(ArtifactsInput!$M$27,Inputs!$B$4="Chapter Hunt"),CHOOSE(ArtifactsInput!$N$27+1,20,24,28,32,36,40),0)/100)),0)</f>
        <v/>
      </c>
      <c r="R977">
        <f>IF(AND(Inputs!$B$38&lt;&gt;"pvp",Inputs!$B$43&gt;0),IF(MAX(0,Inputs!$B$43-B1006)&lt;=0,0,(INT(MAX(0,Inputs!$B$43-B1006)/(IF(Inputs!$B$38="pvp",15,MAX(0.1,Skills!D5-IF(TRUE=TRUE,(Inputs!$B$32+1),0)))*(1-IF(AND(ArtifactsInput!$M$27,Inputs!$B$4="Chapter Hunt"),CHOOSE(ArtifactsInput!$N$27+1,20,24,28,32,36,40),0)/100)))+1)),0)</f>
        <v/>
      </c>
      <c r="S977">
        <f>IF(C977,(H977*N977*IF(AND(Inputs!$B$38&lt;&gt;"pvp",Inputs!$B$43&gt;0),((Skills!F5*((R977-1)*IF(Skills!G5&gt;0,Skills!H5/Skills!G5,1)+IF(Skills!G5&gt;0,MIN(Skills!H5,MAX(0,MAX(0,Inputs!$B$43-B1006)-((R977-1)*(IF(Inputs!$B$38="pvp",15,MAX(0.1,Skills!D5-IF(TRUE=TRUE,(Inputs!$B$32+1),0)))*(1-IF(AND(ArtifactsInput!$M$27,Inputs!$B$4="Chapter Hunt"),CHOOSE(ArtifactsInput!$N$27+1,20,24,28,32,36,40),0)/100)))))/Skills!G5,1)))/Inputs!$B$43),G977*Q977))*IF(Inputs!$B$38="pvp",1,1+(Inputs!$B$20+Skills!O5+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977*(1-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977*(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977*(1-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977*(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7">
        <f>IF(C977,(H977*N977*IF(AND(Inputs!$B$38&lt;&gt;"pvp",Inputs!$B$43&gt;0),((Skills!F5*((R977-1)*IF(Skills!G5&gt;0,Skills!H5/Skills!G5,1)+IF(Skills!G5&gt;0,MIN(Skills!H5,MAX(0,MAX(0,Inputs!$B$43-B1006)-((R977-1)*(IF(Inputs!$B$38="pvp",15,MAX(0.1,Skills!D5-IF(TRUE=TRUE,(Inputs!$B$32+1),0)))*(1-IF(AND(ArtifactsInput!$M$27,Inputs!$B$4="Chapter Hunt"),CHOOSE(ArtifactsInput!$N$27+1,20,24,28,32,36,40),0)/100)))))/Skills!G5,1)))/Inputs!$B$43),G977*Q977))*IF(Inputs!$B$38="pvp",1,(1+(Inputs!$B$21+Skills!P5+B1000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8">
      <c r="A978">
        <f>Skills!A6</f>
        <v/>
      </c>
      <c r="B978">
        <f>Skills!B6</f>
        <v/>
      </c>
      <c r="C978">
        <f>Inputs!$B$3&gt;=63</f>
        <v/>
      </c>
      <c r="D978">
        <f>IF(Skills!C6=1,60+Inputs!$B$25+Inputs!$B$29,IF(Skills!C6=2,90+Inputs!$B$26+Inputs!$B$29,IF(Skills!C6=3,120+Inputs!$B$27+Inputs!$B$29,MAX(0,(Inputs!$B$3-100)*3)+Inputs!$B$28+Inputs!$B$29)))</f>
        <v/>
      </c>
      <c r="E978">
        <f>INDEX(FactorTable!$B$2:$Y$301, MATCH(ROUND(MIN(300,MAX(1,D978)),0), FactorTable!$A$2:$A$301,0), Skills!L6+1)</f>
        <v/>
      </c>
      <c r="F978">
        <f>IF(Skills!M6=TRUE,(Skills!K6/10)*(E978/1000),Skills!K6/10)+Skills!N6</f>
        <v/>
      </c>
      <c r="G978">
        <f>Calc!G6</f>
        <v/>
      </c>
      <c r="H978">
        <f>Calc!H6</f>
        <v/>
      </c>
      <c r="I978">
        <f>IF(Skills!T6&lt;&gt;"",1+(Skills!T6/10)*(Z975/1000)/100,1)</f>
        <v/>
      </c>
      <c r="J978">
        <f>((Inputs!$B$6*(1+Inputs!$B$7/100))+(((Inputs!$B$12*(1+Inputs!$B$13/100))-(Inputs!$B$12*(1+Inputs!$B$13/100)))+0.25*(Inputs!$B$14-Inputs!$B$14))*(1+Inputs!$B$7/100))*(F978/100)</f>
        <v/>
      </c>
      <c r="K978">
        <f>J978*(1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6="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978)</f>
        <v/>
      </c>
      <c r="L978">
        <f>K978*(MIN(Inputs!$B$22+(F990-Calc!F18),(Inputs!$B$23+(IF(ArtifactsInput!$M$15,CHOOSE(ArtifactsInput!$N$15+1,25,30,35,40,45,50)/100*(Inputs!$B$11-Inputs!$B$11),0))))/100+(Inputs!$B$23+(IF(ArtifactsInput!$M$15,CHOOSE(ArtifactsInput!$N$15+1,25,30,35,40,45,50)/100*(Inputs!$B$11-Inputs!$B$11),0)))/100)/2</f>
        <v/>
      </c>
      <c r="M978">
        <f>L978*(1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8">
        <f>L978*(1-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978*(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8">
        <f>(1-Summary!$B$11)*S978+Summary!$B$11*U978</f>
        <v/>
      </c>
      <c r="P978">
        <f>IF(B1009=0,0,O978/B1009)</f>
        <v/>
      </c>
      <c r="Q978">
        <f>IFERROR(1/(IF(Inputs!$B$38="pvp",15,MAX(0.1,Skills!D6-IF(TRUE=TRUE,(Inputs!$B$32+1),0)))*(1-IF(AND(ArtifactsInput!$M$27,Inputs!$B$4="Chapter Hunt"),CHOOSE(ArtifactsInput!$N$27+1,20,24,28,32,36,40),0)/100)),0)</f>
        <v/>
      </c>
      <c r="R978">
        <f>IF(AND(Inputs!$B$38&lt;&gt;"pvp",Inputs!$B$43&gt;0),IF(MAX(0,Inputs!$B$43-B1006)&lt;=0,0,(INT(MAX(0,Inputs!$B$43-B1006)/(IF(Inputs!$B$38="pvp",15,MAX(0.1,Skills!D6-IF(TRUE=TRUE,(Inputs!$B$32+1),0)))*(1-IF(AND(ArtifactsInput!$M$27,Inputs!$B$4="Chapter Hunt"),CHOOSE(ArtifactsInput!$N$27+1,20,24,28,32,36,40),0)/100)))+1)),0)</f>
        <v/>
      </c>
      <c r="S978">
        <f>IF(C978,(H978*N978*IF(AND(Inputs!$B$38&lt;&gt;"pvp",Inputs!$B$43&gt;0),((Skills!F6*((R978-1)*IF(Skills!G6&gt;0,Skills!H6/Skills!G6,1)+IF(Skills!G6&gt;0,MIN(Skills!H6,MAX(0,MAX(0,Inputs!$B$43-B1006)-((R978-1)*(IF(Inputs!$B$38="pvp",15,MAX(0.1,Skills!D6-IF(TRUE=TRUE,(Inputs!$B$32+1),0)))*(1-IF(AND(ArtifactsInput!$M$27,Inputs!$B$4="Chapter Hunt"),CHOOSE(ArtifactsInput!$N$27+1,20,24,28,32,36,40),0)/100)))))/Skills!G6,1)))/Inputs!$B$43),G978*Q978))*IF(Inputs!$B$38="pvp",1,1+(Inputs!$B$20+Skills!O6+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978*(1-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978*(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978*(1-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978*(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8">
        <f>IF(C978,(H978*N978*IF(AND(Inputs!$B$38&lt;&gt;"pvp",Inputs!$B$43&gt;0),((Skills!F6*((R978-1)*IF(Skills!G6&gt;0,Skills!H6/Skills!G6,1)+IF(Skills!G6&gt;0,MIN(Skills!H6,MAX(0,MAX(0,Inputs!$B$43-B1006)-((R978-1)*(IF(Inputs!$B$38="pvp",15,MAX(0.1,Skills!D6-IF(TRUE=TRUE,(Inputs!$B$32+1),0)))*(1-IF(AND(ArtifactsInput!$M$27,Inputs!$B$4="Chapter Hunt"),CHOOSE(ArtifactsInput!$N$27+1,20,24,28,32,36,40),0)/100)))))/Skills!G6,1)))/Inputs!$B$43),G978*Q978))*IF(Inputs!$B$38="pvp",1,(1+(Inputs!$B$21+Skills!P6+B1000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9">
      <c r="A979">
        <f>Skills!A7</f>
        <v/>
      </c>
      <c r="B979">
        <f>Skills!B7</f>
        <v/>
      </c>
      <c r="C979">
        <f>Inputs!$B$3&gt;=69</f>
        <v/>
      </c>
      <c r="D979">
        <f>IF(Skills!C7=1,60+Inputs!$B$25+Inputs!$B$29,IF(Skills!C7=2,90+Inputs!$B$26+Inputs!$B$29,IF(Skills!C7=3,120+Inputs!$B$27+Inputs!$B$29,MAX(0,(Inputs!$B$3-100)*3)+Inputs!$B$28+Inputs!$B$29)))</f>
        <v/>
      </c>
      <c r="E979">
        <f>INDEX(FactorTable!$B$2:$Y$301, MATCH(ROUND(MIN(300,MAX(1,D979)),0), FactorTable!$A$2:$A$301,0), Skills!L7+1)</f>
        <v/>
      </c>
      <c r="F979">
        <f>IF(Skills!M7=TRUE,(Skills!K7/10)*(E979/1000),Skills!K7/10)+Skills!N7</f>
        <v/>
      </c>
      <c r="G979">
        <f>Calc!G7</f>
        <v/>
      </c>
      <c r="H979">
        <f>Calc!H7</f>
        <v/>
      </c>
      <c r="I979">
        <f>IF(Skills!T7&lt;&gt;"",1+(Skills!T7/10)*(Z975/1000)/100,1)</f>
        <v/>
      </c>
      <c r="J979">
        <f>((Inputs!$B$6*(1+Inputs!$B$7/100))+(((Inputs!$B$12*(1+Inputs!$B$13/100))-(Inputs!$B$12*(1+Inputs!$B$13/100)))+0.25*(Inputs!$B$14-Inputs!$B$14))*(1+Inputs!$B$7/100))*(F979/100)</f>
        <v/>
      </c>
      <c r="K979">
        <f>J979*(1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7="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979)</f>
        <v/>
      </c>
      <c r="L979">
        <f>K979*(MIN(Inputs!$B$22+(F990-Calc!F18),(Inputs!$B$23+(IF(ArtifactsInput!$M$15,CHOOSE(ArtifactsInput!$N$15+1,25,30,35,40,45,50)/100*(Inputs!$B$11-Inputs!$B$11),0))))/100+(Inputs!$B$23+(IF(ArtifactsInput!$M$15,CHOOSE(ArtifactsInput!$N$15+1,25,30,35,40,45,50)/100*(Inputs!$B$11-Inputs!$B$11),0)))/100)/2</f>
        <v/>
      </c>
      <c r="M979">
        <f>L979*(1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9">
        <f>L979*(1-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979*(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9">
        <f>(1-Summary!$B$11)*S979+Summary!$B$11*U979</f>
        <v/>
      </c>
      <c r="P979">
        <f>IF(B1009=0,0,O979/B1009)</f>
        <v/>
      </c>
      <c r="Q979">
        <f>IFERROR(1/(IF(Inputs!$B$38="pvp",15,MAX(0.1,Skills!D7-IF(TRUE=TRUE,(Inputs!$B$32+1),0)))*(1-IF(AND(ArtifactsInput!$M$27,Inputs!$B$4="Chapter Hunt"),CHOOSE(ArtifactsInput!$N$27+1,20,24,28,32,36,40),0)/100)),0)</f>
        <v/>
      </c>
      <c r="R979">
        <f>IF(AND(Inputs!$B$38&lt;&gt;"pvp",Inputs!$B$43&gt;0),IF(MAX(0,Inputs!$B$43-B1006)&lt;=0,0,(INT(MAX(0,Inputs!$B$43-B1006)/(IF(Inputs!$B$38="pvp",15,MAX(0.1,Skills!D7-IF(TRUE=TRUE,(Inputs!$B$32+1),0)))*(1-IF(AND(ArtifactsInput!$M$27,Inputs!$B$4="Chapter Hunt"),CHOOSE(ArtifactsInput!$N$27+1,20,24,28,32,36,40),0)/100)))+1)),0)</f>
        <v/>
      </c>
      <c r="S979">
        <f>IF(C979,(H979*N979*IF(AND(Inputs!$B$38&lt;&gt;"pvp",Inputs!$B$43&gt;0),((Skills!F7*((R979-1)*IF(Skills!G7&gt;0,Skills!H7/Skills!G7,1)+IF(Skills!G7&gt;0,MIN(Skills!H7,MAX(0,MAX(0,Inputs!$B$43-B1006)-((R979-1)*(IF(Inputs!$B$38="pvp",15,MAX(0.1,Skills!D7-IF(TRUE=TRUE,(Inputs!$B$32+1),0)))*(1-IF(AND(ArtifactsInput!$M$27,Inputs!$B$4="Chapter Hunt"),CHOOSE(ArtifactsInput!$N$27+1,20,24,28,32,36,40),0)/100)))))/Skills!G7,1)))/Inputs!$B$43),G979*Q979))*IF(Inputs!$B$38="pvp",1,1+(Inputs!$B$20+Skills!O7+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979*(1-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979*(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979*(1-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979*(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9">
        <f>IF(C979,(H979*N979*IF(AND(Inputs!$B$38&lt;&gt;"pvp",Inputs!$B$43&gt;0),((Skills!F7*((R979-1)*IF(Skills!G7&gt;0,Skills!H7/Skills!G7,1)+IF(Skills!G7&gt;0,MIN(Skills!H7,MAX(0,MAX(0,Inputs!$B$43-B1006)-((R979-1)*(IF(Inputs!$B$38="pvp",15,MAX(0.1,Skills!D7-IF(TRUE=TRUE,(Inputs!$B$32+1),0)))*(1-IF(AND(ArtifactsInput!$M$27,Inputs!$B$4="Chapter Hunt"),CHOOSE(ArtifactsInput!$N$27+1,20,24,28,32,36,40),0)/100)))))/Skills!G7,1)))/Inputs!$B$43),G979*Q979))*IF(Inputs!$B$38="pvp",1,(1+(Inputs!$B$21+Skills!P7+B1000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0">
      <c r="A980">
        <f>Skills!A8</f>
        <v/>
      </c>
      <c r="B980">
        <f>Skills!B8</f>
        <v/>
      </c>
      <c r="C980">
        <f>Inputs!$B$3&gt;=103</f>
        <v/>
      </c>
      <c r="D980">
        <f>IF(Skills!C8=1,60+Inputs!$B$25+Inputs!$B$29,IF(Skills!C8=2,90+Inputs!$B$26+Inputs!$B$29,IF(Skills!C8=3,120+Inputs!$B$27+Inputs!$B$29,MAX(0,(Inputs!$B$3-100)*3)+Inputs!$B$28+Inputs!$B$29)))</f>
        <v/>
      </c>
      <c r="E980">
        <f>INDEX(FactorTable!$B$2:$Y$301, MATCH(ROUND(MIN(300,MAX(1,D980)),0), FactorTable!$A$2:$A$301,0), Skills!L8+1)</f>
        <v/>
      </c>
      <c r="F980">
        <f>IF(Skills!M8=TRUE,(Skills!K8/10)*(E980/1000),Skills!K8/10)+Skills!N8</f>
        <v/>
      </c>
      <c r="G980">
        <f>Calc!G8</f>
        <v/>
      </c>
      <c r="H980">
        <f>Calc!H8</f>
        <v/>
      </c>
      <c r="I980">
        <f>IF(Skills!T8&lt;&gt;"",1+(Skills!T8/10)*(Z975/1000)/100,1)</f>
        <v/>
      </c>
      <c r="J980">
        <f>((Inputs!$B$6*(1+Inputs!$B$7/100))+(((Inputs!$B$12*(1+Inputs!$B$13/100))-(Inputs!$B$12*(1+Inputs!$B$13/100)))+0.25*(Inputs!$B$14-Inputs!$B$14))*(1+Inputs!$B$7/100))*(F980/100)</f>
        <v/>
      </c>
      <c r="K980">
        <f>J980*(1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8="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980)</f>
        <v/>
      </c>
      <c r="L980">
        <f>K980*(MIN(Inputs!$B$22+(F990-Calc!F18),(Inputs!$B$23+(IF(ArtifactsInput!$M$15,CHOOSE(ArtifactsInput!$N$15+1,25,30,35,40,45,50)/100*(Inputs!$B$11-Inputs!$B$11),0))))/100+(Inputs!$B$23+(IF(ArtifactsInput!$M$15,CHOOSE(ArtifactsInput!$N$15+1,25,30,35,40,45,50)/100*(Inputs!$B$11-Inputs!$B$11),0)))/100)/2</f>
        <v/>
      </c>
      <c r="M980">
        <f>L980*(1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0">
        <f>L980*(1-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980*(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0">
        <f>(1-Summary!$B$11)*S980+Summary!$B$11*U980</f>
        <v/>
      </c>
      <c r="P980">
        <f>IF(B1009=0,0,O980/B1009)</f>
        <v/>
      </c>
      <c r="Q980">
        <f>IFERROR(1/(IF(Inputs!$B$38="pvp",15,MAX(0.1,Skills!D8-IF(TRUE=TRUE,(Inputs!$B$32+1),0)))*(1-IF(AND(ArtifactsInput!$M$27,Inputs!$B$4="Chapter Hunt"),CHOOSE(ArtifactsInput!$N$27+1,20,24,28,32,36,40),0)/100)),0)</f>
        <v/>
      </c>
      <c r="R980">
        <f>IF(AND(Inputs!$B$38&lt;&gt;"pvp",Inputs!$B$43&gt;0),IF(MAX(0,Inputs!$B$43-B1006)&lt;=0,0,(INT(MAX(0,Inputs!$B$43-B1006)/(IF(Inputs!$B$38="pvp",15,MAX(0.1,Skills!D8-IF(TRUE=TRUE,(Inputs!$B$32+1),0)))*(1-IF(AND(ArtifactsInput!$M$27,Inputs!$B$4="Chapter Hunt"),CHOOSE(ArtifactsInput!$N$27+1,20,24,28,32,36,40),0)/100)))+1)),0)</f>
        <v/>
      </c>
      <c r="S980">
        <f>IF(C980,(H980*N980*IF(AND(Inputs!$B$38&lt;&gt;"pvp",Inputs!$B$43&gt;0),((Skills!F8*((R980-1)*IF(Skills!G8&gt;0,Skills!H8/Skills!G8,1)+IF(Skills!G8&gt;0,MIN(Skills!H8,MAX(0,MAX(0,Inputs!$B$43-B1006)-((R980-1)*(IF(Inputs!$B$38="pvp",15,MAX(0.1,Skills!D8-IF(TRUE=TRUE,(Inputs!$B$32+1),0)))*(1-IF(AND(ArtifactsInput!$M$27,Inputs!$B$4="Chapter Hunt"),CHOOSE(ArtifactsInput!$N$27+1,20,24,28,32,36,40),0)/100)))))/Skills!G8,1)))/Inputs!$B$43),G980*Q980))*IF(Inputs!$B$38="pvp",1,1+(Inputs!$B$20+Skills!O8+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980*(1-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980*(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980*(1-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980*(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0">
        <f>IF(C980,(H980*N980*IF(AND(Inputs!$B$38&lt;&gt;"pvp",Inputs!$B$43&gt;0),((Skills!F8*((R980-1)*IF(Skills!G8&gt;0,Skills!H8/Skills!G8,1)+IF(Skills!G8&gt;0,MIN(Skills!H8,MAX(0,MAX(0,Inputs!$B$43-B1006)-((R980-1)*(IF(Inputs!$B$38="pvp",15,MAX(0.1,Skills!D8-IF(TRUE=TRUE,(Inputs!$B$32+1),0)))*(1-IF(AND(ArtifactsInput!$M$27,Inputs!$B$4="Chapter Hunt"),CHOOSE(ArtifactsInput!$N$27+1,20,24,28,32,36,40),0)/100)))))/Skills!G8,1)))/Inputs!$B$43),G980*Q980))*IF(Inputs!$B$38="pvp",1,(1+(Inputs!$B$21+Skills!P8+B1000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1">
      <c r="A981">
        <f>Skills!A9</f>
        <v/>
      </c>
      <c r="B981">
        <f>Skills!B9</f>
        <v/>
      </c>
      <c r="C981">
        <f>Inputs!$B$3&gt;=105</f>
        <v/>
      </c>
      <c r="D981">
        <f>IF(Skills!C9=1,60+Inputs!$B$25+Inputs!$B$29,IF(Skills!C9=2,90+Inputs!$B$26+Inputs!$B$29,IF(Skills!C9=3,120+Inputs!$B$27+Inputs!$B$29,MAX(0,(Inputs!$B$3-100)*3)+Inputs!$B$28+Inputs!$B$29)))</f>
        <v/>
      </c>
      <c r="E981">
        <f>INDEX(FactorTable!$B$2:$Y$301, MATCH(ROUND(MIN(300,MAX(1,D981)),0), FactorTable!$A$2:$A$301,0), Skills!L9+1)</f>
        <v/>
      </c>
      <c r="F981">
        <f>IF(Skills!M9=TRUE,(Skills!K9/10)*(E981/1000),Skills!K9/10)+Skills!N9</f>
        <v/>
      </c>
      <c r="G981">
        <f>Calc!G9</f>
        <v/>
      </c>
      <c r="H981">
        <f>Calc!H9</f>
        <v/>
      </c>
      <c r="I981">
        <f>IF(Skills!T9&lt;&gt;"",1+(Skills!T9/10)*(Z975/1000)/100,1)</f>
        <v/>
      </c>
      <c r="J981">
        <f>((Inputs!$B$6*(1+Inputs!$B$7/100))+(((Inputs!$B$12*(1+Inputs!$B$13/100))-(Inputs!$B$12*(1+Inputs!$B$13/100)))+0.25*(Inputs!$B$14-Inputs!$B$14))*(1+Inputs!$B$7/100))*(F981/100)</f>
        <v/>
      </c>
      <c r="K981">
        <f>J981*(1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9="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981)</f>
        <v/>
      </c>
      <c r="L981">
        <f>K981*(MIN(Inputs!$B$22+(F990-Calc!F18),(Inputs!$B$23+(IF(ArtifactsInput!$M$15,CHOOSE(ArtifactsInput!$N$15+1,25,30,35,40,45,50)/100*(Inputs!$B$11-Inputs!$B$11),0))))/100+(Inputs!$B$23+(IF(ArtifactsInput!$M$15,CHOOSE(ArtifactsInput!$N$15+1,25,30,35,40,45,50)/100*(Inputs!$B$11-Inputs!$B$11),0)))/100)/2</f>
        <v/>
      </c>
      <c r="M981">
        <f>L981*(1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1">
        <f>L981*(1-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1">
        <f>(1-Summary!$B$11)*S981+Summary!$B$11*U981</f>
        <v/>
      </c>
      <c r="P981">
        <f>IF(B1009=0,0,O981/B1009)</f>
        <v/>
      </c>
      <c r="Q981">
        <f>IFERROR(1/(IF(Inputs!$B$38="pvp",15,MAX(0.1,Skills!D9-IF(TRUE=TRUE,(Inputs!$B$32+1),0)))*(1-IF(AND(ArtifactsInput!$M$27,Inputs!$B$4="Chapter Hunt"),CHOOSE(ArtifactsInput!$N$27+1,20,24,28,32,36,40),0)/100)),0)</f>
        <v/>
      </c>
      <c r="R981">
        <f>IF(AND(Inputs!$B$38&lt;&gt;"pvp",Inputs!$B$43&gt;0),IF(MAX(0,Inputs!$B$43-B1006)&lt;=0,0,(INT(MAX(0,Inputs!$B$43-B1006)/(IF(Inputs!$B$38="pvp",15,MAX(0.1,Skills!D9-IF(TRUE=TRUE,(Inputs!$B$32+1),0)))*(1-IF(AND(ArtifactsInput!$M$27,Inputs!$B$4="Chapter Hunt"),CHOOSE(ArtifactsInput!$N$27+1,20,24,28,32,36,40),0)/100)))+1)),0)</f>
        <v/>
      </c>
      <c r="S981">
        <f>IF(C981,(H981*N981*IF(AND(Inputs!$B$38&lt;&gt;"pvp",Inputs!$B$43&gt;0),((Skills!F9*((R981-1)*IF(Skills!G9&gt;0,Skills!H9/Skills!G9,1)+IF(Skills!G9&gt;0,MIN(Skills!H9,MAX(0,MAX(0,Inputs!$B$43-B1006)-((R981-1)*(IF(Inputs!$B$38="pvp",15,MAX(0.1,Skills!D9-IF(TRUE=TRUE,(Inputs!$B$32+1),0)))*(1-IF(AND(ArtifactsInput!$M$27,Inputs!$B$4="Chapter Hunt"),CHOOSE(ArtifactsInput!$N$27+1,20,24,28,32,36,40),0)/100)))))/Skills!G9,1)))/Inputs!$B$43),G981*Q981))*IF(Inputs!$B$38="pvp",1,1+(Inputs!$B$20+Skills!O9+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981*(1-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981*(1-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1">
        <f>IF(C981,(H981*N981*IF(AND(Inputs!$B$38&lt;&gt;"pvp",Inputs!$B$43&gt;0),((Skills!F9*((R981-1)*IF(Skills!G9&gt;0,Skills!H9/Skills!G9,1)+IF(Skills!G9&gt;0,MIN(Skills!H9,MAX(0,MAX(0,Inputs!$B$43-B1006)-((R981-1)*(IF(Inputs!$B$38="pvp",15,MAX(0.1,Skills!D9-IF(TRUE=TRUE,(Inputs!$B$32+1),0)))*(1-IF(AND(ArtifactsInput!$M$27,Inputs!$B$4="Chapter Hunt"),CHOOSE(ArtifactsInput!$N$27+1,20,24,28,32,36,40),0)/100)))))/Skills!G9,1)))/Inputs!$B$43),G981*Q981))*IF(Inputs!$B$38="pvp",1,(1+(Inputs!$B$21+Skills!P9+B1000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2">
      <c r="A982">
        <f>Skills!A10</f>
        <v/>
      </c>
      <c r="B982">
        <f>Skills!B10</f>
        <v/>
      </c>
      <c r="C982">
        <f>Inputs!$B$3&gt;=113</f>
        <v/>
      </c>
      <c r="D982">
        <f>IF(Skills!C10=1,60+Inputs!$B$25+Inputs!$B$29,IF(Skills!C10=2,90+Inputs!$B$26+Inputs!$B$29,IF(Skills!C10=3,120+Inputs!$B$27+Inputs!$B$29,MAX(0,(Inputs!$B$3-100)*3)+Inputs!$B$28+Inputs!$B$29)))</f>
        <v/>
      </c>
      <c r="E982">
        <f>INDEX(FactorTable!$B$2:$Y$301, MATCH(ROUND(MIN(300,MAX(1,D982)),0), FactorTable!$A$2:$A$301,0), Skills!L10+1)</f>
        <v/>
      </c>
      <c r="F982">
        <f>IF(Skills!M10=TRUE,(Skills!K10/10)*(E982/1000),Skills!K10/10)+Skills!N10</f>
        <v/>
      </c>
      <c r="G982">
        <f>Calc!G10</f>
        <v/>
      </c>
      <c r="H982">
        <f>Calc!H10</f>
        <v/>
      </c>
      <c r="I982">
        <f>IF(Skills!T10&lt;&gt;"",1+(Skills!T10/10)*(Z975/1000)/100,1)</f>
        <v/>
      </c>
      <c r="J982">
        <f>((Inputs!$B$6*(1+Inputs!$B$7/100))+(((Inputs!$B$12*(1+Inputs!$B$13/100))-(Inputs!$B$12*(1+Inputs!$B$13/100)))+0.25*(Inputs!$B$14-Inputs!$B$14))*(1+Inputs!$B$7/100))*(F982/100)</f>
        <v/>
      </c>
      <c r="K982">
        <f>J982*(1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10="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982)</f>
        <v/>
      </c>
      <c r="L982">
        <f>K982*(MIN(Inputs!$B$22+(F990-Calc!F18),(Inputs!$B$23+(IF(ArtifactsInput!$M$15,CHOOSE(ArtifactsInput!$N$15+1,25,30,35,40,45,50)/100*(Inputs!$B$11-Inputs!$B$11),0))))/100+(Inputs!$B$23+(IF(ArtifactsInput!$M$15,CHOOSE(ArtifactsInput!$N$15+1,25,30,35,40,45,50)/100*(Inputs!$B$11-Inputs!$B$11),0)))/100)/2</f>
        <v/>
      </c>
      <c r="M982">
        <f>L982*(1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2">
        <f>L982*(1-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982*(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2">
        <f>(1-Summary!$B$11)*S982+Summary!$B$11*U982</f>
        <v/>
      </c>
      <c r="P982">
        <f>IF(B1009=0,0,O982/B1009)</f>
        <v/>
      </c>
      <c r="Q982">
        <f>IFERROR(1/(IF(Inputs!$B$38="pvp",15,MAX(0.1,Skills!D10-IF(TRUE=TRUE,(Inputs!$B$32+1),0)))*(1-IF(AND(ArtifactsInput!$M$27,Inputs!$B$4="Chapter Hunt"),CHOOSE(ArtifactsInput!$N$27+1,20,24,28,32,36,40),0)/100)),0)</f>
        <v/>
      </c>
      <c r="R982" t="n">
        <v>0</v>
      </c>
      <c r="S982">
        <f>IF(C982,((H982*B1010)/(1+Skills!G10*H982*B1010)*N982)*IF(Inputs!$B$38="pvp",1,1+(Inputs!$B$20+Skills!O10+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982*(1-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982*(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982*(1-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982*(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2">
        <f>IF(C982,((H982*B1010)/(1+Skills!G10*H982*B1010)*N982)*IF(Inputs!$B$38="pvp",1,(1+(Inputs!$B$21+Skills!P10+B1000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3">
      <c r="A983">
        <f>Skills!A11</f>
        <v/>
      </c>
      <c r="B983">
        <f>Skills!B11</f>
        <v/>
      </c>
      <c r="C983">
        <f>Inputs!$B$3&gt;=107</f>
        <v/>
      </c>
      <c r="D983">
        <f>IF(Skills!C11=1,60+Inputs!$B$25+Inputs!$B$29,IF(Skills!C11=2,90+Inputs!$B$26+Inputs!$B$29,IF(Skills!C11=3,120+Inputs!$B$27+Inputs!$B$29,MAX(0,(Inputs!$B$3-100)*3)+Inputs!$B$28+Inputs!$B$29)))</f>
        <v/>
      </c>
      <c r="E983">
        <f>INDEX(FactorTable!$B$2:$Y$301, MATCH(ROUND(MIN(300,MAX(1,D983)),0), FactorTable!$A$2:$A$301,0), Skills!L11+1)</f>
        <v/>
      </c>
      <c r="F983">
        <f>IF(Skills!M11=TRUE,(Skills!K11/10)*(E983/1000),Skills!K11/10)+Skills!N11</f>
        <v/>
      </c>
      <c r="G983">
        <f>Calc!G11</f>
        <v/>
      </c>
      <c r="H983">
        <f>Calc!H11</f>
        <v/>
      </c>
      <c r="I983">
        <f>IF(Skills!T11&lt;&gt;"",1+(Skills!T11/10)*(Z975/1000)/100,1)</f>
        <v/>
      </c>
      <c r="J983">
        <f>((Inputs!$B$6*(1+Inputs!$B$7/100))+(((Inputs!$B$12*(1+Inputs!$B$13/100))-(Inputs!$B$12*(1+Inputs!$B$13/100)))+0.25*(Inputs!$B$14-Inputs!$B$14))*(1+Inputs!$B$7/100))*(F983/100)</f>
        <v/>
      </c>
      <c r="K983">
        <f>J983*(1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11="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983)</f>
        <v/>
      </c>
      <c r="L983">
        <f>K983*(MIN(Inputs!$B$22+(F990-Calc!F18),(Inputs!$B$23+(IF(ArtifactsInput!$M$15,CHOOSE(ArtifactsInput!$N$15+1,25,30,35,40,45,50)/100*(Inputs!$B$11-Inputs!$B$11),0))))/100+(Inputs!$B$23+(IF(ArtifactsInput!$M$15,CHOOSE(ArtifactsInput!$N$15+1,25,30,35,40,45,50)/100*(Inputs!$B$11-Inputs!$B$11),0)))/100)/2</f>
        <v/>
      </c>
      <c r="M983">
        <f>L983*(1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3">
        <f>L983*(1-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983*(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3">
        <f>(1-Summary!$B$11)*S983+Summary!$B$11*U983</f>
        <v/>
      </c>
      <c r="P983">
        <f>IF(B1009=0,0,O983/B1009)</f>
        <v/>
      </c>
      <c r="Q983">
        <f>IFERROR(1/(IF(Inputs!$B$38="pvp",15,MAX(0.1,Skills!D11-IF(TRUE=TRUE,(Inputs!$B$32+1),0)))*(1-IF(AND(ArtifactsInput!$M$27,Inputs!$B$4="Chapter Hunt"),CHOOSE(ArtifactsInput!$N$27+1,20,24,28,32,36,40),0)/100)),0)</f>
        <v/>
      </c>
      <c r="R983">
        <f>IF(AND(Inputs!$B$38&lt;&gt;"pvp",Inputs!$B$43&gt;0),IF(MAX(0,Inputs!$B$43-B1006)&lt;=0,0,(INT(MAX(0,Inputs!$B$43-B1006)/(IF(Inputs!$B$38="pvp",15,MAX(0.1,Skills!D11-IF(TRUE=TRUE,(Inputs!$B$32+1),0)))*(1-IF(AND(ArtifactsInput!$M$27,Inputs!$B$4="Chapter Hunt"),CHOOSE(ArtifactsInput!$N$27+1,20,24,28,32,36,40),0)/100)))+1)),0)</f>
        <v/>
      </c>
      <c r="S983">
        <f>IF(C983,H983*N983*IF(AND(Inputs!$B$38&lt;&gt;"pvp",Inputs!$B$43&gt;0),((Skills!F11*((R983-1)*IF(Skills!G11&gt;0,Skills!H11/Skills!G11,1)+IF(Skills!G11&gt;0,MIN(Skills!H11,MAX(0,MAX(0,Inputs!$B$43-B1006)-((R983-1)*(IF(Inputs!$B$38="pvp",15,MAX(0.1,Skills!D11-IF(TRUE=TRUE,(Inputs!$B$32+1),0)))*(1-IF(AND(ArtifactsInput!$M$27,Inputs!$B$4="Chapter Hunt"),CHOOSE(ArtifactsInput!$N$27+1,20,24,28,32,36,40),0)/100)))))/Skills!G11,1)))/Inputs!$B$43),G983*Q983)*0.5*IF(Inputs!$B$38="pvp",1,1+(Inputs!$B$20+Skills!O11+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983*(1-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983*(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983*(1-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983*(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3">
        <f>IF(C983,H983*N983*IF(AND(Inputs!$B$38&lt;&gt;"pvp",Inputs!$B$43&gt;0),((Skills!F11*((R983-1)*IF(Skills!G11&gt;0,Skills!H11/Skills!G11,1)+IF(Skills!G11&gt;0,MIN(Skills!H11,MAX(0,MAX(0,Inputs!$B$43-B1006)-((R983-1)*(IF(Inputs!$B$38="pvp",15,MAX(0.1,Skills!D11-IF(TRUE=TRUE,(Inputs!$B$32+1),0)))*(1-IF(AND(ArtifactsInput!$M$27,Inputs!$B$4="Chapter Hunt"),CHOOSE(ArtifactsInput!$N$27+1,20,24,28,32,36,40),0)/100)))))/Skills!G11,1)))/Inputs!$B$43),G983*Q983)*1*IF(Inputs!$B$38="pvp",1,(1+(Inputs!$B$21+Skills!P11+B1000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4">
      <c r="A984">
        <f>Skills!A12</f>
        <v/>
      </c>
      <c r="B984">
        <f>Skills!B12</f>
        <v/>
      </c>
      <c r="C984">
        <f>Inputs!$B$3&gt;=115</f>
        <v/>
      </c>
      <c r="D984">
        <f>IF(Skills!C12=1,60+Inputs!$B$25+Inputs!$B$29,IF(Skills!C12=2,90+Inputs!$B$26+Inputs!$B$29,IF(Skills!C12=3,120+Inputs!$B$27+Inputs!$B$29,MAX(0,(Inputs!$B$3-100)*3)+Inputs!$B$28+Inputs!$B$29)))</f>
        <v/>
      </c>
      <c r="E984">
        <f>INDEX(FactorTable!$B$2:$Y$301, MATCH(ROUND(MIN(300,MAX(1,D984)),0), FactorTable!$A$2:$A$301,0), Skills!L12+1)</f>
        <v/>
      </c>
      <c r="F984">
        <f>IF(Skills!M12=TRUE,(Skills!K12/10)*(E984/1000),Skills!K12/10)+Skills!N12</f>
        <v/>
      </c>
      <c r="G984">
        <f>Calc!G12</f>
        <v/>
      </c>
      <c r="H984">
        <f>Calc!H12</f>
        <v/>
      </c>
      <c r="I984">
        <f>IF(Skills!T12&lt;&gt;"",1+(Skills!T12/10)*(Z975/1000)/100,1)</f>
        <v/>
      </c>
      <c r="J984">
        <f>((Inputs!$B$6*(1+Inputs!$B$7/100))+(((Inputs!$B$12*(1+Inputs!$B$13/100))-(Inputs!$B$12*(1+Inputs!$B$13/100)))+0.25*(Inputs!$B$14-Inputs!$B$14))*(1+Inputs!$B$7/100))*(F984/100)</f>
        <v/>
      </c>
      <c r="K984">
        <f>J984*(1+((Inputs!$B$12*(1+Inputs!$B$13/100))*0.01+Inputs!$B$14*0.0025)/100)*(1+(Inputs!$B$15+B1001)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987=TRUE,F987,0)/100)*(1+IF(C995=TRUE,F995,0)/100)^5*(1+(IF(Skills!A12="CHAIN_LIGHTNING",Inputs!$B$17+((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999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984)</f>
        <v/>
      </c>
      <c r="L984">
        <f>K984*(MIN(Inputs!$B$22+(F990-Calc!F18),(Inputs!$B$23+(IF(ArtifactsInput!$M$15,CHOOSE(ArtifactsInput!$N$15+1,25,30,35,40,45,50)/100*(Inputs!$B$11-Inputs!$B$11),0))))/100+(Inputs!$B$23+(IF(ArtifactsInput!$M$15,CHOOSE(ArtifactsInput!$N$15+1,25,30,35,40,45,50)/100*(Inputs!$B$11-Inputs!$B$11),0)))/100)/2</f>
        <v/>
      </c>
      <c r="M984">
        <f>L984*(1+(Inputs!$B$10+(F993-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4">
        <f>L984*(1-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984*(MIN((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4">
        <f>(1-Summary!$B$11)*S984+Summary!$B$11*U984</f>
        <v/>
      </c>
      <c r="P984">
        <f>IF(B1009=0,0,O984/B1009)</f>
        <v/>
      </c>
      <c r="Q984">
        <f>IFERROR(1/(IF(Inputs!$B$38="pvp",15,MAX(0.1,Skills!D12-IF(TRUE=TRUE,(Inputs!$B$32+1),0)))*(1-IF(AND(ArtifactsInput!$M$27,Inputs!$B$4="Chapter Hunt"),CHOOSE(ArtifactsInput!$N$27+1,20,24,28,32,36,40),0)/100)),0)</f>
        <v/>
      </c>
      <c r="R984">
        <f>IF(AND(Inputs!$B$38&lt;&gt;"pvp",Inputs!$B$43&gt;0),IF(MAX(0,Inputs!$B$43-B1006)&lt;=0,0,(INT(MAX(0,Inputs!$B$43-B1006)/(IF(Inputs!$B$38="pvp",15,MAX(0.1,Skills!D12-IF(TRUE=TRUE,(Inputs!$B$32+1),0)))*(1-IF(AND(ArtifactsInput!$M$27,Inputs!$B$4="Chapter Hunt"),CHOOSE(ArtifactsInput!$N$27+1,20,24,28,32,36,40),0)/100)))+1)),0)</f>
        <v/>
      </c>
      <c r="S984">
        <f>IF(C984,(H984*N984*IF(AND(Inputs!$B$38&lt;&gt;"pvp",Inputs!$B$43&gt;0),((Skills!F12*((R984-1)*IF(Skills!G12&gt;0,Skills!H12/Skills!G12,1)+IF(Skills!G12&gt;0,MIN(Skills!H12,MAX(0,MAX(0,Inputs!$B$43-B1006)-((R984-1)*(IF(Inputs!$B$38="pvp",15,MAX(0.1,Skills!D12-IF(TRUE=TRUE,(Inputs!$B$32+1),0)))*(1-IF(AND(ArtifactsInput!$M$27,Inputs!$B$4="Chapter Hunt"),CHOOSE(ArtifactsInput!$N$27+1,20,24,28,32,36,40),0)/100)))))/Skills!G12,1)))/Inputs!$B$43),G984*Q984))*IF(Inputs!$B$38="pvp",1,1+(Inputs!$B$20+Skills!O12+B1000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984*(1-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984*(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984*(1-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984*(MIN(100,(Inputs!$B$9+((F992-Calc!F20)+(F991-Calc!F19))+(ArtifactsInput!$M$24-ArtifactsInput!$M$24)*CHOOSE(ArtifactsInput!$N$24+1,10,12,14,16,18,20)+(IF(AND(Inputs!$B$38&lt;&gt;"pvp",Inputs!$B$43=0),1,IF(IF(Inputs!$B$38="pvp",15,Inputs!$B$43)-(B1006)&lt;=0,1,MAX(0,IF(Inputs!$B$38="pvp",15,Inputs!$B$43)-MAX(5,B1006))/(IF(Inputs!$B$38="pvp",15,Inputs!$B$43)-(B1006)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84">
        <f>IF(C984,(H984*N984*IF(AND(Inputs!$B$38&lt;&gt;"pvp",Inputs!$B$43&gt;0),((Skills!F12*((R984-1)*IF(Skills!G12&gt;0,Skills!H12/Skills!G12,1)+IF(Skills!G12&gt;0,MIN(Skills!H12,MAX(0,MAX(0,Inputs!$B$43-B1006)-((R984-1)*(IF(Inputs!$B$38="pvp",15,MAX(0.1,Skills!D12-IF(TRUE=TRUE,(Inputs!$B$32+1),0)))*(1-IF(AND(ArtifactsInput!$M$27,Inputs!$B$4="Chapter Hunt"),CHOOSE(ArtifactsInput!$N$27+1,20,24,28,32,36,40),0)/100)))))/Skills!G12,1)))/Inputs!$B$43),G984*Q984))*IF(Inputs!$B$38="pvp",1,(1+(Inputs!$B$21+Skills!P12+B1000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5">
      <c r="A985">
        <f>Skills!A13</f>
        <v/>
      </c>
      <c r="B985">
        <f>Skills!B13</f>
        <v/>
      </c>
      <c r="C985">
        <f>Inputs!$B$3&gt;=49</f>
        <v/>
      </c>
      <c r="D985">
        <f>IF(Skills!C13=1,60+Inputs!$B$25+Inputs!$B$29,IF(Skills!C13=2,90+Inputs!$B$26+Inputs!$B$29,IF(Skills!C13=3,120+Inputs!$B$27+Inputs!$B$29,MAX(0,(Inputs!$B$3-100)*3)+Inputs!$B$28+Inputs!$B$29)))</f>
        <v/>
      </c>
      <c r="E985">
        <f>INDEX(FactorTable!$B$2:$Y$301, MATCH(ROUND(MIN(300,MAX(1,D985)),0), FactorTable!$A$2:$A$301,0), Skills!L13+1)</f>
        <v/>
      </c>
      <c r="F985">
        <f>IF(Skills!M13=TRUE,(Skills!K13/10)*(E985/1000),Skills!K13/10)+Skills!N13</f>
        <v/>
      </c>
      <c r="G985">
        <f>Calc!G13</f>
        <v/>
      </c>
      <c r="H985">
        <f>Calc!H13</f>
        <v/>
      </c>
      <c r="I985">
        <f>IF(Skills!T13&lt;&gt;"",1+(Skills!T13/10)*(Z975/1000)/100,1)</f>
        <v/>
      </c>
      <c r="J985" t="inlineStr"/>
      <c r="K985" t="inlineStr"/>
      <c r="L985" t="inlineStr"/>
      <c r="M985" t="inlineStr"/>
      <c r="N985" t="inlineStr"/>
      <c r="O985">
        <f>(1-Summary!$B$11)*S985+Summary!$B$11*U985</f>
        <v/>
      </c>
      <c r="P985">
        <f>IF(B1009=0,0,O985/B1009)</f>
        <v/>
      </c>
      <c r="Q985">
        <f>IFERROR(1/(IF(Inputs!$B$38="pvp",15,MAX(0.1,Skills!D13-IF(TRUE=TRUE,(Inputs!$B$32+1),0)))*(1-IF(AND(ArtifactsInput!$M$27,Inputs!$B$4="Chapter Hunt"),CHOOSE(ArtifactsInput!$N$27+1,20,24,28,32,36,40),0)/100)),0)</f>
        <v/>
      </c>
      <c r="R985" t="n">
        <v>0</v>
      </c>
      <c r="S985" t="n">
        <v>0</v>
      </c>
      <c r="U985" t="n">
        <v>0</v>
      </c>
    </row>
    <row r="986">
      <c r="A986">
        <f>Skills!A14</f>
        <v/>
      </c>
      <c r="B986">
        <f>Skills!B14</f>
        <v/>
      </c>
      <c r="C986">
        <f>Inputs!$B$3&gt;=72</f>
        <v/>
      </c>
      <c r="D986">
        <f>IF(Skills!C14=1,60+Inputs!$B$25+Inputs!$B$29,IF(Skills!C14=2,90+Inputs!$B$26+Inputs!$B$29,IF(Skills!C14=3,120+Inputs!$B$27+Inputs!$B$29,MAX(0,(Inputs!$B$3-100)*3)+Inputs!$B$28+Inputs!$B$29)))</f>
        <v/>
      </c>
      <c r="E986">
        <f>INDEX(FactorTable!$B$2:$Y$301, MATCH(ROUND(MIN(300,MAX(1,D986)),0), FactorTable!$A$2:$A$301,0), Skills!L14+1)</f>
        <v/>
      </c>
      <c r="F986">
        <f>IF(Skills!M14=TRUE,(Skills!K14/10)*(E986/1000),Skills!K14/10)+Skills!N14</f>
        <v/>
      </c>
      <c r="G986">
        <f>Calc!G14</f>
        <v/>
      </c>
      <c r="H986">
        <f>Calc!H14</f>
        <v/>
      </c>
      <c r="I986">
        <f>IF(Skills!T14&lt;&gt;"",1+(Skills!T14/10)*(Z975/1000)/100,1)</f>
        <v/>
      </c>
      <c r="J986" t="inlineStr"/>
      <c r="K986" t="inlineStr"/>
      <c r="L986" t="inlineStr"/>
      <c r="M986" t="inlineStr"/>
      <c r="N986" t="inlineStr"/>
      <c r="O986">
        <f>(1-Summary!$B$11)*S986+Summary!$B$11*U986</f>
        <v/>
      </c>
      <c r="P986">
        <f>IF(B1009=0,0,O986/B1009)</f>
        <v/>
      </c>
      <c r="Q986">
        <f>IFERROR(1/(IF(Inputs!$B$38="pvp",15,MAX(0.1,Skills!D14-IF(TRUE=TRUE,(Inputs!$B$32+1),0)))*(1-IF(AND(ArtifactsInput!$M$27,Inputs!$B$4="Chapter Hunt"),CHOOSE(ArtifactsInput!$N$27+1,20,24,28,32,36,40),0)/100)),0)</f>
        <v/>
      </c>
      <c r="R986" t="n">
        <v>0</v>
      </c>
      <c r="S986" t="n">
        <v>0</v>
      </c>
      <c r="U986" t="n">
        <v>0</v>
      </c>
    </row>
    <row r="987">
      <c r="A987">
        <f>Skills!A15</f>
        <v/>
      </c>
      <c r="B987">
        <f>Skills!B15</f>
        <v/>
      </c>
      <c r="C987">
        <f>Inputs!$B$3&gt;=75</f>
        <v/>
      </c>
      <c r="D987">
        <f>IF(Skills!C15=1,60+Inputs!$B$25+Inputs!$B$29,IF(Skills!C15=2,90+Inputs!$B$26+Inputs!$B$29,IF(Skills!C15=3,120+Inputs!$B$27+Inputs!$B$29,MAX(0,(Inputs!$B$3-100)*3)+Inputs!$B$28+Inputs!$B$29)))</f>
        <v/>
      </c>
      <c r="E987">
        <f>INDEX(FactorTable!$B$2:$Y$301, MATCH(ROUND(MIN(300,MAX(1,D987)),0), FactorTable!$A$2:$A$301,0), Skills!L15+1)</f>
        <v/>
      </c>
      <c r="F987">
        <f>IF(Skills!M15=TRUE,(Skills!K15/10)*(E987/1000),Skills!K15/10)+Skills!N15</f>
        <v/>
      </c>
      <c r="G987">
        <f>Calc!G15</f>
        <v/>
      </c>
      <c r="H987">
        <f>Calc!H15</f>
        <v/>
      </c>
      <c r="I987">
        <f>IF(Skills!T15&lt;&gt;"",1+(Skills!T15/10)*(Z975/1000)/100,1)</f>
        <v/>
      </c>
      <c r="J987" t="inlineStr"/>
      <c r="K987" t="inlineStr"/>
      <c r="L987" t="inlineStr"/>
      <c r="M987" t="inlineStr"/>
      <c r="N987" t="inlineStr"/>
      <c r="O987">
        <f>(1-Summary!$B$11)*S987+Summary!$B$11*U987</f>
        <v/>
      </c>
      <c r="P987">
        <f>IF(B1009=0,0,O987/B1009)</f>
        <v/>
      </c>
      <c r="Q987">
        <f>IFERROR(1/(IF(Inputs!$B$38="pvp",15,MAX(0.1,Skills!D15-IF(TRUE=TRUE,(Inputs!$B$32+1),0)))*(1-IF(AND(ArtifactsInput!$M$27,Inputs!$B$4="Chapter Hunt"),CHOOSE(ArtifactsInput!$N$27+1,20,24,28,32,36,40),0)/100)),0)</f>
        <v/>
      </c>
      <c r="R987" t="n">
        <v>0</v>
      </c>
      <c r="S987" t="n">
        <v>0</v>
      </c>
      <c r="U987" t="n">
        <v>0</v>
      </c>
    </row>
    <row r="988">
      <c r="A988">
        <f>Skills!A16</f>
        <v/>
      </c>
      <c r="B988">
        <f>Skills!B16</f>
        <v/>
      </c>
      <c r="C988">
        <f>Inputs!$B$3&gt;=110</f>
        <v/>
      </c>
      <c r="D988">
        <f>IF(Skills!C16=1,60+Inputs!$B$25+Inputs!$B$29,IF(Skills!C16=2,90+Inputs!$B$26+Inputs!$B$29,IF(Skills!C16=3,120+Inputs!$B$27+Inputs!$B$29,MAX(0,(Inputs!$B$3-100)*3)+Inputs!$B$28+Inputs!$B$29)))</f>
        <v/>
      </c>
      <c r="E988">
        <f>INDEX(FactorTable!$B$2:$Y$301, MATCH(ROUND(MIN(300,MAX(1,D988)),0), FactorTable!$A$2:$A$301,0), Skills!L16+1)</f>
        <v/>
      </c>
      <c r="F988">
        <f>(Skills!K16/10)*(E988/1000)*64/45+Skills!N16</f>
        <v/>
      </c>
      <c r="G988">
        <f>Calc!G16</f>
        <v/>
      </c>
      <c r="H988">
        <f>Calc!H16</f>
        <v/>
      </c>
      <c r="I988">
        <f>IF(Skills!T16&lt;&gt;"",1+(Skills!T16/10)*(Z975/1000)/100,1)</f>
        <v/>
      </c>
      <c r="J988" t="inlineStr"/>
      <c r="K988" t="inlineStr"/>
      <c r="L988" t="inlineStr"/>
      <c r="M988" t="inlineStr"/>
      <c r="N988" t="inlineStr"/>
      <c r="O988">
        <f>(1-Summary!$B$11)*S988+Summary!$B$11*U988</f>
        <v/>
      </c>
      <c r="P988">
        <f>IF(B1009=0,0,O988/B1009)</f>
        <v/>
      </c>
      <c r="Q988">
        <f>IFERROR(1/(IF(Inputs!$B$38="pvp",15,MAX(0.1,Skills!D16-IF(TRUE=TRUE,(Inputs!$B$32+1),0)))*(1-IF(AND(ArtifactsInput!$M$27,Inputs!$B$4="Chapter Hunt"),CHOOSE(ArtifactsInput!$N$27+1,20,24,28,32,36,40),0)/100)),0)</f>
        <v/>
      </c>
      <c r="R988">
        <f>IF(AND(Inputs!$B$38&lt;&gt;"pvp",Inputs!$B$43&gt;0),IF(Inputs!$B$43&lt;=0,0,(INT(Inputs!$B$43/(IF(Inputs!$B$38="pvp",15,MAX(0.1,Skills!D16-IF(TRUE=TRUE,(Inputs!$B$32+1),0)))*(1-IF(AND(ArtifactsInput!$M$27,Inputs!$B$4="Chapter Hunt"),CHOOSE(ArtifactsInput!$N$27+1,20,24,28,32,36,40),0)/100)))+1)),0)</f>
        <v/>
      </c>
      <c r="S988" t="n">
        <v>0</v>
      </c>
      <c r="U988" t="n">
        <v>0</v>
      </c>
    </row>
    <row r="989">
      <c r="A989">
        <f>Skills!A17</f>
        <v/>
      </c>
      <c r="B989">
        <f>Skills!B17</f>
        <v/>
      </c>
      <c r="C989">
        <f>Inputs!$B$3&gt;=33</f>
        <v/>
      </c>
      <c r="D989">
        <f>IF(Skills!C17=1,60+Inputs!$B$25+Inputs!$B$29,IF(Skills!C17=2,90+Inputs!$B$26+Inputs!$B$29,IF(Skills!C17=3,120+Inputs!$B$27+Inputs!$B$29,MAX(0,(Inputs!$B$3-100)*3)+Inputs!$B$28+Inputs!$B$29)))</f>
        <v/>
      </c>
      <c r="E989">
        <f>INDEX(FactorTable!$B$2:$Y$301, MATCH(ROUND(MIN(300,MAX(1,D989)),0), FactorTable!$A$2:$A$301,0), Skills!L17+1)</f>
        <v/>
      </c>
      <c r="F989">
        <f>IF(Skills!M17=TRUE,(Skills!K17/10)*(E989/1000),Skills!K17/10)+Skills!N17</f>
        <v/>
      </c>
      <c r="G989">
        <f>Calc!G17</f>
        <v/>
      </c>
      <c r="H989">
        <f>Calc!H17</f>
        <v/>
      </c>
      <c r="I989">
        <f>IF(Skills!T17&lt;&gt;"",1+(Skills!T17/10)*(Z975/1000)/100,1)</f>
        <v/>
      </c>
      <c r="J989" t="inlineStr"/>
      <c r="K989" t="inlineStr"/>
      <c r="L989" t="inlineStr"/>
      <c r="M989" t="inlineStr"/>
      <c r="N989" t="inlineStr"/>
      <c r="O989">
        <f>(1-Summary!$B$11)*S989+Summary!$B$11*U989</f>
        <v/>
      </c>
      <c r="P989">
        <f>IF(B1009=0,0,O989/B1009)</f>
        <v/>
      </c>
      <c r="Q989">
        <f>IFERROR(1/(IF(Inputs!$B$38="pvp",15,MAX(0.1,Skills!D17-IF(TRUE=TRUE,(Inputs!$B$32+1),0)))*(1-IF(AND(ArtifactsInput!$M$27,Inputs!$B$4="Chapter Hunt"),CHOOSE(ArtifactsInput!$N$27+1,20,24,28,32,36,40),0)/100)),0)</f>
        <v/>
      </c>
      <c r="R989" t="n">
        <v>0</v>
      </c>
      <c r="S989" t="n">
        <v>0</v>
      </c>
      <c r="U989" t="n">
        <v>0</v>
      </c>
    </row>
    <row r="990">
      <c r="A990">
        <f>Skills!A18</f>
        <v/>
      </c>
      <c r="B990">
        <f>Skills!B18</f>
        <v/>
      </c>
      <c r="C990">
        <f>Inputs!$B$3&gt;=43</f>
        <v/>
      </c>
      <c r="D990">
        <f>IF(Skills!C18=1,60+Inputs!$B$25+Inputs!$B$29,IF(Skills!C18=2,90+Inputs!$B$26+Inputs!$B$29,IF(Skills!C18=3,120+Inputs!$B$27+Inputs!$B$29,MAX(0,(Inputs!$B$3-100)*3)+Inputs!$B$28+Inputs!$B$29)))</f>
        <v/>
      </c>
      <c r="E990">
        <f>INDEX(FactorTable!$B$2:$Y$301, MATCH(ROUND(MIN(300,MAX(1,D990)),0), FactorTable!$A$2:$A$301,0), Skills!L18+1)</f>
        <v/>
      </c>
      <c r="F990">
        <f>IF(Skills!M18=TRUE,(Skills!K18/10)*(E990/1000),Skills!K18/10)+Skills!N18</f>
        <v/>
      </c>
      <c r="G990">
        <f>Calc!G18</f>
        <v/>
      </c>
      <c r="H990">
        <f>Calc!H18</f>
        <v/>
      </c>
      <c r="I990">
        <f>IF(Skills!T18&lt;&gt;"",1+(Skills!T18/10)*(Z975/1000)/100,1)</f>
        <v/>
      </c>
      <c r="J990" t="inlineStr"/>
      <c r="K990" t="inlineStr"/>
      <c r="L990" t="inlineStr"/>
      <c r="M990" t="inlineStr"/>
      <c r="N990" t="inlineStr"/>
      <c r="O990">
        <f>(1-Summary!$B$11)*S990+Summary!$B$11*U990</f>
        <v/>
      </c>
      <c r="P990">
        <f>IF(B1009=0,0,O990/B1009)</f>
        <v/>
      </c>
      <c r="Q990">
        <f>IFERROR(1/(IF(Inputs!$B$38="pvp",15,MAX(0.1,Skills!D18-IF(TRUE=TRUE,(Inputs!$B$32+1),0)))*(1-IF(AND(ArtifactsInput!$M$27,Inputs!$B$4="Chapter Hunt"),CHOOSE(ArtifactsInput!$N$27+1,20,24,28,32,36,40),0)/100)),0)</f>
        <v/>
      </c>
      <c r="R990" t="n">
        <v>0</v>
      </c>
      <c r="S990" t="n">
        <v>0</v>
      </c>
      <c r="U990" t="n">
        <v>0</v>
      </c>
    </row>
    <row r="991">
      <c r="A991">
        <f>Skills!A19</f>
        <v/>
      </c>
      <c r="B991">
        <f>Skills!B19</f>
        <v/>
      </c>
      <c r="C991">
        <f>Inputs!$B$3&gt;=50</f>
        <v/>
      </c>
      <c r="D991">
        <f>IF(Skills!C19=1,60+Inputs!$B$25+Inputs!$B$29,IF(Skills!C19=2,90+Inputs!$B$26+Inputs!$B$29,IF(Skills!C19=3,120+Inputs!$B$27+Inputs!$B$29,MAX(0,(Inputs!$B$3-100)*3)+Inputs!$B$28+Inputs!$B$29)))</f>
        <v/>
      </c>
      <c r="E991">
        <f>INDEX(FactorTable!$B$2:$Y$301, MATCH(ROUND(MIN(300,MAX(1,D991)),0), FactorTable!$A$2:$A$301,0), Skills!L19+1)</f>
        <v/>
      </c>
      <c r="F991">
        <f>IF(Skills!M19=TRUE,(Skills!K19/10)*(E991/1000),Skills!K19/10)+Skills!N19</f>
        <v/>
      </c>
      <c r="G991">
        <f>Calc!G19</f>
        <v/>
      </c>
      <c r="H991">
        <f>Calc!H19</f>
        <v/>
      </c>
      <c r="I991">
        <f>IF(Skills!T19&lt;&gt;"",1+(Skills!T19/10)*(Z975/1000)/100,1)</f>
        <v/>
      </c>
      <c r="J991" t="inlineStr"/>
      <c r="K991" t="inlineStr"/>
      <c r="L991" t="inlineStr"/>
      <c r="M991" t="inlineStr"/>
      <c r="N991" t="inlineStr"/>
      <c r="O991">
        <f>(1-Summary!$B$11)*S991+Summary!$B$11*U991</f>
        <v/>
      </c>
      <c r="P991">
        <f>IF(B1009=0,0,O991/B1009)</f>
        <v/>
      </c>
      <c r="Q991">
        <f>IFERROR(1/(IF(Inputs!$B$38="pvp",15,MAX(0.1,Skills!D19-IF(TRUE=TRUE,(Inputs!$B$32+1),0)))*(1-IF(AND(ArtifactsInput!$M$27,Inputs!$B$4="Chapter Hunt"),CHOOSE(ArtifactsInput!$N$27+1,20,24,28,32,36,40),0)/100)),0)</f>
        <v/>
      </c>
      <c r="R991" t="n">
        <v>0</v>
      </c>
      <c r="S991" t="n">
        <v>0</v>
      </c>
      <c r="U991" t="n">
        <v>0</v>
      </c>
    </row>
    <row r="992">
      <c r="A992">
        <f>Skills!A20</f>
        <v/>
      </c>
      <c r="B992">
        <f>Skills!B20</f>
        <v/>
      </c>
      <c r="C992">
        <f>Inputs!$B$3&gt;=74</f>
        <v/>
      </c>
      <c r="D992">
        <f>IF(Skills!C20=1,60+Inputs!$B$25+Inputs!$B$29,IF(Skills!C20=2,90+Inputs!$B$26+Inputs!$B$29,IF(Skills!C20=3,120+Inputs!$B$27+Inputs!$B$29,MAX(0,(Inputs!$B$3-100)*3)+Inputs!$B$28+Inputs!$B$29)))</f>
        <v/>
      </c>
      <c r="E992">
        <f>INDEX(FactorTable!$B$2:$Y$301, MATCH(ROUND(MIN(300,MAX(1,D992)),0), FactorTable!$A$2:$A$301,0), Skills!L20+1)</f>
        <v/>
      </c>
      <c r="F992">
        <f>IF(Skills!M20=TRUE,(Skills!K20/10)*(E992/1000),Skills!K20/10)+Skills!N20</f>
        <v/>
      </c>
      <c r="G992">
        <f>Calc!G20</f>
        <v/>
      </c>
      <c r="H992">
        <f>Calc!H20</f>
        <v/>
      </c>
      <c r="I992">
        <f>IF(Skills!T20&lt;&gt;"",1+(Skills!T20/10)*(Z975/1000)/100,1)</f>
        <v/>
      </c>
      <c r="J992" t="inlineStr"/>
      <c r="K992" t="inlineStr"/>
      <c r="L992" t="inlineStr"/>
      <c r="M992" t="inlineStr"/>
      <c r="N992" t="inlineStr"/>
      <c r="O992">
        <f>(1-Summary!$B$11)*S992+Summary!$B$11*U992</f>
        <v/>
      </c>
      <c r="P992">
        <f>IF(B1009=0,0,O992/B1009)</f>
        <v/>
      </c>
      <c r="Q992">
        <f>IFERROR(1/(IF(Inputs!$B$38="pvp",15,MAX(0.1,Skills!D20-IF(TRUE=TRUE,(Inputs!$B$32+1),0)))*(1-IF(AND(ArtifactsInput!$M$27,Inputs!$B$4="Chapter Hunt"),CHOOSE(ArtifactsInput!$N$27+1,20,24,28,32,36,40),0)/100)),0)</f>
        <v/>
      </c>
      <c r="R992" t="n">
        <v>0</v>
      </c>
      <c r="S992" t="n">
        <v>0</v>
      </c>
      <c r="U992" t="n">
        <v>0</v>
      </c>
    </row>
    <row r="993">
      <c r="A993">
        <f>Skills!A21</f>
        <v/>
      </c>
      <c r="B993">
        <f>Skills!B21</f>
        <v/>
      </c>
      <c r="C993">
        <f>Inputs!$B$3&gt;=74</f>
        <v/>
      </c>
      <c r="D993">
        <f>IF(Skills!C21=1,60+Inputs!$B$25+Inputs!$B$29,IF(Skills!C21=2,90+Inputs!$B$26+Inputs!$B$29,IF(Skills!C21=3,120+Inputs!$B$27+Inputs!$B$29,MAX(0,(Inputs!$B$3-100)*3)+Inputs!$B$28+Inputs!$B$29)))</f>
        <v/>
      </c>
      <c r="E993">
        <f>INDEX(FactorTable!$B$2:$Y$301, MATCH(ROUND(MIN(300,MAX(1,D993)),0), FactorTable!$A$2:$A$301,0), Skills!L21+1)</f>
        <v/>
      </c>
      <c r="F993">
        <f>IF(Skills!M21=TRUE,(Skills!K21/10)*(E993/1000),Skills!K21/10)+Skills!N21</f>
        <v/>
      </c>
      <c r="G993">
        <f>Calc!G21</f>
        <v/>
      </c>
      <c r="H993">
        <f>Calc!H21</f>
        <v/>
      </c>
      <c r="I993">
        <f>IF(Skills!T21&lt;&gt;"",1+(Skills!T21/10)*(Z975/1000)/100,1)</f>
        <v/>
      </c>
      <c r="J993" t="inlineStr"/>
      <c r="K993" t="inlineStr"/>
      <c r="L993" t="inlineStr"/>
      <c r="M993" t="inlineStr"/>
      <c r="N993" t="inlineStr"/>
      <c r="O993">
        <f>(1-Summary!$B$11)*S993+Summary!$B$11*U993</f>
        <v/>
      </c>
      <c r="P993">
        <f>IF(B1009=0,0,O993/B1009)</f>
        <v/>
      </c>
      <c r="Q993">
        <f>IFERROR(1/(IF(Inputs!$B$38="pvp",15,MAX(0.1,Skills!D21-IF(TRUE=TRUE,(Inputs!$B$32+1),0)))*(1-IF(AND(ArtifactsInput!$M$27,Inputs!$B$4="Chapter Hunt"),CHOOSE(ArtifactsInput!$N$27+1,20,24,28,32,36,40),0)/100)),0)</f>
        <v/>
      </c>
      <c r="R993" t="n">
        <v>0</v>
      </c>
      <c r="S993" t="n">
        <v>0</v>
      </c>
      <c r="U993" t="n">
        <v>0</v>
      </c>
    </row>
    <row r="994">
      <c r="A994">
        <f>Skills!A22</f>
        <v/>
      </c>
      <c r="B994">
        <f>Skills!B22</f>
        <v/>
      </c>
      <c r="C994">
        <f>Inputs!$B$3&gt;=117</f>
        <v/>
      </c>
      <c r="D994">
        <f>IF(Skills!C22=1,60+Inputs!$B$25+Inputs!$B$29,IF(Skills!C22=2,90+Inputs!$B$26+Inputs!$B$29,IF(Skills!C22=3,120+Inputs!$B$27+Inputs!$B$29,MAX(0,(Inputs!$B$3-100)*3)+Inputs!$B$28+Inputs!$B$29)))</f>
        <v/>
      </c>
      <c r="E994">
        <f>INDEX(FactorTable!$B$2:$Y$301, MATCH(ROUND(MIN(300,MAX(1,D994)),0), FactorTable!$A$2:$A$301,0), Skills!L22+1)</f>
        <v/>
      </c>
      <c r="F994">
        <f>IF(Skills!M22=TRUE,(Skills!K22/10)*(E994/1000),Skills!K22/10)+Skills!N22</f>
        <v/>
      </c>
      <c r="G994">
        <f>Calc!G22</f>
        <v/>
      </c>
      <c r="H994">
        <f>Calc!H22</f>
        <v/>
      </c>
      <c r="I994">
        <f>IF(Skills!T22&lt;&gt;"",1+(Skills!T22/10)*(Z975/1000)/100,1)</f>
        <v/>
      </c>
      <c r="J994" t="inlineStr"/>
      <c r="K994" t="inlineStr"/>
      <c r="L994" t="inlineStr"/>
      <c r="M994" t="inlineStr"/>
      <c r="N994" t="inlineStr"/>
      <c r="O994">
        <f>(1-Summary!$B$11)*S994+Summary!$B$11*U994</f>
        <v/>
      </c>
      <c r="P994">
        <f>IF(B1009=0,0,O994/B1009)</f>
        <v/>
      </c>
      <c r="Q994">
        <f>IFERROR(1/(IF(Inputs!$B$38="pvp",15,MAX(0.1,Skills!D22-IF(TRUE=TRUE,(Inputs!$B$32+1),0)))*(1-IF(AND(ArtifactsInput!$M$27,Inputs!$B$4="Chapter Hunt"),CHOOSE(ArtifactsInput!$N$27+1,20,24,28,32,36,40),0)/100)),0)</f>
        <v/>
      </c>
      <c r="R994" t="n">
        <v>0</v>
      </c>
      <c r="S994" t="n">
        <v>0</v>
      </c>
      <c r="U994" t="n">
        <v>0</v>
      </c>
    </row>
    <row r="995">
      <c r="A995">
        <f>Skills!A23</f>
        <v/>
      </c>
      <c r="B995">
        <f>Skills!B23</f>
        <v/>
      </c>
      <c r="C995">
        <f>Inputs!$B$3&gt;=120</f>
        <v/>
      </c>
      <c r="D995">
        <f>IF(Skills!C23=1,60+Inputs!$B$25+Inputs!$B$29,IF(Skills!C23=2,90+Inputs!$B$26+Inputs!$B$29,IF(Skills!C23=3,120+Inputs!$B$27+Inputs!$B$29,MAX(0,(Inputs!$B$3-100)*3)+Inputs!$B$28+Inputs!$B$29)))</f>
        <v/>
      </c>
      <c r="E995">
        <f>INDEX(FactorTable!$B$2:$Y$301, MATCH(ROUND(MIN(300,MAX(1,D995)),0), FactorTable!$A$2:$A$301,0), Skills!L23+1)</f>
        <v/>
      </c>
      <c r="F995">
        <f>IF(Skills!M23=TRUE,(Skills!K23/10)*(E995/1000),Skills!K23/10)+Skills!N23</f>
        <v/>
      </c>
      <c r="G995">
        <f>Calc!G23</f>
        <v/>
      </c>
      <c r="H995">
        <f>Calc!H23</f>
        <v/>
      </c>
      <c r="I995">
        <f>IF(Skills!T23&lt;&gt;"",1+(Skills!T23/10)*(Z975/1000)/100,1)</f>
        <v/>
      </c>
      <c r="J995" t="inlineStr"/>
      <c r="K995" t="inlineStr"/>
      <c r="L995" t="inlineStr"/>
      <c r="M995" t="inlineStr"/>
      <c r="N995" t="inlineStr"/>
      <c r="O995">
        <f>(1-Summary!$B$11)*S995+Summary!$B$11*U995</f>
        <v/>
      </c>
      <c r="P995">
        <f>IF(B1009=0,0,O995/B1009)</f>
        <v/>
      </c>
      <c r="Q995">
        <f>IFERROR(1/(IF(Inputs!$B$38="pvp",15,MAX(0.1,Skills!D23-IF(TRUE=TRUE,(Inputs!$B$32+1),0)))*(1-IF(AND(ArtifactsInput!$M$27,Inputs!$B$4="Chapter Hunt"),CHOOSE(ArtifactsInput!$N$27+1,20,24,28,32,36,40),0)/100)),0)</f>
        <v/>
      </c>
      <c r="R995" t="n">
        <v>0</v>
      </c>
      <c r="S995" t="n">
        <v>0</v>
      </c>
      <c r="U995" t="n">
        <v>0</v>
      </c>
    </row>
    <row r="996">
      <c r="A996">
        <f>Skills!A24</f>
        <v/>
      </c>
      <c r="B996">
        <f>Skills!B24</f>
        <v/>
      </c>
      <c r="C996">
        <f>TRUE</f>
        <v/>
      </c>
      <c r="D996">
        <f>IF(Skills!C24=1,60+Inputs!$B$25+Inputs!$B$29,IF(Skills!C24=2,90+Inputs!$B$26+Inputs!$B$29,IF(Skills!C24=3,120+Inputs!$B$27+Inputs!$B$29,MAX(0,(Inputs!$B$3-100)*3)+Inputs!$B$28+Inputs!$B$29)))</f>
        <v/>
      </c>
      <c r="E996">
        <f>INDEX(FactorTable!$B$2:$Y$301, MATCH(ROUND(MIN(300,MAX(1,D996)),0), FactorTable!$A$2:$A$301,0), Skills!L24+1)</f>
        <v/>
      </c>
      <c r="F996">
        <f>IF(Skills!M24=TRUE,(Skills!K24/10)*(E996/1000),Skills!K24/10)+Skills!N24</f>
        <v/>
      </c>
      <c r="G996">
        <f>Calc!G24</f>
        <v/>
      </c>
      <c r="H996">
        <f>Calc!H24</f>
        <v/>
      </c>
      <c r="I996">
        <f>IF(Skills!T24&lt;&gt;"",1+(Skills!T24/10)*(Z975/1000)/100,1)</f>
        <v/>
      </c>
      <c r="J996" t="inlineStr"/>
      <c r="K996" t="inlineStr"/>
      <c r="L996" t="inlineStr"/>
      <c r="M996" t="inlineStr"/>
      <c r="N996" t="inlineStr"/>
      <c r="O996">
        <f>(1-Summary!$B$11)*S996+Summary!$B$11*U996</f>
        <v/>
      </c>
      <c r="P996">
        <f>IF(B1009=0,0,O996/B1009)</f>
        <v/>
      </c>
      <c r="Q996">
        <f>IFERROR(1/(IF(Inputs!$B$38="pvp",15,MAX(0.1,Skills!D24-IF(TRUE=TRUE,(Inputs!$B$32+1),0)))*(1-IF(AND(ArtifactsInput!$M$27,Inputs!$B$4="Chapter Hunt"),CHOOSE(ArtifactsInput!$N$27+1,20,24,28,32,36,40),0)/100)),0)</f>
        <v/>
      </c>
      <c r="R996">
        <f>IF(AND(Inputs!$B$38&lt;&gt;"pvp",Inputs!$B$43&gt;0),IF(Inputs!$B$43&lt;=0,0,(INT(Inputs!$B$43/(IF(Inputs!$B$38="pvp",15,MAX(0.1,Skills!D24-IF(TRUE=TRUE,(Inputs!$B$32+1),0)))*(1-IF(AND(ArtifactsInput!$M$27,Inputs!$B$4="Chapter Hunt"),CHOOSE(ArtifactsInput!$N$27+1,20,24,28,32,36,40),0)/100)))+1)),0)</f>
        <v/>
      </c>
      <c r="S996" t="n">
        <v>0</v>
      </c>
      <c r="U996" t="n">
        <v>0</v>
      </c>
    </row>
    <row r="999">
      <c r="A999" t="inlineStr">
        <is>
          <t>Average Buff Multiplier (Magic Guard + Meditation + Artifact Attack%, summed; then Infinity)</t>
        </is>
      </c>
      <c r="B999">
        <f>(1+(IF(C975=TRUE,F975*IF(AND(Inputs!$B$38&lt;&gt;"pvp",Inputs!$B$43&gt;0),(((R975-1)*MIN((Skills!S3*(1+(Inputs!$B$34)/100)),(1/Q975))+MIN((Skills!S3*(1+(Inputs!$B$34)/100)),MAX(0,Inputs!$B$43-((R975-1)*(1/Q975)))))/Inputs!$B$43),IF(Inputs!$B$38="pvp",MIN((Skills!S3*(1+(Inputs!$B$34)/100)),15)/15,MIN(1,(Skills!S3*(1+(Inputs!$B$34)/100))/(1/Q975)))),0)+IF(C976=TRUE,F976*IF(AND(Inputs!$B$38&lt;&gt;"pvp",Inputs!$B$43&gt;0),(((R976-1)*MIN((Skills!S4*(1+(Inputs!$B$34)/100)),(1/Q976))+MIN((Skills!S4*(1+(Inputs!$B$34)/100)),MAX(0,Inputs!$B$43-((R976-1)*(1/Q976)))))/Inputs!$B$43),IF(Inputs!$B$38="pvp",MIN((Skills!S4*(1+(Inputs!$B$34)/100)),15)/15,MIN(1,(Skills!S4*(1+(Inputs!$B$34)/100))/(1/Q976)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988=TRUE,(1+F988*IF(AND(Inputs!$B$38&lt;&gt;"pvp",Inputs!$B$43&gt;0),(((R988-1)*MIN((Skills!S16*(1+(Inputs!$B$34)/100)),(1/Q988))+MIN((Skills!S16*(1+(Inputs!$B$34)/100)),MAX(0,Inputs!$B$43-((R988-1)*(1/Q988)))))/Inputs!$B$43),IF(Inputs!$B$38="pvp",MIN((Skills!S16*(1+(Inputs!$B$34)/100)),15)/15,MIN(1,(Skills!S16*(1+(Inputs!$B$34)/100))/(1/Q988))))/100),1)</f>
        <v/>
      </c>
    </row>
    <row r="1000">
      <c r="A1000" t="inlineStr">
        <is>
          <t>Monster Damage Taken Bonus % (Freezing Breath - Weaken + Elemental Reset + Artifact Enemy Damage Taken, summed)</t>
        </is>
      </c>
      <c r="B1000">
        <f>IF(Inputs!$B$3&gt;=118,15*IF(Inputs!$B$38="pvp",MIN((30*(1+(Inputs!$B$34)/100)),15)/15,MIN(1,(30*(1+(Inputs!$B$34)/100))/(1/Q980))),0)+IF(C986=TRUE,F986,0)+(IF(AND(ArtifactsInput!$M$35,Inputs!$B$4&lt;&gt;"Chapter Hunt"),CHOOSE(ArtifactsInput!$N$35+1,15,18,21,24,27,30)*(1-EXP(-(0.2*B1003)*5)),0)+IF(AND(ArtifactsInput!$M$22,Inputs!$B$4&lt;&gt;"Chapter Hunt"),CHOOSE(ArtifactsInput!$N$22+1,10,12,14,16,18,20)*((0*(((0.15*B1003*5))^0/1)+1*(((0.15*B1003*5))^1/1)+2*(((0.15*B1003*5))^2/2)+3*(((0.15*B1003*5))^3/6)+4*(((0.15*B1003*5))^4/24)+5*(((0.15*B1003*5))^5/120))/((((0.15*B1003*5))^0/1)+(((0.15*B1003*5))^1/1)+(((0.15*B1003*5))^2/2)+(((0.15*B1003*5))^3/6)+(((0.15*B1003*5))^4/24)+(((0.15*B1003*5))^5/120))),0))</f>
        <v/>
      </c>
    </row>
    <row r="1001">
      <c r="A1001" t="inlineStr">
        <is>
          <t>Damage % Bonus (Frozen Break + Frost Clutch, flat)</t>
        </is>
      </c>
      <c r="B1001">
        <f>IF(Inputs!$B$3&gt;=66,15,0)+IF(Inputs!$B$3&gt;=98,10,0)+IF(Inputs!$B$3&gt;=125,20,0)</f>
        <v/>
      </c>
    </row>
    <row r="1002">
      <c r="A1002" t="inlineStr">
        <is>
          <t>Attack Speed Bonus % (MP Eater - MP Boost, always-on + Nimble Feet, duty-cycle averaged)</t>
        </is>
      </c>
      <c r="B1002">
        <f>IF(C985=TRUE,F985+(F989-Calc!F17),0)+((C996=TRUE)*F996*IF(AND(Inputs!$B$38&lt;&gt;"pvp",Inputs!$B$43&gt;0),(((R996-1)*MIN((Skills!S24*(1+(Inputs!$B$34)/100)),(1/Q996))+MIN((Skills!S24*(1+(Inputs!$B$34)/100)),MAX(0,Inputs!$B$43-((R996-1)*(1/Q996)))))/Inputs!$B$43),IF(Inputs!$B$38="pvp",MIN((Skills!S24*(1+(Inputs!$B$34)/100)),15)/15,MIN(1,(Skills!S24*(1+(Inputs!$B$34)/100))/(1/Q996)))))</f>
        <v/>
      </c>
    </row>
    <row r="1003">
      <c r="A1003" t="inlineStr">
        <is>
          <t>Actions Per Second</t>
        </is>
      </c>
      <c r="B1003">
        <f>1+MIN(150,150*(1-(1-(Inputs!$B$11+(ArtifactsInput!$M$15-ArtifactsInput!$M$15)*CHOOSE(ArtifactsInput!$N$15+1,8,9.6,11.2,12.8,14.4,16))/150)*(1-B1002/150)))/100</f>
        <v/>
      </c>
    </row>
    <row r="1004">
      <c r="A1004" t="inlineStr">
        <is>
          <t>Skill + Buff Cast Rate</t>
        </is>
      </c>
      <c r="B1004">
        <f>IF(AND(Inputs!$B$38&lt;&gt;"pvp",Inputs!$B$43&gt;0),SUMPRODUCT((Skills!E2:E24=TRUE)*(C974:C996=TRUE)*R974:R996)/Inputs!$B$43,SUMPRODUCT((Skills!E2:E24=TRUE)*(C974:C996=TRUE)*Q974:Q996))</f>
        <v/>
      </c>
    </row>
    <row r="1005">
      <c r="A1005" t="inlineStr">
        <is>
          <t>Chain Lightning Casts Per Second</t>
        </is>
      </c>
      <c r="B1005">
        <f>MAX(0,B1003-B1004)</f>
        <v/>
      </c>
    </row>
    <row r="1006">
      <c r="A1006" t="inlineStr">
        <is>
          <t>Buff-Casting Startup Delay (s, fixed-duration only)</t>
        </is>
      </c>
      <c r="B1006">
        <f>IF(AND(Inputs!$B$38&lt;&gt;"pvp",Inputs!$B$43&gt;0),SUMPRODUCT((Skills!S2:S24&gt;0)*(Skills!E2:E24=TRUE)*(C974:C996=TRUE))/B1003,0)</f>
        <v/>
      </c>
    </row>
    <row r="1007">
      <c r="A1007" t="inlineStr">
        <is>
          <t>Boss-Only Total DPS (this block's swept value)</t>
        </is>
      </c>
      <c r="B1007">
        <f>SUM(S974:S996)</f>
        <v/>
      </c>
    </row>
    <row r="1008">
      <c r="A1008" t="inlineStr">
        <is>
          <t>Normal-Only Total DPS (this block's swept value)</t>
        </is>
      </c>
      <c r="B1008">
        <f>SUM(U974:U996)</f>
        <v/>
      </c>
    </row>
    <row r="1009">
      <c r="A1009" s="6" t="inlineStr">
        <is>
          <t>TOTAL DPS</t>
        </is>
      </c>
      <c r="B1009" s="6">
        <f>SUM(O974:O996)</f>
        <v/>
      </c>
    </row>
    <row r="1010">
      <c r="A1010" t="inlineStr">
        <is>
          <t>Blizzard Final Attack trigger rate (this block's own Q/R)</t>
        </is>
      </c>
      <c r="B1010">
        <f>IF(AND(Inputs!$B$38&lt;&gt;"pvp",Inputs!$B$43&gt;0),(((C977=TRUE)*R977*1)+((C978=TRUE)*R978*1)+((C980=TRUE)*R980*1)+((C981=TRUE)*R981*3)+((C983=TRUE)*R983*1))/Inputs!$B$43,((C977=TRUE)*Q977*1)+((C978=TRUE)*Q978*1)+((C980=TRUE)*Q980*1)+((C981=TRUE)*Q981*3)+((C983=TRUE)*Q983*1))+B1005</f>
        <v/>
      </c>
    </row>
    <row r="1013">
      <c r="A1013" s="6" t="inlineStr">
        <is>
          <t>Stat: Basic Attack Target Increase (flat)</t>
        </is>
      </c>
    </row>
    <row r="1014">
      <c r="A1014" s="5" t="inlineStr">
        <is>
          <t>Key</t>
        </is>
      </c>
      <c r="B1014" s="5" t="inlineStr">
        <is>
          <t>Name</t>
        </is>
      </c>
      <c r="C1014" s="5" t="inlineStr">
        <is>
          <t>Unlocked</t>
        </is>
      </c>
      <c r="D1014" s="5" t="inlineStr">
        <is>
          <t>InputLevel</t>
        </is>
      </c>
      <c r="E1014" s="5" t="inlineStr">
        <is>
          <t>Factor</t>
        </is>
      </c>
      <c r="F1014" s="5" t="inlineStr">
        <is>
          <t>CoefficientPercent</t>
        </is>
      </c>
      <c r="G1014" s="5" t="inlineStr">
        <is>
          <t>EffectiveHits</t>
        </is>
      </c>
      <c r="H1014" s="5" t="inlineStr">
        <is>
          <t>ProcProbability</t>
        </is>
      </c>
      <c r="I1014" s="5" t="inlineStr">
        <is>
          <t>MapleHeroMultiplier</t>
        </is>
      </c>
      <c r="J1014" s="5" t="inlineStr">
        <is>
          <t>BaseDamage</t>
        </is>
      </c>
      <c r="K1014" s="5" t="inlineStr">
        <is>
          <t>BaseHitDamage</t>
        </is>
      </c>
      <c r="L1014" s="5" t="inlineStr">
        <is>
          <t>NonCritAvg</t>
        </is>
      </c>
      <c r="M1014" s="5" t="inlineStr">
        <is>
          <t>CritAvg</t>
        </is>
      </c>
      <c r="N1014" s="5" t="inlineStr">
        <is>
          <t>ExpectedDamage(perHit)</t>
        </is>
      </c>
      <c r="O1014" s="5" t="inlineStr">
        <is>
          <t>DPS</t>
        </is>
      </c>
      <c r="P1014" s="5" t="inlineStr">
        <is>
          <t>% of Total</t>
        </is>
      </c>
      <c r="R1014" t="inlineStr">
        <is>
          <t>helpers</t>
        </is>
      </c>
    </row>
    <row r="1015">
      <c r="A1015">
        <f>Skills!A2</f>
        <v/>
      </c>
      <c r="B1015">
        <f>Skills!B2</f>
        <v/>
      </c>
      <c r="C1015">
        <f>Inputs!$B$3&gt;=100</f>
        <v/>
      </c>
      <c r="D1015" t="inlineStr"/>
      <c r="E1015" t="inlineStr"/>
      <c r="F1015">
        <f>T1017+Skills!N2</f>
        <v/>
      </c>
      <c r="G1015">
        <f>Calc!G2</f>
        <v/>
      </c>
      <c r="H1015">
        <f>Calc!H2</f>
        <v/>
      </c>
      <c r="I1015">
        <f>IF(Skills!T2&lt;&gt;"",1+(Skills!T2/10)*(Z1016/1000)/100,1)</f>
        <v/>
      </c>
      <c r="J1015">
        <f>((Inputs!$B$6*(1+Inputs!$B$7/100))+(((Inputs!$B$12*(1+Inputs!$B$13/100))-(Inputs!$B$12*(1+Inputs!$B$13/100)))+0.25*(Inputs!$B$14-Inputs!$B$14))*(1+Inputs!$B$7/100))*(F1015/100)</f>
        <v/>
      </c>
      <c r="K1015">
        <f>J1015*(1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2="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1015)</f>
        <v/>
      </c>
      <c r="L1015">
        <f>K1015*(MIN(Inputs!$B$22+(F1031-Calc!F18),(Inputs!$B$23+(IF(ArtifactsInput!$M$15,CHOOSE(ArtifactsInput!$N$15+1,25,30,35,40,45,50)/100*(Inputs!$B$11-Inputs!$B$11),0))))/100+(Inputs!$B$23+(IF(ArtifactsInput!$M$15,CHOOSE(ArtifactsInput!$N$15+1,25,30,35,40,45,50)/100*(Inputs!$B$11-Inputs!$B$11),0)))/100)/2</f>
        <v/>
      </c>
      <c r="M1015">
        <f>L1015*(1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5">
        <f>L1015*(1-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1015*(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5">
        <f>(1-Summary!$B$11)*S1015+Summary!$B$11*U1015</f>
        <v/>
      </c>
      <c r="P1015">
        <f>IF(B1050=0,0,O1015/B1050)</f>
        <v/>
      </c>
      <c r="Q1015">
        <f>IFERROR(1/(IF(Inputs!$B$38="pvp",15,MAX(0.1,Skills!D2-IF(TRUE=TRUE,Inputs!$B$32,0)))*(1-IF(AND(ArtifactsInput!$M$27,Inputs!$B$4="Chapter Hunt"),CHOOSE(ArtifactsInput!$N$27+1,20,24,28,32,36,40),0)/100)),0)</f>
        <v/>
      </c>
      <c r="R1015" t="n">
        <v>0</v>
      </c>
      <c r="S1015">
        <f>IF(C1015,(Skills!F2*N1015*B1046)*IF(Inputs!$B$38="pvp",1,1+(Inputs!$B$20+Skills!O2+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1015*(1-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1015*(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1015*(1-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1015*(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15">
        <f>MAX(0,(Inputs!$B$3-100)*3)+Inputs!$B$28+Inputs!$B$29</f>
        <v/>
      </c>
      <c r="U1015">
        <f>IF(C1015,(Skills!F2*N1015*B1046)*IF(Inputs!$B$38="pvp",1,(1+(Inputs!$B$21+Skills!P2+B1041+(IF(ArtifactsInput!$M$33,CHOOSE(ArtifactsInput!$N$33+1,30,36,42,48,54,60),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015">
        <f>MAX(0,(Inputs!$B$3-100)*3)+Inputs!$B$28+Inputs!$B$29</f>
        <v/>
      </c>
    </row>
    <row r="1016">
      <c r="A1016">
        <f>Skills!A3</f>
        <v/>
      </c>
      <c r="B1016">
        <f>Skills!B3</f>
        <v/>
      </c>
      <c r="C1016">
        <f>Inputs!$B$3&gt;=15</f>
        <v/>
      </c>
      <c r="D1016">
        <f>IF(Skills!C3=1,60+Inputs!$B$25+Inputs!$B$29,IF(Skills!C3=2,90+Inputs!$B$26+Inputs!$B$29,IF(Skills!C3=3,120+Inputs!$B$27+Inputs!$B$29,MAX(0,(Inputs!$B$3-100)*3)+Inputs!$B$28+Inputs!$B$29)))</f>
        <v/>
      </c>
      <c r="E1016">
        <f>INDEX(FactorTable!$B$2:$Y$301, MATCH(ROUND(MIN(300,MAX(1,D1016)),0), FactorTable!$A$2:$A$301,0), Skills!L3+1)</f>
        <v/>
      </c>
      <c r="F1016">
        <f>IF(Skills!M3=TRUE,(Skills!K3/10)*(E1016/1000),Skills!K3/10)+Skills!N3</f>
        <v/>
      </c>
      <c r="G1016">
        <f>Calc!G3</f>
        <v/>
      </c>
      <c r="H1016">
        <f>Calc!H3</f>
        <v/>
      </c>
      <c r="I1016">
        <f>IF(Skills!T3&lt;&gt;"",1+(Skills!T3/10)*(Z1016/1000)/100,1)</f>
        <v/>
      </c>
      <c r="J1016" t="inlineStr"/>
      <c r="K1016" t="inlineStr"/>
      <c r="L1016" t="inlineStr"/>
      <c r="M1016" t="inlineStr"/>
      <c r="N1016" t="inlineStr"/>
      <c r="O1016">
        <f>(1-Summary!$B$11)*S1016+Summary!$B$11*U1016</f>
        <v/>
      </c>
      <c r="P1016">
        <f>IF(B1050=0,0,O1016/B1050)</f>
        <v/>
      </c>
      <c r="Q1016">
        <f>IFERROR(1/(IF(Inputs!$B$38="pvp",15,MAX(0.1,Skills!D3-IF(TRUE=TRUE,Inputs!$B$32,0)))*(1-IF(AND(ArtifactsInput!$M$27,Inputs!$B$4="Chapter Hunt"),CHOOSE(ArtifactsInput!$N$27+1,20,24,28,32,36,40),0)/100)),0)</f>
        <v/>
      </c>
      <c r="R1016">
        <f>IF(AND(Inputs!$B$38&lt;&gt;"pvp",Inputs!$B$43&gt;0),IF(Inputs!$B$43&lt;=0,0,(INT(Inputs!$B$43/(IF(Inputs!$B$38="pvp",15,MAX(0.1,Skills!D3-IF(TRUE=TRUE,Inputs!$B$32,0)))*(1-IF(AND(ArtifactsInput!$M$27,Inputs!$B$4="Chapter Hunt"),CHOOSE(ArtifactsInput!$N$27+1,20,24,28,32,36,40),0)/100)))+1)),0)</f>
        <v/>
      </c>
      <c r="S1016" t="n">
        <v>0</v>
      </c>
      <c r="T1016">
        <f>INDEX(FactorTable!$B$2:$Y$301, MATCH(ROUND(MIN(300,MAX(1,T1015)),0), FactorTable!$A$2:$A$301,0), 22)</f>
        <v/>
      </c>
      <c r="U1016" t="n">
        <v>0</v>
      </c>
      <c r="Z1016">
        <f>INDEX(FactorTable!$B$2:$Y$301, MATCH(ROUND(MIN(300,MAX(1,Z1015)),0), FactorTable!$A$2:$A$301,0), 24)</f>
        <v/>
      </c>
    </row>
    <row r="1017">
      <c r="A1017">
        <f>Skills!A4</f>
        <v/>
      </c>
      <c r="B1017">
        <f>Skills!B4</f>
        <v/>
      </c>
      <c r="C1017">
        <f>Inputs!$B$3&gt;=40</f>
        <v/>
      </c>
      <c r="D1017">
        <f>IF(Skills!C4=1,60+Inputs!$B$25+Inputs!$B$29,IF(Skills!C4=2,90+Inputs!$B$26+Inputs!$B$29,IF(Skills!C4=3,120+Inputs!$B$27+Inputs!$B$29,MAX(0,(Inputs!$B$3-100)*3)+Inputs!$B$28+Inputs!$B$29)))</f>
        <v/>
      </c>
      <c r="E1017">
        <f>INDEX(FactorTable!$B$2:$Y$301, MATCH(ROUND(MIN(300,MAX(1,D1017)),0), FactorTable!$A$2:$A$301,0), Skills!L4+1)</f>
        <v/>
      </c>
      <c r="F1017">
        <f>IF(Skills!M4=TRUE,(Skills!K4/10)*(E1017/1000),Skills!K4/10)+Skills!N4</f>
        <v/>
      </c>
      <c r="G1017">
        <f>Calc!G4</f>
        <v/>
      </c>
      <c r="H1017">
        <f>Calc!H4</f>
        <v/>
      </c>
      <c r="I1017">
        <f>IF(Skills!T4&lt;&gt;"",1+(Skills!T4/10)*(Z1016/1000)/100,1)</f>
        <v/>
      </c>
      <c r="J1017" t="inlineStr"/>
      <c r="K1017" t="inlineStr"/>
      <c r="L1017" t="inlineStr"/>
      <c r="M1017" t="inlineStr"/>
      <c r="N1017" t="inlineStr"/>
      <c r="O1017">
        <f>(1-Summary!$B$11)*S1017+Summary!$B$11*U1017</f>
        <v/>
      </c>
      <c r="P1017">
        <f>IF(B1050=0,0,O1017/B1050)</f>
        <v/>
      </c>
      <c r="Q1017">
        <f>IFERROR(1/(IF(Inputs!$B$38="pvp",15,MAX(0.1,Skills!D4-IF(TRUE=TRUE,Inputs!$B$32,0)))*(1-IF(AND(ArtifactsInput!$M$27,Inputs!$B$4="Chapter Hunt"),CHOOSE(ArtifactsInput!$N$27+1,20,24,28,32,36,40),0)/100)),0)</f>
        <v/>
      </c>
      <c r="R1017">
        <f>IF(AND(Inputs!$B$38&lt;&gt;"pvp",Inputs!$B$43&gt;0),IF(Inputs!$B$43&lt;=0,0,(INT(Inputs!$B$43/(IF(Inputs!$B$38="pvp",15,MAX(0.1,Skills!D4-IF(TRUE=TRUE,Inputs!$B$32,0)))*(1-IF(AND(ArtifactsInput!$M$27,Inputs!$B$4="Chapter Hunt"),CHOOSE(ArtifactsInput!$N$27+1,20,24,28,32,36,40),0)/100)))+1)),0)</f>
        <v/>
      </c>
      <c r="S1017" t="n">
        <v>0</v>
      </c>
      <c r="T1017">
        <f>290*T1016/1000</f>
        <v/>
      </c>
      <c r="U1017" t="n">
        <v>0</v>
      </c>
    </row>
    <row r="1018">
      <c r="A1018">
        <f>Skills!A5</f>
        <v/>
      </c>
      <c r="B1018">
        <f>Skills!B5</f>
        <v/>
      </c>
      <c r="C1018">
        <f>Inputs!$B$3&gt;=38</f>
        <v/>
      </c>
      <c r="D1018">
        <f>IF(Skills!C5=1,60+Inputs!$B$25+Inputs!$B$29,IF(Skills!C5=2,90+Inputs!$B$26+Inputs!$B$29,IF(Skills!C5=3,120+Inputs!$B$27+Inputs!$B$29,MAX(0,(Inputs!$B$3-100)*3)+Inputs!$B$28+Inputs!$B$29)))</f>
        <v/>
      </c>
      <c r="E1018">
        <f>INDEX(FactorTable!$B$2:$Y$301, MATCH(ROUND(MIN(300,MAX(1,D1018)),0), FactorTable!$A$2:$A$301,0), Skills!L5+1)</f>
        <v/>
      </c>
      <c r="F1018">
        <f>IF(Skills!M5=TRUE,(Skills!K5/10)*(E1018/1000),Skills!K5/10)+Skills!N5</f>
        <v/>
      </c>
      <c r="G1018">
        <f>Calc!G5</f>
        <v/>
      </c>
      <c r="H1018">
        <f>Calc!H5</f>
        <v/>
      </c>
      <c r="I1018">
        <f>IF(Skills!T5&lt;&gt;"",1+(Skills!T5/10)*(Z1016/1000)/100,1)</f>
        <v/>
      </c>
      <c r="J1018">
        <f>((Inputs!$B$6*(1+Inputs!$B$7/100))+(((Inputs!$B$12*(1+Inputs!$B$13/100))-(Inputs!$B$12*(1+Inputs!$B$13/100)))+0.25*(Inputs!$B$14-Inputs!$B$14))*(1+Inputs!$B$7/100))*(F1018/100)</f>
        <v/>
      </c>
      <c r="K1018">
        <f>J1018*(1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5="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1018)</f>
        <v/>
      </c>
      <c r="L1018">
        <f>K1018*(MIN(Inputs!$B$22+(F1031-Calc!F18),(Inputs!$B$23+(IF(ArtifactsInput!$M$15,CHOOSE(ArtifactsInput!$N$15+1,25,30,35,40,45,50)/100*(Inputs!$B$11-Inputs!$B$11),0))))/100+(Inputs!$B$23+(IF(ArtifactsInput!$M$15,CHOOSE(ArtifactsInput!$N$15+1,25,30,35,40,45,50)/100*(Inputs!$B$11-Inputs!$B$11),0)))/100)/2</f>
        <v/>
      </c>
      <c r="M1018">
        <f>L1018*(1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8">
        <f>L1018*(1-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1018*(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8">
        <f>(1-Summary!$B$11)*S1018+Summary!$B$11*U1018</f>
        <v/>
      </c>
      <c r="P1018">
        <f>IF(B1050=0,0,O1018/B1050)</f>
        <v/>
      </c>
      <c r="Q1018">
        <f>IFERROR(1/(IF(Inputs!$B$38="pvp",15,MAX(0.1,Skills!D5-IF(TRUE=TRUE,Inputs!$B$32,0)))*(1-IF(AND(ArtifactsInput!$M$27,Inputs!$B$4="Chapter Hunt"),CHOOSE(ArtifactsInput!$N$27+1,20,24,28,32,36,40),0)/100)),0)</f>
        <v/>
      </c>
      <c r="R1018">
        <f>IF(AND(Inputs!$B$38&lt;&gt;"pvp",Inputs!$B$43&gt;0),IF(MAX(0,Inputs!$B$43-B1047)&lt;=0,0,(INT(MAX(0,Inputs!$B$43-B1047)/(IF(Inputs!$B$38="pvp",15,MAX(0.1,Skills!D5-IF(TRUE=TRUE,Inputs!$B$32,0)))*(1-IF(AND(ArtifactsInput!$M$27,Inputs!$B$4="Chapter Hunt"),CHOOSE(ArtifactsInput!$N$27+1,20,24,28,32,36,40),0)/100)))+1)),0)</f>
        <v/>
      </c>
      <c r="S1018">
        <f>IF(C1018,(H1018*N1018*IF(AND(Inputs!$B$38&lt;&gt;"pvp",Inputs!$B$43&gt;0),((Skills!F5*((R1018-1)*IF(Skills!G5&gt;0,Skills!H5/Skills!G5,1)+IF(Skills!G5&gt;0,MIN(Skills!H5,MAX(0,MAX(0,Inputs!$B$43-B1047)-((R1018-1)*(IF(Inputs!$B$38="pvp",15,MAX(0.1,Skills!D5-IF(TRUE=TRUE,Inputs!$B$32,0)))*(1-IF(AND(ArtifactsInput!$M$27,Inputs!$B$4="Chapter Hunt"),CHOOSE(ArtifactsInput!$N$27+1,20,24,28,32,36,40),0)/100)))))/Skills!G5,1)))/Inputs!$B$43),G1018*Q1018))*IF(Inputs!$B$38="pvp",1,1+(Inputs!$B$20+Skills!O5+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1018*(1-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1018*(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1018*(1-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1018*(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8">
        <f>IF(C1018,(H1018*N1018*IF(AND(Inputs!$B$38&lt;&gt;"pvp",Inputs!$B$43&gt;0),((Skills!F5*((R1018-1)*IF(Skills!G5&gt;0,Skills!H5/Skills!G5,1)+IF(Skills!G5&gt;0,MIN(Skills!H5,MAX(0,MAX(0,Inputs!$B$43-B1047)-((R1018-1)*(IF(Inputs!$B$38="pvp",15,MAX(0.1,Skills!D5-IF(TRUE=TRUE,Inputs!$B$32,0)))*(1-IF(AND(ArtifactsInput!$M$27,Inputs!$B$4="Chapter Hunt"),CHOOSE(ArtifactsInput!$N$27+1,20,24,28,32,36,40),0)/100)))))/Skills!G5,1)))/Inputs!$B$43),G1018*Q1018))*IF(Inputs!$B$38="pvp",1,(1+(Inputs!$B$21+Skills!P5+B1041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9">
      <c r="A1019">
        <f>Skills!A6</f>
        <v/>
      </c>
      <c r="B1019">
        <f>Skills!B6</f>
        <v/>
      </c>
      <c r="C1019">
        <f>Inputs!$B$3&gt;=63</f>
        <v/>
      </c>
      <c r="D1019">
        <f>IF(Skills!C6=1,60+Inputs!$B$25+Inputs!$B$29,IF(Skills!C6=2,90+Inputs!$B$26+Inputs!$B$29,IF(Skills!C6=3,120+Inputs!$B$27+Inputs!$B$29,MAX(0,(Inputs!$B$3-100)*3)+Inputs!$B$28+Inputs!$B$29)))</f>
        <v/>
      </c>
      <c r="E1019">
        <f>INDEX(FactorTable!$B$2:$Y$301, MATCH(ROUND(MIN(300,MAX(1,D1019)),0), FactorTable!$A$2:$A$301,0), Skills!L6+1)</f>
        <v/>
      </c>
      <c r="F1019">
        <f>IF(Skills!M6=TRUE,(Skills!K6/10)*(E1019/1000),Skills!K6/10)+Skills!N6</f>
        <v/>
      </c>
      <c r="G1019">
        <f>Calc!G6</f>
        <v/>
      </c>
      <c r="H1019">
        <f>Calc!H6</f>
        <v/>
      </c>
      <c r="I1019">
        <f>IF(Skills!T6&lt;&gt;"",1+(Skills!T6/10)*(Z1016/1000)/100,1)</f>
        <v/>
      </c>
      <c r="J1019">
        <f>((Inputs!$B$6*(1+Inputs!$B$7/100))+(((Inputs!$B$12*(1+Inputs!$B$13/100))-(Inputs!$B$12*(1+Inputs!$B$13/100)))+0.25*(Inputs!$B$14-Inputs!$B$14))*(1+Inputs!$B$7/100))*(F1019/100)</f>
        <v/>
      </c>
      <c r="K1019">
        <f>J1019*(1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6="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1019)</f>
        <v/>
      </c>
      <c r="L1019">
        <f>K1019*(MIN(Inputs!$B$22+(F1031-Calc!F18),(Inputs!$B$23+(IF(ArtifactsInput!$M$15,CHOOSE(ArtifactsInput!$N$15+1,25,30,35,40,45,50)/100*(Inputs!$B$11-Inputs!$B$11),0))))/100+(Inputs!$B$23+(IF(ArtifactsInput!$M$15,CHOOSE(ArtifactsInput!$N$15+1,25,30,35,40,45,50)/100*(Inputs!$B$11-Inputs!$B$11),0)))/100)/2</f>
        <v/>
      </c>
      <c r="M1019">
        <f>L1019*(1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9">
        <f>L1019*(1-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1019*(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9">
        <f>(1-Summary!$B$11)*S1019+Summary!$B$11*U1019</f>
        <v/>
      </c>
      <c r="P1019">
        <f>IF(B1050=0,0,O1019/B1050)</f>
        <v/>
      </c>
      <c r="Q1019">
        <f>IFERROR(1/(IF(Inputs!$B$38="pvp",15,MAX(0.1,Skills!D6-IF(TRUE=TRUE,Inputs!$B$32,0)))*(1-IF(AND(ArtifactsInput!$M$27,Inputs!$B$4="Chapter Hunt"),CHOOSE(ArtifactsInput!$N$27+1,20,24,28,32,36,40),0)/100)),0)</f>
        <v/>
      </c>
      <c r="R1019">
        <f>IF(AND(Inputs!$B$38&lt;&gt;"pvp",Inputs!$B$43&gt;0),IF(MAX(0,Inputs!$B$43-B1047)&lt;=0,0,(INT(MAX(0,Inputs!$B$43-B1047)/(IF(Inputs!$B$38="pvp",15,MAX(0.1,Skills!D6-IF(TRUE=TRUE,Inputs!$B$32,0)))*(1-IF(AND(ArtifactsInput!$M$27,Inputs!$B$4="Chapter Hunt"),CHOOSE(ArtifactsInput!$N$27+1,20,24,28,32,36,40),0)/100)))+1)),0)</f>
        <v/>
      </c>
      <c r="S1019">
        <f>IF(C1019,(H1019*N1019*IF(AND(Inputs!$B$38&lt;&gt;"pvp",Inputs!$B$43&gt;0),((Skills!F6*((R1019-1)*IF(Skills!G6&gt;0,Skills!H6/Skills!G6,1)+IF(Skills!G6&gt;0,MIN(Skills!H6,MAX(0,MAX(0,Inputs!$B$43-B1047)-((R1019-1)*(IF(Inputs!$B$38="pvp",15,MAX(0.1,Skills!D6-IF(TRUE=TRUE,Inputs!$B$32,0)))*(1-IF(AND(ArtifactsInput!$M$27,Inputs!$B$4="Chapter Hunt"),CHOOSE(ArtifactsInput!$N$27+1,20,24,28,32,36,40),0)/100)))))/Skills!G6,1)))/Inputs!$B$43),G1019*Q1019))*IF(Inputs!$B$38="pvp",1,1+(Inputs!$B$20+Skills!O6+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1019*(1-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1019*(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1019*(1-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1019*(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9">
        <f>IF(C1019,(H1019*N1019*IF(AND(Inputs!$B$38&lt;&gt;"pvp",Inputs!$B$43&gt;0),((Skills!F6*((R1019-1)*IF(Skills!G6&gt;0,Skills!H6/Skills!G6,1)+IF(Skills!G6&gt;0,MIN(Skills!H6,MAX(0,MAX(0,Inputs!$B$43-B1047)-((R1019-1)*(IF(Inputs!$B$38="pvp",15,MAX(0.1,Skills!D6-IF(TRUE=TRUE,Inputs!$B$32,0)))*(1-IF(AND(ArtifactsInput!$M$27,Inputs!$B$4="Chapter Hunt"),CHOOSE(ArtifactsInput!$N$27+1,20,24,28,32,36,40),0)/100)))))/Skills!G6,1)))/Inputs!$B$43),G1019*Q1019))*IF(Inputs!$B$38="pvp",1,(1+(Inputs!$B$21+Skills!P6+B1041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0">
      <c r="A1020">
        <f>Skills!A7</f>
        <v/>
      </c>
      <c r="B1020">
        <f>Skills!B7</f>
        <v/>
      </c>
      <c r="C1020">
        <f>Inputs!$B$3&gt;=69</f>
        <v/>
      </c>
      <c r="D1020">
        <f>IF(Skills!C7=1,60+Inputs!$B$25+Inputs!$B$29,IF(Skills!C7=2,90+Inputs!$B$26+Inputs!$B$29,IF(Skills!C7=3,120+Inputs!$B$27+Inputs!$B$29,MAX(0,(Inputs!$B$3-100)*3)+Inputs!$B$28+Inputs!$B$29)))</f>
        <v/>
      </c>
      <c r="E1020">
        <f>INDEX(FactorTable!$B$2:$Y$301, MATCH(ROUND(MIN(300,MAX(1,D1020)),0), FactorTable!$A$2:$A$301,0), Skills!L7+1)</f>
        <v/>
      </c>
      <c r="F1020">
        <f>IF(Skills!M7=TRUE,(Skills!K7/10)*(E1020/1000),Skills!K7/10)+Skills!N7</f>
        <v/>
      </c>
      <c r="G1020">
        <f>Calc!G7</f>
        <v/>
      </c>
      <c r="H1020">
        <f>Calc!H7</f>
        <v/>
      </c>
      <c r="I1020">
        <f>IF(Skills!T7&lt;&gt;"",1+(Skills!T7/10)*(Z1016/1000)/100,1)</f>
        <v/>
      </c>
      <c r="J1020">
        <f>((Inputs!$B$6*(1+Inputs!$B$7/100))+(((Inputs!$B$12*(1+Inputs!$B$13/100))-(Inputs!$B$12*(1+Inputs!$B$13/100)))+0.25*(Inputs!$B$14-Inputs!$B$14))*(1+Inputs!$B$7/100))*(F1020/100)</f>
        <v/>
      </c>
      <c r="K1020">
        <f>J1020*(1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7="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1020)</f>
        <v/>
      </c>
      <c r="L1020">
        <f>K1020*(MIN(Inputs!$B$22+(F1031-Calc!F18),(Inputs!$B$23+(IF(ArtifactsInput!$M$15,CHOOSE(ArtifactsInput!$N$15+1,25,30,35,40,45,50)/100*(Inputs!$B$11-Inputs!$B$11),0))))/100+(Inputs!$B$23+(IF(ArtifactsInput!$M$15,CHOOSE(ArtifactsInput!$N$15+1,25,30,35,40,45,50)/100*(Inputs!$B$11-Inputs!$B$11),0)))/100)/2</f>
        <v/>
      </c>
      <c r="M1020">
        <f>L1020*(1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0">
        <f>L1020*(1-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1020*(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0">
        <f>(1-Summary!$B$11)*S1020+Summary!$B$11*U1020</f>
        <v/>
      </c>
      <c r="P1020">
        <f>IF(B1050=0,0,O1020/B1050)</f>
        <v/>
      </c>
      <c r="Q1020">
        <f>IFERROR(1/(IF(Inputs!$B$38="pvp",15,MAX(0.1,Skills!D7-IF(TRUE=TRUE,Inputs!$B$32,0)))*(1-IF(AND(ArtifactsInput!$M$27,Inputs!$B$4="Chapter Hunt"),CHOOSE(ArtifactsInput!$N$27+1,20,24,28,32,36,40),0)/100)),0)</f>
        <v/>
      </c>
      <c r="R1020">
        <f>IF(AND(Inputs!$B$38&lt;&gt;"pvp",Inputs!$B$43&gt;0),IF(MAX(0,Inputs!$B$43-B1047)&lt;=0,0,(INT(MAX(0,Inputs!$B$43-B1047)/(IF(Inputs!$B$38="pvp",15,MAX(0.1,Skills!D7-IF(TRUE=TRUE,Inputs!$B$32,0)))*(1-IF(AND(ArtifactsInput!$M$27,Inputs!$B$4="Chapter Hunt"),CHOOSE(ArtifactsInput!$N$27+1,20,24,28,32,36,40),0)/100)))+1)),0)</f>
        <v/>
      </c>
      <c r="S1020">
        <f>IF(C1020,(H1020*N1020*IF(AND(Inputs!$B$38&lt;&gt;"pvp",Inputs!$B$43&gt;0),((Skills!F7*((R1020-1)*IF(Skills!G7&gt;0,Skills!H7/Skills!G7,1)+IF(Skills!G7&gt;0,MIN(Skills!H7,MAX(0,MAX(0,Inputs!$B$43-B1047)-((R1020-1)*(IF(Inputs!$B$38="pvp",15,MAX(0.1,Skills!D7-IF(TRUE=TRUE,Inputs!$B$32,0)))*(1-IF(AND(ArtifactsInput!$M$27,Inputs!$B$4="Chapter Hunt"),CHOOSE(ArtifactsInput!$N$27+1,20,24,28,32,36,40),0)/100)))))/Skills!G7,1)))/Inputs!$B$43),G1020*Q1020))*IF(Inputs!$B$38="pvp",1,1+(Inputs!$B$20+Skills!O7+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1020*(1-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1020*(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1020*(1-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1020*(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0">
        <f>IF(C1020,(H1020*N1020*IF(AND(Inputs!$B$38&lt;&gt;"pvp",Inputs!$B$43&gt;0),((Skills!F7*((R1020-1)*IF(Skills!G7&gt;0,Skills!H7/Skills!G7,1)+IF(Skills!G7&gt;0,MIN(Skills!H7,MAX(0,MAX(0,Inputs!$B$43-B1047)-((R1020-1)*(IF(Inputs!$B$38="pvp",15,MAX(0.1,Skills!D7-IF(TRUE=TRUE,Inputs!$B$32,0)))*(1-IF(AND(ArtifactsInput!$M$27,Inputs!$B$4="Chapter Hunt"),CHOOSE(ArtifactsInput!$N$27+1,20,24,28,32,36,40),0)/100)))))/Skills!G7,1)))/Inputs!$B$43),G1020*Q1020))*IF(Inputs!$B$38="pvp",1,(1+(Inputs!$B$21+Skills!P7+B1041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1">
      <c r="A1021">
        <f>Skills!A8</f>
        <v/>
      </c>
      <c r="B1021">
        <f>Skills!B8</f>
        <v/>
      </c>
      <c r="C1021">
        <f>Inputs!$B$3&gt;=103</f>
        <v/>
      </c>
      <c r="D1021">
        <f>IF(Skills!C8=1,60+Inputs!$B$25+Inputs!$B$29,IF(Skills!C8=2,90+Inputs!$B$26+Inputs!$B$29,IF(Skills!C8=3,120+Inputs!$B$27+Inputs!$B$29,MAX(0,(Inputs!$B$3-100)*3)+Inputs!$B$28+Inputs!$B$29)))</f>
        <v/>
      </c>
      <c r="E1021">
        <f>INDEX(FactorTable!$B$2:$Y$301, MATCH(ROUND(MIN(300,MAX(1,D1021)),0), FactorTable!$A$2:$A$301,0), Skills!L8+1)</f>
        <v/>
      </c>
      <c r="F1021">
        <f>IF(Skills!M8=TRUE,(Skills!K8/10)*(E1021/1000),Skills!K8/10)+Skills!N8</f>
        <v/>
      </c>
      <c r="G1021">
        <f>Calc!G8</f>
        <v/>
      </c>
      <c r="H1021">
        <f>Calc!H8</f>
        <v/>
      </c>
      <c r="I1021">
        <f>IF(Skills!T8&lt;&gt;"",1+(Skills!T8/10)*(Z1016/1000)/100,1)</f>
        <v/>
      </c>
      <c r="J1021">
        <f>((Inputs!$B$6*(1+Inputs!$B$7/100))+(((Inputs!$B$12*(1+Inputs!$B$13/100))-(Inputs!$B$12*(1+Inputs!$B$13/100)))+0.25*(Inputs!$B$14-Inputs!$B$14))*(1+Inputs!$B$7/100))*(F1021/100)</f>
        <v/>
      </c>
      <c r="K1021">
        <f>J1021*(1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8="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1021)</f>
        <v/>
      </c>
      <c r="L1021">
        <f>K1021*(MIN(Inputs!$B$22+(F1031-Calc!F18),(Inputs!$B$23+(IF(ArtifactsInput!$M$15,CHOOSE(ArtifactsInput!$N$15+1,25,30,35,40,45,50)/100*(Inputs!$B$11-Inputs!$B$11),0))))/100+(Inputs!$B$23+(IF(ArtifactsInput!$M$15,CHOOSE(ArtifactsInput!$N$15+1,25,30,35,40,45,50)/100*(Inputs!$B$11-Inputs!$B$11),0)))/100)/2</f>
        <v/>
      </c>
      <c r="M1021">
        <f>L1021*(1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1">
        <f>L1021*(1-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1">
        <f>(1-Summary!$B$11)*S1021+Summary!$B$11*U1021</f>
        <v/>
      </c>
      <c r="P1021">
        <f>IF(B1050=0,0,O1021/B1050)</f>
        <v/>
      </c>
      <c r="Q1021">
        <f>IFERROR(1/(IF(Inputs!$B$38="pvp",15,MAX(0.1,Skills!D8-IF(TRUE=TRUE,Inputs!$B$32,0)))*(1-IF(AND(ArtifactsInput!$M$27,Inputs!$B$4="Chapter Hunt"),CHOOSE(ArtifactsInput!$N$27+1,20,24,28,32,36,40),0)/100)),0)</f>
        <v/>
      </c>
      <c r="R1021">
        <f>IF(AND(Inputs!$B$38&lt;&gt;"pvp",Inputs!$B$43&gt;0),IF(MAX(0,Inputs!$B$43-B1047)&lt;=0,0,(INT(MAX(0,Inputs!$B$43-B1047)/(IF(Inputs!$B$38="pvp",15,MAX(0.1,Skills!D8-IF(TRUE=TRUE,Inputs!$B$32,0)))*(1-IF(AND(ArtifactsInput!$M$27,Inputs!$B$4="Chapter Hunt"),CHOOSE(ArtifactsInput!$N$27+1,20,24,28,32,36,40),0)/100)))+1)),0)</f>
        <v/>
      </c>
      <c r="S1021">
        <f>IF(C1021,(H1021*N1021*IF(AND(Inputs!$B$38&lt;&gt;"pvp",Inputs!$B$43&gt;0),((Skills!F8*((R1021-1)*IF(Skills!G8&gt;0,Skills!H8/Skills!G8,1)+IF(Skills!G8&gt;0,MIN(Skills!H8,MAX(0,MAX(0,Inputs!$B$43-B1047)-((R1021-1)*(IF(Inputs!$B$38="pvp",15,MAX(0.1,Skills!D8-IF(TRUE=TRUE,Inputs!$B$32,0)))*(1-IF(AND(ArtifactsInput!$M$27,Inputs!$B$4="Chapter Hunt"),CHOOSE(ArtifactsInput!$N$27+1,20,24,28,32,36,40),0)/100)))))/Skills!G8,1)))/Inputs!$B$43),G1021*Q1021))*IF(Inputs!$B$38="pvp",1,1+(Inputs!$B$20+Skills!O8+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1021*(1-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1021*(1-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1">
        <f>IF(C1021,(H1021*N1021*IF(AND(Inputs!$B$38&lt;&gt;"pvp",Inputs!$B$43&gt;0),((Skills!F8*((R1021-1)*IF(Skills!G8&gt;0,Skills!H8/Skills!G8,1)+IF(Skills!G8&gt;0,MIN(Skills!H8,MAX(0,MAX(0,Inputs!$B$43-B1047)-((R1021-1)*(IF(Inputs!$B$38="pvp",15,MAX(0.1,Skills!D8-IF(TRUE=TRUE,Inputs!$B$32,0)))*(1-IF(AND(ArtifactsInput!$M$27,Inputs!$B$4="Chapter Hunt"),CHOOSE(ArtifactsInput!$N$27+1,20,24,28,32,36,40),0)/100)))))/Skills!G8,1)))/Inputs!$B$43),G1021*Q1021))*IF(Inputs!$B$38="pvp",1,(1+(Inputs!$B$21+Skills!P8+B1041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2">
      <c r="A1022">
        <f>Skills!A9</f>
        <v/>
      </c>
      <c r="B1022">
        <f>Skills!B9</f>
        <v/>
      </c>
      <c r="C1022">
        <f>Inputs!$B$3&gt;=105</f>
        <v/>
      </c>
      <c r="D1022">
        <f>IF(Skills!C9=1,60+Inputs!$B$25+Inputs!$B$29,IF(Skills!C9=2,90+Inputs!$B$26+Inputs!$B$29,IF(Skills!C9=3,120+Inputs!$B$27+Inputs!$B$29,MAX(0,(Inputs!$B$3-100)*3)+Inputs!$B$28+Inputs!$B$29)))</f>
        <v/>
      </c>
      <c r="E1022">
        <f>INDEX(FactorTable!$B$2:$Y$301, MATCH(ROUND(MIN(300,MAX(1,D1022)),0), FactorTable!$A$2:$A$301,0), Skills!L9+1)</f>
        <v/>
      </c>
      <c r="F1022">
        <f>IF(Skills!M9=TRUE,(Skills!K9/10)*(E1022/1000),Skills!K9/10)+Skills!N9</f>
        <v/>
      </c>
      <c r="G1022">
        <f>Calc!G9</f>
        <v/>
      </c>
      <c r="H1022">
        <f>Calc!H9</f>
        <v/>
      </c>
      <c r="I1022">
        <f>IF(Skills!T9&lt;&gt;"",1+(Skills!T9/10)*(Z1016/1000)/100,1)</f>
        <v/>
      </c>
      <c r="J1022">
        <f>((Inputs!$B$6*(1+Inputs!$B$7/100))+(((Inputs!$B$12*(1+Inputs!$B$13/100))-(Inputs!$B$12*(1+Inputs!$B$13/100)))+0.25*(Inputs!$B$14-Inputs!$B$14))*(1+Inputs!$B$7/100))*(F1022/100)</f>
        <v/>
      </c>
      <c r="K1022">
        <f>J1022*(1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9="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1022)</f>
        <v/>
      </c>
      <c r="L1022">
        <f>K1022*(MIN(Inputs!$B$22+(F1031-Calc!F18),(Inputs!$B$23+(IF(ArtifactsInput!$M$15,CHOOSE(ArtifactsInput!$N$15+1,25,30,35,40,45,50)/100*(Inputs!$B$11-Inputs!$B$11),0))))/100+(Inputs!$B$23+(IF(ArtifactsInput!$M$15,CHOOSE(ArtifactsInput!$N$15+1,25,30,35,40,45,50)/100*(Inputs!$B$11-Inputs!$B$11),0)))/100)/2</f>
        <v/>
      </c>
      <c r="M1022">
        <f>L1022*(1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2">
        <f>L1022*(1-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1022*(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2">
        <f>(1-Summary!$B$11)*S1022+Summary!$B$11*U1022</f>
        <v/>
      </c>
      <c r="P1022">
        <f>IF(B1050=0,0,O1022/B1050)</f>
        <v/>
      </c>
      <c r="Q1022">
        <f>IFERROR(1/(IF(Inputs!$B$38="pvp",15,MAX(0.1,Skills!D9-IF(TRUE=TRUE,Inputs!$B$32,0)))*(1-IF(AND(ArtifactsInput!$M$27,Inputs!$B$4="Chapter Hunt"),CHOOSE(ArtifactsInput!$N$27+1,20,24,28,32,36,40),0)/100)),0)</f>
        <v/>
      </c>
      <c r="R1022">
        <f>IF(AND(Inputs!$B$38&lt;&gt;"pvp",Inputs!$B$43&gt;0),IF(MAX(0,Inputs!$B$43-B1047)&lt;=0,0,(INT(MAX(0,Inputs!$B$43-B1047)/(IF(Inputs!$B$38="pvp",15,MAX(0.1,Skills!D9-IF(TRUE=TRUE,Inputs!$B$32,0)))*(1-IF(AND(ArtifactsInput!$M$27,Inputs!$B$4="Chapter Hunt"),CHOOSE(ArtifactsInput!$N$27+1,20,24,28,32,36,40),0)/100)))+1)),0)</f>
        <v/>
      </c>
      <c r="S1022">
        <f>IF(C1022,(H1022*N1022*IF(AND(Inputs!$B$38&lt;&gt;"pvp",Inputs!$B$43&gt;0),((Skills!F9*((R1022-1)*IF(Skills!G9&gt;0,Skills!H9/Skills!G9,1)+IF(Skills!G9&gt;0,MIN(Skills!H9,MAX(0,MAX(0,Inputs!$B$43-B1047)-((R1022-1)*(IF(Inputs!$B$38="pvp",15,MAX(0.1,Skills!D9-IF(TRUE=TRUE,Inputs!$B$32,0)))*(1-IF(AND(ArtifactsInput!$M$27,Inputs!$B$4="Chapter Hunt"),CHOOSE(ArtifactsInput!$N$27+1,20,24,28,32,36,40),0)/100)))))/Skills!G9,1)))/Inputs!$B$43),G1022*Q1022))*IF(Inputs!$B$38="pvp",1,1+(Inputs!$B$20+Skills!O9+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1022*(1-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1022*(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1022*(1-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1022*(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2">
        <f>IF(C1022,(H1022*N1022*IF(AND(Inputs!$B$38&lt;&gt;"pvp",Inputs!$B$43&gt;0),((Skills!F9*((R1022-1)*IF(Skills!G9&gt;0,Skills!H9/Skills!G9,1)+IF(Skills!G9&gt;0,MIN(Skills!H9,MAX(0,MAX(0,Inputs!$B$43-B1047)-((R1022-1)*(IF(Inputs!$B$38="pvp",15,MAX(0.1,Skills!D9-IF(TRUE=TRUE,Inputs!$B$32,0)))*(1-IF(AND(ArtifactsInput!$M$27,Inputs!$B$4="Chapter Hunt"),CHOOSE(ArtifactsInput!$N$27+1,20,24,28,32,36,40),0)/100)))))/Skills!G9,1)))/Inputs!$B$43),G1022*Q1022))*IF(Inputs!$B$38="pvp",1,(1+(Inputs!$B$21+Skills!P9+B1041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3">
      <c r="A1023">
        <f>Skills!A10</f>
        <v/>
      </c>
      <c r="B1023">
        <f>Skills!B10</f>
        <v/>
      </c>
      <c r="C1023">
        <f>Inputs!$B$3&gt;=113</f>
        <v/>
      </c>
      <c r="D1023">
        <f>IF(Skills!C10=1,60+Inputs!$B$25+Inputs!$B$29,IF(Skills!C10=2,90+Inputs!$B$26+Inputs!$B$29,IF(Skills!C10=3,120+Inputs!$B$27+Inputs!$B$29,MAX(0,(Inputs!$B$3-100)*3)+Inputs!$B$28+Inputs!$B$29)))</f>
        <v/>
      </c>
      <c r="E1023">
        <f>INDEX(FactorTable!$B$2:$Y$301, MATCH(ROUND(MIN(300,MAX(1,D1023)),0), FactorTable!$A$2:$A$301,0), Skills!L10+1)</f>
        <v/>
      </c>
      <c r="F1023">
        <f>IF(Skills!M10=TRUE,(Skills!K10/10)*(E1023/1000),Skills!K10/10)+Skills!N10</f>
        <v/>
      </c>
      <c r="G1023">
        <f>Calc!G10</f>
        <v/>
      </c>
      <c r="H1023">
        <f>Calc!H10</f>
        <v/>
      </c>
      <c r="I1023">
        <f>IF(Skills!T10&lt;&gt;"",1+(Skills!T10/10)*(Z1016/1000)/100,1)</f>
        <v/>
      </c>
      <c r="J1023">
        <f>((Inputs!$B$6*(1+Inputs!$B$7/100))+(((Inputs!$B$12*(1+Inputs!$B$13/100))-(Inputs!$B$12*(1+Inputs!$B$13/100)))+0.25*(Inputs!$B$14-Inputs!$B$14))*(1+Inputs!$B$7/100))*(F1023/100)</f>
        <v/>
      </c>
      <c r="K1023">
        <f>J1023*(1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10="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1023)</f>
        <v/>
      </c>
      <c r="L1023">
        <f>K1023*(MIN(Inputs!$B$22+(F1031-Calc!F18),(Inputs!$B$23+(IF(ArtifactsInput!$M$15,CHOOSE(ArtifactsInput!$N$15+1,25,30,35,40,45,50)/100*(Inputs!$B$11-Inputs!$B$11),0))))/100+(Inputs!$B$23+(IF(ArtifactsInput!$M$15,CHOOSE(ArtifactsInput!$N$15+1,25,30,35,40,45,50)/100*(Inputs!$B$11-Inputs!$B$11),0)))/100)/2</f>
        <v/>
      </c>
      <c r="M1023">
        <f>L1023*(1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3">
        <f>L1023*(1-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1023*(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3">
        <f>(1-Summary!$B$11)*S1023+Summary!$B$11*U1023</f>
        <v/>
      </c>
      <c r="P1023">
        <f>IF(B1050=0,0,O1023/B1050)</f>
        <v/>
      </c>
      <c r="Q1023">
        <f>IFERROR(1/(IF(Inputs!$B$38="pvp",15,MAX(0.1,Skills!D10-IF(TRUE=TRUE,Inputs!$B$32,0)))*(1-IF(AND(ArtifactsInput!$M$27,Inputs!$B$4="Chapter Hunt"),CHOOSE(ArtifactsInput!$N$27+1,20,24,28,32,36,40),0)/100)),0)</f>
        <v/>
      </c>
      <c r="R1023" t="n">
        <v>0</v>
      </c>
      <c r="S1023">
        <f>IF(C1023,((H1023*B1051)/(1+Skills!G10*H1023*B1051)*N1023)*IF(Inputs!$B$38="pvp",1,1+(Inputs!$B$20+Skills!O10+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1023*(1-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1023*(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1023*(1-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1023*(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3">
        <f>IF(C1023,((H1023*B1051)/(1+Skills!G10*H1023*B1051)*N1023)*IF(Inputs!$B$38="pvp",1,(1+(Inputs!$B$21+Skills!P10+B1041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4">
      <c r="A1024">
        <f>Skills!A11</f>
        <v/>
      </c>
      <c r="B1024">
        <f>Skills!B11</f>
        <v/>
      </c>
      <c r="C1024">
        <f>Inputs!$B$3&gt;=107</f>
        <v/>
      </c>
      <c r="D1024">
        <f>IF(Skills!C11=1,60+Inputs!$B$25+Inputs!$B$29,IF(Skills!C11=2,90+Inputs!$B$26+Inputs!$B$29,IF(Skills!C11=3,120+Inputs!$B$27+Inputs!$B$29,MAX(0,(Inputs!$B$3-100)*3)+Inputs!$B$28+Inputs!$B$29)))</f>
        <v/>
      </c>
      <c r="E1024">
        <f>INDEX(FactorTable!$B$2:$Y$301, MATCH(ROUND(MIN(300,MAX(1,D1024)),0), FactorTable!$A$2:$A$301,0), Skills!L11+1)</f>
        <v/>
      </c>
      <c r="F1024">
        <f>IF(Skills!M11=TRUE,(Skills!K11/10)*(E1024/1000),Skills!K11/10)+Skills!N11</f>
        <v/>
      </c>
      <c r="G1024">
        <f>Calc!G11</f>
        <v/>
      </c>
      <c r="H1024">
        <f>Calc!H11</f>
        <v/>
      </c>
      <c r="I1024">
        <f>IF(Skills!T11&lt;&gt;"",1+(Skills!T11/10)*(Z1016/1000)/100,1)</f>
        <v/>
      </c>
      <c r="J1024">
        <f>((Inputs!$B$6*(1+Inputs!$B$7/100))+(((Inputs!$B$12*(1+Inputs!$B$13/100))-(Inputs!$B$12*(1+Inputs!$B$13/100)))+0.25*(Inputs!$B$14-Inputs!$B$14))*(1+Inputs!$B$7/100))*(F1024/100)</f>
        <v/>
      </c>
      <c r="K1024">
        <f>J1024*(1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11="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1024)</f>
        <v/>
      </c>
      <c r="L1024">
        <f>K1024*(MIN(Inputs!$B$22+(F1031-Calc!F18),(Inputs!$B$23+(IF(ArtifactsInput!$M$15,CHOOSE(ArtifactsInput!$N$15+1,25,30,35,40,45,50)/100*(Inputs!$B$11-Inputs!$B$11),0))))/100+(Inputs!$B$23+(IF(ArtifactsInput!$M$15,CHOOSE(ArtifactsInput!$N$15+1,25,30,35,40,45,50)/100*(Inputs!$B$11-Inputs!$B$11),0)))/100)/2</f>
        <v/>
      </c>
      <c r="M1024">
        <f>L1024*(1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4">
        <f>L1024*(1-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1024*(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4">
        <f>(1-Summary!$B$11)*S1024+Summary!$B$11*U1024</f>
        <v/>
      </c>
      <c r="P1024">
        <f>IF(B1050=0,0,O1024/B1050)</f>
        <v/>
      </c>
      <c r="Q1024">
        <f>IFERROR(1/(IF(Inputs!$B$38="pvp",15,MAX(0.1,Skills!D11-IF(TRUE=TRUE,Inputs!$B$32,0)))*(1-IF(AND(ArtifactsInput!$M$27,Inputs!$B$4="Chapter Hunt"),CHOOSE(ArtifactsInput!$N$27+1,20,24,28,32,36,40),0)/100)),0)</f>
        <v/>
      </c>
      <c r="R1024">
        <f>IF(AND(Inputs!$B$38&lt;&gt;"pvp",Inputs!$B$43&gt;0),IF(MAX(0,Inputs!$B$43-B1047)&lt;=0,0,(INT(MAX(0,Inputs!$B$43-B1047)/(IF(Inputs!$B$38="pvp",15,MAX(0.1,Skills!D11-IF(TRUE=TRUE,Inputs!$B$32,0)))*(1-IF(AND(ArtifactsInput!$M$27,Inputs!$B$4="Chapter Hunt"),CHOOSE(ArtifactsInput!$N$27+1,20,24,28,32,36,40),0)/100)))+1)),0)</f>
        <v/>
      </c>
      <c r="S1024">
        <f>IF(C1024,H1024*N1024*IF(AND(Inputs!$B$38&lt;&gt;"pvp",Inputs!$B$43&gt;0),((Skills!F11*((R1024-1)*IF(Skills!G11&gt;0,Skills!H11/Skills!G11,1)+IF(Skills!G11&gt;0,MIN(Skills!H11,MAX(0,MAX(0,Inputs!$B$43-B1047)-((R1024-1)*(IF(Inputs!$B$38="pvp",15,MAX(0.1,Skills!D11-IF(TRUE=TRUE,Inputs!$B$32,0)))*(1-IF(AND(ArtifactsInput!$M$27,Inputs!$B$4="Chapter Hunt"),CHOOSE(ArtifactsInput!$N$27+1,20,24,28,32,36,40),0)/100)))))/Skills!G11,1)))/Inputs!$B$43),G1024*Q1024)*0.5*IF(Inputs!$B$38="pvp",1,1+(Inputs!$B$20+Skills!O11+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1024*(1-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1024*(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1024*(1-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1024*(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4">
        <f>IF(C1024,H1024*N1024*IF(AND(Inputs!$B$38&lt;&gt;"pvp",Inputs!$B$43&gt;0),((Skills!F11*((R1024-1)*IF(Skills!G11&gt;0,Skills!H11/Skills!G11,1)+IF(Skills!G11&gt;0,MIN(Skills!H11,MAX(0,MAX(0,Inputs!$B$43-B1047)-((R1024-1)*(IF(Inputs!$B$38="pvp",15,MAX(0.1,Skills!D11-IF(TRUE=TRUE,Inputs!$B$32,0)))*(1-IF(AND(ArtifactsInput!$M$27,Inputs!$B$4="Chapter Hunt"),CHOOSE(ArtifactsInput!$N$27+1,20,24,28,32,36,40),0)/100)))))/Skills!G11,1)))/Inputs!$B$43),G1024*Q1024)*1*IF(Inputs!$B$38="pvp",1,(1+(Inputs!$B$21+Skills!P11+B1041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5">
      <c r="A1025">
        <f>Skills!A12</f>
        <v/>
      </c>
      <c r="B1025">
        <f>Skills!B12</f>
        <v/>
      </c>
      <c r="C1025">
        <f>Inputs!$B$3&gt;=115</f>
        <v/>
      </c>
      <c r="D1025">
        <f>IF(Skills!C12=1,60+Inputs!$B$25+Inputs!$B$29,IF(Skills!C12=2,90+Inputs!$B$26+Inputs!$B$29,IF(Skills!C12=3,120+Inputs!$B$27+Inputs!$B$29,MAX(0,(Inputs!$B$3-100)*3)+Inputs!$B$28+Inputs!$B$29)))</f>
        <v/>
      </c>
      <c r="E1025">
        <f>INDEX(FactorTable!$B$2:$Y$301, MATCH(ROUND(MIN(300,MAX(1,D1025)),0), FactorTable!$A$2:$A$301,0), Skills!L12+1)</f>
        <v/>
      </c>
      <c r="F1025">
        <f>IF(Skills!M12=TRUE,(Skills!K12/10)*(E1025/1000),Skills!K12/10)+Skills!N12</f>
        <v/>
      </c>
      <c r="G1025">
        <f>Calc!G12</f>
        <v/>
      </c>
      <c r="H1025">
        <f>Calc!H12</f>
        <v/>
      </c>
      <c r="I1025">
        <f>IF(Skills!T12&lt;&gt;"",1+(Skills!T12/10)*(Z1016/1000)/100,1)</f>
        <v/>
      </c>
      <c r="J1025">
        <f>((Inputs!$B$6*(1+Inputs!$B$7/100))+(((Inputs!$B$12*(1+Inputs!$B$13/100))-(Inputs!$B$12*(1+Inputs!$B$13/100)))+0.25*(Inputs!$B$14-Inputs!$B$14))*(1+Inputs!$B$7/100))*(F1025/100)</f>
        <v/>
      </c>
      <c r="K1025">
        <f>J1025*(1+((Inputs!$B$12*(1+Inputs!$B$13/100))*0.01+Inputs!$B$14*0.0025)/100)*(1+(Inputs!$B$15+B1042)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1028=TRUE,F1028,0)/100)*(1+IF(C1036=TRUE,F1036,0)/100)^5*(1+(IF(Skills!A12="CHAIN_LIGHTNING",Inputs!$B$17+((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1025)</f>
        <v/>
      </c>
      <c r="L1025">
        <f>K1025*(MIN(Inputs!$B$22+(F1031-Calc!F18),(Inputs!$B$23+(IF(ArtifactsInput!$M$15,CHOOSE(ArtifactsInput!$N$15+1,25,30,35,40,45,50)/100*(Inputs!$B$11-Inputs!$B$11),0))))/100+(Inputs!$B$23+(IF(ArtifactsInput!$M$15,CHOOSE(ArtifactsInput!$N$15+1,25,30,35,40,45,50)/100*(Inputs!$B$11-Inputs!$B$11),0)))/100)/2</f>
        <v/>
      </c>
      <c r="M1025">
        <f>L1025*(1+(Inputs!$B$10+(F1034-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5">
        <f>L1025*(1-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1025*(MIN((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5">
        <f>(1-Summary!$B$11)*S1025+Summary!$B$11*U1025</f>
        <v/>
      </c>
      <c r="P1025">
        <f>IF(B1050=0,0,O1025/B1050)</f>
        <v/>
      </c>
      <c r="Q1025">
        <f>IFERROR(1/(IF(Inputs!$B$38="pvp",15,MAX(0.1,Skills!D12-IF(TRUE=TRUE,Inputs!$B$32,0)))*(1-IF(AND(ArtifactsInput!$M$27,Inputs!$B$4="Chapter Hunt"),CHOOSE(ArtifactsInput!$N$27+1,20,24,28,32,36,40),0)/100)),0)</f>
        <v/>
      </c>
      <c r="R1025">
        <f>IF(AND(Inputs!$B$38&lt;&gt;"pvp",Inputs!$B$43&gt;0),IF(MAX(0,Inputs!$B$43-B1047)&lt;=0,0,(INT(MAX(0,Inputs!$B$43-B1047)/(IF(Inputs!$B$38="pvp",15,MAX(0.1,Skills!D12-IF(TRUE=TRUE,Inputs!$B$32,0)))*(1-IF(AND(ArtifactsInput!$M$27,Inputs!$B$4="Chapter Hunt"),CHOOSE(ArtifactsInput!$N$27+1,20,24,28,32,36,40),0)/100)))+1)),0)</f>
        <v/>
      </c>
      <c r="S1025">
        <f>IF(C1025,(H1025*N1025*IF(AND(Inputs!$B$38&lt;&gt;"pvp",Inputs!$B$43&gt;0),((Skills!F12*((R1025-1)*IF(Skills!G12&gt;0,Skills!H12/Skills!G12,1)+IF(Skills!G12&gt;0,MIN(Skills!H12,MAX(0,MAX(0,Inputs!$B$43-B1047)-((R1025-1)*(IF(Inputs!$B$38="pvp",15,MAX(0.1,Skills!D12-IF(TRUE=TRUE,Inputs!$B$32,0)))*(1-IF(AND(ArtifactsInput!$M$27,Inputs!$B$4="Chapter Hunt"),CHOOSE(ArtifactsInput!$N$27+1,20,24,28,32,36,40),0)/100)))))/Skills!G12,1)))/Inputs!$B$43),G1025*Q1025))*IF(Inputs!$B$38="pvp",1,1+(Inputs!$B$20+Skills!O12+B1041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1025*(1-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1025*(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1025*(1-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1025*(MIN(100,(Inputs!$B$9+((F1033-Calc!F20)+(F1032-Calc!F19))+(ArtifactsInput!$M$24-ArtifactsInput!$M$24)*CHOOSE(ArtifactsInput!$N$24+1,10,12,14,16,18,20)+(IF(AND(Inputs!$B$38&lt;&gt;"pvp",Inputs!$B$43=0),1,IF(IF(Inputs!$B$38="pvp",15,Inputs!$B$43)-(B1047)&lt;=0,1,MAX(0,IF(Inputs!$B$38="pvp",15,Inputs!$B$43)-MAX(5,B1047))/(IF(Inputs!$B$38="pvp",15,Inputs!$B$43)-(B1047)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25">
        <f>IF(C1025,(H1025*N1025*IF(AND(Inputs!$B$38&lt;&gt;"pvp",Inputs!$B$43&gt;0),((Skills!F12*((R1025-1)*IF(Skills!G12&gt;0,Skills!H12/Skills!G12,1)+IF(Skills!G12&gt;0,MIN(Skills!H12,MAX(0,MAX(0,Inputs!$B$43-B1047)-((R1025-1)*(IF(Inputs!$B$38="pvp",15,MAX(0.1,Skills!D12-IF(TRUE=TRUE,Inputs!$B$32,0)))*(1-IF(AND(ArtifactsInput!$M$27,Inputs!$B$4="Chapter Hunt"),CHOOSE(ArtifactsInput!$N$27+1,20,24,28,32,36,40),0)/100)))))/Skills!G12,1)))/Inputs!$B$43),G1025*Q1025))*IF(Inputs!$B$38="pvp",1,(1+(Inputs!$B$21+Skills!P12+B1041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6">
      <c r="A1026">
        <f>Skills!A13</f>
        <v/>
      </c>
      <c r="B1026">
        <f>Skills!B13</f>
        <v/>
      </c>
      <c r="C1026">
        <f>Inputs!$B$3&gt;=49</f>
        <v/>
      </c>
      <c r="D1026">
        <f>IF(Skills!C13=1,60+Inputs!$B$25+Inputs!$B$29,IF(Skills!C13=2,90+Inputs!$B$26+Inputs!$B$29,IF(Skills!C13=3,120+Inputs!$B$27+Inputs!$B$29,MAX(0,(Inputs!$B$3-100)*3)+Inputs!$B$28+Inputs!$B$29)))</f>
        <v/>
      </c>
      <c r="E1026">
        <f>INDEX(FactorTable!$B$2:$Y$301, MATCH(ROUND(MIN(300,MAX(1,D1026)),0), FactorTable!$A$2:$A$301,0), Skills!L13+1)</f>
        <v/>
      </c>
      <c r="F1026">
        <f>IF(Skills!M13=TRUE,(Skills!K13/10)*(E1026/1000),Skills!K13/10)+Skills!N13</f>
        <v/>
      </c>
      <c r="G1026">
        <f>Calc!G13</f>
        <v/>
      </c>
      <c r="H1026">
        <f>Calc!H13</f>
        <v/>
      </c>
      <c r="I1026">
        <f>IF(Skills!T13&lt;&gt;"",1+(Skills!T13/10)*(Z1016/1000)/100,1)</f>
        <v/>
      </c>
      <c r="J1026" t="inlineStr"/>
      <c r="K1026" t="inlineStr"/>
      <c r="L1026" t="inlineStr"/>
      <c r="M1026" t="inlineStr"/>
      <c r="N1026" t="inlineStr"/>
      <c r="O1026">
        <f>(1-Summary!$B$11)*S1026+Summary!$B$11*U1026</f>
        <v/>
      </c>
      <c r="P1026">
        <f>IF(B1050=0,0,O1026/B1050)</f>
        <v/>
      </c>
      <c r="Q1026">
        <f>IFERROR(1/(IF(Inputs!$B$38="pvp",15,MAX(0.1,Skills!D13-IF(TRUE=TRUE,Inputs!$B$32,0)))*(1-IF(AND(ArtifactsInput!$M$27,Inputs!$B$4="Chapter Hunt"),CHOOSE(ArtifactsInput!$N$27+1,20,24,28,32,36,40),0)/100)),0)</f>
        <v/>
      </c>
      <c r="R1026" t="n">
        <v>0</v>
      </c>
      <c r="S1026" t="n">
        <v>0</v>
      </c>
      <c r="U1026" t="n">
        <v>0</v>
      </c>
    </row>
    <row r="1027">
      <c r="A1027">
        <f>Skills!A14</f>
        <v/>
      </c>
      <c r="B1027">
        <f>Skills!B14</f>
        <v/>
      </c>
      <c r="C1027">
        <f>Inputs!$B$3&gt;=72</f>
        <v/>
      </c>
      <c r="D1027">
        <f>IF(Skills!C14=1,60+Inputs!$B$25+Inputs!$B$29,IF(Skills!C14=2,90+Inputs!$B$26+Inputs!$B$29,IF(Skills!C14=3,120+Inputs!$B$27+Inputs!$B$29,MAX(0,(Inputs!$B$3-100)*3)+Inputs!$B$28+Inputs!$B$29)))</f>
        <v/>
      </c>
      <c r="E1027">
        <f>INDEX(FactorTable!$B$2:$Y$301, MATCH(ROUND(MIN(300,MAX(1,D1027)),0), FactorTable!$A$2:$A$301,0), Skills!L14+1)</f>
        <v/>
      </c>
      <c r="F1027">
        <f>IF(Skills!M14=TRUE,(Skills!K14/10)*(E1027/1000),Skills!K14/10)+Skills!N14</f>
        <v/>
      </c>
      <c r="G1027">
        <f>Calc!G14</f>
        <v/>
      </c>
      <c r="H1027">
        <f>Calc!H14</f>
        <v/>
      </c>
      <c r="I1027">
        <f>IF(Skills!T14&lt;&gt;"",1+(Skills!T14/10)*(Z1016/1000)/100,1)</f>
        <v/>
      </c>
      <c r="J1027" t="inlineStr"/>
      <c r="K1027" t="inlineStr"/>
      <c r="L1027" t="inlineStr"/>
      <c r="M1027" t="inlineStr"/>
      <c r="N1027" t="inlineStr"/>
      <c r="O1027">
        <f>(1-Summary!$B$11)*S1027+Summary!$B$11*U1027</f>
        <v/>
      </c>
      <c r="P1027">
        <f>IF(B1050=0,0,O1027/B1050)</f>
        <v/>
      </c>
      <c r="Q1027">
        <f>IFERROR(1/(IF(Inputs!$B$38="pvp",15,MAX(0.1,Skills!D14-IF(TRUE=TRUE,Inputs!$B$32,0)))*(1-IF(AND(ArtifactsInput!$M$27,Inputs!$B$4="Chapter Hunt"),CHOOSE(ArtifactsInput!$N$27+1,20,24,28,32,36,40),0)/100)),0)</f>
        <v/>
      </c>
      <c r="R1027" t="n">
        <v>0</v>
      </c>
      <c r="S1027" t="n">
        <v>0</v>
      </c>
      <c r="U1027" t="n">
        <v>0</v>
      </c>
    </row>
    <row r="1028">
      <c r="A1028">
        <f>Skills!A15</f>
        <v/>
      </c>
      <c r="B1028">
        <f>Skills!B15</f>
        <v/>
      </c>
      <c r="C1028">
        <f>Inputs!$B$3&gt;=75</f>
        <v/>
      </c>
      <c r="D1028">
        <f>IF(Skills!C15=1,60+Inputs!$B$25+Inputs!$B$29,IF(Skills!C15=2,90+Inputs!$B$26+Inputs!$B$29,IF(Skills!C15=3,120+Inputs!$B$27+Inputs!$B$29,MAX(0,(Inputs!$B$3-100)*3)+Inputs!$B$28+Inputs!$B$29)))</f>
        <v/>
      </c>
      <c r="E1028">
        <f>INDEX(FactorTable!$B$2:$Y$301, MATCH(ROUND(MIN(300,MAX(1,D1028)),0), FactorTable!$A$2:$A$301,0), Skills!L15+1)</f>
        <v/>
      </c>
      <c r="F1028">
        <f>IF(Skills!M15=TRUE,(Skills!K15/10)*(E1028/1000),Skills!K15/10)+Skills!N15</f>
        <v/>
      </c>
      <c r="G1028">
        <f>Calc!G15</f>
        <v/>
      </c>
      <c r="H1028">
        <f>Calc!H15</f>
        <v/>
      </c>
      <c r="I1028">
        <f>IF(Skills!T15&lt;&gt;"",1+(Skills!T15/10)*(Z1016/1000)/100,1)</f>
        <v/>
      </c>
      <c r="J1028" t="inlineStr"/>
      <c r="K1028" t="inlineStr"/>
      <c r="L1028" t="inlineStr"/>
      <c r="M1028" t="inlineStr"/>
      <c r="N1028" t="inlineStr"/>
      <c r="O1028">
        <f>(1-Summary!$B$11)*S1028+Summary!$B$11*U1028</f>
        <v/>
      </c>
      <c r="P1028">
        <f>IF(B1050=0,0,O1028/B1050)</f>
        <v/>
      </c>
      <c r="Q1028">
        <f>IFERROR(1/(IF(Inputs!$B$38="pvp",15,MAX(0.1,Skills!D15-IF(TRUE=TRUE,Inputs!$B$32,0)))*(1-IF(AND(ArtifactsInput!$M$27,Inputs!$B$4="Chapter Hunt"),CHOOSE(ArtifactsInput!$N$27+1,20,24,28,32,36,40),0)/100)),0)</f>
        <v/>
      </c>
      <c r="R1028" t="n">
        <v>0</v>
      </c>
      <c r="S1028" t="n">
        <v>0</v>
      </c>
      <c r="U1028" t="n">
        <v>0</v>
      </c>
    </row>
    <row r="1029">
      <c r="A1029">
        <f>Skills!A16</f>
        <v/>
      </c>
      <c r="B1029">
        <f>Skills!B16</f>
        <v/>
      </c>
      <c r="C1029">
        <f>Inputs!$B$3&gt;=110</f>
        <v/>
      </c>
      <c r="D1029">
        <f>IF(Skills!C16=1,60+Inputs!$B$25+Inputs!$B$29,IF(Skills!C16=2,90+Inputs!$B$26+Inputs!$B$29,IF(Skills!C16=3,120+Inputs!$B$27+Inputs!$B$29,MAX(0,(Inputs!$B$3-100)*3)+Inputs!$B$28+Inputs!$B$29)))</f>
        <v/>
      </c>
      <c r="E1029">
        <f>INDEX(FactorTable!$B$2:$Y$301, MATCH(ROUND(MIN(300,MAX(1,D1029)),0), FactorTable!$A$2:$A$301,0), Skills!L16+1)</f>
        <v/>
      </c>
      <c r="F1029">
        <f>(Skills!K16/10)*(E1029/1000)*64/45+Skills!N16</f>
        <v/>
      </c>
      <c r="G1029">
        <f>Calc!G16</f>
        <v/>
      </c>
      <c r="H1029">
        <f>Calc!H16</f>
        <v/>
      </c>
      <c r="I1029">
        <f>IF(Skills!T16&lt;&gt;"",1+(Skills!T16/10)*(Z1016/1000)/100,1)</f>
        <v/>
      </c>
      <c r="J1029" t="inlineStr"/>
      <c r="K1029" t="inlineStr"/>
      <c r="L1029" t="inlineStr"/>
      <c r="M1029" t="inlineStr"/>
      <c r="N1029" t="inlineStr"/>
      <c r="O1029">
        <f>(1-Summary!$B$11)*S1029+Summary!$B$11*U1029</f>
        <v/>
      </c>
      <c r="P1029">
        <f>IF(B1050=0,0,O1029/B1050)</f>
        <v/>
      </c>
      <c r="Q1029">
        <f>IFERROR(1/(IF(Inputs!$B$38="pvp",15,MAX(0.1,Skills!D16-IF(TRUE=TRUE,Inputs!$B$32,0)))*(1-IF(AND(ArtifactsInput!$M$27,Inputs!$B$4="Chapter Hunt"),CHOOSE(ArtifactsInput!$N$27+1,20,24,28,32,36,40),0)/100)),0)</f>
        <v/>
      </c>
      <c r="R1029">
        <f>IF(AND(Inputs!$B$38&lt;&gt;"pvp",Inputs!$B$43&gt;0),IF(Inputs!$B$43&lt;=0,0,(INT(Inputs!$B$43/(IF(Inputs!$B$38="pvp",15,MAX(0.1,Skills!D16-IF(TRUE=TRUE,Inputs!$B$32,0)))*(1-IF(AND(ArtifactsInput!$M$27,Inputs!$B$4="Chapter Hunt"),CHOOSE(ArtifactsInput!$N$27+1,20,24,28,32,36,40),0)/100)))+1)),0)</f>
        <v/>
      </c>
      <c r="S1029" t="n">
        <v>0</v>
      </c>
      <c r="U1029" t="n">
        <v>0</v>
      </c>
    </row>
    <row r="1030">
      <c r="A1030">
        <f>Skills!A17</f>
        <v/>
      </c>
      <c r="B1030">
        <f>Skills!B17</f>
        <v/>
      </c>
      <c r="C1030">
        <f>Inputs!$B$3&gt;=33</f>
        <v/>
      </c>
      <c r="D1030">
        <f>IF(Skills!C17=1,60+Inputs!$B$25+Inputs!$B$29,IF(Skills!C17=2,90+Inputs!$B$26+Inputs!$B$29,IF(Skills!C17=3,120+Inputs!$B$27+Inputs!$B$29,MAX(0,(Inputs!$B$3-100)*3)+Inputs!$B$28+Inputs!$B$29)))</f>
        <v/>
      </c>
      <c r="E1030">
        <f>INDEX(FactorTable!$B$2:$Y$301, MATCH(ROUND(MIN(300,MAX(1,D1030)),0), FactorTable!$A$2:$A$301,0), Skills!L17+1)</f>
        <v/>
      </c>
      <c r="F1030">
        <f>IF(Skills!M17=TRUE,(Skills!K17/10)*(E1030/1000),Skills!K17/10)+Skills!N17</f>
        <v/>
      </c>
      <c r="G1030">
        <f>Calc!G17</f>
        <v/>
      </c>
      <c r="H1030">
        <f>Calc!H17</f>
        <v/>
      </c>
      <c r="I1030">
        <f>IF(Skills!T17&lt;&gt;"",1+(Skills!T17/10)*(Z1016/1000)/100,1)</f>
        <v/>
      </c>
      <c r="J1030" t="inlineStr"/>
      <c r="K1030" t="inlineStr"/>
      <c r="L1030" t="inlineStr"/>
      <c r="M1030" t="inlineStr"/>
      <c r="N1030" t="inlineStr"/>
      <c r="O1030">
        <f>(1-Summary!$B$11)*S1030+Summary!$B$11*U1030</f>
        <v/>
      </c>
      <c r="P1030">
        <f>IF(B1050=0,0,O1030/B1050)</f>
        <v/>
      </c>
      <c r="Q1030">
        <f>IFERROR(1/(IF(Inputs!$B$38="pvp",15,MAX(0.1,Skills!D17-IF(TRUE=TRUE,Inputs!$B$32,0)))*(1-IF(AND(ArtifactsInput!$M$27,Inputs!$B$4="Chapter Hunt"),CHOOSE(ArtifactsInput!$N$27+1,20,24,28,32,36,40),0)/100)),0)</f>
        <v/>
      </c>
      <c r="R1030" t="n">
        <v>0</v>
      </c>
      <c r="S1030" t="n">
        <v>0</v>
      </c>
      <c r="U1030" t="n">
        <v>0</v>
      </c>
    </row>
    <row r="1031">
      <c r="A1031">
        <f>Skills!A18</f>
        <v/>
      </c>
      <c r="B1031">
        <f>Skills!B18</f>
        <v/>
      </c>
      <c r="C1031">
        <f>Inputs!$B$3&gt;=43</f>
        <v/>
      </c>
      <c r="D1031">
        <f>IF(Skills!C18=1,60+Inputs!$B$25+Inputs!$B$29,IF(Skills!C18=2,90+Inputs!$B$26+Inputs!$B$29,IF(Skills!C18=3,120+Inputs!$B$27+Inputs!$B$29,MAX(0,(Inputs!$B$3-100)*3)+Inputs!$B$28+Inputs!$B$29)))</f>
        <v/>
      </c>
      <c r="E1031">
        <f>INDEX(FactorTable!$B$2:$Y$301, MATCH(ROUND(MIN(300,MAX(1,D1031)),0), FactorTable!$A$2:$A$301,0), Skills!L18+1)</f>
        <v/>
      </c>
      <c r="F1031">
        <f>IF(Skills!M18=TRUE,(Skills!K18/10)*(E1031/1000),Skills!K18/10)+Skills!N18</f>
        <v/>
      </c>
      <c r="G1031">
        <f>Calc!G18</f>
        <v/>
      </c>
      <c r="H1031">
        <f>Calc!H18</f>
        <v/>
      </c>
      <c r="I1031">
        <f>IF(Skills!T18&lt;&gt;"",1+(Skills!T18/10)*(Z1016/1000)/100,1)</f>
        <v/>
      </c>
      <c r="J1031" t="inlineStr"/>
      <c r="K1031" t="inlineStr"/>
      <c r="L1031" t="inlineStr"/>
      <c r="M1031" t="inlineStr"/>
      <c r="N1031" t="inlineStr"/>
      <c r="O1031">
        <f>(1-Summary!$B$11)*S1031+Summary!$B$11*U1031</f>
        <v/>
      </c>
      <c r="P1031">
        <f>IF(B1050=0,0,O1031/B1050)</f>
        <v/>
      </c>
      <c r="Q1031">
        <f>IFERROR(1/(IF(Inputs!$B$38="pvp",15,MAX(0.1,Skills!D18-IF(TRUE=TRUE,Inputs!$B$32,0)))*(1-IF(AND(ArtifactsInput!$M$27,Inputs!$B$4="Chapter Hunt"),CHOOSE(ArtifactsInput!$N$27+1,20,24,28,32,36,40),0)/100)),0)</f>
        <v/>
      </c>
      <c r="R1031" t="n">
        <v>0</v>
      </c>
      <c r="S1031" t="n">
        <v>0</v>
      </c>
      <c r="U1031" t="n">
        <v>0</v>
      </c>
    </row>
    <row r="1032">
      <c r="A1032">
        <f>Skills!A19</f>
        <v/>
      </c>
      <c r="B1032">
        <f>Skills!B19</f>
        <v/>
      </c>
      <c r="C1032">
        <f>Inputs!$B$3&gt;=50</f>
        <v/>
      </c>
      <c r="D1032">
        <f>IF(Skills!C19=1,60+Inputs!$B$25+Inputs!$B$29,IF(Skills!C19=2,90+Inputs!$B$26+Inputs!$B$29,IF(Skills!C19=3,120+Inputs!$B$27+Inputs!$B$29,MAX(0,(Inputs!$B$3-100)*3)+Inputs!$B$28+Inputs!$B$29)))</f>
        <v/>
      </c>
      <c r="E1032">
        <f>INDEX(FactorTable!$B$2:$Y$301, MATCH(ROUND(MIN(300,MAX(1,D1032)),0), FactorTable!$A$2:$A$301,0), Skills!L19+1)</f>
        <v/>
      </c>
      <c r="F1032">
        <f>IF(Skills!M19=TRUE,(Skills!K19/10)*(E1032/1000),Skills!K19/10)+Skills!N19</f>
        <v/>
      </c>
      <c r="G1032">
        <f>Calc!G19</f>
        <v/>
      </c>
      <c r="H1032">
        <f>Calc!H19</f>
        <v/>
      </c>
      <c r="I1032">
        <f>IF(Skills!T19&lt;&gt;"",1+(Skills!T19/10)*(Z1016/1000)/100,1)</f>
        <v/>
      </c>
      <c r="J1032" t="inlineStr"/>
      <c r="K1032" t="inlineStr"/>
      <c r="L1032" t="inlineStr"/>
      <c r="M1032" t="inlineStr"/>
      <c r="N1032" t="inlineStr"/>
      <c r="O1032">
        <f>(1-Summary!$B$11)*S1032+Summary!$B$11*U1032</f>
        <v/>
      </c>
      <c r="P1032">
        <f>IF(B1050=0,0,O1032/B1050)</f>
        <v/>
      </c>
      <c r="Q1032">
        <f>IFERROR(1/(IF(Inputs!$B$38="pvp",15,MAX(0.1,Skills!D19-IF(TRUE=TRUE,Inputs!$B$32,0)))*(1-IF(AND(ArtifactsInput!$M$27,Inputs!$B$4="Chapter Hunt"),CHOOSE(ArtifactsInput!$N$27+1,20,24,28,32,36,40),0)/100)),0)</f>
        <v/>
      </c>
      <c r="R1032" t="n">
        <v>0</v>
      </c>
      <c r="S1032" t="n">
        <v>0</v>
      </c>
      <c r="U1032" t="n">
        <v>0</v>
      </c>
    </row>
    <row r="1033">
      <c r="A1033">
        <f>Skills!A20</f>
        <v/>
      </c>
      <c r="B1033">
        <f>Skills!B20</f>
        <v/>
      </c>
      <c r="C1033">
        <f>Inputs!$B$3&gt;=74</f>
        <v/>
      </c>
      <c r="D1033">
        <f>IF(Skills!C20=1,60+Inputs!$B$25+Inputs!$B$29,IF(Skills!C20=2,90+Inputs!$B$26+Inputs!$B$29,IF(Skills!C20=3,120+Inputs!$B$27+Inputs!$B$29,MAX(0,(Inputs!$B$3-100)*3)+Inputs!$B$28+Inputs!$B$29)))</f>
        <v/>
      </c>
      <c r="E1033">
        <f>INDEX(FactorTable!$B$2:$Y$301, MATCH(ROUND(MIN(300,MAX(1,D1033)),0), FactorTable!$A$2:$A$301,0), Skills!L20+1)</f>
        <v/>
      </c>
      <c r="F1033">
        <f>IF(Skills!M20=TRUE,(Skills!K20/10)*(E1033/1000),Skills!K20/10)+Skills!N20</f>
        <v/>
      </c>
      <c r="G1033">
        <f>Calc!G20</f>
        <v/>
      </c>
      <c r="H1033">
        <f>Calc!H20</f>
        <v/>
      </c>
      <c r="I1033">
        <f>IF(Skills!T20&lt;&gt;"",1+(Skills!T20/10)*(Z1016/1000)/100,1)</f>
        <v/>
      </c>
      <c r="J1033" t="inlineStr"/>
      <c r="K1033" t="inlineStr"/>
      <c r="L1033" t="inlineStr"/>
      <c r="M1033" t="inlineStr"/>
      <c r="N1033" t="inlineStr"/>
      <c r="O1033">
        <f>(1-Summary!$B$11)*S1033+Summary!$B$11*U1033</f>
        <v/>
      </c>
      <c r="P1033">
        <f>IF(B1050=0,0,O1033/B1050)</f>
        <v/>
      </c>
      <c r="Q1033">
        <f>IFERROR(1/(IF(Inputs!$B$38="pvp",15,MAX(0.1,Skills!D20-IF(TRUE=TRUE,Inputs!$B$32,0)))*(1-IF(AND(ArtifactsInput!$M$27,Inputs!$B$4="Chapter Hunt"),CHOOSE(ArtifactsInput!$N$27+1,20,24,28,32,36,40),0)/100)),0)</f>
        <v/>
      </c>
      <c r="R1033" t="n">
        <v>0</v>
      </c>
      <c r="S1033" t="n">
        <v>0</v>
      </c>
      <c r="U1033" t="n">
        <v>0</v>
      </c>
    </row>
    <row r="1034">
      <c r="A1034">
        <f>Skills!A21</f>
        <v/>
      </c>
      <c r="B1034">
        <f>Skills!B21</f>
        <v/>
      </c>
      <c r="C1034">
        <f>Inputs!$B$3&gt;=74</f>
        <v/>
      </c>
      <c r="D1034">
        <f>IF(Skills!C21=1,60+Inputs!$B$25+Inputs!$B$29,IF(Skills!C21=2,90+Inputs!$B$26+Inputs!$B$29,IF(Skills!C21=3,120+Inputs!$B$27+Inputs!$B$29,MAX(0,(Inputs!$B$3-100)*3)+Inputs!$B$28+Inputs!$B$29)))</f>
        <v/>
      </c>
      <c r="E1034">
        <f>INDEX(FactorTable!$B$2:$Y$301, MATCH(ROUND(MIN(300,MAX(1,D1034)),0), FactorTable!$A$2:$A$301,0), Skills!L21+1)</f>
        <v/>
      </c>
      <c r="F1034">
        <f>IF(Skills!M21=TRUE,(Skills!K21/10)*(E1034/1000),Skills!K21/10)+Skills!N21</f>
        <v/>
      </c>
      <c r="G1034">
        <f>Calc!G21</f>
        <v/>
      </c>
      <c r="H1034">
        <f>Calc!H21</f>
        <v/>
      </c>
      <c r="I1034">
        <f>IF(Skills!T21&lt;&gt;"",1+(Skills!T21/10)*(Z1016/1000)/100,1)</f>
        <v/>
      </c>
      <c r="J1034" t="inlineStr"/>
      <c r="K1034" t="inlineStr"/>
      <c r="L1034" t="inlineStr"/>
      <c r="M1034" t="inlineStr"/>
      <c r="N1034" t="inlineStr"/>
      <c r="O1034">
        <f>(1-Summary!$B$11)*S1034+Summary!$B$11*U1034</f>
        <v/>
      </c>
      <c r="P1034">
        <f>IF(B1050=0,0,O1034/B1050)</f>
        <v/>
      </c>
      <c r="Q1034">
        <f>IFERROR(1/(IF(Inputs!$B$38="pvp",15,MAX(0.1,Skills!D21-IF(TRUE=TRUE,Inputs!$B$32,0)))*(1-IF(AND(ArtifactsInput!$M$27,Inputs!$B$4="Chapter Hunt"),CHOOSE(ArtifactsInput!$N$27+1,20,24,28,32,36,40),0)/100)),0)</f>
        <v/>
      </c>
      <c r="R1034" t="n">
        <v>0</v>
      </c>
      <c r="S1034" t="n">
        <v>0</v>
      </c>
      <c r="U1034" t="n">
        <v>0</v>
      </c>
    </row>
    <row r="1035">
      <c r="A1035">
        <f>Skills!A22</f>
        <v/>
      </c>
      <c r="B1035">
        <f>Skills!B22</f>
        <v/>
      </c>
      <c r="C1035">
        <f>Inputs!$B$3&gt;=117</f>
        <v/>
      </c>
      <c r="D1035">
        <f>IF(Skills!C22=1,60+Inputs!$B$25+Inputs!$B$29,IF(Skills!C22=2,90+Inputs!$B$26+Inputs!$B$29,IF(Skills!C22=3,120+Inputs!$B$27+Inputs!$B$29,MAX(0,(Inputs!$B$3-100)*3)+Inputs!$B$28+Inputs!$B$29)))</f>
        <v/>
      </c>
      <c r="E1035">
        <f>INDEX(FactorTable!$B$2:$Y$301, MATCH(ROUND(MIN(300,MAX(1,D1035)),0), FactorTable!$A$2:$A$301,0), Skills!L22+1)</f>
        <v/>
      </c>
      <c r="F1035">
        <f>IF(Skills!M22=TRUE,(Skills!K22/10)*(E1035/1000),Skills!K22/10)+Skills!N22</f>
        <v/>
      </c>
      <c r="G1035">
        <f>Calc!G22</f>
        <v/>
      </c>
      <c r="H1035">
        <f>Calc!H22</f>
        <v/>
      </c>
      <c r="I1035">
        <f>IF(Skills!T22&lt;&gt;"",1+(Skills!T22/10)*(Z1016/1000)/100,1)</f>
        <v/>
      </c>
      <c r="J1035" t="inlineStr"/>
      <c r="K1035" t="inlineStr"/>
      <c r="L1035" t="inlineStr"/>
      <c r="M1035" t="inlineStr"/>
      <c r="N1035" t="inlineStr"/>
      <c r="O1035">
        <f>(1-Summary!$B$11)*S1035+Summary!$B$11*U1035</f>
        <v/>
      </c>
      <c r="P1035">
        <f>IF(B1050=0,0,O1035/B1050)</f>
        <v/>
      </c>
      <c r="Q1035">
        <f>IFERROR(1/(IF(Inputs!$B$38="pvp",15,MAX(0.1,Skills!D22-IF(TRUE=TRUE,Inputs!$B$32,0)))*(1-IF(AND(ArtifactsInput!$M$27,Inputs!$B$4="Chapter Hunt"),CHOOSE(ArtifactsInput!$N$27+1,20,24,28,32,36,40),0)/100)),0)</f>
        <v/>
      </c>
      <c r="R1035" t="n">
        <v>0</v>
      </c>
      <c r="S1035" t="n">
        <v>0</v>
      </c>
      <c r="U1035" t="n">
        <v>0</v>
      </c>
    </row>
    <row r="1036">
      <c r="A1036">
        <f>Skills!A23</f>
        <v/>
      </c>
      <c r="B1036">
        <f>Skills!B23</f>
        <v/>
      </c>
      <c r="C1036">
        <f>Inputs!$B$3&gt;=120</f>
        <v/>
      </c>
      <c r="D1036">
        <f>IF(Skills!C23=1,60+Inputs!$B$25+Inputs!$B$29,IF(Skills!C23=2,90+Inputs!$B$26+Inputs!$B$29,IF(Skills!C23=3,120+Inputs!$B$27+Inputs!$B$29,MAX(0,(Inputs!$B$3-100)*3)+Inputs!$B$28+Inputs!$B$29)))</f>
        <v/>
      </c>
      <c r="E1036">
        <f>INDEX(FactorTable!$B$2:$Y$301, MATCH(ROUND(MIN(300,MAX(1,D1036)),0), FactorTable!$A$2:$A$301,0), Skills!L23+1)</f>
        <v/>
      </c>
      <c r="F1036">
        <f>IF(Skills!M23=TRUE,(Skills!K23/10)*(E1036/1000),Skills!K23/10)+Skills!N23</f>
        <v/>
      </c>
      <c r="G1036">
        <f>Calc!G23</f>
        <v/>
      </c>
      <c r="H1036">
        <f>Calc!H23</f>
        <v/>
      </c>
      <c r="I1036">
        <f>IF(Skills!T23&lt;&gt;"",1+(Skills!T23/10)*(Z1016/1000)/100,1)</f>
        <v/>
      </c>
      <c r="J1036" t="inlineStr"/>
      <c r="K1036" t="inlineStr"/>
      <c r="L1036" t="inlineStr"/>
      <c r="M1036" t="inlineStr"/>
      <c r="N1036" t="inlineStr"/>
      <c r="O1036">
        <f>(1-Summary!$B$11)*S1036+Summary!$B$11*U1036</f>
        <v/>
      </c>
      <c r="P1036">
        <f>IF(B1050=0,0,O1036/B1050)</f>
        <v/>
      </c>
      <c r="Q1036">
        <f>IFERROR(1/(IF(Inputs!$B$38="pvp",15,MAX(0.1,Skills!D23-IF(TRUE=TRUE,Inputs!$B$32,0)))*(1-IF(AND(ArtifactsInput!$M$27,Inputs!$B$4="Chapter Hunt"),CHOOSE(ArtifactsInput!$N$27+1,20,24,28,32,36,40),0)/100)),0)</f>
        <v/>
      </c>
      <c r="R1036" t="n">
        <v>0</v>
      </c>
      <c r="S1036" t="n">
        <v>0</v>
      </c>
      <c r="U1036" t="n">
        <v>0</v>
      </c>
    </row>
    <row r="1037">
      <c r="A1037">
        <f>Skills!A24</f>
        <v/>
      </c>
      <c r="B1037">
        <f>Skills!B24</f>
        <v/>
      </c>
      <c r="C1037">
        <f>TRUE</f>
        <v/>
      </c>
      <c r="D1037">
        <f>IF(Skills!C24=1,60+Inputs!$B$25+Inputs!$B$29,IF(Skills!C24=2,90+Inputs!$B$26+Inputs!$B$29,IF(Skills!C24=3,120+Inputs!$B$27+Inputs!$B$29,MAX(0,(Inputs!$B$3-100)*3)+Inputs!$B$28+Inputs!$B$29)))</f>
        <v/>
      </c>
      <c r="E1037">
        <f>INDEX(FactorTable!$B$2:$Y$301, MATCH(ROUND(MIN(300,MAX(1,D1037)),0), FactorTable!$A$2:$A$301,0), Skills!L24+1)</f>
        <v/>
      </c>
      <c r="F1037">
        <f>IF(Skills!M24=TRUE,(Skills!K24/10)*(E1037/1000),Skills!K24/10)+Skills!N24</f>
        <v/>
      </c>
      <c r="G1037">
        <f>Calc!G24</f>
        <v/>
      </c>
      <c r="H1037">
        <f>Calc!H24</f>
        <v/>
      </c>
      <c r="I1037">
        <f>IF(Skills!T24&lt;&gt;"",1+(Skills!T24/10)*(Z1016/1000)/100,1)</f>
        <v/>
      </c>
      <c r="J1037" t="inlineStr"/>
      <c r="K1037" t="inlineStr"/>
      <c r="L1037" t="inlineStr"/>
      <c r="M1037" t="inlineStr"/>
      <c r="N1037" t="inlineStr"/>
      <c r="O1037">
        <f>(1-Summary!$B$11)*S1037+Summary!$B$11*U1037</f>
        <v/>
      </c>
      <c r="P1037">
        <f>IF(B1050=0,0,O1037/B1050)</f>
        <v/>
      </c>
      <c r="Q1037">
        <f>IFERROR(1/(IF(Inputs!$B$38="pvp",15,MAX(0.1,Skills!D24-IF(TRUE=TRUE,Inputs!$B$32,0)))*(1-IF(AND(ArtifactsInput!$M$27,Inputs!$B$4="Chapter Hunt"),CHOOSE(ArtifactsInput!$N$27+1,20,24,28,32,36,40),0)/100)),0)</f>
        <v/>
      </c>
      <c r="R1037">
        <f>IF(AND(Inputs!$B$38&lt;&gt;"pvp",Inputs!$B$43&gt;0),IF(Inputs!$B$43&lt;=0,0,(INT(Inputs!$B$43/(IF(Inputs!$B$38="pvp",15,MAX(0.1,Skills!D24-IF(TRUE=TRUE,Inputs!$B$32,0)))*(1-IF(AND(ArtifactsInput!$M$27,Inputs!$B$4="Chapter Hunt"),CHOOSE(ArtifactsInput!$N$27+1,20,24,28,32,36,40),0)/100)))+1)),0)</f>
        <v/>
      </c>
      <c r="S1037" t="n">
        <v>0</v>
      </c>
      <c r="U1037" t="n">
        <v>0</v>
      </c>
    </row>
    <row r="1040">
      <c r="A1040" t="inlineStr">
        <is>
          <t>Average Buff Multiplier (Magic Guard + Meditation + Artifact Attack%, summed; then Infinity)</t>
        </is>
      </c>
      <c r="B1040">
        <f>(1+(IF(C1016=TRUE,F1016*IF(AND(Inputs!$B$38&lt;&gt;"pvp",Inputs!$B$43&gt;0),(((R1016-1)*MIN((Skills!S3*(1+(Inputs!$B$34)/100)),(1/Q1016))+MIN((Skills!S3*(1+(Inputs!$B$34)/100)),MAX(0,Inputs!$B$43-((R1016-1)*(1/Q1016)))))/Inputs!$B$43),IF(Inputs!$B$38="pvp",MIN((Skills!S3*(1+(Inputs!$B$34)/100)),15)/15,MIN(1,(Skills!S3*(1+(Inputs!$B$34)/100))/(1/Q1016)))),0)+IF(C1017=TRUE,F1017*IF(AND(Inputs!$B$38&lt;&gt;"pvp",Inputs!$B$43&gt;0),(((R1017-1)*MIN((Skills!S4*(1+(Inputs!$B$34)/100)),(1/Q1017))+MIN((Skills!S4*(1+(Inputs!$B$34)/100)),MAX(0,Inputs!$B$43-((R1017-1)*(1/Q1017)))))/Inputs!$B$43),IF(Inputs!$B$38="pvp",MIN((Skills!S4*(1+(Inputs!$B$34)/100)),15)/15,MIN(1,(Skills!S4*(1+(Inputs!$B$34)/100))/(1/Q1017)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1029=TRUE,(1+F1029*IF(AND(Inputs!$B$38&lt;&gt;"pvp",Inputs!$B$43&gt;0),(((R1029-1)*MIN((Skills!S16*(1+(Inputs!$B$34)/100)),(1/Q1029))+MIN((Skills!S16*(1+(Inputs!$B$34)/100)),MAX(0,Inputs!$B$43-((R1029-1)*(1/Q1029)))))/Inputs!$B$43),IF(Inputs!$B$38="pvp",MIN((Skills!S16*(1+(Inputs!$B$34)/100)),15)/15,MIN(1,(Skills!S16*(1+(Inputs!$B$34)/100))/(1/Q1029))))/100),1)</f>
        <v/>
      </c>
    </row>
    <row r="1041">
      <c r="A1041" t="inlineStr">
        <is>
          <t>Monster Damage Taken Bonus % (Freezing Breath - Weaken + Elemental Reset + Artifact Enemy Damage Taken, summed)</t>
        </is>
      </c>
      <c r="B1041">
        <f>IF(Inputs!$B$3&gt;=118,15*IF(Inputs!$B$38="pvp",MIN((30*(1+(Inputs!$B$34)/100)),15)/15,MIN(1,(30*(1+(Inputs!$B$34)/100))/(1/Q1021))),0)+IF(C1027=TRUE,F1027,0)+(IF(AND(ArtifactsInput!$M$35,Inputs!$B$4&lt;&gt;"Chapter Hunt"),CHOOSE(ArtifactsInput!$N$35+1,15,18,21,24,27,30)*(1-EXP(-(0.2*B1044)*5)),0)+IF(AND(ArtifactsInput!$M$22,Inputs!$B$4&lt;&gt;"Chapter Hunt"),CHOOSE(ArtifactsInput!$N$22+1,10,12,14,16,18,20)*((0*(((0.15*B1044*5))^0/1)+1*(((0.15*B1044*5))^1/1)+2*(((0.15*B1044*5))^2/2)+3*(((0.15*B1044*5))^3/6)+4*(((0.15*B1044*5))^4/24)+5*(((0.15*B1044*5))^5/120))/((((0.15*B1044*5))^0/1)+(((0.15*B1044*5))^1/1)+(((0.15*B1044*5))^2/2)+(((0.15*B1044*5))^3/6)+(((0.15*B1044*5))^4/24)+(((0.15*B1044*5))^5/120))),0))</f>
        <v/>
      </c>
    </row>
    <row r="1042">
      <c r="A1042" t="inlineStr">
        <is>
          <t>Damage % Bonus (Frozen Break + Frost Clutch, flat)</t>
        </is>
      </c>
      <c r="B1042">
        <f>IF(Inputs!$B$3&gt;=66,15,0)+IF(Inputs!$B$3&gt;=98,10,0)+IF(Inputs!$B$3&gt;=125,20,0)</f>
        <v/>
      </c>
    </row>
    <row r="1043">
      <c r="A1043" t="inlineStr">
        <is>
          <t>Attack Speed Bonus % (MP Eater - MP Boost, always-on + Nimble Feet, duty-cycle averaged)</t>
        </is>
      </c>
      <c r="B1043">
        <f>IF(C1026=TRUE,F1026+(F1030-Calc!F17),0)+((C1037=TRUE)*F1037*IF(AND(Inputs!$B$38&lt;&gt;"pvp",Inputs!$B$43&gt;0),(((R1037-1)*MIN((Skills!S24*(1+(Inputs!$B$34)/100)),(1/Q1037))+MIN((Skills!S24*(1+(Inputs!$B$34)/100)),MAX(0,Inputs!$B$43-((R1037-1)*(1/Q1037)))))/Inputs!$B$43),IF(Inputs!$B$38="pvp",MIN((Skills!S24*(1+(Inputs!$B$34)/100)),15)/15,MIN(1,(Skills!S24*(1+(Inputs!$B$34)/100))/(1/Q1037)))))</f>
        <v/>
      </c>
    </row>
    <row r="1044">
      <c r="A1044" t="inlineStr">
        <is>
          <t>Actions Per Second</t>
        </is>
      </c>
      <c r="B1044">
        <f>1+MIN(150,150*(1-(1-(Inputs!$B$11+(ArtifactsInput!$M$15-ArtifactsInput!$M$15)*CHOOSE(ArtifactsInput!$N$15+1,8,9.6,11.2,12.8,14.4,16))/150)*(1-B1043/150)))/100</f>
        <v/>
      </c>
    </row>
    <row r="1045">
      <c r="A1045" t="inlineStr">
        <is>
          <t>Skill + Buff Cast Rate</t>
        </is>
      </c>
      <c r="B1045">
        <f>IF(AND(Inputs!$B$38&lt;&gt;"pvp",Inputs!$B$43&gt;0),SUMPRODUCT((Skills!E2:E24=TRUE)*(C1015:C1037=TRUE)*R1015:R1037)/Inputs!$B$43,SUMPRODUCT((Skills!E2:E24=TRUE)*(C1015:C1037=TRUE)*Q1015:Q1037))</f>
        <v/>
      </c>
    </row>
    <row r="1046">
      <c r="A1046" t="inlineStr">
        <is>
          <t>Chain Lightning Casts Per Second</t>
        </is>
      </c>
      <c r="B1046">
        <f>MAX(0,B1044-B1045)</f>
        <v/>
      </c>
    </row>
    <row r="1047">
      <c r="A1047" t="inlineStr">
        <is>
          <t>Buff-Casting Startup Delay (s, fixed-duration only)</t>
        </is>
      </c>
      <c r="B1047">
        <f>IF(AND(Inputs!$B$38&lt;&gt;"pvp",Inputs!$B$43&gt;0),SUMPRODUCT((Skills!S2:S24&gt;0)*(Skills!E2:E24=TRUE)*(C1015:C1037=TRUE))/B1044,0)</f>
        <v/>
      </c>
    </row>
    <row r="1048">
      <c r="A1048" t="inlineStr">
        <is>
          <t>Boss-Only Total DPS (this block's swept value)</t>
        </is>
      </c>
      <c r="B1048">
        <f>SUM(S1015:S1037)</f>
        <v/>
      </c>
    </row>
    <row r="1049">
      <c r="A1049" t="inlineStr">
        <is>
          <t>Normal-Only Total DPS (this block's swept value)</t>
        </is>
      </c>
      <c r="B1049">
        <f>SUM(U1015:U1037)</f>
        <v/>
      </c>
    </row>
    <row r="1050">
      <c r="A1050" s="6" t="inlineStr">
        <is>
          <t>TOTAL DPS</t>
        </is>
      </c>
      <c r="B1050" s="6">
        <f>SUM(O1015:O1037)</f>
        <v/>
      </c>
    </row>
    <row r="1051">
      <c r="A1051" t="inlineStr">
        <is>
          <t>Blizzard Final Attack trigger rate (this block's own Q/R)</t>
        </is>
      </c>
      <c r="B1051">
        <f>IF(AND(Inputs!$B$38&lt;&gt;"pvp",Inputs!$B$43&gt;0),(((C1018=TRUE)*R1018*1)+((C1019=TRUE)*R1019*1)+((C1021=TRUE)*R1021*1)+((C1022=TRUE)*R1022*3)+((C1024=TRUE)*R1024*1))/Inputs!$B$43,((C1018=TRUE)*Q1018*1)+((C1019=TRUE)*Q1019*1)+((C1021=TRUE)*Q1021*1)+((C1022=TRUE)*Q1022*3)+((C1024=TRUE)*Q1024*1))+B1046</f>
        <v/>
      </c>
    </row>
    <row r="1054">
      <c r="A1054" s="6" t="inlineStr">
        <is>
          <t>Stat: Buff Duration Increase %</t>
        </is>
      </c>
    </row>
    <row r="1055">
      <c r="A1055" s="5" t="inlineStr">
        <is>
          <t>Key</t>
        </is>
      </c>
      <c r="B1055" s="5" t="inlineStr">
        <is>
          <t>Name</t>
        </is>
      </c>
      <c r="C1055" s="5" t="inlineStr">
        <is>
          <t>Unlocked</t>
        </is>
      </c>
      <c r="D1055" s="5" t="inlineStr">
        <is>
          <t>InputLevel</t>
        </is>
      </c>
      <c r="E1055" s="5" t="inlineStr">
        <is>
          <t>Factor</t>
        </is>
      </c>
      <c r="F1055" s="5" t="inlineStr">
        <is>
          <t>CoefficientPercent</t>
        </is>
      </c>
      <c r="G1055" s="5" t="inlineStr">
        <is>
          <t>EffectiveHits</t>
        </is>
      </c>
      <c r="H1055" s="5" t="inlineStr">
        <is>
          <t>ProcProbability</t>
        </is>
      </c>
      <c r="I1055" s="5" t="inlineStr">
        <is>
          <t>MapleHeroMultiplier</t>
        </is>
      </c>
      <c r="J1055" s="5" t="inlineStr">
        <is>
          <t>BaseDamage</t>
        </is>
      </c>
      <c r="K1055" s="5" t="inlineStr">
        <is>
          <t>BaseHitDamage</t>
        </is>
      </c>
      <c r="L1055" s="5" t="inlineStr">
        <is>
          <t>NonCritAvg</t>
        </is>
      </c>
      <c r="M1055" s="5" t="inlineStr">
        <is>
          <t>CritAvg</t>
        </is>
      </c>
      <c r="N1055" s="5" t="inlineStr">
        <is>
          <t>ExpectedDamage(perHit)</t>
        </is>
      </c>
      <c r="O1055" s="5" t="inlineStr">
        <is>
          <t>DPS</t>
        </is>
      </c>
      <c r="P1055" s="5" t="inlineStr">
        <is>
          <t>% of Total</t>
        </is>
      </c>
      <c r="R1055" t="inlineStr">
        <is>
          <t>helpers</t>
        </is>
      </c>
    </row>
    <row r="1056">
      <c r="A1056">
        <f>Skills!A2</f>
        <v/>
      </c>
      <c r="B1056">
        <f>Skills!B2</f>
        <v/>
      </c>
      <c r="C1056">
        <f>Inputs!$B$3&gt;=100</f>
        <v/>
      </c>
      <c r="D1056" t="inlineStr"/>
      <c r="E1056" t="inlineStr"/>
      <c r="F1056">
        <f>T1058+Skills!N2</f>
        <v/>
      </c>
      <c r="G1056">
        <f>Calc!G2</f>
        <v/>
      </c>
      <c r="H1056">
        <f>Calc!H2</f>
        <v/>
      </c>
      <c r="I1056">
        <f>IF(Skills!T2&lt;&gt;"",1+(Skills!T2/10)*(Z1057/1000)/100,1)</f>
        <v/>
      </c>
      <c r="J1056">
        <f>((Inputs!$B$6*(1+Inputs!$B$7/100))+(((Inputs!$B$12*(1+Inputs!$B$13/100))-(Inputs!$B$12*(1+Inputs!$B$13/100)))+0.25*(Inputs!$B$14-Inputs!$B$14))*(1+Inputs!$B$7/100))*(F1056/100)</f>
        <v/>
      </c>
      <c r="K1056">
        <f>J1056*(1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2="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1056)</f>
        <v/>
      </c>
      <c r="L1056">
        <f>K1056*(MIN(Inputs!$B$22+(F1072-Calc!F18),(Inputs!$B$23+(IF(ArtifactsInput!$M$15,CHOOSE(ArtifactsInput!$N$15+1,25,30,35,40,45,50)/100*(Inputs!$B$11-Inputs!$B$11),0))))/100+(Inputs!$B$23+(IF(ArtifactsInput!$M$15,CHOOSE(ArtifactsInput!$N$15+1,25,30,35,40,45,50)/100*(Inputs!$B$11-Inputs!$B$11),0)))/100)/2</f>
        <v/>
      </c>
      <c r="M1056">
        <f>L1056*(1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6">
        <f>L1056*(1-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1056*(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6">
        <f>(1-Summary!$B$11)*S1056+Summary!$B$11*U1056</f>
        <v/>
      </c>
      <c r="P1056">
        <f>IF(B1091=0,0,O1056/B1091)</f>
        <v/>
      </c>
      <c r="Q1056">
        <f>IFERROR(1/(IF(Inputs!$B$38="pvp",15,MAX(0.1,Skills!D2-IF(TRUE=TRUE,Inputs!$B$32,0)))*(1-IF(AND(ArtifactsInput!$M$27,Inputs!$B$4="Chapter Hunt"),CHOOSE(ArtifactsInput!$N$27+1,20,24,28,32,36,40),0)/100)),0)</f>
        <v/>
      </c>
      <c r="R1056" t="n">
        <v>0</v>
      </c>
      <c r="S1056">
        <f>IF(C1056,(Skills!F2*N1056*B1087)*IF(Inputs!$B$38="pvp",1,1+(Inputs!$B$20+Skills!O2+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1056*(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1056*(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56">
        <f>MAX(0,(Inputs!$B$3-100)*3)+Inputs!$B$28+Inputs!$B$29</f>
        <v/>
      </c>
      <c r="U1056">
        <f>IF(C1056,(Skills!F2*N1056*B1087)*IF(Inputs!$B$38="pvp",1,(1+(Inputs!$B$21+Skills!P2+B1082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056">
        <f>MAX(0,(Inputs!$B$3-100)*3)+Inputs!$B$28+Inputs!$B$29</f>
        <v/>
      </c>
    </row>
    <row r="1057">
      <c r="A1057">
        <f>Skills!A3</f>
        <v/>
      </c>
      <c r="B1057">
        <f>Skills!B3</f>
        <v/>
      </c>
      <c r="C1057">
        <f>Inputs!$B$3&gt;=15</f>
        <v/>
      </c>
      <c r="D1057">
        <f>IF(Skills!C3=1,60+Inputs!$B$25+Inputs!$B$29,IF(Skills!C3=2,90+Inputs!$B$26+Inputs!$B$29,IF(Skills!C3=3,120+Inputs!$B$27+Inputs!$B$29,MAX(0,(Inputs!$B$3-100)*3)+Inputs!$B$28+Inputs!$B$29)))</f>
        <v/>
      </c>
      <c r="E1057">
        <f>INDEX(FactorTable!$B$2:$Y$301, MATCH(ROUND(MIN(300,MAX(1,D1057)),0), FactorTable!$A$2:$A$301,0), Skills!L3+1)</f>
        <v/>
      </c>
      <c r="F1057">
        <f>IF(Skills!M3=TRUE,(Skills!K3/10)*(E1057/1000),Skills!K3/10)+Skills!N3</f>
        <v/>
      </c>
      <c r="G1057">
        <f>Calc!G3</f>
        <v/>
      </c>
      <c r="H1057">
        <f>Calc!H3</f>
        <v/>
      </c>
      <c r="I1057">
        <f>IF(Skills!T3&lt;&gt;"",1+(Skills!T3/10)*(Z1057/1000)/100,1)</f>
        <v/>
      </c>
      <c r="J1057" t="inlineStr"/>
      <c r="K1057" t="inlineStr"/>
      <c r="L1057" t="inlineStr"/>
      <c r="M1057" t="inlineStr"/>
      <c r="N1057" t="inlineStr"/>
      <c r="O1057">
        <f>(1-Summary!$B$11)*S1057+Summary!$B$11*U1057</f>
        <v/>
      </c>
      <c r="P1057">
        <f>IF(B1091=0,0,O1057/B1091)</f>
        <v/>
      </c>
      <c r="Q1057">
        <f>IFERROR(1/(IF(Inputs!$B$38="pvp",15,MAX(0.1,Skills!D3-IF(TRUE=TRUE,Inputs!$B$32,0)))*(1-IF(AND(ArtifactsInput!$M$27,Inputs!$B$4="Chapter Hunt"),CHOOSE(ArtifactsInput!$N$27+1,20,24,28,32,36,40),0)/100)),0)</f>
        <v/>
      </c>
      <c r="R1057">
        <f>IF(AND(Inputs!$B$38&lt;&gt;"pvp",Inputs!$B$43&gt;0),IF(Inputs!$B$43&lt;=0,0,(INT(Inputs!$B$43/(IF(Inputs!$B$38="pvp",15,MAX(0.1,Skills!D3-IF(TRUE=TRUE,Inputs!$B$32,0)))*(1-IF(AND(ArtifactsInput!$M$27,Inputs!$B$4="Chapter Hunt"),CHOOSE(ArtifactsInput!$N$27+1,20,24,28,32,36,40),0)/100)))+1)),0)</f>
        <v/>
      </c>
      <c r="S1057" t="n">
        <v>0</v>
      </c>
      <c r="T1057">
        <f>INDEX(FactorTable!$B$2:$Y$301, MATCH(ROUND(MIN(300,MAX(1,T1056)),0), FactorTable!$A$2:$A$301,0), 22)</f>
        <v/>
      </c>
      <c r="U1057" t="n">
        <v>0</v>
      </c>
      <c r="Z1057">
        <f>INDEX(FactorTable!$B$2:$Y$301, MATCH(ROUND(MIN(300,MAX(1,Z1056)),0), FactorTable!$A$2:$A$301,0), 24)</f>
        <v/>
      </c>
    </row>
    <row r="1058">
      <c r="A1058">
        <f>Skills!A4</f>
        <v/>
      </c>
      <c r="B1058">
        <f>Skills!B4</f>
        <v/>
      </c>
      <c r="C1058">
        <f>Inputs!$B$3&gt;=40</f>
        <v/>
      </c>
      <c r="D1058">
        <f>IF(Skills!C4=1,60+Inputs!$B$25+Inputs!$B$29,IF(Skills!C4=2,90+Inputs!$B$26+Inputs!$B$29,IF(Skills!C4=3,120+Inputs!$B$27+Inputs!$B$29,MAX(0,(Inputs!$B$3-100)*3)+Inputs!$B$28+Inputs!$B$29)))</f>
        <v/>
      </c>
      <c r="E1058">
        <f>INDEX(FactorTable!$B$2:$Y$301, MATCH(ROUND(MIN(300,MAX(1,D1058)),0), FactorTable!$A$2:$A$301,0), Skills!L4+1)</f>
        <v/>
      </c>
      <c r="F1058">
        <f>IF(Skills!M4=TRUE,(Skills!K4/10)*(E1058/1000),Skills!K4/10)+Skills!N4</f>
        <v/>
      </c>
      <c r="G1058">
        <f>Calc!G4</f>
        <v/>
      </c>
      <c r="H1058">
        <f>Calc!H4</f>
        <v/>
      </c>
      <c r="I1058">
        <f>IF(Skills!T4&lt;&gt;"",1+(Skills!T4/10)*(Z1057/1000)/100,1)</f>
        <v/>
      </c>
      <c r="J1058" t="inlineStr"/>
      <c r="K1058" t="inlineStr"/>
      <c r="L1058" t="inlineStr"/>
      <c r="M1058" t="inlineStr"/>
      <c r="N1058" t="inlineStr"/>
      <c r="O1058">
        <f>(1-Summary!$B$11)*S1058+Summary!$B$11*U1058</f>
        <v/>
      </c>
      <c r="P1058">
        <f>IF(B1091=0,0,O1058/B1091)</f>
        <v/>
      </c>
      <c r="Q1058">
        <f>IFERROR(1/(IF(Inputs!$B$38="pvp",15,MAX(0.1,Skills!D4-IF(TRUE=TRUE,Inputs!$B$32,0)))*(1-IF(AND(ArtifactsInput!$M$27,Inputs!$B$4="Chapter Hunt"),CHOOSE(ArtifactsInput!$N$27+1,20,24,28,32,36,40),0)/100)),0)</f>
        <v/>
      </c>
      <c r="R1058">
        <f>IF(AND(Inputs!$B$38&lt;&gt;"pvp",Inputs!$B$43&gt;0),IF(Inputs!$B$43&lt;=0,0,(INT(Inputs!$B$43/(IF(Inputs!$B$38="pvp",15,MAX(0.1,Skills!D4-IF(TRUE=TRUE,Inputs!$B$32,0)))*(1-IF(AND(ArtifactsInput!$M$27,Inputs!$B$4="Chapter Hunt"),CHOOSE(ArtifactsInput!$N$27+1,20,24,28,32,36,40),0)/100)))+1)),0)</f>
        <v/>
      </c>
      <c r="S1058" t="n">
        <v>0</v>
      </c>
      <c r="T1058">
        <f>290*T1057/1000</f>
        <v/>
      </c>
      <c r="U1058" t="n">
        <v>0</v>
      </c>
    </row>
    <row r="1059">
      <c r="A1059">
        <f>Skills!A5</f>
        <v/>
      </c>
      <c r="B1059">
        <f>Skills!B5</f>
        <v/>
      </c>
      <c r="C1059">
        <f>Inputs!$B$3&gt;=38</f>
        <v/>
      </c>
      <c r="D1059">
        <f>IF(Skills!C5=1,60+Inputs!$B$25+Inputs!$B$29,IF(Skills!C5=2,90+Inputs!$B$26+Inputs!$B$29,IF(Skills!C5=3,120+Inputs!$B$27+Inputs!$B$29,MAX(0,(Inputs!$B$3-100)*3)+Inputs!$B$28+Inputs!$B$29)))</f>
        <v/>
      </c>
      <c r="E1059">
        <f>INDEX(FactorTable!$B$2:$Y$301, MATCH(ROUND(MIN(300,MAX(1,D1059)),0), FactorTable!$A$2:$A$301,0), Skills!L5+1)</f>
        <v/>
      </c>
      <c r="F1059">
        <f>IF(Skills!M5=TRUE,(Skills!K5/10)*(E1059/1000),Skills!K5/10)+Skills!N5</f>
        <v/>
      </c>
      <c r="G1059">
        <f>Calc!G5</f>
        <v/>
      </c>
      <c r="H1059">
        <f>Calc!H5</f>
        <v/>
      </c>
      <c r="I1059">
        <f>IF(Skills!T5&lt;&gt;"",1+(Skills!T5/10)*(Z1057/1000)/100,1)</f>
        <v/>
      </c>
      <c r="J1059">
        <f>((Inputs!$B$6*(1+Inputs!$B$7/100))+(((Inputs!$B$12*(1+Inputs!$B$13/100))-(Inputs!$B$12*(1+Inputs!$B$13/100)))+0.25*(Inputs!$B$14-Inputs!$B$14))*(1+Inputs!$B$7/100))*(F1059/100)</f>
        <v/>
      </c>
      <c r="K1059">
        <f>J1059*(1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5="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1059)</f>
        <v/>
      </c>
      <c r="L1059">
        <f>K1059*(MIN(Inputs!$B$22+(F1072-Calc!F18),(Inputs!$B$23+(IF(ArtifactsInput!$M$15,CHOOSE(ArtifactsInput!$N$15+1,25,30,35,40,45,50)/100*(Inputs!$B$11-Inputs!$B$11),0))))/100+(Inputs!$B$23+(IF(ArtifactsInput!$M$15,CHOOSE(ArtifactsInput!$N$15+1,25,30,35,40,45,50)/100*(Inputs!$B$11-Inputs!$B$11),0)))/100)/2</f>
        <v/>
      </c>
      <c r="M1059">
        <f>L1059*(1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59">
        <f>L1059*(1-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1059*(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59">
        <f>(1-Summary!$B$11)*S1059+Summary!$B$11*U1059</f>
        <v/>
      </c>
      <c r="P1059">
        <f>IF(B1091=0,0,O1059/B1091)</f>
        <v/>
      </c>
      <c r="Q1059">
        <f>IFERROR(1/(IF(Inputs!$B$38="pvp",15,MAX(0.1,Skills!D5-IF(TRUE=TRUE,Inputs!$B$32,0)))*(1-IF(AND(ArtifactsInput!$M$27,Inputs!$B$4="Chapter Hunt"),CHOOSE(ArtifactsInput!$N$27+1,20,24,28,32,36,40),0)/100)),0)</f>
        <v/>
      </c>
      <c r="R1059">
        <f>IF(AND(Inputs!$B$38&lt;&gt;"pvp",Inputs!$B$43&gt;0),IF(MAX(0,Inputs!$B$43-B1088)&lt;=0,0,(INT(MAX(0,Inputs!$B$43-B1088)/(IF(Inputs!$B$38="pvp",15,MAX(0.1,Skills!D5-IF(TRUE=TRUE,Inputs!$B$32,0)))*(1-IF(AND(ArtifactsInput!$M$27,Inputs!$B$4="Chapter Hunt"),CHOOSE(ArtifactsInput!$N$27+1,20,24,28,32,36,40),0)/100)))+1)),0)</f>
        <v/>
      </c>
      <c r="S1059">
        <f>IF(C1059,(H1059*N1059*IF(AND(Inputs!$B$38&lt;&gt;"pvp",Inputs!$B$43&gt;0),((Skills!F5*((R1059-1)*IF(Skills!G5&gt;0,Skills!H5/Skills!G5,1)+IF(Skills!G5&gt;0,MIN(Skills!H5,MAX(0,MAX(0,Inputs!$B$43-B1088)-((R1059-1)*(IF(Inputs!$B$38="pvp",15,MAX(0.1,Skills!D5-IF(TRUE=TRUE,Inputs!$B$32,0)))*(1-IF(AND(ArtifactsInput!$M$27,Inputs!$B$4="Chapter Hunt"),CHOOSE(ArtifactsInput!$N$27+1,20,24,28,32,36,40),0)/100)))))/Skills!G5,1)))/Inputs!$B$43),G1059*Q1059))*IF(Inputs!$B$38="pvp",1,1+(Inputs!$B$20+Skills!O5+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1059*(1-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1059*(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1059*(1-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1059*(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59">
        <f>IF(C1059,(H1059*N1059*IF(AND(Inputs!$B$38&lt;&gt;"pvp",Inputs!$B$43&gt;0),((Skills!F5*((R1059-1)*IF(Skills!G5&gt;0,Skills!H5/Skills!G5,1)+IF(Skills!G5&gt;0,MIN(Skills!H5,MAX(0,MAX(0,Inputs!$B$43-B1088)-((R1059-1)*(IF(Inputs!$B$38="pvp",15,MAX(0.1,Skills!D5-IF(TRUE=TRUE,Inputs!$B$32,0)))*(1-IF(AND(ArtifactsInput!$M$27,Inputs!$B$4="Chapter Hunt"),CHOOSE(ArtifactsInput!$N$27+1,20,24,28,32,36,40),0)/100)))))/Skills!G5,1)))/Inputs!$B$43),G1059*Q1059))*IF(Inputs!$B$38="pvp",1,(1+(Inputs!$B$21+Skills!P5+B1082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0">
      <c r="A1060">
        <f>Skills!A6</f>
        <v/>
      </c>
      <c r="B1060">
        <f>Skills!B6</f>
        <v/>
      </c>
      <c r="C1060">
        <f>Inputs!$B$3&gt;=63</f>
        <v/>
      </c>
      <c r="D1060">
        <f>IF(Skills!C6=1,60+Inputs!$B$25+Inputs!$B$29,IF(Skills!C6=2,90+Inputs!$B$26+Inputs!$B$29,IF(Skills!C6=3,120+Inputs!$B$27+Inputs!$B$29,MAX(0,(Inputs!$B$3-100)*3)+Inputs!$B$28+Inputs!$B$29)))</f>
        <v/>
      </c>
      <c r="E1060">
        <f>INDEX(FactorTable!$B$2:$Y$301, MATCH(ROUND(MIN(300,MAX(1,D1060)),0), FactorTable!$A$2:$A$301,0), Skills!L6+1)</f>
        <v/>
      </c>
      <c r="F1060">
        <f>IF(Skills!M6=TRUE,(Skills!K6/10)*(E1060/1000),Skills!K6/10)+Skills!N6</f>
        <v/>
      </c>
      <c r="G1060">
        <f>Calc!G6</f>
        <v/>
      </c>
      <c r="H1060">
        <f>Calc!H6</f>
        <v/>
      </c>
      <c r="I1060">
        <f>IF(Skills!T6&lt;&gt;"",1+(Skills!T6/10)*(Z1057/1000)/100,1)</f>
        <v/>
      </c>
      <c r="J1060">
        <f>((Inputs!$B$6*(1+Inputs!$B$7/100))+(((Inputs!$B$12*(1+Inputs!$B$13/100))-(Inputs!$B$12*(1+Inputs!$B$13/100)))+0.25*(Inputs!$B$14-Inputs!$B$14))*(1+Inputs!$B$7/100))*(F1060/100)</f>
        <v/>
      </c>
      <c r="K1060">
        <f>J1060*(1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6="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1060)</f>
        <v/>
      </c>
      <c r="L1060">
        <f>K1060*(MIN(Inputs!$B$22+(F1072-Calc!F18),(Inputs!$B$23+(IF(ArtifactsInput!$M$15,CHOOSE(ArtifactsInput!$N$15+1,25,30,35,40,45,50)/100*(Inputs!$B$11-Inputs!$B$11),0))))/100+(Inputs!$B$23+(IF(ArtifactsInput!$M$15,CHOOSE(ArtifactsInput!$N$15+1,25,30,35,40,45,50)/100*(Inputs!$B$11-Inputs!$B$11),0)))/100)/2</f>
        <v/>
      </c>
      <c r="M1060">
        <f>L1060*(1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0">
        <f>L1060*(1-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1060*(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0">
        <f>(1-Summary!$B$11)*S1060+Summary!$B$11*U1060</f>
        <v/>
      </c>
      <c r="P1060">
        <f>IF(B1091=0,0,O1060/B1091)</f>
        <v/>
      </c>
      <c r="Q1060">
        <f>IFERROR(1/(IF(Inputs!$B$38="pvp",15,MAX(0.1,Skills!D6-IF(TRUE=TRUE,Inputs!$B$32,0)))*(1-IF(AND(ArtifactsInput!$M$27,Inputs!$B$4="Chapter Hunt"),CHOOSE(ArtifactsInput!$N$27+1,20,24,28,32,36,40),0)/100)),0)</f>
        <v/>
      </c>
      <c r="R1060">
        <f>IF(AND(Inputs!$B$38&lt;&gt;"pvp",Inputs!$B$43&gt;0),IF(MAX(0,Inputs!$B$43-B1088)&lt;=0,0,(INT(MAX(0,Inputs!$B$43-B1088)/(IF(Inputs!$B$38="pvp",15,MAX(0.1,Skills!D6-IF(TRUE=TRUE,Inputs!$B$32,0)))*(1-IF(AND(ArtifactsInput!$M$27,Inputs!$B$4="Chapter Hunt"),CHOOSE(ArtifactsInput!$N$27+1,20,24,28,32,36,40),0)/100)))+1)),0)</f>
        <v/>
      </c>
      <c r="S1060">
        <f>IF(C1060,(H1060*N1060*IF(AND(Inputs!$B$38&lt;&gt;"pvp",Inputs!$B$43&gt;0),((Skills!F6*((R1060-1)*IF(Skills!G6&gt;0,Skills!H6/Skills!G6,1)+IF(Skills!G6&gt;0,MIN(Skills!H6,MAX(0,MAX(0,Inputs!$B$43-B1088)-((R1060-1)*(IF(Inputs!$B$38="pvp",15,MAX(0.1,Skills!D6-IF(TRUE=TRUE,Inputs!$B$32,0)))*(1-IF(AND(ArtifactsInput!$M$27,Inputs!$B$4="Chapter Hunt"),CHOOSE(ArtifactsInput!$N$27+1,20,24,28,32,36,40),0)/100)))))/Skills!G6,1)))/Inputs!$B$43),G1060*Q1060))*IF(Inputs!$B$38="pvp",1,1+(Inputs!$B$20+Skills!O6+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1060*(1-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1060*(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1060*(1-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1060*(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0">
        <f>IF(C1060,(H1060*N1060*IF(AND(Inputs!$B$38&lt;&gt;"pvp",Inputs!$B$43&gt;0),((Skills!F6*((R1060-1)*IF(Skills!G6&gt;0,Skills!H6/Skills!G6,1)+IF(Skills!G6&gt;0,MIN(Skills!H6,MAX(0,MAX(0,Inputs!$B$43-B1088)-((R1060-1)*(IF(Inputs!$B$38="pvp",15,MAX(0.1,Skills!D6-IF(TRUE=TRUE,Inputs!$B$32,0)))*(1-IF(AND(ArtifactsInput!$M$27,Inputs!$B$4="Chapter Hunt"),CHOOSE(ArtifactsInput!$N$27+1,20,24,28,32,36,40),0)/100)))))/Skills!G6,1)))/Inputs!$B$43),G1060*Q1060))*IF(Inputs!$B$38="pvp",1,(1+(Inputs!$B$21+Skills!P6+B1082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1">
      <c r="A1061">
        <f>Skills!A7</f>
        <v/>
      </c>
      <c r="B1061">
        <f>Skills!B7</f>
        <v/>
      </c>
      <c r="C1061">
        <f>Inputs!$B$3&gt;=69</f>
        <v/>
      </c>
      <c r="D1061">
        <f>IF(Skills!C7=1,60+Inputs!$B$25+Inputs!$B$29,IF(Skills!C7=2,90+Inputs!$B$26+Inputs!$B$29,IF(Skills!C7=3,120+Inputs!$B$27+Inputs!$B$29,MAX(0,(Inputs!$B$3-100)*3)+Inputs!$B$28+Inputs!$B$29)))</f>
        <v/>
      </c>
      <c r="E1061">
        <f>INDEX(FactorTable!$B$2:$Y$301, MATCH(ROUND(MIN(300,MAX(1,D1061)),0), FactorTable!$A$2:$A$301,0), Skills!L7+1)</f>
        <v/>
      </c>
      <c r="F1061">
        <f>IF(Skills!M7=TRUE,(Skills!K7/10)*(E1061/1000),Skills!K7/10)+Skills!N7</f>
        <v/>
      </c>
      <c r="G1061">
        <f>Calc!G7</f>
        <v/>
      </c>
      <c r="H1061">
        <f>Calc!H7</f>
        <v/>
      </c>
      <c r="I1061">
        <f>IF(Skills!T7&lt;&gt;"",1+(Skills!T7/10)*(Z1057/1000)/100,1)</f>
        <v/>
      </c>
      <c r="J1061">
        <f>((Inputs!$B$6*(1+Inputs!$B$7/100))+(((Inputs!$B$12*(1+Inputs!$B$13/100))-(Inputs!$B$12*(1+Inputs!$B$13/100)))+0.25*(Inputs!$B$14-Inputs!$B$14))*(1+Inputs!$B$7/100))*(F1061/100)</f>
        <v/>
      </c>
      <c r="K1061">
        <f>J1061*(1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7="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1061)</f>
        <v/>
      </c>
      <c r="L1061">
        <f>K1061*(MIN(Inputs!$B$22+(F1072-Calc!F18),(Inputs!$B$23+(IF(ArtifactsInput!$M$15,CHOOSE(ArtifactsInput!$N$15+1,25,30,35,40,45,50)/100*(Inputs!$B$11-Inputs!$B$11),0))))/100+(Inputs!$B$23+(IF(ArtifactsInput!$M$15,CHOOSE(ArtifactsInput!$N$15+1,25,30,35,40,45,50)/100*(Inputs!$B$11-Inputs!$B$11),0)))/100)/2</f>
        <v/>
      </c>
      <c r="M1061">
        <f>L1061*(1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1">
        <f>L1061*(1-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1">
        <f>(1-Summary!$B$11)*S1061+Summary!$B$11*U1061</f>
        <v/>
      </c>
      <c r="P1061">
        <f>IF(B1091=0,0,O1061/B1091)</f>
        <v/>
      </c>
      <c r="Q1061">
        <f>IFERROR(1/(IF(Inputs!$B$38="pvp",15,MAX(0.1,Skills!D7-IF(TRUE=TRUE,Inputs!$B$32,0)))*(1-IF(AND(ArtifactsInput!$M$27,Inputs!$B$4="Chapter Hunt"),CHOOSE(ArtifactsInput!$N$27+1,20,24,28,32,36,40),0)/100)),0)</f>
        <v/>
      </c>
      <c r="R1061">
        <f>IF(AND(Inputs!$B$38&lt;&gt;"pvp",Inputs!$B$43&gt;0),IF(MAX(0,Inputs!$B$43-B1088)&lt;=0,0,(INT(MAX(0,Inputs!$B$43-B1088)/(IF(Inputs!$B$38="pvp",15,MAX(0.1,Skills!D7-IF(TRUE=TRUE,Inputs!$B$32,0)))*(1-IF(AND(ArtifactsInput!$M$27,Inputs!$B$4="Chapter Hunt"),CHOOSE(ArtifactsInput!$N$27+1,20,24,28,32,36,40),0)/100)))+1)),0)</f>
        <v/>
      </c>
      <c r="S1061">
        <f>IF(C1061,(H1061*N1061*IF(AND(Inputs!$B$38&lt;&gt;"pvp",Inputs!$B$43&gt;0),((Skills!F7*((R1061-1)*IF(Skills!G7&gt;0,Skills!H7/Skills!G7,1)+IF(Skills!G7&gt;0,MIN(Skills!H7,MAX(0,MAX(0,Inputs!$B$43-B1088)-((R1061-1)*(IF(Inputs!$B$38="pvp",15,MAX(0.1,Skills!D7-IF(TRUE=TRUE,Inputs!$B$32,0)))*(1-IF(AND(ArtifactsInput!$M$27,Inputs!$B$4="Chapter Hunt"),CHOOSE(ArtifactsInput!$N$27+1,20,24,28,32,36,40),0)/100)))))/Skills!G7,1)))/Inputs!$B$43),G1061*Q1061))*IF(Inputs!$B$38="pvp",1,1+(Inputs!$B$20+Skills!O7+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1061*(1-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1061*(1-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1">
        <f>IF(C1061,(H1061*N1061*IF(AND(Inputs!$B$38&lt;&gt;"pvp",Inputs!$B$43&gt;0),((Skills!F7*((R1061-1)*IF(Skills!G7&gt;0,Skills!H7/Skills!G7,1)+IF(Skills!G7&gt;0,MIN(Skills!H7,MAX(0,MAX(0,Inputs!$B$43-B1088)-((R1061-1)*(IF(Inputs!$B$38="pvp",15,MAX(0.1,Skills!D7-IF(TRUE=TRUE,Inputs!$B$32,0)))*(1-IF(AND(ArtifactsInput!$M$27,Inputs!$B$4="Chapter Hunt"),CHOOSE(ArtifactsInput!$N$27+1,20,24,28,32,36,40),0)/100)))))/Skills!G7,1)))/Inputs!$B$43),G1061*Q1061))*IF(Inputs!$B$38="pvp",1,(1+(Inputs!$B$21+Skills!P7+B1082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2">
      <c r="A1062">
        <f>Skills!A8</f>
        <v/>
      </c>
      <c r="B1062">
        <f>Skills!B8</f>
        <v/>
      </c>
      <c r="C1062">
        <f>Inputs!$B$3&gt;=103</f>
        <v/>
      </c>
      <c r="D1062">
        <f>IF(Skills!C8=1,60+Inputs!$B$25+Inputs!$B$29,IF(Skills!C8=2,90+Inputs!$B$26+Inputs!$B$29,IF(Skills!C8=3,120+Inputs!$B$27+Inputs!$B$29,MAX(0,(Inputs!$B$3-100)*3)+Inputs!$B$28+Inputs!$B$29)))</f>
        <v/>
      </c>
      <c r="E1062">
        <f>INDEX(FactorTable!$B$2:$Y$301, MATCH(ROUND(MIN(300,MAX(1,D1062)),0), FactorTable!$A$2:$A$301,0), Skills!L8+1)</f>
        <v/>
      </c>
      <c r="F1062">
        <f>IF(Skills!M8=TRUE,(Skills!K8/10)*(E1062/1000),Skills!K8/10)+Skills!N8</f>
        <v/>
      </c>
      <c r="G1062">
        <f>Calc!G8</f>
        <v/>
      </c>
      <c r="H1062">
        <f>Calc!H8</f>
        <v/>
      </c>
      <c r="I1062">
        <f>IF(Skills!T8&lt;&gt;"",1+(Skills!T8/10)*(Z1057/1000)/100,1)</f>
        <v/>
      </c>
      <c r="J1062">
        <f>((Inputs!$B$6*(1+Inputs!$B$7/100))+(((Inputs!$B$12*(1+Inputs!$B$13/100))-(Inputs!$B$12*(1+Inputs!$B$13/100)))+0.25*(Inputs!$B$14-Inputs!$B$14))*(1+Inputs!$B$7/100))*(F1062/100)</f>
        <v/>
      </c>
      <c r="K1062">
        <f>J1062*(1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8="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1062)</f>
        <v/>
      </c>
      <c r="L1062">
        <f>K1062*(MIN(Inputs!$B$22+(F1072-Calc!F18),(Inputs!$B$23+(IF(ArtifactsInput!$M$15,CHOOSE(ArtifactsInput!$N$15+1,25,30,35,40,45,50)/100*(Inputs!$B$11-Inputs!$B$11),0))))/100+(Inputs!$B$23+(IF(ArtifactsInput!$M$15,CHOOSE(ArtifactsInput!$N$15+1,25,30,35,40,45,50)/100*(Inputs!$B$11-Inputs!$B$11),0)))/100)/2</f>
        <v/>
      </c>
      <c r="M1062">
        <f>L1062*(1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2">
        <f>L1062*(1-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1062*(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2">
        <f>(1-Summary!$B$11)*S1062+Summary!$B$11*U1062</f>
        <v/>
      </c>
      <c r="P1062">
        <f>IF(B1091=0,0,O1062/B1091)</f>
        <v/>
      </c>
      <c r="Q1062">
        <f>IFERROR(1/(IF(Inputs!$B$38="pvp",15,MAX(0.1,Skills!D8-IF(TRUE=TRUE,Inputs!$B$32,0)))*(1-IF(AND(ArtifactsInput!$M$27,Inputs!$B$4="Chapter Hunt"),CHOOSE(ArtifactsInput!$N$27+1,20,24,28,32,36,40),0)/100)),0)</f>
        <v/>
      </c>
      <c r="R1062">
        <f>IF(AND(Inputs!$B$38&lt;&gt;"pvp",Inputs!$B$43&gt;0),IF(MAX(0,Inputs!$B$43-B1088)&lt;=0,0,(INT(MAX(0,Inputs!$B$43-B1088)/(IF(Inputs!$B$38="pvp",15,MAX(0.1,Skills!D8-IF(TRUE=TRUE,Inputs!$B$32,0)))*(1-IF(AND(ArtifactsInput!$M$27,Inputs!$B$4="Chapter Hunt"),CHOOSE(ArtifactsInput!$N$27+1,20,24,28,32,36,40),0)/100)))+1)),0)</f>
        <v/>
      </c>
      <c r="S1062">
        <f>IF(C1062,(H1062*N1062*IF(AND(Inputs!$B$38&lt;&gt;"pvp",Inputs!$B$43&gt;0),((Skills!F8*((R1062-1)*IF(Skills!G8&gt;0,Skills!H8/Skills!G8,1)+IF(Skills!G8&gt;0,MIN(Skills!H8,MAX(0,MAX(0,Inputs!$B$43-B1088)-((R1062-1)*(IF(Inputs!$B$38="pvp",15,MAX(0.1,Skills!D8-IF(TRUE=TRUE,Inputs!$B$32,0)))*(1-IF(AND(ArtifactsInput!$M$27,Inputs!$B$4="Chapter Hunt"),CHOOSE(ArtifactsInput!$N$27+1,20,24,28,32,36,40),0)/100)))))/Skills!G8,1)))/Inputs!$B$43),G1062*Q1062))*IF(Inputs!$B$38="pvp",1,1+(Inputs!$B$20+Skills!O8+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1062*(1-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1062*(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1062*(1-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1062*(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2">
        <f>IF(C1062,(H1062*N1062*IF(AND(Inputs!$B$38&lt;&gt;"pvp",Inputs!$B$43&gt;0),((Skills!F8*((R1062-1)*IF(Skills!G8&gt;0,Skills!H8/Skills!G8,1)+IF(Skills!G8&gt;0,MIN(Skills!H8,MAX(0,MAX(0,Inputs!$B$43-B1088)-((R1062-1)*(IF(Inputs!$B$38="pvp",15,MAX(0.1,Skills!D8-IF(TRUE=TRUE,Inputs!$B$32,0)))*(1-IF(AND(ArtifactsInput!$M$27,Inputs!$B$4="Chapter Hunt"),CHOOSE(ArtifactsInput!$N$27+1,20,24,28,32,36,40),0)/100)))))/Skills!G8,1)))/Inputs!$B$43),G1062*Q1062))*IF(Inputs!$B$38="pvp",1,(1+(Inputs!$B$21+Skills!P8+B1082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3">
      <c r="A1063">
        <f>Skills!A9</f>
        <v/>
      </c>
      <c r="B1063">
        <f>Skills!B9</f>
        <v/>
      </c>
      <c r="C1063">
        <f>Inputs!$B$3&gt;=105</f>
        <v/>
      </c>
      <c r="D1063">
        <f>IF(Skills!C9=1,60+Inputs!$B$25+Inputs!$B$29,IF(Skills!C9=2,90+Inputs!$B$26+Inputs!$B$29,IF(Skills!C9=3,120+Inputs!$B$27+Inputs!$B$29,MAX(0,(Inputs!$B$3-100)*3)+Inputs!$B$28+Inputs!$B$29)))</f>
        <v/>
      </c>
      <c r="E1063">
        <f>INDEX(FactorTable!$B$2:$Y$301, MATCH(ROUND(MIN(300,MAX(1,D1063)),0), FactorTable!$A$2:$A$301,0), Skills!L9+1)</f>
        <v/>
      </c>
      <c r="F1063">
        <f>IF(Skills!M9=TRUE,(Skills!K9/10)*(E1063/1000),Skills!K9/10)+Skills!N9</f>
        <v/>
      </c>
      <c r="G1063">
        <f>Calc!G9</f>
        <v/>
      </c>
      <c r="H1063">
        <f>Calc!H9</f>
        <v/>
      </c>
      <c r="I1063">
        <f>IF(Skills!T9&lt;&gt;"",1+(Skills!T9/10)*(Z1057/1000)/100,1)</f>
        <v/>
      </c>
      <c r="J1063">
        <f>((Inputs!$B$6*(1+Inputs!$B$7/100))+(((Inputs!$B$12*(1+Inputs!$B$13/100))-(Inputs!$B$12*(1+Inputs!$B$13/100)))+0.25*(Inputs!$B$14-Inputs!$B$14))*(1+Inputs!$B$7/100))*(F1063/100)</f>
        <v/>
      </c>
      <c r="K1063">
        <f>J1063*(1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9="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1063)</f>
        <v/>
      </c>
      <c r="L1063">
        <f>K1063*(MIN(Inputs!$B$22+(F1072-Calc!F18),(Inputs!$B$23+(IF(ArtifactsInput!$M$15,CHOOSE(ArtifactsInput!$N$15+1,25,30,35,40,45,50)/100*(Inputs!$B$11-Inputs!$B$11),0))))/100+(Inputs!$B$23+(IF(ArtifactsInput!$M$15,CHOOSE(ArtifactsInput!$N$15+1,25,30,35,40,45,50)/100*(Inputs!$B$11-Inputs!$B$11),0)))/100)/2</f>
        <v/>
      </c>
      <c r="M1063">
        <f>L1063*(1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3">
        <f>L1063*(1-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1063*(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3">
        <f>(1-Summary!$B$11)*S1063+Summary!$B$11*U1063</f>
        <v/>
      </c>
      <c r="P1063">
        <f>IF(B1091=0,0,O1063/B1091)</f>
        <v/>
      </c>
      <c r="Q1063">
        <f>IFERROR(1/(IF(Inputs!$B$38="pvp",15,MAX(0.1,Skills!D9-IF(TRUE=TRUE,Inputs!$B$32,0)))*(1-IF(AND(ArtifactsInput!$M$27,Inputs!$B$4="Chapter Hunt"),CHOOSE(ArtifactsInput!$N$27+1,20,24,28,32,36,40),0)/100)),0)</f>
        <v/>
      </c>
      <c r="R1063">
        <f>IF(AND(Inputs!$B$38&lt;&gt;"pvp",Inputs!$B$43&gt;0),IF(MAX(0,Inputs!$B$43-B1088)&lt;=0,0,(INT(MAX(0,Inputs!$B$43-B1088)/(IF(Inputs!$B$38="pvp",15,MAX(0.1,Skills!D9-IF(TRUE=TRUE,Inputs!$B$32,0)))*(1-IF(AND(ArtifactsInput!$M$27,Inputs!$B$4="Chapter Hunt"),CHOOSE(ArtifactsInput!$N$27+1,20,24,28,32,36,40),0)/100)))+1)),0)</f>
        <v/>
      </c>
      <c r="S1063">
        <f>IF(C1063,(H1063*N1063*IF(AND(Inputs!$B$38&lt;&gt;"pvp",Inputs!$B$43&gt;0),((Skills!F9*((R1063-1)*IF(Skills!G9&gt;0,Skills!H9/Skills!G9,1)+IF(Skills!G9&gt;0,MIN(Skills!H9,MAX(0,MAX(0,Inputs!$B$43-B1088)-((R1063-1)*(IF(Inputs!$B$38="pvp",15,MAX(0.1,Skills!D9-IF(TRUE=TRUE,Inputs!$B$32,0)))*(1-IF(AND(ArtifactsInput!$M$27,Inputs!$B$4="Chapter Hunt"),CHOOSE(ArtifactsInput!$N$27+1,20,24,28,32,36,40),0)/100)))))/Skills!G9,1)))/Inputs!$B$43),G1063*Q1063))*IF(Inputs!$B$38="pvp",1,1+(Inputs!$B$20+Skills!O9+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1063*(1-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1063*(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1063*(1-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1063*(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3">
        <f>IF(C1063,(H1063*N1063*IF(AND(Inputs!$B$38&lt;&gt;"pvp",Inputs!$B$43&gt;0),((Skills!F9*((R1063-1)*IF(Skills!G9&gt;0,Skills!H9/Skills!G9,1)+IF(Skills!G9&gt;0,MIN(Skills!H9,MAX(0,MAX(0,Inputs!$B$43-B1088)-((R1063-1)*(IF(Inputs!$B$38="pvp",15,MAX(0.1,Skills!D9-IF(TRUE=TRUE,Inputs!$B$32,0)))*(1-IF(AND(ArtifactsInput!$M$27,Inputs!$B$4="Chapter Hunt"),CHOOSE(ArtifactsInput!$N$27+1,20,24,28,32,36,40),0)/100)))))/Skills!G9,1)))/Inputs!$B$43),G1063*Q1063))*IF(Inputs!$B$38="pvp",1,(1+(Inputs!$B$21+Skills!P9+B1082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4">
      <c r="A1064">
        <f>Skills!A10</f>
        <v/>
      </c>
      <c r="B1064">
        <f>Skills!B10</f>
        <v/>
      </c>
      <c r="C1064">
        <f>Inputs!$B$3&gt;=113</f>
        <v/>
      </c>
      <c r="D1064">
        <f>IF(Skills!C10=1,60+Inputs!$B$25+Inputs!$B$29,IF(Skills!C10=2,90+Inputs!$B$26+Inputs!$B$29,IF(Skills!C10=3,120+Inputs!$B$27+Inputs!$B$29,MAX(0,(Inputs!$B$3-100)*3)+Inputs!$B$28+Inputs!$B$29)))</f>
        <v/>
      </c>
      <c r="E1064">
        <f>INDEX(FactorTable!$B$2:$Y$301, MATCH(ROUND(MIN(300,MAX(1,D1064)),0), FactorTable!$A$2:$A$301,0), Skills!L10+1)</f>
        <v/>
      </c>
      <c r="F1064">
        <f>IF(Skills!M10=TRUE,(Skills!K10/10)*(E1064/1000),Skills!K10/10)+Skills!N10</f>
        <v/>
      </c>
      <c r="G1064">
        <f>Calc!G10</f>
        <v/>
      </c>
      <c r="H1064">
        <f>Calc!H10</f>
        <v/>
      </c>
      <c r="I1064">
        <f>IF(Skills!T10&lt;&gt;"",1+(Skills!T10/10)*(Z1057/1000)/100,1)</f>
        <v/>
      </c>
      <c r="J1064">
        <f>((Inputs!$B$6*(1+Inputs!$B$7/100))+(((Inputs!$B$12*(1+Inputs!$B$13/100))-(Inputs!$B$12*(1+Inputs!$B$13/100)))+0.25*(Inputs!$B$14-Inputs!$B$14))*(1+Inputs!$B$7/100))*(F1064/100)</f>
        <v/>
      </c>
      <c r="K1064">
        <f>J1064*(1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10="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1064)</f>
        <v/>
      </c>
      <c r="L1064">
        <f>K1064*(MIN(Inputs!$B$22+(F1072-Calc!F18),(Inputs!$B$23+(IF(ArtifactsInput!$M$15,CHOOSE(ArtifactsInput!$N$15+1,25,30,35,40,45,50)/100*(Inputs!$B$11-Inputs!$B$11),0))))/100+(Inputs!$B$23+(IF(ArtifactsInput!$M$15,CHOOSE(ArtifactsInput!$N$15+1,25,30,35,40,45,50)/100*(Inputs!$B$11-Inputs!$B$11),0)))/100)/2</f>
        <v/>
      </c>
      <c r="M1064">
        <f>L1064*(1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4">
        <f>L1064*(1-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1064*(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4">
        <f>(1-Summary!$B$11)*S1064+Summary!$B$11*U1064</f>
        <v/>
      </c>
      <c r="P1064">
        <f>IF(B1091=0,0,O1064/B1091)</f>
        <v/>
      </c>
      <c r="Q1064">
        <f>IFERROR(1/(IF(Inputs!$B$38="pvp",15,MAX(0.1,Skills!D10-IF(TRUE=TRUE,Inputs!$B$32,0)))*(1-IF(AND(ArtifactsInput!$M$27,Inputs!$B$4="Chapter Hunt"),CHOOSE(ArtifactsInput!$N$27+1,20,24,28,32,36,40),0)/100)),0)</f>
        <v/>
      </c>
      <c r="R1064" t="n">
        <v>0</v>
      </c>
      <c r="S1064">
        <f>IF(C1064,((H1064*B1092)/(1+Skills!G10*H1064*B1092)*N1064)*IF(Inputs!$B$38="pvp",1,1+(Inputs!$B$20+Skills!O10+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1064*(1-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1064*(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1064*(1-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1064*(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4">
        <f>IF(C1064,((H1064*B1092)/(1+Skills!G10*H1064*B1092)*N1064)*IF(Inputs!$B$38="pvp",1,(1+(Inputs!$B$21+Skills!P10+B1082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5">
      <c r="A1065">
        <f>Skills!A11</f>
        <v/>
      </c>
      <c r="B1065">
        <f>Skills!B11</f>
        <v/>
      </c>
      <c r="C1065">
        <f>Inputs!$B$3&gt;=107</f>
        <v/>
      </c>
      <c r="D1065">
        <f>IF(Skills!C11=1,60+Inputs!$B$25+Inputs!$B$29,IF(Skills!C11=2,90+Inputs!$B$26+Inputs!$B$29,IF(Skills!C11=3,120+Inputs!$B$27+Inputs!$B$29,MAX(0,(Inputs!$B$3-100)*3)+Inputs!$B$28+Inputs!$B$29)))</f>
        <v/>
      </c>
      <c r="E1065">
        <f>INDEX(FactorTable!$B$2:$Y$301, MATCH(ROUND(MIN(300,MAX(1,D1065)),0), FactorTable!$A$2:$A$301,0), Skills!L11+1)</f>
        <v/>
      </c>
      <c r="F1065">
        <f>IF(Skills!M11=TRUE,(Skills!K11/10)*(E1065/1000),Skills!K11/10)+Skills!N11</f>
        <v/>
      </c>
      <c r="G1065">
        <f>Calc!G11</f>
        <v/>
      </c>
      <c r="H1065">
        <f>Calc!H11</f>
        <v/>
      </c>
      <c r="I1065">
        <f>IF(Skills!T11&lt;&gt;"",1+(Skills!T11/10)*(Z1057/1000)/100,1)</f>
        <v/>
      </c>
      <c r="J1065">
        <f>((Inputs!$B$6*(1+Inputs!$B$7/100))+(((Inputs!$B$12*(1+Inputs!$B$13/100))-(Inputs!$B$12*(1+Inputs!$B$13/100)))+0.25*(Inputs!$B$14-Inputs!$B$14))*(1+Inputs!$B$7/100))*(F1065/100)</f>
        <v/>
      </c>
      <c r="K1065">
        <f>J1065*(1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11="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1065)</f>
        <v/>
      </c>
      <c r="L1065">
        <f>K1065*(MIN(Inputs!$B$22+(F1072-Calc!F18),(Inputs!$B$23+(IF(ArtifactsInput!$M$15,CHOOSE(ArtifactsInput!$N$15+1,25,30,35,40,45,50)/100*(Inputs!$B$11-Inputs!$B$11),0))))/100+(Inputs!$B$23+(IF(ArtifactsInput!$M$15,CHOOSE(ArtifactsInput!$N$15+1,25,30,35,40,45,50)/100*(Inputs!$B$11-Inputs!$B$11),0)))/100)/2</f>
        <v/>
      </c>
      <c r="M1065">
        <f>L1065*(1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5">
        <f>L1065*(1-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1065*(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5">
        <f>(1-Summary!$B$11)*S1065+Summary!$B$11*U1065</f>
        <v/>
      </c>
      <c r="P1065">
        <f>IF(B1091=0,0,O1065/B1091)</f>
        <v/>
      </c>
      <c r="Q1065">
        <f>IFERROR(1/(IF(Inputs!$B$38="pvp",15,MAX(0.1,Skills!D11-IF(TRUE=TRUE,Inputs!$B$32,0)))*(1-IF(AND(ArtifactsInput!$M$27,Inputs!$B$4="Chapter Hunt"),CHOOSE(ArtifactsInput!$N$27+1,20,24,28,32,36,40),0)/100)),0)</f>
        <v/>
      </c>
      <c r="R1065">
        <f>IF(AND(Inputs!$B$38&lt;&gt;"pvp",Inputs!$B$43&gt;0),IF(MAX(0,Inputs!$B$43-B1088)&lt;=0,0,(INT(MAX(0,Inputs!$B$43-B1088)/(IF(Inputs!$B$38="pvp",15,MAX(0.1,Skills!D11-IF(TRUE=TRUE,Inputs!$B$32,0)))*(1-IF(AND(ArtifactsInput!$M$27,Inputs!$B$4="Chapter Hunt"),CHOOSE(ArtifactsInput!$N$27+1,20,24,28,32,36,40),0)/100)))+1)),0)</f>
        <v/>
      </c>
      <c r="S1065">
        <f>IF(C1065,H1065*N1065*IF(AND(Inputs!$B$38&lt;&gt;"pvp",Inputs!$B$43&gt;0),((Skills!F11*((R1065-1)*IF(Skills!G11&gt;0,Skills!H11/Skills!G11,1)+IF(Skills!G11&gt;0,MIN(Skills!H11,MAX(0,MAX(0,Inputs!$B$43-B1088)-((R1065-1)*(IF(Inputs!$B$38="pvp",15,MAX(0.1,Skills!D11-IF(TRUE=TRUE,Inputs!$B$32,0)))*(1-IF(AND(ArtifactsInput!$M$27,Inputs!$B$4="Chapter Hunt"),CHOOSE(ArtifactsInput!$N$27+1,20,24,28,32,36,40),0)/100)))))/Skills!G11,1)))/Inputs!$B$43),G1065*Q1065)*0.5*IF(Inputs!$B$38="pvp",1,1+(Inputs!$B$20+Skills!O11+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1065*(1-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1065*(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1065*(1-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1065*(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5">
        <f>IF(C1065,H1065*N1065*IF(AND(Inputs!$B$38&lt;&gt;"pvp",Inputs!$B$43&gt;0),((Skills!F11*((R1065-1)*IF(Skills!G11&gt;0,Skills!H11/Skills!G11,1)+IF(Skills!G11&gt;0,MIN(Skills!H11,MAX(0,MAX(0,Inputs!$B$43-B1088)-((R1065-1)*(IF(Inputs!$B$38="pvp",15,MAX(0.1,Skills!D11-IF(TRUE=TRUE,Inputs!$B$32,0)))*(1-IF(AND(ArtifactsInput!$M$27,Inputs!$B$4="Chapter Hunt"),CHOOSE(ArtifactsInput!$N$27+1,20,24,28,32,36,40),0)/100)))))/Skills!G11,1)))/Inputs!$B$43),G1065*Q1065)*1*IF(Inputs!$B$38="pvp",1,(1+(Inputs!$B$21+Skills!P11+B1082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6">
      <c r="A1066">
        <f>Skills!A12</f>
        <v/>
      </c>
      <c r="B1066">
        <f>Skills!B12</f>
        <v/>
      </c>
      <c r="C1066">
        <f>Inputs!$B$3&gt;=115</f>
        <v/>
      </c>
      <c r="D1066">
        <f>IF(Skills!C12=1,60+Inputs!$B$25+Inputs!$B$29,IF(Skills!C12=2,90+Inputs!$B$26+Inputs!$B$29,IF(Skills!C12=3,120+Inputs!$B$27+Inputs!$B$29,MAX(0,(Inputs!$B$3-100)*3)+Inputs!$B$28+Inputs!$B$29)))</f>
        <v/>
      </c>
      <c r="E1066">
        <f>INDEX(FactorTable!$B$2:$Y$301, MATCH(ROUND(MIN(300,MAX(1,D1066)),0), FactorTable!$A$2:$A$301,0), Skills!L12+1)</f>
        <v/>
      </c>
      <c r="F1066">
        <f>IF(Skills!M12=TRUE,(Skills!K12/10)*(E1066/1000),Skills!K12/10)+Skills!N12</f>
        <v/>
      </c>
      <c r="G1066">
        <f>Calc!G12</f>
        <v/>
      </c>
      <c r="H1066">
        <f>Calc!H12</f>
        <v/>
      </c>
      <c r="I1066">
        <f>IF(Skills!T12&lt;&gt;"",1+(Skills!T12/10)*(Z1057/1000)/100,1)</f>
        <v/>
      </c>
      <c r="J1066">
        <f>((Inputs!$B$6*(1+Inputs!$B$7/100))+(((Inputs!$B$12*(1+Inputs!$B$13/100))-(Inputs!$B$12*(1+Inputs!$B$13/100)))+0.25*(Inputs!$B$14-Inputs!$B$14))*(1+Inputs!$B$7/100))*(F1066/100)</f>
        <v/>
      </c>
      <c r="K1066">
        <f>J1066*(1+((Inputs!$B$12*(1+Inputs!$B$13/100))*0.01+Inputs!$B$14*0.0025)/100)*(1+(Inputs!$B$15+B1083)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1069=TRUE,F1069,0)/100)*(1+IF(C1077=TRUE,F1077,0)/100)^5*(1+(IF(Skills!A12="CHAIN_LIGHTNING",Inputs!$B$17+((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1081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1066)</f>
        <v/>
      </c>
      <c r="L1066">
        <f>K1066*(MIN(Inputs!$B$22+(F1072-Calc!F18),(Inputs!$B$23+(IF(ArtifactsInput!$M$15,CHOOSE(ArtifactsInput!$N$15+1,25,30,35,40,45,50)/100*(Inputs!$B$11-Inputs!$B$11),0))))/100+(Inputs!$B$23+(IF(ArtifactsInput!$M$15,CHOOSE(ArtifactsInput!$N$15+1,25,30,35,40,45,50)/100*(Inputs!$B$11-Inputs!$B$11),0)))/100)/2</f>
        <v/>
      </c>
      <c r="M1066">
        <f>L1066*(1+(Inputs!$B$10+(F1075-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6">
        <f>L1066*(1-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1066*(MIN((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6">
        <f>(1-Summary!$B$11)*S1066+Summary!$B$11*U1066</f>
        <v/>
      </c>
      <c r="P1066">
        <f>IF(B1091=0,0,O1066/B1091)</f>
        <v/>
      </c>
      <c r="Q1066">
        <f>IFERROR(1/(IF(Inputs!$B$38="pvp",15,MAX(0.1,Skills!D12-IF(TRUE=TRUE,Inputs!$B$32,0)))*(1-IF(AND(ArtifactsInput!$M$27,Inputs!$B$4="Chapter Hunt"),CHOOSE(ArtifactsInput!$N$27+1,20,24,28,32,36,40),0)/100)),0)</f>
        <v/>
      </c>
      <c r="R1066">
        <f>IF(AND(Inputs!$B$38&lt;&gt;"pvp",Inputs!$B$43&gt;0),IF(MAX(0,Inputs!$B$43-B1088)&lt;=0,0,(INT(MAX(0,Inputs!$B$43-B1088)/(IF(Inputs!$B$38="pvp",15,MAX(0.1,Skills!D12-IF(TRUE=TRUE,Inputs!$B$32,0)))*(1-IF(AND(ArtifactsInput!$M$27,Inputs!$B$4="Chapter Hunt"),CHOOSE(ArtifactsInput!$N$27+1,20,24,28,32,36,40),0)/100)))+1)),0)</f>
        <v/>
      </c>
      <c r="S1066">
        <f>IF(C1066,(H1066*N1066*IF(AND(Inputs!$B$38&lt;&gt;"pvp",Inputs!$B$43&gt;0),((Skills!F12*((R1066-1)*IF(Skills!G12&gt;0,Skills!H12/Skills!G12,1)+IF(Skills!G12&gt;0,MIN(Skills!H12,MAX(0,MAX(0,Inputs!$B$43-B1088)-((R1066-1)*(IF(Inputs!$B$38="pvp",15,MAX(0.1,Skills!D12-IF(TRUE=TRUE,Inputs!$B$32,0)))*(1-IF(AND(ArtifactsInput!$M$27,Inputs!$B$4="Chapter Hunt"),CHOOSE(ArtifactsInput!$N$27+1,20,24,28,32,36,40),0)/100)))))/Skills!G12,1)))/Inputs!$B$43),G1066*Q1066))*IF(Inputs!$B$38="pvp",1,1+(Inputs!$B$20+Skills!O12+B1082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1066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1066*(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1066*(1-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1066*(MIN(100,(Inputs!$B$9+((F1074-Calc!F20)+(F1073-Calc!F19))+(ArtifactsInput!$M$24-ArtifactsInput!$M$24)*CHOOSE(ArtifactsInput!$N$24+1,10,12,14,16,18,20)+(IF(AND(Inputs!$B$38&lt;&gt;"pvp",Inputs!$B$43=0),1,IF(IF(Inputs!$B$38="pvp",15,Inputs!$B$43)-(B1088)&lt;=0,1,MAX(0,IF(Inputs!$B$38="pvp",15,Inputs!$B$43)-MAX(5,B1088))/(IF(Inputs!$B$38="pvp",15,Inputs!$B$43)-(B1088)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6">
        <f>IF(C1066,(H1066*N1066*IF(AND(Inputs!$B$38&lt;&gt;"pvp",Inputs!$B$43&gt;0),((Skills!F12*((R1066-1)*IF(Skills!G12&gt;0,Skills!H12/Skills!G12,1)+IF(Skills!G12&gt;0,MIN(Skills!H12,MAX(0,MAX(0,Inputs!$B$43-B1088)-((R1066-1)*(IF(Inputs!$B$38="pvp",15,MAX(0.1,Skills!D12-IF(TRUE=TRUE,Inputs!$B$32,0)))*(1-IF(AND(ArtifactsInput!$M$27,Inputs!$B$4="Chapter Hunt"),CHOOSE(ArtifactsInput!$N$27+1,20,24,28,32,36,40),0)/100)))))/Skills!G12,1)))/Inputs!$B$43),G1066*Q1066))*IF(Inputs!$B$38="pvp",1,(1+(Inputs!$B$21+Skills!P12+B1082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7">
      <c r="A1067">
        <f>Skills!A13</f>
        <v/>
      </c>
      <c r="B1067">
        <f>Skills!B13</f>
        <v/>
      </c>
      <c r="C1067">
        <f>Inputs!$B$3&gt;=49</f>
        <v/>
      </c>
      <c r="D1067">
        <f>IF(Skills!C13=1,60+Inputs!$B$25+Inputs!$B$29,IF(Skills!C13=2,90+Inputs!$B$26+Inputs!$B$29,IF(Skills!C13=3,120+Inputs!$B$27+Inputs!$B$29,MAX(0,(Inputs!$B$3-100)*3)+Inputs!$B$28+Inputs!$B$29)))</f>
        <v/>
      </c>
      <c r="E1067">
        <f>INDEX(FactorTable!$B$2:$Y$301, MATCH(ROUND(MIN(300,MAX(1,D1067)),0), FactorTable!$A$2:$A$301,0), Skills!L13+1)</f>
        <v/>
      </c>
      <c r="F1067">
        <f>IF(Skills!M13=TRUE,(Skills!K13/10)*(E1067/1000),Skills!K13/10)+Skills!N13</f>
        <v/>
      </c>
      <c r="G1067">
        <f>Calc!G13</f>
        <v/>
      </c>
      <c r="H1067">
        <f>Calc!H13</f>
        <v/>
      </c>
      <c r="I1067">
        <f>IF(Skills!T13&lt;&gt;"",1+(Skills!T13/10)*(Z1057/1000)/100,1)</f>
        <v/>
      </c>
      <c r="J1067" t="inlineStr"/>
      <c r="K1067" t="inlineStr"/>
      <c r="L1067" t="inlineStr"/>
      <c r="M1067" t="inlineStr"/>
      <c r="N1067" t="inlineStr"/>
      <c r="O1067">
        <f>(1-Summary!$B$11)*S1067+Summary!$B$11*U1067</f>
        <v/>
      </c>
      <c r="P1067">
        <f>IF(B1091=0,0,O1067/B1091)</f>
        <v/>
      </c>
      <c r="Q1067">
        <f>IFERROR(1/(IF(Inputs!$B$38="pvp",15,MAX(0.1,Skills!D13-IF(TRUE=TRUE,Inputs!$B$32,0)))*(1-IF(AND(ArtifactsInput!$M$27,Inputs!$B$4="Chapter Hunt"),CHOOSE(ArtifactsInput!$N$27+1,20,24,28,32,36,40),0)/100)),0)</f>
        <v/>
      </c>
      <c r="R1067" t="n">
        <v>0</v>
      </c>
      <c r="S1067" t="n">
        <v>0</v>
      </c>
      <c r="U1067" t="n">
        <v>0</v>
      </c>
    </row>
    <row r="1068">
      <c r="A1068">
        <f>Skills!A14</f>
        <v/>
      </c>
      <c r="B1068">
        <f>Skills!B14</f>
        <v/>
      </c>
      <c r="C1068">
        <f>Inputs!$B$3&gt;=72</f>
        <v/>
      </c>
      <c r="D1068">
        <f>IF(Skills!C14=1,60+Inputs!$B$25+Inputs!$B$29,IF(Skills!C14=2,90+Inputs!$B$26+Inputs!$B$29,IF(Skills!C14=3,120+Inputs!$B$27+Inputs!$B$29,MAX(0,(Inputs!$B$3-100)*3)+Inputs!$B$28+Inputs!$B$29)))</f>
        <v/>
      </c>
      <c r="E1068">
        <f>INDEX(FactorTable!$B$2:$Y$301, MATCH(ROUND(MIN(300,MAX(1,D1068)),0), FactorTable!$A$2:$A$301,0), Skills!L14+1)</f>
        <v/>
      </c>
      <c r="F1068">
        <f>IF(Skills!M14=TRUE,(Skills!K14/10)*(E1068/1000),Skills!K14/10)+Skills!N14</f>
        <v/>
      </c>
      <c r="G1068">
        <f>Calc!G14</f>
        <v/>
      </c>
      <c r="H1068">
        <f>Calc!H14</f>
        <v/>
      </c>
      <c r="I1068">
        <f>IF(Skills!T14&lt;&gt;"",1+(Skills!T14/10)*(Z1057/1000)/100,1)</f>
        <v/>
      </c>
      <c r="J1068" t="inlineStr"/>
      <c r="K1068" t="inlineStr"/>
      <c r="L1068" t="inlineStr"/>
      <c r="M1068" t="inlineStr"/>
      <c r="N1068" t="inlineStr"/>
      <c r="O1068">
        <f>(1-Summary!$B$11)*S1068+Summary!$B$11*U1068</f>
        <v/>
      </c>
      <c r="P1068">
        <f>IF(B1091=0,0,O1068/B1091)</f>
        <v/>
      </c>
      <c r="Q1068">
        <f>IFERROR(1/(IF(Inputs!$B$38="pvp",15,MAX(0.1,Skills!D14-IF(TRUE=TRUE,Inputs!$B$32,0)))*(1-IF(AND(ArtifactsInput!$M$27,Inputs!$B$4="Chapter Hunt"),CHOOSE(ArtifactsInput!$N$27+1,20,24,28,32,36,40),0)/100)),0)</f>
        <v/>
      </c>
      <c r="R1068" t="n">
        <v>0</v>
      </c>
      <c r="S1068" t="n">
        <v>0</v>
      </c>
      <c r="U1068" t="n">
        <v>0</v>
      </c>
    </row>
    <row r="1069">
      <c r="A1069">
        <f>Skills!A15</f>
        <v/>
      </c>
      <c r="B1069">
        <f>Skills!B15</f>
        <v/>
      </c>
      <c r="C1069">
        <f>Inputs!$B$3&gt;=75</f>
        <v/>
      </c>
      <c r="D1069">
        <f>IF(Skills!C15=1,60+Inputs!$B$25+Inputs!$B$29,IF(Skills!C15=2,90+Inputs!$B$26+Inputs!$B$29,IF(Skills!C15=3,120+Inputs!$B$27+Inputs!$B$29,MAX(0,(Inputs!$B$3-100)*3)+Inputs!$B$28+Inputs!$B$29)))</f>
        <v/>
      </c>
      <c r="E1069">
        <f>INDEX(FactorTable!$B$2:$Y$301, MATCH(ROUND(MIN(300,MAX(1,D1069)),0), FactorTable!$A$2:$A$301,0), Skills!L15+1)</f>
        <v/>
      </c>
      <c r="F1069">
        <f>IF(Skills!M15=TRUE,(Skills!K15/10)*(E1069/1000),Skills!K15/10)+Skills!N15</f>
        <v/>
      </c>
      <c r="G1069">
        <f>Calc!G15</f>
        <v/>
      </c>
      <c r="H1069">
        <f>Calc!H15</f>
        <v/>
      </c>
      <c r="I1069">
        <f>IF(Skills!T15&lt;&gt;"",1+(Skills!T15/10)*(Z1057/1000)/100,1)</f>
        <v/>
      </c>
      <c r="J1069" t="inlineStr"/>
      <c r="K1069" t="inlineStr"/>
      <c r="L1069" t="inlineStr"/>
      <c r="M1069" t="inlineStr"/>
      <c r="N1069" t="inlineStr"/>
      <c r="O1069">
        <f>(1-Summary!$B$11)*S1069+Summary!$B$11*U1069</f>
        <v/>
      </c>
      <c r="P1069">
        <f>IF(B1091=0,0,O1069/B1091)</f>
        <v/>
      </c>
      <c r="Q1069">
        <f>IFERROR(1/(IF(Inputs!$B$38="pvp",15,MAX(0.1,Skills!D15-IF(TRUE=TRUE,Inputs!$B$32,0)))*(1-IF(AND(ArtifactsInput!$M$27,Inputs!$B$4="Chapter Hunt"),CHOOSE(ArtifactsInput!$N$27+1,20,24,28,32,36,40),0)/100)),0)</f>
        <v/>
      </c>
      <c r="R1069" t="n">
        <v>0</v>
      </c>
      <c r="S1069" t="n">
        <v>0</v>
      </c>
      <c r="U1069" t="n">
        <v>0</v>
      </c>
    </row>
    <row r="1070">
      <c r="A1070">
        <f>Skills!A16</f>
        <v/>
      </c>
      <c r="B1070">
        <f>Skills!B16</f>
        <v/>
      </c>
      <c r="C1070">
        <f>Inputs!$B$3&gt;=110</f>
        <v/>
      </c>
      <c r="D1070">
        <f>IF(Skills!C16=1,60+Inputs!$B$25+Inputs!$B$29,IF(Skills!C16=2,90+Inputs!$B$26+Inputs!$B$29,IF(Skills!C16=3,120+Inputs!$B$27+Inputs!$B$29,MAX(0,(Inputs!$B$3-100)*3)+Inputs!$B$28+Inputs!$B$29)))</f>
        <v/>
      </c>
      <c r="E1070">
        <f>INDEX(FactorTable!$B$2:$Y$301, MATCH(ROUND(MIN(300,MAX(1,D1070)),0), FactorTable!$A$2:$A$301,0), Skills!L16+1)</f>
        <v/>
      </c>
      <c r="F1070">
        <f>(Skills!K16/10)*(E1070/1000)*64/45+Skills!N16</f>
        <v/>
      </c>
      <c r="G1070">
        <f>Calc!G16</f>
        <v/>
      </c>
      <c r="H1070">
        <f>Calc!H16</f>
        <v/>
      </c>
      <c r="I1070">
        <f>IF(Skills!T16&lt;&gt;"",1+(Skills!T16/10)*(Z1057/1000)/100,1)</f>
        <v/>
      </c>
      <c r="J1070" t="inlineStr"/>
      <c r="K1070" t="inlineStr"/>
      <c r="L1070" t="inlineStr"/>
      <c r="M1070" t="inlineStr"/>
      <c r="N1070" t="inlineStr"/>
      <c r="O1070">
        <f>(1-Summary!$B$11)*S1070+Summary!$B$11*U1070</f>
        <v/>
      </c>
      <c r="P1070">
        <f>IF(B1091=0,0,O1070/B1091)</f>
        <v/>
      </c>
      <c r="Q1070">
        <f>IFERROR(1/(IF(Inputs!$B$38="pvp",15,MAX(0.1,Skills!D16-IF(TRUE=TRUE,Inputs!$B$32,0)))*(1-IF(AND(ArtifactsInput!$M$27,Inputs!$B$4="Chapter Hunt"),CHOOSE(ArtifactsInput!$N$27+1,20,24,28,32,36,40),0)/100)),0)</f>
        <v/>
      </c>
      <c r="R1070">
        <f>IF(AND(Inputs!$B$38&lt;&gt;"pvp",Inputs!$B$43&gt;0),IF(Inputs!$B$43&lt;=0,0,(INT(Inputs!$B$43/(IF(Inputs!$B$38="pvp",15,MAX(0.1,Skills!D16-IF(TRUE=TRUE,Inputs!$B$32,0)))*(1-IF(AND(ArtifactsInput!$M$27,Inputs!$B$4="Chapter Hunt"),CHOOSE(ArtifactsInput!$N$27+1,20,24,28,32,36,40),0)/100)))+1)),0)</f>
        <v/>
      </c>
      <c r="S1070" t="n">
        <v>0</v>
      </c>
      <c r="U1070" t="n">
        <v>0</v>
      </c>
    </row>
    <row r="1071">
      <c r="A1071">
        <f>Skills!A17</f>
        <v/>
      </c>
      <c r="B1071">
        <f>Skills!B17</f>
        <v/>
      </c>
      <c r="C1071">
        <f>Inputs!$B$3&gt;=33</f>
        <v/>
      </c>
      <c r="D1071">
        <f>IF(Skills!C17=1,60+Inputs!$B$25+Inputs!$B$29,IF(Skills!C17=2,90+Inputs!$B$26+Inputs!$B$29,IF(Skills!C17=3,120+Inputs!$B$27+Inputs!$B$29,MAX(0,(Inputs!$B$3-100)*3)+Inputs!$B$28+Inputs!$B$29)))</f>
        <v/>
      </c>
      <c r="E1071">
        <f>INDEX(FactorTable!$B$2:$Y$301, MATCH(ROUND(MIN(300,MAX(1,D1071)),0), FactorTable!$A$2:$A$301,0), Skills!L17+1)</f>
        <v/>
      </c>
      <c r="F1071">
        <f>IF(Skills!M17=TRUE,(Skills!K17/10)*(E1071/1000),Skills!K17/10)+Skills!N17</f>
        <v/>
      </c>
      <c r="G1071">
        <f>Calc!G17</f>
        <v/>
      </c>
      <c r="H1071">
        <f>Calc!H17</f>
        <v/>
      </c>
      <c r="I1071">
        <f>IF(Skills!T17&lt;&gt;"",1+(Skills!T17/10)*(Z1057/1000)/100,1)</f>
        <v/>
      </c>
      <c r="J1071" t="inlineStr"/>
      <c r="K1071" t="inlineStr"/>
      <c r="L1071" t="inlineStr"/>
      <c r="M1071" t="inlineStr"/>
      <c r="N1071" t="inlineStr"/>
      <c r="O1071">
        <f>(1-Summary!$B$11)*S1071+Summary!$B$11*U1071</f>
        <v/>
      </c>
      <c r="P1071">
        <f>IF(B1091=0,0,O1071/B1091)</f>
        <v/>
      </c>
      <c r="Q1071">
        <f>IFERROR(1/(IF(Inputs!$B$38="pvp",15,MAX(0.1,Skills!D17-IF(TRUE=TRUE,Inputs!$B$32,0)))*(1-IF(AND(ArtifactsInput!$M$27,Inputs!$B$4="Chapter Hunt"),CHOOSE(ArtifactsInput!$N$27+1,20,24,28,32,36,40),0)/100)),0)</f>
        <v/>
      </c>
      <c r="R1071" t="n">
        <v>0</v>
      </c>
      <c r="S1071" t="n">
        <v>0</v>
      </c>
      <c r="U1071" t="n">
        <v>0</v>
      </c>
    </row>
    <row r="1072">
      <c r="A1072">
        <f>Skills!A18</f>
        <v/>
      </c>
      <c r="B1072">
        <f>Skills!B18</f>
        <v/>
      </c>
      <c r="C1072">
        <f>Inputs!$B$3&gt;=43</f>
        <v/>
      </c>
      <c r="D1072">
        <f>IF(Skills!C18=1,60+Inputs!$B$25+Inputs!$B$29,IF(Skills!C18=2,90+Inputs!$B$26+Inputs!$B$29,IF(Skills!C18=3,120+Inputs!$B$27+Inputs!$B$29,MAX(0,(Inputs!$B$3-100)*3)+Inputs!$B$28+Inputs!$B$29)))</f>
        <v/>
      </c>
      <c r="E1072">
        <f>INDEX(FactorTable!$B$2:$Y$301, MATCH(ROUND(MIN(300,MAX(1,D1072)),0), FactorTable!$A$2:$A$301,0), Skills!L18+1)</f>
        <v/>
      </c>
      <c r="F1072">
        <f>IF(Skills!M18=TRUE,(Skills!K18/10)*(E1072/1000),Skills!K18/10)+Skills!N18</f>
        <v/>
      </c>
      <c r="G1072">
        <f>Calc!G18</f>
        <v/>
      </c>
      <c r="H1072">
        <f>Calc!H18</f>
        <v/>
      </c>
      <c r="I1072">
        <f>IF(Skills!T18&lt;&gt;"",1+(Skills!T18/10)*(Z1057/1000)/100,1)</f>
        <v/>
      </c>
      <c r="J1072" t="inlineStr"/>
      <c r="K1072" t="inlineStr"/>
      <c r="L1072" t="inlineStr"/>
      <c r="M1072" t="inlineStr"/>
      <c r="N1072" t="inlineStr"/>
      <c r="O1072">
        <f>(1-Summary!$B$11)*S1072+Summary!$B$11*U1072</f>
        <v/>
      </c>
      <c r="P1072">
        <f>IF(B1091=0,0,O1072/B1091)</f>
        <v/>
      </c>
      <c r="Q1072">
        <f>IFERROR(1/(IF(Inputs!$B$38="pvp",15,MAX(0.1,Skills!D18-IF(TRUE=TRUE,Inputs!$B$32,0)))*(1-IF(AND(ArtifactsInput!$M$27,Inputs!$B$4="Chapter Hunt"),CHOOSE(ArtifactsInput!$N$27+1,20,24,28,32,36,40),0)/100)),0)</f>
        <v/>
      </c>
      <c r="R1072" t="n">
        <v>0</v>
      </c>
      <c r="S1072" t="n">
        <v>0</v>
      </c>
      <c r="U1072" t="n">
        <v>0</v>
      </c>
    </row>
    <row r="1073">
      <c r="A1073">
        <f>Skills!A19</f>
        <v/>
      </c>
      <c r="B1073">
        <f>Skills!B19</f>
        <v/>
      </c>
      <c r="C1073">
        <f>Inputs!$B$3&gt;=50</f>
        <v/>
      </c>
      <c r="D1073">
        <f>IF(Skills!C19=1,60+Inputs!$B$25+Inputs!$B$29,IF(Skills!C19=2,90+Inputs!$B$26+Inputs!$B$29,IF(Skills!C19=3,120+Inputs!$B$27+Inputs!$B$29,MAX(0,(Inputs!$B$3-100)*3)+Inputs!$B$28+Inputs!$B$29)))</f>
        <v/>
      </c>
      <c r="E1073">
        <f>INDEX(FactorTable!$B$2:$Y$301, MATCH(ROUND(MIN(300,MAX(1,D1073)),0), FactorTable!$A$2:$A$301,0), Skills!L19+1)</f>
        <v/>
      </c>
      <c r="F1073">
        <f>IF(Skills!M19=TRUE,(Skills!K19/10)*(E1073/1000),Skills!K19/10)+Skills!N19</f>
        <v/>
      </c>
      <c r="G1073">
        <f>Calc!G19</f>
        <v/>
      </c>
      <c r="H1073">
        <f>Calc!H19</f>
        <v/>
      </c>
      <c r="I1073">
        <f>IF(Skills!T19&lt;&gt;"",1+(Skills!T19/10)*(Z1057/1000)/100,1)</f>
        <v/>
      </c>
      <c r="J1073" t="inlineStr"/>
      <c r="K1073" t="inlineStr"/>
      <c r="L1073" t="inlineStr"/>
      <c r="M1073" t="inlineStr"/>
      <c r="N1073" t="inlineStr"/>
      <c r="O1073">
        <f>(1-Summary!$B$11)*S1073+Summary!$B$11*U1073</f>
        <v/>
      </c>
      <c r="P1073">
        <f>IF(B1091=0,0,O1073/B1091)</f>
        <v/>
      </c>
      <c r="Q1073">
        <f>IFERROR(1/(IF(Inputs!$B$38="pvp",15,MAX(0.1,Skills!D19-IF(TRUE=TRUE,Inputs!$B$32,0)))*(1-IF(AND(ArtifactsInput!$M$27,Inputs!$B$4="Chapter Hunt"),CHOOSE(ArtifactsInput!$N$27+1,20,24,28,32,36,40),0)/100)),0)</f>
        <v/>
      </c>
      <c r="R1073" t="n">
        <v>0</v>
      </c>
      <c r="S1073" t="n">
        <v>0</v>
      </c>
      <c r="U1073" t="n">
        <v>0</v>
      </c>
    </row>
    <row r="1074">
      <c r="A1074">
        <f>Skills!A20</f>
        <v/>
      </c>
      <c r="B1074">
        <f>Skills!B20</f>
        <v/>
      </c>
      <c r="C1074">
        <f>Inputs!$B$3&gt;=74</f>
        <v/>
      </c>
      <c r="D1074">
        <f>IF(Skills!C20=1,60+Inputs!$B$25+Inputs!$B$29,IF(Skills!C20=2,90+Inputs!$B$26+Inputs!$B$29,IF(Skills!C20=3,120+Inputs!$B$27+Inputs!$B$29,MAX(0,(Inputs!$B$3-100)*3)+Inputs!$B$28+Inputs!$B$29)))</f>
        <v/>
      </c>
      <c r="E1074">
        <f>INDEX(FactorTable!$B$2:$Y$301, MATCH(ROUND(MIN(300,MAX(1,D1074)),0), FactorTable!$A$2:$A$301,0), Skills!L20+1)</f>
        <v/>
      </c>
      <c r="F1074">
        <f>IF(Skills!M20=TRUE,(Skills!K20/10)*(E1074/1000),Skills!K20/10)+Skills!N20</f>
        <v/>
      </c>
      <c r="G1074">
        <f>Calc!G20</f>
        <v/>
      </c>
      <c r="H1074">
        <f>Calc!H20</f>
        <v/>
      </c>
      <c r="I1074">
        <f>IF(Skills!T20&lt;&gt;"",1+(Skills!T20/10)*(Z1057/1000)/100,1)</f>
        <v/>
      </c>
      <c r="J1074" t="inlineStr"/>
      <c r="K1074" t="inlineStr"/>
      <c r="L1074" t="inlineStr"/>
      <c r="M1074" t="inlineStr"/>
      <c r="N1074" t="inlineStr"/>
      <c r="O1074">
        <f>(1-Summary!$B$11)*S1074+Summary!$B$11*U1074</f>
        <v/>
      </c>
      <c r="P1074">
        <f>IF(B1091=0,0,O1074/B1091)</f>
        <v/>
      </c>
      <c r="Q1074">
        <f>IFERROR(1/(IF(Inputs!$B$38="pvp",15,MAX(0.1,Skills!D20-IF(TRUE=TRUE,Inputs!$B$32,0)))*(1-IF(AND(ArtifactsInput!$M$27,Inputs!$B$4="Chapter Hunt"),CHOOSE(ArtifactsInput!$N$27+1,20,24,28,32,36,40),0)/100)),0)</f>
        <v/>
      </c>
      <c r="R1074" t="n">
        <v>0</v>
      </c>
      <c r="S1074" t="n">
        <v>0</v>
      </c>
      <c r="U1074" t="n">
        <v>0</v>
      </c>
    </row>
    <row r="1075">
      <c r="A1075">
        <f>Skills!A21</f>
        <v/>
      </c>
      <c r="B1075">
        <f>Skills!B21</f>
        <v/>
      </c>
      <c r="C1075">
        <f>Inputs!$B$3&gt;=74</f>
        <v/>
      </c>
      <c r="D1075">
        <f>IF(Skills!C21=1,60+Inputs!$B$25+Inputs!$B$29,IF(Skills!C21=2,90+Inputs!$B$26+Inputs!$B$29,IF(Skills!C21=3,120+Inputs!$B$27+Inputs!$B$29,MAX(0,(Inputs!$B$3-100)*3)+Inputs!$B$28+Inputs!$B$29)))</f>
        <v/>
      </c>
      <c r="E1075">
        <f>INDEX(FactorTable!$B$2:$Y$301, MATCH(ROUND(MIN(300,MAX(1,D1075)),0), FactorTable!$A$2:$A$301,0), Skills!L21+1)</f>
        <v/>
      </c>
      <c r="F1075">
        <f>IF(Skills!M21=TRUE,(Skills!K21/10)*(E1075/1000),Skills!K21/10)+Skills!N21</f>
        <v/>
      </c>
      <c r="G1075">
        <f>Calc!G21</f>
        <v/>
      </c>
      <c r="H1075">
        <f>Calc!H21</f>
        <v/>
      </c>
      <c r="I1075">
        <f>IF(Skills!T21&lt;&gt;"",1+(Skills!T21/10)*(Z1057/1000)/100,1)</f>
        <v/>
      </c>
      <c r="J1075" t="inlineStr"/>
      <c r="K1075" t="inlineStr"/>
      <c r="L1075" t="inlineStr"/>
      <c r="M1075" t="inlineStr"/>
      <c r="N1075" t="inlineStr"/>
      <c r="O1075">
        <f>(1-Summary!$B$11)*S1075+Summary!$B$11*U1075</f>
        <v/>
      </c>
      <c r="P1075">
        <f>IF(B1091=0,0,O1075/B1091)</f>
        <v/>
      </c>
      <c r="Q1075">
        <f>IFERROR(1/(IF(Inputs!$B$38="pvp",15,MAX(0.1,Skills!D21-IF(TRUE=TRUE,Inputs!$B$32,0)))*(1-IF(AND(ArtifactsInput!$M$27,Inputs!$B$4="Chapter Hunt"),CHOOSE(ArtifactsInput!$N$27+1,20,24,28,32,36,40),0)/100)),0)</f>
        <v/>
      </c>
      <c r="R1075" t="n">
        <v>0</v>
      </c>
      <c r="S1075" t="n">
        <v>0</v>
      </c>
      <c r="U1075" t="n">
        <v>0</v>
      </c>
    </row>
    <row r="1076">
      <c r="A1076">
        <f>Skills!A22</f>
        <v/>
      </c>
      <c r="B1076">
        <f>Skills!B22</f>
        <v/>
      </c>
      <c r="C1076">
        <f>Inputs!$B$3&gt;=117</f>
        <v/>
      </c>
      <c r="D1076">
        <f>IF(Skills!C22=1,60+Inputs!$B$25+Inputs!$B$29,IF(Skills!C22=2,90+Inputs!$B$26+Inputs!$B$29,IF(Skills!C22=3,120+Inputs!$B$27+Inputs!$B$29,MAX(0,(Inputs!$B$3-100)*3)+Inputs!$B$28+Inputs!$B$29)))</f>
        <v/>
      </c>
      <c r="E1076">
        <f>INDEX(FactorTable!$B$2:$Y$301, MATCH(ROUND(MIN(300,MAX(1,D1076)),0), FactorTable!$A$2:$A$301,0), Skills!L22+1)</f>
        <v/>
      </c>
      <c r="F1076">
        <f>IF(Skills!M22=TRUE,(Skills!K22/10)*(E1076/1000),Skills!K22/10)+Skills!N22</f>
        <v/>
      </c>
      <c r="G1076">
        <f>Calc!G22</f>
        <v/>
      </c>
      <c r="H1076">
        <f>Calc!H22</f>
        <v/>
      </c>
      <c r="I1076">
        <f>IF(Skills!T22&lt;&gt;"",1+(Skills!T22/10)*(Z1057/1000)/100,1)</f>
        <v/>
      </c>
      <c r="J1076" t="inlineStr"/>
      <c r="K1076" t="inlineStr"/>
      <c r="L1076" t="inlineStr"/>
      <c r="M1076" t="inlineStr"/>
      <c r="N1076" t="inlineStr"/>
      <c r="O1076">
        <f>(1-Summary!$B$11)*S1076+Summary!$B$11*U1076</f>
        <v/>
      </c>
      <c r="P1076">
        <f>IF(B1091=0,0,O1076/B1091)</f>
        <v/>
      </c>
      <c r="Q1076">
        <f>IFERROR(1/(IF(Inputs!$B$38="pvp",15,MAX(0.1,Skills!D22-IF(TRUE=TRUE,Inputs!$B$32,0)))*(1-IF(AND(ArtifactsInput!$M$27,Inputs!$B$4="Chapter Hunt"),CHOOSE(ArtifactsInput!$N$27+1,20,24,28,32,36,40),0)/100)),0)</f>
        <v/>
      </c>
      <c r="R1076" t="n">
        <v>0</v>
      </c>
      <c r="S1076" t="n">
        <v>0</v>
      </c>
      <c r="U1076" t="n">
        <v>0</v>
      </c>
    </row>
    <row r="1077">
      <c r="A1077">
        <f>Skills!A23</f>
        <v/>
      </c>
      <c r="B1077">
        <f>Skills!B23</f>
        <v/>
      </c>
      <c r="C1077">
        <f>Inputs!$B$3&gt;=120</f>
        <v/>
      </c>
      <c r="D1077">
        <f>IF(Skills!C23=1,60+Inputs!$B$25+Inputs!$B$29,IF(Skills!C23=2,90+Inputs!$B$26+Inputs!$B$29,IF(Skills!C23=3,120+Inputs!$B$27+Inputs!$B$29,MAX(0,(Inputs!$B$3-100)*3)+Inputs!$B$28+Inputs!$B$29)))</f>
        <v/>
      </c>
      <c r="E1077">
        <f>INDEX(FactorTable!$B$2:$Y$301, MATCH(ROUND(MIN(300,MAX(1,D1077)),0), FactorTable!$A$2:$A$301,0), Skills!L23+1)</f>
        <v/>
      </c>
      <c r="F1077">
        <f>IF(Skills!M23=TRUE,(Skills!K23/10)*(E1077/1000),Skills!K23/10)+Skills!N23</f>
        <v/>
      </c>
      <c r="G1077">
        <f>Calc!G23</f>
        <v/>
      </c>
      <c r="H1077">
        <f>Calc!H23</f>
        <v/>
      </c>
      <c r="I1077">
        <f>IF(Skills!T23&lt;&gt;"",1+(Skills!T23/10)*(Z1057/1000)/100,1)</f>
        <v/>
      </c>
      <c r="J1077" t="inlineStr"/>
      <c r="K1077" t="inlineStr"/>
      <c r="L1077" t="inlineStr"/>
      <c r="M1077" t="inlineStr"/>
      <c r="N1077" t="inlineStr"/>
      <c r="O1077">
        <f>(1-Summary!$B$11)*S1077+Summary!$B$11*U1077</f>
        <v/>
      </c>
      <c r="P1077">
        <f>IF(B1091=0,0,O1077/B1091)</f>
        <v/>
      </c>
      <c r="Q1077">
        <f>IFERROR(1/(IF(Inputs!$B$38="pvp",15,MAX(0.1,Skills!D23-IF(TRUE=TRUE,Inputs!$B$32,0)))*(1-IF(AND(ArtifactsInput!$M$27,Inputs!$B$4="Chapter Hunt"),CHOOSE(ArtifactsInput!$N$27+1,20,24,28,32,36,40),0)/100)),0)</f>
        <v/>
      </c>
      <c r="R1077" t="n">
        <v>0</v>
      </c>
      <c r="S1077" t="n">
        <v>0</v>
      </c>
      <c r="U1077" t="n">
        <v>0</v>
      </c>
    </row>
    <row r="1078">
      <c r="A1078">
        <f>Skills!A24</f>
        <v/>
      </c>
      <c r="B1078">
        <f>Skills!B24</f>
        <v/>
      </c>
      <c r="C1078">
        <f>TRUE</f>
        <v/>
      </c>
      <c r="D1078">
        <f>IF(Skills!C24=1,60+Inputs!$B$25+Inputs!$B$29,IF(Skills!C24=2,90+Inputs!$B$26+Inputs!$B$29,IF(Skills!C24=3,120+Inputs!$B$27+Inputs!$B$29,MAX(0,(Inputs!$B$3-100)*3)+Inputs!$B$28+Inputs!$B$29)))</f>
        <v/>
      </c>
      <c r="E1078">
        <f>INDEX(FactorTable!$B$2:$Y$301, MATCH(ROUND(MIN(300,MAX(1,D1078)),0), FactorTable!$A$2:$A$301,0), Skills!L24+1)</f>
        <v/>
      </c>
      <c r="F1078">
        <f>IF(Skills!M24=TRUE,(Skills!K24/10)*(E1078/1000),Skills!K24/10)+Skills!N24</f>
        <v/>
      </c>
      <c r="G1078">
        <f>Calc!G24</f>
        <v/>
      </c>
      <c r="H1078">
        <f>Calc!H24</f>
        <v/>
      </c>
      <c r="I1078">
        <f>IF(Skills!T24&lt;&gt;"",1+(Skills!T24/10)*(Z1057/1000)/100,1)</f>
        <v/>
      </c>
      <c r="J1078" t="inlineStr"/>
      <c r="K1078" t="inlineStr"/>
      <c r="L1078" t="inlineStr"/>
      <c r="M1078" t="inlineStr"/>
      <c r="N1078" t="inlineStr"/>
      <c r="O1078">
        <f>(1-Summary!$B$11)*S1078+Summary!$B$11*U1078</f>
        <v/>
      </c>
      <c r="P1078">
        <f>IF(B1091=0,0,O1078/B1091)</f>
        <v/>
      </c>
      <c r="Q1078">
        <f>IFERROR(1/(IF(Inputs!$B$38="pvp",15,MAX(0.1,Skills!D24-IF(TRUE=TRUE,Inputs!$B$32,0)))*(1-IF(AND(ArtifactsInput!$M$27,Inputs!$B$4="Chapter Hunt"),CHOOSE(ArtifactsInput!$N$27+1,20,24,28,32,36,40),0)/100)),0)</f>
        <v/>
      </c>
      <c r="R1078">
        <f>IF(AND(Inputs!$B$38&lt;&gt;"pvp",Inputs!$B$43&gt;0),IF(Inputs!$B$43&lt;=0,0,(INT(Inputs!$B$43/(IF(Inputs!$B$38="pvp",15,MAX(0.1,Skills!D24-IF(TRUE=TRUE,Inputs!$B$32,0)))*(1-IF(AND(ArtifactsInput!$M$27,Inputs!$B$4="Chapter Hunt"),CHOOSE(ArtifactsInput!$N$27+1,20,24,28,32,36,40),0)/100)))+1)),0)</f>
        <v/>
      </c>
      <c r="S1078" t="n">
        <v>0</v>
      </c>
      <c r="U1078" t="n">
        <v>0</v>
      </c>
    </row>
    <row r="1081">
      <c r="A1081" t="inlineStr">
        <is>
          <t>Average Buff Multiplier (Magic Guard + Meditation + Artifact Attack%, summed; then Infinity)</t>
        </is>
      </c>
      <c r="B1081">
        <f>(1+(IF(C1057=TRUE,F1057*IF(AND(Inputs!$B$38&lt;&gt;"pvp",Inputs!$B$43&gt;0),(((R1057-1)*MIN((Skills!S3*(1+((Inputs!$B$34+1))/100)),(1/Q1057))+MIN((Skills!S3*(1+((Inputs!$B$34+1))/100)),MAX(0,Inputs!$B$43-((R1057-1)*(1/Q1057)))))/Inputs!$B$43),IF(Inputs!$B$38="pvp",MIN((Skills!S3*(1+((Inputs!$B$34+1))/100)),15)/15,MIN(1,(Skills!S3*(1+((Inputs!$B$34+1))/100))/(1/Q1057)))),0)+IF(C1058=TRUE,F1058*IF(AND(Inputs!$B$38&lt;&gt;"pvp",Inputs!$B$43&gt;0),(((R1058-1)*MIN((Skills!S4*(1+((Inputs!$B$34+1))/100)),(1/Q1058))+MIN((Skills!S4*(1+((Inputs!$B$34+1))/100)),MAX(0,Inputs!$B$43-((R1058-1)*(1/Q1058)))))/Inputs!$B$43),IF(Inputs!$B$38="pvp",MIN((Skills!S4*(1+((Inputs!$B$34+1))/100)),15)/15,MIN(1,(Skills!S4*(1+((Inputs!$B$34+1))/100))/(1/Q1058)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1070=TRUE,(1+F1070*IF(AND(Inputs!$B$38&lt;&gt;"pvp",Inputs!$B$43&gt;0),(((R1070-1)*MIN((Skills!S16*(1+((Inputs!$B$34+1))/100)),(1/Q1070))+MIN((Skills!S16*(1+((Inputs!$B$34+1))/100)),MAX(0,Inputs!$B$43-((R1070-1)*(1/Q1070)))))/Inputs!$B$43),IF(Inputs!$B$38="pvp",MIN((Skills!S16*(1+((Inputs!$B$34+1))/100)),15)/15,MIN(1,(Skills!S16*(1+((Inputs!$B$34+1))/100))/(1/Q1070))))/100),1)</f>
        <v/>
      </c>
    </row>
    <row r="1082">
      <c r="A1082" t="inlineStr">
        <is>
          <t>Monster Damage Taken Bonus % (Freezing Breath - Weaken + Elemental Reset + Artifact Enemy Damage Taken, summed)</t>
        </is>
      </c>
      <c r="B1082">
        <f>IF(Inputs!$B$3&gt;=118,15*IF(Inputs!$B$38="pvp",MIN((30*(1+((Inputs!$B$34+1))/100)),15)/15,MIN(1,(30*(1+((Inputs!$B$34+1))/100))/(1/Q1062))),0)+IF(C1068=TRUE,F1068,0)+(IF(AND(ArtifactsInput!$M$35,Inputs!$B$4&lt;&gt;"Chapter Hunt"),CHOOSE(ArtifactsInput!$N$35+1,15,18,21,24,27,30)*(1-EXP(-(0.2*B1085)*5)),0)+IF(AND(ArtifactsInput!$M$22,Inputs!$B$4&lt;&gt;"Chapter Hunt"),CHOOSE(ArtifactsInput!$N$22+1,10,12,14,16,18,20)*((0*(((0.15*B1085*5))^0/1)+1*(((0.15*B1085*5))^1/1)+2*(((0.15*B1085*5))^2/2)+3*(((0.15*B1085*5))^3/6)+4*(((0.15*B1085*5))^4/24)+5*(((0.15*B1085*5))^5/120))/((((0.15*B1085*5))^0/1)+(((0.15*B1085*5))^1/1)+(((0.15*B1085*5))^2/2)+(((0.15*B1085*5))^3/6)+(((0.15*B1085*5))^4/24)+(((0.15*B1085*5))^5/120))),0))</f>
        <v/>
      </c>
    </row>
    <row r="1083">
      <c r="A1083" t="inlineStr">
        <is>
          <t>Damage % Bonus (Frozen Break + Frost Clutch, flat)</t>
        </is>
      </c>
      <c r="B1083">
        <f>IF(Inputs!$B$3&gt;=66,15,0)+IF(Inputs!$B$3&gt;=98,10,0)+IF(Inputs!$B$3&gt;=125,20,0)</f>
        <v/>
      </c>
    </row>
    <row r="1084">
      <c r="A1084" t="inlineStr">
        <is>
          <t>Attack Speed Bonus % (MP Eater - MP Boost, always-on + Nimble Feet, duty-cycle averaged)</t>
        </is>
      </c>
      <c r="B1084">
        <f>IF(C1067=TRUE,F1067+(F1071-Calc!F17),0)+((C1078=TRUE)*F1078*IF(AND(Inputs!$B$38&lt;&gt;"pvp",Inputs!$B$43&gt;0),(((R1078-1)*MIN((Skills!S24*(1+((Inputs!$B$34+1))/100)),(1/Q1078))+MIN((Skills!S24*(1+((Inputs!$B$34+1))/100)),MAX(0,Inputs!$B$43-((R1078-1)*(1/Q1078)))))/Inputs!$B$43),IF(Inputs!$B$38="pvp",MIN((Skills!S24*(1+((Inputs!$B$34+1))/100)),15)/15,MIN(1,(Skills!S24*(1+((Inputs!$B$34+1))/100))/(1/Q1078)))))</f>
        <v/>
      </c>
    </row>
    <row r="1085">
      <c r="A1085" t="inlineStr">
        <is>
          <t>Actions Per Second</t>
        </is>
      </c>
      <c r="B1085">
        <f>1+MIN(150,150*(1-(1-(Inputs!$B$11+(ArtifactsInput!$M$15-ArtifactsInput!$M$15)*CHOOSE(ArtifactsInput!$N$15+1,8,9.6,11.2,12.8,14.4,16))/150)*(1-B1084/150)))/100</f>
        <v/>
      </c>
    </row>
    <row r="1086">
      <c r="A1086" t="inlineStr">
        <is>
          <t>Skill + Buff Cast Rate</t>
        </is>
      </c>
      <c r="B1086">
        <f>IF(AND(Inputs!$B$38&lt;&gt;"pvp",Inputs!$B$43&gt;0),SUMPRODUCT((Skills!E2:E24=TRUE)*(C1056:C1078=TRUE)*R1056:R1078)/Inputs!$B$43,SUMPRODUCT((Skills!E2:E24=TRUE)*(C1056:C1078=TRUE)*Q1056:Q1078))</f>
        <v/>
      </c>
    </row>
    <row r="1087">
      <c r="A1087" t="inlineStr">
        <is>
          <t>Chain Lightning Casts Per Second</t>
        </is>
      </c>
      <c r="B1087">
        <f>MAX(0,B1085-B1086)</f>
        <v/>
      </c>
    </row>
    <row r="1088">
      <c r="A1088" t="inlineStr">
        <is>
          <t>Buff-Casting Startup Delay (s, fixed-duration only)</t>
        </is>
      </c>
      <c r="B1088">
        <f>IF(AND(Inputs!$B$38&lt;&gt;"pvp",Inputs!$B$43&gt;0),SUMPRODUCT((Skills!S2:S24&gt;0)*(Skills!E2:E24=TRUE)*(C1056:C1078=TRUE))/B1085,0)</f>
        <v/>
      </c>
    </row>
    <row r="1089">
      <c r="A1089" t="inlineStr">
        <is>
          <t>Boss-Only Total DPS (this block's swept value)</t>
        </is>
      </c>
      <c r="B1089">
        <f>SUM(S1056:S1078)</f>
        <v/>
      </c>
    </row>
    <row r="1090">
      <c r="A1090" t="inlineStr">
        <is>
          <t>Normal-Only Total DPS (this block's swept value)</t>
        </is>
      </c>
      <c r="B1090">
        <f>SUM(U1056:U1078)</f>
        <v/>
      </c>
    </row>
    <row r="1091">
      <c r="A1091" s="6" t="inlineStr">
        <is>
          <t>TOTAL DPS</t>
        </is>
      </c>
      <c r="B1091" s="6">
        <f>SUM(O1056:O1078)</f>
        <v/>
      </c>
    </row>
    <row r="1092">
      <c r="A1092" t="inlineStr">
        <is>
          <t>Blizzard Final Attack trigger rate (this block's own Q/R)</t>
        </is>
      </c>
      <c r="B1092">
        <f>IF(AND(Inputs!$B$38&lt;&gt;"pvp",Inputs!$B$43&gt;0),(((C1059=TRUE)*R1059*1)+((C1060=TRUE)*R1060*1)+((C1062=TRUE)*R1062*1)+((C1063=TRUE)*R1063*3)+((C1065=TRUE)*R1065*1))/Inputs!$B$43,((C1059=TRUE)*Q1059*1)+((C1060=TRUE)*Q1060*1)+((C1062=TRUE)*Q1062*1)+((C1063=TRUE)*Q1063*3)+((C1065=TRUE)*Q1065*1))+B1087</f>
        <v/>
      </c>
    </row>
    <row r="1095">
      <c r="A1095" s="6" t="inlineStr">
        <is>
          <t>Stat: Charm of the Undead (Equip)</t>
        </is>
      </c>
    </row>
    <row r="1096">
      <c r="A1096" s="5" t="inlineStr">
        <is>
          <t>Key</t>
        </is>
      </c>
      <c r="B1096" s="5" t="inlineStr">
        <is>
          <t>Name</t>
        </is>
      </c>
      <c r="C1096" s="5" t="inlineStr">
        <is>
          <t>Unlocked</t>
        </is>
      </c>
      <c r="D1096" s="5" t="inlineStr">
        <is>
          <t>InputLevel</t>
        </is>
      </c>
      <c r="E1096" s="5" t="inlineStr">
        <is>
          <t>Factor</t>
        </is>
      </c>
      <c r="F1096" s="5" t="inlineStr">
        <is>
          <t>CoefficientPercent</t>
        </is>
      </c>
      <c r="G1096" s="5" t="inlineStr">
        <is>
          <t>EffectiveHits</t>
        </is>
      </c>
      <c r="H1096" s="5" t="inlineStr">
        <is>
          <t>ProcProbability</t>
        </is>
      </c>
      <c r="I1096" s="5" t="inlineStr">
        <is>
          <t>MapleHeroMultiplier</t>
        </is>
      </c>
      <c r="J1096" s="5" t="inlineStr">
        <is>
          <t>BaseDamage</t>
        </is>
      </c>
      <c r="K1096" s="5" t="inlineStr">
        <is>
          <t>BaseHitDamage</t>
        </is>
      </c>
      <c r="L1096" s="5" t="inlineStr">
        <is>
          <t>NonCritAvg</t>
        </is>
      </c>
      <c r="M1096" s="5" t="inlineStr">
        <is>
          <t>CritAvg</t>
        </is>
      </c>
      <c r="N1096" s="5" t="inlineStr">
        <is>
          <t>ExpectedDamage(perHit)</t>
        </is>
      </c>
      <c r="O1096" s="5" t="inlineStr">
        <is>
          <t>DPS</t>
        </is>
      </c>
      <c r="P1096" s="5" t="inlineStr">
        <is>
          <t>% of Total</t>
        </is>
      </c>
      <c r="R1096" t="inlineStr">
        <is>
          <t>helpers</t>
        </is>
      </c>
    </row>
    <row r="1097">
      <c r="A1097">
        <f>Skills!A2</f>
        <v/>
      </c>
      <c r="B1097">
        <f>Skills!B2</f>
        <v/>
      </c>
      <c r="C1097">
        <f>Inputs!$B$3&gt;=100</f>
        <v/>
      </c>
      <c r="D1097" t="inlineStr"/>
      <c r="E1097" t="inlineStr"/>
      <c r="F1097">
        <f>T1099+Skills!N2</f>
        <v/>
      </c>
      <c r="G1097">
        <f>Calc!G2</f>
        <v/>
      </c>
      <c r="H1097">
        <f>Calc!H2</f>
        <v/>
      </c>
      <c r="I1097">
        <f>IF(Skills!T2&lt;&gt;"",1+(Skills!T2/10)*(Z1098/1000)/100,1)</f>
        <v/>
      </c>
      <c r="J1097">
        <f>((Inputs!$B$6*(1+Inputs!$B$7/100))+(((Inputs!$B$12*(1+Inputs!$B$13/100))-(Inputs!$B$12*(1+Inputs!$B$13/100)))+0.25*(Inputs!$B$14-Inputs!$B$14))*(1+Inputs!$B$7/100))*(F1097/100)</f>
        <v/>
      </c>
      <c r="K1097">
        <f>J1097*(1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2="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1097)</f>
        <v/>
      </c>
      <c r="L1097">
        <f>K1097*(MIN(Inputs!$B$22+(F1113-Calc!F18),(Inputs!$B$23+(IF(ArtifactsInput!$M$15,CHOOSE(ArtifactsInput!$N$15+1,25,30,35,40,45,50)/100*(Inputs!$B$11-Inputs!$B$11),0))))/100+(Inputs!$B$23+(IF(ArtifactsInput!$M$15,CHOOSE(ArtifactsInput!$N$15+1,25,30,35,40,45,50)/100*(Inputs!$B$11-Inputs!$B$11),0)))/100)/2</f>
        <v/>
      </c>
      <c r="M1097">
        <f>L1097*(1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97">
        <f>L1097*(1-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1097*(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97">
        <f>(1-Summary!$B$11)*S1097+Summary!$B$11*U1097</f>
        <v/>
      </c>
      <c r="P1097">
        <f>IF(B1132=0,0,O1097/B1132)</f>
        <v/>
      </c>
      <c r="Q1097">
        <f>IFERROR(1/(IF(Inputs!$B$38="pvp",15,MAX(0.1,Skills!D2-IF(TRUE=TRUE,Inputs!$B$32,0)))*(1-IF(AND(ArtifactsInput!$M$27,Inputs!$B$4="Chapter Hunt"),CHOOSE(ArtifactsInput!$N$27+1,20,24,28,32,36,40),0)/100)),0)</f>
        <v/>
      </c>
      <c r="R1097" t="n">
        <v>0</v>
      </c>
      <c r="S1097">
        <f>IF(C1097,(Skills!F2*N1097*B1128)*IF(Inputs!$B$38="pvp",1,1+(Inputs!$B$20+Skills!O2+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1097*(1-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1097*(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1097*(1-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1097*(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097">
        <f>MAX(0,(Inputs!$B$3-100)*3)+Inputs!$B$28+Inputs!$B$29</f>
        <v/>
      </c>
      <c r="U1097">
        <f>IF(C1097,(Skills!F2*N1097*B1128)*IF(Inputs!$B$38="pvp",1,(1+(Inputs!$B$21+Skills!P2+B1123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097">
        <f>MAX(0,(Inputs!$B$3-100)*3)+Inputs!$B$28+Inputs!$B$29</f>
        <v/>
      </c>
    </row>
    <row r="1098">
      <c r="A1098">
        <f>Skills!A3</f>
        <v/>
      </c>
      <c r="B1098">
        <f>Skills!B3</f>
        <v/>
      </c>
      <c r="C1098">
        <f>Inputs!$B$3&gt;=15</f>
        <v/>
      </c>
      <c r="D1098">
        <f>IF(Skills!C3=1,60+Inputs!$B$25+Inputs!$B$29,IF(Skills!C3=2,90+Inputs!$B$26+Inputs!$B$29,IF(Skills!C3=3,120+Inputs!$B$27+Inputs!$B$29,MAX(0,(Inputs!$B$3-100)*3)+Inputs!$B$28+Inputs!$B$29)))</f>
        <v/>
      </c>
      <c r="E1098">
        <f>INDEX(FactorTable!$B$2:$Y$301, MATCH(ROUND(MIN(300,MAX(1,D1098)),0), FactorTable!$A$2:$A$301,0), Skills!L3+1)</f>
        <v/>
      </c>
      <c r="F1098">
        <f>IF(Skills!M3=TRUE,(Skills!K3/10)*(E1098/1000),Skills!K3/10)+Skills!N3</f>
        <v/>
      </c>
      <c r="G1098">
        <f>Calc!G3</f>
        <v/>
      </c>
      <c r="H1098">
        <f>Calc!H3</f>
        <v/>
      </c>
      <c r="I1098">
        <f>IF(Skills!T3&lt;&gt;"",1+(Skills!T3/10)*(Z1098/1000)/100,1)</f>
        <v/>
      </c>
      <c r="J1098" t="inlineStr"/>
      <c r="K1098" t="inlineStr"/>
      <c r="L1098" t="inlineStr"/>
      <c r="M1098" t="inlineStr"/>
      <c r="N1098" t="inlineStr"/>
      <c r="O1098">
        <f>(1-Summary!$B$11)*S1098+Summary!$B$11*U1098</f>
        <v/>
      </c>
      <c r="P1098">
        <f>IF(B1132=0,0,O1098/B1132)</f>
        <v/>
      </c>
      <c r="Q1098">
        <f>IFERROR(1/(IF(Inputs!$B$38="pvp",15,MAX(0.1,Skills!D3-IF(TRUE=TRUE,Inputs!$B$32,0)))*(1-IF(AND(ArtifactsInput!$M$27,Inputs!$B$4="Chapter Hunt"),CHOOSE(ArtifactsInput!$N$27+1,20,24,28,32,36,40),0)/100)),0)</f>
        <v/>
      </c>
      <c r="R1098">
        <f>IF(AND(Inputs!$B$38&lt;&gt;"pvp",Inputs!$B$43&gt;0),IF(Inputs!$B$43&lt;=0,0,(INT(Inputs!$B$43/(IF(Inputs!$B$38="pvp",15,MAX(0.1,Skills!D3-IF(TRUE=TRUE,Inputs!$B$32,0)))*(1-IF(AND(ArtifactsInput!$M$27,Inputs!$B$4="Chapter Hunt"),CHOOSE(ArtifactsInput!$N$27+1,20,24,28,32,36,40),0)/100)))+1)),0)</f>
        <v/>
      </c>
      <c r="S1098" t="n">
        <v>0</v>
      </c>
      <c r="T1098">
        <f>INDEX(FactorTable!$B$2:$Y$301, MATCH(ROUND(MIN(300,MAX(1,T1097)),0), FactorTable!$A$2:$A$301,0), 22)</f>
        <v/>
      </c>
      <c r="U1098" t="n">
        <v>0</v>
      </c>
      <c r="Z1098">
        <f>INDEX(FactorTable!$B$2:$Y$301, MATCH(ROUND(MIN(300,MAX(1,Z1097)),0), FactorTable!$A$2:$A$301,0), 24)</f>
        <v/>
      </c>
    </row>
    <row r="1099">
      <c r="A1099">
        <f>Skills!A4</f>
        <v/>
      </c>
      <c r="B1099">
        <f>Skills!B4</f>
        <v/>
      </c>
      <c r="C1099">
        <f>Inputs!$B$3&gt;=40</f>
        <v/>
      </c>
      <c r="D1099">
        <f>IF(Skills!C4=1,60+Inputs!$B$25+Inputs!$B$29,IF(Skills!C4=2,90+Inputs!$B$26+Inputs!$B$29,IF(Skills!C4=3,120+Inputs!$B$27+Inputs!$B$29,MAX(0,(Inputs!$B$3-100)*3)+Inputs!$B$28+Inputs!$B$29)))</f>
        <v/>
      </c>
      <c r="E1099">
        <f>INDEX(FactorTable!$B$2:$Y$301, MATCH(ROUND(MIN(300,MAX(1,D1099)),0), FactorTable!$A$2:$A$301,0), Skills!L4+1)</f>
        <v/>
      </c>
      <c r="F1099">
        <f>IF(Skills!M4=TRUE,(Skills!K4/10)*(E1099/1000),Skills!K4/10)+Skills!N4</f>
        <v/>
      </c>
      <c r="G1099">
        <f>Calc!G4</f>
        <v/>
      </c>
      <c r="H1099">
        <f>Calc!H4</f>
        <v/>
      </c>
      <c r="I1099">
        <f>IF(Skills!T4&lt;&gt;"",1+(Skills!T4/10)*(Z1098/1000)/100,1)</f>
        <v/>
      </c>
      <c r="J1099" t="inlineStr"/>
      <c r="K1099" t="inlineStr"/>
      <c r="L1099" t="inlineStr"/>
      <c r="M1099" t="inlineStr"/>
      <c r="N1099" t="inlineStr"/>
      <c r="O1099">
        <f>(1-Summary!$B$11)*S1099+Summary!$B$11*U1099</f>
        <v/>
      </c>
      <c r="P1099">
        <f>IF(B1132=0,0,O1099/B1132)</f>
        <v/>
      </c>
      <c r="Q1099">
        <f>IFERROR(1/(IF(Inputs!$B$38="pvp",15,MAX(0.1,Skills!D4-IF(TRUE=TRUE,Inputs!$B$32,0)))*(1-IF(AND(ArtifactsInput!$M$27,Inputs!$B$4="Chapter Hunt"),CHOOSE(ArtifactsInput!$N$27+1,20,24,28,32,36,40),0)/100)),0)</f>
        <v/>
      </c>
      <c r="R1099">
        <f>IF(AND(Inputs!$B$38&lt;&gt;"pvp",Inputs!$B$43&gt;0),IF(Inputs!$B$43&lt;=0,0,(INT(Inputs!$B$43/(IF(Inputs!$B$38="pvp",15,MAX(0.1,Skills!D4-IF(TRUE=TRUE,Inputs!$B$32,0)))*(1-IF(AND(ArtifactsInput!$M$27,Inputs!$B$4="Chapter Hunt"),CHOOSE(ArtifactsInput!$N$27+1,20,24,28,32,36,40),0)/100)))+1)),0)</f>
        <v/>
      </c>
      <c r="S1099" t="n">
        <v>0</v>
      </c>
      <c r="T1099">
        <f>290*T1098/1000</f>
        <v/>
      </c>
      <c r="U1099" t="n">
        <v>0</v>
      </c>
    </row>
    <row r="1100">
      <c r="A1100">
        <f>Skills!A5</f>
        <v/>
      </c>
      <c r="B1100">
        <f>Skills!B5</f>
        <v/>
      </c>
      <c r="C1100">
        <f>Inputs!$B$3&gt;=38</f>
        <v/>
      </c>
      <c r="D1100">
        <f>IF(Skills!C5=1,60+Inputs!$B$25+Inputs!$B$29,IF(Skills!C5=2,90+Inputs!$B$26+Inputs!$B$29,IF(Skills!C5=3,120+Inputs!$B$27+Inputs!$B$29,MAX(0,(Inputs!$B$3-100)*3)+Inputs!$B$28+Inputs!$B$29)))</f>
        <v/>
      </c>
      <c r="E1100">
        <f>INDEX(FactorTable!$B$2:$Y$301, MATCH(ROUND(MIN(300,MAX(1,D1100)),0), FactorTable!$A$2:$A$301,0), Skills!L5+1)</f>
        <v/>
      </c>
      <c r="F1100">
        <f>IF(Skills!M5=TRUE,(Skills!K5/10)*(E1100/1000),Skills!K5/10)+Skills!N5</f>
        <v/>
      </c>
      <c r="G1100">
        <f>Calc!G5</f>
        <v/>
      </c>
      <c r="H1100">
        <f>Calc!H5</f>
        <v/>
      </c>
      <c r="I1100">
        <f>IF(Skills!T5&lt;&gt;"",1+(Skills!T5/10)*(Z1098/1000)/100,1)</f>
        <v/>
      </c>
      <c r="J1100">
        <f>((Inputs!$B$6*(1+Inputs!$B$7/100))+(((Inputs!$B$12*(1+Inputs!$B$13/100))-(Inputs!$B$12*(1+Inputs!$B$13/100)))+0.25*(Inputs!$B$14-Inputs!$B$14))*(1+Inputs!$B$7/100))*(F1100/100)</f>
        <v/>
      </c>
      <c r="K1100">
        <f>J1100*(1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5="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1100)</f>
        <v/>
      </c>
      <c r="L1100">
        <f>K1100*(MIN(Inputs!$B$22+(F1113-Calc!F18),(Inputs!$B$23+(IF(ArtifactsInput!$M$15,CHOOSE(ArtifactsInput!$N$15+1,25,30,35,40,45,50)/100*(Inputs!$B$11-Inputs!$B$11),0))))/100+(Inputs!$B$23+(IF(ArtifactsInput!$M$15,CHOOSE(ArtifactsInput!$N$15+1,25,30,35,40,45,50)/100*(Inputs!$B$11-Inputs!$B$11),0)))/100)/2</f>
        <v/>
      </c>
      <c r="M1100">
        <f>L1100*(1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0">
        <f>L1100*(1-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1100*(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0">
        <f>(1-Summary!$B$11)*S1100+Summary!$B$11*U1100</f>
        <v/>
      </c>
      <c r="P1100">
        <f>IF(B1132=0,0,O1100/B1132)</f>
        <v/>
      </c>
      <c r="Q1100">
        <f>IFERROR(1/(IF(Inputs!$B$38="pvp",15,MAX(0.1,Skills!D5-IF(TRUE=TRUE,Inputs!$B$32,0)))*(1-IF(AND(ArtifactsInput!$M$27,Inputs!$B$4="Chapter Hunt"),CHOOSE(ArtifactsInput!$N$27+1,20,24,28,32,36,40),0)/100)),0)</f>
        <v/>
      </c>
      <c r="R1100">
        <f>IF(AND(Inputs!$B$38&lt;&gt;"pvp",Inputs!$B$43&gt;0),IF(MAX(0,Inputs!$B$43-B1129)&lt;=0,0,(INT(MAX(0,Inputs!$B$43-B1129)/(IF(Inputs!$B$38="pvp",15,MAX(0.1,Skills!D5-IF(TRUE=TRUE,Inputs!$B$32,0)))*(1-IF(AND(ArtifactsInput!$M$27,Inputs!$B$4="Chapter Hunt"),CHOOSE(ArtifactsInput!$N$27+1,20,24,28,32,36,40),0)/100)))+1)),0)</f>
        <v/>
      </c>
      <c r="S1100">
        <f>IF(C1100,(H1100*N1100*IF(AND(Inputs!$B$38&lt;&gt;"pvp",Inputs!$B$43&gt;0),((Skills!F5*((R1100-1)*IF(Skills!G5&gt;0,Skills!H5/Skills!G5,1)+IF(Skills!G5&gt;0,MIN(Skills!H5,MAX(0,MAX(0,Inputs!$B$43-B1129)-((R1100-1)*(IF(Inputs!$B$38="pvp",15,MAX(0.1,Skills!D5-IF(TRUE=TRUE,Inputs!$B$32,0)))*(1-IF(AND(ArtifactsInput!$M$27,Inputs!$B$4="Chapter Hunt"),CHOOSE(ArtifactsInput!$N$27+1,20,24,28,32,36,40),0)/100)))))/Skills!G5,1)))/Inputs!$B$43),G1100*Q1100))*IF(Inputs!$B$38="pvp",1,1+(Inputs!$B$20+Skills!O5+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1100*(1-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1100*(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1100*(1-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1100*(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0">
        <f>IF(C1100,(H1100*N1100*IF(AND(Inputs!$B$38&lt;&gt;"pvp",Inputs!$B$43&gt;0),((Skills!F5*((R1100-1)*IF(Skills!G5&gt;0,Skills!H5/Skills!G5,1)+IF(Skills!G5&gt;0,MIN(Skills!H5,MAX(0,MAX(0,Inputs!$B$43-B1129)-((R1100-1)*(IF(Inputs!$B$38="pvp",15,MAX(0.1,Skills!D5-IF(TRUE=TRUE,Inputs!$B$32,0)))*(1-IF(AND(ArtifactsInput!$M$27,Inputs!$B$4="Chapter Hunt"),CHOOSE(ArtifactsInput!$N$27+1,20,24,28,32,36,40),0)/100)))))/Skills!G5,1)))/Inputs!$B$43),G1100*Q1100))*IF(Inputs!$B$38="pvp",1,(1+(Inputs!$B$21+Skills!P5+B1123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1">
      <c r="A1101">
        <f>Skills!A6</f>
        <v/>
      </c>
      <c r="B1101">
        <f>Skills!B6</f>
        <v/>
      </c>
      <c r="C1101">
        <f>Inputs!$B$3&gt;=63</f>
        <v/>
      </c>
      <c r="D1101">
        <f>IF(Skills!C6=1,60+Inputs!$B$25+Inputs!$B$29,IF(Skills!C6=2,90+Inputs!$B$26+Inputs!$B$29,IF(Skills!C6=3,120+Inputs!$B$27+Inputs!$B$29,MAX(0,(Inputs!$B$3-100)*3)+Inputs!$B$28+Inputs!$B$29)))</f>
        <v/>
      </c>
      <c r="E1101">
        <f>INDEX(FactorTable!$B$2:$Y$301, MATCH(ROUND(MIN(300,MAX(1,D1101)),0), FactorTable!$A$2:$A$301,0), Skills!L6+1)</f>
        <v/>
      </c>
      <c r="F1101">
        <f>IF(Skills!M6=TRUE,(Skills!K6/10)*(E1101/1000),Skills!K6/10)+Skills!N6</f>
        <v/>
      </c>
      <c r="G1101">
        <f>Calc!G6</f>
        <v/>
      </c>
      <c r="H1101">
        <f>Calc!H6</f>
        <v/>
      </c>
      <c r="I1101">
        <f>IF(Skills!T6&lt;&gt;"",1+(Skills!T6/10)*(Z1098/1000)/100,1)</f>
        <v/>
      </c>
      <c r="J1101">
        <f>((Inputs!$B$6*(1+Inputs!$B$7/100))+(((Inputs!$B$12*(1+Inputs!$B$13/100))-(Inputs!$B$12*(1+Inputs!$B$13/100)))+0.25*(Inputs!$B$14-Inputs!$B$14))*(1+Inputs!$B$7/100))*(F1101/100)</f>
        <v/>
      </c>
      <c r="K1101">
        <f>J1101*(1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6="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1101)</f>
        <v/>
      </c>
      <c r="L1101">
        <f>K1101*(MIN(Inputs!$B$22+(F1113-Calc!F18),(Inputs!$B$23+(IF(ArtifactsInput!$M$15,CHOOSE(ArtifactsInput!$N$15+1,25,30,35,40,45,50)/100*(Inputs!$B$11-Inputs!$B$11),0))))/100+(Inputs!$B$23+(IF(ArtifactsInput!$M$15,CHOOSE(ArtifactsInput!$N$15+1,25,30,35,40,45,50)/100*(Inputs!$B$11-Inputs!$B$11),0)))/100)/2</f>
        <v/>
      </c>
      <c r="M1101">
        <f>L1101*(1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1">
        <f>L1101*(1-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1">
        <f>(1-Summary!$B$11)*S1101+Summary!$B$11*U1101</f>
        <v/>
      </c>
      <c r="P1101">
        <f>IF(B1132=0,0,O1101/B1132)</f>
        <v/>
      </c>
      <c r="Q1101">
        <f>IFERROR(1/(IF(Inputs!$B$38="pvp",15,MAX(0.1,Skills!D6-IF(TRUE=TRUE,Inputs!$B$32,0)))*(1-IF(AND(ArtifactsInput!$M$27,Inputs!$B$4="Chapter Hunt"),CHOOSE(ArtifactsInput!$N$27+1,20,24,28,32,36,40),0)/100)),0)</f>
        <v/>
      </c>
      <c r="R1101">
        <f>IF(AND(Inputs!$B$38&lt;&gt;"pvp",Inputs!$B$43&gt;0),IF(MAX(0,Inputs!$B$43-B1129)&lt;=0,0,(INT(MAX(0,Inputs!$B$43-B1129)/(IF(Inputs!$B$38="pvp",15,MAX(0.1,Skills!D6-IF(TRUE=TRUE,Inputs!$B$32,0)))*(1-IF(AND(ArtifactsInput!$M$27,Inputs!$B$4="Chapter Hunt"),CHOOSE(ArtifactsInput!$N$27+1,20,24,28,32,36,40),0)/100)))+1)),0)</f>
        <v/>
      </c>
      <c r="S1101">
        <f>IF(C1101,(H1101*N1101*IF(AND(Inputs!$B$38&lt;&gt;"pvp",Inputs!$B$43&gt;0),((Skills!F6*((R1101-1)*IF(Skills!G6&gt;0,Skills!H6/Skills!G6,1)+IF(Skills!G6&gt;0,MIN(Skills!H6,MAX(0,MAX(0,Inputs!$B$43-B1129)-((R1101-1)*(IF(Inputs!$B$38="pvp",15,MAX(0.1,Skills!D6-IF(TRUE=TRUE,Inputs!$B$32,0)))*(1-IF(AND(ArtifactsInput!$M$27,Inputs!$B$4="Chapter Hunt"),CHOOSE(ArtifactsInput!$N$27+1,20,24,28,32,36,40),0)/100)))))/Skills!G6,1)))/Inputs!$B$43),G1101*Q1101))*IF(Inputs!$B$38="pvp",1,1+(Inputs!$B$20+Skills!O6+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1101*(1-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1101*(1-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1">
        <f>IF(C1101,(H1101*N1101*IF(AND(Inputs!$B$38&lt;&gt;"pvp",Inputs!$B$43&gt;0),((Skills!F6*((R1101-1)*IF(Skills!G6&gt;0,Skills!H6/Skills!G6,1)+IF(Skills!G6&gt;0,MIN(Skills!H6,MAX(0,MAX(0,Inputs!$B$43-B1129)-((R1101-1)*(IF(Inputs!$B$38="pvp",15,MAX(0.1,Skills!D6-IF(TRUE=TRUE,Inputs!$B$32,0)))*(1-IF(AND(ArtifactsInput!$M$27,Inputs!$B$4="Chapter Hunt"),CHOOSE(ArtifactsInput!$N$27+1,20,24,28,32,36,40),0)/100)))))/Skills!G6,1)))/Inputs!$B$43),G1101*Q1101))*IF(Inputs!$B$38="pvp",1,(1+(Inputs!$B$21+Skills!P6+B1123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2">
      <c r="A1102">
        <f>Skills!A7</f>
        <v/>
      </c>
      <c r="B1102">
        <f>Skills!B7</f>
        <v/>
      </c>
      <c r="C1102">
        <f>Inputs!$B$3&gt;=69</f>
        <v/>
      </c>
      <c r="D1102">
        <f>IF(Skills!C7=1,60+Inputs!$B$25+Inputs!$B$29,IF(Skills!C7=2,90+Inputs!$B$26+Inputs!$B$29,IF(Skills!C7=3,120+Inputs!$B$27+Inputs!$B$29,MAX(0,(Inputs!$B$3-100)*3)+Inputs!$B$28+Inputs!$B$29)))</f>
        <v/>
      </c>
      <c r="E1102">
        <f>INDEX(FactorTable!$B$2:$Y$301, MATCH(ROUND(MIN(300,MAX(1,D1102)),0), FactorTable!$A$2:$A$301,0), Skills!L7+1)</f>
        <v/>
      </c>
      <c r="F1102">
        <f>IF(Skills!M7=TRUE,(Skills!K7/10)*(E1102/1000),Skills!K7/10)+Skills!N7</f>
        <v/>
      </c>
      <c r="G1102">
        <f>Calc!G7</f>
        <v/>
      </c>
      <c r="H1102">
        <f>Calc!H7</f>
        <v/>
      </c>
      <c r="I1102">
        <f>IF(Skills!T7&lt;&gt;"",1+(Skills!T7/10)*(Z1098/1000)/100,1)</f>
        <v/>
      </c>
      <c r="J1102">
        <f>((Inputs!$B$6*(1+Inputs!$B$7/100))+(((Inputs!$B$12*(1+Inputs!$B$13/100))-(Inputs!$B$12*(1+Inputs!$B$13/100)))+0.25*(Inputs!$B$14-Inputs!$B$14))*(1+Inputs!$B$7/100))*(F1102/100)</f>
        <v/>
      </c>
      <c r="K1102">
        <f>J1102*(1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7="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1102)</f>
        <v/>
      </c>
      <c r="L1102">
        <f>K1102*(MIN(Inputs!$B$22+(F1113-Calc!F18),(Inputs!$B$23+(IF(ArtifactsInput!$M$15,CHOOSE(ArtifactsInput!$N$15+1,25,30,35,40,45,50)/100*(Inputs!$B$11-Inputs!$B$11),0))))/100+(Inputs!$B$23+(IF(ArtifactsInput!$M$15,CHOOSE(ArtifactsInput!$N$15+1,25,30,35,40,45,50)/100*(Inputs!$B$11-Inputs!$B$11),0)))/100)/2</f>
        <v/>
      </c>
      <c r="M1102">
        <f>L1102*(1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2">
        <f>L1102*(1-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1102*(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2">
        <f>(1-Summary!$B$11)*S1102+Summary!$B$11*U1102</f>
        <v/>
      </c>
      <c r="P1102">
        <f>IF(B1132=0,0,O1102/B1132)</f>
        <v/>
      </c>
      <c r="Q1102">
        <f>IFERROR(1/(IF(Inputs!$B$38="pvp",15,MAX(0.1,Skills!D7-IF(TRUE=TRUE,Inputs!$B$32,0)))*(1-IF(AND(ArtifactsInput!$M$27,Inputs!$B$4="Chapter Hunt"),CHOOSE(ArtifactsInput!$N$27+1,20,24,28,32,36,40),0)/100)),0)</f>
        <v/>
      </c>
      <c r="R1102">
        <f>IF(AND(Inputs!$B$38&lt;&gt;"pvp",Inputs!$B$43&gt;0),IF(MAX(0,Inputs!$B$43-B1129)&lt;=0,0,(INT(MAX(0,Inputs!$B$43-B1129)/(IF(Inputs!$B$38="pvp",15,MAX(0.1,Skills!D7-IF(TRUE=TRUE,Inputs!$B$32,0)))*(1-IF(AND(ArtifactsInput!$M$27,Inputs!$B$4="Chapter Hunt"),CHOOSE(ArtifactsInput!$N$27+1,20,24,28,32,36,40),0)/100)))+1)),0)</f>
        <v/>
      </c>
      <c r="S1102">
        <f>IF(C1102,(H1102*N1102*IF(AND(Inputs!$B$38&lt;&gt;"pvp",Inputs!$B$43&gt;0),((Skills!F7*((R1102-1)*IF(Skills!G7&gt;0,Skills!H7/Skills!G7,1)+IF(Skills!G7&gt;0,MIN(Skills!H7,MAX(0,MAX(0,Inputs!$B$43-B1129)-((R1102-1)*(IF(Inputs!$B$38="pvp",15,MAX(0.1,Skills!D7-IF(TRUE=TRUE,Inputs!$B$32,0)))*(1-IF(AND(ArtifactsInput!$M$27,Inputs!$B$4="Chapter Hunt"),CHOOSE(ArtifactsInput!$N$27+1,20,24,28,32,36,40),0)/100)))))/Skills!G7,1)))/Inputs!$B$43),G1102*Q1102))*IF(Inputs!$B$38="pvp",1,1+(Inputs!$B$20+Skills!O7+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1102*(1-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1102*(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1102*(1-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1102*(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2">
        <f>IF(C1102,(H1102*N1102*IF(AND(Inputs!$B$38&lt;&gt;"pvp",Inputs!$B$43&gt;0),((Skills!F7*((R1102-1)*IF(Skills!G7&gt;0,Skills!H7/Skills!G7,1)+IF(Skills!G7&gt;0,MIN(Skills!H7,MAX(0,MAX(0,Inputs!$B$43-B1129)-((R1102-1)*(IF(Inputs!$B$38="pvp",15,MAX(0.1,Skills!D7-IF(TRUE=TRUE,Inputs!$B$32,0)))*(1-IF(AND(ArtifactsInput!$M$27,Inputs!$B$4="Chapter Hunt"),CHOOSE(ArtifactsInput!$N$27+1,20,24,28,32,36,40),0)/100)))))/Skills!G7,1)))/Inputs!$B$43),G1102*Q1102))*IF(Inputs!$B$38="pvp",1,(1+(Inputs!$B$21+Skills!P7+B1123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3">
      <c r="A1103">
        <f>Skills!A8</f>
        <v/>
      </c>
      <c r="B1103">
        <f>Skills!B8</f>
        <v/>
      </c>
      <c r="C1103">
        <f>Inputs!$B$3&gt;=103</f>
        <v/>
      </c>
      <c r="D1103">
        <f>IF(Skills!C8=1,60+Inputs!$B$25+Inputs!$B$29,IF(Skills!C8=2,90+Inputs!$B$26+Inputs!$B$29,IF(Skills!C8=3,120+Inputs!$B$27+Inputs!$B$29,MAX(0,(Inputs!$B$3-100)*3)+Inputs!$B$28+Inputs!$B$29)))</f>
        <v/>
      </c>
      <c r="E1103">
        <f>INDEX(FactorTable!$B$2:$Y$301, MATCH(ROUND(MIN(300,MAX(1,D1103)),0), FactorTable!$A$2:$A$301,0), Skills!L8+1)</f>
        <v/>
      </c>
      <c r="F1103">
        <f>IF(Skills!M8=TRUE,(Skills!K8/10)*(E1103/1000),Skills!K8/10)+Skills!N8</f>
        <v/>
      </c>
      <c r="G1103">
        <f>Calc!G8</f>
        <v/>
      </c>
      <c r="H1103">
        <f>Calc!H8</f>
        <v/>
      </c>
      <c r="I1103">
        <f>IF(Skills!T8&lt;&gt;"",1+(Skills!T8/10)*(Z1098/1000)/100,1)</f>
        <v/>
      </c>
      <c r="J1103">
        <f>((Inputs!$B$6*(1+Inputs!$B$7/100))+(((Inputs!$B$12*(1+Inputs!$B$13/100))-(Inputs!$B$12*(1+Inputs!$B$13/100)))+0.25*(Inputs!$B$14-Inputs!$B$14))*(1+Inputs!$B$7/100))*(F1103/100)</f>
        <v/>
      </c>
      <c r="K1103">
        <f>J1103*(1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8="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1103)</f>
        <v/>
      </c>
      <c r="L1103">
        <f>K1103*(MIN(Inputs!$B$22+(F1113-Calc!F18),(Inputs!$B$23+(IF(ArtifactsInput!$M$15,CHOOSE(ArtifactsInput!$N$15+1,25,30,35,40,45,50)/100*(Inputs!$B$11-Inputs!$B$11),0))))/100+(Inputs!$B$23+(IF(ArtifactsInput!$M$15,CHOOSE(ArtifactsInput!$N$15+1,25,30,35,40,45,50)/100*(Inputs!$B$11-Inputs!$B$11),0)))/100)/2</f>
        <v/>
      </c>
      <c r="M1103">
        <f>L1103*(1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3">
        <f>L1103*(1-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1103*(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3">
        <f>(1-Summary!$B$11)*S1103+Summary!$B$11*U1103</f>
        <v/>
      </c>
      <c r="P1103">
        <f>IF(B1132=0,0,O1103/B1132)</f>
        <v/>
      </c>
      <c r="Q1103">
        <f>IFERROR(1/(IF(Inputs!$B$38="pvp",15,MAX(0.1,Skills!D8-IF(TRUE=TRUE,Inputs!$B$32,0)))*(1-IF(AND(ArtifactsInput!$M$27,Inputs!$B$4="Chapter Hunt"),CHOOSE(ArtifactsInput!$N$27+1,20,24,28,32,36,40),0)/100)),0)</f>
        <v/>
      </c>
      <c r="R1103">
        <f>IF(AND(Inputs!$B$38&lt;&gt;"pvp",Inputs!$B$43&gt;0),IF(MAX(0,Inputs!$B$43-B1129)&lt;=0,0,(INT(MAX(0,Inputs!$B$43-B1129)/(IF(Inputs!$B$38="pvp",15,MAX(0.1,Skills!D8-IF(TRUE=TRUE,Inputs!$B$32,0)))*(1-IF(AND(ArtifactsInput!$M$27,Inputs!$B$4="Chapter Hunt"),CHOOSE(ArtifactsInput!$N$27+1,20,24,28,32,36,40),0)/100)))+1)),0)</f>
        <v/>
      </c>
      <c r="S1103">
        <f>IF(C1103,(H1103*N1103*IF(AND(Inputs!$B$38&lt;&gt;"pvp",Inputs!$B$43&gt;0),((Skills!F8*((R1103-1)*IF(Skills!G8&gt;0,Skills!H8/Skills!G8,1)+IF(Skills!G8&gt;0,MIN(Skills!H8,MAX(0,MAX(0,Inputs!$B$43-B1129)-((R1103-1)*(IF(Inputs!$B$38="pvp",15,MAX(0.1,Skills!D8-IF(TRUE=TRUE,Inputs!$B$32,0)))*(1-IF(AND(ArtifactsInput!$M$27,Inputs!$B$4="Chapter Hunt"),CHOOSE(ArtifactsInput!$N$27+1,20,24,28,32,36,40),0)/100)))))/Skills!G8,1)))/Inputs!$B$43),G1103*Q1103))*IF(Inputs!$B$38="pvp",1,1+(Inputs!$B$20+Skills!O8+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1103*(1-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1103*(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1103*(1-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1103*(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3">
        <f>IF(C1103,(H1103*N1103*IF(AND(Inputs!$B$38&lt;&gt;"pvp",Inputs!$B$43&gt;0),((Skills!F8*((R1103-1)*IF(Skills!G8&gt;0,Skills!H8/Skills!G8,1)+IF(Skills!G8&gt;0,MIN(Skills!H8,MAX(0,MAX(0,Inputs!$B$43-B1129)-((R1103-1)*(IF(Inputs!$B$38="pvp",15,MAX(0.1,Skills!D8-IF(TRUE=TRUE,Inputs!$B$32,0)))*(1-IF(AND(ArtifactsInput!$M$27,Inputs!$B$4="Chapter Hunt"),CHOOSE(ArtifactsInput!$N$27+1,20,24,28,32,36,40),0)/100)))))/Skills!G8,1)))/Inputs!$B$43),G1103*Q1103))*IF(Inputs!$B$38="pvp",1,(1+(Inputs!$B$21+Skills!P8+B1123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4">
      <c r="A1104">
        <f>Skills!A9</f>
        <v/>
      </c>
      <c r="B1104">
        <f>Skills!B9</f>
        <v/>
      </c>
      <c r="C1104">
        <f>Inputs!$B$3&gt;=105</f>
        <v/>
      </c>
      <c r="D1104">
        <f>IF(Skills!C9=1,60+Inputs!$B$25+Inputs!$B$29,IF(Skills!C9=2,90+Inputs!$B$26+Inputs!$B$29,IF(Skills!C9=3,120+Inputs!$B$27+Inputs!$B$29,MAX(0,(Inputs!$B$3-100)*3)+Inputs!$B$28+Inputs!$B$29)))</f>
        <v/>
      </c>
      <c r="E1104">
        <f>INDEX(FactorTable!$B$2:$Y$301, MATCH(ROUND(MIN(300,MAX(1,D1104)),0), FactorTable!$A$2:$A$301,0), Skills!L9+1)</f>
        <v/>
      </c>
      <c r="F1104">
        <f>IF(Skills!M9=TRUE,(Skills!K9/10)*(E1104/1000),Skills!K9/10)+Skills!N9</f>
        <v/>
      </c>
      <c r="G1104">
        <f>Calc!G9</f>
        <v/>
      </c>
      <c r="H1104">
        <f>Calc!H9</f>
        <v/>
      </c>
      <c r="I1104">
        <f>IF(Skills!T9&lt;&gt;"",1+(Skills!T9/10)*(Z1098/1000)/100,1)</f>
        <v/>
      </c>
      <c r="J1104">
        <f>((Inputs!$B$6*(1+Inputs!$B$7/100))+(((Inputs!$B$12*(1+Inputs!$B$13/100))-(Inputs!$B$12*(1+Inputs!$B$13/100)))+0.25*(Inputs!$B$14-Inputs!$B$14))*(1+Inputs!$B$7/100))*(F1104/100)</f>
        <v/>
      </c>
      <c r="K1104">
        <f>J1104*(1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9="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1104)</f>
        <v/>
      </c>
      <c r="L1104">
        <f>K1104*(MIN(Inputs!$B$22+(F1113-Calc!F18),(Inputs!$B$23+(IF(ArtifactsInput!$M$15,CHOOSE(ArtifactsInput!$N$15+1,25,30,35,40,45,50)/100*(Inputs!$B$11-Inputs!$B$11),0))))/100+(Inputs!$B$23+(IF(ArtifactsInput!$M$15,CHOOSE(ArtifactsInput!$N$15+1,25,30,35,40,45,50)/100*(Inputs!$B$11-Inputs!$B$11),0)))/100)/2</f>
        <v/>
      </c>
      <c r="M1104">
        <f>L1104*(1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4">
        <f>L1104*(1-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1104*(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4">
        <f>(1-Summary!$B$11)*S1104+Summary!$B$11*U1104</f>
        <v/>
      </c>
      <c r="P1104">
        <f>IF(B1132=0,0,O1104/B1132)</f>
        <v/>
      </c>
      <c r="Q1104">
        <f>IFERROR(1/(IF(Inputs!$B$38="pvp",15,MAX(0.1,Skills!D9-IF(TRUE=TRUE,Inputs!$B$32,0)))*(1-IF(AND(ArtifactsInput!$M$27,Inputs!$B$4="Chapter Hunt"),CHOOSE(ArtifactsInput!$N$27+1,20,24,28,32,36,40),0)/100)),0)</f>
        <v/>
      </c>
      <c r="R1104">
        <f>IF(AND(Inputs!$B$38&lt;&gt;"pvp",Inputs!$B$43&gt;0),IF(MAX(0,Inputs!$B$43-B1129)&lt;=0,0,(INT(MAX(0,Inputs!$B$43-B1129)/(IF(Inputs!$B$38="pvp",15,MAX(0.1,Skills!D9-IF(TRUE=TRUE,Inputs!$B$32,0)))*(1-IF(AND(ArtifactsInput!$M$27,Inputs!$B$4="Chapter Hunt"),CHOOSE(ArtifactsInput!$N$27+1,20,24,28,32,36,40),0)/100)))+1)),0)</f>
        <v/>
      </c>
      <c r="S1104">
        <f>IF(C1104,(H1104*N1104*IF(AND(Inputs!$B$38&lt;&gt;"pvp",Inputs!$B$43&gt;0),((Skills!F9*((R1104-1)*IF(Skills!G9&gt;0,Skills!H9/Skills!G9,1)+IF(Skills!G9&gt;0,MIN(Skills!H9,MAX(0,MAX(0,Inputs!$B$43-B1129)-((R1104-1)*(IF(Inputs!$B$38="pvp",15,MAX(0.1,Skills!D9-IF(TRUE=TRUE,Inputs!$B$32,0)))*(1-IF(AND(ArtifactsInput!$M$27,Inputs!$B$4="Chapter Hunt"),CHOOSE(ArtifactsInput!$N$27+1,20,24,28,32,36,40),0)/100)))))/Skills!G9,1)))/Inputs!$B$43),G1104*Q1104))*IF(Inputs!$B$38="pvp",1,1+(Inputs!$B$20+Skills!O9+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1104*(1-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1104*(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1104*(1-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1104*(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4">
        <f>IF(C1104,(H1104*N1104*IF(AND(Inputs!$B$38&lt;&gt;"pvp",Inputs!$B$43&gt;0),((Skills!F9*((R1104-1)*IF(Skills!G9&gt;0,Skills!H9/Skills!G9,1)+IF(Skills!G9&gt;0,MIN(Skills!H9,MAX(0,MAX(0,Inputs!$B$43-B1129)-((R1104-1)*(IF(Inputs!$B$38="pvp",15,MAX(0.1,Skills!D9-IF(TRUE=TRUE,Inputs!$B$32,0)))*(1-IF(AND(ArtifactsInput!$M$27,Inputs!$B$4="Chapter Hunt"),CHOOSE(ArtifactsInput!$N$27+1,20,24,28,32,36,40),0)/100)))))/Skills!G9,1)))/Inputs!$B$43),G1104*Q1104))*IF(Inputs!$B$38="pvp",1,(1+(Inputs!$B$21+Skills!P9+B1123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5">
      <c r="A1105">
        <f>Skills!A10</f>
        <v/>
      </c>
      <c r="B1105">
        <f>Skills!B10</f>
        <v/>
      </c>
      <c r="C1105">
        <f>Inputs!$B$3&gt;=113</f>
        <v/>
      </c>
      <c r="D1105">
        <f>IF(Skills!C10=1,60+Inputs!$B$25+Inputs!$B$29,IF(Skills!C10=2,90+Inputs!$B$26+Inputs!$B$29,IF(Skills!C10=3,120+Inputs!$B$27+Inputs!$B$29,MAX(0,(Inputs!$B$3-100)*3)+Inputs!$B$28+Inputs!$B$29)))</f>
        <v/>
      </c>
      <c r="E1105">
        <f>INDEX(FactorTable!$B$2:$Y$301, MATCH(ROUND(MIN(300,MAX(1,D1105)),0), FactorTable!$A$2:$A$301,0), Skills!L10+1)</f>
        <v/>
      </c>
      <c r="F1105">
        <f>IF(Skills!M10=TRUE,(Skills!K10/10)*(E1105/1000),Skills!K10/10)+Skills!N10</f>
        <v/>
      </c>
      <c r="G1105">
        <f>Calc!G10</f>
        <v/>
      </c>
      <c r="H1105">
        <f>Calc!H10</f>
        <v/>
      </c>
      <c r="I1105">
        <f>IF(Skills!T10&lt;&gt;"",1+(Skills!T10/10)*(Z1098/1000)/100,1)</f>
        <v/>
      </c>
      <c r="J1105">
        <f>((Inputs!$B$6*(1+Inputs!$B$7/100))+(((Inputs!$B$12*(1+Inputs!$B$13/100))-(Inputs!$B$12*(1+Inputs!$B$13/100)))+0.25*(Inputs!$B$14-Inputs!$B$14))*(1+Inputs!$B$7/100))*(F1105/100)</f>
        <v/>
      </c>
      <c r="K1105">
        <f>J1105*(1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10="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1105)</f>
        <v/>
      </c>
      <c r="L1105">
        <f>K1105*(MIN(Inputs!$B$22+(F1113-Calc!F18),(Inputs!$B$23+(IF(ArtifactsInput!$M$15,CHOOSE(ArtifactsInput!$N$15+1,25,30,35,40,45,50)/100*(Inputs!$B$11-Inputs!$B$11),0))))/100+(Inputs!$B$23+(IF(ArtifactsInput!$M$15,CHOOSE(ArtifactsInput!$N$15+1,25,30,35,40,45,50)/100*(Inputs!$B$11-Inputs!$B$11),0)))/100)/2</f>
        <v/>
      </c>
      <c r="M1105">
        <f>L1105*(1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5">
        <f>L1105*(1-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1105*(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5">
        <f>(1-Summary!$B$11)*S1105+Summary!$B$11*U1105</f>
        <v/>
      </c>
      <c r="P1105">
        <f>IF(B1132=0,0,O1105/B1132)</f>
        <v/>
      </c>
      <c r="Q1105">
        <f>IFERROR(1/(IF(Inputs!$B$38="pvp",15,MAX(0.1,Skills!D10-IF(TRUE=TRUE,Inputs!$B$32,0)))*(1-IF(AND(ArtifactsInput!$M$27,Inputs!$B$4="Chapter Hunt"),CHOOSE(ArtifactsInput!$N$27+1,20,24,28,32,36,40),0)/100)),0)</f>
        <v/>
      </c>
      <c r="R1105" t="n">
        <v>0</v>
      </c>
      <c r="S1105">
        <f>IF(C1105,((H1105*B1133)/(1+Skills!G10*H1105*B1133)*N1105)*IF(Inputs!$B$38="pvp",1,1+(Inputs!$B$20+Skills!O10+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1105*(1-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1105*(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1105*(1-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1105*(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5">
        <f>IF(C1105,((H1105*B1133)/(1+Skills!G10*H1105*B1133)*N1105)*IF(Inputs!$B$38="pvp",1,(1+(Inputs!$B$21+Skills!P10+B1123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6">
      <c r="A1106">
        <f>Skills!A11</f>
        <v/>
      </c>
      <c r="B1106">
        <f>Skills!B11</f>
        <v/>
      </c>
      <c r="C1106">
        <f>Inputs!$B$3&gt;=107</f>
        <v/>
      </c>
      <c r="D1106">
        <f>IF(Skills!C11=1,60+Inputs!$B$25+Inputs!$B$29,IF(Skills!C11=2,90+Inputs!$B$26+Inputs!$B$29,IF(Skills!C11=3,120+Inputs!$B$27+Inputs!$B$29,MAX(0,(Inputs!$B$3-100)*3)+Inputs!$B$28+Inputs!$B$29)))</f>
        <v/>
      </c>
      <c r="E1106">
        <f>INDEX(FactorTable!$B$2:$Y$301, MATCH(ROUND(MIN(300,MAX(1,D1106)),0), FactorTable!$A$2:$A$301,0), Skills!L11+1)</f>
        <v/>
      </c>
      <c r="F1106">
        <f>IF(Skills!M11=TRUE,(Skills!K11/10)*(E1106/1000),Skills!K11/10)+Skills!N11</f>
        <v/>
      </c>
      <c r="G1106">
        <f>Calc!G11</f>
        <v/>
      </c>
      <c r="H1106">
        <f>Calc!H11</f>
        <v/>
      </c>
      <c r="I1106">
        <f>IF(Skills!T11&lt;&gt;"",1+(Skills!T11/10)*(Z1098/1000)/100,1)</f>
        <v/>
      </c>
      <c r="J1106">
        <f>((Inputs!$B$6*(1+Inputs!$B$7/100))+(((Inputs!$B$12*(1+Inputs!$B$13/100))-(Inputs!$B$12*(1+Inputs!$B$13/100)))+0.25*(Inputs!$B$14-Inputs!$B$14))*(1+Inputs!$B$7/100))*(F1106/100)</f>
        <v/>
      </c>
      <c r="K1106">
        <f>J1106*(1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11="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1106)</f>
        <v/>
      </c>
      <c r="L1106">
        <f>K1106*(MIN(Inputs!$B$22+(F1113-Calc!F18),(Inputs!$B$23+(IF(ArtifactsInput!$M$15,CHOOSE(ArtifactsInput!$N$15+1,25,30,35,40,45,50)/100*(Inputs!$B$11-Inputs!$B$11),0))))/100+(Inputs!$B$23+(IF(ArtifactsInput!$M$15,CHOOSE(ArtifactsInput!$N$15+1,25,30,35,40,45,50)/100*(Inputs!$B$11-Inputs!$B$11),0)))/100)/2</f>
        <v/>
      </c>
      <c r="M1106">
        <f>L1106*(1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6">
        <f>L1106*(1-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1106*(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6">
        <f>(1-Summary!$B$11)*S1106+Summary!$B$11*U1106</f>
        <v/>
      </c>
      <c r="P1106">
        <f>IF(B1132=0,0,O1106/B1132)</f>
        <v/>
      </c>
      <c r="Q1106">
        <f>IFERROR(1/(IF(Inputs!$B$38="pvp",15,MAX(0.1,Skills!D11-IF(TRUE=TRUE,Inputs!$B$32,0)))*(1-IF(AND(ArtifactsInput!$M$27,Inputs!$B$4="Chapter Hunt"),CHOOSE(ArtifactsInput!$N$27+1,20,24,28,32,36,40),0)/100)),0)</f>
        <v/>
      </c>
      <c r="R1106">
        <f>IF(AND(Inputs!$B$38&lt;&gt;"pvp",Inputs!$B$43&gt;0),IF(MAX(0,Inputs!$B$43-B1129)&lt;=0,0,(INT(MAX(0,Inputs!$B$43-B1129)/(IF(Inputs!$B$38="pvp",15,MAX(0.1,Skills!D11-IF(TRUE=TRUE,Inputs!$B$32,0)))*(1-IF(AND(ArtifactsInput!$M$27,Inputs!$B$4="Chapter Hunt"),CHOOSE(ArtifactsInput!$N$27+1,20,24,28,32,36,40),0)/100)))+1)),0)</f>
        <v/>
      </c>
      <c r="S1106">
        <f>IF(C1106,H1106*N1106*IF(AND(Inputs!$B$38&lt;&gt;"pvp",Inputs!$B$43&gt;0),((Skills!F11*((R1106-1)*IF(Skills!G11&gt;0,Skills!H11/Skills!G11,1)+IF(Skills!G11&gt;0,MIN(Skills!H11,MAX(0,MAX(0,Inputs!$B$43-B1129)-((R1106-1)*(IF(Inputs!$B$38="pvp",15,MAX(0.1,Skills!D11-IF(TRUE=TRUE,Inputs!$B$32,0)))*(1-IF(AND(ArtifactsInput!$M$27,Inputs!$B$4="Chapter Hunt"),CHOOSE(ArtifactsInput!$N$27+1,20,24,28,32,36,40),0)/100)))))/Skills!G11,1)))/Inputs!$B$43),G1106*Q1106)*0.5*IF(Inputs!$B$38="pvp",1,1+(Inputs!$B$20+Skills!O11+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1106*(1-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1106*(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1106*(1-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1106*(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6">
        <f>IF(C1106,H1106*N1106*IF(AND(Inputs!$B$38&lt;&gt;"pvp",Inputs!$B$43&gt;0),((Skills!F11*((R1106-1)*IF(Skills!G11&gt;0,Skills!H11/Skills!G11,1)+IF(Skills!G11&gt;0,MIN(Skills!H11,MAX(0,MAX(0,Inputs!$B$43-B1129)-((R1106-1)*(IF(Inputs!$B$38="pvp",15,MAX(0.1,Skills!D11-IF(TRUE=TRUE,Inputs!$B$32,0)))*(1-IF(AND(ArtifactsInput!$M$27,Inputs!$B$4="Chapter Hunt"),CHOOSE(ArtifactsInput!$N$27+1,20,24,28,32,36,40),0)/100)))))/Skills!G11,1)))/Inputs!$B$43),G1106*Q1106)*1*IF(Inputs!$B$38="pvp",1,(1+(Inputs!$B$21+Skills!P11+B1123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7">
      <c r="A1107">
        <f>Skills!A12</f>
        <v/>
      </c>
      <c r="B1107">
        <f>Skills!B12</f>
        <v/>
      </c>
      <c r="C1107">
        <f>Inputs!$B$3&gt;=115</f>
        <v/>
      </c>
      <c r="D1107">
        <f>IF(Skills!C12=1,60+Inputs!$B$25+Inputs!$B$29,IF(Skills!C12=2,90+Inputs!$B$26+Inputs!$B$29,IF(Skills!C12=3,120+Inputs!$B$27+Inputs!$B$29,MAX(0,(Inputs!$B$3-100)*3)+Inputs!$B$28+Inputs!$B$29)))</f>
        <v/>
      </c>
      <c r="E1107">
        <f>INDEX(FactorTable!$B$2:$Y$301, MATCH(ROUND(MIN(300,MAX(1,D1107)),0), FactorTable!$A$2:$A$301,0), Skills!L12+1)</f>
        <v/>
      </c>
      <c r="F1107">
        <f>IF(Skills!M12=TRUE,(Skills!K12/10)*(E1107/1000),Skills!K12/10)+Skills!N12</f>
        <v/>
      </c>
      <c r="G1107">
        <f>Calc!G12</f>
        <v/>
      </c>
      <c r="H1107">
        <f>Calc!H12</f>
        <v/>
      </c>
      <c r="I1107">
        <f>IF(Skills!T12&lt;&gt;"",1+(Skills!T12/10)*(Z1098/1000)/100,1)</f>
        <v/>
      </c>
      <c r="J1107">
        <f>((Inputs!$B$6*(1+Inputs!$B$7/100))+(((Inputs!$B$12*(1+Inputs!$B$13/100))-(Inputs!$B$12*(1+Inputs!$B$13/100)))+0.25*(Inputs!$B$14-Inputs!$B$14))*(1+Inputs!$B$7/100))*(F1107/100)</f>
        <v/>
      </c>
      <c r="K1107">
        <f>J1107*(1+((Inputs!$B$12*(1+Inputs!$B$13/100))*0.01+Inputs!$B$14*0.0025)/100)*(1+(Inputs!$B$15+B1124)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1110=TRUE,F1110,0)/100)*(1+IF(C1118=TRUE,F1118,0)/100)^5*(1+(IF(Skills!A12="CHAIN_LIGHTNING",Inputs!$B$17+((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1122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1107)</f>
        <v/>
      </c>
      <c r="L1107">
        <f>K1107*(MIN(Inputs!$B$22+(F1113-Calc!F18),(Inputs!$B$23+(IF(ArtifactsInput!$M$15,CHOOSE(ArtifactsInput!$N$15+1,25,30,35,40,45,50)/100*(Inputs!$B$11-Inputs!$B$11),0))))/100+(Inputs!$B$23+(IF(ArtifactsInput!$M$15,CHOOSE(ArtifactsInput!$N$15+1,25,30,35,40,45,50)/100*(Inputs!$B$11-Inputs!$B$11),0)))/100)/2</f>
        <v/>
      </c>
      <c r="M1107">
        <f>L1107*(1+(Inputs!$B$10+(F1116-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7">
        <f>L1107*(1-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1107*(MIN((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7">
        <f>(1-Summary!$B$11)*S1107+Summary!$B$11*U1107</f>
        <v/>
      </c>
      <c r="P1107">
        <f>IF(B1132=0,0,O1107/B1132)</f>
        <v/>
      </c>
      <c r="Q1107">
        <f>IFERROR(1/(IF(Inputs!$B$38="pvp",15,MAX(0.1,Skills!D12-IF(TRUE=TRUE,Inputs!$B$32,0)))*(1-IF(AND(ArtifactsInput!$M$27,Inputs!$B$4="Chapter Hunt"),CHOOSE(ArtifactsInput!$N$27+1,20,24,28,32,36,40),0)/100)),0)</f>
        <v/>
      </c>
      <c r="R1107">
        <f>IF(AND(Inputs!$B$38&lt;&gt;"pvp",Inputs!$B$43&gt;0),IF(MAX(0,Inputs!$B$43-B1129)&lt;=0,0,(INT(MAX(0,Inputs!$B$43-B1129)/(IF(Inputs!$B$38="pvp",15,MAX(0.1,Skills!D12-IF(TRUE=TRUE,Inputs!$B$32,0)))*(1-IF(AND(ArtifactsInput!$M$27,Inputs!$B$4="Chapter Hunt"),CHOOSE(ArtifactsInput!$N$27+1,20,24,28,32,36,40),0)/100)))+1)),0)</f>
        <v/>
      </c>
      <c r="S1107">
        <f>IF(C1107,(H1107*N1107*IF(AND(Inputs!$B$38&lt;&gt;"pvp",Inputs!$B$43&gt;0),((Skills!F12*((R1107-1)*IF(Skills!G12&gt;0,Skills!H12/Skills!G12,1)+IF(Skills!G12&gt;0,MIN(Skills!H12,MAX(0,MAX(0,Inputs!$B$43-B1129)-((R1107-1)*(IF(Inputs!$B$38="pvp",15,MAX(0.1,Skills!D12-IF(TRUE=TRUE,Inputs!$B$32,0)))*(1-IF(AND(ArtifactsInput!$M$27,Inputs!$B$4="Chapter Hunt"),CHOOSE(ArtifactsInput!$N$27+1,20,24,28,32,36,40),0)/100)))))/Skills!G12,1)))/Inputs!$B$43),G1107*Q1107))*IF(Inputs!$B$38="pvp",1,1+(Inputs!$B$20+Skills!O12+B1123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1107*(1-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1107*(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1107*(1-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1107*(MIN(100,(Inputs!$B$9+((F1115-Calc!F20)+(F1114-Calc!F19))+(ArtifactsInput!$M$24-ArtifactsInput!$M$24)*CHOOSE(ArtifactsInput!$N$24+1,10,12,14,16,18,20)+(IF(AND(Inputs!$B$38&lt;&gt;"pvp",Inputs!$B$43=0),1,IF(IF(Inputs!$B$38="pvp",15,Inputs!$B$43)-(B1129)&lt;=0,1,MAX(0,IF(Inputs!$B$38="pvp",15,Inputs!$B$43)-MAX(5,B1129))/(IF(Inputs!$B$38="pvp",15,Inputs!$B$43)-(B1129)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7">
        <f>IF(C1107,(H1107*N1107*IF(AND(Inputs!$B$38&lt;&gt;"pvp",Inputs!$B$43&gt;0),((Skills!F12*((R1107-1)*IF(Skills!G12&gt;0,Skills!H12/Skills!G12,1)+IF(Skills!G12&gt;0,MIN(Skills!H12,MAX(0,MAX(0,Inputs!$B$43-B1129)-((R1107-1)*(IF(Inputs!$B$38="pvp",15,MAX(0.1,Skills!D12-IF(TRUE=TRUE,Inputs!$B$32,0)))*(1-IF(AND(ArtifactsInput!$M$27,Inputs!$B$4="Chapter Hunt"),CHOOSE(ArtifactsInput!$N$27+1,20,24,28,32,36,40),0)/100)))))/Skills!G12,1)))/Inputs!$B$43),G1107*Q1107))*IF(Inputs!$B$38="pvp",1,(1+(Inputs!$B$21+Skills!P12+B1123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8">
      <c r="A1108">
        <f>Skills!A13</f>
        <v/>
      </c>
      <c r="B1108">
        <f>Skills!B13</f>
        <v/>
      </c>
      <c r="C1108">
        <f>Inputs!$B$3&gt;=49</f>
        <v/>
      </c>
      <c r="D1108">
        <f>IF(Skills!C13=1,60+Inputs!$B$25+Inputs!$B$29,IF(Skills!C13=2,90+Inputs!$B$26+Inputs!$B$29,IF(Skills!C13=3,120+Inputs!$B$27+Inputs!$B$29,MAX(0,(Inputs!$B$3-100)*3)+Inputs!$B$28+Inputs!$B$29)))</f>
        <v/>
      </c>
      <c r="E1108">
        <f>INDEX(FactorTable!$B$2:$Y$301, MATCH(ROUND(MIN(300,MAX(1,D1108)),0), FactorTable!$A$2:$A$301,0), Skills!L13+1)</f>
        <v/>
      </c>
      <c r="F1108">
        <f>IF(Skills!M13=TRUE,(Skills!K13/10)*(E1108/1000),Skills!K13/10)+Skills!N13</f>
        <v/>
      </c>
      <c r="G1108">
        <f>Calc!G13</f>
        <v/>
      </c>
      <c r="H1108">
        <f>Calc!H13</f>
        <v/>
      </c>
      <c r="I1108">
        <f>IF(Skills!T13&lt;&gt;"",1+(Skills!T13/10)*(Z1098/1000)/100,1)</f>
        <v/>
      </c>
      <c r="J1108" t="inlineStr"/>
      <c r="K1108" t="inlineStr"/>
      <c r="L1108" t="inlineStr"/>
      <c r="M1108" t="inlineStr"/>
      <c r="N1108" t="inlineStr"/>
      <c r="O1108">
        <f>(1-Summary!$B$11)*S1108+Summary!$B$11*U1108</f>
        <v/>
      </c>
      <c r="P1108">
        <f>IF(B1132=0,0,O1108/B1132)</f>
        <v/>
      </c>
      <c r="Q1108">
        <f>IFERROR(1/(IF(Inputs!$B$38="pvp",15,MAX(0.1,Skills!D13-IF(TRUE=TRUE,Inputs!$B$32,0)))*(1-IF(AND(ArtifactsInput!$M$27,Inputs!$B$4="Chapter Hunt"),CHOOSE(ArtifactsInput!$N$27+1,20,24,28,32,36,40),0)/100)),0)</f>
        <v/>
      </c>
      <c r="R1108" t="n">
        <v>0</v>
      </c>
      <c r="S1108" t="n">
        <v>0</v>
      </c>
      <c r="U1108" t="n">
        <v>0</v>
      </c>
    </row>
    <row r="1109">
      <c r="A1109">
        <f>Skills!A14</f>
        <v/>
      </c>
      <c r="B1109">
        <f>Skills!B14</f>
        <v/>
      </c>
      <c r="C1109">
        <f>Inputs!$B$3&gt;=72</f>
        <v/>
      </c>
      <c r="D1109">
        <f>IF(Skills!C14=1,60+Inputs!$B$25+Inputs!$B$29,IF(Skills!C14=2,90+Inputs!$B$26+Inputs!$B$29,IF(Skills!C14=3,120+Inputs!$B$27+Inputs!$B$29,MAX(0,(Inputs!$B$3-100)*3)+Inputs!$B$28+Inputs!$B$29)))</f>
        <v/>
      </c>
      <c r="E1109">
        <f>INDEX(FactorTable!$B$2:$Y$301, MATCH(ROUND(MIN(300,MAX(1,D1109)),0), FactorTable!$A$2:$A$301,0), Skills!L14+1)</f>
        <v/>
      </c>
      <c r="F1109">
        <f>IF(Skills!M14=TRUE,(Skills!K14/10)*(E1109/1000),Skills!K14/10)+Skills!N14</f>
        <v/>
      </c>
      <c r="G1109">
        <f>Calc!G14</f>
        <v/>
      </c>
      <c r="H1109">
        <f>Calc!H14</f>
        <v/>
      </c>
      <c r="I1109">
        <f>IF(Skills!T14&lt;&gt;"",1+(Skills!T14/10)*(Z1098/1000)/100,1)</f>
        <v/>
      </c>
      <c r="J1109" t="inlineStr"/>
      <c r="K1109" t="inlineStr"/>
      <c r="L1109" t="inlineStr"/>
      <c r="M1109" t="inlineStr"/>
      <c r="N1109" t="inlineStr"/>
      <c r="O1109">
        <f>(1-Summary!$B$11)*S1109+Summary!$B$11*U1109</f>
        <v/>
      </c>
      <c r="P1109">
        <f>IF(B1132=0,0,O1109/B1132)</f>
        <v/>
      </c>
      <c r="Q1109">
        <f>IFERROR(1/(IF(Inputs!$B$38="pvp",15,MAX(0.1,Skills!D14-IF(TRUE=TRUE,Inputs!$B$32,0)))*(1-IF(AND(ArtifactsInput!$M$27,Inputs!$B$4="Chapter Hunt"),CHOOSE(ArtifactsInput!$N$27+1,20,24,28,32,36,40),0)/100)),0)</f>
        <v/>
      </c>
      <c r="R1109" t="n">
        <v>0</v>
      </c>
      <c r="S1109" t="n">
        <v>0</v>
      </c>
      <c r="U1109" t="n">
        <v>0</v>
      </c>
    </row>
    <row r="1110">
      <c r="A1110">
        <f>Skills!A15</f>
        <v/>
      </c>
      <c r="B1110">
        <f>Skills!B15</f>
        <v/>
      </c>
      <c r="C1110">
        <f>Inputs!$B$3&gt;=75</f>
        <v/>
      </c>
      <c r="D1110">
        <f>IF(Skills!C15=1,60+Inputs!$B$25+Inputs!$B$29,IF(Skills!C15=2,90+Inputs!$B$26+Inputs!$B$29,IF(Skills!C15=3,120+Inputs!$B$27+Inputs!$B$29,MAX(0,(Inputs!$B$3-100)*3)+Inputs!$B$28+Inputs!$B$29)))</f>
        <v/>
      </c>
      <c r="E1110">
        <f>INDEX(FactorTable!$B$2:$Y$301, MATCH(ROUND(MIN(300,MAX(1,D1110)),0), FactorTable!$A$2:$A$301,0), Skills!L15+1)</f>
        <v/>
      </c>
      <c r="F1110">
        <f>IF(Skills!M15=TRUE,(Skills!K15/10)*(E1110/1000),Skills!K15/10)+Skills!N15</f>
        <v/>
      </c>
      <c r="G1110">
        <f>Calc!G15</f>
        <v/>
      </c>
      <c r="H1110">
        <f>Calc!H15</f>
        <v/>
      </c>
      <c r="I1110">
        <f>IF(Skills!T15&lt;&gt;"",1+(Skills!T15/10)*(Z1098/1000)/100,1)</f>
        <v/>
      </c>
      <c r="J1110" t="inlineStr"/>
      <c r="K1110" t="inlineStr"/>
      <c r="L1110" t="inlineStr"/>
      <c r="M1110" t="inlineStr"/>
      <c r="N1110" t="inlineStr"/>
      <c r="O1110">
        <f>(1-Summary!$B$11)*S1110+Summary!$B$11*U1110</f>
        <v/>
      </c>
      <c r="P1110">
        <f>IF(B1132=0,0,O1110/B1132)</f>
        <v/>
      </c>
      <c r="Q1110">
        <f>IFERROR(1/(IF(Inputs!$B$38="pvp",15,MAX(0.1,Skills!D15-IF(TRUE=TRUE,Inputs!$B$32,0)))*(1-IF(AND(ArtifactsInput!$M$27,Inputs!$B$4="Chapter Hunt"),CHOOSE(ArtifactsInput!$N$27+1,20,24,28,32,36,40),0)/100)),0)</f>
        <v/>
      </c>
      <c r="R1110" t="n">
        <v>0</v>
      </c>
      <c r="S1110" t="n">
        <v>0</v>
      </c>
      <c r="U1110" t="n">
        <v>0</v>
      </c>
    </row>
    <row r="1111">
      <c r="A1111">
        <f>Skills!A16</f>
        <v/>
      </c>
      <c r="B1111">
        <f>Skills!B16</f>
        <v/>
      </c>
      <c r="C1111">
        <f>Inputs!$B$3&gt;=110</f>
        <v/>
      </c>
      <c r="D1111">
        <f>IF(Skills!C16=1,60+Inputs!$B$25+Inputs!$B$29,IF(Skills!C16=2,90+Inputs!$B$26+Inputs!$B$29,IF(Skills!C16=3,120+Inputs!$B$27+Inputs!$B$29,MAX(0,(Inputs!$B$3-100)*3)+Inputs!$B$28+Inputs!$B$29)))</f>
        <v/>
      </c>
      <c r="E1111">
        <f>INDEX(FactorTable!$B$2:$Y$301, MATCH(ROUND(MIN(300,MAX(1,D1111)),0), FactorTable!$A$2:$A$301,0), Skills!L16+1)</f>
        <v/>
      </c>
      <c r="F1111">
        <f>(Skills!K16/10)*(E1111/1000)*64/45+Skills!N16</f>
        <v/>
      </c>
      <c r="G1111">
        <f>Calc!G16</f>
        <v/>
      </c>
      <c r="H1111">
        <f>Calc!H16</f>
        <v/>
      </c>
      <c r="I1111">
        <f>IF(Skills!T16&lt;&gt;"",1+(Skills!T16/10)*(Z1098/1000)/100,1)</f>
        <v/>
      </c>
      <c r="J1111" t="inlineStr"/>
      <c r="K1111" t="inlineStr"/>
      <c r="L1111" t="inlineStr"/>
      <c r="M1111" t="inlineStr"/>
      <c r="N1111" t="inlineStr"/>
      <c r="O1111">
        <f>(1-Summary!$B$11)*S1111+Summary!$B$11*U1111</f>
        <v/>
      </c>
      <c r="P1111">
        <f>IF(B1132=0,0,O1111/B1132)</f>
        <v/>
      </c>
      <c r="Q1111">
        <f>IFERROR(1/(IF(Inputs!$B$38="pvp",15,MAX(0.1,Skills!D16-IF(TRUE=TRUE,Inputs!$B$32,0)))*(1-IF(AND(ArtifactsInput!$M$27,Inputs!$B$4="Chapter Hunt"),CHOOSE(ArtifactsInput!$N$27+1,20,24,28,32,36,40),0)/100)),0)</f>
        <v/>
      </c>
      <c r="R1111">
        <f>IF(AND(Inputs!$B$38&lt;&gt;"pvp",Inputs!$B$43&gt;0),IF(Inputs!$B$43&lt;=0,0,(INT(Inputs!$B$43/(IF(Inputs!$B$38="pvp",15,MAX(0.1,Skills!D16-IF(TRUE=TRUE,Inputs!$B$32,0)))*(1-IF(AND(ArtifactsInput!$M$27,Inputs!$B$4="Chapter Hunt"),CHOOSE(ArtifactsInput!$N$27+1,20,24,28,32,36,40),0)/100)))+1)),0)</f>
        <v/>
      </c>
      <c r="S1111" t="n">
        <v>0</v>
      </c>
      <c r="U1111" t="n">
        <v>0</v>
      </c>
    </row>
    <row r="1112">
      <c r="A1112">
        <f>Skills!A17</f>
        <v/>
      </c>
      <c r="B1112">
        <f>Skills!B17</f>
        <v/>
      </c>
      <c r="C1112">
        <f>Inputs!$B$3&gt;=33</f>
        <v/>
      </c>
      <c r="D1112">
        <f>IF(Skills!C17=1,60+Inputs!$B$25+Inputs!$B$29,IF(Skills!C17=2,90+Inputs!$B$26+Inputs!$B$29,IF(Skills!C17=3,120+Inputs!$B$27+Inputs!$B$29,MAX(0,(Inputs!$B$3-100)*3)+Inputs!$B$28+Inputs!$B$29)))</f>
        <v/>
      </c>
      <c r="E1112">
        <f>INDEX(FactorTable!$B$2:$Y$301, MATCH(ROUND(MIN(300,MAX(1,D1112)),0), FactorTable!$A$2:$A$301,0), Skills!L17+1)</f>
        <v/>
      </c>
      <c r="F1112">
        <f>IF(Skills!M17=TRUE,(Skills!K17/10)*(E1112/1000),Skills!K17/10)+Skills!N17</f>
        <v/>
      </c>
      <c r="G1112">
        <f>Calc!G17</f>
        <v/>
      </c>
      <c r="H1112">
        <f>Calc!H17</f>
        <v/>
      </c>
      <c r="I1112">
        <f>IF(Skills!T17&lt;&gt;"",1+(Skills!T17/10)*(Z1098/1000)/100,1)</f>
        <v/>
      </c>
      <c r="J1112" t="inlineStr"/>
      <c r="K1112" t="inlineStr"/>
      <c r="L1112" t="inlineStr"/>
      <c r="M1112" t="inlineStr"/>
      <c r="N1112" t="inlineStr"/>
      <c r="O1112">
        <f>(1-Summary!$B$11)*S1112+Summary!$B$11*U1112</f>
        <v/>
      </c>
      <c r="P1112">
        <f>IF(B1132=0,0,O1112/B1132)</f>
        <v/>
      </c>
      <c r="Q1112">
        <f>IFERROR(1/(IF(Inputs!$B$38="pvp",15,MAX(0.1,Skills!D17-IF(TRUE=TRUE,Inputs!$B$32,0)))*(1-IF(AND(ArtifactsInput!$M$27,Inputs!$B$4="Chapter Hunt"),CHOOSE(ArtifactsInput!$N$27+1,20,24,28,32,36,40),0)/100)),0)</f>
        <v/>
      </c>
      <c r="R1112" t="n">
        <v>0</v>
      </c>
      <c r="S1112" t="n">
        <v>0</v>
      </c>
      <c r="U1112" t="n">
        <v>0</v>
      </c>
    </row>
    <row r="1113">
      <c r="A1113">
        <f>Skills!A18</f>
        <v/>
      </c>
      <c r="B1113">
        <f>Skills!B18</f>
        <v/>
      </c>
      <c r="C1113">
        <f>Inputs!$B$3&gt;=43</f>
        <v/>
      </c>
      <c r="D1113">
        <f>IF(Skills!C18=1,60+Inputs!$B$25+Inputs!$B$29,IF(Skills!C18=2,90+Inputs!$B$26+Inputs!$B$29,IF(Skills!C18=3,120+Inputs!$B$27+Inputs!$B$29,MAX(0,(Inputs!$B$3-100)*3)+Inputs!$B$28+Inputs!$B$29)))</f>
        <v/>
      </c>
      <c r="E1113">
        <f>INDEX(FactorTable!$B$2:$Y$301, MATCH(ROUND(MIN(300,MAX(1,D1113)),0), FactorTable!$A$2:$A$301,0), Skills!L18+1)</f>
        <v/>
      </c>
      <c r="F1113">
        <f>IF(Skills!M18=TRUE,(Skills!K18/10)*(E1113/1000),Skills!K18/10)+Skills!N18</f>
        <v/>
      </c>
      <c r="G1113">
        <f>Calc!G18</f>
        <v/>
      </c>
      <c r="H1113">
        <f>Calc!H18</f>
        <v/>
      </c>
      <c r="I1113">
        <f>IF(Skills!T18&lt;&gt;"",1+(Skills!T18/10)*(Z1098/1000)/100,1)</f>
        <v/>
      </c>
      <c r="J1113" t="inlineStr"/>
      <c r="K1113" t="inlineStr"/>
      <c r="L1113" t="inlineStr"/>
      <c r="M1113" t="inlineStr"/>
      <c r="N1113" t="inlineStr"/>
      <c r="O1113">
        <f>(1-Summary!$B$11)*S1113+Summary!$B$11*U1113</f>
        <v/>
      </c>
      <c r="P1113">
        <f>IF(B1132=0,0,O1113/B1132)</f>
        <v/>
      </c>
      <c r="Q1113">
        <f>IFERROR(1/(IF(Inputs!$B$38="pvp",15,MAX(0.1,Skills!D18-IF(TRUE=TRUE,Inputs!$B$32,0)))*(1-IF(AND(ArtifactsInput!$M$27,Inputs!$B$4="Chapter Hunt"),CHOOSE(ArtifactsInput!$N$27+1,20,24,28,32,36,40),0)/100)),0)</f>
        <v/>
      </c>
      <c r="R1113" t="n">
        <v>0</v>
      </c>
      <c r="S1113" t="n">
        <v>0</v>
      </c>
      <c r="U1113" t="n">
        <v>0</v>
      </c>
    </row>
    <row r="1114">
      <c r="A1114">
        <f>Skills!A19</f>
        <v/>
      </c>
      <c r="B1114">
        <f>Skills!B19</f>
        <v/>
      </c>
      <c r="C1114">
        <f>Inputs!$B$3&gt;=50</f>
        <v/>
      </c>
      <c r="D1114">
        <f>IF(Skills!C19=1,60+Inputs!$B$25+Inputs!$B$29,IF(Skills!C19=2,90+Inputs!$B$26+Inputs!$B$29,IF(Skills!C19=3,120+Inputs!$B$27+Inputs!$B$29,MAX(0,(Inputs!$B$3-100)*3)+Inputs!$B$28+Inputs!$B$29)))</f>
        <v/>
      </c>
      <c r="E1114">
        <f>INDEX(FactorTable!$B$2:$Y$301, MATCH(ROUND(MIN(300,MAX(1,D1114)),0), FactorTable!$A$2:$A$301,0), Skills!L19+1)</f>
        <v/>
      </c>
      <c r="F1114">
        <f>IF(Skills!M19=TRUE,(Skills!K19/10)*(E1114/1000),Skills!K19/10)+Skills!N19</f>
        <v/>
      </c>
      <c r="G1114">
        <f>Calc!G19</f>
        <v/>
      </c>
      <c r="H1114">
        <f>Calc!H19</f>
        <v/>
      </c>
      <c r="I1114">
        <f>IF(Skills!T19&lt;&gt;"",1+(Skills!T19/10)*(Z1098/1000)/100,1)</f>
        <v/>
      </c>
      <c r="J1114" t="inlineStr"/>
      <c r="K1114" t="inlineStr"/>
      <c r="L1114" t="inlineStr"/>
      <c r="M1114" t="inlineStr"/>
      <c r="N1114" t="inlineStr"/>
      <c r="O1114">
        <f>(1-Summary!$B$11)*S1114+Summary!$B$11*U1114</f>
        <v/>
      </c>
      <c r="P1114">
        <f>IF(B1132=0,0,O1114/B1132)</f>
        <v/>
      </c>
      <c r="Q1114">
        <f>IFERROR(1/(IF(Inputs!$B$38="pvp",15,MAX(0.1,Skills!D19-IF(TRUE=TRUE,Inputs!$B$32,0)))*(1-IF(AND(ArtifactsInput!$M$27,Inputs!$B$4="Chapter Hunt"),CHOOSE(ArtifactsInput!$N$27+1,20,24,28,32,36,40),0)/100)),0)</f>
        <v/>
      </c>
      <c r="R1114" t="n">
        <v>0</v>
      </c>
      <c r="S1114" t="n">
        <v>0</v>
      </c>
      <c r="U1114" t="n">
        <v>0</v>
      </c>
    </row>
    <row r="1115">
      <c r="A1115">
        <f>Skills!A20</f>
        <v/>
      </c>
      <c r="B1115">
        <f>Skills!B20</f>
        <v/>
      </c>
      <c r="C1115">
        <f>Inputs!$B$3&gt;=74</f>
        <v/>
      </c>
      <c r="D1115">
        <f>IF(Skills!C20=1,60+Inputs!$B$25+Inputs!$B$29,IF(Skills!C20=2,90+Inputs!$B$26+Inputs!$B$29,IF(Skills!C20=3,120+Inputs!$B$27+Inputs!$B$29,MAX(0,(Inputs!$B$3-100)*3)+Inputs!$B$28+Inputs!$B$29)))</f>
        <v/>
      </c>
      <c r="E1115">
        <f>INDEX(FactorTable!$B$2:$Y$301, MATCH(ROUND(MIN(300,MAX(1,D1115)),0), FactorTable!$A$2:$A$301,0), Skills!L20+1)</f>
        <v/>
      </c>
      <c r="F1115">
        <f>IF(Skills!M20=TRUE,(Skills!K20/10)*(E1115/1000),Skills!K20/10)+Skills!N20</f>
        <v/>
      </c>
      <c r="G1115">
        <f>Calc!G20</f>
        <v/>
      </c>
      <c r="H1115">
        <f>Calc!H20</f>
        <v/>
      </c>
      <c r="I1115">
        <f>IF(Skills!T20&lt;&gt;"",1+(Skills!T20/10)*(Z1098/1000)/100,1)</f>
        <v/>
      </c>
      <c r="J1115" t="inlineStr"/>
      <c r="K1115" t="inlineStr"/>
      <c r="L1115" t="inlineStr"/>
      <c r="M1115" t="inlineStr"/>
      <c r="N1115" t="inlineStr"/>
      <c r="O1115">
        <f>(1-Summary!$B$11)*S1115+Summary!$B$11*U1115</f>
        <v/>
      </c>
      <c r="P1115">
        <f>IF(B1132=0,0,O1115/B1132)</f>
        <v/>
      </c>
      <c r="Q1115">
        <f>IFERROR(1/(IF(Inputs!$B$38="pvp",15,MAX(0.1,Skills!D20-IF(TRUE=TRUE,Inputs!$B$32,0)))*(1-IF(AND(ArtifactsInput!$M$27,Inputs!$B$4="Chapter Hunt"),CHOOSE(ArtifactsInput!$N$27+1,20,24,28,32,36,40),0)/100)),0)</f>
        <v/>
      </c>
      <c r="R1115" t="n">
        <v>0</v>
      </c>
      <c r="S1115" t="n">
        <v>0</v>
      </c>
      <c r="U1115" t="n">
        <v>0</v>
      </c>
    </row>
    <row r="1116">
      <c r="A1116">
        <f>Skills!A21</f>
        <v/>
      </c>
      <c r="B1116">
        <f>Skills!B21</f>
        <v/>
      </c>
      <c r="C1116">
        <f>Inputs!$B$3&gt;=74</f>
        <v/>
      </c>
      <c r="D1116">
        <f>IF(Skills!C21=1,60+Inputs!$B$25+Inputs!$B$29,IF(Skills!C21=2,90+Inputs!$B$26+Inputs!$B$29,IF(Skills!C21=3,120+Inputs!$B$27+Inputs!$B$29,MAX(0,(Inputs!$B$3-100)*3)+Inputs!$B$28+Inputs!$B$29)))</f>
        <v/>
      </c>
      <c r="E1116">
        <f>INDEX(FactorTable!$B$2:$Y$301, MATCH(ROUND(MIN(300,MAX(1,D1116)),0), FactorTable!$A$2:$A$301,0), Skills!L21+1)</f>
        <v/>
      </c>
      <c r="F1116">
        <f>IF(Skills!M21=TRUE,(Skills!K21/10)*(E1116/1000),Skills!K21/10)+Skills!N21</f>
        <v/>
      </c>
      <c r="G1116">
        <f>Calc!G21</f>
        <v/>
      </c>
      <c r="H1116">
        <f>Calc!H21</f>
        <v/>
      </c>
      <c r="I1116">
        <f>IF(Skills!T21&lt;&gt;"",1+(Skills!T21/10)*(Z1098/1000)/100,1)</f>
        <v/>
      </c>
      <c r="J1116" t="inlineStr"/>
      <c r="K1116" t="inlineStr"/>
      <c r="L1116" t="inlineStr"/>
      <c r="M1116" t="inlineStr"/>
      <c r="N1116" t="inlineStr"/>
      <c r="O1116">
        <f>(1-Summary!$B$11)*S1116+Summary!$B$11*U1116</f>
        <v/>
      </c>
      <c r="P1116">
        <f>IF(B1132=0,0,O1116/B1132)</f>
        <v/>
      </c>
      <c r="Q1116">
        <f>IFERROR(1/(IF(Inputs!$B$38="pvp",15,MAX(0.1,Skills!D21-IF(TRUE=TRUE,Inputs!$B$32,0)))*(1-IF(AND(ArtifactsInput!$M$27,Inputs!$B$4="Chapter Hunt"),CHOOSE(ArtifactsInput!$N$27+1,20,24,28,32,36,40),0)/100)),0)</f>
        <v/>
      </c>
      <c r="R1116" t="n">
        <v>0</v>
      </c>
      <c r="S1116" t="n">
        <v>0</v>
      </c>
      <c r="U1116" t="n">
        <v>0</v>
      </c>
    </row>
    <row r="1117">
      <c r="A1117">
        <f>Skills!A22</f>
        <v/>
      </c>
      <c r="B1117">
        <f>Skills!B22</f>
        <v/>
      </c>
      <c r="C1117">
        <f>Inputs!$B$3&gt;=117</f>
        <v/>
      </c>
      <c r="D1117">
        <f>IF(Skills!C22=1,60+Inputs!$B$25+Inputs!$B$29,IF(Skills!C22=2,90+Inputs!$B$26+Inputs!$B$29,IF(Skills!C22=3,120+Inputs!$B$27+Inputs!$B$29,MAX(0,(Inputs!$B$3-100)*3)+Inputs!$B$28+Inputs!$B$29)))</f>
        <v/>
      </c>
      <c r="E1117">
        <f>INDEX(FactorTable!$B$2:$Y$301, MATCH(ROUND(MIN(300,MAX(1,D1117)),0), FactorTable!$A$2:$A$301,0), Skills!L22+1)</f>
        <v/>
      </c>
      <c r="F1117">
        <f>IF(Skills!M22=TRUE,(Skills!K22/10)*(E1117/1000),Skills!K22/10)+Skills!N22</f>
        <v/>
      </c>
      <c r="G1117">
        <f>Calc!G22</f>
        <v/>
      </c>
      <c r="H1117">
        <f>Calc!H22</f>
        <v/>
      </c>
      <c r="I1117">
        <f>IF(Skills!T22&lt;&gt;"",1+(Skills!T22/10)*(Z1098/1000)/100,1)</f>
        <v/>
      </c>
      <c r="J1117" t="inlineStr"/>
      <c r="K1117" t="inlineStr"/>
      <c r="L1117" t="inlineStr"/>
      <c r="M1117" t="inlineStr"/>
      <c r="N1117" t="inlineStr"/>
      <c r="O1117">
        <f>(1-Summary!$B$11)*S1117+Summary!$B$11*U1117</f>
        <v/>
      </c>
      <c r="P1117">
        <f>IF(B1132=0,0,O1117/B1132)</f>
        <v/>
      </c>
      <c r="Q1117">
        <f>IFERROR(1/(IF(Inputs!$B$38="pvp",15,MAX(0.1,Skills!D22-IF(TRUE=TRUE,Inputs!$B$32,0)))*(1-IF(AND(ArtifactsInput!$M$27,Inputs!$B$4="Chapter Hunt"),CHOOSE(ArtifactsInput!$N$27+1,20,24,28,32,36,40),0)/100)),0)</f>
        <v/>
      </c>
      <c r="R1117" t="n">
        <v>0</v>
      </c>
      <c r="S1117" t="n">
        <v>0</v>
      </c>
      <c r="U1117" t="n">
        <v>0</v>
      </c>
    </row>
    <row r="1118">
      <c r="A1118">
        <f>Skills!A23</f>
        <v/>
      </c>
      <c r="B1118">
        <f>Skills!B23</f>
        <v/>
      </c>
      <c r="C1118">
        <f>Inputs!$B$3&gt;=120</f>
        <v/>
      </c>
      <c r="D1118">
        <f>IF(Skills!C23=1,60+Inputs!$B$25+Inputs!$B$29,IF(Skills!C23=2,90+Inputs!$B$26+Inputs!$B$29,IF(Skills!C23=3,120+Inputs!$B$27+Inputs!$B$29,MAX(0,(Inputs!$B$3-100)*3)+Inputs!$B$28+Inputs!$B$29)))</f>
        <v/>
      </c>
      <c r="E1118">
        <f>INDEX(FactorTable!$B$2:$Y$301, MATCH(ROUND(MIN(300,MAX(1,D1118)),0), FactorTable!$A$2:$A$301,0), Skills!L23+1)</f>
        <v/>
      </c>
      <c r="F1118">
        <f>IF(Skills!M23=TRUE,(Skills!K23/10)*(E1118/1000),Skills!K23/10)+Skills!N23</f>
        <v/>
      </c>
      <c r="G1118">
        <f>Calc!G23</f>
        <v/>
      </c>
      <c r="H1118">
        <f>Calc!H23</f>
        <v/>
      </c>
      <c r="I1118">
        <f>IF(Skills!T23&lt;&gt;"",1+(Skills!T23/10)*(Z1098/1000)/100,1)</f>
        <v/>
      </c>
      <c r="J1118" t="inlineStr"/>
      <c r="K1118" t="inlineStr"/>
      <c r="L1118" t="inlineStr"/>
      <c r="M1118" t="inlineStr"/>
      <c r="N1118" t="inlineStr"/>
      <c r="O1118">
        <f>(1-Summary!$B$11)*S1118+Summary!$B$11*U1118</f>
        <v/>
      </c>
      <c r="P1118">
        <f>IF(B1132=0,0,O1118/B1132)</f>
        <v/>
      </c>
      <c r="Q1118">
        <f>IFERROR(1/(IF(Inputs!$B$38="pvp",15,MAX(0.1,Skills!D23-IF(TRUE=TRUE,Inputs!$B$32,0)))*(1-IF(AND(ArtifactsInput!$M$27,Inputs!$B$4="Chapter Hunt"),CHOOSE(ArtifactsInput!$N$27+1,20,24,28,32,36,40),0)/100)),0)</f>
        <v/>
      </c>
      <c r="R1118" t="n">
        <v>0</v>
      </c>
      <c r="S1118" t="n">
        <v>0</v>
      </c>
      <c r="U1118" t="n">
        <v>0</v>
      </c>
    </row>
    <row r="1119">
      <c r="A1119">
        <f>Skills!A24</f>
        <v/>
      </c>
      <c r="B1119">
        <f>Skills!B24</f>
        <v/>
      </c>
      <c r="C1119">
        <f>TRUE</f>
        <v/>
      </c>
      <c r="D1119">
        <f>IF(Skills!C24=1,60+Inputs!$B$25+Inputs!$B$29,IF(Skills!C24=2,90+Inputs!$B$26+Inputs!$B$29,IF(Skills!C24=3,120+Inputs!$B$27+Inputs!$B$29,MAX(0,(Inputs!$B$3-100)*3)+Inputs!$B$28+Inputs!$B$29)))</f>
        <v/>
      </c>
      <c r="E1119">
        <f>INDEX(FactorTable!$B$2:$Y$301, MATCH(ROUND(MIN(300,MAX(1,D1119)),0), FactorTable!$A$2:$A$301,0), Skills!L24+1)</f>
        <v/>
      </c>
      <c r="F1119">
        <f>IF(Skills!M24=TRUE,(Skills!K24/10)*(E1119/1000),Skills!K24/10)+Skills!N24</f>
        <v/>
      </c>
      <c r="G1119">
        <f>Calc!G24</f>
        <v/>
      </c>
      <c r="H1119">
        <f>Calc!H24</f>
        <v/>
      </c>
      <c r="I1119">
        <f>IF(Skills!T24&lt;&gt;"",1+(Skills!T24/10)*(Z1098/1000)/100,1)</f>
        <v/>
      </c>
      <c r="J1119" t="inlineStr"/>
      <c r="K1119" t="inlineStr"/>
      <c r="L1119" t="inlineStr"/>
      <c r="M1119" t="inlineStr"/>
      <c r="N1119" t="inlineStr"/>
      <c r="O1119">
        <f>(1-Summary!$B$11)*S1119+Summary!$B$11*U1119</f>
        <v/>
      </c>
      <c r="P1119">
        <f>IF(B1132=0,0,O1119/B1132)</f>
        <v/>
      </c>
      <c r="Q1119">
        <f>IFERROR(1/(IF(Inputs!$B$38="pvp",15,MAX(0.1,Skills!D24-IF(TRUE=TRUE,Inputs!$B$32,0)))*(1-IF(AND(ArtifactsInput!$M$27,Inputs!$B$4="Chapter Hunt"),CHOOSE(ArtifactsInput!$N$27+1,20,24,28,32,36,40),0)/100)),0)</f>
        <v/>
      </c>
      <c r="R1119">
        <f>IF(AND(Inputs!$B$38&lt;&gt;"pvp",Inputs!$B$43&gt;0),IF(Inputs!$B$43&lt;=0,0,(INT(Inputs!$B$43/(IF(Inputs!$B$38="pvp",15,MAX(0.1,Skills!D24-IF(TRUE=TRUE,Inputs!$B$32,0)))*(1-IF(AND(ArtifactsInput!$M$27,Inputs!$B$4="Chapter Hunt"),CHOOSE(ArtifactsInput!$N$27+1,20,24,28,32,36,40),0)/100)))+1)),0)</f>
        <v/>
      </c>
      <c r="S1119" t="n">
        <v>0</v>
      </c>
      <c r="U1119" t="n">
        <v>0</v>
      </c>
    </row>
    <row r="1122">
      <c r="A1122" t="inlineStr">
        <is>
          <t>Average Buff Multiplier (Magic Guard + Meditation + Artifact Attack%, summed; then Infinity)</t>
        </is>
      </c>
      <c r="B1122">
        <f>(1+(IF(C1098=TRUE,F1098*IF(AND(Inputs!$B$38&lt;&gt;"pvp",Inputs!$B$43&gt;0),(((R1098-1)*MIN((Skills!S3*(1+(Inputs!$B$34)/100)),(1/Q1098))+MIN((Skills!S3*(1+(Inputs!$B$34)/100)),MAX(0,Inputs!$B$43-((R1098-1)*(1/Q1098)))))/Inputs!$B$43),IF(Inputs!$B$38="pvp",MIN((Skills!S3*(1+(Inputs!$B$34)/100)),15)/15,MIN(1,(Skills!S3*(1+(Inputs!$B$34)/100))/(1/Q1098)))),0)+IF(C1099=TRUE,F1099*IF(AND(Inputs!$B$38&lt;&gt;"pvp",Inputs!$B$43&gt;0),(((R1099-1)*MIN((Skills!S4*(1+(Inputs!$B$34)/100)),(1/Q1099))+MIN((Skills!S4*(1+(Inputs!$B$34)/100)),MAX(0,Inputs!$B$43-((R1099-1)*(1/Q1099)))))/Inputs!$B$43),IF(Inputs!$B$38="pvp",MIN((Skills!S4*(1+(Inputs!$B$34)/100)),15)/15,MIN(1,(Skills!S4*(1+(Inputs!$B$34)/100))/(1/Q1099)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IF(C1111=TRUE,(1+F1111*IF(AND(Inputs!$B$38&lt;&gt;"pvp",Inputs!$B$43&gt;0),(((R1111-1)*MIN((Skills!S16*(1+(Inputs!$B$34)/100)),(1/Q1111))+MIN((Skills!S16*(1+(Inputs!$B$34)/100)),MAX(0,Inputs!$B$43-((R1111-1)*(1/Q1111)))))/Inputs!$B$43),IF(Inputs!$B$38="pvp",MIN((Skills!S16*(1+(Inputs!$B$34)/100)),15)/15,MIN(1,(Skills!S16*(1+(Inputs!$B$34)/100))/(1/Q1111))))/100),1)</f>
        <v/>
      </c>
    </row>
    <row r="1123">
      <c r="A1123" t="inlineStr">
        <is>
          <t>Monster Damage Taken Bonus % (Freezing Breath - Weaken + Elemental Reset + Artifact Enemy Damage Taken, summed)</t>
        </is>
      </c>
      <c r="B1123">
        <f>IF(Inputs!$B$3&gt;=118,15*IF(Inputs!$B$38="pvp",MIN((30*(1+(Inputs!$B$34)/100)),15)/15,MIN(1,(30*(1+(Inputs!$B$34)/100))/(1/Q1103))),0)+IF(C1109=TRUE,F1109,0)+(IF(AND(ArtifactsInput!$M$35,Inputs!$B$4&lt;&gt;"Chapter Hunt"),CHOOSE(ArtifactsInput!$N$35+1,15,18,21,24,27,30)*(1-EXP(-(0.2*B1126)*5)),0)+IF(AND(ArtifactsInput!$M$22,Inputs!$B$4&lt;&gt;"Chapter Hunt"),CHOOSE(ArtifactsInput!$N$22+1,10,12,14,16,18,20)*((0*(((0.15*B1126*5))^0/1)+1*(((0.15*B1126*5))^1/1)+2*(((0.15*B1126*5))^2/2)+3*(((0.15*B1126*5))^3/6)+4*(((0.15*B1126*5))^4/24)+5*(((0.15*B1126*5))^5/120))/((((0.15*B1126*5))^0/1)+(((0.15*B1126*5))^1/1)+(((0.15*B1126*5))^2/2)+(((0.15*B1126*5))^3/6)+(((0.15*B1126*5))^4/24)+(((0.15*B1126*5))^5/120))),0))</f>
        <v/>
      </c>
    </row>
    <row r="1124">
      <c r="A1124" t="inlineStr">
        <is>
          <t>Damage % Bonus (Frozen Break + Frost Clutch, flat)</t>
        </is>
      </c>
      <c r="B1124">
        <f>IF(Inputs!$B$3&gt;=66,15,0)+IF(Inputs!$B$3&gt;=98,10,0)+IF(Inputs!$B$3&gt;=125,20,0)</f>
        <v/>
      </c>
    </row>
    <row r="1125">
      <c r="A1125" t="inlineStr">
        <is>
          <t>Attack Speed Bonus % (MP Eater - MP Boost, always-on + Nimble Feet, duty-cycle averaged)</t>
        </is>
      </c>
      <c r="B1125">
        <f>IF(C1108=TRUE,F1108+(F1112-Calc!F17),0)+((C1119=TRUE)*F1119*IF(AND(Inputs!$B$38&lt;&gt;"pvp",Inputs!$B$43&gt;0),(((R1119-1)*MIN((Skills!S24*(1+(Inputs!$B$34)/100)),(1/Q1119))+MIN((Skills!S24*(1+(Inputs!$B$34)/100)),MAX(0,Inputs!$B$43-((R1119-1)*(1/Q1119)))))/Inputs!$B$43),IF(Inputs!$B$38="pvp",MIN((Skills!S24*(1+(Inputs!$B$34)/100)),15)/15,MIN(1,(Skills!S24*(1+(Inputs!$B$34)/100))/(1/Q1119)))))</f>
        <v/>
      </c>
    </row>
    <row r="1126">
      <c r="A1126" t="inlineStr">
        <is>
          <t>Actions Per Second</t>
        </is>
      </c>
      <c r="B1126">
        <f>1+MIN(150,150*(1-(1-(Inputs!$B$11+(ArtifactsInput!$M$15-ArtifactsInput!$M$15)*CHOOSE(ArtifactsInput!$N$15+1,8,9.6,11.2,12.8,14.4,16))/150)*(1-B1125/150)))/100</f>
        <v/>
      </c>
    </row>
    <row r="1127">
      <c r="A1127" t="inlineStr">
        <is>
          <t>Skill + Buff Cast Rate</t>
        </is>
      </c>
      <c r="B1127">
        <f>IF(AND(Inputs!$B$38&lt;&gt;"pvp",Inputs!$B$43&gt;0),SUMPRODUCT((Skills!E2:E24=TRUE)*(C1097:C1119=TRUE)*R1097:R1119)/Inputs!$B$43,SUMPRODUCT((Skills!E2:E24=TRUE)*(C1097:C1119=TRUE)*Q1097:Q1119))</f>
        <v/>
      </c>
    </row>
    <row r="1128">
      <c r="A1128" t="inlineStr">
        <is>
          <t>Chain Lightning Casts Per Second</t>
        </is>
      </c>
      <c r="B1128">
        <f>MAX(0,B1126-B1127)</f>
        <v/>
      </c>
    </row>
    <row r="1129">
      <c r="A1129" t="inlineStr">
        <is>
          <t>Buff-Casting Startup Delay (s, fixed-duration only)</t>
        </is>
      </c>
      <c r="B1129">
        <f>IF(AND(Inputs!$B$38&lt;&gt;"pvp",Inputs!$B$43&gt;0),SUMPRODUCT((Skills!S2:S24&gt;0)*(Skills!E2:E24=TRUE)*(C1097:C1119=TRUE))/B1126,0)</f>
        <v/>
      </c>
    </row>
    <row r="1130">
      <c r="A1130" t="inlineStr">
        <is>
          <t>Boss-Only Total DPS (this block's swept value)</t>
        </is>
      </c>
      <c r="B1130">
        <f>SUM(S1097:S1119)</f>
        <v/>
      </c>
    </row>
    <row r="1131">
      <c r="A1131" t="inlineStr">
        <is>
          <t>Normal-Only Total DPS (this block's swept value)</t>
        </is>
      </c>
      <c r="B1131">
        <f>SUM(U1097:U1119)</f>
        <v/>
      </c>
    </row>
    <row r="1132">
      <c r="A1132" s="6" t="inlineStr">
        <is>
          <t>TOTAL DPS</t>
        </is>
      </c>
      <c r="B1132" s="6">
        <f>SUM(O1097:O1119)</f>
        <v/>
      </c>
    </row>
    <row r="1133">
      <c r="A1133" t="inlineStr">
        <is>
          <t>Blizzard Final Attack trigger rate (this block's own Q/R)</t>
        </is>
      </c>
      <c r="B1133">
        <f>IF(AND(Inputs!$B$38&lt;&gt;"pvp",Inputs!$B$43&gt;0),(((C1100=TRUE)*R1100*1)+((C1101=TRUE)*R1101*1)+((C1103=TRUE)*R1103*1)+((C1104=TRUE)*R1104*3)+((C1106=TRUE)*R1106*1))/Inputs!$B$43,((C1100=TRUE)*Q1100*1)+((C1101=TRUE)*Q1101*1)+((C1103=TRUE)*Q1103*1)+((C1104=TRUE)*Q1104*3)+((C1106=TRUE)*Q1106*1))+B1128</f>
        <v/>
      </c>
    </row>
    <row r="1136">
      <c r="A1136" s="6" t="inlineStr">
        <is>
          <t>Stat: Pig's Ribbon (Equip)</t>
        </is>
      </c>
    </row>
    <row r="1137">
      <c r="A1137" s="5" t="inlineStr">
        <is>
          <t>Key</t>
        </is>
      </c>
      <c r="B1137" s="5" t="inlineStr">
        <is>
          <t>Name</t>
        </is>
      </c>
      <c r="C1137" s="5" t="inlineStr">
        <is>
          <t>Unlocked</t>
        </is>
      </c>
      <c r="D1137" s="5" t="inlineStr">
        <is>
          <t>InputLevel</t>
        </is>
      </c>
      <c r="E1137" s="5" t="inlineStr">
        <is>
          <t>Factor</t>
        </is>
      </c>
      <c r="F1137" s="5" t="inlineStr">
        <is>
          <t>CoefficientPercent</t>
        </is>
      </c>
      <c r="G1137" s="5" t="inlineStr">
        <is>
          <t>EffectiveHits</t>
        </is>
      </c>
      <c r="H1137" s="5" t="inlineStr">
        <is>
          <t>ProcProbability</t>
        </is>
      </c>
      <c r="I1137" s="5" t="inlineStr">
        <is>
          <t>MapleHeroMultiplier</t>
        </is>
      </c>
      <c r="J1137" s="5" t="inlineStr">
        <is>
          <t>BaseDamage</t>
        </is>
      </c>
      <c r="K1137" s="5" t="inlineStr">
        <is>
          <t>BaseHitDamage</t>
        </is>
      </c>
      <c r="L1137" s="5" t="inlineStr">
        <is>
          <t>NonCritAvg</t>
        </is>
      </c>
      <c r="M1137" s="5" t="inlineStr">
        <is>
          <t>CritAvg</t>
        </is>
      </c>
      <c r="N1137" s="5" t="inlineStr">
        <is>
          <t>ExpectedDamage(perHit)</t>
        </is>
      </c>
      <c r="O1137" s="5" t="inlineStr">
        <is>
          <t>DPS</t>
        </is>
      </c>
      <c r="P1137" s="5" t="inlineStr">
        <is>
          <t>% of Total</t>
        </is>
      </c>
      <c r="R1137" t="inlineStr">
        <is>
          <t>helpers</t>
        </is>
      </c>
    </row>
    <row r="1138">
      <c r="A1138">
        <f>Skills!A2</f>
        <v/>
      </c>
      <c r="B1138">
        <f>Skills!B2</f>
        <v/>
      </c>
      <c r="C1138">
        <f>Inputs!$B$3&gt;=100</f>
        <v/>
      </c>
      <c r="D1138" t="inlineStr"/>
      <c r="E1138" t="inlineStr"/>
      <c r="F1138">
        <f>T1140+Skills!N2</f>
        <v/>
      </c>
      <c r="G1138">
        <f>Calc!G2</f>
        <v/>
      </c>
      <c r="H1138">
        <f>Calc!H2</f>
        <v/>
      </c>
      <c r="I1138">
        <f>IF(Skills!T2&lt;&gt;"",1+(Skills!T2/10)*(Z1139/1000)/100,1)</f>
        <v/>
      </c>
      <c r="J1138">
        <f>((Inputs!$B$6*(1+Inputs!$B$7/100))+(((Inputs!$B$12*(1+Inputs!$B$13/100))-(Inputs!$B$12*(1+Inputs!$B$13/100)))+0.25*(Inputs!$B$14-Inputs!$B$14))*(1+Inputs!$B$7/100))*(F1138/100)</f>
        <v/>
      </c>
      <c r="K1138">
        <f>J1138*(1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2="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1138)</f>
        <v/>
      </c>
      <c r="L1138">
        <f>K1138*(MIN(Inputs!$B$22+(F1154-Calc!F18),(Inputs!$B$23+(IF(ArtifactsInput!$M$15,CHOOSE(ArtifactsInput!$N$15+1,25,30,35,40,45,50)/100*(Inputs!$B$11-Inputs!$B$11),0))))/100+(Inputs!$B$23+(IF(ArtifactsInput!$M$15,CHOOSE(ArtifactsInput!$N$15+1,25,30,35,40,45,50)/100*(Inputs!$B$11-Inputs!$B$11),0)))/100)/2</f>
        <v/>
      </c>
      <c r="M1138">
        <f>L1138*(1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38">
        <f>L1138*(1-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1138*(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38">
        <f>(1-Summary!$B$11)*S1138+Summary!$B$11*U1138</f>
        <v/>
      </c>
      <c r="P1138">
        <f>IF(B1173=0,0,O1138/B1173)</f>
        <v/>
      </c>
      <c r="Q1138">
        <f>IFERROR(1/(IF(Inputs!$B$38="pvp",15,MAX(0.1,Skills!D2-IF(TRUE=TRUE,Inputs!$B$32,0)))*(1-IF(AND(ArtifactsInput!$M$27,Inputs!$B$4="Chapter Hunt"),CHOOSE(ArtifactsInput!$N$27+1,20,24,28,32,36,40),0)/100)),0)</f>
        <v/>
      </c>
      <c r="R1138" t="n">
        <v>0</v>
      </c>
      <c r="S1138">
        <f>IF(C1138,(Skills!F2*N1138*B1169)*IF(Inputs!$B$38="pvp",1,1+(Inputs!$B$20+Skills!O2+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1138*(1-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1138*(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1138*(1-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1138*(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38">
        <f>MAX(0,(Inputs!$B$3-100)*3)+Inputs!$B$28+Inputs!$B$29</f>
        <v/>
      </c>
      <c r="U1138">
        <f>IF(C1138,(Skills!F2*N1138*B1169)*IF(Inputs!$B$38="pvp",1,(1+(Inputs!$B$21+Skills!P2+B1164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38">
        <f>MAX(0,(Inputs!$B$3-100)*3)+Inputs!$B$28+Inputs!$B$29</f>
        <v/>
      </c>
    </row>
    <row r="1139">
      <c r="A1139">
        <f>Skills!A3</f>
        <v/>
      </c>
      <c r="B1139">
        <f>Skills!B3</f>
        <v/>
      </c>
      <c r="C1139">
        <f>Inputs!$B$3&gt;=15</f>
        <v/>
      </c>
      <c r="D1139">
        <f>IF(Skills!C3=1,60+Inputs!$B$25+Inputs!$B$29,IF(Skills!C3=2,90+Inputs!$B$26+Inputs!$B$29,IF(Skills!C3=3,120+Inputs!$B$27+Inputs!$B$29,MAX(0,(Inputs!$B$3-100)*3)+Inputs!$B$28+Inputs!$B$29)))</f>
        <v/>
      </c>
      <c r="E1139">
        <f>INDEX(FactorTable!$B$2:$Y$301, MATCH(ROUND(MIN(300,MAX(1,D1139)),0), FactorTable!$A$2:$A$301,0), Skills!L3+1)</f>
        <v/>
      </c>
      <c r="F1139">
        <f>IF(Skills!M3=TRUE,(Skills!K3/10)*(E1139/1000),Skills!K3/10)+Skills!N3</f>
        <v/>
      </c>
      <c r="G1139">
        <f>Calc!G3</f>
        <v/>
      </c>
      <c r="H1139">
        <f>Calc!H3</f>
        <v/>
      </c>
      <c r="I1139">
        <f>IF(Skills!T3&lt;&gt;"",1+(Skills!T3/10)*(Z1139/1000)/100,1)</f>
        <v/>
      </c>
      <c r="J1139" t="inlineStr"/>
      <c r="K1139" t="inlineStr"/>
      <c r="L1139" t="inlineStr"/>
      <c r="M1139" t="inlineStr"/>
      <c r="N1139" t="inlineStr"/>
      <c r="O1139">
        <f>(1-Summary!$B$11)*S1139+Summary!$B$11*U1139</f>
        <v/>
      </c>
      <c r="P1139">
        <f>IF(B1173=0,0,O1139/B1173)</f>
        <v/>
      </c>
      <c r="Q1139">
        <f>IFERROR(1/(IF(Inputs!$B$38="pvp",15,MAX(0.1,Skills!D3-IF(TRUE=TRUE,Inputs!$B$32,0)))*(1-IF(AND(ArtifactsInput!$M$27,Inputs!$B$4="Chapter Hunt"),CHOOSE(ArtifactsInput!$N$27+1,20,24,28,32,36,40),0)/100)),0)</f>
        <v/>
      </c>
      <c r="R1139">
        <f>IF(AND(Inputs!$B$38&lt;&gt;"pvp",Inputs!$B$43&gt;0),IF(Inputs!$B$43&lt;=0,0,(INT(Inputs!$B$43/(IF(Inputs!$B$38="pvp",15,MAX(0.1,Skills!D3-IF(TRUE=TRUE,Inputs!$B$32,0)))*(1-IF(AND(ArtifactsInput!$M$27,Inputs!$B$4="Chapter Hunt"),CHOOSE(ArtifactsInput!$N$27+1,20,24,28,32,36,40),0)/100)))+1)),0)</f>
        <v/>
      </c>
      <c r="S1139" t="n">
        <v>0</v>
      </c>
      <c r="T1139">
        <f>INDEX(FactorTable!$B$2:$Y$301, MATCH(ROUND(MIN(300,MAX(1,T1138)),0), FactorTable!$A$2:$A$301,0), 22)</f>
        <v/>
      </c>
      <c r="U1139" t="n">
        <v>0</v>
      </c>
      <c r="Z1139">
        <f>INDEX(FactorTable!$B$2:$Y$301, MATCH(ROUND(MIN(300,MAX(1,Z1138)),0), FactorTable!$A$2:$A$301,0), 24)</f>
        <v/>
      </c>
    </row>
    <row r="1140">
      <c r="A1140">
        <f>Skills!A4</f>
        <v/>
      </c>
      <c r="B1140">
        <f>Skills!B4</f>
        <v/>
      </c>
      <c r="C1140">
        <f>Inputs!$B$3&gt;=40</f>
        <v/>
      </c>
      <c r="D1140">
        <f>IF(Skills!C4=1,60+Inputs!$B$25+Inputs!$B$29,IF(Skills!C4=2,90+Inputs!$B$26+Inputs!$B$29,IF(Skills!C4=3,120+Inputs!$B$27+Inputs!$B$29,MAX(0,(Inputs!$B$3-100)*3)+Inputs!$B$28+Inputs!$B$29)))</f>
        <v/>
      </c>
      <c r="E1140">
        <f>INDEX(FactorTable!$B$2:$Y$301, MATCH(ROUND(MIN(300,MAX(1,D1140)),0), FactorTable!$A$2:$A$301,0), Skills!L4+1)</f>
        <v/>
      </c>
      <c r="F1140">
        <f>IF(Skills!M4=TRUE,(Skills!K4/10)*(E1140/1000),Skills!K4/10)+Skills!N4</f>
        <v/>
      </c>
      <c r="G1140">
        <f>Calc!G4</f>
        <v/>
      </c>
      <c r="H1140">
        <f>Calc!H4</f>
        <v/>
      </c>
      <c r="I1140">
        <f>IF(Skills!T4&lt;&gt;"",1+(Skills!T4/10)*(Z1139/1000)/100,1)</f>
        <v/>
      </c>
      <c r="J1140" t="inlineStr"/>
      <c r="K1140" t="inlineStr"/>
      <c r="L1140" t="inlineStr"/>
      <c r="M1140" t="inlineStr"/>
      <c r="N1140" t="inlineStr"/>
      <c r="O1140">
        <f>(1-Summary!$B$11)*S1140+Summary!$B$11*U1140</f>
        <v/>
      </c>
      <c r="P1140">
        <f>IF(B1173=0,0,O1140/B1173)</f>
        <v/>
      </c>
      <c r="Q1140">
        <f>IFERROR(1/(IF(Inputs!$B$38="pvp",15,MAX(0.1,Skills!D4-IF(TRUE=TRUE,Inputs!$B$32,0)))*(1-IF(AND(ArtifactsInput!$M$27,Inputs!$B$4="Chapter Hunt"),CHOOSE(ArtifactsInput!$N$27+1,20,24,28,32,36,40),0)/100)),0)</f>
        <v/>
      </c>
      <c r="R1140">
        <f>IF(AND(Inputs!$B$38&lt;&gt;"pvp",Inputs!$B$43&gt;0),IF(Inputs!$B$43&lt;=0,0,(INT(Inputs!$B$43/(IF(Inputs!$B$38="pvp",15,MAX(0.1,Skills!D4-IF(TRUE=TRUE,Inputs!$B$32,0)))*(1-IF(AND(ArtifactsInput!$M$27,Inputs!$B$4="Chapter Hunt"),CHOOSE(ArtifactsInput!$N$27+1,20,24,28,32,36,40),0)/100)))+1)),0)</f>
        <v/>
      </c>
      <c r="S1140" t="n">
        <v>0</v>
      </c>
      <c r="T1140">
        <f>290*T1139/1000</f>
        <v/>
      </c>
      <c r="U1140" t="n">
        <v>0</v>
      </c>
    </row>
    <row r="1141">
      <c r="A1141">
        <f>Skills!A5</f>
        <v/>
      </c>
      <c r="B1141">
        <f>Skills!B5</f>
        <v/>
      </c>
      <c r="C1141">
        <f>Inputs!$B$3&gt;=38</f>
        <v/>
      </c>
      <c r="D1141">
        <f>IF(Skills!C5=1,60+Inputs!$B$25+Inputs!$B$29,IF(Skills!C5=2,90+Inputs!$B$26+Inputs!$B$29,IF(Skills!C5=3,120+Inputs!$B$27+Inputs!$B$29,MAX(0,(Inputs!$B$3-100)*3)+Inputs!$B$28+Inputs!$B$29)))</f>
        <v/>
      </c>
      <c r="E1141">
        <f>INDEX(FactorTable!$B$2:$Y$301, MATCH(ROUND(MIN(300,MAX(1,D1141)),0), FactorTable!$A$2:$A$301,0), Skills!L5+1)</f>
        <v/>
      </c>
      <c r="F1141">
        <f>IF(Skills!M5=TRUE,(Skills!K5/10)*(E1141/1000),Skills!K5/10)+Skills!N5</f>
        <v/>
      </c>
      <c r="G1141">
        <f>Calc!G5</f>
        <v/>
      </c>
      <c r="H1141">
        <f>Calc!H5</f>
        <v/>
      </c>
      <c r="I1141">
        <f>IF(Skills!T5&lt;&gt;"",1+(Skills!T5/10)*(Z1139/1000)/100,1)</f>
        <v/>
      </c>
      <c r="J1141">
        <f>((Inputs!$B$6*(1+Inputs!$B$7/100))+(((Inputs!$B$12*(1+Inputs!$B$13/100))-(Inputs!$B$12*(1+Inputs!$B$13/100)))+0.25*(Inputs!$B$14-Inputs!$B$14))*(1+Inputs!$B$7/100))*(F1141/100)</f>
        <v/>
      </c>
      <c r="K1141">
        <f>J1141*(1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5="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1141)</f>
        <v/>
      </c>
      <c r="L1141">
        <f>K1141*(MIN(Inputs!$B$22+(F1154-Calc!F18),(Inputs!$B$23+(IF(ArtifactsInput!$M$15,CHOOSE(ArtifactsInput!$N$15+1,25,30,35,40,45,50)/100*(Inputs!$B$11-Inputs!$B$11),0))))/100+(Inputs!$B$23+(IF(ArtifactsInput!$M$15,CHOOSE(ArtifactsInput!$N$15+1,25,30,35,40,45,50)/100*(Inputs!$B$11-Inputs!$B$11),0)))/100)/2</f>
        <v/>
      </c>
      <c r="M1141">
        <f>L1141*(1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1">
        <f>L1141*(1-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1">
        <f>(1-Summary!$B$11)*S1141+Summary!$B$11*U1141</f>
        <v/>
      </c>
      <c r="P1141">
        <f>IF(B1173=0,0,O1141/B1173)</f>
        <v/>
      </c>
      <c r="Q1141">
        <f>IFERROR(1/(IF(Inputs!$B$38="pvp",15,MAX(0.1,Skills!D5-IF(TRUE=TRUE,Inputs!$B$32,0)))*(1-IF(AND(ArtifactsInput!$M$27,Inputs!$B$4="Chapter Hunt"),CHOOSE(ArtifactsInput!$N$27+1,20,24,28,32,36,40),0)/100)),0)</f>
        <v/>
      </c>
      <c r="R1141">
        <f>IF(AND(Inputs!$B$38&lt;&gt;"pvp",Inputs!$B$43&gt;0),IF(MAX(0,Inputs!$B$43-B1170)&lt;=0,0,(INT(MAX(0,Inputs!$B$43-B1170)/(IF(Inputs!$B$38="pvp",15,MAX(0.1,Skills!D5-IF(TRUE=TRUE,Inputs!$B$32,0)))*(1-IF(AND(ArtifactsInput!$M$27,Inputs!$B$4="Chapter Hunt"),CHOOSE(ArtifactsInput!$N$27+1,20,24,28,32,36,40),0)/100)))+1)),0)</f>
        <v/>
      </c>
      <c r="S1141">
        <f>IF(C1141,(H1141*N1141*IF(AND(Inputs!$B$38&lt;&gt;"pvp",Inputs!$B$43&gt;0),((Skills!F5*((R1141-1)*IF(Skills!G5&gt;0,Skills!H5/Skills!G5,1)+IF(Skills!G5&gt;0,MIN(Skills!H5,MAX(0,MAX(0,Inputs!$B$43-B1170)-((R1141-1)*(IF(Inputs!$B$38="pvp",15,MAX(0.1,Skills!D5-IF(TRUE=TRUE,Inputs!$B$32,0)))*(1-IF(AND(ArtifactsInput!$M$27,Inputs!$B$4="Chapter Hunt"),CHOOSE(ArtifactsInput!$N$27+1,20,24,28,32,36,40),0)/100)))))/Skills!G5,1)))/Inputs!$B$43),G1141*Q1141))*IF(Inputs!$B$38="pvp",1,1+(Inputs!$B$20+Skills!O5+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1141*(1-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1141*(1-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1">
        <f>IF(C1141,(H1141*N1141*IF(AND(Inputs!$B$38&lt;&gt;"pvp",Inputs!$B$43&gt;0),((Skills!F5*((R1141-1)*IF(Skills!G5&gt;0,Skills!H5/Skills!G5,1)+IF(Skills!G5&gt;0,MIN(Skills!H5,MAX(0,MAX(0,Inputs!$B$43-B1170)-((R1141-1)*(IF(Inputs!$B$38="pvp",15,MAX(0.1,Skills!D5-IF(TRUE=TRUE,Inputs!$B$32,0)))*(1-IF(AND(ArtifactsInput!$M$27,Inputs!$B$4="Chapter Hunt"),CHOOSE(ArtifactsInput!$N$27+1,20,24,28,32,36,40),0)/100)))))/Skills!G5,1)))/Inputs!$B$43),G1141*Q1141))*IF(Inputs!$B$38="pvp",1,(1+(Inputs!$B$21+Skills!P5+B1164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2">
      <c r="A1142">
        <f>Skills!A6</f>
        <v/>
      </c>
      <c r="B1142">
        <f>Skills!B6</f>
        <v/>
      </c>
      <c r="C1142">
        <f>Inputs!$B$3&gt;=63</f>
        <v/>
      </c>
      <c r="D1142">
        <f>IF(Skills!C6=1,60+Inputs!$B$25+Inputs!$B$29,IF(Skills!C6=2,90+Inputs!$B$26+Inputs!$B$29,IF(Skills!C6=3,120+Inputs!$B$27+Inputs!$B$29,MAX(0,(Inputs!$B$3-100)*3)+Inputs!$B$28+Inputs!$B$29)))</f>
        <v/>
      </c>
      <c r="E1142">
        <f>INDEX(FactorTable!$B$2:$Y$301, MATCH(ROUND(MIN(300,MAX(1,D1142)),0), FactorTable!$A$2:$A$301,0), Skills!L6+1)</f>
        <v/>
      </c>
      <c r="F1142">
        <f>IF(Skills!M6=TRUE,(Skills!K6/10)*(E1142/1000),Skills!K6/10)+Skills!N6</f>
        <v/>
      </c>
      <c r="G1142">
        <f>Calc!G6</f>
        <v/>
      </c>
      <c r="H1142">
        <f>Calc!H6</f>
        <v/>
      </c>
      <c r="I1142">
        <f>IF(Skills!T6&lt;&gt;"",1+(Skills!T6/10)*(Z1139/1000)/100,1)</f>
        <v/>
      </c>
      <c r="J1142">
        <f>((Inputs!$B$6*(1+Inputs!$B$7/100))+(((Inputs!$B$12*(1+Inputs!$B$13/100))-(Inputs!$B$12*(1+Inputs!$B$13/100)))+0.25*(Inputs!$B$14-Inputs!$B$14))*(1+Inputs!$B$7/100))*(F1142/100)</f>
        <v/>
      </c>
      <c r="K1142">
        <f>J1142*(1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6="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1142)</f>
        <v/>
      </c>
      <c r="L1142">
        <f>K1142*(MIN(Inputs!$B$22+(F1154-Calc!F18),(Inputs!$B$23+(IF(ArtifactsInput!$M$15,CHOOSE(ArtifactsInput!$N$15+1,25,30,35,40,45,50)/100*(Inputs!$B$11-Inputs!$B$11),0))))/100+(Inputs!$B$23+(IF(ArtifactsInput!$M$15,CHOOSE(ArtifactsInput!$N$15+1,25,30,35,40,45,50)/100*(Inputs!$B$11-Inputs!$B$11),0)))/100)/2</f>
        <v/>
      </c>
      <c r="M1142">
        <f>L1142*(1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2">
        <f>L1142*(1-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1142*(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2">
        <f>(1-Summary!$B$11)*S1142+Summary!$B$11*U1142</f>
        <v/>
      </c>
      <c r="P1142">
        <f>IF(B1173=0,0,O1142/B1173)</f>
        <v/>
      </c>
      <c r="Q1142">
        <f>IFERROR(1/(IF(Inputs!$B$38="pvp",15,MAX(0.1,Skills!D6-IF(TRUE=TRUE,Inputs!$B$32,0)))*(1-IF(AND(ArtifactsInput!$M$27,Inputs!$B$4="Chapter Hunt"),CHOOSE(ArtifactsInput!$N$27+1,20,24,28,32,36,40),0)/100)),0)</f>
        <v/>
      </c>
      <c r="R1142">
        <f>IF(AND(Inputs!$B$38&lt;&gt;"pvp",Inputs!$B$43&gt;0),IF(MAX(0,Inputs!$B$43-B1170)&lt;=0,0,(INT(MAX(0,Inputs!$B$43-B1170)/(IF(Inputs!$B$38="pvp",15,MAX(0.1,Skills!D6-IF(TRUE=TRUE,Inputs!$B$32,0)))*(1-IF(AND(ArtifactsInput!$M$27,Inputs!$B$4="Chapter Hunt"),CHOOSE(ArtifactsInput!$N$27+1,20,24,28,32,36,40),0)/100)))+1)),0)</f>
        <v/>
      </c>
      <c r="S1142">
        <f>IF(C1142,(H1142*N1142*IF(AND(Inputs!$B$38&lt;&gt;"pvp",Inputs!$B$43&gt;0),((Skills!F6*((R1142-1)*IF(Skills!G6&gt;0,Skills!H6/Skills!G6,1)+IF(Skills!G6&gt;0,MIN(Skills!H6,MAX(0,MAX(0,Inputs!$B$43-B1170)-((R1142-1)*(IF(Inputs!$B$38="pvp",15,MAX(0.1,Skills!D6-IF(TRUE=TRUE,Inputs!$B$32,0)))*(1-IF(AND(ArtifactsInput!$M$27,Inputs!$B$4="Chapter Hunt"),CHOOSE(ArtifactsInput!$N$27+1,20,24,28,32,36,40),0)/100)))))/Skills!G6,1)))/Inputs!$B$43),G1142*Q1142))*IF(Inputs!$B$38="pvp",1,1+(Inputs!$B$20+Skills!O6+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1142*(1-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1142*(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1142*(1-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1142*(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2">
        <f>IF(C1142,(H1142*N1142*IF(AND(Inputs!$B$38&lt;&gt;"pvp",Inputs!$B$43&gt;0),((Skills!F6*((R1142-1)*IF(Skills!G6&gt;0,Skills!H6/Skills!G6,1)+IF(Skills!G6&gt;0,MIN(Skills!H6,MAX(0,MAX(0,Inputs!$B$43-B1170)-((R1142-1)*(IF(Inputs!$B$38="pvp",15,MAX(0.1,Skills!D6-IF(TRUE=TRUE,Inputs!$B$32,0)))*(1-IF(AND(ArtifactsInput!$M$27,Inputs!$B$4="Chapter Hunt"),CHOOSE(ArtifactsInput!$N$27+1,20,24,28,32,36,40),0)/100)))))/Skills!G6,1)))/Inputs!$B$43),G1142*Q1142))*IF(Inputs!$B$38="pvp",1,(1+(Inputs!$B$21+Skills!P6+B1164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3">
      <c r="A1143">
        <f>Skills!A7</f>
        <v/>
      </c>
      <c r="B1143">
        <f>Skills!B7</f>
        <v/>
      </c>
      <c r="C1143">
        <f>Inputs!$B$3&gt;=69</f>
        <v/>
      </c>
      <c r="D1143">
        <f>IF(Skills!C7=1,60+Inputs!$B$25+Inputs!$B$29,IF(Skills!C7=2,90+Inputs!$B$26+Inputs!$B$29,IF(Skills!C7=3,120+Inputs!$B$27+Inputs!$B$29,MAX(0,(Inputs!$B$3-100)*3)+Inputs!$B$28+Inputs!$B$29)))</f>
        <v/>
      </c>
      <c r="E1143">
        <f>INDEX(FactorTable!$B$2:$Y$301, MATCH(ROUND(MIN(300,MAX(1,D1143)),0), FactorTable!$A$2:$A$301,0), Skills!L7+1)</f>
        <v/>
      </c>
      <c r="F1143">
        <f>IF(Skills!M7=TRUE,(Skills!K7/10)*(E1143/1000),Skills!K7/10)+Skills!N7</f>
        <v/>
      </c>
      <c r="G1143">
        <f>Calc!G7</f>
        <v/>
      </c>
      <c r="H1143">
        <f>Calc!H7</f>
        <v/>
      </c>
      <c r="I1143">
        <f>IF(Skills!T7&lt;&gt;"",1+(Skills!T7/10)*(Z1139/1000)/100,1)</f>
        <v/>
      </c>
      <c r="J1143">
        <f>((Inputs!$B$6*(1+Inputs!$B$7/100))+(((Inputs!$B$12*(1+Inputs!$B$13/100))-(Inputs!$B$12*(1+Inputs!$B$13/100)))+0.25*(Inputs!$B$14-Inputs!$B$14))*(1+Inputs!$B$7/100))*(F1143/100)</f>
        <v/>
      </c>
      <c r="K1143">
        <f>J1143*(1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7="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1143)</f>
        <v/>
      </c>
      <c r="L1143">
        <f>K1143*(MIN(Inputs!$B$22+(F1154-Calc!F18),(Inputs!$B$23+(IF(ArtifactsInput!$M$15,CHOOSE(ArtifactsInput!$N$15+1,25,30,35,40,45,50)/100*(Inputs!$B$11-Inputs!$B$11),0))))/100+(Inputs!$B$23+(IF(ArtifactsInput!$M$15,CHOOSE(ArtifactsInput!$N$15+1,25,30,35,40,45,50)/100*(Inputs!$B$11-Inputs!$B$11),0)))/100)/2</f>
        <v/>
      </c>
      <c r="M1143">
        <f>L1143*(1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3">
        <f>L1143*(1-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1143*(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3">
        <f>(1-Summary!$B$11)*S1143+Summary!$B$11*U1143</f>
        <v/>
      </c>
      <c r="P1143">
        <f>IF(B1173=0,0,O1143/B1173)</f>
        <v/>
      </c>
      <c r="Q1143">
        <f>IFERROR(1/(IF(Inputs!$B$38="pvp",15,MAX(0.1,Skills!D7-IF(TRUE=TRUE,Inputs!$B$32,0)))*(1-IF(AND(ArtifactsInput!$M$27,Inputs!$B$4="Chapter Hunt"),CHOOSE(ArtifactsInput!$N$27+1,20,24,28,32,36,40),0)/100)),0)</f>
        <v/>
      </c>
      <c r="R1143">
        <f>IF(AND(Inputs!$B$38&lt;&gt;"pvp",Inputs!$B$43&gt;0),IF(MAX(0,Inputs!$B$43-B1170)&lt;=0,0,(INT(MAX(0,Inputs!$B$43-B1170)/(IF(Inputs!$B$38="pvp",15,MAX(0.1,Skills!D7-IF(TRUE=TRUE,Inputs!$B$32,0)))*(1-IF(AND(ArtifactsInput!$M$27,Inputs!$B$4="Chapter Hunt"),CHOOSE(ArtifactsInput!$N$27+1,20,24,28,32,36,40),0)/100)))+1)),0)</f>
        <v/>
      </c>
      <c r="S1143">
        <f>IF(C1143,(H1143*N1143*IF(AND(Inputs!$B$38&lt;&gt;"pvp",Inputs!$B$43&gt;0),((Skills!F7*((R1143-1)*IF(Skills!G7&gt;0,Skills!H7/Skills!G7,1)+IF(Skills!G7&gt;0,MIN(Skills!H7,MAX(0,MAX(0,Inputs!$B$43-B1170)-((R1143-1)*(IF(Inputs!$B$38="pvp",15,MAX(0.1,Skills!D7-IF(TRUE=TRUE,Inputs!$B$32,0)))*(1-IF(AND(ArtifactsInput!$M$27,Inputs!$B$4="Chapter Hunt"),CHOOSE(ArtifactsInput!$N$27+1,20,24,28,32,36,40),0)/100)))))/Skills!G7,1)))/Inputs!$B$43),G1143*Q1143))*IF(Inputs!$B$38="pvp",1,1+(Inputs!$B$20+Skills!O7+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1143*(1-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1143*(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1143*(1-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1143*(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3">
        <f>IF(C1143,(H1143*N1143*IF(AND(Inputs!$B$38&lt;&gt;"pvp",Inputs!$B$43&gt;0),((Skills!F7*((R1143-1)*IF(Skills!G7&gt;0,Skills!H7/Skills!G7,1)+IF(Skills!G7&gt;0,MIN(Skills!H7,MAX(0,MAX(0,Inputs!$B$43-B1170)-((R1143-1)*(IF(Inputs!$B$38="pvp",15,MAX(0.1,Skills!D7-IF(TRUE=TRUE,Inputs!$B$32,0)))*(1-IF(AND(ArtifactsInput!$M$27,Inputs!$B$4="Chapter Hunt"),CHOOSE(ArtifactsInput!$N$27+1,20,24,28,32,36,40),0)/100)))))/Skills!G7,1)))/Inputs!$B$43),G1143*Q1143))*IF(Inputs!$B$38="pvp",1,(1+(Inputs!$B$21+Skills!P7+B1164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4">
      <c r="A1144">
        <f>Skills!A8</f>
        <v/>
      </c>
      <c r="B1144">
        <f>Skills!B8</f>
        <v/>
      </c>
      <c r="C1144">
        <f>Inputs!$B$3&gt;=103</f>
        <v/>
      </c>
      <c r="D1144">
        <f>IF(Skills!C8=1,60+Inputs!$B$25+Inputs!$B$29,IF(Skills!C8=2,90+Inputs!$B$26+Inputs!$B$29,IF(Skills!C8=3,120+Inputs!$B$27+Inputs!$B$29,MAX(0,(Inputs!$B$3-100)*3)+Inputs!$B$28+Inputs!$B$29)))</f>
        <v/>
      </c>
      <c r="E1144">
        <f>INDEX(FactorTable!$B$2:$Y$301, MATCH(ROUND(MIN(300,MAX(1,D1144)),0), FactorTable!$A$2:$A$301,0), Skills!L8+1)</f>
        <v/>
      </c>
      <c r="F1144">
        <f>IF(Skills!M8=TRUE,(Skills!K8/10)*(E1144/1000),Skills!K8/10)+Skills!N8</f>
        <v/>
      </c>
      <c r="G1144">
        <f>Calc!G8</f>
        <v/>
      </c>
      <c r="H1144">
        <f>Calc!H8</f>
        <v/>
      </c>
      <c r="I1144">
        <f>IF(Skills!T8&lt;&gt;"",1+(Skills!T8/10)*(Z1139/1000)/100,1)</f>
        <v/>
      </c>
      <c r="J1144">
        <f>((Inputs!$B$6*(1+Inputs!$B$7/100))+(((Inputs!$B$12*(1+Inputs!$B$13/100))-(Inputs!$B$12*(1+Inputs!$B$13/100)))+0.25*(Inputs!$B$14-Inputs!$B$14))*(1+Inputs!$B$7/100))*(F1144/100)</f>
        <v/>
      </c>
      <c r="K1144">
        <f>J1144*(1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8="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1144)</f>
        <v/>
      </c>
      <c r="L1144">
        <f>K1144*(MIN(Inputs!$B$22+(F1154-Calc!F18),(Inputs!$B$23+(IF(ArtifactsInput!$M$15,CHOOSE(ArtifactsInput!$N$15+1,25,30,35,40,45,50)/100*(Inputs!$B$11-Inputs!$B$11),0))))/100+(Inputs!$B$23+(IF(ArtifactsInput!$M$15,CHOOSE(ArtifactsInput!$N$15+1,25,30,35,40,45,50)/100*(Inputs!$B$11-Inputs!$B$11),0)))/100)/2</f>
        <v/>
      </c>
      <c r="M1144">
        <f>L1144*(1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4">
        <f>L1144*(1-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1144*(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4">
        <f>(1-Summary!$B$11)*S1144+Summary!$B$11*U1144</f>
        <v/>
      </c>
      <c r="P1144">
        <f>IF(B1173=0,0,O1144/B1173)</f>
        <v/>
      </c>
      <c r="Q1144">
        <f>IFERROR(1/(IF(Inputs!$B$38="pvp",15,MAX(0.1,Skills!D8-IF(TRUE=TRUE,Inputs!$B$32,0)))*(1-IF(AND(ArtifactsInput!$M$27,Inputs!$B$4="Chapter Hunt"),CHOOSE(ArtifactsInput!$N$27+1,20,24,28,32,36,40),0)/100)),0)</f>
        <v/>
      </c>
      <c r="R1144">
        <f>IF(AND(Inputs!$B$38&lt;&gt;"pvp",Inputs!$B$43&gt;0),IF(MAX(0,Inputs!$B$43-B1170)&lt;=0,0,(INT(MAX(0,Inputs!$B$43-B1170)/(IF(Inputs!$B$38="pvp",15,MAX(0.1,Skills!D8-IF(TRUE=TRUE,Inputs!$B$32,0)))*(1-IF(AND(ArtifactsInput!$M$27,Inputs!$B$4="Chapter Hunt"),CHOOSE(ArtifactsInput!$N$27+1,20,24,28,32,36,40),0)/100)))+1)),0)</f>
        <v/>
      </c>
      <c r="S1144">
        <f>IF(C1144,(H1144*N1144*IF(AND(Inputs!$B$38&lt;&gt;"pvp",Inputs!$B$43&gt;0),((Skills!F8*((R1144-1)*IF(Skills!G8&gt;0,Skills!H8/Skills!G8,1)+IF(Skills!G8&gt;0,MIN(Skills!H8,MAX(0,MAX(0,Inputs!$B$43-B1170)-((R1144-1)*(IF(Inputs!$B$38="pvp",15,MAX(0.1,Skills!D8-IF(TRUE=TRUE,Inputs!$B$32,0)))*(1-IF(AND(ArtifactsInput!$M$27,Inputs!$B$4="Chapter Hunt"),CHOOSE(ArtifactsInput!$N$27+1,20,24,28,32,36,40),0)/100)))))/Skills!G8,1)))/Inputs!$B$43),G1144*Q1144))*IF(Inputs!$B$38="pvp",1,1+(Inputs!$B$20+Skills!O8+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1144*(1-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1144*(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1144*(1-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1144*(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4">
        <f>IF(C1144,(H1144*N1144*IF(AND(Inputs!$B$38&lt;&gt;"pvp",Inputs!$B$43&gt;0),((Skills!F8*((R1144-1)*IF(Skills!G8&gt;0,Skills!H8/Skills!G8,1)+IF(Skills!G8&gt;0,MIN(Skills!H8,MAX(0,MAX(0,Inputs!$B$43-B1170)-((R1144-1)*(IF(Inputs!$B$38="pvp",15,MAX(0.1,Skills!D8-IF(TRUE=TRUE,Inputs!$B$32,0)))*(1-IF(AND(ArtifactsInput!$M$27,Inputs!$B$4="Chapter Hunt"),CHOOSE(ArtifactsInput!$N$27+1,20,24,28,32,36,40),0)/100)))))/Skills!G8,1)))/Inputs!$B$43),G1144*Q1144))*IF(Inputs!$B$38="pvp",1,(1+(Inputs!$B$21+Skills!P8+B1164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5">
      <c r="A1145">
        <f>Skills!A9</f>
        <v/>
      </c>
      <c r="B1145">
        <f>Skills!B9</f>
        <v/>
      </c>
      <c r="C1145">
        <f>Inputs!$B$3&gt;=105</f>
        <v/>
      </c>
      <c r="D1145">
        <f>IF(Skills!C9=1,60+Inputs!$B$25+Inputs!$B$29,IF(Skills!C9=2,90+Inputs!$B$26+Inputs!$B$29,IF(Skills!C9=3,120+Inputs!$B$27+Inputs!$B$29,MAX(0,(Inputs!$B$3-100)*3)+Inputs!$B$28+Inputs!$B$29)))</f>
        <v/>
      </c>
      <c r="E1145">
        <f>INDEX(FactorTable!$B$2:$Y$301, MATCH(ROUND(MIN(300,MAX(1,D1145)),0), FactorTable!$A$2:$A$301,0), Skills!L9+1)</f>
        <v/>
      </c>
      <c r="F1145">
        <f>IF(Skills!M9=TRUE,(Skills!K9/10)*(E1145/1000),Skills!K9/10)+Skills!N9</f>
        <v/>
      </c>
      <c r="G1145">
        <f>Calc!G9</f>
        <v/>
      </c>
      <c r="H1145">
        <f>Calc!H9</f>
        <v/>
      </c>
      <c r="I1145">
        <f>IF(Skills!T9&lt;&gt;"",1+(Skills!T9/10)*(Z1139/1000)/100,1)</f>
        <v/>
      </c>
      <c r="J1145">
        <f>((Inputs!$B$6*(1+Inputs!$B$7/100))+(((Inputs!$B$12*(1+Inputs!$B$13/100))-(Inputs!$B$12*(1+Inputs!$B$13/100)))+0.25*(Inputs!$B$14-Inputs!$B$14))*(1+Inputs!$B$7/100))*(F1145/100)</f>
        <v/>
      </c>
      <c r="K1145">
        <f>J1145*(1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9="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1145)</f>
        <v/>
      </c>
      <c r="L1145">
        <f>K1145*(MIN(Inputs!$B$22+(F1154-Calc!F18),(Inputs!$B$23+(IF(ArtifactsInput!$M$15,CHOOSE(ArtifactsInput!$N$15+1,25,30,35,40,45,50)/100*(Inputs!$B$11-Inputs!$B$11),0))))/100+(Inputs!$B$23+(IF(ArtifactsInput!$M$15,CHOOSE(ArtifactsInput!$N$15+1,25,30,35,40,45,50)/100*(Inputs!$B$11-Inputs!$B$11),0)))/100)/2</f>
        <v/>
      </c>
      <c r="M1145">
        <f>L1145*(1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5">
        <f>L1145*(1-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1145*(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5">
        <f>(1-Summary!$B$11)*S1145+Summary!$B$11*U1145</f>
        <v/>
      </c>
      <c r="P1145">
        <f>IF(B1173=0,0,O1145/B1173)</f>
        <v/>
      </c>
      <c r="Q1145">
        <f>IFERROR(1/(IF(Inputs!$B$38="pvp",15,MAX(0.1,Skills!D9-IF(TRUE=TRUE,Inputs!$B$32,0)))*(1-IF(AND(ArtifactsInput!$M$27,Inputs!$B$4="Chapter Hunt"),CHOOSE(ArtifactsInput!$N$27+1,20,24,28,32,36,40),0)/100)),0)</f>
        <v/>
      </c>
      <c r="R1145">
        <f>IF(AND(Inputs!$B$38&lt;&gt;"pvp",Inputs!$B$43&gt;0),IF(MAX(0,Inputs!$B$43-B1170)&lt;=0,0,(INT(MAX(0,Inputs!$B$43-B1170)/(IF(Inputs!$B$38="pvp",15,MAX(0.1,Skills!D9-IF(TRUE=TRUE,Inputs!$B$32,0)))*(1-IF(AND(ArtifactsInput!$M$27,Inputs!$B$4="Chapter Hunt"),CHOOSE(ArtifactsInput!$N$27+1,20,24,28,32,36,40),0)/100)))+1)),0)</f>
        <v/>
      </c>
      <c r="S1145">
        <f>IF(C1145,(H1145*N1145*IF(AND(Inputs!$B$38&lt;&gt;"pvp",Inputs!$B$43&gt;0),((Skills!F9*((R1145-1)*IF(Skills!G9&gt;0,Skills!H9/Skills!G9,1)+IF(Skills!G9&gt;0,MIN(Skills!H9,MAX(0,MAX(0,Inputs!$B$43-B1170)-((R1145-1)*(IF(Inputs!$B$38="pvp",15,MAX(0.1,Skills!D9-IF(TRUE=TRUE,Inputs!$B$32,0)))*(1-IF(AND(ArtifactsInput!$M$27,Inputs!$B$4="Chapter Hunt"),CHOOSE(ArtifactsInput!$N$27+1,20,24,28,32,36,40),0)/100)))))/Skills!G9,1)))/Inputs!$B$43),G1145*Q1145))*IF(Inputs!$B$38="pvp",1,1+(Inputs!$B$20+Skills!O9+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1145*(1-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1145*(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1145*(1-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1145*(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5">
        <f>IF(C1145,(H1145*N1145*IF(AND(Inputs!$B$38&lt;&gt;"pvp",Inputs!$B$43&gt;0),((Skills!F9*((R1145-1)*IF(Skills!G9&gt;0,Skills!H9/Skills!G9,1)+IF(Skills!G9&gt;0,MIN(Skills!H9,MAX(0,MAX(0,Inputs!$B$43-B1170)-((R1145-1)*(IF(Inputs!$B$38="pvp",15,MAX(0.1,Skills!D9-IF(TRUE=TRUE,Inputs!$B$32,0)))*(1-IF(AND(ArtifactsInput!$M$27,Inputs!$B$4="Chapter Hunt"),CHOOSE(ArtifactsInput!$N$27+1,20,24,28,32,36,40),0)/100)))))/Skills!G9,1)))/Inputs!$B$43),G1145*Q1145))*IF(Inputs!$B$38="pvp",1,(1+(Inputs!$B$21+Skills!P9+B1164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6">
      <c r="A1146">
        <f>Skills!A10</f>
        <v/>
      </c>
      <c r="B1146">
        <f>Skills!B10</f>
        <v/>
      </c>
      <c r="C1146">
        <f>Inputs!$B$3&gt;=113</f>
        <v/>
      </c>
      <c r="D1146">
        <f>IF(Skills!C10=1,60+Inputs!$B$25+Inputs!$B$29,IF(Skills!C10=2,90+Inputs!$B$26+Inputs!$B$29,IF(Skills!C10=3,120+Inputs!$B$27+Inputs!$B$29,MAX(0,(Inputs!$B$3-100)*3)+Inputs!$B$28+Inputs!$B$29)))</f>
        <v/>
      </c>
      <c r="E1146">
        <f>INDEX(FactorTable!$B$2:$Y$301, MATCH(ROUND(MIN(300,MAX(1,D1146)),0), FactorTable!$A$2:$A$301,0), Skills!L10+1)</f>
        <v/>
      </c>
      <c r="F1146">
        <f>IF(Skills!M10=TRUE,(Skills!K10/10)*(E1146/1000),Skills!K10/10)+Skills!N10</f>
        <v/>
      </c>
      <c r="G1146">
        <f>Calc!G10</f>
        <v/>
      </c>
      <c r="H1146">
        <f>Calc!H10</f>
        <v/>
      </c>
      <c r="I1146">
        <f>IF(Skills!T10&lt;&gt;"",1+(Skills!T10/10)*(Z1139/1000)/100,1)</f>
        <v/>
      </c>
      <c r="J1146">
        <f>((Inputs!$B$6*(1+Inputs!$B$7/100))+(((Inputs!$B$12*(1+Inputs!$B$13/100))-(Inputs!$B$12*(1+Inputs!$B$13/100)))+0.25*(Inputs!$B$14-Inputs!$B$14))*(1+Inputs!$B$7/100))*(F1146/100)</f>
        <v/>
      </c>
      <c r="K1146">
        <f>J1146*(1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10="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1146)</f>
        <v/>
      </c>
      <c r="L1146">
        <f>K1146*(MIN(Inputs!$B$22+(F1154-Calc!F18),(Inputs!$B$23+(IF(ArtifactsInput!$M$15,CHOOSE(ArtifactsInput!$N$15+1,25,30,35,40,45,50)/100*(Inputs!$B$11-Inputs!$B$11),0))))/100+(Inputs!$B$23+(IF(ArtifactsInput!$M$15,CHOOSE(ArtifactsInput!$N$15+1,25,30,35,40,45,50)/100*(Inputs!$B$11-Inputs!$B$11),0)))/100)/2</f>
        <v/>
      </c>
      <c r="M1146">
        <f>L1146*(1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6">
        <f>L1146*(1-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1146*(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6">
        <f>(1-Summary!$B$11)*S1146+Summary!$B$11*U1146</f>
        <v/>
      </c>
      <c r="P1146">
        <f>IF(B1173=0,0,O1146/B1173)</f>
        <v/>
      </c>
      <c r="Q1146">
        <f>IFERROR(1/(IF(Inputs!$B$38="pvp",15,MAX(0.1,Skills!D10-IF(TRUE=TRUE,Inputs!$B$32,0)))*(1-IF(AND(ArtifactsInput!$M$27,Inputs!$B$4="Chapter Hunt"),CHOOSE(ArtifactsInput!$N$27+1,20,24,28,32,36,40),0)/100)),0)</f>
        <v/>
      </c>
      <c r="R1146" t="n">
        <v>0</v>
      </c>
      <c r="S1146">
        <f>IF(C1146,((H1146*B1174)/(1+Skills!G10*H1146*B1174)*N1146)*IF(Inputs!$B$38="pvp",1,1+(Inputs!$B$20+Skills!O10+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1146*(1-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1146*(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1146*(1-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1146*(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6">
        <f>IF(C1146,((H1146*B1174)/(1+Skills!G10*H1146*B1174)*N1146)*IF(Inputs!$B$38="pvp",1,(1+(Inputs!$B$21+Skills!P10+B1164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7">
      <c r="A1147">
        <f>Skills!A11</f>
        <v/>
      </c>
      <c r="B1147">
        <f>Skills!B11</f>
        <v/>
      </c>
      <c r="C1147">
        <f>Inputs!$B$3&gt;=107</f>
        <v/>
      </c>
      <c r="D1147">
        <f>IF(Skills!C11=1,60+Inputs!$B$25+Inputs!$B$29,IF(Skills!C11=2,90+Inputs!$B$26+Inputs!$B$29,IF(Skills!C11=3,120+Inputs!$B$27+Inputs!$B$29,MAX(0,(Inputs!$B$3-100)*3)+Inputs!$B$28+Inputs!$B$29)))</f>
        <v/>
      </c>
      <c r="E1147">
        <f>INDEX(FactorTable!$B$2:$Y$301, MATCH(ROUND(MIN(300,MAX(1,D1147)),0), FactorTable!$A$2:$A$301,0), Skills!L11+1)</f>
        <v/>
      </c>
      <c r="F1147">
        <f>IF(Skills!M11=TRUE,(Skills!K11/10)*(E1147/1000),Skills!K11/10)+Skills!N11</f>
        <v/>
      </c>
      <c r="G1147">
        <f>Calc!G11</f>
        <v/>
      </c>
      <c r="H1147">
        <f>Calc!H11</f>
        <v/>
      </c>
      <c r="I1147">
        <f>IF(Skills!T11&lt;&gt;"",1+(Skills!T11/10)*(Z1139/1000)/100,1)</f>
        <v/>
      </c>
      <c r="J1147">
        <f>((Inputs!$B$6*(1+Inputs!$B$7/100))+(((Inputs!$B$12*(1+Inputs!$B$13/100))-(Inputs!$B$12*(1+Inputs!$B$13/100)))+0.25*(Inputs!$B$14-Inputs!$B$14))*(1+Inputs!$B$7/100))*(F1147/100)</f>
        <v/>
      </c>
      <c r="K1147">
        <f>J1147*(1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11="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1147)</f>
        <v/>
      </c>
      <c r="L1147">
        <f>K1147*(MIN(Inputs!$B$22+(F1154-Calc!F18),(Inputs!$B$23+(IF(ArtifactsInput!$M$15,CHOOSE(ArtifactsInput!$N$15+1,25,30,35,40,45,50)/100*(Inputs!$B$11-Inputs!$B$11),0))))/100+(Inputs!$B$23+(IF(ArtifactsInput!$M$15,CHOOSE(ArtifactsInput!$N$15+1,25,30,35,40,45,50)/100*(Inputs!$B$11-Inputs!$B$11),0)))/100)/2</f>
        <v/>
      </c>
      <c r="M1147">
        <f>L1147*(1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7">
        <f>L1147*(1-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1147*(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7">
        <f>(1-Summary!$B$11)*S1147+Summary!$B$11*U1147</f>
        <v/>
      </c>
      <c r="P1147">
        <f>IF(B1173=0,0,O1147/B1173)</f>
        <v/>
      </c>
      <c r="Q1147">
        <f>IFERROR(1/(IF(Inputs!$B$38="pvp",15,MAX(0.1,Skills!D11-IF(TRUE=TRUE,Inputs!$B$32,0)))*(1-IF(AND(ArtifactsInput!$M$27,Inputs!$B$4="Chapter Hunt"),CHOOSE(ArtifactsInput!$N$27+1,20,24,28,32,36,40),0)/100)),0)</f>
        <v/>
      </c>
      <c r="R1147">
        <f>IF(AND(Inputs!$B$38&lt;&gt;"pvp",Inputs!$B$43&gt;0),IF(MAX(0,Inputs!$B$43-B1170)&lt;=0,0,(INT(MAX(0,Inputs!$B$43-B1170)/(IF(Inputs!$B$38="pvp",15,MAX(0.1,Skills!D11-IF(TRUE=TRUE,Inputs!$B$32,0)))*(1-IF(AND(ArtifactsInput!$M$27,Inputs!$B$4="Chapter Hunt"),CHOOSE(ArtifactsInput!$N$27+1,20,24,28,32,36,40),0)/100)))+1)),0)</f>
        <v/>
      </c>
      <c r="S1147">
        <f>IF(C1147,H1147*N1147*IF(AND(Inputs!$B$38&lt;&gt;"pvp",Inputs!$B$43&gt;0),((Skills!F11*((R1147-1)*IF(Skills!G11&gt;0,Skills!H11/Skills!G11,1)+IF(Skills!G11&gt;0,MIN(Skills!H11,MAX(0,MAX(0,Inputs!$B$43-B1170)-((R1147-1)*(IF(Inputs!$B$38="pvp",15,MAX(0.1,Skills!D11-IF(TRUE=TRUE,Inputs!$B$32,0)))*(1-IF(AND(ArtifactsInput!$M$27,Inputs!$B$4="Chapter Hunt"),CHOOSE(ArtifactsInput!$N$27+1,20,24,28,32,36,40),0)/100)))))/Skills!G11,1)))/Inputs!$B$43),G1147*Q1147)*0.5*IF(Inputs!$B$38="pvp",1,1+(Inputs!$B$20+Skills!O11+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1147*(1-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1147*(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1147*(1-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1147*(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7">
        <f>IF(C1147,H1147*N1147*IF(AND(Inputs!$B$38&lt;&gt;"pvp",Inputs!$B$43&gt;0),((Skills!F11*((R1147-1)*IF(Skills!G11&gt;0,Skills!H11/Skills!G11,1)+IF(Skills!G11&gt;0,MIN(Skills!H11,MAX(0,MAX(0,Inputs!$B$43-B1170)-((R1147-1)*(IF(Inputs!$B$38="pvp",15,MAX(0.1,Skills!D11-IF(TRUE=TRUE,Inputs!$B$32,0)))*(1-IF(AND(ArtifactsInput!$M$27,Inputs!$B$4="Chapter Hunt"),CHOOSE(ArtifactsInput!$N$27+1,20,24,28,32,36,40),0)/100)))))/Skills!G11,1)))/Inputs!$B$43),G1147*Q1147)*1*IF(Inputs!$B$38="pvp",1,(1+(Inputs!$B$21+Skills!P11+B1164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8">
      <c r="A1148">
        <f>Skills!A12</f>
        <v/>
      </c>
      <c r="B1148">
        <f>Skills!B12</f>
        <v/>
      </c>
      <c r="C1148">
        <f>Inputs!$B$3&gt;=115</f>
        <v/>
      </c>
      <c r="D1148">
        <f>IF(Skills!C12=1,60+Inputs!$B$25+Inputs!$B$29,IF(Skills!C12=2,90+Inputs!$B$26+Inputs!$B$29,IF(Skills!C12=3,120+Inputs!$B$27+Inputs!$B$29,MAX(0,(Inputs!$B$3-100)*3)+Inputs!$B$28+Inputs!$B$29)))</f>
        <v/>
      </c>
      <c r="E1148">
        <f>INDEX(FactorTable!$B$2:$Y$301, MATCH(ROUND(MIN(300,MAX(1,D1148)),0), FactorTable!$A$2:$A$301,0), Skills!L12+1)</f>
        <v/>
      </c>
      <c r="F1148">
        <f>IF(Skills!M12=TRUE,(Skills!K12/10)*(E1148/1000),Skills!K12/10)+Skills!N12</f>
        <v/>
      </c>
      <c r="G1148">
        <f>Calc!G12</f>
        <v/>
      </c>
      <c r="H1148">
        <f>Calc!H12</f>
        <v/>
      </c>
      <c r="I1148">
        <f>IF(Skills!T12&lt;&gt;"",1+(Skills!T12/10)*(Z1139/1000)/100,1)</f>
        <v/>
      </c>
      <c r="J1148">
        <f>((Inputs!$B$6*(1+Inputs!$B$7/100))+(((Inputs!$B$12*(1+Inputs!$B$13/100))-(Inputs!$B$12*(1+Inputs!$B$13/100)))+0.25*(Inputs!$B$14-Inputs!$B$14))*(1+Inputs!$B$7/100))*(F1148/100)</f>
        <v/>
      </c>
      <c r="K1148">
        <f>J1148*(1+((Inputs!$B$12*(1+Inputs!$B$13/100))*0.01+Inputs!$B$14*0.0025)/100)*(1+(Inputs!$B$15+B1165)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1151=TRUE,F1151,0)/100)*(1+IF(C1159=TRUE,F1159,0)/100)^5*(1+(IF(Skills!A12="CHAIN_LIGHTNING",Inputs!$B$17+((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1163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1148)</f>
        <v/>
      </c>
      <c r="L1148">
        <f>K1148*(MIN(Inputs!$B$22+(F1154-Calc!F18),(Inputs!$B$23+(IF(ArtifactsInput!$M$15,CHOOSE(ArtifactsInput!$N$15+1,25,30,35,40,45,50)/100*(Inputs!$B$11-Inputs!$B$11),0))))/100+(Inputs!$B$23+(IF(ArtifactsInput!$M$15,CHOOSE(ArtifactsInput!$N$15+1,25,30,35,40,45,50)/100*(Inputs!$B$11-Inputs!$B$11),0)))/100)/2</f>
        <v/>
      </c>
      <c r="M1148">
        <f>L1148*(1+(Inputs!$B$10+(F1157-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48">
        <f>L1148*(1-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1148*(MIN((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48">
        <f>(1-Summary!$B$11)*S1148+Summary!$B$11*U1148</f>
        <v/>
      </c>
      <c r="P1148">
        <f>IF(B1173=0,0,O1148/B1173)</f>
        <v/>
      </c>
      <c r="Q1148">
        <f>IFERROR(1/(IF(Inputs!$B$38="pvp",15,MAX(0.1,Skills!D12-IF(TRUE=TRUE,Inputs!$B$32,0)))*(1-IF(AND(ArtifactsInput!$M$27,Inputs!$B$4="Chapter Hunt"),CHOOSE(ArtifactsInput!$N$27+1,20,24,28,32,36,40),0)/100)),0)</f>
        <v/>
      </c>
      <c r="R1148">
        <f>IF(AND(Inputs!$B$38&lt;&gt;"pvp",Inputs!$B$43&gt;0),IF(MAX(0,Inputs!$B$43-B1170)&lt;=0,0,(INT(MAX(0,Inputs!$B$43-B1170)/(IF(Inputs!$B$38="pvp",15,MAX(0.1,Skills!D12-IF(TRUE=TRUE,Inputs!$B$32,0)))*(1-IF(AND(ArtifactsInput!$M$27,Inputs!$B$4="Chapter Hunt"),CHOOSE(ArtifactsInput!$N$27+1,20,24,28,32,36,40),0)/100)))+1)),0)</f>
        <v/>
      </c>
      <c r="S1148">
        <f>IF(C1148,(H1148*N1148*IF(AND(Inputs!$B$38&lt;&gt;"pvp",Inputs!$B$43&gt;0),((Skills!F12*((R1148-1)*IF(Skills!G12&gt;0,Skills!H12/Skills!G12,1)+IF(Skills!G12&gt;0,MIN(Skills!H12,MAX(0,MAX(0,Inputs!$B$43-B1170)-((R1148-1)*(IF(Inputs!$B$38="pvp",15,MAX(0.1,Skills!D12-IF(TRUE=TRUE,Inputs!$B$32,0)))*(1-IF(AND(ArtifactsInput!$M$27,Inputs!$B$4="Chapter Hunt"),CHOOSE(ArtifactsInput!$N$27+1,20,24,28,32,36,40),0)/100)))))/Skills!G12,1)))/Inputs!$B$43),G1148*Q1148))*IF(Inputs!$B$38="pvp",1,1+(Inputs!$B$20+Skills!O12+B1164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1148*(1-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1148*(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1148*(1-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1148*(MIN(100,(Inputs!$B$9+((F1156-Calc!F20)+(F1155-Calc!F19))+(ArtifactsInput!$M$24-ArtifactsInput!$M$24)*CHOOSE(ArtifactsInput!$N$24+1,10,12,14,16,18,20)+(IF(AND(Inputs!$B$38&lt;&gt;"pvp",Inputs!$B$43=0),1,IF(IF(Inputs!$B$38="pvp",15,Inputs!$B$43)-(B1170)&lt;=0,1,MAX(0,IF(Inputs!$B$38="pvp",15,Inputs!$B$43)-MAX(5,B1170))/(IF(Inputs!$B$38="pvp",15,Inputs!$B$43)-(B1170)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48">
        <f>IF(C1148,(H1148*N1148*IF(AND(Inputs!$B$38&lt;&gt;"pvp",Inputs!$B$43&gt;0),((Skills!F12*((R1148-1)*IF(Skills!G12&gt;0,Skills!H12/Skills!G12,1)+IF(Skills!G12&gt;0,MIN(Skills!H12,MAX(0,MAX(0,Inputs!$B$43-B1170)-((R1148-1)*(IF(Inputs!$B$38="pvp",15,MAX(0.1,Skills!D12-IF(TRUE=TRUE,Inputs!$B$32,0)))*(1-IF(AND(ArtifactsInput!$M$27,Inputs!$B$4="Chapter Hunt"),CHOOSE(ArtifactsInput!$N$27+1,20,24,28,32,36,40),0)/100)))))/Skills!G12,1)))/Inputs!$B$43),G1148*Q1148))*IF(Inputs!$B$38="pvp",1,(1+(Inputs!$B$21+Skills!P12+B1164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49">
      <c r="A1149">
        <f>Skills!A13</f>
        <v/>
      </c>
      <c r="B1149">
        <f>Skills!B13</f>
        <v/>
      </c>
      <c r="C1149">
        <f>Inputs!$B$3&gt;=49</f>
        <v/>
      </c>
      <c r="D1149">
        <f>IF(Skills!C13=1,60+Inputs!$B$25+Inputs!$B$29,IF(Skills!C13=2,90+Inputs!$B$26+Inputs!$B$29,IF(Skills!C13=3,120+Inputs!$B$27+Inputs!$B$29,MAX(0,(Inputs!$B$3-100)*3)+Inputs!$B$28+Inputs!$B$29)))</f>
        <v/>
      </c>
      <c r="E1149">
        <f>INDEX(FactorTable!$B$2:$Y$301, MATCH(ROUND(MIN(300,MAX(1,D1149)),0), FactorTable!$A$2:$A$301,0), Skills!L13+1)</f>
        <v/>
      </c>
      <c r="F1149">
        <f>IF(Skills!M13=TRUE,(Skills!K13/10)*(E1149/1000),Skills!K13/10)+Skills!N13</f>
        <v/>
      </c>
      <c r="G1149">
        <f>Calc!G13</f>
        <v/>
      </c>
      <c r="H1149">
        <f>Calc!H13</f>
        <v/>
      </c>
      <c r="I1149">
        <f>IF(Skills!T13&lt;&gt;"",1+(Skills!T13/10)*(Z1139/1000)/100,1)</f>
        <v/>
      </c>
      <c r="J1149" t="inlineStr"/>
      <c r="K1149" t="inlineStr"/>
      <c r="L1149" t="inlineStr"/>
      <c r="M1149" t="inlineStr"/>
      <c r="N1149" t="inlineStr"/>
      <c r="O1149">
        <f>(1-Summary!$B$11)*S1149+Summary!$B$11*U1149</f>
        <v/>
      </c>
      <c r="P1149">
        <f>IF(B1173=0,0,O1149/B1173)</f>
        <v/>
      </c>
      <c r="Q1149">
        <f>IFERROR(1/(IF(Inputs!$B$38="pvp",15,MAX(0.1,Skills!D13-IF(TRUE=TRUE,Inputs!$B$32,0)))*(1-IF(AND(ArtifactsInput!$M$27,Inputs!$B$4="Chapter Hunt"),CHOOSE(ArtifactsInput!$N$27+1,20,24,28,32,36,40),0)/100)),0)</f>
        <v/>
      </c>
      <c r="R1149" t="n">
        <v>0</v>
      </c>
      <c r="S1149" t="n">
        <v>0</v>
      </c>
      <c r="U1149" t="n">
        <v>0</v>
      </c>
    </row>
    <row r="1150">
      <c r="A1150">
        <f>Skills!A14</f>
        <v/>
      </c>
      <c r="B1150">
        <f>Skills!B14</f>
        <v/>
      </c>
      <c r="C1150">
        <f>Inputs!$B$3&gt;=72</f>
        <v/>
      </c>
      <c r="D1150">
        <f>IF(Skills!C14=1,60+Inputs!$B$25+Inputs!$B$29,IF(Skills!C14=2,90+Inputs!$B$26+Inputs!$B$29,IF(Skills!C14=3,120+Inputs!$B$27+Inputs!$B$29,MAX(0,(Inputs!$B$3-100)*3)+Inputs!$B$28+Inputs!$B$29)))</f>
        <v/>
      </c>
      <c r="E1150">
        <f>INDEX(FactorTable!$B$2:$Y$301, MATCH(ROUND(MIN(300,MAX(1,D1150)),0), FactorTable!$A$2:$A$301,0), Skills!L14+1)</f>
        <v/>
      </c>
      <c r="F1150">
        <f>IF(Skills!M14=TRUE,(Skills!K14/10)*(E1150/1000),Skills!K14/10)+Skills!N14</f>
        <v/>
      </c>
      <c r="G1150">
        <f>Calc!G14</f>
        <v/>
      </c>
      <c r="H1150">
        <f>Calc!H14</f>
        <v/>
      </c>
      <c r="I1150">
        <f>IF(Skills!T14&lt;&gt;"",1+(Skills!T14/10)*(Z1139/1000)/100,1)</f>
        <v/>
      </c>
      <c r="J1150" t="inlineStr"/>
      <c r="K1150" t="inlineStr"/>
      <c r="L1150" t="inlineStr"/>
      <c r="M1150" t="inlineStr"/>
      <c r="N1150" t="inlineStr"/>
      <c r="O1150">
        <f>(1-Summary!$B$11)*S1150+Summary!$B$11*U1150</f>
        <v/>
      </c>
      <c r="P1150">
        <f>IF(B1173=0,0,O1150/B1173)</f>
        <v/>
      </c>
      <c r="Q1150">
        <f>IFERROR(1/(IF(Inputs!$B$38="pvp",15,MAX(0.1,Skills!D14-IF(TRUE=TRUE,Inputs!$B$32,0)))*(1-IF(AND(ArtifactsInput!$M$27,Inputs!$B$4="Chapter Hunt"),CHOOSE(ArtifactsInput!$N$27+1,20,24,28,32,36,40),0)/100)),0)</f>
        <v/>
      </c>
      <c r="R1150" t="n">
        <v>0</v>
      </c>
      <c r="S1150" t="n">
        <v>0</v>
      </c>
      <c r="U1150" t="n">
        <v>0</v>
      </c>
    </row>
    <row r="1151">
      <c r="A1151">
        <f>Skills!A15</f>
        <v/>
      </c>
      <c r="B1151">
        <f>Skills!B15</f>
        <v/>
      </c>
      <c r="C1151">
        <f>Inputs!$B$3&gt;=75</f>
        <v/>
      </c>
      <c r="D1151">
        <f>IF(Skills!C15=1,60+Inputs!$B$25+Inputs!$B$29,IF(Skills!C15=2,90+Inputs!$B$26+Inputs!$B$29,IF(Skills!C15=3,120+Inputs!$B$27+Inputs!$B$29,MAX(0,(Inputs!$B$3-100)*3)+Inputs!$B$28+Inputs!$B$29)))</f>
        <v/>
      </c>
      <c r="E1151">
        <f>INDEX(FactorTable!$B$2:$Y$301, MATCH(ROUND(MIN(300,MAX(1,D1151)),0), FactorTable!$A$2:$A$301,0), Skills!L15+1)</f>
        <v/>
      </c>
      <c r="F1151">
        <f>IF(Skills!M15=TRUE,(Skills!K15/10)*(E1151/1000),Skills!K15/10)+Skills!N15</f>
        <v/>
      </c>
      <c r="G1151">
        <f>Calc!G15</f>
        <v/>
      </c>
      <c r="H1151">
        <f>Calc!H15</f>
        <v/>
      </c>
      <c r="I1151">
        <f>IF(Skills!T15&lt;&gt;"",1+(Skills!T15/10)*(Z1139/1000)/100,1)</f>
        <v/>
      </c>
      <c r="J1151" t="inlineStr"/>
      <c r="K1151" t="inlineStr"/>
      <c r="L1151" t="inlineStr"/>
      <c r="M1151" t="inlineStr"/>
      <c r="N1151" t="inlineStr"/>
      <c r="O1151">
        <f>(1-Summary!$B$11)*S1151+Summary!$B$11*U1151</f>
        <v/>
      </c>
      <c r="P1151">
        <f>IF(B1173=0,0,O1151/B1173)</f>
        <v/>
      </c>
      <c r="Q1151">
        <f>IFERROR(1/(IF(Inputs!$B$38="pvp",15,MAX(0.1,Skills!D15-IF(TRUE=TRUE,Inputs!$B$32,0)))*(1-IF(AND(ArtifactsInput!$M$27,Inputs!$B$4="Chapter Hunt"),CHOOSE(ArtifactsInput!$N$27+1,20,24,28,32,36,40),0)/100)),0)</f>
        <v/>
      </c>
      <c r="R1151" t="n">
        <v>0</v>
      </c>
      <c r="S1151" t="n">
        <v>0</v>
      </c>
      <c r="U1151" t="n">
        <v>0</v>
      </c>
    </row>
    <row r="1152">
      <c r="A1152">
        <f>Skills!A16</f>
        <v/>
      </c>
      <c r="B1152">
        <f>Skills!B16</f>
        <v/>
      </c>
      <c r="C1152">
        <f>Inputs!$B$3&gt;=110</f>
        <v/>
      </c>
      <c r="D1152">
        <f>IF(Skills!C16=1,60+Inputs!$B$25+Inputs!$B$29,IF(Skills!C16=2,90+Inputs!$B$26+Inputs!$B$29,IF(Skills!C16=3,120+Inputs!$B$27+Inputs!$B$29,MAX(0,(Inputs!$B$3-100)*3)+Inputs!$B$28+Inputs!$B$29)))</f>
        <v/>
      </c>
      <c r="E1152">
        <f>INDEX(FactorTable!$B$2:$Y$301, MATCH(ROUND(MIN(300,MAX(1,D1152)),0), FactorTable!$A$2:$A$301,0), Skills!L16+1)</f>
        <v/>
      </c>
      <c r="F1152">
        <f>(Skills!K16/10)*(E1152/1000)*64/45+Skills!N16</f>
        <v/>
      </c>
      <c r="G1152">
        <f>Calc!G16</f>
        <v/>
      </c>
      <c r="H1152">
        <f>Calc!H16</f>
        <v/>
      </c>
      <c r="I1152">
        <f>IF(Skills!T16&lt;&gt;"",1+(Skills!T16/10)*(Z1139/1000)/100,1)</f>
        <v/>
      </c>
      <c r="J1152" t="inlineStr"/>
      <c r="K1152" t="inlineStr"/>
      <c r="L1152" t="inlineStr"/>
      <c r="M1152" t="inlineStr"/>
      <c r="N1152" t="inlineStr"/>
      <c r="O1152">
        <f>(1-Summary!$B$11)*S1152+Summary!$B$11*U1152</f>
        <v/>
      </c>
      <c r="P1152">
        <f>IF(B1173=0,0,O1152/B1173)</f>
        <v/>
      </c>
      <c r="Q1152">
        <f>IFERROR(1/(IF(Inputs!$B$38="pvp",15,MAX(0.1,Skills!D16-IF(TRUE=TRUE,Inputs!$B$32,0)))*(1-IF(AND(ArtifactsInput!$M$27,Inputs!$B$4="Chapter Hunt"),CHOOSE(ArtifactsInput!$N$27+1,20,24,28,32,36,40),0)/100)),0)</f>
        <v/>
      </c>
      <c r="R1152">
        <f>IF(AND(Inputs!$B$38&lt;&gt;"pvp",Inputs!$B$43&gt;0),IF(Inputs!$B$43&lt;=0,0,(INT(Inputs!$B$43/(IF(Inputs!$B$38="pvp",15,MAX(0.1,Skills!D16-IF(TRUE=TRUE,Inputs!$B$32,0)))*(1-IF(AND(ArtifactsInput!$M$27,Inputs!$B$4="Chapter Hunt"),CHOOSE(ArtifactsInput!$N$27+1,20,24,28,32,36,40),0)/100)))+1)),0)</f>
        <v/>
      </c>
      <c r="S1152" t="n">
        <v>0</v>
      </c>
      <c r="U1152" t="n">
        <v>0</v>
      </c>
    </row>
    <row r="1153">
      <c r="A1153">
        <f>Skills!A17</f>
        <v/>
      </c>
      <c r="B1153">
        <f>Skills!B17</f>
        <v/>
      </c>
      <c r="C1153">
        <f>Inputs!$B$3&gt;=33</f>
        <v/>
      </c>
      <c r="D1153">
        <f>IF(Skills!C17=1,60+Inputs!$B$25+Inputs!$B$29,IF(Skills!C17=2,90+Inputs!$B$26+Inputs!$B$29,IF(Skills!C17=3,120+Inputs!$B$27+Inputs!$B$29,MAX(0,(Inputs!$B$3-100)*3)+Inputs!$B$28+Inputs!$B$29)))</f>
        <v/>
      </c>
      <c r="E1153">
        <f>INDEX(FactorTable!$B$2:$Y$301, MATCH(ROUND(MIN(300,MAX(1,D1153)),0), FactorTable!$A$2:$A$301,0), Skills!L17+1)</f>
        <v/>
      </c>
      <c r="F1153">
        <f>IF(Skills!M17=TRUE,(Skills!K17/10)*(E1153/1000),Skills!K17/10)+Skills!N17</f>
        <v/>
      </c>
      <c r="G1153">
        <f>Calc!G17</f>
        <v/>
      </c>
      <c r="H1153">
        <f>Calc!H17</f>
        <v/>
      </c>
      <c r="I1153">
        <f>IF(Skills!T17&lt;&gt;"",1+(Skills!T17/10)*(Z1139/1000)/100,1)</f>
        <v/>
      </c>
      <c r="J1153" t="inlineStr"/>
      <c r="K1153" t="inlineStr"/>
      <c r="L1153" t="inlineStr"/>
      <c r="M1153" t="inlineStr"/>
      <c r="N1153" t="inlineStr"/>
      <c r="O1153">
        <f>(1-Summary!$B$11)*S1153+Summary!$B$11*U1153</f>
        <v/>
      </c>
      <c r="P1153">
        <f>IF(B1173=0,0,O1153/B1173)</f>
        <v/>
      </c>
      <c r="Q1153">
        <f>IFERROR(1/(IF(Inputs!$B$38="pvp",15,MAX(0.1,Skills!D17-IF(TRUE=TRUE,Inputs!$B$32,0)))*(1-IF(AND(ArtifactsInput!$M$27,Inputs!$B$4="Chapter Hunt"),CHOOSE(ArtifactsInput!$N$27+1,20,24,28,32,36,40),0)/100)),0)</f>
        <v/>
      </c>
      <c r="R1153" t="n">
        <v>0</v>
      </c>
      <c r="S1153" t="n">
        <v>0</v>
      </c>
      <c r="U1153" t="n">
        <v>0</v>
      </c>
    </row>
    <row r="1154">
      <c r="A1154">
        <f>Skills!A18</f>
        <v/>
      </c>
      <c r="B1154">
        <f>Skills!B18</f>
        <v/>
      </c>
      <c r="C1154">
        <f>Inputs!$B$3&gt;=43</f>
        <v/>
      </c>
      <c r="D1154">
        <f>IF(Skills!C18=1,60+Inputs!$B$25+Inputs!$B$29,IF(Skills!C18=2,90+Inputs!$B$26+Inputs!$B$29,IF(Skills!C18=3,120+Inputs!$B$27+Inputs!$B$29,MAX(0,(Inputs!$B$3-100)*3)+Inputs!$B$28+Inputs!$B$29)))</f>
        <v/>
      </c>
      <c r="E1154">
        <f>INDEX(FactorTable!$B$2:$Y$301, MATCH(ROUND(MIN(300,MAX(1,D1154)),0), FactorTable!$A$2:$A$301,0), Skills!L18+1)</f>
        <v/>
      </c>
      <c r="F1154">
        <f>IF(Skills!M18=TRUE,(Skills!K18/10)*(E1154/1000),Skills!K18/10)+Skills!N18</f>
        <v/>
      </c>
      <c r="G1154">
        <f>Calc!G18</f>
        <v/>
      </c>
      <c r="H1154">
        <f>Calc!H18</f>
        <v/>
      </c>
      <c r="I1154">
        <f>IF(Skills!T18&lt;&gt;"",1+(Skills!T18/10)*(Z1139/1000)/100,1)</f>
        <v/>
      </c>
      <c r="J1154" t="inlineStr"/>
      <c r="K1154" t="inlineStr"/>
      <c r="L1154" t="inlineStr"/>
      <c r="M1154" t="inlineStr"/>
      <c r="N1154" t="inlineStr"/>
      <c r="O1154">
        <f>(1-Summary!$B$11)*S1154+Summary!$B$11*U1154</f>
        <v/>
      </c>
      <c r="P1154">
        <f>IF(B1173=0,0,O1154/B1173)</f>
        <v/>
      </c>
      <c r="Q1154">
        <f>IFERROR(1/(IF(Inputs!$B$38="pvp",15,MAX(0.1,Skills!D18-IF(TRUE=TRUE,Inputs!$B$32,0)))*(1-IF(AND(ArtifactsInput!$M$27,Inputs!$B$4="Chapter Hunt"),CHOOSE(ArtifactsInput!$N$27+1,20,24,28,32,36,40),0)/100)),0)</f>
        <v/>
      </c>
      <c r="R1154" t="n">
        <v>0</v>
      </c>
      <c r="S1154" t="n">
        <v>0</v>
      </c>
      <c r="U1154" t="n">
        <v>0</v>
      </c>
    </row>
    <row r="1155">
      <c r="A1155">
        <f>Skills!A19</f>
        <v/>
      </c>
      <c r="B1155">
        <f>Skills!B19</f>
        <v/>
      </c>
      <c r="C1155">
        <f>Inputs!$B$3&gt;=50</f>
        <v/>
      </c>
      <c r="D1155">
        <f>IF(Skills!C19=1,60+Inputs!$B$25+Inputs!$B$29,IF(Skills!C19=2,90+Inputs!$B$26+Inputs!$B$29,IF(Skills!C19=3,120+Inputs!$B$27+Inputs!$B$29,MAX(0,(Inputs!$B$3-100)*3)+Inputs!$B$28+Inputs!$B$29)))</f>
        <v/>
      </c>
      <c r="E1155">
        <f>INDEX(FactorTable!$B$2:$Y$301, MATCH(ROUND(MIN(300,MAX(1,D1155)),0), FactorTable!$A$2:$A$301,0), Skills!L19+1)</f>
        <v/>
      </c>
      <c r="F1155">
        <f>IF(Skills!M19=TRUE,(Skills!K19/10)*(E1155/1000),Skills!K19/10)+Skills!N19</f>
        <v/>
      </c>
      <c r="G1155">
        <f>Calc!G19</f>
        <v/>
      </c>
      <c r="H1155">
        <f>Calc!H19</f>
        <v/>
      </c>
      <c r="I1155">
        <f>IF(Skills!T19&lt;&gt;"",1+(Skills!T19/10)*(Z1139/1000)/100,1)</f>
        <v/>
      </c>
      <c r="J1155" t="inlineStr"/>
      <c r="K1155" t="inlineStr"/>
      <c r="L1155" t="inlineStr"/>
      <c r="M1155" t="inlineStr"/>
      <c r="N1155" t="inlineStr"/>
      <c r="O1155">
        <f>(1-Summary!$B$11)*S1155+Summary!$B$11*U1155</f>
        <v/>
      </c>
      <c r="P1155">
        <f>IF(B1173=0,0,O1155/B1173)</f>
        <v/>
      </c>
      <c r="Q1155">
        <f>IFERROR(1/(IF(Inputs!$B$38="pvp",15,MAX(0.1,Skills!D19-IF(TRUE=TRUE,Inputs!$B$32,0)))*(1-IF(AND(ArtifactsInput!$M$27,Inputs!$B$4="Chapter Hunt"),CHOOSE(ArtifactsInput!$N$27+1,20,24,28,32,36,40),0)/100)),0)</f>
        <v/>
      </c>
      <c r="R1155" t="n">
        <v>0</v>
      </c>
      <c r="S1155" t="n">
        <v>0</v>
      </c>
      <c r="U1155" t="n">
        <v>0</v>
      </c>
    </row>
    <row r="1156">
      <c r="A1156">
        <f>Skills!A20</f>
        <v/>
      </c>
      <c r="B1156">
        <f>Skills!B20</f>
        <v/>
      </c>
      <c r="C1156">
        <f>Inputs!$B$3&gt;=74</f>
        <v/>
      </c>
      <c r="D1156">
        <f>IF(Skills!C20=1,60+Inputs!$B$25+Inputs!$B$29,IF(Skills!C20=2,90+Inputs!$B$26+Inputs!$B$29,IF(Skills!C20=3,120+Inputs!$B$27+Inputs!$B$29,MAX(0,(Inputs!$B$3-100)*3)+Inputs!$B$28+Inputs!$B$29)))</f>
        <v/>
      </c>
      <c r="E1156">
        <f>INDEX(FactorTable!$B$2:$Y$301, MATCH(ROUND(MIN(300,MAX(1,D1156)),0), FactorTable!$A$2:$A$301,0), Skills!L20+1)</f>
        <v/>
      </c>
      <c r="F1156">
        <f>IF(Skills!M20=TRUE,(Skills!K20/10)*(E1156/1000),Skills!K20/10)+Skills!N20</f>
        <v/>
      </c>
      <c r="G1156">
        <f>Calc!G20</f>
        <v/>
      </c>
      <c r="H1156">
        <f>Calc!H20</f>
        <v/>
      </c>
      <c r="I1156">
        <f>IF(Skills!T20&lt;&gt;"",1+(Skills!T20/10)*(Z1139/1000)/100,1)</f>
        <v/>
      </c>
      <c r="J1156" t="inlineStr"/>
      <c r="K1156" t="inlineStr"/>
      <c r="L1156" t="inlineStr"/>
      <c r="M1156" t="inlineStr"/>
      <c r="N1156" t="inlineStr"/>
      <c r="O1156">
        <f>(1-Summary!$B$11)*S1156+Summary!$B$11*U1156</f>
        <v/>
      </c>
      <c r="P1156">
        <f>IF(B1173=0,0,O1156/B1173)</f>
        <v/>
      </c>
      <c r="Q1156">
        <f>IFERROR(1/(IF(Inputs!$B$38="pvp",15,MAX(0.1,Skills!D20-IF(TRUE=TRUE,Inputs!$B$32,0)))*(1-IF(AND(ArtifactsInput!$M$27,Inputs!$B$4="Chapter Hunt"),CHOOSE(ArtifactsInput!$N$27+1,20,24,28,32,36,40),0)/100)),0)</f>
        <v/>
      </c>
      <c r="R1156" t="n">
        <v>0</v>
      </c>
      <c r="S1156" t="n">
        <v>0</v>
      </c>
      <c r="U1156" t="n">
        <v>0</v>
      </c>
    </row>
    <row r="1157">
      <c r="A1157">
        <f>Skills!A21</f>
        <v/>
      </c>
      <c r="B1157">
        <f>Skills!B21</f>
        <v/>
      </c>
      <c r="C1157">
        <f>Inputs!$B$3&gt;=74</f>
        <v/>
      </c>
      <c r="D1157">
        <f>IF(Skills!C21=1,60+Inputs!$B$25+Inputs!$B$29,IF(Skills!C21=2,90+Inputs!$B$26+Inputs!$B$29,IF(Skills!C21=3,120+Inputs!$B$27+Inputs!$B$29,MAX(0,(Inputs!$B$3-100)*3)+Inputs!$B$28+Inputs!$B$29)))</f>
        <v/>
      </c>
      <c r="E1157">
        <f>INDEX(FactorTable!$B$2:$Y$301, MATCH(ROUND(MIN(300,MAX(1,D1157)),0), FactorTable!$A$2:$A$301,0), Skills!L21+1)</f>
        <v/>
      </c>
      <c r="F1157">
        <f>IF(Skills!M21=TRUE,(Skills!K21/10)*(E1157/1000),Skills!K21/10)+Skills!N21</f>
        <v/>
      </c>
      <c r="G1157">
        <f>Calc!G21</f>
        <v/>
      </c>
      <c r="H1157">
        <f>Calc!H21</f>
        <v/>
      </c>
      <c r="I1157">
        <f>IF(Skills!T21&lt;&gt;"",1+(Skills!T21/10)*(Z1139/1000)/100,1)</f>
        <v/>
      </c>
      <c r="J1157" t="inlineStr"/>
      <c r="K1157" t="inlineStr"/>
      <c r="L1157" t="inlineStr"/>
      <c r="M1157" t="inlineStr"/>
      <c r="N1157" t="inlineStr"/>
      <c r="O1157">
        <f>(1-Summary!$B$11)*S1157+Summary!$B$11*U1157</f>
        <v/>
      </c>
      <c r="P1157">
        <f>IF(B1173=0,0,O1157/B1173)</f>
        <v/>
      </c>
      <c r="Q1157">
        <f>IFERROR(1/(IF(Inputs!$B$38="pvp",15,MAX(0.1,Skills!D21-IF(TRUE=TRUE,Inputs!$B$32,0)))*(1-IF(AND(ArtifactsInput!$M$27,Inputs!$B$4="Chapter Hunt"),CHOOSE(ArtifactsInput!$N$27+1,20,24,28,32,36,40),0)/100)),0)</f>
        <v/>
      </c>
      <c r="R1157" t="n">
        <v>0</v>
      </c>
      <c r="S1157" t="n">
        <v>0</v>
      </c>
      <c r="U1157" t="n">
        <v>0</v>
      </c>
    </row>
    <row r="1158">
      <c r="A1158">
        <f>Skills!A22</f>
        <v/>
      </c>
      <c r="B1158">
        <f>Skills!B22</f>
        <v/>
      </c>
      <c r="C1158">
        <f>Inputs!$B$3&gt;=117</f>
        <v/>
      </c>
      <c r="D1158">
        <f>IF(Skills!C22=1,60+Inputs!$B$25+Inputs!$B$29,IF(Skills!C22=2,90+Inputs!$B$26+Inputs!$B$29,IF(Skills!C22=3,120+Inputs!$B$27+Inputs!$B$29,MAX(0,(Inputs!$B$3-100)*3)+Inputs!$B$28+Inputs!$B$29)))</f>
        <v/>
      </c>
      <c r="E1158">
        <f>INDEX(FactorTable!$B$2:$Y$301, MATCH(ROUND(MIN(300,MAX(1,D1158)),0), FactorTable!$A$2:$A$301,0), Skills!L22+1)</f>
        <v/>
      </c>
      <c r="F1158">
        <f>IF(Skills!M22=TRUE,(Skills!K22/10)*(E1158/1000),Skills!K22/10)+Skills!N22</f>
        <v/>
      </c>
      <c r="G1158">
        <f>Calc!G22</f>
        <v/>
      </c>
      <c r="H1158">
        <f>Calc!H22</f>
        <v/>
      </c>
      <c r="I1158">
        <f>IF(Skills!T22&lt;&gt;"",1+(Skills!T22/10)*(Z1139/1000)/100,1)</f>
        <v/>
      </c>
      <c r="J1158" t="inlineStr"/>
      <c r="K1158" t="inlineStr"/>
      <c r="L1158" t="inlineStr"/>
      <c r="M1158" t="inlineStr"/>
      <c r="N1158" t="inlineStr"/>
      <c r="O1158">
        <f>(1-Summary!$B$11)*S1158+Summary!$B$11*U1158</f>
        <v/>
      </c>
      <c r="P1158">
        <f>IF(B1173=0,0,O1158/B1173)</f>
        <v/>
      </c>
      <c r="Q1158">
        <f>IFERROR(1/(IF(Inputs!$B$38="pvp",15,MAX(0.1,Skills!D22-IF(TRUE=TRUE,Inputs!$B$32,0)))*(1-IF(AND(ArtifactsInput!$M$27,Inputs!$B$4="Chapter Hunt"),CHOOSE(ArtifactsInput!$N$27+1,20,24,28,32,36,40),0)/100)),0)</f>
        <v/>
      </c>
      <c r="R1158" t="n">
        <v>0</v>
      </c>
      <c r="S1158" t="n">
        <v>0</v>
      </c>
      <c r="U1158" t="n">
        <v>0</v>
      </c>
    </row>
    <row r="1159">
      <c r="A1159">
        <f>Skills!A23</f>
        <v/>
      </c>
      <c r="B1159">
        <f>Skills!B23</f>
        <v/>
      </c>
      <c r="C1159">
        <f>Inputs!$B$3&gt;=120</f>
        <v/>
      </c>
      <c r="D1159">
        <f>IF(Skills!C23=1,60+Inputs!$B$25+Inputs!$B$29,IF(Skills!C23=2,90+Inputs!$B$26+Inputs!$B$29,IF(Skills!C23=3,120+Inputs!$B$27+Inputs!$B$29,MAX(0,(Inputs!$B$3-100)*3)+Inputs!$B$28+Inputs!$B$29)))</f>
        <v/>
      </c>
      <c r="E1159">
        <f>INDEX(FactorTable!$B$2:$Y$301, MATCH(ROUND(MIN(300,MAX(1,D1159)),0), FactorTable!$A$2:$A$301,0), Skills!L23+1)</f>
        <v/>
      </c>
      <c r="F1159">
        <f>IF(Skills!M23=TRUE,(Skills!K23/10)*(E1159/1000),Skills!K23/10)+Skills!N23</f>
        <v/>
      </c>
      <c r="G1159">
        <f>Calc!G23</f>
        <v/>
      </c>
      <c r="H1159">
        <f>Calc!H23</f>
        <v/>
      </c>
      <c r="I1159">
        <f>IF(Skills!T23&lt;&gt;"",1+(Skills!T23/10)*(Z1139/1000)/100,1)</f>
        <v/>
      </c>
      <c r="J1159" t="inlineStr"/>
      <c r="K1159" t="inlineStr"/>
      <c r="L1159" t="inlineStr"/>
      <c r="M1159" t="inlineStr"/>
      <c r="N1159" t="inlineStr"/>
      <c r="O1159">
        <f>(1-Summary!$B$11)*S1159+Summary!$B$11*U1159</f>
        <v/>
      </c>
      <c r="P1159">
        <f>IF(B1173=0,0,O1159/B1173)</f>
        <v/>
      </c>
      <c r="Q1159">
        <f>IFERROR(1/(IF(Inputs!$B$38="pvp",15,MAX(0.1,Skills!D23-IF(TRUE=TRUE,Inputs!$B$32,0)))*(1-IF(AND(ArtifactsInput!$M$27,Inputs!$B$4="Chapter Hunt"),CHOOSE(ArtifactsInput!$N$27+1,20,24,28,32,36,40),0)/100)),0)</f>
        <v/>
      </c>
      <c r="R1159" t="n">
        <v>0</v>
      </c>
      <c r="S1159" t="n">
        <v>0</v>
      </c>
      <c r="U1159" t="n">
        <v>0</v>
      </c>
    </row>
    <row r="1160">
      <c r="A1160">
        <f>Skills!A24</f>
        <v/>
      </c>
      <c r="B1160">
        <f>Skills!B24</f>
        <v/>
      </c>
      <c r="C1160">
        <f>TRUE</f>
        <v/>
      </c>
      <c r="D1160">
        <f>IF(Skills!C24=1,60+Inputs!$B$25+Inputs!$B$29,IF(Skills!C24=2,90+Inputs!$B$26+Inputs!$B$29,IF(Skills!C24=3,120+Inputs!$B$27+Inputs!$B$29,MAX(0,(Inputs!$B$3-100)*3)+Inputs!$B$28+Inputs!$B$29)))</f>
        <v/>
      </c>
      <c r="E1160">
        <f>INDEX(FactorTable!$B$2:$Y$301, MATCH(ROUND(MIN(300,MAX(1,D1160)),0), FactorTable!$A$2:$A$301,0), Skills!L24+1)</f>
        <v/>
      </c>
      <c r="F1160">
        <f>IF(Skills!M24=TRUE,(Skills!K24/10)*(E1160/1000),Skills!K24/10)+Skills!N24</f>
        <v/>
      </c>
      <c r="G1160">
        <f>Calc!G24</f>
        <v/>
      </c>
      <c r="H1160">
        <f>Calc!H24</f>
        <v/>
      </c>
      <c r="I1160">
        <f>IF(Skills!T24&lt;&gt;"",1+(Skills!T24/10)*(Z1139/1000)/100,1)</f>
        <v/>
      </c>
      <c r="J1160" t="inlineStr"/>
      <c r="K1160" t="inlineStr"/>
      <c r="L1160" t="inlineStr"/>
      <c r="M1160" t="inlineStr"/>
      <c r="N1160" t="inlineStr"/>
      <c r="O1160">
        <f>(1-Summary!$B$11)*S1160+Summary!$B$11*U1160</f>
        <v/>
      </c>
      <c r="P1160">
        <f>IF(B1173=0,0,O1160/B1173)</f>
        <v/>
      </c>
      <c r="Q1160">
        <f>IFERROR(1/(IF(Inputs!$B$38="pvp",15,MAX(0.1,Skills!D24-IF(TRUE=TRUE,Inputs!$B$32,0)))*(1-IF(AND(ArtifactsInput!$M$27,Inputs!$B$4="Chapter Hunt"),CHOOSE(ArtifactsInput!$N$27+1,20,24,28,32,36,40),0)/100)),0)</f>
        <v/>
      </c>
      <c r="R1160">
        <f>IF(AND(Inputs!$B$38&lt;&gt;"pvp",Inputs!$B$43&gt;0),IF(Inputs!$B$43&lt;=0,0,(INT(Inputs!$B$43/(IF(Inputs!$B$38="pvp",15,MAX(0.1,Skills!D24-IF(TRUE=TRUE,Inputs!$B$32,0)))*(1-IF(AND(ArtifactsInput!$M$27,Inputs!$B$4="Chapter Hunt"),CHOOSE(ArtifactsInput!$N$27+1,20,24,28,32,36,40),0)/100)))+1)),0)</f>
        <v/>
      </c>
      <c r="S1160" t="n">
        <v>0</v>
      </c>
      <c r="U1160" t="n">
        <v>0</v>
      </c>
    </row>
    <row r="1163">
      <c r="A1163" t="inlineStr">
        <is>
          <t>Average Buff Multiplier (Magic Guard + Meditation + Artifact Attack%, summed; then Infinity)</t>
        </is>
      </c>
      <c r="B1163">
        <f>(1+(IF(C1139=TRUE,F1139*IF(AND(Inputs!$B$38&lt;&gt;"pvp",Inputs!$B$43&gt;0),(((R1139-1)*MIN((Skills!S3*(1+(Inputs!$B$34)/100)),(1/Q1139))+MIN((Skills!S3*(1+(Inputs!$B$34)/100)),MAX(0,Inputs!$B$43-((R1139-1)*(1/Q1139)))))/Inputs!$B$43),IF(Inputs!$B$38="pvp",MIN((Skills!S3*(1+(Inputs!$B$34)/100)),15)/15,MIN(1,(Skills!S3*(1+(Inputs!$B$34)/100))/(1/Q1139)))),0)+IF(C1140=TRUE,F1140*IF(AND(Inputs!$B$38&lt;&gt;"pvp",Inputs!$B$43&gt;0),(((R1140-1)*MIN((Skills!S4*(1+(Inputs!$B$34)/100)),(1/Q1140))+MIN((Skills!S4*(1+(Inputs!$B$34)/100)),MAX(0,Inputs!$B$43-((R1140-1)*(1/Q1140)))))/Inputs!$B$43),IF(Inputs!$B$38="pvp",MIN((Skills!S4*(1+(Inputs!$B$34)/100)),15)/15,MIN(1,(Skills!S4*(1+(Inputs!$B$34)/100))/(1/Q1140)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1152=TRUE,(1+F1152*IF(AND(Inputs!$B$38&lt;&gt;"pvp",Inputs!$B$43&gt;0),(((R1152-1)*MIN((Skills!S16*(1+(Inputs!$B$34)/100)),(1/Q1152))+MIN((Skills!S16*(1+(Inputs!$B$34)/100)),MAX(0,Inputs!$B$43-((R1152-1)*(1/Q1152)))))/Inputs!$B$43),IF(Inputs!$B$38="pvp",MIN((Skills!S16*(1+(Inputs!$B$34)/100)),15)/15,MIN(1,(Skills!S16*(1+(Inputs!$B$34)/100))/(1/Q1152))))/100),1)</f>
        <v/>
      </c>
    </row>
    <row r="1164">
      <c r="A1164" t="inlineStr">
        <is>
          <t>Monster Damage Taken Bonus % (Freezing Breath - Weaken + Elemental Reset + Artifact Enemy Damage Taken, summed)</t>
        </is>
      </c>
      <c r="B1164">
        <f>IF(Inputs!$B$3&gt;=118,15*IF(Inputs!$B$38="pvp",MIN((30*(1+(Inputs!$B$34)/100)),15)/15,MIN(1,(30*(1+(Inputs!$B$34)/100))/(1/Q1144))),0)+IF(C1150=TRUE,F1150,0)+(IF(AND(ArtifactsInput!$M$35,Inputs!$B$4&lt;&gt;"Chapter Hunt"),CHOOSE(ArtifactsInput!$N$35+1,15,18,21,24,27,30)*(1-EXP(-(0.2*B1167)*5)),0)+IF(AND(ArtifactsInput!$M$22,Inputs!$B$4&lt;&gt;"Chapter Hunt"),CHOOSE(ArtifactsInput!$N$22+1,10,12,14,16,18,20)*((0*(((0.15*B1167*5))^0/1)+1*(((0.15*B1167*5))^1/1)+2*(((0.15*B1167*5))^2/2)+3*(((0.15*B1167*5))^3/6)+4*(((0.15*B1167*5))^4/24)+5*(((0.15*B1167*5))^5/120))/((((0.15*B1167*5))^0/1)+(((0.15*B1167*5))^1/1)+(((0.15*B1167*5))^2/2)+(((0.15*B1167*5))^3/6)+(((0.15*B1167*5))^4/24)+(((0.15*B1167*5))^5/120))),0))</f>
        <v/>
      </c>
    </row>
    <row r="1165">
      <c r="A1165" t="inlineStr">
        <is>
          <t>Damage % Bonus (Frozen Break + Frost Clutch, flat)</t>
        </is>
      </c>
      <c r="B1165">
        <f>IF(Inputs!$B$3&gt;=66,15,0)+IF(Inputs!$B$3&gt;=98,10,0)+IF(Inputs!$B$3&gt;=125,20,0)</f>
        <v/>
      </c>
    </row>
    <row r="1166">
      <c r="A1166" t="inlineStr">
        <is>
          <t>Attack Speed Bonus % (MP Eater - MP Boost, always-on + Nimble Feet, duty-cycle averaged)</t>
        </is>
      </c>
      <c r="B1166">
        <f>IF(C1149=TRUE,F1149+(F1153-Calc!F17),0)+((C1160=TRUE)*F1160*IF(AND(Inputs!$B$38&lt;&gt;"pvp",Inputs!$B$43&gt;0),(((R1160-1)*MIN((Skills!S24*(1+(Inputs!$B$34)/100)),(1/Q1160))+MIN((Skills!S24*(1+(Inputs!$B$34)/100)),MAX(0,Inputs!$B$43-((R1160-1)*(1/Q1160)))))/Inputs!$B$43),IF(Inputs!$B$38="pvp",MIN((Skills!S24*(1+(Inputs!$B$34)/100)),15)/15,MIN(1,(Skills!S24*(1+(Inputs!$B$34)/100))/(1/Q1160)))))</f>
        <v/>
      </c>
    </row>
    <row r="1167">
      <c r="A1167" t="inlineStr">
        <is>
          <t>Actions Per Second</t>
        </is>
      </c>
      <c r="B1167">
        <f>1+MIN(150,150*(1-(1-(Inputs!$B$11+(ArtifactsInput!$M$15-ArtifactsInput!$M$15)*CHOOSE(ArtifactsInput!$N$15+1,8,9.6,11.2,12.8,14.4,16))/150)*(1-B1166/150)))/100</f>
        <v/>
      </c>
    </row>
    <row r="1168">
      <c r="A1168" t="inlineStr">
        <is>
          <t>Skill + Buff Cast Rate</t>
        </is>
      </c>
      <c r="B1168">
        <f>IF(AND(Inputs!$B$38&lt;&gt;"pvp",Inputs!$B$43&gt;0),SUMPRODUCT((Skills!E2:E24=TRUE)*(C1138:C1160=TRUE)*R1138:R1160)/Inputs!$B$43,SUMPRODUCT((Skills!E2:E24=TRUE)*(C1138:C1160=TRUE)*Q1138:Q1160))</f>
        <v/>
      </c>
    </row>
    <row r="1169">
      <c r="A1169" t="inlineStr">
        <is>
          <t>Chain Lightning Casts Per Second</t>
        </is>
      </c>
      <c r="B1169">
        <f>MAX(0,B1167-B1168)</f>
        <v/>
      </c>
    </row>
    <row r="1170">
      <c r="A1170" t="inlineStr">
        <is>
          <t>Buff-Casting Startup Delay (s, fixed-duration only)</t>
        </is>
      </c>
      <c r="B1170">
        <f>IF(AND(Inputs!$B$38&lt;&gt;"pvp",Inputs!$B$43&gt;0),SUMPRODUCT((Skills!S2:S24&gt;0)*(Skills!E2:E24=TRUE)*(C1138:C1160=TRUE))/B1167,0)</f>
        <v/>
      </c>
    </row>
    <row r="1171">
      <c r="A1171" t="inlineStr">
        <is>
          <t>Boss-Only Total DPS (this block's swept value)</t>
        </is>
      </c>
      <c r="B1171">
        <f>SUM(S1138:S1160)</f>
        <v/>
      </c>
    </row>
    <row r="1172">
      <c r="A1172" t="inlineStr">
        <is>
          <t>Normal-Only Total DPS (this block's swept value)</t>
        </is>
      </c>
      <c r="B1172">
        <f>SUM(U1138:U1160)</f>
        <v/>
      </c>
    </row>
    <row r="1173">
      <c r="A1173" s="6" t="inlineStr">
        <is>
          <t>TOTAL DPS</t>
        </is>
      </c>
      <c r="B1173" s="6">
        <f>SUM(O1138:O1160)</f>
        <v/>
      </c>
    </row>
    <row r="1174">
      <c r="A1174" t="inlineStr">
        <is>
          <t>Blizzard Final Attack trigger rate (this block's own Q/R)</t>
        </is>
      </c>
      <c r="B1174">
        <f>IF(AND(Inputs!$B$38&lt;&gt;"pvp",Inputs!$B$43&gt;0),(((C1141=TRUE)*R1141*1)+((C1142=TRUE)*R1142*1)+((C1144=TRUE)*R1144*1)+((C1145=TRUE)*R1145*3)+((C1147=TRUE)*R1147*1))/Inputs!$B$43,((C1141=TRUE)*Q1141*1)+((C1142=TRUE)*Q1142*1)+((C1144=TRUE)*Q1144*1)+((C1145=TRUE)*Q1145*3)+((C1147=TRUE)*Q1147*1))+B1169</f>
        <v/>
      </c>
    </row>
    <row r="1177">
      <c r="A1177" s="6" t="inlineStr">
        <is>
          <t>Stat: Shamaness Marble (Equip)</t>
        </is>
      </c>
    </row>
    <row r="1178">
      <c r="A1178" s="5" t="inlineStr">
        <is>
          <t>Key</t>
        </is>
      </c>
      <c r="B1178" s="5" t="inlineStr">
        <is>
          <t>Name</t>
        </is>
      </c>
      <c r="C1178" s="5" t="inlineStr">
        <is>
          <t>Unlocked</t>
        </is>
      </c>
      <c r="D1178" s="5" t="inlineStr">
        <is>
          <t>InputLevel</t>
        </is>
      </c>
      <c r="E1178" s="5" t="inlineStr">
        <is>
          <t>Factor</t>
        </is>
      </c>
      <c r="F1178" s="5" t="inlineStr">
        <is>
          <t>CoefficientPercent</t>
        </is>
      </c>
      <c r="G1178" s="5" t="inlineStr">
        <is>
          <t>EffectiveHits</t>
        </is>
      </c>
      <c r="H1178" s="5" t="inlineStr">
        <is>
          <t>ProcProbability</t>
        </is>
      </c>
      <c r="I1178" s="5" t="inlineStr">
        <is>
          <t>MapleHeroMultiplier</t>
        </is>
      </c>
      <c r="J1178" s="5" t="inlineStr">
        <is>
          <t>BaseDamage</t>
        </is>
      </c>
      <c r="K1178" s="5" t="inlineStr">
        <is>
          <t>BaseHitDamage</t>
        </is>
      </c>
      <c r="L1178" s="5" t="inlineStr">
        <is>
          <t>NonCritAvg</t>
        </is>
      </c>
      <c r="M1178" s="5" t="inlineStr">
        <is>
          <t>CritAvg</t>
        </is>
      </c>
      <c r="N1178" s="5" t="inlineStr">
        <is>
          <t>ExpectedDamage(perHit)</t>
        </is>
      </c>
      <c r="O1178" s="5" t="inlineStr">
        <is>
          <t>DPS</t>
        </is>
      </c>
      <c r="P1178" s="5" t="inlineStr">
        <is>
          <t>% of Total</t>
        </is>
      </c>
      <c r="R1178" t="inlineStr">
        <is>
          <t>helpers</t>
        </is>
      </c>
    </row>
    <row r="1179">
      <c r="A1179">
        <f>Skills!A2</f>
        <v/>
      </c>
      <c r="B1179">
        <f>Skills!B2</f>
        <v/>
      </c>
      <c r="C1179">
        <f>Inputs!$B$3&gt;=100</f>
        <v/>
      </c>
      <c r="D1179" t="inlineStr"/>
      <c r="E1179" t="inlineStr"/>
      <c r="F1179">
        <f>T1181+Skills!N2</f>
        <v/>
      </c>
      <c r="G1179">
        <f>Calc!G2</f>
        <v/>
      </c>
      <c r="H1179">
        <f>Calc!H2</f>
        <v/>
      </c>
      <c r="I1179">
        <f>IF(Skills!T2&lt;&gt;"",1+(Skills!T2/10)*(Z1180/1000)/100,1)</f>
        <v/>
      </c>
      <c r="J1179">
        <f>((Inputs!$B$6*(1+Inputs!$B$7/100))+(((Inputs!$B$12*(1+Inputs!$B$13/100))-(Inputs!$B$12*(1+Inputs!$B$13/100)))+0.25*(Inputs!$B$14-Inputs!$B$14))*(1+Inputs!$B$7/100))*(F1179/100)</f>
        <v/>
      </c>
      <c r="K1179">
        <f>J1179*(1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2="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1179)</f>
        <v/>
      </c>
      <c r="L1179">
        <f>K1179*(MIN(Inputs!$B$22+(F1195-Calc!F18),(Inputs!$B$23+(IF(ArtifactsInput!$M$15,CHOOSE(ArtifactsInput!$N$15+1,25,30,35,40,45,50)/100*(Inputs!$B$11-Inputs!$B$11),0))))/100+(Inputs!$B$23+(IF(ArtifactsInput!$M$15,CHOOSE(ArtifactsInput!$N$15+1,25,30,35,40,45,50)/100*(Inputs!$B$11-Inputs!$B$11),0)))/100)/2</f>
        <v/>
      </c>
      <c r="M1179">
        <f>L1179*(1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79">
        <f>L1179*(1-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1179*(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79">
        <f>(1-Summary!$B$11)*S1179+Summary!$B$11*U1179</f>
        <v/>
      </c>
      <c r="P1179">
        <f>IF(B1214=0,0,O1179/B1214)</f>
        <v/>
      </c>
      <c r="Q1179">
        <f>IFERROR(1/(IF(Inputs!$B$38="pvp",15,MAX(0.1,Skills!D2-IF(TRUE=TRUE,Inputs!$B$32,0)))*(1-IF(AND(ArtifactsInput!$M$27,Inputs!$B$4="Chapter Hunt"),CHOOSE(ArtifactsInput!$N$27+1,20,24,28,32,36,40),0)/100)),0)</f>
        <v/>
      </c>
      <c r="R1179" t="n">
        <v>0</v>
      </c>
      <c r="S1179">
        <f>IF(C1179,(Skills!F2*N1179*B1210)*IF(Inputs!$B$38="pvp",1,1+(Inputs!$B$20+Skills!O2+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1179*(1-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1179*(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1179*(1-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1179*(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179">
        <f>MAX(0,(Inputs!$B$3-100)*3)+Inputs!$B$28+Inputs!$B$29</f>
        <v/>
      </c>
      <c r="U1179">
        <f>IF(C1179,(Skills!F2*N1179*B1210)*IF(Inputs!$B$38="pvp",1,(1+(Inputs!$B$21+Skills!P2+B1205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179">
        <f>MAX(0,(Inputs!$B$3-100)*3)+Inputs!$B$28+Inputs!$B$29</f>
        <v/>
      </c>
    </row>
    <row r="1180">
      <c r="A1180">
        <f>Skills!A3</f>
        <v/>
      </c>
      <c r="B1180">
        <f>Skills!B3</f>
        <v/>
      </c>
      <c r="C1180">
        <f>Inputs!$B$3&gt;=15</f>
        <v/>
      </c>
      <c r="D1180">
        <f>IF(Skills!C3=1,60+Inputs!$B$25+Inputs!$B$29,IF(Skills!C3=2,90+Inputs!$B$26+Inputs!$B$29,IF(Skills!C3=3,120+Inputs!$B$27+Inputs!$B$29,MAX(0,(Inputs!$B$3-100)*3)+Inputs!$B$28+Inputs!$B$29)))</f>
        <v/>
      </c>
      <c r="E1180">
        <f>INDEX(FactorTable!$B$2:$Y$301, MATCH(ROUND(MIN(300,MAX(1,D1180)),0), FactorTable!$A$2:$A$301,0), Skills!L3+1)</f>
        <v/>
      </c>
      <c r="F1180">
        <f>IF(Skills!M3=TRUE,(Skills!K3/10)*(E1180/1000),Skills!K3/10)+Skills!N3</f>
        <v/>
      </c>
      <c r="G1180">
        <f>Calc!G3</f>
        <v/>
      </c>
      <c r="H1180">
        <f>Calc!H3</f>
        <v/>
      </c>
      <c r="I1180">
        <f>IF(Skills!T3&lt;&gt;"",1+(Skills!T3/10)*(Z1180/1000)/100,1)</f>
        <v/>
      </c>
      <c r="J1180" t="inlineStr"/>
      <c r="K1180" t="inlineStr"/>
      <c r="L1180" t="inlineStr"/>
      <c r="M1180" t="inlineStr"/>
      <c r="N1180" t="inlineStr"/>
      <c r="O1180">
        <f>(1-Summary!$B$11)*S1180+Summary!$B$11*U1180</f>
        <v/>
      </c>
      <c r="P1180">
        <f>IF(B1214=0,0,O1180/B1214)</f>
        <v/>
      </c>
      <c r="Q1180">
        <f>IFERROR(1/(IF(Inputs!$B$38="pvp",15,MAX(0.1,Skills!D3-IF(TRUE=TRUE,Inputs!$B$32,0)))*(1-IF(AND(ArtifactsInput!$M$27,Inputs!$B$4="Chapter Hunt"),CHOOSE(ArtifactsInput!$N$27+1,20,24,28,32,36,40),0)/100)),0)</f>
        <v/>
      </c>
      <c r="R1180">
        <f>IF(AND(Inputs!$B$38&lt;&gt;"pvp",Inputs!$B$43&gt;0),IF(Inputs!$B$43&lt;=0,0,(INT(Inputs!$B$43/(IF(Inputs!$B$38="pvp",15,MAX(0.1,Skills!D3-IF(TRUE=TRUE,Inputs!$B$32,0)))*(1-IF(AND(ArtifactsInput!$M$27,Inputs!$B$4="Chapter Hunt"),CHOOSE(ArtifactsInput!$N$27+1,20,24,28,32,36,40),0)/100)))+1)),0)</f>
        <v/>
      </c>
      <c r="S1180" t="n">
        <v>0</v>
      </c>
      <c r="T1180">
        <f>INDEX(FactorTable!$B$2:$Y$301, MATCH(ROUND(MIN(300,MAX(1,T1179)),0), FactorTable!$A$2:$A$301,0), 22)</f>
        <v/>
      </c>
      <c r="U1180" t="n">
        <v>0</v>
      </c>
      <c r="Z1180">
        <f>INDEX(FactorTable!$B$2:$Y$301, MATCH(ROUND(MIN(300,MAX(1,Z1179)),0), FactorTable!$A$2:$A$301,0), 24)</f>
        <v/>
      </c>
    </row>
    <row r="1181">
      <c r="A1181">
        <f>Skills!A4</f>
        <v/>
      </c>
      <c r="B1181">
        <f>Skills!B4</f>
        <v/>
      </c>
      <c r="C1181">
        <f>Inputs!$B$3&gt;=40</f>
        <v/>
      </c>
      <c r="D1181">
        <f>IF(Skills!C4=1,60+Inputs!$B$25+Inputs!$B$29,IF(Skills!C4=2,90+Inputs!$B$26+Inputs!$B$29,IF(Skills!C4=3,120+Inputs!$B$27+Inputs!$B$29,MAX(0,(Inputs!$B$3-100)*3)+Inputs!$B$28+Inputs!$B$29)))</f>
        <v/>
      </c>
      <c r="E1181">
        <f>INDEX(FactorTable!$B$2:$Y$301, MATCH(ROUND(MIN(300,MAX(1,D1181)),0), FactorTable!$A$2:$A$301,0), Skills!L4+1)</f>
        <v/>
      </c>
      <c r="F1181">
        <f>IF(Skills!M4=TRUE,(Skills!K4/10)*(E1181/1000),Skills!K4/10)+Skills!N4</f>
        <v/>
      </c>
      <c r="G1181">
        <f>Calc!G4</f>
        <v/>
      </c>
      <c r="H1181">
        <f>Calc!H4</f>
        <v/>
      </c>
      <c r="I1181">
        <f>IF(Skills!T4&lt;&gt;"",1+(Skills!T4/10)*(Z1180/1000)/100,1)</f>
        <v/>
      </c>
      <c r="J1181" t="inlineStr"/>
      <c r="K1181" t="inlineStr"/>
      <c r="L1181" t="inlineStr"/>
      <c r="M1181" t="inlineStr"/>
      <c r="N1181" t="inlineStr"/>
      <c r="O1181">
        <f>(1-Summary!$B$11)*S1181+Summary!$B$11*U1181</f>
        <v/>
      </c>
      <c r="P1181">
        <f>IF(B1214=0,0,O1181/B1214)</f>
        <v/>
      </c>
      <c r="Q1181">
        <f>IFERROR(1/(IF(Inputs!$B$38="pvp",15,MAX(0.1,Skills!D4-IF(TRUE=TRUE,Inputs!$B$32,0)))*(1-IF(AND(ArtifactsInput!$M$27,Inputs!$B$4="Chapter Hunt"),CHOOSE(ArtifactsInput!$N$27+1,20,24,28,32,36,40),0)/100)),0)</f>
        <v/>
      </c>
      <c r="R1181">
        <f>IF(AND(Inputs!$B$38&lt;&gt;"pvp",Inputs!$B$43&gt;0),IF(Inputs!$B$43&lt;=0,0,(INT(Inputs!$B$43/(IF(Inputs!$B$38="pvp",15,MAX(0.1,Skills!D4-IF(TRUE=TRUE,Inputs!$B$32,0)))*(1-IF(AND(ArtifactsInput!$M$27,Inputs!$B$4="Chapter Hunt"),CHOOSE(ArtifactsInput!$N$27+1,20,24,28,32,36,40),0)/100)))+1)),0)</f>
        <v/>
      </c>
      <c r="S1181" t="n">
        <v>0</v>
      </c>
      <c r="T1181">
        <f>290*T1180/1000</f>
        <v/>
      </c>
      <c r="U1181" t="n">
        <v>0</v>
      </c>
    </row>
    <row r="1182">
      <c r="A1182">
        <f>Skills!A5</f>
        <v/>
      </c>
      <c r="B1182">
        <f>Skills!B5</f>
        <v/>
      </c>
      <c r="C1182">
        <f>Inputs!$B$3&gt;=38</f>
        <v/>
      </c>
      <c r="D1182">
        <f>IF(Skills!C5=1,60+Inputs!$B$25+Inputs!$B$29,IF(Skills!C5=2,90+Inputs!$B$26+Inputs!$B$29,IF(Skills!C5=3,120+Inputs!$B$27+Inputs!$B$29,MAX(0,(Inputs!$B$3-100)*3)+Inputs!$B$28+Inputs!$B$29)))</f>
        <v/>
      </c>
      <c r="E1182">
        <f>INDEX(FactorTable!$B$2:$Y$301, MATCH(ROUND(MIN(300,MAX(1,D1182)),0), FactorTable!$A$2:$A$301,0), Skills!L5+1)</f>
        <v/>
      </c>
      <c r="F1182">
        <f>IF(Skills!M5=TRUE,(Skills!K5/10)*(E1182/1000),Skills!K5/10)+Skills!N5</f>
        <v/>
      </c>
      <c r="G1182">
        <f>Calc!G5</f>
        <v/>
      </c>
      <c r="H1182">
        <f>Calc!H5</f>
        <v/>
      </c>
      <c r="I1182">
        <f>IF(Skills!T5&lt;&gt;"",1+(Skills!T5/10)*(Z1180/1000)/100,1)</f>
        <v/>
      </c>
      <c r="J1182">
        <f>((Inputs!$B$6*(1+Inputs!$B$7/100))+(((Inputs!$B$12*(1+Inputs!$B$13/100))-(Inputs!$B$12*(1+Inputs!$B$13/100)))+0.25*(Inputs!$B$14-Inputs!$B$14))*(1+Inputs!$B$7/100))*(F1182/100)</f>
        <v/>
      </c>
      <c r="K1182">
        <f>J1182*(1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5="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1182)</f>
        <v/>
      </c>
      <c r="L1182">
        <f>K1182*(MIN(Inputs!$B$22+(F1195-Calc!F18),(Inputs!$B$23+(IF(ArtifactsInput!$M$15,CHOOSE(ArtifactsInput!$N$15+1,25,30,35,40,45,50)/100*(Inputs!$B$11-Inputs!$B$11),0))))/100+(Inputs!$B$23+(IF(ArtifactsInput!$M$15,CHOOSE(ArtifactsInput!$N$15+1,25,30,35,40,45,50)/100*(Inputs!$B$11-Inputs!$B$11),0)))/100)/2</f>
        <v/>
      </c>
      <c r="M1182">
        <f>L1182*(1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2">
        <f>L1182*(1-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1182*(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2">
        <f>(1-Summary!$B$11)*S1182+Summary!$B$11*U1182</f>
        <v/>
      </c>
      <c r="P1182">
        <f>IF(B1214=0,0,O1182/B1214)</f>
        <v/>
      </c>
      <c r="Q1182">
        <f>IFERROR(1/(IF(Inputs!$B$38="pvp",15,MAX(0.1,Skills!D5-IF(TRUE=TRUE,Inputs!$B$32,0)))*(1-IF(AND(ArtifactsInput!$M$27,Inputs!$B$4="Chapter Hunt"),CHOOSE(ArtifactsInput!$N$27+1,20,24,28,32,36,40),0)/100)),0)</f>
        <v/>
      </c>
      <c r="R1182">
        <f>IF(AND(Inputs!$B$38&lt;&gt;"pvp",Inputs!$B$43&gt;0),IF(MAX(0,Inputs!$B$43-B1211)&lt;=0,0,(INT(MAX(0,Inputs!$B$43-B1211)/(IF(Inputs!$B$38="pvp",15,MAX(0.1,Skills!D5-IF(TRUE=TRUE,Inputs!$B$32,0)))*(1-IF(AND(ArtifactsInput!$M$27,Inputs!$B$4="Chapter Hunt"),CHOOSE(ArtifactsInput!$N$27+1,20,24,28,32,36,40),0)/100)))+1)),0)</f>
        <v/>
      </c>
      <c r="S1182">
        <f>IF(C1182,(H1182*N1182*IF(AND(Inputs!$B$38&lt;&gt;"pvp",Inputs!$B$43&gt;0),((Skills!F5*((R1182-1)*IF(Skills!G5&gt;0,Skills!H5/Skills!G5,1)+IF(Skills!G5&gt;0,MIN(Skills!H5,MAX(0,MAX(0,Inputs!$B$43-B1211)-((R1182-1)*(IF(Inputs!$B$38="pvp",15,MAX(0.1,Skills!D5-IF(TRUE=TRUE,Inputs!$B$32,0)))*(1-IF(AND(ArtifactsInput!$M$27,Inputs!$B$4="Chapter Hunt"),CHOOSE(ArtifactsInput!$N$27+1,20,24,28,32,36,40),0)/100)))))/Skills!G5,1)))/Inputs!$B$43),G1182*Q1182))*IF(Inputs!$B$38="pvp",1,1+(Inputs!$B$20+Skills!O5+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1182*(1-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1182*(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1182*(1-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1182*(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2">
        <f>IF(C1182,(H1182*N1182*IF(AND(Inputs!$B$38&lt;&gt;"pvp",Inputs!$B$43&gt;0),((Skills!F5*((R1182-1)*IF(Skills!G5&gt;0,Skills!H5/Skills!G5,1)+IF(Skills!G5&gt;0,MIN(Skills!H5,MAX(0,MAX(0,Inputs!$B$43-B1211)-((R1182-1)*(IF(Inputs!$B$38="pvp",15,MAX(0.1,Skills!D5-IF(TRUE=TRUE,Inputs!$B$32,0)))*(1-IF(AND(ArtifactsInput!$M$27,Inputs!$B$4="Chapter Hunt"),CHOOSE(ArtifactsInput!$N$27+1,20,24,28,32,36,40),0)/100)))))/Skills!G5,1)))/Inputs!$B$43),G1182*Q1182))*IF(Inputs!$B$38="pvp",1,(1+(Inputs!$B$21+Skills!P5+B1205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3">
      <c r="A1183">
        <f>Skills!A6</f>
        <v/>
      </c>
      <c r="B1183">
        <f>Skills!B6</f>
        <v/>
      </c>
      <c r="C1183">
        <f>Inputs!$B$3&gt;=63</f>
        <v/>
      </c>
      <c r="D1183">
        <f>IF(Skills!C6=1,60+Inputs!$B$25+Inputs!$B$29,IF(Skills!C6=2,90+Inputs!$B$26+Inputs!$B$29,IF(Skills!C6=3,120+Inputs!$B$27+Inputs!$B$29,MAX(0,(Inputs!$B$3-100)*3)+Inputs!$B$28+Inputs!$B$29)))</f>
        <v/>
      </c>
      <c r="E1183">
        <f>INDEX(FactorTable!$B$2:$Y$301, MATCH(ROUND(MIN(300,MAX(1,D1183)),0), FactorTable!$A$2:$A$301,0), Skills!L6+1)</f>
        <v/>
      </c>
      <c r="F1183">
        <f>IF(Skills!M6=TRUE,(Skills!K6/10)*(E1183/1000),Skills!K6/10)+Skills!N6</f>
        <v/>
      </c>
      <c r="G1183">
        <f>Calc!G6</f>
        <v/>
      </c>
      <c r="H1183">
        <f>Calc!H6</f>
        <v/>
      </c>
      <c r="I1183">
        <f>IF(Skills!T6&lt;&gt;"",1+(Skills!T6/10)*(Z1180/1000)/100,1)</f>
        <v/>
      </c>
      <c r="J1183">
        <f>((Inputs!$B$6*(1+Inputs!$B$7/100))+(((Inputs!$B$12*(1+Inputs!$B$13/100))-(Inputs!$B$12*(1+Inputs!$B$13/100)))+0.25*(Inputs!$B$14-Inputs!$B$14))*(1+Inputs!$B$7/100))*(F1183/100)</f>
        <v/>
      </c>
      <c r="K1183">
        <f>J1183*(1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6="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1183)</f>
        <v/>
      </c>
      <c r="L1183">
        <f>K1183*(MIN(Inputs!$B$22+(F1195-Calc!F18),(Inputs!$B$23+(IF(ArtifactsInput!$M$15,CHOOSE(ArtifactsInput!$N$15+1,25,30,35,40,45,50)/100*(Inputs!$B$11-Inputs!$B$11),0))))/100+(Inputs!$B$23+(IF(ArtifactsInput!$M$15,CHOOSE(ArtifactsInput!$N$15+1,25,30,35,40,45,50)/100*(Inputs!$B$11-Inputs!$B$11),0)))/100)/2</f>
        <v/>
      </c>
      <c r="M1183">
        <f>L1183*(1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3">
        <f>L1183*(1-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1183*(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3">
        <f>(1-Summary!$B$11)*S1183+Summary!$B$11*U1183</f>
        <v/>
      </c>
      <c r="P1183">
        <f>IF(B1214=0,0,O1183/B1214)</f>
        <v/>
      </c>
      <c r="Q1183">
        <f>IFERROR(1/(IF(Inputs!$B$38="pvp",15,MAX(0.1,Skills!D6-IF(TRUE=TRUE,Inputs!$B$32,0)))*(1-IF(AND(ArtifactsInput!$M$27,Inputs!$B$4="Chapter Hunt"),CHOOSE(ArtifactsInput!$N$27+1,20,24,28,32,36,40),0)/100)),0)</f>
        <v/>
      </c>
      <c r="R1183">
        <f>IF(AND(Inputs!$B$38&lt;&gt;"pvp",Inputs!$B$43&gt;0),IF(MAX(0,Inputs!$B$43-B1211)&lt;=0,0,(INT(MAX(0,Inputs!$B$43-B1211)/(IF(Inputs!$B$38="pvp",15,MAX(0.1,Skills!D6-IF(TRUE=TRUE,Inputs!$B$32,0)))*(1-IF(AND(ArtifactsInput!$M$27,Inputs!$B$4="Chapter Hunt"),CHOOSE(ArtifactsInput!$N$27+1,20,24,28,32,36,40),0)/100)))+1)),0)</f>
        <v/>
      </c>
      <c r="S1183">
        <f>IF(C1183,(H1183*N1183*IF(AND(Inputs!$B$38&lt;&gt;"pvp",Inputs!$B$43&gt;0),((Skills!F6*((R1183-1)*IF(Skills!G6&gt;0,Skills!H6/Skills!G6,1)+IF(Skills!G6&gt;0,MIN(Skills!H6,MAX(0,MAX(0,Inputs!$B$43-B1211)-((R1183-1)*(IF(Inputs!$B$38="pvp",15,MAX(0.1,Skills!D6-IF(TRUE=TRUE,Inputs!$B$32,0)))*(1-IF(AND(ArtifactsInput!$M$27,Inputs!$B$4="Chapter Hunt"),CHOOSE(ArtifactsInput!$N$27+1,20,24,28,32,36,40),0)/100)))))/Skills!G6,1)))/Inputs!$B$43),G1183*Q1183))*IF(Inputs!$B$38="pvp",1,1+(Inputs!$B$20+Skills!O6+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1183*(1-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1183*(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1183*(1-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1183*(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3">
        <f>IF(C1183,(H1183*N1183*IF(AND(Inputs!$B$38&lt;&gt;"pvp",Inputs!$B$43&gt;0),((Skills!F6*((R1183-1)*IF(Skills!G6&gt;0,Skills!H6/Skills!G6,1)+IF(Skills!G6&gt;0,MIN(Skills!H6,MAX(0,MAX(0,Inputs!$B$43-B1211)-((R1183-1)*(IF(Inputs!$B$38="pvp",15,MAX(0.1,Skills!D6-IF(TRUE=TRUE,Inputs!$B$32,0)))*(1-IF(AND(ArtifactsInput!$M$27,Inputs!$B$4="Chapter Hunt"),CHOOSE(ArtifactsInput!$N$27+1,20,24,28,32,36,40),0)/100)))))/Skills!G6,1)))/Inputs!$B$43),G1183*Q1183))*IF(Inputs!$B$38="pvp",1,(1+(Inputs!$B$21+Skills!P6+B1205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4">
      <c r="A1184">
        <f>Skills!A7</f>
        <v/>
      </c>
      <c r="B1184">
        <f>Skills!B7</f>
        <v/>
      </c>
      <c r="C1184">
        <f>Inputs!$B$3&gt;=69</f>
        <v/>
      </c>
      <c r="D1184">
        <f>IF(Skills!C7=1,60+Inputs!$B$25+Inputs!$B$29,IF(Skills!C7=2,90+Inputs!$B$26+Inputs!$B$29,IF(Skills!C7=3,120+Inputs!$B$27+Inputs!$B$29,MAX(0,(Inputs!$B$3-100)*3)+Inputs!$B$28+Inputs!$B$29)))</f>
        <v/>
      </c>
      <c r="E1184">
        <f>INDEX(FactorTable!$B$2:$Y$301, MATCH(ROUND(MIN(300,MAX(1,D1184)),0), FactorTable!$A$2:$A$301,0), Skills!L7+1)</f>
        <v/>
      </c>
      <c r="F1184">
        <f>IF(Skills!M7=TRUE,(Skills!K7/10)*(E1184/1000),Skills!K7/10)+Skills!N7</f>
        <v/>
      </c>
      <c r="G1184">
        <f>Calc!G7</f>
        <v/>
      </c>
      <c r="H1184">
        <f>Calc!H7</f>
        <v/>
      </c>
      <c r="I1184">
        <f>IF(Skills!T7&lt;&gt;"",1+(Skills!T7/10)*(Z1180/1000)/100,1)</f>
        <v/>
      </c>
      <c r="J1184">
        <f>((Inputs!$B$6*(1+Inputs!$B$7/100))+(((Inputs!$B$12*(1+Inputs!$B$13/100))-(Inputs!$B$12*(1+Inputs!$B$13/100)))+0.25*(Inputs!$B$14-Inputs!$B$14))*(1+Inputs!$B$7/100))*(F1184/100)</f>
        <v/>
      </c>
      <c r="K1184">
        <f>J1184*(1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7="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1184)</f>
        <v/>
      </c>
      <c r="L1184">
        <f>K1184*(MIN(Inputs!$B$22+(F1195-Calc!F18),(Inputs!$B$23+(IF(ArtifactsInput!$M$15,CHOOSE(ArtifactsInput!$N$15+1,25,30,35,40,45,50)/100*(Inputs!$B$11-Inputs!$B$11),0))))/100+(Inputs!$B$23+(IF(ArtifactsInput!$M$15,CHOOSE(ArtifactsInput!$N$15+1,25,30,35,40,45,50)/100*(Inputs!$B$11-Inputs!$B$11),0)))/100)/2</f>
        <v/>
      </c>
      <c r="M1184">
        <f>L1184*(1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4">
        <f>L1184*(1-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1184*(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4">
        <f>(1-Summary!$B$11)*S1184+Summary!$B$11*U1184</f>
        <v/>
      </c>
      <c r="P1184">
        <f>IF(B1214=0,0,O1184/B1214)</f>
        <v/>
      </c>
      <c r="Q1184">
        <f>IFERROR(1/(IF(Inputs!$B$38="pvp",15,MAX(0.1,Skills!D7-IF(TRUE=TRUE,Inputs!$B$32,0)))*(1-IF(AND(ArtifactsInput!$M$27,Inputs!$B$4="Chapter Hunt"),CHOOSE(ArtifactsInput!$N$27+1,20,24,28,32,36,40),0)/100)),0)</f>
        <v/>
      </c>
      <c r="R1184">
        <f>IF(AND(Inputs!$B$38&lt;&gt;"pvp",Inputs!$B$43&gt;0),IF(MAX(0,Inputs!$B$43-B1211)&lt;=0,0,(INT(MAX(0,Inputs!$B$43-B1211)/(IF(Inputs!$B$38="pvp",15,MAX(0.1,Skills!D7-IF(TRUE=TRUE,Inputs!$B$32,0)))*(1-IF(AND(ArtifactsInput!$M$27,Inputs!$B$4="Chapter Hunt"),CHOOSE(ArtifactsInput!$N$27+1,20,24,28,32,36,40),0)/100)))+1)),0)</f>
        <v/>
      </c>
      <c r="S1184">
        <f>IF(C1184,(H1184*N1184*IF(AND(Inputs!$B$38&lt;&gt;"pvp",Inputs!$B$43&gt;0),((Skills!F7*((R1184-1)*IF(Skills!G7&gt;0,Skills!H7/Skills!G7,1)+IF(Skills!G7&gt;0,MIN(Skills!H7,MAX(0,MAX(0,Inputs!$B$43-B1211)-((R1184-1)*(IF(Inputs!$B$38="pvp",15,MAX(0.1,Skills!D7-IF(TRUE=TRUE,Inputs!$B$32,0)))*(1-IF(AND(ArtifactsInput!$M$27,Inputs!$B$4="Chapter Hunt"),CHOOSE(ArtifactsInput!$N$27+1,20,24,28,32,36,40),0)/100)))))/Skills!G7,1)))/Inputs!$B$43),G1184*Q1184))*IF(Inputs!$B$38="pvp",1,1+(Inputs!$B$20+Skills!O7+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1184*(1-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1184*(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1184*(1-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1184*(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4">
        <f>IF(C1184,(H1184*N1184*IF(AND(Inputs!$B$38&lt;&gt;"pvp",Inputs!$B$43&gt;0),((Skills!F7*((R1184-1)*IF(Skills!G7&gt;0,Skills!H7/Skills!G7,1)+IF(Skills!G7&gt;0,MIN(Skills!H7,MAX(0,MAX(0,Inputs!$B$43-B1211)-((R1184-1)*(IF(Inputs!$B$38="pvp",15,MAX(0.1,Skills!D7-IF(TRUE=TRUE,Inputs!$B$32,0)))*(1-IF(AND(ArtifactsInput!$M$27,Inputs!$B$4="Chapter Hunt"),CHOOSE(ArtifactsInput!$N$27+1,20,24,28,32,36,40),0)/100)))))/Skills!G7,1)))/Inputs!$B$43),G1184*Q1184))*IF(Inputs!$B$38="pvp",1,(1+(Inputs!$B$21+Skills!P7+B1205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5">
      <c r="A1185">
        <f>Skills!A8</f>
        <v/>
      </c>
      <c r="B1185">
        <f>Skills!B8</f>
        <v/>
      </c>
      <c r="C1185">
        <f>Inputs!$B$3&gt;=103</f>
        <v/>
      </c>
      <c r="D1185">
        <f>IF(Skills!C8=1,60+Inputs!$B$25+Inputs!$B$29,IF(Skills!C8=2,90+Inputs!$B$26+Inputs!$B$29,IF(Skills!C8=3,120+Inputs!$B$27+Inputs!$B$29,MAX(0,(Inputs!$B$3-100)*3)+Inputs!$B$28+Inputs!$B$29)))</f>
        <v/>
      </c>
      <c r="E1185">
        <f>INDEX(FactorTable!$B$2:$Y$301, MATCH(ROUND(MIN(300,MAX(1,D1185)),0), FactorTable!$A$2:$A$301,0), Skills!L8+1)</f>
        <v/>
      </c>
      <c r="F1185">
        <f>IF(Skills!M8=TRUE,(Skills!K8/10)*(E1185/1000),Skills!K8/10)+Skills!N8</f>
        <v/>
      </c>
      <c r="G1185">
        <f>Calc!G8</f>
        <v/>
      </c>
      <c r="H1185">
        <f>Calc!H8</f>
        <v/>
      </c>
      <c r="I1185">
        <f>IF(Skills!T8&lt;&gt;"",1+(Skills!T8/10)*(Z1180/1000)/100,1)</f>
        <v/>
      </c>
      <c r="J1185">
        <f>((Inputs!$B$6*(1+Inputs!$B$7/100))+(((Inputs!$B$12*(1+Inputs!$B$13/100))-(Inputs!$B$12*(1+Inputs!$B$13/100)))+0.25*(Inputs!$B$14-Inputs!$B$14))*(1+Inputs!$B$7/100))*(F1185/100)</f>
        <v/>
      </c>
      <c r="K1185">
        <f>J1185*(1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8="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1185)</f>
        <v/>
      </c>
      <c r="L1185">
        <f>K1185*(MIN(Inputs!$B$22+(F1195-Calc!F18),(Inputs!$B$23+(IF(ArtifactsInput!$M$15,CHOOSE(ArtifactsInput!$N$15+1,25,30,35,40,45,50)/100*(Inputs!$B$11-Inputs!$B$11),0))))/100+(Inputs!$B$23+(IF(ArtifactsInput!$M$15,CHOOSE(ArtifactsInput!$N$15+1,25,30,35,40,45,50)/100*(Inputs!$B$11-Inputs!$B$11),0)))/100)/2</f>
        <v/>
      </c>
      <c r="M1185">
        <f>L1185*(1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5">
        <f>L1185*(1-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1185*(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5">
        <f>(1-Summary!$B$11)*S1185+Summary!$B$11*U1185</f>
        <v/>
      </c>
      <c r="P1185">
        <f>IF(B1214=0,0,O1185/B1214)</f>
        <v/>
      </c>
      <c r="Q1185">
        <f>IFERROR(1/(IF(Inputs!$B$38="pvp",15,MAX(0.1,Skills!D8-IF(TRUE=TRUE,Inputs!$B$32,0)))*(1-IF(AND(ArtifactsInput!$M$27,Inputs!$B$4="Chapter Hunt"),CHOOSE(ArtifactsInput!$N$27+1,20,24,28,32,36,40),0)/100)),0)</f>
        <v/>
      </c>
      <c r="R1185">
        <f>IF(AND(Inputs!$B$38&lt;&gt;"pvp",Inputs!$B$43&gt;0),IF(MAX(0,Inputs!$B$43-B1211)&lt;=0,0,(INT(MAX(0,Inputs!$B$43-B1211)/(IF(Inputs!$B$38="pvp",15,MAX(0.1,Skills!D8-IF(TRUE=TRUE,Inputs!$B$32,0)))*(1-IF(AND(ArtifactsInput!$M$27,Inputs!$B$4="Chapter Hunt"),CHOOSE(ArtifactsInput!$N$27+1,20,24,28,32,36,40),0)/100)))+1)),0)</f>
        <v/>
      </c>
      <c r="S1185">
        <f>IF(C1185,(H1185*N1185*IF(AND(Inputs!$B$38&lt;&gt;"pvp",Inputs!$B$43&gt;0),((Skills!F8*((R1185-1)*IF(Skills!G8&gt;0,Skills!H8/Skills!G8,1)+IF(Skills!G8&gt;0,MIN(Skills!H8,MAX(0,MAX(0,Inputs!$B$43-B1211)-((R1185-1)*(IF(Inputs!$B$38="pvp",15,MAX(0.1,Skills!D8-IF(TRUE=TRUE,Inputs!$B$32,0)))*(1-IF(AND(ArtifactsInput!$M$27,Inputs!$B$4="Chapter Hunt"),CHOOSE(ArtifactsInput!$N$27+1,20,24,28,32,36,40),0)/100)))))/Skills!G8,1)))/Inputs!$B$43),G1185*Q1185))*IF(Inputs!$B$38="pvp",1,1+(Inputs!$B$20+Skills!O8+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1185*(1-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1185*(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1185*(1-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1185*(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5">
        <f>IF(C1185,(H1185*N1185*IF(AND(Inputs!$B$38&lt;&gt;"pvp",Inputs!$B$43&gt;0),((Skills!F8*((R1185-1)*IF(Skills!G8&gt;0,Skills!H8/Skills!G8,1)+IF(Skills!G8&gt;0,MIN(Skills!H8,MAX(0,MAX(0,Inputs!$B$43-B1211)-((R1185-1)*(IF(Inputs!$B$38="pvp",15,MAX(0.1,Skills!D8-IF(TRUE=TRUE,Inputs!$B$32,0)))*(1-IF(AND(ArtifactsInput!$M$27,Inputs!$B$4="Chapter Hunt"),CHOOSE(ArtifactsInput!$N$27+1,20,24,28,32,36,40),0)/100)))))/Skills!G8,1)))/Inputs!$B$43),G1185*Q1185))*IF(Inputs!$B$38="pvp",1,(1+(Inputs!$B$21+Skills!P8+B1205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6">
      <c r="A1186">
        <f>Skills!A9</f>
        <v/>
      </c>
      <c r="B1186">
        <f>Skills!B9</f>
        <v/>
      </c>
      <c r="C1186">
        <f>Inputs!$B$3&gt;=105</f>
        <v/>
      </c>
      <c r="D1186">
        <f>IF(Skills!C9=1,60+Inputs!$B$25+Inputs!$B$29,IF(Skills!C9=2,90+Inputs!$B$26+Inputs!$B$29,IF(Skills!C9=3,120+Inputs!$B$27+Inputs!$B$29,MAX(0,(Inputs!$B$3-100)*3)+Inputs!$B$28+Inputs!$B$29)))</f>
        <v/>
      </c>
      <c r="E1186">
        <f>INDEX(FactorTable!$B$2:$Y$301, MATCH(ROUND(MIN(300,MAX(1,D1186)),0), FactorTable!$A$2:$A$301,0), Skills!L9+1)</f>
        <v/>
      </c>
      <c r="F1186">
        <f>IF(Skills!M9=TRUE,(Skills!K9/10)*(E1186/1000),Skills!K9/10)+Skills!N9</f>
        <v/>
      </c>
      <c r="G1186">
        <f>Calc!G9</f>
        <v/>
      </c>
      <c r="H1186">
        <f>Calc!H9</f>
        <v/>
      </c>
      <c r="I1186">
        <f>IF(Skills!T9&lt;&gt;"",1+(Skills!T9/10)*(Z1180/1000)/100,1)</f>
        <v/>
      </c>
      <c r="J1186">
        <f>((Inputs!$B$6*(1+Inputs!$B$7/100))+(((Inputs!$B$12*(1+Inputs!$B$13/100))-(Inputs!$B$12*(1+Inputs!$B$13/100)))+0.25*(Inputs!$B$14-Inputs!$B$14))*(1+Inputs!$B$7/100))*(F1186/100)</f>
        <v/>
      </c>
      <c r="K1186">
        <f>J1186*(1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9="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1186)</f>
        <v/>
      </c>
      <c r="L1186">
        <f>K1186*(MIN(Inputs!$B$22+(F1195-Calc!F18),(Inputs!$B$23+(IF(ArtifactsInput!$M$15,CHOOSE(ArtifactsInput!$N$15+1,25,30,35,40,45,50)/100*(Inputs!$B$11-Inputs!$B$11),0))))/100+(Inputs!$B$23+(IF(ArtifactsInput!$M$15,CHOOSE(ArtifactsInput!$N$15+1,25,30,35,40,45,50)/100*(Inputs!$B$11-Inputs!$B$11),0)))/100)/2</f>
        <v/>
      </c>
      <c r="M1186">
        <f>L1186*(1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6">
        <f>L1186*(1-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1186*(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6">
        <f>(1-Summary!$B$11)*S1186+Summary!$B$11*U1186</f>
        <v/>
      </c>
      <c r="P1186">
        <f>IF(B1214=0,0,O1186/B1214)</f>
        <v/>
      </c>
      <c r="Q1186">
        <f>IFERROR(1/(IF(Inputs!$B$38="pvp",15,MAX(0.1,Skills!D9-IF(TRUE=TRUE,Inputs!$B$32,0)))*(1-IF(AND(ArtifactsInput!$M$27,Inputs!$B$4="Chapter Hunt"),CHOOSE(ArtifactsInput!$N$27+1,20,24,28,32,36,40),0)/100)),0)</f>
        <v/>
      </c>
      <c r="R1186">
        <f>IF(AND(Inputs!$B$38&lt;&gt;"pvp",Inputs!$B$43&gt;0),IF(MAX(0,Inputs!$B$43-B1211)&lt;=0,0,(INT(MAX(0,Inputs!$B$43-B1211)/(IF(Inputs!$B$38="pvp",15,MAX(0.1,Skills!D9-IF(TRUE=TRUE,Inputs!$B$32,0)))*(1-IF(AND(ArtifactsInput!$M$27,Inputs!$B$4="Chapter Hunt"),CHOOSE(ArtifactsInput!$N$27+1,20,24,28,32,36,40),0)/100)))+1)),0)</f>
        <v/>
      </c>
      <c r="S1186">
        <f>IF(C1186,(H1186*N1186*IF(AND(Inputs!$B$38&lt;&gt;"pvp",Inputs!$B$43&gt;0),((Skills!F9*((R1186-1)*IF(Skills!G9&gt;0,Skills!H9/Skills!G9,1)+IF(Skills!G9&gt;0,MIN(Skills!H9,MAX(0,MAX(0,Inputs!$B$43-B1211)-((R1186-1)*(IF(Inputs!$B$38="pvp",15,MAX(0.1,Skills!D9-IF(TRUE=TRUE,Inputs!$B$32,0)))*(1-IF(AND(ArtifactsInput!$M$27,Inputs!$B$4="Chapter Hunt"),CHOOSE(ArtifactsInput!$N$27+1,20,24,28,32,36,40),0)/100)))))/Skills!G9,1)))/Inputs!$B$43),G1186*Q1186))*IF(Inputs!$B$38="pvp",1,1+(Inputs!$B$20+Skills!O9+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1186*(1-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1186*(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1186*(1-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1186*(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6">
        <f>IF(C1186,(H1186*N1186*IF(AND(Inputs!$B$38&lt;&gt;"pvp",Inputs!$B$43&gt;0),((Skills!F9*((R1186-1)*IF(Skills!G9&gt;0,Skills!H9/Skills!G9,1)+IF(Skills!G9&gt;0,MIN(Skills!H9,MAX(0,MAX(0,Inputs!$B$43-B1211)-((R1186-1)*(IF(Inputs!$B$38="pvp",15,MAX(0.1,Skills!D9-IF(TRUE=TRUE,Inputs!$B$32,0)))*(1-IF(AND(ArtifactsInput!$M$27,Inputs!$B$4="Chapter Hunt"),CHOOSE(ArtifactsInput!$N$27+1,20,24,28,32,36,40),0)/100)))))/Skills!G9,1)))/Inputs!$B$43),G1186*Q1186))*IF(Inputs!$B$38="pvp",1,(1+(Inputs!$B$21+Skills!P9+B1205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7">
      <c r="A1187">
        <f>Skills!A10</f>
        <v/>
      </c>
      <c r="B1187">
        <f>Skills!B10</f>
        <v/>
      </c>
      <c r="C1187">
        <f>Inputs!$B$3&gt;=113</f>
        <v/>
      </c>
      <c r="D1187">
        <f>IF(Skills!C10=1,60+Inputs!$B$25+Inputs!$B$29,IF(Skills!C10=2,90+Inputs!$B$26+Inputs!$B$29,IF(Skills!C10=3,120+Inputs!$B$27+Inputs!$B$29,MAX(0,(Inputs!$B$3-100)*3)+Inputs!$B$28+Inputs!$B$29)))</f>
        <v/>
      </c>
      <c r="E1187">
        <f>INDEX(FactorTable!$B$2:$Y$301, MATCH(ROUND(MIN(300,MAX(1,D1187)),0), FactorTable!$A$2:$A$301,0), Skills!L10+1)</f>
        <v/>
      </c>
      <c r="F1187">
        <f>IF(Skills!M10=TRUE,(Skills!K10/10)*(E1187/1000),Skills!K10/10)+Skills!N10</f>
        <v/>
      </c>
      <c r="G1187">
        <f>Calc!G10</f>
        <v/>
      </c>
      <c r="H1187">
        <f>Calc!H10</f>
        <v/>
      </c>
      <c r="I1187">
        <f>IF(Skills!T10&lt;&gt;"",1+(Skills!T10/10)*(Z1180/1000)/100,1)</f>
        <v/>
      </c>
      <c r="J1187">
        <f>((Inputs!$B$6*(1+Inputs!$B$7/100))+(((Inputs!$B$12*(1+Inputs!$B$13/100))-(Inputs!$B$12*(1+Inputs!$B$13/100)))+0.25*(Inputs!$B$14-Inputs!$B$14))*(1+Inputs!$B$7/100))*(F1187/100)</f>
        <v/>
      </c>
      <c r="K1187">
        <f>J1187*(1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10="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1187)</f>
        <v/>
      </c>
      <c r="L1187">
        <f>K1187*(MIN(Inputs!$B$22+(F1195-Calc!F18),(Inputs!$B$23+(IF(ArtifactsInput!$M$15,CHOOSE(ArtifactsInput!$N$15+1,25,30,35,40,45,50)/100*(Inputs!$B$11-Inputs!$B$11),0))))/100+(Inputs!$B$23+(IF(ArtifactsInput!$M$15,CHOOSE(ArtifactsInput!$N$15+1,25,30,35,40,45,50)/100*(Inputs!$B$11-Inputs!$B$11),0)))/100)/2</f>
        <v/>
      </c>
      <c r="M1187">
        <f>L1187*(1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7">
        <f>L1187*(1-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1187*(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7">
        <f>(1-Summary!$B$11)*S1187+Summary!$B$11*U1187</f>
        <v/>
      </c>
      <c r="P1187">
        <f>IF(B1214=0,0,O1187/B1214)</f>
        <v/>
      </c>
      <c r="Q1187">
        <f>IFERROR(1/(IF(Inputs!$B$38="pvp",15,MAX(0.1,Skills!D10-IF(TRUE=TRUE,Inputs!$B$32,0)))*(1-IF(AND(ArtifactsInput!$M$27,Inputs!$B$4="Chapter Hunt"),CHOOSE(ArtifactsInput!$N$27+1,20,24,28,32,36,40),0)/100)),0)</f>
        <v/>
      </c>
      <c r="R1187" t="n">
        <v>0</v>
      </c>
      <c r="S1187">
        <f>IF(C1187,((H1187*B1215)/(1+Skills!G10*H1187*B1215)*N1187)*IF(Inputs!$B$38="pvp",1,1+(Inputs!$B$20+Skills!O10+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1187*(1-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1187*(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1187*(1-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1187*(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7">
        <f>IF(C1187,((H1187*B1215)/(1+Skills!G10*H1187*B1215)*N1187)*IF(Inputs!$B$38="pvp",1,(1+(Inputs!$B$21+Skills!P10+B1205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8">
      <c r="A1188">
        <f>Skills!A11</f>
        <v/>
      </c>
      <c r="B1188">
        <f>Skills!B11</f>
        <v/>
      </c>
      <c r="C1188">
        <f>Inputs!$B$3&gt;=107</f>
        <v/>
      </c>
      <c r="D1188">
        <f>IF(Skills!C11=1,60+Inputs!$B$25+Inputs!$B$29,IF(Skills!C11=2,90+Inputs!$B$26+Inputs!$B$29,IF(Skills!C11=3,120+Inputs!$B$27+Inputs!$B$29,MAX(0,(Inputs!$B$3-100)*3)+Inputs!$B$28+Inputs!$B$29)))</f>
        <v/>
      </c>
      <c r="E1188">
        <f>INDEX(FactorTable!$B$2:$Y$301, MATCH(ROUND(MIN(300,MAX(1,D1188)),0), FactorTable!$A$2:$A$301,0), Skills!L11+1)</f>
        <v/>
      </c>
      <c r="F1188">
        <f>IF(Skills!M11=TRUE,(Skills!K11/10)*(E1188/1000),Skills!K11/10)+Skills!N11</f>
        <v/>
      </c>
      <c r="G1188">
        <f>Calc!G11</f>
        <v/>
      </c>
      <c r="H1188">
        <f>Calc!H11</f>
        <v/>
      </c>
      <c r="I1188">
        <f>IF(Skills!T11&lt;&gt;"",1+(Skills!T11/10)*(Z1180/1000)/100,1)</f>
        <v/>
      </c>
      <c r="J1188">
        <f>((Inputs!$B$6*(1+Inputs!$B$7/100))+(((Inputs!$B$12*(1+Inputs!$B$13/100))-(Inputs!$B$12*(1+Inputs!$B$13/100)))+0.25*(Inputs!$B$14-Inputs!$B$14))*(1+Inputs!$B$7/100))*(F1188/100)</f>
        <v/>
      </c>
      <c r="K1188">
        <f>J1188*(1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11="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1188)</f>
        <v/>
      </c>
      <c r="L1188">
        <f>K1188*(MIN(Inputs!$B$22+(F1195-Calc!F18),(Inputs!$B$23+(IF(ArtifactsInput!$M$15,CHOOSE(ArtifactsInput!$N$15+1,25,30,35,40,45,50)/100*(Inputs!$B$11-Inputs!$B$11),0))))/100+(Inputs!$B$23+(IF(ArtifactsInput!$M$15,CHOOSE(ArtifactsInput!$N$15+1,25,30,35,40,45,50)/100*(Inputs!$B$11-Inputs!$B$11),0)))/100)/2</f>
        <v/>
      </c>
      <c r="M1188">
        <f>L1188*(1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8">
        <f>L1188*(1-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1188*(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8">
        <f>(1-Summary!$B$11)*S1188+Summary!$B$11*U1188</f>
        <v/>
      </c>
      <c r="P1188">
        <f>IF(B1214=0,0,O1188/B1214)</f>
        <v/>
      </c>
      <c r="Q1188">
        <f>IFERROR(1/(IF(Inputs!$B$38="pvp",15,MAX(0.1,Skills!D11-IF(TRUE=TRUE,Inputs!$B$32,0)))*(1-IF(AND(ArtifactsInput!$M$27,Inputs!$B$4="Chapter Hunt"),CHOOSE(ArtifactsInput!$N$27+1,20,24,28,32,36,40),0)/100)),0)</f>
        <v/>
      </c>
      <c r="R1188">
        <f>IF(AND(Inputs!$B$38&lt;&gt;"pvp",Inputs!$B$43&gt;0),IF(MAX(0,Inputs!$B$43-B1211)&lt;=0,0,(INT(MAX(0,Inputs!$B$43-B1211)/(IF(Inputs!$B$38="pvp",15,MAX(0.1,Skills!D11-IF(TRUE=TRUE,Inputs!$B$32,0)))*(1-IF(AND(ArtifactsInput!$M$27,Inputs!$B$4="Chapter Hunt"),CHOOSE(ArtifactsInput!$N$27+1,20,24,28,32,36,40),0)/100)))+1)),0)</f>
        <v/>
      </c>
      <c r="S1188">
        <f>IF(C1188,H1188*N1188*IF(AND(Inputs!$B$38&lt;&gt;"pvp",Inputs!$B$43&gt;0),((Skills!F11*((R1188-1)*IF(Skills!G11&gt;0,Skills!H11/Skills!G11,1)+IF(Skills!G11&gt;0,MIN(Skills!H11,MAX(0,MAX(0,Inputs!$B$43-B1211)-((R1188-1)*(IF(Inputs!$B$38="pvp",15,MAX(0.1,Skills!D11-IF(TRUE=TRUE,Inputs!$B$32,0)))*(1-IF(AND(ArtifactsInput!$M$27,Inputs!$B$4="Chapter Hunt"),CHOOSE(ArtifactsInput!$N$27+1,20,24,28,32,36,40),0)/100)))))/Skills!G11,1)))/Inputs!$B$43),G1188*Q1188)*0.5*IF(Inputs!$B$38="pvp",1,1+(Inputs!$B$20+Skills!O11+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1188*(1-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1188*(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1188*(1-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1188*(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8">
        <f>IF(C1188,H1188*N1188*IF(AND(Inputs!$B$38&lt;&gt;"pvp",Inputs!$B$43&gt;0),((Skills!F11*((R1188-1)*IF(Skills!G11&gt;0,Skills!H11/Skills!G11,1)+IF(Skills!G11&gt;0,MIN(Skills!H11,MAX(0,MAX(0,Inputs!$B$43-B1211)-((R1188-1)*(IF(Inputs!$B$38="pvp",15,MAX(0.1,Skills!D11-IF(TRUE=TRUE,Inputs!$B$32,0)))*(1-IF(AND(ArtifactsInput!$M$27,Inputs!$B$4="Chapter Hunt"),CHOOSE(ArtifactsInput!$N$27+1,20,24,28,32,36,40),0)/100)))))/Skills!G11,1)))/Inputs!$B$43),G1188*Q1188)*1*IF(Inputs!$B$38="pvp",1,(1+(Inputs!$B$21+Skills!P11+B1205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89">
      <c r="A1189">
        <f>Skills!A12</f>
        <v/>
      </c>
      <c r="B1189">
        <f>Skills!B12</f>
        <v/>
      </c>
      <c r="C1189">
        <f>Inputs!$B$3&gt;=115</f>
        <v/>
      </c>
      <c r="D1189">
        <f>IF(Skills!C12=1,60+Inputs!$B$25+Inputs!$B$29,IF(Skills!C12=2,90+Inputs!$B$26+Inputs!$B$29,IF(Skills!C12=3,120+Inputs!$B$27+Inputs!$B$29,MAX(0,(Inputs!$B$3-100)*3)+Inputs!$B$28+Inputs!$B$29)))</f>
        <v/>
      </c>
      <c r="E1189">
        <f>INDEX(FactorTable!$B$2:$Y$301, MATCH(ROUND(MIN(300,MAX(1,D1189)),0), FactorTable!$A$2:$A$301,0), Skills!L12+1)</f>
        <v/>
      </c>
      <c r="F1189">
        <f>IF(Skills!M12=TRUE,(Skills!K12/10)*(E1189/1000),Skills!K12/10)+Skills!N12</f>
        <v/>
      </c>
      <c r="G1189">
        <f>Calc!G12</f>
        <v/>
      </c>
      <c r="H1189">
        <f>Calc!H12</f>
        <v/>
      </c>
      <c r="I1189">
        <f>IF(Skills!T12&lt;&gt;"",1+(Skills!T12/10)*(Z1180/1000)/100,1)</f>
        <v/>
      </c>
      <c r="J1189">
        <f>((Inputs!$B$6*(1+Inputs!$B$7/100))+(((Inputs!$B$12*(1+Inputs!$B$13/100))-(Inputs!$B$12*(1+Inputs!$B$13/100)))+0.25*(Inputs!$B$14-Inputs!$B$14))*(1+Inputs!$B$7/100))*(F1189/100)</f>
        <v/>
      </c>
      <c r="K1189">
        <f>J1189*(1+((Inputs!$B$12*(1+Inputs!$B$13/100))*0.01+Inputs!$B$14*0.0025)/100)*(1+(Inputs!$B$15+B1206)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1192=TRUE,F1192,0)/100)*(1+IF(C1200=TRUE,F1200,0)/100)^5*(1+(IF(Skills!A12="CHAIN_LIGHTNING",Inputs!$B$17+((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1204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1189)</f>
        <v/>
      </c>
      <c r="L1189">
        <f>K1189*(MIN(Inputs!$B$22+(F1195-Calc!F18),(Inputs!$B$23+(IF(ArtifactsInput!$M$15,CHOOSE(ArtifactsInput!$N$15+1,25,30,35,40,45,50)/100*(Inputs!$B$11-Inputs!$B$11),0))))/100+(Inputs!$B$23+(IF(ArtifactsInput!$M$15,CHOOSE(ArtifactsInput!$N$15+1,25,30,35,40,45,50)/100*(Inputs!$B$11-Inputs!$B$11),0)))/100)/2</f>
        <v/>
      </c>
      <c r="M1189">
        <f>L1189*(1+(Inputs!$B$10+(F1198-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9">
        <f>L1189*(1-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1189*(MIN((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9">
        <f>(1-Summary!$B$11)*S1189+Summary!$B$11*U1189</f>
        <v/>
      </c>
      <c r="P1189">
        <f>IF(B1214=0,0,O1189/B1214)</f>
        <v/>
      </c>
      <c r="Q1189">
        <f>IFERROR(1/(IF(Inputs!$B$38="pvp",15,MAX(0.1,Skills!D12-IF(TRUE=TRUE,Inputs!$B$32,0)))*(1-IF(AND(ArtifactsInput!$M$27,Inputs!$B$4="Chapter Hunt"),CHOOSE(ArtifactsInput!$N$27+1,20,24,28,32,36,40),0)/100)),0)</f>
        <v/>
      </c>
      <c r="R1189">
        <f>IF(AND(Inputs!$B$38&lt;&gt;"pvp",Inputs!$B$43&gt;0),IF(MAX(0,Inputs!$B$43-B1211)&lt;=0,0,(INT(MAX(0,Inputs!$B$43-B1211)/(IF(Inputs!$B$38="pvp",15,MAX(0.1,Skills!D12-IF(TRUE=TRUE,Inputs!$B$32,0)))*(1-IF(AND(ArtifactsInput!$M$27,Inputs!$B$4="Chapter Hunt"),CHOOSE(ArtifactsInput!$N$27+1,20,24,28,32,36,40),0)/100)))+1)),0)</f>
        <v/>
      </c>
      <c r="S1189">
        <f>IF(C1189,(H1189*N1189*IF(AND(Inputs!$B$38&lt;&gt;"pvp",Inputs!$B$43&gt;0),((Skills!F12*((R1189-1)*IF(Skills!G12&gt;0,Skills!H12/Skills!G12,1)+IF(Skills!G12&gt;0,MIN(Skills!H12,MAX(0,MAX(0,Inputs!$B$43-B1211)-((R1189-1)*(IF(Inputs!$B$38="pvp",15,MAX(0.1,Skills!D12-IF(TRUE=TRUE,Inputs!$B$32,0)))*(1-IF(AND(ArtifactsInput!$M$27,Inputs!$B$4="Chapter Hunt"),CHOOSE(ArtifactsInput!$N$27+1,20,24,28,32,36,40),0)/100)))))/Skills!G12,1)))/Inputs!$B$43),G1189*Q1189))*IF(Inputs!$B$38="pvp",1,1+(Inputs!$B$20+Skills!O12+B1205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1189*(1-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1189*(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1189*(1-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1189*(MIN(100,(Inputs!$B$9+((F1197-Calc!F20)+(F1196-Calc!F19))+(ArtifactsInput!$M$24-ArtifactsInput!$M$24)*CHOOSE(ArtifactsInput!$N$24+1,10,12,14,16,18,20)+(IF(AND(Inputs!$B$38&lt;&gt;"pvp",Inputs!$B$43=0),1,IF(IF(Inputs!$B$38="pvp",15,Inputs!$B$43)-(B1211)&lt;=0,1,MAX(0,IF(Inputs!$B$38="pvp",15,Inputs!$B$43)-MAX(5,B1211))/(IF(Inputs!$B$38="pvp",15,Inputs!$B$43)-(B1211)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9">
        <f>IF(C1189,(H1189*N1189*IF(AND(Inputs!$B$38&lt;&gt;"pvp",Inputs!$B$43&gt;0),((Skills!F12*((R1189-1)*IF(Skills!G12&gt;0,Skills!H12/Skills!G12,1)+IF(Skills!G12&gt;0,MIN(Skills!H12,MAX(0,MAX(0,Inputs!$B$43-B1211)-((R1189-1)*(IF(Inputs!$B$38="pvp",15,MAX(0.1,Skills!D12-IF(TRUE=TRUE,Inputs!$B$32,0)))*(1-IF(AND(ArtifactsInput!$M$27,Inputs!$B$4="Chapter Hunt"),CHOOSE(ArtifactsInput!$N$27+1,20,24,28,32,36,40),0)/100)))))/Skills!G12,1)))/Inputs!$B$43),G1189*Q1189))*IF(Inputs!$B$38="pvp",1,(1+(Inputs!$B$21+Skills!P12+B1205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0">
      <c r="A1190">
        <f>Skills!A13</f>
        <v/>
      </c>
      <c r="B1190">
        <f>Skills!B13</f>
        <v/>
      </c>
      <c r="C1190">
        <f>Inputs!$B$3&gt;=49</f>
        <v/>
      </c>
      <c r="D1190">
        <f>IF(Skills!C13=1,60+Inputs!$B$25+Inputs!$B$29,IF(Skills!C13=2,90+Inputs!$B$26+Inputs!$B$29,IF(Skills!C13=3,120+Inputs!$B$27+Inputs!$B$29,MAX(0,(Inputs!$B$3-100)*3)+Inputs!$B$28+Inputs!$B$29)))</f>
        <v/>
      </c>
      <c r="E1190">
        <f>INDEX(FactorTable!$B$2:$Y$301, MATCH(ROUND(MIN(300,MAX(1,D1190)),0), FactorTable!$A$2:$A$301,0), Skills!L13+1)</f>
        <v/>
      </c>
      <c r="F1190">
        <f>IF(Skills!M13=TRUE,(Skills!K13/10)*(E1190/1000),Skills!K13/10)+Skills!N13</f>
        <v/>
      </c>
      <c r="G1190">
        <f>Calc!G13</f>
        <v/>
      </c>
      <c r="H1190">
        <f>Calc!H13</f>
        <v/>
      </c>
      <c r="I1190">
        <f>IF(Skills!T13&lt;&gt;"",1+(Skills!T13/10)*(Z1180/1000)/100,1)</f>
        <v/>
      </c>
      <c r="J1190" t="inlineStr"/>
      <c r="K1190" t="inlineStr"/>
      <c r="L1190" t="inlineStr"/>
      <c r="M1190" t="inlineStr"/>
      <c r="N1190" t="inlineStr"/>
      <c r="O1190">
        <f>(1-Summary!$B$11)*S1190+Summary!$B$11*U1190</f>
        <v/>
      </c>
      <c r="P1190">
        <f>IF(B1214=0,0,O1190/B1214)</f>
        <v/>
      </c>
      <c r="Q1190">
        <f>IFERROR(1/(IF(Inputs!$B$38="pvp",15,MAX(0.1,Skills!D13-IF(TRUE=TRUE,Inputs!$B$32,0)))*(1-IF(AND(ArtifactsInput!$M$27,Inputs!$B$4="Chapter Hunt"),CHOOSE(ArtifactsInput!$N$27+1,20,24,28,32,36,40),0)/100)),0)</f>
        <v/>
      </c>
      <c r="R1190" t="n">
        <v>0</v>
      </c>
      <c r="S1190" t="n">
        <v>0</v>
      </c>
      <c r="U1190" t="n">
        <v>0</v>
      </c>
    </row>
    <row r="1191">
      <c r="A1191">
        <f>Skills!A14</f>
        <v/>
      </c>
      <c r="B1191">
        <f>Skills!B14</f>
        <v/>
      </c>
      <c r="C1191">
        <f>Inputs!$B$3&gt;=72</f>
        <v/>
      </c>
      <c r="D1191">
        <f>IF(Skills!C14=1,60+Inputs!$B$25+Inputs!$B$29,IF(Skills!C14=2,90+Inputs!$B$26+Inputs!$B$29,IF(Skills!C14=3,120+Inputs!$B$27+Inputs!$B$29,MAX(0,(Inputs!$B$3-100)*3)+Inputs!$B$28+Inputs!$B$29)))</f>
        <v/>
      </c>
      <c r="E1191">
        <f>INDEX(FactorTable!$B$2:$Y$301, MATCH(ROUND(MIN(300,MAX(1,D1191)),0), FactorTable!$A$2:$A$301,0), Skills!L14+1)</f>
        <v/>
      </c>
      <c r="F1191">
        <f>IF(Skills!M14=TRUE,(Skills!K14/10)*(E1191/1000),Skills!K14/10)+Skills!N14</f>
        <v/>
      </c>
      <c r="G1191">
        <f>Calc!G14</f>
        <v/>
      </c>
      <c r="H1191">
        <f>Calc!H14</f>
        <v/>
      </c>
      <c r="I1191">
        <f>IF(Skills!T14&lt;&gt;"",1+(Skills!T14/10)*(Z1180/1000)/100,1)</f>
        <v/>
      </c>
      <c r="J1191" t="inlineStr"/>
      <c r="K1191" t="inlineStr"/>
      <c r="L1191" t="inlineStr"/>
      <c r="M1191" t="inlineStr"/>
      <c r="N1191" t="inlineStr"/>
      <c r="O1191">
        <f>(1-Summary!$B$11)*S1191+Summary!$B$11*U1191</f>
        <v/>
      </c>
      <c r="P1191">
        <f>IF(B1214=0,0,O1191/B1214)</f>
        <v/>
      </c>
      <c r="Q1191">
        <f>IFERROR(1/(IF(Inputs!$B$38="pvp",15,MAX(0.1,Skills!D14-IF(TRUE=TRUE,Inputs!$B$32,0)))*(1-IF(AND(ArtifactsInput!$M$27,Inputs!$B$4="Chapter Hunt"),CHOOSE(ArtifactsInput!$N$27+1,20,24,28,32,36,40),0)/100)),0)</f>
        <v/>
      </c>
      <c r="R1191" t="n">
        <v>0</v>
      </c>
      <c r="S1191" t="n">
        <v>0</v>
      </c>
      <c r="U1191" t="n">
        <v>0</v>
      </c>
    </row>
    <row r="1192">
      <c r="A1192">
        <f>Skills!A15</f>
        <v/>
      </c>
      <c r="B1192">
        <f>Skills!B15</f>
        <v/>
      </c>
      <c r="C1192">
        <f>Inputs!$B$3&gt;=75</f>
        <v/>
      </c>
      <c r="D1192">
        <f>IF(Skills!C15=1,60+Inputs!$B$25+Inputs!$B$29,IF(Skills!C15=2,90+Inputs!$B$26+Inputs!$B$29,IF(Skills!C15=3,120+Inputs!$B$27+Inputs!$B$29,MAX(0,(Inputs!$B$3-100)*3)+Inputs!$B$28+Inputs!$B$29)))</f>
        <v/>
      </c>
      <c r="E1192">
        <f>INDEX(FactorTable!$B$2:$Y$301, MATCH(ROUND(MIN(300,MAX(1,D1192)),0), FactorTable!$A$2:$A$301,0), Skills!L15+1)</f>
        <v/>
      </c>
      <c r="F1192">
        <f>IF(Skills!M15=TRUE,(Skills!K15/10)*(E1192/1000),Skills!K15/10)+Skills!N15</f>
        <v/>
      </c>
      <c r="G1192">
        <f>Calc!G15</f>
        <v/>
      </c>
      <c r="H1192">
        <f>Calc!H15</f>
        <v/>
      </c>
      <c r="I1192">
        <f>IF(Skills!T15&lt;&gt;"",1+(Skills!T15/10)*(Z1180/1000)/100,1)</f>
        <v/>
      </c>
      <c r="J1192" t="inlineStr"/>
      <c r="K1192" t="inlineStr"/>
      <c r="L1192" t="inlineStr"/>
      <c r="M1192" t="inlineStr"/>
      <c r="N1192" t="inlineStr"/>
      <c r="O1192">
        <f>(1-Summary!$B$11)*S1192+Summary!$B$11*U1192</f>
        <v/>
      </c>
      <c r="P1192">
        <f>IF(B1214=0,0,O1192/B1214)</f>
        <v/>
      </c>
      <c r="Q1192">
        <f>IFERROR(1/(IF(Inputs!$B$38="pvp",15,MAX(0.1,Skills!D15-IF(TRUE=TRUE,Inputs!$B$32,0)))*(1-IF(AND(ArtifactsInput!$M$27,Inputs!$B$4="Chapter Hunt"),CHOOSE(ArtifactsInput!$N$27+1,20,24,28,32,36,40),0)/100)),0)</f>
        <v/>
      </c>
      <c r="R1192" t="n">
        <v>0</v>
      </c>
      <c r="S1192" t="n">
        <v>0</v>
      </c>
      <c r="U1192" t="n">
        <v>0</v>
      </c>
    </row>
    <row r="1193">
      <c r="A1193">
        <f>Skills!A16</f>
        <v/>
      </c>
      <c r="B1193">
        <f>Skills!B16</f>
        <v/>
      </c>
      <c r="C1193">
        <f>Inputs!$B$3&gt;=110</f>
        <v/>
      </c>
      <c r="D1193">
        <f>IF(Skills!C16=1,60+Inputs!$B$25+Inputs!$B$29,IF(Skills!C16=2,90+Inputs!$B$26+Inputs!$B$29,IF(Skills!C16=3,120+Inputs!$B$27+Inputs!$B$29,MAX(0,(Inputs!$B$3-100)*3)+Inputs!$B$28+Inputs!$B$29)))</f>
        <v/>
      </c>
      <c r="E1193">
        <f>INDEX(FactorTable!$B$2:$Y$301, MATCH(ROUND(MIN(300,MAX(1,D1193)),0), FactorTable!$A$2:$A$301,0), Skills!L16+1)</f>
        <v/>
      </c>
      <c r="F1193">
        <f>(Skills!K16/10)*(E1193/1000)*64/45+Skills!N16</f>
        <v/>
      </c>
      <c r="G1193">
        <f>Calc!G16</f>
        <v/>
      </c>
      <c r="H1193">
        <f>Calc!H16</f>
        <v/>
      </c>
      <c r="I1193">
        <f>IF(Skills!T16&lt;&gt;"",1+(Skills!T16/10)*(Z1180/1000)/100,1)</f>
        <v/>
      </c>
      <c r="J1193" t="inlineStr"/>
      <c r="K1193" t="inlineStr"/>
      <c r="L1193" t="inlineStr"/>
      <c r="M1193" t="inlineStr"/>
      <c r="N1193" t="inlineStr"/>
      <c r="O1193">
        <f>(1-Summary!$B$11)*S1193+Summary!$B$11*U1193</f>
        <v/>
      </c>
      <c r="P1193">
        <f>IF(B1214=0,0,O1193/B1214)</f>
        <v/>
      </c>
      <c r="Q1193">
        <f>IFERROR(1/(IF(Inputs!$B$38="pvp",15,MAX(0.1,Skills!D16-IF(TRUE=TRUE,Inputs!$B$32,0)))*(1-IF(AND(ArtifactsInput!$M$27,Inputs!$B$4="Chapter Hunt"),CHOOSE(ArtifactsInput!$N$27+1,20,24,28,32,36,40),0)/100)),0)</f>
        <v/>
      </c>
      <c r="R1193">
        <f>IF(AND(Inputs!$B$38&lt;&gt;"pvp",Inputs!$B$43&gt;0),IF(Inputs!$B$43&lt;=0,0,(INT(Inputs!$B$43/(IF(Inputs!$B$38="pvp",15,MAX(0.1,Skills!D16-IF(TRUE=TRUE,Inputs!$B$32,0)))*(1-IF(AND(ArtifactsInput!$M$27,Inputs!$B$4="Chapter Hunt"),CHOOSE(ArtifactsInput!$N$27+1,20,24,28,32,36,40),0)/100)))+1)),0)</f>
        <v/>
      </c>
      <c r="S1193" t="n">
        <v>0</v>
      </c>
      <c r="U1193" t="n">
        <v>0</v>
      </c>
    </row>
    <row r="1194">
      <c r="A1194">
        <f>Skills!A17</f>
        <v/>
      </c>
      <c r="B1194">
        <f>Skills!B17</f>
        <v/>
      </c>
      <c r="C1194">
        <f>Inputs!$B$3&gt;=33</f>
        <v/>
      </c>
      <c r="D1194">
        <f>IF(Skills!C17=1,60+Inputs!$B$25+Inputs!$B$29,IF(Skills!C17=2,90+Inputs!$B$26+Inputs!$B$29,IF(Skills!C17=3,120+Inputs!$B$27+Inputs!$B$29,MAX(0,(Inputs!$B$3-100)*3)+Inputs!$B$28+Inputs!$B$29)))</f>
        <v/>
      </c>
      <c r="E1194">
        <f>INDEX(FactorTable!$B$2:$Y$301, MATCH(ROUND(MIN(300,MAX(1,D1194)),0), FactorTable!$A$2:$A$301,0), Skills!L17+1)</f>
        <v/>
      </c>
      <c r="F1194">
        <f>IF(Skills!M17=TRUE,(Skills!K17/10)*(E1194/1000),Skills!K17/10)+Skills!N17</f>
        <v/>
      </c>
      <c r="G1194">
        <f>Calc!G17</f>
        <v/>
      </c>
      <c r="H1194">
        <f>Calc!H17</f>
        <v/>
      </c>
      <c r="I1194">
        <f>IF(Skills!T17&lt;&gt;"",1+(Skills!T17/10)*(Z1180/1000)/100,1)</f>
        <v/>
      </c>
      <c r="J1194" t="inlineStr"/>
      <c r="K1194" t="inlineStr"/>
      <c r="L1194" t="inlineStr"/>
      <c r="M1194" t="inlineStr"/>
      <c r="N1194" t="inlineStr"/>
      <c r="O1194">
        <f>(1-Summary!$B$11)*S1194+Summary!$B$11*U1194</f>
        <v/>
      </c>
      <c r="P1194">
        <f>IF(B1214=0,0,O1194/B1214)</f>
        <v/>
      </c>
      <c r="Q1194">
        <f>IFERROR(1/(IF(Inputs!$B$38="pvp",15,MAX(0.1,Skills!D17-IF(TRUE=TRUE,Inputs!$B$32,0)))*(1-IF(AND(ArtifactsInput!$M$27,Inputs!$B$4="Chapter Hunt"),CHOOSE(ArtifactsInput!$N$27+1,20,24,28,32,36,40),0)/100)),0)</f>
        <v/>
      </c>
      <c r="R1194" t="n">
        <v>0</v>
      </c>
      <c r="S1194" t="n">
        <v>0</v>
      </c>
      <c r="U1194" t="n">
        <v>0</v>
      </c>
    </row>
    <row r="1195">
      <c r="A1195">
        <f>Skills!A18</f>
        <v/>
      </c>
      <c r="B1195">
        <f>Skills!B18</f>
        <v/>
      </c>
      <c r="C1195">
        <f>Inputs!$B$3&gt;=43</f>
        <v/>
      </c>
      <c r="D1195">
        <f>IF(Skills!C18=1,60+Inputs!$B$25+Inputs!$B$29,IF(Skills!C18=2,90+Inputs!$B$26+Inputs!$B$29,IF(Skills!C18=3,120+Inputs!$B$27+Inputs!$B$29,MAX(0,(Inputs!$B$3-100)*3)+Inputs!$B$28+Inputs!$B$29)))</f>
        <v/>
      </c>
      <c r="E1195">
        <f>INDEX(FactorTable!$B$2:$Y$301, MATCH(ROUND(MIN(300,MAX(1,D1195)),0), FactorTable!$A$2:$A$301,0), Skills!L18+1)</f>
        <v/>
      </c>
      <c r="F1195">
        <f>IF(Skills!M18=TRUE,(Skills!K18/10)*(E1195/1000),Skills!K18/10)+Skills!N18</f>
        <v/>
      </c>
      <c r="G1195">
        <f>Calc!G18</f>
        <v/>
      </c>
      <c r="H1195">
        <f>Calc!H18</f>
        <v/>
      </c>
      <c r="I1195">
        <f>IF(Skills!T18&lt;&gt;"",1+(Skills!T18/10)*(Z1180/1000)/100,1)</f>
        <v/>
      </c>
      <c r="J1195" t="inlineStr"/>
      <c r="K1195" t="inlineStr"/>
      <c r="L1195" t="inlineStr"/>
      <c r="M1195" t="inlineStr"/>
      <c r="N1195" t="inlineStr"/>
      <c r="O1195">
        <f>(1-Summary!$B$11)*S1195+Summary!$B$11*U1195</f>
        <v/>
      </c>
      <c r="P1195">
        <f>IF(B1214=0,0,O1195/B1214)</f>
        <v/>
      </c>
      <c r="Q1195">
        <f>IFERROR(1/(IF(Inputs!$B$38="pvp",15,MAX(0.1,Skills!D18-IF(TRUE=TRUE,Inputs!$B$32,0)))*(1-IF(AND(ArtifactsInput!$M$27,Inputs!$B$4="Chapter Hunt"),CHOOSE(ArtifactsInput!$N$27+1,20,24,28,32,36,40),0)/100)),0)</f>
        <v/>
      </c>
      <c r="R1195" t="n">
        <v>0</v>
      </c>
      <c r="S1195" t="n">
        <v>0</v>
      </c>
      <c r="U1195" t="n">
        <v>0</v>
      </c>
    </row>
    <row r="1196">
      <c r="A1196">
        <f>Skills!A19</f>
        <v/>
      </c>
      <c r="B1196">
        <f>Skills!B19</f>
        <v/>
      </c>
      <c r="C1196">
        <f>Inputs!$B$3&gt;=50</f>
        <v/>
      </c>
      <c r="D1196">
        <f>IF(Skills!C19=1,60+Inputs!$B$25+Inputs!$B$29,IF(Skills!C19=2,90+Inputs!$B$26+Inputs!$B$29,IF(Skills!C19=3,120+Inputs!$B$27+Inputs!$B$29,MAX(0,(Inputs!$B$3-100)*3)+Inputs!$B$28+Inputs!$B$29)))</f>
        <v/>
      </c>
      <c r="E1196">
        <f>INDEX(FactorTable!$B$2:$Y$301, MATCH(ROUND(MIN(300,MAX(1,D1196)),0), FactorTable!$A$2:$A$301,0), Skills!L19+1)</f>
        <v/>
      </c>
      <c r="F1196">
        <f>IF(Skills!M19=TRUE,(Skills!K19/10)*(E1196/1000),Skills!K19/10)+Skills!N19</f>
        <v/>
      </c>
      <c r="G1196">
        <f>Calc!G19</f>
        <v/>
      </c>
      <c r="H1196">
        <f>Calc!H19</f>
        <v/>
      </c>
      <c r="I1196">
        <f>IF(Skills!T19&lt;&gt;"",1+(Skills!T19/10)*(Z1180/1000)/100,1)</f>
        <v/>
      </c>
      <c r="J1196" t="inlineStr"/>
      <c r="K1196" t="inlineStr"/>
      <c r="L1196" t="inlineStr"/>
      <c r="M1196" t="inlineStr"/>
      <c r="N1196" t="inlineStr"/>
      <c r="O1196">
        <f>(1-Summary!$B$11)*S1196+Summary!$B$11*U1196</f>
        <v/>
      </c>
      <c r="P1196">
        <f>IF(B1214=0,0,O1196/B1214)</f>
        <v/>
      </c>
      <c r="Q1196">
        <f>IFERROR(1/(IF(Inputs!$B$38="pvp",15,MAX(0.1,Skills!D19-IF(TRUE=TRUE,Inputs!$B$32,0)))*(1-IF(AND(ArtifactsInput!$M$27,Inputs!$B$4="Chapter Hunt"),CHOOSE(ArtifactsInput!$N$27+1,20,24,28,32,36,40),0)/100)),0)</f>
        <v/>
      </c>
      <c r="R1196" t="n">
        <v>0</v>
      </c>
      <c r="S1196" t="n">
        <v>0</v>
      </c>
      <c r="U1196" t="n">
        <v>0</v>
      </c>
    </row>
    <row r="1197">
      <c r="A1197">
        <f>Skills!A20</f>
        <v/>
      </c>
      <c r="B1197">
        <f>Skills!B20</f>
        <v/>
      </c>
      <c r="C1197">
        <f>Inputs!$B$3&gt;=74</f>
        <v/>
      </c>
      <c r="D1197">
        <f>IF(Skills!C20=1,60+Inputs!$B$25+Inputs!$B$29,IF(Skills!C20=2,90+Inputs!$B$26+Inputs!$B$29,IF(Skills!C20=3,120+Inputs!$B$27+Inputs!$B$29,MAX(0,(Inputs!$B$3-100)*3)+Inputs!$B$28+Inputs!$B$29)))</f>
        <v/>
      </c>
      <c r="E1197">
        <f>INDEX(FactorTable!$B$2:$Y$301, MATCH(ROUND(MIN(300,MAX(1,D1197)),0), FactorTable!$A$2:$A$301,0), Skills!L20+1)</f>
        <v/>
      </c>
      <c r="F1197">
        <f>IF(Skills!M20=TRUE,(Skills!K20/10)*(E1197/1000),Skills!K20/10)+Skills!N20</f>
        <v/>
      </c>
      <c r="G1197">
        <f>Calc!G20</f>
        <v/>
      </c>
      <c r="H1197">
        <f>Calc!H20</f>
        <v/>
      </c>
      <c r="I1197">
        <f>IF(Skills!T20&lt;&gt;"",1+(Skills!T20/10)*(Z1180/1000)/100,1)</f>
        <v/>
      </c>
      <c r="J1197" t="inlineStr"/>
      <c r="K1197" t="inlineStr"/>
      <c r="L1197" t="inlineStr"/>
      <c r="M1197" t="inlineStr"/>
      <c r="N1197" t="inlineStr"/>
      <c r="O1197">
        <f>(1-Summary!$B$11)*S1197+Summary!$B$11*U1197</f>
        <v/>
      </c>
      <c r="P1197">
        <f>IF(B1214=0,0,O1197/B1214)</f>
        <v/>
      </c>
      <c r="Q1197">
        <f>IFERROR(1/(IF(Inputs!$B$38="pvp",15,MAX(0.1,Skills!D20-IF(TRUE=TRUE,Inputs!$B$32,0)))*(1-IF(AND(ArtifactsInput!$M$27,Inputs!$B$4="Chapter Hunt"),CHOOSE(ArtifactsInput!$N$27+1,20,24,28,32,36,40),0)/100)),0)</f>
        <v/>
      </c>
      <c r="R1197" t="n">
        <v>0</v>
      </c>
      <c r="S1197" t="n">
        <v>0</v>
      </c>
      <c r="U1197" t="n">
        <v>0</v>
      </c>
    </row>
    <row r="1198">
      <c r="A1198">
        <f>Skills!A21</f>
        <v/>
      </c>
      <c r="B1198">
        <f>Skills!B21</f>
        <v/>
      </c>
      <c r="C1198">
        <f>Inputs!$B$3&gt;=74</f>
        <v/>
      </c>
      <c r="D1198">
        <f>IF(Skills!C21=1,60+Inputs!$B$25+Inputs!$B$29,IF(Skills!C21=2,90+Inputs!$B$26+Inputs!$B$29,IF(Skills!C21=3,120+Inputs!$B$27+Inputs!$B$29,MAX(0,(Inputs!$B$3-100)*3)+Inputs!$B$28+Inputs!$B$29)))</f>
        <v/>
      </c>
      <c r="E1198">
        <f>INDEX(FactorTable!$B$2:$Y$301, MATCH(ROUND(MIN(300,MAX(1,D1198)),0), FactorTable!$A$2:$A$301,0), Skills!L21+1)</f>
        <v/>
      </c>
      <c r="F1198">
        <f>IF(Skills!M21=TRUE,(Skills!K21/10)*(E1198/1000),Skills!K21/10)+Skills!N21</f>
        <v/>
      </c>
      <c r="G1198">
        <f>Calc!G21</f>
        <v/>
      </c>
      <c r="H1198">
        <f>Calc!H21</f>
        <v/>
      </c>
      <c r="I1198">
        <f>IF(Skills!T21&lt;&gt;"",1+(Skills!T21/10)*(Z1180/1000)/100,1)</f>
        <v/>
      </c>
      <c r="J1198" t="inlineStr"/>
      <c r="K1198" t="inlineStr"/>
      <c r="L1198" t="inlineStr"/>
      <c r="M1198" t="inlineStr"/>
      <c r="N1198" t="inlineStr"/>
      <c r="O1198">
        <f>(1-Summary!$B$11)*S1198+Summary!$B$11*U1198</f>
        <v/>
      </c>
      <c r="P1198">
        <f>IF(B1214=0,0,O1198/B1214)</f>
        <v/>
      </c>
      <c r="Q1198">
        <f>IFERROR(1/(IF(Inputs!$B$38="pvp",15,MAX(0.1,Skills!D21-IF(TRUE=TRUE,Inputs!$B$32,0)))*(1-IF(AND(ArtifactsInput!$M$27,Inputs!$B$4="Chapter Hunt"),CHOOSE(ArtifactsInput!$N$27+1,20,24,28,32,36,40),0)/100)),0)</f>
        <v/>
      </c>
      <c r="R1198" t="n">
        <v>0</v>
      </c>
      <c r="S1198" t="n">
        <v>0</v>
      </c>
      <c r="U1198" t="n">
        <v>0</v>
      </c>
    </row>
    <row r="1199">
      <c r="A1199">
        <f>Skills!A22</f>
        <v/>
      </c>
      <c r="B1199">
        <f>Skills!B22</f>
        <v/>
      </c>
      <c r="C1199">
        <f>Inputs!$B$3&gt;=117</f>
        <v/>
      </c>
      <c r="D1199">
        <f>IF(Skills!C22=1,60+Inputs!$B$25+Inputs!$B$29,IF(Skills!C22=2,90+Inputs!$B$26+Inputs!$B$29,IF(Skills!C22=3,120+Inputs!$B$27+Inputs!$B$29,MAX(0,(Inputs!$B$3-100)*3)+Inputs!$B$28+Inputs!$B$29)))</f>
        <v/>
      </c>
      <c r="E1199">
        <f>INDEX(FactorTable!$B$2:$Y$301, MATCH(ROUND(MIN(300,MAX(1,D1199)),0), FactorTable!$A$2:$A$301,0), Skills!L22+1)</f>
        <v/>
      </c>
      <c r="F1199">
        <f>IF(Skills!M22=TRUE,(Skills!K22/10)*(E1199/1000),Skills!K22/10)+Skills!N22</f>
        <v/>
      </c>
      <c r="G1199">
        <f>Calc!G22</f>
        <v/>
      </c>
      <c r="H1199">
        <f>Calc!H22</f>
        <v/>
      </c>
      <c r="I1199">
        <f>IF(Skills!T22&lt;&gt;"",1+(Skills!T22/10)*(Z1180/1000)/100,1)</f>
        <v/>
      </c>
      <c r="J1199" t="inlineStr"/>
      <c r="K1199" t="inlineStr"/>
      <c r="L1199" t="inlineStr"/>
      <c r="M1199" t="inlineStr"/>
      <c r="N1199" t="inlineStr"/>
      <c r="O1199">
        <f>(1-Summary!$B$11)*S1199+Summary!$B$11*U1199</f>
        <v/>
      </c>
      <c r="P1199">
        <f>IF(B1214=0,0,O1199/B1214)</f>
        <v/>
      </c>
      <c r="Q1199">
        <f>IFERROR(1/(IF(Inputs!$B$38="pvp",15,MAX(0.1,Skills!D22-IF(TRUE=TRUE,Inputs!$B$32,0)))*(1-IF(AND(ArtifactsInput!$M$27,Inputs!$B$4="Chapter Hunt"),CHOOSE(ArtifactsInput!$N$27+1,20,24,28,32,36,40),0)/100)),0)</f>
        <v/>
      </c>
      <c r="R1199" t="n">
        <v>0</v>
      </c>
      <c r="S1199" t="n">
        <v>0</v>
      </c>
      <c r="U1199" t="n">
        <v>0</v>
      </c>
    </row>
    <row r="1200">
      <c r="A1200">
        <f>Skills!A23</f>
        <v/>
      </c>
      <c r="B1200">
        <f>Skills!B23</f>
        <v/>
      </c>
      <c r="C1200">
        <f>Inputs!$B$3&gt;=120</f>
        <v/>
      </c>
      <c r="D1200">
        <f>IF(Skills!C23=1,60+Inputs!$B$25+Inputs!$B$29,IF(Skills!C23=2,90+Inputs!$B$26+Inputs!$B$29,IF(Skills!C23=3,120+Inputs!$B$27+Inputs!$B$29,MAX(0,(Inputs!$B$3-100)*3)+Inputs!$B$28+Inputs!$B$29)))</f>
        <v/>
      </c>
      <c r="E1200">
        <f>INDEX(FactorTable!$B$2:$Y$301, MATCH(ROUND(MIN(300,MAX(1,D1200)),0), FactorTable!$A$2:$A$301,0), Skills!L23+1)</f>
        <v/>
      </c>
      <c r="F1200">
        <f>IF(Skills!M23=TRUE,(Skills!K23/10)*(E1200/1000),Skills!K23/10)+Skills!N23</f>
        <v/>
      </c>
      <c r="G1200">
        <f>Calc!G23</f>
        <v/>
      </c>
      <c r="H1200">
        <f>Calc!H23</f>
        <v/>
      </c>
      <c r="I1200">
        <f>IF(Skills!T23&lt;&gt;"",1+(Skills!T23/10)*(Z1180/1000)/100,1)</f>
        <v/>
      </c>
      <c r="J1200" t="inlineStr"/>
      <c r="K1200" t="inlineStr"/>
      <c r="L1200" t="inlineStr"/>
      <c r="M1200" t="inlineStr"/>
      <c r="N1200" t="inlineStr"/>
      <c r="O1200">
        <f>(1-Summary!$B$11)*S1200+Summary!$B$11*U1200</f>
        <v/>
      </c>
      <c r="P1200">
        <f>IF(B1214=0,0,O1200/B1214)</f>
        <v/>
      </c>
      <c r="Q1200">
        <f>IFERROR(1/(IF(Inputs!$B$38="pvp",15,MAX(0.1,Skills!D23-IF(TRUE=TRUE,Inputs!$B$32,0)))*(1-IF(AND(ArtifactsInput!$M$27,Inputs!$B$4="Chapter Hunt"),CHOOSE(ArtifactsInput!$N$27+1,20,24,28,32,36,40),0)/100)),0)</f>
        <v/>
      </c>
      <c r="R1200" t="n">
        <v>0</v>
      </c>
      <c r="S1200" t="n">
        <v>0</v>
      </c>
      <c r="U1200" t="n">
        <v>0</v>
      </c>
    </row>
    <row r="1201">
      <c r="A1201">
        <f>Skills!A24</f>
        <v/>
      </c>
      <c r="B1201">
        <f>Skills!B24</f>
        <v/>
      </c>
      <c r="C1201">
        <f>TRUE</f>
        <v/>
      </c>
      <c r="D1201">
        <f>IF(Skills!C24=1,60+Inputs!$B$25+Inputs!$B$29,IF(Skills!C24=2,90+Inputs!$B$26+Inputs!$B$29,IF(Skills!C24=3,120+Inputs!$B$27+Inputs!$B$29,MAX(0,(Inputs!$B$3-100)*3)+Inputs!$B$28+Inputs!$B$29)))</f>
        <v/>
      </c>
      <c r="E1201">
        <f>INDEX(FactorTable!$B$2:$Y$301, MATCH(ROUND(MIN(300,MAX(1,D1201)),0), FactorTable!$A$2:$A$301,0), Skills!L24+1)</f>
        <v/>
      </c>
      <c r="F1201">
        <f>IF(Skills!M24=TRUE,(Skills!K24/10)*(E1201/1000),Skills!K24/10)+Skills!N24</f>
        <v/>
      </c>
      <c r="G1201">
        <f>Calc!G24</f>
        <v/>
      </c>
      <c r="H1201">
        <f>Calc!H24</f>
        <v/>
      </c>
      <c r="I1201">
        <f>IF(Skills!T24&lt;&gt;"",1+(Skills!T24/10)*(Z1180/1000)/100,1)</f>
        <v/>
      </c>
      <c r="J1201" t="inlineStr"/>
      <c r="K1201" t="inlineStr"/>
      <c r="L1201" t="inlineStr"/>
      <c r="M1201" t="inlineStr"/>
      <c r="N1201" t="inlineStr"/>
      <c r="O1201">
        <f>(1-Summary!$B$11)*S1201+Summary!$B$11*U1201</f>
        <v/>
      </c>
      <c r="P1201">
        <f>IF(B1214=0,0,O1201/B1214)</f>
        <v/>
      </c>
      <c r="Q1201">
        <f>IFERROR(1/(IF(Inputs!$B$38="pvp",15,MAX(0.1,Skills!D24-IF(TRUE=TRUE,Inputs!$B$32,0)))*(1-IF(AND(ArtifactsInput!$M$27,Inputs!$B$4="Chapter Hunt"),CHOOSE(ArtifactsInput!$N$27+1,20,24,28,32,36,40),0)/100)),0)</f>
        <v/>
      </c>
      <c r="R1201">
        <f>IF(AND(Inputs!$B$38&lt;&gt;"pvp",Inputs!$B$43&gt;0),IF(Inputs!$B$43&lt;=0,0,(INT(Inputs!$B$43/(IF(Inputs!$B$38="pvp",15,MAX(0.1,Skills!D24-IF(TRUE=TRUE,Inputs!$B$32,0)))*(1-IF(AND(ArtifactsInput!$M$27,Inputs!$B$4="Chapter Hunt"),CHOOSE(ArtifactsInput!$N$27+1,20,24,28,32,36,40),0)/100)))+1)),0)</f>
        <v/>
      </c>
      <c r="S1201" t="n">
        <v>0</v>
      </c>
      <c r="U1201" t="n">
        <v>0</v>
      </c>
    </row>
    <row r="1204">
      <c r="A1204" t="inlineStr">
        <is>
          <t>Average Buff Multiplier (Magic Guard + Meditation + Artifact Attack%, summed; then Infinity)</t>
        </is>
      </c>
      <c r="B1204">
        <f>(1+(IF(C1180=TRUE,F1180*IF(AND(Inputs!$B$38&lt;&gt;"pvp",Inputs!$B$43&gt;0),(((R1180-1)*MIN((Skills!S3*(1+(Inputs!$B$34)/100)),(1/Q1180))+MIN((Skills!S3*(1+(Inputs!$B$34)/100)),MAX(0,Inputs!$B$43-((R1180-1)*(1/Q1180)))))/Inputs!$B$43),IF(Inputs!$B$38="pvp",MIN((Skills!S3*(1+(Inputs!$B$34)/100)),15)/15,MIN(1,(Skills!S3*(1+(Inputs!$B$34)/100))/(1/Q1180)))),0)+IF(C1181=TRUE,F1181*IF(AND(Inputs!$B$38&lt;&gt;"pvp",Inputs!$B$43&gt;0),(((R1181-1)*MIN((Skills!S4*(1+(Inputs!$B$34)/100)),(1/Q1181))+MIN((Skills!S4*(1+(Inputs!$B$34)/100)),MAX(0,Inputs!$B$43-((R1181-1)*(1/Q1181)))))/Inputs!$B$43),IF(Inputs!$B$38="pvp",MIN((Skills!S4*(1+(Inputs!$B$34)/100)),15)/15,MIN(1,(Skills!S4*(1+(Inputs!$B$34)/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1193=TRUE,(1+F1193*IF(AND(Inputs!$B$38&lt;&gt;"pvp",Inputs!$B$43&gt;0),(((R1193-1)*MIN((Skills!S16*(1+(Inputs!$B$34)/100)),(1/Q1193))+MIN((Skills!S16*(1+(Inputs!$B$34)/100)),MAX(0,Inputs!$B$43-((R1193-1)*(1/Q1193)))))/Inputs!$B$43),IF(Inputs!$B$38="pvp",MIN((Skills!S16*(1+(Inputs!$B$34)/100)),15)/15,MIN(1,(Skills!S16*(1+(Inputs!$B$34)/100))/(1/Q1193))))/100),1)</f>
        <v/>
      </c>
    </row>
    <row r="1205">
      <c r="A1205" t="inlineStr">
        <is>
          <t>Monster Damage Taken Bonus % (Freezing Breath - Weaken + Elemental Reset + Artifact Enemy Damage Taken, summed)</t>
        </is>
      </c>
      <c r="B1205">
        <f>IF(Inputs!$B$3&gt;=118,15*IF(Inputs!$B$38="pvp",MIN((30*(1+(Inputs!$B$34)/100)),15)/15,MIN(1,(30*(1+(Inputs!$B$34)/100))/(1/Q1185))),0)+IF(C1191=TRUE,F1191,0)+(IF(AND(ArtifactsInput!$M$35,Inputs!$B$4&lt;&gt;"Chapter Hunt"),CHOOSE(ArtifactsInput!$N$35+1,15,18,21,24,27,30)*(1-EXP(-(0.2*B1208)*5)),0)+IF(AND(ArtifactsInput!$M$22,Inputs!$B$4&lt;&gt;"Chapter Hunt"),CHOOSE(ArtifactsInput!$N$22+1,10,12,14,16,18,20)*((0*(((0.15*B1208*5))^0/1)+1*(((0.15*B1208*5))^1/1)+2*(((0.15*B1208*5))^2/2)+3*(((0.15*B1208*5))^3/6)+4*(((0.15*B1208*5))^4/24)+5*(((0.15*B1208*5))^5/120))/((((0.15*B1208*5))^0/1)+(((0.15*B1208*5))^1/1)+(((0.15*B1208*5))^2/2)+(((0.15*B1208*5))^3/6)+(((0.15*B1208*5))^4/24)+(((0.15*B1208*5))^5/120))),0))</f>
        <v/>
      </c>
    </row>
    <row r="1206">
      <c r="A1206" t="inlineStr">
        <is>
          <t>Damage % Bonus (Frozen Break + Frost Clutch, flat)</t>
        </is>
      </c>
      <c r="B1206">
        <f>IF(Inputs!$B$3&gt;=66,15,0)+IF(Inputs!$B$3&gt;=98,10,0)+IF(Inputs!$B$3&gt;=125,20,0)</f>
        <v/>
      </c>
    </row>
    <row r="1207">
      <c r="A1207" t="inlineStr">
        <is>
          <t>Attack Speed Bonus % (MP Eater - MP Boost, always-on + Nimble Feet, duty-cycle averaged)</t>
        </is>
      </c>
      <c r="B1207">
        <f>IF(C1190=TRUE,F1190+(F1194-Calc!F17),0)+((C1201=TRUE)*F1201*IF(AND(Inputs!$B$38&lt;&gt;"pvp",Inputs!$B$43&gt;0),(((R1201-1)*MIN((Skills!S24*(1+(Inputs!$B$34)/100)),(1/Q1201))+MIN((Skills!S24*(1+(Inputs!$B$34)/100)),MAX(0,Inputs!$B$43-((R1201-1)*(1/Q1201)))))/Inputs!$B$43),IF(Inputs!$B$38="pvp",MIN((Skills!S24*(1+(Inputs!$B$34)/100)),15)/15,MIN(1,(Skills!S24*(1+(Inputs!$B$34)/100))/(1/Q1201)))))</f>
        <v/>
      </c>
    </row>
    <row r="1208">
      <c r="A1208" t="inlineStr">
        <is>
          <t>Actions Per Second</t>
        </is>
      </c>
      <c r="B1208">
        <f>1+MIN(150,150*(1-(1-(Inputs!$B$11+(ArtifactsInput!$M$15-ArtifactsInput!$M$15)*CHOOSE(ArtifactsInput!$N$15+1,8,9.6,11.2,12.8,14.4,16))/150)*(1-B1207/150)))/100</f>
        <v/>
      </c>
    </row>
    <row r="1209">
      <c r="A1209" t="inlineStr">
        <is>
          <t>Skill + Buff Cast Rate</t>
        </is>
      </c>
      <c r="B1209">
        <f>IF(AND(Inputs!$B$38&lt;&gt;"pvp",Inputs!$B$43&gt;0),SUMPRODUCT((Skills!E2:E24=TRUE)*(C1179:C1201=TRUE)*R1179:R1201)/Inputs!$B$43,SUMPRODUCT((Skills!E2:E24=TRUE)*(C1179:C1201=TRUE)*Q1179:Q1201))</f>
        <v/>
      </c>
    </row>
    <row r="1210">
      <c r="A1210" t="inlineStr">
        <is>
          <t>Chain Lightning Casts Per Second</t>
        </is>
      </c>
      <c r="B1210">
        <f>MAX(0,B1208-B1209)</f>
        <v/>
      </c>
    </row>
    <row r="1211">
      <c r="A1211" t="inlineStr">
        <is>
          <t>Buff-Casting Startup Delay (s, fixed-duration only)</t>
        </is>
      </c>
      <c r="B1211">
        <f>IF(AND(Inputs!$B$38&lt;&gt;"pvp",Inputs!$B$43&gt;0),SUMPRODUCT((Skills!S2:S24&gt;0)*(Skills!E2:E24=TRUE)*(C1179:C1201=TRUE))/B1208,0)</f>
        <v/>
      </c>
    </row>
    <row r="1212">
      <c r="A1212" t="inlineStr">
        <is>
          <t>Boss-Only Total DPS (this block's swept value)</t>
        </is>
      </c>
      <c r="B1212">
        <f>SUM(S1179:S1201)</f>
        <v/>
      </c>
    </row>
    <row r="1213">
      <c r="A1213" t="inlineStr">
        <is>
          <t>Normal-Only Total DPS (this block's swept value)</t>
        </is>
      </c>
      <c r="B1213">
        <f>SUM(U1179:U1201)</f>
        <v/>
      </c>
    </row>
    <row r="1214">
      <c r="A1214" s="6" t="inlineStr">
        <is>
          <t>TOTAL DPS</t>
        </is>
      </c>
      <c r="B1214" s="6">
        <f>SUM(O1179:O1201)</f>
        <v/>
      </c>
    </row>
    <row r="1215">
      <c r="A1215" t="inlineStr">
        <is>
          <t>Blizzard Final Attack trigger rate (this block's own Q/R)</t>
        </is>
      </c>
      <c r="B1215">
        <f>IF(AND(Inputs!$B$38&lt;&gt;"pvp",Inputs!$B$43&gt;0),(((C1182=TRUE)*R1182*1)+((C1183=TRUE)*R1183*1)+((C1185=TRUE)*R1185*1)+((C1186=TRUE)*R1186*3)+((C1188=TRUE)*R1188*1))/Inputs!$B$43,((C1182=TRUE)*Q1182*1)+((C1183=TRUE)*Q1183*1)+((C1185=TRUE)*Q1185*1)+((C1186=TRUE)*Q1186*3)+((C1188=TRUE)*Q1188*1))+B1210</f>
        <v/>
      </c>
    </row>
    <row r="1218">
      <c r="A1218" s="6" t="inlineStr">
        <is>
          <t>Stat: The Contract of Darkness (Equip)</t>
        </is>
      </c>
    </row>
    <row r="1219">
      <c r="A1219" s="5" t="inlineStr">
        <is>
          <t>Key</t>
        </is>
      </c>
      <c r="B1219" s="5" t="inlineStr">
        <is>
          <t>Name</t>
        </is>
      </c>
      <c r="C1219" s="5" t="inlineStr">
        <is>
          <t>Unlocked</t>
        </is>
      </c>
      <c r="D1219" s="5" t="inlineStr">
        <is>
          <t>InputLevel</t>
        </is>
      </c>
      <c r="E1219" s="5" t="inlineStr">
        <is>
          <t>Factor</t>
        </is>
      </c>
      <c r="F1219" s="5" t="inlineStr">
        <is>
          <t>CoefficientPercent</t>
        </is>
      </c>
      <c r="G1219" s="5" t="inlineStr">
        <is>
          <t>EffectiveHits</t>
        </is>
      </c>
      <c r="H1219" s="5" t="inlineStr">
        <is>
          <t>ProcProbability</t>
        </is>
      </c>
      <c r="I1219" s="5" t="inlineStr">
        <is>
          <t>MapleHeroMultiplier</t>
        </is>
      </c>
      <c r="J1219" s="5" t="inlineStr">
        <is>
          <t>BaseDamage</t>
        </is>
      </c>
      <c r="K1219" s="5" t="inlineStr">
        <is>
          <t>BaseHitDamage</t>
        </is>
      </c>
      <c r="L1219" s="5" t="inlineStr">
        <is>
          <t>NonCritAvg</t>
        </is>
      </c>
      <c r="M1219" s="5" t="inlineStr">
        <is>
          <t>CritAvg</t>
        </is>
      </c>
      <c r="N1219" s="5" t="inlineStr">
        <is>
          <t>ExpectedDamage(perHit)</t>
        </is>
      </c>
      <c r="O1219" s="5" t="inlineStr">
        <is>
          <t>DPS</t>
        </is>
      </c>
      <c r="P1219" s="5" t="inlineStr">
        <is>
          <t>% of Total</t>
        </is>
      </c>
      <c r="R1219" t="inlineStr">
        <is>
          <t>helpers</t>
        </is>
      </c>
    </row>
    <row r="1220">
      <c r="A1220">
        <f>Skills!A2</f>
        <v/>
      </c>
      <c r="B1220">
        <f>Skills!B2</f>
        <v/>
      </c>
      <c r="C1220">
        <f>Inputs!$B$3&gt;=100</f>
        <v/>
      </c>
      <c r="D1220" t="inlineStr"/>
      <c r="E1220" t="inlineStr"/>
      <c r="F1220">
        <f>T1222+Skills!N2</f>
        <v/>
      </c>
      <c r="G1220">
        <f>Calc!G2</f>
        <v/>
      </c>
      <c r="H1220">
        <f>Calc!H2</f>
        <v/>
      </c>
      <c r="I1220">
        <f>IF(Skills!T2&lt;&gt;"",1+(Skills!T2/10)*(Z1221/1000)/100,1)</f>
        <v/>
      </c>
      <c r="J1220">
        <f>((Inputs!$B$6*(1+Inputs!$B$7/100))+(((Inputs!$B$12*(1+Inputs!$B$13/100))-(Inputs!$B$12*(1+Inputs!$B$13/100)))+0.25*(Inputs!$B$14-Inputs!$B$14))*(1+Inputs!$B$7/100))*(F1220/100)</f>
        <v/>
      </c>
      <c r="K1220">
        <f>J1220*(1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2="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1220)</f>
        <v/>
      </c>
      <c r="L1220">
        <f>K1220*(MIN(Inputs!$B$22+(F1236-Calc!F18),(Inputs!$B$23+(IF(ArtifactsInput!$M$15,CHOOSE(ArtifactsInput!$N$15+1,25,30,35,40,45,50)/100*(Inputs!$B$11-Inputs!$B$11),0))))/100+(Inputs!$B$23+(IF(ArtifactsInput!$M$15,CHOOSE(ArtifactsInput!$N$15+1,25,30,35,40,45,50)/100*(Inputs!$B$11-Inputs!$B$11),0)))/100)/2</f>
        <v/>
      </c>
      <c r="M1220">
        <f>L1220*(1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0">
        <f>L1220*(1-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1220*(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0">
        <f>(1-Summary!$B$11)*S1220+Summary!$B$11*U1220</f>
        <v/>
      </c>
      <c r="P1220">
        <f>IF(B1255=0,0,O1220/B1255)</f>
        <v/>
      </c>
      <c r="Q1220">
        <f>IFERROR(1/(IF(Inputs!$B$38="pvp",15,MAX(0.1,Skills!D2-IF(TRUE=TRUE,Inputs!$B$32,0)))*(1-IF(AND(ArtifactsInput!$M$27,Inputs!$B$4="Chapter Hunt"),CHOOSE(ArtifactsInput!$N$27+1,20,24,28,32,36,40),0)/100)),0)</f>
        <v/>
      </c>
      <c r="R1220" t="n">
        <v>0</v>
      </c>
      <c r="S1220">
        <f>IF(C1220,(Skills!F2*N1220*B1251)*IF(Inputs!$B$38="pvp",1,1+(Inputs!$B$20+Skills!O2+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1220*(1-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1220*(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1220*(1-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1220*(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20">
        <f>MAX(0,(Inputs!$B$3-100)*3)+Inputs!$B$28+Inputs!$B$29</f>
        <v/>
      </c>
      <c r="U1220">
        <f>IF(C1220,(Skills!F2*N1220*B1251)*IF(Inputs!$B$38="pvp",1,(1+(Inputs!$B$21+Skills!P2+B1246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220">
        <f>MAX(0,(Inputs!$B$3-100)*3)+Inputs!$B$28+Inputs!$B$29</f>
        <v/>
      </c>
    </row>
    <row r="1221">
      <c r="A1221">
        <f>Skills!A3</f>
        <v/>
      </c>
      <c r="B1221">
        <f>Skills!B3</f>
        <v/>
      </c>
      <c r="C1221">
        <f>Inputs!$B$3&gt;=15</f>
        <v/>
      </c>
      <c r="D1221">
        <f>IF(Skills!C3=1,60+Inputs!$B$25+Inputs!$B$29,IF(Skills!C3=2,90+Inputs!$B$26+Inputs!$B$29,IF(Skills!C3=3,120+Inputs!$B$27+Inputs!$B$29,MAX(0,(Inputs!$B$3-100)*3)+Inputs!$B$28+Inputs!$B$29)))</f>
        <v/>
      </c>
      <c r="E1221">
        <f>INDEX(FactorTable!$B$2:$Y$301, MATCH(ROUND(MIN(300,MAX(1,D1221)),0), FactorTable!$A$2:$A$301,0), Skills!L3+1)</f>
        <v/>
      </c>
      <c r="F1221">
        <f>IF(Skills!M3=TRUE,(Skills!K3/10)*(E1221/1000),Skills!K3/10)+Skills!N3</f>
        <v/>
      </c>
      <c r="G1221">
        <f>Calc!G3</f>
        <v/>
      </c>
      <c r="H1221">
        <f>Calc!H3</f>
        <v/>
      </c>
      <c r="I1221">
        <f>IF(Skills!T3&lt;&gt;"",1+(Skills!T3/10)*(Z1221/1000)/100,1)</f>
        <v/>
      </c>
      <c r="J1221" t="inlineStr"/>
      <c r="K1221" t="inlineStr"/>
      <c r="L1221" t="inlineStr"/>
      <c r="M1221" t="inlineStr"/>
      <c r="N1221" t="inlineStr"/>
      <c r="O1221">
        <f>(1-Summary!$B$11)*S1221+Summary!$B$11*U1221</f>
        <v/>
      </c>
      <c r="P1221">
        <f>IF(B1255=0,0,O1221/B1255)</f>
        <v/>
      </c>
      <c r="Q1221">
        <f>IFERROR(1/(IF(Inputs!$B$38="pvp",15,MAX(0.1,Skills!D3-IF(TRUE=TRUE,Inputs!$B$32,0)))*(1-IF(AND(ArtifactsInput!$M$27,Inputs!$B$4="Chapter Hunt"),CHOOSE(ArtifactsInput!$N$27+1,20,24,28,32,36,40),0)/100)),0)</f>
        <v/>
      </c>
      <c r="R1221">
        <f>IF(AND(Inputs!$B$38&lt;&gt;"pvp",Inputs!$B$43&gt;0),IF(Inputs!$B$43&lt;=0,0,(INT(Inputs!$B$43/(IF(Inputs!$B$38="pvp",15,MAX(0.1,Skills!D3-IF(TRUE=TRUE,Inputs!$B$32,0)))*(1-IF(AND(ArtifactsInput!$M$27,Inputs!$B$4="Chapter Hunt"),CHOOSE(ArtifactsInput!$N$27+1,20,24,28,32,36,40),0)/100)))+1)),0)</f>
        <v/>
      </c>
      <c r="S1221" t="n">
        <v>0</v>
      </c>
      <c r="T1221">
        <f>INDEX(FactorTable!$B$2:$Y$301, MATCH(ROUND(MIN(300,MAX(1,T1220)),0), FactorTable!$A$2:$A$301,0), 22)</f>
        <v/>
      </c>
      <c r="U1221" t="n">
        <v>0</v>
      </c>
      <c r="Z1221">
        <f>INDEX(FactorTable!$B$2:$Y$301, MATCH(ROUND(MIN(300,MAX(1,Z1220)),0), FactorTable!$A$2:$A$301,0), 24)</f>
        <v/>
      </c>
    </row>
    <row r="1222">
      <c r="A1222">
        <f>Skills!A4</f>
        <v/>
      </c>
      <c r="B1222">
        <f>Skills!B4</f>
        <v/>
      </c>
      <c r="C1222">
        <f>Inputs!$B$3&gt;=40</f>
        <v/>
      </c>
      <c r="D1222">
        <f>IF(Skills!C4=1,60+Inputs!$B$25+Inputs!$B$29,IF(Skills!C4=2,90+Inputs!$B$26+Inputs!$B$29,IF(Skills!C4=3,120+Inputs!$B$27+Inputs!$B$29,MAX(0,(Inputs!$B$3-100)*3)+Inputs!$B$28+Inputs!$B$29)))</f>
        <v/>
      </c>
      <c r="E1222">
        <f>INDEX(FactorTable!$B$2:$Y$301, MATCH(ROUND(MIN(300,MAX(1,D1222)),0), FactorTable!$A$2:$A$301,0), Skills!L4+1)</f>
        <v/>
      </c>
      <c r="F1222">
        <f>IF(Skills!M4=TRUE,(Skills!K4/10)*(E1222/1000),Skills!K4/10)+Skills!N4</f>
        <v/>
      </c>
      <c r="G1222">
        <f>Calc!G4</f>
        <v/>
      </c>
      <c r="H1222">
        <f>Calc!H4</f>
        <v/>
      </c>
      <c r="I1222">
        <f>IF(Skills!T4&lt;&gt;"",1+(Skills!T4/10)*(Z1221/1000)/100,1)</f>
        <v/>
      </c>
      <c r="J1222" t="inlineStr"/>
      <c r="K1222" t="inlineStr"/>
      <c r="L1222" t="inlineStr"/>
      <c r="M1222" t="inlineStr"/>
      <c r="N1222" t="inlineStr"/>
      <c r="O1222">
        <f>(1-Summary!$B$11)*S1222+Summary!$B$11*U1222</f>
        <v/>
      </c>
      <c r="P1222">
        <f>IF(B1255=0,0,O1222/B1255)</f>
        <v/>
      </c>
      <c r="Q1222">
        <f>IFERROR(1/(IF(Inputs!$B$38="pvp",15,MAX(0.1,Skills!D4-IF(TRUE=TRUE,Inputs!$B$32,0)))*(1-IF(AND(ArtifactsInput!$M$27,Inputs!$B$4="Chapter Hunt"),CHOOSE(ArtifactsInput!$N$27+1,20,24,28,32,36,40),0)/100)),0)</f>
        <v/>
      </c>
      <c r="R1222">
        <f>IF(AND(Inputs!$B$38&lt;&gt;"pvp",Inputs!$B$43&gt;0),IF(Inputs!$B$43&lt;=0,0,(INT(Inputs!$B$43/(IF(Inputs!$B$38="pvp",15,MAX(0.1,Skills!D4-IF(TRUE=TRUE,Inputs!$B$32,0)))*(1-IF(AND(ArtifactsInput!$M$27,Inputs!$B$4="Chapter Hunt"),CHOOSE(ArtifactsInput!$N$27+1,20,24,28,32,36,40),0)/100)))+1)),0)</f>
        <v/>
      </c>
      <c r="S1222" t="n">
        <v>0</v>
      </c>
      <c r="T1222">
        <f>290*T1221/1000</f>
        <v/>
      </c>
      <c r="U1222" t="n">
        <v>0</v>
      </c>
    </row>
    <row r="1223">
      <c r="A1223">
        <f>Skills!A5</f>
        <v/>
      </c>
      <c r="B1223">
        <f>Skills!B5</f>
        <v/>
      </c>
      <c r="C1223">
        <f>Inputs!$B$3&gt;=38</f>
        <v/>
      </c>
      <c r="D1223">
        <f>IF(Skills!C5=1,60+Inputs!$B$25+Inputs!$B$29,IF(Skills!C5=2,90+Inputs!$B$26+Inputs!$B$29,IF(Skills!C5=3,120+Inputs!$B$27+Inputs!$B$29,MAX(0,(Inputs!$B$3-100)*3)+Inputs!$B$28+Inputs!$B$29)))</f>
        <v/>
      </c>
      <c r="E1223">
        <f>INDEX(FactorTable!$B$2:$Y$301, MATCH(ROUND(MIN(300,MAX(1,D1223)),0), FactorTable!$A$2:$A$301,0), Skills!L5+1)</f>
        <v/>
      </c>
      <c r="F1223">
        <f>IF(Skills!M5=TRUE,(Skills!K5/10)*(E1223/1000),Skills!K5/10)+Skills!N5</f>
        <v/>
      </c>
      <c r="G1223">
        <f>Calc!G5</f>
        <v/>
      </c>
      <c r="H1223">
        <f>Calc!H5</f>
        <v/>
      </c>
      <c r="I1223">
        <f>IF(Skills!T5&lt;&gt;"",1+(Skills!T5/10)*(Z1221/1000)/100,1)</f>
        <v/>
      </c>
      <c r="J1223">
        <f>((Inputs!$B$6*(1+Inputs!$B$7/100))+(((Inputs!$B$12*(1+Inputs!$B$13/100))-(Inputs!$B$12*(1+Inputs!$B$13/100)))+0.25*(Inputs!$B$14-Inputs!$B$14))*(1+Inputs!$B$7/100))*(F1223/100)</f>
        <v/>
      </c>
      <c r="K1223">
        <f>J1223*(1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5="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1223)</f>
        <v/>
      </c>
      <c r="L1223">
        <f>K1223*(MIN(Inputs!$B$22+(F1236-Calc!F18),(Inputs!$B$23+(IF(ArtifactsInput!$M$15,CHOOSE(ArtifactsInput!$N$15+1,25,30,35,40,45,50)/100*(Inputs!$B$11-Inputs!$B$11),0))))/100+(Inputs!$B$23+(IF(ArtifactsInput!$M$15,CHOOSE(ArtifactsInput!$N$15+1,25,30,35,40,45,50)/100*(Inputs!$B$11-Inputs!$B$11),0)))/100)/2</f>
        <v/>
      </c>
      <c r="M1223">
        <f>L1223*(1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3">
        <f>L1223*(1-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1223*(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3">
        <f>(1-Summary!$B$11)*S1223+Summary!$B$11*U1223</f>
        <v/>
      </c>
      <c r="P1223">
        <f>IF(B1255=0,0,O1223/B1255)</f>
        <v/>
      </c>
      <c r="Q1223">
        <f>IFERROR(1/(IF(Inputs!$B$38="pvp",15,MAX(0.1,Skills!D5-IF(TRUE=TRUE,Inputs!$B$32,0)))*(1-IF(AND(ArtifactsInput!$M$27,Inputs!$B$4="Chapter Hunt"),CHOOSE(ArtifactsInput!$N$27+1,20,24,28,32,36,40),0)/100)),0)</f>
        <v/>
      </c>
      <c r="R1223">
        <f>IF(AND(Inputs!$B$38&lt;&gt;"pvp",Inputs!$B$43&gt;0),IF(MAX(0,Inputs!$B$43-B1252)&lt;=0,0,(INT(MAX(0,Inputs!$B$43-B1252)/(IF(Inputs!$B$38="pvp",15,MAX(0.1,Skills!D5-IF(TRUE=TRUE,Inputs!$B$32,0)))*(1-IF(AND(ArtifactsInput!$M$27,Inputs!$B$4="Chapter Hunt"),CHOOSE(ArtifactsInput!$N$27+1,20,24,28,32,36,40),0)/100)))+1)),0)</f>
        <v/>
      </c>
      <c r="S1223">
        <f>IF(C1223,(H1223*N1223*IF(AND(Inputs!$B$38&lt;&gt;"pvp",Inputs!$B$43&gt;0),((Skills!F5*((R1223-1)*IF(Skills!G5&gt;0,Skills!H5/Skills!G5,1)+IF(Skills!G5&gt;0,MIN(Skills!H5,MAX(0,MAX(0,Inputs!$B$43-B1252)-((R1223-1)*(IF(Inputs!$B$38="pvp",15,MAX(0.1,Skills!D5-IF(TRUE=TRUE,Inputs!$B$32,0)))*(1-IF(AND(ArtifactsInput!$M$27,Inputs!$B$4="Chapter Hunt"),CHOOSE(ArtifactsInput!$N$27+1,20,24,28,32,36,40),0)/100)))))/Skills!G5,1)))/Inputs!$B$43),G1223*Q1223))*IF(Inputs!$B$38="pvp",1,1+(Inputs!$B$20+Skills!O5+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1223*(1-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1223*(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1223*(1-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1223*(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3">
        <f>IF(C1223,(H1223*N1223*IF(AND(Inputs!$B$38&lt;&gt;"pvp",Inputs!$B$43&gt;0),((Skills!F5*((R1223-1)*IF(Skills!G5&gt;0,Skills!H5/Skills!G5,1)+IF(Skills!G5&gt;0,MIN(Skills!H5,MAX(0,MAX(0,Inputs!$B$43-B1252)-((R1223-1)*(IF(Inputs!$B$38="pvp",15,MAX(0.1,Skills!D5-IF(TRUE=TRUE,Inputs!$B$32,0)))*(1-IF(AND(ArtifactsInput!$M$27,Inputs!$B$4="Chapter Hunt"),CHOOSE(ArtifactsInput!$N$27+1,20,24,28,32,36,40),0)/100)))))/Skills!G5,1)))/Inputs!$B$43),G1223*Q1223))*IF(Inputs!$B$38="pvp",1,(1+(Inputs!$B$21+Skills!P5+B1246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4">
      <c r="A1224">
        <f>Skills!A6</f>
        <v/>
      </c>
      <c r="B1224">
        <f>Skills!B6</f>
        <v/>
      </c>
      <c r="C1224">
        <f>Inputs!$B$3&gt;=63</f>
        <v/>
      </c>
      <c r="D1224">
        <f>IF(Skills!C6=1,60+Inputs!$B$25+Inputs!$B$29,IF(Skills!C6=2,90+Inputs!$B$26+Inputs!$B$29,IF(Skills!C6=3,120+Inputs!$B$27+Inputs!$B$29,MAX(0,(Inputs!$B$3-100)*3)+Inputs!$B$28+Inputs!$B$29)))</f>
        <v/>
      </c>
      <c r="E1224">
        <f>INDEX(FactorTable!$B$2:$Y$301, MATCH(ROUND(MIN(300,MAX(1,D1224)),0), FactorTable!$A$2:$A$301,0), Skills!L6+1)</f>
        <v/>
      </c>
      <c r="F1224">
        <f>IF(Skills!M6=TRUE,(Skills!K6/10)*(E1224/1000),Skills!K6/10)+Skills!N6</f>
        <v/>
      </c>
      <c r="G1224">
        <f>Calc!G6</f>
        <v/>
      </c>
      <c r="H1224">
        <f>Calc!H6</f>
        <v/>
      </c>
      <c r="I1224">
        <f>IF(Skills!T6&lt;&gt;"",1+(Skills!T6/10)*(Z1221/1000)/100,1)</f>
        <v/>
      </c>
      <c r="J1224">
        <f>((Inputs!$B$6*(1+Inputs!$B$7/100))+(((Inputs!$B$12*(1+Inputs!$B$13/100))-(Inputs!$B$12*(1+Inputs!$B$13/100)))+0.25*(Inputs!$B$14-Inputs!$B$14))*(1+Inputs!$B$7/100))*(F1224/100)</f>
        <v/>
      </c>
      <c r="K1224">
        <f>J1224*(1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6="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1224)</f>
        <v/>
      </c>
      <c r="L1224">
        <f>K1224*(MIN(Inputs!$B$22+(F1236-Calc!F18),(Inputs!$B$23+(IF(ArtifactsInput!$M$15,CHOOSE(ArtifactsInput!$N$15+1,25,30,35,40,45,50)/100*(Inputs!$B$11-Inputs!$B$11),0))))/100+(Inputs!$B$23+(IF(ArtifactsInput!$M$15,CHOOSE(ArtifactsInput!$N$15+1,25,30,35,40,45,50)/100*(Inputs!$B$11-Inputs!$B$11),0)))/100)/2</f>
        <v/>
      </c>
      <c r="M1224">
        <f>L1224*(1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4">
        <f>L1224*(1-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1224*(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4">
        <f>(1-Summary!$B$11)*S1224+Summary!$B$11*U1224</f>
        <v/>
      </c>
      <c r="P1224">
        <f>IF(B1255=0,0,O1224/B1255)</f>
        <v/>
      </c>
      <c r="Q1224">
        <f>IFERROR(1/(IF(Inputs!$B$38="pvp",15,MAX(0.1,Skills!D6-IF(TRUE=TRUE,Inputs!$B$32,0)))*(1-IF(AND(ArtifactsInput!$M$27,Inputs!$B$4="Chapter Hunt"),CHOOSE(ArtifactsInput!$N$27+1,20,24,28,32,36,40),0)/100)),0)</f>
        <v/>
      </c>
      <c r="R1224">
        <f>IF(AND(Inputs!$B$38&lt;&gt;"pvp",Inputs!$B$43&gt;0),IF(MAX(0,Inputs!$B$43-B1252)&lt;=0,0,(INT(MAX(0,Inputs!$B$43-B1252)/(IF(Inputs!$B$38="pvp",15,MAX(0.1,Skills!D6-IF(TRUE=TRUE,Inputs!$B$32,0)))*(1-IF(AND(ArtifactsInput!$M$27,Inputs!$B$4="Chapter Hunt"),CHOOSE(ArtifactsInput!$N$27+1,20,24,28,32,36,40),0)/100)))+1)),0)</f>
        <v/>
      </c>
      <c r="S1224">
        <f>IF(C1224,(H1224*N1224*IF(AND(Inputs!$B$38&lt;&gt;"pvp",Inputs!$B$43&gt;0),((Skills!F6*((R1224-1)*IF(Skills!G6&gt;0,Skills!H6/Skills!G6,1)+IF(Skills!G6&gt;0,MIN(Skills!H6,MAX(0,MAX(0,Inputs!$B$43-B1252)-((R1224-1)*(IF(Inputs!$B$38="pvp",15,MAX(0.1,Skills!D6-IF(TRUE=TRUE,Inputs!$B$32,0)))*(1-IF(AND(ArtifactsInput!$M$27,Inputs!$B$4="Chapter Hunt"),CHOOSE(ArtifactsInput!$N$27+1,20,24,28,32,36,40),0)/100)))))/Skills!G6,1)))/Inputs!$B$43),G1224*Q1224))*IF(Inputs!$B$38="pvp",1,1+(Inputs!$B$20+Skills!O6+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1224*(1-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1224*(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1224*(1-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1224*(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4">
        <f>IF(C1224,(H1224*N1224*IF(AND(Inputs!$B$38&lt;&gt;"pvp",Inputs!$B$43&gt;0),((Skills!F6*((R1224-1)*IF(Skills!G6&gt;0,Skills!H6/Skills!G6,1)+IF(Skills!G6&gt;0,MIN(Skills!H6,MAX(0,MAX(0,Inputs!$B$43-B1252)-((R1224-1)*(IF(Inputs!$B$38="pvp",15,MAX(0.1,Skills!D6-IF(TRUE=TRUE,Inputs!$B$32,0)))*(1-IF(AND(ArtifactsInput!$M$27,Inputs!$B$4="Chapter Hunt"),CHOOSE(ArtifactsInput!$N$27+1,20,24,28,32,36,40),0)/100)))))/Skills!G6,1)))/Inputs!$B$43),G1224*Q1224))*IF(Inputs!$B$38="pvp",1,(1+(Inputs!$B$21+Skills!P6+B1246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5">
      <c r="A1225">
        <f>Skills!A7</f>
        <v/>
      </c>
      <c r="B1225">
        <f>Skills!B7</f>
        <v/>
      </c>
      <c r="C1225">
        <f>Inputs!$B$3&gt;=69</f>
        <v/>
      </c>
      <c r="D1225">
        <f>IF(Skills!C7=1,60+Inputs!$B$25+Inputs!$B$29,IF(Skills!C7=2,90+Inputs!$B$26+Inputs!$B$29,IF(Skills!C7=3,120+Inputs!$B$27+Inputs!$B$29,MAX(0,(Inputs!$B$3-100)*3)+Inputs!$B$28+Inputs!$B$29)))</f>
        <v/>
      </c>
      <c r="E1225">
        <f>INDEX(FactorTable!$B$2:$Y$301, MATCH(ROUND(MIN(300,MAX(1,D1225)),0), FactorTable!$A$2:$A$301,0), Skills!L7+1)</f>
        <v/>
      </c>
      <c r="F1225">
        <f>IF(Skills!M7=TRUE,(Skills!K7/10)*(E1225/1000),Skills!K7/10)+Skills!N7</f>
        <v/>
      </c>
      <c r="G1225">
        <f>Calc!G7</f>
        <v/>
      </c>
      <c r="H1225">
        <f>Calc!H7</f>
        <v/>
      </c>
      <c r="I1225">
        <f>IF(Skills!T7&lt;&gt;"",1+(Skills!T7/10)*(Z1221/1000)/100,1)</f>
        <v/>
      </c>
      <c r="J1225">
        <f>((Inputs!$B$6*(1+Inputs!$B$7/100))+(((Inputs!$B$12*(1+Inputs!$B$13/100))-(Inputs!$B$12*(1+Inputs!$B$13/100)))+0.25*(Inputs!$B$14-Inputs!$B$14))*(1+Inputs!$B$7/100))*(F1225/100)</f>
        <v/>
      </c>
      <c r="K1225">
        <f>J1225*(1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7="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1225)</f>
        <v/>
      </c>
      <c r="L1225">
        <f>K1225*(MIN(Inputs!$B$22+(F1236-Calc!F18),(Inputs!$B$23+(IF(ArtifactsInput!$M$15,CHOOSE(ArtifactsInput!$N$15+1,25,30,35,40,45,50)/100*(Inputs!$B$11-Inputs!$B$11),0))))/100+(Inputs!$B$23+(IF(ArtifactsInput!$M$15,CHOOSE(ArtifactsInput!$N$15+1,25,30,35,40,45,50)/100*(Inputs!$B$11-Inputs!$B$11),0)))/100)/2</f>
        <v/>
      </c>
      <c r="M1225">
        <f>L1225*(1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5">
        <f>L1225*(1-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1225*(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5">
        <f>(1-Summary!$B$11)*S1225+Summary!$B$11*U1225</f>
        <v/>
      </c>
      <c r="P1225">
        <f>IF(B1255=0,0,O1225/B1255)</f>
        <v/>
      </c>
      <c r="Q1225">
        <f>IFERROR(1/(IF(Inputs!$B$38="pvp",15,MAX(0.1,Skills!D7-IF(TRUE=TRUE,Inputs!$B$32,0)))*(1-IF(AND(ArtifactsInput!$M$27,Inputs!$B$4="Chapter Hunt"),CHOOSE(ArtifactsInput!$N$27+1,20,24,28,32,36,40),0)/100)),0)</f>
        <v/>
      </c>
      <c r="R1225">
        <f>IF(AND(Inputs!$B$38&lt;&gt;"pvp",Inputs!$B$43&gt;0),IF(MAX(0,Inputs!$B$43-B1252)&lt;=0,0,(INT(MAX(0,Inputs!$B$43-B1252)/(IF(Inputs!$B$38="pvp",15,MAX(0.1,Skills!D7-IF(TRUE=TRUE,Inputs!$B$32,0)))*(1-IF(AND(ArtifactsInput!$M$27,Inputs!$B$4="Chapter Hunt"),CHOOSE(ArtifactsInput!$N$27+1,20,24,28,32,36,40),0)/100)))+1)),0)</f>
        <v/>
      </c>
      <c r="S1225">
        <f>IF(C1225,(H1225*N1225*IF(AND(Inputs!$B$38&lt;&gt;"pvp",Inputs!$B$43&gt;0),((Skills!F7*((R1225-1)*IF(Skills!G7&gt;0,Skills!H7/Skills!G7,1)+IF(Skills!G7&gt;0,MIN(Skills!H7,MAX(0,MAX(0,Inputs!$B$43-B1252)-((R1225-1)*(IF(Inputs!$B$38="pvp",15,MAX(0.1,Skills!D7-IF(TRUE=TRUE,Inputs!$B$32,0)))*(1-IF(AND(ArtifactsInput!$M$27,Inputs!$B$4="Chapter Hunt"),CHOOSE(ArtifactsInput!$N$27+1,20,24,28,32,36,40),0)/100)))))/Skills!G7,1)))/Inputs!$B$43),G1225*Q1225))*IF(Inputs!$B$38="pvp",1,1+(Inputs!$B$20+Skills!O7+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1225*(1-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1225*(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1225*(1-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1225*(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5">
        <f>IF(C1225,(H1225*N1225*IF(AND(Inputs!$B$38&lt;&gt;"pvp",Inputs!$B$43&gt;0),((Skills!F7*((R1225-1)*IF(Skills!G7&gt;0,Skills!H7/Skills!G7,1)+IF(Skills!G7&gt;0,MIN(Skills!H7,MAX(0,MAX(0,Inputs!$B$43-B1252)-((R1225-1)*(IF(Inputs!$B$38="pvp",15,MAX(0.1,Skills!D7-IF(TRUE=TRUE,Inputs!$B$32,0)))*(1-IF(AND(ArtifactsInput!$M$27,Inputs!$B$4="Chapter Hunt"),CHOOSE(ArtifactsInput!$N$27+1,20,24,28,32,36,40),0)/100)))))/Skills!G7,1)))/Inputs!$B$43),G1225*Q1225))*IF(Inputs!$B$38="pvp",1,(1+(Inputs!$B$21+Skills!P7+B1246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6">
      <c r="A1226">
        <f>Skills!A8</f>
        <v/>
      </c>
      <c r="B1226">
        <f>Skills!B8</f>
        <v/>
      </c>
      <c r="C1226">
        <f>Inputs!$B$3&gt;=103</f>
        <v/>
      </c>
      <c r="D1226">
        <f>IF(Skills!C8=1,60+Inputs!$B$25+Inputs!$B$29,IF(Skills!C8=2,90+Inputs!$B$26+Inputs!$B$29,IF(Skills!C8=3,120+Inputs!$B$27+Inputs!$B$29,MAX(0,(Inputs!$B$3-100)*3)+Inputs!$B$28+Inputs!$B$29)))</f>
        <v/>
      </c>
      <c r="E1226">
        <f>INDEX(FactorTable!$B$2:$Y$301, MATCH(ROUND(MIN(300,MAX(1,D1226)),0), FactorTable!$A$2:$A$301,0), Skills!L8+1)</f>
        <v/>
      </c>
      <c r="F1226">
        <f>IF(Skills!M8=TRUE,(Skills!K8/10)*(E1226/1000),Skills!K8/10)+Skills!N8</f>
        <v/>
      </c>
      <c r="G1226">
        <f>Calc!G8</f>
        <v/>
      </c>
      <c r="H1226">
        <f>Calc!H8</f>
        <v/>
      </c>
      <c r="I1226">
        <f>IF(Skills!T8&lt;&gt;"",1+(Skills!T8/10)*(Z1221/1000)/100,1)</f>
        <v/>
      </c>
      <c r="J1226">
        <f>((Inputs!$B$6*(1+Inputs!$B$7/100))+(((Inputs!$B$12*(1+Inputs!$B$13/100))-(Inputs!$B$12*(1+Inputs!$B$13/100)))+0.25*(Inputs!$B$14-Inputs!$B$14))*(1+Inputs!$B$7/100))*(F1226/100)</f>
        <v/>
      </c>
      <c r="K1226">
        <f>J1226*(1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8="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1226)</f>
        <v/>
      </c>
      <c r="L1226">
        <f>K1226*(MIN(Inputs!$B$22+(F1236-Calc!F18),(Inputs!$B$23+(IF(ArtifactsInput!$M$15,CHOOSE(ArtifactsInput!$N$15+1,25,30,35,40,45,50)/100*(Inputs!$B$11-Inputs!$B$11),0))))/100+(Inputs!$B$23+(IF(ArtifactsInput!$M$15,CHOOSE(ArtifactsInput!$N$15+1,25,30,35,40,45,50)/100*(Inputs!$B$11-Inputs!$B$11),0)))/100)/2</f>
        <v/>
      </c>
      <c r="M1226">
        <f>L1226*(1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6">
        <f>L1226*(1-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1226*(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6">
        <f>(1-Summary!$B$11)*S1226+Summary!$B$11*U1226</f>
        <v/>
      </c>
      <c r="P1226">
        <f>IF(B1255=0,0,O1226/B1255)</f>
        <v/>
      </c>
      <c r="Q1226">
        <f>IFERROR(1/(IF(Inputs!$B$38="pvp",15,MAX(0.1,Skills!D8-IF(TRUE=TRUE,Inputs!$B$32,0)))*(1-IF(AND(ArtifactsInput!$M$27,Inputs!$B$4="Chapter Hunt"),CHOOSE(ArtifactsInput!$N$27+1,20,24,28,32,36,40),0)/100)),0)</f>
        <v/>
      </c>
      <c r="R1226">
        <f>IF(AND(Inputs!$B$38&lt;&gt;"pvp",Inputs!$B$43&gt;0),IF(MAX(0,Inputs!$B$43-B1252)&lt;=0,0,(INT(MAX(0,Inputs!$B$43-B1252)/(IF(Inputs!$B$38="pvp",15,MAX(0.1,Skills!D8-IF(TRUE=TRUE,Inputs!$B$32,0)))*(1-IF(AND(ArtifactsInput!$M$27,Inputs!$B$4="Chapter Hunt"),CHOOSE(ArtifactsInput!$N$27+1,20,24,28,32,36,40),0)/100)))+1)),0)</f>
        <v/>
      </c>
      <c r="S1226">
        <f>IF(C1226,(H1226*N1226*IF(AND(Inputs!$B$38&lt;&gt;"pvp",Inputs!$B$43&gt;0),((Skills!F8*((R1226-1)*IF(Skills!G8&gt;0,Skills!H8/Skills!G8,1)+IF(Skills!G8&gt;0,MIN(Skills!H8,MAX(0,MAX(0,Inputs!$B$43-B1252)-((R1226-1)*(IF(Inputs!$B$38="pvp",15,MAX(0.1,Skills!D8-IF(TRUE=TRUE,Inputs!$B$32,0)))*(1-IF(AND(ArtifactsInput!$M$27,Inputs!$B$4="Chapter Hunt"),CHOOSE(ArtifactsInput!$N$27+1,20,24,28,32,36,40),0)/100)))))/Skills!G8,1)))/Inputs!$B$43),G1226*Q1226))*IF(Inputs!$B$38="pvp",1,1+(Inputs!$B$20+Skills!O8+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1226*(1-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1226*(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1226*(1-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1226*(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6">
        <f>IF(C1226,(H1226*N1226*IF(AND(Inputs!$B$38&lt;&gt;"pvp",Inputs!$B$43&gt;0),((Skills!F8*((R1226-1)*IF(Skills!G8&gt;0,Skills!H8/Skills!G8,1)+IF(Skills!G8&gt;0,MIN(Skills!H8,MAX(0,MAX(0,Inputs!$B$43-B1252)-((R1226-1)*(IF(Inputs!$B$38="pvp",15,MAX(0.1,Skills!D8-IF(TRUE=TRUE,Inputs!$B$32,0)))*(1-IF(AND(ArtifactsInput!$M$27,Inputs!$B$4="Chapter Hunt"),CHOOSE(ArtifactsInput!$N$27+1,20,24,28,32,36,40),0)/100)))))/Skills!G8,1)))/Inputs!$B$43),G1226*Q1226))*IF(Inputs!$B$38="pvp",1,(1+(Inputs!$B$21+Skills!P8+B1246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7">
      <c r="A1227">
        <f>Skills!A9</f>
        <v/>
      </c>
      <c r="B1227">
        <f>Skills!B9</f>
        <v/>
      </c>
      <c r="C1227">
        <f>Inputs!$B$3&gt;=105</f>
        <v/>
      </c>
      <c r="D1227">
        <f>IF(Skills!C9=1,60+Inputs!$B$25+Inputs!$B$29,IF(Skills!C9=2,90+Inputs!$B$26+Inputs!$B$29,IF(Skills!C9=3,120+Inputs!$B$27+Inputs!$B$29,MAX(0,(Inputs!$B$3-100)*3)+Inputs!$B$28+Inputs!$B$29)))</f>
        <v/>
      </c>
      <c r="E1227">
        <f>INDEX(FactorTable!$B$2:$Y$301, MATCH(ROUND(MIN(300,MAX(1,D1227)),0), FactorTable!$A$2:$A$301,0), Skills!L9+1)</f>
        <v/>
      </c>
      <c r="F1227">
        <f>IF(Skills!M9=TRUE,(Skills!K9/10)*(E1227/1000),Skills!K9/10)+Skills!N9</f>
        <v/>
      </c>
      <c r="G1227">
        <f>Calc!G9</f>
        <v/>
      </c>
      <c r="H1227">
        <f>Calc!H9</f>
        <v/>
      </c>
      <c r="I1227">
        <f>IF(Skills!T9&lt;&gt;"",1+(Skills!T9/10)*(Z1221/1000)/100,1)</f>
        <v/>
      </c>
      <c r="J1227">
        <f>((Inputs!$B$6*(1+Inputs!$B$7/100))+(((Inputs!$B$12*(1+Inputs!$B$13/100))-(Inputs!$B$12*(1+Inputs!$B$13/100)))+0.25*(Inputs!$B$14-Inputs!$B$14))*(1+Inputs!$B$7/100))*(F1227/100)</f>
        <v/>
      </c>
      <c r="K1227">
        <f>J1227*(1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9="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1227)</f>
        <v/>
      </c>
      <c r="L1227">
        <f>K1227*(MIN(Inputs!$B$22+(F1236-Calc!F18),(Inputs!$B$23+(IF(ArtifactsInput!$M$15,CHOOSE(ArtifactsInput!$N$15+1,25,30,35,40,45,50)/100*(Inputs!$B$11-Inputs!$B$11),0))))/100+(Inputs!$B$23+(IF(ArtifactsInput!$M$15,CHOOSE(ArtifactsInput!$N$15+1,25,30,35,40,45,50)/100*(Inputs!$B$11-Inputs!$B$11),0)))/100)/2</f>
        <v/>
      </c>
      <c r="M1227">
        <f>L1227*(1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7">
        <f>L1227*(1-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1227*(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7">
        <f>(1-Summary!$B$11)*S1227+Summary!$B$11*U1227</f>
        <v/>
      </c>
      <c r="P1227">
        <f>IF(B1255=0,0,O1227/B1255)</f>
        <v/>
      </c>
      <c r="Q1227">
        <f>IFERROR(1/(IF(Inputs!$B$38="pvp",15,MAX(0.1,Skills!D9-IF(TRUE=TRUE,Inputs!$B$32,0)))*(1-IF(AND(ArtifactsInput!$M$27,Inputs!$B$4="Chapter Hunt"),CHOOSE(ArtifactsInput!$N$27+1,20,24,28,32,36,40),0)/100)),0)</f>
        <v/>
      </c>
      <c r="R1227">
        <f>IF(AND(Inputs!$B$38&lt;&gt;"pvp",Inputs!$B$43&gt;0),IF(MAX(0,Inputs!$B$43-B1252)&lt;=0,0,(INT(MAX(0,Inputs!$B$43-B1252)/(IF(Inputs!$B$38="pvp",15,MAX(0.1,Skills!D9-IF(TRUE=TRUE,Inputs!$B$32,0)))*(1-IF(AND(ArtifactsInput!$M$27,Inputs!$B$4="Chapter Hunt"),CHOOSE(ArtifactsInput!$N$27+1,20,24,28,32,36,40),0)/100)))+1)),0)</f>
        <v/>
      </c>
      <c r="S1227">
        <f>IF(C1227,(H1227*N1227*IF(AND(Inputs!$B$38&lt;&gt;"pvp",Inputs!$B$43&gt;0),((Skills!F9*((R1227-1)*IF(Skills!G9&gt;0,Skills!H9/Skills!G9,1)+IF(Skills!G9&gt;0,MIN(Skills!H9,MAX(0,MAX(0,Inputs!$B$43-B1252)-((R1227-1)*(IF(Inputs!$B$38="pvp",15,MAX(0.1,Skills!D9-IF(TRUE=TRUE,Inputs!$B$32,0)))*(1-IF(AND(ArtifactsInput!$M$27,Inputs!$B$4="Chapter Hunt"),CHOOSE(ArtifactsInput!$N$27+1,20,24,28,32,36,40),0)/100)))))/Skills!G9,1)))/Inputs!$B$43),G1227*Q1227))*IF(Inputs!$B$38="pvp",1,1+(Inputs!$B$20+Skills!O9+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1227*(1-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1227*(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1227*(1-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1227*(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7">
        <f>IF(C1227,(H1227*N1227*IF(AND(Inputs!$B$38&lt;&gt;"pvp",Inputs!$B$43&gt;0),((Skills!F9*((R1227-1)*IF(Skills!G9&gt;0,Skills!H9/Skills!G9,1)+IF(Skills!G9&gt;0,MIN(Skills!H9,MAX(0,MAX(0,Inputs!$B$43-B1252)-((R1227-1)*(IF(Inputs!$B$38="pvp",15,MAX(0.1,Skills!D9-IF(TRUE=TRUE,Inputs!$B$32,0)))*(1-IF(AND(ArtifactsInput!$M$27,Inputs!$B$4="Chapter Hunt"),CHOOSE(ArtifactsInput!$N$27+1,20,24,28,32,36,40),0)/100)))))/Skills!G9,1)))/Inputs!$B$43),G1227*Q1227))*IF(Inputs!$B$38="pvp",1,(1+(Inputs!$B$21+Skills!P9+B1246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8">
      <c r="A1228">
        <f>Skills!A10</f>
        <v/>
      </c>
      <c r="B1228">
        <f>Skills!B10</f>
        <v/>
      </c>
      <c r="C1228">
        <f>Inputs!$B$3&gt;=113</f>
        <v/>
      </c>
      <c r="D1228">
        <f>IF(Skills!C10=1,60+Inputs!$B$25+Inputs!$B$29,IF(Skills!C10=2,90+Inputs!$B$26+Inputs!$B$29,IF(Skills!C10=3,120+Inputs!$B$27+Inputs!$B$29,MAX(0,(Inputs!$B$3-100)*3)+Inputs!$B$28+Inputs!$B$29)))</f>
        <v/>
      </c>
      <c r="E1228">
        <f>INDEX(FactorTable!$B$2:$Y$301, MATCH(ROUND(MIN(300,MAX(1,D1228)),0), FactorTable!$A$2:$A$301,0), Skills!L10+1)</f>
        <v/>
      </c>
      <c r="F1228">
        <f>IF(Skills!M10=TRUE,(Skills!K10/10)*(E1228/1000),Skills!K10/10)+Skills!N10</f>
        <v/>
      </c>
      <c r="G1228">
        <f>Calc!G10</f>
        <v/>
      </c>
      <c r="H1228">
        <f>Calc!H10</f>
        <v/>
      </c>
      <c r="I1228">
        <f>IF(Skills!T10&lt;&gt;"",1+(Skills!T10/10)*(Z1221/1000)/100,1)</f>
        <v/>
      </c>
      <c r="J1228">
        <f>((Inputs!$B$6*(1+Inputs!$B$7/100))+(((Inputs!$B$12*(1+Inputs!$B$13/100))-(Inputs!$B$12*(1+Inputs!$B$13/100)))+0.25*(Inputs!$B$14-Inputs!$B$14))*(1+Inputs!$B$7/100))*(F1228/100)</f>
        <v/>
      </c>
      <c r="K1228">
        <f>J1228*(1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10="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1228)</f>
        <v/>
      </c>
      <c r="L1228">
        <f>K1228*(MIN(Inputs!$B$22+(F1236-Calc!F18),(Inputs!$B$23+(IF(ArtifactsInput!$M$15,CHOOSE(ArtifactsInput!$N$15+1,25,30,35,40,45,50)/100*(Inputs!$B$11-Inputs!$B$11),0))))/100+(Inputs!$B$23+(IF(ArtifactsInput!$M$15,CHOOSE(ArtifactsInput!$N$15+1,25,30,35,40,45,50)/100*(Inputs!$B$11-Inputs!$B$11),0)))/100)/2</f>
        <v/>
      </c>
      <c r="M1228">
        <f>L1228*(1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8">
        <f>L1228*(1-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1228*(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8">
        <f>(1-Summary!$B$11)*S1228+Summary!$B$11*U1228</f>
        <v/>
      </c>
      <c r="P1228">
        <f>IF(B1255=0,0,O1228/B1255)</f>
        <v/>
      </c>
      <c r="Q1228">
        <f>IFERROR(1/(IF(Inputs!$B$38="pvp",15,MAX(0.1,Skills!D10-IF(TRUE=TRUE,Inputs!$B$32,0)))*(1-IF(AND(ArtifactsInput!$M$27,Inputs!$B$4="Chapter Hunt"),CHOOSE(ArtifactsInput!$N$27+1,20,24,28,32,36,40),0)/100)),0)</f>
        <v/>
      </c>
      <c r="R1228" t="n">
        <v>0</v>
      </c>
      <c r="S1228">
        <f>IF(C1228,((H1228*B1256)/(1+Skills!G10*H1228*B1256)*N1228)*IF(Inputs!$B$38="pvp",1,1+(Inputs!$B$20+Skills!O10+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1228*(1-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1228*(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1228*(1-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1228*(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8">
        <f>IF(C1228,((H1228*B1256)/(1+Skills!G10*H1228*B1256)*N1228)*IF(Inputs!$B$38="pvp",1,(1+(Inputs!$B$21+Skills!P10+B1246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9">
      <c r="A1229">
        <f>Skills!A11</f>
        <v/>
      </c>
      <c r="B1229">
        <f>Skills!B11</f>
        <v/>
      </c>
      <c r="C1229">
        <f>Inputs!$B$3&gt;=107</f>
        <v/>
      </c>
      <c r="D1229">
        <f>IF(Skills!C11=1,60+Inputs!$B$25+Inputs!$B$29,IF(Skills!C11=2,90+Inputs!$B$26+Inputs!$B$29,IF(Skills!C11=3,120+Inputs!$B$27+Inputs!$B$29,MAX(0,(Inputs!$B$3-100)*3)+Inputs!$B$28+Inputs!$B$29)))</f>
        <v/>
      </c>
      <c r="E1229">
        <f>INDEX(FactorTable!$B$2:$Y$301, MATCH(ROUND(MIN(300,MAX(1,D1229)),0), FactorTable!$A$2:$A$301,0), Skills!L11+1)</f>
        <v/>
      </c>
      <c r="F1229">
        <f>IF(Skills!M11=TRUE,(Skills!K11/10)*(E1229/1000),Skills!K11/10)+Skills!N11</f>
        <v/>
      </c>
      <c r="G1229">
        <f>Calc!G11</f>
        <v/>
      </c>
      <c r="H1229">
        <f>Calc!H11</f>
        <v/>
      </c>
      <c r="I1229">
        <f>IF(Skills!T11&lt;&gt;"",1+(Skills!T11/10)*(Z1221/1000)/100,1)</f>
        <v/>
      </c>
      <c r="J1229">
        <f>((Inputs!$B$6*(1+Inputs!$B$7/100))+(((Inputs!$B$12*(1+Inputs!$B$13/100))-(Inputs!$B$12*(1+Inputs!$B$13/100)))+0.25*(Inputs!$B$14-Inputs!$B$14))*(1+Inputs!$B$7/100))*(F1229/100)</f>
        <v/>
      </c>
      <c r="K1229">
        <f>J1229*(1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11="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1229)</f>
        <v/>
      </c>
      <c r="L1229">
        <f>K1229*(MIN(Inputs!$B$22+(F1236-Calc!F18),(Inputs!$B$23+(IF(ArtifactsInput!$M$15,CHOOSE(ArtifactsInput!$N$15+1,25,30,35,40,45,50)/100*(Inputs!$B$11-Inputs!$B$11),0))))/100+(Inputs!$B$23+(IF(ArtifactsInput!$M$15,CHOOSE(ArtifactsInput!$N$15+1,25,30,35,40,45,50)/100*(Inputs!$B$11-Inputs!$B$11),0)))/100)/2</f>
        <v/>
      </c>
      <c r="M1229">
        <f>L1229*(1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9">
        <f>L1229*(1-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1229*(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9">
        <f>(1-Summary!$B$11)*S1229+Summary!$B$11*U1229</f>
        <v/>
      </c>
      <c r="P1229">
        <f>IF(B1255=0,0,O1229/B1255)</f>
        <v/>
      </c>
      <c r="Q1229">
        <f>IFERROR(1/(IF(Inputs!$B$38="pvp",15,MAX(0.1,Skills!D11-IF(TRUE=TRUE,Inputs!$B$32,0)))*(1-IF(AND(ArtifactsInput!$M$27,Inputs!$B$4="Chapter Hunt"),CHOOSE(ArtifactsInput!$N$27+1,20,24,28,32,36,40),0)/100)),0)</f>
        <v/>
      </c>
      <c r="R1229">
        <f>IF(AND(Inputs!$B$38&lt;&gt;"pvp",Inputs!$B$43&gt;0),IF(MAX(0,Inputs!$B$43-B1252)&lt;=0,0,(INT(MAX(0,Inputs!$B$43-B1252)/(IF(Inputs!$B$38="pvp",15,MAX(0.1,Skills!D11-IF(TRUE=TRUE,Inputs!$B$32,0)))*(1-IF(AND(ArtifactsInput!$M$27,Inputs!$B$4="Chapter Hunt"),CHOOSE(ArtifactsInput!$N$27+1,20,24,28,32,36,40),0)/100)))+1)),0)</f>
        <v/>
      </c>
      <c r="S1229">
        <f>IF(C1229,H1229*N1229*IF(AND(Inputs!$B$38&lt;&gt;"pvp",Inputs!$B$43&gt;0),((Skills!F11*((R1229-1)*IF(Skills!G11&gt;0,Skills!H11/Skills!G11,1)+IF(Skills!G11&gt;0,MIN(Skills!H11,MAX(0,MAX(0,Inputs!$B$43-B1252)-((R1229-1)*(IF(Inputs!$B$38="pvp",15,MAX(0.1,Skills!D11-IF(TRUE=TRUE,Inputs!$B$32,0)))*(1-IF(AND(ArtifactsInput!$M$27,Inputs!$B$4="Chapter Hunt"),CHOOSE(ArtifactsInput!$N$27+1,20,24,28,32,36,40),0)/100)))))/Skills!G11,1)))/Inputs!$B$43),G1229*Q1229)*0.5*IF(Inputs!$B$38="pvp",1,1+(Inputs!$B$20+Skills!O11+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1229*(1-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1229*(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1229*(1-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1229*(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29">
        <f>IF(C1229,H1229*N1229*IF(AND(Inputs!$B$38&lt;&gt;"pvp",Inputs!$B$43&gt;0),((Skills!F11*((R1229-1)*IF(Skills!G11&gt;0,Skills!H11/Skills!G11,1)+IF(Skills!G11&gt;0,MIN(Skills!H11,MAX(0,MAX(0,Inputs!$B$43-B1252)-((R1229-1)*(IF(Inputs!$B$38="pvp",15,MAX(0.1,Skills!D11-IF(TRUE=TRUE,Inputs!$B$32,0)))*(1-IF(AND(ArtifactsInput!$M$27,Inputs!$B$4="Chapter Hunt"),CHOOSE(ArtifactsInput!$N$27+1,20,24,28,32,36,40),0)/100)))))/Skills!G11,1)))/Inputs!$B$43),G1229*Q1229)*1*IF(Inputs!$B$38="pvp",1,(1+(Inputs!$B$21+Skills!P11+B1246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0">
      <c r="A1230">
        <f>Skills!A12</f>
        <v/>
      </c>
      <c r="B1230">
        <f>Skills!B12</f>
        <v/>
      </c>
      <c r="C1230">
        <f>Inputs!$B$3&gt;=115</f>
        <v/>
      </c>
      <c r="D1230">
        <f>IF(Skills!C12=1,60+Inputs!$B$25+Inputs!$B$29,IF(Skills!C12=2,90+Inputs!$B$26+Inputs!$B$29,IF(Skills!C12=3,120+Inputs!$B$27+Inputs!$B$29,MAX(0,(Inputs!$B$3-100)*3)+Inputs!$B$28+Inputs!$B$29)))</f>
        <v/>
      </c>
      <c r="E1230">
        <f>INDEX(FactorTable!$B$2:$Y$301, MATCH(ROUND(MIN(300,MAX(1,D1230)),0), FactorTable!$A$2:$A$301,0), Skills!L12+1)</f>
        <v/>
      </c>
      <c r="F1230">
        <f>IF(Skills!M12=TRUE,(Skills!K12/10)*(E1230/1000),Skills!K12/10)+Skills!N12</f>
        <v/>
      </c>
      <c r="G1230">
        <f>Calc!G12</f>
        <v/>
      </c>
      <c r="H1230">
        <f>Calc!H12</f>
        <v/>
      </c>
      <c r="I1230">
        <f>IF(Skills!T12&lt;&gt;"",1+(Skills!T12/10)*(Z1221/1000)/100,1)</f>
        <v/>
      </c>
      <c r="J1230">
        <f>((Inputs!$B$6*(1+Inputs!$B$7/100))+(((Inputs!$B$12*(1+Inputs!$B$13/100))-(Inputs!$B$12*(1+Inputs!$B$13/100)))+0.25*(Inputs!$B$14-Inputs!$B$14))*(1+Inputs!$B$7/100))*(F1230/100)</f>
        <v/>
      </c>
      <c r="K1230">
        <f>J1230*(1+((Inputs!$B$12*(1+Inputs!$B$13/100))*0.01+Inputs!$B$14*0.0025)/100)*(1+(Inputs!$B$15+B1247)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1233=TRUE,F1233,0)/100)*(1+IF(C1241=TRUE,F1241,0)/100)^5*(1+(IF(Skills!A12="CHAIN_LIGHTNING",Inputs!$B$17+((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1245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1230)</f>
        <v/>
      </c>
      <c r="L1230">
        <f>K1230*(MIN(Inputs!$B$22+(F1236-Calc!F18),(Inputs!$B$23+(IF(ArtifactsInput!$M$15,CHOOSE(ArtifactsInput!$N$15+1,25,30,35,40,45,50)/100*(Inputs!$B$11-Inputs!$B$11),0))))/100+(Inputs!$B$23+(IF(ArtifactsInput!$M$15,CHOOSE(ArtifactsInput!$N$15+1,25,30,35,40,45,50)/100*(Inputs!$B$11-Inputs!$B$11),0)))/100)/2</f>
        <v/>
      </c>
      <c r="M1230">
        <f>L1230*(1+(Inputs!$B$10+(F1239-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0">
        <f>L1230*(1-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1230*(MIN((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0">
        <f>(1-Summary!$B$11)*S1230+Summary!$B$11*U1230</f>
        <v/>
      </c>
      <c r="P1230">
        <f>IF(B1255=0,0,O1230/B1255)</f>
        <v/>
      </c>
      <c r="Q1230">
        <f>IFERROR(1/(IF(Inputs!$B$38="pvp",15,MAX(0.1,Skills!D12-IF(TRUE=TRUE,Inputs!$B$32,0)))*(1-IF(AND(ArtifactsInput!$M$27,Inputs!$B$4="Chapter Hunt"),CHOOSE(ArtifactsInput!$N$27+1,20,24,28,32,36,40),0)/100)),0)</f>
        <v/>
      </c>
      <c r="R1230">
        <f>IF(AND(Inputs!$B$38&lt;&gt;"pvp",Inputs!$B$43&gt;0),IF(MAX(0,Inputs!$B$43-B1252)&lt;=0,0,(INT(MAX(0,Inputs!$B$43-B1252)/(IF(Inputs!$B$38="pvp",15,MAX(0.1,Skills!D12-IF(TRUE=TRUE,Inputs!$B$32,0)))*(1-IF(AND(ArtifactsInput!$M$27,Inputs!$B$4="Chapter Hunt"),CHOOSE(ArtifactsInput!$N$27+1,20,24,28,32,36,40),0)/100)))+1)),0)</f>
        <v/>
      </c>
      <c r="S1230">
        <f>IF(C1230,(H1230*N1230*IF(AND(Inputs!$B$38&lt;&gt;"pvp",Inputs!$B$43&gt;0),((Skills!F12*((R1230-1)*IF(Skills!G12&gt;0,Skills!H12/Skills!G12,1)+IF(Skills!G12&gt;0,MIN(Skills!H12,MAX(0,MAX(0,Inputs!$B$43-B1252)-((R1230-1)*(IF(Inputs!$B$38="pvp",15,MAX(0.1,Skills!D12-IF(TRUE=TRUE,Inputs!$B$32,0)))*(1-IF(AND(ArtifactsInput!$M$27,Inputs!$B$4="Chapter Hunt"),CHOOSE(ArtifactsInput!$N$27+1,20,24,28,32,36,40),0)/100)))))/Skills!G12,1)))/Inputs!$B$43),G1230*Q1230))*IF(Inputs!$B$38="pvp",1,1+(Inputs!$B$20+Skills!O12+B1246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1230*(1-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1230*(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1230*(1-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1230*(MIN(100,(Inputs!$B$9+((F1238-Calc!F20)+(F1237-Calc!F19))+(ArtifactsInput!$M$24-ArtifactsInput!$M$24)*CHOOSE(ArtifactsInput!$N$24+1,10,12,14,16,18,20)+(IF(AND(Inputs!$B$38&lt;&gt;"pvp",Inputs!$B$43=0),1,IF(IF(Inputs!$B$38="pvp",15,Inputs!$B$43)-(B1252)&lt;=0,1,MAX(0,IF(Inputs!$B$38="pvp",15,Inputs!$B$43)-MAX(5,B1252))/(IF(Inputs!$B$38="pvp",15,Inputs!$B$43)-(B1252)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30">
        <f>IF(C1230,(H1230*N1230*IF(AND(Inputs!$B$38&lt;&gt;"pvp",Inputs!$B$43&gt;0),((Skills!F12*((R1230-1)*IF(Skills!G12&gt;0,Skills!H12/Skills!G12,1)+IF(Skills!G12&gt;0,MIN(Skills!H12,MAX(0,MAX(0,Inputs!$B$43-B1252)-((R1230-1)*(IF(Inputs!$B$38="pvp",15,MAX(0.1,Skills!D12-IF(TRUE=TRUE,Inputs!$B$32,0)))*(1-IF(AND(ArtifactsInput!$M$27,Inputs!$B$4="Chapter Hunt"),CHOOSE(ArtifactsInput!$N$27+1,20,24,28,32,36,40),0)/100)))))/Skills!G12,1)))/Inputs!$B$43),G1230*Q1230))*IF(Inputs!$B$38="pvp",1,(1+(Inputs!$B$21+Skills!P12+B1246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1">
      <c r="A1231">
        <f>Skills!A13</f>
        <v/>
      </c>
      <c r="B1231">
        <f>Skills!B13</f>
        <v/>
      </c>
      <c r="C1231">
        <f>Inputs!$B$3&gt;=49</f>
        <v/>
      </c>
      <c r="D1231">
        <f>IF(Skills!C13=1,60+Inputs!$B$25+Inputs!$B$29,IF(Skills!C13=2,90+Inputs!$B$26+Inputs!$B$29,IF(Skills!C13=3,120+Inputs!$B$27+Inputs!$B$29,MAX(0,(Inputs!$B$3-100)*3)+Inputs!$B$28+Inputs!$B$29)))</f>
        <v/>
      </c>
      <c r="E1231">
        <f>INDEX(FactorTable!$B$2:$Y$301, MATCH(ROUND(MIN(300,MAX(1,D1231)),0), FactorTable!$A$2:$A$301,0), Skills!L13+1)</f>
        <v/>
      </c>
      <c r="F1231">
        <f>IF(Skills!M13=TRUE,(Skills!K13/10)*(E1231/1000),Skills!K13/10)+Skills!N13</f>
        <v/>
      </c>
      <c r="G1231">
        <f>Calc!G13</f>
        <v/>
      </c>
      <c r="H1231">
        <f>Calc!H13</f>
        <v/>
      </c>
      <c r="I1231">
        <f>IF(Skills!T13&lt;&gt;"",1+(Skills!T13/10)*(Z1221/1000)/100,1)</f>
        <v/>
      </c>
      <c r="J1231" t="inlineStr"/>
      <c r="K1231" t="inlineStr"/>
      <c r="L1231" t="inlineStr"/>
      <c r="M1231" t="inlineStr"/>
      <c r="N1231" t="inlineStr"/>
      <c r="O1231">
        <f>(1-Summary!$B$11)*S1231+Summary!$B$11*U1231</f>
        <v/>
      </c>
      <c r="P1231">
        <f>IF(B1255=0,0,O1231/B1255)</f>
        <v/>
      </c>
      <c r="Q1231">
        <f>IFERROR(1/(IF(Inputs!$B$38="pvp",15,MAX(0.1,Skills!D13-IF(TRUE=TRUE,Inputs!$B$32,0)))*(1-IF(AND(ArtifactsInput!$M$27,Inputs!$B$4="Chapter Hunt"),CHOOSE(ArtifactsInput!$N$27+1,20,24,28,32,36,40),0)/100)),0)</f>
        <v/>
      </c>
      <c r="R1231" t="n">
        <v>0</v>
      </c>
      <c r="S1231" t="n">
        <v>0</v>
      </c>
      <c r="U1231" t="n">
        <v>0</v>
      </c>
    </row>
    <row r="1232">
      <c r="A1232">
        <f>Skills!A14</f>
        <v/>
      </c>
      <c r="B1232">
        <f>Skills!B14</f>
        <v/>
      </c>
      <c r="C1232">
        <f>Inputs!$B$3&gt;=72</f>
        <v/>
      </c>
      <c r="D1232">
        <f>IF(Skills!C14=1,60+Inputs!$B$25+Inputs!$B$29,IF(Skills!C14=2,90+Inputs!$B$26+Inputs!$B$29,IF(Skills!C14=3,120+Inputs!$B$27+Inputs!$B$29,MAX(0,(Inputs!$B$3-100)*3)+Inputs!$B$28+Inputs!$B$29)))</f>
        <v/>
      </c>
      <c r="E1232">
        <f>INDEX(FactorTable!$B$2:$Y$301, MATCH(ROUND(MIN(300,MAX(1,D1232)),0), FactorTable!$A$2:$A$301,0), Skills!L14+1)</f>
        <v/>
      </c>
      <c r="F1232">
        <f>IF(Skills!M14=TRUE,(Skills!K14/10)*(E1232/1000),Skills!K14/10)+Skills!N14</f>
        <v/>
      </c>
      <c r="G1232">
        <f>Calc!G14</f>
        <v/>
      </c>
      <c r="H1232">
        <f>Calc!H14</f>
        <v/>
      </c>
      <c r="I1232">
        <f>IF(Skills!T14&lt;&gt;"",1+(Skills!T14/10)*(Z1221/1000)/100,1)</f>
        <v/>
      </c>
      <c r="J1232" t="inlineStr"/>
      <c r="K1232" t="inlineStr"/>
      <c r="L1232" t="inlineStr"/>
      <c r="M1232" t="inlineStr"/>
      <c r="N1232" t="inlineStr"/>
      <c r="O1232">
        <f>(1-Summary!$B$11)*S1232+Summary!$B$11*U1232</f>
        <v/>
      </c>
      <c r="P1232">
        <f>IF(B1255=0,0,O1232/B1255)</f>
        <v/>
      </c>
      <c r="Q1232">
        <f>IFERROR(1/(IF(Inputs!$B$38="pvp",15,MAX(0.1,Skills!D14-IF(TRUE=TRUE,Inputs!$B$32,0)))*(1-IF(AND(ArtifactsInput!$M$27,Inputs!$B$4="Chapter Hunt"),CHOOSE(ArtifactsInput!$N$27+1,20,24,28,32,36,40),0)/100)),0)</f>
        <v/>
      </c>
      <c r="R1232" t="n">
        <v>0</v>
      </c>
      <c r="S1232" t="n">
        <v>0</v>
      </c>
      <c r="U1232" t="n">
        <v>0</v>
      </c>
    </row>
    <row r="1233">
      <c r="A1233">
        <f>Skills!A15</f>
        <v/>
      </c>
      <c r="B1233">
        <f>Skills!B15</f>
        <v/>
      </c>
      <c r="C1233">
        <f>Inputs!$B$3&gt;=75</f>
        <v/>
      </c>
      <c r="D1233">
        <f>IF(Skills!C15=1,60+Inputs!$B$25+Inputs!$B$29,IF(Skills!C15=2,90+Inputs!$B$26+Inputs!$B$29,IF(Skills!C15=3,120+Inputs!$B$27+Inputs!$B$29,MAX(0,(Inputs!$B$3-100)*3)+Inputs!$B$28+Inputs!$B$29)))</f>
        <v/>
      </c>
      <c r="E1233">
        <f>INDEX(FactorTable!$B$2:$Y$301, MATCH(ROUND(MIN(300,MAX(1,D1233)),0), FactorTable!$A$2:$A$301,0), Skills!L15+1)</f>
        <v/>
      </c>
      <c r="F1233">
        <f>IF(Skills!M15=TRUE,(Skills!K15/10)*(E1233/1000),Skills!K15/10)+Skills!N15</f>
        <v/>
      </c>
      <c r="G1233">
        <f>Calc!G15</f>
        <v/>
      </c>
      <c r="H1233">
        <f>Calc!H15</f>
        <v/>
      </c>
      <c r="I1233">
        <f>IF(Skills!T15&lt;&gt;"",1+(Skills!T15/10)*(Z1221/1000)/100,1)</f>
        <v/>
      </c>
      <c r="J1233" t="inlineStr"/>
      <c r="K1233" t="inlineStr"/>
      <c r="L1233" t="inlineStr"/>
      <c r="M1233" t="inlineStr"/>
      <c r="N1233" t="inlineStr"/>
      <c r="O1233">
        <f>(1-Summary!$B$11)*S1233+Summary!$B$11*U1233</f>
        <v/>
      </c>
      <c r="P1233">
        <f>IF(B1255=0,0,O1233/B1255)</f>
        <v/>
      </c>
      <c r="Q1233">
        <f>IFERROR(1/(IF(Inputs!$B$38="pvp",15,MAX(0.1,Skills!D15-IF(TRUE=TRUE,Inputs!$B$32,0)))*(1-IF(AND(ArtifactsInput!$M$27,Inputs!$B$4="Chapter Hunt"),CHOOSE(ArtifactsInput!$N$27+1,20,24,28,32,36,40),0)/100)),0)</f>
        <v/>
      </c>
      <c r="R1233" t="n">
        <v>0</v>
      </c>
      <c r="S1233" t="n">
        <v>0</v>
      </c>
      <c r="U1233" t="n">
        <v>0</v>
      </c>
    </row>
    <row r="1234">
      <c r="A1234">
        <f>Skills!A16</f>
        <v/>
      </c>
      <c r="B1234">
        <f>Skills!B16</f>
        <v/>
      </c>
      <c r="C1234">
        <f>Inputs!$B$3&gt;=110</f>
        <v/>
      </c>
      <c r="D1234">
        <f>IF(Skills!C16=1,60+Inputs!$B$25+Inputs!$B$29,IF(Skills!C16=2,90+Inputs!$B$26+Inputs!$B$29,IF(Skills!C16=3,120+Inputs!$B$27+Inputs!$B$29,MAX(0,(Inputs!$B$3-100)*3)+Inputs!$B$28+Inputs!$B$29)))</f>
        <v/>
      </c>
      <c r="E1234">
        <f>INDEX(FactorTable!$B$2:$Y$301, MATCH(ROUND(MIN(300,MAX(1,D1234)),0), FactorTable!$A$2:$A$301,0), Skills!L16+1)</f>
        <v/>
      </c>
      <c r="F1234">
        <f>(Skills!K16/10)*(E1234/1000)*64/45+Skills!N16</f>
        <v/>
      </c>
      <c r="G1234">
        <f>Calc!G16</f>
        <v/>
      </c>
      <c r="H1234">
        <f>Calc!H16</f>
        <v/>
      </c>
      <c r="I1234">
        <f>IF(Skills!T16&lt;&gt;"",1+(Skills!T16/10)*(Z1221/1000)/100,1)</f>
        <v/>
      </c>
      <c r="J1234" t="inlineStr"/>
      <c r="K1234" t="inlineStr"/>
      <c r="L1234" t="inlineStr"/>
      <c r="M1234" t="inlineStr"/>
      <c r="N1234" t="inlineStr"/>
      <c r="O1234">
        <f>(1-Summary!$B$11)*S1234+Summary!$B$11*U1234</f>
        <v/>
      </c>
      <c r="P1234">
        <f>IF(B1255=0,0,O1234/B1255)</f>
        <v/>
      </c>
      <c r="Q1234">
        <f>IFERROR(1/(IF(Inputs!$B$38="pvp",15,MAX(0.1,Skills!D16-IF(TRUE=TRUE,Inputs!$B$32,0)))*(1-IF(AND(ArtifactsInput!$M$27,Inputs!$B$4="Chapter Hunt"),CHOOSE(ArtifactsInput!$N$27+1,20,24,28,32,36,40),0)/100)),0)</f>
        <v/>
      </c>
      <c r="R1234">
        <f>IF(AND(Inputs!$B$38&lt;&gt;"pvp",Inputs!$B$43&gt;0),IF(Inputs!$B$43&lt;=0,0,(INT(Inputs!$B$43/(IF(Inputs!$B$38="pvp",15,MAX(0.1,Skills!D16-IF(TRUE=TRUE,Inputs!$B$32,0)))*(1-IF(AND(ArtifactsInput!$M$27,Inputs!$B$4="Chapter Hunt"),CHOOSE(ArtifactsInput!$N$27+1,20,24,28,32,36,40),0)/100)))+1)),0)</f>
        <v/>
      </c>
      <c r="S1234" t="n">
        <v>0</v>
      </c>
      <c r="U1234" t="n">
        <v>0</v>
      </c>
    </row>
    <row r="1235">
      <c r="A1235">
        <f>Skills!A17</f>
        <v/>
      </c>
      <c r="B1235">
        <f>Skills!B17</f>
        <v/>
      </c>
      <c r="C1235">
        <f>Inputs!$B$3&gt;=33</f>
        <v/>
      </c>
      <c r="D1235">
        <f>IF(Skills!C17=1,60+Inputs!$B$25+Inputs!$B$29,IF(Skills!C17=2,90+Inputs!$B$26+Inputs!$B$29,IF(Skills!C17=3,120+Inputs!$B$27+Inputs!$B$29,MAX(0,(Inputs!$B$3-100)*3)+Inputs!$B$28+Inputs!$B$29)))</f>
        <v/>
      </c>
      <c r="E1235">
        <f>INDEX(FactorTable!$B$2:$Y$301, MATCH(ROUND(MIN(300,MAX(1,D1235)),0), FactorTable!$A$2:$A$301,0), Skills!L17+1)</f>
        <v/>
      </c>
      <c r="F1235">
        <f>IF(Skills!M17=TRUE,(Skills!K17/10)*(E1235/1000),Skills!K17/10)+Skills!N17</f>
        <v/>
      </c>
      <c r="G1235">
        <f>Calc!G17</f>
        <v/>
      </c>
      <c r="H1235">
        <f>Calc!H17</f>
        <v/>
      </c>
      <c r="I1235">
        <f>IF(Skills!T17&lt;&gt;"",1+(Skills!T17/10)*(Z1221/1000)/100,1)</f>
        <v/>
      </c>
      <c r="J1235" t="inlineStr"/>
      <c r="K1235" t="inlineStr"/>
      <c r="L1235" t="inlineStr"/>
      <c r="M1235" t="inlineStr"/>
      <c r="N1235" t="inlineStr"/>
      <c r="O1235">
        <f>(1-Summary!$B$11)*S1235+Summary!$B$11*U1235</f>
        <v/>
      </c>
      <c r="P1235">
        <f>IF(B1255=0,0,O1235/B1255)</f>
        <v/>
      </c>
      <c r="Q1235">
        <f>IFERROR(1/(IF(Inputs!$B$38="pvp",15,MAX(0.1,Skills!D17-IF(TRUE=TRUE,Inputs!$B$32,0)))*(1-IF(AND(ArtifactsInput!$M$27,Inputs!$B$4="Chapter Hunt"),CHOOSE(ArtifactsInput!$N$27+1,20,24,28,32,36,40),0)/100)),0)</f>
        <v/>
      </c>
      <c r="R1235" t="n">
        <v>0</v>
      </c>
      <c r="S1235" t="n">
        <v>0</v>
      </c>
      <c r="U1235" t="n">
        <v>0</v>
      </c>
    </row>
    <row r="1236">
      <c r="A1236">
        <f>Skills!A18</f>
        <v/>
      </c>
      <c r="B1236">
        <f>Skills!B18</f>
        <v/>
      </c>
      <c r="C1236">
        <f>Inputs!$B$3&gt;=43</f>
        <v/>
      </c>
      <c r="D1236">
        <f>IF(Skills!C18=1,60+Inputs!$B$25+Inputs!$B$29,IF(Skills!C18=2,90+Inputs!$B$26+Inputs!$B$29,IF(Skills!C18=3,120+Inputs!$B$27+Inputs!$B$29,MAX(0,(Inputs!$B$3-100)*3)+Inputs!$B$28+Inputs!$B$29)))</f>
        <v/>
      </c>
      <c r="E1236">
        <f>INDEX(FactorTable!$B$2:$Y$301, MATCH(ROUND(MIN(300,MAX(1,D1236)),0), FactorTable!$A$2:$A$301,0), Skills!L18+1)</f>
        <v/>
      </c>
      <c r="F1236">
        <f>IF(Skills!M18=TRUE,(Skills!K18/10)*(E1236/1000),Skills!K18/10)+Skills!N18</f>
        <v/>
      </c>
      <c r="G1236">
        <f>Calc!G18</f>
        <v/>
      </c>
      <c r="H1236">
        <f>Calc!H18</f>
        <v/>
      </c>
      <c r="I1236">
        <f>IF(Skills!T18&lt;&gt;"",1+(Skills!T18/10)*(Z1221/1000)/100,1)</f>
        <v/>
      </c>
      <c r="J1236" t="inlineStr"/>
      <c r="K1236" t="inlineStr"/>
      <c r="L1236" t="inlineStr"/>
      <c r="M1236" t="inlineStr"/>
      <c r="N1236" t="inlineStr"/>
      <c r="O1236">
        <f>(1-Summary!$B$11)*S1236+Summary!$B$11*U1236</f>
        <v/>
      </c>
      <c r="P1236">
        <f>IF(B1255=0,0,O1236/B1255)</f>
        <v/>
      </c>
      <c r="Q1236">
        <f>IFERROR(1/(IF(Inputs!$B$38="pvp",15,MAX(0.1,Skills!D18-IF(TRUE=TRUE,Inputs!$B$32,0)))*(1-IF(AND(ArtifactsInput!$M$27,Inputs!$B$4="Chapter Hunt"),CHOOSE(ArtifactsInput!$N$27+1,20,24,28,32,36,40),0)/100)),0)</f>
        <v/>
      </c>
      <c r="R1236" t="n">
        <v>0</v>
      </c>
      <c r="S1236" t="n">
        <v>0</v>
      </c>
      <c r="U1236" t="n">
        <v>0</v>
      </c>
    </row>
    <row r="1237">
      <c r="A1237">
        <f>Skills!A19</f>
        <v/>
      </c>
      <c r="B1237">
        <f>Skills!B19</f>
        <v/>
      </c>
      <c r="C1237">
        <f>Inputs!$B$3&gt;=50</f>
        <v/>
      </c>
      <c r="D1237">
        <f>IF(Skills!C19=1,60+Inputs!$B$25+Inputs!$B$29,IF(Skills!C19=2,90+Inputs!$B$26+Inputs!$B$29,IF(Skills!C19=3,120+Inputs!$B$27+Inputs!$B$29,MAX(0,(Inputs!$B$3-100)*3)+Inputs!$B$28+Inputs!$B$29)))</f>
        <v/>
      </c>
      <c r="E1237">
        <f>INDEX(FactorTable!$B$2:$Y$301, MATCH(ROUND(MIN(300,MAX(1,D1237)),0), FactorTable!$A$2:$A$301,0), Skills!L19+1)</f>
        <v/>
      </c>
      <c r="F1237">
        <f>IF(Skills!M19=TRUE,(Skills!K19/10)*(E1237/1000),Skills!K19/10)+Skills!N19</f>
        <v/>
      </c>
      <c r="G1237">
        <f>Calc!G19</f>
        <v/>
      </c>
      <c r="H1237">
        <f>Calc!H19</f>
        <v/>
      </c>
      <c r="I1237">
        <f>IF(Skills!T19&lt;&gt;"",1+(Skills!T19/10)*(Z1221/1000)/100,1)</f>
        <v/>
      </c>
      <c r="J1237" t="inlineStr"/>
      <c r="K1237" t="inlineStr"/>
      <c r="L1237" t="inlineStr"/>
      <c r="M1237" t="inlineStr"/>
      <c r="N1237" t="inlineStr"/>
      <c r="O1237">
        <f>(1-Summary!$B$11)*S1237+Summary!$B$11*U1237</f>
        <v/>
      </c>
      <c r="P1237">
        <f>IF(B1255=0,0,O1237/B1255)</f>
        <v/>
      </c>
      <c r="Q1237">
        <f>IFERROR(1/(IF(Inputs!$B$38="pvp",15,MAX(0.1,Skills!D19-IF(TRUE=TRUE,Inputs!$B$32,0)))*(1-IF(AND(ArtifactsInput!$M$27,Inputs!$B$4="Chapter Hunt"),CHOOSE(ArtifactsInput!$N$27+1,20,24,28,32,36,40),0)/100)),0)</f>
        <v/>
      </c>
      <c r="R1237" t="n">
        <v>0</v>
      </c>
      <c r="S1237" t="n">
        <v>0</v>
      </c>
      <c r="U1237" t="n">
        <v>0</v>
      </c>
    </row>
    <row r="1238">
      <c r="A1238">
        <f>Skills!A20</f>
        <v/>
      </c>
      <c r="B1238">
        <f>Skills!B20</f>
        <v/>
      </c>
      <c r="C1238">
        <f>Inputs!$B$3&gt;=74</f>
        <v/>
      </c>
      <c r="D1238">
        <f>IF(Skills!C20=1,60+Inputs!$B$25+Inputs!$B$29,IF(Skills!C20=2,90+Inputs!$B$26+Inputs!$B$29,IF(Skills!C20=3,120+Inputs!$B$27+Inputs!$B$29,MAX(0,(Inputs!$B$3-100)*3)+Inputs!$B$28+Inputs!$B$29)))</f>
        <v/>
      </c>
      <c r="E1238">
        <f>INDEX(FactorTable!$B$2:$Y$301, MATCH(ROUND(MIN(300,MAX(1,D1238)),0), FactorTable!$A$2:$A$301,0), Skills!L20+1)</f>
        <v/>
      </c>
      <c r="F1238">
        <f>IF(Skills!M20=TRUE,(Skills!K20/10)*(E1238/1000),Skills!K20/10)+Skills!N20</f>
        <v/>
      </c>
      <c r="G1238">
        <f>Calc!G20</f>
        <v/>
      </c>
      <c r="H1238">
        <f>Calc!H20</f>
        <v/>
      </c>
      <c r="I1238">
        <f>IF(Skills!T20&lt;&gt;"",1+(Skills!T20/10)*(Z1221/1000)/100,1)</f>
        <v/>
      </c>
      <c r="J1238" t="inlineStr"/>
      <c r="K1238" t="inlineStr"/>
      <c r="L1238" t="inlineStr"/>
      <c r="M1238" t="inlineStr"/>
      <c r="N1238" t="inlineStr"/>
      <c r="O1238">
        <f>(1-Summary!$B$11)*S1238+Summary!$B$11*U1238</f>
        <v/>
      </c>
      <c r="P1238">
        <f>IF(B1255=0,0,O1238/B1255)</f>
        <v/>
      </c>
      <c r="Q1238">
        <f>IFERROR(1/(IF(Inputs!$B$38="pvp",15,MAX(0.1,Skills!D20-IF(TRUE=TRUE,Inputs!$B$32,0)))*(1-IF(AND(ArtifactsInput!$M$27,Inputs!$B$4="Chapter Hunt"),CHOOSE(ArtifactsInput!$N$27+1,20,24,28,32,36,40),0)/100)),0)</f>
        <v/>
      </c>
      <c r="R1238" t="n">
        <v>0</v>
      </c>
      <c r="S1238" t="n">
        <v>0</v>
      </c>
      <c r="U1238" t="n">
        <v>0</v>
      </c>
    </row>
    <row r="1239">
      <c r="A1239">
        <f>Skills!A21</f>
        <v/>
      </c>
      <c r="B1239">
        <f>Skills!B21</f>
        <v/>
      </c>
      <c r="C1239">
        <f>Inputs!$B$3&gt;=74</f>
        <v/>
      </c>
      <c r="D1239">
        <f>IF(Skills!C21=1,60+Inputs!$B$25+Inputs!$B$29,IF(Skills!C21=2,90+Inputs!$B$26+Inputs!$B$29,IF(Skills!C21=3,120+Inputs!$B$27+Inputs!$B$29,MAX(0,(Inputs!$B$3-100)*3)+Inputs!$B$28+Inputs!$B$29)))</f>
        <v/>
      </c>
      <c r="E1239">
        <f>INDEX(FactorTable!$B$2:$Y$301, MATCH(ROUND(MIN(300,MAX(1,D1239)),0), FactorTable!$A$2:$A$301,0), Skills!L21+1)</f>
        <v/>
      </c>
      <c r="F1239">
        <f>IF(Skills!M21=TRUE,(Skills!K21/10)*(E1239/1000),Skills!K21/10)+Skills!N21</f>
        <v/>
      </c>
      <c r="G1239">
        <f>Calc!G21</f>
        <v/>
      </c>
      <c r="H1239">
        <f>Calc!H21</f>
        <v/>
      </c>
      <c r="I1239">
        <f>IF(Skills!T21&lt;&gt;"",1+(Skills!T21/10)*(Z1221/1000)/100,1)</f>
        <v/>
      </c>
      <c r="J1239" t="inlineStr"/>
      <c r="K1239" t="inlineStr"/>
      <c r="L1239" t="inlineStr"/>
      <c r="M1239" t="inlineStr"/>
      <c r="N1239" t="inlineStr"/>
      <c r="O1239">
        <f>(1-Summary!$B$11)*S1239+Summary!$B$11*U1239</f>
        <v/>
      </c>
      <c r="P1239">
        <f>IF(B1255=0,0,O1239/B1255)</f>
        <v/>
      </c>
      <c r="Q1239">
        <f>IFERROR(1/(IF(Inputs!$B$38="pvp",15,MAX(0.1,Skills!D21-IF(TRUE=TRUE,Inputs!$B$32,0)))*(1-IF(AND(ArtifactsInput!$M$27,Inputs!$B$4="Chapter Hunt"),CHOOSE(ArtifactsInput!$N$27+1,20,24,28,32,36,40),0)/100)),0)</f>
        <v/>
      </c>
      <c r="R1239" t="n">
        <v>0</v>
      </c>
      <c r="S1239" t="n">
        <v>0</v>
      </c>
      <c r="U1239" t="n">
        <v>0</v>
      </c>
    </row>
    <row r="1240">
      <c r="A1240">
        <f>Skills!A22</f>
        <v/>
      </c>
      <c r="B1240">
        <f>Skills!B22</f>
        <v/>
      </c>
      <c r="C1240">
        <f>Inputs!$B$3&gt;=117</f>
        <v/>
      </c>
      <c r="D1240">
        <f>IF(Skills!C22=1,60+Inputs!$B$25+Inputs!$B$29,IF(Skills!C22=2,90+Inputs!$B$26+Inputs!$B$29,IF(Skills!C22=3,120+Inputs!$B$27+Inputs!$B$29,MAX(0,(Inputs!$B$3-100)*3)+Inputs!$B$28+Inputs!$B$29)))</f>
        <v/>
      </c>
      <c r="E1240">
        <f>INDEX(FactorTable!$B$2:$Y$301, MATCH(ROUND(MIN(300,MAX(1,D1240)),0), FactorTable!$A$2:$A$301,0), Skills!L22+1)</f>
        <v/>
      </c>
      <c r="F1240">
        <f>IF(Skills!M22=TRUE,(Skills!K22/10)*(E1240/1000),Skills!K22/10)+Skills!N22</f>
        <v/>
      </c>
      <c r="G1240">
        <f>Calc!G22</f>
        <v/>
      </c>
      <c r="H1240">
        <f>Calc!H22</f>
        <v/>
      </c>
      <c r="I1240">
        <f>IF(Skills!T22&lt;&gt;"",1+(Skills!T22/10)*(Z1221/1000)/100,1)</f>
        <v/>
      </c>
      <c r="J1240" t="inlineStr"/>
      <c r="K1240" t="inlineStr"/>
      <c r="L1240" t="inlineStr"/>
      <c r="M1240" t="inlineStr"/>
      <c r="N1240" t="inlineStr"/>
      <c r="O1240">
        <f>(1-Summary!$B$11)*S1240+Summary!$B$11*U1240</f>
        <v/>
      </c>
      <c r="P1240">
        <f>IF(B1255=0,0,O1240/B1255)</f>
        <v/>
      </c>
      <c r="Q1240">
        <f>IFERROR(1/(IF(Inputs!$B$38="pvp",15,MAX(0.1,Skills!D22-IF(TRUE=TRUE,Inputs!$B$32,0)))*(1-IF(AND(ArtifactsInput!$M$27,Inputs!$B$4="Chapter Hunt"),CHOOSE(ArtifactsInput!$N$27+1,20,24,28,32,36,40),0)/100)),0)</f>
        <v/>
      </c>
      <c r="R1240" t="n">
        <v>0</v>
      </c>
      <c r="S1240" t="n">
        <v>0</v>
      </c>
      <c r="U1240" t="n">
        <v>0</v>
      </c>
    </row>
    <row r="1241">
      <c r="A1241">
        <f>Skills!A23</f>
        <v/>
      </c>
      <c r="B1241">
        <f>Skills!B23</f>
        <v/>
      </c>
      <c r="C1241">
        <f>Inputs!$B$3&gt;=120</f>
        <v/>
      </c>
      <c r="D1241">
        <f>IF(Skills!C23=1,60+Inputs!$B$25+Inputs!$B$29,IF(Skills!C23=2,90+Inputs!$B$26+Inputs!$B$29,IF(Skills!C23=3,120+Inputs!$B$27+Inputs!$B$29,MAX(0,(Inputs!$B$3-100)*3)+Inputs!$B$28+Inputs!$B$29)))</f>
        <v/>
      </c>
      <c r="E1241">
        <f>INDEX(FactorTable!$B$2:$Y$301, MATCH(ROUND(MIN(300,MAX(1,D1241)),0), FactorTable!$A$2:$A$301,0), Skills!L23+1)</f>
        <v/>
      </c>
      <c r="F1241">
        <f>IF(Skills!M23=TRUE,(Skills!K23/10)*(E1241/1000),Skills!K23/10)+Skills!N23</f>
        <v/>
      </c>
      <c r="G1241">
        <f>Calc!G23</f>
        <v/>
      </c>
      <c r="H1241">
        <f>Calc!H23</f>
        <v/>
      </c>
      <c r="I1241">
        <f>IF(Skills!T23&lt;&gt;"",1+(Skills!T23/10)*(Z1221/1000)/100,1)</f>
        <v/>
      </c>
      <c r="J1241" t="inlineStr"/>
      <c r="K1241" t="inlineStr"/>
      <c r="L1241" t="inlineStr"/>
      <c r="M1241" t="inlineStr"/>
      <c r="N1241" t="inlineStr"/>
      <c r="O1241">
        <f>(1-Summary!$B$11)*S1241+Summary!$B$11*U1241</f>
        <v/>
      </c>
      <c r="P1241">
        <f>IF(B1255=0,0,O1241/B1255)</f>
        <v/>
      </c>
      <c r="Q1241">
        <f>IFERROR(1/(IF(Inputs!$B$38="pvp",15,MAX(0.1,Skills!D23-IF(TRUE=TRUE,Inputs!$B$32,0)))*(1-IF(AND(ArtifactsInput!$M$27,Inputs!$B$4="Chapter Hunt"),CHOOSE(ArtifactsInput!$N$27+1,20,24,28,32,36,40),0)/100)),0)</f>
        <v/>
      </c>
      <c r="R1241" t="n">
        <v>0</v>
      </c>
      <c r="S1241" t="n">
        <v>0</v>
      </c>
      <c r="U1241" t="n">
        <v>0</v>
      </c>
    </row>
    <row r="1242">
      <c r="A1242">
        <f>Skills!A24</f>
        <v/>
      </c>
      <c r="B1242">
        <f>Skills!B24</f>
        <v/>
      </c>
      <c r="C1242">
        <f>TRUE</f>
        <v/>
      </c>
      <c r="D1242">
        <f>IF(Skills!C24=1,60+Inputs!$B$25+Inputs!$B$29,IF(Skills!C24=2,90+Inputs!$B$26+Inputs!$B$29,IF(Skills!C24=3,120+Inputs!$B$27+Inputs!$B$29,MAX(0,(Inputs!$B$3-100)*3)+Inputs!$B$28+Inputs!$B$29)))</f>
        <v/>
      </c>
      <c r="E1242">
        <f>INDEX(FactorTable!$B$2:$Y$301, MATCH(ROUND(MIN(300,MAX(1,D1242)),0), FactorTable!$A$2:$A$301,0), Skills!L24+1)</f>
        <v/>
      </c>
      <c r="F1242">
        <f>IF(Skills!M24=TRUE,(Skills!K24/10)*(E1242/1000),Skills!K24/10)+Skills!N24</f>
        <v/>
      </c>
      <c r="G1242">
        <f>Calc!G24</f>
        <v/>
      </c>
      <c r="H1242">
        <f>Calc!H24</f>
        <v/>
      </c>
      <c r="I1242">
        <f>IF(Skills!T24&lt;&gt;"",1+(Skills!T24/10)*(Z1221/1000)/100,1)</f>
        <v/>
      </c>
      <c r="J1242" t="inlineStr"/>
      <c r="K1242" t="inlineStr"/>
      <c r="L1242" t="inlineStr"/>
      <c r="M1242" t="inlineStr"/>
      <c r="N1242" t="inlineStr"/>
      <c r="O1242">
        <f>(1-Summary!$B$11)*S1242+Summary!$B$11*U1242</f>
        <v/>
      </c>
      <c r="P1242">
        <f>IF(B1255=0,0,O1242/B1255)</f>
        <v/>
      </c>
      <c r="Q1242">
        <f>IFERROR(1/(IF(Inputs!$B$38="pvp",15,MAX(0.1,Skills!D24-IF(TRUE=TRUE,Inputs!$B$32,0)))*(1-IF(AND(ArtifactsInput!$M$27,Inputs!$B$4="Chapter Hunt"),CHOOSE(ArtifactsInput!$N$27+1,20,24,28,32,36,40),0)/100)),0)</f>
        <v/>
      </c>
      <c r="R1242">
        <f>IF(AND(Inputs!$B$38&lt;&gt;"pvp",Inputs!$B$43&gt;0),IF(Inputs!$B$43&lt;=0,0,(INT(Inputs!$B$43/(IF(Inputs!$B$38="pvp",15,MAX(0.1,Skills!D24-IF(TRUE=TRUE,Inputs!$B$32,0)))*(1-IF(AND(ArtifactsInput!$M$27,Inputs!$B$4="Chapter Hunt"),CHOOSE(ArtifactsInput!$N$27+1,20,24,28,32,36,40),0)/100)))+1)),0)</f>
        <v/>
      </c>
      <c r="S1242" t="n">
        <v>0</v>
      </c>
      <c r="U1242" t="n">
        <v>0</v>
      </c>
    </row>
    <row r="1245">
      <c r="A1245" t="inlineStr">
        <is>
          <t>Average Buff Multiplier (Magic Guard + Meditation + Artifact Attack%, summed; then Infinity)</t>
        </is>
      </c>
      <c r="B1245">
        <f>(1+(IF(C1221=TRUE,F1221*IF(AND(Inputs!$B$38&lt;&gt;"pvp",Inputs!$B$43&gt;0),(((R1221-1)*MIN((Skills!S3*(1+(Inputs!$B$34)/100)),(1/Q1221))+MIN((Skills!S3*(1+(Inputs!$B$34)/100)),MAX(0,Inputs!$B$43-((R1221-1)*(1/Q1221)))))/Inputs!$B$43),IF(Inputs!$B$38="pvp",MIN((Skills!S3*(1+(Inputs!$B$34)/100)),15)/15,MIN(1,(Skills!S3*(1+(Inputs!$B$34)/100))/(1/Q1221)))),0)+IF(C1222=TRUE,F1222*IF(AND(Inputs!$B$38&lt;&gt;"pvp",Inputs!$B$43&gt;0),(((R1222-1)*MIN((Skills!S4*(1+(Inputs!$B$34)/100)),(1/Q1222))+MIN((Skills!S4*(1+(Inputs!$B$34)/100)),MAX(0,Inputs!$B$43-((R1222-1)*(1/Q1222)))))/Inputs!$B$43),IF(Inputs!$B$38="pvp",MIN((Skills!S4*(1+(Inputs!$B$34)/100)),15)/15,MIN(1,(Skills!S4*(1+(Inputs!$B$34)/100))/(1/Q1222)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1234=TRUE,(1+F1234*IF(AND(Inputs!$B$38&lt;&gt;"pvp",Inputs!$B$43&gt;0),(((R1234-1)*MIN((Skills!S16*(1+(Inputs!$B$34)/100)),(1/Q1234))+MIN((Skills!S16*(1+(Inputs!$B$34)/100)),MAX(0,Inputs!$B$43-((R1234-1)*(1/Q1234)))))/Inputs!$B$43),IF(Inputs!$B$38="pvp",MIN((Skills!S16*(1+(Inputs!$B$34)/100)),15)/15,MIN(1,(Skills!S16*(1+(Inputs!$B$34)/100))/(1/Q1234))))/100),1)</f>
        <v/>
      </c>
    </row>
    <row r="1246">
      <c r="A1246" t="inlineStr">
        <is>
          <t>Monster Damage Taken Bonus % (Freezing Breath - Weaken + Elemental Reset + Artifact Enemy Damage Taken, summed)</t>
        </is>
      </c>
      <c r="B1246">
        <f>IF(Inputs!$B$3&gt;=118,15*IF(Inputs!$B$38="pvp",MIN((30*(1+(Inputs!$B$34)/100)),15)/15,MIN(1,(30*(1+(Inputs!$B$34)/100))/(1/Q1226))),0)+IF(C1232=TRUE,F1232,0)+(IF(AND(ArtifactsInput!$M$35,Inputs!$B$4&lt;&gt;"Chapter Hunt"),CHOOSE(ArtifactsInput!$N$35+1,15,18,21,24,27,30)*(1-EXP(-(0.2*B1249)*5)),0)+IF(AND(ArtifactsInput!$M$22,Inputs!$B$4&lt;&gt;"Chapter Hunt"),CHOOSE(ArtifactsInput!$N$22+1,10,12,14,16,18,20)*((0*(((0.15*B1249*5))^0/1)+1*(((0.15*B1249*5))^1/1)+2*(((0.15*B1249*5))^2/2)+3*(((0.15*B1249*5))^3/6)+4*(((0.15*B1249*5))^4/24)+5*(((0.15*B1249*5))^5/120))/((((0.15*B1249*5))^0/1)+(((0.15*B1249*5))^1/1)+(((0.15*B1249*5))^2/2)+(((0.15*B1249*5))^3/6)+(((0.15*B1249*5))^4/24)+(((0.15*B1249*5))^5/120))),0))</f>
        <v/>
      </c>
    </row>
    <row r="1247">
      <c r="A1247" t="inlineStr">
        <is>
          <t>Damage % Bonus (Frozen Break + Frost Clutch, flat)</t>
        </is>
      </c>
      <c r="B1247">
        <f>IF(Inputs!$B$3&gt;=66,15,0)+IF(Inputs!$B$3&gt;=98,10,0)+IF(Inputs!$B$3&gt;=125,20,0)</f>
        <v/>
      </c>
    </row>
    <row r="1248">
      <c r="A1248" t="inlineStr">
        <is>
          <t>Attack Speed Bonus % (MP Eater - MP Boost, always-on + Nimble Feet, duty-cycle averaged)</t>
        </is>
      </c>
      <c r="B1248">
        <f>IF(C1231=TRUE,F1231+(F1235-Calc!F17),0)+((C1242=TRUE)*F1242*IF(AND(Inputs!$B$38&lt;&gt;"pvp",Inputs!$B$43&gt;0),(((R1242-1)*MIN((Skills!S24*(1+(Inputs!$B$34)/100)),(1/Q1242))+MIN((Skills!S24*(1+(Inputs!$B$34)/100)),MAX(0,Inputs!$B$43-((R1242-1)*(1/Q1242)))))/Inputs!$B$43),IF(Inputs!$B$38="pvp",MIN((Skills!S24*(1+(Inputs!$B$34)/100)),15)/15,MIN(1,(Skills!S24*(1+(Inputs!$B$34)/100))/(1/Q1242)))))</f>
        <v/>
      </c>
    </row>
    <row r="1249">
      <c r="A1249" t="inlineStr">
        <is>
          <t>Actions Per Second</t>
        </is>
      </c>
      <c r="B1249">
        <f>1+MIN(150,150*(1-(1-(Inputs!$B$11+(ArtifactsInput!$M$15-ArtifactsInput!$M$15)*CHOOSE(ArtifactsInput!$N$15+1,8,9.6,11.2,12.8,14.4,16))/150)*(1-B1248/150)))/100</f>
        <v/>
      </c>
    </row>
    <row r="1250">
      <c r="A1250" t="inlineStr">
        <is>
          <t>Skill + Buff Cast Rate</t>
        </is>
      </c>
      <c r="B1250">
        <f>IF(AND(Inputs!$B$38&lt;&gt;"pvp",Inputs!$B$43&gt;0),SUMPRODUCT((Skills!E2:E24=TRUE)*(C1220:C1242=TRUE)*R1220:R1242)/Inputs!$B$43,SUMPRODUCT((Skills!E2:E24=TRUE)*(C1220:C1242=TRUE)*Q1220:Q1242))</f>
        <v/>
      </c>
    </row>
    <row r="1251">
      <c r="A1251" t="inlineStr">
        <is>
          <t>Chain Lightning Casts Per Second</t>
        </is>
      </c>
      <c r="B1251">
        <f>MAX(0,B1249-B1250)</f>
        <v/>
      </c>
    </row>
    <row r="1252">
      <c r="A1252" t="inlineStr">
        <is>
          <t>Buff-Casting Startup Delay (s, fixed-duration only)</t>
        </is>
      </c>
      <c r="B1252">
        <f>IF(AND(Inputs!$B$38&lt;&gt;"pvp",Inputs!$B$43&gt;0),SUMPRODUCT((Skills!S2:S24&gt;0)*(Skills!E2:E24=TRUE)*(C1220:C1242=TRUE))/B1249,0)</f>
        <v/>
      </c>
    </row>
    <row r="1253">
      <c r="A1253" t="inlineStr">
        <is>
          <t>Boss-Only Total DPS (this block's swept value)</t>
        </is>
      </c>
      <c r="B1253">
        <f>SUM(S1220:S1242)</f>
        <v/>
      </c>
    </row>
    <row r="1254">
      <c r="A1254" t="inlineStr">
        <is>
          <t>Normal-Only Total DPS (this block's swept value)</t>
        </is>
      </c>
      <c r="B1254">
        <f>SUM(U1220:U1242)</f>
        <v/>
      </c>
    </row>
    <row r="1255">
      <c r="A1255" s="6" t="inlineStr">
        <is>
          <t>TOTAL DPS</t>
        </is>
      </c>
      <c r="B1255" s="6">
        <f>SUM(O1220:O1242)</f>
        <v/>
      </c>
    </row>
    <row r="1256">
      <c r="A1256" t="inlineStr">
        <is>
          <t>Blizzard Final Attack trigger rate (this block's own Q/R)</t>
        </is>
      </c>
      <c r="B1256">
        <f>IF(AND(Inputs!$B$38&lt;&gt;"pvp",Inputs!$B$43&gt;0),(((C1223=TRUE)*R1223*1)+((C1224=TRUE)*R1224*1)+((C1226=TRUE)*R1226*1)+((C1227=TRUE)*R1227*3)+((C1229=TRUE)*R1229*1))/Inputs!$B$43,((C1223=TRUE)*Q1223*1)+((C1224=TRUE)*Q1224*1)+((C1226=TRUE)*Q1226*1)+((C1227=TRUE)*Q1227*3)+((C1229=TRUE)*Q1229*1))+B1251</f>
        <v/>
      </c>
    </row>
    <row r="1259">
      <c r="A1259" s="6" t="inlineStr">
        <is>
          <t>Stat: Rainbow-colored Snail Shell (Equip)</t>
        </is>
      </c>
    </row>
    <row r="1260">
      <c r="A1260" s="5" t="inlineStr">
        <is>
          <t>Key</t>
        </is>
      </c>
      <c r="B1260" s="5" t="inlineStr">
        <is>
          <t>Name</t>
        </is>
      </c>
      <c r="C1260" s="5" t="inlineStr">
        <is>
          <t>Unlocked</t>
        </is>
      </c>
      <c r="D1260" s="5" t="inlineStr">
        <is>
          <t>InputLevel</t>
        </is>
      </c>
      <c r="E1260" s="5" t="inlineStr">
        <is>
          <t>Factor</t>
        </is>
      </c>
      <c r="F1260" s="5" t="inlineStr">
        <is>
          <t>CoefficientPercent</t>
        </is>
      </c>
      <c r="G1260" s="5" t="inlineStr">
        <is>
          <t>EffectiveHits</t>
        </is>
      </c>
      <c r="H1260" s="5" t="inlineStr">
        <is>
          <t>ProcProbability</t>
        </is>
      </c>
      <c r="I1260" s="5" t="inlineStr">
        <is>
          <t>MapleHeroMultiplier</t>
        </is>
      </c>
      <c r="J1260" s="5" t="inlineStr">
        <is>
          <t>BaseDamage</t>
        </is>
      </c>
      <c r="K1260" s="5" t="inlineStr">
        <is>
          <t>BaseHitDamage</t>
        </is>
      </c>
      <c r="L1260" s="5" t="inlineStr">
        <is>
          <t>NonCritAvg</t>
        </is>
      </c>
      <c r="M1260" s="5" t="inlineStr">
        <is>
          <t>CritAvg</t>
        </is>
      </c>
      <c r="N1260" s="5" t="inlineStr">
        <is>
          <t>ExpectedDamage(perHit)</t>
        </is>
      </c>
      <c r="O1260" s="5" t="inlineStr">
        <is>
          <t>DPS</t>
        </is>
      </c>
      <c r="P1260" s="5" t="inlineStr">
        <is>
          <t>% of Total</t>
        </is>
      </c>
      <c r="R1260" t="inlineStr">
        <is>
          <t>helpers</t>
        </is>
      </c>
    </row>
    <row r="1261">
      <c r="A1261">
        <f>Skills!A2</f>
        <v/>
      </c>
      <c r="B1261">
        <f>Skills!B2</f>
        <v/>
      </c>
      <c r="C1261">
        <f>Inputs!$B$3&gt;=100</f>
        <v/>
      </c>
      <c r="D1261" t="inlineStr"/>
      <c r="E1261" t="inlineStr"/>
      <c r="F1261">
        <f>T1263+Skills!N2</f>
        <v/>
      </c>
      <c r="G1261">
        <f>Calc!G2</f>
        <v/>
      </c>
      <c r="H1261">
        <f>Calc!H2</f>
        <v/>
      </c>
      <c r="I1261">
        <f>IF(Skills!T2&lt;&gt;"",1+(Skills!T2/10)*(Z1262/1000)/100,1)</f>
        <v/>
      </c>
      <c r="J1261">
        <f>((Inputs!$B$6*(1+Inputs!$B$7/100))+(((Inputs!$B$12*(1+Inputs!$B$13/100))-(Inputs!$B$12*(1+Inputs!$B$13/100)))+0.25*(Inputs!$B$14-Inputs!$B$14))*(1+Inputs!$B$7/100))*(F1261/100)</f>
        <v/>
      </c>
      <c r="K1261">
        <f>J1261*(1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2="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1261)</f>
        <v/>
      </c>
      <c r="L1261">
        <f>K1261*(MIN(Inputs!$B$22+(F1277-Calc!F18),(Inputs!$B$23+(IF(ArtifactsInput!$M$15,CHOOSE(ArtifactsInput!$N$15+1,25,30,35,40,45,50)/100*(Inputs!$B$11-Inputs!$B$11),0))))/100+(Inputs!$B$23+(IF(ArtifactsInput!$M$15,CHOOSE(ArtifactsInput!$N$15+1,25,30,35,40,45,50)/100*(Inputs!$B$11-Inputs!$B$11),0)))/100)/2</f>
        <v/>
      </c>
      <c r="M1261">
        <f>L1261*(1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1">
        <f>L1261*(1-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1">
        <f>(1-Summary!$B$11)*S1261+Summary!$B$11*U1261</f>
        <v/>
      </c>
      <c r="P1261">
        <f>IF(B1296=0,0,O1261/B1296)</f>
        <v/>
      </c>
      <c r="Q1261">
        <f>IFERROR(1/(IF(Inputs!$B$38="pvp",15,MAX(0.1,Skills!D2-IF(TRUE=TRUE,Inputs!$B$32,0)))*(1-IF(AND(ArtifactsInput!$M$27,Inputs!$B$4="Chapter Hunt"),CHOOSE(ArtifactsInput!$N$27+1,20,24,28,32,36,40),0)/100)),0)</f>
        <v/>
      </c>
      <c r="R1261" t="n">
        <v>0</v>
      </c>
      <c r="S1261">
        <f>IF(C1261,(Skills!F2*N1261*B1292)*IF(Inputs!$B$38="pvp",1,1+(Inputs!$B$20+Skills!O2+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1261*(1-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1261*(1-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261">
        <f>MAX(0,(Inputs!$B$3-100)*3)+Inputs!$B$28+Inputs!$B$29</f>
        <v/>
      </c>
      <c r="U1261">
        <f>IF(C1261,(Skills!F2*N1261*B1292)*IF(Inputs!$B$38="pvp",1,(1+(Inputs!$B$21+Skills!P2+B1287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261">
        <f>MAX(0,(Inputs!$B$3-100)*3)+Inputs!$B$28+Inputs!$B$29</f>
        <v/>
      </c>
    </row>
    <row r="1262">
      <c r="A1262">
        <f>Skills!A3</f>
        <v/>
      </c>
      <c r="B1262">
        <f>Skills!B3</f>
        <v/>
      </c>
      <c r="C1262">
        <f>Inputs!$B$3&gt;=15</f>
        <v/>
      </c>
      <c r="D1262">
        <f>IF(Skills!C3=1,60+Inputs!$B$25+Inputs!$B$29,IF(Skills!C3=2,90+Inputs!$B$26+Inputs!$B$29,IF(Skills!C3=3,120+Inputs!$B$27+Inputs!$B$29,MAX(0,(Inputs!$B$3-100)*3)+Inputs!$B$28+Inputs!$B$29)))</f>
        <v/>
      </c>
      <c r="E1262">
        <f>INDEX(FactorTable!$B$2:$Y$301, MATCH(ROUND(MIN(300,MAX(1,D1262)),0), FactorTable!$A$2:$A$301,0), Skills!L3+1)</f>
        <v/>
      </c>
      <c r="F1262">
        <f>IF(Skills!M3=TRUE,(Skills!K3/10)*(E1262/1000),Skills!K3/10)+Skills!N3</f>
        <v/>
      </c>
      <c r="G1262">
        <f>Calc!G3</f>
        <v/>
      </c>
      <c r="H1262">
        <f>Calc!H3</f>
        <v/>
      </c>
      <c r="I1262">
        <f>IF(Skills!T3&lt;&gt;"",1+(Skills!T3/10)*(Z1262/1000)/100,1)</f>
        <v/>
      </c>
      <c r="J1262" t="inlineStr"/>
      <c r="K1262" t="inlineStr"/>
      <c r="L1262" t="inlineStr"/>
      <c r="M1262" t="inlineStr"/>
      <c r="N1262" t="inlineStr"/>
      <c r="O1262">
        <f>(1-Summary!$B$11)*S1262+Summary!$B$11*U1262</f>
        <v/>
      </c>
      <c r="P1262">
        <f>IF(B1296=0,0,O1262/B1296)</f>
        <v/>
      </c>
      <c r="Q1262">
        <f>IFERROR(1/(IF(Inputs!$B$38="pvp",15,MAX(0.1,Skills!D3-IF(TRUE=TRUE,Inputs!$B$32,0)))*(1-IF(AND(ArtifactsInput!$M$27,Inputs!$B$4="Chapter Hunt"),CHOOSE(ArtifactsInput!$N$27+1,20,24,28,32,36,40),0)/100)),0)</f>
        <v/>
      </c>
      <c r="R1262">
        <f>IF(AND(Inputs!$B$38&lt;&gt;"pvp",Inputs!$B$43&gt;0),IF(Inputs!$B$43&lt;=0,0,(INT(Inputs!$B$43/(IF(Inputs!$B$38="pvp",15,MAX(0.1,Skills!D3-IF(TRUE=TRUE,Inputs!$B$32,0)))*(1-IF(AND(ArtifactsInput!$M$27,Inputs!$B$4="Chapter Hunt"),CHOOSE(ArtifactsInput!$N$27+1,20,24,28,32,36,40),0)/100)))+1)),0)</f>
        <v/>
      </c>
      <c r="S1262" t="n">
        <v>0</v>
      </c>
      <c r="T1262">
        <f>INDEX(FactorTable!$B$2:$Y$301, MATCH(ROUND(MIN(300,MAX(1,T1261)),0), FactorTable!$A$2:$A$301,0), 22)</f>
        <v/>
      </c>
      <c r="U1262" t="n">
        <v>0</v>
      </c>
      <c r="Z1262">
        <f>INDEX(FactorTable!$B$2:$Y$301, MATCH(ROUND(MIN(300,MAX(1,Z1261)),0), FactorTable!$A$2:$A$301,0), 24)</f>
        <v/>
      </c>
    </row>
    <row r="1263">
      <c r="A1263">
        <f>Skills!A4</f>
        <v/>
      </c>
      <c r="B1263">
        <f>Skills!B4</f>
        <v/>
      </c>
      <c r="C1263">
        <f>Inputs!$B$3&gt;=40</f>
        <v/>
      </c>
      <c r="D1263">
        <f>IF(Skills!C4=1,60+Inputs!$B$25+Inputs!$B$29,IF(Skills!C4=2,90+Inputs!$B$26+Inputs!$B$29,IF(Skills!C4=3,120+Inputs!$B$27+Inputs!$B$29,MAX(0,(Inputs!$B$3-100)*3)+Inputs!$B$28+Inputs!$B$29)))</f>
        <v/>
      </c>
      <c r="E1263">
        <f>INDEX(FactorTable!$B$2:$Y$301, MATCH(ROUND(MIN(300,MAX(1,D1263)),0), FactorTable!$A$2:$A$301,0), Skills!L4+1)</f>
        <v/>
      </c>
      <c r="F1263">
        <f>IF(Skills!M4=TRUE,(Skills!K4/10)*(E1263/1000),Skills!K4/10)+Skills!N4</f>
        <v/>
      </c>
      <c r="G1263">
        <f>Calc!G4</f>
        <v/>
      </c>
      <c r="H1263">
        <f>Calc!H4</f>
        <v/>
      </c>
      <c r="I1263">
        <f>IF(Skills!T4&lt;&gt;"",1+(Skills!T4/10)*(Z1262/1000)/100,1)</f>
        <v/>
      </c>
      <c r="J1263" t="inlineStr"/>
      <c r="K1263" t="inlineStr"/>
      <c r="L1263" t="inlineStr"/>
      <c r="M1263" t="inlineStr"/>
      <c r="N1263" t="inlineStr"/>
      <c r="O1263">
        <f>(1-Summary!$B$11)*S1263+Summary!$B$11*U1263</f>
        <v/>
      </c>
      <c r="P1263">
        <f>IF(B1296=0,0,O1263/B1296)</f>
        <v/>
      </c>
      <c r="Q1263">
        <f>IFERROR(1/(IF(Inputs!$B$38="pvp",15,MAX(0.1,Skills!D4-IF(TRUE=TRUE,Inputs!$B$32,0)))*(1-IF(AND(ArtifactsInput!$M$27,Inputs!$B$4="Chapter Hunt"),CHOOSE(ArtifactsInput!$N$27+1,20,24,28,32,36,40),0)/100)),0)</f>
        <v/>
      </c>
      <c r="R1263">
        <f>IF(AND(Inputs!$B$38&lt;&gt;"pvp",Inputs!$B$43&gt;0),IF(Inputs!$B$43&lt;=0,0,(INT(Inputs!$B$43/(IF(Inputs!$B$38="pvp",15,MAX(0.1,Skills!D4-IF(TRUE=TRUE,Inputs!$B$32,0)))*(1-IF(AND(ArtifactsInput!$M$27,Inputs!$B$4="Chapter Hunt"),CHOOSE(ArtifactsInput!$N$27+1,20,24,28,32,36,40),0)/100)))+1)),0)</f>
        <v/>
      </c>
      <c r="S1263" t="n">
        <v>0</v>
      </c>
      <c r="T1263">
        <f>290*T1262/1000</f>
        <v/>
      </c>
      <c r="U1263" t="n">
        <v>0</v>
      </c>
    </row>
    <row r="1264">
      <c r="A1264">
        <f>Skills!A5</f>
        <v/>
      </c>
      <c r="B1264">
        <f>Skills!B5</f>
        <v/>
      </c>
      <c r="C1264">
        <f>Inputs!$B$3&gt;=38</f>
        <v/>
      </c>
      <c r="D1264">
        <f>IF(Skills!C5=1,60+Inputs!$B$25+Inputs!$B$29,IF(Skills!C5=2,90+Inputs!$B$26+Inputs!$B$29,IF(Skills!C5=3,120+Inputs!$B$27+Inputs!$B$29,MAX(0,(Inputs!$B$3-100)*3)+Inputs!$B$28+Inputs!$B$29)))</f>
        <v/>
      </c>
      <c r="E1264">
        <f>INDEX(FactorTable!$B$2:$Y$301, MATCH(ROUND(MIN(300,MAX(1,D1264)),0), FactorTable!$A$2:$A$301,0), Skills!L5+1)</f>
        <v/>
      </c>
      <c r="F1264">
        <f>IF(Skills!M5=TRUE,(Skills!K5/10)*(E1264/1000),Skills!K5/10)+Skills!N5</f>
        <v/>
      </c>
      <c r="G1264">
        <f>Calc!G5</f>
        <v/>
      </c>
      <c r="H1264">
        <f>Calc!H5</f>
        <v/>
      </c>
      <c r="I1264">
        <f>IF(Skills!T5&lt;&gt;"",1+(Skills!T5/10)*(Z1262/1000)/100,1)</f>
        <v/>
      </c>
      <c r="J1264">
        <f>((Inputs!$B$6*(1+Inputs!$B$7/100))+(((Inputs!$B$12*(1+Inputs!$B$13/100))-(Inputs!$B$12*(1+Inputs!$B$13/100)))+0.25*(Inputs!$B$14-Inputs!$B$14))*(1+Inputs!$B$7/100))*(F1264/100)</f>
        <v/>
      </c>
      <c r="K1264">
        <f>J1264*(1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5="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1264)</f>
        <v/>
      </c>
      <c r="L1264">
        <f>K1264*(MIN(Inputs!$B$22+(F1277-Calc!F18),(Inputs!$B$23+(IF(ArtifactsInput!$M$15,CHOOSE(ArtifactsInput!$N$15+1,25,30,35,40,45,50)/100*(Inputs!$B$11-Inputs!$B$11),0))))/100+(Inputs!$B$23+(IF(ArtifactsInput!$M$15,CHOOSE(ArtifactsInput!$N$15+1,25,30,35,40,45,50)/100*(Inputs!$B$11-Inputs!$B$11),0)))/100)/2</f>
        <v/>
      </c>
      <c r="M1264">
        <f>L1264*(1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4">
        <f>L1264*(1-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1264*(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4">
        <f>(1-Summary!$B$11)*S1264+Summary!$B$11*U1264</f>
        <v/>
      </c>
      <c r="P1264">
        <f>IF(B1296=0,0,O1264/B1296)</f>
        <v/>
      </c>
      <c r="Q1264">
        <f>IFERROR(1/(IF(Inputs!$B$38="pvp",15,MAX(0.1,Skills!D5-IF(TRUE=TRUE,Inputs!$B$32,0)))*(1-IF(AND(ArtifactsInput!$M$27,Inputs!$B$4="Chapter Hunt"),CHOOSE(ArtifactsInput!$N$27+1,20,24,28,32,36,40),0)/100)),0)</f>
        <v/>
      </c>
      <c r="R1264">
        <f>IF(AND(Inputs!$B$38&lt;&gt;"pvp",Inputs!$B$43&gt;0),IF(MAX(0,Inputs!$B$43-B1293)&lt;=0,0,(INT(MAX(0,Inputs!$B$43-B1293)/(IF(Inputs!$B$38="pvp",15,MAX(0.1,Skills!D5-IF(TRUE=TRUE,Inputs!$B$32,0)))*(1-IF(AND(ArtifactsInput!$M$27,Inputs!$B$4="Chapter Hunt"),CHOOSE(ArtifactsInput!$N$27+1,20,24,28,32,36,40),0)/100)))+1)),0)</f>
        <v/>
      </c>
      <c r="S1264">
        <f>IF(C1264,(H1264*N1264*IF(AND(Inputs!$B$38&lt;&gt;"pvp",Inputs!$B$43&gt;0),((Skills!F5*((R1264-1)*IF(Skills!G5&gt;0,Skills!H5/Skills!G5,1)+IF(Skills!G5&gt;0,MIN(Skills!H5,MAX(0,MAX(0,Inputs!$B$43-B1293)-((R1264-1)*(IF(Inputs!$B$38="pvp",15,MAX(0.1,Skills!D5-IF(TRUE=TRUE,Inputs!$B$32,0)))*(1-IF(AND(ArtifactsInput!$M$27,Inputs!$B$4="Chapter Hunt"),CHOOSE(ArtifactsInput!$N$27+1,20,24,28,32,36,40),0)/100)))))/Skills!G5,1)))/Inputs!$B$43),G1264*Q1264))*IF(Inputs!$B$38="pvp",1,1+(Inputs!$B$20+Skills!O5+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1264*(1-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1264*(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1264*(1-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1264*(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4">
        <f>IF(C1264,(H1264*N1264*IF(AND(Inputs!$B$38&lt;&gt;"pvp",Inputs!$B$43&gt;0),((Skills!F5*((R1264-1)*IF(Skills!G5&gt;0,Skills!H5/Skills!G5,1)+IF(Skills!G5&gt;0,MIN(Skills!H5,MAX(0,MAX(0,Inputs!$B$43-B1293)-((R1264-1)*(IF(Inputs!$B$38="pvp",15,MAX(0.1,Skills!D5-IF(TRUE=TRUE,Inputs!$B$32,0)))*(1-IF(AND(ArtifactsInput!$M$27,Inputs!$B$4="Chapter Hunt"),CHOOSE(ArtifactsInput!$N$27+1,20,24,28,32,36,40),0)/100)))))/Skills!G5,1)))/Inputs!$B$43),G1264*Q1264))*IF(Inputs!$B$38="pvp",1,(1+(Inputs!$B$21+Skills!P5+B1287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5">
      <c r="A1265">
        <f>Skills!A6</f>
        <v/>
      </c>
      <c r="B1265">
        <f>Skills!B6</f>
        <v/>
      </c>
      <c r="C1265">
        <f>Inputs!$B$3&gt;=63</f>
        <v/>
      </c>
      <c r="D1265">
        <f>IF(Skills!C6=1,60+Inputs!$B$25+Inputs!$B$29,IF(Skills!C6=2,90+Inputs!$B$26+Inputs!$B$29,IF(Skills!C6=3,120+Inputs!$B$27+Inputs!$B$29,MAX(0,(Inputs!$B$3-100)*3)+Inputs!$B$28+Inputs!$B$29)))</f>
        <v/>
      </c>
      <c r="E1265">
        <f>INDEX(FactorTable!$B$2:$Y$301, MATCH(ROUND(MIN(300,MAX(1,D1265)),0), FactorTable!$A$2:$A$301,0), Skills!L6+1)</f>
        <v/>
      </c>
      <c r="F1265">
        <f>IF(Skills!M6=TRUE,(Skills!K6/10)*(E1265/1000),Skills!K6/10)+Skills!N6</f>
        <v/>
      </c>
      <c r="G1265">
        <f>Calc!G6</f>
        <v/>
      </c>
      <c r="H1265">
        <f>Calc!H6</f>
        <v/>
      </c>
      <c r="I1265">
        <f>IF(Skills!T6&lt;&gt;"",1+(Skills!T6/10)*(Z1262/1000)/100,1)</f>
        <v/>
      </c>
      <c r="J1265">
        <f>((Inputs!$B$6*(1+Inputs!$B$7/100))+(((Inputs!$B$12*(1+Inputs!$B$13/100))-(Inputs!$B$12*(1+Inputs!$B$13/100)))+0.25*(Inputs!$B$14-Inputs!$B$14))*(1+Inputs!$B$7/100))*(F1265/100)</f>
        <v/>
      </c>
      <c r="K1265">
        <f>J1265*(1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6="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1265)</f>
        <v/>
      </c>
      <c r="L1265">
        <f>K1265*(MIN(Inputs!$B$22+(F1277-Calc!F18),(Inputs!$B$23+(IF(ArtifactsInput!$M$15,CHOOSE(ArtifactsInput!$N$15+1,25,30,35,40,45,50)/100*(Inputs!$B$11-Inputs!$B$11),0))))/100+(Inputs!$B$23+(IF(ArtifactsInput!$M$15,CHOOSE(ArtifactsInput!$N$15+1,25,30,35,40,45,50)/100*(Inputs!$B$11-Inputs!$B$11),0)))/100)/2</f>
        <v/>
      </c>
      <c r="M1265">
        <f>L1265*(1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5">
        <f>L1265*(1-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1265*(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5">
        <f>(1-Summary!$B$11)*S1265+Summary!$B$11*U1265</f>
        <v/>
      </c>
      <c r="P1265">
        <f>IF(B1296=0,0,O1265/B1296)</f>
        <v/>
      </c>
      <c r="Q1265">
        <f>IFERROR(1/(IF(Inputs!$B$38="pvp",15,MAX(0.1,Skills!D6-IF(TRUE=TRUE,Inputs!$B$32,0)))*(1-IF(AND(ArtifactsInput!$M$27,Inputs!$B$4="Chapter Hunt"),CHOOSE(ArtifactsInput!$N$27+1,20,24,28,32,36,40),0)/100)),0)</f>
        <v/>
      </c>
      <c r="R1265">
        <f>IF(AND(Inputs!$B$38&lt;&gt;"pvp",Inputs!$B$43&gt;0),IF(MAX(0,Inputs!$B$43-B1293)&lt;=0,0,(INT(MAX(0,Inputs!$B$43-B1293)/(IF(Inputs!$B$38="pvp",15,MAX(0.1,Skills!D6-IF(TRUE=TRUE,Inputs!$B$32,0)))*(1-IF(AND(ArtifactsInput!$M$27,Inputs!$B$4="Chapter Hunt"),CHOOSE(ArtifactsInput!$N$27+1,20,24,28,32,36,40),0)/100)))+1)),0)</f>
        <v/>
      </c>
      <c r="S1265">
        <f>IF(C1265,(H1265*N1265*IF(AND(Inputs!$B$38&lt;&gt;"pvp",Inputs!$B$43&gt;0),((Skills!F6*((R1265-1)*IF(Skills!G6&gt;0,Skills!H6/Skills!G6,1)+IF(Skills!G6&gt;0,MIN(Skills!H6,MAX(0,MAX(0,Inputs!$B$43-B1293)-((R1265-1)*(IF(Inputs!$B$38="pvp",15,MAX(0.1,Skills!D6-IF(TRUE=TRUE,Inputs!$B$32,0)))*(1-IF(AND(ArtifactsInput!$M$27,Inputs!$B$4="Chapter Hunt"),CHOOSE(ArtifactsInput!$N$27+1,20,24,28,32,36,40),0)/100)))))/Skills!G6,1)))/Inputs!$B$43),G1265*Q1265))*IF(Inputs!$B$38="pvp",1,1+(Inputs!$B$20+Skills!O6+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1265*(1-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1265*(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1265*(1-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1265*(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5">
        <f>IF(C1265,(H1265*N1265*IF(AND(Inputs!$B$38&lt;&gt;"pvp",Inputs!$B$43&gt;0),((Skills!F6*((R1265-1)*IF(Skills!G6&gt;0,Skills!H6/Skills!G6,1)+IF(Skills!G6&gt;0,MIN(Skills!H6,MAX(0,MAX(0,Inputs!$B$43-B1293)-((R1265-1)*(IF(Inputs!$B$38="pvp",15,MAX(0.1,Skills!D6-IF(TRUE=TRUE,Inputs!$B$32,0)))*(1-IF(AND(ArtifactsInput!$M$27,Inputs!$B$4="Chapter Hunt"),CHOOSE(ArtifactsInput!$N$27+1,20,24,28,32,36,40),0)/100)))))/Skills!G6,1)))/Inputs!$B$43),G1265*Q1265))*IF(Inputs!$B$38="pvp",1,(1+(Inputs!$B$21+Skills!P6+B1287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6">
      <c r="A1266">
        <f>Skills!A7</f>
        <v/>
      </c>
      <c r="B1266">
        <f>Skills!B7</f>
        <v/>
      </c>
      <c r="C1266">
        <f>Inputs!$B$3&gt;=69</f>
        <v/>
      </c>
      <c r="D1266">
        <f>IF(Skills!C7=1,60+Inputs!$B$25+Inputs!$B$29,IF(Skills!C7=2,90+Inputs!$B$26+Inputs!$B$29,IF(Skills!C7=3,120+Inputs!$B$27+Inputs!$B$29,MAX(0,(Inputs!$B$3-100)*3)+Inputs!$B$28+Inputs!$B$29)))</f>
        <v/>
      </c>
      <c r="E1266">
        <f>INDEX(FactorTable!$B$2:$Y$301, MATCH(ROUND(MIN(300,MAX(1,D1266)),0), FactorTable!$A$2:$A$301,0), Skills!L7+1)</f>
        <v/>
      </c>
      <c r="F1266">
        <f>IF(Skills!M7=TRUE,(Skills!K7/10)*(E1266/1000),Skills!K7/10)+Skills!N7</f>
        <v/>
      </c>
      <c r="G1266">
        <f>Calc!G7</f>
        <v/>
      </c>
      <c r="H1266">
        <f>Calc!H7</f>
        <v/>
      </c>
      <c r="I1266">
        <f>IF(Skills!T7&lt;&gt;"",1+(Skills!T7/10)*(Z1262/1000)/100,1)</f>
        <v/>
      </c>
      <c r="J1266">
        <f>((Inputs!$B$6*(1+Inputs!$B$7/100))+(((Inputs!$B$12*(1+Inputs!$B$13/100))-(Inputs!$B$12*(1+Inputs!$B$13/100)))+0.25*(Inputs!$B$14-Inputs!$B$14))*(1+Inputs!$B$7/100))*(F1266/100)</f>
        <v/>
      </c>
      <c r="K1266">
        <f>J1266*(1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7="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1266)</f>
        <v/>
      </c>
      <c r="L1266">
        <f>K1266*(MIN(Inputs!$B$22+(F1277-Calc!F18),(Inputs!$B$23+(IF(ArtifactsInput!$M$15,CHOOSE(ArtifactsInput!$N$15+1,25,30,35,40,45,50)/100*(Inputs!$B$11-Inputs!$B$11),0))))/100+(Inputs!$B$23+(IF(ArtifactsInput!$M$15,CHOOSE(ArtifactsInput!$N$15+1,25,30,35,40,45,50)/100*(Inputs!$B$11-Inputs!$B$11),0)))/100)/2</f>
        <v/>
      </c>
      <c r="M1266">
        <f>L1266*(1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6">
        <f>L1266*(1-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1266*(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6">
        <f>(1-Summary!$B$11)*S1266+Summary!$B$11*U1266</f>
        <v/>
      </c>
      <c r="P1266">
        <f>IF(B1296=0,0,O1266/B1296)</f>
        <v/>
      </c>
      <c r="Q1266">
        <f>IFERROR(1/(IF(Inputs!$B$38="pvp",15,MAX(0.1,Skills!D7-IF(TRUE=TRUE,Inputs!$B$32,0)))*(1-IF(AND(ArtifactsInput!$M$27,Inputs!$B$4="Chapter Hunt"),CHOOSE(ArtifactsInput!$N$27+1,20,24,28,32,36,40),0)/100)),0)</f>
        <v/>
      </c>
      <c r="R1266">
        <f>IF(AND(Inputs!$B$38&lt;&gt;"pvp",Inputs!$B$43&gt;0),IF(MAX(0,Inputs!$B$43-B1293)&lt;=0,0,(INT(MAX(0,Inputs!$B$43-B1293)/(IF(Inputs!$B$38="pvp",15,MAX(0.1,Skills!D7-IF(TRUE=TRUE,Inputs!$B$32,0)))*(1-IF(AND(ArtifactsInput!$M$27,Inputs!$B$4="Chapter Hunt"),CHOOSE(ArtifactsInput!$N$27+1,20,24,28,32,36,40),0)/100)))+1)),0)</f>
        <v/>
      </c>
      <c r="S1266">
        <f>IF(C1266,(H1266*N1266*IF(AND(Inputs!$B$38&lt;&gt;"pvp",Inputs!$B$43&gt;0),((Skills!F7*((R1266-1)*IF(Skills!G7&gt;0,Skills!H7/Skills!G7,1)+IF(Skills!G7&gt;0,MIN(Skills!H7,MAX(0,MAX(0,Inputs!$B$43-B1293)-((R1266-1)*(IF(Inputs!$B$38="pvp",15,MAX(0.1,Skills!D7-IF(TRUE=TRUE,Inputs!$B$32,0)))*(1-IF(AND(ArtifactsInput!$M$27,Inputs!$B$4="Chapter Hunt"),CHOOSE(ArtifactsInput!$N$27+1,20,24,28,32,36,40),0)/100)))))/Skills!G7,1)))/Inputs!$B$43),G1266*Q1266))*IF(Inputs!$B$38="pvp",1,1+(Inputs!$B$20+Skills!O7+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1266*(1-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1266*(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1266*(1-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1266*(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6">
        <f>IF(C1266,(H1266*N1266*IF(AND(Inputs!$B$38&lt;&gt;"pvp",Inputs!$B$43&gt;0),((Skills!F7*((R1266-1)*IF(Skills!G7&gt;0,Skills!H7/Skills!G7,1)+IF(Skills!G7&gt;0,MIN(Skills!H7,MAX(0,MAX(0,Inputs!$B$43-B1293)-((R1266-1)*(IF(Inputs!$B$38="pvp",15,MAX(0.1,Skills!D7-IF(TRUE=TRUE,Inputs!$B$32,0)))*(1-IF(AND(ArtifactsInput!$M$27,Inputs!$B$4="Chapter Hunt"),CHOOSE(ArtifactsInput!$N$27+1,20,24,28,32,36,40),0)/100)))))/Skills!G7,1)))/Inputs!$B$43),G1266*Q1266))*IF(Inputs!$B$38="pvp",1,(1+(Inputs!$B$21+Skills!P7+B1287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7">
      <c r="A1267">
        <f>Skills!A8</f>
        <v/>
      </c>
      <c r="B1267">
        <f>Skills!B8</f>
        <v/>
      </c>
      <c r="C1267">
        <f>Inputs!$B$3&gt;=103</f>
        <v/>
      </c>
      <c r="D1267">
        <f>IF(Skills!C8=1,60+Inputs!$B$25+Inputs!$B$29,IF(Skills!C8=2,90+Inputs!$B$26+Inputs!$B$29,IF(Skills!C8=3,120+Inputs!$B$27+Inputs!$B$29,MAX(0,(Inputs!$B$3-100)*3)+Inputs!$B$28+Inputs!$B$29)))</f>
        <v/>
      </c>
      <c r="E1267">
        <f>INDEX(FactorTable!$B$2:$Y$301, MATCH(ROUND(MIN(300,MAX(1,D1267)),0), FactorTable!$A$2:$A$301,0), Skills!L8+1)</f>
        <v/>
      </c>
      <c r="F1267">
        <f>IF(Skills!M8=TRUE,(Skills!K8/10)*(E1267/1000),Skills!K8/10)+Skills!N8</f>
        <v/>
      </c>
      <c r="G1267">
        <f>Calc!G8</f>
        <v/>
      </c>
      <c r="H1267">
        <f>Calc!H8</f>
        <v/>
      </c>
      <c r="I1267">
        <f>IF(Skills!T8&lt;&gt;"",1+(Skills!T8/10)*(Z1262/1000)/100,1)</f>
        <v/>
      </c>
      <c r="J1267">
        <f>((Inputs!$B$6*(1+Inputs!$B$7/100))+(((Inputs!$B$12*(1+Inputs!$B$13/100))-(Inputs!$B$12*(1+Inputs!$B$13/100)))+0.25*(Inputs!$B$14-Inputs!$B$14))*(1+Inputs!$B$7/100))*(F1267/100)</f>
        <v/>
      </c>
      <c r="K1267">
        <f>J1267*(1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8="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1267)</f>
        <v/>
      </c>
      <c r="L1267">
        <f>K1267*(MIN(Inputs!$B$22+(F1277-Calc!F18),(Inputs!$B$23+(IF(ArtifactsInput!$M$15,CHOOSE(ArtifactsInput!$N$15+1,25,30,35,40,45,50)/100*(Inputs!$B$11-Inputs!$B$11),0))))/100+(Inputs!$B$23+(IF(ArtifactsInput!$M$15,CHOOSE(ArtifactsInput!$N$15+1,25,30,35,40,45,50)/100*(Inputs!$B$11-Inputs!$B$11),0)))/100)/2</f>
        <v/>
      </c>
      <c r="M1267">
        <f>L1267*(1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7">
        <f>L1267*(1-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1267*(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7">
        <f>(1-Summary!$B$11)*S1267+Summary!$B$11*U1267</f>
        <v/>
      </c>
      <c r="P1267">
        <f>IF(B1296=0,0,O1267/B1296)</f>
        <v/>
      </c>
      <c r="Q1267">
        <f>IFERROR(1/(IF(Inputs!$B$38="pvp",15,MAX(0.1,Skills!D8-IF(TRUE=TRUE,Inputs!$B$32,0)))*(1-IF(AND(ArtifactsInput!$M$27,Inputs!$B$4="Chapter Hunt"),CHOOSE(ArtifactsInput!$N$27+1,20,24,28,32,36,40),0)/100)),0)</f>
        <v/>
      </c>
      <c r="R1267">
        <f>IF(AND(Inputs!$B$38&lt;&gt;"pvp",Inputs!$B$43&gt;0),IF(MAX(0,Inputs!$B$43-B1293)&lt;=0,0,(INT(MAX(0,Inputs!$B$43-B1293)/(IF(Inputs!$B$38="pvp",15,MAX(0.1,Skills!D8-IF(TRUE=TRUE,Inputs!$B$32,0)))*(1-IF(AND(ArtifactsInput!$M$27,Inputs!$B$4="Chapter Hunt"),CHOOSE(ArtifactsInput!$N$27+1,20,24,28,32,36,40),0)/100)))+1)),0)</f>
        <v/>
      </c>
      <c r="S1267">
        <f>IF(C1267,(H1267*N1267*IF(AND(Inputs!$B$38&lt;&gt;"pvp",Inputs!$B$43&gt;0),((Skills!F8*((R1267-1)*IF(Skills!G8&gt;0,Skills!H8/Skills!G8,1)+IF(Skills!G8&gt;0,MIN(Skills!H8,MAX(0,MAX(0,Inputs!$B$43-B1293)-((R1267-1)*(IF(Inputs!$B$38="pvp",15,MAX(0.1,Skills!D8-IF(TRUE=TRUE,Inputs!$B$32,0)))*(1-IF(AND(ArtifactsInput!$M$27,Inputs!$B$4="Chapter Hunt"),CHOOSE(ArtifactsInput!$N$27+1,20,24,28,32,36,40),0)/100)))))/Skills!G8,1)))/Inputs!$B$43),G1267*Q1267))*IF(Inputs!$B$38="pvp",1,1+(Inputs!$B$20+Skills!O8+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1267*(1-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1267*(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1267*(1-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1267*(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7">
        <f>IF(C1267,(H1267*N1267*IF(AND(Inputs!$B$38&lt;&gt;"pvp",Inputs!$B$43&gt;0),((Skills!F8*((R1267-1)*IF(Skills!G8&gt;0,Skills!H8/Skills!G8,1)+IF(Skills!G8&gt;0,MIN(Skills!H8,MAX(0,MAX(0,Inputs!$B$43-B1293)-((R1267-1)*(IF(Inputs!$B$38="pvp",15,MAX(0.1,Skills!D8-IF(TRUE=TRUE,Inputs!$B$32,0)))*(1-IF(AND(ArtifactsInput!$M$27,Inputs!$B$4="Chapter Hunt"),CHOOSE(ArtifactsInput!$N$27+1,20,24,28,32,36,40),0)/100)))))/Skills!G8,1)))/Inputs!$B$43),G1267*Q1267))*IF(Inputs!$B$38="pvp",1,(1+(Inputs!$B$21+Skills!P8+B1287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8">
      <c r="A1268">
        <f>Skills!A9</f>
        <v/>
      </c>
      <c r="B1268">
        <f>Skills!B9</f>
        <v/>
      </c>
      <c r="C1268">
        <f>Inputs!$B$3&gt;=105</f>
        <v/>
      </c>
      <c r="D1268">
        <f>IF(Skills!C9=1,60+Inputs!$B$25+Inputs!$B$29,IF(Skills!C9=2,90+Inputs!$B$26+Inputs!$B$29,IF(Skills!C9=3,120+Inputs!$B$27+Inputs!$B$29,MAX(0,(Inputs!$B$3-100)*3)+Inputs!$B$28+Inputs!$B$29)))</f>
        <v/>
      </c>
      <c r="E1268">
        <f>INDEX(FactorTable!$B$2:$Y$301, MATCH(ROUND(MIN(300,MAX(1,D1268)),0), FactorTable!$A$2:$A$301,0), Skills!L9+1)</f>
        <v/>
      </c>
      <c r="F1268">
        <f>IF(Skills!M9=TRUE,(Skills!K9/10)*(E1268/1000),Skills!K9/10)+Skills!N9</f>
        <v/>
      </c>
      <c r="G1268">
        <f>Calc!G9</f>
        <v/>
      </c>
      <c r="H1268">
        <f>Calc!H9</f>
        <v/>
      </c>
      <c r="I1268">
        <f>IF(Skills!T9&lt;&gt;"",1+(Skills!T9/10)*(Z1262/1000)/100,1)</f>
        <v/>
      </c>
      <c r="J1268">
        <f>((Inputs!$B$6*(1+Inputs!$B$7/100))+(((Inputs!$B$12*(1+Inputs!$B$13/100))-(Inputs!$B$12*(1+Inputs!$B$13/100)))+0.25*(Inputs!$B$14-Inputs!$B$14))*(1+Inputs!$B$7/100))*(F1268/100)</f>
        <v/>
      </c>
      <c r="K1268">
        <f>J1268*(1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9="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1268)</f>
        <v/>
      </c>
      <c r="L1268">
        <f>K1268*(MIN(Inputs!$B$22+(F1277-Calc!F18),(Inputs!$B$23+(IF(ArtifactsInput!$M$15,CHOOSE(ArtifactsInput!$N$15+1,25,30,35,40,45,50)/100*(Inputs!$B$11-Inputs!$B$11),0))))/100+(Inputs!$B$23+(IF(ArtifactsInput!$M$15,CHOOSE(ArtifactsInput!$N$15+1,25,30,35,40,45,50)/100*(Inputs!$B$11-Inputs!$B$11),0)))/100)/2</f>
        <v/>
      </c>
      <c r="M1268">
        <f>L1268*(1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8">
        <f>L1268*(1-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1268*(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8">
        <f>(1-Summary!$B$11)*S1268+Summary!$B$11*U1268</f>
        <v/>
      </c>
      <c r="P1268">
        <f>IF(B1296=0,0,O1268/B1296)</f>
        <v/>
      </c>
      <c r="Q1268">
        <f>IFERROR(1/(IF(Inputs!$B$38="pvp",15,MAX(0.1,Skills!D9-IF(TRUE=TRUE,Inputs!$B$32,0)))*(1-IF(AND(ArtifactsInput!$M$27,Inputs!$B$4="Chapter Hunt"),CHOOSE(ArtifactsInput!$N$27+1,20,24,28,32,36,40),0)/100)),0)</f>
        <v/>
      </c>
      <c r="R1268">
        <f>IF(AND(Inputs!$B$38&lt;&gt;"pvp",Inputs!$B$43&gt;0),IF(MAX(0,Inputs!$B$43-B1293)&lt;=0,0,(INT(MAX(0,Inputs!$B$43-B1293)/(IF(Inputs!$B$38="pvp",15,MAX(0.1,Skills!D9-IF(TRUE=TRUE,Inputs!$B$32,0)))*(1-IF(AND(ArtifactsInput!$M$27,Inputs!$B$4="Chapter Hunt"),CHOOSE(ArtifactsInput!$N$27+1,20,24,28,32,36,40),0)/100)))+1)),0)</f>
        <v/>
      </c>
      <c r="S1268">
        <f>IF(C1268,(H1268*N1268*IF(AND(Inputs!$B$38&lt;&gt;"pvp",Inputs!$B$43&gt;0),((Skills!F9*((R1268-1)*IF(Skills!G9&gt;0,Skills!H9/Skills!G9,1)+IF(Skills!G9&gt;0,MIN(Skills!H9,MAX(0,MAX(0,Inputs!$B$43-B1293)-((R1268-1)*(IF(Inputs!$B$38="pvp",15,MAX(0.1,Skills!D9-IF(TRUE=TRUE,Inputs!$B$32,0)))*(1-IF(AND(ArtifactsInput!$M$27,Inputs!$B$4="Chapter Hunt"),CHOOSE(ArtifactsInput!$N$27+1,20,24,28,32,36,40),0)/100)))))/Skills!G9,1)))/Inputs!$B$43),G1268*Q1268))*IF(Inputs!$B$38="pvp",1,1+(Inputs!$B$20+Skills!O9+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1268*(1-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1268*(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1268*(1-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1268*(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8">
        <f>IF(C1268,(H1268*N1268*IF(AND(Inputs!$B$38&lt;&gt;"pvp",Inputs!$B$43&gt;0),((Skills!F9*((R1268-1)*IF(Skills!G9&gt;0,Skills!H9/Skills!G9,1)+IF(Skills!G9&gt;0,MIN(Skills!H9,MAX(0,MAX(0,Inputs!$B$43-B1293)-((R1268-1)*(IF(Inputs!$B$38="pvp",15,MAX(0.1,Skills!D9-IF(TRUE=TRUE,Inputs!$B$32,0)))*(1-IF(AND(ArtifactsInput!$M$27,Inputs!$B$4="Chapter Hunt"),CHOOSE(ArtifactsInput!$N$27+1,20,24,28,32,36,40),0)/100)))))/Skills!G9,1)))/Inputs!$B$43),G1268*Q1268))*IF(Inputs!$B$38="pvp",1,(1+(Inputs!$B$21+Skills!P9+B1287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9">
      <c r="A1269">
        <f>Skills!A10</f>
        <v/>
      </c>
      <c r="B1269">
        <f>Skills!B10</f>
        <v/>
      </c>
      <c r="C1269">
        <f>Inputs!$B$3&gt;=113</f>
        <v/>
      </c>
      <c r="D1269">
        <f>IF(Skills!C10=1,60+Inputs!$B$25+Inputs!$B$29,IF(Skills!C10=2,90+Inputs!$B$26+Inputs!$B$29,IF(Skills!C10=3,120+Inputs!$B$27+Inputs!$B$29,MAX(0,(Inputs!$B$3-100)*3)+Inputs!$B$28+Inputs!$B$29)))</f>
        <v/>
      </c>
      <c r="E1269">
        <f>INDEX(FactorTable!$B$2:$Y$301, MATCH(ROUND(MIN(300,MAX(1,D1269)),0), FactorTable!$A$2:$A$301,0), Skills!L10+1)</f>
        <v/>
      </c>
      <c r="F1269">
        <f>IF(Skills!M10=TRUE,(Skills!K10/10)*(E1269/1000),Skills!K10/10)+Skills!N10</f>
        <v/>
      </c>
      <c r="G1269">
        <f>Calc!G10</f>
        <v/>
      </c>
      <c r="H1269">
        <f>Calc!H10</f>
        <v/>
      </c>
      <c r="I1269">
        <f>IF(Skills!T10&lt;&gt;"",1+(Skills!T10/10)*(Z1262/1000)/100,1)</f>
        <v/>
      </c>
      <c r="J1269">
        <f>((Inputs!$B$6*(1+Inputs!$B$7/100))+(((Inputs!$B$12*(1+Inputs!$B$13/100))-(Inputs!$B$12*(1+Inputs!$B$13/100)))+0.25*(Inputs!$B$14-Inputs!$B$14))*(1+Inputs!$B$7/100))*(F1269/100)</f>
        <v/>
      </c>
      <c r="K1269">
        <f>J1269*(1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10="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1269)</f>
        <v/>
      </c>
      <c r="L1269">
        <f>K1269*(MIN(Inputs!$B$22+(F1277-Calc!F18),(Inputs!$B$23+(IF(ArtifactsInput!$M$15,CHOOSE(ArtifactsInput!$N$15+1,25,30,35,40,45,50)/100*(Inputs!$B$11-Inputs!$B$11),0))))/100+(Inputs!$B$23+(IF(ArtifactsInput!$M$15,CHOOSE(ArtifactsInput!$N$15+1,25,30,35,40,45,50)/100*(Inputs!$B$11-Inputs!$B$11),0)))/100)/2</f>
        <v/>
      </c>
      <c r="M1269">
        <f>L1269*(1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69">
        <f>L1269*(1-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1269*(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69">
        <f>(1-Summary!$B$11)*S1269+Summary!$B$11*U1269</f>
        <v/>
      </c>
      <c r="P1269">
        <f>IF(B1296=0,0,O1269/B1296)</f>
        <v/>
      </c>
      <c r="Q1269">
        <f>IFERROR(1/(IF(Inputs!$B$38="pvp",15,MAX(0.1,Skills!D10-IF(TRUE=TRUE,Inputs!$B$32,0)))*(1-IF(AND(ArtifactsInput!$M$27,Inputs!$B$4="Chapter Hunt"),CHOOSE(ArtifactsInput!$N$27+1,20,24,28,32,36,40),0)/100)),0)</f>
        <v/>
      </c>
      <c r="R1269" t="n">
        <v>0</v>
      </c>
      <c r="S1269">
        <f>IF(C1269,((H1269*B1297)/(1+Skills!G10*H1269*B1297)*N1269)*IF(Inputs!$B$38="pvp",1,1+(Inputs!$B$20+Skills!O10+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1269*(1-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1269*(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1269*(1-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1269*(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69">
        <f>IF(C1269,((H1269*B1297)/(1+Skills!G10*H1269*B1297)*N1269)*IF(Inputs!$B$38="pvp",1,(1+(Inputs!$B$21+Skills!P10+B1287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0">
      <c r="A1270">
        <f>Skills!A11</f>
        <v/>
      </c>
      <c r="B1270">
        <f>Skills!B11</f>
        <v/>
      </c>
      <c r="C1270">
        <f>Inputs!$B$3&gt;=107</f>
        <v/>
      </c>
      <c r="D1270">
        <f>IF(Skills!C11=1,60+Inputs!$B$25+Inputs!$B$29,IF(Skills!C11=2,90+Inputs!$B$26+Inputs!$B$29,IF(Skills!C11=3,120+Inputs!$B$27+Inputs!$B$29,MAX(0,(Inputs!$B$3-100)*3)+Inputs!$B$28+Inputs!$B$29)))</f>
        <v/>
      </c>
      <c r="E1270">
        <f>INDEX(FactorTable!$B$2:$Y$301, MATCH(ROUND(MIN(300,MAX(1,D1270)),0), FactorTable!$A$2:$A$301,0), Skills!L11+1)</f>
        <v/>
      </c>
      <c r="F1270">
        <f>IF(Skills!M11=TRUE,(Skills!K11/10)*(E1270/1000),Skills!K11/10)+Skills!N11</f>
        <v/>
      </c>
      <c r="G1270">
        <f>Calc!G11</f>
        <v/>
      </c>
      <c r="H1270">
        <f>Calc!H11</f>
        <v/>
      </c>
      <c r="I1270">
        <f>IF(Skills!T11&lt;&gt;"",1+(Skills!T11/10)*(Z1262/1000)/100,1)</f>
        <v/>
      </c>
      <c r="J1270">
        <f>((Inputs!$B$6*(1+Inputs!$B$7/100))+(((Inputs!$B$12*(1+Inputs!$B$13/100))-(Inputs!$B$12*(1+Inputs!$B$13/100)))+0.25*(Inputs!$B$14-Inputs!$B$14))*(1+Inputs!$B$7/100))*(F1270/100)</f>
        <v/>
      </c>
      <c r="K1270">
        <f>J1270*(1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11="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1270)</f>
        <v/>
      </c>
      <c r="L1270">
        <f>K1270*(MIN(Inputs!$B$22+(F1277-Calc!F18),(Inputs!$B$23+(IF(ArtifactsInput!$M$15,CHOOSE(ArtifactsInput!$N$15+1,25,30,35,40,45,50)/100*(Inputs!$B$11-Inputs!$B$11),0))))/100+(Inputs!$B$23+(IF(ArtifactsInput!$M$15,CHOOSE(ArtifactsInput!$N$15+1,25,30,35,40,45,50)/100*(Inputs!$B$11-Inputs!$B$11),0)))/100)/2</f>
        <v/>
      </c>
      <c r="M1270">
        <f>L1270*(1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0">
        <f>L1270*(1-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1270*(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0">
        <f>(1-Summary!$B$11)*S1270+Summary!$B$11*U1270</f>
        <v/>
      </c>
      <c r="P1270">
        <f>IF(B1296=0,0,O1270/B1296)</f>
        <v/>
      </c>
      <c r="Q1270">
        <f>IFERROR(1/(IF(Inputs!$B$38="pvp",15,MAX(0.1,Skills!D11-IF(TRUE=TRUE,Inputs!$B$32,0)))*(1-IF(AND(ArtifactsInput!$M$27,Inputs!$B$4="Chapter Hunt"),CHOOSE(ArtifactsInput!$N$27+1,20,24,28,32,36,40),0)/100)),0)</f>
        <v/>
      </c>
      <c r="R1270">
        <f>IF(AND(Inputs!$B$38&lt;&gt;"pvp",Inputs!$B$43&gt;0),IF(MAX(0,Inputs!$B$43-B1293)&lt;=0,0,(INT(MAX(0,Inputs!$B$43-B1293)/(IF(Inputs!$B$38="pvp",15,MAX(0.1,Skills!D11-IF(TRUE=TRUE,Inputs!$B$32,0)))*(1-IF(AND(ArtifactsInput!$M$27,Inputs!$B$4="Chapter Hunt"),CHOOSE(ArtifactsInput!$N$27+1,20,24,28,32,36,40),0)/100)))+1)),0)</f>
        <v/>
      </c>
      <c r="S1270">
        <f>IF(C1270,H1270*N1270*IF(AND(Inputs!$B$38&lt;&gt;"pvp",Inputs!$B$43&gt;0),((Skills!F11*((R1270-1)*IF(Skills!G11&gt;0,Skills!H11/Skills!G11,1)+IF(Skills!G11&gt;0,MIN(Skills!H11,MAX(0,MAX(0,Inputs!$B$43-B1293)-((R1270-1)*(IF(Inputs!$B$38="pvp",15,MAX(0.1,Skills!D11-IF(TRUE=TRUE,Inputs!$B$32,0)))*(1-IF(AND(ArtifactsInput!$M$27,Inputs!$B$4="Chapter Hunt"),CHOOSE(ArtifactsInput!$N$27+1,20,24,28,32,36,40),0)/100)))))/Skills!G11,1)))/Inputs!$B$43),G1270*Q1270)*0.5*IF(Inputs!$B$38="pvp",1,1+(Inputs!$B$20+Skills!O11+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1270*(1-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1270*(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1270*(1-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1270*(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0">
        <f>IF(C1270,H1270*N1270*IF(AND(Inputs!$B$38&lt;&gt;"pvp",Inputs!$B$43&gt;0),((Skills!F11*((R1270-1)*IF(Skills!G11&gt;0,Skills!H11/Skills!G11,1)+IF(Skills!G11&gt;0,MIN(Skills!H11,MAX(0,MAX(0,Inputs!$B$43-B1293)-((R1270-1)*(IF(Inputs!$B$38="pvp",15,MAX(0.1,Skills!D11-IF(TRUE=TRUE,Inputs!$B$32,0)))*(1-IF(AND(ArtifactsInput!$M$27,Inputs!$B$4="Chapter Hunt"),CHOOSE(ArtifactsInput!$N$27+1,20,24,28,32,36,40),0)/100)))))/Skills!G11,1)))/Inputs!$B$43),G1270*Q1270)*1*IF(Inputs!$B$38="pvp",1,(1+(Inputs!$B$21+Skills!P11+B1287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1">
      <c r="A1271">
        <f>Skills!A12</f>
        <v/>
      </c>
      <c r="B1271">
        <f>Skills!B12</f>
        <v/>
      </c>
      <c r="C1271">
        <f>Inputs!$B$3&gt;=115</f>
        <v/>
      </c>
      <c r="D1271">
        <f>IF(Skills!C12=1,60+Inputs!$B$25+Inputs!$B$29,IF(Skills!C12=2,90+Inputs!$B$26+Inputs!$B$29,IF(Skills!C12=3,120+Inputs!$B$27+Inputs!$B$29,MAX(0,(Inputs!$B$3-100)*3)+Inputs!$B$28+Inputs!$B$29)))</f>
        <v/>
      </c>
      <c r="E1271">
        <f>INDEX(FactorTable!$B$2:$Y$301, MATCH(ROUND(MIN(300,MAX(1,D1271)),0), FactorTable!$A$2:$A$301,0), Skills!L12+1)</f>
        <v/>
      </c>
      <c r="F1271">
        <f>IF(Skills!M12=TRUE,(Skills!K12/10)*(E1271/1000),Skills!K12/10)+Skills!N12</f>
        <v/>
      </c>
      <c r="G1271">
        <f>Calc!G12</f>
        <v/>
      </c>
      <c r="H1271">
        <f>Calc!H12</f>
        <v/>
      </c>
      <c r="I1271">
        <f>IF(Skills!T12&lt;&gt;"",1+(Skills!T12/10)*(Z1262/1000)/100,1)</f>
        <v/>
      </c>
      <c r="J1271">
        <f>((Inputs!$B$6*(1+Inputs!$B$7/100))+(((Inputs!$B$12*(1+Inputs!$B$13/100))-(Inputs!$B$12*(1+Inputs!$B$13/100)))+0.25*(Inputs!$B$14-Inputs!$B$14))*(1+Inputs!$B$7/100))*(F1271/100)</f>
        <v/>
      </c>
      <c r="K1271">
        <f>J1271*(1+((Inputs!$B$12*(1+Inputs!$B$13/100))*0.01+Inputs!$B$14*0.0025)/100)*(1+(Inputs!$B$15+B1288)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1274=TRUE,F1274,0)/100)*(1+IF(C1282=TRUE,F1282,0)/100)^5*(1+(IF(Skills!A12="CHAIN_LIGHTNING",Inputs!$B$17+((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MIN(100,((Inputs!$B$9+(ArtifactsInput!$M$24-ArtifactsInput!$M$24)*CHOOSE(ArtifactsInput!$N$24+1,10,12,14,16,18,20)+IF(IF(ArtifactsInput!$M$10,FALSE,TRUE),CHOOSE(ArtifactsInput!$N$10+1,15,18,21,24,27,30)*(IF(Inputs!$B$38="pvp",MIN(15,15)/15,IF(AND(Inputs!$B$38&lt;&gt;"pvp",Inputs!$B$43&gt;0),MIN(15,Inputs!$B$43)/(Inputs!$B$43),0))),0)))-100),0))*CHOOSE(ArtifactsInput!$N$42+1,0.6,0.72,0.84,0.96,1.08,1.2))),Inputs!$B$18+(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gt;=100),CHOOSE(ArtifactsInput!$N$42+1,40,48,56,64,72,80),0))))/100)*(B1286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1271)</f>
        <v/>
      </c>
      <c r="L1271">
        <f>K1271*(MIN(Inputs!$B$22+(F1277-Calc!F18),(Inputs!$B$23+(IF(ArtifactsInput!$M$15,CHOOSE(ArtifactsInput!$N$15+1,25,30,35,40,45,50)/100*(Inputs!$B$11-Inputs!$B$11),0))))/100+(Inputs!$B$23+(IF(ArtifactsInput!$M$15,CHOOSE(ArtifactsInput!$N$15+1,25,30,35,40,45,50)/100*(Inputs!$B$11-Inputs!$B$11),0)))/100)/2</f>
        <v/>
      </c>
      <c r="M1271">
        <f>L1271*(1+(Inputs!$B$10+(F1280-Calc!F21)+(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271">
        <f>L1271*(1-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1271*(MIN((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271">
        <f>(1-Summary!$B$11)*S1271+Summary!$B$11*U1271</f>
        <v/>
      </c>
      <c r="P1271">
        <f>IF(B1296=0,0,O1271/B1296)</f>
        <v/>
      </c>
      <c r="Q1271">
        <f>IFERROR(1/(IF(Inputs!$B$38="pvp",15,MAX(0.1,Skills!D12-IF(TRUE=TRUE,Inputs!$B$32,0)))*(1-IF(AND(ArtifactsInput!$M$27,Inputs!$B$4="Chapter Hunt"),CHOOSE(ArtifactsInput!$N$27+1,20,24,28,32,36,40),0)/100)),0)</f>
        <v/>
      </c>
      <c r="R1271">
        <f>IF(AND(Inputs!$B$38&lt;&gt;"pvp",Inputs!$B$43&gt;0),IF(MAX(0,Inputs!$B$43-B1293)&lt;=0,0,(INT(MAX(0,Inputs!$B$43-B1293)/(IF(Inputs!$B$38="pvp",15,MAX(0.1,Skills!D12-IF(TRUE=TRUE,Inputs!$B$32,0)))*(1-IF(AND(ArtifactsInput!$M$27,Inputs!$B$4="Chapter Hunt"),CHOOSE(ArtifactsInput!$N$27+1,20,24,28,32,36,40),0)/100)))+1)),0)</f>
        <v/>
      </c>
      <c r="S1271">
        <f>IF(C1271,(H1271*N1271*IF(AND(Inputs!$B$38&lt;&gt;"pvp",Inputs!$B$43&gt;0),((Skills!F12*((R1271-1)*IF(Skills!G12&gt;0,Skills!H12/Skills!G12,1)+IF(Skills!G12&gt;0,MIN(Skills!H12,MAX(0,MAX(0,Inputs!$B$43-B1293)-((R1271-1)*(IF(Inputs!$B$38="pvp",15,MAX(0.1,Skills!D12-IF(TRUE=TRUE,Inputs!$B$32,0)))*(1-IF(AND(ArtifactsInput!$M$27,Inputs!$B$4="Chapter Hunt"),CHOOSE(ArtifactsInput!$N$27+1,20,24,28,32,36,40),0)/100)))))/Skills!G12,1)))/Inputs!$B$43),G1271*Q1271))*IF(Inputs!$B$38="pvp",1,1+(Inputs!$B$20+Skills!O12+B1287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1271*(1-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1271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1271*(1-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1271*(MIN(100,(Inputs!$B$9+((F1279-Calc!F20)+(F1278-Calc!F19))+(ArtifactsInput!$M$24-ArtifactsInput!$M$24)*CHOOSE(ArtifactsInput!$N$24+1,10,12,14,16,18,20)+(IF(AND(Inputs!$B$38&lt;&gt;"pvp",Inputs!$B$43=0),1,IF(IF(Inputs!$B$38="pvp",15,Inputs!$B$43)-(B1293)&lt;=0,1,MAX(0,IF(Inputs!$B$38="pvp",15,Inputs!$B$43)-MAX(5,B1293))/(IF(Inputs!$B$38="pvp",15,Inputs!$B$43)-(B1293))))*IF(AND(ArtifactsInput!$M$42,((Inputs!$B$9+(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71">
        <f>IF(C1271,(H1271*N1271*IF(AND(Inputs!$B$38&lt;&gt;"pvp",Inputs!$B$43&gt;0),((Skills!F12*((R1271-1)*IF(Skills!G12&gt;0,Skills!H12/Skills!G12,1)+IF(Skills!G12&gt;0,MIN(Skills!H12,MAX(0,MAX(0,Inputs!$B$43-B1293)-((R1271-1)*(IF(Inputs!$B$38="pvp",15,MAX(0.1,Skills!D12-IF(TRUE=TRUE,Inputs!$B$32,0)))*(1-IF(AND(ArtifactsInput!$M$27,Inputs!$B$4="Chapter Hunt"),CHOOSE(ArtifactsInput!$N$27+1,20,24,28,32,36,40),0)/100)))))/Skills!G12,1)))/Inputs!$B$43),G1271*Q1271))*IF(Inputs!$B$38="pvp",1,(1+(Inputs!$B$21+Skills!P12+B1287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2">
      <c r="A1272">
        <f>Skills!A13</f>
        <v/>
      </c>
      <c r="B1272">
        <f>Skills!B13</f>
        <v/>
      </c>
      <c r="C1272">
        <f>Inputs!$B$3&gt;=49</f>
        <v/>
      </c>
      <c r="D1272">
        <f>IF(Skills!C13=1,60+Inputs!$B$25+Inputs!$B$29,IF(Skills!C13=2,90+Inputs!$B$26+Inputs!$B$29,IF(Skills!C13=3,120+Inputs!$B$27+Inputs!$B$29,MAX(0,(Inputs!$B$3-100)*3)+Inputs!$B$28+Inputs!$B$29)))</f>
        <v/>
      </c>
      <c r="E1272">
        <f>INDEX(FactorTable!$B$2:$Y$301, MATCH(ROUND(MIN(300,MAX(1,D1272)),0), FactorTable!$A$2:$A$301,0), Skills!L13+1)</f>
        <v/>
      </c>
      <c r="F1272">
        <f>IF(Skills!M13=TRUE,(Skills!K13/10)*(E1272/1000),Skills!K13/10)+Skills!N13</f>
        <v/>
      </c>
      <c r="G1272">
        <f>Calc!G13</f>
        <v/>
      </c>
      <c r="H1272">
        <f>Calc!H13</f>
        <v/>
      </c>
      <c r="I1272">
        <f>IF(Skills!T13&lt;&gt;"",1+(Skills!T13/10)*(Z1262/1000)/100,1)</f>
        <v/>
      </c>
      <c r="J1272" t="inlineStr"/>
      <c r="K1272" t="inlineStr"/>
      <c r="L1272" t="inlineStr"/>
      <c r="M1272" t="inlineStr"/>
      <c r="N1272" t="inlineStr"/>
      <c r="O1272">
        <f>(1-Summary!$B$11)*S1272+Summary!$B$11*U1272</f>
        <v/>
      </c>
      <c r="P1272">
        <f>IF(B1296=0,0,O1272/B1296)</f>
        <v/>
      </c>
      <c r="Q1272">
        <f>IFERROR(1/(IF(Inputs!$B$38="pvp",15,MAX(0.1,Skills!D13-IF(TRUE=TRUE,Inputs!$B$32,0)))*(1-IF(AND(ArtifactsInput!$M$27,Inputs!$B$4="Chapter Hunt"),CHOOSE(ArtifactsInput!$N$27+1,20,24,28,32,36,40),0)/100)),0)</f>
        <v/>
      </c>
      <c r="R1272" t="n">
        <v>0</v>
      </c>
      <c r="S1272" t="n">
        <v>0</v>
      </c>
      <c r="U1272" t="n">
        <v>0</v>
      </c>
    </row>
    <row r="1273">
      <c r="A1273">
        <f>Skills!A14</f>
        <v/>
      </c>
      <c r="B1273">
        <f>Skills!B14</f>
        <v/>
      </c>
      <c r="C1273">
        <f>Inputs!$B$3&gt;=72</f>
        <v/>
      </c>
      <c r="D1273">
        <f>IF(Skills!C14=1,60+Inputs!$B$25+Inputs!$B$29,IF(Skills!C14=2,90+Inputs!$B$26+Inputs!$B$29,IF(Skills!C14=3,120+Inputs!$B$27+Inputs!$B$29,MAX(0,(Inputs!$B$3-100)*3)+Inputs!$B$28+Inputs!$B$29)))</f>
        <v/>
      </c>
      <c r="E1273">
        <f>INDEX(FactorTable!$B$2:$Y$301, MATCH(ROUND(MIN(300,MAX(1,D1273)),0), FactorTable!$A$2:$A$301,0), Skills!L14+1)</f>
        <v/>
      </c>
      <c r="F1273">
        <f>IF(Skills!M14=TRUE,(Skills!K14/10)*(E1273/1000),Skills!K14/10)+Skills!N14</f>
        <v/>
      </c>
      <c r="G1273">
        <f>Calc!G14</f>
        <v/>
      </c>
      <c r="H1273">
        <f>Calc!H14</f>
        <v/>
      </c>
      <c r="I1273">
        <f>IF(Skills!T14&lt;&gt;"",1+(Skills!T14/10)*(Z1262/1000)/100,1)</f>
        <v/>
      </c>
      <c r="J1273" t="inlineStr"/>
      <c r="K1273" t="inlineStr"/>
      <c r="L1273" t="inlineStr"/>
      <c r="M1273" t="inlineStr"/>
      <c r="N1273" t="inlineStr"/>
      <c r="O1273">
        <f>(1-Summary!$B$11)*S1273+Summary!$B$11*U1273</f>
        <v/>
      </c>
      <c r="P1273">
        <f>IF(B1296=0,0,O1273/B1296)</f>
        <v/>
      </c>
      <c r="Q1273">
        <f>IFERROR(1/(IF(Inputs!$B$38="pvp",15,MAX(0.1,Skills!D14-IF(TRUE=TRUE,Inputs!$B$32,0)))*(1-IF(AND(ArtifactsInput!$M$27,Inputs!$B$4="Chapter Hunt"),CHOOSE(ArtifactsInput!$N$27+1,20,24,28,32,36,40),0)/100)),0)</f>
        <v/>
      </c>
      <c r="R1273" t="n">
        <v>0</v>
      </c>
      <c r="S1273" t="n">
        <v>0</v>
      </c>
      <c r="U1273" t="n">
        <v>0</v>
      </c>
    </row>
    <row r="1274">
      <c r="A1274">
        <f>Skills!A15</f>
        <v/>
      </c>
      <c r="B1274">
        <f>Skills!B15</f>
        <v/>
      </c>
      <c r="C1274">
        <f>Inputs!$B$3&gt;=75</f>
        <v/>
      </c>
      <c r="D1274">
        <f>IF(Skills!C15=1,60+Inputs!$B$25+Inputs!$B$29,IF(Skills!C15=2,90+Inputs!$B$26+Inputs!$B$29,IF(Skills!C15=3,120+Inputs!$B$27+Inputs!$B$29,MAX(0,(Inputs!$B$3-100)*3)+Inputs!$B$28+Inputs!$B$29)))</f>
        <v/>
      </c>
      <c r="E1274">
        <f>INDEX(FactorTable!$B$2:$Y$301, MATCH(ROUND(MIN(300,MAX(1,D1274)),0), FactorTable!$A$2:$A$301,0), Skills!L15+1)</f>
        <v/>
      </c>
      <c r="F1274">
        <f>IF(Skills!M15=TRUE,(Skills!K15/10)*(E1274/1000),Skills!K15/10)+Skills!N15</f>
        <v/>
      </c>
      <c r="G1274">
        <f>Calc!G15</f>
        <v/>
      </c>
      <c r="H1274">
        <f>Calc!H15</f>
        <v/>
      </c>
      <c r="I1274">
        <f>IF(Skills!T15&lt;&gt;"",1+(Skills!T15/10)*(Z1262/1000)/100,1)</f>
        <v/>
      </c>
      <c r="J1274" t="inlineStr"/>
      <c r="K1274" t="inlineStr"/>
      <c r="L1274" t="inlineStr"/>
      <c r="M1274" t="inlineStr"/>
      <c r="N1274" t="inlineStr"/>
      <c r="O1274">
        <f>(1-Summary!$B$11)*S1274+Summary!$B$11*U1274</f>
        <v/>
      </c>
      <c r="P1274">
        <f>IF(B1296=0,0,O1274/B1296)</f>
        <v/>
      </c>
      <c r="Q1274">
        <f>IFERROR(1/(IF(Inputs!$B$38="pvp",15,MAX(0.1,Skills!D15-IF(TRUE=TRUE,Inputs!$B$32,0)))*(1-IF(AND(ArtifactsInput!$M$27,Inputs!$B$4="Chapter Hunt"),CHOOSE(ArtifactsInput!$N$27+1,20,24,28,32,36,40),0)/100)),0)</f>
        <v/>
      </c>
      <c r="R1274" t="n">
        <v>0</v>
      </c>
      <c r="S1274" t="n">
        <v>0</v>
      </c>
      <c r="U1274" t="n">
        <v>0</v>
      </c>
    </row>
    <row r="1275">
      <c r="A1275">
        <f>Skills!A16</f>
        <v/>
      </c>
      <c r="B1275">
        <f>Skills!B16</f>
        <v/>
      </c>
      <c r="C1275">
        <f>Inputs!$B$3&gt;=110</f>
        <v/>
      </c>
      <c r="D1275">
        <f>IF(Skills!C16=1,60+Inputs!$B$25+Inputs!$B$29,IF(Skills!C16=2,90+Inputs!$B$26+Inputs!$B$29,IF(Skills!C16=3,120+Inputs!$B$27+Inputs!$B$29,MAX(0,(Inputs!$B$3-100)*3)+Inputs!$B$28+Inputs!$B$29)))</f>
        <v/>
      </c>
      <c r="E1275">
        <f>INDEX(FactorTable!$B$2:$Y$301, MATCH(ROUND(MIN(300,MAX(1,D1275)),0), FactorTable!$A$2:$A$301,0), Skills!L16+1)</f>
        <v/>
      </c>
      <c r="F1275">
        <f>(Skills!K16/10)*(E1275/1000)*64/45+Skills!N16</f>
        <v/>
      </c>
      <c r="G1275">
        <f>Calc!G16</f>
        <v/>
      </c>
      <c r="H1275">
        <f>Calc!H16</f>
        <v/>
      </c>
      <c r="I1275">
        <f>IF(Skills!T16&lt;&gt;"",1+(Skills!T16/10)*(Z1262/1000)/100,1)</f>
        <v/>
      </c>
      <c r="J1275" t="inlineStr"/>
      <c r="K1275" t="inlineStr"/>
      <c r="L1275" t="inlineStr"/>
      <c r="M1275" t="inlineStr"/>
      <c r="N1275" t="inlineStr"/>
      <c r="O1275">
        <f>(1-Summary!$B$11)*S1275+Summary!$B$11*U1275</f>
        <v/>
      </c>
      <c r="P1275">
        <f>IF(B1296=0,0,O1275/B1296)</f>
        <v/>
      </c>
      <c r="Q1275">
        <f>IFERROR(1/(IF(Inputs!$B$38="pvp",15,MAX(0.1,Skills!D16-IF(TRUE=TRUE,Inputs!$B$32,0)))*(1-IF(AND(ArtifactsInput!$M$27,Inputs!$B$4="Chapter Hunt"),CHOOSE(ArtifactsInput!$N$27+1,20,24,28,32,36,40),0)/100)),0)</f>
        <v/>
      </c>
      <c r="R1275">
        <f>IF(AND(Inputs!$B$38&lt;&gt;"pvp",Inputs!$B$43&gt;0),IF(Inputs!$B$43&lt;=0,0,(INT(Inputs!$B$43/(IF(Inputs!$B$38="pvp",15,MAX(0.1,Skills!D16-IF(TRUE=TRUE,Inputs!$B$32,0)))*(1-IF(AND(ArtifactsInput!$M$27,Inputs!$B$4="Chapter Hunt"),CHOOSE(ArtifactsInput!$N$27+1,20,24,28,32,36,40),0)/100)))+1)),0)</f>
        <v/>
      </c>
      <c r="S1275" t="n">
        <v>0</v>
      </c>
      <c r="U1275" t="n">
        <v>0</v>
      </c>
    </row>
    <row r="1276">
      <c r="A1276">
        <f>Skills!A17</f>
        <v/>
      </c>
      <c r="B1276">
        <f>Skills!B17</f>
        <v/>
      </c>
      <c r="C1276">
        <f>Inputs!$B$3&gt;=33</f>
        <v/>
      </c>
      <c r="D1276">
        <f>IF(Skills!C17=1,60+Inputs!$B$25+Inputs!$B$29,IF(Skills!C17=2,90+Inputs!$B$26+Inputs!$B$29,IF(Skills!C17=3,120+Inputs!$B$27+Inputs!$B$29,MAX(0,(Inputs!$B$3-100)*3)+Inputs!$B$28+Inputs!$B$29)))</f>
        <v/>
      </c>
      <c r="E1276">
        <f>INDEX(FactorTable!$B$2:$Y$301, MATCH(ROUND(MIN(300,MAX(1,D1276)),0), FactorTable!$A$2:$A$301,0), Skills!L17+1)</f>
        <v/>
      </c>
      <c r="F1276">
        <f>IF(Skills!M17=TRUE,(Skills!K17/10)*(E1276/1000),Skills!K17/10)+Skills!N17</f>
        <v/>
      </c>
      <c r="G1276">
        <f>Calc!G17</f>
        <v/>
      </c>
      <c r="H1276">
        <f>Calc!H17</f>
        <v/>
      </c>
      <c r="I1276">
        <f>IF(Skills!T17&lt;&gt;"",1+(Skills!T17/10)*(Z1262/1000)/100,1)</f>
        <v/>
      </c>
      <c r="J1276" t="inlineStr"/>
      <c r="K1276" t="inlineStr"/>
      <c r="L1276" t="inlineStr"/>
      <c r="M1276" t="inlineStr"/>
      <c r="N1276" t="inlineStr"/>
      <c r="O1276">
        <f>(1-Summary!$B$11)*S1276+Summary!$B$11*U1276</f>
        <v/>
      </c>
      <c r="P1276">
        <f>IF(B1296=0,0,O1276/B1296)</f>
        <v/>
      </c>
      <c r="Q1276">
        <f>IFERROR(1/(IF(Inputs!$B$38="pvp",15,MAX(0.1,Skills!D17-IF(TRUE=TRUE,Inputs!$B$32,0)))*(1-IF(AND(ArtifactsInput!$M$27,Inputs!$B$4="Chapter Hunt"),CHOOSE(ArtifactsInput!$N$27+1,20,24,28,32,36,40),0)/100)),0)</f>
        <v/>
      </c>
      <c r="R1276" t="n">
        <v>0</v>
      </c>
      <c r="S1276" t="n">
        <v>0</v>
      </c>
      <c r="U1276" t="n">
        <v>0</v>
      </c>
    </row>
    <row r="1277">
      <c r="A1277">
        <f>Skills!A18</f>
        <v/>
      </c>
      <c r="B1277">
        <f>Skills!B18</f>
        <v/>
      </c>
      <c r="C1277">
        <f>Inputs!$B$3&gt;=43</f>
        <v/>
      </c>
      <c r="D1277">
        <f>IF(Skills!C18=1,60+Inputs!$B$25+Inputs!$B$29,IF(Skills!C18=2,90+Inputs!$B$26+Inputs!$B$29,IF(Skills!C18=3,120+Inputs!$B$27+Inputs!$B$29,MAX(0,(Inputs!$B$3-100)*3)+Inputs!$B$28+Inputs!$B$29)))</f>
        <v/>
      </c>
      <c r="E1277">
        <f>INDEX(FactorTable!$B$2:$Y$301, MATCH(ROUND(MIN(300,MAX(1,D1277)),0), FactorTable!$A$2:$A$301,0), Skills!L18+1)</f>
        <v/>
      </c>
      <c r="F1277">
        <f>IF(Skills!M18=TRUE,(Skills!K18/10)*(E1277/1000),Skills!K18/10)+Skills!N18</f>
        <v/>
      </c>
      <c r="G1277">
        <f>Calc!G18</f>
        <v/>
      </c>
      <c r="H1277">
        <f>Calc!H18</f>
        <v/>
      </c>
      <c r="I1277">
        <f>IF(Skills!T18&lt;&gt;"",1+(Skills!T18/10)*(Z1262/1000)/100,1)</f>
        <v/>
      </c>
      <c r="J1277" t="inlineStr"/>
      <c r="K1277" t="inlineStr"/>
      <c r="L1277" t="inlineStr"/>
      <c r="M1277" t="inlineStr"/>
      <c r="N1277" t="inlineStr"/>
      <c r="O1277">
        <f>(1-Summary!$B$11)*S1277+Summary!$B$11*U1277</f>
        <v/>
      </c>
      <c r="P1277">
        <f>IF(B1296=0,0,O1277/B1296)</f>
        <v/>
      </c>
      <c r="Q1277">
        <f>IFERROR(1/(IF(Inputs!$B$38="pvp",15,MAX(0.1,Skills!D18-IF(TRUE=TRUE,Inputs!$B$32,0)))*(1-IF(AND(ArtifactsInput!$M$27,Inputs!$B$4="Chapter Hunt"),CHOOSE(ArtifactsInput!$N$27+1,20,24,28,32,36,40),0)/100)),0)</f>
        <v/>
      </c>
      <c r="R1277" t="n">
        <v>0</v>
      </c>
      <c r="S1277" t="n">
        <v>0</v>
      </c>
      <c r="U1277" t="n">
        <v>0</v>
      </c>
    </row>
    <row r="1278">
      <c r="A1278">
        <f>Skills!A19</f>
        <v/>
      </c>
      <c r="B1278">
        <f>Skills!B19</f>
        <v/>
      </c>
      <c r="C1278">
        <f>Inputs!$B$3&gt;=50</f>
        <v/>
      </c>
      <c r="D1278">
        <f>IF(Skills!C19=1,60+Inputs!$B$25+Inputs!$B$29,IF(Skills!C19=2,90+Inputs!$B$26+Inputs!$B$29,IF(Skills!C19=3,120+Inputs!$B$27+Inputs!$B$29,MAX(0,(Inputs!$B$3-100)*3)+Inputs!$B$28+Inputs!$B$29)))</f>
        <v/>
      </c>
      <c r="E1278">
        <f>INDEX(FactorTable!$B$2:$Y$301, MATCH(ROUND(MIN(300,MAX(1,D1278)),0), FactorTable!$A$2:$A$301,0), Skills!L19+1)</f>
        <v/>
      </c>
      <c r="F1278">
        <f>IF(Skills!M19=TRUE,(Skills!K19/10)*(E1278/1000),Skills!K19/10)+Skills!N19</f>
        <v/>
      </c>
      <c r="G1278">
        <f>Calc!G19</f>
        <v/>
      </c>
      <c r="H1278">
        <f>Calc!H19</f>
        <v/>
      </c>
      <c r="I1278">
        <f>IF(Skills!T19&lt;&gt;"",1+(Skills!T19/10)*(Z1262/1000)/100,1)</f>
        <v/>
      </c>
      <c r="J1278" t="inlineStr"/>
      <c r="K1278" t="inlineStr"/>
      <c r="L1278" t="inlineStr"/>
      <c r="M1278" t="inlineStr"/>
      <c r="N1278" t="inlineStr"/>
      <c r="O1278">
        <f>(1-Summary!$B$11)*S1278+Summary!$B$11*U1278</f>
        <v/>
      </c>
      <c r="P1278">
        <f>IF(B1296=0,0,O1278/B1296)</f>
        <v/>
      </c>
      <c r="Q1278">
        <f>IFERROR(1/(IF(Inputs!$B$38="pvp",15,MAX(0.1,Skills!D19-IF(TRUE=TRUE,Inputs!$B$32,0)))*(1-IF(AND(ArtifactsInput!$M$27,Inputs!$B$4="Chapter Hunt"),CHOOSE(ArtifactsInput!$N$27+1,20,24,28,32,36,40),0)/100)),0)</f>
        <v/>
      </c>
      <c r="R1278" t="n">
        <v>0</v>
      </c>
      <c r="S1278" t="n">
        <v>0</v>
      </c>
      <c r="U1278" t="n">
        <v>0</v>
      </c>
    </row>
    <row r="1279">
      <c r="A1279">
        <f>Skills!A20</f>
        <v/>
      </c>
      <c r="B1279">
        <f>Skills!B20</f>
        <v/>
      </c>
      <c r="C1279">
        <f>Inputs!$B$3&gt;=74</f>
        <v/>
      </c>
      <c r="D1279">
        <f>IF(Skills!C20=1,60+Inputs!$B$25+Inputs!$B$29,IF(Skills!C20=2,90+Inputs!$B$26+Inputs!$B$29,IF(Skills!C20=3,120+Inputs!$B$27+Inputs!$B$29,MAX(0,(Inputs!$B$3-100)*3)+Inputs!$B$28+Inputs!$B$29)))</f>
        <v/>
      </c>
      <c r="E1279">
        <f>INDEX(FactorTable!$B$2:$Y$301, MATCH(ROUND(MIN(300,MAX(1,D1279)),0), FactorTable!$A$2:$A$301,0), Skills!L20+1)</f>
        <v/>
      </c>
      <c r="F1279">
        <f>IF(Skills!M20=TRUE,(Skills!K20/10)*(E1279/1000),Skills!K20/10)+Skills!N20</f>
        <v/>
      </c>
      <c r="G1279">
        <f>Calc!G20</f>
        <v/>
      </c>
      <c r="H1279">
        <f>Calc!H20</f>
        <v/>
      </c>
      <c r="I1279">
        <f>IF(Skills!T20&lt;&gt;"",1+(Skills!T20/10)*(Z1262/1000)/100,1)</f>
        <v/>
      </c>
      <c r="J1279" t="inlineStr"/>
      <c r="K1279" t="inlineStr"/>
      <c r="L1279" t="inlineStr"/>
      <c r="M1279" t="inlineStr"/>
      <c r="N1279" t="inlineStr"/>
      <c r="O1279">
        <f>(1-Summary!$B$11)*S1279+Summary!$B$11*U1279</f>
        <v/>
      </c>
      <c r="P1279">
        <f>IF(B1296=0,0,O1279/B1296)</f>
        <v/>
      </c>
      <c r="Q1279">
        <f>IFERROR(1/(IF(Inputs!$B$38="pvp",15,MAX(0.1,Skills!D20-IF(TRUE=TRUE,Inputs!$B$32,0)))*(1-IF(AND(ArtifactsInput!$M$27,Inputs!$B$4="Chapter Hunt"),CHOOSE(ArtifactsInput!$N$27+1,20,24,28,32,36,40),0)/100)),0)</f>
        <v/>
      </c>
      <c r="R1279" t="n">
        <v>0</v>
      </c>
      <c r="S1279" t="n">
        <v>0</v>
      </c>
      <c r="U1279" t="n">
        <v>0</v>
      </c>
    </row>
    <row r="1280">
      <c r="A1280">
        <f>Skills!A21</f>
        <v/>
      </c>
      <c r="B1280">
        <f>Skills!B21</f>
        <v/>
      </c>
      <c r="C1280">
        <f>Inputs!$B$3&gt;=74</f>
        <v/>
      </c>
      <c r="D1280">
        <f>IF(Skills!C21=1,60+Inputs!$B$25+Inputs!$B$29,IF(Skills!C21=2,90+Inputs!$B$26+Inputs!$B$29,IF(Skills!C21=3,120+Inputs!$B$27+Inputs!$B$29,MAX(0,(Inputs!$B$3-100)*3)+Inputs!$B$28+Inputs!$B$29)))</f>
        <v/>
      </c>
      <c r="E1280">
        <f>INDEX(FactorTable!$B$2:$Y$301, MATCH(ROUND(MIN(300,MAX(1,D1280)),0), FactorTable!$A$2:$A$301,0), Skills!L21+1)</f>
        <v/>
      </c>
      <c r="F1280">
        <f>IF(Skills!M21=TRUE,(Skills!K21/10)*(E1280/1000),Skills!K21/10)+Skills!N21</f>
        <v/>
      </c>
      <c r="G1280">
        <f>Calc!G21</f>
        <v/>
      </c>
      <c r="H1280">
        <f>Calc!H21</f>
        <v/>
      </c>
      <c r="I1280">
        <f>IF(Skills!T21&lt;&gt;"",1+(Skills!T21/10)*(Z1262/1000)/100,1)</f>
        <v/>
      </c>
      <c r="J1280" t="inlineStr"/>
      <c r="K1280" t="inlineStr"/>
      <c r="L1280" t="inlineStr"/>
      <c r="M1280" t="inlineStr"/>
      <c r="N1280" t="inlineStr"/>
      <c r="O1280">
        <f>(1-Summary!$B$11)*S1280+Summary!$B$11*U1280</f>
        <v/>
      </c>
      <c r="P1280">
        <f>IF(B1296=0,0,O1280/B1296)</f>
        <v/>
      </c>
      <c r="Q1280">
        <f>IFERROR(1/(IF(Inputs!$B$38="pvp",15,MAX(0.1,Skills!D21-IF(TRUE=TRUE,Inputs!$B$32,0)))*(1-IF(AND(ArtifactsInput!$M$27,Inputs!$B$4="Chapter Hunt"),CHOOSE(ArtifactsInput!$N$27+1,20,24,28,32,36,40),0)/100)),0)</f>
        <v/>
      </c>
      <c r="R1280" t="n">
        <v>0</v>
      </c>
      <c r="S1280" t="n">
        <v>0</v>
      </c>
      <c r="U1280" t="n">
        <v>0</v>
      </c>
    </row>
    <row r="1281">
      <c r="A1281">
        <f>Skills!A22</f>
        <v/>
      </c>
      <c r="B1281">
        <f>Skills!B22</f>
        <v/>
      </c>
      <c r="C1281">
        <f>Inputs!$B$3&gt;=117</f>
        <v/>
      </c>
      <c r="D1281">
        <f>IF(Skills!C22=1,60+Inputs!$B$25+Inputs!$B$29,IF(Skills!C22=2,90+Inputs!$B$26+Inputs!$B$29,IF(Skills!C22=3,120+Inputs!$B$27+Inputs!$B$29,MAX(0,(Inputs!$B$3-100)*3)+Inputs!$B$28+Inputs!$B$29)))</f>
        <v/>
      </c>
      <c r="E1281">
        <f>INDEX(FactorTable!$B$2:$Y$301, MATCH(ROUND(MIN(300,MAX(1,D1281)),0), FactorTable!$A$2:$A$301,0), Skills!L22+1)</f>
        <v/>
      </c>
      <c r="F1281">
        <f>IF(Skills!M22=TRUE,(Skills!K22/10)*(E1281/1000),Skills!K22/10)+Skills!N22</f>
        <v/>
      </c>
      <c r="G1281">
        <f>Calc!G22</f>
        <v/>
      </c>
      <c r="H1281">
        <f>Calc!H22</f>
        <v/>
      </c>
      <c r="I1281">
        <f>IF(Skills!T22&lt;&gt;"",1+(Skills!T22/10)*(Z1262/1000)/100,1)</f>
        <v/>
      </c>
      <c r="J1281" t="inlineStr"/>
      <c r="K1281" t="inlineStr"/>
      <c r="L1281" t="inlineStr"/>
      <c r="M1281" t="inlineStr"/>
      <c r="N1281" t="inlineStr"/>
      <c r="O1281">
        <f>(1-Summary!$B$11)*S1281+Summary!$B$11*U1281</f>
        <v/>
      </c>
      <c r="P1281">
        <f>IF(B1296=0,0,O1281/B1296)</f>
        <v/>
      </c>
      <c r="Q1281">
        <f>IFERROR(1/(IF(Inputs!$B$38="pvp",15,MAX(0.1,Skills!D22-IF(TRUE=TRUE,Inputs!$B$32,0)))*(1-IF(AND(ArtifactsInput!$M$27,Inputs!$B$4="Chapter Hunt"),CHOOSE(ArtifactsInput!$N$27+1,20,24,28,32,36,40),0)/100)),0)</f>
        <v/>
      </c>
      <c r="R1281" t="n">
        <v>0</v>
      </c>
      <c r="S1281" t="n">
        <v>0</v>
      </c>
      <c r="U1281" t="n">
        <v>0</v>
      </c>
    </row>
    <row r="1282">
      <c r="A1282">
        <f>Skills!A23</f>
        <v/>
      </c>
      <c r="B1282">
        <f>Skills!B23</f>
        <v/>
      </c>
      <c r="C1282">
        <f>Inputs!$B$3&gt;=120</f>
        <v/>
      </c>
      <c r="D1282">
        <f>IF(Skills!C23=1,60+Inputs!$B$25+Inputs!$B$29,IF(Skills!C23=2,90+Inputs!$B$26+Inputs!$B$29,IF(Skills!C23=3,120+Inputs!$B$27+Inputs!$B$29,MAX(0,(Inputs!$B$3-100)*3)+Inputs!$B$28+Inputs!$B$29)))</f>
        <v/>
      </c>
      <c r="E1282">
        <f>INDEX(FactorTable!$B$2:$Y$301, MATCH(ROUND(MIN(300,MAX(1,D1282)),0), FactorTable!$A$2:$A$301,0), Skills!L23+1)</f>
        <v/>
      </c>
      <c r="F1282">
        <f>IF(Skills!M23=TRUE,(Skills!K23/10)*(E1282/1000),Skills!K23/10)+Skills!N23</f>
        <v/>
      </c>
      <c r="G1282">
        <f>Calc!G23</f>
        <v/>
      </c>
      <c r="H1282">
        <f>Calc!H23</f>
        <v/>
      </c>
      <c r="I1282">
        <f>IF(Skills!T23&lt;&gt;"",1+(Skills!T23/10)*(Z1262/1000)/100,1)</f>
        <v/>
      </c>
      <c r="J1282" t="inlineStr"/>
      <c r="K1282" t="inlineStr"/>
      <c r="L1282" t="inlineStr"/>
      <c r="M1282" t="inlineStr"/>
      <c r="N1282" t="inlineStr"/>
      <c r="O1282">
        <f>(1-Summary!$B$11)*S1282+Summary!$B$11*U1282</f>
        <v/>
      </c>
      <c r="P1282">
        <f>IF(B1296=0,0,O1282/B1296)</f>
        <v/>
      </c>
      <c r="Q1282">
        <f>IFERROR(1/(IF(Inputs!$B$38="pvp",15,MAX(0.1,Skills!D23-IF(TRUE=TRUE,Inputs!$B$32,0)))*(1-IF(AND(ArtifactsInput!$M$27,Inputs!$B$4="Chapter Hunt"),CHOOSE(ArtifactsInput!$N$27+1,20,24,28,32,36,40),0)/100)),0)</f>
        <v/>
      </c>
      <c r="R1282" t="n">
        <v>0</v>
      </c>
      <c r="S1282" t="n">
        <v>0</v>
      </c>
      <c r="U1282" t="n">
        <v>0</v>
      </c>
    </row>
    <row r="1283">
      <c r="A1283">
        <f>Skills!A24</f>
        <v/>
      </c>
      <c r="B1283">
        <f>Skills!B24</f>
        <v/>
      </c>
      <c r="C1283">
        <f>TRUE</f>
        <v/>
      </c>
      <c r="D1283">
        <f>IF(Skills!C24=1,60+Inputs!$B$25+Inputs!$B$29,IF(Skills!C24=2,90+Inputs!$B$26+Inputs!$B$29,IF(Skills!C24=3,120+Inputs!$B$27+Inputs!$B$29,MAX(0,(Inputs!$B$3-100)*3)+Inputs!$B$28+Inputs!$B$29)))</f>
        <v/>
      </c>
      <c r="E1283">
        <f>INDEX(FactorTable!$B$2:$Y$301, MATCH(ROUND(MIN(300,MAX(1,D1283)),0), FactorTable!$A$2:$A$301,0), Skills!L24+1)</f>
        <v/>
      </c>
      <c r="F1283">
        <f>IF(Skills!M24=TRUE,(Skills!K24/10)*(E1283/1000),Skills!K24/10)+Skills!N24</f>
        <v/>
      </c>
      <c r="G1283">
        <f>Calc!G24</f>
        <v/>
      </c>
      <c r="H1283">
        <f>Calc!H24</f>
        <v/>
      </c>
      <c r="I1283">
        <f>IF(Skills!T24&lt;&gt;"",1+(Skills!T24/10)*(Z1262/1000)/100,1)</f>
        <v/>
      </c>
      <c r="J1283" t="inlineStr"/>
      <c r="K1283" t="inlineStr"/>
      <c r="L1283" t="inlineStr"/>
      <c r="M1283" t="inlineStr"/>
      <c r="N1283" t="inlineStr"/>
      <c r="O1283">
        <f>(1-Summary!$B$11)*S1283+Summary!$B$11*U1283</f>
        <v/>
      </c>
      <c r="P1283">
        <f>IF(B1296=0,0,O1283/B1296)</f>
        <v/>
      </c>
      <c r="Q1283">
        <f>IFERROR(1/(IF(Inputs!$B$38="pvp",15,MAX(0.1,Skills!D24-IF(TRUE=TRUE,Inputs!$B$32,0)))*(1-IF(AND(ArtifactsInput!$M$27,Inputs!$B$4="Chapter Hunt"),CHOOSE(ArtifactsInput!$N$27+1,20,24,28,32,36,40),0)/100)),0)</f>
        <v/>
      </c>
      <c r="R1283">
        <f>IF(AND(Inputs!$B$38&lt;&gt;"pvp",Inputs!$B$43&gt;0),IF(Inputs!$B$43&lt;=0,0,(INT(Inputs!$B$43/(IF(Inputs!$B$38="pvp",15,MAX(0.1,Skills!D24-IF(TRUE=TRUE,Inputs!$B$32,0)))*(1-IF(AND(ArtifactsInput!$M$27,Inputs!$B$4="Chapter Hunt"),CHOOSE(ArtifactsInput!$N$27+1,20,24,28,32,36,40),0)/100)))+1)),0)</f>
        <v/>
      </c>
      <c r="S1283" t="n">
        <v>0</v>
      </c>
      <c r="U1283" t="n">
        <v>0</v>
      </c>
    </row>
    <row r="1286">
      <c r="A1286" t="inlineStr">
        <is>
          <t>Average Buff Multiplier (Magic Guard + Meditation + Artifact Attack%, summed; then Infinity)</t>
        </is>
      </c>
      <c r="B1286">
        <f>(1+(IF(C1262=TRUE,F1262*IF(AND(Inputs!$B$38&lt;&gt;"pvp",Inputs!$B$43&gt;0),(((R1262-1)*MIN((Skills!S3*(1+(Inputs!$B$34)/100)),(1/Q1262))+MIN((Skills!S3*(1+(Inputs!$B$34)/100)),MAX(0,Inputs!$B$43-((R1262-1)*(1/Q1262)))))/Inputs!$B$43),IF(Inputs!$B$38="pvp",MIN((Skills!S3*(1+(Inputs!$B$34)/100)),15)/15,MIN(1,(Skills!S3*(1+(Inputs!$B$34)/100))/(1/Q1262)))),0)+IF(C1263=TRUE,F1263*IF(AND(Inputs!$B$38&lt;&gt;"pvp",Inputs!$B$43&gt;0),(((R1263-1)*MIN((Skills!S4*(1+(Inputs!$B$34)/100)),(1/Q1263))+MIN((Skills!S4*(1+(Inputs!$B$34)/100)),MAX(0,Inputs!$B$43-((R1263-1)*(1/Q1263)))))/Inputs!$B$43),IF(Inputs!$B$38="pvp",MIN((Skills!S4*(1+(Inputs!$B$34)/100)),15)/15,MIN(1,(Skills!S4*(1+(Inputs!$B$34)/100))/(1/Q1263)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1275=TRUE,(1+F1275*IF(AND(Inputs!$B$38&lt;&gt;"pvp",Inputs!$B$43&gt;0),(((R1275-1)*MIN((Skills!S16*(1+(Inputs!$B$34)/100)),(1/Q1275))+MIN((Skills!S16*(1+(Inputs!$B$34)/100)),MAX(0,Inputs!$B$43-((R1275-1)*(1/Q1275)))))/Inputs!$B$43),IF(Inputs!$B$38="pvp",MIN((Skills!S16*(1+(Inputs!$B$34)/100)),15)/15,MIN(1,(Skills!S16*(1+(Inputs!$B$34)/100))/(1/Q1275))))/100),1)</f>
        <v/>
      </c>
    </row>
    <row r="1287">
      <c r="A1287" t="inlineStr">
        <is>
          <t>Monster Damage Taken Bonus % (Freezing Breath - Weaken + Elemental Reset + Artifact Enemy Damage Taken, summed)</t>
        </is>
      </c>
      <c r="B1287">
        <f>IF(Inputs!$B$3&gt;=118,15*IF(Inputs!$B$38="pvp",MIN((30*(1+(Inputs!$B$34)/100)),15)/15,MIN(1,(30*(1+(Inputs!$B$34)/100))/(1/Q1267))),0)+IF(C1273=TRUE,F1273,0)+(IF(AND(ArtifactsInput!$M$35,Inputs!$B$4&lt;&gt;"Chapter Hunt"),CHOOSE(ArtifactsInput!$N$35+1,15,18,21,24,27,30)*(1-EXP(-(0.2*B1290)*5)),0)+IF(AND(ArtifactsInput!$M$22,Inputs!$B$4&lt;&gt;"Chapter Hunt"),CHOOSE(ArtifactsInput!$N$22+1,10,12,14,16,18,20)*((0*(((0.15*B1290*5))^0/1)+1*(((0.15*B1290*5))^1/1)+2*(((0.15*B1290*5))^2/2)+3*(((0.15*B1290*5))^3/6)+4*(((0.15*B1290*5))^4/24)+5*(((0.15*B1290*5))^5/120))/((((0.15*B1290*5))^0/1)+(((0.15*B1290*5))^1/1)+(((0.15*B1290*5))^2/2)+(((0.15*B1290*5))^3/6)+(((0.15*B1290*5))^4/24)+(((0.15*B1290*5))^5/120))),0))</f>
        <v/>
      </c>
    </row>
    <row r="1288">
      <c r="A1288" t="inlineStr">
        <is>
          <t>Damage % Bonus (Frozen Break + Frost Clutch, flat)</t>
        </is>
      </c>
      <c r="B1288">
        <f>IF(Inputs!$B$3&gt;=66,15,0)+IF(Inputs!$B$3&gt;=98,10,0)+IF(Inputs!$B$3&gt;=125,20,0)</f>
        <v/>
      </c>
    </row>
    <row r="1289">
      <c r="A1289" t="inlineStr">
        <is>
          <t>Attack Speed Bonus % (MP Eater - MP Boost, always-on + Nimble Feet, duty-cycle averaged)</t>
        </is>
      </c>
      <c r="B1289">
        <f>IF(C1272=TRUE,F1272+(F1276-Calc!F17),0)+((C1283=TRUE)*F1283*IF(AND(Inputs!$B$38&lt;&gt;"pvp",Inputs!$B$43&gt;0),(((R1283-1)*MIN((Skills!S24*(1+(Inputs!$B$34)/100)),(1/Q1283))+MIN((Skills!S24*(1+(Inputs!$B$34)/100)),MAX(0,Inputs!$B$43-((R1283-1)*(1/Q1283)))))/Inputs!$B$43),IF(Inputs!$B$38="pvp",MIN((Skills!S24*(1+(Inputs!$B$34)/100)),15)/15,MIN(1,(Skills!S24*(1+(Inputs!$B$34)/100))/(1/Q1283)))))</f>
        <v/>
      </c>
    </row>
    <row r="1290">
      <c r="A1290" t="inlineStr">
        <is>
          <t>Actions Per Second</t>
        </is>
      </c>
      <c r="B1290">
        <f>1+MIN(150,150*(1-(1-(Inputs!$B$11+(ArtifactsInput!$M$15-ArtifactsInput!$M$15)*CHOOSE(ArtifactsInput!$N$15+1,8,9.6,11.2,12.8,14.4,16))/150)*(1-B1289/150)))/100</f>
        <v/>
      </c>
    </row>
    <row r="1291">
      <c r="A1291" t="inlineStr">
        <is>
          <t>Skill + Buff Cast Rate</t>
        </is>
      </c>
      <c r="B1291">
        <f>IF(AND(Inputs!$B$38&lt;&gt;"pvp",Inputs!$B$43&gt;0),SUMPRODUCT((Skills!E2:E24=TRUE)*(C1261:C1283=TRUE)*R1261:R1283)/Inputs!$B$43,SUMPRODUCT((Skills!E2:E24=TRUE)*(C1261:C1283=TRUE)*Q1261:Q1283))</f>
        <v/>
      </c>
    </row>
    <row r="1292">
      <c r="A1292" t="inlineStr">
        <is>
          <t>Chain Lightning Casts Per Second</t>
        </is>
      </c>
      <c r="B1292">
        <f>MAX(0,B1290-B1291)</f>
        <v/>
      </c>
    </row>
    <row r="1293">
      <c r="A1293" t="inlineStr">
        <is>
          <t>Buff-Casting Startup Delay (s, fixed-duration only)</t>
        </is>
      </c>
      <c r="B1293">
        <f>IF(AND(Inputs!$B$38&lt;&gt;"pvp",Inputs!$B$43&gt;0),SUMPRODUCT((Skills!S2:S24&gt;0)*(Skills!E2:E24=TRUE)*(C1261:C1283=TRUE))/B1290,0)</f>
        <v/>
      </c>
    </row>
    <row r="1294">
      <c r="A1294" t="inlineStr">
        <is>
          <t>Boss-Only Total DPS (this block's swept value)</t>
        </is>
      </c>
      <c r="B1294">
        <f>SUM(S1261:S1283)</f>
        <v/>
      </c>
    </row>
    <row r="1295">
      <c r="A1295" t="inlineStr">
        <is>
          <t>Normal-Only Total DPS (this block's swept value)</t>
        </is>
      </c>
      <c r="B1295">
        <f>SUM(U1261:U1283)</f>
        <v/>
      </c>
    </row>
    <row r="1296">
      <c r="A1296" s="6" t="inlineStr">
        <is>
          <t>TOTAL DPS</t>
        </is>
      </c>
      <c r="B1296" s="6">
        <f>SUM(O1261:O1283)</f>
        <v/>
      </c>
    </row>
    <row r="1297">
      <c r="A1297" t="inlineStr">
        <is>
          <t>Blizzard Final Attack trigger rate (this block's own Q/R)</t>
        </is>
      </c>
      <c r="B1297">
        <f>IF(AND(Inputs!$B$38&lt;&gt;"pvp",Inputs!$B$43&gt;0),(((C1264=TRUE)*R1264*1)+((C1265=TRUE)*R1265*1)+((C1267=TRUE)*R1267*1)+((C1268=TRUE)*R1268*3)+((C1270=TRUE)*R1270*1))/Inputs!$B$43,((C1264=TRUE)*Q1264*1)+((C1265=TRUE)*Q1265*1)+((C1267=TRUE)*Q1267*1)+((C1268=TRUE)*Q1268*3)+((C1270=TRUE)*Q1270*1))+B1292</f>
        <v/>
      </c>
    </row>
    <row r="1300">
      <c r="A1300" s="6" t="inlineStr">
        <is>
          <t>Stat: Hexagon Necklace (Equip)</t>
        </is>
      </c>
    </row>
    <row r="1301">
      <c r="A1301" s="5" t="inlineStr">
        <is>
          <t>Key</t>
        </is>
      </c>
      <c r="B1301" s="5" t="inlineStr">
        <is>
          <t>Name</t>
        </is>
      </c>
      <c r="C1301" s="5" t="inlineStr">
        <is>
          <t>Unlocked</t>
        </is>
      </c>
      <c r="D1301" s="5" t="inlineStr">
        <is>
          <t>InputLevel</t>
        </is>
      </c>
      <c r="E1301" s="5" t="inlineStr">
        <is>
          <t>Factor</t>
        </is>
      </c>
      <c r="F1301" s="5" t="inlineStr">
        <is>
          <t>CoefficientPercent</t>
        </is>
      </c>
      <c r="G1301" s="5" t="inlineStr">
        <is>
          <t>EffectiveHits</t>
        </is>
      </c>
      <c r="H1301" s="5" t="inlineStr">
        <is>
          <t>ProcProbability</t>
        </is>
      </c>
      <c r="I1301" s="5" t="inlineStr">
        <is>
          <t>MapleHeroMultiplier</t>
        </is>
      </c>
      <c r="J1301" s="5" t="inlineStr">
        <is>
          <t>BaseDamage</t>
        </is>
      </c>
      <c r="K1301" s="5" t="inlineStr">
        <is>
          <t>BaseHitDamage</t>
        </is>
      </c>
      <c r="L1301" s="5" t="inlineStr">
        <is>
          <t>NonCritAvg</t>
        </is>
      </c>
      <c r="M1301" s="5" t="inlineStr">
        <is>
          <t>CritAvg</t>
        </is>
      </c>
      <c r="N1301" s="5" t="inlineStr">
        <is>
          <t>ExpectedDamage(perHit)</t>
        </is>
      </c>
      <c r="O1301" s="5" t="inlineStr">
        <is>
          <t>DPS</t>
        </is>
      </c>
      <c r="P1301" s="5" t="inlineStr">
        <is>
          <t>% of Total</t>
        </is>
      </c>
      <c r="R1301" t="inlineStr">
        <is>
          <t>helpers</t>
        </is>
      </c>
    </row>
    <row r="1302">
      <c r="A1302">
        <f>Skills!A2</f>
        <v/>
      </c>
      <c r="B1302">
        <f>Skills!B2</f>
        <v/>
      </c>
      <c r="C1302">
        <f>Inputs!$B$3&gt;=100</f>
        <v/>
      </c>
      <c r="D1302" t="inlineStr"/>
      <c r="E1302" t="inlineStr"/>
      <c r="F1302">
        <f>T1304+Skills!N2</f>
        <v/>
      </c>
      <c r="G1302">
        <f>Calc!G2</f>
        <v/>
      </c>
      <c r="H1302">
        <f>Calc!H2</f>
        <v/>
      </c>
      <c r="I1302">
        <f>IF(Skills!T2&lt;&gt;"",1+(Skills!T2/10)*(Z1303/1000)/100,1)</f>
        <v/>
      </c>
      <c r="J1302">
        <f>((Inputs!$B$6*(1+Inputs!$B$7/100))+(((Inputs!$B$12*(1+Inputs!$B$13/100))-(Inputs!$B$12*(1+Inputs!$B$13/100)))+0.25*(Inputs!$B$14-Inputs!$B$14))*(1+Inputs!$B$7/100))*(F1302/100)</f>
        <v/>
      </c>
      <c r="K1302">
        <f>J1302*(1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2="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1302)</f>
        <v/>
      </c>
      <c r="L1302">
        <f>K1302*(MIN(Inputs!$B$22+(F1318-Calc!F18),(Inputs!$B$23+(IF(ArtifactsInput!$M$15,CHOOSE(ArtifactsInput!$N$15+1,25,30,35,40,45,50)/100*(Inputs!$B$11-Inputs!$B$11),0))))/100+(Inputs!$B$23+(IF(ArtifactsInput!$M$15,CHOOSE(ArtifactsInput!$N$15+1,25,30,35,40,45,50)/100*(Inputs!$B$11-Inputs!$B$11),0)))/100)/2</f>
        <v/>
      </c>
      <c r="M1302">
        <f>L1302*(1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2">
        <f>L1302*(1-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1302*(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2">
        <f>(1-Summary!$B$11)*S1302+Summary!$B$11*U1302</f>
        <v/>
      </c>
      <c r="P1302">
        <f>IF(B1337=0,0,O1302/B1337)</f>
        <v/>
      </c>
      <c r="Q1302">
        <f>IFERROR(1/(IF(Inputs!$B$38="pvp",15,MAX(0.1,Skills!D2-IF(TRUE=TRUE,Inputs!$B$32,0)))*(1-IF(AND(ArtifactsInput!$M$27,Inputs!$B$4="Chapter Hunt"),CHOOSE(ArtifactsInput!$N$27+1,20,24,28,32,36,40),0)/100)),0)</f>
        <v/>
      </c>
      <c r="R1302" t="n">
        <v>0</v>
      </c>
      <c r="S1302">
        <f>IF(C1302,(Skills!F2*N1302*B1333)*IF(Inputs!$B$38="pvp",1,1+(Inputs!$B$20+Skills!O2+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1302*(1-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1302*(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1302*(1-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1302*(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02">
        <f>MAX(0,(Inputs!$B$3-100)*3)+Inputs!$B$28+Inputs!$B$29</f>
        <v/>
      </c>
      <c r="U1302">
        <f>IF(C1302,(Skills!F2*N1302*B1333)*IF(Inputs!$B$38="pvp",1,(1+(Inputs!$B$21+Skills!P2+B1328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02">
        <f>MAX(0,(Inputs!$B$3-100)*3)+Inputs!$B$28+Inputs!$B$29</f>
        <v/>
      </c>
    </row>
    <row r="1303">
      <c r="A1303">
        <f>Skills!A3</f>
        <v/>
      </c>
      <c r="B1303">
        <f>Skills!B3</f>
        <v/>
      </c>
      <c r="C1303">
        <f>Inputs!$B$3&gt;=15</f>
        <v/>
      </c>
      <c r="D1303">
        <f>IF(Skills!C3=1,60+Inputs!$B$25+Inputs!$B$29,IF(Skills!C3=2,90+Inputs!$B$26+Inputs!$B$29,IF(Skills!C3=3,120+Inputs!$B$27+Inputs!$B$29,MAX(0,(Inputs!$B$3-100)*3)+Inputs!$B$28+Inputs!$B$29)))</f>
        <v/>
      </c>
      <c r="E1303">
        <f>INDEX(FactorTable!$B$2:$Y$301, MATCH(ROUND(MIN(300,MAX(1,D1303)),0), FactorTable!$A$2:$A$301,0), Skills!L3+1)</f>
        <v/>
      </c>
      <c r="F1303">
        <f>IF(Skills!M3=TRUE,(Skills!K3/10)*(E1303/1000),Skills!K3/10)+Skills!N3</f>
        <v/>
      </c>
      <c r="G1303">
        <f>Calc!G3</f>
        <v/>
      </c>
      <c r="H1303">
        <f>Calc!H3</f>
        <v/>
      </c>
      <c r="I1303">
        <f>IF(Skills!T3&lt;&gt;"",1+(Skills!T3/10)*(Z1303/1000)/100,1)</f>
        <v/>
      </c>
      <c r="J1303" t="inlineStr"/>
      <c r="K1303" t="inlineStr"/>
      <c r="L1303" t="inlineStr"/>
      <c r="M1303" t="inlineStr"/>
      <c r="N1303" t="inlineStr"/>
      <c r="O1303">
        <f>(1-Summary!$B$11)*S1303+Summary!$B$11*U1303</f>
        <v/>
      </c>
      <c r="P1303">
        <f>IF(B1337=0,0,O1303/B1337)</f>
        <v/>
      </c>
      <c r="Q1303">
        <f>IFERROR(1/(IF(Inputs!$B$38="pvp",15,MAX(0.1,Skills!D3-IF(TRUE=TRUE,Inputs!$B$32,0)))*(1-IF(AND(ArtifactsInput!$M$27,Inputs!$B$4="Chapter Hunt"),CHOOSE(ArtifactsInput!$N$27+1,20,24,28,32,36,40),0)/100)),0)</f>
        <v/>
      </c>
      <c r="R1303">
        <f>IF(AND(Inputs!$B$38&lt;&gt;"pvp",Inputs!$B$43&gt;0),IF(Inputs!$B$43&lt;=0,0,(INT(Inputs!$B$43/(IF(Inputs!$B$38="pvp",15,MAX(0.1,Skills!D3-IF(TRUE=TRUE,Inputs!$B$32,0)))*(1-IF(AND(ArtifactsInput!$M$27,Inputs!$B$4="Chapter Hunt"),CHOOSE(ArtifactsInput!$N$27+1,20,24,28,32,36,40),0)/100)))+1)),0)</f>
        <v/>
      </c>
      <c r="S1303" t="n">
        <v>0</v>
      </c>
      <c r="T1303">
        <f>INDEX(FactorTable!$B$2:$Y$301, MATCH(ROUND(MIN(300,MAX(1,T1302)),0), FactorTable!$A$2:$A$301,0), 22)</f>
        <v/>
      </c>
      <c r="U1303" t="n">
        <v>0</v>
      </c>
      <c r="Z1303">
        <f>INDEX(FactorTable!$B$2:$Y$301, MATCH(ROUND(MIN(300,MAX(1,Z1302)),0), FactorTable!$A$2:$A$301,0), 24)</f>
        <v/>
      </c>
    </row>
    <row r="1304">
      <c r="A1304">
        <f>Skills!A4</f>
        <v/>
      </c>
      <c r="B1304">
        <f>Skills!B4</f>
        <v/>
      </c>
      <c r="C1304">
        <f>Inputs!$B$3&gt;=40</f>
        <v/>
      </c>
      <c r="D1304">
        <f>IF(Skills!C4=1,60+Inputs!$B$25+Inputs!$B$29,IF(Skills!C4=2,90+Inputs!$B$26+Inputs!$B$29,IF(Skills!C4=3,120+Inputs!$B$27+Inputs!$B$29,MAX(0,(Inputs!$B$3-100)*3)+Inputs!$B$28+Inputs!$B$29)))</f>
        <v/>
      </c>
      <c r="E1304">
        <f>INDEX(FactorTable!$B$2:$Y$301, MATCH(ROUND(MIN(300,MAX(1,D1304)),0), FactorTable!$A$2:$A$301,0), Skills!L4+1)</f>
        <v/>
      </c>
      <c r="F1304">
        <f>IF(Skills!M4=TRUE,(Skills!K4/10)*(E1304/1000),Skills!K4/10)+Skills!N4</f>
        <v/>
      </c>
      <c r="G1304">
        <f>Calc!G4</f>
        <v/>
      </c>
      <c r="H1304">
        <f>Calc!H4</f>
        <v/>
      </c>
      <c r="I1304">
        <f>IF(Skills!T4&lt;&gt;"",1+(Skills!T4/10)*(Z1303/1000)/100,1)</f>
        <v/>
      </c>
      <c r="J1304" t="inlineStr"/>
      <c r="K1304" t="inlineStr"/>
      <c r="L1304" t="inlineStr"/>
      <c r="M1304" t="inlineStr"/>
      <c r="N1304" t="inlineStr"/>
      <c r="O1304">
        <f>(1-Summary!$B$11)*S1304+Summary!$B$11*U1304</f>
        <v/>
      </c>
      <c r="P1304">
        <f>IF(B1337=0,0,O1304/B1337)</f>
        <v/>
      </c>
      <c r="Q1304">
        <f>IFERROR(1/(IF(Inputs!$B$38="pvp",15,MAX(0.1,Skills!D4-IF(TRUE=TRUE,Inputs!$B$32,0)))*(1-IF(AND(ArtifactsInput!$M$27,Inputs!$B$4="Chapter Hunt"),CHOOSE(ArtifactsInput!$N$27+1,20,24,28,32,36,40),0)/100)),0)</f>
        <v/>
      </c>
      <c r="R1304">
        <f>IF(AND(Inputs!$B$38&lt;&gt;"pvp",Inputs!$B$43&gt;0),IF(Inputs!$B$43&lt;=0,0,(INT(Inputs!$B$43/(IF(Inputs!$B$38="pvp",15,MAX(0.1,Skills!D4-IF(TRUE=TRUE,Inputs!$B$32,0)))*(1-IF(AND(ArtifactsInput!$M$27,Inputs!$B$4="Chapter Hunt"),CHOOSE(ArtifactsInput!$N$27+1,20,24,28,32,36,40),0)/100)))+1)),0)</f>
        <v/>
      </c>
      <c r="S1304" t="n">
        <v>0</v>
      </c>
      <c r="T1304">
        <f>290*T1303/1000</f>
        <v/>
      </c>
      <c r="U1304" t="n">
        <v>0</v>
      </c>
    </row>
    <row r="1305">
      <c r="A1305">
        <f>Skills!A5</f>
        <v/>
      </c>
      <c r="B1305">
        <f>Skills!B5</f>
        <v/>
      </c>
      <c r="C1305">
        <f>Inputs!$B$3&gt;=38</f>
        <v/>
      </c>
      <c r="D1305">
        <f>IF(Skills!C5=1,60+Inputs!$B$25+Inputs!$B$29,IF(Skills!C5=2,90+Inputs!$B$26+Inputs!$B$29,IF(Skills!C5=3,120+Inputs!$B$27+Inputs!$B$29,MAX(0,(Inputs!$B$3-100)*3)+Inputs!$B$28+Inputs!$B$29)))</f>
        <v/>
      </c>
      <c r="E1305">
        <f>INDEX(FactorTable!$B$2:$Y$301, MATCH(ROUND(MIN(300,MAX(1,D1305)),0), FactorTable!$A$2:$A$301,0), Skills!L5+1)</f>
        <v/>
      </c>
      <c r="F1305">
        <f>IF(Skills!M5=TRUE,(Skills!K5/10)*(E1305/1000),Skills!K5/10)+Skills!N5</f>
        <v/>
      </c>
      <c r="G1305">
        <f>Calc!G5</f>
        <v/>
      </c>
      <c r="H1305">
        <f>Calc!H5</f>
        <v/>
      </c>
      <c r="I1305">
        <f>IF(Skills!T5&lt;&gt;"",1+(Skills!T5/10)*(Z1303/1000)/100,1)</f>
        <v/>
      </c>
      <c r="J1305">
        <f>((Inputs!$B$6*(1+Inputs!$B$7/100))+(((Inputs!$B$12*(1+Inputs!$B$13/100))-(Inputs!$B$12*(1+Inputs!$B$13/100)))+0.25*(Inputs!$B$14-Inputs!$B$14))*(1+Inputs!$B$7/100))*(F1305/100)</f>
        <v/>
      </c>
      <c r="K1305">
        <f>J1305*(1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5="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1305)</f>
        <v/>
      </c>
      <c r="L1305">
        <f>K1305*(MIN(Inputs!$B$22+(F1318-Calc!F18),(Inputs!$B$23+(IF(ArtifactsInput!$M$15,CHOOSE(ArtifactsInput!$N$15+1,25,30,35,40,45,50)/100*(Inputs!$B$11-Inputs!$B$11),0))))/100+(Inputs!$B$23+(IF(ArtifactsInput!$M$15,CHOOSE(ArtifactsInput!$N$15+1,25,30,35,40,45,50)/100*(Inputs!$B$11-Inputs!$B$11),0)))/100)/2</f>
        <v/>
      </c>
      <c r="M1305">
        <f>L1305*(1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5">
        <f>L1305*(1-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1305*(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5">
        <f>(1-Summary!$B$11)*S1305+Summary!$B$11*U1305</f>
        <v/>
      </c>
      <c r="P1305">
        <f>IF(B1337=0,0,O1305/B1337)</f>
        <v/>
      </c>
      <c r="Q1305">
        <f>IFERROR(1/(IF(Inputs!$B$38="pvp",15,MAX(0.1,Skills!D5-IF(TRUE=TRUE,Inputs!$B$32,0)))*(1-IF(AND(ArtifactsInput!$M$27,Inputs!$B$4="Chapter Hunt"),CHOOSE(ArtifactsInput!$N$27+1,20,24,28,32,36,40),0)/100)),0)</f>
        <v/>
      </c>
      <c r="R1305">
        <f>IF(AND(Inputs!$B$38&lt;&gt;"pvp",Inputs!$B$43&gt;0),IF(MAX(0,Inputs!$B$43-B1334)&lt;=0,0,(INT(MAX(0,Inputs!$B$43-B1334)/(IF(Inputs!$B$38="pvp",15,MAX(0.1,Skills!D5-IF(TRUE=TRUE,Inputs!$B$32,0)))*(1-IF(AND(ArtifactsInput!$M$27,Inputs!$B$4="Chapter Hunt"),CHOOSE(ArtifactsInput!$N$27+1,20,24,28,32,36,40),0)/100)))+1)),0)</f>
        <v/>
      </c>
      <c r="S1305">
        <f>IF(C1305,(H1305*N1305*IF(AND(Inputs!$B$38&lt;&gt;"pvp",Inputs!$B$43&gt;0),((Skills!F5*((R1305-1)*IF(Skills!G5&gt;0,Skills!H5/Skills!G5,1)+IF(Skills!G5&gt;0,MIN(Skills!H5,MAX(0,MAX(0,Inputs!$B$43-B1334)-((R1305-1)*(IF(Inputs!$B$38="pvp",15,MAX(0.1,Skills!D5-IF(TRUE=TRUE,Inputs!$B$32,0)))*(1-IF(AND(ArtifactsInput!$M$27,Inputs!$B$4="Chapter Hunt"),CHOOSE(ArtifactsInput!$N$27+1,20,24,28,32,36,40),0)/100)))))/Skills!G5,1)))/Inputs!$B$43),G1305*Q1305))*IF(Inputs!$B$38="pvp",1,1+(Inputs!$B$20+Skills!O5+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1305*(1-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1305*(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1305*(1-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1305*(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5">
        <f>IF(C1305,(H1305*N1305*IF(AND(Inputs!$B$38&lt;&gt;"pvp",Inputs!$B$43&gt;0),((Skills!F5*((R1305-1)*IF(Skills!G5&gt;0,Skills!H5/Skills!G5,1)+IF(Skills!G5&gt;0,MIN(Skills!H5,MAX(0,MAX(0,Inputs!$B$43-B1334)-((R1305-1)*(IF(Inputs!$B$38="pvp",15,MAX(0.1,Skills!D5-IF(TRUE=TRUE,Inputs!$B$32,0)))*(1-IF(AND(ArtifactsInput!$M$27,Inputs!$B$4="Chapter Hunt"),CHOOSE(ArtifactsInput!$N$27+1,20,24,28,32,36,40),0)/100)))))/Skills!G5,1)))/Inputs!$B$43),G1305*Q1305))*IF(Inputs!$B$38="pvp",1,(1+(Inputs!$B$21+Skills!P5+B1328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6">
      <c r="A1306">
        <f>Skills!A6</f>
        <v/>
      </c>
      <c r="B1306">
        <f>Skills!B6</f>
        <v/>
      </c>
      <c r="C1306">
        <f>Inputs!$B$3&gt;=63</f>
        <v/>
      </c>
      <c r="D1306">
        <f>IF(Skills!C6=1,60+Inputs!$B$25+Inputs!$B$29,IF(Skills!C6=2,90+Inputs!$B$26+Inputs!$B$29,IF(Skills!C6=3,120+Inputs!$B$27+Inputs!$B$29,MAX(0,(Inputs!$B$3-100)*3)+Inputs!$B$28+Inputs!$B$29)))</f>
        <v/>
      </c>
      <c r="E1306">
        <f>INDEX(FactorTable!$B$2:$Y$301, MATCH(ROUND(MIN(300,MAX(1,D1306)),0), FactorTable!$A$2:$A$301,0), Skills!L6+1)</f>
        <v/>
      </c>
      <c r="F1306">
        <f>IF(Skills!M6=TRUE,(Skills!K6/10)*(E1306/1000),Skills!K6/10)+Skills!N6</f>
        <v/>
      </c>
      <c r="G1306">
        <f>Calc!G6</f>
        <v/>
      </c>
      <c r="H1306">
        <f>Calc!H6</f>
        <v/>
      </c>
      <c r="I1306">
        <f>IF(Skills!T6&lt;&gt;"",1+(Skills!T6/10)*(Z1303/1000)/100,1)</f>
        <v/>
      </c>
      <c r="J1306">
        <f>((Inputs!$B$6*(1+Inputs!$B$7/100))+(((Inputs!$B$12*(1+Inputs!$B$13/100))-(Inputs!$B$12*(1+Inputs!$B$13/100)))+0.25*(Inputs!$B$14-Inputs!$B$14))*(1+Inputs!$B$7/100))*(F1306/100)</f>
        <v/>
      </c>
      <c r="K1306">
        <f>J1306*(1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6="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1306)</f>
        <v/>
      </c>
      <c r="L1306">
        <f>K1306*(MIN(Inputs!$B$22+(F1318-Calc!F18),(Inputs!$B$23+(IF(ArtifactsInput!$M$15,CHOOSE(ArtifactsInput!$N$15+1,25,30,35,40,45,50)/100*(Inputs!$B$11-Inputs!$B$11),0))))/100+(Inputs!$B$23+(IF(ArtifactsInput!$M$15,CHOOSE(ArtifactsInput!$N$15+1,25,30,35,40,45,50)/100*(Inputs!$B$11-Inputs!$B$11),0)))/100)/2</f>
        <v/>
      </c>
      <c r="M1306">
        <f>L1306*(1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6">
        <f>L1306*(1-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1306*(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6">
        <f>(1-Summary!$B$11)*S1306+Summary!$B$11*U1306</f>
        <v/>
      </c>
      <c r="P1306">
        <f>IF(B1337=0,0,O1306/B1337)</f>
        <v/>
      </c>
      <c r="Q1306">
        <f>IFERROR(1/(IF(Inputs!$B$38="pvp",15,MAX(0.1,Skills!D6-IF(TRUE=TRUE,Inputs!$B$32,0)))*(1-IF(AND(ArtifactsInput!$M$27,Inputs!$B$4="Chapter Hunt"),CHOOSE(ArtifactsInput!$N$27+1,20,24,28,32,36,40),0)/100)),0)</f>
        <v/>
      </c>
      <c r="R1306">
        <f>IF(AND(Inputs!$B$38&lt;&gt;"pvp",Inputs!$B$43&gt;0),IF(MAX(0,Inputs!$B$43-B1334)&lt;=0,0,(INT(MAX(0,Inputs!$B$43-B1334)/(IF(Inputs!$B$38="pvp",15,MAX(0.1,Skills!D6-IF(TRUE=TRUE,Inputs!$B$32,0)))*(1-IF(AND(ArtifactsInput!$M$27,Inputs!$B$4="Chapter Hunt"),CHOOSE(ArtifactsInput!$N$27+1,20,24,28,32,36,40),0)/100)))+1)),0)</f>
        <v/>
      </c>
      <c r="S1306">
        <f>IF(C1306,(H1306*N1306*IF(AND(Inputs!$B$38&lt;&gt;"pvp",Inputs!$B$43&gt;0),((Skills!F6*((R1306-1)*IF(Skills!G6&gt;0,Skills!H6/Skills!G6,1)+IF(Skills!G6&gt;0,MIN(Skills!H6,MAX(0,MAX(0,Inputs!$B$43-B1334)-((R1306-1)*(IF(Inputs!$B$38="pvp",15,MAX(0.1,Skills!D6-IF(TRUE=TRUE,Inputs!$B$32,0)))*(1-IF(AND(ArtifactsInput!$M$27,Inputs!$B$4="Chapter Hunt"),CHOOSE(ArtifactsInput!$N$27+1,20,24,28,32,36,40),0)/100)))))/Skills!G6,1)))/Inputs!$B$43),G1306*Q1306))*IF(Inputs!$B$38="pvp",1,1+(Inputs!$B$20+Skills!O6+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1306*(1-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1306*(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1306*(1-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1306*(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6">
        <f>IF(C1306,(H1306*N1306*IF(AND(Inputs!$B$38&lt;&gt;"pvp",Inputs!$B$43&gt;0),((Skills!F6*((R1306-1)*IF(Skills!G6&gt;0,Skills!H6/Skills!G6,1)+IF(Skills!G6&gt;0,MIN(Skills!H6,MAX(0,MAX(0,Inputs!$B$43-B1334)-((R1306-1)*(IF(Inputs!$B$38="pvp",15,MAX(0.1,Skills!D6-IF(TRUE=TRUE,Inputs!$B$32,0)))*(1-IF(AND(ArtifactsInput!$M$27,Inputs!$B$4="Chapter Hunt"),CHOOSE(ArtifactsInput!$N$27+1,20,24,28,32,36,40),0)/100)))))/Skills!G6,1)))/Inputs!$B$43),G1306*Q1306))*IF(Inputs!$B$38="pvp",1,(1+(Inputs!$B$21+Skills!P6+B1328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7">
      <c r="A1307">
        <f>Skills!A7</f>
        <v/>
      </c>
      <c r="B1307">
        <f>Skills!B7</f>
        <v/>
      </c>
      <c r="C1307">
        <f>Inputs!$B$3&gt;=69</f>
        <v/>
      </c>
      <c r="D1307">
        <f>IF(Skills!C7=1,60+Inputs!$B$25+Inputs!$B$29,IF(Skills!C7=2,90+Inputs!$B$26+Inputs!$B$29,IF(Skills!C7=3,120+Inputs!$B$27+Inputs!$B$29,MAX(0,(Inputs!$B$3-100)*3)+Inputs!$B$28+Inputs!$B$29)))</f>
        <v/>
      </c>
      <c r="E1307">
        <f>INDEX(FactorTable!$B$2:$Y$301, MATCH(ROUND(MIN(300,MAX(1,D1307)),0), FactorTable!$A$2:$A$301,0), Skills!L7+1)</f>
        <v/>
      </c>
      <c r="F1307">
        <f>IF(Skills!M7=TRUE,(Skills!K7/10)*(E1307/1000),Skills!K7/10)+Skills!N7</f>
        <v/>
      </c>
      <c r="G1307">
        <f>Calc!G7</f>
        <v/>
      </c>
      <c r="H1307">
        <f>Calc!H7</f>
        <v/>
      </c>
      <c r="I1307">
        <f>IF(Skills!T7&lt;&gt;"",1+(Skills!T7/10)*(Z1303/1000)/100,1)</f>
        <v/>
      </c>
      <c r="J1307">
        <f>((Inputs!$B$6*(1+Inputs!$B$7/100))+(((Inputs!$B$12*(1+Inputs!$B$13/100))-(Inputs!$B$12*(1+Inputs!$B$13/100)))+0.25*(Inputs!$B$14-Inputs!$B$14))*(1+Inputs!$B$7/100))*(F1307/100)</f>
        <v/>
      </c>
      <c r="K1307">
        <f>J1307*(1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7="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1307)</f>
        <v/>
      </c>
      <c r="L1307">
        <f>K1307*(MIN(Inputs!$B$22+(F1318-Calc!F18),(Inputs!$B$23+(IF(ArtifactsInput!$M$15,CHOOSE(ArtifactsInput!$N$15+1,25,30,35,40,45,50)/100*(Inputs!$B$11-Inputs!$B$11),0))))/100+(Inputs!$B$23+(IF(ArtifactsInput!$M$15,CHOOSE(ArtifactsInput!$N$15+1,25,30,35,40,45,50)/100*(Inputs!$B$11-Inputs!$B$11),0)))/100)/2</f>
        <v/>
      </c>
      <c r="M1307">
        <f>L1307*(1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7">
        <f>L1307*(1-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1307*(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7">
        <f>(1-Summary!$B$11)*S1307+Summary!$B$11*U1307</f>
        <v/>
      </c>
      <c r="P1307">
        <f>IF(B1337=0,0,O1307/B1337)</f>
        <v/>
      </c>
      <c r="Q1307">
        <f>IFERROR(1/(IF(Inputs!$B$38="pvp",15,MAX(0.1,Skills!D7-IF(TRUE=TRUE,Inputs!$B$32,0)))*(1-IF(AND(ArtifactsInput!$M$27,Inputs!$B$4="Chapter Hunt"),CHOOSE(ArtifactsInput!$N$27+1,20,24,28,32,36,40),0)/100)),0)</f>
        <v/>
      </c>
      <c r="R1307">
        <f>IF(AND(Inputs!$B$38&lt;&gt;"pvp",Inputs!$B$43&gt;0),IF(MAX(0,Inputs!$B$43-B1334)&lt;=0,0,(INT(MAX(0,Inputs!$B$43-B1334)/(IF(Inputs!$B$38="pvp",15,MAX(0.1,Skills!D7-IF(TRUE=TRUE,Inputs!$B$32,0)))*(1-IF(AND(ArtifactsInput!$M$27,Inputs!$B$4="Chapter Hunt"),CHOOSE(ArtifactsInput!$N$27+1,20,24,28,32,36,40),0)/100)))+1)),0)</f>
        <v/>
      </c>
      <c r="S1307">
        <f>IF(C1307,(H1307*N1307*IF(AND(Inputs!$B$38&lt;&gt;"pvp",Inputs!$B$43&gt;0),((Skills!F7*((R1307-1)*IF(Skills!G7&gt;0,Skills!H7/Skills!G7,1)+IF(Skills!G7&gt;0,MIN(Skills!H7,MAX(0,MAX(0,Inputs!$B$43-B1334)-((R1307-1)*(IF(Inputs!$B$38="pvp",15,MAX(0.1,Skills!D7-IF(TRUE=TRUE,Inputs!$B$32,0)))*(1-IF(AND(ArtifactsInput!$M$27,Inputs!$B$4="Chapter Hunt"),CHOOSE(ArtifactsInput!$N$27+1,20,24,28,32,36,40),0)/100)))))/Skills!G7,1)))/Inputs!$B$43),G1307*Q1307))*IF(Inputs!$B$38="pvp",1,1+(Inputs!$B$20+Skills!O7+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1307*(1-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1307*(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1307*(1-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1307*(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7">
        <f>IF(C1307,(H1307*N1307*IF(AND(Inputs!$B$38&lt;&gt;"pvp",Inputs!$B$43&gt;0),((Skills!F7*((R1307-1)*IF(Skills!G7&gt;0,Skills!H7/Skills!G7,1)+IF(Skills!G7&gt;0,MIN(Skills!H7,MAX(0,MAX(0,Inputs!$B$43-B1334)-((R1307-1)*(IF(Inputs!$B$38="pvp",15,MAX(0.1,Skills!D7-IF(TRUE=TRUE,Inputs!$B$32,0)))*(1-IF(AND(ArtifactsInput!$M$27,Inputs!$B$4="Chapter Hunt"),CHOOSE(ArtifactsInput!$N$27+1,20,24,28,32,36,40),0)/100)))))/Skills!G7,1)))/Inputs!$B$43),G1307*Q1307))*IF(Inputs!$B$38="pvp",1,(1+(Inputs!$B$21+Skills!P7+B1328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8">
      <c r="A1308">
        <f>Skills!A8</f>
        <v/>
      </c>
      <c r="B1308">
        <f>Skills!B8</f>
        <v/>
      </c>
      <c r="C1308">
        <f>Inputs!$B$3&gt;=103</f>
        <v/>
      </c>
      <c r="D1308">
        <f>IF(Skills!C8=1,60+Inputs!$B$25+Inputs!$B$29,IF(Skills!C8=2,90+Inputs!$B$26+Inputs!$B$29,IF(Skills!C8=3,120+Inputs!$B$27+Inputs!$B$29,MAX(0,(Inputs!$B$3-100)*3)+Inputs!$B$28+Inputs!$B$29)))</f>
        <v/>
      </c>
      <c r="E1308">
        <f>INDEX(FactorTable!$B$2:$Y$301, MATCH(ROUND(MIN(300,MAX(1,D1308)),0), FactorTable!$A$2:$A$301,0), Skills!L8+1)</f>
        <v/>
      </c>
      <c r="F1308">
        <f>IF(Skills!M8=TRUE,(Skills!K8/10)*(E1308/1000),Skills!K8/10)+Skills!N8</f>
        <v/>
      </c>
      <c r="G1308">
        <f>Calc!G8</f>
        <v/>
      </c>
      <c r="H1308">
        <f>Calc!H8</f>
        <v/>
      </c>
      <c r="I1308">
        <f>IF(Skills!T8&lt;&gt;"",1+(Skills!T8/10)*(Z1303/1000)/100,1)</f>
        <v/>
      </c>
      <c r="J1308">
        <f>((Inputs!$B$6*(1+Inputs!$B$7/100))+(((Inputs!$B$12*(1+Inputs!$B$13/100))-(Inputs!$B$12*(1+Inputs!$B$13/100)))+0.25*(Inputs!$B$14-Inputs!$B$14))*(1+Inputs!$B$7/100))*(F1308/100)</f>
        <v/>
      </c>
      <c r="K1308">
        <f>J1308*(1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8="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1308)</f>
        <v/>
      </c>
      <c r="L1308">
        <f>K1308*(MIN(Inputs!$B$22+(F1318-Calc!F18),(Inputs!$B$23+(IF(ArtifactsInput!$M$15,CHOOSE(ArtifactsInput!$N$15+1,25,30,35,40,45,50)/100*(Inputs!$B$11-Inputs!$B$11),0))))/100+(Inputs!$B$23+(IF(ArtifactsInput!$M$15,CHOOSE(ArtifactsInput!$N$15+1,25,30,35,40,45,50)/100*(Inputs!$B$11-Inputs!$B$11),0)))/100)/2</f>
        <v/>
      </c>
      <c r="M1308">
        <f>L1308*(1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8">
        <f>L1308*(1-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1308*(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8">
        <f>(1-Summary!$B$11)*S1308+Summary!$B$11*U1308</f>
        <v/>
      </c>
      <c r="P1308">
        <f>IF(B1337=0,0,O1308/B1337)</f>
        <v/>
      </c>
      <c r="Q1308">
        <f>IFERROR(1/(IF(Inputs!$B$38="pvp",15,MAX(0.1,Skills!D8-IF(TRUE=TRUE,Inputs!$B$32,0)))*(1-IF(AND(ArtifactsInput!$M$27,Inputs!$B$4="Chapter Hunt"),CHOOSE(ArtifactsInput!$N$27+1,20,24,28,32,36,40),0)/100)),0)</f>
        <v/>
      </c>
      <c r="R1308">
        <f>IF(AND(Inputs!$B$38&lt;&gt;"pvp",Inputs!$B$43&gt;0),IF(MAX(0,Inputs!$B$43-B1334)&lt;=0,0,(INT(MAX(0,Inputs!$B$43-B1334)/(IF(Inputs!$B$38="pvp",15,MAX(0.1,Skills!D8-IF(TRUE=TRUE,Inputs!$B$32,0)))*(1-IF(AND(ArtifactsInput!$M$27,Inputs!$B$4="Chapter Hunt"),CHOOSE(ArtifactsInput!$N$27+1,20,24,28,32,36,40),0)/100)))+1)),0)</f>
        <v/>
      </c>
      <c r="S1308">
        <f>IF(C1308,(H1308*N1308*IF(AND(Inputs!$B$38&lt;&gt;"pvp",Inputs!$B$43&gt;0),((Skills!F8*((R1308-1)*IF(Skills!G8&gt;0,Skills!H8/Skills!G8,1)+IF(Skills!G8&gt;0,MIN(Skills!H8,MAX(0,MAX(0,Inputs!$B$43-B1334)-((R1308-1)*(IF(Inputs!$B$38="pvp",15,MAX(0.1,Skills!D8-IF(TRUE=TRUE,Inputs!$B$32,0)))*(1-IF(AND(ArtifactsInput!$M$27,Inputs!$B$4="Chapter Hunt"),CHOOSE(ArtifactsInput!$N$27+1,20,24,28,32,36,40),0)/100)))))/Skills!G8,1)))/Inputs!$B$43),G1308*Q1308))*IF(Inputs!$B$38="pvp",1,1+(Inputs!$B$20+Skills!O8+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1308*(1-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1308*(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1308*(1-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1308*(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8">
        <f>IF(C1308,(H1308*N1308*IF(AND(Inputs!$B$38&lt;&gt;"pvp",Inputs!$B$43&gt;0),((Skills!F8*((R1308-1)*IF(Skills!G8&gt;0,Skills!H8/Skills!G8,1)+IF(Skills!G8&gt;0,MIN(Skills!H8,MAX(0,MAX(0,Inputs!$B$43-B1334)-((R1308-1)*(IF(Inputs!$B$38="pvp",15,MAX(0.1,Skills!D8-IF(TRUE=TRUE,Inputs!$B$32,0)))*(1-IF(AND(ArtifactsInput!$M$27,Inputs!$B$4="Chapter Hunt"),CHOOSE(ArtifactsInput!$N$27+1,20,24,28,32,36,40),0)/100)))))/Skills!G8,1)))/Inputs!$B$43),G1308*Q1308))*IF(Inputs!$B$38="pvp",1,(1+(Inputs!$B$21+Skills!P8+B1328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09">
      <c r="A1309">
        <f>Skills!A9</f>
        <v/>
      </c>
      <c r="B1309">
        <f>Skills!B9</f>
        <v/>
      </c>
      <c r="C1309">
        <f>Inputs!$B$3&gt;=105</f>
        <v/>
      </c>
      <c r="D1309">
        <f>IF(Skills!C9=1,60+Inputs!$B$25+Inputs!$B$29,IF(Skills!C9=2,90+Inputs!$B$26+Inputs!$B$29,IF(Skills!C9=3,120+Inputs!$B$27+Inputs!$B$29,MAX(0,(Inputs!$B$3-100)*3)+Inputs!$B$28+Inputs!$B$29)))</f>
        <v/>
      </c>
      <c r="E1309">
        <f>INDEX(FactorTable!$B$2:$Y$301, MATCH(ROUND(MIN(300,MAX(1,D1309)),0), FactorTable!$A$2:$A$301,0), Skills!L9+1)</f>
        <v/>
      </c>
      <c r="F1309">
        <f>IF(Skills!M9=TRUE,(Skills!K9/10)*(E1309/1000),Skills!K9/10)+Skills!N9</f>
        <v/>
      </c>
      <c r="G1309">
        <f>Calc!G9</f>
        <v/>
      </c>
      <c r="H1309">
        <f>Calc!H9</f>
        <v/>
      </c>
      <c r="I1309">
        <f>IF(Skills!T9&lt;&gt;"",1+(Skills!T9/10)*(Z1303/1000)/100,1)</f>
        <v/>
      </c>
      <c r="J1309">
        <f>((Inputs!$B$6*(1+Inputs!$B$7/100))+(((Inputs!$B$12*(1+Inputs!$B$13/100))-(Inputs!$B$12*(1+Inputs!$B$13/100)))+0.25*(Inputs!$B$14-Inputs!$B$14))*(1+Inputs!$B$7/100))*(F1309/100)</f>
        <v/>
      </c>
      <c r="K1309">
        <f>J1309*(1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9="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1309)</f>
        <v/>
      </c>
      <c r="L1309">
        <f>K1309*(MIN(Inputs!$B$22+(F1318-Calc!F18),(Inputs!$B$23+(IF(ArtifactsInput!$M$15,CHOOSE(ArtifactsInput!$N$15+1,25,30,35,40,45,50)/100*(Inputs!$B$11-Inputs!$B$11),0))))/100+(Inputs!$B$23+(IF(ArtifactsInput!$M$15,CHOOSE(ArtifactsInput!$N$15+1,25,30,35,40,45,50)/100*(Inputs!$B$11-Inputs!$B$11),0)))/100)/2</f>
        <v/>
      </c>
      <c r="M1309">
        <f>L1309*(1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09">
        <f>L1309*(1-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1309*(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09">
        <f>(1-Summary!$B$11)*S1309+Summary!$B$11*U1309</f>
        <v/>
      </c>
      <c r="P1309">
        <f>IF(B1337=0,0,O1309/B1337)</f>
        <v/>
      </c>
      <c r="Q1309">
        <f>IFERROR(1/(IF(Inputs!$B$38="pvp",15,MAX(0.1,Skills!D9-IF(TRUE=TRUE,Inputs!$B$32,0)))*(1-IF(AND(ArtifactsInput!$M$27,Inputs!$B$4="Chapter Hunt"),CHOOSE(ArtifactsInput!$N$27+1,20,24,28,32,36,40),0)/100)),0)</f>
        <v/>
      </c>
      <c r="R1309">
        <f>IF(AND(Inputs!$B$38&lt;&gt;"pvp",Inputs!$B$43&gt;0),IF(MAX(0,Inputs!$B$43-B1334)&lt;=0,0,(INT(MAX(0,Inputs!$B$43-B1334)/(IF(Inputs!$B$38="pvp",15,MAX(0.1,Skills!D9-IF(TRUE=TRUE,Inputs!$B$32,0)))*(1-IF(AND(ArtifactsInput!$M$27,Inputs!$B$4="Chapter Hunt"),CHOOSE(ArtifactsInput!$N$27+1,20,24,28,32,36,40),0)/100)))+1)),0)</f>
        <v/>
      </c>
      <c r="S1309">
        <f>IF(C1309,(H1309*N1309*IF(AND(Inputs!$B$38&lt;&gt;"pvp",Inputs!$B$43&gt;0),((Skills!F9*((R1309-1)*IF(Skills!G9&gt;0,Skills!H9/Skills!G9,1)+IF(Skills!G9&gt;0,MIN(Skills!H9,MAX(0,MAX(0,Inputs!$B$43-B1334)-((R1309-1)*(IF(Inputs!$B$38="pvp",15,MAX(0.1,Skills!D9-IF(TRUE=TRUE,Inputs!$B$32,0)))*(1-IF(AND(ArtifactsInput!$M$27,Inputs!$B$4="Chapter Hunt"),CHOOSE(ArtifactsInput!$N$27+1,20,24,28,32,36,40),0)/100)))))/Skills!G9,1)))/Inputs!$B$43),G1309*Q1309))*IF(Inputs!$B$38="pvp",1,1+(Inputs!$B$20+Skills!O9+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1309*(1-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1309*(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1309*(1-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1309*(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09">
        <f>IF(C1309,(H1309*N1309*IF(AND(Inputs!$B$38&lt;&gt;"pvp",Inputs!$B$43&gt;0),((Skills!F9*((R1309-1)*IF(Skills!G9&gt;0,Skills!H9/Skills!G9,1)+IF(Skills!G9&gt;0,MIN(Skills!H9,MAX(0,MAX(0,Inputs!$B$43-B1334)-((R1309-1)*(IF(Inputs!$B$38="pvp",15,MAX(0.1,Skills!D9-IF(TRUE=TRUE,Inputs!$B$32,0)))*(1-IF(AND(ArtifactsInput!$M$27,Inputs!$B$4="Chapter Hunt"),CHOOSE(ArtifactsInput!$N$27+1,20,24,28,32,36,40),0)/100)))))/Skills!G9,1)))/Inputs!$B$43),G1309*Q1309))*IF(Inputs!$B$38="pvp",1,(1+(Inputs!$B$21+Skills!P9+B1328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0">
      <c r="A1310">
        <f>Skills!A10</f>
        <v/>
      </c>
      <c r="B1310">
        <f>Skills!B10</f>
        <v/>
      </c>
      <c r="C1310">
        <f>Inputs!$B$3&gt;=113</f>
        <v/>
      </c>
      <c r="D1310">
        <f>IF(Skills!C10=1,60+Inputs!$B$25+Inputs!$B$29,IF(Skills!C10=2,90+Inputs!$B$26+Inputs!$B$29,IF(Skills!C10=3,120+Inputs!$B$27+Inputs!$B$29,MAX(0,(Inputs!$B$3-100)*3)+Inputs!$B$28+Inputs!$B$29)))</f>
        <v/>
      </c>
      <c r="E1310">
        <f>INDEX(FactorTable!$B$2:$Y$301, MATCH(ROUND(MIN(300,MAX(1,D1310)),0), FactorTable!$A$2:$A$301,0), Skills!L10+1)</f>
        <v/>
      </c>
      <c r="F1310">
        <f>IF(Skills!M10=TRUE,(Skills!K10/10)*(E1310/1000),Skills!K10/10)+Skills!N10</f>
        <v/>
      </c>
      <c r="G1310">
        <f>Calc!G10</f>
        <v/>
      </c>
      <c r="H1310">
        <f>Calc!H10</f>
        <v/>
      </c>
      <c r="I1310">
        <f>IF(Skills!T10&lt;&gt;"",1+(Skills!T10/10)*(Z1303/1000)/100,1)</f>
        <v/>
      </c>
      <c r="J1310">
        <f>((Inputs!$B$6*(1+Inputs!$B$7/100))+(((Inputs!$B$12*(1+Inputs!$B$13/100))-(Inputs!$B$12*(1+Inputs!$B$13/100)))+0.25*(Inputs!$B$14-Inputs!$B$14))*(1+Inputs!$B$7/100))*(F1310/100)</f>
        <v/>
      </c>
      <c r="K1310">
        <f>J1310*(1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10="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1310)</f>
        <v/>
      </c>
      <c r="L1310">
        <f>K1310*(MIN(Inputs!$B$22+(F1318-Calc!F18),(Inputs!$B$23+(IF(ArtifactsInput!$M$15,CHOOSE(ArtifactsInput!$N$15+1,25,30,35,40,45,50)/100*(Inputs!$B$11-Inputs!$B$11),0))))/100+(Inputs!$B$23+(IF(ArtifactsInput!$M$15,CHOOSE(ArtifactsInput!$N$15+1,25,30,35,40,45,50)/100*(Inputs!$B$11-Inputs!$B$11),0)))/100)/2</f>
        <v/>
      </c>
      <c r="M1310">
        <f>L1310*(1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0">
        <f>L1310*(1-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1310*(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0">
        <f>(1-Summary!$B$11)*S1310+Summary!$B$11*U1310</f>
        <v/>
      </c>
      <c r="P1310">
        <f>IF(B1337=0,0,O1310/B1337)</f>
        <v/>
      </c>
      <c r="Q1310">
        <f>IFERROR(1/(IF(Inputs!$B$38="pvp",15,MAX(0.1,Skills!D10-IF(TRUE=TRUE,Inputs!$B$32,0)))*(1-IF(AND(ArtifactsInput!$M$27,Inputs!$B$4="Chapter Hunt"),CHOOSE(ArtifactsInput!$N$27+1,20,24,28,32,36,40),0)/100)),0)</f>
        <v/>
      </c>
      <c r="R1310" t="n">
        <v>0</v>
      </c>
      <c r="S1310">
        <f>IF(C1310,((H1310*B1338)/(1+Skills!G10*H1310*B1338)*N1310)*IF(Inputs!$B$38="pvp",1,1+(Inputs!$B$20+Skills!O10+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1310*(1-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1310*(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1310*(1-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1310*(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0">
        <f>IF(C1310,((H1310*B1338)/(1+Skills!G10*H1310*B1338)*N1310)*IF(Inputs!$B$38="pvp",1,(1+(Inputs!$B$21+Skills!P10+B1328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1">
      <c r="A1311">
        <f>Skills!A11</f>
        <v/>
      </c>
      <c r="B1311">
        <f>Skills!B11</f>
        <v/>
      </c>
      <c r="C1311">
        <f>Inputs!$B$3&gt;=107</f>
        <v/>
      </c>
      <c r="D1311">
        <f>IF(Skills!C11=1,60+Inputs!$B$25+Inputs!$B$29,IF(Skills!C11=2,90+Inputs!$B$26+Inputs!$B$29,IF(Skills!C11=3,120+Inputs!$B$27+Inputs!$B$29,MAX(0,(Inputs!$B$3-100)*3)+Inputs!$B$28+Inputs!$B$29)))</f>
        <v/>
      </c>
      <c r="E1311">
        <f>INDEX(FactorTable!$B$2:$Y$301, MATCH(ROUND(MIN(300,MAX(1,D1311)),0), FactorTable!$A$2:$A$301,0), Skills!L11+1)</f>
        <v/>
      </c>
      <c r="F1311">
        <f>IF(Skills!M11=TRUE,(Skills!K11/10)*(E1311/1000),Skills!K11/10)+Skills!N11</f>
        <v/>
      </c>
      <c r="G1311">
        <f>Calc!G11</f>
        <v/>
      </c>
      <c r="H1311">
        <f>Calc!H11</f>
        <v/>
      </c>
      <c r="I1311">
        <f>IF(Skills!T11&lt;&gt;"",1+(Skills!T11/10)*(Z1303/1000)/100,1)</f>
        <v/>
      </c>
      <c r="J1311">
        <f>((Inputs!$B$6*(1+Inputs!$B$7/100))+(((Inputs!$B$12*(1+Inputs!$B$13/100))-(Inputs!$B$12*(1+Inputs!$B$13/100)))+0.25*(Inputs!$B$14-Inputs!$B$14))*(1+Inputs!$B$7/100))*(F1311/100)</f>
        <v/>
      </c>
      <c r="K1311">
        <f>J1311*(1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11="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1311)</f>
        <v/>
      </c>
      <c r="L1311">
        <f>K1311*(MIN(Inputs!$B$22+(F1318-Calc!F18),(Inputs!$B$23+(IF(ArtifactsInput!$M$15,CHOOSE(ArtifactsInput!$N$15+1,25,30,35,40,45,50)/100*(Inputs!$B$11-Inputs!$B$11),0))))/100+(Inputs!$B$23+(IF(ArtifactsInput!$M$15,CHOOSE(ArtifactsInput!$N$15+1,25,30,35,40,45,50)/100*(Inputs!$B$11-Inputs!$B$11),0)))/100)/2</f>
        <v/>
      </c>
      <c r="M1311">
        <f>L1311*(1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1">
        <f>L1311*(1-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1">
        <f>(1-Summary!$B$11)*S1311+Summary!$B$11*U1311</f>
        <v/>
      </c>
      <c r="P1311">
        <f>IF(B1337=0,0,O1311/B1337)</f>
        <v/>
      </c>
      <c r="Q1311">
        <f>IFERROR(1/(IF(Inputs!$B$38="pvp",15,MAX(0.1,Skills!D11-IF(TRUE=TRUE,Inputs!$B$32,0)))*(1-IF(AND(ArtifactsInput!$M$27,Inputs!$B$4="Chapter Hunt"),CHOOSE(ArtifactsInput!$N$27+1,20,24,28,32,36,40),0)/100)),0)</f>
        <v/>
      </c>
      <c r="R1311">
        <f>IF(AND(Inputs!$B$38&lt;&gt;"pvp",Inputs!$B$43&gt;0),IF(MAX(0,Inputs!$B$43-B1334)&lt;=0,0,(INT(MAX(0,Inputs!$B$43-B1334)/(IF(Inputs!$B$38="pvp",15,MAX(0.1,Skills!D11-IF(TRUE=TRUE,Inputs!$B$32,0)))*(1-IF(AND(ArtifactsInput!$M$27,Inputs!$B$4="Chapter Hunt"),CHOOSE(ArtifactsInput!$N$27+1,20,24,28,32,36,40),0)/100)))+1)),0)</f>
        <v/>
      </c>
      <c r="S1311">
        <f>IF(C1311,H1311*N1311*IF(AND(Inputs!$B$38&lt;&gt;"pvp",Inputs!$B$43&gt;0),((Skills!F11*((R1311-1)*IF(Skills!G11&gt;0,Skills!H11/Skills!G11,1)+IF(Skills!G11&gt;0,MIN(Skills!H11,MAX(0,MAX(0,Inputs!$B$43-B1334)-((R1311-1)*(IF(Inputs!$B$38="pvp",15,MAX(0.1,Skills!D11-IF(TRUE=TRUE,Inputs!$B$32,0)))*(1-IF(AND(ArtifactsInput!$M$27,Inputs!$B$4="Chapter Hunt"),CHOOSE(ArtifactsInput!$N$27+1,20,24,28,32,36,40),0)/100)))))/Skills!G11,1)))/Inputs!$B$43),G1311*Q1311)*0.5*IF(Inputs!$B$38="pvp",1,1+(Inputs!$B$20+Skills!O11+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1311*(1-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1311*(1-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1">
        <f>IF(C1311,H1311*N1311*IF(AND(Inputs!$B$38&lt;&gt;"pvp",Inputs!$B$43&gt;0),((Skills!F11*((R1311-1)*IF(Skills!G11&gt;0,Skills!H11/Skills!G11,1)+IF(Skills!G11&gt;0,MIN(Skills!H11,MAX(0,MAX(0,Inputs!$B$43-B1334)-((R1311-1)*(IF(Inputs!$B$38="pvp",15,MAX(0.1,Skills!D11-IF(TRUE=TRUE,Inputs!$B$32,0)))*(1-IF(AND(ArtifactsInput!$M$27,Inputs!$B$4="Chapter Hunt"),CHOOSE(ArtifactsInput!$N$27+1,20,24,28,32,36,40),0)/100)))))/Skills!G11,1)))/Inputs!$B$43),G1311*Q1311)*1*IF(Inputs!$B$38="pvp",1,(1+(Inputs!$B$21+Skills!P11+B1328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2">
      <c r="A1312">
        <f>Skills!A12</f>
        <v/>
      </c>
      <c r="B1312">
        <f>Skills!B12</f>
        <v/>
      </c>
      <c r="C1312">
        <f>Inputs!$B$3&gt;=115</f>
        <v/>
      </c>
      <c r="D1312">
        <f>IF(Skills!C12=1,60+Inputs!$B$25+Inputs!$B$29,IF(Skills!C12=2,90+Inputs!$B$26+Inputs!$B$29,IF(Skills!C12=3,120+Inputs!$B$27+Inputs!$B$29,MAX(0,(Inputs!$B$3-100)*3)+Inputs!$B$28+Inputs!$B$29)))</f>
        <v/>
      </c>
      <c r="E1312">
        <f>INDEX(FactorTable!$B$2:$Y$301, MATCH(ROUND(MIN(300,MAX(1,D1312)),0), FactorTable!$A$2:$A$301,0), Skills!L12+1)</f>
        <v/>
      </c>
      <c r="F1312">
        <f>IF(Skills!M12=TRUE,(Skills!K12/10)*(E1312/1000),Skills!K12/10)+Skills!N12</f>
        <v/>
      </c>
      <c r="G1312">
        <f>Calc!G12</f>
        <v/>
      </c>
      <c r="H1312">
        <f>Calc!H12</f>
        <v/>
      </c>
      <c r="I1312">
        <f>IF(Skills!T12&lt;&gt;"",1+(Skills!T12/10)*(Z1303/1000)/100,1)</f>
        <v/>
      </c>
      <c r="J1312">
        <f>((Inputs!$B$6*(1+Inputs!$B$7/100))+(((Inputs!$B$12*(1+Inputs!$B$13/100))-(Inputs!$B$12*(1+Inputs!$B$13/100)))+0.25*(Inputs!$B$14-Inputs!$B$14))*(1+Inputs!$B$7/100))*(F1312/100)</f>
        <v/>
      </c>
      <c r="K1312">
        <f>J1312*(1+((Inputs!$B$12*(1+Inputs!$B$13/100))*0.01+Inputs!$B$14*0.0025)/100)*(1+(Inputs!$B$15+B1329)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1315=TRUE,F1315,0)/100)*(1+IF(C1323=TRUE,F1323,0)/100)^5*(1+(IF(Skills!A12="CHAIN_LIGHTNING",Inputs!$B$17+((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1327*(1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1312)</f>
        <v/>
      </c>
      <c r="L1312">
        <f>K1312*(MIN(Inputs!$B$22+(F1318-Calc!F18),(Inputs!$B$23+(IF(ArtifactsInput!$M$15,CHOOSE(ArtifactsInput!$N$15+1,25,30,35,40,45,50)/100*(Inputs!$B$11-Inputs!$B$11),0))))/100+(Inputs!$B$23+(IF(ArtifactsInput!$M$15,CHOOSE(ArtifactsInput!$N$15+1,25,30,35,40,45,50)/100*(Inputs!$B$11-Inputs!$B$11),0)))/100)/2</f>
        <v/>
      </c>
      <c r="M1312">
        <f>L1312*(1+(Inputs!$B$10+(F1321-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12">
        <f>L1312*(1-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1312*(MIN((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12">
        <f>(1-Summary!$B$11)*S1312+Summary!$B$11*U1312</f>
        <v/>
      </c>
      <c r="P1312">
        <f>IF(B1337=0,0,O1312/B1337)</f>
        <v/>
      </c>
      <c r="Q1312">
        <f>IFERROR(1/(IF(Inputs!$B$38="pvp",15,MAX(0.1,Skills!D12-IF(TRUE=TRUE,Inputs!$B$32,0)))*(1-IF(AND(ArtifactsInput!$M$27,Inputs!$B$4="Chapter Hunt"),CHOOSE(ArtifactsInput!$N$27+1,20,24,28,32,36,40),0)/100)),0)</f>
        <v/>
      </c>
      <c r="R1312">
        <f>IF(AND(Inputs!$B$38&lt;&gt;"pvp",Inputs!$B$43&gt;0),IF(MAX(0,Inputs!$B$43-B1334)&lt;=0,0,(INT(MAX(0,Inputs!$B$43-B1334)/(IF(Inputs!$B$38="pvp",15,MAX(0.1,Skills!D12-IF(TRUE=TRUE,Inputs!$B$32,0)))*(1-IF(AND(ArtifactsInput!$M$27,Inputs!$B$4="Chapter Hunt"),CHOOSE(ArtifactsInput!$N$27+1,20,24,28,32,36,40),0)/100)))+1)),0)</f>
        <v/>
      </c>
      <c r="S1312">
        <f>IF(C1312,(H1312*N1312*IF(AND(Inputs!$B$38&lt;&gt;"pvp",Inputs!$B$43&gt;0),((Skills!F12*((R1312-1)*IF(Skills!G12&gt;0,Skills!H12/Skills!G12,1)+IF(Skills!G12&gt;0,MIN(Skills!H12,MAX(0,MAX(0,Inputs!$B$43-B1334)-((R1312-1)*(IF(Inputs!$B$38="pvp",15,MAX(0.1,Skills!D12-IF(TRUE=TRUE,Inputs!$B$32,0)))*(1-IF(AND(ArtifactsInput!$M$27,Inputs!$B$4="Chapter Hunt"),CHOOSE(ArtifactsInput!$N$27+1,20,24,28,32,36,40),0)/100)))))/Skills!G12,1)))/Inputs!$B$43),G1312*Q1312))*IF(Inputs!$B$38="pvp",1,1+(Inputs!$B$20+Skills!O12+B1328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1312*(1-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1312*(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1312*(1-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1312*(MIN(100,(Inputs!$B$9+((F1320-Calc!F20)+(F1319-Calc!F19))+(ArtifactsInput!$M$24-ArtifactsInput!$M$24)*CHOOSE(ArtifactsInput!$N$24+1,10,12,14,16,18,20)+(IF(AND(Inputs!$B$38&lt;&gt;"pvp",Inputs!$B$43=0),1,IF(IF(Inputs!$B$38="pvp",15,Inputs!$B$43)-(B1334)&lt;=0,1,MAX(0,IF(Inputs!$B$38="pvp",15,Inputs!$B$43)-MAX(5,B1334))/(IF(Inputs!$B$38="pvp",15,Inputs!$B$43)-(B1334)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12">
        <f>IF(C1312,(H1312*N1312*IF(AND(Inputs!$B$38&lt;&gt;"pvp",Inputs!$B$43&gt;0),((Skills!F12*((R1312-1)*IF(Skills!G12&gt;0,Skills!H12/Skills!G12,1)+IF(Skills!G12&gt;0,MIN(Skills!H12,MAX(0,MAX(0,Inputs!$B$43-B1334)-((R1312-1)*(IF(Inputs!$B$38="pvp",15,MAX(0.1,Skills!D12-IF(TRUE=TRUE,Inputs!$B$32,0)))*(1-IF(AND(ArtifactsInput!$M$27,Inputs!$B$4="Chapter Hunt"),CHOOSE(ArtifactsInput!$N$27+1,20,24,28,32,36,40),0)/100)))))/Skills!G12,1)))/Inputs!$B$43),G1312*Q1312))*IF(Inputs!$B$38="pvp",1,(1+(Inputs!$B$21+Skills!P12+B1328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13">
      <c r="A1313">
        <f>Skills!A13</f>
        <v/>
      </c>
      <c r="B1313">
        <f>Skills!B13</f>
        <v/>
      </c>
      <c r="C1313">
        <f>Inputs!$B$3&gt;=49</f>
        <v/>
      </c>
      <c r="D1313">
        <f>IF(Skills!C13=1,60+Inputs!$B$25+Inputs!$B$29,IF(Skills!C13=2,90+Inputs!$B$26+Inputs!$B$29,IF(Skills!C13=3,120+Inputs!$B$27+Inputs!$B$29,MAX(0,(Inputs!$B$3-100)*3)+Inputs!$B$28+Inputs!$B$29)))</f>
        <v/>
      </c>
      <c r="E1313">
        <f>INDEX(FactorTable!$B$2:$Y$301, MATCH(ROUND(MIN(300,MAX(1,D1313)),0), FactorTable!$A$2:$A$301,0), Skills!L13+1)</f>
        <v/>
      </c>
      <c r="F1313">
        <f>IF(Skills!M13=TRUE,(Skills!K13/10)*(E1313/1000),Skills!K13/10)+Skills!N13</f>
        <v/>
      </c>
      <c r="G1313">
        <f>Calc!G13</f>
        <v/>
      </c>
      <c r="H1313">
        <f>Calc!H13</f>
        <v/>
      </c>
      <c r="I1313">
        <f>IF(Skills!T13&lt;&gt;"",1+(Skills!T13/10)*(Z1303/1000)/100,1)</f>
        <v/>
      </c>
      <c r="J1313" t="inlineStr"/>
      <c r="K1313" t="inlineStr"/>
      <c r="L1313" t="inlineStr"/>
      <c r="M1313" t="inlineStr"/>
      <c r="N1313" t="inlineStr"/>
      <c r="O1313">
        <f>(1-Summary!$B$11)*S1313+Summary!$B$11*U1313</f>
        <v/>
      </c>
      <c r="P1313">
        <f>IF(B1337=0,0,O1313/B1337)</f>
        <v/>
      </c>
      <c r="Q1313">
        <f>IFERROR(1/(IF(Inputs!$B$38="pvp",15,MAX(0.1,Skills!D13-IF(TRUE=TRUE,Inputs!$B$32,0)))*(1-IF(AND(ArtifactsInput!$M$27,Inputs!$B$4="Chapter Hunt"),CHOOSE(ArtifactsInput!$N$27+1,20,24,28,32,36,40),0)/100)),0)</f>
        <v/>
      </c>
      <c r="R1313" t="n">
        <v>0</v>
      </c>
      <c r="S1313" t="n">
        <v>0</v>
      </c>
      <c r="U1313" t="n">
        <v>0</v>
      </c>
    </row>
    <row r="1314">
      <c r="A1314">
        <f>Skills!A14</f>
        <v/>
      </c>
      <c r="B1314">
        <f>Skills!B14</f>
        <v/>
      </c>
      <c r="C1314">
        <f>Inputs!$B$3&gt;=72</f>
        <v/>
      </c>
      <c r="D1314">
        <f>IF(Skills!C14=1,60+Inputs!$B$25+Inputs!$B$29,IF(Skills!C14=2,90+Inputs!$B$26+Inputs!$B$29,IF(Skills!C14=3,120+Inputs!$B$27+Inputs!$B$29,MAX(0,(Inputs!$B$3-100)*3)+Inputs!$B$28+Inputs!$B$29)))</f>
        <v/>
      </c>
      <c r="E1314">
        <f>INDEX(FactorTable!$B$2:$Y$301, MATCH(ROUND(MIN(300,MAX(1,D1314)),0), FactorTable!$A$2:$A$301,0), Skills!L14+1)</f>
        <v/>
      </c>
      <c r="F1314">
        <f>IF(Skills!M14=TRUE,(Skills!K14/10)*(E1314/1000),Skills!K14/10)+Skills!N14</f>
        <v/>
      </c>
      <c r="G1314">
        <f>Calc!G14</f>
        <v/>
      </c>
      <c r="H1314">
        <f>Calc!H14</f>
        <v/>
      </c>
      <c r="I1314">
        <f>IF(Skills!T14&lt;&gt;"",1+(Skills!T14/10)*(Z1303/1000)/100,1)</f>
        <v/>
      </c>
      <c r="J1314" t="inlineStr"/>
      <c r="K1314" t="inlineStr"/>
      <c r="L1314" t="inlineStr"/>
      <c r="M1314" t="inlineStr"/>
      <c r="N1314" t="inlineStr"/>
      <c r="O1314">
        <f>(1-Summary!$B$11)*S1314+Summary!$B$11*U1314</f>
        <v/>
      </c>
      <c r="P1314">
        <f>IF(B1337=0,0,O1314/B1337)</f>
        <v/>
      </c>
      <c r="Q1314">
        <f>IFERROR(1/(IF(Inputs!$B$38="pvp",15,MAX(0.1,Skills!D14-IF(TRUE=TRUE,Inputs!$B$32,0)))*(1-IF(AND(ArtifactsInput!$M$27,Inputs!$B$4="Chapter Hunt"),CHOOSE(ArtifactsInput!$N$27+1,20,24,28,32,36,40),0)/100)),0)</f>
        <v/>
      </c>
      <c r="R1314" t="n">
        <v>0</v>
      </c>
      <c r="S1314" t="n">
        <v>0</v>
      </c>
      <c r="U1314" t="n">
        <v>0</v>
      </c>
    </row>
    <row r="1315">
      <c r="A1315">
        <f>Skills!A15</f>
        <v/>
      </c>
      <c r="B1315">
        <f>Skills!B15</f>
        <v/>
      </c>
      <c r="C1315">
        <f>Inputs!$B$3&gt;=75</f>
        <v/>
      </c>
      <c r="D1315">
        <f>IF(Skills!C15=1,60+Inputs!$B$25+Inputs!$B$29,IF(Skills!C15=2,90+Inputs!$B$26+Inputs!$B$29,IF(Skills!C15=3,120+Inputs!$B$27+Inputs!$B$29,MAX(0,(Inputs!$B$3-100)*3)+Inputs!$B$28+Inputs!$B$29)))</f>
        <v/>
      </c>
      <c r="E1315">
        <f>INDEX(FactorTable!$B$2:$Y$301, MATCH(ROUND(MIN(300,MAX(1,D1315)),0), FactorTable!$A$2:$A$301,0), Skills!L15+1)</f>
        <v/>
      </c>
      <c r="F1315">
        <f>IF(Skills!M15=TRUE,(Skills!K15/10)*(E1315/1000),Skills!K15/10)+Skills!N15</f>
        <v/>
      </c>
      <c r="G1315">
        <f>Calc!G15</f>
        <v/>
      </c>
      <c r="H1315">
        <f>Calc!H15</f>
        <v/>
      </c>
      <c r="I1315">
        <f>IF(Skills!T15&lt;&gt;"",1+(Skills!T15/10)*(Z1303/1000)/100,1)</f>
        <v/>
      </c>
      <c r="J1315" t="inlineStr"/>
      <c r="K1315" t="inlineStr"/>
      <c r="L1315" t="inlineStr"/>
      <c r="M1315" t="inlineStr"/>
      <c r="N1315" t="inlineStr"/>
      <c r="O1315">
        <f>(1-Summary!$B$11)*S1315+Summary!$B$11*U1315</f>
        <v/>
      </c>
      <c r="P1315">
        <f>IF(B1337=0,0,O1315/B1337)</f>
        <v/>
      </c>
      <c r="Q1315">
        <f>IFERROR(1/(IF(Inputs!$B$38="pvp",15,MAX(0.1,Skills!D15-IF(TRUE=TRUE,Inputs!$B$32,0)))*(1-IF(AND(ArtifactsInput!$M$27,Inputs!$B$4="Chapter Hunt"),CHOOSE(ArtifactsInput!$N$27+1,20,24,28,32,36,40),0)/100)),0)</f>
        <v/>
      </c>
      <c r="R1315" t="n">
        <v>0</v>
      </c>
      <c r="S1315" t="n">
        <v>0</v>
      </c>
      <c r="U1315" t="n">
        <v>0</v>
      </c>
    </row>
    <row r="1316">
      <c r="A1316">
        <f>Skills!A16</f>
        <v/>
      </c>
      <c r="B1316">
        <f>Skills!B16</f>
        <v/>
      </c>
      <c r="C1316">
        <f>Inputs!$B$3&gt;=110</f>
        <v/>
      </c>
      <c r="D1316">
        <f>IF(Skills!C16=1,60+Inputs!$B$25+Inputs!$B$29,IF(Skills!C16=2,90+Inputs!$B$26+Inputs!$B$29,IF(Skills!C16=3,120+Inputs!$B$27+Inputs!$B$29,MAX(0,(Inputs!$B$3-100)*3)+Inputs!$B$28+Inputs!$B$29)))</f>
        <v/>
      </c>
      <c r="E1316">
        <f>INDEX(FactorTable!$B$2:$Y$301, MATCH(ROUND(MIN(300,MAX(1,D1316)),0), FactorTable!$A$2:$A$301,0), Skills!L16+1)</f>
        <v/>
      </c>
      <c r="F1316">
        <f>(Skills!K16/10)*(E1316/1000)*64/45+Skills!N16</f>
        <v/>
      </c>
      <c r="G1316">
        <f>Calc!G16</f>
        <v/>
      </c>
      <c r="H1316">
        <f>Calc!H16</f>
        <v/>
      </c>
      <c r="I1316">
        <f>IF(Skills!T16&lt;&gt;"",1+(Skills!T16/10)*(Z1303/1000)/100,1)</f>
        <v/>
      </c>
      <c r="J1316" t="inlineStr"/>
      <c r="K1316" t="inlineStr"/>
      <c r="L1316" t="inlineStr"/>
      <c r="M1316" t="inlineStr"/>
      <c r="N1316" t="inlineStr"/>
      <c r="O1316">
        <f>(1-Summary!$B$11)*S1316+Summary!$B$11*U1316</f>
        <v/>
      </c>
      <c r="P1316">
        <f>IF(B1337=0,0,O1316/B1337)</f>
        <v/>
      </c>
      <c r="Q1316">
        <f>IFERROR(1/(IF(Inputs!$B$38="pvp",15,MAX(0.1,Skills!D16-IF(TRUE=TRUE,Inputs!$B$32,0)))*(1-IF(AND(ArtifactsInput!$M$27,Inputs!$B$4="Chapter Hunt"),CHOOSE(ArtifactsInput!$N$27+1,20,24,28,32,36,40),0)/100)),0)</f>
        <v/>
      </c>
      <c r="R1316">
        <f>IF(AND(Inputs!$B$38&lt;&gt;"pvp",Inputs!$B$43&gt;0),IF(Inputs!$B$43&lt;=0,0,(INT(Inputs!$B$43/(IF(Inputs!$B$38="pvp",15,MAX(0.1,Skills!D16-IF(TRUE=TRUE,Inputs!$B$32,0)))*(1-IF(AND(ArtifactsInput!$M$27,Inputs!$B$4="Chapter Hunt"),CHOOSE(ArtifactsInput!$N$27+1,20,24,28,32,36,40),0)/100)))+1)),0)</f>
        <v/>
      </c>
      <c r="S1316" t="n">
        <v>0</v>
      </c>
      <c r="U1316" t="n">
        <v>0</v>
      </c>
    </row>
    <row r="1317">
      <c r="A1317">
        <f>Skills!A17</f>
        <v/>
      </c>
      <c r="B1317">
        <f>Skills!B17</f>
        <v/>
      </c>
      <c r="C1317">
        <f>Inputs!$B$3&gt;=33</f>
        <v/>
      </c>
      <c r="D1317">
        <f>IF(Skills!C17=1,60+Inputs!$B$25+Inputs!$B$29,IF(Skills!C17=2,90+Inputs!$B$26+Inputs!$B$29,IF(Skills!C17=3,120+Inputs!$B$27+Inputs!$B$29,MAX(0,(Inputs!$B$3-100)*3)+Inputs!$B$28+Inputs!$B$29)))</f>
        <v/>
      </c>
      <c r="E1317">
        <f>INDEX(FactorTable!$B$2:$Y$301, MATCH(ROUND(MIN(300,MAX(1,D1317)),0), FactorTable!$A$2:$A$301,0), Skills!L17+1)</f>
        <v/>
      </c>
      <c r="F1317">
        <f>IF(Skills!M17=TRUE,(Skills!K17/10)*(E1317/1000),Skills!K17/10)+Skills!N17</f>
        <v/>
      </c>
      <c r="G1317">
        <f>Calc!G17</f>
        <v/>
      </c>
      <c r="H1317">
        <f>Calc!H17</f>
        <v/>
      </c>
      <c r="I1317">
        <f>IF(Skills!T17&lt;&gt;"",1+(Skills!T17/10)*(Z1303/1000)/100,1)</f>
        <v/>
      </c>
      <c r="J1317" t="inlineStr"/>
      <c r="K1317" t="inlineStr"/>
      <c r="L1317" t="inlineStr"/>
      <c r="M1317" t="inlineStr"/>
      <c r="N1317" t="inlineStr"/>
      <c r="O1317">
        <f>(1-Summary!$B$11)*S1317+Summary!$B$11*U1317</f>
        <v/>
      </c>
      <c r="P1317">
        <f>IF(B1337=0,0,O1317/B1337)</f>
        <v/>
      </c>
      <c r="Q1317">
        <f>IFERROR(1/(IF(Inputs!$B$38="pvp",15,MAX(0.1,Skills!D17-IF(TRUE=TRUE,Inputs!$B$32,0)))*(1-IF(AND(ArtifactsInput!$M$27,Inputs!$B$4="Chapter Hunt"),CHOOSE(ArtifactsInput!$N$27+1,20,24,28,32,36,40),0)/100)),0)</f>
        <v/>
      </c>
      <c r="R1317" t="n">
        <v>0</v>
      </c>
      <c r="S1317" t="n">
        <v>0</v>
      </c>
      <c r="U1317" t="n">
        <v>0</v>
      </c>
    </row>
    <row r="1318">
      <c r="A1318">
        <f>Skills!A18</f>
        <v/>
      </c>
      <c r="B1318">
        <f>Skills!B18</f>
        <v/>
      </c>
      <c r="C1318">
        <f>Inputs!$B$3&gt;=43</f>
        <v/>
      </c>
      <c r="D1318">
        <f>IF(Skills!C18=1,60+Inputs!$B$25+Inputs!$B$29,IF(Skills!C18=2,90+Inputs!$B$26+Inputs!$B$29,IF(Skills!C18=3,120+Inputs!$B$27+Inputs!$B$29,MAX(0,(Inputs!$B$3-100)*3)+Inputs!$B$28+Inputs!$B$29)))</f>
        <v/>
      </c>
      <c r="E1318">
        <f>INDEX(FactorTable!$B$2:$Y$301, MATCH(ROUND(MIN(300,MAX(1,D1318)),0), FactorTable!$A$2:$A$301,0), Skills!L18+1)</f>
        <v/>
      </c>
      <c r="F1318">
        <f>IF(Skills!M18=TRUE,(Skills!K18/10)*(E1318/1000),Skills!K18/10)+Skills!N18</f>
        <v/>
      </c>
      <c r="G1318">
        <f>Calc!G18</f>
        <v/>
      </c>
      <c r="H1318">
        <f>Calc!H18</f>
        <v/>
      </c>
      <c r="I1318">
        <f>IF(Skills!T18&lt;&gt;"",1+(Skills!T18/10)*(Z1303/1000)/100,1)</f>
        <v/>
      </c>
      <c r="J1318" t="inlineStr"/>
      <c r="K1318" t="inlineStr"/>
      <c r="L1318" t="inlineStr"/>
      <c r="M1318" t="inlineStr"/>
      <c r="N1318" t="inlineStr"/>
      <c r="O1318">
        <f>(1-Summary!$B$11)*S1318+Summary!$B$11*U1318</f>
        <v/>
      </c>
      <c r="P1318">
        <f>IF(B1337=0,0,O1318/B1337)</f>
        <v/>
      </c>
      <c r="Q1318">
        <f>IFERROR(1/(IF(Inputs!$B$38="pvp",15,MAX(0.1,Skills!D18-IF(TRUE=TRUE,Inputs!$B$32,0)))*(1-IF(AND(ArtifactsInput!$M$27,Inputs!$B$4="Chapter Hunt"),CHOOSE(ArtifactsInput!$N$27+1,20,24,28,32,36,40),0)/100)),0)</f>
        <v/>
      </c>
      <c r="R1318" t="n">
        <v>0</v>
      </c>
      <c r="S1318" t="n">
        <v>0</v>
      </c>
      <c r="U1318" t="n">
        <v>0</v>
      </c>
    </row>
    <row r="1319">
      <c r="A1319">
        <f>Skills!A19</f>
        <v/>
      </c>
      <c r="B1319">
        <f>Skills!B19</f>
        <v/>
      </c>
      <c r="C1319">
        <f>Inputs!$B$3&gt;=50</f>
        <v/>
      </c>
      <c r="D1319">
        <f>IF(Skills!C19=1,60+Inputs!$B$25+Inputs!$B$29,IF(Skills!C19=2,90+Inputs!$B$26+Inputs!$B$29,IF(Skills!C19=3,120+Inputs!$B$27+Inputs!$B$29,MAX(0,(Inputs!$B$3-100)*3)+Inputs!$B$28+Inputs!$B$29)))</f>
        <v/>
      </c>
      <c r="E1319">
        <f>INDEX(FactorTable!$B$2:$Y$301, MATCH(ROUND(MIN(300,MAX(1,D1319)),0), FactorTable!$A$2:$A$301,0), Skills!L19+1)</f>
        <v/>
      </c>
      <c r="F1319">
        <f>IF(Skills!M19=TRUE,(Skills!K19/10)*(E1319/1000),Skills!K19/10)+Skills!N19</f>
        <v/>
      </c>
      <c r="G1319">
        <f>Calc!G19</f>
        <v/>
      </c>
      <c r="H1319">
        <f>Calc!H19</f>
        <v/>
      </c>
      <c r="I1319">
        <f>IF(Skills!T19&lt;&gt;"",1+(Skills!T19/10)*(Z1303/1000)/100,1)</f>
        <v/>
      </c>
      <c r="J1319" t="inlineStr"/>
      <c r="K1319" t="inlineStr"/>
      <c r="L1319" t="inlineStr"/>
      <c r="M1319" t="inlineStr"/>
      <c r="N1319" t="inlineStr"/>
      <c r="O1319">
        <f>(1-Summary!$B$11)*S1319+Summary!$B$11*U1319</f>
        <v/>
      </c>
      <c r="P1319">
        <f>IF(B1337=0,0,O1319/B1337)</f>
        <v/>
      </c>
      <c r="Q1319">
        <f>IFERROR(1/(IF(Inputs!$B$38="pvp",15,MAX(0.1,Skills!D19-IF(TRUE=TRUE,Inputs!$B$32,0)))*(1-IF(AND(ArtifactsInput!$M$27,Inputs!$B$4="Chapter Hunt"),CHOOSE(ArtifactsInput!$N$27+1,20,24,28,32,36,40),0)/100)),0)</f>
        <v/>
      </c>
      <c r="R1319" t="n">
        <v>0</v>
      </c>
      <c r="S1319" t="n">
        <v>0</v>
      </c>
      <c r="U1319" t="n">
        <v>0</v>
      </c>
    </row>
    <row r="1320">
      <c r="A1320">
        <f>Skills!A20</f>
        <v/>
      </c>
      <c r="B1320">
        <f>Skills!B20</f>
        <v/>
      </c>
      <c r="C1320">
        <f>Inputs!$B$3&gt;=74</f>
        <v/>
      </c>
      <c r="D1320">
        <f>IF(Skills!C20=1,60+Inputs!$B$25+Inputs!$B$29,IF(Skills!C20=2,90+Inputs!$B$26+Inputs!$B$29,IF(Skills!C20=3,120+Inputs!$B$27+Inputs!$B$29,MAX(0,(Inputs!$B$3-100)*3)+Inputs!$B$28+Inputs!$B$29)))</f>
        <v/>
      </c>
      <c r="E1320">
        <f>INDEX(FactorTable!$B$2:$Y$301, MATCH(ROUND(MIN(300,MAX(1,D1320)),0), FactorTable!$A$2:$A$301,0), Skills!L20+1)</f>
        <v/>
      </c>
      <c r="F1320">
        <f>IF(Skills!M20=TRUE,(Skills!K20/10)*(E1320/1000),Skills!K20/10)+Skills!N20</f>
        <v/>
      </c>
      <c r="G1320">
        <f>Calc!G20</f>
        <v/>
      </c>
      <c r="H1320">
        <f>Calc!H20</f>
        <v/>
      </c>
      <c r="I1320">
        <f>IF(Skills!T20&lt;&gt;"",1+(Skills!T20/10)*(Z1303/1000)/100,1)</f>
        <v/>
      </c>
      <c r="J1320" t="inlineStr"/>
      <c r="K1320" t="inlineStr"/>
      <c r="L1320" t="inlineStr"/>
      <c r="M1320" t="inlineStr"/>
      <c r="N1320" t="inlineStr"/>
      <c r="O1320">
        <f>(1-Summary!$B$11)*S1320+Summary!$B$11*U1320</f>
        <v/>
      </c>
      <c r="P1320">
        <f>IF(B1337=0,0,O1320/B1337)</f>
        <v/>
      </c>
      <c r="Q1320">
        <f>IFERROR(1/(IF(Inputs!$B$38="pvp",15,MAX(0.1,Skills!D20-IF(TRUE=TRUE,Inputs!$B$32,0)))*(1-IF(AND(ArtifactsInput!$M$27,Inputs!$B$4="Chapter Hunt"),CHOOSE(ArtifactsInput!$N$27+1,20,24,28,32,36,40),0)/100)),0)</f>
        <v/>
      </c>
      <c r="R1320" t="n">
        <v>0</v>
      </c>
      <c r="S1320" t="n">
        <v>0</v>
      </c>
      <c r="U1320" t="n">
        <v>0</v>
      </c>
    </row>
    <row r="1321">
      <c r="A1321">
        <f>Skills!A21</f>
        <v/>
      </c>
      <c r="B1321">
        <f>Skills!B21</f>
        <v/>
      </c>
      <c r="C1321">
        <f>Inputs!$B$3&gt;=74</f>
        <v/>
      </c>
      <c r="D1321">
        <f>IF(Skills!C21=1,60+Inputs!$B$25+Inputs!$B$29,IF(Skills!C21=2,90+Inputs!$B$26+Inputs!$B$29,IF(Skills!C21=3,120+Inputs!$B$27+Inputs!$B$29,MAX(0,(Inputs!$B$3-100)*3)+Inputs!$B$28+Inputs!$B$29)))</f>
        <v/>
      </c>
      <c r="E1321">
        <f>INDEX(FactorTable!$B$2:$Y$301, MATCH(ROUND(MIN(300,MAX(1,D1321)),0), FactorTable!$A$2:$A$301,0), Skills!L21+1)</f>
        <v/>
      </c>
      <c r="F1321">
        <f>IF(Skills!M21=TRUE,(Skills!K21/10)*(E1321/1000),Skills!K21/10)+Skills!N21</f>
        <v/>
      </c>
      <c r="G1321">
        <f>Calc!G21</f>
        <v/>
      </c>
      <c r="H1321">
        <f>Calc!H21</f>
        <v/>
      </c>
      <c r="I1321">
        <f>IF(Skills!T21&lt;&gt;"",1+(Skills!T21/10)*(Z1303/1000)/100,1)</f>
        <v/>
      </c>
      <c r="J1321" t="inlineStr"/>
      <c r="K1321" t="inlineStr"/>
      <c r="L1321" t="inlineStr"/>
      <c r="M1321" t="inlineStr"/>
      <c r="N1321" t="inlineStr"/>
      <c r="O1321">
        <f>(1-Summary!$B$11)*S1321+Summary!$B$11*U1321</f>
        <v/>
      </c>
      <c r="P1321">
        <f>IF(B1337=0,0,O1321/B1337)</f>
        <v/>
      </c>
      <c r="Q1321">
        <f>IFERROR(1/(IF(Inputs!$B$38="pvp",15,MAX(0.1,Skills!D21-IF(TRUE=TRUE,Inputs!$B$32,0)))*(1-IF(AND(ArtifactsInput!$M$27,Inputs!$B$4="Chapter Hunt"),CHOOSE(ArtifactsInput!$N$27+1,20,24,28,32,36,40),0)/100)),0)</f>
        <v/>
      </c>
      <c r="R1321" t="n">
        <v>0</v>
      </c>
      <c r="S1321" t="n">
        <v>0</v>
      </c>
      <c r="U1321" t="n">
        <v>0</v>
      </c>
    </row>
    <row r="1322">
      <c r="A1322">
        <f>Skills!A22</f>
        <v/>
      </c>
      <c r="B1322">
        <f>Skills!B22</f>
        <v/>
      </c>
      <c r="C1322">
        <f>Inputs!$B$3&gt;=117</f>
        <v/>
      </c>
      <c r="D1322">
        <f>IF(Skills!C22=1,60+Inputs!$B$25+Inputs!$B$29,IF(Skills!C22=2,90+Inputs!$B$26+Inputs!$B$29,IF(Skills!C22=3,120+Inputs!$B$27+Inputs!$B$29,MAX(0,(Inputs!$B$3-100)*3)+Inputs!$B$28+Inputs!$B$29)))</f>
        <v/>
      </c>
      <c r="E1322">
        <f>INDEX(FactorTable!$B$2:$Y$301, MATCH(ROUND(MIN(300,MAX(1,D1322)),0), FactorTable!$A$2:$A$301,0), Skills!L22+1)</f>
        <v/>
      </c>
      <c r="F1322">
        <f>IF(Skills!M22=TRUE,(Skills!K22/10)*(E1322/1000),Skills!K22/10)+Skills!N22</f>
        <v/>
      </c>
      <c r="G1322">
        <f>Calc!G22</f>
        <v/>
      </c>
      <c r="H1322">
        <f>Calc!H22</f>
        <v/>
      </c>
      <c r="I1322">
        <f>IF(Skills!T22&lt;&gt;"",1+(Skills!T22/10)*(Z1303/1000)/100,1)</f>
        <v/>
      </c>
      <c r="J1322" t="inlineStr"/>
      <c r="K1322" t="inlineStr"/>
      <c r="L1322" t="inlineStr"/>
      <c r="M1322" t="inlineStr"/>
      <c r="N1322" t="inlineStr"/>
      <c r="O1322">
        <f>(1-Summary!$B$11)*S1322+Summary!$B$11*U1322</f>
        <v/>
      </c>
      <c r="P1322">
        <f>IF(B1337=0,0,O1322/B1337)</f>
        <v/>
      </c>
      <c r="Q1322">
        <f>IFERROR(1/(IF(Inputs!$B$38="pvp",15,MAX(0.1,Skills!D22-IF(TRUE=TRUE,Inputs!$B$32,0)))*(1-IF(AND(ArtifactsInput!$M$27,Inputs!$B$4="Chapter Hunt"),CHOOSE(ArtifactsInput!$N$27+1,20,24,28,32,36,40),0)/100)),0)</f>
        <v/>
      </c>
      <c r="R1322" t="n">
        <v>0</v>
      </c>
      <c r="S1322" t="n">
        <v>0</v>
      </c>
      <c r="U1322" t="n">
        <v>0</v>
      </c>
    </row>
    <row r="1323">
      <c r="A1323">
        <f>Skills!A23</f>
        <v/>
      </c>
      <c r="B1323">
        <f>Skills!B23</f>
        <v/>
      </c>
      <c r="C1323">
        <f>Inputs!$B$3&gt;=120</f>
        <v/>
      </c>
      <c r="D1323">
        <f>IF(Skills!C23=1,60+Inputs!$B$25+Inputs!$B$29,IF(Skills!C23=2,90+Inputs!$B$26+Inputs!$B$29,IF(Skills!C23=3,120+Inputs!$B$27+Inputs!$B$29,MAX(0,(Inputs!$B$3-100)*3)+Inputs!$B$28+Inputs!$B$29)))</f>
        <v/>
      </c>
      <c r="E1323">
        <f>INDEX(FactorTable!$B$2:$Y$301, MATCH(ROUND(MIN(300,MAX(1,D1323)),0), FactorTable!$A$2:$A$301,0), Skills!L23+1)</f>
        <v/>
      </c>
      <c r="F1323">
        <f>IF(Skills!M23=TRUE,(Skills!K23/10)*(E1323/1000),Skills!K23/10)+Skills!N23</f>
        <v/>
      </c>
      <c r="G1323">
        <f>Calc!G23</f>
        <v/>
      </c>
      <c r="H1323">
        <f>Calc!H23</f>
        <v/>
      </c>
      <c r="I1323">
        <f>IF(Skills!T23&lt;&gt;"",1+(Skills!T23/10)*(Z1303/1000)/100,1)</f>
        <v/>
      </c>
      <c r="J1323" t="inlineStr"/>
      <c r="K1323" t="inlineStr"/>
      <c r="L1323" t="inlineStr"/>
      <c r="M1323" t="inlineStr"/>
      <c r="N1323" t="inlineStr"/>
      <c r="O1323">
        <f>(1-Summary!$B$11)*S1323+Summary!$B$11*U1323</f>
        <v/>
      </c>
      <c r="P1323">
        <f>IF(B1337=0,0,O1323/B1337)</f>
        <v/>
      </c>
      <c r="Q1323">
        <f>IFERROR(1/(IF(Inputs!$B$38="pvp",15,MAX(0.1,Skills!D23-IF(TRUE=TRUE,Inputs!$B$32,0)))*(1-IF(AND(ArtifactsInput!$M$27,Inputs!$B$4="Chapter Hunt"),CHOOSE(ArtifactsInput!$N$27+1,20,24,28,32,36,40),0)/100)),0)</f>
        <v/>
      </c>
      <c r="R1323" t="n">
        <v>0</v>
      </c>
      <c r="S1323" t="n">
        <v>0</v>
      </c>
      <c r="U1323" t="n">
        <v>0</v>
      </c>
    </row>
    <row r="1324">
      <c r="A1324">
        <f>Skills!A24</f>
        <v/>
      </c>
      <c r="B1324">
        <f>Skills!B24</f>
        <v/>
      </c>
      <c r="C1324">
        <f>TRUE</f>
        <v/>
      </c>
      <c r="D1324">
        <f>IF(Skills!C24=1,60+Inputs!$B$25+Inputs!$B$29,IF(Skills!C24=2,90+Inputs!$B$26+Inputs!$B$29,IF(Skills!C24=3,120+Inputs!$B$27+Inputs!$B$29,MAX(0,(Inputs!$B$3-100)*3)+Inputs!$B$28+Inputs!$B$29)))</f>
        <v/>
      </c>
      <c r="E1324">
        <f>INDEX(FactorTable!$B$2:$Y$301, MATCH(ROUND(MIN(300,MAX(1,D1324)),0), FactorTable!$A$2:$A$301,0), Skills!L24+1)</f>
        <v/>
      </c>
      <c r="F1324">
        <f>IF(Skills!M24=TRUE,(Skills!K24/10)*(E1324/1000),Skills!K24/10)+Skills!N24</f>
        <v/>
      </c>
      <c r="G1324">
        <f>Calc!G24</f>
        <v/>
      </c>
      <c r="H1324">
        <f>Calc!H24</f>
        <v/>
      </c>
      <c r="I1324">
        <f>IF(Skills!T24&lt;&gt;"",1+(Skills!T24/10)*(Z1303/1000)/100,1)</f>
        <v/>
      </c>
      <c r="J1324" t="inlineStr"/>
      <c r="K1324" t="inlineStr"/>
      <c r="L1324" t="inlineStr"/>
      <c r="M1324" t="inlineStr"/>
      <c r="N1324" t="inlineStr"/>
      <c r="O1324">
        <f>(1-Summary!$B$11)*S1324+Summary!$B$11*U1324</f>
        <v/>
      </c>
      <c r="P1324">
        <f>IF(B1337=0,0,O1324/B1337)</f>
        <v/>
      </c>
      <c r="Q1324">
        <f>IFERROR(1/(IF(Inputs!$B$38="pvp",15,MAX(0.1,Skills!D24-IF(TRUE=TRUE,Inputs!$B$32,0)))*(1-IF(AND(ArtifactsInput!$M$27,Inputs!$B$4="Chapter Hunt"),CHOOSE(ArtifactsInput!$N$27+1,20,24,28,32,36,40),0)/100)),0)</f>
        <v/>
      </c>
      <c r="R1324">
        <f>IF(AND(Inputs!$B$38&lt;&gt;"pvp",Inputs!$B$43&gt;0),IF(Inputs!$B$43&lt;=0,0,(INT(Inputs!$B$43/(IF(Inputs!$B$38="pvp",15,MAX(0.1,Skills!D24-IF(TRUE=TRUE,Inputs!$B$32,0)))*(1-IF(AND(ArtifactsInput!$M$27,Inputs!$B$4="Chapter Hunt"),CHOOSE(ArtifactsInput!$N$27+1,20,24,28,32,36,40),0)/100)))+1)),0)</f>
        <v/>
      </c>
      <c r="S1324" t="n">
        <v>0</v>
      </c>
      <c r="U1324" t="n">
        <v>0</v>
      </c>
    </row>
    <row r="1327">
      <c r="A1327" t="inlineStr">
        <is>
          <t>Average Buff Multiplier (Magic Guard + Meditation + Artifact Attack%, summed; then Infinity)</t>
        </is>
      </c>
      <c r="B1327">
        <f>(1+(IF(C1303=TRUE,F1303*IF(AND(Inputs!$B$38&lt;&gt;"pvp",Inputs!$B$43&gt;0),(((R1303-1)*MIN((Skills!S3*(1+(Inputs!$B$34)/100)),(1/Q1303))+MIN((Skills!S3*(1+(Inputs!$B$34)/100)),MAX(0,Inputs!$B$43-((R1303-1)*(1/Q1303)))))/Inputs!$B$43),IF(Inputs!$B$38="pvp",MIN((Skills!S3*(1+(Inputs!$B$34)/100)),15)/15,MIN(1,(Skills!S3*(1+(Inputs!$B$34)/100))/(1/Q1303)))),0)+IF(C1304=TRUE,F1304*IF(AND(Inputs!$B$38&lt;&gt;"pvp",Inputs!$B$43&gt;0),(((R1304-1)*MIN((Skills!S4*(1+(Inputs!$B$34)/100)),(1/Q1304))+MIN((Skills!S4*(1+(Inputs!$B$34)/100)),MAX(0,Inputs!$B$43-((R1304-1)*(1/Q1304)))))/Inputs!$B$43),IF(Inputs!$B$38="pvp",MIN((Skills!S4*(1+(Inputs!$B$34)/100)),15)/15,MIN(1,(Skills!S4*(1+(Inputs!$B$34)/100))/(1/Q1304)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1316=TRUE,(1+F1316*IF(AND(Inputs!$B$38&lt;&gt;"pvp",Inputs!$B$43&gt;0),(((R1316-1)*MIN((Skills!S16*(1+(Inputs!$B$34)/100)),(1/Q1316))+MIN((Skills!S16*(1+(Inputs!$B$34)/100)),MAX(0,Inputs!$B$43-((R1316-1)*(1/Q1316)))))/Inputs!$B$43),IF(Inputs!$B$38="pvp",MIN((Skills!S16*(1+(Inputs!$B$34)/100)),15)/15,MIN(1,(Skills!S16*(1+(Inputs!$B$34)/100))/(1/Q1316))))/100),1)</f>
        <v/>
      </c>
    </row>
    <row r="1328">
      <c r="A1328" t="inlineStr">
        <is>
          <t>Monster Damage Taken Bonus % (Freezing Breath - Weaken + Elemental Reset + Artifact Enemy Damage Taken, summed)</t>
        </is>
      </c>
      <c r="B1328">
        <f>IF(Inputs!$B$3&gt;=118,15*IF(Inputs!$B$38="pvp",MIN((30*(1+(Inputs!$B$34)/100)),15)/15,MIN(1,(30*(1+(Inputs!$B$34)/100))/(1/Q1308))),0)+IF(C1314=TRUE,F1314,0)+(IF(AND(ArtifactsInput!$M$35,Inputs!$B$4&lt;&gt;"Chapter Hunt"),CHOOSE(ArtifactsInput!$N$35+1,15,18,21,24,27,30)*(1-EXP(-(0.2*B1331)*5)),0)+IF(AND(ArtifactsInput!$M$22,Inputs!$B$4&lt;&gt;"Chapter Hunt"),CHOOSE(ArtifactsInput!$N$22+1,10,12,14,16,18,20)*((0*(((0.15*B1331*5))^0/1)+1*(((0.15*B1331*5))^1/1)+2*(((0.15*B1331*5))^2/2)+3*(((0.15*B1331*5))^3/6)+4*(((0.15*B1331*5))^4/24)+5*(((0.15*B1331*5))^5/120))/((((0.15*B1331*5))^0/1)+(((0.15*B1331*5))^1/1)+(((0.15*B1331*5))^2/2)+(((0.15*B1331*5))^3/6)+(((0.15*B1331*5))^4/24)+(((0.15*B1331*5))^5/120))),0))</f>
        <v/>
      </c>
    </row>
    <row r="1329">
      <c r="A1329" t="inlineStr">
        <is>
          <t>Damage % Bonus (Frozen Break + Frost Clutch, flat)</t>
        </is>
      </c>
      <c r="B1329">
        <f>IF(Inputs!$B$3&gt;=66,15,0)+IF(Inputs!$B$3&gt;=98,10,0)+IF(Inputs!$B$3&gt;=125,20,0)</f>
        <v/>
      </c>
    </row>
    <row r="1330">
      <c r="A1330" t="inlineStr">
        <is>
          <t>Attack Speed Bonus % (MP Eater - MP Boost, always-on + Nimble Feet, duty-cycle averaged)</t>
        </is>
      </c>
      <c r="B1330">
        <f>IF(C1313=TRUE,F1313+(F1317-Calc!F17),0)+((C1324=TRUE)*F1324*IF(AND(Inputs!$B$38&lt;&gt;"pvp",Inputs!$B$43&gt;0),(((R1324-1)*MIN((Skills!S24*(1+(Inputs!$B$34)/100)),(1/Q1324))+MIN((Skills!S24*(1+(Inputs!$B$34)/100)),MAX(0,Inputs!$B$43-((R1324-1)*(1/Q1324)))))/Inputs!$B$43),IF(Inputs!$B$38="pvp",MIN((Skills!S24*(1+(Inputs!$B$34)/100)),15)/15,MIN(1,(Skills!S24*(1+(Inputs!$B$34)/100))/(1/Q1324)))))</f>
        <v/>
      </c>
    </row>
    <row r="1331">
      <c r="A1331" t="inlineStr">
        <is>
          <t>Actions Per Second</t>
        </is>
      </c>
      <c r="B1331">
        <f>1+MIN(150,150*(1-(1-(Inputs!$B$11+(ArtifactsInput!$M$15-ArtifactsInput!$M$15)*CHOOSE(ArtifactsInput!$N$15+1,8,9.6,11.2,12.8,14.4,16))/150)*(1-B1330/150)))/100</f>
        <v/>
      </c>
    </row>
    <row r="1332">
      <c r="A1332" t="inlineStr">
        <is>
          <t>Skill + Buff Cast Rate</t>
        </is>
      </c>
      <c r="B1332">
        <f>IF(AND(Inputs!$B$38&lt;&gt;"pvp",Inputs!$B$43&gt;0),SUMPRODUCT((Skills!E2:E24=TRUE)*(C1302:C1324=TRUE)*R1302:R1324)/Inputs!$B$43,SUMPRODUCT((Skills!E2:E24=TRUE)*(C1302:C1324=TRUE)*Q1302:Q1324))</f>
        <v/>
      </c>
    </row>
    <row r="1333">
      <c r="A1333" t="inlineStr">
        <is>
          <t>Chain Lightning Casts Per Second</t>
        </is>
      </c>
      <c r="B1333">
        <f>MAX(0,B1331-B1332)</f>
        <v/>
      </c>
    </row>
    <row r="1334">
      <c r="A1334" t="inlineStr">
        <is>
          <t>Buff-Casting Startup Delay (s, fixed-duration only)</t>
        </is>
      </c>
      <c r="B1334">
        <f>IF(AND(Inputs!$B$38&lt;&gt;"pvp",Inputs!$B$43&gt;0),SUMPRODUCT((Skills!S2:S24&gt;0)*(Skills!E2:E24=TRUE)*(C1302:C1324=TRUE))/B1331,0)</f>
        <v/>
      </c>
    </row>
    <row r="1335">
      <c r="A1335" t="inlineStr">
        <is>
          <t>Boss-Only Total DPS (this block's swept value)</t>
        </is>
      </c>
      <c r="B1335">
        <f>SUM(S1302:S1324)</f>
        <v/>
      </c>
    </row>
    <row r="1336">
      <c r="A1336" t="inlineStr">
        <is>
          <t>Normal-Only Total DPS (this block's swept value)</t>
        </is>
      </c>
      <c r="B1336">
        <f>SUM(U1302:U1324)</f>
        <v/>
      </c>
    </row>
    <row r="1337">
      <c r="A1337" s="6" t="inlineStr">
        <is>
          <t>TOTAL DPS</t>
        </is>
      </c>
      <c r="B1337" s="6">
        <f>SUM(O1302:O1324)</f>
        <v/>
      </c>
    </row>
    <row r="1338">
      <c r="A1338" t="inlineStr">
        <is>
          <t>Blizzard Final Attack trigger rate (this block's own Q/R)</t>
        </is>
      </c>
      <c r="B1338">
        <f>IF(AND(Inputs!$B$38&lt;&gt;"pvp",Inputs!$B$43&gt;0),(((C1305=TRUE)*R1305*1)+((C1306=TRUE)*R1306*1)+((C1308=TRUE)*R1308*1)+((C1309=TRUE)*R1309*3)+((C1311=TRUE)*R1311*1))/Inputs!$B$43,((C1305=TRUE)*Q1305*1)+((C1306=TRUE)*Q1306*1)+((C1308=TRUE)*Q1308*1)+((C1309=TRUE)*Q1309*3)+((C1311=TRUE)*Q1311*1))+B1333</f>
        <v/>
      </c>
    </row>
    <row r="1341">
      <c r="A1341" s="6" t="inlineStr">
        <is>
          <t>Stat: Arwen's Glass Shoes (Equip)</t>
        </is>
      </c>
    </row>
    <row r="1342">
      <c r="A1342" s="5" t="inlineStr">
        <is>
          <t>Key</t>
        </is>
      </c>
      <c r="B1342" s="5" t="inlineStr">
        <is>
          <t>Name</t>
        </is>
      </c>
      <c r="C1342" s="5" t="inlineStr">
        <is>
          <t>Unlocked</t>
        </is>
      </c>
      <c r="D1342" s="5" t="inlineStr">
        <is>
          <t>InputLevel</t>
        </is>
      </c>
      <c r="E1342" s="5" t="inlineStr">
        <is>
          <t>Factor</t>
        </is>
      </c>
      <c r="F1342" s="5" t="inlineStr">
        <is>
          <t>CoefficientPercent</t>
        </is>
      </c>
      <c r="G1342" s="5" t="inlineStr">
        <is>
          <t>EffectiveHits</t>
        </is>
      </c>
      <c r="H1342" s="5" t="inlineStr">
        <is>
          <t>ProcProbability</t>
        </is>
      </c>
      <c r="I1342" s="5" t="inlineStr">
        <is>
          <t>MapleHeroMultiplier</t>
        </is>
      </c>
      <c r="J1342" s="5" t="inlineStr">
        <is>
          <t>BaseDamage</t>
        </is>
      </c>
      <c r="K1342" s="5" t="inlineStr">
        <is>
          <t>BaseHitDamage</t>
        </is>
      </c>
      <c r="L1342" s="5" t="inlineStr">
        <is>
          <t>NonCritAvg</t>
        </is>
      </c>
      <c r="M1342" s="5" t="inlineStr">
        <is>
          <t>CritAvg</t>
        </is>
      </c>
      <c r="N1342" s="5" t="inlineStr">
        <is>
          <t>ExpectedDamage(perHit)</t>
        </is>
      </c>
      <c r="O1342" s="5" t="inlineStr">
        <is>
          <t>DPS</t>
        </is>
      </c>
      <c r="P1342" s="5" t="inlineStr">
        <is>
          <t>% of Total</t>
        </is>
      </c>
      <c r="R1342" t="inlineStr">
        <is>
          <t>helpers</t>
        </is>
      </c>
    </row>
    <row r="1343">
      <c r="A1343">
        <f>Skills!A2</f>
        <v/>
      </c>
      <c r="B1343">
        <f>Skills!B2</f>
        <v/>
      </c>
      <c r="C1343">
        <f>Inputs!$B$3&gt;=100</f>
        <v/>
      </c>
      <c r="D1343" t="inlineStr"/>
      <c r="E1343" t="inlineStr"/>
      <c r="F1343">
        <f>T1345+Skills!N2</f>
        <v/>
      </c>
      <c r="G1343">
        <f>Calc!G2</f>
        <v/>
      </c>
      <c r="H1343">
        <f>Calc!H2</f>
        <v/>
      </c>
      <c r="I1343">
        <f>IF(Skills!T2&lt;&gt;"",1+(Skills!T2/10)*(Z1344/1000)/100,1)</f>
        <v/>
      </c>
      <c r="J1343">
        <f>((Inputs!$B$6*(1+Inputs!$B$7/100))+(((Inputs!$B$12*(1+Inputs!$B$13/100))-(Inputs!$B$12*(1+Inputs!$B$13/100)))+0.25*(Inputs!$B$14-Inputs!$B$14))*(1+Inputs!$B$7/100))*(F1343/100)</f>
        <v/>
      </c>
      <c r="K1343">
        <f>J1343*(1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2="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1343)</f>
        <v/>
      </c>
      <c r="L1343">
        <f>K1343*(MIN(Inputs!$B$22+(F1359-Calc!F18),(Inputs!$B$23+(IF(ArtifactsInput!$M$15,CHOOSE(ArtifactsInput!$N$15+1,25,30,35,40,45,50)/100*(Inputs!$B$11-Inputs!$B$11),0))))/100+(Inputs!$B$23+(IF(ArtifactsInput!$M$15,CHOOSE(ArtifactsInput!$N$15+1,25,30,35,40,45,50)/100*(Inputs!$B$11-Inputs!$B$11),0)))/100)/2</f>
        <v/>
      </c>
      <c r="M1343">
        <f>L1343*(1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3">
        <f>L1343*(1-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1343*(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3">
        <f>(1-Summary!$B$11)*S1343+Summary!$B$11*U1343</f>
        <v/>
      </c>
      <c r="P1343">
        <f>IF(B1378=0,0,O1343/B1378)</f>
        <v/>
      </c>
      <c r="Q1343">
        <f>IFERROR(1/(IF(Inputs!$B$38="pvp",15,MAX(0.1,Skills!D2-IF(TRUE=TRUE,Inputs!$B$32,0)))*(1-IF(AND(ArtifactsInput!$M$27,Inputs!$B$4="Chapter Hunt"),CHOOSE(ArtifactsInput!$N$27+1,20,24,28,32,36,40),0)/100)),0)</f>
        <v/>
      </c>
      <c r="R1343" t="n">
        <v>0</v>
      </c>
      <c r="S1343">
        <f>IF(C1343,(Skills!F2*N1343*B1374)*IF(Inputs!$B$38="pvp",1,1+(Inputs!$B$20+Skills!O2+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1343*(1-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1343*(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1343*(1-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1343*(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43">
        <f>MAX(0,(Inputs!$B$3-100)*3)+Inputs!$B$28+Inputs!$B$29</f>
        <v/>
      </c>
      <c r="U1343">
        <f>IF(C1343,(Skills!F2*N1343*B1374)*IF(Inputs!$B$38="pvp",1,(1+(Inputs!$B$21+Skills!P2+B1369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43">
        <f>MAX(0,(Inputs!$B$3-100)*3)+Inputs!$B$28+Inputs!$B$29</f>
        <v/>
      </c>
    </row>
    <row r="1344">
      <c r="A1344">
        <f>Skills!A3</f>
        <v/>
      </c>
      <c r="B1344">
        <f>Skills!B3</f>
        <v/>
      </c>
      <c r="C1344">
        <f>Inputs!$B$3&gt;=15</f>
        <v/>
      </c>
      <c r="D1344">
        <f>IF(Skills!C3=1,60+Inputs!$B$25+Inputs!$B$29,IF(Skills!C3=2,90+Inputs!$B$26+Inputs!$B$29,IF(Skills!C3=3,120+Inputs!$B$27+Inputs!$B$29,MAX(0,(Inputs!$B$3-100)*3)+Inputs!$B$28+Inputs!$B$29)))</f>
        <v/>
      </c>
      <c r="E1344">
        <f>INDEX(FactorTable!$B$2:$Y$301, MATCH(ROUND(MIN(300,MAX(1,D1344)),0), FactorTable!$A$2:$A$301,0), Skills!L3+1)</f>
        <v/>
      </c>
      <c r="F1344">
        <f>IF(Skills!M3=TRUE,(Skills!K3/10)*(E1344/1000),Skills!K3/10)+Skills!N3</f>
        <v/>
      </c>
      <c r="G1344">
        <f>Calc!G3</f>
        <v/>
      </c>
      <c r="H1344">
        <f>Calc!H3</f>
        <v/>
      </c>
      <c r="I1344">
        <f>IF(Skills!T3&lt;&gt;"",1+(Skills!T3/10)*(Z1344/1000)/100,1)</f>
        <v/>
      </c>
      <c r="J1344" t="inlineStr"/>
      <c r="K1344" t="inlineStr"/>
      <c r="L1344" t="inlineStr"/>
      <c r="M1344" t="inlineStr"/>
      <c r="N1344" t="inlineStr"/>
      <c r="O1344">
        <f>(1-Summary!$B$11)*S1344+Summary!$B$11*U1344</f>
        <v/>
      </c>
      <c r="P1344">
        <f>IF(B1378=0,0,O1344/B1378)</f>
        <v/>
      </c>
      <c r="Q1344">
        <f>IFERROR(1/(IF(Inputs!$B$38="pvp",15,MAX(0.1,Skills!D3-IF(TRUE=TRUE,Inputs!$B$32,0)))*(1-IF(AND(ArtifactsInput!$M$27,Inputs!$B$4="Chapter Hunt"),CHOOSE(ArtifactsInput!$N$27+1,20,24,28,32,36,40),0)/100)),0)</f>
        <v/>
      </c>
      <c r="R1344">
        <f>IF(AND(Inputs!$B$38&lt;&gt;"pvp",Inputs!$B$43&gt;0),IF(Inputs!$B$43&lt;=0,0,(INT(Inputs!$B$43/(IF(Inputs!$B$38="pvp",15,MAX(0.1,Skills!D3-IF(TRUE=TRUE,Inputs!$B$32,0)))*(1-IF(AND(ArtifactsInput!$M$27,Inputs!$B$4="Chapter Hunt"),CHOOSE(ArtifactsInput!$N$27+1,20,24,28,32,36,40),0)/100)))+1)),0)</f>
        <v/>
      </c>
      <c r="S1344" t="n">
        <v>0</v>
      </c>
      <c r="T1344">
        <f>INDEX(FactorTable!$B$2:$Y$301, MATCH(ROUND(MIN(300,MAX(1,T1343)),0), FactorTable!$A$2:$A$301,0), 22)</f>
        <v/>
      </c>
      <c r="U1344" t="n">
        <v>0</v>
      </c>
      <c r="Z1344">
        <f>INDEX(FactorTable!$B$2:$Y$301, MATCH(ROUND(MIN(300,MAX(1,Z1343)),0), FactorTable!$A$2:$A$301,0), 24)</f>
        <v/>
      </c>
    </row>
    <row r="1345">
      <c r="A1345">
        <f>Skills!A4</f>
        <v/>
      </c>
      <c r="B1345">
        <f>Skills!B4</f>
        <v/>
      </c>
      <c r="C1345">
        <f>Inputs!$B$3&gt;=40</f>
        <v/>
      </c>
      <c r="D1345">
        <f>IF(Skills!C4=1,60+Inputs!$B$25+Inputs!$B$29,IF(Skills!C4=2,90+Inputs!$B$26+Inputs!$B$29,IF(Skills!C4=3,120+Inputs!$B$27+Inputs!$B$29,MAX(0,(Inputs!$B$3-100)*3)+Inputs!$B$28+Inputs!$B$29)))</f>
        <v/>
      </c>
      <c r="E1345">
        <f>INDEX(FactorTable!$B$2:$Y$301, MATCH(ROUND(MIN(300,MAX(1,D1345)),0), FactorTable!$A$2:$A$301,0), Skills!L4+1)</f>
        <v/>
      </c>
      <c r="F1345">
        <f>IF(Skills!M4=TRUE,(Skills!K4/10)*(E1345/1000),Skills!K4/10)+Skills!N4</f>
        <v/>
      </c>
      <c r="G1345">
        <f>Calc!G4</f>
        <v/>
      </c>
      <c r="H1345">
        <f>Calc!H4</f>
        <v/>
      </c>
      <c r="I1345">
        <f>IF(Skills!T4&lt;&gt;"",1+(Skills!T4/10)*(Z1344/1000)/100,1)</f>
        <v/>
      </c>
      <c r="J1345" t="inlineStr"/>
      <c r="K1345" t="inlineStr"/>
      <c r="L1345" t="inlineStr"/>
      <c r="M1345" t="inlineStr"/>
      <c r="N1345" t="inlineStr"/>
      <c r="O1345">
        <f>(1-Summary!$B$11)*S1345+Summary!$B$11*U1345</f>
        <v/>
      </c>
      <c r="P1345">
        <f>IF(B1378=0,0,O1345/B1378)</f>
        <v/>
      </c>
      <c r="Q1345">
        <f>IFERROR(1/(IF(Inputs!$B$38="pvp",15,MAX(0.1,Skills!D4-IF(TRUE=TRUE,Inputs!$B$32,0)))*(1-IF(AND(ArtifactsInput!$M$27,Inputs!$B$4="Chapter Hunt"),CHOOSE(ArtifactsInput!$N$27+1,20,24,28,32,36,40),0)/100)),0)</f>
        <v/>
      </c>
      <c r="R1345">
        <f>IF(AND(Inputs!$B$38&lt;&gt;"pvp",Inputs!$B$43&gt;0),IF(Inputs!$B$43&lt;=0,0,(INT(Inputs!$B$43/(IF(Inputs!$B$38="pvp",15,MAX(0.1,Skills!D4-IF(TRUE=TRUE,Inputs!$B$32,0)))*(1-IF(AND(ArtifactsInput!$M$27,Inputs!$B$4="Chapter Hunt"),CHOOSE(ArtifactsInput!$N$27+1,20,24,28,32,36,40),0)/100)))+1)),0)</f>
        <v/>
      </c>
      <c r="S1345" t="n">
        <v>0</v>
      </c>
      <c r="T1345">
        <f>290*T1344/1000</f>
        <v/>
      </c>
      <c r="U1345" t="n">
        <v>0</v>
      </c>
    </row>
    <row r="1346">
      <c r="A1346">
        <f>Skills!A5</f>
        <v/>
      </c>
      <c r="B1346">
        <f>Skills!B5</f>
        <v/>
      </c>
      <c r="C1346">
        <f>Inputs!$B$3&gt;=38</f>
        <v/>
      </c>
      <c r="D1346">
        <f>IF(Skills!C5=1,60+Inputs!$B$25+Inputs!$B$29,IF(Skills!C5=2,90+Inputs!$B$26+Inputs!$B$29,IF(Skills!C5=3,120+Inputs!$B$27+Inputs!$B$29,MAX(0,(Inputs!$B$3-100)*3)+Inputs!$B$28+Inputs!$B$29)))</f>
        <v/>
      </c>
      <c r="E1346">
        <f>INDEX(FactorTable!$B$2:$Y$301, MATCH(ROUND(MIN(300,MAX(1,D1346)),0), FactorTable!$A$2:$A$301,0), Skills!L5+1)</f>
        <v/>
      </c>
      <c r="F1346">
        <f>IF(Skills!M5=TRUE,(Skills!K5/10)*(E1346/1000),Skills!K5/10)+Skills!N5</f>
        <v/>
      </c>
      <c r="G1346">
        <f>Calc!G5</f>
        <v/>
      </c>
      <c r="H1346">
        <f>Calc!H5</f>
        <v/>
      </c>
      <c r="I1346">
        <f>IF(Skills!T5&lt;&gt;"",1+(Skills!T5/10)*(Z1344/1000)/100,1)</f>
        <v/>
      </c>
      <c r="J1346">
        <f>((Inputs!$B$6*(1+Inputs!$B$7/100))+(((Inputs!$B$12*(1+Inputs!$B$13/100))-(Inputs!$B$12*(1+Inputs!$B$13/100)))+0.25*(Inputs!$B$14-Inputs!$B$14))*(1+Inputs!$B$7/100))*(F1346/100)</f>
        <v/>
      </c>
      <c r="K1346">
        <f>J1346*(1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5="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1346)</f>
        <v/>
      </c>
      <c r="L1346">
        <f>K1346*(MIN(Inputs!$B$22+(F1359-Calc!F18),(Inputs!$B$23+(IF(ArtifactsInput!$M$15,CHOOSE(ArtifactsInput!$N$15+1,25,30,35,40,45,50)/100*(Inputs!$B$11-Inputs!$B$11),0))))/100+(Inputs!$B$23+(IF(ArtifactsInput!$M$15,CHOOSE(ArtifactsInput!$N$15+1,25,30,35,40,45,50)/100*(Inputs!$B$11-Inputs!$B$11),0)))/100)/2</f>
        <v/>
      </c>
      <c r="M1346">
        <f>L1346*(1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6">
        <f>L1346*(1-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1346*(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6">
        <f>(1-Summary!$B$11)*S1346+Summary!$B$11*U1346</f>
        <v/>
      </c>
      <c r="P1346">
        <f>IF(B1378=0,0,O1346/B1378)</f>
        <v/>
      </c>
      <c r="Q1346">
        <f>IFERROR(1/(IF(Inputs!$B$38="pvp",15,MAX(0.1,Skills!D5-IF(TRUE=TRUE,Inputs!$B$32,0)))*(1-IF(AND(ArtifactsInput!$M$27,Inputs!$B$4="Chapter Hunt"),CHOOSE(ArtifactsInput!$N$27+1,20,24,28,32,36,40),0)/100)),0)</f>
        <v/>
      </c>
      <c r="R1346">
        <f>IF(AND(Inputs!$B$38&lt;&gt;"pvp",Inputs!$B$43&gt;0),IF(MAX(0,Inputs!$B$43-B1375)&lt;=0,0,(INT(MAX(0,Inputs!$B$43-B1375)/(IF(Inputs!$B$38="pvp",15,MAX(0.1,Skills!D5-IF(TRUE=TRUE,Inputs!$B$32,0)))*(1-IF(AND(ArtifactsInput!$M$27,Inputs!$B$4="Chapter Hunt"),CHOOSE(ArtifactsInput!$N$27+1,20,24,28,32,36,40),0)/100)))+1)),0)</f>
        <v/>
      </c>
      <c r="S1346">
        <f>IF(C1346,(H1346*N1346*IF(AND(Inputs!$B$38&lt;&gt;"pvp",Inputs!$B$43&gt;0),((Skills!F5*((R1346-1)*IF(Skills!G5&gt;0,Skills!H5/Skills!G5,1)+IF(Skills!G5&gt;0,MIN(Skills!H5,MAX(0,MAX(0,Inputs!$B$43-B1375)-((R1346-1)*(IF(Inputs!$B$38="pvp",15,MAX(0.1,Skills!D5-IF(TRUE=TRUE,Inputs!$B$32,0)))*(1-IF(AND(ArtifactsInput!$M$27,Inputs!$B$4="Chapter Hunt"),CHOOSE(ArtifactsInput!$N$27+1,20,24,28,32,36,40),0)/100)))))/Skills!G5,1)))/Inputs!$B$43),G1346*Q1346))*IF(Inputs!$B$38="pvp",1,1+(Inputs!$B$20+Skills!O5+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1346*(1-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1346*(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1346*(1-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1346*(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6">
        <f>IF(C1346,(H1346*N1346*IF(AND(Inputs!$B$38&lt;&gt;"pvp",Inputs!$B$43&gt;0),((Skills!F5*((R1346-1)*IF(Skills!G5&gt;0,Skills!H5/Skills!G5,1)+IF(Skills!G5&gt;0,MIN(Skills!H5,MAX(0,MAX(0,Inputs!$B$43-B1375)-((R1346-1)*(IF(Inputs!$B$38="pvp",15,MAX(0.1,Skills!D5-IF(TRUE=TRUE,Inputs!$B$32,0)))*(1-IF(AND(ArtifactsInput!$M$27,Inputs!$B$4="Chapter Hunt"),CHOOSE(ArtifactsInput!$N$27+1,20,24,28,32,36,40),0)/100)))))/Skills!G5,1)))/Inputs!$B$43),G1346*Q1346))*IF(Inputs!$B$38="pvp",1,(1+(Inputs!$B$21+Skills!P5+B1369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7">
      <c r="A1347">
        <f>Skills!A6</f>
        <v/>
      </c>
      <c r="B1347">
        <f>Skills!B6</f>
        <v/>
      </c>
      <c r="C1347">
        <f>Inputs!$B$3&gt;=63</f>
        <v/>
      </c>
      <c r="D1347">
        <f>IF(Skills!C6=1,60+Inputs!$B$25+Inputs!$B$29,IF(Skills!C6=2,90+Inputs!$B$26+Inputs!$B$29,IF(Skills!C6=3,120+Inputs!$B$27+Inputs!$B$29,MAX(0,(Inputs!$B$3-100)*3)+Inputs!$B$28+Inputs!$B$29)))</f>
        <v/>
      </c>
      <c r="E1347">
        <f>INDEX(FactorTable!$B$2:$Y$301, MATCH(ROUND(MIN(300,MAX(1,D1347)),0), FactorTable!$A$2:$A$301,0), Skills!L6+1)</f>
        <v/>
      </c>
      <c r="F1347">
        <f>IF(Skills!M6=TRUE,(Skills!K6/10)*(E1347/1000),Skills!K6/10)+Skills!N6</f>
        <v/>
      </c>
      <c r="G1347">
        <f>Calc!G6</f>
        <v/>
      </c>
      <c r="H1347">
        <f>Calc!H6</f>
        <v/>
      </c>
      <c r="I1347">
        <f>IF(Skills!T6&lt;&gt;"",1+(Skills!T6/10)*(Z1344/1000)/100,1)</f>
        <v/>
      </c>
      <c r="J1347">
        <f>((Inputs!$B$6*(1+Inputs!$B$7/100))+(((Inputs!$B$12*(1+Inputs!$B$13/100))-(Inputs!$B$12*(1+Inputs!$B$13/100)))+0.25*(Inputs!$B$14-Inputs!$B$14))*(1+Inputs!$B$7/100))*(F1347/100)</f>
        <v/>
      </c>
      <c r="K1347">
        <f>J1347*(1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6="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1347)</f>
        <v/>
      </c>
      <c r="L1347">
        <f>K1347*(MIN(Inputs!$B$22+(F1359-Calc!F18),(Inputs!$B$23+(IF(ArtifactsInput!$M$15,CHOOSE(ArtifactsInput!$N$15+1,25,30,35,40,45,50)/100*(Inputs!$B$11-Inputs!$B$11),0))))/100+(Inputs!$B$23+(IF(ArtifactsInput!$M$15,CHOOSE(ArtifactsInput!$N$15+1,25,30,35,40,45,50)/100*(Inputs!$B$11-Inputs!$B$11),0)))/100)/2</f>
        <v/>
      </c>
      <c r="M1347">
        <f>L1347*(1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7">
        <f>L1347*(1-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1347*(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7">
        <f>(1-Summary!$B$11)*S1347+Summary!$B$11*U1347</f>
        <v/>
      </c>
      <c r="P1347">
        <f>IF(B1378=0,0,O1347/B1378)</f>
        <v/>
      </c>
      <c r="Q1347">
        <f>IFERROR(1/(IF(Inputs!$B$38="pvp",15,MAX(0.1,Skills!D6-IF(TRUE=TRUE,Inputs!$B$32,0)))*(1-IF(AND(ArtifactsInput!$M$27,Inputs!$B$4="Chapter Hunt"),CHOOSE(ArtifactsInput!$N$27+1,20,24,28,32,36,40),0)/100)),0)</f>
        <v/>
      </c>
      <c r="R1347">
        <f>IF(AND(Inputs!$B$38&lt;&gt;"pvp",Inputs!$B$43&gt;0),IF(MAX(0,Inputs!$B$43-B1375)&lt;=0,0,(INT(MAX(0,Inputs!$B$43-B1375)/(IF(Inputs!$B$38="pvp",15,MAX(0.1,Skills!D6-IF(TRUE=TRUE,Inputs!$B$32,0)))*(1-IF(AND(ArtifactsInput!$M$27,Inputs!$B$4="Chapter Hunt"),CHOOSE(ArtifactsInput!$N$27+1,20,24,28,32,36,40),0)/100)))+1)),0)</f>
        <v/>
      </c>
      <c r="S1347">
        <f>IF(C1347,(H1347*N1347*IF(AND(Inputs!$B$38&lt;&gt;"pvp",Inputs!$B$43&gt;0),((Skills!F6*((R1347-1)*IF(Skills!G6&gt;0,Skills!H6/Skills!G6,1)+IF(Skills!G6&gt;0,MIN(Skills!H6,MAX(0,MAX(0,Inputs!$B$43-B1375)-((R1347-1)*(IF(Inputs!$B$38="pvp",15,MAX(0.1,Skills!D6-IF(TRUE=TRUE,Inputs!$B$32,0)))*(1-IF(AND(ArtifactsInput!$M$27,Inputs!$B$4="Chapter Hunt"),CHOOSE(ArtifactsInput!$N$27+1,20,24,28,32,36,40),0)/100)))))/Skills!G6,1)))/Inputs!$B$43),G1347*Q1347))*IF(Inputs!$B$38="pvp",1,1+(Inputs!$B$20+Skills!O6+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1347*(1-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1347*(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1347*(1-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1347*(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7">
        <f>IF(C1347,(H1347*N1347*IF(AND(Inputs!$B$38&lt;&gt;"pvp",Inputs!$B$43&gt;0),((Skills!F6*((R1347-1)*IF(Skills!G6&gt;0,Skills!H6/Skills!G6,1)+IF(Skills!G6&gt;0,MIN(Skills!H6,MAX(0,MAX(0,Inputs!$B$43-B1375)-((R1347-1)*(IF(Inputs!$B$38="pvp",15,MAX(0.1,Skills!D6-IF(TRUE=TRUE,Inputs!$B$32,0)))*(1-IF(AND(ArtifactsInput!$M$27,Inputs!$B$4="Chapter Hunt"),CHOOSE(ArtifactsInput!$N$27+1,20,24,28,32,36,40),0)/100)))))/Skills!G6,1)))/Inputs!$B$43),G1347*Q1347))*IF(Inputs!$B$38="pvp",1,(1+(Inputs!$B$21+Skills!P6+B1369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8">
      <c r="A1348">
        <f>Skills!A7</f>
        <v/>
      </c>
      <c r="B1348">
        <f>Skills!B7</f>
        <v/>
      </c>
      <c r="C1348">
        <f>Inputs!$B$3&gt;=69</f>
        <v/>
      </c>
      <c r="D1348">
        <f>IF(Skills!C7=1,60+Inputs!$B$25+Inputs!$B$29,IF(Skills!C7=2,90+Inputs!$B$26+Inputs!$B$29,IF(Skills!C7=3,120+Inputs!$B$27+Inputs!$B$29,MAX(0,(Inputs!$B$3-100)*3)+Inputs!$B$28+Inputs!$B$29)))</f>
        <v/>
      </c>
      <c r="E1348">
        <f>INDEX(FactorTable!$B$2:$Y$301, MATCH(ROUND(MIN(300,MAX(1,D1348)),0), FactorTable!$A$2:$A$301,0), Skills!L7+1)</f>
        <v/>
      </c>
      <c r="F1348">
        <f>IF(Skills!M7=TRUE,(Skills!K7/10)*(E1348/1000),Skills!K7/10)+Skills!N7</f>
        <v/>
      </c>
      <c r="G1348">
        <f>Calc!G7</f>
        <v/>
      </c>
      <c r="H1348">
        <f>Calc!H7</f>
        <v/>
      </c>
      <c r="I1348">
        <f>IF(Skills!T7&lt;&gt;"",1+(Skills!T7/10)*(Z1344/1000)/100,1)</f>
        <v/>
      </c>
      <c r="J1348">
        <f>((Inputs!$B$6*(1+Inputs!$B$7/100))+(((Inputs!$B$12*(1+Inputs!$B$13/100))-(Inputs!$B$12*(1+Inputs!$B$13/100)))+0.25*(Inputs!$B$14-Inputs!$B$14))*(1+Inputs!$B$7/100))*(F1348/100)</f>
        <v/>
      </c>
      <c r="K1348">
        <f>J1348*(1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7="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1348)</f>
        <v/>
      </c>
      <c r="L1348">
        <f>K1348*(MIN(Inputs!$B$22+(F1359-Calc!F18),(Inputs!$B$23+(IF(ArtifactsInput!$M$15,CHOOSE(ArtifactsInput!$N$15+1,25,30,35,40,45,50)/100*(Inputs!$B$11-Inputs!$B$11),0))))/100+(Inputs!$B$23+(IF(ArtifactsInput!$M$15,CHOOSE(ArtifactsInput!$N$15+1,25,30,35,40,45,50)/100*(Inputs!$B$11-Inputs!$B$11),0)))/100)/2</f>
        <v/>
      </c>
      <c r="M1348">
        <f>L1348*(1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8">
        <f>L1348*(1-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1348*(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8">
        <f>(1-Summary!$B$11)*S1348+Summary!$B$11*U1348</f>
        <v/>
      </c>
      <c r="P1348">
        <f>IF(B1378=0,0,O1348/B1378)</f>
        <v/>
      </c>
      <c r="Q1348">
        <f>IFERROR(1/(IF(Inputs!$B$38="pvp",15,MAX(0.1,Skills!D7-IF(TRUE=TRUE,Inputs!$B$32,0)))*(1-IF(AND(ArtifactsInput!$M$27,Inputs!$B$4="Chapter Hunt"),CHOOSE(ArtifactsInput!$N$27+1,20,24,28,32,36,40),0)/100)),0)</f>
        <v/>
      </c>
      <c r="R1348">
        <f>IF(AND(Inputs!$B$38&lt;&gt;"pvp",Inputs!$B$43&gt;0),IF(MAX(0,Inputs!$B$43-B1375)&lt;=0,0,(INT(MAX(0,Inputs!$B$43-B1375)/(IF(Inputs!$B$38="pvp",15,MAX(0.1,Skills!D7-IF(TRUE=TRUE,Inputs!$B$32,0)))*(1-IF(AND(ArtifactsInput!$M$27,Inputs!$B$4="Chapter Hunt"),CHOOSE(ArtifactsInput!$N$27+1,20,24,28,32,36,40),0)/100)))+1)),0)</f>
        <v/>
      </c>
      <c r="S1348">
        <f>IF(C1348,(H1348*N1348*IF(AND(Inputs!$B$38&lt;&gt;"pvp",Inputs!$B$43&gt;0),((Skills!F7*((R1348-1)*IF(Skills!G7&gt;0,Skills!H7/Skills!G7,1)+IF(Skills!G7&gt;0,MIN(Skills!H7,MAX(0,MAX(0,Inputs!$B$43-B1375)-((R1348-1)*(IF(Inputs!$B$38="pvp",15,MAX(0.1,Skills!D7-IF(TRUE=TRUE,Inputs!$B$32,0)))*(1-IF(AND(ArtifactsInput!$M$27,Inputs!$B$4="Chapter Hunt"),CHOOSE(ArtifactsInput!$N$27+1,20,24,28,32,36,40),0)/100)))))/Skills!G7,1)))/Inputs!$B$43),G1348*Q1348))*IF(Inputs!$B$38="pvp",1,1+(Inputs!$B$20+Skills!O7+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1348*(1-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1348*(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1348*(1-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1348*(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8">
        <f>IF(C1348,(H1348*N1348*IF(AND(Inputs!$B$38&lt;&gt;"pvp",Inputs!$B$43&gt;0),((Skills!F7*((R1348-1)*IF(Skills!G7&gt;0,Skills!H7/Skills!G7,1)+IF(Skills!G7&gt;0,MIN(Skills!H7,MAX(0,MAX(0,Inputs!$B$43-B1375)-((R1348-1)*(IF(Inputs!$B$38="pvp",15,MAX(0.1,Skills!D7-IF(TRUE=TRUE,Inputs!$B$32,0)))*(1-IF(AND(ArtifactsInput!$M$27,Inputs!$B$4="Chapter Hunt"),CHOOSE(ArtifactsInput!$N$27+1,20,24,28,32,36,40),0)/100)))))/Skills!G7,1)))/Inputs!$B$43),G1348*Q1348))*IF(Inputs!$B$38="pvp",1,(1+(Inputs!$B$21+Skills!P7+B1369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9">
      <c r="A1349">
        <f>Skills!A8</f>
        <v/>
      </c>
      <c r="B1349">
        <f>Skills!B8</f>
        <v/>
      </c>
      <c r="C1349">
        <f>Inputs!$B$3&gt;=103</f>
        <v/>
      </c>
      <c r="D1349">
        <f>IF(Skills!C8=1,60+Inputs!$B$25+Inputs!$B$29,IF(Skills!C8=2,90+Inputs!$B$26+Inputs!$B$29,IF(Skills!C8=3,120+Inputs!$B$27+Inputs!$B$29,MAX(0,(Inputs!$B$3-100)*3)+Inputs!$B$28+Inputs!$B$29)))</f>
        <v/>
      </c>
      <c r="E1349">
        <f>INDEX(FactorTable!$B$2:$Y$301, MATCH(ROUND(MIN(300,MAX(1,D1349)),0), FactorTable!$A$2:$A$301,0), Skills!L8+1)</f>
        <v/>
      </c>
      <c r="F1349">
        <f>IF(Skills!M8=TRUE,(Skills!K8/10)*(E1349/1000),Skills!K8/10)+Skills!N8</f>
        <v/>
      </c>
      <c r="G1349">
        <f>Calc!G8</f>
        <v/>
      </c>
      <c r="H1349">
        <f>Calc!H8</f>
        <v/>
      </c>
      <c r="I1349">
        <f>IF(Skills!T8&lt;&gt;"",1+(Skills!T8/10)*(Z1344/1000)/100,1)</f>
        <v/>
      </c>
      <c r="J1349">
        <f>((Inputs!$B$6*(1+Inputs!$B$7/100))+(((Inputs!$B$12*(1+Inputs!$B$13/100))-(Inputs!$B$12*(1+Inputs!$B$13/100)))+0.25*(Inputs!$B$14-Inputs!$B$14))*(1+Inputs!$B$7/100))*(F1349/100)</f>
        <v/>
      </c>
      <c r="K1349">
        <f>J1349*(1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8="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1349)</f>
        <v/>
      </c>
      <c r="L1349">
        <f>K1349*(MIN(Inputs!$B$22+(F1359-Calc!F18),(Inputs!$B$23+(IF(ArtifactsInput!$M$15,CHOOSE(ArtifactsInput!$N$15+1,25,30,35,40,45,50)/100*(Inputs!$B$11-Inputs!$B$11),0))))/100+(Inputs!$B$23+(IF(ArtifactsInput!$M$15,CHOOSE(ArtifactsInput!$N$15+1,25,30,35,40,45,50)/100*(Inputs!$B$11-Inputs!$B$11),0)))/100)/2</f>
        <v/>
      </c>
      <c r="M1349">
        <f>L1349*(1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9">
        <f>L1349*(1-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1349*(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9">
        <f>(1-Summary!$B$11)*S1349+Summary!$B$11*U1349</f>
        <v/>
      </c>
      <c r="P1349">
        <f>IF(B1378=0,0,O1349/B1378)</f>
        <v/>
      </c>
      <c r="Q1349">
        <f>IFERROR(1/(IF(Inputs!$B$38="pvp",15,MAX(0.1,Skills!D8-IF(TRUE=TRUE,Inputs!$B$32,0)))*(1-IF(AND(ArtifactsInput!$M$27,Inputs!$B$4="Chapter Hunt"),CHOOSE(ArtifactsInput!$N$27+1,20,24,28,32,36,40),0)/100)),0)</f>
        <v/>
      </c>
      <c r="R1349">
        <f>IF(AND(Inputs!$B$38&lt;&gt;"pvp",Inputs!$B$43&gt;0),IF(MAX(0,Inputs!$B$43-B1375)&lt;=0,0,(INT(MAX(0,Inputs!$B$43-B1375)/(IF(Inputs!$B$38="pvp",15,MAX(0.1,Skills!D8-IF(TRUE=TRUE,Inputs!$B$32,0)))*(1-IF(AND(ArtifactsInput!$M$27,Inputs!$B$4="Chapter Hunt"),CHOOSE(ArtifactsInput!$N$27+1,20,24,28,32,36,40),0)/100)))+1)),0)</f>
        <v/>
      </c>
      <c r="S1349">
        <f>IF(C1349,(H1349*N1349*IF(AND(Inputs!$B$38&lt;&gt;"pvp",Inputs!$B$43&gt;0),((Skills!F8*((R1349-1)*IF(Skills!G8&gt;0,Skills!H8/Skills!G8,1)+IF(Skills!G8&gt;0,MIN(Skills!H8,MAX(0,MAX(0,Inputs!$B$43-B1375)-((R1349-1)*(IF(Inputs!$B$38="pvp",15,MAX(0.1,Skills!D8-IF(TRUE=TRUE,Inputs!$B$32,0)))*(1-IF(AND(ArtifactsInput!$M$27,Inputs!$B$4="Chapter Hunt"),CHOOSE(ArtifactsInput!$N$27+1,20,24,28,32,36,40),0)/100)))))/Skills!G8,1)))/Inputs!$B$43),G1349*Q1349))*IF(Inputs!$B$38="pvp",1,1+(Inputs!$B$20+Skills!O8+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1349*(1-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1349*(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1349*(1-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1349*(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49">
        <f>IF(C1349,(H1349*N1349*IF(AND(Inputs!$B$38&lt;&gt;"pvp",Inputs!$B$43&gt;0),((Skills!F8*((R1349-1)*IF(Skills!G8&gt;0,Skills!H8/Skills!G8,1)+IF(Skills!G8&gt;0,MIN(Skills!H8,MAX(0,MAX(0,Inputs!$B$43-B1375)-((R1349-1)*(IF(Inputs!$B$38="pvp",15,MAX(0.1,Skills!D8-IF(TRUE=TRUE,Inputs!$B$32,0)))*(1-IF(AND(ArtifactsInput!$M$27,Inputs!$B$4="Chapter Hunt"),CHOOSE(ArtifactsInput!$N$27+1,20,24,28,32,36,40),0)/100)))))/Skills!G8,1)))/Inputs!$B$43),G1349*Q1349))*IF(Inputs!$B$38="pvp",1,(1+(Inputs!$B$21+Skills!P8+B1369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0">
      <c r="A1350">
        <f>Skills!A9</f>
        <v/>
      </c>
      <c r="B1350">
        <f>Skills!B9</f>
        <v/>
      </c>
      <c r="C1350">
        <f>Inputs!$B$3&gt;=105</f>
        <v/>
      </c>
      <c r="D1350">
        <f>IF(Skills!C9=1,60+Inputs!$B$25+Inputs!$B$29,IF(Skills!C9=2,90+Inputs!$B$26+Inputs!$B$29,IF(Skills!C9=3,120+Inputs!$B$27+Inputs!$B$29,MAX(0,(Inputs!$B$3-100)*3)+Inputs!$B$28+Inputs!$B$29)))</f>
        <v/>
      </c>
      <c r="E1350">
        <f>INDEX(FactorTable!$B$2:$Y$301, MATCH(ROUND(MIN(300,MAX(1,D1350)),0), FactorTable!$A$2:$A$301,0), Skills!L9+1)</f>
        <v/>
      </c>
      <c r="F1350">
        <f>IF(Skills!M9=TRUE,(Skills!K9/10)*(E1350/1000),Skills!K9/10)+Skills!N9</f>
        <v/>
      </c>
      <c r="G1350">
        <f>Calc!G9</f>
        <v/>
      </c>
      <c r="H1350">
        <f>Calc!H9</f>
        <v/>
      </c>
      <c r="I1350">
        <f>IF(Skills!T9&lt;&gt;"",1+(Skills!T9/10)*(Z1344/1000)/100,1)</f>
        <v/>
      </c>
      <c r="J1350">
        <f>((Inputs!$B$6*(1+Inputs!$B$7/100))+(((Inputs!$B$12*(1+Inputs!$B$13/100))-(Inputs!$B$12*(1+Inputs!$B$13/100)))+0.25*(Inputs!$B$14-Inputs!$B$14))*(1+Inputs!$B$7/100))*(F1350/100)</f>
        <v/>
      </c>
      <c r="K1350">
        <f>J1350*(1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9="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1350)</f>
        <v/>
      </c>
      <c r="L1350">
        <f>K1350*(MIN(Inputs!$B$22+(F1359-Calc!F18),(Inputs!$B$23+(IF(ArtifactsInput!$M$15,CHOOSE(ArtifactsInput!$N$15+1,25,30,35,40,45,50)/100*(Inputs!$B$11-Inputs!$B$11),0))))/100+(Inputs!$B$23+(IF(ArtifactsInput!$M$15,CHOOSE(ArtifactsInput!$N$15+1,25,30,35,40,45,50)/100*(Inputs!$B$11-Inputs!$B$11),0)))/100)/2</f>
        <v/>
      </c>
      <c r="M1350">
        <f>L1350*(1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0">
        <f>L1350*(1-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1350*(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0">
        <f>(1-Summary!$B$11)*S1350+Summary!$B$11*U1350</f>
        <v/>
      </c>
      <c r="P1350">
        <f>IF(B1378=0,0,O1350/B1378)</f>
        <v/>
      </c>
      <c r="Q1350">
        <f>IFERROR(1/(IF(Inputs!$B$38="pvp",15,MAX(0.1,Skills!D9-IF(TRUE=TRUE,Inputs!$B$32,0)))*(1-IF(AND(ArtifactsInput!$M$27,Inputs!$B$4="Chapter Hunt"),CHOOSE(ArtifactsInput!$N$27+1,20,24,28,32,36,40),0)/100)),0)</f>
        <v/>
      </c>
      <c r="R1350">
        <f>IF(AND(Inputs!$B$38&lt;&gt;"pvp",Inputs!$B$43&gt;0),IF(MAX(0,Inputs!$B$43-B1375)&lt;=0,0,(INT(MAX(0,Inputs!$B$43-B1375)/(IF(Inputs!$B$38="pvp",15,MAX(0.1,Skills!D9-IF(TRUE=TRUE,Inputs!$B$32,0)))*(1-IF(AND(ArtifactsInput!$M$27,Inputs!$B$4="Chapter Hunt"),CHOOSE(ArtifactsInput!$N$27+1,20,24,28,32,36,40),0)/100)))+1)),0)</f>
        <v/>
      </c>
      <c r="S1350">
        <f>IF(C1350,(H1350*N1350*IF(AND(Inputs!$B$38&lt;&gt;"pvp",Inputs!$B$43&gt;0),((Skills!F9*((R1350-1)*IF(Skills!G9&gt;0,Skills!H9/Skills!G9,1)+IF(Skills!G9&gt;0,MIN(Skills!H9,MAX(0,MAX(0,Inputs!$B$43-B1375)-((R1350-1)*(IF(Inputs!$B$38="pvp",15,MAX(0.1,Skills!D9-IF(TRUE=TRUE,Inputs!$B$32,0)))*(1-IF(AND(ArtifactsInput!$M$27,Inputs!$B$4="Chapter Hunt"),CHOOSE(ArtifactsInput!$N$27+1,20,24,28,32,36,40),0)/100)))))/Skills!G9,1)))/Inputs!$B$43),G1350*Q1350))*IF(Inputs!$B$38="pvp",1,1+(Inputs!$B$20+Skills!O9+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1350*(1-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1350*(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1350*(1-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1350*(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0">
        <f>IF(C1350,(H1350*N1350*IF(AND(Inputs!$B$38&lt;&gt;"pvp",Inputs!$B$43&gt;0),((Skills!F9*((R1350-1)*IF(Skills!G9&gt;0,Skills!H9/Skills!G9,1)+IF(Skills!G9&gt;0,MIN(Skills!H9,MAX(0,MAX(0,Inputs!$B$43-B1375)-((R1350-1)*(IF(Inputs!$B$38="pvp",15,MAX(0.1,Skills!D9-IF(TRUE=TRUE,Inputs!$B$32,0)))*(1-IF(AND(ArtifactsInput!$M$27,Inputs!$B$4="Chapter Hunt"),CHOOSE(ArtifactsInput!$N$27+1,20,24,28,32,36,40),0)/100)))))/Skills!G9,1)))/Inputs!$B$43),G1350*Q1350))*IF(Inputs!$B$38="pvp",1,(1+(Inputs!$B$21+Skills!P9+B1369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1">
      <c r="A1351">
        <f>Skills!A10</f>
        <v/>
      </c>
      <c r="B1351">
        <f>Skills!B10</f>
        <v/>
      </c>
      <c r="C1351">
        <f>Inputs!$B$3&gt;=113</f>
        <v/>
      </c>
      <c r="D1351">
        <f>IF(Skills!C10=1,60+Inputs!$B$25+Inputs!$B$29,IF(Skills!C10=2,90+Inputs!$B$26+Inputs!$B$29,IF(Skills!C10=3,120+Inputs!$B$27+Inputs!$B$29,MAX(0,(Inputs!$B$3-100)*3)+Inputs!$B$28+Inputs!$B$29)))</f>
        <v/>
      </c>
      <c r="E1351">
        <f>INDEX(FactorTable!$B$2:$Y$301, MATCH(ROUND(MIN(300,MAX(1,D1351)),0), FactorTable!$A$2:$A$301,0), Skills!L10+1)</f>
        <v/>
      </c>
      <c r="F1351">
        <f>IF(Skills!M10=TRUE,(Skills!K10/10)*(E1351/1000),Skills!K10/10)+Skills!N10</f>
        <v/>
      </c>
      <c r="G1351">
        <f>Calc!G10</f>
        <v/>
      </c>
      <c r="H1351">
        <f>Calc!H10</f>
        <v/>
      </c>
      <c r="I1351">
        <f>IF(Skills!T10&lt;&gt;"",1+(Skills!T10/10)*(Z1344/1000)/100,1)</f>
        <v/>
      </c>
      <c r="J1351">
        <f>((Inputs!$B$6*(1+Inputs!$B$7/100))+(((Inputs!$B$12*(1+Inputs!$B$13/100))-(Inputs!$B$12*(1+Inputs!$B$13/100)))+0.25*(Inputs!$B$14-Inputs!$B$14))*(1+Inputs!$B$7/100))*(F1351/100)</f>
        <v/>
      </c>
      <c r="K1351">
        <f>J1351*(1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10="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1351)</f>
        <v/>
      </c>
      <c r="L1351">
        <f>K1351*(MIN(Inputs!$B$22+(F1359-Calc!F18),(Inputs!$B$23+(IF(ArtifactsInput!$M$15,CHOOSE(ArtifactsInput!$N$15+1,25,30,35,40,45,50)/100*(Inputs!$B$11-Inputs!$B$11),0))))/100+(Inputs!$B$23+(IF(ArtifactsInput!$M$15,CHOOSE(ArtifactsInput!$N$15+1,25,30,35,40,45,50)/100*(Inputs!$B$11-Inputs!$B$11),0)))/100)/2</f>
        <v/>
      </c>
      <c r="M1351">
        <f>L1351*(1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1">
        <f>L1351*(1-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1">
        <f>(1-Summary!$B$11)*S1351+Summary!$B$11*U1351</f>
        <v/>
      </c>
      <c r="P1351">
        <f>IF(B1378=0,0,O1351/B1378)</f>
        <v/>
      </c>
      <c r="Q1351">
        <f>IFERROR(1/(IF(Inputs!$B$38="pvp",15,MAX(0.1,Skills!D10-IF(TRUE=TRUE,Inputs!$B$32,0)))*(1-IF(AND(ArtifactsInput!$M$27,Inputs!$B$4="Chapter Hunt"),CHOOSE(ArtifactsInput!$N$27+1,20,24,28,32,36,40),0)/100)),0)</f>
        <v/>
      </c>
      <c r="R1351" t="n">
        <v>0</v>
      </c>
      <c r="S1351">
        <f>IF(C1351,((H1351*B1379)/(1+Skills!G10*H1351*B1379)*N1351)*IF(Inputs!$B$38="pvp",1,1+(Inputs!$B$20+Skills!O10+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1351*(1-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1351*(1-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1">
        <f>IF(C1351,((H1351*B1379)/(1+Skills!G10*H1351*B1379)*N1351)*IF(Inputs!$B$38="pvp",1,(1+(Inputs!$B$21+Skills!P10+B1369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2">
      <c r="A1352">
        <f>Skills!A11</f>
        <v/>
      </c>
      <c r="B1352">
        <f>Skills!B11</f>
        <v/>
      </c>
      <c r="C1352">
        <f>Inputs!$B$3&gt;=107</f>
        <v/>
      </c>
      <c r="D1352">
        <f>IF(Skills!C11=1,60+Inputs!$B$25+Inputs!$B$29,IF(Skills!C11=2,90+Inputs!$B$26+Inputs!$B$29,IF(Skills!C11=3,120+Inputs!$B$27+Inputs!$B$29,MAX(0,(Inputs!$B$3-100)*3)+Inputs!$B$28+Inputs!$B$29)))</f>
        <v/>
      </c>
      <c r="E1352">
        <f>INDEX(FactorTable!$B$2:$Y$301, MATCH(ROUND(MIN(300,MAX(1,D1352)),0), FactorTable!$A$2:$A$301,0), Skills!L11+1)</f>
        <v/>
      </c>
      <c r="F1352">
        <f>IF(Skills!M11=TRUE,(Skills!K11/10)*(E1352/1000),Skills!K11/10)+Skills!N11</f>
        <v/>
      </c>
      <c r="G1352">
        <f>Calc!G11</f>
        <v/>
      </c>
      <c r="H1352">
        <f>Calc!H11</f>
        <v/>
      </c>
      <c r="I1352">
        <f>IF(Skills!T11&lt;&gt;"",1+(Skills!T11/10)*(Z1344/1000)/100,1)</f>
        <v/>
      </c>
      <c r="J1352">
        <f>((Inputs!$B$6*(1+Inputs!$B$7/100))+(((Inputs!$B$12*(1+Inputs!$B$13/100))-(Inputs!$B$12*(1+Inputs!$B$13/100)))+0.25*(Inputs!$B$14-Inputs!$B$14))*(1+Inputs!$B$7/100))*(F1352/100)</f>
        <v/>
      </c>
      <c r="K1352">
        <f>J1352*(1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11="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1352)</f>
        <v/>
      </c>
      <c r="L1352">
        <f>K1352*(MIN(Inputs!$B$22+(F1359-Calc!F18),(Inputs!$B$23+(IF(ArtifactsInput!$M$15,CHOOSE(ArtifactsInput!$N$15+1,25,30,35,40,45,50)/100*(Inputs!$B$11-Inputs!$B$11),0))))/100+(Inputs!$B$23+(IF(ArtifactsInput!$M$15,CHOOSE(ArtifactsInput!$N$15+1,25,30,35,40,45,50)/100*(Inputs!$B$11-Inputs!$B$11),0)))/100)/2</f>
        <v/>
      </c>
      <c r="M1352">
        <f>L1352*(1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2">
        <f>L1352*(1-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1352*(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2">
        <f>(1-Summary!$B$11)*S1352+Summary!$B$11*U1352</f>
        <v/>
      </c>
      <c r="P1352">
        <f>IF(B1378=0,0,O1352/B1378)</f>
        <v/>
      </c>
      <c r="Q1352">
        <f>IFERROR(1/(IF(Inputs!$B$38="pvp",15,MAX(0.1,Skills!D11-IF(TRUE=TRUE,Inputs!$B$32,0)))*(1-IF(AND(ArtifactsInput!$M$27,Inputs!$B$4="Chapter Hunt"),CHOOSE(ArtifactsInput!$N$27+1,20,24,28,32,36,40),0)/100)),0)</f>
        <v/>
      </c>
      <c r="R1352">
        <f>IF(AND(Inputs!$B$38&lt;&gt;"pvp",Inputs!$B$43&gt;0),IF(MAX(0,Inputs!$B$43-B1375)&lt;=0,0,(INT(MAX(0,Inputs!$B$43-B1375)/(IF(Inputs!$B$38="pvp",15,MAX(0.1,Skills!D11-IF(TRUE=TRUE,Inputs!$B$32,0)))*(1-IF(AND(ArtifactsInput!$M$27,Inputs!$B$4="Chapter Hunt"),CHOOSE(ArtifactsInput!$N$27+1,20,24,28,32,36,40),0)/100)))+1)),0)</f>
        <v/>
      </c>
      <c r="S1352">
        <f>IF(C1352,H1352*N1352*IF(AND(Inputs!$B$38&lt;&gt;"pvp",Inputs!$B$43&gt;0),((Skills!F11*((R1352-1)*IF(Skills!G11&gt;0,Skills!H11/Skills!G11,1)+IF(Skills!G11&gt;0,MIN(Skills!H11,MAX(0,MAX(0,Inputs!$B$43-B1375)-((R1352-1)*(IF(Inputs!$B$38="pvp",15,MAX(0.1,Skills!D11-IF(TRUE=TRUE,Inputs!$B$32,0)))*(1-IF(AND(ArtifactsInput!$M$27,Inputs!$B$4="Chapter Hunt"),CHOOSE(ArtifactsInput!$N$27+1,20,24,28,32,36,40),0)/100)))))/Skills!G11,1)))/Inputs!$B$43),G1352*Q1352)*0.5*IF(Inputs!$B$38="pvp",1,1+(Inputs!$B$20+Skills!O11+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1352*(1-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1352*(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1352*(1-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1352*(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2">
        <f>IF(C1352,H1352*N1352*IF(AND(Inputs!$B$38&lt;&gt;"pvp",Inputs!$B$43&gt;0),((Skills!F11*((R1352-1)*IF(Skills!G11&gt;0,Skills!H11/Skills!G11,1)+IF(Skills!G11&gt;0,MIN(Skills!H11,MAX(0,MAX(0,Inputs!$B$43-B1375)-((R1352-1)*(IF(Inputs!$B$38="pvp",15,MAX(0.1,Skills!D11-IF(TRUE=TRUE,Inputs!$B$32,0)))*(1-IF(AND(ArtifactsInput!$M$27,Inputs!$B$4="Chapter Hunt"),CHOOSE(ArtifactsInput!$N$27+1,20,24,28,32,36,40),0)/100)))))/Skills!G11,1)))/Inputs!$B$43),G1352*Q1352)*1*IF(Inputs!$B$38="pvp",1,(1+(Inputs!$B$21+Skills!P11+B1369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3">
      <c r="A1353">
        <f>Skills!A12</f>
        <v/>
      </c>
      <c r="B1353">
        <f>Skills!B12</f>
        <v/>
      </c>
      <c r="C1353">
        <f>Inputs!$B$3&gt;=115</f>
        <v/>
      </c>
      <c r="D1353">
        <f>IF(Skills!C12=1,60+Inputs!$B$25+Inputs!$B$29,IF(Skills!C12=2,90+Inputs!$B$26+Inputs!$B$29,IF(Skills!C12=3,120+Inputs!$B$27+Inputs!$B$29,MAX(0,(Inputs!$B$3-100)*3)+Inputs!$B$28+Inputs!$B$29)))</f>
        <v/>
      </c>
      <c r="E1353">
        <f>INDEX(FactorTable!$B$2:$Y$301, MATCH(ROUND(MIN(300,MAX(1,D1353)),0), FactorTable!$A$2:$A$301,0), Skills!L12+1)</f>
        <v/>
      </c>
      <c r="F1353">
        <f>IF(Skills!M12=TRUE,(Skills!K12/10)*(E1353/1000),Skills!K12/10)+Skills!N12</f>
        <v/>
      </c>
      <c r="G1353">
        <f>Calc!G12</f>
        <v/>
      </c>
      <c r="H1353">
        <f>Calc!H12</f>
        <v/>
      </c>
      <c r="I1353">
        <f>IF(Skills!T12&lt;&gt;"",1+(Skills!T12/10)*(Z1344/1000)/100,1)</f>
        <v/>
      </c>
      <c r="J1353">
        <f>((Inputs!$B$6*(1+Inputs!$B$7/100))+(((Inputs!$B$12*(1+Inputs!$B$13/100))-(Inputs!$B$12*(1+Inputs!$B$13/100)))+0.25*(Inputs!$B$14-Inputs!$B$14))*(1+Inputs!$B$7/100))*(F1353/100)</f>
        <v/>
      </c>
      <c r="K1353">
        <f>J1353*(1+((Inputs!$B$12*(1+Inputs!$B$13/100))*0.01+Inputs!$B$14*0.0025)/100)*(1+(Inputs!$B$15+B1370)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1356=TRUE,F1356,0)/100)*(1+IF(C1364=TRUE,F1364,0)/100)^5*(1+(IF(Skills!A12="CHAIN_LIGHTNING",Inputs!$B$17+((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1368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1353)</f>
        <v/>
      </c>
      <c r="L1353">
        <f>K1353*(MIN(Inputs!$B$22+(F1359-Calc!F18),(Inputs!$B$23+(IF(ArtifactsInput!$M$15,CHOOSE(ArtifactsInput!$N$15+1,25,30,35,40,45,50)/100*(Inputs!$B$11-Inputs!$B$11),0))))/100+(Inputs!$B$23+(IF(ArtifactsInput!$M$15,CHOOSE(ArtifactsInput!$N$15+1,25,30,35,40,45,50)/100*(Inputs!$B$11-Inputs!$B$11),0)))/100)/2</f>
        <v/>
      </c>
      <c r="M1353">
        <f>L1353*(1+(Inputs!$B$10+(F1362-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53">
        <f>L1353*(1-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1353*(MIN((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53">
        <f>(1-Summary!$B$11)*S1353+Summary!$B$11*U1353</f>
        <v/>
      </c>
      <c r="P1353">
        <f>IF(B1378=0,0,O1353/B1378)</f>
        <v/>
      </c>
      <c r="Q1353">
        <f>IFERROR(1/(IF(Inputs!$B$38="pvp",15,MAX(0.1,Skills!D12-IF(TRUE=TRUE,Inputs!$B$32,0)))*(1-IF(AND(ArtifactsInput!$M$27,Inputs!$B$4="Chapter Hunt"),CHOOSE(ArtifactsInput!$N$27+1,20,24,28,32,36,40),0)/100)),0)</f>
        <v/>
      </c>
      <c r="R1353">
        <f>IF(AND(Inputs!$B$38&lt;&gt;"pvp",Inputs!$B$43&gt;0),IF(MAX(0,Inputs!$B$43-B1375)&lt;=0,0,(INT(MAX(0,Inputs!$B$43-B1375)/(IF(Inputs!$B$38="pvp",15,MAX(0.1,Skills!D12-IF(TRUE=TRUE,Inputs!$B$32,0)))*(1-IF(AND(ArtifactsInput!$M$27,Inputs!$B$4="Chapter Hunt"),CHOOSE(ArtifactsInput!$N$27+1,20,24,28,32,36,40),0)/100)))+1)),0)</f>
        <v/>
      </c>
      <c r="S1353">
        <f>IF(C1353,(H1353*N1353*IF(AND(Inputs!$B$38&lt;&gt;"pvp",Inputs!$B$43&gt;0),((Skills!F12*((R1353-1)*IF(Skills!G12&gt;0,Skills!H12/Skills!G12,1)+IF(Skills!G12&gt;0,MIN(Skills!H12,MAX(0,MAX(0,Inputs!$B$43-B1375)-((R1353-1)*(IF(Inputs!$B$38="pvp",15,MAX(0.1,Skills!D12-IF(TRUE=TRUE,Inputs!$B$32,0)))*(1-IF(AND(ArtifactsInput!$M$27,Inputs!$B$4="Chapter Hunt"),CHOOSE(ArtifactsInput!$N$27+1,20,24,28,32,36,40),0)/100)))))/Skills!G12,1)))/Inputs!$B$43),G1353*Q1353))*IF(Inputs!$B$38="pvp",1,1+(Inputs!$B$20+Skills!O12+B1369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1353*(1-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1353*(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1353*(1-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1353*(MIN(100,(Inputs!$B$9+((F1361-Calc!F20)+(F1360-Calc!F19))+(ArtifactsInput!$M$24-ArtifactsInput!$M$24)*CHOOSE(ArtifactsInput!$N$24+1,10,12,14,16,18,20)+(IF(AND(Inputs!$B$38&lt;&gt;"pvp",Inputs!$B$43=0),1,IF(IF(Inputs!$B$38="pvp",15,Inputs!$B$43)-(B1375)&lt;=0,1,MAX(0,IF(Inputs!$B$38="pvp",15,Inputs!$B$43)-MAX(5,B1375))/(IF(Inputs!$B$38="pvp",15,Inputs!$B$43)-(B1375)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53">
        <f>IF(C1353,(H1353*N1353*IF(AND(Inputs!$B$38&lt;&gt;"pvp",Inputs!$B$43&gt;0),((Skills!F12*((R1353-1)*IF(Skills!G12&gt;0,Skills!H12/Skills!G12,1)+IF(Skills!G12&gt;0,MIN(Skills!H12,MAX(0,MAX(0,Inputs!$B$43-B1375)-((R1353-1)*(IF(Inputs!$B$38="pvp",15,MAX(0.1,Skills!D12-IF(TRUE=TRUE,Inputs!$B$32,0)))*(1-IF(AND(ArtifactsInput!$M$27,Inputs!$B$4="Chapter Hunt"),CHOOSE(ArtifactsInput!$N$27+1,20,24,28,32,36,40),0)/100)))))/Skills!G12,1)))/Inputs!$B$43),G1353*Q1353))*IF(Inputs!$B$38="pvp",1,(1+(Inputs!$B$21+Skills!P12+B1369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54">
      <c r="A1354">
        <f>Skills!A13</f>
        <v/>
      </c>
      <c r="B1354">
        <f>Skills!B13</f>
        <v/>
      </c>
      <c r="C1354">
        <f>Inputs!$B$3&gt;=49</f>
        <v/>
      </c>
      <c r="D1354">
        <f>IF(Skills!C13=1,60+Inputs!$B$25+Inputs!$B$29,IF(Skills!C13=2,90+Inputs!$B$26+Inputs!$B$29,IF(Skills!C13=3,120+Inputs!$B$27+Inputs!$B$29,MAX(0,(Inputs!$B$3-100)*3)+Inputs!$B$28+Inputs!$B$29)))</f>
        <v/>
      </c>
      <c r="E1354">
        <f>INDEX(FactorTable!$B$2:$Y$301, MATCH(ROUND(MIN(300,MAX(1,D1354)),0), FactorTable!$A$2:$A$301,0), Skills!L13+1)</f>
        <v/>
      </c>
      <c r="F1354">
        <f>IF(Skills!M13=TRUE,(Skills!K13/10)*(E1354/1000),Skills!K13/10)+Skills!N13</f>
        <v/>
      </c>
      <c r="G1354">
        <f>Calc!G13</f>
        <v/>
      </c>
      <c r="H1354">
        <f>Calc!H13</f>
        <v/>
      </c>
      <c r="I1354">
        <f>IF(Skills!T13&lt;&gt;"",1+(Skills!T13/10)*(Z1344/1000)/100,1)</f>
        <v/>
      </c>
      <c r="J1354" t="inlineStr"/>
      <c r="K1354" t="inlineStr"/>
      <c r="L1354" t="inlineStr"/>
      <c r="M1354" t="inlineStr"/>
      <c r="N1354" t="inlineStr"/>
      <c r="O1354">
        <f>(1-Summary!$B$11)*S1354+Summary!$B$11*U1354</f>
        <v/>
      </c>
      <c r="P1354">
        <f>IF(B1378=0,0,O1354/B1378)</f>
        <v/>
      </c>
      <c r="Q1354">
        <f>IFERROR(1/(IF(Inputs!$B$38="pvp",15,MAX(0.1,Skills!D13-IF(TRUE=TRUE,Inputs!$B$32,0)))*(1-IF(AND(ArtifactsInput!$M$27,Inputs!$B$4="Chapter Hunt"),CHOOSE(ArtifactsInput!$N$27+1,20,24,28,32,36,40),0)/100)),0)</f>
        <v/>
      </c>
      <c r="R1354" t="n">
        <v>0</v>
      </c>
      <c r="S1354" t="n">
        <v>0</v>
      </c>
      <c r="U1354" t="n">
        <v>0</v>
      </c>
    </row>
    <row r="1355">
      <c r="A1355">
        <f>Skills!A14</f>
        <v/>
      </c>
      <c r="B1355">
        <f>Skills!B14</f>
        <v/>
      </c>
      <c r="C1355">
        <f>Inputs!$B$3&gt;=72</f>
        <v/>
      </c>
      <c r="D1355">
        <f>IF(Skills!C14=1,60+Inputs!$B$25+Inputs!$B$29,IF(Skills!C14=2,90+Inputs!$B$26+Inputs!$B$29,IF(Skills!C14=3,120+Inputs!$B$27+Inputs!$B$29,MAX(0,(Inputs!$B$3-100)*3)+Inputs!$B$28+Inputs!$B$29)))</f>
        <v/>
      </c>
      <c r="E1355">
        <f>INDEX(FactorTable!$B$2:$Y$301, MATCH(ROUND(MIN(300,MAX(1,D1355)),0), FactorTable!$A$2:$A$301,0), Skills!L14+1)</f>
        <v/>
      </c>
      <c r="F1355">
        <f>IF(Skills!M14=TRUE,(Skills!K14/10)*(E1355/1000),Skills!K14/10)+Skills!N14</f>
        <v/>
      </c>
      <c r="G1355">
        <f>Calc!G14</f>
        <v/>
      </c>
      <c r="H1355">
        <f>Calc!H14</f>
        <v/>
      </c>
      <c r="I1355">
        <f>IF(Skills!T14&lt;&gt;"",1+(Skills!T14/10)*(Z1344/1000)/100,1)</f>
        <v/>
      </c>
      <c r="J1355" t="inlineStr"/>
      <c r="K1355" t="inlineStr"/>
      <c r="L1355" t="inlineStr"/>
      <c r="M1355" t="inlineStr"/>
      <c r="N1355" t="inlineStr"/>
      <c r="O1355">
        <f>(1-Summary!$B$11)*S1355+Summary!$B$11*U1355</f>
        <v/>
      </c>
      <c r="P1355">
        <f>IF(B1378=0,0,O1355/B1378)</f>
        <v/>
      </c>
      <c r="Q1355">
        <f>IFERROR(1/(IF(Inputs!$B$38="pvp",15,MAX(0.1,Skills!D14-IF(TRUE=TRUE,Inputs!$B$32,0)))*(1-IF(AND(ArtifactsInput!$M$27,Inputs!$B$4="Chapter Hunt"),CHOOSE(ArtifactsInput!$N$27+1,20,24,28,32,36,40),0)/100)),0)</f>
        <v/>
      </c>
      <c r="R1355" t="n">
        <v>0</v>
      </c>
      <c r="S1355" t="n">
        <v>0</v>
      </c>
      <c r="U1355" t="n">
        <v>0</v>
      </c>
    </row>
    <row r="1356">
      <c r="A1356">
        <f>Skills!A15</f>
        <v/>
      </c>
      <c r="B1356">
        <f>Skills!B15</f>
        <v/>
      </c>
      <c r="C1356">
        <f>Inputs!$B$3&gt;=75</f>
        <v/>
      </c>
      <c r="D1356">
        <f>IF(Skills!C15=1,60+Inputs!$B$25+Inputs!$B$29,IF(Skills!C15=2,90+Inputs!$B$26+Inputs!$B$29,IF(Skills!C15=3,120+Inputs!$B$27+Inputs!$B$29,MAX(0,(Inputs!$B$3-100)*3)+Inputs!$B$28+Inputs!$B$29)))</f>
        <v/>
      </c>
      <c r="E1356">
        <f>INDEX(FactorTable!$B$2:$Y$301, MATCH(ROUND(MIN(300,MAX(1,D1356)),0), FactorTable!$A$2:$A$301,0), Skills!L15+1)</f>
        <v/>
      </c>
      <c r="F1356">
        <f>IF(Skills!M15=TRUE,(Skills!K15/10)*(E1356/1000),Skills!K15/10)+Skills!N15</f>
        <v/>
      </c>
      <c r="G1356">
        <f>Calc!G15</f>
        <v/>
      </c>
      <c r="H1356">
        <f>Calc!H15</f>
        <v/>
      </c>
      <c r="I1356">
        <f>IF(Skills!T15&lt;&gt;"",1+(Skills!T15/10)*(Z1344/1000)/100,1)</f>
        <v/>
      </c>
      <c r="J1356" t="inlineStr"/>
      <c r="K1356" t="inlineStr"/>
      <c r="L1356" t="inlineStr"/>
      <c r="M1356" t="inlineStr"/>
      <c r="N1356" t="inlineStr"/>
      <c r="O1356">
        <f>(1-Summary!$B$11)*S1356+Summary!$B$11*U1356</f>
        <v/>
      </c>
      <c r="P1356">
        <f>IF(B1378=0,0,O1356/B1378)</f>
        <v/>
      </c>
      <c r="Q1356">
        <f>IFERROR(1/(IF(Inputs!$B$38="pvp",15,MAX(0.1,Skills!D15-IF(TRUE=TRUE,Inputs!$B$32,0)))*(1-IF(AND(ArtifactsInput!$M$27,Inputs!$B$4="Chapter Hunt"),CHOOSE(ArtifactsInput!$N$27+1,20,24,28,32,36,40),0)/100)),0)</f>
        <v/>
      </c>
      <c r="R1356" t="n">
        <v>0</v>
      </c>
      <c r="S1356" t="n">
        <v>0</v>
      </c>
      <c r="U1356" t="n">
        <v>0</v>
      </c>
    </row>
    <row r="1357">
      <c r="A1357">
        <f>Skills!A16</f>
        <v/>
      </c>
      <c r="B1357">
        <f>Skills!B16</f>
        <v/>
      </c>
      <c r="C1357">
        <f>Inputs!$B$3&gt;=110</f>
        <v/>
      </c>
      <c r="D1357">
        <f>IF(Skills!C16=1,60+Inputs!$B$25+Inputs!$B$29,IF(Skills!C16=2,90+Inputs!$B$26+Inputs!$B$29,IF(Skills!C16=3,120+Inputs!$B$27+Inputs!$B$29,MAX(0,(Inputs!$B$3-100)*3)+Inputs!$B$28+Inputs!$B$29)))</f>
        <v/>
      </c>
      <c r="E1357">
        <f>INDEX(FactorTable!$B$2:$Y$301, MATCH(ROUND(MIN(300,MAX(1,D1357)),0), FactorTable!$A$2:$A$301,0), Skills!L16+1)</f>
        <v/>
      </c>
      <c r="F1357">
        <f>(Skills!K16/10)*(E1357/1000)*64/45+Skills!N16</f>
        <v/>
      </c>
      <c r="G1357">
        <f>Calc!G16</f>
        <v/>
      </c>
      <c r="H1357">
        <f>Calc!H16</f>
        <v/>
      </c>
      <c r="I1357">
        <f>IF(Skills!T16&lt;&gt;"",1+(Skills!T16/10)*(Z1344/1000)/100,1)</f>
        <v/>
      </c>
      <c r="J1357" t="inlineStr"/>
      <c r="K1357" t="inlineStr"/>
      <c r="L1357" t="inlineStr"/>
      <c r="M1357" t="inlineStr"/>
      <c r="N1357" t="inlineStr"/>
      <c r="O1357">
        <f>(1-Summary!$B$11)*S1357+Summary!$B$11*U1357</f>
        <v/>
      </c>
      <c r="P1357">
        <f>IF(B1378=0,0,O1357/B1378)</f>
        <v/>
      </c>
      <c r="Q1357">
        <f>IFERROR(1/(IF(Inputs!$B$38="pvp",15,MAX(0.1,Skills!D16-IF(TRUE=TRUE,Inputs!$B$32,0)))*(1-IF(AND(ArtifactsInput!$M$27,Inputs!$B$4="Chapter Hunt"),CHOOSE(ArtifactsInput!$N$27+1,20,24,28,32,36,40),0)/100)),0)</f>
        <v/>
      </c>
      <c r="R1357">
        <f>IF(AND(Inputs!$B$38&lt;&gt;"pvp",Inputs!$B$43&gt;0),IF(Inputs!$B$43&lt;=0,0,(INT(Inputs!$B$43/(IF(Inputs!$B$38="pvp",15,MAX(0.1,Skills!D16-IF(TRUE=TRUE,Inputs!$B$32,0)))*(1-IF(AND(ArtifactsInput!$M$27,Inputs!$B$4="Chapter Hunt"),CHOOSE(ArtifactsInput!$N$27+1,20,24,28,32,36,40),0)/100)))+1)),0)</f>
        <v/>
      </c>
      <c r="S1357" t="n">
        <v>0</v>
      </c>
      <c r="U1357" t="n">
        <v>0</v>
      </c>
    </row>
    <row r="1358">
      <c r="A1358">
        <f>Skills!A17</f>
        <v/>
      </c>
      <c r="B1358">
        <f>Skills!B17</f>
        <v/>
      </c>
      <c r="C1358">
        <f>Inputs!$B$3&gt;=33</f>
        <v/>
      </c>
      <c r="D1358">
        <f>IF(Skills!C17=1,60+Inputs!$B$25+Inputs!$B$29,IF(Skills!C17=2,90+Inputs!$B$26+Inputs!$B$29,IF(Skills!C17=3,120+Inputs!$B$27+Inputs!$B$29,MAX(0,(Inputs!$B$3-100)*3)+Inputs!$B$28+Inputs!$B$29)))</f>
        <v/>
      </c>
      <c r="E1358">
        <f>INDEX(FactorTable!$B$2:$Y$301, MATCH(ROUND(MIN(300,MAX(1,D1358)),0), FactorTable!$A$2:$A$301,0), Skills!L17+1)</f>
        <v/>
      </c>
      <c r="F1358">
        <f>IF(Skills!M17=TRUE,(Skills!K17/10)*(E1358/1000),Skills!K17/10)+Skills!N17</f>
        <v/>
      </c>
      <c r="G1358">
        <f>Calc!G17</f>
        <v/>
      </c>
      <c r="H1358">
        <f>Calc!H17</f>
        <v/>
      </c>
      <c r="I1358">
        <f>IF(Skills!T17&lt;&gt;"",1+(Skills!T17/10)*(Z1344/1000)/100,1)</f>
        <v/>
      </c>
      <c r="J1358" t="inlineStr"/>
      <c r="K1358" t="inlineStr"/>
      <c r="L1358" t="inlineStr"/>
      <c r="M1358" t="inlineStr"/>
      <c r="N1358" t="inlineStr"/>
      <c r="O1358">
        <f>(1-Summary!$B$11)*S1358+Summary!$B$11*U1358</f>
        <v/>
      </c>
      <c r="P1358">
        <f>IF(B1378=0,0,O1358/B1378)</f>
        <v/>
      </c>
      <c r="Q1358">
        <f>IFERROR(1/(IF(Inputs!$B$38="pvp",15,MAX(0.1,Skills!D17-IF(TRUE=TRUE,Inputs!$B$32,0)))*(1-IF(AND(ArtifactsInput!$M$27,Inputs!$B$4="Chapter Hunt"),CHOOSE(ArtifactsInput!$N$27+1,20,24,28,32,36,40),0)/100)),0)</f>
        <v/>
      </c>
      <c r="R1358" t="n">
        <v>0</v>
      </c>
      <c r="S1358" t="n">
        <v>0</v>
      </c>
      <c r="U1358" t="n">
        <v>0</v>
      </c>
    </row>
    <row r="1359">
      <c r="A1359">
        <f>Skills!A18</f>
        <v/>
      </c>
      <c r="B1359">
        <f>Skills!B18</f>
        <v/>
      </c>
      <c r="C1359">
        <f>Inputs!$B$3&gt;=43</f>
        <v/>
      </c>
      <c r="D1359">
        <f>IF(Skills!C18=1,60+Inputs!$B$25+Inputs!$B$29,IF(Skills!C18=2,90+Inputs!$B$26+Inputs!$B$29,IF(Skills!C18=3,120+Inputs!$B$27+Inputs!$B$29,MAX(0,(Inputs!$B$3-100)*3)+Inputs!$B$28+Inputs!$B$29)))</f>
        <v/>
      </c>
      <c r="E1359">
        <f>INDEX(FactorTable!$B$2:$Y$301, MATCH(ROUND(MIN(300,MAX(1,D1359)),0), FactorTable!$A$2:$A$301,0), Skills!L18+1)</f>
        <v/>
      </c>
      <c r="F1359">
        <f>IF(Skills!M18=TRUE,(Skills!K18/10)*(E1359/1000),Skills!K18/10)+Skills!N18</f>
        <v/>
      </c>
      <c r="G1359">
        <f>Calc!G18</f>
        <v/>
      </c>
      <c r="H1359">
        <f>Calc!H18</f>
        <v/>
      </c>
      <c r="I1359">
        <f>IF(Skills!T18&lt;&gt;"",1+(Skills!T18/10)*(Z1344/1000)/100,1)</f>
        <v/>
      </c>
      <c r="J1359" t="inlineStr"/>
      <c r="K1359" t="inlineStr"/>
      <c r="L1359" t="inlineStr"/>
      <c r="M1359" t="inlineStr"/>
      <c r="N1359" t="inlineStr"/>
      <c r="O1359">
        <f>(1-Summary!$B$11)*S1359+Summary!$B$11*U1359</f>
        <v/>
      </c>
      <c r="P1359">
        <f>IF(B1378=0,0,O1359/B1378)</f>
        <v/>
      </c>
      <c r="Q1359">
        <f>IFERROR(1/(IF(Inputs!$B$38="pvp",15,MAX(0.1,Skills!D18-IF(TRUE=TRUE,Inputs!$B$32,0)))*(1-IF(AND(ArtifactsInput!$M$27,Inputs!$B$4="Chapter Hunt"),CHOOSE(ArtifactsInput!$N$27+1,20,24,28,32,36,40),0)/100)),0)</f>
        <v/>
      </c>
      <c r="R1359" t="n">
        <v>0</v>
      </c>
      <c r="S1359" t="n">
        <v>0</v>
      </c>
      <c r="U1359" t="n">
        <v>0</v>
      </c>
    </row>
    <row r="1360">
      <c r="A1360">
        <f>Skills!A19</f>
        <v/>
      </c>
      <c r="B1360">
        <f>Skills!B19</f>
        <v/>
      </c>
      <c r="C1360">
        <f>Inputs!$B$3&gt;=50</f>
        <v/>
      </c>
      <c r="D1360">
        <f>IF(Skills!C19=1,60+Inputs!$B$25+Inputs!$B$29,IF(Skills!C19=2,90+Inputs!$B$26+Inputs!$B$29,IF(Skills!C19=3,120+Inputs!$B$27+Inputs!$B$29,MAX(0,(Inputs!$B$3-100)*3)+Inputs!$B$28+Inputs!$B$29)))</f>
        <v/>
      </c>
      <c r="E1360">
        <f>INDEX(FactorTable!$B$2:$Y$301, MATCH(ROUND(MIN(300,MAX(1,D1360)),0), FactorTable!$A$2:$A$301,0), Skills!L19+1)</f>
        <v/>
      </c>
      <c r="F1360">
        <f>IF(Skills!M19=TRUE,(Skills!K19/10)*(E1360/1000),Skills!K19/10)+Skills!N19</f>
        <v/>
      </c>
      <c r="G1360">
        <f>Calc!G19</f>
        <v/>
      </c>
      <c r="H1360">
        <f>Calc!H19</f>
        <v/>
      </c>
      <c r="I1360">
        <f>IF(Skills!T19&lt;&gt;"",1+(Skills!T19/10)*(Z1344/1000)/100,1)</f>
        <v/>
      </c>
      <c r="J1360" t="inlineStr"/>
      <c r="K1360" t="inlineStr"/>
      <c r="L1360" t="inlineStr"/>
      <c r="M1360" t="inlineStr"/>
      <c r="N1360" t="inlineStr"/>
      <c r="O1360">
        <f>(1-Summary!$B$11)*S1360+Summary!$B$11*U1360</f>
        <v/>
      </c>
      <c r="P1360">
        <f>IF(B1378=0,0,O1360/B1378)</f>
        <v/>
      </c>
      <c r="Q1360">
        <f>IFERROR(1/(IF(Inputs!$B$38="pvp",15,MAX(0.1,Skills!D19-IF(TRUE=TRUE,Inputs!$B$32,0)))*(1-IF(AND(ArtifactsInput!$M$27,Inputs!$B$4="Chapter Hunt"),CHOOSE(ArtifactsInput!$N$27+1,20,24,28,32,36,40),0)/100)),0)</f>
        <v/>
      </c>
      <c r="R1360" t="n">
        <v>0</v>
      </c>
      <c r="S1360" t="n">
        <v>0</v>
      </c>
      <c r="U1360" t="n">
        <v>0</v>
      </c>
    </row>
    <row r="1361">
      <c r="A1361">
        <f>Skills!A20</f>
        <v/>
      </c>
      <c r="B1361">
        <f>Skills!B20</f>
        <v/>
      </c>
      <c r="C1361">
        <f>Inputs!$B$3&gt;=74</f>
        <v/>
      </c>
      <c r="D1361">
        <f>IF(Skills!C20=1,60+Inputs!$B$25+Inputs!$B$29,IF(Skills!C20=2,90+Inputs!$B$26+Inputs!$B$29,IF(Skills!C20=3,120+Inputs!$B$27+Inputs!$B$29,MAX(0,(Inputs!$B$3-100)*3)+Inputs!$B$28+Inputs!$B$29)))</f>
        <v/>
      </c>
      <c r="E1361">
        <f>INDEX(FactorTable!$B$2:$Y$301, MATCH(ROUND(MIN(300,MAX(1,D1361)),0), FactorTable!$A$2:$A$301,0), Skills!L20+1)</f>
        <v/>
      </c>
      <c r="F1361">
        <f>IF(Skills!M20=TRUE,(Skills!K20/10)*(E1361/1000),Skills!K20/10)+Skills!N20</f>
        <v/>
      </c>
      <c r="G1361">
        <f>Calc!G20</f>
        <v/>
      </c>
      <c r="H1361">
        <f>Calc!H20</f>
        <v/>
      </c>
      <c r="I1361">
        <f>IF(Skills!T20&lt;&gt;"",1+(Skills!T20/10)*(Z1344/1000)/100,1)</f>
        <v/>
      </c>
      <c r="J1361" t="inlineStr"/>
      <c r="K1361" t="inlineStr"/>
      <c r="L1361" t="inlineStr"/>
      <c r="M1361" t="inlineStr"/>
      <c r="N1361" t="inlineStr"/>
      <c r="O1361">
        <f>(1-Summary!$B$11)*S1361+Summary!$B$11*U1361</f>
        <v/>
      </c>
      <c r="P1361">
        <f>IF(B1378=0,0,O1361/B1378)</f>
        <v/>
      </c>
      <c r="Q1361">
        <f>IFERROR(1/(IF(Inputs!$B$38="pvp",15,MAX(0.1,Skills!D20-IF(TRUE=TRUE,Inputs!$B$32,0)))*(1-IF(AND(ArtifactsInput!$M$27,Inputs!$B$4="Chapter Hunt"),CHOOSE(ArtifactsInput!$N$27+1,20,24,28,32,36,40),0)/100)),0)</f>
        <v/>
      </c>
      <c r="R1361" t="n">
        <v>0</v>
      </c>
      <c r="S1361" t="n">
        <v>0</v>
      </c>
      <c r="U1361" t="n">
        <v>0</v>
      </c>
    </row>
    <row r="1362">
      <c r="A1362">
        <f>Skills!A21</f>
        <v/>
      </c>
      <c r="B1362">
        <f>Skills!B21</f>
        <v/>
      </c>
      <c r="C1362">
        <f>Inputs!$B$3&gt;=74</f>
        <v/>
      </c>
      <c r="D1362">
        <f>IF(Skills!C21=1,60+Inputs!$B$25+Inputs!$B$29,IF(Skills!C21=2,90+Inputs!$B$26+Inputs!$B$29,IF(Skills!C21=3,120+Inputs!$B$27+Inputs!$B$29,MAX(0,(Inputs!$B$3-100)*3)+Inputs!$B$28+Inputs!$B$29)))</f>
        <v/>
      </c>
      <c r="E1362">
        <f>INDEX(FactorTable!$B$2:$Y$301, MATCH(ROUND(MIN(300,MAX(1,D1362)),0), FactorTable!$A$2:$A$301,0), Skills!L21+1)</f>
        <v/>
      </c>
      <c r="F1362">
        <f>IF(Skills!M21=TRUE,(Skills!K21/10)*(E1362/1000),Skills!K21/10)+Skills!N21</f>
        <v/>
      </c>
      <c r="G1362">
        <f>Calc!G21</f>
        <v/>
      </c>
      <c r="H1362">
        <f>Calc!H21</f>
        <v/>
      </c>
      <c r="I1362">
        <f>IF(Skills!T21&lt;&gt;"",1+(Skills!T21/10)*(Z1344/1000)/100,1)</f>
        <v/>
      </c>
      <c r="J1362" t="inlineStr"/>
      <c r="K1362" t="inlineStr"/>
      <c r="L1362" t="inlineStr"/>
      <c r="M1362" t="inlineStr"/>
      <c r="N1362" t="inlineStr"/>
      <c r="O1362">
        <f>(1-Summary!$B$11)*S1362+Summary!$B$11*U1362</f>
        <v/>
      </c>
      <c r="P1362">
        <f>IF(B1378=0,0,O1362/B1378)</f>
        <v/>
      </c>
      <c r="Q1362">
        <f>IFERROR(1/(IF(Inputs!$B$38="pvp",15,MAX(0.1,Skills!D21-IF(TRUE=TRUE,Inputs!$B$32,0)))*(1-IF(AND(ArtifactsInput!$M$27,Inputs!$B$4="Chapter Hunt"),CHOOSE(ArtifactsInput!$N$27+1,20,24,28,32,36,40),0)/100)),0)</f>
        <v/>
      </c>
      <c r="R1362" t="n">
        <v>0</v>
      </c>
      <c r="S1362" t="n">
        <v>0</v>
      </c>
      <c r="U1362" t="n">
        <v>0</v>
      </c>
    </row>
    <row r="1363">
      <c r="A1363">
        <f>Skills!A22</f>
        <v/>
      </c>
      <c r="B1363">
        <f>Skills!B22</f>
        <v/>
      </c>
      <c r="C1363">
        <f>Inputs!$B$3&gt;=117</f>
        <v/>
      </c>
      <c r="D1363">
        <f>IF(Skills!C22=1,60+Inputs!$B$25+Inputs!$B$29,IF(Skills!C22=2,90+Inputs!$B$26+Inputs!$B$29,IF(Skills!C22=3,120+Inputs!$B$27+Inputs!$B$29,MAX(0,(Inputs!$B$3-100)*3)+Inputs!$B$28+Inputs!$B$29)))</f>
        <v/>
      </c>
      <c r="E1363">
        <f>INDEX(FactorTable!$B$2:$Y$301, MATCH(ROUND(MIN(300,MAX(1,D1363)),0), FactorTable!$A$2:$A$301,0), Skills!L22+1)</f>
        <v/>
      </c>
      <c r="F1363">
        <f>IF(Skills!M22=TRUE,(Skills!K22/10)*(E1363/1000),Skills!K22/10)+Skills!N22</f>
        <v/>
      </c>
      <c r="G1363">
        <f>Calc!G22</f>
        <v/>
      </c>
      <c r="H1363">
        <f>Calc!H22</f>
        <v/>
      </c>
      <c r="I1363">
        <f>IF(Skills!T22&lt;&gt;"",1+(Skills!T22/10)*(Z1344/1000)/100,1)</f>
        <v/>
      </c>
      <c r="J1363" t="inlineStr"/>
      <c r="K1363" t="inlineStr"/>
      <c r="L1363" t="inlineStr"/>
      <c r="M1363" t="inlineStr"/>
      <c r="N1363" t="inlineStr"/>
      <c r="O1363">
        <f>(1-Summary!$B$11)*S1363+Summary!$B$11*U1363</f>
        <v/>
      </c>
      <c r="P1363">
        <f>IF(B1378=0,0,O1363/B1378)</f>
        <v/>
      </c>
      <c r="Q1363">
        <f>IFERROR(1/(IF(Inputs!$B$38="pvp",15,MAX(0.1,Skills!D22-IF(TRUE=TRUE,Inputs!$B$32,0)))*(1-IF(AND(ArtifactsInput!$M$27,Inputs!$B$4="Chapter Hunt"),CHOOSE(ArtifactsInput!$N$27+1,20,24,28,32,36,40),0)/100)),0)</f>
        <v/>
      </c>
      <c r="R1363" t="n">
        <v>0</v>
      </c>
      <c r="S1363" t="n">
        <v>0</v>
      </c>
      <c r="U1363" t="n">
        <v>0</v>
      </c>
    </row>
    <row r="1364">
      <c r="A1364">
        <f>Skills!A23</f>
        <v/>
      </c>
      <c r="B1364">
        <f>Skills!B23</f>
        <v/>
      </c>
      <c r="C1364">
        <f>Inputs!$B$3&gt;=120</f>
        <v/>
      </c>
      <c r="D1364">
        <f>IF(Skills!C23=1,60+Inputs!$B$25+Inputs!$B$29,IF(Skills!C23=2,90+Inputs!$B$26+Inputs!$B$29,IF(Skills!C23=3,120+Inputs!$B$27+Inputs!$B$29,MAX(0,(Inputs!$B$3-100)*3)+Inputs!$B$28+Inputs!$B$29)))</f>
        <v/>
      </c>
      <c r="E1364">
        <f>INDEX(FactorTable!$B$2:$Y$301, MATCH(ROUND(MIN(300,MAX(1,D1364)),0), FactorTable!$A$2:$A$301,0), Skills!L23+1)</f>
        <v/>
      </c>
      <c r="F1364">
        <f>IF(Skills!M23=TRUE,(Skills!K23/10)*(E1364/1000),Skills!K23/10)+Skills!N23</f>
        <v/>
      </c>
      <c r="G1364">
        <f>Calc!G23</f>
        <v/>
      </c>
      <c r="H1364">
        <f>Calc!H23</f>
        <v/>
      </c>
      <c r="I1364">
        <f>IF(Skills!T23&lt;&gt;"",1+(Skills!T23/10)*(Z1344/1000)/100,1)</f>
        <v/>
      </c>
      <c r="J1364" t="inlineStr"/>
      <c r="K1364" t="inlineStr"/>
      <c r="L1364" t="inlineStr"/>
      <c r="M1364" t="inlineStr"/>
      <c r="N1364" t="inlineStr"/>
      <c r="O1364">
        <f>(1-Summary!$B$11)*S1364+Summary!$B$11*U1364</f>
        <v/>
      </c>
      <c r="P1364">
        <f>IF(B1378=0,0,O1364/B1378)</f>
        <v/>
      </c>
      <c r="Q1364">
        <f>IFERROR(1/(IF(Inputs!$B$38="pvp",15,MAX(0.1,Skills!D23-IF(TRUE=TRUE,Inputs!$B$32,0)))*(1-IF(AND(ArtifactsInput!$M$27,Inputs!$B$4="Chapter Hunt"),CHOOSE(ArtifactsInput!$N$27+1,20,24,28,32,36,40),0)/100)),0)</f>
        <v/>
      </c>
      <c r="R1364" t="n">
        <v>0</v>
      </c>
      <c r="S1364" t="n">
        <v>0</v>
      </c>
      <c r="U1364" t="n">
        <v>0</v>
      </c>
    </row>
    <row r="1365">
      <c r="A1365">
        <f>Skills!A24</f>
        <v/>
      </c>
      <c r="B1365">
        <f>Skills!B24</f>
        <v/>
      </c>
      <c r="C1365">
        <f>TRUE</f>
        <v/>
      </c>
      <c r="D1365">
        <f>IF(Skills!C24=1,60+Inputs!$B$25+Inputs!$B$29,IF(Skills!C24=2,90+Inputs!$B$26+Inputs!$B$29,IF(Skills!C24=3,120+Inputs!$B$27+Inputs!$B$29,MAX(0,(Inputs!$B$3-100)*3)+Inputs!$B$28+Inputs!$B$29)))</f>
        <v/>
      </c>
      <c r="E1365">
        <f>INDEX(FactorTable!$B$2:$Y$301, MATCH(ROUND(MIN(300,MAX(1,D1365)),0), FactorTable!$A$2:$A$301,0), Skills!L24+1)</f>
        <v/>
      </c>
      <c r="F1365">
        <f>IF(Skills!M24=TRUE,(Skills!K24/10)*(E1365/1000),Skills!K24/10)+Skills!N24</f>
        <v/>
      </c>
      <c r="G1365">
        <f>Calc!G24</f>
        <v/>
      </c>
      <c r="H1365">
        <f>Calc!H24</f>
        <v/>
      </c>
      <c r="I1365">
        <f>IF(Skills!T24&lt;&gt;"",1+(Skills!T24/10)*(Z1344/1000)/100,1)</f>
        <v/>
      </c>
      <c r="J1365" t="inlineStr"/>
      <c r="K1365" t="inlineStr"/>
      <c r="L1365" t="inlineStr"/>
      <c r="M1365" t="inlineStr"/>
      <c r="N1365" t="inlineStr"/>
      <c r="O1365">
        <f>(1-Summary!$B$11)*S1365+Summary!$B$11*U1365</f>
        <v/>
      </c>
      <c r="P1365">
        <f>IF(B1378=0,0,O1365/B1378)</f>
        <v/>
      </c>
      <c r="Q1365">
        <f>IFERROR(1/(IF(Inputs!$B$38="pvp",15,MAX(0.1,Skills!D24-IF(TRUE=TRUE,Inputs!$B$32,0)))*(1-IF(AND(ArtifactsInput!$M$27,Inputs!$B$4="Chapter Hunt"),CHOOSE(ArtifactsInput!$N$27+1,20,24,28,32,36,40),0)/100)),0)</f>
        <v/>
      </c>
      <c r="R1365">
        <f>IF(AND(Inputs!$B$38&lt;&gt;"pvp",Inputs!$B$43&gt;0),IF(Inputs!$B$43&lt;=0,0,(INT(Inputs!$B$43/(IF(Inputs!$B$38="pvp",15,MAX(0.1,Skills!D24-IF(TRUE=TRUE,Inputs!$B$32,0)))*(1-IF(AND(ArtifactsInput!$M$27,Inputs!$B$4="Chapter Hunt"),CHOOSE(ArtifactsInput!$N$27+1,20,24,28,32,36,40),0)/100)))+1)),0)</f>
        <v/>
      </c>
      <c r="S1365" t="n">
        <v>0</v>
      </c>
      <c r="U1365" t="n">
        <v>0</v>
      </c>
    </row>
    <row r="1368">
      <c r="A1368" t="inlineStr">
        <is>
          <t>Average Buff Multiplier (Magic Guard + Meditation + Artifact Attack%, summed; then Infinity)</t>
        </is>
      </c>
      <c r="B1368">
        <f>(1+(IF(C1344=TRUE,F1344*IF(AND(Inputs!$B$38&lt;&gt;"pvp",Inputs!$B$43&gt;0),(((R1344-1)*MIN((Skills!S3*(1+(Inputs!$B$34)/100)),(1/Q1344))+MIN((Skills!S3*(1+(Inputs!$B$34)/100)),MAX(0,Inputs!$B$43-((R1344-1)*(1/Q1344)))))/Inputs!$B$43),IF(Inputs!$B$38="pvp",MIN((Skills!S3*(1+(Inputs!$B$34)/100)),15)/15,MIN(1,(Skills!S3*(1+(Inputs!$B$34)/100))/(1/Q1344)))),0)+IF(C1345=TRUE,F1345*IF(AND(Inputs!$B$38&lt;&gt;"pvp",Inputs!$B$43&gt;0),(((R1345-1)*MIN((Skills!S4*(1+(Inputs!$B$34)/100)),(1/Q1345))+MIN((Skills!S4*(1+(Inputs!$B$34)/100)),MAX(0,Inputs!$B$43-((R1345-1)*(1/Q1345)))))/Inputs!$B$43),IF(Inputs!$B$38="pvp",MIN((Skills!S4*(1+(Inputs!$B$34)/100)),15)/15,MIN(1,(Skills!S4*(1+(Inputs!$B$34)/100))/(1/Q1345)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1357=TRUE,(1+F1357*IF(AND(Inputs!$B$38&lt;&gt;"pvp",Inputs!$B$43&gt;0),(((R1357-1)*MIN((Skills!S16*(1+(Inputs!$B$34)/100)),(1/Q1357))+MIN((Skills!S16*(1+(Inputs!$B$34)/100)),MAX(0,Inputs!$B$43-((R1357-1)*(1/Q1357)))))/Inputs!$B$43),IF(Inputs!$B$38="pvp",MIN((Skills!S16*(1+(Inputs!$B$34)/100)),15)/15,MIN(1,(Skills!S16*(1+(Inputs!$B$34)/100))/(1/Q1357))))/100),1)</f>
        <v/>
      </c>
    </row>
    <row r="1369">
      <c r="A1369" t="inlineStr">
        <is>
          <t>Monster Damage Taken Bonus % (Freezing Breath - Weaken + Elemental Reset + Artifact Enemy Damage Taken, summed)</t>
        </is>
      </c>
      <c r="B1369">
        <f>IF(Inputs!$B$3&gt;=118,15*IF(Inputs!$B$38="pvp",MIN((30*(1+(Inputs!$B$34)/100)),15)/15,MIN(1,(30*(1+(Inputs!$B$34)/100))/(1/Q1349))),0)+IF(C1355=TRUE,F1355,0)+(IF(AND(ArtifactsInput!$M$35,Inputs!$B$4&lt;&gt;"Chapter Hunt"),CHOOSE(ArtifactsInput!$N$35+1,15,18,21,24,27,30)*(1-EXP(-(0.2*B1372)*5)),0)+IF(AND(ArtifactsInput!$M$22,Inputs!$B$4&lt;&gt;"Chapter Hunt"),CHOOSE(ArtifactsInput!$N$22+1,10,12,14,16,18,20)*((0*(((0.15*B1372*5))^0/1)+1*(((0.15*B1372*5))^1/1)+2*(((0.15*B1372*5))^2/2)+3*(((0.15*B1372*5))^3/6)+4*(((0.15*B1372*5))^4/24)+5*(((0.15*B1372*5))^5/120))/((((0.15*B1372*5))^0/1)+(((0.15*B1372*5))^1/1)+(((0.15*B1372*5))^2/2)+(((0.15*B1372*5))^3/6)+(((0.15*B1372*5))^4/24)+(((0.15*B1372*5))^5/120))),0))</f>
        <v/>
      </c>
    </row>
    <row r="1370">
      <c r="A1370" t="inlineStr">
        <is>
          <t>Damage % Bonus (Frozen Break + Frost Clutch, flat)</t>
        </is>
      </c>
      <c r="B1370">
        <f>IF(Inputs!$B$3&gt;=66,15,0)+IF(Inputs!$B$3&gt;=98,10,0)+IF(Inputs!$B$3&gt;=125,20,0)</f>
        <v/>
      </c>
    </row>
    <row r="1371">
      <c r="A1371" t="inlineStr">
        <is>
          <t>Attack Speed Bonus % (MP Eater - MP Boost, always-on + Nimble Feet, duty-cycle averaged)</t>
        </is>
      </c>
      <c r="B1371">
        <f>IF(C1354=TRUE,F1354+(F1358-Calc!F17),0)+((C1365=TRUE)*F1365*IF(AND(Inputs!$B$38&lt;&gt;"pvp",Inputs!$B$43&gt;0),(((R1365-1)*MIN((Skills!S24*(1+(Inputs!$B$34)/100)),(1/Q1365))+MIN((Skills!S24*(1+(Inputs!$B$34)/100)),MAX(0,Inputs!$B$43-((R1365-1)*(1/Q1365)))))/Inputs!$B$43),IF(Inputs!$B$38="pvp",MIN((Skills!S24*(1+(Inputs!$B$34)/100)),15)/15,MIN(1,(Skills!S24*(1+(Inputs!$B$34)/100))/(1/Q1365)))))</f>
        <v/>
      </c>
    </row>
    <row r="1372">
      <c r="A1372" t="inlineStr">
        <is>
          <t>Actions Per Second</t>
        </is>
      </c>
      <c r="B1372">
        <f>1+MIN(150,150*(1-(1-(Inputs!$B$11+(ArtifactsInput!$M$15-ArtifactsInput!$M$15)*CHOOSE(ArtifactsInput!$N$15+1,8,9.6,11.2,12.8,14.4,16))/150)*(1-B1371/150)))/100</f>
        <v/>
      </c>
    </row>
    <row r="1373">
      <c r="A1373" t="inlineStr">
        <is>
          <t>Skill + Buff Cast Rate</t>
        </is>
      </c>
      <c r="B1373">
        <f>IF(AND(Inputs!$B$38&lt;&gt;"pvp",Inputs!$B$43&gt;0),SUMPRODUCT((Skills!E2:E24=TRUE)*(C1343:C1365=TRUE)*R1343:R1365)/Inputs!$B$43,SUMPRODUCT((Skills!E2:E24=TRUE)*(C1343:C1365=TRUE)*Q1343:Q1365))</f>
        <v/>
      </c>
    </row>
    <row r="1374">
      <c r="A1374" t="inlineStr">
        <is>
          <t>Chain Lightning Casts Per Second</t>
        </is>
      </c>
      <c r="B1374">
        <f>MAX(0,B1372-B1373)</f>
        <v/>
      </c>
    </row>
    <row r="1375">
      <c r="A1375" t="inlineStr">
        <is>
          <t>Buff-Casting Startup Delay (s, fixed-duration only)</t>
        </is>
      </c>
      <c r="B1375">
        <f>IF(AND(Inputs!$B$38&lt;&gt;"pvp",Inputs!$B$43&gt;0),SUMPRODUCT((Skills!S2:S24&gt;0)*(Skills!E2:E24=TRUE)*(C1343:C1365=TRUE))/B1372,0)</f>
        <v/>
      </c>
    </row>
    <row r="1376">
      <c r="A1376" t="inlineStr">
        <is>
          <t>Boss-Only Total DPS (this block's swept value)</t>
        </is>
      </c>
      <c r="B1376">
        <f>SUM(S1343:S1365)</f>
        <v/>
      </c>
    </row>
    <row r="1377">
      <c r="A1377" t="inlineStr">
        <is>
          <t>Normal-Only Total DPS (this block's swept value)</t>
        </is>
      </c>
      <c r="B1377">
        <f>SUM(U1343:U1365)</f>
        <v/>
      </c>
    </row>
    <row r="1378">
      <c r="A1378" s="6" t="inlineStr">
        <is>
          <t>TOTAL DPS</t>
        </is>
      </c>
      <c r="B1378" s="6">
        <f>SUM(O1343:O1365)</f>
        <v/>
      </c>
    </row>
    <row r="1379">
      <c r="A1379" t="inlineStr">
        <is>
          <t>Blizzard Final Attack trigger rate (this block's own Q/R)</t>
        </is>
      </c>
      <c r="B1379">
        <f>IF(AND(Inputs!$B$38&lt;&gt;"pvp",Inputs!$B$43&gt;0),(((C1346=TRUE)*R1346*1)+((C1347=TRUE)*R1347*1)+((C1349=TRUE)*R1349*1)+((C1350=TRUE)*R1350*3)+((C1352=TRUE)*R1352*1))/Inputs!$B$43,((C1346=TRUE)*Q1346*1)+((C1347=TRUE)*Q1347*1)+((C1349=TRUE)*Q1349*1)+((C1350=TRUE)*Q1350*3)+((C1352=TRUE)*Q1352*1))+B1374</f>
        <v/>
      </c>
    </row>
    <row r="1382">
      <c r="A1382" s="6" t="inlineStr">
        <is>
          <t>Stat: Mushmom's Cap (Equip)</t>
        </is>
      </c>
    </row>
    <row r="1383">
      <c r="A1383" s="5" t="inlineStr">
        <is>
          <t>Key</t>
        </is>
      </c>
      <c r="B1383" s="5" t="inlineStr">
        <is>
          <t>Name</t>
        </is>
      </c>
      <c r="C1383" s="5" t="inlineStr">
        <is>
          <t>Unlocked</t>
        </is>
      </c>
      <c r="D1383" s="5" t="inlineStr">
        <is>
          <t>InputLevel</t>
        </is>
      </c>
      <c r="E1383" s="5" t="inlineStr">
        <is>
          <t>Factor</t>
        </is>
      </c>
      <c r="F1383" s="5" t="inlineStr">
        <is>
          <t>CoefficientPercent</t>
        </is>
      </c>
      <c r="G1383" s="5" t="inlineStr">
        <is>
          <t>EffectiveHits</t>
        </is>
      </c>
      <c r="H1383" s="5" t="inlineStr">
        <is>
          <t>ProcProbability</t>
        </is>
      </c>
      <c r="I1383" s="5" t="inlineStr">
        <is>
          <t>MapleHeroMultiplier</t>
        </is>
      </c>
      <c r="J1383" s="5" t="inlineStr">
        <is>
          <t>BaseDamage</t>
        </is>
      </c>
      <c r="K1383" s="5" t="inlineStr">
        <is>
          <t>BaseHitDamage</t>
        </is>
      </c>
      <c r="L1383" s="5" t="inlineStr">
        <is>
          <t>NonCritAvg</t>
        </is>
      </c>
      <c r="M1383" s="5" t="inlineStr">
        <is>
          <t>CritAvg</t>
        </is>
      </c>
      <c r="N1383" s="5" t="inlineStr">
        <is>
          <t>ExpectedDamage(perHit)</t>
        </is>
      </c>
      <c r="O1383" s="5" t="inlineStr">
        <is>
          <t>DPS</t>
        </is>
      </c>
      <c r="P1383" s="5" t="inlineStr">
        <is>
          <t>% of Total</t>
        </is>
      </c>
      <c r="R1383" t="inlineStr">
        <is>
          <t>helpers</t>
        </is>
      </c>
    </row>
    <row r="1384">
      <c r="A1384">
        <f>Skills!A2</f>
        <v/>
      </c>
      <c r="B1384">
        <f>Skills!B2</f>
        <v/>
      </c>
      <c r="C1384">
        <f>Inputs!$B$3&gt;=100</f>
        <v/>
      </c>
      <c r="D1384" t="inlineStr"/>
      <c r="E1384" t="inlineStr"/>
      <c r="F1384">
        <f>T1386+Skills!N2</f>
        <v/>
      </c>
      <c r="G1384">
        <f>Calc!G2</f>
        <v/>
      </c>
      <c r="H1384">
        <f>Calc!H2</f>
        <v/>
      </c>
      <c r="I1384">
        <f>IF(Skills!T2&lt;&gt;"",1+(Skills!T2/10)*(Z1385/1000)/100,1)</f>
        <v/>
      </c>
      <c r="J1384">
        <f>((Inputs!$B$6*(1+Inputs!$B$7/100))+(((Inputs!$B$12*(1+Inputs!$B$13/100))-(Inputs!$B$12*(1+Inputs!$B$13/100)))+0.25*(Inputs!$B$14-Inputs!$B$14))*(1+Inputs!$B$7/100))*(F1384/100)</f>
        <v/>
      </c>
      <c r="K1384">
        <f>J1384*(1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2="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1384)</f>
        <v/>
      </c>
      <c r="L1384">
        <f>K1384*(MIN(Inputs!$B$22+(F1400-Calc!F18),(Inputs!$B$23+(IF(ArtifactsInput!$M$15,CHOOSE(ArtifactsInput!$N$15+1,25,30,35,40,45,50)/100*(Inputs!$B$11-Inputs!$B$11),0))))/100+(Inputs!$B$23+(IF(ArtifactsInput!$M$15,CHOOSE(ArtifactsInput!$N$15+1,25,30,35,40,45,50)/100*(Inputs!$B$11-Inputs!$B$11),0)))/100)/2</f>
        <v/>
      </c>
      <c r="M1384">
        <f>L1384*(1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4">
        <f>L1384*(1-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1384*(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4">
        <f>(1-Summary!$B$11)*S1384+Summary!$B$11*U1384</f>
        <v/>
      </c>
      <c r="P1384">
        <f>IF(B1419=0,0,O1384/B1419)</f>
        <v/>
      </c>
      <c r="Q1384">
        <f>IFERROR(1/(IF(Inputs!$B$38="pvp",15,MAX(0.1,Skills!D2-IF(TRUE=TRUE,Inputs!$B$32,0)))*(1-IF(AND(ArtifactsInput!$M$27,Inputs!$B$4="Chapter Hunt"),CHOOSE(ArtifactsInput!$N$27+1,20,24,28,32,36,40),0)/100)),0)</f>
        <v/>
      </c>
      <c r="R1384" t="n">
        <v>0</v>
      </c>
      <c r="S1384">
        <f>IF(C1384,(Skills!F2*N1384*B1415)*IF(Inputs!$B$38="pvp",1,1+(Inputs!$B$20+Skills!O2+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1384*(1-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1384*(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1384*(1-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1384*(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384">
        <f>MAX(0,(Inputs!$B$3-100)*3)+Inputs!$B$28+Inputs!$B$29</f>
        <v/>
      </c>
      <c r="U1384">
        <f>IF(C1384,(Skills!F2*N1384*B1415)*IF(Inputs!$B$38="pvp",1,(1+(Inputs!$B$21+Skills!P2+B1410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384">
        <f>MAX(0,(Inputs!$B$3-100)*3)+Inputs!$B$28+Inputs!$B$29</f>
        <v/>
      </c>
    </row>
    <row r="1385">
      <c r="A1385">
        <f>Skills!A3</f>
        <v/>
      </c>
      <c r="B1385">
        <f>Skills!B3</f>
        <v/>
      </c>
      <c r="C1385">
        <f>Inputs!$B$3&gt;=15</f>
        <v/>
      </c>
      <c r="D1385">
        <f>IF(Skills!C3=1,60+Inputs!$B$25+Inputs!$B$29,IF(Skills!C3=2,90+Inputs!$B$26+Inputs!$B$29,IF(Skills!C3=3,120+Inputs!$B$27+Inputs!$B$29,MAX(0,(Inputs!$B$3-100)*3)+Inputs!$B$28+Inputs!$B$29)))</f>
        <v/>
      </c>
      <c r="E1385">
        <f>INDEX(FactorTable!$B$2:$Y$301, MATCH(ROUND(MIN(300,MAX(1,D1385)),0), FactorTable!$A$2:$A$301,0), Skills!L3+1)</f>
        <v/>
      </c>
      <c r="F1385">
        <f>IF(Skills!M3=TRUE,(Skills!K3/10)*(E1385/1000),Skills!K3/10)+Skills!N3</f>
        <v/>
      </c>
      <c r="G1385">
        <f>Calc!G3</f>
        <v/>
      </c>
      <c r="H1385">
        <f>Calc!H3</f>
        <v/>
      </c>
      <c r="I1385">
        <f>IF(Skills!T3&lt;&gt;"",1+(Skills!T3/10)*(Z1385/1000)/100,1)</f>
        <v/>
      </c>
      <c r="J1385" t="inlineStr"/>
      <c r="K1385" t="inlineStr"/>
      <c r="L1385" t="inlineStr"/>
      <c r="M1385" t="inlineStr"/>
      <c r="N1385" t="inlineStr"/>
      <c r="O1385">
        <f>(1-Summary!$B$11)*S1385+Summary!$B$11*U1385</f>
        <v/>
      </c>
      <c r="P1385">
        <f>IF(B1419=0,0,O1385/B1419)</f>
        <v/>
      </c>
      <c r="Q1385">
        <f>IFERROR(1/(IF(Inputs!$B$38="pvp",15,MAX(0.1,Skills!D3-IF(TRUE=TRUE,Inputs!$B$32,0)))*(1-IF(AND(ArtifactsInput!$M$27,Inputs!$B$4="Chapter Hunt"),CHOOSE(ArtifactsInput!$N$27+1,20,24,28,32,36,40),0)/100)),0)</f>
        <v/>
      </c>
      <c r="R1385">
        <f>IF(AND(Inputs!$B$38&lt;&gt;"pvp",Inputs!$B$43&gt;0),IF(Inputs!$B$43&lt;=0,0,(INT(Inputs!$B$43/(IF(Inputs!$B$38="pvp",15,MAX(0.1,Skills!D3-IF(TRUE=TRUE,Inputs!$B$32,0)))*(1-IF(AND(ArtifactsInput!$M$27,Inputs!$B$4="Chapter Hunt"),CHOOSE(ArtifactsInput!$N$27+1,20,24,28,32,36,40),0)/100)))+1)),0)</f>
        <v/>
      </c>
      <c r="S1385" t="n">
        <v>0</v>
      </c>
      <c r="T1385">
        <f>INDEX(FactorTable!$B$2:$Y$301, MATCH(ROUND(MIN(300,MAX(1,T1384)),0), FactorTable!$A$2:$A$301,0), 22)</f>
        <v/>
      </c>
      <c r="U1385" t="n">
        <v>0</v>
      </c>
      <c r="Z1385">
        <f>INDEX(FactorTable!$B$2:$Y$301, MATCH(ROUND(MIN(300,MAX(1,Z1384)),0), FactorTable!$A$2:$A$301,0), 24)</f>
        <v/>
      </c>
    </row>
    <row r="1386">
      <c r="A1386">
        <f>Skills!A4</f>
        <v/>
      </c>
      <c r="B1386">
        <f>Skills!B4</f>
        <v/>
      </c>
      <c r="C1386">
        <f>Inputs!$B$3&gt;=40</f>
        <v/>
      </c>
      <c r="D1386">
        <f>IF(Skills!C4=1,60+Inputs!$B$25+Inputs!$B$29,IF(Skills!C4=2,90+Inputs!$B$26+Inputs!$B$29,IF(Skills!C4=3,120+Inputs!$B$27+Inputs!$B$29,MAX(0,(Inputs!$B$3-100)*3)+Inputs!$B$28+Inputs!$B$29)))</f>
        <v/>
      </c>
      <c r="E1386">
        <f>INDEX(FactorTable!$B$2:$Y$301, MATCH(ROUND(MIN(300,MAX(1,D1386)),0), FactorTable!$A$2:$A$301,0), Skills!L4+1)</f>
        <v/>
      </c>
      <c r="F1386">
        <f>IF(Skills!M4=TRUE,(Skills!K4/10)*(E1386/1000),Skills!K4/10)+Skills!N4</f>
        <v/>
      </c>
      <c r="G1386">
        <f>Calc!G4</f>
        <v/>
      </c>
      <c r="H1386">
        <f>Calc!H4</f>
        <v/>
      </c>
      <c r="I1386">
        <f>IF(Skills!T4&lt;&gt;"",1+(Skills!T4/10)*(Z1385/1000)/100,1)</f>
        <v/>
      </c>
      <c r="J1386" t="inlineStr"/>
      <c r="K1386" t="inlineStr"/>
      <c r="L1386" t="inlineStr"/>
      <c r="M1386" t="inlineStr"/>
      <c r="N1386" t="inlineStr"/>
      <c r="O1386">
        <f>(1-Summary!$B$11)*S1386+Summary!$B$11*U1386</f>
        <v/>
      </c>
      <c r="P1386">
        <f>IF(B1419=0,0,O1386/B1419)</f>
        <v/>
      </c>
      <c r="Q1386">
        <f>IFERROR(1/(IF(Inputs!$B$38="pvp",15,MAX(0.1,Skills!D4-IF(TRUE=TRUE,Inputs!$B$32,0)))*(1-IF(AND(ArtifactsInput!$M$27,Inputs!$B$4="Chapter Hunt"),CHOOSE(ArtifactsInput!$N$27+1,20,24,28,32,36,40),0)/100)),0)</f>
        <v/>
      </c>
      <c r="R1386">
        <f>IF(AND(Inputs!$B$38&lt;&gt;"pvp",Inputs!$B$43&gt;0),IF(Inputs!$B$43&lt;=0,0,(INT(Inputs!$B$43/(IF(Inputs!$B$38="pvp",15,MAX(0.1,Skills!D4-IF(TRUE=TRUE,Inputs!$B$32,0)))*(1-IF(AND(ArtifactsInput!$M$27,Inputs!$B$4="Chapter Hunt"),CHOOSE(ArtifactsInput!$N$27+1,20,24,28,32,36,40),0)/100)))+1)),0)</f>
        <v/>
      </c>
      <c r="S1386" t="n">
        <v>0</v>
      </c>
      <c r="T1386">
        <f>290*T1385/1000</f>
        <v/>
      </c>
      <c r="U1386" t="n">
        <v>0</v>
      </c>
    </row>
    <row r="1387">
      <c r="A1387">
        <f>Skills!A5</f>
        <v/>
      </c>
      <c r="B1387">
        <f>Skills!B5</f>
        <v/>
      </c>
      <c r="C1387">
        <f>Inputs!$B$3&gt;=38</f>
        <v/>
      </c>
      <c r="D1387">
        <f>IF(Skills!C5=1,60+Inputs!$B$25+Inputs!$B$29,IF(Skills!C5=2,90+Inputs!$B$26+Inputs!$B$29,IF(Skills!C5=3,120+Inputs!$B$27+Inputs!$B$29,MAX(0,(Inputs!$B$3-100)*3)+Inputs!$B$28+Inputs!$B$29)))</f>
        <v/>
      </c>
      <c r="E1387">
        <f>INDEX(FactorTable!$B$2:$Y$301, MATCH(ROUND(MIN(300,MAX(1,D1387)),0), FactorTable!$A$2:$A$301,0), Skills!L5+1)</f>
        <v/>
      </c>
      <c r="F1387">
        <f>IF(Skills!M5=TRUE,(Skills!K5/10)*(E1387/1000),Skills!K5/10)+Skills!N5</f>
        <v/>
      </c>
      <c r="G1387">
        <f>Calc!G5</f>
        <v/>
      </c>
      <c r="H1387">
        <f>Calc!H5</f>
        <v/>
      </c>
      <c r="I1387">
        <f>IF(Skills!T5&lt;&gt;"",1+(Skills!T5/10)*(Z1385/1000)/100,1)</f>
        <v/>
      </c>
      <c r="J1387">
        <f>((Inputs!$B$6*(1+Inputs!$B$7/100))+(((Inputs!$B$12*(1+Inputs!$B$13/100))-(Inputs!$B$12*(1+Inputs!$B$13/100)))+0.25*(Inputs!$B$14-Inputs!$B$14))*(1+Inputs!$B$7/100))*(F1387/100)</f>
        <v/>
      </c>
      <c r="K1387">
        <f>J1387*(1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5="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1387)</f>
        <v/>
      </c>
      <c r="L1387">
        <f>K1387*(MIN(Inputs!$B$22+(F1400-Calc!F18),(Inputs!$B$23+(IF(ArtifactsInput!$M$15,CHOOSE(ArtifactsInput!$N$15+1,25,30,35,40,45,50)/100*(Inputs!$B$11-Inputs!$B$11),0))))/100+(Inputs!$B$23+(IF(ArtifactsInput!$M$15,CHOOSE(ArtifactsInput!$N$15+1,25,30,35,40,45,50)/100*(Inputs!$B$11-Inputs!$B$11),0)))/100)/2</f>
        <v/>
      </c>
      <c r="M1387">
        <f>L1387*(1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7">
        <f>L1387*(1-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1387*(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7">
        <f>(1-Summary!$B$11)*S1387+Summary!$B$11*U1387</f>
        <v/>
      </c>
      <c r="P1387">
        <f>IF(B1419=0,0,O1387/B1419)</f>
        <v/>
      </c>
      <c r="Q1387">
        <f>IFERROR(1/(IF(Inputs!$B$38="pvp",15,MAX(0.1,Skills!D5-IF(TRUE=TRUE,Inputs!$B$32,0)))*(1-IF(AND(ArtifactsInput!$M$27,Inputs!$B$4="Chapter Hunt"),CHOOSE(ArtifactsInput!$N$27+1,20,24,28,32,36,40),0)/100)),0)</f>
        <v/>
      </c>
      <c r="R1387">
        <f>IF(AND(Inputs!$B$38&lt;&gt;"pvp",Inputs!$B$43&gt;0),IF(MAX(0,Inputs!$B$43-B1416)&lt;=0,0,(INT(MAX(0,Inputs!$B$43-B1416)/(IF(Inputs!$B$38="pvp",15,MAX(0.1,Skills!D5-IF(TRUE=TRUE,Inputs!$B$32,0)))*(1-IF(AND(ArtifactsInput!$M$27,Inputs!$B$4="Chapter Hunt"),CHOOSE(ArtifactsInput!$N$27+1,20,24,28,32,36,40),0)/100)))+1)),0)</f>
        <v/>
      </c>
      <c r="S1387">
        <f>IF(C1387,(H1387*N1387*IF(AND(Inputs!$B$38&lt;&gt;"pvp",Inputs!$B$43&gt;0),((Skills!F5*((R1387-1)*IF(Skills!G5&gt;0,Skills!H5/Skills!G5,1)+IF(Skills!G5&gt;0,MIN(Skills!H5,MAX(0,MAX(0,Inputs!$B$43-B1416)-((R1387-1)*(IF(Inputs!$B$38="pvp",15,MAX(0.1,Skills!D5-IF(TRUE=TRUE,Inputs!$B$32,0)))*(1-IF(AND(ArtifactsInput!$M$27,Inputs!$B$4="Chapter Hunt"),CHOOSE(ArtifactsInput!$N$27+1,20,24,28,32,36,40),0)/100)))))/Skills!G5,1)))/Inputs!$B$43),G1387*Q1387))*IF(Inputs!$B$38="pvp",1,1+(Inputs!$B$20+Skills!O5+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1387*(1-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1387*(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1387*(1-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1387*(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7">
        <f>IF(C1387,(H1387*N1387*IF(AND(Inputs!$B$38&lt;&gt;"pvp",Inputs!$B$43&gt;0),((Skills!F5*((R1387-1)*IF(Skills!G5&gt;0,Skills!H5/Skills!G5,1)+IF(Skills!G5&gt;0,MIN(Skills!H5,MAX(0,MAX(0,Inputs!$B$43-B1416)-((R1387-1)*(IF(Inputs!$B$38="pvp",15,MAX(0.1,Skills!D5-IF(TRUE=TRUE,Inputs!$B$32,0)))*(1-IF(AND(ArtifactsInput!$M$27,Inputs!$B$4="Chapter Hunt"),CHOOSE(ArtifactsInput!$N$27+1,20,24,28,32,36,40),0)/100)))))/Skills!G5,1)))/Inputs!$B$43),G1387*Q1387))*IF(Inputs!$B$38="pvp",1,(1+(Inputs!$B$21+Skills!P5+B1410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8">
      <c r="A1388">
        <f>Skills!A6</f>
        <v/>
      </c>
      <c r="B1388">
        <f>Skills!B6</f>
        <v/>
      </c>
      <c r="C1388">
        <f>Inputs!$B$3&gt;=63</f>
        <v/>
      </c>
      <c r="D1388">
        <f>IF(Skills!C6=1,60+Inputs!$B$25+Inputs!$B$29,IF(Skills!C6=2,90+Inputs!$B$26+Inputs!$B$29,IF(Skills!C6=3,120+Inputs!$B$27+Inputs!$B$29,MAX(0,(Inputs!$B$3-100)*3)+Inputs!$B$28+Inputs!$B$29)))</f>
        <v/>
      </c>
      <c r="E1388">
        <f>INDEX(FactorTable!$B$2:$Y$301, MATCH(ROUND(MIN(300,MAX(1,D1388)),0), FactorTable!$A$2:$A$301,0), Skills!L6+1)</f>
        <v/>
      </c>
      <c r="F1388">
        <f>IF(Skills!M6=TRUE,(Skills!K6/10)*(E1388/1000),Skills!K6/10)+Skills!N6</f>
        <v/>
      </c>
      <c r="G1388">
        <f>Calc!G6</f>
        <v/>
      </c>
      <c r="H1388">
        <f>Calc!H6</f>
        <v/>
      </c>
      <c r="I1388">
        <f>IF(Skills!T6&lt;&gt;"",1+(Skills!T6/10)*(Z1385/1000)/100,1)</f>
        <v/>
      </c>
      <c r="J1388">
        <f>((Inputs!$B$6*(1+Inputs!$B$7/100))+(((Inputs!$B$12*(1+Inputs!$B$13/100))-(Inputs!$B$12*(1+Inputs!$B$13/100)))+0.25*(Inputs!$B$14-Inputs!$B$14))*(1+Inputs!$B$7/100))*(F1388/100)</f>
        <v/>
      </c>
      <c r="K1388">
        <f>J1388*(1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6="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1388)</f>
        <v/>
      </c>
      <c r="L1388">
        <f>K1388*(MIN(Inputs!$B$22+(F1400-Calc!F18),(Inputs!$B$23+(IF(ArtifactsInput!$M$15,CHOOSE(ArtifactsInput!$N$15+1,25,30,35,40,45,50)/100*(Inputs!$B$11-Inputs!$B$11),0))))/100+(Inputs!$B$23+(IF(ArtifactsInput!$M$15,CHOOSE(ArtifactsInput!$N$15+1,25,30,35,40,45,50)/100*(Inputs!$B$11-Inputs!$B$11),0)))/100)/2</f>
        <v/>
      </c>
      <c r="M1388">
        <f>L1388*(1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8">
        <f>L1388*(1-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1388*(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8">
        <f>(1-Summary!$B$11)*S1388+Summary!$B$11*U1388</f>
        <v/>
      </c>
      <c r="P1388">
        <f>IF(B1419=0,0,O1388/B1419)</f>
        <v/>
      </c>
      <c r="Q1388">
        <f>IFERROR(1/(IF(Inputs!$B$38="pvp",15,MAX(0.1,Skills!D6-IF(TRUE=TRUE,Inputs!$B$32,0)))*(1-IF(AND(ArtifactsInput!$M$27,Inputs!$B$4="Chapter Hunt"),CHOOSE(ArtifactsInput!$N$27+1,20,24,28,32,36,40),0)/100)),0)</f>
        <v/>
      </c>
      <c r="R1388">
        <f>IF(AND(Inputs!$B$38&lt;&gt;"pvp",Inputs!$B$43&gt;0),IF(MAX(0,Inputs!$B$43-B1416)&lt;=0,0,(INT(MAX(0,Inputs!$B$43-B1416)/(IF(Inputs!$B$38="pvp",15,MAX(0.1,Skills!D6-IF(TRUE=TRUE,Inputs!$B$32,0)))*(1-IF(AND(ArtifactsInput!$M$27,Inputs!$B$4="Chapter Hunt"),CHOOSE(ArtifactsInput!$N$27+1,20,24,28,32,36,40),0)/100)))+1)),0)</f>
        <v/>
      </c>
      <c r="S1388">
        <f>IF(C1388,(H1388*N1388*IF(AND(Inputs!$B$38&lt;&gt;"pvp",Inputs!$B$43&gt;0),((Skills!F6*((R1388-1)*IF(Skills!G6&gt;0,Skills!H6/Skills!G6,1)+IF(Skills!G6&gt;0,MIN(Skills!H6,MAX(0,MAX(0,Inputs!$B$43-B1416)-((R1388-1)*(IF(Inputs!$B$38="pvp",15,MAX(0.1,Skills!D6-IF(TRUE=TRUE,Inputs!$B$32,0)))*(1-IF(AND(ArtifactsInput!$M$27,Inputs!$B$4="Chapter Hunt"),CHOOSE(ArtifactsInput!$N$27+1,20,24,28,32,36,40),0)/100)))))/Skills!G6,1)))/Inputs!$B$43),G1388*Q1388))*IF(Inputs!$B$38="pvp",1,1+(Inputs!$B$20+Skills!O6+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1388*(1-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1388*(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1388*(1-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1388*(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8">
        <f>IF(C1388,(H1388*N1388*IF(AND(Inputs!$B$38&lt;&gt;"pvp",Inputs!$B$43&gt;0),((Skills!F6*((R1388-1)*IF(Skills!G6&gt;0,Skills!H6/Skills!G6,1)+IF(Skills!G6&gt;0,MIN(Skills!H6,MAX(0,MAX(0,Inputs!$B$43-B1416)-((R1388-1)*(IF(Inputs!$B$38="pvp",15,MAX(0.1,Skills!D6-IF(TRUE=TRUE,Inputs!$B$32,0)))*(1-IF(AND(ArtifactsInput!$M$27,Inputs!$B$4="Chapter Hunt"),CHOOSE(ArtifactsInput!$N$27+1,20,24,28,32,36,40),0)/100)))))/Skills!G6,1)))/Inputs!$B$43),G1388*Q1388))*IF(Inputs!$B$38="pvp",1,(1+(Inputs!$B$21+Skills!P6+B1410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9">
      <c r="A1389">
        <f>Skills!A7</f>
        <v/>
      </c>
      <c r="B1389">
        <f>Skills!B7</f>
        <v/>
      </c>
      <c r="C1389">
        <f>Inputs!$B$3&gt;=69</f>
        <v/>
      </c>
      <c r="D1389">
        <f>IF(Skills!C7=1,60+Inputs!$B$25+Inputs!$B$29,IF(Skills!C7=2,90+Inputs!$B$26+Inputs!$B$29,IF(Skills!C7=3,120+Inputs!$B$27+Inputs!$B$29,MAX(0,(Inputs!$B$3-100)*3)+Inputs!$B$28+Inputs!$B$29)))</f>
        <v/>
      </c>
      <c r="E1389">
        <f>INDEX(FactorTable!$B$2:$Y$301, MATCH(ROUND(MIN(300,MAX(1,D1389)),0), FactorTable!$A$2:$A$301,0), Skills!L7+1)</f>
        <v/>
      </c>
      <c r="F1389">
        <f>IF(Skills!M7=TRUE,(Skills!K7/10)*(E1389/1000),Skills!K7/10)+Skills!N7</f>
        <v/>
      </c>
      <c r="G1389">
        <f>Calc!G7</f>
        <v/>
      </c>
      <c r="H1389">
        <f>Calc!H7</f>
        <v/>
      </c>
      <c r="I1389">
        <f>IF(Skills!T7&lt;&gt;"",1+(Skills!T7/10)*(Z1385/1000)/100,1)</f>
        <v/>
      </c>
      <c r="J1389">
        <f>((Inputs!$B$6*(1+Inputs!$B$7/100))+(((Inputs!$B$12*(1+Inputs!$B$13/100))-(Inputs!$B$12*(1+Inputs!$B$13/100)))+0.25*(Inputs!$B$14-Inputs!$B$14))*(1+Inputs!$B$7/100))*(F1389/100)</f>
        <v/>
      </c>
      <c r="K1389">
        <f>J1389*(1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7="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1389)</f>
        <v/>
      </c>
      <c r="L1389">
        <f>K1389*(MIN(Inputs!$B$22+(F1400-Calc!F18),(Inputs!$B$23+(IF(ArtifactsInput!$M$15,CHOOSE(ArtifactsInput!$N$15+1,25,30,35,40,45,50)/100*(Inputs!$B$11-Inputs!$B$11),0))))/100+(Inputs!$B$23+(IF(ArtifactsInput!$M$15,CHOOSE(ArtifactsInput!$N$15+1,25,30,35,40,45,50)/100*(Inputs!$B$11-Inputs!$B$11),0)))/100)/2</f>
        <v/>
      </c>
      <c r="M1389">
        <f>L1389*(1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9">
        <f>L1389*(1-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1389*(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9">
        <f>(1-Summary!$B$11)*S1389+Summary!$B$11*U1389</f>
        <v/>
      </c>
      <c r="P1389">
        <f>IF(B1419=0,0,O1389/B1419)</f>
        <v/>
      </c>
      <c r="Q1389">
        <f>IFERROR(1/(IF(Inputs!$B$38="pvp",15,MAX(0.1,Skills!D7-IF(TRUE=TRUE,Inputs!$B$32,0)))*(1-IF(AND(ArtifactsInput!$M$27,Inputs!$B$4="Chapter Hunt"),CHOOSE(ArtifactsInput!$N$27+1,20,24,28,32,36,40),0)/100)),0)</f>
        <v/>
      </c>
      <c r="R1389">
        <f>IF(AND(Inputs!$B$38&lt;&gt;"pvp",Inputs!$B$43&gt;0),IF(MAX(0,Inputs!$B$43-B1416)&lt;=0,0,(INT(MAX(0,Inputs!$B$43-B1416)/(IF(Inputs!$B$38="pvp",15,MAX(0.1,Skills!D7-IF(TRUE=TRUE,Inputs!$B$32,0)))*(1-IF(AND(ArtifactsInput!$M$27,Inputs!$B$4="Chapter Hunt"),CHOOSE(ArtifactsInput!$N$27+1,20,24,28,32,36,40),0)/100)))+1)),0)</f>
        <v/>
      </c>
      <c r="S1389">
        <f>IF(C1389,(H1389*N1389*IF(AND(Inputs!$B$38&lt;&gt;"pvp",Inputs!$B$43&gt;0),((Skills!F7*((R1389-1)*IF(Skills!G7&gt;0,Skills!H7/Skills!G7,1)+IF(Skills!G7&gt;0,MIN(Skills!H7,MAX(0,MAX(0,Inputs!$B$43-B1416)-((R1389-1)*(IF(Inputs!$B$38="pvp",15,MAX(0.1,Skills!D7-IF(TRUE=TRUE,Inputs!$B$32,0)))*(1-IF(AND(ArtifactsInput!$M$27,Inputs!$B$4="Chapter Hunt"),CHOOSE(ArtifactsInput!$N$27+1,20,24,28,32,36,40),0)/100)))))/Skills!G7,1)))/Inputs!$B$43),G1389*Q1389))*IF(Inputs!$B$38="pvp",1,1+(Inputs!$B$20+Skills!O7+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1389*(1-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1389*(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1389*(1-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1389*(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89">
        <f>IF(C1389,(H1389*N1389*IF(AND(Inputs!$B$38&lt;&gt;"pvp",Inputs!$B$43&gt;0),((Skills!F7*((R1389-1)*IF(Skills!G7&gt;0,Skills!H7/Skills!G7,1)+IF(Skills!G7&gt;0,MIN(Skills!H7,MAX(0,MAX(0,Inputs!$B$43-B1416)-((R1389-1)*(IF(Inputs!$B$38="pvp",15,MAX(0.1,Skills!D7-IF(TRUE=TRUE,Inputs!$B$32,0)))*(1-IF(AND(ArtifactsInput!$M$27,Inputs!$B$4="Chapter Hunt"),CHOOSE(ArtifactsInput!$N$27+1,20,24,28,32,36,40),0)/100)))))/Skills!G7,1)))/Inputs!$B$43),G1389*Q1389))*IF(Inputs!$B$38="pvp",1,(1+(Inputs!$B$21+Skills!P7+B1410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0">
      <c r="A1390">
        <f>Skills!A8</f>
        <v/>
      </c>
      <c r="B1390">
        <f>Skills!B8</f>
        <v/>
      </c>
      <c r="C1390">
        <f>Inputs!$B$3&gt;=103</f>
        <v/>
      </c>
      <c r="D1390">
        <f>IF(Skills!C8=1,60+Inputs!$B$25+Inputs!$B$29,IF(Skills!C8=2,90+Inputs!$B$26+Inputs!$B$29,IF(Skills!C8=3,120+Inputs!$B$27+Inputs!$B$29,MAX(0,(Inputs!$B$3-100)*3)+Inputs!$B$28+Inputs!$B$29)))</f>
        <v/>
      </c>
      <c r="E1390">
        <f>INDEX(FactorTable!$B$2:$Y$301, MATCH(ROUND(MIN(300,MAX(1,D1390)),0), FactorTable!$A$2:$A$301,0), Skills!L8+1)</f>
        <v/>
      </c>
      <c r="F1390">
        <f>IF(Skills!M8=TRUE,(Skills!K8/10)*(E1390/1000),Skills!K8/10)+Skills!N8</f>
        <v/>
      </c>
      <c r="G1390">
        <f>Calc!G8</f>
        <v/>
      </c>
      <c r="H1390">
        <f>Calc!H8</f>
        <v/>
      </c>
      <c r="I1390">
        <f>IF(Skills!T8&lt;&gt;"",1+(Skills!T8/10)*(Z1385/1000)/100,1)</f>
        <v/>
      </c>
      <c r="J1390">
        <f>((Inputs!$B$6*(1+Inputs!$B$7/100))+(((Inputs!$B$12*(1+Inputs!$B$13/100))-(Inputs!$B$12*(1+Inputs!$B$13/100)))+0.25*(Inputs!$B$14-Inputs!$B$14))*(1+Inputs!$B$7/100))*(F1390/100)</f>
        <v/>
      </c>
      <c r="K1390">
        <f>J1390*(1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8="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1390)</f>
        <v/>
      </c>
      <c r="L1390">
        <f>K1390*(MIN(Inputs!$B$22+(F1400-Calc!F18),(Inputs!$B$23+(IF(ArtifactsInput!$M$15,CHOOSE(ArtifactsInput!$N$15+1,25,30,35,40,45,50)/100*(Inputs!$B$11-Inputs!$B$11),0))))/100+(Inputs!$B$23+(IF(ArtifactsInput!$M$15,CHOOSE(ArtifactsInput!$N$15+1,25,30,35,40,45,50)/100*(Inputs!$B$11-Inputs!$B$11),0)))/100)/2</f>
        <v/>
      </c>
      <c r="M1390">
        <f>L1390*(1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0">
        <f>L1390*(1-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1390*(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0">
        <f>(1-Summary!$B$11)*S1390+Summary!$B$11*U1390</f>
        <v/>
      </c>
      <c r="P1390">
        <f>IF(B1419=0,0,O1390/B1419)</f>
        <v/>
      </c>
      <c r="Q1390">
        <f>IFERROR(1/(IF(Inputs!$B$38="pvp",15,MAX(0.1,Skills!D8-IF(TRUE=TRUE,Inputs!$B$32,0)))*(1-IF(AND(ArtifactsInput!$M$27,Inputs!$B$4="Chapter Hunt"),CHOOSE(ArtifactsInput!$N$27+1,20,24,28,32,36,40),0)/100)),0)</f>
        <v/>
      </c>
      <c r="R1390">
        <f>IF(AND(Inputs!$B$38&lt;&gt;"pvp",Inputs!$B$43&gt;0),IF(MAX(0,Inputs!$B$43-B1416)&lt;=0,0,(INT(MAX(0,Inputs!$B$43-B1416)/(IF(Inputs!$B$38="pvp",15,MAX(0.1,Skills!D8-IF(TRUE=TRUE,Inputs!$B$32,0)))*(1-IF(AND(ArtifactsInput!$M$27,Inputs!$B$4="Chapter Hunt"),CHOOSE(ArtifactsInput!$N$27+1,20,24,28,32,36,40),0)/100)))+1)),0)</f>
        <v/>
      </c>
      <c r="S1390">
        <f>IF(C1390,(H1390*N1390*IF(AND(Inputs!$B$38&lt;&gt;"pvp",Inputs!$B$43&gt;0),((Skills!F8*((R1390-1)*IF(Skills!G8&gt;0,Skills!H8/Skills!G8,1)+IF(Skills!G8&gt;0,MIN(Skills!H8,MAX(0,MAX(0,Inputs!$B$43-B1416)-((R1390-1)*(IF(Inputs!$B$38="pvp",15,MAX(0.1,Skills!D8-IF(TRUE=TRUE,Inputs!$B$32,0)))*(1-IF(AND(ArtifactsInput!$M$27,Inputs!$B$4="Chapter Hunt"),CHOOSE(ArtifactsInput!$N$27+1,20,24,28,32,36,40),0)/100)))))/Skills!G8,1)))/Inputs!$B$43),G1390*Q1390))*IF(Inputs!$B$38="pvp",1,1+(Inputs!$B$20+Skills!O8+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1390*(1-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1390*(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1390*(1-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1390*(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0">
        <f>IF(C1390,(H1390*N1390*IF(AND(Inputs!$B$38&lt;&gt;"pvp",Inputs!$B$43&gt;0),((Skills!F8*((R1390-1)*IF(Skills!G8&gt;0,Skills!H8/Skills!G8,1)+IF(Skills!G8&gt;0,MIN(Skills!H8,MAX(0,MAX(0,Inputs!$B$43-B1416)-((R1390-1)*(IF(Inputs!$B$38="pvp",15,MAX(0.1,Skills!D8-IF(TRUE=TRUE,Inputs!$B$32,0)))*(1-IF(AND(ArtifactsInput!$M$27,Inputs!$B$4="Chapter Hunt"),CHOOSE(ArtifactsInput!$N$27+1,20,24,28,32,36,40),0)/100)))))/Skills!G8,1)))/Inputs!$B$43),G1390*Q1390))*IF(Inputs!$B$38="pvp",1,(1+(Inputs!$B$21+Skills!P8+B1410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1">
      <c r="A1391">
        <f>Skills!A9</f>
        <v/>
      </c>
      <c r="B1391">
        <f>Skills!B9</f>
        <v/>
      </c>
      <c r="C1391">
        <f>Inputs!$B$3&gt;=105</f>
        <v/>
      </c>
      <c r="D1391">
        <f>IF(Skills!C9=1,60+Inputs!$B$25+Inputs!$B$29,IF(Skills!C9=2,90+Inputs!$B$26+Inputs!$B$29,IF(Skills!C9=3,120+Inputs!$B$27+Inputs!$B$29,MAX(0,(Inputs!$B$3-100)*3)+Inputs!$B$28+Inputs!$B$29)))</f>
        <v/>
      </c>
      <c r="E1391">
        <f>INDEX(FactorTable!$B$2:$Y$301, MATCH(ROUND(MIN(300,MAX(1,D1391)),0), FactorTable!$A$2:$A$301,0), Skills!L9+1)</f>
        <v/>
      </c>
      <c r="F1391">
        <f>IF(Skills!M9=TRUE,(Skills!K9/10)*(E1391/1000),Skills!K9/10)+Skills!N9</f>
        <v/>
      </c>
      <c r="G1391">
        <f>Calc!G9</f>
        <v/>
      </c>
      <c r="H1391">
        <f>Calc!H9</f>
        <v/>
      </c>
      <c r="I1391">
        <f>IF(Skills!T9&lt;&gt;"",1+(Skills!T9/10)*(Z1385/1000)/100,1)</f>
        <v/>
      </c>
      <c r="J1391">
        <f>((Inputs!$B$6*(1+Inputs!$B$7/100))+(((Inputs!$B$12*(1+Inputs!$B$13/100))-(Inputs!$B$12*(1+Inputs!$B$13/100)))+0.25*(Inputs!$B$14-Inputs!$B$14))*(1+Inputs!$B$7/100))*(F1391/100)</f>
        <v/>
      </c>
      <c r="K1391">
        <f>J1391*(1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9="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1391)</f>
        <v/>
      </c>
      <c r="L1391">
        <f>K1391*(MIN(Inputs!$B$22+(F1400-Calc!F18),(Inputs!$B$23+(IF(ArtifactsInput!$M$15,CHOOSE(ArtifactsInput!$N$15+1,25,30,35,40,45,50)/100*(Inputs!$B$11-Inputs!$B$11),0))))/100+(Inputs!$B$23+(IF(ArtifactsInput!$M$15,CHOOSE(ArtifactsInput!$N$15+1,25,30,35,40,45,50)/100*(Inputs!$B$11-Inputs!$B$11),0)))/100)/2</f>
        <v/>
      </c>
      <c r="M1391">
        <f>L1391*(1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1">
        <f>L1391*(1-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1">
        <f>(1-Summary!$B$11)*S1391+Summary!$B$11*U1391</f>
        <v/>
      </c>
      <c r="P1391">
        <f>IF(B1419=0,0,O1391/B1419)</f>
        <v/>
      </c>
      <c r="Q1391">
        <f>IFERROR(1/(IF(Inputs!$B$38="pvp",15,MAX(0.1,Skills!D9-IF(TRUE=TRUE,Inputs!$B$32,0)))*(1-IF(AND(ArtifactsInput!$M$27,Inputs!$B$4="Chapter Hunt"),CHOOSE(ArtifactsInput!$N$27+1,20,24,28,32,36,40),0)/100)),0)</f>
        <v/>
      </c>
      <c r="R1391">
        <f>IF(AND(Inputs!$B$38&lt;&gt;"pvp",Inputs!$B$43&gt;0),IF(MAX(0,Inputs!$B$43-B1416)&lt;=0,0,(INT(MAX(0,Inputs!$B$43-B1416)/(IF(Inputs!$B$38="pvp",15,MAX(0.1,Skills!D9-IF(TRUE=TRUE,Inputs!$B$32,0)))*(1-IF(AND(ArtifactsInput!$M$27,Inputs!$B$4="Chapter Hunt"),CHOOSE(ArtifactsInput!$N$27+1,20,24,28,32,36,40),0)/100)))+1)),0)</f>
        <v/>
      </c>
      <c r="S1391">
        <f>IF(C1391,(H1391*N1391*IF(AND(Inputs!$B$38&lt;&gt;"pvp",Inputs!$B$43&gt;0),((Skills!F9*((R1391-1)*IF(Skills!G9&gt;0,Skills!H9/Skills!G9,1)+IF(Skills!G9&gt;0,MIN(Skills!H9,MAX(0,MAX(0,Inputs!$B$43-B1416)-((R1391-1)*(IF(Inputs!$B$38="pvp",15,MAX(0.1,Skills!D9-IF(TRUE=TRUE,Inputs!$B$32,0)))*(1-IF(AND(ArtifactsInput!$M$27,Inputs!$B$4="Chapter Hunt"),CHOOSE(ArtifactsInput!$N$27+1,20,24,28,32,36,40),0)/100)))))/Skills!G9,1)))/Inputs!$B$43),G1391*Q1391))*IF(Inputs!$B$38="pvp",1,1+(Inputs!$B$20+Skills!O9+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1391*(1-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1391*(1-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1">
        <f>IF(C1391,(H1391*N1391*IF(AND(Inputs!$B$38&lt;&gt;"pvp",Inputs!$B$43&gt;0),((Skills!F9*((R1391-1)*IF(Skills!G9&gt;0,Skills!H9/Skills!G9,1)+IF(Skills!G9&gt;0,MIN(Skills!H9,MAX(0,MAX(0,Inputs!$B$43-B1416)-((R1391-1)*(IF(Inputs!$B$38="pvp",15,MAX(0.1,Skills!D9-IF(TRUE=TRUE,Inputs!$B$32,0)))*(1-IF(AND(ArtifactsInput!$M$27,Inputs!$B$4="Chapter Hunt"),CHOOSE(ArtifactsInput!$N$27+1,20,24,28,32,36,40),0)/100)))))/Skills!G9,1)))/Inputs!$B$43),G1391*Q1391))*IF(Inputs!$B$38="pvp",1,(1+(Inputs!$B$21+Skills!P9+B1410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2">
      <c r="A1392">
        <f>Skills!A10</f>
        <v/>
      </c>
      <c r="B1392">
        <f>Skills!B10</f>
        <v/>
      </c>
      <c r="C1392">
        <f>Inputs!$B$3&gt;=113</f>
        <v/>
      </c>
      <c r="D1392">
        <f>IF(Skills!C10=1,60+Inputs!$B$25+Inputs!$B$29,IF(Skills!C10=2,90+Inputs!$B$26+Inputs!$B$29,IF(Skills!C10=3,120+Inputs!$B$27+Inputs!$B$29,MAX(0,(Inputs!$B$3-100)*3)+Inputs!$B$28+Inputs!$B$29)))</f>
        <v/>
      </c>
      <c r="E1392">
        <f>INDEX(FactorTable!$B$2:$Y$301, MATCH(ROUND(MIN(300,MAX(1,D1392)),0), FactorTable!$A$2:$A$301,0), Skills!L10+1)</f>
        <v/>
      </c>
      <c r="F1392">
        <f>IF(Skills!M10=TRUE,(Skills!K10/10)*(E1392/1000),Skills!K10/10)+Skills!N10</f>
        <v/>
      </c>
      <c r="G1392">
        <f>Calc!G10</f>
        <v/>
      </c>
      <c r="H1392">
        <f>Calc!H10</f>
        <v/>
      </c>
      <c r="I1392">
        <f>IF(Skills!T10&lt;&gt;"",1+(Skills!T10/10)*(Z1385/1000)/100,1)</f>
        <v/>
      </c>
      <c r="J1392">
        <f>((Inputs!$B$6*(1+Inputs!$B$7/100))+(((Inputs!$B$12*(1+Inputs!$B$13/100))-(Inputs!$B$12*(1+Inputs!$B$13/100)))+0.25*(Inputs!$B$14-Inputs!$B$14))*(1+Inputs!$B$7/100))*(F1392/100)</f>
        <v/>
      </c>
      <c r="K1392">
        <f>J1392*(1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10="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1392)</f>
        <v/>
      </c>
      <c r="L1392">
        <f>K1392*(MIN(Inputs!$B$22+(F1400-Calc!F18),(Inputs!$B$23+(IF(ArtifactsInput!$M$15,CHOOSE(ArtifactsInput!$N$15+1,25,30,35,40,45,50)/100*(Inputs!$B$11-Inputs!$B$11),0))))/100+(Inputs!$B$23+(IF(ArtifactsInput!$M$15,CHOOSE(ArtifactsInput!$N$15+1,25,30,35,40,45,50)/100*(Inputs!$B$11-Inputs!$B$11),0)))/100)/2</f>
        <v/>
      </c>
      <c r="M1392">
        <f>L1392*(1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2">
        <f>L1392*(1-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1392*(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2">
        <f>(1-Summary!$B$11)*S1392+Summary!$B$11*U1392</f>
        <v/>
      </c>
      <c r="P1392">
        <f>IF(B1419=0,0,O1392/B1419)</f>
        <v/>
      </c>
      <c r="Q1392">
        <f>IFERROR(1/(IF(Inputs!$B$38="pvp",15,MAX(0.1,Skills!D10-IF(TRUE=TRUE,Inputs!$B$32,0)))*(1-IF(AND(ArtifactsInput!$M$27,Inputs!$B$4="Chapter Hunt"),CHOOSE(ArtifactsInput!$N$27+1,20,24,28,32,36,40),0)/100)),0)</f>
        <v/>
      </c>
      <c r="R1392" t="n">
        <v>0</v>
      </c>
      <c r="S1392">
        <f>IF(C1392,((H1392*B1420)/(1+Skills!G10*H1392*B1420)*N1392)*IF(Inputs!$B$38="pvp",1,1+(Inputs!$B$20+Skills!O10+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1392*(1-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1392*(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1392*(1-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1392*(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2">
        <f>IF(C1392,((H1392*B1420)/(1+Skills!G10*H1392*B1420)*N1392)*IF(Inputs!$B$38="pvp",1,(1+(Inputs!$B$21+Skills!P10+B1410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3">
      <c r="A1393">
        <f>Skills!A11</f>
        <v/>
      </c>
      <c r="B1393">
        <f>Skills!B11</f>
        <v/>
      </c>
      <c r="C1393">
        <f>Inputs!$B$3&gt;=107</f>
        <v/>
      </c>
      <c r="D1393">
        <f>IF(Skills!C11=1,60+Inputs!$B$25+Inputs!$B$29,IF(Skills!C11=2,90+Inputs!$B$26+Inputs!$B$29,IF(Skills!C11=3,120+Inputs!$B$27+Inputs!$B$29,MAX(0,(Inputs!$B$3-100)*3)+Inputs!$B$28+Inputs!$B$29)))</f>
        <v/>
      </c>
      <c r="E1393">
        <f>INDEX(FactorTable!$B$2:$Y$301, MATCH(ROUND(MIN(300,MAX(1,D1393)),0), FactorTable!$A$2:$A$301,0), Skills!L11+1)</f>
        <v/>
      </c>
      <c r="F1393">
        <f>IF(Skills!M11=TRUE,(Skills!K11/10)*(E1393/1000),Skills!K11/10)+Skills!N11</f>
        <v/>
      </c>
      <c r="G1393">
        <f>Calc!G11</f>
        <v/>
      </c>
      <c r="H1393">
        <f>Calc!H11</f>
        <v/>
      </c>
      <c r="I1393">
        <f>IF(Skills!T11&lt;&gt;"",1+(Skills!T11/10)*(Z1385/1000)/100,1)</f>
        <v/>
      </c>
      <c r="J1393">
        <f>((Inputs!$B$6*(1+Inputs!$B$7/100))+(((Inputs!$B$12*(1+Inputs!$B$13/100))-(Inputs!$B$12*(1+Inputs!$B$13/100)))+0.25*(Inputs!$B$14-Inputs!$B$14))*(1+Inputs!$B$7/100))*(F1393/100)</f>
        <v/>
      </c>
      <c r="K1393">
        <f>J1393*(1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11="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1393)</f>
        <v/>
      </c>
      <c r="L1393">
        <f>K1393*(MIN(Inputs!$B$22+(F1400-Calc!F18),(Inputs!$B$23+(IF(ArtifactsInput!$M$15,CHOOSE(ArtifactsInput!$N$15+1,25,30,35,40,45,50)/100*(Inputs!$B$11-Inputs!$B$11),0))))/100+(Inputs!$B$23+(IF(ArtifactsInput!$M$15,CHOOSE(ArtifactsInput!$N$15+1,25,30,35,40,45,50)/100*(Inputs!$B$11-Inputs!$B$11),0)))/100)/2</f>
        <v/>
      </c>
      <c r="M1393">
        <f>L1393*(1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3">
        <f>L1393*(1-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1393*(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3">
        <f>(1-Summary!$B$11)*S1393+Summary!$B$11*U1393</f>
        <v/>
      </c>
      <c r="P1393">
        <f>IF(B1419=0,0,O1393/B1419)</f>
        <v/>
      </c>
      <c r="Q1393">
        <f>IFERROR(1/(IF(Inputs!$B$38="pvp",15,MAX(0.1,Skills!D11-IF(TRUE=TRUE,Inputs!$B$32,0)))*(1-IF(AND(ArtifactsInput!$M$27,Inputs!$B$4="Chapter Hunt"),CHOOSE(ArtifactsInput!$N$27+1,20,24,28,32,36,40),0)/100)),0)</f>
        <v/>
      </c>
      <c r="R1393">
        <f>IF(AND(Inputs!$B$38&lt;&gt;"pvp",Inputs!$B$43&gt;0),IF(MAX(0,Inputs!$B$43-B1416)&lt;=0,0,(INT(MAX(0,Inputs!$B$43-B1416)/(IF(Inputs!$B$38="pvp",15,MAX(0.1,Skills!D11-IF(TRUE=TRUE,Inputs!$B$32,0)))*(1-IF(AND(ArtifactsInput!$M$27,Inputs!$B$4="Chapter Hunt"),CHOOSE(ArtifactsInput!$N$27+1,20,24,28,32,36,40),0)/100)))+1)),0)</f>
        <v/>
      </c>
      <c r="S1393">
        <f>IF(C1393,H1393*N1393*IF(AND(Inputs!$B$38&lt;&gt;"pvp",Inputs!$B$43&gt;0),((Skills!F11*((R1393-1)*IF(Skills!G11&gt;0,Skills!H11/Skills!G11,1)+IF(Skills!G11&gt;0,MIN(Skills!H11,MAX(0,MAX(0,Inputs!$B$43-B1416)-((R1393-1)*(IF(Inputs!$B$38="pvp",15,MAX(0.1,Skills!D11-IF(TRUE=TRUE,Inputs!$B$32,0)))*(1-IF(AND(ArtifactsInput!$M$27,Inputs!$B$4="Chapter Hunt"),CHOOSE(ArtifactsInput!$N$27+1,20,24,28,32,36,40),0)/100)))))/Skills!G11,1)))/Inputs!$B$43),G1393*Q1393)*0.5*IF(Inputs!$B$38="pvp",1,1+(Inputs!$B$20+Skills!O11+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1393*(1-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1393*(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1393*(1-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1393*(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3">
        <f>IF(C1393,H1393*N1393*IF(AND(Inputs!$B$38&lt;&gt;"pvp",Inputs!$B$43&gt;0),((Skills!F11*((R1393-1)*IF(Skills!G11&gt;0,Skills!H11/Skills!G11,1)+IF(Skills!G11&gt;0,MIN(Skills!H11,MAX(0,MAX(0,Inputs!$B$43-B1416)-((R1393-1)*(IF(Inputs!$B$38="pvp",15,MAX(0.1,Skills!D11-IF(TRUE=TRUE,Inputs!$B$32,0)))*(1-IF(AND(ArtifactsInput!$M$27,Inputs!$B$4="Chapter Hunt"),CHOOSE(ArtifactsInput!$N$27+1,20,24,28,32,36,40),0)/100)))))/Skills!G11,1)))/Inputs!$B$43),G1393*Q1393)*1*IF(Inputs!$B$38="pvp",1,(1+(Inputs!$B$21+Skills!P11+B1410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4">
      <c r="A1394">
        <f>Skills!A12</f>
        <v/>
      </c>
      <c r="B1394">
        <f>Skills!B12</f>
        <v/>
      </c>
      <c r="C1394">
        <f>Inputs!$B$3&gt;=115</f>
        <v/>
      </c>
      <c r="D1394">
        <f>IF(Skills!C12=1,60+Inputs!$B$25+Inputs!$B$29,IF(Skills!C12=2,90+Inputs!$B$26+Inputs!$B$29,IF(Skills!C12=3,120+Inputs!$B$27+Inputs!$B$29,MAX(0,(Inputs!$B$3-100)*3)+Inputs!$B$28+Inputs!$B$29)))</f>
        <v/>
      </c>
      <c r="E1394">
        <f>INDEX(FactorTable!$B$2:$Y$301, MATCH(ROUND(MIN(300,MAX(1,D1394)),0), FactorTable!$A$2:$A$301,0), Skills!L12+1)</f>
        <v/>
      </c>
      <c r="F1394">
        <f>IF(Skills!M12=TRUE,(Skills!K12/10)*(E1394/1000),Skills!K12/10)+Skills!N12</f>
        <v/>
      </c>
      <c r="G1394">
        <f>Calc!G12</f>
        <v/>
      </c>
      <c r="H1394">
        <f>Calc!H12</f>
        <v/>
      </c>
      <c r="I1394">
        <f>IF(Skills!T12&lt;&gt;"",1+(Skills!T12/10)*(Z1385/1000)/100,1)</f>
        <v/>
      </c>
      <c r="J1394">
        <f>((Inputs!$B$6*(1+Inputs!$B$7/100))+(((Inputs!$B$12*(1+Inputs!$B$13/100))-(Inputs!$B$12*(1+Inputs!$B$13/100)))+0.25*(Inputs!$B$14-Inputs!$B$14))*(1+Inputs!$B$7/100))*(F1394/100)</f>
        <v/>
      </c>
      <c r="K1394">
        <f>J1394*(1+((Inputs!$B$12*(1+Inputs!$B$13/100))*0.01+Inputs!$B$14*0.0025)/100)*(1+(Inputs!$B$15+B1411)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1397=TRUE,F1397,0)/100)*(1+IF(C1405=TRUE,F1405,0)/100)^5*(1+(IF(Skills!A12="CHAIN_LIGHTNING",Inputs!$B$17+((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1409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1394)</f>
        <v/>
      </c>
      <c r="L1394">
        <f>K1394*(MIN(Inputs!$B$22+(F1400-Calc!F18),(Inputs!$B$23+(IF(ArtifactsInput!$M$15,CHOOSE(ArtifactsInput!$N$15+1,25,30,35,40,45,50)/100*(Inputs!$B$11-Inputs!$B$11),0))))/100+(Inputs!$B$23+(IF(ArtifactsInput!$M$15,CHOOSE(ArtifactsInput!$N$15+1,25,30,35,40,45,50)/100*(Inputs!$B$11-Inputs!$B$11),0)))/100)/2</f>
        <v/>
      </c>
      <c r="M1394">
        <f>L1394*(1+(Inputs!$B$10+(F1403-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94">
        <f>L1394*(1-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1394*(MIN((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94">
        <f>(1-Summary!$B$11)*S1394+Summary!$B$11*U1394</f>
        <v/>
      </c>
      <c r="P1394">
        <f>IF(B1419=0,0,O1394/B1419)</f>
        <v/>
      </c>
      <c r="Q1394">
        <f>IFERROR(1/(IF(Inputs!$B$38="pvp",15,MAX(0.1,Skills!D12-IF(TRUE=TRUE,Inputs!$B$32,0)))*(1-IF(AND(ArtifactsInput!$M$27,Inputs!$B$4="Chapter Hunt"),CHOOSE(ArtifactsInput!$N$27+1,20,24,28,32,36,40),0)/100)),0)</f>
        <v/>
      </c>
      <c r="R1394">
        <f>IF(AND(Inputs!$B$38&lt;&gt;"pvp",Inputs!$B$43&gt;0),IF(MAX(0,Inputs!$B$43-B1416)&lt;=0,0,(INT(MAX(0,Inputs!$B$43-B1416)/(IF(Inputs!$B$38="pvp",15,MAX(0.1,Skills!D12-IF(TRUE=TRUE,Inputs!$B$32,0)))*(1-IF(AND(ArtifactsInput!$M$27,Inputs!$B$4="Chapter Hunt"),CHOOSE(ArtifactsInput!$N$27+1,20,24,28,32,36,40),0)/100)))+1)),0)</f>
        <v/>
      </c>
      <c r="S1394">
        <f>IF(C1394,(H1394*N1394*IF(AND(Inputs!$B$38&lt;&gt;"pvp",Inputs!$B$43&gt;0),((Skills!F12*((R1394-1)*IF(Skills!G12&gt;0,Skills!H12/Skills!G12,1)+IF(Skills!G12&gt;0,MIN(Skills!H12,MAX(0,MAX(0,Inputs!$B$43-B1416)-((R1394-1)*(IF(Inputs!$B$38="pvp",15,MAX(0.1,Skills!D12-IF(TRUE=TRUE,Inputs!$B$32,0)))*(1-IF(AND(ArtifactsInput!$M$27,Inputs!$B$4="Chapter Hunt"),CHOOSE(ArtifactsInput!$N$27+1,20,24,28,32,36,40),0)/100)))))/Skills!G12,1)))/Inputs!$B$43),G1394*Q1394))*IF(Inputs!$B$38="pvp",1,1+(Inputs!$B$20+Skills!O12+B1410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1394*(1-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1394*(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1394*(1-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1394*(MIN(100,(Inputs!$B$9+((F1402-Calc!F20)+(F1401-Calc!F19))+(ArtifactsInput!$M$24-ArtifactsInput!$M$24)*CHOOSE(ArtifactsInput!$N$24+1,10,12,14,16,18,20)+(IF(AND(Inputs!$B$38&lt;&gt;"pvp",Inputs!$B$43=0),1,IF(IF(Inputs!$B$38="pvp",15,Inputs!$B$43)-(B1416)&lt;=0,1,MAX(0,IF(Inputs!$B$38="pvp",15,Inputs!$B$43)-MAX(5,B1416))/(IF(Inputs!$B$38="pvp",15,Inputs!$B$43)-(B1416)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94">
        <f>IF(C1394,(H1394*N1394*IF(AND(Inputs!$B$38&lt;&gt;"pvp",Inputs!$B$43&gt;0),((Skills!F12*((R1394-1)*IF(Skills!G12&gt;0,Skills!H12/Skills!G12,1)+IF(Skills!G12&gt;0,MIN(Skills!H12,MAX(0,MAX(0,Inputs!$B$43-B1416)-((R1394-1)*(IF(Inputs!$B$38="pvp",15,MAX(0.1,Skills!D12-IF(TRUE=TRUE,Inputs!$B$32,0)))*(1-IF(AND(ArtifactsInput!$M$27,Inputs!$B$4="Chapter Hunt"),CHOOSE(ArtifactsInput!$N$27+1,20,24,28,32,36,40),0)/100)))))/Skills!G12,1)))/Inputs!$B$43),G1394*Q1394))*IF(Inputs!$B$38="pvp",1,(1+(Inputs!$B$21+Skills!P12+B1410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95">
      <c r="A1395">
        <f>Skills!A13</f>
        <v/>
      </c>
      <c r="B1395">
        <f>Skills!B13</f>
        <v/>
      </c>
      <c r="C1395">
        <f>Inputs!$B$3&gt;=49</f>
        <v/>
      </c>
      <c r="D1395">
        <f>IF(Skills!C13=1,60+Inputs!$B$25+Inputs!$B$29,IF(Skills!C13=2,90+Inputs!$B$26+Inputs!$B$29,IF(Skills!C13=3,120+Inputs!$B$27+Inputs!$B$29,MAX(0,(Inputs!$B$3-100)*3)+Inputs!$B$28+Inputs!$B$29)))</f>
        <v/>
      </c>
      <c r="E1395">
        <f>INDEX(FactorTable!$B$2:$Y$301, MATCH(ROUND(MIN(300,MAX(1,D1395)),0), FactorTable!$A$2:$A$301,0), Skills!L13+1)</f>
        <v/>
      </c>
      <c r="F1395">
        <f>IF(Skills!M13=TRUE,(Skills!K13/10)*(E1395/1000),Skills!K13/10)+Skills!N13</f>
        <v/>
      </c>
      <c r="G1395">
        <f>Calc!G13</f>
        <v/>
      </c>
      <c r="H1395">
        <f>Calc!H13</f>
        <v/>
      </c>
      <c r="I1395">
        <f>IF(Skills!T13&lt;&gt;"",1+(Skills!T13/10)*(Z1385/1000)/100,1)</f>
        <v/>
      </c>
      <c r="J1395" t="inlineStr"/>
      <c r="K1395" t="inlineStr"/>
      <c r="L1395" t="inlineStr"/>
      <c r="M1395" t="inlineStr"/>
      <c r="N1395" t="inlineStr"/>
      <c r="O1395">
        <f>(1-Summary!$B$11)*S1395+Summary!$B$11*U1395</f>
        <v/>
      </c>
      <c r="P1395">
        <f>IF(B1419=0,0,O1395/B1419)</f>
        <v/>
      </c>
      <c r="Q1395">
        <f>IFERROR(1/(IF(Inputs!$B$38="pvp",15,MAX(0.1,Skills!D13-IF(TRUE=TRUE,Inputs!$B$32,0)))*(1-IF(AND(ArtifactsInput!$M$27,Inputs!$B$4="Chapter Hunt"),CHOOSE(ArtifactsInput!$N$27+1,20,24,28,32,36,40),0)/100)),0)</f>
        <v/>
      </c>
      <c r="R1395" t="n">
        <v>0</v>
      </c>
      <c r="S1395" t="n">
        <v>0</v>
      </c>
      <c r="U1395" t="n">
        <v>0</v>
      </c>
    </row>
    <row r="1396">
      <c r="A1396">
        <f>Skills!A14</f>
        <v/>
      </c>
      <c r="B1396">
        <f>Skills!B14</f>
        <v/>
      </c>
      <c r="C1396">
        <f>Inputs!$B$3&gt;=72</f>
        <v/>
      </c>
      <c r="D1396">
        <f>IF(Skills!C14=1,60+Inputs!$B$25+Inputs!$B$29,IF(Skills!C14=2,90+Inputs!$B$26+Inputs!$B$29,IF(Skills!C14=3,120+Inputs!$B$27+Inputs!$B$29,MAX(0,(Inputs!$B$3-100)*3)+Inputs!$B$28+Inputs!$B$29)))</f>
        <v/>
      </c>
      <c r="E1396">
        <f>INDEX(FactorTable!$B$2:$Y$301, MATCH(ROUND(MIN(300,MAX(1,D1396)),0), FactorTable!$A$2:$A$301,0), Skills!L14+1)</f>
        <v/>
      </c>
      <c r="F1396">
        <f>IF(Skills!M14=TRUE,(Skills!K14/10)*(E1396/1000),Skills!K14/10)+Skills!N14</f>
        <v/>
      </c>
      <c r="G1396">
        <f>Calc!G14</f>
        <v/>
      </c>
      <c r="H1396">
        <f>Calc!H14</f>
        <v/>
      </c>
      <c r="I1396">
        <f>IF(Skills!T14&lt;&gt;"",1+(Skills!T14/10)*(Z1385/1000)/100,1)</f>
        <v/>
      </c>
      <c r="J1396" t="inlineStr"/>
      <c r="K1396" t="inlineStr"/>
      <c r="L1396" t="inlineStr"/>
      <c r="M1396" t="inlineStr"/>
      <c r="N1396" t="inlineStr"/>
      <c r="O1396">
        <f>(1-Summary!$B$11)*S1396+Summary!$B$11*U1396</f>
        <v/>
      </c>
      <c r="P1396">
        <f>IF(B1419=0,0,O1396/B1419)</f>
        <v/>
      </c>
      <c r="Q1396">
        <f>IFERROR(1/(IF(Inputs!$B$38="pvp",15,MAX(0.1,Skills!D14-IF(TRUE=TRUE,Inputs!$B$32,0)))*(1-IF(AND(ArtifactsInput!$M$27,Inputs!$B$4="Chapter Hunt"),CHOOSE(ArtifactsInput!$N$27+1,20,24,28,32,36,40),0)/100)),0)</f>
        <v/>
      </c>
      <c r="R1396" t="n">
        <v>0</v>
      </c>
      <c r="S1396" t="n">
        <v>0</v>
      </c>
      <c r="U1396" t="n">
        <v>0</v>
      </c>
    </row>
    <row r="1397">
      <c r="A1397">
        <f>Skills!A15</f>
        <v/>
      </c>
      <c r="B1397">
        <f>Skills!B15</f>
        <v/>
      </c>
      <c r="C1397">
        <f>Inputs!$B$3&gt;=75</f>
        <v/>
      </c>
      <c r="D1397">
        <f>IF(Skills!C15=1,60+Inputs!$B$25+Inputs!$B$29,IF(Skills!C15=2,90+Inputs!$B$26+Inputs!$B$29,IF(Skills!C15=3,120+Inputs!$B$27+Inputs!$B$29,MAX(0,(Inputs!$B$3-100)*3)+Inputs!$B$28+Inputs!$B$29)))</f>
        <v/>
      </c>
      <c r="E1397">
        <f>INDEX(FactorTable!$B$2:$Y$301, MATCH(ROUND(MIN(300,MAX(1,D1397)),0), FactorTable!$A$2:$A$301,0), Skills!L15+1)</f>
        <v/>
      </c>
      <c r="F1397">
        <f>IF(Skills!M15=TRUE,(Skills!K15/10)*(E1397/1000),Skills!K15/10)+Skills!N15</f>
        <v/>
      </c>
      <c r="G1397">
        <f>Calc!G15</f>
        <v/>
      </c>
      <c r="H1397">
        <f>Calc!H15</f>
        <v/>
      </c>
      <c r="I1397">
        <f>IF(Skills!T15&lt;&gt;"",1+(Skills!T15/10)*(Z1385/1000)/100,1)</f>
        <v/>
      </c>
      <c r="J1397" t="inlineStr"/>
      <c r="K1397" t="inlineStr"/>
      <c r="L1397" t="inlineStr"/>
      <c r="M1397" t="inlineStr"/>
      <c r="N1397" t="inlineStr"/>
      <c r="O1397">
        <f>(1-Summary!$B$11)*S1397+Summary!$B$11*U1397</f>
        <v/>
      </c>
      <c r="P1397">
        <f>IF(B1419=0,0,O1397/B1419)</f>
        <v/>
      </c>
      <c r="Q1397">
        <f>IFERROR(1/(IF(Inputs!$B$38="pvp",15,MAX(0.1,Skills!D15-IF(TRUE=TRUE,Inputs!$B$32,0)))*(1-IF(AND(ArtifactsInput!$M$27,Inputs!$B$4="Chapter Hunt"),CHOOSE(ArtifactsInput!$N$27+1,20,24,28,32,36,40),0)/100)),0)</f>
        <v/>
      </c>
      <c r="R1397" t="n">
        <v>0</v>
      </c>
      <c r="S1397" t="n">
        <v>0</v>
      </c>
      <c r="U1397" t="n">
        <v>0</v>
      </c>
    </row>
    <row r="1398">
      <c r="A1398">
        <f>Skills!A16</f>
        <v/>
      </c>
      <c r="B1398">
        <f>Skills!B16</f>
        <v/>
      </c>
      <c r="C1398">
        <f>Inputs!$B$3&gt;=110</f>
        <v/>
      </c>
      <c r="D1398">
        <f>IF(Skills!C16=1,60+Inputs!$B$25+Inputs!$B$29,IF(Skills!C16=2,90+Inputs!$B$26+Inputs!$B$29,IF(Skills!C16=3,120+Inputs!$B$27+Inputs!$B$29,MAX(0,(Inputs!$B$3-100)*3)+Inputs!$B$28+Inputs!$B$29)))</f>
        <v/>
      </c>
      <c r="E1398">
        <f>INDEX(FactorTable!$B$2:$Y$301, MATCH(ROUND(MIN(300,MAX(1,D1398)),0), FactorTable!$A$2:$A$301,0), Skills!L16+1)</f>
        <v/>
      </c>
      <c r="F1398">
        <f>(Skills!K16/10)*(E1398/1000)*64/45+Skills!N16</f>
        <v/>
      </c>
      <c r="G1398">
        <f>Calc!G16</f>
        <v/>
      </c>
      <c r="H1398">
        <f>Calc!H16</f>
        <v/>
      </c>
      <c r="I1398">
        <f>IF(Skills!T16&lt;&gt;"",1+(Skills!T16/10)*(Z1385/1000)/100,1)</f>
        <v/>
      </c>
      <c r="J1398" t="inlineStr"/>
      <c r="K1398" t="inlineStr"/>
      <c r="L1398" t="inlineStr"/>
      <c r="M1398" t="inlineStr"/>
      <c r="N1398" t="inlineStr"/>
      <c r="O1398">
        <f>(1-Summary!$B$11)*S1398+Summary!$B$11*U1398</f>
        <v/>
      </c>
      <c r="P1398">
        <f>IF(B1419=0,0,O1398/B1419)</f>
        <v/>
      </c>
      <c r="Q1398">
        <f>IFERROR(1/(IF(Inputs!$B$38="pvp",15,MAX(0.1,Skills!D16-IF(TRUE=TRUE,Inputs!$B$32,0)))*(1-IF(AND(ArtifactsInput!$M$27,Inputs!$B$4="Chapter Hunt"),CHOOSE(ArtifactsInput!$N$27+1,20,24,28,32,36,40),0)/100)),0)</f>
        <v/>
      </c>
      <c r="R1398">
        <f>IF(AND(Inputs!$B$38&lt;&gt;"pvp",Inputs!$B$43&gt;0),IF(Inputs!$B$43&lt;=0,0,(INT(Inputs!$B$43/(IF(Inputs!$B$38="pvp",15,MAX(0.1,Skills!D16-IF(TRUE=TRUE,Inputs!$B$32,0)))*(1-IF(AND(ArtifactsInput!$M$27,Inputs!$B$4="Chapter Hunt"),CHOOSE(ArtifactsInput!$N$27+1,20,24,28,32,36,40),0)/100)))+1)),0)</f>
        <v/>
      </c>
      <c r="S1398" t="n">
        <v>0</v>
      </c>
      <c r="U1398" t="n">
        <v>0</v>
      </c>
    </row>
    <row r="1399">
      <c r="A1399">
        <f>Skills!A17</f>
        <v/>
      </c>
      <c r="B1399">
        <f>Skills!B17</f>
        <v/>
      </c>
      <c r="C1399">
        <f>Inputs!$B$3&gt;=33</f>
        <v/>
      </c>
      <c r="D1399">
        <f>IF(Skills!C17=1,60+Inputs!$B$25+Inputs!$B$29,IF(Skills!C17=2,90+Inputs!$B$26+Inputs!$B$29,IF(Skills!C17=3,120+Inputs!$B$27+Inputs!$B$29,MAX(0,(Inputs!$B$3-100)*3)+Inputs!$B$28+Inputs!$B$29)))</f>
        <v/>
      </c>
      <c r="E1399">
        <f>INDEX(FactorTable!$B$2:$Y$301, MATCH(ROUND(MIN(300,MAX(1,D1399)),0), FactorTable!$A$2:$A$301,0), Skills!L17+1)</f>
        <v/>
      </c>
      <c r="F1399">
        <f>IF(Skills!M17=TRUE,(Skills!K17/10)*(E1399/1000),Skills!K17/10)+Skills!N17</f>
        <v/>
      </c>
      <c r="G1399">
        <f>Calc!G17</f>
        <v/>
      </c>
      <c r="H1399">
        <f>Calc!H17</f>
        <v/>
      </c>
      <c r="I1399">
        <f>IF(Skills!T17&lt;&gt;"",1+(Skills!T17/10)*(Z1385/1000)/100,1)</f>
        <v/>
      </c>
      <c r="J1399" t="inlineStr"/>
      <c r="K1399" t="inlineStr"/>
      <c r="L1399" t="inlineStr"/>
      <c r="M1399" t="inlineStr"/>
      <c r="N1399" t="inlineStr"/>
      <c r="O1399">
        <f>(1-Summary!$B$11)*S1399+Summary!$B$11*U1399</f>
        <v/>
      </c>
      <c r="P1399">
        <f>IF(B1419=0,0,O1399/B1419)</f>
        <v/>
      </c>
      <c r="Q1399">
        <f>IFERROR(1/(IF(Inputs!$B$38="pvp",15,MAX(0.1,Skills!D17-IF(TRUE=TRUE,Inputs!$B$32,0)))*(1-IF(AND(ArtifactsInput!$M$27,Inputs!$B$4="Chapter Hunt"),CHOOSE(ArtifactsInput!$N$27+1,20,24,28,32,36,40),0)/100)),0)</f>
        <v/>
      </c>
      <c r="R1399" t="n">
        <v>0</v>
      </c>
      <c r="S1399" t="n">
        <v>0</v>
      </c>
      <c r="U1399" t="n">
        <v>0</v>
      </c>
    </row>
    <row r="1400">
      <c r="A1400">
        <f>Skills!A18</f>
        <v/>
      </c>
      <c r="B1400">
        <f>Skills!B18</f>
        <v/>
      </c>
      <c r="C1400">
        <f>Inputs!$B$3&gt;=43</f>
        <v/>
      </c>
      <c r="D1400">
        <f>IF(Skills!C18=1,60+Inputs!$B$25+Inputs!$B$29,IF(Skills!C18=2,90+Inputs!$B$26+Inputs!$B$29,IF(Skills!C18=3,120+Inputs!$B$27+Inputs!$B$29,MAX(0,(Inputs!$B$3-100)*3)+Inputs!$B$28+Inputs!$B$29)))</f>
        <v/>
      </c>
      <c r="E1400">
        <f>INDEX(FactorTable!$B$2:$Y$301, MATCH(ROUND(MIN(300,MAX(1,D1400)),0), FactorTable!$A$2:$A$301,0), Skills!L18+1)</f>
        <v/>
      </c>
      <c r="F1400">
        <f>IF(Skills!M18=TRUE,(Skills!K18/10)*(E1400/1000),Skills!K18/10)+Skills!N18</f>
        <v/>
      </c>
      <c r="G1400">
        <f>Calc!G18</f>
        <v/>
      </c>
      <c r="H1400">
        <f>Calc!H18</f>
        <v/>
      </c>
      <c r="I1400">
        <f>IF(Skills!T18&lt;&gt;"",1+(Skills!T18/10)*(Z1385/1000)/100,1)</f>
        <v/>
      </c>
      <c r="J1400" t="inlineStr"/>
      <c r="K1400" t="inlineStr"/>
      <c r="L1400" t="inlineStr"/>
      <c r="M1400" t="inlineStr"/>
      <c r="N1400" t="inlineStr"/>
      <c r="O1400">
        <f>(1-Summary!$B$11)*S1400+Summary!$B$11*U1400</f>
        <v/>
      </c>
      <c r="P1400">
        <f>IF(B1419=0,0,O1400/B1419)</f>
        <v/>
      </c>
      <c r="Q1400">
        <f>IFERROR(1/(IF(Inputs!$B$38="pvp",15,MAX(0.1,Skills!D18-IF(TRUE=TRUE,Inputs!$B$32,0)))*(1-IF(AND(ArtifactsInput!$M$27,Inputs!$B$4="Chapter Hunt"),CHOOSE(ArtifactsInput!$N$27+1,20,24,28,32,36,40),0)/100)),0)</f>
        <v/>
      </c>
      <c r="R1400" t="n">
        <v>0</v>
      </c>
      <c r="S1400" t="n">
        <v>0</v>
      </c>
      <c r="U1400" t="n">
        <v>0</v>
      </c>
    </row>
    <row r="1401">
      <c r="A1401">
        <f>Skills!A19</f>
        <v/>
      </c>
      <c r="B1401">
        <f>Skills!B19</f>
        <v/>
      </c>
      <c r="C1401">
        <f>Inputs!$B$3&gt;=50</f>
        <v/>
      </c>
      <c r="D1401">
        <f>IF(Skills!C19=1,60+Inputs!$B$25+Inputs!$B$29,IF(Skills!C19=2,90+Inputs!$B$26+Inputs!$B$29,IF(Skills!C19=3,120+Inputs!$B$27+Inputs!$B$29,MAX(0,(Inputs!$B$3-100)*3)+Inputs!$B$28+Inputs!$B$29)))</f>
        <v/>
      </c>
      <c r="E1401">
        <f>INDEX(FactorTable!$B$2:$Y$301, MATCH(ROUND(MIN(300,MAX(1,D1401)),0), FactorTable!$A$2:$A$301,0), Skills!L19+1)</f>
        <v/>
      </c>
      <c r="F1401">
        <f>IF(Skills!M19=TRUE,(Skills!K19/10)*(E1401/1000),Skills!K19/10)+Skills!N19</f>
        <v/>
      </c>
      <c r="G1401">
        <f>Calc!G19</f>
        <v/>
      </c>
      <c r="H1401">
        <f>Calc!H19</f>
        <v/>
      </c>
      <c r="I1401">
        <f>IF(Skills!T19&lt;&gt;"",1+(Skills!T19/10)*(Z1385/1000)/100,1)</f>
        <v/>
      </c>
      <c r="J1401" t="inlineStr"/>
      <c r="K1401" t="inlineStr"/>
      <c r="L1401" t="inlineStr"/>
      <c r="M1401" t="inlineStr"/>
      <c r="N1401" t="inlineStr"/>
      <c r="O1401">
        <f>(1-Summary!$B$11)*S1401+Summary!$B$11*U1401</f>
        <v/>
      </c>
      <c r="P1401">
        <f>IF(B1419=0,0,O1401/B1419)</f>
        <v/>
      </c>
      <c r="Q1401">
        <f>IFERROR(1/(IF(Inputs!$B$38="pvp",15,MAX(0.1,Skills!D19-IF(TRUE=TRUE,Inputs!$B$32,0)))*(1-IF(AND(ArtifactsInput!$M$27,Inputs!$B$4="Chapter Hunt"),CHOOSE(ArtifactsInput!$N$27+1,20,24,28,32,36,40),0)/100)),0)</f>
        <v/>
      </c>
      <c r="R1401" t="n">
        <v>0</v>
      </c>
      <c r="S1401" t="n">
        <v>0</v>
      </c>
      <c r="U1401" t="n">
        <v>0</v>
      </c>
    </row>
    <row r="1402">
      <c r="A1402">
        <f>Skills!A20</f>
        <v/>
      </c>
      <c r="B1402">
        <f>Skills!B20</f>
        <v/>
      </c>
      <c r="C1402">
        <f>Inputs!$B$3&gt;=74</f>
        <v/>
      </c>
      <c r="D1402">
        <f>IF(Skills!C20=1,60+Inputs!$B$25+Inputs!$B$29,IF(Skills!C20=2,90+Inputs!$B$26+Inputs!$B$29,IF(Skills!C20=3,120+Inputs!$B$27+Inputs!$B$29,MAX(0,(Inputs!$B$3-100)*3)+Inputs!$B$28+Inputs!$B$29)))</f>
        <v/>
      </c>
      <c r="E1402">
        <f>INDEX(FactorTable!$B$2:$Y$301, MATCH(ROUND(MIN(300,MAX(1,D1402)),0), FactorTable!$A$2:$A$301,0), Skills!L20+1)</f>
        <v/>
      </c>
      <c r="F1402">
        <f>IF(Skills!M20=TRUE,(Skills!K20/10)*(E1402/1000),Skills!K20/10)+Skills!N20</f>
        <v/>
      </c>
      <c r="G1402">
        <f>Calc!G20</f>
        <v/>
      </c>
      <c r="H1402">
        <f>Calc!H20</f>
        <v/>
      </c>
      <c r="I1402">
        <f>IF(Skills!T20&lt;&gt;"",1+(Skills!T20/10)*(Z1385/1000)/100,1)</f>
        <v/>
      </c>
      <c r="J1402" t="inlineStr"/>
      <c r="K1402" t="inlineStr"/>
      <c r="L1402" t="inlineStr"/>
      <c r="M1402" t="inlineStr"/>
      <c r="N1402" t="inlineStr"/>
      <c r="O1402">
        <f>(1-Summary!$B$11)*S1402+Summary!$B$11*U1402</f>
        <v/>
      </c>
      <c r="P1402">
        <f>IF(B1419=0,0,O1402/B1419)</f>
        <v/>
      </c>
      <c r="Q1402">
        <f>IFERROR(1/(IF(Inputs!$B$38="pvp",15,MAX(0.1,Skills!D20-IF(TRUE=TRUE,Inputs!$B$32,0)))*(1-IF(AND(ArtifactsInput!$M$27,Inputs!$B$4="Chapter Hunt"),CHOOSE(ArtifactsInput!$N$27+1,20,24,28,32,36,40),0)/100)),0)</f>
        <v/>
      </c>
      <c r="R1402" t="n">
        <v>0</v>
      </c>
      <c r="S1402" t="n">
        <v>0</v>
      </c>
      <c r="U1402" t="n">
        <v>0</v>
      </c>
    </row>
    <row r="1403">
      <c r="A1403">
        <f>Skills!A21</f>
        <v/>
      </c>
      <c r="B1403">
        <f>Skills!B21</f>
        <v/>
      </c>
      <c r="C1403">
        <f>Inputs!$B$3&gt;=74</f>
        <v/>
      </c>
      <c r="D1403">
        <f>IF(Skills!C21=1,60+Inputs!$B$25+Inputs!$B$29,IF(Skills!C21=2,90+Inputs!$B$26+Inputs!$B$29,IF(Skills!C21=3,120+Inputs!$B$27+Inputs!$B$29,MAX(0,(Inputs!$B$3-100)*3)+Inputs!$B$28+Inputs!$B$29)))</f>
        <v/>
      </c>
      <c r="E1403">
        <f>INDEX(FactorTable!$B$2:$Y$301, MATCH(ROUND(MIN(300,MAX(1,D1403)),0), FactorTable!$A$2:$A$301,0), Skills!L21+1)</f>
        <v/>
      </c>
      <c r="F1403">
        <f>IF(Skills!M21=TRUE,(Skills!K21/10)*(E1403/1000),Skills!K21/10)+Skills!N21</f>
        <v/>
      </c>
      <c r="G1403">
        <f>Calc!G21</f>
        <v/>
      </c>
      <c r="H1403">
        <f>Calc!H21</f>
        <v/>
      </c>
      <c r="I1403">
        <f>IF(Skills!T21&lt;&gt;"",1+(Skills!T21/10)*(Z1385/1000)/100,1)</f>
        <v/>
      </c>
      <c r="J1403" t="inlineStr"/>
      <c r="K1403" t="inlineStr"/>
      <c r="L1403" t="inlineStr"/>
      <c r="M1403" t="inlineStr"/>
      <c r="N1403" t="inlineStr"/>
      <c r="O1403">
        <f>(1-Summary!$B$11)*S1403+Summary!$B$11*U1403</f>
        <v/>
      </c>
      <c r="P1403">
        <f>IF(B1419=0,0,O1403/B1419)</f>
        <v/>
      </c>
      <c r="Q1403">
        <f>IFERROR(1/(IF(Inputs!$B$38="pvp",15,MAX(0.1,Skills!D21-IF(TRUE=TRUE,Inputs!$B$32,0)))*(1-IF(AND(ArtifactsInput!$M$27,Inputs!$B$4="Chapter Hunt"),CHOOSE(ArtifactsInput!$N$27+1,20,24,28,32,36,40),0)/100)),0)</f>
        <v/>
      </c>
      <c r="R1403" t="n">
        <v>0</v>
      </c>
      <c r="S1403" t="n">
        <v>0</v>
      </c>
      <c r="U1403" t="n">
        <v>0</v>
      </c>
    </row>
    <row r="1404">
      <c r="A1404">
        <f>Skills!A22</f>
        <v/>
      </c>
      <c r="B1404">
        <f>Skills!B22</f>
        <v/>
      </c>
      <c r="C1404">
        <f>Inputs!$B$3&gt;=117</f>
        <v/>
      </c>
      <c r="D1404">
        <f>IF(Skills!C22=1,60+Inputs!$B$25+Inputs!$B$29,IF(Skills!C22=2,90+Inputs!$B$26+Inputs!$B$29,IF(Skills!C22=3,120+Inputs!$B$27+Inputs!$B$29,MAX(0,(Inputs!$B$3-100)*3)+Inputs!$B$28+Inputs!$B$29)))</f>
        <v/>
      </c>
      <c r="E1404">
        <f>INDEX(FactorTable!$B$2:$Y$301, MATCH(ROUND(MIN(300,MAX(1,D1404)),0), FactorTable!$A$2:$A$301,0), Skills!L22+1)</f>
        <v/>
      </c>
      <c r="F1404">
        <f>IF(Skills!M22=TRUE,(Skills!K22/10)*(E1404/1000),Skills!K22/10)+Skills!N22</f>
        <v/>
      </c>
      <c r="G1404">
        <f>Calc!G22</f>
        <v/>
      </c>
      <c r="H1404">
        <f>Calc!H22</f>
        <v/>
      </c>
      <c r="I1404">
        <f>IF(Skills!T22&lt;&gt;"",1+(Skills!T22/10)*(Z1385/1000)/100,1)</f>
        <v/>
      </c>
      <c r="J1404" t="inlineStr"/>
      <c r="K1404" t="inlineStr"/>
      <c r="L1404" t="inlineStr"/>
      <c r="M1404" t="inlineStr"/>
      <c r="N1404" t="inlineStr"/>
      <c r="O1404">
        <f>(1-Summary!$B$11)*S1404+Summary!$B$11*U1404</f>
        <v/>
      </c>
      <c r="P1404">
        <f>IF(B1419=0,0,O1404/B1419)</f>
        <v/>
      </c>
      <c r="Q1404">
        <f>IFERROR(1/(IF(Inputs!$B$38="pvp",15,MAX(0.1,Skills!D22-IF(TRUE=TRUE,Inputs!$B$32,0)))*(1-IF(AND(ArtifactsInput!$M$27,Inputs!$B$4="Chapter Hunt"),CHOOSE(ArtifactsInput!$N$27+1,20,24,28,32,36,40),0)/100)),0)</f>
        <v/>
      </c>
      <c r="R1404" t="n">
        <v>0</v>
      </c>
      <c r="S1404" t="n">
        <v>0</v>
      </c>
      <c r="U1404" t="n">
        <v>0</v>
      </c>
    </row>
    <row r="1405">
      <c r="A1405">
        <f>Skills!A23</f>
        <v/>
      </c>
      <c r="B1405">
        <f>Skills!B23</f>
        <v/>
      </c>
      <c r="C1405">
        <f>Inputs!$B$3&gt;=120</f>
        <v/>
      </c>
      <c r="D1405">
        <f>IF(Skills!C23=1,60+Inputs!$B$25+Inputs!$B$29,IF(Skills!C23=2,90+Inputs!$B$26+Inputs!$B$29,IF(Skills!C23=3,120+Inputs!$B$27+Inputs!$B$29,MAX(0,(Inputs!$B$3-100)*3)+Inputs!$B$28+Inputs!$B$29)))</f>
        <v/>
      </c>
      <c r="E1405">
        <f>INDEX(FactorTable!$B$2:$Y$301, MATCH(ROUND(MIN(300,MAX(1,D1405)),0), FactorTable!$A$2:$A$301,0), Skills!L23+1)</f>
        <v/>
      </c>
      <c r="F1405">
        <f>IF(Skills!M23=TRUE,(Skills!K23/10)*(E1405/1000),Skills!K23/10)+Skills!N23</f>
        <v/>
      </c>
      <c r="G1405">
        <f>Calc!G23</f>
        <v/>
      </c>
      <c r="H1405">
        <f>Calc!H23</f>
        <v/>
      </c>
      <c r="I1405">
        <f>IF(Skills!T23&lt;&gt;"",1+(Skills!T23/10)*(Z1385/1000)/100,1)</f>
        <v/>
      </c>
      <c r="J1405" t="inlineStr"/>
      <c r="K1405" t="inlineStr"/>
      <c r="L1405" t="inlineStr"/>
      <c r="M1405" t="inlineStr"/>
      <c r="N1405" t="inlineStr"/>
      <c r="O1405">
        <f>(1-Summary!$B$11)*S1405+Summary!$B$11*U1405</f>
        <v/>
      </c>
      <c r="P1405">
        <f>IF(B1419=0,0,O1405/B1419)</f>
        <v/>
      </c>
      <c r="Q1405">
        <f>IFERROR(1/(IF(Inputs!$B$38="pvp",15,MAX(0.1,Skills!D23-IF(TRUE=TRUE,Inputs!$B$32,0)))*(1-IF(AND(ArtifactsInput!$M$27,Inputs!$B$4="Chapter Hunt"),CHOOSE(ArtifactsInput!$N$27+1,20,24,28,32,36,40),0)/100)),0)</f>
        <v/>
      </c>
      <c r="R1405" t="n">
        <v>0</v>
      </c>
      <c r="S1405" t="n">
        <v>0</v>
      </c>
      <c r="U1405" t="n">
        <v>0</v>
      </c>
    </row>
    <row r="1406">
      <c r="A1406">
        <f>Skills!A24</f>
        <v/>
      </c>
      <c r="B1406">
        <f>Skills!B24</f>
        <v/>
      </c>
      <c r="C1406">
        <f>TRUE</f>
        <v/>
      </c>
      <c r="D1406">
        <f>IF(Skills!C24=1,60+Inputs!$B$25+Inputs!$B$29,IF(Skills!C24=2,90+Inputs!$B$26+Inputs!$B$29,IF(Skills!C24=3,120+Inputs!$B$27+Inputs!$B$29,MAX(0,(Inputs!$B$3-100)*3)+Inputs!$B$28+Inputs!$B$29)))</f>
        <v/>
      </c>
      <c r="E1406">
        <f>INDEX(FactorTable!$B$2:$Y$301, MATCH(ROUND(MIN(300,MAX(1,D1406)),0), FactorTable!$A$2:$A$301,0), Skills!L24+1)</f>
        <v/>
      </c>
      <c r="F1406">
        <f>IF(Skills!M24=TRUE,(Skills!K24/10)*(E1406/1000),Skills!K24/10)+Skills!N24</f>
        <v/>
      </c>
      <c r="G1406">
        <f>Calc!G24</f>
        <v/>
      </c>
      <c r="H1406">
        <f>Calc!H24</f>
        <v/>
      </c>
      <c r="I1406">
        <f>IF(Skills!T24&lt;&gt;"",1+(Skills!T24/10)*(Z1385/1000)/100,1)</f>
        <v/>
      </c>
      <c r="J1406" t="inlineStr"/>
      <c r="K1406" t="inlineStr"/>
      <c r="L1406" t="inlineStr"/>
      <c r="M1406" t="inlineStr"/>
      <c r="N1406" t="inlineStr"/>
      <c r="O1406">
        <f>(1-Summary!$B$11)*S1406+Summary!$B$11*U1406</f>
        <v/>
      </c>
      <c r="P1406">
        <f>IF(B1419=0,0,O1406/B1419)</f>
        <v/>
      </c>
      <c r="Q1406">
        <f>IFERROR(1/(IF(Inputs!$B$38="pvp",15,MAX(0.1,Skills!D24-IF(TRUE=TRUE,Inputs!$B$32,0)))*(1-IF(AND(ArtifactsInput!$M$27,Inputs!$B$4="Chapter Hunt"),CHOOSE(ArtifactsInput!$N$27+1,20,24,28,32,36,40),0)/100)),0)</f>
        <v/>
      </c>
      <c r="R1406">
        <f>IF(AND(Inputs!$B$38&lt;&gt;"pvp",Inputs!$B$43&gt;0),IF(Inputs!$B$43&lt;=0,0,(INT(Inputs!$B$43/(IF(Inputs!$B$38="pvp",15,MAX(0.1,Skills!D24-IF(TRUE=TRUE,Inputs!$B$32,0)))*(1-IF(AND(ArtifactsInput!$M$27,Inputs!$B$4="Chapter Hunt"),CHOOSE(ArtifactsInput!$N$27+1,20,24,28,32,36,40),0)/100)))+1)),0)</f>
        <v/>
      </c>
      <c r="S1406" t="n">
        <v>0</v>
      </c>
      <c r="U1406" t="n">
        <v>0</v>
      </c>
    </row>
    <row r="1409">
      <c r="A1409" t="inlineStr">
        <is>
          <t>Average Buff Multiplier (Magic Guard + Meditation + Artifact Attack%, summed; then Infinity)</t>
        </is>
      </c>
      <c r="B1409">
        <f>(1+(IF(C1385=TRUE,F1385*IF(AND(Inputs!$B$38&lt;&gt;"pvp",Inputs!$B$43&gt;0),(((R1385-1)*MIN((Skills!S3*(1+(Inputs!$B$34)/100)),(1/Q1385))+MIN((Skills!S3*(1+(Inputs!$B$34)/100)),MAX(0,Inputs!$B$43-((R1385-1)*(1/Q1385)))))/Inputs!$B$43),IF(Inputs!$B$38="pvp",MIN((Skills!S3*(1+(Inputs!$B$34)/100)),15)/15,MIN(1,(Skills!S3*(1+(Inputs!$B$34)/100))/(1/Q1385)))),0)+IF(C1386=TRUE,F1386*IF(AND(Inputs!$B$38&lt;&gt;"pvp",Inputs!$B$43&gt;0),(((R1386-1)*MIN((Skills!S4*(1+(Inputs!$B$34)/100)),(1/Q1386))+MIN((Skills!S4*(1+(Inputs!$B$34)/100)),MAX(0,Inputs!$B$43-((R1386-1)*(1/Q1386)))))/Inputs!$B$43),IF(Inputs!$B$38="pvp",MIN((Skills!S4*(1+(Inputs!$B$34)/100)),15)/15,MIN(1,(Skills!S4*(1+(Inputs!$B$34)/100))/(1/Q1386)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1398=TRUE,(1+F1398*IF(AND(Inputs!$B$38&lt;&gt;"pvp",Inputs!$B$43&gt;0),(((R1398-1)*MIN((Skills!S16*(1+(Inputs!$B$34)/100)),(1/Q1398))+MIN((Skills!S16*(1+(Inputs!$B$34)/100)),MAX(0,Inputs!$B$43-((R1398-1)*(1/Q1398)))))/Inputs!$B$43),IF(Inputs!$B$38="pvp",MIN((Skills!S16*(1+(Inputs!$B$34)/100)),15)/15,MIN(1,(Skills!S16*(1+(Inputs!$B$34)/100))/(1/Q1398))))/100),1)</f>
        <v/>
      </c>
    </row>
    <row r="1410">
      <c r="A1410" t="inlineStr">
        <is>
          <t>Monster Damage Taken Bonus % (Freezing Breath - Weaken + Elemental Reset + Artifact Enemy Damage Taken, summed)</t>
        </is>
      </c>
      <c r="B1410">
        <f>IF(Inputs!$B$3&gt;=118,15*IF(Inputs!$B$38="pvp",MIN((30*(1+(Inputs!$B$34)/100)),15)/15,MIN(1,(30*(1+(Inputs!$B$34)/100))/(1/Q1390))),0)+IF(C1396=TRUE,F1396,0)+(IF(AND(ArtifactsInput!$M$35,Inputs!$B$4&lt;&gt;"Chapter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f>
        <v/>
      </c>
    </row>
    <row r="1411">
      <c r="A1411" t="inlineStr">
        <is>
          <t>Damage % Bonus (Frozen Break + Frost Clutch, flat)</t>
        </is>
      </c>
      <c r="B1411">
        <f>IF(Inputs!$B$3&gt;=66,15,0)+IF(Inputs!$B$3&gt;=98,10,0)+IF(Inputs!$B$3&gt;=125,20,0)</f>
        <v/>
      </c>
    </row>
    <row r="1412">
      <c r="A1412" t="inlineStr">
        <is>
          <t>Attack Speed Bonus % (MP Eater - MP Boost, always-on + Nimble Feet, duty-cycle averaged)</t>
        </is>
      </c>
      <c r="B1412">
        <f>IF(C1395=TRUE,F1395+(F1399-Calc!F17),0)+((C1406=TRUE)*F1406*IF(AND(Inputs!$B$38&lt;&gt;"pvp",Inputs!$B$43&gt;0),(((R1406-1)*MIN((Skills!S24*(1+(Inputs!$B$34)/100)),(1/Q1406))+MIN((Skills!S24*(1+(Inputs!$B$34)/100)),MAX(0,Inputs!$B$43-((R1406-1)*(1/Q1406)))))/Inputs!$B$43),IF(Inputs!$B$38="pvp",MIN((Skills!S24*(1+(Inputs!$B$34)/100)),15)/15,MIN(1,(Skills!S24*(1+(Inputs!$B$34)/100))/(1/Q1406)))))</f>
        <v/>
      </c>
    </row>
    <row r="1413">
      <c r="A1413" t="inlineStr">
        <is>
          <t>Actions Per Second</t>
        </is>
      </c>
      <c r="B1413">
        <f>1+MIN(150,150*(1-(1-(Inputs!$B$11+(ArtifactsInput!$M$15-ArtifactsInput!$M$15)*CHOOSE(ArtifactsInput!$N$15+1,8,9.6,11.2,12.8,14.4,16))/150)*(1-B1412/150)))/100</f>
        <v/>
      </c>
    </row>
    <row r="1414">
      <c r="A1414" t="inlineStr">
        <is>
          <t>Skill + Buff Cast Rate</t>
        </is>
      </c>
      <c r="B1414">
        <f>IF(AND(Inputs!$B$38&lt;&gt;"pvp",Inputs!$B$43&gt;0),SUMPRODUCT((Skills!E2:E24=TRUE)*(C1384:C1406=TRUE)*R1384:R1406)/Inputs!$B$43,SUMPRODUCT((Skills!E2:E24=TRUE)*(C1384:C1406=TRUE)*Q1384:Q1406))</f>
        <v/>
      </c>
    </row>
    <row r="1415">
      <c r="A1415" t="inlineStr">
        <is>
          <t>Chain Lightning Casts Per Second</t>
        </is>
      </c>
      <c r="B1415">
        <f>MAX(0,B1413-B1414)</f>
        <v/>
      </c>
    </row>
    <row r="1416">
      <c r="A1416" t="inlineStr">
        <is>
          <t>Buff-Casting Startup Delay (s, fixed-duration only)</t>
        </is>
      </c>
      <c r="B1416">
        <f>IF(AND(Inputs!$B$38&lt;&gt;"pvp",Inputs!$B$43&gt;0),SUMPRODUCT((Skills!S2:S24&gt;0)*(Skills!E2:E24=TRUE)*(C1384:C1406=TRUE))/B1413,0)</f>
        <v/>
      </c>
    </row>
    <row r="1417">
      <c r="A1417" t="inlineStr">
        <is>
          <t>Boss-Only Total DPS (this block's swept value)</t>
        </is>
      </c>
      <c r="B1417">
        <f>SUM(S1384:S1406)</f>
        <v/>
      </c>
    </row>
    <row r="1418">
      <c r="A1418" t="inlineStr">
        <is>
          <t>Normal-Only Total DPS (this block's swept value)</t>
        </is>
      </c>
      <c r="B1418">
        <f>SUM(U1384:U1406)</f>
        <v/>
      </c>
    </row>
    <row r="1419">
      <c r="A1419" s="6" t="inlineStr">
        <is>
          <t>TOTAL DPS</t>
        </is>
      </c>
      <c r="B1419" s="6">
        <f>SUM(O1384:O1406)</f>
        <v/>
      </c>
    </row>
    <row r="1420">
      <c r="A1420" t="inlineStr">
        <is>
          <t>Blizzard Final Attack trigger rate (this block's own Q/R)</t>
        </is>
      </c>
      <c r="B1420">
        <f>IF(AND(Inputs!$B$38&lt;&gt;"pvp",Inputs!$B$43&gt;0),(((C1387=TRUE)*R1387*1)+((C1388=TRUE)*R1388*1)+((C1390=TRUE)*R1390*1)+((C1391=TRUE)*R1391*3)+((C1393=TRUE)*R1393*1))/Inputs!$B$43,((C1387=TRUE)*Q1387*1)+((C1388=TRUE)*Q1388*1)+((C1390=TRUE)*Q1390*1)+((C1391=TRUE)*Q1391*3)+((C1393=TRUE)*Q1393*1))+B1415</f>
        <v/>
      </c>
    </row>
    <row r="1423">
      <c r="A1423" s="6" t="inlineStr">
        <is>
          <t>Stat: Clear Spring Water (Equip)</t>
        </is>
      </c>
    </row>
    <row r="1424">
      <c r="A1424" s="5" t="inlineStr">
        <is>
          <t>Key</t>
        </is>
      </c>
      <c r="B1424" s="5" t="inlineStr">
        <is>
          <t>Name</t>
        </is>
      </c>
      <c r="C1424" s="5" t="inlineStr">
        <is>
          <t>Unlocked</t>
        </is>
      </c>
      <c r="D1424" s="5" t="inlineStr">
        <is>
          <t>InputLevel</t>
        </is>
      </c>
      <c r="E1424" s="5" t="inlineStr">
        <is>
          <t>Factor</t>
        </is>
      </c>
      <c r="F1424" s="5" t="inlineStr">
        <is>
          <t>CoefficientPercent</t>
        </is>
      </c>
      <c r="G1424" s="5" t="inlineStr">
        <is>
          <t>EffectiveHits</t>
        </is>
      </c>
      <c r="H1424" s="5" t="inlineStr">
        <is>
          <t>ProcProbability</t>
        </is>
      </c>
      <c r="I1424" s="5" t="inlineStr">
        <is>
          <t>MapleHeroMultiplier</t>
        </is>
      </c>
      <c r="J1424" s="5" t="inlineStr">
        <is>
          <t>BaseDamage</t>
        </is>
      </c>
      <c r="K1424" s="5" t="inlineStr">
        <is>
          <t>BaseHitDamage</t>
        </is>
      </c>
      <c r="L1424" s="5" t="inlineStr">
        <is>
          <t>NonCritAvg</t>
        </is>
      </c>
      <c r="M1424" s="5" t="inlineStr">
        <is>
          <t>CritAvg</t>
        </is>
      </c>
      <c r="N1424" s="5" t="inlineStr">
        <is>
          <t>ExpectedDamage(perHit)</t>
        </is>
      </c>
      <c r="O1424" s="5" t="inlineStr">
        <is>
          <t>DPS</t>
        </is>
      </c>
      <c r="P1424" s="5" t="inlineStr">
        <is>
          <t>% of Total</t>
        </is>
      </c>
      <c r="R1424" t="inlineStr">
        <is>
          <t>helpers</t>
        </is>
      </c>
    </row>
    <row r="1425">
      <c r="A1425">
        <f>Skills!A2</f>
        <v/>
      </c>
      <c r="B1425">
        <f>Skills!B2</f>
        <v/>
      </c>
      <c r="C1425">
        <f>Inputs!$B$3&gt;=100</f>
        <v/>
      </c>
      <c r="D1425" t="inlineStr"/>
      <c r="E1425" t="inlineStr"/>
      <c r="F1425">
        <f>T1427+Skills!N2</f>
        <v/>
      </c>
      <c r="G1425">
        <f>Calc!G2</f>
        <v/>
      </c>
      <c r="H1425">
        <f>Calc!H2</f>
        <v/>
      </c>
      <c r="I1425">
        <f>IF(Skills!T2&lt;&gt;"",1+(Skills!T2/10)*(Z1426/1000)/100,1)</f>
        <v/>
      </c>
      <c r="J1425">
        <f>((Inputs!$B$6*(1+Inputs!$B$7/100))+(((Inputs!$B$12*(1+Inputs!$B$13/100))-(Inputs!$B$12*(1+Inputs!$B$13/100)))+0.25*(Inputs!$B$14-Inputs!$B$14))*(1+Inputs!$B$7/100))*(F1425/100)</f>
        <v/>
      </c>
      <c r="K1425">
        <f>J1425*(1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2="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1425)</f>
        <v/>
      </c>
      <c r="L1425">
        <f>K1425*(MIN(Inputs!$B$22+(F1441-Calc!F18),(Inputs!$B$23+(IF(ArtifactsInput!$M$15,CHOOSE(ArtifactsInput!$N$15+1,25,30,35,40,45,50)/100*(Inputs!$B$11-Inputs!$B$11),0))))/100+(Inputs!$B$23+(IF(ArtifactsInput!$M$15,CHOOSE(ArtifactsInput!$N$15+1,25,30,35,40,45,50)/100*(Inputs!$B$11-Inputs!$B$11),0)))/100)/2</f>
        <v/>
      </c>
      <c r="M1425">
        <f>L1425*(1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5">
        <f>L1425*(1-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1425*(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5">
        <f>(1-Summary!$B$11)*S1425+Summary!$B$11*U1425</f>
        <v/>
      </c>
      <c r="P1425">
        <f>IF(B1460=0,0,O1425/B1460)</f>
        <v/>
      </c>
      <c r="Q1425">
        <f>IFERROR(1/(IF(Inputs!$B$38="pvp",15,MAX(0.1,Skills!D2-IF(TRUE=TRUE,Inputs!$B$32,0)))*(1-IF(AND(ArtifactsInput!$M$27,Inputs!$B$4="Chapter Hunt"),CHOOSE(ArtifactsInput!$N$27+1,20,24,28,32,36,40),0)/100)),0)</f>
        <v/>
      </c>
      <c r="R1425" t="n">
        <v>0</v>
      </c>
      <c r="S1425">
        <f>IF(C1425,(Skills!F2*N1425*B1456)*IF(Inputs!$B$38="pvp",1,1+(Inputs!$B$20+Skills!O2+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1425*(1-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1425*(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1425*(1-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1425*(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25">
        <f>MAX(0,(Inputs!$B$3-100)*3)+Inputs!$B$28+Inputs!$B$29</f>
        <v/>
      </c>
      <c r="U1425">
        <f>IF(C1425,(Skills!F2*N1425*B1456)*IF(Inputs!$B$38="pvp",1,(1+(Inputs!$B$21+Skills!P2+B1451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425">
        <f>MAX(0,(Inputs!$B$3-100)*3)+Inputs!$B$28+Inputs!$B$29</f>
        <v/>
      </c>
    </row>
    <row r="1426">
      <c r="A1426">
        <f>Skills!A3</f>
        <v/>
      </c>
      <c r="B1426">
        <f>Skills!B3</f>
        <v/>
      </c>
      <c r="C1426">
        <f>Inputs!$B$3&gt;=15</f>
        <v/>
      </c>
      <c r="D1426">
        <f>IF(Skills!C3=1,60+Inputs!$B$25+Inputs!$B$29,IF(Skills!C3=2,90+Inputs!$B$26+Inputs!$B$29,IF(Skills!C3=3,120+Inputs!$B$27+Inputs!$B$29,MAX(0,(Inputs!$B$3-100)*3)+Inputs!$B$28+Inputs!$B$29)))</f>
        <v/>
      </c>
      <c r="E1426">
        <f>INDEX(FactorTable!$B$2:$Y$301, MATCH(ROUND(MIN(300,MAX(1,D1426)),0), FactorTable!$A$2:$A$301,0), Skills!L3+1)</f>
        <v/>
      </c>
      <c r="F1426">
        <f>IF(Skills!M3=TRUE,(Skills!K3/10)*(E1426/1000),Skills!K3/10)+Skills!N3</f>
        <v/>
      </c>
      <c r="G1426">
        <f>Calc!G3</f>
        <v/>
      </c>
      <c r="H1426">
        <f>Calc!H3</f>
        <v/>
      </c>
      <c r="I1426">
        <f>IF(Skills!T3&lt;&gt;"",1+(Skills!T3/10)*(Z1426/1000)/100,1)</f>
        <v/>
      </c>
      <c r="J1426" t="inlineStr"/>
      <c r="K1426" t="inlineStr"/>
      <c r="L1426" t="inlineStr"/>
      <c r="M1426" t="inlineStr"/>
      <c r="N1426" t="inlineStr"/>
      <c r="O1426">
        <f>(1-Summary!$B$11)*S1426+Summary!$B$11*U1426</f>
        <v/>
      </c>
      <c r="P1426">
        <f>IF(B1460=0,0,O1426/B1460)</f>
        <v/>
      </c>
      <c r="Q1426">
        <f>IFERROR(1/(IF(Inputs!$B$38="pvp",15,MAX(0.1,Skills!D3-IF(TRUE=TRUE,Inputs!$B$32,0)))*(1-IF(AND(ArtifactsInput!$M$27,Inputs!$B$4="Chapter Hunt"),CHOOSE(ArtifactsInput!$N$27+1,20,24,28,32,36,40),0)/100)),0)</f>
        <v/>
      </c>
      <c r="R1426">
        <f>IF(AND(Inputs!$B$38&lt;&gt;"pvp",Inputs!$B$43&gt;0),IF(Inputs!$B$43&lt;=0,0,(INT(Inputs!$B$43/(IF(Inputs!$B$38="pvp",15,MAX(0.1,Skills!D3-IF(TRUE=TRUE,Inputs!$B$32,0)))*(1-IF(AND(ArtifactsInput!$M$27,Inputs!$B$4="Chapter Hunt"),CHOOSE(ArtifactsInput!$N$27+1,20,24,28,32,36,40),0)/100)))+1)),0)</f>
        <v/>
      </c>
      <c r="S1426" t="n">
        <v>0</v>
      </c>
      <c r="T1426">
        <f>INDEX(FactorTable!$B$2:$Y$301, MATCH(ROUND(MIN(300,MAX(1,T1425)),0), FactorTable!$A$2:$A$301,0), 22)</f>
        <v/>
      </c>
      <c r="U1426" t="n">
        <v>0</v>
      </c>
      <c r="Z1426">
        <f>INDEX(FactorTable!$B$2:$Y$301, MATCH(ROUND(MIN(300,MAX(1,Z1425)),0), FactorTable!$A$2:$A$301,0), 24)</f>
        <v/>
      </c>
    </row>
    <row r="1427">
      <c r="A1427">
        <f>Skills!A4</f>
        <v/>
      </c>
      <c r="B1427">
        <f>Skills!B4</f>
        <v/>
      </c>
      <c r="C1427">
        <f>Inputs!$B$3&gt;=40</f>
        <v/>
      </c>
      <c r="D1427">
        <f>IF(Skills!C4=1,60+Inputs!$B$25+Inputs!$B$29,IF(Skills!C4=2,90+Inputs!$B$26+Inputs!$B$29,IF(Skills!C4=3,120+Inputs!$B$27+Inputs!$B$29,MAX(0,(Inputs!$B$3-100)*3)+Inputs!$B$28+Inputs!$B$29)))</f>
        <v/>
      </c>
      <c r="E1427">
        <f>INDEX(FactorTable!$B$2:$Y$301, MATCH(ROUND(MIN(300,MAX(1,D1427)),0), FactorTable!$A$2:$A$301,0), Skills!L4+1)</f>
        <v/>
      </c>
      <c r="F1427">
        <f>IF(Skills!M4=TRUE,(Skills!K4/10)*(E1427/1000),Skills!K4/10)+Skills!N4</f>
        <v/>
      </c>
      <c r="G1427">
        <f>Calc!G4</f>
        <v/>
      </c>
      <c r="H1427">
        <f>Calc!H4</f>
        <v/>
      </c>
      <c r="I1427">
        <f>IF(Skills!T4&lt;&gt;"",1+(Skills!T4/10)*(Z1426/1000)/100,1)</f>
        <v/>
      </c>
      <c r="J1427" t="inlineStr"/>
      <c r="K1427" t="inlineStr"/>
      <c r="L1427" t="inlineStr"/>
      <c r="M1427" t="inlineStr"/>
      <c r="N1427" t="inlineStr"/>
      <c r="O1427">
        <f>(1-Summary!$B$11)*S1427+Summary!$B$11*U1427</f>
        <v/>
      </c>
      <c r="P1427">
        <f>IF(B1460=0,0,O1427/B1460)</f>
        <v/>
      </c>
      <c r="Q1427">
        <f>IFERROR(1/(IF(Inputs!$B$38="pvp",15,MAX(0.1,Skills!D4-IF(TRUE=TRUE,Inputs!$B$32,0)))*(1-IF(AND(ArtifactsInput!$M$27,Inputs!$B$4="Chapter Hunt"),CHOOSE(ArtifactsInput!$N$27+1,20,24,28,32,36,40),0)/100)),0)</f>
        <v/>
      </c>
      <c r="R1427">
        <f>IF(AND(Inputs!$B$38&lt;&gt;"pvp",Inputs!$B$43&gt;0),IF(Inputs!$B$43&lt;=0,0,(INT(Inputs!$B$43/(IF(Inputs!$B$38="pvp",15,MAX(0.1,Skills!D4-IF(TRUE=TRUE,Inputs!$B$32,0)))*(1-IF(AND(ArtifactsInput!$M$27,Inputs!$B$4="Chapter Hunt"),CHOOSE(ArtifactsInput!$N$27+1,20,24,28,32,36,40),0)/100)))+1)),0)</f>
        <v/>
      </c>
      <c r="S1427" t="n">
        <v>0</v>
      </c>
      <c r="T1427">
        <f>290*T1426/1000</f>
        <v/>
      </c>
      <c r="U1427" t="n">
        <v>0</v>
      </c>
    </row>
    <row r="1428">
      <c r="A1428">
        <f>Skills!A5</f>
        <v/>
      </c>
      <c r="B1428">
        <f>Skills!B5</f>
        <v/>
      </c>
      <c r="C1428">
        <f>Inputs!$B$3&gt;=38</f>
        <v/>
      </c>
      <c r="D1428">
        <f>IF(Skills!C5=1,60+Inputs!$B$25+Inputs!$B$29,IF(Skills!C5=2,90+Inputs!$B$26+Inputs!$B$29,IF(Skills!C5=3,120+Inputs!$B$27+Inputs!$B$29,MAX(0,(Inputs!$B$3-100)*3)+Inputs!$B$28+Inputs!$B$29)))</f>
        <v/>
      </c>
      <c r="E1428">
        <f>INDEX(FactorTable!$B$2:$Y$301, MATCH(ROUND(MIN(300,MAX(1,D1428)),0), FactorTable!$A$2:$A$301,0), Skills!L5+1)</f>
        <v/>
      </c>
      <c r="F1428">
        <f>IF(Skills!M5=TRUE,(Skills!K5/10)*(E1428/1000),Skills!K5/10)+Skills!N5</f>
        <v/>
      </c>
      <c r="G1428">
        <f>Calc!G5</f>
        <v/>
      </c>
      <c r="H1428">
        <f>Calc!H5</f>
        <v/>
      </c>
      <c r="I1428">
        <f>IF(Skills!T5&lt;&gt;"",1+(Skills!T5/10)*(Z1426/1000)/100,1)</f>
        <v/>
      </c>
      <c r="J1428">
        <f>((Inputs!$B$6*(1+Inputs!$B$7/100))+(((Inputs!$B$12*(1+Inputs!$B$13/100))-(Inputs!$B$12*(1+Inputs!$B$13/100)))+0.25*(Inputs!$B$14-Inputs!$B$14))*(1+Inputs!$B$7/100))*(F1428/100)</f>
        <v/>
      </c>
      <c r="K1428">
        <f>J1428*(1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5="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1428)</f>
        <v/>
      </c>
      <c r="L1428">
        <f>K1428*(MIN(Inputs!$B$22+(F1441-Calc!F18),(Inputs!$B$23+(IF(ArtifactsInput!$M$15,CHOOSE(ArtifactsInput!$N$15+1,25,30,35,40,45,50)/100*(Inputs!$B$11-Inputs!$B$11),0))))/100+(Inputs!$B$23+(IF(ArtifactsInput!$M$15,CHOOSE(ArtifactsInput!$N$15+1,25,30,35,40,45,50)/100*(Inputs!$B$11-Inputs!$B$11),0)))/100)/2</f>
        <v/>
      </c>
      <c r="M1428">
        <f>L1428*(1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8">
        <f>L1428*(1-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1428*(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8">
        <f>(1-Summary!$B$11)*S1428+Summary!$B$11*U1428</f>
        <v/>
      </c>
      <c r="P1428">
        <f>IF(B1460=0,0,O1428/B1460)</f>
        <v/>
      </c>
      <c r="Q1428">
        <f>IFERROR(1/(IF(Inputs!$B$38="pvp",15,MAX(0.1,Skills!D5-IF(TRUE=TRUE,Inputs!$B$32,0)))*(1-IF(AND(ArtifactsInput!$M$27,Inputs!$B$4="Chapter Hunt"),CHOOSE(ArtifactsInput!$N$27+1,20,24,28,32,36,40),0)/100)),0)</f>
        <v/>
      </c>
      <c r="R1428">
        <f>IF(AND(Inputs!$B$38&lt;&gt;"pvp",Inputs!$B$43&gt;0),IF(MAX(0,Inputs!$B$43-B1457)&lt;=0,0,(INT(MAX(0,Inputs!$B$43-B1457)/(IF(Inputs!$B$38="pvp",15,MAX(0.1,Skills!D5-IF(TRUE=TRUE,Inputs!$B$32,0)))*(1-IF(AND(ArtifactsInput!$M$27,Inputs!$B$4="Chapter Hunt"),CHOOSE(ArtifactsInput!$N$27+1,20,24,28,32,36,40),0)/100)))+1)),0)</f>
        <v/>
      </c>
      <c r="S1428">
        <f>IF(C1428,(H1428*N1428*IF(AND(Inputs!$B$38&lt;&gt;"pvp",Inputs!$B$43&gt;0),((Skills!F5*((R1428-1)*IF(Skills!G5&gt;0,Skills!H5/Skills!G5,1)+IF(Skills!G5&gt;0,MIN(Skills!H5,MAX(0,MAX(0,Inputs!$B$43-B1457)-((R1428-1)*(IF(Inputs!$B$38="pvp",15,MAX(0.1,Skills!D5-IF(TRUE=TRUE,Inputs!$B$32,0)))*(1-IF(AND(ArtifactsInput!$M$27,Inputs!$B$4="Chapter Hunt"),CHOOSE(ArtifactsInput!$N$27+1,20,24,28,32,36,40),0)/100)))))/Skills!G5,1)))/Inputs!$B$43),G1428*Q1428))*IF(Inputs!$B$38="pvp",1,1+(Inputs!$B$20+Skills!O5+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1428*(1-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1428*(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1428*(1-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1428*(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8">
        <f>IF(C1428,(H1428*N1428*IF(AND(Inputs!$B$38&lt;&gt;"pvp",Inputs!$B$43&gt;0),((Skills!F5*((R1428-1)*IF(Skills!G5&gt;0,Skills!H5/Skills!G5,1)+IF(Skills!G5&gt;0,MIN(Skills!H5,MAX(0,MAX(0,Inputs!$B$43-B1457)-((R1428-1)*(IF(Inputs!$B$38="pvp",15,MAX(0.1,Skills!D5-IF(TRUE=TRUE,Inputs!$B$32,0)))*(1-IF(AND(ArtifactsInput!$M$27,Inputs!$B$4="Chapter Hunt"),CHOOSE(ArtifactsInput!$N$27+1,20,24,28,32,36,40),0)/100)))))/Skills!G5,1)))/Inputs!$B$43),G1428*Q1428))*IF(Inputs!$B$38="pvp",1,(1+(Inputs!$B$21+Skills!P5+B1451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9">
      <c r="A1429">
        <f>Skills!A6</f>
        <v/>
      </c>
      <c r="B1429">
        <f>Skills!B6</f>
        <v/>
      </c>
      <c r="C1429">
        <f>Inputs!$B$3&gt;=63</f>
        <v/>
      </c>
      <c r="D1429">
        <f>IF(Skills!C6=1,60+Inputs!$B$25+Inputs!$B$29,IF(Skills!C6=2,90+Inputs!$B$26+Inputs!$B$29,IF(Skills!C6=3,120+Inputs!$B$27+Inputs!$B$29,MAX(0,(Inputs!$B$3-100)*3)+Inputs!$B$28+Inputs!$B$29)))</f>
        <v/>
      </c>
      <c r="E1429">
        <f>INDEX(FactorTable!$B$2:$Y$301, MATCH(ROUND(MIN(300,MAX(1,D1429)),0), FactorTable!$A$2:$A$301,0), Skills!L6+1)</f>
        <v/>
      </c>
      <c r="F1429">
        <f>IF(Skills!M6=TRUE,(Skills!K6/10)*(E1429/1000),Skills!K6/10)+Skills!N6</f>
        <v/>
      </c>
      <c r="G1429">
        <f>Calc!G6</f>
        <v/>
      </c>
      <c r="H1429">
        <f>Calc!H6</f>
        <v/>
      </c>
      <c r="I1429">
        <f>IF(Skills!T6&lt;&gt;"",1+(Skills!T6/10)*(Z1426/1000)/100,1)</f>
        <v/>
      </c>
      <c r="J1429">
        <f>((Inputs!$B$6*(1+Inputs!$B$7/100))+(((Inputs!$B$12*(1+Inputs!$B$13/100))-(Inputs!$B$12*(1+Inputs!$B$13/100)))+0.25*(Inputs!$B$14-Inputs!$B$14))*(1+Inputs!$B$7/100))*(F1429/100)</f>
        <v/>
      </c>
      <c r="K1429">
        <f>J1429*(1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6="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1429)</f>
        <v/>
      </c>
      <c r="L1429">
        <f>K1429*(MIN(Inputs!$B$22+(F1441-Calc!F18),(Inputs!$B$23+(IF(ArtifactsInput!$M$15,CHOOSE(ArtifactsInput!$N$15+1,25,30,35,40,45,50)/100*(Inputs!$B$11-Inputs!$B$11),0))))/100+(Inputs!$B$23+(IF(ArtifactsInput!$M$15,CHOOSE(ArtifactsInput!$N$15+1,25,30,35,40,45,50)/100*(Inputs!$B$11-Inputs!$B$11),0)))/100)/2</f>
        <v/>
      </c>
      <c r="M1429">
        <f>L1429*(1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29">
        <f>L1429*(1-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1429*(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29">
        <f>(1-Summary!$B$11)*S1429+Summary!$B$11*U1429</f>
        <v/>
      </c>
      <c r="P1429">
        <f>IF(B1460=0,0,O1429/B1460)</f>
        <v/>
      </c>
      <c r="Q1429">
        <f>IFERROR(1/(IF(Inputs!$B$38="pvp",15,MAX(0.1,Skills!D6-IF(TRUE=TRUE,Inputs!$B$32,0)))*(1-IF(AND(ArtifactsInput!$M$27,Inputs!$B$4="Chapter Hunt"),CHOOSE(ArtifactsInput!$N$27+1,20,24,28,32,36,40),0)/100)),0)</f>
        <v/>
      </c>
      <c r="R1429">
        <f>IF(AND(Inputs!$B$38&lt;&gt;"pvp",Inputs!$B$43&gt;0),IF(MAX(0,Inputs!$B$43-B1457)&lt;=0,0,(INT(MAX(0,Inputs!$B$43-B1457)/(IF(Inputs!$B$38="pvp",15,MAX(0.1,Skills!D6-IF(TRUE=TRUE,Inputs!$B$32,0)))*(1-IF(AND(ArtifactsInput!$M$27,Inputs!$B$4="Chapter Hunt"),CHOOSE(ArtifactsInput!$N$27+1,20,24,28,32,36,40),0)/100)))+1)),0)</f>
        <v/>
      </c>
      <c r="S1429">
        <f>IF(C1429,(H1429*N1429*IF(AND(Inputs!$B$38&lt;&gt;"pvp",Inputs!$B$43&gt;0),((Skills!F6*((R1429-1)*IF(Skills!G6&gt;0,Skills!H6/Skills!G6,1)+IF(Skills!G6&gt;0,MIN(Skills!H6,MAX(0,MAX(0,Inputs!$B$43-B1457)-((R1429-1)*(IF(Inputs!$B$38="pvp",15,MAX(0.1,Skills!D6-IF(TRUE=TRUE,Inputs!$B$32,0)))*(1-IF(AND(ArtifactsInput!$M$27,Inputs!$B$4="Chapter Hunt"),CHOOSE(ArtifactsInput!$N$27+1,20,24,28,32,36,40),0)/100)))))/Skills!G6,1)))/Inputs!$B$43),G1429*Q1429))*IF(Inputs!$B$38="pvp",1,1+(Inputs!$B$20+Skills!O6+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1429*(1-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1429*(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1429*(1-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1429*(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9">
        <f>IF(C1429,(H1429*N1429*IF(AND(Inputs!$B$38&lt;&gt;"pvp",Inputs!$B$43&gt;0),((Skills!F6*((R1429-1)*IF(Skills!G6&gt;0,Skills!H6/Skills!G6,1)+IF(Skills!G6&gt;0,MIN(Skills!H6,MAX(0,MAX(0,Inputs!$B$43-B1457)-((R1429-1)*(IF(Inputs!$B$38="pvp",15,MAX(0.1,Skills!D6-IF(TRUE=TRUE,Inputs!$B$32,0)))*(1-IF(AND(ArtifactsInput!$M$27,Inputs!$B$4="Chapter Hunt"),CHOOSE(ArtifactsInput!$N$27+1,20,24,28,32,36,40),0)/100)))))/Skills!G6,1)))/Inputs!$B$43),G1429*Q1429))*IF(Inputs!$B$38="pvp",1,(1+(Inputs!$B$21+Skills!P6+B1451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0">
      <c r="A1430">
        <f>Skills!A7</f>
        <v/>
      </c>
      <c r="B1430">
        <f>Skills!B7</f>
        <v/>
      </c>
      <c r="C1430">
        <f>Inputs!$B$3&gt;=69</f>
        <v/>
      </c>
      <c r="D1430">
        <f>IF(Skills!C7=1,60+Inputs!$B$25+Inputs!$B$29,IF(Skills!C7=2,90+Inputs!$B$26+Inputs!$B$29,IF(Skills!C7=3,120+Inputs!$B$27+Inputs!$B$29,MAX(0,(Inputs!$B$3-100)*3)+Inputs!$B$28+Inputs!$B$29)))</f>
        <v/>
      </c>
      <c r="E1430">
        <f>INDEX(FactorTable!$B$2:$Y$301, MATCH(ROUND(MIN(300,MAX(1,D1430)),0), FactorTable!$A$2:$A$301,0), Skills!L7+1)</f>
        <v/>
      </c>
      <c r="F1430">
        <f>IF(Skills!M7=TRUE,(Skills!K7/10)*(E1430/1000),Skills!K7/10)+Skills!N7</f>
        <v/>
      </c>
      <c r="G1430">
        <f>Calc!G7</f>
        <v/>
      </c>
      <c r="H1430">
        <f>Calc!H7</f>
        <v/>
      </c>
      <c r="I1430">
        <f>IF(Skills!T7&lt;&gt;"",1+(Skills!T7/10)*(Z1426/1000)/100,1)</f>
        <v/>
      </c>
      <c r="J1430">
        <f>((Inputs!$B$6*(1+Inputs!$B$7/100))+(((Inputs!$B$12*(1+Inputs!$B$13/100))-(Inputs!$B$12*(1+Inputs!$B$13/100)))+0.25*(Inputs!$B$14-Inputs!$B$14))*(1+Inputs!$B$7/100))*(F1430/100)</f>
        <v/>
      </c>
      <c r="K1430">
        <f>J1430*(1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7="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1430)</f>
        <v/>
      </c>
      <c r="L1430">
        <f>K1430*(MIN(Inputs!$B$22+(F1441-Calc!F18),(Inputs!$B$23+(IF(ArtifactsInput!$M$15,CHOOSE(ArtifactsInput!$N$15+1,25,30,35,40,45,50)/100*(Inputs!$B$11-Inputs!$B$11),0))))/100+(Inputs!$B$23+(IF(ArtifactsInput!$M$15,CHOOSE(ArtifactsInput!$N$15+1,25,30,35,40,45,50)/100*(Inputs!$B$11-Inputs!$B$11),0)))/100)/2</f>
        <v/>
      </c>
      <c r="M1430">
        <f>L1430*(1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0">
        <f>L1430*(1-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1430*(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0">
        <f>(1-Summary!$B$11)*S1430+Summary!$B$11*U1430</f>
        <v/>
      </c>
      <c r="P1430">
        <f>IF(B1460=0,0,O1430/B1460)</f>
        <v/>
      </c>
      <c r="Q1430">
        <f>IFERROR(1/(IF(Inputs!$B$38="pvp",15,MAX(0.1,Skills!D7-IF(TRUE=TRUE,Inputs!$B$32,0)))*(1-IF(AND(ArtifactsInput!$M$27,Inputs!$B$4="Chapter Hunt"),CHOOSE(ArtifactsInput!$N$27+1,20,24,28,32,36,40),0)/100)),0)</f>
        <v/>
      </c>
      <c r="R1430">
        <f>IF(AND(Inputs!$B$38&lt;&gt;"pvp",Inputs!$B$43&gt;0),IF(MAX(0,Inputs!$B$43-B1457)&lt;=0,0,(INT(MAX(0,Inputs!$B$43-B1457)/(IF(Inputs!$B$38="pvp",15,MAX(0.1,Skills!D7-IF(TRUE=TRUE,Inputs!$B$32,0)))*(1-IF(AND(ArtifactsInput!$M$27,Inputs!$B$4="Chapter Hunt"),CHOOSE(ArtifactsInput!$N$27+1,20,24,28,32,36,40),0)/100)))+1)),0)</f>
        <v/>
      </c>
      <c r="S1430">
        <f>IF(C1430,(H1430*N1430*IF(AND(Inputs!$B$38&lt;&gt;"pvp",Inputs!$B$43&gt;0),((Skills!F7*((R1430-1)*IF(Skills!G7&gt;0,Skills!H7/Skills!G7,1)+IF(Skills!G7&gt;0,MIN(Skills!H7,MAX(0,MAX(0,Inputs!$B$43-B1457)-((R1430-1)*(IF(Inputs!$B$38="pvp",15,MAX(0.1,Skills!D7-IF(TRUE=TRUE,Inputs!$B$32,0)))*(1-IF(AND(ArtifactsInput!$M$27,Inputs!$B$4="Chapter Hunt"),CHOOSE(ArtifactsInput!$N$27+1,20,24,28,32,36,40),0)/100)))))/Skills!G7,1)))/Inputs!$B$43),G1430*Q1430))*IF(Inputs!$B$38="pvp",1,1+(Inputs!$B$20+Skills!O7+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1430*(1-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1430*(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1430*(1-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1430*(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0">
        <f>IF(C1430,(H1430*N1430*IF(AND(Inputs!$B$38&lt;&gt;"pvp",Inputs!$B$43&gt;0),((Skills!F7*((R1430-1)*IF(Skills!G7&gt;0,Skills!H7/Skills!G7,1)+IF(Skills!G7&gt;0,MIN(Skills!H7,MAX(0,MAX(0,Inputs!$B$43-B1457)-((R1430-1)*(IF(Inputs!$B$38="pvp",15,MAX(0.1,Skills!D7-IF(TRUE=TRUE,Inputs!$B$32,0)))*(1-IF(AND(ArtifactsInput!$M$27,Inputs!$B$4="Chapter Hunt"),CHOOSE(ArtifactsInput!$N$27+1,20,24,28,32,36,40),0)/100)))))/Skills!G7,1)))/Inputs!$B$43),G1430*Q1430))*IF(Inputs!$B$38="pvp",1,(1+(Inputs!$B$21+Skills!P7+B1451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1">
      <c r="A1431">
        <f>Skills!A8</f>
        <v/>
      </c>
      <c r="B1431">
        <f>Skills!B8</f>
        <v/>
      </c>
      <c r="C1431">
        <f>Inputs!$B$3&gt;=103</f>
        <v/>
      </c>
      <c r="D1431">
        <f>IF(Skills!C8=1,60+Inputs!$B$25+Inputs!$B$29,IF(Skills!C8=2,90+Inputs!$B$26+Inputs!$B$29,IF(Skills!C8=3,120+Inputs!$B$27+Inputs!$B$29,MAX(0,(Inputs!$B$3-100)*3)+Inputs!$B$28+Inputs!$B$29)))</f>
        <v/>
      </c>
      <c r="E1431">
        <f>INDEX(FactorTable!$B$2:$Y$301, MATCH(ROUND(MIN(300,MAX(1,D1431)),0), FactorTable!$A$2:$A$301,0), Skills!L8+1)</f>
        <v/>
      </c>
      <c r="F1431">
        <f>IF(Skills!M8=TRUE,(Skills!K8/10)*(E1431/1000),Skills!K8/10)+Skills!N8</f>
        <v/>
      </c>
      <c r="G1431">
        <f>Calc!G8</f>
        <v/>
      </c>
      <c r="H1431">
        <f>Calc!H8</f>
        <v/>
      </c>
      <c r="I1431">
        <f>IF(Skills!T8&lt;&gt;"",1+(Skills!T8/10)*(Z1426/1000)/100,1)</f>
        <v/>
      </c>
      <c r="J1431">
        <f>((Inputs!$B$6*(1+Inputs!$B$7/100))+(((Inputs!$B$12*(1+Inputs!$B$13/100))-(Inputs!$B$12*(1+Inputs!$B$13/100)))+0.25*(Inputs!$B$14-Inputs!$B$14))*(1+Inputs!$B$7/100))*(F1431/100)</f>
        <v/>
      </c>
      <c r="K1431">
        <f>J1431*(1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8="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1431)</f>
        <v/>
      </c>
      <c r="L1431">
        <f>K1431*(MIN(Inputs!$B$22+(F1441-Calc!F18),(Inputs!$B$23+(IF(ArtifactsInput!$M$15,CHOOSE(ArtifactsInput!$N$15+1,25,30,35,40,45,50)/100*(Inputs!$B$11-Inputs!$B$11),0))))/100+(Inputs!$B$23+(IF(ArtifactsInput!$M$15,CHOOSE(ArtifactsInput!$N$15+1,25,30,35,40,45,50)/100*(Inputs!$B$11-Inputs!$B$11),0)))/100)/2</f>
        <v/>
      </c>
      <c r="M1431">
        <f>L1431*(1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1">
        <f>L1431*(1-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1">
        <f>(1-Summary!$B$11)*S1431+Summary!$B$11*U1431</f>
        <v/>
      </c>
      <c r="P1431">
        <f>IF(B1460=0,0,O1431/B1460)</f>
        <v/>
      </c>
      <c r="Q1431">
        <f>IFERROR(1/(IF(Inputs!$B$38="pvp",15,MAX(0.1,Skills!D8-IF(TRUE=TRUE,Inputs!$B$32,0)))*(1-IF(AND(ArtifactsInput!$M$27,Inputs!$B$4="Chapter Hunt"),CHOOSE(ArtifactsInput!$N$27+1,20,24,28,32,36,40),0)/100)),0)</f>
        <v/>
      </c>
      <c r="R1431">
        <f>IF(AND(Inputs!$B$38&lt;&gt;"pvp",Inputs!$B$43&gt;0),IF(MAX(0,Inputs!$B$43-B1457)&lt;=0,0,(INT(MAX(0,Inputs!$B$43-B1457)/(IF(Inputs!$B$38="pvp",15,MAX(0.1,Skills!D8-IF(TRUE=TRUE,Inputs!$B$32,0)))*(1-IF(AND(ArtifactsInput!$M$27,Inputs!$B$4="Chapter Hunt"),CHOOSE(ArtifactsInput!$N$27+1,20,24,28,32,36,40),0)/100)))+1)),0)</f>
        <v/>
      </c>
      <c r="S1431">
        <f>IF(C1431,(H1431*N1431*IF(AND(Inputs!$B$38&lt;&gt;"pvp",Inputs!$B$43&gt;0),((Skills!F8*((R1431-1)*IF(Skills!G8&gt;0,Skills!H8/Skills!G8,1)+IF(Skills!G8&gt;0,MIN(Skills!H8,MAX(0,MAX(0,Inputs!$B$43-B1457)-((R1431-1)*(IF(Inputs!$B$38="pvp",15,MAX(0.1,Skills!D8-IF(TRUE=TRUE,Inputs!$B$32,0)))*(1-IF(AND(ArtifactsInput!$M$27,Inputs!$B$4="Chapter Hunt"),CHOOSE(ArtifactsInput!$N$27+1,20,24,28,32,36,40),0)/100)))))/Skills!G8,1)))/Inputs!$B$43),G1431*Q1431))*IF(Inputs!$B$38="pvp",1,1+(Inputs!$B$20+Skills!O8+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1431*(1-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1431*(1-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1">
        <f>IF(C1431,(H1431*N1431*IF(AND(Inputs!$B$38&lt;&gt;"pvp",Inputs!$B$43&gt;0),((Skills!F8*((R1431-1)*IF(Skills!G8&gt;0,Skills!H8/Skills!G8,1)+IF(Skills!G8&gt;0,MIN(Skills!H8,MAX(0,MAX(0,Inputs!$B$43-B1457)-((R1431-1)*(IF(Inputs!$B$38="pvp",15,MAX(0.1,Skills!D8-IF(TRUE=TRUE,Inputs!$B$32,0)))*(1-IF(AND(ArtifactsInput!$M$27,Inputs!$B$4="Chapter Hunt"),CHOOSE(ArtifactsInput!$N$27+1,20,24,28,32,36,40),0)/100)))))/Skills!G8,1)))/Inputs!$B$43),G1431*Q1431))*IF(Inputs!$B$38="pvp",1,(1+(Inputs!$B$21+Skills!P8+B1451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2">
      <c r="A1432">
        <f>Skills!A9</f>
        <v/>
      </c>
      <c r="B1432">
        <f>Skills!B9</f>
        <v/>
      </c>
      <c r="C1432">
        <f>Inputs!$B$3&gt;=105</f>
        <v/>
      </c>
      <c r="D1432">
        <f>IF(Skills!C9=1,60+Inputs!$B$25+Inputs!$B$29,IF(Skills!C9=2,90+Inputs!$B$26+Inputs!$B$29,IF(Skills!C9=3,120+Inputs!$B$27+Inputs!$B$29,MAX(0,(Inputs!$B$3-100)*3)+Inputs!$B$28+Inputs!$B$29)))</f>
        <v/>
      </c>
      <c r="E1432">
        <f>INDEX(FactorTable!$B$2:$Y$301, MATCH(ROUND(MIN(300,MAX(1,D1432)),0), FactorTable!$A$2:$A$301,0), Skills!L9+1)</f>
        <v/>
      </c>
      <c r="F1432">
        <f>IF(Skills!M9=TRUE,(Skills!K9/10)*(E1432/1000),Skills!K9/10)+Skills!N9</f>
        <v/>
      </c>
      <c r="G1432">
        <f>Calc!G9</f>
        <v/>
      </c>
      <c r="H1432">
        <f>Calc!H9</f>
        <v/>
      </c>
      <c r="I1432">
        <f>IF(Skills!T9&lt;&gt;"",1+(Skills!T9/10)*(Z1426/1000)/100,1)</f>
        <v/>
      </c>
      <c r="J1432">
        <f>((Inputs!$B$6*(1+Inputs!$B$7/100))+(((Inputs!$B$12*(1+Inputs!$B$13/100))-(Inputs!$B$12*(1+Inputs!$B$13/100)))+0.25*(Inputs!$B$14-Inputs!$B$14))*(1+Inputs!$B$7/100))*(F1432/100)</f>
        <v/>
      </c>
      <c r="K1432">
        <f>J1432*(1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9="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1432)</f>
        <v/>
      </c>
      <c r="L1432">
        <f>K1432*(MIN(Inputs!$B$22+(F1441-Calc!F18),(Inputs!$B$23+(IF(ArtifactsInput!$M$15,CHOOSE(ArtifactsInput!$N$15+1,25,30,35,40,45,50)/100*(Inputs!$B$11-Inputs!$B$11),0))))/100+(Inputs!$B$23+(IF(ArtifactsInput!$M$15,CHOOSE(ArtifactsInput!$N$15+1,25,30,35,40,45,50)/100*(Inputs!$B$11-Inputs!$B$11),0)))/100)/2</f>
        <v/>
      </c>
      <c r="M1432">
        <f>L1432*(1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2">
        <f>L1432*(1-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1432*(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2">
        <f>(1-Summary!$B$11)*S1432+Summary!$B$11*U1432</f>
        <v/>
      </c>
      <c r="P1432">
        <f>IF(B1460=0,0,O1432/B1460)</f>
        <v/>
      </c>
      <c r="Q1432">
        <f>IFERROR(1/(IF(Inputs!$B$38="pvp",15,MAX(0.1,Skills!D9-IF(TRUE=TRUE,Inputs!$B$32,0)))*(1-IF(AND(ArtifactsInput!$M$27,Inputs!$B$4="Chapter Hunt"),CHOOSE(ArtifactsInput!$N$27+1,20,24,28,32,36,40),0)/100)),0)</f>
        <v/>
      </c>
      <c r="R1432">
        <f>IF(AND(Inputs!$B$38&lt;&gt;"pvp",Inputs!$B$43&gt;0),IF(MAX(0,Inputs!$B$43-B1457)&lt;=0,0,(INT(MAX(0,Inputs!$B$43-B1457)/(IF(Inputs!$B$38="pvp",15,MAX(0.1,Skills!D9-IF(TRUE=TRUE,Inputs!$B$32,0)))*(1-IF(AND(ArtifactsInput!$M$27,Inputs!$B$4="Chapter Hunt"),CHOOSE(ArtifactsInput!$N$27+1,20,24,28,32,36,40),0)/100)))+1)),0)</f>
        <v/>
      </c>
      <c r="S1432">
        <f>IF(C1432,(H1432*N1432*IF(AND(Inputs!$B$38&lt;&gt;"pvp",Inputs!$B$43&gt;0),((Skills!F9*((R1432-1)*IF(Skills!G9&gt;0,Skills!H9/Skills!G9,1)+IF(Skills!G9&gt;0,MIN(Skills!H9,MAX(0,MAX(0,Inputs!$B$43-B1457)-((R1432-1)*(IF(Inputs!$B$38="pvp",15,MAX(0.1,Skills!D9-IF(TRUE=TRUE,Inputs!$B$32,0)))*(1-IF(AND(ArtifactsInput!$M$27,Inputs!$B$4="Chapter Hunt"),CHOOSE(ArtifactsInput!$N$27+1,20,24,28,32,36,40),0)/100)))))/Skills!G9,1)))/Inputs!$B$43),G1432*Q1432))*IF(Inputs!$B$38="pvp",1,1+(Inputs!$B$20+Skills!O9+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1432*(1-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1432*(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1432*(1-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1432*(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2">
        <f>IF(C1432,(H1432*N1432*IF(AND(Inputs!$B$38&lt;&gt;"pvp",Inputs!$B$43&gt;0),((Skills!F9*((R1432-1)*IF(Skills!G9&gt;0,Skills!H9/Skills!G9,1)+IF(Skills!G9&gt;0,MIN(Skills!H9,MAX(0,MAX(0,Inputs!$B$43-B1457)-((R1432-1)*(IF(Inputs!$B$38="pvp",15,MAX(0.1,Skills!D9-IF(TRUE=TRUE,Inputs!$B$32,0)))*(1-IF(AND(ArtifactsInput!$M$27,Inputs!$B$4="Chapter Hunt"),CHOOSE(ArtifactsInput!$N$27+1,20,24,28,32,36,40),0)/100)))))/Skills!G9,1)))/Inputs!$B$43),G1432*Q1432))*IF(Inputs!$B$38="pvp",1,(1+(Inputs!$B$21+Skills!P9+B1451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3">
      <c r="A1433">
        <f>Skills!A10</f>
        <v/>
      </c>
      <c r="B1433">
        <f>Skills!B10</f>
        <v/>
      </c>
      <c r="C1433">
        <f>Inputs!$B$3&gt;=113</f>
        <v/>
      </c>
      <c r="D1433">
        <f>IF(Skills!C10=1,60+Inputs!$B$25+Inputs!$B$29,IF(Skills!C10=2,90+Inputs!$B$26+Inputs!$B$29,IF(Skills!C10=3,120+Inputs!$B$27+Inputs!$B$29,MAX(0,(Inputs!$B$3-100)*3)+Inputs!$B$28+Inputs!$B$29)))</f>
        <v/>
      </c>
      <c r="E1433">
        <f>INDEX(FactorTable!$B$2:$Y$301, MATCH(ROUND(MIN(300,MAX(1,D1433)),0), FactorTable!$A$2:$A$301,0), Skills!L10+1)</f>
        <v/>
      </c>
      <c r="F1433">
        <f>IF(Skills!M10=TRUE,(Skills!K10/10)*(E1433/1000),Skills!K10/10)+Skills!N10</f>
        <v/>
      </c>
      <c r="G1433">
        <f>Calc!G10</f>
        <v/>
      </c>
      <c r="H1433">
        <f>Calc!H10</f>
        <v/>
      </c>
      <c r="I1433">
        <f>IF(Skills!T10&lt;&gt;"",1+(Skills!T10/10)*(Z1426/1000)/100,1)</f>
        <v/>
      </c>
      <c r="J1433">
        <f>((Inputs!$B$6*(1+Inputs!$B$7/100))+(((Inputs!$B$12*(1+Inputs!$B$13/100))-(Inputs!$B$12*(1+Inputs!$B$13/100)))+0.25*(Inputs!$B$14-Inputs!$B$14))*(1+Inputs!$B$7/100))*(F1433/100)</f>
        <v/>
      </c>
      <c r="K1433">
        <f>J1433*(1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10="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1433)</f>
        <v/>
      </c>
      <c r="L1433">
        <f>K1433*(MIN(Inputs!$B$22+(F1441-Calc!F18),(Inputs!$B$23+(IF(ArtifactsInput!$M$15,CHOOSE(ArtifactsInput!$N$15+1,25,30,35,40,45,50)/100*(Inputs!$B$11-Inputs!$B$11),0))))/100+(Inputs!$B$23+(IF(ArtifactsInput!$M$15,CHOOSE(ArtifactsInput!$N$15+1,25,30,35,40,45,50)/100*(Inputs!$B$11-Inputs!$B$11),0)))/100)/2</f>
        <v/>
      </c>
      <c r="M1433">
        <f>L1433*(1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3">
        <f>L1433*(1-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1433*(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3">
        <f>(1-Summary!$B$11)*S1433+Summary!$B$11*U1433</f>
        <v/>
      </c>
      <c r="P1433">
        <f>IF(B1460=0,0,O1433/B1460)</f>
        <v/>
      </c>
      <c r="Q1433">
        <f>IFERROR(1/(IF(Inputs!$B$38="pvp",15,MAX(0.1,Skills!D10-IF(TRUE=TRUE,Inputs!$B$32,0)))*(1-IF(AND(ArtifactsInput!$M$27,Inputs!$B$4="Chapter Hunt"),CHOOSE(ArtifactsInput!$N$27+1,20,24,28,32,36,40),0)/100)),0)</f>
        <v/>
      </c>
      <c r="R1433" t="n">
        <v>0</v>
      </c>
      <c r="S1433">
        <f>IF(C1433,((H1433*B1461)/(1+Skills!G10*H1433*B1461)*N1433)*IF(Inputs!$B$38="pvp",1,1+(Inputs!$B$20+Skills!O10+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1433*(1-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1433*(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1433*(1-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1433*(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3">
        <f>IF(C1433,((H1433*B1461)/(1+Skills!G10*H1433*B1461)*N1433)*IF(Inputs!$B$38="pvp",1,(1+(Inputs!$B$21+Skills!P10+B1451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4">
      <c r="A1434">
        <f>Skills!A11</f>
        <v/>
      </c>
      <c r="B1434">
        <f>Skills!B11</f>
        <v/>
      </c>
      <c r="C1434">
        <f>Inputs!$B$3&gt;=107</f>
        <v/>
      </c>
      <c r="D1434">
        <f>IF(Skills!C11=1,60+Inputs!$B$25+Inputs!$B$29,IF(Skills!C11=2,90+Inputs!$B$26+Inputs!$B$29,IF(Skills!C11=3,120+Inputs!$B$27+Inputs!$B$29,MAX(0,(Inputs!$B$3-100)*3)+Inputs!$B$28+Inputs!$B$29)))</f>
        <v/>
      </c>
      <c r="E1434">
        <f>INDEX(FactorTable!$B$2:$Y$301, MATCH(ROUND(MIN(300,MAX(1,D1434)),0), FactorTable!$A$2:$A$301,0), Skills!L11+1)</f>
        <v/>
      </c>
      <c r="F1434">
        <f>IF(Skills!M11=TRUE,(Skills!K11/10)*(E1434/1000),Skills!K11/10)+Skills!N11</f>
        <v/>
      </c>
      <c r="G1434">
        <f>Calc!G11</f>
        <v/>
      </c>
      <c r="H1434">
        <f>Calc!H11</f>
        <v/>
      </c>
      <c r="I1434">
        <f>IF(Skills!T11&lt;&gt;"",1+(Skills!T11/10)*(Z1426/1000)/100,1)</f>
        <v/>
      </c>
      <c r="J1434">
        <f>((Inputs!$B$6*(1+Inputs!$B$7/100))+(((Inputs!$B$12*(1+Inputs!$B$13/100))-(Inputs!$B$12*(1+Inputs!$B$13/100)))+0.25*(Inputs!$B$14-Inputs!$B$14))*(1+Inputs!$B$7/100))*(F1434/100)</f>
        <v/>
      </c>
      <c r="K1434">
        <f>J1434*(1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11="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1434)</f>
        <v/>
      </c>
      <c r="L1434">
        <f>K1434*(MIN(Inputs!$B$22+(F1441-Calc!F18),(Inputs!$B$23+(IF(ArtifactsInput!$M$15,CHOOSE(ArtifactsInput!$N$15+1,25,30,35,40,45,50)/100*(Inputs!$B$11-Inputs!$B$11),0))))/100+(Inputs!$B$23+(IF(ArtifactsInput!$M$15,CHOOSE(ArtifactsInput!$N$15+1,25,30,35,40,45,50)/100*(Inputs!$B$11-Inputs!$B$11),0)))/100)/2</f>
        <v/>
      </c>
      <c r="M1434">
        <f>L1434*(1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4">
        <f>L1434*(1-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1434*(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4">
        <f>(1-Summary!$B$11)*S1434+Summary!$B$11*U1434</f>
        <v/>
      </c>
      <c r="P1434">
        <f>IF(B1460=0,0,O1434/B1460)</f>
        <v/>
      </c>
      <c r="Q1434">
        <f>IFERROR(1/(IF(Inputs!$B$38="pvp",15,MAX(0.1,Skills!D11-IF(TRUE=TRUE,Inputs!$B$32,0)))*(1-IF(AND(ArtifactsInput!$M$27,Inputs!$B$4="Chapter Hunt"),CHOOSE(ArtifactsInput!$N$27+1,20,24,28,32,36,40),0)/100)),0)</f>
        <v/>
      </c>
      <c r="R1434">
        <f>IF(AND(Inputs!$B$38&lt;&gt;"pvp",Inputs!$B$43&gt;0),IF(MAX(0,Inputs!$B$43-B1457)&lt;=0,0,(INT(MAX(0,Inputs!$B$43-B1457)/(IF(Inputs!$B$38="pvp",15,MAX(0.1,Skills!D11-IF(TRUE=TRUE,Inputs!$B$32,0)))*(1-IF(AND(ArtifactsInput!$M$27,Inputs!$B$4="Chapter Hunt"),CHOOSE(ArtifactsInput!$N$27+1,20,24,28,32,36,40),0)/100)))+1)),0)</f>
        <v/>
      </c>
      <c r="S1434">
        <f>IF(C1434,H1434*N1434*IF(AND(Inputs!$B$38&lt;&gt;"pvp",Inputs!$B$43&gt;0),((Skills!F11*((R1434-1)*IF(Skills!G11&gt;0,Skills!H11/Skills!G11,1)+IF(Skills!G11&gt;0,MIN(Skills!H11,MAX(0,MAX(0,Inputs!$B$43-B1457)-((R1434-1)*(IF(Inputs!$B$38="pvp",15,MAX(0.1,Skills!D11-IF(TRUE=TRUE,Inputs!$B$32,0)))*(1-IF(AND(ArtifactsInput!$M$27,Inputs!$B$4="Chapter Hunt"),CHOOSE(ArtifactsInput!$N$27+1,20,24,28,32,36,40),0)/100)))))/Skills!G11,1)))/Inputs!$B$43),G1434*Q1434)*0.5*IF(Inputs!$B$38="pvp",1,1+(Inputs!$B$20+Skills!O11+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1434*(1-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1434*(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1434*(1-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1434*(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4">
        <f>IF(C1434,H1434*N1434*IF(AND(Inputs!$B$38&lt;&gt;"pvp",Inputs!$B$43&gt;0),((Skills!F11*((R1434-1)*IF(Skills!G11&gt;0,Skills!H11/Skills!G11,1)+IF(Skills!G11&gt;0,MIN(Skills!H11,MAX(0,MAX(0,Inputs!$B$43-B1457)-((R1434-1)*(IF(Inputs!$B$38="pvp",15,MAX(0.1,Skills!D11-IF(TRUE=TRUE,Inputs!$B$32,0)))*(1-IF(AND(ArtifactsInput!$M$27,Inputs!$B$4="Chapter Hunt"),CHOOSE(ArtifactsInput!$N$27+1,20,24,28,32,36,40),0)/100)))))/Skills!G11,1)))/Inputs!$B$43),G1434*Q1434)*1*IF(Inputs!$B$38="pvp",1,(1+(Inputs!$B$21+Skills!P11+B1451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5">
      <c r="A1435">
        <f>Skills!A12</f>
        <v/>
      </c>
      <c r="B1435">
        <f>Skills!B12</f>
        <v/>
      </c>
      <c r="C1435">
        <f>Inputs!$B$3&gt;=115</f>
        <v/>
      </c>
      <c r="D1435">
        <f>IF(Skills!C12=1,60+Inputs!$B$25+Inputs!$B$29,IF(Skills!C12=2,90+Inputs!$B$26+Inputs!$B$29,IF(Skills!C12=3,120+Inputs!$B$27+Inputs!$B$29,MAX(0,(Inputs!$B$3-100)*3)+Inputs!$B$28+Inputs!$B$29)))</f>
        <v/>
      </c>
      <c r="E1435">
        <f>INDEX(FactorTable!$B$2:$Y$301, MATCH(ROUND(MIN(300,MAX(1,D1435)),0), FactorTable!$A$2:$A$301,0), Skills!L12+1)</f>
        <v/>
      </c>
      <c r="F1435">
        <f>IF(Skills!M12=TRUE,(Skills!K12/10)*(E1435/1000),Skills!K12/10)+Skills!N12</f>
        <v/>
      </c>
      <c r="G1435">
        <f>Calc!G12</f>
        <v/>
      </c>
      <c r="H1435">
        <f>Calc!H12</f>
        <v/>
      </c>
      <c r="I1435">
        <f>IF(Skills!T12&lt;&gt;"",1+(Skills!T12/10)*(Z1426/1000)/100,1)</f>
        <v/>
      </c>
      <c r="J1435">
        <f>((Inputs!$B$6*(1+Inputs!$B$7/100))+(((Inputs!$B$12*(1+Inputs!$B$13/100))-(Inputs!$B$12*(1+Inputs!$B$13/100)))+0.25*(Inputs!$B$14-Inputs!$B$14))*(1+Inputs!$B$7/100))*(F1435/100)</f>
        <v/>
      </c>
      <c r="K1435">
        <f>J1435*(1+((Inputs!$B$12*(1+Inputs!$B$13/100))*0.01+Inputs!$B$14*0.0025)/100)*(1+(Inputs!$B$15+B1452)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1438=TRUE,F1438,0)/100)*(1+IF(C1446=TRUE,F1446,0)/100)^5*(1+(IF(Skills!A12="CHAIN_LIGHTNING",Inputs!$B$17+((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1450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1435)</f>
        <v/>
      </c>
      <c r="L1435">
        <f>K1435*(MIN(Inputs!$B$22+(F1441-Calc!F18),(Inputs!$B$23+(IF(ArtifactsInput!$M$15,CHOOSE(ArtifactsInput!$N$15+1,25,30,35,40,45,50)/100*(Inputs!$B$11-Inputs!$B$11),0))))/100+(Inputs!$B$23+(IF(ArtifactsInput!$M$15,CHOOSE(ArtifactsInput!$N$15+1,25,30,35,40,45,50)/100*(Inputs!$B$11-Inputs!$B$11),0)))/100)/2</f>
        <v/>
      </c>
      <c r="M1435">
        <f>L1435*(1+(Inputs!$B$10+(F1444-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35">
        <f>L1435*(1-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1435*(MIN((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35">
        <f>(1-Summary!$B$11)*S1435+Summary!$B$11*U1435</f>
        <v/>
      </c>
      <c r="P1435">
        <f>IF(B1460=0,0,O1435/B1460)</f>
        <v/>
      </c>
      <c r="Q1435">
        <f>IFERROR(1/(IF(Inputs!$B$38="pvp",15,MAX(0.1,Skills!D12-IF(TRUE=TRUE,Inputs!$B$32,0)))*(1-IF(AND(ArtifactsInput!$M$27,Inputs!$B$4="Chapter Hunt"),CHOOSE(ArtifactsInput!$N$27+1,20,24,28,32,36,40),0)/100)),0)</f>
        <v/>
      </c>
      <c r="R1435">
        <f>IF(AND(Inputs!$B$38&lt;&gt;"pvp",Inputs!$B$43&gt;0),IF(MAX(0,Inputs!$B$43-B1457)&lt;=0,0,(INT(MAX(0,Inputs!$B$43-B1457)/(IF(Inputs!$B$38="pvp",15,MAX(0.1,Skills!D12-IF(TRUE=TRUE,Inputs!$B$32,0)))*(1-IF(AND(ArtifactsInput!$M$27,Inputs!$B$4="Chapter Hunt"),CHOOSE(ArtifactsInput!$N$27+1,20,24,28,32,36,40),0)/100)))+1)),0)</f>
        <v/>
      </c>
      <c r="S1435">
        <f>IF(C1435,(H1435*N1435*IF(AND(Inputs!$B$38&lt;&gt;"pvp",Inputs!$B$43&gt;0),((Skills!F12*((R1435-1)*IF(Skills!G12&gt;0,Skills!H12/Skills!G12,1)+IF(Skills!G12&gt;0,MIN(Skills!H12,MAX(0,MAX(0,Inputs!$B$43-B1457)-((R1435-1)*(IF(Inputs!$B$38="pvp",15,MAX(0.1,Skills!D12-IF(TRUE=TRUE,Inputs!$B$32,0)))*(1-IF(AND(ArtifactsInput!$M$27,Inputs!$B$4="Chapter Hunt"),CHOOSE(ArtifactsInput!$N$27+1,20,24,28,32,36,40),0)/100)))))/Skills!G12,1)))/Inputs!$B$43),G1435*Q1435))*IF(Inputs!$B$38="pvp",1,1+(Inputs!$B$20+Skills!O12+B1451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1435*(1-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1435*(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1435*(1-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1435*(MIN(100,(Inputs!$B$9+((F1443-Calc!F20)+(F1442-Calc!F19))+(ArtifactsInput!$M$24-ArtifactsInput!$M$24)*CHOOSE(ArtifactsInput!$N$24+1,10,12,14,16,18,20)+(IF(AND(Inputs!$B$38&lt;&gt;"pvp",Inputs!$B$43=0),1,IF(IF(Inputs!$B$38="pvp",15,Inputs!$B$43)-(B1457)&lt;=0,1,MAX(0,IF(Inputs!$B$38="pvp",15,Inputs!$B$43)-MAX(5,B1457))/(IF(Inputs!$B$38="pvp",15,Inputs!$B$43)-(B1457)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35">
        <f>IF(C1435,(H1435*N1435*IF(AND(Inputs!$B$38&lt;&gt;"pvp",Inputs!$B$43&gt;0),((Skills!F12*((R1435-1)*IF(Skills!G12&gt;0,Skills!H12/Skills!G12,1)+IF(Skills!G12&gt;0,MIN(Skills!H12,MAX(0,MAX(0,Inputs!$B$43-B1457)-((R1435-1)*(IF(Inputs!$B$38="pvp",15,MAX(0.1,Skills!D12-IF(TRUE=TRUE,Inputs!$B$32,0)))*(1-IF(AND(ArtifactsInput!$M$27,Inputs!$B$4="Chapter Hunt"),CHOOSE(ArtifactsInput!$N$27+1,20,24,28,32,36,40),0)/100)))))/Skills!G12,1)))/Inputs!$B$43),G1435*Q1435))*IF(Inputs!$B$38="pvp",1,(1+(Inputs!$B$21+Skills!P12+B1451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6">
      <c r="A1436">
        <f>Skills!A13</f>
        <v/>
      </c>
      <c r="B1436">
        <f>Skills!B13</f>
        <v/>
      </c>
      <c r="C1436">
        <f>Inputs!$B$3&gt;=49</f>
        <v/>
      </c>
      <c r="D1436">
        <f>IF(Skills!C13=1,60+Inputs!$B$25+Inputs!$B$29,IF(Skills!C13=2,90+Inputs!$B$26+Inputs!$B$29,IF(Skills!C13=3,120+Inputs!$B$27+Inputs!$B$29,MAX(0,(Inputs!$B$3-100)*3)+Inputs!$B$28+Inputs!$B$29)))</f>
        <v/>
      </c>
      <c r="E1436">
        <f>INDEX(FactorTable!$B$2:$Y$301, MATCH(ROUND(MIN(300,MAX(1,D1436)),0), FactorTable!$A$2:$A$301,0), Skills!L13+1)</f>
        <v/>
      </c>
      <c r="F1436">
        <f>IF(Skills!M13=TRUE,(Skills!K13/10)*(E1436/1000),Skills!K13/10)+Skills!N13</f>
        <v/>
      </c>
      <c r="G1436">
        <f>Calc!G13</f>
        <v/>
      </c>
      <c r="H1436">
        <f>Calc!H13</f>
        <v/>
      </c>
      <c r="I1436">
        <f>IF(Skills!T13&lt;&gt;"",1+(Skills!T13/10)*(Z1426/1000)/100,1)</f>
        <v/>
      </c>
      <c r="J1436" t="inlineStr"/>
      <c r="K1436" t="inlineStr"/>
      <c r="L1436" t="inlineStr"/>
      <c r="M1436" t="inlineStr"/>
      <c r="N1436" t="inlineStr"/>
      <c r="O1436">
        <f>(1-Summary!$B$11)*S1436+Summary!$B$11*U1436</f>
        <v/>
      </c>
      <c r="P1436">
        <f>IF(B1460=0,0,O1436/B1460)</f>
        <v/>
      </c>
      <c r="Q1436">
        <f>IFERROR(1/(IF(Inputs!$B$38="pvp",15,MAX(0.1,Skills!D13-IF(TRUE=TRUE,Inputs!$B$32,0)))*(1-IF(AND(ArtifactsInput!$M$27,Inputs!$B$4="Chapter Hunt"),CHOOSE(ArtifactsInput!$N$27+1,20,24,28,32,36,40),0)/100)),0)</f>
        <v/>
      </c>
      <c r="R1436" t="n">
        <v>0</v>
      </c>
      <c r="S1436" t="n">
        <v>0</v>
      </c>
      <c r="U1436" t="n">
        <v>0</v>
      </c>
    </row>
    <row r="1437">
      <c r="A1437">
        <f>Skills!A14</f>
        <v/>
      </c>
      <c r="B1437">
        <f>Skills!B14</f>
        <v/>
      </c>
      <c r="C1437">
        <f>Inputs!$B$3&gt;=72</f>
        <v/>
      </c>
      <c r="D1437">
        <f>IF(Skills!C14=1,60+Inputs!$B$25+Inputs!$B$29,IF(Skills!C14=2,90+Inputs!$B$26+Inputs!$B$29,IF(Skills!C14=3,120+Inputs!$B$27+Inputs!$B$29,MAX(0,(Inputs!$B$3-100)*3)+Inputs!$B$28+Inputs!$B$29)))</f>
        <v/>
      </c>
      <c r="E1437">
        <f>INDEX(FactorTable!$B$2:$Y$301, MATCH(ROUND(MIN(300,MAX(1,D1437)),0), FactorTable!$A$2:$A$301,0), Skills!L14+1)</f>
        <v/>
      </c>
      <c r="F1437">
        <f>IF(Skills!M14=TRUE,(Skills!K14/10)*(E1437/1000),Skills!K14/10)+Skills!N14</f>
        <v/>
      </c>
      <c r="G1437">
        <f>Calc!G14</f>
        <v/>
      </c>
      <c r="H1437">
        <f>Calc!H14</f>
        <v/>
      </c>
      <c r="I1437">
        <f>IF(Skills!T14&lt;&gt;"",1+(Skills!T14/10)*(Z1426/1000)/100,1)</f>
        <v/>
      </c>
      <c r="J1437" t="inlineStr"/>
      <c r="K1437" t="inlineStr"/>
      <c r="L1437" t="inlineStr"/>
      <c r="M1437" t="inlineStr"/>
      <c r="N1437" t="inlineStr"/>
      <c r="O1437">
        <f>(1-Summary!$B$11)*S1437+Summary!$B$11*U1437</f>
        <v/>
      </c>
      <c r="P1437">
        <f>IF(B1460=0,0,O1437/B1460)</f>
        <v/>
      </c>
      <c r="Q1437">
        <f>IFERROR(1/(IF(Inputs!$B$38="pvp",15,MAX(0.1,Skills!D14-IF(TRUE=TRUE,Inputs!$B$32,0)))*(1-IF(AND(ArtifactsInput!$M$27,Inputs!$B$4="Chapter Hunt"),CHOOSE(ArtifactsInput!$N$27+1,20,24,28,32,36,40),0)/100)),0)</f>
        <v/>
      </c>
      <c r="R1437" t="n">
        <v>0</v>
      </c>
      <c r="S1437" t="n">
        <v>0</v>
      </c>
      <c r="U1437" t="n">
        <v>0</v>
      </c>
    </row>
    <row r="1438">
      <c r="A1438">
        <f>Skills!A15</f>
        <v/>
      </c>
      <c r="B1438">
        <f>Skills!B15</f>
        <v/>
      </c>
      <c r="C1438">
        <f>Inputs!$B$3&gt;=75</f>
        <v/>
      </c>
      <c r="D1438">
        <f>IF(Skills!C15=1,60+Inputs!$B$25+Inputs!$B$29,IF(Skills!C15=2,90+Inputs!$B$26+Inputs!$B$29,IF(Skills!C15=3,120+Inputs!$B$27+Inputs!$B$29,MAX(0,(Inputs!$B$3-100)*3)+Inputs!$B$28+Inputs!$B$29)))</f>
        <v/>
      </c>
      <c r="E1438">
        <f>INDEX(FactorTable!$B$2:$Y$301, MATCH(ROUND(MIN(300,MAX(1,D1438)),0), FactorTable!$A$2:$A$301,0), Skills!L15+1)</f>
        <v/>
      </c>
      <c r="F1438">
        <f>IF(Skills!M15=TRUE,(Skills!K15/10)*(E1438/1000),Skills!K15/10)+Skills!N15</f>
        <v/>
      </c>
      <c r="G1438">
        <f>Calc!G15</f>
        <v/>
      </c>
      <c r="H1438">
        <f>Calc!H15</f>
        <v/>
      </c>
      <c r="I1438">
        <f>IF(Skills!T15&lt;&gt;"",1+(Skills!T15/10)*(Z1426/1000)/100,1)</f>
        <v/>
      </c>
      <c r="J1438" t="inlineStr"/>
      <c r="K1438" t="inlineStr"/>
      <c r="L1438" t="inlineStr"/>
      <c r="M1438" t="inlineStr"/>
      <c r="N1438" t="inlineStr"/>
      <c r="O1438">
        <f>(1-Summary!$B$11)*S1438+Summary!$B$11*U1438</f>
        <v/>
      </c>
      <c r="P1438">
        <f>IF(B1460=0,0,O1438/B1460)</f>
        <v/>
      </c>
      <c r="Q1438">
        <f>IFERROR(1/(IF(Inputs!$B$38="pvp",15,MAX(0.1,Skills!D15-IF(TRUE=TRUE,Inputs!$B$32,0)))*(1-IF(AND(ArtifactsInput!$M$27,Inputs!$B$4="Chapter Hunt"),CHOOSE(ArtifactsInput!$N$27+1,20,24,28,32,36,40),0)/100)),0)</f>
        <v/>
      </c>
      <c r="R1438" t="n">
        <v>0</v>
      </c>
      <c r="S1438" t="n">
        <v>0</v>
      </c>
      <c r="U1438" t="n">
        <v>0</v>
      </c>
    </row>
    <row r="1439">
      <c r="A1439">
        <f>Skills!A16</f>
        <v/>
      </c>
      <c r="B1439">
        <f>Skills!B16</f>
        <v/>
      </c>
      <c r="C1439">
        <f>Inputs!$B$3&gt;=110</f>
        <v/>
      </c>
      <c r="D1439">
        <f>IF(Skills!C16=1,60+Inputs!$B$25+Inputs!$B$29,IF(Skills!C16=2,90+Inputs!$B$26+Inputs!$B$29,IF(Skills!C16=3,120+Inputs!$B$27+Inputs!$B$29,MAX(0,(Inputs!$B$3-100)*3)+Inputs!$B$28+Inputs!$B$29)))</f>
        <v/>
      </c>
      <c r="E1439">
        <f>INDEX(FactorTable!$B$2:$Y$301, MATCH(ROUND(MIN(300,MAX(1,D1439)),0), FactorTable!$A$2:$A$301,0), Skills!L16+1)</f>
        <v/>
      </c>
      <c r="F1439">
        <f>(Skills!K16/10)*(E1439/1000)*64/45+Skills!N16</f>
        <v/>
      </c>
      <c r="G1439">
        <f>Calc!G16</f>
        <v/>
      </c>
      <c r="H1439">
        <f>Calc!H16</f>
        <v/>
      </c>
      <c r="I1439">
        <f>IF(Skills!T16&lt;&gt;"",1+(Skills!T16/10)*(Z1426/1000)/100,1)</f>
        <v/>
      </c>
      <c r="J1439" t="inlineStr"/>
      <c r="K1439" t="inlineStr"/>
      <c r="L1439" t="inlineStr"/>
      <c r="M1439" t="inlineStr"/>
      <c r="N1439" t="inlineStr"/>
      <c r="O1439">
        <f>(1-Summary!$B$11)*S1439+Summary!$B$11*U1439</f>
        <v/>
      </c>
      <c r="P1439">
        <f>IF(B1460=0,0,O1439/B1460)</f>
        <v/>
      </c>
      <c r="Q1439">
        <f>IFERROR(1/(IF(Inputs!$B$38="pvp",15,MAX(0.1,Skills!D16-IF(TRUE=TRUE,Inputs!$B$32,0)))*(1-IF(AND(ArtifactsInput!$M$27,Inputs!$B$4="Chapter Hunt"),CHOOSE(ArtifactsInput!$N$27+1,20,24,28,32,36,40),0)/100)),0)</f>
        <v/>
      </c>
      <c r="R1439">
        <f>IF(AND(Inputs!$B$38&lt;&gt;"pvp",Inputs!$B$43&gt;0),IF(Inputs!$B$43&lt;=0,0,(INT(Inputs!$B$43/(IF(Inputs!$B$38="pvp",15,MAX(0.1,Skills!D16-IF(TRUE=TRUE,Inputs!$B$32,0)))*(1-IF(AND(ArtifactsInput!$M$27,Inputs!$B$4="Chapter Hunt"),CHOOSE(ArtifactsInput!$N$27+1,20,24,28,32,36,40),0)/100)))+1)),0)</f>
        <v/>
      </c>
      <c r="S1439" t="n">
        <v>0</v>
      </c>
      <c r="U1439" t="n">
        <v>0</v>
      </c>
    </row>
    <row r="1440">
      <c r="A1440">
        <f>Skills!A17</f>
        <v/>
      </c>
      <c r="B1440">
        <f>Skills!B17</f>
        <v/>
      </c>
      <c r="C1440">
        <f>Inputs!$B$3&gt;=33</f>
        <v/>
      </c>
      <c r="D1440">
        <f>IF(Skills!C17=1,60+Inputs!$B$25+Inputs!$B$29,IF(Skills!C17=2,90+Inputs!$B$26+Inputs!$B$29,IF(Skills!C17=3,120+Inputs!$B$27+Inputs!$B$29,MAX(0,(Inputs!$B$3-100)*3)+Inputs!$B$28+Inputs!$B$29)))</f>
        <v/>
      </c>
      <c r="E1440">
        <f>INDEX(FactorTable!$B$2:$Y$301, MATCH(ROUND(MIN(300,MAX(1,D1440)),0), FactorTable!$A$2:$A$301,0), Skills!L17+1)</f>
        <v/>
      </c>
      <c r="F1440">
        <f>IF(Skills!M17=TRUE,(Skills!K17/10)*(E1440/1000),Skills!K17/10)+Skills!N17</f>
        <v/>
      </c>
      <c r="G1440">
        <f>Calc!G17</f>
        <v/>
      </c>
      <c r="H1440">
        <f>Calc!H17</f>
        <v/>
      </c>
      <c r="I1440">
        <f>IF(Skills!T17&lt;&gt;"",1+(Skills!T17/10)*(Z1426/1000)/100,1)</f>
        <v/>
      </c>
      <c r="J1440" t="inlineStr"/>
      <c r="K1440" t="inlineStr"/>
      <c r="L1440" t="inlineStr"/>
      <c r="M1440" t="inlineStr"/>
      <c r="N1440" t="inlineStr"/>
      <c r="O1440">
        <f>(1-Summary!$B$11)*S1440+Summary!$B$11*U1440</f>
        <v/>
      </c>
      <c r="P1440">
        <f>IF(B1460=0,0,O1440/B1460)</f>
        <v/>
      </c>
      <c r="Q1440">
        <f>IFERROR(1/(IF(Inputs!$B$38="pvp",15,MAX(0.1,Skills!D17-IF(TRUE=TRUE,Inputs!$B$32,0)))*(1-IF(AND(ArtifactsInput!$M$27,Inputs!$B$4="Chapter Hunt"),CHOOSE(ArtifactsInput!$N$27+1,20,24,28,32,36,40),0)/100)),0)</f>
        <v/>
      </c>
      <c r="R1440" t="n">
        <v>0</v>
      </c>
      <c r="S1440" t="n">
        <v>0</v>
      </c>
      <c r="U1440" t="n">
        <v>0</v>
      </c>
    </row>
    <row r="1441">
      <c r="A1441">
        <f>Skills!A18</f>
        <v/>
      </c>
      <c r="B1441">
        <f>Skills!B18</f>
        <v/>
      </c>
      <c r="C1441">
        <f>Inputs!$B$3&gt;=43</f>
        <v/>
      </c>
      <c r="D1441">
        <f>IF(Skills!C18=1,60+Inputs!$B$25+Inputs!$B$29,IF(Skills!C18=2,90+Inputs!$B$26+Inputs!$B$29,IF(Skills!C18=3,120+Inputs!$B$27+Inputs!$B$29,MAX(0,(Inputs!$B$3-100)*3)+Inputs!$B$28+Inputs!$B$29)))</f>
        <v/>
      </c>
      <c r="E1441">
        <f>INDEX(FactorTable!$B$2:$Y$301, MATCH(ROUND(MIN(300,MAX(1,D1441)),0), FactorTable!$A$2:$A$301,0), Skills!L18+1)</f>
        <v/>
      </c>
      <c r="F1441">
        <f>IF(Skills!M18=TRUE,(Skills!K18/10)*(E1441/1000),Skills!K18/10)+Skills!N18</f>
        <v/>
      </c>
      <c r="G1441">
        <f>Calc!G18</f>
        <v/>
      </c>
      <c r="H1441">
        <f>Calc!H18</f>
        <v/>
      </c>
      <c r="I1441">
        <f>IF(Skills!T18&lt;&gt;"",1+(Skills!T18/10)*(Z1426/1000)/100,1)</f>
        <v/>
      </c>
      <c r="J1441" t="inlineStr"/>
      <c r="K1441" t="inlineStr"/>
      <c r="L1441" t="inlineStr"/>
      <c r="M1441" t="inlineStr"/>
      <c r="N1441" t="inlineStr"/>
      <c r="O1441">
        <f>(1-Summary!$B$11)*S1441+Summary!$B$11*U1441</f>
        <v/>
      </c>
      <c r="P1441">
        <f>IF(B1460=0,0,O1441/B1460)</f>
        <v/>
      </c>
      <c r="Q1441">
        <f>IFERROR(1/(IF(Inputs!$B$38="pvp",15,MAX(0.1,Skills!D18-IF(TRUE=TRUE,Inputs!$B$32,0)))*(1-IF(AND(ArtifactsInput!$M$27,Inputs!$B$4="Chapter Hunt"),CHOOSE(ArtifactsInput!$N$27+1,20,24,28,32,36,40),0)/100)),0)</f>
        <v/>
      </c>
      <c r="R1441" t="n">
        <v>0</v>
      </c>
      <c r="S1441" t="n">
        <v>0</v>
      </c>
      <c r="U1441" t="n">
        <v>0</v>
      </c>
    </row>
    <row r="1442">
      <c r="A1442">
        <f>Skills!A19</f>
        <v/>
      </c>
      <c r="B1442">
        <f>Skills!B19</f>
        <v/>
      </c>
      <c r="C1442">
        <f>Inputs!$B$3&gt;=50</f>
        <v/>
      </c>
      <c r="D1442">
        <f>IF(Skills!C19=1,60+Inputs!$B$25+Inputs!$B$29,IF(Skills!C19=2,90+Inputs!$B$26+Inputs!$B$29,IF(Skills!C19=3,120+Inputs!$B$27+Inputs!$B$29,MAX(0,(Inputs!$B$3-100)*3)+Inputs!$B$28+Inputs!$B$29)))</f>
        <v/>
      </c>
      <c r="E1442">
        <f>INDEX(FactorTable!$B$2:$Y$301, MATCH(ROUND(MIN(300,MAX(1,D1442)),0), FactorTable!$A$2:$A$301,0), Skills!L19+1)</f>
        <v/>
      </c>
      <c r="F1442">
        <f>IF(Skills!M19=TRUE,(Skills!K19/10)*(E1442/1000),Skills!K19/10)+Skills!N19</f>
        <v/>
      </c>
      <c r="G1442">
        <f>Calc!G19</f>
        <v/>
      </c>
      <c r="H1442">
        <f>Calc!H19</f>
        <v/>
      </c>
      <c r="I1442">
        <f>IF(Skills!T19&lt;&gt;"",1+(Skills!T19/10)*(Z1426/1000)/100,1)</f>
        <v/>
      </c>
      <c r="J1442" t="inlineStr"/>
      <c r="K1442" t="inlineStr"/>
      <c r="L1442" t="inlineStr"/>
      <c r="M1442" t="inlineStr"/>
      <c r="N1442" t="inlineStr"/>
      <c r="O1442">
        <f>(1-Summary!$B$11)*S1442+Summary!$B$11*U1442</f>
        <v/>
      </c>
      <c r="P1442">
        <f>IF(B1460=0,0,O1442/B1460)</f>
        <v/>
      </c>
      <c r="Q1442">
        <f>IFERROR(1/(IF(Inputs!$B$38="pvp",15,MAX(0.1,Skills!D19-IF(TRUE=TRUE,Inputs!$B$32,0)))*(1-IF(AND(ArtifactsInput!$M$27,Inputs!$B$4="Chapter Hunt"),CHOOSE(ArtifactsInput!$N$27+1,20,24,28,32,36,40),0)/100)),0)</f>
        <v/>
      </c>
      <c r="R1442" t="n">
        <v>0</v>
      </c>
      <c r="S1442" t="n">
        <v>0</v>
      </c>
      <c r="U1442" t="n">
        <v>0</v>
      </c>
    </row>
    <row r="1443">
      <c r="A1443">
        <f>Skills!A20</f>
        <v/>
      </c>
      <c r="B1443">
        <f>Skills!B20</f>
        <v/>
      </c>
      <c r="C1443">
        <f>Inputs!$B$3&gt;=74</f>
        <v/>
      </c>
      <c r="D1443">
        <f>IF(Skills!C20=1,60+Inputs!$B$25+Inputs!$B$29,IF(Skills!C20=2,90+Inputs!$B$26+Inputs!$B$29,IF(Skills!C20=3,120+Inputs!$B$27+Inputs!$B$29,MAX(0,(Inputs!$B$3-100)*3)+Inputs!$B$28+Inputs!$B$29)))</f>
        <v/>
      </c>
      <c r="E1443">
        <f>INDEX(FactorTable!$B$2:$Y$301, MATCH(ROUND(MIN(300,MAX(1,D1443)),0), FactorTable!$A$2:$A$301,0), Skills!L20+1)</f>
        <v/>
      </c>
      <c r="F1443">
        <f>IF(Skills!M20=TRUE,(Skills!K20/10)*(E1443/1000),Skills!K20/10)+Skills!N20</f>
        <v/>
      </c>
      <c r="G1443">
        <f>Calc!G20</f>
        <v/>
      </c>
      <c r="H1443">
        <f>Calc!H20</f>
        <v/>
      </c>
      <c r="I1443">
        <f>IF(Skills!T20&lt;&gt;"",1+(Skills!T20/10)*(Z1426/1000)/100,1)</f>
        <v/>
      </c>
      <c r="J1443" t="inlineStr"/>
      <c r="K1443" t="inlineStr"/>
      <c r="L1443" t="inlineStr"/>
      <c r="M1443" t="inlineStr"/>
      <c r="N1443" t="inlineStr"/>
      <c r="O1443">
        <f>(1-Summary!$B$11)*S1443+Summary!$B$11*U1443</f>
        <v/>
      </c>
      <c r="P1443">
        <f>IF(B1460=0,0,O1443/B1460)</f>
        <v/>
      </c>
      <c r="Q1443">
        <f>IFERROR(1/(IF(Inputs!$B$38="pvp",15,MAX(0.1,Skills!D20-IF(TRUE=TRUE,Inputs!$B$32,0)))*(1-IF(AND(ArtifactsInput!$M$27,Inputs!$B$4="Chapter Hunt"),CHOOSE(ArtifactsInput!$N$27+1,20,24,28,32,36,40),0)/100)),0)</f>
        <v/>
      </c>
      <c r="R1443" t="n">
        <v>0</v>
      </c>
      <c r="S1443" t="n">
        <v>0</v>
      </c>
      <c r="U1443" t="n">
        <v>0</v>
      </c>
    </row>
    <row r="1444">
      <c r="A1444">
        <f>Skills!A21</f>
        <v/>
      </c>
      <c r="B1444">
        <f>Skills!B21</f>
        <v/>
      </c>
      <c r="C1444">
        <f>Inputs!$B$3&gt;=74</f>
        <v/>
      </c>
      <c r="D1444">
        <f>IF(Skills!C21=1,60+Inputs!$B$25+Inputs!$B$29,IF(Skills!C21=2,90+Inputs!$B$26+Inputs!$B$29,IF(Skills!C21=3,120+Inputs!$B$27+Inputs!$B$29,MAX(0,(Inputs!$B$3-100)*3)+Inputs!$B$28+Inputs!$B$29)))</f>
        <v/>
      </c>
      <c r="E1444">
        <f>INDEX(FactorTable!$B$2:$Y$301, MATCH(ROUND(MIN(300,MAX(1,D1444)),0), FactorTable!$A$2:$A$301,0), Skills!L21+1)</f>
        <v/>
      </c>
      <c r="F1444">
        <f>IF(Skills!M21=TRUE,(Skills!K21/10)*(E1444/1000),Skills!K21/10)+Skills!N21</f>
        <v/>
      </c>
      <c r="G1444">
        <f>Calc!G21</f>
        <v/>
      </c>
      <c r="H1444">
        <f>Calc!H21</f>
        <v/>
      </c>
      <c r="I1444">
        <f>IF(Skills!T21&lt;&gt;"",1+(Skills!T21/10)*(Z1426/1000)/100,1)</f>
        <v/>
      </c>
      <c r="J1444" t="inlineStr"/>
      <c r="K1444" t="inlineStr"/>
      <c r="L1444" t="inlineStr"/>
      <c r="M1444" t="inlineStr"/>
      <c r="N1444" t="inlineStr"/>
      <c r="O1444">
        <f>(1-Summary!$B$11)*S1444+Summary!$B$11*U1444</f>
        <v/>
      </c>
      <c r="P1444">
        <f>IF(B1460=0,0,O1444/B1460)</f>
        <v/>
      </c>
      <c r="Q1444">
        <f>IFERROR(1/(IF(Inputs!$B$38="pvp",15,MAX(0.1,Skills!D21-IF(TRUE=TRUE,Inputs!$B$32,0)))*(1-IF(AND(ArtifactsInput!$M$27,Inputs!$B$4="Chapter Hunt"),CHOOSE(ArtifactsInput!$N$27+1,20,24,28,32,36,40),0)/100)),0)</f>
        <v/>
      </c>
      <c r="R1444" t="n">
        <v>0</v>
      </c>
      <c r="S1444" t="n">
        <v>0</v>
      </c>
      <c r="U1444" t="n">
        <v>0</v>
      </c>
    </row>
    <row r="1445">
      <c r="A1445">
        <f>Skills!A22</f>
        <v/>
      </c>
      <c r="B1445">
        <f>Skills!B22</f>
        <v/>
      </c>
      <c r="C1445">
        <f>Inputs!$B$3&gt;=117</f>
        <v/>
      </c>
      <c r="D1445">
        <f>IF(Skills!C22=1,60+Inputs!$B$25+Inputs!$B$29,IF(Skills!C22=2,90+Inputs!$B$26+Inputs!$B$29,IF(Skills!C22=3,120+Inputs!$B$27+Inputs!$B$29,MAX(0,(Inputs!$B$3-100)*3)+Inputs!$B$28+Inputs!$B$29)))</f>
        <v/>
      </c>
      <c r="E1445">
        <f>INDEX(FactorTable!$B$2:$Y$301, MATCH(ROUND(MIN(300,MAX(1,D1445)),0), FactorTable!$A$2:$A$301,0), Skills!L22+1)</f>
        <v/>
      </c>
      <c r="F1445">
        <f>IF(Skills!M22=TRUE,(Skills!K22/10)*(E1445/1000),Skills!K22/10)+Skills!N22</f>
        <v/>
      </c>
      <c r="G1445">
        <f>Calc!G22</f>
        <v/>
      </c>
      <c r="H1445">
        <f>Calc!H22</f>
        <v/>
      </c>
      <c r="I1445">
        <f>IF(Skills!T22&lt;&gt;"",1+(Skills!T22/10)*(Z1426/1000)/100,1)</f>
        <v/>
      </c>
      <c r="J1445" t="inlineStr"/>
      <c r="K1445" t="inlineStr"/>
      <c r="L1445" t="inlineStr"/>
      <c r="M1445" t="inlineStr"/>
      <c r="N1445" t="inlineStr"/>
      <c r="O1445">
        <f>(1-Summary!$B$11)*S1445+Summary!$B$11*U1445</f>
        <v/>
      </c>
      <c r="P1445">
        <f>IF(B1460=0,0,O1445/B1460)</f>
        <v/>
      </c>
      <c r="Q1445">
        <f>IFERROR(1/(IF(Inputs!$B$38="pvp",15,MAX(0.1,Skills!D22-IF(TRUE=TRUE,Inputs!$B$32,0)))*(1-IF(AND(ArtifactsInput!$M$27,Inputs!$B$4="Chapter Hunt"),CHOOSE(ArtifactsInput!$N$27+1,20,24,28,32,36,40),0)/100)),0)</f>
        <v/>
      </c>
      <c r="R1445" t="n">
        <v>0</v>
      </c>
      <c r="S1445" t="n">
        <v>0</v>
      </c>
      <c r="U1445" t="n">
        <v>0</v>
      </c>
    </row>
    <row r="1446">
      <c r="A1446">
        <f>Skills!A23</f>
        <v/>
      </c>
      <c r="B1446">
        <f>Skills!B23</f>
        <v/>
      </c>
      <c r="C1446">
        <f>Inputs!$B$3&gt;=120</f>
        <v/>
      </c>
      <c r="D1446">
        <f>IF(Skills!C23=1,60+Inputs!$B$25+Inputs!$B$29,IF(Skills!C23=2,90+Inputs!$B$26+Inputs!$B$29,IF(Skills!C23=3,120+Inputs!$B$27+Inputs!$B$29,MAX(0,(Inputs!$B$3-100)*3)+Inputs!$B$28+Inputs!$B$29)))</f>
        <v/>
      </c>
      <c r="E1446">
        <f>INDEX(FactorTable!$B$2:$Y$301, MATCH(ROUND(MIN(300,MAX(1,D1446)),0), FactorTable!$A$2:$A$301,0), Skills!L23+1)</f>
        <v/>
      </c>
      <c r="F1446">
        <f>IF(Skills!M23=TRUE,(Skills!K23/10)*(E1446/1000),Skills!K23/10)+Skills!N23</f>
        <v/>
      </c>
      <c r="G1446">
        <f>Calc!G23</f>
        <v/>
      </c>
      <c r="H1446">
        <f>Calc!H23</f>
        <v/>
      </c>
      <c r="I1446">
        <f>IF(Skills!T23&lt;&gt;"",1+(Skills!T23/10)*(Z1426/1000)/100,1)</f>
        <v/>
      </c>
      <c r="J1446" t="inlineStr"/>
      <c r="K1446" t="inlineStr"/>
      <c r="L1446" t="inlineStr"/>
      <c r="M1446" t="inlineStr"/>
      <c r="N1446" t="inlineStr"/>
      <c r="O1446">
        <f>(1-Summary!$B$11)*S1446+Summary!$B$11*U1446</f>
        <v/>
      </c>
      <c r="P1446">
        <f>IF(B1460=0,0,O1446/B1460)</f>
        <v/>
      </c>
      <c r="Q1446">
        <f>IFERROR(1/(IF(Inputs!$B$38="pvp",15,MAX(0.1,Skills!D23-IF(TRUE=TRUE,Inputs!$B$32,0)))*(1-IF(AND(ArtifactsInput!$M$27,Inputs!$B$4="Chapter Hunt"),CHOOSE(ArtifactsInput!$N$27+1,20,24,28,32,36,40),0)/100)),0)</f>
        <v/>
      </c>
      <c r="R1446" t="n">
        <v>0</v>
      </c>
      <c r="S1446" t="n">
        <v>0</v>
      </c>
      <c r="U1446" t="n">
        <v>0</v>
      </c>
    </row>
    <row r="1447">
      <c r="A1447">
        <f>Skills!A24</f>
        <v/>
      </c>
      <c r="B1447">
        <f>Skills!B24</f>
        <v/>
      </c>
      <c r="C1447">
        <f>TRUE</f>
        <v/>
      </c>
      <c r="D1447">
        <f>IF(Skills!C24=1,60+Inputs!$B$25+Inputs!$B$29,IF(Skills!C24=2,90+Inputs!$B$26+Inputs!$B$29,IF(Skills!C24=3,120+Inputs!$B$27+Inputs!$B$29,MAX(0,(Inputs!$B$3-100)*3)+Inputs!$B$28+Inputs!$B$29)))</f>
        <v/>
      </c>
      <c r="E1447">
        <f>INDEX(FactorTable!$B$2:$Y$301, MATCH(ROUND(MIN(300,MAX(1,D1447)),0), FactorTable!$A$2:$A$301,0), Skills!L24+1)</f>
        <v/>
      </c>
      <c r="F1447">
        <f>IF(Skills!M24=TRUE,(Skills!K24/10)*(E1447/1000),Skills!K24/10)+Skills!N24</f>
        <v/>
      </c>
      <c r="G1447">
        <f>Calc!G24</f>
        <v/>
      </c>
      <c r="H1447">
        <f>Calc!H24</f>
        <v/>
      </c>
      <c r="I1447">
        <f>IF(Skills!T24&lt;&gt;"",1+(Skills!T24/10)*(Z1426/1000)/100,1)</f>
        <v/>
      </c>
      <c r="J1447" t="inlineStr"/>
      <c r="K1447" t="inlineStr"/>
      <c r="L1447" t="inlineStr"/>
      <c r="M1447" t="inlineStr"/>
      <c r="N1447" t="inlineStr"/>
      <c r="O1447">
        <f>(1-Summary!$B$11)*S1447+Summary!$B$11*U1447</f>
        <v/>
      </c>
      <c r="P1447">
        <f>IF(B1460=0,0,O1447/B1460)</f>
        <v/>
      </c>
      <c r="Q1447">
        <f>IFERROR(1/(IF(Inputs!$B$38="pvp",15,MAX(0.1,Skills!D24-IF(TRUE=TRUE,Inputs!$B$32,0)))*(1-IF(AND(ArtifactsInput!$M$27,Inputs!$B$4="Chapter Hunt"),CHOOSE(ArtifactsInput!$N$27+1,20,24,28,32,36,40),0)/100)),0)</f>
        <v/>
      </c>
      <c r="R1447">
        <f>IF(AND(Inputs!$B$38&lt;&gt;"pvp",Inputs!$B$43&gt;0),IF(Inputs!$B$43&lt;=0,0,(INT(Inputs!$B$43/(IF(Inputs!$B$38="pvp",15,MAX(0.1,Skills!D24-IF(TRUE=TRUE,Inputs!$B$32,0)))*(1-IF(AND(ArtifactsInput!$M$27,Inputs!$B$4="Chapter Hunt"),CHOOSE(ArtifactsInput!$N$27+1,20,24,28,32,36,40),0)/100)))+1)),0)</f>
        <v/>
      </c>
      <c r="S1447" t="n">
        <v>0</v>
      </c>
      <c r="U1447" t="n">
        <v>0</v>
      </c>
    </row>
    <row r="1450">
      <c r="A1450" t="inlineStr">
        <is>
          <t>Average Buff Multiplier (Magic Guard + Meditation + Artifact Attack%, summed; then Infinity)</t>
        </is>
      </c>
      <c r="B1450">
        <f>(1+(IF(C1426=TRUE,F1426*IF(AND(Inputs!$B$38&lt;&gt;"pvp",Inputs!$B$43&gt;0),(((R1426-1)*MIN((Skills!S3*(1+(Inputs!$B$34)/100)),(1/Q1426))+MIN((Skills!S3*(1+(Inputs!$B$34)/100)),MAX(0,Inputs!$B$43-((R1426-1)*(1/Q1426)))))/Inputs!$B$43),IF(Inputs!$B$38="pvp",MIN((Skills!S3*(1+(Inputs!$B$34)/100)),15)/15,MIN(1,(Skills!S3*(1+(Inputs!$B$34)/100))/(1/Q1426)))),0)+IF(C1427=TRUE,F1427*IF(AND(Inputs!$B$38&lt;&gt;"pvp",Inputs!$B$43&gt;0),(((R1427-1)*MIN((Skills!S4*(1+(Inputs!$B$34)/100)),(1/Q1427))+MIN((Skills!S4*(1+(Inputs!$B$34)/100)),MAX(0,Inputs!$B$43-((R1427-1)*(1/Q1427)))))/Inputs!$B$43),IF(Inputs!$B$38="pvp",MIN((Skills!S4*(1+(Inputs!$B$34)/100)),15)/15,MIN(1,(Skills!S4*(1+(Inputs!$B$34)/100))/(1/Q1427)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1439=TRUE,(1+F1439*IF(AND(Inputs!$B$38&lt;&gt;"pvp",Inputs!$B$43&gt;0),(((R1439-1)*MIN((Skills!S16*(1+(Inputs!$B$34)/100)),(1/Q1439))+MIN((Skills!S16*(1+(Inputs!$B$34)/100)),MAX(0,Inputs!$B$43-((R1439-1)*(1/Q1439)))))/Inputs!$B$43),IF(Inputs!$B$38="pvp",MIN((Skills!S16*(1+(Inputs!$B$34)/100)),15)/15,MIN(1,(Skills!S16*(1+(Inputs!$B$34)/100))/(1/Q1439))))/100),1)</f>
        <v/>
      </c>
    </row>
    <row r="1451">
      <c r="A1451" t="inlineStr">
        <is>
          <t>Monster Damage Taken Bonus % (Freezing Breath - Weaken + Elemental Reset + Artifact Enemy Damage Taken, summed)</t>
        </is>
      </c>
      <c r="B1451">
        <f>IF(Inputs!$B$3&gt;=118,15*IF(Inputs!$B$38="pvp",MIN((30*(1+(Inputs!$B$34)/100)),15)/15,MIN(1,(30*(1+(Inputs!$B$34)/100))/(1/Q1431))),0)+IF(C1437=TRUE,F1437,0)+(IF(AND(ArtifactsInput!$M$35,Inputs!$B$4&lt;&gt;"Chapter Hunt"),CHOOSE(ArtifactsInput!$N$35+1,15,18,21,24,27,30)*(1-EXP(-(0.2*B1454)*5)),0)+IF(AND(ArtifactsInput!$M$22,Inputs!$B$4&lt;&gt;"Chapter Hunt"),CHOOSE(ArtifactsInput!$N$22+1,10,12,14,16,18,20)*((0*(((0.15*B1454*5))^0/1)+1*(((0.15*B1454*5))^1/1)+2*(((0.15*B1454*5))^2/2)+3*(((0.15*B1454*5))^3/6)+4*(((0.15*B1454*5))^4/24)+5*(((0.15*B1454*5))^5/120))/((((0.15*B1454*5))^0/1)+(((0.15*B1454*5))^1/1)+(((0.15*B1454*5))^2/2)+(((0.15*B1454*5))^3/6)+(((0.15*B1454*5))^4/24)+(((0.15*B1454*5))^5/120))),0))</f>
        <v/>
      </c>
    </row>
    <row r="1452">
      <c r="A1452" t="inlineStr">
        <is>
          <t>Damage % Bonus (Frozen Break + Frost Clutch, flat)</t>
        </is>
      </c>
      <c r="B1452">
        <f>IF(Inputs!$B$3&gt;=66,15,0)+IF(Inputs!$B$3&gt;=98,10,0)+IF(Inputs!$B$3&gt;=125,20,0)</f>
        <v/>
      </c>
    </row>
    <row r="1453">
      <c r="A1453" t="inlineStr">
        <is>
          <t>Attack Speed Bonus % (MP Eater - MP Boost, always-on + Nimble Feet, duty-cycle averaged)</t>
        </is>
      </c>
      <c r="B1453">
        <f>IF(C1436=TRUE,F1436+(F1440-Calc!F17),0)+((C1447=TRUE)*F1447*IF(AND(Inputs!$B$38&lt;&gt;"pvp",Inputs!$B$43&gt;0),(((R1447-1)*MIN((Skills!S24*(1+(Inputs!$B$34)/100)),(1/Q1447))+MIN((Skills!S24*(1+(Inputs!$B$34)/100)),MAX(0,Inputs!$B$43-((R1447-1)*(1/Q1447)))))/Inputs!$B$43),IF(Inputs!$B$38="pvp",MIN((Skills!S24*(1+(Inputs!$B$34)/100)),15)/15,MIN(1,(Skills!S24*(1+(Inputs!$B$34)/100))/(1/Q1447)))))</f>
        <v/>
      </c>
    </row>
    <row r="1454">
      <c r="A1454" t="inlineStr">
        <is>
          <t>Actions Per Second</t>
        </is>
      </c>
      <c r="B1454">
        <f>1+MIN(150,150*(1-(1-(Inputs!$B$11+(ArtifactsInput!$M$15-ArtifactsInput!$M$15)*CHOOSE(ArtifactsInput!$N$15+1,8,9.6,11.2,12.8,14.4,16))/150)*(1-B1453/150)))/100</f>
        <v/>
      </c>
    </row>
    <row r="1455">
      <c r="A1455" t="inlineStr">
        <is>
          <t>Skill + Buff Cast Rate</t>
        </is>
      </c>
      <c r="B1455">
        <f>IF(AND(Inputs!$B$38&lt;&gt;"pvp",Inputs!$B$43&gt;0),SUMPRODUCT((Skills!E2:E24=TRUE)*(C1425:C1447=TRUE)*R1425:R1447)/Inputs!$B$43,SUMPRODUCT((Skills!E2:E24=TRUE)*(C1425:C1447=TRUE)*Q1425:Q1447))</f>
        <v/>
      </c>
    </row>
    <row r="1456">
      <c r="A1456" t="inlineStr">
        <is>
          <t>Chain Lightning Casts Per Second</t>
        </is>
      </c>
      <c r="B1456">
        <f>MAX(0,B1454-B1455)</f>
        <v/>
      </c>
    </row>
    <row r="1457">
      <c r="A1457" t="inlineStr">
        <is>
          <t>Buff-Casting Startup Delay (s, fixed-duration only)</t>
        </is>
      </c>
      <c r="B1457">
        <f>IF(AND(Inputs!$B$38&lt;&gt;"pvp",Inputs!$B$43&gt;0),SUMPRODUCT((Skills!S2:S24&gt;0)*(Skills!E2:E24=TRUE)*(C1425:C1447=TRUE))/B1454,0)</f>
        <v/>
      </c>
    </row>
    <row r="1458">
      <c r="A1458" t="inlineStr">
        <is>
          <t>Boss-Only Total DPS (this block's swept value)</t>
        </is>
      </c>
      <c r="B1458">
        <f>SUM(S1425:S1447)</f>
        <v/>
      </c>
    </row>
    <row r="1459">
      <c r="A1459" t="inlineStr">
        <is>
          <t>Normal-Only Total DPS (this block's swept value)</t>
        </is>
      </c>
      <c r="B1459">
        <f>SUM(U1425:U1447)</f>
        <v/>
      </c>
    </row>
    <row r="1460">
      <c r="A1460" s="6" t="inlineStr">
        <is>
          <t>TOTAL DPS</t>
        </is>
      </c>
      <c r="B1460" s="6">
        <f>SUM(O1425:O1447)</f>
        <v/>
      </c>
    </row>
    <row r="1461">
      <c r="A1461" t="inlineStr">
        <is>
          <t>Blizzard Final Attack trigger rate (this block's own Q/R)</t>
        </is>
      </c>
      <c r="B1461">
        <f>IF(AND(Inputs!$B$38&lt;&gt;"pvp",Inputs!$B$43&gt;0),(((C1428=TRUE)*R1428*1)+((C1429=TRUE)*R1429*1)+((C1431=TRUE)*R1431*1)+((C1432=TRUE)*R1432*3)+((C1434=TRUE)*R1434*1))/Inputs!$B$43,((C1428=TRUE)*Q1428*1)+((C1429=TRUE)*Q1429*1)+((C1431=TRUE)*Q1431*1)+((C1432=TRUE)*Q1432*3)+((C1434=TRUE)*Q1434*1))+B1456</f>
        <v/>
      </c>
    </row>
    <row r="1464">
      <c r="A1464" s="6" t="inlineStr">
        <is>
          <t>Stat: Athena Pierce's Old Gloves (Equip)</t>
        </is>
      </c>
    </row>
    <row r="1465">
      <c r="A1465" s="5" t="inlineStr">
        <is>
          <t>Key</t>
        </is>
      </c>
      <c r="B1465" s="5" t="inlineStr">
        <is>
          <t>Name</t>
        </is>
      </c>
      <c r="C1465" s="5" t="inlineStr">
        <is>
          <t>Unlocked</t>
        </is>
      </c>
      <c r="D1465" s="5" t="inlineStr">
        <is>
          <t>InputLevel</t>
        </is>
      </c>
      <c r="E1465" s="5" t="inlineStr">
        <is>
          <t>Factor</t>
        </is>
      </c>
      <c r="F1465" s="5" t="inlineStr">
        <is>
          <t>CoefficientPercent</t>
        </is>
      </c>
      <c r="G1465" s="5" t="inlineStr">
        <is>
          <t>EffectiveHits</t>
        </is>
      </c>
      <c r="H1465" s="5" t="inlineStr">
        <is>
          <t>ProcProbability</t>
        </is>
      </c>
      <c r="I1465" s="5" t="inlineStr">
        <is>
          <t>MapleHeroMultiplier</t>
        </is>
      </c>
      <c r="J1465" s="5" t="inlineStr">
        <is>
          <t>BaseDamage</t>
        </is>
      </c>
      <c r="K1465" s="5" t="inlineStr">
        <is>
          <t>BaseHitDamage</t>
        </is>
      </c>
      <c r="L1465" s="5" t="inlineStr">
        <is>
          <t>NonCritAvg</t>
        </is>
      </c>
      <c r="M1465" s="5" t="inlineStr">
        <is>
          <t>CritAvg</t>
        </is>
      </c>
      <c r="N1465" s="5" t="inlineStr">
        <is>
          <t>ExpectedDamage(perHit)</t>
        </is>
      </c>
      <c r="O1465" s="5" t="inlineStr">
        <is>
          <t>DPS</t>
        </is>
      </c>
      <c r="P1465" s="5" t="inlineStr">
        <is>
          <t>% of Total</t>
        </is>
      </c>
      <c r="R1465" t="inlineStr">
        <is>
          <t>helpers</t>
        </is>
      </c>
    </row>
    <row r="1466">
      <c r="A1466">
        <f>Skills!A2</f>
        <v/>
      </c>
      <c r="B1466">
        <f>Skills!B2</f>
        <v/>
      </c>
      <c r="C1466">
        <f>Inputs!$B$3&gt;=100</f>
        <v/>
      </c>
      <c r="D1466" t="inlineStr"/>
      <c r="E1466" t="inlineStr"/>
      <c r="F1466">
        <f>T1468+Skills!N2</f>
        <v/>
      </c>
      <c r="G1466">
        <f>Calc!G2</f>
        <v/>
      </c>
      <c r="H1466">
        <f>Calc!H2</f>
        <v/>
      </c>
      <c r="I1466">
        <f>IF(Skills!T2&lt;&gt;"",1+(Skills!T2/10)*(Z1467/1000)/100,1)</f>
        <v/>
      </c>
      <c r="J1466">
        <f>((Inputs!$B$6*(1+Inputs!$B$7/100))+(((Inputs!$B$12*(1+Inputs!$B$13/100))-(Inputs!$B$12*(1+Inputs!$B$13/100)))+0.25*(Inputs!$B$14-Inputs!$B$14))*(1+Inputs!$B$7/100))*(F1466/100)</f>
        <v/>
      </c>
      <c r="K1466">
        <f>J1466*(1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2="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1466)</f>
        <v/>
      </c>
      <c r="L1466">
        <f>K1466*(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66">
        <f>L1466*(1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6">
        <f>L1466*(1-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1466*(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6">
        <f>(1-Summary!$B$11)*S1466+Summary!$B$11*U1466</f>
        <v/>
      </c>
      <c r="P1466">
        <f>IF(B1501=0,0,O1466/B1501)</f>
        <v/>
      </c>
      <c r="Q1466">
        <f>IFERROR(1/(IF(Inputs!$B$38="pvp",15,MAX(0.1,Skills!D2-IF(TRUE=TRUE,Inputs!$B$32,0)))*(1-IF(AND(ArtifactsInput!$M$27,Inputs!$B$4="Chapter Hunt"),CHOOSE(ArtifactsInput!$N$27+1,20,24,28,32,36,40),0)/100)),0)</f>
        <v/>
      </c>
      <c r="R1466" t="n">
        <v>0</v>
      </c>
      <c r="S1466">
        <f>IF(C1466,(Skills!F2*N1466*B1497)*IF(Inputs!$B$38="pvp",1,1+(Inputs!$B$20+Skills!O2+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1466*(1-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1466*(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1466*(1-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1466*(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466">
        <f>MAX(0,(Inputs!$B$3-100)*3)+Inputs!$B$28+Inputs!$B$29</f>
        <v/>
      </c>
      <c r="U1466">
        <f>IF(C1466,(Skills!F2*N1466*B1497)*IF(Inputs!$B$38="pvp",1,(1+(Inputs!$B$21+Skills!P2+B1492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466">
        <f>MAX(0,(Inputs!$B$3-100)*3)+Inputs!$B$28+Inputs!$B$29</f>
        <v/>
      </c>
    </row>
    <row r="1467">
      <c r="A1467">
        <f>Skills!A3</f>
        <v/>
      </c>
      <c r="B1467">
        <f>Skills!B3</f>
        <v/>
      </c>
      <c r="C1467">
        <f>Inputs!$B$3&gt;=15</f>
        <v/>
      </c>
      <c r="D1467">
        <f>IF(Skills!C3=1,60+Inputs!$B$25+Inputs!$B$29,IF(Skills!C3=2,90+Inputs!$B$26+Inputs!$B$29,IF(Skills!C3=3,120+Inputs!$B$27+Inputs!$B$29,MAX(0,(Inputs!$B$3-100)*3)+Inputs!$B$28+Inputs!$B$29)))</f>
        <v/>
      </c>
      <c r="E1467">
        <f>INDEX(FactorTable!$B$2:$Y$301, MATCH(ROUND(MIN(300,MAX(1,D1467)),0), FactorTable!$A$2:$A$301,0), Skills!L3+1)</f>
        <v/>
      </c>
      <c r="F1467">
        <f>IF(Skills!M3=TRUE,(Skills!K3/10)*(E1467/1000),Skills!K3/10)+Skills!N3</f>
        <v/>
      </c>
      <c r="G1467">
        <f>Calc!G3</f>
        <v/>
      </c>
      <c r="H1467">
        <f>Calc!H3</f>
        <v/>
      </c>
      <c r="I1467">
        <f>IF(Skills!T3&lt;&gt;"",1+(Skills!T3/10)*(Z1467/1000)/100,1)</f>
        <v/>
      </c>
      <c r="J1467" t="inlineStr"/>
      <c r="K1467" t="inlineStr"/>
      <c r="L1467" t="inlineStr"/>
      <c r="M1467" t="inlineStr"/>
      <c r="N1467" t="inlineStr"/>
      <c r="O1467">
        <f>(1-Summary!$B$11)*S1467+Summary!$B$11*U1467</f>
        <v/>
      </c>
      <c r="P1467">
        <f>IF(B1501=0,0,O1467/B1501)</f>
        <v/>
      </c>
      <c r="Q1467">
        <f>IFERROR(1/(IF(Inputs!$B$38="pvp",15,MAX(0.1,Skills!D3-IF(TRUE=TRUE,Inputs!$B$32,0)))*(1-IF(AND(ArtifactsInput!$M$27,Inputs!$B$4="Chapter Hunt"),CHOOSE(ArtifactsInput!$N$27+1,20,24,28,32,36,40),0)/100)),0)</f>
        <v/>
      </c>
      <c r="R1467">
        <f>IF(AND(Inputs!$B$38&lt;&gt;"pvp",Inputs!$B$43&gt;0),IF(Inputs!$B$43&lt;=0,0,(INT(Inputs!$B$43/(IF(Inputs!$B$38="pvp",15,MAX(0.1,Skills!D3-IF(TRUE=TRUE,Inputs!$B$32,0)))*(1-IF(AND(ArtifactsInput!$M$27,Inputs!$B$4="Chapter Hunt"),CHOOSE(ArtifactsInput!$N$27+1,20,24,28,32,36,40),0)/100)))+1)),0)</f>
        <v/>
      </c>
      <c r="S1467" t="n">
        <v>0</v>
      </c>
      <c r="T1467">
        <f>INDEX(FactorTable!$B$2:$Y$301, MATCH(ROUND(MIN(300,MAX(1,T1466)),0), FactorTable!$A$2:$A$301,0), 22)</f>
        <v/>
      </c>
      <c r="U1467" t="n">
        <v>0</v>
      </c>
      <c r="Z1467">
        <f>INDEX(FactorTable!$B$2:$Y$301, MATCH(ROUND(MIN(300,MAX(1,Z1466)),0), FactorTable!$A$2:$A$301,0), 24)</f>
        <v/>
      </c>
    </row>
    <row r="1468">
      <c r="A1468">
        <f>Skills!A4</f>
        <v/>
      </c>
      <c r="B1468">
        <f>Skills!B4</f>
        <v/>
      </c>
      <c r="C1468">
        <f>Inputs!$B$3&gt;=40</f>
        <v/>
      </c>
      <c r="D1468">
        <f>IF(Skills!C4=1,60+Inputs!$B$25+Inputs!$B$29,IF(Skills!C4=2,90+Inputs!$B$26+Inputs!$B$29,IF(Skills!C4=3,120+Inputs!$B$27+Inputs!$B$29,MAX(0,(Inputs!$B$3-100)*3)+Inputs!$B$28+Inputs!$B$29)))</f>
        <v/>
      </c>
      <c r="E1468">
        <f>INDEX(FactorTable!$B$2:$Y$301, MATCH(ROUND(MIN(300,MAX(1,D1468)),0), FactorTable!$A$2:$A$301,0), Skills!L4+1)</f>
        <v/>
      </c>
      <c r="F1468">
        <f>IF(Skills!M4=TRUE,(Skills!K4/10)*(E1468/1000),Skills!K4/10)+Skills!N4</f>
        <v/>
      </c>
      <c r="G1468">
        <f>Calc!G4</f>
        <v/>
      </c>
      <c r="H1468">
        <f>Calc!H4</f>
        <v/>
      </c>
      <c r="I1468">
        <f>IF(Skills!T4&lt;&gt;"",1+(Skills!T4/10)*(Z1467/1000)/100,1)</f>
        <v/>
      </c>
      <c r="J1468" t="inlineStr"/>
      <c r="K1468" t="inlineStr"/>
      <c r="L1468" t="inlineStr"/>
      <c r="M1468" t="inlineStr"/>
      <c r="N1468" t="inlineStr"/>
      <c r="O1468">
        <f>(1-Summary!$B$11)*S1468+Summary!$B$11*U1468</f>
        <v/>
      </c>
      <c r="P1468">
        <f>IF(B1501=0,0,O1468/B1501)</f>
        <v/>
      </c>
      <c r="Q1468">
        <f>IFERROR(1/(IF(Inputs!$B$38="pvp",15,MAX(0.1,Skills!D4-IF(TRUE=TRUE,Inputs!$B$32,0)))*(1-IF(AND(ArtifactsInput!$M$27,Inputs!$B$4="Chapter Hunt"),CHOOSE(ArtifactsInput!$N$27+1,20,24,28,32,36,40),0)/100)),0)</f>
        <v/>
      </c>
      <c r="R1468">
        <f>IF(AND(Inputs!$B$38&lt;&gt;"pvp",Inputs!$B$43&gt;0),IF(Inputs!$B$43&lt;=0,0,(INT(Inputs!$B$43/(IF(Inputs!$B$38="pvp",15,MAX(0.1,Skills!D4-IF(TRUE=TRUE,Inputs!$B$32,0)))*(1-IF(AND(ArtifactsInput!$M$27,Inputs!$B$4="Chapter Hunt"),CHOOSE(ArtifactsInput!$N$27+1,20,24,28,32,36,40),0)/100)))+1)),0)</f>
        <v/>
      </c>
      <c r="S1468" t="n">
        <v>0</v>
      </c>
      <c r="T1468">
        <f>290*T1467/1000</f>
        <v/>
      </c>
      <c r="U1468" t="n">
        <v>0</v>
      </c>
    </row>
    <row r="1469">
      <c r="A1469">
        <f>Skills!A5</f>
        <v/>
      </c>
      <c r="B1469">
        <f>Skills!B5</f>
        <v/>
      </c>
      <c r="C1469">
        <f>Inputs!$B$3&gt;=38</f>
        <v/>
      </c>
      <c r="D1469">
        <f>IF(Skills!C5=1,60+Inputs!$B$25+Inputs!$B$29,IF(Skills!C5=2,90+Inputs!$B$26+Inputs!$B$29,IF(Skills!C5=3,120+Inputs!$B$27+Inputs!$B$29,MAX(0,(Inputs!$B$3-100)*3)+Inputs!$B$28+Inputs!$B$29)))</f>
        <v/>
      </c>
      <c r="E1469">
        <f>INDEX(FactorTable!$B$2:$Y$301, MATCH(ROUND(MIN(300,MAX(1,D1469)),0), FactorTable!$A$2:$A$301,0), Skills!L5+1)</f>
        <v/>
      </c>
      <c r="F1469">
        <f>IF(Skills!M5=TRUE,(Skills!K5/10)*(E1469/1000),Skills!K5/10)+Skills!N5</f>
        <v/>
      </c>
      <c r="G1469">
        <f>Calc!G5</f>
        <v/>
      </c>
      <c r="H1469">
        <f>Calc!H5</f>
        <v/>
      </c>
      <c r="I1469">
        <f>IF(Skills!T5&lt;&gt;"",1+(Skills!T5/10)*(Z1467/1000)/100,1)</f>
        <v/>
      </c>
      <c r="J1469">
        <f>((Inputs!$B$6*(1+Inputs!$B$7/100))+(((Inputs!$B$12*(1+Inputs!$B$13/100))-(Inputs!$B$12*(1+Inputs!$B$13/100)))+0.25*(Inputs!$B$14-Inputs!$B$14))*(1+Inputs!$B$7/100))*(F1469/100)</f>
        <v/>
      </c>
      <c r="K1469">
        <f>J1469*(1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5="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1469)</f>
        <v/>
      </c>
      <c r="L1469">
        <f>K1469*(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69">
        <f>L1469*(1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9">
        <f>L1469*(1-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1469*(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9">
        <f>(1-Summary!$B$11)*S1469+Summary!$B$11*U1469</f>
        <v/>
      </c>
      <c r="P1469">
        <f>IF(B1501=0,0,O1469/B1501)</f>
        <v/>
      </c>
      <c r="Q1469">
        <f>IFERROR(1/(IF(Inputs!$B$38="pvp",15,MAX(0.1,Skills!D5-IF(TRUE=TRUE,Inputs!$B$32,0)))*(1-IF(AND(ArtifactsInput!$M$27,Inputs!$B$4="Chapter Hunt"),CHOOSE(ArtifactsInput!$N$27+1,20,24,28,32,36,40),0)/100)),0)</f>
        <v/>
      </c>
      <c r="R1469">
        <f>IF(AND(Inputs!$B$38&lt;&gt;"pvp",Inputs!$B$43&gt;0),IF(MAX(0,Inputs!$B$43-B1498)&lt;=0,0,(INT(MAX(0,Inputs!$B$43-B1498)/(IF(Inputs!$B$38="pvp",15,MAX(0.1,Skills!D5-IF(TRUE=TRUE,Inputs!$B$32,0)))*(1-IF(AND(ArtifactsInput!$M$27,Inputs!$B$4="Chapter Hunt"),CHOOSE(ArtifactsInput!$N$27+1,20,24,28,32,36,40),0)/100)))+1)),0)</f>
        <v/>
      </c>
      <c r="S1469">
        <f>IF(C1469,(H1469*N1469*IF(AND(Inputs!$B$38&lt;&gt;"pvp",Inputs!$B$43&gt;0),((Skills!F5*((R1469-1)*IF(Skills!G5&gt;0,Skills!H5/Skills!G5,1)+IF(Skills!G5&gt;0,MIN(Skills!H5,MAX(0,MAX(0,Inputs!$B$43-B1498)-((R1469-1)*(IF(Inputs!$B$38="pvp",15,MAX(0.1,Skills!D5-IF(TRUE=TRUE,Inputs!$B$32,0)))*(1-IF(AND(ArtifactsInput!$M$27,Inputs!$B$4="Chapter Hunt"),CHOOSE(ArtifactsInput!$N$27+1,20,24,28,32,36,40),0)/100)))))/Skills!G5,1)))/Inputs!$B$43),G1469*Q1469))*IF(Inputs!$B$38="pvp",1,1+(Inputs!$B$20+Skills!O5+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1469*(1-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1469*(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1469*(1-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1469*(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69">
        <f>IF(C1469,(H1469*N1469*IF(AND(Inputs!$B$38&lt;&gt;"pvp",Inputs!$B$43&gt;0),((Skills!F5*((R1469-1)*IF(Skills!G5&gt;0,Skills!H5/Skills!G5,1)+IF(Skills!G5&gt;0,MIN(Skills!H5,MAX(0,MAX(0,Inputs!$B$43-B1498)-((R1469-1)*(IF(Inputs!$B$38="pvp",15,MAX(0.1,Skills!D5-IF(TRUE=TRUE,Inputs!$B$32,0)))*(1-IF(AND(ArtifactsInput!$M$27,Inputs!$B$4="Chapter Hunt"),CHOOSE(ArtifactsInput!$N$27+1,20,24,28,32,36,40),0)/100)))))/Skills!G5,1)))/Inputs!$B$43),G1469*Q1469))*IF(Inputs!$B$38="pvp",1,(1+(Inputs!$B$21+Skills!P5+B1492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0">
      <c r="A1470">
        <f>Skills!A6</f>
        <v/>
      </c>
      <c r="B1470">
        <f>Skills!B6</f>
        <v/>
      </c>
      <c r="C1470">
        <f>Inputs!$B$3&gt;=63</f>
        <v/>
      </c>
      <c r="D1470">
        <f>IF(Skills!C6=1,60+Inputs!$B$25+Inputs!$B$29,IF(Skills!C6=2,90+Inputs!$B$26+Inputs!$B$29,IF(Skills!C6=3,120+Inputs!$B$27+Inputs!$B$29,MAX(0,(Inputs!$B$3-100)*3)+Inputs!$B$28+Inputs!$B$29)))</f>
        <v/>
      </c>
      <c r="E1470">
        <f>INDEX(FactorTable!$B$2:$Y$301, MATCH(ROUND(MIN(300,MAX(1,D1470)),0), FactorTable!$A$2:$A$301,0), Skills!L6+1)</f>
        <v/>
      </c>
      <c r="F1470">
        <f>IF(Skills!M6=TRUE,(Skills!K6/10)*(E1470/1000),Skills!K6/10)+Skills!N6</f>
        <v/>
      </c>
      <c r="G1470">
        <f>Calc!G6</f>
        <v/>
      </c>
      <c r="H1470">
        <f>Calc!H6</f>
        <v/>
      </c>
      <c r="I1470">
        <f>IF(Skills!T6&lt;&gt;"",1+(Skills!T6/10)*(Z1467/1000)/100,1)</f>
        <v/>
      </c>
      <c r="J1470">
        <f>((Inputs!$B$6*(1+Inputs!$B$7/100))+(((Inputs!$B$12*(1+Inputs!$B$13/100))-(Inputs!$B$12*(1+Inputs!$B$13/100)))+0.25*(Inputs!$B$14-Inputs!$B$14))*(1+Inputs!$B$7/100))*(F1470/100)</f>
        <v/>
      </c>
      <c r="K1470">
        <f>J1470*(1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6="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1470)</f>
        <v/>
      </c>
      <c r="L1470">
        <f>K1470*(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0">
        <f>L1470*(1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0">
        <f>L1470*(1-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1470*(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0">
        <f>(1-Summary!$B$11)*S1470+Summary!$B$11*U1470</f>
        <v/>
      </c>
      <c r="P1470">
        <f>IF(B1501=0,0,O1470/B1501)</f>
        <v/>
      </c>
      <c r="Q1470">
        <f>IFERROR(1/(IF(Inputs!$B$38="pvp",15,MAX(0.1,Skills!D6-IF(TRUE=TRUE,Inputs!$B$32,0)))*(1-IF(AND(ArtifactsInput!$M$27,Inputs!$B$4="Chapter Hunt"),CHOOSE(ArtifactsInput!$N$27+1,20,24,28,32,36,40),0)/100)),0)</f>
        <v/>
      </c>
      <c r="R1470">
        <f>IF(AND(Inputs!$B$38&lt;&gt;"pvp",Inputs!$B$43&gt;0),IF(MAX(0,Inputs!$B$43-B1498)&lt;=0,0,(INT(MAX(0,Inputs!$B$43-B1498)/(IF(Inputs!$B$38="pvp",15,MAX(0.1,Skills!D6-IF(TRUE=TRUE,Inputs!$B$32,0)))*(1-IF(AND(ArtifactsInput!$M$27,Inputs!$B$4="Chapter Hunt"),CHOOSE(ArtifactsInput!$N$27+1,20,24,28,32,36,40),0)/100)))+1)),0)</f>
        <v/>
      </c>
      <c r="S1470">
        <f>IF(C1470,(H1470*N1470*IF(AND(Inputs!$B$38&lt;&gt;"pvp",Inputs!$B$43&gt;0),((Skills!F6*((R1470-1)*IF(Skills!G6&gt;0,Skills!H6/Skills!G6,1)+IF(Skills!G6&gt;0,MIN(Skills!H6,MAX(0,MAX(0,Inputs!$B$43-B1498)-((R1470-1)*(IF(Inputs!$B$38="pvp",15,MAX(0.1,Skills!D6-IF(TRUE=TRUE,Inputs!$B$32,0)))*(1-IF(AND(ArtifactsInput!$M$27,Inputs!$B$4="Chapter Hunt"),CHOOSE(ArtifactsInput!$N$27+1,20,24,28,32,36,40),0)/100)))))/Skills!G6,1)))/Inputs!$B$43),G1470*Q1470))*IF(Inputs!$B$38="pvp",1,1+(Inputs!$B$20+Skills!O6+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1470*(1-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1470*(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1470*(1-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1470*(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0">
        <f>IF(C1470,(H1470*N1470*IF(AND(Inputs!$B$38&lt;&gt;"pvp",Inputs!$B$43&gt;0),((Skills!F6*((R1470-1)*IF(Skills!G6&gt;0,Skills!H6/Skills!G6,1)+IF(Skills!G6&gt;0,MIN(Skills!H6,MAX(0,MAX(0,Inputs!$B$43-B1498)-((R1470-1)*(IF(Inputs!$B$38="pvp",15,MAX(0.1,Skills!D6-IF(TRUE=TRUE,Inputs!$B$32,0)))*(1-IF(AND(ArtifactsInput!$M$27,Inputs!$B$4="Chapter Hunt"),CHOOSE(ArtifactsInput!$N$27+1,20,24,28,32,36,40),0)/100)))))/Skills!G6,1)))/Inputs!$B$43),G1470*Q1470))*IF(Inputs!$B$38="pvp",1,(1+(Inputs!$B$21+Skills!P6+B1492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1">
      <c r="A1471">
        <f>Skills!A7</f>
        <v/>
      </c>
      <c r="B1471">
        <f>Skills!B7</f>
        <v/>
      </c>
      <c r="C1471">
        <f>Inputs!$B$3&gt;=69</f>
        <v/>
      </c>
      <c r="D1471">
        <f>IF(Skills!C7=1,60+Inputs!$B$25+Inputs!$B$29,IF(Skills!C7=2,90+Inputs!$B$26+Inputs!$B$29,IF(Skills!C7=3,120+Inputs!$B$27+Inputs!$B$29,MAX(0,(Inputs!$B$3-100)*3)+Inputs!$B$28+Inputs!$B$29)))</f>
        <v/>
      </c>
      <c r="E1471">
        <f>INDEX(FactorTable!$B$2:$Y$301, MATCH(ROUND(MIN(300,MAX(1,D1471)),0), FactorTable!$A$2:$A$301,0), Skills!L7+1)</f>
        <v/>
      </c>
      <c r="F1471">
        <f>IF(Skills!M7=TRUE,(Skills!K7/10)*(E1471/1000),Skills!K7/10)+Skills!N7</f>
        <v/>
      </c>
      <c r="G1471">
        <f>Calc!G7</f>
        <v/>
      </c>
      <c r="H1471">
        <f>Calc!H7</f>
        <v/>
      </c>
      <c r="I1471">
        <f>IF(Skills!T7&lt;&gt;"",1+(Skills!T7/10)*(Z1467/1000)/100,1)</f>
        <v/>
      </c>
      <c r="J1471">
        <f>((Inputs!$B$6*(1+Inputs!$B$7/100))+(((Inputs!$B$12*(1+Inputs!$B$13/100))-(Inputs!$B$12*(1+Inputs!$B$13/100)))+0.25*(Inputs!$B$14-Inputs!$B$14))*(1+Inputs!$B$7/100))*(F1471/100)</f>
        <v/>
      </c>
      <c r="K1471">
        <f>J1471*(1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7="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1471)</f>
        <v/>
      </c>
      <c r="L1471">
        <f>K1471*(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1">
        <f>L1471*(1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1">
        <f>L1471*(1-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1">
        <f>(1-Summary!$B$11)*S1471+Summary!$B$11*U1471</f>
        <v/>
      </c>
      <c r="P1471">
        <f>IF(B1501=0,0,O1471/B1501)</f>
        <v/>
      </c>
      <c r="Q1471">
        <f>IFERROR(1/(IF(Inputs!$B$38="pvp",15,MAX(0.1,Skills!D7-IF(TRUE=TRUE,Inputs!$B$32,0)))*(1-IF(AND(ArtifactsInput!$M$27,Inputs!$B$4="Chapter Hunt"),CHOOSE(ArtifactsInput!$N$27+1,20,24,28,32,36,40),0)/100)),0)</f>
        <v/>
      </c>
      <c r="R1471">
        <f>IF(AND(Inputs!$B$38&lt;&gt;"pvp",Inputs!$B$43&gt;0),IF(MAX(0,Inputs!$B$43-B1498)&lt;=0,0,(INT(MAX(0,Inputs!$B$43-B1498)/(IF(Inputs!$B$38="pvp",15,MAX(0.1,Skills!D7-IF(TRUE=TRUE,Inputs!$B$32,0)))*(1-IF(AND(ArtifactsInput!$M$27,Inputs!$B$4="Chapter Hunt"),CHOOSE(ArtifactsInput!$N$27+1,20,24,28,32,36,40),0)/100)))+1)),0)</f>
        <v/>
      </c>
      <c r="S1471">
        <f>IF(C1471,(H1471*N1471*IF(AND(Inputs!$B$38&lt;&gt;"pvp",Inputs!$B$43&gt;0),((Skills!F7*((R1471-1)*IF(Skills!G7&gt;0,Skills!H7/Skills!G7,1)+IF(Skills!G7&gt;0,MIN(Skills!H7,MAX(0,MAX(0,Inputs!$B$43-B1498)-((R1471-1)*(IF(Inputs!$B$38="pvp",15,MAX(0.1,Skills!D7-IF(TRUE=TRUE,Inputs!$B$32,0)))*(1-IF(AND(ArtifactsInput!$M$27,Inputs!$B$4="Chapter Hunt"),CHOOSE(ArtifactsInput!$N$27+1,20,24,28,32,36,40),0)/100)))))/Skills!G7,1)))/Inputs!$B$43),G1471*Q1471))*IF(Inputs!$B$38="pvp",1,1+(Inputs!$B$20+Skills!O7+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1471*(1-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1471*(1-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1">
        <f>IF(C1471,(H1471*N1471*IF(AND(Inputs!$B$38&lt;&gt;"pvp",Inputs!$B$43&gt;0),((Skills!F7*((R1471-1)*IF(Skills!G7&gt;0,Skills!H7/Skills!G7,1)+IF(Skills!G7&gt;0,MIN(Skills!H7,MAX(0,MAX(0,Inputs!$B$43-B1498)-((R1471-1)*(IF(Inputs!$B$38="pvp",15,MAX(0.1,Skills!D7-IF(TRUE=TRUE,Inputs!$B$32,0)))*(1-IF(AND(ArtifactsInput!$M$27,Inputs!$B$4="Chapter Hunt"),CHOOSE(ArtifactsInput!$N$27+1,20,24,28,32,36,40),0)/100)))))/Skills!G7,1)))/Inputs!$B$43),G1471*Q1471))*IF(Inputs!$B$38="pvp",1,(1+(Inputs!$B$21+Skills!P7+B1492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2">
      <c r="A1472">
        <f>Skills!A8</f>
        <v/>
      </c>
      <c r="B1472">
        <f>Skills!B8</f>
        <v/>
      </c>
      <c r="C1472">
        <f>Inputs!$B$3&gt;=103</f>
        <v/>
      </c>
      <c r="D1472">
        <f>IF(Skills!C8=1,60+Inputs!$B$25+Inputs!$B$29,IF(Skills!C8=2,90+Inputs!$B$26+Inputs!$B$29,IF(Skills!C8=3,120+Inputs!$B$27+Inputs!$B$29,MAX(0,(Inputs!$B$3-100)*3)+Inputs!$B$28+Inputs!$B$29)))</f>
        <v/>
      </c>
      <c r="E1472">
        <f>INDEX(FactorTable!$B$2:$Y$301, MATCH(ROUND(MIN(300,MAX(1,D1472)),0), FactorTable!$A$2:$A$301,0), Skills!L8+1)</f>
        <v/>
      </c>
      <c r="F1472">
        <f>IF(Skills!M8=TRUE,(Skills!K8/10)*(E1472/1000),Skills!K8/10)+Skills!N8</f>
        <v/>
      </c>
      <c r="G1472">
        <f>Calc!G8</f>
        <v/>
      </c>
      <c r="H1472">
        <f>Calc!H8</f>
        <v/>
      </c>
      <c r="I1472">
        <f>IF(Skills!T8&lt;&gt;"",1+(Skills!T8/10)*(Z1467/1000)/100,1)</f>
        <v/>
      </c>
      <c r="J1472">
        <f>((Inputs!$B$6*(1+Inputs!$B$7/100))+(((Inputs!$B$12*(1+Inputs!$B$13/100))-(Inputs!$B$12*(1+Inputs!$B$13/100)))+0.25*(Inputs!$B$14-Inputs!$B$14))*(1+Inputs!$B$7/100))*(F1472/100)</f>
        <v/>
      </c>
      <c r="K1472">
        <f>J1472*(1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8="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1472)</f>
        <v/>
      </c>
      <c r="L1472">
        <f>K1472*(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2">
        <f>L1472*(1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2">
        <f>L1472*(1-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1472*(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2">
        <f>(1-Summary!$B$11)*S1472+Summary!$B$11*U1472</f>
        <v/>
      </c>
      <c r="P1472">
        <f>IF(B1501=0,0,O1472/B1501)</f>
        <v/>
      </c>
      <c r="Q1472">
        <f>IFERROR(1/(IF(Inputs!$B$38="pvp",15,MAX(0.1,Skills!D8-IF(TRUE=TRUE,Inputs!$B$32,0)))*(1-IF(AND(ArtifactsInput!$M$27,Inputs!$B$4="Chapter Hunt"),CHOOSE(ArtifactsInput!$N$27+1,20,24,28,32,36,40),0)/100)),0)</f>
        <v/>
      </c>
      <c r="R1472">
        <f>IF(AND(Inputs!$B$38&lt;&gt;"pvp",Inputs!$B$43&gt;0),IF(MAX(0,Inputs!$B$43-B1498)&lt;=0,0,(INT(MAX(0,Inputs!$B$43-B1498)/(IF(Inputs!$B$38="pvp",15,MAX(0.1,Skills!D8-IF(TRUE=TRUE,Inputs!$B$32,0)))*(1-IF(AND(ArtifactsInput!$M$27,Inputs!$B$4="Chapter Hunt"),CHOOSE(ArtifactsInput!$N$27+1,20,24,28,32,36,40),0)/100)))+1)),0)</f>
        <v/>
      </c>
      <c r="S1472">
        <f>IF(C1472,(H1472*N1472*IF(AND(Inputs!$B$38&lt;&gt;"pvp",Inputs!$B$43&gt;0),((Skills!F8*((R1472-1)*IF(Skills!G8&gt;0,Skills!H8/Skills!G8,1)+IF(Skills!G8&gt;0,MIN(Skills!H8,MAX(0,MAX(0,Inputs!$B$43-B1498)-((R1472-1)*(IF(Inputs!$B$38="pvp",15,MAX(0.1,Skills!D8-IF(TRUE=TRUE,Inputs!$B$32,0)))*(1-IF(AND(ArtifactsInput!$M$27,Inputs!$B$4="Chapter Hunt"),CHOOSE(ArtifactsInput!$N$27+1,20,24,28,32,36,40),0)/100)))))/Skills!G8,1)))/Inputs!$B$43),G1472*Q1472))*IF(Inputs!$B$38="pvp",1,1+(Inputs!$B$20+Skills!O8+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1472*(1-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1472*(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1472*(1-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1472*(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2">
        <f>IF(C1472,(H1472*N1472*IF(AND(Inputs!$B$38&lt;&gt;"pvp",Inputs!$B$43&gt;0),((Skills!F8*((R1472-1)*IF(Skills!G8&gt;0,Skills!H8/Skills!G8,1)+IF(Skills!G8&gt;0,MIN(Skills!H8,MAX(0,MAX(0,Inputs!$B$43-B1498)-((R1472-1)*(IF(Inputs!$B$38="pvp",15,MAX(0.1,Skills!D8-IF(TRUE=TRUE,Inputs!$B$32,0)))*(1-IF(AND(ArtifactsInput!$M$27,Inputs!$B$4="Chapter Hunt"),CHOOSE(ArtifactsInput!$N$27+1,20,24,28,32,36,40),0)/100)))))/Skills!G8,1)))/Inputs!$B$43),G1472*Q1472))*IF(Inputs!$B$38="pvp",1,(1+(Inputs!$B$21+Skills!P8+B1492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3">
      <c r="A1473">
        <f>Skills!A9</f>
        <v/>
      </c>
      <c r="B1473">
        <f>Skills!B9</f>
        <v/>
      </c>
      <c r="C1473">
        <f>Inputs!$B$3&gt;=105</f>
        <v/>
      </c>
      <c r="D1473">
        <f>IF(Skills!C9=1,60+Inputs!$B$25+Inputs!$B$29,IF(Skills!C9=2,90+Inputs!$B$26+Inputs!$B$29,IF(Skills!C9=3,120+Inputs!$B$27+Inputs!$B$29,MAX(0,(Inputs!$B$3-100)*3)+Inputs!$B$28+Inputs!$B$29)))</f>
        <v/>
      </c>
      <c r="E1473">
        <f>INDEX(FactorTable!$B$2:$Y$301, MATCH(ROUND(MIN(300,MAX(1,D1473)),0), FactorTable!$A$2:$A$301,0), Skills!L9+1)</f>
        <v/>
      </c>
      <c r="F1473">
        <f>IF(Skills!M9=TRUE,(Skills!K9/10)*(E1473/1000),Skills!K9/10)+Skills!N9</f>
        <v/>
      </c>
      <c r="G1473">
        <f>Calc!G9</f>
        <v/>
      </c>
      <c r="H1473">
        <f>Calc!H9</f>
        <v/>
      </c>
      <c r="I1473">
        <f>IF(Skills!T9&lt;&gt;"",1+(Skills!T9/10)*(Z1467/1000)/100,1)</f>
        <v/>
      </c>
      <c r="J1473">
        <f>((Inputs!$B$6*(1+Inputs!$B$7/100))+(((Inputs!$B$12*(1+Inputs!$B$13/100))-(Inputs!$B$12*(1+Inputs!$B$13/100)))+0.25*(Inputs!$B$14-Inputs!$B$14))*(1+Inputs!$B$7/100))*(F1473/100)</f>
        <v/>
      </c>
      <c r="K1473">
        <f>J1473*(1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9="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1473)</f>
        <v/>
      </c>
      <c r="L1473">
        <f>K1473*(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3">
        <f>L1473*(1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3">
        <f>L1473*(1-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1473*(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3">
        <f>(1-Summary!$B$11)*S1473+Summary!$B$11*U1473</f>
        <v/>
      </c>
      <c r="P1473">
        <f>IF(B1501=0,0,O1473/B1501)</f>
        <v/>
      </c>
      <c r="Q1473">
        <f>IFERROR(1/(IF(Inputs!$B$38="pvp",15,MAX(0.1,Skills!D9-IF(TRUE=TRUE,Inputs!$B$32,0)))*(1-IF(AND(ArtifactsInput!$M$27,Inputs!$B$4="Chapter Hunt"),CHOOSE(ArtifactsInput!$N$27+1,20,24,28,32,36,40),0)/100)),0)</f>
        <v/>
      </c>
      <c r="R1473">
        <f>IF(AND(Inputs!$B$38&lt;&gt;"pvp",Inputs!$B$43&gt;0),IF(MAX(0,Inputs!$B$43-B1498)&lt;=0,0,(INT(MAX(0,Inputs!$B$43-B1498)/(IF(Inputs!$B$38="pvp",15,MAX(0.1,Skills!D9-IF(TRUE=TRUE,Inputs!$B$32,0)))*(1-IF(AND(ArtifactsInput!$M$27,Inputs!$B$4="Chapter Hunt"),CHOOSE(ArtifactsInput!$N$27+1,20,24,28,32,36,40),0)/100)))+1)),0)</f>
        <v/>
      </c>
      <c r="S1473">
        <f>IF(C1473,(H1473*N1473*IF(AND(Inputs!$B$38&lt;&gt;"pvp",Inputs!$B$43&gt;0),((Skills!F9*((R1473-1)*IF(Skills!G9&gt;0,Skills!H9/Skills!G9,1)+IF(Skills!G9&gt;0,MIN(Skills!H9,MAX(0,MAX(0,Inputs!$B$43-B1498)-((R1473-1)*(IF(Inputs!$B$38="pvp",15,MAX(0.1,Skills!D9-IF(TRUE=TRUE,Inputs!$B$32,0)))*(1-IF(AND(ArtifactsInput!$M$27,Inputs!$B$4="Chapter Hunt"),CHOOSE(ArtifactsInput!$N$27+1,20,24,28,32,36,40),0)/100)))))/Skills!G9,1)))/Inputs!$B$43),G1473*Q1473))*IF(Inputs!$B$38="pvp",1,1+(Inputs!$B$20+Skills!O9+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1473*(1-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1473*(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1473*(1-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1473*(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3">
        <f>IF(C1473,(H1473*N1473*IF(AND(Inputs!$B$38&lt;&gt;"pvp",Inputs!$B$43&gt;0),((Skills!F9*((R1473-1)*IF(Skills!G9&gt;0,Skills!H9/Skills!G9,1)+IF(Skills!G9&gt;0,MIN(Skills!H9,MAX(0,MAX(0,Inputs!$B$43-B1498)-((R1473-1)*(IF(Inputs!$B$38="pvp",15,MAX(0.1,Skills!D9-IF(TRUE=TRUE,Inputs!$B$32,0)))*(1-IF(AND(ArtifactsInput!$M$27,Inputs!$B$4="Chapter Hunt"),CHOOSE(ArtifactsInput!$N$27+1,20,24,28,32,36,40),0)/100)))))/Skills!G9,1)))/Inputs!$B$43),G1473*Q1473))*IF(Inputs!$B$38="pvp",1,(1+(Inputs!$B$21+Skills!P9+B1492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4">
      <c r="A1474">
        <f>Skills!A10</f>
        <v/>
      </c>
      <c r="B1474">
        <f>Skills!B10</f>
        <v/>
      </c>
      <c r="C1474">
        <f>Inputs!$B$3&gt;=113</f>
        <v/>
      </c>
      <c r="D1474">
        <f>IF(Skills!C10=1,60+Inputs!$B$25+Inputs!$B$29,IF(Skills!C10=2,90+Inputs!$B$26+Inputs!$B$29,IF(Skills!C10=3,120+Inputs!$B$27+Inputs!$B$29,MAX(0,(Inputs!$B$3-100)*3)+Inputs!$B$28+Inputs!$B$29)))</f>
        <v/>
      </c>
      <c r="E1474">
        <f>INDEX(FactorTable!$B$2:$Y$301, MATCH(ROUND(MIN(300,MAX(1,D1474)),0), FactorTable!$A$2:$A$301,0), Skills!L10+1)</f>
        <v/>
      </c>
      <c r="F1474">
        <f>IF(Skills!M10=TRUE,(Skills!K10/10)*(E1474/1000),Skills!K10/10)+Skills!N10</f>
        <v/>
      </c>
      <c r="G1474">
        <f>Calc!G10</f>
        <v/>
      </c>
      <c r="H1474">
        <f>Calc!H10</f>
        <v/>
      </c>
      <c r="I1474">
        <f>IF(Skills!T10&lt;&gt;"",1+(Skills!T10/10)*(Z1467/1000)/100,1)</f>
        <v/>
      </c>
      <c r="J1474">
        <f>((Inputs!$B$6*(1+Inputs!$B$7/100))+(((Inputs!$B$12*(1+Inputs!$B$13/100))-(Inputs!$B$12*(1+Inputs!$B$13/100)))+0.25*(Inputs!$B$14-Inputs!$B$14))*(1+Inputs!$B$7/100))*(F1474/100)</f>
        <v/>
      </c>
      <c r="K1474">
        <f>J1474*(1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10="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1474)</f>
        <v/>
      </c>
      <c r="L1474">
        <f>K1474*(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4">
        <f>L1474*(1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4">
        <f>L1474*(1-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1474*(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4">
        <f>(1-Summary!$B$11)*S1474+Summary!$B$11*U1474</f>
        <v/>
      </c>
      <c r="P1474">
        <f>IF(B1501=0,0,O1474/B1501)</f>
        <v/>
      </c>
      <c r="Q1474">
        <f>IFERROR(1/(IF(Inputs!$B$38="pvp",15,MAX(0.1,Skills!D10-IF(TRUE=TRUE,Inputs!$B$32,0)))*(1-IF(AND(ArtifactsInput!$M$27,Inputs!$B$4="Chapter Hunt"),CHOOSE(ArtifactsInput!$N$27+1,20,24,28,32,36,40),0)/100)),0)</f>
        <v/>
      </c>
      <c r="R1474" t="n">
        <v>0</v>
      </c>
      <c r="S1474">
        <f>IF(C1474,((H1474*B1502)/(1+Skills!G10*H1474*B1502)*N1474)*IF(Inputs!$B$38="pvp",1,1+(Inputs!$B$20+Skills!O10+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1474*(1-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1474*(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1474*(1-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1474*(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4">
        <f>IF(C1474,((H1474*B1502)/(1+Skills!G10*H1474*B1502)*N1474)*IF(Inputs!$B$38="pvp",1,(1+(Inputs!$B$21+Skills!P10+B1492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5">
      <c r="A1475">
        <f>Skills!A11</f>
        <v/>
      </c>
      <c r="B1475">
        <f>Skills!B11</f>
        <v/>
      </c>
      <c r="C1475">
        <f>Inputs!$B$3&gt;=107</f>
        <v/>
      </c>
      <c r="D1475">
        <f>IF(Skills!C11=1,60+Inputs!$B$25+Inputs!$B$29,IF(Skills!C11=2,90+Inputs!$B$26+Inputs!$B$29,IF(Skills!C11=3,120+Inputs!$B$27+Inputs!$B$29,MAX(0,(Inputs!$B$3-100)*3)+Inputs!$B$28+Inputs!$B$29)))</f>
        <v/>
      </c>
      <c r="E1475">
        <f>INDEX(FactorTable!$B$2:$Y$301, MATCH(ROUND(MIN(300,MAX(1,D1475)),0), FactorTable!$A$2:$A$301,0), Skills!L11+1)</f>
        <v/>
      </c>
      <c r="F1475">
        <f>IF(Skills!M11=TRUE,(Skills!K11/10)*(E1475/1000),Skills!K11/10)+Skills!N11</f>
        <v/>
      </c>
      <c r="G1475">
        <f>Calc!G11</f>
        <v/>
      </c>
      <c r="H1475">
        <f>Calc!H11</f>
        <v/>
      </c>
      <c r="I1475">
        <f>IF(Skills!T11&lt;&gt;"",1+(Skills!T11/10)*(Z1467/1000)/100,1)</f>
        <v/>
      </c>
      <c r="J1475">
        <f>((Inputs!$B$6*(1+Inputs!$B$7/100))+(((Inputs!$B$12*(1+Inputs!$B$13/100))-(Inputs!$B$12*(1+Inputs!$B$13/100)))+0.25*(Inputs!$B$14-Inputs!$B$14))*(1+Inputs!$B$7/100))*(F1475/100)</f>
        <v/>
      </c>
      <c r="K1475">
        <f>J1475*(1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11="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1475)</f>
        <v/>
      </c>
      <c r="L1475">
        <f>K1475*(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5">
        <f>L1475*(1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5">
        <f>L1475*(1-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1475*(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5">
        <f>(1-Summary!$B$11)*S1475+Summary!$B$11*U1475</f>
        <v/>
      </c>
      <c r="P1475">
        <f>IF(B1501=0,0,O1475/B1501)</f>
        <v/>
      </c>
      <c r="Q1475">
        <f>IFERROR(1/(IF(Inputs!$B$38="pvp",15,MAX(0.1,Skills!D11-IF(TRUE=TRUE,Inputs!$B$32,0)))*(1-IF(AND(ArtifactsInput!$M$27,Inputs!$B$4="Chapter Hunt"),CHOOSE(ArtifactsInput!$N$27+1,20,24,28,32,36,40),0)/100)),0)</f>
        <v/>
      </c>
      <c r="R1475">
        <f>IF(AND(Inputs!$B$38&lt;&gt;"pvp",Inputs!$B$43&gt;0),IF(MAX(0,Inputs!$B$43-B1498)&lt;=0,0,(INT(MAX(0,Inputs!$B$43-B1498)/(IF(Inputs!$B$38="pvp",15,MAX(0.1,Skills!D11-IF(TRUE=TRUE,Inputs!$B$32,0)))*(1-IF(AND(ArtifactsInput!$M$27,Inputs!$B$4="Chapter Hunt"),CHOOSE(ArtifactsInput!$N$27+1,20,24,28,32,36,40),0)/100)))+1)),0)</f>
        <v/>
      </c>
      <c r="S1475">
        <f>IF(C1475,H1475*N1475*IF(AND(Inputs!$B$38&lt;&gt;"pvp",Inputs!$B$43&gt;0),((Skills!F11*((R1475-1)*IF(Skills!G11&gt;0,Skills!H11/Skills!G11,1)+IF(Skills!G11&gt;0,MIN(Skills!H11,MAX(0,MAX(0,Inputs!$B$43-B1498)-((R1475-1)*(IF(Inputs!$B$38="pvp",15,MAX(0.1,Skills!D11-IF(TRUE=TRUE,Inputs!$B$32,0)))*(1-IF(AND(ArtifactsInput!$M$27,Inputs!$B$4="Chapter Hunt"),CHOOSE(ArtifactsInput!$N$27+1,20,24,28,32,36,40),0)/100)))))/Skills!G11,1)))/Inputs!$B$43),G1475*Q1475)*0.5*IF(Inputs!$B$38="pvp",1,1+(Inputs!$B$20+Skills!O11+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1475*(1-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1475*(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1475*(1-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1475*(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5">
        <f>IF(C1475,H1475*N1475*IF(AND(Inputs!$B$38&lt;&gt;"pvp",Inputs!$B$43&gt;0),((Skills!F11*((R1475-1)*IF(Skills!G11&gt;0,Skills!H11/Skills!G11,1)+IF(Skills!G11&gt;0,MIN(Skills!H11,MAX(0,MAX(0,Inputs!$B$43-B1498)-((R1475-1)*(IF(Inputs!$B$38="pvp",15,MAX(0.1,Skills!D11-IF(TRUE=TRUE,Inputs!$B$32,0)))*(1-IF(AND(ArtifactsInput!$M$27,Inputs!$B$4="Chapter Hunt"),CHOOSE(ArtifactsInput!$N$27+1,20,24,28,32,36,40),0)/100)))))/Skills!G11,1)))/Inputs!$B$43),G1475*Q1475)*1*IF(Inputs!$B$38="pvp",1,(1+(Inputs!$B$21+Skills!P11+B1492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6">
      <c r="A1476">
        <f>Skills!A12</f>
        <v/>
      </c>
      <c r="B1476">
        <f>Skills!B12</f>
        <v/>
      </c>
      <c r="C1476">
        <f>Inputs!$B$3&gt;=115</f>
        <v/>
      </c>
      <c r="D1476">
        <f>IF(Skills!C12=1,60+Inputs!$B$25+Inputs!$B$29,IF(Skills!C12=2,90+Inputs!$B$26+Inputs!$B$29,IF(Skills!C12=3,120+Inputs!$B$27+Inputs!$B$29,MAX(0,(Inputs!$B$3-100)*3)+Inputs!$B$28+Inputs!$B$29)))</f>
        <v/>
      </c>
      <c r="E1476">
        <f>INDEX(FactorTable!$B$2:$Y$301, MATCH(ROUND(MIN(300,MAX(1,D1476)),0), FactorTable!$A$2:$A$301,0), Skills!L12+1)</f>
        <v/>
      </c>
      <c r="F1476">
        <f>IF(Skills!M12=TRUE,(Skills!K12/10)*(E1476/1000),Skills!K12/10)+Skills!N12</f>
        <v/>
      </c>
      <c r="G1476">
        <f>Calc!G12</f>
        <v/>
      </c>
      <c r="H1476">
        <f>Calc!H12</f>
        <v/>
      </c>
      <c r="I1476">
        <f>IF(Skills!T12&lt;&gt;"",1+(Skills!T12/10)*(Z1467/1000)/100,1)</f>
        <v/>
      </c>
      <c r="J1476">
        <f>((Inputs!$B$6*(1+Inputs!$B$7/100))+(((Inputs!$B$12*(1+Inputs!$B$13/100))-(Inputs!$B$12*(1+Inputs!$B$13/100)))+0.25*(Inputs!$B$14-Inputs!$B$14))*(1+Inputs!$B$7/100))*(F1476/100)</f>
        <v/>
      </c>
      <c r="K1476">
        <f>J1476*(1+((Inputs!$B$12*(1+Inputs!$B$13/100))*0.01+Inputs!$B$14*0.0025)/100)*(1+(Inputs!$B$15+B1493)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1479=TRUE,F1479,0)/100)*(1+IF(C1487=TRUE,F1487,0)/100)^5*(1+(IF(Skills!A12="CHAIN_LIGHTNING",Inputs!$B$17+((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1491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1476)</f>
        <v/>
      </c>
      <c r="L1476">
        <f>K1476*(MIN(Inputs!$B$22+(F1482-Calc!F18),(Inputs!$B$23+((IF(IF(ArtifactsInput!$M$15,FALSE,TRUE),1,-1)*CHOOSE(ArtifactsInput!$N$15+1,25,30,35,40,45,50)/100*IF(IF(ArtifactsInput!$M$15,FALSE,TRUE),(Inputs!$B$11+(IF(ArtifactsInput!$M$15,FALSE,TRUE)-ArtifactsInput!$M$15)*CHOOSE(ArtifactsInput!$N$15+1,8,9.6,11.2,12.8,14.4,16)),Inputs!$B$11)))))/100+(Inputs!$B$23+((IF(IF(ArtifactsInput!$M$15,FALSE,TRUE),1,-1)*CHOOSE(ArtifactsInput!$N$15+1,25,30,35,40,45,50)/100*IF(IF(ArtifactsInput!$M$15,FALSE,TRUE),(Inputs!$B$11+(IF(ArtifactsInput!$M$15,FALSE,TRUE)-ArtifactsInput!$M$15)*CHOOSE(ArtifactsInput!$N$15+1,8,9.6,11.2,12.8,14.4,16)),Inputs!$B$11))))/100)/2</f>
        <v/>
      </c>
      <c r="M1476">
        <f>L1476*(1+(Inputs!$B$10+(F1485-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6">
        <f>L1476*(1-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1476*(MIN((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6">
        <f>(1-Summary!$B$11)*S1476+Summary!$B$11*U1476</f>
        <v/>
      </c>
      <c r="P1476">
        <f>IF(B1501=0,0,O1476/B1501)</f>
        <v/>
      </c>
      <c r="Q1476">
        <f>IFERROR(1/(IF(Inputs!$B$38="pvp",15,MAX(0.1,Skills!D12-IF(TRUE=TRUE,Inputs!$B$32,0)))*(1-IF(AND(ArtifactsInput!$M$27,Inputs!$B$4="Chapter Hunt"),CHOOSE(ArtifactsInput!$N$27+1,20,24,28,32,36,40),0)/100)),0)</f>
        <v/>
      </c>
      <c r="R1476">
        <f>IF(AND(Inputs!$B$38&lt;&gt;"pvp",Inputs!$B$43&gt;0),IF(MAX(0,Inputs!$B$43-B1498)&lt;=0,0,(INT(MAX(0,Inputs!$B$43-B1498)/(IF(Inputs!$B$38="pvp",15,MAX(0.1,Skills!D12-IF(TRUE=TRUE,Inputs!$B$32,0)))*(1-IF(AND(ArtifactsInput!$M$27,Inputs!$B$4="Chapter Hunt"),CHOOSE(ArtifactsInput!$N$27+1,20,24,28,32,36,40),0)/100)))+1)),0)</f>
        <v/>
      </c>
      <c r="S1476">
        <f>IF(C1476,(H1476*N1476*IF(AND(Inputs!$B$38&lt;&gt;"pvp",Inputs!$B$43&gt;0),((Skills!F12*((R1476-1)*IF(Skills!G12&gt;0,Skills!H12/Skills!G12,1)+IF(Skills!G12&gt;0,MIN(Skills!H12,MAX(0,MAX(0,Inputs!$B$43-B1498)-((R1476-1)*(IF(Inputs!$B$38="pvp",15,MAX(0.1,Skills!D12-IF(TRUE=TRUE,Inputs!$B$32,0)))*(1-IF(AND(ArtifactsInput!$M$27,Inputs!$B$4="Chapter Hunt"),CHOOSE(ArtifactsInput!$N$27+1,20,24,28,32,36,40),0)/100)))))/Skills!G12,1)))/Inputs!$B$43),G1476*Q1476))*IF(Inputs!$B$38="pvp",1,1+(Inputs!$B$20+Skills!O12+B1492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1476*(1-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1476*(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1476*(1-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1476*(MIN(100,(Inputs!$B$9+((F1484-Calc!F20)+(F1483-Calc!F19))+(ArtifactsInput!$M$24-ArtifactsInput!$M$24)*CHOOSE(ArtifactsInput!$N$24+1,10,12,14,16,18,20)+(IF(AND(Inputs!$B$38&lt;&gt;"pvp",Inputs!$B$43=0),1,IF(IF(Inputs!$B$38="pvp",15,Inputs!$B$43)-(B1498)&lt;=0,1,MAX(0,IF(Inputs!$B$38="pvp",15,Inputs!$B$43)-MAX(5,B1498))/(IF(Inputs!$B$38="pvp",15,Inputs!$B$43)-(B1498)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76">
        <f>IF(C1476,(H1476*N1476*IF(AND(Inputs!$B$38&lt;&gt;"pvp",Inputs!$B$43&gt;0),((Skills!F12*((R1476-1)*IF(Skills!G12&gt;0,Skills!H12/Skills!G12,1)+IF(Skills!G12&gt;0,MIN(Skills!H12,MAX(0,MAX(0,Inputs!$B$43-B1498)-((R1476-1)*(IF(Inputs!$B$38="pvp",15,MAX(0.1,Skills!D12-IF(TRUE=TRUE,Inputs!$B$32,0)))*(1-IF(AND(ArtifactsInput!$M$27,Inputs!$B$4="Chapter Hunt"),CHOOSE(ArtifactsInput!$N$27+1,20,24,28,32,36,40),0)/100)))))/Skills!G12,1)))/Inputs!$B$43),G1476*Q1476))*IF(Inputs!$B$38="pvp",1,(1+(Inputs!$B$21+Skills!P12+B1492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7">
      <c r="A1477">
        <f>Skills!A13</f>
        <v/>
      </c>
      <c r="B1477">
        <f>Skills!B13</f>
        <v/>
      </c>
      <c r="C1477">
        <f>Inputs!$B$3&gt;=49</f>
        <v/>
      </c>
      <c r="D1477">
        <f>IF(Skills!C13=1,60+Inputs!$B$25+Inputs!$B$29,IF(Skills!C13=2,90+Inputs!$B$26+Inputs!$B$29,IF(Skills!C13=3,120+Inputs!$B$27+Inputs!$B$29,MAX(0,(Inputs!$B$3-100)*3)+Inputs!$B$28+Inputs!$B$29)))</f>
        <v/>
      </c>
      <c r="E1477">
        <f>INDEX(FactorTable!$B$2:$Y$301, MATCH(ROUND(MIN(300,MAX(1,D1477)),0), FactorTable!$A$2:$A$301,0), Skills!L13+1)</f>
        <v/>
      </c>
      <c r="F1477">
        <f>IF(Skills!M13=TRUE,(Skills!K13/10)*(E1477/1000),Skills!K13/10)+Skills!N13</f>
        <v/>
      </c>
      <c r="G1477">
        <f>Calc!G13</f>
        <v/>
      </c>
      <c r="H1477">
        <f>Calc!H13</f>
        <v/>
      </c>
      <c r="I1477">
        <f>IF(Skills!T13&lt;&gt;"",1+(Skills!T13/10)*(Z1467/1000)/100,1)</f>
        <v/>
      </c>
      <c r="J1477" t="inlineStr"/>
      <c r="K1477" t="inlineStr"/>
      <c r="L1477" t="inlineStr"/>
      <c r="M1477" t="inlineStr"/>
      <c r="N1477" t="inlineStr"/>
      <c r="O1477">
        <f>(1-Summary!$B$11)*S1477+Summary!$B$11*U1477</f>
        <v/>
      </c>
      <c r="P1477">
        <f>IF(B1501=0,0,O1477/B1501)</f>
        <v/>
      </c>
      <c r="Q1477">
        <f>IFERROR(1/(IF(Inputs!$B$38="pvp",15,MAX(0.1,Skills!D13-IF(TRUE=TRUE,Inputs!$B$32,0)))*(1-IF(AND(ArtifactsInput!$M$27,Inputs!$B$4="Chapter Hunt"),CHOOSE(ArtifactsInput!$N$27+1,20,24,28,32,36,40),0)/100)),0)</f>
        <v/>
      </c>
      <c r="R1477" t="n">
        <v>0</v>
      </c>
      <c r="S1477" t="n">
        <v>0</v>
      </c>
      <c r="U1477" t="n">
        <v>0</v>
      </c>
    </row>
    <row r="1478">
      <c r="A1478">
        <f>Skills!A14</f>
        <v/>
      </c>
      <c r="B1478">
        <f>Skills!B14</f>
        <v/>
      </c>
      <c r="C1478">
        <f>Inputs!$B$3&gt;=72</f>
        <v/>
      </c>
      <c r="D1478">
        <f>IF(Skills!C14=1,60+Inputs!$B$25+Inputs!$B$29,IF(Skills!C14=2,90+Inputs!$B$26+Inputs!$B$29,IF(Skills!C14=3,120+Inputs!$B$27+Inputs!$B$29,MAX(0,(Inputs!$B$3-100)*3)+Inputs!$B$28+Inputs!$B$29)))</f>
        <v/>
      </c>
      <c r="E1478">
        <f>INDEX(FactorTable!$B$2:$Y$301, MATCH(ROUND(MIN(300,MAX(1,D1478)),0), FactorTable!$A$2:$A$301,0), Skills!L14+1)</f>
        <v/>
      </c>
      <c r="F1478">
        <f>IF(Skills!M14=TRUE,(Skills!K14/10)*(E1478/1000),Skills!K14/10)+Skills!N14</f>
        <v/>
      </c>
      <c r="G1478">
        <f>Calc!G14</f>
        <v/>
      </c>
      <c r="H1478">
        <f>Calc!H14</f>
        <v/>
      </c>
      <c r="I1478">
        <f>IF(Skills!T14&lt;&gt;"",1+(Skills!T14/10)*(Z1467/1000)/100,1)</f>
        <v/>
      </c>
      <c r="J1478" t="inlineStr"/>
      <c r="K1478" t="inlineStr"/>
      <c r="L1478" t="inlineStr"/>
      <c r="M1478" t="inlineStr"/>
      <c r="N1478" t="inlineStr"/>
      <c r="O1478">
        <f>(1-Summary!$B$11)*S1478+Summary!$B$11*U1478</f>
        <v/>
      </c>
      <c r="P1478">
        <f>IF(B1501=0,0,O1478/B1501)</f>
        <v/>
      </c>
      <c r="Q1478">
        <f>IFERROR(1/(IF(Inputs!$B$38="pvp",15,MAX(0.1,Skills!D14-IF(TRUE=TRUE,Inputs!$B$32,0)))*(1-IF(AND(ArtifactsInput!$M$27,Inputs!$B$4="Chapter Hunt"),CHOOSE(ArtifactsInput!$N$27+1,20,24,28,32,36,40),0)/100)),0)</f>
        <v/>
      </c>
      <c r="R1478" t="n">
        <v>0</v>
      </c>
      <c r="S1478" t="n">
        <v>0</v>
      </c>
      <c r="U1478" t="n">
        <v>0</v>
      </c>
    </row>
    <row r="1479">
      <c r="A1479">
        <f>Skills!A15</f>
        <v/>
      </c>
      <c r="B1479">
        <f>Skills!B15</f>
        <v/>
      </c>
      <c r="C1479">
        <f>Inputs!$B$3&gt;=75</f>
        <v/>
      </c>
      <c r="D1479">
        <f>IF(Skills!C15=1,60+Inputs!$B$25+Inputs!$B$29,IF(Skills!C15=2,90+Inputs!$B$26+Inputs!$B$29,IF(Skills!C15=3,120+Inputs!$B$27+Inputs!$B$29,MAX(0,(Inputs!$B$3-100)*3)+Inputs!$B$28+Inputs!$B$29)))</f>
        <v/>
      </c>
      <c r="E1479">
        <f>INDEX(FactorTable!$B$2:$Y$301, MATCH(ROUND(MIN(300,MAX(1,D1479)),0), FactorTable!$A$2:$A$301,0), Skills!L15+1)</f>
        <v/>
      </c>
      <c r="F1479">
        <f>IF(Skills!M15=TRUE,(Skills!K15/10)*(E1479/1000),Skills!K15/10)+Skills!N15</f>
        <v/>
      </c>
      <c r="G1479">
        <f>Calc!G15</f>
        <v/>
      </c>
      <c r="H1479">
        <f>Calc!H15</f>
        <v/>
      </c>
      <c r="I1479">
        <f>IF(Skills!T15&lt;&gt;"",1+(Skills!T15/10)*(Z1467/1000)/100,1)</f>
        <v/>
      </c>
      <c r="J1479" t="inlineStr"/>
      <c r="K1479" t="inlineStr"/>
      <c r="L1479" t="inlineStr"/>
      <c r="M1479" t="inlineStr"/>
      <c r="N1479" t="inlineStr"/>
      <c r="O1479">
        <f>(1-Summary!$B$11)*S1479+Summary!$B$11*U1479</f>
        <v/>
      </c>
      <c r="P1479">
        <f>IF(B1501=0,0,O1479/B1501)</f>
        <v/>
      </c>
      <c r="Q1479">
        <f>IFERROR(1/(IF(Inputs!$B$38="pvp",15,MAX(0.1,Skills!D15-IF(TRUE=TRUE,Inputs!$B$32,0)))*(1-IF(AND(ArtifactsInput!$M$27,Inputs!$B$4="Chapter Hunt"),CHOOSE(ArtifactsInput!$N$27+1,20,24,28,32,36,40),0)/100)),0)</f>
        <v/>
      </c>
      <c r="R1479" t="n">
        <v>0</v>
      </c>
      <c r="S1479" t="n">
        <v>0</v>
      </c>
      <c r="U1479" t="n">
        <v>0</v>
      </c>
    </row>
    <row r="1480">
      <c r="A1480">
        <f>Skills!A16</f>
        <v/>
      </c>
      <c r="B1480">
        <f>Skills!B16</f>
        <v/>
      </c>
      <c r="C1480">
        <f>Inputs!$B$3&gt;=110</f>
        <v/>
      </c>
      <c r="D1480">
        <f>IF(Skills!C16=1,60+Inputs!$B$25+Inputs!$B$29,IF(Skills!C16=2,90+Inputs!$B$26+Inputs!$B$29,IF(Skills!C16=3,120+Inputs!$B$27+Inputs!$B$29,MAX(0,(Inputs!$B$3-100)*3)+Inputs!$B$28+Inputs!$B$29)))</f>
        <v/>
      </c>
      <c r="E1480">
        <f>INDEX(FactorTable!$B$2:$Y$301, MATCH(ROUND(MIN(300,MAX(1,D1480)),0), FactorTable!$A$2:$A$301,0), Skills!L16+1)</f>
        <v/>
      </c>
      <c r="F1480">
        <f>(Skills!K16/10)*(E1480/1000)*64/45+Skills!N16</f>
        <v/>
      </c>
      <c r="G1480">
        <f>Calc!G16</f>
        <v/>
      </c>
      <c r="H1480">
        <f>Calc!H16</f>
        <v/>
      </c>
      <c r="I1480">
        <f>IF(Skills!T16&lt;&gt;"",1+(Skills!T16/10)*(Z1467/1000)/100,1)</f>
        <v/>
      </c>
      <c r="J1480" t="inlineStr"/>
      <c r="K1480" t="inlineStr"/>
      <c r="L1480" t="inlineStr"/>
      <c r="M1480" t="inlineStr"/>
      <c r="N1480" t="inlineStr"/>
      <c r="O1480">
        <f>(1-Summary!$B$11)*S1480+Summary!$B$11*U1480</f>
        <v/>
      </c>
      <c r="P1480">
        <f>IF(B1501=0,0,O1480/B1501)</f>
        <v/>
      </c>
      <c r="Q1480">
        <f>IFERROR(1/(IF(Inputs!$B$38="pvp",15,MAX(0.1,Skills!D16-IF(TRUE=TRUE,Inputs!$B$32,0)))*(1-IF(AND(ArtifactsInput!$M$27,Inputs!$B$4="Chapter Hunt"),CHOOSE(ArtifactsInput!$N$27+1,20,24,28,32,36,40),0)/100)),0)</f>
        <v/>
      </c>
      <c r="R1480">
        <f>IF(AND(Inputs!$B$38&lt;&gt;"pvp",Inputs!$B$43&gt;0),IF(Inputs!$B$43&lt;=0,0,(INT(Inputs!$B$43/(IF(Inputs!$B$38="pvp",15,MAX(0.1,Skills!D16-IF(TRUE=TRUE,Inputs!$B$32,0)))*(1-IF(AND(ArtifactsInput!$M$27,Inputs!$B$4="Chapter Hunt"),CHOOSE(ArtifactsInput!$N$27+1,20,24,28,32,36,40),0)/100)))+1)),0)</f>
        <v/>
      </c>
      <c r="S1480" t="n">
        <v>0</v>
      </c>
      <c r="U1480" t="n">
        <v>0</v>
      </c>
    </row>
    <row r="1481">
      <c r="A1481">
        <f>Skills!A17</f>
        <v/>
      </c>
      <c r="B1481">
        <f>Skills!B17</f>
        <v/>
      </c>
      <c r="C1481">
        <f>Inputs!$B$3&gt;=33</f>
        <v/>
      </c>
      <c r="D1481">
        <f>IF(Skills!C17=1,60+Inputs!$B$25+Inputs!$B$29,IF(Skills!C17=2,90+Inputs!$B$26+Inputs!$B$29,IF(Skills!C17=3,120+Inputs!$B$27+Inputs!$B$29,MAX(0,(Inputs!$B$3-100)*3)+Inputs!$B$28+Inputs!$B$29)))</f>
        <v/>
      </c>
      <c r="E1481">
        <f>INDEX(FactorTable!$B$2:$Y$301, MATCH(ROUND(MIN(300,MAX(1,D1481)),0), FactorTable!$A$2:$A$301,0), Skills!L17+1)</f>
        <v/>
      </c>
      <c r="F1481">
        <f>IF(Skills!M17=TRUE,(Skills!K17/10)*(E1481/1000),Skills!K17/10)+Skills!N17</f>
        <v/>
      </c>
      <c r="G1481">
        <f>Calc!G17</f>
        <v/>
      </c>
      <c r="H1481">
        <f>Calc!H17</f>
        <v/>
      </c>
      <c r="I1481">
        <f>IF(Skills!T17&lt;&gt;"",1+(Skills!T17/10)*(Z1467/1000)/100,1)</f>
        <v/>
      </c>
      <c r="J1481" t="inlineStr"/>
      <c r="K1481" t="inlineStr"/>
      <c r="L1481" t="inlineStr"/>
      <c r="M1481" t="inlineStr"/>
      <c r="N1481" t="inlineStr"/>
      <c r="O1481">
        <f>(1-Summary!$B$11)*S1481+Summary!$B$11*U1481</f>
        <v/>
      </c>
      <c r="P1481">
        <f>IF(B1501=0,0,O1481/B1501)</f>
        <v/>
      </c>
      <c r="Q1481">
        <f>IFERROR(1/(IF(Inputs!$B$38="pvp",15,MAX(0.1,Skills!D17-IF(TRUE=TRUE,Inputs!$B$32,0)))*(1-IF(AND(ArtifactsInput!$M$27,Inputs!$B$4="Chapter Hunt"),CHOOSE(ArtifactsInput!$N$27+1,20,24,28,32,36,40),0)/100)),0)</f>
        <v/>
      </c>
      <c r="R1481" t="n">
        <v>0</v>
      </c>
      <c r="S1481" t="n">
        <v>0</v>
      </c>
      <c r="U1481" t="n">
        <v>0</v>
      </c>
    </row>
    <row r="1482">
      <c r="A1482">
        <f>Skills!A18</f>
        <v/>
      </c>
      <c r="B1482">
        <f>Skills!B18</f>
        <v/>
      </c>
      <c r="C1482">
        <f>Inputs!$B$3&gt;=43</f>
        <v/>
      </c>
      <c r="D1482">
        <f>IF(Skills!C18=1,60+Inputs!$B$25+Inputs!$B$29,IF(Skills!C18=2,90+Inputs!$B$26+Inputs!$B$29,IF(Skills!C18=3,120+Inputs!$B$27+Inputs!$B$29,MAX(0,(Inputs!$B$3-100)*3)+Inputs!$B$28+Inputs!$B$29)))</f>
        <v/>
      </c>
      <c r="E1482">
        <f>INDEX(FactorTable!$B$2:$Y$301, MATCH(ROUND(MIN(300,MAX(1,D1482)),0), FactorTable!$A$2:$A$301,0), Skills!L18+1)</f>
        <v/>
      </c>
      <c r="F1482">
        <f>IF(Skills!M18=TRUE,(Skills!K18/10)*(E1482/1000),Skills!K18/10)+Skills!N18</f>
        <v/>
      </c>
      <c r="G1482">
        <f>Calc!G18</f>
        <v/>
      </c>
      <c r="H1482">
        <f>Calc!H18</f>
        <v/>
      </c>
      <c r="I1482">
        <f>IF(Skills!T18&lt;&gt;"",1+(Skills!T18/10)*(Z1467/1000)/100,1)</f>
        <v/>
      </c>
      <c r="J1482" t="inlineStr"/>
      <c r="K1482" t="inlineStr"/>
      <c r="L1482" t="inlineStr"/>
      <c r="M1482" t="inlineStr"/>
      <c r="N1482" t="inlineStr"/>
      <c r="O1482">
        <f>(1-Summary!$B$11)*S1482+Summary!$B$11*U1482</f>
        <v/>
      </c>
      <c r="P1482">
        <f>IF(B1501=0,0,O1482/B1501)</f>
        <v/>
      </c>
      <c r="Q1482">
        <f>IFERROR(1/(IF(Inputs!$B$38="pvp",15,MAX(0.1,Skills!D18-IF(TRUE=TRUE,Inputs!$B$32,0)))*(1-IF(AND(ArtifactsInput!$M$27,Inputs!$B$4="Chapter Hunt"),CHOOSE(ArtifactsInput!$N$27+1,20,24,28,32,36,40),0)/100)),0)</f>
        <v/>
      </c>
      <c r="R1482" t="n">
        <v>0</v>
      </c>
      <c r="S1482" t="n">
        <v>0</v>
      </c>
      <c r="U1482" t="n">
        <v>0</v>
      </c>
    </row>
    <row r="1483">
      <c r="A1483">
        <f>Skills!A19</f>
        <v/>
      </c>
      <c r="B1483">
        <f>Skills!B19</f>
        <v/>
      </c>
      <c r="C1483">
        <f>Inputs!$B$3&gt;=50</f>
        <v/>
      </c>
      <c r="D1483">
        <f>IF(Skills!C19=1,60+Inputs!$B$25+Inputs!$B$29,IF(Skills!C19=2,90+Inputs!$B$26+Inputs!$B$29,IF(Skills!C19=3,120+Inputs!$B$27+Inputs!$B$29,MAX(0,(Inputs!$B$3-100)*3)+Inputs!$B$28+Inputs!$B$29)))</f>
        <v/>
      </c>
      <c r="E1483">
        <f>INDEX(FactorTable!$B$2:$Y$301, MATCH(ROUND(MIN(300,MAX(1,D1483)),0), FactorTable!$A$2:$A$301,0), Skills!L19+1)</f>
        <v/>
      </c>
      <c r="F1483">
        <f>IF(Skills!M19=TRUE,(Skills!K19/10)*(E1483/1000),Skills!K19/10)+Skills!N19</f>
        <v/>
      </c>
      <c r="G1483">
        <f>Calc!G19</f>
        <v/>
      </c>
      <c r="H1483">
        <f>Calc!H19</f>
        <v/>
      </c>
      <c r="I1483">
        <f>IF(Skills!T19&lt;&gt;"",1+(Skills!T19/10)*(Z1467/1000)/100,1)</f>
        <v/>
      </c>
      <c r="J1483" t="inlineStr"/>
      <c r="K1483" t="inlineStr"/>
      <c r="L1483" t="inlineStr"/>
      <c r="M1483" t="inlineStr"/>
      <c r="N1483" t="inlineStr"/>
      <c r="O1483">
        <f>(1-Summary!$B$11)*S1483+Summary!$B$11*U1483</f>
        <v/>
      </c>
      <c r="P1483">
        <f>IF(B1501=0,0,O1483/B1501)</f>
        <v/>
      </c>
      <c r="Q1483">
        <f>IFERROR(1/(IF(Inputs!$B$38="pvp",15,MAX(0.1,Skills!D19-IF(TRUE=TRUE,Inputs!$B$32,0)))*(1-IF(AND(ArtifactsInput!$M$27,Inputs!$B$4="Chapter Hunt"),CHOOSE(ArtifactsInput!$N$27+1,20,24,28,32,36,40),0)/100)),0)</f>
        <v/>
      </c>
      <c r="R1483" t="n">
        <v>0</v>
      </c>
      <c r="S1483" t="n">
        <v>0</v>
      </c>
      <c r="U1483" t="n">
        <v>0</v>
      </c>
    </row>
    <row r="1484">
      <c r="A1484">
        <f>Skills!A20</f>
        <v/>
      </c>
      <c r="B1484">
        <f>Skills!B20</f>
        <v/>
      </c>
      <c r="C1484">
        <f>Inputs!$B$3&gt;=74</f>
        <v/>
      </c>
      <c r="D1484">
        <f>IF(Skills!C20=1,60+Inputs!$B$25+Inputs!$B$29,IF(Skills!C20=2,90+Inputs!$B$26+Inputs!$B$29,IF(Skills!C20=3,120+Inputs!$B$27+Inputs!$B$29,MAX(0,(Inputs!$B$3-100)*3)+Inputs!$B$28+Inputs!$B$29)))</f>
        <v/>
      </c>
      <c r="E1484">
        <f>INDEX(FactorTable!$B$2:$Y$301, MATCH(ROUND(MIN(300,MAX(1,D1484)),0), FactorTable!$A$2:$A$301,0), Skills!L20+1)</f>
        <v/>
      </c>
      <c r="F1484">
        <f>IF(Skills!M20=TRUE,(Skills!K20/10)*(E1484/1000),Skills!K20/10)+Skills!N20</f>
        <v/>
      </c>
      <c r="G1484">
        <f>Calc!G20</f>
        <v/>
      </c>
      <c r="H1484">
        <f>Calc!H20</f>
        <v/>
      </c>
      <c r="I1484">
        <f>IF(Skills!T20&lt;&gt;"",1+(Skills!T20/10)*(Z1467/1000)/100,1)</f>
        <v/>
      </c>
      <c r="J1484" t="inlineStr"/>
      <c r="K1484" t="inlineStr"/>
      <c r="L1484" t="inlineStr"/>
      <c r="M1484" t="inlineStr"/>
      <c r="N1484" t="inlineStr"/>
      <c r="O1484">
        <f>(1-Summary!$B$11)*S1484+Summary!$B$11*U1484</f>
        <v/>
      </c>
      <c r="P1484">
        <f>IF(B1501=0,0,O1484/B1501)</f>
        <v/>
      </c>
      <c r="Q1484">
        <f>IFERROR(1/(IF(Inputs!$B$38="pvp",15,MAX(0.1,Skills!D20-IF(TRUE=TRUE,Inputs!$B$32,0)))*(1-IF(AND(ArtifactsInput!$M$27,Inputs!$B$4="Chapter Hunt"),CHOOSE(ArtifactsInput!$N$27+1,20,24,28,32,36,40),0)/100)),0)</f>
        <v/>
      </c>
      <c r="R1484" t="n">
        <v>0</v>
      </c>
      <c r="S1484" t="n">
        <v>0</v>
      </c>
      <c r="U1484" t="n">
        <v>0</v>
      </c>
    </row>
    <row r="1485">
      <c r="A1485">
        <f>Skills!A21</f>
        <v/>
      </c>
      <c r="B1485">
        <f>Skills!B21</f>
        <v/>
      </c>
      <c r="C1485">
        <f>Inputs!$B$3&gt;=74</f>
        <v/>
      </c>
      <c r="D1485">
        <f>IF(Skills!C21=1,60+Inputs!$B$25+Inputs!$B$29,IF(Skills!C21=2,90+Inputs!$B$26+Inputs!$B$29,IF(Skills!C21=3,120+Inputs!$B$27+Inputs!$B$29,MAX(0,(Inputs!$B$3-100)*3)+Inputs!$B$28+Inputs!$B$29)))</f>
        <v/>
      </c>
      <c r="E1485">
        <f>INDEX(FactorTable!$B$2:$Y$301, MATCH(ROUND(MIN(300,MAX(1,D1485)),0), FactorTable!$A$2:$A$301,0), Skills!L21+1)</f>
        <v/>
      </c>
      <c r="F1485">
        <f>IF(Skills!M21=TRUE,(Skills!K21/10)*(E1485/1000),Skills!K21/10)+Skills!N21</f>
        <v/>
      </c>
      <c r="G1485">
        <f>Calc!G21</f>
        <v/>
      </c>
      <c r="H1485">
        <f>Calc!H21</f>
        <v/>
      </c>
      <c r="I1485">
        <f>IF(Skills!T21&lt;&gt;"",1+(Skills!T21/10)*(Z1467/1000)/100,1)</f>
        <v/>
      </c>
      <c r="J1485" t="inlineStr"/>
      <c r="K1485" t="inlineStr"/>
      <c r="L1485" t="inlineStr"/>
      <c r="M1485" t="inlineStr"/>
      <c r="N1485" t="inlineStr"/>
      <c r="O1485">
        <f>(1-Summary!$B$11)*S1485+Summary!$B$11*U1485</f>
        <v/>
      </c>
      <c r="P1485">
        <f>IF(B1501=0,0,O1485/B1501)</f>
        <v/>
      </c>
      <c r="Q1485">
        <f>IFERROR(1/(IF(Inputs!$B$38="pvp",15,MAX(0.1,Skills!D21-IF(TRUE=TRUE,Inputs!$B$32,0)))*(1-IF(AND(ArtifactsInput!$M$27,Inputs!$B$4="Chapter Hunt"),CHOOSE(ArtifactsInput!$N$27+1,20,24,28,32,36,40),0)/100)),0)</f>
        <v/>
      </c>
      <c r="R1485" t="n">
        <v>0</v>
      </c>
      <c r="S1485" t="n">
        <v>0</v>
      </c>
      <c r="U1485" t="n">
        <v>0</v>
      </c>
    </row>
    <row r="1486">
      <c r="A1486">
        <f>Skills!A22</f>
        <v/>
      </c>
      <c r="B1486">
        <f>Skills!B22</f>
        <v/>
      </c>
      <c r="C1486">
        <f>Inputs!$B$3&gt;=117</f>
        <v/>
      </c>
      <c r="D1486">
        <f>IF(Skills!C22=1,60+Inputs!$B$25+Inputs!$B$29,IF(Skills!C22=2,90+Inputs!$B$26+Inputs!$B$29,IF(Skills!C22=3,120+Inputs!$B$27+Inputs!$B$29,MAX(0,(Inputs!$B$3-100)*3)+Inputs!$B$28+Inputs!$B$29)))</f>
        <v/>
      </c>
      <c r="E1486">
        <f>INDEX(FactorTable!$B$2:$Y$301, MATCH(ROUND(MIN(300,MAX(1,D1486)),0), FactorTable!$A$2:$A$301,0), Skills!L22+1)</f>
        <v/>
      </c>
      <c r="F1486">
        <f>IF(Skills!M22=TRUE,(Skills!K22/10)*(E1486/1000),Skills!K22/10)+Skills!N22</f>
        <v/>
      </c>
      <c r="G1486">
        <f>Calc!G22</f>
        <v/>
      </c>
      <c r="H1486">
        <f>Calc!H22</f>
        <v/>
      </c>
      <c r="I1486">
        <f>IF(Skills!T22&lt;&gt;"",1+(Skills!T22/10)*(Z1467/1000)/100,1)</f>
        <v/>
      </c>
      <c r="J1486" t="inlineStr"/>
      <c r="K1486" t="inlineStr"/>
      <c r="L1486" t="inlineStr"/>
      <c r="M1486" t="inlineStr"/>
      <c r="N1486" t="inlineStr"/>
      <c r="O1486">
        <f>(1-Summary!$B$11)*S1486+Summary!$B$11*U1486</f>
        <v/>
      </c>
      <c r="P1486">
        <f>IF(B1501=0,0,O1486/B1501)</f>
        <v/>
      </c>
      <c r="Q1486">
        <f>IFERROR(1/(IF(Inputs!$B$38="pvp",15,MAX(0.1,Skills!D22-IF(TRUE=TRUE,Inputs!$B$32,0)))*(1-IF(AND(ArtifactsInput!$M$27,Inputs!$B$4="Chapter Hunt"),CHOOSE(ArtifactsInput!$N$27+1,20,24,28,32,36,40),0)/100)),0)</f>
        <v/>
      </c>
      <c r="R1486" t="n">
        <v>0</v>
      </c>
      <c r="S1486" t="n">
        <v>0</v>
      </c>
      <c r="U1486" t="n">
        <v>0</v>
      </c>
    </row>
    <row r="1487">
      <c r="A1487">
        <f>Skills!A23</f>
        <v/>
      </c>
      <c r="B1487">
        <f>Skills!B23</f>
        <v/>
      </c>
      <c r="C1487">
        <f>Inputs!$B$3&gt;=120</f>
        <v/>
      </c>
      <c r="D1487">
        <f>IF(Skills!C23=1,60+Inputs!$B$25+Inputs!$B$29,IF(Skills!C23=2,90+Inputs!$B$26+Inputs!$B$29,IF(Skills!C23=3,120+Inputs!$B$27+Inputs!$B$29,MAX(0,(Inputs!$B$3-100)*3)+Inputs!$B$28+Inputs!$B$29)))</f>
        <v/>
      </c>
      <c r="E1487">
        <f>INDEX(FactorTable!$B$2:$Y$301, MATCH(ROUND(MIN(300,MAX(1,D1487)),0), FactorTable!$A$2:$A$301,0), Skills!L23+1)</f>
        <v/>
      </c>
      <c r="F1487">
        <f>IF(Skills!M23=TRUE,(Skills!K23/10)*(E1487/1000),Skills!K23/10)+Skills!N23</f>
        <v/>
      </c>
      <c r="G1487">
        <f>Calc!G23</f>
        <v/>
      </c>
      <c r="H1487">
        <f>Calc!H23</f>
        <v/>
      </c>
      <c r="I1487">
        <f>IF(Skills!T23&lt;&gt;"",1+(Skills!T23/10)*(Z1467/1000)/100,1)</f>
        <v/>
      </c>
      <c r="J1487" t="inlineStr"/>
      <c r="K1487" t="inlineStr"/>
      <c r="L1487" t="inlineStr"/>
      <c r="M1487" t="inlineStr"/>
      <c r="N1487" t="inlineStr"/>
      <c r="O1487">
        <f>(1-Summary!$B$11)*S1487+Summary!$B$11*U1487</f>
        <v/>
      </c>
      <c r="P1487">
        <f>IF(B1501=0,0,O1487/B1501)</f>
        <v/>
      </c>
      <c r="Q1487">
        <f>IFERROR(1/(IF(Inputs!$B$38="pvp",15,MAX(0.1,Skills!D23-IF(TRUE=TRUE,Inputs!$B$32,0)))*(1-IF(AND(ArtifactsInput!$M$27,Inputs!$B$4="Chapter Hunt"),CHOOSE(ArtifactsInput!$N$27+1,20,24,28,32,36,40),0)/100)),0)</f>
        <v/>
      </c>
      <c r="R1487" t="n">
        <v>0</v>
      </c>
      <c r="S1487" t="n">
        <v>0</v>
      </c>
      <c r="U1487" t="n">
        <v>0</v>
      </c>
    </row>
    <row r="1488">
      <c r="A1488">
        <f>Skills!A24</f>
        <v/>
      </c>
      <c r="B1488">
        <f>Skills!B24</f>
        <v/>
      </c>
      <c r="C1488">
        <f>TRUE</f>
        <v/>
      </c>
      <c r="D1488">
        <f>IF(Skills!C24=1,60+Inputs!$B$25+Inputs!$B$29,IF(Skills!C24=2,90+Inputs!$B$26+Inputs!$B$29,IF(Skills!C24=3,120+Inputs!$B$27+Inputs!$B$29,MAX(0,(Inputs!$B$3-100)*3)+Inputs!$B$28+Inputs!$B$29)))</f>
        <v/>
      </c>
      <c r="E1488">
        <f>INDEX(FactorTable!$B$2:$Y$301, MATCH(ROUND(MIN(300,MAX(1,D1488)),0), FactorTable!$A$2:$A$301,0), Skills!L24+1)</f>
        <v/>
      </c>
      <c r="F1488">
        <f>IF(Skills!M24=TRUE,(Skills!K24/10)*(E1488/1000),Skills!K24/10)+Skills!N24</f>
        <v/>
      </c>
      <c r="G1488">
        <f>Calc!G24</f>
        <v/>
      </c>
      <c r="H1488">
        <f>Calc!H24</f>
        <v/>
      </c>
      <c r="I1488">
        <f>IF(Skills!T24&lt;&gt;"",1+(Skills!T24/10)*(Z1467/1000)/100,1)</f>
        <v/>
      </c>
      <c r="J1488" t="inlineStr"/>
      <c r="K1488" t="inlineStr"/>
      <c r="L1488" t="inlineStr"/>
      <c r="M1488" t="inlineStr"/>
      <c r="N1488" t="inlineStr"/>
      <c r="O1488">
        <f>(1-Summary!$B$11)*S1488+Summary!$B$11*U1488</f>
        <v/>
      </c>
      <c r="P1488">
        <f>IF(B1501=0,0,O1488/B1501)</f>
        <v/>
      </c>
      <c r="Q1488">
        <f>IFERROR(1/(IF(Inputs!$B$38="pvp",15,MAX(0.1,Skills!D24-IF(TRUE=TRUE,Inputs!$B$32,0)))*(1-IF(AND(ArtifactsInput!$M$27,Inputs!$B$4="Chapter Hunt"),CHOOSE(ArtifactsInput!$N$27+1,20,24,28,32,36,40),0)/100)),0)</f>
        <v/>
      </c>
      <c r="R1488">
        <f>IF(AND(Inputs!$B$38&lt;&gt;"pvp",Inputs!$B$43&gt;0),IF(Inputs!$B$43&lt;=0,0,(INT(Inputs!$B$43/(IF(Inputs!$B$38="pvp",15,MAX(0.1,Skills!D24-IF(TRUE=TRUE,Inputs!$B$32,0)))*(1-IF(AND(ArtifactsInput!$M$27,Inputs!$B$4="Chapter Hunt"),CHOOSE(ArtifactsInput!$N$27+1,20,24,28,32,36,40),0)/100)))+1)),0)</f>
        <v/>
      </c>
      <c r="S1488" t="n">
        <v>0</v>
      </c>
      <c r="U1488" t="n">
        <v>0</v>
      </c>
    </row>
    <row r="1491">
      <c r="A1491" t="inlineStr">
        <is>
          <t>Average Buff Multiplier (Magic Guard + Meditation + Artifact Attack%, summed; then Infinity)</t>
        </is>
      </c>
      <c r="B1491">
        <f>(1+(IF(C1467=TRUE,F1467*IF(AND(Inputs!$B$38&lt;&gt;"pvp",Inputs!$B$43&gt;0),(((R1467-1)*MIN((Skills!S3*(1+(Inputs!$B$34)/100)),(1/Q1467))+MIN((Skills!S3*(1+(Inputs!$B$34)/100)),MAX(0,Inputs!$B$43-((R1467-1)*(1/Q1467)))))/Inputs!$B$43),IF(Inputs!$B$38="pvp",MIN((Skills!S3*(1+(Inputs!$B$34)/100)),15)/15,MIN(1,(Skills!S3*(1+(Inputs!$B$34)/100))/(1/Q1467)))),0)+IF(C1468=TRUE,F1468*IF(AND(Inputs!$B$38&lt;&gt;"pvp",Inputs!$B$43&gt;0),(((R1468-1)*MIN((Skills!S4*(1+(Inputs!$B$34)/100)),(1/Q1468))+MIN((Skills!S4*(1+(Inputs!$B$34)/100)),MAX(0,Inputs!$B$43-((R1468-1)*(1/Q1468)))))/Inputs!$B$43),IF(Inputs!$B$38="pvp",MIN((Skills!S4*(1+(Inputs!$B$34)/100)),15)/15,MIN(1,(Skills!S4*(1+(Inputs!$B$34)/100))/(1/Q1468)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1480=TRUE,(1+F1480*IF(AND(Inputs!$B$38&lt;&gt;"pvp",Inputs!$B$43&gt;0),(((R1480-1)*MIN((Skills!S16*(1+(Inputs!$B$34)/100)),(1/Q1480))+MIN((Skills!S16*(1+(Inputs!$B$34)/100)),MAX(0,Inputs!$B$43-((R1480-1)*(1/Q1480)))))/Inputs!$B$43),IF(Inputs!$B$38="pvp",MIN((Skills!S16*(1+(Inputs!$B$34)/100)),15)/15,MIN(1,(Skills!S16*(1+(Inputs!$B$34)/100))/(1/Q1480))))/100),1)</f>
        <v/>
      </c>
    </row>
    <row r="1492">
      <c r="A1492" t="inlineStr">
        <is>
          <t>Monster Damage Taken Bonus % (Freezing Breath - Weaken + Elemental Reset + Artifact Enemy Damage Taken, summed)</t>
        </is>
      </c>
      <c r="B1492">
        <f>IF(Inputs!$B$3&gt;=118,15*IF(Inputs!$B$38="pvp",MIN((30*(1+(Inputs!$B$34)/100)),15)/15,MIN(1,(30*(1+(Inputs!$B$34)/100))/(1/Q1472))),0)+IF(C1478=TRUE,F1478,0)+(IF(AND(ArtifactsInput!$M$35,Inputs!$B$4&lt;&gt;"Chapter Hunt"),CHOOSE(ArtifactsInput!$N$35+1,15,18,21,24,27,30)*(1-EXP(-(0.2*B1495)*5)),0)+IF(AND(ArtifactsInput!$M$22,Inputs!$B$4&lt;&gt;"Chapter Hunt"),CHOOSE(ArtifactsInput!$N$22+1,10,12,14,16,18,20)*((0*(((0.15*B1495*5))^0/1)+1*(((0.15*B1495*5))^1/1)+2*(((0.15*B1495*5))^2/2)+3*(((0.15*B1495*5))^3/6)+4*(((0.15*B1495*5))^4/24)+5*(((0.15*B1495*5))^5/120))/((((0.15*B1495*5))^0/1)+(((0.15*B1495*5))^1/1)+(((0.15*B1495*5))^2/2)+(((0.15*B1495*5))^3/6)+(((0.15*B1495*5))^4/24)+(((0.15*B1495*5))^5/120))),0))</f>
        <v/>
      </c>
    </row>
    <row r="1493">
      <c r="A1493" t="inlineStr">
        <is>
          <t>Damage % Bonus (Frozen Break + Frost Clutch, flat)</t>
        </is>
      </c>
      <c r="B1493">
        <f>IF(Inputs!$B$3&gt;=66,15,0)+IF(Inputs!$B$3&gt;=98,10,0)+IF(Inputs!$B$3&gt;=125,20,0)</f>
        <v/>
      </c>
    </row>
    <row r="1494">
      <c r="A1494" t="inlineStr">
        <is>
          <t>Attack Speed Bonus % (MP Eater - MP Boost, always-on + Nimble Feet, duty-cycle averaged)</t>
        </is>
      </c>
      <c r="B1494">
        <f>IF(C1477=TRUE,F1477+(F1481-Calc!F17),0)+((C1488=TRUE)*F1488*IF(AND(Inputs!$B$38&lt;&gt;"pvp",Inputs!$B$43&gt;0),(((R1488-1)*MIN((Skills!S24*(1+(Inputs!$B$34)/100)),(1/Q1488))+MIN((Skills!S24*(1+(Inputs!$B$34)/100)),MAX(0,Inputs!$B$43-((R1488-1)*(1/Q1488)))))/Inputs!$B$43),IF(Inputs!$B$38="pvp",MIN((Skills!S24*(1+(Inputs!$B$34)/100)),15)/15,MIN(1,(Skills!S24*(1+(Inputs!$B$34)/100))/(1/Q1488)))))</f>
        <v/>
      </c>
    </row>
    <row r="1495">
      <c r="A1495" t="inlineStr">
        <is>
          <t>Actions Per Second</t>
        </is>
      </c>
      <c r="B1495">
        <f>1+MIN(150,150*(1-(1-(Inputs!$B$11+(IF(ArtifactsInput!$M$15,FALSE,TRUE)-ArtifactsInput!$M$15)*CHOOSE(ArtifactsInput!$N$15+1,8,9.6,11.2,12.8,14.4,16))/150)*(1-B1494/150)))/100</f>
        <v/>
      </c>
    </row>
    <row r="1496">
      <c r="A1496" t="inlineStr">
        <is>
          <t>Skill + Buff Cast Rate</t>
        </is>
      </c>
      <c r="B1496">
        <f>IF(AND(Inputs!$B$38&lt;&gt;"pvp",Inputs!$B$43&gt;0),SUMPRODUCT((Skills!E2:E24=TRUE)*(C1466:C1488=TRUE)*R1466:R1488)/Inputs!$B$43,SUMPRODUCT((Skills!E2:E24=TRUE)*(C1466:C1488=TRUE)*Q1466:Q1488))</f>
        <v/>
      </c>
    </row>
    <row r="1497">
      <c r="A1497" t="inlineStr">
        <is>
          <t>Chain Lightning Casts Per Second</t>
        </is>
      </c>
      <c r="B1497">
        <f>MAX(0,B1495-B1496)</f>
        <v/>
      </c>
    </row>
    <row r="1498">
      <c r="A1498" t="inlineStr">
        <is>
          <t>Buff-Casting Startup Delay (s, fixed-duration only)</t>
        </is>
      </c>
      <c r="B1498">
        <f>IF(AND(Inputs!$B$38&lt;&gt;"pvp",Inputs!$B$43&gt;0),SUMPRODUCT((Skills!S2:S24&gt;0)*(Skills!E2:E24=TRUE)*(C1466:C1488=TRUE))/B1495,0)</f>
        <v/>
      </c>
    </row>
    <row r="1499">
      <c r="A1499" t="inlineStr">
        <is>
          <t>Boss-Only Total DPS (this block's swept value)</t>
        </is>
      </c>
      <c r="B1499">
        <f>SUM(S1466:S1488)</f>
        <v/>
      </c>
    </row>
    <row r="1500">
      <c r="A1500" t="inlineStr">
        <is>
          <t>Normal-Only Total DPS (this block's swept value)</t>
        </is>
      </c>
      <c r="B1500">
        <f>SUM(U1466:U1488)</f>
        <v/>
      </c>
    </row>
    <row r="1501">
      <c r="A1501" s="6" t="inlineStr">
        <is>
          <t>TOTAL DPS</t>
        </is>
      </c>
      <c r="B1501" s="6">
        <f>SUM(O1466:O1488)</f>
        <v/>
      </c>
    </row>
    <row r="1502">
      <c r="A1502" t="inlineStr">
        <is>
          <t>Blizzard Final Attack trigger rate (this block's own Q/R)</t>
        </is>
      </c>
      <c r="B1502">
        <f>IF(AND(Inputs!$B$38&lt;&gt;"pvp",Inputs!$B$43&gt;0),(((C1469=TRUE)*R1469*1)+((C1470=TRUE)*R1470*1)+((C1472=TRUE)*R1472*1)+((C1473=TRUE)*R1473*3)+((C1475=TRUE)*R1475*1))/Inputs!$B$43,((C1469=TRUE)*Q1469*1)+((C1470=TRUE)*Q1470*1)+((C1472=TRUE)*Q1472*1)+((C1473=TRUE)*Q1473*3)+((C1475=TRUE)*Q1475*1))+B1497</f>
        <v/>
      </c>
    </row>
    <row r="1505">
      <c r="A1505" s="6" t="inlineStr">
        <is>
          <t>Stat: Zakum's Stone Piece (Equip)</t>
        </is>
      </c>
    </row>
    <row r="1506">
      <c r="A1506" s="5" t="inlineStr">
        <is>
          <t>Key</t>
        </is>
      </c>
      <c r="B1506" s="5" t="inlineStr">
        <is>
          <t>Name</t>
        </is>
      </c>
      <c r="C1506" s="5" t="inlineStr">
        <is>
          <t>Unlocked</t>
        </is>
      </c>
      <c r="D1506" s="5" t="inlineStr">
        <is>
          <t>InputLevel</t>
        </is>
      </c>
      <c r="E1506" s="5" t="inlineStr">
        <is>
          <t>Factor</t>
        </is>
      </c>
      <c r="F1506" s="5" t="inlineStr">
        <is>
          <t>CoefficientPercent</t>
        </is>
      </c>
      <c r="G1506" s="5" t="inlineStr">
        <is>
          <t>EffectiveHits</t>
        </is>
      </c>
      <c r="H1506" s="5" t="inlineStr">
        <is>
          <t>ProcProbability</t>
        </is>
      </c>
      <c r="I1506" s="5" t="inlineStr">
        <is>
          <t>MapleHeroMultiplier</t>
        </is>
      </c>
      <c r="J1506" s="5" t="inlineStr">
        <is>
          <t>BaseDamage</t>
        </is>
      </c>
      <c r="K1506" s="5" t="inlineStr">
        <is>
          <t>BaseHitDamage</t>
        </is>
      </c>
      <c r="L1506" s="5" t="inlineStr">
        <is>
          <t>NonCritAvg</t>
        </is>
      </c>
      <c r="M1506" s="5" t="inlineStr">
        <is>
          <t>CritAvg</t>
        </is>
      </c>
      <c r="N1506" s="5" t="inlineStr">
        <is>
          <t>ExpectedDamage(perHit)</t>
        </is>
      </c>
      <c r="O1506" s="5" t="inlineStr">
        <is>
          <t>DPS</t>
        </is>
      </c>
      <c r="P1506" s="5" t="inlineStr">
        <is>
          <t>% of Total</t>
        </is>
      </c>
      <c r="R1506" t="inlineStr">
        <is>
          <t>helpers</t>
        </is>
      </c>
    </row>
    <row r="1507">
      <c r="A1507">
        <f>Skills!A2</f>
        <v/>
      </c>
      <c r="B1507">
        <f>Skills!B2</f>
        <v/>
      </c>
      <c r="C1507">
        <f>Inputs!$B$3&gt;=100</f>
        <v/>
      </c>
      <c r="D1507" t="inlineStr"/>
      <c r="E1507" t="inlineStr"/>
      <c r="F1507">
        <f>T1509+Skills!N2</f>
        <v/>
      </c>
      <c r="G1507">
        <f>Calc!G2</f>
        <v/>
      </c>
      <c r="H1507">
        <f>Calc!H2</f>
        <v/>
      </c>
      <c r="I1507">
        <f>IF(Skills!T2&lt;&gt;"",1+(Skills!T2/10)*(Z1508/1000)/100,1)</f>
        <v/>
      </c>
      <c r="J1507">
        <f>((Inputs!$B$6*(1+Inputs!$B$7/100))+(((Inputs!$B$12*(1+Inputs!$B$13/100))-(Inputs!$B$12*(1+Inputs!$B$13/100)))+0.25*(Inputs!$B$14-Inputs!$B$14))*(1+Inputs!$B$7/100))*(F1507/100)</f>
        <v/>
      </c>
      <c r="K1507">
        <f>J1507*(1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2="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1507)</f>
        <v/>
      </c>
      <c r="L1507">
        <f>K1507*(MIN(Inputs!$B$22+(F1523-Calc!F18),(Inputs!$B$23+(IF(ArtifactsInput!$M$15,CHOOSE(ArtifactsInput!$N$15+1,25,30,35,40,45,50)/100*(Inputs!$B$11-Inputs!$B$11),0))))/100+(Inputs!$B$23+(IF(ArtifactsInput!$M$15,CHOOSE(ArtifactsInput!$N$15+1,25,30,35,40,45,50)/100*(Inputs!$B$11-Inputs!$B$11),0)))/100)/2</f>
        <v/>
      </c>
      <c r="M1507">
        <f>L1507*(1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07">
        <f>L1507*(1-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1507*(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07">
        <f>(1-Summary!$B$11)*S1507+Summary!$B$11*U1507</f>
        <v/>
      </c>
      <c r="P1507">
        <f>IF(B1542=0,0,O1507/B1542)</f>
        <v/>
      </c>
      <c r="Q1507">
        <f>IFERROR(1/(IF(Inputs!$B$38="pvp",15,MAX(0.1,Skills!D2-IF(TRUE=TRUE,Inputs!$B$32,0)))*(1-IF(AND(ArtifactsInput!$M$27,Inputs!$B$4="Chapter Hunt"),CHOOSE(ArtifactsInput!$N$27+1,20,24,28,32,36,40),0)/100)),0)</f>
        <v/>
      </c>
      <c r="R1507" t="n">
        <v>0</v>
      </c>
      <c r="S1507">
        <f>IF(C1507,(Skills!F2*N1507*B1538)*IF(Inputs!$B$38="pvp",1,1+(Inputs!$B$20+Skills!O2+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1507*(1-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1507*(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1507*(1-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1507*(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07">
        <f>MAX(0,(Inputs!$B$3-100)*3)+Inputs!$B$28+Inputs!$B$29</f>
        <v/>
      </c>
      <c r="U1507">
        <f>IF(C1507,(Skills!F2*N1507*B1538)*IF(Inputs!$B$38="pvp",1,(1+(Inputs!$B$21+Skills!P2+B1533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07">
        <f>MAX(0,(Inputs!$B$3-100)*3)+Inputs!$B$28+Inputs!$B$29</f>
        <v/>
      </c>
    </row>
    <row r="1508">
      <c r="A1508">
        <f>Skills!A3</f>
        <v/>
      </c>
      <c r="B1508">
        <f>Skills!B3</f>
        <v/>
      </c>
      <c r="C1508">
        <f>Inputs!$B$3&gt;=15</f>
        <v/>
      </c>
      <c r="D1508">
        <f>IF(Skills!C3=1,60+Inputs!$B$25+Inputs!$B$29,IF(Skills!C3=2,90+Inputs!$B$26+Inputs!$B$29,IF(Skills!C3=3,120+Inputs!$B$27+Inputs!$B$29,MAX(0,(Inputs!$B$3-100)*3)+Inputs!$B$28+Inputs!$B$29)))</f>
        <v/>
      </c>
      <c r="E1508">
        <f>INDEX(FactorTable!$B$2:$Y$301, MATCH(ROUND(MIN(300,MAX(1,D1508)),0), FactorTable!$A$2:$A$301,0), Skills!L3+1)</f>
        <v/>
      </c>
      <c r="F1508">
        <f>IF(Skills!M3=TRUE,(Skills!K3/10)*(E1508/1000),Skills!K3/10)+Skills!N3</f>
        <v/>
      </c>
      <c r="G1508">
        <f>Calc!G3</f>
        <v/>
      </c>
      <c r="H1508">
        <f>Calc!H3</f>
        <v/>
      </c>
      <c r="I1508">
        <f>IF(Skills!T3&lt;&gt;"",1+(Skills!T3/10)*(Z1508/1000)/100,1)</f>
        <v/>
      </c>
      <c r="J1508" t="inlineStr"/>
      <c r="K1508" t="inlineStr"/>
      <c r="L1508" t="inlineStr"/>
      <c r="M1508" t="inlineStr"/>
      <c r="N1508" t="inlineStr"/>
      <c r="O1508">
        <f>(1-Summary!$B$11)*S1508+Summary!$B$11*U1508</f>
        <v/>
      </c>
      <c r="P1508">
        <f>IF(B1542=0,0,O1508/B1542)</f>
        <v/>
      </c>
      <c r="Q1508">
        <f>IFERROR(1/(IF(Inputs!$B$38="pvp",15,MAX(0.1,Skills!D3-IF(TRUE=TRUE,Inputs!$B$32,0)))*(1-IF(AND(ArtifactsInput!$M$27,Inputs!$B$4="Chapter Hunt"),CHOOSE(ArtifactsInput!$N$27+1,20,24,28,32,36,40),0)/100)),0)</f>
        <v/>
      </c>
      <c r="R1508">
        <f>IF(AND(Inputs!$B$38&lt;&gt;"pvp",Inputs!$B$43&gt;0),IF(Inputs!$B$43&lt;=0,0,(INT(Inputs!$B$43/(IF(Inputs!$B$38="pvp",15,MAX(0.1,Skills!D3-IF(TRUE=TRUE,Inputs!$B$32,0)))*(1-IF(AND(ArtifactsInput!$M$27,Inputs!$B$4="Chapter Hunt"),CHOOSE(ArtifactsInput!$N$27+1,20,24,28,32,36,40),0)/100)))+1)),0)</f>
        <v/>
      </c>
      <c r="S1508" t="n">
        <v>0</v>
      </c>
      <c r="T1508">
        <f>INDEX(FactorTable!$B$2:$Y$301, MATCH(ROUND(MIN(300,MAX(1,T1507)),0), FactorTable!$A$2:$A$301,0), 22)</f>
        <v/>
      </c>
      <c r="U1508" t="n">
        <v>0</v>
      </c>
      <c r="Z1508">
        <f>INDEX(FactorTable!$B$2:$Y$301, MATCH(ROUND(MIN(300,MAX(1,Z1507)),0), FactorTable!$A$2:$A$301,0), 24)</f>
        <v/>
      </c>
    </row>
    <row r="1509">
      <c r="A1509">
        <f>Skills!A4</f>
        <v/>
      </c>
      <c r="B1509">
        <f>Skills!B4</f>
        <v/>
      </c>
      <c r="C1509">
        <f>Inputs!$B$3&gt;=40</f>
        <v/>
      </c>
      <c r="D1509">
        <f>IF(Skills!C4=1,60+Inputs!$B$25+Inputs!$B$29,IF(Skills!C4=2,90+Inputs!$B$26+Inputs!$B$29,IF(Skills!C4=3,120+Inputs!$B$27+Inputs!$B$29,MAX(0,(Inputs!$B$3-100)*3)+Inputs!$B$28+Inputs!$B$29)))</f>
        <v/>
      </c>
      <c r="E1509">
        <f>INDEX(FactorTable!$B$2:$Y$301, MATCH(ROUND(MIN(300,MAX(1,D1509)),0), FactorTable!$A$2:$A$301,0), Skills!L4+1)</f>
        <v/>
      </c>
      <c r="F1509">
        <f>IF(Skills!M4=TRUE,(Skills!K4/10)*(E1509/1000),Skills!K4/10)+Skills!N4</f>
        <v/>
      </c>
      <c r="G1509">
        <f>Calc!G4</f>
        <v/>
      </c>
      <c r="H1509">
        <f>Calc!H4</f>
        <v/>
      </c>
      <c r="I1509">
        <f>IF(Skills!T4&lt;&gt;"",1+(Skills!T4/10)*(Z1508/1000)/100,1)</f>
        <v/>
      </c>
      <c r="J1509" t="inlineStr"/>
      <c r="K1509" t="inlineStr"/>
      <c r="L1509" t="inlineStr"/>
      <c r="M1509" t="inlineStr"/>
      <c r="N1509" t="inlineStr"/>
      <c r="O1509">
        <f>(1-Summary!$B$11)*S1509+Summary!$B$11*U1509</f>
        <v/>
      </c>
      <c r="P1509">
        <f>IF(B1542=0,0,O1509/B1542)</f>
        <v/>
      </c>
      <c r="Q1509">
        <f>IFERROR(1/(IF(Inputs!$B$38="pvp",15,MAX(0.1,Skills!D4-IF(TRUE=TRUE,Inputs!$B$32,0)))*(1-IF(AND(ArtifactsInput!$M$27,Inputs!$B$4="Chapter Hunt"),CHOOSE(ArtifactsInput!$N$27+1,20,24,28,32,36,40),0)/100)),0)</f>
        <v/>
      </c>
      <c r="R1509">
        <f>IF(AND(Inputs!$B$38&lt;&gt;"pvp",Inputs!$B$43&gt;0),IF(Inputs!$B$43&lt;=0,0,(INT(Inputs!$B$43/(IF(Inputs!$B$38="pvp",15,MAX(0.1,Skills!D4-IF(TRUE=TRUE,Inputs!$B$32,0)))*(1-IF(AND(ArtifactsInput!$M$27,Inputs!$B$4="Chapter Hunt"),CHOOSE(ArtifactsInput!$N$27+1,20,24,28,32,36,40),0)/100)))+1)),0)</f>
        <v/>
      </c>
      <c r="S1509" t="n">
        <v>0</v>
      </c>
      <c r="T1509">
        <f>290*T1508/1000</f>
        <v/>
      </c>
      <c r="U1509" t="n">
        <v>0</v>
      </c>
    </row>
    <row r="1510">
      <c r="A1510">
        <f>Skills!A5</f>
        <v/>
      </c>
      <c r="B1510">
        <f>Skills!B5</f>
        <v/>
      </c>
      <c r="C1510">
        <f>Inputs!$B$3&gt;=38</f>
        <v/>
      </c>
      <c r="D1510">
        <f>IF(Skills!C5=1,60+Inputs!$B$25+Inputs!$B$29,IF(Skills!C5=2,90+Inputs!$B$26+Inputs!$B$29,IF(Skills!C5=3,120+Inputs!$B$27+Inputs!$B$29,MAX(0,(Inputs!$B$3-100)*3)+Inputs!$B$28+Inputs!$B$29)))</f>
        <v/>
      </c>
      <c r="E1510">
        <f>INDEX(FactorTable!$B$2:$Y$301, MATCH(ROUND(MIN(300,MAX(1,D1510)),0), FactorTable!$A$2:$A$301,0), Skills!L5+1)</f>
        <v/>
      </c>
      <c r="F1510">
        <f>IF(Skills!M5=TRUE,(Skills!K5/10)*(E1510/1000),Skills!K5/10)+Skills!N5</f>
        <v/>
      </c>
      <c r="G1510">
        <f>Calc!G5</f>
        <v/>
      </c>
      <c r="H1510">
        <f>Calc!H5</f>
        <v/>
      </c>
      <c r="I1510">
        <f>IF(Skills!T5&lt;&gt;"",1+(Skills!T5/10)*(Z1508/1000)/100,1)</f>
        <v/>
      </c>
      <c r="J1510">
        <f>((Inputs!$B$6*(1+Inputs!$B$7/100))+(((Inputs!$B$12*(1+Inputs!$B$13/100))-(Inputs!$B$12*(1+Inputs!$B$13/100)))+0.25*(Inputs!$B$14-Inputs!$B$14))*(1+Inputs!$B$7/100))*(F1510/100)</f>
        <v/>
      </c>
      <c r="K1510">
        <f>J1510*(1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5="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1510)</f>
        <v/>
      </c>
      <c r="L1510">
        <f>K1510*(MIN(Inputs!$B$22+(F1523-Calc!F18),(Inputs!$B$23+(IF(ArtifactsInput!$M$15,CHOOSE(ArtifactsInput!$N$15+1,25,30,35,40,45,50)/100*(Inputs!$B$11-Inputs!$B$11),0))))/100+(Inputs!$B$23+(IF(ArtifactsInput!$M$15,CHOOSE(ArtifactsInput!$N$15+1,25,30,35,40,45,50)/100*(Inputs!$B$11-Inputs!$B$11),0)))/100)/2</f>
        <v/>
      </c>
      <c r="M1510">
        <f>L1510*(1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0">
        <f>L1510*(1-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1510*(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0">
        <f>(1-Summary!$B$11)*S1510+Summary!$B$11*U1510</f>
        <v/>
      </c>
      <c r="P1510">
        <f>IF(B1542=0,0,O1510/B1542)</f>
        <v/>
      </c>
      <c r="Q1510">
        <f>IFERROR(1/(IF(Inputs!$B$38="pvp",15,MAX(0.1,Skills!D5-IF(TRUE=TRUE,Inputs!$B$32,0)))*(1-IF(AND(ArtifactsInput!$M$27,Inputs!$B$4="Chapter Hunt"),CHOOSE(ArtifactsInput!$N$27+1,20,24,28,32,36,40),0)/100)),0)</f>
        <v/>
      </c>
      <c r="R1510">
        <f>IF(AND(Inputs!$B$38&lt;&gt;"pvp",Inputs!$B$43&gt;0),IF(MAX(0,Inputs!$B$43-B1539)&lt;=0,0,(INT(MAX(0,Inputs!$B$43-B1539)/(IF(Inputs!$B$38="pvp",15,MAX(0.1,Skills!D5-IF(TRUE=TRUE,Inputs!$B$32,0)))*(1-IF(AND(ArtifactsInput!$M$27,Inputs!$B$4="Chapter Hunt"),CHOOSE(ArtifactsInput!$N$27+1,20,24,28,32,36,40),0)/100)))+1)),0)</f>
        <v/>
      </c>
      <c r="S1510">
        <f>IF(C1510,(H1510*N1510*IF(AND(Inputs!$B$38&lt;&gt;"pvp",Inputs!$B$43&gt;0),((Skills!F5*((R1510-1)*IF(Skills!G5&gt;0,Skills!H5/Skills!G5,1)+IF(Skills!G5&gt;0,MIN(Skills!H5,MAX(0,MAX(0,Inputs!$B$43-B1539)-((R1510-1)*(IF(Inputs!$B$38="pvp",15,MAX(0.1,Skills!D5-IF(TRUE=TRUE,Inputs!$B$32,0)))*(1-IF(AND(ArtifactsInput!$M$27,Inputs!$B$4="Chapter Hunt"),CHOOSE(ArtifactsInput!$N$27+1,20,24,28,32,36,40),0)/100)))))/Skills!G5,1)))/Inputs!$B$43),G1510*Q1510))*IF(Inputs!$B$38="pvp",1,1+(Inputs!$B$20+Skills!O5+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1510*(1-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1510*(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1510*(1-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1510*(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0">
        <f>IF(C1510,(H1510*N1510*IF(AND(Inputs!$B$38&lt;&gt;"pvp",Inputs!$B$43&gt;0),((Skills!F5*((R1510-1)*IF(Skills!G5&gt;0,Skills!H5/Skills!G5,1)+IF(Skills!G5&gt;0,MIN(Skills!H5,MAX(0,MAX(0,Inputs!$B$43-B1539)-((R1510-1)*(IF(Inputs!$B$38="pvp",15,MAX(0.1,Skills!D5-IF(TRUE=TRUE,Inputs!$B$32,0)))*(1-IF(AND(ArtifactsInput!$M$27,Inputs!$B$4="Chapter Hunt"),CHOOSE(ArtifactsInput!$N$27+1,20,24,28,32,36,40),0)/100)))))/Skills!G5,1)))/Inputs!$B$43),G1510*Q1510))*IF(Inputs!$B$38="pvp",1,(1+(Inputs!$B$21+Skills!P5+B1533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1">
      <c r="A1511">
        <f>Skills!A6</f>
        <v/>
      </c>
      <c r="B1511">
        <f>Skills!B6</f>
        <v/>
      </c>
      <c r="C1511">
        <f>Inputs!$B$3&gt;=63</f>
        <v/>
      </c>
      <c r="D1511">
        <f>IF(Skills!C6=1,60+Inputs!$B$25+Inputs!$B$29,IF(Skills!C6=2,90+Inputs!$B$26+Inputs!$B$29,IF(Skills!C6=3,120+Inputs!$B$27+Inputs!$B$29,MAX(0,(Inputs!$B$3-100)*3)+Inputs!$B$28+Inputs!$B$29)))</f>
        <v/>
      </c>
      <c r="E1511">
        <f>INDEX(FactorTable!$B$2:$Y$301, MATCH(ROUND(MIN(300,MAX(1,D1511)),0), FactorTable!$A$2:$A$301,0), Skills!L6+1)</f>
        <v/>
      </c>
      <c r="F1511">
        <f>IF(Skills!M6=TRUE,(Skills!K6/10)*(E1511/1000),Skills!K6/10)+Skills!N6</f>
        <v/>
      </c>
      <c r="G1511">
        <f>Calc!G6</f>
        <v/>
      </c>
      <c r="H1511">
        <f>Calc!H6</f>
        <v/>
      </c>
      <c r="I1511">
        <f>IF(Skills!T6&lt;&gt;"",1+(Skills!T6/10)*(Z1508/1000)/100,1)</f>
        <v/>
      </c>
      <c r="J1511">
        <f>((Inputs!$B$6*(1+Inputs!$B$7/100))+(((Inputs!$B$12*(1+Inputs!$B$13/100))-(Inputs!$B$12*(1+Inputs!$B$13/100)))+0.25*(Inputs!$B$14-Inputs!$B$14))*(1+Inputs!$B$7/100))*(F1511/100)</f>
        <v/>
      </c>
      <c r="K1511">
        <f>J1511*(1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6="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1511)</f>
        <v/>
      </c>
      <c r="L1511">
        <f>K1511*(MIN(Inputs!$B$22+(F1523-Calc!F18),(Inputs!$B$23+(IF(ArtifactsInput!$M$15,CHOOSE(ArtifactsInput!$N$15+1,25,30,35,40,45,50)/100*(Inputs!$B$11-Inputs!$B$11),0))))/100+(Inputs!$B$23+(IF(ArtifactsInput!$M$15,CHOOSE(ArtifactsInput!$N$15+1,25,30,35,40,45,50)/100*(Inputs!$B$11-Inputs!$B$11),0)))/100)/2</f>
        <v/>
      </c>
      <c r="M1511">
        <f>L1511*(1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1">
        <f>L1511*(1-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1">
        <f>(1-Summary!$B$11)*S1511+Summary!$B$11*U1511</f>
        <v/>
      </c>
      <c r="P1511">
        <f>IF(B1542=0,0,O1511/B1542)</f>
        <v/>
      </c>
      <c r="Q1511">
        <f>IFERROR(1/(IF(Inputs!$B$38="pvp",15,MAX(0.1,Skills!D6-IF(TRUE=TRUE,Inputs!$B$32,0)))*(1-IF(AND(ArtifactsInput!$M$27,Inputs!$B$4="Chapter Hunt"),CHOOSE(ArtifactsInput!$N$27+1,20,24,28,32,36,40),0)/100)),0)</f>
        <v/>
      </c>
      <c r="R1511">
        <f>IF(AND(Inputs!$B$38&lt;&gt;"pvp",Inputs!$B$43&gt;0),IF(MAX(0,Inputs!$B$43-B1539)&lt;=0,0,(INT(MAX(0,Inputs!$B$43-B1539)/(IF(Inputs!$B$38="pvp",15,MAX(0.1,Skills!D6-IF(TRUE=TRUE,Inputs!$B$32,0)))*(1-IF(AND(ArtifactsInput!$M$27,Inputs!$B$4="Chapter Hunt"),CHOOSE(ArtifactsInput!$N$27+1,20,24,28,32,36,40),0)/100)))+1)),0)</f>
        <v/>
      </c>
      <c r="S1511">
        <f>IF(C1511,(H1511*N1511*IF(AND(Inputs!$B$38&lt;&gt;"pvp",Inputs!$B$43&gt;0),((Skills!F6*((R1511-1)*IF(Skills!G6&gt;0,Skills!H6/Skills!G6,1)+IF(Skills!G6&gt;0,MIN(Skills!H6,MAX(0,MAX(0,Inputs!$B$43-B1539)-((R1511-1)*(IF(Inputs!$B$38="pvp",15,MAX(0.1,Skills!D6-IF(TRUE=TRUE,Inputs!$B$32,0)))*(1-IF(AND(ArtifactsInput!$M$27,Inputs!$B$4="Chapter Hunt"),CHOOSE(ArtifactsInput!$N$27+1,20,24,28,32,36,40),0)/100)))))/Skills!G6,1)))/Inputs!$B$43),G1511*Q1511))*IF(Inputs!$B$38="pvp",1,1+(Inputs!$B$20+Skills!O6+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1511*(1-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1511*(1-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1">
        <f>IF(C1511,(H1511*N1511*IF(AND(Inputs!$B$38&lt;&gt;"pvp",Inputs!$B$43&gt;0),((Skills!F6*((R1511-1)*IF(Skills!G6&gt;0,Skills!H6/Skills!G6,1)+IF(Skills!G6&gt;0,MIN(Skills!H6,MAX(0,MAX(0,Inputs!$B$43-B1539)-((R1511-1)*(IF(Inputs!$B$38="pvp",15,MAX(0.1,Skills!D6-IF(TRUE=TRUE,Inputs!$B$32,0)))*(1-IF(AND(ArtifactsInput!$M$27,Inputs!$B$4="Chapter Hunt"),CHOOSE(ArtifactsInput!$N$27+1,20,24,28,32,36,40),0)/100)))))/Skills!G6,1)))/Inputs!$B$43),G1511*Q1511))*IF(Inputs!$B$38="pvp",1,(1+(Inputs!$B$21+Skills!P6+B1533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2">
      <c r="A1512">
        <f>Skills!A7</f>
        <v/>
      </c>
      <c r="B1512">
        <f>Skills!B7</f>
        <v/>
      </c>
      <c r="C1512">
        <f>Inputs!$B$3&gt;=69</f>
        <v/>
      </c>
      <c r="D1512">
        <f>IF(Skills!C7=1,60+Inputs!$B$25+Inputs!$B$29,IF(Skills!C7=2,90+Inputs!$B$26+Inputs!$B$29,IF(Skills!C7=3,120+Inputs!$B$27+Inputs!$B$29,MAX(0,(Inputs!$B$3-100)*3)+Inputs!$B$28+Inputs!$B$29)))</f>
        <v/>
      </c>
      <c r="E1512">
        <f>INDEX(FactorTable!$B$2:$Y$301, MATCH(ROUND(MIN(300,MAX(1,D1512)),0), FactorTable!$A$2:$A$301,0), Skills!L7+1)</f>
        <v/>
      </c>
      <c r="F1512">
        <f>IF(Skills!M7=TRUE,(Skills!K7/10)*(E1512/1000),Skills!K7/10)+Skills!N7</f>
        <v/>
      </c>
      <c r="G1512">
        <f>Calc!G7</f>
        <v/>
      </c>
      <c r="H1512">
        <f>Calc!H7</f>
        <v/>
      </c>
      <c r="I1512">
        <f>IF(Skills!T7&lt;&gt;"",1+(Skills!T7/10)*(Z1508/1000)/100,1)</f>
        <v/>
      </c>
      <c r="J1512">
        <f>((Inputs!$B$6*(1+Inputs!$B$7/100))+(((Inputs!$B$12*(1+Inputs!$B$13/100))-(Inputs!$B$12*(1+Inputs!$B$13/100)))+0.25*(Inputs!$B$14-Inputs!$B$14))*(1+Inputs!$B$7/100))*(F1512/100)</f>
        <v/>
      </c>
      <c r="K1512">
        <f>J1512*(1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7="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1512)</f>
        <v/>
      </c>
      <c r="L1512">
        <f>K1512*(MIN(Inputs!$B$22+(F1523-Calc!F18),(Inputs!$B$23+(IF(ArtifactsInput!$M$15,CHOOSE(ArtifactsInput!$N$15+1,25,30,35,40,45,50)/100*(Inputs!$B$11-Inputs!$B$11),0))))/100+(Inputs!$B$23+(IF(ArtifactsInput!$M$15,CHOOSE(ArtifactsInput!$N$15+1,25,30,35,40,45,50)/100*(Inputs!$B$11-Inputs!$B$11),0)))/100)/2</f>
        <v/>
      </c>
      <c r="M1512">
        <f>L1512*(1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2">
        <f>L1512*(1-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1512*(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2">
        <f>(1-Summary!$B$11)*S1512+Summary!$B$11*U1512</f>
        <v/>
      </c>
      <c r="P1512">
        <f>IF(B1542=0,0,O1512/B1542)</f>
        <v/>
      </c>
      <c r="Q1512">
        <f>IFERROR(1/(IF(Inputs!$B$38="pvp",15,MAX(0.1,Skills!D7-IF(TRUE=TRUE,Inputs!$B$32,0)))*(1-IF(AND(ArtifactsInput!$M$27,Inputs!$B$4="Chapter Hunt"),CHOOSE(ArtifactsInput!$N$27+1,20,24,28,32,36,40),0)/100)),0)</f>
        <v/>
      </c>
      <c r="R1512">
        <f>IF(AND(Inputs!$B$38&lt;&gt;"pvp",Inputs!$B$43&gt;0),IF(MAX(0,Inputs!$B$43-B1539)&lt;=0,0,(INT(MAX(0,Inputs!$B$43-B1539)/(IF(Inputs!$B$38="pvp",15,MAX(0.1,Skills!D7-IF(TRUE=TRUE,Inputs!$B$32,0)))*(1-IF(AND(ArtifactsInput!$M$27,Inputs!$B$4="Chapter Hunt"),CHOOSE(ArtifactsInput!$N$27+1,20,24,28,32,36,40),0)/100)))+1)),0)</f>
        <v/>
      </c>
      <c r="S1512">
        <f>IF(C1512,(H1512*N1512*IF(AND(Inputs!$B$38&lt;&gt;"pvp",Inputs!$B$43&gt;0),((Skills!F7*((R1512-1)*IF(Skills!G7&gt;0,Skills!H7/Skills!G7,1)+IF(Skills!G7&gt;0,MIN(Skills!H7,MAX(0,MAX(0,Inputs!$B$43-B1539)-((R1512-1)*(IF(Inputs!$B$38="pvp",15,MAX(0.1,Skills!D7-IF(TRUE=TRUE,Inputs!$B$32,0)))*(1-IF(AND(ArtifactsInput!$M$27,Inputs!$B$4="Chapter Hunt"),CHOOSE(ArtifactsInput!$N$27+1,20,24,28,32,36,40),0)/100)))))/Skills!G7,1)))/Inputs!$B$43),G1512*Q1512))*IF(Inputs!$B$38="pvp",1,1+(Inputs!$B$20+Skills!O7+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1512*(1-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1512*(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1512*(1-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1512*(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2">
        <f>IF(C1512,(H1512*N1512*IF(AND(Inputs!$B$38&lt;&gt;"pvp",Inputs!$B$43&gt;0),((Skills!F7*((R1512-1)*IF(Skills!G7&gt;0,Skills!H7/Skills!G7,1)+IF(Skills!G7&gt;0,MIN(Skills!H7,MAX(0,MAX(0,Inputs!$B$43-B1539)-((R1512-1)*(IF(Inputs!$B$38="pvp",15,MAX(0.1,Skills!D7-IF(TRUE=TRUE,Inputs!$B$32,0)))*(1-IF(AND(ArtifactsInput!$M$27,Inputs!$B$4="Chapter Hunt"),CHOOSE(ArtifactsInput!$N$27+1,20,24,28,32,36,40),0)/100)))))/Skills!G7,1)))/Inputs!$B$43),G1512*Q1512))*IF(Inputs!$B$38="pvp",1,(1+(Inputs!$B$21+Skills!P7+B1533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3">
      <c r="A1513">
        <f>Skills!A8</f>
        <v/>
      </c>
      <c r="B1513">
        <f>Skills!B8</f>
        <v/>
      </c>
      <c r="C1513">
        <f>Inputs!$B$3&gt;=103</f>
        <v/>
      </c>
      <c r="D1513">
        <f>IF(Skills!C8=1,60+Inputs!$B$25+Inputs!$B$29,IF(Skills!C8=2,90+Inputs!$B$26+Inputs!$B$29,IF(Skills!C8=3,120+Inputs!$B$27+Inputs!$B$29,MAX(0,(Inputs!$B$3-100)*3)+Inputs!$B$28+Inputs!$B$29)))</f>
        <v/>
      </c>
      <c r="E1513">
        <f>INDEX(FactorTable!$B$2:$Y$301, MATCH(ROUND(MIN(300,MAX(1,D1513)),0), FactorTable!$A$2:$A$301,0), Skills!L8+1)</f>
        <v/>
      </c>
      <c r="F1513">
        <f>IF(Skills!M8=TRUE,(Skills!K8/10)*(E1513/1000),Skills!K8/10)+Skills!N8</f>
        <v/>
      </c>
      <c r="G1513">
        <f>Calc!G8</f>
        <v/>
      </c>
      <c r="H1513">
        <f>Calc!H8</f>
        <v/>
      </c>
      <c r="I1513">
        <f>IF(Skills!T8&lt;&gt;"",1+(Skills!T8/10)*(Z1508/1000)/100,1)</f>
        <v/>
      </c>
      <c r="J1513">
        <f>((Inputs!$B$6*(1+Inputs!$B$7/100))+(((Inputs!$B$12*(1+Inputs!$B$13/100))-(Inputs!$B$12*(1+Inputs!$B$13/100)))+0.25*(Inputs!$B$14-Inputs!$B$14))*(1+Inputs!$B$7/100))*(F1513/100)</f>
        <v/>
      </c>
      <c r="K1513">
        <f>J1513*(1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8="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1513)</f>
        <v/>
      </c>
      <c r="L1513">
        <f>K1513*(MIN(Inputs!$B$22+(F1523-Calc!F18),(Inputs!$B$23+(IF(ArtifactsInput!$M$15,CHOOSE(ArtifactsInput!$N$15+1,25,30,35,40,45,50)/100*(Inputs!$B$11-Inputs!$B$11),0))))/100+(Inputs!$B$23+(IF(ArtifactsInput!$M$15,CHOOSE(ArtifactsInput!$N$15+1,25,30,35,40,45,50)/100*(Inputs!$B$11-Inputs!$B$11),0)))/100)/2</f>
        <v/>
      </c>
      <c r="M1513">
        <f>L1513*(1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3">
        <f>L1513*(1-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1513*(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3">
        <f>(1-Summary!$B$11)*S1513+Summary!$B$11*U1513</f>
        <v/>
      </c>
      <c r="P1513">
        <f>IF(B1542=0,0,O1513/B1542)</f>
        <v/>
      </c>
      <c r="Q1513">
        <f>IFERROR(1/(IF(Inputs!$B$38="pvp",15,MAX(0.1,Skills!D8-IF(TRUE=TRUE,Inputs!$B$32,0)))*(1-IF(AND(ArtifactsInput!$M$27,Inputs!$B$4="Chapter Hunt"),CHOOSE(ArtifactsInput!$N$27+1,20,24,28,32,36,40),0)/100)),0)</f>
        <v/>
      </c>
      <c r="R1513">
        <f>IF(AND(Inputs!$B$38&lt;&gt;"pvp",Inputs!$B$43&gt;0),IF(MAX(0,Inputs!$B$43-B1539)&lt;=0,0,(INT(MAX(0,Inputs!$B$43-B1539)/(IF(Inputs!$B$38="pvp",15,MAX(0.1,Skills!D8-IF(TRUE=TRUE,Inputs!$B$32,0)))*(1-IF(AND(ArtifactsInput!$M$27,Inputs!$B$4="Chapter Hunt"),CHOOSE(ArtifactsInput!$N$27+1,20,24,28,32,36,40),0)/100)))+1)),0)</f>
        <v/>
      </c>
      <c r="S1513">
        <f>IF(C1513,(H1513*N1513*IF(AND(Inputs!$B$38&lt;&gt;"pvp",Inputs!$B$43&gt;0),((Skills!F8*((R1513-1)*IF(Skills!G8&gt;0,Skills!H8/Skills!G8,1)+IF(Skills!G8&gt;0,MIN(Skills!H8,MAX(0,MAX(0,Inputs!$B$43-B1539)-((R1513-1)*(IF(Inputs!$B$38="pvp",15,MAX(0.1,Skills!D8-IF(TRUE=TRUE,Inputs!$B$32,0)))*(1-IF(AND(ArtifactsInput!$M$27,Inputs!$B$4="Chapter Hunt"),CHOOSE(ArtifactsInput!$N$27+1,20,24,28,32,36,40),0)/100)))))/Skills!G8,1)))/Inputs!$B$43),G1513*Q1513))*IF(Inputs!$B$38="pvp",1,1+(Inputs!$B$20+Skills!O8+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1513*(1-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1513*(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1513*(1-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1513*(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3">
        <f>IF(C1513,(H1513*N1513*IF(AND(Inputs!$B$38&lt;&gt;"pvp",Inputs!$B$43&gt;0),((Skills!F8*((R1513-1)*IF(Skills!G8&gt;0,Skills!H8/Skills!G8,1)+IF(Skills!G8&gt;0,MIN(Skills!H8,MAX(0,MAX(0,Inputs!$B$43-B1539)-((R1513-1)*(IF(Inputs!$B$38="pvp",15,MAX(0.1,Skills!D8-IF(TRUE=TRUE,Inputs!$B$32,0)))*(1-IF(AND(ArtifactsInput!$M$27,Inputs!$B$4="Chapter Hunt"),CHOOSE(ArtifactsInput!$N$27+1,20,24,28,32,36,40),0)/100)))))/Skills!G8,1)))/Inputs!$B$43),G1513*Q1513))*IF(Inputs!$B$38="pvp",1,(1+(Inputs!$B$21+Skills!P8+B1533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4">
      <c r="A1514">
        <f>Skills!A9</f>
        <v/>
      </c>
      <c r="B1514">
        <f>Skills!B9</f>
        <v/>
      </c>
      <c r="C1514">
        <f>Inputs!$B$3&gt;=105</f>
        <v/>
      </c>
      <c r="D1514">
        <f>IF(Skills!C9=1,60+Inputs!$B$25+Inputs!$B$29,IF(Skills!C9=2,90+Inputs!$B$26+Inputs!$B$29,IF(Skills!C9=3,120+Inputs!$B$27+Inputs!$B$29,MAX(0,(Inputs!$B$3-100)*3)+Inputs!$B$28+Inputs!$B$29)))</f>
        <v/>
      </c>
      <c r="E1514">
        <f>INDEX(FactorTable!$B$2:$Y$301, MATCH(ROUND(MIN(300,MAX(1,D1514)),0), FactorTable!$A$2:$A$301,0), Skills!L9+1)</f>
        <v/>
      </c>
      <c r="F1514">
        <f>IF(Skills!M9=TRUE,(Skills!K9/10)*(E1514/1000),Skills!K9/10)+Skills!N9</f>
        <v/>
      </c>
      <c r="G1514">
        <f>Calc!G9</f>
        <v/>
      </c>
      <c r="H1514">
        <f>Calc!H9</f>
        <v/>
      </c>
      <c r="I1514">
        <f>IF(Skills!T9&lt;&gt;"",1+(Skills!T9/10)*(Z1508/1000)/100,1)</f>
        <v/>
      </c>
      <c r="J1514">
        <f>((Inputs!$B$6*(1+Inputs!$B$7/100))+(((Inputs!$B$12*(1+Inputs!$B$13/100))-(Inputs!$B$12*(1+Inputs!$B$13/100)))+0.25*(Inputs!$B$14-Inputs!$B$14))*(1+Inputs!$B$7/100))*(F1514/100)</f>
        <v/>
      </c>
      <c r="K1514">
        <f>J1514*(1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9="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1514)</f>
        <v/>
      </c>
      <c r="L1514">
        <f>K1514*(MIN(Inputs!$B$22+(F1523-Calc!F18),(Inputs!$B$23+(IF(ArtifactsInput!$M$15,CHOOSE(ArtifactsInput!$N$15+1,25,30,35,40,45,50)/100*(Inputs!$B$11-Inputs!$B$11),0))))/100+(Inputs!$B$23+(IF(ArtifactsInput!$M$15,CHOOSE(ArtifactsInput!$N$15+1,25,30,35,40,45,50)/100*(Inputs!$B$11-Inputs!$B$11),0)))/100)/2</f>
        <v/>
      </c>
      <c r="M1514">
        <f>L1514*(1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4">
        <f>L1514*(1-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1514*(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4">
        <f>(1-Summary!$B$11)*S1514+Summary!$B$11*U1514</f>
        <v/>
      </c>
      <c r="P1514">
        <f>IF(B1542=0,0,O1514/B1542)</f>
        <v/>
      </c>
      <c r="Q1514">
        <f>IFERROR(1/(IF(Inputs!$B$38="pvp",15,MAX(0.1,Skills!D9-IF(TRUE=TRUE,Inputs!$B$32,0)))*(1-IF(AND(ArtifactsInput!$M$27,Inputs!$B$4="Chapter Hunt"),CHOOSE(ArtifactsInput!$N$27+1,20,24,28,32,36,40),0)/100)),0)</f>
        <v/>
      </c>
      <c r="R1514">
        <f>IF(AND(Inputs!$B$38&lt;&gt;"pvp",Inputs!$B$43&gt;0),IF(MAX(0,Inputs!$B$43-B1539)&lt;=0,0,(INT(MAX(0,Inputs!$B$43-B1539)/(IF(Inputs!$B$38="pvp",15,MAX(0.1,Skills!D9-IF(TRUE=TRUE,Inputs!$B$32,0)))*(1-IF(AND(ArtifactsInput!$M$27,Inputs!$B$4="Chapter Hunt"),CHOOSE(ArtifactsInput!$N$27+1,20,24,28,32,36,40),0)/100)))+1)),0)</f>
        <v/>
      </c>
      <c r="S1514">
        <f>IF(C1514,(H1514*N1514*IF(AND(Inputs!$B$38&lt;&gt;"pvp",Inputs!$B$43&gt;0),((Skills!F9*((R1514-1)*IF(Skills!G9&gt;0,Skills!H9/Skills!G9,1)+IF(Skills!G9&gt;0,MIN(Skills!H9,MAX(0,MAX(0,Inputs!$B$43-B1539)-((R1514-1)*(IF(Inputs!$B$38="pvp",15,MAX(0.1,Skills!D9-IF(TRUE=TRUE,Inputs!$B$32,0)))*(1-IF(AND(ArtifactsInput!$M$27,Inputs!$B$4="Chapter Hunt"),CHOOSE(ArtifactsInput!$N$27+1,20,24,28,32,36,40),0)/100)))))/Skills!G9,1)))/Inputs!$B$43),G1514*Q1514))*IF(Inputs!$B$38="pvp",1,1+(Inputs!$B$20+Skills!O9+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1514*(1-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1514*(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1514*(1-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1514*(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4">
        <f>IF(C1514,(H1514*N1514*IF(AND(Inputs!$B$38&lt;&gt;"pvp",Inputs!$B$43&gt;0),((Skills!F9*((R1514-1)*IF(Skills!G9&gt;0,Skills!H9/Skills!G9,1)+IF(Skills!G9&gt;0,MIN(Skills!H9,MAX(0,MAX(0,Inputs!$B$43-B1539)-((R1514-1)*(IF(Inputs!$B$38="pvp",15,MAX(0.1,Skills!D9-IF(TRUE=TRUE,Inputs!$B$32,0)))*(1-IF(AND(ArtifactsInput!$M$27,Inputs!$B$4="Chapter Hunt"),CHOOSE(ArtifactsInput!$N$27+1,20,24,28,32,36,40),0)/100)))))/Skills!G9,1)))/Inputs!$B$43),G1514*Q1514))*IF(Inputs!$B$38="pvp",1,(1+(Inputs!$B$21+Skills!P9+B1533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5">
      <c r="A1515">
        <f>Skills!A10</f>
        <v/>
      </c>
      <c r="B1515">
        <f>Skills!B10</f>
        <v/>
      </c>
      <c r="C1515">
        <f>Inputs!$B$3&gt;=113</f>
        <v/>
      </c>
      <c r="D1515">
        <f>IF(Skills!C10=1,60+Inputs!$B$25+Inputs!$B$29,IF(Skills!C10=2,90+Inputs!$B$26+Inputs!$B$29,IF(Skills!C10=3,120+Inputs!$B$27+Inputs!$B$29,MAX(0,(Inputs!$B$3-100)*3)+Inputs!$B$28+Inputs!$B$29)))</f>
        <v/>
      </c>
      <c r="E1515">
        <f>INDEX(FactorTable!$B$2:$Y$301, MATCH(ROUND(MIN(300,MAX(1,D1515)),0), FactorTable!$A$2:$A$301,0), Skills!L10+1)</f>
        <v/>
      </c>
      <c r="F1515">
        <f>IF(Skills!M10=TRUE,(Skills!K10/10)*(E1515/1000),Skills!K10/10)+Skills!N10</f>
        <v/>
      </c>
      <c r="G1515">
        <f>Calc!G10</f>
        <v/>
      </c>
      <c r="H1515">
        <f>Calc!H10</f>
        <v/>
      </c>
      <c r="I1515">
        <f>IF(Skills!T10&lt;&gt;"",1+(Skills!T10/10)*(Z1508/1000)/100,1)</f>
        <v/>
      </c>
      <c r="J1515">
        <f>((Inputs!$B$6*(1+Inputs!$B$7/100))+(((Inputs!$B$12*(1+Inputs!$B$13/100))-(Inputs!$B$12*(1+Inputs!$B$13/100)))+0.25*(Inputs!$B$14-Inputs!$B$14))*(1+Inputs!$B$7/100))*(F1515/100)</f>
        <v/>
      </c>
      <c r="K1515">
        <f>J1515*(1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10="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1515)</f>
        <v/>
      </c>
      <c r="L1515">
        <f>K1515*(MIN(Inputs!$B$22+(F1523-Calc!F18),(Inputs!$B$23+(IF(ArtifactsInput!$M$15,CHOOSE(ArtifactsInput!$N$15+1,25,30,35,40,45,50)/100*(Inputs!$B$11-Inputs!$B$11),0))))/100+(Inputs!$B$23+(IF(ArtifactsInput!$M$15,CHOOSE(ArtifactsInput!$N$15+1,25,30,35,40,45,50)/100*(Inputs!$B$11-Inputs!$B$11),0)))/100)/2</f>
        <v/>
      </c>
      <c r="M1515">
        <f>L1515*(1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5">
        <f>L1515*(1-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1515*(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5">
        <f>(1-Summary!$B$11)*S1515+Summary!$B$11*U1515</f>
        <v/>
      </c>
      <c r="P1515">
        <f>IF(B1542=0,0,O1515/B1542)</f>
        <v/>
      </c>
      <c r="Q1515">
        <f>IFERROR(1/(IF(Inputs!$B$38="pvp",15,MAX(0.1,Skills!D10-IF(TRUE=TRUE,Inputs!$B$32,0)))*(1-IF(AND(ArtifactsInput!$M$27,Inputs!$B$4="Chapter Hunt"),CHOOSE(ArtifactsInput!$N$27+1,20,24,28,32,36,40),0)/100)),0)</f>
        <v/>
      </c>
      <c r="R1515" t="n">
        <v>0</v>
      </c>
      <c r="S1515">
        <f>IF(C1515,((H1515*B1543)/(1+Skills!G10*H1515*B1543)*N1515)*IF(Inputs!$B$38="pvp",1,1+(Inputs!$B$20+Skills!O10+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1515*(1-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1515*(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1515*(1-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1515*(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5">
        <f>IF(C1515,((H1515*B1543)/(1+Skills!G10*H1515*B1543)*N1515)*IF(Inputs!$B$38="pvp",1,(1+(Inputs!$B$21+Skills!P10+B1533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6">
      <c r="A1516">
        <f>Skills!A11</f>
        <v/>
      </c>
      <c r="B1516">
        <f>Skills!B11</f>
        <v/>
      </c>
      <c r="C1516">
        <f>Inputs!$B$3&gt;=107</f>
        <v/>
      </c>
      <c r="D1516">
        <f>IF(Skills!C11=1,60+Inputs!$B$25+Inputs!$B$29,IF(Skills!C11=2,90+Inputs!$B$26+Inputs!$B$29,IF(Skills!C11=3,120+Inputs!$B$27+Inputs!$B$29,MAX(0,(Inputs!$B$3-100)*3)+Inputs!$B$28+Inputs!$B$29)))</f>
        <v/>
      </c>
      <c r="E1516">
        <f>INDEX(FactorTable!$B$2:$Y$301, MATCH(ROUND(MIN(300,MAX(1,D1516)),0), FactorTable!$A$2:$A$301,0), Skills!L11+1)</f>
        <v/>
      </c>
      <c r="F1516">
        <f>IF(Skills!M11=TRUE,(Skills!K11/10)*(E1516/1000),Skills!K11/10)+Skills!N11</f>
        <v/>
      </c>
      <c r="G1516">
        <f>Calc!G11</f>
        <v/>
      </c>
      <c r="H1516">
        <f>Calc!H11</f>
        <v/>
      </c>
      <c r="I1516">
        <f>IF(Skills!T11&lt;&gt;"",1+(Skills!T11/10)*(Z1508/1000)/100,1)</f>
        <v/>
      </c>
      <c r="J1516">
        <f>((Inputs!$B$6*(1+Inputs!$B$7/100))+(((Inputs!$B$12*(1+Inputs!$B$13/100))-(Inputs!$B$12*(1+Inputs!$B$13/100)))+0.25*(Inputs!$B$14-Inputs!$B$14))*(1+Inputs!$B$7/100))*(F1516/100)</f>
        <v/>
      </c>
      <c r="K1516">
        <f>J1516*(1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11="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1516)</f>
        <v/>
      </c>
      <c r="L1516">
        <f>K1516*(MIN(Inputs!$B$22+(F1523-Calc!F18),(Inputs!$B$23+(IF(ArtifactsInput!$M$15,CHOOSE(ArtifactsInput!$N$15+1,25,30,35,40,45,50)/100*(Inputs!$B$11-Inputs!$B$11),0))))/100+(Inputs!$B$23+(IF(ArtifactsInput!$M$15,CHOOSE(ArtifactsInput!$N$15+1,25,30,35,40,45,50)/100*(Inputs!$B$11-Inputs!$B$11),0)))/100)/2</f>
        <v/>
      </c>
      <c r="M1516">
        <f>L1516*(1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6">
        <f>L1516*(1-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1516*(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6">
        <f>(1-Summary!$B$11)*S1516+Summary!$B$11*U1516</f>
        <v/>
      </c>
      <c r="P1516">
        <f>IF(B1542=0,0,O1516/B1542)</f>
        <v/>
      </c>
      <c r="Q1516">
        <f>IFERROR(1/(IF(Inputs!$B$38="pvp",15,MAX(0.1,Skills!D11-IF(TRUE=TRUE,Inputs!$B$32,0)))*(1-IF(AND(ArtifactsInput!$M$27,Inputs!$B$4="Chapter Hunt"),CHOOSE(ArtifactsInput!$N$27+1,20,24,28,32,36,40),0)/100)),0)</f>
        <v/>
      </c>
      <c r="R1516">
        <f>IF(AND(Inputs!$B$38&lt;&gt;"pvp",Inputs!$B$43&gt;0),IF(MAX(0,Inputs!$B$43-B1539)&lt;=0,0,(INT(MAX(0,Inputs!$B$43-B1539)/(IF(Inputs!$B$38="pvp",15,MAX(0.1,Skills!D11-IF(TRUE=TRUE,Inputs!$B$32,0)))*(1-IF(AND(ArtifactsInput!$M$27,Inputs!$B$4="Chapter Hunt"),CHOOSE(ArtifactsInput!$N$27+1,20,24,28,32,36,40),0)/100)))+1)),0)</f>
        <v/>
      </c>
      <c r="S1516">
        <f>IF(C1516,H1516*N1516*IF(AND(Inputs!$B$38&lt;&gt;"pvp",Inputs!$B$43&gt;0),((Skills!F11*((R1516-1)*IF(Skills!G11&gt;0,Skills!H11/Skills!G11,1)+IF(Skills!G11&gt;0,MIN(Skills!H11,MAX(0,MAX(0,Inputs!$B$43-B1539)-((R1516-1)*(IF(Inputs!$B$38="pvp",15,MAX(0.1,Skills!D11-IF(TRUE=TRUE,Inputs!$B$32,0)))*(1-IF(AND(ArtifactsInput!$M$27,Inputs!$B$4="Chapter Hunt"),CHOOSE(ArtifactsInput!$N$27+1,20,24,28,32,36,40),0)/100)))))/Skills!G11,1)))/Inputs!$B$43),G1516*Q1516)*0.5*IF(Inputs!$B$38="pvp",1,1+(Inputs!$B$20+Skills!O11+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1516*(1-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1516*(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1516*(1-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1516*(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6">
        <f>IF(C1516,H1516*N1516*IF(AND(Inputs!$B$38&lt;&gt;"pvp",Inputs!$B$43&gt;0),((Skills!F11*((R1516-1)*IF(Skills!G11&gt;0,Skills!H11/Skills!G11,1)+IF(Skills!G11&gt;0,MIN(Skills!H11,MAX(0,MAX(0,Inputs!$B$43-B1539)-((R1516-1)*(IF(Inputs!$B$38="pvp",15,MAX(0.1,Skills!D11-IF(TRUE=TRUE,Inputs!$B$32,0)))*(1-IF(AND(ArtifactsInput!$M$27,Inputs!$B$4="Chapter Hunt"),CHOOSE(ArtifactsInput!$N$27+1,20,24,28,32,36,40),0)/100)))))/Skills!G11,1)))/Inputs!$B$43),G1516*Q1516)*1*IF(Inputs!$B$38="pvp",1,(1+(Inputs!$B$21+Skills!P11+B1533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7">
      <c r="A1517">
        <f>Skills!A12</f>
        <v/>
      </c>
      <c r="B1517">
        <f>Skills!B12</f>
        <v/>
      </c>
      <c r="C1517">
        <f>Inputs!$B$3&gt;=115</f>
        <v/>
      </c>
      <c r="D1517">
        <f>IF(Skills!C12=1,60+Inputs!$B$25+Inputs!$B$29,IF(Skills!C12=2,90+Inputs!$B$26+Inputs!$B$29,IF(Skills!C12=3,120+Inputs!$B$27+Inputs!$B$29,MAX(0,(Inputs!$B$3-100)*3)+Inputs!$B$28+Inputs!$B$29)))</f>
        <v/>
      </c>
      <c r="E1517">
        <f>INDEX(FactorTable!$B$2:$Y$301, MATCH(ROUND(MIN(300,MAX(1,D1517)),0), FactorTable!$A$2:$A$301,0), Skills!L12+1)</f>
        <v/>
      </c>
      <c r="F1517">
        <f>IF(Skills!M12=TRUE,(Skills!K12/10)*(E1517/1000),Skills!K12/10)+Skills!N12</f>
        <v/>
      </c>
      <c r="G1517">
        <f>Calc!G12</f>
        <v/>
      </c>
      <c r="H1517">
        <f>Calc!H12</f>
        <v/>
      </c>
      <c r="I1517">
        <f>IF(Skills!T12&lt;&gt;"",1+(Skills!T12/10)*(Z1508/1000)/100,1)</f>
        <v/>
      </c>
      <c r="J1517">
        <f>((Inputs!$B$6*(1+Inputs!$B$7/100))+(((Inputs!$B$12*(1+Inputs!$B$13/100))-(Inputs!$B$12*(1+Inputs!$B$13/100)))+0.25*(Inputs!$B$14-Inputs!$B$14))*(1+Inputs!$B$7/100))*(F1517/100)</f>
        <v/>
      </c>
      <c r="K1517">
        <f>J1517*(1+((Inputs!$B$12*(1+Inputs!$B$13/100))*0.01+Inputs!$B$14*0.0025)/100)*(1+(Inputs!$B$15+B1534)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1520=TRUE,F1520,0)/100)*(1+IF(C1528=TRUE,F1528,0)/100)^5*(1+(IF(Skills!A12="CHAIN_LIGHTNING",Inputs!$B$17+((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1532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1517)</f>
        <v/>
      </c>
      <c r="L1517">
        <f>K1517*(MIN(Inputs!$B$22+(F1523-Calc!F18),(Inputs!$B$23+(IF(ArtifactsInput!$M$15,CHOOSE(ArtifactsInput!$N$15+1,25,30,35,40,45,50)/100*(Inputs!$B$11-Inputs!$B$11),0))))/100+(Inputs!$B$23+(IF(ArtifactsInput!$M$15,CHOOSE(ArtifactsInput!$N$15+1,25,30,35,40,45,50)/100*(Inputs!$B$11-Inputs!$B$11),0)))/100)/2</f>
        <v/>
      </c>
      <c r="M1517">
        <f>L1517*(1+(Inputs!$B$10+(F1526-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7">
        <f>L1517*(1-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1517*(MIN((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7">
        <f>(1-Summary!$B$11)*S1517+Summary!$B$11*U1517</f>
        <v/>
      </c>
      <c r="P1517">
        <f>IF(B1542=0,0,O1517/B1542)</f>
        <v/>
      </c>
      <c r="Q1517">
        <f>IFERROR(1/(IF(Inputs!$B$38="pvp",15,MAX(0.1,Skills!D12-IF(TRUE=TRUE,Inputs!$B$32,0)))*(1-IF(AND(ArtifactsInput!$M$27,Inputs!$B$4="Chapter Hunt"),CHOOSE(ArtifactsInput!$N$27+1,20,24,28,32,36,40),0)/100)),0)</f>
        <v/>
      </c>
      <c r="R1517">
        <f>IF(AND(Inputs!$B$38&lt;&gt;"pvp",Inputs!$B$43&gt;0),IF(MAX(0,Inputs!$B$43-B1539)&lt;=0,0,(INT(MAX(0,Inputs!$B$43-B1539)/(IF(Inputs!$B$38="pvp",15,MAX(0.1,Skills!D12-IF(TRUE=TRUE,Inputs!$B$32,0)))*(1-IF(AND(ArtifactsInput!$M$27,Inputs!$B$4="Chapter Hunt"),CHOOSE(ArtifactsInput!$N$27+1,20,24,28,32,36,40),0)/100)))+1)),0)</f>
        <v/>
      </c>
      <c r="S1517">
        <f>IF(C1517,(H1517*N1517*IF(AND(Inputs!$B$38&lt;&gt;"pvp",Inputs!$B$43&gt;0),((Skills!F12*((R1517-1)*IF(Skills!G12&gt;0,Skills!H12/Skills!G12,1)+IF(Skills!G12&gt;0,MIN(Skills!H12,MAX(0,MAX(0,Inputs!$B$43-B1539)-((R1517-1)*(IF(Inputs!$B$38="pvp",15,MAX(0.1,Skills!D12-IF(TRUE=TRUE,Inputs!$B$32,0)))*(1-IF(AND(ArtifactsInput!$M$27,Inputs!$B$4="Chapter Hunt"),CHOOSE(ArtifactsInput!$N$27+1,20,24,28,32,36,40),0)/100)))))/Skills!G12,1)))/Inputs!$B$43),G1517*Q1517))*IF(Inputs!$B$38="pvp",1,1+(Inputs!$B$20+Skills!O12+B1533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1517*(1-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1517*(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1517*(1-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1517*(MIN(100,(Inputs!$B$9+((F1525-Calc!F20)+(F1524-Calc!F19))+(ArtifactsInput!$M$24-ArtifactsInput!$M$24)*CHOOSE(ArtifactsInput!$N$24+1,10,12,14,16,18,20)+(IF(AND(Inputs!$B$38&lt;&gt;"pvp",Inputs!$B$43=0),1,IF(IF(Inputs!$B$38="pvp",15,Inputs!$B$43)-(B1539)&lt;=0,1,MAX(0,IF(Inputs!$B$38="pvp",15,Inputs!$B$43)-MAX(5,B1539))/(IF(Inputs!$B$38="pvp",15,Inputs!$B$43)-(B1539)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7">
        <f>IF(C1517,(H1517*N1517*IF(AND(Inputs!$B$38&lt;&gt;"pvp",Inputs!$B$43&gt;0),((Skills!F12*((R1517-1)*IF(Skills!G12&gt;0,Skills!H12/Skills!G12,1)+IF(Skills!G12&gt;0,MIN(Skills!H12,MAX(0,MAX(0,Inputs!$B$43-B1539)-((R1517-1)*(IF(Inputs!$B$38="pvp",15,MAX(0.1,Skills!D12-IF(TRUE=TRUE,Inputs!$B$32,0)))*(1-IF(AND(ArtifactsInput!$M$27,Inputs!$B$4="Chapter Hunt"),CHOOSE(ArtifactsInput!$N$27+1,20,24,28,32,36,40),0)/100)))))/Skills!G12,1)))/Inputs!$B$43),G1517*Q1517))*IF(Inputs!$B$38="pvp",1,(1+(Inputs!$B$21+Skills!P12+B1533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8">
      <c r="A1518">
        <f>Skills!A13</f>
        <v/>
      </c>
      <c r="B1518">
        <f>Skills!B13</f>
        <v/>
      </c>
      <c r="C1518">
        <f>Inputs!$B$3&gt;=49</f>
        <v/>
      </c>
      <c r="D1518">
        <f>IF(Skills!C13=1,60+Inputs!$B$25+Inputs!$B$29,IF(Skills!C13=2,90+Inputs!$B$26+Inputs!$B$29,IF(Skills!C13=3,120+Inputs!$B$27+Inputs!$B$29,MAX(0,(Inputs!$B$3-100)*3)+Inputs!$B$28+Inputs!$B$29)))</f>
        <v/>
      </c>
      <c r="E1518">
        <f>INDEX(FactorTable!$B$2:$Y$301, MATCH(ROUND(MIN(300,MAX(1,D1518)),0), FactorTable!$A$2:$A$301,0), Skills!L13+1)</f>
        <v/>
      </c>
      <c r="F1518">
        <f>IF(Skills!M13=TRUE,(Skills!K13/10)*(E1518/1000),Skills!K13/10)+Skills!N13</f>
        <v/>
      </c>
      <c r="G1518">
        <f>Calc!G13</f>
        <v/>
      </c>
      <c r="H1518">
        <f>Calc!H13</f>
        <v/>
      </c>
      <c r="I1518">
        <f>IF(Skills!T13&lt;&gt;"",1+(Skills!T13/10)*(Z1508/1000)/100,1)</f>
        <v/>
      </c>
      <c r="J1518" t="inlineStr"/>
      <c r="K1518" t="inlineStr"/>
      <c r="L1518" t="inlineStr"/>
      <c r="M1518" t="inlineStr"/>
      <c r="N1518" t="inlineStr"/>
      <c r="O1518">
        <f>(1-Summary!$B$11)*S1518+Summary!$B$11*U1518</f>
        <v/>
      </c>
      <c r="P1518">
        <f>IF(B1542=0,0,O1518/B1542)</f>
        <v/>
      </c>
      <c r="Q1518">
        <f>IFERROR(1/(IF(Inputs!$B$38="pvp",15,MAX(0.1,Skills!D13-IF(TRUE=TRUE,Inputs!$B$32,0)))*(1-IF(AND(ArtifactsInput!$M$27,Inputs!$B$4="Chapter Hunt"),CHOOSE(ArtifactsInput!$N$27+1,20,24,28,32,36,40),0)/100)),0)</f>
        <v/>
      </c>
      <c r="R1518" t="n">
        <v>0</v>
      </c>
      <c r="S1518" t="n">
        <v>0</v>
      </c>
      <c r="U1518" t="n">
        <v>0</v>
      </c>
    </row>
    <row r="1519">
      <c r="A1519">
        <f>Skills!A14</f>
        <v/>
      </c>
      <c r="B1519">
        <f>Skills!B14</f>
        <v/>
      </c>
      <c r="C1519">
        <f>Inputs!$B$3&gt;=72</f>
        <v/>
      </c>
      <c r="D1519">
        <f>IF(Skills!C14=1,60+Inputs!$B$25+Inputs!$B$29,IF(Skills!C14=2,90+Inputs!$B$26+Inputs!$B$29,IF(Skills!C14=3,120+Inputs!$B$27+Inputs!$B$29,MAX(0,(Inputs!$B$3-100)*3)+Inputs!$B$28+Inputs!$B$29)))</f>
        <v/>
      </c>
      <c r="E1519">
        <f>INDEX(FactorTable!$B$2:$Y$301, MATCH(ROUND(MIN(300,MAX(1,D1519)),0), FactorTable!$A$2:$A$301,0), Skills!L14+1)</f>
        <v/>
      </c>
      <c r="F1519">
        <f>IF(Skills!M14=TRUE,(Skills!K14/10)*(E1519/1000),Skills!K14/10)+Skills!N14</f>
        <v/>
      </c>
      <c r="G1519">
        <f>Calc!G14</f>
        <v/>
      </c>
      <c r="H1519">
        <f>Calc!H14</f>
        <v/>
      </c>
      <c r="I1519">
        <f>IF(Skills!T14&lt;&gt;"",1+(Skills!T14/10)*(Z1508/1000)/100,1)</f>
        <v/>
      </c>
      <c r="J1519" t="inlineStr"/>
      <c r="K1519" t="inlineStr"/>
      <c r="L1519" t="inlineStr"/>
      <c r="M1519" t="inlineStr"/>
      <c r="N1519" t="inlineStr"/>
      <c r="O1519">
        <f>(1-Summary!$B$11)*S1519+Summary!$B$11*U1519</f>
        <v/>
      </c>
      <c r="P1519">
        <f>IF(B1542=0,0,O1519/B1542)</f>
        <v/>
      </c>
      <c r="Q1519">
        <f>IFERROR(1/(IF(Inputs!$B$38="pvp",15,MAX(0.1,Skills!D14-IF(TRUE=TRUE,Inputs!$B$32,0)))*(1-IF(AND(ArtifactsInput!$M$27,Inputs!$B$4="Chapter Hunt"),CHOOSE(ArtifactsInput!$N$27+1,20,24,28,32,36,40),0)/100)),0)</f>
        <v/>
      </c>
      <c r="R1519" t="n">
        <v>0</v>
      </c>
      <c r="S1519" t="n">
        <v>0</v>
      </c>
      <c r="U1519" t="n">
        <v>0</v>
      </c>
    </row>
    <row r="1520">
      <c r="A1520">
        <f>Skills!A15</f>
        <v/>
      </c>
      <c r="B1520">
        <f>Skills!B15</f>
        <v/>
      </c>
      <c r="C1520">
        <f>Inputs!$B$3&gt;=75</f>
        <v/>
      </c>
      <c r="D1520">
        <f>IF(Skills!C15=1,60+Inputs!$B$25+Inputs!$B$29,IF(Skills!C15=2,90+Inputs!$B$26+Inputs!$B$29,IF(Skills!C15=3,120+Inputs!$B$27+Inputs!$B$29,MAX(0,(Inputs!$B$3-100)*3)+Inputs!$B$28+Inputs!$B$29)))</f>
        <v/>
      </c>
      <c r="E1520">
        <f>INDEX(FactorTable!$B$2:$Y$301, MATCH(ROUND(MIN(300,MAX(1,D1520)),0), FactorTable!$A$2:$A$301,0), Skills!L15+1)</f>
        <v/>
      </c>
      <c r="F1520">
        <f>IF(Skills!M15=TRUE,(Skills!K15/10)*(E1520/1000),Skills!K15/10)+Skills!N15</f>
        <v/>
      </c>
      <c r="G1520">
        <f>Calc!G15</f>
        <v/>
      </c>
      <c r="H1520">
        <f>Calc!H15</f>
        <v/>
      </c>
      <c r="I1520">
        <f>IF(Skills!T15&lt;&gt;"",1+(Skills!T15/10)*(Z1508/1000)/100,1)</f>
        <v/>
      </c>
      <c r="J1520" t="inlineStr"/>
      <c r="K1520" t="inlineStr"/>
      <c r="L1520" t="inlineStr"/>
      <c r="M1520" t="inlineStr"/>
      <c r="N1520" t="inlineStr"/>
      <c r="O1520">
        <f>(1-Summary!$B$11)*S1520+Summary!$B$11*U1520</f>
        <v/>
      </c>
      <c r="P1520">
        <f>IF(B1542=0,0,O1520/B1542)</f>
        <v/>
      </c>
      <c r="Q1520">
        <f>IFERROR(1/(IF(Inputs!$B$38="pvp",15,MAX(0.1,Skills!D15-IF(TRUE=TRUE,Inputs!$B$32,0)))*(1-IF(AND(ArtifactsInput!$M$27,Inputs!$B$4="Chapter Hunt"),CHOOSE(ArtifactsInput!$N$27+1,20,24,28,32,36,40),0)/100)),0)</f>
        <v/>
      </c>
      <c r="R1520" t="n">
        <v>0</v>
      </c>
      <c r="S1520" t="n">
        <v>0</v>
      </c>
      <c r="U1520" t="n">
        <v>0</v>
      </c>
    </row>
    <row r="1521">
      <c r="A1521">
        <f>Skills!A16</f>
        <v/>
      </c>
      <c r="B1521">
        <f>Skills!B16</f>
        <v/>
      </c>
      <c r="C1521">
        <f>Inputs!$B$3&gt;=110</f>
        <v/>
      </c>
      <c r="D1521">
        <f>IF(Skills!C16=1,60+Inputs!$B$25+Inputs!$B$29,IF(Skills!C16=2,90+Inputs!$B$26+Inputs!$B$29,IF(Skills!C16=3,120+Inputs!$B$27+Inputs!$B$29,MAX(0,(Inputs!$B$3-100)*3)+Inputs!$B$28+Inputs!$B$29)))</f>
        <v/>
      </c>
      <c r="E1521">
        <f>INDEX(FactorTable!$B$2:$Y$301, MATCH(ROUND(MIN(300,MAX(1,D1521)),0), FactorTable!$A$2:$A$301,0), Skills!L16+1)</f>
        <v/>
      </c>
      <c r="F1521">
        <f>(Skills!K16/10)*(E1521/1000)*64/45+Skills!N16</f>
        <v/>
      </c>
      <c r="G1521">
        <f>Calc!G16</f>
        <v/>
      </c>
      <c r="H1521">
        <f>Calc!H16</f>
        <v/>
      </c>
      <c r="I1521">
        <f>IF(Skills!T16&lt;&gt;"",1+(Skills!T16/10)*(Z1508/1000)/100,1)</f>
        <v/>
      </c>
      <c r="J1521" t="inlineStr"/>
      <c r="K1521" t="inlineStr"/>
      <c r="L1521" t="inlineStr"/>
      <c r="M1521" t="inlineStr"/>
      <c r="N1521" t="inlineStr"/>
      <c r="O1521">
        <f>(1-Summary!$B$11)*S1521+Summary!$B$11*U1521</f>
        <v/>
      </c>
      <c r="P1521">
        <f>IF(B1542=0,0,O1521/B1542)</f>
        <v/>
      </c>
      <c r="Q1521">
        <f>IFERROR(1/(IF(Inputs!$B$38="pvp",15,MAX(0.1,Skills!D16-IF(TRUE=TRUE,Inputs!$B$32,0)))*(1-IF(AND(ArtifactsInput!$M$27,Inputs!$B$4="Chapter Hunt"),CHOOSE(ArtifactsInput!$N$27+1,20,24,28,32,36,40),0)/100)),0)</f>
        <v/>
      </c>
      <c r="R1521">
        <f>IF(AND(Inputs!$B$38&lt;&gt;"pvp",Inputs!$B$43&gt;0),IF(Inputs!$B$43&lt;=0,0,(INT(Inputs!$B$43/(IF(Inputs!$B$38="pvp",15,MAX(0.1,Skills!D16-IF(TRUE=TRUE,Inputs!$B$32,0)))*(1-IF(AND(ArtifactsInput!$M$27,Inputs!$B$4="Chapter Hunt"),CHOOSE(ArtifactsInput!$N$27+1,20,24,28,32,36,40),0)/100)))+1)),0)</f>
        <v/>
      </c>
      <c r="S1521" t="n">
        <v>0</v>
      </c>
      <c r="U1521" t="n">
        <v>0</v>
      </c>
    </row>
    <row r="1522">
      <c r="A1522">
        <f>Skills!A17</f>
        <v/>
      </c>
      <c r="B1522">
        <f>Skills!B17</f>
        <v/>
      </c>
      <c r="C1522">
        <f>Inputs!$B$3&gt;=33</f>
        <v/>
      </c>
      <c r="D1522">
        <f>IF(Skills!C17=1,60+Inputs!$B$25+Inputs!$B$29,IF(Skills!C17=2,90+Inputs!$B$26+Inputs!$B$29,IF(Skills!C17=3,120+Inputs!$B$27+Inputs!$B$29,MAX(0,(Inputs!$B$3-100)*3)+Inputs!$B$28+Inputs!$B$29)))</f>
        <v/>
      </c>
      <c r="E1522">
        <f>INDEX(FactorTable!$B$2:$Y$301, MATCH(ROUND(MIN(300,MAX(1,D1522)),0), FactorTable!$A$2:$A$301,0), Skills!L17+1)</f>
        <v/>
      </c>
      <c r="F1522">
        <f>IF(Skills!M17=TRUE,(Skills!K17/10)*(E1522/1000),Skills!K17/10)+Skills!N17</f>
        <v/>
      </c>
      <c r="G1522">
        <f>Calc!G17</f>
        <v/>
      </c>
      <c r="H1522">
        <f>Calc!H17</f>
        <v/>
      </c>
      <c r="I1522">
        <f>IF(Skills!T17&lt;&gt;"",1+(Skills!T17/10)*(Z1508/1000)/100,1)</f>
        <v/>
      </c>
      <c r="J1522" t="inlineStr"/>
      <c r="K1522" t="inlineStr"/>
      <c r="L1522" t="inlineStr"/>
      <c r="M1522" t="inlineStr"/>
      <c r="N1522" t="inlineStr"/>
      <c r="O1522">
        <f>(1-Summary!$B$11)*S1522+Summary!$B$11*U1522</f>
        <v/>
      </c>
      <c r="P1522">
        <f>IF(B1542=0,0,O1522/B1542)</f>
        <v/>
      </c>
      <c r="Q1522">
        <f>IFERROR(1/(IF(Inputs!$B$38="pvp",15,MAX(0.1,Skills!D17-IF(TRUE=TRUE,Inputs!$B$32,0)))*(1-IF(AND(ArtifactsInput!$M$27,Inputs!$B$4="Chapter Hunt"),CHOOSE(ArtifactsInput!$N$27+1,20,24,28,32,36,40),0)/100)),0)</f>
        <v/>
      </c>
      <c r="R1522" t="n">
        <v>0</v>
      </c>
      <c r="S1522" t="n">
        <v>0</v>
      </c>
      <c r="U1522" t="n">
        <v>0</v>
      </c>
    </row>
    <row r="1523">
      <c r="A1523">
        <f>Skills!A18</f>
        <v/>
      </c>
      <c r="B1523">
        <f>Skills!B18</f>
        <v/>
      </c>
      <c r="C1523">
        <f>Inputs!$B$3&gt;=43</f>
        <v/>
      </c>
      <c r="D1523">
        <f>IF(Skills!C18=1,60+Inputs!$B$25+Inputs!$B$29,IF(Skills!C18=2,90+Inputs!$B$26+Inputs!$B$29,IF(Skills!C18=3,120+Inputs!$B$27+Inputs!$B$29,MAX(0,(Inputs!$B$3-100)*3)+Inputs!$B$28+Inputs!$B$29)))</f>
        <v/>
      </c>
      <c r="E1523">
        <f>INDEX(FactorTable!$B$2:$Y$301, MATCH(ROUND(MIN(300,MAX(1,D1523)),0), FactorTable!$A$2:$A$301,0), Skills!L18+1)</f>
        <v/>
      </c>
      <c r="F1523">
        <f>IF(Skills!M18=TRUE,(Skills!K18/10)*(E1523/1000),Skills!K18/10)+Skills!N18</f>
        <v/>
      </c>
      <c r="G1523">
        <f>Calc!G18</f>
        <v/>
      </c>
      <c r="H1523">
        <f>Calc!H18</f>
        <v/>
      </c>
      <c r="I1523">
        <f>IF(Skills!T18&lt;&gt;"",1+(Skills!T18/10)*(Z1508/1000)/100,1)</f>
        <v/>
      </c>
      <c r="J1523" t="inlineStr"/>
      <c r="K1523" t="inlineStr"/>
      <c r="L1523" t="inlineStr"/>
      <c r="M1523" t="inlineStr"/>
      <c r="N1523" t="inlineStr"/>
      <c r="O1523">
        <f>(1-Summary!$B$11)*S1523+Summary!$B$11*U1523</f>
        <v/>
      </c>
      <c r="P1523">
        <f>IF(B1542=0,0,O1523/B1542)</f>
        <v/>
      </c>
      <c r="Q1523">
        <f>IFERROR(1/(IF(Inputs!$B$38="pvp",15,MAX(0.1,Skills!D18-IF(TRUE=TRUE,Inputs!$B$32,0)))*(1-IF(AND(ArtifactsInput!$M$27,Inputs!$B$4="Chapter Hunt"),CHOOSE(ArtifactsInput!$N$27+1,20,24,28,32,36,40),0)/100)),0)</f>
        <v/>
      </c>
      <c r="R1523" t="n">
        <v>0</v>
      </c>
      <c r="S1523" t="n">
        <v>0</v>
      </c>
      <c r="U1523" t="n">
        <v>0</v>
      </c>
    </row>
    <row r="1524">
      <c r="A1524">
        <f>Skills!A19</f>
        <v/>
      </c>
      <c r="B1524">
        <f>Skills!B19</f>
        <v/>
      </c>
      <c r="C1524">
        <f>Inputs!$B$3&gt;=50</f>
        <v/>
      </c>
      <c r="D1524">
        <f>IF(Skills!C19=1,60+Inputs!$B$25+Inputs!$B$29,IF(Skills!C19=2,90+Inputs!$B$26+Inputs!$B$29,IF(Skills!C19=3,120+Inputs!$B$27+Inputs!$B$29,MAX(0,(Inputs!$B$3-100)*3)+Inputs!$B$28+Inputs!$B$29)))</f>
        <v/>
      </c>
      <c r="E1524">
        <f>INDEX(FactorTable!$B$2:$Y$301, MATCH(ROUND(MIN(300,MAX(1,D1524)),0), FactorTable!$A$2:$A$301,0), Skills!L19+1)</f>
        <v/>
      </c>
      <c r="F1524">
        <f>IF(Skills!M19=TRUE,(Skills!K19/10)*(E1524/1000),Skills!K19/10)+Skills!N19</f>
        <v/>
      </c>
      <c r="G1524">
        <f>Calc!G19</f>
        <v/>
      </c>
      <c r="H1524">
        <f>Calc!H19</f>
        <v/>
      </c>
      <c r="I1524">
        <f>IF(Skills!T19&lt;&gt;"",1+(Skills!T19/10)*(Z1508/1000)/100,1)</f>
        <v/>
      </c>
      <c r="J1524" t="inlineStr"/>
      <c r="K1524" t="inlineStr"/>
      <c r="L1524" t="inlineStr"/>
      <c r="M1524" t="inlineStr"/>
      <c r="N1524" t="inlineStr"/>
      <c r="O1524">
        <f>(1-Summary!$B$11)*S1524+Summary!$B$11*U1524</f>
        <v/>
      </c>
      <c r="P1524">
        <f>IF(B1542=0,0,O1524/B1542)</f>
        <v/>
      </c>
      <c r="Q1524">
        <f>IFERROR(1/(IF(Inputs!$B$38="pvp",15,MAX(0.1,Skills!D19-IF(TRUE=TRUE,Inputs!$B$32,0)))*(1-IF(AND(ArtifactsInput!$M$27,Inputs!$B$4="Chapter Hunt"),CHOOSE(ArtifactsInput!$N$27+1,20,24,28,32,36,40),0)/100)),0)</f>
        <v/>
      </c>
      <c r="R1524" t="n">
        <v>0</v>
      </c>
      <c r="S1524" t="n">
        <v>0</v>
      </c>
      <c r="U1524" t="n">
        <v>0</v>
      </c>
    </row>
    <row r="1525">
      <c r="A1525">
        <f>Skills!A20</f>
        <v/>
      </c>
      <c r="B1525">
        <f>Skills!B20</f>
        <v/>
      </c>
      <c r="C1525">
        <f>Inputs!$B$3&gt;=74</f>
        <v/>
      </c>
      <c r="D1525">
        <f>IF(Skills!C20=1,60+Inputs!$B$25+Inputs!$B$29,IF(Skills!C20=2,90+Inputs!$B$26+Inputs!$B$29,IF(Skills!C20=3,120+Inputs!$B$27+Inputs!$B$29,MAX(0,(Inputs!$B$3-100)*3)+Inputs!$B$28+Inputs!$B$29)))</f>
        <v/>
      </c>
      <c r="E1525">
        <f>INDEX(FactorTable!$B$2:$Y$301, MATCH(ROUND(MIN(300,MAX(1,D1525)),0), FactorTable!$A$2:$A$301,0), Skills!L20+1)</f>
        <v/>
      </c>
      <c r="F1525">
        <f>IF(Skills!M20=TRUE,(Skills!K20/10)*(E1525/1000),Skills!K20/10)+Skills!N20</f>
        <v/>
      </c>
      <c r="G1525">
        <f>Calc!G20</f>
        <v/>
      </c>
      <c r="H1525">
        <f>Calc!H20</f>
        <v/>
      </c>
      <c r="I1525">
        <f>IF(Skills!T20&lt;&gt;"",1+(Skills!T20/10)*(Z1508/1000)/100,1)</f>
        <v/>
      </c>
      <c r="J1525" t="inlineStr"/>
      <c r="K1525" t="inlineStr"/>
      <c r="L1525" t="inlineStr"/>
      <c r="M1525" t="inlineStr"/>
      <c r="N1525" t="inlineStr"/>
      <c r="O1525">
        <f>(1-Summary!$B$11)*S1525+Summary!$B$11*U1525</f>
        <v/>
      </c>
      <c r="P1525">
        <f>IF(B1542=0,0,O1525/B1542)</f>
        <v/>
      </c>
      <c r="Q1525">
        <f>IFERROR(1/(IF(Inputs!$B$38="pvp",15,MAX(0.1,Skills!D20-IF(TRUE=TRUE,Inputs!$B$32,0)))*(1-IF(AND(ArtifactsInput!$M$27,Inputs!$B$4="Chapter Hunt"),CHOOSE(ArtifactsInput!$N$27+1,20,24,28,32,36,40),0)/100)),0)</f>
        <v/>
      </c>
      <c r="R1525" t="n">
        <v>0</v>
      </c>
      <c r="S1525" t="n">
        <v>0</v>
      </c>
      <c r="U1525" t="n">
        <v>0</v>
      </c>
    </row>
    <row r="1526">
      <c r="A1526">
        <f>Skills!A21</f>
        <v/>
      </c>
      <c r="B1526">
        <f>Skills!B21</f>
        <v/>
      </c>
      <c r="C1526">
        <f>Inputs!$B$3&gt;=74</f>
        <v/>
      </c>
      <c r="D1526">
        <f>IF(Skills!C21=1,60+Inputs!$B$25+Inputs!$B$29,IF(Skills!C21=2,90+Inputs!$B$26+Inputs!$B$29,IF(Skills!C21=3,120+Inputs!$B$27+Inputs!$B$29,MAX(0,(Inputs!$B$3-100)*3)+Inputs!$B$28+Inputs!$B$29)))</f>
        <v/>
      </c>
      <c r="E1526">
        <f>INDEX(FactorTable!$B$2:$Y$301, MATCH(ROUND(MIN(300,MAX(1,D1526)),0), FactorTable!$A$2:$A$301,0), Skills!L21+1)</f>
        <v/>
      </c>
      <c r="F1526">
        <f>IF(Skills!M21=TRUE,(Skills!K21/10)*(E1526/1000),Skills!K21/10)+Skills!N21</f>
        <v/>
      </c>
      <c r="G1526">
        <f>Calc!G21</f>
        <v/>
      </c>
      <c r="H1526">
        <f>Calc!H21</f>
        <v/>
      </c>
      <c r="I1526">
        <f>IF(Skills!T21&lt;&gt;"",1+(Skills!T21/10)*(Z1508/1000)/100,1)</f>
        <v/>
      </c>
      <c r="J1526" t="inlineStr"/>
      <c r="K1526" t="inlineStr"/>
      <c r="L1526" t="inlineStr"/>
      <c r="M1526" t="inlineStr"/>
      <c r="N1526" t="inlineStr"/>
      <c r="O1526">
        <f>(1-Summary!$B$11)*S1526+Summary!$B$11*U1526</f>
        <v/>
      </c>
      <c r="P1526">
        <f>IF(B1542=0,0,O1526/B1542)</f>
        <v/>
      </c>
      <c r="Q1526">
        <f>IFERROR(1/(IF(Inputs!$B$38="pvp",15,MAX(0.1,Skills!D21-IF(TRUE=TRUE,Inputs!$B$32,0)))*(1-IF(AND(ArtifactsInput!$M$27,Inputs!$B$4="Chapter Hunt"),CHOOSE(ArtifactsInput!$N$27+1,20,24,28,32,36,40),0)/100)),0)</f>
        <v/>
      </c>
      <c r="R1526" t="n">
        <v>0</v>
      </c>
      <c r="S1526" t="n">
        <v>0</v>
      </c>
      <c r="U1526" t="n">
        <v>0</v>
      </c>
    </row>
    <row r="1527">
      <c r="A1527">
        <f>Skills!A22</f>
        <v/>
      </c>
      <c r="B1527">
        <f>Skills!B22</f>
        <v/>
      </c>
      <c r="C1527">
        <f>Inputs!$B$3&gt;=117</f>
        <v/>
      </c>
      <c r="D1527">
        <f>IF(Skills!C22=1,60+Inputs!$B$25+Inputs!$B$29,IF(Skills!C22=2,90+Inputs!$B$26+Inputs!$B$29,IF(Skills!C22=3,120+Inputs!$B$27+Inputs!$B$29,MAX(0,(Inputs!$B$3-100)*3)+Inputs!$B$28+Inputs!$B$29)))</f>
        <v/>
      </c>
      <c r="E1527">
        <f>INDEX(FactorTable!$B$2:$Y$301, MATCH(ROUND(MIN(300,MAX(1,D1527)),0), FactorTable!$A$2:$A$301,0), Skills!L22+1)</f>
        <v/>
      </c>
      <c r="F1527">
        <f>IF(Skills!M22=TRUE,(Skills!K22/10)*(E1527/1000),Skills!K22/10)+Skills!N22</f>
        <v/>
      </c>
      <c r="G1527">
        <f>Calc!G22</f>
        <v/>
      </c>
      <c r="H1527">
        <f>Calc!H22</f>
        <v/>
      </c>
      <c r="I1527">
        <f>IF(Skills!T22&lt;&gt;"",1+(Skills!T22/10)*(Z1508/1000)/100,1)</f>
        <v/>
      </c>
      <c r="J1527" t="inlineStr"/>
      <c r="K1527" t="inlineStr"/>
      <c r="L1527" t="inlineStr"/>
      <c r="M1527" t="inlineStr"/>
      <c r="N1527" t="inlineStr"/>
      <c r="O1527">
        <f>(1-Summary!$B$11)*S1527+Summary!$B$11*U1527</f>
        <v/>
      </c>
      <c r="P1527">
        <f>IF(B1542=0,0,O1527/B1542)</f>
        <v/>
      </c>
      <c r="Q1527">
        <f>IFERROR(1/(IF(Inputs!$B$38="pvp",15,MAX(0.1,Skills!D22-IF(TRUE=TRUE,Inputs!$B$32,0)))*(1-IF(AND(ArtifactsInput!$M$27,Inputs!$B$4="Chapter Hunt"),CHOOSE(ArtifactsInput!$N$27+1,20,24,28,32,36,40),0)/100)),0)</f>
        <v/>
      </c>
      <c r="R1527" t="n">
        <v>0</v>
      </c>
      <c r="S1527" t="n">
        <v>0</v>
      </c>
      <c r="U1527" t="n">
        <v>0</v>
      </c>
    </row>
    <row r="1528">
      <c r="A1528">
        <f>Skills!A23</f>
        <v/>
      </c>
      <c r="B1528">
        <f>Skills!B23</f>
        <v/>
      </c>
      <c r="C1528">
        <f>Inputs!$B$3&gt;=120</f>
        <v/>
      </c>
      <c r="D1528">
        <f>IF(Skills!C23=1,60+Inputs!$B$25+Inputs!$B$29,IF(Skills!C23=2,90+Inputs!$B$26+Inputs!$B$29,IF(Skills!C23=3,120+Inputs!$B$27+Inputs!$B$29,MAX(0,(Inputs!$B$3-100)*3)+Inputs!$B$28+Inputs!$B$29)))</f>
        <v/>
      </c>
      <c r="E1528">
        <f>INDEX(FactorTable!$B$2:$Y$301, MATCH(ROUND(MIN(300,MAX(1,D1528)),0), FactorTable!$A$2:$A$301,0), Skills!L23+1)</f>
        <v/>
      </c>
      <c r="F1528">
        <f>IF(Skills!M23=TRUE,(Skills!K23/10)*(E1528/1000),Skills!K23/10)+Skills!N23</f>
        <v/>
      </c>
      <c r="G1528">
        <f>Calc!G23</f>
        <v/>
      </c>
      <c r="H1528">
        <f>Calc!H23</f>
        <v/>
      </c>
      <c r="I1528">
        <f>IF(Skills!T23&lt;&gt;"",1+(Skills!T23/10)*(Z1508/1000)/100,1)</f>
        <v/>
      </c>
      <c r="J1528" t="inlineStr"/>
      <c r="K1528" t="inlineStr"/>
      <c r="L1528" t="inlineStr"/>
      <c r="M1528" t="inlineStr"/>
      <c r="N1528" t="inlineStr"/>
      <c r="O1528">
        <f>(1-Summary!$B$11)*S1528+Summary!$B$11*U1528</f>
        <v/>
      </c>
      <c r="P1528">
        <f>IF(B1542=0,0,O1528/B1542)</f>
        <v/>
      </c>
      <c r="Q1528">
        <f>IFERROR(1/(IF(Inputs!$B$38="pvp",15,MAX(0.1,Skills!D23-IF(TRUE=TRUE,Inputs!$B$32,0)))*(1-IF(AND(ArtifactsInput!$M$27,Inputs!$B$4="Chapter Hunt"),CHOOSE(ArtifactsInput!$N$27+1,20,24,28,32,36,40),0)/100)),0)</f>
        <v/>
      </c>
      <c r="R1528" t="n">
        <v>0</v>
      </c>
      <c r="S1528" t="n">
        <v>0</v>
      </c>
      <c r="U1528" t="n">
        <v>0</v>
      </c>
    </row>
    <row r="1529">
      <c r="A1529">
        <f>Skills!A24</f>
        <v/>
      </c>
      <c r="B1529">
        <f>Skills!B24</f>
        <v/>
      </c>
      <c r="C1529">
        <f>TRUE</f>
        <v/>
      </c>
      <c r="D1529">
        <f>IF(Skills!C24=1,60+Inputs!$B$25+Inputs!$B$29,IF(Skills!C24=2,90+Inputs!$B$26+Inputs!$B$29,IF(Skills!C24=3,120+Inputs!$B$27+Inputs!$B$29,MAX(0,(Inputs!$B$3-100)*3)+Inputs!$B$28+Inputs!$B$29)))</f>
        <v/>
      </c>
      <c r="E1529">
        <f>INDEX(FactorTable!$B$2:$Y$301, MATCH(ROUND(MIN(300,MAX(1,D1529)),0), FactorTable!$A$2:$A$301,0), Skills!L24+1)</f>
        <v/>
      </c>
      <c r="F1529">
        <f>IF(Skills!M24=TRUE,(Skills!K24/10)*(E1529/1000),Skills!K24/10)+Skills!N24</f>
        <v/>
      </c>
      <c r="G1529">
        <f>Calc!G24</f>
        <v/>
      </c>
      <c r="H1529">
        <f>Calc!H24</f>
        <v/>
      </c>
      <c r="I1529">
        <f>IF(Skills!T24&lt;&gt;"",1+(Skills!T24/10)*(Z1508/1000)/100,1)</f>
        <v/>
      </c>
      <c r="J1529" t="inlineStr"/>
      <c r="K1529" t="inlineStr"/>
      <c r="L1529" t="inlineStr"/>
      <c r="M1529" t="inlineStr"/>
      <c r="N1529" t="inlineStr"/>
      <c r="O1529">
        <f>(1-Summary!$B$11)*S1529+Summary!$B$11*U1529</f>
        <v/>
      </c>
      <c r="P1529">
        <f>IF(B1542=0,0,O1529/B1542)</f>
        <v/>
      </c>
      <c r="Q1529">
        <f>IFERROR(1/(IF(Inputs!$B$38="pvp",15,MAX(0.1,Skills!D24-IF(TRUE=TRUE,Inputs!$B$32,0)))*(1-IF(AND(ArtifactsInput!$M$27,Inputs!$B$4="Chapter Hunt"),CHOOSE(ArtifactsInput!$N$27+1,20,24,28,32,36,40),0)/100)),0)</f>
        <v/>
      </c>
      <c r="R1529">
        <f>IF(AND(Inputs!$B$38&lt;&gt;"pvp",Inputs!$B$43&gt;0),IF(Inputs!$B$43&lt;=0,0,(INT(Inputs!$B$43/(IF(Inputs!$B$38="pvp",15,MAX(0.1,Skills!D24-IF(TRUE=TRUE,Inputs!$B$32,0)))*(1-IF(AND(ArtifactsInput!$M$27,Inputs!$B$4="Chapter Hunt"),CHOOSE(ArtifactsInput!$N$27+1,20,24,28,32,36,40),0)/100)))+1)),0)</f>
        <v/>
      </c>
      <c r="S1529" t="n">
        <v>0</v>
      </c>
      <c r="U1529" t="n">
        <v>0</v>
      </c>
    </row>
    <row r="1532">
      <c r="A1532" t="inlineStr">
        <is>
          <t>Average Buff Multiplier (Magic Guard + Meditation + Artifact Attack%, summed; then Infinity)</t>
        </is>
      </c>
      <c r="B1532">
        <f>(1+(IF(C1508=TRUE,F1508*IF(AND(Inputs!$B$38&lt;&gt;"pvp",Inputs!$B$43&gt;0),(((R1508-1)*MIN((Skills!S3*(1+(Inputs!$B$34)/100)),(1/Q1508))+MIN((Skills!S3*(1+(Inputs!$B$34)/100)),MAX(0,Inputs!$B$43-((R1508-1)*(1/Q1508)))))/Inputs!$B$43),IF(Inputs!$B$38="pvp",MIN((Skills!S3*(1+(Inputs!$B$34)/100)),15)/15,MIN(1,(Skills!S3*(1+(Inputs!$B$34)/100))/(1/Q1508)))),0)+IF(C1509=TRUE,F1509*IF(AND(Inputs!$B$38&lt;&gt;"pvp",Inputs!$B$43&gt;0),(((R1509-1)*MIN((Skills!S4*(1+(Inputs!$B$34)/100)),(1/Q1509))+MIN((Skills!S4*(1+(Inputs!$B$34)/100)),MAX(0,Inputs!$B$43-((R1509-1)*(1/Q1509)))))/Inputs!$B$43),IF(Inputs!$B$38="pvp",MIN((Skills!S4*(1+(Inputs!$B$34)/100)),15)/15,MIN(1,(Skills!S4*(1+(Inputs!$B$34)/100))/(1/Q1509)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1521=TRUE,(1+F1521*IF(AND(Inputs!$B$38&lt;&gt;"pvp",Inputs!$B$43&gt;0),(((R1521-1)*MIN((Skills!S16*(1+(Inputs!$B$34)/100)),(1/Q1521))+MIN((Skills!S16*(1+(Inputs!$B$34)/100)),MAX(0,Inputs!$B$43-((R1521-1)*(1/Q1521)))))/Inputs!$B$43),IF(Inputs!$B$38="pvp",MIN((Skills!S16*(1+(Inputs!$B$34)/100)),15)/15,MIN(1,(Skills!S16*(1+(Inputs!$B$34)/100))/(1/Q1521))))/100),1)</f>
        <v/>
      </c>
    </row>
    <row r="1533">
      <c r="A1533" t="inlineStr">
        <is>
          <t>Monster Damage Taken Bonus % (Freezing Breath - Weaken + Elemental Reset + Artifact Enemy Damage Taken, summed)</t>
        </is>
      </c>
      <c r="B1533">
        <f>IF(Inputs!$B$3&gt;=118,15*IF(Inputs!$B$38="pvp",MIN((30*(1+(Inputs!$B$34)/100)),15)/15,MIN(1,(30*(1+(Inputs!$B$34)/100))/(1/Q1513))),0)+IF(C1519=TRUE,F1519,0)+(IF(AND(ArtifactsInput!$M$35,Inputs!$B$4&lt;&gt;"Chapter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f>
        <v/>
      </c>
    </row>
    <row r="1534">
      <c r="A1534" t="inlineStr">
        <is>
          <t>Damage % Bonus (Frozen Break + Frost Clutch, flat)</t>
        </is>
      </c>
      <c r="B1534">
        <f>IF(Inputs!$B$3&gt;=66,15,0)+IF(Inputs!$B$3&gt;=98,10,0)+IF(Inputs!$B$3&gt;=125,20,0)</f>
        <v/>
      </c>
    </row>
    <row r="1535">
      <c r="A1535" t="inlineStr">
        <is>
          <t>Attack Speed Bonus % (MP Eater - MP Boost, always-on + Nimble Feet, duty-cycle averaged)</t>
        </is>
      </c>
      <c r="B1535">
        <f>IF(C1518=TRUE,F1518+(F1522-Calc!F17),0)+((C1529=TRUE)*F1529*IF(AND(Inputs!$B$38&lt;&gt;"pvp",Inputs!$B$43&gt;0),(((R1529-1)*MIN((Skills!S24*(1+(Inputs!$B$34)/100)),(1/Q1529))+MIN((Skills!S24*(1+(Inputs!$B$34)/100)),MAX(0,Inputs!$B$43-((R1529-1)*(1/Q1529)))))/Inputs!$B$43),IF(Inputs!$B$38="pvp",MIN((Skills!S24*(1+(Inputs!$B$34)/100)),15)/15,MIN(1,(Skills!S24*(1+(Inputs!$B$34)/100))/(1/Q1529)))))</f>
        <v/>
      </c>
    </row>
    <row r="1536">
      <c r="A1536" t="inlineStr">
        <is>
          <t>Actions Per Second</t>
        </is>
      </c>
      <c r="B1536">
        <f>1+MIN(150,150*(1-(1-(Inputs!$B$11+(ArtifactsInput!$M$15-ArtifactsInput!$M$15)*CHOOSE(ArtifactsInput!$N$15+1,8,9.6,11.2,12.8,14.4,16))/150)*(1-B1535/150)))/100</f>
        <v/>
      </c>
    </row>
    <row r="1537">
      <c r="A1537" t="inlineStr">
        <is>
          <t>Skill + Buff Cast Rate</t>
        </is>
      </c>
      <c r="B1537">
        <f>IF(AND(Inputs!$B$38&lt;&gt;"pvp",Inputs!$B$43&gt;0),SUMPRODUCT((Skills!E2:E24=TRUE)*(C1507:C1529=TRUE)*R1507:R1529)/Inputs!$B$43,SUMPRODUCT((Skills!E2:E24=TRUE)*(C1507:C1529=TRUE)*Q1507:Q1529))</f>
        <v/>
      </c>
    </row>
    <row r="1538">
      <c r="A1538" t="inlineStr">
        <is>
          <t>Chain Lightning Casts Per Second</t>
        </is>
      </c>
      <c r="B1538">
        <f>MAX(0,B1536-B1537)</f>
        <v/>
      </c>
    </row>
    <row r="1539">
      <c r="A1539" t="inlineStr">
        <is>
          <t>Buff-Casting Startup Delay (s, fixed-duration only)</t>
        </is>
      </c>
      <c r="B1539">
        <f>IF(AND(Inputs!$B$38&lt;&gt;"pvp",Inputs!$B$43&gt;0),SUMPRODUCT((Skills!S2:S24&gt;0)*(Skills!E2:E24=TRUE)*(C1507:C1529=TRUE))/B1536,0)</f>
        <v/>
      </c>
    </row>
    <row r="1540">
      <c r="A1540" t="inlineStr">
        <is>
          <t>Boss-Only Total DPS (this block's swept value)</t>
        </is>
      </c>
      <c r="B1540">
        <f>SUM(S1507:S1529)</f>
        <v/>
      </c>
    </row>
    <row r="1541">
      <c r="A1541" t="inlineStr">
        <is>
          <t>Normal-Only Total DPS (this block's swept value)</t>
        </is>
      </c>
      <c r="B1541">
        <f>SUM(U1507:U1529)</f>
        <v/>
      </c>
    </row>
    <row r="1542">
      <c r="A1542" s="6" t="inlineStr">
        <is>
          <t>TOTAL DPS</t>
        </is>
      </c>
      <c r="B1542" s="6">
        <f>SUM(O1507:O1529)</f>
        <v/>
      </c>
    </row>
    <row r="1543">
      <c r="A1543" t="inlineStr">
        <is>
          <t>Blizzard Final Attack trigger rate (this block's own Q/R)</t>
        </is>
      </c>
      <c r="B1543">
        <f>IF(AND(Inputs!$B$38&lt;&gt;"pvp",Inputs!$B$43&gt;0),(((C1510=TRUE)*R1510*1)+((C1511=TRUE)*R1511*1)+((C1513=TRUE)*R1513*1)+((C1514=TRUE)*R1514*3)+((C1516=TRUE)*R1516*1))/Inputs!$B$43,((C1510=TRUE)*Q1510*1)+((C1511=TRUE)*Q1511*1)+((C1513=TRUE)*Q1513*1)+((C1514=TRUE)*Q1514*3)+((C1516=TRUE)*Q1516*1))+B1538</f>
        <v/>
      </c>
    </row>
    <row r="1546">
      <c r="A1546" s="6" t="inlineStr">
        <is>
          <t>Stat: Horntail's Scale (Equip)</t>
        </is>
      </c>
    </row>
    <row r="1547">
      <c r="A1547" s="5" t="inlineStr">
        <is>
          <t>Key</t>
        </is>
      </c>
      <c r="B1547" s="5" t="inlineStr">
        <is>
          <t>Name</t>
        </is>
      </c>
      <c r="C1547" s="5" t="inlineStr">
        <is>
          <t>Unlocked</t>
        </is>
      </c>
      <c r="D1547" s="5" t="inlineStr">
        <is>
          <t>InputLevel</t>
        </is>
      </c>
      <c r="E1547" s="5" t="inlineStr">
        <is>
          <t>Factor</t>
        </is>
      </c>
      <c r="F1547" s="5" t="inlineStr">
        <is>
          <t>CoefficientPercent</t>
        </is>
      </c>
      <c r="G1547" s="5" t="inlineStr">
        <is>
          <t>EffectiveHits</t>
        </is>
      </c>
      <c r="H1547" s="5" t="inlineStr">
        <is>
          <t>ProcProbability</t>
        </is>
      </c>
      <c r="I1547" s="5" t="inlineStr">
        <is>
          <t>MapleHeroMultiplier</t>
        </is>
      </c>
      <c r="J1547" s="5" t="inlineStr">
        <is>
          <t>BaseDamage</t>
        </is>
      </c>
      <c r="K1547" s="5" t="inlineStr">
        <is>
          <t>BaseHitDamage</t>
        </is>
      </c>
      <c r="L1547" s="5" t="inlineStr">
        <is>
          <t>NonCritAvg</t>
        </is>
      </c>
      <c r="M1547" s="5" t="inlineStr">
        <is>
          <t>CritAvg</t>
        </is>
      </c>
      <c r="N1547" s="5" t="inlineStr">
        <is>
          <t>ExpectedDamage(perHit)</t>
        </is>
      </c>
      <c r="O1547" s="5" t="inlineStr">
        <is>
          <t>DPS</t>
        </is>
      </c>
      <c r="P1547" s="5" t="inlineStr">
        <is>
          <t>% of Total</t>
        </is>
      </c>
      <c r="R1547" t="inlineStr">
        <is>
          <t>helpers</t>
        </is>
      </c>
    </row>
    <row r="1548">
      <c r="A1548">
        <f>Skills!A2</f>
        <v/>
      </c>
      <c r="B1548">
        <f>Skills!B2</f>
        <v/>
      </c>
      <c r="C1548">
        <f>Inputs!$B$3&gt;=100</f>
        <v/>
      </c>
      <c r="D1548" t="inlineStr"/>
      <c r="E1548" t="inlineStr"/>
      <c r="F1548">
        <f>T1550+Skills!N2</f>
        <v/>
      </c>
      <c r="G1548">
        <f>Calc!G2</f>
        <v/>
      </c>
      <c r="H1548">
        <f>Calc!H2</f>
        <v/>
      </c>
      <c r="I1548">
        <f>IF(Skills!T2&lt;&gt;"",1+(Skills!T2/10)*(Z1549/1000)/100,1)</f>
        <v/>
      </c>
      <c r="J1548">
        <f>((Inputs!$B$6*(1+Inputs!$B$7/100))+(((Inputs!$B$12*(1+Inputs!$B$13/100))-(Inputs!$B$12*(1+Inputs!$B$13/100)))+0.25*(Inputs!$B$14-Inputs!$B$14))*(1+Inputs!$B$7/100))*(F1548/100)</f>
        <v/>
      </c>
      <c r="K1548">
        <f>J1548*(1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2="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1548)</f>
        <v/>
      </c>
      <c r="L1548">
        <f>K1548*(MIN(Inputs!$B$22+(F1564-Calc!F18),(Inputs!$B$23+(IF(ArtifactsInput!$M$15,CHOOSE(ArtifactsInput!$N$15+1,25,30,35,40,45,50)/100*(Inputs!$B$11-Inputs!$B$11),0))))/100+(Inputs!$B$23+(IF(ArtifactsInput!$M$15,CHOOSE(ArtifactsInput!$N$15+1,25,30,35,40,45,50)/100*(Inputs!$B$11-Inputs!$B$11),0)))/100)/2</f>
        <v/>
      </c>
      <c r="M1548">
        <f>L1548*(1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48">
        <f>L1548*(1-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1548*(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48">
        <f>(1-Summary!$B$11)*S1548+Summary!$B$11*U1548</f>
        <v/>
      </c>
      <c r="P1548">
        <f>IF(B1583=0,0,O1548/B1583)</f>
        <v/>
      </c>
      <c r="Q1548">
        <f>IFERROR(1/(IF(Inputs!$B$38="pvp",15,MAX(0.1,Skills!D2-IF(TRUE=TRUE,Inputs!$B$32,0)))*(1-IF(AND(ArtifactsInput!$M$27,Inputs!$B$4="Chapter Hunt"),CHOOSE(ArtifactsInput!$N$27+1,20,24,28,32,36,40),0)/100)),0)</f>
        <v/>
      </c>
      <c r="R1548" t="n">
        <v>0</v>
      </c>
      <c r="S1548">
        <f>IF(C1548,(Skills!F2*N1548*B1579)*IF(Inputs!$B$38="pvp",1,1+(Inputs!$B$20+Skills!O2+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1548*(1-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1548*(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1548*(1-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1548*(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48">
        <f>MAX(0,(Inputs!$B$3-100)*3)+Inputs!$B$28+Inputs!$B$29</f>
        <v/>
      </c>
      <c r="U1548">
        <f>IF(C1548,(Skills!F2*N1548*B1579)*IF(Inputs!$B$38="pvp",1,(1+(Inputs!$B$21+Skills!P2+B1574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48">
        <f>MAX(0,(Inputs!$B$3-100)*3)+Inputs!$B$28+Inputs!$B$29</f>
        <v/>
      </c>
    </row>
    <row r="1549">
      <c r="A1549">
        <f>Skills!A3</f>
        <v/>
      </c>
      <c r="B1549">
        <f>Skills!B3</f>
        <v/>
      </c>
      <c r="C1549">
        <f>Inputs!$B$3&gt;=15</f>
        <v/>
      </c>
      <c r="D1549">
        <f>IF(Skills!C3=1,60+Inputs!$B$25+Inputs!$B$29,IF(Skills!C3=2,90+Inputs!$B$26+Inputs!$B$29,IF(Skills!C3=3,120+Inputs!$B$27+Inputs!$B$29,MAX(0,(Inputs!$B$3-100)*3)+Inputs!$B$28+Inputs!$B$29)))</f>
        <v/>
      </c>
      <c r="E1549">
        <f>INDEX(FactorTable!$B$2:$Y$301, MATCH(ROUND(MIN(300,MAX(1,D1549)),0), FactorTable!$A$2:$A$301,0), Skills!L3+1)</f>
        <v/>
      </c>
      <c r="F1549">
        <f>IF(Skills!M3=TRUE,(Skills!K3/10)*(E1549/1000),Skills!K3/10)+Skills!N3</f>
        <v/>
      </c>
      <c r="G1549">
        <f>Calc!G3</f>
        <v/>
      </c>
      <c r="H1549">
        <f>Calc!H3</f>
        <v/>
      </c>
      <c r="I1549">
        <f>IF(Skills!T3&lt;&gt;"",1+(Skills!T3/10)*(Z1549/1000)/100,1)</f>
        <v/>
      </c>
      <c r="J1549" t="inlineStr"/>
      <c r="K1549" t="inlineStr"/>
      <c r="L1549" t="inlineStr"/>
      <c r="M1549" t="inlineStr"/>
      <c r="N1549" t="inlineStr"/>
      <c r="O1549">
        <f>(1-Summary!$B$11)*S1549+Summary!$B$11*U1549</f>
        <v/>
      </c>
      <c r="P1549">
        <f>IF(B1583=0,0,O1549/B1583)</f>
        <v/>
      </c>
      <c r="Q1549">
        <f>IFERROR(1/(IF(Inputs!$B$38="pvp",15,MAX(0.1,Skills!D3-IF(TRUE=TRUE,Inputs!$B$32,0)))*(1-IF(AND(ArtifactsInput!$M$27,Inputs!$B$4="Chapter Hunt"),CHOOSE(ArtifactsInput!$N$27+1,20,24,28,32,36,40),0)/100)),0)</f>
        <v/>
      </c>
      <c r="R1549">
        <f>IF(AND(Inputs!$B$38&lt;&gt;"pvp",Inputs!$B$43&gt;0),IF(Inputs!$B$43&lt;=0,0,(INT(Inputs!$B$43/(IF(Inputs!$B$38="pvp",15,MAX(0.1,Skills!D3-IF(TRUE=TRUE,Inputs!$B$32,0)))*(1-IF(AND(ArtifactsInput!$M$27,Inputs!$B$4="Chapter Hunt"),CHOOSE(ArtifactsInput!$N$27+1,20,24,28,32,36,40),0)/100)))+1)),0)</f>
        <v/>
      </c>
      <c r="S1549" t="n">
        <v>0</v>
      </c>
      <c r="T1549">
        <f>INDEX(FactorTable!$B$2:$Y$301, MATCH(ROUND(MIN(300,MAX(1,T1548)),0), FactorTable!$A$2:$A$301,0), 22)</f>
        <v/>
      </c>
      <c r="U1549" t="n">
        <v>0</v>
      </c>
      <c r="Z1549">
        <f>INDEX(FactorTable!$B$2:$Y$301, MATCH(ROUND(MIN(300,MAX(1,Z1548)),0), FactorTable!$A$2:$A$301,0), 24)</f>
        <v/>
      </c>
    </row>
    <row r="1550">
      <c r="A1550">
        <f>Skills!A4</f>
        <v/>
      </c>
      <c r="B1550">
        <f>Skills!B4</f>
        <v/>
      </c>
      <c r="C1550">
        <f>Inputs!$B$3&gt;=40</f>
        <v/>
      </c>
      <c r="D1550">
        <f>IF(Skills!C4=1,60+Inputs!$B$25+Inputs!$B$29,IF(Skills!C4=2,90+Inputs!$B$26+Inputs!$B$29,IF(Skills!C4=3,120+Inputs!$B$27+Inputs!$B$29,MAX(0,(Inputs!$B$3-100)*3)+Inputs!$B$28+Inputs!$B$29)))</f>
        <v/>
      </c>
      <c r="E1550">
        <f>INDEX(FactorTable!$B$2:$Y$301, MATCH(ROUND(MIN(300,MAX(1,D1550)),0), FactorTable!$A$2:$A$301,0), Skills!L4+1)</f>
        <v/>
      </c>
      <c r="F1550">
        <f>IF(Skills!M4=TRUE,(Skills!K4/10)*(E1550/1000),Skills!K4/10)+Skills!N4</f>
        <v/>
      </c>
      <c r="G1550">
        <f>Calc!G4</f>
        <v/>
      </c>
      <c r="H1550">
        <f>Calc!H4</f>
        <v/>
      </c>
      <c r="I1550">
        <f>IF(Skills!T4&lt;&gt;"",1+(Skills!T4/10)*(Z1549/1000)/100,1)</f>
        <v/>
      </c>
      <c r="J1550" t="inlineStr"/>
      <c r="K1550" t="inlineStr"/>
      <c r="L1550" t="inlineStr"/>
      <c r="M1550" t="inlineStr"/>
      <c r="N1550" t="inlineStr"/>
      <c r="O1550">
        <f>(1-Summary!$B$11)*S1550+Summary!$B$11*U1550</f>
        <v/>
      </c>
      <c r="P1550">
        <f>IF(B1583=0,0,O1550/B1583)</f>
        <v/>
      </c>
      <c r="Q1550">
        <f>IFERROR(1/(IF(Inputs!$B$38="pvp",15,MAX(0.1,Skills!D4-IF(TRUE=TRUE,Inputs!$B$32,0)))*(1-IF(AND(ArtifactsInput!$M$27,Inputs!$B$4="Chapter Hunt"),CHOOSE(ArtifactsInput!$N$27+1,20,24,28,32,36,40),0)/100)),0)</f>
        <v/>
      </c>
      <c r="R1550">
        <f>IF(AND(Inputs!$B$38&lt;&gt;"pvp",Inputs!$B$43&gt;0),IF(Inputs!$B$43&lt;=0,0,(INT(Inputs!$B$43/(IF(Inputs!$B$38="pvp",15,MAX(0.1,Skills!D4-IF(TRUE=TRUE,Inputs!$B$32,0)))*(1-IF(AND(ArtifactsInput!$M$27,Inputs!$B$4="Chapter Hunt"),CHOOSE(ArtifactsInput!$N$27+1,20,24,28,32,36,40),0)/100)))+1)),0)</f>
        <v/>
      </c>
      <c r="S1550" t="n">
        <v>0</v>
      </c>
      <c r="T1550">
        <f>290*T1549/1000</f>
        <v/>
      </c>
      <c r="U1550" t="n">
        <v>0</v>
      </c>
    </row>
    <row r="1551">
      <c r="A1551">
        <f>Skills!A5</f>
        <v/>
      </c>
      <c r="B1551">
        <f>Skills!B5</f>
        <v/>
      </c>
      <c r="C1551">
        <f>Inputs!$B$3&gt;=38</f>
        <v/>
      </c>
      <c r="D1551">
        <f>IF(Skills!C5=1,60+Inputs!$B$25+Inputs!$B$29,IF(Skills!C5=2,90+Inputs!$B$26+Inputs!$B$29,IF(Skills!C5=3,120+Inputs!$B$27+Inputs!$B$29,MAX(0,(Inputs!$B$3-100)*3)+Inputs!$B$28+Inputs!$B$29)))</f>
        <v/>
      </c>
      <c r="E1551">
        <f>INDEX(FactorTable!$B$2:$Y$301, MATCH(ROUND(MIN(300,MAX(1,D1551)),0), FactorTable!$A$2:$A$301,0), Skills!L5+1)</f>
        <v/>
      </c>
      <c r="F1551">
        <f>IF(Skills!M5=TRUE,(Skills!K5/10)*(E1551/1000),Skills!K5/10)+Skills!N5</f>
        <v/>
      </c>
      <c r="G1551">
        <f>Calc!G5</f>
        <v/>
      </c>
      <c r="H1551">
        <f>Calc!H5</f>
        <v/>
      </c>
      <c r="I1551">
        <f>IF(Skills!T5&lt;&gt;"",1+(Skills!T5/10)*(Z1549/1000)/100,1)</f>
        <v/>
      </c>
      <c r="J1551">
        <f>((Inputs!$B$6*(1+Inputs!$B$7/100))+(((Inputs!$B$12*(1+Inputs!$B$13/100))-(Inputs!$B$12*(1+Inputs!$B$13/100)))+0.25*(Inputs!$B$14-Inputs!$B$14))*(1+Inputs!$B$7/100))*(F1551/100)</f>
        <v/>
      </c>
      <c r="K1551">
        <f>J1551*(1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5="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1551)</f>
        <v/>
      </c>
      <c r="L1551">
        <f>K1551*(MIN(Inputs!$B$22+(F1564-Calc!F18),(Inputs!$B$23+(IF(ArtifactsInput!$M$15,CHOOSE(ArtifactsInput!$N$15+1,25,30,35,40,45,50)/100*(Inputs!$B$11-Inputs!$B$11),0))))/100+(Inputs!$B$23+(IF(ArtifactsInput!$M$15,CHOOSE(ArtifactsInput!$N$15+1,25,30,35,40,45,50)/100*(Inputs!$B$11-Inputs!$B$11),0)))/100)/2</f>
        <v/>
      </c>
      <c r="M1551">
        <f>L1551*(1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1">
        <f>L1551*(1-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1">
        <f>(1-Summary!$B$11)*S1551+Summary!$B$11*U1551</f>
        <v/>
      </c>
      <c r="P1551">
        <f>IF(B1583=0,0,O1551/B1583)</f>
        <v/>
      </c>
      <c r="Q1551">
        <f>IFERROR(1/(IF(Inputs!$B$38="pvp",15,MAX(0.1,Skills!D5-IF(TRUE=TRUE,Inputs!$B$32,0)))*(1-IF(AND(ArtifactsInput!$M$27,Inputs!$B$4="Chapter Hunt"),CHOOSE(ArtifactsInput!$N$27+1,20,24,28,32,36,40),0)/100)),0)</f>
        <v/>
      </c>
      <c r="R1551">
        <f>IF(AND(Inputs!$B$38&lt;&gt;"pvp",Inputs!$B$43&gt;0),IF(MAX(0,Inputs!$B$43-B1580)&lt;=0,0,(INT(MAX(0,Inputs!$B$43-B1580)/(IF(Inputs!$B$38="pvp",15,MAX(0.1,Skills!D5-IF(TRUE=TRUE,Inputs!$B$32,0)))*(1-IF(AND(ArtifactsInput!$M$27,Inputs!$B$4="Chapter Hunt"),CHOOSE(ArtifactsInput!$N$27+1,20,24,28,32,36,40),0)/100)))+1)),0)</f>
        <v/>
      </c>
      <c r="S1551">
        <f>IF(C1551,(H1551*N1551*IF(AND(Inputs!$B$38&lt;&gt;"pvp",Inputs!$B$43&gt;0),((Skills!F5*((R1551-1)*IF(Skills!G5&gt;0,Skills!H5/Skills!G5,1)+IF(Skills!G5&gt;0,MIN(Skills!H5,MAX(0,MAX(0,Inputs!$B$43-B1580)-((R1551-1)*(IF(Inputs!$B$38="pvp",15,MAX(0.1,Skills!D5-IF(TRUE=TRUE,Inputs!$B$32,0)))*(1-IF(AND(ArtifactsInput!$M$27,Inputs!$B$4="Chapter Hunt"),CHOOSE(ArtifactsInput!$N$27+1,20,24,28,32,36,40),0)/100)))))/Skills!G5,1)))/Inputs!$B$43),G1551*Q1551))*IF(Inputs!$B$38="pvp",1,1+(Inputs!$B$20+Skills!O5+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1551*(1-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1551*(1-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1">
        <f>IF(C1551,(H1551*N1551*IF(AND(Inputs!$B$38&lt;&gt;"pvp",Inputs!$B$43&gt;0),((Skills!F5*((R1551-1)*IF(Skills!G5&gt;0,Skills!H5/Skills!G5,1)+IF(Skills!G5&gt;0,MIN(Skills!H5,MAX(0,MAX(0,Inputs!$B$43-B1580)-((R1551-1)*(IF(Inputs!$B$38="pvp",15,MAX(0.1,Skills!D5-IF(TRUE=TRUE,Inputs!$B$32,0)))*(1-IF(AND(ArtifactsInput!$M$27,Inputs!$B$4="Chapter Hunt"),CHOOSE(ArtifactsInput!$N$27+1,20,24,28,32,36,40),0)/100)))))/Skills!G5,1)))/Inputs!$B$43),G1551*Q1551))*IF(Inputs!$B$38="pvp",1,(1+(Inputs!$B$21+Skills!P5+B1574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2">
      <c r="A1552">
        <f>Skills!A6</f>
        <v/>
      </c>
      <c r="B1552">
        <f>Skills!B6</f>
        <v/>
      </c>
      <c r="C1552">
        <f>Inputs!$B$3&gt;=63</f>
        <v/>
      </c>
      <c r="D1552">
        <f>IF(Skills!C6=1,60+Inputs!$B$25+Inputs!$B$29,IF(Skills!C6=2,90+Inputs!$B$26+Inputs!$B$29,IF(Skills!C6=3,120+Inputs!$B$27+Inputs!$B$29,MAX(0,(Inputs!$B$3-100)*3)+Inputs!$B$28+Inputs!$B$29)))</f>
        <v/>
      </c>
      <c r="E1552">
        <f>INDEX(FactorTable!$B$2:$Y$301, MATCH(ROUND(MIN(300,MAX(1,D1552)),0), FactorTable!$A$2:$A$301,0), Skills!L6+1)</f>
        <v/>
      </c>
      <c r="F1552">
        <f>IF(Skills!M6=TRUE,(Skills!K6/10)*(E1552/1000),Skills!K6/10)+Skills!N6</f>
        <v/>
      </c>
      <c r="G1552">
        <f>Calc!G6</f>
        <v/>
      </c>
      <c r="H1552">
        <f>Calc!H6</f>
        <v/>
      </c>
      <c r="I1552">
        <f>IF(Skills!T6&lt;&gt;"",1+(Skills!T6/10)*(Z1549/1000)/100,1)</f>
        <v/>
      </c>
      <c r="J1552">
        <f>((Inputs!$B$6*(1+Inputs!$B$7/100))+(((Inputs!$B$12*(1+Inputs!$B$13/100))-(Inputs!$B$12*(1+Inputs!$B$13/100)))+0.25*(Inputs!$B$14-Inputs!$B$14))*(1+Inputs!$B$7/100))*(F1552/100)</f>
        <v/>
      </c>
      <c r="K1552">
        <f>J1552*(1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6="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1552)</f>
        <v/>
      </c>
      <c r="L1552">
        <f>K1552*(MIN(Inputs!$B$22+(F1564-Calc!F18),(Inputs!$B$23+(IF(ArtifactsInput!$M$15,CHOOSE(ArtifactsInput!$N$15+1,25,30,35,40,45,50)/100*(Inputs!$B$11-Inputs!$B$11),0))))/100+(Inputs!$B$23+(IF(ArtifactsInput!$M$15,CHOOSE(ArtifactsInput!$N$15+1,25,30,35,40,45,50)/100*(Inputs!$B$11-Inputs!$B$11),0)))/100)/2</f>
        <v/>
      </c>
      <c r="M1552">
        <f>L1552*(1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2">
        <f>L1552*(1-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1552*(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2">
        <f>(1-Summary!$B$11)*S1552+Summary!$B$11*U1552</f>
        <v/>
      </c>
      <c r="P1552">
        <f>IF(B1583=0,0,O1552/B1583)</f>
        <v/>
      </c>
      <c r="Q1552">
        <f>IFERROR(1/(IF(Inputs!$B$38="pvp",15,MAX(0.1,Skills!D6-IF(TRUE=TRUE,Inputs!$B$32,0)))*(1-IF(AND(ArtifactsInput!$M$27,Inputs!$B$4="Chapter Hunt"),CHOOSE(ArtifactsInput!$N$27+1,20,24,28,32,36,40),0)/100)),0)</f>
        <v/>
      </c>
      <c r="R1552">
        <f>IF(AND(Inputs!$B$38&lt;&gt;"pvp",Inputs!$B$43&gt;0),IF(MAX(0,Inputs!$B$43-B1580)&lt;=0,0,(INT(MAX(0,Inputs!$B$43-B1580)/(IF(Inputs!$B$38="pvp",15,MAX(0.1,Skills!D6-IF(TRUE=TRUE,Inputs!$B$32,0)))*(1-IF(AND(ArtifactsInput!$M$27,Inputs!$B$4="Chapter Hunt"),CHOOSE(ArtifactsInput!$N$27+1,20,24,28,32,36,40),0)/100)))+1)),0)</f>
        <v/>
      </c>
      <c r="S1552">
        <f>IF(C1552,(H1552*N1552*IF(AND(Inputs!$B$38&lt;&gt;"pvp",Inputs!$B$43&gt;0),((Skills!F6*((R1552-1)*IF(Skills!G6&gt;0,Skills!H6/Skills!G6,1)+IF(Skills!G6&gt;0,MIN(Skills!H6,MAX(0,MAX(0,Inputs!$B$43-B1580)-((R1552-1)*(IF(Inputs!$B$38="pvp",15,MAX(0.1,Skills!D6-IF(TRUE=TRUE,Inputs!$B$32,0)))*(1-IF(AND(ArtifactsInput!$M$27,Inputs!$B$4="Chapter Hunt"),CHOOSE(ArtifactsInput!$N$27+1,20,24,28,32,36,40),0)/100)))))/Skills!G6,1)))/Inputs!$B$43),G1552*Q1552))*IF(Inputs!$B$38="pvp",1,1+(Inputs!$B$20+Skills!O6+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1552*(1-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1552*(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1552*(1-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1552*(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2">
        <f>IF(C1552,(H1552*N1552*IF(AND(Inputs!$B$38&lt;&gt;"pvp",Inputs!$B$43&gt;0),((Skills!F6*((R1552-1)*IF(Skills!G6&gt;0,Skills!H6/Skills!G6,1)+IF(Skills!G6&gt;0,MIN(Skills!H6,MAX(0,MAX(0,Inputs!$B$43-B1580)-((R1552-1)*(IF(Inputs!$B$38="pvp",15,MAX(0.1,Skills!D6-IF(TRUE=TRUE,Inputs!$B$32,0)))*(1-IF(AND(ArtifactsInput!$M$27,Inputs!$B$4="Chapter Hunt"),CHOOSE(ArtifactsInput!$N$27+1,20,24,28,32,36,40),0)/100)))))/Skills!G6,1)))/Inputs!$B$43),G1552*Q1552))*IF(Inputs!$B$38="pvp",1,(1+(Inputs!$B$21+Skills!P6+B1574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3">
      <c r="A1553">
        <f>Skills!A7</f>
        <v/>
      </c>
      <c r="B1553">
        <f>Skills!B7</f>
        <v/>
      </c>
      <c r="C1553">
        <f>Inputs!$B$3&gt;=69</f>
        <v/>
      </c>
      <c r="D1553">
        <f>IF(Skills!C7=1,60+Inputs!$B$25+Inputs!$B$29,IF(Skills!C7=2,90+Inputs!$B$26+Inputs!$B$29,IF(Skills!C7=3,120+Inputs!$B$27+Inputs!$B$29,MAX(0,(Inputs!$B$3-100)*3)+Inputs!$B$28+Inputs!$B$29)))</f>
        <v/>
      </c>
      <c r="E1553">
        <f>INDEX(FactorTable!$B$2:$Y$301, MATCH(ROUND(MIN(300,MAX(1,D1553)),0), FactorTable!$A$2:$A$301,0), Skills!L7+1)</f>
        <v/>
      </c>
      <c r="F1553">
        <f>IF(Skills!M7=TRUE,(Skills!K7/10)*(E1553/1000),Skills!K7/10)+Skills!N7</f>
        <v/>
      </c>
      <c r="G1553">
        <f>Calc!G7</f>
        <v/>
      </c>
      <c r="H1553">
        <f>Calc!H7</f>
        <v/>
      </c>
      <c r="I1553">
        <f>IF(Skills!T7&lt;&gt;"",1+(Skills!T7/10)*(Z1549/1000)/100,1)</f>
        <v/>
      </c>
      <c r="J1553">
        <f>((Inputs!$B$6*(1+Inputs!$B$7/100))+(((Inputs!$B$12*(1+Inputs!$B$13/100))-(Inputs!$B$12*(1+Inputs!$B$13/100)))+0.25*(Inputs!$B$14-Inputs!$B$14))*(1+Inputs!$B$7/100))*(F1553/100)</f>
        <v/>
      </c>
      <c r="K1553">
        <f>J1553*(1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7="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1553)</f>
        <v/>
      </c>
      <c r="L1553">
        <f>K1553*(MIN(Inputs!$B$22+(F1564-Calc!F18),(Inputs!$B$23+(IF(ArtifactsInput!$M$15,CHOOSE(ArtifactsInput!$N$15+1,25,30,35,40,45,50)/100*(Inputs!$B$11-Inputs!$B$11),0))))/100+(Inputs!$B$23+(IF(ArtifactsInput!$M$15,CHOOSE(ArtifactsInput!$N$15+1,25,30,35,40,45,50)/100*(Inputs!$B$11-Inputs!$B$11),0)))/100)/2</f>
        <v/>
      </c>
      <c r="M1553">
        <f>L1553*(1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3">
        <f>L1553*(1-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1553*(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3">
        <f>(1-Summary!$B$11)*S1553+Summary!$B$11*U1553</f>
        <v/>
      </c>
      <c r="P1553">
        <f>IF(B1583=0,0,O1553/B1583)</f>
        <v/>
      </c>
      <c r="Q1553">
        <f>IFERROR(1/(IF(Inputs!$B$38="pvp",15,MAX(0.1,Skills!D7-IF(TRUE=TRUE,Inputs!$B$32,0)))*(1-IF(AND(ArtifactsInput!$M$27,Inputs!$B$4="Chapter Hunt"),CHOOSE(ArtifactsInput!$N$27+1,20,24,28,32,36,40),0)/100)),0)</f>
        <v/>
      </c>
      <c r="R1553">
        <f>IF(AND(Inputs!$B$38&lt;&gt;"pvp",Inputs!$B$43&gt;0),IF(MAX(0,Inputs!$B$43-B1580)&lt;=0,0,(INT(MAX(0,Inputs!$B$43-B1580)/(IF(Inputs!$B$38="pvp",15,MAX(0.1,Skills!D7-IF(TRUE=TRUE,Inputs!$B$32,0)))*(1-IF(AND(ArtifactsInput!$M$27,Inputs!$B$4="Chapter Hunt"),CHOOSE(ArtifactsInput!$N$27+1,20,24,28,32,36,40),0)/100)))+1)),0)</f>
        <v/>
      </c>
      <c r="S1553">
        <f>IF(C1553,(H1553*N1553*IF(AND(Inputs!$B$38&lt;&gt;"pvp",Inputs!$B$43&gt;0),((Skills!F7*((R1553-1)*IF(Skills!G7&gt;0,Skills!H7/Skills!G7,1)+IF(Skills!G7&gt;0,MIN(Skills!H7,MAX(0,MAX(0,Inputs!$B$43-B1580)-((R1553-1)*(IF(Inputs!$B$38="pvp",15,MAX(0.1,Skills!D7-IF(TRUE=TRUE,Inputs!$B$32,0)))*(1-IF(AND(ArtifactsInput!$M$27,Inputs!$B$4="Chapter Hunt"),CHOOSE(ArtifactsInput!$N$27+1,20,24,28,32,36,40),0)/100)))))/Skills!G7,1)))/Inputs!$B$43),G1553*Q1553))*IF(Inputs!$B$38="pvp",1,1+(Inputs!$B$20+Skills!O7+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1553*(1-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1553*(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1553*(1-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1553*(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3">
        <f>IF(C1553,(H1553*N1553*IF(AND(Inputs!$B$38&lt;&gt;"pvp",Inputs!$B$43&gt;0),((Skills!F7*((R1553-1)*IF(Skills!G7&gt;0,Skills!H7/Skills!G7,1)+IF(Skills!G7&gt;0,MIN(Skills!H7,MAX(0,MAX(0,Inputs!$B$43-B1580)-((R1553-1)*(IF(Inputs!$B$38="pvp",15,MAX(0.1,Skills!D7-IF(TRUE=TRUE,Inputs!$B$32,0)))*(1-IF(AND(ArtifactsInput!$M$27,Inputs!$B$4="Chapter Hunt"),CHOOSE(ArtifactsInput!$N$27+1,20,24,28,32,36,40),0)/100)))))/Skills!G7,1)))/Inputs!$B$43),G1553*Q1553))*IF(Inputs!$B$38="pvp",1,(1+(Inputs!$B$21+Skills!P7+B1574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4">
      <c r="A1554">
        <f>Skills!A8</f>
        <v/>
      </c>
      <c r="B1554">
        <f>Skills!B8</f>
        <v/>
      </c>
      <c r="C1554">
        <f>Inputs!$B$3&gt;=103</f>
        <v/>
      </c>
      <c r="D1554">
        <f>IF(Skills!C8=1,60+Inputs!$B$25+Inputs!$B$29,IF(Skills!C8=2,90+Inputs!$B$26+Inputs!$B$29,IF(Skills!C8=3,120+Inputs!$B$27+Inputs!$B$29,MAX(0,(Inputs!$B$3-100)*3)+Inputs!$B$28+Inputs!$B$29)))</f>
        <v/>
      </c>
      <c r="E1554">
        <f>INDEX(FactorTable!$B$2:$Y$301, MATCH(ROUND(MIN(300,MAX(1,D1554)),0), FactorTable!$A$2:$A$301,0), Skills!L8+1)</f>
        <v/>
      </c>
      <c r="F1554">
        <f>IF(Skills!M8=TRUE,(Skills!K8/10)*(E1554/1000),Skills!K8/10)+Skills!N8</f>
        <v/>
      </c>
      <c r="G1554">
        <f>Calc!G8</f>
        <v/>
      </c>
      <c r="H1554">
        <f>Calc!H8</f>
        <v/>
      </c>
      <c r="I1554">
        <f>IF(Skills!T8&lt;&gt;"",1+(Skills!T8/10)*(Z1549/1000)/100,1)</f>
        <v/>
      </c>
      <c r="J1554">
        <f>((Inputs!$B$6*(1+Inputs!$B$7/100))+(((Inputs!$B$12*(1+Inputs!$B$13/100))-(Inputs!$B$12*(1+Inputs!$B$13/100)))+0.25*(Inputs!$B$14-Inputs!$B$14))*(1+Inputs!$B$7/100))*(F1554/100)</f>
        <v/>
      </c>
      <c r="K1554">
        <f>J1554*(1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8="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1554)</f>
        <v/>
      </c>
      <c r="L1554">
        <f>K1554*(MIN(Inputs!$B$22+(F1564-Calc!F18),(Inputs!$B$23+(IF(ArtifactsInput!$M$15,CHOOSE(ArtifactsInput!$N$15+1,25,30,35,40,45,50)/100*(Inputs!$B$11-Inputs!$B$11),0))))/100+(Inputs!$B$23+(IF(ArtifactsInput!$M$15,CHOOSE(ArtifactsInput!$N$15+1,25,30,35,40,45,50)/100*(Inputs!$B$11-Inputs!$B$11),0)))/100)/2</f>
        <v/>
      </c>
      <c r="M1554">
        <f>L1554*(1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4">
        <f>L1554*(1-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1554*(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4">
        <f>(1-Summary!$B$11)*S1554+Summary!$B$11*U1554</f>
        <v/>
      </c>
      <c r="P1554">
        <f>IF(B1583=0,0,O1554/B1583)</f>
        <v/>
      </c>
      <c r="Q1554">
        <f>IFERROR(1/(IF(Inputs!$B$38="pvp",15,MAX(0.1,Skills!D8-IF(TRUE=TRUE,Inputs!$B$32,0)))*(1-IF(AND(ArtifactsInput!$M$27,Inputs!$B$4="Chapter Hunt"),CHOOSE(ArtifactsInput!$N$27+1,20,24,28,32,36,40),0)/100)),0)</f>
        <v/>
      </c>
      <c r="R1554">
        <f>IF(AND(Inputs!$B$38&lt;&gt;"pvp",Inputs!$B$43&gt;0),IF(MAX(0,Inputs!$B$43-B1580)&lt;=0,0,(INT(MAX(0,Inputs!$B$43-B1580)/(IF(Inputs!$B$38="pvp",15,MAX(0.1,Skills!D8-IF(TRUE=TRUE,Inputs!$B$32,0)))*(1-IF(AND(ArtifactsInput!$M$27,Inputs!$B$4="Chapter Hunt"),CHOOSE(ArtifactsInput!$N$27+1,20,24,28,32,36,40),0)/100)))+1)),0)</f>
        <v/>
      </c>
      <c r="S1554">
        <f>IF(C1554,(H1554*N1554*IF(AND(Inputs!$B$38&lt;&gt;"pvp",Inputs!$B$43&gt;0),((Skills!F8*((R1554-1)*IF(Skills!G8&gt;0,Skills!H8/Skills!G8,1)+IF(Skills!G8&gt;0,MIN(Skills!H8,MAX(0,MAX(0,Inputs!$B$43-B1580)-((R1554-1)*(IF(Inputs!$B$38="pvp",15,MAX(0.1,Skills!D8-IF(TRUE=TRUE,Inputs!$B$32,0)))*(1-IF(AND(ArtifactsInput!$M$27,Inputs!$B$4="Chapter Hunt"),CHOOSE(ArtifactsInput!$N$27+1,20,24,28,32,36,40),0)/100)))))/Skills!G8,1)))/Inputs!$B$43),G1554*Q1554))*IF(Inputs!$B$38="pvp",1,1+(Inputs!$B$20+Skills!O8+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1554*(1-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1554*(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1554*(1-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1554*(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4">
        <f>IF(C1554,(H1554*N1554*IF(AND(Inputs!$B$38&lt;&gt;"pvp",Inputs!$B$43&gt;0),((Skills!F8*((R1554-1)*IF(Skills!G8&gt;0,Skills!H8/Skills!G8,1)+IF(Skills!G8&gt;0,MIN(Skills!H8,MAX(0,MAX(0,Inputs!$B$43-B1580)-((R1554-1)*(IF(Inputs!$B$38="pvp",15,MAX(0.1,Skills!D8-IF(TRUE=TRUE,Inputs!$B$32,0)))*(1-IF(AND(ArtifactsInput!$M$27,Inputs!$B$4="Chapter Hunt"),CHOOSE(ArtifactsInput!$N$27+1,20,24,28,32,36,40),0)/100)))))/Skills!G8,1)))/Inputs!$B$43),G1554*Q1554))*IF(Inputs!$B$38="pvp",1,(1+(Inputs!$B$21+Skills!P8+B1574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5">
      <c r="A1555">
        <f>Skills!A9</f>
        <v/>
      </c>
      <c r="B1555">
        <f>Skills!B9</f>
        <v/>
      </c>
      <c r="C1555">
        <f>Inputs!$B$3&gt;=105</f>
        <v/>
      </c>
      <c r="D1555">
        <f>IF(Skills!C9=1,60+Inputs!$B$25+Inputs!$B$29,IF(Skills!C9=2,90+Inputs!$B$26+Inputs!$B$29,IF(Skills!C9=3,120+Inputs!$B$27+Inputs!$B$29,MAX(0,(Inputs!$B$3-100)*3)+Inputs!$B$28+Inputs!$B$29)))</f>
        <v/>
      </c>
      <c r="E1555">
        <f>INDEX(FactorTable!$B$2:$Y$301, MATCH(ROUND(MIN(300,MAX(1,D1555)),0), FactorTable!$A$2:$A$301,0), Skills!L9+1)</f>
        <v/>
      </c>
      <c r="F1555">
        <f>IF(Skills!M9=TRUE,(Skills!K9/10)*(E1555/1000),Skills!K9/10)+Skills!N9</f>
        <v/>
      </c>
      <c r="G1555">
        <f>Calc!G9</f>
        <v/>
      </c>
      <c r="H1555">
        <f>Calc!H9</f>
        <v/>
      </c>
      <c r="I1555">
        <f>IF(Skills!T9&lt;&gt;"",1+(Skills!T9/10)*(Z1549/1000)/100,1)</f>
        <v/>
      </c>
      <c r="J1555">
        <f>((Inputs!$B$6*(1+Inputs!$B$7/100))+(((Inputs!$B$12*(1+Inputs!$B$13/100))-(Inputs!$B$12*(1+Inputs!$B$13/100)))+0.25*(Inputs!$B$14-Inputs!$B$14))*(1+Inputs!$B$7/100))*(F1555/100)</f>
        <v/>
      </c>
      <c r="K1555">
        <f>J1555*(1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9="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1555)</f>
        <v/>
      </c>
      <c r="L1555">
        <f>K1555*(MIN(Inputs!$B$22+(F1564-Calc!F18),(Inputs!$B$23+(IF(ArtifactsInput!$M$15,CHOOSE(ArtifactsInput!$N$15+1,25,30,35,40,45,50)/100*(Inputs!$B$11-Inputs!$B$11),0))))/100+(Inputs!$B$23+(IF(ArtifactsInput!$M$15,CHOOSE(ArtifactsInput!$N$15+1,25,30,35,40,45,50)/100*(Inputs!$B$11-Inputs!$B$11),0)))/100)/2</f>
        <v/>
      </c>
      <c r="M1555">
        <f>L1555*(1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5">
        <f>L1555*(1-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1555*(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5">
        <f>(1-Summary!$B$11)*S1555+Summary!$B$11*U1555</f>
        <v/>
      </c>
      <c r="P1555">
        <f>IF(B1583=0,0,O1555/B1583)</f>
        <v/>
      </c>
      <c r="Q1555">
        <f>IFERROR(1/(IF(Inputs!$B$38="pvp",15,MAX(0.1,Skills!D9-IF(TRUE=TRUE,Inputs!$B$32,0)))*(1-IF(AND(ArtifactsInput!$M$27,Inputs!$B$4="Chapter Hunt"),CHOOSE(ArtifactsInput!$N$27+1,20,24,28,32,36,40),0)/100)),0)</f>
        <v/>
      </c>
      <c r="R1555">
        <f>IF(AND(Inputs!$B$38&lt;&gt;"pvp",Inputs!$B$43&gt;0),IF(MAX(0,Inputs!$B$43-B1580)&lt;=0,0,(INT(MAX(0,Inputs!$B$43-B1580)/(IF(Inputs!$B$38="pvp",15,MAX(0.1,Skills!D9-IF(TRUE=TRUE,Inputs!$B$32,0)))*(1-IF(AND(ArtifactsInput!$M$27,Inputs!$B$4="Chapter Hunt"),CHOOSE(ArtifactsInput!$N$27+1,20,24,28,32,36,40),0)/100)))+1)),0)</f>
        <v/>
      </c>
      <c r="S1555">
        <f>IF(C1555,(H1555*N1555*IF(AND(Inputs!$B$38&lt;&gt;"pvp",Inputs!$B$43&gt;0),((Skills!F9*((R1555-1)*IF(Skills!G9&gt;0,Skills!H9/Skills!G9,1)+IF(Skills!G9&gt;0,MIN(Skills!H9,MAX(0,MAX(0,Inputs!$B$43-B1580)-((R1555-1)*(IF(Inputs!$B$38="pvp",15,MAX(0.1,Skills!D9-IF(TRUE=TRUE,Inputs!$B$32,0)))*(1-IF(AND(ArtifactsInput!$M$27,Inputs!$B$4="Chapter Hunt"),CHOOSE(ArtifactsInput!$N$27+1,20,24,28,32,36,40),0)/100)))))/Skills!G9,1)))/Inputs!$B$43),G1555*Q1555))*IF(Inputs!$B$38="pvp",1,1+(Inputs!$B$20+Skills!O9+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1555*(1-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1555*(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1555*(1-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1555*(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5">
        <f>IF(C1555,(H1555*N1555*IF(AND(Inputs!$B$38&lt;&gt;"pvp",Inputs!$B$43&gt;0),((Skills!F9*((R1555-1)*IF(Skills!G9&gt;0,Skills!H9/Skills!G9,1)+IF(Skills!G9&gt;0,MIN(Skills!H9,MAX(0,MAX(0,Inputs!$B$43-B1580)-((R1555-1)*(IF(Inputs!$B$38="pvp",15,MAX(0.1,Skills!D9-IF(TRUE=TRUE,Inputs!$B$32,0)))*(1-IF(AND(ArtifactsInput!$M$27,Inputs!$B$4="Chapter Hunt"),CHOOSE(ArtifactsInput!$N$27+1,20,24,28,32,36,40),0)/100)))))/Skills!G9,1)))/Inputs!$B$43),G1555*Q1555))*IF(Inputs!$B$38="pvp",1,(1+(Inputs!$B$21+Skills!P9+B1574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6">
      <c r="A1556">
        <f>Skills!A10</f>
        <v/>
      </c>
      <c r="B1556">
        <f>Skills!B10</f>
        <v/>
      </c>
      <c r="C1556">
        <f>Inputs!$B$3&gt;=113</f>
        <v/>
      </c>
      <c r="D1556">
        <f>IF(Skills!C10=1,60+Inputs!$B$25+Inputs!$B$29,IF(Skills!C10=2,90+Inputs!$B$26+Inputs!$B$29,IF(Skills!C10=3,120+Inputs!$B$27+Inputs!$B$29,MAX(0,(Inputs!$B$3-100)*3)+Inputs!$B$28+Inputs!$B$29)))</f>
        <v/>
      </c>
      <c r="E1556">
        <f>INDEX(FactorTable!$B$2:$Y$301, MATCH(ROUND(MIN(300,MAX(1,D1556)),0), FactorTable!$A$2:$A$301,0), Skills!L10+1)</f>
        <v/>
      </c>
      <c r="F1556">
        <f>IF(Skills!M10=TRUE,(Skills!K10/10)*(E1556/1000),Skills!K10/10)+Skills!N10</f>
        <v/>
      </c>
      <c r="G1556">
        <f>Calc!G10</f>
        <v/>
      </c>
      <c r="H1556">
        <f>Calc!H10</f>
        <v/>
      </c>
      <c r="I1556">
        <f>IF(Skills!T10&lt;&gt;"",1+(Skills!T10/10)*(Z1549/1000)/100,1)</f>
        <v/>
      </c>
      <c r="J1556">
        <f>((Inputs!$B$6*(1+Inputs!$B$7/100))+(((Inputs!$B$12*(1+Inputs!$B$13/100))-(Inputs!$B$12*(1+Inputs!$B$13/100)))+0.25*(Inputs!$B$14-Inputs!$B$14))*(1+Inputs!$B$7/100))*(F1556/100)</f>
        <v/>
      </c>
      <c r="K1556">
        <f>J1556*(1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10="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1556)</f>
        <v/>
      </c>
      <c r="L1556">
        <f>K1556*(MIN(Inputs!$B$22+(F1564-Calc!F18),(Inputs!$B$23+(IF(ArtifactsInput!$M$15,CHOOSE(ArtifactsInput!$N$15+1,25,30,35,40,45,50)/100*(Inputs!$B$11-Inputs!$B$11),0))))/100+(Inputs!$B$23+(IF(ArtifactsInput!$M$15,CHOOSE(ArtifactsInput!$N$15+1,25,30,35,40,45,50)/100*(Inputs!$B$11-Inputs!$B$11),0)))/100)/2</f>
        <v/>
      </c>
      <c r="M1556">
        <f>L1556*(1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6">
        <f>L1556*(1-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1556*(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6">
        <f>(1-Summary!$B$11)*S1556+Summary!$B$11*U1556</f>
        <v/>
      </c>
      <c r="P1556">
        <f>IF(B1583=0,0,O1556/B1583)</f>
        <v/>
      </c>
      <c r="Q1556">
        <f>IFERROR(1/(IF(Inputs!$B$38="pvp",15,MAX(0.1,Skills!D10-IF(TRUE=TRUE,Inputs!$B$32,0)))*(1-IF(AND(ArtifactsInput!$M$27,Inputs!$B$4="Chapter Hunt"),CHOOSE(ArtifactsInput!$N$27+1,20,24,28,32,36,40),0)/100)),0)</f>
        <v/>
      </c>
      <c r="R1556" t="n">
        <v>0</v>
      </c>
      <c r="S1556">
        <f>IF(C1556,((H1556*B1584)/(1+Skills!G10*H1556*B1584)*N1556)*IF(Inputs!$B$38="pvp",1,1+(Inputs!$B$20+Skills!O10+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1556*(1-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1556*(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1556*(1-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1556*(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6">
        <f>IF(C1556,((H1556*B1584)/(1+Skills!G10*H1556*B1584)*N1556)*IF(Inputs!$B$38="pvp",1,(1+(Inputs!$B$21+Skills!P10+B1574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7">
      <c r="A1557">
        <f>Skills!A11</f>
        <v/>
      </c>
      <c r="B1557">
        <f>Skills!B11</f>
        <v/>
      </c>
      <c r="C1557">
        <f>Inputs!$B$3&gt;=107</f>
        <v/>
      </c>
      <c r="D1557">
        <f>IF(Skills!C11=1,60+Inputs!$B$25+Inputs!$B$29,IF(Skills!C11=2,90+Inputs!$B$26+Inputs!$B$29,IF(Skills!C11=3,120+Inputs!$B$27+Inputs!$B$29,MAX(0,(Inputs!$B$3-100)*3)+Inputs!$B$28+Inputs!$B$29)))</f>
        <v/>
      </c>
      <c r="E1557">
        <f>INDEX(FactorTable!$B$2:$Y$301, MATCH(ROUND(MIN(300,MAX(1,D1557)),0), FactorTable!$A$2:$A$301,0), Skills!L11+1)</f>
        <v/>
      </c>
      <c r="F1557">
        <f>IF(Skills!M11=TRUE,(Skills!K11/10)*(E1557/1000),Skills!K11/10)+Skills!N11</f>
        <v/>
      </c>
      <c r="G1557">
        <f>Calc!G11</f>
        <v/>
      </c>
      <c r="H1557">
        <f>Calc!H11</f>
        <v/>
      </c>
      <c r="I1557">
        <f>IF(Skills!T11&lt;&gt;"",1+(Skills!T11/10)*(Z1549/1000)/100,1)</f>
        <v/>
      </c>
      <c r="J1557">
        <f>((Inputs!$B$6*(1+Inputs!$B$7/100))+(((Inputs!$B$12*(1+Inputs!$B$13/100))-(Inputs!$B$12*(1+Inputs!$B$13/100)))+0.25*(Inputs!$B$14-Inputs!$B$14))*(1+Inputs!$B$7/100))*(F1557/100)</f>
        <v/>
      </c>
      <c r="K1557">
        <f>J1557*(1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11="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1557)</f>
        <v/>
      </c>
      <c r="L1557">
        <f>K1557*(MIN(Inputs!$B$22+(F1564-Calc!F18),(Inputs!$B$23+(IF(ArtifactsInput!$M$15,CHOOSE(ArtifactsInput!$N$15+1,25,30,35,40,45,50)/100*(Inputs!$B$11-Inputs!$B$11),0))))/100+(Inputs!$B$23+(IF(ArtifactsInput!$M$15,CHOOSE(ArtifactsInput!$N$15+1,25,30,35,40,45,50)/100*(Inputs!$B$11-Inputs!$B$11),0)))/100)/2</f>
        <v/>
      </c>
      <c r="M1557">
        <f>L1557*(1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7">
        <f>L1557*(1-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1557*(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7">
        <f>(1-Summary!$B$11)*S1557+Summary!$B$11*U1557</f>
        <v/>
      </c>
      <c r="P1557">
        <f>IF(B1583=0,0,O1557/B1583)</f>
        <v/>
      </c>
      <c r="Q1557">
        <f>IFERROR(1/(IF(Inputs!$B$38="pvp",15,MAX(0.1,Skills!D11-IF(TRUE=TRUE,Inputs!$B$32,0)))*(1-IF(AND(ArtifactsInput!$M$27,Inputs!$B$4="Chapter Hunt"),CHOOSE(ArtifactsInput!$N$27+1,20,24,28,32,36,40),0)/100)),0)</f>
        <v/>
      </c>
      <c r="R1557">
        <f>IF(AND(Inputs!$B$38&lt;&gt;"pvp",Inputs!$B$43&gt;0),IF(MAX(0,Inputs!$B$43-B1580)&lt;=0,0,(INT(MAX(0,Inputs!$B$43-B1580)/(IF(Inputs!$B$38="pvp",15,MAX(0.1,Skills!D11-IF(TRUE=TRUE,Inputs!$B$32,0)))*(1-IF(AND(ArtifactsInput!$M$27,Inputs!$B$4="Chapter Hunt"),CHOOSE(ArtifactsInput!$N$27+1,20,24,28,32,36,40),0)/100)))+1)),0)</f>
        <v/>
      </c>
      <c r="S1557">
        <f>IF(C1557,H1557*N1557*IF(AND(Inputs!$B$38&lt;&gt;"pvp",Inputs!$B$43&gt;0),((Skills!F11*((R1557-1)*IF(Skills!G11&gt;0,Skills!H11/Skills!G11,1)+IF(Skills!G11&gt;0,MIN(Skills!H11,MAX(0,MAX(0,Inputs!$B$43-B1580)-((R1557-1)*(IF(Inputs!$B$38="pvp",15,MAX(0.1,Skills!D11-IF(TRUE=TRUE,Inputs!$B$32,0)))*(1-IF(AND(ArtifactsInput!$M$27,Inputs!$B$4="Chapter Hunt"),CHOOSE(ArtifactsInput!$N$27+1,20,24,28,32,36,40),0)/100)))))/Skills!G11,1)))/Inputs!$B$43),G1557*Q1557)*0.5*IF(Inputs!$B$38="pvp",1,1+(Inputs!$B$20+Skills!O11+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1557*(1-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1557*(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1557*(1-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1557*(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7">
        <f>IF(C1557,H1557*N1557*IF(AND(Inputs!$B$38&lt;&gt;"pvp",Inputs!$B$43&gt;0),((Skills!F11*((R1557-1)*IF(Skills!G11&gt;0,Skills!H11/Skills!G11,1)+IF(Skills!G11&gt;0,MIN(Skills!H11,MAX(0,MAX(0,Inputs!$B$43-B1580)-((R1557-1)*(IF(Inputs!$B$38="pvp",15,MAX(0.1,Skills!D11-IF(TRUE=TRUE,Inputs!$B$32,0)))*(1-IF(AND(ArtifactsInput!$M$27,Inputs!$B$4="Chapter Hunt"),CHOOSE(ArtifactsInput!$N$27+1,20,24,28,32,36,40),0)/100)))))/Skills!G11,1)))/Inputs!$B$43),G1557*Q1557)*1*IF(Inputs!$B$38="pvp",1,(1+(Inputs!$B$21+Skills!P11+B1574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8">
      <c r="A1558">
        <f>Skills!A12</f>
        <v/>
      </c>
      <c r="B1558">
        <f>Skills!B12</f>
        <v/>
      </c>
      <c r="C1558">
        <f>Inputs!$B$3&gt;=115</f>
        <v/>
      </c>
      <c r="D1558">
        <f>IF(Skills!C12=1,60+Inputs!$B$25+Inputs!$B$29,IF(Skills!C12=2,90+Inputs!$B$26+Inputs!$B$29,IF(Skills!C12=3,120+Inputs!$B$27+Inputs!$B$29,MAX(0,(Inputs!$B$3-100)*3)+Inputs!$B$28+Inputs!$B$29)))</f>
        <v/>
      </c>
      <c r="E1558">
        <f>INDEX(FactorTable!$B$2:$Y$301, MATCH(ROUND(MIN(300,MAX(1,D1558)),0), FactorTable!$A$2:$A$301,0), Skills!L12+1)</f>
        <v/>
      </c>
      <c r="F1558">
        <f>IF(Skills!M12=TRUE,(Skills!K12/10)*(E1558/1000),Skills!K12/10)+Skills!N12</f>
        <v/>
      </c>
      <c r="G1558">
        <f>Calc!G12</f>
        <v/>
      </c>
      <c r="H1558">
        <f>Calc!H12</f>
        <v/>
      </c>
      <c r="I1558">
        <f>IF(Skills!T12&lt;&gt;"",1+(Skills!T12/10)*(Z1549/1000)/100,1)</f>
        <v/>
      </c>
      <c r="J1558">
        <f>((Inputs!$B$6*(1+Inputs!$B$7/100))+(((Inputs!$B$12*(1+Inputs!$B$13/100))-(Inputs!$B$12*(1+Inputs!$B$13/100)))+0.25*(Inputs!$B$14-Inputs!$B$14))*(1+Inputs!$B$7/100))*(F1558/100)</f>
        <v/>
      </c>
      <c r="K1558">
        <f>J1558*(1+((Inputs!$B$12*(1+Inputs!$B$13/100))*0.01+Inputs!$B$14*0.0025)/100)*(1+(Inputs!$B$15+B1575)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1561=TRUE,F1561,0)/100)*(1+IF(C1569=TRUE,F1569,0)/100)^5*(1+(IF(Skills!A12="CHAIN_LIGHTNING",Inputs!$B$17+((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1573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1558)</f>
        <v/>
      </c>
      <c r="L1558">
        <f>K1558*(MIN(Inputs!$B$22+(F1564-Calc!F18),(Inputs!$B$23+(IF(ArtifactsInput!$M$15,CHOOSE(ArtifactsInput!$N$15+1,25,30,35,40,45,50)/100*(Inputs!$B$11-Inputs!$B$11),0))))/100+(Inputs!$B$23+(IF(ArtifactsInput!$M$15,CHOOSE(ArtifactsInput!$N$15+1,25,30,35,40,45,50)/100*(Inputs!$B$11-Inputs!$B$11),0)))/100)/2</f>
        <v/>
      </c>
      <c r="M1558">
        <f>L1558*(1+(Inputs!$B$10+(F1567-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8">
        <f>L1558*(1-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1558*(MIN((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8">
        <f>(1-Summary!$B$11)*S1558+Summary!$B$11*U1558</f>
        <v/>
      </c>
      <c r="P1558">
        <f>IF(B1583=0,0,O1558/B1583)</f>
        <v/>
      </c>
      <c r="Q1558">
        <f>IFERROR(1/(IF(Inputs!$B$38="pvp",15,MAX(0.1,Skills!D12-IF(TRUE=TRUE,Inputs!$B$32,0)))*(1-IF(AND(ArtifactsInput!$M$27,Inputs!$B$4="Chapter Hunt"),CHOOSE(ArtifactsInput!$N$27+1,20,24,28,32,36,40),0)/100)),0)</f>
        <v/>
      </c>
      <c r="R1558">
        <f>IF(AND(Inputs!$B$38&lt;&gt;"pvp",Inputs!$B$43&gt;0),IF(MAX(0,Inputs!$B$43-B1580)&lt;=0,0,(INT(MAX(0,Inputs!$B$43-B1580)/(IF(Inputs!$B$38="pvp",15,MAX(0.1,Skills!D12-IF(TRUE=TRUE,Inputs!$B$32,0)))*(1-IF(AND(ArtifactsInput!$M$27,Inputs!$B$4="Chapter Hunt"),CHOOSE(ArtifactsInput!$N$27+1,20,24,28,32,36,40),0)/100)))+1)),0)</f>
        <v/>
      </c>
      <c r="S1558">
        <f>IF(C1558,(H1558*N1558*IF(AND(Inputs!$B$38&lt;&gt;"pvp",Inputs!$B$43&gt;0),((Skills!F12*((R1558-1)*IF(Skills!G12&gt;0,Skills!H12/Skills!G12,1)+IF(Skills!G12&gt;0,MIN(Skills!H12,MAX(0,MAX(0,Inputs!$B$43-B1580)-((R1558-1)*(IF(Inputs!$B$38="pvp",15,MAX(0.1,Skills!D12-IF(TRUE=TRUE,Inputs!$B$32,0)))*(1-IF(AND(ArtifactsInput!$M$27,Inputs!$B$4="Chapter Hunt"),CHOOSE(ArtifactsInput!$N$27+1,20,24,28,32,36,40),0)/100)))))/Skills!G12,1)))/Inputs!$B$43),G1558*Q1558))*IF(Inputs!$B$38="pvp",1,1+(Inputs!$B$20+Skills!O12+B1574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1558*(1-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1558*(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1558*(1-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1558*(MIN(100,(Inputs!$B$9+((F1566-Calc!F20)+(F1565-Calc!F19))+(ArtifactsInput!$M$24-ArtifactsInput!$M$24)*CHOOSE(ArtifactsInput!$N$24+1,10,12,14,16,18,20)+(IF(AND(Inputs!$B$38&lt;&gt;"pvp",Inputs!$B$43=0),1,IF(IF(Inputs!$B$38="pvp",15,Inputs!$B$43)-(B1580)&lt;=0,1,MAX(0,IF(Inputs!$B$38="pvp",15,Inputs!$B$43)-MAX(5,B1580))/(IF(Inputs!$B$38="pvp",15,Inputs!$B$43)-(B1580)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8">
        <f>IF(C1558,(H1558*N1558*IF(AND(Inputs!$B$38&lt;&gt;"pvp",Inputs!$B$43&gt;0),((Skills!F12*((R1558-1)*IF(Skills!G12&gt;0,Skills!H12/Skills!G12,1)+IF(Skills!G12&gt;0,MIN(Skills!H12,MAX(0,MAX(0,Inputs!$B$43-B1580)-((R1558-1)*(IF(Inputs!$B$38="pvp",15,MAX(0.1,Skills!D12-IF(TRUE=TRUE,Inputs!$B$32,0)))*(1-IF(AND(ArtifactsInput!$M$27,Inputs!$B$4="Chapter Hunt"),CHOOSE(ArtifactsInput!$N$27+1,20,24,28,32,36,40),0)/100)))))/Skills!G12,1)))/Inputs!$B$43),G1558*Q1558))*IF(Inputs!$B$38="pvp",1,(1+(Inputs!$B$21+Skills!P12+B1574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9">
      <c r="A1559">
        <f>Skills!A13</f>
        <v/>
      </c>
      <c r="B1559">
        <f>Skills!B13</f>
        <v/>
      </c>
      <c r="C1559">
        <f>Inputs!$B$3&gt;=49</f>
        <v/>
      </c>
      <c r="D1559">
        <f>IF(Skills!C13=1,60+Inputs!$B$25+Inputs!$B$29,IF(Skills!C13=2,90+Inputs!$B$26+Inputs!$B$29,IF(Skills!C13=3,120+Inputs!$B$27+Inputs!$B$29,MAX(0,(Inputs!$B$3-100)*3)+Inputs!$B$28+Inputs!$B$29)))</f>
        <v/>
      </c>
      <c r="E1559">
        <f>INDEX(FactorTable!$B$2:$Y$301, MATCH(ROUND(MIN(300,MAX(1,D1559)),0), FactorTable!$A$2:$A$301,0), Skills!L13+1)</f>
        <v/>
      </c>
      <c r="F1559">
        <f>IF(Skills!M13=TRUE,(Skills!K13/10)*(E1559/1000),Skills!K13/10)+Skills!N13</f>
        <v/>
      </c>
      <c r="G1559">
        <f>Calc!G13</f>
        <v/>
      </c>
      <c r="H1559">
        <f>Calc!H13</f>
        <v/>
      </c>
      <c r="I1559">
        <f>IF(Skills!T13&lt;&gt;"",1+(Skills!T13/10)*(Z1549/1000)/100,1)</f>
        <v/>
      </c>
      <c r="J1559" t="inlineStr"/>
      <c r="K1559" t="inlineStr"/>
      <c r="L1559" t="inlineStr"/>
      <c r="M1559" t="inlineStr"/>
      <c r="N1559" t="inlineStr"/>
      <c r="O1559">
        <f>(1-Summary!$B$11)*S1559+Summary!$B$11*U1559</f>
        <v/>
      </c>
      <c r="P1559">
        <f>IF(B1583=0,0,O1559/B1583)</f>
        <v/>
      </c>
      <c r="Q1559">
        <f>IFERROR(1/(IF(Inputs!$B$38="pvp",15,MAX(0.1,Skills!D13-IF(TRUE=TRUE,Inputs!$B$32,0)))*(1-IF(AND(ArtifactsInput!$M$27,Inputs!$B$4="Chapter Hunt"),CHOOSE(ArtifactsInput!$N$27+1,20,24,28,32,36,40),0)/100)),0)</f>
        <v/>
      </c>
      <c r="R1559" t="n">
        <v>0</v>
      </c>
      <c r="S1559" t="n">
        <v>0</v>
      </c>
      <c r="U1559" t="n">
        <v>0</v>
      </c>
    </row>
    <row r="1560">
      <c r="A1560">
        <f>Skills!A14</f>
        <v/>
      </c>
      <c r="B1560">
        <f>Skills!B14</f>
        <v/>
      </c>
      <c r="C1560">
        <f>Inputs!$B$3&gt;=72</f>
        <v/>
      </c>
      <c r="D1560">
        <f>IF(Skills!C14=1,60+Inputs!$B$25+Inputs!$B$29,IF(Skills!C14=2,90+Inputs!$B$26+Inputs!$B$29,IF(Skills!C14=3,120+Inputs!$B$27+Inputs!$B$29,MAX(0,(Inputs!$B$3-100)*3)+Inputs!$B$28+Inputs!$B$29)))</f>
        <v/>
      </c>
      <c r="E1560">
        <f>INDEX(FactorTable!$B$2:$Y$301, MATCH(ROUND(MIN(300,MAX(1,D1560)),0), FactorTable!$A$2:$A$301,0), Skills!L14+1)</f>
        <v/>
      </c>
      <c r="F1560">
        <f>IF(Skills!M14=TRUE,(Skills!K14/10)*(E1560/1000),Skills!K14/10)+Skills!N14</f>
        <v/>
      </c>
      <c r="G1560">
        <f>Calc!G14</f>
        <v/>
      </c>
      <c r="H1560">
        <f>Calc!H14</f>
        <v/>
      </c>
      <c r="I1560">
        <f>IF(Skills!T14&lt;&gt;"",1+(Skills!T14/10)*(Z1549/1000)/100,1)</f>
        <v/>
      </c>
      <c r="J1560" t="inlineStr"/>
      <c r="K1560" t="inlineStr"/>
      <c r="L1560" t="inlineStr"/>
      <c r="M1560" t="inlineStr"/>
      <c r="N1560" t="inlineStr"/>
      <c r="O1560">
        <f>(1-Summary!$B$11)*S1560+Summary!$B$11*U1560</f>
        <v/>
      </c>
      <c r="P1560">
        <f>IF(B1583=0,0,O1560/B1583)</f>
        <v/>
      </c>
      <c r="Q1560">
        <f>IFERROR(1/(IF(Inputs!$B$38="pvp",15,MAX(0.1,Skills!D14-IF(TRUE=TRUE,Inputs!$B$32,0)))*(1-IF(AND(ArtifactsInput!$M$27,Inputs!$B$4="Chapter Hunt"),CHOOSE(ArtifactsInput!$N$27+1,20,24,28,32,36,40),0)/100)),0)</f>
        <v/>
      </c>
      <c r="R1560" t="n">
        <v>0</v>
      </c>
      <c r="S1560" t="n">
        <v>0</v>
      </c>
      <c r="U1560" t="n">
        <v>0</v>
      </c>
    </row>
    <row r="1561">
      <c r="A1561">
        <f>Skills!A15</f>
        <v/>
      </c>
      <c r="B1561">
        <f>Skills!B15</f>
        <v/>
      </c>
      <c r="C1561">
        <f>Inputs!$B$3&gt;=75</f>
        <v/>
      </c>
      <c r="D1561">
        <f>IF(Skills!C15=1,60+Inputs!$B$25+Inputs!$B$29,IF(Skills!C15=2,90+Inputs!$B$26+Inputs!$B$29,IF(Skills!C15=3,120+Inputs!$B$27+Inputs!$B$29,MAX(0,(Inputs!$B$3-100)*3)+Inputs!$B$28+Inputs!$B$29)))</f>
        <v/>
      </c>
      <c r="E1561">
        <f>INDEX(FactorTable!$B$2:$Y$301, MATCH(ROUND(MIN(300,MAX(1,D1561)),0), FactorTable!$A$2:$A$301,0), Skills!L15+1)</f>
        <v/>
      </c>
      <c r="F1561">
        <f>IF(Skills!M15=TRUE,(Skills!K15/10)*(E1561/1000),Skills!K15/10)+Skills!N15</f>
        <v/>
      </c>
      <c r="G1561">
        <f>Calc!G15</f>
        <v/>
      </c>
      <c r="H1561">
        <f>Calc!H15</f>
        <v/>
      </c>
      <c r="I1561">
        <f>IF(Skills!T15&lt;&gt;"",1+(Skills!T15/10)*(Z1549/1000)/100,1)</f>
        <v/>
      </c>
      <c r="J1561" t="inlineStr"/>
      <c r="K1561" t="inlineStr"/>
      <c r="L1561" t="inlineStr"/>
      <c r="M1561" t="inlineStr"/>
      <c r="N1561" t="inlineStr"/>
      <c r="O1561">
        <f>(1-Summary!$B$11)*S1561+Summary!$B$11*U1561</f>
        <v/>
      </c>
      <c r="P1561">
        <f>IF(B1583=0,0,O1561/B1583)</f>
        <v/>
      </c>
      <c r="Q1561">
        <f>IFERROR(1/(IF(Inputs!$B$38="pvp",15,MAX(0.1,Skills!D15-IF(TRUE=TRUE,Inputs!$B$32,0)))*(1-IF(AND(ArtifactsInput!$M$27,Inputs!$B$4="Chapter Hunt"),CHOOSE(ArtifactsInput!$N$27+1,20,24,28,32,36,40),0)/100)),0)</f>
        <v/>
      </c>
      <c r="R1561" t="n">
        <v>0</v>
      </c>
      <c r="S1561" t="n">
        <v>0</v>
      </c>
      <c r="U1561" t="n">
        <v>0</v>
      </c>
    </row>
    <row r="1562">
      <c r="A1562">
        <f>Skills!A16</f>
        <v/>
      </c>
      <c r="B1562">
        <f>Skills!B16</f>
        <v/>
      </c>
      <c r="C1562">
        <f>Inputs!$B$3&gt;=110</f>
        <v/>
      </c>
      <c r="D1562">
        <f>IF(Skills!C16=1,60+Inputs!$B$25+Inputs!$B$29,IF(Skills!C16=2,90+Inputs!$B$26+Inputs!$B$29,IF(Skills!C16=3,120+Inputs!$B$27+Inputs!$B$29,MAX(0,(Inputs!$B$3-100)*3)+Inputs!$B$28+Inputs!$B$29)))</f>
        <v/>
      </c>
      <c r="E1562">
        <f>INDEX(FactorTable!$B$2:$Y$301, MATCH(ROUND(MIN(300,MAX(1,D1562)),0), FactorTable!$A$2:$A$301,0), Skills!L16+1)</f>
        <v/>
      </c>
      <c r="F1562">
        <f>(Skills!K16/10)*(E1562/1000)*64/45+Skills!N16</f>
        <v/>
      </c>
      <c r="G1562">
        <f>Calc!G16</f>
        <v/>
      </c>
      <c r="H1562">
        <f>Calc!H16</f>
        <v/>
      </c>
      <c r="I1562">
        <f>IF(Skills!T16&lt;&gt;"",1+(Skills!T16/10)*(Z1549/1000)/100,1)</f>
        <v/>
      </c>
      <c r="J1562" t="inlineStr"/>
      <c r="K1562" t="inlineStr"/>
      <c r="L1562" t="inlineStr"/>
      <c r="M1562" t="inlineStr"/>
      <c r="N1562" t="inlineStr"/>
      <c r="O1562">
        <f>(1-Summary!$B$11)*S1562+Summary!$B$11*U1562</f>
        <v/>
      </c>
      <c r="P1562">
        <f>IF(B1583=0,0,O1562/B1583)</f>
        <v/>
      </c>
      <c r="Q1562">
        <f>IFERROR(1/(IF(Inputs!$B$38="pvp",15,MAX(0.1,Skills!D16-IF(TRUE=TRUE,Inputs!$B$32,0)))*(1-IF(AND(ArtifactsInput!$M$27,Inputs!$B$4="Chapter Hunt"),CHOOSE(ArtifactsInput!$N$27+1,20,24,28,32,36,40),0)/100)),0)</f>
        <v/>
      </c>
      <c r="R1562">
        <f>IF(AND(Inputs!$B$38&lt;&gt;"pvp",Inputs!$B$43&gt;0),IF(Inputs!$B$43&lt;=0,0,(INT(Inputs!$B$43/(IF(Inputs!$B$38="pvp",15,MAX(0.1,Skills!D16-IF(TRUE=TRUE,Inputs!$B$32,0)))*(1-IF(AND(ArtifactsInput!$M$27,Inputs!$B$4="Chapter Hunt"),CHOOSE(ArtifactsInput!$N$27+1,20,24,28,32,36,40),0)/100)))+1)),0)</f>
        <v/>
      </c>
      <c r="S1562" t="n">
        <v>0</v>
      </c>
      <c r="U1562" t="n">
        <v>0</v>
      </c>
    </row>
    <row r="1563">
      <c r="A1563">
        <f>Skills!A17</f>
        <v/>
      </c>
      <c r="B1563">
        <f>Skills!B17</f>
        <v/>
      </c>
      <c r="C1563">
        <f>Inputs!$B$3&gt;=33</f>
        <v/>
      </c>
      <c r="D1563">
        <f>IF(Skills!C17=1,60+Inputs!$B$25+Inputs!$B$29,IF(Skills!C17=2,90+Inputs!$B$26+Inputs!$B$29,IF(Skills!C17=3,120+Inputs!$B$27+Inputs!$B$29,MAX(0,(Inputs!$B$3-100)*3)+Inputs!$B$28+Inputs!$B$29)))</f>
        <v/>
      </c>
      <c r="E1563">
        <f>INDEX(FactorTable!$B$2:$Y$301, MATCH(ROUND(MIN(300,MAX(1,D1563)),0), FactorTable!$A$2:$A$301,0), Skills!L17+1)</f>
        <v/>
      </c>
      <c r="F1563">
        <f>IF(Skills!M17=TRUE,(Skills!K17/10)*(E1563/1000),Skills!K17/10)+Skills!N17</f>
        <v/>
      </c>
      <c r="G1563">
        <f>Calc!G17</f>
        <v/>
      </c>
      <c r="H1563">
        <f>Calc!H17</f>
        <v/>
      </c>
      <c r="I1563">
        <f>IF(Skills!T17&lt;&gt;"",1+(Skills!T17/10)*(Z1549/1000)/100,1)</f>
        <v/>
      </c>
      <c r="J1563" t="inlineStr"/>
      <c r="K1563" t="inlineStr"/>
      <c r="L1563" t="inlineStr"/>
      <c r="M1563" t="inlineStr"/>
      <c r="N1563" t="inlineStr"/>
      <c r="O1563">
        <f>(1-Summary!$B$11)*S1563+Summary!$B$11*U1563</f>
        <v/>
      </c>
      <c r="P1563">
        <f>IF(B1583=0,0,O1563/B1583)</f>
        <v/>
      </c>
      <c r="Q1563">
        <f>IFERROR(1/(IF(Inputs!$B$38="pvp",15,MAX(0.1,Skills!D17-IF(TRUE=TRUE,Inputs!$B$32,0)))*(1-IF(AND(ArtifactsInput!$M$27,Inputs!$B$4="Chapter Hunt"),CHOOSE(ArtifactsInput!$N$27+1,20,24,28,32,36,40),0)/100)),0)</f>
        <v/>
      </c>
      <c r="R1563" t="n">
        <v>0</v>
      </c>
      <c r="S1563" t="n">
        <v>0</v>
      </c>
      <c r="U1563" t="n">
        <v>0</v>
      </c>
    </row>
    <row r="1564">
      <c r="A1564">
        <f>Skills!A18</f>
        <v/>
      </c>
      <c r="B1564">
        <f>Skills!B18</f>
        <v/>
      </c>
      <c r="C1564">
        <f>Inputs!$B$3&gt;=43</f>
        <v/>
      </c>
      <c r="D1564">
        <f>IF(Skills!C18=1,60+Inputs!$B$25+Inputs!$B$29,IF(Skills!C18=2,90+Inputs!$B$26+Inputs!$B$29,IF(Skills!C18=3,120+Inputs!$B$27+Inputs!$B$29,MAX(0,(Inputs!$B$3-100)*3)+Inputs!$B$28+Inputs!$B$29)))</f>
        <v/>
      </c>
      <c r="E1564">
        <f>INDEX(FactorTable!$B$2:$Y$301, MATCH(ROUND(MIN(300,MAX(1,D1564)),0), FactorTable!$A$2:$A$301,0), Skills!L18+1)</f>
        <v/>
      </c>
      <c r="F1564">
        <f>IF(Skills!M18=TRUE,(Skills!K18/10)*(E1564/1000),Skills!K18/10)+Skills!N18</f>
        <v/>
      </c>
      <c r="G1564">
        <f>Calc!G18</f>
        <v/>
      </c>
      <c r="H1564">
        <f>Calc!H18</f>
        <v/>
      </c>
      <c r="I1564">
        <f>IF(Skills!T18&lt;&gt;"",1+(Skills!T18/10)*(Z1549/1000)/100,1)</f>
        <v/>
      </c>
      <c r="J1564" t="inlineStr"/>
      <c r="K1564" t="inlineStr"/>
      <c r="L1564" t="inlineStr"/>
      <c r="M1564" t="inlineStr"/>
      <c r="N1564" t="inlineStr"/>
      <c r="O1564">
        <f>(1-Summary!$B$11)*S1564+Summary!$B$11*U1564</f>
        <v/>
      </c>
      <c r="P1564">
        <f>IF(B1583=0,0,O1564/B1583)</f>
        <v/>
      </c>
      <c r="Q1564">
        <f>IFERROR(1/(IF(Inputs!$B$38="pvp",15,MAX(0.1,Skills!D18-IF(TRUE=TRUE,Inputs!$B$32,0)))*(1-IF(AND(ArtifactsInput!$M$27,Inputs!$B$4="Chapter Hunt"),CHOOSE(ArtifactsInput!$N$27+1,20,24,28,32,36,40),0)/100)),0)</f>
        <v/>
      </c>
      <c r="R1564" t="n">
        <v>0</v>
      </c>
      <c r="S1564" t="n">
        <v>0</v>
      </c>
      <c r="U1564" t="n">
        <v>0</v>
      </c>
    </row>
    <row r="1565">
      <c r="A1565">
        <f>Skills!A19</f>
        <v/>
      </c>
      <c r="B1565">
        <f>Skills!B19</f>
        <v/>
      </c>
      <c r="C1565">
        <f>Inputs!$B$3&gt;=50</f>
        <v/>
      </c>
      <c r="D1565">
        <f>IF(Skills!C19=1,60+Inputs!$B$25+Inputs!$B$29,IF(Skills!C19=2,90+Inputs!$B$26+Inputs!$B$29,IF(Skills!C19=3,120+Inputs!$B$27+Inputs!$B$29,MAX(0,(Inputs!$B$3-100)*3)+Inputs!$B$28+Inputs!$B$29)))</f>
        <v/>
      </c>
      <c r="E1565">
        <f>INDEX(FactorTable!$B$2:$Y$301, MATCH(ROUND(MIN(300,MAX(1,D1565)),0), FactorTable!$A$2:$A$301,0), Skills!L19+1)</f>
        <v/>
      </c>
      <c r="F1565">
        <f>IF(Skills!M19=TRUE,(Skills!K19/10)*(E1565/1000),Skills!K19/10)+Skills!N19</f>
        <v/>
      </c>
      <c r="G1565">
        <f>Calc!G19</f>
        <v/>
      </c>
      <c r="H1565">
        <f>Calc!H19</f>
        <v/>
      </c>
      <c r="I1565">
        <f>IF(Skills!T19&lt;&gt;"",1+(Skills!T19/10)*(Z1549/1000)/100,1)</f>
        <v/>
      </c>
      <c r="J1565" t="inlineStr"/>
      <c r="K1565" t="inlineStr"/>
      <c r="L1565" t="inlineStr"/>
      <c r="M1565" t="inlineStr"/>
      <c r="N1565" t="inlineStr"/>
      <c r="O1565">
        <f>(1-Summary!$B$11)*S1565+Summary!$B$11*U1565</f>
        <v/>
      </c>
      <c r="P1565">
        <f>IF(B1583=0,0,O1565/B1583)</f>
        <v/>
      </c>
      <c r="Q1565">
        <f>IFERROR(1/(IF(Inputs!$B$38="pvp",15,MAX(0.1,Skills!D19-IF(TRUE=TRUE,Inputs!$B$32,0)))*(1-IF(AND(ArtifactsInput!$M$27,Inputs!$B$4="Chapter Hunt"),CHOOSE(ArtifactsInput!$N$27+1,20,24,28,32,36,40),0)/100)),0)</f>
        <v/>
      </c>
      <c r="R1565" t="n">
        <v>0</v>
      </c>
      <c r="S1565" t="n">
        <v>0</v>
      </c>
      <c r="U1565" t="n">
        <v>0</v>
      </c>
    </row>
    <row r="1566">
      <c r="A1566">
        <f>Skills!A20</f>
        <v/>
      </c>
      <c r="B1566">
        <f>Skills!B20</f>
        <v/>
      </c>
      <c r="C1566">
        <f>Inputs!$B$3&gt;=74</f>
        <v/>
      </c>
      <c r="D1566">
        <f>IF(Skills!C20=1,60+Inputs!$B$25+Inputs!$B$29,IF(Skills!C20=2,90+Inputs!$B$26+Inputs!$B$29,IF(Skills!C20=3,120+Inputs!$B$27+Inputs!$B$29,MAX(0,(Inputs!$B$3-100)*3)+Inputs!$B$28+Inputs!$B$29)))</f>
        <v/>
      </c>
      <c r="E1566">
        <f>INDEX(FactorTable!$B$2:$Y$301, MATCH(ROUND(MIN(300,MAX(1,D1566)),0), FactorTable!$A$2:$A$301,0), Skills!L20+1)</f>
        <v/>
      </c>
      <c r="F1566">
        <f>IF(Skills!M20=TRUE,(Skills!K20/10)*(E1566/1000),Skills!K20/10)+Skills!N20</f>
        <v/>
      </c>
      <c r="G1566">
        <f>Calc!G20</f>
        <v/>
      </c>
      <c r="H1566">
        <f>Calc!H20</f>
        <v/>
      </c>
      <c r="I1566">
        <f>IF(Skills!T20&lt;&gt;"",1+(Skills!T20/10)*(Z1549/1000)/100,1)</f>
        <v/>
      </c>
      <c r="J1566" t="inlineStr"/>
      <c r="K1566" t="inlineStr"/>
      <c r="L1566" t="inlineStr"/>
      <c r="M1566" t="inlineStr"/>
      <c r="N1566" t="inlineStr"/>
      <c r="O1566">
        <f>(1-Summary!$B$11)*S1566+Summary!$B$11*U1566</f>
        <v/>
      </c>
      <c r="P1566">
        <f>IF(B1583=0,0,O1566/B1583)</f>
        <v/>
      </c>
      <c r="Q1566">
        <f>IFERROR(1/(IF(Inputs!$B$38="pvp",15,MAX(0.1,Skills!D20-IF(TRUE=TRUE,Inputs!$B$32,0)))*(1-IF(AND(ArtifactsInput!$M$27,Inputs!$B$4="Chapter Hunt"),CHOOSE(ArtifactsInput!$N$27+1,20,24,28,32,36,40),0)/100)),0)</f>
        <v/>
      </c>
      <c r="R1566" t="n">
        <v>0</v>
      </c>
      <c r="S1566" t="n">
        <v>0</v>
      </c>
      <c r="U1566" t="n">
        <v>0</v>
      </c>
    </row>
    <row r="1567">
      <c r="A1567">
        <f>Skills!A21</f>
        <v/>
      </c>
      <c r="B1567">
        <f>Skills!B21</f>
        <v/>
      </c>
      <c r="C1567">
        <f>Inputs!$B$3&gt;=74</f>
        <v/>
      </c>
      <c r="D1567">
        <f>IF(Skills!C21=1,60+Inputs!$B$25+Inputs!$B$29,IF(Skills!C21=2,90+Inputs!$B$26+Inputs!$B$29,IF(Skills!C21=3,120+Inputs!$B$27+Inputs!$B$29,MAX(0,(Inputs!$B$3-100)*3)+Inputs!$B$28+Inputs!$B$29)))</f>
        <v/>
      </c>
      <c r="E1567">
        <f>INDEX(FactorTable!$B$2:$Y$301, MATCH(ROUND(MIN(300,MAX(1,D1567)),0), FactorTable!$A$2:$A$301,0), Skills!L21+1)</f>
        <v/>
      </c>
      <c r="F1567">
        <f>IF(Skills!M21=TRUE,(Skills!K21/10)*(E1567/1000),Skills!K21/10)+Skills!N21</f>
        <v/>
      </c>
      <c r="G1567">
        <f>Calc!G21</f>
        <v/>
      </c>
      <c r="H1567">
        <f>Calc!H21</f>
        <v/>
      </c>
      <c r="I1567">
        <f>IF(Skills!T21&lt;&gt;"",1+(Skills!T21/10)*(Z1549/1000)/100,1)</f>
        <v/>
      </c>
      <c r="J1567" t="inlineStr"/>
      <c r="K1567" t="inlineStr"/>
      <c r="L1567" t="inlineStr"/>
      <c r="M1567" t="inlineStr"/>
      <c r="N1567" t="inlineStr"/>
      <c r="O1567">
        <f>(1-Summary!$B$11)*S1567+Summary!$B$11*U1567</f>
        <v/>
      </c>
      <c r="P1567">
        <f>IF(B1583=0,0,O1567/B1583)</f>
        <v/>
      </c>
      <c r="Q1567">
        <f>IFERROR(1/(IF(Inputs!$B$38="pvp",15,MAX(0.1,Skills!D21-IF(TRUE=TRUE,Inputs!$B$32,0)))*(1-IF(AND(ArtifactsInput!$M$27,Inputs!$B$4="Chapter Hunt"),CHOOSE(ArtifactsInput!$N$27+1,20,24,28,32,36,40),0)/100)),0)</f>
        <v/>
      </c>
      <c r="R1567" t="n">
        <v>0</v>
      </c>
      <c r="S1567" t="n">
        <v>0</v>
      </c>
      <c r="U1567" t="n">
        <v>0</v>
      </c>
    </row>
    <row r="1568">
      <c r="A1568">
        <f>Skills!A22</f>
        <v/>
      </c>
      <c r="B1568">
        <f>Skills!B22</f>
        <v/>
      </c>
      <c r="C1568">
        <f>Inputs!$B$3&gt;=117</f>
        <v/>
      </c>
      <c r="D1568">
        <f>IF(Skills!C22=1,60+Inputs!$B$25+Inputs!$B$29,IF(Skills!C22=2,90+Inputs!$B$26+Inputs!$B$29,IF(Skills!C22=3,120+Inputs!$B$27+Inputs!$B$29,MAX(0,(Inputs!$B$3-100)*3)+Inputs!$B$28+Inputs!$B$29)))</f>
        <v/>
      </c>
      <c r="E1568">
        <f>INDEX(FactorTable!$B$2:$Y$301, MATCH(ROUND(MIN(300,MAX(1,D1568)),0), FactorTable!$A$2:$A$301,0), Skills!L22+1)</f>
        <v/>
      </c>
      <c r="F1568">
        <f>IF(Skills!M22=TRUE,(Skills!K22/10)*(E1568/1000),Skills!K22/10)+Skills!N22</f>
        <v/>
      </c>
      <c r="G1568">
        <f>Calc!G22</f>
        <v/>
      </c>
      <c r="H1568">
        <f>Calc!H22</f>
        <v/>
      </c>
      <c r="I1568">
        <f>IF(Skills!T22&lt;&gt;"",1+(Skills!T22/10)*(Z1549/1000)/100,1)</f>
        <v/>
      </c>
      <c r="J1568" t="inlineStr"/>
      <c r="K1568" t="inlineStr"/>
      <c r="L1568" t="inlineStr"/>
      <c r="M1568" t="inlineStr"/>
      <c r="N1568" t="inlineStr"/>
      <c r="O1568">
        <f>(1-Summary!$B$11)*S1568+Summary!$B$11*U1568</f>
        <v/>
      </c>
      <c r="P1568">
        <f>IF(B1583=0,0,O1568/B1583)</f>
        <v/>
      </c>
      <c r="Q1568">
        <f>IFERROR(1/(IF(Inputs!$B$38="pvp",15,MAX(0.1,Skills!D22-IF(TRUE=TRUE,Inputs!$B$32,0)))*(1-IF(AND(ArtifactsInput!$M$27,Inputs!$B$4="Chapter Hunt"),CHOOSE(ArtifactsInput!$N$27+1,20,24,28,32,36,40),0)/100)),0)</f>
        <v/>
      </c>
      <c r="R1568" t="n">
        <v>0</v>
      </c>
      <c r="S1568" t="n">
        <v>0</v>
      </c>
      <c r="U1568" t="n">
        <v>0</v>
      </c>
    </row>
    <row r="1569">
      <c r="A1569">
        <f>Skills!A23</f>
        <v/>
      </c>
      <c r="B1569">
        <f>Skills!B23</f>
        <v/>
      </c>
      <c r="C1569">
        <f>Inputs!$B$3&gt;=120</f>
        <v/>
      </c>
      <c r="D1569">
        <f>IF(Skills!C23=1,60+Inputs!$B$25+Inputs!$B$29,IF(Skills!C23=2,90+Inputs!$B$26+Inputs!$B$29,IF(Skills!C23=3,120+Inputs!$B$27+Inputs!$B$29,MAX(0,(Inputs!$B$3-100)*3)+Inputs!$B$28+Inputs!$B$29)))</f>
        <v/>
      </c>
      <c r="E1569">
        <f>INDEX(FactorTable!$B$2:$Y$301, MATCH(ROUND(MIN(300,MAX(1,D1569)),0), FactorTable!$A$2:$A$301,0), Skills!L23+1)</f>
        <v/>
      </c>
      <c r="F1569">
        <f>IF(Skills!M23=TRUE,(Skills!K23/10)*(E1569/1000),Skills!K23/10)+Skills!N23</f>
        <v/>
      </c>
      <c r="G1569">
        <f>Calc!G23</f>
        <v/>
      </c>
      <c r="H1569">
        <f>Calc!H23</f>
        <v/>
      </c>
      <c r="I1569">
        <f>IF(Skills!T23&lt;&gt;"",1+(Skills!T23/10)*(Z1549/1000)/100,1)</f>
        <v/>
      </c>
      <c r="J1569" t="inlineStr"/>
      <c r="K1569" t="inlineStr"/>
      <c r="L1569" t="inlineStr"/>
      <c r="M1569" t="inlineStr"/>
      <c r="N1569" t="inlineStr"/>
      <c r="O1569">
        <f>(1-Summary!$B$11)*S1569+Summary!$B$11*U1569</f>
        <v/>
      </c>
      <c r="P1569">
        <f>IF(B1583=0,0,O1569/B1583)</f>
        <v/>
      </c>
      <c r="Q1569">
        <f>IFERROR(1/(IF(Inputs!$B$38="pvp",15,MAX(0.1,Skills!D23-IF(TRUE=TRUE,Inputs!$B$32,0)))*(1-IF(AND(ArtifactsInput!$M$27,Inputs!$B$4="Chapter Hunt"),CHOOSE(ArtifactsInput!$N$27+1,20,24,28,32,36,40),0)/100)),0)</f>
        <v/>
      </c>
      <c r="R1569" t="n">
        <v>0</v>
      </c>
      <c r="S1569" t="n">
        <v>0</v>
      </c>
      <c r="U1569" t="n">
        <v>0</v>
      </c>
    </row>
    <row r="1570">
      <c r="A1570">
        <f>Skills!A24</f>
        <v/>
      </c>
      <c r="B1570">
        <f>Skills!B24</f>
        <v/>
      </c>
      <c r="C1570">
        <f>TRUE</f>
        <v/>
      </c>
      <c r="D1570">
        <f>IF(Skills!C24=1,60+Inputs!$B$25+Inputs!$B$29,IF(Skills!C24=2,90+Inputs!$B$26+Inputs!$B$29,IF(Skills!C24=3,120+Inputs!$B$27+Inputs!$B$29,MAX(0,(Inputs!$B$3-100)*3)+Inputs!$B$28+Inputs!$B$29)))</f>
        <v/>
      </c>
      <c r="E1570">
        <f>INDEX(FactorTable!$B$2:$Y$301, MATCH(ROUND(MIN(300,MAX(1,D1570)),0), FactorTable!$A$2:$A$301,0), Skills!L24+1)</f>
        <v/>
      </c>
      <c r="F1570">
        <f>IF(Skills!M24=TRUE,(Skills!K24/10)*(E1570/1000),Skills!K24/10)+Skills!N24</f>
        <v/>
      </c>
      <c r="G1570">
        <f>Calc!G24</f>
        <v/>
      </c>
      <c r="H1570">
        <f>Calc!H24</f>
        <v/>
      </c>
      <c r="I1570">
        <f>IF(Skills!T24&lt;&gt;"",1+(Skills!T24/10)*(Z1549/1000)/100,1)</f>
        <v/>
      </c>
      <c r="J1570" t="inlineStr"/>
      <c r="K1570" t="inlineStr"/>
      <c r="L1570" t="inlineStr"/>
      <c r="M1570" t="inlineStr"/>
      <c r="N1570" t="inlineStr"/>
      <c r="O1570">
        <f>(1-Summary!$B$11)*S1570+Summary!$B$11*U1570</f>
        <v/>
      </c>
      <c r="P1570">
        <f>IF(B1583=0,0,O1570/B1583)</f>
        <v/>
      </c>
      <c r="Q1570">
        <f>IFERROR(1/(IF(Inputs!$B$38="pvp",15,MAX(0.1,Skills!D24-IF(TRUE=TRUE,Inputs!$B$32,0)))*(1-IF(AND(ArtifactsInput!$M$27,Inputs!$B$4="Chapter Hunt"),CHOOSE(ArtifactsInput!$N$27+1,20,24,28,32,36,40),0)/100)),0)</f>
        <v/>
      </c>
      <c r="R1570">
        <f>IF(AND(Inputs!$B$38&lt;&gt;"pvp",Inputs!$B$43&gt;0),IF(Inputs!$B$43&lt;=0,0,(INT(Inputs!$B$43/(IF(Inputs!$B$38="pvp",15,MAX(0.1,Skills!D24-IF(TRUE=TRUE,Inputs!$B$32,0)))*(1-IF(AND(ArtifactsInput!$M$27,Inputs!$B$4="Chapter Hunt"),CHOOSE(ArtifactsInput!$N$27+1,20,24,28,32,36,40),0)/100)))+1)),0)</f>
        <v/>
      </c>
      <c r="S1570" t="n">
        <v>0</v>
      </c>
      <c r="U1570" t="n">
        <v>0</v>
      </c>
    </row>
    <row r="1573">
      <c r="A1573" t="inlineStr">
        <is>
          <t>Average Buff Multiplier (Magic Guard + Meditation + Artifact Attack%, summed; then Infinity)</t>
        </is>
      </c>
      <c r="B1573">
        <f>(1+(IF(C1549=TRUE,F1549*IF(AND(Inputs!$B$38&lt;&gt;"pvp",Inputs!$B$43&gt;0),(((R1549-1)*MIN((Skills!S3*(1+(Inputs!$B$34)/100)),(1/Q1549))+MIN((Skills!S3*(1+(Inputs!$B$34)/100)),MAX(0,Inputs!$B$43-((R1549-1)*(1/Q1549)))))/Inputs!$B$43),IF(Inputs!$B$38="pvp",MIN((Skills!S3*(1+(Inputs!$B$34)/100)),15)/15,MIN(1,(Skills!S3*(1+(Inputs!$B$34)/100))/(1/Q1549)))),0)+IF(C1550=TRUE,F1550*IF(AND(Inputs!$B$38&lt;&gt;"pvp",Inputs!$B$43&gt;0),(((R1550-1)*MIN((Skills!S4*(1+(Inputs!$B$34)/100)),(1/Q1550))+MIN((Skills!S4*(1+(Inputs!$B$34)/100)),MAX(0,Inputs!$B$43-((R1550-1)*(1/Q1550)))))/Inputs!$B$43),IF(Inputs!$B$38="pvp",MIN((Skills!S4*(1+(Inputs!$B$34)/100)),15)/15,MIN(1,(Skills!S4*(1+(Inputs!$B$34)/100))/(1/Q1550)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1562=TRUE,(1+F1562*IF(AND(Inputs!$B$38&lt;&gt;"pvp",Inputs!$B$43&gt;0),(((R1562-1)*MIN((Skills!S16*(1+(Inputs!$B$34)/100)),(1/Q1562))+MIN((Skills!S16*(1+(Inputs!$B$34)/100)),MAX(0,Inputs!$B$43-((R1562-1)*(1/Q1562)))))/Inputs!$B$43),IF(Inputs!$B$38="pvp",MIN((Skills!S16*(1+(Inputs!$B$34)/100)),15)/15,MIN(1,(Skills!S16*(1+(Inputs!$B$34)/100))/(1/Q1562))))/100),1)</f>
        <v/>
      </c>
    </row>
    <row r="1574">
      <c r="A1574" t="inlineStr">
        <is>
          <t>Monster Damage Taken Bonus % (Freezing Breath - Weaken + Elemental Reset + Artifact Enemy Damage Taken, summed)</t>
        </is>
      </c>
      <c r="B1574">
        <f>IF(Inputs!$B$3&gt;=118,15*IF(Inputs!$B$38="pvp",MIN((30*(1+(Inputs!$B$34)/100)),15)/15,MIN(1,(30*(1+(Inputs!$B$34)/100))/(1/Q1554))),0)+IF(C1560=TRUE,F1560,0)+(IF(AND(ArtifactsInput!$M$35,Inputs!$B$4&lt;&gt;"Chapter Hunt"),CHOOSE(ArtifactsInput!$N$35+1,15,18,21,24,27,30)*(1-EXP(-(0.2*B1577)*5)),0)+IF(AND(ArtifactsInput!$M$22,Inputs!$B$4&lt;&gt;"Chapter Hunt"),CHOOSE(ArtifactsInput!$N$22+1,10,12,14,16,18,20)*((0*(((0.15*B1577*5))^0/1)+1*(((0.15*B1577*5))^1/1)+2*(((0.15*B1577*5))^2/2)+3*(((0.15*B1577*5))^3/6)+4*(((0.15*B1577*5))^4/24)+5*(((0.15*B1577*5))^5/120))/((((0.15*B1577*5))^0/1)+(((0.15*B1577*5))^1/1)+(((0.15*B1577*5))^2/2)+(((0.15*B1577*5))^3/6)+(((0.15*B1577*5))^4/24)+(((0.15*B1577*5))^5/120))),0))</f>
        <v/>
      </c>
    </row>
    <row r="1575">
      <c r="A1575" t="inlineStr">
        <is>
          <t>Damage % Bonus (Frozen Break + Frost Clutch, flat)</t>
        </is>
      </c>
      <c r="B1575">
        <f>IF(Inputs!$B$3&gt;=66,15,0)+IF(Inputs!$B$3&gt;=98,10,0)+IF(Inputs!$B$3&gt;=125,20,0)</f>
        <v/>
      </c>
    </row>
    <row r="1576">
      <c r="A1576" t="inlineStr">
        <is>
          <t>Attack Speed Bonus % (MP Eater - MP Boost, always-on + Nimble Feet, duty-cycle averaged)</t>
        </is>
      </c>
      <c r="B1576">
        <f>IF(C1559=TRUE,F1559+(F1563-Calc!F17),0)+((C1570=TRUE)*F1570*IF(AND(Inputs!$B$38&lt;&gt;"pvp",Inputs!$B$43&gt;0),(((R1570-1)*MIN((Skills!S24*(1+(Inputs!$B$34)/100)),(1/Q1570))+MIN((Skills!S24*(1+(Inputs!$B$34)/100)),MAX(0,Inputs!$B$43-((R1570-1)*(1/Q1570)))))/Inputs!$B$43),IF(Inputs!$B$38="pvp",MIN((Skills!S24*(1+(Inputs!$B$34)/100)),15)/15,MIN(1,(Skills!S24*(1+(Inputs!$B$34)/100))/(1/Q1570)))))</f>
        <v/>
      </c>
    </row>
    <row r="1577">
      <c r="A1577" t="inlineStr">
        <is>
          <t>Actions Per Second</t>
        </is>
      </c>
      <c r="B1577">
        <f>1+MIN(150,150*(1-(1-(Inputs!$B$11+(ArtifactsInput!$M$15-ArtifactsInput!$M$15)*CHOOSE(ArtifactsInput!$N$15+1,8,9.6,11.2,12.8,14.4,16))/150)*(1-B1576/150)))/100</f>
        <v/>
      </c>
    </row>
    <row r="1578">
      <c r="A1578" t="inlineStr">
        <is>
          <t>Skill + Buff Cast Rate</t>
        </is>
      </c>
      <c r="B1578">
        <f>IF(AND(Inputs!$B$38&lt;&gt;"pvp",Inputs!$B$43&gt;0),SUMPRODUCT((Skills!E2:E24=TRUE)*(C1548:C1570=TRUE)*R1548:R1570)/Inputs!$B$43,SUMPRODUCT((Skills!E2:E24=TRUE)*(C1548:C1570=TRUE)*Q1548:Q1570))</f>
        <v/>
      </c>
    </row>
    <row r="1579">
      <c r="A1579" t="inlineStr">
        <is>
          <t>Chain Lightning Casts Per Second</t>
        </is>
      </c>
      <c r="B1579">
        <f>MAX(0,B1577-B1578)</f>
        <v/>
      </c>
    </row>
    <row r="1580">
      <c r="A1580" t="inlineStr">
        <is>
          <t>Buff-Casting Startup Delay (s, fixed-duration only)</t>
        </is>
      </c>
      <c r="B1580">
        <f>IF(AND(Inputs!$B$38&lt;&gt;"pvp",Inputs!$B$43&gt;0),SUMPRODUCT((Skills!S2:S24&gt;0)*(Skills!E2:E24=TRUE)*(C1548:C1570=TRUE))/B1577,0)</f>
        <v/>
      </c>
    </row>
    <row r="1581">
      <c r="A1581" t="inlineStr">
        <is>
          <t>Boss-Only Total DPS (this block's swept value)</t>
        </is>
      </c>
      <c r="B1581">
        <f>SUM(S1548:S1570)</f>
        <v/>
      </c>
    </row>
    <row r="1582">
      <c r="A1582" t="inlineStr">
        <is>
          <t>Normal-Only Total DPS (this block's swept value)</t>
        </is>
      </c>
      <c r="B1582">
        <f>SUM(U1548:U1570)</f>
        <v/>
      </c>
    </row>
    <row r="1583">
      <c r="A1583" s="6" t="inlineStr">
        <is>
          <t>TOTAL DPS</t>
        </is>
      </c>
      <c r="B1583" s="6">
        <f>SUM(O1548:O1570)</f>
        <v/>
      </c>
    </row>
    <row r="1584">
      <c r="A1584" t="inlineStr">
        <is>
          <t>Blizzard Final Attack trigger rate (this block's own Q/R)</t>
        </is>
      </c>
      <c r="B1584">
        <f>IF(AND(Inputs!$B$38&lt;&gt;"pvp",Inputs!$B$43&gt;0),(((C1551=TRUE)*R1551*1)+((C1552=TRUE)*R1552*1)+((C1554=TRUE)*R1554*1)+((C1555=TRUE)*R1555*3)+((C1557=TRUE)*R1557*1))/Inputs!$B$43,((C1551=TRUE)*Q1551*1)+((C1552=TRUE)*Q1552*1)+((C1554=TRUE)*Q1554*1)+((C1555=TRUE)*Q1555*3)+((C1557=TRUE)*Q1557*1))+B1579</f>
        <v/>
      </c>
    </row>
    <row r="1587">
      <c r="A1587" s="6" t="inlineStr">
        <is>
          <t>Stat: Pink Bean's Giant Rib (Equip)</t>
        </is>
      </c>
    </row>
    <row r="1588">
      <c r="A1588" s="5" t="inlineStr">
        <is>
          <t>Key</t>
        </is>
      </c>
      <c r="B1588" s="5" t="inlineStr">
        <is>
          <t>Name</t>
        </is>
      </c>
      <c r="C1588" s="5" t="inlineStr">
        <is>
          <t>Unlocked</t>
        </is>
      </c>
      <c r="D1588" s="5" t="inlineStr">
        <is>
          <t>InputLevel</t>
        </is>
      </c>
      <c r="E1588" s="5" t="inlineStr">
        <is>
          <t>Factor</t>
        </is>
      </c>
      <c r="F1588" s="5" t="inlineStr">
        <is>
          <t>CoefficientPercent</t>
        </is>
      </c>
      <c r="G1588" s="5" t="inlineStr">
        <is>
          <t>EffectiveHits</t>
        </is>
      </c>
      <c r="H1588" s="5" t="inlineStr">
        <is>
          <t>ProcProbability</t>
        </is>
      </c>
      <c r="I1588" s="5" t="inlineStr">
        <is>
          <t>MapleHeroMultiplier</t>
        </is>
      </c>
      <c r="J1588" s="5" t="inlineStr">
        <is>
          <t>BaseDamage</t>
        </is>
      </c>
      <c r="K1588" s="5" t="inlineStr">
        <is>
          <t>BaseHitDamage</t>
        </is>
      </c>
      <c r="L1588" s="5" t="inlineStr">
        <is>
          <t>NonCritAvg</t>
        </is>
      </c>
      <c r="M1588" s="5" t="inlineStr">
        <is>
          <t>CritAvg</t>
        </is>
      </c>
      <c r="N1588" s="5" t="inlineStr">
        <is>
          <t>ExpectedDamage(perHit)</t>
        </is>
      </c>
      <c r="O1588" s="5" t="inlineStr">
        <is>
          <t>DPS</t>
        </is>
      </c>
      <c r="P1588" s="5" t="inlineStr">
        <is>
          <t>% of Total</t>
        </is>
      </c>
      <c r="R1588" t="inlineStr">
        <is>
          <t>helpers</t>
        </is>
      </c>
    </row>
    <row r="1589">
      <c r="A1589">
        <f>Skills!A2</f>
        <v/>
      </c>
      <c r="B1589">
        <f>Skills!B2</f>
        <v/>
      </c>
      <c r="C1589">
        <f>Inputs!$B$3&gt;=100</f>
        <v/>
      </c>
      <c r="D1589" t="inlineStr"/>
      <c r="E1589" t="inlineStr"/>
      <c r="F1589">
        <f>T1591+Skills!N2</f>
        <v/>
      </c>
      <c r="G1589">
        <f>Calc!G2</f>
        <v/>
      </c>
      <c r="H1589">
        <f>Calc!H2</f>
        <v/>
      </c>
      <c r="I1589">
        <f>IF(Skills!T2&lt;&gt;"",1+(Skills!T2/10)*(Z1590/1000)/100,1)</f>
        <v/>
      </c>
      <c r="J1589">
        <f>((Inputs!$B$6*(1+Inputs!$B$7/100))+(((Inputs!$B$12*(1+Inputs!$B$13/100))-(Inputs!$B$12*(1+Inputs!$B$13/100)))+0.25*(Inputs!$B$14-Inputs!$B$14))*(1+Inputs!$B$7/100))*(F1589/100)</f>
        <v/>
      </c>
      <c r="K1589">
        <f>J1589*(1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2="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1589)</f>
        <v/>
      </c>
      <c r="L1589">
        <f>K1589*(MIN(Inputs!$B$22+(F1605-Calc!F18),(Inputs!$B$23+(IF(ArtifactsInput!$M$15,CHOOSE(ArtifactsInput!$N$15+1,25,30,35,40,45,50)/100*(Inputs!$B$11-Inputs!$B$11),0))))/100+(Inputs!$B$23+(IF(ArtifactsInput!$M$15,CHOOSE(ArtifactsInput!$N$15+1,25,30,35,40,45,50)/100*(Inputs!$B$11-Inputs!$B$11),0)))/100)/2</f>
        <v/>
      </c>
      <c r="M1589">
        <f>L1589*(1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89">
        <f>L1589*(1-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1589*(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89">
        <f>(1-Summary!$B$11)*S1589+Summary!$B$11*U1589</f>
        <v/>
      </c>
      <c r="P1589">
        <f>IF(B1624=0,0,O1589/B1624)</f>
        <v/>
      </c>
      <c r="Q1589">
        <f>IFERROR(1/(IF(Inputs!$B$38="pvp",15,MAX(0.1,Skills!D2-IF(TRUE=TRUE,Inputs!$B$32,0)))*(1-IF(AND(ArtifactsInput!$M$27,Inputs!$B$4="Chapter Hunt"),CHOOSE(ArtifactsInput!$N$27+1,20,24,28,32,36,40),0)/100)),0)</f>
        <v/>
      </c>
      <c r="R1589" t="n">
        <v>0</v>
      </c>
      <c r="S1589">
        <f>IF(C1589,(Skills!F2*N1589*B1620)*IF(Inputs!$B$38="pvp",1,1+(Inputs!$B$20+Skills!O2+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1589*(1-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1589*(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1589*(1-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1589*(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589">
        <f>MAX(0,(Inputs!$B$3-100)*3)+Inputs!$B$28+Inputs!$B$29</f>
        <v/>
      </c>
      <c r="U1589">
        <f>IF(C1589,(Skills!F2*N1589*B1620)*IF(Inputs!$B$38="pvp",1,(1+(Inputs!$B$21+Skills!P2+B1615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589">
        <f>MAX(0,(Inputs!$B$3-100)*3)+Inputs!$B$28+Inputs!$B$29</f>
        <v/>
      </c>
    </row>
    <row r="1590">
      <c r="A1590">
        <f>Skills!A3</f>
        <v/>
      </c>
      <c r="B1590">
        <f>Skills!B3</f>
        <v/>
      </c>
      <c r="C1590">
        <f>Inputs!$B$3&gt;=15</f>
        <v/>
      </c>
      <c r="D1590">
        <f>IF(Skills!C3=1,60+Inputs!$B$25+Inputs!$B$29,IF(Skills!C3=2,90+Inputs!$B$26+Inputs!$B$29,IF(Skills!C3=3,120+Inputs!$B$27+Inputs!$B$29,MAX(0,(Inputs!$B$3-100)*3)+Inputs!$B$28+Inputs!$B$29)))</f>
        <v/>
      </c>
      <c r="E1590">
        <f>INDEX(FactorTable!$B$2:$Y$301, MATCH(ROUND(MIN(300,MAX(1,D1590)),0), FactorTable!$A$2:$A$301,0), Skills!L3+1)</f>
        <v/>
      </c>
      <c r="F1590">
        <f>IF(Skills!M3=TRUE,(Skills!K3/10)*(E1590/1000),Skills!K3/10)+Skills!N3</f>
        <v/>
      </c>
      <c r="G1590">
        <f>Calc!G3</f>
        <v/>
      </c>
      <c r="H1590">
        <f>Calc!H3</f>
        <v/>
      </c>
      <c r="I1590">
        <f>IF(Skills!T3&lt;&gt;"",1+(Skills!T3/10)*(Z1590/1000)/100,1)</f>
        <v/>
      </c>
      <c r="J1590" t="inlineStr"/>
      <c r="K1590" t="inlineStr"/>
      <c r="L1590" t="inlineStr"/>
      <c r="M1590" t="inlineStr"/>
      <c r="N1590" t="inlineStr"/>
      <c r="O1590">
        <f>(1-Summary!$B$11)*S1590+Summary!$B$11*U1590</f>
        <v/>
      </c>
      <c r="P1590">
        <f>IF(B1624=0,0,O1590/B1624)</f>
        <v/>
      </c>
      <c r="Q1590">
        <f>IFERROR(1/(IF(Inputs!$B$38="pvp",15,MAX(0.1,Skills!D3-IF(TRUE=TRUE,Inputs!$B$32,0)))*(1-IF(AND(ArtifactsInput!$M$27,Inputs!$B$4="Chapter Hunt"),CHOOSE(ArtifactsInput!$N$27+1,20,24,28,32,36,40),0)/100)),0)</f>
        <v/>
      </c>
      <c r="R1590">
        <f>IF(AND(Inputs!$B$38&lt;&gt;"pvp",Inputs!$B$43&gt;0),IF(Inputs!$B$43&lt;=0,0,(INT(Inputs!$B$43/(IF(Inputs!$B$38="pvp",15,MAX(0.1,Skills!D3-IF(TRUE=TRUE,Inputs!$B$32,0)))*(1-IF(AND(ArtifactsInput!$M$27,Inputs!$B$4="Chapter Hunt"),CHOOSE(ArtifactsInput!$N$27+1,20,24,28,32,36,40),0)/100)))+1)),0)</f>
        <v/>
      </c>
      <c r="S1590" t="n">
        <v>0</v>
      </c>
      <c r="T1590">
        <f>INDEX(FactorTable!$B$2:$Y$301, MATCH(ROUND(MIN(300,MAX(1,T1589)),0), FactorTable!$A$2:$A$301,0), 22)</f>
        <v/>
      </c>
      <c r="U1590" t="n">
        <v>0</v>
      </c>
      <c r="Z1590">
        <f>INDEX(FactorTable!$B$2:$Y$301, MATCH(ROUND(MIN(300,MAX(1,Z1589)),0), FactorTable!$A$2:$A$301,0), 24)</f>
        <v/>
      </c>
    </row>
    <row r="1591">
      <c r="A1591">
        <f>Skills!A4</f>
        <v/>
      </c>
      <c r="B1591">
        <f>Skills!B4</f>
        <v/>
      </c>
      <c r="C1591">
        <f>Inputs!$B$3&gt;=40</f>
        <v/>
      </c>
      <c r="D1591">
        <f>IF(Skills!C4=1,60+Inputs!$B$25+Inputs!$B$29,IF(Skills!C4=2,90+Inputs!$B$26+Inputs!$B$29,IF(Skills!C4=3,120+Inputs!$B$27+Inputs!$B$29,MAX(0,(Inputs!$B$3-100)*3)+Inputs!$B$28+Inputs!$B$29)))</f>
        <v/>
      </c>
      <c r="E1591">
        <f>INDEX(FactorTable!$B$2:$Y$301, MATCH(ROUND(MIN(300,MAX(1,D1591)),0), FactorTable!$A$2:$A$301,0), Skills!L4+1)</f>
        <v/>
      </c>
      <c r="F1591">
        <f>IF(Skills!M4=TRUE,(Skills!K4/10)*(E1591/1000),Skills!K4/10)+Skills!N4</f>
        <v/>
      </c>
      <c r="G1591">
        <f>Calc!G4</f>
        <v/>
      </c>
      <c r="H1591">
        <f>Calc!H4</f>
        <v/>
      </c>
      <c r="I1591">
        <f>IF(Skills!T4&lt;&gt;"",1+(Skills!T4/10)*(Z1590/1000)/100,1)</f>
        <v/>
      </c>
      <c r="J1591" t="inlineStr"/>
      <c r="K1591" t="inlineStr"/>
      <c r="L1591" t="inlineStr"/>
      <c r="M1591" t="inlineStr"/>
      <c r="N1591" t="inlineStr"/>
      <c r="O1591">
        <f>(1-Summary!$B$11)*S1591+Summary!$B$11*U1591</f>
        <v/>
      </c>
      <c r="P1591">
        <f>IF(B1624=0,0,O1591/B1624)</f>
        <v/>
      </c>
      <c r="Q1591">
        <f>IFERROR(1/(IF(Inputs!$B$38="pvp",15,MAX(0.1,Skills!D4-IF(TRUE=TRUE,Inputs!$B$32,0)))*(1-IF(AND(ArtifactsInput!$M$27,Inputs!$B$4="Chapter Hunt"),CHOOSE(ArtifactsInput!$N$27+1,20,24,28,32,36,40),0)/100)),0)</f>
        <v/>
      </c>
      <c r="R1591">
        <f>IF(AND(Inputs!$B$38&lt;&gt;"pvp",Inputs!$B$43&gt;0),IF(Inputs!$B$43&lt;=0,0,(INT(Inputs!$B$43/(IF(Inputs!$B$38="pvp",15,MAX(0.1,Skills!D4-IF(TRUE=TRUE,Inputs!$B$32,0)))*(1-IF(AND(ArtifactsInput!$M$27,Inputs!$B$4="Chapter Hunt"),CHOOSE(ArtifactsInput!$N$27+1,20,24,28,32,36,40),0)/100)))+1)),0)</f>
        <v/>
      </c>
      <c r="S1591" t="n">
        <v>0</v>
      </c>
      <c r="T1591">
        <f>290*T1590/1000</f>
        <v/>
      </c>
      <c r="U1591" t="n">
        <v>0</v>
      </c>
    </row>
    <row r="1592">
      <c r="A1592">
        <f>Skills!A5</f>
        <v/>
      </c>
      <c r="B1592">
        <f>Skills!B5</f>
        <v/>
      </c>
      <c r="C1592">
        <f>Inputs!$B$3&gt;=38</f>
        <v/>
      </c>
      <c r="D1592">
        <f>IF(Skills!C5=1,60+Inputs!$B$25+Inputs!$B$29,IF(Skills!C5=2,90+Inputs!$B$26+Inputs!$B$29,IF(Skills!C5=3,120+Inputs!$B$27+Inputs!$B$29,MAX(0,(Inputs!$B$3-100)*3)+Inputs!$B$28+Inputs!$B$29)))</f>
        <v/>
      </c>
      <c r="E1592">
        <f>INDEX(FactorTable!$B$2:$Y$301, MATCH(ROUND(MIN(300,MAX(1,D1592)),0), FactorTable!$A$2:$A$301,0), Skills!L5+1)</f>
        <v/>
      </c>
      <c r="F1592">
        <f>IF(Skills!M5=TRUE,(Skills!K5/10)*(E1592/1000),Skills!K5/10)+Skills!N5</f>
        <v/>
      </c>
      <c r="G1592">
        <f>Calc!G5</f>
        <v/>
      </c>
      <c r="H1592">
        <f>Calc!H5</f>
        <v/>
      </c>
      <c r="I1592">
        <f>IF(Skills!T5&lt;&gt;"",1+(Skills!T5/10)*(Z1590/1000)/100,1)</f>
        <v/>
      </c>
      <c r="J1592">
        <f>((Inputs!$B$6*(1+Inputs!$B$7/100))+(((Inputs!$B$12*(1+Inputs!$B$13/100))-(Inputs!$B$12*(1+Inputs!$B$13/100)))+0.25*(Inputs!$B$14-Inputs!$B$14))*(1+Inputs!$B$7/100))*(F1592/100)</f>
        <v/>
      </c>
      <c r="K1592">
        <f>J1592*(1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5="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1592)</f>
        <v/>
      </c>
      <c r="L1592">
        <f>K1592*(MIN(Inputs!$B$22+(F1605-Calc!F18),(Inputs!$B$23+(IF(ArtifactsInput!$M$15,CHOOSE(ArtifactsInput!$N$15+1,25,30,35,40,45,50)/100*(Inputs!$B$11-Inputs!$B$11),0))))/100+(Inputs!$B$23+(IF(ArtifactsInput!$M$15,CHOOSE(ArtifactsInput!$N$15+1,25,30,35,40,45,50)/100*(Inputs!$B$11-Inputs!$B$11),0)))/100)/2</f>
        <v/>
      </c>
      <c r="M1592">
        <f>L1592*(1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2">
        <f>L1592*(1-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1592*(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2">
        <f>(1-Summary!$B$11)*S1592+Summary!$B$11*U1592</f>
        <v/>
      </c>
      <c r="P1592">
        <f>IF(B1624=0,0,O1592/B1624)</f>
        <v/>
      </c>
      <c r="Q1592">
        <f>IFERROR(1/(IF(Inputs!$B$38="pvp",15,MAX(0.1,Skills!D5-IF(TRUE=TRUE,Inputs!$B$32,0)))*(1-IF(AND(ArtifactsInput!$M$27,Inputs!$B$4="Chapter Hunt"),CHOOSE(ArtifactsInput!$N$27+1,20,24,28,32,36,40),0)/100)),0)</f>
        <v/>
      </c>
      <c r="R1592">
        <f>IF(AND(Inputs!$B$38&lt;&gt;"pvp",Inputs!$B$43&gt;0),IF(MAX(0,Inputs!$B$43-B1621)&lt;=0,0,(INT(MAX(0,Inputs!$B$43-B1621)/(IF(Inputs!$B$38="pvp",15,MAX(0.1,Skills!D5-IF(TRUE=TRUE,Inputs!$B$32,0)))*(1-IF(AND(ArtifactsInput!$M$27,Inputs!$B$4="Chapter Hunt"),CHOOSE(ArtifactsInput!$N$27+1,20,24,28,32,36,40),0)/100)))+1)),0)</f>
        <v/>
      </c>
      <c r="S1592">
        <f>IF(C1592,(H1592*N1592*IF(AND(Inputs!$B$38&lt;&gt;"pvp",Inputs!$B$43&gt;0),((Skills!F5*((R1592-1)*IF(Skills!G5&gt;0,Skills!H5/Skills!G5,1)+IF(Skills!G5&gt;0,MIN(Skills!H5,MAX(0,MAX(0,Inputs!$B$43-B1621)-((R1592-1)*(IF(Inputs!$B$38="pvp",15,MAX(0.1,Skills!D5-IF(TRUE=TRUE,Inputs!$B$32,0)))*(1-IF(AND(ArtifactsInput!$M$27,Inputs!$B$4="Chapter Hunt"),CHOOSE(ArtifactsInput!$N$27+1,20,24,28,32,36,40),0)/100)))))/Skills!G5,1)))/Inputs!$B$43),G1592*Q1592))*IF(Inputs!$B$38="pvp",1,1+(Inputs!$B$20+Skills!O5+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1592*(1-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1592*(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1592*(1-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1592*(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2">
        <f>IF(C1592,(H1592*N1592*IF(AND(Inputs!$B$38&lt;&gt;"pvp",Inputs!$B$43&gt;0),((Skills!F5*((R1592-1)*IF(Skills!G5&gt;0,Skills!H5/Skills!G5,1)+IF(Skills!G5&gt;0,MIN(Skills!H5,MAX(0,MAX(0,Inputs!$B$43-B1621)-((R1592-1)*(IF(Inputs!$B$38="pvp",15,MAX(0.1,Skills!D5-IF(TRUE=TRUE,Inputs!$B$32,0)))*(1-IF(AND(ArtifactsInput!$M$27,Inputs!$B$4="Chapter Hunt"),CHOOSE(ArtifactsInput!$N$27+1,20,24,28,32,36,40),0)/100)))))/Skills!G5,1)))/Inputs!$B$43),G1592*Q1592))*IF(Inputs!$B$38="pvp",1,(1+(Inputs!$B$21+Skills!P5+B1615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3">
      <c r="A1593">
        <f>Skills!A6</f>
        <v/>
      </c>
      <c r="B1593">
        <f>Skills!B6</f>
        <v/>
      </c>
      <c r="C1593">
        <f>Inputs!$B$3&gt;=63</f>
        <v/>
      </c>
      <c r="D1593">
        <f>IF(Skills!C6=1,60+Inputs!$B$25+Inputs!$B$29,IF(Skills!C6=2,90+Inputs!$B$26+Inputs!$B$29,IF(Skills!C6=3,120+Inputs!$B$27+Inputs!$B$29,MAX(0,(Inputs!$B$3-100)*3)+Inputs!$B$28+Inputs!$B$29)))</f>
        <v/>
      </c>
      <c r="E1593">
        <f>INDEX(FactorTable!$B$2:$Y$301, MATCH(ROUND(MIN(300,MAX(1,D1593)),0), FactorTable!$A$2:$A$301,0), Skills!L6+1)</f>
        <v/>
      </c>
      <c r="F1593">
        <f>IF(Skills!M6=TRUE,(Skills!K6/10)*(E1593/1000),Skills!K6/10)+Skills!N6</f>
        <v/>
      </c>
      <c r="G1593">
        <f>Calc!G6</f>
        <v/>
      </c>
      <c r="H1593">
        <f>Calc!H6</f>
        <v/>
      </c>
      <c r="I1593">
        <f>IF(Skills!T6&lt;&gt;"",1+(Skills!T6/10)*(Z1590/1000)/100,1)</f>
        <v/>
      </c>
      <c r="J1593">
        <f>((Inputs!$B$6*(1+Inputs!$B$7/100))+(((Inputs!$B$12*(1+Inputs!$B$13/100))-(Inputs!$B$12*(1+Inputs!$B$13/100)))+0.25*(Inputs!$B$14-Inputs!$B$14))*(1+Inputs!$B$7/100))*(F1593/100)</f>
        <v/>
      </c>
      <c r="K1593">
        <f>J1593*(1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6="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1593)</f>
        <v/>
      </c>
      <c r="L1593">
        <f>K1593*(MIN(Inputs!$B$22+(F1605-Calc!F18),(Inputs!$B$23+(IF(ArtifactsInput!$M$15,CHOOSE(ArtifactsInput!$N$15+1,25,30,35,40,45,50)/100*(Inputs!$B$11-Inputs!$B$11),0))))/100+(Inputs!$B$23+(IF(ArtifactsInput!$M$15,CHOOSE(ArtifactsInput!$N$15+1,25,30,35,40,45,50)/100*(Inputs!$B$11-Inputs!$B$11),0)))/100)/2</f>
        <v/>
      </c>
      <c r="M1593">
        <f>L1593*(1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3">
        <f>L1593*(1-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1593*(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3">
        <f>(1-Summary!$B$11)*S1593+Summary!$B$11*U1593</f>
        <v/>
      </c>
      <c r="P1593">
        <f>IF(B1624=0,0,O1593/B1624)</f>
        <v/>
      </c>
      <c r="Q1593">
        <f>IFERROR(1/(IF(Inputs!$B$38="pvp",15,MAX(0.1,Skills!D6-IF(TRUE=TRUE,Inputs!$B$32,0)))*(1-IF(AND(ArtifactsInput!$M$27,Inputs!$B$4="Chapter Hunt"),CHOOSE(ArtifactsInput!$N$27+1,20,24,28,32,36,40),0)/100)),0)</f>
        <v/>
      </c>
      <c r="R1593">
        <f>IF(AND(Inputs!$B$38&lt;&gt;"pvp",Inputs!$B$43&gt;0),IF(MAX(0,Inputs!$B$43-B1621)&lt;=0,0,(INT(MAX(0,Inputs!$B$43-B1621)/(IF(Inputs!$B$38="pvp",15,MAX(0.1,Skills!D6-IF(TRUE=TRUE,Inputs!$B$32,0)))*(1-IF(AND(ArtifactsInput!$M$27,Inputs!$B$4="Chapter Hunt"),CHOOSE(ArtifactsInput!$N$27+1,20,24,28,32,36,40),0)/100)))+1)),0)</f>
        <v/>
      </c>
      <c r="S1593">
        <f>IF(C1593,(H1593*N1593*IF(AND(Inputs!$B$38&lt;&gt;"pvp",Inputs!$B$43&gt;0),((Skills!F6*((R1593-1)*IF(Skills!G6&gt;0,Skills!H6/Skills!G6,1)+IF(Skills!G6&gt;0,MIN(Skills!H6,MAX(0,MAX(0,Inputs!$B$43-B1621)-((R1593-1)*(IF(Inputs!$B$38="pvp",15,MAX(0.1,Skills!D6-IF(TRUE=TRUE,Inputs!$B$32,0)))*(1-IF(AND(ArtifactsInput!$M$27,Inputs!$B$4="Chapter Hunt"),CHOOSE(ArtifactsInput!$N$27+1,20,24,28,32,36,40),0)/100)))))/Skills!G6,1)))/Inputs!$B$43),G1593*Q1593))*IF(Inputs!$B$38="pvp",1,1+(Inputs!$B$20+Skills!O6+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1593*(1-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1593*(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1593*(1-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1593*(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3">
        <f>IF(C1593,(H1593*N1593*IF(AND(Inputs!$B$38&lt;&gt;"pvp",Inputs!$B$43&gt;0),((Skills!F6*((R1593-1)*IF(Skills!G6&gt;0,Skills!H6/Skills!G6,1)+IF(Skills!G6&gt;0,MIN(Skills!H6,MAX(0,MAX(0,Inputs!$B$43-B1621)-((R1593-1)*(IF(Inputs!$B$38="pvp",15,MAX(0.1,Skills!D6-IF(TRUE=TRUE,Inputs!$B$32,0)))*(1-IF(AND(ArtifactsInput!$M$27,Inputs!$B$4="Chapter Hunt"),CHOOSE(ArtifactsInput!$N$27+1,20,24,28,32,36,40),0)/100)))))/Skills!G6,1)))/Inputs!$B$43),G1593*Q1593))*IF(Inputs!$B$38="pvp",1,(1+(Inputs!$B$21+Skills!P6+B1615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4">
      <c r="A1594">
        <f>Skills!A7</f>
        <v/>
      </c>
      <c r="B1594">
        <f>Skills!B7</f>
        <v/>
      </c>
      <c r="C1594">
        <f>Inputs!$B$3&gt;=69</f>
        <v/>
      </c>
      <c r="D1594">
        <f>IF(Skills!C7=1,60+Inputs!$B$25+Inputs!$B$29,IF(Skills!C7=2,90+Inputs!$B$26+Inputs!$B$29,IF(Skills!C7=3,120+Inputs!$B$27+Inputs!$B$29,MAX(0,(Inputs!$B$3-100)*3)+Inputs!$B$28+Inputs!$B$29)))</f>
        <v/>
      </c>
      <c r="E1594">
        <f>INDEX(FactorTable!$B$2:$Y$301, MATCH(ROUND(MIN(300,MAX(1,D1594)),0), FactorTable!$A$2:$A$301,0), Skills!L7+1)</f>
        <v/>
      </c>
      <c r="F1594">
        <f>IF(Skills!M7=TRUE,(Skills!K7/10)*(E1594/1000),Skills!K7/10)+Skills!N7</f>
        <v/>
      </c>
      <c r="G1594">
        <f>Calc!G7</f>
        <v/>
      </c>
      <c r="H1594">
        <f>Calc!H7</f>
        <v/>
      </c>
      <c r="I1594">
        <f>IF(Skills!T7&lt;&gt;"",1+(Skills!T7/10)*(Z1590/1000)/100,1)</f>
        <v/>
      </c>
      <c r="J1594">
        <f>((Inputs!$B$6*(1+Inputs!$B$7/100))+(((Inputs!$B$12*(1+Inputs!$B$13/100))-(Inputs!$B$12*(1+Inputs!$B$13/100)))+0.25*(Inputs!$B$14-Inputs!$B$14))*(1+Inputs!$B$7/100))*(F1594/100)</f>
        <v/>
      </c>
      <c r="K1594">
        <f>J1594*(1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7="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1594)</f>
        <v/>
      </c>
      <c r="L1594">
        <f>K1594*(MIN(Inputs!$B$22+(F1605-Calc!F18),(Inputs!$B$23+(IF(ArtifactsInput!$M$15,CHOOSE(ArtifactsInput!$N$15+1,25,30,35,40,45,50)/100*(Inputs!$B$11-Inputs!$B$11),0))))/100+(Inputs!$B$23+(IF(ArtifactsInput!$M$15,CHOOSE(ArtifactsInput!$N$15+1,25,30,35,40,45,50)/100*(Inputs!$B$11-Inputs!$B$11),0)))/100)/2</f>
        <v/>
      </c>
      <c r="M1594">
        <f>L1594*(1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4">
        <f>L1594*(1-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1594*(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4">
        <f>(1-Summary!$B$11)*S1594+Summary!$B$11*U1594</f>
        <v/>
      </c>
      <c r="P1594">
        <f>IF(B1624=0,0,O1594/B1624)</f>
        <v/>
      </c>
      <c r="Q1594">
        <f>IFERROR(1/(IF(Inputs!$B$38="pvp",15,MAX(0.1,Skills!D7-IF(TRUE=TRUE,Inputs!$B$32,0)))*(1-IF(AND(ArtifactsInput!$M$27,Inputs!$B$4="Chapter Hunt"),CHOOSE(ArtifactsInput!$N$27+1,20,24,28,32,36,40),0)/100)),0)</f>
        <v/>
      </c>
      <c r="R1594">
        <f>IF(AND(Inputs!$B$38&lt;&gt;"pvp",Inputs!$B$43&gt;0),IF(MAX(0,Inputs!$B$43-B1621)&lt;=0,0,(INT(MAX(0,Inputs!$B$43-B1621)/(IF(Inputs!$B$38="pvp",15,MAX(0.1,Skills!D7-IF(TRUE=TRUE,Inputs!$B$32,0)))*(1-IF(AND(ArtifactsInput!$M$27,Inputs!$B$4="Chapter Hunt"),CHOOSE(ArtifactsInput!$N$27+1,20,24,28,32,36,40),0)/100)))+1)),0)</f>
        <v/>
      </c>
      <c r="S1594">
        <f>IF(C1594,(H1594*N1594*IF(AND(Inputs!$B$38&lt;&gt;"pvp",Inputs!$B$43&gt;0),((Skills!F7*((R1594-1)*IF(Skills!G7&gt;0,Skills!H7/Skills!G7,1)+IF(Skills!G7&gt;0,MIN(Skills!H7,MAX(0,MAX(0,Inputs!$B$43-B1621)-((R1594-1)*(IF(Inputs!$B$38="pvp",15,MAX(0.1,Skills!D7-IF(TRUE=TRUE,Inputs!$B$32,0)))*(1-IF(AND(ArtifactsInput!$M$27,Inputs!$B$4="Chapter Hunt"),CHOOSE(ArtifactsInput!$N$27+1,20,24,28,32,36,40),0)/100)))))/Skills!G7,1)))/Inputs!$B$43),G1594*Q1594))*IF(Inputs!$B$38="pvp",1,1+(Inputs!$B$20+Skills!O7+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1594*(1-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1594*(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1594*(1-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1594*(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4">
        <f>IF(C1594,(H1594*N1594*IF(AND(Inputs!$B$38&lt;&gt;"pvp",Inputs!$B$43&gt;0),((Skills!F7*((R1594-1)*IF(Skills!G7&gt;0,Skills!H7/Skills!G7,1)+IF(Skills!G7&gt;0,MIN(Skills!H7,MAX(0,MAX(0,Inputs!$B$43-B1621)-((R1594-1)*(IF(Inputs!$B$38="pvp",15,MAX(0.1,Skills!D7-IF(TRUE=TRUE,Inputs!$B$32,0)))*(1-IF(AND(ArtifactsInput!$M$27,Inputs!$B$4="Chapter Hunt"),CHOOSE(ArtifactsInput!$N$27+1,20,24,28,32,36,40),0)/100)))))/Skills!G7,1)))/Inputs!$B$43),G1594*Q1594))*IF(Inputs!$B$38="pvp",1,(1+(Inputs!$B$21+Skills!P7+B1615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5">
      <c r="A1595">
        <f>Skills!A8</f>
        <v/>
      </c>
      <c r="B1595">
        <f>Skills!B8</f>
        <v/>
      </c>
      <c r="C1595">
        <f>Inputs!$B$3&gt;=103</f>
        <v/>
      </c>
      <c r="D1595">
        <f>IF(Skills!C8=1,60+Inputs!$B$25+Inputs!$B$29,IF(Skills!C8=2,90+Inputs!$B$26+Inputs!$B$29,IF(Skills!C8=3,120+Inputs!$B$27+Inputs!$B$29,MAX(0,(Inputs!$B$3-100)*3)+Inputs!$B$28+Inputs!$B$29)))</f>
        <v/>
      </c>
      <c r="E1595">
        <f>INDEX(FactorTable!$B$2:$Y$301, MATCH(ROUND(MIN(300,MAX(1,D1595)),0), FactorTable!$A$2:$A$301,0), Skills!L8+1)</f>
        <v/>
      </c>
      <c r="F1595">
        <f>IF(Skills!M8=TRUE,(Skills!K8/10)*(E1595/1000),Skills!K8/10)+Skills!N8</f>
        <v/>
      </c>
      <c r="G1595">
        <f>Calc!G8</f>
        <v/>
      </c>
      <c r="H1595">
        <f>Calc!H8</f>
        <v/>
      </c>
      <c r="I1595">
        <f>IF(Skills!T8&lt;&gt;"",1+(Skills!T8/10)*(Z1590/1000)/100,1)</f>
        <v/>
      </c>
      <c r="J1595">
        <f>((Inputs!$B$6*(1+Inputs!$B$7/100))+(((Inputs!$B$12*(1+Inputs!$B$13/100))-(Inputs!$B$12*(1+Inputs!$B$13/100)))+0.25*(Inputs!$B$14-Inputs!$B$14))*(1+Inputs!$B$7/100))*(F1595/100)</f>
        <v/>
      </c>
      <c r="K1595">
        <f>J1595*(1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8="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1595)</f>
        <v/>
      </c>
      <c r="L1595">
        <f>K1595*(MIN(Inputs!$B$22+(F1605-Calc!F18),(Inputs!$B$23+(IF(ArtifactsInput!$M$15,CHOOSE(ArtifactsInput!$N$15+1,25,30,35,40,45,50)/100*(Inputs!$B$11-Inputs!$B$11),0))))/100+(Inputs!$B$23+(IF(ArtifactsInput!$M$15,CHOOSE(ArtifactsInput!$N$15+1,25,30,35,40,45,50)/100*(Inputs!$B$11-Inputs!$B$11),0)))/100)/2</f>
        <v/>
      </c>
      <c r="M1595">
        <f>L1595*(1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5">
        <f>L1595*(1-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1595*(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5">
        <f>(1-Summary!$B$11)*S1595+Summary!$B$11*U1595</f>
        <v/>
      </c>
      <c r="P1595">
        <f>IF(B1624=0,0,O1595/B1624)</f>
        <v/>
      </c>
      <c r="Q1595">
        <f>IFERROR(1/(IF(Inputs!$B$38="pvp",15,MAX(0.1,Skills!D8-IF(TRUE=TRUE,Inputs!$B$32,0)))*(1-IF(AND(ArtifactsInput!$M$27,Inputs!$B$4="Chapter Hunt"),CHOOSE(ArtifactsInput!$N$27+1,20,24,28,32,36,40),0)/100)),0)</f>
        <v/>
      </c>
      <c r="R1595">
        <f>IF(AND(Inputs!$B$38&lt;&gt;"pvp",Inputs!$B$43&gt;0),IF(MAX(0,Inputs!$B$43-B1621)&lt;=0,0,(INT(MAX(0,Inputs!$B$43-B1621)/(IF(Inputs!$B$38="pvp",15,MAX(0.1,Skills!D8-IF(TRUE=TRUE,Inputs!$B$32,0)))*(1-IF(AND(ArtifactsInput!$M$27,Inputs!$B$4="Chapter Hunt"),CHOOSE(ArtifactsInput!$N$27+1,20,24,28,32,36,40),0)/100)))+1)),0)</f>
        <v/>
      </c>
      <c r="S1595">
        <f>IF(C1595,(H1595*N1595*IF(AND(Inputs!$B$38&lt;&gt;"pvp",Inputs!$B$43&gt;0),((Skills!F8*((R1595-1)*IF(Skills!G8&gt;0,Skills!H8/Skills!G8,1)+IF(Skills!G8&gt;0,MIN(Skills!H8,MAX(0,MAX(0,Inputs!$B$43-B1621)-((R1595-1)*(IF(Inputs!$B$38="pvp",15,MAX(0.1,Skills!D8-IF(TRUE=TRUE,Inputs!$B$32,0)))*(1-IF(AND(ArtifactsInput!$M$27,Inputs!$B$4="Chapter Hunt"),CHOOSE(ArtifactsInput!$N$27+1,20,24,28,32,36,40),0)/100)))))/Skills!G8,1)))/Inputs!$B$43),G1595*Q1595))*IF(Inputs!$B$38="pvp",1,1+(Inputs!$B$20+Skills!O8+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1595*(1-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1595*(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1595*(1-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1595*(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5">
        <f>IF(C1595,(H1595*N1595*IF(AND(Inputs!$B$38&lt;&gt;"pvp",Inputs!$B$43&gt;0),((Skills!F8*((R1595-1)*IF(Skills!G8&gt;0,Skills!H8/Skills!G8,1)+IF(Skills!G8&gt;0,MIN(Skills!H8,MAX(0,MAX(0,Inputs!$B$43-B1621)-((R1595-1)*(IF(Inputs!$B$38="pvp",15,MAX(0.1,Skills!D8-IF(TRUE=TRUE,Inputs!$B$32,0)))*(1-IF(AND(ArtifactsInput!$M$27,Inputs!$B$4="Chapter Hunt"),CHOOSE(ArtifactsInput!$N$27+1,20,24,28,32,36,40),0)/100)))))/Skills!G8,1)))/Inputs!$B$43),G1595*Q1595))*IF(Inputs!$B$38="pvp",1,(1+(Inputs!$B$21+Skills!P8+B1615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6">
      <c r="A1596">
        <f>Skills!A9</f>
        <v/>
      </c>
      <c r="B1596">
        <f>Skills!B9</f>
        <v/>
      </c>
      <c r="C1596">
        <f>Inputs!$B$3&gt;=105</f>
        <v/>
      </c>
      <c r="D1596">
        <f>IF(Skills!C9=1,60+Inputs!$B$25+Inputs!$B$29,IF(Skills!C9=2,90+Inputs!$B$26+Inputs!$B$29,IF(Skills!C9=3,120+Inputs!$B$27+Inputs!$B$29,MAX(0,(Inputs!$B$3-100)*3)+Inputs!$B$28+Inputs!$B$29)))</f>
        <v/>
      </c>
      <c r="E1596">
        <f>INDEX(FactorTable!$B$2:$Y$301, MATCH(ROUND(MIN(300,MAX(1,D1596)),0), FactorTable!$A$2:$A$301,0), Skills!L9+1)</f>
        <v/>
      </c>
      <c r="F1596">
        <f>IF(Skills!M9=TRUE,(Skills!K9/10)*(E1596/1000),Skills!K9/10)+Skills!N9</f>
        <v/>
      </c>
      <c r="G1596">
        <f>Calc!G9</f>
        <v/>
      </c>
      <c r="H1596">
        <f>Calc!H9</f>
        <v/>
      </c>
      <c r="I1596">
        <f>IF(Skills!T9&lt;&gt;"",1+(Skills!T9/10)*(Z1590/1000)/100,1)</f>
        <v/>
      </c>
      <c r="J1596">
        <f>((Inputs!$B$6*(1+Inputs!$B$7/100))+(((Inputs!$B$12*(1+Inputs!$B$13/100))-(Inputs!$B$12*(1+Inputs!$B$13/100)))+0.25*(Inputs!$B$14-Inputs!$B$14))*(1+Inputs!$B$7/100))*(F1596/100)</f>
        <v/>
      </c>
      <c r="K1596">
        <f>J1596*(1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9="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1596)</f>
        <v/>
      </c>
      <c r="L1596">
        <f>K1596*(MIN(Inputs!$B$22+(F1605-Calc!F18),(Inputs!$B$23+(IF(ArtifactsInput!$M$15,CHOOSE(ArtifactsInput!$N$15+1,25,30,35,40,45,50)/100*(Inputs!$B$11-Inputs!$B$11),0))))/100+(Inputs!$B$23+(IF(ArtifactsInput!$M$15,CHOOSE(ArtifactsInput!$N$15+1,25,30,35,40,45,50)/100*(Inputs!$B$11-Inputs!$B$11),0)))/100)/2</f>
        <v/>
      </c>
      <c r="M1596">
        <f>L1596*(1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6">
        <f>L1596*(1-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1596*(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6">
        <f>(1-Summary!$B$11)*S1596+Summary!$B$11*U1596</f>
        <v/>
      </c>
      <c r="P1596">
        <f>IF(B1624=0,0,O1596/B1624)</f>
        <v/>
      </c>
      <c r="Q1596">
        <f>IFERROR(1/(IF(Inputs!$B$38="pvp",15,MAX(0.1,Skills!D9-IF(TRUE=TRUE,Inputs!$B$32,0)))*(1-IF(AND(ArtifactsInput!$M$27,Inputs!$B$4="Chapter Hunt"),CHOOSE(ArtifactsInput!$N$27+1,20,24,28,32,36,40),0)/100)),0)</f>
        <v/>
      </c>
      <c r="R1596">
        <f>IF(AND(Inputs!$B$38&lt;&gt;"pvp",Inputs!$B$43&gt;0),IF(MAX(0,Inputs!$B$43-B1621)&lt;=0,0,(INT(MAX(0,Inputs!$B$43-B1621)/(IF(Inputs!$B$38="pvp",15,MAX(0.1,Skills!D9-IF(TRUE=TRUE,Inputs!$B$32,0)))*(1-IF(AND(ArtifactsInput!$M$27,Inputs!$B$4="Chapter Hunt"),CHOOSE(ArtifactsInput!$N$27+1,20,24,28,32,36,40),0)/100)))+1)),0)</f>
        <v/>
      </c>
      <c r="S1596">
        <f>IF(C1596,(H1596*N1596*IF(AND(Inputs!$B$38&lt;&gt;"pvp",Inputs!$B$43&gt;0),((Skills!F9*((R1596-1)*IF(Skills!G9&gt;0,Skills!H9/Skills!G9,1)+IF(Skills!G9&gt;0,MIN(Skills!H9,MAX(0,MAX(0,Inputs!$B$43-B1621)-((R1596-1)*(IF(Inputs!$B$38="pvp",15,MAX(0.1,Skills!D9-IF(TRUE=TRUE,Inputs!$B$32,0)))*(1-IF(AND(ArtifactsInput!$M$27,Inputs!$B$4="Chapter Hunt"),CHOOSE(ArtifactsInput!$N$27+1,20,24,28,32,36,40),0)/100)))))/Skills!G9,1)))/Inputs!$B$43),G1596*Q1596))*IF(Inputs!$B$38="pvp",1,1+(Inputs!$B$20+Skills!O9+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1596*(1-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1596*(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1596*(1-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1596*(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6">
        <f>IF(C1596,(H1596*N1596*IF(AND(Inputs!$B$38&lt;&gt;"pvp",Inputs!$B$43&gt;0),((Skills!F9*((R1596-1)*IF(Skills!G9&gt;0,Skills!H9/Skills!G9,1)+IF(Skills!G9&gt;0,MIN(Skills!H9,MAX(0,MAX(0,Inputs!$B$43-B1621)-((R1596-1)*(IF(Inputs!$B$38="pvp",15,MAX(0.1,Skills!D9-IF(TRUE=TRUE,Inputs!$B$32,0)))*(1-IF(AND(ArtifactsInput!$M$27,Inputs!$B$4="Chapter Hunt"),CHOOSE(ArtifactsInput!$N$27+1,20,24,28,32,36,40),0)/100)))))/Skills!G9,1)))/Inputs!$B$43),G1596*Q1596))*IF(Inputs!$B$38="pvp",1,(1+(Inputs!$B$21+Skills!P9+B1615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7">
      <c r="A1597">
        <f>Skills!A10</f>
        <v/>
      </c>
      <c r="B1597">
        <f>Skills!B10</f>
        <v/>
      </c>
      <c r="C1597">
        <f>Inputs!$B$3&gt;=113</f>
        <v/>
      </c>
      <c r="D1597">
        <f>IF(Skills!C10=1,60+Inputs!$B$25+Inputs!$B$29,IF(Skills!C10=2,90+Inputs!$B$26+Inputs!$B$29,IF(Skills!C10=3,120+Inputs!$B$27+Inputs!$B$29,MAX(0,(Inputs!$B$3-100)*3)+Inputs!$B$28+Inputs!$B$29)))</f>
        <v/>
      </c>
      <c r="E1597">
        <f>INDEX(FactorTable!$B$2:$Y$301, MATCH(ROUND(MIN(300,MAX(1,D1597)),0), FactorTable!$A$2:$A$301,0), Skills!L10+1)</f>
        <v/>
      </c>
      <c r="F1597">
        <f>IF(Skills!M10=TRUE,(Skills!K10/10)*(E1597/1000),Skills!K10/10)+Skills!N10</f>
        <v/>
      </c>
      <c r="G1597">
        <f>Calc!G10</f>
        <v/>
      </c>
      <c r="H1597">
        <f>Calc!H10</f>
        <v/>
      </c>
      <c r="I1597">
        <f>IF(Skills!T10&lt;&gt;"",1+(Skills!T10/10)*(Z1590/1000)/100,1)</f>
        <v/>
      </c>
      <c r="J1597">
        <f>((Inputs!$B$6*(1+Inputs!$B$7/100))+(((Inputs!$B$12*(1+Inputs!$B$13/100))-(Inputs!$B$12*(1+Inputs!$B$13/100)))+0.25*(Inputs!$B$14-Inputs!$B$14))*(1+Inputs!$B$7/100))*(F1597/100)</f>
        <v/>
      </c>
      <c r="K1597">
        <f>J1597*(1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10="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1597)</f>
        <v/>
      </c>
      <c r="L1597">
        <f>K1597*(MIN(Inputs!$B$22+(F1605-Calc!F18),(Inputs!$B$23+(IF(ArtifactsInput!$M$15,CHOOSE(ArtifactsInput!$N$15+1,25,30,35,40,45,50)/100*(Inputs!$B$11-Inputs!$B$11),0))))/100+(Inputs!$B$23+(IF(ArtifactsInput!$M$15,CHOOSE(ArtifactsInput!$N$15+1,25,30,35,40,45,50)/100*(Inputs!$B$11-Inputs!$B$11),0)))/100)/2</f>
        <v/>
      </c>
      <c r="M1597">
        <f>L1597*(1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7">
        <f>L1597*(1-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1597*(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7">
        <f>(1-Summary!$B$11)*S1597+Summary!$B$11*U1597</f>
        <v/>
      </c>
      <c r="P1597">
        <f>IF(B1624=0,0,O1597/B1624)</f>
        <v/>
      </c>
      <c r="Q1597">
        <f>IFERROR(1/(IF(Inputs!$B$38="pvp",15,MAX(0.1,Skills!D10-IF(TRUE=TRUE,Inputs!$B$32,0)))*(1-IF(AND(ArtifactsInput!$M$27,Inputs!$B$4="Chapter Hunt"),CHOOSE(ArtifactsInput!$N$27+1,20,24,28,32,36,40),0)/100)),0)</f>
        <v/>
      </c>
      <c r="R1597" t="n">
        <v>0</v>
      </c>
      <c r="S1597">
        <f>IF(C1597,((H1597*B1625)/(1+Skills!G10*H1597*B1625)*N1597)*IF(Inputs!$B$38="pvp",1,1+(Inputs!$B$20+Skills!O10+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1597*(1-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1597*(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1597*(1-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1597*(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7">
        <f>IF(C1597,((H1597*B1625)/(1+Skills!G10*H1597*B1625)*N1597)*IF(Inputs!$B$38="pvp",1,(1+(Inputs!$B$21+Skills!P10+B1615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8">
      <c r="A1598">
        <f>Skills!A11</f>
        <v/>
      </c>
      <c r="B1598">
        <f>Skills!B11</f>
        <v/>
      </c>
      <c r="C1598">
        <f>Inputs!$B$3&gt;=107</f>
        <v/>
      </c>
      <c r="D1598">
        <f>IF(Skills!C11=1,60+Inputs!$B$25+Inputs!$B$29,IF(Skills!C11=2,90+Inputs!$B$26+Inputs!$B$29,IF(Skills!C11=3,120+Inputs!$B$27+Inputs!$B$29,MAX(0,(Inputs!$B$3-100)*3)+Inputs!$B$28+Inputs!$B$29)))</f>
        <v/>
      </c>
      <c r="E1598">
        <f>INDEX(FactorTable!$B$2:$Y$301, MATCH(ROUND(MIN(300,MAX(1,D1598)),0), FactorTable!$A$2:$A$301,0), Skills!L11+1)</f>
        <v/>
      </c>
      <c r="F1598">
        <f>IF(Skills!M11=TRUE,(Skills!K11/10)*(E1598/1000),Skills!K11/10)+Skills!N11</f>
        <v/>
      </c>
      <c r="G1598">
        <f>Calc!G11</f>
        <v/>
      </c>
      <c r="H1598">
        <f>Calc!H11</f>
        <v/>
      </c>
      <c r="I1598">
        <f>IF(Skills!T11&lt;&gt;"",1+(Skills!T11/10)*(Z1590/1000)/100,1)</f>
        <v/>
      </c>
      <c r="J1598">
        <f>((Inputs!$B$6*(1+Inputs!$B$7/100))+(((Inputs!$B$12*(1+Inputs!$B$13/100))-(Inputs!$B$12*(1+Inputs!$B$13/100)))+0.25*(Inputs!$B$14-Inputs!$B$14))*(1+Inputs!$B$7/100))*(F1598/100)</f>
        <v/>
      </c>
      <c r="K1598">
        <f>J1598*(1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11="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1598)</f>
        <v/>
      </c>
      <c r="L1598">
        <f>K1598*(MIN(Inputs!$B$22+(F1605-Calc!F18),(Inputs!$B$23+(IF(ArtifactsInput!$M$15,CHOOSE(ArtifactsInput!$N$15+1,25,30,35,40,45,50)/100*(Inputs!$B$11-Inputs!$B$11),0))))/100+(Inputs!$B$23+(IF(ArtifactsInput!$M$15,CHOOSE(ArtifactsInput!$N$15+1,25,30,35,40,45,50)/100*(Inputs!$B$11-Inputs!$B$11),0)))/100)/2</f>
        <v/>
      </c>
      <c r="M1598">
        <f>L1598*(1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8">
        <f>L1598*(1-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1598*(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8">
        <f>(1-Summary!$B$11)*S1598+Summary!$B$11*U1598</f>
        <v/>
      </c>
      <c r="P1598">
        <f>IF(B1624=0,0,O1598/B1624)</f>
        <v/>
      </c>
      <c r="Q1598">
        <f>IFERROR(1/(IF(Inputs!$B$38="pvp",15,MAX(0.1,Skills!D11-IF(TRUE=TRUE,Inputs!$B$32,0)))*(1-IF(AND(ArtifactsInput!$M$27,Inputs!$B$4="Chapter Hunt"),CHOOSE(ArtifactsInput!$N$27+1,20,24,28,32,36,40),0)/100)),0)</f>
        <v/>
      </c>
      <c r="R1598">
        <f>IF(AND(Inputs!$B$38&lt;&gt;"pvp",Inputs!$B$43&gt;0),IF(MAX(0,Inputs!$B$43-B1621)&lt;=0,0,(INT(MAX(0,Inputs!$B$43-B1621)/(IF(Inputs!$B$38="pvp",15,MAX(0.1,Skills!D11-IF(TRUE=TRUE,Inputs!$B$32,0)))*(1-IF(AND(ArtifactsInput!$M$27,Inputs!$B$4="Chapter Hunt"),CHOOSE(ArtifactsInput!$N$27+1,20,24,28,32,36,40),0)/100)))+1)),0)</f>
        <v/>
      </c>
      <c r="S1598">
        <f>IF(C1598,H1598*N1598*IF(AND(Inputs!$B$38&lt;&gt;"pvp",Inputs!$B$43&gt;0),((Skills!F11*((R1598-1)*IF(Skills!G11&gt;0,Skills!H11/Skills!G11,1)+IF(Skills!G11&gt;0,MIN(Skills!H11,MAX(0,MAX(0,Inputs!$B$43-B1621)-((R1598-1)*(IF(Inputs!$B$38="pvp",15,MAX(0.1,Skills!D11-IF(TRUE=TRUE,Inputs!$B$32,0)))*(1-IF(AND(ArtifactsInput!$M$27,Inputs!$B$4="Chapter Hunt"),CHOOSE(ArtifactsInput!$N$27+1,20,24,28,32,36,40),0)/100)))))/Skills!G11,1)))/Inputs!$B$43),G1598*Q1598)*0.5*IF(Inputs!$B$38="pvp",1,1+(Inputs!$B$20+Skills!O11+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1598*(1-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1598*(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1598*(1-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1598*(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8">
        <f>IF(C1598,H1598*N1598*IF(AND(Inputs!$B$38&lt;&gt;"pvp",Inputs!$B$43&gt;0),((Skills!F11*((R1598-1)*IF(Skills!G11&gt;0,Skills!H11/Skills!G11,1)+IF(Skills!G11&gt;0,MIN(Skills!H11,MAX(0,MAX(0,Inputs!$B$43-B1621)-((R1598-1)*(IF(Inputs!$B$38="pvp",15,MAX(0.1,Skills!D11-IF(TRUE=TRUE,Inputs!$B$32,0)))*(1-IF(AND(ArtifactsInput!$M$27,Inputs!$B$4="Chapter Hunt"),CHOOSE(ArtifactsInput!$N$27+1,20,24,28,32,36,40),0)/100)))))/Skills!G11,1)))/Inputs!$B$43),G1598*Q1598)*1*IF(Inputs!$B$38="pvp",1,(1+(Inputs!$B$21+Skills!P11+B1615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99">
      <c r="A1599">
        <f>Skills!A12</f>
        <v/>
      </c>
      <c r="B1599">
        <f>Skills!B12</f>
        <v/>
      </c>
      <c r="C1599">
        <f>Inputs!$B$3&gt;=115</f>
        <v/>
      </c>
      <c r="D1599">
        <f>IF(Skills!C12=1,60+Inputs!$B$25+Inputs!$B$29,IF(Skills!C12=2,90+Inputs!$B$26+Inputs!$B$29,IF(Skills!C12=3,120+Inputs!$B$27+Inputs!$B$29,MAX(0,(Inputs!$B$3-100)*3)+Inputs!$B$28+Inputs!$B$29)))</f>
        <v/>
      </c>
      <c r="E1599">
        <f>INDEX(FactorTable!$B$2:$Y$301, MATCH(ROUND(MIN(300,MAX(1,D1599)),0), FactorTable!$A$2:$A$301,0), Skills!L12+1)</f>
        <v/>
      </c>
      <c r="F1599">
        <f>IF(Skills!M12=TRUE,(Skills!K12/10)*(E1599/1000),Skills!K12/10)+Skills!N12</f>
        <v/>
      </c>
      <c r="G1599">
        <f>Calc!G12</f>
        <v/>
      </c>
      <c r="H1599">
        <f>Calc!H12</f>
        <v/>
      </c>
      <c r="I1599">
        <f>IF(Skills!T12&lt;&gt;"",1+(Skills!T12/10)*(Z1590/1000)/100,1)</f>
        <v/>
      </c>
      <c r="J1599">
        <f>((Inputs!$B$6*(1+Inputs!$B$7/100))+(((Inputs!$B$12*(1+Inputs!$B$13/100))-(Inputs!$B$12*(1+Inputs!$B$13/100)))+0.25*(Inputs!$B$14-Inputs!$B$14))*(1+Inputs!$B$7/100))*(F1599/100)</f>
        <v/>
      </c>
      <c r="K1599">
        <f>J1599*(1+((Inputs!$B$12*(1+Inputs!$B$13/100))*0.01+Inputs!$B$14*0.0025)/100)*(1+(Inputs!$B$15+B1616)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1602=TRUE,F1602,0)/100)*(1+IF(C1610=TRUE,F1610,0)/100)^5*(1+(IF(Skills!A12="CHAIN_LIGHTNING",Inputs!$B$17+((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1614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1599)</f>
        <v/>
      </c>
      <c r="L1599">
        <f>K1599*(MIN(Inputs!$B$22+(F1605-Calc!F18),(Inputs!$B$23+(IF(ArtifactsInput!$M$15,CHOOSE(ArtifactsInput!$N$15+1,25,30,35,40,45,50)/100*(Inputs!$B$11-Inputs!$B$11),0))))/100+(Inputs!$B$23+(IF(ArtifactsInput!$M$15,CHOOSE(ArtifactsInput!$N$15+1,25,30,35,40,45,50)/100*(Inputs!$B$11-Inputs!$B$11),0)))/100)/2</f>
        <v/>
      </c>
      <c r="M1599">
        <f>L1599*(1+(Inputs!$B$10+(F1608-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99">
        <f>L1599*(1-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1599*(MIN((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99">
        <f>(1-Summary!$B$11)*S1599+Summary!$B$11*U1599</f>
        <v/>
      </c>
      <c r="P1599">
        <f>IF(B1624=0,0,O1599/B1624)</f>
        <v/>
      </c>
      <c r="Q1599">
        <f>IFERROR(1/(IF(Inputs!$B$38="pvp",15,MAX(0.1,Skills!D12-IF(TRUE=TRUE,Inputs!$B$32,0)))*(1-IF(AND(ArtifactsInput!$M$27,Inputs!$B$4="Chapter Hunt"),CHOOSE(ArtifactsInput!$N$27+1,20,24,28,32,36,40),0)/100)),0)</f>
        <v/>
      </c>
      <c r="R1599">
        <f>IF(AND(Inputs!$B$38&lt;&gt;"pvp",Inputs!$B$43&gt;0),IF(MAX(0,Inputs!$B$43-B1621)&lt;=0,0,(INT(MAX(0,Inputs!$B$43-B1621)/(IF(Inputs!$B$38="pvp",15,MAX(0.1,Skills!D12-IF(TRUE=TRUE,Inputs!$B$32,0)))*(1-IF(AND(ArtifactsInput!$M$27,Inputs!$B$4="Chapter Hunt"),CHOOSE(ArtifactsInput!$N$27+1,20,24,28,32,36,40),0)/100)))+1)),0)</f>
        <v/>
      </c>
      <c r="S1599">
        <f>IF(C1599,(H1599*N1599*IF(AND(Inputs!$B$38&lt;&gt;"pvp",Inputs!$B$43&gt;0),((Skills!F12*((R1599-1)*IF(Skills!G12&gt;0,Skills!H12/Skills!G12,1)+IF(Skills!G12&gt;0,MIN(Skills!H12,MAX(0,MAX(0,Inputs!$B$43-B1621)-((R1599-1)*(IF(Inputs!$B$38="pvp",15,MAX(0.1,Skills!D12-IF(TRUE=TRUE,Inputs!$B$32,0)))*(1-IF(AND(ArtifactsInput!$M$27,Inputs!$B$4="Chapter Hunt"),CHOOSE(ArtifactsInput!$N$27+1,20,24,28,32,36,40),0)/100)))))/Skills!G12,1)))/Inputs!$B$43),G1599*Q1599))*IF(Inputs!$B$38="pvp",1,1+(Inputs!$B$20+Skills!O12+B1615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1599*(1-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1599*(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1599*(1-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1599*(MIN(100,(Inputs!$B$9+((F1607-Calc!F20)+(F1606-Calc!F19))+(ArtifactsInput!$M$24-ArtifactsInput!$M$24)*CHOOSE(ArtifactsInput!$N$24+1,10,12,14,16,18,20)+(IF(AND(Inputs!$B$38&lt;&gt;"pvp",Inputs!$B$43=0),1,IF(IF(Inputs!$B$38="pvp",15,Inputs!$B$43)-(B1621)&lt;=0,1,MAX(0,IF(Inputs!$B$38="pvp",15,Inputs!$B$43)-MAX(5,B1621))/(IF(Inputs!$B$38="pvp",15,Inputs!$B$43)-(B1621)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99">
        <f>IF(C1599,(H1599*N1599*IF(AND(Inputs!$B$38&lt;&gt;"pvp",Inputs!$B$43&gt;0),((Skills!F12*((R1599-1)*IF(Skills!G12&gt;0,Skills!H12/Skills!G12,1)+IF(Skills!G12&gt;0,MIN(Skills!H12,MAX(0,MAX(0,Inputs!$B$43-B1621)-((R1599-1)*(IF(Inputs!$B$38="pvp",15,MAX(0.1,Skills!D12-IF(TRUE=TRUE,Inputs!$B$32,0)))*(1-IF(AND(ArtifactsInput!$M$27,Inputs!$B$4="Chapter Hunt"),CHOOSE(ArtifactsInput!$N$27+1,20,24,28,32,36,40),0)/100)))))/Skills!G12,1)))/Inputs!$B$43),G1599*Q1599))*IF(Inputs!$B$38="pvp",1,(1+(Inputs!$B$21+Skills!P12+B1615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0">
      <c r="A1600">
        <f>Skills!A13</f>
        <v/>
      </c>
      <c r="B1600">
        <f>Skills!B13</f>
        <v/>
      </c>
      <c r="C1600">
        <f>Inputs!$B$3&gt;=49</f>
        <v/>
      </c>
      <c r="D1600">
        <f>IF(Skills!C13=1,60+Inputs!$B$25+Inputs!$B$29,IF(Skills!C13=2,90+Inputs!$B$26+Inputs!$B$29,IF(Skills!C13=3,120+Inputs!$B$27+Inputs!$B$29,MAX(0,(Inputs!$B$3-100)*3)+Inputs!$B$28+Inputs!$B$29)))</f>
        <v/>
      </c>
      <c r="E1600">
        <f>INDEX(FactorTable!$B$2:$Y$301, MATCH(ROUND(MIN(300,MAX(1,D1600)),0), FactorTable!$A$2:$A$301,0), Skills!L13+1)</f>
        <v/>
      </c>
      <c r="F1600">
        <f>IF(Skills!M13=TRUE,(Skills!K13/10)*(E1600/1000),Skills!K13/10)+Skills!N13</f>
        <v/>
      </c>
      <c r="G1600">
        <f>Calc!G13</f>
        <v/>
      </c>
      <c r="H1600">
        <f>Calc!H13</f>
        <v/>
      </c>
      <c r="I1600">
        <f>IF(Skills!T13&lt;&gt;"",1+(Skills!T13/10)*(Z1590/1000)/100,1)</f>
        <v/>
      </c>
      <c r="J1600" t="inlineStr"/>
      <c r="K1600" t="inlineStr"/>
      <c r="L1600" t="inlineStr"/>
      <c r="M1600" t="inlineStr"/>
      <c r="N1600" t="inlineStr"/>
      <c r="O1600">
        <f>(1-Summary!$B$11)*S1600+Summary!$B$11*U1600</f>
        <v/>
      </c>
      <c r="P1600">
        <f>IF(B1624=0,0,O1600/B1624)</f>
        <v/>
      </c>
      <c r="Q1600">
        <f>IFERROR(1/(IF(Inputs!$B$38="pvp",15,MAX(0.1,Skills!D13-IF(TRUE=TRUE,Inputs!$B$32,0)))*(1-IF(AND(ArtifactsInput!$M$27,Inputs!$B$4="Chapter Hunt"),CHOOSE(ArtifactsInput!$N$27+1,20,24,28,32,36,40),0)/100)),0)</f>
        <v/>
      </c>
      <c r="R1600" t="n">
        <v>0</v>
      </c>
      <c r="S1600" t="n">
        <v>0</v>
      </c>
      <c r="U1600" t="n">
        <v>0</v>
      </c>
    </row>
    <row r="1601">
      <c r="A1601">
        <f>Skills!A14</f>
        <v/>
      </c>
      <c r="B1601">
        <f>Skills!B14</f>
        <v/>
      </c>
      <c r="C1601">
        <f>Inputs!$B$3&gt;=72</f>
        <v/>
      </c>
      <c r="D1601">
        <f>IF(Skills!C14=1,60+Inputs!$B$25+Inputs!$B$29,IF(Skills!C14=2,90+Inputs!$B$26+Inputs!$B$29,IF(Skills!C14=3,120+Inputs!$B$27+Inputs!$B$29,MAX(0,(Inputs!$B$3-100)*3)+Inputs!$B$28+Inputs!$B$29)))</f>
        <v/>
      </c>
      <c r="E1601">
        <f>INDEX(FactorTable!$B$2:$Y$301, MATCH(ROUND(MIN(300,MAX(1,D1601)),0), FactorTable!$A$2:$A$301,0), Skills!L14+1)</f>
        <v/>
      </c>
      <c r="F1601">
        <f>IF(Skills!M14=TRUE,(Skills!K14/10)*(E1601/1000),Skills!K14/10)+Skills!N14</f>
        <v/>
      </c>
      <c r="G1601">
        <f>Calc!G14</f>
        <v/>
      </c>
      <c r="H1601">
        <f>Calc!H14</f>
        <v/>
      </c>
      <c r="I1601">
        <f>IF(Skills!T14&lt;&gt;"",1+(Skills!T14/10)*(Z1590/1000)/100,1)</f>
        <v/>
      </c>
      <c r="J1601" t="inlineStr"/>
      <c r="K1601" t="inlineStr"/>
      <c r="L1601" t="inlineStr"/>
      <c r="M1601" t="inlineStr"/>
      <c r="N1601" t="inlineStr"/>
      <c r="O1601">
        <f>(1-Summary!$B$11)*S1601+Summary!$B$11*U1601</f>
        <v/>
      </c>
      <c r="P1601">
        <f>IF(B1624=0,0,O1601/B1624)</f>
        <v/>
      </c>
      <c r="Q1601">
        <f>IFERROR(1/(IF(Inputs!$B$38="pvp",15,MAX(0.1,Skills!D14-IF(TRUE=TRUE,Inputs!$B$32,0)))*(1-IF(AND(ArtifactsInput!$M$27,Inputs!$B$4="Chapter Hunt"),CHOOSE(ArtifactsInput!$N$27+1,20,24,28,32,36,40),0)/100)),0)</f>
        <v/>
      </c>
      <c r="R1601" t="n">
        <v>0</v>
      </c>
      <c r="S1601" t="n">
        <v>0</v>
      </c>
      <c r="U1601" t="n">
        <v>0</v>
      </c>
    </row>
    <row r="1602">
      <c r="A1602">
        <f>Skills!A15</f>
        <v/>
      </c>
      <c r="B1602">
        <f>Skills!B15</f>
        <v/>
      </c>
      <c r="C1602">
        <f>Inputs!$B$3&gt;=75</f>
        <v/>
      </c>
      <c r="D1602">
        <f>IF(Skills!C15=1,60+Inputs!$B$25+Inputs!$B$29,IF(Skills!C15=2,90+Inputs!$B$26+Inputs!$B$29,IF(Skills!C15=3,120+Inputs!$B$27+Inputs!$B$29,MAX(0,(Inputs!$B$3-100)*3)+Inputs!$B$28+Inputs!$B$29)))</f>
        <v/>
      </c>
      <c r="E1602">
        <f>INDEX(FactorTable!$B$2:$Y$301, MATCH(ROUND(MIN(300,MAX(1,D1602)),0), FactorTable!$A$2:$A$301,0), Skills!L15+1)</f>
        <v/>
      </c>
      <c r="F1602">
        <f>IF(Skills!M15=TRUE,(Skills!K15/10)*(E1602/1000),Skills!K15/10)+Skills!N15</f>
        <v/>
      </c>
      <c r="G1602">
        <f>Calc!G15</f>
        <v/>
      </c>
      <c r="H1602">
        <f>Calc!H15</f>
        <v/>
      </c>
      <c r="I1602">
        <f>IF(Skills!T15&lt;&gt;"",1+(Skills!T15/10)*(Z1590/1000)/100,1)</f>
        <v/>
      </c>
      <c r="J1602" t="inlineStr"/>
      <c r="K1602" t="inlineStr"/>
      <c r="L1602" t="inlineStr"/>
      <c r="M1602" t="inlineStr"/>
      <c r="N1602" t="inlineStr"/>
      <c r="O1602">
        <f>(1-Summary!$B$11)*S1602+Summary!$B$11*U1602</f>
        <v/>
      </c>
      <c r="P1602">
        <f>IF(B1624=0,0,O1602/B1624)</f>
        <v/>
      </c>
      <c r="Q1602">
        <f>IFERROR(1/(IF(Inputs!$B$38="pvp",15,MAX(0.1,Skills!D15-IF(TRUE=TRUE,Inputs!$B$32,0)))*(1-IF(AND(ArtifactsInput!$M$27,Inputs!$B$4="Chapter Hunt"),CHOOSE(ArtifactsInput!$N$27+1,20,24,28,32,36,40),0)/100)),0)</f>
        <v/>
      </c>
      <c r="R1602" t="n">
        <v>0</v>
      </c>
      <c r="S1602" t="n">
        <v>0</v>
      </c>
      <c r="U1602" t="n">
        <v>0</v>
      </c>
    </row>
    <row r="1603">
      <c r="A1603">
        <f>Skills!A16</f>
        <v/>
      </c>
      <c r="B1603">
        <f>Skills!B16</f>
        <v/>
      </c>
      <c r="C1603">
        <f>Inputs!$B$3&gt;=110</f>
        <v/>
      </c>
      <c r="D1603">
        <f>IF(Skills!C16=1,60+Inputs!$B$25+Inputs!$B$29,IF(Skills!C16=2,90+Inputs!$B$26+Inputs!$B$29,IF(Skills!C16=3,120+Inputs!$B$27+Inputs!$B$29,MAX(0,(Inputs!$B$3-100)*3)+Inputs!$B$28+Inputs!$B$29)))</f>
        <v/>
      </c>
      <c r="E1603">
        <f>INDEX(FactorTable!$B$2:$Y$301, MATCH(ROUND(MIN(300,MAX(1,D1603)),0), FactorTable!$A$2:$A$301,0), Skills!L16+1)</f>
        <v/>
      </c>
      <c r="F1603">
        <f>(Skills!K16/10)*(E1603/1000)*64/45+Skills!N16</f>
        <v/>
      </c>
      <c r="G1603">
        <f>Calc!G16</f>
        <v/>
      </c>
      <c r="H1603">
        <f>Calc!H16</f>
        <v/>
      </c>
      <c r="I1603">
        <f>IF(Skills!T16&lt;&gt;"",1+(Skills!T16/10)*(Z1590/1000)/100,1)</f>
        <v/>
      </c>
      <c r="J1603" t="inlineStr"/>
      <c r="K1603" t="inlineStr"/>
      <c r="L1603" t="inlineStr"/>
      <c r="M1603" t="inlineStr"/>
      <c r="N1603" t="inlineStr"/>
      <c r="O1603">
        <f>(1-Summary!$B$11)*S1603+Summary!$B$11*U1603</f>
        <v/>
      </c>
      <c r="P1603">
        <f>IF(B1624=0,0,O1603/B1624)</f>
        <v/>
      </c>
      <c r="Q1603">
        <f>IFERROR(1/(IF(Inputs!$B$38="pvp",15,MAX(0.1,Skills!D16-IF(TRUE=TRUE,Inputs!$B$32,0)))*(1-IF(AND(ArtifactsInput!$M$27,Inputs!$B$4="Chapter Hunt"),CHOOSE(ArtifactsInput!$N$27+1,20,24,28,32,36,40),0)/100)),0)</f>
        <v/>
      </c>
      <c r="R1603">
        <f>IF(AND(Inputs!$B$38&lt;&gt;"pvp",Inputs!$B$43&gt;0),IF(Inputs!$B$43&lt;=0,0,(INT(Inputs!$B$43/(IF(Inputs!$B$38="pvp",15,MAX(0.1,Skills!D16-IF(TRUE=TRUE,Inputs!$B$32,0)))*(1-IF(AND(ArtifactsInput!$M$27,Inputs!$B$4="Chapter Hunt"),CHOOSE(ArtifactsInput!$N$27+1,20,24,28,32,36,40),0)/100)))+1)),0)</f>
        <v/>
      </c>
      <c r="S1603" t="n">
        <v>0</v>
      </c>
      <c r="U1603" t="n">
        <v>0</v>
      </c>
    </row>
    <row r="1604">
      <c r="A1604">
        <f>Skills!A17</f>
        <v/>
      </c>
      <c r="B1604">
        <f>Skills!B17</f>
        <v/>
      </c>
      <c r="C1604">
        <f>Inputs!$B$3&gt;=33</f>
        <v/>
      </c>
      <c r="D1604">
        <f>IF(Skills!C17=1,60+Inputs!$B$25+Inputs!$B$29,IF(Skills!C17=2,90+Inputs!$B$26+Inputs!$B$29,IF(Skills!C17=3,120+Inputs!$B$27+Inputs!$B$29,MAX(0,(Inputs!$B$3-100)*3)+Inputs!$B$28+Inputs!$B$29)))</f>
        <v/>
      </c>
      <c r="E1604">
        <f>INDEX(FactorTable!$B$2:$Y$301, MATCH(ROUND(MIN(300,MAX(1,D1604)),0), FactorTable!$A$2:$A$301,0), Skills!L17+1)</f>
        <v/>
      </c>
      <c r="F1604">
        <f>IF(Skills!M17=TRUE,(Skills!K17/10)*(E1604/1000),Skills!K17/10)+Skills!N17</f>
        <v/>
      </c>
      <c r="G1604">
        <f>Calc!G17</f>
        <v/>
      </c>
      <c r="H1604">
        <f>Calc!H17</f>
        <v/>
      </c>
      <c r="I1604">
        <f>IF(Skills!T17&lt;&gt;"",1+(Skills!T17/10)*(Z1590/1000)/100,1)</f>
        <v/>
      </c>
      <c r="J1604" t="inlineStr"/>
      <c r="K1604" t="inlineStr"/>
      <c r="L1604" t="inlineStr"/>
      <c r="M1604" t="inlineStr"/>
      <c r="N1604" t="inlineStr"/>
      <c r="O1604">
        <f>(1-Summary!$B$11)*S1604+Summary!$B$11*U1604</f>
        <v/>
      </c>
      <c r="P1604">
        <f>IF(B1624=0,0,O1604/B1624)</f>
        <v/>
      </c>
      <c r="Q1604">
        <f>IFERROR(1/(IF(Inputs!$B$38="pvp",15,MAX(0.1,Skills!D17-IF(TRUE=TRUE,Inputs!$B$32,0)))*(1-IF(AND(ArtifactsInput!$M$27,Inputs!$B$4="Chapter Hunt"),CHOOSE(ArtifactsInput!$N$27+1,20,24,28,32,36,40),0)/100)),0)</f>
        <v/>
      </c>
      <c r="R1604" t="n">
        <v>0</v>
      </c>
      <c r="S1604" t="n">
        <v>0</v>
      </c>
      <c r="U1604" t="n">
        <v>0</v>
      </c>
    </row>
    <row r="1605">
      <c r="A1605">
        <f>Skills!A18</f>
        <v/>
      </c>
      <c r="B1605">
        <f>Skills!B18</f>
        <v/>
      </c>
      <c r="C1605">
        <f>Inputs!$B$3&gt;=43</f>
        <v/>
      </c>
      <c r="D1605">
        <f>IF(Skills!C18=1,60+Inputs!$B$25+Inputs!$B$29,IF(Skills!C18=2,90+Inputs!$B$26+Inputs!$B$29,IF(Skills!C18=3,120+Inputs!$B$27+Inputs!$B$29,MAX(0,(Inputs!$B$3-100)*3)+Inputs!$B$28+Inputs!$B$29)))</f>
        <v/>
      </c>
      <c r="E1605">
        <f>INDEX(FactorTable!$B$2:$Y$301, MATCH(ROUND(MIN(300,MAX(1,D1605)),0), FactorTable!$A$2:$A$301,0), Skills!L18+1)</f>
        <v/>
      </c>
      <c r="F1605">
        <f>IF(Skills!M18=TRUE,(Skills!K18/10)*(E1605/1000),Skills!K18/10)+Skills!N18</f>
        <v/>
      </c>
      <c r="G1605">
        <f>Calc!G18</f>
        <v/>
      </c>
      <c r="H1605">
        <f>Calc!H18</f>
        <v/>
      </c>
      <c r="I1605">
        <f>IF(Skills!T18&lt;&gt;"",1+(Skills!T18/10)*(Z1590/1000)/100,1)</f>
        <v/>
      </c>
      <c r="J1605" t="inlineStr"/>
      <c r="K1605" t="inlineStr"/>
      <c r="L1605" t="inlineStr"/>
      <c r="M1605" t="inlineStr"/>
      <c r="N1605" t="inlineStr"/>
      <c r="O1605">
        <f>(1-Summary!$B$11)*S1605+Summary!$B$11*U1605</f>
        <v/>
      </c>
      <c r="P1605">
        <f>IF(B1624=0,0,O1605/B1624)</f>
        <v/>
      </c>
      <c r="Q1605">
        <f>IFERROR(1/(IF(Inputs!$B$38="pvp",15,MAX(0.1,Skills!D18-IF(TRUE=TRUE,Inputs!$B$32,0)))*(1-IF(AND(ArtifactsInput!$M$27,Inputs!$B$4="Chapter Hunt"),CHOOSE(ArtifactsInput!$N$27+1,20,24,28,32,36,40),0)/100)),0)</f>
        <v/>
      </c>
      <c r="R1605" t="n">
        <v>0</v>
      </c>
      <c r="S1605" t="n">
        <v>0</v>
      </c>
      <c r="U1605" t="n">
        <v>0</v>
      </c>
    </row>
    <row r="1606">
      <c r="A1606">
        <f>Skills!A19</f>
        <v/>
      </c>
      <c r="B1606">
        <f>Skills!B19</f>
        <v/>
      </c>
      <c r="C1606">
        <f>Inputs!$B$3&gt;=50</f>
        <v/>
      </c>
      <c r="D1606">
        <f>IF(Skills!C19=1,60+Inputs!$B$25+Inputs!$B$29,IF(Skills!C19=2,90+Inputs!$B$26+Inputs!$B$29,IF(Skills!C19=3,120+Inputs!$B$27+Inputs!$B$29,MAX(0,(Inputs!$B$3-100)*3)+Inputs!$B$28+Inputs!$B$29)))</f>
        <v/>
      </c>
      <c r="E1606">
        <f>INDEX(FactorTable!$B$2:$Y$301, MATCH(ROUND(MIN(300,MAX(1,D1606)),0), FactorTable!$A$2:$A$301,0), Skills!L19+1)</f>
        <v/>
      </c>
      <c r="F1606">
        <f>IF(Skills!M19=TRUE,(Skills!K19/10)*(E1606/1000),Skills!K19/10)+Skills!N19</f>
        <v/>
      </c>
      <c r="G1606">
        <f>Calc!G19</f>
        <v/>
      </c>
      <c r="H1606">
        <f>Calc!H19</f>
        <v/>
      </c>
      <c r="I1606">
        <f>IF(Skills!T19&lt;&gt;"",1+(Skills!T19/10)*(Z1590/1000)/100,1)</f>
        <v/>
      </c>
      <c r="J1606" t="inlineStr"/>
      <c r="K1606" t="inlineStr"/>
      <c r="L1606" t="inlineStr"/>
      <c r="M1606" t="inlineStr"/>
      <c r="N1606" t="inlineStr"/>
      <c r="O1606">
        <f>(1-Summary!$B$11)*S1606+Summary!$B$11*U1606</f>
        <v/>
      </c>
      <c r="P1606">
        <f>IF(B1624=0,0,O1606/B1624)</f>
        <v/>
      </c>
      <c r="Q1606">
        <f>IFERROR(1/(IF(Inputs!$B$38="pvp",15,MAX(0.1,Skills!D19-IF(TRUE=TRUE,Inputs!$B$32,0)))*(1-IF(AND(ArtifactsInput!$M$27,Inputs!$B$4="Chapter Hunt"),CHOOSE(ArtifactsInput!$N$27+1,20,24,28,32,36,40),0)/100)),0)</f>
        <v/>
      </c>
      <c r="R1606" t="n">
        <v>0</v>
      </c>
      <c r="S1606" t="n">
        <v>0</v>
      </c>
      <c r="U1606" t="n">
        <v>0</v>
      </c>
    </row>
    <row r="1607">
      <c r="A1607">
        <f>Skills!A20</f>
        <v/>
      </c>
      <c r="B1607">
        <f>Skills!B20</f>
        <v/>
      </c>
      <c r="C1607">
        <f>Inputs!$B$3&gt;=74</f>
        <v/>
      </c>
      <c r="D1607">
        <f>IF(Skills!C20=1,60+Inputs!$B$25+Inputs!$B$29,IF(Skills!C20=2,90+Inputs!$B$26+Inputs!$B$29,IF(Skills!C20=3,120+Inputs!$B$27+Inputs!$B$29,MAX(0,(Inputs!$B$3-100)*3)+Inputs!$B$28+Inputs!$B$29)))</f>
        <v/>
      </c>
      <c r="E1607">
        <f>INDEX(FactorTable!$B$2:$Y$301, MATCH(ROUND(MIN(300,MAX(1,D1607)),0), FactorTable!$A$2:$A$301,0), Skills!L20+1)</f>
        <v/>
      </c>
      <c r="F1607">
        <f>IF(Skills!M20=TRUE,(Skills!K20/10)*(E1607/1000),Skills!K20/10)+Skills!N20</f>
        <v/>
      </c>
      <c r="G1607">
        <f>Calc!G20</f>
        <v/>
      </c>
      <c r="H1607">
        <f>Calc!H20</f>
        <v/>
      </c>
      <c r="I1607">
        <f>IF(Skills!T20&lt;&gt;"",1+(Skills!T20/10)*(Z1590/1000)/100,1)</f>
        <v/>
      </c>
      <c r="J1607" t="inlineStr"/>
      <c r="K1607" t="inlineStr"/>
      <c r="L1607" t="inlineStr"/>
      <c r="M1607" t="inlineStr"/>
      <c r="N1607" t="inlineStr"/>
      <c r="O1607">
        <f>(1-Summary!$B$11)*S1607+Summary!$B$11*U1607</f>
        <v/>
      </c>
      <c r="P1607">
        <f>IF(B1624=0,0,O1607/B1624)</f>
        <v/>
      </c>
      <c r="Q1607">
        <f>IFERROR(1/(IF(Inputs!$B$38="pvp",15,MAX(0.1,Skills!D20-IF(TRUE=TRUE,Inputs!$B$32,0)))*(1-IF(AND(ArtifactsInput!$M$27,Inputs!$B$4="Chapter Hunt"),CHOOSE(ArtifactsInput!$N$27+1,20,24,28,32,36,40),0)/100)),0)</f>
        <v/>
      </c>
      <c r="R1607" t="n">
        <v>0</v>
      </c>
      <c r="S1607" t="n">
        <v>0</v>
      </c>
      <c r="U1607" t="n">
        <v>0</v>
      </c>
    </row>
    <row r="1608">
      <c r="A1608">
        <f>Skills!A21</f>
        <v/>
      </c>
      <c r="B1608">
        <f>Skills!B21</f>
        <v/>
      </c>
      <c r="C1608">
        <f>Inputs!$B$3&gt;=74</f>
        <v/>
      </c>
      <c r="D1608">
        <f>IF(Skills!C21=1,60+Inputs!$B$25+Inputs!$B$29,IF(Skills!C21=2,90+Inputs!$B$26+Inputs!$B$29,IF(Skills!C21=3,120+Inputs!$B$27+Inputs!$B$29,MAX(0,(Inputs!$B$3-100)*3)+Inputs!$B$28+Inputs!$B$29)))</f>
        <v/>
      </c>
      <c r="E1608">
        <f>INDEX(FactorTable!$B$2:$Y$301, MATCH(ROUND(MIN(300,MAX(1,D1608)),0), FactorTable!$A$2:$A$301,0), Skills!L21+1)</f>
        <v/>
      </c>
      <c r="F1608">
        <f>IF(Skills!M21=TRUE,(Skills!K21/10)*(E1608/1000),Skills!K21/10)+Skills!N21</f>
        <v/>
      </c>
      <c r="G1608">
        <f>Calc!G21</f>
        <v/>
      </c>
      <c r="H1608">
        <f>Calc!H21</f>
        <v/>
      </c>
      <c r="I1608">
        <f>IF(Skills!T21&lt;&gt;"",1+(Skills!T21/10)*(Z1590/1000)/100,1)</f>
        <v/>
      </c>
      <c r="J1608" t="inlineStr"/>
      <c r="K1608" t="inlineStr"/>
      <c r="L1608" t="inlineStr"/>
      <c r="M1608" t="inlineStr"/>
      <c r="N1608" t="inlineStr"/>
      <c r="O1608">
        <f>(1-Summary!$B$11)*S1608+Summary!$B$11*U1608</f>
        <v/>
      </c>
      <c r="P1608">
        <f>IF(B1624=0,0,O1608/B1624)</f>
        <v/>
      </c>
      <c r="Q1608">
        <f>IFERROR(1/(IF(Inputs!$B$38="pvp",15,MAX(0.1,Skills!D21-IF(TRUE=TRUE,Inputs!$B$32,0)))*(1-IF(AND(ArtifactsInput!$M$27,Inputs!$B$4="Chapter Hunt"),CHOOSE(ArtifactsInput!$N$27+1,20,24,28,32,36,40),0)/100)),0)</f>
        <v/>
      </c>
      <c r="R1608" t="n">
        <v>0</v>
      </c>
      <c r="S1608" t="n">
        <v>0</v>
      </c>
      <c r="U1608" t="n">
        <v>0</v>
      </c>
    </row>
    <row r="1609">
      <c r="A1609">
        <f>Skills!A22</f>
        <v/>
      </c>
      <c r="B1609">
        <f>Skills!B22</f>
        <v/>
      </c>
      <c r="C1609">
        <f>Inputs!$B$3&gt;=117</f>
        <v/>
      </c>
      <c r="D1609">
        <f>IF(Skills!C22=1,60+Inputs!$B$25+Inputs!$B$29,IF(Skills!C22=2,90+Inputs!$B$26+Inputs!$B$29,IF(Skills!C22=3,120+Inputs!$B$27+Inputs!$B$29,MAX(0,(Inputs!$B$3-100)*3)+Inputs!$B$28+Inputs!$B$29)))</f>
        <v/>
      </c>
      <c r="E1609">
        <f>INDEX(FactorTable!$B$2:$Y$301, MATCH(ROUND(MIN(300,MAX(1,D1609)),0), FactorTable!$A$2:$A$301,0), Skills!L22+1)</f>
        <v/>
      </c>
      <c r="F1609">
        <f>IF(Skills!M22=TRUE,(Skills!K22/10)*(E1609/1000),Skills!K22/10)+Skills!N22</f>
        <v/>
      </c>
      <c r="G1609">
        <f>Calc!G22</f>
        <v/>
      </c>
      <c r="H1609">
        <f>Calc!H22</f>
        <v/>
      </c>
      <c r="I1609">
        <f>IF(Skills!T22&lt;&gt;"",1+(Skills!T22/10)*(Z1590/1000)/100,1)</f>
        <v/>
      </c>
      <c r="J1609" t="inlineStr"/>
      <c r="K1609" t="inlineStr"/>
      <c r="L1609" t="inlineStr"/>
      <c r="M1609" t="inlineStr"/>
      <c r="N1609" t="inlineStr"/>
      <c r="O1609">
        <f>(1-Summary!$B$11)*S1609+Summary!$B$11*U1609</f>
        <v/>
      </c>
      <c r="P1609">
        <f>IF(B1624=0,0,O1609/B1624)</f>
        <v/>
      </c>
      <c r="Q1609">
        <f>IFERROR(1/(IF(Inputs!$B$38="pvp",15,MAX(0.1,Skills!D22-IF(TRUE=TRUE,Inputs!$B$32,0)))*(1-IF(AND(ArtifactsInput!$M$27,Inputs!$B$4="Chapter Hunt"),CHOOSE(ArtifactsInput!$N$27+1,20,24,28,32,36,40),0)/100)),0)</f>
        <v/>
      </c>
      <c r="R1609" t="n">
        <v>0</v>
      </c>
      <c r="S1609" t="n">
        <v>0</v>
      </c>
      <c r="U1609" t="n">
        <v>0</v>
      </c>
    </row>
    <row r="1610">
      <c r="A1610">
        <f>Skills!A23</f>
        <v/>
      </c>
      <c r="B1610">
        <f>Skills!B23</f>
        <v/>
      </c>
      <c r="C1610">
        <f>Inputs!$B$3&gt;=120</f>
        <v/>
      </c>
      <c r="D1610">
        <f>IF(Skills!C23=1,60+Inputs!$B$25+Inputs!$B$29,IF(Skills!C23=2,90+Inputs!$B$26+Inputs!$B$29,IF(Skills!C23=3,120+Inputs!$B$27+Inputs!$B$29,MAX(0,(Inputs!$B$3-100)*3)+Inputs!$B$28+Inputs!$B$29)))</f>
        <v/>
      </c>
      <c r="E1610">
        <f>INDEX(FactorTable!$B$2:$Y$301, MATCH(ROUND(MIN(300,MAX(1,D1610)),0), FactorTable!$A$2:$A$301,0), Skills!L23+1)</f>
        <v/>
      </c>
      <c r="F1610">
        <f>IF(Skills!M23=TRUE,(Skills!K23/10)*(E1610/1000),Skills!K23/10)+Skills!N23</f>
        <v/>
      </c>
      <c r="G1610">
        <f>Calc!G23</f>
        <v/>
      </c>
      <c r="H1610">
        <f>Calc!H23</f>
        <v/>
      </c>
      <c r="I1610">
        <f>IF(Skills!T23&lt;&gt;"",1+(Skills!T23/10)*(Z1590/1000)/100,1)</f>
        <v/>
      </c>
      <c r="J1610" t="inlineStr"/>
      <c r="K1610" t="inlineStr"/>
      <c r="L1610" t="inlineStr"/>
      <c r="M1610" t="inlineStr"/>
      <c r="N1610" t="inlineStr"/>
      <c r="O1610">
        <f>(1-Summary!$B$11)*S1610+Summary!$B$11*U1610</f>
        <v/>
      </c>
      <c r="P1610">
        <f>IF(B1624=0,0,O1610/B1624)</f>
        <v/>
      </c>
      <c r="Q1610">
        <f>IFERROR(1/(IF(Inputs!$B$38="pvp",15,MAX(0.1,Skills!D23-IF(TRUE=TRUE,Inputs!$B$32,0)))*(1-IF(AND(ArtifactsInput!$M$27,Inputs!$B$4="Chapter Hunt"),CHOOSE(ArtifactsInput!$N$27+1,20,24,28,32,36,40),0)/100)),0)</f>
        <v/>
      </c>
      <c r="R1610" t="n">
        <v>0</v>
      </c>
      <c r="S1610" t="n">
        <v>0</v>
      </c>
      <c r="U1610" t="n">
        <v>0</v>
      </c>
    </row>
    <row r="1611">
      <c r="A1611">
        <f>Skills!A24</f>
        <v/>
      </c>
      <c r="B1611">
        <f>Skills!B24</f>
        <v/>
      </c>
      <c r="C1611">
        <f>TRUE</f>
        <v/>
      </c>
      <c r="D1611">
        <f>IF(Skills!C24=1,60+Inputs!$B$25+Inputs!$B$29,IF(Skills!C24=2,90+Inputs!$B$26+Inputs!$B$29,IF(Skills!C24=3,120+Inputs!$B$27+Inputs!$B$29,MAX(0,(Inputs!$B$3-100)*3)+Inputs!$B$28+Inputs!$B$29)))</f>
        <v/>
      </c>
      <c r="E1611">
        <f>INDEX(FactorTable!$B$2:$Y$301, MATCH(ROUND(MIN(300,MAX(1,D1611)),0), FactorTable!$A$2:$A$301,0), Skills!L24+1)</f>
        <v/>
      </c>
      <c r="F1611">
        <f>IF(Skills!M24=TRUE,(Skills!K24/10)*(E1611/1000),Skills!K24/10)+Skills!N24</f>
        <v/>
      </c>
      <c r="G1611">
        <f>Calc!G24</f>
        <v/>
      </c>
      <c r="H1611">
        <f>Calc!H24</f>
        <v/>
      </c>
      <c r="I1611">
        <f>IF(Skills!T24&lt;&gt;"",1+(Skills!T24/10)*(Z1590/1000)/100,1)</f>
        <v/>
      </c>
      <c r="J1611" t="inlineStr"/>
      <c r="K1611" t="inlineStr"/>
      <c r="L1611" t="inlineStr"/>
      <c r="M1611" t="inlineStr"/>
      <c r="N1611" t="inlineStr"/>
      <c r="O1611">
        <f>(1-Summary!$B$11)*S1611+Summary!$B$11*U1611</f>
        <v/>
      </c>
      <c r="P1611">
        <f>IF(B1624=0,0,O1611/B1624)</f>
        <v/>
      </c>
      <c r="Q1611">
        <f>IFERROR(1/(IF(Inputs!$B$38="pvp",15,MAX(0.1,Skills!D24-IF(TRUE=TRUE,Inputs!$B$32,0)))*(1-IF(AND(ArtifactsInput!$M$27,Inputs!$B$4="Chapter Hunt"),CHOOSE(ArtifactsInput!$N$27+1,20,24,28,32,36,40),0)/100)),0)</f>
        <v/>
      </c>
      <c r="R1611">
        <f>IF(AND(Inputs!$B$38&lt;&gt;"pvp",Inputs!$B$43&gt;0),IF(Inputs!$B$43&lt;=0,0,(INT(Inputs!$B$43/(IF(Inputs!$B$38="pvp",15,MAX(0.1,Skills!D24-IF(TRUE=TRUE,Inputs!$B$32,0)))*(1-IF(AND(ArtifactsInput!$M$27,Inputs!$B$4="Chapter Hunt"),CHOOSE(ArtifactsInput!$N$27+1,20,24,28,32,36,40),0)/100)))+1)),0)</f>
        <v/>
      </c>
      <c r="S1611" t="n">
        <v>0</v>
      </c>
      <c r="U1611" t="n">
        <v>0</v>
      </c>
    </row>
    <row r="1614">
      <c r="A1614" t="inlineStr">
        <is>
          <t>Average Buff Multiplier (Magic Guard + Meditation + Artifact Attack%, summed; then Infinity)</t>
        </is>
      </c>
      <c r="B1614">
        <f>(1+(IF(C1590=TRUE,F1590*IF(AND(Inputs!$B$38&lt;&gt;"pvp",Inputs!$B$43&gt;0),(((R1590-1)*MIN((Skills!S3*(1+(Inputs!$B$34)/100)),(1/Q1590))+MIN((Skills!S3*(1+(Inputs!$B$34)/100)),MAX(0,Inputs!$B$43-((R1590-1)*(1/Q1590)))))/Inputs!$B$43),IF(Inputs!$B$38="pvp",MIN((Skills!S3*(1+(Inputs!$B$34)/100)),15)/15,MIN(1,(Skills!S3*(1+(Inputs!$B$34)/100))/(1/Q1590)))),0)+IF(C1591=TRUE,F1591*IF(AND(Inputs!$B$38&lt;&gt;"pvp",Inputs!$B$43&gt;0),(((R1591-1)*MIN((Skills!S4*(1+(Inputs!$B$34)/100)),(1/Q1591))+MIN((Skills!S4*(1+(Inputs!$B$34)/100)),MAX(0,Inputs!$B$43-((R1591-1)*(1/Q1591)))))/Inputs!$B$43),IF(Inputs!$B$38="pvp",MIN((Skills!S4*(1+(Inputs!$B$34)/100)),15)/15,MIN(1,(Skills!S4*(1+(Inputs!$B$34)/100))/(1/Q1591)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1603=TRUE,(1+F1603*IF(AND(Inputs!$B$38&lt;&gt;"pvp",Inputs!$B$43&gt;0),(((R1603-1)*MIN((Skills!S16*(1+(Inputs!$B$34)/100)),(1/Q1603))+MIN((Skills!S16*(1+(Inputs!$B$34)/100)),MAX(0,Inputs!$B$43-((R1603-1)*(1/Q1603)))))/Inputs!$B$43),IF(Inputs!$B$38="pvp",MIN((Skills!S16*(1+(Inputs!$B$34)/100)),15)/15,MIN(1,(Skills!S16*(1+(Inputs!$B$34)/100))/(1/Q1603))))/100),1)</f>
        <v/>
      </c>
    </row>
    <row r="1615">
      <c r="A1615" t="inlineStr">
        <is>
          <t>Monster Damage Taken Bonus % (Freezing Breath - Weaken + Elemental Reset + Artifact Enemy Damage Taken, summed)</t>
        </is>
      </c>
      <c r="B1615">
        <f>IF(Inputs!$B$3&gt;=118,15*IF(Inputs!$B$38="pvp",MIN((30*(1+(Inputs!$B$34)/100)),15)/15,MIN(1,(30*(1+(Inputs!$B$34)/100))/(1/Q1595))),0)+IF(C1601=TRUE,F1601,0)+(IF(AND(ArtifactsInput!$M$35,Inputs!$B$4&lt;&gt;"Chapter Hunt"),CHOOSE(ArtifactsInput!$N$35+1,15,18,21,24,27,30)*(1-EXP(-(0.2*B1618)*5)),0)+IF(AND(ArtifactsInput!$M$22,Inputs!$B$4&lt;&gt;"Chapter Hunt"),CHOOSE(ArtifactsInput!$N$22+1,10,12,14,16,18,20)*((0*(((0.15*B1618*5))^0/1)+1*(((0.15*B1618*5))^1/1)+2*(((0.15*B1618*5))^2/2)+3*(((0.15*B1618*5))^3/6)+4*(((0.15*B1618*5))^4/24)+5*(((0.15*B1618*5))^5/120))/((((0.15*B1618*5))^0/1)+(((0.15*B1618*5))^1/1)+(((0.15*B1618*5))^2/2)+(((0.15*B1618*5))^3/6)+(((0.15*B1618*5))^4/24)+(((0.15*B1618*5))^5/120))),0))</f>
        <v/>
      </c>
    </row>
    <row r="1616">
      <c r="A1616" t="inlineStr">
        <is>
          <t>Damage % Bonus (Frozen Break + Frost Clutch, flat)</t>
        </is>
      </c>
      <c r="B1616">
        <f>IF(Inputs!$B$3&gt;=66,15,0)+IF(Inputs!$B$3&gt;=98,10,0)+IF(Inputs!$B$3&gt;=125,20,0)</f>
        <v/>
      </c>
    </row>
    <row r="1617">
      <c r="A1617" t="inlineStr">
        <is>
          <t>Attack Speed Bonus % (MP Eater - MP Boost, always-on + Nimble Feet, duty-cycle averaged)</t>
        </is>
      </c>
      <c r="B1617">
        <f>IF(C1600=TRUE,F1600+(F1604-Calc!F17),0)+((C1611=TRUE)*F1611*IF(AND(Inputs!$B$38&lt;&gt;"pvp",Inputs!$B$43&gt;0),(((R1611-1)*MIN((Skills!S24*(1+(Inputs!$B$34)/100)),(1/Q1611))+MIN((Skills!S24*(1+(Inputs!$B$34)/100)),MAX(0,Inputs!$B$43-((R1611-1)*(1/Q1611)))))/Inputs!$B$43),IF(Inputs!$B$38="pvp",MIN((Skills!S24*(1+(Inputs!$B$34)/100)),15)/15,MIN(1,(Skills!S24*(1+(Inputs!$B$34)/100))/(1/Q1611)))))</f>
        <v/>
      </c>
    </row>
    <row r="1618">
      <c r="A1618" t="inlineStr">
        <is>
          <t>Actions Per Second</t>
        </is>
      </c>
      <c r="B1618">
        <f>1+MIN(150,150*(1-(1-(Inputs!$B$11+(ArtifactsInput!$M$15-ArtifactsInput!$M$15)*CHOOSE(ArtifactsInput!$N$15+1,8,9.6,11.2,12.8,14.4,16))/150)*(1-B1617/150)))/100</f>
        <v/>
      </c>
    </row>
    <row r="1619">
      <c r="A1619" t="inlineStr">
        <is>
          <t>Skill + Buff Cast Rate</t>
        </is>
      </c>
      <c r="B1619">
        <f>IF(AND(Inputs!$B$38&lt;&gt;"pvp",Inputs!$B$43&gt;0),SUMPRODUCT((Skills!E2:E24=TRUE)*(C1589:C1611=TRUE)*R1589:R1611)/Inputs!$B$43,SUMPRODUCT((Skills!E2:E24=TRUE)*(C1589:C1611=TRUE)*Q1589:Q1611))</f>
        <v/>
      </c>
    </row>
    <row r="1620">
      <c r="A1620" t="inlineStr">
        <is>
          <t>Chain Lightning Casts Per Second</t>
        </is>
      </c>
      <c r="B1620">
        <f>MAX(0,B1618-B1619)</f>
        <v/>
      </c>
    </row>
    <row r="1621">
      <c r="A1621" t="inlineStr">
        <is>
          <t>Buff-Casting Startup Delay (s, fixed-duration only)</t>
        </is>
      </c>
      <c r="B1621">
        <f>IF(AND(Inputs!$B$38&lt;&gt;"pvp",Inputs!$B$43&gt;0),SUMPRODUCT((Skills!S2:S24&gt;0)*(Skills!E2:E24=TRUE)*(C1589:C1611=TRUE))/B1618,0)</f>
        <v/>
      </c>
    </row>
    <row r="1622">
      <c r="A1622" t="inlineStr">
        <is>
          <t>Boss-Only Total DPS (this block's swept value)</t>
        </is>
      </c>
      <c r="B1622">
        <f>SUM(S1589:S1611)</f>
        <v/>
      </c>
    </row>
    <row r="1623">
      <c r="A1623" t="inlineStr">
        <is>
          <t>Normal-Only Total DPS (this block's swept value)</t>
        </is>
      </c>
      <c r="B1623">
        <f>SUM(U1589:U1611)</f>
        <v/>
      </c>
    </row>
    <row r="1624">
      <c r="A1624" s="6" t="inlineStr">
        <is>
          <t>TOTAL DPS</t>
        </is>
      </c>
      <c r="B1624" s="6">
        <f>SUM(O1589:O1611)</f>
        <v/>
      </c>
    </row>
    <row r="1625">
      <c r="A1625" t="inlineStr">
        <is>
          <t>Blizzard Final Attack trigger rate (this block's own Q/R)</t>
        </is>
      </c>
      <c r="B1625">
        <f>IF(AND(Inputs!$B$38&lt;&gt;"pvp",Inputs!$B$43&gt;0),(((C1592=TRUE)*R1592*1)+((C1593=TRUE)*R1593*1)+((C1595=TRUE)*R1595*1)+((C1596=TRUE)*R1596*3)+((C1598=TRUE)*R1598*1))/Inputs!$B$43,((C1592=TRUE)*Q1592*1)+((C1593=TRUE)*Q1593*1)+((C1595=TRUE)*Q1595*1)+((C1596=TRUE)*Q1596*3)+((C1598=TRUE)*Q1598*1))+B1620</f>
        <v/>
      </c>
    </row>
    <row r="1628">
      <c r="A1628" s="6" t="inlineStr">
        <is>
          <t>Stat: Chalice (Equip)</t>
        </is>
      </c>
    </row>
    <row r="1629">
      <c r="A1629" s="5" t="inlineStr">
        <is>
          <t>Key</t>
        </is>
      </c>
      <c r="B1629" s="5" t="inlineStr">
        <is>
          <t>Name</t>
        </is>
      </c>
      <c r="C1629" s="5" t="inlineStr">
        <is>
          <t>Unlocked</t>
        </is>
      </c>
      <c r="D1629" s="5" t="inlineStr">
        <is>
          <t>InputLevel</t>
        </is>
      </c>
      <c r="E1629" s="5" t="inlineStr">
        <is>
          <t>Factor</t>
        </is>
      </c>
      <c r="F1629" s="5" t="inlineStr">
        <is>
          <t>CoefficientPercent</t>
        </is>
      </c>
      <c r="G1629" s="5" t="inlineStr">
        <is>
          <t>EffectiveHits</t>
        </is>
      </c>
      <c r="H1629" s="5" t="inlineStr">
        <is>
          <t>ProcProbability</t>
        </is>
      </c>
      <c r="I1629" s="5" t="inlineStr">
        <is>
          <t>MapleHeroMultiplier</t>
        </is>
      </c>
      <c r="J1629" s="5" t="inlineStr">
        <is>
          <t>BaseDamage</t>
        </is>
      </c>
      <c r="K1629" s="5" t="inlineStr">
        <is>
          <t>BaseHitDamage</t>
        </is>
      </c>
      <c r="L1629" s="5" t="inlineStr">
        <is>
          <t>NonCritAvg</t>
        </is>
      </c>
      <c r="M1629" s="5" t="inlineStr">
        <is>
          <t>CritAvg</t>
        </is>
      </c>
      <c r="N1629" s="5" t="inlineStr">
        <is>
          <t>ExpectedDamage(perHit)</t>
        </is>
      </c>
      <c r="O1629" s="5" t="inlineStr">
        <is>
          <t>DPS</t>
        </is>
      </c>
      <c r="P1629" s="5" t="inlineStr">
        <is>
          <t>% of Total</t>
        </is>
      </c>
      <c r="R1629" t="inlineStr">
        <is>
          <t>helpers</t>
        </is>
      </c>
    </row>
    <row r="1630">
      <c r="A1630">
        <f>Skills!A2</f>
        <v/>
      </c>
      <c r="B1630">
        <f>Skills!B2</f>
        <v/>
      </c>
      <c r="C1630">
        <f>Inputs!$B$3&gt;=100</f>
        <v/>
      </c>
      <c r="D1630" t="inlineStr"/>
      <c r="E1630" t="inlineStr"/>
      <c r="F1630">
        <f>T1632+Skills!N2</f>
        <v/>
      </c>
      <c r="G1630">
        <f>Calc!G2</f>
        <v/>
      </c>
      <c r="H1630">
        <f>Calc!H2</f>
        <v/>
      </c>
      <c r="I1630">
        <f>IF(Skills!T2&lt;&gt;"",1+(Skills!T2/10)*(Z1631/1000)/100,1)</f>
        <v/>
      </c>
      <c r="J1630">
        <f>((Inputs!$B$6*(1+Inputs!$B$7/100))+(((Inputs!$B$12*(1+Inputs!$B$13/100))-(Inputs!$B$12*(1+Inputs!$B$13/100)))+0.25*(Inputs!$B$14-Inputs!$B$14))*(1+Inputs!$B$7/100))*(F1630/100)</f>
        <v/>
      </c>
      <c r="K1630">
        <f>J1630*(1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2="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1630)</f>
        <v/>
      </c>
      <c r="L1630">
        <f>K1630*(MIN(Inputs!$B$22+(F1646-Calc!F18),(Inputs!$B$23+(IF(ArtifactsInput!$M$15,CHOOSE(ArtifactsInput!$N$15+1,25,30,35,40,45,50)/100*(Inputs!$B$11-Inputs!$B$11),0))))/100+(Inputs!$B$23+(IF(ArtifactsInput!$M$15,CHOOSE(ArtifactsInput!$N$15+1,25,30,35,40,45,50)/100*(Inputs!$B$11-Inputs!$B$11),0)))/100)/2</f>
        <v/>
      </c>
      <c r="M1630">
        <f>L1630*(1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0">
        <f>L1630*(1-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1630*(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0">
        <f>(1-Summary!$B$11)*S1630+Summary!$B$11*U1630</f>
        <v/>
      </c>
      <c r="P1630">
        <f>IF(B1665=0,0,O1630/B1665)</f>
        <v/>
      </c>
      <c r="Q1630">
        <f>IFERROR(1/(IF(Inputs!$B$38="pvp",15,MAX(0.1,Skills!D2-IF(TRUE=TRUE,Inputs!$B$32,0)))*(1-IF(AND(ArtifactsInput!$M$27,Inputs!$B$4="Chapter Hunt"),CHOOSE(ArtifactsInput!$N$27+1,20,24,28,32,36,40),0)/100)),0)</f>
        <v/>
      </c>
      <c r="R1630" t="n">
        <v>0</v>
      </c>
      <c r="S1630">
        <f>IF(C1630,(Skills!F2*N1630*B1661)*IF(Inputs!$B$38="pvp",1,1+(Inputs!$B$20+Skills!O2+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1630*(1-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1630*(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1630*(1-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1630*(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30">
        <f>MAX(0,(Inputs!$B$3-100)*3)+Inputs!$B$28+Inputs!$B$29</f>
        <v/>
      </c>
      <c r="U1630">
        <f>IF(C1630,(Skills!F2*N1630*B1661)*IF(Inputs!$B$38="pvp",1,(1+(Inputs!$B$21+Skills!P2+B1656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630">
        <f>MAX(0,(Inputs!$B$3-100)*3)+Inputs!$B$28+Inputs!$B$29</f>
        <v/>
      </c>
    </row>
    <row r="1631">
      <c r="A1631">
        <f>Skills!A3</f>
        <v/>
      </c>
      <c r="B1631">
        <f>Skills!B3</f>
        <v/>
      </c>
      <c r="C1631">
        <f>Inputs!$B$3&gt;=15</f>
        <v/>
      </c>
      <c r="D1631">
        <f>IF(Skills!C3=1,60+Inputs!$B$25+Inputs!$B$29,IF(Skills!C3=2,90+Inputs!$B$26+Inputs!$B$29,IF(Skills!C3=3,120+Inputs!$B$27+Inputs!$B$29,MAX(0,(Inputs!$B$3-100)*3)+Inputs!$B$28+Inputs!$B$29)))</f>
        <v/>
      </c>
      <c r="E1631">
        <f>INDEX(FactorTable!$B$2:$Y$301, MATCH(ROUND(MIN(300,MAX(1,D1631)),0), FactorTable!$A$2:$A$301,0), Skills!L3+1)</f>
        <v/>
      </c>
      <c r="F1631">
        <f>IF(Skills!M3=TRUE,(Skills!K3/10)*(E1631/1000),Skills!K3/10)+Skills!N3</f>
        <v/>
      </c>
      <c r="G1631">
        <f>Calc!G3</f>
        <v/>
      </c>
      <c r="H1631">
        <f>Calc!H3</f>
        <v/>
      </c>
      <c r="I1631">
        <f>IF(Skills!T3&lt;&gt;"",1+(Skills!T3/10)*(Z1631/1000)/100,1)</f>
        <v/>
      </c>
      <c r="J1631" t="inlineStr"/>
      <c r="K1631" t="inlineStr"/>
      <c r="L1631" t="inlineStr"/>
      <c r="M1631" t="inlineStr"/>
      <c r="N1631" t="inlineStr"/>
      <c r="O1631">
        <f>(1-Summary!$B$11)*S1631+Summary!$B$11*U1631</f>
        <v/>
      </c>
      <c r="P1631">
        <f>IF(B1665=0,0,O1631/B1665)</f>
        <v/>
      </c>
      <c r="Q1631">
        <f>IFERROR(1/(IF(Inputs!$B$38="pvp",15,MAX(0.1,Skills!D3-IF(TRUE=TRUE,Inputs!$B$32,0)))*(1-IF(AND(ArtifactsInput!$M$27,Inputs!$B$4="Chapter Hunt"),CHOOSE(ArtifactsInput!$N$27+1,20,24,28,32,36,40),0)/100)),0)</f>
        <v/>
      </c>
      <c r="R1631">
        <f>IF(AND(Inputs!$B$38&lt;&gt;"pvp",Inputs!$B$43&gt;0),IF(Inputs!$B$43&lt;=0,0,(INT(Inputs!$B$43/(IF(Inputs!$B$38="pvp",15,MAX(0.1,Skills!D3-IF(TRUE=TRUE,Inputs!$B$32,0)))*(1-IF(AND(ArtifactsInput!$M$27,Inputs!$B$4="Chapter Hunt"),CHOOSE(ArtifactsInput!$N$27+1,20,24,28,32,36,40),0)/100)))+1)),0)</f>
        <v/>
      </c>
      <c r="S1631" t="n">
        <v>0</v>
      </c>
      <c r="T1631">
        <f>INDEX(FactorTable!$B$2:$Y$301, MATCH(ROUND(MIN(300,MAX(1,T1630)),0), FactorTable!$A$2:$A$301,0), 22)</f>
        <v/>
      </c>
      <c r="U1631" t="n">
        <v>0</v>
      </c>
      <c r="Z1631">
        <f>INDEX(FactorTable!$B$2:$Y$301, MATCH(ROUND(MIN(300,MAX(1,Z1630)),0), FactorTable!$A$2:$A$301,0), 24)</f>
        <v/>
      </c>
    </row>
    <row r="1632">
      <c r="A1632">
        <f>Skills!A4</f>
        <v/>
      </c>
      <c r="B1632">
        <f>Skills!B4</f>
        <v/>
      </c>
      <c r="C1632">
        <f>Inputs!$B$3&gt;=40</f>
        <v/>
      </c>
      <c r="D1632">
        <f>IF(Skills!C4=1,60+Inputs!$B$25+Inputs!$B$29,IF(Skills!C4=2,90+Inputs!$B$26+Inputs!$B$29,IF(Skills!C4=3,120+Inputs!$B$27+Inputs!$B$29,MAX(0,(Inputs!$B$3-100)*3)+Inputs!$B$28+Inputs!$B$29)))</f>
        <v/>
      </c>
      <c r="E1632">
        <f>INDEX(FactorTable!$B$2:$Y$301, MATCH(ROUND(MIN(300,MAX(1,D1632)),0), FactorTable!$A$2:$A$301,0), Skills!L4+1)</f>
        <v/>
      </c>
      <c r="F1632">
        <f>IF(Skills!M4=TRUE,(Skills!K4/10)*(E1632/1000),Skills!K4/10)+Skills!N4</f>
        <v/>
      </c>
      <c r="G1632">
        <f>Calc!G4</f>
        <v/>
      </c>
      <c r="H1632">
        <f>Calc!H4</f>
        <v/>
      </c>
      <c r="I1632">
        <f>IF(Skills!T4&lt;&gt;"",1+(Skills!T4/10)*(Z1631/1000)/100,1)</f>
        <v/>
      </c>
      <c r="J1632" t="inlineStr"/>
      <c r="K1632" t="inlineStr"/>
      <c r="L1632" t="inlineStr"/>
      <c r="M1632" t="inlineStr"/>
      <c r="N1632" t="inlineStr"/>
      <c r="O1632">
        <f>(1-Summary!$B$11)*S1632+Summary!$B$11*U1632</f>
        <v/>
      </c>
      <c r="P1632">
        <f>IF(B1665=0,0,O1632/B1665)</f>
        <v/>
      </c>
      <c r="Q1632">
        <f>IFERROR(1/(IF(Inputs!$B$38="pvp",15,MAX(0.1,Skills!D4-IF(TRUE=TRUE,Inputs!$B$32,0)))*(1-IF(AND(ArtifactsInput!$M$27,Inputs!$B$4="Chapter Hunt"),CHOOSE(ArtifactsInput!$N$27+1,20,24,28,32,36,40),0)/100)),0)</f>
        <v/>
      </c>
      <c r="R1632">
        <f>IF(AND(Inputs!$B$38&lt;&gt;"pvp",Inputs!$B$43&gt;0),IF(Inputs!$B$43&lt;=0,0,(INT(Inputs!$B$43/(IF(Inputs!$B$38="pvp",15,MAX(0.1,Skills!D4-IF(TRUE=TRUE,Inputs!$B$32,0)))*(1-IF(AND(ArtifactsInput!$M$27,Inputs!$B$4="Chapter Hunt"),CHOOSE(ArtifactsInput!$N$27+1,20,24,28,32,36,40),0)/100)))+1)),0)</f>
        <v/>
      </c>
      <c r="S1632" t="n">
        <v>0</v>
      </c>
      <c r="T1632">
        <f>290*T1631/1000</f>
        <v/>
      </c>
      <c r="U1632" t="n">
        <v>0</v>
      </c>
    </row>
    <row r="1633">
      <c r="A1633">
        <f>Skills!A5</f>
        <v/>
      </c>
      <c r="B1633">
        <f>Skills!B5</f>
        <v/>
      </c>
      <c r="C1633">
        <f>Inputs!$B$3&gt;=38</f>
        <v/>
      </c>
      <c r="D1633">
        <f>IF(Skills!C5=1,60+Inputs!$B$25+Inputs!$B$29,IF(Skills!C5=2,90+Inputs!$B$26+Inputs!$B$29,IF(Skills!C5=3,120+Inputs!$B$27+Inputs!$B$29,MAX(0,(Inputs!$B$3-100)*3)+Inputs!$B$28+Inputs!$B$29)))</f>
        <v/>
      </c>
      <c r="E1633">
        <f>INDEX(FactorTable!$B$2:$Y$301, MATCH(ROUND(MIN(300,MAX(1,D1633)),0), FactorTable!$A$2:$A$301,0), Skills!L5+1)</f>
        <v/>
      </c>
      <c r="F1633">
        <f>IF(Skills!M5=TRUE,(Skills!K5/10)*(E1633/1000),Skills!K5/10)+Skills!N5</f>
        <v/>
      </c>
      <c r="G1633">
        <f>Calc!G5</f>
        <v/>
      </c>
      <c r="H1633">
        <f>Calc!H5</f>
        <v/>
      </c>
      <c r="I1633">
        <f>IF(Skills!T5&lt;&gt;"",1+(Skills!T5/10)*(Z1631/1000)/100,1)</f>
        <v/>
      </c>
      <c r="J1633">
        <f>((Inputs!$B$6*(1+Inputs!$B$7/100))+(((Inputs!$B$12*(1+Inputs!$B$13/100))-(Inputs!$B$12*(1+Inputs!$B$13/100)))+0.25*(Inputs!$B$14-Inputs!$B$14))*(1+Inputs!$B$7/100))*(F1633/100)</f>
        <v/>
      </c>
      <c r="K1633">
        <f>J1633*(1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5="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1633)</f>
        <v/>
      </c>
      <c r="L1633">
        <f>K1633*(MIN(Inputs!$B$22+(F1646-Calc!F18),(Inputs!$B$23+(IF(ArtifactsInput!$M$15,CHOOSE(ArtifactsInput!$N$15+1,25,30,35,40,45,50)/100*(Inputs!$B$11-Inputs!$B$11),0))))/100+(Inputs!$B$23+(IF(ArtifactsInput!$M$15,CHOOSE(ArtifactsInput!$N$15+1,25,30,35,40,45,50)/100*(Inputs!$B$11-Inputs!$B$11),0)))/100)/2</f>
        <v/>
      </c>
      <c r="M1633">
        <f>L1633*(1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3">
        <f>L1633*(1-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1633*(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3">
        <f>(1-Summary!$B$11)*S1633+Summary!$B$11*U1633</f>
        <v/>
      </c>
      <c r="P1633">
        <f>IF(B1665=0,0,O1633/B1665)</f>
        <v/>
      </c>
      <c r="Q1633">
        <f>IFERROR(1/(IF(Inputs!$B$38="pvp",15,MAX(0.1,Skills!D5-IF(TRUE=TRUE,Inputs!$B$32,0)))*(1-IF(AND(ArtifactsInput!$M$27,Inputs!$B$4="Chapter Hunt"),CHOOSE(ArtifactsInput!$N$27+1,20,24,28,32,36,40),0)/100)),0)</f>
        <v/>
      </c>
      <c r="R1633">
        <f>IF(AND(Inputs!$B$38&lt;&gt;"pvp",Inputs!$B$43&gt;0),IF(MAX(0,Inputs!$B$43-B1662)&lt;=0,0,(INT(MAX(0,Inputs!$B$43-B1662)/(IF(Inputs!$B$38="pvp",15,MAX(0.1,Skills!D5-IF(TRUE=TRUE,Inputs!$B$32,0)))*(1-IF(AND(ArtifactsInput!$M$27,Inputs!$B$4="Chapter Hunt"),CHOOSE(ArtifactsInput!$N$27+1,20,24,28,32,36,40),0)/100)))+1)),0)</f>
        <v/>
      </c>
      <c r="S1633">
        <f>IF(C1633,(H1633*N1633*IF(AND(Inputs!$B$38&lt;&gt;"pvp",Inputs!$B$43&gt;0),((Skills!F5*((R1633-1)*IF(Skills!G5&gt;0,Skills!H5/Skills!G5,1)+IF(Skills!G5&gt;0,MIN(Skills!H5,MAX(0,MAX(0,Inputs!$B$43-B1662)-((R1633-1)*(IF(Inputs!$B$38="pvp",15,MAX(0.1,Skills!D5-IF(TRUE=TRUE,Inputs!$B$32,0)))*(1-IF(AND(ArtifactsInput!$M$27,Inputs!$B$4="Chapter Hunt"),CHOOSE(ArtifactsInput!$N$27+1,20,24,28,32,36,40),0)/100)))))/Skills!G5,1)))/Inputs!$B$43),G1633*Q1633))*IF(Inputs!$B$38="pvp",1,1+(Inputs!$B$20+Skills!O5+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1633*(1-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1633*(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1633*(1-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1633*(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3">
        <f>IF(C1633,(H1633*N1633*IF(AND(Inputs!$B$38&lt;&gt;"pvp",Inputs!$B$43&gt;0),((Skills!F5*((R1633-1)*IF(Skills!G5&gt;0,Skills!H5/Skills!G5,1)+IF(Skills!G5&gt;0,MIN(Skills!H5,MAX(0,MAX(0,Inputs!$B$43-B1662)-((R1633-1)*(IF(Inputs!$B$38="pvp",15,MAX(0.1,Skills!D5-IF(TRUE=TRUE,Inputs!$B$32,0)))*(1-IF(AND(ArtifactsInput!$M$27,Inputs!$B$4="Chapter Hunt"),CHOOSE(ArtifactsInput!$N$27+1,20,24,28,32,36,40),0)/100)))))/Skills!G5,1)))/Inputs!$B$43),G1633*Q1633))*IF(Inputs!$B$38="pvp",1,(1+(Inputs!$B$21+Skills!P5+B1656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4">
      <c r="A1634">
        <f>Skills!A6</f>
        <v/>
      </c>
      <c r="B1634">
        <f>Skills!B6</f>
        <v/>
      </c>
      <c r="C1634">
        <f>Inputs!$B$3&gt;=63</f>
        <v/>
      </c>
      <c r="D1634">
        <f>IF(Skills!C6=1,60+Inputs!$B$25+Inputs!$B$29,IF(Skills!C6=2,90+Inputs!$B$26+Inputs!$B$29,IF(Skills!C6=3,120+Inputs!$B$27+Inputs!$B$29,MAX(0,(Inputs!$B$3-100)*3)+Inputs!$B$28+Inputs!$B$29)))</f>
        <v/>
      </c>
      <c r="E1634">
        <f>INDEX(FactorTable!$B$2:$Y$301, MATCH(ROUND(MIN(300,MAX(1,D1634)),0), FactorTable!$A$2:$A$301,0), Skills!L6+1)</f>
        <v/>
      </c>
      <c r="F1634">
        <f>IF(Skills!M6=TRUE,(Skills!K6/10)*(E1634/1000),Skills!K6/10)+Skills!N6</f>
        <v/>
      </c>
      <c r="G1634">
        <f>Calc!G6</f>
        <v/>
      </c>
      <c r="H1634">
        <f>Calc!H6</f>
        <v/>
      </c>
      <c r="I1634">
        <f>IF(Skills!T6&lt;&gt;"",1+(Skills!T6/10)*(Z1631/1000)/100,1)</f>
        <v/>
      </c>
      <c r="J1634">
        <f>((Inputs!$B$6*(1+Inputs!$B$7/100))+(((Inputs!$B$12*(1+Inputs!$B$13/100))-(Inputs!$B$12*(1+Inputs!$B$13/100)))+0.25*(Inputs!$B$14-Inputs!$B$14))*(1+Inputs!$B$7/100))*(F1634/100)</f>
        <v/>
      </c>
      <c r="K1634">
        <f>J1634*(1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6="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1634)</f>
        <v/>
      </c>
      <c r="L1634">
        <f>K1634*(MIN(Inputs!$B$22+(F1646-Calc!F18),(Inputs!$B$23+(IF(ArtifactsInput!$M$15,CHOOSE(ArtifactsInput!$N$15+1,25,30,35,40,45,50)/100*(Inputs!$B$11-Inputs!$B$11),0))))/100+(Inputs!$B$23+(IF(ArtifactsInput!$M$15,CHOOSE(ArtifactsInput!$N$15+1,25,30,35,40,45,50)/100*(Inputs!$B$11-Inputs!$B$11),0)))/100)/2</f>
        <v/>
      </c>
      <c r="M1634">
        <f>L1634*(1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4">
        <f>L1634*(1-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1634*(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4">
        <f>(1-Summary!$B$11)*S1634+Summary!$B$11*U1634</f>
        <v/>
      </c>
      <c r="P1634">
        <f>IF(B1665=0,0,O1634/B1665)</f>
        <v/>
      </c>
      <c r="Q1634">
        <f>IFERROR(1/(IF(Inputs!$B$38="pvp",15,MAX(0.1,Skills!D6-IF(TRUE=TRUE,Inputs!$B$32,0)))*(1-IF(AND(ArtifactsInput!$M$27,Inputs!$B$4="Chapter Hunt"),CHOOSE(ArtifactsInput!$N$27+1,20,24,28,32,36,40),0)/100)),0)</f>
        <v/>
      </c>
      <c r="R1634">
        <f>IF(AND(Inputs!$B$38&lt;&gt;"pvp",Inputs!$B$43&gt;0),IF(MAX(0,Inputs!$B$43-B1662)&lt;=0,0,(INT(MAX(0,Inputs!$B$43-B1662)/(IF(Inputs!$B$38="pvp",15,MAX(0.1,Skills!D6-IF(TRUE=TRUE,Inputs!$B$32,0)))*(1-IF(AND(ArtifactsInput!$M$27,Inputs!$B$4="Chapter Hunt"),CHOOSE(ArtifactsInput!$N$27+1,20,24,28,32,36,40),0)/100)))+1)),0)</f>
        <v/>
      </c>
      <c r="S1634">
        <f>IF(C1634,(H1634*N1634*IF(AND(Inputs!$B$38&lt;&gt;"pvp",Inputs!$B$43&gt;0),((Skills!F6*((R1634-1)*IF(Skills!G6&gt;0,Skills!H6/Skills!G6,1)+IF(Skills!G6&gt;0,MIN(Skills!H6,MAX(0,MAX(0,Inputs!$B$43-B1662)-((R1634-1)*(IF(Inputs!$B$38="pvp",15,MAX(0.1,Skills!D6-IF(TRUE=TRUE,Inputs!$B$32,0)))*(1-IF(AND(ArtifactsInput!$M$27,Inputs!$B$4="Chapter Hunt"),CHOOSE(ArtifactsInput!$N$27+1,20,24,28,32,36,40),0)/100)))))/Skills!G6,1)))/Inputs!$B$43),G1634*Q1634))*IF(Inputs!$B$38="pvp",1,1+(Inputs!$B$20+Skills!O6+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1634*(1-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1634*(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1634*(1-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1634*(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4">
        <f>IF(C1634,(H1634*N1634*IF(AND(Inputs!$B$38&lt;&gt;"pvp",Inputs!$B$43&gt;0),((Skills!F6*((R1634-1)*IF(Skills!G6&gt;0,Skills!H6/Skills!G6,1)+IF(Skills!G6&gt;0,MIN(Skills!H6,MAX(0,MAX(0,Inputs!$B$43-B1662)-((R1634-1)*(IF(Inputs!$B$38="pvp",15,MAX(0.1,Skills!D6-IF(TRUE=TRUE,Inputs!$B$32,0)))*(1-IF(AND(ArtifactsInput!$M$27,Inputs!$B$4="Chapter Hunt"),CHOOSE(ArtifactsInput!$N$27+1,20,24,28,32,36,40),0)/100)))))/Skills!G6,1)))/Inputs!$B$43),G1634*Q1634))*IF(Inputs!$B$38="pvp",1,(1+(Inputs!$B$21+Skills!P6+B1656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5">
      <c r="A1635">
        <f>Skills!A7</f>
        <v/>
      </c>
      <c r="B1635">
        <f>Skills!B7</f>
        <v/>
      </c>
      <c r="C1635">
        <f>Inputs!$B$3&gt;=69</f>
        <v/>
      </c>
      <c r="D1635">
        <f>IF(Skills!C7=1,60+Inputs!$B$25+Inputs!$B$29,IF(Skills!C7=2,90+Inputs!$B$26+Inputs!$B$29,IF(Skills!C7=3,120+Inputs!$B$27+Inputs!$B$29,MAX(0,(Inputs!$B$3-100)*3)+Inputs!$B$28+Inputs!$B$29)))</f>
        <v/>
      </c>
      <c r="E1635">
        <f>INDEX(FactorTable!$B$2:$Y$301, MATCH(ROUND(MIN(300,MAX(1,D1635)),0), FactorTable!$A$2:$A$301,0), Skills!L7+1)</f>
        <v/>
      </c>
      <c r="F1635">
        <f>IF(Skills!M7=TRUE,(Skills!K7/10)*(E1635/1000),Skills!K7/10)+Skills!N7</f>
        <v/>
      </c>
      <c r="G1635">
        <f>Calc!G7</f>
        <v/>
      </c>
      <c r="H1635">
        <f>Calc!H7</f>
        <v/>
      </c>
      <c r="I1635">
        <f>IF(Skills!T7&lt;&gt;"",1+(Skills!T7/10)*(Z1631/1000)/100,1)</f>
        <v/>
      </c>
      <c r="J1635">
        <f>((Inputs!$B$6*(1+Inputs!$B$7/100))+(((Inputs!$B$12*(1+Inputs!$B$13/100))-(Inputs!$B$12*(1+Inputs!$B$13/100)))+0.25*(Inputs!$B$14-Inputs!$B$14))*(1+Inputs!$B$7/100))*(F1635/100)</f>
        <v/>
      </c>
      <c r="K1635">
        <f>J1635*(1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7="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1635)</f>
        <v/>
      </c>
      <c r="L1635">
        <f>K1635*(MIN(Inputs!$B$22+(F1646-Calc!F18),(Inputs!$B$23+(IF(ArtifactsInput!$M$15,CHOOSE(ArtifactsInput!$N$15+1,25,30,35,40,45,50)/100*(Inputs!$B$11-Inputs!$B$11),0))))/100+(Inputs!$B$23+(IF(ArtifactsInput!$M$15,CHOOSE(ArtifactsInput!$N$15+1,25,30,35,40,45,50)/100*(Inputs!$B$11-Inputs!$B$11),0)))/100)/2</f>
        <v/>
      </c>
      <c r="M1635">
        <f>L1635*(1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5">
        <f>L1635*(1-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1635*(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5">
        <f>(1-Summary!$B$11)*S1635+Summary!$B$11*U1635</f>
        <v/>
      </c>
      <c r="P1635">
        <f>IF(B1665=0,0,O1635/B1665)</f>
        <v/>
      </c>
      <c r="Q1635">
        <f>IFERROR(1/(IF(Inputs!$B$38="pvp",15,MAX(0.1,Skills!D7-IF(TRUE=TRUE,Inputs!$B$32,0)))*(1-IF(AND(ArtifactsInput!$M$27,Inputs!$B$4="Chapter Hunt"),CHOOSE(ArtifactsInput!$N$27+1,20,24,28,32,36,40),0)/100)),0)</f>
        <v/>
      </c>
      <c r="R1635">
        <f>IF(AND(Inputs!$B$38&lt;&gt;"pvp",Inputs!$B$43&gt;0),IF(MAX(0,Inputs!$B$43-B1662)&lt;=0,0,(INT(MAX(0,Inputs!$B$43-B1662)/(IF(Inputs!$B$38="pvp",15,MAX(0.1,Skills!D7-IF(TRUE=TRUE,Inputs!$B$32,0)))*(1-IF(AND(ArtifactsInput!$M$27,Inputs!$B$4="Chapter Hunt"),CHOOSE(ArtifactsInput!$N$27+1,20,24,28,32,36,40),0)/100)))+1)),0)</f>
        <v/>
      </c>
      <c r="S1635">
        <f>IF(C1635,(H1635*N1635*IF(AND(Inputs!$B$38&lt;&gt;"pvp",Inputs!$B$43&gt;0),((Skills!F7*((R1635-1)*IF(Skills!G7&gt;0,Skills!H7/Skills!G7,1)+IF(Skills!G7&gt;0,MIN(Skills!H7,MAX(0,MAX(0,Inputs!$B$43-B1662)-((R1635-1)*(IF(Inputs!$B$38="pvp",15,MAX(0.1,Skills!D7-IF(TRUE=TRUE,Inputs!$B$32,0)))*(1-IF(AND(ArtifactsInput!$M$27,Inputs!$B$4="Chapter Hunt"),CHOOSE(ArtifactsInput!$N$27+1,20,24,28,32,36,40),0)/100)))))/Skills!G7,1)))/Inputs!$B$43),G1635*Q1635))*IF(Inputs!$B$38="pvp",1,1+(Inputs!$B$20+Skills!O7+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1635*(1-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1635*(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1635*(1-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1635*(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5">
        <f>IF(C1635,(H1635*N1635*IF(AND(Inputs!$B$38&lt;&gt;"pvp",Inputs!$B$43&gt;0),((Skills!F7*((R1635-1)*IF(Skills!G7&gt;0,Skills!H7/Skills!G7,1)+IF(Skills!G7&gt;0,MIN(Skills!H7,MAX(0,MAX(0,Inputs!$B$43-B1662)-((R1635-1)*(IF(Inputs!$B$38="pvp",15,MAX(0.1,Skills!D7-IF(TRUE=TRUE,Inputs!$B$32,0)))*(1-IF(AND(ArtifactsInput!$M$27,Inputs!$B$4="Chapter Hunt"),CHOOSE(ArtifactsInput!$N$27+1,20,24,28,32,36,40),0)/100)))))/Skills!G7,1)))/Inputs!$B$43),G1635*Q1635))*IF(Inputs!$B$38="pvp",1,(1+(Inputs!$B$21+Skills!P7+B1656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6">
      <c r="A1636">
        <f>Skills!A8</f>
        <v/>
      </c>
      <c r="B1636">
        <f>Skills!B8</f>
        <v/>
      </c>
      <c r="C1636">
        <f>Inputs!$B$3&gt;=103</f>
        <v/>
      </c>
      <c r="D1636">
        <f>IF(Skills!C8=1,60+Inputs!$B$25+Inputs!$B$29,IF(Skills!C8=2,90+Inputs!$B$26+Inputs!$B$29,IF(Skills!C8=3,120+Inputs!$B$27+Inputs!$B$29,MAX(0,(Inputs!$B$3-100)*3)+Inputs!$B$28+Inputs!$B$29)))</f>
        <v/>
      </c>
      <c r="E1636">
        <f>INDEX(FactorTable!$B$2:$Y$301, MATCH(ROUND(MIN(300,MAX(1,D1636)),0), FactorTable!$A$2:$A$301,0), Skills!L8+1)</f>
        <v/>
      </c>
      <c r="F1636">
        <f>IF(Skills!M8=TRUE,(Skills!K8/10)*(E1636/1000),Skills!K8/10)+Skills!N8</f>
        <v/>
      </c>
      <c r="G1636">
        <f>Calc!G8</f>
        <v/>
      </c>
      <c r="H1636">
        <f>Calc!H8</f>
        <v/>
      </c>
      <c r="I1636">
        <f>IF(Skills!T8&lt;&gt;"",1+(Skills!T8/10)*(Z1631/1000)/100,1)</f>
        <v/>
      </c>
      <c r="J1636">
        <f>((Inputs!$B$6*(1+Inputs!$B$7/100))+(((Inputs!$B$12*(1+Inputs!$B$13/100))-(Inputs!$B$12*(1+Inputs!$B$13/100)))+0.25*(Inputs!$B$14-Inputs!$B$14))*(1+Inputs!$B$7/100))*(F1636/100)</f>
        <v/>
      </c>
      <c r="K1636">
        <f>J1636*(1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8="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1636)</f>
        <v/>
      </c>
      <c r="L1636">
        <f>K1636*(MIN(Inputs!$B$22+(F1646-Calc!F18),(Inputs!$B$23+(IF(ArtifactsInput!$M$15,CHOOSE(ArtifactsInput!$N$15+1,25,30,35,40,45,50)/100*(Inputs!$B$11-Inputs!$B$11),0))))/100+(Inputs!$B$23+(IF(ArtifactsInput!$M$15,CHOOSE(ArtifactsInput!$N$15+1,25,30,35,40,45,50)/100*(Inputs!$B$11-Inputs!$B$11),0)))/100)/2</f>
        <v/>
      </c>
      <c r="M1636">
        <f>L1636*(1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6">
        <f>L1636*(1-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1636*(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6">
        <f>(1-Summary!$B$11)*S1636+Summary!$B$11*U1636</f>
        <v/>
      </c>
      <c r="P1636">
        <f>IF(B1665=0,0,O1636/B1665)</f>
        <v/>
      </c>
      <c r="Q1636">
        <f>IFERROR(1/(IF(Inputs!$B$38="pvp",15,MAX(0.1,Skills!D8-IF(TRUE=TRUE,Inputs!$B$32,0)))*(1-IF(AND(ArtifactsInput!$M$27,Inputs!$B$4="Chapter Hunt"),CHOOSE(ArtifactsInput!$N$27+1,20,24,28,32,36,40),0)/100)),0)</f>
        <v/>
      </c>
      <c r="R1636">
        <f>IF(AND(Inputs!$B$38&lt;&gt;"pvp",Inputs!$B$43&gt;0),IF(MAX(0,Inputs!$B$43-B1662)&lt;=0,0,(INT(MAX(0,Inputs!$B$43-B1662)/(IF(Inputs!$B$38="pvp",15,MAX(0.1,Skills!D8-IF(TRUE=TRUE,Inputs!$B$32,0)))*(1-IF(AND(ArtifactsInput!$M$27,Inputs!$B$4="Chapter Hunt"),CHOOSE(ArtifactsInput!$N$27+1,20,24,28,32,36,40),0)/100)))+1)),0)</f>
        <v/>
      </c>
      <c r="S1636">
        <f>IF(C1636,(H1636*N1636*IF(AND(Inputs!$B$38&lt;&gt;"pvp",Inputs!$B$43&gt;0),((Skills!F8*((R1636-1)*IF(Skills!G8&gt;0,Skills!H8/Skills!G8,1)+IF(Skills!G8&gt;0,MIN(Skills!H8,MAX(0,MAX(0,Inputs!$B$43-B1662)-((R1636-1)*(IF(Inputs!$B$38="pvp",15,MAX(0.1,Skills!D8-IF(TRUE=TRUE,Inputs!$B$32,0)))*(1-IF(AND(ArtifactsInput!$M$27,Inputs!$B$4="Chapter Hunt"),CHOOSE(ArtifactsInput!$N$27+1,20,24,28,32,36,40),0)/100)))))/Skills!G8,1)))/Inputs!$B$43),G1636*Q1636))*IF(Inputs!$B$38="pvp",1,1+(Inputs!$B$20+Skills!O8+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1636*(1-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1636*(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1636*(1-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1636*(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6">
        <f>IF(C1636,(H1636*N1636*IF(AND(Inputs!$B$38&lt;&gt;"pvp",Inputs!$B$43&gt;0),((Skills!F8*((R1636-1)*IF(Skills!G8&gt;0,Skills!H8/Skills!G8,1)+IF(Skills!G8&gt;0,MIN(Skills!H8,MAX(0,MAX(0,Inputs!$B$43-B1662)-((R1636-1)*(IF(Inputs!$B$38="pvp",15,MAX(0.1,Skills!D8-IF(TRUE=TRUE,Inputs!$B$32,0)))*(1-IF(AND(ArtifactsInput!$M$27,Inputs!$B$4="Chapter Hunt"),CHOOSE(ArtifactsInput!$N$27+1,20,24,28,32,36,40),0)/100)))))/Skills!G8,1)))/Inputs!$B$43),G1636*Q1636))*IF(Inputs!$B$38="pvp",1,(1+(Inputs!$B$21+Skills!P8+B1656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7">
      <c r="A1637">
        <f>Skills!A9</f>
        <v/>
      </c>
      <c r="B1637">
        <f>Skills!B9</f>
        <v/>
      </c>
      <c r="C1637">
        <f>Inputs!$B$3&gt;=105</f>
        <v/>
      </c>
      <c r="D1637">
        <f>IF(Skills!C9=1,60+Inputs!$B$25+Inputs!$B$29,IF(Skills!C9=2,90+Inputs!$B$26+Inputs!$B$29,IF(Skills!C9=3,120+Inputs!$B$27+Inputs!$B$29,MAX(0,(Inputs!$B$3-100)*3)+Inputs!$B$28+Inputs!$B$29)))</f>
        <v/>
      </c>
      <c r="E1637">
        <f>INDEX(FactorTable!$B$2:$Y$301, MATCH(ROUND(MIN(300,MAX(1,D1637)),0), FactorTable!$A$2:$A$301,0), Skills!L9+1)</f>
        <v/>
      </c>
      <c r="F1637">
        <f>IF(Skills!M9=TRUE,(Skills!K9/10)*(E1637/1000),Skills!K9/10)+Skills!N9</f>
        <v/>
      </c>
      <c r="G1637">
        <f>Calc!G9</f>
        <v/>
      </c>
      <c r="H1637">
        <f>Calc!H9</f>
        <v/>
      </c>
      <c r="I1637">
        <f>IF(Skills!T9&lt;&gt;"",1+(Skills!T9/10)*(Z1631/1000)/100,1)</f>
        <v/>
      </c>
      <c r="J1637">
        <f>((Inputs!$B$6*(1+Inputs!$B$7/100))+(((Inputs!$B$12*(1+Inputs!$B$13/100))-(Inputs!$B$12*(1+Inputs!$B$13/100)))+0.25*(Inputs!$B$14-Inputs!$B$14))*(1+Inputs!$B$7/100))*(F1637/100)</f>
        <v/>
      </c>
      <c r="K1637">
        <f>J1637*(1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9="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1637)</f>
        <v/>
      </c>
      <c r="L1637">
        <f>K1637*(MIN(Inputs!$B$22+(F1646-Calc!F18),(Inputs!$B$23+(IF(ArtifactsInput!$M$15,CHOOSE(ArtifactsInput!$N$15+1,25,30,35,40,45,50)/100*(Inputs!$B$11-Inputs!$B$11),0))))/100+(Inputs!$B$23+(IF(ArtifactsInput!$M$15,CHOOSE(ArtifactsInput!$N$15+1,25,30,35,40,45,50)/100*(Inputs!$B$11-Inputs!$B$11),0)))/100)/2</f>
        <v/>
      </c>
      <c r="M1637">
        <f>L1637*(1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7">
        <f>L1637*(1-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1637*(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7">
        <f>(1-Summary!$B$11)*S1637+Summary!$B$11*U1637</f>
        <v/>
      </c>
      <c r="P1637">
        <f>IF(B1665=0,0,O1637/B1665)</f>
        <v/>
      </c>
      <c r="Q1637">
        <f>IFERROR(1/(IF(Inputs!$B$38="pvp",15,MAX(0.1,Skills!D9-IF(TRUE=TRUE,Inputs!$B$32,0)))*(1-IF(AND(ArtifactsInput!$M$27,Inputs!$B$4="Chapter Hunt"),CHOOSE(ArtifactsInput!$N$27+1,20,24,28,32,36,40),0)/100)),0)</f>
        <v/>
      </c>
      <c r="R1637">
        <f>IF(AND(Inputs!$B$38&lt;&gt;"pvp",Inputs!$B$43&gt;0),IF(MAX(0,Inputs!$B$43-B1662)&lt;=0,0,(INT(MAX(0,Inputs!$B$43-B1662)/(IF(Inputs!$B$38="pvp",15,MAX(0.1,Skills!D9-IF(TRUE=TRUE,Inputs!$B$32,0)))*(1-IF(AND(ArtifactsInput!$M$27,Inputs!$B$4="Chapter Hunt"),CHOOSE(ArtifactsInput!$N$27+1,20,24,28,32,36,40),0)/100)))+1)),0)</f>
        <v/>
      </c>
      <c r="S1637">
        <f>IF(C1637,(H1637*N1637*IF(AND(Inputs!$B$38&lt;&gt;"pvp",Inputs!$B$43&gt;0),((Skills!F9*((R1637-1)*IF(Skills!G9&gt;0,Skills!H9/Skills!G9,1)+IF(Skills!G9&gt;0,MIN(Skills!H9,MAX(0,MAX(0,Inputs!$B$43-B1662)-((R1637-1)*(IF(Inputs!$B$38="pvp",15,MAX(0.1,Skills!D9-IF(TRUE=TRUE,Inputs!$B$32,0)))*(1-IF(AND(ArtifactsInput!$M$27,Inputs!$B$4="Chapter Hunt"),CHOOSE(ArtifactsInput!$N$27+1,20,24,28,32,36,40),0)/100)))))/Skills!G9,1)))/Inputs!$B$43),G1637*Q1637))*IF(Inputs!$B$38="pvp",1,1+(Inputs!$B$20+Skills!O9+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1637*(1-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1637*(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1637*(1-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1637*(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7">
        <f>IF(C1637,(H1637*N1637*IF(AND(Inputs!$B$38&lt;&gt;"pvp",Inputs!$B$43&gt;0),((Skills!F9*((R1637-1)*IF(Skills!G9&gt;0,Skills!H9/Skills!G9,1)+IF(Skills!G9&gt;0,MIN(Skills!H9,MAX(0,MAX(0,Inputs!$B$43-B1662)-((R1637-1)*(IF(Inputs!$B$38="pvp",15,MAX(0.1,Skills!D9-IF(TRUE=TRUE,Inputs!$B$32,0)))*(1-IF(AND(ArtifactsInput!$M$27,Inputs!$B$4="Chapter Hunt"),CHOOSE(ArtifactsInput!$N$27+1,20,24,28,32,36,40),0)/100)))))/Skills!G9,1)))/Inputs!$B$43),G1637*Q1637))*IF(Inputs!$B$38="pvp",1,(1+(Inputs!$B$21+Skills!P9+B1656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8">
      <c r="A1638">
        <f>Skills!A10</f>
        <v/>
      </c>
      <c r="B1638">
        <f>Skills!B10</f>
        <v/>
      </c>
      <c r="C1638">
        <f>Inputs!$B$3&gt;=113</f>
        <v/>
      </c>
      <c r="D1638">
        <f>IF(Skills!C10=1,60+Inputs!$B$25+Inputs!$B$29,IF(Skills!C10=2,90+Inputs!$B$26+Inputs!$B$29,IF(Skills!C10=3,120+Inputs!$B$27+Inputs!$B$29,MAX(0,(Inputs!$B$3-100)*3)+Inputs!$B$28+Inputs!$B$29)))</f>
        <v/>
      </c>
      <c r="E1638">
        <f>INDEX(FactorTable!$B$2:$Y$301, MATCH(ROUND(MIN(300,MAX(1,D1638)),0), FactorTable!$A$2:$A$301,0), Skills!L10+1)</f>
        <v/>
      </c>
      <c r="F1638">
        <f>IF(Skills!M10=TRUE,(Skills!K10/10)*(E1638/1000),Skills!K10/10)+Skills!N10</f>
        <v/>
      </c>
      <c r="G1638">
        <f>Calc!G10</f>
        <v/>
      </c>
      <c r="H1638">
        <f>Calc!H10</f>
        <v/>
      </c>
      <c r="I1638">
        <f>IF(Skills!T10&lt;&gt;"",1+(Skills!T10/10)*(Z1631/1000)/100,1)</f>
        <v/>
      </c>
      <c r="J1638">
        <f>((Inputs!$B$6*(1+Inputs!$B$7/100))+(((Inputs!$B$12*(1+Inputs!$B$13/100))-(Inputs!$B$12*(1+Inputs!$B$13/100)))+0.25*(Inputs!$B$14-Inputs!$B$14))*(1+Inputs!$B$7/100))*(F1638/100)</f>
        <v/>
      </c>
      <c r="K1638">
        <f>J1638*(1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10="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1638)</f>
        <v/>
      </c>
      <c r="L1638">
        <f>K1638*(MIN(Inputs!$B$22+(F1646-Calc!F18),(Inputs!$B$23+(IF(ArtifactsInput!$M$15,CHOOSE(ArtifactsInput!$N$15+1,25,30,35,40,45,50)/100*(Inputs!$B$11-Inputs!$B$11),0))))/100+(Inputs!$B$23+(IF(ArtifactsInput!$M$15,CHOOSE(ArtifactsInput!$N$15+1,25,30,35,40,45,50)/100*(Inputs!$B$11-Inputs!$B$11),0)))/100)/2</f>
        <v/>
      </c>
      <c r="M1638">
        <f>L1638*(1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8">
        <f>L1638*(1-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1638*(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8">
        <f>(1-Summary!$B$11)*S1638+Summary!$B$11*U1638</f>
        <v/>
      </c>
      <c r="P1638">
        <f>IF(B1665=0,0,O1638/B1665)</f>
        <v/>
      </c>
      <c r="Q1638">
        <f>IFERROR(1/(IF(Inputs!$B$38="pvp",15,MAX(0.1,Skills!D10-IF(TRUE=TRUE,Inputs!$B$32,0)))*(1-IF(AND(ArtifactsInput!$M$27,Inputs!$B$4="Chapter Hunt"),CHOOSE(ArtifactsInput!$N$27+1,20,24,28,32,36,40),0)/100)),0)</f>
        <v/>
      </c>
      <c r="R1638" t="n">
        <v>0</v>
      </c>
      <c r="S1638">
        <f>IF(C1638,((H1638*B1666)/(1+Skills!G10*H1638*B1666)*N1638)*IF(Inputs!$B$38="pvp",1,1+(Inputs!$B$20+Skills!O10+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1638*(1-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1638*(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1638*(1-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1638*(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8">
        <f>IF(C1638,((H1638*B1666)/(1+Skills!G10*H1638*B1666)*N1638)*IF(Inputs!$B$38="pvp",1,(1+(Inputs!$B$21+Skills!P10+B1656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39">
      <c r="A1639">
        <f>Skills!A11</f>
        <v/>
      </c>
      <c r="B1639">
        <f>Skills!B11</f>
        <v/>
      </c>
      <c r="C1639">
        <f>Inputs!$B$3&gt;=107</f>
        <v/>
      </c>
      <c r="D1639">
        <f>IF(Skills!C11=1,60+Inputs!$B$25+Inputs!$B$29,IF(Skills!C11=2,90+Inputs!$B$26+Inputs!$B$29,IF(Skills!C11=3,120+Inputs!$B$27+Inputs!$B$29,MAX(0,(Inputs!$B$3-100)*3)+Inputs!$B$28+Inputs!$B$29)))</f>
        <v/>
      </c>
      <c r="E1639">
        <f>INDEX(FactorTable!$B$2:$Y$301, MATCH(ROUND(MIN(300,MAX(1,D1639)),0), FactorTable!$A$2:$A$301,0), Skills!L11+1)</f>
        <v/>
      </c>
      <c r="F1639">
        <f>IF(Skills!M11=TRUE,(Skills!K11/10)*(E1639/1000),Skills!K11/10)+Skills!N11</f>
        <v/>
      </c>
      <c r="G1639">
        <f>Calc!G11</f>
        <v/>
      </c>
      <c r="H1639">
        <f>Calc!H11</f>
        <v/>
      </c>
      <c r="I1639">
        <f>IF(Skills!T11&lt;&gt;"",1+(Skills!T11/10)*(Z1631/1000)/100,1)</f>
        <v/>
      </c>
      <c r="J1639">
        <f>((Inputs!$B$6*(1+Inputs!$B$7/100))+(((Inputs!$B$12*(1+Inputs!$B$13/100))-(Inputs!$B$12*(1+Inputs!$B$13/100)))+0.25*(Inputs!$B$14-Inputs!$B$14))*(1+Inputs!$B$7/100))*(F1639/100)</f>
        <v/>
      </c>
      <c r="K1639">
        <f>J1639*(1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11="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1639)</f>
        <v/>
      </c>
      <c r="L1639">
        <f>K1639*(MIN(Inputs!$B$22+(F1646-Calc!F18),(Inputs!$B$23+(IF(ArtifactsInput!$M$15,CHOOSE(ArtifactsInput!$N$15+1,25,30,35,40,45,50)/100*(Inputs!$B$11-Inputs!$B$11),0))))/100+(Inputs!$B$23+(IF(ArtifactsInput!$M$15,CHOOSE(ArtifactsInput!$N$15+1,25,30,35,40,45,50)/100*(Inputs!$B$11-Inputs!$B$11),0)))/100)/2</f>
        <v/>
      </c>
      <c r="M1639">
        <f>L1639*(1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9">
        <f>L1639*(1-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1639*(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9">
        <f>(1-Summary!$B$11)*S1639+Summary!$B$11*U1639</f>
        <v/>
      </c>
      <c r="P1639">
        <f>IF(B1665=0,0,O1639/B1665)</f>
        <v/>
      </c>
      <c r="Q1639">
        <f>IFERROR(1/(IF(Inputs!$B$38="pvp",15,MAX(0.1,Skills!D11-IF(TRUE=TRUE,Inputs!$B$32,0)))*(1-IF(AND(ArtifactsInput!$M$27,Inputs!$B$4="Chapter Hunt"),CHOOSE(ArtifactsInput!$N$27+1,20,24,28,32,36,40),0)/100)),0)</f>
        <v/>
      </c>
      <c r="R1639">
        <f>IF(AND(Inputs!$B$38&lt;&gt;"pvp",Inputs!$B$43&gt;0),IF(MAX(0,Inputs!$B$43-B1662)&lt;=0,0,(INT(MAX(0,Inputs!$B$43-B1662)/(IF(Inputs!$B$38="pvp",15,MAX(0.1,Skills!D11-IF(TRUE=TRUE,Inputs!$B$32,0)))*(1-IF(AND(ArtifactsInput!$M$27,Inputs!$B$4="Chapter Hunt"),CHOOSE(ArtifactsInput!$N$27+1,20,24,28,32,36,40),0)/100)))+1)),0)</f>
        <v/>
      </c>
      <c r="S1639">
        <f>IF(C1639,H1639*N1639*IF(AND(Inputs!$B$38&lt;&gt;"pvp",Inputs!$B$43&gt;0),((Skills!F11*((R1639-1)*IF(Skills!G11&gt;0,Skills!H11/Skills!G11,1)+IF(Skills!G11&gt;0,MIN(Skills!H11,MAX(0,MAX(0,Inputs!$B$43-B1662)-((R1639-1)*(IF(Inputs!$B$38="pvp",15,MAX(0.1,Skills!D11-IF(TRUE=TRUE,Inputs!$B$32,0)))*(1-IF(AND(ArtifactsInput!$M$27,Inputs!$B$4="Chapter Hunt"),CHOOSE(ArtifactsInput!$N$27+1,20,24,28,32,36,40),0)/100)))))/Skills!G11,1)))/Inputs!$B$43),G1639*Q1639)*0.5*IF(Inputs!$B$38="pvp",1,1+(Inputs!$B$20+Skills!O11+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1639*(1-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1639*(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1639*(1-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1639*(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9">
        <f>IF(C1639,H1639*N1639*IF(AND(Inputs!$B$38&lt;&gt;"pvp",Inputs!$B$43&gt;0),((Skills!F11*((R1639-1)*IF(Skills!G11&gt;0,Skills!H11/Skills!G11,1)+IF(Skills!G11&gt;0,MIN(Skills!H11,MAX(0,MAX(0,Inputs!$B$43-B1662)-((R1639-1)*(IF(Inputs!$B$38="pvp",15,MAX(0.1,Skills!D11-IF(TRUE=TRUE,Inputs!$B$32,0)))*(1-IF(AND(ArtifactsInput!$M$27,Inputs!$B$4="Chapter Hunt"),CHOOSE(ArtifactsInput!$N$27+1,20,24,28,32,36,40),0)/100)))))/Skills!G11,1)))/Inputs!$B$43),G1639*Q1639)*1*IF(Inputs!$B$38="pvp",1,(1+(Inputs!$B$21+Skills!P11+B1656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0">
      <c r="A1640">
        <f>Skills!A12</f>
        <v/>
      </c>
      <c r="B1640">
        <f>Skills!B12</f>
        <v/>
      </c>
      <c r="C1640">
        <f>Inputs!$B$3&gt;=115</f>
        <v/>
      </c>
      <c r="D1640">
        <f>IF(Skills!C12=1,60+Inputs!$B$25+Inputs!$B$29,IF(Skills!C12=2,90+Inputs!$B$26+Inputs!$B$29,IF(Skills!C12=3,120+Inputs!$B$27+Inputs!$B$29,MAX(0,(Inputs!$B$3-100)*3)+Inputs!$B$28+Inputs!$B$29)))</f>
        <v/>
      </c>
      <c r="E1640">
        <f>INDEX(FactorTable!$B$2:$Y$301, MATCH(ROUND(MIN(300,MAX(1,D1640)),0), FactorTable!$A$2:$A$301,0), Skills!L12+1)</f>
        <v/>
      </c>
      <c r="F1640">
        <f>IF(Skills!M12=TRUE,(Skills!K12/10)*(E1640/1000),Skills!K12/10)+Skills!N12</f>
        <v/>
      </c>
      <c r="G1640">
        <f>Calc!G12</f>
        <v/>
      </c>
      <c r="H1640">
        <f>Calc!H12</f>
        <v/>
      </c>
      <c r="I1640">
        <f>IF(Skills!T12&lt;&gt;"",1+(Skills!T12/10)*(Z1631/1000)/100,1)</f>
        <v/>
      </c>
      <c r="J1640">
        <f>((Inputs!$B$6*(1+Inputs!$B$7/100))+(((Inputs!$B$12*(1+Inputs!$B$13/100))-(Inputs!$B$12*(1+Inputs!$B$13/100)))+0.25*(Inputs!$B$14-Inputs!$B$14))*(1+Inputs!$B$7/100))*(F1640/100)</f>
        <v/>
      </c>
      <c r="K1640">
        <f>J1640*(1+((Inputs!$B$12*(1+Inputs!$B$13/100))*0.01+Inputs!$B$14*0.0025)/100)*(1+(Inputs!$B$15+B1657)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1643=TRUE,F1643,0)/100)*(1+IF(C1651=TRUE,F1651,0)/100)^5*(1+(IF(Skills!A12="CHAIN_LIGHTNING",Inputs!$B$17+((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1655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1640)</f>
        <v/>
      </c>
      <c r="L1640">
        <f>K1640*(MIN(Inputs!$B$22+(F1646-Calc!F18),(Inputs!$B$23+(IF(ArtifactsInput!$M$15,CHOOSE(ArtifactsInput!$N$15+1,25,30,35,40,45,50)/100*(Inputs!$B$11-Inputs!$B$11),0))))/100+(Inputs!$B$23+(IF(ArtifactsInput!$M$15,CHOOSE(ArtifactsInput!$N$15+1,25,30,35,40,45,50)/100*(Inputs!$B$11-Inputs!$B$11),0)))/100)/2</f>
        <v/>
      </c>
      <c r="M1640">
        <f>L1640*(1+(Inputs!$B$10+(F1649-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0">
        <f>L1640*(1-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1640*(MIN((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0">
        <f>(1-Summary!$B$11)*S1640+Summary!$B$11*U1640</f>
        <v/>
      </c>
      <c r="P1640">
        <f>IF(B1665=0,0,O1640/B1665)</f>
        <v/>
      </c>
      <c r="Q1640">
        <f>IFERROR(1/(IF(Inputs!$B$38="pvp",15,MAX(0.1,Skills!D12-IF(TRUE=TRUE,Inputs!$B$32,0)))*(1-IF(AND(ArtifactsInput!$M$27,Inputs!$B$4="Chapter Hunt"),CHOOSE(ArtifactsInput!$N$27+1,20,24,28,32,36,40),0)/100)),0)</f>
        <v/>
      </c>
      <c r="R1640">
        <f>IF(AND(Inputs!$B$38&lt;&gt;"pvp",Inputs!$B$43&gt;0),IF(MAX(0,Inputs!$B$43-B1662)&lt;=0,0,(INT(MAX(0,Inputs!$B$43-B1662)/(IF(Inputs!$B$38="pvp",15,MAX(0.1,Skills!D12-IF(TRUE=TRUE,Inputs!$B$32,0)))*(1-IF(AND(ArtifactsInput!$M$27,Inputs!$B$4="Chapter Hunt"),CHOOSE(ArtifactsInput!$N$27+1,20,24,28,32,36,40),0)/100)))+1)),0)</f>
        <v/>
      </c>
      <c r="S1640">
        <f>IF(C1640,(H1640*N1640*IF(AND(Inputs!$B$38&lt;&gt;"pvp",Inputs!$B$43&gt;0),((Skills!F12*((R1640-1)*IF(Skills!G12&gt;0,Skills!H12/Skills!G12,1)+IF(Skills!G12&gt;0,MIN(Skills!H12,MAX(0,MAX(0,Inputs!$B$43-B1662)-((R1640-1)*(IF(Inputs!$B$38="pvp",15,MAX(0.1,Skills!D12-IF(TRUE=TRUE,Inputs!$B$32,0)))*(1-IF(AND(ArtifactsInput!$M$27,Inputs!$B$4="Chapter Hunt"),CHOOSE(ArtifactsInput!$N$27+1,20,24,28,32,36,40),0)/100)))))/Skills!G12,1)))/Inputs!$B$43),G1640*Q1640))*IF(Inputs!$B$38="pvp",1,1+(Inputs!$B$20+Skills!O12+B1656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1640*(1-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1640*(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1640*(1-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1640*(MIN(100,(Inputs!$B$9+((F1648-Calc!F20)+(F1647-Calc!F19))+(ArtifactsInput!$M$24-ArtifactsInput!$M$24)*CHOOSE(ArtifactsInput!$N$24+1,10,12,14,16,18,20)+(IF(AND(Inputs!$B$38&lt;&gt;"pvp",Inputs!$B$43=0),1,IF(IF(Inputs!$B$38="pvp",15,Inputs!$B$43)-(B1662)&lt;=0,1,MAX(0,IF(Inputs!$B$38="pvp",15,Inputs!$B$43)-MAX(5,B1662))/(IF(Inputs!$B$38="pvp",15,Inputs!$B$43)-(B1662)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0">
        <f>IF(C1640,(H1640*N1640*IF(AND(Inputs!$B$38&lt;&gt;"pvp",Inputs!$B$43&gt;0),((Skills!F12*((R1640-1)*IF(Skills!G12&gt;0,Skills!H12/Skills!G12,1)+IF(Skills!G12&gt;0,MIN(Skills!H12,MAX(0,MAX(0,Inputs!$B$43-B1662)-((R1640-1)*(IF(Inputs!$B$38="pvp",15,MAX(0.1,Skills!D12-IF(TRUE=TRUE,Inputs!$B$32,0)))*(1-IF(AND(ArtifactsInput!$M$27,Inputs!$B$4="Chapter Hunt"),CHOOSE(ArtifactsInput!$N$27+1,20,24,28,32,36,40),0)/100)))))/Skills!G12,1)))/Inputs!$B$43),G1640*Q1640))*IF(Inputs!$B$38="pvp",1,(1+(Inputs!$B$21+Skills!P12+B1656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1">
      <c r="A1641">
        <f>Skills!A13</f>
        <v/>
      </c>
      <c r="B1641">
        <f>Skills!B13</f>
        <v/>
      </c>
      <c r="C1641">
        <f>Inputs!$B$3&gt;=49</f>
        <v/>
      </c>
      <c r="D1641">
        <f>IF(Skills!C13=1,60+Inputs!$B$25+Inputs!$B$29,IF(Skills!C13=2,90+Inputs!$B$26+Inputs!$B$29,IF(Skills!C13=3,120+Inputs!$B$27+Inputs!$B$29,MAX(0,(Inputs!$B$3-100)*3)+Inputs!$B$28+Inputs!$B$29)))</f>
        <v/>
      </c>
      <c r="E1641">
        <f>INDEX(FactorTable!$B$2:$Y$301, MATCH(ROUND(MIN(300,MAX(1,D1641)),0), FactorTable!$A$2:$A$301,0), Skills!L13+1)</f>
        <v/>
      </c>
      <c r="F1641">
        <f>IF(Skills!M13=TRUE,(Skills!K13/10)*(E1641/1000),Skills!K13/10)+Skills!N13</f>
        <v/>
      </c>
      <c r="G1641">
        <f>Calc!G13</f>
        <v/>
      </c>
      <c r="H1641">
        <f>Calc!H13</f>
        <v/>
      </c>
      <c r="I1641">
        <f>IF(Skills!T13&lt;&gt;"",1+(Skills!T13/10)*(Z1631/1000)/100,1)</f>
        <v/>
      </c>
      <c r="J1641" t="inlineStr"/>
      <c r="K1641" t="inlineStr"/>
      <c r="L1641" t="inlineStr"/>
      <c r="M1641" t="inlineStr"/>
      <c r="N1641" t="inlineStr"/>
      <c r="O1641">
        <f>(1-Summary!$B$11)*S1641+Summary!$B$11*U1641</f>
        <v/>
      </c>
      <c r="P1641">
        <f>IF(B1665=0,0,O1641/B1665)</f>
        <v/>
      </c>
      <c r="Q1641">
        <f>IFERROR(1/(IF(Inputs!$B$38="pvp",15,MAX(0.1,Skills!D13-IF(TRUE=TRUE,Inputs!$B$32,0)))*(1-IF(AND(ArtifactsInput!$M$27,Inputs!$B$4="Chapter Hunt"),CHOOSE(ArtifactsInput!$N$27+1,20,24,28,32,36,40),0)/100)),0)</f>
        <v/>
      </c>
      <c r="R1641" t="n">
        <v>0</v>
      </c>
      <c r="S1641" t="n">
        <v>0</v>
      </c>
      <c r="U1641" t="n">
        <v>0</v>
      </c>
    </row>
    <row r="1642">
      <c r="A1642">
        <f>Skills!A14</f>
        <v/>
      </c>
      <c r="B1642">
        <f>Skills!B14</f>
        <v/>
      </c>
      <c r="C1642">
        <f>Inputs!$B$3&gt;=72</f>
        <v/>
      </c>
      <c r="D1642">
        <f>IF(Skills!C14=1,60+Inputs!$B$25+Inputs!$B$29,IF(Skills!C14=2,90+Inputs!$B$26+Inputs!$B$29,IF(Skills!C14=3,120+Inputs!$B$27+Inputs!$B$29,MAX(0,(Inputs!$B$3-100)*3)+Inputs!$B$28+Inputs!$B$29)))</f>
        <v/>
      </c>
      <c r="E1642">
        <f>INDEX(FactorTable!$B$2:$Y$301, MATCH(ROUND(MIN(300,MAX(1,D1642)),0), FactorTable!$A$2:$A$301,0), Skills!L14+1)</f>
        <v/>
      </c>
      <c r="F1642">
        <f>IF(Skills!M14=TRUE,(Skills!K14/10)*(E1642/1000),Skills!K14/10)+Skills!N14</f>
        <v/>
      </c>
      <c r="G1642">
        <f>Calc!G14</f>
        <v/>
      </c>
      <c r="H1642">
        <f>Calc!H14</f>
        <v/>
      </c>
      <c r="I1642">
        <f>IF(Skills!T14&lt;&gt;"",1+(Skills!T14/10)*(Z1631/1000)/100,1)</f>
        <v/>
      </c>
      <c r="J1642" t="inlineStr"/>
      <c r="K1642" t="inlineStr"/>
      <c r="L1642" t="inlineStr"/>
      <c r="M1642" t="inlineStr"/>
      <c r="N1642" t="inlineStr"/>
      <c r="O1642">
        <f>(1-Summary!$B$11)*S1642+Summary!$B$11*U1642</f>
        <v/>
      </c>
      <c r="P1642">
        <f>IF(B1665=0,0,O1642/B1665)</f>
        <v/>
      </c>
      <c r="Q1642">
        <f>IFERROR(1/(IF(Inputs!$B$38="pvp",15,MAX(0.1,Skills!D14-IF(TRUE=TRUE,Inputs!$B$32,0)))*(1-IF(AND(ArtifactsInput!$M$27,Inputs!$B$4="Chapter Hunt"),CHOOSE(ArtifactsInput!$N$27+1,20,24,28,32,36,40),0)/100)),0)</f>
        <v/>
      </c>
      <c r="R1642" t="n">
        <v>0</v>
      </c>
      <c r="S1642" t="n">
        <v>0</v>
      </c>
      <c r="U1642" t="n">
        <v>0</v>
      </c>
    </row>
    <row r="1643">
      <c r="A1643">
        <f>Skills!A15</f>
        <v/>
      </c>
      <c r="B1643">
        <f>Skills!B15</f>
        <v/>
      </c>
      <c r="C1643">
        <f>Inputs!$B$3&gt;=75</f>
        <v/>
      </c>
      <c r="D1643">
        <f>IF(Skills!C15=1,60+Inputs!$B$25+Inputs!$B$29,IF(Skills!C15=2,90+Inputs!$B$26+Inputs!$B$29,IF(Skills!C15=3,120+Inputs!$B$27+Inputs!$B$29,MAX(0,(Inputs!$B$3-100)*3)+Inputs!$B$28+Inputs!$B$29)))</f>
        <v/>
      </c>
      <c r="E1643">
        <f>INDEX(FactorTable!$B$2:$Y$301, MATCH(ROUND(MIN(300,MAX(1,D1643)),0), FactorTable!$A$2:$A$301,0), Skills!L15+1)</f>
        <v/>
      </c>
      <c r="F1643">
        <f>IF(Skills!M15=TRUE,(Skills!K15/10)*(E1643/1000),Skills!K15/10)+Skills!N15</f>
        <v/>
      </c>
      <c r="G1643">
        <f>Calc!G15</f>
        <v/>
      </c>
      <c r="H1643">
        <f>Calc!H15</f>
        <v/>
      </c>
      <c r="I1643">
        <f>IF(Skills!T15&lt;&gt;"",1+(Skills!T15/10)*(Z1631/1000)/100,1)</f>
        <v/>
      </c>
      <c r="J1643" t="inlineStr"/>
      <c r="K1643" t="inlineStr"/>
      <c r="L1643" t="inlineStr"/>
      <c r="M1643" t="inlineStr"/>
      <c r="N1643" t="inlineStr"/>
      <c r="O1643">
        <f>(1-Summary!$B$11)*S1643+Summary!$B$11*U1643</f>
        <v/>
      </c>
      <c r="P1643">
        <f>IF(B1665=0,0,O1643/B1665)</f>
        <v/>
      </c>
      <c r="Q1643">
        <f>IFERROR(1/(IF(Inputs!$B$38="pvp",15,MAX(0.1,Skills!D15-IF(TRUE=TRUE,Inputs!$B$32,0)))*(1-IF(AND(ArtifactsInput!$M$27,Inputs!$B$4="Chapter Hunt"),CHOOSE(ArtifactsInput!$N$27+1,20,24,28,32,36,40),0)/100)),0)</f>
        <v/>
      </c>
      <c r="R1643" t="n">
        <v>0</v>
      </c>
      <c r="S1643" t="n">
        <v>0</v>
      </c>
      <c r="U1643" t="n">
        <v>0</v>
      </c>
    </row>
    <row r="1644">
      <c r="A1644">
        <f>Skills!A16</f>
        <v/>
      </c>
      <c r="B1644">
        <f>Skills!B16</f>
        <v/>
      </c>
      <c r="C1644">
        <f>Inputs!$B$3&gt;=110</f>
        <v/>
      </c>
      <c r="D1644">
        <f>IF(Skills!C16=1,60+Inputs!$B$25+Inputs!$B$29,IF(Skills!C16=2,90+Inputs!$B$26+Inputs!$B$29,IF(Skills!C16=3,120+Inputs!$B$27+Inputs!$B$29,MAX(0,(Inputs!$B$3-100)*3)+Inputs!$B$28+Inputs!$B$29)))</f>
        <v/>
      </c>
      <c r="E1644">
        <f>INDEX(FactorTable!$B$2:$Y$301, MATCH(ROUND(MIN(300,MAX(1,D1644)),0), FactorTable!$A$2:$A$301,0), Skills!L16+1)</f>
        <v/>
      </c>
      <c r="F1644">
        <f>(Skills!K16/10)*(E1644/1000)*64/45+Skills!N16</f>
        <v/>
      </c>
      <c r="G1644">
        <f>Calc!G16</f>
        <v/>
      </c>
      <c r="H1644">
        <f>Calc!H16</f>
        <v/>
      </c>
      <c r="I1644">
        <f>IF(Skills!T16&lt;&gt;"",1+(Skills!T16/10)*(Z1631/1000)/100,1)</f>
        <v/>
      </c>
      <c r="J1644" t="inlineStr"/>
      <c r="K1644" t="inlineStr"/>
      <c r="L1644" t="inlineStr"/>
      <c r="M1644" t="inlineStr"/>
      <c r="N1644" t="inlineStr"/>
      <c r="O1644">
        <f>(1-Summary!$B$11)*S1644+Summary!$B$11*U1644</f>
        <v/>
      </c>
      <c r="P1644">
        <f>IF(B1665=0,0,O1644/B1665)</f>
        <v/>
      </c>
      <c r="Q1644">
        <f>IFERROR(1/(IF(Inputs!$B$38="pvp",15,MAX(0.1,Skills!D16-IF(TRUE=TRUE,Inputs!$B$32,0)))*(1-IF(AND(ArtifactsInput!$M$27,Inputs!$B$4="Chapter Hunt"),CHOOSE(ArtifactsInput!$N$27+1,20,24,28,32,36,40),0)/100)),0)</f>
        <v/>
      </c>
      <c r="R1644">
        <f>IF(AND(Inputs!$B$38&lt;&gt;"pvp",Inputs!$B$43&gt;0),IF(Inputs!$B$43&lt;=0,0,(INT(Inputs!$B$43/(IF(Inputs!$B$38="pvp",15,MAX(0.1,Skills!D16-IF(TRUE=TRUE,Inputs!$B$32,0)))*(1-IF(AND(ArtifactsInput!$M$27,Inputs!$B$4="Chapter Hunt"),CHOOSE(ArtifactsInput!$N$27+1,20,24,28,32,36,40),0)/100)))+1)),0)</f>
        <v/>
      </c>
      <c r="S1644" t="n">
        <v>0</v>
      </c>
      <c r="U1644" t="n">
        <v>0</v>
      </c>
    </row>
    <row r="1645">
      <c r="A1645">
        <f>Skills!A17</f>
        <v/>
      </c>
      <c r="B1645">
        <f>Skills!B17</f>
        <v/>
      </c>
      <c r="C1645">
        <f>Inputs!$B$3&gt;=33</f>
        <v/>
      </c>
      <c r="D1645">
        <f>IF(Skills!C17=1,60+Inputs!$B$25+Inputs!$B$29,IF(Skills!C17=2,90+Inputs!$B$26+Inputs!$B$29,IF(Skills!C17=3,120+Inputs!$B$27+Inputs!$B$29,MAX(0,(Inputs!$B$3-100)*3)+Inputs!$B$28+Inputs!$B$29)))</f>
        <v/>
      </c>
      <c r="E1645">
        <f>INDEX(FactorTable!$B$2:$Y$301, MATCH(ROUND(MIN(300,MAX(1,D1645)),0), FactorTable!$A$2:$A$301,0), Skills!L17+1)</f>
        <v/>
      </c>
      <c r="F1645">
        <f>IF(Skills!M17=TRUE,(Skills!K17/10)*(E1645/1000),Skills!K17/10)+Skills!N17</f>
        <v/>
      </c>
      <c r="G1645">
        <f>Calc!G17</f>
        <v/>
      </c>
      <c r="H1645">
        <f>Calc!H17</f>
        <v/>
      </c>
      <c r="I1645">
        <f>IF(Skills!T17&lt;&gt;"",1+(Skills!T17/10)*(Z1631/1000)/100,1)</f>
        <v/>
      </c>
      <c r="J1645" t="inlineStr"/>
      <c r="K1645" t="inlineStr"/>
      <c r="L1645" t="inlineStr"/>
      <c r="M1645" t="inlineStr"/>
      <c r="N1645" t="inlineStr"/>
      <c r="O1645">
        <f>(1-Summary!$B$11)*S1645+Summary!$B$11*U1645</f>
        <v/>
      </c>
      <c r="P1645">
        <f>IF(B1665=0,0,O1645/B1665)</f>
        <v/>
      </c>
      <c r="Q1645">
        <f>IFERROR(1/(IF(Inputs!$B$38="pvp",15,MAX(0.1,Skills!D17-IF(TRUE=TRUE,Inputs!$B$32,0)))*(1-IF(AND(ArtifactsInput!$M$27,Inputs!$B$4="Chapter Hunt"),CHOOSE(ArtifactsInput!$N$27+1,20,24,28,32,36,40),0)/100)),0)</f>
        <v/>
      </c>
      <c r="R1645" t="n">
        <v>0</v>
      </c>
      <c r="S1645" t="n">
        <v>0</v>
      </c>
      <c r="U1645" t="n">
        <v>0</v>
      </c>
    </row>
    <row r="1646">
      <c r="A1646">
        <f>Skills!A18</f>
        <v/>
      </c>
      <c r="B1646">
        <f>Skills!B18</f>
        <v/>
      </c>
      <c r="C1646">
        <f>Inputs!$B$3&gt;=43</f>
        <v/>
      </c>
      <c r="D1646">
        <f>IF(Skills!C18=1,60+Inputs!$B$25+Inputs!$B$29,IF(Skills!C18=2,90+Inputs!$B$26+Inputs!$B$29,IF(Skills!C18=3,120+Inputs!$B$27+Inputs!$B$29,MAX(0,(Inputs!$B$3-100)*3)+Inputs!$B$28+Inputs!$B$29)))</f>
        <v/>
      </c>
      <c r="E1646">
        <f>INDEX(FactorTable!$B$2:$Y$301, MATCH(ROUND(MIN(300,MAX(1,D1646)),0), FactorTable!$A$2:$A$301,0), Skills!L18+1)</f>
        <v/>
      </c>
      <c r="F1646">
        <f>IF(Skills!M18=TRUE,(Skills!K18/10)*(E1646/1000),Skills!K18/10)+Skills!N18</f>
        <v/>
      </c>
      <c r="G1646">
        <f>Calc!G18</f>
        <v/>
      </c>
      <c r="H1646">
        <f>Calc!H18</f>
        <v/>
      </c>
      <c r="I1646">
        <f>IF(Skills!T18&lt;&gt;"",1+(Skills!T18/10)*(Z1631/1000)/100,1)</f>
        <v/>
      </c>
      <c r="J1646" t="inlineStr"/>
      <c r="K1646" t="inlineStr"/>
      <c r="L1646" t="inlineStr"/>
      <c r="M1646" t="inlineStr"/>
      <c r="N1646" t="inlineStr"/>
      <c r="O1646">
        <f>(1-Summary!$B$11)*S1646+Summary!$B$11*U1646</f>
        <v/>
      </c>
      <c r="P1646">
        <f>IF(B1665=0,0,O1646/B1665)</f>
        <v/>
      </c>
      <c r="Q1646">
        <f>IFERROR(1/(IF(Inputs!$B$38="pvp",15,MAX(0.1,Skills!D18-IF(TRUE=TRUE,Inputs!$B$32,0)))*(1-IF(AND(ArtifactsInput!$M$27,Inputs!$B$4="Chapter Hunt"),CHOOSE(ArtifactsInput!$N$27+1,20,24,28,32,36,40),0)/100)),0)</f>
        <v/>
      </c>
      <c r="R1646" t="n">
        <v>0</v>
      </c>
      <c r="S1646" t="n">
        <v>0</v>
      </c>
      <c r="U1646" t="n">
        <v>0</v>
      </c>
    </row>
    <row r="1647">
      <c r="A1647">
        <f>Skills!A19</f>
        <v/>
      </c>
      <c r="B1647">
        <f>Skills!B19</f>
        <v/>
      </c>
      <c r="C1647">
        <f>Inputs!$B$3&gt;=50</f>
        <v/>
      </c>
      <c r="D1647">
        <f>IF(Skills!C19=1,60+Inputs!$B$25+Inputs!$B$29,IF(Skills!C19=2,90+Inputs!$B$26+Inputs!$B$29,IF(Skills!C19=3,120+Inputs!$B$27+Inputs!$B$29,MAX(0,(Inputs!$B$3-100)*3)+Inputs!$B$28+Inputs!$B$29)))</f>
        <v/>
      </c>
      <c r="E1647">
        <f>INDEX(FactorTable!$B$2:$Y$301, MATCH(ROUND(MIN(300,MAX(1,D1647)),0), FactorTable!$A$2:$A$301,0), Skills!L19+1)</f>
        <v/>
      </c>
      <c r="F1647">
        <f>IF(Skills!M19=TRUE,(Skills!K19/10)*(E1647/1000),Skills!K19/10)+Skills!N19</f>
        <v/>
      </c>
      <c r="G1647">
        <f>Calc!G19</f>
        <v/>
      </c>
      <c r="H1647">
        <f>Calc!H19</f>
        <v/>
      </c>
      <c r="I1647">
        <f>IF(Skills!T19&lt;&gt;"",1+(Skills!T19/10)*(Z1631/1000)/100,1)</f>
        <v/>
      </c>
      <c r="J1647" t="inlineStr"/>
      <c r="K1647" t="inlineStr"/>
      <c r="L1647" t="inlineStr"/>
      <c r="M1647" t="inlineStr"/>
      <c r="N1647" t="inlineStr"/>
      <c r="O1647">
        <f>(1-Summary!$B$11)*S1647+Summary!$B$11*U1647</f>
        <v/>
      </c>
      <c r="P1647">
        <f>IF(B1665=0,0,O1647/B1665)</f>
        <v/>
      </c>
      <c r="Q1647">
        <f>IFERROR(1/(IF(Inputs!$B$38="pvp",15,MAX(0.1,Skills!D19-IF(TRUE=TRUE,Inputs!$B$32,0)))*(1-IF(AND(ArtifactsInput!$M$27,Inputs!$B$4="Chapter Hunt"),CHOOSE(ArtifactsInput!$N$27+1,20,24,28,32,36,40),0)/100)),0)</f>
        <v/>
      </c>
      <c r="R1647" t="n">
        <v>0</v>
      </c>
      <c r="S1647" t="n">
        <v>0</v>
      </c>
      <c r="U1647" t="n">
        <v>0</v>
      </c>
    </row>
    <row r="1648">
      <c r="A1648">
        <f>Skills!A20</f>
        <v/>
      </c>
      <c r="B1648">
        <f>Skills!B20</f>
        <v/>
      </c>
      <c r="C1648">
        <f>Inputs!$B$3&gt;=74</f>
        <v/>
      </c>
      <c r="D1648">
        <f>IF(Skills!C20=1,60+Inputs!$B$25+Inputs!$B$29,IF(Skills!C20=2,90+Inputs!$B$26+Inputs!$B$29,IF(Skills!C20=3,120+Inputs!$B$27+Inputs!$B$29,MAX(0,(Inputs!$B$3-100)*3)+Inputs!$B$28+Inputs!$B$29)))</f>
        <v/>
      </c>
      <c r="E1648">
        <f>INDEX(FactorTable!$B$2:$Y$301, MATCH(ROUND(MIN(300,MAX(1,D1648)),0), FactorTable!$A$2:$A$301,0), Skills!L20+1)</f>
        <v/>
      </c>
      <c r="F1648">
        <f>IF(Skills!M20=TRUE,(Skills!K20/10)*(E1648/1000),Skills!K20/10)+Skills!N20</f>
        <v/>
      </c>
      <c r="G1648">
        <f>Calc!G20</f>
        <v/>
      </c>
      <c r="H1648">
        <f>Calc!H20</f>
        <v/>
      </c>
      <c r="I1648">
        <f>IF(Skills!T20&lt;&gt;"",1+(Skills!T20/10)*(Z1631/1000)/100,1)</f>
        <v/>
      </c>
      <c r="J1648" t="inlineStr"/>
      <c r="K1648" t="inlineStr"/>
      <c r="L1648" t="inlineStr"/>
      <c r="M1648" t="inlineStr"/>
      <c r="N1648" t="inlineStr"/>
      <c r="O1648">
        <f>(1-Summary!$B$11)*S1648+Summary!$B$11*U1648</f>
        <v/>
      </c>
      <c r="P1648">
        <f>IF(B1665=0,0,O1648/B1665)</f>
        <v/>
      </c>
      <c r="Q1648">
        <f>IFERROR(1/(IF(Inputs!$B$38="pvp",15,MAX(0.1,Skills!D20-IF(TRUE=TRUE,Inputs!$B$32,0)))*(1-IF(AND(ArtifactsInput!$M$27,Inputs!$B$4="Chapter Hunt"),CHOOSE(ArtifactsInput!$N$27+1,20,24,28,32,36,40),0)/100)),0)</f>
        <v/>
      </c>
      <c r="R1648" t="n">
        <v>0</v>
      </c>
      <c r="S1648" t="n">
        <v>0</v>
      </c>
      <c r="U1648" t="n">
        <v>0</v>
      </c>
    </row>
    <row r="1649">
      <c r="A1649">
        <f>Skills!A21</f>
        <v/>
      </c>
      <c r="B1649">
        <f>Skills!B21</f>
        <v/>
      </c>
      <c r="C1649">
        <f>Inputs!$B$3&gt;=74</f>
        <v/>
      </c>
      <c r="D1649">
        <f>IF(Skills!C21=1,60+Inputs!$B$25+Inputs!$B$29,IF(Skills!C21=2,90+Inputs!$B$26+Inputs!$B$29,IF(Skills!C21=3,120+Inputs!$B$27+Inputs!$B$29,MAX(0,(Inputs!$B$3-100)*3)+Inputs!$B$28+Inputs!$B$29)))</f>
        <v/>
      </c>
      <c r="E1649">
        <f>INDEX(FactorTable!$B$2:$Y$301, MATCH(ROUND(MIN(300,MAX(1,D1649)),0), FactorTable!$A$2:$A$301,0), Skills!L21+1)</f>
        <v/>
      </c>
      <c r="F1649">
        <f>IF(Skills!M21=TRUE,(Skills!K21/10)*(E1649/1000),Skills!K21/10)+Skills!N21</f>
        <v/>
      </c>
      <c r="G1649">
        <f>Calc!G21</f>
        <v/>
      </c>
      <c r="H1649">
        <f>Calc!H21</f>
        <v/>
      </c>
      <c r="I1649">
        <f>IF(Skills!T21&lt;&gt;"",1+(Skills!T21/10)*(Z1631/1000)/100,1)</f>
        <v/>
      </c>
      <c r="J1649" t="inlineStr"/>
      <c r="K1649" t="inlineStr"/>
      <c r="L1649" t="inlineStr"/>
      <c r="M1649" t="inlineStr"/>
      <c r="N1649" t="inlineStr"/>
      <c r="O1649">
        <f>(1-Summary!$B$11)*S1649+Summary!$B$11*U1649</f>
        <v/>
      </c>
      <c r="P1649">
        <f>IF(B1665=0,0,O1649/B1665)</f>
        <v/>
      </c>
      <c r="Q1649">
        <f>IFERROR(1/(IF(Inputs!$B$38="pvp",15,MAX(0.1,Skills!D21-IF(TRUE=TRUE,Inputs!$B$32,0)))*(1-IF(AND(ArtifactsInput!$M$27,Inputs!$B$4="Chapter Hunt"),CHOOSE(ArtifactsInput!$N$27+1,20,24,28,32,36,40),0)/100)),0)</f>
        <v/>
      </c>
      <c r="R1649" t="n">
        <v>0</v>
      </c>
      <c r="S1649" t="n">
        <v>0</v>
      </c>
      <c r="U1649" t="n">
        <v>0</v>
      </c>
    </row>
    <row r="1650">
      <c r="A1650">
        <f>Skills!A22</f>
        <v/>
      </c>
      <c r="B1650">
        <f>Skills!B22</f>
        <v/>
      </c>
      <c r="C1650">
        <f>Inputs!$B$3&gt;=117</f>
        <v/>
      </c>
      <c r="D1650">
        <f>IF(Skills!C22=1,60+Inputs!$B$25+Inputs!$B$29,IF(Skills!C22=2,90+Inputs!$B$26+Inputs!$B$29,IF(Skills!C22=3,120+Inputs!$B$27+Inputs!$B$29,MAX(0,(Inputs!$B$3-100)*3)+Inputs!$B$28+Inputs!$B$29)))</f>
        <v/>
      </c>
      <c r="E1650">
        <f>INDEX(FactorTable!$B$2:$Y$301, MATCH(ROUND(MIN(300,MAX(1,D1650)),0), FactorTable!$A$2:$A$301,0), Skills!L22+1)</f>
        <v/>
      </c>
      <c r="F1650">
        <f>IF(Skills!M22=TRUE,(Skills!K22/10)*(E1650/1000),Skills!K22/10)+Skills!N22</f>
        <v/>
      </c>
      <c r="G1650">
        <f>Calc!G22</f>
        <v/>
      </c>
      <c r="H1650">
        <f>Calc!H22</f>
        <v/>
      </c>
      <c r="I1650">
        <f>IF(Skills!T22&lt;&gt;"",1+(Skills!T22/10)*(Z1631/1000)/100,1)</f>
        <v/>
      </c>
      <c r="J1650" t="inlineStr"/>
      <c r="K1650" t="inlineStr"/>
      <c r="L1650" t="inlineStr"/>
      <c r="M1650" t="inlineStr"/>
      <c r="N1650" t="inlineStr"/>
      <c r="O1650">
        <f>(1-Summary!$B$11)*S1650+Summary!$B$11*U1650</f>
        <v/>
      </c>
      <c r="P1650">
        <f>IF(B1665=0,0,O1650/B1665)</f>
        <v/>
      </c>
      <c r="Q1650">
        <f>IFERROR(1/(IF(Inputs!$B$38="pvp",15,MAX(0.1,Skills!D22-IF(TRUE=TRUE,Inputs!$B$32,0)))*(1-IF(AND(ArtifactsInput!$M$27,Inputs!$B$4="Chapter Hunt"),CHOOSE(ArtifactsInput!$N$27+1,20,24,28,32,36,40),0)/100)),0)</f>
        <v/>
      </c>
      <c r="R1650" t="n">
        <v>0</v>
      </c>
      <c r="S1650" t="n">
        <v>0</v>
      </c>
      <c r="U1650" t="n">
        <v>0</v>
      </c>
    </row>
    <row r="1651">
      <c r="A1651">
        <f>Skills!A23</f>
        <v/>
      </c>
      <c r="B1651">
        <f>Skills!B23</f>
        <v/>
      </c>
      <c r="C1651">
        <f>Inputs!$B$3&gt;=120</f>
        <v/>
      </c>
      <c r="D1651">
        <f>IF(Skills!C23=1,60+Inputs!$B$25+Inputs!$B$29,IF(Skills!C23=2,90+Inputs!$B$26+Inputs!$B$29,IF(Skills!C23=3,120+Inputs!$B$27+Inputs!$B$29,MAX(0,(Inputs!$B$3-100)*3)+Inputs!$B$28+Inputs!$B$29)))</f>
        <v/>
      </c>
      <c r="E1651">
        <f>INDEX(FactorTable!$B$2:$Y$301, MATCH(ROUND(MIN(300,MAX(1,D1651)),0), FactorTable!$A$2:$A$301,0), Skills!L23+1)</f>
        <v/>
      </c>
      <c r="F1651">
        <f>IF(Skills!M23=TRUE,(Skills!K23/10)*(E1651/1000),Skills!K23/10)+Skills!N23</f>
        <v/>
      </c>
      <c r="G1651">
        <f>Calc!G23</f>
        <v/>
      </c>
      <c r="H1651">
        <f>Calc!H23</f>
        <v/>
      </c>
      <c r="I1651">
        <f>IF(Skills!T23&lt;&gt;"",1+(Skills!T23/10)*(Z1631/1000)/100,1)</f>
        <v/>
      </c>
      <c r="J1651" t="inlineStr"/>
      <c r="K1651" t="inlineStr"/>
      <c r="L1651" t="inlineStr"/>
      <c r="M1651" t="inlineStr"/>
      <c r="N1651" t="inlineStr"/>
      <c r="O1651">
        <f>(1-Summary!$B$11)*S1651+Summary!$B$11*U1651</f>
        <v/>
      </c>
      <c r="P1651">
        <f>IF(B1665=0,0,O1651/B1665)</f>
        <v/>
      </c>
      <c r="Q1651">
        <f>IFERROR(1/(IF(Inputs!$B$38="pvp",15,MAX(0.1,Skills!D23-IF(TRUE=TRUE,Inputs!$B$32,0)))*(1-IF(AND(ArtifactsInput!$M$27,Inputs!$B$4="Chapter Hunt"),CHOOSE(ArtifactsInput!$N$27+1,20,24,28,32,36,40),0)/100)),0)</f>
        <v/>
      </c>
      <c r="R1651" t="n">
        <v>0</v>
      </c>
      <c r="S1651" t="n">
        <v>0</v>
      </c>
      <c r="U1651" t="n">
        <v>0</v>
      </c>
    </row>
    <row r="1652">
      <c r="A1652">
        <f>Skills!A24</f>
        <v/>
      </c>
      <c r="B1652">
        <f>Skills!B24</f>
        <v/>
      </c>
      <c r="C1652">
        <f>TRUE</f>
        <v/>
      </c>
      <c r="D1652">
        <f>IF(Skills!C24=1,60+Inputs!$B$25+Inputs!$B$29,IF(Skills!C24=2,90+Inputs!$B$26+Inputs!$B$29,IF(Skills!C24=3,120+Inputs!$B$27+Inputs!$B$29,MAX(0,(Inputs!$B$3-100)*3)+Inputs!$B$28+Inputs!$B$29)))</f>
        <v/>
      </c>
      <c r="E1652">
        <f>INDEX(FactorTable!$B$2:$Y$301, MATCH(ROUND(MIN(300,MAX(1,D1652)),0), FactorTable!$A$2:$A$301,0), Skills!L24+1)</f>
        <v/>
      </c>
      <c r="F1652">
        <f>IF(Skills!M24=TRUE,(Skills!K24/10)*(E1652/1000),Skills!K24/10)+Skills!N24</f>
        <v/>
      </c>
      <c r="G1652">
        <f>Calc!G24</f>
        <v/>
      </c>
      <c r="H1652">
        <f>Calc!H24</f>
        <v/>
      </c>
      <c r="I1652">
        <f>IF(Skills!T24&lt;&gt;"",1+(Skills!T24/10)*(Z1631/1000)/100,1)</f>
        <v/>
      </c>
      <c r="J1652" t="inlineStr"/>
      <c r="K1652" t="inlineStr"/>
      <c r="L1652" t="inlineStr"/>
      <c r="M1652" t="inlineStr"/>
      <c r="N1652" t="inlineStr"/>
      <c r="O1652">
        <f>(1-Summary!$B$11)*S1652+Summary!$B$11*U1652</f>
        <v/>
      </c>
      <c r="P1652">
        <f>IF(B1665=0,0,O1652/B1665)</f>
        <v/>
      </c>
      <c r="Q1652">
        <f>IFERROR(1/(IF(Inputs!$B$38="pvp",15,MAX(0.1,Skills!D24-IF(TRUE=TRUE,Inputs!$B$32,0)))*(1-IF(AND(ArtifactsInput!$M$27,Inputs!$B$4="Chapter Hunt"),CHOOSE(ArtifactsInput!$N$27+1,20,24,28,32,36,40),0)/100)),0)</f>
        <v/>
      </c>
      <c r="R1652">
        <f>IF(AND(Inputs!$B$38&lt;&gt;"pvp",Inputs!$B$43&gt;0),IF(Inputs!$B$43&lt;=0,0,(INT(Inputs!$B$43/(IF(Inputs!$B$38="pvp",15,MAX(0.1,Skills!D24-IF(TRUE=TRUE,Inputs!$B$32,0)))*(1-IF(AND(ArtifactsInput!$M$27,Inputs!$B$4="Chapter Hunt"),CHOOSE(ArtifactsInput!$N$27+1,20,24,28,32,36,40),0)/100)))+1)),0)</f>
        <v/>
      </c>
      <c r="S1652" t="n">
        <v>0</v>
      </c>
      <c r="U1652" t="n">
        <v>0</v>
      </c>
    </row>
    <row r="1655">
      <c r="A1655" t="inlineStr">
        <is>
          <t>Average Buff Multiplier (Magic Guard + Meditation + Artifact Attack%, summed; then Infinity)</t>
        </is>
      </c>
      <c r="B1655">
        <f>(1+(IF(C1631=TRUE,F1631*IF(AND(Inputs!$B$38&lt;&gt;"pvp",Inputs!$B$43&gt;0),(((R1631-1)*MIN((Skills!S3*(1+(Inputs!$B$34)/100)),(1/Q1631))+MIN((Skills!S3*(1+(Inputs!$B$34)/100)),MAX(0,Inputs!$B$43-((R1631-1)*(1/Q1631)))))/Inputs!$B$43),IF(Inputs!$B$38="pvp",MIN((Skills!S3*(1+(Inputs!$B$34)/100)),15)/15,MIN(1,(Skills!S3*(1+(Inputs!$B$34)/100))/(1/Q1631)))),0)+IF(C1632=TRUE,F1632*IF(AND(Inputs!$B$38&lt;&gt;"pvp",Inputs!$B$43&gt;0),(((R1632-1)*MIN((Skills!S4*(1+(Inputs!$B$34)/100)),(1/Q1632))+MIN((Skills!S4*(1+(Inputs!$B$34)/100)),MAX(0,Inputs!$B$43-((R1632-1)*(1/Q1632)))))/Inputs!$B$43),IF(Inputs!$B$38="pvp",MIN((Skills!S4*(1+(Inputs!$B$34)/100)),15)/15,MIN(1,(Skills!S4*(1+(Inputs!$B$34)/100))/(1/Q1632)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1644=TRUE,(1+F1644*IF(AND(Inputs!$B$38&lt;&gt;"pvp",Inputs!$B$43&gt;0),(((R1644-1)*MIN((Skills!S16*(1+(Inputs!$B$34)/100)),(1/Q1644))+MIN((Skills!S16*(1+(Inputs!$B$34)/100)),MAX(0,Inputs!$B$43-((R1644-1)*(1/Q1644)))))/Inputs!$B$43),IF(Inputs!$B$38="pvp",MIN((Skills!S16*(1+(Inputs!$B$34)/100)),15)/15,MIN(1,(Skills!S16*(1+(Inputs!$B$34)/100))/(1/Q1644))))/100),1)</f>
        <v/>
      </c>
    </row>
    <row r="1656">
      <c r="A1656" t="inlineStr">
        <is>
          <t>Monster Damage Taken Bonus % (Freezing Breath - Weaken + Elemental Reset + Artifact Enemy Damage Taken, summed)</t>
        </is>
      </c>
      <c r="B1656">
        <f>IF(Inputs!$B$3&gt;=118,15*IF(Inputs!$B$38="pvp",MIN((30*(1+(Inputs!$B$34)/100)),15)/15,MIN(1,(30*(1+(Inputs!$B$34)/100))/(1/Q1636))),0)+IF(C1642=TRUE,F1642,0)+(IF(AND(ArtifactsInput!$M$35,Inputs!$B$4&lt;&gt;"Chapter Hunt"),CHOOSE(ArtifactsInput!$N$35+1,15,18,21,24,27,30)*(1-EXP(-(0.2*B1659)*5)),0)+IF(AND(ArtifactsInput!$M$22,Inputs!$B$4&lt;&gt;"Chapter Hunt"),CHOOSE(ArtifactsInput!$N$22+1,10,12,14,16,18,20)*((0*(((0.15*B1659*5))^0/1)+1*(((0.15*B1659*5))^1/1)+2*(((0.15*B1659*5))^2/2)+3*(((0.15*B1659*5))^3/6)+4*(((0.15*B1659*5))^4/24)+5*(((0.15*B1659*5))^5/120))/((((0.15*B1659*5))^0/1)+(((0.15*B1659*5))^1/1)+(((0.15*B1659*5))^2/2)+(((0.15*B1659*5))^3/6)+(((0.15*B1659*5))^4/24)+(((0.15*B1659*5))^5/120))),0))</f>
        <v/>
      </c>
    </row>
    <row r="1657">
      <c r="A1657" t="inlineStr">
        <is>
          <t>Damage % Bonus (Frozen Break + Frost Clutch, flat)</t>
        </is>
      </c>
      <c r="B1657">
        <f>IF(Inputs!$B$3&gt;=66,15,0)+IF(Inputs!$B$3&gt;=98,10,0)+IF(Inputs!$B$3&gt;=125,20,0)</f>
        <v/>
      </c>
    </row>
    <row r="1658">
      <c r="A1658" t="inlineStr">
        <is>
          <t>Attack Speed Bonus % (MP Eater - MP Boost, always-on + Nimble Feet, duty-cycle averaged)</t>
        </is>
      </c>
      <c r="B1658">
        <f>IF(C1641=TRUE,F1641+(F1645-Calc!F17),0)+((C1652=TRUE)*F1652*IF(AND(Inputs!$B$38&lt;&gt;"pvp",Inputs!$B$43&gt;0),(((R1652-1)*MIN((Skills!S24*(1+(Inputs!$B$34)/100)),(1/Q1652))+MIN((Skills!S24*(1+(Inputs!$B$34)/100)),MAX(0,Inputs!$B$43-((R1652-1)*(1/Q1652)))))/Inputs!$B$43),IF(Inputs!$B$38="pvp",MIN((Skills!S24*(1+(Inputs!$B$34)/100)),15)/15,MIN(1,(Skills!S24*(1+(Inputs!$B$34)/100))/(1/Q1652)))))</f>
        <v/>
      </c>
    </row>
    <row r="1659">
      <c r="A1659" t="inlineStr">
        <is>
          <t>Actions Per Second</t>
        </is>
      </c>
      <c r="B1659">
        <f>1+MIN(150,150*(1-(1-(Inputs!$B$11+(ArtifactsInput!$M$15-ArtifactsInput!$M$15)*CHOOSE(ArtifactsInput!$N$15+1,8,9.6,11.2,12.8,14.4,16))/150)*(1-B1658/150)))/100</f>
        <v/>
      </c>
    </row>
    <row r="1660">
      <c r="A1660" t="inlineStr">
        <is>
          <t>Skill + Buff Cast Rate</t>
        </is>
      </c>
      <c r="B1660">
        <f>IF(AND(Inputs!$B$38&lt;&gt;"pvp",Inputs!$B$43&gt;0),SUMPRODUCT((Skills!E2:E24=TRUE)*(C1630:C1652=TRUE)*R1630:R1652)/Inputs!$B$43,SUMPRODUCT((Skills!E2:E24=TRUE)*(C1630:C1652=TRUE)*Q1630:Q1652))</f>
        <v/>
      </c>
    </row>
    <row r="1661">
      <c r="A1661" t="inlineStr">
        <is>
          <t>Chain Lightning Casts Per Second</t>
        </is>
      </c>
      <c r="B1661">
        <f>MAX(0,B1659-B1660)</f>
        <v/>
      </c>
    </row>
    <row r="1662">
      <c r="A1662" t="inlineStr">
        <is>
          <t>Buff-Casting Startup Delay (s, fixed-duration only)</t>
        </is>
      </c>
      <c r="B1662">
        <f>IF(AND(Inputs!$B$38&lt;&gt;"pvp",Inputs!$B$43&gt;0),SUMPRODUCT((Skills!S2:S24&gt;0)*(Skills!E2:E24=TRUE)*(C1630:C1652=TRUE))/B1659,0)</f>
        <v/>
      </c>
    </row>
    <row r="1663">
      <c r="A1663" t="inlineStr">
        <is>
          <t>Boss-Only Total DPS (this block's swept value)</t>
        </is>
      </c>
      <c r="B1663">
        <f>SUM(S1630:S1652)</f>
        <v/>
      </c>
    </row>
    <row r="1664">
      <c r="A1664" t="inlineStr">
        <is>
          <t>Normal-Only Total DPS (this block's swept value)</t>
        </is>
      </c>
      <c r="B1664">
        <f>SUM(U1630:U1652)</f>
        <v/>
      </c>
    </row>
    <row r="1665">
      <c r="A1665" s="6" t="inlineStr">
        <is>
          <t>TOTAL DPS</t>
        </is>
      </c>
      <c r="B1665" s="6">
        <f>SUM(O1630:O1652)</f>
        <v/>
      </c>
    </row>
    <row r="1666">
      <c r="A1666" t="inlineStr">
        <is>
          <t>Blizzard Final Attack trigger rate (this block's own Q/R)</t>
        </is>
      </c>
      <c r="B1666">
        <f>IF(AND(Inputs!$B$38&lt;&gt;"pvp",Inputs!$B$43&gt;0),(((C1633=TRUE)*R1633*1)+((C1634=TRUE)*R1634*1)+((C1636=TRUE)*R1636*1)+((C1637=TRUE)*R1637*3)+((C1639=TRUE)*R1639*1))/Inputs!$B$43,((C1633=TRUE)*Q1633*1)+((C1634=TRUE)*Q1634*1)+((C1636=TRUE)*Q1636*1)+((C1637=TRUE)*Q1637*3)+((C1639=TRUE)*Q1639*1))+B1661</f>
        <v/>
      </c>
    </row>
    <row r="1669">
      <c r="A1669" s="6" t="inlineStr">
        <is>
          <t>Stat: Old Music Box (Equip)</t>
        </is>
      </c>
    </row>
    <row r="1670">
      <c r="A1670" s="5" t="inlineStr">
        <is>
          <t>Key</t>
        </is>
      </c>
      <c r="B1670" s="5" t="inlineStr">
        <is>
          <t>Name</t>
        </is>
      </c>
      <c r="C1670" s="5" t="inlineStr">
        <is>
          <t>Unlocked</t>
        </is>
      </c>
      <c r="D1670" s="5" t="inlineStr">
        <is>
          <t>InputLevel</t>
        </is>
      </c>
      <c r="E1670" s="5" t="inlineStr">
        <is>
          <t>Factor</t>
        </is>
      </c>
      <c r="F1670" s="5" t="inlineStr">
        <is>
          <t>CoefficientPercent</t>
        </is>
      </c>
      <c r="G1670" s="5" t="inlineStr">
        <is>
          <t>EffectiveHits</t>
        </is>
      </c>
      <c r="H1670" s="5" t="inlineStr">
        <is>
          <t>ProcProbability</t>
        </is>
      </c>
      <c r="I1670" s="5" t="inlineStr">
        <is>
          <t>MapleHeroMultiplier</t>
        </is>
      </c>
      <c r="J1670" s="5" t="inlineStr">
        <is>
          <t>BaseDamage</t>
        </is>
      </c>
      <c r="K1670" s="5" t="inlineStr">
        <is>
          <t>BaseHitDamage</t>
        </is>
      </c>
      <c r="L1670" s="5" t="inlineStr">
        <is>
          <t>NonCritAvg</t>
        </is>
      </c>
      <c r="M1670" s="5" t="inlineStr">
        <is>
          <t>CritAvg</t>
        </is>
      </c>
      <c r="N1670" s="5" t="inlineStr">
        <is>
          <t>ExpectedDamage(perHit)</t>
        </is>
      </c>
      <c r="O1670" s="5" t="inlineStr">
        <is>
          <t>DPS</t>
        </is>
      </c>
      <c r="P1670" s="5" t="inlineStr">
        <is>
          <t>% of Total</t>
        </is>
      </c>
      <c r="R1670" t="inlineStr">
        <is>
          <t>helpers</t>
        </is>
      </c>
    </row>
    <row r="1671">
      <c r="A1671">
        <f>Skills!A2</f>
        <v/>
      </c>
      <c r="B1671">
        <f>Skills!B2</f>
        <v/>
      </c>
      <c r="C1671">
        <f>Inputs!$B$3&gt;=100</f>
        <v/>
      </c>
      <c r="D1671" t="inlineStr"/>
      <c r="E1671" t="inlineStr"/>
      <c r="F1671">
        <f>T1673+Skills!N2</f>
        <v/>
      </c>
      <c r="G1671">
        <f>Calc!G2</f>
        <v/>
      </c>
      <c r="H1671">
        <f>Calc!H2</f>
        <v/>
      </c>
      <c r="I1671">
        <f>IF(Skills!T2&lt;&gt;"",1+(Skills!T2/10)*(Z1672/1000)/100,1)</f>
        <v/>
      </c>
      <c r="J1671">
        <f>((Inputs!$B$6*(1+Inputs!$B$7/100))+(((Inputs!$B$12*(1+Inputs!$B$13/100))-(Inputs!$B$12*(1+Inputs!$B$13/100)))+0.25*(Inputs!$B$14-Inputs!$B$14))*(1+Inputs!$B$7/100))*(F1671/100)</f>
        <v/>
      </c>
      <c r="K1671">
        <f>J1671*(1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2="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1671)</f>
        <v/>
      </c>
      <c r="L1671">
        <f>K1671*(MIN(Inputs!$B$22+(F1687-Calc!F18),(Inputs!$B$23+(IF(ArtifactsInput!$M$15,CHOOSE(ArtifactsInput!$N$15+1,25,30,35,40,45,50)/100*(Inputs!$B$11-Inputs!$B$11),0))))/100+(Inputs!$B$23+(IF(ArtifactsInput!$M$15,CHOOSE(ArtifactsInput!$N$15+1,25,30,35,40,45,50)/100*(Inputs!$B$11-Inputs!$B$11),0)))/100)/2</f>
        <v/>
      </c>
      <c r="M1671">
        <f>L1671*(1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1">
        <f>L1671*(1-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1">
        <f>(1-Summary!$B$11)*S1671+Summary!$B$11*U1671</f>
        <v/>
      </c>
      <c r="P1671">
        <f>IF(B1706=0,0,O1671/B1706)</f>
        <v/>
      </c>
      <c r="Q1671">
        <f>IFERROR(1/(IF(Inputs!$B$38="pvp",15,MAX(0.1,Skills!D2-IF(TRUE=TRUE,Inputs!$B$32,0)))*(1-IF(AND(ArtifactsInput!$M$27,Inputs!$B$4="Chapter Hunt"),CHOOSE(ArtifactsInput!$N$27+1,20,24,28,32,36,40),0)/100)),0)</f>
        <v/>
      </c>
      <c r="R1671" t="n">
        <v>0</v>
      </c>
      <c r="S1671">
        <f>IF(C1671,(Skills!F2*N1671*B1702)*IF(Inputs!$B$38="pvp",1,1+(Inputs!$B$20+Skills!O2+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1671*(1-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671">
        <f>MAX(0,(Inputs!$B$3-100)*3)+Inputs!$B$28+Inputs!$B$29</f>
        <v/>
      </c>
      <c r="U1671">
        <f>IF(C1671,(Skills!F2*N1671*B1702)*IF(Inputs!$B$38="pvp",1,(1+(Inputs!$B$21+Skills!P2+B1697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671">
        <f>MAX(0,(Inputs!$B$3-100)*3)+Inputs!$B$28+Inputs!$B$29</f>
        <v/>
      </c>
    </row>
    <row r="1672">
      <c r="A1672">
        <f>Skills!A3</f>
        <v/>
      </c>
      <c r="B1672">
        <f>Skills!B3</f>
        <v/>
      </c>
      <c r="C1672">
        <f>Inputs!$B$3&gt;=15</f>
        <v/>
      </c>
      <c r="D1672">
        <f>IF(Skills!C3=1,60+Inputs!$B$25+Inputs!$B$29,IF(Skills!C3=2,90+Inputs!$B$26+Inputs!$B$29,IF(Skills!C3=3,120+Inputs!$B$27+Inputs!$B$29,MAX(0,(Inputs!$B$3-100)*3)+Inputs!$B$28+Inputs!$B$29)))</f>
        <v/>
      </c>
      <c r="E1672">
        <f>INDEX(FactorTable!$B$2:$Y$301, MATCH(ROUND(MIN(300,MAX(1,D1672)),0), FactorTable!$A$2:$A$301,0), Skills!L3+1)</f>
        <v/>
      </c>
      <c r="F1672">
        <f>IF(Skills!M3=TRUE,(Skills!K3/10)*(E1672/1000),Skills!K3/10)+Skills!N3</f>
        <v/>
      </c>
      <c r="G1672">
        <f>Calc!G3</f>
        <v/>
      </c>
      <c r="H1672">
        <f>Calc!H3</f>
        <v/>
      </c>
      <c r="I1672">
        <f>IF(Skills!T3&lt;&gt;"",1+(Skills!T3/10)*(Z1672/1000)/100,1)</f>
        <v/>
      </c>
      <c r="J1672" t="inlineStr"/>
      <c r="K1672" t="inlineStr"/>
      <c r="L1672" t="inlineStr"/>
      <c r="M1672" t="inlineStr"/>
      <c r="N1672" t="inlineStr"/>
      <c r="O1672">
        <f>(1-Summary!$B$11)*S1672+Summary!$B$11*U1672</f>
        <v/>
      </c>
      <c r="P1672">
        <f>IF(B1706=0,0,O1672/B1706)</f>
        <v/>
      </c>
      <c r="Q1672">
        <f>IFERROR(1/(IF(Inputs!$B$38="pvp",15,MAX(0.1,Skills!D3-IF(TRUE=TRUE,Inputs!$B$32,0)))*(1-IF(AND(ArtifactsInput!$M$27,Inputs!$B$4="Chapter Hunt"),CHOOSE(ArtifactsInput!$N$27+1,20,24,28,32,36,40),0)/100)),0)</f>
        <v/>
      </c>
      <c r="R1672">
        <f>IF(AND(Inputs!$B$38&lt;&gt;"pvp",Inputs!$B$43&gt;0),IF(Inputs!$B$43&lt;=0,0,(INT(Inputs!$B$43/(IF(Inputs!$B$38="pvp",15,MAX(0.1,Skills!D3-IF(TRUE=TRUE,Inputs!$B$32,0)))*(1-IF(AND(ArtifactsInput!$M$27,Inputs!$B$4="Chapter Hunt"),CHOOSE(ArtifactsInput!$N$27+1,20,24,28,32,36,40),0)/100)))+1)),0)</f>
        <v/>
      </c>
      <c r="S1672" t="n">
        <v>0</v>
      </c>
      <c r="T1672">
        <f>INDEX(FactorTable!$B$2:$Y$301, MATCH(ROUND(MIN(300,MAX(1,T1671)),0), FactorTable!$A$2:$A$301,0), 22)</f>
        <v/>
      </c>
      <c r="U1672" t="n">
        <v>0</v>
      </c>
      <c r="Z1672">
        <f>INDEX(FactorTable!$B$2:$Y$301, MATCH(ROUND(MIN(300,MAX(1,Z1671)),0), FactorTable!$A$2:$A$301,0), 24)</f>
        <v/>
      </c>
    </row>
    <row r="1673">
      <c r="A1673">
        <f>Skills!A4</f>
        <v/>
      </c>
      <c r="B1673">
        <f>Skills!B4</f>
        <v/>
      </c>
      <c r="C1673">
        <f>Inputs!$B$3&gt;=40</f>
        <v/>
      </c>
      <c r="D1673">
        <f>IF(Skills!C4=1,60+Inputs!$B$25+Inputs!$B$29,IF(Skills!C4=2,90+Inputs!$B$26+Inputs!$B$29,IF(Skills!C4=3,120+Inputs!$B$27+Inputs!$B$29,MAX(0,(Inputs!$B$3-100)*3)+Inputs!$B$28+Inputs!$B$29)))</f>
        <v/>
      </c>
      <c r="E1673">
        <f>INDEX(FactorTable!$B$2:$Y$301, MATCH(ROUND(MIN(300,MAX(1,D1673)),0), FactorTable!$A$2:$A$301,0), Skills!L4+1)</f>
        <v/>
      </c>
      <c r="F1673">
        <f>IF(Skills!M4=TRUE,(Skills!K4/10)*(E1673/1000),Skills!K4/10)+Skills!N4</f>
        <v/>
      </c>
      <c r="G1673">
        <f>Calc!G4</f>
        <v/>
      </c>
      <c r="H1673">
        <f>Calc!H4</f>
        <v/>
      </c>
      <c r="I1673">
        <f>IF(Skills!T4&lt;&gt;"",1+(Skills!T4/10)*(Z1672/1000)/100,1)</f>
        <v/>
      </c>
      <c r="J1673" t="inlineStr"/>
      <c r="K1673" t="inlineStr"/>
      <c r="L1673" t="inlineStr"/>
      <c r="M1673" t="inlineStr"/>
      <c r="N1673" t="inlineStr"/>
      <c r="O1673">
        <f>(1-Summary!$B$11)*S1673+Summary!$B$11*U1673</f>
        <v/>
      </c>
      <c r="P1673">
        <f>IF(B1706=0,0,O1673/B1706)</f>
        <v/>
      </c>
      <c r="Q1673">
        <f>IFERROR(1/(IF(Inputs!$B$38="pvp",15,MAX(0.1,Skills!D4-IF(TRUE=TRUE,Inputs!$B$32,0)))*(1-IF(AND(ArtifactsInput!$M$27,Inputs!$B$4="Chapter Hunt"),CHOOSE(ArtifactsInput!$N$27+1,20,24,28,32,36,40),0)/100)),0)</f>
        <v/>
      </c>
      <c r="R1673">
        <f>IF(AND(Inputs!$B$38&lt;&gt;"pvp",Inputs!$B$43&gt;0),IF(Inputs!$B$43&lt;=0,0,(INT(Inputs!$B$43/(IF(Inputs!$B$38="pvp",15,MAX(0.1,Skills!D4-IF(TRUE=TRUE,Inputs!$B$32,0)))*(1-IF(AND(ArtifactsInput!$M$27,Inputs!$B$4="Chapter Hunt"),CHOOSE(ArtifactsInput!$N$27+1,20,24,28,32,36,40),0)/100)))+1)),0)</f>
        <v/>
      </c>
      <c r="S1673" t="n">
        <v>0</v>
      </c>
      <c r="T1673">
        <f>290*T1672/1000</f>
        <v/>
      </c>
      <c r="U1673" t="n">
        <v>0</v>
      </c>
    </row>
    <row r="1674">
      <c r="A1674">
        <f>Skills!A5</f>
        <v/>
      </c>
      <c r="B1674">
        <f>Skills!B5</f>
        <v/>
      </c>
      <c r="C1674">
        <f>Inputs!$B$3&gt;=38</f>
        <v/>
      </c>
      <c r="D1674">
        <f>IF(Skills!C5=1,60+Inputs!$B$25+Inputs!$B$29,IF(Skills!C5=2,90+Inputs!$B$26+Inputs!$B$29,IF(Skills!C5=3,120+Inputs!$B$27+Inputs!$B$29,MAX(0,(Inputs!$B$3-100)*3)+Inputs!$B$28+Inputs!$B$29)))</f>
        <v/>
      </c>
      <c r="E1674">
        <f>INDEX(FactorTable!$B$2:$Y$301, MATCH(ROUND(MIN(300,MAX(1,D1674)),0), FactorTable!$A$2:$A$301,0), Skills!L5+1)</f>
        <v/>
      </c>
      <c r="F1674">
        <f>IF(Skills!M5=TRUE,(Skills!K5/10)*(E1674/1000),Skills!K5/10)+Skills!N5</f>
        <v/>
      </c>
      <c r="G1674">
        <f>Calc!G5</f>
        <v/>
      </c>
      <c r="H1674">
        <f>Calc!H5</f>
        <v/>
      </c>
      <c r="I1674">
        <f>IF(Skills!T5&lt;&gt;"",1+(Skills!T5/10)*(Z1672/1000)/100,1)</f>
        <v/>
      </c>
      <c r="J1674">
        <f>((Inputs!$B$6*(1+Inputs!$B$7/100))+(((Inputs!$B$12*(1+Inputs!$B$13/100))-(Inputs!$B$12*(1+Inputs!$B$13/100)))+0.25*(Inputs!$B$14-Inputs!$B$14))*(1+Inputs!$B$7/100))*(F1674/100)</f>
        <v/>
      </c>
      <c r="K1674">
        <f>J1674*(1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5="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1674)</f>
        <v/>
      </c>
      <c r="L1674">
        <f>K1674*(MIN(Inputs!$B$22+(F1687-Calc!F18),(Inputs!$B$23+(IF(ArtifactsInput!$M$15,CHOOSE(ArtifactsInput!$N$15+1,25,30,35,40,45,50)/100*(Inputs!$B$11-Inputs!$B$11),0))))/100+(Inputs!$B$23+(IF(ArtifactsInput!$M$15,CHOOSE(ArtifactsInput!$N$15+1,25,30,35,40,45,50)/100*(Inputs!$B$11-Inputs!$B$11),0)))/100)/2</f>
        <v/>
      </c>
      <c r="M1674">
        <f>L1674*(1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4">
        <f>L1674*(1-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1674*(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4">
        <f>(1-Summary!$B$11)*S1674+Summary!$B$11*U1674</f>
        <v/>
      </c>
      <c r="P1674">
        <f>IF(B1706=0,0,O1674/B1706)</f>
        <v/>
      </c>
      <c r="Q1674">
        <f>IFERROR(1/(IF(Inputs!$B$38="pvp",15,MAX(0.1,Skills!D5-IF(TRUE=TRUE,Inputs!$B$32,0)))*(1-IF(AND(ArtifactsInput!$M$27,Inputs!$B$4="Chapter Hunt"),CHOOSE(ArtifactsInput!$N$27+1,20,24,28,32,36,40),0)/100)),0)</f>
        <v/>
      </c>
      <c r="R1674">
        <f>IF(AND(Inputs!$B$38&lt;&gt;"pvp",Inputs!$B$43&gt;0),IF(MAX(0,Inputs!$B$43-B1703)&lt;=0,0,(INT(MAX(0,Inputs!$B$43-B1703)/(IF(Inputs!$B$38="pvp",15,MAX(0.1,Skills!D5-IF(TRUE=TRUE,Inputs!$B$32,0)))*(1-IF(AND(ArtifactsInput!$M$27,Inputs!$B$4="Chapter Hunt"),CHOOSE(ArtifactsInput!$N$27+1,20,24,28,32,36,40),0)/100)))+1)),0)</f>
        <v/>
      </c>
      <c r="S1674">
        <f>IF(C1674,(H1674*N1674*IF(AND(Inputs!$B$38&lt;&gt;"pvp",Inputs!$B$43&gt;0),((Skills!F5*((R1674-1)*IF(Skills!G5&gt;0,Skills!H5/Skills!G5,1)+IF(Skills!G5&gt;0,MIN(Skills!H5,MAX(0,MAX(0,Inputs!$B$43-B1703)-((R1674-1)*(IF(Inputs!$B$38="pvp",15,MAX(0.1,Skills!D5-IF(TRUE=TRUE,Inputs!$B$32,0)))*(1-IF(AND(ArtifactsInput!$M$27,Inputs!$B$4="Chapter Hunt"),CHOOSE(ArtifactsInput!$N$27+1,20,24,28,32,36,40),0)/100)))))/Skills!G5,1)))/Inputs!$B$43),G1674*Q1674))*IF(Inputs!$B$38="pvp",1,1+(Inputs!$B$20+Skills!O5+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1674*(1-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1674*(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1674*(1-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1674*(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4">
        <f>IF(C1674,(H1674*N1674*IF(AND(Inputs!$B$38&lt;&gt;"pvp",Inputs!$B$43&gt;0),((Skills!F5*((R1674-1)*IF(Skills!G5&gt;0,Skills!H5/Skills!G5,1)+IF(Skills!G5&gt;0,MIN(Skills!H5,MAX(0,MAX(0,Inputs!$B$43-B1703)-((R1674-1)*(IF(Inputs!$B$38="pvp",15,MAX(0.1,Skills!D5-IF(TRUE=TRUE,Inputs!$B$32,0)))*(1-IF(AND(ArtifactsInput!$M$27,Inputs!$B$4="Chapter Hunt"),CHOOSE(ArtifactsInput!$N$27+1,20,24,28,32,36,40),0)/100)))))/Skills!G5,1)))/Inputs!$B$43),G1674*Q1674))*IF(Inputs!$B$38="pvp",1,(1+(Inputs!$B$21+Skills!P5+B1697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5">
      <c r="A1675">
        <f>Skills!A6</f>
        <v/>
      </c>
      <c r="B1675">
        <f>Skills!B6</f>
        <v/>
      </c>
      <c r="C1675">
        <f>Inputs!$B$3&gt;=63</f>
        <v/>
      </c>
      <c r="D1675">
        <f>IF(Skills!C6=1,60+Inputs!$B$25+Inputs!$B$29,IF(Skills!C6=2,90+Inputs!$B$26+Inputs!$B$29,IF(Skills!C6=3,120+Inputs!$B$27+Inputs!$B$29,MAX(0,(Inputs!$B$3-100)*3)+Inputs!$B$28+Inputs!$B$29)))</f>
        <v/>
      </c>
      <c r="E1675">
        <f>INDEX(FactorTable!$B$2:$Y$301, MATCH(ROUND(MIN(300,MAX(1,D1675)),0), FactorTable!$A$2:$A$301,0), Skills!L6+1)</f>
        <v/>
      </c>
      <c r="F1675">
        <f>IF(Skills!M6=TRUE,(Skills!K6/10)*(E1675/1000),Skills!K6/10)+Skills!N6</f>
        <v/>
      </c>
      <c r="G1675">
        <f>Calc!G6</f>
        <v/>
      </c>
      <c r="H1675">
        <f>Calc!H6</f>
        <v/>
      </c>
      <c r="I1675">
        <f>IF(Skills!T6&lt;&gt;"",1+(Skills!T6/10)*(Z1672/1000)/100,1)</f>
        <v/>
      </c>
      <c r="J1675">
        <f>((Inputs!$B$6*(1+Inputs!$B$7/100))+(((Inputs!$B$12*(1+Inputs!$B$13/100))-(Inputs!$B$12*(1+Inputs!$B$13/100)))+0.25*(Inputs!$B$14-Inputs!$B$14))*(1+Inputs!$B$7/100))*(F1675/100)</f>
        <v/>
      </c>
      <c r="K1675">
        <f>J1675*(1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6="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1675)</f>
        <v/>
      </c>
      <c r="L1675">
        <f>K1675*(MIN(Inputs!$B$22+(F1687-Calc!F18),(Inputs!$B$23+(IF(ArtifactsInput!$M$15,CHOOSE(ArtifactsInput!$N$15+1,25,30,35,40,45,50)/100*(Inputs!$B$11-Inputs!$B$11),0))))/100+(Inputs!$B$23+(IF(ArtifactsInput!$M$15,CHOOSE(ArtifactsInput!$N$15+1,25,30,35,40,45,50)/100*(Inputs!$B$11-Inputs!$B$11),0)))/100)/2</f>
        <v/>
      </c>
      <c r="M1675">
        <f>L1675*(1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5">
        <f>L1675*(1-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1675*(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5">
        <f>(1-Summary!$B$11)*S1675+Summary!$B$11*U1675</f>
        <v/>
      </c>
      <c r="P1675">
        <f>IF(B1706=0,0,O1675/B1706)</f>
        <v/>
      </c>
      <c r="Q1675">
        <f>IFERROR(1/(IF(Inputs!$B$38="pvp",15,MAX(0.1,Skills!D6-IF(TRUE=TRUE,Inputs!$B$32,0)))*(1-IF(AND(ArtifactsInput!$M$27,Inputs!$B$4="Chapter Hunt"),CHOOSE(ArtifactsInput!$N$27+1,20,24,28,32,36,40),0)/100)),0)</f>
        <v/>
      </c>
      <c r="R1675">
        <f>IF(AND(Inputs!$B$38&lt;&gt;"pvp",Inputs!$B$43&gt;0),IF(MAX(0,Inputs!$B$43-B1703)&lt;=0,0,(INT(MAX(0,Inputs!$B$43-B1703)/(IF(Inputs!$B$38="pvp",15,MAX(0.1,Skills!D6-IF(TRUE=TRUE,Inputs!$B$32,0)))*(1-IF(AND(ArtifactsInput!$M$27,Inputs!$B$4="Chapter Hunt"),CHOOSE(ArtifactsInput!$N$27+1,20,24,28,32,36,40),0)/100)))+1)),0)</f>
        <v/>
      </c>
      <c r="S1675">
        <f>IF(C1675,(H1675*N1675*IF(AND(Inputs!$B$38&lt;&gt;"pvp",Inputs!$B$43&gt;0),((Skills!F6*((R1675-1)*IF(Skills!G6&gt;0,Skills!H6/Skills!G6,1)+IF(Skills!G6&gt;0,MIN(Skills!H6,MAX(0,MAX(0,Inputs!$B$43-B1703)-((R1675-1)*(IF(Inputs!$B$38="pvp",15,MAX(0.1,Skills!D6-IF(TRUE=TRUE,Inputs!$B$32,0)))*(1-IF(AND(ArtifactsInput!$M$27,Inputs!$B$4="Chapter Hunt"),CHOOSE(ArtifactsInput!$N$27+1,20,24,28,32,36,40),0)/100)))))/Skills!G6,1)))/Inputs!$B$43),G1675*Q1675))*IF(Inputs!$B$38="pvp",1,1+(Inputs!$B$20+Skills!O6+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1675*(1-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1675*(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1675*(1-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1675*(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5">
        <f>IF(C1675,(H1675*N1675*IF(AND(Inputs!$B$38&lt;&gt;"pvp",Inputs!$B$43&gt;0),((Skills!F6*((R1675-1)*IF(Skills!G6&gt;0,Skills!H6/Skills!G6,1)+IF(Skills!G6&gt;0,MIN(Skills!H6,MAX(0,MAX(0,Inputs!$B$43-B1703)-((R1675-1)*(IF(Inputs!$B$38="pvp",15,MAX(0.1,Skills!D6-IF(TRUE=TRUE,Inputs!$B$32,0)))*(1-IF(AND(ArtifactsInput!$M$27,Inputs!$B$4="Chapter Hunt"),CHOOSE(ArtifactsInput!$N$27+1,20,24,28,32,36,40),0)/100)))))/Skills!G6,1)))/Inputs!$B$43),G1675*Q1675))*IF(Inputs!$B$38="pvp",1,(1+(Inputs!$B$21+Skills!P6+B1697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6">
      <c r="A1676">
        <f>Skills!A7</f>
        <v/>
      </c>
      <c r="B1676">
        <f>Skills!B7</f>
        <v/>
      </c>
      <c r="C1676">
        <f>Inputs!$B$3&gt;=69</f>
        <v/>
      </c>
      <c r="D1676">
        <f>IF(Skills!C7=1,60+Inputs!$B$25+Inputs!$B$29,IF(Skills!C7=2,90+Inputs!$B$26+Inputs!$B$29,IF(Skills!C7=3,120+Inputs!$B$27+Inputs!$B$29,MAX(0,(Inputs!$B$3-100)*3)+Inputs!$B$28+Inputs!$B$29)))</f>
        <v/>
      </c>
      <c r="E1676">
        <f>INDEX(FactorTable!$B$2:$Y$301, MATCH(ROUND(MIN(300,MAX(1,D1676)),0), FactorTable!$A$2:$A$301,0), Skills!L7+1)</f>
        <v/>
      </c>
      <c r="F1676">
        <f>IF(Skills!M7=TRUE,(Skills!K7/10)*(E1676/1000),Skills!K7/10)+Skills!N7</f>
        <v/>
      </c>
      <c r="G1676">
        <f>Calc!G7</f>
        <v/>
      </c>
      <c r="H1676">
        <f>Calc!H7</f>
        <v/>
      </c>
      <c r="I1676">
        <f>IF(Skills!T7&lt;&gt;"",1+(Skills!T7/10)*(Z1672/1000)/100,1)</f>
        <v/>
      </c>
      <c r="J1676">
        <f>((Inputs!$B$6*(1+Inputs!$B$7/100))+(((Inputs!$B$12*(1+Inputs!$B$13/100))-(Inputs!$B$12*(1+Inputs!$B$13/100)))+0.25*(Inputs!$B$14-Inputs!$B$14))*(1+Inputs!$B$7/100))*(F1676/100)</f>
        <v/>
      </c>
      <c r="K1676">
        <f>J1676*(1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7="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1676)</f>
        <v/>
      </c>
      <c r="L1676">
        <f>K1676*(MIN(Inputs!$B$22+(F1687-Calc!F18),(Inputs!$B$23+(IF(ArtifactsInput!$M$15,CHOOSE(ArtifactsInput!$N$15+1,25,30,35,40,45,50)/100*(Inputs!$B$11-Inputs!$B$11),0))))/100+(Inputs!$B$23+(IF(ArtifactsInput!$M$15,CHOOSE(ArtifactsInput!$N$15+1,25,30,35,40,45,50)/100*(Inputs!$B$11-Inputs!$B$11),0)))/100)/2</f>
        <v/>
      </c>
      <c r="M1676">
        <f>L1676*(1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6">
        <f>L1676*(1-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1676*(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6">
        <f>(1-Summary!$B$11)*S1676+Summary!$B$11*U1676</f>
        <v/>
      </c>
      <c r="P1676">
        <f>IF(B1706=0,0,O1676/B1706)</f>
        <v/>
      </c>
      <c r="Q1676">
        <f>IFERROR(1/(IF(Inputs!$B$38="pvp",15,MAX(0.1,Skills!D7-IF(TRUE=TRUE,Inputs!$B$32,0)))*(1-IF(AND(ArtifactsInput!$M$27,Inputs!$B$4="Chapter Hunt"),CHOOSE(ArtifactsInput!$N$27+1,20,24,28,32,36,40),0)/100)),0)</f>
        <v/>
      </c>
      <c r="R1676">
        <f>IF(AND(Inputs!$B$38&lt;&gt;"pvp",Inputs!$B$43&gt;0),IF(MAX(0,Inputs!$B$43-B1703)&lt;=0,0,(INT(MAX(0,Inputs!$B$43-B1703)/(IF(Inputs!$B$38="pvp",15,MAX(0.1,Skills!D7-IF(TRUE=TRUE,Inputs!$B$32,0)))*(1-IF(AND(ArtifactsInput!$M$27,Inputs!$B$4="Chapter Hunt"),CHOOSE(ArtifactsInput!$N$27+1,20,24,28,32,36,40),0)/100)))+1)),0)</f>
        <v/>
      </c>
      <c r="S1676">
        <f>IF(C1676,(H1676*N1676*IF(AND(Inputs!$B$38&lt;&gt;"pvp",Inputs!$B$43&gt;0),((Skills!F7*((R1676-1)*IF(Skills!G7&gt;0,Skills!H7/Skills!G7,1)+IF(Skills!G7&gt;0,MIN(Skills!H7,MAX(0,MAX(0,Inputs!$B$43-B1703)-((R1676-1)*(IF(Inputs!$B$38="pvp",15,MAX(0.1,Skills!D7-IF(TRUE=TRUE,Inputs!$B$32,0)))*(1-IF(AND(ArtifactsInput!$M$27,Inputs!$B$4="Chapter Hunt"),CHOOSE(ArtifactsInput!$N$27+1,20,24,28,32,36,40),0)/100)))))/Skills!G7,1)))/Inputs!$B$43),G1676*Q1676))*IF(Inputs!$B$38="pvp",1,1+(Inputs!$B$20+Skills!O7+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1676*(1-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1676*(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1676*(1-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1676*(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6">
        <f>IF(C1676,(H1676*N1676*IF(AND(Inputs!$B$38&lt;&gt;"pvp",Inputs!$B$43&gt;0),((Skills!F7*((R1676-1)*IF(Skills!G7&gt;0,Skills!H7/Skills!G7,1)+IF(Skills!G7&gt;0,MIN(Skills!H7,MAX(0,MAX(0,Inputs!$B$43-B1703)-((R1676-1)*(IF(Inputs!$B$38="pvp",15,MAX(0.1,Skills!D7-IF(TRUE=TRUE,Inputs!$B$32,0)))*(1-IF(AND(ArtifactsInput!$M$27,Inputs!$B$4="Chapter Hunt"),CHOOSE(ArtifactsInput!$N$27+1,20,24,28,32,36,40),0)/100)))))/Skills!G7,1)))/Inputs!$B$43),G1676*Q1676))*IF(Inputs!$B$38="pvp",1,(1+(Inputs!$B$21+Skills!P7+B1697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7">
      <c r="A1677">
        <f>Skills!A8</f>
        <v/>
      </c>
      <c r="B1677">
        <f>Skills!B8</f>
        <v/>
      </c>
      <c r="C1677">
        <f>Inputs!$B$3&gt;=103</f>
        <v/>
      </c>
      <c r="D1677">
        <f>IF(Skills!C8=1,60+Inputs!$B$25+Inputs!$B$29,IF(Skills!C8=2,90+Inputs!$B$26+Inputs!$B$29,IF(Skills!C8=3,120+Inputs!$B$27+Inputs!$B$29,MAX(0,(Inputs!$B$3-100)*3)+Inputs!$B$28+Inputs!$B$29)))</f>
        <v/>
      </c>
      <c r="E1677">
        <f>INDEX(FactorTable!$B$2:$Y$301, MATCH(ROUND(MIN(300,MAX(1,D1677)),0), FactorTable!$A$2:$A$301,0), Skills!L8+1)</f>
        <v/>
      </c>
      <c r="F1677">
        <f>IF(Skills!M8=TRUE,(Skills!K8/10)*(E1677/1000),Skills!K8/10)+Skills!N8</f>
        <v/>
      </c>
      <c r="G1677">
        <f>Calc!G8</f>
        <v/>
      </c>
      <c r="H1677">
        <f>Calc!H8</f>
        <v/>
      </c>
      <c r="I1677">
        <f>IF(Skills!T8&lt;&gt;"",1+(Skills!T8/10)*(Z1672/1000)/100,1)</f>
        <v/>
      </c>
      <c r="J1677">
        <f>((Inputs!$B$6*(1+Inputs!$B$7/100))+(((Inputs!$B$12*(1+Inputs!$B$13/100))-(Inputs!$B$12*(1+Inputs!$B$13/100)))+0.25*(Inputs!$B$14-Inputs!$B$14))*(1+Inputs!$B$7/100))*(F1677/100)</f>
        <v/>
      </c>
      <c r="K1677">
        <f>J1677*(1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8="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1677)</f>
        <v/>
      </c>
      <c r="L1677">
        <f>K1677*(MIN(Inputs!$B$22+(F1687-Calc!F18),(Inputs!$B$23+(IF(ArtifactsInput!$M$15,CHOOSE(ArtifactsInput!$N$15+1,25,30,35,40,45,50)/100*(Inputs!$B$11-Inputs!$B$11),0))))/100+(Inputs!$B$23+(IF(ArtifactsInput!$M$15,CHOOSE(ArtifactsInput!$N$15+1,25,30,35,40,45,50)/100*(Inputs!$B$11-Inputs!$B$11),0)))/100)/2</f>
        <v/>
      </c>
      <c r="M1677">
        <f>L1677*(1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7">
        <f>L1677*(1-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1677*(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7">
        <f>(1-Summary!$B$11)*S1677+Summary!$B$11*U1677</f>
        <v/>
      </c>
      <c r="P1677">
        <f>IF(B1706=0,0,O1677/B1706)</f>
        <v/>
      </c>
      <c r="Q1677">
        <f>IFERROR(1/(IF(Inputs!$B$38="pvp",15,MAX(0.1,Skills!D8-IF(TRUE=TRUE,Inputs!$B$32,0)))*(1-IF(AND(ArtifactsInput!$M$27,Inputs!$B$4="Chapter Hunt"),CHOOSE(ArtifactsInput!$N$27+1,20,24,28,32,36,40),0)/100)),0)</f>
        <v/>
      </c>
      <c r="R1677">
        <f>IF(AND(Inputs!$B$38&lt;&gt;"pvp",Inputs!$B$43&gt;0),IF(MAX(0,Inputs!$B$43-B1703)&lt;=0,0,(INT(MAX(0,Inputs!$B$43-B1703)/(IF(Inputs!$B$38="pvp",15,MAX(0.1,Skills!D8-IF(TRUE=TRUE,Inputs!$B$32,0)))*(1-IF(AND(ArtifactsInput!$M$27,Inputs!$B$4="Chapter Hunt"),CHOOSE(ArtifactsInput!$N$27+1,20,24,28,32,36,40),0)/100)))+1)),0)</f>
        <v/>
      </c>
      <c r="S1677">
        <f>IF(C1677,(H1677*N1677*IF(AND(Inputs!$B$38&lt;&gt;"pvp",Inputs!$B$43&gt;0),((Skills!F8*((R1677-1)*IF(Skills!G8&gt;0,Skills!H8/Skills!G8,1)+IF(Skills!G8&gt;0,MIN(Skills!H8,MAX(0,MAX(0,Inputs!$B$43-B1703)-((R1677-1)*(IF(Inputs!$B$38="pvp",15,MAX(0.1,Skills!D8-IF(TRUE=TRUE,Inputs!$B$32,0)))*(1-IF(AND(ArtifactsInput!$M$27,Inputs!$B$4="Chapter Hunt"),CHOOSE(ArtifactsInput!$N$27+1,20,24,28,32,36,40),0)/100)))))/Skills!G8,1)))/Inputs!$B$43),G1677*Q1677))*IF(Inputs!$B$38="pvp",1,1+(Inputs!$B$20+Skills!O8+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1677*(1-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1677*(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1677*(1-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1677*(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7">
        <f>IF(C1677,(H1677*N1677*IF(AND(Inputs!$B$38&lt;&gt;"pvp",Inputs!$B$43&gt;0),((Skills!F8*((R1677-1)*IF(Skills!G8&gt;0,Skills!H8/Skills!G8,1)+IF(Skills!G8&gt;0,MIN(Skills!H8,MAX(0,MAX(0,Inputs!$B$43-B1703)-((R1677-1)*(IF(Inputs!$B$38="pvp",15,MAX(0.1,Skills!D8-IF(TRUE=TRUE,Inputs!$B$32,0)))*(1-IF(AND(ArtifactsInput!$M$27,Inputs!$B$4="Chapter Hunt"),CHOOSE(ArtifactsInput!$N$27+1,20,24,28,32,36,40),0)/100)))))/Skills!G8,1)))/Inputs!$B$43),G1677*Q1677))*IF(Inputs!$B$38="pvp",1,(1+(Inputs!$B$21+Skills!P8+B1697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8">
      <c r="A1678">
        <f>Skills!A9</f>
        <v/>
      </c>
      <c r="B1678">
        <f>Skills!B9</f>
        <v/>
      </c>
      <c r="C1678">
        <f>Inputs!$B$3&gt;=105</f>
        <v/>
      </c>
      <c r="D1678">
        <f>IF(Skills!C9=1,60+Inputs!$B$25+Inputs!$B$29,IF(Skills!C9=2,90+Inputs!$B$26+Inputs!$B$29,IF(Skills!C9=3,120+Inputs!$B$27+Inputs!$B$29,MAX(0,(Inputs!$B$3-100)*3)+Inputs!$B$28+Inputs!$B$29)))</f>
        <v/>
      </c>
      <c r="E1678">
        <f>INDEX(FactorTable!$B$2:$Y$301, MATCH(ROUND(MIN(300,MAX(1,D1678)),0), FactorTable!$A$2:$A$301,0), Skills!L9+1)</f>
        <v/>
      </c>
      <c r="F1678">
        <f>IF(Skills!M9=TRUE,(Skills!K9/10)*(E1678/1000),Skills!K9/10)+Skills!N9</f>
        <v/>
      </c>
      <c r="G1678">
        <f>Calc!G9</f>
        <v/>
      </c>
      <c r="H1678">
        <f>Calc!H9</f>
        <v/>
      </c>
      <c r="I1678">
        <f>IF(Skills!T9&lt;&gt;"",1+(Skills!T9/10)*(Z1672/1000)/100,1)</f>
        <v/>
      </c>
      <c r="J1678">
        <f>((Inputs!$B$6*(1+Inputs!$B$7/100))+(((Inputs!$B$12*(1+Inputs!$B$13/100))-(Inputs!$B$12*(1+Inputs!$B$13/100)))+0.25*(Inputs!$B$14-Inputs!$B$14))*(1+Inputs!$B$7/100))*(F1678/100)</f>
        <v/>
      </c>
      <c r="K1678">
        <f>J1678*(1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9="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1678)</f>
        <v/>
      </c>
      <c r="L1678">
        <f>K1678*(MIN(Inputs!$B$22+(F1687-Calc!F18),(Inputs!$B$23+(IF(ArtifactsInput!$M$15,CHOOSE(ArtifactsInput!$N$15+1,25,30,35,40,45,50)/100*(Inputs!$B$11-Inputs!$B$11),0))))/100+(Inputs!$B$23+(IF(ArtifactsInput!$M$15,CHOOSE(ArtifactsInput!$N$15+1,25,30,35,40,45,50)/100*(Inputs!$B$11-Inputs!$B$11),0)))/100)/2</f>
        <v/>
      </c>
      <c r="M1678">
        <f>L1678*(1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8">
        <f>L1678*(1-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1678*(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8">
        <f>(1-Summary!$B$11)*S1678+Summary!$B$11*U1678</f>
        <v/>
      </c>
      <c r="P1678">
        <f>IF(B1706=0,0,O1678/B1706)</f>
        <v/>
      </c>
      <c r="Q1678">
        <f>IFERROR(1/(IF(Inputs!$B$38="pvp",15,MAX(0.1,Skills!D9-IF(TRUE=TRUE,Inputs!$B$32,0)))*(1-IF(AND(ArtifactsInput!$M$27,Inputs!$B$4="Chapter Hunt"),CHOOSE(ArtifactsInput!$N$27+1,20,24,28,32,36,40),0)/100)),0)</f>
        <v/>
      </c>
      <c r="R1678">
        <f>IF(AND(Inputs!$B$38&lt;&gt;"pvp",Inputs!$B$43&gt;0),IF(MAX(0,Inputs!$B$43-B1703)&lt;=0,0,(INT(MAX(0,Inputs!$B$43-B1703)/(IF(Inputs!$B$38="pvp",15,MAX(0.1,Skills!D9-IF(TRUE=TRUE,Inputs!$B$32,0)))*(1-IF(AND(ArtifactsInput!$M$27,Inputs!$B$4="Chapter Hunt"),CHOOSE(ArtifactsInput!$N$27+1,20,24,28,32,36,40),0)/100)))+1)),0)</f>
        <v/>
      </c>
      <c r="S1678">
        <f>IF(C1678,(H1678*N1678*IF(AND(Inputs!$B$38&lt;&gt;"pvp",Inputs!$B$43&gt;0),((Skills!F9*((R1678-1)*IF(Skills!G9&gt;0,Skills!H9/Skills!G9,1)+IF(Skills!G9&gt;0,MIN(Skills!H9,MAX(0,MAX(0,Inputs!$B$43-B1703)-((R1678-1)*(IF(Inputs!$B$38="pvp",15,MAX(0.1,Skills!D9-IF(TRUE=TRUE,Inputs!$B$32,0)))*(1-IF(AND(ArtifactsInput!$M$27,Inputs!$B$4="Chapter Hunt"),CHOOSE(ArtifactsInput!$N$27+1,20,24,28,32,36,40),0)/100)))))/Skills!G9,1)))/Inputs!$B$43),G1678*Q1678))*IF(Inputs!$B$38="pvp",1,1+(Inputs!$B$20+Skills!O9+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1678*(1-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1678*(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1678*(1-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1678*(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8">
        <f>IF(C1678,(H1678*N1678*IF(AND(Inputs!$B$38&lt;&gt;"pvp",Inputs!$B$43&gt;0),((Skills!F9*((R1678-1)*IF(Skills!G9&gt;0,Skills!H9/Skills!G9,1)+IF(Skills!G9&gt;0,MIN(Skills!H9,MAX(0,MAX(0,Inputs!$B$43-B1703)-((R1678-1)*(IF(Inputs!$B$38="pvp",15,MAX(0.1,Skills!D9-IF(TRUE=TRUE,Inputs!$B$32,0)))*(1-IF(AND(ArtifactsInput!$M$27,Inputs!$B$4="Chapter Hunt"),CHOOSE(ArtifactsInput!$N$27+1,20,24,28,32,36,40),0)/100)))))/Skills!G9,1)))/Inputs!$B$43),G1678*Q1678))*IF(Inputs!$B$38="pvp",1,(1+(Inputs!$B$21+Skills!P9+B1697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9">
      <c r="A1679">
        <f>Skills!A10</f>
        <v/>
      </c>
      <c r="B1679">
        <f>Skills!B10</f>
        <v/>
      </c>
      <c r="C1679">
        <f>Inputs!$B$3&gt;=113</f>
        <v/>
      </c>
      <c r="D1679">
        <f>IF(Skills!C10=1,60+Inputs!$B$25+Inputs!$B$29,IF(Skills!C10=2,90+Inputs!$B$26+Inputs!$B$29,IF(Skills!C10=3,120+Inputs!$B$27+Inputs!$B$29,MAX(0,(Inputs!$B$3-100)*3)+Inputs!$B$28+Inputs!$B$29)))</f>
        <v/>
      </c>
      <c r="E1679">
        <f>INDEX(FactorTable!$B$2:$Y$301, MATCH(ROUND(MIN(300,MAX(1,D1679)),0), FactorTable!$A$2:$A$301,0), Skills!L10+1)</f>
        <v/>
      </c>
      <c r="F1679">
        <f>IF(Skills!M10=TRUE,(Skills!K10/10)*(E1679/1000),Skills!K10/10)+Skills!N10</f>
        <v/>
      </c>
      <c r="G1679">
        <f>Calc!G10</f>
        <v/>
      </c>
      <c r="H1679">
        <f>Calc!H10</f>
        <v/>
      </c>
      <c r="I1679">
        <f>IF(Skills!T10&lt;&gt;"",1+(Skills!T10/10)*(Z1672/1000)/100,1)</f>
        <v/>
      </c>
      <c r="J1679">
        <f>((Inputs!$B$6*(1+Inputs!$B$7/100))+(((Inputs!$B$12*(1+Inputs!$B$13/100))-(Inputs!$B$12*(1+Inputs!$B$13/100)))+0.25*(Inputs!$B$14-Inputs!$B$14))*(1+Inputs!$B$7/100))*(F1679/100)</f>
        <v/>
      </c>
      <c r="K1679">
        <f>J1679*(1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10="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1679)</f>
        <v/>
      </c>
      <c r="L1679">
        <f>K1679*(MIN(Inputs!$B$22+(F1687-Calc!F18),(Inputs!$B$23+(IF(ArtifactsInput!$M$15,CHOOSE(ArtifactsInput!$N$15+1,25,30,35,40,45,50)/100*(Inputs!$B$11-Inputs!$B$11),0))))/100+(Inputs!$B$23+(IF(ArtifactsInput!$M$15,CHOOSE(ArtifactsInput!$N$15+1,25,30,35,40,45,50)/100*(Inputs!$B$11-Inputs!$B$11),0)))/100)/2</f>
        <v/>
      </c>
      <c r="M1679">
        <f>L1679*(1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9">
        <f>L1679*(1-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1679*(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9">
        <f>(1-Summary!$B$11)*S1679+Summary!$B$11*U1679</f>
        <v/>
      </c>
      <c r="P1679">
        <f>IF(B1706=0,0,O1679/B1706)</f>
        <v/>
      </c>
      <c r="Q1679">
        <f>IFERROR(1/(IF(Inputs!$B$38="pvp",15,MAX(0.1,Skills!D10-IF(TRUE=TRUE,Inputs!$B$32,0)))*(1-IF(AND(ArtifactsInput!$M$27,Inputs!$B$4="Chapter Hunt"),CHOOSE(ArtifactsInput!$N$27+1,20,24,28,32,36,40),0)/100)),0)</f>
        <v/>
      </c>
      <c r="R1679" t="n">
        <v>0</v>
      </c>
      <c r="S1679">
        <f>IF(C1679,((H1679*B1707)/(1+Skills!G10*H1679*B1707)*N1679)*IF(Inputs!$B$38="pvp",1,1+(Inputs!$B$20+Skills!O10+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1679*(1-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1679*(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1679*(1-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1679*(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79">
        <f>IF(C1679,((H1679*B1707)/(1+Skills!G10*H1679*B1707)*N1679)*IF(Inputs!$B$38="pvp",1,(1+(Inputs!$B$21+Skills!P10+B1697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0">
      <c r="A1680">
        <f>Skills!A11</f>
        <v/>
      </c>
      <c r="B1680">
        <f>Skills!B11</f>
        <v/>
      </c>
      <c r="C1680">
        <f>Inputs!$B$3&gt;=107</f>
        <v/>
      </c>
      <c r="D1680">
        <f>IF(Skills!C11=1,60+Inputs!$B$25+Inputs!$B$29,IF(Skills!C11=2,90+Inputs!$B$26+Inputs!$B$29,IF(Skills!C11=3,120+Inputs!$B$27+Inputs!$B$29,MAX(0,(Inputs!$B$3-100)*3)+Inputs!$B$28+Inputs!$B$29)))</f>
        <v/>
      </c>
      <c r="E1680">
        <f>INDEX(FactorTable!$B$2:$Y$301, MATCH(ROUND(MIN(300,MAX(1,D1680)),0), FactorTable!$A$2:$A$301,0), Skills!L11+1)</f>
        <v/>
      </c>
      <c r="F1680">
        <f>IF(Skills!M11=TRUE,(Skills!K11/10)*(E1680/1000),Skills!K11/10)+Skills!N11</f>
        <v/>
      </c>
      <c r="G1680">
        <f>Calc!G11</f>
        <v/>
      </c>
      <c r="H1680">
        <f>Calc!H11</f>
        <v/>
      </c>
      <c r="I1680">
        <f>IF(Skills!T11&lt;&gt;"",1+(Skills!T11/10)*(Z1672/1000)/100,1)</f>
        <v/>
      </c>
      <c r="J1680">
        <f>((Inputs!$B$6*(1+Inputs!$B$7/100))+(((Inputs!$B$12*(1+Inputs!$B$13/100))-(Inputs!$B$12*(1+Inputs!$B$13/100)))+0.25*(Inputs!$B$14-Inputs!$B$14))*(1+Inputs!$B$7/100))*(F1680/100)</f>
        <v/>
      </c>
      <c r="K1680">
        <f>J1680*(1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11="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1680)</f>
        <v/>
      </c>
      <c r="L1680">
        <f>K1680*(MIN(Inputs!$B$22+(F1687-Calc!F18),(Inputs!$B$23+(IF(ArtifactsInput!$M$15,CHOOSE(ArtifactsInput!$N$15+1,25,30,35,40,45,50)/100*(Inputs!$B$11-Inputs!$B$11),0))))/100+(Inputs!$B$23+(IF(ArtifactsInput!$M$15,CHOOSE(ArtifactsInput!$N$15+1,25,30,35,40,45,50)/100*(Inputs!$B$11-Inputs!$B$11),0)))/100)/2</f>
        <v/>
      </c>
      <c r="M1680">
        <f>L1680*(1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0">
        <f>L1680*(1-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1680*(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0">
        <f>(1-Summary!$B$11)*S1680+Summary!$B$11*U1680</f>
        <v/>
      </c>
      <c r="P1680">
        <f>IF(B1706=0,0,O1680/B1706)</f>
        <v/>
      </c>
      <c r="Q1680">
        <f>IFERROR(1/(IF(Inputs!$B$38="pvp",15,MAX(0.1,Skills!D11-IF(TRUE=TRUE,Inputs!$B$32,0)))*(1-IF(AND(ArtifactsInput!$M$27,Inputs!$B$4="Chapter Hunt"),CHOOSE(ArtifactsInput!$N$27+1,20,24,28,32,36,40),0)/100)),0)</f>
        <v/>
      </c>
      <c r="R1680">
        <f>IF(AND(Inputs!$B$38&lt;&gt;"pvp",Inputs!$B$43&gt;0),IF(MAX(0,Inputs!$B$43-B1703)&lt;=0,0,(INT(MAX(0,Inputs!$B$43-B1703)/(IF(Inputs!$B$38="pvp",15,MAX(0.1,Skills!D11-IF(TRUE=TRUE,Inputs!$B$32,0)))*(1-IF(AND(ArtifactsInput!$M$27,Inputs!$B$4="Chapter Hunt"),CHOOSE(ArtifactsInput!$N$27+1,20,24,28,32,36,40),0)/100)))+1)),0)</f>
        <v/>
      </c>
      <c r="S1680">
        <f>IF(C1680,H1680*N1680*IF(AND(Inputs!$B$38&lt;&gt;"pvp",Inputs!$B$43&gt;0),((Skills!F11*((R1680-1)*IF(Skills!G11&gt;0,Skills!H11/Skills!G11,1)+IF(Skills!G11&gt;0,MIN(Skills!H11,MAX(0,MAX(0,Inputs!$B$43-B1703)-((R1680-1)*(IF(Inputs!$B$38="pvp",15,MAX(0.1,Skills!D11-IF(TRUE=TRUE,Inputs!$B$32,0)))*(1-IF(AND(ArtifactsInput!$M$27,Inputs!$B$4="Chapter Hunt"),CHOOSE(ArtifactsInput!$N$27+1,20,24,28,32,36,40),0)/100)))))/Skills!G11,1)))/Inputs!$B$43),G1680*Q1680)*0.5*IF(Inputs!$B$38="pvp",1,1+(Inputs!$B$20+Skills!O11+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1680*(1-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1680*(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1680*(1-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1680*(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0">
        <f>IF(C1680,H1680*N1680*IF(AND(Inputs!$B$38&lt;&gt;"pvp",Inputs!$B$43&gt;0),((Skills!F11*((R1680-1)*IF(Skills!G11&gt;0,Skills!H11/Skills!G11,1)+IF(Skills!G11&gt;0,MIN(Skills!H11,MAX(0,MAX(0,Inputs!$B$43-B1703)-((R1680-1)*(IF(Inputs!$B$38="pvp",15,MAX(0.1,Skills!D11-IF(TRUE=TRUE,Inputs!$B$32,0)))*(1-IF(AND(ArtifactsInput!$M$27,Inputs!$B$4="Chapter Hunt"),CHOOSE(ArtifactsInput!$N$27+1,20,24,28,32,36,40),0)/100)))))/Skills!G11,1)))/Inputs!$B$43),G1680*Q1680)*1*IF(Inputs!$B$38="pvp",1,(1+(Inputs!$B$21+Skills!P11+B1697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1">
      <c r="A1681">
        <f>Skills!A12</f>
        <v/>
      </c>
      <c r="B1681">
        <f>Skills!B12</f>
        <v/>
      </c>
      <c r="C1681">
        <f>Inputs!$B$3&gt;=115</f>
        <v/>
      </c>
      <c r="D1681">
        <f>IF(Skills!C12=1,60+Inputs!$B$25+Inputs!$B$29,IF(Skills!C12=2,90+Inputs!$B$26+Inputs!$B$29,IF(Skills!C12=3,120+Inputs!$B$27+Inputs!$B$29,MAX(0,(Inputs!$B$3-100)*3)+Inputs!$B$28+Inputs!$B$29)))</f>
        <v/>
      </c>
      <c r="E1681">
        <f>INDEX(FactorTable!$B$2:$Y$301, MATCH(ROUND(MIN(300,MAX(1,D1681)),0), FactorTable!$A$2:$A$301,0), Skills!L12+1)</f>
        <v/>
      </c>
      <c r="F1681">
        <f>IF(Skills!M12=TRUE,(Skills!K12/10)*(E1681/1000),Skills!K12/10)+Skills!N12</f>
        <v/>
      </c>
      <c r="G1681">
        <f>Calc!G12</f>
        <v/>
      </c>
      <c r="H1681">
        <f>Calc!H12</f>
        <v/>
      </c>
      <c r="I1681">
        <f>IF(Skills!T12&lt;&gt;"",1+(Skills!T12/10)*(Z1672/1000)/100,1)</f>
        <v/>
      </c>
      <c r="J1681">
        <f>((Inputs!$B$6*(1+Inputs!$B$7/100))+(((Inputs!$B$12*(1+Inputs!$B$13/100))-(Inputs!$B$12*(1+Inputs!$B$13/100)))+0.25*(Inputs!$B$14-Inputs!$B$14))*(1+Inputs!$B$7/100))*(F1681/100)</f>
        <v/>
      </c>
      <c r="K1681">
        <f>J1681*(1+((Inputs!$B$12*(1+Inputs!$B$13/100))*0.01+Inputs!$B$14*0.0025)/100)*(1+(Inputs!$B$15+B1698)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1684=TRUE,F1684,0)/100)*(1+IF(C1692=TRUE,F1692,0)/100)^5*(1+(IF(Skills!A12="CHAIN_LIGHTNING",Inputs!$B$17+((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1696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1681)</f>
        <v/>
      </c>
      <c r="L1681">
        <f>K1681*(MIN(Inputs!$B$22+(F1687-Calc!F18),(Inputs!$B$23+(IF(ArtifactsInput!$M$15,CHOOSE(ArtifactsInput!$N$15+1,25,30,35,40,45,50)/100*(Inputs!$B$11-Inputs!$B$11),0))))/100+(Inputs!$B$23+(IF(ArtifactsInput!$M$15,CHOOSE(ArtifactsInput!$N$15+1,25,30,35,40,45,50)/100*(Inputs!$B$11-Inputs!$B$11),0)))/100)/2</f>
        <v/>
      </c>
      <c r="M1681">
        <f>L1681*(1+(Inputs!$B$10+(F1690-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1">
        <f>L1681*(1-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1681*(MIN((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1">
        <f>(1-Summary!$B$11)*S1681+Summary!$B$11*U1681</f>
        <v/>
      </c>
      <c r="P1681">
        <f>IF(B1706=0,0,O1681/B1706)</f>
        <v/>
      </c>
      <c r="Q1681">
        <f>IFERROR(1/(IF(Inputs!$B$38="pvp",15,MAX(0.1,Skills!D12-IF(TRUE=TRUE,Inputs!$B$32,0)))*(1-IF(AND(ArtifactsInput!$M$27,Inputs!$B$4="Chapter Hunt"),CHOOSE(ArtifactsInput!$N$27+1,20,24,28,32,36,40),0)/100)),0)</f>
        <v/>
      </c>
      <c r="R1681">
        <f>IF(AND(Inputs!$B$38&lt;&gt;"pvp",Inputs!$B$43&gt;0),IF(MAX(0,Inputs!$B$43-B1703)&lt;=0,0,(INT(MAX(0,Inputs!$B$43-B1703)/(IF(Inputs!$B$38="pvp",15,MAX(0.1,Skills!D12-IF(TRUE=TRUE,Inputs!$B$32,0)))*(1-IF(AND(ArtifactsInput!$M$27,Inputs!$B$4="Chapter Hunt"),CHOOSE(ArtifactsInput!$N$27+1,20,24,28,32,36,40),0)/100)))+1)),0)</f>
        <v/>
      </c>
      <c r="S1681">
        <f>IF(C1681,(H1681*N1681*IF(AND(Inputs!$B$38&lt;&gt;"pvp",Inputs!$B$43&gt;0),((Skills!F12*((R1681-1)*IF(Skills!G12&gt;0,Skills!H12/Skills!G12,1)+IF(Skills!G12&gt;0,MIN(Skills!H12,MAX(0,MAX(0,Inputs!$B$43-B1703)-((R1681-1)*(IF(Inputs!$B$38="pvp",15,MAX(0.1,Skills!D12-IF(TRUE=TRUE,Inputs!$B$32,0)))*(1-IF(AND(ArtifactsInput!$M$27,Inputs!$B$4="Chapter Hunt"),CHOOSE(ArtifactsInput!$N$27+1,20,24,28,32,36,40),0)/100)))))/Skills!G12,1)))/Inputs!$B$43),G1681*Q1681))*IF(Inputs!$B$38="pvp",1,1+(Inputs!$B$20+Skills!O12+B1697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1681*(1-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1681*(MIN(100,(Inputs!$B$9+((F1689-Calc!F20)+(F1688-Calc!F19))+(ArtifactsInput!$M$24-ArtifactsInput!$M$24)*CHOOSE(ArtifactsInput!$N$24+1,10,12,14,16,18,20)+(IF(AND(Inputs!$B$38&lt;&gt;"pvp",Inputs!$B$43=0),1,IF(IF(Inputs!$B$38="pvp",15,Inputs!$B$43)-(B1703)&lt;=0,1,MAX(0,IF(Inputs!$B$38="pvp",15,Inputs!$B$43)-MAX(5,B1703))/(IF(Inputs!$B$38="pvp",15,Inputs!$B$43)-(B1703)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81">
        <f>IF(C1681,(H1681*N1681*IF(AND(Inputs!$B$38&lt;&gt;"pvp",Inputs!$B$43&gt;0),((Skills!F12*((R1681-1)*IF(Skills!G12&gt;0,Skills!H12/Skills!G12,1)+IF(Skills!G12&gt;0,MIN(Skills!H12,MAX(0,MAX(0,Inputs!$B$43-B1703)-((R1681-1)*(IF(Inputs!$B$38="pvp",15,MAX(0.1,Skills!D12-IF(TRUE=TRUE,Inputs!$B$32,0)))*(1-IF(AND(ArtifactsInput!$M$27,Inputs!$B$4="Chapter Hunt"),CHOOSE(ArtifactsInput!$N$27+1,20,24,28,32,36,40),0)/100)))))/Skills!G12,1)))/Inputs!$B$43),G1681*Q1681))*IF(Inputs!$B$38="pvp",1,(1+(Inputs!$B$21+Skills!P12+B1697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2">
      <c r="A1682">
        <f>Skills!A13</f>
        <v/>
      </c>
      <c r="B1682">
        <f>Skills!B13</f>
        <v/>
      </c>
      <c r="C1682">
        <f>Inputs!$B$3&gt;=49</f>
        <v/>
      </c>
      <c r="D1682">
        <f>IF(Skills!C13=1,60+Inputs!$B$25+Inputs!$B$29,IF(Skills!C13=2,90+Inputs!$B$26+Inputs!$B$29,IF(Skills!C13=3,120+Inputs!$B$27+Inputs!$B$29,MAX(0,(Inputs!$B$3-100)*3)+Inputs!$B$28+Inputs!$B$29)))</f>
        <v/>
      </c>
      <c r="E1682">
        <f>INDEX(FactorTable!$B$2:$Y$301, MATCH(ROUND(MIN(300,MAX(1,D1682)),0), FactorTable!$A$2:$A$301,0), Skills!L13+1)</f>
        <v/>
      </c>
      <c r="F1682">
        <f>IF(Skills!M13=TRUE,(Skills!K13/10)*(E1682/1000),Skills!K13/10)+Skills!N13</f>
        <v/>
      </c>
      <c r="G1682">
        <f>Calc!G13</f>
        <v/>
      </c>
      <c r="H1682">
        <f>Calc!H13</f>
        <v/>
      </c>
      <c r="I1682">
        <f>IF(Skills!T13&lt;&gt;"",1+(Skills!T13/10)*(Z1672/1000)/100,1)</f>
        <v/>
      </c>
      <c r="J1682" t="inlineStr"/>
      <c r="K1682" t="inlineStr"/>
      <c r="L1682" t="inlineStr"/>
      <c r="M1682" t="inlineStr"/>
      <c r="N1682" t="inlineStr"/>
      <c r="O1682">
        <f>(1-Summary!$B$11)*S1682+Summary!$B$11*U1682</f>
        <v/>
      </c>
      <c r="P1682">
        <f>IF(B1706=0,0,O1682/B1706)</f>
        <v/>
      </c>
      <c r="Q1682">
        <f>IFERROR(1/(IF(Inputs!$B$38="pvp",15,MAX(0.1,Skills!D13-IF(TRUE=TRUE,Inputs!$B$32,0)))*(1-IF(AND(ArtifactsInput!$M$27,Inputs!$B$4="Chapter Hunt"),CHOOSE(ArtifactsInput!$N$27+1,20,24,28,32,36,40),0)/100)),0)</f>
        <v/>
      </c>
      <c r="R1682" t="n">
        <v>0</v>
      </c>
      <c r="S1682" t="n">
        <v>0</v>
      </c>
      <c r="U1682" t="n">
        <v>0</v>
      </c>
    </row>
    <row r="1683">
      <c r="A1683">
        <f>Skills!A14</f>
        <v/>
      </c>
      <c r="B1683">
        <f>Skills!B14</f>
        <v/>
      </c>
      <c r="C1683">
        <f>Inputs!$B$3&gt;=72</f>
        <v/>
      </c>
      <c r="D1683">
        <f>IF(Skills!C14=1,60+Inputs!$B$25+Inputs!$B$29,IF(Skills!C14=2,90+Inputs!$B$26+Inputs!$B$29,IF(Skills!C14=3,120+Inputs!$B$27+Inputs!$B$29,MAX(0,(Inputs!$B$3-100)*3)+Inputs!$B$28+Inputs!$B$29)))</f>
        <v/>
      </c>
      <c r="E1683">
        <f>INDEX(FactorTable!$B$2:$Y$301, MATCH(ROUND(MIN(300,MAX(1,D1683)),0), FactorTable!$A$2:$A$301,0), Skills!L14+1)</f>
        <v/>
      </c>
      <c r="F1683">
        <f>IF(Skills!M14=TRUE,(Skills!K14/10)*(E1683/1000),Skills!K14/10)+Skills!N14</f>
        <v/>
      </c>
      <c r="G1683">
        <f>Calc!G14</f>
        <v/>
      </c>
      <c r="H1683">
        <f>Calc!H14</f>
        <v/>
      </c>
      <c r="I1683">
        <f>IF(Skills!T14&lt;&gt;"",1+(Skills!T14/10)*(Z1672/1000)/100,1)</f>
        <v/>
      </c>
      <c r="J1683" t="inlineStr"/>
      <c r="K1683" t="inlineStr"/>
      <c r="L1683" t="inlineStr"/>
      <c r="M1683" t="inlineStr"/>
      <c r="N1683" t="inlineStr"/>
      <c r="O1683">
        <f>(1-Summary!$B$11)*S1683+Summary!$B$11*U1683</f>
        <v/>
      </c>
      <c r="P1683">
        <f>IF(B1706=0,0,O1683/B1706)</f>
        <v/>
      </c>
      <c r="Q1683">
        <f>IFERROR(1/(IF(Inputs!$B$38="pvp",15,MAX(0.1,Skills!D14-IF(TRUE=TRUE,Inputs!$B$32,0)))*(1-IF(AND(ArtifactsInput!$M$27,Inputs!$B$4="Chapter Hunt"),CHOOSE(ArtifactsInput!$N$27+1,20,24,28,32,36,40),0)/100)),0)</f>
        <v/>
      </c>
      <c r="R1683" t="n">
        <v>0</v>
      </c>
      <c r="S1683" t="n">
        <v>0</v>
      </c>
      <c r="U1683" t="n">
        <v>0</v>
      </c>
    </row>
    <row r="1684">
      <c r="A1684">
        <f>Skills!A15</f>
        <v/>
      </c>
      <c r="B1684">
        <f>Skills!B15</f>
        <v/>
      </c>
      <c r="C1684">
        <f>Inputs!$B$3&gt;=75</f>
        <v/>
      </c>
      <c r="D1684">
        <f>IF(Skills!C15=1,60+Inputs!$B$25+Inputs!$B$29,IF(Skills!C15=2,90+Inputs!$B$26+Inputs!$B$29,IF(Skills!C15=3,120+Inputs!$B$27+Inputs!$B$29,MAX(0,(Inputs!$B$3-100)*3)+Inputs!$B$28+Inputs!$B$29)))</f>
        <v/>
      </c>
      <c r="E1684">
        <f>INDEX(FactorTable!$B$2:$Y$301, MATCH(ROUND(MIN(300,MAX(1,D1684)),0), FactorTable!$A$2:$A$301,0), Skills!L15+1)</f>
        <v/>
      </c>
      <c r="F1684">
        <f>IF(Skills!M15=TRUE,(Skills!K15/10)*(E1684/1000),Skills!K15/10)+Skills!N15</f>
        <v/>
      </c>
      <c r="G1684">
        <f>Calc!G15</f>
        <v/>
      </c>
      <c r="H1684">
        <f>Calc!H15</f>
        <v/>
      </c>
      <c r="I1684">
        <f>IF(Skills!T15&lt;&gt;"",1+(Skills!T15/10)*(Z1672/1000)/100,1)</f>
        <v/>
      </c>
      <c r="J1684" t="inlineStr"/>
      <c r="K1684" t="inlineStr"/>
      <c r="L1684" t="inlineStr"/>
      <c r="M1684" t="inlineStr"/>
      <c r="N1684" t="inlineStr"/>
      <c r="O1684">
        <f>(1-Summary!$B$11)*S1684+Summary!$B$11*U1684</f>
        <v/>
      </c>
      <c r="P1684">
        <f>IF(B1706=0,0,O1684/B1706)</f>
        <v/>
      </c>
      <c r="Q1684">
        <f>IFERROR(1/(IF(Inputs!$B$38="pvp",15,MAX(0.1,Skills!D15-IF(TRUE=TRUE,Inputs!$B$32,0)))*(1-IF(AND(ArtifactsInput!$M$27,Inputs!$B$4="Chapter Hunt"),CHOOSE(ArtifactsInput!$N$27+1,20,24,28,32,36,40),0)/100)),0)</f>
        <v/>
      </c>
      <c r="R1684" t="n">
        <v>0</v>
      </c>
      <c r="S1684" t="n">
        <v>0</v>
      </c>
      <c r="U1684" t="n">
        <v>0</v>
      </c>
    </row>
    <row r="1685">
      <c r="A1685">
        <f>Skills!A16</f>
        <v/>
      </c>
      <c r="B1685">
        <f>Skills!B16</f>
        <v/>
      </c>
      <c r="C1685">
        <f>Inputs!$B$3&gt;=110</f>
        <v/>
      </c>
      <c r="D1685">
        <f>IF(Skills!C16=1,60+Inputs!$B$25+Inputs!$B$29,IF(Skills!C16=2,90+Inputs!$B$26+Inputs!$B$29,IF(Skills!C16=3,120+Inputs!$B$27+Inputs!$B$29,MAX(0,(Inputs!$B$3-100)*3)+Inputs!$B$28+Inputs!$B$29)))</f>
        <v/>
      </c>
      <c r="E1685">
        <f>INDEX(FactorTable!$B$2:$Y$301, MATCH(ROUND(MIN(300,MAX(1,D1685)),0), FactorTable!$A$2:$A$301,0), Skills!L16+1)</f>
        <v/>
      </c>
      <c r="F1685">
        <f>(Skills!K16/10)*(E1685/1000)*64/45+Skills!N16</f>
        <v/>
      </c>
      <c r="G1685">
        <f>Calc!G16</f>
        <v/>
      </c>
      <c r="H1685">
        <f>Calc!H16</f>
        <v/>
      </c>
      <c r="I1685">
        <f>IF(Skills!T16&lt;&gt;"",1+(Skills!T16/10)*(Z1672/1000)/100,1)</f>
        <v/>
      </c>
      <c r="J1685" t="inlineStr"/>
      <c r="K1685" t="inlineStr"/>
      <c r="L1685" t="inlineStr"/>
      <c r="M1685" t="inlineStr"/>
      <c r="N1685" t="inlineStr"/>
      <c r="O1685">
        <f>(1-Summary!$B$11)*S1685+Summary!$B$11*U1685</f>
        <v/>
      </c>
      <c r="P1685">
        <f>IF(B1706=0,0,O1685/B1706)</f>
        <v/>
      </c>
      <c r="Q1685">
        <f>IFERROR(1/(IF(Inputs!$B$38="pvp",15,MAX(0.1,Skills!D16-IF(TRUE=TRUE,Inputs!$B$32,0)))*(1-IF(AND(ArtifactsInput!$M$27,Inputs!$B$4="Chapter Hunt"),CHOOSE(ArtifactsInput!$N$27+1,20,24,28,32,36,40),0)/100)),0)</f>
        <v/>
      </c>
      <c r="R1685">
        <f>IF(AND(Inputs!$B$38&lt;&gt;"pvp",Inputs!$B$43&gt;0),IF(Inputs!$B$43&lt;=0,0,(INT(Inputs!$B$43/(IF(Inputs!$B$38="pvp",15,MAX(0.1,Skills!D16-IF(TRUE=TRUE,Inputs!$B$32,0)))*(1-IF(AND(ArtifactsInput!$M$27,Inputs!$B$4="Chapter Hunt"),CHOOSE(ArtifactsInput!$N$27+1,20,24,28,32,36,40),0)/100)))+1)),0)</f>
        <v/>
      </c>
      <c r="S1685" t="n">
        <v>0</v>
      </c>
      <c r="U1685" t="n">
        <v>0</v>
      </c>
    </row>
    <row r="1686">
      <c r="A1686">
        <f>Skills!A17</f>
        <v/>
      </c>
      <c r="B1686">
        <f>Skills!B17</f>
        <v/>
      </c>
      <c r="C1686">
        <f>Inputs!$B$3&gt;=33</f>
        <v/>
      </c>
      <c r="D1686">
        <f>IF(Skills!C17=1,60+Inputs!$B$25+Inputs!$B$29,IF(Skills!C17=2,90+Inputs!$B$26+Inputs!$B$29,IF(Skills!C17=3,120+Inputs!$B$27+Inputs!$B$29,MAX(0,(Inputs!$B$3-100)*3)+Inputs!$B$28+Inputs!$B$29)))</f>
        <v/>
      </c>
      <c r="E1686">
        <f>INDEX(FactorTable!$B$2:$Y$301, MATCH(ROUND(MIN(300,MAX(1,D1686)),0), FactorTable!$A$2:$A$301,0), Skills!L17+1)</f>
        <v/>
      </c>
      <c r="F1686">
        <f>IF(Skills!M17=TRUE,(Skills!K17/10)*(E1686/1000),Skills!K17/10)+Skills!N17</f>
        <v/>
      </c>
      <c r="G1686">
        <f>Calc!G17</f>
        <v/>
      </c>
      <c r="H1686">
        <f>Calc!H17</f>
        <v/>
      </c>
      <c r="I1686">
        <f>IF(Skills!T17&lt;&gt;"",1+(Skills!T17/10)*(Z1672/1000)/100,1)</f>
        <v/>
      </c>
      <c r="J1686" t="inlineStr"/>
      <c r="K1686" t="inlineStr"/>
      <c r="L1686" t="inlineStr"/>
      <c r="M1686" t="inlineStr"/>
      <c r="N1686" t="inlineStr"/>
      <c r="O1686">
        <f>(1-Summary!$B$11)*S1686+Summary!$B$11*U1686</f>
        <v/>
      </c>
      <c r="P1686">
        <f>IF(B1706=0,0,O1686/B1706)</f>
        <v/>
      </c>
      <c r="Q1686">
        <f>IFERROR(1/(IF(Inputs!$B$38="pvp",15,MAX(0.1,Skills!D17-IF(TRUE=TRUE,Inputs!$B$32,0)))*(1-IF(AND(ArtifactsInput!$M$27,Inputs!$B$4="Chapter Hunt"),CHOOSE(ArtifactsInput!$N$27+1,20,24,28,32,36,40),0)/100)),0)</f>
        <v/>
      </c>
      <c r="R1686" t="n">
        <v>0</v>
      </c>
      <c r="S1686" t="n">
        <v>0</v>
      </c>
      <c r="U1686" t="n">
        <v>0</v>
      </c>
    </row>
    <row r="1687">
      <c r="A1687">
        <f>Skills!A18</f>
        <v/>
      </c>
      <c r="B1687">
        <f>Skills!B18</f>
        <v/>
      </c>
      <c r="C1687">
        <f>Inputs!$B$3&gt;=43</f>
        <v/>
      </c>
      <c r="D1687">
        <f>IF(Skills!C18=1,60+Inputs!$B$25+Inputs!$B$29,IF(Skills!C18=2,90+Inputs!$B$26+Inputs!$B$29,IF(Skills!C18=3,120+Inputs!$B$27+Inputs!$B$29,MAX(0,(Inputs!$B$3-100)*3)+Inputs!$B$28+Inputs!$B$29)))</f>
        <v/>
      </c>
      <c r="E1687">
        <f>INDEX(FactorTable!$B$2:$Y$301, MATCH(ROUND(MIN(300,MAX(1,D1687)),0), FactorTable!$A$2:$A$301,0), Skills!L18+1)</f>
        <v/>
      </c>
      <c r="F1687">
        <f>IF(Skills!M18=TRUE,(Skills!K18/10)*(E1687/1000),Skills!K18/10)+Skills!N18</f>
        <v/>
      </c>
      <c r="G1687">
        <f>Calc!G18</f>
        <v/>
      </c>
      <c r="H1687">
        <f>Calc!H18</f>
        <v/>
      </c>
      <c r="I1687">
        <f>IF(Skills!T18&lt;&gt;"",1+(Skills!T18/10)*(Z1672/1000)/100,1)</f>
        <v/>
      </c>
      <c r="J1687" t="inlineStr"/>
      <c r="K1687" t="inlineStr"/>
      <c r="L1687" t="inlineStr"/>
      <c r="M1687" t="inlineStr"/>
      <c r="N1687" t="inlineStr"/>
      <c r="O1687">
        <f>(1-Summary!$B$11)*S1687+Summary!$B$11*U1687</f>
        <v/>
      </c>
      <c r="P1687">
        <f>IF(B1706=0,0,O1687/B1706)</f>
        <v/>
      </c>
      <c r="Q1687">
        <f>IFERROR(1/(IF(Inputs!$B$38="pvp",15,MAX(0.1,Skills!D18-IF(TRUE=TRUE,Inputs!$B$32,0)))*(1-IF(AND(ArtifactsInput!$M$27,Inputs!$B$4="Chapter Hunt"),CHOOSE(ArtifactsInput!$N$27+1,20,24,28,32,36,40),0)/100)),0)</f>
        <v/>
      </c>
      <c r="R1687" t="n">
        <v>0</v>
      </c>
      <c r="S1687" t="n">
        <v>0</v>
      </c>
      <c r="U1687" t="n">
        <v>0</v>
      </c>
    </row>
    <row r="1688">
      <c r="A1688">
        <f>Skills!A19</f>
        <v/>
      </c>
      <c r="B1688">
        <f>Skills!B19</f>
        <v/>
      </c>
      <c r="C1688">
        <f>Inputs!$B$3&gt;=50</f>
        <v/>
      </c>
      <c r="D1688">
        <f>IF(Skills!C19=1,60+Inputs!$B$25+Inputs!$B$29,IF(Skills!C19=2,90+Inputs!$B$26+Inputs!$B$29,IF(Skills!C19=3,120+Inputs!$B$27+Inputs!$B$29,MAX(0,(Inputs!$B$3-100)*3)+Inputs!$B$28+Inputs!$B$29)))</f>
        <v/>
      </c>
      <c r="E1688">
        <f>INDEX(FactorTable!$B$2:$Y$301, MATCH(ROUND(MIN(300,MAX(1,D1688)),0), FactorTable!$A$2:$A$301,0), Skills!L19+1)</f>
        <v/>
      </c>
      <c r="F1688">
        <f>IF(Skills!M19=TRUE,(Skills!K19/10)*(E1688/1000),Skills!K19/10)+Skills!N19</f>
        <v/>
      </c>
      <c r="G1688">
        <f>Calc!G19</f>
        <v/>
      </c>
      <c r="H1688">
        <f>Calc!H19</f>
        <v/>
      </c>
      <c r="I1688">
        <f>IF(Skills!T19&lt;&gt;"",1+(Skills!T19/10)*(Z1672/1000)/100,1)</f>
        <v/>
      </c>
      <c r="J1688" t="inlineStr"/>
      <c r="K1688" t="inlineStr"/>
      <c r="L1688" t="inlineStr"/>
      <c r="M1688" t="inlineStr"/>
      <c r="N1688" t="inlineStr"/>
      <c r="O1688">
        <f>(1-Summary!$B$11)*S1688+Summary!$B$11*U1688</f>
        <v/>
      </c>
      <c r="P1688">
        <f>IF(B1706=0,0,O1688/B1706)</f>
        <v/>
      </c>
      <c r="Q1688">
        <f>IFERROR(1/(IF(Inputs!$B$38="pvp",15,MAX(0.1,Skills!D19-IF(TRUE=TRUE,Inputs!$B$32,0)))*(1-IF(AND(ArtifactsInput!$M$27,Inputs!$B$4="Chapter Hunt"),CHOOSE(ArtifactsInput!$N$27+1,20,24,28,32,36,40),0)/100)),0)</f>
        <v/>
      </c>
      <c r="R1688" t="n">
        <v>0</v>
      </c>
      <c r="S1688" t="n">
        <v>0</v>
      </c>
      <c r="U1688" t="n">
        <v>0</v>
      </c>
    </row>
    <row r="1689">
      <c r="A1689">
        <f>Skills!A20</f>
        <v/>
      </c>
      <c r="B1689">
        <f>Skills!B20</f>
        <v/>
      </c>
      <c r="C1689">
        <f>Inputs!$B$3&gt;=74</f>
        <v/>
      </c>
      <c r="D1689">
        <f>IF(Skills!C20=1,60+Inputs!$B$25+Inputs!$B$29,IF(Skills!C20=2,90+Inputs!$B$26+Inputs!$B$29,IF(Skills!C20=3,120+Inputs!$B$27+Inputs!$B$29,MAX(0,(Inputs!$B$3-100)*3)+Inputs!$B$28+Inputs!$B$29)))</f>
        <v/>
      </c>
      <c r="E1689">
        <f>INDEX(FactorTable!$B$2:$Y$301, MATCH(ROUND(MIN(300,MAX(1,D1689)),0), FactorTable!$A$2:$A$301,0), Skills!L20+1)</f>
        <v/>
      </c>
      <c r="F1689">
        <f>IF(Skills!M20=TRUE,(Skills!K20/10)*(E1689/1000),Skills!K20/10)+Skills!N20</f>
        <v/>
      </c>
      <c r="G1689">
        <f>Calc!G20</f>
        <v/>
      </c>
      <c r="H1689">
        <f>Calc!H20</f>
        <v/>
      </c>
      <c r="I1689">
        <f>IF(Skills!T20&lt;&gt;"",1+(Skills!T20/10)*(Z1672/1000)/100,1)</f>
        <v/>
      </c>
      <c r="J1689" t="inlineStr"/>
      <c r="K1689" t="inlineStr"/>
      <c r="L1689" t="inlineStr"/>
      <c r="M1689" t="inlineStr"/>
      <c r="N1689" t="inlineStr"/>
      <c r="O1689">
        <f>(1-Summary!$B$11)*S1689+Summary!$B$11*U1689</f>
        <v/>
      </c>
      <c r="P1689">
        <f>IF(B1706=0,0,O1689/B1706)</f>
        <v/>
      </c>
      <c r="Q1689">
        <f>IFERROR(1/(IF(Inputs!$B$38="pvp",15,MAX(0.1,Skills!D20-IF(TRUE=TRUE,Inputs!$B$32,0)))*(1-IF(AND(ArtifactsInput!$M$27,Inputs!$B$4="Chapter Hunt"),CHOOSE(ArtifactsInput!$N$27+1,20,24,28,32,36,40),0)/100)),0)</f>
        <v/>
      </c>
      <c r="R1689" t="n">
        <v>0</v>
      </c>
      <c r="S1689" t="n">
        <v>0</v>
      </c>
      <c r="U1689" t="n">
        <v>0</v>
      </c>
    </row>
    <row r="1690">
      <c r="A1690">
        <f>Skills!A21</f>
        <v/>
      </c>
      <c r="B1690">
        <f>Skills!B21</f>
        <v/>
      </c>
      <c r="C1690">
        <f>Inputs!$B$3&gt;=74</f>
        <v/>
      </c>
      <c r="D1690">
        <f>IF(Skills!C21=1,60+Inputs!$B$25+Inputs!$B$29,IF(Skills!C21=2,90+Inputs!$B$26+Inputs!$B$29,IF(Skills!C21=3,120+Inputs!$B$27+Inputs!$B$29,MAX(0,(Inputs!$B$3-100)*3)+Inputs!$B$28+Inputs!$B$29)))</f>
        <v/>
      </c>
      <c r="E1690">
        <f>INDEX(FactorTable!$B$2:$Y$301, MATCH(ROUND(MIN(300,MAX(1,D1690)),0), FactorTable!$A$2:$A$301,0), Skills!L21+1)</f>
        <v/>
      </c>
      <c r="F1690">
        <f>IF(Skills!M21=TRUE,(Skills!K21/10)*(E1690/1000),Skills!K21/10)+Skills!N21</f>
        <v/>
      </c>
      <c r="G1690">
        <f>Calc!G21</f>
        <v/>
      </c>
      <c r="H1690">
        <f>Calc!H21</f>
        <v/>
      </c>
      <c r="I1690">
        <f>IF(Skills!T21&lt;&gt;"",1+(Skills!T21/10)*(Z1672/1000)/100,1)</f>
        <v/>
      </c>
      <c r="J1690" t="inlineStr"/>
      <c r="K1690" t="inlineStr"/>
      <c r="L1690" t="inlineStr"/>
      <c r="M1690" t="inlineStr"/>
      <c r="N1690" t="inlineStr"/>
      <c r="O1690">
        <f>(1-Summary!$B$11)*S1690+Summary!$B$11*U1690</f>
        <v/>
      </c>
      <c r="P1690">
        <f>IF(B1706=0,0,O1690/B1706)</f>
        <v/>
      </c>
      <c r="Q1690">
        <f>IFERROR(1/(IF(Inputs!$B$38="pvp",15,MAX(0.1,Skills!D21-IF(TRUE=TRUE,Inputs!$B$32,0)))*(1-IF(AND(ArtifactsInput!$M$27,Inputs!$B$4="Chapter Hunt"),CHOOSE(ArtifactsInput!$N$27+1,20,24,28,32,36,40),0)/100)),0)</f>
        <v/>
      </c>
      <c r="R1690" t="n">
        <v>0</v>
      </c>
      <c r="S1690" t="n">
        <v>0</v>
      </c>
      <c r="U1690" t="n">
        <v>0</v>
      </c>
    </row>
    <row r="1691">
      <c r="A1691">
        <f>Skills!A22</f>
        <v/>
      </c>
      <c r="B1691">
        <f>Skills!B22</f>
        <v/>
      </c>
      <c r="C1691">
        <f>Inputs!$B$3&gt;=117</f>
        <v/>
      </c>
      <c r="D1691">
        <f>IF(Skills!C22=1,60+Inputs!$B$25+Inputs!$B$29,IF(Skills!C22=2,90+Inputs!$B$26+Inputs!$B$29,IF(Skills!C22=3,120+Inputs!$B$27+Inputs!$B$29,MAX(0,(Inputs!$B$3-100)*3)+Inputs!$B$28+Inputs!$B$29)))</f>
        <v/>
      </c>
      <c r="E1691">
        <f>INDEX(FactorTable!$B$2:$Y$301, MATCH(ROUND(MIN(300,MAX(1,D1691)),0), FactorTable!$A$2:$A$301,0), Skills!L22+1)</f>
        <v/>
      </c>
      <c r="F1691">
        <f>IF(Skills!M22=TRUE,(Skills!K22/10)*(E1691/1000),Skills!K22/10)+Skills!N22</f>
        <v/>
      </c>
      <c r="G1691">
        <f>Calc!G22</f>
        <v/>
      </c>
      <c r="H1691">
        <f>Calc!H22</f>
        <v/>
      </c>
      <c r="I1691">
        <f>IF(Skills!T22&lt;&gt;"",1+(Skills!T22/10)*(Z1672/1000)/100,1)</f>
        <v/>
      </c>
      <c r="J1691" t="inlineStr"/>
      <c r="K1691" t="inlineStr"/>
      <c r="L1691" t="inlineStr"/>
      <c r="M1691" t="inlineStr"/>
      <c r="N1691" t="inlineStr"/>
      <c r="O1691">
        <f>(1-Summary!$B$11)*S1691+Summary!$B$11*U1691</f>
        <v/>
      </c>
      <c r="P1691">
        <f>IF(B1706=0,0,O1691/B1706)</f>
        <v/>
      </c>
      <c r="Q1691">
        <f>IFERROR(1/(IF(Inputs!$B$38="pvp",15,MAX(0.1,Skills!D22-IF(TRUE=TRUE,Inputs!$B$32,0)))*(1-IF(AND(ArtifactsInput!$M$27,Inputs!$B$4="Chapter Hunt"),CHOOSE(ArtifactsInput!$N$27+1,20,24,28,32,36,40),0)/100)),0)</f>
        <v/>
      </c>
      <c r="R1691" t="n">
        <v>0</v>
      </c>
      <c r="S1691" t="n">
        <v>0</v>
      </c>
      <c r="U1691" t="n">
        <v>0</v>
      </c>
    </row>
    <row r="1692">
      <c r="A1692">
        <f>Skills!A23</f>
        <v/>
      </c>
      <c r="B1692">
        <f>Skills!B23</f>
        <v/>
      </c>
      <c r="C1692">
        <f>Inputs!$B$3&gt;=120</f>
        <v/>
      </c>
      <c r="D1692">
        <f>IF(Skills!C23=1,60+Inputs!$B$25+Inputs!$B$29,IF(Skills!C23=2,90+Inputs!$B$26+Inputs!$B$29,IF(Skills!C23=3,120+Inputs!$B$27+Inputs!$B$29,MAX(0,(Inputs!$B$3-100)*3)+Inputs!$B$28+Inputs!$B$29)))</f>
        <v/>
      </c>
      <c r="E1692">
        <f>INDEX(FactorTable!$B$2:$Y$301, MATCH(ROUND(MIN(300,MAX(1,D1692)),0), FactorTable!$A$2:$A$301,0), Skills!L23+1)</f>
        <v/>
      </c>
      <c r="F1692">
        <f>IF(Skills!M23=TRUE,(Skills!K23/10)*(E1692/1000),Skills!K23/10)+Skills!N23</f>
        <v/>
      </c>
      <c r="G1692">
        <f>Calc!G23</f>
        <v/>
      </c>
      <c r="H1692">
        <f>Calc!H23</f>
        <v/>
      </c>
      <c r="I1692">
        <f>IF(Skills!T23&lt;&gt;"",1+(Skills!T23/10)*(Z1672/1000)/100,1)</f>
        <v/>
      </c>
      <c r="J1692" t="inlineStr"/>
      <c r="K1692" t="inlineStr"/>
      <c r="L1692" t="inlineStr"/>
      <c r="M1692" t="inlineStr"/>
      <c r="N1692" t="inlineStr"/>
      <c r="O1692">
        <f>(1-Summary!$B$11)*S1692+Summary!$B$11*U1692</f>
        <v/>
      </c>
      <c r="P1692">
        <f>IF(B1706=0,0,O1692/B1706)</f>
        <v/>
      </c>
      <c r="Q1692">
        <f>IFERROR(1/(IF(Inputs!$B$38="pvp",15,MAX(0.1,Skills!D23-IF(TRUE=TRUE,Inputs!$B$32,0)))*(1-IF(AND(ArtifactsInput!$M$27,Inputs!$B$4="Chapter Hunt"),CHOOSE(ArtifactsInput!$N$27+1,20,24,28,32,36,40),0)/100)),0)</f>
        <v/>
      </c>
      <c r="R1692" t="n">
        <v>0</v>
      </c>
      <c r="S1692" t="n">
        <v>0</v>
      </c>
      <c r="U1692" t="n">
        <v>0</v>
      </c>
    </row>
    <row r="1693">
      <c r="A1693">
        <f>Skills!A24</f>
        <v/>
      </c>
      <c r="B1693">
        <f>Skills!B24</f>
        <v/>
      </c>
      <c r="C1693">
        <f>TRUE</f>
        <v/>
      </c>
      <c r="D1693">
        <f>IF(Skills!C24=1,60+Inputs!$B$25+Inputs!$B$29,IF(Skills!C24=2,90+Inputs!$B$26+Inputs!$B$29,IF(Skills!C24=3,120+Inputs!$B$27+Inputs!$B$29,MAX(0,(Inputs!$B$3-100)*3)+Inputs!$B$28+Inputs!$B$29)))</f>
        <v/>
      </c>
      <c r="E1693">
        <f>INDEX(FactorTable!$B$2:$Y$301, MATCH(ROUND(MIN(300,MAX(1,D1693)),0), FactorTable!$A$2:$A$301,0), Skills!L24+1)</f>
        <v/>
      </c>
      <c r="F1693">
        <f>IF(Skills!M24=TRUE,(Skills!K24/10)*(E1693/1000),Skills!K24/10)+Skills!N24</f>
        <v/>
      </c>
      <c r="G1693">
        <f>Calc!G24</f>
        <v/>
      </c>
      <c r="H1693">
        <f>Calc!H24</f>
        <v/>
      </c>
      <c r="I1693">
        <f>IF(Skills!T24&lt;&gt;"",1+(Skills!T24/10)*(Z1672/1000)/100,1)</f>
        <v/>
      </c>
      <c r="J1693" t="inlineStr"/>
      <c r="K1693" t="inlineStr"/>
      <c r="L1693" t="inlineStr"/>
      <c r="M1693" t="inlineStr"/>
      <c r="N1693" t="inlineStr"/>
      <c r="O1693">
        <f>(1-Summary!$B$11)*S1693+Summary!$B$11*U1693</f>
        <v/>
      </c>
      <c r="P1693">
        <f>IF(B1706=0,0,O1693/B1706)</f>
        <v/>
      </c>
      <c r="Q1693">
        <f>IFERROR(1/(IF(Inputs!$B$38="pvp",15,MAX(0.1,Skills!D24-IF(TRUE=TRUE,Inputs!$B$32,0)))*(1-IF(AND(ArtifactsInput!$M$27,Inputs!$B$4="Chapter Hunt"),CHOOSE(ArtifactsInput!$N$27+1,20,24,28,32,36,40),0)/100)),0)</f>
        <v/>
      </c>
      <c r="R1693">
        <f>IF(AND(Inputs!$B$38&lt;&gt;"pvp",Inputs!$B$43&gt;0),IF(Inputs!$B$43&lt;=0,0,(INT(Inputs!$B$43/(IF(Inputs!$B$38="pvp",15,MAX(0.1,Skills!D24-IF(TRUE=TRUE,Inputs!$B$32,0)))*(1-IF(AND(ArtifactsInput!$M$27,Inputs!$B$4="Chapter Hunt"),CHOOSE(ArtifactsInput!$N$27+1,20,24,28,32,36,40),0)/100)))+1)),0)</f>
        <v/>
      </c>
      <c r="S1693" t="n">
        <v>0</v>
      </c>
      <c r="U1693" t="n">
        <v>0</v>
      </c>
    </row>
    <row r="1696">
      <c r="A1696" t="inlineStr">
        <is>
          <t>Average Buff Multiplier (Magic Guard + Meditation + Artifact Attack%, summed; then Infinity)</t>
        </is>
      </c>
      <c r="B1696">
        <f>(1+(IF(C1672=TRUE,F1672*IF(AND(Inputs!$B$38&lt;&gt;"pvp",Inputs!$B$43&gt;0),(((R1672-1)*MIN((Skills!S3*(1+(Inputs!$B$34)/100)),(1/Q1672))+MIN((Skills!S3*(1+(Inputs!$B$34)/100)),MAX(0,Inputs!$B$43-((R1672-1)*(1/Q1672)))))/Inputs!$B$43),IF(Inputs!$B$38="pvp",MIN((Skills!S3*(1+(Inputs!$B$34)/100)),15)/15,MIN(1,(Skills!S3*(1+(Inputs!$B$34)/100))/(1/Q1672)))),0)+IF(C1673=TRUE,F1673*IF(AND(Inputs!$B$38&lt;&gt;"pvp",Inputs!$B$43&gt;0),(((R1673-1)*MIN((Skills!S4*(1+(Inputs!$B$34)/100)),(1/Q1673))+MIN((Skills!S4*(1+(Inputs!$B$34)/100)),MAX(0,Inputs!$B$43-((R1673-1)*(1/Q1673)))))/Inputs!$B$43),IF(Inputs!$B$38="pvp",MIN((Skills!S4*(1+(Inputs!$B$34)/100)),15)/15,MIN(1,(Skills!S4*(1+(Inputs!$B$34)/100))/(1/Q1673)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1685=TRUE,(1+F1685*IF(AND(Inputs!$B$38&lt;&gt;"pvp",Inputs!$B$43&gt;0),(((R1685-1)*MIN((Skills!S16*(1+(Inputs!$B$34)/100)),(1/Q1685))+MIN((Skills!S16*(1+(Inputs!$B$34)/100)),MAX(0,Inputs!$B$43-((R1685-1)*(1/Q1685)))))/Inputs!$B$43),IF(Inputs!$B$38="pvp",MIN((Skills!S16*(1+(Inputs!$B$34)/100)),15)/15,MIN(1,(Skills!S16*(1+(Inputs!$B$34)/100))/(1/Q1685))))/100),1)</f>
        <v/>
      </c>
    </row>
    <row r="1697">
      <c r="A1697" t="inlineStr">
        <is>
          <t>Monster Damage Taken Bonus % (Freezing Breath - Weaken + Elemental Reset + Artifact Enemy Damage Taken, summed)</t>
        </is>
      </c>
      <c r="B1697">
        <f>IF(Inputs!$B$3&gt;=118,15*IF(Inputs!$B$38="pvp",MIN((30*(1+(Inputs!$B$34)/100)),15)/15,MIN(1,(30*(1+(Inputs!$B$34)/100))/(1/Q1677))),0)+IF(C1683=TRUE,F1683,0)+(IF(AND(ArtifactsInput!$M$35,Inputs!$B$4&lt;&gt;"Chapter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f>
        <v/>
      </c>
    </row>
    <row r="1698">
      <c r="A1698" t="inlineStr">
        <is>
          <t>Damage % Bonus (Frozen Break + Frost Clutch, flat)</t>
        </is>
      </c>
      <c r="B1698">
        <f>IF(Inputs!$B$3&gt;=66,15,0)+IF(Inputs!$B$3&gt;=98,10,0)+IF(Inputs!$B$3&gt;=125,20,0)</f>
        <v/>
      </c>
    </row>
    <row r="1699">
      <c r="A1699" t="inlineStr">
        <is>
          <t>Attack Speed Bonus % (MP Eater - MP Boost, always-on + Nimble Feet, duty-cycle averaged)</t>
        </is>
      </c>
      <c r="B1699">
        <f>IF(C1682=TRUE,F1682+(F1686-Calc!F17),0)+((C1693=TRUE)*F1693*IF(AND(Inputs!$B$38&lt;&gt;"pvp",Inputs!$B$43&gt;0),(((R1693-1)*MIN((Skills!S24*(1+(Inputs!$B$34)/100)),(1/Q1693))+MIN((Skills!S24*(1+(Inputs!$B$34)/100)),MAX(0,Inputs!$B$43-((R1693-1)*(1/Q1693)))))/Inputs!$B$43),IF(Inputs!$B$38="pvp",MIN((Skills!S24*(1+(Inputs!$B$34)/100)),15)/15,MIN(1,(Skills!S24*(1+(Inputs!$B$34)/100))/(1/Q1693)))))</f>
        <v/>
      </c>
    </row>
    <row r="1700">
      <c r="A1700" t="inlineStr">
        <is>
          <t>Actions Per Second</t>
        </is>
      </c>
      <c r="B1700">
        <f>1+MIN(150,150*(1-(1-(Inputs!$B$11+(ArtifactsInput!$M$15-ArtifactsInput!$M$15)*CHOOSE(ArtifactsInput!$N$15+1,8,9.6,11.2,12.8,14.4,16))/150)*(1-B1699/150)))/100</f>
        <v/>
      </c>
    </row>
    <row r="1701">
      <c r="A1701" t="inlineStr">
        <is>
          <t>Skill + Buff Cast Rate</t>
        </is>
      </c>
      <c r="B1701">
        <f>IF(AND(Inputs!$B$38&lt;&gt;"pvp",Inputs!$B$43&gt;0),SUMPRODUCT((Skills!E2:E24=TRUE)*(C1671:C1693=TRUE)*R1671:R1693)/Inputs!$B$43,SUMPRODUCT((Skills!E2:E24=TRUE)*(C1671:C1693=TRUE)*Q1671:Q1693))</f>
        <v/>
      </c>
    </row>
    <row r="1702">
      <c r="A1702" t="inlineStr">
        <is>
          <t>Chain Lightning Casts Per Second</t>
        </is>
      </c>
      <c r="B1702">
        <f>MAX(0,B1700-B1701)</f>
        <v/>
      </c>
    </row>
    <row r="1703">
      <c r="A1703" t="inlineStr">
        <is>
          <t>Buff-Casting Startup Delay (s, fixed-duration only)</t>
        </is>
      </c>
      <c r="B1703">
        <f>IF(AND(Inputs!$B$38&lt;&gt;"pvp",Inputs!$B$43&gt;0),SUMPRODUCT((Skills!S2:S24&gt;0)*(Skills!E2:E24=TRUE)*(C1671:C1693=TRUE))/B1700,0)</f>
        <v/>
      </c>
    </row>
    <row r="1704">
      <c r="A1704" t="inlineStr">
        <is>
          <t>Boss-Only Total DPS (this block's swept value)</t>
        </is>
      </c>
      <c r="B1704">
        <f>SUM(S1671:S1693)</f>
        <v/>
      </c>
    </row>
    <row r="1705">
      <c r="A1705" t="inlineStr">
        <is>
          <t>Normal-Only Total DPS (this block's swept value)</t>
        </is>
      </c>
      <c r="B1705">
        <f>SUM(U1671:U1693)</f>
        <v/>
      </c>
    </row>
    <row r="1706">
      <c r="A1706" s="6" t="inlineStr">
        <is>
          <t>TOTAL DPS</t>
        </is>
      </c>
      <c r="B1706" s="6">
        <f>SUM(O1671:O1693)</f>
        <v/>
      </c>
    </row>
    <row r="1707">
      <c r="A1707" t="inlineStr">
        <is>
          <t>Blizzard Final Attack trigger rate (this block's own Q/R)</t>
        </is>
      </c>
      <c r="B1707">
        <f>IF(AND(Inputs!$B$38&lt;&gt;"pvp",Inputs!$B$43&gt;0),(((C1674=TRUE)*R1674*1)+((C1675=TRUE)*R1675*1)+((C1677=TRUE)*R1677*1)+((C1678=TRUE)*R1678*3)+((C1680=TRUE)*R1680*1))/Inputs!$B$43,((C1674=TRUE)*Q1674*1)+((C1675=TRUE)*Q1675*1)+((C1677=TRUE)*Q1677*1)+((C1678=TRUE)*Q1678*3)+((C1680=TRUE)*Q1680*1))+B1702</f>
        <v/>
      </c>
    </row>
    <row r="1710">
      <c r="A1710" s="6" t="inlineStr">
        <is>
          <t>Stat: Silver Pendant (Equip)</t>
        </is>
      </c>
    </row>
    <row r="1711">
      <c r="A1711" s="5" t="inlineStr">
        <is>
          <t>Key</t>
        </is>
      </c>
      <c r="B1711" s="5" t="inlineStr">
        <is>
          <t>Name</t>
        </is>
      </c>
      <c r="C1711" s="5" t="inlineStr">
        <is>
          <t>Unlocked</t>
        </is>
      </c>
      <c r="D1711" s="5" t="inlineStr">
        <is>
          <t>InputLevel</t>
        </is>
      </c>
      <c r="E1711" s="5" t="inlineStr">
        <is>
          <t>Factor</t>
        </is>
      </c>
      <c r="F1711" s="5" t="inlineStr">
        <is>
          <t>CoefficientPercent</t>
        </is>
      </c>
      <c r="G1711" s="5" t="inlineStr">
        <is>
          <t>EffectiveHits</t>
        </is>
      </c>
      <c r="H1711" s="5" t="inlineStr">
        <is>
          <t>ProcProbability</t>
        </is>
      </c>
      <c r="I1711" s="5" t="inlineStr">
        <is>
          <t>MapleHeroMultiplier</t>
        </is>
      </c>
      <c r="J1711" s="5" t="inlineStr">
        <is>
          <t>BaseDamage</t>
        </is>
      </c>
      <c r="K1711" s="5" t="inlineStr">
        <is>
          <t>BaseHitDamage</t>
        </is>
      </c>
      <c r="L1711" s="5" t="inlineStr">
        <is>
          <t>NonCritAvg</t>
        </is>
      </c>
      <c r="M1711" s="5" t="inlineStr">
        <is>
          <t>CritAvg</t>
        </is>
      </c>
      <c r="N1711" s="5" t="inlineStr">
        <is>
          <t>ExpectedDamage(perHit)</t>
        </is>
      </c>
      <c r="O1711" s="5" t="inlineStr">
        <is>
          <t>DPS</t>
        </is>
      </c>
      <c r="P1711" s="5" t="inlineStr">
        <is>
          <t>% of Total</t>
        </is>
      </c>
      <c r="R1711" t="inlineStr">
        <is>
          <t>helpers</t>
        </is>
      </c>
    </row>
    <row r="1712">
      <c r="A1712">
        <f>Skills!A2</f>
        <v/>
      </c>
      <c r="B1712">
        <f>Skills!B2</f>
        <v/>
      </c>
      <c r="C1712">
        <f>Inputs!$B$3&gt;=100</f>
        <v/>
      </c>
      <c r="D1712" t="inlineStr"/>
      <c r="E1712" t="inlineStr"/>
      <c r="F1712">
        <f>T1714+Skills!N2</f>
        <v/>
      </c>
      <c r="G1712">
        <f>Calc!G2</f>
        <v/>
      </c>
      <c r="H1712">
        <f>Calc!H2</f>
        <v/>
      </c>
      <c r="I1712">
        <f>IF(Skills!T2&lt;&gt;"",1+(Skills!T2/10)*(Z1713/1000)/100,1)</f>
        <v/>
      </c>
      <c r="J1712">
        <f>((Inputs!$B$6*(1+Inputs!$B$7/100))+(((Inputs!$B$12*(1+Inputs!$B$13/100))-(Inputs!$B$12*(1+Inputs!$B$13/100)))+0.25*(Inputs!$B$14-Inputs!$B$14))*(1+Inputs!$B$7/100))*(F1712/100)</f>
        <v/>
      </c>
      <c r="K1712">
        <f>J1712*(1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2="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1712)</f>
        <v/>
      </c>
      <c r="L1712">
        <f>K1712*(MIN(Inputs!$B$22+(F1728-Calc!F18),(Inputs!$B$23+(IF(ArtifactsInput!$M$15,CHOOSE(ArtifactsInput!$N$15+1,25,30,35,40,45,50)/100*(Inputs!$B$11-Inputs!$B$11),0))))/100+(Inputs!$B$23+(IF(ArtifactsInput!$M$15,CHOOSE(ArtifactsInput!$N$15+1,25,30,35,40,45,50)/100*(Inputs!$B$11-Inputs!$B$11),0)))/100)/2</f>
        <v/>
      </c>
      <c r="M1712">
        <f>L1712*(1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2">
        <f>L1712*(1-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1712*(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2">
        <f>(1-Summary!$B$11)*S1712+Summary!$B$11*U1712</f>
        <v/>
      </c>
      <c r="P1712">
        <f>IF(B1747=0,0,O1712/B1747)</f>
        <v/>
      </c>
      <c r="Q1712">
        <f>IFERROR(1/(IF(Inputs!$B$38="pvp",15,MAX(0.1,Skills!D2-IF(TRUE=TRUE,Inputs!$B$32,0)))*(1-IF(AND(ArtifactsInput!$M$27,Inputs!$B$4="Chapter Hunt"),CHOOSE(ArtifactsInput!$N$27+1,20,24,28,32,36,40),0)/100)),0)</f>
        <v/>
      </c>
      <c r="R1712" t="n">
        <v>0</v>
      </c>
      <c r="S1712">
        <f>IF(C1712,(Skills!F2*N1712*B1743)*IF(Inputs!$B$38="pvp",1,1+(Inputs!$B$20+Skills!O2+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1712*(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1712*(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12">
        <f>MAX(0,(Inputs!$B$3-100)*3)+Inputs!$B$28+Inputs!$B$29</f>
        <v/>
      </c>
      <c r="U1712">
        <f>IF(C1712,(Skills!F2*N1712*B1743)*IF(Inputs!$B$38="pvp",1,(1+(Inputs!$B$21+Skills!P2+B1738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12">
        <f>MAX(0,(Inputs!$B$3-100)*3)+Inputs!$B$28+Inputs!$B$29</f>
        <v/>
      </c>
    </row>
    <row r="1713">
      <c r="A1713">
        <f>Skills!A3</f>
        <v/>
      </c>
      <c r="B1713">
        <f>Skills!B3</f>
        <v/>
      </c>
      <c r="C1713">
        <f>Inputs!$B$3&gt;=15</f>
        <v/>
      </c>
      <c r="D1713">
        <f>IF(Skills!C3=1,60+Inputs!$B$25+Inputs!$B$29,IF(Skills!C3=2,90+Inputs!$B$26+Inputs!$B$29,IF(Skills!C3=3,120+Inputs!$B$27+Inputs!$B$29,MAX(0,(Inputs!$B$3-100)*3)+Inputs!$B$28+Inputs!$B$29)))</f>
        <v/>
      </c>
      <c r="E1713">
        <f>INDEX(FactorTable!$B$2:$Y$301, MATCH(ROUND(MIN(300,MAX(1,D1713)),0), FactorTable!$A$2:$A$301,0), Skills!L3+1)</f>
        <v/>
      </c>
      <c r="F1713">
        <f>IF(Skills!M3=TRUE,(Skills!K3/10)*(E1713/1000),Skills!K3/10)+Skills!N3</f>
        <v/>
      </c>
      <c r="G1713">
        <f>Calc!G3</f>
        <v/>
      </c>
      <c r="H1713">
        <f>Calc!H3</f>
        <v/>
      </c>
      <c r="I1713">
        <f>IF(Skills!T3&lt;&gt;"",1+(Skills!T3/10)*(Z1713/1000)/100,1)</f>
        <v/>
      </c>
      <c r="J1713" t="inlineStr"/>
      <c r="K1713" t="inlineStr"/>
      <c r="L1713" t="inlineStr"/>
      <c r="M1713" t="inlineStr"/>
      <c r="N1713" t="inlineStr"/>
      <c r="O1713">
        <f>(1-Summary!$B$11)*S1713+Summary!$B$11*U1713</f>
        <v/>
      </c>
      <c r="P1713">
        <f>IF(B1747=0,0,O1713/B1747)</f>
        <v/>
      </c>
      <c r="Q1713">
        <f>IFERROR(1/(IF(Inputs!$B$38="pvp",15,MAX(0.1,Skills!D3-IF(TRUE=TRUE,Inputs!$B$32,0)))*(1-IF(AND(ArtifactsInput!$M$27,Inputs!$B$4="Chapter Hunt"),CHOOSE(ArtifactsInput!$N$27+1,20,24,28,32,36,40),0)/100)),0)</f>
        <v/>
      </c>
      <c r="R1713">
        <f>IF(AND(Inputs!$B$38&lt;&gt;"pvp",Inputs!$B$43&gt;0),IF(Inputs!$B$43&lt;=0,0,(INT(Inputs!$B$43/(IF(Inputs!$B$38="pvp",15,MAX(0.1,Skills!D3-IF(TRUE=TRUE,Inputs!$B$32,0)))*(1-IF(AND(ArtifactsInput!$M$27,Inputs!$B$4="Chapter Hunt"),CHOOSE(ArtifactsInput!$N$27+1,20,24,28,32,36,40),0)/100)))+1)),0)</f>
        <v/>
      </c>
      <c r="S1713" t="n">
        <v>0</v>
      </c>
      <c r="T1713">
        <f>INDEX(FactorTable!$B$2:$Y$301, MATCH(ROUND(MIN(300,MAX(1,T1712)),0), FactorTable!$A$2:$A$301,0), 22)</f>
        <v/>
      </c>
      <c r="U1713" t="n">
        <v>0</v>
      </c>
      <c r="Z1713">
        <f>INDEX(FactorTable!$B$2:$Y$301, MATCH(ROUND(MIN(300,MAX(1,Z1712)),0), FactorTable!$A$2:$A$301,0), 24)</f>
        <v/>
      </c>
    </row>
    <row r="1714">
      <c r="A1714">
        <f>Skills!A4</f>
        <v/>
      </c>
      <c r="B1714">
        <f>Skills!B4</f>
        <v/>
      </c>
      <c r="C1714">
        <f>Inputs!$B$3&gt;=40</f>
        <v/>
      </c>
      <c r="D1714">
        <f>IF(Skills!C4=1,60+Inputs!$B$25+Inputs!$B$29,IF(Skills!C4=2,90+Inputs!$B$26+Inputs!$B$29,IF(Skills!C4=3,120+Inputs!$B$27+Inputs!$B$29,MAX(0,(Inputs!$B$3-100)*3)+Inputs!$B$28+Inputs!$B$29)))</f>
        <v/>
      </c>
      <c r="E1714">
        <f>INDEX(FactorTable!$B$2:$Y$301, MATCH(ROUND(MIN(300,MAX(1,D1714)),0), FactorTable!$A$2:$A$301,0), Skills!L4+1)</f>
        <v/>
      </c>
      <c r="F1714">
        <f>IF(Skills!M4=TRUE,(Skills!K4/10)*(E1714/1000),Skills!K4/10)+Skills!N4</f>
        <v/>
      </c>
      <c r="G1714">
        <f>Calc!G4</f>
        <v/>
      </c>
      <c r="H1714">
        <f>Calc!H4</f>
        <v/>
      </c>
      <c r="I1714">
        <f>IF(Skills!T4&lt;&gt;"",1+(Skills!T4/10)*(Z1713/1000)/100,1)</f>
        <v/>
      </c>
      <c r="J1714" t="inlineStr"/>
      <c r="K1714" t="inlineStr"/>
      <c r="L1714" t="inlineStr"/>
      <c r="M1714" t="inlineStr"/>
      <c r="N1714" t="inlineStr"/>
      <c r="O1714">
        <f>(1-Summary!$B$11)*S1714+Summary!$B$11*U1714</f>
        <v/>
      </c>
      <c r="P1714">
        <f>IF(B1747=0,0,O1714/B1747)</f>
        <v/>
      </c>
      <c r="Q1714">
        <f>IFERROR(1/(IF(Inputs!$B$38="pvp",15,MAX(0.1,Skills!D4-IF(TRUE=TRUE,Inputs!$B$32,0)))*(1-IF(AND(ArtifactsInput!$M$27,Inputs!$B$4="Chapter Hunt"),CHOOSE(ArtifactsInput!$N$27+1,20,24,28,32,36,40),0)/100)),0)</f>
        <v/>
      </c>
      <c r="R1714">
        <f>IF(AND(Inputs!$B$38&lt;&gt;"pvp",Inputs!$B$43&gt;0),IF(Inputs!$B$43&lt;=0,0,(INT(Inputs!$B$43/(IF(Inputs!$B$38="pvp",15,MAX(0.1,Skills!D4-IF(TRUE=TRUE,Inputs!$B$32,0)))*(1-IF(AND(ArtifactsInput!$M$27,Inputs!$B$4="Chapter Hunt"),CHOOSE(ArtifactsInput!$N$27+1,20,24,28,32,36,40),0)/100)))+1)),0)</f>
        <v/>
      </c>
      <c r="S1714" t="n">
        <v>0</v>
      </c>
      <c r="T1714">
        <f>290*T1713/1000</f>
        <v/>
      </c>
      <c r="U1714" t="n">
        <v>0</v>
      </c>
    </row>
    <row r="1715">
      <c r="A1715">
        <f>Skills!A5</f>
        <v/>
      </c>
      <c r="B1715">
        <f>Skills!B5</f>
        <v/>
      </c>
      <c r="C1715">
        <f>Inputs!$B$3&gt;=38</f>
        <v/>
      </c>
      <c r="D1715">
        <f>IF(Skills!C5=1,60+Inputs!$B$25+Inputs!$B$29,IF(Skills!C5=2,90+Inputs!$B$26+Inputs!$B$29,IF(Skills!C5=3,120+Inputs!$B$27+Inputs!$B$29,MAX(0,(Inputs!$B$3-100)*3)+Inputs!$B$28+Inputs!$B$29)))</f>
        <v/>
      </c>
      <c r="E1715">
        <f>INDEX(FactorTable!$B$2:$Y$301, MATCH(ROUND(MIN(300,MAX(1,D1715)),0), FactorTable!$A$2:$A$301,0), Skills!L5+1)</f>
        <v/>
      </c>
      <c r="F1715">
        <f>IF(Skills!M5=TRUE,(Skills!K5/10)*(E1715/1000),Skills!K5/10)+Skills!N5</f>
        <v/>
      </c>
      <c r="G1715">
        <f>Calc!G5</f>
        <v/>
      </c>
      <c r="H1715">
        <f>Calc!H5</f>
        <v/>
      </c>
      <c r="I1715">
        <f>IF(Skills!T5&lt;&gt;"",1+(Skills!T5/10)*(Z1713/1000)/100,1)</f>
        <v/>
      </c>
      <c r="J1715">
        <f>((Inputs!$B$6*(1+Inputs!$B$7/100))+(((Inputs!$B$12*(1+Inputs!$B$13/100))-(Inputs!$B$12*(1+Inputs!$B$13/100)))+0.25*(Inputs!$B$14-Inputs!$B$14))*(1+Inputs!$B$7/100))*(F1715/100)</f>
        <v/>
      </c>
      <c r="K1715">
        <f>J1715*(1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5="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1715)</f>
        <v/>
      </c>
      <c r="L1715">
        <f>K1715*(MIN(Inputs!$B$22+(F1728-Calc!F18),(Inputs!$B$23+(IF(ArtifactsInput!$M$15,CHOOSE(ArtifactsInput!$N$15+1,25,30,35,40,45,50)/100*(Inputs!$B$11-Inputs!$B$11),0))))/100+(Inputs!$B$23+(IF(ArtifactsInput!$M$15,CHOOSE(ArtifactsInput!$N$15+1,25,30,35,40,45,50)/100*(Inputs!$B$11-Inputs!$B$11),0)))/100)/2</f>
        <v/>
      </c>
      <c r="M1715">
        <f>L1715*(1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5">
        <f>L1715*(1-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1715*(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5">
        <f>(1-Summary!$B$11)*S1715+Summary!$B$11*U1715</f>
        <v/>
      </c>
      <c r="P1715">
        <f>IF(B1747=0,0,O1715/B1747)</f>
        <v/>
      </c>
      <c r="Q1715">
        <f>IFERROR(1/(IF(Inputs!$B$38="pvp",15,MAX(0.1,Skills!D5-IF(TRUE=TRUE,Inputs!$B$32,0)))*(1-IF(AND(ArtifactsInput!$M$27,Inputs!$B$4="Chapter Hunt"),CHOOSE(ArtifactsInput!$N$27+1,20,24,28,32,36,40),0)/100)),0)</f>
        <v/>
      </c>
      <c r="R1715">
        <f>IF(AND(Inputs!$B$38&lt;&gt;"pvp",Inputs!$B$43&gt;0),IF(MAX(0,Inputs!$B$43-B1744)&lt;=0,0,(INT(MAX(0,Inputs!$B$43-B1744)/(IF(Inputs!$B$38="pvp",15,MAX(0.1,Skills!D5-IF(TRUE=TRUE,Inputs!$B$32,0)))*(1-IF(AND(ArtifactsInput!$M$27,Inputs!$B$4="Chapter Hunt"),CHOOSE(ArtifactsInput!$N$27+1,20,24,28,32,36,40),0)/100)))+1)),0)</f>
        <v/>
      </c>
      <c r="S1715">
        <f>IF(C1715,(H1715*N1715*IF(AND(Inputs!$B$38&lt;&gt;"pvp",Inputs!$B$43&gt;0),((Skills!F5*((R1715-1)*IF(Skills!G5&gt;0,Skills!H5/Skills!G5,1)+IF(Skills!G5&gt;0,MIN(Skills!H5,MAX(0,MAX(0,Inputs!$B$43-B1744)-((R1715-1)*(IF(Inputs!$B$38="pvp",15,MAX(0.1,Skills!D5-IF(TRUE=TRUE,Inputs!$B$32,0)))*(1-IF(AND(ArtifactsInput!$M$27,Inputs!$B$4="Chapter Hunt"),CHOOSE(ArtifactsInput!$N$27+1,20,24,28,32,36,40),0)/100)))))/Skills!G5,1)))/Inputs!$B$43),G1715*Q1715))*IF(Inputs!$B$38="pvp",1,1+(Inputs!$B$20+Skills!O5+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1715*(1-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1715*(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1715*(1-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1715*(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5">
        <f>IF(C1715,(H1715*N1715*IF(AND(Inputs!$B$38&lt;&gt;"pvp",Inputs!$B$43&gt;0),((Skills!F5*((R1715-1)*IF(Skills!G5&gt;0,Skills!H5/Skills!G5,1)+IF(Skills!G5&gt;0,MIN(Skills!H5,MAX(0,MAX(0,Inputs!$B$43-B1744)-((R1715-1)*(IF(Inputs!$B$38="pvp",15,MAX(0.1,Skills!D5-IF(TRUE=TRUE,Inputs!$B$32,0)))*(1-IF(AND(ArtifactsInput!$M$27,Inputs!$B$4="Chapter Hunt"),CHOOSE(ArtifactsInput!$N$27+1,20,24,28,32,36,40),0)/100)))))/Skills!G5,1)))/Inputs!$B$43),G1715*Q1715))*IF(Inputs!$B$38="pvp",1,(1+(Inputs!$B$21+Skills!P5+B1738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6">
      <c r="A1716">
        <f>Skills!A6</f>
        <v/>
      </c>
      <c r="B1716">
        <f>Skills!B6</f>
        <v/>
      </c>
      <c r="C1716">
        <f>Inputs!$B$3&gt;=63</f>
        <v/>
      </c>
      <c r="D1716">
        <f>IF(Skills!C6=1,60+Inputs!$B$25+Inputs!$B$29,IF(Skills!C6=2,90+Inputs!$B$26+Inputs!$B$29,IF(Skills!C6=3,120+Inputs!$B$27+Inputs!$B$29,MAX(0,(Inputs!$B$3-100)*3)+Inputs!$B$28+Inputs!$B$29)))</f>
        <v/>
      </c>
      <c r="E1716">
        <f>INDEX(FactorTable!$B$2:$Y$301, MATCH(ROUND(MIN(300,MAX(1,D1716)),0), FactorTable!$A$2:$A$301,0), Skills!L6+1)</f>
        <v/>
      </c>
      <c r="F1716">
        <f>IF(Skills!M6=TRUE,(Skills!K6/10)*(E1716/1000),Skills!K6/10)+Skills!N6</f>
        <v/>
      </c>
      <c r="G1716">
        <f>Calc!G6</f>
        <v/>
      </c>
      <c r="H1716">
        <f>Calc!H6</f>
        <v/>
      </c>
      <c r="I1716">
        <f>IF(Skills!T6&lt;&gt;"",1+(Skills!T6/10)*(Z1713/1000)/100,1)</f>
        <v/>
      </c>
      <c r="J1716">
        <f>((Inputs!$B$6*(1+Inputs!$B$7/100))+(((Inputs!$B$12*(1+Inputs!$B$13/100))-(Inputs!$B$12*(1+Inputs!$B$13/100)))+0.25*(Inputs!$B$14-Inputs!$B$14))*(1+Inputs!$B$7/100))*(F1716/100)</f>
        <v/>
      </c>
      <c r="K1716">
        <f>J1716*(1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6="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1716)</f>
        <v/>
      </c>
      <c r="L1716">
        <f>K1716*(MIN(Inputs!$B$22+(F1728-Calc!F18),(Inputs!$B$23+(IF(ArtifactsInput!$M$15,CHOOSE(ArtifactsInput!$N$15+1,25,30,35,40,45,50)/100*(Inputs!$B$11-Inputs!$B$11),0))))/100+(Inputs!$B$23+(IF(ArtifactsInput!$M$15,CHOOSE(ArtifactsInput!$N$15+1,25,30,35,40,45,50)/100*(Inputs!$B$11-Inputs!$B$11),0)))/100)/2</f>
        <v/>
      </c>
      <c r="M1716">
        <f>L1716*(1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6">
        <f>L1716*(1-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1716*(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6">
        <f>(1-Summary!$B$11)*S1716+Summary!$B$11*U1716</f>
        <v/>
      </c>
      <c r="P1716">
        <f>IF(B1747=0,0,O1716/B1747)</f>
        <v/>
      </c>
      <c r="Q1716">
        <f>IFERROR(1/(IF(Inputs!$B$38="pvp",15,MAX(0.1,Skills!D6-IF(TRUE=TRUE,Inputs!$B$32,0)))*(1-IF(AND(ArtifactsInput!$M$27,Inputs!$B$4="Chapter Hunt"),CHOOSE(ArtifactsInput!$N$27+1,20,24,28,32,36,40),0)/100)),0)</f>
        <v/>
      </c>
      <c r="R1716">
        <f>IF(AND(Inputs!$B$38&lt;&gt;"pvp",Inputs!$B$43&gt;0),IF(MAX(0,Inputs!$B$43-B1744)&lt;=0,0,(INT(MAX(0,Inputs!$B$43-B1744)/(IF(Inputs!$B$38="pvp",15,MAX(0.1,Skills!D6-IF(TRUE=TRUE,Inputs!$B$32,0)))*(1-IF(AND(ArtifactsInput!$M$27,Inputs!$B$4="Chapter Hunt"),CHOOSE(ArtifactsInput!$N$27+1,20,24,28,32,36,40),0)/100)))+1)),0)</f>
        <v/>
      </c>
      <c r="S1716">
        <f>IF(C1716,(H1716*N1716*IF(AND(Inputs!$B$38&lt;&gt;"pvp",Inputs!$B$43&gt;0),((Skills!F6*((R1716-1)*IF(Skills!G6&gt;0,Skills!H6/Skills!G6,1)+IF(Skills!G6&gt;0,MIN(Skills!H6,MAX(0,MAX(0,Inputs!$B$43-B1744)-((R1716-1)*(IF(Inputs!$B$38="pvp",15,MAX(0.1,Skills!D6-IF(TRUE=TRUE,Inputs!$B$32,0)))*(1-IF(AND(ArtifactsInput!$M$27,Inputs!$B$4="Chapter Hunt"),CHOOSE(ArtifactsInput!$N$27+1,20,24,28,32,36,40),0)/100)))))/Skills!G6,1)))/Inputs!$B$43),G1716*Q1716))*IF(Inputs!$B$38="pvp",1,1+(Inputs!$B$20+Skills!O6+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1716*(1-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1716*(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1716*(1-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1716*(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6">
        <f>IF(C1716,(H1716*N1716*IF(AND(Inputs!$B$38&lt;&gt;"pvp",Inputs!$B$43&gt;0),((Skills!F6*((R1716-1)*IF(Skills!G6&gt;0,Skills!H6/Skills!G6,1)+IF(Skills!G6&gt;0,MIN(Skills!H6,MAX(0,MAX(0,Inputs!$B$43-B1744)-((R1716-1)*(IF(Inputs!$B$38="pvp",15,MAX(0.1,Skills!D6-IF(TRUE=TRUE,Inputs!$B$32,0)))*(1-IF(AND(ArtifactsInput!$M$27,Inputs!$B$4="Chapter Hunt"),CHOOSE(ArtifactsInput!$N$27+1,20,24,28,32,36,40),0)/100)))))/Skills!G6,1)))/Inputs!$B$43),G1716*Q1716))*IF(Inputs!$B$38="pvp",1,(1+(Inputs!$B$21+Skills!P6+B1738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7">
      <c r="A1717">
        <f>Skills!A7</f>
        <v/>
      </c>
      <c r="B1717">
        <f>Skills!B7</f>
        <v/>
      </c>
      <c r="C1717">
        <f>Inputs!$B$3&gt;=69</f>
        <v/>
      </c>
      <c r="D1717">
        <f>IF(Skills!C7=1,60+Inputs!$B$25+Inputs!$B$29,IF(Skills!C7=2,90+Inputs!$B$26+Inputs!$B$29,IF(Skills!C7=3,120+Inputs!$B$27+Inputs!$B$29,MAX(0,(Inputs!$B$3-100)*3)+Inputs!$B$28+Inputs!$B$29)))</f>
        <v/>
      </c>
      <c r="E1717">
        <f>INDEX(FactorTable!$B$2:$Y$301, MATCH(ROUND(MIN(300,MAX(1,D1717)),0), FactorTable!$A$2:$A$301,0), Skills!L7+1)</f>
        <v/>
      </c>
      <c r="F1717">
        <f>IF(Skills!M7=TRUE,(Skills!K7/10)*(E1717/1000),Skills!K7/10)+Skills!N7</f>
        <v/>
      </c>
      <c r="G1717">
        <f>Calc!G7</f>
        <v/>
      </c>
      <c r="H1717">
        <f>Calc!H7</f>
        <v/>
      </c>
      <c r="I1717">
        <f>IF(Skills!T7&lt;&gt;"",1+(Skills!T7/10)*(Z1713/1000)/100,1)</f>
        <v/>
      </c>
      <c r="J1717">
        <f>((Inputs!$B$6*(1+Inputs!$B$7/100))+(((Inputs!$B$12*(1+Inputs!$B$13/100))-(Inputs!$B$12*(1+Inputs!$B$13/100)))+0.25*(Inputs!$B$14-Inputs!$B$14))*(1+Inputs!$B$7/100))*(F1717/100)</f>
        <v/>
      </c>
      <c r="K1717">
        <f>J1717*(1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7="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1717)</f>
        <v/>
      </c>
      <c r="L1717">
        <f>K1717*(MIN(Inputs!$B$22+(F1728-Calc!F18),(Inputs!$B$23+(IF(ArtifactsInput!$M$15,CHOOSE(ArtifactsInput!$N$15+1,25,30,35,40,45,50)/100*(Inputs!$B$11-Inputs!$B$11),0))))/100+(Inputs!$B$23+(IF(ArtifactsInput!$M$15,CHOOSE(ArtifactsInput!$N$15+1,25,30,35,40,45,50)/100*(Inputs!$B$11-Inputs!$B$11),0)))/100)/2</f>
        <v/>
      </c>
      <c r="M1717">
        <f>L1717*(1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7">
        <f>L1717*(1-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1717*(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7">
        <f>(1-Summary!$B$11)*S1717+Summary!$B$11*U1717</f>
        <v/>
      </c>
      <c r="P1717">
        <f>IF(B1747=0,0,O1717/B1747)</f>
        <v/>
      </c>
      <c r="Q1717">
        <f>IFERROR(1/(IF(Inputs!$B$38="pvp",15,MAX(0.1,Skills!D7-IF(TRUE=TRUE,Inputs!$B$32,0)))*(1-IF(AND(ArtifactsInput!$M$27,Inputs!$B$4="Chapter Hunt"),CHOOSE(ArtifactsInput!$N$27+1,20,24,28,32,36,40),0)/100)),0)</f>
        <v/>
      </c>
      <c r="R1717">
        <f>IF(AND(Inputs!$B$38&lt;&gt;"pvp",Inputs!$B$43&gt;0),IF(MAX(0,Inputs!$B$43-B1744)&lt;=0,0,(INT(MAX(0,Inputs!$B$43-B1744)/(IF(Inputs!$B$38="pvp",15,MAX(0.1,Skills!D7-IF(TRUE=TRUE,Inputs!$B$32,0)))*(1-IF(AND(ArtifactsInput!$M$27,Inputs!$B$4="Chapter Hunt"),CHOOSE(ArtifactsInput!$N$27+1,20,24,28,32,36,40),0)/100)))+1)),0)</f>
        <v/>
      </c>
      <c r="S1717">
        <f>IF(C1717,(H1717*N1717*IF(AND(Inputs!$B$38&lt;&gt;"pvp",Inputs!$B$43&gt;0),((Skills!F7*((R1717-1)*IF(Skills!G7&gt;0,Skills!H7/Skills!G7,1)+IF(Skills!G7&gt;0,MIN(Skills!H7,MAX(0,MAX(0,Inputs!$B$43-B1744)-((R1717-1)*(IF(Inputs!$B$38="pvp",15,MAX(0.1,Skills!D7-IF(TRUE=TRUE,Inputs!$B$32,0)))*(1-IF(AND(ArtifactsInput!$M$27,Inputs!$B$4="Chapter Hunt"),CHOOSE(ArtifactsInput!$N$27+1,20,24,28,32,36,40),0)/100)))))/Skills!G7,1)))/Inputs!$B$43),G1717*Q1717))*IF(Inputs!$B$38="pvp",1,1+(Inputs!$B$20+Skills!O7+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1717*(1-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1717*(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1717*(1-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1717*(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7">
        <f>IF(C1717,(H1717*N1717*IF(AND(Inputs!$B$38&lt;&gt;"pvp",Inputs!$B$43&gt;0),((Skills!F7*((R1717-1)*IF(Skills!G7&gt;0,Skills!H7/Skills!G7,1)+IF(Skills!G7&gt;0,MIN(Skills!H7,MAX(0,MAX(0,Inputs!$B$43-B1744)-((R1717-1)*(IF(Inputs!$B$38="pvp",15,MAX(0.1,Skills!D7-IF(TRUE=TRUE,Inputs!$B$32,0)))*(1-IF(AND(ArtifactsInput!$M$27,Inputs!$B$4="Chapter Hunt"),CHOOSE(ArtifactsInput!$N$27+1,20,24,28,32,36,40),0)/100)))))/Skills!G7,1)))/Inputs!$B$43),G1717*Q1717))*IF(Inputs!$B$38="pvp",1,(1+(Inputs!$B$21+Skills!P7+B1738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8">
      <c r="A1718">
        <f>Skills!A8</f>
        <v/>
      </c>
      <c r="B1718">
        <f>Skills!B8</f>
        <v/>
      </c>
      <c r="C1718">
        <f>Inputs!$B$3&gt;=103</f>
        <v/>
      </c>
      <c r="D1718">
        <f>IF(Skills!C8=1,60+Inputs!$B$25+Inputs!$B$29,IF(Skills!C8=2,90+Inputs!$B$26+Inputs!$B$29,IF(Skills!C8=3,120+Inputs!$B$27+Inputs!$B$29,MAX(0,(Inputs!$B$3-100)*3)+Inputs!$B$28+Inputs!$B$29)))</f>
        <v/>
      </c>
      <c r="E1718">
        <f>INDEX(FactorTable!$B$2:$Y$301, MATCH(ROUND(MIN(300,MAX(1,D1718)),0), FactorTable!$A$2:$A$301,0), Skills!L8+1)</f>
        <v/>
      </c>
      <c r="F1718">
        <f>IF(Skills!M8=TRUE,(Skills!K8/10)*(E1718/1000),Skills!K8/10)+Skills!N8</f>
        <v/>
      </c>
      <c r="G1718">
        <f>Calc!G8</f>
        <v/>
      </c>
      <c r="H1718">
        <f>Calc!H8</f>
        <v/>
      </c>
      <c r="I1718">
        <f>IF(Skills!T8&lt;&gt;"",1+(Skills!T8/10)*(Z1713/1000)/100,1)</f>
        <v/>
      </c>
      <c r="J1718">
        <f>((Inputs!$B$6*(1+Inputs!$B$7/100))+(((Inputs!$B$12*(1+Inputs!$B$13/100))-(Inputs!$B$12*(1+Inputs!$B$13/100)))+0.25*(Inputs!$B$14-Inputs!$B$14))*(1+Inputs!$B$7/100))*(F1718/100)</f>
        <v/>
      </c>
      <c r="K1718">
        <f>J1718*(1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8="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1718)</f>
        <v/>
      </c>
      <c r="L1718">
        <f>K1718*(MIN(Inputs!$B$22+(F1728-Calc!F18),(Inputs!$B$23+(IF(ArtifactsInput!$M$15,CHOOSE(ArtifactsInput!$N$15+1,25,30,35,40,45,50)/100*(Inputs!$B$11-Inputs!$B$11),0))))/100+(Inputs!$B$23+(IF(ArtifactsInput!$M$15,CHOOSE(ArtifactsInput!$N$15+1,25,30,35,40,45,50)/100*(Inputs!$B$11-Inputs!$B$11),0)))/100)/2</f>
        <v/>
      </c>
      <c r="M1718">
        <f>L1718*(1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8">
        <f>L1718*(1-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1718*(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8">
        <f>(1-Summary!$B$11)*S1718+Summary!$B$11*U1718</f>
        <v/>
      </c>
      <c r="P1718">
        <f>IF(B1747=0,0,O1718/B1747)</f>
        <v/>
      </c>
      <c r="Q1718">
        <f>IFERROR(1/(IF(Inputs!$B$38="pvp",15,MAX(0.1,Skills!D8-IF(TRUE=TRUE,Inputs!$B$32,0)))*(1-IF(AND(ArtifactsInput!$M$27,Inputs!$B$4="Chapter Hunt"),CHOOSE(ArtifactsInput!$N$27+1,20,24,28,32,36,40),0)/100)),0)</f>
        <v/>
      </c>
      <c r="R1718">
        <f>IF(AND(Inputs!$B$38&lt;&gt;"pvp",Inputs!$B$43&gt;0),IF(MAX(0,Inputs!$B$43-B1744)&lt;=0,0,(INT(MAX(0,Inputs!$B$43-B1744)/(IF(Inputs!$B$38="pvp",15,MAX(0.1,Skills!D8-IF(TRUE=TRUE,Inputs!$B$32,0)))*(1-IF(AND(ArtifactsInput!$M$27,Inputs!$B$4="Chapter Hunt"),CHOOSE(ArtifactsInput!$N$27+1,20,24,28,32,36,40),0)/100)))+1)),0)</f>
        <v/>
      </c>
      <c r="S1718">
        <f>IF(C1718,(H1718*N1718*IF(AND(Inputs!$B$38&lt;&gt;"pvp",Inputs!$B$43&gt;0),((Skills!F8*((R1718-1)*IF(Skills!G8&gt;0,Skills!H8/Skills!G8,1)+IF(Skills!G8&gt;0,MIN(Skills!H8,MAX(0,MAX(0,Inputs!$B$43-B1744)-((R1718-1)*(IF(Inputs!$B$38="pvp",15,MAX(0.1,Skills!D8-IF(TRUE=TRUE,Inputs!$B$32,0)))*(1-IF(AND(ArtifactsInput!$M$27,Inputs!$B$4="Chapter Hunt"),CHOOSE(ArtifactsInput!$N$27+1,20,24,28,32,36,40),0)/100)))))/Skills!G8,1)))/Inputs!$B$43),G1718*Q1718))*IF(Inputs!$B$38="pvp",1,1+(Inputs!$B$20+Skills!O8+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1718*(1-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1718*(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1718*(1-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1718*(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8">
        <f>IF(C1718,(H1718*N1718*IF(AND(Inputs!$B$38&lt;&gt;"pvp",Inputs!$B$43&gt;0),((Skills!F8*((R1718-1)*IF(Skills!G8&gt;0,Skills!H8/Skills!G8,1)+IF(Skills!G8&gt;0,MIN(Skills!H8,MAX(0,MAX(0,Inputs!$B$43-B1744)-((R1718-1)*(IF(Inputs!$B$38="pvp",15,MAX(0.1,Skills!D8-IF(TRUE=TRUE,Inputs!$B$32,0)))*(1-IF(AND(ArtifactsInput!$M$27,Inputs!$B$4="Chapter Hunt"),CHOOSE(ArtifactsInput!$N$27+1,20,24,28,32,36,40),0)/100)))))/Skills!G8,1)))/Inputs!$B$43),G1718*Q1718))*IF(Inputs!$B$38="pvp",1,(1+(Inputs!$B$21+Skills!P8+B1738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9">
      <c r="A1719">
        <f>Skills!A9</f>
        <v/>
      </c>
      <c r="B1719">
        <f>Skills!B9</f>
        <v/>
      </c>
      <c r="C1719">
        <f>Inputs!$B$3&gt;=105</f>
        <v/>
      </c>
      <c r="D1719">
        <f>IF(Skills!C9=1,60+Inputs!$B$25+Inputs!$B$29,IF(Skills!C9=2,90+Inputs!$B$26+Inputs!$B$29,IF(Skills!C9=3,120+Inputs!$B$27+Inputs!$B$29,MAX(0,(Inputs!$B$3-100)*3)+Inputs!$B$28+Inputs!$B$29)))</f>
        <v/>
      </c>
      <c r="E1719">
        <f>INDEX(FactorTable!$B$2:$Y$301, MATCH(ROUND(MIN(300,MAX(1,D1719)),0), FactorTable!$A$2:$A$301,0), Skills!L9+1)</f>
        <v/>
      </c>
      <c r="F1719">
        <f>IF(Skills!M9=TRUE,(Skills!K9/10)*(E1719/1000),Skills!K9/10)+Skills!N9</f>
        <v/>
      </c>
      <c r="G1719">
        <f>Calc!G9</f>
        <v/>
      </c>
      <c r="H1719">
        <f>Calc!H9</f>
        <v/>
      </c>
      <c r="I1719">
        <f>IF(Skills!T9&lt;&gt;"",1+(Skills!T9/10)*(Z1713/1000)/100,1)</f>
        <v/>
      </c>
      <c r="J1719">
        <f>((Inputs!$B$6*(1+Inputs!$B$7/100))+(((Inputs!$B$12*(1+Inputs!$B$13/100))-(Inputs!$B$12*(1+Inputs!$B$13/100)))+0.25*(Inputs!$B$14-Inputs!$B$14))*(1+Inputs!$B$7/100))*(F1719/100)</f>
        <v/>
      </c>
      <c r="K1719">
        <f>J1719*(1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9="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1719)</f>
        <v/>
      </c>
      <c r="L1719">
        <f>K1719*(MIN(Inputs!$B$22+(F1728-Calc!F18),(Inputs!$B$23+(IF(ArtifactsInput!$M$15,CHOOSE(ArtifactsInput!$N$15+1,25,30,35,40,45,50)/100*(Inputs!$B$11-Inputs!$B$11),0))))/100+(Inputs!$B$23+(IF(ArtifactsInput!$M$15,CHOOSE(ArtifactsInput!$N$15+1,25,30,35,40,45,50)/100*(Inputs!$B$11-Inputs!$B$11),0)))/100)/2</f>
        <v/>
      </c>
      <c r="M1719">
        <f>L1719*(1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9">
        <f>L1719*(1-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1719*(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9">
        <f>(1-Summary!$B$11)*S1719+Summary!$B$11*U1719</f>
        <v/>
      </c>
      <c r="P1719">
        <f>IF(B1747=0,0,O1719/B1747)</f>
        <v/>
      </c>
      <c r="Q1719">
        <f>IFERROR(1/(IF(Inputs!$B$38="pvp",15,MAX(0.1,Skills!D9-IF(TRUE=TRUE,Inputs!$B$32,0)))*(1-IF(AND(ArtifactsInput!$M$27,Inputs!$B$4="Chapter Hunt"),CHOOSE(ArtifactsInput!$N$27+1,20,24,28,32,36,40),0)/100)),0)</f>
        <v/>
      </c>
      <c r="R1719">
        <f>IF(AND(Inputs!$B$38&lt;&gt;"pvp",Inputs!$B$43&gt;0),IF(MAX(0,Inputs!$B$43-B1744)&lt;=0,0,(INT(MAX(0,Inputs!$B$43-B1744)/(IF(Inputs!$B$38="pvp",15,MAX(0.1,Skills!D9-IF(TRUE=TRUE,Inputs!$B$32,0)))*(1-IF(AND(ArtifactsInput!$M$27,Inputs!$B$4="Chapter Hunt"),CHOOSE(ArtifactsInput!$N$27+1,20,24,28,32,36,40),0)/100)))+1)),0)</f>
        <v/>
      </c>
      <c r="S1719">
        <f>IF(C1719,(H1719*N1719*IF(AND(Inputs!$B$38&lt;&gt;"pvp",Inputs!$B$43&gt;0),((Skills!F9*((R1719-1)*IF(Skills!G9&gt;0,Skills!H9/Skills!G9,1)+IF(Skills!G9&gt;0,MIN(Skills!H9,MAX(0,MAX(0,Inputs!$B$43-B1744)-((R1719-1)*(IF(Inputs!$B$38="pvp",15,MAX(0.1,Skills!D9-IF(TRUE=TRUE,Inputs!$B$32,0)))*(1-IF(AND(ArtifactsInput!$M$27,Inputs!$B$4="Chapter Hunt"),CHOOSE(ArtifactsInput!$N$27+1,20,24,28,32,36,40),0)/100)))))/Skills!G9,1)))/Inputs!$B$43),G1719*Q1719))*IF(Inputs!$B$38="pvp",1,1+(Inputs!$B$20+Skills!O9+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1719*(1-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1719*(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1719*(1-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1719*(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19">
        <f>IF(C1719,(H1719*N1719*IF(AND(Inputs!$B$38&lt;&gt;"pvp",Inputs!$B$43&gt;0),((Skills!F9*((R1719-1)*IF(Skills!G9&gt;0,Skills!H9/Skills!G9,1)+IF(Skills!G9&gt;0,MIN(Skills!H9,MAX(0,MAX(0,Inputs!$B$43-B1744)-((R1719-1)*(IF(Inputs!$B$38="pvp",15,MAX(0.1,Skills!D9-IF(TRUE=TRUE,Inputs!$B$32,0)))*(1-IF(AND(ArtifactsInput!$M$27,Inputs!$B$4="Chapter Hunt"),CHOOSE(ArtifactsInput!$N$27+1,20,24,28,32,36,40),0)/100)))))/Skills!G9,1)))/Inputs!$B$43),G1719*Q1719))*IF(Inputs!$B$38="pvp",1,(1+(Inputs!$B$21+Skills!P9+B1738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0">
      <c r="A1720">
        <f>Skills!A10</f>
        <v/>
      </c>
      <c r="B1720">
        <f>Skills!B10</f>
        <v/>
      </c>
      <c r="C1720">
        <f>Inputs!$B$3&gt;=113</f>
        <v/>
      </c>
      <c r="D1720">
        <f>IF(Skills!C10=1,60+Inputs!$B$25+Inputs!$B$29,IF(Skills!C10=2,90+Inputs!$B$26+Inputs!$B$29,IF(Skills!C10=3,120+Inputs!$B$27+Inputs!$B$29,MAX(0,(Inputs!$B$3-100)*3)+Inputs!$B$28+Inputs!$B$29)))</f>
        <v/>
      </c>
      <c r="E1720">
        <f>INDEX(FactorTable!$B$2:$Y$301, MATCH(ROUND(MIN(300,MAX(1,D1720)),0), FactorTable!$A$2:$A$301,0), Skills!L10+1)</f>
        <v/>
      </c>
      <c r="F1720">
        <f>IF(Skills!M10=TRUE,(Skills!K10/10)*(E1720/1000),Skills!K10/10)+Skills!N10</f>
        <v/>
      </c>
      <c r="G1720">
        <f>Calc!G10</f>
        <v/>
      </c>
      <c r="H1720">
        <f>Calc!H10</f>
        <v/>
      </c>
      <c r="I1720">
        <f>IF(Skills!T10&lt;&gt;"",1+(Skills!T10/10)*(Z1713/1000)/100,1)</f>
        <v/>
      </c>
      <c r="J1720">
        <f>((Inputs!$B$6*(1+Inputs!$B$7/100))+(((Inputs!$B$12*(1+Inputs!$B$13/100))-(Inputs!$B$12*(1+Inputs!$B$13/100)))+0.25*(Inputs!$B$14-Inputs!$B$14))*(1+Inputs!$B$7/100))*(F1720/100)</f>
        <v/>
      </c>
      <c r="K1720">
        <f>J1720*(1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10="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1720)</f>
        <v/>
      </c>
      <c r="L1720">
        <f>K1720*(MIN(Inputs!$B$22+(F1728-Calc!F18),(Inputs!$B$23+(IF(ArtifactsInput!$M$15,CHOOSE(ArtifactsInput!$N$15+1,25,30,35,40,45,50)/100*(Inputs!$B$11-Inputs!$B$11),0))))/100+(Inputs!$B$23+(IF(ArtifactsInput!$M$15,CHOOSE(ArtifactsInput!$N$15+1,25,30,35,40,45,50)/100*(Inputs!$B$11-Inputs!$B$11),0)))/100)/2</f>
        <v/>
      </c>
      <c r="M1720">
        <f>L1720*(1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0">
        <f>L1720*(1-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1720*(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0">
        <f>(1-Summary!$B$11)*S1720+Summary!$B$11*U1720</f>
        <v/>
      </c>
      <c r="P1720">
        <f>IF(B1747=0,0,O1720/B1747)</f>
        <v/>
      </c>
      <c r="Q1720">
        <f>IFERROR(1/(IF(Inputs!$B$38="pvp",15,MAX(0.1,Skills!D10-IF(TRUE=TRUE,Inputs!$B$32,0)))*(1-IF(AND(ArtifactsInput!$M$27,Inputs!$B$4="Chapter Hunt"),CHOOSE(ArtifactsInput!$N$27+1,20,24,28,32,36,40),0)/100)),0)</f>
        <v/>
      </c>
      <c r="R1720" t="n">
        <v>0</v>
      </c>
      <c r="S1720">
        <f>IF(C1720,((H1720*B1748)/(1+Skills!G10*H1720*B1748)*N1720)*IF(Inputs!$B$38="pvp",1,1+(Inputs!$B$20+Skills!O10+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1720*(1-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1720*(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1720*(1-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1720*(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0">
        <f>IF(C1720,((H1720*B1748)/(1+Skills!G10*H1720*B1748)*N1720)*IF(Inputs!$B$38="pvp",1,(1+(Inputs!$B$21+Skills!P10+B1738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1">
      <c r="A1721">
        <f>Skills!A11</f>
        <v/>
      </c>
      <c r="B1721">
        <f>Skills!B11</f>
        <v/>
      </c>
      <c r="C1721">
        <f>Inputs!$B$3&gt;=107</f>
        <v/>
      </c>
      <c r="D1721">
        <f>IF(Skills!C11=1,60+Inputs!$B$25+Inputs!$B$29,IF(Skills!C11=2,90+Inputs!$B$26+Inputs!$B$29,IF(Skills!C11=3,120+Inputs!$B$27+Inputs!$B$29,MAX(0,(Inputs!$B$3-100)*3)+Inputs!$B$28+Inputs!$B$29)))</f>
        <v/>
      </c>
      <c r="E1721">
        <f>INDEX(FactorTable!$B$2:$Y$301, MATCH(ROUND(MIN(300,MAX(1,D1721)),0), FactorTable!$A$2:$A$301,0), Skills!L11+1)</f>
        <v/>
      </c>
      <c r="F1721">
        <f>IF(Skills!M11=TRUE,(Skills!K11/10)*(E1721/1000),Skills!K11/10)+Skills!N11</f>
        <v/>
      </c>
      <c r="G1721">
        <f>Calc!G11</f>
        <v/>
      </c>
      <c r="H1721">
        <f>Calc!H11</f>
        <v/>
      </c>
      <c r="I1721">
        <f>IF(Skills!T11&lt;&gt;"",1+(Skills!T11/10)*(Z1713/1000)/100,1)</f>
        <v/>
      </c>
      <c r="J1721">
        <f>((Inputs!$B$6*(1+Inputs!$B$7/100))+(((Inputs!$B$12*(1+Inputs!$B$13/100))-(Inputs!$B$12*(1+Inputs!$B$13/100)))+0.25*(Inputs!$B$14-Inputs!$B$14))*(1+Inputs!$B$7/100))*(F1721/100)</f>
        <v/>
      </c>
      <c r="K1721">
        <f>J1721*(1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11="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1721)</f>
        <v/>
      </c>
      <c r="L1721">
        <f>K1721*(MIN(Inputs!$B$22+(F1728-Calc!F18),(Inputs!$B$23+(IF(ArtifactsInput!$M$15,CHOOSE(ArtifactsInput!$N$15+1,25,30,35,40,45,50)/100*(Inputs!$B$11-Inputs!$B$11),0))))/100+(Inputs!$B$23+(IF(ArtifactsInput!$M$15,CHOOSE(ArtifactsInput!$N$15+1,25,30,35,40,45,50)/100*(Inputs!$B$11-Inputs!$B$11),0)))/100)/2</f>
        <v/>
      </c>
      <c r="M1721">
        <f>L1721*(1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1">
        <f>L1721*(1-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1">
        <f>(1-Summary!$B$11)*S1721+Summary!$B$11*U1721</f>
        <v/>
      </c>
      <c r="P1721">
        <f>IF(B1747=0,0,O1721/B1747)</f>
        <v/>
      </c>
      <c r="Q1721">
        <f>IFERROR(1/(IF(Inputs!$B$38="pvp",15,MAX(0.1,Skills!D11-IF(TRUE=TRUE,Inputs!$B$32,0)))*(1-IF(AND(ArtifactsInput!$M$27,Inputs!$B$4="Chapter Hunt"),CHOOSE(ArtifactsInput!$N$27+1,20,24,28,32,36,40),0)/100)),0)</f>
        <v/>
      </c>
      <c r="R1721">
        <f>IF(AND(Inputs!$B$38&lt;&gt;"pvp",Inputs!$B$43&gt;0),IF(MAX(0,Inputs!$B$43-B1744)&lt;=0,0,(INT(MAX(0,Inputs!$B$43-B1744)/(IF(Inputs!$B$38="pvp",15,MAX(0.1,Skills!D11-IF(TRUE=TRUE,Inputs!$B$32,0)))*(1-IF(AND(ArtifactsInput!$M$27,Inputs!$B$4="Chapter Hunt"),CHOOSE(ArtifactsInput!$N$27+1,20,24,28,32,36,40),0)/100)))+1)),0)</f>
        <v/>
      </c>
      <c r="S1721">
        <f>IF(C1721,H1721*N1721*IF(AND(Inputs!$B$38&lt;&gt;"pvp",Inputs!$B$43&gt;0),((Skills!F11*((R1721-1)*IF(Skills!G11&gt;0,Skills!H11/Skills!G11,1)+IF(Skills!G11&gt;0,MIN(Skills!H11,MAX(0,MAX(0,Inputs!$B$43-B1744)-((R1721-1)*(IF(Inputs!$B$38="pvp",15,MAX(0.1,Skills!D11-IF(TRUE=TRUE,Inputs!$B$32,0)))*(1-IF(AND(ArtifactsInput!$M$27,Inputs!$B$4="Chapter Hunt"),CHOOSE(ArtifactsInput!$N$27+1,20,24,28,32,36,40),0)/100)))))/Skills!G11,1)))/Inputs!$B$43),G1721*Q1721)*0.5*IF(Inputs!$B$38="pvp",1,1+(Inputs!$B$20+Skills!O11+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1721*(1-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1">
        <f>IF(C1721,H1721*N1721*IF(AND(Inputs!$B$38&lt;&gt;"pvp",Inputs!$B$43&gt;0),((Skills!F11*((R1721-1)*IF(Skills!G11&gt;0,Skills!H11/Skills!G11,1)+IF(Skills!G11&gt;0,MIN(Skills!H11,MAX(0,MAX(0,Inputs!$B$43-B1744)-((R1721-1)*(IF(Inputs!$B$38="pvp",15,MAX(0.1,Skills!D11-IF(TRUE=TRUE,Inputs!$B$32,0)))*(1-IF(AND(ArtifactsInput!$M$27,Inputs!$B$4="Chapter Hunt"),CHOOSE(ArtifactsInput!$N$27+1,20,24,28,32,36,40),0)/100)))))/Skills!G11,1)))/Inputs!$B$43),G1721*Q1721)*1*IF(Inputs!$B$38="pvp",1,(1+(Inputs!$B$21+Skills!P11+B1738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2">
      <c r="A1722">
        <f>Skills!A12</f>
        <v/>
      </c>
      <c r="B1722">
        <f>Skills!B12</f>
        <v/>
      </c>
      <c r="C1722">
        <f>Inputs!$B$3&gt;=115</f>
        <v/>
      </c>
      <c r="D1722">
        <f>IF(Skills!C12=1,60+Inputs!$B$25+Inputs!$B$29,IF(Skills!C12=2,90+Inputs!$B$26+Inputs!$B$29,IF(Skills!C12=3,120+Inputs!$B$27+Inputs!$B$29,MAX(0,(Inputs!$B$3-100)*3)+Inputs!$B$28+Inputs!$B$29)))</f>
        <v/>
      </c>
      <c r="E1722">
        <f>INDEX(FactorTable!$B$2:$Y$301, MATCH(ROUND(MIN(300,MAX(1,D1722)),0), FactorTable!$A$2:$A$301,0), Skills!L12+1)</f>
        <v/>
      </c>
      <c r="F1722">
        <f>IF(Skills!M12=TRUE,(Skills!K12/10)*(E1722/1000),Skills!K12/10)+Skills!N12</f>
        <v/>
      </c>
      <c r="G1722">
        <f>Calc!G12</f>
        <v/>
      </c>
      <c r="H1722">
        <f>Calc!H12</f>
        <v/>
      </c>
      <c r="I1722">
        <f>IF(Skills!T12&lt;&gt;"",1+(Skills!T12/10)*(Z1713/1000)/100,1)</f>
        <v/>
      </c>
      <c r="J1722">
        <f>((Inputs!$B$6*(1+Inputs!$B$7/100))+(((Inputs!$B$12*(1+Inputs!$B$13/100))-(Inputs!$B$12*(1+Inputs!$B$13/100)))+0.25*(Inputs!$B$14-Inputs!$B$14))*(1+Inputs!$B$7/100))*(F1722/100)</f>
        <v/>
      </c>
      <c r="K1722">
        <f>J1722*(1+((Inputs!$B$12*(1+Inputs!$B$13/100))*0.01+Inputs!$B$14*0.0025)/100)*(1+(Inputs!$B$15+B1739)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1725=TRUE,F1725,0)/100)*(1+IF(C1733=TRUE,F1733,0)/100)^5*(1+(IF(Skills!A12="CHAIN_LIGHTNING",Inputs!$B$17+((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1737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1722)</f>
        <v/>
      </c>
      <c r="L1722">
        <f>K1722*(MIN(Inputs!$B$22+(F1728-Calc!F18),(Inputs!$B$23+(IF(ArtifactsInput!$M$15,CHOOSE(ArtifactsInput!$N$15+1,25,30,35,40,45,50)/100*(Inputs!$B$11-Inputs!$B$11),0))))/100+(Inputs!$B$23+(IF(ArtifactsInput!$M$15,CHOOSE(ArtifactsInput!$N$15+1,25,30,35,40,45,50)/100*(Inputs!$B$11-Inputs!$B$11),0)))/100)/2</f>
        <v/>
      </c>
      <c r="M1722">
        <f>L1722*(1+(Inputs!$B$10+(F1731-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2">
        <f>L1722*(1-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1722*(MIN((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2">
        <f>(1-Summary!$B$11)*S1722+Summary!$B$11*U1722</f>
        <v/>
      </c>
      <c r="P1722">
        <f>IF(B1747=0,0,O1722/B1747)</f>
        <v/>
      </c>
      <c r="Q1722">
        <f>IFERROR(1/(IF(Inputs!$B$38="pvp",15,MAX(0.1,Skills!D12-IF(TRUE=TRUE,Inputs!$B$32,0)))*(1-IF(AND(ArtifactsInput!$M$27,Inputs!$B$4="Chapter Hunt"),CHOOSE(ArtifactsInput!$N$27+1,20,24,28,32,36,40),0)/100)),0)</f>
        <v/>
      </c>
      <c r="R1722">
        <f>IF(AND(Inputs!$B$38&lt;&gt;"pvp",Inputs!$B$43&gt;0),IF(MAX(0,Inputs!$B$43-B1744)&lt;=0,0,(INT(MAX(0,Inputs!$B$43-B1744)/(IF(Inputs!$B$38="pvp",15,MAX(0.1,Skills!D12-IF(TRUE=TRUE,Inputs!$B$32,0)))*(1-IF(AND(ArtifactsInput!$M$27,Inputs!$B$4="Chapter Hunt"),CHOOSE(ArtifactsInput!$N$27+1,20,24,28,32,36,40),0)/100)))+1)),0)</f>
        <v/>
      </c>
      <c r="S1722">
        <f>IF(C1722,(H1722*N1722*IF(AND(Inputs!$B$38&lt;&gt;"pvp",Inputs!$B$43&gt;0),((Skills!F12*((R1722-1)*IF(Skills!G12&gt;0,Skills!H12/Skills!G12,1)+IF(Skills!G12&gt;0,MIN(Skills!H12,MAX(0,MAX(0,Inputs!$B$43-B1744)-((R1722-1)*(IF(Inputs!$B$38="pvp",15,MAX(0.1,Skills!D12-IF(TRUE=TRUE,Inputs!$B$32,0)))*(1-IF(AND(ArtifactsInput!$M$27,Inputs!$B$4="Chapter Hunt"),CHOOSE(ArtifactsInput!$N$27+1,20,24,28,32,36,40),0)/100)))))/Skills!G12,1)))/Inputs!$B$43),G1722*Q1722))*IF(Inputs!$B$38="pvp",1,1+(Inputs!$B$20+Skills!O12+B1738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1722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1722*(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1722*(1-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1722*(MIN(100,(Inputs!$B$9+((F1730-Calc!F20)+(F1729-Calc!F19))+(ArtifactsInput!$M$24-ArtifactsInput!$M$24)*CHOOSE(ArtifactsInput!$N$24+1,10,12,14,16,18,20)+(IF(AND(Inputs!$B$38&lt;&gt;"pvp",Inputs!$B$43=0),1,IF(IF(Inputs!$B$38="pvp",15,Inputs!$B$43)-(B1744)&lt;=0,1,MAX(0,IF(Inputs!$B$38="pvp",15,Inputs!$B$43)-MAX(5,B1744))/(IF(Inputs!$B$38="pvp",15,Inputs!$B$43)-(B1744)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22">
        <f>IF(C1722,(H1722*N1722*IF(AND(Inputs!$B$38&lt;&gt;"pvp",Inputs!$B$43&gt;0),((Skills!F12*((R1722-1)*IF(Skills!G12&gt;0,Skills!H12/Skills!G12,1)+IF(Skills!G12&gt;0,MIN(Skills!H12,MAX(0,MAX(0,Inputs!$B$43-B1744)-((R1722-1)*(IF(Inputs!$B$38="pvp",15,MAX(0.1,Skills!D12-IF(TRUE=TRUE,Inputs!$B$32,0)))*(1-IF(AND(ArtifactsInput!$M$27,Inputs!$B$4="Chapter Hunt"),CHOOSE(ArtifactsInput!$N$27+1,20,24,28,32,36,40),0)/100)))))/Skills!G12,1)))/Inputs!$B$43),G1722*Q1722))*IF(Inputs!$B$38="pvp",1,(1+(Inputs!$B$21+Skills!P12+B1738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3">
      <c r="A1723">
        <f>Skills!A13</f>
        <v/>
      </c>
      <c r="B1723">
        <f>Skills!B13</f>
        <v/>
      </c>
      <c r="C1723">
        <f>Inputs!$B$3&gt;=49</f>
        <v/>
      </c>
      <c r="D1723">
        <f>IF(Skills!C13=1,60+Inputs!$B$25+Inputs!$B$29,IF(Skills!C13=2,90+Inputs!$B$26+Inputs!$B$29,IF(Skills!C13=3,120+Inputs!$B$27+Inputs!$B$29,MAX(0,(Inputs!$B$3-100)*3)+Inputs!$B$28+Inputs!$B$29)))</f>
        <v/>
      </c>
      <c r="E1723">
        <f>INDEX(FactorTable!$B$2:$Y$301, MATCH(ROUND(MIN(300,MAX(1,D1723)),0), FactorTable!$A$2:$A$301,0), Skills!L13+1)</f>
        <v/>
      </c>
      <c r="F1723">
        <f>IF(Skills!M13=TRUE,(Skills!K13/10)*(E1723/1000),Skills!K13/10)+Skills!N13</f>
        <v/>
      </c>
      <c r="G1723">
        <f>Calc!G13</f>
        <v/>
      </c>
      <c r="H1723">
        <f>Calc!H13</f>
        <v/>
      </c>
      <c r="I1723">
        <f>IF(Skills!T13&lt;&gt;"",1+(Skills!T13/10)*(Z1713/1000)/100,1)</f>
        <v/>
      </c>
      <c r="J1723" t="inlineStr"/>
      <c r="K1723" t="inlineStr"/>
      <c r="L1723" t="inlineStr"/>
      <c r="M1723" t="inlineStr"/>
      <c r="N1723" t="inlineStr"/>
      <c r="O1723">
        <f>(1-Summary!$B$11)*S1723+Summary!$B$11*U1723</f>
        <v/>
      </c>
      <c r="P1723">
        <f>IF(B1747=0,0,O1723/B1747)</f>
        <v/>
      </c>
      <c r="Q1723">
        <f>IFERROR(1/(IF(Inputs!$B$38="pvp",15,MAX(0.1,Skills!D13-IF(TRUE=TRUE,Inputs!$B$32,0)))*(1-IF(AND(ArtifactsInput!$M$27,Inputs!$B$4="Chapter Hunt"),CHOOSE(ArtifactsInput!$N$27+1,20,24,28,32,36,40),0)/100)),0)</f>
        <v/>
      </c>
      <c r="R1723" t="n">
        <v>0</v>
      </c>
      <c r="S1723" t="n">
        <v>0</v>
      </c>
      <c r="U1723" t="n">
        <v>0</v>
      </c>
    </row>
    <row r="1724">
      <c r="A1724">
        <f>Skills!A14</f>
        <v/>
      </c>
      <c r="B1724">
        <f>Skills!B14</f>
        <v/>
      </c>
      <c r="C1724">
        <f>Inputs!$B$3&gt;=72</f>
        <v/>
      </c>
      <c r="D1724">
        <f>IF(Skills!C14=1,60+Inputs!$B$25+Inputs!$B$29,IF(Skills!C14=2,90+Inputs!$B$26+Inputs!$B$29,IF(Skills!C14=3,120+Inputs!$B$27+Inputs!$B$29,MAX(0,(Inputs!$B$3-100)*3)+Inputs!$B$28+Inputs!$B$29)))</f>
        <v/>
      </c>
      <c r="E1724">
        <f>INDEX(FactorTable!$B$2:$Y$301, MATCH(ROUND(MIN(300,MAX(1,D1724)),0), FactorTable!$A$2:$A$301,0), Skills!L14+1)</f>
        <v/>
      </c>
      <c r="F1724">
        <f>IF(Skills!M14=TRUE,(Skills!K14/10)*(E1724/1000),Skills!K14/10)+Skills!N14</f>
        <v/>
      </c>
      <c r="G1724">
        <f>Calc!G14</f>
        <v/>
      </c>
      <c r="H1724">
        <f>Calc!H14</f>
        <v/>
      </c>
      <c r="I1724">
        <f>IF(Skills!T14&lt;&gt;"",1+(Skills!T14/10)*(Z1713/1000)/100,1)</f>
        <v/>
      </c>
      <c r="J1724" t="inlineStr"/>
      <c r="K1724" t="inlineStr"/>
      <c r="L1724" t="inlineStr"/>
      <c r="M1724" t="inlineStr"/>
      <c r="N1724" t="inlineStr"/>
      <c r="O1724">
        <f>(1-Summary!$B$11)*S1724+Summary!$B$11*U1724</f>
        <v/>
      </c>
      <c r="P1724">
        <f>IF(B1747=0,0,O1724/B1747)</f>
        <v/>
      </c>
      <c r="Q1724">
        <f>IFERROR(1/(IF(Inputs!$B$38="pvp",15,MAX(0.1,Skills!D14-IF(TRUE=TRUE,Inputs!$B$32,0)))*(1-IF(AND(ArtifactsInput!$M$27,Inputs!$B$4="Chapter Hunt"),CHOOSE(ArtifactsInput!$N$27+1,20,24,28,32,36,40),0)/100)),0)</f>
        <v/>
      </c>
      <c r="R1724" t="n">
        <v>0</v>
      </c>
      <c r="S1724" t="n">
        <v>0</v>
      </c>
      <c r="U1724" t="n">
        <v>0</v>
      </c>
    </row>
    <row r="1725">
      <c r="A1725">
        <f>Skills!A15</f>
        <v/>
      </c>
      <c r="B1725">
        <f>Skills!B15</f>
        <v/>
      </c>
      <c r="C1725">
        <f>Inputs!$B$3&gt;=75</f>
        <v/>
      </c>
      <c r="D1725">
        <f>IF(Skills!C15=1,60+Inputs!$B$25+Inputs!$B$29,IF(Skills!C15=2,90+Inputs!$B$26+Inputs!$B$29,IF(Skills!C15=3,120+Inputs!$B$27+Inputs!$B$29,MAX(0,(Inputs!$B$3-100)*3)+Inputs!$B$28+Inputs!$B$29)))</f>
        <v/>
      </c>
      <c r="E1725">
        <f>INDEX(FactorTable!$B$2:$Y$301, MATCH(ROUND(MIN(300,MAX(1,D1725)),0), FactorTable!$A$2:$A$301,0), Skills!L15+1)</f>
        <v/>
      </c>
      <c r="F1725">
        <f>IF(Skills!M15=TRUE,(Skills!K15/10)*(E1725/1000),Skills!K15/10)+Skills!N15</f>
        <v/>
      </c>
      <c r="G1725">
        <f>Calc!G15</f>
        <v/>
      </c>
      <c r="H1725">
        <f>Calc!H15</f>
        <v/>
      </c>
      <c r="I1725">
        <f>IF(Skills!T15&lt;&gt;"",1+(Skills!T15/10)*(Z1713/1000)/100,1)</f>
        <v/>
      </c>
      <c r="J1725" t="inlineStr"/>
      <c r="K1725" t="inlineStr"/>
      <c r="L1725" t="inlineStr"/>
      <c r="M1725" t="inlineStr"/>
      <c r="N1725" t="inlineStr"/>
      <c r="O1725">
        <f>(1-Summary!$B$11)*S1725+Summary!$B$11*U1725</f>
        <v/>
      </c>
      <c r="P1725">
        <f>IF(B1747=0,0,O1725/B1747)</f>
        <v/>
      </c>
      <c r="Q1725">
        <f>IFERROR(1/(IF(Inputs!$B$38="pvp",15,MAX(0.1,Skills!D15-IF(TRUE=TRUE,Inputs!$B$32,0)))*(1-IF(AND(ArtifactsInput!$M$27,Inputs!$B$4="Chapter Hunt"),CHOOSE(ArtifactsInput!$N$27+1,20,24,28,32,36,40),0)/100)),0)</f>
        <v/>
      </c>
      <c r="R1725" t="n">
        <v>0</v>
      </c>
      <c r="S1725" t="n">
        <v>0</v>
      </c>
      <c r="U1725" t="n">
        <v>0</v>
      </c>
    </row>
    <row r="1726">
      <c r="A1726">
        <f>Skills!A16</f>
        <v/>
      </c>
      <c r="B1726">
        <f>Skills!B16</f>
        <v/>
      </c>
      <c r="C1726">
        <f>Inputs!$B$3&gt;=110</f>
        <v/>
      </c>
      <c r="D1726">
        <f>IF(Skills!C16=1,60+Inputs!$B$25+Inputs!$B$29,IF(Skills!C16=2,90+Inputs!$B$26+Inputs!$B$29,IF(Skills!C16=3,120+Inputs!$B$27+Inputs!$B$29,MAX(0,(Inputs!$B$3-100)*3)+Inputs!$B$28+Inputs!$B$29)))</f>
        <v/>
      </c>
      <c r="E1726">
        <f>INDEX(FactorTable!$B$2:$Y$301, MATCH(ROUND(MIN(300,MAX(1,D1726)),0), FactorTable!$A$2:$A$301,0), Skills!L16+1)</f>
        <v/>
      </c>
      <c r="F1726">
        <f>(Skills!K16/10)*(E1726/1000)*64/45+Skills!N16</f>
        <v/>
      </c>
      <c r="G1726">
        <f>Calc!G16</f>
        <v/>
      </c>
      <c r="H1726">
        <f>Calc!H16</f>
        <v/>
      </c>
      <c r="I1726">
        <f>IF(Skills!T16&lt;&gt;"",1+(Skills!T16/10)*(Z1713/1000)/100,1)</f>
        <v/>
      </c>
      <c r="J1726" t="inlineStr"/>
      <c r="K1726" t="inlineStr"/>
      <c r="L1726" t="inlineStr"/>
      <c r="M1726" t="inlineStr"/>
      <c r="N1726" t="inlineStr"/>
      <c r="O1726">
        <f>(1-Summary!$B$11)*S1726+Summary!$B$11*U1726</f>
        <v/>
      </c>
      <c r="P1726">
        <f>IF(B1747=0,0,O1726/B1747)</f>
        <v/>
      </c>
      <c r="Q1726">
        <f>IFERROR(1/(IF(Inputs!$B$38="pvp",15,MAX(0.1,Skills!D16-IF(TRUE=TRUE,Inputs!$B$32,0)))*(1-IF(AND(ArtifactsInput!$M$27,Inputs!$B$4="Chapter Hunt"),CHOOSE(ArtifactsInput!$N$27+1,20,24,28,32,36,40),0)/100)),0)</f>
        <v/>
      </c>
      <c r="R1726">
        <f>IF(AND(Inputs!$B$38&lt;&gt;"pvp",Inputs!$B$43&gt;0),IF(Inputs!$B$43&lt;=0,0,(INT(Inputs!$B$43/(IF(Inputs!$B$38="pvp",15,MAX(0.1,Skills!D16-IF(TRUE=TRUE,Inputs!$B$32,0)))*(1-IF(AND(ArtifactsInput!$M$27,Inputs!$B$4="Chapter Hunt"),CHOOSE(ArtifactsInput!$N$27+1,20,24,28,32,36,40),0)/100)))+1)),0)</f>
        <v/>
      </c>
      <c r="S1726" t="n">
        <v>0</v>
      </c>
      <c r="U1726" t="n">
        <v>0</v>
      </c>
    </row>
    <row r="1727">
      <c r="A1727">
        <f>Skills!A17</f>
        <v/>
      </c>
      <c r="B1727">
        <f>Skills!B17</f>
        <v/>
      </c>
      <c r="C1727">
        <f>Inputs!$B$3&gt;=33</f>
        <v/>
      </c>
      <c r="D1727">
        <f>IF(Skills!C17=1,60+Inputs!$B$25+Inputs!$B$29,IF(Skills!C17=2,90+Inputs!$B$26+Inputs!$B$29,IF(Skills!C17=3,120+Inputs!$B$27+Inputs!$B$29,MAX(0,(Inputs!$B$3-100)*3)+Inputs!$B$28+Inputs!$B$29)))</f>
        <v/>
      </c>
      <c r="E1727">
        <f>INDEX(FactorTable!$B$2:$Y$301, MATCH(ROUND(MIN(300,MAX(1,D1727)),0), FactorTable!$A$2:$A$301,0), Skills!L17+1)</f>
        <v/>
      </c>
      <c r="F1727">
        <f>IF(Skills!M17=TRUE,(Skills!K17/10)*(E1727/1000),Skills!K17/10)+Skills!N17</f>
        <v/>
      </c>
      <c r="G1727">
        <f>Calc!G17</f>
        <v/>
      </c>
      <c r="H1727">
        <f>Calc!H17</f>
        <v/>
      </c>
      <c r="I1727">
        <f>IF(Skills!T17&lt;&gt;"",1+(Skills!T17/10)*(Z1713/1000)/100,1)</f>
        <v/>
      </c>
      <c r="J1727" t="inlineStr"/>
      <c r="K1727" t="inlineStr"/>
      <c r="L1727" t="inlineStr"/>
      <c r="M1727" t="inlineStr"/>
      <c r="N1727" t="inlineStr"/>
      <c r="O1727">
        <f>(1-Summary!$B$11)*S1727+Summary!$B$11*U1727</f>
        <v/>
      </c>
      <c r="P1727">
        <f>IF(B1747=0,0,O1727/B1747)</f>
        <v/>
      </c>
      <c r="Q1727">
        <f>IFERROR(1/(IF(Inputs!$B$38="pvp",15,MAX(0.1,Skills!D17-IF(TRUE=TRUE,Inputs!$B$32,0)))*(1-IF(AND(ArtifactsInput!$M$27,Inputs!$B$4="Chapter Hunt"),CHOOSE(ArtifactsInput!$N$27+1,20,24,28,32,36,40),0)/100)),0)</f>
        <v/>
      </c>
      <c r="R1727" t="n">
        <v>0</v>
      </c>
      <c r="S1727" t="n">
        <v>0</v>
      </c>
      <c r="U1727" t="n">
        <v>0</v>
      </c>
    </row>
    <row r="1728">
      <c r="A1728">
        <f>Skills!A18</f>
        <v/>
      </c>
      <c r="B1728">
        <f>Skills!B18</f>
        <v/>
      </c>
      <c r="C1728">
        <f>Inputs!$B$3&gt;=43</f>
        <v/>
      </c>
      <c r="D1728">
        <f>IF(Skills!C18=1,60+Inputs!$B$25+Inputs!$B$29,IF(Skills!C18=2,90+Inputs!$B$26+Inputs!$B$29,IF(Skills!C18=3,120+Inputs!$B$27+Inputs!$B$29,MAX(0,(Inputs!$B$3-100)*3)+Inputs!$B$28+Inputs!$B$29)))</f>
        <v/>
      </c>
      <c r="E1728">
        <f>INDEX(FactorTable!$B$2:$Y$301, MATCH(ROUND(MIN(300,MAX(1,D1728)),0), FactorTable!$A$2:$A$301,0), Skills!L18+1)</f>
        <v/>
      </c>
      <c r="F1728">
        <f>IF(Skills!M18=TRUE,(Skills!K18/10)*(E1728/1000),Skills!K18/10)+Skills!N18</f>
        <v/>
      </c>
      <c r="G1728">
        <f>Calc!G18</f>
        <v/>
      </c>
      <c r="H1728">
        <f>Calc!H18</f>
        <v/>
      </c>
      <c r="I1728">
        <f>IF(Skills!T18&lt;&gt;"",1+(Skills!T18/10)*(Z1713/1000)/100,1)</f>
        <v/>
      </c>
      <c r="J1728" t="inlineStr"/>
      <c r="K1728" t="inlineStr"/>
      <c r="L1728" t="inlineStr"/>
      <c r="M1728" t="inlineStr"/>
      <c r="N1728" t="inlineStr"/>
      <c r="O1728">
        <f>(1-Summary!$B$11)*S1728+Summary!$B$11*U1728</f>
        <v/>
      </c>
      <c r="P1728">
        <f>IF(B1747=0,0,O1728/B1747)</f>
        <v/>
      </c>
      <c r="Q1728">
        <f>IFERROR(1/(IF(Inputs!$B$38="pvp",15,MAX(0.1,Skills!D18-IF(TRUE=TRUE,Inputs!$B$32,0)))*(1-IF(AND(ArtifactsInput!$M$27,Inputs!$B$4="Chapter Hunt"),CHOOSE(ArtifactsInput!$N$27+1,20,24,28,32,36,40),0)/100)),0)</f>
        <v/>
      </c>
      <c r="R1728" t="n">
        <v>0</v>
      </c>
      <c r="S1728" t="n">
        <v>0</v>
      </c>
      <c r="U1728" t="n">
        <v>0</v>
      </c>
    </row>
    <row r="1729">
      <c r="A1729">
        <f>Skills!A19</f>
        <v/>
      </c>
      <c r="B1729">
        <f>Skills!B19</f>
        <v/>
      </c>
      <c r="C1729">
        <f>Inputs!$B$3&gt;=50</f>
        <v/>
      </c>
      <c r="D1729">
        <f>IF(Skills!C19=1,60+Inputs!$B$25+Inputs!$B$29,IF(Skills!C19=2,90+Inputs!$B$26+Inputs!$B$29,IF(Skills!C19=3,120+Inputs!$B$27+Inputs!$B$29,MAX(0,(Inputs!$B$3-100)*3)+Inputs!$B$28+Inputs!$B$29)))</f>
        <v/>
      </c>
      <c r="E1729">
        <f>INDEX(FactorTable!$B$2:$Y$301, MATCH(ROUND(MIN(300,MAX(1,D1729)),0), FactorTable!$A$2:$A$301,0), Skills!L19+1)</f>
        <v/>
      </c>
      <c r="F1729">
        <f>IF(Skills!M19=TRUE,(Skills!K19/10)*(E1729/1000),Skills!K19/10)+Skills!N19</f>
        <v/>
      </c>
      <c r="G1729">
        <f>Calc!G19</f>
        <v/>
      </c>
      <c r="H1729">
        <f>Calc!H19</f>
        <v/>
      </c>
      <c r="I1729">
        <f>IF(Skills!T19&lt;&gt;"",1+(Skills!T19/10)*(Z1713/1000)/100,1)</f>
        <v/>
      </c>
      <c r="J1729" t="inlineStr"/>
      <c r="K1729" t="inlineStr"/>
      <c r="L1729" t="inlineStr"/>
      <c r="M1729" t="inlineStr"/>
      <c r="N1729" t="inlineStr"/>
      <c r="O1729">
        <f>(1-Summary!$B$11)*S1729+Summary!$B$11*U1729</f>
        <v/>
      </c>
      <c r="P1729">
        <f>IF(B1747=0,0,O1729/B1747)</f>
        <v/>
      </c>
      <c r="Q1729">
        <f>IFERROR(1/(IF(Inputs!$B$38="pvp",15,MAX(0.1,Skills!D19-IF(TRUE=TRUE,Inputs!$B$32,0)))*(1-IF(AND(ArtifactsInput!$M$27,Inputs!$B$4="Chapter Hunt"),CHOOSE(ArtifactsInput!$N$27+1,20,24,28,32,36,40),0)/100)),0)</f>
        <v/>
      </c>
      <c r="R1729" t="n">
        <v>0</v>
      </c>
      <c r="S1729" t="n">
        <v>0</v>
      </c>
      <c r="U1729" t="n">
        <v>0</v>
      </c>
    </row>
    <row r="1730">
      <c r="A1730">
        <f>Skills!A20</f>
        <v/>
      </c>
      <c r="B1730">
        <f>Skills!B20</f>
        <v/>
      </c>
      <c r="C1730">
        <f>Inputs!$B$3&gt;=74</f>
        <v/>
      </c>
      <c r="D1730">
        <f>IF(Skills!C20=1,60+Inputs!$B$25+Inputs!$B$29,IF(Skills!C20=2,90+Inputs!$B$26+Inputs!$B$29,IF(Skills!C20=3,120+Inputs!$B$27+Inputs!$B$29,MAX(0,(Inputs!$B$3-100)*3)+Inputs!$B$28+Inputs!$B$29)))</f>
        <v/>
      </c>
      <c r="E1730">
        <f>INDEX(FactorTable!$B$2:$Y$301, MATCH(ROUND(MIN(300,MAX(1,D1730)),0), FactorTable!$A$2:$A$301,0), Skills!L20+1)</f>
        <v/>
      </c>
      <c r="F1730">
        <f>IF(Skills!M20=TRUE,(Skills!K20/10)*(E1730/1000),Skills!K20/10)+Skills!N20</f>
        <v/>
      </c>
      <c r="G1730">
        <f>Calc!G20</f>
        <v/>
      </c>
      <c r="H1730">
        <f>Calc!H20</f>
        <v/>
      </c>
      <c r="I1730">
        <f>IF(Skills!T20&lt;&gt;"",1+(Skills!T20/10)*(Z1713/1000)/100,1)</f>
        <v/>
      </c>
      <c r="J1730" t="inlineStr"/>
      <c r="K1730" t="inlineStr"/>
      <c r="L1730" t="inlineStr"/>
      <c r="M1730" t="inlineStr"/>
      <c r="N1730" t="inlineStr"/>
      <c r="O1730">
        <f>(1-Summary!$B$11)*S1730+Summary!$B$11*U1730</f>
        <v/>
      </c>
      <c r="P1730">
        <f>IF(B1747=0,0,O1730/B1747)</f>
        <v/>
      </c>
      <c r="Q1730">
        <f>IFERROR(1/(IF(Inputs!$B$38="pvp",15,MAX(0.1,Skills!D20-IF(TRUE=TRUE,Inputs!$B$32,0)))*(1-IF(AND(ArtifactsInput!$M$27,Inputs!$B$4="Chapter Hunt"),CHOOSE(ArtifactsInput!$N$27+1,20,24,28,32,36,40),0)/100)),0)</f>
        <v/>
      </c>
      <c r="R1730" t="n">
        <v>0</v>
      </c>
      <c r="S1730" t="n">
        <v>0</v>
      </c>
      <c r="U1730" t="n">
        <v>0</v>
      </c>
    </row>
    <row r="1731">
      <c r="A1731">
        <f>Skills!A21</f>
        <v/>
      </c>
      <c r="B1731">
        <f>Skills!B21</f>
        <v/>
      </c>
      <c r="C1731">
        <f>Inputs!$B$3&gt;=74</f>
        <v/>
      </c>
      <c r="D1731">
        <f>IF(Skills!C21=1,60+Inputs!$B$25+Inputs!$B$29,IF(Skills!C21=2,90+Inputs!$B$26+Inputs!$B$29,IF(Skills!C21=3,120+Inputs!$B$27+Inputs!$B$29,MAX(0,(Inputs!$B$3-100)*3)+Inputs!$B$28+Inputs!$B$29)))</f>
        <v/>
      </c>
      <c r="E1731">
        <f>INDEX(FactorTable!$B$2:$Y$301, MATCH(ROUND(MIN(300,MAX(1,D1731)),0), FactorTable!$A$2:$A$301,0), Skills!L21+1)</f>
        <v/>
      </c>
      <c r="F1731">
        <f>IF(Skills!M21=TRUE,(Skills!K21/10)*(E1731/1000),Skills!K21/10)+Skills!N21</f>
        <v/>
      </c>
      <c r="G1731">
        <f>Calc!G21</f>
        <v/>
      </c>
      <c r="H1731">
        <f>Calc!H21</f>
        <v/>
      </c>
      <c r="I1731">
        <f>IF(Skills!T21&lt;&gt;"",1+(Skills!T21/10)*(Z1713/1000)/100,1)</f>
        <v/>
      </c>
      <c r="J1731" t="inlineStr"/>
      <c r="K1731" t="inlineStr"/>
      <c r="L1731" t="inlineStr"/>
      <c r="M1731" t="inlineStr"/>
      <c r="N1731" t="inlineStr"/>
      <c r="O1731">
        <f>(1-Summary!$B$11)*S1731+Summary!$B$11*U1731</f>
        <v/>
      </c>
      <c r="P1731">
        <f>IF(B1747=0,0,O1731/B1747)</f>
        <v/>
      </c>
      <c r="Q1731">
        <f>IFERROR(1/(IF(Inputs!$B$38="pvp",15,MAX(0.1,Skills!D21-IF(TRUE=TRUE,Inputs!$B$32,0)))*(1-IF(AND(ArtifactsInput!$M$27,Inputs!$B$4="Chapter Hunt"),CHOOSE(ArtifactsInput!$N$27+1,20,24,28,32,36,40),0)/100)),0)</f>
        <v/>
      </c>
      <c r="R1731" t="n">
        <v>0</v>
      </c>
      <c r="S1731" t="n">
        <v>0</v>
      </c>
      <c r="U1731" t="n">
        <v>0</v>
      </c>
    </row>
    <row r="1732">
      <c r="A1732">
        <f>Skills!A22</f>
        <v/>
      </c>
      <c r="B1732">
        <f>Skills!B22</f>
        <v/>
      </c>
      <c r="C1732">
        <f>Inputs!$B$3&gt;=117</f>
        <v/>
      </c>
      <c r="D1732">
        <f>IF(Skills!C22=1,60+Inputs!$B$25+Inputs!$B$29,IF(Skills!C22=2,90+Inputs!$B$26+Inputs!$B$29,IF(Skills!C22=3,120+Inputs!$B$27+Inputs!$B$29,MAX(0,(Inputs!$B$3-100)*3)+Inputs!$B$28+Inputs!$B$29)))</f>
        <v/>
      </c>
      <c r="E1732">
        <f>INDEX(FactorTable!$B$2:$Y$301, MATCH(ROUND(MIN(300,MAX(1,D1732)),0), FactorTable!$A$2:$A$301,0), Skills!L22+1)</f>
        <v/>
      </c>
      <c r="F1732">
        <f>IF(Skills!M22=TRUE,(Skills!K22/10)*(E1732/1000),Skills!K22/10)+Skills!N22</f>
        <v/>
      </c>
      <c r="G1732">
        <f>Calc!G22</f>
        <v/>
      </c>
      <c r="H1732">
        <f>Calc!H22</f>
        <v/>
      </c>
      <c r="I1732">
        <f>IF(Skills!T22&lt;&gt;"",1+(Skills!T22/10)*(Z1713/1000)/100,1)</f>
        <v/>
      </c>
      <c r="J1732" t="inlineStr"/>
      <c r="K1732" t="inlineStr"/>
      <c r="L1732" t="inlineStr"/>
      <c r="M1732" t="inlineStr"/>
      <c r="N1732" t="inlineStr"/>
      <c r="O1732">
        <f>(1-Summary!$B$11)*S1732+Summary!$B$11*U1732</f>
        <v/>
      </c>
      <c r="P1732">
        <f>IF(B1747=0,0,O1732/B1747)</f>
        <v/>
      </c>
      <c r="Q1732">
        <f>IFERROR(1/(IF(Inputs!$B$38="pvp",15,MAX(0.1,Skills!D22-IF(TRUE=TRUE,Inputs!$B$32,0)))*(1-IF(AND(ArtifactsInput!$M$27,Inputs!$B$4="Chapter Hunt"),CHOOSE(ArtifactsInput!$N$27+1,20,24,28,32,36,40),0)/100)),0)</f>
        <v/>
      </c>
      <c r="R1732" t="n">
        <v>0</v>
      </c>
      <c r="S1732" t="n">
        <v>0</v>
      </c>
      <c r="U1732" t="n">
        <v>0</v>
      </c>
    </row>
    <row r="1733">
      <c r="A1733">
        <f>Skills!A23</f>
        <v/>
      </c>
      <c r="B1733">
        <f>Skills!B23</f>
        <v/>
      </c>
      <c r="C1733">
        <f>Inputs!$B$3&gt;=120</f>
        <v/>
      </c>
      <c r="D1733">
        <f>IF(Skills!C23=1,60+Inputs!$B$25+Inputs!$B$29,IF(Skills!C23=2,90+Inputs!$B$26+Inputs!$B$29,IF(Skills!C23=3,120+Inputs!$B$27+Inputs!$B$29,MAX(0,(Inputs!$B$3-100)*3)+Inputs!$B$28+Inputs!$B$29)))</f>
        <v/>
      </c>
      <c r="E1733">
        <f>INDEX(FactorTable!$B$2:$Y$301, MATCH(ROUND(MIN(300,MAX(1,D1733)),0), FactorTable!$A$2:$A$301,0), Skills!L23+1)</f>
        <v/>
      </c>
      <c r="F1733">
        <f>IF(Skills!M23=TRUE,(Skills!K23/10)*(E1733/1000),Skills!K23/10)+Skills!N23</f>
        <v/>
      </c>
      <c r="G1733">
        <f>Calc!G23</f>
        <v/>
      </c>
      <c r="H1733">
        <f>Calc!H23</f>
        <v/>
      </c>
      <c r="I1733">
        <f>IF(Skills!T23&lt;&gt;"",1+(Skills!T23/10)*(Z1713/1000)/100,1)</f>
        <v/>
      </c>
      <c r="J1733" t="inlineStr"/>
      <c r="K1733" t="inlineStr"/>
      <c r="L1733" t="inlineStr"/>
      <c r="M1733" t="inlineStr"/>
      <c r="N1733" t="inlineStr"/>
      <c r="O1733">
        <f>(1-Summary!$B$11)*S1733+Summary!$B$11*U1733</f>
        <v/>
      </c>
      <c r="P1733">
        <f>IF(B1747=0,0,O1733/B1747)</f>
        <v/>
      </c>
      <c r="Q1733">
        <f>IFERROR(1/(IF(Inputs!$B$38="pvp",15,MAX(0.1,Skills!D23-IF(TRUE=TRUE,Inputs!$B$32,0)))*(1-IF(AND(ArtifactsInput!$M$27,Inputs!$B$4="Chapter Hunt"),CHOOSE(ArtifactsInput!$N$27+1,20,24,28,32,36,40),0)/100)),0)</f>
        <v/>
      </c>
      <c r="R1733" t="n">
        <v>0</v>
      </c>
      <c r="S1733" t="n">
        <v>0</v>
      </c>
      <c r="U1733" t="n">
        <v>0</v>
      </c>
    </row>
    <row r="1734">
      <c r="A1734">
        <f>Skills!A24</f>
        <v/>
      </c>
      <c r="B1734">
        <f>Skills!B24</f>
        <v/>
      </c>
      <c r="C1734">
        <f>TRUE</f>
        <v/>
      </c>
      <c r="D1734">
        <f>IF(Skills!C24=1,60+Inputs!$B$25+Inputs!$B$29,IF(Skills!C24=2,90+Inputs!$B$26+Inputs!$B$29,IF(Skills!C24=3,120+Inputs!$B$27+Inputs!$B$29,MAX(0,(Inputs!$B$3-100)*3)+Inputs!$B$28+Inputs!$B$29)))</f>
        <v/>
      </c>
      <c r="E1734">
        <f>INDEX(FactorTable!$B$2:$Y$301, MATCH(ROUND(MIN(300,MAX(1,D1734)),0), FactorTable!$A$2:$A$301,0), Skills!L24+1)</f>
        <v/>
      </c>
      <c r="F1734">
        <f>IF(Skills!M24=TRUE,(Skills!K24/10)*(E1734/1000),Skills!K24/10)+Skills!N24</f>
        <v/>
      </c>
      <c r="G1734">
        <f>Calc!G24</f>
        <v/>
      </c>
      <c r="H1734">
        <f>Calc!H24</f>
        <v/>
      </c>
      <c r="I1734">
        <f>IF(Skills!T24&lt;&gt;"",1+(Skills!T24/10)*(Z1713/1000)/100,1)</f>
        <v/>
      </c>
      <c r="J1734" t="inlineStr"/>
      <c r="K1734" t="inlineStr"/>
      <c r="L1734" t="inlineStr"/>
      <c r="M1734" t="inlineStr"/>
      <c r="N1734" t="inlineStr"/>
      <c r="O1734">
        <f>(1-Summary!$B$11)*S1734+Summary!$B$11*U1734</f>
        <v/>
      </c>
      <c r="P1734">
        <f>IF(B1747=0,0,O1734/B1747)</f>
        <v/>
      </c>
      <c r="Q1734">
        <f>IFERROR(1/(IF(Inputs!$B$38="pvp",15,MAX(0.1,Skills!D24-IF(TRUE=TRUE,Inputs!$B$32,0)))*(1-IF(AND(ArtifactsInput!$M$27,Inputs!$B$4="Chapter Hunt"),CHOOSE(ArtifactsInput!$N$27+1,20,24,28,32,36,40),0)/100)),0)</f>
        <v/>
      </c>
      <c r="R1734">
        <f>IF(AND(Inputs!$B$38&lt;&gt;"pvp",Inputs!$B$43&gt;0),IF(Inputs!$B$43&lt;=0,0,(INT(Inputs!$B$43/(IF(Inputs!$B$38="pvp",15,MAX(0.1,Skills!D24-IF(TRUE=TRUE,Inputs!$B$32,0)))*(1-IF(AND(ArtifactsInput!$M$27,Inputs!$B$4="Chapter Hunt"),CHOOSE(ArtifactsInput!$N$27+1,20,24,28,32,36,40),0)/100)))+1)),0)</f>
        <v/>
      </c>
      <c r="S1734" t="n">
        <v>0</v>
      </c>
      <c r="U1734" t="n">
        <v>0</v>
      </c>
    </row>
    <row r="1737">
      <c r="A1737" t="inlineStr">
        <is>
          <t>Average Buff Multiplier (Magic Guard + Meditation + Artifact Attack%, summed; then Infinity)</t>
        </is>
      </c>
      <c r="B1737">
        <f>(1+(IF(C1713=TRUE,F1713*IF(AND(Inputs!$B$38&lt;&gt;"pvp",Inputs!$B$43&gt;0),(((R1713-1)*MIN((Skills!S3*(1+(Inputs!$B$34)/100)),(1/Q1713))+MIN((Skills!S3*(1+(Inputs!$B$34)/100)),MAX(0,Inputs!$B$43-((R1713-1)*(1/Q1713)))))/Inputs!$B$43),IF(Inputs!$B$38="pvp",MIN((Skills!S3*(1+(Inputs!$B$34)/100)),15)/15,MIN(1,(Skills!S3*(1+(Inputs!$B$34)/100))/(1/Q1713)))),0)+IF(C1714=TRUE,F1714*IF(AND(Inputs!$B$38&lt;&gt;"pvp",Inputs!$B$43&gt;0),(((R1714-1)*MIN((Skills!S4*(1+(Inputs!$B$34)/100)),(1/Q1714))+MIN((Skills!S4*(1+(Inputs!$B$34)/100)),MAX(0,Inputs!$B$43-((R1714-1)*(1/Q1714)))))/Inputs!$B$43),IF(Inputs!$B$38="pvp",MIN((Skills!S4*(1+(Inputs!$B$34)/100)),15)/15,MIN(1,(Skills!S4*(1+(Inputs!$B$34)/100))/(1/Q1714)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1726=TRUE,(1+F1726*IF(AND(Inputs!$B$38&lt;&gt;"pvp",Inputs!$B$43&gt;0),(((R1726-1)*MIN((Skills!S16*(1+(Inputs!$B$34)/100)),(1/Q1726))+MIN((Skills!S16*(1+(Inputs!$B$34)/100)),MAX(0,Inputs!$B$43-((R1726-1)*(1/Q1726)))))/Inputs!$B$43),IF(Inputs!$B$38="pvp",MIN((Skills!S16*(1+(Inputs!$B$34)/100)),15)/15,MIN(1,(Skills!S16*(1+(Inputs!$B$34)/100))/(1/Q1726))))/100),1)</f>
        <v/>
      </c>
    </row>
    <row r="1738">
      <c r="A1738" t="inlineStr">
        <is>
          <t>Monster Damage Taken Bonus % (Freezing Breath - Weaken + Elemental Reset + Artifact Enemy Damage Taken, summed)</t>
        </is>
      </c>
      <c r="B1738">
        <f>IF(Inputs!$B$3&gt;=118,15*IF(Inputs!$B$38="pvp",MIN((30*(1+(Inputs!$B$34)/100)),15)/15,MIN(1,(30*(1+(Inputs!$B$34)/100))/(1/Q1718))),0)+IF(C1724=TRUE,F1724,0)+(IF(AND(ArtifactsInput!$M$35,Inputs!$B$4&lt;&gt;"Chapter Hunt"),CHOOSE(ArtifactsInput!$N$35+1,15,18,21,24,27,30)*(1-EXP(-(0.2*B1741)*5)),0)+IF(AND(IF(ArtifactsInput!$M$22,FALSE,TRUE),Inputs!$B$4&lt;&gt;"Chapter Hunt"),CHOOSE(ArtifactsInput!$N$22+1,10,12,14,16,18,20)*((0*(((0.15*B1741*5))^0/1)+1*(((0.15*B1741*5))^1/1)+2*(((0.15*B1741*5))^2/2)+3*(((0.15*B1741*5))^3/6)+4*(((0.15*B1741*5))^4/24)+5*(((0.15*B1741*5))^5/120))/((((0.15*B1741*5))^0/1)+(((0.15*B1741*5))^1/1)+(((0.15*B1741*5))^2/2)+(((0.15*B1741*5))^3/6)+(((0.15*B1741*5))^4/24)+(((0.15*B1741*5))^5/120))),0))</f>
        <v/>
      </c>
    </row>
    <row r="1739">
      <c r="A1739" t="inlineStr">
        <is>
          <t>Damage % Bonus (Frozen Break + Frost Clutch, flat)</t>
        </is>
      </c>
      <c r="B1739">
        <f>IF(Inputs!$B$3&gt;=66,15,0)+IF(Inputs!$B$3&gt;=98,10,0)+IF(Inputs!$B$3&gt;=125,20,0)</f>
        <v/>
      </c>
    </row>
    <row r="1740">
      <c r="A1740" t="inlineStr">
        <is>
          <t>Attack Speed Bonus % (MP Eater - MP Boost, always-on + Nimble Feet, duty-cycle averaged)</t>
        </is>
      </c>
      <c r="B1740">
        <f>IF(C1723=TRUE,F1723+(F1727-Calc!F17),0)+((C1734=TRUE)*F1734*IF(AND(Inputs!$B$38&lt;&gt;"pvp",Inputs!$B$43&gt;0),(((R1734-1)*MIN((Skills!S24*(1+(Inputs!$B$34)/100)),(1/Q1734))+MIN((Skills!S24*(1+(Inputs!$B$34)/100)),MAX(0,Inputs!$B$43-((R1734-1)*(1/Q1734)))))/Inputs!$B$43),IF(Inputs!$B$38="pvp",MIN((Skills!S24*(1+(Inputs!$B$34)/100)),15)/15,MIN(1,(Skills!S24*(1+(Inputs!$B$34)/100))/(1/Q1734)))))</f>
        <v/>
      </c>
    </row>
    <row r="1741">
      <c r="A1741" t="inlineStr">
        <is>
          <t>Actions Per Second</t>
        </is>
      </c>
      <c r="B1741">
        <f>1+MIN(150,150*(1-(1-(Inputs!$B$11+(ArtifactsInput!$M$15-ArtifactsInput!$M$15)*CHOOSE(ArtifactsInput!$N$15+1,8,9.6,11.2,12.8,14.4,16))/150)*(1-B1740/150)))/100</f>
        <v/>
      </c>
    </row>
    <row r="1742">
      <c r="A1742" t="inlineStr">
        <is>
          <t>Skill + Buff Cast Rate</t>
        </is>
      </c>
      <c r="B1742">
        <f>IF(AND(Inputs!$B$38&lt;&gt;"pvp",Inputs!$B$43&gt;0),SUMPRODUCT((Skills!E2:E24=TRUE)*(C1712:C1734=TRUE)*R1712:R1734)/Inputs!$B$43,SUMPRODUCT((Skills!E2:E24=TRUE)*(C1712:C1734=TRUE)*Q1712:Q1734))</f>
        <v/>
      </c>
    </row>
    <row r="1743">
      <c r="A1743" t="inlineStr">
        <is>
          <t>Chain Lightning Casts Per Second</t>
        </is>
      </c>
      <c r="B1743">
        <f>MAX(0,B1741-B1742)</f>
        <v/>
      </c>
    </row>
    <row r="1744">
      <c r="A1744" t="inlineStr">
        <is>
          <t>Buff-Casting Startup Delay (s, fixed-duration only)</t>
        </is>
      </c>
      <c r="B1744">
        <f>IF(AND(Inputs!$B$38&lt;&gt;"pvp",Inputs!$B$43&gt;0),SUMPRODUCT((Skills!S2:S24&gt;0)*(Skills!E2:E24=TRUE)*(C1712:C1734=TRUE))/B1741,0)</f>
        <v/>
      </c>
    </row>
    <row r="1745">
      <c r="A1745" t="inlineStr">
        <is>
          <t>Boss-Only Total DPS (this block's swept value)</t>
        </is>
      </c>
      <c r="B1745">
        <f>SUM(S1712:S1734)</f>
        <v/>
      </c>
    </row>
    <row r="1746">
      <c r="A1746" t="inlineStr">
        <is>
          <t>Normal-Only Total DPS (this block's swept value)</t>
        </is>
      </c>
      <c r="B1746">
        <f>SUM(U1712:U1734)</f>
        <v/>
      </c>
    </row>
    <row r="1747">
      <c r="A1747" s="6" t="inlineStr">
        <is>
          <t>TOTAL DPS</t>
        </is>
      </c>
      <c r="B1747" s="6">
        <f>SUM(O1712:O1734)</f>
        <v/>
      </c>
    </row>
    <row r="1748">
      <c r="A1748" t="inlineStr">
        <is>
          <t>Blizzard Final Attack trigger rate (this block's own Q/R)</t>
        </is>
      </c>
      <c r="B1748">
        <f>IF(AND(Inputs!$B$38&lt;&gt;"pvp",Inputs!$B$43&gt;0),(((C1715=TRUE)*R1715*1)+((C1716=TRUE)*R1716*1)+((C1718=TRUE)*R1718*1)+((C1719=TRUE)*R1719*3)+((C1721=TRUE)*R1721*1))/Inputs!$B$43,((C1715=TRUE)*Q1715*1)+((C1716=TRUE)*Q1716*1)+((C1718=TRUE)*Q1718*1)+((C1719=TRUE)*Q1719*3)+((C1721=TRUE)*Q1721*1))+B1743</f>
        <v/>
      </c>
    </row>
    <row r="1751">
      <c r="A1751" s="6" t="inlineStr">
        <is>
          <t>Stat: Star Rock (Equip)</t>
        </is>
      </c>
    </row>
    <row r="1752">
      <c r="A1752" s="5" t="inlineStr">
        <is>
          <t>Key</t>
        </is>
      </c>
      <c r="B1752" s="5" t="inlineStr">
        <is>
          <t>Name</t>
        </is>
      </c>
      <c r="C1752" s="5" t="inlineStr">
        <is>
          <t>Unlocked</t>
        </is>
      </c>
      <c r="D1752" s="5" t="inlineStr">
        <is>
          <t>InputLevel</t>
        </is>
      </c>
      <c r="E1752" s="5" t="inlineStr">
        <is>
          <t>Factor</t>
        </is>
      </c>
      <c r="F1752" s="5" t="inlineStr">
        <is>
          <t>CoefficientPercent</t>
        </is>
      </c>
      <c r="G1752" s="5" t="inlineStr">
        <is>
          <t>EffectiveHits</t>
        </is>
      </c>
      <c r="H1752" s="5" t="inlineStr">
        <is>
          <t>ProcProbability</t>
        </is>
      </c>
      <c r="I1752" s="5" t="inlineStr">
        <is>
          <t>MapleHeroMultiplier</t>
        </is>
      </c>
      <c r="J1752" s="5" t="inlineStr">
        <is>
          <t>BaseDamage</t>
        </is>
      </c>
      <c r="K1752" s="5" t="inlineStr">
        <is>
          <t>BaseHitDamage</t>
        </is>
      </c>
      <c r="L1752" s="5" t="inlineStr">
        <is>
          <t>NonCritAvg</t>
        </is>
      </c>
      <c r="M1752" s="5" t="inlineStr">
        <is>
          <t>CritAvg</t>
        </is>
      </c>
      <c r="N1752" s="5" t="inlineStr">
        <is>
          <t>ExpectedDamage(perHit)</t>
        </is>
      </c>
      <c r="O1752" s="5" t="inlineStr">
        <is>
          <t>DPS</t>
        </is>
      </c>
      <c r="P1752" s="5" t="inlineStr">
        <is>
          <t>% of Total</t>
        </is>
      </c>
      <c r="R1752" t="inlineStr">
        <is>
          <t>helpers</t>
        </is>
      </c>
    </row>
    <row r="1753">
      <c r="A1753">
        <f>Skills!A2</f>
        <v/>
      </c>
      <c r="B1753">
        <f>Skills!B2</f>
        <v/>
      </c>
      <c r="C1753">
        <f>Inputs!$B$3&gt;=100</f>
        <v/>
      </c>
      <c r="D1753" t="inlineStr"/>
      <c r="E1753" t="inlineStr"/>
      <c r="F1753">
        <f>T1755+Skills!N2</f>
        <v/>
      </c>
      <c r="G1753">
        <f>Calc!G2</f>
        <v/>
      </c>
      <c r="H1753">
        <f>Calc!H2</f>
        <v/>
      </c>
      <c r="I1753">
        <f>IF(Skills!T2&lt;&gt;"",1+(Skills!T2/10)*(Z1754/1000)/100,1)</f>
        <v/>
      </c>
      <c r="J1753">
        <f>((Inputs!$B$6*(1+Inputs!$B$7/100))+(((Inputs!$B$12*(1+Inputs!$B$13/100))-(Inputs!$B$12*(1+Inputs!$B$13/100)))+0.25*(Inputs!$B$14-Inputs!$B$14))*(1+Inputs!$B$7/100))*(F1753/100)</f>
        <v/>
      </c>
      <c r="K1753">
        <f>J1753*(1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2="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1753)</f>
        <v/>
      </c>
      <c r="L1753">
        <f>K1753*(MIN(Inputs!$B$22+(F1769-Calc!F18),(Inputs!$B$23+(IF(ArtifactsInput!$M$15,CHOOSE(ArtifactsInput!$N$15+1,25,30,35,40,45,50)/100*(Inputs!$B$11-Inputs!$B$11),0))))/100+(Inputs!$B$23+(IF(ArtifactsInput!$M$15,CHOOSE(ArtifactsInput!$N$15+1,25,30,35,40,45,50)/100*(Inputs!$B$11-Inputs!$B$11),0)))/100)/2</f>
        <v/>
      </c>
      <c r="M1753">
        <f>L1753*(1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3">
        <f>L1753*(1-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1753*(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3">
        <f>(1-Summary!$B$11)*S1753+Summary!$B$11*U1753</f>
        <v/>
      </c>
      <c r="P1753">
        <f>IF(B1788=0,0,O1753/B1788)</f>
        <v/>
      </c>
      <c r="Q1753">
        <f>IFERROR(1/(IF(Inputs!$B$38="pvp",15,MAX(0.1,Skills!D2-IF(TRUE=TRUE,Inputs!$B$32,0)))*(1-IF(AND(ArtifactsInput!$M$27,Inputs!$B$4="Chapter Hunt"),CHOOSE(ArtifactsInput!$N$27+1,20,24,28,32,36,40),0)/100)),0)</f>
        <v/>
      </c>
      <c r="R1753" t="n">
        <v>0</v>
      </c>
      <c r="S1753">
        <f>IF(C1753,(Skills!F2*N1753*B1784)*IF(Inputs!$B$38="pvp",1,1+(Inputs!$B$20+Skills!O2+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1753*(1-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1753*(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1753*(1-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1753*(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53">
        <f>MAX(0,(Inputs!$B$3-100)*3)+Inputs!$B$28+Inputs!$B$29</f>
        <v/>
      </c>
      <c r="U1753">
        <f>IF(C1753,(Skills!F2*N1753*B1784)*IF(Inputs!$B$38="pvp",1,(1+(Inputs!$B$21+Skills!P2+B1779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53">
        <f>MAX(0,(Inputs!$B$3-100)*3)+Inputs!$B$28+Inputs!$B$29</f>
        <v/>
      </c>
    </row>
    <row r="1754">
      <c r="A1754">
        <f>Skills!A3</f>
        <v/>
      </c>
      <c r="B1754">
        <f>Skills!B3</f>
        <v/>
      </c>
      <c r="C1754">
        <f>Inputs!$B$3&gt;=15</f>
        <v/>
      </c>
      <c r="D1754">
        <f>IF(Skills!C3=1,60+Inputs!$B$25+Inputs!$B$29,IF(Skills!C3=2,90+Inputs!$B$26+Inputs!$B$29,IF(Skills!C3=3,120+Inputs!$B$27+Inputs!$B$29,MAX(0,(Inputs!$B$3-100)*3)+Inputs!$B$28+Inputs!$B$29)))</f>
        <v/>
      </c>
      <c r="E1754">
        <f>INDEX(FactorTable!$B$2:$Y$301, MATCH(ROUND(MIN(300,MAX(1,D1754)),0), FactorTable!$A$2:$A$301,0), Skills!L3+1)</f>
        <v/>
      </c>
      <c r="F1754">
        <f>IF(Skills!M3=TRUE,(Skills!K3/10)*(E1754/1000),Skills!K3/10)+Skills!N3</f>
        <v/>
      </c>
      <c r="G1754">
        <f>Calc!G3</f>
        <v/>
      </c>
      <c r="H1754">
        <f>Calc!H3</f>
        <v/>
      </c>
      <c r="I1754">
        <f>IF(Skills!T3&lt;&gt;"",1+(Skills!T3/10)*(Z1754/1000)/100,1)</f>
        <v/>
      </c>
      <c r="J1754" t="inlineStr"/>
      <c r="K1754" t="inlineStr"/>
      <c r="L1754" t="inlineStr"/>
      <c r="M1754" t="inlineStr"/>
      <c r="N1754" t="inlineStr"/>
      <c r="O1754">
        <f>(1-Summary!$B$11)*S1754+Summary!$B$11*U1754</f>
        <v/>
      </c>
      <c r="P1754">
        <f>IF(B1788=0,0,O1754/B1788)</f>
        <v/>
      </c>
      <c r="Q1754">
        <f>IFERROR(1/(IF(Inputs!$B$38="pvp",15,MAX(0.1,Skills!D3-IF(TRUE=TRUE,Inputs!$B$32,0)))*(1-IF(AND(ArtifactsInput!$M$27,Inputs!$B$4="Chapter Hunt"),CHOOSE(ArtifactsInput!$N$27+1,20,24,28,32,36,40),0)/100)),0)</f>
        <v/>
      </c>
      <c r="R1754">
        <f>IF(AND(Inputs!$B$38&lt;&gt;"pvp",Inputs!$B$43&gt;0),IF(Inputs!$B$43&lt;=0,0,(INT(Inputs!$B$43/(IF(Inputs!$B$38="pvp",15,MAX(0.1,Skills!D3-IF(TRUE=TRUE,Inputs!$B$32,0)))*(1-IF(AND(ArtifactsInput!$M$27,Inputs!$B$4="Chapter Hunt"),CHOOSE(ArtifactsInput!$N$27+1,20,24,28,32,36,40),0)/100)))+1)),0)</f>
        <v/>
      </c>
      <c r="S1754" t="n">
        <v>0</v>
      </c>
      <c r="T1754">
        <f>INDEX(FactorTable!$B$2:$Y$301, MATCH(ROUND(MIN(300,MAX(1,T1753)),0), FactorTable!$A$2:$A$301,0), 22)</f>
        <v/>
      </c>
      <c r="U1754" t="n">
        <v>0</v>
      </c>
      <c r="Z1754">
        <f>INDEX(FactorTable!$B$2:$Y$301, MATCH(ROUND(MIN(300,MAX(1,Z1753)),0), FactorTable!$A$2:$A$301,0), 24)</f>
        <v/>
      </c>
    </row>
    <row r="1755">
      <c r="A1755">
        <f>Skills!A4</f>
        <v/>
      </c>
      <c r="B1755">
        <f>Skills!B4</f>
        <v/>
      </c>
      <c r="C1755">
        <f>Inputs!$B$3&gt;=40</f>
        <v/>
      </c>
      <c r="D1755">
        <f>IF(Skills!C4=1,60+Inputs!$B$25+Inputs!$B$29,IF(Skills!C4=2,90+Inputs!$B$26+Inputs!$B$29,IF(Skills!C4=3,120+Inputs!$B$27+Inputs!$B$29,MAX(0,(Inputs!$B$3-100)*3)+Inputs!$B$28+Inputs!$B$29)))</f>
        <v/>
      </c>
      <c r="E1755">
        <f>INDEX(FactorTable!$B$2:$Y$301, MATCH(ROUND(MIN(300,MAX(1,D1755)),0), FactorTable!$A$2:$A$301,0), Skills!L4+1)</f>
        <v/>
      </c>
      <c r="F1755">
        <f>IF(Skills!M4=TRUE,(Skills!K4/10)*(E1755/1000),Skills!K4/10)+Skills!N4</f>
        <v/>
      </c>
      <c r="G1755">
        <f>Calc!G4</f>
        <v/>
      </c>
      <c r="H1755">
        <f>Calc!H4</f>
        <v/>
      </c>
      <c r="I1755">
        <f>IF(Skills!T4&lt;&gt;"",1+(Skills!T4/10)*(Z1754/1000)/100,1)</f>
        <v/>
      </c>
      <c r="J1755" t="inlineStr"/>
      <c r="K1755" t="inlineStr"/>
      <c r="L1755" t="inlineStr"/>
      <c r="M1755" t="inlineStr"/>
      <c r="N1755" t="inlineStr"/>
      <c r="O1755">
        <f>(1-Summary!$B$11)*S1755+Summary!$B$11*U1755</f>
        <v/>
      </c>
      <c r="P1755">
        <f>IF(B1788=0,0,O1755/B1788)</f>
        <v/>
      </c>
      <c r="Q1755">
        <f>IFERROR(1/(IF(Inputs!$B$38="pvp",15,MAX(0.1,Skills!D4-IF(TRUE=TRUE,Inputs!$B$32,0)))*(1-IF(AND(ArtifactsInput!$M$27,Inputs!$B$4="Chapter Hunt"),CHOOSE(ArtifactsInput!$N$27+1,20,24,28,32,36,40),0)/100)),0)</f>
        <v/>
      </c>
      <c r="R1755">
        <f>IF(AND(Inputs!$B$38&lt;&gt;"pvp",Inputs!$B$43&gt;0),IF(Inputs!$B$43&lt;=0,0,(INT(Inputs!$B$43/(IF(Inputs!$B$38="pvp",15,MAX(0.1,Skills!D4-IF(TRUE=TRUE,Inputs!$B$32,0)))*(1-IF(AND(ArtifactsInput!$M$27,Inputs!$B$4="Chapter Hunt"),CHOOSE(ArtifactsInput!$N$27+1,20,24,28,32,36,40),0)/100)))+1)),0)</f>
        <v/>
      </c>
      <c r="S1755" t="n">
        <v>0</v>
      </c>
      <c r="T1755">
        <f>290*T1754/1000</f>
        <v/>
      </c>
      <c r="U1755" t="n">
        <v>0</v>
      </c>
    </row>
    <row r="1756">
      <c r="A1756">
        <f>Skills!A5</f>
        <v/>
      </c>
      <c r="B1756">
        <f>Skills!B5</f>
        <v/>
      </c>
      <c r="C1756">
        <f>Inputs!$B$3&gt;=38</f>
        <v/>
      </c>
      <c r="D1756">
        <f>IF(Skills!C5=1,60+Inputs!$B$25+Inputs!$B$29,IF(Skills!C5=2,90+Inputs!$B$26+Inputs!$B$29,IF(Skills!C5=3,120+Inputs!$B$27+Inputs!$B$29,MAX(0,(Inputs!$B$3-100)*3)+Inputs!$B$28+Inputs!$B$29)))</f>
        <v/>
      </c>
      <c r="E1756">
        <f>INDEX(FactorTable!$B$2:$Y$301, MATCH(ROUND(MIN(300,MAX(1,D1756)),0), FactorTable!$A$2:$A$301,0), Skills!L5+1)</f>
        <v/>
      </c>
      <c r="F1756">
        <f>IF(Skills!M5=TRUE,(Skills!K5/10)*(E1756/1000),Skills!K5/10)+Skills!N5</f>
        <v/>
      </c>
      <c r="G1756">
        <f>Calc!G5</f>
        <v/>
      </c>
      <c r="H1756">
        <f>Calc!H5</f>
        <v/>
      </c>
      <c r="I1756">
        <f>IF(Skills!T5&lt;&gt;"",1+(Skills!T5/10)*(Z1754/1000)/100,1)</f>
        <v/>
      </c>
      <c r="J1756">
        <f>((Inputs!$B$6*(1+Inputs!$B$7/100))+(((Inputs!$B$12*(1+Inputs!$B$13/100))-(Inputs!$B$12*(1+Inputs!$B$13/100)))+0.25*(Inputs!$B$14-Inputs!$B$14))*(1+Inputs!$B$7/100))*(F1756/100)</f>
        <v/>
      </c>
      <c r="K1756">
        <f>J1756*(1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5="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1756)</f>
        <v/>
      </c>
      <c r="L1756">
        <f>K1756*(MIN(Inputs!$B$22+(F1769-Calc!F18),(Inputs!$B$23+(IF(ArtifactsInput!$M$15,CHOOSE(ArtifactsInput!$N$15+1,25,30,35,40,45,50)/100*(Inputs!$B$11-Inputs!$B$11),0))))/100+(Inputs!$B$23+(IF(ArtifactsInput!$M$15,CHOOSE(ArtifactsInput!$N$15+1,25,30,35,40,45,50)/100*(Inputs!$B$11-Inputs!$B$11),0)))/100)/2</f>
        <v/>
      </c>
      <c r="M1756">
        <f>L1756*(1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6">
        <f>L1756*(1-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1756*(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6">
        <f>(1-Summary!$B$11)*S1756+Summary!$B$11*U1756</f>
        <v/>
      </c>
      <c r="P1756">
        <f>IF(B1788=0,0,O1756/B1788)</f>
        <v/>
      </c>
      <c r="Q1756">
        <f>IFERROR(1/(IF(Inputs!$B$38="pvp",15,MAX(0.1,Skills!D5-IF(TRUE=TRUE,Inputs!$B$32,0)))*(1-IF(AND(ArtifactsInput!$M$27,Inputs!$B$4="Chapter Hunt"),CHOOSE(ArtifactsInput!$N$27+1,20,24,28,32,36,40),0)/100)),0)</f>
        <v/>
      </c>
      <c r="R1756">
        <f>IF(AND(Inputs!$B$38&lt;&gt;"pvp",Inputs!$B$43&gt;0),IF(MAX(0,Inputs!$B$43-B1785)&lt;=0,0,(INT(MAX(0,Inputs!$B$43-B1785)/(IF(Inputs!$B$38="pvp",15,MAX(0.1,Skills!D5-IF(TRUE=TRUE,Inputs!$B$32,0)))*(1-IF(AND(ArtifactsInput!$M$27,Inputs!$B$4="Chapter Hunt"),CHOOSE(ArtifactsInput!$N$27+1,20,24,28,32,36,40),0)/100)))+1)),0)</f>
        <v/>
      </c>
      <c r="S1756">
        <f>IF(C1756,(H1756*N1756*IF(AND(Inputs!$B$38&lt;&gt;"pvp",Inputs!$B$43&gt;0),((Skills!F5*((R1756-1)*IF(Skills!G5&gt;0,Skills!H5/Skills!G5,1)+IF(Skills!G5&gt;0,MIN(Skills!H5,MAX(0,MAX(0,Inputs!$B$43-B1785)-((R1756-1)*(IF(Inputs!$B$38="pvp",15,MAX(0.1,Skills!D5-IF(TRUE=TRUE,Inputs!$B$32,0)))*(1-IF(AND(ArtifactsInput!$M$27,Inputs!$B$4="Chapter Hunt"),CHOOSE(ArtifactsInput!$N$27+1,20,24,28,32,36,40),0)/100)))))/Skills!G5,1)))/Inputs!$B$43),G1756*Q1756))*IF(Inputs!$B$38="pvp",1,1+(Inputs!$B$20+Skills!O5+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1756*(1-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1756*(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1756*(1-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1756*(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6">
        <f>IF(C1756,(H1756*N1756*IF(AND(Inputs!$B$38&lt;&gt;"pvp",Inputs!$B$43&gt;0),((Skills!F5*((R1756-1)*IF(Skills!G5&gt;0,Skills!H5/Skills!G5,1)+IF(Skills!G5&gt;0,MIN(Skills!H5,MAX(0,MAX(0,Inputs!$B$43-B1785)-((R1756-1)*(IF(Inputs!$B$38="pvp",15,MAX(0.1,Skills!D5-IF(TRUE=TRUE,Inputs!$B$32,0)))*(1-IF(AND(ArtifactsInput!$M$27,Inputs!$B$4="Chapter Hunt"),CHOOSE(ArtifactsInput!$N$27+1,20,24,28,32,36,40),0)/100)))))/Skills!G5,1)))/Inputs!$B$43),G1756*Q1756))*IF(Inputs!$B$38="pvp",1,(1+(Inputs!$B$21+Skills!P5+B1779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7">
      <c r="A1757">
        <f>Skills!A6</f>
        <v/>
      </c>
      <c r="B1757">
        <f>Skills!B6</f>
        <v/>
      </c>
      <c r="C1757">
        <f>Inputs!$B$3&gt;=63</f>
        <v/>
      </c>
      <c r="D1757">
        <f>IF(Skills!C6=1,60+Inputs!$B$25+Inputs!$B$29,IF(Skills!C6=2,90+Inputs!$B$26+Inputs!$B$29,IF(Skills!C6=3,120+Inputs!$B$27+Inputs!$B$29,MAX(0,(Inputs!$B$3-100)*3)+Inputs!$B$28+Inputs!$B$29)))</f>
        <v/>
      </c>
      <c r="E1757">
        <f>INDEX(FactorTable!$B$2:$Y$301, MATCH(ROUND(MIN(300,MAX(1,D1757)),0), FactorTable!$A$2:$A$301,0), Skills!L6+1)</f>
        <v/>
      </c>
      <c r="F1757">
        <f>IF(Skills!M6=TRUE,(Skills!K6/10)*(E1757/1000),Skills!K6/10)+Skills!N6</f>
        <v/>
      </c>
      <c r="G1757">
        <f>Calc!G6</f>
        <v/>
      </c>
      <c r="H1757">
        <f>Calc!H6</f>
        <v/>
      </c>
      <c r="I1757">
        <f>IF(Skills!T6&lt;&gt;"",1+(Skills!T6/10)*(Z1754/1000)/100,1)</f>
        <v/>
      </c>
      <c r="J1757">
        <f>((Inputs!$B$6*(1+Inputs!$B$7/100))+(((Inputs!$B$12*(1+Inputs!$B$13/100))-(Inputs!$B$12*(1+Inputs!$B$13/100)))+0.25*(Inputs!$B$14-Inputs!$B$14))*(1+Inputs!$B$7/100))*(F1757/100)</f>
        <v/>
      </c>
      <c r="K1757">
        <f>J1757*(1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6="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1757)</f>
        <v/>
      </c>
      <c r="L1757">
        <f>K1757*(MIN(Inputs!$B$22+(F1769-Calc!F18),(Inputs!$B$23+(IF(ArtifactsInput!$M$15,CHOOSE(ArtifactsInput!$N$15+1,25,30,35,40,45,50)/100*(Inputs!$B$11-Inputs!$B$11),0))))/100+(Inputs!$B$23+(IF(ArtifactsInput!$M$15,CHOOSE(ArtifactsInput!$N$15+1,25,30,35,40,45,50)/100*(Inputs!$B$11-Inputs!$B$11),0)))/100)/2</f>
        <v/>
      </c>
      <c r="M1757">
        <f>L1757*(1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7">
        <f>L1757*(1-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1757*(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7">
        <f>(1-Summary!$B$11)*S1757+Summary!$B$11*U1757</f>
        <v/>
      </c>
      <c r="P1757">
        <f>IF(B1788=0,0,O1757/B1788)</f>
        <v/>
      </c>
      <c r="Q1757">
        <f>IFERROR(1/(IF(Inputs!$B$38="pvp",15,MAX(0.1,Skills!D6-IF(TRUE=TRUE,Inputs!$B$32,0)))*(1-IF(AND(ArtifactsInput!$M$27,Inputs!$B$4="Chapter Hunt"),CHOOSE(ArtifactsInput!$N$27+1,20,24,28,32,36,40),0)/100)),0)</f>
        <v/>
      </c>
      <c r="R1757">
        <f>IF(AND(Inputs!$B$38&lt;&gt;"pvp",Inputs!$B$43&gt;0),IF(MAX(0,Inputs!$B$43-B1785)&lt;=0,0,(INT(MAX(0,Inputs!$B$43-B1785)/(IF(Inputs!$B$38="pvp",15,MAX(0.1,Skills!D6-IF(TRUE=TRUE,Inputs!$B$32,0)))*(1-IF(AND(ArtifactsInput!$M$27,Inputs!$B$4="Chapter Hunt"),CHOOSE(ArtifactsInput!$N$27+1,20,24,28,32,36,40),0)/100)))+1)),0)</f>
        <v/>
      </c>
      <c r="S1757">
        <f>IF(C1757,(H1757*N1757*IF(AND(Inputs!$B$38&lt;&gt;"pvp",Inputs!$B$43&gt;0),((Skills!F6*((R1757-1)*IF(Skills!G6&gt;0,Skills!H6/Skills!G6,1)+IF(Skills!G6&gt;0,MIN(Skills!H6,MAX(0,MAX(0,Inputs!$B$43-B1785)-((R1757-1)*(IF(Inputs!$B$38="pvp",15,MAX(0.1,Skills!D6-IF(TRUE=TRUE,Inputs!$B$32,0)))*(1-IF(AND(ArtifactsInput!$M$27,Inputs!$B$4="Chapter Hunt"),CHOOSE(ArtifactsInput!$N$27+1,20,24,28,32,36,40),0)/100)))))/Skills!G6,1)))/Inputs!$B$43),G1757*Q1757))*IF(Inputs!$B$38="pvp",1,1+(Inputs!$B$20+Skills!O6+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1757*(1-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1757*(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1757*(1-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1757*(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7">
        <f>IF(C1757,(H1757*N1757*IF(AND(Inputs!$B$38&lt;&gt;"pvp",Inputs!$B$43&gt;0),((Skills!F6*((R1757-1)*IF(Skills!G6&gt;0,Skills!H6/Skills!G6,1)+IF(Skills!G6&gt;0,MIN(Skills!H6,MAX(0,MAX(0,Inputs!$B$43-B1785)-((R1757-1)*(IF(Inputs!$B$38="pvp",15,MAX(0.1,Skills!D6-IF(TRUE=TRUE,Inputs!$B$32,0)))*(1-IF(AND(ArtifactsInput!$M$27,Inputs!$B$4="Chapter Hunt"),CHOOSE(ArtifactsInput!$N$27+1,20,24,28,32,36,40),0)/100)))))/Skills!G6,1)))/Inputs!$B$43),G1757*Q1757))*IF(Inputs!$B$38="pvp",1,(1+(Inputs!$B$21+Skills!P6+B1779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8">
      <c r="A1758">
        <f>Skills!A7</f>
        <v/>
      </c>
      <c r="B1758">
        <f>Skills!B7</f>
        <v/>
      </c>
      <c r="C1758">
        <f>Inputs!$B$3&gt;=69</f>
        <v/>
      </c>
      <c r="D1758">
        <f>IF(Skills!C7=1,60+Inputs!$B$25+Inputs!$B$29,IF(Skills!C7=2,90+Inputs!$B$26+Inputs!$B$29,IF(Skills!C7=3,120+Inputs!$B$27+Inputs!$B$29,MAX(0,(Inputs!$B$3-100)*3)+Inputs!$B$28+Inputs!$B$29)))</f>
        <v/>
      </c>
      <c r="E1758">
        <f>INDEX(FactorTable!$B$2:$Y$301, MATCH(ROUND(MIN(300,MAX(1,D1758)),0), FactorTable!$A$2:$A$301,0), Skills!L7+1)</f>
        <v/>
      </c>
      <c r="F1758">
        <f>IF(Skills!M7=TRUE,(Skills!K7/10)*(E1758/1000),Skills!K7/10)+Skills!N7</f>
        <v/>
      </c>
      <c r="G1758">
        <f>Calc!G7</f>
        <v/>
      </c>
      <c r="H1758">
        <f>Calc!H7</f>
        <v/>
      </c>
      <c r="I1758">
        <f>IF(Skills!T7&lt;&gt;"",1+(Skills!T7/10)*(Z1754/1000)/100,1)</f>
        <v/>
      </c>
      <c r="J1758">
        <f>((Inputs!$B$6*(1+Inputs!$B$7/100))+(((Inputs!$B$12*(1+Inputs!$B$13/100))-(Inputs!$B$12*(1+Inputs!$B$13/100)))+0.25*(Inputs!$B$14-Inputs!$B$14))*(1+Inputs!$B$7/100))*(F1758/100)</f>
        <v/>
      </c>
      <c r="K1758">
        <f>J1758*(1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7="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1758)</f>
        <v/>
      </c>
      <c r="L1758">
        <f>K1758*(MIN(Inputs!$B$22+(F1769-Calc!F18),(Inputs!$B$23+(IF(ArtifactsInput!$M$15,CHOOSE(ArtifactsInput!$N$15+1,25,30,35,40,45,50)/100*(Inputs!$B$11-Inputs!$B$11),0))))/100+(Inputs!$B$23+(IF(ArtifactsInput!$M$15,CHOOSE(ArtifactsInput!$N$15+1,25,30,35,40,45,50)/100*(Inputs!$B$11-Inputs!$B$11),0)))/100)/2</f>
        <v/>
      </c>
      <c r="M1758">
        <f>L1758*(1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8">
        <f>L1758*(1-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1758*(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8">
        <f>(1-Summary!$B$11)*S1758+Summary!$B$11*U1758</f>
        <v/>
      </c>
      <c r="P1758">
        <f>IF(B1788=0,0,O1758/B1788)</f>
        <v/>
      </c>
      <c r="Q1758">
        <f>IFERROR(1/(IF(Inputs!$B$38="pvp",15,MAX(0.1,Skills!D7-IF(TRUE=TRUE,Inputs!$B$32,0)))*(1-IF(AND(ArtifactsInput!$M$27,Inputs!$B$4="Chapter Hunt"),CHOOSE(ArtifactsInput!$N$27+1,20,24,28,32,36,40),0)/100)),0)</f>
        <v/>
      </c>
      <c r="R1758">
        <f>IF(AND(Inputs!$B$38&lt;&gt;"pvp",Inputs!$B$43&gt;0),IF(MAX(0,Inputs!$B$43-B1785)&lt;=0,0,(INT(MAX(0,Inputs!$B$43-B1785)/(IF(Inputs!$B$38="pvp",15,MAX(0.1,Skills!D7-IF(TRUE=TRUE,Inputs!$B$32,0)))*(1-IF(AND(ArtifactsInput!$M$27,Inputs!$B$4="Chapter Hunt"),CHOOSE(ArtifactsInput!$N$27+1,20,24,28,32,36,40),0)/100)))+1)),0)</f>
        <v/>
      </c>
      <c r="S1758">
        <f>IF(C1758,(H1758*N1758*IF(AND(Inputs!$B$38&lt;&gt;"pvp",Inputs!$B$43&gt;0),((Skills!F7*((R1758-1)*IF(Skills!G7&gt;0,Skills!H7/Skills!G7,1)+IF(Skills!G7&gt;0,MIN(Skills!H7,MAX(0,MAX(0,Inputs!$B$43-B1785)-((R1758-1)*(IF(Inputs!$B$38="pvp",15,MAX(0.1,Skills!D7-IF(TRUE=TRUE,Inputs!$B$32,0)))*(1-IF(AND(ArtifactsInput!$M$27,Inputs!$B$4="Chapter Hunt"),CHOOSE(ArtifactsInput!$N$27+1,20,24,28,32,36,40),0)/100)))))/Skills!G7,1)))/Inputs!$B$43),G1758*Q1758))*IF(Inputs!$B$38="pvp",1,1+(Inputs!$B$20+Skills!O7+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1758*(1-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1758*(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1758*(1-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1758*(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8">
        <f>IF(C1758,(H1758*N1758*IF(AND(Inputs!$B$38&lt;&gt;"pvp",Inputs!$B$43&gt;0),((Skills!F7*((R1758-1)*IF(Skills!G7&gt;0,Skills!H7/Skills!G7,1)+IF(Skills!G7&gt;0,MIN(Skills!H7,MAX(0,MAX(0,Inputs!$B$43-B1785)-((R1758-1)*(IF(Inputs!$B$38="pvp",15,MAX(0.1,Skills!D7-IF(TRUE=TRUE,Inputs!$B$32,0)))*(1-IF(AND(ArtifactsInput!$M$27,Inputs!$B$4="Chapter Hunt"),CHOOSE(ArtifactsInput!$N$27+1,20,24,28,32,36,40),0)/100)))))/Skills!G7,1)))/Inputs!$B$43),G1758*Q1758))*IF(Inputs!$B$38="pvp",1,(1+(Inputs!$B$21+Skills!P7+B1779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59">
      <c r="A1759">
        <f>Skills!A8</f>
        <v/>
      </c>
      <c r="B1759">
        <f>Skills!B8</f>
        <v/>
      </c>
      <c r="C1759">
        <f>Inputs!$B$3&gt;=103</f>
        <v/>
      </c>
      <c r="D1759">
        <f>IF(Skills!C8=1,60+Inputs!$B$25+Inputs!$B$29,IF(Skills!C8=2,90+Inputs!$B$26+Inputs!$B$29,IF(Skills!C8=3,120+Inputs!$B$27+Inputs!$B$29,MAX(0,(Inputs!$B$3-100)*3)+Inputs!$B$28+Inputs!$B$29)))</f>
        <v/>
      </c>
      <c r="E1759">
        <f>INDEX(FactorTable!$B$2:$Y$301, MATCH(ROUND(MIN(300,MAX(1,D1759)),0), FactorTable!$A$2:$A$301,0), Skills!L8+1)</f>
        <v/>
      </c>
      <c r="F1759">
        <f>IF(Skills!M8=TRUE,(Skills!K8/10)*(E1759/1000),Skills!K8/10)+Skills!N8</f>
        <v/>
      </c>
      <c r="G1759">
        <f>Calc!G8</f>
        <v/>
      </c>
      <c r="H1759">
        <f>Calc!H8</f>
        <v/>
      </c>
      <c r="I1759">
        <f>IF(Skills!T8&lt;&gt;"",1+(Skills!T8/10)*(Z1754/1000)/100,1)</f>
        <v/>
      </c>
      <c r="J1759">
        <f>((Inputs!$B$6*(1+Inputs!$B$7/100))+(((Inputs!$B$12*(1+Inputs!$B$13/100))-(Inputs!$B$12*(1+Inputs!$B$13/100)))+0.25*(Inputs!$B$14-Inputs!$B$14))*(1+Inputs!$B$7/100))*(F1759/100)</f>
        <v/>
      </c>
      <c r="K1759">
        <f>J1759*(1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8="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1759)</f>
        <v/>
      </c>
      <c r="L1759">
        <f>K1759*(MIN(Inputs!$B$22+(F1769-Calc!F18),(Inputs!$B$23+(IF(ArtifactsInput!$M$15,CHOOSE(ArtifactsInput!$N$15+1,25,30,35,40,45,50)/100*(Inputs!$B$11-Inputs!$B$11),0))))/100+(Inputs!$B$23+(IF(ArtifactsInput!$M$15,CHOOSE(ArtifactsInput!$N$15+1,25,30,35,40,45,50)/100*(Inputs!$B$11-Inputs!$B$11),0)))/100)/2</f>
        <v/>
      </c>
      <c r="M1759">
        <f>L1759*(1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59">
        <f>L1759*(1-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1759*(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59">
        <f>(1-Summary!$B$11)*S1759+Summary!$B$11*U1759</f>
        <v/>
      </c>
      <c r="P1759">
        <f>IF(B1788=0,0,O1759/B1788)</f>
        <v/>
      </c>
      <c r="Q1759">
        <f>IFERROR(1/(IF(Inputs!$B$38="pvp",15,MAX(0.1,Skills!D8-IF(TRUE=TRUE,Inputs!$B$32,0)))*(1-IF(AND(ArtifactsInput!$M$27,Inputs!$B$4="Chapter Hunt"),CHOOSE(ArtifactsInput!$N$27+1,20,24,28,32,36,40),0)/100)),0)</f>
        <v/>
      </c>
      <c r="R1759">
        <f>IF(AND(Inputs!$B$38&lt;&gt;"pvp",Inputs!$B$43&gt;0),IF(MAX(0,Inputs!$B$43-B1785)&lt;=0,0,(INT(MAX(0,Inputs!$B$43-B1785)/(IF(Inputs!$B$38="pvp",15,MAX(0.1,Skills!D8-IF(TRUE=TRUE,Inputs!$B$32,0)))*(1-IF(AND(ArtifactsInput!$M$27,Inputs!$B$4="Chapter Hunt"),CHOOSE(ArtifactsInput!$N$27+1,20,24,28,32,36,40),0)/100)))+1)),0)</f>
        <v/>
      </c>
      <c r="S1759">
        <f>IF(C1759,(H1759*N1759*IF(AND(Inputs!$B$38&lt;&gt;"pvp",Inputs!$B$43&gt;0),((Skills!F8*((R1759-1)*IF(Skills!G8&gt;0,Skills!H8/Skills!G8,1)+IF(Skills!G8&gt;0,MIN(Skills!H8,MAX(0,MAX(0,Inputs!$B$43-B1785)-((R1759-1)*(IF(Inputs!$B$38="pvp",15,MAX(0.1,Skills!D8-IF(TRUE=TRUE,Inputs!$B$32,0)))*(1-IF(AND(ArtifactsInput!$M$27,Inputs!$B$4="Chapter Hunt"),CHOOSE(ArtifactsInput!$N$27+1,20,24,28,32,36,40),0)/100)))))/Skills!G8,1)))/Inputs!$B$43),G1759*Q1759))*IF(Inputs!$B$38="pvp",1,1+(Inputs!$B$20+Skills!O8+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1759*(1-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1759*(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1759*(1-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1759*(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59">
        <f>IF(C1759,(H1759*N1759*IF(AND(Inputs!$B$38&lt;&gt;"pvp",Inputs!$B$43&gt;0),((Skills!F8*((R1759-1)*IF(Skills!G8&gt;0,Skills!H8/Skills!G8,1)+IF(Skills!G8&gt;0,MIN(Skills!H8,MAX(0,MAX(0,Inputs!$B$43-B1785)-((R1759-1)*(IF(Inputs!$B$38="pvp",15,MAX(0.1,Skills!D8-IF(TRUE=TRUE,Inputs!$B$32,0)))*(1-IF(AND(ArtifactsInput!$M$27,Inputs!$B$4="Chapter Hunt"),CHOOSE(ArtifactsInput!$N$27+1,20,24,28,32,36,40),0)/100)))))/Skills!G8,1)))/Inputs!$B$43),G1759*Q1759))*IF(Inputs!$B$38="pvp",1,(1+(Inputs!$B$21+Skills!P8+B1779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0">
      <c r="A1760">
        <f>Skills!A9</f>
        <v/>
      </c>
      <c r="B1760">
        <f>Skills!B9</f>
        <v/>
      </c>
      <c r="C1760">
        <f>Inputs!$B$3&gt;=105</f>
        <v/>
      </c>
      <c r="D1760">
        <f>IF(Skills!C9=1,60+Inputs!$B$25+Inputs!$B$29,IF(Skills!C9=2,90+Inputs!$B$26+Inputs!$B$29,IF(Skills!C9=3,120+Inputs!$B$27+Inputs!$B$29,MAX(0,(Inputs!$B$3-100)*3)+Inputs!$B$28+Inputs!$B$29)))</f>
        <v/>
      </c>
      <c r="E1760">
        <f>INDEX(FactorTable!$B$2:$Y$301, MATCH(ROUND(MIN(300,MAX(1,D1760)),0), FactorTable!$A$2:$A$301,0), Skills!L9+1)</f>
        <v/>
      </c>
      <c r="F1760">
        <f>IF(Skills!M9=TRUE,(Skills!K9/10)*(E1760/1000),Skills!K9/10)+Skills!N9</f>
        <v/>
      </c>
      <c r="G1760">
        <f>Calc!G9</f>
        <v/>
      </c>
      <c r="H1760">
        <f>Calc!H9</f>
        <v/>
      </c>
      <c r="I1760">
        <f>IF(Skills!T9&lt;&gt;"",1+(Skills!T9/10)*(Z1754/1000)/100,1)</f>
        <v/>
      </c>
      <c r="J1760">
        <f>((Inputs!$B$6*(1+Inputs!$B$7/100))+(((Inputs!$B$12*(1+Inputs!$B$13/100))-(Inputs!$B$12*(1+Inputs!$B$13/100)))+0.25*(Inputs!$B$14-Inputs!$B$14))*(1+Inputs!$B$7/100))*(F1760/100)</f>
        <v/>
      </c>
      <c r="K1760">
        <f>J1760*(1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9="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1760)</f>
        <v/>
      </c>
      <c r="L1760">
        <f>K1760*(MIN(Inputs!$B$22+(F1769-Calc!F18),(Inputs!$B$23+(IF(ArtifactsInput!$M$15,CHOOSE(ArtifactsInput!$N$15+1,25,30,35,40,45,50)/100*(Inputs!$B$11-Inputs!$B$11),0))))/100+(Inputs!$B$23+(IF(ArtifactsInput!$M$15,CHOOSE(ArtifactsInput!$N$15+1,25,30,35,40,45,50)/100*(Inputs!$B$11-Inputs!$B$11),0)))/100)/2</f>
        <v/>
      </c>
      <c r="M1760">
        <f>L1760*(1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0">
        <f>L1760*(1-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1760*(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0">
        <f>(1-Summary!$B$11)*S1760+Summary!$B$11*U1760</f>
        <v/>
      </c>
      <c r="P1760">
        <f>IF(B1788=0,0,O1760/B1788)</f>
        <v/>
      </c>
      <c r="Q1760">
        <f>IFERROR(1/(IF(Inputs!$B$38="pvp",15,MAX(0.1,Skills!D9-IF(TRUE=TRUE,Inputs!$B$32,0)))*(1-IF(AND(ArtifactsInput!$M$27,Inputs!$B$4="Chapter Hunt"),CHOOSE(ArtifactsInput!$N$27+1,20,24,28,32,36,40),0)/100)),0)</f>
        <v/>
      </c>
      <c r="R1760">
        <f>IF(AND(Inputs!$B$38&lt;&gt;"pvp",Inputs!$B$43&gt;0),IF(MAX(0,Inputs!$B$43-B1785)&lt;=0,0,(INT(MAX(0,Inputs!$B$43-B1785)/(IF(Inputs!$B$38="pvp",15,MAX(0.1,Skills!D9-IF(TRUE=TRUE,Inputs!$B$32,0)))*(1-IF(AND(ArtifactsInput!$M$27,Inputs!$B$4="Chapter Hunt"),CHOOSE(ArtifactsInput!$N$27+1,20,24,28,32,36,40),0)/100)))+1)),0)</f>
        <v/>
      </c>
      <c r="S1760">
        <f>IF(C1760,(H1760*N1760*IF(AND(Inputs!$B$38&lt;&gt;"pvp",Inputs!$B$43&gt;0),((Skills!F9*((R1760-1)*IF(Skills!G9&gt;0,Skills!H9/Skills!G9,1)+IF(Skills!G9&gt;0,MIN(Skills!H9,MAX(0,MAX(0,Inputs!$B$43-B1785)-((R1760-1)*(IF(Inputs!$B$38="pvp",15,MAX(0.1,Skills!D9-IF(TRUE=TRUE,Inputs!$B$32,0)))*(1-IF(AND(ArtifactsInput!$M$27,Inputs!$B$4="Chapter Hunt"),CHOOSE(ArtifactsInput!$N$27+1,20,24,28,32,36,40),0)/100)))))/Skills!G9,1)))/Inputs!$B$43),G1760*Q1760))*IF(Inputs!$B$38="pvp",1,1+(Inputs!$B$20+Skills!O9+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1760*(1-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1760*(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1760*(1-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1760*(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0">
        <f>IF(C1760,(H1760*N1760*IF(AND(Inputs!$B$38&lt;&gt;"pvp",Inputs!$B$43&gt;0),((Skills!F9*((R1760-1)*IF(Skills!G9&gt;0,Skills!H9/Skills!G9,1)+IF(Skills!G9&gt;0,MIN(Skills!H9,MAX(0,MAX(0,Inputs!$B$43-B1785)-((R1760-1)*(IF(Inputs!$B$38="pvp",15,MAX(0.1,Skills!D9-IF(TRUE=TRUE,Inputs!$B$32,0)))*(1-IF(AND(ArtifactsInput!$M$27,Inputs!$B$4="Chapter Hunt"),CHOOSE(ArtifactsInput!$N$27+1,20,24,28,32,36,40),0)/100)))))/Skills!G9,1)))/Inputs!$B$43),G1760*Q1760))*IF(Inputs!$B$38="pvp",1,(1+(Inputs!$B$21+Skills!P9+B1779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1">
      <c r="A1761">
        <f>Skills!A10</f>
        <v/>
      </c>
      <c r="B1761">
        <f>Skills!B10</f>
        <v/>
      </c>
      <c r="C1761">
        <f>Inputs!$B$3&gt;=113</f>
        <v/>
      </c>
      <c r="D1761">
        <f>IF(Skills!C10=1,60+Inputs!$B$25+Inputs!$B$29,IF(Skills!C10=2,90+Inputs!$B$26+Inputs!$B$29,IF(Skills!C10=3,120+Inputs!$B$27+Inputs!$B$29,MAX(0,(Inputs!$B$3-100)*3)+Inputs!$B$28+Inputs!$B$29)))</f>
        <v/>
      </c>
      <c r="E1761">
        <f>INDEX(FactorTable!$B$2:$Y$301, MATCH(ROUND(MIN(300,MAX(1,D1761)),0), FactorTable!$A$2:$A$301,0), Skills!L10+1)</f>
        <v/>
      </c>
      <c r="F1761">
        <f>IF(Skills!M10=TRUE,(Skills!K10/10)*(E1761/1000),Skills!K10/10)+Skills!N10</f>
        <v/>
      </c>
      <c r="G1761">
        <f>Calc!G10</f>
        <v/>
      </c>
      <c r="H1761">
        <f>Calc!H10</f>
        <v/>
      </c>
      <c r="I1761">
        <f>IF(Skills!T10&lt;&gt;"",1+(Skills!T10/10)*(Z1754/1000)/100,1)</f>
        <v/>
      </c>
      <c r="J1761">
        <f>((Inputs!$B$6*(1+Inputs!$B$7/100))+(((Inputs!$B$12*(1+Inputs!$B$13/100))-(Inputs!$B$12*(1+Inputs!$B$13/100)))+0.25*(Inputs!$B$14-Inputs!$B$14))*(1+Inputs!$B$7/100))*(F1761/100)</f>
        <v/>
      </c>
      <c r="K1761">
        <f>J1761*(1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10="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1761)</f>
        <v/>
      </c>
      <c r="L1761">
        <f>K1761*(MIN(Inputs!$B$22+(F1769-Calc!F18),(Inputs!$B$23+(IF(ArtifactsInput!$M$15,CHOOSE(ArtifactsInput!$N$15+1,25,30,35,40,45,50)/100*(Inputs!$B$11-Inputs!$B$11),0))))/100+(Inputs!$B$23+(IF(ArtifactsInput!$M$15,CHOOSE(ArtifactsInput!$N$15+1,25,30,35,40,45,50)/100*(Inputs!$B$11-Inputs!$B$11),0)))/100)/2</f>
        <v/>
      </c>
      <c r="M1761">
        <f>L1761*(1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1">
        <f>L1761*(1-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1">
        <f>(1-Summary!$B$11)*S1761+Summary!$B$11*U1761</f>
        <v/>
      </c>
      <c r="P1761">
        <f>IF(B1788=0,0,O1761/B1788)</f>
        <v/>
      </c>
      <c r="Q1761">
        <f>IFERROR(1/(IF(Inputs!$B$38="pvp",15,MAX(0.1,Skills!D10-IF(TRUE=TRUE,Inputs!$B$32,0)))*(1-IF(AND(ArtifactsInput!$M$27,Inputs!$B$4="Chapter Hunt"),CHOOSE(ArtifactsInput!$N$27+1,20,24,28,32,36,40),0)/100)),0)</f>
        <v/>
      </c>
      <c r="R1761" t="n">
        <v>0</v>
      </c>
      <c r="S1761">
        <f>IF(C1761,((H1761*B1789)/(1+Skills!G10*H1761*B1789)*N1761)*IF(Inputs!$B$38="pvp",1,1+(Inputs!$B$20+Skills!O10+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1761*(1-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1761*(1-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1">
        <f>IF(C1761,((H1761*B1789)/(1+Skills!G10*H1761*B1789)*N1761)*IF(Inputs!$B$38="pvp",1,(1+(Inputs!$B$21+Skills!P10+B1779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2">
      <c r="A1762">
        <f>Skills!A11</f>
        <v/>
      </c>
      <c r="B1762">
        <f>Skills!B11</f>
        <v/>
      </c>
      <c r="C1762">
        <f>Inputs!$B$3&gt;=107</f>
        <v/>
      </c>
      <c r="D1762">
        <f>IF(Skills!C11=1,60+Inputs!$B$25+Inputs!$B$29,IF(Skills!C11=2,90+Inputs!$B$26+Inputs!$B$29,IF(Skills!C11=3,120+Inputs!$B$27+Inputs!$B$29,MAX(0,(Inputs!$B$3-100)*3)+Inputs!$B$28+Inputs!$B$29)))</f>
        <v/>
      </c>
      <c r="E1762">
        <f>INDEX(FactorTable!$B$2:$Y$301, MATCH(ROUND(MIN(300,MAX(1,D1762)),0), FactorTable!$A$2:$A$301,0), Skills!L11+1)</f>
        <v/>
      </c>
      <c r="F1762">
        <f>IF(Skills!M11=TRUE,(Skills!K11/10)*(E1762/1000),Skills!K11/10)+Skills!N11</f>
        <v/>
      </c>
      <c r="G1762">
        <f>Calc!G11</f>
        <v/>
      </c>
      <c r="H1762">
        <f>Calc!H11</f>
        <v/>
      </c>
      <c r="I1762">
        <f>IF(Skills!T11&lt;&gt;"",1+(Skills!T11/10)*(Z1754/1000)/100,1)</f>
        <v/>
      </c>
      <c r="J1762">
        <f>((Inputs!$B$6*(1+Inputs!$B$7/100))+(((Inputs!$B$12*(1+Inputs!$B$13/100))-(Inputs!$B$12*(1+Inputs!$B$13/100)))+0.25*(Inputs!$B$14-Inputs!$B$14))*(1+Inputs!$B$7/100))*(F1762/100)</f>
        <v/>
      </c>
      <c r="K1762">
        <f>J1762*(1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11="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1762)</f>
        <v/>
      </c>
      <c r="L1762">
        <f>K1762*(MIN(Inputs!$B$22+(F1769-Calc!F18),(Inputs!$B$23+(IF(ArtifactsInput!$M$15,CHOOSE(ArtifactsInput!$N$15+1,25,30,35,40,45,50)/100*(Inputs!$B$11-Inputs!$B$11),0))))/100+(Inputs!$B$23+(IF(ArtifactsInput!$M$15,CHOOSE(ArtifactsInput!$N$15+1,25,30,35,40,45,50)/100*(Inputs!$B$11-Inputs!$B$11),0)))/100)/2</f>
        <v/>
      </c>
      <c r="M1762">
        <f>L1762*(1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2">
        <f>L1762*(1-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1762*(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2">
        <f>(1-Summary!$B$11)*S1762+Summary!$B$11*U1762</f>
        <v/>
      </c>
      <c r="P1762">
        <f>IF(B1788=0,0,O1762/B1788)</f>
        <v/>
      </c>
      <c r="Q1762">
        <f>IFERROR(1/(IF(Inputs!$B$38="pvp",15,MAX(0.1,Skills!D11-IF(TRUE=TRUE,Inputs!$B$32,0)))*(1-IF(AND(ArtifactsInput!$M$27,Inputs!$B$4="Chapter Hunt"),CHOOSE(ArtifactsInput!$N$27+1,20,24,28,32,36,40),0)/100)),0)</f>
        <v/>
      </c>
      <c r="R1762">
        <f>IF(AND(Inputs!$B$38&lt;&gt;"pvp",Inputs!$B$43&gt;0),IF(MAX(0,Inputs!$B$43-B1785)&lt;=0,0,(INT(MAX(0,Inputs!$B$43-B1785)/(IF(Inputs!$B$38="pvp",15,MAX(0.1,Skills!D11-IF(TRUE=TRUE,Inputs!$B$32,0)))*(1-IF(AND(ArtifactsInput!$M$27,Inputs!$B$4="Chapter Hunt"),CHOOSE(ArtifactsInput!$N$27+1,20,24,28,32,36,40),0)/100)))+1)),0)</f>
        <v/>
      </c>
      <c r="S1762">
        <f>IF(C1762,H1762*N1762*IF(AND(Inputs!$B$38&lt;&gt;"pvp",Inputs!$B$43&gt;0),((Skills!F11*((R1762-1)*IF(Skills!G11&gt;0,Skills!H11/Skills!G11,1)+IF(Skills!G11&gt;0,MIN(Skills!H11,MAX(0,MAX(0,Inputs!$B$43-B1785)-((R1762-1)*(IF(Inputs!$B$38="pvp",15,MAX(0.1,Skills!D11-IF(TRUE=TRUE,Inputs!$B$32,0)))*(1-IF(AND(ArtifactsInput!$M$27,Inputs!$B$4="Chapter Hunt"),CHOOSE(ArtifactsInput!$N$27+1,20,24,28,32,36,40),0)/100)))))/Skills!G11,1)))/Inputs!$B$43),G1762*Q1762)*0.5*IF(Inputs!$B$38="pvp",1,1+(Inputs!$B$20+Skills!O11+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1762*(1-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1762*(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1762*(1-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1762*(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2">
        <f>IF(C1762,H1762*N1762*IF(AND(Inputs!$B$38&lt;&gt;"pvp",Inputs!$B$43&gt;0),((Skills!F11*((R1762-1)*IF(Skills!G11&gt;0,Skills!H11/Skills!G11,1)+IF(Skills!G11&gt;0,MIN(Skills!H11,MAX(0,MAX(0,Inputs!$B$43-B1785)-((R1762-1)*(IF(Inputs!$B$38="pvp",15,MAX(0.1,Skills!D11-IF(TRUE=TRUE,Inputs!$B$32,0)))*(1-IF(AND(ArtifactsInput!$M$27,Inputs!$B$4="Chapter Hunt"),CHOOSE(ArtifactsInput!$N$27+1,20,24,28,32,36,40),0)/100)))))/Skills!G11,1)))/Inputs!$B$43),G1762*Q1762)*1*IF(Inputs!$B$38="pvp",1,(1+(Inputs!$B$21+Skills!P11+B1779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3">
      <c r="A1763">
        <f>Skills!A12</f>
        <v/>
      </c>
      <c r="B1763">
        <f>Skills!B12</f>
        <v/>
      </c>
      <c r="C1763">
        <f>Inputs!$B$3&gt;=115</f>
        <v/>
      </c>
      <c r="D1763">
        <f>IF(Skills!C12=1,60+Inputs!$B$25+Inputs!$B$29,IF(Skills!C12=2,90+Inputs!$B$26+Inputs!$B$29,IF(Skills!C12=3,120+Inputs!$B$27+Inputs!$B$29,MAX(0,(Inputs!$B$3-100)*3)+Inputs!$B$28+Inputs!$B$29)))</f>
        <v/>
      </c>
      <c r="E1763">
        <f>INDEX(FactorTable!$B$2:$Y$301, MATCH(ROUND(MIN(300,MAX(1,D1763)),0), FactorTable!$A$2:$A$301,0), Skills!L12+1)</f>
        <v/>
      </c>
      <c r="F1763">
        <f>IF(Skills!M12=TRUE,(Skills!K12/10)*(E1763/1000),Skills!K12/10)+Skills!N12</f>
        <v/>
      </c>
      <c r="G1763">
        <f>Calc!G12</f>
        <v/>
      </c>
      <c r="H1763">
        <f>Calc!H12</f>
        <v/>
      </c>
      <c r="I1763">
        <f>IF(Skills!T12&lt;&gt;"",1+(Skills!T12/10)*(Z1754/1000)/100,1)</f>
        <v/>
      </c>
      <c r="J1763">
        <f>((Inputs!$B$6*(1+Inputs!$B$7/100))+(((Inputs!$B$12*(1+Inputs!$B$13/100))-(Inputs!$B$12*(1+Inputs!$B$13/100)))+0.25*(Inputs!$B$14-Inputs!$B$14))*(1+Inputs!$B$7/100))*(F1763/100)</f>
        <v/>
      </c>
      <c r="K1763">
        <f>J1763*(1+((Inputs!$B$12*(1+Inputs!$B$13/100))*0.01+Inputs!$B$14*0.0025)/100)*(1+(Inputs!$B$15+B1780)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1766=TRUE,F1766,0)/100)*(1+IF(C1774=TRUE,F1774,0)/100)^5*(1+(IF(Skills!A12="CHAIN_LIGHTNING",Inputs!$B$17+((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1778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1763)</f>
        <v/>
      </c>
      <c r="L1763">
        <f>K1763*(MIN(Inputs!$B$22+(F1769-Calc!F18),(Inputs!$B$23+(IF(ArtifactsInput!$M$15,CHOOSE(ArtifactsInput!$N$15+1,25,30,35,40,45,50)/100*(Inputs!$B$11-Inputs!$B$11),0))))/100+(Inputs!$B$23+(IF(ArtifactsInput!$M$15,CHOOSE(ArtifactsInput!$N$15+1,25,30,35,40,45,50)/100*(Inputs!$B$11-Inputs!$B$11),0)))/100)/2</f>
        <v/>
      </c>
      <c r="M1763">
        <f>L1763*(1+(Inputs!$B$10+(F1772-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63">
        <f>L1763*(1-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1763*(MIN((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63">
        <f>(1-Summary!$B$11)*S1763+Summary!$B$11*U1763</f>
        <v/>
      </c>
      <c r="P1763">
        <f>IF(B1788=0,0,O1763/B1788)</f>
        <v/>
      </c>
      <c r="Q1763">
        <f>IFERROR(1/(IF(Inputs!$B$38="pvp",15,MAX(0.1,Skills!D12-IF(TRUE=TRUE,Inputs!$B$32,0)))*(1-IF(AND(ArtifactsInput!$M$27,Inputs!$B$4="Chapter Hunt"),CHOOSE(ArtifactsInput!$N$27+1,20,24,28,32,36,40),0)/100)),0)</f>
        <v/>
      </c>
      <c r="R1763">
        <f>IF(AND(Inputs!$B$38&lt;&gt;"pvp",Inputs!$B$43&gt;0),IF(MAX(0,Inputs!$B$43-B1785)&lt;=0,0,(INT(MAX(0,Inputs!$B$43-B1785)/(IF(Inputs!$B$38="pvp",15,MAX(0.1,Skills!D12-IF(TRUE=TRUE,Inputs!$B$32,0)))*(1-IF(AND(ArtifactsInput!$M$27,Inputs!$B$4="Chapter Hunt"),CHOOSE(ArtifactsInput!$N$27+1,20,24,28,32,36,40),0)/100)))+1)),0)</f>
        <v/>
      </c>
      <c r="S1763">
        <f>IF(C1763,(H1763*N1763*IF(AND(Inputs!$B$38&lt;&gt;"pvp",Inputs!$B$43&gt;0),((Skills!F12*((R1763-1)*IF(Skills!G12&gt;0,Skills!H12/Skills!G12,1)+IF(Skills!G12&gt;0,MIN(Skills!H12,MAX(0,MAX(0,Inputs!$B$43-B1785)-((R1763-1)*(IF(Inputs!$B$38="pvp",15,MAX(0.1,Skills!D12-IF(TRUE=TRUE,Inputs!$B$32,0)))*(1-IF(AND(ArtifactsInput!$M$27,Inputs!$B$4="Chapter Hunt"),CHOOSE(ArtifactsInput!$N$27+1,20,24,28,32,36,40),0)/100)))))/Skills!G12,1)))/Inputs!$B$43),G1763*Q1763))*IF(Inputs!$B$38="pvp",1,1+(Inputs!$B$20+Skills!O12+B1779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1763*(1-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1763*(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1763*(1-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1763*(MIN(100,(Inputs!$B$9+((F1771-Calc!F20)+(F1770-Calc!F19))+(ArtifactsInput!$M$24-ArtifactsInput!$M$24)*CHOOSE(ArtifactsInput!$N$24+1,10,12,14,16,18,20)+(IF(AND(Inputs!$B$38&lt;&gt;"pvp",Inputs!$B$43=0),1,IF(IF(Inputs!$B$38="pvp",15,Inputs!$B$43)-(B1785)&lt;=0,1,MAX(0,IF(Inputs!$B$38="pvp",15,Inputs!$B$43)-MAX(5,B1785))/(IF(Inputs!$B$38="pvp",15,Inputs!$B$43)-(B1785)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63">
        <f>IF(C1763,(H1763*N1763*IF(AND(Inputs!$B$38&lt;&gt;"pvp",Inputs!$B$43&gt;0),((Skills!F12*((R1763-1)*IF(Skills!G12&gt;0,Skills!H12/Skills!G12,1)+IF(Skills!G12&gt;0,MIN(Skills!H12,MAX(0,MAX(0,Inputs!$B$43-B1785)-((R1763-1)*(IF(Inputs!$B$38="pvp",15,MAX(0.1,Skills!D12-IF(TRUE=TRUE,Inputs!$B$32,0)))*(1-IF(AND(ArtifactsInput!$M$27,Inputs!$B$4="Chapter Hunt"),CHOOSE(ArtifactsInput!$N$27+1,20,24,28,32,36,40),0)/100)))))/Skills!G12,1)))/Inputs!$B$43),G1763*Q1763))*IF(Inputs!$B$38="pvp",1,(1+(Inputs!$B$21+Skills!P12+B1779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64">
      <c r="A1764">
        <f>Skills!A13</f>
        <v/>
      </c>
      <c r="B1764">
        <f>Skills!B13</f>
        <v/>
      </c>
      <c r="C1764">
        <f>Inputs!$B$3&gt;=49</f>
        <v/>
      </c>
      <c r="D1764">
        <f>IF(Skills!C13=1,60+Inputs!$B$25+Inputs!$B$29,IF(Skills!C13=2,90+Inputs!$B$26+Inputs!$B$29,IF(Skills!C13=3,120+Inputs!$B$27+Inputs!$B$29,MAX(0,(Inputs!$B$3-100)*3)+Inputs!$B$28+Inputs!$B$29)))</f>
        <v/>
      </c>
      <c r="E1764">
        <f>INDEX(FactorTable!$B$2:$Y$301, MATCH(ROUND(MIN(300,MAX(1,D1764)),0), FactorTable!$A$2:$A$301,0), Skills!L13+1)</f>
        <v/>
      </c>
      <c r="F1764">
        <f>IF(Skills!M13=TRUE,(Skills!K13/10)*(E1764/1000),Skills!K13/10)+Skills!N13</f>
        <v/>
      </c>
      <c r="G1764">
        <f>Calc!G13</f>
        <v/>
      </c>
      <c r="H1764">
        <f>Calc!H13</f>
        <v/>
      </c>
      <c r="I1764">
        <f>IF(Skills!T13&lt;&gt;"",1+(Skills!T13/10)*(Z1754/1000)/100,1)</f>
        <v/>
      </c>
      <c r="J1764" t="inlineStr"/>
      <c r="K1764" t="inlineStr"/>
      <c r="L1764" t="inlineStr"/>
      <c r="M1764" t="inlineStr"/>
      <c r="N1764" t="inlineStr"/>
      <c r="O1764">
        <f>(1-Summary!$B$11)*S1764+Summary!$B$11*U1764</f>
        <v/>
      </c>
      <c r="P1764">
        <f>IF(B1788=0,0,O1764/B1788)</f>
        <v/>
      </c>
      <c r="Q1764">
        <f>IFERROR(1/(IF(Inputs!$B$38="pvp",15,MAX(0.1,Skills!D13-IF(TRUE=TRUE,Inputs!$B$32,0)))*(1-IF(AND(ArtifactsInput!$M$27,Inputs!$B$4="Chapter Hunt"),CHOOSE(ArtifactsInput!$N$27+1,20,24,28,32,36,40),0)/100)),0)</f>
        <v/>
      </c>
      <c r="R1764" t="n">
        <v>0</v>
      </c>
      <c r="S1764" t="n">
        <v>0</v>
      </c>
      <c r="U1764" t="n">
        <v>0</v>
      </c>
    </row>
    <row r="1765">
      <c r="A1765">
        <f>Skills!A14</f>
        <v/>
      </c>
      <c r="B1765">
        <f>Skills!B14</f>
        <v/>
      </c>
      <c r="C1765">
        <f>Inputs!$B$3&gt;=72</f>
        <v/>
      </c>
      <c r="D1765">
        <f>IF(Skills!C14=1,60+Inputs!$B$25+Inputs!$B$29,IF(Skills!C14=2,90+Inputs!$B$26+Inputs!$B$29,IF(Skills!C14=3,120+Inputs!$B$27+Inputs!$B$29,MAX(0,(Inputs!$B$3-100)*3)+Inputs!$B$28+Inputs!$B$29)))</f>
        <v/>
      </c>
      <c r="E1765">
        <f>INDEX(FactorTable!$B$2:$Y$301, MATCH(ROUND(MIN(300,MAX(1,D1765)),0), FactorTable!$A$2:$A$301,0), Skills!L14+1)</f>
        <v/>
      </c>
      <c r="F1765">
        <f>IF(Skills!M14=TRUE,(Skills!K14/10)*(E1765/1000),Skills!K14/10)+Skills!N14</f>
        <v/>
      </c>
      <c r="G1765">
        <f>Calc!G14</f>
        <v/>
      </c>
      <c r="H1765">
        <f>Calc!H14</f>
        <v/>
      </c>
      <c r="I1765">
        <f>IF(Skills!T14&lt;&gt;"",1+(Skills!T14/10)*(Z1754/1000)/100,1)</f>
        <v/>
      </c>
      <c r="J1765" t="inlineStr"/>
      <c r="K1765" t="inlineStr"/>
      <c r="L1765" t="inlineStr"/>
      <c r="M1765" t="inlineStr"/>
      <c r="N1765" t="inlineStr"/>
      <c r="O1765">
        <f>(1-Summary!$B$11)*S1765+Summary!$B$11*U1765</f>
        <v/>
      </c>
      <c r="P1765">
        <f>IF(B1788=0,0,O1765/B1788)</f>
        <v/>
      </c>
      <c r="Q1765">
        <f>IFERROR(1/(IF(Inputs!$B$38="pvp",15,MAX(0.1,Skills!D14-IF(TRUE=TRUE,Inputs!$B$32,0)))*(1-IF(AND(ArtifactsInput!$M$27,Inputs!$B$4="Chapter Hunt"),CHOOSE(ArtifactsInput!$N$27+1,20,24,28,32,36,40),0)/100)),0)</f>
        <v/>
      </c>
      <c r="R1765" t="n">
        <v>0</v>
      </c>
      <c r="S1765" t="n">
        <v>0</v>
      </c>
      <c r="U1765" t="n">
        <v>0</v>
      </c>
    </row>
    <row r="1766">
      <c r="A1766">
        <f>Skills!A15</f>
        <v/>
      </c>
      <c r="B1766">
        <f>Skills!B15</f>
        <v/>
      </c>
      <c r="C1766">
        <f>Inputs!$B$3&gt;=75</f>
        <v/>
      </c>
      <c r="D1766">
        <f>IF(Skills!C15=1,60+Inputs!$B$25+Inputs!$B$29,IF(Skills!C15=2,90+Inputs!$B$26+Inputs!$B$29,IF(Skills!C15=3,120+Inputs!$B$27+Inputs!$B$29,MAX(0,(Inputs!$B$3-100)*3)+Inputs!$B$28+Inputs!$B$29)))</f>
        <v/>
      </c>
      <c r="E1766">
        <f>INDEX(FactorTable!$B$2:$Y$301, MATCH(ROUND(MIN(300,MAX(1,D1766)),0), FactorTable!$A$2:$A$301,0), Skills!L15+1)</f>
        <v/>
      </c>
      <c r="F1766">
        <f>IF(Skills!M15=TRUE,(Skills!K15/10)*(E1766/1000),Skills!K15/10)+Skills!N15</f>
        <v/>
      </c>
      <c r="G1766">
        <f>Calc!G15</f>
        <v/>
      </c>
      <c r="H1766">
        <f>Calc!H15</f>
        <v/>
      </c>
      <c r="I1766">
        <f>IF(Skills!T15&lt;&gt;"",1+(Skills!T15/10)*(Z1754/1000)/100,1)</f>
        <v/>
      </c>
      <c r="J1766" t="inlineStr"/>
      <c r="K1766" t="inlineStr"/>
      <c r="L1766" t="inlineStr"/>
      <c r="M1766" t="inlineStr"/>
      <c r="N1766" t="inlineStr"/>
      <c r="O1766">
        <f>(1-Summary!$B$11)*S1766+Summary!$B$11*U1766</f>
        <v/>
      </c>
      <c r="P1766">
        <f>IF(B1788=0,0,O1766/B1788)</f>
        <v/>
      </c>
      <c r="Q1766">
        <f>IFERROR(1/(IF(Inputs!$B$38="pvp",15,MAX(0.1,Skills!D15-IF(TRUE=TRUE,Inputs!$B$32,0)))*(1-IF(AND(ArtifactsInput!$M$27,Inputs!$B$4="Chapter Hunt"),CHOOSE(ArtifactsInput!$N$27+1,20,24,28,32,36,40),0)/100)),0)</f>
        <v/>
      </c>
      <c r="R1766" t="n">
        <v>0</v>
      </c>
      <c r="S1766" t="n">
        <v>0</v>
      </c>
      <c r="U1766" t="n">
        <v>0</v>
      </c>
    </row>
    <row r="1767">
      <c r="A1767">
        <f>Skills!A16</f>
        <v/>
      </c>
      <c r="B1767">
        <f>Skills!B16</f>
        <v/>
      </c>
      <c r="C1767">
        <f>Inputs!$B$3&gt;=110</f>
        <v/>
      </c>
      <c r="D1767">
        <f>IF(Skills!C16=1,60+Inputs!$B$25+Inputs!$B$29,IF(Skills!C16=2,90+Inputs!$B$26+Inputs!$B$29,IF(Skills!C16=3,120+Inputs!$B$27+Inputs!$B$29,MAX(0,(Inputs!$B$3-100)*3)+Inputs!$B$28+Inputs!$B$29)))</f>
        <v/>
      </c>
      <c r="E1767">
        <f>INDEX(FactorTable!$B$2:$Y$301, MATCH(ROUND(MIN(300,MAX(1,D1767)),0), FactorTable!$A$2:$A$301,0), Skills!L16+1)</f>
        <v/>
      </c>
      <c r="F1767">
        <f>(Skills!K16/10)*(E1767/1000)*64/45+Skills!N16</f>
        <v/>
      </c>
      <c r="G1767">
        <f>Calc!G16</f>
        <v/>
      </c>
      <c r="H1767">
        <f>Calc!H16</f>
        <v/>
      </c>
      <c r="I1767">
        <f>IF(Skills!T16&lt;&gt;"",1+(Skills!T16/10)*(Z1754/1000)/100,1)</f>
        <v/>
      </c>
      <c r="J1767" t="inlineStr"/>
      <c r="K1767" t="inlineStr"/>
      <c r="L1767" t="inlineStr"/>
      <c r="M1767" t="inlineStr"/>
      <c r="N1767" t="inlineStr"/>
      <c r="O1767">
        <f>(1-Summary!$B$11)*S1767+Summary!$B$11*U1767</f>
        <v/>
      </c>
      <c r="P1767">
        <f>IF(B1788=0,0,O1767/B1788)</f>
        <v/>
      </c>
      <c r="Q1767">
        <f>IFERROR(1/(IF(Inputs!$B$38="pvp",15,MAX(0.1,Skills!D16-IF(TRUE=TRUE,Inputs!$B$32,0)))*(1-IF(AND(ArtifactsInput!$M$27,Inputs!$B$4="Chapter Hunt"),CHOOSE(ArtifactsInput!$N$27+1,20,24,28,32,36,40),0)/100)),0)</f>
        <v/>
      </c>
      <c r="R1767">
        <f>IF(AND(Inputs!$B$38&lt;&gt;"pvp",Inputs!$B$43&gt;0),IF(Inputs!$B$43&lt;=0,0,(INT(Inputs!$B$43/(IF(Inputs!$B$38="pvp",15,MAX(0.1,Skills!D16-IF(TRUE=TRUE,Inputs!$B$32,0)))*(1-IF(AND(ArtifactsInput!$M$27,Inputs!$B$4="Chapter Hunt"),CHOOSE(ArtifactsInput!$N$27+1,20,24,28,32,36,40),0)/100)))+1)),0)</f>
        <v/>
      </c>
      <c r="S1767" t="n">
        <v>0</v>
      </c>
      <c r="U1767" t="n">
        <v>0</v>
      </c>
    </row>
    <row r="1768">
      <c r="A1768">
        <f>Skills!A17</f>
        <v/>
      </c>
      <c r="B1768">
        <f>Skills!B17</f>
        <v/>
      </c>
      <c r="C1768">
        <f>Inputs!$B$3&gt;=33</f>
        <v/>
      </c>
      <c r="D1768">
        <f>IF(Skills!C17=1,60+Inputs!$B$25+Inputs!$B$29,IF(Skills!C17=2,90+Inputs!$B$26+Inputs!$B$29,IF(Skills!C17=3,120+Inputs!$B$27+Inputs!$B$29,MAX(0,(Inputs!$B$3-100)*3)+Inputs!$B$28+Inputs!$B$29)))</f>
        <v/>
      </c>
      <c r="E1768">
        <f>INDEX(FactorTable!$B$2:$Y$301, MATCH(ROUND(MIN(300,MAX(1,D1768)),0), FactorTable!$A$2:$A$301,0), Skills!L17+1)</f>
        <v/>
      </c>
      <c r="F1768">
        <f>IF(Skills!M17=TRUE,(Skills!K17/10)*(E1768/1000),Skills!K17/10)+Skills!N17</f>
        <v/>
      </c>
      <c r="G1768">
        <f>Calc!G17</f>
        <v/>
      </c>
      <c r="H1768">
        <f>Calc!H17</f>
        <v/>
      </c>
      <c r="I1768">
        <f>IF(Skills!T17&lt;&gt;"",1+(Skills!T17/10)*(Z1754/1000)/100,1)</f>
        <v/>
      </c>
      <c r="J1768" t="inlineStr"/>
      <c r="K1768" t="inlineStr"/>
      <c r="L1768" t="inlineStr"/>
      <c r="M1768" t="inlineStr"/>
      <c r="N1768" t="inlineStr"/>
      <c r="O1768">
        <f>(1-Summary!$B$11)*S1768+Summary!$B$11*U1768</f>
        <v/>
      </c>
      <c r="P1768">
        <f>IF(B1788=0,0,O1768/B1788)</f>
        <v/>
      </c>
      <c r="Q1768">
        <f>IFERROR(1/(IF(Inputs!$B$38="pvp",15,MAX(0.1,Skills!D17-IF(TRUE=TRUE,Inputs!$B$32,0)))*(1-IF(AND(ArtifactsInput!$M$27,Inputs!$B$4="Chapter Hunt"),CHOOSE(ArtifactsInput!$N$27+1,20,24,28,32,36,40),0)/100)),0)</f>
        <v/>
      </c>
      <c r="R1768" t="n">
        <v>0</v>
      </c>
      <c r="S1768" t="n">
        <v>0</v>
      </c>
      <c r="U1768" t="n">
        <v>0</v>
      </c>
    </row>
    <row r="1769">
      <c r="A1769">
        <f>Skills!A18</f>
        <v/>
      </c>
      <c r="B1769">
        <f>Skills!B18</f>
        <v/>
      </c>
      <c r="C1769">
        <f>Inputs!$B$3&gt;=43</f>
        <v/>
      </c>
      <c r="D1769">
        <f>IF(Skills!C18=1,60+Inputs!$B$25+Inputs!$B$29,IF(Skills!C18=2,90+Inputs!$B$26+Inputs!$B$29,IF(Skills!C18=3,120+Inputs!$B$27+Inputs!$B$29,MAX(0,(Inputs!$B$3-100)*3)+Inputs!$B$28+Inputs!$B$29)))</f>
        <v/>
      </c>
      <c r="E1769">
        <f>INDEX(FactorTable!$B$2:$Y$301, MATCH(ROUND(MIN(300,MAX(1,D1769)),0), FactorTable!$A$2:$A$301,0), Skills!L18+1)</f>
        <v/>
      </c>
      <c r="F1769">
        <f>IF(Skills!M18=TRUE,(Skills!K18/10)*(E1769/1000),Skills!K18/10)+Skills!N18</f>
        <v/>
      </c>
      <c r="G1769">
        <f>Calc!G18</f>
        <v/>
      </c>
      <c r="H1769">
        <f>Calc!H18</f>
        <v/>
      </c>
      <c r="I1769">
        <f>IF(Skills!T18&lt;&gt;"",1+(Skills!T18/10)*(Z1754/1000)/100,1)</f>
        <v/>
      </c>
      <c r="J1769" t="inlineStr"/>
      <c r="K1769" t="inlineStr"/>
      <c r="L1769" t="inlineStr"/>
      <c r="M1769" t="inlineStr"/>
      <c r="N1769" t="inlineStr"/>
      <c r="O1769">
        <f>(1-Summary!$B$11)*S1769+Summary!$B$11*U1769</f>
        <v/>
      </c>
      <c r="P1769">
        <f>IF(B1788=0,0,O1769/B1788)</f>
        <v/>
      </c>
      <c r="Q1769">
        <f>IFERROR(1/(IF(Inputs!$B$38="pvp",15,MAX(0.1,Skills!D18-IF(TRUE=TRUE,Inputs!$B$32,0)))*(1-IF(AND(ArtifactsInput!$M$27,Inputs!$B$4="Chapter Hunt"),CHOOSE(ArtifactsInput!$N$27+1,20,24,28,32,36,40),0)/100)),0)</f>
        <v/>
      </c>
      <c r="R1769" t="n">
        <v>0</v>
      </c>
      <c r="S1769" t="n">
        <v>0</v>
      </c>
      <c r="U1769" t="n">
        <v>0</v>
      </c>
    </row>
    <row r="1770">
      <c r="A1770">
        <f>Skills!A19</f>
        <v/>
      </c>
      <c r="B1770">
        <f>Skills!B19</f>
        <v/>
      </c>
      <c r="C1770">
        <f>Inputs!$B$3&gt;=50</f>
        <v/>
      </c>
      <c r="D1770">
        <f>IF(Skills!C19=1,60+Inputs!$B$25+Inputs!$B$29,IF(Skills!C19=2,90+Inputs!$B$26+Inputs!$B$29,IF(Skills!C19=3,120+Inputs!$B$27+Inputs!$B$29,MAX(0,(Inputs!$B$3-100)*3)+Inputs!$B$28+Inputs!$B$29)))</f>
        <v/>
      </c>
      <c r="E1770">
        <f>INDEX(FactorTable!$B$2:$Y$301, MATCH(ROUND(MIN(300,MAX(1,D1770)),0), FactorTable!$A$2:$A$301,0), Skills!L19+1)</f>
        <v/>
      </c>
      <c r="F1770">
        <f>IF(Skills!M19=TRUE,(Skills!K19/10)*(E1770/1000),Skills!K19/10)+Skills!N19</f>
        <v/>
      </c>
      <c r="G1770">
        <f>Calc!G19</f>
        <v/>
      </c>
      <c r="H1770">
        <f>Calc!H19</f>
        <v/>
      </c>
      <c r="I1770">
        <f>IF(Skills!T19&lt;&gt;"",1+(Skills!T19/10)*(Z1754/1000)/100,1)</f>
        <v/>
      </c>
      <c r="J1770" t="inlineStr"/>
      <c r="K1770" t="inlineStr"/>
      <c r="L1770" t="inlineStr"/>
      <c r="M1770" t="inlineStr"/>
      <c r="N1770" t="inlineStr"/>
      <c r="O1770">
        <f>(1-Summary!$B$11)*S1770+Summary!$B$11*U1770</f>
        <v/>
      </c>
      <c r="P1770">
        <f>IF(B1788=0,0,O1770/B1788)</f>
        <v/>
      </c>
      <c r="Q1770">
        <f>IFERROR(1/(IF(Inputs!$B$38="pvp",15,MAX(0.1,Skills!D19-IF(TRUE=TRUE,Inputs!$B$32,0)))*(1-IF(AND(ArtifactsInput!$M$27,Inputs!$B$4="Chapter Hunt"),CHOOSE(ArtifactsInput!$N$27+1,20,24,28,32,36,40),0)/100)),0)</f>
        <v/>
      </c>
      <c r="R1770" t="n">
        <v>0</v>
      </c>
      <c r="S1770" t="n">
        <v>0</v>
      </c>
      <c r="U1770" t="n">
        <v>0</v>
      </c>
    </row>
    <row r="1771">
      <c r="A1771">
        <f>Skills!A20</f>
        <v/>
      </c>
      <c r="B1771">
        <f>Skills!B20</f>
        <v/>
      </c>
      <c r="C1771">
        <f>Inputs!$B$3&gt;=74</f>
        <v/>
      </c>
      <c r="D1771">
        <f>IF(Skills!C20=1,60+Inputs!$B$25+Inputs!$B$29,IF(Skills!C20=2,90+Inputs!$B$26+Inputs!$B$29,IF(Skills!C20=3,120+Inputs!$B$27+Inputs!$B$29,MAX(0,(Inputs!$B$3-100)*3)+Inputs!$B$28+Inputs!$B$29)))</f>
        <v/>
      </c>
      <c r="E1771">
        <f>INDEX(FactorTable!$B$2:$Y$301, MATCH(ROUND(MIN(300,MAX(1,D1771)),0), FactorTable!$A$2:$A$301,0), Skills!L20+1)</f>
        <v/>
      </c>
      <c r="F1771">
        <f>IF(Skills!M20=TRUE,(Skills!K20/10)*(E1771/1000),Skills!K20/10)+Skills!N20</f>
        <v/>
      </c>
      <c r="G1771">
        <f>Calc!G20</f>
        <v/>
      </c>
      <c r="H1771">
        <f>Calc!H20</f>
        <v/>
      </c>
      <c r="I1771">
        <f>IF(Skills!T20&lt;&gt;"",1+(Skills!T20/10)*(Z1754/1000)/100,1)</f>
        <v/>
      </c>
      <c r="J1771" t="inlineStr"/>
      <c r="K1771" t="inlineStr"/>
      <c r="L1771" t="inlineStr"/>
      <c r="M1771" t="inlineStr"/>
      <c r="N1771" t="inlineStr"/>
      <c r="O1771">
        <f>(1-Summary!$B$11)*S1771+Summary!$B$11*U1771</f>
        <v/>
      </c>
      <c r="P1771">
        <f>IF(B1788=0,0,O1771/B1788)</f>
        <v/>
      </c>
      <c r="Q1771">
        <f>IFERROR(1/(IF(Inputs!$B$38="pvp",15,MAX(0.1,Skills!D20-IF(TRUE=TRUE,Inputs!$B$32,0)))*(1-IF(AND(ArtifactsInput!$M$27,Inputs!$B$4="Chapter Hunt"),CHOOSE(ArtifactsInput!$N$27+1,20,24,28,32,36,40),0)/100)),0)</f>
        <v/>
      </c>
      <c r="R1771" t="n">
        <v>0</v>
      </c>
      <c r="S1771" t="n">
        <v>0</v>
      </c>
      <c r="U1771" t="n">
        <v>0</v>
      </c>
    </row>
    <row r="1772">
      <c r="A1772">
        <f>Skills!A21</f>
        <v/>
      </c>
      <c r="B1772">
        <f>Skills!B21</f>
        <v/>
      </c>
      <c r="C1772">
        <f>Inputs!$B$3&gt;=74</f>
        <v/>
      </c>
      <c r="D1772">
        <f>IF(Skills!C21=1,60+Inputs!$B$25+Inputs!$B$29,IF(Skills!C21=2,90+Inputs!$B$26+Inputs!$B$29,IF(Skills!C21=3,120+Inputs!$B$27+Inputs!$B$29,MAX(0,(Inputs!$B$3-100)*3)+Inputs!$B$28+Inputs!$B$29)))</f>
        <v/>
      </c>
      <c r="E1772">
        <f>INDEX(FactorTable!$B$2:$Y$301, MATCH(ROUND(MIN(300,MAX(1,D1772)),0), FactorTable!$A$2:$A$301,0), Skills!L21+1)</f>
        <v/>
      </c>
      <c r="F1772">
        <f>IF(Skills!M21=TRUE,(Skills!K21/10)*(E1772/1000),Skills!K21/10)+Skills!N21</f>
        <v/>
      </c>
      <c r="G1772">
        <f>Calc!G21</f>
        <v/>
      </c>
      <c r="H1772">
        <f>Calc!H21</f>
        <v/>
      </c>
      <c r="I1772">
        <f>IF(Skills!T21&lt;&gt;"",1+(Skills!T21/10)*(Z1754/1000)/100,1)</f>
        <v/>
      </c>
      <c r="J1772" t="inlineStr"/>
      <c r="K1772" t="inlineStr"/>
      <c r="L1772" t="inlineStr"/>
      <c r="M1772" t="inlineStr"/>
      <c r="N1772" t="inlineStr"/>
      <c r="O1772">
        <f>(1-Summary!$B$11)*S1772+Summary!$B$11*U1772</f>
        <v/>
      </c>
      <c r="P1772">
        <f>IF(B1788=0,0,O1772/B1788)</f>
        <v/>
      </c>
      <c r="Q1772">
        <f>IFERROR(1/(IF(Inputs!$B$38="pvp",15,MAX(0.1,Skills!D21-IF(TRUE=TRUE,Inputs!$B$32,0)))*(1-IF(AND(ArtifactsInput!$M$27,Inputs!$B$4="Chapter Hunt"),CHOOSE(ArtifactsInput!$N$27+1,20,24,28,32,36,40),0)/100)),0)</f>
        <v/>
      </c>
      <c r="R1772" t="n">
        <v>0</v>
      </c>
      <c r="S1772" t="n">
        <v>0</v>
      </c>
      <c r="U1772" t="n">
        <v>0</v>
      </c>
    </row>
    <row r="1773">
      <c r="A1773">
        <f>Skills!A22</f>
        <v/>
      </c>
      <c r="B1773">
        <f>Skills!B22</f>
        <v/>
      </c>
      <c r="C1773">
        <f>Inputs!$B$3&gt;=117</f>
        <v/>
      </c>
      <c r="D1773">
        <f>IF(Skills!C22=1,60+Inputs!$B$25+Inputs!$B$29,IF(Skills!C22=2,90+Inputs!$B$26+Inputs!$B$29,IF(Skills!C22=3,120+Inputs!$B$27+Inputs!$B$29,MAX(0,(Inputs!$B$3-100)*3)+Inputs!$B$28+Inputs!$B$29)))</f>
        <v/>
      </c>
      <c r="E1773">
        <f>INDEX(FactorTable!$B$2:$Y$301, MATCH(ROUND(MIN(300,MAX(1,D1773)),0), FactorTable!$A$2:$A$301,0), Skills!L22+1)</f>
        <v/>
      </c>
      <c r="F1773">
        <f>IF(Skills!M22=TRUE,(Skills!K22/10)*(E1773/1000),Skills!K22/10)+Skills!N22</f>
        <v/>
      </c>
      <c r="G1773">
        <f>Calc!G22</f>
        <v/>
      </c>
      <c r="H1773">
        <f>Calc!H22</f>
        <v/>
      </c>
      <c r="I1773">
        <f>IF(Skills!T22&lt;&gt;"",1+(Skills!T22/10)*(Z1754/1000)/100,1)</f>
        <v/>
      </c>
      <c r="J1773" t="inlineStr"/>
      <c r="K1773" t="inlineStr"/>
      <c r="L1773" t="inlineStr"/>
      <c r="M1773" t="inlineStr"/>
      <c r="N1773" t="inlineStr"/>
      <c r="O1773">
        <f>(1-Summary!$B$11)*S1773+Summary!$B$11*U1773</f>
        <v/>
      </c>
      <c r="P1773">
        <f>IF(B1788=0,0,O1773/B1788)</f>
        <v/>
      </c>
      <c r="Q1773">
        <f>IFERROR(1/(IF(Inputs!$B$38="pvp",15,MAX(0.1,Skills!D22-IF(TRUE=TRUE,Inputs!$B$32,0)))*(1-IF(AND(ArtifactsInput!$M$27,Inputs!$B$4="Chapter Hunt"),CHOOSE(ArtifactsInput!$N$27+1,20,24,28,32,36,40),0)/100)),0)</f>
        <v/>
      </c>
      <c r="R1773" t="n">
        <v>0</v>
      </c>
      <c r="S1773" t="n">
        <v>0</v>
      </c>
      <c r="U1773" t="n">
        <v>0</v>
      </c>
    </row>
    <row r="1774">
      <c r="A1774">
        <f>Skills!A23</f>
        <v/>
      </c>
      <c r="B1774">
        <f>Skills!B23</f>
        <v/>
      </c>
      <c r="C1774">
        <f>Inputs!$B$3&gt;=120</f>
        <v/>
      </c>
      <c r="D1774">
        <f>IF(Skills!C23=1,60+Inputs!$B$25+Inputs!$B$29,IF(Skills!C23=2,90+Inputs!$B$26+Inputs!$B$29,IF(Skills!C23=3,120+Inputs!$B$27+Inputs!$B$29,MAX(0,(Inputs!$B$3-100)*3)+Inputs!$B$28+Inputs!$B$29)))</f>
        <v/>
      </c>
      <c r="E1774">
        <f>INDEX(FactorTable!$B$2:$Y$301, MATCH(ROUND(MIN(300,MAX(1,D1774)),0), FactorTable!$A$2:$A$301,0), Skills!L23+1)</f>
        <v/>
      </c>
      <c r="F1774">
        <f>IF(Skills!M23=TRUE,(Skills!K23/10)*(E1774/1000),Skills!K23/10)+Skills!N23</f>
        <v/>
      </c>
      <c r="G1774">
        <f>Calc!G23</f>
        <v/>
      </c>
      <c r="H1774">
        <f>Calc!H23</f>
        <v/>
      </c>
      <c r="I1774">
        <f>IF(Skills!T23&lt;&gt;"",1+(Skills!T23/10)*(Z1754/1000)/100,1)</f>
        <v/>
      </c>
      <c r="J1774" t="inlineStr"/>
      <c r="K1774" t="inlineStr"/>
      <c r="L1774" t="inlineStr"/>
      <c r="M1774" t="inlineStr"/>
      <c r="N1774" t="inlineStr"/>
      <c r="O1774">
        <f>(1-Summary!$B$11)*S1774+Summary!$B$11*U1774</f>
        <v/>
      </c>
      <c r="P1774">
        <f>IF(B1788=0,0,O1774/B1788)</f>
        <v/>
      </c>
      <c r="Q1774">
        <f>IFERROR(1/(IF(Inputs!$B$38="pvp",15,MAX(0.1,Skills!D23-IF(TRUE=TRUE,Inputs!$B$32,0)))*(1-IF(AND(ArtifactsInput!$M$27,Inputs!$B$4="Chapter Hunt"),CHOOSE(ArtifactsInput!$N$27+1,20,24,28,32,36,40),0)/100)),0)</f>
        <v/>
      </c>
      <c r="R1774" t="n">
        <v>0</v>
      </c>
      <c r="S1774" t="n">
        <v>0</v>
      </c>
      <c r="U1774" t="n">
        <v>0</v>
      </c>
    </row>
    <row r="1775">
      <c r="A1775">
        <f>Skills!A24</f>
        <v/>
      </c>
      <c r="B1775">
        <f>Skills!B24</f>
        <v/>
      </c>
      <c r="C1775">
        <f>TRUE</f>
        <v/>
      </c>
      <c r="D1775">
        <f>IF(Skills!C24=1,60+Inputs!$B$25+Inputs!$B$29,IF(Skills!C24=2,90+Inputs!$B$26+Inputs!$B$29,IF(Skills!C24=3,120+Inputs!$B$27+Inputs!$B$29,MAX(0,(Inputs!$B$3-100)*3)+Inputs!$B$28+Inputs!$B$29)))</f>
        <v/>
      </c>
      <c r="E1775">
        <f>INDEX(FactorTable!$B$2:$Y$301, MATCH(ROUND(MIN(300,MAX(1,D1775)),0), FactorTable!$A$2:$A$301,0), Skills!L24+1)</f>
        <v/>
      </c>
      <c r="F1775">
        <f>IF(Skills!M24=TRUE,(Skills!K24/10)*(E1775/1000),Skills!K24/10)+Skills!N24</f>
        <v/>
      </c>
      <c r="G1775">
        <f>Calc!G24</f>
        <v/>
      </c>
      <c r="H1775">
        <f>Calc!H24</f>
        <v/>
      </c>
      <c r="I1775">
        <f>IF(Skills!T24&lt;&gt;"",1+(Skills!T24/10)*(Z1754/1000)/100,1)</f>
        <v/>
      </c>
      <c r="J1775" t="inlineStr"/>
      <c r="K1775" t="inlineStr"/>
      <c r="L1775" t="inlineStr"/>
      <c r="M1775" t="inlineStr"/>
      <c r="N1775" t="inlineStr"/>
      <c r="O1775">
        <f>(1-Summary!$B$11)*S1775+Summary!$B$11*U1775</f>
        <v/>
      </c>
      <c r="P1775">
        <f>IF(B1788=0,0,O1775/B1788)</f>
        <v/>
      </c>
      <c r="Q1775">
        <f>IFERROR(1/(IF(Inputs!$B$38="pvp",15,MAX(0.1,Skills!D24-IF(TRUE=TRUE,Inputs!$B$32,0)))*(1-IF(AND(ArtifactsInput!$M$27,Inputs!$B$4="Chapter Hunt"),CHOOSE(ArtifactsInput!$N$27+1,20,24,28,32,36,40),0)/100)),0)</f>
        <v/>
      </c>
      <c r="R1775">
        <f>IF(AND(Inputs!$B$38&lt;&gt;"pvp",Inputs!$B$43&gt;0),IF(Inputs!$B$43&lt;=0,0,(INT(Inputs!$B$43/(IF(Inputs!$B$38="pvp",15,MAX(0.1,Skills!D24-IF(TRUE=TRUE,Inputs!$B$32,0)))*(1-IF(AND(ArtifactsInput!$M$27,Inputs!$B$4="Chapter Hunt"),CHOOSE(ArtifactsInput!$N$27+1,20,24,28,32,36,40),0)/100)))+1)),0)</f>
        <v/>
      </c>
      <c r="S1775" t="n">
        <v>0</v>
      </c>
      <c r="U1775" t="n">
        <v>0</v>
      </c>
    </row>
    <row r="1778">
      <c r="A1778" t="inlineStr">
        <is>
          <t>Average Buff Multiplier (Magic Guard + Meditation + Artifact Attack%, summed; then Infinity)</t>
        </is>
      </c>
      <c r="B1778">
        <f>(1+(IF(C1754=TRUE,F1754*IF(AND(Inputs!$B$38&lt;&gt;"pvp",Inputs!$B$43&gt;0),(((R1754-1)*MIN((Skills!S3*(1+(Inputs!$B$34)/100)),(1/Q1754))+MIN((Skills!S3*(1+(Inputs!$B$34)/100)),MAX(0,Inputs!$B$43-((R1754-1)*(1/Q1754)))))/Inputs!$B$43),IF(Inputs!$B$38="pvp",MIN((Skills!S3*(1+(Inputs!$B$34)/100)),15)/15,MIN(1,(Skills!S3*(1+(Inputs!$B$34)/100))/(1/Q1754)))),0)+IF(C1755=TRUE,F1755*IF(AND(Inputs!$B$38&lt;&gt;"pvp",Inputs!$B$43&gt;0),(((R1755-1)*MIN((Skills!S4*(1+(Inputs!$B$34)/100)),(1/Q1755))+MIN((Skills!S4*(1+(Inputs!$B$34)/100)),MAX(0,Inputs!$B$43-((R1755-1)*(1/Q1755)))))/Inputs!$B$43),IF(Inputs!$B$38="pvp",MIN((Skills!S4*(1+(Inputs!$B$34)/100)),15)/15,MIN(1,(Skills!S4*(1+(Inputs!$B$34)/100))/(1/Q1755)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1767=TRUE,(1+F1767*IF(AND(Inputs!$B$38&lt;&gt;"pvp",Inputs!$B$43&gt;0),(((R1767-1)*MIN((Skills!S16*(1+(Inputs!$B$34)/100)),(1/Q1767))+MIN((Skills!S16*(1+(Inputs!$B$34)/100)),MAX(0,Inputs!$B$43-((R1767-1)*(1/Q1767)))))/Inputs!$B$43),IF(Inputs!$B$38="pvp",MIN((Skills!S16*(1+(Inputs!$B$34)/100)),15)/15,MIN(1,(Skills!S16*(1+(Inputs!$B$34)/100))/(1/Q1767))))/100),1)</f>
        <v/>
      </c>
    </row>
    <row r="1779">
      <c r="A1779" t="inlineStr">
        <is>
          <t>Monster Damage Taken Bonus % (Freezing Breath - Weaken + Elemental Reset + Artifact Enemy Damage Taken, summed)</t>
        </is>
      </c>
      <c r="B1779">
        <f>IF(Inputs!$B$3&gt;=118,15*IF(Inputs!$B$38="pvp",MIN((30*(1+(Inputs!$B$34)/100)),15)/15,MIN(1,(30*(1+(Inputs!$B$34)/100))/(1/Q1759))),0)+IF(C1765=TRUE,F1765,0)+(IF(AND(ArtifactsInput!$M$35,Inputs!$B$4&lt;&gt;"Chapter Hunt"),CHOOSE(ArtifactsInput!$N$35+1,15,18,21,24,27,30)*(1-EXP(-(0.2*B1782)*5)),0)+IF(AND(ArtifactsInput!$M$22,Inputs!$B$4&lt;&gt;"Chapter Hunt"),CHOOSE(ArtifactsInput!$N$22+1,10,12,14,16,18,20)*((0*(((0.15*B1782*5))^0/1)+1*(((0.15*B1782*5))^1/1)+2*(((0.15*B1782*5))^2/2)+3*(((0.15*B1782*5))^3/6)+4*(((0.15*B1782*5))^4/24)+5*(((0.15*B1782*5))^5/120))/((((0.15*B1782*5))^0/1)+(((0.15*B1782*5))^1/1)+(((0.15*B1782*5))^2/2)+(((0.15*B1782*5))^3/6)+(((0.15*B1782*5))^4/24)+(((0.15*B1782*5))^5/120))),0))</f>
        <v/>
      </c>
    </row>
    <row r="1780">
      <c r="A1780" t="inlineStr">
        <is>
          <t>Damage % Bonus (Frozen Break + Frost Clutch, flat)</t>
        </is>
      </c>
      <c r="B1780">
        <f>IF(Inputs!$B$3&gt;=66,15,0)+IF(Inputs!$B$3&gt;=98,10,0)+IF(Inputs!$B$3&gt;=125,20,0)</f>
        <v/>
      </c>
    </row>
    <row r="1781">
      <c r="A1781" t="inlineStr">
        <is>
          <t>Attack Speed Bonus % (MP Eater - MP Boost, always-on + Nimble Feet, duty-cycle averaged)</t>
        </is>
      </c>
      <c r="B1781">
        <f>IF(C1764=TRUE,F1764+(F1768-Calc!F17),0)+((C1775=TRUE)*F1775*IF(AND(Inputs!$B$38&lt;&gt;"pvp",Inputs!$B$43&gt;0),(((R1775-1)*MIN((Skills!S24*(1+(Inputs!$B$34)/100)),(1/Q1775))+MIN((Skills!S24*(1+(Inputs!$B$34)/100)),MAX(0,Inputs!$B$43-((R1775-1)*(1/Q1775)))))/Inputs!$B$43),IF(Inputs!$B$38="pvp",MIN((Skills!S24*(1+(Inputs!$B$34)/100)),15)/15,MIN(1,(Skills!S24*(1+(Inputs!$B$34)/100))/(1/Q1775)))))</f>
        <v/>
      </c>
    </row>
    <row r="1782">
      <c r="A1782" t="inlineStr">
        <is>
          <t>Actions Per Second</t>
        </is>
      </c>
      <c r="B1782">
        <f>1+MIN(150,150*(1-(1-(Inputs!$B$11+(ArtifactsInput!$M$15-ArtifactsInput!$M$15)*CHOOSE(ArtifactsInput!$N$15+1,8,9.6,11.2,12.8,14.4,16))/150)*(1-B1781/150)))/100</f>
        <v/>
      </c>
    </row>
    <row r="1783">
      <c r="A1783" t="inlineStr">
        <is>
          <t>Skill + Buff Cast Rate</t>
        </is>
      </c>
      <c r="B1783">
        <f>IF(AND(Inputs!$B$38&lt;&gt;"pvp",Inputs!$B$43&gt;0),SUMPRODUCT((Skills!E2:E24=TRUE)*(C1753:C1775=TRUE)*R1753:R1775)/Inputs!$B$43,SUMPRODUCT((Skills!E2:E24=TRUE)*(C1753:C1775=TRUE)*Q1753:Q1775))</f>
        <v/>
      </c>
    </row>
    <row r="1784">
      <c r="A1784" t="inlineStr">
        <is>
          <t>Chain Lightning Casts Per Second</t>
        </is>
      </c>
      <c r="B1784">
        <f>MAX(0,B1782-B1783)</f>
        <v/>
      </c>
    </row>
    <row r="1785">
      <c r="A1785" t="inlineStr">
        <is>
          <t>Buff-Casting Startup Delay (s, fixed-duration only)</t>
        </is>
      </c>
      <c r="B1785">
        <f>IF(AND(Inputs!$B$38&lt;&gt;"pvp",Inputs!$B$43&gt;0),SUMPRODUCT((Skills!S2:S24&gt;0)*(Skills!E2:E24=TRUE)*(C1753:C1775=TRUE))/B1782,0)</f>
        <v/>
      </c>
    </row>
    <row r="1786">
      <c r="A1786" t="inlineStr">
        <is>
          <t>Boss-Only Total DPS (this block's swept value)</t>
        </is>
      </c>
      <c r="B1786">
        <f>SUM(S1753:S1775)</f>
        <v/>
      </c>
    </row>
    <row r="1787">
      <c r="A1787" t="inlineStr">
        <is>
          <t>Normal-Only Total DPS (this block's swept value)</t>
        </is>
      </c>
      <c r="B1787">
        <f>SUM(U1753:U1775)</f>
        <v/>
      </c>
    </row>
    <row r="1788">
      <c r="A1788" s="6" t="inlineStr">
        <is>
          <t>TOTAL DPS</t>
        </is>
      </c>
      <c r="B1788" s="6">
        <f>SUM(O1753:O1775)</f>
        <v/>
      </c>
    </row>
    <row r="1789">
      <c r="A1789" t="inlineStr">
        <is>
          <t>Blizzard Final Attack trigger rate (this block's own Q/R)</t>
        </is>
      </c>
      <c r="B1789">
        <f>IF(AND(Inputs!$B$38&lt;&gt;"pvp",Inputs!$B$43&gt;0),(((C1756=TRUE)*R1756*1)+((C1757=TRUE)*R1757*1)+((C1759=TRUE)*R1759*1)+((C1760=TRUE)*R1760*3)+((C1762=TRUE)*R1762*1))/Inputs!$B$43,((C1756=TRUE)*Q1756*1)+((C1757=TRUE)*Q1757*1)+((C1759=TRUE)*Q1759*1)+((C1760=TRUE)*Q1760*3)+((C1762=TRUE)*Q1762*1))+B1784</f>
        <v/>
      </c>
    </row>
    <row r="1792">
      <c r="A1792" s="6" t="inlineStr">
        <is>
          <t>Stat: Book of Ancient (Equip)</t>
        </is>
      </c>
    </row>
    <row r="1793">
      <c r="A1793" s="5" t="inlineStr">
        <is>
          <t>Key</t>
        </is>
      </c>
      <c r="B1793" s="5" t="inlineStr">
        <is>
          <t>Name</t>
        </is>
      </c>
      <c r="C1793" s="5" t="inlineStr">
        <is>
          <t>Unlocked</t>
        </is>
      </c>
      <c r="D1793" s="5" t="inlineStr">
        <is>
          <t>InputLevel</t>
        </is>
      </c>
      <c r="E1793" s="5" t="inlineStr">
        <is>
          <t>Factor</t>
        </is>
      </c>
      <c r="F1793" s="5" t="inlineStr">
        <is>
          <t>CoefficientPercent</t>
        </is>
      </c>
      <c r="G1793" s="5" t="inlineStr">
        <is>
          <t>EffectiveHits</t>
        </is>
      </c>
      <c r="H1793" s="5" t="inlineStr">
        <is>
          <t>ProcProbability</t>
        </is>
      </c>
      <c r="I1793" s="5" t="inlineStr">
        <is>
          <t>MapleHeroMultiplier</t>
        </is>
      </c>
      <c r="J1793" s="5" t="inlineStr">
        <is>
          <t>BaseDamage</t>
        </is>
      </c>
      <c r="K1793" s="5" t="inlineStr">
        <is>
          <t>BaseHitDamage</t>
        </is>
      </c>
      <c r="L1793" s="5" t="inlineStr">
        <is>
          <t>NonCritAvg</t>
        </is>
      </c>
      <c r="M1793" s="5" t="inlineStr">
        <is>
          <t>CritAvg</t>
        </is>
      </c>
      <c r="N1793" s="5" t="inlineStr">
        <is>
          <t>ExpectedDamage(perHit)</t>
        </is>
      </c>
      <c r="O1793" s="5" t="inlineStr">
        <is>
          <t>DPS</t>
        </is>
      </c>
      <c r="P1793" s="5" t="inlineStr">
        <is>
          <t>% of Total</t>
        </is>
      </c>
      <c r="R1793" t="inlineStr">
        <is>
          <t>helpers</t>
        </is>
      </c>
    </row>
    <row r="1794">
      <c r="A1794">
        <f>Skills!A2</f>
        <v/>
      </c>
      <c r="B1794">
        <f>Skills!B2</f>
        <v/>
      </c>
      <c r="C1794">
        <f>Inputs!$B$3&gt;=100</f>
        <v/>
      </c>
      <c r="D1794" t="inlineStr"/>
      <c r="E1794" t="inlineStr"/>
      <c r="F1794">
        <f>T1796+Skills!N2</f>
        <v/>
      </c>
      <c r="G1794">
        <f>Calc!G2</f>
        <v/>
      </c>
      <c r="H1794">
        <f>Calc!H2</f>
        <v/>
      </c>
      <c r="I1794">
        <f>IF(Skills!T2&lt;&gt;"",1+(Skills!T2/10)*(Z1795/1000)/100,1)</f>
        <v/>
      </c>
      <c r="J1794">
        <f>((Inputs!$B$6*(1+Inputs!$B$7/100))+(((Inputs!$B$12*(1+Inputs!$B$13/100))-(Inputs!$B$12*(1+Inputs!$B$13/100)))+0.25*(Inputs!$B$14-Inputs!$B$14))*(1+Inputs!$B$7/100))*(F1794/100)</f>
        <v/>
      </c>
      <c r="K1794">
        <f>J1794*(1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2="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1794)</f>
        <v/>
      </c>
      <c r="L1794">
        <f>K1794*(MIN(Inputs!$B$22+(F1810-Calc!F18),(Inputs!$B$23+(IF(ArtifactsInput!$M$15,CHOOSE(ArtifactsInput!$N$15+1,25,30,35,40,45,50)/100*(Inputs!$B$11-Inputs!$B$11),0))))/100+(Inputs!$B$23+(IF(ArtifactsInput!$M$15,CHOOSE(ArtifactsInput!$N$15+1,25,30,35,40,45,50)/100*(Inputs!$B$11-Inputs!$B$11),0)))/100)/2</f>
        <v/>
      </c>
      <c r="M1794">
        <f>L1794*(1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794">
        <f>L1794*(1-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1794*(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4">
        <f>(1-Summary!$B$11)*S1794+Summary!$B$11*U1794</f>
        <v/>
      </c>
      <c r="P1794">
        <f>IF(B1829=0,0,O1794/B1829)</f>
        <v/>
      </c>
      <c r="Q1794">
        <f>IFERROR(1/(IF(Inputs!$B$38="pvp",15,MAX(0.1,Skills!D2-IF(TRUE=TRUE,Inputs!$B$32,0)))*(1-IF(AND(ArtifactsInput!$M$27,Inputs!$B$4="Chapter Hunt"),CHOOSE(ArtifactsInput!$N$27+1,20,24,28,32,36,40),0)/100)),0)</f>
        <v/>
      </c>
      <c r="R1794" t="n">
        <v>0</v>
      </c>
      <c r="S1794">
        <f>IF(C1794,(Skills!F2*N1794*B1825)*IF(Inputs!$B$38="pvp",1,1+(Inputs!$B$20+Skills!O2+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1794*(1-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1794*(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1794*(1-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1794*(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794">
        <f>MAX(0,(Inputs!$B$3-100)*3)+Inputs!$B$28+Inputs!$B$29</f>
        <v/>
      </c>
      <c r="U1794">
        <f>IF(C1794,(Skills!F2*N1794*B1825)*IF(Inputs!$B$38="pvp",1,(1+(Inputs!$B$21+Skills!P2+B1820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794">
        <f>MAX(0,(Inputs!$B$3-100)*3)+Inputs!$B$28+Inputs!$B$29</f>
        <v/>
      </c>
    </row>
    <row r="1795">
      <c r="A1795">
        <f>Skills!A3</f>
        <v/>
      </c>
      <c r="B1795">
        <f>Skills!B3</f>
        <v/>
      </c>
      <c r="C1795">
        <f>Inputs!$B$3&gt;=15</f>
        <v/>
      </c>
      <c r="D1795">
        <f>IF(Skills!C3=1,60+Inputs!$B$25+Inputs!$B$29,IF(Skills!C3=2,90+Inputs!$B$26+Inputs!$B$29,IF(Skills!C3=3,120+Inputs!$B$27+Inputs!$B$29,MAX(0,(Inputs!$B$3-100)*3)+Inputs!$B$28+Inputs!$B$29)))</f>
        <v/>
      </c>
      <c r="E1795">
        <f>INDEX(FactorTable!$B$2:$Y$301, MATCH(ROUND(MIN(300,MAX(1,D1795)),0), FactorTable!$A$2:$A$301,0), Skills!L3+1)</f>
        <v/>
      </c>
      <c r="F1795">
        <f>IF(Skills!M3=TRUE,(Skills!K3/10)*(E1795/1000),Skills!K3/10)+Skills!N3</f>
        <v/>
      </c>
      <c r="G1795">
        <f>Calc!G3</f>
        <v/>
      </c>
      <c r="H1795">
        <f>Calc!H3</f>
        <v/>
      </c>
      <c r="I1795">
        <f>IF(Skills!T3&lt;&gt;"",1+(Skills!T3/10)*(Z1795/1000)/100,1)</f>
        <v/>
      </c>
      <c r="J1795" t="inlineStr"/>
      <c r="K1795" t="inlineStr"/>
      <c r="L1795" t="inlineStr"/>
      <c r="M1795" t="inlineStr"/>
      <c r="N1795" t="inlineStr"/>
      <c r="O1795">
        <f>(1-Summary!$B$11)*S1795+Summary!$B$11*U1795</f>
        <v/>
      </c>
      <c r="P1795">
        <f>IF(B1829=0,0,O1795/B1829)</f>
        <v/>
      </c>
      <c r="Q1795">
        <f>IFERROR(1/(IF(Inputs!$B$38="pvp",15,MAX(0.1,Skills!D3-IF(TRUE=TRUE,Inputs!$B$32,0)))*(1-IF(AND(ArtifactsInput!$M$27,Inputs!$B$4="Chapter Hunt"),CHOOSE(ArtifactsInput!$N$27+1,20,24,28,32,36,40),0)/100)),0)</f>
        <v/>
      </c>
      <c r="R1795">
        <f>IF(AND(Inputs!$B$38&lt;&gt;"pvp",Inputs!$B$43&gt;0),IF(Inputs!$B$43&lt;=0,0,(INT(Inputs!$B$43/(IF(Inputs!$B$38="pvp",15,MAX(0.1,Skills!D3-IF(TRUE=TRUE,Inputs!$B$32,0)))*(1-IF(AND(ArtifactsInput!$M$27,Inputs!$B$4="Chapter Hunt"),CHOOSE(ArtifactsInput!$N$27+1,20,24,28,32,36,40),0)/100)))+1)),0)</f>
        <v/>
      </c>
      <c r="S1795" t="n">
        <v>0</v>
      </c>
      <c r="T1795">
        <f>INDEX(FactorTable!$B$2:$Y$301, MATCH(ROUND(MIN(300,MAX(1,T1794)),0), FactorTable!$A$2:$A$301,0), 22)</f>
        <v/>
      </c>
      <c r="U1795" t="n">
        <v>0</v>
      </c>
      <c r="Z1795">
        <f>INDEX(FactorTable!$B$2:$Y$301, MATCH(ROUND(MIN(300,MAX(1,Z1794)),0), FactorTable!$A$2:$A$301,0), 24)</f>
        <v/>
      </c>
    </row>
    <row r="1796">
      <c r="A1796">
        <f>Skills!A4</f>
        <v/>
      </c>
      <c r="B1796">
        <f>Skills!B4</f>
        <v/>
      </c>
      <c r="C1796">
        <f>Inputs!$B$3&gt;=40</f>
        <v/>
      </c>
      <c r="D1796">
        <f>IF(Skills!C4=1,60+Inputs!$B$25+Inputs!$B$29,IF(Skills!C4=2,90+Inputs!$B$26+Inputs!$B$29,IF(Skills!C4=3,120+Inputs!$B$27+Inputs!$B$29,MAX(0,(Inputs!$B$3-100)*3)+Inputs!$B$28+Inputs!$B$29)))</f>
        <v/>
      </c>
      <c r="E1796">
        <f>INDEX(FactorTable!$B$2:$Y$301, MATCH(ROUND(MIN(300,MAX(1,D1796)),0), FactorTable!$A$2:$A$301,0), Skills!L4+1)</f>
        <v/>
      </c>
      <c r="F1796">
        <f>IF(Skills!M4=TRUE,(Skills!K4/10)*(E1796/1000),Skills!K4/10)+Skills!N4</f>
        <v/>
      </c>
      <c r="G1796">
        <f>Calc!G4</f>
        <v/>
      </c>
      <c r="H1796">
        <f>Calc!H4</f>
        <v/>
      </c>
      <c r="I1796">
        <f>IF(Skills!T4&lt;&gt;"",1+(Skills!T4/10)*(Z1795/1000)/100,1)</f>
        <v/>
      </c>
      <c r="J1796" t="inlineStr"/>
      <c r="K1796" t="inlineStr"/>
      <c r="L1796" t="inlineStr"/>
      <c r="M1796" t="inlineStr"/>
      <c r="N1796" t="inlineStr"/>
      <c r="O1796">
        <f>(1-Summary!$B$11)*S1796+Summary!$B$11*U1796</f>
        <v/>
      </c>
      <c r="P1796">
        <f>IF(B1829=0,0,O1796/B1829)</f>
        <v/>
      </c>
      <c r="Q1796">
        <f>IFERROR(1/(IF(Inputs!$B$38="pvp",15,MAX(0.1,Skills!D4-IF(TRUE=TRUE,Inputs!$B$32,0)))*(1-IF(AND(ArtifactsInput!$M$27,Inputs!$B$4="Chapter Hunt"),CHOOSE(ArtifactsInput!$N$27+1,20,24,28,32,36,40),0)/100)),0)</f>
        <v/>
      </c>
      <c r="R1796">
        <f>IF(AND(Inputs!$B$38&lt;&gt;"pvp",Inputs!$B$43&gt;0),IF(Inputs!$B$43&lt;=0,0,(INT(Inputs!$B$43/(IF(Inputs!$B$38="pvp",15,MAX(0.1,Skills!D4-IF(TRUE=TRUE,Inputs!$B$32,0)))*(1-IF(AND(ArtifactsInput!$M$27,Inputs!$B$4="Chapter Hunt"),CHOOSE(ArtifactsInput!$N$27+1,20,24,28,32,36,40),0)/100)))+1)),0)</f>
        <v/>
      </c>
      <c r="S1796" t="n">
        <v>0</v>
      </c>
      <c r="T1796">
        <f>290*T1795/1000</f>
        <v/>
      </c>
      <c r="U1796" t="n">
        <v>0</v>
      </c>
    </row>
    <row r="1797">
      <c r="A1797">
        <f>Skills!A5</f>
        <v/>
      </c>
      <c r="B1797">
        <f>Skills!B5</f>
        <v/>
      </c>
      <c r="C1797">
        <f>Inputs!$B$3&gt;=38</f>
        <v/>
      </c>
      <c r="D1797">
        <f>IF(Skills!C5=1,60+Inputs!$B$25+Inputs!$B$29,IF(Skills!C5=2,90+Inputs!$B$26+Inputs!$B$29,IF(Skills!C5=3,120+Inputs!$B$27+Inputs!$B$29,MAX(0,(Inputs!$B$3-100)*3)+Inputs!$B$28+Inputs!$B$29)))</f>
        <v/>
      </c>
      <c r="E1797">
        <f>INDEX(FactorTable!$B$2:$Y$301, MATCH(ROUND(MIN(300,MAX(1,D1797)),0), FactorTable!$A$2:$A$301,0), Skills!L5+1)</f>
        <v/>
      </c>
      <c r="F1797">
        <f>IF(Skills!M5=TRUE,(Skills!K5/10)*(E1797/1000),Skills!K5/10)+Skills!N5</f>
        <v/>
      </c>
      <c r="G1797">
        <f>Calc!G5</f>
        <v/>
      </c>
      <c r="H1797">
        <f>Calc!H5</f>
        <v/>
      </c>
      <c r="I1797">
        <f>IF(Skills!T5&lt;&gt;"",1+(Skills!T5/10)*(Z1795/1000)/100,1)</f>
        <v/>
      </c>
      <c r="J1797">
        <f>((Inputs!$B$6*(1+Inputs!$B$7/100))+(((Inputs!$B$12*(1+Inputs!$B$13/100))-(Inputs!$B$12*(1+Inputs!$B$13/100)))+0.25*(Inputs!$B$14-Inputs!$B$14))*(1+Inputs!$B$7/100))*(F1797/100)</f>
        <v/>
      </c>
      <c r="K1797">
        <f>J1797*(1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5="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1797)</f>
        <v/>
      </c>
      <c r="L1797">
        <f>K1797*(MIN(Inputs!$B$22+(F1810-Calc!F18),(Inputs!$B$23+(IF(ArtifactsInput!$M$15,CHOOSE(ArtifactsInput!$N$15+1,25,30,35,40,45,50)/100*(Inputs!$B$11-Inputs!$B$11),0))))/100+(Inputs!$B$23+(IF(ArtifactsInput!$M$15,CHOOSE(ArtifactsInput!$N$15+1,25,30,35,40,45,50)/100*(Inputs!$B$11-Inputs!$B$11),0)))/100)/2</f>
        <v/>
      </c>
      <c r="M1797">
        <f>L1797*(1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797">
        <f>L1797*(1-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1797*(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7">
        <f>(1-Summary!$B$11)*S1797+Summary!$B$11*U1797</f>
        <v/>
      </c>
      <c r="P1797">
        <f>IF(B1829=0,0,O1797/B1829)</f>
        <v/>
      </c>
      <c r="Q1797">
        <f>IFERROR(1/(IF(Inputs!$B$38="pvp",15,MAX(0.1,Skills!D5-IF(TRUE=TRUE,Inputs!$B$32,0)))*(1-IF(AND(ArtifactsInput!$M$27,Inputs!$B$4="Chapter Hunt"),CHOOSE(ArtifactsInput!$N$27+1,20,24,28,32,36,40),0)/100)),0)</f>
        <v/>
      </c>
      <c r="R1797">
        <f>IF(AND(Inputs!$B$38&lt;&gt;"pvp",Inputs!$B$43&gt;0),IF(MAX(0,Inputs!$B$43-B1826)&lt;=0,0,(INT(MAX(0,Inputs!$B$43-B1826)/(IF(Inputs!$B$38="pvp",15,MAX(0.1,Skills!D5-IF(TRUE=TRUE,Inputs!$B$32,0)))*(1-IF(AND(ArtifactsInput!$M$27,Inputs!$B$4="Chapter Hunt"),CHOOSE(ArtifactsInput!$N$27+1,20,24,28,32,36,40),0)/100)))+1)),0)</f>
        <v/>
      </c>
      <c r="S1797">
        <f>IF(C1797,(H1797*N1797*IF(AND(Inputs!$B$38&lt;&gt;"pvp",Inputs!$B$43&gt;0),((Skills!F5*((R1797-1)*IF(Skills!G5&gt;0,Skills!H5/Skills!G5,1)+IF(Skills!G5&gt;0,MIN(Skills!H5,MAX(0,MAX(0,Inputs!$B$43-B1826)-((R1797-1)*(IF(Inputs!$B$38="pvp",15,MAX(0.1,Skills!D5-IF(TRUE=TRUE,Inputs!$B$32,0)))*(1-IF(AND(ArtifactsInput!$M$27,Inputs!$B$4="Chapter Hunt"),CHOOSE(ArtifactsInput!$N$27+1,20,24,28,32,36,40),0)/100)))))/Skills!G5,1)))/Inputs!$B$43),G1797*Q1797))*IF(Inputs!$B$38="pvp",1,1+(Inputs!$B$20+Skills!O5+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1797*(1-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1797*(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1797*(1-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1797*(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7">
        <f>IF(C1797,(H1797*N1797*IF(AND(Inputs!$B$38&lt;&gt;"pvp",Inputs!$B$43&gt;0),((Skills!F5*((R1797-1)*IF(Skills!G5&gt;0,Skills!H5/Skills!G5,1)+IF(Skills!G5&gt;0,MIN(Skills!H5,MAX(0,MAX(0,Inputs!$B$43-B1826)-((R1797-1)*(IF(Inputs!$B$38="pvp",15,MAX(0.1,Skills!D5-IF(TRUE=TRUE,Inputs!$B$32,0)))*(1-IF(AND(ArtifactsInput!$M$27,Inputs!$B$4="Chapter Hunt"),CHOOSE(ArtifactsInput!$N$27+1,20,24,28,32,36,40),0)/100)))))/Skills!G5,1)))/Inputs!$B$43),G1797*Q1797))*IF(Inputs!$B$38="pvp",1,(1+(Inputs!$B$21+Skills!P5+B1820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8">
      <c r="A1798">
        <f>Skills!A6</f>
        <v/>
      </c>
      <c r="B1798">
        <f>Skills!B6</f>
        <v/>
      </c>
      <c r="C1798">
        <f>Inputs!$B$3&gt;=63</f>
        <v/>
      </c>
      <c r="D1798">
        <f>IF(Skills!C6=1,60+Inputs!$B$25+Inputs!$B$29,IF(Skills!C6=2,90+Inputs!$B$26+Inputs!$B$29,IF(Skills!C6=3,120+Inputs!$B$27+Inputs!$B$29,MAX(0,(Inputs!$B$3-100)*3)+Inputs!$B$28+Inputs!$B$29)))</f>
        <v/>
      </c>
      <c r="E1798">
        <f>INDEX(FactorTable!$B$2:$Y$301, MATCH(ROUND(MIN(300,MAX(1,D1798)),0), FactorTable!$A$2:$A$301,0), Skills!L6+1)</f>
        <v/>
      </c>
      <c r="F1798">
        <f>IF(Skills!M6=TRUE,(Skills!K6/10)*(E1798/1000),Skills!K6/10)+Skills!N6</f>
        <v/>
      </c>
      <c r="G1798">
        <f>Calc!G6</f>
        <v/>
      </c>
      <c r="H1798">
        <f>Calc!H6</f>
        <v/>
      </c>
      <c r="I1798">
        <f>IF(Skills!T6&lt;&gt;"",1+(Skills!T6/10)*(Z1795/1000)/100,1)</f>
        <v/>
      </c>
      <c r="J1798">
        <f>((Inputs!$B$6*(1+Inputs!$B$7/100))+(((Inputs!$B$12*(1+Inputs!$B$13/100))-(Inputs!$B$12*(1+Inputs!$B$13/100)))+0.25*(Inputs!$B$14-Inputs!$B$14))*(1+Inputs!$B$7/100))*(F1798/100)</f>
        <v/>
      </c>
      <c r="K1798">
        <f>J1798*(1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6="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1798)</f>
        <v/>
      </c>
      <c r="L1798">
        <f>K1798*(MIN(Inputs!$B$22+(F1810-Calc!F18),(Inputs!$B$23+(IF(ArtifactsInput!$M$15,CHOOSE(ArtifactsInput!$N$15+1,25,30,35,40,45,50)/100*(Inputs!$B$11-Inputs!$B$11),0))))/100+(Inputs!$B$23+(IF(ArtifactsInput!$M$15,CHOOSE(ArtifactsInput!$N$15+1,25,30,35,40,45,50)/100*(Inputs!$B$11-Inputs!$B$11),0)))/100)/2</f>
        <v/>
      </c>
      <c r="M1798">
        <f>L1798*(1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798">
        <f>L1798*(1-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1798*(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8">
        <f>(1-Summary!$B$11)*S1798+Summary!$B$11*U1798</f>
        <v/>
      </c>
      <c r="P1798">
        <f>IF(B1829=0,0,O1798/B1829)</f>
        <v/>
      </c>
      <c r="Q1798">
        <f>IFERROR(1/(IF(Inputs!$B$38="pvp",15,MAX(0.1,Skills!D6-IF(TRUE=TRUE,Inputs!$B$32,0)))*(1-IF(AND(ArtifactsInput!$M$27,Inputs!$B$4="Chapter Hunt"),CHOOSE(ArtifactsInput!$N$27+1,20,24,28,32,36,40),0)/100)),0)</f>
        <v/>
      </c>
      <c r="R1798">
        <f>IF(AND(Inputs!$B$38&lt;&gt;"pvp",Inputs!$B$43&gt;0),IF(MAX(0,Inputs!$B$43-B1826)&lt;=0,0,(INT(MAX(0,Inputs!$B$43-B1826)/(IF(Inputs!$B$38="pvp",15,MAX(0.1,Skills!D6-IF(TRUE=TRUE,Inputs!$B$32,0)))*(1-IF(AND(ArtifactsInput!$M$27,Inputs!$B$4="Chapter Hunt"),CHOOSE(ArtifactsInput!$N$27+1,20,24,28,32,36,40),0)/100)))+1)),0)</f>
        <v/>
      </c>
      <c r="S1798">
        <f>IF(C1798,(H1798*N1798*IF(AND(Inputs!$B$38&lt;&gt;"pvp",Inputs!$B$43&gt;0),((Skills!F6*((R1798-1)*IF(Skills!G6&gt;0,Skills!H6/Skills!G6,1)+IF(Skills!G6&gt;0,MIN(Skills!H6,MAX(0,MAX(0,Inputs!$B$43-B1826)-((R1798-1)*(IF(Inputs!$B$38="pvp",15,MAX(0.1,Skills!D6-IF(TRUE=TRUE,Inputs!$B$32,0)))*(1-IF(AND(ArtifactsInput!$M$27,Inputs!$B$4="Chapter Hunt"),CHOOSE(ArtifactsInput!$N$27+1,20,24,28,32,36,40),0)/100)))))/Skills!G6,1)))/Inputs!$B$43),G1798*Q1798))*IF(Inputs!$B$38="pvp",1,1+(Inputs!$B$20+Skills!O6+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1798*(1-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1798*(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1798*(1-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1798*(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8">
        <f>IF(C1798,(H1798*N1798*IF(AND(Inputs!$B$38&lt;&gt;"pvp",Inputs!$B$43&gt;0),((Skills!F6*((R1798-1)*IF(Skills!G6&gt;0,Skills!H6/Skills!G6,1)+IF(Skills!G6&gt;0,MIN(Skills!H6,MAX(0,MAX(0,Inputs!$B$43-B1826)-((R1798-1)*(IF(Inputs!$B$38="pvp",15,MAX(0.1,Skills!D6-IF(TRUE=TRUE,Inputs!$B$32,0)))*(1-IF(AND(ArtifactsInput!$M$27,Inputs!$B$4="Chapter Hunt"),CHOOSE(ArtifactsInput!$N$27+1,20,24,28,32,36,40),0)/100)))))/Skills!G6,1)))/Inputs!$B$43),G1798*Q1798))*IF(Inputs!$B$38="pvp",1,(1+(Inputs!$B$21+Skills!P6+B1820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9">
      <c r="A1799">
        <f>Skills!A7</f>
        <v/>
      </c>
      <c r="B1799">
        <f>Skills!B7</f>
        <v/>
      </c>
      <c r="C1799">
        <f>Inputs!$B$3&gt;=69</f>
        <v/>
      </c>
      <c r="D1799">
        <f>IF(Skills!C7=1,60+Inputs!$B$25+Inputs!$B$29,IF(Skills!C7=2,90+Inputs!$B$26+Inputs!$B$29,IF(Skills!C7=3,120+Inputs!$B$27+Inputs!$B$29,MAX(0,(Inputs!$B$3-100)*3)+Inputs!$B$28+Inputs!$B$29)))</f>
        <v/>
      </c>
      <c r="E1799">
        <f>INDEX(FactorTable!$B$2:$Y$301, MATCH(ROUND(MIN(300,MAX(1,D1799)),0), FactorTable!$A$2:$A$301,0), Skills!L7+1)</f>
        <v/>
      </c>
      <c r="F1799">
        <f>IF(Skills!M7=TRUE,(Skills!K7/10)*(E1799/1000),Skills!K7/10)+Skills!N7</f>
        <v/>
      </c>
      <c r="G1799">
        <f>Calc!G7</f>
        <v/>
      </c>
      <c r="H1799">
        <f>Calc!H7</f>
        <v/>
      </c>
      <c r="I1799">
        <f>IF(Skills!T7&lt;&gt;"",1+(Skills!T7/10)*(Z1795/1000)/100,1)</f>
        <v/>
      </c>
      <c r="J1799">
        <f>((Inputs!$B$6*(1+Inputs!$B$7/100))+(((Inputs!$B$12*(1+Inputs!$B$13/100))-(Inputs!$B$12*(1+Inputs!$B$13/100)))+0.25*(Inputs!$B$14-Inputs!$B$14))*(1+Inputs!$B$7/100))*(F1799/100)</f>
        <v/>
      </c>
      <c r="K1799">
        <f>J1799*(1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7="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1799)</f>
        <v/>
      </c>
      <c r="L1799">
        <f>K1799*(MIN(Inputs!$B$22+(F1810-Calc!F18),(Inputs!$B$23+(IF(ArtifactsInput!$M$15,CHOOSE(ArtifactsInput!$N$15+1,25,30,35,40,45,50)/100*(Inputs!$B$11-Inputs!$B$11),0))))/100+(Inputs!$B$23+(IF(ArtifactsInput!$M$15,CHOOSE(ArtifactsInput!$N$15+1,25,30,35,40,45,50)/100*(Inputs!$B$11-Inputs!$B$11),0)))/100)/2</f>
        <v/>
      </c>
      <c r="M1799">
        <f>L1799*(1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799">
        <f>L1799*(1-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1799*(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9">
        <f>(1-Summary!$B$11)*S1799+Summary!$B$11*U1799</f>
        <v/>
      </c>
      <c r="P1799">
        <f>IF(B1829=0,0,O1799/B1829)</f>
        <v/>
      </c>
      <c r="Q1799">
        <f>IFERROR(1/(IF(Inputs!$B$38="pvp",15,MAX(0.1,Skills!D7-IF(TRUE=TRUE,Inputs!$B$32,0)))*(1-IF(AND(ArtifactsInput!$M$27,Inputs!$B$4="Chapter Hunt"),CHOOSE(ArtifactsInput!$N$27+1,20,24,28,32,36,40),0)/100)),0)</f>
        <v/>
      </c>
      <c r="R1799">
        <f>IF(AND(Inputs!$B$38&lt;&gt;"pvp",Inputs!$B$43&gt;0),IF(MAX(0,Inputs!$B$43-B1826)&lt;=0,0,(INT(MAX(0,Inputs!$B$43-B1826)/(IF(Inputs!$B$38="pvp",15,MAX(0.1,Skills!D7-IF(TRUE=TRUE,Inputs!$B$32,0)))*(1-IF(AND(ArtifactsInput!$M$27,Inputs!$B$4="Chapter Hunt"),CHOOSE(ArtifactsInput!$N$27+1,20,24,28,32,36,40),0)/100)))+1)),0)</f>
        <v/>
      </c>
      <c r="S1799">
        <f>IF(C1799,(H1799*N1799*IF(AND(Inputs!$B$38&lt;&gt;"pvp",Inputs!$B$43&gt;0),((Skills!F7*((R1799-1)*IF(Skills!G7&gt;0,Skills!H7/Skills!G7,1)+IF(Skills!G7&gt;0,MIN(Skills!H7,MAX(0,MAX(0,Inputs!$B$43-B1826)-((R1799-1)*(IF(Inputs!$B$38="pvp",15,MAX(0.1,Skills!D7-IF(TRUE=TRUE,Inputs!$B$32,0)))*(1-IF(AND(ArtifactsInput!$M$27,Inputs!$B$4="Chapter Hunt"),CHOOSE(ArtifactsInput!$N$27+1,20,24,28,32,36,40),0)/100)))))/Skills!G7,1)))/Inputs!$B$43),G1799*Q1799))*IF(Inputs!$B$38="pvp",1,1+(Inputs!$B$20+Skills!O7+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1799*(1-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1799*(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1799*(1-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1799*(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99">
        <f>IF(C1799,(H1799*N1799*IF(AND(Inputs!$B$38&lt;&gt;"pvp",Inputs!$B$43&gt;0),((Skills!F7*((R1799-1)*IF(Skills!G7&gt;0,Skills!H7/Skills!G7,1)+IF(Skills!G7&gt;0,MIN(Skills!H7,MAX(0,MAX(0,Inputs!$B$43-B1826)-((R1799-1)*(IF(Inputs!$B$38="pvp",15,MAX(0.1,Skills!D7-IF(TRUE=TRUE,Inputs!$B$32,0)))*(1-IF(AND(ArtifactsInput!$M$27,Inputs!$B$4="Chapter Hunt"),CHOOSE(ArtifactsInput!$N$27+1,20,24,28,32,36,40),0)/100)))))/Skills!G7,1)))/Inputs!$B$43),G1799*Q1799))*IF(Inputs!$B$38="pvp",1,(1+(Inputs!$B$21+Skills!P7+B1820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0">
      <c r="A1800">
        <f>Skills!A8</f>
        <v/>
      </c>
      <c r="B1800">
        <f>Skills!B8</f>
        <v/>
      </c>
      <c r="C1800">
        <f>Inputs!$B$3&gt;=103</f>
        <v/>
      </c>
      <c r="D1800">
        <f>IF(Skills!C8=1,60+Inputs!$B$25+Inputs!$B$29,IF(Skills!C8=2,90+Inputs!$B$26+Inputs!$B$29,IF(Skills!C8=3,120+Inputs!$B$27+Inputs!$B$29,MAX(0,(Inputs!$B$3-100)*3)+Inputs!$B$28+Inputs!$B$29)))</f>
        <v/>
      </c>
      <c r="E1800">
        <f>INDEX(FactorTable!$B$2:$Y$301, MATCH(ROUND(MIN(300,MAX(1,D1800)),0), FactorTable!$A$2:$A$301,0), Skills!L8+1)</f>
        <v/>
      </c>
      <c r="F1800">
        <f>IF(Skills!M8=TRUE,(Skills!K8/10)*(E1800/1000),Skills!K8/10)+Skills!N8</f>
        <v/>
      </c>
      <c r="G1800">
        <f>Calc!G8</f>
        <v/>
      </c>
      <c r="H1800">
        <f>Calc!H8</f>
        <v/>
      </c>
      <c r="I1800">
        <f>IF(Skills!T8&lt;&gt;"",1+(Skills!T8/10)*(Z1795/1000)/100,1)</f>
        <v/>
      </c>
      <c r="J1800">
        <f>((Inputs!$B$6*(1+Inputs!$B$7/100))+(((Inputs!$B$12*(1+Inputs!$B$13/100))-(Inputs!$B$12*(1+Inputs!$B$13/100)))+0.25*(Inputs!$B$14-Inputs!$B$14))*(1+Inputs!$B$7/100))*(F1800/100)</f>
        <v/>
      </c>
      <c r="K1800">
        <f>J1800*(1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8="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1800)</f>
        <v/>
      </c>
      <c r="L1800">
        <f>K1800*(MIN(Inputs!$B$22+(F1810-Calc!F18),(Inputs!$B$23+(IF(ArtifactsInput!$M$15,CHOOSE(ArtifactsInput!$N$15+1,25,30,35,40,45,50)/100*(Inputs!$B$11-Inputs!$B$11),0))))/100+(Inputs!$B$23+(IF(ArtifactsInput!$M$15,CHOOSE(ArtifactsInput!$N$15+1,25,30,35,40,45,50)/100*(Inputs!$B$11-Inputs!$B$11),0)))/100)/2</f>
        <v/>
      </c>
      <c r="M1800">
        <f>L1800*(1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00">
        <f>L1800*(1-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1800*(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0">
        <f>(1-Summary!$B$11)*S1800+Summary!$B$11*U1800</f>
        <v/>
      </c>
      <c r="P1800">
        <f>IF(B1829=0,0,O1800/B1829)</f>
        <v/>
      </c>
      <c r="Q1800">
        <f>IFERROR(1/(IF(Inputs!$B$38="pvp",15,MAX(0.1,Skills!D8-IF(TRUE=TRUE,Inputs!$B$32,0)))*(1-IF(AND(ArtifactsInput!$M$27,Inputs!$B$4="Chapter Hunt"),CHOOSE(ArtifactsInput!$N$27+1,20,24,28,32,36,40),0)/100)),0)</f>
        <v/>
      </c>
      <c r="R1800">
        <f>IF(AND(Inputs!$B$38&lt;&gt;"pvp",Inputs!$B$43&gt;0),IF(MAX(0,Inputs!$B$43-B1826)&lt;=0,0,(INT(MAX(0,Inputs!$B$43-B1826)/(IF(Inputs!$B$38="pvp",15,MAX(0.1,Skills!D8-IF(TRUE=TRUE,Inputs!$B$32,0)))*(1-IF(AND(ArtifactsInput!$M$27,Inputs!$B$4="Chapter Hunt"),CHOOSE(ArtifactsInput!$N$27+1,20,24,28,32,36,40),0)/100)))+1)),0)</f>
        <v/>
      </c>
      <c r="S1800">
        <f>IF(C1800,(H1800*N1800*IF(AND(Inputs!$B$38&lt;&gt;"pvp",Inputs!$B$43&gt;0),((Skills!F8*((R1800-1)*IF(Skills!G8&gt;0,Skills!H8/Skills!G8,1)+IF(Skills!G8&gt;0,MIN(Skills!H8,MAX(0,MAX(0,Inputs!$B$43-B1826)-((R1800-1)*(IF(Inputs!$B$38="pvp",15,MAX(0.1,Skills!D8-IF(TRUE=TRUE,Inputs!$B$32,0)))*(1-IF(AND(ArtifactsInput!$M$27,Inputs!$B$4="Chapter Hunt"),CHOOSE(ArtifactsInput!$N$27+1,20,24,28,32,36,40),0)/100)))))/Skills!G8,1)))/Inputs!$B$43),G1800*Q1800))*IF(Inputs!$B$38="pvp",1,1+(Inputs!$B$20+Skills!O8+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1800*(1-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1800*(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1800*(1-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1800*(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0">
        <f>IF(C1800,(H1800*N1800*IF(AND(Inputs!$B$38&lt;&gt;"pvp",Inputs!$B$43&gt;0),((Skills!F8*((R1800-1)*IF(Skills!G8&gt;0,Skills!H8/Skills!G8,1)+IF(Skills!G8&gt;0,MIN(Skills!H8,MAX(0,MAX(0,Inputs!$B$43-B1826)-((R1800-1)*(IF(Inputs!$B$38="pvp",15,MAX(0.1,Skills!D8-IF(TRUE=TRUE,Inputs!$B$32,0)))*(1-IF(AND(ArtifactsInput!$M$27,Inputs!$B$4="Chapter Hunt"),CHOOSE(ArtifactsInput!$N$27+1,20,24,28,32,36,40),0)/100)))))/Skills!G8,1)))/Inputs!$B$43),G1800*Q1800))*IF(Inputs!$B$38="pvp",1,(1+(Inputs!$B$21+Skills!P8+B1820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1">
      <c r="A1801">
        <f>Skills!A9</f>
        <v/>
      </c>
      <c r="B1801">
        <f>Skills!B9</f>
        <v/>
      </c>
      <c r="C1801">
        <f>Inputs!$B$3&gt;=105</f>
        <v/>
      </c>
      <c r="D1801">
        <f>IF(Skills!C9=1,60+Inputs!$B$25+Inputs!$B$29,IF(Skills!C9=2,90+Inputs!$B$26+Inputs!$B$29,IF(Skills!C9=3,120+Inputs!$B$27+Inputs!$B$29,MAX(0,(Inputs!$B$3-100)*3)+Inputs!$B$28+Inputs!$B$29)))</f>
        <v/>
      </c>
      <c r="E1801">
        <f>INDEX(FactorTable!$B$2:$Y$301, MATCH(ROUND(MIN(300,MAX(1,D1801)),0), FactorTable!$A$2:$A$301,0), Skills!L9+1)</f>
        <v/>
      </c>
      <c r="F1801">
        <f>IF(Skills!M9=TRUE,(Skills!K9/10)*(E1801/1000),Skills!K9/10)+Skills!N9</f>
        <v/>
      </c>
      <c r="G1801">
        <f>Calc!G9</f>
        <v/>
      </c>
      <c r="H1801">
        <f>Calc!H9</f>
        <v/>
      </c>
      <c r="I1801">
        <f>IF(Skills!T9&lt;&gt;"",1+(Skills!T9/10)*(Z1795/1000)/100,1)</f>
        <v/>
      </c>
      <c r="J1801">
        <f>((Inputs!$B$6*(1+Inputs!$B$7/100))+(((Inputs!$B$12*(1+Inputs!$B$13/100))-(Inputs!$B$12*(1+Inputs!$B$13/100)))+0.25*(Inputs!$B$14-Inputs!$B$14))*(1+Inputs!$B$7/100))*(F1801/100)</f>
        <v/>
      </c>
      <c r="K1801">
        <f>J1801*(1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9="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1801)</f>
        <v/>
      </c>
      <c r="L1801">
        <f>K1801*(MIN(Inputs!$B$22+(F1810-Calc!F18),(Inputs!$B$23+(IF(ArtifactsInput!$M$15,CHOOSE(ArtifactsInput!$N$15+1,25,30,35,40,45,50)/100*(Inputs!$B$11-Inputs!$B$11),0))))/100+(Inputs!$B$23+(IF(ArtifactsInput!$M$15,CHOOSE(ArtifactsInput!$N$15+1,25,30,35,40,45,50)/100*(Inputs!$B$11-Inputs!$B$11),0)))/100)/2</f>
        <v/>
      </c>
      <c r="M1801">
        <f>L1801*(1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01">
        <f>L1801*(1-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1">
        <f>(1-Summary!$B$11)*S1801+Summary!$B$11*U1801</f>
        <v/>
      </c>
      <c r="P1801">
        <f>IF(B1829=0,0,O1801/B1829)</f>
        <v/>
      </c>
      <c r="Q1801">
        <f>IFERROR(1/(IF(Inputs!$B$38="pvp",15,MAX(0.1,Skills!D9-IF(TRUE=TRUE,Inputs!$B$32,0)))*(1-IF(AND(ArtifactsInput!$M$27,Inputs!$B$4="Chapter Hunt"),CHOOSE(ArtifactsInput!$N$27+1,20,24,28,32,36,40),0)/100)),0)</f>
        <v/>
      </c>
      <c r="R1801">
        <f>IF(AND(Inputs!$B$38&lt;&gt;"pvp",Inputs!$B$43&gt;0),IF(MAX(0,Inputs!$B$43-B1826)&lt;=0,0,(INT(MAX(0,Inputs!$B$43-B1826)/(IF(Inputs!$B$38="pvp",15,MAX(0.1,Skills!D9-IF(TRUE=TRUE,Inputs!$B$32,0)))*(1-IF(AND(ArtifactsInput!$M$27,Inputs!$B$4="Chapter Hunt"),CHOOSE(ArtifactsInput!$N$27+1,20,24,28,32,36,40),0)/100)))+1)),0)</f>
        <v/>
      </c>
      <c r="S1801">
        <f>IF(C1801,(H1801*N1801*IF(AND(Inputs!$B$38&lt;&gt;"pvp",Inputs!$B$43&gt;0),((Skills!F9*((R1801-1)*IF(Skills!G9&gt;0,Skills!H9/Skills!G9,1)+IF(Skills!G9&gt;0,MIN(Skills!H9,MAX(0,MAX(0,Inputs!$B$43-B1826)-((R1801-1)*(IF(Inputs!$B$38="pvp",15,MAX(0.1,Skills!D9-IF(TRUE=TRUE,Inputs!$B$32,0)))*(1-IF(AND(ArtifactsInput!$M$27,Inputs!$B$4="Chapter Hunt"),CHOOSE(ArtifactsInput!$N$27+1,20,24,28,32,36,40),0)/100)))))/Skills!G9,1)))/Inputs!$B$43),G1801*Q1801))*IF(Inputs!$B$38="pvp",1,1+(Inputs!$B$20+Skills!O9+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1801*(1-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1801*(1-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1">
        <f>IF(C1801,(H1801*N1801*IF(AND(Inputs!$B$38&lt;&gt;"pvp",Inputs!$B$43&gt;0),((Skills!F9*((R1801-1)*IF(Skills!G9&gt;0,Skills!H9/Skills!G9,1)+IF(Skills!G9&gt;0,MIN(Skills!H9,MAX(0,MAX(0,Inputs!$B$43-B1826)-((R1801-1)*(IF(Inputs!$B$38="pvp",15,MAX(0.1,Skills!D9-IF(TRUE=TRUE,Inputs!$B$32,0)))*(1-IF(AND(ArtifactsInput!$M$27,Inputs!$B$4="Chapter Hunt"),CHOOSE(ArtifactsInput!$N$27+1,20,24,28,32,36,40),0)/100)))))/Skills!G9,1)))/Inputs!$B$43),G1801*Q1801))*IF(Inputs!$B$38="pvp",1,(1+(Inputs!$B$21+Skills!P9+B1820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2">
      <c r="A1802">
        <f>Skills!A10</f>
        <v/>
      </c>
      <c r="B1802">
        <f>Skills!B10</f>
        <v/>
      </c>
      <c r="C1802">
        <f>Inputs!$B$3&gt;=113</f>
        <v/>
      </c>
      <c r="D1802">
        <f>IF(Skills!C10=1,60+Inputs!$B$25+Inputs!$B$29,IF(Skills!C10=2,90+Inputs!$B$26+Inputs!$B$29,IF(Skills!C10=3,120+Inputs!$B$27+Inputs!$B$29,MAX(0,(Inputs!$B$3-100)*3)+Inputs!$B$28+Inputs!$B$29)))</f>
        <v/>
      </c>
      <c r="E1802">
        <f>INDEX(FactorTable!$B$2:$Y$301, MATCH(ROUND(MIN(300,MAX(1,D1802)),0), FactorTable!$A$2:$A$301,0), Skills!L10+1)</f>
        <v/>
      </c>
      <c r="F1802">
        <f>IF(Skills!M10=TRUE,(Skills!K10/10)*(E1802/1000),Skills!K10/10)+Skills!N10</f>
        <v/>
      </c>
      <c r="G1802">
        <f>Calc!G10</f>
        <v/>
      </c>
      <c r="H1802">
        <f>Calc!H10</f>
        <v/>
      </c>
      <c r="I1802">
        <f>IF(Skills!T10&lt;&gt;"",1+(Skills!T10/10)*(Z1795/1000)/100,1)</f>
        <v/>
      </c>
      <c r="J1802">
        <f>((Inputs!$B$6*(1+Inputs!$B$7/100))+(((Inputs!$B$12*(1+Inputs!$B$13/100))-(Inputs!$B$12*(1+Inputs!$B$13/100)))+0.25*(Inputs!$B$14-Inputs!$B$14))*(1+Inputs!$B$7/100))*(F1802/100)</f>
        <v/>
      </c>
      <c r="K1802">
        <f>J1802*(1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10="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1802)</f>
        <v/>
      </c>
      <c r="L1802">
        <f>K1802*(MIN(Inputs!$B$22+(F1810-Calc!F18),(Inputs!$B$23+(IF(ArtifactsInput!$M$15,CHOOSE(ArtifactsInput!$N$15+1,25,30,35,40,45,50)/100*(Inputs!$B$11-Inputs!$B$11),0))))/100+(Inputs!$B$23+(IF(ArtifactsInput!$M$15,CHOOSE(ArtifactsInput!$N$15+1,25,30,35,40,45,50)/100*(Inputs!$B$11-Inputs!$B$11),0)))/100)/2</f>
        <v/>
      </c>
      <c r="M1802">
        <f>L1802*(1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02">
        <f>L1802*(1-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1802*(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2">
        <f>(1-Summary!$B$11)*S1802+Summary!$B$11*U1802</f>
        <v/>
      </c>
      <c r="P1802">
        <f>IF(B1829=0,0,O1802/B1829)</f>
        <v/>
      </c>
      <c r="Q1802">
        <f>IFERROR(1/(IF(Inputs!$B$38="pvp",15,MAX(0.1,Skills!D10-IF(TRUE=TRUE,Inputs!$B$32,0)))*(1-IF(AND(ArtifactsInput!$M$27,Inputs!$B$4="Chapter Hunt"),CHOOSE(ArtifactsInput!$N$27+1,20,24,28,32,36,40),0)/100)),0)</f>
        <v/>
      </c>
      <c r="R1802" t="n">
        <v>0</v>
      </c>
      <c r="S1802">
        <f>IF(C1802,((H1802*B1830)/(1+Skills!G10*H1802*B1830)*N1802)*IF(Inputs!$B$38="pvp",1,1+(Inputs!$B$20+Skills!O10+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1802*(1-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1802*(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1802*(1-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1802*(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2">
        <f>IF(C1802,((H1802*B1830)/(1+Skills!G10*H1802*B1830)*N1802)*IF(Inputs!$B$38="pvp",1,(1+(Inputs!$B$21+Skills!P10+B1820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3">
      <c r="A1803">
        <f>Skills!A11</f>
        <v/>
      </c>
      <c r="B1803">
        <f>Skills!B11</f>
        <v/>
      </c>
      <c r="C1803">
        <f>Inputs!$B$3&gt;=107</f>
        <v/>
      </c>
      <c r="D1803">
        <f>IF(Skills!C11=1,60+Inputs!$B$25+Inputs!$B$29,IF(Skills!C11=2,90+Inputs!$B$26+Inputs!$B$29,IF(Skills!C11=3,120+Inputs!$B$27+Inputs!$B$29,MAX(0,(Inputs!$B$3-100)*3)+Inputs!$B$28+Inputs!$B$29)))</f>
        <v/>
      </c>
      <c r="E1803">
        <f>INDEX(FactorTable!$B$2:$Y$301, MATCH(ROUND(MIN(300,MAX(1,D1803)),0), FactorTable!$A$2:$A$301,0), Skills!L11+1)</f>
        <v/>
      </c>
      <c r="F1803">
        <f>IF(Skills!M11=TRUE,(Skills!K11/10)*(E1803/1000),Skills!K11/10)+Skills!N11</f>
        <v/>
      </c>
      <c r="G1803">
        <f>Calc!G11</f>
        <v/>
      </c>
      <c r="H1803">
        <f>Calc!H11</f>
        <v/>
      </c>
      <c r="I1803">
        <f>IF(Skills!T11&lt;&gt;"",1+(Skills!T11/10)*(Z1795/1000)/100,1)</f>
        <v/>
      </c>
      <c r="J1803">
        <f>((Inputs!$B$6*(1+Inputs!$B$7/100))+(((Inputs!$B$12*(1+Inputs!$B$13/100))-(Inputs!$B$12*(1+Inputs!$B$13/100)))+0.25*(Inputs!$B$14-Inputs!$B$14))*(1+Inputs!$B$7/100))*(F1803/100)</f>
        <v/>
      </c>
      <c r="K1803">
        <f>J1803*(1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11="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1803)</f>
        <v/>
      </c>
      <c r="L1803">
        <f>K1803*(MIN(Inputs!$B$22+(F1810-Calc!F18),(Inputs!$B$23+(IF(ArtifactsInput!$M$15,CHOOSE(ArtifactsInput!$N$15+1,25,30,35,40,45,50)/100*(Inputs!$B$11-Inputs!$B$11),0))))/100+(Inputs!$B$23+(IF(ArtifactsInput!$M$15,CHOOSE(ArtifactsInput!$N$15+1,25,30,35,40,45,50)/100*(Inputs!$B$11-Inputs!$B$11),0)))/100)/2</f>
        <v/>
      </c>
      <c r="M1803">
        <f>L1803*(1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03">
        <f>L1803*(1-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1803*(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3">
        <f>(1-Summary!$B$11)*S1803+Summary!$B$11*U1803</f>
        <v/>
      </c>
      <c r="P1803">
        <f>IF(B1829=0,0,O1803/B1829)</f>
        <v/>
      </c>
      <c r="Q1803">
        <f>IFERROR(1/(IF(Inputs!$B$38="pvp",15,MAX(0.1,Skills!D11-IF(TRUE=TRUE,Inputs!$B$32,0)))*(1-IF(AND(ArtifactsInput!$M$27,Inputs!$B$4="Chapter Hunt"),CHOOSE(ArtifactsInput!$N$27+1,20,24,28,32,36,40),0)/100)),0)</f>
        <v/>
      </c>
      <c r="R1803">
        <f>IF(AND(Inputs!$B$38&lt;&gt;"pvp",Inputs!$B$43&gt;0),IF(MAX(0,Inputs!$B$43-B1826)&lt;=0,0,(INT(MAX(0,Inputs!$B$43-B1826)/(IF(Inputs!$B$38="pvp",15,MAX(0.1,Skills!D11-IF(TRUE=TRUE,Inputs!$B$32,0)))*(1-IF(AND(ArtifactsInput!$M$27,Inputs!$B$4="Chapter Hunt"),CHOOSE(ArtifactsInput!$N$27+1,20,24,28,32,36,40),0)/100)))+1)),0)</f>
        <v/>
      </c>
      <c r="S1803">
        <f>IF(C1803,H1803*N1803*IF(AND(Inputs!$B$38&lt;&gt;"pvp",Inputs!$B$43&gt;0),((Skills!F11*((R1803-1)*IF(Skills!G11&gt;0,Skills!H11/Skills!G11,1)+IF(Skills!G11&gt;0,MIN(Skills!H11,MAX(0,MAX(0,Inputs!$B$43-B1826)-((R1803-1)*(IF(Inputs!$B$38="pvp",15,MAX(0.1,Skills!D11-IF(TRUE=TRUE,Inputs!$B$32,0)))*(1-IF(AND(ArtifactsInput!$M$27,Inputs!$B$4="Chapter Hunt"),CHOOSE(ArtifactsInput!$N$27+1,20,24,28,32,36,40),0)/100)))))/Skills!G11,1)))/Inputs!$B$43),G1803*Q1803)*0.5*IF(Inputs!$B$38="pvp",1,1+(Inputs!$B$20+Skills!O11+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1803*(1-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1803*(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1803*(1-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1803*(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3">
        <f>IF(C1803,H1803*N1803*IF(AND(Inputs!$B$38&lt;&gt;"pvp",Inputs!$B$43&gt;0),((Skills!F11*((R1803-1)*IF(Skills!G11&gt;0,Skills!H11/Skills!G11,1)+IF(Skills!G11&gt;0,MIN(Skills!H11,MAX(0,MAX(0,Inputs!$B$43-B1826)-((R1803-1)*(IF(Inputs!$B$38="pvp",15,MAX(0.1,Skills!D11-IF(TRUE=TRUE,Inputs!$B$32,0)))*(1-IF(AND(ArtifactsInput!$M$27,Inputs!$B$4="Chapter Hunt"),CHOOSE(ArtifactsInput!$N$27+1,20,24,28,32,36,40),0)/100)))))/Skills!G11,1)))/Inputs!$B$43),G1803*Q1803)*1*IF(Inputs!$B$38="pvp",1,(1+(Inputs!$B$21+Skills!P11+B1820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4">
      <c r="A1804">
        <f>Skills!A12</f>
        <v/>
      </c>
      <c r="B1804">
        <f>Skills!B12</f>
        <v/>
      </c>
      <c r="C1804">
        <f>Inputs!$B$3&gt;=115</f>
        <v/>
      </c>
      <c r="D1804">
        <f>IF(Skills!C12=1,60+Inputs!$B$25+Inputs!$B$29,IF(Skills!C12=2,90+Inputs!$B$26+Inputs!$B$29,IF(Skills!C12=3,120+Inputs!$B$27+Inputs!$B$29,MAX(0,(Inputs!$B$3-100)*3)+Inputs!$B$28+Inputs!$B$29)))</f>
        <v/>
      </c>
      <c r="E1804">
        <f>INDEX(FactorTable!$B$2:$Y$301, MATCH(ROUND(MIN(300,MAX(1,D1804)),0), FactorTable!$A$2:$A$301,0), Skills!L12+1)</f>
        <v/>
      </c>
      <c r="F1804">
        <f>IF(Skills!M12=TRUE,(Skills!K12/10)*(E1804/1000),Skills!K12/10)+Skills!N12</f>
        <v/>
      </c>
      <c r="G1804">
        <f>Calc!G12</f>
        <v/>
      </c>
      <c r="H1804">
        <f>Calc!H12</f>
        <v/>
      </c>
      <c r="I1804">
        <f>IF(Skills!T12&lt;&gt;"",1+(Skills!T12/10)*(Z1795/1000)/100,1)</f>
        <v/>
      </c>
      <c r="J1804">
        <f>((Inputs!$B$6*(1+Inputs!$B$7/100))+(((Inputs!$B$12*(1+Inputs!$B$13/100))-(Inputs!$B$12*(1+Inputs!$B$13/100)))+0.25*(Inputs!$B$14-Inputs!$B$14))*(1+Inputs!$B$7/100))*(F1804/100)</f>
        <v/>
      </c>
      <c r="K1804">
        <f>J1804*(1+((Inputs!$B$12*(1+Inputs!$B$13/100))*0.01+Inputs!$B$14*0.0025)/100)*(1+(Inputs!$B$15+B1821)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1807=TRUE,F1807,0)/100)*(1+IF(C1815=TRUE,F1815,0)/100)^5*(1+(IF(Skills!A12="CHAIN_LIGHTNING",Inputs!$B$17+((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MIN(100,((Inputs!$B$9+(IF(ArtifactsInput!$M$24,FALSE,TRUE)-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gt;=100),CHOOSE(ArtifactsInput!$N$42+1,40,48,56,64,72,80),0))))/100)*(B1819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1804)</f>
        <v/>
      </c>
      <c r="L1804">
        <f>K1804*(MIN(Inputs!$B$22+(F1810-Calc!F18),(Inputs!$B$23+(IF(ArtifactsInput!$M$15,CHOOSE(ArtifactsInput!$N$15+1,25,30,35,40,45,50)/100*(Inputs!$B$11-Inputs!$B$11),0))))/100+(Inputs!$B$23+(IF(ArtifactsInput!$M$15,CHOOSE(ArtifactsInput!$N$15+1,25,30,35,40,45,50)/100*(Inputs!$B$11-Inputs!$B$11),0)))/100)/2</f>
        <v/>
      </c>
      <c r="M1804">
        <f>L1804*(1+(Inputs!$B$10+(F1813-Calc!F21)+((IF(IF(ArtifactsInput!$M$24,FALSE,TRUE),1,-1)*CHOOSE(ArtifactsInput!$N$24+1,30,36,42,48,54,60)/100*IF(IF(ArtifactsInput!$M$24,FALSE,TRUE),(Inputs!$B$9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Artifacts!$B$5+Artifacts!$B$29)))+IF(ArtifactsInput!$M$10,CHOOSE(ArtifactsInput!$N$10+1,20,24,28,32,36,40)*(IF(Inputs!$B$38="pvp",MIN(15,15)/15,IF(AND(Inputs!$B$38&lt;&gt;"pvp",Inputs!$B$43&gt;0),MIN(15,Inputs!$B$43)/(Inputs!$B$43),0))),0)+IF(ArtifactsInput!$M$31,1.5*CHOOSE(ArtifactsInput!$N$31+1,20,24,28,32,36,40),0)))/100)</f>
        <v/>
      </c>
      <c r="N1804">
        <f>L1804*(1-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1804*(MIN((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04">
        <f>(1-Summary!$B$11)*S1804+Summary!$B$11*U1804</f>
        <v/>
      </c>
      <c r="P1804">
        <f>IF(B1829=0,0,O1804/B1829)</f>
        <v/>
      </c>
      <c r="Q1804">
        <f>IFERROR(1/(IF(Inputs!$B$38="pvp",15,MAX(0.1,Skills!D12-IF(TRUE=TRUE,Inputs!$B$32,0)))*(1-IF(AND(ArtifactsInput!$M$27,Inputs!$B$4="Chapter Hunt"),CHOOSE(ArtifactsInput!$N$27+1,20,24,28,32,36,40),0)/100)),0)</f>
        <v/>
      </c>
      <c r="R1804">
        <f>IF(AND(Inputs!$B$38&lt;&gt;"pvp",Inputs!$B$43&gt;0),IF(MAX(0,Inputs!$B$43-B1826)&lt;=0,0,(INT(MAX(0,Inputs!$B$43-B1826)/(IF(Inputs!$B$38="pvp",15,MAX(0.1,Skills!D12-IF(TRUE=TRUE,Inputs!$B$32,0)))*(1-IF(AND(ArtifactsInput!$M$27,Inputs!$B$4="Chapter Hunt"),CHOOSE(ArtifactsInput!$N$27+1,20,24,28,32,36,40),0)/100)))+1)),0)</f>
        <v/>
      </c>
      <c r="S1804">
        <f>IF(C1804,(H1804*N1804*IF(AND(Inputs!$B$38&lt;&gt;"pvp",Inputs!$B$43&gt;0),((Skills!F12*((R1804-1)*IF(Skills!G12&gt;0,Skills!H12/Skills!G12,1)+IF(Skills!G12&gt;0,MIN(Skills!H12,MAX(0,MAX(0,Inputs!$B$43-B1826)-((R1804-1)*(IF(Inputs!$B$38="pvp",15,MAX(0.1,Skills!D12-IF(TRUE=TRUE,Inputs!$B$32,0)))*(1-IF(AND(ArtifactsInput!$M$27,Inputs!$B$4="Chapter Hunt"),CHOOSE(ArtifactsInput!$N$27+1,20,24,28,32,36,40),0)/100)))))/Skills!G12,1)))/Inputs!$B$43),G1804*Q1804))*IF(Inputs!$B$38="pvp",1,1+(Inputs!$B$20+Skills!O12+B1820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1804*(1-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1804*(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1804*(1-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1804*(MIN(100,(Inputs!$B$9+((F1812-Calc!F20)+(F1811-Calc!F19))+(IF(ArtifactsInput!$M$24,FALSE,TRUE)-ArtifactsInput!$M$24)*CHOOSE(ArtifactsInput!$N$24+1,10,12,14,16,18,20)+(IF(AND(Inputs!$B$38&lt;&gt;"pvp",Inputs!$B$43=0),1,IF(IF(Inputs!$B$38="pvp",15,Inputs!$B$43)-(B1826)&lt;=0,1,MAX(0,IF(Inputs!$B$38="pvp",15,Inputs!$B$43)-MAX(5,B1826))/(IF(Inputs!$B$38="pvp",15,Inputs!$B$43)-(B1826))))*IF(AND(ArtifactsInput!$M$42,((Inputs!$B$9+(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04">
        <f>IF(C1804,(H1804*N1804*IF(AND(Inputs!$B$38&lt;&gt;"pvp",Inputs!$B$43&gt;0),((Skills!F12*((R1804-1)*IF(Skills!G12&gt;0,Skills!H12/Skills!G12,1)+IF(Skills!G12&gt;0,MIN(Skills!H12,MAX(0,MAX(0,Inputs!$B$43-B1826)-((R1804-1)*(IF(Inputs!$B$38="pvp",15,MAX(0.1,Skills!D12-IF(TRUE=TRUE,Inputs!$B$32,0)))*(1-IF(AND(ArtifactsInput!$M$27,Inputs!$B$4="Chapter Hunt"),CHOOSE(ArtifactsInput!$N$27+1,20,24,28,32,36,40),0)/100)))))/Skills!G12,1)))/Inputs!$B$43),G1804*Q1804))*IF(Inputs!$B$38="pvp",1,(1+(Inputs!$B$21+Skills!P12+B1820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05">
      <c r="A1805">
        <f>Skills!A13</f>
        <v/>
      </c>
      <c r="B1805">
        <f>Skills!B13</f>
        <v/>
      </c>
      <c r="C1805">
        <f>Inputs!$B$3&gt;=49</f>
        <v/>
      </c>
      <c r="D1805">
        <f>IF(Skills!C13=1,60+Inputs!$B$25+Inputs!$B$29,IF(Skills!C13=2,90+Inputs!$B$26+Inputs!$B$29,IF(Skills!C13=3,120+Inputs!$B$27+Inputs!$B$29,MAX(0,(Inputs!$B$3-100)*3)+Inputs!$B$28+Inputs!$B$29)))</f>
        <v/>
      </c>
      <c r="E1805">
        <f>INDEX(FactorTable!$B$2:$Y$301, MATCH(ROUND(MIN(300,MAX(1,D1805)),0), FactorTable!$A$2:$A$301,0), Skills!L13+1)</f>
        <v/>
      </c>
      <c r="F1805">
        <f>IF(Skills!M13=TRUE,(Skills!K13/10)*(E1805/1000),Skills!K13/10)+Skills!N13</f>
        <v/>
      </c>
      <c r="G1805">
        <f>Calc!G13</f>
        <v/>
      </c>
      <c r="H1805">
        <f>Calc!H13</f>
        <v/>
      </c>
      <c r="I1805">
        <f>IF(Skills!T13&lt;&gt;"",1+(Skills!T13/10)*(Z1795/1000)/100,1)</f>
        <v/>
      </c>
      <c r="J1805" t="inlineStr"/>
      <c r="K1805" t="inlineStr"/>
      <c r="L1805" t="inlineStr"/>
      <c r="M1805" t="inlineStr"/>
      <c r="N1805" t="inlineStr"/>
      <c r="O1805">
        <f>(1-Summary!$B$11)*S1805+Summary!$B$11*U1805</f>
        <v/>
      </c>
      <c r="P1805">
        <f>IF(B1829=0,0,O1805/B1829)</f>
        <v/>
      </c>
      <c r="Q1805">
        <f>IFERROR(1/(IF(Inputs!$B$38="pvp",15,MAX(0.1,Skills!D13-IF(TRUE=TRUE,Inputs!$B$32,0)))*(1-IF(AND(ArtifactsInput!$M$27,Inputs!$B$4="Chapter Hunt"),CHOOSE(ArtifactsInput!$N$27+1,20,24,28,32,36,40),0)/100)),0)</f>
        <v/>
      </c>
      <c r="R1805" t="n">
        <v>0</v>
      </c>
      <c r="S1805" t="n">
        <v>0</v>
      </c>
      <c r="U1805" t="n">
        <v>0</v>
      </c>
    </row>
    <row r="1806">
      <c r="A1806">
        <f>Skills!A14</f>
        <v/>
      </c>
      <c r="B1806">
        <f>Skills!B14</f>
        <v/>
      </c>
      <c r="C1806">
        <f>Inputs!$B$3&gt;=72</f>
        <v/>
      </c>
      <c r="D1806">
        <f>IF(Skills!C14=1,60+Inputs!$B$25+Inputs!$B$29,IF(Skills!C14=2,90+Inputs!$B$26+Inputs!$B$29,IF(Skills!C14=3,120+Inputs!$B$27+Inputs!$B$29,MAX(0,(Inputs!$B$3-100)*3)+Inputs!$B$28+Inputs!$B$29)))</f>
        <v/>
      </c>
      <c r="E1806">
        <f>INDEX(FactorTable!$B$2:$Y$301, MATCH(ROUND(MIN(300,MAX(1,D1806)),0), FactorTable!$A$2:$A$301,0), Skills!L14+1)</f>
        <v/>
      </c>
      <c r="F1806">
        <f>IF(Skills!M14=TRUE,(Skills!K14/10)*(E1806/1000),Skills!K14/10)+Skills!N14</f>
        <v/>
      </c>
      <c r="G1806">
        <f>Calc!G14</f>
        <v/>
      </c>
      <c r="H1806">
        <f>Calc!H14</f>
        <v/>
      </c>
      <c r="I1806">
        <f>IF(Skills!T14&lt;&gt;"",1+(Skills!T14/10)*(Z1795/1000)/100,1)</f>
        <v/>
      </c>
      <c r="J1806" t="inlineStr"/>
      <c r="K1806" t="inlineStr"/>
      <c r="L1806" t="inlineStr"/>
      <c r="M1806" t="inlineStr"/>
      <c r="N1806" t="inlineStr"/>
      <c r="O1806">
        <f>(1-Summary!$B$11)*S1806+Summary!$B$11*U1806</f>
        <v/>
      </c>
      <c r="P1806">
        <f>IF(B1829=0,0,O1806/B1829)</f>
        <v/>
      </c>
      <c r="Q1806">
        <f>IFERROR(1/(IF(Inputs!$B$38="pvp",15,MAX(0.1,Skills!D14-IF(TRUE=TRUE,Inputs!$B$32,0)))*(1-IF(AND(ArtifactsInput!$M$27,Inputs!$B$4="Chapter Hunt"),CHOOSE(ArtifactsInput!$N$27+1,20,24,28,32,36,40),0)/100)),0)</f>
        <v/>
      </c>
      <c r="R1806" t="n">
        <v>0</v>
      </c>
      <c r="S1806" t="n">
        <v>0</v>
      </c>
      <c r="U1806" t="n">
        <v>0</v>
      </c>
    </row>
    <row r="1807">
      <c r="A1807">
        <f>Skills!A15</f>
        <v/>
      </c>
      <c r="B1807">
        <f>Skills!B15</f>
        <v/>
      </c>
      <c r="C1807">
        <f>Inputs!$B$3&gt;=75</f>
        <v/>
      </c>
      <c r="D1807">
        <f>IF(Skills!C15=1,60+Inputs!$B$25+Inputs!$B$29,IF(Skills!C15=2,90+Inputs!$B$26+Inputs!$B$29,IF(Skills!C15=3,120+Inputs!$B$27+Inputs!$B$29,MAX(0,(Inputs!$B$3-100)*3)+Inputs!$B$28+Inputs!$B$29)))</f>
        <v/>
      </c>
      <c r="E1807">
        <f>INDEX(FactorTable!$B$2:$Y$301, MATCH(ROUND(MIN(300,MAX(1,D1807)),0), FactorTable!$A$2:$A$301,0), Skills!L15+1)</f>
        <v/>
      </c>
      <c r="F1807">
        <f>IF(Skills!M15=TRUE,(Skills!K15/10)*(E1807/1000),Skills!K15/10)+Skills!N15</f>
        <v/>
      </c>
      <c r="G1807">
        <f>Calc!G15</f>
        <v/>
      </c>
      <c r="H1807">
        <f>Calc!H15</f>
        <v/>
      </c>
      <c r="I1807">
        <f>IF(Skills!T15&lt;&gt;"",1+(Skills!T15/10)*(Z1795/1000)/100,1)</f>
        <v/>
      </c>
      <c r="J1807" t="inlineStr"/>
      <c r="K1807" t="inlineStr"/>
      <c r="L1807" t="inlineStr"/>
      <c r="M1807" t="inlineStr"/>
      <c r="N1807" t="inlineStr"/>
      <c r="O1807">
        <f>(1-Summary!$B$11)*S1807+Summary!$B$11*U1807</f>
        <v/>
      </c>
      <c r="P1807">
        <f>IF(B1829=0,0,O1807/B1829)</f>
        <v/>
      </c>
      <c r="Q1807">
        <f>IFERROR(1/(IF(Inputs!$B$38="pvp",15,MAX(0.1,Skills!D15-IF(TRUE=TRUE,Inputs!$B$32,0)))*(1-IF(AND(ArtifactsInput!$M$27,Inputs!$B$4="Chapter Hunt"),CHOOSE(ArtifactsInput!$N$27+1,20,24,28,32,36,40),0)/100)),0)</f>
        <v/>
      </c>
      <c r="R1807" t="n">
        <v>0</v>
      </c>
      <c r="S1807" t="n">
        <v>0</v>
      </c>
      <c r="U1807" t="n">
        <v>0</v>
      </c>
    </row>
    <row r="1808">
      <c r="A1808">
        <f>Skills!A16</f>
        <v/>
      </c>
      <c r="B1808">
        <f>Skills!B16</f>
        <v/>
      </c>
      <c r="C1808">
        <f>Inputs!$B$3&gt;=110</f>
        <v/>
      </c>
      <c r="D1808">
        <f>IF(Skills!C16=1,60+Inputs!$B$25+Inputs!$B$29,IF(Skills!C16=2,90+Inputs!$B$26+Inputs!$B$29,IF(Skills!C16=3,120+Inputs!$B$27+Inputs!$B$29,MAX(0,(Inputs!$B$3-100)*3)+Inputs!$B$28+Inputs!$B$29)))</f>
        <v/>
      </c>
      <c r="E1808">
        <f>INDEX(FactorTable!$B$2:$Y$301, MATCH(ROUND(MIN(300,MAX(1,D1808)),0), FactorTable!$A$2:$A$301,0), Skills!L16+1)</f>
        <v/>
      </c>
      <c r="F1808">
        <f>(Skills!K16/10)*(E1808/1000)*64/45+Skills!N16</f>
        <v/>
      </c>
      <c r="G1808">
        <f>Calc!G16</f>
        <v/>
      </c>
      <c r="H1808">
        <f>Calc!H16</f>
        <v/>
      </c>
      <c r="I1808">
        <f>IF(Skills!T16&lt;&gt;"",1+(Skills!T16/10)*(Z1795/1000)/100,1)</f>
        <v/>
      </c>
      <c r="J1808" t="inlineStr"/>
      <c r="K1808" t="inlineStr"/>
      <c r="L1808" t="inlineStr"/>
      <c r="M1808" t="inlineStr"/>
      <c r="N1808" t="inlineStr"/>
      <c r="O1808">
        <f>(1-Summary!$B$11)*S1808+Summary!$B$11*U1808</f>
        <v/>
      </c>
      <c r="P1808">
        <f>IF(B1829=0,0,O1808/B1829)</f>
        <v/>
      </c>
      <c r="Q1808">
        <f>IFERROR(1/(IF(Inputs!$B$38="pvp",15,MAX(0.1,Skills!D16-IF(TRUE=TRUE,Inputs!$B$32,0)))*(1-IF(AND(ArtifactsInput!$M$27,Inputs!$B$4="Chapter Hunt"),CHOOSE(ArtifactsInput!$N$27+1,20,24,28,32,36,40),0)/100)),0)</f>
        <v/>
      </c>
      <c r="R1808">
        <f>IF(AND(Inputs!$B$38&lt;&gt;"pvp",Inputs!$B$43&gt;0),IF(Inputs!$B$43&lt;=0,0,(INT(Inputs!$B$43/(IF(Inputs!$B$38="pvp",15,MAX(0.1,Skills!D16-IF(TRUE=TRUE,Inputs!$B$32,0)))*(1-IF(AND(ArtifactsInput!$M$27,Inputs!$B$4="Chapter Hunt"),CHOOSE(ArtifactsInput!$N$27+1,20,24,28,32,36,40),0)/100)))+1)),0)</f>
        <v/>
      </c>
      <c r="S1808" t="n">
        <v>0</v>
      </c>
      <c r="U1808" t="n">
        <v>0</v>
      </c>
    </row>
    <row r="1809">
      <c r="A1809">
        <f>Skills!A17</f>
        <v/>
      </c>
      <c r="B1809">
        <f>Skills!B17</f>
        <v/>
      </c>
      <c r="C1809">
        <f>Inputs!$B$3&gt;=33</f>
        <v/>
      </c>
      <c r="D1809">
        <f>IF(Skills!C17=1,60+Inputs!$B$25+Inputs!$B$29,IF(Skills!C17=2,90+Inputs!$B$26+Inputs!$B$29,IF(Skills!C17=3,120+Inputs!$B$27+Inputs!$B$29,MAX(0,(Inputs!$B$3-100)*3)+Inputs!$B$28+Inputs!$B$29)))</f>
        <v/>
      </c>
      <c r="E1809">
        <f>INDEX(FactorTable!$B$2:$Y$301, MATCH(ROUND(MIN(300,MAX(1,D1809)),0), FactorTable!$A$2:$A$301,0), Skills!L17+1)</f>
        <v/>
      </c>
      <c r="F1809">
        <f>IF(Skills!M17=TRUE,(Skills!K17/10)*(E1809/1000),Skills!K17/10)+Skills!N17</f>
        <v/>
      </c>
      <c r="G1809">
        <f>Calc!G17</f>
        <v/>
      </c>
      <c r="H1809">
        <f>Calc!H17</f>
        <v/>
      </c>
      <c r="I1809">
        <f>IF(Skills!T17&lt;&gt;"",1+(Skills!T17/10)*(Z1795/1000)/100,1)</f>
        <v/>
      </c>
      <c r="J1809" t="inlineStr"/>
      <c r="K1809" t="inlineStr"/>
      <c r="L1809" t="inlineStr"/>
      <c r="M1809" t="inlineStr"/>
      <c r="N1809" t="inlineStr"/>
      <c r="O1809">
        <f>(1-Summary!$B$11)*S1809+Summary!$B$11*U1809</f>
        <v/>
      </c>
      <c r="P1809">
        <f>IF(B1829=0,0,O1809/B1829)</f>
        <v/>
      </c>
      <c r="Q1809">
        <f>IFERROR(1/(IF(Inputs!$B$38="pvp",15,MAX(0.1,Skills!D17-IF(TRUE=TRUE,Inputs!$B$32,0)))*(1-IF(AND(ArtifactsInput!$M$27,Inputs!$B$4="Chapter Hunt"),CHOOSE(ArtifactsInput!$N$27+1,20,24,28,32,36,40),0)/100)),0)</f>
        <v/>
      </c>
      <c r="R1809" t="n">
        <v>0</v>
      </c>
      <c r="S1809" t="n">
        <v>0</v>
      </c>
      <c r="U1809" t="n">
        <v>0</v>
      </c>
    </row>
    <row r="1810">
      <c r="A1810">
        <f>Skills!A18</f>
        <v/>
      </c>
      <c r="B1810">
        <f>Skills!B18</f>
        <v/>
      </c>
      <c r="C1810">
        <f>Inputs!$B$3&gt;=43</f>
        <v/>
      </c>
      <c r="D1810">
        <f>IF(Skills!C18=1,60+Inputs!$B$25+Inputs!$B$29,IF(Skills!C18=2,90+Inputs!$B$26+Inputs!$B$29,IF(Skills!C18=3,120+Inputs!$B$27+Inputs!$B$29,MAX(0,(Inputs!$B$3-100)*3)+Inputs!$B$28+Inputs!$B$29)))</f>
        <v/>
      </c>
      <c r="E1810">
        <f>INDEX(FactorTable!$B$2:$Y$301, MATCH(ROUND(MIN(300,MAX(1,D1810)),0), FactorTable!$A$2:$A$301,0), Skills!L18+1)</f>
        <v/>
      </c>
      <c r="F1810">
        <f>IF(Skills!M18=TRUE,(Skills!K18/10)*(E1810/1000),Skills!K18/10)+Skills!N18</f>
        <v/>
      </c>
      <c r="G1810">
        <f>Calc!G18</f>
        <v/>
      </c>
      <c r="H1810">
        <f>Calc!H18</f>
        <v/>
      </c>
      <c r="I1810">
        <f>IF(Skills!T18&lt;&gt;"",1+(Skills!T18/10)*(Z1795/1000)/100,1)</f>
        <v/>
      </c>
      <c r="J1810" t="inlineStr"/>
      <c r="K1810" t="inlineStr"/>
      <c r="L1810" t="inlineStr"/>
      <c r="M1810" t="inlineStr"/>
      <c r="N1810" t="inlineStr"/>
      <c r="O1810">
        <f>(1-Summary!$B$11)*S1810+Summary!$B$11*U1810</f>
        <v/>
      </c>
      <c r="P1810">
        <f>IF(B1829=0,0,O1810/B1829)</f>
        <v/>
      </c>
      <c r="Q1810">
        <f>IFERROR(1/(IF(Inputs!$B$38="pvp",15,MAX(0.1,Skills!D18-IF(TRUE=TRUE,Inputs!$B$32,0)))*(1-IF(AND(ArtifactsInput!$M$27,Inputs!$B$4="Chapter Hunt"),CHOOSE(ArtifactsInput!$N$27+1,20,24,28,32,36,40),0)/100)),0)</f>
        <v/>
      </c>
      <c r="R1810" t="n">
        <v>0</v>
      </c>
      <c r="S1810" t="n">
        <v>0</v>
      </c>
      <c r="U1810" t="n">
        <v>0</v>
      </c>
    </row>
    <row r="1811">
      <c r="A1811">
        <f>Skills!A19</f>
        <v/>
      </c>
      <c r="B1811">
        <f>Skills!B19</f>
        <v/>
      </c>
      <c r="C1811">
        <f>Inputs!$B$3&gt;=50</f>
        <v/>
      </c>
      <c r="D1811">
        <f>IF(Skills!C19=1,60+Inputs!$B$25+Inputs!$B$29,IF(Skills!C19=2,90+Inputs!$B$26+Inputs!$B$29,IF(Skills!C19=3,120+Inputs!$B$27+Inputs!$B$29,MAX(0,(Inputs!$B$3-100)*3)+Inputs!$B$28+Inputs!$B$29)))</f>
        <v/>
      </c>
      <c r="E1811">
        <f>INDEX(FactorTable!$B$2:$Y$301, MATCH(ROUND(MIN(300,MAX(1,D1811)),0), FactorTable!$A$2:$A$301,0), Skills!L19+1)</f>
        <v/>
      </c>
      <c r="F1811">
        <f>IF(Skills!M19=TRUE,(Skills!K19/10)*(E1811/1000),Skills!K19/10)+Skills!N19</f>
        <v/>
      </c>
      <c r="G1811">
        <f>Calc!G19</f>
        <v/>
      </c>
      <c r="H1811">
        <f>Calc!H19</f>
        <v/>
      </c>
      <c r="I1811">
        <f>IF(Skills!T19&lt;&gt;"",1+(Skills!T19/10)*(Z1795/1000)/100,1)</f>
        <v/>
      </c>
      <c r="J1811" t="inlineStr"/>
      <c r="K1811" t="inlineStr"/>
      <c r="L1811" t="inlineStr"/>
      <c r="M1811" t="inlineStr"/>
      <c r="N1811" t="inlineStr"/>
      <c r="O1811">
        <f>(1-Summary!$B$11)*S1811+Summary!$B$11*U1811</f>
        <v/>
      </c>
      <c r="P1811">
        <f>IF(B1829=0,0,O1811/B1829)</f>
        <v/>
      </c>
      <c r="Q1811">
        <f>IFERROR(1/(IF(Inputs!$B$38="pvp",15,MAX(0.1,Skills!D19-IF(TRUE=TRUE,Inputs!$B$32,0)))*(1-IF(AND(ArtifactsInput!$M$27,Inputs!$B$4="Chapter Hunt"),CHOOSE(ArtifactsInput!$N$27+1,20,24,28,32,36,40),0)/100)),0)</f>
        <v/>
      </c>
      <c r="R1811" t="n">
        <v>0</v>
      </c>
      <c r="S1811" t="n">
        <v>0</v>
      </c>
      <c r="U1811" t="n">
        <v>0</v>
      </c>
    </row>
    <row r="1812">
      <c r="A1812">
        <f>Skills!A20</f>
        <v/>
      </c>
      <c r="B1812">
        <f>Skills!B20</f>
        <v/>
      </c>
      <c r="C1812">
        <f>Inputs!$B$3&gt;=74</f>
        <v/>
      </c>
      <c r="D1812">
        <f>IF(Skills!C20=1,60+Inputs!$B$25+Inputs!$B$29,IF(Skills!C20=2,90+Inputs!$B$26+Inputs!$B$29,IF(Skills!C20=3,120+Inputs!$B$27+Inputs!$B$29,MAX(0,(Inputs!$B$3-100)*3)+Inputs!$B$28+Inputs!$B$29)))</f>
        <v/>
      </c>
      <c r="E1812">
        <f>INDEX(FactorTable!$B$2:$Y$301, MATCH(ROUND(MIN(300,MAX(1,D1812)),0), FactorTable!$A$2:$A$301,0), Skills!L20+1)</f>
        <v/>
      </c>
      <c r="F1812">
        <f>IF(Skills!M20=TRUE,(Skills!K20/10)*(E1812/1000),Skills!K20/10)+Skills!N20</f>
        <v/>
      </c>
      <c r="G1812">
        <f>Calc!G20</f>
        <v/>
      </c>
      <c r="H1812">
        <f>Calc!H20</f>
        <v/>
      </c>
      <c r="I1812">
        <f>IF(Skills!T20&lt;&gt;"",1+(Skills!T20/10)*(Z1795/1000)/100,1)</f>
        <v/>
      </c>
      <c r="J1812" t="inlineStr"/>
      <c r="K1812" t="inlineStr"/>
      <c r="L1812" t="inlineStr"/>
      <c r="M1812" t="inlineStr"/>
      <c r="N1812" t="inlineStr"/>
      <c r="O1812">
        <f>(1-Summary!$B$11)*S1812+Summary!$B$11*U1812</f>
        <v/>
      </c>
      <c r="P1812">
        <f>IF(B1829=0,0,O1812/B1829)</f>
        <v/>
      </c>
      <c r="Q1812">
        <f>IFERROR(1/(IF(Inputs!$B$38="pvp",15,MAX(0.1,Skills!D20-IF(TRUE=TRUE,Inputs!$B$32,0)))*(1-IF(AND(ArtifactsInput!$M$27,Inputs!$B$4="Chapter Hunt"),CHOOSE(ArtifactsInput!$N$27+1,20,24,28,32,36,40),0)/100)),0)</f>
        <v/>
      </c>
      <c r="R1812" t="n">
        <v>0</v>
      </c>
      <c r="S1812" t="n">
        <v>0</v>
      </c>
      <c r="U1812" t="n">
        <v>0</v>
      </c>
    </row>
    <row r="1813">
      <c r="A1813">
        <f>Skills!A21</f>
        <v/>
      </c>
      <c r="B1813">
        <f>Skills!B21</f>
        <v/>
      </c>
      <c r="C1813">
        <f>Inputs!$B$3&gt;=74</f>
        <v/>
      </c>
      <c r="D1813">
        <f>IF(Skills!C21=1,60+Inputs!$B$25+Inputs!$B$29,IF(Skills!C21=2,90+Inputs!$B$26+Inputs!$B$29,IF(Skills!C21=3,120+Inputs!$B$27+Inputs!$B$29,MAX(0,(Inputs!$B$3-100)*3)+Inputs!$B$28+Inputs!$B$29)))</f>
        <v/>
      </c>
      <c r="E1813">
        <f>INDEX(FactorTable!$B$2:$Y$301, MATCH(ROUND(MIN(300,MAX(1,D1813)),0), FactorTable!$A$2:$A$301,0), Skills!L21+1)</f>
        <v/>
      </c>
      <c r="F1813">
        <f>IF(Skills!M21=TRUE,(Skills!K21/10)*(E1813/1000),Skills!K21/10)+Skills!N21</f>
        <v/>
      </c>
      <c r="G1813">
        <f>Calc!G21</f>
        <v/>
      </c>
      <c r="H1813">
        <f>Calc!H21</f>
        <v/>
      </c>
      <c r="I1813">
        <f>IF(Skills!T21&lt;&gt;"",1+(Skills!T21/10)*(Z1795/1000)/100,1)</f>
        <v/>
      </c>
      <c r="J1813" t="inlineStr"/>
      <c r="K1813" t="inlineStr"/>
      <c r="L1813" t="inlineStr"/>
      <c r="M1813" t="inlineStr"/>
      <c r="N1813" t="inlineStr"/>
      <c r="O1813">
        <f>(1-Summary!$B$11)*S1813+Summary!$B$11*U1813</f>
        <v/>
      </c>
      <c r="P1813">
        <f>IF(B1829=0,0,O1813/B1829)</f>
        <v/>
      </c>
      <c r="Q1813">
        <f>IFERROR(1/(IF(Inputs!$B$38="pvp",15,MAX(0.1,Skills!D21-IF(TRUE=TRUE,Inputs!$B$32,0)))*(1-IF(AND(ArtifactsInput!$M$27,Inputs!$B$4="Chapter Hunt"),CHOOSE(ArtifactsInput!$N$27+1,20,24,28,32,36,40),0)/100)),0)</f>
        <v/>
      </c>
      <c r="R1813" t="n">
        <v>0</v>
      </c>
      <c r="S1813" t="n">
        <v>0</v>
      </c>
      <c r="U1813" t="n">
        <v>0</v>
      </c>
    </row>
    <row r="1814">
      <c r="A1814">
        <f>Skills!A22</f>
        <v/>
      </c>
      <c r="B1814">
        <f>Skills!B22</f>
        <v/>
      </c>
      <c r="C1814">
        <f>Inputs!$B$3&gt;=117</f>
        <v/>
      </c>
      <c r="D1814">
        <f>IF(Skills!C22=1,60+Inputs!$B$25+Inputs!$B$29,IF(Skills!C22=2,90+Inputs!$B$26+Inputs!$B$29,IF(Skills!C22=3,120+Inputs!$B$27+Inputs!$B$29,MAX(0,(Inputs!$B$3-100)*3)+Inputs!$B$28+Inputs!$B$29)))</f>
        <v/>
      </c>
      <c r="E1814">
        <f>INDEX(FactorTable!$B$2:$Y$301, MATCH(ROUND(MIN(300,MAX(1,D1814)),0), FactorTable!$A$2:$A$301,0), Skills!L22+1)</f>
        <v/>
      </c>
      <c r="F1814">
        <f>IF(Skills!M22=TRUE,(Skills!K22/10)*(E1814/1000),Skills!K22/10)+Skills!N22</f>
        <v/>
      </c>
      <c r="G1814">
        <f>Calc!G22</f>
        <v/>
      </c>
      <c r="H1814">
        <f>Calc!H22</f>
        <v/>
      </c>
      <c r="I1814">
        <f>IF(Skills!T22&lt;&gt;"",1+(Skills!T22/10)*(Z1795/1000)/100,1)</f>
        <v/>
      </c>
      <c r="J1814" t="inlineStr"/>
      <c r="K1814" t="inlineStr"/>
      <c r="L1814" t="inlineStr"/>
      <c r="M1814" t="inlineStr"/>
      <c r="N1814" t="inlineStr"/>
      <c r="O1814">
        <f>(1-Summary!$B$11)*S1814+Summary!$B$11*U1814</f>
        <v/>
      </c>
      <c r="P1814">
        <f>IF(B1829=0,0,O1814/B1829)</f>
        <v/>
      </c>
      <c r="Q1814">
        <f>IFERROR(1/(IF(Inputs!$B$38="pvp",15,MAX(0.1,Skills!D22-IF(TRUE=TRUE,Inputs!$B$32,0)))*(1-IF(AND(ArtifactsInput!$M$27,Inputs!$B$4="Chapter Hunt"),CHOOSE(ArtifactsInput!$N$27+1,20,24,28,32,36,40),0)/100)),0)</f>
        <v/>
      </c>
      <c r="R1814" t="n">
        <v>0</v>
      </c>
      <c r="S1814" t="n">
        <v>0</v>
      </c>
      <c r="U1814" t="n">
        <v>0</v>
      </c>
    </row>
    <row r="1815">
      <c r="A1815">
        <f>Skills!A23</f>
        <v/>
      </c>
      <c r="B1815">
        <f>Skills!B23</f>
        <v/>
      </c>
      <c r="C1815">
        <f>Inputs!$B$3&gt;=120</f>
        <v/>
      </c>
      <c r="D1815">
        <f>IF(Skills!C23=1,60+Inputs!$B$25+Inputs!$B$29,IF(Skills!C23=2,90+Inputs!$B$26+Inputs!$B$29,IF(Skills!C23=3,120+Inputs!$B$27+Inputs!$B$29,MAX(0,(Inputs!$B$3-100)*3)+Inputs!$B$28+Inputs!$B$29)))</f>
        <v/>
      </c>
      <c r="E1815">
        <f>INDEX(FactorTable!$B$2:$Y$301, MATCH(ROUND(MIN(300,MAX(1,D1815)),0), FactorTable!$A$2:$A$301,0), Skills!L23+1)</f>
        <v/>
      </c>
      <c r="F1815">
        <f>IF(Skills!M23=TRUE,(Skills!K23/10)*(E1815/1000),Skills!K23/10)+Skills!N23</f>
        <v/>
      </c>
      <c r="G1815">
        <f>Calc!G23</f>
        <v/>
      </c>
      <c r="H1815">
        <f>Calc!H23</f>
        <v/>
      </c>
      <c r="I1815">
        <f>IF(Skills!T23&lt;&gt;"",1+(Skills!T23/10)*(Z1795/1000)/100,1)</f>
        <v/>
      </c>
      <c r="J1815" t="inlineStr"/>
      <c r="K1815" t="inlineStr"/>
      <c r="L1815" t="inlineStr"/>
      <c r="M1815" t="inlineStr"/>
      <c r="N1815" t="inlineStr"/>
      <c r="O1815">
        <f>(1-Summary!$B$11)*S1815+Summary!$B$11*U1815</f>
        <v/>
      </c>
      <c r="P1815">
        <f>IF(B1829=0,0,O1815/B1829)</f>
        <v/>
      </c>
      <c r="Q1815">
        <f>IFERROR(1/(IF(Inputs!$B$38="pvp",15,MAX(0.1,Skills!D23-IF(TRUE=TRUE,Inputs!$B$32,0)))*(1-IF(AND(ArtifactsInput!$M$27,Inputs!$B$4="Chapter Hunt"),CHOOSE(ArtifactsInput!$N$27+1,20,24,28,32,36,40),0)/100)),0)</f>
        <v/>
      </c>
      <c r="R1815" t="n">
        <v>0</v>
      </c>
      <c r="S1815" t="n">
        <v>0</v>
      </c>
      <c r="U1815" t="n">
        <v>0</v>
      </c>
    </row>
    <row r="1816">
      <c r="A1816">
        <f>Skills!A24</f>
        <v/>
      </c>
      <c r="B1816">
        <f>Skills!B24</f>
        <v/>
      </c>
      <c r="C1816">
        <f>TRUE</f>
        <v/>
      </c>
      <c r="D1816">
        <f>IF(Skills!C24=1,60+Inputs!$B$25+Inputs!$B$29,IF(Skills!C24=2,90+Inputs!$B$26+Inputs!$B$29,IF(Skills!C24=3,120+Inputs!$B$27+Inputs!$B$29,MAX(0,(Inputs!$B$3-100)*3)+Inputs!$B$28+Inputs!$B$29)))</f>
        <v/>
      </c>
      <c r="E1816">
        <f>INDEX(FactorTable!$B$2:$Y$301, MATCH(ROUND(MIN(300,MAX(1,D1816)),0), FactorTable!$A$2:$A$301,0), Skills!L24+1)</f>
        <v/>
      </c>
      <c r="F1816">
        <f>IF(Skills!M24=TRUE,(Skills!K24/10)*(E1816/1000),Skills!K24/10)+Skills!N24</f>
        <v/>
      </c>
      <c r="G1816">
        <f>Calc!G24</f>
        <v/>
      </c>
      <c r="H1816">
        <f>Calc!H24</f>
        <v/>
      </c>
      <c r="I1816">
        <f>IF(Skills!T24&lt;&gt;"",1+(Skills!T24/10)*(Z1795/1000)/100,1)</f>
        <v/>
      </c>
      <c r="J1816" t="inlineStr"/>
      <c r="K1816" t="inlineStr"/>
      <c r="L1816" t="inlineStr"/>
      <c r="M1816" t="inlineStr"/>
      <c r="N1816" t="inlineStr"/>
      <c r="O1816">
        <f>(1-Summary!$B$11)*S1816+Summary!$B$11*U1816</f>
        <v/>
      </c>
      <c r="P1816">
        <f>IF(B1829=0,0,O1816/B1829)</f>
        <v/>
      </c>
      <c r="Q1816">
        <f>IFERROR(1/(IF(Inputs!$B$38="pvp",15,MAX(0.1,Skills!D24-IF(TRUE=TRUE,Inputs!$B$32,0)))*(1-IF(AND(ArtifactsInput!$M$27,Inputs!$B$4="Chapter Hunt"),CHOOSE(ArtifactsInput!$N$27+1,20,24,28,32,36,40),0)/100)),0)</f>
        <v/>
      </c>
      <c r="R1816">
        <f>IF(AND(Inputs!$B$38&lt;&gt;"pvp",Inputs!$B$43&gt;0),IF(Inputs!$B$43&lt;=0,0,(INT(Inputs!$B$43/(IF(Inputs!$B$38="pvp",15,MAX(0.1,Skills!D24-IF(TRUE=TRUE,Inputs!$B$32,0)))*(1-IF(AND(ArtifactsInput!$M$27,Inputs!$B$4="Chapter Hunt"),CHOOSE(ArtifactsInput!$N$27+1,20,24,28,32,36,40),0)/100)))+1)),0)</f>
        <v/>
      </c>
      <c r="S1816" t="n">
        <v>0</v>
      </c>
      <c r="U1816" t="n">
        <v>0</v>
      </c>
    </row>
    <row r="1819">
      <c r="A1819" t="inlineStr">
        <is>
          <t>Average Buff Multiplier (Magic Guard + Meditation + Artifact Attack%, summed; then Infinity)</t>
        </is>
      </c>
      <c r="B1819">
        <f>(1+(IF(C1795=TRUE,F1795*IF(AND(Inputs!$B$38&lt;&gt;"pvp",Inputs!$B$43&gt;0),(((R1795-1)*MIN((Skills!S3*(1+(Inputs!$B$34)/100)),(1/Q1795))+MIN((Skills!S3*(1+(Inputs!$B$34)/100)),MAX(0,Inputs!$B$43-((R1795-1)*(1/Q1795)))))/Inputs!$B$43),IF(Inputs!$B$38="pvp",MIN((Skills!S3*(1+(Inputs!$B$34)/100)),15)/15,MIN(1,(Skills!S3*(1+(Inputs!$B$34)/100))/(1/Q1795)))),0)+IF(C1796=TRUE,F1796*IF(AND(Inputs!$B$38&lt;&gt;"pvp",Inputs!$B$43&gt;0),(((R1796-1)*MIN((Skills!S4*(1+(Inputs!$B$34)/100)),(1/Q1796))+MIN((Skills!S4*(1+(Inputs!$B$34)/100)),MAX(0,Inputs!$B$43-((R1796-1)*(1/Q1796)))))/Inputs!$B$43),IF(Inputs!$B$38="pvp",MIN((Skills!S4*(1+(Inputs!$B$34)/100)),15)/15,MIN(1,(Skills!S4*(1+(Inputs!$B$34)/100))/(1/Q1796)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1808=TRUE,(1+F1808*IF(AND(Inputs!$B$38&lt;&gt;"pvp",Inputs!$B$43&gt;0),(((R1808-1)*MIN((Skills!S16*(1+(Inputs!$B$34)/100)),(1/Q1808))+MIN((Skills!S16*(1+(Inputs!$B$34)/100)),MAX(0,Inputs!$B$43-((R1808-1)*(1/Q1808)))))/Inputs!$B$43),IF(Inputs!$B$38="pvp",MIN((Skills!S16*(1+(Inputs!$B$34)/100)),15)/15,MIN(1,(Skills!S16*(1+(Inputs!$B$34)/100))/(1/Q1808))))/100),1)</f>
        <v/>
      </c>
    </row>
    <row r="1820">
      <c r="A1820" t="inlineStr">
        <is>
          <t>Monster Damage Taken Bonus % (Freezing Breath - Weaken + Elemental Reset + Artifact Enemy Damage Taken, summed)</t>
        </is>
      </c>
      <c r="B1820">
        <f>IF(Inputs!$B$3&gt;=118,15*IF(Inputs!$B$38="pvp",MIN((30*(1+(Inputs!$B$34)/100)),15)/15,MIN(1,(30*(1+(Inputs!$B$34)/100))/(1/Q1800))),0)+IF(C1806=TRUE,F1806,0)+(IF(AND(ArtifactsInput!$M$35,Inputs!$B$4&lt;&gt;"Chapter Hunt"),CHOOSE(ArtifactsInput!$N$35+1,15,18,21,24,27,30)*(1-EXP(-(0.2*B1823)*5)),0)+IF(AND(ArtifactsInput!$M$22,Inputs!$B$4&lt;&gt;"Chapter Hunt"),CHOOSE(ArtifactsInput!$N$22+1,10,12,14,16,18,20)*((0*(((0.15*B1823*5))^0/1)+1*(((0.15*B1823*5))^1/1)+2*(((0.15*B1823*5))^2/2)+3*(((0.15*B1823*5))^3/6)+4*(((0.15*B1823*5))^4/24)+5*(((0.15*B1823*5))^5/120))/((((0.15*B1823*5))^0/1)+(((0.15*B1823*5))^1/1)+(((0.15*B1823*5))^2/2)+(((0.15*B1823*5))^3/6)+(((0.15*B1823*5))^4/24)+(((0.15*B1823*5))^5/120))),0))</f>
        <v/>
      </c>
    </row>
    <row r="1821">
      <c r="A1821" t="inlineStr">
        <is>
          <t>Damage % Bonus (Frozen Break + Frost Clutch, flat)</t>
        </is>
      </c>
      <c r="B1821">
        <f>IF(Inputs!$B$3&gt;=66,15,0)+IF(Inputs!$B$3&gt;=98,10,0)+IF(Inputs!$B$3&gt;=125,20,0)</f>
        <v/>
      </c>
    </row>
    <row r="1822">
      <c r="A1822" t="inlineStr">
        <is>
          <t>Attack Speed Bonus % (MP Eater - MP Boost, always-on + Nimble Feet, duty-cycle averaged)</t>
        </is>
      </c>
      <c r="B1822">
        <f>IF(C1805=TRUE,F1805+(F1809-Calc!F17),0)+((C1816=TRUE)*F1816*IF(AND(Inputs!$B$38&lt;&gt;"pvp",Inputs!$B$43&gt;0),(((R1816-1)*MIN((Skills!S24*(1+(Inputs!$B$34)/100)),(1/Q1816))+MIN((Skills!S24*(1+(Inputs!$B$34)/100)),MAX(0,Inputs!$B$43-((R1816-1)*(1/Q1816)))))/Inputs!$B$43),IF(Inputs!$B$38="pvp",MIN((Skills!S24*(1+(Inputs!$B$34)/100)),15)/15,MIN(1,(Skills!S24*(1+(Inputs!$B$34)/100))/(1/Q1816)))))</f>
        <v/>
      </c>
    </row>
    <row r="1823">
      <c r="A1823" t="inlineStr">
        <is>
          <t>Actions Per Second</t>
        </is>
      </c>
      <c r="B1823">
        <f>1+MIN(150,150*(1-(1-(Inputs!$B$11+(ArtifactsInput!$M$15-ArtifactsInput!$M$15)*CHOOSE(ArtifactsInput!$N$15+1,8,9.6,11.2,12.8,14.4,16))/150)*(1-B1822/150)))/100</f>
        <v/>
      </c>
    </row>
    <row r="1824">
      <c r="A1824" t="inlineStr">
        <is>
          <t>Skill + Buff Cast Rate</t>
        </is>
      </c>
      <c r="B1824">
        <f>IF(AND(Inputs!$B$38&lt;&gt;"pvp",Inputs!$B$43&gt;0),SUMPRODUCT((Skills!E2:E24=TRUE)*(C1794:C1816=TRUE)*R1794:R1816)/Inputs!$B$43,SUMPRODUCT((Skills!E2:E24=TRUE)*(C1794:C1816=TRUE)*Q1794:Q1816))</f>
        <v/>
      </c>
    </row>
    <row r="1825">
      <c r="A1825" t="inlineStr">
        <is>
          <t>Chain Lightning Casts Per Second</t>
        </is>
      </c>
      <c r="B1825">
        <f>MAX(0,B1823-B1824)</f>
        <v/>
      </c>
    </row>
    <row r="1826">
      <c r="A1826" t="inlineStr">
        <is>
          <t>Buff-Casting Startup Delay (s, fixed-duration only)</t>
        </is>
      </c>
      <c r="B1826">
        <f>IF(AND(Inputs!$B$38&lt;&gt;"pvp",Inputs!$B$43&gt;0),SUMPRODUCT((Skills!S2:S24&gt;0)*(Skills!E2:E24=TRUE)*(C1794:C1816=TRUE))/B1823,0)</f>
        <v/>
      </c>
    </row>
    <row r="1827">
      <c r="A1827" t="inlineStr">
        <is>
          <t>Boss-Only Total DPS (this block's swept value)</t>
        </is>
      </c>
      <c r="B1827">
        <f>SUM(S1794:S1816)</f>
        <v/>
      </c>
    </row>
    <row r="1828">
      <c r="A1828" t="inlineStr">
        <is>
          <t>Normal-Only Total DPS (this block's swept value)</t>
        </is>
      </c>
      <c r="B1828">
        <f>SUM(U1794:U1816)</f>
        <v/>
      </c>
    </row>
    <row r="1829">
      <c r="A1829" s="6" t="inlineStr">
        <is>
          <t>TOTAL DPS</t>
        </is>
      </c>
      <c r="B1829" s="6">
        <f>SUM(O1794:O1816)</f>
        <v/>
      </c>
    </row>
    <row r="1830">
      <c r="A1830" t="inlineStr">
        <is>
          <t>Blizzard Final Attack trigger rate (this block's own Q/R)</t>
        </is>
      </c>
      <c r="B1830">
        <f>IF(AND(Inputs!$B$38&lt;&gt;"pvp",Inputs!$B$43&gt;0),(((C1797=TRUE)*R1797*1)+((C1798=TRUE)*R1798*1)+((C1800=TRUE)*R1800*1)+((C1801=TRUE)*R1801*3)+((C1803=TRUE)*R1803*1))/Inputs!$B$43,((C1797=TRUE)*Q1797*1)+((C1798=TRUE)*Q1798*1)+((C1800=TRUE)*Q1800*1)+((C1801=TRUE)*Q1801*3)+((C1803=TRUE)*Q1803*1))+B1825</f>
        <v/>
      </c>
    </row>
    <row r="1833">
      <c r="A1833" s="6" t="inlineStr">
        <is>
          <t>Stat: Lunar Dew (Equip)</t>
        </is>
      </c>
    </row>
    <row r="1834">
      <c r="A1834" s="5" t="inlineStr">
        <is>
          <t>Key</t>
        </is>
      </c>
      <c r="B1834" s="5" t="inlineStr">
        <is>
          <t>Name</t>
        </is>
      </c>
      <c r="C1834" s="5" t="inlineStr">
        <is>
          <t>Unlocked</t>
        </is>
      </c>
      <c r="D1834" s="5" t="inlineStr">
        <is>
          <t>InputLevel</t>
        </is>
      </c>
      <c r="E1834" s="5" t="inlineStr">
        <is>
          <t>Factor</t>
        </is>
      </c>
      <c r="F1834" s="5" t="inlineStr">
        <is>
          <t>CoefficientPercent</t>
        </is>
      </c>
      <c r="G1834" s="5" t="inlineStr">
        <is>
          <t>EffectiveHits</t>
        </is>
      </c>
      <c r="H1834" s="5" t="inlineStr">
        <is>
          <t>ProcProbability</t>
        </is>
      </c>
      <c r="I1834" s="5" t="inlineStr">
        <is>
          <t>MapleHeroMultiplier</t>
        </is>
      </c>
      <c r="J1834" s="5" t="inlineStr">
        <is>
          <t>BaseDamage</t>
        </is>
      </c>
      <c r="K1834" s="5" t="inlineStr">
        <is>
          <t>BaseHitDamage</t>
        </is>
      </c>
      <c r="L1834" s="5" t="inlineStr">
        <is>
          <t>NonCritAvg</t>
        </is>
      </c>
      <c r="M1834" s="5" t="inlineStr">
        <is>
          <t>CritAvg</t>
        </is>
      </c>
      <c r="N1834" s="5" t="inlineStr">
        <is>
          <t>ExpectedDamage(perHit)</t>
        </is>
      </c>
      <c r="O1834" s="5" t="inlineStr">
        <is>
          <t>DPS</t>
        </is>
      </c>
      <c r="P1834" s="5" t="inlineStr">
        <is>
          <t>% of Total</t>
        </is>
      </c>
      <c r="R1834" t="inlineStr">
        <is>
          <t>helpers</t>
        </is>
      </c>
    </row>
    <row r="1835">
      <c r="A1835">
        <f>Skills!A2</f>
        <v/>
      </c>
      <c r="B1835">
        <f>Skills!B2</f>
        <v/>
      </c>
      <c r="C1835">
        <f>Inputs!$B$3&gt;=100</f>
        <v/>
      </c>
      <c r="D1835" t="inlineStr"/>
      <c r="E1835" t="inlineStr"/>
      <c r="F1835">
        <f>T1837+Skills!N2</f>
        <v/>
      </c>
      <c r="G1835">
        <f>Calc!G2</f>
        <v/>
      </c>
      <c r="H1835">
        <f>Calc!H2</f>
        <v/>
      </c>
      <c r="I1835">
        <f>IF(Skills!T2&lt;&gt;"",1+(Skills!T2/10)*(Z1836/1000)/100,1)</f>
        <v/>
      </c>
      <c r="J1835">
        <f>((Inputs!$B$6*(1+Inputs!$B$7/100))+(((Inputs!$B$12*(1+Inputs!$B$13/100))-(Inputs!$B$12*(1+Inputs!$B$13/100)))+0.25*(Inputs!$B$14-Inputs!$B$14))*(1+Inputs!$B$7/100))*(F1835/100)</f>
        <v/>
      </c>
      <c r="K1835">
        <f>J1835*(1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2="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1835)</f>
        <v/>
      </c>
      <c r="L1835">
        <f>K1835*(MIN(Inputs!$B$22+(F1851-Calc!F18),(Inputs!$B$23+(IF(ArtifactsInput!$M$15,CHOOSE(ArtifactsInput!$N$15+1,25,30,35,40,45,50)/100*(Inputs!$B$11-Inputs!$B$11),0))))/100+(Inputs!$B$23+(IF(ArtifactsInput!$M$15,CHOOSE(ArtifactsInput!$N$15+1,25,30,35,40,45,50)/100*(Inputs!$B$11-Inputs!$B$11),0)))/100)/2</f>
        <v/>
      </c>
      <c r="M1835">
        <f>L1835*(1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5">
        <f>L1835*(1-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1835*(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5">
        <f>(1-Summary!$B$11)*S1835+Summary!$B$11*U1835</f>
        <v/>
      </c>
      <c r="P1835">
        <f>IF(B1870=0,0,O1835/B1870)</f>
        <v/>
      </c>
      <c r="Q1835">
        <f>IFERROR(1/(IF(Inputs!$B$38="pvp",15,MAX(0.1,Skills!D2-IF(TRUE=TRUE,Inputs!$B$32,0)))*(1-IF(AND(ArtifactsInput!$M$27,Inputs!$B$4="Chapter Hunt"),CHOOSE(ArtifactsInput!$N$27+1,20,24,28,32,36,40),0)/100)),0)</f>
        <v/>
      </c>
      <c r="R1835" t="n">
        <v>0</v>
      </c>
      <c r="S1835">
        <f>IF(C1835,(Skills!F2*N1835*B1866)*IF(Inputs!$B$38="pvp",1,1+(Inputs!$B$20+Skills!O2+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1835*(1-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1835*(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1835*(1-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1835*(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35">
        <f>MAX(0,(Inputs!$B$3-100)*3)+Inputs!$B$28+Inputs!$B$29</f>
        <v/>
      </c>
      <c r="U1835">
        <f>IF(C1835,(Skills!F2*N1835*B1866)*IF(Inputs!$B$38="pvp",1,(1+(Inputs!$B$21+Skills!P2+B1861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835">
        <f>MAX(0,(Inputs!$B$3-100)*3)+Inputs!$B$28+Inputs!$B$29</f>
        <v/>
      </c>
    </row>
    <row r="1836">
      <c r="A1836">
        <f>Skills!A3</f>
        <v/>
      </c>
      <c r="B1836">
        <f>Skills!B3</f>
        <v/>
      </c>
      <c r="C1836">
        <f>Inputs!$B$3&gt;=15</f>
        <v/>
      </c>
      <c r="D1836">
        <f>IF(Skills!C3=1,60+Inputs!$B$25+Inputs!$B$29,IF(Skills!C3=2,90+Inputs!$B$26+Inputs!$B$29,IF(Skills!C3=3,120+Inputs!$B$27+Inputs!$B$29,MAX(0,(Inputs!$B$3-100)*3)+Inputs!$B$28+Inputs!$B$29)))</f>
        <v/>
      </c>
      <c r="E1836">
        <f>INDEX(FactorTable!$B$2:$Y$301, MATCH(ROUND(MIN(300,MAX(1,D1836)),0), FactorTable!$A$2:$A$301,0), Skills!L3+1)</f>
        <v/>
      </c>
      <c r="F1836">
        <f>IF(Skills!M3=TRUE,(Skills!K3/10)*(E1836/1000),Skills!K3/10)+Skills!N3</f>
        <v/>
      </c>
      <c r="G1836">
        <f>Calc!G3</f>
        <v/>
      </c>
      <c r="H1836">
        <f>Calc!H3</f>
        <v/>
      </c>
      <c r="I1836">
        <f>IF(Skills!T3&lt;&gt;"",1+(Skills!T3/10)*(Z1836/1000)/100,1)</f>
        <v/>
      </c>
      <c r="J1836" t="inlineStr"/>
      <c r="K1836" t="inlineStr"/>
      <c r="L1836" t="inlineStr"/>
      <c r="M1836" t="inlineStr"/>
      <c r="N1836" t="inlineStr"/>
      <c r="O1836">
        <f>(1-Summary!$B$11)*S1836+Summary!$B$11*U1836</f>
        <v/>
      </c>
      <c r="P1836">
        <f>IF(B1870=0,0,O1836/B1870)</f>
        <v/>
      </c>
      <c r="Q1836">
        <f>IFERROR(1/(IF(Inputs!$B$38="pvp",15,MAX(0.1,Skills!D3-IF(TRUE=TRUE,Inputs!$B$32,0)))*(1-IF(AND(ArtifactsInput!$M$27,Inputs!$B$4="Chapter Hunt"),CHOOSE(ArtifactsInput!$N$27+1,20,24,28,32,36,40),0)/100)),0)</f>
        <v/>
      </c>
      <c r="R1836">
        <f>IF(AND(Inputs!$B$38&lt;&gt;"pvp",Inputs!$B$43&gt;0),IF(Inputs!$B$43&lt;=0,0,(INT(Inputs!$B$43/(IF(Inputs!$B$38="pvp",15,MAX(0.1,Skills!D3-IF(TRUE=TRUE,Inputs!$B$32,0)))*(1-IF(AND(ArtifactsInput!$M$27,Inputs!$B$4="Chapter Hunt"),CHOOSE(ArtifactsInput!$N$27+1,20,24,28,32,36,40),0)/100)))+1)),0)</f>
        <v/>
      </c>
      <c r="S1836" t="n">
        <v>0</v>
      </c>
      <c r="T1836">
        <f>INDEX(FactorTable!$B$2:$Y$301, MATCH(ROUND(MIN(300,MAX(1,T1835)),0), FactorTable!$A$2:$A$301,0), 22)</f>
        <v/>
      </c>
      <c r="U1836" t="n">
        <v>0</v>
      </c>
      <c r="Z1836">
        <f>INDEX(FactorTable!$B$2:$Y$301, MATCH(ROUND(MIN(300,MAX(1,Z1835)),0), FactorTable!$A$2:$A$301,0), 24)</f>
        <v/>
      </c>
    </row>
    <row r="1837">
      <c r="A1837">
        <f>Skills!A4</f>
        <v/>
      </c>
      <c r="B1837">
        <f>Skills!B4</f>
        <v/>
      </c>
      <c r="C1837">
        <f>Inputs!$B$3&gt;=40</f>
        <v/>
      </c>
      <c r="D1837">
        <f>IF(Skills!C4=1,60+Inputs!$B$25+Inputs!$B$29,IF(Skills!C4=2,90+Inputs!$B$26+Inputs!$B$29,IF(Skills!C4=3,120+Inputs!$B$27+Inputs!$B$29,MAX(0,(Inputs!$B$3-100)*3)+Inputs!$B$28+Inputs!$B$29)))</f>
        <v/>
      </c>
      <c r="E1837">
        <f>INDEX(FactorTable!$B$2:$Y$301, MATCH(ROUND(MIN(300,MAX(1,D1837)),0), FactorTable!$A$2:$A$301,0), Skills!L4+1)</f>
        <v/>
      </c>
      <c r="F1837">
        <f>IF(Skills!M4=TRUE,(Skills!K4/10)*(E1837/1000),Skills!K4/10)+Skills!N4</f>
        <v/>
      </c>
      <c r="G1837">
        <f>Calc!G4</f>
        <v/>
      </c>
      <c r="H1837">
        <f>Calc!H4</f>
        <v/>
      </c>
      <c r="I1837">
        <f>IF(Skills!T4&lt;&gt;"",1+(Skills!T4/10)*(Z1836/1000)/100,1)</f>
        <v/>
      </c>
      <c r="J1837" t="inlineStr"/>
      <c r="K1837" t="inlineStr"/>
      <c r="L1837" t="inlineStr"/>
      <c r="M1837" t="inlineStr"/>
      <c r="N1837" t="inlineStr"/>
      <c r="O1837">
        <f>(1-Summary!$B$11)*S1837+Summary!$B$11*U1837</f>
        <v/>
      </c>
      <c r="P1837">
        <f>IF(B1870=0,0,O1837/B1870)</f>
        <v/>
      </c>
      <c r="Q1837">
        <f>IFERROR(1/(IF(Inputs!$B$38="pvp",15,MAX(0.1,Skills!D4-IF(TRUE=TRUE,Inputs!$B$32,0)))*(1-IF(AND(ArtifactsInput!$M$27,Inputs!$B$4="Chapter Hunt"),CHOOSE(ArtifactsInput!$N$27+1,20,24,28,32,36,40),0)/100)),0)</f>
        <v/>
      </c>
      <c r="R1837">
        <f>IF(AND(Inputs!$B$38&lt;&gt;"pvp",Inputs!$B$43&gt;0),IF(Inputs!$B$43&lt;=0,0,(INT(Inputs!$B$43/(IF(Inputs!$B$38="pvp",15,MAX(0.1,Skills!D4-IF(TRUE=TRUE,Inputs!$B$32,0)))*(1-IF(AND(ArtifactsInput!$M$27,Inputs!$B$4="Chapter Hunt"),CHOOSE(ArtifactsInput!$N$27+1,20,24,28,32,36,40),0)/100)))+1)),0)</f>
        <v/>
      </c>
      <c r="S1837" t="n">
        <v>0</v>
      </c>
      <c r="T1837">
        <f>290*T1836/1000</f>
        <v/>
      </c>
      <c r="U1837" t="n">
        <v>0</v>
      </c>
    </row>
    <row r="1838">
      <c r="A1838">
        <f>Skills!A5</f>
        <v/>
      </c>
      <c r="B1838">
        <f>Skills!B5</f>
        <v/>
      </c>
      <c r="C1838">
        <f>Inputs!$B$3&gt;=38</f>
        <v/>
      </c>
      <c r="D1838">
        <f>IF(Skills!C5=1,60+Inputs!$B$25+Inputs!$B$29,IF(Skills!C5=2,90+Inputs!$B$26+Inputs!$B$29,IF(Skills!C5=3,120+Inputs!$B$27+Inputs!$B$29,MAX(0,(Inputs!$B$3-100)*3)+Inputs!$B$28+Inputs!$B$29)))</f>
        <v/>
      </c>
      <c r="E1838">
        <f>INDEX(FactorTable!$B$2:$Y$301, MATCH(ROUND(MIN(300,MAX(1,D1838)),0), FactorTable!$A$2:$A$301,0), Skills!L5+1)</f>
        <v/>
      </c>
      <c r="F1838">
        <f>IF(Skills!M5=TRUE,(Skills!K5/10)*(E1838/1000),Skills!K5/10)+Skills!N5</f>
        <v/>
      </c>
      <c r="G1838">
        <f>Calc!G5</f>
        <v/>
      </c>
      <c r="H1838">
        <f>Calc!H5</f>
        <v/>
      </c>
      <c r="I1838">
        <f>IF(Skills!T5&lt;&gt;"",1+(Skills!T5/10)*(Z1836/1000)/100,1)</f>
        <v/>
      </c>
      <c r="J1838">
        <f>((Inputs!$B$6*(1+Inputs!$B$7/100))+(((Inputs!$B$12*(1+Inputs!$B$13/100))-(Inputs!$B$12*(1+Inputs!$B$13/100)))+0.25*(Inputs!$B$14-Inputs!$B$14))*(1+Inputs!$B$7/100))*(F1838/100)</f>
        <v/>
      </c>
      <c r="K1838">
        <f>J1838*(1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5="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1838)</f>
        <v/>
      </c>
      <c r="L1838">
        <f>K1838*(MIN(Inputs!$B$22+(F1851-Calc!F18),(Inputs!$B$23+(IF(ArtifactsInput!$M$15,CHOOSE(ArtifactsInput!$N$15+1,25,30,35,40,45,50)/100*(Inputs!$B$11-Inputs!$B$11),0))))/100+(Inputs!$B$23+(IF(ArtifactsInput!$M$15,CHOOSE(ArtifactsInput!$N$15+1,25,30,35,40,45,50)/100*(Inputs!$B$11-Inputs!$B$11),0)))/100)/2</f>
        <v/>
      </c>
      <c r="M1838">
        <f>L1838*(1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8">
        <f>L1838*(1-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1838*(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8">
        <f>(1-Summary!$B$11)*S1838+Summary!$B$11*U1838</f>
        <v/>
      </c>
      <c r="P1838">
        <f>IF(B1870=0,0,O1838/B1870)</f>
        <v/>
      </c>
      <c r="Q1838">
        <f>IFERROR(1/(IF(Inputs!$B$38="pvp",15,MAX(0.1,Skills!D5-IF(TRUE=TRUE,Inputs!$B$32,0)))*(1-IF(AND(ArtifactsInput!$M$27,Inputs!$B$4="Chapter Hunt"),CHOOSE(ArtifactsInput!$N$27+1,20,24,28,32,36,40),0)/100)),0)</f>
        <v/>
      </c>
      <c r="R1838">
        <f>IF(AND(Inputs!$B$38&lt;&gt;"pvp",Inputs!$B$43&gt;0),IF(MAX(0,Inputs!$B$43-B1867)&lt;=0,0,(INT(MAX(0,Inputs!$B$43-B1867)/(IF(Inputs!$B$38="pvp",15,MAX(0.1,Skills!D5-IF(TRUE=TRUE,Inputs!$B$32,0)))*(1-IF(AND(ArtifactsInput!$M$27,Inputs!$B$4="Chapter Hunt"),CHOOSE(ArtifactsInput!$N$27+1,20,24,28,32,36,40),0)/100)))+1)),0)</f>
        <v/>
      </c>
      <c r="S1838">
        <f>IF(C1838,(H1838*N1838*IF(AND(Inputs!$B$38&lt;&gt;"pvp",Inputs!$B$43&gt;0),((Skills!F5*((R1838-1)*IF(Skills!G5&gt;0,Skills!H5/Skills!G5,1)+IF(Skills!G5&gt;0,MIN(Skills!H5,MAX(0,MAX(0,Inputs!$B$43-B1867)-((R1838-1)*(IF(Inputs!$B$38="pvp",15,MAX(0.1,Skills!D5-IF(TRUE=TRUE,Inputs!$B$32,0)))*(1-IF(AND(ArtifactsInput!$M$27,Inputs!$B$4="Chapter Hunt"),CHOOSE(ArtifactsInput!$N$27+1,20,24,28,32,36,40),0)/100)))))/Skills!G5,1)))/Inputs!$B$43),G1838*Q1838))*IF(Inputs!$B$38="pvp",1,1+(Inputs!$B$20+Skills!O5+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1838*(1-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1838*(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1838*(1-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1838*(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8">
        <f>IF(C1838,(H1838*N1838*IF(AND(Inputs!$B$38&lt;&gt;"pvp",Inputs!$B$43&gt;0),((Skills!F5*((R1838-1)*IF(Skills!G5&gt;0,Skills!H5/Skills!G5,1)+IF(Skills!G5&gt;0,MIN(Skills!H5,MAX(0,MAX(0,Inputs!$B$43-B1867)-((R1838-1)*(IF(Inputs!$B$38="pvp",15,MAX(0.1,Skills!D5-IF(TRUE=TRUE,Inputs!$B$32,0)))*(1-IF(AND(ArtifactsInput!$M$27,Inputs!$B$4="Chapter Hunt"),CHOOSE(ArtifactsInput!$N$27+1,20,24,28,32,36,40),0)/100)))))/Skills!G5,1)))/Inputs!$B$43),G1838*Q1838))*IF(Inputs!$B$38="pvp",1,(1+(Inputs!$B$21+Skills!P5+B1861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9">
      <c r="A1839">
        <f>Skills!A6</f>
        <v/>
      </c>
      <c r="B1839">
        <f>Skills!B6</f>
        <v/>
      </c>
      <c r="C1839">
        <f>Inputs!$B$3&gt;=63</f>
        <v/>
      </c>
      <c r="D1839">
        <f>IF(Skills!C6=1,60+Inputs!$B$25+Inputs!$B$29,IF(Skills!C6=2,90+Inputs!$B$26+Inputs!$B$29,IF(Skills!C6=3,120+Inputs!$B$27+Inputs!$B$29,MAX(0,(Inputs!$B$3-100)*3)+Inputs!$B$28+Inputs!$B$29)))</f>
        <v/>
      </c>
      <c r="E1839">
        <f>INDEX(FactorTable!$B$2:$Y$301, MATCH(ROUND(MIN(300,MAX(1,D1839)),0), FactorTable!$A$2:$A$301,0), Skills!L6+1)</f>
        <v/>
      </c>
      <c r="F1839">
        <f>IF(Skills!M6=TRUE,(Skills!K6/10)*(E1839/1000),Skills!K6/10)+Skills!N6</f>
        <v/>
      </c>
      <c r="G1839">
        <f>Calc!G6</f>
        <v/>
      </c>
      <c r="H1839">
        <f>Calc!H6</f>
        <v/>
      </c>
      <c r="I1839">
        <f>IF(Skills!T6&lt;&gt;"",1+(Skills!T6/10)*(Z1836/1000)/100,1)</f>
        <v/>
      </c>
      <c r="J1839">
        <f>((Inputs!$B$6*(1+Inputs!$B$7/100))+(((Inputs!$B$12*(1+Inputs!$B$13/100))-(Inputs!$B$12*(1+Inputs!$B$13/100)))+0.25*(Inputs!$B$14-Inputs!$B$14))*(1+Inputs!$B$7/100))*(F1839/100)</f>
        <v/>
      </c>
      <c r="K1839">
        <f>J1839*(1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6="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1839)</f>
        <v/>
      </c>
      <c r="L1839">
        <f>K1839*(MIN(Inputs!$B$22+(F1851-Calc!F18),(Inputs!$B$23+(IF(ArtifactsInput!$M$15,CHOOSE(ArtifactsInput!$N$15+1,25,30,35,40,45,50)/100*(Inputs!$B$11-Inputs!$B$11),0))))/100+(Inputs!$B$23+(IF(ArtifactsInput!$M$15,CHOOSE(ArtifactsInput!$N$15+1,25,30,35,40,45,50)/100*(Inputs!$B$11-Inputs!$B$11),0)))/100)/2</f>
        <v/>
      </c>
      <c r="M1839">
        <f>L1839*(1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9">
        <f>L1839*(1-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1839*(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9">
        <f>(1-Summary!$B$11)*S1839+Summary!$B$11*U1839</f>
        <v/>
      </c>
      <c r="P1839">
        <f>IF(B1870=0,0,O1839/B1870)</f>
        <v/>
      </c>
      <c r="Q1839">
        <f>IFERROR(1/(IF(Inputs!$B$38="pvp",15,MAX(0.1,Skills!D6-IF(TRUE=TRUE,Inputs!$B$32,0)))*(1-IF(AND(ArtifactsInput!$M$27,Inputs!$B$4="Chapter Hunt"),CHOOSE(ArtifactsInput!$N$27+1,20,24,28,32,36,40),0)/100)),0)</f>
        <v/>
      </c>
      <c r="R1839">
        <f>IF(AND(Inputs!$B$38&lt;&gt;"pvp",Inputs!$B$43&gt;0),IF(MAX(0,Inputs!$B$43-B1867)&lt;=0,0,(INT(MAX(0,Inputs!$B$43-B1867)/(IF(Inputs!$B$38="pvp",15,MAX(0.1,Skills!D6-IF(TRUE=TRUE,Inputs!$B$32,0)))*(1-IF(AND(ArtifactsInput!$M$27,Inputs!$B$4="Chapter Hunt"),CHOOSE(ArtifactsInput!$N$27+1,20,24,28,32,36,40),0)/100)))+1)),0)</f>
        <v/>
      </c>
      <c r="S1839">
        <f>IF(C1839,(H1839*N1839*IF(AND(Inputs!$B$38&lt;&gt;"pvp",Inputs!$B$43&gt;0),((Skills!F6*((R1839-1)*IF(Skills!G6&gt;0,Skills!H6/Skills!G6,1)+IF(Skills!G6&gt;0,MIN(Skills!H6,MAX(0,MAX(0,Inputs!$B$43-B1867)-((R1839-1)*(IF(Inputs!$B$38="pvp",15,MAX(0.1,Skills!D6-IF(TRUE=TRUE,Inputs!$B$32,0)))*(1-IF(AND(ArtifactsInput!$M$27,Inputs!$B$4="Chapter Hunt"),CHOOSE(ArtifactsInput!$N$27+1,20,24,28,32,36,40),0)/100)))))/Skills!G6,1)))/Inputs!$B$43),G1839*Q1839))*IF(Inputs!$B$38="pvp",1,1+(Inputs!$B$20+Skills!O6+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1839*(1-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1839*(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1839*(1-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1839*(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39">
        <f>IF(C1839,(H1839*N1839*IF(AND(Inputs!$B$38&lt;&gt;"pvp",Inputs!$B$43&gt;0),((Skills!F6*((R1839-1)*IF(Skills!G6&gt;0,Skills!H6/Skills!G6,1)+IF(Skills!G6&gt;0,MIN(Skills!H6,MAX(0,MAX(0,Inputs!$B$43-B1867)-((R1839-1)*(IF(Inputs!$B$38="pvp",15,MAX(0.1,Skills!D6-IF(TRUE=TRUE,Inputs!$B$32,0)))*(1-IF(AND(ArtifactsInput!$M$27,Inputs!$B$4="Chapter Hunt"),CHOOSE(ArtifactsInput!$N$27+1,20,24,28,32,36,40),0)/100)))))/Skills!G6,1)))/Inputs!$B$43),G1839*Q1839))*IF(Inputs!$B$38="pvp",1,(1+(Inputs!$B$21+Skills!P6+B1861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0">
      <c r="A1840">
        <f>Skills!A7</f>
        <v/>
      </c>
      <c r="B1840">
        <f>Skills!B7</f>
        <v/>
      </c>
      <c r="C1840">
        <f>Inputs!$B$3&gt;=69</f>
        <v/>
      </c>
      <c r="D1840">
        <f>IF(Skills!C7=1,60+Inputs!$B$25+Inputs!$B$29,IF(Skills!C7=2,90+Inputs!$B$26+Inputs!$B$29,IF(Skills!C7=3,120+Inputs!$B$27+Inputs!$B$29,MAX(0,(Inputs!$B$3-100)*3)+Inputs!$B$28+Inputs!$B$29)))</f>
        <v/>
      </c>
      <c r="E1840">
        <f>INDEX(FactorTable!$B$2:$Y$301, MATCH(ROUND(MIN(300,MAX(1,D1840)),0), FactorTable!$A$2:$A$301,0), Skills!L7+1)</f>
        <v/>
      </c>
      <c r="F1840">
        <f>IF(Skills!M7=TRUE,(Skills!K7/10)*(E1840/1000),Skills!K7/10)+Skills!N7</f>
        <v/>
      </c>
      <c r="G1840">
        <f>Calc!G7</f>
        <v/>
      </c>
      <c r="H1840">
        <f>Calc!H7</f>
        <v/>
      </c>
      <c r="I1840">
        <f>IF(Skills!T7&lt;&gt;"",1+(Skills!T7/10)*(Z1836/1000)/100,1)</f>
        <v/>
      </c>
      <c r="J1840">
        <f>((Inputs!$B$6*(1+Inputs!$B$7/100))+(((Inputs!$B$12*(1+Inputs!$B$13/100))-(Inputs!$B$12*(1+Inputs!$B$13/100)))+0.25*(Inputs!$B$14-Inputs!$B$14))*(1+Inputs!$B$7/100))*(F1840/100)</f>
        <v/>
      </c>
      <c r="K1840">
        <f>J1840*(1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7="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1840)</f>
        <v/>
      </c>
      <c r="L1840">
        <f>K1840*(MIN(Inputs!$B$22+(F1851-Calc!F18),(Inputs!$B$23+(IF(ArtifactsInput!$M$15,CHOOSE(ArtifactsInput!$N$15+1,25,30,35,40,45,50)/100*(Inputs!$B$11-Inputs!$B$11),0))))/100+(Inputs!$B$23+(IF(ArtifactsInput!$M$15,CHOOSE(ArtifactsInput!$N$15+1,25,30,35,40,45,50)/100*(Inputs!$B$11-Inputs!$B$11),0)))/100)/2</f>
        <v/>
      </c>
      <c r="M1840">
        <f>L1840*(1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0">
        <f>L1840*(1-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1840*(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0">
        <f>(1-Summary!$B$11)*S1840+Summary!$B$11*U1840</f>
        <v/>
      </c>
      <c r="P1840">
        <f>IF(B1870=0,0,O1840/B1870)</f>
        <v/>
      </c>
      <c r="Q1840">
        <f>IFERROR(1/(IF(Inputs!$B$38="pvp",15,MAX(0.1,Skills!D7-IF(TRUE=TRUE,Inputs!$B$32,0)))*(1-IF(AND(ArtifactsInput!$M$27,Inputs!$B$4="Chapter Hunt"),CHOOSE(ArtifactsInput!$N$27+1,20,24,28,32,36,40),0)/100)),0)</f>
        <v/>
      </c>
      <c r="R1840">
        <f>IF(AND(Inputs!$B$38&lt;&gt;"pvp",Inputs!$B$43&gt;0),IF(MAX(0,Inputs!$B$43-B1867)&lt;=0,0,(INT(MAX(0,Inputs!$B$43-B1867)/(IF(Inputs!$B$38="pvp",15,MAX(0.1,Skills!D7-IF(TRUE=TRUE,Inputs!$B$32,0)))*(1-IF(AND(ArtifactsInput!$M$27,Inputs!$B$4="Chapter Hunt"),CHOOSE(ArtifactsInput!$N$27+1,20,24,28,32,36,40),0)/100)))+1)),0)</f>
        <v/>
      </c>
      <c r="S1840">
        <f>IF(C1840,(H1840*N1840*IF(AND(Inputs!$B$38&lt;&gt;"pvp",Inputs!$B$43&gt;0),((Skills!F7*((R1840-1)*IF(Skills!G7&gt;0,Skills!H7/Skills!G7,1)+IF(Skills!G7&gt;0,MIN(Skills!H7,MAX(0,MAX(0,Inputs!$B$43-B1867)-((R1840-1)*(IF(Inputs!$B$38="pvp",15,MAX(0.1,Skills!D7-IF(TRUE=TRUE,Inputs!$B$32,0)))*(1-IF(AND(ArtifactsInput!$M$27,Inputs!$B$4="Chapter Hunt"),CHOOSE(ArtifactsInput!$N$27+1,20,24,28,32,36,40),0)/100)))))/Skills!G7,1)))/Inputs!$B$43),G1840*Q1840))*IF(Inputs!$B$38="pvp",1,1+(Inputs!$B$20+Skills!O7+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1840*(1-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1840*(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1840*(1-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1840*(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0">
        <f>IF(C1840,(H1840*N1840*IF(AND(Inputs!$B$38&lt;&gt;"pvp",Inputs!$B$43&gt;0),((Skills!F7*((R1840-1)*IF(Skills!G7&gt;0,Skills!H7/Skills!G7,1)+IF(Skills!G7&gt;0,MIN(Skills!H7,MAX(0,MAX(0,Inputs!$B$43-B1867)-((R1840-1)*(IF(Inputs!$B$38="pvp",15,MAX(0.1,Skills!D7-IF(TRUE=TRUE,Inputs!$B$32,0)))*(1-IF(AND(ArtifactsInput!$M$27,Inputs!$B$4="Chapter Hunt"),CHOOSE(ArtifactsInput!$N$27+1,20,24,28,32,36,40),0)/100)))))/Skills!G7,1)))/Inputs!$B$43),G1840*Q1840))*IF(Inputs!$B$38="pvp",1,(1+(Inputs!$B$21+Skills!P7+B1861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1">
      <c r="A1841">
        <f>Skills!A8</f>
        <v/>
      </c>
      <c r="B1841">
        <f>Skills!B8</f>
        <v/>
      </c>
      <c r="C1841">
        <f>Inputs!$B$3&gt;=103</f>
        <v/>
      </c>
      <c r="D1841">
        <f>IF(Skills!C8=1,60+Inputs!$B$25+Inputs!$B$29,IF(Skills!C8=2,90+Inputs!$B$26+Inputs!$B$29,IF(Skills!C8=3,120+Inputs!$B$27+Inputs!$B$29,MAX(0,(Inputs!$B$3-100)*3)+Inputs!$B$28+Inputs!$B$29)))</f>
        <v/>
      </c>
      <c r="E1841">
        <f>INDEX(FactorTable!$B$2:$Y$301, MATCH(ROUND(MIN(300,MAX(1,D1841)),0), FactorTable!$A$2:$A$301,0), Skills!L8+1)</f>
        <v/>
      </c>
      <c r="F1841">
        <f>IF(Skills!M8=TRUE,(Skills!K8/10)*(E1841/1000),Skills!K8/10)+Skills!N8</f>
        <v/>
      </c>
      <c r="G1841">
        <f>Calc!G8</f>
        <v/>
      </c>
      <c r="H1841">
        <f>Calc!H8</f>
        <v/>
      </c>
      <c r="I1841">
        <f>IF(Skills!T8&lt;&gt;"",1+(Skills!T8/10)*(Z1836/1000)/100,1)</f>
        <v/>
      </c>
      <c r="J1841">
        <f>((Inputs!$B$6*(1+Inputs!$B$7/100))+(((Inputs!$B$12*(1+Inputs!$B$13/100))-(Inputs!$B$12*(1+Inputs!$B$13/100)))+0.25*(Inputs!$B$14-Inputs!$B$14))*(1+Inputs!$B$7/100))*(F1841/100)</f>
        <v/>
      </c>
      <c r="K1841">
        <f>J1841*(1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8="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1841)</f>
        <v/>
      </c>
      <c r="L1841">
        <f>K1841*(MIN(Inputs!$B$22+(F1851-Calc!F18),(Inputs!$B$23+(IF(ArtifactsInput!$M$15,CHOOSE(ArtifactsInput!$N$15+1,25,30,35,40,45,50)/100*(Inputs!$B$11-Inputs!$B$11),0))))/100+(Inputs!$B$23+(IF(ArtifactsInput!$M$15,CHOOSE(ArtifactsInput!$N$15+1,25,30,35,40,45,50)/100*(Inputs!$B$11-Inputs!$B$11),0)))/100)/2</f>
        <v/>
      </c>
      <c r="M1841">
        <f>L1841*(1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1">
        <f>L1841*(1-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1">
        <f>(1-Summary!$B$11)*S1841+Summary!$B$11*U1841</f>
        <v/>
      </c>
      <c r="P1841">
        <f>IF(B1870=0,0,O1841/B1870)</f>
        <v/>
      </c>
      <c r="Q1841">
        <f>IFERROR(1/(IF(Inputs!$B$38="pvp",15,MAX(0.1,Skills!D8-IF(TRUE=TRUE,Inputs!$B$32,0)))*(1-IF(AND(ArtifactsInput!$M$27,Inputs!$B$4="Chapter Hunt"),CHOOSE(ArtifactsInput!$N$27+1,20,24,28,32,36,40),0)/100)),0)</f>
        <v/>
      </c>
      <c r="R1841">
        <f>IF(AND(Inputs!$B$38&lt;&gt;"pvp",Inputs!$B$43&gt;0),IF(MAX(0,Inputs!$B$43-B1867)&lt;=0,0,(INT(MAX(0,Inputs!$B$43-B1867)/(IF(Inputs!$B$38="pvp",15,MAX(0.1,Skills!D8-IF(TRUE=TRUE,Inputs!$B$32,0)))*(1-IF(AND(ArtifactsInput!$M$27,Inputs!$B$4="Chapter Hunt"),CHOOSE(ArtifactsInput!$N$27+1,20,24,28,32,36,40),0)/100)))+1)),0)</f>
        <v/>
      </c>
      <c r="S1841">
        <f>IF(C1841,(H1841*N1841*IF(AND(Inputs!$B$38&lt;&gt;"pvp",Inputs!$B$43&gt;0),((Skills!F8*((R1841-1)*IF(Skills!G8&gt;0,Skills!H8/Skills!G8,1)+IF(Skills!G8&gt;0,MIN(Skills!H8,MAX(0,MAX(0,Inputs!$B$43-B1867)-((R1841-1)*(IF(Inputs!$B$38="pvp",15,MAX(0.1,Skills!D8-IF(TRUE=TRUE,Inputs!$B$32,0)))*(1-IF(AND(ArtifactsInput!$M$27,Inputs!$B$4="Chapter Hunt"),CHOOSE(ArtifactsInput!$N$27+1,20,24,28,32,36,40),0)/100)))))/Skills!G8,1)))/Inputs!$B$43),G1841*Q1841))*IF(Inputs!$B$38="pvp",1,1+(Inputs!$B$20+Skills!O8+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1841*(1-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1841*(1-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1">
        <f>IF(C1841,(H1841*N1841*IF(AND(Inputs!$B$38&lt;&gt;"pvp",Inputs!$B$43&gt;0),((Skills!F8*((R1841-1)*IF(Skills!G8&gt;0,Skills!H8/Skills!G8,1)+IF(Skills!G8&gt;0,MIN(Skills!H8,MAX(0,MAX(0,Inputs!$B$43-B1867)-((R1841-1)*(IF(Inputs!$B$38="pvp",15,MAX(0.1,Skills!D8-IF(TRUE=TRUE,Inputs!$B$32,0)))*(1-IF(AND(ArtifactsInput!$M$27,Inputs!$B$4="Chapter Hunt"),CHOOSE(ArtifactsInput!$N$27+1,20,24,28,32,36,40),0)/100)))))/Skills!G8,1)))/Inputs!$B$43),G1841*Q1841))*IF(Inputs!$B$38="pvp",1,(1+(Inputs!$B$21+Skills!P8+B1861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2">
      <c r="A1842">
        <f>Skills!A9</f>
        <v/>
      </c>
      <c r="B1842">
        <f>Skills!B9</f>
        <v/>
      </c>
      <c r="C1842">
        <f>Inputs!$B$3&gt;=105</f>
        <v/>
      </c>
      <c r="D1842">
        <f>IF(Skills!C9=1,60+Inputs!$B$25+Inputs!$B$29,IF(Skills!C9=2,90+Inputs!$B$26+Inputs!$B$29,IF(Skills!C9=3,120+Inputs!$B$27+Inputs!$B$29,MAX(0,(Inputs!$B$3-100)*3)+Inputs!$B$28+Inputs!$B$29)))</f>
        <v/>
      </c>
      <c r="E1842">
        <f>INDEX(FactorTable!$B$2:$Y$301, MATCH(ROUND(MIN(300,MAX(1,D1842)),0), FactorTable!$A$2:$A$301,0), Skills!L9+1)</f>
        <v/>
      </c>
      <c r="F1842">
        <f>IF(Skills!M9=TRUE,(Skills!K9/10)*(E1842/1000),Skills!K9/10)+Skills!N9</f>
        <v/>
      </c>
      <c r="G1842">
        <f>Calc!G9</f>
        <v/>
      </c>
      <c r="H1842">
        <f>Calc!H9</f>
        <v/>
      </c>
      <c r="I1842">
        <f>IF(Skills!T9&lt;&gt;"",1+(Skills!T9/10)*(Z1836/1000)/100,1)</f>
        <v/>
      </c>
      <c r="J1842">
        <f>((Inputs!$B$6*(1+Inputs!$B$7/100))+(((Inputs!$B$12*(1+Inputs!$B$13/100))-(Inputs!$B$12*(1+Inputs!$B$13/100)))+0.25*(Inputs!$B$14-Inputs!$B$14))*(1+Inputs!$B$7/100))*(F1842/100)</f>
        <v/>
      </c>
      <c r="K1842">
        <f>J1842*(1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9="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1842)</f>
        <v/>
      </c>
      <c r="L1842">
        <f>K1842*(MIN(Inputs!$B$22+(F1851-Calc!F18),(Inputs!$B$23+(IF(ArtifactsInput!$M$15,CHOOSE(ArtifactsInput!$N$15+1,25,30,35,40,45,50)/100*(Inputs!$B$11-Inputs!$B$11),0))))/100+(Inputs!$B$23+(IF(ArtifactsInput!$M$15,CHOOSE(ArtifactsInput!$N$15+1,25,30,35,40,45,50)/100*(Inputs!$B$11-Inputs!$B$11),0)))/100)/2</f>
        <v/>
      </c>
      <c r="M1842">
        <f>L1842*(1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2">
        <f>L1842*(1-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1842*(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2">
        <f>(1-Summary!$B$11)*S1842+Summary!$B$11*U1842</f>
        <v/>
      </c>
      <c r="P1842">
        <f>IF(B1870=0,0,O1842/B1870)</f>
        <v/>
      </c>
      <c r="Q1842">
        <f>IFERROR(1/(IF(Inputs!$B$38="pvp",15,MAX(0.1,Skills!D9-IF(TRUE=TRUE,Inputs!$B$32,0)))*(1-IF(AND(ArtifactsInput!$M$27,Inputs!$B$4="Chapter Hunt"),CHOOSE(ArtifactsInput!$N$27+1,20,24,28,32,36,40),0)/100)),0)</f>
        <v/>
      </c>
      <c r="R1842">
        <f>IF(AND(Inputs!$B$38&lt;&gt;"pvp",Inputs!$B$43&gt;0),IF(MAX(0,Inputs!$B$43-B1867)&lt;=0,0,(INT(MAX(0,Inputs!$B$43-B1867)/(IF(Inputs!$B$38="pvp",15,MAX(0.1,Skills!D9-IF(TRUE=TRUE,Inputs!$B$32,0)))*(1-IF(AND(ArtifactsInput!$M$27,Inputs!$B$4="Chapter Hunt"),CHOOSE(ArtifactsInput!$N$27+1,20,24,28,32,36,40),0)/100)))+1)),0)</f>
        <v/>
      </c>
      <c r="S1842">
        <f>IF(C1842,(H1842*N1842*IF(AND(Inputs!$B$38&lt;&gt;"pvp",Inputs!$B$43&gt;0),((Skills!F9*((R1842-1)*IF(Skills!G9&gt;0,Skills!H9/Skills!G9,1)+IF(Skills!G9&gt;0,MIN(Skills!H9,MAX(0,MAX(0,Inputs!$B$43-B1867)-((R1842-1)*(IF(Inputs!$B$38="pvp",15,MAX(0.1,Skills!D9-IF(TRUE=TRUE,Inputs!$B$32,0)))*(1-IF(AND(ArtifactsInput!$M$27,Inputs!$B$4="Chapter Hunt"),CHOOSE(ArtifactsInput!$N$27+1,20,24,28,32,36,40),0)/100)))))/Skills!G9,1)))/Inputs!$B$43),G1842*Q1842))*IF(Inputs!$B$38="pvp",1,1+(Inputs!$B$20+Skills!O9+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1842*(1-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1842*(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1842*(1-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1842*(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2">
        <f>IF(C1842,(H1842*N1842*IF(AND(Inputs!$B$38&lt;&gt;"pvp",Inputs!$B$43&gt;0),((Skills!F9*((R1842-1)*IF(Skills!G9&gt;0,Skills!H9/Skills!G9,1)+IF(Skills!G9&gt;0,MIN(Skills!H9,MAX(0,MAX(0,Inputs!$B$43-B1867)-((R1842-1)*(IF(Inputs!$B$38="pvp",15,MAX(0.1,Skills!D9-IF(TRUE=TRUE,Inputs!$B$32,0)))*(1-IF(AND(ArtifactsInput!$M$27,Inputs!$B$4="Chapter Hunt"),CHOOSE(ArtifactsInput!$N$27+1,20,24,28,32,36,40),0)/100)))))/Skills!G9,1)))/Inputs!$B$43),G1842*Q1842))*IF(Inputs!$B$38="pvp",1,(1+(Inputs!$B$21+Skills!P9+B1861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3">
      <c r="A1843">
        <f>Skills!A10</f>
        <v/>
      </c>
      <c r="B1843">
        <f>Skills!B10</f>
        <v/>
      </c>
      <c r="C1843">
        <f>Inputs!$B$3&gt;=113</f>
        <v/>
      </c>
      <c r="D1843">
        <f>IF(Skills!C10=1,60+Inputs!$B$25+Inputs!$B$29,IF(Skills!C10=2,90+Inputs!$B$26+Inputs!$B$29,IF(Skills!C10=3,120+Inputs!$B$27+Inputs!$B$29,MAX(0,(Inputs!$B$3-100)*3)+Inputs!$B$28+Inputs!$B$29)))</f>
        <v/>
      </c>
      <c r="E1843">
        <f>INDEX(FactorTable!$B$2:$Y$301, MATCH(ROUND(MIN(300,MAX(1,D1843)),0), FactorTable!$A$2:$A$301,0), Skills!L10+1)</f>
        <v/>
      </c>
      <c r="F1843">
        <f>IF(Skills!M10=TRUE,(Skills!K10/10)*(E1843/1000),Skills!K10/10)+Skills!N10</f>
        <v/>
      </c>
      <c r="G1843">
        <f>Calc!G10</f>
        <v/>
      </c>
      <c r="H1843">
        <f>Calc!H10</f>
        <v/>
      </c>
      <c r="I1843">
        <f>IF(Skills!T10&lt;&gt;"",1+(Skills!T10/10)*(Z1836/1000)/100,1)</f>
        <v/>
      </c>
      <c r="J1843">
        <f>((Inputs!$B$6*(1+Inputs!$B$7/100))+(((Inputs!$B$12*(1+Inputs!$B$13/100))-(Inputs!$B$12*(1+Inputs!$B$13/100)))+0.25*(Inputs!$B$14-Inputs!$B$14))*(1+Inputs!$B$7/100))*(F1843/100)</f>
        <v/>
      </c>
      <c r="K1843">
        <f>J1843*(1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10="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1843)</f>
        <v/>
      </c>
      <c r="L1843">
        <f>K1843*(MIN(Inputs!$B$22+(F1851-Calc!F18),(Inputs!$B$23+(IF(ArtifactsInput!$M$15,CHOOSE(ArtifactsInput!$N$15+1,25,30,35,40,45,50)/100*(Inputs!$B$11-Inputs!$B$11),0))))/100+(Inputs!$B$23+(IF(ArtifactsInput!$M$15,CHOOSE(ArtifactsInput!$N$15+1,25,30,35,40,45,50)/100*(Inputs!$B$11-Inputs!$B$11),0)))/100)/2</f>
        <v/>
      </c>
      <c r="M1843">
        <f>L1843*(1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3">
        <f>L1843*(1-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1843*(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3">
        <f>(1-Summary!$B$11)*S1843+Summary!$B$11*U1843</f>
        <v/>
      </c>
      <c r="P1843">
        <f>IF(B1870=0,0,O1843/B1870)</f>
        <v/>
      </c>
      <c r="Q1843">
        <f>IFERROR(1/(IF(Inputs!$B$38="pvp",15,MAX(0.1,Skills!D10-IF(TRUE=TRUE,Inputs!$B$32,0)))*(1-IF(AND(ArtifactsInput!$M$27,Inputs!$B$4="Chapter Hunt"),CHOOSE(ArtifactsInput!$N$27+1,20,24,28,32,36,40),0)/100)),0)</f>
        <v/>
      </c>
      <c r="R1843" t="n">
        <v>0</v>
      </c>
      <c r="S1843">
        <f>IF(C1843,((H1843*B1871)/(1+Skills!G10*H1843*B1871)*N1843)*IF(Inputs!$B$38="pvp",1,1+(Inputs!$B$20+Skills!O10+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1843*(1-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1843*(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1843*(1-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1843*(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3">
        <f>IF(C1843,((H1843*B1871)/(1+Skills!G10*H1843*B1871)*N1843)*IF(Inputs!$B$38="pvp",1,(1+(Inputs!$B$21+Skills!P10+B1861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4">
      <c r="A1844">
        <f>Skills!A11</f>
        <v/>
      </c>
      <c r="B1844">
        <f>Skills!B11</f>
        <v/>
      </c>
      <c r="C1844">
        <f>Inputs!$B$3&gt;=107</f>
        <v/>
      </c>
      <c r="D1844">
        <f>IF(Skills!C11=1,60+Inputs!$B$25+Inputs!$B$29,IF(Skills!C11=2,90+Inputs!$B$26+Inputs!$B$29,IF(Skills!C11=3,120+Inputs!$B$27+Inputs!$B$29,MAX(0,(Inputs!$B$3-100)*3)+Inputs!$B$28+Inputs!$B$29)))</f>
        <v/>
      </c>
      <c r="E1844">
        <f>INDEX(FactorTable!$B$2:$Y$301, MATCH(ROUND(MIN(300,MAX(1,D1844)),0), FactorTable!$A$2:$A$301,0), Skills!L11+1)</f>
        <v/>
      </c>
      <c r="F1844">
        <f>IF(Skills!M11=TRUE,(Skills!K11/10)*(E1844/1000),Skills!K11/10)+Skills!N11</f>
        <v/>
      </c>
      <c r="G1844">
        <f>Calc!G11</f>
        <v/>
      </c>
      <c r="H1844">
        <f>Calc!H11</f>
        <v/>
      </c>
      <c r="I1844">
        <f>IF(Skills!T11&lt;&gt;"",1+(Skills!T11/10)*(Z1836/1000)/100,1)</f>
        <v/>
      </c>
      <c r="J1844">
        <f>((Inputs!$B$6*(1+Inputs!$B$7/100))+(((Inputs!$B$12*(1+Inputs!$B$13/100))-(Inputs!$B$12*(1+Inputs!$B$13/100)))+0.25*(Inputs!$B$14-Inputs!$B$14))*(1+Inputs!$B$7/100))*(F1844/100)</f>
        <v/>
      </c>
      <c r="K1844">
        <f>J1844*(1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11="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1844)</f>
        <v/>
      </c>
      <c r="L1844">
        <f>K1844*(MIN(Inputs!$B$22+(F1851-Calc!F18),(Inputs!$B$23+(IF(ArtifactsInput!$M$15,CHOOSE(ArtifactsInput!$N$15+1,25,30,35,40,45,50)/100*(Inputs!$B$11-Inputs!$B$11),0))))/100+(Inputs!$B$23+(IF(ArtifactsInput!$M$15,CHOOSE(ArtifactsInput!$N$15+1,25,30,35,40,45,50)/100*(Inputs!$B$11-Inputs!$B$11),0)))/100)/2</f>
        <v/>
      </c>
      <c r="M1844">
        <f>L1844*(1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4">
        <f>L1844*(1-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1844*(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4">
        <f>(1-Summary!$B$11)*S1844+Summary!$B$11*U1844</f>
        <v/>
      </c>
      <c r="P1844">
        <f>IF(B1870=0,0,O1844/B1870)</f>
        <v/>
      </c>
      <c r="Q1844">
        <f>IFERROR(1/(IF(Inputs!$B$38="pvp",15,MAX(0.1,Skills!D11-IF(TRUE=TRUE,Inputs!$B$32,0)))*(1-IF(AND(ArtifactsInput!$M$27,Inputs!$B$4="Chapter Hunt"),CHOOSE(ArtifactsInput!$N$27+1,20,24,28,32,36,40),0)/100)),0)</f>
        <v/>
      </c>
      <c r="R1844">
        <f>IF(AND(Inputs!$B$38&lt;&gt;"pvp",Inputs!$B$43&gt;0),IF(MAX(0,Inputs!$B$43-B1867)&lt;=0,0,(INT(MAX(0,Inputs!$B$43-B1867)/(IF(Inputs!$B$38="pvp",15,MAX(0.1,Skills!D11-IF(TRUE=TRUE,Inputs!$B$32,0)))*(1-IF(AND(ArtifactsInput!$M$27,Inputs!$B$4="Chapter Hunt"),CHOOSE(ArtifactsInput!$N$27+1,20,24,28,32,36,40),0)/100)))+1)),0)</f>
        <v/>
      </c>
      <c r="S1844">
        <f>IF(C1844,H1844*N1844*IF(AND(Inputs!$B$38&lt;&gt;"pvp",Inputs!$B$43&gt;0),((Skills!F11*((R1844-1)*IF(Skills!G11&gt;0,Skills!H11/Skills!G11,1)+IF(Skills!G11&gt;0,MIN(Skills!H11,MAX(0,MAX(0,Inputs!$B$43-B1867)-((R1844-1)*(IF(Inputs!$B$38="pvp",15,MAX(0.1,Skills!D11-IF(TRUE=TRUE,Inputs!$B$32,0)))*(1-IF(AND(ArtifactsInput!$M$27,Inputs!$B$4="Chapter Hunt"),CHOOSE(ArtifactsInput!$N$27+1,20,24,28,32,36,40),0)/100)))))/Skills!G11,1)))/Inputs!$B$43),G1844*Q1844)*0.5*IF(Inputs!$B$38="pvp",1,1+(Inputs!$B$20+Skills!O11+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1844*(1-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1844*(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1844*(1-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1844*(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4">
        <f>IF(C1844,H1844*N1844*IF(AND(Inputs!$B$38&lt;&gt;"pvp",Inputs!$B$43&gt;0),((Skills!F11*((R1844-1)*IF(Skills!G11&gt;0,Skills!H11/Skills!G11,1)+IF(Skills!G11&gt;0,MIN(Skills!H11,MAX(0,MAX(0,Inputs!$B$43-B1867)-((R1844-1)*(IF(Inputs!$B$38="pvp",15,MAX(0.1,Skills!D11-IF(TRUE=TRUE,Inputs!$B$32,0)))*(1-IF(AND(ArtifactsInput!$M$27,Inputs!$B$4="Chapter Hunt"),CHOOSE(ArtifactsInput!$N$27+1,20,24,28,32,36,40),0)/100)))))/Skills!G11,1)))/Inputs!$B$43),G1844*Q1844)*1*IF(Inputs!$B$38="pvp",1,(1+(Inputs!$B$21+Skills!P11+B1861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5">
      <c r="A1845">
        <f>Skills!A12</f>
        <v/>
      </c>
      <c r="B1845">
        <f>Skills!B12</f>
        <v/>
      </c>
      <c r="C1845">
        <f>Inputs!$B$3&gt;=115</f>
        <v/>
      </c>
      <c r="D1845">
        <f>IF(Skills!C12=1,60+Inputs!$B$25+Inputs!$B$29,IF(Skills!C12=2,90+Inputs!$B$26+Inputs!$B$29,IF(Skills!C12=3,120+Inputs!$B$27+Inputs!$B$29,MAX(0,(Inputs!$B$3-100)*3)+Inputs!$B$28+Inputs!$B$29)))</f>
        <v/>
      </c>
      <c r="E1845">
        <f>INDEX(FactorTable!$B$2:$Y$301, MATCH(ROUND(MIN(300,MAX(1,D1845)),0), FactorTable!$A$2:$A$301,0), Skills!L12+1)</f>
        <v/>
      </c>
      <c r="F1845">
        <f>IF(Skills!M12=TRUE,(Skills!K12/10)*(E1845/1000),Skills!K12/10)+Skills!N12</f>
        <v/>
      </c>
      <c r="G1845">
        <f>Calc!G12</f>
        <v/>
      </c>
      <c r="H1845">
        <f>Calc!H12</f>
        <v/>
      </c>
      <c r="I1845">
        <f>IF(Skills!T12&lt;&gt;"",1+(Skills!T12/10)*(Z1836/1000)/100,1)</f>
        <v/>
      </c>
      <c r="J1845">
        <f>((Inputs!$B$6*(1+Inputs!$B$7/100))+(((Inputs!$B$12*(1+Inputs!$B$13/100))-(Inputs!$B$12*(1+Inputs!$B$13/100)))+0.25*(Inputs!$B$14-Inputs!$B$14))*(1+Inputs!$B$7/100))*(F1845/100)</f>
        <v/>
      </c>
      <c r="K1845">
        <f>J1845*(1+((Inputs!$B$12*(1+Inputs!$B$13/100))*0.01+Inputs!$B$14*0.0025)/100)*(1+(Inputs!$B$15+B1862)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1848=TRUE,F1848,0)/100)*(1+IF(C1856=TRUE,F1856,0)/100)^5*(1+(IF(Skills!A12="CHAIN_LIGHTNING",Inputs!$B$17+((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1860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1845)</f>
        <v/>
      </c>
      <c r="L1845">
        <f>K1845*(MIN(Inputs!$B$22+(F1851-Calc!F18),(Inputs!$B$23+(IF(ArtifactsInput!$M$15,CHOOSE(ArtifactsInput!$N$15+1,25,30,35,40,45,50)/100*(Inputs!$B$11-Inputs!$B$11),0))))/100+(Inputs!$B$23+(IF(ArtifactsInput!$M$15,CHOOSE(ArtifactsInput!$N$15+1,25,30,35,40,45,50)/100*(Inputs!$B$11-Inputs!$B$11),0)))/100)/2</f>
        <v/>
      </c>
      <c r="M1845">
        <f>L1845*(1+(Inputs!$B$10+(F1854-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45">
        <f>L1845*(1-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1845*(MIN((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45">
        <f>(1-Summary!$B$11)*S1845+Summary!$B$11*U1845</f>
        <v/>
      </c>
      <c r="P1845">
        <f>IF(B1870=0,0,O1845/B1870)</f>
        <v/>
      </c>
      <c r="Q1845">
        <f>IFERROR(1/(IF(Inputs!$B$38="pvp",15,MAX(0.1,Skills!D12-IF(TRUE=TRUE,Inputs!$B$32,0)))*(1-IF(AND(ArtifactsInput!$M$27,Inputs!$B$4="Chapter Hunt"),CHOOSE(ArtifactsInput!$N$27+1,20,24,28,32,36,40),0)/100)),0)</f>
        <v/>
      </c>
      <c r="R1845">
        <f>IF(AND(Inputs!$B$38&lt;&gt;"pvp",Inputs!$B$43&gt;0),IF(MAX(0,Inputs!$B$43-B1867)&lt;=0,0,(INT(MAX(0,Inputs!$B$43-B1867)/(IF(Inputs!$B$38="pvp",15,MAX(0.1,Skills!D12-IF(TRUE=TRUE,Inputs!$B$32,0)))*(1-IF(AND(ArtifactsInput!$M$27,Inputs!$B$4="Chapter Hunt"),CHOOSE(ArtifactsInput!$N$27+1,20,24,28,32,36,40),0)/100)))+1)),0)</f>
        <v/>
      </c>
      <c r="S1845">
        <f>IF(C1845,(H1845*N1845*IF(AND(Inputs!$B$38&lt;&gt;"pvp",Inputs!$B$43&gt;0),((Skills!F12*((R1845-1)*IF(Skills!G12&gt;0,Skills!H12/Skills!G12,1)+IF(Skills!G12&gt;0,MIN(Skills!H12,MAX(0,MAX(0,Inputs!$B$43-B1867)-((R1845-1)*(IF(Inputs!$B$38="pvp",15,MAX(0.1,Skills!D12-IF(TRUE=TRUE,Inputs!$B$32,0)))*(1-IF(AND(ArtifactsInput!$M$27,Inputs!$B$4="Chapter Hunt"),CHOOSE(ArtifactsInput!$N$27+1,20,24,28,32,36,40),0)/100)))))/Skills!G12,1)))/Inputs!$B$43),G1845*Q1845))*IF(Inputs!$B$38="pvp",1,1+(Inputs!$B$20+Skills!O12+B1861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1845*(1-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1845*(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1845*(1-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1845*(MIN(100,(Inputs!$B$9+((F1853-Calc!F20)+(F1852-Calc!F19))+(ArtifactsInput!$M$24-ArtifactsInput!$M$24)*CHOOSE(ArtifactsInput!$N$24+1,10,12,14,16,18,20)+(IF(AND(Inputs!$B$38&lt;&gt;"pvp",Inputs!$B$43=0),1,IF(IF(Inputs!$B$38="pvp",15,Inputs!$B$43)-(B1867)&lt;=0,1,MAX(0,IF(Inputs!$B$38="pvp",15,Inputs!$B$43)-MAX(5,B1867))/(IF(Inputs!$B$38="pvp",15,Inputs!$B$43)-(B1867)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45">
        <f>IF(C1845,(H1845*N1845*IF(AND(Inputs!$B$38&lt;&gt;"pvp",Inputs!$B$43&gt;0),((Skills!F12*((R1845-1)*IF(Skills!G12&gt;0,Skills!H12/Skills!G12,1)+IF(Skills!G12&gt;0,MIN(Skills!H12,MAX(0,MAX(0,Inputs!$B$43-B1867)-((R1845-1)*(IF(Inputs!$B$38="pvp",15,MAX(0.1,Skills!D12-IF(TRUE=TRUE,Inputs!$B$32,0)))*(1-IF(AND(ArtifactsInput!$M$27,Inputs!$B$4="Chapter Hunt"),CHOOSE(ArtifactsInput!$N$27+1,20,24,28,32,36,40),0)/100)))))/Skills!G12,1)))/Inputs!$B$43),G1845*Q1845))*IF(Inputs!$B$38="pvp",1,(1+(Inputs!$B$21+Skills!P12+B1861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46">
      <c r="A1846">
        <f>Skills!A13</f>
        <v/>
      </c>
      <c r="B1846">
        <f>Skills!B13</f>
        <v/>
      </c>
      <c r="C1846">
        <f>Inputs!$B$3&gt;=49</f>
        <v/>
      </c>
      <c r="D1846">
        <f>IF(Skills!C13=1,60+Inputs!$B$25+Inputs!$B$29,IF(Skills!C13=2,90+Inputs!$B$26+Inputs!$B$29,IF(Skills!C13=3,120+Inputs!$B$27+Inputs!$B$29,MAX(0,(Inputs!$B$3-100)*3)+Inputs!$B$28+Inputs!$B$29)))</f>
        <v/>
      </c>
      <c r="E1846">
        <f>INDEX(FactorTable!$B$2:$Y$301, MATCH(ROUND(MIN(300,MAX(1,D1846)),0), FactorTable!$A$2:$A$301,0), Skills!L13+1)</f>
        <v/>
      </c>
      <c r="F1846">
        <f>IF(Skills!M13=TRUE,(Skills!K13/10)*(E1846/1000),Skills!K13/10)+Skills!N13</f>
        <v/>
      </c>
      <c r="G1846">
        <f>Calc!G13</f>
        <v/>
      </c>
      <c r="H1846">
        <f>Calc!H13</f>
        <v/>
      </c>
      <c r="I1846">
        <f>IF(Skills!T13&lt;&gt;"",1+(Skills!T13/10)*(Z1836/1000)/100,1)</f>
        <v/>
      </c>
      <c r="J1846" t="inlineStr"/>
      <c r="K1846" t="inlineStr"/>
      <c r="L1846" t="inlineStr"/>
      <c r="M1846" t="inlineStr"/>
      <c r="N1846" t="inlineStr"/>
      <c r="O1846">
        <f>(1-Summary!$B$11)*S1846+Summary!$B$11*U1846</f>
        <v/>
      </c>
      <c r="P1846">
        <f>IF(B1870=0,0,O1846/B1870)</f>
        <v/>
      </c>
      <c r="Q1846">
        <f>IFERROR(1/(IF(Inputs!$B$38="pvp",15,MAX(0.1,Skills!D13-IF(TRUE=TRUE,Inputs!$B$32,0)))*(1-IF(AND(ArtifactsInput!$M$27,Inputs!$B$4="Chapter Hunt"),CHOOSE(ArtifactsInput!$N$27+1,20,24,28,32,36,40),0)/100)),0)</f>
        <v/>
      </c>
      <c r="R1846" t="n">
        <v>0</v>
      </c>
      <c r="S1846" t="n">
        <v>0</v>
      </c>
      <c r="U1846" t="n">
        <v>0</v>
      </c>
    </row>
    <row r="1847">
      <c r="A1847">
        <f>Skills!A14</f>
        <v/>
      </c>
      <c r="B1847">
        <f>Skills!B14</f>
        <v/>
      </c>
      <c r="C1847">
        <f>Inputs!$B$3&gt;=72</f>
        <v/>
      </c>
      <c r="D1847">
        <f>IF(Skills!C14=1,60+Inputs!$B$25+Inputs!$B$29,IF(Skills!C14=2,90+Inputs!$B$26+Inputs!$B$29,IF(Skills!C14=3,120+Inputs!$B$27+Inputs!$B$29,MAX(0,(Inputs!$B$3-100)*3)+Inputs!$B$28+Inputs!$B$29)))</f>
        <v/>
      </c>
      <c r="E1847">
        <f>INDEX(FactorTable!$B$2:$Y$301, MATCH(ROUND(MIN(300,MAX(1,D1847)),0), FactorTable!$A$2:$A$301,0), Skills!L14+1)</f>
        <v/>
      </c>
      <c r="F1847">
        <f>IF(Skills!M14=TRUE,(Skills!K14/10)*(E1847/1000),Skills!K14/10)+Skills!N14</f>
        <v/>
      </c>
      <c r="G1847">
        <f>Calc!G14</f>
        <v/>
      </c>
      <c r="H1847">
        <f>Calc!H14</f>
        <v/>
      </c>
      <c r="I1847">
        <f>IF(Skills!T14&lt;&gt;"",1+(Skills!T14/10)*(Z1836/1000)/100,1)</f>
        <v/>
      </c>
      <c r="J1847" t="inlineStr"/>
      <c r="K1847" t="inlineStr"/>
      <c r="L1847" t="inlineStr"/>
      <c r="M1847" t="inlineStr"/>
      <c r="N1847" t="inlineStr"/>
      <c r="O1847">
        <f>(1-Summary!$B$11)*S1847+Summary!$B$11*U1847</f>
        <v/>
      </c>
      <c r="P1847">
        <f>IF(B1870=0,0,O1847/B1870)</f>
        <v/>
      </c>
      <c r="Q1847">
        <f>IFERROR(1/(IF(Inputs!$B$38="pvp",15,MAX(0.1,Skills!D14-IF(TRUE=TRUE,Inputs!$B$32,0)))*(1-IF(AND(ArtifactsInput!$M$27,Inputs!$B$4="Chapter Hunt"),CHOOSE(ArtifactsInput!$N$27+1,20,24,28,32,36,40),0)/100)),0)</f>
        <v/>
      </c>
      <c r="R1847" t="n">
        <v>0</v>
      </c>
      <c r="S1847" t="n">
        <v>0</v>
      </c>
      <c r="U1847" t="n">
        <v>0</v>
      </c>
    </row>
    <row r="1848">
      <c r="A1848">
        <f>Skills!A15</f>
        <v/>
      </c>
      <c r="B1848">
        <f>Skills!B15</f>
        <v/>
      </c>
      <c r="C1848">
        <f>Inputs!$B$3&gt;=75</f>
        <v/>
      </c>
      <c r="D1848">
        <f>IF(Skills!C15=1,60+Inputs!$B$25+Inputs!$B$29,IF(Skills!C15=2,90+Inputs!$B$26+Inputs!$B$29,IF(Skills!C15=3,120+Inputs!$B$27+Inputs!$B$29,MAX(0,(Inputs!$B$3-100)*3)+Inputs!$B$28+Inputs!$B$29)))</f>
        <v/>
      </c>
      <c r="E1848">
        <f>INDEX(FactorTable!$B$2:$Y$301, MATCH(ROUND(MIN(300,MAX(1,D1848)),0), FactorTable!$A$2:$A$301,0), Skills!L15+1)</f>
        <v/>
      </c>
      <c r="F1848">
        <f>IF(Skills!M15=TRUE,(Skills!K15/10)*(E1848/1000),Skills!K15/10)+Skills!N15</f>
        <v/>
      </c>
      <c r="G1848">
        <f>Calc!G15</f>
        <v/>
      </c>
      <c r="H1848">
        <f>Calc!H15</f>
        <v/>
      </c>
      <c r="I1848">
        <f>IF(Skills!T15&lt;&gt;"",1+(Skills!T15/10)*(Z1836/1000)/100,1)</f>
        <v/>
      </c>
      <c r="J1848" t="inlineStr"/>
      <c r="K1848" t="inlineStr"/>
      <c r="L1848" t="inlineStr"/>
      <c r="M1848" t="inlineStr"/>
      <c r="N1848" t="inlineStr"/>
      <c r="O1848">
        <f>(1-Summary!$B$11)*S1848+Summary!$B$11*U1848</f>
        <v/>
      </c>
      <c r="P1848">
        <f>IF(B1870=0,0,O1848/B1870)</f>
        <v/>
      </c>
      <c r="Q1848">
        <f>IFERROR(1/(IF(Inputs!$B$38="pvp",15,MAX(0.1,Skills!D15-IF(TRUE=TRUE,Inputs!$B$32,0)))*(1-IF(AND(ArtifactsInput!$M$27,Inputs!$B$4="Chapter Hunt"),CHOOSE(ArtifactsInput!$N$27+1,20,24,28,32,36,40),0)/100)),0)</f>
        <v/>
      </c>
      <c r="R1848" t="n">
        <v>0</v>
      </c>
      <c r="S1848" t="n">
        <v>0</v>
      </c>
      <c r="U1848" t="n">
        <v>0</v>
      </c>
    </row>
    <row r="1849">
      <c r="A1849">
        <f>Skills!A16</f>
        <v/>
      </c>
      <c r="B1849">
        <f>Skills!B16</f>
        <v/>
      </c>
      <c r="C1849">
        <f>Inputs!$B$3&gt;=110</f>
        <v/>
      </c>
      <c r="D1849">
        <f>IF(Skills!C16=1,60+Inputs!$B$25+Inputs!$B$29,IF(Skills!C16=2,90+Inputs!$B$26+Inputs!$B$29,IF(Skills!C16=3,120+Inputs!$B$27+Inputs!$B$29,MAX(0,(Inputs!$B$3-100)*3)+Inputs!$B$28+Inputs!$B$29)))</f>
        <v/>
      </c>
      <c r="E1849">
        <f>INDEX(FactorTable!$B$2:$Y$301, MATCH(ROUND(MIN(300,MAX(1,D1849)),0), FactorTable!$A$2:$A$301,0), Skills!L16+1)</f>
        <v/>
      </c>
      <c r="F1849">
        <f>(Skills!K16/10)*(E1849/1000)*64/45+Skills!N16</f>
        <v/>
      </c>
      <c r="G1849">
        <f>Calc!G16</f>
        <v/>
      </c>
      <c r="H1849">
        <f>Calc!H16</f>
        <v/>
      </c>
      <c r="I1849">
        <f>IF(Skills!T16&lt;&gt;"",1+(Skills!T16/10)*(Z1836/1000)/100,1)</f>
        <v/>
      </c>
      <c r="J1849" t="inlineStr"/>
      <c r="K1849" t="inlineStr"/>
      <c r="L1849" t="inlineStr"/>
      <c r="M1849" t="inlineStr"/>
      <c r="N1849" t="inlineStr"/>
      <c r="O1849">
        <f>(1-Summary!$B$11)*S1849+Summary!$B$11*U1849</f>
        <v/>
      </c>
      <c r="P1849">
        <f>IF(B1870=0,0,O1849/B1870)</f>
        <v/>
      </c>
      <c r="Q1849">
        <f>IFERROR(1/(IF(Inputs!$B$38="pvp",15,MAX(0.1,Skills!D16-IF(TRUE=TRUE,Inputs!$B$32,0)))*(1-IF(AND(ArtifactsInput!$M$27,Inputs!$B$4="Chapter Hunt"),CHOOSE(ArtifactsInput!$N$27+1,20,24,28,32,36,40),0)/100)),0)</f>
        <v/>
      </c>
      <c r="R1849">
        <f>IF(AND(Inputs!$B$38&lt;&gt;"pvp",Inputs!$B$43&gt;0),IF(Inputs!$B$43&lt;=0,0,(INT(Inputs!$B$43/(IF(Inputs!$B$38="pvp",15,MAX(0.1,Skills!D16-IF(TRUE=TRUE,Inputs!$B$32,0)))*(1-IF(AND(ArtifactsInput!$M$27,Inputs!$B$4="Chapter Hunt"),CHOOSE(ArtifactsInput!$N$27+1,20,24,28,32,36,40),0)/100)))+1)),0)</f>
        <v/>
      </c>
      <c r="S1849" t="n">
        <v>0</v>
      </c>
      <c r="U1849" t="n">
        <v>0</v>
      </c>
    </row>
    <row r="1850">
      <c r="A1850">
        <f>Skills!A17</f>
        <v/>
      </c>
      <c r="B1850">
        <f>Skills!B17</f>
        <v/>
      </c>
      <c r="C1850">
        <f>Inputs!$B$3&gt;=33</f>
        <v/>
      </c>
      <c r="D1850">
        <f>IF(Skills!C17=1,60+Inputs!$B$25+Inputs!$B$29,IF(Skills!C17=2,90+Inputs!$B$26+Inputs!$B$29,IF(Skills!C17=3,120+Inputs!$B$27+Inputs!$B$29,MAX(0,(Inputs!$B$3-100)*3)+Inputs!$B$28+Inputs!$B$29)))</f>
        <v/>
      </c>
      <c r="E1850">
        <f>INDEX(FactorTable!$B$2:$Y$301, MATCH(ROUND(MIN(300,MAX(1,D1850)),0), FactorTable!$A$2:$A$301,0), Skills!L17+1)</f>
        <v/>
      </c>
      <c r="F1850">
        <f>IF(Skills!M17=TRUE,(Skills!K17/10)*(E1850/1000),Skills!K17/10)+Skills!N17</f>
        <v/>
      </c>
      <c r="G1850">
        <f>Calc!G17</f>
        <v/>
      </c>
      <c r="H1850">
        <f>Calc!H17</f>
        <v/>
      </c>
      <c r="I1850">
        <f>IF(Skills!T17&lt;&gt;"",1+(Skills!T17/10)*(Z1836/1000)/100,1)</f>
        <v/>
      </c>
      <c r="J1850" t="inlineStr"/>
      <c r="K1850" t="inlineStr"/>
      <c r="L1850" t="inlineStr"/>
      <c r="M1850" t="inlineStr"/>
      <c r="N1850" t="inlineStr"/>
      <c r="O1850">
        <f>(1-Summary!$B$11)*S1850+Summary!$B$11*U1850</f>
        <v/>
      </c>
      <c r="P1850">
        <f>IF(B1870=0,0,O1850/B1870)</f>
        <v/>
      </c>
      <c r="Q1850">
        <f>IFERROR(1/(IF(Inputs!$B$38="pvp",15,MAX(0.1,Skills!D17-IF(TRUE=TRUE,Inputs!$B$32,0)))*(1-IF(AND(ArtifactsInput!$M$27,Inputs!$B$4="Chapter Hunt"),CHOOSE(ArtifactsInput!$N$27+1,20,24,28,32,36,40),0)/100)),0)</f>
        <v/>
      </c>
      <c r="R1850" t="n">
        <v>0</v>
      </c>
      <c r="S1850" t="n">
        <v>0</v>
      </c>
      <c r="U1850" t="n">
        <v>0</v>
      </c>
    </row>
    <row r="1851">
      <c r="A1851">
        <f>Skills!A18</f>
        <v/>
      </c>
      <c r="B1851">
        <f>Skills!B18</f>
        <v/>
      </c>
      <c r="C1851">
        <f>Inputs!$B$3&gt;=43</f>
        <v/>
      </c>
      <c r="D1851">
        <f>IF(Skills!C18=1,60+Inputs!$B$25+Inputs!$B$29,IF(Skills!C18=2,90+Inputs!$B$26+Inputs!$B$29,IF(Skills!C18=3,120+Inputs!$B$27+Inputs!$B$29,MAX(0,(Inputs!$B$3-100)*3)+Inputs!$B$28+Inputs!$B$29)))</f>
        <v/>
      </c>
      <c r="E1851">
        <f>INDEX(FactorTable!$B$2:$Y$301, MATCH(ROUND(MIN(300,MAX(1,D1851)),0), FactorTable!$A$2:$A$301,0), Skills!L18+1)</f>
        <v/>
      </c>
      <c r="F1851">
        <f>IF(Skills!M18=TRUE,(Skills!K18/10)*(E1851/1000),Skills!K18/10)+Skills!N18</f>
        <v/>
      </c>
      <c r="G1851">
        <f>Calc!G18</f>
        <v/>
      </c>
      <c r="H1851">
        <f>Calc!H18</f>
        <v/>
      </c>
      <c r="I1851">
        <f>IF(Skills!T18&lt;&gt;"",1+(Skills!T18/10)*(Z1836/1000)/100,1)</f>
        <v/>
      </c>
      <c r="J1851" t="inlineStr"/>
      <c r="K1851" t="inlineStr"/>
      <c r="L1851" t="inlineStr"/>
      <c r="M1851" t="inlineStr"/>
      <c r="N1851" t="inlineStr"/>
      <c r="O1851">
        <f>(1-Summary!$B$11)*S1851+Summary!$B$11*U1851</f>
        <v/>
      </c>
      <c r="P1851">
        <f>IF(B1870=0,0,O1851/B1870)</f>
        <v/>
      </c>
      <c r="Q1851">
        <f>IFERROR(1/(IF(Inputs!$B$38="pvp",15,MAX(0.1,Skills!D18-IF(TRUE=TRUE,Inputs!$B$32,0)))*(1-IF(AND(ArtifactsInput!$M$27,Inputs!$B$4="Chapter Hunt"),CHOOSE(ArtifactsInput!$N$27+1,20,24,28,32,36,40),0)/100)),0)</f>
        <v/>
      </c>
      <c r="R1851" t="n">
        <v>0</v>
      </c>
      <c r="S1851" t="n">
        <v>0</v>
      </c>
      <c r="U1851" t="n">
        <v>0</v>
      </c>
    </row>
    <row r="1852">
      <c r="A1852">
        <f>Skills!A19</f>
        <v/>
      </c>
      <c r="B1852">
        <f>Skills!B19</f>
        <v/>
      </c>
      <c r="C1852">
        <f>Inputs!$B$3&gt;=50</f>
        <v/>
      </c>
      <c r="D1852">
        <f>IF(Skills!C19=1,60+Inputs!$B$25+Inputs!$B$29,IF(Skills!C19=2,90+Inputs!$B$26+Inputs!$B$29,IF(Skills!C19=3,120+Inputs!$B$27+Inputs!$B$29,MAX(0,(Inputs!$B$3-100)*3)+Inputs!$B$28+Inputs!$B$29)))</f>
        <v/>
      </c>
      <c r="E1852">
        <f>INDEX(FactorTable!$B$2:$Y$301, MATCH(ROUND(MIN(300,MAX(1,D1852)),0), FactorTable!$A$2:$A$301,0), Skills!L19+1)</f>
        <v/>
      </c>
      <c r="F1852">
        <f>IF(Skills!M19=TRUE,(Skills!K19/10)*(E1852/1000),Skills!K19/10)+Skills!N19</f>
        <v/>
      </c>
      <c r="G1852">
        <f>Calc!G19</f>
        <v/>
      </c>
      <c r="H1852">
        <f>Calc!H19</f>
        <v/>
      </c>
      <c r="I1852">
        <f>IF(Skills!T19&lt;&gt;"",1+(Skills!T19/10)*(Z1836/1000)/100,1)</f>
        <v/>
      </c>
      <c r="J1852" t="inlineStr"/>
      <c r="K1852" t="inlineStr"/>
      <c r="L1852" t="inlineStr"/>
      <c r="M1852" t="inlineStr"/>
      <c r="N1852" t="inlineStr"/>
      <c r="O1852">
        <f>(1-Summary!$B$11)*S1852+Summary!$B$11*U1852</f>
        <v/>
      </c>
      <c r="P1852">
        <f>IF(B1870=0,0,O1852/B1870)</f>
        <v/>
      </c>
      <c r="Q1852">
        <f>IFERROR(1/(IF(Inputs!$B$38="pvp",15,MAX(0.1,Skills!D19-IF(TRUE=TRUE,Inputs!$B$32,0)))*(1-IF(AND(ArtifactsInput!$M$27,Inputs!$B$4="Chapter Hunt"),CHOOSE(ArtifactsInput!$N$27+1,20,24,28,32,36,40),0)/100)),0)</f>
        <v/>
      </c>
      <c r="R1852" t="n">
        <v>0</v>
      </c>
      <c r="S1852" t="n">
        <v>0</v>
      </c>
      <c r="U1852" t="n">
        <v>0</v>
      </c>
    </row>
    <row r="1853">
      <c r="A1853">
        <f>Skills!A20</f>
        <v/>
      </c>
      <c r="B1853">
        <f>Skills!B20</f>
        <v/>
      </c>
      <c r="C1853">
        <f>Inputs!$B$3&gt;=74</f>
        <v/>
      </c>
      <c r="D1853">
        <f>IF(Skills!C20=1,60+Inputs!$B$25+Inputs!$B$29,IF(Skills!C20=2,90+Inputs!$B$26+Inputs!$B$29,IF(Skills!C20=3,120+Inputs!$B$27+Inputs!$B$29,MAX(0,(Inputs!$B$3-100)*3)+Inputs!$B$28+Inputs!$B$29)))</f>
        <v/>
      </c>
      <c r="E1853">
        <f>INDEX(FactorTable!$B$2:$Y$301, MATCH(ROUND(MIN(300,MAX(1,D1853)),0), FactorTable!$A$2:$A$301,0), Skills!L20+1)</f>
        <v/>
      </c>
      <c r="F1853">
        <f>IF(Skills!M20=TRUE,(Skills!K20/10)*(E1853/1000),Skills!K20/10)+Skills!N20</f>
        <v/>
      </c>
      <c r="G1853">
        <f>Calc!G20</f>
        <v/>
      </c>
      <c r="H1853">
        <f>Calc!H20</f>
        <v/>
      </c>
      <c r="I1853">
        <f>IF(Skills!T20&lt;&gt;"",1+(Skills!T20/10)*(Z1836/1000)/100,1)</f>
        <v/>
      </c>
      <c r="J1853" t="inlineStr"/>
      <c r="K1853" t="inlineStr"/>
      <c r="L1853" t="inlineStr"/>
      <c r="M1853" t="inlineStr"/>
      <c r="N1853" t="inlineStr"/>
      <c r="O1853">
        <f>(1-Summary!$B$11)*S1853+Summary!$B$11*U1853</f>
        <v/>
      </c>
      <c r="P1853">
        <f>IF(B1870=0,0,O1853/B1870)</f>
        <v/>
      </c>
      <c r="Q1853">
        <f>IFERROR(1/(IF(Inputs!$B$38="pvp",15,MAX(0.1,Skills!D20-IF(TRUE=TRUE,Inputs!$B$32,0)))*(1-IF(AND(ArtifactsInput!$M$27,Inputs!$B$4="Chapter Hunt"),CHOOSE(ArtifactsInput!$N$27+1,20,24,28,32,36,40),0)/100)),0)</f>
        <v/>
      </c>
      <c r="R1853" t="n">
        <v>0</v>
      </c>
      <c r="S1853" t="n">
        <v>0</v>
      </c>
      <c r="U1853" t="n">
        <v>0</v>
      </c>
    </row>
    <row r="1854">
      <c r="A1854">
        <f>Skills!A21</f>
        <v/>
      </c>
      <c r="B1854">
        <f>Skills!B21</f>
        <v/>
      </c>
      <c r="C1854">
        <f>Inputs!$B$3&gt;=74</f>
        <v/>
      </c>
      <c r="D1854">
        <f>IF(Skills!C21=1,60+Inputs!$B$25+Inputs!$B$29,IF(Skills!C21=2,90+Inputs!$B$26+Inputs!$B$29,IF(Skills!C21=3,120+Inputs!$B$27+Inputs!$B$29,MAX(0,(Inputs!$B$3-100)*3)+Inputs!$B$28+Inputs!$B$29)))</f>
        <v/>
      </c>
      <c r="E1854">
        <f>INDEX(FactorTable!$B$2:$Y$301, MATCH(ROUND(MIN(300,MAX(1,D1854)),0), FactorTable!$A$2:$A$301,0), Skills!L21+1)</f>
        <v/>
      </c>
      <c r="F1854">
        <f>IF(Skills!M21=TRUE,(Skills!K21/10)*(E1854/1000),Skills!K21/10)+Skills!N21</f>
        <v/>
      </c>
      <c r="G1854">
        <f>Calc!G21</f>
        <v/>
      </c>
      <c r="H1854">
        <f>Calc!H21</f>
        <v/>
      </c>
      <c r="I1854">
        <f>IF(Skills!T21&lt;&gt;"",1+(Skills!T21/10)*(Z1836/1000)/100,1)</f>
        <v/>
      </c>
      <c r="J1854" t="inlineStr"/>
      <c r="K1854" t="inlineStr"/>
      <c r="L1854" t="inlineStr"/>
      <c r="M1854" t="inlineStr"/>
      <c r="N1854" t="inlineStr"/>
      <c r="O1854">
        <f>(1-Summary!$B$11)*S1854+Summary!$B$11*U1854</f>
        <v/>
      </c>
      <c r="P1854">
        <f>IF(B1870=0,0,O1854/B1870)</f>
        <v/>
      </c>
      <c r="Q1854">
        <f>IFERROR(1/(IF(Inputs!$B$38="pvp",15,MAX(0.1,Skills!D21-IF(TRUE=TRUE,Inputs!$B$32,0)))*(1-IF(AND(ArtifactsInput!$M$27,Inputs!$B$4="Chapter Hunt"),CHOOSE(ArtifactsInput!$N$27+1,20,24,28,32,36,40),0)/100)),0)</f>
        <v/>
      </c>
      <c r="R1854" t="n">
        <v>0</v>
      </c>
      <c r="S1854" t="n">
        <v>0</v>
      </c>
      <c r="U1854" t="n">
        <v>0</v>
      </c>
    </row>
    <row r="1855">
      <c r="A1855">
        <f>Skills!A22</f>
        <v/>
      </c>
      <c r="B1855">
        <f>Skills!B22</f>
        <v/>
      </c>
      <c r="C1855">
        <f>Inputs!$B$3&gt;=117</f>
        <v/>
      </c>
      <c r="D1855">
        <f>IF(Skills!C22=1,60+Inputs!$B$25+Inputs!$B$29,IF(Skills!C22=2,90+Inputs!$B$26+Inputs!$B$29,IF(Skills!C22=3,120+Inputs!$B$27+Inputs!$B$29,MAX(0,(Inputs!$B$3-100)*3)+Inputs!$B$28+Inputs!$B$29)))</f>
        <v/>
      </c>
      <c r="E1855">
        <f>INDEX(FactorTable!$B$2:$Y$301, MATCH(ROUND(MIN(300,MAX(1,D1855)),0), FactorTable!$A$2:$A$301,0), Skills!L22+1)</f>
        <v/>
      </c>
      <c r="F1855">
        <f>IF(Skills!M22=TRUE,(Skills!K22/10)*(E1855/1000),Skills!K22/10)+Skills!N22</f>
        <v/>
      </c>
      <c r="G1855">
        <f>Calc!G22</f>
        <v/>
      </c>
      <c r="H1855">
        <f>Calc!H22</f>
        <v/>
      </c>
      <c r="I1855">
        <f>IF(Skills!T22&lt;&gt;"",1+(Skills!T22/10)*(Z1836/1000)/100,1)</f>
        <v/>
      </c>
      <c r="J1855" t="inlineStr"/>
      <c r="K1855" t="inlineStr"/>
      <c r="L1855" t="inlineStr"/>
      <c r="M1855" t="inlineStr"/>
      <c r="N1855" t="inlineStr"/>
      <c r="O1855">
        <f>(1-Summary!$B$11)*S1855+Summary!$B$11*U1855</f>
        <v/>
      </c>
      <c r="P1855">
        <f>IF(B1870=0,0,O1855/B1870)</f>
        <v/>
      </c>
      <c r="Q1855">
        <f>IFERROR(1/(IF(Inputs!$B$38="pvp",15,MAX(0.1,Skills!D22-IF(TRUE=TRUE,Inputs!$B$32,0)))*(1-IF(AND(ArtifactsInput!$M$27,Inputs!$B$4="Chapter Hunt"),CHOOSE(ArtifactsInput!$N$27+1,20,24,28,32,36,40),0)/100)),0)</f>
        <v/>
      </c>
      <c r="R1855" t="n">
        <v>0</v>
      </c>
      <c r="S1855" t="n">
        <v>0</v>
      </c>
      <c r="U1855" t="n">
        <v>0</v>
      </c>
    </row>
    <row r="1856">
      <c r="A1856">
        <f>Skills!A23</f>
        <v/>
      </c>
      <c r="B1856">
        <f>Skills!B23</f>
        <v/>
      </c>
      <c r="C1856">
        <f>Inputs!$B$3&gt;=120</f>
        <v/>
      </c>
      <c r="D1856">
        <f>IF(Skills!C23=1,60+Inputs!$B$25+Inputs!$B$29,IF(Skills!C23=2,90+Inputs!$B$26+Inputs!$B$29,IF(Skills!C23=3,120+Inputs!$B$27+Inputs!$B$29,MAX(0,(Inputs!$B$3-100)*3)+Inputs!$B$28+Inputs!$B$29)))</f>
        <v/>
      </c>
      <c r="E1856">
        <f>INDEX(FactorTable!$B$2:$Y$301, MATCH(ROUND(MIN(300,MAX(1,D1856)),0), FactorTable!$A$2:$A$301,0), Skills!L23+1)</f>
        <v/>
      </c>
      <c r="F1856">
        <f>IF(Skills!M23=TRUE,(Skills!K23/10)*(E1856/1000),Skills!K23/10)+Skills!N23</f>
        <v/>
      </c>
      <c r="G1856">
        <f>Calc!G23</f>
        <v/>
      </c>
      <c r="H1856">
        <f>Calc!H23</f>
        <v/>
      </c>
      <c r="I1856">
        <f>IF(Skills!T23&lt;&gt;"",1+(Skills!T23/10)*(Z1836/1000)/100,1)</f>
        <v/>
      </c>
      <c r="J1856" t="inlineStr"/>
      <c r="K1856" t="inlineStr"/>
      <c r="L1856" t="inlineStr"/>
      <c r="M1856" t="inlineStr"/>
      <c r="N1856" t="inlineStr"/>
      <c r="O1856">
        <f>(1-Summary!$B$11)*S1856+Summary!$B$11*U1856</f>
        <v/>
      </c>
      <c r="P1856">
        <f>IF(B1870=0,0,O1856/B1870)</f>
        <v/>
      </c>
      <c r="Q1856">
        <f>IFERROR(1/(IF(Inputs!$B$38="pvp",15,MAX(0.1,Skills!D23-IF(TRUE=TRUE,Inputs!$B$32,0)))*(1-IF(AND(ArtifactsInput!$M$27,Inputs!$B$4="Chapter Hunt"),CHOOSE(ArtifactsInput!$N$27+1,20,24,28,32,36,40),0)/100)),0)</f>
        <v/>
      </c>
      <c r="R1856" t="n">
        <v>0</v>
      </c>
      <c r="S1856" t="n">
        <v>0</v>
      </c>
      <c r="U1856" t="n">
        <v>0</v>
      </c>
    </row>
    <row r="1857">
      <c r="A1857">
        <f>Skills!A24</f>
        <v/>
      </c>
      <c r="B1857">
        <f>Skills!B24</f>
        <v/>
      </c>
      <c r="C1857">
        <f>TRUE</f>
        <v/>
      </c>
      <c r="D1857">
        <f>IF(Skills!C24=1,60+Inputs!$B$25+Inputs!$B$29,IF(Skills!C24=2,90+Inputs!$B$26+Inputs!$B$29,IF(Skills!C24=3,120+Inputs!$B$27+Inputs!$B$29,MAX(0,(Inputs!$B$3-100)*3)+Inputs!$B$28+Inputs!$B$29)))</f>
        <v/>
      </c>
      <c r="E1857">
        <f>INDEX(FactorTable!$B$2:$Y$301, MATCH(ROUND(MIN(300,MAX(1,D1857)),0), FactorTable!$A$2:$A$301,0), Skills!L24+1)</f>
        <v/>
      </c>
      <c r="F1857">
        <f>IF(Skills!M24=TRUE,(Skills!K24/10)*(E1857/1000),Skills!K24/10)+Skills!N24</f>
        <v/>
      </c>
      <c r="G1857">
        <f>Calc!G24</f>
        <v/>
      </c>
      <c r="H1857">
        <f>Calc!H24</f>
        <v/>
      </c>
      <c r="I1857">
        <f>IF(Skills!T24&lt;&gt;"",1+(Skills!T24/10)*(Z1836/1000)/100,1)</f>
        <v/>
      </c>
      <c r="J1857" t="inlineStr"/>
      <c r="K1857" t="inlineStr"/>
      <c r="L1857" t="inlineStr"/>
      <c r="M1857" t="inlineStr"/>
      <c r="N1857" t="inlineStr"/>
      <c r="O1857">
        <f>(1-Summary!$B$11)*S1857+Summary!$B$11*U1857</f>
        <v/>
      </c>
      <c r="P1857">
        <f>IF(B1870=0,0,O1857/B1870)</f>
        <v/>
      </c>
      <c r="Q1857">
        <f>IFERROR(1/(IF(Inputs!$B$38="pvp",15,MAX(0.1,Skills!D24-IF(TRUE=TRUE,Inputs!$B$32,0)))*(1-IF(AND(ArtifactsInput!$M$27,Inputs!$B$4="Chapter Hunt"),CHOOSE(ArtifactsInput!$N$27+1,20,24,28,32,36,40),0)/100)),0)</f>
        <v/>
      </c>
      <c r="R1857">
        <f>IF(AND(Inputs!$B$38&lt;&gt;"pvp",Inputs!$B$43&gt;0),IF(Inputs!$B$43&lt;=0,0,(INT(Inputs!$B$43/(IF(Inputs!$B$38="pvp",15,MAX(0.1,Skills!D24-IF(TRUE=TRUE,Inputs!$B$32,0)))*(1-IF(AND(ArtifactsInput!$M$27,Inputs!$B$4="Chapter Hunt"),CHOOSE(ArtifactsInput!$N$27+1,20,24,28,32,36,40),0)/100)))+1)),0)</f>
        <v/>
      </c>
      <c r="S1857" t="n">
        <v>0</v>
      </c>
      <c r="U1857" t="n">
        <v>0</v>
      </c>
    </row>
    <row r="1860">
      <c r="A1860" t="inlineStr">
        <is>
          <t>Average Buff Multiplier (Magic Guard + Meditation + Artifact Attack%, summed; then Infinity)</t>
        </is>
      </c>
      <c r="B1860">
        <f>(1+(IF(C1836=TRUE,F1836*IF(AND(Inputs!$B$38&lt;&gt;"pvp",Inputs!$B$43&gt;0),(((R1836-1)*MIN((Skills!S3*(1+(Inputs!$B$34)/100)),(1/Q1836))+MIN((Skills!S3*(1+(Inputs!$B$34)/100)),MAX(0,Inputs!$B$43-((R1836-1)*(1/Q1836)))))/Inputs!$B$43),IF(Inputs!$B$38="pvp",MIN((Skills!S3*(1+(Inputs!$B$34)/100)),15)/15,MIN(1,(Skills!S3*(1+(Inputs!$B$34)/100))/(1/Q1836)))),0)+IF(C1837=TRUE,F1837*IF(AND(Inputs!$B$38&lt;&gt;"pvp",Inputs!$B$43&gt;0),(((R1837-1)*MIN((Skills!S4*(1+(Inputs!$B$34)/100)),(1/Q1837))+MIN((Skills!S4*(1+(Inputs!$B$34)/100)),MAX(0,Inputs!$B$43-((R1837-1)*(1/Q1837)))))/Inputs!$B$43),IF(Inputs!$B$38="pvp",MIN((Skills!S4*(1+(Inputs!$B$34)/100)),15)/15,MIN(1,(Skills!S4*(1+(Inputs!$B$34)/100))/(1/Q1837)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1849=TRUE,(1+F1849*IF(AND(Inputs!$B$38&lt;&gt;"pvp",Inputs!$B$43&gt;0),(((R1849-1)*MIN((Skills!S16*(1+(Inputs!$B$34)/100)),(1/Q1849))+MIN((Skills!S16*(1+(Inputs!$B$34)/100)),MAX(0,Inputs!$B$43-((R1849-1)*(1/Q1849)))))/Inputs!$B$43),IF(Inputs!$B$38="pvp",MIN((Skills!S16*(1+(Inputs!$B$34)/100)),15)/15,MIN(1,(Skills!S16*(1+(Inputs!$B$34)/100))/(1/Q1849))))/100),1)</f>
        <v/>
      </c>
    </row>
    <row r="1861">
      <c r="A1861" t="inlineStr">
        <is>
          <t>Monster Damage Taken Bonus % (Freezing Breath - Weaken + Elemental Reset + Artifact Enemy Damage Taken, summed)</t>
        </is>
      </c>
      <c r="B1861">
        <f>IF(Inputs!$B$3&gt;=118,15*IF(Inputs!$B$38="pvp",MIN((30*(1+(Inputs!$B$34)/100)),15)/15,MIN(1,(30*(1+(Inputs!$B$34)/100))/(1/Q1841))),0)+IF(C1847=TRUE,F1847,0)+(IF(AND(ArtifactsInput!$M$35,Inputs!$B$4&lt;&gt;"Chapter Hunt"),CHOOSE(ArtifactsInput!$N$35+1,15,18,21,24,27,30)*(1-EXP(-(0.2*B1864)*5)),0)+IF(AND(ArtifactsInput!$M$22,Inputs!$B$4&lt;&gt;"Chapter Hunt"),CHOOSE(ArtifactsInput!$N$22+1,10,12,14,16,18,20)*((0*(((0.15*B1864*5))^0/1)+1*(((0.15*B1864*5))^1/1)+2*(((0.15*B1864*5))^2/2)+3*(((0.15*B1864*5))^3/6)+4*(((0.15*B1864*5))^4/24)+5*(((0.15*B1864*5))^5/120))/((((0.15*B1864*5))^0/1)+(((0.15*B1864*5))^1/1)+(((0.15*B1864*5))^2/2)+(((0.15*B1864*5))^3/6)+(((0.15*B1864*5))^4/24)+(((0.15*B1864*5))^5/120))),0))</f>
        <v/>
      </c>
    </row>
    <row r="1862">
      <c r="A1862" t="inlineStr">
        <is>
          <t>Damage % Bonus (Frozen Break + Frost Clutch, flat)</t>
        </is>
      </c>
      <c r="B1862">
        <f>IF(Inputs!$B$3&gt;=66,15,0)+IF(Inputs!$B$3&gt;=98,10,0)+IF(Inputs!$B$3&gt;=125,20,0)</f>
        <v/>
      </c>
    </row>
    <row r="1863">
      <c r="A1863" t="inlineStr">
        <is>
          <t>Attack Speed Bonus % (MP Eater - MP Boost, always-on + Nimble Feet, duty-cycle averaged)</t>
        </is>
      </c>
      <c r="B1863">
        <f>IF(C1846=TRUE,F1846+(F1850-Calc!F17),0)+((C1857=TRUE)*F1857*IF(AND(Inputs!$B$38&lt;&gt;"pvp",Inputs!$B$43&gt;0),(((R1857-1)*MIN((Skills!S24*(1+(Inputs!$B$34)/100)),(1/Q1857))+MIN((Skills!S24*(1+(Inputs!$B$34)/100)),MAX(0,Inputs!$B$43-((R1857-1)*(1/Q1857)))))/Inputs!$B$43),IF(Inputs!$B$38="pvp",MIN((Skills!S24*(1+(Inputs!$B$34)/100)),15)/15,MIN(1,(Skills!S24*(1+(Inputs!$B$34)/100))/(1/Q1857)))))</f>
        <v/>
      </c>
    </row>
    <row r="1864">
      <c r="A1864" t="inlineStr">
        <is>
          <t>Actions Per Second</t>
        </is>
      </c>
      <c r="B1864">
        <f>1+MIN(150,150*(1-(1-(Inputs!$B$11+(ArtifactsInput!$M$15-ArtifactsInput!$M$15)*CHOOSE(ArtifactsInput!$N$15+1,8,9.6,11.2,12.8,14.4,16))/150)*(1-B1863/150)))/100</f>
        <v/>
      </c>
    </row>
    <row r="1865">
      <c r="A1865" t="inlineStr">
        <is>
          <t>Skill + Buff Cast Rate</t>
        </is>
      </c>
      <c r="B1865">
        <f>IF(AND(Inputs!$B$38&lt;&gt;"pvp",Inputs!$B$43&gt;0),SUMPRODUCT((Skills!E2:E24=TRUE)*(C1835:C1857=TRUE)*R1835:R1857)/Inputs!$B$43,SUMPRODUCT((Skills!E2:E24=TRUE)*(C1835:C1857=TRUE)*Q1835:Q1857))</f>
        <v/>
      </c>
    </row>
    <row r="1866">
      <c r="A1866" t="inlineStr">
        <is>
          <t>Chain Lightning Casts Per Second</t>
        </is>
      </c>
      <c r="B1866">
        <f>MAX(0,B1864-B1865)</f>
        <v/>
      </c>
    </row>
    <row r="1867">
      <c r="A1867" t="inlineStr">
        <is>
          <t>Buff-Casting Startup Delay (s, fixed-duration only)</t>
        </is>
      </c>
      <c r="B1867">
        <f>IF(AND(Inputs!$B$38&lt;&gt;"pvp",Inputs!$B$43&gt;0),SUMPRODUCT((Skills!S2:S24&gt;0)*(Skills!E2:E24=TRUE)*(C1835:C1857=TRUE))/B1864,0)</f>
        <v/>
      </c>
    </row>
    <row r="1868">
      <c r="A1868" t="inlineStr">
        <is>
          <t>Boss-Only Total DPS (this block's swept value)</t>
        </is>
      </c>
      <c r="B1868">
        <f>SUM(S1835:S1857)</f>
        <v/>
      </c>
    </row>
    <row r="1869">
      <c r="A1869" t="inlineStr">
        <is>
          <t>Normal-Only Total DPS (this block's swept value)</t>
        </is>
      </c>
      <c r="B1869">
        <f>SUM(U1835:U1857)</f>
        <v/>
      </c>
    </row>
    <row r="1870">
      <c r="A1870" s="6" t="inlineStr">
        <is>
          <t>TOTAL DPS</t>
        </is>
      </c>
      <c r="B1870" s="6">
        <f>SUM(O1835:O1857)</f>
        <v/>
      </c>
    </row>
    <row r="1871">
      <c r="A1871" t="inlineStr">
        <is>
          <t>Blizzard Final Attack trigger rate (this block's own Q/R)</t>
        </is>
      </c>
      <c r="B1871">
        <f>IF(AND(Inputs!$B$38&lt;&gt;"pvp",Inputs!$B$43&gt;0),(((C1838=TRUE)*R1838*1)+((C1839=TRUE)*R1839*1)+((C1841=TRUE)*R1841*1)+((C1842=TRUE)*R1842*3)+((C1844=TRUE)*R1844*1))/Inputs!$B$43,((C1838=TRUE)*Q1838*1)+((C1839=TRUE)*Q1839*1)+((C1841=TRUE)*Q1841*1)+((C1842=TRUE)*Q1842*3)+((C1844=TRUE)*Q1844*1))+B1866</f>
        <v/>
      </c>
    </row>
    <row r="1874">
      <c r="A1874" s="6" t="inlineStr">
        <is>
          <t>Stat: Fire Flower (Equip)</t>
        </is>
      </c>
    </row>
    <row r="1875">
      <c r="A1875" s="5" t="inlineStr">
        <is>
          <t>Key</t>
        </is>
      </c>
      <c r="B1875" s="5" t="inlineStr">
        <is>
          <t>Name</t>
        </is>
      </c>
      <c r="C1875" s="5" t="inlineStr">
        <is>
          <t>Unlocked</t>
        </is>
      </c>
      <c r="D1875" s="5" t="inlineStr">
        <is>
          <t>InputLevel</t>
        </is>
      </c>
      <c r="E1875" s="5" t="inlineStr">
        <is>
          <t>Factor</t>
        </is>
      </c>
      <c r="F1875" s="5" t="inlineStr">
        <is>
          <t>CoefficientPercent</t>
        </is>
      </c>
      <c r="G1875" s="5" t="inlineStr">
        <is>
          <t>EffectiveHits</t>
        </is>
      </c>
      <c r="H1875" s="5" t="inlineStr">
        <is>
          <t>ProcProbability</t>
        </is>
      </c>
      <c r="I1875" s="5" t="inlineStr">
        <is>
          <t>MapleHeroMultiplier</t>
        </is>
      </c>
      <c r="J1875" s="5" t="inlineStr">
        <is>
          <t>BaseDamage</t>
        </is>
      </c>
      <c r="K1875" s="5" t="inlineStr">
        <is>
          <t>BaseHitDamage</t>
        </is>
      </c>
      <c r="L1875" s="5" t="inlineStr">
        <is>
          <t>NonCritAvg</t>
        </is>
      </c>
      <c r="M1875" s="5" t="inlineStr">
        <is>
          <t>CritAvg</t>
        </is>
      </c>
      <c r="N1875" s="5" t="inlineStr">
        <is>
          <t>ExpectedDamage(perHit)</t>
        </is>
      </c>
      <c r="O1875" s="5" t="inlineStr">
        <is>
          <t>DPS</t>
        </is>
      </c>
      <c r="P1875" s="5" t="inlineStr">
        <is>
          <t>% of Total</t>
        </is>
      </c>
      <c r="R1875" t="inlineStr">
        <is>
          <t>helpers</t>
        </is>
      </c>
    </row>
    <row r="1876">
      <c r="A1876">
        <f>Skills!A2</f>
        <v/>
      </c>
      <c r="B1876">
        <f>Skills!B2</f>
        <v/>
      </c>
      <c r="C1876">
        <f>Inputs!$B$3&gt;=100</f>
        <v/>
      </c>
      <c r="D1876" t="inlineStr"/>
      <c r="E1876" t="inlineStr"/>
      <c r="F1876">
        <f>T1878+Skills!N2</f>
        <v/>
      </c>
      <c r="G1876">
        <f>Calc!G2</f>
        <v/>
      </c>
      <c r="H1876">
        <f>Calc!H2</f>
        <v/>
      </c>
      <c r="I1876">
        <f>IF(Skills!T2&lt;&gt;"",1+(Skills!T2/10)*(Z1877/1000)/100,1)</f>
        <v/>
      </c>
      <c r="J1876">
        <f>((Inputs!$B$6*(1+Inputs!$B$7/100))+(((Inputs!$B$12*(1+Inputs!$B$13/100))-(Inputs!$B$12*(1+Inputs!$B$13/100)))+0.25*(Inputs!$B$14-Inputs!$B$14))*(1+Inputs!$B$7/100))*(F1876/100)</f>
        <v/>
      </c>
      <c r="K1876">
        <f>J1876*(1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2="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1876)</f>
        <v/>
      </c>
      <c r="L1876">
        <f>K1876*(MIN(Inputs!$B$22+(F1892-Calc!F18),(Inputs!$B$23+(IF(ArtifactsInput!$M$15,CHOOSE(ArtifactsInput!$N$15+1,25,30,35,40,45,50)/100*(Inputs!$B$11-Inputs!$B$11),0))))/100+(Inputs!$B$23+(IF(ArtifactsInput!$M$15,CHOOSE(ArtifactsInput!$N$15+1,25,30,35,40,45,50)/100*(Inputs!$B$11-Inputs!$B$11),0)))/100)/2</f>
        <v/>
      </c>
      <c r="M1876">
        <f>L1876*(1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6">
        <f>L1876*(1-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1876*(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6">
        <f>(1-Summary!$B$11)*S1876+Summary!$B$11*U1876</f>
        <v/>
      </c>
      <c r="P1876">
        <f>IF(B1911=0,0,O1876/B1911)</f>
        <v/>
      </c>
      <c r="Q1876">
        <f>IFERROR(1/(IF(Inputs!$B$38="pvp",15,MAX(0.1,Skills!D2-IF(TRUE=TRUE,Inputs!$B$32,0)))*(1-IF(AND(ArtifactsInput!$M$27,Inputs!$B$4="Chapter Hunt"),CHOOSE(ArtifactsInput!$N$27+1,20,24,28,32,36,40),0)/100)),0)</f>
        <v/>
      </c>
      <c r="R1876" t="n">
        <v>0</v>
      </c>
      <c r="S1876">
        <f>IF(C1876,(Skills!F2*N1876*B1907)*IF(Inputs!$B$38="pvp",1,1+(Inputs!$B$20+Skills!O2+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1876*(1-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1876*(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1876*(1-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1876*(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876">
        <f>MAX(0,(Inputs!$B$3-100)*3)+Inputs!$B$28+Inputs!$B$29</f>
        <v/>
      </c>
      <c r="U1876">
        <f>IF(C1876,(Skills!F2*N1876*B1907)*IF(Inputs!$B$38="pvp",1,(1+(Inputs!$B$21+Skills!P2+B1902+(IF(ArtifactsInput!$M$33,CHOOSE(ArtifactsInput!$N$33+1,30,36,42,48,54,60),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876">
        <f>MAX(0,(Inputs!$B$3-100)*3)+Inputs!$B$28+Inputs!$B$29</f>
        <v/>
      </c>
    </row>
    <row r="1877">
      <c r="A1877">
        <f>Skills!A3</f>
        <v/>
      </c>
      <c r="B1877">
        <f>Skills!B3</f>
        <v/>
      </c>
      <c r="C1877">
        <f>Inputs!$B$3&gt;=15</f>
        <v/>
      </c>
      <c r="D1877">
        <f>IF(Skills!C3=1,60+Inputs!$B$25+Inputs!$B$29,IF(Skills!C3=2,90+Inputs!$B$26+Inputs!$B$29,IF(Skills!C3=3,120+Inputs!$B$27+Inputs!$B$29,MAX(0,(Inputs!$B$3-100)*3)+Inputs!$B$28+Inputs!$B$29)))</f>
        <v/>
      </c>
      <c r="E1877">
        <f>INDEX(FactorTable!$B$2:$Y$301, MATCH(ROUND(MIN(300,MAX(1,D1877)),0), FactorTable!$A$2:$A$301,0), Skills!L3+1)</f>
        <v/>
      </c>
      <c r="F1877">
        <f>IF(Skills!M3=TRUE,(Skills!K3/10)*(E1877/1000),Skills!K3/10)+Skills!N3</f>
        <v/>
      </c>
      <c r="G1877">
        <f>Calc!G3</f>
        <v/>
      </c>
      <c r="H1877">
        <f>Calc!H3</f>
        <v/>
      </c>
      <c r="I1877">
        <f>IF(Skills!T3&lt;&gt;"",1+(Skills!T3/10)*(Z1877/1000)/100,1)</f>
        <v/>
      </c>
      <c r="J1877" t="inlineStr"/>
      <c r="K1877" t="inlineStr"/>
      <c r="L1877" t="inlineStr"/>
      <c r="M1877" t="inlineStr"/>
      <c r="N1877" t="inlineStr"/>
      <c r="O1877">
        <f>(1-Summary!$B$11)*S1877+Summary!$B$11*U1877</f>
        <v/>
      </c>
      <c r="P1877">
        <f>IF(B1911=0,0,O1877/B1911)</f>
        <v/>
      </c>
      <c r="Q1877">
        <f>IFERROR(1/(IF(Inputs!$B$38="pvp",15,MAX(0.1,Skills!D3-IF(TRUE=TRUE,Inputs!$B$32,0)))*(1-IF(AND(ArtifactsInput!$M$27,Inputs!$B$4="Chapter Hunt"),CHOOSE(ArtifactsInput!$N$27+1,20,24,28,32,36,40),0)/100)),0)</f>
        <v/>
      </c>
      <c r="R1877">
        <f>IF(AND(Inputs!$B$38&lt;&gt;"pvp",Inputs!$B$43&gt;0),IF(Inputs!$B$43&lt;=0,0,(INT(Inputs!$B$43/(IF(Inputs!$B$38="pvp",15,MAX(0.1,Skills!D3-IF(TRUE=TRUE,Inputs!$B$32,0)))*(1-IF(AND(ArtifactsInput!$M$27,Inputs!$B$4="Chapter Hunt"),CHOOSE(ArtifactsInput!$N$27+1,20,24,28,32,36,40),0)/100)))+1)),0)</f>
        <v/>
      </c>
      <c r="S1877" t="n">
        <v>0</v>
      </c>
      <c r="T1877">
        <f>INDEX(FactorTable!$B$2:$Y$301, MATCH(ROUND(MIN(300,MAX(1,T1876)),0), FactorTable!$A$2:$A$301,0), 22)</f>
        <v/>
      </c>
      <c r="U1877" t="n">
        <v>0</v>
      </c>
      <c r="Z1877">
        <f>INDEX(FactorTable!$B$2:$Y$301, MATCH(ROUND(MIN(300,MAX(1,Z1876)),0), FactorTable!$A$2:$A$301,0), 24)</f>
        <v/>
      </c>
    </row>
    <row r="1878">
      <c r="A1878">
        <f>Skills!A4</f>
        <v/>
      </c>
      <c r="B1878">
        <f>Skills!B4</f>
        <v/>
      </c>
      <c r="C1878">
        <f>Inputs!$B$3&gt;=40</f>
        <v/>
      </c>
      <c r="D1878">
        <f>IF(Skills!C4=1,60+Inputs!$B$25+Inputs!$B$29,IF(Skills!C4=2,90+Inputs!$B$26+Inputs!$B$29,IF(Skills!C4=3,120+Inputs!$B$27+Inputs!$B$29,MAX(0,(Inputs!$B$3-100)*3)+Inputs!$B$28+Inputs!$B$29)))</f>
        <v/>
      </c>
      <c r="E1878">
        <f>INDEX(FactorTable!$B$2:$Y$301, MATCH(ROUND(MIN(300,MAX(1,D1878)),0), FactorTable!$A$2:$A$301,0), Skills!L4+1)</f>
        <v/>
      </c>
      <c r="F1878">
        <f>IF(Skills!M4=TRUE,(Skills!K4/10)*(E1878/1000),Skills!K4/10)+Skills!N4</f>
        <v/>
      </c>
      <c r="G1878">
        <f>Calc!G4</f>
        <v/>
      </c>
      <c r="H1878">
        <f>Calc!H4</f>
        <v/>
      </c>
      <c r="I1878">
        <f>IF(Skills!T4&lt;&gt;"",1+(Skills!T4/10)*(Z1877/1000)/100,1)</f>
        <v/>
      </c>
      <c r="J1878" t="inlineStr"/>
      <c r="K1878" t="inlineStr"/>
      <c r="L1878" t="inlineStr"/>
      <c r="M1878" t="inlineStr"/>
      <c r="N1878" t="inlineStr"/>
      <c r="O1878">
        <f>(1-Summary!$B$11)*S1878+Summary!$B$11*U1878</f>
        <v/>
      </c>
      <c r="P1878">
        <f>IF(B1911=0,0,O1878/B1911)</f>
        <v/>
      </c>
      <c r="Q1878">
        <f>IFERROR(1/(IF(Inputs!$B$38="pvp",15,MAX(0.1,Skills!D4-IF(TRUE=TRUE,Inputs!$B$32,0)))*(1-IF(AND(ArtifactsInput!$M$27,Inputs!$B$4="Chapter Hunt"),CHOOSE(ArtifactsInput!$N$27+1,20,24,28,32,36,40),0)/100)),0)</f>
        <v/>
      </c>
      <c r="R1878">
        <f>IF(AND(Inputs!$B$38&lt;&gt;"pvp",Inputs!$B$43&gt;0),IF(Inputs!$B$43&lt;=0,0,(INT(Inputs!$B$43/(IF(Inputs!$B$38="pvp",15,MAX(0.1,Skills!D4-IF(TRUE=TRUE,Inputs!$B$32,0)))*(1-IF(AND(ArtifactsInput!$M$27,Inputs!$B$4="Chapter Hunt"),CHOOSE(ArtifactsInput!$N$27+1,20,24,28,32,36,40),0)/100)))+1)),0)</f>
        <v/>
      </c>
      <c r="S1878" t="n">
        <v>0</v>
      </c>
      <c r="T1878">
        <f>290*T1877/1000</f>
        <v/>
      </c>
      <c r="U1878" t="n">
        <v>0</v>
      </c>
    </row>
    <row r="1879">
      <c r="A1879">
        <f>Skills!A5</f>
        <v/>
      </c>
      <c r="B1879">
        <f>Skills!B5</f>
        <v/>
      </c>
      <c r="C1879">
        <f>Inputs!$B$3&gt;=38</f>
        <v/>
      </c>
      <c r="D1879">
        <f>IF(Skills!C5=1,60+Inputs!$B$25+Inputs!$B$29,IF(Skills!C5=2,90+Inputs!$B$26+Inputs!$B$29,IF(Skills!C5=3,120+Inputs!$B$27+Inputs!$B$29,MAX(0,(Inputs!$B$3-100)*3)+Inputs!$B$28+Inputs!$B$29)))</f>
        <v/>
      </c>
      <c r="E1879">
        <f>INDEX(FactorTable!$B$2:$Y$301, MATCH(ROUND(MIN(300,MAX(1,D1879)),0), FactorTable!$A$2:$A$301,0), Skills!L5+1)</f>
        <v/>
      </c>
      <c r="F1879">
        <f>IF(Skills!M5=TRUE,(Skills!K5/10)*(E1879/1000),Skills!K5/10)+Skills!N5</f>
        <v/>
      </c>
      <c r="G1879">
        <f>Calc!G5</f>
        <v/>
      </c>
      <c r="H1879">
        <f>Calc!H5</f>
        <v/>
      </c>
      <c r="I1879">
        <f>IF(Skills!T5&lt;&gt;"",1+(Skills!T5/10)*(Z1877/1000)/100,1)</f>
        <v/>
      </c>
      <c r="J1879">
        <f>((Inputs!$B$6*(1+Inputs!$B$7/100))+(((Inputs!$B$12*(1+Inputs!$B$13/100))-(Inputs!$B$12*(1+Inputs!$B$13/100)))+0.25*(Inputs!$B$14-Inputs!$B$14))*(1+Inputs!$B$7/100))*(F1879/100)</f>
        <v/>
      </c>
      <c r="K1879">
        <f>J1879*(1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5="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1879)</f>
        <v/>
      </c>
      <c r="L1879">
        <f>K1879*(MIN(Inputs!$B$22+(F1892-Calc!F18),(Inputs!$B$23+(IF(ArtifactsInput!$M$15,CHOOSE(ArtifactsInput!$N$15+1,25,30,35,40,45,50)/100*(Inputs!$B$11-Inputs!$B$11),0))))/100+(Inputs!$B$23+(IF(ArtifactsInput!$M$15,CHOOSE(ArtifactsInput!$N$15+1,25,30,35,40,45,50)/100*(Inputs!$B$11-Inputs!$B$11),0)))/100)/2</f>
        <v/>
      </c>
      <c r="M1879">
        <f>L1879*(1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9">
        <f>L1879*(1-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1879*(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9">
        <f>(1-Summary!$B$11)*S1879+Summary!$B$11*U1879</f>
        <v/>
      </c>
      <c r="P1879">
        <f>IF(B1911=0,0,O1879/B1911)</f>
        <v/>
      </c>
      <c r="Q1879">
        <f>IFERROR(1/(IF(Inputs!$B$38="pvp",15,MAX(0.1,Skills!D5-IF(TRUE=TRUE,Inputs!$B$32,0)))*(1-IF(AND(ArtifactsInput!$M$27,Inputs!$B$4="Chapter Hunt"),CHOOSE(ArtifactsInput!$N$27+1,20,24,28,32,36,40),0)/100)),0)</f>
        <v/>
      </c>
      <c r="R1879">
        <f>IF(AND(Inputs!$B$38&lt;&gt;"pvp",Inputs!$B$43&gt;0),IF(MAX(0,Inputs!$B$43-B1908)&lt;=0,0,(INT(MAX(0,Inputs!$B$43-B1908)/(IF(Inputs!$B$38="pvp",15,MAX(0.1,Skills!D5-IF(TRUE=TRUE,Inputs!$B$32,0)))*(1-IF(AND(ArtifactsInput!$M$27,Inputs!$B$4="Chapter Hunt"),CHOOSE(ArtifactsInput!$N$27+1,20,24,28,32,36,40),0)/100)))+1)),0)</f>
        <v/>
      </c>
      <c r="S1879">
        <f>IF(C1879,(H1879*N1879*IF(AND(Inputs!$B$38&lt;&gt;"pvp",Inputs!$B$43&gt;0),((Skills!F5*((R1879-1)*IF(Skills!G5&gt;0,Skills!H5/Skills!G5,1)+IF(Skills!G5&gt;0,MIN(Skills!H5,MAX(0,MAX(0,Inputs!$B$43-B1908)-((R1879-1)*(IF(Inputs!$B$38="pvp",15,MAX(0.1,Skills!D5-IF(TRUE=TRUE,Inputs!$B$32,0)))*(1-IF(AND(ArtifactsInput!$M$27,Inputs!$B$4="Chapter Hunt"),CHOOSE(ArtifactsInput!$N$27+1,20,24,28,32,36,40),0)/100)))))/Skills!G5,1)))/Inputs!$B$43),G1879*Q1879))*IF(Inputs!$B$38="pvp",1,1+(Inputs!$B$20+Skills!O5+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1879*(1-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1879*(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1879*(1-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1879*(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9">
        <f>IF(C1879,(H1879*N1879*IF(AND(Inputs!$B$38&lt;&gt;"pvp",Inputs!$B$43&gt;0),((Skills!F5*((R1879-1)*IF(Skills!G5&gt;0,Skills!H5/Skills!G5,1)+IF(Skills!G5&gt;0,MIN(Skills!H5,MAX(0,MAX(0,Inputs!$B$43-B1908)-((R1879-1)*(IF(Inputs!$B$38="pvp",15,MAX(0.1,Skills!D5-IF(TRUE=TRUE,Inputs!$B$32,0)))*(1-IF(AND(ArtifactsInput!$M$27,Inputs!$B$4="Chapter Hunt"),CHOOSE(ArtifactsInput!$N$27+1,20,24,28,32,36,40),0)/100)))))/Skills!G5,1)))/Inputs!$B$43),G1879*Q1879))*IF(Inputs!$B$38="pvp",1,(1+(Inputs!$B$21+Skills!P5+B1902+(IF(ArtifactsInput!$M$33,CHOOSE(ArtifactsInput!$N$33+1,30,36,42,48,54,60),0)))/100)*(MIN(Skills!Q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0">
      <c r="A1880">
        <f>Skills!A6</f>
        <v/>
      </c>
      <c r="B1880">
        <f>Skills!B6</f>
        <v/>
      </c>
      <c r="C1880">
        <f>Inputs!$B$3&gt;=63</f>
        <v/>
      </c>
      <c r="D1880">
        <f>IF(Skills!C6=1,60+Inputs!$B$25+Inputs!$B$29,IF(Skills!C6=2,90+Inputs!$B$26+Inputs!$B$29,IF(Skills!C6=3,120+Inputs!$B$27+Inputs!$B$29,MAX(0,(Inputs!$B$3-100)*3)+Inputs!$B$28+Inputs!$B$29)))</f>
        <v/>
      </c>
      <c r="E1880">
        <f>INDEX(FactorTable!$B$2:$Y$301, MATCH(ROUND(MIN(300,MAX(1,D1880)),0), FactorTable!$A$2:$A$301,0), Skills!L6+1)</f>
        <v/>
      </c>
      <c r="F1880">
        <f>IF(Skills!M6=TRUE,(Skills!K6/10)*(E1880/1000),Skills!K6/10)+Skills!N6</f>
        <v/>
      </c>
      <c r="G1880">
        <f>Calc!G6</f>
        <v/>
      </c>
      <c r="H1880">
        <f>Calc!H6</f>
        <v/>
      </c>
      <c r="I1880">
        <f>IF(Skills!T6&lt;&gt;"",1+(Skills!T6/10)*(Z1877/1000)/100,1)</f>
        <v/>
      </c>
      <c r="J1880">
        <f>((Inputs!$B$6*(1+Inputs!$B$7/100))+(((Inputs!$B$12*(1+Inputs!$B$13/100))-(Inputs!$B$12*(1+Inputs!$B$13/100)))+0.25*(Inputs!$B$14-Inputs!$B$14))*(1+Inputs!$B$7/100))*(F1880/100)</f>
        <v/>
      </c>
      <c r="K1880">
        <f>J1880*(1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6="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1880)</f>
        <v/>
      </c>
      <c r="L1880">
        <f>K1880*(MIN(Inputs!$B$22+(F1892-Calc!F18),(Inputs!$B$23+(IF(ArtifactsInput!$M$15,CHOOSE(ArtifactsInput!$N$15+1,25,30,35,40,45,50)/100*(Inputs!$B$11-Inputs!$B$11),0))))/100+(Inputs!$B$23+(IF(ArtifactsInput!$M$15,CHOOSE(ArtifactsInput!$N$15+1,25,30,35,40,45,50)/100*(Inputs!$B$11-Inputs!$B$11),0)))/100)/2</f>
        <v/>
      </c>
      <c r="M1880">
        <f>L1880*(1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0">
        <f>L1880*(1-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1880*(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0">
        <f>(1-Summary!$B$11)*S1880+Summary!$B$11*U1880</f>
        <v/>
      </c>
      <c r="P1880">
        <f>IF(B1911=0,0,O1880/B1911)</f>
        <v/>
      </c>
      <c r="Q1880">
        <f>IFERROR(1/(IF(Inputs!$B$38="pvp",15,MAX(0.1,Skills!D6-IF(TRUE=TRUE,Inputs!$B$32,0)))*(1-IF(AND(ArtifactsInput!$M$27,Inputs!$B$4="Chapter Hunt"),CHOOSE(ArtifactsInput!$N$27+1,20,24,28,32,36,40),0)/100)),0)</f>
        <v/>
      </c>
      <c r="R1880">
        <f>IF(AND(Inputs!$B$38&lt;&gt;"pvp",Inputs!$B$43&gt;0),IF(MAX(0,Inputs!$B$43-B1908)&lt;=0,0,(INT(MAX(0,Inputs!$B$43-B1908)/(IF(Inputs!$B$38="pvp",15,MAX(0.1,Skills!D6-IF(TRUE=TRUE,Inputs!$B$32,0)))*(1-IF(AND(ArtifactsInput!$M$27,Inputs!$B$4="Chapter Hunt"),CHOOSE(ArtifactsInput!$N$27+1,20,24,28,32,36,40),0)/100)))+1)),0)</f>
        <v/>
      </c>
      <c r="S1880">
        <f>IF(C1880,(H1880*N1880*IF(AND(Inputs!$B$38&lt;&gt;"pvp",Inputs!$B$43&gt;0),((Skills!F6*((R1880-1)*IF(Skills!G6&gt;0,Skills!H6/Skills!G6,1)+IF(Skills!G6&gt;0,MIN(Skills!H6,MAX(0,MAX(0,Inputs!$B$43-B1908)-((R1880-1)*(IF(Inputs!$B$38="pvp",15,MAX(0.1,Skills!D6-IF(TRUE=TRUE,Inputs!$B$32,0)))*(1-IF(AND(ArtifactsInput!$M$27,Inputs!$B$4="Chapter Hunt"),CHOOSE(ArtifactsInput!$N$27+1,20,24,28,32,36,40),0)/100)))))/Skills!G6,1)))/Inputs!$B$43),G1880*Q1880))*IF(Inputs!$B$38="pvp",1,1+(Inputs!$B$20+Skills!O6+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1880*(1-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1880*(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1880*(1-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1880*(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0">
        <f>IF(C1880,(H1880*N1880*IF(AND(Inputs!$B$38&lt;&gt;"pvp",Inputs!$B$43&gt;0),((Skills!F6*((R1880-1)*IF(Skills!G6&gt;0,Skills!H6/Skills!G6,1)+IF(Skills!G6&gt;0,MIN(Skills!H6,MAX(0,MAX(0,Inputs!$B$43-B1908)-((R1880-1)*(IF(Inputs!$B$38="pvp",15,MAX(0.1,Skills!D6-IF(TRUE=TRUE,Inputs!$B$32,0)))*(1-IF(AND(ArtifactsInput!$M$27,Inputs!$B$4="Chapter Hunt"),CHOOSE(ArtifactsInput!$N$27+1,20,24,28,32,36,40),0)/100)))))/Skills!G6,1)))/Inputs!$B$43),G1880*Q1880))*IF(Inputs!$B$38="pvp",1,(1+(Inputs!$B$21+Skills!P6+B1902+(IF(ArtifactsInput!$M$33,CHOOSE(ArtifactsInput!$N$33+1,30,36,42,48,54,60),0)))/100)*(MIN(Skills!Q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1">
      <c r="A1881">
        <f>Skills!A7</f>
        <v/>
      </c>
      <c r="B1881">
        <f>Skills!B7</f>
        <v/>
      </c>
      <c r="C1881">
        <f>Inputs!$B$3&gt;=69</f>
        <v/>
      </c>
      <c r="D1881">
        <f>IF(Skills!C7=1,60+Inputs!$B$25+Inputs!$B$29,IF(Skills!C7=2,90+Inputs!$B$26+Inputs!$B$29,IF(Skills!C7=3,120+Inputs!$B$27+Inputs!$B$29,MAX(0,(Inputs!$B$3-100)*3)+Inputs!$B$28+Inputs!$B$29)))</f>
        <v/>
      </c>
      <c r="E1881">
        <f>INDEX(FactorTable!$B$2:$Y$301, MATCH(ROUND(MIN(300,MAX(1,D1881)),0), FactorTable!$A$2:$A$301,0), Skills!L7+1)</f>
        <v/>
      </c>
      <c r="F1881">
        <f>IF(Skills!M7=TRUE,(Skills!K7/10)*(E1881/1000),Skills!K7/10)+Skills!N7</f>
        <v/>
      </c>
      <c r="G1881">
        <f>Calc!G7</f>
        <v/>
      </c>
      <c r="H1881">
        <f>Calc!H7</f>
        <v/>
      </c>
      <c r="I1881">
        <f>IF(Skills!T7&lt;&gt;"",1+(Skills!T7/10)*(Z1877/1000)/100,1)</f>
        <v/>
      </c>
      <c r="J1881">
        <f>((Inputs!$B$6*(1+Inputs!$B$7/100))+(((Inputs!$B$12*(1+Inputs!$B$13/100))-(Inputs!$B$12*(1+Inputs!$B$13/100)))+0.25*(Inputs!$B$14-Inputs!$B$14))*(1+Inputs!$B$7/100))*(F1881/100)</f>
        <v/>
      </c>
      <c r="K1881">
        <f>J1881*(1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7="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1881)</f>
        <v/>
      </c>
      <c r="L1881">
        <f>K1881*(MIN(Inputs!$B$22+(F1892-Calc!F18),(Inputs!$B$23+(IF(ArtifactsInput!$M$15,CHOOSE(ArtifactsInput!$N$15+1,25,30,35,40,45,50)/100*(Inputs!$B$11-Inputs!$B$11),0))))/100+(Inputs!$B$23+(IF(ArtifactsInput!$M$15,CHOOSE(ArtifactsInput!$N$15+1,25,30,35,40,45,50)/100*(Inputs!$B$11-Inputs!$B$11),0)))/100)/2</f>
        <v/>
      </c>
      <c r="M1881">
        <f>L1881*(1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1">
        <f>L1881*(1-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1">
        <f>(1-Summary!$B$11)*S1881+Summary!$B$11*U1881</f>
        <v/>
      </c>
      <c r="P1881">
        <f>IF(B1911=0,0,O1881/B1911)</f>
        <v/>
      </c>
      <c r="Q1881">
        <f>IFERROR(1/(IF(Inputs!$B$38="pvp",15,MAX(0.1,Skills!D7-IF(TRUE=TRUE,Inputs!$B$32,0)))*(1-IF(AND(ArtifactsInput!$M$27,Inputs!$B$4="Chapter Hunt"),CHOOSE(ArtifactsInput!$N$27+1,20,24,28,32,36,40),0)/100)),0)</f>
        <v/>
      </c>
      <c r="R1881">
        <f>IF(AND(Inputs!$B$38&lt;&gt;"pvp",Inputs!$B$43&gt;0),IF(MAX(0,Inputs!$B$43-B1908)&lt;=0,0,(INT(MAX(0,Inputs!$B$43-B1908)/(IF(Inputs!$B$38="pvp",15,MAX(0.1,Skills!D7-IF(TRUE=TRUE,Inputs!$B$32,0)))*(1-IF(AND(ArtifactsInput!$M$27,Inputs!$B$4="Chapter Hunt"),CHOOSE(ArtifactsInput!$N$27+1,20,24,28,32,36,40),0)/100)))+1)),0)</f>
        <v/>
      </c>
      <c r="S1881">
        <f>IF(C1881,(H1881*N1881*IF(AND(Inputs!$B$38&lt;&gt;"pvp",Inputs!$B$43&gt;0),((Skills!F7*((R1881-1)*IF(Skills!G7&gt;0,Skills!H7/Skills!G7,1)+IF(Skills!G7&gt;0,MIN(Skills!H7,MAX(0,MAX(0,Inputs!$B$43-B1908)-((R1881-1)*(IF(Inputs!$B$38="pvp",15,MAX(0.1,Skills!D7-IF(TRUE=TRUE,Inputs!$B$32,0)))*(1-IF(AND(ArtifactsInput!$M$27,Inputs!$B$4="Chapter Hunt"),CHOOSE(ArtifactsInput!$N$27+1,20,24,28,32,36,40),0)/100)))))/Skills!G7,1)))/Inputs!$B$43),G1881*Q1881))*IF(Inputs!$B$38="pvp",1,1+(Inputs!$B$20+Skills!O7+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1881*(1-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1881*(1-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1">
        <f>IF(C1881,(H1881*N1881*IF(AND(Inputs!$B$38&lt;&gt;"pvp",Inputs!$B$43&gt;0),((Skills!F7*((R1881-1)*IF(Skills!G7&gt;0,Skills!H7/Skills!G7,1)+IF(Skills!G7&gt;0,MIN(Skills!H7,MAX(0,MAX(0,Inputs!$B$43-B1908)-((R1881-1)*(IF(Inputs!$B$38="pvp",15,MAX(0.1,Skills!D7-IF(TRUE=TRUE,Inputs!$B$32,0)))*(1-IF(AND(ArtifactsInput!$M$27,Inputs!$B$4="Chapter Hunt"),CHOOSE(ArtifactsInput!$N$27+1,20,24,28,32,36,40),0)/100)))))/Skills!G7,1)))/Inputs!$B$43),G1881*Q1881))*IF(Inputs!$B$38="pvp",1,(1+(Inputs!$B$21+Skills!P7+B1902+(IF(ArtifactsInput!$M$33,CHOOSE(ArtifactsInput!$N$33+1,30,36,42,48,54,60),0)))/100)*(MIN(Skills!Q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2">
      <c r="A1882">
        <f>Skills!A8</f>
        <v/>
      </c>
      <c r="B1882">
        <f>Skills!B8</f>
        <v/>
      </c>
      <c r="C1882">
        <f>Inputs!$B$3&gt;=103</f>
        <v/>
      </c>
      <c r="D1882">
        <f>IF(Skills!C8=1,60+Inputs!$B$25+Inputs!$B$29,IF(Skills!C8=2,90+Inputs!$B$26+Inputs!$B$29,IF(Skills!C8=3,120+Inputs!$B$27+Inputs!$B$29,MAX(0,(Inputs!$B$3-100)*3)+Inputs!$B$28+Inputs!$B$29)))</f>
        <v/>
      </c>
      <c r="E1882">
        <f>INDEX(FactorTable!$B$2:$Y$301, MATCH(ROUND(MIN(300,MAX(1,D1882)),0), FactorTable!$A$2:$A$301,0), Skills!L8+1)</f>
        <v/>
      </c>
      <c r="F1882">
        <f>IF(Skills!M8=TRUE,(Skills!K8/10)*(E1882/1000),Skills!K8/10)+Skills!N8</f>
        <v/>
      </c>
      <c r="G1882">
        <f>Calc!G8</f>
        <v/>
      </c>
      <c r="H1882">
        <f>Calc!H8</f>
        <v/>
      </c>
      <c r="I1882">
        <f>IF(Skills!T8&lt;&gt;"",1+(Skills!T8/10)*(Z1877/1000)/100,1)</f>
        <v/>
      </c>
      <c r="J1882">
        <f>((Inputs!$B$6*(1+Inputs!$B$7/100))+(((Inputs!$B$12*(1+Inputs!$B$13/100))-(Inputs!$B$12*(1+Inputs!$B$13/100)))+0.25*(Inputs!$B$14-Inputs!$B$14))*(1+Inputs!$B$7/100))*(F1882/100)</f>
        <v/>
      </c>
      <c r="K1882">
        <f>J1882*(1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8="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1882)</f>
        <v/>
      </c>
      <c r="L1882">
        <f>K1882*(MIN(Inputs!$B$22+(F1892-Calc!F18),(Inputs!$B$23+(IF(ArtifactsInput!$M$15,CHOOSE(ArtifactsInput!$N$15+1,25,30,35,40,45,50)/100*(Inputs!$B$11-Inputs!$B$11),0))))/100+(Inputs!$B$23+(IF(ArtifactsInput!$M$15,CHOOSE(ArtifactsInput!$N$15+1,25,30,35,40,45,50)/100*(Inputs!$B$11-Inputs!$B$11),0)))/100)/2</f>
        <v/>
      </c>
      <c r="M1882">
        <f>L1882*(1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2">
        <f>L1882*(1-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(1-Summary!$B$11)*S1882+Summary!$B$11*U1882</f>
        <v/>
      </c>
      <c r="P1882">
        <f>IF(B1911=0,0,O1882/B1911)</f>
        <v/>
      </c>
      <c r="Q1882">
        <f>IFERROR(1/(IF(Inputs!$B$38="pvp",15,MAX(0.1,Skills!D8-IF(TRUE=TRUE,Inputs!$B$32,0)))*(1-IF(AND(ArtifactsInput!$M$27,Inputs!$B$4="Chapter Hunt"),CHOOSE(ArtifactsInput!$N$27+1,20,24,28,32,36,40),0)/100)),0)</f>
        <v/>
      </c>
      <c r="R1882">
        <f>IF(AND(Inputs!$B$38&lt;&gt;"pvp",Inputs!$B$43&gt;0),IF(MAX(0,Inputs!$B$43-B1908)&lt;=0,0,(INT(MAX(0,Inputs!$B$43-B1908)/(IF(Inputs!$B$38="pvp",15,MAX(0.1,Skills!D8-IF(TRUE=TRUE,Inputs!$B$32,0)))*(1-IF(AND(ArtifactsInput!$M$27,Inputs!$B$4="Chapter Hunt"),CHOOSE(ArtifactsInput!$N$27+1,20,24,28,32,36,40),0)/100)))+1)),0)</f>
        <v/>
      </c>
      <c r="S1882">
        <f>IF(C1882,(H1882*N1882*IF(AND(Inputs!$B$38&lt;&gt;"pvp",Inputs!$B$43&gt;0),((Skills!F8*((R1882-1)*IF(Skills!G8&gt;0,Skills!H8/Skills!G8,1)+IF(Skills!G8&gt;0,MIN(Skills!H8,MAX(0,MAX(0,Inputs!$B$43-B1908)-((R1882-1)*(IF(Inputs!$B$38="pvp",15,MAX(0.1,Skills!D8-IF(TRUE=TRUE,Inputs!$B$32,0)))*(1-IF(AND(ArtifactsInput!$M$27,Inputs!$B$4="Chapter Hunt"),CHOOSE(ArtifactsInput!$N$27+1,20,24,28,32,36,40),0)/100)))))/Skills!G8,1)))/Inputs!$B$43),G1882*Q1882))*IF(Inputs!$B$38="pvp",1,1+(Inputs!$B$20+Skills!O8+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1882*(1-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2">
        <f>IF(C1882,(H1882*N1882*IF(AND(Inputs!$B$38&lt;&gt;"pvp",Inputs!$B$43&gt;0),((Skills!F8*((R1882-1)*IF(Skills!G8&gt;0,Skills!H8/Skills!G8,1)+IF(Skills!G8&gt;0,MIN(Skills!H8,MAX(0,MAX(0,Inputs!$B$43-B1908)-((R1882-1)*(IF(Inputs!$B$38="pvp",15,MAX(0.1,Skills!D8-IF(TRUE=TRUE,Inputs!$B$32,0)))*(1-IF(AND(ArtifactsInput!$M$27,Inputs!$B$4="Chapter Hunt"),CHOOSE(ArtifactsInput!$N$27+1,20,24,28,32,36,40),0)/100)))))/Skills!G8,1)))/Inputs!$B$43),G1882*Q1882))*IF(Inputs!$B$38="pvp",1,(1+(Inputs!$B$21+Skills!P8+B1902+(IF(ArtifactsInput!$M$33,CHOOSE(ArtifactsInput!$N$33+1,30,36,42,48,54,60),0)))/100)*(MIN(Skills!Q8,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Skills!A9</f>
        <v/>
      </c>
      <c r="B1883">
        <f>Skills!B9</f>
        <v/>
      </c>
      <c r="C1883">
        <f>Inputs!$B$3&gt;=105</f>
        <v/>
      </c>
      <c r="D1883">
        <f>IF(Skills!C9=1,60+Inputs!$B$25+Inputs!$B$29,IF(Skills!C9=2,90+Inputs!$B$26+Inputs!$B$29,IF(Skills!C9=3,120+Inputs!$B$27+Inputs!$B$29,MAX(0,(Inputs!$B$3-100)*3)+Inputs!$B$28+Inputs!$B$29)))</f>
        <v/>
      </c>
      <c r="E1883">
        <f>INDEX(FactorTable!$B$2:$Y$301, MATCH(ROUND(MIN(300,MAX(1,D1883)),0), FactorTable!$A$2:$A$301,0), Skills!L9+1)</f>
        <v/>
      </c>
      <c r="F1883">
        <f>IF(Skills!M9=TRUE,(Skills!K9/10)*(E1883/1000),Skills!K9/10)+Skills!N9</f>
        <v/>
      </c>
      <c r="G1883">
        <f>Calc!G9</f>
        <v/>
      </c>
      <c r="H1883">
        <f>Calc!H9</f>
        <v/>
      </c>
      <c r="I1883">
        <f>IF(Skills!T9&lt;&gt;"",1+(Skills!T9/10)*(Z1877/1000)/100,1)</f>
        <v/>
      </c>
      <c r="J1883">
        <f>((Inputs!$B$6*(1+Inputs!$B$7/100))+(((Inputs!$B$12*(1+Inputs!$B$13/100))-(Inputs!$B$12*(1+Inputs!$B$13/100)))+0.25*(Inputs!$B$14-Inputs!$B$14))*(1+Inputs!$B$7/100))*(F1883/100)</f>
        <v/>
      </c>
      <c r="K1883">
        <f>J1883*(1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9="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1883)</f>
        <v/>
      </c>
      <c r="L1883">
        <f>K1883*(MIN(Inputs!$B$22+(F1892-Calc!F18),(Inputs!$B$23+(IF(ArtifactsInput!$M$15,CHOOSE(ArtifactsInput!$N$15+1,25,30,35,40,45,50)/100*(Inputs!$B$11-Inputs!$B$11),0))))/100+(Inputs!$B$23+(IF(ArtifactsInput!$M$15,CHOOSE(ArtifactsInput!$N$15+1,25,30,35,40,45,50)/100*(Inputs!$B$11-Inputs!$B$11),0)))/100)/2</f>
        <v/>
      </c>
      <c r="M1883">
        <f>L1883*(1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3">
        <f>L1883*(1-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1883*(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3">
        <f>(1-Summary!$B$11)*S1883+Summary!$B$11*U1883</f>
        <v/>
      </c>
      <c r="P1883">
        <f>IF(B1911=0,0,O1883/B1911)</f>
        <v/>
      </c>
      <c r="Q1883">
        <f>IFERROR(1/(IF(Inputs!$B$38="pvp",15,MAX(0.1,Skills!D9-IF(TRUE=TRUE,Inputs!$B$32,0)))*(1-IF(AND(ArtifactsInput!$M$27,Inputs!$B$4="Chapter Hunt"),CHOOSE(ArtifactsInput!$N$27+1,20,24,28,32,36,40),0)/100)),0)</f>
        <v/>
      </c>
      <c r="R1883">
        <f>IF(AND(Inputs!$B$38&lt;&gt;"pvp",Inputs!$B$43&gt;0),IF(MAX(0,Inputs!$B$43-B1908)&lt;=0,0,(INT(MAX(0,Inputs!$B$43-B1908)/(IF(Inputs!$B$38="pvp",15,MAX(0.1,Skills!D9-IF(TRUE=TRUE,Inputs!$B$32,0)))*(1-IF(AND(ArtifactsInput!$M$27,Inputs!$B$4="Chapter Hunt"),CHOOSE(ArtifactsInput!$N$27+1,20,24,28,32,36,40),0)/100)))+1)),0)</f>
        <v/>
      </c>
      <c r="S1883">
        <f>IF(C1883,(H1883*N1883*IF(AND(Inputs!$B$38&lt;&gt;"pvp",Inputs!$B$43&gt;0),((Skills!F9*((R1883-1)*IF(Skills!G9&gt;0,Skills!H9/Skills!G9,1)+IF(Skills!G9&gt;0,MIN(Skills!H9,MAX(0,MAX(0,Inputs!$B$43-B1908)-((R1883-1)*(IF(Inputs!$B$38="pvp",15,MAX(0.1,Skills!D9-IF(TRUE=TRUE,Inputs!$B$32,0)))*(1-IF(AND(ArtifactsInput!$M$27,Inputs!$B$4="Chapter Hunt"),CHOOSE(ArtifactsInput!$N$27+1,20,24,28,32,36,40),0)/100)))))/Skills!G9,1)))/Inputs!$B$43),G1883*Q1883))*IF(Inputs!$B$38="pvp",1,1+(Inputs!$B$20+Skills!O9+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1883*(1-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1883*(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1883*(1-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1883*(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3">
        <f>IF(C1883,(H1883*N1883*IF(AND(Inputs!$B$38&lt;&gt;"pvp",Inputs!$B$43&gt;0),((Skills!F9*((R1883-1)*IF(Skills!G9&gt;0,Skills!H9/Skills!G9,1)+IF(Skills!G9&gt;0,MIN(Skills!H9,MAX(0,MAX(0,Inputs!$B$43-B1908)-((R1883-1)*(IF(Inputs!$B$38="pvp",15,MAX(0.1,Skills!D9-IF(TRUE=TRUE,Inputs!$B$32,0)))*(1-IF(AND(ArtifactsInput!$M$27,Inputs!$B$4="Chapter Hunt"),CHOOSE(ArtifactsInput!$N$27+1,20,24,28,32,36,40),0)/100)))))/Skills!G9,1)))/Inputs!$B$43),G1883*Q1883))*IF(Inputs!$B$38="pvp",1,(1+(Inputs!$B$21+Skills!P9+B1902+(IF(ArtifactsInput!$M$33,CHOOSE(ArtifactsInput!$N$33+1,30,36,42,48,54,60),0)))/100)*(MIN(Skills!Q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4">
      <c r="A1884">
        <f>Skills!A10</f>
        <v/>
      </c>
      <c r="B1884">
        <f>Skills!B10</f>
        <v/>
      </c>
      <c r="C1884">
        <f>Inputs!$B$3&gt;=113</f>
        <v/>
      </c>
      <c r="D1884">
        <f>IF(Skills!C10=1,60+Inputs!$B$25+Inputs!$B$29,IF(Skills!C10=2,90+Inputs!$B$26+Inputs!$B$29,IF(Skills!C10=3,120+Inputs!$B$27+Inputs!$B$29,MAX(0,(Inputs!$B$3-100)*3)+Inputs!$B$28+Inputs!$B$29)))</f>
        <v/>
      </c>
      <c r="E1884">
        <f>INDEX(FactorTable!$B$2:$Y$301, MATCH(ROUND(MIN(300,MAX(1,D1884)),0), FactorTable!$A$2:$A$301,0), Skills!L10+1)</f>
        <v/>
      </c>
      <c r="F1884">
        <f>IF(Skills!M10=TRUE,(Skills!K10/10)*(E1884/1000),Skills!K10/10)+Skills!N10</f>
        <v/>
      </c>
      <c r="G1884">
        <f>Calc!G10</f>
        <v/>
      </c>
      <c r="H1884">
        <f>Calc!H10</f>
        <v/>
      </c>
      <c r="I1884">
        <f>IF(Skills!T10&lt;&gt;"",1+(Skills!T10/10)*(Z1877/1000)/100,1)</f>
        <v/>
      </c>
      <c r="J1884">
        <f>((Inputs!$B$6*(1+Inputs!$B$7/100))+(((Inputs!$B$12*(1+Inputs!$B$13/100))-(Inputs!$B$12*(1+Inputs!$B$13/100)))+0.25*(Inputs!$B$14-Inputs!$B$14))*(1+Inputs!$B$7/100))*(F1884/100)</f>
        <v/>
      </c>
      <c r="K1884">
        <f>J1884*(1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10="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1884)</f>
        <v/>
      </c>
      <c r="L1884">
        <f>K1884*(MIN(Inputs!$B$22+(F1892-Calc!F18),(Inputs!$B$23+(IF(ArtifactsInput!$M$15,CHOOSE(ArtifactsInput!$N$15+1,25,30,35,40,45,50)/100*(Inputs!$B$11-Inputs!$B$11),0))))/100+(Inputs!$B$23+(IF(ArtifactsInput!$M$15,CHOOSE(ArtifactsInput!$N$15+1,25,30,35,40,45,50)/100*(Inputs!$B$11-Inputs!$B$11),0)))/100)/2</f>
        <v/>
      </c>
      <c r="M1884">
        <f>L1884*(1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4">
        <f>L1884*(1-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1884*(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4">
        <f>(1-Summary!$B$11)*S1884+Summary!$B$11*U1884</f>
        <v/>
      </c>
      <c r="P1884">
        <f>IF(B1911=0,0,O1884/B1911)</f>
        <v/>
      </c>
      <c r="Q1884">
        <f>IFERROR(1/(IF(Inputs!$B$38="pvp",15,MAX(0.1,Skills!D10-IF(TRUE=TRUE,Inputs!$B$32,0)))*(1-IF(AND(ArtifactsInput!$M$27,Inputs!$B$4="Chapter Hunt"),CHOOSE(ArtifactsInput!$N$27+1,20,24,28,32,36,40),0)/100)),0)</f>
        <v/>
      </c>
      <c r="R1884" t="n">
        <v>0</v>
      </c>
      <c r="S1884">
        <f>IF(C1884,((H1884*B1912)/(1+Skills!G10*H1884*B1912)*N1884)*IF(Inputs!$B$38="pvp",1,1+(Inputs!$B$20+Skills!O10+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1884*(1-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1884*(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1884*(1-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1884*(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4">
        <f>IF(C1884,((H1884*B1912)/(1+Skills!G10*H1884*B1912)*N1884)*IF(Inputs!$B$38="pvp",1,(1+(Inputs!$B$21+Skills!P10+B1902+(IF(ArtifactsInput!$M$33,CHOOSE(ArtifactsInput!$N$33+1,30,36,42,48,54,60),0)))/100)*(MIN(Skills!Q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5">
      <c r="A1885">
        <f>Skills!A11</f>
        <v/>
      </c>
      <c r="B1885">
        <f>Skills!B11</f>
        <v/>
      </c>
      <c r="C1885">
        <f>Inputs!$B$3&gt;=107</f>
        <v/>
      </c>
      <c r="D1885">
        <f>IF(Skills!C11=1,60+Inputs!$B$25+Inputs!$B$29,IF(Skills!C11=2,90+Inputs!$B$26+Inputs!$B$29,IF(Skills!C11=3,120+Inputs!$B$27+Inputs!$B$29,MAX(0,(Inputs!$B$3-100)*3)+Inputs!$B$28+Inputs!$B$29)))</f>
        <v/>
      </c>
      <c r="E1885">
        <f>INDEX(FactorTable!$B$2:$Y$301, MATCH(ROUND(MIN(300,MAX(1,D1885)),0), FactorTable!$A$2:$A$301,0), Skills!L11+1)</f>
        <v/>
      </c>
      <c r="F1885">
        <f>IF(Skills!M11=TRUE,(Skills!K11/10)*(E1885/1000),Skills!K11/10)+Skills!N11</f>
        <v/>
      </c>
      <c r="G1885">
        <f>Calc!G11</f>
        <v/>
      </c>
      <c r="H1885">
        <f>Calc!H11</f>
        <v/>
      </c>
      <c r="I1885">
        <f>IF(Skills!T11&lt;&gt;"",1+(Skills!T11/10)*(Z1877/1000)/100,1)</f>
        <v/>
      </c>
      <c r="J1885">
        <f>((Inputs!$B$6*(1+Inputs!$B$7/100))+(((Inputs!$B$12*(1+Inputs!$B$13/100))-(Inputs!$B$12*(1+Inputs!$B$13/100)))+0.25*(Inputs!$B$14-Inputs!$B$14))*(1+Inputs!$B$7/100))*(F1885/100)</f>
        <v/>
      </c>
      <c r="K1885">
        <f>J1885*(1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11="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1885)</f>
        <v/>
      </c>
      <c r="L1885">
        <f>K1885*(MIN(Inputs!$B$22+(F1892-Calc!F18),(Inputs!$B$23+(IF(ArtifactsInput!$M$15,CHOOSE(ArtifactsInput!$N$15+1,25,30,35,40,45,50)/100*(Inputs!$B$11-Inputs!$B$11),0))))/100+(Inputs!$B$23+(IF(ArtifactsInput!$M$15,CHOOSE(ArtifactsInput!$N$15+1,25,30,35,40,45,50)/100*(Inputs!$B$11-Inputs!$B$11),0)))/100)/2</f>
        <v/>
      </c>
      <c r="M1885">
        <f>L1885*(1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5">
        <f>L1885*(1-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1885*(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5">
        <f>(1-Summary!$B$11)*S1885+Summary!$B$11*U1885</f>
        <v/>
      </c>
      <c r="P1885">
        <f>IF(B1911=0,0,O1885/B1911)</f>
        <v/>
      </c>
      <c r="Q1885">
        <f>IFERROR(1/(IF(Inputs!$B$38="pvp",15,MAX(0.1,Skills!D11-IF(TRUE=TRUE,Inputs!$B$32,0)))*(1-IF(AND(ArtifactsInput!$M$27,Inputs!$B$4="Chapter Hunt"),CHOOSE(ArtifactsInput!$N$27+1,20,24,28,32,36,40),0)/100)),0)</f>
        <v/>
      </c>
      <c r="R1885">
        <f>IF(AND(Inputs!$B$38&lt;&gt;"pvp",Inputs!$B$43&gt;0),IF(MAX(0,Inputs!$B$43-B1908)&lt;=0,0,(INT(MAX(0,Inputs!$B$43-B1908)/(IF(Inputs!$B$38="pvp",15,MAX(0.1,Skills!D11-IF(TRUE=TRUE,Inputs!$B$32,0)))*(1-IF(AND(ArtifactsInput!$M$27,Inputs!$B$4="Chapter Hunt"),CHOOSE(ArtifactsInput!$N$27+1,20,24,28,32,36,40),0)/100)))+1)),0)</f>
        <v/>
      </c>
      <c r="S1885">
        <f>IF(C1885,H1885*N1885*IF(AND(Inputs!$B$38&lt;&gt;"pvp",Inputs!$B$43&gt;0),((Skills!F11*((R1885-1)*IF(Skills!G11&gt;0,Skills!H11/Skills!G11,1)+IF(Skills!G11&gt;0,MIN(Skills!H11,MAX(0,MAX(0,Inputs!$B$43-B1908)-((R1885-1)*(IF(Inputs!$B$38="pvp",15,MAX(0.1,Skills!D11-IF(TRUE=TRUE,Inputs!$B$32,0)))*(1-IF(AND(ArtifactsInput!$M$27,Inputs!$B$4="Chapter Hunt"),CHOOSE(ArtifactsInput!$N$27+1,20,24,28,32,36,40),0)/100)))))/Skills!G11,1)))/Inputs!$B$43),G1885*Q1885)*0.5*IF(Inputs!$B$38="pvp",1,1+(Inputs!$B$20+Skills!O11+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1885*(1-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1885*(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1885*(1-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1885*(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5">
        <f>IF(C1885,H1885*N1885*IF(AND(Inputs!$B$38&lt;&gt;"pvp",Inputs!$B$43&gt;0),((Skills!F11*((R1885-1)*IF(Skills!G11&gt;0,Skills!H11/Skills!G11,1)+IF(Skills!G11&gt;0,MIN(Skills!H11,MAX(0,MAX(0,Inputs!$B$43-B1908)-((R1885-1)*(IF(Inputs!$B$38="pvp",15,MAX(0.1,Skills!D11-IF(TRUE=TRUE,Inputs!$B$32,0)))*(1-IF(AND(ArtifactsInput!$M$27,Inputs!$B$4="Chapter Hunt"),CHOOSE(ArtifactsInput!$N$27+1,20,24,28,32,36,40),0)/100)))))/Skills!G11,1)))/Inputs!$B$43),G1885*Q1885)*1*IF(Inputs!$B$38="pvp",1,(1+(Inputs!$B$21+Skills!P11+B1902+(IF(ArtifactsInput!$M$33,CHOOSE(ArtifactsInput!$N$33+1,30,36,42,48,54,60),0)))/100)*(MIN(Skills!Q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6">
      <c r="A1886">
        <f>Skills!A12</f>
        <v/>
      </c>
      <c r="B1886">
        <f>Skills!B12</f>
        <v/>
      </c>
      <c r="C1886">
        <f>Inputs!$B$3&gt;=115</f>
        <v/>
      </c>
      <c r="D1886">
        <f>IF(Skills!C12=1,60+Inputs!$B$25+Inputs!$B$29,IF(Skills!C12=2,90+Inputs!$B$26+Inputs!$B$29,IF(Skills!C12=3,120+Inputs!$B$27+Inputs!$B$29,MAX(0,(Inputs!$B$3-100)*3)+Inputs!$B$28+Inputs!$B$29)))</f>
        <v/>
      </c>
      <c r="E1886">
        <f>INDEX(FactorTable!$B$2:$Y$301, MATCH(ROUND(MIN(300,MAX(1,D1886)),0), FactorTable!$A$2:$A$301,0), Skills!L12+1)</f>
        <v/>
      </c>
      <c r="F1886">
        <f>IF(Skills!M12=TRUE,(Skills!K12/10)*(E1886/1000),Skills!K12/10)+Skills!N12</f>
        <v/>
      </c>
      <c r="G1886">
        <f>Calc!G12</f>
        <v/>
      </c>
      <c r="H1886">
        <f>Calc!H12</f>
        <v/>
      </c>
      <c r="I1886">
        <f>IF(Skills!T12&lt;&gt;"",1+(Skills!T12/10)*(Z1877/1000)/100,1)</f>
        <v/>
      </c>
      <c r="J1886">
        <f>((Inputs!$B$6*(1+Inputs!$B$7/100))+(((Inputs!$B$12*(1+Inputs!$B$13/100))-(Inputs!$B$12*(1+Inputs!$B$13/100)))+0.25*(Inputs!$B$14-Inputs!$B$14))*(1+Inputs!$B$7/100))*(F1886/100)</f>
        <v/>
      </c>
      <c r="K1886">
        <f>J1886*(1+((Inputs!$B$12*(1+Inputs!$B$13/100))*0.01+Inputs!$B$14*0.0025)/100)*(1+(Inputs!$B$15+B1903)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1889=TRUE,F1889,0)/100)*(1+IF(C1897=TRUE,F1897,0)/100)^5*(1+(IF(Skills!A12="CHAIN_LIGHTNING",Inputs!$B$17+((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1901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1886)</f>
        <v/>
      </c>
      <c r="L1886">
        <f>K1886*(MIN(Inputs!$B$22+(F1892-Calc!F18),(Inputs!$B$23+(IF(ArtifactsInput!$M$15,CHOOSE(ArtifactsInput!$N$15+1,25,30,35,40,45,50)/100*(Inputs!$B$11-Inputs!$B$11),0))))/100+(Inputs!$B$23+(IF(ArtifactsInput!$M$15,CHOOSE(ArtifactsInput!$N$15+1,25,30,35,40,45,50)/100*(Inputs!$B$11-Inputs!$B$11),0)))/100)/2</f>
        <v/>
      </c>
      <c r="M1886">
        <f>L1886*(1+(Inputs!$B$10+(F1895-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6">
        <f>L1886*(1-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1886*(MIN((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6">
        <f>(1-Summary!$B$11)*S1886+Summary!$B$11*U1886</f>
        <v/>
      </c>
      <c r="P1886">
        <f>IF(B1911=0,0,O1886/B1911)</f>
        <v/>
      </c>
      <c r="Q1886">
        <f>IFERROR(1/(IF(Inputs!$B$38="pvp",15,MAX(0.1,Skills!D12-IF(TRUE=TRUE,Inputs!$B$32,0)))*(1-IF(AND(ArtifactsInput!$M$27,Inputs!$B$4="Chapter Hunt"),CHOOSE(ArtifactsInput!$N$27+1,20,24,28,32,36,40),0)/100)),0)</f>
        <v/>
      </c>
      <c r="R1886">
        <f>IF(AND(Inputs!$B$38&lt;&gt;"pvp",Inputs!$B$43&gt;0),IF(MAX(0,Inputs!$B$43-B1908)&lt;=0,0,(INT(MAX(0,Inputs!$B$43-B1908)/(IF(Inputs!$B$38="pvp",15,MAX(0.1,Skills!D12-IF(TRUE=TRUE,Inputs!$B$32,0)))*(1-IF(AND(ArtifactsInput!$M$27,Inputs!$B$4="Chapter Hunt"),CHOOSE(ArtifactsInput!$N$27+1,20,24,28,32,36,40),0)/100)))+1)),0)</f>
        <v/>
      </c>
      <c r="S1886">
        <f>IF(C1886,(H1886*N1886*IF(AND(Inputs!$B$38&lt;&gt;"pvp",Inputs!$B$43&gt;0),((Skills!F12*((R1886-1)*IF(Skills!G12&gt;0,Skills!H12/Skills!G12,1)+IF(Skills!G12&gt;0,MIN(Skills!H12,MAX(0,MAX(0,Inputs!$B$43-B1908)-((R1886-1)*(IF(Inputs!$B$38="pvp",15,MAX(0.1,Skills!D12-IF(TRUE=TRUE,Inputs!$B$32,0)))*(1-IF(AND(ArtifactsInput!$M$27,Inputs!$B$4="Chapter Hunt"),CHOOSE(ArtifactsInput!$N$27+1,20,24,28,32,36,40),0)/100)))))/Skills!G12,1)))/Inputs!$B$43),G1886*Q1886))*IF(Inputs!$B$38="pvp",1,1+(Inputs!$B$20+Skills!O12+B1902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1886*(1-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1886*(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1886*(1-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1886*(MIN(100,(Inputs!$B$9+((F1894-Calc!F20)+(F1893-Calc!F19))+(ArtifactsInput!$M$24-ArtifactsInput!$M$24)*CHOOSE(ArtifactsInput!$N$24+1,10,12,14,16,18,20)+(IF(AND(Inputs!$B$38&lt;&gt;"pvp",Inputs!$B$43=0),1,IF(IF(Inputs!$B$38="pvp",15,Inputs!$B$43)-(B1908)&lt;=0,1,MAX(0,IF(Inputs!$B$38="pvp",15,Inputs!$B$43)-MAX(5,B1908))/(IF(Inputs!$B$38="pvp",15,Inputs!$B$43)-(B1908)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86">
        <f>IF(C1886,(H1886*N1886*IF(AND(Inputs!$B$38&lt;&gt;"pvp",Inputs!$B$43&gt;0),((Skills!F12*((R1886-1)*IF(Skills!G12&gt;0,Skills!H12/Skills!G12,1)+IF(Skills!G12&gt;0,MIN(Skills!H12,MAX(0,MAX(0,Inputs!$B$43-B1908)-((R1886-1)*(IF(Inputs!$B$38="pvp",15,MAX(0.1,Skills!D12-IF(TRUE=TRUE,Inputs!$B$32,0)))*(1-IF(AND(ArtifactsInput!$M$27,Inputs!$B$4="Chapter Hunt"),CHOOSE(ArtifactsInput!$N$27+1,20,24,28,32,36,40),0)/100)))))/Skills!G12,1)))/Inputs!$B$43),G1886*Q1886))*IF(Inputs!$B$38="pvp",1,(1+(Inputs!$B$21+Skills!P12+B1902+(IF(ArtifactsInput!$M$33,CHOOSE(ArtifactsInput!$N$33+1,30,36,42,48,54,60),0)))/100)*(MIN(Skills!Q12,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7">
      <c r="A1887">
        <f>Skills!A13</f>
        <v/>
      </c>
      <c r="B1887">
        <f>Skills!B13</f>
        <v/>
      </c>
      <c r="C1887">
        <f>Inputs!$B$3&gt;=49</f>
        <v/>
      </c>
      <c r="D1887">
        <f>IF(Skills!C13=1,60+Inputs!$B$25+Inputs!$B$29,IF(Skills!C13=2,90+Inputs!$B$26+Inputs!$B$29,IF(Skills!C13=3,120+Inputs!$B$27+Inputs!$B$29,MAX(0,(Inputs!$B$3-100)*3)+Inputs!$B$28+Inputs!$B$29)))</f>
        <v/>
      </c>
      <c r="E1887">
        <f>INDEX(FactorTable!$B$2:$Y$301, MATCH(ROUND(MIN(300,MAX(1,D1887)),0), FactorTable!$A$2:$A$301,0), Skills!L13+1)</f>
        <v/>
      </c>
      <c r="F1887">
        <f>IF(Skills!M13=TRUE,(Skills!K13/10)*(E1887/1000),Skills!K13/10)+Skills!N13</f>
        <v/>
      </c>
      <c r="G1887">
        <f>Calc!G13</f>
        <v/>
      </c>
      <c r="H1887">
        <f>Calc!H13</f>
        <v/>
      </c>
      <c r="I1887">
        <f>IF(Skills!T13&lt;&gt;"",1+(Skills!T13/10)*(Z1877/1000)/100,1)</f>
        <v/>
      </c>
      <c r="J1887" t="inlineStr"/>
      <c r="K1887" t="inlineStr"/>
      <c r="L1887" t="inlineStr"/>
      <c r="M1887" t="inlineStr"/>
      <c r="N1887" t="inlineStr"/>
      <c r="O1887">
        <f>(1-Summary!$B$11)*S1887+Summary!$B$11*U1887</f>
        <v/>
      </c>
      <c r="P1887">
        <f>IF(B1911=0,0,O1887/B1911)</f>
        <v/>
      </c>
      <c r="Q1887">
        <f>IFERROR(1/(IF(Inputs!$B$38="pvp",15,MAX(0.1,Skills!D13-IF(TRUE=TRUE,Inputs!$B$32,0)))*(1-IF(AND(ArtifactsInput!$M$27,Inputs!$B$4="Chapter Hunt"),CHOOSE(ArtifactsInput!$N$27+1,20,24,28,32,36,40),0)/100)),0)</f>
        <v/>
      </c>
      <c r="R1887" t="n">
        <v>0</v>
      </c>
      <c r="S1887" t="n">
        <v>0</v>
      </c>
      <c r="U1887" t="n">
        <v>0</v>
      </c>
    </row>
    <row r="1888">
      <c r="A1888">
        <f>Skills!A14</f>
        <v/>
      </c>
      <c r="B1888">
        <f>Skills!B14</f>
        <v/>
      </c>
      <c r="C1888">
        <f>Inputs!$B$3&gt;=72</f>
        <v/>
      </c>
      <c r="D1888">
        <f>IF(Skills!C14=1,60+Inputs!$B$25+Inputs!$B$29,IF(Skills!C14=2,90+Inputs!$B$26+Inputs!$B$29,IF(Skills!C14=3,120+Inputs!$B$27+Inputs!$B$29,MAX(0,(Inputs!$B$3-100)*3)+Inputs!$B$28+Inputs!$B$29)))</f>
        <v/>
      </c>
      <c r="E1888">
        <f>INDEX(FactorTable!$B$2:$Y$301, MATCH(ROUND(MIN(300,MAX(1,D1888)),0), FactorTable!$A$2:$A$301,0), Skills!L14+1)</f>
        <v/>
      </c>
      <c r="F1888">
        <f>IF(Skills!M14=TRUE,(Skills!K14/10)*(E1888/1000),Skills!K14/10)+Skills!N14</f>
        <v/>
      </c>
      <c r="G1888">
        <f>Calc!G14</f>
        <v/>
      </c>
      <c r="H1888">
        <f>Calc!H14</f>
        <v/>
      </c>
      <c r="I1888">
        <f>IF(Skills!T14&lt;&gt;"",1+(Skills!T14/10)*(Z1877/1000)/100,1)</f>
        <v/>
      </c>
      <c r="J1888" t="inlineStr"/>
      <c r="K1888" t="inlineStr"/>
      <c r="L1888" t="inlineStr"/>
      <c r="M1888" t="inlineStr"/>
      <c r="N1888" t="inlineStr"/>
      <c r="O1888">
        <f>(1-Summary!$B$11)*S1888+Summary!$B$11*U1888</f>
        <v/>
      </c>
      <c r="P1888">
        <f>IF(B1911=0,0,O1888/B1911)</f>
        <v/>
      </c>
      <c r="Q1888">
        <f>IFERROR(1/(IF(Inputs!$B$38="pvp",15,MAX(0.1,Skills!D14-IF(TRUE=TRUE,Inputs!$B$32,0)))*(1-IF(AND(ArtifactsInput!$M$27,Inputs!$B$4="Chapter Hunt"),CHOOSE(ArtifactsInput!$N$27+1,20,24,28,32,36,40),0)/100)),0)</f>
        <v/>
      </c>
      <c r="R1888" t="n">
        <v>0</v>
      </c>
      <c r="S1888" t="n">
        <v>0</v>
      </c>
      <c r="U1888" t="n">
        <v>0</v>
      </c>
    </row>
    <row r="1889">
      <c r="A1889">
        <f>Skills!A15</f>
        <v/>
      </c>
      <c r="B1889">
        <f>Skills!B15</f>
        <v/>
      </c>
      <c r="C1889">
        <f>Inputs!$B$3&gt;=75</f>
        <v/>
      </c>
      <c r="D1889">
        <f>IF(Skills!C15=1,60+Inputs!$B$25+Inputs!$B$29,IF(Skills!C15=2,90+Inputs!$B$26+Inputs!$B$29,IF(Skills!C15=3,120+Inputs!$B$27+Inputs!$B$29,MAX(0,(Inputs!$B$3-100)*3)+Inputs!$B$28+Inputs!$B$29)))</f>
        <v/>
      </c>
      <c r="E1889">
        <f>INDEX(FactorTable!$B$2:$Y$301, MATCH(ROUND(MIN(300,MAX(1,D1889)),0), FactorTable!$A$2:$A$301,0), Skills!L15+1)</f>
        <v/>
      </c>
      <c r="F1889">
        <f>IF(Skills!M15=TRUE,(Skills!K15/10)*(E1889/1000),Skills!K15/10)+Skills!N15</f>
        <v/>
      </c>
      <c r="G1889">
        <f>Calc!G15</f>
        <v/>
      </c>
      <c r="H1889">
        <f>Calc!H15</f>
        <v/>
      </c>
      <c r="I1889">
        <f>IF(Skills!T15&lt;&gt;"",1+(Skills!T15/10)*(Z1877/1000)/100,1)</f>
        <v/>
      </c>
      <c r="J1889" t="inlineStr"/>
      <c r="K1889" t="inlineStr"/>
      <c r="L1889" t="inlineStr"/>
      <c r="M1889" t="inlineStr"/>
      <c r="N1889" t="inlineStr"/>
      <c r="O1889">
        <f>(1-Summary!$B$11)*S1889+Summary!$B$11*U1889</f>
        <v/>
      </c>
      <c r="P1889">
        <f>IF(B1911=0,0,O1889/B1911)</f>
        <v/>
      </c>
      <c r="Q1889">
        <f>IFERROR(1/(IF(Inputs!$B$38="pvp",15,MAX(0.1,Skills!D15-IF(TRUE=TRUE,Inputs!$B$32,0)))*(1-IF(AND(ArtifactsInput!$M$27,Inputs!$B$4="Chapter Hunt"),CHOOSE(ArtifactsInput!$N$27+1,20,24,28,32,36,40),0)/100)),0)</f>
        <v/>
      </c>
      <c r="R1889" t="n">
        <v>0</v>
      </c>
      <c r="S1889" t="n">
        <v>0</v>
      </c>
      <c r="U1889" t="n">
        <v>0</v>
      </c>
    </row>
    <row r="1890">
      <c r="A1890">
        <f>Skills!A16</f>
        <v/>
      </c>
      <c r="B1890">
        <f>Skills!B16</f>
        <v/>
      </c>
      <c r="C1890">
        <f>Inputs!$B$3&gt;=110</f>
        <v/>
      </c>
      <c r="D1890">
        <f>IF(Skills!C16=1,60+Inputs!$B$25+Inputs!$B$29,IF(Skills!C16=2,90+Inputs!$B$26+Inputs!$B$29,IF(Skills!C16=3,120+Inputs!$B$27+Inputs!$B$29,MAX(0,(Inputs!$B$3-100)*3)+Inputs!$B$28+Inputs!$B$29)))</f>
        <v/>
      </c>
      <c r="E1890">
        <f>INDEX(FactorTable!$B$2:$Y$301, MATCH(ROUND(MIN(300,MAX(1,D1890)),0), FactorTable!$A$2:$A$301,0), Skills!L16+1)</f>
        <v/>
      </c>
      <c r="F1890">
        <f>(Skills!K16/10)*(E1890/1000)*64/45+Skills!N16</f>
        <v/>
      </c>
      <c r="G1890">
        <f>Calc!G16</f>
        <v/>
      </c>
      <c r="H1890">
        <f>Calc!H16</f>
        <v/>
      </c>
      <c r="I1890">
        <f>IF(Skills!T16&lt;&gt;"",1+(Skills!T16/10)*(Z1877/1000)/100,1)</f>
        <v/>
      </c>
      <c r="J1890" t="inlineStr"/>
      <c r="K1890" t="inlineStr"/>
      <c r="L1890" t="inlineStr"/>
      <c r="M1890" t="inlineStr"/>
      <c r="N1890" t="inlineStr"/>
      <c r="O1890">
        <f>(1-Summary!$B$11)*S1890+Summary!$B$11*U1890</f>
        <v/>
      </c>
      <c r="P1890">
        <f>IF(B1911=0,0,O1890/B1911)</f>
        <v/>
      </c>
      <c r="Q1890">
        <f>IFERROR(1/(IF(Inputs!$B$38="pvp",15,MAX(0.1,Skills!D16-IF(TRUE=TRUE,Inputs!$B$32,0)))*(1-IF(AND(ArtifactsInput!$M$27,Inputs!$B$4="Chapter Hunt"),CHOOSE(ArtifactsInput!$N$27+1,20,24,28,32,36,40),0)/100)),0)</f>
        <v/>
      </c>
      <c r="R1890">
        <f>IF(AND(Inputs!$B$38&lt;&gt;"pvp",Inputs!$B$43&gt;0),IF(Inputs!$B$43&lt;=0,0,(INT(Inputs!$B$43/(IF(Inputs!$B$38="pvp",15,MAX(0.1,Skills!D16-IF(TRUE=TRUE,Inputs!$B$32,0)))*(1-IF(AND(ArtifactsInput!$M$27,Inputs!$B$4="Chapter Hunt"),CHOOSE(ArtifactsInput!$N$27+1,20,24,28,32,36,40),0)/100)))+1)),0)</f>
        <v/>
      </c>
      <c r="S1890" t="n">
        <v>0</v>
      </c>
      <c r="U1890" t="n">
        <v>0</v>
      </c>
    </row>
    <row r="1891">
      <c r="A1891">
        <f>Skills!A17</f>
        <v/>
      </c>
      <c r="B1891">
        <f>Skills!B17</f>
        <v/>
      </c>
      <c r="C1891">
        <f>Inputs!$B$3&gt;=33</f>
        <v/>
      </c>
      <c r="D1891">
        <f>IF(Skills!C17=1,60+Inputs!$B$25+Inputs!$B$29,IF(Skills!C17=2,90+Inputs!$B$26+Inputs!$B$29,IF(Skills!C17=3,120+Inputs!$B$27+Inputs!$B$29,MAX(0,(Inputs!$B$3-100)*3)+Inputs!$B$28+Inputs!$B$29)))</f>
        <v/>
      </c>
      <c r="E1891">
        <f>INDEX(FactorTable!$B$2:$Y$301, MATCH(ROUND(MIN(300,MAX(1,D1891)),0), FactorTable!$A$2:$A$301,0), Skills!L17+1)</f>
        <v/>
      </c>
      <c r="F1891">
        <f>IF(Skills!M17=TRUE,(Skills!K17/10)*(E1891/1000),Skills!K17/10)+Skills!N17</f>
        <v/>
      </c>
      <c r="G1891">
        <f>Calc!G17</f>
        <v/>
      </c>
      <c r="H1891">
        <f>Calc!H17</f>
        <v/>
      </c>
      <c r="I1891">
        <f>IF(Skills!T17&lt;&gt;"",1+(Skills!T17/10)*(Z1877/1000)/100,1)</f>
        <v/>
      </c>
      <c r="J1891" t="inlineStr"/>
      <c r="K1891" t="inlineStr"/>
      <c r="L1891" t="inlineStr"/>
      <c r="M1891" t="inlineStr"/>
      <c r="N1891" t="inlineStr"/>
      <c r="O1891">
        <f>(1-Summary!$B$11)*S1891+Summary!$B$11*U1891</f>
        <v/>
      </c>
      <c r="P1891">
        <f>IF(B1911=0,0,O1891/B1911)</f>
        <v/>
      </c>
      <c r="Q1891">
        <f>IFERROR(1/(IF(Inputs!$B$38="pvp",15,MAX(0.1,Skills!D17-IF(TRUE=TRUE,Inputs!$B$32,0)))*(1-IF(AND(ArtifactsInput!$M$27,Inputs!$B$4="Chapter Hunt"),CHOOSE(ArtifactsInput!$N$27+1,20,24,28,32,36,40),0)/100)),0)</f>
        <v/>
      </c>
      <c r="R1891" t="n">
        <v>0</v>
      </c>
      <c r="S1891" t="n">
        <v>0</v>
      </c>
      <c r="U1891" t="n">
        <v>0</v>
      </c>
    </row>
    <row r="1892">
      <c r="A1892">
        <f>Skills!A18</f>
        <v/>
      </c>
      <c r="B1892">
        <f>Skills!B18</f>
        <v/>
      </c>
      <c r="C1892">
        <f>Inputs!$B$3&gt;=43</f>
        <v/>
      </c>
      <c r="D1892">
        <f>IF(Skills!C18=1,60+Inputs!$B$25+Inputs!$B$29,IF(Skills!C18=2,90+Inputs!$B$26+Inputs!$B$29,IF(Skills!C18=3,120+Inputs!$B$27+Inputs!$B$29,MAX(0,(Inputs!$B$3-100)*3)+Inputs!$B$28+Inputs!$B$29)))</f>
        <v/>
      </c>
      <c r="E1892">
        <f>INDEX(FactorTable!$B$2:$Y$301, MATCH(ROUND(MIN(300,MAX(1,D1892)),0), FactorTable!$A$2:$A$301,0), Skills!L18+1)</f>
        <v/>
      </c>
      <c r="F1892">
        <f>IF(Skills!M18=TRUE,(Skills!K18/10)*(E1892/1000),Skills!K18/10)+Skills!N18</f>
        <v/>
      </c>
      <c r="G1892">
        <f>Calc!G18</f>
        <v/>
      </c>
      <c r="H1892">
        <f>Calc!H18</f>
        <v/>
      </c>
      <c r="I1892">
        <f>IF(Skills!T18&lt;&gt;"",1+(Skills!T18/10)*(Z1877/1000)/100,1)</f>
        <v/>
      </c>
      <c r="J1892" t="inlineStr"/>
      <c r="K1892" t="inlineStr"/>
      <c r="L1892" t="inlineStr"/>
      <c r="M1892" t="inlineStr"/>
      <c r="N1892" t="inlineStr"/>
      <c r="O1892">
        <f>(1-Summary!$B$11)*S1892+Summary!$B$11*U1892</f>
        <v/>
      </c>
      <c r="P1892">
        <f>IF(B1911=0,0,O1892/B1911)</f>
        <v/>
      </c>
      <c r="Q1892">
        <f>IFERROR(1/(IF(Inputs!$B$38="pvp",15,MAX(0.1,Skills!D18-IF(TRUE=TRUE,Inputs!$B$32,0)))*(1-IF(AND(ArtifactsInput!$M$27,Inputs!$B$4="Chapter Hunt"),CHOOSE(ArtifactsInput!$N$27+1,20,24,28,32,36,40),0)/100)),0)</f>
        <v/>
      </c>
      <c r="R1892" t="n">
        <v>0</v>
      </c>
      <c r="S1892" t="n">
        <v>0</v>
      </c>
      <c r="U1892" t="n">
        <v>0</v>
      </c>
    </row>
    <row r="1893">
      <c r="A1893">
        <f>Skills!A19</f>
        <v/>
      </c>
      <c r="B1893">
        <f>Skills!B19</f>
        <v/>
      </c>
      <c r="C1893">
        <f>Inputs!$B$3&gt;=50</f>
        <v/>
      </c>
      <c r="D1893">
        <f>IF(Skills!C19=1,60+Inputs!$B$25+Inputs!$B$29,IF(Skills!C19=2,90+Inputs!$B$26+Inputs!$B$29,IF(Skills!C19=3,120+Inputs!$B$27+Inputs!$B$29,MAX(0,(Inputs!$B$3-100)*3)+Inputs!$B$28+Inputs!$B$29)))</f>
        <v/>
      </c>
      <c r="E1893">
        <f>INDEX(FactorTable!$B$2:$Y$301, MATCH(ROUND(MIN(300,MAX(1,D1893)),0), FactorTable!$A$2:$A$301,0), Skills!L19+1)</f>
        <v/>
      </c>
      <c r="F1893">
        <f>IF(Skills!M19=TRUE,(Skills!K19/10)*(E1893/1000),Skills!K19/10)+Skills!N19</f>
        <v/>
      </c>
      <c r="G1893">
        <f>Calc!G19</f>
        <v/>
      </c>
      <c r="H1893">
        <f>Calc!H19</f>
        <v/>
      </c>
      <c r="I1893">
        <f>IF(Skills!T19&lt;&gt;"",1+(Skills!T19/10)*(Z1877/1000)/100,1)</f>
        <v/>
      </c>
      <c r="J1893" t="inlineStr"/>
      <c r="K1893" t="inlineStr"/>
      <c r="L1893" t="inlineStr"/>
      <c r="M1893" t="inlineStr"/>
      <c r="N1893" t="inlineStr"/>
      <c r="O1893">
        <f>(1-Summary!$B$11)*S1893+Summary!$B$11*U1893</f>
        <v/>
      </c>
      <c r="P1893">
        <f>IF(B1911=0,0,O1893/B1911)</f>
        <v/>
      </c>
      <c r="Q1893">
        <f>IFERROR(1/(IF(Inputs!$B$38="pvp",15,MAX(0.1,Skills!D19-IF(TRUE=TRUE,Inputs!$B$32,0)))*(1-IF(AND(ArtifactsInput!$M$27,Inputs!$B$4="Chapter Hunt"),CHOOSE(ArtifactsInput!$N$27+1,20,24,28,32,36,40),0)/100)),0)</f>
        <v/>
      </c>
      <c r="R1893" t="n">
        <v>0</v>
      </c>
      <c r="S1893" t="n">
        <v>0</v>
      </c>
      <c r="U1893" t="n">
        <v>0</v>
      </c>
    </row>
    <row r="1894">
      <c r="A1894">
        <f>Skills!A20</f>
        <v/>
      </c>
      <c r="B1894">
        <f>Skills!B20</f>
        <v/>
      </c>
      <c r="C1894">
        <f>Inputs!$B$3&gt;=74</f>
        <v/>
      </c>
      <c r="D1894">
        <f>IF(Skills!C20=1,60+Inputs!$B$25+Inputs!$B$29,IF(Skills!C20=2,90+Inputs!$B$26+Inputs!$B$29,IF(Skills!C20=3,120+Inputs!$B$27+Inputs!$B$29,MAX(0,(Inputs!$B$3-100)*3)+Inputs!$B$28+Inputs!$B$29)))</f>
        <v/>
      </c>
      <c r="E1894">
        <f>INDEX(FactorTable!$B$2:$Y$301, MATCH(ROUND(MIN(300,MAX(1,D1894)),0), FactorTable!$A$2:$A$301,0), Skills!L20+1)</f>
        <v/>
      </c>
      <c r="F1894">
        <f>IF(Skills!M20=TRUE,(Skills!K20/10)*(E1894/1000),Skills!K20/10)+Skills!N20</f>
        <v/>
      </c>
      <c r="G1894">
        <f>Calc!G20</f>
        <v/>
      </c>
      <c r="H1894">
        <f>Calc!H20</f>
        <v/>
      </c>
      <c r="I1894">
        <f>IF(Skills!T20&lt;&gt;"",1+(Skills!T20/10)*(Z1877/1000)/100,1)</f>
        <v/>
      </c>
      <c r="J1894" t="inlineStr"/>
      <c r="K1894" t="inlineStr"/>
      <c r="L1894" t="inlineStr"/>
      <c r="M1894" t="inlineStr"/>
      <c r="N1894" t="inlineStr"/>
      <c r="O1894">
        <f>(1-Summary!$B$11)*S1894+Summary!$B$11*U1894</f>
        <v/>
      </c>
      <c r="P1894">
        <f>IF(B1911=0,0,O1894/B1911)</f>
        <v/>
      </c>
      <c r="Q1894">
        <f>IFERROR(1/(IF(Inputs!$B$38="pvp",15,MAX(0.1,Skills!D20-IF(TRUE=TRUE,Inputs!$B$32,0)))*(1-IF(AND(ArtifactsInput!$M$27,Inputs!$B$4="Chapter Hunt"),CHOOSE(ArtifactsInput!$N$27+1,20,24,28,32,36,40),0)/100)),0)</f>
        <v/>
      </c>
      <c r="R1894" t="n">
        <v>0</v>
      </c>
      <c r="S1894" t="n">
        <v>0</v>
      </c>
      <c r="U1894" t="n">
        <v>0</v>
      </c>
    </row>
    <row r="1895">
      <c r="A1895">
        <f>Skills!A21</f>
        <v/>
      </c>
      <c r="B1895">
        <f>Skills!B21</f>
        <v/>
      </c>
      <c r="C1895">
        <f>Inputs!$B$3&gt;=74</f>
        <v/>
      </c>
      <c r="D1895">
        <f>IF(Skills!C21=1,60+Inputs!$B$25+Inputs!$B$29,IF(Skills!C21=2,90+Inputs!$B$26+Inputs!$B$29,IF(Skills!C21=3,120+Inputs!$B$27+Inputs!$B$29,MAX(0,(Inputs!$B$3-100)*3)+Inputs!$B$28+Inputs!$B$29)))</f>
        <v/>
      </c>
      <c r="E1895">
        <f>INDEX(FactorTable!$B$2:$Y$301, MATCH(ROUND(MIN(300,MAX(1,D1895)),0), FactorTable!$A$2:$A$301,0), Skills!L21+1)</f>
        <v/>
      </c>
      <c r="F1895">
        <f>IF(Skills!M21=TRUE,(Skills!K21/10)*(E1895/1000),Skills!K21/10)+Skills!N21</f>
        <v/>
      </c>
      <c r="G1895">
        <f>Calc!G21</f>
        <v/>
      </c>
      <c r="H1895">
        <f>Calc!H21</f>
        <v/>
      </c>
      <c r="I1895">
        <f>IF(Skills!T21&lt;&gt;"",1+(Skills!T21/10)*(Z1877/1000)/100,1)</f>
        <v/>
      </c>
      <c r="J1895" t="inlineStr"/>
      <c r="K1895" t="inlineStr"/>
      <c r="L1895" t="inlineStr"/>
      <c r="M1895" t="inlineStr"/>
      <c r="N1895" t="inlineStr"/>
      <c r="O1895">
        <f>(1-Summary!$B$11)*S1895+Summary!$B$11*U1895</f>
        <v/>
      </c>
      <c r="P1895">
        <f>IF(B1911=0,0,O1895/B1911)</f>
        <v/>
      </c>
      <c r="Q1895">
        <f>IFERROR(1/(IF(Inputs!$B$38="pvp",15,MAX(0.1,Skills!D21-IF(TRUE=TRUE,Inputs!$B$32,0)))*(1-IF(AND(ArtifactsInput!$M$27,Inputs!$B$4="Chapter Hunt"),CHOOSE(ArtifactsInput!$N$27+1,20,24,28,32,36,40),0)/100)),0)</f>
        <v/>
      </c>
      <c r="R1895" t="n">
        <v>0</v>
      </c>
      <c r="S1895" t="n">
        <v>0</v>
      </c>
      <c r="U1895" t="n">
        <v>0</v>
      </c>
    </row>
    <row r="1896">
      <c r="A1896">
        <f>Skills!A22</f>
        <v/>
      </c>
      <c r="B1896">
        <f>Skills!B22</f>
        <v/>
      </c>
      <c r="C1896">
        <f>Inputs!$B$3&gt;=117</f>
        <v/>
      </c>
      <c r="D1896">
        <f>IF(Skills!C22=1,60+Inputs!$B$25+Inputs!$B$29,IF(Skills!C22=2,90+Inputs!$B$26+Inputs!$B$29,IF(Skills!C22=3,120+Inputs!$B$27+Inputs!$B$29,MAX(0,(Inputs!$B$3-100)*3)+Inputs!$B$28+Inputs!$B$29)))</f>
        <v/>
      </c>
      <c r="E1896">
        <f>INDEX(FactorTable!$B$2:$Y$301, MATCH(ROUND(MIN(300,MAX(1,D1896)),0), FactorTable!$A$2:$A$301,0), Skills!L22+1)</f>
        <v/>
      </c>
      <c r="F1896">
        <f>IF(Skills!M22=TRUE,(Skills!K22/10)*(E1896/1000),Skills!K22/10)+Skills!N22</f>
        <v/>
      </c>
      <c r="G1896">
        <f>Calc!G22</f>
        <v/>
      </c>
      <c r="H1896">
        <f>Calc!H22</f>
        <v/>
      </c>
      <c r="I1896">
        <f>IF(Skills!T22&lt;&gt;"",1+(Skills!T22/10)*(Z1877/1000)/100,1)</f>
        <v/>
      </c>
      <c r="J1896" t="inlineStr"/>
      <c r="K1896" t="inlineStr"/>
      <c r="L1896" t="inlineStr"/>
      <c r="M1896" t="inlineStr"/>
      <c r="N1896" t="inlineStr"/>
      <c r="O1896">
        <f>(1-Summary!$B$11)*S1896+Summary!$B$11*U1896</f>
        <v/>
      </c>
      <c r="P1896">
        <f>IF(B1911=0,0,O1896/B1911)</f>
        <v/>
      </c>
      <c r="Q1896">
        <f>IFERROR(1/(IF(Inputs!$B$38="pvp",15,MAX(0.1,Skills!D22-IF(TRUE=TRUE,Inputs!$B$32,0)))*(1-IF(AND(ArtifactsInput!$M$27,Inputs!$B$4="Chapter Hunt"),CHOOSE(ArtifactsInput!$N$27+1,20,24,28,32,36,40),0)/100)),0)</f>
        <v/>
      </c>
      <c r="R1896" t="n">
        <v>0</v>
      </c>
      <c r="S1896" t="n">
        <v>0</v>
      </c>
      <c r="U1896" t="n">
        <v>0</v>
      </c>
    </row>
    <row r="1897">
      <c r="A1897">
        <f>Skills!A23</f>
        <v/>
      </c>
      <c r="B1897">
        <f>Skills!B23</f>
        <v/>
      </c>
      <c r="C1897">
        <f>Inputs!$B$3&gt;=120</f>
        <v/>
      </c>
      <c r="D1897">
        <f>IF(Skills!C23=1,60+Inputs!$B$25+Inputs!$B$29,IF(Skills!C23=2,90+Inputs!$B$26+Inputs!$B$29,IF(Skills!C23=3,120+Inputs!$B$27+Inputs!$B$29,MAX(0,(Inputs!$B$3-100)*3)+Inputs!$B$28+Inputs!$B$29)))</f>
        <v/>
      </c>
      <c r="E1897">
        <f>INDEX(FactorTable!$B$2:$Y$301, MATCH(ROUND(MIN(300,MAX(1,D1897)),0), FactorTable!$A$2:$A$301,0), Skills!L23+1)</f>
        <v/>
      </c>
      <c r="F1897">
        <f>IF(Skills!M23=TRUE,(Skills!K23/10)*(E1897/1000),Skills!K23/10)+Skills!N23</f>
        <v/>
      </c>
      <c r="G1897">
        <f>Calc!G23</f>
        <v/>
      </c>
      <c r="H1897">
        <f>Calc!H23</f>
        <v/>
      </c>
      <c r="I1897">
        <f>IF(Skills!T23&lt;&gt;"",1+(Skills!T23/10)*(Z1877/1000)/100,1)</f>
        <v/>
      </c>
      <c r="J1897" t="inlineStr"/>
      <c r="K1897" t="inlineStr"/>
      <c r="L1897" t="inlineStr"/>
      <c r="M1897" t="inlineStr"/>
      <c r="N1897" t="inlineStr"/>
      <c r="O1897">
        <f>(1-Summary!$B$11)*S1897+Summary!$B$11*U1897</f>
        <v/>
      </c>
      <c r="P1897">
        <f>IF(B1911=0,0,O1897/B1911)</f>
        <v/>
      </c>
      <c r="Q1897">
        <f>IFERROR(1/(IF(Inputs!$B$38="pvp",15,MAX(0.1,Skills!D23-IF(TRUE=TRUE,Inputs!$B$32,0)))*(1-IF(AND(ArtifactsInput!$M$27,Inputs!$B$4="Chapter Hunt"),CHOOSE(ArtifactsInput!$N$27+1,20,24,28,32,36,40),0)/100)),0)</f>
        <v/>
      </c>
      <c r="R1897" t="n">
        <v>0</v>
      </c>
      <c r="S1897" t="n">
        <v>0</v>
      </c>
      <c r="U1897" t="n">
        <v>0</v>
      </c>
    </row>
    <row r="1898">
      <c r="A1898">
        <f>Skills!A24</f>
        <v/>
      </c>
      <c r="B1898">
        <f>Skills!B24</f>
        <v/>
      </c>
      <c r="C1898">
        <f>TRUE</f>
        <v/>
      </c>
      <c r="D1898">
        <f>IF(Skills!C24=1,60+Inputs!$B$25+Inputs!$B$29,IF(Skills!C24=2,90+Inputs!$B$26+Inputs!$B$29,IF(Skills!C24=3,120+Inputs!$B$27+Inputs!$B$29,MAX(0,(Inputs!$B$3-100)*3)+Inputs!$B$28+Inputs!$B$29)))</f>
        <v/>
      </c>
      <c r="E1898">
        <f>INDEX(FactorTable!$B$2:$Y$301, MATCH(ROUND(MIN(300,MAX(1,D1898)),0), FactorTable!$A$2:$A$301,0), Skills!L24+1)</f>
        <v/>
      </c>
      <c r="F1898">
        <f>IF(Skills!M24=TRUE,(Skills!K24/10)*(E1898/1000),Skills!K24/10)+Skills!N24</f>
        <v/>
      </c>
      <c r="G1898">
        <f>Calc!G24</f>
        <v/>
      </c>
      <c r="H1898">
        <f>Calc!H24</f>
        <v/>
      </c>
      <c r="I1898">
        <f>IF(Skills!T24&lt;&gt;"",1+(Skills!T24/10)*(Z1877/1000)/100,1)</f>
        <v/>
      </c>
      <c r="J1898" t="inlineStr"/>
      <c r="K1898" t="inlineStr"/>
      <c r="L1898" t="inlineStr"/>
      <c r="M1898" t="inlineStr"/>
      <c r="N1898" t="inlineStr"/>
      <c r="O1898">
        <f>(1-Summary!$B$11)*S1898+Summary!$B$11*U1898</f>
        <v/>
      </c>
      <c r="P1898">
        <f>IF(B1911=0,0,O1898/B1911)</f>
        <v/>
      </c>
      <c r="Q1898">
        <f>IFERROR(1/(IF(Inputs!$B$38="pvp",15,MAX(0.1,Skills!D24-IF(TRUE=TRUE,Inputs!$B$32,0)))*(1-IF(AND(ArtifactsInput!$M$27,Inputs!$B$4="Chapter Hunt"),CHOOSE(ArtifactsInput!$N$27+1,20,24,28,32,36,40),0)/100)),0)</f>
        <v/>
      </c>
      <c r="R1898">
        <f>IF(AND(Inputs!$B$38&lt;&gt;"pvp",Inputs!$B$43&gt;0),IF(Inputs!$B$43&lt;=0,0,(INT(Inputs!$B$43/(IF(Inputs!$B$38="pvp",15,MAX(0.1,Skills!D24-IF(TRUE=TRUE,Inputs!$B$32,0)))*(1-IF(AND(ArtifactsInput!$M$27,Inputs!$B$4="Chapter Hunt"),CHOOSE(ArtifactsInput!$N$27+1,20,24,28,32,36,40),0)/100)))+1)),0)</f>
        <v/>
      </c>
      <c r="S1898" t="n">
        <v>0</v>
      </c>
      <c r="U1898" t="n">
        <v>0</v>
      </c>
    </row>
    <row r="1901">
      <c r="A1901" t="inlineStr">
        <is>
          <t>Average Buff Multiplier (Magic Guard + Meditation + Artifact Attack%, summed; then Infinity)</t>
        </is>
      </c>
      <c r="B1901">
        <f>(1+(IF(C1877=TRUE,F1877*IF(AND(Inputs!$B$38&lt;&gt;"pvp",Inputs!$B$43&gt;0),(((R1877-1)*MIN((Skills!S3*(1+(Inputs!$B$34)/100)),(1/Q1877))+MIN((Skills!S3*(1+(Inputs!$B$34)/100)),MAX(0,Inputs!$B$43-((R1877-1)*(1/Q1877)))))/Inputs!$B$43),IF(Inputs!$B$38="pvp",MIN((Skills!S3*(1+(Inputs!$B$34)/100)),15)/15,MIN(1,(Skills!S3*(1+(Inputs!$B$34)/100))/(1/Q1877)))),0)+IF(C1878=TRUE,F1878*IF(AND(Inputs!$B$38&lt;&gt;"pvp",Inputs!$B$43&gt;0),(((R1878-1)*MIN((Skills!S4*(1+(Inputs!$B$34)/100)),(1/Q1878))+MIN((Skills!S4*(1+(Inputs!$B$34)/100)),MAX(0,Inputs!$B$43-((R1878-1)*(1/Q1878)))))/Inputs!$B$43),IF(Inputs!$B$38="pvp",MIN((Skills!S4*(1+(Inputs!$B$34)/100)),15)/15,MIN(1,(Skills!S4*(1+(Inputs!$B$34)/100))/(1/Q1878)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1890=TRUE,(1+F1890*IF(AND(Inputs!$B$38&lt;&gt;"pvp",Inputs!$B$43&gt;0),(((R1890-1)*MIN((Skills!S16*(1+(Inputs!$B$34)/100)),(1/Q1890))+MIN((Skills!S16*(1+(Inputs!$B$34)/100)),MAX(0,Inputs!$B$43-((R1890-1)*(1/Q1890)))))/Inputs!$B$43),IF(Inputs!$B$38="pvp",MIN((Skills!S16*(1+(Inputs!$B$34)/100)),15)/15,MIN(1,(Skills!S16*(1+(Inputs!$B$34)/100))/(1/Q1890))))/100),1)</f>
        <v/>
      </c>
    </row>
    <row r="1902">
      <c r="A1902" t="inlineStr">
        <is>
          <t>Monster Damage Taken Bonus % (Freezing Breath - Weaken + Elemental Reset + Artifact Enemy Damage Taken, summed)</t>
        </is>
      </c>
      <c r="B1902">
        <f>IF(Inputs!$B$3&gt;=118,15*IF(Inputs!$B$38="pvp",MIN((30*(1+(Inputs!$B$34)/100)),15)/15,MIN(1,(30*(1+(Inputs!$B$34)/100))/(1/Q1882))),0)+IF(C1888=TRUE,F1888,0)+(IF(AND(ArtifactsInput!$M$35,Inputs!$B$4&lt;&gt;"Chapter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f>
        <v/>
      </c>
    </row>
    <row r="1903">
      <c r="A1903" t="inlineStr">
        <is>
          <t>Damage % Bonus (Frozen Break + Frost Clutch, flat)</t>
        </is>
      </c>
      <c r="B1903">
        <f>IF(Inputs!$B$3&gt;=66,15,0)+IF(Inputs!$B$3&gt;=98,10,0)+IF(Inputs!$B$3&gt;=125,20,0)</f>
        <v/>
      </c>
    </row>
    <row r="1904">
      <c r="A1904" t="inlineStr">
        <is>
          <t>Attack Speed Bonus % (MP Eater - MP Boost, always-on + Nimble Feet, duty-cycle averaged)</t>
        </is>
      </c>
      <c r="B1904">
        <f>IF(C1887=TRUE,F1887+(F1891-Calc!F17),0)+((C1898=TRUE)*F1898*IF(AND(Inputs!$B$38&lt;&gt;"pvp",Inputs!$B$43&gt;0),(((R1898-1)*MIN((Skills!S24*(1+(Inputs!$B$34)/100)),(1/Q1898))+MIN((Skills!S24*(1+(Inputs!$B$34)/100)),MAX(0,Inputs!$B$43-((R1898-1)*(1/Q1898)))))/Inputs!$B$43),IF(Inputs!$B$38="pvp",MIN((Skills!S24*(1+(Inputs!$B$34)/100)),15)/15,MIN(1,(Skills!S24*(1+(Inputs!$B$34)/100))/(1/Q1898)))))</f>
        <v/>
      </c>
    </row>
    <row r="1905">
      <c r="A1905" t="inlineStr">
        <is>
          <t>Actions Per Second</t>
        </is>
      </c>
      <c r="B1905">
        <f>1+MIN(150,150*(1-(1-(Inputs!$B$11+(ArtifactsInput!$M$15-ArtifactsInput!$M$15)*CHOOSE(ArtifactsInput!$N$15+1,8,9.6,11.2,12.8,14.4,16))/150)*(1-B1904/150)))/100</f>
        <v/>
      </c>
    </row>
    <row r="1906">
      <c r="A1906" t="inlineStr">
        <is>
          <t>Skill + Buff Cast Rate</t>
        </is>
      </c>
      <c r="B1906">
        <f>IF(AND(Inputs!$B$38&lt;&gt;"pvp",Inputs!$B$43&gt;0),SUMPRODUCT((Skills!E2:E24=TRUE)*(C1876:C1898=TRUE)*R1876:R1898)/Inputs!$B$43,SUMPRODUCT((Skills!E2:E24=TRUE)*(C1876:C1898=TRUE)*Q1876:Q1898))</f>
        <v/>
      </c>
    </row>
    <row r="1907">
      <c r="A1907" t="inlineStr">
        <is>
          <t>Chain Lightning Casts Per Second</t>
        </is>
      </c>
      <c r="B1907">
        <f>MAX(0,B1905-B1906)</f>
        <v/>
      </c>
    </row>
    <row r="1908">
      <c r="A1908" t="inlineStr">
        <is>
          <t>Buff-Casting Startup Delay (s, fixed-duration only)</t>
        </is>
      </c>
      <c r="B1908">
        <f>IF(AND(Inputs!$B$38&lt;&gt;"pvp",Inputs!$B$43&gt;0),SUMPRODUCT((Skills!S2:S24&gt;0)*(Skills!E2:E24=TRUE)*(C1876:C1898=TRUE))/B1905,0)</f>
        <v/>
      </c>
    </row>
    <row r="1909">
      <c r="A1909" t="inlineStr">
        <is>
          <t>Boss-Only Total DPS (this block's swept value)</t>
        </is>
      </c>
      <c r="B1909">
        <f>SUM(S1876:S1898)</f>
        <v/>
      </c>
    </row>
    <row r="1910">
      <c r="A1910" t="inlineStr">
        <is>
          <t>Normal-Only Total DPS (this block's swept value)</t>
        </is>
      </c>
      <c r="B1910">
        <f>SUM(U1876:U1898)</f>
        <v/>
      </c>
    </row>
    <row r="1911">
      <c r="A1911" s="6" t="inlineStr">
        <is>
          <t>TOTAL DPS</t>
        </is>
      </c>
      <c r="B1911" s="6">
        <f>SUM(O1876:O1898)</f>
        <v/>
      </c>
    </row>
    <row r="1912">
      <c r="A1912" t="inlineStr">
        <is>
          <t>Blizzard Final Attack trigger rate (this block's own Q/R)</t>
        </is>
      </c>
      <c r="B1912">
        <f>IF(AND(Inputs!$B$38&lt;&gt;"pvp",Inputs!$B$43&gt;0),(((C1879=TRUE)*R1879*1)+((C1880=TRUE)*R1880*1)+((C1882=TRUE)*R1882*1)+((C1883=TRUE)*R1883*3)+((C1885=TRUE)*R1885*1))/Inputs!$B$43,((C1879=TRUE)*Q1879*1)+((C1880=TRUE)*Q1880*1)+((C1882=TRUE)*Q1882*1)+((C1883=TRUE)*Q1883*3)+((C1885=TRUE)*Q1885*1))+B1907</f>
        <v/>
      </c>
    </row>
    <row r="1915">
      <c r="A1915" s="6" t="inlineStr">
        <is>
          <t>Stat: Soul Contract (Equip)</t>
        </is>
      </c>
    </row>
    <row r="1916">
      <c r="A1916" s="5" t="inlineStr">
        <is>
          <t>Key</t>
        </is>
      </c>
      <c r="B1916" s="5" t="inlineStr">
        <is>
          <t>Name</t>
        </is>
      </c>
      <c r="C1916" s="5" t="inlineStr">
        <is>
          <t>Unlocked</t>
        </is>
      </c>
      <c r="D1916" s="5" t="inlineStr">
        <is>
          <t>InputLevel</t>
        </is>
      </c>
      <c r="E1916" s="5" t="inlineStr">
        <is>
          <t>Factor</t>
        </is>
      </c>
      <c r="F1916" s="5" t="inlineStr">
        <is>
          <t>CoefficientPercent</t>
        </is>
      </c>
      <c r="G1916" s="5" t="inlineStr">
        <is>
          <t>EffectiveHits</t>
        </is>
      </c>
      <c r="H1916" s="5" t="inlineStr">
        <is>
          <t>ProcProbability</t>
        </is>
      </c>
      <c r="I1916" s="5" t="inlineStr">
        <is>
          <t>MapleHeroMultiplier</t>
        </is>
      </c>
      <c r="J1916" s="5" t="inlineStr">
        <is>
          <t>BaseDamage</t>
        </is>
      </c>
      <c r="K1916" s="5" t="inlineStr">
        <is>
          <t>BaseHitDamage</t>
        </is>
      </c>
      <c r="L1916" s="5" t="inlineStr">
        <is>
          <t>NonCritAvg</t>
        </is>
      </c>
      <c r="M1916" s="5" t="inlineStr">
        <is>
          <t>CritAvg</t>
        </is>
      </c>
      <c r="N1916" s="5" t="inlineStr">
        <is>
          <t>ExpectedDamage(perHit)</t>
        </is>
      </c>
      <c r="O1916" s="5" t="inlineStr">
        <is>
          <t>DPS</t>
        </is>
      </c>
      <c r="P1916" s="5" t="inlineStr">
        <is>
          <t>% of Total</t>
        </is>
      </c>
      <c r="R1916" t="inlineStr">
        <is>
          <t>helpers</t>
        </is>
      </c>
    </row>
    <row r="1917">
      <c r="A1917">
        <f>Skills!A2</f>
        <v/>
      </c>
      <c r="B1917">
        <f>Skills!B2</f>
        <v/>
      </c>
      <c r="C1917">
        <f>Inputs!$B$3&gt;=100</f>
        <v/>
      </c>
      <c r="D1917" t="inlineStr"/>
      <c r="E1917" t="inlineStr"/>
      <c r="F1917">
        <f>T1919+Skills!N2</f>
        <v/>
      </c>
      <c r="G1917">
        <f>Calc!G2</f>
        <v/>
      </c>
      <c r="H1917">
        <f>Calc!H2</f>
        <v/>
      </c>
      <c r="I1917">
        <f>IF(Skills!T2&lt;&gt;"",1+(Skills!T2/10)*(Z1918/1000)/100,1)</f>
        <v/>
      </c>
      <c r="J1917">
        <f>((Inputs!$B$6*(1+Inputs!$B$7/100))+(((Inputs!$B$12*(1+Inputs!$B$13/100))-(Inputs!$B$12*(1+Inputs!$B$13/100)))+0.25*(Inputs!$B$14-Inputs!$B$14))*(1+Inputs!$B$7/100))*(F1917/100)</f>
        <v/>
      </c>
      <c r="K1917">
        <f>J1917*(1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2="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1917)</f>
        <v/>
      </c>
      <c r="L1917">
        <f>K1917*(MIN(Inputs!$B$22+(F1933-Calc!F18),(Inputs!$B$23+(IF(ArtifactsInput!$M$15,CHOOSE(ArtifactsInput!$N$15+1,25,30,35,40,45,50)/100*(Inputs!$B$11-Inputs!$B$11),0))))/100+(Inputs!$B$23+(IF(ArtifactsInput!$M$15,CHOOSE(ArtifactsInput!$N$15+1,25,30,35,40,45,50)/100*(Inputs!$B$11-Inputs!$B$11),0)))/100)/2</f>
        <v/>
      </c>
      <c r="M1917">
        <f>L1917*(1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7">
        <f>L1917*(1-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1917*(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7">
        <f>(1-Summary!$B$11)*S1917+Summary!$B$11*U1917</f>
        <v/>
      </c>
      <c r="P1917">
        <f>IF(B1952=0,0,O1917/B1952)</f>
        <v/>
      </c>
      <c r="Q1917">
        <f>IFERROR(1/(IF(Inputs!$B$38="pvp",15,MAX(0.1,Skills!D2-IF(TRUE=TRUE,Inputs!$B$32,0)))*(1-IF(AND(IF(ArtifactsInput!$M$27,FALSE,TRUE),Inputs!$B$4="Chapter Hunt"),CHOOSE(ArtifactsInput!$N$27+1,20,24,28,32,36,40),0)/100)),0)</f>
        <v/>
      </c>
      <c r="R1917" t="n">
        <v>0</v>
      </c>
      <c r="S1917">
        <f>IF(C1917,(Skills!F2*N1917*B1948)*IF(Inputs!$B$38="pvp",1,1+(Inputs!$B$20+Skills!O2+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1917*(1-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1917*(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1917*(1-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1917*(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17">
        <f>MAX(0,(Inputs!$B$3-100)*3)+Inputs!$B$28+Inputs!$B$29</f>
        <v/>
      </c>
      <c r="U1917">
        <f>IF(C1917,(Skills!F2*N1917*B1948)*IF(Inputs!$B$38="pvp",1,(1+(Inputs!$B$21+Skills!P2+B1943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17">
        <f>MAX(0,(Inputs!$B$3-100)*3)+Inputs!$B$28+Inputs!$B$29</f>
        <v/>
      </c>
    </row>
    <row r="1918">
      <c r="A1918">
        <f>Skills!A3</f>
        <v/>
      </c>
      <c r="B1918">
        <f>Skills!B3</f>
        <v/>
      </c>
      <c r="C1918">
        <f>Inputs!$B$3&gt;=15</f>
        <v/>
      </c>
      <c r="D1918">
        <f>IF(Skills!C3=1,60+Inputs!$B$25+Inputs!$B$29,IF(Skills!C3=2,90+Inputs!$B$26+Inputs!$B$29,IF(Skills!C3=3,120+Inputs!$B$27+Inputs!$B$29,MAX(0,(Inputs!$B$3-100)*3)+Inputs!$B$28+Inputs!$B$29)))</f>
        <v/>
      </c>
      <c r="E1918">
        <f>INDEX(FactorTable!$B$2:$Y$301, MATCH(ROUND(MIN(300,MAX(1,D1918)),0), FactorTable!$A$2:$A$301,0), Skills!L3+1)</f>
        <v/>
      </c>
      <c r="F1918">
        <f>IF(Skills!M3=TRUE,(Skills!K3/10)*(E1918/1000),Skills!K3/10)+Skills!N3</f>
        <v/>
      </c>
      <c r="G1918">
        <f>Calc!G3</f>
        <v/>
      </c>
      <c r="H1918">
        <f>Calc!H3</f>
        <v/>
      </c>
      <c r="I1918">
        <f>IF(Skills!T3&lt;&gt;"",1+(Skills!T3/10)*(Z1918/1000)/100,1)</f>
        <v/>
      </c>
      <c r="J1918" t="inlineStr"/>
      <c r="K1918" t="inlineStr"/>
      <c r="L1918" t="inlineStr"/>
      <c r="M1918" t="inlineStr"/>
      <c r="N1918" t="inlineStr"/>
      <c r="O1918">
        <f>(1-Summary!$B$11)*S1918+Summary!$B$11*U1918</f>
        <v/>
      </c>
      <c r="P1918">
        <f>IF(B1952=0,0,O1918/B1952)</f>
        <v/>
      </c>
      <c r="Q1918">
        <f>IFERROR(1/(IF(Inputs!$B$38="pvp",15,MAX(0.1,Skills!D3-IF(TRUE=TRUE,Inputs!$B$32,0)))*(1-IF(AND(IF(ArtifactsInput!$M$27,FALSE,TRUE),Inputs!$B$4="Chapter Hunt"),CHOOSE(ArtifactsInput!$N$27+1,20,24,28,32,36,40),0)/100)),0)</f>
        <v/>
      </c>
      <c r="R1918">
        <f>IF(AND(Inputs!$B$38&lt;&gt;"pvp",Inputs!$B$43&gt;0),IF(Inputs!$B$43&lt;=0,0,(INT(Inputs!$B$43/(IF(Inputs!$B$38="pvp",15,MAX(0.1,Skills!D3-IF(TRUE=TRUE,Inputs!$B$32,0)))*(1-IF(AND(IF(ArtifactsInput!$M$27,FALSE,TRUE),Inputs!$B$4="Chapter Hunt"),CHOOSE(ArtifactsInput!$N$27+1,20,24,28,32,36,40),0)/100)))+1)),0)</f>
        <v/>
      </c>
      <c r="S1918" t="n">
        <v>0</v>
      </c>
      <c r="T1918">
        <f>INDEX(FactorTable!$B$2:$Y$301, MATCH(ROUND(MIN(300,MAX(1,T1917)),0), FactorTable!$A$2:$A$301,0), 22)</f>
        <v/>
      </c>
      <c r="U1918" t="n">
        <v>0</v>
      </c>
      <c r="Z1918">
        <f>INDEX(FactorTable!$B$2:$Y$301, MATCH(ROUND(MIN(300,MAX(1,Z1917)),0), FactorTable!$A$2:$A$301,0), 24)</f>
        <v/>
      </c>
    </row>
    <row r="1919">
      <c r="A1919">
        <f>Skills!A4</f>
        <v/>
      </c>
      <c r="B1919">
        <f>Skills!B4</f>
        <v/>
      </c>
      <c r="C1919">
        <f>Inputs!$B$3&gt;=40</f>
        <v/>
      </c>
      <c r="D1919">
        <f>IF(Skills!C4=1,60+Inputs!$B$25+Inputs!$B$29,IF(Skills!C4=2,90+Inputs!$B$26+Inputs!$B$29,IF(Skills!C4=3,120+Inputs!$B$27+Inputs!$B$29,MAX(0,(Inputs!$B$3-100)*3)+Inputs!$B$28+Inputs!$B$29)))</f>
        <v/>
      </c>
      <c r="E1919">
        <f>INDEX(FactorTable!$B$2:$Y$301, MATCH(ROUND(MIN(300,MAX(1,D1919)),0), FactorTable!$A$2:$A$301,0), Skills!L4+1)</f>
        <v/>
      </c>
      <c r="F1919">
        <f>IF(Skills!M4=TRUE,(Skills!K4/10)*(E1919/1000),Skills!K4/10)+Skills!N4</f>
        <v/>
      </c>
      <c r="G1919">
        <f>Calc!G4</f>
        <v/>
      </c>
      <c r="H1919">
        <f>Calc!H4</f>
        <v/>
      </c>
      <c r="I1919">
        <f>IF(Skills!T4&lt;&gt;"",1+(Skills!T4/10)*(Z1918/1000)/100,1)</f>
        <v/>
      </c>
      <c r="J1919" t="inlineStr"/>
      <c r="K1919" t="inlineStr"/>
      <c r="L1919" t="inlineStr"/>
      <c r="M1919" t="inlineStr"/>
      <c r="N1919" t="inlineStr"/>
      <c r="O1919">
        <f>(1-Summary!$B$11)*S1919+Summary!$B$11*U1919</f>
        <v/>
      </c>
      <c r="P1919">
        <f>IF(B1952=0,0,O1919/B1952)</f>
        <v/>
      </c>
      <c r="Q1919">
        <f>IFERROR(1/(IF(Inputs!$B$38="pvp",15,MAX(0.1,Skills!D4-IF(TRUE=TRUE,Inputs!$B$32,0)))*(1-IF(AND(IF(ArtifactsInput!$M$27,FALSE,TRUE),Inputs!$B$4="Chapter Hunt"),CHOOSE(ArtifactsInput!$N$27+1,20,24,28,32,36,40),0)/100)),0)</f>
        <v/>
      </c>
      <c r="R1919">
        <f>IF(AND(Inputs!$B$38&lt;&gt;"pvp",Inputs!$B$43&gt;0),IF(Inputs!$B$43&lt;=0,0,(INT(Inputs!$B$43/(IF(Inputs!$B$38="pvp",15,MAX(0.1,Skills!D4-IF(TRUE=TRUE,Inputs!$B$32,0)))*(1-IF(AND(IF(ArtifactsInput!$M$27,FALSE,TRUE),Inputs!$B$4="Chapter Hunt"),CHOOSE(ArtifactsInput!$N$27+1,20,24,28,32,36,40),0)/100)))+1)),0)</f>
        <v/>
      </c>
      <c r="S1919" t="n">
        <v>0</v>
      </c>
      <c r="T1919">
        <f>290*T1918/1000</f>
        <v/>
      </c>
      <c r="U1919" t="n">
        <v>0</v>
      </c>
    </row>
    <row r="1920">
      <c r="A1920">
        <f>Skills!A5</f>
        <v/>
      </c>
      <c r="B1920">
        <f>Skills!B5</f>
        <v/>
      </c>
      <c r="C1920">
        <f>Inputs!$B$3&gt;=38</f>
        <v/>
      </c>
      <c r="D1920">
        <f>IF(Skills!C5=1,60+Inputs!$B$25+Inputs!$B$29,IF(Skills!C5=2,90+Inputs!$B$26+Inputs!$B$29,IF(Skills!C5=3,120+Inputs!$B$27+Inputs!$B$29,MAX(0,(Inputs!$B$3-100)*3)+Inputs!$B$28+Inputs!$B$29)))</f>
        <v/>
      </c>
      <c r="E1920">
        <f>INDEX(FactorTable!$B$2:$Y$301, MATCH(ROUND(MIN(300,MAX(1,D1920)),0), FactorTable!$A$2:$A$301,0), Skills!L5+1)</f>
        <v/>
      </c>
      <c r="F1920">
        <f>IF(Skills!M5=TRUE,(Skills!K5/10)*(E1920/1000),Skills!K5/10)+Skills!N5</f>
        <v/>
      </c>
      <c r="G1920">
        <f>Calc!G5</f>
        <v/>
      </c>
      <c r="H1920">
        <f>Calc!H5</f>
        <v/>
      </c>
      <c r="I1920">
        <f>IF(Skills!T5&lt;&gt;"",1+(Skills!T5/10)*(Z1918/1000)/100,1)</f>
        <v/>
      </c>
      <c r="J1920">
        <f>((Inputs!$B$6*(1+Inputs!$B$7/100))+(((Inputs!$B$12*(1+Inputs!$B$13/100))-(Inputs!$B$12*(1+Inputs!$B$13/100)))+0.25*(Inputs!$B$14-Inputs!$B$14))*(1+Inputs!$B$7/100))*(F1920/100)</f>
        <v/>
      </c>
      <c r="K1920">
        <f>J1920*(1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5="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1920)</f>
        <v/>
      </c>
      <c r="L1920">
        <f>K1920*(MIN(Inputs!$B$22+(F1933-Calc!F18),(Inputs!$B$23+(IF(ArtifactsInput!$M$15,CHOOSE(ArtifactsInput!$N$15+1,25,30,35,40,45,50)/100*(Inputs!$B$11-Inputs!$B$11),0))))/100+(Inputs!$B$23+(IF(ArtifactsInput!$M$15,CHOOSE(ArtifactsInput!$N$15+1,25,30,35,40,45,50)/100*(Inputs!$B$11-Inputs!$B$11),0)))/100)/2</f>
        <v/>
      </c>
      <c r="M1920">
        <f>L1920*(1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0">
        <f>L1920*(1-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1920*(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0">
        <f>(1-Summary!$B$11)*S1920+Summary!$B$11*U1920</f>
        <v/>
      </c>
      <c r="P1920">
        <f>IF(B1952=0,0,O1920/B1952)</f>
        <v/>
      </c>
      <c r="Q1920">
        <f>IFERROR(1/(IF(Inputs!$B$38="pvp",15,MAX(0.1,Skills!D5-IF(TRUE=TRUE,Inputs!$B$32,0)))*(1-IF(AND(IF(ArtifactsInput!$M$27,FALSE,TRUE),Inputs!$B$4="Chapter Hunt"),CHOOSE(ArtifactsInput!$N$27+1,20,24,28,32,36,40),0)/100)),0)</f>
        <v/>
      </c>
      <c r="R1920">
        <f>IF(AND(Inputs!$B$38&lt;&gt;"pvp",Inputs!$B$43&gt;0),IF(MAX(0,Inputs!$B$43-B1949)&lt;=0,0,(INT(MAX(0,Inputs!$B$43-B1949)/(IF(Inputs!$B$38="pvp",15,MAX(0.1,Skills!D5-IF(TRUE=TRUE,Inputs!$B$32,0)))*(1-IF(AND(IF(ArtifactsInput!$M$27,FALSE,TRUE),Inputs!$B$4="Chapter Hunt"),CHOOSE(ArtifactsInput!$N$27+1,20,24,28,32,36,40),0)/100)))+1)),0)</f>
        <v/>
      </c>
      <c r="S1920">
        <f>IF(C1920,(H1920*N1920*IF(AND(Inputs!$B$38&lt;&gt;"pvp",Inputs!$B$43&gt;0),((Skills!F5*((R1920-1)*IF(Skills!G5&gt;0,Skills!H5/Skills!G5,1)+IF(Skills!G5&gt;0,MIN(Skills!H5,MAX(0,MAX(0,Inputs!$B$43-B1949)-((R1920-1)*(IF(Inputs!$B$38="pvp",15,MAX(0.1,Skills!D5-IF(TRUE=TRUE,Inputs!$B$32,0)))*(1-IF(AND(IF(ArtifactsInput!$M$27,FALSE,TRUE),Inputs!$B$4="Chapter Hunt"),CHOOSE(ArtifactsInput!$N$27+1,20,24,28,32,36,40),0)/100)))))/Skills!G5,1)))/Inputs!$B$43),G1920*Q1920))*IF(Inputs!$B$38="pvp",1,1+(Inputs!$B$20+Skills!O5+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1920*(1-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1920*(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1920*(1-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1920*(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0">
        <f>IF(C1920,(H1920*N1920*IF(AND(Inputs!$B$38&lt;&gt;"pvp",Inputs!$B$43&gt;0),((Skills!F5*((R1920-1)*IF(Skills!G5&gt;0,Skills!H5/Skills!G5,1)+IF(Skills!G5&gt;0,MIN(Skills!H5,MAX(0,MAX(0,Inputs!$B$43-B1949)-((R1920-1)*(IF(Inputs!$B$38="pvp",15,MAX(0.1,Skills!D5-IF(TRUE=TRUE,Inputs!$B$32,0)))*(1-IF(AND(IF(ArtifactsInput!$M$27,FALSE,TRUE),Inputs!$B$4="Chapter Hunt"),CHOOSE(ArtifactsInput!$N$27+1,20,24,28,32,36,40),0)/100)))))/Skills!G5,1)))/Inputs!$B$43),G1920*Q1920))*IF(Inputs!$B$38="pvp",1,(1+(Inputs!$B$21+Skills!P5+B1943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1">
      <c r="A1921">
        <f>Skills!A6</f>
        <v/>
      </c>
      <c r="B1921">
        <f>Skills!B6</f>
        <v/>
      </c>
      <c r="C1921">
        <f>Inputs!$B$3&gt;=63</f>
        <v/>
      </c>
      <c r="D1921">
        <f>IF(Skills!C6=1,60+Inputs!$B$25+Inputs!$B$29,IF(Skills!C6=2,90+Inputs!$B$26+Inputs!$B$29,IF(Skills!C6=3,120+Inputs!$B$27+Inputs!$B$29,MAX(0,(Inputs!$B$3-100)*3)+Inputs!$B$28+Inputs!$B$29)))</f>
        <v/>
      </c>
      <c r="E1921">
        <f>INDEX(FactorTable!$B$2:$Y$301, MATCH(ROUND(MIN(300,MAX(1,D1921)),0), FactorTable!$A$2:$A$301,0), Skills!L6+1)</f>
        <v/>
      </c>
      <c r="F1921">
        <f>IF(Skills!M6=TRUE,(Skills!K6/10)*(E1921/1000),Skills!K6/10)+Skills!N6</f>
        <v/>
      </c>
      <c r="G1921">
        <f>Calc!G6</f>
        <v/>
      </c>
      <c r="H1921">
        <f>Calc!H6</f>
        <v/>
      </c>
      <c r="I1921">
        <f>IF(Skills!T6&lt;&gt;"",1+(Skills!T6/10)*(Z1918/1000)/100,1)</f>
        <v/>
      </c>
      <c r="J1921">
        <f>((Inputs!$B$6*(1+Inputs!$B$7/100))+(((Inputs!$B$12*(1+Inputs!$B$13/100))-(Inputs!$B$12*(1+Inputs!$B$13/100)))+0.25*(Inputs!$B$14-Inputs!$B$14))*(1+Inputs!$B$7/100))*(F1921/100)</f>
        <v/>
      </c>
      <c r="K1921">
        <f>J1921*(1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6="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1921)</f>
        <v/>
      </c>
      <c r="L1921">
        <f>K1921*(MIN(Inputs!$B$22+(F1933-Calc!F18),(Inputs!$B$23+(IF(ArtifactsInput!$M$15,CHOOSE(ArtifactsInput!$N$15+1,25,30,35,40,45,50)/100*(Inputs!$B$11-Inputs!$B$11),0))))/100+(Inputs!$B$23+(IF(ArtifactsInput!$M$15,CHOOSE(ArtifactsInput!$N$15+1,25,30,35,40,45,50)/100*(Inputs!$B$11-Inputs!$B$11),0)))/100)/2</f>
        <v/>
      </c>
      <c r="M1921">
        <f>L1921*(1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1">
        <f>L1921*(1-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(1-Summary!$B$11)*S1921+Summary!$B$11*U1921</f>
        <v/>
      </c>
      <c r="P1921">
        <f>IF(B1952=0,0,O1921/B1952)</f>
        <v/>
      </c>
      <c r="Q1921">
        <f>IFERROR(1/(IF(Inputs!$B$38="pvp",15,MAX(0.1,Skills!D6-IF(TRUE=TRUE,Inputs!$B$32,0)))*(1-IF(AND(IF(ArtifactsInput!$M$27,FALSE,TRUE),Inputs!$B$4="Chapter Hunt"),CHOOSE(ArtifactsInput!$N$27+1,20,24,28,32,36,40),0)/100)),0)</f>
        <v/>
      </c>
      <c r="R1921">
        <f>IF(AND(Inputs!$B$38&lt;&gt;"pvp",Inputs!$B$43&gt;0),IF(MAX(0,Inputs!$B$43-B1949)&lt;=0,0,(INT(MAX(0,Inputs!$B$43-B1949)/(IF(Inputs!$B$38="pvp",15,MAX(0.1,Skills!D6-IF(TRUE=TRUE,Inputs!$B$32,0)))*(1-IF(AND(IF(ArtifactsInput!$M$27,FALSE,TRUE),Inputs!$B$4="Chapter Hunt"),CHOOSE(ArtifactsInput!$N$27+1,20,24,28,32,36,40),0)/100)))+1)),0)</f>
        <v/>
      </c>
      <c r="S1921">
        <f>IF(C1921,(H1921*N1921*IF(AND(Inputs!$B$38&lt;&gt;"pvp",Inputs!$B$43&gt;0),((Skills!F6*((R1921-1)*IF(Skills!G6&gt;0,Skills!H6/Skills!G6,1)+IF(Skills!G6&gt;0,MIN(Skills!H6,MAX(0,MAX(0,Inputs!$B$43-B1949)-((R1921-1)*(IF(Inputs!$B$38="pvp",15,MAX(0.1,Skills!D6-IF(TRUE=TRUE,Inputs!$B$32,0)))*(1-IF(AND(IF(ArtifactsInput!$M$27,FALSE,TRUE),Inputs!$B$4="Chapter Hunt"),CHOOSE(ArtifactsInput!$N$27+1,20,24,28,32,36,40),0)/100)))))/Skills!G6,1)))/Inputs!$B$43),G1921*Q1921))*IF(Inputs!$B$38="pvp",1,1+(Inputs!$B$20+Skills!O6+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1921*(1-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1">
        <f>IF(C1921,(H1921*N1921*IF(AND(Inputs!$B$38&lt;&gt;"pvp",Inputs!$B$43&gt;0),((Skills!F6*((R1921-1)*IF(Skills!G6&gt;0,Skills!H6/Skills!G6,1)+IF(Skills!G6&gt;0,MIN(Skills!H6,MAX(0,MAX(0,Inputs!$B$43-B1949)-((R1921-1)*(IF(Inputs!$B$38="pvp",15,MAX(0.1,Skills!D6-IF(TRUE=TRUE,Inputs!$B$32,0)))*(1-IF(AND(IF(ArtifactsInput!$M$27,FALSE,TRUE),Inputs!$B$4="Chapter Hunt"),CHOOSE(ArtifactsInput!$N$27+1,20,24,28,32,36,40),0)/100)))))/Skills!G6,1)))/Inputs!$B$43),G1921*Q1921))*IF(Inputs!$B$38="pvp",1,(1+(Inputs!$B$21+Skills!P6+B1943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2">
      <c r="A1922">
        <f>Skills!A7</f>
        <v/>
      </c>
      <c r="B1922">
        <f>Skills!B7</f>
        <v/>
      </c>
      <c r="C1922">
        <f>Inputs!$B$3&gt;=69</f>
        <v/>
      </c>
      <c r="D1922">
        <f>IF(Skills!C7=1,60+Inputs!$B$25+Inputs!$B$29,IF(Skills!C7=2,90+Inputs!$B$26+Inputs!$B$29,IF(Skills!C7=3,120+Inputs!$B$27+Inputs!$B$29,MAX(0,(Inputs!$B$3-100)*3)+Inputs!$B$28+Inputs!$B$29)))</f>
        <v/>
      </c>
      <c r="E1922">
        <f>INDEX(FactorTable!$B$2:$Y$301, MATCH(ROUND(MIN(300,MAX(1,D1922)),0), FactorTable!$A$2:$A$301,0), Skills!L7+1)</f>
        <v/>
      </c>
      <c r="F1922">
        <f>IF(Skills!M7=TRUE,(Skills!K7/10)*(E1922/1000),Skills!K7/10)+Skills!N7</f>
        <v/>
      </c>
      <c r="G1922">
        <f>Calc!G7</f>
        <v/>
      </c>
      <c r="H1922">
        <f>Calc!H7</f>
        <v/>
      </c>
      <c r="I1922">
        <f>IF(Skills!T7&lt;&gt;"",1+(Skills!T7/10)*(Z1918/1000)/100,1)</f>
        <v/>
      </c>
      <c r="J1922">
        <f>((Inputs!$B$6*(1+Inputs!$B$7/100))+(((Inputs!$B$12*(1+Inputs!$B$13/100))-(Inputs!$B$12*(1+Inputs!$B$13/100)))+0.25*(Inputs!$B$14-Inputs!$B$14))*(1+Inputs!$B$7/100))*(F1922/100)</f>
        <v/>
      </c>
      <c r="K1922">
        <f>J1922*(1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7="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F1933-Calc!F18),(Inputs!$B$23+(IF(ArtifactsInput!$M$15,CHOOSE(ArtifactsInput!$N$15+1,25,30,35,40,45,50)/100*(Inputs!$B$11-Inputs!$B$11),0))))/100+(Inputs!$B$23+(IF(ArtifactsInput!$M$15,CHOOSE(ArtifactsInput!$N$15+1,25,30,35,40,45,50)/100*(Inputs!$B$11-Inputs!$B$11),0)))/100)/2</f>
        <v/>
      </c>
      <c r="M1922">
        <f>L1922*(1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2">
        <f>L1922*(1-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(1-Summary!$B$11)*S1922+Summary!$B$11*U1922</f>
        <v/>
      </c>
      <c r="P1922">
        <f>IF(B1952=0,0,O1922/B1952)</f>
        <v/>
      </c>
      <c r="Q1922">
        <f>IFERROR(1/(IF(Inputs!$B$38="pvp",15,MAX(0.1,Skills!D7-IF(TRUE=TRUE,Inputs!$B$32,0)))*(1-IF(AND(IF(ArtifactsInput!$M$27,FALSE,TRUE),Inputs!$B$4="Chapter Hunt"),CHOOSE(ArtifactsInput!$N$27+1,20,24,28,32,36,40),0)/100)),0)</f>
        <v/>
      </c>
      <c r="R1922">
        <f>IF(AND(Inputs!$B$38&lt;&gt;"pvp",Inputs!$B$43&gt;0),IF(MAX(0,Inputs!$B$43-B1949)&lt;=0,0,(INT(MAX(0,Inputs!$B$43-B1949)/(IF(Inputs!$B$38="pvp",15,MAX(0.1,Skills!D7-IF(TRUE=TRUE,Inputs!$B$32,0)))*(1-IF(AND(IF(ArtifactsInput!$M$27,FALSE,TRUE),Inputs!$B$4="Chapter Hunt"),CHOOSE(ArtifactsInput!$N$27+1,20,24,28,32,36,40),0)/100)))+1)),0)</f>
        <v/>
      </c>
      <c r="S1922">
        <f>IF(C1922,(H1922*N1922*IF(AND(Inputs!$B$38&lt;&gt;"pvp",Inputs!$B$43&gt;0),((Skills!F7*((R1922-1)*IF(Skills!G7&gt;0,Skills!H7/Skills!G7,1)+IF(Skills!G7&gt;0,MIN(Skills!H7,MAX(0,MAX(0,Inputs!$B$43-B1949)-((R1922-1)*(IF(Inputs!$B$38="pvp",15,MAX(0.1,Skills!D7-IF(TRUE=TRUE,Inputs!$B$32,0)))*(1-IF(AND(IF(ArtifactsInput!$M$27,FALSE,TRUE),Inputs!$B$4="Chapter Hunt"),CHOOSE(ArtifactsInput!$N$27+1,20,24,28,32,36,40),0)/100)))))/Skills!G7,1)))/Inputs!$B$43),G1922*Q1922))*IF(Inputs!$B$38="pvp",1,1+(Inputs!$B$20+Skills!O7+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1922*(1-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2">
        <f>IF(C1922,(H1922*N1922*IF(AND(Inputs!$B$38&lt;&gt;"pvp",Inputs!$B$43&gt;0),((Skills!F7*((R1922-1)*IF(Skills!G7&gt;0,Skills!H7/Skills!G7,1)+IF(Skills!G7&gt;0,MIN(Skills!H7,MAX(0,MAX(0,Inputs!$B$43-B1949)-((R1922-1)*(IF(Inputs!$B$38="pvp",15,MAX(0.1,Skills!D7-IF(TRUE=TRUE,Inputs!$B$32,0)))*(1-IF(AND(IF(ArtifactsInput!$M$27,FALSE,TRUE),Inputs!$B$4="Chapter Hunt"),CHOOSE(ArtifactsInput!$N$27+1,20,24,28,32,36,40),0)/100)))))/Skills!G7,1)))/Inputs!$B$43),G1922*Q1922))*IF(Inputs!$B$38="pvp",1,(1+(Inputs!$B$21+Skills!P7+B1943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Skills!A8</f>
        <v/>
      </c>
      <c r="B1923">
        <f>Skills!B8</f>
        <v/>
      </c>
      <c r="C1923">
        <f>Inputs!$B$3&gt;=103</f>
        <v/>
      </c>
      <c r="D1923">
        <f>IF(Skills!C8=1,60+Inputs!$B$25+Inputs!$B$29,IF(Skills!C8=2,90+Inputs!$B$26+Inputs!$B$29,IF(Skills!C8=3,120+Inputs!$B$27+Inputs!$B$29,MAX(0,(Inputs!$B$3-100)*3)+Inputs!$B$28+Inputs!$B$29)))</f>
        <v/>
      </c>
      <c r="E1923">
        <f>INDEX(FactorTable!$B$2:$Y$301, MATCH(ROUND(MIN(300,MAX(1,D1923)),0), FactorTable!$A$2:$A$301,0), Skills!L8+1)</f>
        <v/>
      </c>
      <c r="F1923">
        <f>IF(Skills!M8=TRUE,(Skills!K8/10)*(E1923/1000),Skills!K8/10)+Skills!N8</f>
        <v/>
      </c>
      <c r="G1923">
        <f>Calc!G8</f>
        <v/>
      </c>
      <c r="H1923">
        <f>Calc!H8</f>
        <v/>
      </c>
      <c r="I1923">
        <f>IF(Skills!T8&lt;&gt;"",1+(Skills!T8/10)*(Z1918/1000)/100,1)</f>
        <v/>
      </c>
      <c r="J1923">
        <f>((Inputs!$B$6*(1+Inputs!$B$7/100))+(((Inputs!$B$12*(1+Inputs!$B$13/100))-(Inputs!$B$12*(1+Inputs!$B$13/100)))+0.25*(Inputs!$B$14-Inputs!$B$14))*(1+Inputs!$B$7/100))*(F1923/100)</f>
        <v/>
      </c>
      <c r="K1923">
        <f>J1923*(1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8="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1923)</f>
        <v/>
      </c>
      <c r="L1923">
        <f>K1923*(MIN(Inputs!$B$22+(F1933-Calc!F18),(Inputs!$B$23+(IF(ArtifactsInput!$M$15,CHOOSE(ArtifactsInput!$N$15+1,25,30,35,40,45,50)/100*(Inputs!$B$11-Inputs!$B$11),0))))/100+(Inputs!$B$23+(IF(ArtifactsInput!$M$15,CHOOSE(ArtifactsInput!$N$15+1,25,30,35,40,45,50)/100*(Inputs!$B$11-Inputs!$B$11),0)))/100)/2</f>
        <v/>
      </c>
      <c r="M1923">
        <f>L1923*(1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3">
        <f>L1923*(1-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1923*(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3">
        <f>(1-Summary!$B$11)*S1923+Summary!$B$11*U1923</f>
        <v/>
      </c>
      <c r="P1923">
        <f>IF(B1952=0,0,O1923/B1952)</f>
        <v/>
      </c>
      <c r="Q1923">
        <f>IFERROR(1/(IF(Inputs!$B$38="pvp",15,MAX(0.1,Skills!D8-IF(TRUE=TRUE,Inputs!$B$32,0)))*(1-IF(AND(IF(ArtifactsInput!$M$27,FALSE,TRUE),Inputs!$B$4="Chapter Hunt"),CHOOSE(ArtifactsInput!$N$27+1,20,24,28,32,36,40),0)/100)),0)</f>
        <v/>
      </c>
      <c r="R1923">
        <f>IF(AND(Inputs!$B$38&lt;&gt;"pvp",Inputs!$B$43&gt;0),IF(MAX(0,Inputs!$B$43-B1949)&lt;=0,0,(INT(MAX(0,Inputs!$B$43-B1949)/(IF(Inputs!$B$38="pvp",15,MAX(0.1,Skills!D8-IF(TRUE=TRUE,Inputs!$B$32,0)))*(1-IF(AND(IF(ArtifactsInput!$M$27,FALSE,TRUE),Inputs!$B$4="Chapter Hunt"),CHOOSE(ArtifactsInput!$N$27+1,20,24,28,32,36,40),0)/100)))+1)),0)</f>
        <v/>
      </c>
      <c r="S1923">
        <f>IF(C1923,(H1923*N1923*IF(AND(Inputs!$B$38&lt;&gt;"pvp",Inputs!$B$43&gt;0),((Skills!F8*((R1923-1)*IF(Skills!G8&gt;0,Skills!H8/Skills!G8,1)+IF(Skills!G8&gt;0,MIN(Skills!H8,MAX(0,MAX(0,Inputs!$B$43-B1949)-((R1923-1)*(IF(Inputs!$B$38="pvp",15,MAX(0.1,Skills!D8-IF(TRUE=TRUE,Inputs!$B$32,0)))*(1-IF(AND(IF(ArtifactsInput!$M$27,FALSE,TRUE),Inputs!$B$4="Chapter Hunt"),CHOOSE(ArtifactsInput!$N$27+1,20,24,28,32,36,40),0)/100)))))/Skills!G8,1)))/Inputs!$B$43),G1923*Q1923))*IF(Inputs!$B$38="pvp",1,1+(Inputs!$B$20+Skills!O8+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1923*(1-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1923*(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1923*(1-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1923*(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3">
        <f>IF(C1923,(H1923*N1923*IF(AND(Inputs!$B$38&lt;&gt;"pvp",Inputs!$B$43&gt;0),((Skills!F8*((R1923-1)*IF(Skills!G8&gt;0,Skills!H8/Skills!G8,1)+IF(Skills!G8&gt;0,MIN(Skills!H8,MAX(0,MAX(0,Inputs!$B$43-B1949)-((R1923-1)*(IF(Inputs!$B$38="pvp",15,MAX(0.1,Skills!D8-IF(TRUE=TRUE,Inputs!$B$32,0)))*(1-IF(AND(IF(ArtifactsInput!$M$27,FALSE,TRUE),Inputs!$B$4="Chapter Hunt"),CHOOSE(ArtifactsInput!$N$27+1,20,24,28,32,36,40),0)/100)))))/Skills!G8,1)))/Inputs!$B$43),G1923*Q1923))*IF(Inputs!$B$38="pvp",1,(1+(Inputs!$B$21+Skills!P8+B1943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4">
      <c r="A1924">
        <f>Skills!A9</f>
        <v/>
      </c>
      <c r="B1924">
        <f>Skills!B9</f>
        <v/>
      </c>
      <c r="C1924">
        <f>Inputs!$B$3&gt;=105</f>
        <v/>
      </c>
      <c r="D1924">
        <f>IF(Skills!C9=1,60+Inputs!$B$25+Inputs!$B$29,IF(Skills!C9=2,90+Inputs!$B$26+Inputs!$B$29,IF(Skills!C9=3,120+Inputs!$B$27+Inputs!$B$29,MAX(0,(Inputs!$B$3-100)*3)+Inputs!$B$28+Inputs!$B$29)))</f>
        <v/>
      </c>
      <c r="E1924">
        <f>INDEX(FactorTable!$B$2:$Y$301, MATCH(ROUND(MIN(300,MAX(1,D1924)),0), FactorTable!$A$2:$A$301,0), Skills!L9+1)</f>
        <v/>
      </c>
      <c r="F1924">
        <f>IF(Skills!M9=TRUE,(Skills!K9/10)*(E1924/1000),Skills!K9/10)+Skills!N9</f>
        <v/>
      </c>
      <c r="G1924">
        <f>Calc!G9</f>
        <v/>
      </c>
      <c r="H1924">
        <f>Calc!H9</f>
        <v/>
      </c>
      <c r="I1924">
        <f>IF(Skills!T9&lt;&gt;"",1+(Skills!T9/10)*(Z1918/1000)/100,1)</f>
        <v/>
      </c>
      <c r="J1924">
        <f>((Inputs!$B$6*(1+Inputs!$B$7/100))+(((Inputs!$B$12*(1+Inputs!$B$13/100))-(Inputs!$B$12*(1+Inputs!$B$13/100)))+0.25*(Inputs!$B$14-Inputs!$B$14))*(1+Inputs!$B$7/100))*(F1924/100)</f>
        <v/>
      </c>
      <c r="K1924">
        <f>J1924*(1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9="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1924)</f>
        <v/>
      </c>
      <c r="L1924">
        <f>K1924*(MIN(Inputs!$B$22+(F1933-Calc!F18),(Inputs!$B$23+(IF(ArtifactsInput!$M$15,CHOOSE(ArtifactsInput!$N$15+1,25,30,35,40,45,50)/100*(Inputs!$B$11-Inputs!$B$11),0))))/100+(Inputs!$B$23+(IF(ArtifactsInput!$M$15,CHOOSE(ArtifactsInput!$N$15+1,25,30,35,40,45,50)/100*(Inputs!$B$11-Inputs!$B$11),0)))/100)/2</f>
        <v/>
      </c>
      <c r="M1924">
        <f>L1924*(1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4">
        <f>L1924*(1-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1924*(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4">
        <f>(1-Summary!$B$11)*S1924+Summary!$B$11*U1924</f>
        <v/>
      </c>
      <c r="P1924">
        <f>IF(B1952=0,0,O1924/B1952)</f>
        <v/>
      </c>
      <c r="Q1924">
        <f>IFERROR(1/(IF(Inputs!$B$38="pvp",15,MAX(0.1,Skills!D9-IF(TRUE=TRUE,Inputs!$B$32,0)))*(1-IF(AND(IF(ArtifactsInput!$M$27,FALSE,TRUE),Inputs!$B$4="Chapter Hunt"),CHOOSE(ArtifactsInput!$N$27+1,20,24,28,32,36,40),0)/100)),0)</f>
        <v/>
      </c>
      <c r="R1924">
        <f>IF(AND(Inputs!$B$38&lt;&gt;"pvp",Inputs!$B$43&gt;0),IF(MAX(0,Inputs!$B$43-B1949)&lt;=0,0,(INT(MAX(0,Inputs!$B$43-B1949)/(IF(Inputs!$B$38="pvp",15,MAX(0.1,Skills!D9-IF(TRUE=TRUE,Inputs!$B$32,0)))*(1-IF(AND(IF(ArtifactsInput!$M$27,FALSE,TRUE),Inputs!$B$4="Chapter Hunt"),CHOOSE(ArtifactsInput!$N$27+1,20,24,28,32,36,40),0)/100)))+1)),0)</f>
        <v/>
      </c>
      <c r="S1924">
        <f>IF(C1924,(H1924*N1924*IF(AND(Inputs!$B$38&lt;&gt;"pvp",Inputs!$B$43&gt;0),((Skills!F9*((R1924-1)*IF(Skills!G9&gt;0,Skills!H9/Skills!G9,1)+IF(Skills!G9&gt;0,MIN(Skills!H9,MAX(0,MAX(0,Inputs!$B$43-B1949)-((R1924-1)*(IF(Inputs!$B$38="pvp",15,MAX(0.1,Skills!D9-IF(TRUE=TRUE,Inputs!$B$32,0)))*(1-IF(AND(IF(ArtifactsInput!$M$27,FALSE,TRUE),Inputs!$B$4="Chapter Hunt"),CHOOSE(ArtifactsInput!$N$27+1,20,24,28,32,36,40),0)/100)))))/Skills!G9,1)))/Inputs!$B$43),G1924*Q1924))*IF(Inputs!$B$38="pvp",1,1+(Inputs!$B$20+Skills!O9+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1924*(1-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1924*(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1924*(1-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1924*(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4">
        <f>IF(C1924,(H1924*N1924*IF(AND(Inputs!$B$38&lt;&gt;"pvp",Inputs!$B$43&gt;0),((Skills!F9*((R1924-1)*IF(Skills!G9&gt;0,Skills!H9/Skills!G9,1)+IF(Skills!G9&gt;0,MIN(Skills!H9,MAX(0,MAX(0,Inputs!$B$43-B1949)-((R1924-1)*(IF(Inputs!$B$38="pvp",15,MAX(0.1,Skills!D9-IF(TRUE=TRUE,Inputs!$B$32,0)))*(1-IF(AND(IF(ArtifactsInput!$M$27,FALSE,TRUE),Inputs!$B$4="Chapter Hunt"),CHOOSE(ArtifactsInput!$N$27+1,20,24,28,32,36,40),0)/100)))))/Skills!G9,1)))/Inputs!$B$43),G1924*Q1924))*IF(Inputs!$B$38="pvp",1,(1+(Inputs!$B$21+Skills!P9+B1943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5">
      <c r="A1925">
        <f>Skills!A10</f>
        <v/>
      </c>
      <c r="B1925">
        <f>Skills!B10</f>
        <v/>
      </c>
      <c r="C1925">
        <f>Inputs!$B$3&gt;=113</f>
        <v/>
      </c>
      <c r="D1925">
        <f>IF(Skills!C10=1,60+Inputs!$B$25+Inputs!$B$29,IF(Skills!C10=2,90+Inputs!$B$26+Inputs!$B$29,IF(Skills!C10=3,120+Inputs!$B$27+Inputs!$B$29,MAX(0,(Inputs!$B$3-100)*3)+Inputs!$B$28+Inputs!$B$29)))</f>
        <v/>
      </c>
      <c r="E1925">
        <f>INDEX(FactorTable!$B$2:$Y$301, MATCH(ROUND(MIN(300,MAX(1,D1925)),0), FactorTable!$A$2:$A$301,0), Skills!L10+1)</f>
        <v/>
      </c>
      <c r="F1925">
        <f>IF(Skills!M10=TRUE,(Skills!K10/10)*(E1925/1000),Skills!K10/10)+Skills!N10</f>
        <v/>
      </c>
      <c r="G1925">
        <f>Calc!G10</f>
        <v/>
      </c>
      <c r="H1925">
        <f>Calc!H10</f>
        <v/>
      </c>
      <c r="I1925">
        <f>IF(Skills!T10&lt;&gt;"",1+(Skills!T10/10)*(Z1918/1000)/100,1)</f>
        <v/>
      </c>
      <c r="J1925">
        <f>((Inputs!$B$6*(1+Inputs!$B$7/100))+(((Inputs!$B$12*(1+Inputs!$B$13/100))-(Inputs!$B$12*(1+Inputs!$B$13/100)))+0.25*(Inputs!$B$14-Inputs!$B$14))*(1+Inputs!$B$7/100))*(F1925/100)</f>
        <v/>
      </c>
      <c r="K1925">
        <f>J1925*(1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10="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1925)</f>
        <v/>
      </c>
      <c r="L1925">
        <f>K1925*(MIN(Inputs!$B$22+(F1933-Calc!F18),(Inputs!$B$23+(IF(ArtifactsInput!$M$15,CHOOSE(ArtifactsInput!$N$15+1,25,30,35,40,45,50)/100*(Inputs!$B$11-Inputs!$B$11),0))))/100+(Inputs!$B$23+(IF(ArtifactsInput!$M$15,CHOOSE(ArtifactsInput!$N$15+1,25,30,35,40,45,50)/100*(Inputs!$B$11-Inputs!$B$11),0)))/100)/2</f>
        <v/>
      </c>
      <c r="M1925">
        <f>L1925*(1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5">
        <f>L1925*(1-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(1-Summary!$B$11)*S1925+Summary!$B$11*U1925</f>
        <v/>
      </c>
      <c r="P1925">
        <f>IF(B1952=0,0,O1925/B1952)</f>
        <v/>
      </c>
      <c r="Q1925">
        <f>IFERROR(1/(IF(Inputs!$B$38="pvp",15,MAX(0.1,Skills!D10-IF(TRUE=TRUE,Inputs!$B$32,0)))*(1-IF(AND(IF(ArtifactsInput!$M$27,FALSE,TRUE),Inputs!$B$4="Chapter Hunt"),CHOOSE(ArtifactsInput!$N$27+1,20,24,28,32,36,40),0)/100)),0)</f>
        <v/>
      </c>
      <c r="R1925" t="n">
        <v>0</v>
      </c>
      <c r="S1925">
        <f>IF(C1925,((H1925*B1953)/(1+Skills!G10*H1925*B1953)*N1925)*IF(Inputs!$B$38="pvp",1,1+(Inputs!$B$20+Skills!O10+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1925*(1-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5">
        <f>IF(C1925,((H1925*B1953)/(1+Skills!G10*H1925*B1953)*N1925)*IF(Inputs!$B$38="pvp",1,(1+(Inputs!$B$21+Skills!P10+B1943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Skills!A11</f>
        <v/>
      </c>
      <c r="B1926">
        <f>Skills!B11</f>
        <v/>
      </c>
      <c r="C1926">
        <f>Inputs!$B$3&gt;=107</f>
        <v/>
      </c>
      <c r="D1926">
        <f>IF(Skills!C11=1,60+Inputs!$B$25+Inputs!$B$29,IF(Skills!C11=2,90+Inputs!$B$26+Inputs!$B$29,IF(Skills!C11=3,120+Inputs!$B$27+Inputs!$B$29,MAX(0,(Inputs!$B$3-100)*3)+Inputs!$B$28+Inputs!$B$29)))</f>
        <v/>
      </c>
      <c r="E1926">
        <f>INDEX(FactorTable!$B$2:$Y$301, MATCH(ROUND(MIN(300,MAX(1,D1926)),0), FactorTable!$A$2:$A$301,0), Skills!L11+1)</f>
        <v/>
      </c>
      <c r="F1926">
        <f>IF(Skills!M11=TRUE,(Skills!K11/10)*(E1926/1000),Skills!K11/10)+Skills!N11</f>
        <v/>
      </c>
      <c r="G1926">
        <f>Calc!G11</f>
        <v/>
      </c>
      <c r="H1926">
        <f>Calc!H11</f>
        <v/>
      </c>
      <c r="I1926">
        <f>IF(Skills!T11&lt;&gt;"",1+(Skills!T11/10)*(Z1918/1000)/100,1)</f>
        <v/>
      </c>
      <c r="J1926">
        <f>((Inputs!$B$6*(1+Inputs!$B$7/100))+(((Inputs!$B$12*(1+Inputs!$B$13/100))-(Inputs!$B$12*(1+Inputs!$B$13/100)))+0.25*(Inputs!$B$14-Inputs!$B$14))*(1+Inputs!$B$7/100))*(F1926/100)</f>
        <v/>
      </c>
      <c r="K1926">
        <f>J1926*(1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11="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1926)</f>
        <v/>
      </c>
      <c r="L1926">
        <f>K1926*(MIN(Inputs!$B$22+(F1933-Calc!F18),(Inputs!$B$23+(IF(ArtifactsInput!$M$15,CHOOSE(ArtifactsInput!$N$15+1,25,30,35,40,45,50)/100*(Inputs!$B$11-Inputs!$B$11),0))))/100+(Inputs!$B$23+(IF(ArtifactsInput!$M$15,CHOOSE(ArtifactsInput!$N$15+1,25,30,35,40,45,50)/100*(Inputs!$B$11-Inputs!$B$11),0)))/100)/2</f>
        <v/>
      </c>
      <c r="M1926">
        <f>L1926*(1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6">
        <f>L1926*(1-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1926*(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6">
        <f>(1-Summary!$B$11)*S1926+Summary!$B$11*U1926</f>
        <v/>
      </c>
      <c r="P1926">
        <f>IF(B1952=0,0,O1926/B1952)</f>
        <v/>
      </c>
      <c r="Q1926">
        <f>IFERROR(1/(IF(Inputs!$B$38="pvp",15,MAX(0.1,Skills!D11-IF(TRUE=TRUE,Inputs!$B$32,0)))*(1-IF(AND(IF(ArtifactsInput!$M$27,FALSE,TRUE),Inputs!$B$4="Chapter Hunt"),CHOOSE(ArtifactsInput!$N$27+1,20,24,28,32,36,40),0)/100)),0)</f>
        <v/>
      </c>
      <c r="R1926">
        <f>IF(AND(Inputs!$B$38&lt;&gt;"pvp",Inputs!$B$43&gt;0),IF(MAX(0,Inputs!$B$43-B1949)&lt;=0,0,(INT(MAX(0,Inputs!$B$43-B1949)/(IF(Inputs!$B$38="pvp",15,MAX(0.1,Skills!D11-IF(TRUE=TRUE,Inputs!$B$32,0)))*(1-IF(AND(IF(ArtifactsInput!$M$27,FALSE,TRUE),Inputs!$B$4="Chapter Hunt"),CHOOSE(ArtifactsInput!$N$27+1,20,24,28,32,36,40),0)/100)))+1)),0)</f>
        <v/>
      </c>
      <c r="S1926">
        <f>IF(C1926,H1926*N1926*IF(AND(Inputs!$B$38&lt;&gt;"pvp",Inputs!$B$43&gt;0),((Skills!F11*((R1926-1)*IF(Skills!G11&gt;0,Skills!H11/Skills!G11,1)+IF(Skills!G11&gt;0,MIN(Skills!H11,MAX(0,MAX(0,Inputs!$B$43-B1949)-((R1926-1)*(IF(Inputs!$B$38="pvp",15,MAX(0.1,Skills!D11-IF(TRUE=TRUE,Inputs!$B$32,0)))*(1-IF(AND(IF(ArtifactsInput!$M$27,FALSE,TRUE),Inputs!$B$4="Chapter Hunt"),CHOOSE(ArtifactsInput!$N$27+1,20,24,28,32,36,40),0)/100)))))/Skills!G11,1)))/Inputs!$B$43),G1926*Q1926)*0.5*IF(Inputs!$B$38="pvp",1,1+(Inputs!$B$20+Skills!O11+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1926*(1-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1926*(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1926*(1-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1926*(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6">
        <f>IF(C1926,H1926*N1926*IF(AND(Inputs!$B$38&lt;&gt;"pvp",Inputs!$B$43&gt;0),((Skills!F11*((R1926-1)*IF(Skills!G11&gt;0,Skills!H11/Skills!G11,1)+IF(Skills!G11&gt;0,MIN(Skills!H11,MAX(0,MAX(0,Inputs!$B$43-B1949)-((R1926-1)*(IF(Inputs!$B$38="pvp",15,MAX(0.1,Skills!D11-IF(TRUE=TRUE,Inputs!$B$32,0)))*(1-IF(AND(IF(ArtifactsInput!$M$27,FALSE,TRUE),Inputs!$B$4="Chapter Hunt"),CHOOSE(ArtifactsInput!$N$27+1,20,24,28,32,36,40),0)/100)))))/Skills!G11,1)))/Inputs!$B$43),G1926*Q1926)*1*IF(Inputs!$B$38="pvp",1,(1+(Inputs!$B$21+Skills!P11+B1943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7">
      <c r="A1927">
        <f>Skills!A12</f>
        <v/>
      </c>
      <c r="B1927">
        <f>Skills!B12</f>
        <v/>
      </c>
      <c r="C1927">
        <f>Inputs!$B$3&gt;=115</f>
        <v/>
      </c>
      <c r="D1927">
        <f>IF(Skills!C12=1,60+Inputs!$B$25+Inputs!$B$29,IF(Skills!C12=2,90+Inputs!$B$26+Inputs!$B$29,IF(Skills!C12=3,120+Inputs!$B$27+Inputs!$B$29,MAX(0,(Inputs!$B$3-100)*3)+Inputs!$B$28+Inputs!$B$29)))</f>
        <v/>
      </c>
      <c r="E1927">
        <f>INDEX(FactorTable!$B$2:$Y$301, MATCH(ROUND(MIN(300,MAX(1,D1927)),0), FactorTable!$A$2:$A$301,0), Skills!L12+1)</f>
        <v/>
      </c>
      <c r="F1927">
        <f>IF(Skills!M12=TRUE,(Skills!K12/10)*(E1927/1000),Skills!K12/10)+Skills!N12</f>
        <v/>
      </c>
      <c r="G1927">
        <f>Calc!G12</f>
        <v/>
      </c>
      <c r="H1927">
        <f>Calc!H12</f>
        <v/>
      </c>
      <c r="I1927">
        <f>IF(Skills!T12&lt;&gt;"",1+(Skills!T12/10)*(Z1918/1000)/100,1)</f>
        <v/>
      </c>
      <c r="J1927">
        <f>((Inputs!$B$6*(1+Inputs!$B$7/100))+(((Inputs!$B$12*(1+Inputs!$B$13/100))-(Inputs!$B$12*(1+Inputs!$B$13/100)))+0.25*(Inputs!$B$14-Inputs!$B$14))*(1+Inputs!$B$7/100))*(F1927/100)</f>
        <v/>
      </c>
      <c r="K1927">
        <f>J1927*(1+((Inputs!$B$12*(1+Inputs!$B$13/100))*0.01+Inputs!$B$14*0.0025)/100)*(1+(Inputs!$B$15+B1944)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1930=TRUE,F1930,0)/100)*(1+IF(C1938=TRUE,F1938,0)/100)^5*(1+(IF(Skills!A12="CHAIN_LIGHTNING",Inputs!$B$17+((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1942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1927)</f>
        <v/>
      </c>
      <c r="L1927">
        <f>K1927*(MIN(Inputs!$B$22+(F1933-Calc!F18),(Inputs!$B$23+(IF(ArtifactsInput!$M$15,CHOOSE(ArtifactsInput!$N$15+1,25,30,35,40,45,50)/100*(Inputs!$B$11-Inputs!$B$11),0))))/100+(Inputs!$B$23+(IF(ArtifactsInput!$M$15,CHOOSE(ArtifactsInput!$N$15+1,25,30,35,40,45,50)/100*(Inputs!$B$11-Inputs!$B$11),0)))/100)/2</f>
        <v/>
      </c>
      <c r="M1927">
        <f>L1927*(1+(Inputs!$B$10+(F1936-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7">
        <f>L1927*(1-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1927*(MIN((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7">
        <f>(1-Summary!$B$11)*S1927+Summary!$B$11*U1927</f>
        <v/>
      </c>
      <c r="P1927">
        <f>IF(B1952=0,0,O1927/B1952)</f>
        <v/>
      </c>
      <c r="Q1927">
        <f>IFERROR(1/(IF(Inputs!$B$38="pvp",15,MAX(0.1,Skills!D12-IF(TRUE=TRUE,Inputs!$B$32,0)))*(1-IF(AND(IF(ArtifactsInput!$M$27,FALSE,TRUE),Inputs!$B$4="Chapter Hunt"),CHOOSE(ArtifactsInput!$N$27+1,20,24,28,32,36,40),0)/100)),0)</f>
        <v/>
      </c>
      <c r="R1927">
        <f>IF(AND(Inputs!$B$38&lt;&gt;"pvp",Inputs!$B$43&gt;0),IF(MAX(0,Inputs!$B$43-B1949)&lt;=0,0,(INT(MAX(0,Inputs!$B$43-B1949)/(IF(Inputs!$B$38="pvp",15,MAX(0.1,Skills!D12-IF(TRUE=TRUE,Inputs!$B$32,0)))*(1-IF(AND(IF(ArtifactsInput!$M$27,FALSE,TRUE),Inputs!$B$4="Chapter Hunt"),CHOOSE(ArtifactsInput!$N$27+1,20,24,28,32,36,40),0)/100)))+1)),0)</f>
        <v/>
      </c>
      <c r="S1927">
        <f>IF(C1927,(H1927*N1927*IF(AND(Inputs!$B$38&lt;&gt;"pvp",Inputs!$B$43&gt;0),((Skills!F12*((R1927-1)*IF(Skills!G12&gt;0,Skills!H12/Skills!G12,1)+IF(Skills!G12&gt;0,MIN(Skills!H12,MAX(0,MAX(0,Inputs!$B$43-B1949)-((R1927-1)*(IF(Inputs!$B$38="pvp",15,MAX(0.1,Skills!D12-IF(TRUE=TRUE,Inputs!$B$32,0)))*(1-IF(AND(IF(ArtifactsInput!$M$27,FALSE,TRUE),Inputs!$B$4="Chapter Hunt"),CHOOSE(ArtifactsInput!$N$27+1,20,24,28,32,36,40),0)/100)))))/Skills!G12,1)))/Inputs!$B$43),G1927*Q1927))*IF(Inputs!$B$38="pvp",1,1+(Inputs!$B$20+Skills!O12+B1943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1927*(1-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1927*(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1927*(1-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1927*(MIN(100,(Inputs!$B$9+((F1935-Calc!F20)+(F1934-Calc!F19))+(ArtifactsInput!$M$24-ArtifactsInput!$M$24)*CHOOSE(ArtifactsInput!$N$24+1,10,12,14,16,18,20)+(IF(AND(Inputs!$B$38&lt;&gt;"pvp",Inputs!$B$43=0),1,IF(IF(Inputs!$B$38="pvp",15,Inputs!$B$43)-(B1949)&lt;=0,1,MAX(0,IF(Inputs!$B$38="pvp",15,Inputs!$B$43)-MAX(5,B1949))/(IF(Inputs!$B$38="pvp",15,Inputs!$B$43)-(B1949)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27">
        <f>IF(C1927,(H1927*N1927*IF(AND(Inputs!$B$38&lt;&gt;"pvp",Inputs!$B$43&gt;0),((Skills!F12*((R1927-1)*IF(Skills!G12&gt;0,Skills!H12/Skills!G12,1)+IF(Skills!G12&gt;0,MIN(Skills!H12,MAX(0,MAX(0,Inputs!$B$43-B1949)-((R1927-1)*(IF(Inputs!$B$38="pvp",15,MAX(0.1,Skills!D12-IF(TRUE=TRUE,Inputs!$B$32,0)))*(1-IF(AND(IF(ArtifactsInput!$M$27,FALSE,TRUE),Inputs!$B$4="Chapter Hunt"),CHOOSE(ArtifactsInput!$N$27+1,20,24,28,32,36,40),0)/100)))))/Skills!G12,1)))/Inputs!$B$43),G1927*Q1927))*IF(Inputs!$B$38="pvp",1,(1+(Inputs!$B$21+Skills!P12+B1943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8">
      <c r="A1928">
        <f>Skills!A13</f>
        <v/>
      </c>
      <c r="B1928">
        <f>Skills!B13</f>
        <v/>
      </c>
      <c r="C1928">
        <f>Inputs!$B$3&gt;=49</f>
        <v/>
      </c>
      <c r="D1928">
        <f>IF(Skills!C13=1,60+Inputs!$B$25+Inputs!$B$29,IF(Skills!C13=2,90+Inputs!$B$26+Inputs!$B$29,IF(Skills!C13=3,120+Inputs!$B$27+Inputs!$B$29,MAX(0,(Inputs!$B$3-100)*3)+Inputs!$B$28+Inputs!$B$29)))</f>
        <v/>
      </c>
      <c r="E1928">
        <f>INDEX(FactorTable!$B$2:$Y$301, MATCH(ROUND(MIN(300,MAX(1,D1928)),0), FactorTable!$A$2:$A$301,0), Skills!L13+1)</f>
        <v/>
      </c>
      <c r="F1928">
        <f>IF(Skills!M13=TRUE,(Skills!K13/10)*(E1928/1000),Skills!K13/10)+Skills!N13</f>
        <v/>
      </c>
      <c r="G1928">
        <f>Calc!G13</f>
        <v/>
      </c>
      <c r="H1928">
        <f>Calc!H13</f>
        <v/>
      </c>
      <c r="I1928">
        <f>IF(Skills!T13&lt;&gt;"",1+(Skills!T13/10)*(Z1918/1000)/100,1)</f>
        <v/>
      </c>
      <c r="J1928" t="inlineStr"/>
      <c r="K1928" t="inlineStr"/>
      <c r="L1928" t="inlineStr"/>
      <c r="M1928" t="inlineStr"/>
      <c r="N1928" t="inlineStr"/>
      <c r="O1928">
        <f>(1-Summary!$B$11)*S1928+Summary!$B$11*U1928</f>
        <v/>
      </c>
      <c r="P1928">
        <f>IF(B1952=0,0,O1928/B1952)</f>
        <v/>
      </c>
      <c r="Q1928">
        <f>IFERROR(1/(IF(Inputs!$B$38="pvp",15,MAX(0.1,Skills!D13-IF(TRUE=TRUE,Inputs!$B$32,0)))*(1-IF(AND(IF(ArtifactsInput!$M$27,FALSE,TRUE),Inputs!$B$4="Chapter Hunt"),CHOOSE(ArtifactsInput!$N$27+1,20,24,28,32,36,40),0)/100)),0)</f>
        <v/>
      </c>
      <c r="R1928" t="n">
        <v>0</v>
      </c>
      <c r="S1928" t="n">
        <v>0</v>
      </c>
      <c r="U1928" t="n">
        <v>0</v>
      </c>
    </row>
    <row r="1929">
      <c r="A1929">
        <f>Skills!A14</f>
        <v/>
      </c>
      <c r="B1929">
        <f>Skills!B14</f>
        <v/>
      </c>
      <c r="C1929">
        <f>Inputs!$B$3&gt;=72</f>
        <v/>
      </c>
      <c r="D1929">
        <f>IF(Skills!C14=1,60+Inputs!$B$25+Inputs!$B$29,IF(Skills!C14=2,90+Inputs!$B$26+Inputs!$B$29,IF(Skills!C14=3,120+Inputs!$B$27+Inputs!$B$29,MAX(0,(Inputs!$B$3-100)*3)+Inputs!$B$28+Inputs!$B$29)))</f>
        <v/>
      </c>
      <c r="E1929">
        <f>INDEX(FactorTable!$B$2:$Y$301, MATCH(ROUND(MIN(300,MAX(1,D1929)),0), FactorTable!$A$2:$A$301,0), Skills!L14+1)</f>
        <v/>
      </c>
      <c r="F1929">
        <f>IF(Skills!M14=TRUE,(Skills!K14/10)*(E1929/1000),Skills!K14/10)+Skills!N14</f>
        <v/>
      </c>
      <c r="G1929">
        <f>Calc!G14</f>
        <v/>
      </c>
      <c r="H1929">
        <f>Calc!H14</f>
        <v/>
      </c>
      <c r="I1929">
        <f>IF(Skills!T14&lt;&gt;"",1+(Skills!T14/10)*(Z1918/1000)/100,1)</f>
        <v/>
      </c>
      <c r="J1929" t="inlineStr"/>
      <c r="K1929" t="inlineStr"/>
      <c r="L1929" t="inlineStr"/>
      <c r="M1929" t="inlineStr"/>
      <c r="N1929" t="inlineStr"/>
      <c r="O1929">
        <f>(1-Summary!$B$11)*S1929+Summary!$B$11*U1929</f>
        <v/>
      </c>
      <c r="P1929">
        <f>IF(B1952=0,0,O1929/B1952)</f>
        <v/>
      </c>
      <c r="Q1929">
        <f>IFERROR(1/(IF(Inputs!$B$38="pvp",15,MAX(0.1,Skills!D14-IF(TRUE=TRUE,Inputs!$B$32,0)))*(1-IF(AND(IF(ArtifactsInput!$M$27,FALSE,TRUE),Inputs!$B$4="Chapter Hunt"),CHOOSE(ArtifactsInput!$N$27+1,20,24,28,32,36,40),0)/100)),0)</f>
        <v/>
      </c>
      <c r="R1929" t="n">
        <v>0</v>
      </c>
      <c r="S1929" t="n">
        <v>0</v>
      </c>
      <c r="U1929" t="n">
        <v>0</v>
      </c>
    </row>
    <row r="1930">
      <c r="A1930">
        <f>Skills!A15</f>
        <v/>
      </c>
      <c r="B1930">
        <f>Skills!B15</f>
        <v/>
      </c>
      <c r="C1930">
        <f>Inputs!$B$3&gt;=75</f>
        <v/>
      </c>
      <c r="D1930">
        <f>IF(Skills!C15=1,60+Inputs!$B$25+Inputs!$B$29,IF(Skills!C15=2,90+Inputs!$B$26+Inputs!$B$29,IF(Skills!C15=3,120+Inputs!$B$27+Inputs!$B$29,MAX(0,(Inputs!$B$3-100)*3)+Inputs!$B$28+Inputs!$B$29)))</f>
        <v/>
      </c>
      <c r="E1930">
        <f>INDEX(FactorTable!$B$2:$Y$301, MATCH(ROUND(MIN(300,MAX(1,D1930)),0), FactorTable!$A$2:$A$301,0), Skills!L15+1)</f>
        <v/>
      </c>
      <c r="F1930">
        <f>IF(Skills!M15=TRUE,(Skills!K15/10)*(E1930/1000),Skills!K15/10)+Skills!N15</f>
        <v/>
      </c>
      <c r="G1930">
        <f>Calc!G15</f>
        <v/>
      </c>
      <c r="H1930">
        <f>Calc!H15</f>
        <v/>
      </c>
      <c r="I1930">
        <f>IF(Skills!T15&lt;&gt;"",1+(Skills!T15/10)*(Z1918/1000)/100,1)</f>
        <v/>
      </c>
      <c r="J1930" t="inlineStr"/>
      <c r="K1930" t="inlineStr"/>
      <c r="L1930" t="inlineStr"/>
      <c r="M1930" t="inlineStr"/>
      <c r="N1930" t="inlineStr"/>
      <c r="O1930">
        <f>(1-Summary!$B$11)*S1930+Summary!$B$11*U1930</f>
        <v/>
      </c>
      <c r="P1930">
        <f>IF(B1952=0,0,O1930/B1952)</f>
        <v/>
      </c>
      <c r="Q1930">
        <f>IFERROR(1/(IF(Inputs!$B$38="pvp",15,MAX(0.1,Skills!D15-IF(TRUE=TRUE,Inputs!$B$32,0)))*(1-IF(AND(IF(ArtifactsInput!$M$27,FALSE,TRUE),Inputs!$B$4="Chapter Hunt"),CHOOSE(ArtifactsInput!$N$27+1,20,24,28,32,36,40),0)/100)),0)</f>
        <v/>
      </c>
      <c r="R1930" t="n">
        <v>0</v>
      </c>
      <c r="S1930" t="n">
        <v>0</v>
      </c>
      <c r="U1930" t="n">
        <v>0</v>
      </c>
    </row>
    <row r="1931">
      <c r="A1931">
        <f>Skills!A16</f>
        <v/>
      </c>
      <c r="B1931">
        <f>Skills!B16</f>
        <v/>
      </c>
      <c r="C1931">
        <f>Inputs!$B$3&gt;=110</f>
        <v/>
      </c>
      <c r="D1931">
        <f>IF(Skills!C16=1,60+Inputs!$B$25+Inputs!$B$29,IF(Skills!C16=2,90+Inputs!$B$26+Inputs!$B$29,IF(Skills!C16=3,120+Inputs!$B$27+Inputs!$B$29,MAX(0,(Inputs!$B$3-100)*3)+Inputs!$B$28+Inputs!$B$29)))</f>
        <v/>
      </c>
      <c r="E1931">
        <f>INDEX(FactorTable!$B$2:$Y$301, MATCH(ROUND(MIN(300,MAX(1,D1931)),0), FactorTable!$A$2:$A$301,0), Skills!L16+1)</f>
        <v/>
      </c>
      <c r="F1931">
        <f>(Skills!K16/10)*(E1931/1000)*64/45+Skills!N16</f>
        <v/>
      </c>
      <c r="G1931">
        <f>Calc!G16</f>
        <v/>
      </c>
      <c r="H1931">
        <f>Calc!H16</f>
        <v/>
      </c>
      <c r="I1931">
        <f>IF(Skills!T16&lt;&gt;"",1+(Skills!T16/10)*(Z1918/1000)/100,1)</f>
        <v/>
      </c>
      <c r="J1931" t="inlineStr"/>
      <c r="K1931" t="inlineStr"/>
      <c r="L1931" t="inlineStr"/>
      <c r="M1931" t="inlineStr"/>
      <c r="N1931" t="inlineStr"/>
      <c r="O1931">
        <f>(1-Summary!$B$11)*S1931+Summary!$B$11*U1931</f>
        <v/>
      </c>
      <c r="P1931">
        <f>IF(B1952=0,0,O1931/B1952)</f>
        <v/>
      </c>
      <c r="Q1931">
        <f>IFERROR(1/(IF(Inputs!$B$38="pvp",15,MAX(0.1,Skills!D16-IF(TRUE=TRUE,Inputs!$B$32,0)))*(1-IF(AND(IF(ArtifactsInput!$M$27,FALSE,TRUE),Inputs!$B$4="Chapter Hunt"),CHOOSE(ArtifactsInput!$N$27+1,20,24,28,32,36,40),0)/100)),0)</f>
        <v/>
      </c>
      <c r="R1931">
        <f>IF(AND(Inputs!$B$38&lt;&gt;"pvp",Inputs!$B$43&gt;0),IF(Inputs!$B$43&lt;=0,0,(INT(Inputs!$B$43/(IF(Inputs!$B$38="pvp",15,MAX(0.1,Skills!D16-IF(TRUE=TRUE,Inputs!$B$32,0)))*(1-IF(AND(IF(ArtifactsInput!$M$27,FALSE,TRUE),Inputs!$B$4="Chapter Hunt"),CHOOSE(ArtifactsInput!$N$27+1,20,24,28,32,36,40),0)/100)))+1)),0)</f>
        <v/>
      </c>
      <c r="S1931" t="n">
        <v>0</v>
      </c>
      <c r="U1931" t="n">
        <v>0</v>
      </c>
    </row>
    <row r="1932">
      <c r="A1932">
        <f>Skills!A17</f>
        <v/>
      </c>
      <c r="B1932">
        <f>Skills!B17</f>
        <v/>
      </c>
      <c r="C1932">
        <f>Inputs!$B$3&gt;=33</f>
        <v/>
      </c>
      <c r="D1932">
        <f>IF(Skills!C17=1,60+Inputs!$B$25+Inputs!$B$29,IF(Skills!C17=2,90+Inputs!$B$26+Inputs!$B$29,IF(Skills!C17=3,120+Inputs!$B$27+Inputs!$B$29,MAX(0,(Inputs!$B$3-100)*3)+Inputs!$B$28+Inputs!$B$29)))</f>
        <v/>
      </c>
      <c r="E1932">
        <f>INDEX(FactorTable!$B$2:$Y$301, MATCH(ROUND(MIN(300,MAX(1,D1932)),0), FactorTable!$A$2:$A$301,0), Skills!L17+1)</f>
        <v/>
      </c>
      <c r="F1932">
        <f>IF(Skills!M17=TRUE,(Skills!K17/10)*(E1932/1000),Skills!K17/10)+Skills!N17</f>
        <v/>
      </c>
      <c r="G1932">
        <f>Calc!G17</f>
        <v/>
      </c>
      <c r="H1932">
        <f>Calc!H17</f>
        <v/>
      </c>
      <c r="I1932">
        <f>IF(Skills!T17&lt;&gt;"",1+(Skills!T17/10)*(Z1918/1000)/100,1)</f>
        <v/>
      </c>
      <c r="J1932" t="inlineStr"/>
      <c r="K1932" t="inlineStr"/>
      <c r="L1932" t="inlineStr"/>
      <c r="M1932" t="inlineStr"/>
      <c r="N1932" t="inlineStr"/>
      <c r="O1932">
        <f>(1-Summary!$B$11)*S1932+Summary!$B$11*U1932</f>
        <v/>
      </c>
      <c r="P1932">
        <f>IF(B1952=0,0,O1932/B1952)</f>
        <v/>
      </c>
      <c r="Q1932">
        <f>IFERROR(1/(IF(Inputs!$B$38="pvp",15,MAX(0.1,Skills!D17-IF(TRUE=TRUE,Inputs!$B$32,0)))*(1-IF(AND(IF(ArtifactsInput!$M$27,FALSE,TRUE),Inputs!$B$4="Chapter Hunt"),CHOOSE(ArtifactsInput!$N$27+1,20,24,28,32,36,40),0)/100)),0)</f>
        <v/>
      </c>
      <c r="R1932" t="n">
        <v>0</v>
      </c>
      <c r="S1932" t="n">
        <v>0</v>
      </c>
      <c r="U1932" t="n">
        <v>0</v>
      </c>
    </row>
    <row r="1933">
      <c r="A1933">
        <f>Skills!A18</f>
        <v/>
      </c>
      <c r="B1933">
        <f>Skills!B18</f>
        <v/>
      </c>
      <c r="C1933">
        <f>Inputs!$B$3&gt;=43</f>
        <v/>
      </c>
      <c r="D1933">
        <f>IF(Skills!C18=1,60+Inputs!$B$25+Inputs!$B$29,IF(Skills!C18=2,90+Inputs!$B$26+Inputs!$B$29,IF(Skills!C18=3,120+Inputs!$B$27+Inputs!$B$29,MAX(0,(Inputs!$B$3-100)*3)+Inputs!$B$28+Inputs!$B$29)))</f>
        <v/>
      </c>
      <c r="E1933">
        <f>INDEX(FactorTable!$B$2:$Y$301, MATCH(ROUND(MIN(300,MAX(1,D1933)),0), FactorTable!$A$2:$A$301,0), Skills!L18+1)</f>
        <v/>
      </c>
      <c r="F1933">
        <f>IF(Skills!M18=TRUE,(Skills!K18/10)*(E1933/1000),Skills!K18/10)+Skills!N18</f>
        <v/>
      </c>
      <c r="G1933">
        <f>Calc!G18</f>
        <v/>
      </c>
      <c r="H1933">
        <f>Calc!H18</f>
        <v/>
      </c>
      <c r="I1933">
        <f>IF(Skills!T18&lt;&gt;"",1+(Skills!T18/10)*(Z1918/1000)/100,1)</f>
        <v/>
      </c>
      <c r="J1933" t="inlineStr"/>
      <c r="K1933" t="inlineStr"/>
      <c r="L1933" t="inlineStr"/>
      <c r="M1933" t="inlineStr"/>
      <c r="N1933" t="inlineStr"/>
      <c r="O1933">
        <f>(1-Summary!$B$11)*S1933+Summary!$B$11*U1933</f>
        <v/>
      </c>
      <c r="P1933">
        <f>IF(B1952=0,0,O1933/B1952)</f>
        <v/>
      </c>
      <c r="Q1933">
        <f>IFERROR(1/(IF(Inputs!$B$38="pvp",15,MAX(0.1,Skills!D18-IF(TRUE=TRUE,Inputs!$B$32,0)))*(1-IF(AND(IF(ArtifactsInput!$M$27,FALSE,TRUE),Inputs!$B$4="Chapter Hunt"),CHOOSE(ArtifactsInput!$N$27+1,20,24,28,32,36,40),0)/100)),0)</f>
        <v/>
      </c>
      <c r="R1933" t="n">
        <v>0</v>
      </c>
      <c r="S1933" t="n">
        <v>0</v>
      </c>
      <c r="U1933" t="n">
        <v>0</v>
      </c>
    </row>
    <row r="1934">
      <c r="A1934">
        <f>Skills!A19</f>
        <v/>
      </c>
      <c r="B1934">
        <f>Skills!B19</f>
        <v/>
      </c>
      <c r="C1934">
        <f>Inputs!$B$3&gt;=50</f>
        <v/>
      </c>
      <c r="D1934">
        <f>IF(Skills!C19=1,60+Inputs!$B$25+Inputs!$B$29,IF(Skills!C19=2,90+Inputs!$B$26+Inputs!$B$29,IF(Skills!C19=3,120+Inputs!$B$27+Inputs!$B$29,MAX(0,(Inputs!$B$3-100)*3)+Inputs!$B$28+Inputs!$B$29)))</f>
        <v/>
      </c>
      <c r="E1934">
        <f>INDEX(FactorTable!$B$2:$Y$301, MATCH(ROUND(MIN(300,MAX(1,D1934)),0), FactorTable!$A$2:$A$301,0), Skills!L19+1)</f>
        <v/>
      </c>
      <c r="F1934">
        <f>IF(Skills!M19=TRUE,(Skills!K19/10)*(E1934/1000),Skills!K19/10)+Skills!N19</f>
        <v/>
      </c>
      <c r="G1934">
        <f>Calc!G19</f>
        <v/>
      </c>
      <c r="H1934">
        <f>Calc!H19</f>
        <v/>
      </c>
      <c r="I1934">
        <f>IF(Skills!T19&lt;&gt;"",1+(Skills!T19/10)*(Z1918/1000)/100,1)</f>
        <v/>
      </c>
      <c r="J1934" t="inlineStr"/>
      <c r="K1934" t="inlineStr"/>
      <c r="L1934" t="inlineStr"/>
      <c r="M1934" t="inlineStr"/>
      <c r="N1934" t="inlineStr"/>
      <c r="O1934">
        <f>(1-Summary!$B$11)*S1934+Summary!$B$11*U1934</f>
        <v/>
      </c>
      <c r="P1934">
        <f>IF(B1952=0,0,O1934/B1952)</f>
        <v/>
      </c>
      <c r="Q1934">
        <f>IFERROR(1/(IF(Inputs!$B$38="pvp",15,MAX(0.1,Skills!D19-IF(TRUE=TRUE,Inputs!$B$32,0)))*(1-IF(AND(IF(ArtifactsInput!$M$27,FALSE,TRUE),Inputs!$B$4="Chapter Hunt"),CHOOSE(ArtifactsInput!$N$27+1,20,24,28,32,36,40),0)/100)),0)</f>
        <v/>
      </c>
      <c r="R1934" t="n">
        <v>0</v>
      </c>
      <c r="S1934" t="n">
        <v>0</v>
      </c>
      <c r="U1934" t="n">
        <v>0</v>
      </c>
    </row>
    <row r="1935">
      <c r="A1935">
        <f>Skills!A20</f>
        <v/>
      </c>
      <c r="B1935">
        <f>Skills!B20</f>
        <v/>
      </c>
      <c r="C1935">
        <f>Inputs!$B$3&gt;=74</f>
        <v/>
      </c>
      <c r="D1935">
        <f>IF(Skills!C20=1,60+Inputs!$B$25+Inputs!$B$29,IF(Skills!C20=2,90+Inputs!$B$26+Inputs!$B$29,IF(Skills!C20=3,120+Inputs!$B$27+Inputs!$B$29,MAX(0,(Inputs!$B$3-100)*3)+Inputs!$B$28+Inputs!$B$29)))</f>
        <v/>
      </c>
      <c r="E1935">
        <f>INDEX(FactorTable!$B$2:$Y$301, MATCH(ROUND(MIN(300,MAX(1,D1935)),0), FactorTable!$A$2:$A$301,0), Skills!L20+1)</f>
        <v/>
      </c>
      <c r="F1935">
        <f>IF(Skills!M20=TRUE,(Skills!K20/10)*(E1935/1000),Skills!K20/10)+Skills!N20</f>
        <v/>
      </c>
      <c r="G1935">
        <f>Calc!G20</f>
        <v/>
      </c>
      <c r="H1935">
        <f>Calc!H20</f>
        <v/>
      </c>
      <c r="I1935">
        <f>IF(Skills!T20&lt;&gt;"",1+(Skills!T20/10)*(Z1918/1000)/100,1)</f>
        <v/>
      </c>
      <c r="J1935" t="inlineStr"/>
      <c r="K1935" t="inlineStr"/>
      <c r="L1935" t="inlineStr"/>
      <c r="M1935" t="inlineStr"/>
      <c r="N1935" t="inlineStr"/>
      <c r="O1935">
        <f>(1-Summary!$B$11)*S1935+Summary!$B$11*U1935</f>
        <v/>
      </c>
      <c r="P1935">
        <f>IF(B1952=0,0,O1935/B1952)</f>
        <v/>
      </c>
      <c r="Q1935">
        <f>IFERROR(1/(IF(Inputs!$B$38="pvp",15,MAX(0.1,Skills!D20-IF(TRUE=TRUE,Inputs!$B$32,0)))*(1-IF(AND(IF(ArtifactsInput!$M$27,FALSE,TRUE),Inputs!$B$4="Chapter Hunt"),CHOOSE(ArtifactsInput!$N$27+1,20,24,28,32,36,40),0)/100)),0)</f>
        <v/>
      </c>
      <c r="R1935" t="n">
        <v>0</v>
      </c>
      <c r="S1935" t="n">
        <v>0</v>
      </c>
      <c r="U1935" t="n">
        <v>0</v>
      </c>
    </row>
    <row r="1936">
      <c r="A1936">
        <f>Skills!A21</f>
        <v/>
      </c>
      <c r="B1936">
        <f>Skills!B21</f>
        <v/>
      </c>
      <c r="C1936">
        <f>Inputs!$B$3&gt;=74</f>
        <v/>
      </c>
      <c r="D1936">
        <f>IF(Skills!C21=1,60+Inputs!$B$25+Inputs!$B$29,IF(Skills!C21=2,90+Inputs!$B$26+Inputs!$B$29,IF(Skills!C21=3,120+Inputs!$B$27+Inputs!$B$29,MAX(0,(Inputs!$B$3-100)*3)+Inputs!$B$28+Inputs!$B$29)))</f>
        <v/>
      </c>
      <c r="E1936">
        <f>INDEX(FactorTable!$B$2:$Y$301, MATCH(ROUND(MIN(300,MAX(1,D1936)),0), FactorTable!$A$2:$A$301,0), Skills!L21+1)</f>
        <v/>
      </c>
      <c r="F1936">
        <f>IF(Skills!M21=TRUE,(Skills!K21/10)*(E1936/1000),Skills!K21/10)+Skills!N21</f>
        <v/>
      </c>
      <c r="G1936">
        <f>Calc!G21</f>
        <v/>
      </c>
      <c r="H1936">
        <f>Calc!H21</f>
        <v/>
      </c>
      <c r="I1936">
        <f>IF(Skills!T21&lt;&gt;"",1+(Skills!T21/10)*(Z1918/1000)/100,1)</f>
        <v/>
      </c>
      <c r="J1936" t="inlineStr"/>
      <c r="K1936" t="inlineStr"/>
      <c r="L1936" t="inlineStr"/>
      <c r="M1936" t="inlineStr"/>
      <c r="N1936" t="inlineStr"/>
      <c r="O1936">
        <f>(1-Summary!$B$11)*S1936+Summary!$B$11*U1936</f>
        <v/>
      </c>
      <c r="P1936">
        <f>IF(B1952=0,0,O1936/B1952)</f>
        <v/>
      </c>
      <c r="Q1936">
        <f>IFERROR(1/(IF(Inputs!$B$38="pvp",15,MAX(0.1,Skills!D21-IF(TRUE=TRUE,Inputs!$B$32,0)))*(1-IF(AND(IF(ArtifactsInput!$M$27,FALSE,TRUE),Inputs!$B$4="Chapter Hunt"),CHOOSE(ArtifactsInput!$N$27+1,20,24,28,32,36,40),0)/100)),0)</f>
        <v/>
      </c>
      <c r="R1936" t="n">
        <v>0</v>
      </c>
      <c r="S1936" t="n">
        <v>0</v>
      </c>
      <c r="U1936" t="n">
        <v>0</v>
      </c>
    </row>
    <row r="1937">
      <c r="A1937">
        <f>Skills!A22</f>
        <v/>
      </c>
      <c r="B1937">
        <f>Skills!B22</f>
        <v/>
      </c>
      <c r="C1937">
        <f>Inputs!$B$3&gt;=117</f>
        <v/>
      </c>
      <c r="D1937">
        <f>IF(Skills!C22=1,60+Inputs!$B$25+Inputs!$B$29,IF(Skills!C22=2,90+Inputs!$B$26+Inputs!$B$29,IF(Skills!C22=3,120+Inputs!$B$27+Inputs!$B$29,MAX(0,(Inputs!$B$3-100)*3)+Inputs!$B$28+Inputs!$B$29)))</f>
        <v/>
      </c>
      <c r="E1937">
        <f>INDEX(FactorTable!$B$2:$Y$301, MATCH(ROUND(MIN(300,MAX(1,D1937)),0), FactorTable!$A$2:$A$301,0), Skills!L22+1)</f>
        <v/>
      </c>
      <c r="F1937">
        <f>IF(Skills!M22=TRUE,(Skills!K22/10)*(E1937/1000),Skills!K22/10)+Skills!N22</f>
        <v/>
      </c>
      <c r="G1937">
        <f>Calc!G22</f>
        <v/>
      </c>
      <c r="H1937">
        <f>Calc!H22</f>
        <v/>
      </c>
      <c r="I1937">
        <f>IF(Skills!T22&lt;&gt;"",1+(Skills!T22/10)*(Z1918/1000)/100,1)</f>
        <v/>
      </c>
      <c r="J1937" t="inlineStr"/>
      <c r="K1937" t="inlineStr"/>
      <c r="L1937" t="inlineStr"/>
      <c r="M1937" t="inlineStr"/>
      <c r="N1937" t="inlineStr"/>
      <c r="O1937">
        <f>(1-Summary!$B$11)*S1937+Summary!$B$11*U1937</f>
        <v/>
      </c>
      <c r="P1937">
        <f>IF(B1952=0,0,O1937/B1952)</f>
        <v/>
      </c>
      <c r="Q1937">
        <f>IFERROR(1/(IF(Inputs!$B$38="pvp",15,MAX(0.1,Skills!D22-IF(TRUE=TRUE,Inputs!$B$32,0)))*(1-IF(AND(IF(ArtifactsInput!$M$27,FALSE,TRUE),Inputs!$B$4="Chapter Hunt"),CHOOSE(ArtifactsInput!$N$27+1,20,24,28,32,36,40),0)/100)),0)</f>
        <v/>
      </c>
      <c r="R1937" t="n">
        <v>0</v>
      </c>
      <c r="S1937" t="n">
        <v>0</v>
      </c>
      <c r="U1937" t="n">
        <v>0</v>
      </c>
    </row>
    <row r="1938">
      <c r="A1938">
        <f>Skills!A23</f>
        <v/>
      </c>
      <c r="B1938">
        <f>Skills!B23</f>
        <v/>
      </c>
      <c r="C1938">
        <f>Inputs!$B$3&gt;=120</f>
        <v/>
      </c>
      <c r="D1938">
        <f>IF(Skills!C23=1,60+Inputs!$B$25+Inputs!$B$29,IF(Skills!C23=2,90+Inputs!$B$26+Inputs!$B$29,IF(Skills!C23=3,120+Inputs!$B$27+Inputs!$B$29,MAX(0,(Inputs!$B$3-100)*3)+Inputs!$B$28+Inputs!$B$29)))</f>
        <v/>
      </c>
      <c r="E1938">
        <f>INDEX(FactorTable!$B$2:$Y$301, MATCH(ROUND(MIN(300,MAX(1,D1938)),0), FactorTable!$A$2:$A$301,0), Skills!L23+1)</f>
        <v/>
      </c>
      <c r="F1938">
        <f>IF(Skills!M23=TRUE,(Skills!K23/10)*(E1938/1000),Skills!K23/10)+Skills!N23</f>
        <v/>
      </c>
      <c r="G1938">
        <f>Calc!G23</f>
        <v/>
      </c>
      <c r="H1938">
        <f>Calc!H23</f>
        <v/>
      </c>
      <c r="I1938">
        <f>IF(Skills!T23&lt;&gt;"",1+(Skills!T23/10)*(Z1918/1000)/100,1)</f>
        <v/>
      </c>
      <c r="J1938" t="inlineStr"/>
      <c r="K1938" t="inlineStr"/>
      <c r="L1938" t="inlineStr"/>
      <c r="M1938" t="inlineStr"/>
      <c r="N1938" t="inlineStr"/>
      <c r="O1938">
        <f>(1-Summary!$B$11)*S1938+Summary!$B$11*U1938</f>
        <v/>
      </c>
      <c r="P1938">
        <f>IF(B1952=0,0,O1938/B1952)</f>
        <v/>
      </c>
      <c r="Q1938">
        <f>IFERROR(1/(IF(Inputs!$B$38="pvp",15,MAX(0.1,Skills!D23-IF(TRUE=TRUE,Inputs!$B$32,0)))*(1-IF(AND(IF(ArtifactsInput!$M$27,FALSE,TRUE),Inputs!$B$4="Chapter Hunt"),CHOOSE(ArtifactsInput!$N$27+1,20,24,28,32,36,40),0)/100)),0)</f>
        <v/>
      </c>
      <c r="R1938" t="n">
        <v>0</v>
      </c>
      <c r="S1938" t="n">
        <v>0</v>
      </c>
      <c r="U1938" t="n">
        <v>0</v>
      </c>
    </row>
    <row r="1939">
      <c r="A1939">
        <f>Skills!A24</f>
        <v/>
      </c>
      <c r="B1939">
        <f>Skills!B24</f>
        <v/>
      </c>
      <c r="C1939">
        <f>TRUE</f>
        <v/>
      </c>
      <c r="D1939">
        <f>IF(Skills!C24=1,60+Inputs!$B$25+Inputs!$B$29,IF(Skills!C24=2,90+Inputs!$B$26+Inputs!$B$29,IF(Skills!C24=3,120+Inputs!$B$27+Inputs!$B$29,MAX(0,(Inputs!$B$3-100)*3)+Inputs!$B$28+Inputs!$B$29)))</f>
        <v/>
      </c>
      <c r="E1939">
        <f>INDEX(FactorTable!$B$2:$Y$301, MATCH(ROUND(MIN(300,MAX(1,D1939)),0), FactorTable!$A$2:$A$301,0), Skills!L24+1)</f>
        <v/>
      </c>
      <c r="F1939">
        <f>IF(Skills!M24=TRUE,(Skills!K24/10)*(E1939/1000),Skills!K24/10)+Skills!N24</f>
        <v/>
      </c>
      <c r="G1939">
        <f>Calc!G24</f>
        <v/>
      </c>
      <c r="H1939">
        <f>Calc!H24</f>
        <v/>
      </c>
      <c r="I1939">
        <f>IF(Skills!T24&lt;&gt;"",1+(Skills!T24/10)*(Z1918/1000)/100,1)</f>
        <v/>
      </c>
      <c r="J1939" t="inlineStr"/>
      <c r="K1939" t="inlineStr"/>
      <c r="L1939" t="inlineStr"/>
      <c r="M1939" t="inlineStr"/>
      <c r="N1939" t="inlineStr"/>
      <c r="O1939">
        <f>(1-Summary!$B$11)*S1939+Summary!$B$11*U1939</f>
        <v/>
      </c>
      <c r="P1939">
        <f>IF(B1952=0,0,O1939/B1952)</f>
        <v/>
      </c>
      <c r="Q1939">
        <f>IFERROR(1/(IF(Inputs!$B$38="pvp",15,MAX(0.1,Skills!D24-IF(TRUE=TRUE,Inputs!$B$32,0)))*(1-IF(AND(IF(ArtifactsInput!$M$27,FALSE,TRUE),Inputs!$B$4="Chapter Hunt"),CHOOSE(ArtifactsInput!$N$27+1,20,24,28,32,36,40),0)/100)),0)</f>
        <v/>
      </c>
      <c r="R1939">
        <f>IF(AND(Inputs!$B$38&lt;&gt;"pvp",Inputs!$B$43&gt;0),IF(Inputs!$B$43&lt;=0,0,(INT(Inputs!$B$43/(IF(Inputs!$B$38="pvp",15,MAX(0.1,Skills!D24-IF(TRUE=TRUE,Inputs!$B$32,0)))*(1-IF(AND(IF(ArtifactsInput!$M$27,FALSE,TRUE),Inputs!$B$4="Chapter Hunt"),CHOOSE(ArtifactsInput!$N$27+1,20,24,28,32,36,40),0)/100)))+1)),0)</f>
        <v/>
      </c>
      <c r="S1939" t="n">
        <v>0</v>
      </c>
      <c r="U1939" t="n">
        <v>0</v>
      </c>
    </row>
    <row r="1942">
      <c r="A1942" t="inlineStr">
        <is>
          <t>Average Buff Multiplier (Magic Guard + Meditation + Artifact Attack%, summed; then Infinity)</t>
        </is>
      </c>
      <c r="B1942">
        <f>(1+(IF(C1918=TRUE,F1918*IF(AND(Inputs!$B$38&lt;&gt;"pvp",Inputs!$B$43&gt;0),(((R1918-1)*MIN((Skills!S3*(1+(Inputs!$B$34)/100)),(1/Q1918))+MIN((Skills!S3*(1+(Inputs!$B$34)/100)),MAX(0,Inputs!$B$43-((R1918-1)*(1/Q1918)))))/Inputs!$B$43),IF(Inputs!$B$38="pvp",MIN((Skills!S3*(1+(Inputs!$B$34)/100)),15)/15,MIN(1,(Skills!S3*(1+(Inputs!$B$34)/100))/(1/Q1918)))),0)+IF(C1919=TRUE,F1919*IF(AND(Inputs!$B$38&lt;&gt;"pvp",Inputs!$B$43&gt;0),(((R1919-1)*MIN((Skills!S4*(1+(Inputs!$B$34)/100)),(1/Q1919))+MIN((Skills!S4*(1+(Inputs!$B$34)/100)),MAX(0,Inputs!$B$43-((R1919-1)*(1/Q1919)))))/Inputs!$B$43),IF(Inputs!$B$38="pvp",MIN((Skills!S4*(1+(Inputs!$B$34)/100)),15)/15,MIN(1,(Skills!S4*(1+(Inputs!$B$34)/100))/(1/Q1919)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1931=TRUE,(1+F1931*IF(AND(Inputs!$B$38&lt;&gt;"pvp",Inputs!$B$43&gt;0),(((R1931-1)*MIN((Skills!S16*(1+(Inputs!$B$34)/100)),(1/Q1931))+MIN((Skills!S16*(1+(Inputs!$B$34)/100)),MAX(0,Inputs!$B$43-((R1931-1)*(1/Q1931)))))/Inputs!$B$43),IF(Inputs!$B$38="pvp",MIN((Skills!S16*(1+(Inputs!$B$34)/100)),15)/15,MIN(1,(Skills!S16*(1+(Inputs!$B$34)/100))/(1/Q1931))))/100),1)</f>
        <v/>
      </c>
    </row>
    <row r="1943">
      <c r="A1943" t="inlineStr">
        <is>
          <t>Monster Damage Taken Bonus % (Freezing Breath - Weaken + Elemental Reset + Artifact Enemy Damage Taken, summed)</t>
        </is>
      </c>
      <c r="B1943">
        <f>IF(Inputs!$B$3&gt;=118,15*IF(Inputs!$B$38="pvp",MIN((30*(1+(Inputs!$B$34)/100)),15)/15,MIN(1,(30*(1+(Inputs!$B$34)/100))/(1/Q1923))),0)+IF(C1929=TRUE,F1929,0)+(IF(AND(ArtifactsInput!$M$35,Inputs!$B$4&lt;&gt;"Chapter Hunt"),CHOOSE(ArtifactsInput!$N$35+1,15,18,21,24,27,30)*(1-EXP(-(0.2*B1946)*5)),0)+IF(AND(ArtifactsInput!$M$22,Inputs!$B$4&lt;&gt;"Chapter Hunt"),CHOOSE(ArtifactsInput!$N$22+1,10,12,14,16,18,20)*((0*(((0.15*B1946*5))^0/1)+1*(((0.15*B1946*5))^1/1)+2*(((0.15*B1946*5))^2/2)+3*(((0.15*B1946*5))^3/6)+4*(((0.15*B1946*5))^4/24)+5*(((0.15*B1946*5))^5/120))/((((0.15*B1946*5))^0/1)+(((0.15*B1946*5))^1/1)+(((0.15*B1946*5))^2/2)+(((0.15*B1946*5))^3/6)+(((0.15*B1946*5))^4/24)+(((0.15*B1946*5))^5/120))),0))</f>
        <v/>
      </c>
    </row>
    <row r="1944">
      <c r="A1944" t="inlineStr">
        <is>
          <t>Damage % Bonus (Frozen Break + Frost Clutch, flat)</t>
        </is>
      </c>
      <c r="B1944">
        <f>IF(Inputs!$B$3&gt;=66,15,0)+IF(Inputs!$B$3&gt;=98,10,0)+IF(Inputs!$B$3&gt;=125,20,0)</f>
        <v/>
      </c>
    </row>
    <row r="1945">
      <c r="A1945" t="inlineStr">
        <is>
          <t>Attack Speed Bonus % (MP Eater - MP Boost, always-on + Nimble Feet, duty-cycle averaged)</t>
        </is>
      </c>
      <c r="B1945">
        <f>IF(C1928=TRUE,F1928+(F1932-Calc!F17),0)+((C1939=TRUE)*F1939*IF(AND(Inputs!$B$38&lt;&gt;"pvp",Inputs!$B$43&gt;0),(((R1939-1)*MIN((Skills!S24*(1+(Inputs!$B$34)/100)),(1/Q1939))+MIN((Skills!S24*(1+(Inputs!$B$34)/100)),MAX(0,Inputs!$B$43-((R1939-1)*(1/Q1939)))))/Inputs!$B$43),IF(Inputs!$B$38="pvp",MIN((Skills!S24*(1+(Inputs!$B$34)/100)),15)/15,MIN(1,(Skills!S24*(1+(Inputs!$B$34)/100))/(1/Q1939)))))</f>
        <v/>
      </c>
    </row>
    <row r="1946">
      <c r="A1946" t="inlineStr">
        <is>
          <t>Actions Per Second</t>
        </is>
      </c>
      <c r="B1946">
        <f>1+MIN(150,150*(1-(1-(Inputs!$B$11+(ArtifactsInput!$M$15-ArtifactsInput!$M$15)*CHOOSE(ArtifactsInput!$N$15+1,8,9.6,11.2,12.8,14.4,16))/150)*(1-B1945/150)))/100</f>
        <v/>
      </c>
    </row>
    <row r="1947">
      <c r="A1947" t="inlineStr">
        <is>
          <t>Skill + Buff Cast Rate</t>
        </is>
      </c>
      <c r="B1947">
        <f>IF(AND(Inputs!$B$38&lt;&gt;"pvp",Inputs!$B$43&gt;0),SUMPRODUCT((Skills!E2:E24=TRUE)*(C1917:C1939=TRUE)*R1917:R1939)/Inputs!$B$43,SUMPRODUCT((Skills!E2:E24=TRUE)*(C1917:C1939=TRUE)*Q1917:Q1939))</f>
        <v/>
      </c>
    </row>
    <row r="1948">
      <c r="A1948" t="inlineStr">
        <is>
          <t>Chain Lightning Casts Per Second</t>
        </is>
      </c>
      <c r="B1948">
        <f>MAX(0,B1946-B1947)</f>
        <v/>
      </c>
    </row>
    <row r="1949">
      <c r="A1949" t="inlineStr">
        <is>
          <t>Buff-Casting Startup Delay (s, fixed-duration only)</t>
        </is>
      </c>
      <c r="B1949">
        <f>IF(AND(Inputs!$B$38&lt;&gt;"pvp",Inputs!$B$43&gt;0),SUMPRODUCT((Skills!S2:S24&gt;0)*(Skills!E2:E24=TRUE)*(C1917:C1939=TRUE))/B1946,0)</f>
        <v/>
      </c>
    </row>
    <row r="1950">
      <c r="A1950" t="inlineStr">
        <is>
          <t>Boss-Only Total DPS (this block's swept value)</t>
        </is>
      </c>
      <c r="B1950">
        <f>SUM(S1917:S1939)</f>
        <v/>
      </c>
    </row>
    <row r="1951">
      <c r="A1951" t="inlineStr">
        <is>
          <t>Normal-Only Total DPS (this block's swept value)</t>
        </is>
      </c>
      <c r="B1951">
        <f>SUM(U1917:U1939)</f>
        <v/>
      </c>
    </row>
    <row r="1952">
      <c r="A1952" s="6" t="inlineStr">
        <is>
          <t>TOTAL DPS</t>
        </is>
      </c>
      <c r="B1952" s="6">
        <f>SUM(O1917:O1939)</f>
        <v/>
      </c>
    </row>
    <row r="1953">
      <c r="A1953" t="inlineStr">
        <is>
          <t>Blizzard Final Attack trigger rate (this block's own Q/R)</t>
        </is>
      </c>
      <c r="B1953">
        <f>IF(AND(Inputs!$B$38&lt;&gt;"pvp",Inputs!$B$43&gt;0),(((C1920=TRUE)*R1920*1)+((C1921=TRUE)*R1921*1)+((C1923=TRUE)*R1923*1)+((C1924=TRUE)*R1924*3)+((C1926=TRUE)*R1926*1))/Inputs!$B$43,((C1920=TRUE)*Q1920*1)+((C1921=TRUE)*Q1921*1)+((C1923=TRUE)*Q1923*1)+((C1924=TRUE)*Q1924*3)+((C1926=TRUE)*Q1926*1))+B1948</f>
        <v/>
      </c>
    </row>
    <row r="1956">
      <c r="A1956" s="6" t="inlineStr">
        <is>
          <t>Stat: Lit Lamp (Equip)</t>
        </is>
      </c>
    </row>
    <row r="1957">
      <c r="A1957" s="5" t="inlineStr">
        <is>
          <t>Key</t>
        </is>
      </c>
      <c r="B1957" s="5" t="inlineStr">
        <is>
          <t>Name</t>
        </is>
      </c>
      <c r="C1957" s="5" t="inlineStr">
        <is>
          <t>Unlocked</t>
        </is>
      </c>
      <c r="D1957" s="5" t="inlineStr">
        <is>
          <t>InputLevel</t>
        </is>
      </c>
      <c r="E1957" s="5" t="inlineStr">
        <is>
          <t>Factor</t>
        </is>
      </c>
      <c r="F1957" s="5" t="inlineStr">
        <is>
          <t>CoefficientPercent</t>
        </is>
      </c>
      <c r="G1957" s="5" t="inlineStr">
        <is>
          <t>EffectiveHits</t>
        </is>
      </c>
      <c r="H1957" s="5" t="inlineStr">
        <is>
          <t>ProcProbability</t>
        </is>
      </c>
      <c r="I1957" s="5" t="inlineStr">
        <is>
          <t>MapleHeroMultiplier</t>
        </is>
      </c>
      <c r="J1957" s="5" t="inlineStr">
        <is>
          <t>BaseDamage</t>
        </is>
      </c>
      <c r="K1957" s="5" t="inlineStr">
        <is>
          <t>BaseHitDamage</t>
        </is>
      </c>
      <c r="L1957" s="5" t="inlineStr">
        <is>
          <t>NonCritAvg</t>
        </is>
      </c>
      <c r="M1957" s="5" t="inlineStr">
        <is>
          <t>CritAvg</t>
        </is>
      </c>
      <c r="N1957" s="5" t="inlineStr">
        <is>
          <t>ExpectedDamage(perHit)</t>
        </is>
      </c>
      <c r="O1957" s="5" t="inlineStr">
        <is>
          <t>DPS</t>
        </is>
      </c>
      <c r="P1957" s="5" t="inlineStr">
        <is>
          <t>% of Total</t>
        </is>
      </c>
      <c r="R1957" t="inlineStr">
        <is>
          <t>helpers</t>
        </is>
      </c>
    </row>
    <row r="1958">
      <c r="A1958">
        <f>Skills!A2</f>
        <v/>
      </c>
      <c r="B1958">
        <f>Skills!B2</f>
        <v/>
      </c>
      <c r="C1958">
        <f>Inputs!$B$3&gt;=100</f>
        <v/>
      </c>
      <c r="D1958" t="inlineStr"/>
      <c r="E1958" t="inlineStr"/>
      <c r="F1958">
        <f>T1960+Skills!N2</f>
        <v/>
      </c>
      <c r="G1958">
        <f>Calc!G2</f>
        <v/>
      </c>
      <c r="H1958">
        <f>Calc!H2</f>
        <v/>
      </c>
      <c r="I1958">
        <f>IF(Skills!T2&lt;&gt;"",1+(Skills!T2/10)*(Z1959/1000)/100,1)</f>
        <v/>
      </c>
      <c r="J1958">
        <f>((Inputs!$B$6*(1+Inputs!$B$7/100))+(((Inputs!$B$12*(1+Inputs!$B$13/100))-(Inputs!$B$12*(1+Inputs!$B$13/100)))+0.25*(Inputs!$B$14-Inputs!$B$14))*(1+Inputs!$B$7/100))*(F1958/100)</f>
        <v/>
      </c>
      <c r="K1958">
        <f>J1958*(1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2="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1958)</f>
        <v/>
      </c>
      <c r="L1958">
        <f>K1958*(MIN(Inputs!$B$22+(F1974-Calc!F18),(Inputs!$B$23+(IF(ArtifactsInput!$M$15,CHOOSE(ArtifactsInput!$N$15+1,25,30,35,40,45,50)/100*(Inputs!$B$11-Inputs!$B$11),0))))/100+(Inputs!$B$23+(IF(ArtifactsInput!$M$15,CHOOSE(ArtifactsInput!$N$15+1,25,30,35,40,45,50)/100*(Inputs!$B$11-Inputs!$B$11),0)))/100)/2</f>
        <v/>
      </c>
      <c r="M1958">
        <f>L1958*(1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58">
        <f>L1958*(1-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1958*(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58">
        <f>(1-Summary!$B$11)*S1958+Summary!$B$11*U1958</f>
        <v/>
      </c>
      <c r="P1958">
        <f>IF(B1993=0,0,O1958/B1993)</f>
        <v/>
      </c>
      <c r="Q1958">
        <f>IFERROR(1/(IF(Inputs!$B$38="pvp",15,MAX(0.1,Skills!D2-IF(TRUE=TRUE,Inputs!$B$32,0)))*(1-IF(AND(ArtifactsInput!$M$27,Inputs!$B$4="Chapter Hunt"),CHOOSE(ArtifactsInput!$N$27+1,20,24,28,32,36,40),0)/100)),0)</f>
        <v/>
      </c>
      <c r="R1958" t="n">
        <v>0</v>
      </c>
      <c r="S1958">
        <f>IF(C1958,(Skills!F2*N1958*B1989)*IF(Inputs!$B$38="pvp",1,1+(Inputs!$B$20+Skills!O2+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1958*(1-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1958*(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1958*(1-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1958*(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58">
        <f>MAX(0,(Inputs!$B$3-100)*3)+Inputs!$B$28+Inputs!$B$29</f>
        <v/>
      </c>
      <c r="U1958">
        <f>IF(C1958,(Skills!F2*N1958*B1989)*IF(Inputs!$B$38="pvp",1,(1+(Inputs!$B$21+Skills!P2+B1984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58">
        <f>MAX(0,(Inputs!$B$3-100)*3)+Inputs!$B$28+Inputs!$B$29</f>
        <v/>
      </c>
    </row>
    <row r="1959">
      <c r="A1959">
        <f>Skills!A3</f>
        <v/>
      </c>
      <c r="B1959">
        <f>Skills!B3</f>
        <v/>
      </c>
      <c r="C1959">
        <f>Inputs!$B$3&gt;=15</f>
        <v/>
      </c>
      <c r="D1959">
        <f>IF(Skills!C3=1,60+Inputs!$B$25+Inputs!$B$29,IF(Skills!C3=2,90+Inputs!$B$26+Inputs!$B$29,IF(Skills!C3=3,120+Inputs!$B$27+Inputs!$B$29,MAX(0,(Inputs!$B$3-100)*3)+Inputs!$B$28+Inputs!$B$29)))</f>
        <v/>
      </c>
      <c r="E1959">
        <f>INDEX(FactorTable!$B$2:$Y$301, MATCH(ROUND(MIN(300,MAX(1,D1959)),0), FactorTable!$A$2:$A$301,0), Skills!L3+1)</f>
        <v/>
      </c>
      <c r="F1959">
        <f>IF(Skills!M3=TRUE,(Skills!K3/10)*(E1959/1000),Skills!K3/10)+Skills!N3</f>
        <v/>
      </c>
      <c r="G1959">
        <f>Calc!G3</f>
        <v/>
      </c>
      <c r="H1959">
        <f>Calc!H3</f>
        <v/>
      </c>
      <c r="I1959">
        <f>IF(Skills!T3&lt;&gt;"",1+(Skills!T3/10)*(Z1959/1000)/100,1)</f>
        <v/>
      </c>
      <c r="J1959" t="inlineStr"/>
      <c r="K1959" t="inlineStr"/>
      <c r="L1959" t="inlineStr"/>
      <c r="M1959" t="inlineStr"/>
      <c r="N1959" t="inlineStr"/>
      <c r="O1959">
        <f>(1-Summary!$B$11)*S1959+Summary!$B$11*U1959</f>
        <v/>
      </c>
      <c r="P1959">
        <f>IF(B1993=0,0,O1959/B1993)</f>
        <v/>
      </c>
      <c r="Q1959">
        <f>IFERROR(1/(IF(Inputs!$B$38="pvp",15,MAX(0.1,Skills!D3-IF(TRUE=TRUE,Inputs!$B$32,0)))*(1-IF(AND(ArtifactsInput!$M$27,Inputs!$B$4="Chapter Hunt"),CHOOSE(ArtifactsInput!$N$27+1,20,24,28,32,36,40),0)/100)),0)</f>
        <v/>
      </c>
      <c r="R1959">
        <f>IF(AND(Inputs!$B$38&lt;&gt;"pvp",Inputs!$B$43&gt;0),IF(Inputs!$B$43&lt;=0,0,(INT(Inputs!$B$43/(IF(Inputs!$B$38="pvp",15,MAX(0.1,Skills!D3-IF(TRUE=TRUE,Inputs!$B$32,0)))*(1-IF(AND(ArtifactsInput!$M$27,Inputs!$B$4="Chapter Hunt"),CHOOSE(ArtifactsInput!$N$27+1,20,24,28,32,36,40),0)/100)))+1)),0)</f>
        <v/>
      </c>
      <c r="S1959" t="n">
        <v>0</v>
      </c>
      <c r="T1959">
        <f>INDEX(FactorTable!$B$2:$Y$301, MATCH(ROUND(MIN(300,MAX(1,T1958)),0), FactorTable!$A$2:$A$301,0), 22)</f>
        <v/>
      </c>
      <c r="U1959" t="n">
        <v>0</v>
      </c>
      <c r="Z1959">
        <f>INDEX(FactorTable!$B$2:$Y$301, MATCH(ROUND(MIN(300,MAX(1,Z1958)),0), FactorTable!$A$2:$A$301,0), 24)</f>
        <v/>
      </c>
    </row>
    <row r="1960">
      <c r="A1960">
        <f>Skills!A4</f>
        <v/>
      </c>
      <c r="B1960">
        <f>Skills!B4</f>
        <v/>
      </c>
      <c r="C1960">
        <f>Inputs!$B$3&gt;=40</f>
        <v/>
      </c>
      <c r="D1960">
        <f>IF(Skills!C4=1,60+Inputs!$B$25+Inputs!$B$29,IF(Skills!C4=2,90+Inputs!$B$26+Inputs!$B$29,IF(Skills!C4=3,120+Inputs!$B$27+Inputs!$B$29,MAX(0,(Inputs!$B$3-100)*3)+Inputs!$B$28+Inputs!$B$29)))</f>
        <v/>
      </c>
      <c r="E1960">
        <f>INDEX(FactorTable!$B$2:$Y$301, MATCH(ROUND(MIN(300,MAX(1,D1960)),0), FactorTable!$A$2:$A$301,0), Skills!L4+1)</f>
        <v/>
      </c>
      <c r="F1960">
        <f>IF(Skills!M4=TRUE,(Skills!K4/10)*(E1960/1000),Skills!K4/10)+Skills!N4</f>
        <v/>
      </c>
      <c r="G1960">
        <f>Calc!G4</f>
        <v/>
      </c>
      <c r="H1960">
        <f>Calc!H4</f>
        <v/>
      </c>
      <c r="I1960">
        <f>IF(Skills!T4&lt;&gt;"",1+(Skills!T4/10)*(Z1959/1000)/100,1)</f>
        <v/>
      </c>
      <c r="J1960" t="inlineStr"/>
      <c r="K1960" t="inlineStr"/>
      <c r="L1960" t="inlineStr"/>
      <c r="M1960" t="inlineStr"/>
      <c r="N1960" t="inlineStr"/>
      <c r="O1960">
        <f>(1-Summary!$B$11)*S1960+Summary!$B$11*U1960</f>
        <v/>
      </c>
      <c r="P1960">
        <f>IF(B1993=0,0,O1960/B1993)</f>
        <v/>
      </c>
      <c r="Q1960">
        <f>IFERROR(1/(IF(Inputs!$B$38="pvp",15,MAX(0.1,Skills!D4-IF(TRUE=TRUE,Inputs!$B$32,0)))*(1-IF(AND(ArtifactsInput!$M$27,Inputs!$B$4="Chapter Hunt"),CHOOSE(ArtifactsInput!$N$27+1,20,24,28,32,36,40),0)/100)),0)</f>
        <v/>
      </c>
      <c r="R1960">
        <f>IF(AND(Inputs!$B$38&lt;&gt;"pvp",Inputs!$B$43&gt;0),IF(Inputs!$B$43&lt;=0,0,(INT(Inputs!$B$43/(IF(Inputs!$B$38="pvp",15,MAX(0.1,Skills!D4-IF(TRUE=TRUE,Inputs!$B$32,0)))*(1-IF(AND(ArtifactsInput!$M$27,Inputs!$B$4="Chapter Hunt"),CHOOSE(ArtifactsInput!$N$27+1,20,24,28,32,36,40),0)/100)))+1)),0)</f>
        <v/>
      </c>
      <c r="S1960" t="n">
        <v>0</v>
      </c>
      <c r="T1960">
        <f>290*T1959/1000</f>
        <v/>
      </c>
      <c r="U1960" t="n">
        <v>0</v>
      </c>
    </row>
    <row r="1961">
      <c r="A1961">
        <f>Skills!A5</f>
        <v/>
      </c>
      <c r="B1961">
        <f>Skills!B5</f>
        <v/>
      </c>
      <c r="C1961">
        <f>Inputs!$B$3&gt;=38</f>
        <v/>
      </c>
      <c r="D1961">
        <f>IF(Skills!C5=1,60+Inputs!$B$25+Inputs!$B$29,IF(Skills!C5=2,90+Inputs!$B$26+Inputs!$B$29,IF(Skills!C5=3,120+Inputs!$B$27+Inputs!$B$29,MAX(0,(Inputs!$B$3-100)*3)+Inputs!$B$28+Inputs!$B$29)))</f>
        <v/>
      </c>
      <c r="E1961">
        <f>INDEX(FactorTable!$B$2:$Y$301, MATCH(ROUND(MIN(300,MAX(1,D1961)),0), FactorTable!$A$2:$A$301,0), Skills!L5+1)</f>
        <v/>
      </c>
      <c r="F1961">
        <f>IF(Skills!M5=TRUE,(Skills!K5/10)*(E1961/1000),Skills!K5/10)+Skills!N5</f>
        <v/>
      </c>
      <c r="G1961">
        <f>Calc!G5</f>
        <v/>
      </c>
      <c r="H1961">
        <f>Calc!H5</f>
        <v/>
      </c>
      <c r="I1961">
        <f>IF(Skills!T5&lt;&gt;"",1+(Skills!T5/10)*(Z1959/1000)/100,1)</f>
        <v/>
      </c>
      <c r="J1961">
        <f>((Inputs!$B$6*(1+Inputs!$B$7/100))+(((Inputs!$B$12*(1+Inputs!$B$13/100))-(Inputs!$B$12*(1+Inputs!$B$13/100)))+0.25*(Inputs!$B$14-Inputs!$B$14))*(1+Inputs!$B$7/100))*(F1961/100)</f>
        <v/>
      </c>
      <c r="K1961">
        <f>J1961*(1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5="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1961)</f>
        <v/>
      </c>
      <c r="L1961">
        <f>K1961*(MIN(Inputs!$B$22+(F1974-Calc!F18),(Inputs!$B$23+(IF(ArtifactsInput!$M$15,CHOOSE(ArtifactsInput!$N$15+1,25,30,35,40,45,50)/100*(Inputs!$B$11-Inputs!$B$11),0))))/100+(Inputs!$B$23+(IF(ArtifactsInput!$M$15,CHOOSE(ArtifactsInput!$N$15+1,25,30,35,40,45,50)/100*(Inputs!$B$11-Inputs!$B$11),0)))/100)/2</f>
        <v/>
      </c>
      <c r="M1961">
        <f>L1961*(1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1">
        <f>L1961*(1-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1">
        <f>(1-Summary!$B$11)*S1961+Summary!$B$11*U1961</f>
        <v/>
      </c>
      <c r="P1961">
        <f>IF(B1993=0,0,O1961/B1993)</f>
        <v/>
      </c>
      <c r="Q1961">
        <f>IFERROR(1/(IF(Inputs!$B$38="pvp",15,MAX(0.1,Skills!D5-IF(TRUE=TRUE,Inputs!$B$32,0)))*(1-IF(AND(ArtifactsInput!$M$27,Inputs!$B$4="Chapter Hunt"),CHOOSE(ArtifactsInput!$N$27+1,20,24,28,32,36,40),0)/100)),0)</f>
        <v/>
      </c>
      <c r="R1961">
        <f>IF(AND(Inputs!$B$38&lt;&gt;"pvp",Inputs!$B$43&gt;0),IF(MAX(0,Inputs!$B$43-B1990)&lt;=0,0,(INT(MAX(0,Inputs!$B$43-B1990)/(IF(Inputs!$B$38="pvp",15,MAX(0.1,Skills!D5-IF(TRUE=TRUE,Inputs!$B$32,0)))*(1-IF(AND(ArtifactsInput!$M$27,Inputs!$B$4="Chapter Hunt"),CHOOSE(ArtifactsInput!$N$27+1,20,24,28,32,36,40),0)/100)))+1)),0)</f>
        <v/>
      </c>
      <c r="S1961">
        <f>IF(C1961,(H1961*N1961*IF(AND(Inputs!$B$38&lt;&gt;"pvp",Inputs!$B$43&gt;0),((Skills!F5*((R1961-1)*IF(Skills!G5&gt;0,Skills!H5/Skills!G5,1)+IF(Skills!G5&gt;0,MIN(Skills!H5,MAX(0,MAX(0,Inputs!$B$43-B1990)-((R1961-1)*(IF(Inputs!$B$38="pvp",15,MAX(0.1,Skills!D5-IF(TRUE=TRUE,Inputs!$B$32,0)))*(1-IF(AND(ArtifactsInput!$M$27,Inputs!$B$4="Chapter Hunt"),CHOOSE(ArtifactsInput!$N$27+1,20,24,28,32,36,40),0)/100)))))/Skills!G5,1)))/Inputs!$B$43),G1961*Q1961))*IF(Inputs!$B$38="pvp",1,1+(Inputs!$B$20+Skills!O5+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1961*(1-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1961*(1-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1">
        <f>IF(C1961,(H1961*N1961*IF(AND(Inputs!$B$38&lt;&gt;"pvp",Inputs!$B$43&gt;0),((Skills!F5*((R1961-1)*IF(Skills!G5&gt;0,Skills!H5/Skills!G5,1)+IF(Skills!G5&gt;0,MIN(Skills!H5,MAX(0,MAX(0,Inputs!$B$43-B1990)-((R1961-1)*(IF(Inputs!$B$38="pvp",15,MAX(0.1,Skills!D5-IF(TRUE=TRUE,Inputs!$B$32,0)))*(1-IF(AND(ArtifactsInput!$M$27,Inputs!$B$4="Chapter Hunt"),CHOOSE(ArtifactsInput!$N$27+1,20,24,28,32,36,40),0)/100)))))/Skills!G5,1)))/Inputs!$B$43),G1961*Q1961))*IF(Inputs!$B$38="pvp",1,(1+(Inputs!$B$21+Skills!P5+B1984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2">
      <c r="A1962">
        <f>Skills!A6</f>
        <v/>
      </c>
      <c r="B1962">
        <f>Skills!B6</f>
        <v/>
      </c>
      <c r="C1962">
        <f>Inputs!$B$3&gt;=63</f>
        <v/>
      </c>
      <c r="D1962">
        <f>IF(Skills!C6=1,60+Inputs!$B$25+Inputs!$B$29,IF(Skills!C6=2,90+Inputs!$B$26+Inputs!$B$29,IF(Skills!C6=3,120+Inputs!$B$27+Inputs!$B$29,MAX(0,(Inputs!$B$3-100)*3)+Inputs!$B$28+Inputs!$B$29)))</f>
        <v/>
      </c>
      <c r="E1962">
        <f>INDEX(FactorTable!$B$2:$Y$301, MATCH(ROUND(MIN(300,MAX(1,D1962)),0), FactorTable!$A$2:$A$301,0), Skills!L6+1)</f>
        <v/>
      </c>
      <c r="F1962">
        <f>IF(Skills!M6=TRUE,(Skills!K6/10)*(E1962/1000),Skills!K6/10)+Skills!N6</f>
        <v/>
      </c>
      <c r="G1962">
        <f>Calc!G6</f>
        <v/>
      </c>
      <c r="H1962">
        <f>Calc!H6</f>
        <v/>
      </c>
      <c r="I1962">
        <f>IF(Skills!T6&lt;&gt;"",1+(Skills!T6/10)*(Z1959/1000)/100,1)</f>
        <v/>
      </c>
      <c r="J1962">
        <f>((Inputs!$B$6*(1+Inputs!$B$7/100))+(((Inputs!$B$12*(1+Inputs!$B$13/100))-(Inputs!$B$12*(1+Inputs!$B$13/100)))+0.25*(Inputs!$B$14-Inputs!$B$14))*(1+Inputs!$B$7/100))*(F1962/100)</f>
        <v/>
      </c>
      <c r="K1962">
        <f>J1962*(1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6="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1962)</f>
        <v/>
      </c>
      <c r="L1962">
        <f>K1962*(MIN(Inputs!$B$22+(F1974-Calc!F18),(Inputs!$B$23+(IF(ArtifactsInput!$M$15,CHOOSE(ArtifactsInput!$N$15+1,25,30,35,40,45,50)/100*(Inputs!$B$11-Inputs!$B$11),0))))/100+(Inputs!$B$23+(IF(ArtifactsInput!$M$15,CHOOSE(ArtifactsInput!$N$15+1,25,30,35,40,45,50)/100*(Inputs!$B$11-Inputs!$B$11),0)))/100)/2</f>
        <v/>
      </c>
      <c r="M1962">
        <f>L1962*(1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2">
        <f>L1962*(1-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1962*(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2">
        <f>(1-Summary!$B$11)*S1962+Summary!$B$11*U1962</f>
        <v/>
      </c>
      <c r="P1962">
        <f>IF(B1993=0,0,O1962/B1993)</f>
        <v/>
      </c>
      <c r="Q1962">
        <f>IFERROR(1/(IF(Inputs!$B$38="pvp",15,MAX(0.1,Skills!D6-IF(TRUE=TRUE,Inputs!$B$32,0)))*(1-IF(AND(ArtifactsInput!$M$27,Inputs!$B$4="Chapter Hunt"),CHOOSE(ArtifactsInput!$N$27+1,20,24,28,32,36,40),0)/100)),0)</f>
        <v/>
      </c>
      <c r="R1962">
        <f>IF(AND(Inputs!$B$38&lt;&gt;"pvp",Inputs!$B$43&gt;0),IF(MAX(0,Inputs!$B$43-B1990)&lt;=0,0,(INT(MAX(0,Inputs!$B$43-B1990)/(IF(Inputs!$B$38="pvp",15,MAX(0.1,Skills!D6-IF(TRUE=TRUE,Inputs!$B$32,0)))*(1-IF(AND(ArtifactsInput!$M$27,Inputs!$B$4="Chapter Hunt"),CHOOSE(ArtifactsInput!$N$27+1,20,24,28,32,36,40),0)/100)))+1)),0)</f>
        <v/>
      </c>
      <c r="S1962">
        <f>IF(C1962,(H1962*N1962*IF(AND(Inputs!$B$38&lt;&gt;"pvp",Inputs!$B$43&gt;0),((Skills!F6*((R1962-1)*IF(Skills!G6&gt;0,Skills!H6/Skills!G6,1)+IF(Skills!G6&gt;0,MIN(Skills!H6,MAX(0,MAX(0,Inputs!$B$43-B1990)-((R1962-1)*(IF(Inputs!$B$38="pvp",15,MAX(0.1,Skills!D6-IF(TRUE=TRUE,Inputs!$B$32,0)))*(1-IF(AND(ArtifactsInput!$M$27,Inputs!$B$4="Chapter Hunt"),CHOOSE(ArtifactsInput!$N$27+1,20,24,28,32,36,40),0)/100)))))/Skills!G6,1)))/Inputs!$B$43),G1962*Q1962))*IF(Inputs!$B$38="pvp",1,1+(Inputs!$B$20+Skills!O6+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1962*(1-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1962*(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1962*(1-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1962*(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2">
        <f>IF(C1962,(H1962*N1962*IF(AND(Inputs!$B$38&lt;&gt;"pvp",Inputs!$B$43&gt;0),((Skills!F6*((R1962-1)*IF(Skills!G6&gt;0,Skills!H6/Skills!G6,1)+IF(Skills!G6&gt;0,MIN(Skills!H6,MAX(0,MAX(0,Inputs!$B$43-B1990)-((R1962-1)*(IF(Inputs!$B$38="pvp",15,MAX(0.1,Skills!D6-IF(TRUE=TRUE,Inputs!$B$32,0)))*(1-IF(AND(ArtifactsInput!$M$27,Inputs!$B$4="Chapter Hunt"),CHOOSE(ArtifactsInput!$N$27+1,20,24,28,32,36,40),0)/100)))))/Skills!G6,1)))/Inputs!$B$43),G1962*Q1962))*IF(Inputs!$B$38="pvp",1,(1+(Inputs!$B$21+Skills!P6+B1984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3">
      <c r="A1963">
        <f>Skills!A7</f>
        <v/>
      </c>
      <c r="B1963">
        <f>Skills!B7</f>
        <v/>
      </c>
      <c r="C1963">
        <f>Inputs!$B$3&gt;=69</f>
        <v/>
      </c>
      <c r="D1963">
        <f>IF(Skills!C7=1,60+Inputs!$B$25+Inputs!$B$29,IF(Skills!C7=2,90+Inputs!$B$26+Inputs!$B$29,IF(Skills!C7=3,120+Inputs!$B$27+Inputs!$B$29,MAX(0,(Inputs!$B$3-100)*3)+Inputs!$B$28+Inputs!$B$29)))</f>
        <v/>
      </c>
      <c r="E1963">
        <f>INDEX(FactorTable!$B$2:$Y$301, MATCH(ROUND(MIN(300,MAX(1,D1963)),0), FactorTable!$A$2:$A$301,0), Skills!L7+1)</f>
        <v/>
      </c>
      <c r="F1963">
        <f>IF(Skills!M7=TRUE,(Skills!K7/10)*(E1963/1000),Skills!K7/10)+Skills!N7</f>
        <v/>
      </c>
      <c r="G1963">
        <f>Calc!G7</f>
        <v/>
      </c>
      <c r="H1963">
        <f>Calc!H7</f>
        <v/>
      </c>
      <c r="I1963">
        <f>IF(Skills!T7&lt;&gt;"",1+(Skills!T7/10)*(Z1959/1000)/100,1)</f>
        <v/>
      </c>
      <c r="J1963">
        <f>((Inputs!$B$6*(1+Inputs!$B$7/100))+(((Inputs!$B$12*(1+Inputs!$B$13/100))-(Inputs!$B$12*(1+Inputs!$B$13/100)))+0.25*(Inputs!$B$14-Inputs!$B$14))*(1+Inputs!$B$7/100))*(F1963/100)</f>
        <v/>
      </c>
      <c r="K1963">
        <f>J1963*(1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7="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1963)</f>
        <v/>
      </c>
      <c r="L1963">
        <f>K1963*(MIN(Inputs!$B$22+(F1974-Calc!F18),(Inputs!$B$23+(IF(ArtifactsInput!$M$15,CHOOSE(ArtifactsInput!$N$15+1,25,30,35,40,45,50)/100*(Inputs!$B$11-Inputs!$B$11),0))))/100+(Inputs!$B$23+(IF(ArtifactsInput!$M$15,CHOOSE(ArtifactsInput!$N$15+1,25,30,35,40,45,50)/100*(Inputs!$B$11-Inputs!$B$11),0)))/100)/2</f>
        <v/>
      </c>
      <c r="M1963">
        <f>L1963*(1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(1-Summary!$B$11)*S1963+Summary!$B$11*U1963</f>
        <v/>
      </c>
      <c r="P1963">
        <f>IF(B1993=0,0,O1963/B1993)</f>
        <v/>
      </c>
      <c r="Q1963">
        <f>IFERROR(1/(IF(Inputs!$B$38="pvp",15,MAX(0.1,Skills!D7-IF(TRUE=TRUE,Inputs!$B$32,0)))*(1-IF(AND(ArtifactsInput!$M$27,Inputs!$B$4="Chapter Hunt"),CHOOSE(ArtifactsInput!$N$27+1,20,24,28,32,36,40),0)/100)),0)</f>
        <v/>
      </c>
      <c r="R1963">
        <f>IF(AND(Inputs!$B$38&lt;&gt;"pvp",Inputs!$B$43&gt;0),IF(MAX(0,Inputs!$B$43-B1990)&lt;=0,0,(INT(MAX(0,Inputs!$B$43-B1990)/(IF(Inputs!$B$38="pvp",15,MAX(0.1,Skills!D7-IF(TRUE=TRUE,Inputs!$B$32,0)))*(1-IF(AND(ArtifactsInput!$M$27,Inputs!$B$4="Chapter Hunt"),CHOOSE(ArtifactsInput!$N$27+1,20,24,28,32,36,40),0)/100)))+1)),0)</f>
        <v/>
      </c>
      <c r="S1963">
        <f>IF(C1963,(H1963*N1963*IF(AND(Inputs!$B$38&lt;&gt;"pvp",Inputs!$B$43&gt;0),((Skills!F7*((R1963-1)*IF(Skills!G7&gt;0,Skills!H7/Skills!G7,1)+IF(Skills!G7&gt;0,MIN(Skills!H7,MAX(0,MAX(0,Inputs!$B$43-B1990)-((R1963-1)*(IF(Inputs!$B$38="pvp",15,MAX(0.1,Skills!D7-IF(TRUE=TRUE,Inputs!$B$32,0)))*(1-IF(AND(ArtifactsInput!$M$27,Inputs!$B$4="Chapter Hunt"),CHOOSE(ArtifactsInput!$N$27+1,20,24,28,32,36,40),0)/100)))))/Skills!G7,1)))/Inputs!$B$43),G1963*Q1963))*IF(Inputs!$B$38="pvp",1,1+(Inputs!$B$20+Skills!O7+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1963*(1-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3">
        <f>IF(C1963,(H1963*N1963*IF(AND(Inputs!$B$38&lt;&gt;"pvp",Inputs!$B$43&gt;0),((Skills!F7*((R1963-1)*IF(Skills!G7&gt;0,Skills!H7/Skills!G7,1)+IF(Skills!G7&gt;0,MIN(Skills!H7,MAX(0,MAX(0,Inputs!$B$43-B1990)-((R1963-1)*(IF(Inputs!$B$38="pvp",15,MAX(0.1,Skills!D7-IF(TRUE=TRUE,Inputs!$B$32,0)))*(1-IF(AND(ArtifactsInput!$M$27,Inputs!$B$4="Chapter Hunt"),CHOOSE(ArtifactsInput!$N$27+1,20,24,28,32,36,40),0)/100)))))/Skills!G7,1)))/Inputs!$B$43),G1963*Q1963))*IF(Inputs!$B$38="pvp",1,(1+(Inputs!$B$21+Skills!P7+B1984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Skills!A8</f>
        <v/>
      </c>
      <c r="B1964">
        <f>Skills!B8</f>
        <v/>
      </c>
      <c r="C1964">
        <f>Inputs!$B$3&gt;=103</f>
        <v/>
      </c>
      <c r="D1964">
        <f>IF(Skills!C8=1,60+Inputs!$B$25+Inputs!$B$29,IF(Skills!C8=2,90+Inputs!$B$26+Inputs!$B$29,IF(Skills!C8=3,120+Inputs!$B$27+Inputs!$B$29,MAX(0,(Inputs!$B$3-100)*3)+Inputs!$B$28+Inputs!$B$29)))</f>
        <v/>
      </c>
      <c r="E1964">
        <f>INDEX(FactorTable!$B$2:$Y$301, MATCH(ROUND(MIN(300,MAX(1,D1964)),0), FactorTable!$A$2:$A$301,0), Skills!L8+1)</f>
        <v/>
      </c>
      <c r="F1964">
        <f>IF(Skills!M8=TRUE,(Skills!K8/10)*(E1964/1000),Skills!K8/10)+Skills!N8</f>
        <v/>
      </c>
      <c r="G1964">
        <f>Calc!G8</f>
        <v/>
      </c>
      <c r="H1964">
        <f>Calc!H8</f>
        <v/>
      </c>
      <c r="I1964">
        <f>IF(Skills!T8&lt;&gt;"",1+(Skills!T8/10)*(Z1959/1000)/100,1)</f>
        <v/>
      </c>
      <c r="J1964">
        <f>((Inputs!$B$6*(1+Inputs!$B$7/100))+(((Inputs!$B$12*(1+Inputs!$B$13/100))-(Inputs!$B$12*(1+Inputs!$B$13/100)))+0.25*(Inputs!$B$14-Inputs!$B$14))*(1+Inputs!$B$7/100))*(F1964/100)</f>
        <v/>
      </c>
      <c r="K1964">
        <f>J1964*(1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8="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1964)</f>
        <v/>
      </c>
      <c r="L1964">
        <f>K1964*(MIN(Inputs!$B$22+(F1974-Calc!F18),(Inputs!$B$23+(IF(ArtifactsInput!$M$15,CHOOSE(ArtifactsInput!$N$15+1,25,30,35,40,45,50)/100*(Inputs!$B$11-Inputs!$B$11),0))))/100+(Inputs!$B$23+(IF(ArtifactsInput!$M$15,CHOOSE(ArtifactsInput!$N$15+1,25,30,35,40,45,50)/100*(Inputs!$B$11-Inputs!$B$11),0)))/100)/2</f>
        <v/>
      </c>
      <c r="M1964">
        <f>L1964*(1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4">
        <f>L1964*(1-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1964*(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4">
        <f>(1-Summary!$B$11)*S1964+Summary!$B$11*U1964</f>
        <v/>
      </c>
      <c r="P1964">
        <f>IF(B1993=0,0,O1964/B1993)</f>
        <v/>
      </c>
      <c r="Q1964">
        <f>IFERROR(1/(IF(Inputs!$B$38="pvp",15,MAX(0.1,Skills!D8-IF(TRUE=TRUE,Inputs!$B$32,0)))*(1-IF(AND(ArtifactsInput!$M$27,Inputs!$B$4="Chapter Hunt"),CHOOSE(ArtifactsInput!$N$27+1,20,24,28,32,36,40),0)/100)),0)</f>
        <v/>
      </c>
      <c r="R1964">
        <f>IF(AND(Inputs!$B$38&lt;&gt;"pvp",Inputs!$B$43&gt;0),IF(MAX(0,Inputs!$B$43-B1990)&lt;=0,0,(INT(MAX(0,Inputs!$B$43-B1990)/(IF(Inputs!$B$38="pvp",15,MAX(0.1,Skills!D8-IF(TRUE=TRUE,Inputs!$B$32,0)))*(1-IF(AND(ArtifactsInput!$M$27,Inputs!$B$4="Chapter Hunt"),CHOOSE(ArtifactsInput!$N$27+1,20,24,28,32,36,40),0)/100)))+1)),0)</f>
        <v/>
      </c>
      <c r="S1964">
        <f>IF(C1964,(H1964*N1964*IF(AND(Inputs!$B$38&lt;&gt;"pvp",Inputs!$B$43&gt;0),((Skills!F8*((R1964-1)*IF(Skills!G8&gt;0,Skills!H8/Skills!G8,1)+IF(Skills!G8&gt;0,MIN(Skills!H8,MAX(0,MAX(0,Inputs!$B$43-B1990)-((R1964-1)*(IF(Inputs!$B$38="pvp",15,MAX(0.1,Skills!D8-IF(TRUE=TRUE,Inputs!$B$32,0)))*(1-IF(AND(ArtifactsInput!$M$27,Inputs!$B$4="Chapter Hunt"),CHOOSE(ArtifactsInput!$N$27+1,20,24,28,32,36,40),0)/100)))))/Skills!G8,1)))/Inputs!$B$43),G1964*Q1964))*IF(Inputs!$B$38="pvp",1,1+(Inputs!$B$20+Skills!O8+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1964*(1-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1964*(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1964*(1-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1964*(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4">
        <f>IF(C1964,(H1964*N1964*IF(AND(Inputs!$B$38&lt;&gt;"pvp",Inputs!$B$43&gt;0),((Skills!F8*((R1964-1)*IF(Skills!G8&gt;0,Skills!H8/Skills!G8,1)+IF(Skills!G8&gt;0,MIN(Skills!H8,MAX(0,MAX(0,Inputs!$B$43-B1990)-((R1964-1)*(IF(Inputs!$B$38="pvp",15,MAX(0.1,Skills!D8-IF(TRUE=TRUE,Inputs!$B$32,0)))*(1-IF(AND(ArtifactsInput!$M$27,Inputs!$B$4="Chapter Hunt"),CHOOSE(ArtifactsInput!$N$27+1,20,24,28,32,36,40),0)/100)))))/Skills!G8,1)))/Inputs!$B$43),G1964*Q1964))*IF(Inputs!$B$38="pvp",1,(1+(Inputs!$B$21+Skills!P8+B1984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5">
      <c r="A1965">
        <f>Skills!A9</f>
        <v/>
      </c>
      <c r="B1965">
        <f>Skills!B9</f>
        <v/>
      </c>
      <c r="C1965">
        <f>Inputs!$B$3&gt;=105</f>
        <v/>
      </c>
      <c r="D1965">
        <f>IF(Skills!C9=1,60+Inputs!$B$25+Inputs!$B$29,IF(Skills!C9=2,90+Inputs!$B$26+Inputs!$B$29,IF(Skills!C9=3,120+Inputs!$B$27+Inputs!$B$29,MAX(0,(Inputs!$B$3-100)*3)+Inputs!$B$28+Inputs!$B$29)))</f>
        <v/>
      </c>
      <c r="E1965">
        <f>INDEX(FactorTable!$B$2:$Y$301, MATCH(ROUND(MIN(300,MAX(1,D1965)),0), FactorTable!$A$2:$A$301,0), Skills!L9+1)</f>
        <v/>
      </c>
      <c r="F1965">
        <f>IF(Skills!M9=TRUE,(Skills!K9/10)*(E1965/1000),Skills!K9/10)+Skills!N9</f>
        <v/>
      </c>
      <c r="G1965">
        <f>Calc!G9</f>
        <v/>
      </c>
      <c r="H1965">
        <f>Calc!H9</f>
        <v/>
      </c>
      <c r="I1965">
        <f>IF(Skills!T9&lt;&gt;"",1+(Skills!T9/10)*(Z1959/1000)/100,1)</f>
        <v/>
      </c>
      <c r="J1965">
        <f>((Inputs!$B$6*(1+Inputs!$B$7/100))+(((Inputs!$B$12*(1+Inputs!$B$13/100))-(Inputs!$B$12*(1+Inputs!$B$13/100)))+0.25*(Inputs!$B$14-Inputs!$B$14))*(1+Inputs!$B$7/100))*(F1965/100)</f>
        <v/>
      </c>
      <c r="K1965">
        <f>J1965*(1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9="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1965)</f>
        <v/>
      </c>
      <c r="L1965">
        <f>K1965*(MIN(Inputs!$B$22+(F1974-Calc!F18),(Inputs!$B$23+(IF(ArtifactsInput!$M$15,CHOOSE(ArtifactsInput!$N$15+1,25,30,35,40,45,50)/100*(Inputs!$B$11-Inputs!$B$11),0))))/100+(Inputs!$B$23+(IF(ArtifactsInput!$M$15,CHOOSE(ArtifactsInput!$N$15+1,25,30,35,40,45,50)/100*(Inputs!$B$11-Inputs!$B$11),0)))/100)/2</f>
        <v/>
      </c>
      <c r="M1965">
        <f>L1965*(1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5">
        <f>L1965*(1-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1965*(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5">
        <f>(1-Summary!$B$11)*S1965+Summary!$B$11*U1965</f>
        <v/>
      </c>
      <c r="P1965">
        <f>IF(B1993=0,0,O1965/B1993)</f>
        <v/>
      </c>
      <c r="Q1965">
        <f>IFERROR(1/(IF(Inputs!$B$38="pvp",15,MAX(0.1,Skills!D9-IF(TRUE=TRUE,Inputs!$B$32,0)))*(1-IF(AND(ArtifactsInput!$M$27,Inputs!$B$4="Chapter Hunt"),CHOOSE(ArtifactsInput!$N$27+1,20,24,28,32,36,40),0)/100)),0)</f>
        <v/>
      </c>
      <c r="R1965">
        <f>IF(AND(Inputs!$B$38&lt;&gt;"pvp",Inputs!$B$43&gt;0),IF(MAX(0,Inputs!$B$43-B1990)&lt;=0,0,(INT(MAX(0,Inputs!$B$43-B1990)/(IF(Inputs!$B$38="pvp",15,MAX(0.1,Skills!D9-IF(TRUE=TRUE,Inputs!$B$32,0)))*(1-IF(AND(ArtifactsInput!$M$27,Inputs!$B$4="Chapter Hunt"),CHOOSE(ArtifactsInput!$N$27+1,20,24,28,32,36,40),0)/100)))+1)),0)</f>
        <v/>
      </c>
      <c r="S1965">
        <f>IF(C1965,(H1965*N1965*IF(AND(Inputs!$B$38&lt;&gt;"pvp",Inputs!$B$43&gt;0),((Skills!F9*((R1965-1)*IF(Skills!G9&gt;0,Skills!H9/Skills!G9,1)+IF(Skills!G9&gt;0,MIN(Skills!H9,MAX(0,MAX(0,Inputs!$B$43-B1990)-((R1965-1)*(IF(Inputs!$B$38="pvp",15,MAX(0.1,Skills!D9-IF(TRUE=TRUE,Inputs!$B$32,0)))*(1-IF(AND(ArtifactsInput!$M$27,Inputs!$B$4="Chapter Hunt"),CHOOSE(ArtifactsInput!$N$27+1,20,24,28,32,36,40),0)/100)))))/Skills!G9,1)))/Inputs!$B$43),G1965*Q1965))*IF(Inputs!$B$38="pvp",1,1+(Inputs!$B$20+Skills!O9+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1965*(1-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1965*(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1965*(1-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1965*(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5">
        <f>IF(C1965,(H1965*N1965*IF(AND(Inputs!$B$38&lt;&gt;"pvp",Inputs!$B$43&gt;0),((Skills!F9*((R1965-1)*IF(Skills!G9&gt;0,Skills!H9/Skills!G9,1)+IF(Skills!G9&gt;0,MIN(Skills!H9,MAX(0,MAX(0,Inputs!$B$43-B1990)-((R1965-1)*(IF(Inputs!$B$38="pvp",15,MAX(0.1,Skills!D9-IF(TRUE=TRUE,Inputs!$B$32,0)))*(1-IF(AND(ArtifactsInput!$M$27,Inputs!$B$4="Chapter Hunt"),CHOOSE(ArtifactsInput!$N$27+1,20,24,28,32,36,40),0)/100)))))/Skills!G9,1)))/Inputs!$B$43),G1965*Q1965))*IF(Inputs!$B$38="pvp",1,(1+(Inputs!$B$21+Skills!P9+B1984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6">
      <c r="A1966">
        <f>Skills!A10</f>
        <v/>
      </c>
      <c r="B1966">
        <f>Skills!B10</f>
        <v/>
      </c>
      <c r="C1966">
        <f>Inputs!$B$3&gt;=113</f>
        <v/>
      </c>
      <c r="D1966">
        <f>IF(Skills!C10=1,60+Inputs!$B$25+Inputs!$B$29,IF(Skills!C10=2,90+Inputs!$B$26+Inputs!$B$29,IF(Skills!C10=3,120+Inputs!$B$27+Inputs!$B$29,MAX(0,(Inputs!$B$3-100)*3)+Inputs!$B$28+Inputs!$B$29)))</f>
        <v/>
      </c>
      <c r="E1966">
        <f>INDEX(FactorTable!$B$2:$Y$301, MATCH(ROUND(MIN(300,MAX(1,D1966)),0), FactorTable!$A$2:$A$301,0), Skills!L10+1)</f>
        <v/>
      </c>
      <c r="F1966">
        <f>IF(Skills!M10=TRUE,(Skills!K10/10)*(E1966/1000),Skills!K10/10)+Skills!N10</f>
        <v/>
      </c>
      <c r="G1966">
        <f>Calc!G10</f>
        <v/>
      </c>
      <c r="H1966">
        <f>Calc!H10</f>
        <v/>
      </c>
      <c r="I1966">
        <f>IF(Skills!T10&lt;&gt;"",1+(Skills!T10/10)*(Z1959/1000)/100,1)</f>
        <v/>
      </c>
      <c r="J1966">
        <f>((Inputs!$B$6*(1+Inputs!$B$7/100))+(((Inputs!$B$12*(1+Inputs!$B$13/100))-(Inputs!$B$12*(1+Inputs!$B$13/100)))+0.25*(Inputs!$B$14-Inputs!$B$14))*(1+Inputs!$B$7/100))*(F1966/100)</f>
        <v/>
      </c>
      <c r="K1966">
        <f>J1966*(1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10="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1966)</f>
        <v/>
      </c>
      <c r="L1966">
        <f>K1966*(MIN(Inputs!$B$22+(F1974-Calc!F18),(Inputs!$B$23+(IF(ArtifactsInput!$M$15,CHOOSE(ArtifactsInput!$N$15+1,25,30,35,40,45,50)/100*(Inputs!$B$11-Inputs!$B$11),0))))/100+(Inputs!$B$23+(IF(ArtifactsInput!$M$15,CHOOSE(ArtifactsInput!$N$15+1,25,30,35,40,45,50)/100*(Inputs!$B$11-Inputs!$B$11),0)))/100)/2</f>
        <v/>
      </c>
      <c r="M1966">
        <f>L1966*(1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6">
        <f>L1966*(1-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1966*(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6">
        <f>(1-Summary!$B$11)*S1966+Summary!$B$11*U1966</f>
        <v/>
      </c>
      <c r="P1966">
        <f>IF(B1993=0,0,O1966/B1993)</f>
        <v/>
      </c>
      <c r="Q1966">
        <f>IFERROR(1/(IF(Inputs!$B$38="pvp",15,MAX(0.1,Skills!D10-IF(TRUE=TRUE,Inputs!$B$32,0)))*(1-IF(AND(ArtifactsInput!$M$27,Inputs!$B$4="Chapter Hunt"),CHOOSE(ArtifactsInput!$N$27+1,20,24,28,32,36,40),0)/100)),0)</f>
        <v/>
      </c>
      <c r="R1966" t="n">
        <v>0</v>
      </c>
      <c r="S1966">
        <f>IF(C1966,((H1966*B1994)/(1+Skills!G10*H1966*B1994)*N1966)*IF(Inputs!$B$38="pvp",1,1+(Inputs!$B$20+Skills!O10+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1966*(1-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1966*(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1966*(1-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1966*(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6">
        <f>IF(C1966,((H1966*B1994)/(1+Skills!G10*H1966*B1994)*N1966)*IF(Inputs!$B$38="pvp",1,(1+(Inputs!$B$21+Skills!P10+B1984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7">
      <c r="A1967">
        <f>Skills!A11</f>
        <v/>
      </c>
      <c r="B1967">
        <f>Skills!B11</f>
        <v/>
      </c>
      <c r="C1967">
        <f>Inputs!$B$3&gt;=107</f>
        <v/>
      </c>
      <c r="D1967">
        <f>IF(Skills!C11=1,60+Inputs!$B$25+Inputs!$B$29,IF(Skills!C11=2,90+Inputs!$B$26+Inputs!$B$29,IF(Skills!C11=3,120+Inputs!$B$27+Inputs!$B$29,MAX(0,(Inputs!$B$3-100)*3)+Inputs!$B$28+Inputs!$B$29)))</f>
        <v/>
      </c>
      <c r="E1967">
        <f>INDEX(FactorTable!$B$2:$Y$301, MATCH(ROUND(MIN(300,MAX(1,D1967)),0), FactorTable!$A$2:$A$301,0), Skills!L11+1)</f>
        <v/>
      </c>
      <c r="F1967">
        <f>IF(Skills!M11=TRUE,(Skills!K11/10)*(E1967/1000),Skills!K11/10)+Skills!N11</f>
        <v/>
      </c>
      <c r="G1967">
        <f>Calc!G11</f>
        <v/>
      </c>
      <c r="H1967">
        <f>Calc!H11</f>
        <v/>
      </c>
      <c r="I1967">
        <f>IF(Skills!T11&lt;&gt;"",1+(Skills!T11/10)*(Z1959/1000)/100,1)</f>
        <v/>
      </c>
      <c r="J1967">
        <f>((Inputs!$B$6*(1+Inputs!$B$7/100))+(((Inputs!$B$12*(1+Inputs!$B$13/100))-(Inputs!$B$12*(1+Inputs!$B$13/100)))+0.25*(Inputs!$B$14-Inputs!$B$14))*(1+Inputs!$B$7/100))*(F1967/100)</f>
        <v/>
      </c>
      <c r="K1967">
        <f>J1967*(1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11="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1967)</f>
        <v/>
      </c>
      <c r="L1967">
        <f>K1967*(MIN(Inputs!$B$22+(F1974-Calc!F18),(Inputs!$B$23+(IF(ArtifactsInput!$M$15,CHOOSE(ArtifactsInput!$N$15+1,25,30,35,40,45,50)/100*(Inputs!$B$11-Inputs!$B$11),0))))/100+(Inputs!$B$23+(IF(ArtifactsInput!$M$15,CHOOSE(ArtifactsInput!$N$15+1,25,30,35,40,45,50)/100*(Inputs!$B$11-Inputs!$B$11),0)))/100)/2</f>
        <v/>
      </c>
      <c r="M1967">
        <f>L1967*(1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(1-Summary!$B$11)*S1967+Summary!$B$11*U1967</f>
        <v/>
      </c>
      <c r="P1967">
        <f>IF(B1993=0,0,O1967/B1993)</f>
        <v/>
      </c>
      <c r="Q1967">
        <f>IFERROR(1/(IF(Inputs!$B$38="pvp",15,MAX(0.1,Skills!D11-IF(TRUE=TRUE,Inputs!$B$32,0)))*(1-IF(AND(ArtifactsInput!$M$27,Inputs!$B$4="Chapter Hunt"),CHOOSE(ArtifactsInput!$N$27+1,20,24,28,32,36,40),0)/100)),0)</f>
        <v/>
      </c>
      <c r="R1967">
        <f>IF(AND(Inputs!$B$38&lt;&gt;"pvp",Inputs!$B$43&gt;0),IF(MAX(0,Inputs!$B$43-B1990)&lt;=0,0,(INT(MAX(0,Inputs!$B$43-B1990)/(IF(Inputs!$B$38="pvp",15,MAX(0.1,Skills!D11-IF(TRUE=TRUE,Inputs!$B$32,0)))*(1-IF(AND(ArtifactsInput!$M$27,Inputs!$B$4="Chapter Hunt"),CHOOSE(ArtifactsInput!$N$27+1,20,24,28,32,36,40),0)/100)))+1)),0)</f>
        <v/>
      </c>
      <c r="S1967">
        <f>IF(C1967,H1967*N1967*IF(AND(Inputs!$B$38&lt;&gt;"pvp",Inputs!$B$43&gt;0),((Skills!F11*((R1967-1)*IF(Skills!G11&gt;0,Skills!H11/Skills!G11,1)+IF(Skills!G11&gt;0,MIN(Skills!H11,MAX(0,MAX(0,Inputs!$B$43-B1990)-((R1967-1)*(IF(Inputs!$B$38="pvp",15,MAX(0.1,Skills!D11-IF(TRUE=TRUE,Inputs!$B$32,0)))*(1-IF(AND(ArtifactsInput!$M$27,Inputs!$B$4="Chapter Hunt"),CHOOSE(ArtifactsInput!$N$27+1,20,24,28,32,36,40),0)/100)))))/Skills!G11,1)))/Inputs!$B$43),G1967*Q1967)*0.5*IF(Inputs!$B$38="pvp",1,1+(Inputs!$B$20+Skills!O11+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1967*(1-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7">
        <f>IF(C1967,H1967*N1967*IF(AND(Inputs!$B$38&lt;&gt;"pvp",Inputs!$B$43&gt;0),((Skills!F11*((R1967-1)*IF(Skills!G11&gt;0,Skills!H11/Skills!G11,1)+IF(Skills!G11&gt;0,MIN(Skills!H11,MAX(0,MAX(0,Inputs!$B$43-B1990)-((R1967-1)*(IF(Inputs!$B$38="pvp",15,MAX(0.1,Skills!D11-IF(TRUE=TRUE,Inputs!$B$32,0)))*(1-IF(AND(ArtifactsInput!$M$27,Inputs!$B$4="Chapter Hunt"),CHOOSE(ArtifactsInput!$N$27+1,20,24,28,32,36,40),0)/100)))))/Skills!G11,1)))/Inputs!$B$43),G1967*Q1967)*1*IF(Inputs!$B$38="pvp",1,(1+(Inputs!$B$21+Skills!P11+B1984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Skills!A12</f>
        <v/>
      </c>
      <c r="B1968">
        <f>Skills!B12</f>
        <v/>
      </c>
      <c r="C1968">
        <f>Inputs!$B$3&gt;=115</f>
        <v/>
      </c>
      <c r="D1968">
        <f>IF(Skills!C12=1,60+Inputs!$B$25+Inputs!$B$29,IF(Skills!C12=2,90+Inputs!$B$26+Inputs!$B$29,IF(Skills!C12=3,120+Inputs!$B$27+Inputs!$B$29,MAX(0,(Inputs!$B$3-100)*3)+Inputs!$B$28+Inputs!$B$29)))</f>
        <v/>
      </c>
      <c r="E1968">
        <f>INDEX(FactorTable!$B$2:$Y$301, MATCH(ROUND(MIN(300,MAX(1,D1968)),0), FactorTable!$A$2:$A$301,0), Skills!L12+1)</f>
        <v/>
      </c>
      <c r="F1968">
        <f>IF(Skills!M12=TRUE,(Skills!K12/10)*(E1968/1000),Skills!K12/10)+Skills!N12</f>
        <v/>
      </c>
      <c r="G1968">
        <f>Calc!G12</f>
        <v/>
      </c>
      <c r="H1968">
        <f>Calc!H12</f>
        <v/>
      </c>
      <c r="I1968">
        <f>IF(Skills!T12&lt;&gt;"",1+(Skills!T12/10)*(Z1959/1000)/100,1)</f>
        <v/>
      </c>
      <c r="J1968">
        <f>((Inputs!$B$6*(1+Inputs!$B$7/100))+(((Inputs!$B$12*(1+Inputs!$B$13/100))-(Inputs!$B$12*(1+Inputs!$B$13/100)))+0.25*(Inputs!$B$14-Inputs!$B$14))*(1+Inputs!$B$7/100))*(F1968/100)</f>
        <v/>
      </c>
      <c r="K1968">
        <f>J1968*(1+((Inputs!$B$12*(1+Inputs!$B$13/100))*0.01+Inputs!$B$14*0.0025)/100)*(1+(Inputs!$B$15+B1985)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1971=TRUE,F1971,0)/100)*(1+IF(C1979=TRUE,F1979,0)/100)^5*(1+(IF(Skills!A12="CHAIN_LIGHTNING",Inputs!$B$17+((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1983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1968)</f>
        <v/>
      </c>
      <c r="L1968">
        <f>K1968*(MIN(Inputs!$B$22+(F1974-Calc!F18),(Inputs!$B$23+(IF(ArtifactsInput!$M$15,CHOOSE(ArtifactsInput!$N$15+1,25,30,35,40,45,50)/100*(Inputs!$B$11-Inputs!$B$11),0))))/100+(Inputs!$B$23+(IF(ArtifactsInput!$M$15,CHOOSE(ArtifactsInput!$N$15+1,25,30,35,40,45,50)/100*(Inputs!$B$11-Inputs!$B$11),0)))/100)/2</f>
        <v/>
      </c>
      <c r="M1968">
        <f>L1968*(1+(Inputs!$B$10+(F1977-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8">
        <f>L1968*(1-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1968*(MIN((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8">
        <f>(1-Summary!$B$11)*S1968+Summary!$B$11*U1968</f>
        <v/>
      </c>
      <c r="P1968">
        <f>IF(B1993=0,0,O1968/B1993)</f>
        <v/>
      </c>
      <c r="Q1968">
        <f>IFERROR(1/(IF(Inputs!$B$38="pvp",15,MAX(0.1,Skills!D12-IF(TRUE=TRUE,Inputs!$B$32,0)))*(1-IF(AND(ArtifactsInput!$M$27,Inputs!$B$4="Chapter Hunt"),CHOOSE(ArtifactsInput!$N$27+1,20,24,28,32,36,40),0)/100)),0)</f>
        <v/>
      </c>
      <c r="R1968">
        <f>IF(AND(Inputs!$B$38&lt;&gt;"pvp",Inputs!$B$43&gt;0),IF(MAX(0,Inputs!$B$43-B1990)&lt;=0,0,(INT(MAX(0,Inputs!$B$43-B1990)/(IF(Inputs!$B$38="pvp",15,MAX(0.1,Skills!D12-IF(TRUE=TRUE,Inputs!$B$32,0)))*(1-IF(AND(ArtifactsInput!$M$27,Inputs!$B$4="Chapter Hunt"),CHOOSE(ArtifactsInput!$N$27+1,20,24,28,32,36,40),0)/100)))+1)),0)</f>
        <v/>
      </c>
      <c r="S1968">
        <f>IF(C1968,(H1968*N1968*IF(AND(Inputs!$B$38&lt;&gt;"pvp",Inputs!$B$43&gt;0),((Skills!F12*((R1968-1)*IF(Skills!G12&gt;0,Skills!H12/Skills!G12,1)+IF(Skills!G12&gt;0,MIN(Skills!H12,MAX(0,MAX(0,Inputs!$B$43-B1990)-((R1968-1)*(IF(Inputs!$B$38="pvp",15,MAX(0.1,Skills!D12-IF(TRUE=TRUE,Inputs!$B$32,0)))*(1-IF(AND(ArtifactsInput!$M$27,Inputs!$B$4="Chapter Hunt"),CHOOSE(ArtifactsInput!$N$27+1,20,24,28,32,36,40),0)/100)))))/Skills!G12,1)))/Inputs!$B$43),G1968*Q1968))*IF(Inputs!$B$38="pvp",1,1+(Inputs!$B$20+Skills!O12+B1984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1968*(1-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1968*(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1968*(1-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1968*(MIN(100,(Inputs!$B$9+((F1976-Calc!F20)+(F1975-Calc!F19))+(ArtifactsInput!$M$24-ArtifactsInput!$M$24)*CHOOSE(ArtifactsInput!$N$24+1,10,12,14,16,18,20)+(IF(AND(Inputs!$B$38&lt;&gt;"pvp",Inputs!$B$43=0),1,IF(IF(Inputs!$B$38="pvp",15,Inputs!$B$43)-(B1990)&lt;=0,1,MAX(0,IF(Inputs!$B$38="pvp",15,Inputs!$B$43)-MAX(5,B1990))/(IF(Inputs!$B$38="pvp",15,Inputs!$B$43)-(B1990)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8">
        <f>IF(C1968,(H1968*N1968*IF(AND(Inputs!$B$38&lt;&gt;"pvp",Inputs!$B$43&gt;0),((Skills!F12*((R1968-1)*IF(Skills!G12&gt;0,Skills!H12/Skills!G12,1)+IF(Skills!G12&gt;0,MIN(Skills!H12,MAX(0,MAX(0,Inputs!$B$43-B1990)-((R1968-1)*(IF(Inputs!$B$38="pvp",15,MAX(0.1,Skills!D12-IF(TRUE=TRUE,Inputs!$B$32,0)))*(1-IF(AND(ArtifactsInput!$M$27,Inputs!$B$4="Chapter Hunt"),CHOOSE(ArtifactsInput!$N$27+1,20,24,28,32,36,40),0)/100)))))/Skills!G12,1)))/Inputs!$B$43),G1968*Q1968))*IF(Inputs!$B$38="pvp",1,(1+(Inputs!$B$21+Skills!P12+B1984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9">
      <c r="A1969">
        <f>Skills!A13</f>
        <v/>
      </c>
      <c r="B1969">
        <f>Skills!B13</f>
        <v/>
      </c>
      <c r="C1969">
        <f>Inputs!$B$3&gt;=49</f>
        <v/>
      </c>
      <c r="D1969">
        <f>IF(Skills!C13=1,60+Inputs!$B$25+Inputs!$B$29,IF(Skills!C13=2,90+Inputs!$B$26+Inputs!$B$29,IF(Skills!C13=3,120+Inputs!$B$27+Inputs!$B$29,MAX(0,(Inputs!$B$3-100)*3)+Inputs!$B$28+Inputs!$B$29)))</f>
        <v/>
      </c>
      <c r="E1969">
        <f>INDEX(FactorTable!$B$2:$Y$301, MATCH(ROUND(MIN(300,MAX(1,D1969)),0), FactorTable!$A$2:$A$301,0), Skills!L13+1)</f>
        <v/>
      </c>
      <c r="F1969">
        <f>IF(Skills!M13=TRUE,(Skills!K13/10)*(E1969/1000),Skills!K13/10)+Skills!N13</f>
        <v/>
      </c>
      <c r="G1969">
        <f>Calc!G13</f>
        <v/>
      </c>
      <c r="H1969">
        <f>Calc!H13</f>
        <v/>
      </c>
      <c r="I1969">
        <f>IF(Skills!T13&lt;&gt;"",1+(Skills!T13/10)*(Z1959/1000)/100,1)</f>
        <v/>
      </c>
      <c r="J1969" t="inlineStr"/>
      <c r="K1969" t="inlineStr"/>
      <c r="L1969" t="inlineStr"/>
      <c r="M1969" t="inlineStr"/>
      <c r="N1969" t="inlineStr"/>
      <c r="O1969">
        <f>(1-Summary!$B$11)*S1969+Summary!$B$11*U1969</f>
        <v/>
      </c>
      <c r="P1969">
        <f>IF(B1993=0,0,O1969/B1993)</f>
        <v/>
      </c>
      <c r="Q1969">
        <f>IFERROR(1/(IF(Inputs!$B$38="pvp",15,MAX(0.1,Skills!D13-IF(TRUE=TRUE,Inputs!$B$32,0)))*(1-IF(AND(ArtifactsInput!$M$27,Inputs!$B$4="Chapter Hunt"),CHOOSE(ArtifactsInput!$N$27+1,20,24,28,32,36,40),0)/100)),0)</f>
        <v/>
      </c>
      <c r="R1969" t="n">
        <v>0</v>
      </c>
      <c r="S1969" t="n">
        <v>0</v>
      </c>
      <c r="U1969" t="n">
        <v>0</v>
      </c>
    </row>
    <row r="1970">
      <c r="A1970">
        <f>Skills!A14</f>
        <v/>
      </c>
      <c r="B1970">
        <f>Skills!B14</f>
        <v/>
      </c>
      <c r="C1970">
        <f>Inputs!$B$3&gt;=72</f>
        <v/>
      </c>
      <c r="D1970">
        <f>IF(Skills!C14=1,60+Inputs!$B$25+Inputs!$B$29,IF(Skills!C14=2,90+Inputs!$B$26+Inputs!$B$29,IF(Skills!C14=3,120+Inputs!$B$27+Inputs!$B$29,MAX(0,(Inputs!$B$3-100)*3)+Inputs!$B$28+Inputs!$B$29)))</f>
        <v/>
      </c>
      <c r="E1970">
        <f>INDEX(FactorTable!$B$2:$Y$301, MATCH(ROUND(MIN(300,MAX(1,D1970)),0), FactorTable!$A$2:$A$301,0), Skills!L14+1)</f>
        <v/>
      </c>
      <c r="F1970">
        <f>IF(Skills!M14=TRUE,(Skills!K14/10)*(E1970/1000),Skills!K14/10)+Skills!N14</f>
        <v/>
      </c>
      <c r="G1970">
        <f>Calc!G14</f>
        <v/>
      </c>
      <c r="H1970">
        <f>Calc!H14</f>
        <v/>
      </c>
      <c r="I1970">
        <f>IF(Skills!T14&lt;&gt;"",1+(Skills!T14/10)*(Z1959/1000)/100,1)</f>
        <v/>
      </c>
      <c r="J1970" t="inlineStr"/>
      <c r="K1970" t="inlineStr"/>
      <c r="L1970" t="inlineStr"/>
      <c r="M1970" t="inlineStr"/>
      <c r="N1970" t="inlineStr"/>
      <c r="O1970">
        <f>(1-Summary!$B$11)*S1970+Summary!$B$11*U1970</f>
        <v/>
      </c>
      <c r="P1970">
        <f>IF(B1993=0,0,O1970/B1993)</f>
        <v/>
      </c>
      <c r="Q1970">
        <f>IFERROR(1/(IF(Inputs!$B$38="pvp",15,MAX(0.1,Skills!D14-IF(TRUE=TRUE,Inputs!$B$32,0)))*(1-IF(AND(ArtifactsInput!$M$27,Inputs!$B$4="Chapter Hunt"),CHOOSE(ArtifactsInput!$N$27+1,20,24,28,32,36,40),0)/100)),0)</f>
        <v/>
      </c>
      <c r="R1970" t="n">
        <v>0</v>
      </c>
      <c r="S1970" t="n">
        <v>0</v>
      </c>
      <c r="U1970" t="n">
        <v>0</v>
      </c>
    </row>
    <row r="1971">
      <c r="A1971">
        <f>Skills!A15</f>
        <v/>
      </c>
      <c r="B1971">
        <f>Skills!B15</f>
        <v/>
      </c>
      <c r="C1971">
        <f>Inputs!$B$3&gt;=75</f>
        <v/>
      </c>
      <c r="D1971">
        <f>IF(Skills!C15=1,60+Inputs!$B$25+Inputs!$B$29,IF(Skills!C15=2,90+Inputs!$B$26+Inputs!$B$29,IF(Skills!C15=3,120+Inputs!$B$27+Inputs!$B$29,MAX(0,(Inputs!$B$3-100)*3)+Inputs!$B$28+Inputs!$B$29)))</f>
        <v/>
      </c>
      <c r="E1971">
        <f>INDEX(FactorTable!$B$2:$Y$301, MATCH(ROUND(MIN(300,MAX(1,D1971)),0), FactorTable!$A$2:$A$301,0), Skills!L15+1)</f>
        <v/>
      </c>
      <c r="F1971">
        <f>IF(Skills!M15=TRUE,(Skills!K15/10)*(E1971/1000),Skills!K15/10)+Skills!N15</f>
        <v/>
      </c>
      <c r="G1971">
        <f>Calc!G15</f>
        <v/>
      </c>
      <c r="H1971">
        <f>Calc!H15</f>
        <v/>
      </c>
      <c r="I1971">
        <f>IF(Skills!T15&lt;&gt;"",1+(Skills!T15/10)*(Z1959/1000)/100,1)</f>
        <v/>
      </c>
      <c r="J1971" t="inlineStr"/>
      <c r="K1971" t="inlineStr"/>
      <c r="L1971" t="inlineStr"/>
      <c r="M1971" t="inlineStr"/>
      <c r="N1971" t="inlineStr"/>
      <c r="O1971">
        <f>(1-Summary!$B$11)*S1971+Summary!$B$11*U1971</f>
        <v/>
      </c>
      <c r="P1971">
        <f>IF(B1993=0,0,O1971/B1993)</f>
        <v/>
      </c>
      <c r="Q1971">
        <f>IFERROR(1/(IF(Inputs!$B$38="pvp",15,MAX(0.1,Skills!D15-IF(TRUE=TRUE,Inputs!$B$32,0)))*(1-IF(AND(ArtifactsInput!$M$27,Inputs!$B$4="Chapter Hunt"),CHOOSE(ArtifactsInput!$N$27+1,20,24,28,32,36,40),0)/100)),0)</f>
        <v/>
      </c>
      <c r="R1971" t="n">
        <v>0</v>
      </c>
      <c r="S1971" t="n">
        <v>0</v>
      </c>
      <c r="U1971" t="n">
        <v>0</v>
      </c>
    </row>
    <row r="1972">
      <c r="A1972">
        <f>Skills!A16</f>
        <v/>
      </c>
      <c r="B1972">
        <f>Skills!B16</f>
        <v/>
      </c>
      <c r="C1972">
        <f>Inputs!$B$3&gt;=110</f>
        <v/>
      </c>
      <c r="D1972">
        <f>IF(Skills!C16=1,60+Inputs!$B$25+Inputs!$B$29,IF(Skills!C16=2,90+Inputs!$B$26+Inputs!$B$29,IF(Skills!C16=3,120+Inputs!$B$27+Inputs!$B$29,MAX(0,(Inputs!$B$3-100)*3)+Inputs!$B$28+Inputs!$B$29)))</f>
        <v/>
      </c>
      <c r="E1972">
        <f>INDEX(FactorTable!$B$2:$Y$301, MATCH(ROUND(MIN(300,MAX(1,D1972)),0), FactorTable!$A$2:$A$301,0), Skills!L16+1)</f>
        <v/>
      </c>
      <c r="F1972">
        <f>(Skills!K16/10)*(E1972/1000)*64/45+Skills!N16</f>
        <v/>
      </c>
      <c r="G1972">
        <f>Calc!G16</f>
        <v/>
      </c>
      <c r="H1972">
        <f>Calc!H16</f>
        <v/>
      </c>
      <c r="I1972">
        <f>IF(Skills!T16&lt;&gt;"",1+(Skills!T16/10)*(Z1959/1000)/100,1)</f>
        <v/>
      </c>
      <c r="J1972" t="inlineStr"/>
      <c r="K1972" t="inlineStr"/>
      <c r="L1972" t="inlineStr"/>
      <c r="M1972" t="inlineStr"/>
      <c r="N1972" t="inlineStr"/>
      <c r="O1972">
        <f>(1-Summary!$B$11)*S1972+Summary!$B$11*U1972</f>
        <v/>
      </c>
      <c r="P1972">
        <f>IF(B1993=0,0,O1972/B1993)</f>
        <v/>
      </c>
      <c r="Q1972">
        <f>IFERROR(1/(IF(Inputs!$B$38="pvp",15,MAX(0.1,Skills!D16-IF(TRUE=TRUE,Inputs!$B$32,0)))*(1-IF(AND(ArtifactsInput!$M$27,Inputs!$B$4="Chapter Hunt"),CHOOSE(ArtifactsInput!$N$27+1,20,24,28,32,36,40),0)/100)),0)</f>
        <v/>
      </c>
      <c r="R1972">
        <f>IF(AND(Inputs!$B$38&lt;&gt;"pvp",Inputs!$B$43&gt;0),IF(Inputs!$B$43&lt;=0,0,(INT(Inputs!$B$43/(IF(Inputs!$B$38="pvp",15,MAX(0.1,Skills!D16-IF(TRUE=TRUE,Inputs!$B$32,0)))*(1-IF(AND(ArtifactsInput!$M$27,Inputs!$B$4="Chapter Hunt"),CHOOSE(ArtifactsInput!$N$27+1,20,24,28,32,36,40),0)/100)))+1)),0)</f>
        <v/>
      </c>
      <c r="S1972" t="n">
        <v>0</v>
      </c>
      <c r="U1972" t="n">
        <v>0</v>
      </c>
    </row>
    <row r="1973">
      <c r="A1973">
        <f>Skills!A17</f>
        <v/>
      </c>
      <c r="B1973">
        <f>Skills!B17</f>
        <v/>
      </c>
      <c r="C1973">
        <f>Inputs!$B$3&gt;=33</f>
        <v/>
      </c>
      <c r="D1973">
        <f>IF(Skills!C17=1,60+Inputs!$B$25+Inputs!$B$29,IF(Skills!C17=2,90+Inputs!$B$26+Inputs!$B$29,IF(Skills!C17=3,120+Inputs!$B$27+Inputs!$B$29,MAX(0,(Inputs!$B$3-100)*3)+Inputs!$B$28+Inputs!$B$29)))</f>
        <v/>
      </c>
      <c r="E1973">
        <f>INDEX(FactorTable!$B$2:$Y$301, MATCH(ROUND(MIN(300,MAX(1,D1973)),0), FactorTable!$A$2:$A$301,0), Skills!L17+1)</f>
        <v/>
      </c>
      <c r="F1973">
        <f>IF(Skills!M17=TRUE,(Skills!K17/10)*(E1973/1000),Skills!K17/10)+Skills!N17</f>
        <v/>
      </c>
      <c r="G1973">
        <f>Calc!G17</f>
        <v/>
      </c>
      <c r="H1973">
        <f>Calc!H17</f>
        <v/>
      </c>
      <c r="I1973">
        <f>IF(Skills!T17&lt;&gt;"",1+(Skills!T17/10)*(Z1959/1000)/100,1)</f>
        <v/>
      </c>
      <c r="J1973" t="inlineStr"/>
      <c r="K1973" t="inlineStr"/>
      <c r="L1973" t="inlineStr"/>
      <c r="M1973" t="inlineStr"/>
      <c r="N1973" t="inlineStr"/>
      <c r="O1973">
        <f>(1-Summary!$B$11)*S1973+Summary!$B$11*U1973</f>
        <v/>
      </c>
      <c r="P1973">
        <f>IF(B1993=0,0,O1973/B1993)</f>
        <v/>
      </c>
      <c r="Q1973">
        <f>IFERROR(1/(IF(Inputs!$B$38="pvp",15,MAX(0.1,Skills!D17-IF(TRUE=TRUE,Inputs!$B$32,0)))*(1-IF(AND(ArtifactsInput!$M$27,Inputs!$B$4="Chapter Hunt"),CHOOSE(ArtifactsInput!$N$27+1,20,24,28,32,36,40),0)/100)),0)</f>
        <v/>
      </c>
      <c r="R1973" t="n">
        <v>0</v>
      </c>
      <c r="S1973" t="n">
        <v>0</v>
      </c>
      <c r="U1973" t="n">
        <v>0</v>
      </c>
    </row>
    <row r="1974">
      <c r="A1974">
        <f>Skills!A18</f>
        <v/>
      </c>
      <c r="B1974">
        <f>Skills!B18</f>
        <v/>
      </c>
      <c r="C1974">
        <f>Inputs!$B$3&gt;=43</f>
        <v/>
      </c>
      <c r="D1974">
        <f>IF(Skills!C18=1,60+Inputs!$B$25+Inputs!$B$29,IF(Skills!C18=2,90+Inputs!$B$26+Inputs!$B$29,IF(Skills!C18=3,120+Inputs!$B$27+Inputs!$B$29,MAX(0,(Inputs!$B$3-100)*3)+Inputs!$B$28+Inputs!$B$29)))</f>
        <v/>
      </c>
      <c r="E1974">
        <f>INDEX(FactorTable!$B$2:$Y$301, MATCH(ROUND(MIN(300,MAX(1,D1974)),0), FactorTable!$A$2:$A$301,0), Skills!L18+1)</f>
        <v/>
      </c>
      <c r="F1974">
        <f>IF(Skills!M18=TRUE,(Skills!K18/10)*(E1974/1000),Skills!K18/10)+Skills!N18</f>
        <v/>
      </c>
      <c r="G1974">
        <f>Calc!G18</f>
        <v/>
      </c>
      <c r="H1974">
        <f>Calc!H18</f>
        <v/>
      </c>
      <c r="I1974">
        <f>IF(Skills!T18&lt;&gt;"",1+(Skills!T18/10)*(Z1959/1000)/100,1)</f>
        <v/>
      </c>
      <c r="J1974" t="inlineStr"/>
      <c r="K1974" t="inlineStr"/>
      <c r="L1974" t="inlineStr"/>
      <c r="M1974" t="inlineStr"/>
      <c r="N1974" t="inlineStr"/>
      <c r="O1974">
        <f>(1-Summary!$B$11)*S1974+Summary!$B$11*U1974</f>
        <v/>
      </c>
      <c r="P1974">
        <f>IF(B1993=0,0,O1974/B1993)</f>
        <v/>
      </c>
      <c r="Q1974">
        <f>IFERROR(1/(IF(Inputs!$B$38="pvp",15,MAX(0.1,Skills!D18-IF(TRUE=TRUE,Inputs!$B$32,0)))*(1-IF(AND(ArtifactsInput!$M$27,Inputs!$B$4="Chapter Hunt"),CHOOSE(ArtifactsInput!$N$27+1,20,24,28,32,36,40),0)/100)),0)</f>
        <v/>
      </c>
      <c r="R1974" t="n">
        <v>0</v>
      </c>
      <c r="S1974" t="n">
        <v>0</v>
      </c>
      <c r="U1974" t="n">
        <v>0</v>
      </c>
    </row>
    <row r="1975">
      <c r="A1975">
        <f>Skills!A19</f>
        <v/>
      </c>
      <c r="B1975">
        <f>Skills!B19</f>
        <v/>
      </c>
      <c r="C1975">
        <f>Inputs!$B$3&gt;=50</f>
        <v/>
      </c>
      <c r="D1975">
        <f>IF(Skills!C19=1,60+Inputs!$B$25+Inputs!$B$29,IF(Skills!C19=2,90+Inputs!$B$26+Inputs!$B$29,IF(Skills!C19=3,120+Inputs!$B$27+Inputs!$B$29,MAX(0,(Inputs!$B$3-100)*3)+Inputs!$B$28+Inputs!$B$29)))</f>
        <v/>
      </c>
      <c r="E1975">
        <f>INDEX(FactorTable!$B$2:$Y$301, MATCH(ROUND(MIN(300,MAX(1,D1975)),0), FactorTable!$A$2:$A$301,0), Skills!L19+1)</f>
        <v/>
      </c>
      <c r="F1975">
        <f>IF(Skills!M19=TRUE,(Skills!K19/10)*(E1975/1000),Skills!K19/10)+Skills!N19</f>
        <v/>
      </c>
      <c r="G1975">
        <f>Calc!G19</f>
        <v/>
      </c>
      <c r="H1975">
        <f>Calc!H19</f>
        <v/>
      </c>
      <c r="I1975">
        <f>IF(Skills!T19&lt;&gt;"",1+(Skills!T19/10)*(Z1959/1000)/100,1)</f>
        <v/>
      </c>
      <c r="J1975" t="inlineStr"/>
      <c r="K1975" t="inlineStr"/>
      <c r="L1975" t="inlineStr"/>
      <c r="M1975" t="inlineStr"/>
      <c r="N1975" t="inlineStr"/>
      <c r="O1975">
        <f>(1-Summary!$B$11)*S1975+Summary!$B$11*U1975</f>
        <v/>
      </c>
      <c r="P1975">
        <f>IF(B1993=0,0,O1975/B1993)</f>
        <v/>
      </c>
      <c r="Q1975">
        <f>IFERROR(1/(IF(Inputs!$B$38="pvp",15,MAX(0.1,Skills!D19-IF(TRUE=TRUE,Inputs!$B$32,0)))*(1-IF(AND(ArtifactsInput!$M$27,Inputs!$B$4="Chapter Hunt"),CHOOSE(ArtifactsInput!$N$27+1,20,24,28,32,36,40),0)/100)),0)</f>
        <v/>
      </c>
      <c r="R1975" t="n">
        <v>0</v>
      </c>
      <c r="S1975" t="n">
        <v>0</v>
      </c>
      <c r="U1975" t="n">
        <v>0</v>
      </c>
    </row>
    <row r="1976">
      <c r="A1976">
        <f>Skills!A20</f>
        <v/>
      </c>
      <c r="B1976">
        <f>Skills!B20</f>
        <v/>
      </c>
      <c r="C1976">
        <f>Inputs!$B$3&gt;=74</f>
        <v/>
      </c>
      <c r="D1976">
        <f>IF(Skills!C20=1,60+Inputs!$B$25+Inputs!$B$29,IF(Skills!C20=2,90+Inputs!$B$26+Inputs!$B$29,IF(Skills!C20=3,120+Inputs!$B$27+Inputs!$B$29,MAX(0,(Inputs!$B$3-100)*3)+Inputs!$B$28+Inputs!$B$29)))</f>
        <v/>
      </c>
      <c r="E1976">
        <f>INDEX(FactorTable!$B$2:$Y$301, MATCH(ROUND(MIN(300,MAX(1,D1976)),0), FactorTable!$A$2:$A$301,0), Skills!L20+1)</f>
        <v/>
      </c>
      <c r="F1976">
        <f>IF(Skills!M20=TRUE,(Skills!K20/10)*(E1976/1000),Skills!K20/10)+Skills!N20</f>
        <v/>
      </c>
      <c r="G1976">
        <f>Calc!G20</f>
        <v/>
      </c>
      <c r="H1976">
        <f>Calc!H20</f>
        <v/>
      </c>
      <c r="I1976">
        <f>IF(Skills!T20&lt;&gt;"",1+(Skills!T20/10)*(Z1959/1000)/100,1)</f>
        <v/>
      </c>
      <c r="J1976" t="inlineStr"/>
      <c r="K1976" t="inlineStr"/>
      <c r="L1976" t="inlineStr"/>
      <c r="M1976" t="inlineStr"/>
      <c r="N1976" t="inlineStr"/>
      <c r="O1976">
        <f>(1-Summary!$B$11)*S1976+Summary!$B$11*U1976</f>
        <v/>
      </c>
      <c r="P1976">
        <f>IF(B1993=0,0,O1976/B1993)</f>
        <v/>
      </c>
      <c r="Q1976">
        <f>IFERROR(1/(IF(Inputs!$B$38="pvp",15,MAX(0.1,Skills!D20-IF(TRUE=TRUE,Inputs!$B$32,0)))*(1-IF(AND(ArtifactsInput!$M$27,Inputs!$B$4="Chapter Hunt"),CHOOSE(ArtifactsInput!$N$27+1,20,24,28,32,36,40),0)/100)),0)</f>
        <v/>
      </c>
      <c r="R1976" t="n">
        <v>0</v>
      </c>
      <c r="S1976" t="n">
        <v>0</v>
      </c>
      <c r="U1976" t="n">
        <v>0</v>
      </c>
    </row>
    <row r="1977">
      <c r="A1977">
        <f>Skills!A21</f>
        <v/>
      </c>
      <c r="B1977">
        <f>Skills!B21</f>
        <v/>
      </c>
      <c r="C1977">
        <f>Inputs!$B$3&gt;=74</f>
        <v/>
      </c>
      <c r="D1977">
        <f>IF(Skills!C21=1,60+Inputs!$B$25+Inputs!$B$29,IF(Skills!C21=2,90+Inputs!$B$26+Inputs!$B$29,IF(Skills!C21=3,120+Inputs!$B$27+Inputs!$B$29,MAX(0,(Inputs!$B$3-100)*3)+Inputs!$B$28+Inputs!$B$29)))</f>
        <v/>
      </c>
      <c r="E1977">
        <f>INDEX(FactorTable!$B$2:$Y$301, MATCH(ROUND(MIN(300,MAX(1,D1977)),0), FactorTable!$A$2:$A$301,0), Skills!L21+1)</f>
        <v/>
      </c>
      <c r="F1977">
        <f>IF(Skills!M21=TRUE,(Skills!K21/10)*(E1977/1000),Skills!K21/10)+Skills!N21</f>
        <v/>
      </c>
      <c r="G1977">
        <f>Calc!G21</f>
        <v/>
      </c>
      <c r="H1977">
        <f>Calc!H21</f>
        <v/>
      </c>
      <c r="I1977">
        <f>IF(Skills!T21&lt;&gt;"",1+(Skills!T21/10)*(Z1959/1000)/100,1)</f>
        <v/>
      </c>
      <c r="J1977" t="inlineStr"/>
      <c r="K1977" t="inlineStr"/>
      <c r="L1977" t="inlineStr"/>
      <c r="M1977" t="inlineStr"/>
      <c r="N1977" t="inlineStr"/>
      <c r="O1977">
        <f>(1-Summary!$B$11)*S1977+Summary!$B$11*U1977</f>
        <v/>
      </c>
      <c r="P1977">
        <f>IF(B1993=0,0,O1977/B1993)</f>
        <v/>
      </c>
      <c r="Q1977">
        <f>IFERROR(1/(IF(Inputs!$B$38="pvp",15,MAX(0.1,Skills!D21-IF(TRUE=TRUE,Inputs!$B$32,0)))*(1-IF(AND(ArtifactsInput!$M$27,Inputs!$B$4="Chapter Hunt"),CHOOSE(ArtifactsInput!$N$27+1,20,24,28,32,36,40),0)/100)),0)</f>
        <v/>
      </c>
      <c r="R1977" t="n">
        <v>0</v>
      </c>
      <c r="S1977" t="n">
        <v>0</v>
      </c>
      <c r="U1977" t="n">
        <v>0</v>
      </c>
    </row>
    <row r="1978">
      <c r="A1978">
        <f>Skills!A22</f>
        <v/>
      </c>
      <c r="B1978">
        <f>Skills!B22</f>
        <v/>
      </c>
      <c r="C1978">
        <f>Inputs!$B$3&gt;=117</f>
        <v/>
      </c>
      <c r="D1978">
        <f>IF(Skills!C22=1,60+Inputs!$B$25+Inputs!$B$29,IF(Skills!C22=2,90+Inputs!$B$26+Inputs!$B$29,IF(Skills!C22=3,120+Inputs!$B$27+Inputs!$B$29,MAX(0,(Inputs!$B$3-100)*3)+Inputs!$B$28+Inputs!$B$29)))</f>
        <v/>
      </c>
      <c r="E1978">
        <f>INDEX(FactorTable!$B$2:$Y$301, MATCH(ROUND(MIN(300,MAX(1,D1978)),0), FactorTable!$A$2:$A$301,0), Skills!L22+1)</f>
        <v/>
      </c>
      <c r="F1978">
        <f>IF(Skills!M22=TRUE,(Skills!K22/10)*(E1978/1000),Skills!K22/10)+Skills!N22</f>
        <v/>
      </c>
      <c r="G1978">
        <f>Calc!G22</f>
        <v/>
      </c>
      <c r="H1978">
        <f>Calc!H22</f>
        <v/>
      </c>
      <c r="I1978">
        <f>IF(Skills!T22&lt;&gt;"",1+(Skills!T22/10)*(Z1959/1000)/100,1)</f>
        <v/>
      </c>
      <c r="J1978" t="inlineStr"/>
      <c r="K1978" t="inlineStr"/>
      <c r="L1978" t="inlineStr"/>
      <c r="M1978" t="inlineStr"/>
      <c r="N1978" t="inlineStr"/>
      <c r="O1978">
        <f>(1-Summary!$B$11)*S1978+Summary!$B$11*U1978</f>
        <v/>
      </c>
      <c r="P1978">
        <f>IF(B1993=0,0,O1978/B1993)</f>
        <v/>
      </c>
      <c r="Q1978">
        <f>IFERROR(1/(IF(Inputs!$B$38="pvp",15,MAX(0.1,Skills!D22-IF(TRUE=TRUE,Inputs!$B$32,0)))*(1-IF(AND(ArtifactsInput!$M$27,Inputs!$B$4="Chapter Hunt"),CHOOSE(ArtifactsInput!$N$27+1,20,24,28,32,36,40),0)/100)),0)</f>
        <v/>
      </c>
      <c r="R1978" t="n">
        <v>0</v>
      </c>
      <c r="S1978" t="n">
        <v>0</v>
      </c>
      <c r="U1978" t="n">
        <v>0</v>
      </c>
    </row>
    <row r="1979">
      <c r="A1979">
        <f>Skills!A23</f>
        <v/>
      </c>
      <c r="B1979">
        <f>Skills!B23</f>
        <v/>
      </c>
      <c r="C1979">
        <f>Inputs!$B$3&gt;=120</f>
        <v/>
      </c>
      <c r="D1979">
        <f>IF(Skills!C23=1,60+Inputs!$B$25+Inputs!$B$29,IF(Skills!C23=2,90+Inputs!$B$26+Inputs!$B$29,IF(Skills!C23=3,120+Inputs!$B$27+Inputs!$B$29,MAX(0,(Inputs!$B$3-100)*3)+Inputs!$B$28+Inputs!$B$29)))</f>
        <v/>
      </c>
      <c r="E1979">
        <f>INDEX(FactorTable!$B$2:$Y$301, MATCH(ROUND(MIN(300,MAX(1,D1979)),0), FactorTable!$A$2:$A$301,0), Skills!L23+1)</f>
        <v/>
      </c>
      <c r="F1979">
        <f>IF(Skills!M23=TRUE,(Skills!K23/10)*(E1979/1000),Skills!K23/10)+Skills!N23</f>
        <v/>
      </c>
      <c r="G1979">
        <f>Calc!G23</f>
        <v/>
      </c>
      <c r="H1979">
        <f>Calc!H23</f>
        <v/>
      </c>
      <c r="I1979">
        <f>IF(Skills!T23&lt;&gt;"",1+(Skills!T23/10)*(Z1959/1000)/100,1)</f>
        <v/>
      </c>
      <c r="J1979" t="inlineStr"/>
      <c r="K1979" t="inlineStr"/>
      <c r="L1979" t="inlineStr"/>
      <c r="M1979" t="inlineStr"/>
      <c r="N1979" t="inlineStr"/>
      <c r="O1979">
        <f>(1-Summary!$B$11)*S1979+Summary!$B$11*U1979</f>
        <v/>
      </c>
      <c r="P1979">
        <f>IF(B1993=0,0,O1979/B1993)</f>
        <v/>
      </c>
      <c r="Q1979">
        <f>IFERROR(1/(IF(Inputs!$B$38="pvp",15,MAX(0.1,Skills!D23-IF(TRUE=TRUE,Inputs!$B$32,0)))*(1-IF(AND(ArtifactsInput!$M$27,Inputs!$B$4="Chapter Hunt"),CHOOSE(ArtifactsInput!$N$27+1,20,24,28,32,36,40),0)/100)),0)</f>
        <v/>
      </c>
      <c r="R1979" t="n">
        <v>0</v>
      </c>
      <c r="S1979" t="n">
        <v>0</v>
      </c>
      <c r="U1979" t="n">
        <v>0</v>
      </c>
    </row>
    <row r="1980">
      <c r="A1980">
        <f>Skills!A24</f>
        <v/>
      </c>
      <c r="B1980">
        <f>Skills!B24</f>
        <v/>
      </c>
      <c r="C1980">
        <f>TRUE</f>
        <v/>
      </c>
      <c r="D1980">
        <f>IF(Skills!C24=1,60+Inputs!$B$25+Inputs!$B$29,IF(Skills!C24=2,90+Inputs!$B$26+Inputs!$B$29,IF(Skills!C24=3,120+Inputs!$B$27+Inputs!$B$29,MAX(0,(Inputs!$B$3-100)*3)+Inputs!$B$28+Inputs!$B$29)))</f>
        <v/>
      </c>
      <c r="E1980">
        <f>INDEX(FactorTable!$B$2:$Y$301, MATCH(ROUND(MIN(300,MAX(1,D1980)),0), FactorTable!$A$2:$A$301,0), Skills!L24+1)</f>
        <v/>
      </c>
      <c r="F1980">
        <f>IF(Skills!M24=TRUE,(Skills!K24/10)*(E1980/1000),Skills!K24/10)+Skills!N24</f>
        <v/>
      </c>
      <c r="G1980">
        <f>Calc!G24</f>
        <v/>
      </c>
      <c r="H1980">
        <f>Calc!H24</f>
        <v/>
      </c>
      <c r="I1980">
        <f>IF(Skills!T24&lt;&gt;"",1+(Skills!T24/10)*(Z1959/1000)/100,1)</f>
        <v/>
      </c>
      <c r="J1980" t="inlineStr"/>
      <c r="K1980" t="inlineStr"/>
      <c r="L1980" t="inlineStr"/>
      <c r="M1980" t="inlineStr"/>
      <c r="N1980" t="inlineStr"/>
      <c r="O1980">
        <f>(1-Summary!$B$11)*S1980+Summary!$B$11*U1980</f>
        <v/>
      </c>
      <c r="P1980">
        <f>IF(B1993=0,0,O1980/B1993)</f>
        <v/>
      </c>
      <c r="Q1980">
        <f>IFERROR(1/(IF(Inputs!$B$38="pvp",15,MAX(0.1,Skills!D24-IF(TRUE=TRUE,Inputs!$B$32,0)))*(1-IF(AND(ArtifactsInput!$M$27,Inputs!$B$4="Chapter Hunt"),CHOOSE(ArtifactsInput!$N$27+1,20,24,28,32,36,40),0)/100)),0)</f>
        <v/>
      </c>
      <c r="R1980">
        <f>IF(AND(Inputs!$B$38&lt;&gt;"pvp",Inputs!$B$43&gt;0),IF(Inputs!$B$43&lt;=0,0,(INT(Inputs!$B$43/(IF(Inputs!$B$38="pvp",15,MAX(0.1,Skills!D24-IF(TRUE=TRUE,Inputs!$B$32,0)))*(1-IF(AND(ArtifactsInput!$M$27,Inputs!$B$4="Chapter Hunt"),CHOOSE(ArtifactsInput!$N$27+1,20,24,28,32,36,40),0)/100)))+1)),0)</f>
        <v/>
      </c>
      <c r="S1980" t="n">
        <v>0</v>
      </c>
      <c r="U1980" t="n">
        <v>0</v>
      </c>
    </row>
    <row r="1983">
      <c r="A1983" t="inlineStr">
        <is>
          <t>Average Buff Multiplier (Magic Guard + Meditation + Artifact Attack%, summed; then Infinity)</t>
        </is>
      </c>
      <c r="B1983">
        <f>(1+(IF(C1959=TRUE,F1959*IF(AND(Inputs!$B$38&lt;&gt;"pvp",Inputs!$B$43&gt;0),(((R1959-1)*MIN((Skills!S3*(1+(Inputs!$B$34)/100)),(1/Q1959))+MIN((Skills!S3*(1+(Inputs!$B$34)/100)),MAX(0,Inputs!$B$43-((R1959-1)*(1/Q1959)))))/Inputs!$B$43),IF(Inputs!$B$38="pvp",MIN((Skills!S3*(1+(Inputs!$B$34)/100)),15)/15,MIN(1,(Skills!S3*(1+(Inputs!$B$34)/100))/(1/Q1959)))),0)+IF(C1960=TRUE,F1960*IF(AND(Inputs!$B$38&lt;&gt;"pvp",Inputs!$B$43&gt;0),(((R1960-1)*MIN((Skills!S4*(1+(Inputs!$B$34)/100)),(1/Q1960))+MIN((Skills!S4*(1+(Inputs!$B$34)/100)),MAX(0,Inputs!$B$43-((R1960-1)*(1/Q1960)))))/Inputs!$B$43),IF(Inputs!$B$38="pvp",MIN((Skills!S4*(1+(Inputs!$B$34)/100)),15)/15,MIN(1,(Skills!S4*(1+(Inputs!$B$34)/100))/(1/Q1960)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1972=TRUE,(1+F1972*IF(AND(Inputs!$B$38&lt;&gt;"pvp",Inputs!$B$43&gt;0),(((R1972-1)*MIN((Skills!S16*(1+(Inputs!$B$34)/100)),(1/Q1972))+MIN((Skills!S16*(1+(Inputs!$B$34)/100)),MAX(0,Inputs!$B$43-((R1972-1)*(1/Q1972)))))/Inputs!$B$43),IF(Inputs!$B$38="pvp",MIN((Skills!S16*(1+(Inputs!$B$34)/100)),15)/15,MIN(1,(Skills!S16*(1+(Inputs!$B$34)/100))/(1/Q1972))))/100),1)</f>
        <v/>
      </c>
    </row>
    <row r="1984">
      <c r="A1984" t="inlineStr">
        <is>
          <t>Monster Damage Taken Bonus % (Freezing Breath - Weaken + Elemental Reset + Artifact Enemy Damage Taken, summed)</t>
        </is>
      </c>
      <c r="B1984">
        <f>IF(Inputs!$B$3&gt;=118,15*IF(Inputs!$B$38="pvp",MIN((30*(1+(Inputs!$B$34)/100)),15)/15,MIN(1,(30*(1+(Inputs!$B$34)/100))/(1/Q1964))),0)+IF(C1970=TRUE,F1970,0)+(IF(AND(ArtifactsInput!$M$35,Inputs!$B$4&lt;&gt;"Chapter Hunt"),CHOOSE(ArtifactsInput!$N$35+1,15,18,21,24,27,30)*(1-EXP(-(0.2*B1987)*5)),0)+IF(AND(ArtifactsInput!$M$22,Inputs!$B$4&lt;&gt;"Chapter Hunt"),CHOOSE(ArtifactsInput!$N$22+1,10,12,14,16,18,20)*((0*(((0.15*B1987*5))^0/1)+1*(((0.15*B1987*5))^1/1)+2*(((0.15*B1987*5))^2/2)+3*(((0.15*B1987*5))^3/6)+4*(((0.15*B1987*5))^4/24)+5*(((0.15*B1987*5))^5/120))/((((0.15*B1987*5))^0/1)+(((0.15*B1987*5))^1/1)+(((0.15*B1987*5))^2/2)+(((0.15*B1987*5))^3/6)+(((0.15*B1987*5))^4/24)+(((0.15*B1987*5))^5/120))),0))</f>
        <v/>
      </c>
    </row>
    <row r="1985">
      <c r="A1985" t="inlineStr">
        <is>
          <t>Damage % Bonus (Frozen Break + Frost Clutch, flat)</t>
        </is>
      </c>
      <c r="B1985">
        <f>IF(Inputs!$B$3&gt;=66,15,0)+IF(Inputs!$B$3&gt;=98,10,0)+IF(Inputs!$B$3&gt;=125,20,0)</f>
        <v/>
      </c>
    </row>
    <row r="1986">
      <c r="A1986" t="inlineStr">
        <is>
          <t>Attack Speed Bonus % (MP Eater - MP Boost, always-on + Nimble Feet, duty-cycle averaged)</t>
        </is>
      </c>
      <c r="B1986">
        <f>IF(C1969=TRUE,F1969+(F1973-Calc!F17),0)+((C1980=TRUE)*F1980*IF(AND(Inputs!$B$38&lt;&gt;"pvp",Inputs!$B$43&gt;0),(((R1980-1)*MIN((Skills!S24*(1+(Inputs!$B$34)/100)),(1/Q1980))+MIN((Skills!S24*(1+(Inputs!$B$34)/100)),MAX(0,Inputs!$B$43-((R1980-1)*(1/Q1980)))))/Inputs!$B$43),IF(Inputs!$B$38="pvp",MIN((Skills!S24*(1+(Inputs!$B$34)/100)),15)/15,MIN(1,(Skills!S24*(1+(Inputs!$B$34)/100))/(1/Q1980)))))</f>
        <v/>
      </c>
    </row>
    <row r="1987">
      <c r="A1987" t="inlineStr">
        <is>
          <t>Actions Per Second</t>
        </is>
      </c>
      <c r="B1987">
        <f>1+MIN(150,150*(1-(1-(Inputs!$B$11+(ArtifactsInput!$M$15-ArtifactsInput!$M$15)*CHOOSE(ArtifactsInput!$N$15+1,8,9.6,11.2,12.8,14.4,16))/150)*(1-B1986/150)))/100</f>
        <v/>
      </c>
    </row>
    <row r="1988">
      <c r="A1988" t="inlineStr">
        <is>
          <t>Skill + Buff Cast Rate</t>
        </is>
      </c>
      <c r="B1988">
        <f>IF(AND(Inputs!$B$38&lt;&gt;"pvp",Inputs!$B$43&gt;0),SUMPRODUCT((Skills!E2:E24=TRUE)*(C1958:C1980=TRUE)*R1958:R1980)/Inputs!$B$43,SUMPRODUCT((Skills!E2:E24=TRUE)*(C1958:C1980=TRUE)*Q1958:Q1980))</f>
        <v/>
      </c>
    </row>
    <row r="1989">
      <c r="A1989" t="inlineStr">
        <is>
          <t>Chain Lightning Casts Per Second</t>
        </is>
      </c>
      <c r="B1989">
        <f>MAX(0,B1987-B1988)</f>
        <v/>
      </c>
    </row>
    <row r="1990">
      <c r="A1990" t="inlineStr">
        <is>
          <t>Buff-Casting Startup Delay (s, fixed-duration only)</t>
        </is>
      </c>
      <c r="B1990">
        <f>IF(AND(Inputs!$B$38&lt;&gt;"pvp",Inputs!$B$43&gt;0),SUMPRODUCT((Skills!S2:S24&gt;0)*(Skills!E2:E24=TRUE)*(C1958:C1980=TRUE))/B1987,0)</f>
        <v/>
      </c>
    </row>
    <row r="1991">
      <c r="A1991" t="inlineStr">
        <is>
          <t>Boss-Only Total DPS (this block's swept value)</t>
        </is>
      </c>
      <c r="B1991">
        <f>SUM(S1958:S1980)</f>
        <v/>
      </c>
    </row>
    <row r="1992">
      <c r="A1992" t="inlineStr">
        <is>
          <t>Normal-Only Total DPS (this block's swept value)</t>
        </is>
      </c>
      <c r="B1992">
        <f>SUM(U1958:U1980)</f>
        <v/>
      </c>
    </row>
    <row r="1993">
      <c r="A1993" s="6" t="inlineStr">
        <is>
          <t>TOTAL DPS</t>
        </is>
      </c>
      <c r="B1993" s="6">
        <f>SUM(O1958:O1980)</f>
        <v/>
      </c>
    </row>
    <row r="1994">
      <c r="A1994" t="inlineStr">
        <is>
          <t>Blizzard Final Attack trigger rate (this block's own Q/R)</t>
        </is>
      </c>
      <c r="B1994">
        <f>IF(AND(Inputs!$B$38&lt;&gt;"pvp",Inputs!$B$43&gt;0),(((C1961=TRUE)*R1961*1)+((C1962=TRUE)*R1962*1)+((C1964=TRUE)*R1964*1)+((C1965=TRUE)*R1965*3)+((C1967=TRUE)*R1967*1))/Inputs!$B$43,((C1961=TRUE)*Q1961*1)+((C1962=TRUE)*Q1962*1)+((C1964=TRUE)*Q1964*1)+((C1965=TRUE)*Q1965*3)+((C1967=TRUE)*Q1967*1))+B1989</f>
        <v/>
      </c>
    </row>
    <row r="1997">
      <c r="A1997" s="6" t="inlineStr">
        <is>
          <t>Stat: Soul Pouch (Equip)</t>
        </is>
      </c>
    </row>
    <row r="1998">
      <c r="A1998" s="5" t="inlineStr">
        <is>
          <t>Key</t>
        </is>
      </c>
      <c r="B1998" s="5" t="inlineStr">
        <is>
          <t>Name</t>
        </is>
      </c>
      <c r="C1998" s="5" t="inlineStr">
        <is>
          <t>Unlocked</t>
        </is>
      </c>
      <c r="D1998" s="5" t="inlineStr">
        <is>
          <t>InputLevel</t>
        </is>
      </c>
      <c r="E1998" s="5" t="inlineStr">
        <is>
          <t>Factor</t>
        </is>
      </c>
      <c r="F1998" s="5" t="inlineStr">
        <is>
          <t>CoefficientPercent</t>
        </is>
      </c>
      <c r="G1998" s="5" t="inlineStr">
        <is>
          <t>EffectiveHits</t>
        </is>
      </c>
      <c r="H1998" s="5" t="inlineStr">
        <is>
          <t>ProcProbability</t>
        </is>
      </c>
      <c r="I1998" s="5" t="inlineStr">
        <is>
          <t>MapleHeroMultiplier</t>
        </is>
      </c>
      <c r="J1998" s="5" t="inlineStr">
        <is>
          <t>BaseDamage</t>
        </is>
      </c>
      <c r="K1998" s="5" t="inlineStr">
        <is>
          <t>BaseHitDamage</t>
        </is>
      </c>
      <c r="L1998" s="5" t="inlineStr">
        <is>
          <t>NonCritAvg</t>
        </is>
      </c>
      <c r="M1998" s="5" t="inlineStr">
        <is>
          <t>CritAvg</t>
        </is>
      </c>
      <c r="N1998" s="5" t="inlineStr">
        <is>
          <t>ExpectedDamage(perHit)</t>
        </is>
      </c>
      <c r="O1998" s="5" t="inlineStr">
        <is>
          <t>DPS</t>
        </is>
      </c>
      <c r="P1998" s="5" t="inlineStr">
        <is>
          <t>% of Total</t>
        </is>
      </c>
      <c r="R1998" t="inlineStr">
        <is>
          <t>helpers</t>
        </is>
      </c>
    </row>
    <row r="1999">
      <c r="A1999">
        <f>Skills!A2</f>
        <v/>
      </c>
      <c r="B1999">
        <f>Skills!B2</f>
        <v/>
      </c>
      <c r="C1999">
        <f>Inputs!$B$3&gt;=100</f>
        <v/>
      </c>
      <c r="D1999" t="inlineStr"/>
      <c r="E1999" t="inlineStr"/>
      <c r="F1999">
        <f>T2001+Skills!N2</f>
        <v/>
      </c>
      <c r="G1999">
        <f>Calc!G2</f>
        <v/>
      </c>
      <c r="H1999">
        <f>Calc!H2</f>
        <v/>
      </c>
      <c r="I1999">
        <f>IF(Skills!T2&lt;&gt;"",1+(Skills!T2/10)*(Z2000/1000)/100,1)</f>
        <v/>
      </c>
      <c r="J1999">
        <f>((Inputs!$B$6*(1+Inputs!$B$7/100))+(((Inputs!$B$12*(1+Inputs!$B$13/100))-(Inputs!$B$12*(1+Inputs!$B$13/100)))+0.25*(Inputs!$B$14-Inputs!$B$14))*(1+Inputs!$B$7/100))*(F1999/100)</f>
        <v/>
      </c>
      <c r="K1999">
        <f>J1999*(1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2="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1999)</f>
        <v/>
      </c>
      <c r="L1999">
        <f>K1999*(MIN(Inputs!$B$22+(F2015-Calc!F18),(Inputs!$B$23+(IF(ArtifactsInput!$M$15,CHOOSE(ArtifactsInput!$N$15+1,25,30,35,40,45,50)/100*(Inputs!$B$11-Inputs!$B$11),0))))/100+(Inputs!$B$23+(IF(ArtifactsInput!$M$15,CHOOSE(ArtifactsInput!$N$15+1,25,30,35,40,45,50)/100*(Inputs!$B$11-Inputs!$B$11),0)))/100)/2</f>
        <v/>
      </c>
      <c r="M1999">
        <f>L1999*(1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99">
        <f>L1999*(1-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1999*(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99">
        <f>(1-Summary!$B$11)*S1999+Summary!$B$11*U1999</f>
        <v/>
      </c>
      <c r="P1999">
        <f>IF(B2034=0,0,O1999/B2034)</f>
        <v/>
      </c>
      <c r="Q1999">
        <f>IFERROR(1/(IF(Inputs!$B$38="pvp",15,MAX(0.1,Skills!D2-IF(TRUE=TRUE,Inputs!$B$32,0)))*(1-IF(AND(ArtifactsInput!$M$27,Inputs!$B$4="Chapter Hunt"),CHOOSE(ArtifactsInput!$N$27+1,20,24,28,32,36,40),0)/100)),0)</f>
        <v/>
      </c>
      <c r="R1999" t="n">
        <v>0</v>
      </c>
      <c r="S1999">
        <f>IF(C1999,(Skills!F2*N1999*B2030)*IF(Inputs!$B$38="pvp",1,1+(Inputs!$B$20+Skills!O2+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1999*(1-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1999*(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1999*(1-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1999*(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1999">
        <f>MAX(0,(Inputs!$B$3-100)*3)+Inputs!$B$28+Inputs!$B$29</f>
        <v/>
      </c>
      <c r="U1999">
        <f>IF(C1999,(Skills!F2*N1999*B2030)*IF(Inputs!$B$38="pvp",1,(1+(Inputs!$B$21+Skills!P2+B2025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1999">
        <f>MAX(0,(Inputs!$B$3-100)*3)+Inputs!$B$28+Inputs!$B$29</f>
        <v/>
      </c>
    </row>
    <row r="2000">
      <c r="A2000">
        <f>Skills!A3</f>
        <v/>
      </c>
      <c r="B2000">
        <f>Skills!B3</f>
        <v/>
      </c>
      <c r="C2000">
        <f>Inputs!$B$3&gt;=15</f>
        <v/>
      </c>
      <c r="D2000">
        <f>IF(Skills!C3=1,60+Inputs!$B$25+Inputs!$B$29,IF(Skills!C3=2,90+Inputs!$B$26+Inputs!$B$29,IF(Skills!C3=3,120+Inputs!$B$27+Inputs!$B$29,MAX(0,(Inputs!$B$3-100)*3)+Inputs!$B$28+Inputs!$B$29)))</f>
        <v/>
      </c>
      <c r="E2000">
        <f>INDEX(FactorTable!$B$2:$Y$301, MATCH(ROUND(MIN(300,MAX(1,D2000)),0), FactorTable!$A$2:$A$301,0), Skills!L3+1)</f>
        <v/>
      </c>
      <c r="F2000">
        <f>IF(Skills!M3=TRUE,(Skills!K3/10)*(E2000/1000),Skills!K3/10)+Skills!N3</f>
        <v/>
      </c>
      <c r="G2000">
        <f>Calc!G3</f>
        <v/>
      </c>
      <c r="H2000">
        <f>Calc!H3</f>
        <v/>
      </c>
      <c r="I2000">
        <f>IF(Skills!T3&lt;&gt;"",1+(Skills!T3/10)*(Z2000/1000)/100,1)</f>
        <v/>
      </c>
      <c r="J2000" t="inlineStr"/>
      <c r="K2000" t="inlineStr"/>
      <c r="L2000" t="inlineStr"/>
      <c r="M2000" t="inlineStr"/>
      <c r="N2000" t="inlineStr"/>
      <c r="O2000">
        <f>(1-Summary!$B$11)*S2000+Summary!$B$11*U2000</f>
        <v/>
      </c>
      <c r="P2000">
        <f>IF(B2034=0,0,O2000/B2034)</f>
        <v/>
      </c>
      <c r="Q2000">
        <f>IFERROR(1/(IF(Inputs!$B$38="pvp",15,MAX(0.1,Skills!D3-IF(TRUE=TRUE,Inputs!$B$32,0)))*(1-IF(AND(ArtifactsInput!$M$27,Inputs!$B$4="Chapter Hunt"),CHOOSE(ArtifactsInput!$N$27+1,20,24,28,32,36,40),0)/100)),0)</f>
        <v/>
      </c>
      <c r="R2000">
        <f>IF(AND(Inputs!$B$38&lt;&gt;"pvp",Inputs!$B$43&gt;0),IF(Inputs!$B$43&lt;=0,0,(INT(Inputs!$B$43/(IF(Inputs!$B$38="pvp",15,MAX(0.1,Skills!D3-IF(TRUE=TRUE,Inputs!$B$32,0)))*(1-IF(AND(ArtifactsInput!$M$27,Inputs!$B$4="Chapter Hunt"),CHOOSE(ArtifactsInput!$N$27+1,20,24,28,32,36,40),0)/100)))+1)),0)</f>
        <v/>
      </c>
      <c r="S2000" t="n">
        <v>0</v>
      </c>
      <c r="T2000">
        <f>INDEX(FactorTable!$B$2:$Y$301, MATCH(ROUND(MIN(300,MAX(1,T1999)),0), FactorTable!$A$2:$A$301,0), 22)</f>
        <v/>
      </c>
      <c r="U2000" t="n">
        <v>0</v>
      </c>
      <c r="Z2000">
        <f>INDEX(FactorTable!$B$2:$Y$301, MATCH(ROUND(MIN(300,MAX(1,Z1999)),0), FactorTable!$A$2:$A$301,0), 24)</f>
        <v/>
      </c>
    </row>
    <row r="2001">
      <c r="A2001">
        <f>Skills!A4</f>
        <v/>
      </c>
      <c r="B2001">
        <f>Skills!B4</f>
        <v/>
      </c>
      <c r="C2001">
        <f>Inputs!$B$3&gt;=40</f>
        <v/>
      </c>
      <c r="D2001">
        <f>IF(Skills!C4=1,60+Inputs!$B$25+Inputs!$B$29,IF(Skills!C4=2,90+Inputs!$B$26+Inputs!$B$29,IF(Skills!C4=3,120+Inputs!$B$27+Inputs!$B$29,MAX(0,(Inputs!$B$3-100)*3)+Inputs!$B$28+Inputs!$B$29)))</f>
        <v/>
      </c>
      <c r="E2001">
        <f>INDEX(FactorTable!$B$2:$Y$301, MATCH(ROUND(MIN(300,MAX(1,D2001)),0), FactorTable!$A$2:$A$301,0), Skills!L4+1)</f>
        <v/>
      </c>
      <c r="F2001">
        <f>IF(Skills!M4=TRUE,(Skills!K4/10)*(E2001/1000),Skills!K4/10)+Skills!N4</f>
        <v/>
      </c>
      <c r="G2001">
        <f>Calc!G4</f>
        <v/>
      </c>
      <c r="H2001">
        <f>Calc!H4</f>
        <v/>
      </c>
      <c r="I2001">
        <f>IF(Skills!T4&lt;&gt;"",1+(Skills!T4/10)*(Z2000/1000)/100,1)</f>
        <v/>
      </c>
      <c r="J2001" t="inlineStr"/>
      <c r="K2001" t="inlineStr"/>
      <c r="L2001" t="inlineStr"/>
      <c r="M2001" t="inlineStr"/>
      <c r="N2001" t="inlineStr"/>
      <c r="O2001">
        <f>(1-Summary!$B$11)*S2001+Summary!$B$11*U2001</f>
        <v/>
      </c>
      <c r="P2001">
        <f>IF(B2034=0,0,O2001/B2034)</f>
        <v/>
      </c>
      <c r="Q2001">
        <f>IFERROR(1/(IF(Inputs!$B$38="pvp",15,MAX(0.1,Skills!D4-IF(TRUE=TRUE,Inputs!$B$32,0)))*(1-IF(AND(ArtifactsInput!$M$27,Inputs!$B$4="Chapter Hunt"),CHOOSE(ArtifactsInput!$N$27+1,20,24,28,32,36,40),0)/100)),0)</f>
        <v/>
      </c>
      <c r="R2001">
        <f>IF(AND(Inputs!$B$38&lt;&gt;"pvp",Inputs!$B$43&gt;0),IF(Inputs!$B$43&lt;=0,0,(INT(Inputs!$B$43/(IF(Inputs!$B$38="pvp",15,MAX(0.1,Skills!D4-IF(TRUE=TRUE,Inputs!$B$32,0)))*(1-IF(AND(ArtifactsInput!$M$27,Inputs!$B$4="Chapter Hunt"),CHOOSE(ArtifactsInput!$N$27+1,20,24,28,32,36,40),0)/100)))+1)),0)</f>
        <v/>
      </c>
      <c r="S2001" t="n">
        <v>0</v>
      </c>
      <c r="T2001">
        <f>290*T2000/1000</f>
        <v/>
      </c>
      <c r="U2001" t="n">
        <v>0</v>
      </c>
    </row>
    <row r="2002">
      <c r="A2002">
        <f>Skills!A5</f>
        <v/>
      </c>
      <c r="B2002">
        <f>Skills!B5</f>
        <v/>
      </c>
      <c r="C2002">
        <f>Inputs!$B$3&gt;=38</f>
        <v/>
      </c>
      <c r="D2002">
        <f>IF(Skills!C5=1,60+Inputs!$B$25+Inputs!$B$29,IF(Skills!C5=2,90+Inputs!$B$26+Inputs!$B$29,IF(Skills!C5=3,120+Inputs!$B$27+Inputs!$B$29,MAX(0,(Inputs!$B$3-100)*3)+Inputs!$B$28+Inputs!$B$29)))</f>
        <v/>
      </c>
      <c r="E2002">
        <f>INDEX(FactorTable!$B$2:$Y$301, MATCH(ROUND(MIN(300,MAX(1,D2002)),0), FactorTable!$A$2:$A$301,0), Skills!L5+1)</f>
        <v/>
      </c>
      <c r="F2002">
        <f>IF(Skills!M5=TRUE,(Skills!K5/10)*(E2002/1000),Skills!K5/10)+Skills!N5</f>
        <v/>
      </c>
      <c r="G2002">
        <f>Calc!G5</f>
        <v/>
      </c>
      <c r="H2002">
        <f>Calc!H5</f>
        <v/>
      </c>
      <c r="I2002">
        <f>IF(Skills!T5&lt;&gt;"",1+(Skills!T5/10)*(Z2000/1000)/100,1)</f>
        <v/>
      </c>
      <c r="J2002">
        <f>((Inputs!$B$6*(1+Inputs!$B$7/100))+(((Inputs!$B$12*(1+Inputs!$B$13/100))-(Inputs!$B$12*(1+Inputs!$B$13/100)))+0.25*(Inputs!$B$14-Inputs!$B$14))*(1+Inputs!$B$7/100))*(F2002/100)</f>
        <v/>
      </c>
      <c r="K2002">
        <f>J2002*(1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5="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2002)</f>
        <v/>
      </c>
      <c r="L2002">
        <f>K2002*(MIN(Inputs!$B$22+(F2015-Calc!F18),(Inputs!$B$23+(IF(ArtifactsInput!$M$15,CHOOSE(ArtifactsInput!$N$15+1,25,30,35,40,45,50)/100*(Inputs!$B$11-Inputs!$B$11),0))))/100+(Inputs!$B$23+(IF(ArtifactsInput!$M$15,CHOOSE(ArtifactsInput!$N$15+1,25,30,35,40,45,50)/100*(Inputs!$B$11-Inputs!$B$11),0)))/100)/2</f>
        <v/>
      </c>
      <c r="M2002">
        <f>L2002*(1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2">
        <f>L2002*(1-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2002*(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2">
        <f>(1-Summary!$B$11)*S2002+Summary!$B$11*U2002</f>
        <v/>
      </c>
      <c r="P2002">
        <f>IF(B2034=0,0,O2002/B2034)</f>
        <v/>
      </c>
      <c r="Q2002">
        <f>IFERROR(1/(IF(Inputs!$B$38="pvp",15,MAX(0.1,Skills!D5-IF(TRUE=TRUE,Inputs!$B$32,0)))*(1-IF(AND(ArtifactsInput!$M$27,Inputs!$B$4="Chapter Hunt"),CHOOSE(ArtifactsInput!$N$27+1,20,24,28,32,36,40),0)/100)),0)</f>
        <v/>
      </c>
      <c r="R2002">
        <f>IF(AND(Inputs!$B$38&lt;&gt;"pvp",Inputs!$B$43&gt;0),IF(MAX(0,Inputs!$B$43-B2031)&lt;=0,0,(INT(MAX(0,Inputs!$B$43-B2031)/(IF(Inputs!$B$38="pvp",15,MAX(0.1,Skills!D5-IF(TRUE=TRUE,Inputs!$B$32,0)))*(1-IF(AND(ArtifactsInput!$M$27,Inputs!$B$4="Chapter Hunt"),CHOOSE(ArtifactsInput!$N$27+1,20,24,28,32,36,40),0)/100)))+1)),0)</f>
        <v/>
      </c>
      <c r="S2002">
        <f>IF(C2002,(H2002*N2002*IF(AND(Inputs!$B$38&lt;&gt;"pvp",Inputs!$B$43&gt;0),((Skills!F5*((R2002-1)*IF(Skills!G5&gt;0,Skills!H5/Skills!G5,1)+IF(Skills!G5&gt;0,MIN(Skills!H5,MAX(0,MAX(0,Inputs!$B$43-B2031)-((R2002-1)*(IF(Inputs!$B$38="pvp",15,MAX(0.1,Skills!D5-IF(TRUE=TRUE,Inputs!$B$32,0)))*(1-IF(AND(ArtifactsInput!$M$27,Inputs!$B$4="Chapter Hunt"),CHOOSE(ArtifactsInput!$N$27+1,20,24,28,32,36,40),0)/100)))))/Skills!G5,1)))/Inputs!$B$43),G2002*Q2002))*IF(Inputs!$B$38="pvp",1,1+(Inputs!$B$20+Skills!O5+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2002*(1-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2002*(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2002*(1-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2002*(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2">
        <f>IF(C2002,(H2002*N2002*IF(AND(Inputs!$B$38&lt;&gt;"pvp",Inputs!$B$43&gt;0),((Skills!F5*((R2002-1)*IF(Skills!G5&gt;0,Skills!H5/Skills!G5,1)+IF(Skills!G5&gt;0,MIN(Skills!H5,MAX(0,MAX(0,Inputs!$B$43-B2031)-((R2002-1)*(IF(Inputs!$B$38="pvp",15,MAX(0.1,Skills!D5-IF(TRUE=TRUE,Inputs!$B$32,0)))*(1-IF(AND(ArtifactsInput!$M$27,Inputs!$B$4="Chapter Hunt"),CHOOSE(ArtifactsInput!$N$27+1,20,24,28,32,36,40),0)/100)))))/Skills!G5,1)))/Inputs!$B$43),G2002*Q2002))*IF(Inputs!$B$38="pvp",1,(1+(Inputs!$B$21+Skills!P5+B2025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3">
      <c r="A2003">
        <f>Skills!A6</f>
        <v/>
      </c>
      <c r="B2003">
        <f>Skills!B6</f>
        <v/>
      </c>
      <c r="C2003">
        <f>Inputs!$B$3&gt;=63</f>
        <v/>
      </c>
      <c r="D2003">
        <f>IF(Skills!C6=1,60+Inputs!$B$25+Inputs!$B$29,IF(Skills!C6=2,90+Inputs!$B$26+Inputs!$B$29,IF(Skills!C6=3,120+Inputs!$B$27+Inputs!$B$29,MAX(0,(Inputs!$B$3-100)*3)+Inputs!$B$28+Inputs!$B$29)))</f>
        <v/>
      </c>
      <c r="E2003">
        <f>INDEX(FactorTable!$B$2:$Y$301, MATCH(ROUND(MIN(300,MAX(1,D2003)),0), FactorTable!$A$2:$A$301,0), Skills!L6+1)</f>
        <v/>
      </c>
      <c r="F2003">
        <f>IF(Skills!M6=TRUE,(Skills!K6/10)*(E2003/1000),Skills!K6/10)+Skills!N6</f>
        <v/>
      </c>
      <c r="G2003">
        <f>Calc!G6</f>
        <v/>
      </c>
      <c r="H2003">
        <f>Calc!H6</f>
        <v/>
      </c>
      <c r="I2003">
        <f>IF(Skills!T6&lt;&gt;"",1+(Skills!T6/10)*(Z2000/1000)/100,1)</f>
        <v/>
      </c>
      <c r="J2003">
        <f>((Inputs!$B$6*(1+Inputs!$B$7/100))+(((Inputs!$B$12*(1+Inputs!$B$13/100))-(Inputs!$B$12*(1+Inputs!$B$13/100)))+0.25*(Inputs!$B$14-Inputs!$B$14))*(1+Inputs!$B$7/100))*(F2003/100)</f>
        <v/>
      </c>
      <c r="K2003">
        <f>J2003*(1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6="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2003)</f>
        <v/>
      </c>
      <c r="L2003">
        <f>K2003*(MIN(Inputs!$B$22+(F2015-Calc!F18),(Inputs!$B$23+(IF(ArtifactsInput!$M$15,CHOOSE(ArtifactsInput!$N$15+1,25,30,35,40,45,50)/100*(Inputs!$B$11-Inputs!$B$11),0))))/100+(Inputs!$B$23+(IF(ArtifactsInput!$M$15,CHOOSE(ArtifactsInput!$N$15+1,25,30,35,40,45,50)/100*(Inputs!$B$11-Inputs!$B$11),0)))/100)/2</f>
        <v/>
      </c>
      <c r="M2003">
        <f>L2003*(1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3">
        <f>L2003*(1-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2003*(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3">
        <f>(1-Summary!$B$11)*S2003+Summary!$B$11*U2003</f>
        <v/>
      </c>
      <c r="P2003">
        <f>IF(B2034=0,0,O2003/B2034)</f>
        <v/>
      </c>
      <c r="Q2003">
        <f>IFERROR(1/(IF(Inputs!$B$38="pvp",15,MAX(0.1,Skills!D6-IF(TRUE=TRUE,Inputs!$B$32,0)))*(1-IF(AND(ArtifactsInput!$M$27,Inputs!$B$4="Chapter Hunt"),CHOOSE(ArtifactsInput!$N$27+1,20,24,28,32,36,40),0)/100)),0)</f>
        <v/>
      </c>
      <c r="R2003">
        <f>IF(AND(Inputs!$B$38&lt;&gt;"pvp",Inputs!$B$43&gt;0),IF(MAX(0,Inputs!$B$43-B2031)&lt;=0,0,(INT(MAX(0,Inputs!$B$43-B2031)/(IF(Inputs!$B$38="pvp",15,MAX(0.1,Skills!D6-IF(TRUE=TRUE,Inputs!$B$32,0)))*(1-IF(AND(ArtifactsInput!$M$27,Inputs!$B$4="Chapter Hunt"),CHOOSE(ArtifactsInput!$N$27+1,20,24,28,32,36,40),0)/100)))+1)),0)</f>
        <v/>
      </c>
      <c r="S2003">
        <f>IF(C2003,(H2003*N2003*IF(AND(Inputs!$B$38&lt;&gt;"pvp",Inputs!$B$43&gt;0),((Skills!F6*((R2003-1)*IF(Skills!G6&gt;0,Skills!H6/Skills!G6,1)+IF(Skills!G6&gt;0,MIN(Skills!H6,MAX(0,MAX(0,Inputs!$B$43-B2031)-((R2003-1)*(IF(Inputs!$B$38="pvp",15,MAX(0.1,Skills!D6-IF(TRUE=TRUE,Inputs!$B$32,0)))*(1-IF(AND(ArtifactsInput!$M$27,Inputs!$B$4="Chapter Hunt"),CHOOSE(ArtifactsInput!$N$27+1,20,24,28,32,36,40),0)/100)))))/Skills!G6,1)))/Inputs!$B$43),G2003*Q2003))*IF(Inputs!$B$38="pvp",1,1+(Inputs!$B$20+Skills!O6+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2003*(1-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2003*(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2003*(1-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2003*(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3">
        <f>IF(C2003,(H2003*N2003*IF(AND(Inputs!$B$38&lt;&gt;"pvp",Inputs!$B$43&gt;0),((Skills!F6*((R2003-1)*IF(Skills!G6&gt;0,Skills!H6/Skills!G6,1)+IF(Skills!G6&gt;0,MIN(Skills!H6,MAX(0,MAX(0,Inputs!$B$43-B2031)-((R2003-1)*(IF(Inputs!$B$38="pvp",15,MAX(0.1,Skills!D6-IF(TRUE=TRUE,Inputs!$B$32,0)))*(1-IF(AND(ArtifactsInput!$M$27,Inputs!$B$4="Chapter Hunt"),CHOOSE(ArtifactsInput!$N$27+1,20,24,28,32,36,40),0)/100)))))/Skills!G6,1)))/Inputs!$B$43),G2003*Q2003))*IF(Inputs!$B$38="pvp",1,(1+(Inputs!$B$21+Skills!P6+B2025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4">
      <c r="A2004">
        <f>Skills!A7</f>
        <v/>
      </c>
      <c r="B2004">
        <f>Skills!B7</f>
        <v/>
      </c>
      <c r="C2004">
        <f>Inputs!$B$3&gt;=69</f>
        <v/>
      </c>
      <c r="D2004">
        <f>IF(Skills!C7=1,60+Inputs!$B$25+Inputs!$B$29,IF(Skills!C7=2,90+Inputs!$B$26+Inputs!$B$29,IF(Skills!C7=3,120+Inputs!$B$27+Inputs!$B$29,MAX(0,(Inputs!$B$3-100)*3)+Inputs!$B$28+Inputs!$B$29)))</f>
        <v/>
      </c>
      <c r="E2004">
        <f>INDEX(FactorTable!$B$2:$Y$301, MATCH(ROUND(MIN(300,MAX(1,D2004)),0), FactorTable!$A$2:$A$301,0), Skills!L7+1)</f>
        <v/>
      </c>
      <c r="F2004">
        <f>IF(Skills!M7=TRUE,(Skills!K7/10)*(E2004/1000),Skills!K7/10)+Skills!N7</f>
        <v/>
      </c>
      <c r="G2004">
        <f>Calc!G7</f>
        <v/>
      </c>
      <c r="H2004">
        <f>Calc!H7</f>
        <v/>
      </c>
      <c r="I2004">
        <f>IF(Skills!T7&lt;&gt;"",1+(Skills!T7/10)*(Z2000/1000)/100,1)</f>
        <v/>
      </c>
      <c r="J2004">
        <f>((Inputs!$B$6*(1+Inputs!$B$7/100))+(((Inputs!$B$12*(1+Inputs!$B$13/100))-(Inputs!$B$12*(1+Inputs!$B$13/100)))+0.25*(Inputs!$B$14-Inputs!$B$14))*(1+Inputs!$B$7/100))*(F2004/100)</f>
        <v/>
      </c>
      <c r="K2004">
        <f>J2004*(1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7="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2004)</f>
        <v/>
      </c>
      <c r="L2004">
        <f>K2004*(MIN(Inputs!$B$22+(F2015-Calc!F18),(Inputs!$B$23+(IF(ArtifactsInput!$M$15,CHOOSE(ArtifactsInput!$N$15+1,25,30,35,40,45,50)/100*(Inputs!$B$11-Inputs!$B$11),0))))/100+(Inputs!$B$23+(IF(ArtifactsInput!$M$15,CHOOSE(ArtifactsInput!$N$15+1,25,30,35,40,45,50)/100*(Inputs!$B$11-Inputs!$B$11),0)))/100)/2</f>
        <v/>
      </c>
      <c r="M2004">
        <f>L2004*(1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4">
        <f>L2004*(1-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2004*(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4">
        <f>(1-Summary!$B$11)*S2004+Summary!$B$11*U2004</f>
        <v/>
      </c>
      <c r="P2004">
        <f>IF(B2034=0,0,O2004/B2034)</f>
        <v/>
      </c>
      <c r="Q2004">
        <f>IFERROR(1/(IF(Inputs!$B$38="pvp",15,MAX(0.1,Skills!D7-IF(TRUE=TRUE,Inputs!$B$32,0)))*(1-IF(AND(ArtifactsInput!$M$27,Inputs!$B$4="Chapter Hunt"),CHOOSE(ArtifactsInput!$N$27+1,20,24,28,32,36,40),0)/100)),0)</f>
        <v/>
      </c>
      <c r="R2004">
        <f>IF(AND(Inputs!$B$38&lt;&gt;"pvp",Inputs!$B$43&gt;0),IF(MAX(0,Inputs!$B$43-B2031)&lt;=0,0,(INT(MAX(0,Inputs!$B$43-B2031)/(IF(Inputs!$B$38="pvp",15,MAX(0.1,Skills!D7-IF(TRUE=TRUE,Inputs!$B$32,0)))*(1-IF(AND(ArtifactsInput!$M$27,Inputs!$B$4="Chapter Hunt"),CHOOSE(ArtifactsInput!$N$27+1,20,24,28,32,36,40),0)/100)))+1)),0)</f>
        <v/>
      </c>
      <c r="S2004">
        <f>IF(C2004,(H2004*N2004*IF(AND(Inputs!$B$38&lt;&gt;"pvp",Inputs!$B$43&gt;0),((Skills!F7*((R2004-1)*IF(Skills!G7&gt;0,Skills!H7/Skills!G7,1)+IF(Skills!G7&gt;0,MIN(Skills!H7,MAX(0,MAX(0,Inputs!$B$43-B2031)-((R2004-1)*(IF(Inputs!$B$38="pvp",15,MAX(0.1,Skills!D7-IF(TRUE=TRUE,Inputs!$B$32,0)))*(1-IF(AND(ArtifactsInput!$M$27,Inputs!$B$4="Chapter Hunt"),CHOOSE(ArtifactsInput!$N$27+1,20,24,28,32,36,40),0)/100)))))/Skills!G7,1)))/Inputs!$B$43),G2004*Q2004))*IF(Inputs!$B$38="pvp",1,1+(Inputs!$B$20+Skills!O7+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2004*(1-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2004*(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2004*(1-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2004*(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4">
        <f>IF(C2004,(H2004*N2004*IF(AND(Inputs!$B$38&lt;&gt;"pvp",Inputs!$B$43&gt;0),((Skills!F7*((R2004-1)*IF(Skills!G7&gt;0,Skills!H7/Skills!G7,1)+IF(Skills!G7&gt;0,MIN(Skills!H7,MAX(0,MAX(0,Inputs!$B$43-B2031)-((R2004-1)*(IF(Inputs!$B$38="pvp",15,MAX(0.1,Skills!D7-IF(TRUE=TRUE,Inputs!$B$32,0)))*(1-IF(AND(ArtifactsInput!$M$27,Inputs!$B$4="Chapter Hunt"),CHOOSE(ArtifactsInput!$N$27+1,20,24,28,32,36,40),0)/100)))))/Skills!G7,1)))/Inputs!$B$43),G2004*Q2004))*IF(Inputs!$B$38="pvp",1,(1+(Inputs!$B$21+Skills!P7+B2025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5">
      <c r="A2005">
        <f>Skills!A8</f>
        <v/>
      </c>
      <c r="B2005">
        <f>Skills!B8</f>
        <v/>
      </c>
      <c r="C2005">
        <f>Inputs!$B$3&gt;=103</f>
        <v/>
      </c>
      <c r="D2005">
        <f>IF(Skills!C8=1,60+Inputs!$B$25+Inputs!$B$29,IF(Skills!C8=2,90+Inputs!$B$26+Inputs!$B$29,IF(Skills!C8=3,120+Inputs!$B$27+Inputs!$B$29,MAX(0,(Inputs!$B$3-100)*3)+Inputs!$B$28+Inputs!$B$29)))</f>
        <v/>
      </c>
      <c r="E2005">
        <f>INDEX(FactorTable!$B$2:$Y$301, MATCH(ROUND(MIN(300,MAX(1,D2005)),0), FactorTable!$A$2:$A$301,0), Skills!L8+1)</f>
        <v/>
      </c>
      <c r="F2005">
        <f>IF(Skills!M8=TRUE,(Skills!K8/10)*(E2005/1000),Skills!K8/10)+Skills!N8</f>
        <v/>
      </c>
      <c r="G2005">
        <f>Calc!G8</f>
        <v/>
      </c>
      <c r="H2005">
        <f>Calc!H8</f>
        <v/>
      </c>
      <c r="I2005">
        <f>IF(Skills!T8&lt;&gt;"",1+(Skills!T8/10)*(Z2000/1000)/100,1)</f>
        <v/>
      </c>
      <c r="J2005">
        <f>((Inputs!$B$6*(1+Inputs!$B$7/100))+(((Inputs!$B$12*(1+Inputs!$B$13/100))-(Inputs!$B$12*(1+Inputs!$B$13/100)))+0.25*(Inputs!$B$14-Inputs!$B$14))*(1+Inputs!$B$7/100))*(F2005/100)</f>
        <v/>
      </c>
      <c r="K2005">
        <f>J2005*(1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8="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2005)</f>
        <v/>
      </c>
      <c r="L2005">
        <f>K2005*(MIN(Inputs!$B$22+(F2015-Calc!F18),(Inputs!$B$23+(IF(ArtifactsInput!$M$15,CHOOSE(ArtifactsInput!$N$15+1,25,30,35,40,45,50)/100*(Inputs!$B$11-Inputs!$B$11),0))))/100+(Inputs!$B$23+(IF(ArtifactsInput!$M$15,CHOOSE(ArtifactsInput!$N$15+1,25,30,35,40,45,50)/100*(Inputs!$B$11-Inputs!$B$11),0)))/100)/2</f>
        <v/>
      </c>
      <c r="M2005">
        <f>L2005*(1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5">
        <f>L2005*(1-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2005*(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5">
        <f>(1-Summary!$B$11)*S2005+Summary!$B$11*U2005</f>
        <v/>
      </c>
      <c r="P2005">
        <f>IF(B2034=0,0,O2005/B2034)</f>
        <v/>
      </c>
      <c r="Q2005">
        <f>IFERROR(1/(IF(Inputs!$B$38="pvp",15,MAX(0.1,Skills!D8-IF(TRUE=TRUE,Inputs!$B$32,0)))*(1-IF(AND(ArtifactsInput!$M$27,Inputs!$B$4="Chapter Hunt"),CHOOSE(ArtifactsInput!$N$27+1,20,24,28,32,36,40),0)/100)),0)</f>
        <v/>
      </c>
      <c r="R2005">
        <f>IF(AND(Inputs!$B$38&lt;&gt;"pvp",Inputs!$B$43&gt;0),IF(MAX(0,Inputs!$B$43-B2031)&lt;=0,0,(INT(MAX(0,Inputs!$B$43-B2031)/(IF(Inputs!$B$38="pvp",15,MAX(0.1,Skills!D8-IF(TRUE=TRUE,Inputs!$B$32,0)))*(1-IF(AND(ArtifactsInput!$M$27,Inputs!$B$4="Chapter Hunt"),CHOOSE(ArtifactsInput!$N$27+1,20,24,28,32,36,40),0)/100)))+1)),0)</f>
        <v/>
      </c>
      <c r="S2005">
        <f>IF(C2005,(H2005*N2005*IF(AND(Inputs!$B$38&lt;&gt;"pvp",Inputs!$B$43&gt;0),((Skills!F8*((R2005-1)*IF(Skills!G8&gt;0,Skills!H8/Skills!G8,1)+IF(Skills!G8&gt;0,MIN(Skills!H8,MAX(0,MAX(0,Inputs!$B$43-B2031)-((R2005-1)*(IF(Inputs!$B$38="pvp",15,MAX(0.1,Skills!D8-IF(TRUE=TRUE,Inputs!$B$32,0)))*(1-IF(AND(ArtifactsInput!$M$27,Inputs!$B$4="Chapter Hunt"),CHOOSE(ArtifactsInput!$N$27+1,20,24,28,32,36,40),0)/100)))))/Skills!G8,1)))/Inputs!$B$43),G2005*Q2005))*IF(Inputs!$B$38="pvp",1,1+(Inputs!$B$20+Skills!O8+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2005*(1-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2005*(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2005*(1-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2005*(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5">
        <f>IF(C2005,(H2005*N2005*IF(AND(Inputs!$B$38&lt;&gt;"pvp",Inputs!$B$43&gt;0),((Skills!F8*((R2005-1)*IF(Skills!G8&gt;0,Skills!H8/Skills!G8,1)+IF(Skills!G8&gt;0,MIN(Skills!H8,MAX(0,MAX(0,Inputs!$B$43-B2031)-((R2005-1)*(IF(Inputs!$B$38="pvp",15,MAX(0.1,Skills!D8-IF(TRUE=TRUE,Inputs!$B$32,0)))*(1-IF(AND(ArtifactsInput!$M$27,Inputs!$B$4="Chapter Hunt"),CHOOSE(ArtifactsInput!$N$27+1,20,24,28,32,36,40),0)/100)))))/Skills!G8,1)))/Inputs!$B$43),G2005*Q2005))*IF(Inputs!$B$38="pvp",1,(1+(Inputs!$B$21+Skills!P8+B2025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6">
      <c r="A2006">
        <f>Skills!A9</f>
        <v/>
      </c>
      <c r="B2006">
        <f>Skills!B9</f>
        <v/>
      </c>
      <c r="C2006">
        <f>Inputs!$B$3&gt;=105</f>
        <v/>
      </c>
      <c r="D2006">
        <f>IF(Skills!C9=1,60+Inputs!$B$25+Inputs!$B$29,IF(Skills!C9=2,90+Inputs!$B$26+Inputs!$B$29,IF(Skills!C9=3,120+Inputs!$B$27+Inputs!$B$29,MAX(0,(Inputs!$B$3-100)*3)+Inputs!$B$28+Inputs!$B$29)))</f>
        <v/>
      </c>
      <c r="E2006">
        <f>INDEX(FactorTable!$B$2:$Y$301, MATCH(ROUND(MIN(300,MAX(1,D2006)),0), FactorTable!$A$2:$A$301,0), Skills!L9+1)</f>
        <v/>
      </c>
      <c r="F2006">
        <f>IF(Skills!M9=TRUE,(Skills!K9/10)*(E2006/1000),Skills!K9/10)+Skills!N9</f>
        <v/>
      </c>
      <c r="G2006">
        <f>Calc!G9</f>
        <v/>
      </c>
      <c r="H2006">
        <f>Calc!H9</f>
        <v/>
      </c>
      <c r="I2006">
        <f>IF(Skills!T9&lt;&gt;"",1+(Skills!T9/10)*(Z2000/1000)/100,1)</f>
        <v/>
      </c>
      <c r="J2006">
        <f>((Inputs!$B$6*(1+Inputs!$B$7/100))+(((Inputs!$B$12*(1+Inputs!$B$13/100))-(Inputs!$B$12*(1+Inputs!$B$13/100)))+0.25*(Inputs!$B$14-Inputs!$B$14))*(1+Inputs!$B$7/100))*(F2006/100)</f>
        <v/>
      </c>
      <c r="K2006">
        <f>J2006*(1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9="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2006)</f>
        <v/>
      </c>
      <c r="L2006">
        <f>K2006*(MIN(Inputs!$B$22+(F2015-Calc!F18),(Inputs!$B$23+(IF(ArtifactsInput!$M$15,CHOOSE(ArtifactsInput!$N$15+1,25,30,35,40,45,50)/100*(Inputs!$B$11-Inputs!$B$11),0))))/100+(Inputs!$B$23+(IF(ArtifactsInput!$M$15,CHOOSE(ArtifactsInput!$N$15+1,25,30,35,40,45,50)/100*(Inputs!$B$11-Inputs!$B$11),0)))/100)/2</f>
        <v/>
      </c>
      <c r="M2006">
        <f>L2006*(1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6">
        <f>L2006*(1-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2006*(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6">
        <f>(1-Summary!$B$11)*S2006+Summary!$B$11*U2006</f>
        <v/>
      </c>
      <c r="P2006">
        <f>IF(B2034=0,0,O2006/B2034)</f>
        <v/>
      </c>
      <c r="Q2006">
        <f>IFERROR(1/(IF(Inputs!$B$38="pvp",15,MAX(0.1,Skills!D9-IF(TRUE=TRUE,Inputs!$B$32,0)))*(1-IF(AND(ArtifactsInput!$M$27,Inputs!$B$4="Chapter Hunt"),CHOOSE(ArtifactsInput!$N$27+1,20,24,28,32,36,40),0)/100)),0)</f>
        <v/>
      </c>
      <c r="R2006">
        <f>IF(AND(Inputs!$B$38&lt;&gt;"pvp",Inputs!$B$43&gt;0),IF(MAX(0,Inputs!$B$43-B2031)&lt;=0,0,(INT(MAX(0,Inputs!$B$43-B2031)/(IF(Inputs!$B$38="pvp",15,MAX(0.1,Skills!D9-IF(TRUE=TRUE,Inputs!$B$32,0)))*(1-IF(AND(ArtifactsInput!$M$27,Inputs!$B$4="Chapter Hunt"),CHOOSE(ArtifactsInput!$N$27+1,20,24,28,32,36,40),0)/100)))+1)),0)</f>
        <v/>
      </c>
      <c r="S2006">
        <f>IF(C2006,(H2006*N2006*IF(AND(Inputs!$B$38&lt;&gt;"pvp",Inputs!$B$43&gt;0),((Skills!F9*((R2006-1)*IF(Skills!G9&gt;0,Skills!H9/Skills!G9,1)+IF(Skills!G9&gt;0,MIN(Skills!H9,MAX(0,MAX(0,Inputs!$B$43-B2031)-((R2006-1)*(IF(Inputs!$B$38="pvp",15,MAX(0.1,Skills!D9-IF(TRUE=TRUE,Inputs!$B$32,0)))*(1-IF(AND(ArtifactsInput!$M$27,Inputs!$B$4="Chapter Hunt"),CHOOSE(ArtifactsInput!$N$27+1,20,24,28,32,36,40),0)/100)))))/Skills!G9,1)))/Inputs!$B$43),G2006*Q2006))*IF(Inputs!$B$38="pvp",1,1+(Inputs!$B$20+Skills!O9+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2006*(1-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2006*(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2006*(1-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2006*(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6">
        <f>IF(C2006,(H2006*N2006*IF(AND(Inputs!$B$38&lt;&gt;"pvp",Inputs!$B$43&gt;0),((Skills!F9*((R2006-1)*IF(Skills!G9&gt;0,Skills!H9/Skills!G9,1)+IF(Skills!G9&gt;0,MIN(Skills!H9,MAX(0,MAX(0,Inputs!$B$43-B2031)-((R2006-1)*(IF(Inputs!$B$38="pvp",15,MAX(0.1,Skills!D9-IF(TRUE=TRUE,Inputs!$B$32,0)))*(1-IF(AND(ArtifactsInput!$M$27,Inputs!$B$4="Chapter Hunt"),CHOOSE(ArtifactsInput!$N$27+1,20,24,28,32,36,40),0)/100)))))/Skills!G9,1)))/Inputs!$B$43),G2006*Q2006))*IF(Inputs!$B$38="pvp",1,(1+(Inputs!$B$21+Skills!P9+B2025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7">
      <c r="A2007">
        <f>Skills!A10</f>
        <v/>
      </c>
      <c r="B2007">
        <f>Skills!B10</f>
        <v/>
      </c>
      <c r="C2007">
        <f>Inputs!$B$3&gt;=113</f>
        <v/>
      </c>
      <c r="D2007">
        <f>IF(Skills!C10=1,60+Inputs!$B$25+Inputs!$B$29,IF(Skills!C10=2,90+Inputs!$B$26+Inputs!$B$29,IF(Skills!C10=3,120+Inputs!$B$27+Inputs!$B$29,MAX(0,(Inputs!$B$3-100)*3)+Inputs!$B$28+Inputs!$B$29)))</f>
        <v/>
      </c>
      <c r="E2007">
        <f>INDEX(FactorTable!$B$2:$Y$301, MATCH(ROUND(MIN(300,MAX(1,D2007)),0), FactorTable!$A$2:$A$301,0), Skills!L10+1)</f>
        <v/>
      </c>
      <c r="F2007">
        <f>IF(Skills!M10=TRUE,(Skills!K10/10)*(E2007/1000),Skills!K10/10)+Skills!N10</f>
        <v/>
      </c>
      <c r="G2007">
        <f>Calc!G10</f>
        <v/>
      </c>
      <c r="H2007">
        <f>Calc!H10</f>
        <v/>
      </c>
      <c r="I2007">
        <f>IF(Skills!T10&lt;&gt;"",1+(Skills!T10/10)*(Z2000/1000)/100,1)</f>
        <v/>
      </c>
      <c r="J2007">
        <f>((Inputs!$B$6*(1+Inputs!$B$7/100))+(((Inputs!$B$12*(1+Inputs!$B$13/100))-(Inputs!$B$12*(1+Inputs!$B$13/100)))+0.25*(Inputs!$B$14-Inputs!$B$14))*(1+Inputs!$B$7/100))*(F2007/100)</f>
        <v/>
      </c>
      <c r="K2007">
        <f>J2007*(1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10="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2007)</f>
        <v/>
      </c>
      <c r="L2007">
        <f>K2007*(MIN(Inputs!$B$22+(F2015-Calc!F18),(Inputs!$B$23+(IF(ArtifactsInput!$M$15,CHOOSE(ArtifactsInput!$N$15+1,25,30,35,40,45,50)/100*(Inputs!$B$11-Inputs!$B$11),0))))/100+(Inputs!$B$23+(IF(ArtifactsInput!$M$15,CHOOSE(ArtifactsInput!$N$15+1,25,30,35,40,45,50)/100*(Inputs!$B$11-Inputs!$B$11),0)))/100)/2</f>
        <v/>
      </c>
      <c r="M2007">
        <f>L2007*(1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7">
        <f>L2007*(1-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2007*(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7">
        <f>(1-Summary!$B$11)*S2007+Summary!$B$11*U2007</f>
        <v/>
      </c>
      <c r="P2007">
        <f>IF(B2034=0,0,O2007/B2034)</f>
        <v/>
      </c>
      <c r="Q2007">
        <f>IFERROR(1/(IF(Inputs!$B$38="pvp",15,MAX(0.1,Skills!D10-IF(TRUE=TRUE,Inputs!$B$32,0)))*(1-IF(AND(ArtifactsInput!$M$27,Inputs!$B$4="Chapter Hunt"),CHOOSE(ArtifactsInput!$N$27+1,20,24,28,32,36,40),0)/100)),0)</f>
        <v/>
      </c>
      <c r="R2007" t="n">
        <v>0</v>
      </c>
      <c r="S2007">
        <f>IF(C2007,((H2007*B2035)/(1+Skills!G10*H2007*B2035)*N2007)*IF(Inputs!$B$38="pvp",1,1+(Inputs!$B$20+Skills!O10+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2007*(1-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2007*(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2007*(1-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2007*(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7">
        <f>IF(C2007,((H2007*B2035)/(1+Skills!G10*H2007*B2035)*N2007)*IF(Inputs!$B$38="pvp",1,(1+(Inputs!$B$21+Skills!P10+B2025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8">
      <c r="A2008">
        <f>Skills!A11</f>
        <v/>
      </c>
      <c r="B2008">
        <f>Skills!B11</f>
        <v/>
      </c>
      <c r="C2008">
        <f>Inputs!$B$3&gt;=107</f>
        <v/>
      </c>
      <c r="D2008">
        <f>IF(Skills!C11=1,60+Inputs!$B$25+Inputs!$B$29,IF(Skills!C11=2,90+Inputs!$B$26+Inputs!$B$29,IF(Skills!C11=3,120+Inputs!$B$27+Inputs!$B$29,MAX(0,(Inputs!$B$3-100)*3)+Inputs!$B$28+Inputs!$B$29)))</f>
        <v/>
      </c>
      <c r="E2008">
        <f>INDEX(FactorTable!$B$2:$Y$301, MATCH(ROUND(MIN(300,MAX(1,D2008)),0), FactorTable!$A$2:$A$301,0), Skills!L11+1)</f>
        <v/>
      </c>
      <c r="F2008">
        <f>IF(Skills!M11=TRUE,(Skills!K11/10)*(E2008/1000),Skills!K11/10)+Skills!N11</f>
        <v/>
      </c>
      <c r="G2008">
        <f>Calc!G11</f>
        <v/>
      </c>
      <c r="H2008">
        <f>Calc!H11</f>
        <v/>
      </c>
      <c r="I2008">
        <f>IF(Skills!T11&lt;&gt;"",1+(Skills!T11/10)*(Z2000/1000)/100,1)</f>
        <v/>
      </c>
      <c r="J2008">
        <f>((Inputs!$B$6*(1+Inputs!$B$7/100))+(((Inputs!$B$12*(1+Inputs!$B$13/100))-(Inputs!$B$12*(1+Inputs!$B$13/100)))+0.25*(Inputs!$B$14-Inputs!$B$14))*(1+Inputs!$B$7/100))*(F2008/100)</f>
        <v/>
      </c>
      <c r="K2008">
        <f>J2008*(1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11="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F2015-Calc!F18),(Inputs!$B$23+(IF(ArtifactsInput!$M$15,CHOOSE(ArtifactsInput!$N$15+1,25,30,35,40,45,50)/100*(Inputs!$B$11-Inputs!$B$11),0))))/100+(Inputs!$B$23+(IF(ArtifactsInput!$M$15,CHOOSE(ArtifactsInput!$N$15+1,25,30,35,40,45,50)/100*(Inputs!$B$11-Inputs!$B$11),0)))/100)/2</f>
        <v/>
      </c>
      <c r="M2008">
        <f>L2008*(1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8">
        <f>L2008*(1-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(1-Summary!$B$11)*S2008+Summary!$B$11*U2008</f>
        <v/>
      </c>
      <c r="P2008">
        <f>IF(B2034=0,0,O2008/B2034)</f>
        <v/>
      </c>
      <c r="Q2008">
        <f>IFERROR(1/(IF(Inputs!$B$38="pvp",15,MAX(0.1,Skills!D11-IF(TRUE=TRUE,Inputs!$B$32,0)))*(1-IF(AND(ArtifactsInput!$M$27,Inputs!$B$4="Chapter Hunt"),CHOOSE(ArtifactsInput!$N$27+1,20,24,28,32,36,40),0)/100)),0)</f>
        <v/>
      </c>
      <c r="R2008">
        <f>IF(AND(Inputs!$B$38&lt;&gt;"pvp",Inputs!$B$43&gt;0),IF(MAX(0,Inputs!$B$43-B2031)&lt;=0,0,(INT(MAX(0,Inputs!$B$43-B2031)/(IF(Inputs!$B$38="pvp",15,MAX(0.1,Skills!D11-IF(TRUE=TRUE,Inputs!$B$32,0)))*(1-IF(AND(ArtifactsInput!$M$27,Inputs!$B$4="Chapter Hunt"),CHOOSE(ArtifactsInput!$N$27+1,20,24,28,32,36,40),0)/100)))+1)),0)</f>
        <v/>
      </c>
      <c r="S2008">
        <f>IF(C2008,H2008*N2008*IF(AND(Inputs!$B$38&lt;&gt;"pvp",Inputs!$B$43&gt;0),((Skills!F11*((R2008-1)*IF(Skills!G11&gt;0,Skills!H11/Skills!G11,1)+IF(Skills!G11&gt;0,MIN(Skills!H11,MAX(0,MAX(0,Inputs!$B$43-B2031)-((R2008-1)*(IF(Inputs!$B$38="pvp",15,MAX(0.1,Skills!D11-IF(TRUE=TRUE,Inputs!$B$32,0)))*(1-IF(AND(ArtifactsInput!$M$27,Inputs!$B$4="Chapter Hunt"),CHOOSE(ArtifactsInput!$N$27+1,20,24,28,32,36,40),0)/100)))))/Skills!G11,1)))/Inputs!$B$43),G2008*Q2008)*0.5*IF(Inputs!$B$38="pvp",1,1+(Inputs!$B$20+Skills!O11+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2008*(1-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8">
        <f>IF(C2008,H2008*N2008*IF(AND(Inputs!$B$38&lt;&gt;"pvp",Inputs!$B$43&gt;0),((Skills!F11*((R2008-1)*IF(Skills!G11&gt;0,Skills!H11/Skills!G11,1)+IF(Skills!G11&gt;0,MIN(Skills!H11,MAX(0,MAX(0,Inputs!$B$43-B2031)-((R2008-1)*(IF(Inputs!$B$38="pvp",15,MAX(0.1,Skills!D11-IF(TRUE=TRUE,Inputs!$B$32,0)))*(1-IF(AND(ArtifactsInput!$M$27,Inputs!$B$4="Chapter Hunt"),CHOOSE(ArtifactsInput!$N$27+1,20,24,28,32,36,40),0)/100)))))/Skills!G11,1)))/Inputs!$B$43),G2008*Q2008)*1*IF(Inputs!$B$38="pvp",1,(1+(Inputs!$B$21+Skills!P11+B2025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Skills!A12</f>
        <v/>
      </c>
      <c r="B2009">
        <f>Skills!B12</f>
        <v/>
      </c>
      <c r="C2009">
        <f>Inputs!$B$3&gt;=115</f>
        <v/>
      </c>
      <c r="D2009">
        <f>IF(Skills!C12=1,60+Inputs!$B$25+Inputs!$B$29,IF(Skills!C12=2,90+Inputs!$B$26+Inputs!$B$29,IF(Skills!C12=3,120+Inputs!$B$27+Inputs!$B$29,MAX(0,(Inputs!$B$3-100)*3)+Inputs!$B$28+Inputs!$B$29)))</f>
        <v/>
      </c>
      <c r="E2009">
        <f>INDEX(FactorTable!$B$2:$Y$301, MATCH(ROUND(MIN(300,MAX(1,D2009)),0), FactorTable!$A$2:$A$301,0), Skills!L12+1)</f>
        <v/>
      </c>
      <c r="F2009">
        <f>IF(Skills!M12=TRUE,(Skills!K12/10)*(E2009/1000),Skills!K12/10)+Skills!N12</f>
        <v/>
      </c>
      <c r="G2009">
        <f>Calc!G12</f>
        <v/>
      </c>
      <c r="H2009">
        <f>Calc!H12</f>
        <v/>
      </c>
      <c r="I2009">
        <f>IF(Skills!T12&lt;&gt;"",1+(Skills!T12/10)*(Z2000/1000)/100,1)</f>
        <v/>
      </c>
      <c r="J2009">
        <f>((Inputs!$B$6*(1+Inputs!$B$7/100))+(((Inputs!$B$12*(1+Inputs!$B$13/100))-(Inputs!$B$12*(1+Inputs!$B$13/100)))+0.25*(Inputs!$B$14-Inputs!$B$14))*(1+Inputs!$B$7/100))*(F2009/100)</f>
        <v/>
      </c>
      <c r="K2009">
        <f>J2009*(1+((Inputs!$B$12*(1+Inputs!$B$13/100))*0.01+Inputs!$B$14*0.0025)/100)*(1+(Inputs!$B$15+B2026)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2012=TRUE,F2012,0)/100)*(1+IF(C2020=TRUE,F2020,0)/100)^5*(1+(IF(Skills!A12="CHAIN_LIGHTNING",Inputs!$B$17+((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2024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2009)</f>
        <v/>
      </c>
      <c r="L2009">
        <f>K2009*(MIN(Inputs!$B$22+(F2015-Calc!F18),(Inputs!$B$23+(IF(ArtifactsInput!$M$15,CHOOSE(ArtifactsInput!$N$15+1,25,30,35,40,45,50)/100*(Inputs!$B$11-Inputs!$B$11),0))))/100+(Inputs!$B$23+(IF(ArtifactsInput!$M$15,CHOOSE(ArtifactsInput!$N$15+1,25,30,35,40,45,50)/100*(Inputs!$B$11-Inputs!$B$11),0)))/100)/2</f>
        <v/>
      </c>
      <c r="M2009">
        <f>L2009*(1+(Inputs!$B$10+(F2018-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09">
        <f>L2009*(1-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2009*(MIN((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9">
        <f>(1-Summary!$B$11)*S2009+Summary!$B$11*U2009</f>
        <v/>
      </c>
      <c r="P2009">
        <f>IF(B2034=0,0,O2009/B2034)</f>
        <v/>
      </c>
      <c r="Q2009">
        <f>IFERROR(1/(IF(Inputs!$B$38="pvp",15,MAX(0.1,Skills!D12-IF(TRUE=TRUE,Inputs!$B$32,0)))*(1-IF(AND(ArtifactsInput!$M$27,Inputs!$B$4="Chapter Hunt"),CHOOSE(ArtifactsInput!$N$27+1,20,24,28,32,36,40),0)/100)),0)</f>
        <v/>
      </c>
      <c r="R2009">
        <f>IF(AND(Inputs!$B$38&lt;&gt;"pvp",Inputs!$B$43&gt;0),IF(MAX(0,Inputs!$B$43-B2031)&lt;=0,0,(INT(MAX(0,Inputs!$B$43-B2031)/(IF(Inputs!$B$38="pvp",15,MAX(0.1,Skills!D12-IF(TRUE=TRUE,Inputs!$B$32,0)))*(1-IF(AND(ArtifactsInput!$M$27,Inputs!$B$4="Chapter Hunt"),CHOOSE(ArtifactsInput!$N$27+1,20,24,28,32,36,40),0)/100)))+1)),0)</f>
        <v/>
      </c>
      <c r="S2009">
        <f>IF(C2009,(H2009*N2009*IF(AND(Inputs!$B$38&lt;&gt;"pvp",Inputs!$B$43&gt;0),((Skills!F12*((R2009-1)*IF(Skills!G12&gt;0,Skills!H12/Skills!G12,1)+IF(Skills!G12&gt;0,MIN(Skills!H12,MAX(0,MAX(0,Inputs!$B$43-B2031)-((R2009-1)*(IF(Inputs!$B$38="pvp",15,MAX(0.1,Skills!D12-IF(TRUE=TRUE,Inputs!$B$32,0)))*(1-IF(AND(ArtifactsInput!$M$27,Inputs!$B$4="Chapter Hunt"),CHOOSE(ArtifactsInput!$N$27+1,20,24,28,32,36,40),0)/100)))))/Skills!G12,1)))/Inputs!$B$43),G2009*Q2009))*IF(Inputs!$B$38="pvp",1,1+(Inputs!$B$20+Skills!O12+B2025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2009*(1-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2009*(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2009*(1-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2009*(MIN(100,(Inputs!$B$9+((F2017-Calc!F20)+(F2016-Calc!F19))+(ArtifactsInput!$M$24-ArtifactsInput!$M$24)*CHOOSE(ArtifactsInput!$N$24+1,10,12,14,16,18,20)+(IF(AND(Inputs!$B$38&lt;&gt;"pvp",Inputs!$B$43=0),1,IF(IF(Inputs!$B$38="pvp",15,Inputs!$B$43)-(B2031)&lt;=0,1,MAX(0,IF(Inputs!$B$38="pvp",15,Inputs!$B$43)-MAX(5,B2031))/(IF(Inputs!$B$38="pvp",15,Inputs!$B$43)-(B2031)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9">
        <f>IF(C2009,(H2009*N2009*IF(AND(Inputs!$B$38&lt;&gt;"pvp",Inputs!$B$43&gt;0),((Skills!F12*((R2009-1)*IF(Skills!G12&gt;0,Skills!H12/Skills!G12,1)+IF(Skills!G12&gt;0,MIN(Skills!H12,MAX(0,MAX(0,Inputs!$B$43-B2031)-((R2009-1)*(IF(Inputs!$B$38="pvp",15,MAX(0.1,Skills!D12-IF(TRUE=TRUE,Inputs!$B$32,0)))*(1-IF(AND(ArtifactsInput!$M$27,Inputs!$B$4="Chapter Hunt"),CHOOSE(ArtifactsInput!$N$27+1,20,24,28,32,36,40),0)/100)))))/Skills!G12,1)))/Inputs!$B$43),G2009*Q2009))*IF(Inputs!$B$38="pvp",1,(1+(Inputs!$B$21+Skills!P12+B2025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0">
      <c r="A2010">
        <f>Skills!A13</f>
        <v/>
      </c>
      <c r="B2010">
        <f>Skills!B13</f>
        <v/>
      </c>
      <c r="C2010">
        <f>Inputs!$B$3&gt;=49</f>
        <v/>
      </c>
      <c r="D2010">
        <f>IF(Skills!C13=1,60+Inputs!$B$25+Inputs!$B$29,IF(Skills!C13=2,90+Inputs!$B$26+Inputs!$B$29,IF(Skills!C13=3,120+Inputs!$B$27+Inputs!$B$29,MAX(0,(Inputs!$B$3-100)*3)+Inputs!$B$28+Inputs!$B$29)))</f>
        <v/>
      </c>
      <c r="E2010">
        <f>INDEX(FactorTable!$B$2:$Y$301, MATCH(ROUND(MIN(300,MAX(1,D2010)),0), FactorTable!$A$2:$A$301,0), Skills!L13+1)</f>
        <v/>
      </c>
      <c r="F2010">
        <f>IF(Skills!M13=TRUE,(Skills!K13/10)*(E2010/1000),Skills!K13/10)+Skills!N13</f>
        <v/>
      </c>
      <c r="G2010">
        <f>Calc!G13</f>
        <v/>
      </c>
      <c r="H2010">
        <f>Calc!H13</f>
        <v/>
      </c>
      <c r="I2010">
        <f>IF(Skills!T13&lt;&gt;"",1+(Skills!T13/10)*(Z2000/1000)/100,1)</f>
        <v/>
      </c>
      <c r="J2010" t="inlineStr"/>
      <c r="K2010" t="inlineStr"/>
      <c r="L2010" t="inlineStr"/>
      <c r="M2010" t="inlineStr"/>
      <c r="N2010" t="inlineStr"/>
      <c r="O2010">
        <f>(1-Summary!$B$11)*S2010+Summary!$B$11*U2010</f>
        <v/>
      </c>
      <c r="P2010">
        <f>IF(B2034=0,0,O2010/B2034)</f>
        <v/>
      </c>
      <c r="Q2010">
        <f>IFERROR(1/(IF(Inputs!$B$38="pvp",15,MAX(0.1,Skills!D13-IF(TRUE=TRUE,Inputs!$B$32,0)))*(1-IF(AND(ArtifactsInput!$M$27,Inputs!$B$4="Chapter Hunt"),CHOOSE(ArtifactsInput!$N$27+1,20,24,28,32,36,40),0)/100)),0)</f>
        <v/>
      </c>
      <c r="R2010" t="n">
        <v>0</v>
      </c>
      <c r="S2010" t="n">
        <v>0</v>
      </c>
      <c r="U2010" t="n">
        <v>0</v>
      </c>
    </row>
    <row r="2011">
      <c r="A2011">
        <f>Skills!A14</f>
        <v/>
      </c>
      <c r="B2011">
        <f>Skills!B14</f>
        <v/>
      </c>
      <c r="C2011">
        <f>Inputs!$B$3&gt;=72</f>
        <v/>
      </c>
      <c r="D2011">
        <f>IF(Skills!C14=1,60+Inputs!$B$25+Inputs!$B$29,IF(Skills!C14=2,90+Inputs!$B$26+Inputs!$B$29,IF(Skills!C14=3,120+Inputs!$B$27+Inputs!$B$29,MAX(0,(Inputs!$B$3-100)*3)+Inputs!$B$28+Inputs!$B$29)))</f>
        <v/>
      </c>
      <c r="E2011">
        <f>INDEX(FactorTable!$B$2:$Y$301, MATCH(ROUND(MIN(300,MAX(1,D2011)),0), FactorTable!$A$2:$A$301,0), Skills!L14+1)</f>
        <v/>
      </c>
      <c r="F2011">
        <f>IF(Skills!M14=TRUE,(Skills!K14/10)*(E2011/1000),Skills!K14/10)+Skills!N14</f>
        <v/>
      </c>
      <c r="G2011">
        <f>Calc!G14</f>
        <v/>
      </c>
      <c r="H2011">
        <f>Calc!H14</f>
        <v/>
      </c>
      <c r="I2011">
        <f>IF(Skills!T14&lt;&gt;"",1+(Skills!T14/10)*(Z2000/1000)/100,1)</f>
        <v/>
      </c>
      <c r="J2011" t="inlineStr"/>
      <c r="K2011" t="inlineStr"/>
      <c r="L2011" t="inlineStr"/>
      <c r="M2011" t="inlineStr"/>
      <c r="N2011" t="inlineStr"/>
      <c r="O2011">
        <f>(1-Summary!$B$11)*S2011+Summary!$B$11*U2011</f>
        <v/>
      </c>
      <c r="P2011">
        <f>IF(B2034=0,0,O2011/B2034)</f>
        <v/>
      </c>
      <c r="Q2011">
        <f>IFERROR(1/(IF(Inputs!$B$38="pvp",15,MAX(0.1,Skills!D14-IF(TRUE=TRUE,Inputs!$B$32,0)))*(1-IF(AND(ArtifactsInput!$M$27,Inputs!$B$4="Chapter Hunt"),CHOOSE(ArtifactsInput!$N$27+1,20,24,28,32,36,40),0)/100)),0)</f>
        <v/>
      </c>
      <c r="R2011" t="n">
        <v>0</v>
      </c>
      <c r="S2011" t="n">
        <v>0</v>
      </c>
      <c r="U2011" t="n">
        <v>0</v>
      </c>
    </row>
    <row r="2012">
      <c r="A2012">
        <f>Skills!A15</f>
        <v/>
      </c>
      <c r="B2012">
        <f>Skills!B15</f>
        <v/>
      </c>
      <c r="C2012">
        <f>Inputs!$B$3&gt;=75</f>
        <v/>
      </c>
      <c r="D2012">
        <f>IF(Skills!C15=1,60+Inputs!$B$25+Inputs!$B$29,IF(Skills!C15=2,90+Inputs!$B$26+Inputs!$B$29,IF(Skills!C15=3,120+Inputs!$B$27+Inputs!$B$29,MAX(0,(Inputs!$B$3-100)*3)+Inputs!$B$28+Inputs!$B$29)))</f>
        <v/>
      </c>
      <c r="E2012">
        <f>INDEX(FactorTable!$B$2:$Y$301, MATCH(ROUND(MIN(300,MAX(1,D2012)),0), FactorTable!$A$2:$A$301,0), Skills!L15+1)</f>
        <v/>
      </c>
      <c r="F2012">
        <f>IF(Skills!M15=TRUE,(Skills!K15/10)*(E2012/1000),Skills!K15/10)+Skills!N15</f>
        <v/>
      </c>
      <c r="G2012">
        <f>Calc!G15</f>
        <v/>
      </c>
      <c r="H2012">
        <f>Calc!H15</f>
        <v/>
      </c>
      <c r="I2012">
        <f>IF(Skills!T15&lt;&gt;"",1+(Skills!T15/10)*(Z2000/1000)/100,1)</f>
        <v/>
      </c>
      <c r="J2012" t="inlineStr"/>
      <c r="K2012" t="inlineStr"/>
      <c r="L2012" t="inlineStr"/>
      <c r="M2012" t="inlineStr"/>
      <c r="N2012" t="inlineStr"/>
      <c r="O2012">
        <f>(1-Summary!$B$11)*S2012+Summary!$B$11*U2012</f>
        <v/>
      </c>
      <c r="P2012">
        <f>IF(B2034=0,0,O2012/B2034)</f>
        <v/>
      </c>
      <c r="Q2012">
        <f>IFERROR(1/(IF(Inputs!$B$38="pvp",15,MAX(0.1,Skills!D15-IF(TRUE=TRUE,Inputs!$B$32,0)))*(1-IF(AND(ArtifactsInput!$M$27,Inputs!$B$4="Chapter Hunt"),CHOOSE(ArtifactsInput!$N$27+1,20,24,28,32,36,40),0)/100)),0)</f>
        <v/>
      </c>
      <c r="R2012" t="n">
        <v>0</v>
      </c>
      <c r="S2012" t="n">
        <v>0</v>
      </c>
      <c r="U2012" t="n">
        <v>0</v>
      </c>
    </row>
    <row r="2013">
      <c r="A2013">
        <f>Skills!A16</f>
        <v/>
      </c>
      <c r="B2013">
        <f>Skills!B16</f>
        <v/>
      </c>
      <c r="C2013">
        <f>Inputs!$B$3&gt;=110</f>
        <v/>
      </c>
      <c r="D2013">
        <f>IF(Skills!C16=1,60+Inputs!$B$25+Inputs!$B$29,IF(Skills!C16=2,90+Inputs!$B$26+Inputs!$B$29,IF(Skills!C16=3,120+Inputs!$B$27+Inputs!$B$29,MAX(0,(Inputs!$B$3-100)*3)+Inputs!$B$28+Inputs!$B$29)))</f>
        <v/>
      </c>
      <c r="E2013">
        <f>INDEX(FactorTable!$B$2:$Y$301, MATCH(ROUND(MIN(300,MAX(1,D2013)),0), FactorTable!$A$2:$A$301,0), Skills!L16+1)</f>
        <v/>
      </c>
      <c r="F2013">
        <f>(Skills!K16/10)*(E2013/1000)*64/45+Skills!N16</f>
        <v/>
      </c>
      <c r="G2013">
        <f>Calc!G16</f>
        <v/>
      </c>
      <c r="H2013">
        <f>Calc!H16</f>
        <v/>
      </c>
      <c r="I2013">
        <f>IF(Skills!T16&lt;&gt;"",1+(Skills!T16/10)*(Z2000/1000)/100,1)</f>
        <v/>
      </c>
      <c r="J2013" t="inlineStr"/>
      <c r="K2013" t="inlineStr"/>
      <c r="L2013" t="inlineStr"/>
      <c r="M2013" t="inlineStr"/>
      <c r="N2013" t="inlineStr"/>
      <c r="O2013">
        <f>(1-Summary!$B$11)*S2013+Summary!$B$11*U2013</f>
        <v/>
      </c>
      <c r="P2013">
        <f>IF(B2034=0,0,O2013/B2034)</f>
        <v/>
      </c>
      <c r="Q2013">
        <f>IFERROR(1/(IF(Inputs!$B$38="pvp",15,MAX(0.1,Skills!D16-IF(TRUE=TRUE,Inputs!$B$32,0)))*(1-IF(AND(ArtifactsInput!$M$27,Inputs!$B$4="Chapter Hunt"),CHOOSE(ArtifactsInput!$N$27+1,20,24,28,32,36,40),0)/100)),0)</f>
        <v/>
      </c>
      <c r="R2013">
        <f>IF(AND(Inputs!$B$38&lt;&gt;"pvp",Inputs!$B$43&gt;0),IF(Inputs!$B$43&lt;=0,0,(INT(Inputs!$B$43/(IF(Inputs!$B$38="pvp",15,MAX(0.1,Skills!D16-IF(TRUE=TRUE,Inputs!$B$32,0)))*(1-IF(AND(ArtifactsInput!$M$27,Inputs!$B$4="Chapter Hunt"),CHOOSE(ArtifactsInput!$N$27+1,20,24,28,32,36,40),0)/100)))+1)),0)</f>
        <v/>
      </c>
      <c r="S2013" t="n">
        <v>0</v>
      </c>
      <c r="U2013" t="n">
        <v>0</v>
      </c>
    </row>
    <row r="2014">
      <c r="A2014">
        <f>Skills!A17</f>
        <v/>
      </c>
      <c r="B2014">
        <f>Skills!B17</f>
        <v/>
      </c>
      <c r="C2014">
        <f>Inputs!$B$3&gt;=33</f>
        <v/>
      </c>
      <c r="D2014">
        <f>IF(Skills!C17=1,60+Inputs!$B$25+Inputs!$B$29,IF(Skills!C17=2,90+Inputs!$B$26+Inputs!$B$29,IF(Skills!C17=3,120+Inputs!$B$27+Inputs!$B$29,MAX(0,(Inputs!$B$3-100)*3)+Inputs!$B$28+Inputs!$B$29)))</f>
        <v/>
      </c>
      <c r="E2014">
        <f>INDEX(FactorTable!$B$2:$Y$301, MATCH(ROUND(MIN(300,MAX(1,D2014)),0), FactorTable!$A$2:$A$301,0), Skills!L17+1)</f>
        <v/>
      </c>
      <c r="F2014">
        <f>IF(Skills!M17=TRUE,(Skills!K17/10)*(E2014/1000),Skills!K17/10)+Skills!N17</f>
        <v/>
      </c>
      <c r="G2014">
        <f>Calc!G17</f>
        <v/>
      </c>
      <c r="H2014">
        <f>Calc!H17</f>
        <v/>
      </c>
      <c r="I2014">
        <f>IF(Skills!T17&lt;&gt;"",1+(Skills!T17/10)*(Z2000/1000)/100,1)</f>
        <v/>
      </c>
      <c r="J2014" t="inlineStr"/>
      <c r="K2014" t="inlineStr"/>
      <c r="L2014" t="inlineStr"/>
      <c r="M2014" t="inlineStr"/>
      <c r="N2014" t="inlineStr"/>
      <c r="O2014">
        <f>(1-Summary!$B$11)*S2014+Summary!$B$11*U2014</f>
        <v/>
      </c>
      <c r="P2014">
        <f>IF(B2034=0,0,O2014/B2034)</f>
        <v/>
      </c>
      <c r="Q2014">
        <f>IFERROR(1/(IF(Inputs!$B$38="pvp",15,MAX(0.1,Skills!D17-IF(TRUE=TRUE,Inputs!$B$32,0)))*(1-IF(AND(ArtifactsInput!$M$27,Inputs!$B$4="Chapter Hunt"),CHOOSE(ArtifactsInput!$N$27+1,20,24,28,32,36,40),0)/100)),0)</f>
        <v/>
      </c>
      <c r="R2014" t="n">
        <v>0</v>
      </c>
      <c r="S2014" t="n">
        <v>0</v>
      </c>
      <c r="U2014" t="n">
        <v>0</v>
      </c>
    </row>
    <row r="2015">
      <c r="A2015">
        <f>Skills!A18</f>
        <v/>
      </c>
      <c r="B2015">
        <f>Skills!B18</f>
        <v/>
      </c>
      <c r="C2015">
        <f>Inputs!$B$3&gt;=43</f>
        <v/>
      </c>
      <c r="D2015">
        <f>IF(Skills!C18=1,60+Inputs!$B$25+Inputs!$B$29,IF(Skills!C18=2,90+Inputs!$B$26+Inputs!$B$29,IF(Skills!C18=3,120+Inputs!$B$27+Inputs!$B$29,MAX(0,(Inputs!$B$3-100)*3)+Inputs!$B$28+Inputs!$B$29)))</f>
        <v/>
      </c>
      <c r="E2015">
        <f>INDEX(FactorTable!$B$2:$Y$301, MATCH(ROUND(MIN(300,MAX(1,D2015)),0), FactorTable!$A$2:$A$301,0), Skills!L18+1)</f>
        <v/>
      </c>
      <c r="F2015">
        <f>IF(Skills!M18=TRUE,(Skills!K18/10)*(E2015/1000),Skills!K18/10)+Skills!N18</f>
        <v/>
      </c>
      <c r="G2015">
        <f>Calc!G18</f>
        <v/>
      </c>
      <c r="H2015">
        <f>Calc!H18</f>
        <v/>
      </c>
      <c r="I2015">
        <f>IF(Skills!T18&lt;&gt;"",1+(Skills!T18/10)*(Z2000/1000)/100,1)</f>
        <v/>
      </c>
      <c r="J2015" t="inlineStr"/>
      <c r="K2015" t="inlineStr"/>
      <c r="L2015" t="inlineStr"/>
      <c r="M2015" t="inlineStr"/>
      <c r="N2015" t="inlineStr"/>
      <c r="O2015">
        <f>(1-Summary!$B$11)*S2015+Summary!$B$11*U2015</f>
        <v/>
      </c>
      <c r="P2015">
        <f>IF(B2034=0,0,O2015/B2034)</f>
        <v/>
      </c>
      <c r="Q2015">
        <f>IFERROR(1/(IF(Inputs!$B$38="pvp",15,MAX(0.1,Skills!D18-IF(TRUE=TRUE,Inputs!$B$32,0)))*(1-IF(AND(ArtifactsInput!$M$27,Inputs!$B$4="Chapter Hunt"),CHOOSE(ArtifactsInput!$N$27+1,20,24,28,32,36,40),0)/100)),0)</f>
        <v/>
      </c>
      <c r="R2015" t="n">
        <v>0</v>
      </c>
      <c r="S2015" t="n">
        <v>0</v>
      </c>
      <c r="U2015" t="n">
        <v>0</v>
      </c>
    </row>
    <row r="2016">
      <c r="A2016">
        <f>Skills!A19</f>
        <v/>
      </c>
      <c r="B2016">
        <f>Skills!B19</f>
        <v/>
      </c>
      <c r="C2016">
        <f>Inputs!$B$3&gt;=50</f>
        <v/>
      </c>
      <c r="D2016">
        <f>IF(Skills!C19=1,60+Inputs!$B$25+Inputs!$B$29,IF(Skills!C19=2,90+Inputs!$B$26+Inputs!$B$29,IF(Skills!C19=3,120+Inputs!$B$27+Inputs!$B$29,MAX(0,(Inputs!$B$3-100)*3)+Inputs!$B$28+Inputs!$B$29)))</f>
        <v/>
      </c>
      <c r="E2016">
        <f>INDEX(FactorTable!$B$2:$Y$301, MATCH(ROUND(MIN(300,MAX(1,D2016)),0), FactorTable!$A$2:$A$301,0), Skills!L19+1)</f>
        <v/>
      </c>
      <c r="F2016">
        <f>IF(Skills!M19=TRUE,(Skills!K19/10)*(E2016/1000),Skills!K19/10)+Skills!N19</f>
        <v/>
      </c>
      <c r="G2016">
        <f>Calc!G19</f>
        <v/>
      </c>
      <c r="H2016">
        <f>Calc!H19</f>
        <v/>
      </c>
      <c r="I2016">
        <f>IF(Skills!T19&lt;&gt;"",1+(Skills!T19/10)*(Z2000/1000)/100,1)</f>
        <v/>
      </c>
      <c r="J2016" t="inlineStr"/>
      <c r="K2016" t="inlineStr"/>
      <c r="L2016" t="inlineStr"/>
      <c r="M2016" t="inlineStr"/>
      <c r="N2016" t="inlineStr"/>
      <c r="O2016">
        <f>(1-Summary!$B$11)*S2016+Summary!$B$11*U2016</f>
        <v/>
      </c>
      <c r="P2016">
        <f>IF(B2034=0,0,O2016/B2034)</f>
        <v/>
      </c>
      <c r="Q2016">
        <f>IFERROR(1/(IF(Inputs!$B$38="pvp",15,MAX(0.1,Skills!D19-IF(TRUE=TRUE,Inputs!$B$32,0)))*(1-IF(AND(ArtifactsInput!$M$27,Inputs!$B$4="Chapter Hunt"),CHOOSE(ArtifactsInput!$N$27+1,20,24,28,32,36,40),0)/100)),0)</f>
        <v/>
      </c>
      <c r="R2016" t="n">
        <v>0</v>
      </c>
      <c r="S2016" t="n">
        <v>0</v>
      </c>
      <c r="U2016" t="n">
        <v>0</v>
      </c>
    </row>
    <row r="2017">
      <c r="A2017">
        <f>Skills!A20</f>
        <v/>
      </c>
      <c r="B2017">
        <f>Skills!B20</f>
        <v/>
      </c>
      <c r="C2017">
        <f>Inputs!$B$3&gt;=74</f>
        <v/>
      </c>
      <c r="D2017">
        <f>IF(Skills!C20=1,60+Inputs!$B$25+Inputs!$B$29,IF(Skills!C20=2,90+Inputs!$B$26+Inputs!$B$29,IF(Skills!C20=3,120+Inputs!$B$27+Inputs!$B$29,MAX(0,(Inputs!$B$3-100)*3)+Inputs!$B$28+Inputs!$B$29)))</f>
        <v/>
      </c>
      <c r="E2017">
        <f>INDEX(FactorTable!$B$2:$Y$301, MATCH(ROUND(MIN(300,MAX(1,D2017)),0), FactorTable!$A$2:$A$301,0), Skills!L20+1)</f>
        <v/>
      </c>
      <c r="F2017">
        <f>IF(Skills!M20=TRUE,(Skills!K20/10)*(E2017/1000),Skills!K20/10)+Skills!N20</f>
        <v/>
      </c>
      <c r="G2017">
        <f>Calc!G20</f>
        <v/>
      </c>
      <c r="H2017">
        <f>Calc!H20</f>
        <v/>
      </c>
      <c r="I2017">
        <f>IF(Skills!T20&lt;&gt;"",1+(Skills!T20/10)*(Z2000/1000)/100,1)</f>
        <v/>
      </c>
      <c r="J2017" t="inlineStr"/>
      <c r="K2017" t="inlineStr"/>
      <c r="L2017" t="inlineStr"/>
      <c r="M2017" t="inlineStr"/>
      <c r="N2017" t="inlineStr"/>
      <c r="O2017">
        <f>(1-Summary!$B$11)*S2017+Summary!$B$11*U2017</f>
        <v/>
      </c>
      <c r="P2017">
        <f>IF(B2034=0,0,O2017/B2034)</f>
        <v/>
      </c>
      <c r="Q2017">
        <f>IFERROR(1/(IF(Inputs!$B$38="pvp",15,MAX(0.1,Skills!D20-IF(TRUE=TRUE,Inputs!$B$32,0)))*(1-IF(AND(ArtifactsInput!$M$27,Inputs!$B$4="Chapter Hunt"),CHOOSE(ArtifactsInput!$N$27+1,20,24,28,32,36,40),0)/100)),0)</f>
        <v/>
      </c>
      <c r="R2017" t="n">
        <v>0</v>
      </c>
      <c r="S2017" t="n">
        <v>0</v>
      </c>
      <c r="U2017" t="n">
        <v>0</v>
      </c>
    </row>
    <row r="2018">
      <c r="A2018">
        <f>Skills!A21</f>
        <v/>
      </c>
      <c r="B2018">
        <f>Skills!B21</f>
        <v/>
      </c>
      <c r="C2018">
        <f>Inputs!$B$3&gt;=74</f>
        <v/>
      </c>
      <c r="D2018">
        <f>IF(Skills!C21=1,60+Inputs!$B$25+Inputs!$B$29,IF(Skills!C21=2,90+Inputs!$B$26+Inputs!$B$29,IF(Skills!C21=3,120+Inputs!$B$27+Inputs!$B$29,MAX(0,(Inputs!$B$3-100)*3)+Inputs!$B$28+Inputs!$B$29)))</f>
        <v/>
      </c>
      <c r="E2018">
        <f>INDEX(FactorTable!$B$2:$Y$301, MATCH(ROUND(MIN(300,MAX(1,D2018)),0), FactorTable!$A$2:$A$301,0), Skills!L21+1)</f>
        <v/>
      </c>
      <c r="F2018">
        <f>IF(Skills!M21=TRUE,(Skills!K21/10)*(E2018/1000),Skills!K21/10)+Skills!N21</f>
        <v/>
      </c>
      <c r="G2018">
        <f>Calc!G21</f>
        <v/>
      </c>
      <c r="H2018">
        <f>Calc!H21</f>
        <v/>
      </c>
      <c r="I2018">
        <f>IF(Skills!T21&lt;&gt;"",1+(Skills!T21/10)*(Z2000/1000)/100,1)</f>
        <v/>
      </c>
      <c r="J2018" t="inlineStr"/>
      <c r="K2018" t="inlineStr"/>
      <c r="L2018" t="inlineStr"/>
      <c r="M2018" t="inlineStr"/>
      <c r="N2018" t="inlineStr"/>
      <c r="O2018">
        <f>(1-Summary!$B$11)*S2018+Summary!$B$11*U2018</f>
        <v/>
      </c>
      <c r="P2018">
        <f>IF(B2034=0,0,O2018/B2034)</f>
        <v/>
      </c>
      <c r="Q2018">
        <f>IFERROR(1/(IF(Inputs!$B$38="pvp",15,MAX(0.1,Skills!D21-IF(TRUE=TRUE,Inputs!$B$32,0)))*(1-IF(AND(ArtifactsInput!$M$27,Inputs!$B$4="Chapter Hunt"),CHOOSE(ArtifactsInput!$N$27+1,20,24,28,32,36,40),0)/100)),0)</f>
        <v/>
      </c>
      <c r="R2018" t="n">
        <v>0</v>
      </c>
      <c r="S2018" t="n">
        <v>0</v>
      </c>
      <c r="U2018" t="n">
        <v>0</v>
      </c>
    </row>
    <row r="2019">
      <c r="A2019">
        <f>Skills!A22</f>
        <v/>
      </c>
      <c r="B2019">
        <f>Skills!B22</f>
        <v/>
      </c>
      <c r="C2019">
        <f>Inputs!$B$3&gt;=117</f>
        <v/>
      </c>
      <c r="D2019">
        <f>IF(Skills!C22=1,60+Inputs!$B$25+Inputs!$B$29,IF(Skills!C22=2,90+Inputs!$B$26+Inputs!$B$29,IF(Skills!C22=3,120+Inputs!$B$27+Inputs!$B$29,MAX(0,(Inputs!$B$3-100)*3)+Inputs!$B$28+Inputs!$B$29)))</f>
        <v/>
      </c>
      <c r="E2019">
        <f>INDEX(FactorTable!$B$2:$Y$301, MATCH(ROUND(MIN(300,MAX(1,D2019)),0), FactorTable!$A$2:$A$301,0), Skills!L22+1)</f>
        <v/>
      </c>
      <c r="F2019">
        <f>IF(Skills!M22=TRUE,(Skills!K22/10)*(E2019/1000),Skills!K22/10)+Skills!N22</f>
        <v/>
      </c>
      <c r="G2019">
        <f>Calc!G22</f>
        <v/>
      </c>
      <c r="H2019">
        <f>Calc!H22</f>
        <v/>
      </c>
      <c r="I2019">
        <f>IF(Skills!T22&lt;&gt;"",1+(Skills!T22/10)*(Z2000/1000)/100,1)</f>
        <v/>
      </c>
      <c r="J2019" t="inlineStr"/>
      <c r="K2019" t="inlineStr"/>
      <c r="L2019" t="inlineStr"/>
      <c r="M2019" t="inlineStr"/>
      <c r="N2019" t="inlineStr"/>
      <c r="O2019">
        <f>(1-Summary!$B$11)*S2019+Summary!$B$11*U2019</f>
        <v/>
      </c>
      <c r="P2019">
        <f>IF(B2034=0,0,O2019/B2034)</f>
        <v/>
      </c>
      <c r="Q2019">
        <f>IFERROR(1/(IF(Inputs!$B$38="pvp",15,MAX(0.1,Skills!D22-IF(TRUE=TRUE,Inputs!$B$32,0)))*(1-IF(AND(ArtifactsInput!$M$27,Inputs!$B$4="Chapter Hunt"),CHOOSE(ArtifactsInput!$N$27+1,20,24,28,32,36,40),0)/100)),0)</f>
        <v/>
      </c>
      <c r="R2019" t="n">
        <v>0</v>
      </c>
      <c r="S2019" t="n">
        <v>0</v>
      </c>
      <c r="U2019" t="n">
        <v>0</v>
      </c>
    </row>
    <row r="2020">
      <c r="A2020">
        <f>Skills!A23</f>
        <v/>
      </c>
      <c r="B2020">
        <f>Skills!B23</f>
        <v/>
      </c>
      <c r="C2020">
        <f>Inputs!$B$3&gt;=120</f>
        <v/>
      </c>
      <c r="D2020">
        <f>IF(Skills!C23=1,60+Inputs!$B$25+Inputs!$B$29,IF(Skills!C23=2,90+Inputs!$B$26+Inputs!$B$29,IF(Skills!C23=3,120+Inputs!$B$27+Inputs!$B$29,MAX(0,(Inputs!$B$3-100)*3)+Inputs!$B$28+Inputs!$B$29)))</f>
        <v/>
      </c>
      <c r="E2020">
        <f>INDEX(FactorTable!$B$2:$Y$301, MATCH(ROUND(MIN(300,MAX(1,D2020)),0), FactorTable!$A$2:$A$301,0), Skills!L23+1)</f>
        <v/>
      </c>
      <c r="F2020">
        <f>IF(Skills!M23=TRUE,(Skills!K23/10)*(E2020/1000),Skills!K23/10)+Skills!N23</f>
        <v/>
      </c>
      <c r="G2020">
        <f>Calc!G23</f>
        <v/>
      </c>
      <c r="H2020">
        <f>Calc!H23</f>
        <v/>
      </c>
      <c r="I2020">
        <f>IF(Skills!T23&lt;&gt;"",1+(Skills!T23/10)*(Z2000/1000)/100,1)</f>
        <v/>
      </c>
      <c r="J2020" t="inlineStr"/>
      <c r="K2020" t="inlineStr"/>
      <c r="L2020" t="inlineStr"/>
      <c r="M2020" t="inlineStr"/>
      <c r="N2020" t="inlineStr"/>
      <c r="O2020">
        <f>(1-Summary!$B$11)*S2020+Summary!$B$11*U2020</f>
        <v/>
      </c>
      <c r="P2020">
        <f>IF(B2034=0,0,O2020/B2034)</f>
        <v/>
      </c>
      <c r="Q2020">
        <f>IFERROR(1/(IF(Inputs!$B$38="pvp",15,MAX(0.1,Skills!D23-IF(TRUE=TRUE,Inputs!$B$32,0)))*(1-IF(AND(ArtifactsInput!$M$27,Inputs!$B$4="Chapter Hunt"),CHOOSE(ArtifactsInput!$N$27+1,20,24,28,32,36,40),0)/100)),0)</f>
        <v/>
      </c>
      <c r="R2020" t="n">
        <v>0</v>
      </c>
      <c r="S2020" t="n">
        <v>0</v>
      </c>
      <c r="U2020" t="n">
        <v>0</v>
      </c>
    </row>
    <row r="2021">
      <c r="A2021">
        <f>Skills!A24</f>
        <v/>
      </c>
      <c r="B2021">
        <f>Skills!B24</f>
        <v/>
      </c>
      <c r="C2021">
        <f>TRUE</f>
        <v/>
      </c>
      <c r="D2021">
        <f>IF(Skills!C24=1,60+Inputs!$B$25+Inputs!$B$29,IF(Skills!C24=2,90+Inputs!$B$26+Inputs!$B$29,IF(Skills!C24=3,120+Inputs!$B$27+Inputs!$B$29,MAX(0,(Inputs!$B$3-100)*3)+Inputs!$B$28+Inputs!$B$29)))</f>
        <v/>
      </c>
      <c r="E2021">
        <f>INDEX(FactorTable!$B$2:$Y$301, MATCH(ROUND(MIN(300,MAX(1,D2021)),0), FactorTable!$A$2:$A$301,0), Skills!L24+1)</f>
        <v/>
      </c>
      <c r="F2021">
        <f>IF(Skills!M24=TRUE,(Skills!K24/10)*(E2021/1000),Skills!K24/10)+Skills!N24</f>
        <v/>
      </c>
      <c r="G2021">
        <f>Calc!G24</f>
        <v/>
      </c>
      <c r="H2021">
        <f>Calc!H24</f>
        <v/>
      </c>
      <c r="I2021">
        <f>IF(Skills!T24&lt;&gt;"",1+(Skills!T24/10)*(Z2000/1000)/100,1)</f>
        <v/>
      </c>
      <c r="J2021" t="inlineStr"/>
      <c r="K2021" t="inlineStr"/>
      <c r="L2021" t="inlineStr"/>
      <c r="M2021" t="inlineStr"/>
      <c r="N2021" t="inlineStr"/>
      <c r="O2021">
        <f>(1-Summary!$B$11)*S2021+Summary!$B$11*U2021</f>
        <v/>
      </c>
      <c r="P2021">
        <f>IF(B2034=0,0,O2021/B2034)</f>
        <v/>
      </c>
      <c r="Q2021">
        <f>IFERROR(1/(IF(Inputs!$B$38="pvp",15,MAX(0.1,Skills!D24-IF(TRUE=TRUE,Inputs!$B$32,0)))*(1-IF(AND(ArtifactsInput!$M$27,Inputs!$B$4="Chapter Hunt"),CHOOSE(ArtifactsInput!$N$27+1,20,24,28,32,36,40),0)/100)),0)</f>
        <v/>
      </c>
      <c r="R2021">
        <f>IF(AND(Inputs!$B$38&lt;&gt;"pvp",Inputs!$B$43&gt;0),IF(Inputs!$B$43&lt;=0,0,(INT(Inputs!$B$43/(IF(Inputs!$B$38="pvp",15,MAX(0.1,Skills!D24-IF(TRUE=TRUE,Inputs!$B$32,0)))*(1-IF(AND(ArtifactsInput!$M$27,Inputs!$B$4="Chapter Hunt"),CHOOSE(ArtifactsInput!$N$27+1,20,24,28,32,36,40),0)/100)))+1)),0)</f>
        <v/>
      </c>
      <c r="S2021" t="n">
        <v>0</v>
      </c>
      <c r="U2021" t="n">
        <v>0</v>
      </c>
    </row>
    <row r="2024">
      <c r="A2024" t="inlineStr">
        <is>
          <t>Average Buff Multiplier (Magic Guard + Meditation + Artifact Attack%, summed; then Infinity)</t>
        </is>
      </c>
      <c r="B2024">
        <f>(1+(IF(C2000=TRUE,F2000*IF(AND(Inputs!$B$38&lt;&gt;"pvp",Inputs!$B$43&gt;0),(((R2000-1)*MIN((Skills!S3*(1+(Inputs!$B$34)/100)),(1/Q2000))+MIN((Skills!S3*(1+(Inputs!$B$34)/100)),MAX(0,Inputs!$B$43-((R2000-1)*(1/Q2000)))))/Inputs!$B$43),IF(Inputs!$B$38="pvp",MIN((Skills!S3*(1+(Inputs!$B$34)/100)),15)/15,MIN(1,(Skills!S3*(1+(Inputs!$B$34)/100))/(1/Q2000)))),0)+IF(C2001=TRUE,F2001*IF(AND(Inputs!$B$38&lt;&gt;"pvp",Inputs!$B$43&gt;0),(((R2001-1)*MIN((Skills!S4*(1+(Inputs!$B$34)/100)),(1/Q2001))+MIN((Skills!S4*(1+(Inputs!$B$34)/100)),MAX(0,Inputs!$B$43-((R2001-1)*(1/Q2001)))))/Inputs!$B$43),IF(Inputs!$B$38="pvp",MIN((Skills!S4*(1+(Inputs!$B$34)/100)),15)/15,MIN(1,(Skills!S4*(1+(Inputs!$B$34)/100))/(1/Q2001)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2013=TRUE,(1+F2013*IF(AND(Inputs!$B$38&lt;&gt;"pvp",Inputs!$B$43&gt;0),(((R2013-1)*MIN((Skills!S16*(1+(Inputs!$B$34)/100)),(1/Q2013))+MIN((Skills!S16*(1+(Inputs!$B$34)/100)),MAX(0,Inputs!$B$43-((R2013-1)*(1/Q2013)))))/Inputs!$B$43),IF(Inputs!$B$38="pvp",MIN((Skills!S16*(1+(Inputs!$B$34)/100)),15)/15,MIN(1,(Skills!S16*(1+(Inputs!$B$34)/100))/(1/Q2013))))/100),1)</f>
        <v/>
      </c>
    </row>
    <row r="2025">
      <c r="A2025" t="inlineStr">
        <is>
          <t>Monster Damage Taken Bonus % (Freezing Breath - Weaken + Elemental Reset + Artifact Enemy Damage Taken, summed)</t>
        </is>
      </c>
      <c r="B2025">
        <f>IF(Inputs!$B$3&gt;=118,15*IF(Inputs!$B$38="pvp",MIN((30*(1+(Inputs!$B$34)/100)),15)/15,MIN(1,(30*(1+(Inputs!$B$34)/100))/(1/Q2005))),0)+IF(C2011=TRUE,F2011,0)+(IF(AND(ArtifactsInput!$M$35,Inputs!$B$4&lt;&gt;"Chapter Hunt"),CHOOSE(ArtifactsInput!$N$35+1,15,18,21,24,27,30)*(1-EXP(-(0.2*B2028)*5)),0)+IF(AND(ArtifactsInput!$M$22,Inputs!$B$4&lt;&gt;"Chapter Hunt"),CHOOSE(ArtifactsInput!$N$22+1,10,12,14,16,18,20)*((0*(((0.15*B2028*5))^0/1)+1*(((0.15*B2028*5))^1/1)+2*(((0.15*B2028*5))^2/2)+3*(((0.15*B2028*5))^3/6)+4*(((0.15*B2028*5))^4/24)+5*(((0.15*B2028*5))^5/120))/((((0.15*B2028*5))^0/1)+(((0.15*B2028*5))^1/1)+(((0.15*B2028*5))^2/2)+(((0.15*B2028*5))^3/6)+(((0.15*B2028*5))^4/24)+(((0.15*B2028*5))^5/120))),0))</f>
        <v/>
      </c>
    </row>
    <row r="2026">
      <c r="A2026" t="inlineStr">
        <is>
          <t>Damage % Bonus (Frozen Break + Frost Clutch, flat)</t>
        </is>
      </c>
      <c r="B2026">
        <f>IF(Inputs!$B$3&gt;=66,15,0)+IF(Inputs!$B$3&gt;=98,10,0)+IF(Inputs!$B$3&gt;=125,20,0)</f>
        <v/>
      </c>
    </row>
    <row r="2027">
      <c r="A2027" t="inlineStr">
        <is>
          <t>Attack Speed Bonus % (MP Eater - MP Boost, always-on + Nimble Feet, duty-cycle averaged)</t>
        </is>
      </c>
      <c r="B2027">
        <f>IF(C2010=TRUE,F2010+(F2014-Calc!F17),0)+((C2021=TRUE)*F2021*IF(AND(Inputs!$B$38&lt;&gt;"pvp",Inputs!$B$43&gt;0),(((R2021-1)*MIN((Skills!S24*(1+(Inputs!$B$34)/100)),(1/Q2021))+MIN((Skills!S24*(1+(Inputs!$B$34)/100)),MAX(0,Inputs!$B$43-((R2021-1)*(1/Q2021)))))/Inputs!$B$43),IF(Inputs!$B$38="pvp",MIN((Skills!S24*(1+(Inputs!$B$34)/100)),15)/15,MIN(1,(Skills!S24*(1+(Inputs!$B$34)/100))/(1/Q2021)))))</f>
        <v/>
      </c>
    </row>
    <row r="2028">
      <c r="A2028" t="inlineStr">
        <is>
          <t>Actions Per Second</t>
        </is>
      </c>
      <c r="B2028">
        <f>1+MIN(150,150*(1-(1-(Inputs!$B$11+(ArtifactsInput!$M$15-ArtifactsInput!$M$15)*CHOOSE(ArtifactsInput!$N$15+1,8,9.6,11.2,12.8,14.4,16))/150)*(1-B2027/150)))/100</f>
        <v/>
      </c>
    </row>
    <row r="2029">
      <c r="A2029" t="inlineStr">
        <is>
          <t>Skill + Buff Cast Rate</t>
        </is>
      </c>
      <c r="B2029">
        <f>IF(AND(Inputs!$B$38&lt;&gt;"pvp",Inputs!$B$43&gt;0),SUMPRODUCT((Skills!E2:E24=TRUE)*(C1999:C2021=TRUE)*R1999:R2021)/Inputs!$B$43,SUMPRODUCT((Skills!E2:E24=TRUE)*(C1999:C2021=TRUE)*Q1999:Q2021))</f>
        <v/>
      </c>
    </row>
    <row r="2030">
      <c r="A2030" t="inlineStr">
        <is>
          <t>Chain Lightning Casts Per Second</t>
        </is>
      </c>
      <c r="B2030">
        <f>MAX(0,B2028-B2029)</f>
        <v/>
      </c>
    </row>
    <row r="2031">
      <c r="A2031" t="inlineStr">
        <is>
          <t>Buff-Casting Startup Delay (s, fixed-duration only)</t>
        </is>
      </c>
      <c r="B2031">
        <f>IF(AND(Inputs!$B$38&lt;&gt;"pvp",Inputs!$B$43&gt;0),SUMPRODUCT((Skills!S2:S24&gt;0)*(Skills!E2:E24=TRUE)*(C1999:C2021=TRUE))/B2028,0)</f>
        <v/>
      </c>
    </row>
    <row r="2032">
      <c r="A2032" t="inlineStr">
        <is>
          <t>Boss-Only Total DPS (this block's swept value)</t>
        </is>
      </c>
      <c r="B2032">
        <f>SUM(S1999:S2021)</f>
        <v/>
      </c>
    </row>
    <row r="2033">
      <c r="A2033" t="inlineStr">
        <is>
          <t>Normal-Only Total DPS (this block's swept value)</t>
        </is>
      </c>
      <c r="B2033">
        <f>SUM(U1999:U2021)</f>
        <v/>
      </c>
    </row>
    <row r="2034">
      <c r="A2034" s="6" t="inlineStr">
        <is>
          <t>TOTAL DPS</t>
        </is>
      </c>
      <c r="B2034" s="6">
        <f>SUM(O1999:O2021)</f>
        <v/>
      </c>
    </row>
    <row r="2035">
      <c r="A2035" t="inlineStr">
        <is>
          <t>Blizzard Final Attack trigger rate (this block's own Q/R)</t>
        </is>
      </c>
      <c r="B2035">
        <f>IF(AND(Inputs!$B$38&lt;&gt;"pvp",Inputs!$B$43&gt;0),(((C2002=TRUE)*R2002*1)+((C2003=TRUE)*R2003*1)+((C2005=TRUE)*R2005*1)+((C2006=TRUE)*R2006*3)+((C2008=TRUE)*R2008*1))/Inputs!$B$43,((C2002=TRUE)*Q2002*1)+((C2003=TRUE)*Q2003*1)+((C2005=TRUE)*Q2005*1)+((C2006=TRUE)*Q2006*3)+((C2008=TRUE)*Q2008*1))+B2030</f>
        <v/>
      </c>
    </row>
    <row r="2038">
      <c r="A2038" s="6" t="inlineStr">
        <is>
          <t>Stat: Ancient Text Piece (Equip)</t>
        </is>
      </c>
    </row>
    <row r="2039">
      <c r="A2039" s="5" t="inlineStr">
        <is>
          <t>Key</t>
        </is>
      </c>
      <c r="B2039" s="5" t="inlineStr">
        <is>
          <t>Name</t>
        </is>
      </c>
      <c r="C2039" s="5" t="inlineStr">
        <is>
          <t>Unlocked</t>
        </is>
      </c>
      <c r="D2039" s="5" t="inlineStr">
        <is>
          <t>InputLevel</t>
        </is>
      </c>
      <c r="E2039" s="5" t="inlineStr">
        <is>
          <t>Factor</t>
        </is>
      </c>
      <c r="F2039" s="5" t="inlineStr">
        <is>
          <t>CoefficientPercent</t>
        </is>
      </c>
      <c r="G2039" s="5" t="inlineStr">
        <is>
          <t>EffectiveHits</t>
        </is>
      </c>
      <c r="H2039" s="5" t="inlineStr">
        <is>
          <t>ProcProbability</t>
        </is>
      </c>
      <c r="I2039" s="5" t="inlineStr">
        <is>
          <t>MapleHeroMultiplier</t>
        </is>
      </c>
      <c r="J2039" s="5" t="inlineStr">
        <is>
          <t>BaseDamage</t>
        </is>
      </c>
      <c r="K2039" s="5" t="inlineStr">
        <is>
          <t>BaseHitDamage</t>
        </is>
      </c>
      <c r="L2039" s="5" t="inlineStr">
        <is>
          <t>NonCritAvg</t>
        </is>
      </c>
      <c r="M2039" s="5" t="inlineStr">
        <is>
          <t>CritAvg</t>
        </is>
      </c>
      <c r="N2039" s="5" t="inlineStr">
        <is>
          <t>ExpectedDamage(perHit)</t>
        </is>
      </c>
      <c r="O2039" s="5" t="inlineStr">
        <is>
          <t>DPS</t>
        </is>
      </c>
      <c r="P2039" s="5" t="inlineStr">
        <is>
          <t>% of Total</t>
        </is>
      </c>
      <c r="R2039" t="inlineStr">
        <is>
          <t>helpers</t>
        </is>
      </c>
    </row>
    <row r="2040">
      <c r="A2040">
        <f>Skills!A2</f>
        <v/>
      </c>
      <c r="B2040">
        <f>Skills!B2</f>
        <v/>
      </c>
      <c r="C2040">
        <f>Inputs!$B$3&gt;=100</f>
        <v/>
      </c>
      <c r="D2040" t="inlineStr"/>
      <c r="E2040" t="inlineStr"/>
      <c r="F2040">
        <f>T2042+Skills!N2</f>
        <v/>
      </c>
      <c r="G2040">
        <f>Calc!G2</f>
        <v/>
      </c>
      <c r="H2040">
        <f>Calc!H2</f>
        <v/>
      </c>
      <c r="I2040">
        <f>IF(Skills!T2&lt;&gt;"",1+(Skills!T2/10)*(Z2041/1000)/100,1)</f>
        <v/>
      </c>
      <c r="J2040">
        <f>((Inputs!$B$6*(1+Inputs!$B$7/100))+(((Inputs!$B$12*(1+Inputs!$B$13/100))-(Inputs!$B$12*(1+Inputs!$B$13/100)))+0.25*(Inputs!$B$14-Inputs!$B$14))*(1+Inputs!$B$7/100))*(F2040/100)</f>
        <v/>
      </c>
      <c r="K2040">
        <f>J2040*(1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2="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2040)</f>
        <v/>
      </c>
      <c r="L2040">
        <f>K2040*(MIN(Inputs!$B$22+(F2056-Calc!F18),(Inputs!$B$23+(IF(ArtifactsInput!$M$15,CHOOSE(ArtifactsInput!$N$15+1,25,30,35,40,45,50)/100*(Inputs!$B$11-Inputs!$B$11),0))))/100+(Inputs!$B$23+(IF(ArtifactsInput!$M$15,CHOOSE(ArtifactsInput!$N$15+1,25,30,35,40,45,50)/100*(Inputs!$B$11-Inputs!$B$11),0)))/100)/2</f>
        <v/>
      </c>
      <c r="M2040">
        <f>L2040*(1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0">
        <f>L2040*(1-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2040*(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0">
        <f>(1-Summary!$B$11)*S2040+Summary!$B$11*U2040</f>
        <v/>
      </c>
      <c r="P2040">
        <f>IF(B2075=0,0,O2040/B2075)</f>
        <v/>
      </c>
      <c r="Q2040">
        <f>IFERROR(1/(IF(Inputs!$B$38="pvp",15,MAX(0.1,Skills!D2-IF(TRUE=TRUE,Inputs!$B$32,0)))*(1-IF(AND(ArtifactsInput!$M$27,Inputs!$B$4="Chapter Hunt"),CHOOSE(ArtifactsInput!$N$27+1,20,24,28,32,36,40),0)/100)),0)</f>
        <v/>
      </c>
      <c r="R2040" t="n">
        <v>0</v>
      </c>
      <c r="S2040">
        <f>IF(C2040,(Skills!F2*N2040*B2071)*IF(Inputs!$B$38="pvp",1,1+(Inputs!$B$20+Skills!O2+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2040*(1-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2040*(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2040*(1-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2040*(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40">
        <f>MAX(0,(Inputs!$B$3-100)*3)+Inputs!$B$28+Inputs!$B$29</f>
        <v/>
      </c>
      <c r="U2040">
        <f>IF(C2040,(Skills!F2*N2040*B2071)*IF(Inputs!$B$38="pvp",1,(1+(Inputs!$B$21+Skills!P2+B2066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40">
        <f>MAX(0,(Inputs!$B$3-100)*3)+Inputs!$B$28+Inputs!$B$29</f>
        <v/>
      </c>
    </row>
    <row r="2041">
      <c r="A2041">
        <f>Skills!A3</f>
        <v/>
      </c>
      <c r="B2041">
        <f>Skills!B3</f>
        <v/>
      </c>
      <c r="C2041">
        <f>Inputs!$B$3&gt;=15</f>
        <v/>
      </c>
      <c r="D2041">
        <f>IF(Skills!C3=1,60+Inputs!$B$25+Inputs!$B$29,IF(Skills!C3=2,90+Inputs!$B$26+Inputs!$B$29,IF(Skills!C3=3,120+Inputs!$B$27+Inputs!$B$29,MAX(0,(Inputs!$B$3-100)*3)+Inputs!$B$28+Inputs!$B$29)))</f>
        <v/>
      </c>
      <c r="E2041">
        <f>INDEX(FactorTable!$B$2:$Y$301, MATCH(ROUND(MIN(300,MAX(1,D2041)),0), FactorTable!$A$2:$A$301,0), Skills!L3+1)</f>
        <v/>
      </c>
      <c r="F2041">
        <f>IF(Skills!M3=TRUE,(Skills!K3/10)*(E2041/1000),Skills!K3/10)+Skills!N3</f>
        <v/>
      </c>
      <c r="G2041">
        <f>Calc!G3</f>
        <v/>
      </c>
      <c r="H2041">
        <f>Calc!H3</f>
        <v/>
      </c>
      <c r="I2041">
        <f>IF(Skills!T3&lt;&gt;"",1+(Skills!T3/10)*(Z2041/1000)/100,1)</f>
        <v/>
      </c>
      <c r="J2041" t="inlineStr"/>
      <c r="K2041" t="inlineStr"/>
      <c r="L2041" t="inlineStr"/>
      <c r="M2041" t="inlineStr"/>
      <c r="N2041" t="inlineStr"/>
      <c r="O2041">
        <f>(1-Summary!$B$11)*S2041+Summary!$B$11*U2041</f>
        <v/>
      </c>
      <c r="P2041">
        <f>IF(B2075=0,0,O2041/B2075)</f>
        <v/>
      </c>
      <c r="Q2041">
        <f>IFERROR(1/(IF(Inputs!$B$38="pvp",15,MAX(0.1,Skills!D3-IF(TRUE=TRUE,Inputs!$B$32,0)))*(1-IF(AND(ArtifactsInput!$M$27,Inputs!$B$4="Chapter Hunt"),CHOOSE(ArtifactsInput!$N$27+1,20,24,28,32,36,40),0)/100)),0)</f>
        <v/>
      </c>
      <c r="R2041">
        <f>IF(AND(Inputs!$B$38&lt;&gt;"pvp",Inputs!$B$43&gt;0),IF(Inputs!$B$43&lt;=0,0,(INT(Inputs!$B$43/(IF(Inputs!$B$38="pvp",15,MAX(0.1,Skills!D3-IF(TRUE=TRUE,Inputs!$B$32,0)))*(1-IF(AND(ArtifactsInput!$M$27,Inputs!$B$4="Chapter Hunt"),CHOOSE(ArtifactsInput!$N$27+1,20,24,28,32,36,40),0)/100)))+1)),0)</f>
        <v/>
      </c>
      <c r="S2041" t="n">
        <v>0</v>
      </c>
      <c r="T2041">
        <f>INDEX(FactorTable!$B$2:$Y$301, MATCH(ROUND(MIN(300,MAX(1,T2040)),0), FactorTable!$A$2:$A$301,0), 22)</f>
        <v/>
      </c>
      <c r="U2041" t="n">
        <v>0</v>
      </c>
      <c r="Z2041">
        <f>INDEX(FactorTable!$B$2:$Y$301, MATCH(ROUND(MIN(300,MAX(1,Z2040)),0), FactorTable!$A$2:$A$301,0), 24)</f>
        <v/>
      </c>
    </row>
    <row r="2042">
      <c r="A2042">
        <f>Skills!A4</f>
        <v/>
      </c>
      <c r="B2042">
        <f>Skills!B4</f>
        <v/>
      </c>
      <c r="C2042">
        <f>Inputs!$B$3&gt;=40</f>
        <v/>
      </c>
      <c r="D2042">
        <f>IF(Skills!C4=1,60+Inputs!$B$25+Inputs!$B$29,IF(Skills!C4=2,90+Inputs!$B$26+Inputs!$B$29,IF(Skills!C4=3,120+Inputs!$B$27+Inputs!$B$29,MAX(0,(Inputs!$B$3-100)*3)+Inputs!$B$28+Inputs!$B$29)))</f>
        <v/>
      </c>
      <c r="E2042">
        <f>INDEX(FactorTable!$B$2:$Y$301, MATCH(ROUND(MIN(300,MAX(1,D2042)),0), FactorTable!$A$2:$A$301,0), Skills!L4+1)</f>
        <v/>
      </c>
      <c r="F2042">
        <f>IF(Skills!M4=TRUE,(Skills!K4/10)*(E2042/1000),Skills!K4/10)+Skills!N4</f>
        <v/>
      </c>
      <c r="G2042">
        <f>Calc!G4</f>
        <v/>
      </c>
      <c r="H2042">
        <f>Calc!H4</f>
        <v/>
      </c>
      <c r="I2042">
        <f>IF(Skills!T4&lt;&gt;"",1+(Skills!T4/10)*(Z2041/1000)/100,1)</f>
        <v/>
      </c>
      <c r="J2042" t="inlineStr"/>
      <c r="K2042" t="inlineStr"/>
      <c r="L2042" t="inlineStr"/>
      <c r="M2042" t="inlineStr"/>
      <c r="N2042" t="inlineStr"/>
      <c r="O2042">
        <f>(1-Summary!$B$11)*S2042+Summary!$B$11*U2042</f>
        <v/>
      </c>
      <c r="P2042">
        <f>IF(B2075=0,0,O2042/B2075)</f>
        <v/>
      </c>
      <c r="Q2042">
        <f>IFERROR(1/(IF(Inputs!$B$38="pvp",15,MAX(0.1,Skills!D4-IF(TRUE=TRUE,Inputs!$B$32,0)))*(1-IF(AND(ArtifactsInput!$M$27,Inputs!$B$4="Chapter Hunt"),CHOOSE(ArtifactsInput!$N$27+1,20,24,28,32,36,40),0)/100)),0)</f>
        <v/>
      </c>
      <c r="R2042">
        <f>IF(AND(Inputs!$B$38&lt;&gt;"pvp",Inputs!$B$43&gt;0),IF(Inputs!$B$43&lt;=0,0,(INT(Inputs!$B$43/(IF(Inputs!$B$38="pvp",15,MAX(0.1,Skills!D4-IF(TRUE=TRUE,Inputs!$B$32,0)))*(1-IF(AND(ArtifactsInput!$M$27,Inputs!$B$4="Chapter Hunt"),CHOOSE(ArtifactsInput!$N$27+1,20,24,28,32,36,40),0)/100)))+1)),0)</f>
        <v/>
      </c>
      <c r="S2042" t="n">
        <v>0</v>
      </c>
      <c r="T2042">
        <f>290*T2041/1000</f>
        <v/>
      </c>
      <c r="U2042" t="n">
        <v>0</v>
      </c>
    </row>
    <row r="2043">
      <c r="A2043">
        <f>Skills!A5</f>
        <v/>
      </c>
      <c r="B2043">
        <f>Skills!B5</f>
        <v/>
      </c>
      <c r="C2043">
        <f>Inputs!$B$3&gt;=38</f>
        <v/>
      </c>
      <c r="D2043">
        <f>IF(Skills!C5=1,60+Inputs!$B$25+Inputs!$B$29,IF(Skills!C5=2,90+Inputs!$B$26+Inputs!$B$29,IF(Skills!C5=3,120+Inputs!$B$27+Inputs!$B$29,MAX(0,(Inputs!$B$3-100)*3)+Inputs!$B$28+Inputs!$B$29)))</f>
        <v/>
      </c>
      <c r="E2043">
        <f>INDEX(FactorTable!$B$2:$Y$301, MATCH(ROUND(MIN(300,MAX(1,D2043)),0), FactorTable!$A$2:$A$301,0), Skills!L5+1)</f>
        <v/>
      </c>
      <c r="F2043">
        <f>IF(Skills!M5=TRUE,(Skills!K5/10)*(E2043/1000),Skills!K5/10)+Skills!N5</f>
        <v/>
      </c>
      <c r="G2043">
        <f>Calc!G5</f>
        <v/>
      </c>
      <c r="H2043">
        <f>Calc!H5</f>
        <v/>
      </c>
      <c r="I2043">
        <f>IF(Skills!T5&lt;&gt;"",1+(Skills!T5/10)*(Z2041/1000)/100,1)</f>
        <v/>
      </c>
      <c r="J2043">
        <f>((Inputs!$B$6*(1+Inputs!$B$7/100))+(((Inputs!$B$12*(1+Inputs!$B$13/100))-(Inputs!$B$12*(1+Inputs!$B$13/100)))+0.25*(Inputs!$B$14-Inputs!$B$14))*(1+Inputs!$B$7/100))*(F2043/100)</f>
        <v/>
      </c>
      <c r="K2043">
        <f>J2043*(1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5="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2043)</f>
        <v/>
      </c>
      <c r="L2043">
        <f>K2043*(MIN(Inputs!$B$22+(F2056-Calc!F18),(Inputs!$B$23+(IF(ArtifactsInput!$M$15,CHOOSE(ArtifactsInput!$N$15+1,25,30,35,40,45,50)/100*(Inputs!$B$11-Inputs!$B$11),0))))/100+(Inputs!$B$23+(IF(ArtifactsInput!$M$15,CHOOSE(ArtifactsInput!$N$15+1,25,30,35,40,45,50)/100*(Inputs!$B$11-Inputs!$B$11),0)))/100)/2</f>
        <v/>
      </c>
      <c r="M2043">
        <f>L2043*(1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3">
        <f>L2043*(1-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2043*(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3">
        <f>(1-Summary!$B$11)*S2043+Summary!$B$11*U2043</f>
        <v/>
      </c>
      <c r="P2043">
        <f>IF(B2075=0,0,O2043/B2075)</f>
        <v/>
      </c>
      <c r="Q2043">
        <f>IFERROR(1/(IF(Inputs!$B$38="pvp",15,MAX(0.1,Skills!D5-IF(TRUE=TRUE,Inputs!$B$32,0)))*(1-IF(AND(ArtifactsInput!$M$27,Inputs!$B$4="Chapter Hunt"),CHOOSE(ArtifactsInput!$N$27+1,20,24,28,32,36,40),0)/100)),0)</f>
        <v/>
      </c>
      <c r="R2043">
        <f>IF(AND(Inputs!$B$38&lt;&gt;"pvp",Inputs!$B$43&gt;0),IF(MAX(0,Inputs!$B$43-B2072)&lt;=0,0,(INT(MAX(0,Inputs!$B$43-B2072)/(IF(Inputs!$B$38="pvp",15,MAX(0.1,Skills!D5-IF(TRUE=TRUE,Inputs!$B$32,0)))*(1-IF(AND(ArtifactsInput!$M$27,Inputs!$B$4="Chapter Hunt"),CHOOSE(ArtifactsInput!$N$27+1,20,24,28,32,36,40),0)/100)))+1)),0)</f>
        <v/>
      </c>
      <c r="S2043">
        <f>IF(C2043,(H2043*N2043*IF(AND(Inputs!$B$38&lt;&gt;"pvp",Inputs!$B$43&gt;0),((Skills!F5*((R2043-1)*IF(Skills!G5&gt;0,Skills!H5/Skills!G5,1)+IF(Skills!G5&gt;0,MIN(Skills!H5,MAX(0,MAX(0,Inputs!$B$43-B2072)-((R2043-1)*(IF(Inputs!$B$38="pvp",15,MAX(0.1,Skills!D5-IF(TRUE=TRUE,Inputs!$B$32,0)))*(1-IF(AND(ArtifactsInput!$M$27,Inputs!$B$4="Chapter Hunt"),CHOOSE(ArtifactsInput!$N$27+1,20,24,28,32,36,40),0)/100)))))/Skills!G5,1)))/Inputs!$B$43),G2043*Q2043))*IF(Inputs!$B$38="pvp",1,1+(Inputs!$B$20+Skills!O5+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2043*(1-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2043*(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2043*(1-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2043*(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3">
        <f>IF(C2043,(H2043*N2043*IF(AND(Inputs!$B$38&lt;&gt;"pvp",Inputs!$B$43&gt;0),((Skills!F5*((R2043-1)*IF(Skills!G5&gt;0,Skills!H5/Skills!G5,1)+IF(Skills!G5&gt;0,MIN(Skills!H5,MAX(0,MAX(0,Inputs!$B$43-B2072)-((R2043-1)*(IF(Inputs!$B$38="pvp",15,MAX(0.1,Skills!D5-IF(TRUE=TRUE,Inputs!$B$32,0)))*(1-IF(AND(ArtifactsInput!$M$27,Inputs!$B$4="Chapter Hunt"),CHOOSE(ArtifactsInput!$N$27+1,20,24,28,32,36,40),0)/100)))))/Skills!G5,1)))/Inputs!$B$43),G2043*Q2043))*IF(Inputs!$B$38="pvp",1,(1+(Inputs!$B$21+Skills!P5+B2066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4">
      <c r="A2044">
        <f>Skills!A6</f>
        <v/>
      </c>
      <c r="B2044">
        <f>Skills!B6</f>
        <v/>
      </c>
      <c r="C2044">
        <f>Inputs!$B$3&gt;=63</f>
        <v/>
      </c>
      <c r="D2044">
        <f>IF(Skills!C6=1,60+Inputs!$B$25+Inputs!$B$29,IF(Skills!C6=2,90+Inputs!$B$26+Inputs!$B$29,IF(Skills!C6=3,120+Inputs!$B$27+Inputs!$B$29,MAX(0,(Inputs!$B$3-100)*3)+Inputs!$B$28+Inputs!$B$29)))</f>
        <v/>
      </c>
      <c r="E2044">
        <f>INDEX(FactorTable!$B$2:$Y$301, MATCH(ROUND(MIN(300,MAX(1,D2044)),0), FactorTable!$A$2:$A$301,0), Skills!L6+1)</f>
        <v/>
      </c>
      <c r="F2044">
        <f>IF(Skills!M6=TRUE,(Skills!K6/10)*(E2044/1000),Skills!K6/10)+Skills!N6</f>
        <v/>
      </c>
      <c r="G2044">
        <f>Calc!G6</f>
        <v/>
      </c>
      <c r="H2044">
        <f>Calc!H6</f>
        <v/>
      </c>
      <c r="I2044">
        <f>IF(Skills!T6&lt;&gt;"",1+(Skills!T6/10)*(Z2041/1000)/100,1)</f>
        <v/>
      </c>
      <c r="J2044">
        <f>((Inputs!$B$6*(1+Inputs!$B$7/100))+(((Inputs!$B$12*(1+Inputs!$B$13/100))-(Inputs!$B$12*(1+Inputs!$B$13/100)))+0.25*(Inputs!$B$14-Inputs!$B$14))*(1+Inputs!$B$7/100))*(F2044/100)</f>
        <v/>
      </c>
      <c r="K2044">
        <f>J2044*(1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6="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2044)</f>
        <v/>
      </c>
      <c r="L2044">
        <f>K2044*(MIN(Inputs!$B$22+(F2056-Calc!F18),(Inputs!$B$23+(IF(ArtifactsInput!$M$15,CHOOSE(ArtifactsInput!$N$15+1,25,30,35,40,45,50)/100*(Inputs!$B$11-Inputs!$B$11),0))))/100+(Inputs!$B$23+(IF(ArtifactsInput!$M$15,CHOOSE(ArtifactsInput!$N$15+1,25,30,35,40,45,50)/100*(Inputs!$B$11-Inputs!$B$11),0)))/100)/2</f>
        <v/>
      </c>
      <c r="M2044">
        <f>L2044*(1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4">
        <f>L2044*(1-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2044*(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4">
        <f>(1-Summary!$B$11)*S2044+Summary!$B$11*U2044</f>
        <v/>
      </c>
      <c r="P2044">
        <f>IF(B2075=0,0,O2044/B2075)</f>
        <v/>
      </c>
      <c r="Q2044">
        <f>IFERROR(1/(IF(Inputs!$B$38="pvp",15,MAX(0.1,Skills!D6-IF(TRUE=TRUE,Inputs!$B$32,0)))*(1-IF(AND(ArtifactsInput!$M$27,Inputs!$B$4="Chapter Hunt"),CHOOSE(ArtifactsInput!$N$27+1,20,24,28,32,36,40),0)/100)),0)</f>
        <v/>
      </c>
      <c r="R2044">
        <f>IF(AND(Inputs!$B$38&lt;&gt;"pvp",Inputs!$B$43&gt;0),IF(MAX(0,Inputs!$B$43-B2072)&lt;=0,0,(INT(MAX(0,Inputs!$B$43-B2072)/(IF(Inputs!$B$38="pvp",15,MAX(0.1,Skills!D6-IF(TRUE=TRUE,Inputs!$B$32,0)))*(1-IF(AND(ArtifactsInput!$M$27,Inputs!$B$4="Chapter Hunt"),CHOOSE(ArtifactsInput!$N$27+1,20,24,28,32,36,40),0)/100)))+1)),0)</f>
        <v/>
      </c>
      <c r="S2044">
        <f>IF(C2044,(H2044*N2044*IF(AND(Inputs!$B$38&lt;&gt;"pvp",Inputs!$B$43&gt;0),((Skills!F6*((R2044-1)*IF(Skills!G6&gt;0,Skills!H6/Skills!G6,1)+IF(Skills!G6&gt;0,MIN(Skills!H6,MAX(0,MAX(0,Inputs!$B$43-B2072)-((R2044-1)*(IF(Inputs!$B$38="pvp",15,MAX(0.1,Skills!D6-IF(TRUE=TRUE,Inputs!$B$32,0)))*(1-IF(AND(ArtifactsInput!$M$27,Inputs!$B$4="Chapter Hunt"),CHOOSE(ArtifactsInput!$N$27+1,20,24,28,32,36,40),0)/100)))))/Skills!G6,1)))/Inputs!$B$43),G2044*Q2044))*IF(Inputs!$B$38="pvp",1,1+(Inputs!$B$20+Skills!O6+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2044*(1-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2044*(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2044*(1-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2044*(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4">
        <f>IF(C2044,(H2044*N2044*IF(AND(Inputs!$B$38&lt;&gt;"pvp",Inputs!$B$43&gt;0),((Skills!F6*((R2044-1)*IF(Skills!G6&gt;0,Skills!H6/Skills!G6,1)+IF(Skills!G6&gt;0,MIN(Skills!H6,MAX(0,MAX(0,Inputs!$B$43-B2072)-((R2044-1)*(IF(Inputs!$B$38="pvp",15,MAX(0.1,Skills!D6-IF(TRUE=TRUE,Inputs!$B$32,0)))*(1-IF(AND(ArtifactsInput!$M$27,Inputs!$B$4="Chapter Hunt"),CHOOSE(ArtifactsInput!$N$27+1,20,24,28,32,36,40),0)/100)))))/Skills!G6,1)))/Inputs!$B$43),G2044*Q2044))*IF(Inputs!$B$38="pvp",1,(1+(Inputs!$B$21+Skills!P6+B2066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5">
      <c r="A2045">
        <f>Skills!A7</f>
        <v/>
      </c>
      <c r="B2045">
        <f>Skills!B7</f>
        <v/>
      </c>
      <c r="C2045">
        <f>Inputs!$B$3&gt;=69</f>
        <v/>
      </c>
      <c r="D2045">
        <f>IF(Skills!C7=1,60+Inputs!$B$25+Inputs!$B$29,IF(Skills!C7=2,90+Inputs!$B$26+Inputs!$B$29,IF(Skills!C7=3,120+Inputs!$B$27+Inputs!$B$29,MAX(0,(Inputs!$B$3-100)*3)+Inputs!$B$28+Inputs!$B$29)))</f>
        <v/>
      </c>
      <c r="E2045">
        <f>INDEX(FactorTable!$B$2:$Y$301, MATCH(ROUND(MIN(300,MAX(1,D2045)),0), FactorTable!$A$2:$A$301,0), Skills!L7+1)</f>
        <v/>
      </c>
      <c r="F2045">
        <f>IF(Skills!M7=TRUE,(Skills!K7/10)*(E2045/1000),Skills!K7/10)+Skills!N7</f>
        <v/>
      </c>
      <c r="G2045">
        <f>Calc!G7</f>
        <v/>
      </c>
      <c r="H2045">
        <f>Calc!H7</f>
        <v/>
      </c>
      <c r="I2045">
        <f>IF(Skills!T7&lt;&gt;"",1+(Skills!T7/10)*(Z2041/1000)/100,1)</f>
        <v/>
      </c>
      <c r="J2045">
        <f>((Inputs!$B$6*(1+Inputs!$B$7/100))+(((Inputs!$B$12*(1+Inputs!$B$13/100))-(Inputs!$B$12*(1+Inputs!$B$13/100)))+0.25*(Inputs!$B$14-Inputs!$B$14))*(1+Inputs!$B$7/100))*(F2045/100)</f>
        <v/>
      </c>
      <c r="K2045">
        <f>J2045*(1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7="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2045)</f>
        <v/>
      </c>
      <c r="L2045">
        <f>K2045*(MIN(Inputs!$B$22+(F2056-Calc!F18),(Inputs!$B$23+(IF(ArtifactsInput!$M$15,CHOOSE(ArtifactsInput!$N$15+1,25,30,35,40,45,50)/100*(Inputs!$B$11-Inputs!$B$11),0))))/100+(Inputs!$B$23+(IF(ArtifactsInput!$M$15,CHOOSE(ArtifactsInput!$N$15+1,25,30,35,40,45,50)/100*(Inputs!$B$11-Inputs!$B$11),0)))/100)/2</f>
        <v/>
      </c>
      <c r="M2045">
        <f>L2045*(1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5">
        <f>L2045*(1-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2045*(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5">
        <f>(1-Summary!$B$11)*S2045+Summary!$B$11*U2045</f>
        <v/>
      </c>
      <c r="P2045">
        <f>IF(B2075=0,0,O2045/B2075)</f>
        <v/>
      </c>
      <c r="Q2045">
        <f>IFERROR(1/(IF(Inputs!$B$38="pvp",15,MAX(0.1,Skills!D7-IF(TRUE=TRUE,Inputs!$B$32,0)))*(1-IF(AND(ArtifactsInput!$M$27,Inputs!$B$4="Chapter Hunt"),CHOOSE(ArtifactsInput!$N$27+1,20,24,28,32,36,40),0)/100)),0)</f>
        <v/>
      </c>
      <c r="R2045">
        <f>IF(AND(Inputs!$B$38&lt;&gt;"pvp",Inputs!$B$43&gt;0),IF(MAX(0,Inputs!$B$43-B2072)&lt;=0,0,(INT(MAX(0,Inputs!$B$43-B2072)/(IF(Inputs!$B$38="pvp",15,MAX(0.1,Skills!D7-IF(TRUE=TRUE,Inputs!$B$32,0)))*(1-IF(AND(ArtifactsInput!$M$27,Inputs!$B$4="Chapter Hunt"),CHOOSE(ArtifactsInput!$N$27+1,20,24,28,32,36,40),0)/100)))+1)),0)</f>
        <v/>
      </c>
      <c r="S2045">
        <f>IF(C2045,(H2045*N2045*IF(AND(Inputs!$B$38&lt;&gt;"pvp",Inputs!$B$43&gt;0),((Skills!F7*((R2045-1)*IF(Skills!G7&gt;0,Skills!H7/Skills!G7,1)+IF(Skills!G7&gt;0,MIN(Skills!H7,MAX(0,MAX(0,Inputs!$B$43-B2072)-((R2045-1)*(IF(Inputs!$B$38="pvp",15,MAX(0.1,Skills!D7-IF(TRUE=TRUE,Inputs!$B$32,0)))*(1-IF(AND(ArtifactsInput!$M$27,Inputs!$B$4="Chapter Hunt"),CHOOSE(ArtifactsInput!$N$27+1,20,24,28,32,36,40),0)/100)))))/Skills!G7,1)))/Inputs!$B$43),G2045*Q2045))*IF(Inputs!$B$38="pvp",1,1+(Inputs!$B$20+Skills!O7+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2045*(1-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2045*(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2045*(1-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2045*(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5">
        <f>IF(C2045,(H2045*N2045*IF(AND(Inputs!$B$38&lt;&gt;"pvp",Inputs!$B$43&gt;0),((Skills!F7*((R2045-1)*IF(Skills!G7&gt;0,Skills!H7/Skills!G7,1)+IF(Skills!G7&gt;0,MIN(Skills!H7,MAX(0,MAX(0,Inputs!$B$43-B2072)-((R2045-1)*(IF(Inputs!$B$38="pvp",15,MAX(0.1,Skills!D7-IF(TRUE=TRUE,Inputs!$B$32,0)))*(1-IF(AND(ArtifactsInput!$M$27,Inputs!$B$4="Chapter Hunt"),CHOOSE(ArtifactsInput!$N$27+1,20,24,28,32,36,40),0)/100)))))/Skills!G7,1)))/Inputs!$B$43),G2045*Q2045))*IF(Inputs!$B$38="pvp",1,(1+(Inputs!$B$21+Skills!P7+B2066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6">
      <c r="A2046">
        <f>Skills!A8</f>
        <v/>
      </c>
      <c r="B2046">
        <f>Skills!B8</f>
        <v/>
      </c>
      <c r="C2046">
        <f>Inputs!$B$3&gt;=103</f>
        <v/>
      </c>
      <c r="D2046">
        <f>IF(Skills!C8=1,60+Inputs!$B$25+Inputs!$B$29,IF(Skills!C8=2,90+Inputs!$B$26+Inputs!$B$29,IF(Skills!C8=3,120+Inputs!$B$27+Inputs!$B$29,MAX(0,(Inputs!$B$3-100)*3)+Inputs!$B$28+Inputs!$B$29)))</f>
        <v/>
      </c>
      <c r="E2046">
        <f>INDEX(FactorTable!$B$2:$Y$301, MATCH(ROUND(MIN(300,MAX(1,D2046)),0), FactorTable!$A$2:$A$301,0), Skills!L8+1)</f>
        <v/>
      </c>
      <c r="F2046">
        <f>IF(Skills!M8=TRUE,(Skills!K8/10)*(E2046/1000),Skills!K8/10)+Skills!N8</f>
        <v/>
      </c>
      <c r="G2046">
        <f>Calc!G8</f>
        <v/>
      </c>
      <c r="H2046">
        <f>Calc!H8</f>
        <v/>
      </c>
      <c r="I2046">
        <f>IF(Skills!T8&lt;&gt;"",1+(Skills!T8/10)*(Z2041/1000)/100,1)</f>
        <v/>
      </c>
      <c r="J2046">
        <f>((Inputs!$B$6*(1+Inputs!$B$7/100))+(((Inputs!$B$12*(1+Inputs!$B$13/100))-(Inputs!$B$12*(1+Inputs!$B$13/100)))+0.25*(Inputs!$B$14-Inputs!$B$14))*(1+Inputs!$B$7/100))*(F2046/100)</f>
        <v/>
      </c>
      <c r="K2046">
        <f>J2046*(1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8="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2046)</f>
        <v/>
      </c>
      <c r="L2046">
        <f>K2046*(MIN(Inputs!$B$22+(F2056-Calc!F18),(Inputs!$B$23+(IF(ArtifactsInput!$M$15,CHOOSE(ArtifactsInput!$N$15+1,25,30,35,40,45,50)/100*(Inputs!$B$11-Inputs!$B$11),0))))/100+(Inputs!$B$23+(IF(ArtifactsInput!$M$15,CHOOSE(ArtifactsInput!$N$15+1,25,30,35,40,45,50)/100*(Inputs!$B$11-Inputs!$B$11),0)))/100)/2</f>
        <v/>
      </c>
      <c r="M2046">
        <f>L2046*(1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6">
        <f>L2046*(1-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2046*(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6">
        <f>(1-Summary!$B$11)*S2046+Summary!$B$11*U2046</f>
        <v/>
      </c>
      <c r="P2046">
        <f>IF(B2075=0,0,O2046/B2075)</f>
        <v/>
      </c>
      <c r="Q2046">
        <f>IFERROR(1/(IF(Inputs!$B$38="pvp",15,MAX(0.1,Skills!D8-IF(TRUE=TRUE,Inputs!$B$32,0)))*(1-IF(AND(ArtifactsInput!$M$27,Inputs!$B$4="Chapter Hunt"),CHOOSE(ArtifactsInput!$N$27+1,20,24,28,32,36,40),0)/100)),0)</f>
        <v/>
      </c>
      <c r="R2046">
        <f>IF(AND(Inputs!$B$38&lt;&gt;"pvp",Inputs!$B$43&gt;0),IF(MAX(0,Inputs!$B$43-B2072)&lt;=0,0,(INT(MAX(0,Inputs!$B$43-B2072)/(IF(Inputs!$B$38="pvp",15,MAX(0.1,Skills!D8-IF(TRUE=TRUE,Inputs!$B$32,0)))*(1-IF(AND(ArtifactsInput!$M$27,Inputs!$B$4="Chapter Hunt"),CHOOSE(ArtifactsInput!$N$27+1,20,24,28,32,36,40),0)/100)))+1)),0)</f>
        <v/>
      </c>
      <c r="S2046">
        <f>IF(C2046,(H2046*N2046*IF(AND(Inputs!$B$38&lt;&gt;"pvp",Inputs!$B$43&gt;0),((Skills!F8*((R2046-1)*IF(Skills!G8&gt;0,Skills!H8/Skills!G8,1)+IF(Skills!G8&gt;0,MIN(Skills!H8,MAX(0,MAX(0,Inputs!$B$43-B2072)-((R2046-1)*(IF(Inputs!$B$38="pvp",15,MAX(0.1,Skills!D8-IF(TRUE=TRUE,Inputs!$B$32,0)))*(1-IF(AND(ArtifactsInput!$M$27,Inputs!$B$4="Chapter Hunt"),CHOOSE(ArtifactsInput!$N$27+1,20,24,28,32,36,40),0)/100)))))/Skills!G8,1)))/Inputs!$B$43),G2046*Q2046))*IF(Inputs!$B$38="pvp",1,1+(Inputs!$B$20+Skills!O8+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2046*(1-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2046*(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2046*(1-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2046*(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6">
        <f>IF(C2046,(H2046*N2046*IF(AND(Inputs!$B$38&lt;&gt;"pvp",Inputs!$B$43&gt;0),((Skills!F8*((R2046-1)*IF(Skills!G8&gt;0,Skills!H8/Skills!G8,1)+IF(Skills!G8&gt;0,MIN(Skills!H8,MAX(0,MAX(0,Inputs!$B$43-B2072)-((R2046-1)*(IF(Inputs!$B$38="pvp",15,MAX(0.1,Skills!D8-IF(TRUE=TRUE,Inputs!$B$32,0)))*(1-IF(AND(ArtifactsInput!$M$27,Inputs!$B$4="Chapter Hunt"),CHOOSE(ArtifactsInput!$N$27+1,20,24,28,32,36,40),0)/100)))))/Skills!G8,1)))/Inputs!$B$43),G2046*Q2046))*IF(Inputs!$B$38="pvp",1,(1+(Inputs!$B$21+Skills!P8+B2066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7">
      <c r="A2047">
        <f>Skills!A9</f>
        <v/>
      </c>
      <c r="B2047">
        <f>Skills!B9</f>
        <v/>
      </c>
      <c r="C2047">
        <f>Inputs!$B$3&gt;=105</f>
        <v/>
      </c>
      <c r="D2047">
        <f>IF(Skills!C9=1,60+Inputs!$B$25+Inputs!$B$29,IF(Skills!C9=2,90+Inputs!$B$26+Inputs!$B$29,IF(Skills!C9=3,120+Inputs!$B$27+Inputs!$B$29,MAX(0,(Inputs!$B$3-100)*3)+Inputs!$B$28+Inputs!$B$29)))</f>
        <v/>
      </c>
      <c r="E2047">
        <f>INDEX(FactorTable!$B$2:$Y$301, MATCH(ROUND(MIN(300,MAX(1,D2047)),0), FactorTable!$A$2:$A$301,0), Skills!L9+1)</f>
        <v/>
      </c>
      <c r="F2047">
        <f>IF(Skills!M9=TRUE,(Skills!K9/10)*(E2047/1000),Skills!K9/10)+Skills!N9</f>
        <v/>
      </c>
      <c r="G2047">
        <f>Calc!G9</f>
        <v/>
      </c>
      <c r="H2047">
        <f>Calc!H9</f>
        <v/>
      </c>
      <c r="I2047">
        <f>IF(Skills!T9&lt;&gt;"",1+(Skills!T9/10)*(Z2041/1000)/100,1)</f>
        <v/>
      </c>
      <c r="J2047">
        <f>((Inputs!$B$6*(1+Inputs!$B$7/100))+(((Inputs!$B$12*(1+Inputs!$B$13/100))-(Inputs!$B$12*(1+Inputs!$B$13/100)))+0.25*(Inputs!$B$14-Inputs!$B$14))*(1+Inputs!$B$7/100))*(F2047/100)</f>
        <v/>
      </c>
      <c r="K2047">
        <f>J2047*(1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9="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2047)</f>
        <v/>
      </c>
      <c r="L2047">
        <f>K2047*(MIN(Inputs!$B$22+(F2056-Calc!F18),(Inputs!$B$23+(IF(ArtifactsInput!$M$15,CHOOSE(ArtifactsInput!$N$15+1,25,30,35,40,45,50)/100*(Inputs!$B$11-Inputs!$B$11),0))))/100+(Inputs!$B$23+(IF(ArtifactsInput!$M$15,CHOOSE(ArtifactsInput!$N$15+1,25,30,35,40,45,50)/100*(Inputs!$B$11-Inputs!$B$11),0)))/100)/2</f>
        <v/>
      </c>
      <c r="M2047">
        <f>L2047*(1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7">
        <f>L2047*(1-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2047*(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7">
        <f>(1-Summary!$B$11)*S2047+Summary!$B$11*U2047</f>
        <v/>
      </c>
      <c r="P2047">
        <f>IF(B2075=0,0,O2047/B2075)</f>
        <v/>
      </c>
      <c r="Q2047">
        <f>IFERROR(1/(IF(Inputs!$B$38="pvp",15,MAX(0.1,Skills!D9-IF(TRUE=TRUE,Inputs!$B$32,0)))*(1-IF(AND(ArtifactsInput!$M$27,Inputs!$B$4="Chapter Hunt"),CHOOSE(ArtifactsInput!$N$27+1,20,24,28,32,36,40),0)/100)),0)</f>
        <v/>
      </c>
      <c r="R2047">
        <f>IF(AND(Inputs!$B$38&lt;&gt;"pvp",Inputs!$B$43&gt;0),IF(MAX(0,Inputs!$B$43-B2072)&lt;=0,0,(INT(MAX(0,Inputs!$B$43-B2072)/(IF(Inputs!$B$38="pvp",15,MAX(0.1,Skills!D9-IF(TRUE=TRUE,Inputs!$B$32,0)))*(1-IF(AND(ArtifactsInput!$M$27,Inputs!$B$4="Chapter Hunt"),CHOOSE(ArtifactsInput!$N$27+1,20,24,28,32,36,40),0)/100)))+1)),0)</f>
        <v/>
      </c>
      <c r="S2047">
        <f>IF(C2047,(H2047*N2047*IF(AND(Inputs!$B$38&lt;&gt;"pvp",Inputs!$B$43&gt;0),((Skills!F9*((R2047-1)*IF(Skills!G9&gt;0,Skills!H9/Skills!G9,1)+IF(Skills!G9&gt;0,MIN(Skills!H9,MAX(0,MAX(0,Inputs!$B$43-B2072)-((R2047-1)*(IF(Inputs!$B$38="pvp",15,MAX(0.1,Skills!D9-IF(TRUE=TRUE,Inputs!$B$32,0)))*(1-IF(AND(ArtifactsInput!$M$27,Inputs!$B$4="Chapter Hunt"),CHOOSE(ArtifactsInput!$N$27+1,20,24,28,32,36,40),0)/100)))))/Skills!G9,1)))/Inputs!$B$43),G2047*Q2047))*IF(Inputs!$B$38="pvp",1,1+(Inputs!$B$20+Skills!O9+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2047*(1-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2047*(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2047*(1-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2047*(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7">
        <f>IF(C2047,(H2047*N2047*IF(AND(Inputs!$B$38&lt;&gt;"pvp",Inputs!$B$43&gt;0),((Skills!F9*((R2047-1)*IF(Skills!G9&gt;0,Skills!H9/Skills!G9,1)+IF(Skills!G9&gt;0,MIN(Skills!H9,MAX(0,MAX(0,Inputs!$B$43-B2072)-((R2047-1)*(IF(Inputs!$B$38="pvp",15,MAX(0.1,Skills!D9-IF(TRUE=TRUE,Inputs!$B$32,0)))*(1-IF(AND(ArtifactsInput!$M$27,Inputs!$B$4="Chapter Hunt"),CHOOSE(ArtifactsInput!$N$27+1,20,24,28,32,36,40),0)/100)))))/Skills!G9,1)))/Inputs!$B$43),G2047*Q2047))*IF(Inputs!$B$38="pvp",1,(1+(Inputs!$B$21+Skills!P9+B2066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8">
      <c r="A2048">
        <f>Skills!A10</f>
        <v/>
      </c>
      <c r="B2048">
        <f>Skills!B10</f>
        <v/>
      </c>
      <c r="C2048">
        <f>Inputs!$B$3&gt;=113</f>
        <v/>
      </c>
      <c r="D2048">
        <f>IF(Skills!C10=1,60+Inputs!$B$25+Inputs!$B$29,IF(Skills!C10=2,90+Inputs!$B$26+Inputs!$B$29,IF(Skills!C10=3,120+Inputs!$B$27+Inputs!$B$29,MAX(0,(Inputs!$B$3-100)*3)+Inputs!$B$28+Inputs!$B$29)))</f>
        <v/>
      </c>
      <c r="E2048">
        <f>INDEX(FactorTable!$B$2:$Y$301, MATCH(ROUND(MIN(300,MAX(1,D2048)),0), FactorTable!$A$2:$A$301,0), Skills!L10+1)</f>
        <v/>
      </c>
      <c r="F2048">
        <f>IF(Skills!M10=TRUE,(Skills!K10/10)*(E2048/1000),Skills!K10/10)+Skills!N10</f>
        <v/>
      </c>
      <c r="G2048">
        <f>Calc!G10</f>
        <v/>
      </c>
      <c r="H2048">
        <f>Calc!H10</f>
        <v/>
      </c>
      <c r="I2048">
        <f>IF(Skills!T10&lt;&gt;"",1+(Skills!T10/10)*(Z2041/1000)/100,1)</f>
        <v/>
      </c>
      <c r="J2048">
        <f>((Inputs!$B$6*(1+Inputs!$B$7/100))+(((Inputs!$B$12*(1+Inputs!$B$13/100))-(Inputs!$B$12*(1+Inputs!$B$13/100)))+0.25*(Inputs!$B$14-Inputs!$B$14))*(1+Inputs!$B$7/100))*(F2048/100)</f>
        <v/>
      </c>
      <c r="K2048">
        <f>J2048*(1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10="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2048)</f>
        <v/>
      </c>
      <c r="L2048">
        <f>K2048*(MIN(Inputs!$B$22+(F2056-Calc!F18),(Inputs!$B$23+(IF(ArtifactsInput!$M$15,CHOOSE(ArtifactsInput!$N$15+1,25,30,35,40,45,50)/100*(Inputs!$B$11-Inputs!$B$11),0))))/100+(Inputs!$B$23+(IF(ArtifactsInput!$M$15,CHOOSE(ArtifactsInput!$N$15+1,25,30,35,40,45,50)/100*(Inputs!$B$11-Inputs!$B$11),0)))/100)/2</f>
        <v/>
      </c>
      <c r="M2048">
        <f>L2048*(1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8">
        <f>L2048*(1-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2048*(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8">
        <f>(1-Summary!$B$11)*S2048+Summary!$B$11*U2048</f>
        <v/>
      </c>
      <c r="P2048">
        <f>IF(B2075=0,0,O2048/B2075)</f>
        <v/>
      </c>
      <c r="Q2048">
        <f>IFERROR(1/(IF(Inputs!$B$38="pvp",15,MAX(0.1,Skills!D10-IF(TRUE=TRUE,Inputs!$B$32,0)))*(1-IF(AND(ArtifactsInput!$M$27,Inputs!$B$4="Chapter Hunt"),CHOOSE(ArtifactsInput!$N$27+1,20,24,28,32,36,40),0)/100)),0)</f>
        <v/>
      </c>
      <c r="R2048" t="n">
        <v>0</v>
      </c>
      <c r="S2048">
        <f>IF(C2048,((H2048*B2076)/(1+Skills!G10*H2048*B2076)*N2048)*IF(Inputs!$B$38="pvp",1,1+(Inputs!$B$20+Skills!O10+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2048*(1-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2048*(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2048*(1-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2048*(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8">
        <f>IF(C2048,((H2048*B2076)/(1+Skills!G10*H2048*B2076)*N2048)*IF(Inputs!$B$38="pvp",1,(1+(Inputs!$B$21+Skills!P10+B2066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49">
      <c r="A2049">
        <f>Skills!A11</f>
        <v/>
      </c>
      <c r="B2049">
        <f>Skills!B11</f>
        <v/>
      </c>
      <c r="C2049">
        <f>Inputs!$B$3&gt;=107</f>
        <v/>
      </c>
      <c r="D2049">
        <f>IF(Skills!C11=1,60+Inputs!$B$25+Inputs!$B$29,IF(Skills!C11=2,90+Inputs!$B$26+Inputs!$B$29,IF(Skills!C11=3,120+Inputs!$B$27+Inputs!$B$29,MAX(0,(Inputs!$B$3-100)*3)+Inputs!$B$28+Inputs!$B$29)))</f>
        <v/>
      </c>
      <c r="E2049">
        <f>INDEX(FactorTable!$B$2:$Y$301, MATCH(ROUND(MIN(300,MAX(1,D2049)),0), FactorTable!$A$2:$A$301,0), Skills!L11+1)</f>
        <v/>
      </c>
      <c r="F2049">
        <f>IF(Skills!M11=TRUE,(Skills!K11/10)*(E2049/1000),Skills!K11/10)+Skills!N11</f>
        <v/>
      </c>
      <c r="G2049">
        <f>Calc!G11</f>
        <v/>
      </c>
      <c r="H2049">
        <f>Calc!H11</f>
        <v/>
      </c>
      <c r="I2049">
        <f>IF(Skills!T11&lt;&gt;"",1+(Skills!T11/10)*(Z2041/1000)/100,1)</f>
        <v/>
      </c>
      <c r="J2049">
        <f>((Inputs!$B$6*(1+Inputs!$B$7/100))+(((Inputs!$B$12*(1+Inputs!$B$13/100))-(Inputs!$B$12*(1+Inputs!$B$13/100)))+0.25*(Inputs!$B$14-Inputs!$B$14))*(1+Inputs!$B$7/100))*(F2049/100)</f>
        <v/>
      </c>
      <c r="K2049">
        <f>J2049*(1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11="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2049)</f>
        <v/>
      </c>
      <c r="L2049">
        <f>K2049*(MIN(Inputs!$B$22+(F2056-Calc!F18),(Inputs!$B$23+(IF(ArtifactsInput!$M$15,CHOOSE(ArtifactsInput!$N$15+1,25,30,35,40,45,50)/100*(Inputs!$B$11-Inputs!$B$11),0))))/100+(Inputs!$B$23+(IF(ArtifactsInput!$M$15,CHOOSE(ArtifactsInput!$N$15+1,25,30,35,40,45,50)/100*(Inputs!$B$11-Inputs!$B$11),0)))/100)/2</f>
        <v/>
      </c>
      <c r="M2049">
        <f>L2049*(1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49">
        <f>L2049*(1-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2049*(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49">
        <f>(1-Summary!$B$11)*S2049+Summary!$B$11*U2049</f>
        <v/>
      </c>
      <c r="P2049">
        <f>IF(B2075=0,0,O2049/B2075)</f>
        <v/>
      </c>
      <c r="Q2049">
        <f>IFERROR(1/(IF(Inputs!$B$38="pvp",15,MAX(0.1,Skills!D11-IF(TRUE=TRUE,Inputs!$B$32,0)))*(1-IF(AND(ArtifactsInput!$M$27,Inputs!$B$4="Chapter Hunt"),CHOOSE(ArtifactsInput!$N$27+1,20,24,28,32,36,40),0)/100)),0)</f>
        <v/>
      </c>
      <c r="R2049">
        <f>IF(AND(Inputs!$B$38&lt;&gt;"pvp",Inputs!$B$43&gt;0),IF(MAX(0,Inputs!$B$43-B2072)&lt;=0,0,(INT(MAX(0,Inputs!$B$43-B2072)/(IF(Inputs!$B$38="pvp",15,MAX(0.1,Skills!D11-IF(TRUE=TRUE,Inputs!$B$32,0)))*(1-IF(AND(ArtifactsInput!$M$27,Inputs!$B$4="Chapter Hunt"),CHOOSE(ArtifactsInput!$N$27+1,20,24,28,32,36,40),0)/100)))+1)),0)</f>
        <v/>
      </c>
      <c r="S2049">
        <f>IF(C2049,H2049*N2049*IF(AND(Inputs!$B$38&lt;&gt;"pvp",Inputs!$B$43&gt;0),((Skills!F11*((R2049-1)*IF(Skills!G11&gt;0,Skills!H11/Skills!G11,1)+IF(Skills!G11&gt;0,MIN(Skills!H11,MAX(0,MAX(0,Inputs!$B$43-B2072)-((R2049-1)*(IF(Inputs!$B$38="pvp",15,MAX(0.1,Skills!D11-IF(TRUE=TRUE,Inputs!$B$32,0)))*(1-IF(AND(ArtifactsInput!$M$27,Inputs!$B$4="Chapter Hunt"),CHOOSE(ArtifactsInput!$N$27+1,20,24,28,32,36,40),0)/100)))))/Skills!G11,1)))/Inputs!$B$43),G2049*Q2049)*0.5*IF(Inputs!$B$38="pvp",1,1+(Inputs!$B$20+Skills!O11+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2049*(1-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2049*(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2049*(1-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2049*(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49">
        <f>IF(C2049,H2049*N2049*IF(AND(Inputs!$B$38&lt;&gt;"pvp",Inputs!$B$43&gt;0),((Skills!F11*((R2049-1)*IF(Skills!G11&gt;0,Skills!H11/Skills!G11,1)+IF(Skills!G11&gt;0,MIN(Skills!H11,MAX(0,MAX(0,Inputs!$B$43-B2072)-((R2049-1)*(IF(Inputs!$B$38="pvp",15,MAX(0.1,Skills!D11-IF(TRUE=TRUE,Inputs!$B$32,0)))*(1-IF(AND(ArtifactsInput!$M$27,Inputs!$B$4="Chapter Hunt"),CHOOSE(ArtifactsInput!$N$27+1,20,24,28,32,36,40),0)/100)))))/Skills!G11,1)))/Inputs!$B$43),G2049*Q2049)*1*IF(Inputs!$B$38="pvp",1,(1+(Inputs!$B$21+Skills!P11+B2066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0">
      <c r="A2050">
        <f>Skills!A12</f>
        <v/>
      </c>
      <c r="B2050">
        <f>Skills!B12</f>
        <v/>
      </c>
      <c r="C2050">
        <f>Inputs!$B$3&gt;=115</f>
        <v/>
      </c>
      <c r="D2050">
        <f>IF(Skills!C12=1,60+Inputs!$B$25+Inputs!$B$29,IF(Skills!C12=2,90+Inputs!$B$26+Inputs!$B$29,IF(Skills!C12=3,120+Inputs!$B$27+Inputs!$B$29,MAX(0,(Inputs!$B$3-100)*3)+Inputs!$B$28+Inputs!$B$29)))</f>
        <v/>
      </c>
      <c r="E2050">
        <f>INDEX(FactorTable!$B$2:$Y$301, MATCH(ROUND(MIN(300,MAX(1,D2050)),0), FactorTable!$A$2:$A$301,0), Skills!L12+1)</f>
        <v/>
      </c>
      <c r="F2050">
        <f>IF(Skills!M12=TRUE,(Skills!K12/10)*(E2050/1000),Skills!K12/10)+Skills!N12</f>
        <v/>
      </c>
      <c r="G2050">
        <f>Calc!G12</f>
        <v/>
      </c>
      <c r="H2050">
        <f>Calc!H12</f>
        <v/>
      </c>
      <c r="I2050">
        <f>IF(Skills!T12&lt;&gt;"",1+(Skills!T12/10)*(Z2041/1000)/100,1)</f>
        <v/>
      </c>
      <c r="J2050">
        <f>((Inputs!$B$6*(1+Inputs!$B$7/100))+(((Inputs!$B$12*(1+Inputs!$B$13/100))-(Inputs!$B$12*(1+Inputs!$B$13/100)))+0.25*(Inputs!$B$14-Inputs!$B$14))*(1+Inputs!$B$7/100))*(F2050/100)</f>
        <v/>
      </c>
      <c r="K2050">
        <f>J2050*(1+((Inputs!$B$12*(1+Inputs!$B$13/100))*0.01+Inputs!$B$14*0.0025)/100)*(1+(Inputs!$B$15+B2067)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2053=TRUE,F2053,0)/100)*(1+IF(C2061=TRUE,F2061,0)/100)^5*(1+(IF(Skills!A12="CHAIN_LIGHTNING",Inputs!$B$17+((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2065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2050)</f>
        <v/>
      </c>
      <c r="L2050">
        <f>K2050*(MIN(Inputs!$B$22+(F2056-Calc!F18),(Inputs!$B$23+(IF(ArtifactsInput!$M$15,CHOOSE(ArtifactsInput!$N$15+1,25,30,35,40,45,50)/100*(Inputs!$B$11-Inputs!$B$11),0))))/100+(Inputs!$B$23+(IF(ArtifactsInput!$M$15,CHOOSE(ArtifactsInput!$N$15+1,25,30,35,40,45,50)/100*(Inputs!$B$11-Inputs!$B$11),0)))/100)/2</f>
        <v/>
      </c>
      <c r="M2050">
        <f>L2050*(1+(Inputs!$B$10+(F2059-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0">
        <f>L2050*(1-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2050*(MIN((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0">
        <f>(1-Summary!$B$11)*S2050+Summary!$B$11*U2050</f>
        <v/>
      </c>
      <c r="P2050">
        <f>IF(B2075=0,0,O2050/B2075)</f>
        <v/>
      </c>
      <c r="Q2050">
        <f>IFERROR(1/(IF(Inputs!$B$38="pvp",15,MAX(0.1,Skills!D12-IF(TRUE=TRUE,Inputs!$B$32,0)))*(1-IF(AND(ArtifactsInput!$M$27,Inputs!$B$4="Chapter Hunt"),CHOOSE(ArtifactsInput!$N$27+1,20,24,28,32,36,40),0)/100)),0)</f>
        <v/>
      </c>
      <c r="R2050">
        <f>IF(AND(Inputs!$B$38&lt;&gt;"pvp",Inputs!$B$43&gt;0),IF(MAX(0,Inputs!$B$43-B2072)&lt;=0,0,(INT(MAX(0,Inputs!$B$43-B2072)/(IF(Inputs!$B$38="pvp",15,MAX(0.1,Skills!D12-IF(TRUE=TRUE,Inputs!$B$32,0)))*(1-IF(AND(ArtifactsInput!$M$27,Inputs!$B$4="Chapter Hunt"),CHOOSE(ArtifactsInput!$N$27+1,20,24,28,32,36,40),0)/100)))+1)),0)</f>
        <v/>
      </c>
      <c r="S2050">
        <f>IF(C2050,(H2050*N2050*IF(AND(Inputs!$B$38&lt;&gt;"pvp",Inputs!$B$43&gt;0),((Skills!F12*((R2050-1)*IF(Skills!G12&gt;0,Skills!H12/Skills!G12,1)+IF(Skills!G12&gt;0,MIN(Skills!H12,MAX(0,MAX(0,Inputs!$B$43-B2072)-((R2050-1)*(IF(Inputs!$B$38="pvp",15,MAX(0.1,Skills!D12-IF(TRUE=TRUE,Inputs!$B$32,0)))*(1-IF(AND(ArtifactsInput!$M$27,Inputs!$B$4="Chapter Hunt"),CHOOSE(ArtifactsInput!$N$27+1,20,24,28,32,36,40),0)/100)))))/Skills!G12,1)))/Inputs!$B$43),G2050*Q2050))*IF(Inputs!$B$38="pvp",1,1+(Inputs!$B$20+Skills!O12+B2066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2050*(1-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2050*(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2050*(1-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2050*(MIN(100,(Inputs!$B$9+((F2058-Calc!F20)+(F2057-Calc!F19))+(ArtifactsInput!$M$24-ArtifactsInput!$M$24)*CHOOSE(ArtifactsInput!$N$24+1,10,12,14,16,18,20)+(IF(AND(Inputs!$B$38&lt;&gt;"pvp",Inputs!$B$43=0),1,IF(IF(Inputs!$B$38="pvp",15,Inputs!$B$43)-(B2072)&lt;=0,1,MAX(0,IF(Inputs!$B$38="pvp",15,Inputs!$B$43)-MAX(5,B2072))/(IF(Inputs!$B$38="pvp",15,Inputs!$B$43)-(B2072)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0">
        <f>IF(C2050,(H2050*N2050*IF(AND(Inputs!$B$38&lt;&gt;"pvp",Inputs!$B$43&gt;0),((Skills!F12*((R2050-1)*IF(Skills!G12&gt;0,Skills!H12/Skills!G12,1)+IF(Skills!G12&gt;0,MIN(Skills!H12,MAX(0,MAX(0,Inputs!$B$43-B2072)-((R2050-1)*(IF(Inputs!$B$38="pvp",15,MAX(0.1,Skills!D12-IF(TRUE=TRUE,Inputs!$B$32,0)))*(1-IF(AND(ArtifactsInput!$M$27,Inputs!$B$4="Chapter Hunt"),CHOOSE(ArtifactsInput!$N$27+1,20,24,28,32,36,40),0)/100)))))/Skills!G12,1)))/Inputs!$B$43),G2050*Q2050))*IF(Inputs!$B$38="pvp",1,(1+(Inputs!$B$21+Skills!P12+B2066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1">
      <c r="A2051">
        <f>Skills!A13</f>
        <v/>
      </c>
      <c r="B2051">
        <f>Skills!B13</f>
        <v/>
      </c>
      <c r="C2051">
        <f>Inputs!$B$3&gt;=49</f>
        <v/>
      </c>
      <c r="D2051">
        <f>IF(Skills!C13=1,60+Inputs!$B$25+Inputs!$B$29,IF(Skills!C13=2,90+Inputs!$B$26+Inputs!$B$29,IF(Skills!C13=3,120+Inputs!$B$27+Inputs!$B$29,MAX(0,(Inputs!$B$3-100)*3)+Inputs!$B$28+Inputs!$B$29)))</f>
        <v/>
      </c>
      <c r="E2051">
        <f>INDEX(FactorTable!$B$2:$Y$301, MATCH(ROUND(MIN(300,MAX(1,D2051)),0), FactorTable!$A$2:$A$301,0), Skills!L13+1)</f>
        <v/>
      </c>
      <c r="F2051">
        <f>IF(Skills!M13=TRUE,(Skills!K13/10)*(E2051/1000),Skills!K13/10)+Skills!N13</f>
        <v/>
      </c>
      <c r="G2051">
        <f>Calc!G13</f>
        <v/>
      </c>
      <c r="H2051">
        <f>Calc!H13</f>
        <v/>
      </c>
      <c r="I2051">
        <f>IF(Skills!T13&lt;&gt;"",1+(Skills!T13/10)*(Z2041/1000)/100,1)</f>
        <v/>
      </c>
      <c r="J2051" t="inlineStr"/>
      <c r="K2051" t="inlineStr"/>
      <c r="L2051" t="inlineStr"/>
      <c r="M2051" t="inlineStr"/>
      <c r="N2051" t="inlineStr"/>
      <c r="O2051">
        <f>(1-Summary!$B$11)*S2051+Summary!$B$11*U2051</f>
        <v/>
      </c>
      <c r="P2051">
        <f>IF(B2075=0,0,O2051/B2075)</f>
        <v/>
      </c>
      <c r="Q2051">
        <f>IFERROR(1/(IF(Inputs!$B$38="pvp",15,MAX(0.1,Skills!D13-IF(TRUE=TRUE,Inputs!$B$32,0)))*(1-IF(AND(ArtifactsInput!$M$27,Inputs!$B$4="Chapter Hunt"),CHOOSE(ArtifactsInput!$N$27+1,20,24,28,32,36,40),0)/100)),0)</f>
        <v/>
      </c>
      <c r="R2051" t="n">
        <v>0</v>
      </c>
      <c r="S2051" t="n">
        <v>0</v>
      </c>
      <c r="U2051" t="n">
        <v>0</v>
      </c>
    </row>
    <row r="2052">
      <c r="A2052">
        <f>Skills!A14</f>
        <v/>
      </c>
      <c r="B2052">
        <f>Skills!B14</f>
        <v/>
      </c>
      <c r="C2052">
        <f>Inputs!$B$3&gt;=72</f>
        <v/>
      </c>
      <c r="D2052">
        <f>IF(Skills!C14=1,60+Inputs!$B$25+Inputs!$B$29,IF(Skills!C14=2,90+Inputs!$B$26+Inputs!$B$29,IF(Skills!C14=3,120+Inputs!$B$27+Inputs!$B$29,MAX(0,(Inputs!$B$3-100)*3)+Inputs!$B$28+Inputs!$B$29)))</f>
        <v/>
      </c>
      <c r="E2052">
        <f>INDEX(FactorTable!$B$2:$Y$301, MATCH(ROUND(MIN(300,MAX(1,D2052)),0), FactorTable!$A$2:$A$301,0), Skills!L14+1)</f>
        <v/>
      </c>
      <c r="F2052">
        <f>IF(Skills!M14=TRUE,(Skills!K14/10)*(E2052/1000),Skills!K14/10)+Skills!N14</f>
        <v/>
      </c>
      <c r="G2052">
        <f>Calc!G14</f>
        <v/>
      </c>
      <c r="H2052">
        <f>Calc!H14</f>
        <v/>
      </c>
      <c r="I2052">
        <f>IF(Skills!T14&lt;&gt;"",1+(Skills!T14/10)*(Z2041/1000)/100,1)</f>
        <v/>
      </c>
      <c r="J2052" t="inlineStr"/>
      <c r="K2052" t="inlineStr"/>
      <c r="L2052" t="inlineStr"/>
      <c r="M2052" t="inlineStr"/>
      <c r="N2052" t="inlineStr"/>
      <c r="O2052">
        <f>(1-Summary!$B$11)*S2052+Summary!$B$11*U2052</f>
        <v/>
      </c>
      <c r="P2052">
        <f>IF(B2075=0,0,O2052/B2075)</f>
        <v/>
      </c>
      <c r="Q2052">
        <f>IFERROR(1/(IF(Inputs!$B$38="pvp",15,MAX(0.1,Skills!D14-IF(TRUE=TRUE,Inputs!$B$32,0)))*(1-IF(AND(ArtifactsInput!$M$27,Inputs!$B$4="Chapter Hunt"),CHOOSE(ArtifactsInput!$N$27+1,20,24,28,32,36,40),0)/100)),0)</f>
        <v/>
      </c>
      <c r="R2052" t="n">
        <v>0</v>
      </c>
      <c r="S2052" t="n">
        <v>0</v>
      </c>
      <c r="U2052" t="n">
        <v>0</v>
      </c>
    </row>
    <row r="2053">
      <c r="A2053">
        <f>Skills!A15</f>
        <v/>
      </c>
      <c r="B2053">
        <f>Skills!B15</f>
        <v/>
      </c>
      <c r="C2053">
        <f>Inputs!$B$3&gt;=75</f>
        <v/>
      </c>
      <c r="D2053">
        <f>IF(Skills!C15=1,60+Inputs!$B$25+Inputs!$B$29,IF(Skills!C15=2,90+Inputs!$B$26+Inputs!$B$29,IF(Skills!C15=3,120+Inputs!$B$27+Inputs!$B$29,MAX(0,(Inputs!$B$3-100)*3)+Inputs!$B$28+Inputs!$B$29)))</f>
        <v/>
      </c>
      <c r="E2053">
        <f>INDEX(FactorTable!$B$2:$Y$301, MATCH(ROUND(MIN(300,MAX(1,D2053)),0), FactorTable!$A$2:$A$301,0), Skills!L15+1)</f>
        <v/>
      </c>
      <c r="F2053">
        <f>IF(Skills!M15=TRUE,(Skills!K15/10)*(E2053/1000),Skills!K15/10)+Skills!N15</f>
        <v/>
      </c>
      <c r="G2053">
        <f>Calc!G15</f>
        <v/>
      </c>
      <c r="H2053">
        <f>Calc!H15</f>
        <v/>
      </c>
      <c r="I2053">
        <f>IF(Skills!T15&lt;&gt;"",1+(Skills!T15/10)*(Z2041/1000)/100,1)</f>
        <v/>
      </c>
      <c r="J2053" t="inlineStr"/>
      <c r="K2053" t="inlineStr"/>
      <c r="L2053" t="inlineStr"/>
      <c r="M2053" t="inlineStr"/>
      <c r="N2053" t="inlineStr"/>
      <c r="O2053">
        <f>(1-Summary!$B$11)*S2053+Summary!$B$11*U2053</f>
        <v/>
      </c>
      <c r="P2053">
        <f>IF(B2075=0,0,O2053/B2075)</f>
        <v/>
      </c>
      <c r="Q2053">
        <f>IFERROR(1/(IF(Inputs!$B$38="pvp",15,MAX(0.1,Skills!D15-IF(TRUE=TRUE,Inputs!$B$32,0)))*(1-IF(AND(ArtifactsInput!$M$27,Inputs!$B$4="Chapter Hunt"),CHOOSE(ArtifactsInput!$N$27+1,20,24,28,32,36,40),0)/100)),0)</f>
        <v/>
      </c>
      <c r="R2053" t="n">
        <v>0</v>
      </c>
      <c r="S2053" t="n">
        <v>0</v>
      </c>
      <c r="U2053" t="n">
        <v>0</v>
      </c>
    </row>
    <row r="2054">
      <c r="A2054">
        <f>Skills!A16</f>
        <v/>
      </c>
      <c r="B2054">
        <f>Skills!B16</f>
        <v/>
      </c>
      <c r="C2054">
        <f>Inputs!$B$3&gt;=110</f>
        <v/>
      </c>
      <c r="D2054">
        <f>IF(Skills!C16=1,60+Inputs!$B$25+Inputs!$B$29,IF(Skills!C16=2,90+Inputs!$B$26+Inputs!$B$29,IF(Skills!C16=3,120+Inputs!$B$27+Inputs!$B$29,MAX(0,(Inputs!$B$3-100)*3)+Inputs!$B$28+Inputs!$B$29)))</f>
        <v/>
      </c>
      <c r="E2054">
        <f>INDEX(FactorTable!$B$2:$Y$301, MATCH(ROUND(MIN(300,MAX(1,D2054)),0), FactorTable!$A$2:$A$301,0), Skills!L16+1)</f>
        <v/>
      </c>
      <c r="F2054">
        <f>(Skills!K16/10)*(E2054/1000)*64/45+Skills!N16</f>
        <v/>
      </c>
      <c r="G2054">
        <f>Calc!G16</f>
        <v/>
      </c>
      <c r="H2054">
        <f>Calc!H16</f>
        <v/>
      </c>
      <c r="I2054">
        <f>IF(Skills!T16&lt;&gt;"",1+(Skills!T16/10)*(Z2041/1000)/100,1)</f>
        <v/>
      </c>
      <c r="J2054" t="inlineStr"/>
      <c r="K2054" t="inlineStr"/>
      <c r="L2054" t="inlineStr"/>
      <c r="M2054" t="inlineStr"/>
      <c r="N2054" t="inlineStr"/>
      <c r="O2054">
        <f>(1-Summary!$B$11)*S2054+Summary!$B$11*U2054</f>
        <v/>
      </c>
      <c r="P2054">
        <f>IF(B2075=0,0,O2054/B2075)</f>
        <v/>
      </c>
      <c r="Q2054">
        <f>IFERROR(1/(IF(Inputs!$B$38="pvp",15,MAX(0.1,Skills!D16-IF(TRUE=TRUE,Inputs!$B$32,0)))*(1-IF(AND(ArtifactsInput!$M$27,Inputs!$B$4="Chapter Hunt"),CHOOSE(ArtifactsInput!$N$27+1,20,24,28,32,36,40),0)/100)),0)</f>
        <v/>
      </c>
      <c r="R2054">
        <f>IF(AND(Inputs!$B$38&lt;&gt;"pvp",Inputs!$B$43&gt;0),IF(Inputs!$B$43&lt;=0,0,(INT(Inputs!$B$43/(IF(Inputs!$B$38="pvp",15,MAX(0.1,Skills!D16-IF(TRUE=TRUE,Inputs!$B$32,0)))*(1-IF(AND(ArtifactsInput!$M$27,Inputs!$B$4="Chapter Hunt"),CHOOSE(ArtifactsInput!$N$27+1,20,24,28,32,36,40),0)/100)))+1)),0)</f>
        <v/>
      </c>
      <c r="S2054" t="n">
        <v>0</v>
      </c>
      <c r="U2054" t="n">
        <v>0</v>
      </c>
    </row>
    <row r="2055">
      <c r="A2055">
        <f>Skills!A17</f>
        <v/>
      </c>
      <c r="B2055">
        <f>Skills!B17</f>
        <v/>
      </c>
      <c r="C2055">
        <f>Inputs!$B$3&gt;=33</f>
        <v/>
      </c>
      <c r="D2055">
        <f>IF(Skills!C17=1,60+Inputs!$B$25+Inputs!$B$29,IF(Skills!C17=2,90+Inputs!$B$26+Inputs!$B$29,IF(Skills!C17=3,120+Inputs!$B$27+Inputs!$B$29,MAX(0,(Inputs!$B$3-100)*3)+Inputs!$B$28+Inputs!$B$29)))</f>
        <v/>
      </c>
      <c r="E2055">
        <f>INDEX(FactorTable!$B$2:$Y$301, MATCH(ROUND(MIN(300,MAX(1,D2055)),0), FactorTable!$A$2:$A$301,0), Skills!L17+1)</f>
        <v/>
      </c>
      <c r="F2055">
        <f>IF(Skills!M17=TRUE,(Skills!K17/10)*(E2055/1000),Skills!K17/10)+Skills!N17</f>
        <v/>
      </c>
      <c r="G2055">
        <f>Calc!G17</f>
        <v/>
      </c>
      <c r="H2055">
        <f>Calc!H17</f>
        <v/>
      </c>
      <c r="I2055">
        <f>IF(Skills!T17&lt;&gt;"",1+(Skills!T17/10)*(Z2041/1000)/100,1)</f>
        <v/>
      </c>
      <c r="J2055" t="inlineStr"/>
      <c r="K2055" t="inlineStr"/>
      <c r="L2055" t="inlineStr"/>
      <c r="M2055" t="inlineStr"/>
      <c r="N2055" t="inlineStr"/>
      <c r="O2055">
        <f>(1-Summary!$B$11)*S2055+Summary!$B$11*U2055</f>
        <v/>
      </c>
      <c r="P2055">
        <f>IF(B2075=0,0,O2055/B2075)</f>
        <v/>
      </c>
      <c r="Q2055">
        <f>IFERROR(1/(IF(Inputs!$B$38="pvp",15,MAX(0.1,Skills!D17-IF(TRUE=TRUE,Inputs!$B$32,0)))*(1-IF(AND(ArtifactsInput!$M$27,Inputs!$B$4="Chapter Hunt"),CHOOSE(ArtifactsInput!$N$27+1,20,24,28,32,36,40),0)/100)),0)</f>
        <v/>
      </c>
      <c r="R2055" t="n">
        <v>0</v>
      </c>
      <c r="S2055" t="n">
        <v>0</v>
      </c>
      <c r="U2055" t="n">
        <v>0</v>
      </c>
    </row>
    <row r="2056">
      <c r="A2056">
        <f>Skills!A18</f>
        <v/>
      </c>
      <c r="B2056">
        <f>Skills!B18</f>
        <v/>
      </c>
      <c r="C2056">
        <f>Inputs!$B$3&gt;=43</f>
        <v/>
      </c>
      <c r="D2056">
        <f>IF(Skills!C18=1,60+Inputs!$B$25+Inputs!$B$29,IF(Skills!C18=2,90+Inputs!$B$26+Inputs!$B$29,IF(Skills!C18=3,120+Inputs!$B$27+Inputs!$B$29,MAX(0,(Inputs!$B$3-100)*3)+Inputs!$B$28+Inputs!$B$29)))</f>
        <v/>
      </c>
      <c r="E2056">
        <f>INDEX(FactorTable!$B$2:$Y$301, MATCH(ROUND(MIN(300,MAX(1,D2056)),0), FactorTable!$A$2:$A$301,0), Skills!L18+1)</f>
        <v/>
      </c>
      <c r="F2056">
        <f>IF(Skills!M18=TRUE,(Skills!K18/10)*(E2056/1000),Skills!K18/10)+Skills!N18</f>
        <v/>
      </c>
      <c r="G2056">
        <f>Calc!G18</f>
        <v/>
      </c>
      <c r="H2056">
        <f>Calc!H18</f>
        <v/>
      </c>
      <c r="I2056">
        <f>IF(Skills!T18&lt;&gt;"",1+(Skills!T18/10)*(Z2041/1000)/100,1)</f>
        <v/>
      </c>
      <c r="J2056" t="inlineStr"/>
      <c r="K2056" t="inlineStr"/>
      <c r="L2056" t="inlineStr"/>
      <c r="M2056" t="inlineStr"/>
      <c r="N2056" t="inlineStr"/>
      <c r="O2056">
        <f>(1-Summary!$B$11)*S2056+Summary!$B$11*U2056</f>
        <v/>
      </c>
      <c r="P2056">
        <f>IF(B2075=0,0,O2056/B2075)</f>
        <v/>
      </c>
      <c r="Q2056">
        <f>IFERROR(1/(IF(Inputs!$B$38="pvp",15,MAX(0.1,Skills!D18-IF(TRUE=TRUE,Inputs!$B$32,0)))*(1-IF(AND(ArtifactsInput!$M$27,Inputs!$B$4="Chapter Hunt"),CHOOSE(ArtifactsInput!$N$27+1,20,24,28,32,36,40),0)/100)),0)</f>
        <v/>
      </c>
      <c r="R2056" t="n">
        <v>0</v>
      </c>
      <c r="S2056" t="n">
        <v>0</v>
      </c>
      <c r="U2056" t="n">
        <v>0</v>
      </c>
    </row>
    <row r="2057">
      <c r="A2057">
        <f>Skills!A19</f>
        <v/>
      </c>
      <c r="B2057">
        <f>Skills!B19</f>
        <v/>
      </c>
      <c r="C2057">
        <f>Inputs!$B$3&gt;=50</f>
        <v/>
      </c>
      <c r="D2057">
        <f>IF(Skills!C19=1,60+Inputs!$B$25+Inputs!$B$29,IF(Skills!C19=2,90+Inputs!$B$26+Inputs!$B$29,IF(Skills!C19=3,120+Inputs!$B$27+Inputs!$B$29,MAX(0,(Inputs!$B$3-100)*3)+Inputs!$B$28+Inputs!$B$29)))</f>
        <v/>
      </c>
      <c r="E2057">
        <f>INDEX(FactorTable!$B$2:$Y$301, MATCH(ROUND(MIN(300,MAX(1,D2057)),0), FactorTable!$A$2:$A$301,0), Skills!L19+1)</f>
        <v/>
      </c>
      <c r="F2057">
        <f>IF(Skills!M19=TRUE,(Skills!K19/10)*(E2057/1000),Skills!K19/10)+Skills!N19</f>
        <v/>
      </c>
      <c r="G2057">
        <f>Calc!G19</f>
        <v/>
      </c>
      <c r="H2057">
        <f>Calc!H19</f>
        <v/>
      </c>
      <c r="I2057">
        <f>IF(Skills!T19&lt;&gt;"",1+(Skills!T19/10)*(Z2041/1000)/100,1)</f>
        <v/>
      </c>
      <c r="J2057" t="inlineStr"/>
      <c r="K2057" t="inlineStr"/>
      <c r="L2057" t="inlineStr"/>
      <c r="M2057" t="inlineStr"/>
      <c r="N2057" t="inlineStr"/>
      <c r="O2057">
        <f>(1-Summary!$B$11)*S2057+Summary!$B$11*U2057</f>
        <v/>
      </c>
      <c r="P2057">
        <f>IF(B2075=0,0,O2057/B2075)</f>
        <v/>
      </c>
      <c r="Q2057">
        <f>IFERROR(1/(IF(Inputs!$B$38="pvp",15,MAX(0.1,Skills!D19-IF(TRUE=TRUE,Inputs!$B$32,0)))*(1-IF(AND(ArtifactsInput!$M$27,Inputs!$B$4="Chapter Hunt"),CHOOSE(ArtifactsInput!$N$27+1,20,24,28,32,36,40),0)/100)),0)</f>
        <v/>
      </c>
      <c r="R2057" t="n">
        <v>0</v>
      </c>
      <c r="S2057" t="n">
        <v>0</v>
      </c>
      <c r="U2057" t="n">
        <v>0</v>
      </c>
    </row>
    <row r="2058">
      <c r="A2058">
        <f>Skills!A20</f>
        <v/>
      </c>
      <c r="B2058">
        <f>Skills!B20</f>
        <v/>
      </c>
      <c r="C2058">
        <f>Inputs!$B$3&gt;=74</f>
        <v/>
      </c>
      <c r="D2058">
        <f>IF(Skills!C20=1,60+Inputs!$B$25+Inputs!$B$29,IF(Skills!C20=2,90+Inputs!$B$26+Inputs!$B$29,IF(Skills!C20=3,120+Inputs!$B$27+Inputs!$B$29,MAX(0,(Inputs!$B$3-100)*3)+Inputs!$B$28+Inputs!$B$29)))</f>
        <v/>
      </c>
      <c r="E2058">
        <f>INDEX(FactorTable!$B$2:$Y$301, MATCH(ROUND(MIN(300,MAX(1,D2058)),0), FactorTable!$A$2:$A$301,0), Skills!L20+1)</f>
        <v/>
      </c>
      <c r="F2058">
        <f>IF(Skills!M20=TRUE,(Skills!K20/10)*(E2058/1000),Skills!K20/10)+Skills!N20</f>
        <v/>
      </c>
      <c r="G2058">
        <f>Calc!G20</f>
        <v/>
      </c>
      <c r="H2058">
        <f>Calc!H20</f>
        <v/>
      </c>
      <c r="I2058">
        <f>IF(Skills!T20&lt;&gt;"",1+(Skills!T20/10)*(Z2041/1000)/100,1)</f>
        <v/>
      </c>
      <c r="J2058" t="inlineStr"/>
      <c r="K2058" t="inlineStr"/>
      <c r="L2058" t="inlineStr"/>
      <c r="M2058" t="inlineStr"/>
      <c r="N2058" t="inlineStr"/>
      <c r="O2058">
        <f>(1-Summary!$B$11)*S2058+Summary!$B$11*U2058</f>
        <v/>
      </c>
      <c r="P2058">
        <f>IF(B2075=0,0,O2058/B2075)</f>
        <v/>
      </c>
      <c r="Q2058">
        <f>IFERROR(1/(IF(Inputs!$B$38="pvp",15,MAX(0.1,Skills!D20-IF(TRUE=TRUE,Inputs!$B$32,0)))*(1-IF(AND(ArtifactsInput!$M$27,Inputs!$B$4="Chapter Hunt"),CHOOSE(ArtifactsInput!$N$27+1,20,24,28,32,36,40),0)/100)),0)</f>
        <v/>
      </c>
      <c r="R2058" t="n">
        <v>0</v>
      </c>
      <c r="S2058" t="n">
        <v>0</v>
      </c>
      <c r="U2058" t="n">
        <v>0</v>
      </c>
    </row>
    <row r="2059">
      <c r="A2059">
        <f>Skills!A21</f>
        <v/>
      </c>
      <c r="B2059">
        <f>Skills!B21</f>
        <v/>
      </c>
      <c r="C2059">
        <f>Inputs!$B$3&gt;=74</f>
        <v/>
      </c>
      <c r="D2059">
        <f>IF(Skills!C21=1,60+Inputs!$B$25+Inputs!$B$29,IF(Skills!C21=2,90+Inputs!$B$26+Inputs!$B$29,IF(Skills!C21=3,120+Inputs!$B$27+Inputs!$B$29,MAX(0,(Inputs!$B$3-100)*3)+Inputs!$B$28+Inputs!$B$29)))</f>
        <v/>
      </c>
      <c r="E2059">
        <f>INDEX(FactorTable!$B$2:$Y$301, MATCH(ROUND(MIN(300,MAX(1,D2059)),0), FactorTable!$A$2:$A$301,0), Skills!L21+1)</f>
        <v/>
      </c>
      <c r="F2059">
        <f>IF(Skills!M21=TRUE,(Skills!K21/10)*(E2059/1000),Skills!K21/10)+Skills!N21</f>
        <v/>
      </c>
      <c r="G2059">
        <f>Calc!G21</f>
        <v/>
      </c>
      <c r="H2059">
        <f>Calc!H21</f>
        <v/>
      </c>
      <c r="I2059">
        <f>IF(Skills!T21&lt;&gt;"",1+(Skills!T21/10)*(Z2041/1000)/100,1)</f>
        <v/>
      </c>
      <c r="J2059" t="inlineStr"/>
      <c r="K2059" t="inlineStr"/>
      <c r="L2059" t="inlineStr"/>
      <c r="M2059" t="inlineStr"/>
      <c r="N2059" t="inlineStr"/>
      <c r="O2059">
        <f>(1-Summary!$B$11)*S2059+Summary!$B$11*U2059</f>
        <v/>
      </c>
      <c r="P2059">
        <f>IF(B2075=0,0,O2059/B2075)</f>
        <v/>
      </c>
      <c r="Q2059">
        <f>IFERROR(1/(IF(Inputs!$B$38="pvp",15,MAX(0.1,Skills!D21-IF(TRUE=TRUE,Inputs!$B$32,0)))*(1-IF(AND(ArtifactsInput!$M$27,Inputs!$B$4="Chapter Hunt"),CHOOSE(ArtifactsInput!$N$27+1,20,24,28,32,36,40),0)/100)),0)</f>
        <v/>
      </c>
      <c r="R2059" t="n">
        <v>0</v>
      </c>
      <c r="S2059" t="n">
        <v>0</v>
      </c>
      <c r="U2059" t="n">
        <v>0</v>
      </c>
    </row>
    <row r="2060">
      <c r="A2060">
        <f>Skills!A22</f>
        <v/>
      </c>
      <c r="B2060">
        <f>Skills!B22</f>
        <v/>
      </c>
      <c r="C2060">
        <f>Inputs!$B$3&gt;=117</f>
        <v/>
      </c>
      <c r="D2060">
        <f>IF(Skills!C22=1,60+Inputs!$B$25+Inputs!$B$29,IF(Skills!C22=2,90+Inputs!$B$26+Inputs!$B$29,IF(Skills!C22=3,120+Inputs!$B$27+Inputs!$B$29,MAX(0,(Inputs!$B$3-100)*3)+Inputs!$B$28+Inputs!$B$29)))</f>
        <v/>
      </c>
      <c r="E2060">
        <f>INDEX(FactorTable!$B$2:$Y$301, MATCH(ROUND(MIN(300,MAX(1,D2060)),0), FactorTable!$A$2:$A$301,0), Skills!L22+1)</f>
        <v/>
      </c>
      <c r="F2060">
        <f>IF(Skills!M22=TRUE,(Skills!K22/10)*(E2060/1000),Skills!K22/10)+Skills!N22</f>
        <v/>
      </c>
      <c r="G2060">
        <f>Calc!G22</f>
        <v/>
      </c>
      <c r="H2060">
        <f>Calc!H22</f>
        <v/>
      </c>
      <c r="I2060">
        <f>IF(Skills!T22&lt;&gt;"",1+(Skills!T22/10)*(Z2041/1000)/100,1)</f>
        <v/>
      </c>
      <c r="J2060" t="inlineStr"/>
      <c r="K2060" t="inlineStr"/>
      <c r="L2060" t="inlineStr"/>
      <c r="M2060" t="inlineStr"/>
      <c r="N2060" t="inlineStr"/>
      <c r="O2060">
        <f>(1-Summary!$B$11)*S2060+Summary!$B$11*U2060</f>
        <v/>
      </c>
      <c r="P2060">
        <f>IF(B2075=0,0,O2060/B2075)</f>
        <v/>
      </c>
      <c r="Q2060">
        <f>IFERROR(1/(IF(Inputs!$B$38="pvp",15,MAX(0.1,Skills!D22-IF(TRUE=TRUE,Inputs!$B$32,0)))*(1-IF(AND(ArtifactsInput!$M$27,Inputs!$B$4="Chapter Hunt"),CHOOSE(ArtifactsInput!$N$27+1,20,24,28,32,36,40),0)/100)),0)</f>
        <v/>
      </c>
      <c r="R2060" t="n">
        <v>0</v>
      </c>
      <c r="S2060" t="n">
        <v>0</v>
      </c>
      <c r="U2060" t="n">
        <v>0</v>
      </c>
    </row>
    <row r="2061">
      <c r="A2061">
        <f>Skills!A23</f>
        <v/>
      </c>
      <c r="B2061">
        <f>Skills!B23</f>
        <v/>
      </c>
      <c r="C2061">
        <f>Inputs!$B$3&gt;=120</f>
        <v/>
      </c>
      <c r="D2061">
        <f>IF(Skills!C23=1,60+Inputs!$B$25+Inputs!$B$29,IF(Skills!C23=2,90+Inputs!$B$26+Inputs!$B$29,IF(Skills!C23=3,120+Inputs!$B$27+Inputs!$B$29,MAX(0,(Inputs!$B$3-100)*3)+Inputs!$B$28+Inputs!$B$29)))</f>
        <v/>
      </c>
      <c r="E2061">
        <f>INDEX(FactorTable!$B$2:$Y$301, MATCH(ROUND(MIN(300,MAX(1,D2061)),0), FactorTable!$A$2:$A$301,0), Skills!L23+1)</f>
        <v/>
      </c>
      <c r="F2061">
        <f>IF(Skills!M23=TRUE,(Skills!K23/10)*(E2061/1000),Skills!K23/10)+Skills!N23</f>
        <v/>
      </c>
      <c r="G2061">
        <f>Calc!G23</f>
        <v/>
      </c>
      <c r="H2061">
        <f>Calc!H23</f>
        <v/>
      </c>
      <c r="I2061">
        <f>IF(Skills!T23&lt;&gt;"",1+(Skills!T23/10)*(Z2041/1000)/100,1)</f>
        <v/>
      </c>
      <c r="J2061" t="inlineStr"/>
      <c r="K2061" t="inlineStr"/>
      <c r="L2061" t="inlineStr"/>
      <c r="M2061" t="inlineStr"/>
      <c r="N2061" t="inlineStr"/>
      <c r="O2061">
        <f>(1-Summary!$B$11)*S2061+Summary!$B$11*U2061</f>
        <v/>
      </c>
      <c r="P2061">
        <f>IF(B2075=0,0,O2061/B2075)</f>
        <v/>
      </c>
      <c r="Q2061">
        <f>IFERROR(1/(IF(Inputs!$B$38="pvp",15,MAX(0.1,Skills!D23-IF(TRUE=TRUE,Inputs!$B$32,0)))*(1-IF(AND(ArtifactsInput!$M$27,Inputs!$B$4="Chapter Hunt"),CHOOSE(ArtifactsInput!$N$27+1,20,24,28,32,36,40),0)/100)),0)</f>
        <v/>
      </c>
      <c r="R2061" t="n">
        <v>0</v>
      </c>
      <c r="S2061" t="n">
        <v>0</v>
      </c>
      <c r="U2061" t="n">
        <v>0</v>
      </c>
    </row>
    <row r="2062">
      <c r="A2062">
        <f>Skills!A24</f>
        <v/>
      </c>
      <c r="B2062">
        <f>Skills!B24</f>
        <v/>
      </c>
      <c r="C2062">
        <f>TRUE</f>
        <v/>
      </c>
      <c r="D2062">
        <f>IF(Skills!C24=1,60+Inputs!$B$25+Inputs!$B$29,IF(Skills!C24=2,90+Inputs!$B$26+Inputs!$B$29,IF(Skills!C24=3,120+Inputs!$B$27+Inputs!$B$29,MAX(0,(Inputs!$B$3-100)*3)+Inputs!$B$28+Inputs!$B$29)))</f>
        <v/>
      </c>
      <c r="E2062">
        <f>INDEX(FactorTable!$B$2:$Y$301, MATCH(ROUND(MIN(300,MAX(1,D2062)),0), FactorTable!$A$2:$A$301,0), Skills!L24+1)</f>
        <v/>
      </c>
      <c r="F2062">
        <f>IF(Skills!M24=TRUE,(Skills!K24/10)*(E2062/1000),Skills!K24/10)+Skills!N24</f>
        <v/>
      </c>
      <c r="G2062">
        <f>Calc!G24</f>
        <v/>
      </c>
      <c r="H2062">
        <f>Calc!H24</f>
        <v/>
      </c>
      <c r="I2062">
        <f>IF(Skills!T24&lt;&gt;"",1+(Skills!T24/10)*(Z2041/1000)/100,1)</f>
        <v/>
      </c>
      <c r="J2062" t="inlineStr"/>
      <c r="K2062" t="inlineStr"/>
      <c r="L2062" t="inlineStr"/>
      <c r="M2062" t="inlineStr"/>
      <c r="N2062" t="inlineStr"/>
      <c r="O2062">
        <f>(1-Summary!$B$11)*S2062+Summary!$B$11*U2062</f>
        <v/>
      </c>
      <c r="P2062">
        <f>IF(B2075=0,0,O2062/B2075)</f>
        <v/>
      </c>
      <c r="Q2062">
        <f>IFERROR(1/(IF(Inputs!$B$38="pvp",15,MAX(0.1,Skills!D24-IF(TRUE=TRUE,Inputs!$B$32,0)))*(1-IF(AND(ArtifactsInput!$M$27,Inputs!$B$4="Chapter Hunt"),CHOOSE(ArtifactsInput!$N$27+1,20,24,28,32,36,40),0)/100)),0)</f>
        <v/>
      </c>
      <c r="R2062">
        <f>IF(AND(Inputs!$B$38&lt;&gt;"pvp",Inputs!$B$43&gt;0),IF(Inputs!$B$43&lt;=0,0,(INT(Inputs!$B$43/(IF(Inputs!$B$38="pvp",15,MAX(0.1,Skills!D24-IF(TRUE=TRUE,Inputs!$B$32,0)))*(1-IF(AND(ArtifactsInput!$M$27,Inputs!$B$4="Chapter Hunt"),CHOOSE(ArtifactsInput!$N$27+1,20,24,28,32,36,40),0)/100)))+1)),0)</f>
        <v/>
      </c>
      <c r="S2062" t="n">
        <v>0</v>
      </c>
      <c r="U2062" t="n">
        <v>0</v>
      </c>
    </row>
    <row r="2065">
      <c r="A2065" t="inlineStr">
        <is>
          <t>Average Buff Multiplier (Magic Guard + Meditation + Artifact Attack%, summed; then Infinity)</t>
        </is>
      </c>
      <c r="B2065">
        <f>(1+(IF(C2041=TRUE,F2041*IF(AND(Inputs!$B$38&lt;&gt;"pvp",Inputs!$B$43&gt;0),(((R2041-1)*MIN((Skills!S3*(1+(Inputs!$B$34)/100)),(1/Q2041))+MIN((Skills!S3*(1+(Inputs!$B$34)/100)),MAX(0,Inputs!$B$43-((R2041-1)*(1/Q2041)))))/Inputs!$B$43),IF(Inputs!$B$38="pvp",MIN((Skills!S3*(1+(Inputs!$B$34)/100)),15)/15,MIN(1,(Skills!S3*(1+(Inputs!$B$34)/100))/(1/Q2041)))),0)+IF(C2042=TRUE,F2042*IF(AND(Inputs!$B$38&lt;&gt;"pvp",Inputs!$B$43&gt;0),(((R2042-1)*MIN((Skills!S4*(1+(Inputs!$B$34)/100)),(1/Q2042))+MIN((Skills!S4*(1+(Inputs!$B$34)/100)),MAX(0,Inputs!$B$43-((R2042-1)*(1/Q2042)))))/Inputs!$B$43),IF(Inputs!$B$38="pvp",MIN((Skills!S4*(1+(Inputs!$B$34)/100)),15)/15,MIN(1,(Skills!S4*(1+(Inputs!$B$34)/100))/(1/Q2042)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2054=TRUE,(1+F2054*IF(AND(Inputs!$B$38&lt;&gt;"pvp",Inputs!$B$43&gt;0),(((R2054-1)*MIN((Skills!S16*(1+(Inputs!$B$34)/100)),(1/Q2054))+MIN((Skills!S16*(1+(Inputs!$B$34)/100)),MAX(0,Inputs!$B$43-((R2054-1)*(1/Q2054)))))/Inputs!$B$43),IF(Inputs!$B$38="pvp",MIN((Skills!S16*(1+(Inputs!$B$34)/100)),15)/15,MIN(1,(Skills!S16*(1+(Inputs!$B$34)/100))/(1/Q2054))))/100),1)</f>
        <v/>
      </c>
    </row>
    <row r="2066">
      <c r="A2066" t="inlineStr">
        <is>
          <t>Monster Damage Taken Bonus % (Freezing Breath - Weaken + Elemental Reset + Artifact Enemy Damage Taken, summed)</t>
        </is>
      </c>
      <c r="B2066">
        <f>IF(Inputs!$B$3&gt;=118,15*IF(Inputs!$B$38="pvp",MIN((30*(1+(Inputs!$B$34)/100)),15)/15,MIN(1,(30*(1+(Inputs!$B$34)/100))/(1/Q2046))),0)+IF(C2052=TRUE,F2052,0)+(IF(AND(ArtifactsInput!$M$35,Inputs!$B$4&lt;&gt;"Chapter Hunt"),CHOOSE(ArtifactsInput!$N$35+1,15,18,21,24,27,30)*(1-EXP(-(0.2*B2069)*5)),0)+IF(AND(ArtifactsInput!$M$22,Inputs!$B$4&lt;&gt;"Chapter Hunt"),CHOOSE(ArtifactsInput!$N$22+1,10,12,14,16,18,20)*((0*(((0.15*B2069*5))^0/1)+1*(((0.15*B2069*5))^1/1)+2*(((0.15*B2069*5))^2/2)+3*(((0.15*B2069*5))^3/6)+4*(((0.15*B2069*5))^4/24)+5*(((0.15*B2069*5))^5/120))/((((0.15*B2069*5))^0/1)+(((0.15*B2069*5))^1/1)+(((0.15*B2069*5))^2/2)+(((0.15*B2069*5))^3/6)+(((0.15*B2069*5))^4/24)+(((0.15*B2069*5))^5/120))),0))</f>
        <v/>
      </c>
    </row>
    <row r="2067">
      <c r="A2067" t="inlineStr">
        <is>
          <t>Damage % Bonus (Frozen Break + Frost Clutch, flat)</t>
        </is>
      </c>
      <c r="B2067">
        <f>IF(Inputs!$B$3&gt;=66,15,0)+IF(Inputs!$B$3&gt;=98,10,0)+IF(Inputs!$B$3&gt;=125,20,0)</f>
        <v/>
      </c>
    </row>
    <row r="2068">
      <c r="A2068" t="inlineStr">
        <is>
          <t>Attack Speed Bonus % (MP Eater - MP Boost, always-on + Nimble Feet, duty-cycle averaged)</t>
        </is>
      </c>
      <c r="B2068">
        <f>IF(C2051=TRUE,F2051+(F2055-Calc!F17),0)+((C2062=TRUE)*F2062*IF(AND(Inputs!$B$38&lt;&gt;"pvp",Inputs!$B$43&gt;0),(((R2062-1)*MIN((Skills!S24*(1+(Inputs!$B$34)/100)),(1/Q2062))+MIN((Skills!S24*(1+(Inputs!$B$34)/100)),MAX(0,Inputs!$B$43-((R2062-1)*(1/Q2062)))))/Inputs!$B$43),IF(Inputs!$B$38="pvp",MIN((Skills!S24*(1+(Inputs!$B$34)/100)),15)/15,MIN(1,(Skills!S24*(1+(Inputs!$B$34)/100))/(1/Q2062)))))</f>
        <v/>
      </c>
    </row>
    <row r="2069">
      <c r="A2069" t="inlineStr">
        <is>
          <t>Actions Per Second</t>
        </is>
      </c>
      <c r="B2069">
        <f>1+MIN(150,150*(1-(1-(Inputs!$B$11+(ArtifactsInput!$M$15-ArtifactsInput!$M$15)*CHOOSE(ArtifactsInput!$N$15+1,8,9.6,11.2,12.8,14.4,16))/150)*(1-B2068/150)))/100</f>
        <v/>
      </c>
    </row>
    <row r="2070">
      <c r="A2070" t="inlineStr">
        <is>
          <t>Skill + Buff Cast Rate</t>
        </is>
      </c>
      <c r="B2070">
        <f>IF(AND(Inputs!$B$38&lt;&gt;"pvp",Inputs!$B$43&gt;0),SUMPRODUCT((Skills!E2:E24=TRUE)*(C2040:C2062=TRUE)*R2040:R2062)/Inputs!$B$43,SUMPRODUCT((Skills!E2:E24=TRUE)*(C2040:C2062=TRUE)*Q2040:Q2062))</f>
        <v/>
      </c>
    </row>
    <row r="2071">
      <c r="A2071" t="inlineStr">
        <is>
          <t>Chain Lightning Casts Per Second</t>
        </is>
      </c>
      <c r="B2071">
        <f>MAX(0,B2069-B2070)</f>
        <v/>
      </c>
    </row>
    <row r="2072">
      <c r="A2072" t="inlineStr">
        <is>
          <t>Buff-Casting Startup Delay (s, fixed-duration only)</t>
        </is>
      </c>
      <c r="B2072">
        <f>IF(AND(Inputs!$B$38&lt;&gt;"pvp",Inputs!$B$43&gt;0),SUMPRODUCT((Skills!S2:S24&gt;0)*(Skills!E2:E24=TRUE)*(C2040:C2062=TRUE))/B2069,0)</f>
        <v/>
      </c>
    </row>
    <row r="2073">
      <c r="A2073" t="inlineStr">
        <is>
          <t>Boss-Only Total DPS (this block's swept value)</t>
        </is>
      </c>
      <c r="B2073">
        <f>SUM(S2040:S2062)</f>
        <v/>
      </c>
    </row>
    <row r="2074">
      <c r="A2074" t="inlineStr">
        <is>
          <t>Normal-Only Total DPS (this block's swept value)</t>
        </is>
      </c>
      <c r="B2074">
        <f>SUM(U2040:U2062)</f>
        <v/>
      </c>
    </row>
    <row r="2075">
      <c r="A2075" s="6" t="inlineStr">
        <is>
          <t>TOTAL DPS</t>
        </is>
      </c>
      <c r="B2075" s="6">
        <f>SUM(O2040:O2062)</f>
        <v/>
      </c>
    </row>
    <row r="2076">
      <c r="A2076" t="inlineStr">
        <is>
          <t>Blizzard Final Attack trigger rate (this block's own Q/R)</t>
        </is>
      </c>
      <c r="B2076">
        <f>IF(AND(Inputs!$B$38&lt;&gt;"pvp",Inputs!$B$43&gt;0),(((C2043=TRUE)*R2043*1)+((C2044=TRUE)*R2044*1)+((C2046=TRUE)*R2046*1)+((C2047=TRUE)*R2047*3)+((C2049=TRUE)*R2049*1))/Inputs!$B$43,((C2043=TRUE)*Q2043*1)+((C2044=TRUE)*Q2044*1)+((C2046=TRUE)*Q2046*1)+((C2047=TRUE)*Q2047*3)+((C2049=TRUE)*Q2049*1))+B2071</f>
        <v/>
      </c>
    </row>
    <row r="2079">
      <c r="A2079" s="6" t="inlineStr">
        <is>
          <t>Stat: Icy Soul Rock (Equip)</t>
        </is>
      </c>
    </row>
    <row r="2080">
      <c r="A2080" s="5" t="inlineStr">
        <is>
          <t>Key</t>
        </is>
      </c>
      <c r="B2080" s="5" t="inlineStr">
        <is>
          <t>Name</t>
        </is>
      </c>
      <c r="C2080" s="5" t="inlineStr">
        <is>
          <t>Unlocked</t>
        </is>
      </c>
      <c r="D2080" s="5" t="inlineStr">
        <is>
          <t>InputLevel</t>
        </is>
      </c>
      <c r="E2080" s="5" t="inlineStr">
        <is>
          <t>Factor</t>
        </is>
      </c>
      <c r="F2080" s="5" t="inlineStr">
        <is>
          <t>CoefficientPercent</t>
        </is>
      </c>
      <c r="G2080" s="5" t="inlineStr">
        <is>
          <t>EffectiveHits</t>
        </is>
      </c>
      <c r="H2080" s="5" t="inlineStr">
        <is>
          <t>ProcProbability</t>
        </is>
      </c>
      <c r="I2080" s="5" t="inlineStr">
        <is>
          <t>MapleHeroMultiplier</t>
        </is>
      </c>
      <c r="J2080" s="5" t="inlineStr">
        <is>
          <t>BaseDamage</t>
        </is>
      </c>
      <c r="K2080" s="5" t="inlineStr">
        <is>
          <t>BaseHitDamage</t>
        </is>
      </c>
      <c r="L2080" s="5" t="inlineStr">
        <is>
          <t>NonCritAvg</t>
        </is>
      </c>
      <c r="M2080" s="5" t="inlineStr">
        <is>
          <t>CritAvg</t>
        </is>
      </c>
      <c r="N2080" s="5" t="inlineStr">
        <is>
          <t>ExpectedDamage(perHit)</t>
        </is>
      </c>
      <c r="O2080" s="5" t="inlineStr">
        <is>
          <t>DPS</t>
        </is>
      </c>
      <c r="P2080" s="5" t="inlineStr">
        <is>
          <t>% of Total</t>
        </is>
      </c>
      <c r="R2080" t="inlineStr">
        <is>
          <t>helpers</t>
        </is>
      </c>
    </row>
    <row r="2081">
      <c r="A2081">
        <f>Skills!A2</f>
        <v/>
      </c>
      <c r="B2081">
        <f>Skills!B2</f>
        <v/>
      </c>
      <c r="C2081">
        <f>Inputs!$B$3&gt;=100</f>
        <v/>
      </c>
      <c r="D2081" t="inlineStr"/>
      <c r="E2081" t="inlineStr"/>
      <c r="F2081">
        <f>T2083+Skills!N2</f>
        <v/>
      </c>
      <c r="G2081">
        <f>Calc!G2</f>
        <v/>
      </c>
      <c r="H2081">
        <f>Calc!H2</f>
        <v/>
      </c>
      <c r="I2081">
        <f>IF(Skills!T2&lt;&gt;"",1+(Skills!T2/10)*(Z2082/1000)/100,1)</f>
        <v/>
      </c>
      <c r="J2081">
        <f>((Inputs!$B$6*(1+Inputs!$B$7/100))+(((Inputs!$B$12*(1+Inputs!$B$13/100))-(Inputs!$B$12*(1+Inputs!$B$13/100)))+0.25*(Inputs!$B$14-Inputs!$B$14))*(1+Inputs!$B$7/100))*(F2081/100)</f>
        <v/>
      </c>
      <c r="K2081">
        <f>J2081*(1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2="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2081)</f>
        <v/>
      </c>
      <c r="L2081">
        <f>K2081*(MIN(Inputs!$B$22+(F2097-Calc!F18),(Inputs!$B$23+(IF(ArtifactsInput!$M$15,CHOOSE(ArtifactsInput!$N$15+1,25,30,35,40,45,50)/100*(Inputs!$B$11-Inputs!$B$11),0))))/100+(Inputs!$B$23+(IF(ArtifactsInput!$M$15,CHOOSE(ArtifactsInput!$N$15+1,25,30,35,40,45,50)/100*(Inputs!$B$11-Inputs!$B$11),0)))/100)/2</f>
        <v/>
      </c>
      <c r="M2081">
        <f>L2081*(1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1">
        <f>L2081*(1-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1">
        <f>(1-Summary!$B$11)*S2081+Summary!$B$11*U2081</f>
        <v/>
      </c>
      <c r="P2081">
        <f>IF(B2116=0,0,O2081/B2116)</f>
        <v/>
      </c>
      <c r="Q2081">
        <f>IFERROR(1/(IF(Inputs!$B$38="pvp",15,MAX(0.1,Skills!D2-IF(TRUE=TRUE,Inputs!$B$32,0)))*(1-IF(AND(ArtifactsInput!$M$27,Inputs!$B$4="Chapter Hunt"),CHOOSE(ArtifactsInput!$N$27+1,20,24,28,32,36,40),0)/100)),0)</f>
        <v/>
      </c>
      <c r="R2081" t="n">
        <v>0</v>
      </c>
      <c r="S2081">
        <f>IF(C2081,(Skills!F2*N2081*B2112)*IF(Inputs!$B$38="pvp",1,1+(Inputs!$B$20+Skills!O2+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2081*(1-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2081*(1-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081">
        <f>MAX(0,(Inputs!$B$3-100)*3)+Inputs!$B$28+Inputs!$B$29</f>
        <v/>
      </c>
      <c r="U2081">
        <f>IF(C2081,(Skills!F2*N2081*B2112)*IF(Inputs!$B$38="pvp",1,(1+(Inputs!$B$21+Skills!P2+B2107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081">
        <f>MAX(0,(Inputs!$B$3-100)*3)+Inputs!$B$28+Inputs!$B$29</f>
        <v/>
      </c>
    </row>
    <row r="2082">
      <c r="A2082">
        <f>Skills!A3</f>
        <v/>
      </c>
      <c r="B2082">
        <f>Skills!B3</f>
        <v/>
      </c>
      <c r="C2082">
        <f>Inputs!$B$3&gt;=15</f>
        <v/>
      </c>
      <c r="D2082">
        <f>IF(Skills!C3=1,60+Inputs!$B$25+Inputs!$B$29,IF(Skills!C3=2,90+Inputs!$B$26+Inputs!$B$29,IF(Skills!C3=3,120+Inputs!$B$27+Inputs!$B$29,MAX(0,(Inputs!$B$3-100)*3)+Inputs!$B$28+Inputs!$B$29)))</f>
        <v/>
      </c>
      <c r="E2082">
        <f>INDEX(FactorTable!$B$2:$Y$301, MATCH(ROUND(MIN(300,MAX(1,D2082)),0), FactorTable!$A$2:$A$301,0), Skills!L3+1)</f>
        <v/>
      </c>
      <c r="F2082">
        <f>IF(Skills!M3=TRUE,(Skills!K3/10)*(E2082/1000),Skills!K3/10)+Skills!N3</f>
        <v/>
      </c>
      <c r="G2082">
        <f>Calc!G3</f>
        <v/>
      </c>
      <c r="H2082">
        <f>Calc!H3</f>
        <v/>
      </c>
      <c r="I2082">
        <f>IF(Skills!T3&lt;&gt;"",1+(Skills!T3/10)*(Z2082/1000)/100,1)</f>
        <v/>
      </c>
      <c r="J2082" t="inlineStr"/>
      <c r="K2082" t="inlineStr"/>
      <c r="L2082" t="inlineStr"/>
      <c r="M2082" t="inlineStr"/>
      <c r="N2082" t="inlineStr"/>
      <c r="O2082">
        <f>(1-Summary!$B$11)*S2082+Summary!$B$11*U2082</f>
        <v/>
      </c>
      <c r="P2082">
        <f>IF(B2116=0,0,O2082/B2116)</f>
        <v/>
      </c>
      <c r="Q2082">
        <f>IFERROR(1/(IF(Inputs!$B$38="pvp",15,MAX(0.1,Skills!D3-IF(TRUE=TRUE,Inputs!$B$32,0)))*(1-IF(AND(ArtifactsInput!$M$27,Inputs!$B$4="Chapter Hunt"),CHOOSE(ArtifactsInput!$N$27+1,20,24,28,32,36,40),0)/100)),0)</f>
        <v/>
      </c>
      <c r="R2082">
        <f>IF(AND(Inputs!$B$38&lt;&gt;"pvp",Inputs!$B$43&gt;0),IF(Inputs!$B$43&lt;=0,0,(INT(Inputs!$B$43/(IF(Inputs!$B$38="pvp",15,MAX(0.1,Skills!D3-IF(TRUE=TRUE,Inputs!$B$32,0)))*(1-IF(AND(ArtifactsInput!$M$27,Inputs!$B$4="Chapter Hunt"),CHOOSE(ArtifactsInput!$N$27+1,20,24,28,32,36,40),0)/100)))+1)),0)</f>
        <v/>
      </c>
      <c r="S2082" t="n">
        <v>0</v>
      </c>
      <c r="T2082">
        <f>INDEX(FactorTable!$B$2:$Y$301, MATCH(ROUND(MIN(300,MAX(1,T2081)),0), FactorTable!$A$2:$A$301,0), 22)</f>
        <v/>
      </c>
      <c r="U2082" t="n">
        <v>0</v>
      </c>
      <c r="Z2082">
        <f>INDEX(FactorTable!$B$2:$Y$301, MATCH(ROUND(MIN(300,MAX(1,Z2081)),0), FactorTable!$A$2:$A$301,0), 24)</f>
        <v/>
      </c>
    </row>
    <row r="2083">
      <c r="A2083">
        <f>Skills!A4</f>
        <v/>
      </c>
      <c r="B2083">
        <f>Skills!B4</f>
        <v/>
      </c>
      <c r="C2083">
        <f>Inputs!$B$3&gt;=40</f>
        <v/>
      </c>
      <c r="D2083">
        <f>IF(Skills!C4=1,60+Inputs!$B$25+Inputs!$B$29,IF(Skills!C4=2,90+Inputs!$B$26+Inputs!$B$29,IF(Skills!C4=3,120+Inputs!$B$27+Inputs!$B$29,MAX(0,(Inputs!$B$3-100)*3)+Inputs!$B$28+Inputs!$B$29)))</f>
        <v/>
      </c>
      <c r="E2083">
        <f>INDEX(FactorTable!$B$2:$Y$301, MATCH(ROUND(MIN(300,MAX(1,D2083)),0), FactorTable!$A$2:$A$301,0), Skills!L4+1)</f>
        <v/>
      </c>
      <c r="F2083">
        <f>IF(Skills!M4=TRUE,(Skills!K4/10)*(E2083/1000),Skills!K4/10)+Skills!N4</f>
        <v/>
      </c>
      <c r="G2083">
        <f>Calc!G4</f>
        <v/>
      </c>
      <c r="H2083">
        <f>Calc!H4</f>
        <v/>
      </c>
      <c r="I2083">
        <f>IF(Skills!T4&lt;&gt;"",1+(Skills!T4/10)*(Z2082/1000)/100,1)</f>
        <v/>
      </c>
      <c r="J2083" t="inlineStr"/>
      <c r="K2083" t="inlineStr"/>
      <c r="L2083" t="inlineStr"/>
      <c r="M2083" t="inlineStr"/>
      <c r="N2083" t="inlineStr"/>
      <c r="O2083">
        <f>(1-Summary!$B$11)*S2083+Summary!$B$11*U2083</f>
        <v/>
      </c>
      <c r="P2083">
        <f>IF(B2116=0,0,O2083/B2116)</f>
        <v/>
      </c>
      <c r="Q2083">
        <f>IFERROR(1/(IF(Inputs!$B$38="pvp",15,MAX(0.1,Skills!D4-IF(TRUE=TRUE,Inputs!$B$32,0)))*(1-IF(AND(ArtifactsInput!$M$27,Inputs!$B$4="Chapter Hunt"),CHOOSE(ArtifactsInput!$N$27+1,20,24,28,32,36,40),0)/100)),0)</f>
        <v/>
      </c>
      <c r="R2083">
        <f>IF(AND(Inputs!$B$38&lt;&gt;"pvp",Inputs!$B$43&gt;0),IF(Inputs!$B$43&lt;=0,0,(INT(Inputs!$B$43/(IF(Inputs!$B$38="pvp",15,MAX(0.1,Skills!D4-IF(TRUE=TRUE,Inputs!$B$32,0)))*(1-IF(AND(ArtifactsInput!$M$27,Inputs!$B$4="Chapter Hunt"),CHOOSE(ArtifactsInput!$N$27+1,20,24,28,32,36,40),0)/100)))+1)),0)</f>
        <v/>
      </c>
      <c r="S2083" t="n">
        <v>0</v>
      </c>
      <c r="T2083">
        <f>290*T2082/1000</f>
        <v/>
      </c>
      <c r="U2083" t="n">
        <v>0</v>
      </c>
    </row>
    <row r="2084">
      <c r="A2084">
        <f>Skills!A5</f>
        <v/>
      </c>
      <c r="B2084">
        <f>Skills!B5</f>
        <v/>
      </c>
      <c r="C2084">
        <f>Inputs!$B$3&gt;=38</f>
        <v/>
      </c>
      <c r="D2084">
        <f>IF(Skills!C5=1,60+Inputs!$B$25+Inputs!$B$29,IF(Skills!C5=2,90+Inputs!$B$26+Inputs!$B$29,IF(Skills!C5=3,120+Inputs!$B$27+Inputs!$B$29,MAX(0,(Inputs!$B$3-100)*3)+Inputs!$B$28+Inputs!$B$29)))</f>
        <v/>
      </c>
      <c r="E2084">
        <f>INDEX(FactorTable!$B$2:$Y$301, MATCH(ROUND(MIN(300,MAX(1,D2084)),0), FactorTable!$A$2:$A$301,0), Skills!L5+1)</f>
        <v/>
      </c>
      <c r="F2084">
        <f>IF(Skills!M5=TRUE,(Skills!K5/10)*(E2084/1000),Skills!K5/10)+Skills!N5</f>
        <v/>
      </c>
      <c r="G2084">
        <f>Calc!G5</f>
        <v/>
      </c>
      <c r="H2084">
        <f>Calc!H5</f>
        <v/>
      </c>
      <c r="I2084">
        <f>IF(Skills!T5&lt;&gt;"",1+(Skills!T5/10)*(Z2082/1000)/100,1)</f>
        <v/>
      </c>
      <c r="J2084">
        <f>((Inputs!$B$6*(1+Inputs!$B$7/100))+(((Inputs!$B$12*(1+Inputs!$B$13/100))-(Inputs!$B$12*(1+Inputs!$B$13/100)))+0.25*(Inputs!$B$14-Inputs!$B$14))*(1+Inputs!$B$7/100))*(F2084/100)</f>
        <v/>
      </c>
      <c r="K2084">
        <f>J2084*(1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5="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2084)</f>
        <v/>
      </c>
      <c r="L2084">
        <f>K2084*(MIN(Inputs!$B$22+(F2097-Calc!F18),(Inputs!$B$23+(IF(ArtifactsInput!$M$15,CHOOSE(ArtifactsInput!$N$15+1,25,30,35,40,45,50)/100*(Inputs!$B$11-Inputs!$B$11),0))))/100+(Inputs!$B$23+(IF(ArtifactsInput!$M$15,CHOOSE(ArtifactsInput!$N$15+1,25,30,35,40,45,50)/100*(Inputs!$B$11-Inputs!$B$11),0)))/100)/2</f>
        <v/>
      </c>
      <c r="M2084">
        <f>L2084*(1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4">
        <f>L2084*(1-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2084*(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4">
        <f>(1-Summary!$B$11)*S2084+Summary!$B$11*U2084</f>
        <v/>
      </c>
      <c r="P2084">
        <f>IF(B2116=0,0,O2084/B2116)</f>
        <v/>
      </c>
      <c r="Q2084">
        <f>IFERROR(1/(IF(Inputs!$B$38="pvp",15,MAX(0.1,Skills!D5-IF(TRUE=TRUE,Inputs!$B$32,0)))*(1-IF(AND(ArtifactsInput!$M$27,Inputs!$B$4="Chapter Hunt"),CHOOSE(ArtifactsInput!$N$27+1,20,24,28,32,36,40),0)/100)),0)</f>
        <v/>
      </c>
      <c r="R2084">
        <f>IF(AND(Inputs!$B$38&lt;&gt;"pvp",Inputs!$B$43&gt;0),IF(MAX(0,Inputs!$B$43-B2113)&lt;=0,0,(INT(MAX(0,Inputs!$B$43-B2113)/(IF(Inputs!$B$38="pvp",15,MAX(0.1,Skills!D5-IF(TRUE=TRUE,Inputs!$B$32,0)))*(1-IF(AND(ArtifactsInput!$M$27,Inputs!$B$4="Chapter Hunt"),CHOOSE(ArtifactsInput!$N$27+1,20,24,28,32,36,40),0)/100)))+1)),0)</f>
        <v/>
      </c>
      <c r="S2084">
        <f>IF(C2084,(H2084*N2084*IF(AND(Inputs!$B$38&lt;&gt;"pvp",Inputs!$B$43&gt;0),((Skills!F5*((R2084-1)*IF(Skills!G5&gt;0,Skills!H5/Skills!G5,1)+IF(Skills!G5&gt;0,MIN(Skills!H5,MAX(0,MAX(0,Inputs!$B$43-B2113)-((R2084-1)*(IF(Inputs!$B$38="pvp",15,MAX(0.1,Skills!D5-IF(TRUE=TRUE,Inputs!$B$32,0)))*(1-IF(AND(ArtifactsInput!$M$27,Inputs!$B$4="Chapter Hunt"),CHOOSE(ArtifactsInput!$N$27+1,20,24,28,32,36,40),0)/100)))))/Skills!G5,1)))/Inputs!$B$43),G2084*Q2084))*IF(Inputs!$B$38="pvp",1,1+(Inputs!$B$20+Skills!O5+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2084*(1-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2084*(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2084*(1-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2084*(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4">
        <f>IF(C2084,(H2084*N2084*IF(AND(Inputs!$B$38&lt;&gt;"pvp",Inputs!$B$43&gt;0),((Skills!F5*((R2084-1)*IF(Skills!G5&gt;0,Skills!H5/Skills!G5,1)+IF(Skills!G5&gt;0,MIN(Skills!H5,MAX(0,MAX(0,Inputs!$B$43-B2113)-((R2084-1)*(IF(Inputs!$B$38="pvp",15,MAX(0.1,Skills!D5-IF(TRUE=TRUE,Inputs!$B$32,0)))*(1-IF(AND(ArtifactsInput!$M$27,Inputs!$B$4="Chapter Hunt"),CHOOSE(ArtifactsInput!$N$27+1,20,24,28,32,36,40),0)/100)))))/Skills!G5,1)))/Inputs!$B$43),G2084*Q2084))*IF(Inputs!$B$38="pvp",1,(1+(Inputs!$B$21+Skills!P5+B2107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5">
      <c r="A2085">
        <f>Skills!A6</f>
        <v/>
      </c>
      <c r="B2085">
        <f>Skills!B6</f>
        <v/>
      </c>
      <c r="C2085">
        <f>Inputs!$B$3&gt;=63</f>
        <v/>
      </c>
      <c r="D2085">
        <f>IF(Skills!C6=1,60+Inputs!$B$25+Inputs!$B$29,IF(Skills!C6=2,90+Inputs!$B$26+Inputs!$B$29,IF(Skills!C6=3,120+Inputs!$B$27+Inputs!$B$29,MAX(0,(Inputs!$B$3-100)*3)+Inputs!$B$28+Inputs!$B$29)))</f>
        <v/>
      </c>
      <c r="E2085">
        <f>INDEX(FactorTable!$B$2:$Y$301, MATCH(ROUND(MIN(300,MAX(1,D2085)),0), FactorTable!$A$2:$A$301,0), Skills!L6+1)</f>
        <v/>
      </c>
      <c r="F2085">
        <f>IF(Skills!M6=TRUE,(Skills!K6/10)*(E2085/1000),Skills!K6/10)+Skills!N6</f>
        <v/>
      </c>
      <c r="G2085">
        <f>Calc!G6</f>
        <v/>
      </c>
      <c r="H2085">
        <f>Calc!H6</f>
        <v/>
      </c>
      <c r="I2085">
        <f>IF(Skills!T6&lt;&gt;"",1+(Skills!T6/10)*(Z2082/1000)/100,1)</f>
        <v/>
      </c>
      <c r="J2085">
        <f>((Inputs!$B$6*(1+Inputs!$B$7/100))+(((Inputs!$B$12*(1+Inputs!$B$13/100))-(Inputs!$B$12*(1+Inputs!$B$13/100)))+0.25*(Inputs!$B$14-Inputs!$B$14))*(1+Inputs!$B$7/100))*(F2085/100)</f>
        <v/>
      </c>
      <c r="K2085">
        <f>J2085*(1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6="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2085)</f>
        <v/>
      </c>
      <c r="L2085">
        <f>K2085*(MIN(Inputs!$B$22+(F2097-Calc!F18),(Inputs!$B$23+(IF(ArtifactsInput!$M$15,CHOOSE(ArtifactsInput!$N$15+1,25,30,35,40,45,50)/100*(Inputs!$B$11-Inputs!$B$11),0))))/100+(Inputs!$B$23+(IF(ArtifactsInput!$M$15,CHOOSE(ArtifactsInput!$N$15+1,25,30,35,40,45,50)/100*(Inputs!$B$11-Inputs!$B$11),0)))/100)/2</f>
        <v/>
      </c>
      <c r="M2085">
        <f>L2085*(1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5">
        <f>L2085*(1-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2085*(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5">
        <f>(1-Summary!$B$11)*S2085+Summary!$B$11*U2085</f>
        <v/>
      </c>
      <c r="P2085">
        <f>IF(B2116=0,0,O2085/B2116)</f>
        <v/>
      </c>
      <c r="Q2085">
        <f>IFERROR(1/(IF(Inputs!$B$38="pvp",15,MAX(0.1,Skills!D6-IF(TRUE=TRUE,Inputs!$B$32,0)))*(1-IF(AND(ArtifactsInput!$M$27,Inputs!$B$4="Chapter Hunt"),CHOOSE(ArtifactsInput!$N$27+1,20,24,28,32,36,40),0)/100)),0)</f>
        <v/>
      </c>
      <c r="R2085">
        <f>IF(AND(Inputs!$B$38&lt;&gt;"pvp",Inputs!$B$43&gt;0),IF(MAX(0,Inputs!$B$43-B2113)&lt;=0,0,(INT(MAX(0,Inputs!$B$43-B2113)/(IF(Inputs!$B$38="pvp",15,MAX(0.1,Skills!D6-IF(TRUE=TRUE,Inputs!$B$32,0)))*(1-IF(AND(ArtifactsInput!$M$27,Inputs!$B$4="Chapter Hunt"),CHOOSE(ArtifactsInput!$N$27+1,20,24,28,32,36,40),0)/100)))+1)),0)</f>
        <v/>
      </c>
      <c r="S2085">
        <f>IF(C2085,(H2085*N2085*IF(AND(Inputs!$B$38&lt;&gt;"pvp",Inputs!$B$43&gt;0),((Skills!F6*((R2085-1)*IF(Skills!G6&gt;0,Skills!H6/Skills!G6,1)+IF(Skills!G6&gt;0,MIN(Skills!H6,MAX(0,MAX(0,Inputs!$B$43-B2113)-((R2085-1)*(IF(Inputs!$B$38="pvp",15,MAX(0.1,Skills!D6-IF(TRUE=TRUE,Inputs!$B$32,0)))*(1-IF(AND(ArtifactsInput!$M$27,Inputs!$B$4="Chapter Hunt"),CHOOSE(ArtifactsInput!$N$27+1,20,24,28,32,36,40),0)/100)))))/Skills!G6,1)))/Inputs!$B$43),G2085*Q2085))*IF(Inputs!$B$38="pvp",1,1+(Inputs!$B$20+Skills!O6+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2085*(1-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2085*(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2085*(1-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2085*(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5">
        <f>IF(C2085,(H2085*N2085*IF(AND(Inputs!$B$38&lt;&gt;"pvp",Inputs!$B$43&gt;0),((Skills!F6*((R2085-1)*IF(Skills!G6&gt;0,Skills!H6/Skills!G6,1)+IF(Skills!G6&gt;0,MIN(Skills!H6,MAX(0,MAX(0,Inputs!$B$43-B2113)-((R2085-1)*(IF(Inputs!$B$38="pvp",15,MAX(0.1,Skills!D6-IF(TRUE=TRUE,Inputs!$B$32,0)))*(1-IF(AND(ArtifactsInput!$M$27,Inputs!$B$4="Chapter Hunt"),CHOOSE(ArtifactsInput!$N$27+1,20,24,28,32,36,40),0)/100)))))/Skills!G6,1)))/Inputs!$B$43),G2085*Q2085))*IF(Inputs!$B$38="pvp",1,(1+(Inputs!$B$21+Skills!P6+B2107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6">
      <c r="A2086">
        <f>Skills!A7</f>
        <v/>
      </c>
      <c r="B2086">
        <f>Skills!B7</f>
        <v/>
      </c>
      <c r="C2086">
        <f>Inputs!$B$3&gt;=69</f>
        <v/>
      </c>
      <c r="D2086">
        <f>IF(Skills!C7=1,60+Inputs!$B$25+Inputs!$B$29,IF(Skills!C7=2,90+Inputs!$B$26+Inputs!$B$29,IF(Skills!C7=3,120+Inputs!$B$27+Inputs!$B$29,MAX(0,(Inputs!$B$3-100)*3)+Inputs!$B$28+Inputs!$B$29)))</f>
        <v/>
      </c>
      <c r="E2086">
        <f>INDEX(FactorTable!$B$2:$Y$301, MATCH(ROUND(MIN(300,MAX(1,D2086)),0), FactorTable!$A$2:$A$301,0), Skills!L7+1)</f>
        <v/>
      </c>
      <c r="F2086">
        <f>IF(Skills!M7=TRUE,(Skills!K7/10)*(E2086/1000),Skills!K7/10)+Skills!N7</f>
        <v/>
      </c>
      <c r="G2086">
        <f>Calc!G7</f>
        <v/>
      </c>
      <c r="H2086">
        <f>Calc!H7</f>
        <v/>
      </c>
      <c r="I2086">
        <f>IF(Skills!T7&lt;&gt;"",1+(Skills!T7/10)*(Z2082/1000)/100,1)</f>
        <v/>
      </c>
      <c r="J2086">
        <f>((Inputs!$B$6*(1+Inputs!$B$7/100))+(((Inputs!$B$12*(1+Inputs!$B$13/100))-(Inputs!$B$12*(1+Inputs!$B$13/100)))+0.25*(Inputs!$B$14-Inputs!$B$14))*(1+Inputs!$B$7/100))*(F2086/100)</f>
        <v/>
      </c>
      <c r="K2086">
        <f>J2086*(1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7="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2086)</f>
        <v/>
      </c>
      <c r="L2086">
        <f>K2086*(MIN(Inputs!$B$22+(F2097-Calc!F18),(Inputs!$B$23+(IF(ArtifactsInput!$M$15,CHOOSE(ArtifactsInput!$N$15+1,25,30,35,40,45,50)/100*(Inputs!$B$11-Inputs!$B$11),0))))/100+(Inputs!$B$23+(IF(ArtifactsInput!$M$15,CHOOSE(ArtifactsInput!$N$15+1,25,30,35,40,45,50)/100*(Inputs!$B$11-Inputs!$B$11),0)))/100)/2</f>
        <v/>
      </c>
      <c r="M2086">
        <f>L2086*(1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6">
        <f>L2086*(1-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2086*(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6">
        <f>(1-Summary!$B$11)*S2086+Summary!$B$11*U2086</f>
        <v/>
      </c>
      <c r="P2086">
        <f>IF(B2116=0,0,O2086/B2116)</f>
        <v/>
      </c>
      <c r="Q2086">
        <f>IFERROR(1/(IF(Inputs!$B$38="pvp",15,MAX(0.1,Skills!D7-IF(TRUE=TRUE,Inputs!$B$32,0)))*(1-IF(AND(ArtifactsInput!$M$27,Inputs!$B$4="Chapter Hunt"),CHOOSE(ArtifactsInput!$N$27+1,20,24,28,32,36,40),0)/100)),0)</f>
        <v/>
      </c>
      <c r="R2086">
        <f>IF(AND(Inputs!$B$38&lt;&gt;"pvp",Inputs!$B$43&gt;0),IF(MAX(0,Inputs!$B$43-B2113)&lt;=0,0,(INT(MAX(0,Inputs!$B$43-B2113)/(IF(Inputs!$B$38="pvp",15,MAX(0.1,Skills!D7-IF(TRUE=TRUE,Inputs!$B$32,0)))*(1-IF(AND(ArtifactsInput!$M$27,Inputs!$B$4="Chapter Hunt"),CHOOSE(ArtifactsInput!$N$27+1,20,24,28,32,36,40),0)/100)))+1)),0)</f>
        <v/>
      </c>
      <c r="S2086">
        <f>IF(C2086,(H2086*N2086*IF(AND(Inputs!$B$38&lt;&gt;"pvp",Inputs!$B$43&gt;0),((Skills!F7*((R2086-1)*IF(Skills!G7&gt;0,Skills!H7/Skills!G7,1)+IF(Skills!G7&gt;0,MIN(Skills!H7,MAX(0,MAX(0,Inputs!$B$43-B2113)-((R2086-1)*(IF(Inputs!$B$38="pvp",15,MAX(0.1,Skills!D7-IF(TRUE=TRUE,Inputs!$B$32,0)))*(1-IF(AND(ArtifactsInput!$M$27,Inputs!$B$4="Chapter Hunt"),CHOOSE(ArtifactsInput!$N$27+1,20,24,28,32,36,40),0)/100)))))/Skills!G7,1)))/Inputs!$B$43),G2086*Q2086))*IF(Inputs!$B$38="pvp",1,1+(Inputs!$B$20+Skills!O7+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2086*(1-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2086*(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2086*(1-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2086*(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6">
        <f>IF(C2086,(H2086*N2086*IF(AND(Inputs!$B$38&lt;&gt;"pvp",Inputs!$B$43&gt;0),((Skills!F7*((R2086-1)*IF(Skills!G7&gt;0,Skills!H7/Skills!G7,1)+IF(Skills!G7&gt;0,MIN(Skills!H7,MAX(0,MAX(0,Inputs!$B$43-B2113)-((R2086-1)*(IF(Inputs!$B$38="pvp",15,MAX(0.1,Skills!D7-IF(TRUE=TRUE,Inputs!$B$32,0)))*(1-IF(AND(ArtifactsInput!$M$27,Inputs!$B$4="Chapter Hunt"),CHOOSE(ArtifactsInput!$N$27+1,20,24,28,32,36,40),0)/100)))))/Skills!G7,1)))/Inputs!$B$43),G2086*Q2086))*IF(Inputs!$B$38="pvp",1,(1+(Inputs!$B$21+Skills!P7+B2107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7">
      <c r="A2087">
        <f>Skills!A8</f>
        <v/>
      </c>
      <c r="B2087">
        <f>Skills!B8</f>
        <v/>
      </c>
      <c r="C2087">
        <f>Inputs!$B$3&gt;=103</f>
        <v/>
      </c>
      <c r="D2087">
        <f>IF(Skills!C8=1,60+Inputs!$B$25+Inputs!$B$29,IF(Skills!C8=2,90+Inputs!$B$26+Inputs!$B$29,IF(Skills!C8=3,120+Inputs!$B$27+Inputs!$B$29,MAX(0,(Inputs!$B$3-100)*3)+Inputs!$B$28+Inputs!$B$29)))</f>
        <v/>
      </c>
      <c r="E2087">
        <f>INDEX(FactorTable!$B$2:$Y$301, MATCH(ROUND(MIN(300,MAX(1,D2087)),0), FactorTable!$A$2:$A$301,0), Skills!L8+1)</f>
        <v/>
      </c>
      <c r="F2087">
        <f>IF(Skills!M8=TRUE,(Skills!K8/10)*(E2087/1000),Skills!K8/10)+Skills!N8</f>
        <v/>
      </c>
      <c r="G2087">
        <f>Calc!G8</f>
        <v/>
      </c>
      <c r="H2087">
        <f>Calc!H8</f>
        <v/>
      </c>
      <c r="I2087">
        <f>IF(Skills!T8&lt;&gt;"",1+(Skills!T8/10)*(Z2082/1000)/100,1)</f>
        <v/>
      </c>
      <c r="J2087">
        <f>((Inputs!$B$6*(1+Inputs!$B$7/100))+(((Inputs!$B$12*(1+Inputs!$B$13/100))-(Inputs!$B$12*(1+Inputs!$B$13/100)))+0.25*(Inputs!$B$14-Inputs!$B$14))*(1+Inputs!$B$7/100))*(F2087/100)</f>
        <v/>
      </c>
      <c r="K2087">
        <f>J2087*(1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8="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2087)</f>
        <v/>
      </c>
      <c r="L2087">
        <f>K2087*(MIN(Inputs!$B$22+(F2097-Calc!F18),(Inputs!$B$23+(IF(ArtifactsInput!$M$15,CHOOSE(ArtifactsInput!$N$15+1,25,30,35,40,45,50)/100*(Inputs!$B$11-Inputs!$B$11),0))))/100+(Inputs!$B$23+(IF(ArtifactsInput!$M$15,CHOOSE(ArtifactsInput!$N$15+1,25,30,35,40,45,50)/100*(Inputs!$B$11-Inputs!$B$11),0)))/100)/2</f>
        <v/>
      </c>
      <c r="M2087">
        <f>L2087*(1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7">
        <f>L2087*(1-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2087*(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7">
        <f>(1-Summary!$B$11)*S2087+Summary!$B$11*U2087</f>
        <v/>
      </c>
      <c r="P2087">
        <f>IF(B2116=0,0,O2087/B2116)</f>
        <v/>
      </c>
      <c r="Q2087">
        <f>IFERROR(1/(IF(Inputs!$B$38="pvp",15,MAX(0.1,Skills!D8-IF(TRUE=TRUE,Inputs!$B$32,0)))*(1-IF(AND(ArtifactsInput!$M$27,Inputs!$B$4="Chapter Hunt"),CHOOSE(ArtifactsInput!$N$27+1,20,24,28,32,36,40),0)/100)),0)</f>
        <v/>
      </c>
      <c r="R2087">
        <f>IF(AND(Inputs!$B$38&lt;&gt;"pvp",Inputs!$B$43&gt;0),IF(MAX(0,Inputs!$B$43-B2113)&lt;=0,0,(INT(MAX(0,Inputs!$B$43-B2113)/(IF(Inputs!$B$38="pvp",15,MAX(0.1,Skills!D8-IF(TRUE=TRUE,Inputs!$B$32,0)))*(1-IF(AND(ArtifactsInput!$M$27,Inputs!$B$4="Chapter Hunt"),CHOOSE(ArtifactsInput!$N$27+1,20,24,28,32,36,40),0)/100)))+1)),0)</f>
        <v/>
      </c>
      <c r="S2087">
        <f>IF(C2087,(H2087*N2087*IF(AND(Inputs!$B$38&lt;&gt;"pvp",Inputs!$B$43&gt;0),((Skills!F8*((R2087-1)*IF(Skills!G8&gt;0,Skills!H8/Skills!G8,1)+IF(Skills!G8&gt;0,MIN(Skills!H8,MAX(0,MAX(0,Inputs!$B$43-B2113)-((R2087-1)*(IF(Inputs!$B$38="pvp",15,MAX(0.1,Skills!D8-IF(TRUE=TRUE,Inputs!$B$32,0)))*(1-IF(AND(ArtifactsInput!$M$27,Inputs!$B$4="Chapter Hunt"),CHOOSE(ArtifactsInput!$N$27+1,20,24,28,32,36,40),0)/100)))))/Skills!G8,1)))/Inputs!$B$43),G2087*Q2087))*IF(Inputs!$B$38="pvp",1,1+(Inputs!$B$20+Skills!O8+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2087*(1-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2087*(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2087*(1-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2087*(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7">
        <f>IF(C2087,(H2087*N2087*IF(AND(Inputs!$B$38&lt;&gt;"pvp",Inputs!$B$43&gt;0),((Skills!F8*((R2087-1)*IF(Skills!G8&gt;0,Skills!H8/Skills!G8,1)+IF(Skills!G8&gt;0,MIN(Skills!H8,MAX(0,MAX(0,Inputs!$B$43-B2113)-((R2087-1)*(IF(Inputs!$B$38="pvp",15,MAX(0.1,Skills!D8-IF(TRUE=TRUE,Inputs!$B$32,0)))*(1-IF(AND(ArtifactsInput!$M$27,Inputs!$B$4="Chapter Hunt"),CHOOSE(ArtifactsInput!$N$27+1,20,24,28,32,36,40),0)/100)))))/Skills!G8,1)))/Inputs!$B$43),G2087*Q2087))*IF(Inputs!$B$38="pvp",1,(1+(Inputs!$B$21+Skills!P8+B2107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8">
      <c r="A2088">
        <f>Skills!A9</f>
        <v/>
      </c>
      <c r="B2088">
        <f>Skills!B9</f>
        <v/>
      </c>
      <c r="C2088">
        <f>Inputs!$B$3&gt;=105</f>
        <v/>
      </c>
      <c r="D2088">
        <f>IF(Skills!C9=1,60+Inputs!$B$25+Inputs!$B$29,IF(Skills!C9=2,90+Inputs!$B$26+Inputs!$B$29,IF(Skills!C9=3,120+Inputs!$B$27+Inputs!$B$29,MAX(0,(Inputs!$B$3-100)*3)+Inputs!$B$28+Inputs!$B$29)))</f>
        <v/>
      </c>
      <c r="E2088">
        <f>INDEX(FactorTable!$B$2:$Y$301, MATCH(ROUND(MIN(300,MAX(1,D2088)),0), FactorTable!$A$2:$A$301,0), Skills!L9+1)</f>
        <v/>
      </c>
      <c r="F2088">
        <f>IF(Skills!M9=TRUE,(Skills!K9/10)*(E2088/1000),Skills!K9/10)+Skills!N9</f>
        <v/>
      </c>
      <c r="G2088">
        <f>Calc!G9</f>
        <v/>
      </c>
      <c r="H2088">
        <f>Calc!H9</f>
        <v/>
      </c>
      <c r="I2088">
        <f>IF(Skills!T9&lt;&gt;"",1+(Skills!T9/10)*(Z2082/1000)/100,1)</f>
        <v/>
      </c>
      <c r="J2088">
        <f>((Inputs!$B$6*(1+Inputs!$B$7/100))+(((Inputs!$B$12*(1+Inputs!$B$13/100))-(Inputs!$B$12*(1+Inputs!$B$13/100)))+0.25*(Inputs!$B$14-Inputs!$B$14))*(1+Inputs!$B$7/100))*(F2088/100)</f>
        <v/>
      </c>
      <c r="K2088">
        <f>J2088*(1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9="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2088)</f>
        <v/>
      </c>
      <c r="L2088">
        <f>K2088*(MIN(Inputs!$B$22+(F2097-Calc!F18),(Inputs!$B$23+(IF(ArtifactsInput!$M$15,CHOOSE(ArtifactsInput!$N$15+1,25,30,35,40,45,50)/100*(Inputs!$B$11-Inputs!$B$11),0))))/100+(Inputs!$B$23+(IF(ArtifactsInput!$M$15,CHOOSE(ArtifactsInput!$N$15+1,25,30,35,40,45,50)/100*(Inputs!$B$11-Inputs!$B$11),0)))/100)/2</f>
        <v/>
      </c>
      <c r="M2088">
        <f>L2088*(1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8">
        <f>L2088*(1-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2088*(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8">
        <f>(1-Summary!$B$11)*S2088+Summary!$B$11*U2088</f>
        <v/>
      </c>
      <c r="P2088">
        <f>IF(B2116=0,0,O2088/B2116)</f>
        <v/>
      </c>
      <c r="Q2088">
        <f>IFERROR(1/(IF(Inputs!$B$38="pvp",15,MAX(0.1,Skills!D9-IF(TRUE=TRUE,Inputs!$B$32,0)))*(1-IF(AND(ArtifactsInput!$M$27,Inputs!$B$4="Chapter Hunt"),CHOOSE(ArtifactsInput!$N$27+1,20,24,28,32,36,40),0)/100)),0)</f>
        <v/>
      </c>
      <c r="R2088">
        <f>IF(AND(Inputs!$B$38&lt;&gt;"pvp",Inputs!$B$43&gt;0),IF(MAX(0,Inputs!$B$43-B2113)&lt;=0,0,(INT(MAX(0,Inputs!$B$43-B2113)/(IF(Inputs!$B$38="pvp",15,MAX(0.1,Skills!D9-IF(TRUE=TRUE,Inputs!$B$32,0)))*(1-IF(AND(ArtifactsInput!$M$27,Inputs!$B$4="Chapter Hunt"),CHOOSE(ArtifactsInput!$N$27+1,20,24,28,32,36,40),0)/100)))+1)),0)</f>
        <v/>
      </c>
      <c r="S2088">
        <f>IF(C2088,(H2088*N2088*IF(AND(Inputs!$B$38&lt;&gt;"pvp",Inputs!$B$43&gt;0),((Skills!F9*((R2088-1)*IF(Skills!G9&gt;0,Skills!H9/Skills!G9,1)+IF(Skills!G9&gt;0,MIN(Skills!H9,MAX(0,MAX(0,Inputs!$B$43-B2113)-((R2088-1)*(IF(Inputs!$B$38="pvp",15,MAX(0.1,Skills!D9-IF(TRUE=TRUE,Inputs!$B$32,0)))*(1-IF(AND(ArtifactsInput!$M$27,Inputs!$B$4="Chapter Hunt"),CHOOSE(ArtifactsInput!$N$27+1,20,24,28,32,36,40),0)/100)))))/Skills!G9,1)))/Inputs!$B$43),G2088*Q2088))*IF(Inputs!$B$38="pvp",1,1+(Inputs!$B$20+Skills!O9+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2088*(1-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2088*(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2088*(1-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2088*(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8">
        <f>IF(C2088,(H2088*N2088*IF(AND(Inputs!$B$38&lt;&gt;"pvp",Inputs!$B$43&gt;0),((Skills!F9*((R2088-1)*IF(Skills!G9&gt;0,Skills!H9/Skills!G9,1)+IF(Skills!G9&gt;0,MIN(Skills!H9,MAX(0,MAX(0,Inputs!$B$43-B2113)-((R2088-1)*(IF(Inputs!$B$38="pvp",15,MAX(0.1,Skills!D9-IF(TRUE=TRUE,Inputs!$B$32,0)))*(1-IF(AND(ArtifactsInput!$M$27,Inputs!$B$4="Chapter Hunt"),CHOOSE(ArtifactsInput!$N$27+1,20,24,28,32,36,40),0)/100)))))/Skills!G9,1)))/Inputs!$B$43),G2088*Q2088))*IF(Inputs!$B$38="pvp",1,(1+(Inputs!$B$21+Skills!P9+B2107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89">
      <c r="A2089">
        <f>Skills!A10</f>
        <v/>
      </c>
      <c r="B2089">
        <f>Skills!B10</f>
        <v/>
      </c>
      <c r="C2089">
        <f>Inputs!$B$3&gt;=113</f>
        <v/>
      </c>
      <c r="D2089">
        <f>IF(Skills!C10=1,60+Inputs!$B$25+Inputs!$B$29,IF(Skills!C10=2,90+Inputs!$B$26+Inputs!$B$29,IF(Skills!C10=3,120+Inputs!$B$27+Inputs!$B$29,MAX(0,(Inputs!$B$3-100)*3)+Inputs!$B$28+Inputs!$B$29)))</f>
        <v/>
      </c>
      <c r="E2089">
        <f>INDEX(FactorTable!$B$2:$Y$301, MATCH(ROUND(MIN(300,MAX(1,D2089)),0), FactorTable!$A$2:$A$301,0), Skills!L10+1)</f>
        <v/>
      </c>
      <c r="F2089">
        <f>IF(Skills!M10=TRUE,(Skills!K10/10)*(E2089/1000),Skills!K10/10)+Skills!N10</f>
        <v/>
      </c>
      <c r="G2089">
        <f>Calc!G10</f>
        <v/>
      </c>
      <c r="H2089">
        <f>Calc!H10</f>
        <v/>
      </c>
      <c r="I2089">
        <f>IF(Skills!T10&lt;&gt;"",1+(Skills!T10/10)*(Z2082/1000)/100,1)</f>
        <v/>
      </c>
      <c r="J2089">
        <f>((Inputs!$B$6*(1+Inputs!$B$7/100))+(((Inputs!$B$12*(1+Inputs!$B$13/100))-(Inputs!$B$12*(1+Inputs!$B$13/100)))+0.25*(Inputs!$B$14-Inputs!$B$14))*(1+Inputs!$B$7/100))*(F2089/100)</f>
        <v/>
      </c>
      <c r="K2089">
        <f>J2089*(1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10="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2089)</f>
        <v/>
      </c>
      <c r="L2089">
        <f>K2089*(MIN(Inputs!$B$22+(F2097-Calc!F18),(Inputs!$B$23+(IF(ArtifactsInput!$M$15,CHOOSE(ArtifactsInput!$N$15+1,25,30,35,40,45,50)/100*(Inputs!$B$11-Inputs!$B$11),0))))/100+(Inputs!$B$23+(IF(ArtifactsInput!$M$15,CHOOSE(ArtifactsInput!$N$15+1,25,30,35,40,45,50)/100*(Inputs!$B$11-Inputs!$B$11),0)))/100)/2</f>
        <v/>
      </c>
      <c r="M2089">
        <f>L2089*(1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89">
        <f>L2089*(1-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2089*(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9">
        <f>(1-Summary!$B$11)*S2089+Summary!$B$11*U2089</f>
        <v/>
      </c>
      <c r="P2089">
        <f>IF(B2116=0,0,O2089/B2116)</f>
        <v/>
      </c>
      <c r="Q2089">
        <f>IFERROR(1/(IF(Inputs!$B$38="pvp",15,MAX(0.1,Skills!D10-IF(TRUE=TRUE,Inputs!$B$32,0)))*(1-IF(AND(ArtifactsInput!$M$27,Inputs!$B$4="Chapter Hunt"),CHOOSE(ArtifactsInput!$N$27+1,20,24,28,32,36,40),0)/100)),0)</f>
        <v/>
      </c>
      <c r="R2089" t="n">
        <v>0</v>
      </c>
      <c r="S2089">
        <f>IF(C2089,((H2089*B2117)/(1+Skills!G10*H2089*B2117)*N2089)*IF(Inputs!$B$38="pvp",1,1+(Inputs!$B$20+Skills!O10+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2089*(1-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2089*(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2089*(1-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2089*(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9">
        <f>IF(C2089,((H2089*B2117)/(1+Skills!G10*H2089*B2117)*N2089)*IF(Inputs!$B$38="pvp",1,(1+(Inputs!$B$21+Skills!P10+B2107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0">
      <c r="A2090">
        <f>Skills!A11</f>
        <v/>
      </c>
      <c r="B2090">
        <f>Skills!B11</f>
        <v/>
      </c>
      <c r="C2090">
        <f>Inputs!$B$3&gt;=107</f>
        <v/>
      </c>
      <c r="D2090">
        <f>IF(Skills!C11=1,60+Inputs!$B$25+Inputs!$B$29,IF(Skills!C11=2,90+Inputs!$B$26+Inputs!$B$29,IF(Skills!C11=3,120+Inputs!$B$27+Inputs!$B$29,MAX(0,(Inputs!$B$3-100)*3)+Inputs!$B$28+Inputs!$B$29)))</f>
        <v/>
      </c>
      <c r="E2090">
        <f>INDEX(FactorTable!$B$2:$Y$301, MATCH(ROUND(MIN(300,MAX(1,D2090)),0), FactorTable!$A$2:$A$301,0), Skills!L11+1)</f>
        <v/>
      </c>
      <c r="F2090">
        <f>IF(Skills!M11=TRUE,(Skills!K11/10)*(E2090/1000),Skills!K11/10)+Skills!N11</f>
        <v/>
      </c>
      <c r="G2090">
        <f>Calc!G11</f>
        <v/>
      </c>
      <c r="H2090">
        <f>Calc!H11</f>
        <v/>
      </c>
      <c r="I2090">
        <f>IF(Skills!T11&lt;&gt;"",1+(Skills!T11/10)*(Z2082/1000)/100,1)</f>
        <v/>
      </c>
      <c r="J2090">
        <f>((Inputs!$B$6*(1+Inputs!$B$7/100))+(((Inputs!$B$12*(1+Inputs!$B$13/100))-(Inputs!$B$12*(1+Inputs!$B$13/100)))+0.25*(Inputs!$B$14-Inputs!$B$14))*(1+Inputs!$B$7/100))*(F2090/100)</f>
        <v/>
      </c>
      <c r="K2090">
        <f>J2090*(1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11="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2090)</f>
        <v/>
      </c>
      <c r="L2090">
        <f>K2090*(MIN(Inputs!$B$22+(F2097-Calc!F18),(Inputs!$B$23+(IF(ArtifactsInput!$M$15,CHOOSE(ArtifactsInput!$N$15+1,25,30,35,40,45,50)/100*(Inputs!$B$11-Inputs!$B$11),0))))/100+(Inputs!$B$23+(IF(ArtifactsInput!$M$15,CHOOSE(ArtifactsInput!$N$15+1,25,30,35,40,45,50)/100*(Inputs!$B$11-Inputs!$B$11),0)))/100)/2</f>
        <v/>
      </c>
      <c r="M2090">
        <f>L2090*(1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90">
        <f>L2090*(1-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2090*(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0">
        <f>(1-Summary!$B$11)*S2090+Summary!$B$11*U2090</f>
        <v/>
      </c>
      <c r="P2090">
        <f>IF(B2116=0,0,O2090/B2116)</f>
        <v/>
      </c>
      <c r="Q2090">
        <f>IFERROR(1/(IF(Inputs!$B$38="pvp",15,MAX(0.1,Skills!D11-IF(TRUE=TRUE,Inputs!$B$32,0)))*(1-IF(AND(ArtifactsInput!$M$27,Inputs!$B$4="Chapter Hunt"),CHOOSE(ArtifactsInput!$N$27+1,20,24,28,32,36,40),0)/100)),0)</f>
        <v/>
      </c>
      <c r="R2090">
        <f>IF(AND(Inputs!$B$38&lt;&gt;"pvp",Inputs!$B$43&gt;0),IF(MAX(0,Inputs!$B$43-B2113)&lt;=0,0,(INT(MAX(0,Inputs!$B$43-B2113)/(IF(Inputs!$B$38="pvp",15,MAX(0.1,Skills!D11-IF(TRUE=TRUE,Inputs!$B$32,0)))*(1-IF(AND(ArtifactsInput!$M$27,Inputs!$B$4="Chapter Hunt"),CHOOSE(ArtifactsInput!$N$27+1,20,24,28,32,36,40),0)/100)))+1)),0)</f>
        <v/>
      </c>
      <c r="S2090">
        <f>IF(C2090,H2090*N2090*IF(AND(Inputs!$B$38&lt;&gt;"pvp",Inputs!$B$43&gt;0),((Skills!F11*((R2090-1)*IF(Skills!G11&gt;0,Skills!H11/Skills!G11,1)+IF(Skills!G11&gt;0,MIN(Skills!H11,MAX(0,MAX(0,Inputs!$B$43-B2113)-((R2090-1)*(IF(Inputs!$B$38="pvp",15,MAX(0.1,Skills!D11-IF(TRUE=TRUE,Inputs!$B$32,0)))*(1-IF(AND(ArtifactsInput!$M$27,Inputs!$B$4="Chapter Hunt"),CHOOSE(ArtifactsInput!$N$27+1,20,24,28,32,36,40),0)/100)))))/Skills!G11,1)))/Inputs!$B$43),G2090*Q2090)*0.5*IF(Inputs!$B$38="pvp",1,1+(Inputs!$B$20+Skills!O11+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2090*(1-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2090*(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2090*(1-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2090*(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0">
        <f>IF(C2090,H2090*N2090*IF(AND(Inputs!$B$38&lt;&gt;"pvp",Inputs!$B$43&gt;0),((Skills!F11*((R2090-1)*IF(Skills!G11&gt;0,Skills!H11/Skills!G11,1)+IF(Skills!G11&gt;0,MIN(Skills!H11,MAX(0,MAX(0,Inputs!$B$43-B2113)-((R2090-1)*(IF(Inputs!$B$38="pvp",15,MAX(0.1,Skills!D11-IF(TRUE=TRUE,Inputs!$B$32,0)))*(1-IF(AND(ArtifactsInput!$M$27,Inputs!$B$4="Chapter Hunt"),CHOOSE(ArtifactsInput!$N$27+1,20,24,28,32,36,40),0)/100)))))/Skills!G11,1)))/Inputs!$B$43),G2090*Q2090)*1*IF(Inputs!$B$38="pvp",1,(1+(Inputs!$B$21+Skills!P11+B2107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1">
      <c r="A2091">
        <f>Skills!A12</f>
        <v/>
      </c>
      <c r="B2091">
        <f>Skills!B12</f>
        <v/>
      </c>
      <c r="C2091">
        <f>Inputs!$B$3&gt;=115</f>
        <v/>
      </c>
      <c r="D2091">
        <f>IF(Skills!C12=1,60+Inputs!$B$25+Inputs!$B$29,IF(Skills!C12=2,90+Inputs!$B$26+Inputs!$B$29,IF(Skills!C12=3,120+Inputs!$B$27+Inputs!$B$29,MAX(0,(Inputs!$B$3-100)*3)+Inputs!$B$28+Inputs!$B$29)))</f>
        <v/>
      </c>
      <c r="E2091">
        <f>INDEX(FactorTable!$B$2:$Y$301, MATCH(ROUND(MIN(300,MAX(1,D2091)),0), FactorTable!$A$2:$A$301,0), Skills!L12+1)</f>
        <v/>
      </c>
      <c r="F2091">
        <f>IF(Skills!M12=TRUE,(Skills!K12/10)*(E2091/1000),Skills!K12/10)+Skills!N12</f>
        <v/>
      </c>
      <c r="G2091">
        <f>Calc!G12</f>
        <v/>
      </c>
      <c r="H2091">
        <f>Calc!H12</f>
        <v/>
      </c>
      <c r="I2091">
        <f>IF(Skills!T12&lt;&gt;"",1+(Skills!T12/10)*(Z2082/1000)/100,1)</f>
        <v/>
      </c>
      <c r="J2091">
        <f>((Inputs!$B$6*(1+Inputs!$B$7/100))+(((Inputs!$B$12*(1+Inputs!$B$13/100))-(Inputs!$B$12*(1+Inputs!$B$13/100)))+0.25*(Inputs!$B$14-Inputs!$B$14))*(1+Inputs!$B$7/100))*(F2091/100)</f>
        <v/>
      </c>
      <c r="K2091">
        <f>J2091*(1+((Inputs!$B$12*(1+Inputs!$B$13/100))*0.01+Inputs!$B$14*0.0025)/100)*(1+(Inputs!$B$15+B2108)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2094=TRUE,F2094,0)/100)*(1+IF(C2102=TRUE,F2102,0)/100)^5*(1+(IF(Skills!A12="CHAIN_LIGHTNING",Inputs!$B$17+((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2106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2091)</f>
        <v/>
      </c>
      <c r="L2091">
        <f>K2091*(MIN(Inputs!$B$22+(F2097-Calc!F18),(Inputs!$B$23+(IF(ArtifactsInput!$M$15,CHOOSE(ArtifactsInput!$N$15+1,25,30,35,40,45,50)/100*(Inputs!$B$11-Inputs!$B$11),0))))/100+(Inputs!$B$23+(IF(ArtifactsInput!$M$15,CHOOSE(ArtifactsInput!$N$15+1,25,30,35,40,45,50)/100*(Inputs!$B$11-Inputs!$B$11),0)))/100)/2</f>
        <v/>
      </c>
      <c r="M2091">
        <f>L2091*(1+(Inputs!$B$10+(F2100-Calc!F21)+(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091">
        <f>L2091*(1-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2091*(MIN((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1">
        <f>(1-Summary!$B$11)*S2091+Summary!$B$11*U2091</f>
        <v/>
      </c>
      <c r="P2091">
        <f>IF(B2116=0,0,O2091/B2116)</f>
        <v/>
      </c>
      <c r="Q2091">
        <f>IFERROR(1/(IF(Inputs!$B$38="pvp",15,MAX(0.1,Skills!D12-IF(TRUE=TRUE,Inputs!$B$32,0)))*(1-IF(AND(ArtifactsInput!$M$27,Inputs!$B$4="Chapter Hunt"),CHOOSE(ArtifactsInput!$N$27+1,20,24,28,32,36,40),0)/100)),0)</f>
        <v/>
      </c>
      <c r="R2091">
        <f>IF(AND(Inputs!$B$38&lt;&gt;"pvp",Inputs!$B$43&gt;0),IF(MAX(0,Inputs!$B$43-B2113)&lt;=0,0,(INT(MAX(0,Inputs!$B$43-B2113)/(IF(Inputs!$B$38="pvp",15,MAX(0.1,Skills!D12-IF(TRUE=TRUE,Inputs!$B$32,0)))*(1-IF(AND(ArtifactsInput!$M$27,Inputs!$B$4="Chapter Hunt"),CHOOSE(ArtifactsInput!$N$27+1,20,24,28,32,36,40),0)/100)))+1)),0)</f>
        <v/>
      </c>
      <c r="S2091">
        <f>IF(C2091,(H2091*N2091*IF(AND(Inputs!$B$38&lt;&gt;"pvp",Inputs!$B$43&gt;0),((Skills!F12*((R2091-1)*IF(Skills!G12&gt;0,Skills!H12/Skills!G12,1)+IF(Skills!G12&gt;0,MIN(Skills!H12,MAX(0,MAX(0,Inputs!$B$43-B2113)-((R2091-1)*(IF(Inputs!$B$38="pvp",15,MAX(0.1,Skills!D12-IF(TRUE=TRUE,Inputs!$B$32,0)))*(1-IF(AND(ArtifactsInput!$M$27,Inputs!$B$4="Chapter Hunt"),CHOOSE(ArtifactsInput!$N$27+1,20,24,28,32,36,40),0)/100)))))/Skills!G12,1)))/Inputs!$B$43),G2091*Q2091))*IF(Inputs!$B$38="pvp",1,1+(Inputs!$B$20+Skills!O12+B2107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2091*(1-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2091*(1-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2091*(MIN(100,(Inputs!$B$9+((F2099-Calc!F20)+(F2098-Calc!F19))+(ArtifactsInput!$M$24-ArtifactsInput!$M$24)*CHOOSE(ArtifactsInput!$N$24+1,10,12,14,16,18,20)+(IF(AND(Inputs!$B$38&lt;&gt;"pvp",Inputs!$B$43=0),1,IF(IF(Inputs!$B$38="pvp",15,Inputs!$B$43)-(B2113)&lt;=0,1,MAX(0,IF(Inputs!$B$38="pvp",15,Inputs!$B$43)-MAX(5,B2113))/(IF(Inputs!$B$38="pvp",15,Inputs!$B$43)-(B2113)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1">
        <f>IF(C2091,(H2091*N2091*IF(AND(Inputs!$B$38&lt;&gt;"pvp",Inputs!$B$43&gt;0),((Skills!F12*((R2091-1)*IF(Skills!G12&gt;0,Skills!H12/Skills!G12,1)+IF(Skills!G12&gt;0,MIN(Skills!H12,MAX(0,MAX(0,Inputs!$B$43-B2113)-((R2091-1)*(IF(Inputs!$B$38="pvp",15,MAX(0.1,Skills!D12-IF(TRUE=TRUE,Inputs!$B$32,0)))*(1-IF(AND(ArtifactsInput!$M$27,Inputs!$B$4="Chapter Hunt"),CHOOSE(ArtifactsInput!$N$27+1,20,24,28,32,36,40),0)/100)))))/Skills!G12,1)))/Inputs!$B$43),G2091*Q2091))*IF(Inputs!$B$38="pvp",1,(1+(Inputs!$B$21+Skills!P12+B2107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2">
      <c r="A2092">
        <f>Skills!A13</f>
        <v/>
      </c>
      <c r="B2092">
        <f>Skills!B13</f>
        <v/>
      </c>
      <c r="C2092">
        <f>Inputs!$B$3&gt;=49</f>
        <v/>
      </c>
      <c r="D2092">
        <f>IF(Skills!C13=1,60+Inputs!$B$25+Inputs!$B$29,IF(Skills!C13=2,90+Inputs!$B$26+Inputs!$B$29,IF(Skills!C13=3,120+Inputs!$B$27+Inputs!$B$29,MAX(0,(Inputs!$B$3-100)*3)+Inputs!$B$28+Inputs!$B$29)))</f>
        <v/>
      </c>
      <c r="E2092">
        <f>INDEX(FactorTable!$B$2:$Y$301, MATCH(ROUND(MIN(300,MAX(1,D2092)),0), FactorTable!$A$2:$A$301,0), Skills!L13+1)</f>
        <v/>
      </c>
      <c r="F2092">
        <f>IF(Skills!M13=TRUE,(Skills!K13/10)*(E2092/1000),Skills!K13/10)+Skills!N13</f>
        <v/>
      </c>
      <c r="G2092">
        <f>Calc!G13</f>
        <v/>
      </c>
      <c r="H2092">
        <f>Calc!H13</f>
        <v/>
      </c>
      <c r="I2092">
        <f>IF(Skills!T13&lt;&gt;"",1+(Skills!T13/10)*(Z2082/1000)/100,1)</f>
        <v/>
      </c>
      <c r="J2092" t="inlineStr"/>
      <c r="K2092" t="inlineStr"/>
      <c r="L2092" t="inlineStr"/>
      <c r="M2092" t="inlineStr"/>
      <c r="N2092" t="inlineStr"/>
      <c r="O2092">
        <f>(1-Summary!$B$11)*S2092+Summary!$B$11*U2092</f>
        <v/>
      </c>
      <c r="P2092">
        <f>IF(B2116=0,0,O2092/B2116)</f>
        <v/>
      </c>
      <c r="Q2092">
        <f>IFERROR(1/(IF(Inputs!$B$38="pvp",15,MAX(0.1,Skills!D13-IF(TRUE=TRUE,Inputs!$B$32,0)))*(1-IF(AND(ArtifactsInput!$M$27,Inputs!$B$4="Chapter Hunt"),CHOOSE(ArtifactsInput!$N$27+1,20,24,28,32,36,40),0)/100)),0)</f>
        <v/>
      </c>
      <c r="R2092" t="n">
        <v>0</v>
      </c>
      <c r="S2092" t="n">
        <v>0</v>
      </c>
      <c r="U2092" t="n">
        <v>0</v>
      </c>
    </row>
    <row r="2093">
      <c r="A2093">
        <f>Skills!A14</f>
        <v/>
      </c>
      <c r="B2093">
        <f>Skills!B14</f>
        <v/>
      </c>
      <c r="C2093">
        <f>Inputs!$B$3&gt;=72</f>
        <v/>
      </c>
      <c r="D2093">
        <f>IF(Skills!C14=1,60+Inputs!$B$25+Inputs!$B$29,IF(Skills!C14=2,90+Inputs!$B$26+Inputs!$B$29,IF(Skills!C14=3,120+Inputs!$B$27+Inputs!$B$29,MAX(0,(Inputs!$B$3-100)*3)+Inputs!$B$28+Inputs!$B$29)))</f>
        <v/>
      </c>
      <c r="E2093">
        <f>INDEX(FactorTable!$B$2:$Y$301, MATCH(ROUND(MIN(300,MAX(1,D2093)),0), FactorTable!$A$2:$A$301,0), Skills!L14+1)</f>
        <v/>
      </c>
      <c r="F2093">
        <f>IF(Skills!M14=TRUE,(Skills!K14/10)*(E2093/1000),Skills!K14/10)+Skills!N14</f>
        <v/>
      </c>
      <c r="G2093">
        <f>Calc!G14</f>
        <v/>
      </c>
      <c r="H2093">
        <f>Calc!H14</f>
        <v/>
      </c>
      <c r="I2093">
        <f>IF(Skills!T14&lt;&gt;"",1+(Skills!T14/10)*(Z2082/1000)/100,1)</f>
        <v/>
      </c>
      <c r="J2093" t="inlineStr"/>
      <c r="K2093" t="inlineStr"/>
      <c r="L2093" t="inlineStr"/>
      <c r="M2093" t="inlineStr"/>
      <c r="N2093" t="inlineStr"/>
      <c r="O2093">
        <f>(1-Summary!$B$11)*S2093+Summary!$B$11*U2093</f>
        <v/>
      </c>
      <c r="P2093">
        <f>IF(B2116=0,0,O2093/B2116)</f>
        <v/>
      </c>
      <c r="Q2093">
        <f>IFERROR(1/(IF(Inputs!$B$38="pvp",15,MAX(0.1,Skills!D14-IF(TRUE=TRUE,Inputs!$B$32,0)))*(1-IF(AND(ArtifactsInput!$M$27,Inputs!$B$4="Chapter Hunt"),CHOOSE(ArtifactsInput!$N$27+1,20,24,28,32,36,40),0)/100)),0)</f>
        <v/>
      </c>
      <c r="R2093" t="n">
        <v>0</v>
      </c>
      <c r="S2093" t="n">
        <v>0</v>
      </c>
      <c r="U2093" t="n">
        <v>0</v>
      </c>
    </row>
    <row r="2094">
      <c r="A2094">
        <f>Skills!A15</f>
        <v/>
      </c>
      <c r="B2094">
        <f>Skills!B15</f>
        <v/>
      </c>
      <c r="C2094">
        <f>Inputs!$B$3&gt;=75</f>
        <v/>
      </c>
      <c r="D2094">
        <f>IF(Skills!C15=1,60+Inputs!$B$25+Inputs!$B$29,IF(Skills!C15=2,90+Inputs!$B$26+Inputs!$B$29,IF(Skills!C15=3,120+Inputs!$B$27+Inputs!$B$29,MAX(0,(Inputs!$B$3-100)*3)+Inputs!$B$28+Inputs!$B$29)))</f>
        <v/>
      </c>
      <c r="E2094">
        <f>INDEX(FactorTable!$B$2:$Y$301, MATCH(ROUND(MIN(300,MAX(1,D2094)),0), FactorTable!$A$2:$A$301,0), Skills!L15+1)</f>
        <v/>
      </c>
      <c r="F2094">
        <f>IF(Skills!M15=TRUE,(Skills!K15/10)*(E2094/1000),Skills!K15/10)+Skills!N15</f>
        <v/>
      </c>
      <c r="G2094">
        <f>Calc!G15</f>
        <v/>
      </c>
      <c r="H2094">
        <f>Calc!H15</f>
        <v/>
      </c>
      <c r="I2094">
        <f>IF(Skills!T15&lt;&gt;"",1+(Skills!T15/10)*(Z2082/1000)/100,1)</f>
        <v/>
      </c>
      <c r="J2094" t="inlineStr"/>
      <c r="K2094" t="inlineStr"/>
      <c r="L2094" t="inlineStr"/>
      <c r="M2094" t="inlineStr"/>
      <c r="N2094" t="inlineStr"/>
      <c r="O2094">
        <f>(1-Summary!$B$11)*S2094+Summary!$B$11*U2094</f>
        <v/>
      </c>
      <c r="P2094">
        <f>IF(B2116=0,0,O2094/B2116)</f>
        <v/>
      </c>
      <c r="Q2094">
        <f>IFERROR(1/(IF(Inputs!$B$38="pvp",15,MAX(0.1,Skills!D15-IF(TRUE=TRUE,Inputs!$B$32,0)))*(1-IF(AND(ArtifactsInput!$M$27,Inputs!$B$4="Chapter Hunt"),CHOOSE(ArtifactsInput!$N$27+1,20,24,28,32,36,40),0)/100)),0)</f>
        <v/>
      </c>
      <c r="R2094" t="n">
        <v>0</v>
      </c>
      <c r="S2094" t="n">
        <v>0</v>
      </c>
      <c r="U2094" t="n">
        <v>0</v>
      </c>
    </row>
    <row r="2095">
      <c r="A2095">
        <f>Skills!A16</f>
        <v/>
      </c>
      <c r="B2095">
        <f>Skills!B16</f>
        <v/>
      </c>
      <c r="C2095">
        <f>Inputs!$B$3&gt;=110</f>
        <v/>
      </c>
      <c r="D2095">
        <f>IF(Skills!C16=1,60+Inputs!$B$25+Inputs!$B$29,IF(Skills!C16=2,90+Inputs!$B$26+Inputs!$B$29,IF(Skills!C16=3,120+Inputs!$B$27+Inputs!$B$29,MAX(0,(Inputs!$B$3-100)*3)+Inputs!$B$28+Inputs!$B$29)))</f>
        <v/>
      </c>
      <c r="E2095">
        <f>INDEX(FactorTable!$B$2:$Y$301, MATCH(ROUND(MIN(300,MAX(1,D2095)),0), FactorTable!$A$2:$A$301,0), Skills!L16+1)</f>
        <v/>
      </c>
      <c r="F2095">
        <f>(Skills!K16/10)*(E2095/1000)*64/45+Skills!N16</f>
        <v/>
      </c>
      <c r="G2095">
        <f>Calc!G16</f>
        <v/>
      </c>
      <c r="H2095">
        <f>Calc!H16</f>
        <v/>
      </c>
      <c r="I2095">
        <f>IF(Skills!T16&lt;&gt;"",1+(Skills!T16/10)*(Z2082/1000)/100,1)</f>
        <v/>
      </c>
      <c r="J2095" t="inlineStr"/>
      <c r="K2095" t="inlineStr"/>
      <c r="L2095" t="inlineStr"/>
      <c r="M2095" t="inlineStr"/>
      <c r="N2095" t="inlineStr"/>
      <c r="O2095">
        <f>(1-Summary!$B$11)*S2095+Summary!$B$11*U2095</f>
        <v/>
      </c>
      <c r="P2095">
        <f>IF(B2116=0,0,O2095/B2116)</f>
        <v/>
      </c>
      <c r="Q2095">
        <f>IFERROR(1/(IF(Inputs!$B$38="pvp",15,MAX(0.1,Skills!D16-IF(TRUE=TRUE,Inputs!$B$32,0)))*(1-IF(AND(ArtifactsInput!$M$27,Inputs!$B$4="Chapter Hunt"),CHOOSE(ArtifactsInput!$N$27+1,20,24,28,32,36,40),0)/100)),0)</f>
        <v/>
      </c>
      <c r="R2095">
        <f>IF(AND(Inputs!$B$38&lt;&gt;"pvp",Inputs!$B$43&gt;0),IF(Inputs!$B$43&lt;=0,0,(INT(Inputs!$B$43/(IF(Inputs!$B$38="pvp",15,MAX(0.1,Skills!D16-IF(TRUE=TRUE,Inputs!$B$32,0)))*(1-IF(AND(ArtifactsInput!$M$27,Inputs!$B$4="Chapter Hunt"),CHOOSE(ArtifactsInput!$N$27+1,20,24,28,32,36,40),0)/100)))+1)),0)</f>
        <v/>
      </c>
      <c r="S2095" t="n">
        <v>0</v>
      </c>
      <c r="U2095" t="n">
        <v>0</v>
      </c>
    </row>
    <row r="2096">
      <c r="A2096">
        <f>Skills!A17</f>
        <v/>
      </c>
      <c r="B2096">
        <f>Skills!B17</f>
        <v/>
      </c>
      <c r="C2096">
        <f>Inputs!$B$3&gt;=33</f>
        <v/>
      </c>
      <c r="D2096">
        <f>IF(Skills!C17=1,60+Inputs!$B$25+Inputs!$B$29,IF(Skills!C17=2,90+Inputs!$B$26+Inputs!$B$29,IF(Skills!C17=3,120+Inputs!$B$27+Inputs!$B$29,MAX(0,(Inputs!$B$3-100)*3)+Inputs!$B$28+Inputs!$B$29)))</f>
        <v/>
      </c>
      <c r="E2096">
        <f>INDEX(FactorTable!$B$2:$Y$301, MATCH(ROUND(MIN(300,MAX(1,D2096)),0), FactorTable!$A$2:$A$301,0), Skills!L17+1)</f>
        <v/>
      </c>
      <c r="F2096">
        <f>IF(Skills!M17=TRUE,(Skills!K17/10)*(E2096/1000),Skills!K17/10)+Skills!N17</f>
        <v/>
      </c>
      <c r="G2096">
        <f>Calc!G17</f>
        <v/>
      </c>
      <c r="H2096">
        <f>Calc!H17</f>
        <v/>
      </c>
      <c r="I2096">
        <f>IF(Skills!T17&lt;&gt;"",1+(Skills!T17/10)*(Z2082/1000)/100,1)</f>
        <v/>
      </c>
      <c r="J2096" t="inlineStr"/>
      <c r="K2096" t="inlineStr"/>
      <c r="L2096" t="inlineStr"/>
      <c r="M2096" t="inlineStr"/>
      <c r="N2096" t="inlineStr"/>
      <c r="O2096">
        <f>(1-Summary!$B$11)*S2096+Summary!$B$11*U2096</f>
        <v/>
      </c>
      <c r="P2096">
        <f>IF(B2116=0,0,O2096/B2116)</f>
        <v/>
      </c>
      <c r="Q2096">
        <f>IFERROR(1/(IF(Inputs!$B$38="pvp",15,MAX(0.1,Skills!D17-IF(TRUE=TRUE,Inputs!$B$32,0)))*(1-IF(AND(ArtifactsInput!$M$27,Inputs!$B$4="Chapter Hunt"),CHOOSE(ArtifactsInput!$N$27+1,20,24,28,32,36,40),0)/100)),0)</f>
        <v/>
      </c>
      <c r="R2096" t="n">
        <v>0</v>
      </c>
      <c r="S2096" t="n">
        <v>0</v>
      </c>
      <c r="U2096" t="n">
        <v>0</v>
      </c>
    </row>
    <row r="2097">
      <c r="A2097">
        <f>Skills!A18</f>
        <v/>
      </c>
      <c r="B2097">
        <f>Skills!B18</f>
        <v/>
      </c>
      <c r="C2097">
        <f>Inputs!$B$3&gt;=43</f>
        <v/>
      </c>
      <c r="D2097">
        <f>IF(Skills!C18=1,60+Inputs!$B$25+Inputs!$B$29,IF(Skills!C18=2,90+Inputs!$B$26+Inputs!$B$29,IF(Skills!C18=3,120+Inputs!$B$27+Inputs!$B$29,MAX(0,(Inputs!$B$3-100)*3)+Inputs!$B$28+Inputs!$B$29)))</f>
        <v/>
      </c>
      <c r="E2097">
        <f>INDEX(FactorTable!$B$2:$Y$301, MATCH(ROUND(MIN(300,MAX(1,D2097)),0), FactorTable!$A$2:$A$301,0), Skills!L18+1)</f>
        <v/>
      </c>
      <c r="F2097">
        <f>IF(Skills!M18=TRUE,(Skills!K18/10)*(E2097/1000),Skills!K18/10)+Skills!N18</f>
        <v/>
      </c>
      <c r="G2097">
        <f>Calc!G18</f>
        <v/>
      </c>
      <c r="H2097">
        <f>Calc!H18</f>
        <v/>
      </c>
      <c r="I2097">
        <f>IF(Skills!T18&lt;&gt;"",1+(Skills!T18/10)*(Z2082/1000)/100,1)</f>
        <v/>
      </c>
      <c r="J2097" t="inlineStr"/>
      <c r="K2097" t="inlineStr"/>
      <c r="L2097" t="inlineStr"/>
      <c r="M2097" t="inlineStr"/>
      <c r="N2097" t="inlineStr"/>
      <c r="O2097">
        <f>(1-Summary!$B$11)*S2097+Summary!$B$11*U2097</f>
        <v/>
      </c>
      <c r="P2097">
        <f>IF(B2116=0,0,O2097/B2116)</f>
        <v/>
      </c>
      <c r="Q2097">
        <f>IFERROR(1/(IF(Inputs!$B$38="pvp",15,MAX(0.1,Skills!D18-IF(TRUE=TRUE,Inputs!$B$32,0)))*(1-IF(AND(ArtifactsInput!$M$27,Inputs!$B$4="Chapter Hunt"),CHOOSE(ArtifactsInput!$N$27+1,20,24,28,32,36,40),0)/100)),0)</f>
        <v/>
      </c>
      <c r="R2097" t="n">
        <v>0</v>
      </c>
      <c r="S2097" t="n">
        <v>0</v>
      </c>
      <c r="U2097" t="n">
        <v>0</v>
      </c>
    </row>
    <row r="2098">
      <c r="A2098">
        <f>Skills!A19</f>
        <v/>
      </c>
      <c r="B2098">
        <f>Skills!B19</f>
        <v/>
      </c>
      <c r="C2098">
        <f>Inputs!$B$3&gt;=50</f>
        <v/>
      </c>
      <c r="D2098">
        <f>IF(Skills!C19=1,60+Inputs!$B$25+Inputs!$B$29,IF(Skills!C19=2,90+Inputs!$B$26+Inputs!$B$29,IF(Skills!C19=3,120+Inputs!$B$27+Inputs!$B$29,MAX(0,(Inputs!$B$3-100)*3)+Inputs!$B$28+Inputs!$B$29)))</f>
        <v/>
      </c>
      <c r="E2098">
        <f>INDEX(FactorTable!$B$2:$Y$301, MATCH(ROUND(MIN(300,MAX(1,D2098)),0), FactorTable!$A$2:$A$301,0), Skills!L19+1)</f>
        <v/>
      </c>
      <c r="F2098">
        <f>IF(Skills!M19=TRUE,(Skills!K19/10)*(E2098/1000),Skills!K19/10)+Skills!N19</f>
        <v/>
      </c>
      <c r="G2098">
        <f>Calc!G19</f>
        <v/>
      </c>
      <c r="H2098">
        <f>Calc!H19</f>
        <v/>
      </c>
      <c r="I2098">
        <f>IF(Skills!T19&lt;&gt;"",1+(Skills!T19/10)*(Z2082/1000)/100,1)</f>
        <v/>
      </c>
      <c r="J2098" t="inlineStr"/>
      <c r="K2098" t="inlineStr"/>
      <c r="L2098" t="inlineStr"/>
      <c r="M2098" t="inlineStr"/>
      <c r="N2098" t="inlineStr"/>
      <c r="O2098">
        <f>(1-Summary!$B$11)*S2098+Summary!$B$11*U2098</f>
        <v/>
      </c>
      <c r="P2098">
        <f>IF(B2116=0,0,O2098/B2116)</f>
        <v/>
      </c>
      <c r="Q2098">
        <f>IFERROR(1/(IF(Inputs!$B$38="pvp",15,MAX(0.1,Skills!D19-IF(TRUE=TRUE,Inputs!$B$32,0)))*(1-IF(AND(ArtifactsInput!$M$27,Inputs!$B$4="Chapter Hunt"),CHOOSE(ArtifactsInput!$N$27+1,20,24,28,32,36,40),0)/100)),0)</f>
        <v/>
      </c>
      <c r="R2098" t="n">
        <v>0</v>
      </c>
      <c r="S2098" t="n">
        <v>0</v>
      </c>
      <c r="U2098" t="n">
        <v>0</v>
      </c>
    </row>
    <row r="2099">
      <c r="A2099">
        <f>Skills!A20</f>
        <v/>
      </c>
      <c r="B2099">
        <f>Skills!B20</f>
        <v/>
      </c>
      <c r="C2099">
        <f>Inputs!$B$3&gt;=74</f>
        <v/>
      </c>
      <c r="D2099">
        <f>IF(Skills!C20=1,60+Inputs!$B$25+Inputs!$B$29,IF(Skills!C20=2,90+Inputs!$B$26+Inputs!$B$29,IF(Skills!C20=3,120+Inputs!$B$27+Inputs!$B$29,MAX(0,(Inputs!$B$3-100)*3)+Inputs!$B$28+Inputs!$B$29)))</f>
        <v/>
      </c>
      <c r="E2099">
        <f>INDEX(FactorTable!$B$2:$Y$301, MATCH(ROUND(MIN(300,MAX(1,D2099)),0), FactorTable!$A$2:$A$301,0), Skills!L20+1)</f>
        <v/>
      </c>
      <c r="F2099">
        <f>IF(Skills!M20=TRUE,(Skills!K20/10)*(E2099/1000),Skills!K20/10)+Skills!N20</f>
        <v/>
      </c>
      <c r="G2099">
        <f>Calc!G20</f>
        <v/>
      </c>
      <c r="H2099">
        <f>Calc!H20</f>
        <v/>
      </c>
      <c r="I2099">
        <f>IF(Skills!T20&lt;&gt;"",1+(Skills!T20/10)*(Z2082/1000)/100,1)</f>
        <v/>
      </c>
      <c r="J2099" t="inlineStr"/>
      <c r="K2099" t="inlineStr"/>
      <c r="L2099" t="inlineStr"/>
      <c r="M2099" t="inlineStr"/>
      <c r="N2099" t="inlineStr"/>
      <c r="O2099">
        <f>(1-Summary!$B$11)*S2099+Summary!$B$11*U2099</f>
        <v/>
      </c>
      <c r="P2099">
        <f>IF(B2116=0,0,O2099/B2116)</f>
        <v/>
      </c>
      <c r="Q2099">
        <f>IFERROR(1/(IF(Inputs!$B$38="pvp",15,MAX(0.1,Skills!D20-IF(TRUE=TRUE,Inputs!$B$32,0)))*(1-IF(AND(ArtifactsInput!$M$27,Inputs!$B$4="Chapter Hunt"),CHOOSE(ArtifactsInput!$N$27+1,20,24,28,32,36,40),0)/100)),0)</f>
        <v/>
      </c>
      <c r="R2099" t="n">
        <v>0</v>
      </c>
      <c r="S2099" t="n">
        <v>0</v>
      </c>
      <c r="U2099" t="n">
        <v>0</v>
      </c>
    </row>
    <row r="2100">
      <c r="A2100">
        <f>Skills!A21</f>
        <v/>
      </c>
      <c r="B2100">
        <f>Skills!B21</f>
        <v/>
      </c>
      <c r="C2100">
        <f>Inputs!$B$3&gt;=74</f>
        <v/>
      </c>
      <c r="D2100">
        <f>IF(Skills!C21=1,60+Inputs!$B$25+Inputs!$B$29,IF(Skills!C21=2,90+Inputs!$B$26+Inputs!$B$29,IF(Skills!C21=3,120+Inputs!$B$27+Inputs!$B$29,MAX(0,(Inputs!$B$3-100)*3)+Inputs!$B$28+Inputs!$B$29)))</f>
        <v/>
      </c>
      <c r="E2100">
        <f>INDEX(FactorTable!$B$2:$Y$301, MATCH(ROUND(MIN(300,MAX(1,D2100)),0), FactorTable!$A$2:$A$301,0), Skills!L21+1)</f>
        <v/>
      </c>
      <c r="F2100">
        <f>IF(Skills!M21=TRUE,(Skills!K21/10)*(E2100/1000),Skills!K21/10)+Skills!N21</f>
        <v/>
      </c>
      <c r="G2100">
        <f>Calc!G21</f>
        <v/>
      </c>
      <c r="H2100">
        <f>Calc!H21</f>
        <v/>
      </c>
      <c r="I2100">
        <f>IF(Skills!T21&lt;&gt;"",1+(Skills!T21/10)*(Z2082/1000)/100,1)</f>
        <v/>
      </c>
      <c r="J2100" t="inlineStr"/>
      <c r="K2100" t="inlineStr"/>
      <c r="L2100" t="inlineStr"/>
      <c r="M2100" t="inlineStr"/>
      <c r="N2100" t="inlineStr"/>
      <c r="O2100">
        <f>(1-Summary!$B$11)*S2100+Summary!$B$11*U2100</f>
        <v/>
      </c>
      <c r="P2100">
        <f>IF(B2116=0,0,O2100/B2116)</f>
        <v/>
      </c>
      <c r="Q2100">
        <f>IFERROR(1/(IF(Inputs!$B$38="pvp",15,MAX(0.1,Skills!D21-IF(TRUE=TRUE,Inputs!$B$32,0)))*(1-IF(AND(ArtifactsInput!$M$27,Inputs!$B$4="Chapter Hunt"),CHOOSE(ArtifactsInput!$N$27+1,20,24,28,32,36,40),0)/100)),0)</f>
        <v/>
      </c>
      <c r="R2100" t="n">
        <v>0</v>
      </c>
      <c r="S2100" t="n">
        <v>0</v>
      </c>
      <c r="U2100" t="n">
        <v>0</v>
      </c>
    </row>
    <row r="2101">
      <c r="A2101">
        <f>Skills!A22</f>
        <v/>
      </c>
      <c r="B2101">
        <f>Skills!B22</f>
        <v/>
      </c>
      <c r="C2101">
        <f>Inputs!$B$3&gt;=117</f>
        <v/>
      </c>
      <c r="D2101">
        <f>IF(Skills!C22=1,60+Inputs!$B$25+Inputs!$B$29,IF(Skills!C22=2,90+Inputs!$B$26+Inputs!$B$29,IF(Skills!C22=3,120+Inputs!$B$27+Inputs!$B$29,MAX(0,(Inputs!$B$3-100)*3)+Inputs!$B$28+Inputs!$B$29)))</f>
        <v/>
      </c>
      <c r="E2101">
        <f>INDEX(FactorTable!$B$2:$Y$301, MATCH(ROUND(MIN(300,MAX(1,D2101)),0), FactorTable!$A$2:$A$301,0), Skills!L22+1)</f>
        <v/>
      </c>
      <c r="F2101">
        <f>IF(Skills!M22=TRUE,(Skills!K22/10)*(E2101/1000),Skills!K22/10)+Skills!N22</f>
        <v/>
      </c>
      <c r="G2101">
        <f>Calc!G22</f>
        <v/>
      </c>
      <c r="H2101">
        <f>Calc!H22</f>
        <v/>
      </c>
      <c r="I2101">
        <f>IF(Skills!T22&lt;&gt;"",1+(Skills!T22/10)*(Z2082/1000)/100,1)</f>
        <v/>
      </c>
      <c r="J2101" t="inlineStr"/>
      <c r="K2101" t="inlineStr"/>
      <c r="L2101" t="inlineStr"/>
      <c r="M2101" t="inlineStr"/>
      <c r="N2101" t="inlineStr"/>
      <c r="O2101">
        <f>(1-Summary!$B$11)*S2101+Summary!$B$11*U2101</f>
        <v/>
      </c>
      <c r="P2101">
        <f>IF(B2116=0,0,O2101/B2116)</f>
        <v/>
      </c>
      <c r="Q2101">
        <f>IFERROR(1/(IF(Inputs!$B$38="pvp",15,MAX(0.1,Skills!D22-IF(TRUE=TRUE,Inputs!$B$32,0)))*(1-IF(AND(ArtifactsInput!$M$27,Inputs!$B$4="Chapter Hunt"),CHOOSE(ArtifactsInput!$N$27+1,20,24,28,32,36,40),0)/100)),0)</f>
        <v/>
      </c>
      <c r="R2101" t="n">
        <v>0</v>
      </c>
      <c r="S2101" t="n">
        <v>0</v>
      </c>
      <c r="U2101" t="n">
        <v>0</v>
      </c>
    </row>
    <row r="2102">
      <c r="A2102">
        <f>Skills!A23</f>
        <v/>
      </c>
      <c r="B2102">
        <f>Skills!B23</f>
        <v/>
      </c>
      <c r="C2102">
        <f>Inputs!$B$3&gt;=120</f>
        <v/>
      </c>
      <c r="D2102">
        <f>IF(Skills!C23=1,60+Inputs!$B$25+Inputs!$B$29,IF(Skills!C23=2,90+Inputs!$B$26+Inputs!$B$29,IF(Skills!C23=3,120+Inputs!$B$27+Inputs!$B$29,MAX(0,(Inputs!$B$3-100)*3)+Inputs!$B$28+Inputs!$B$29)))</f>
        <v/>
      </c>
      <c r="E2102">
        <f>INDEX(FactorTable!$B$2:$Y$301, MATCH(ROUND(MIN(300,MAX(1,D2102)),0), FactorTable!$A$2:$A$301,0), Skills!L23+1)</f>
        <v/>
      </c>
      <c r="F2102">
        <f>IF(Skills!M23=TRUE,(Skills!K23/10)*(E2102/1000),Skills!K23/10)+Skills!N23</f>
        <v/>
      </c>
      <c r="G2102">
        <f>Calc!G23</f>
        <v/>
      </c>
      <c r="H2102">
        <f>Calc!H23</f>
        <v/>
      </c>
      <c r="I2102">
        <f>IF(Skills!T23&lt;&gt;"",1+(Skills!T23/10)*(Z2082/1000)/100,1)</f>
        <v/>
      </c>
      <c r="J2102" t="inlineStr"/>
      <c r="K2102" t="inlineStr"/>
      <c r="L2102" t="inlineStr"/>
      <c r="M2102" t="inlineStr"/>
      <c r="N2102" t="inlineStr"/>
      <c r="O2102">
        <f>(1-Summary!$B$11)*S2102+Summary!$B$11*U2102</f>
        <v/>
      </c>
      <c r="P2102">
        <f>IF(B2116=0,0,O2102/B2116)</f>
        <v/>
      </c>
      <c r="Q2102">
        <f>IFERROR(1/(IF(Inputs!$B$38="pvp",15,MAX(0.1,Skills!D23-IF(TRUE=TRUE,Inputs!$B$32,0)))*(1-IF(AND(ArtifactsInput!$M$27,Inputs!$B$4="Chapter Hunt"),CHOOSE(ArtifactsInput!$N$27+1,20,24,28,32,36,40),0)/100)),0)</f>
        <v/>
      </c>
      <c r="R2102" t="n">
        <v>0</v>
      </c>
      <c r="S2102" t="n">
        <v>0</v>
      </c>
      <c r="U2102" t="n">
        <v>0</v>
      </c>
    </row>
    <row r="2103">
      <c r="A2103">
        <f>Skills!A24</f>
        <v/>
      </c>
      <c r="B2103">
        <f>Skills!B24</f>
        <v/>
      </c>
      <c r="C2103">
        <f>TRUE</f>
        <v/>
      </c>
      <c r="D2103">
        <f>IF(Skills!C24=1,60+Inputs!$B$25+Inputs!$B$29,IF(Skills!C24=2,90+Inputs!$B$26+Inputs!$B$29,IF(Skills!C24=3,120+Inputs!$B$27+Inputs!$B$29,MAX(0,(Inputs!$B$3-100)*3)+Inputs!$B$28+Inputs!$B$29)))</f>
        <v/>
      </c>
      <c r="E2103">
        <f>INDEX(FactorTable!$B$2:$Y$301, MATCH(ROUND(MIN(300,MAX(1,D2103)),0), FactorTable!$A$2:$A$301,0), Skills!L24+1)</f>
        <v/>
      </c>
      <c r="F2103">
        <f>IF(Skills!M24=TRUE,(Skills!K24/10)*(E2103/1000),Skills!K24/10)+Skills!N24</f>
        <v/>
      </c>
      <c r="G2103">
        <f>Calc!G24</f>
        <v/>
      </c>
      <c r="H2103">
        <f>Calc!H24</f>
        <v/>
      </c>
      <c r="I2103">
        <f>IF(Skills!T24&lt;&gt;"",1+(Skills!T24/10)*(Z2082/1000)/100,1)</f>
        <v/>
      </c>
      <c r="J2103" t="inlineStr"/>
      <c r="K2103" t="inlineStr"/>
      <c r="L2103" t="inlineStr"/>
      <c r="M2103" t="inlineStr"/>
      <c r="N2103" t="inlineStr"/>
      <c r="O2103">
        <f>(1-Summary!$B$11)*S2103+Summary!$B$11*U2103</f>
        <v/>
      </c>
      <c r="P2103">
        <f>IF(B2116=0,0,O2103/B2116)</f>
        <v/>
      </c>
      <c r="Q2103">
        <f>IFERROR(1/(IF(Inputs!$B$38="pvp",15,MAX(0.1,Skills!D24-IF(TRUE=TRUE,Inputs!$B$32,0)))*(1-IF(AND(ArtifactsInput!$M$27,Inputs!$B$4="Chapter Hunt"),CHOOSE(ArtifactsInput!$N$27+1,20,24,28,32,36,40),0)/100)),0)</f>
        <v/>
      </c>
      <c r="R2103">
        <f>IF(AND(Inputs!$B$38&lt;&gt;"pvp",Inputs!$B$43&gt;0),IF(Inputs!$B$43&lt;=0,0,(INT(Inputs!$B$43/(IF(Inputs!$B$38="pvp",15,MAX(0.1,Skills!D24-IF(TRUE=TRUE,Inputs!$B$32,0)))*(1-IF(AND(ArtifactsInput!$M$27,Inputs!$B$4="Chapter Hunt"),CHOOSE(ArtifactsInput!$N$27+1,20,24,28,32,36,40),0)/100)))+1)),0)</f>
        <v/>
      </c>
      <c r="S2103" t="n">
        <v>0</v>
      </c>
      <c r="U2103" t="n">
        <v>0</v>
      </c>
    </row>
    <row r="2106">
      <c r="A2106" t="inlineStr">
        <is>
          <t>Average Buff Multiplier (Magic Guard + Meditation + Artifact Attack%, summed; then Infinity)</t>
        </is>
      </c>
      <c r="B2106">
        <f>(1+(IF(C2082=TRUE,F2082*IF(AND(Inputs!$B$38&lt;&gt;"pvp",Inputs!$B$43&gt;0),(((R2082-1)*MIN((Skills!S3*(1+(Inputs!$B$34)/100)),(1/Q2082))+MIN((Skills!S3*(1+(Inputs!$B$34)/100)),MAX(0,Inputs!$B$43-((R2082-1)*(1/Q2082)))))/Inputs!$B$43),IF(Inputs!$B$38="pvp",MIN((Skills!S3*(1+(Inputs!$B$34)/100)),15)/15,MIN(1,(Skills!S3*(1+(Inputs!$B$34)/100))/(1/Q2082)))),0)+IF(C2083=TRUE,F2083*IF(AND(Inputs!$B$38&lt;&gt;"pvp",Inputs!$B$43&gt;0),(((R2083-1)*MIN((Skills!S4*(1+(Inputs!$B$34)/100)),(1/Q2083))+MIN((Skills!S4*(1+(Inputs!$B$34)/100)),MAX(0,Inputs!$B$43-((R2083-1)*(1/Q2083)))))/Inputs!$B$43),IF(Inputs!$B$38="pvp",MIN((Skills!S4*(1+(Inputs!$B$34)/100)),15)/15,MIN(1,(Skills!S4*(1+(Inputs!$B$34)/100))/(1/Q2083)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2095=TRUE,(1+F2095*IF(AND(Inputs!$B$38&lt;&gt;"pvp",Inputs!$B$43&gt;0),(((R2095-1)*MIN((Skills!S16*(1+(Inputs!$B$34)/100)),(1/Q2095))+MIN((Skills!S16*(1+(Inputs!$B$34)/100)),MAX(0,Inputs!$B$43-((R2095-1)*(1/Q2095)))))/Inputs!$B$43),IF(Inputs!$B$38="pvp",MIN((Skills!S16*(1+(Inputs!$B$34)/100)),15)/15,MIN(1,(Skills!S16*(1+(Inputs!$B$34)/100))/(1/Q2095))))/100),1)</f>
        <v/>
      </c>
    </row>
    <row r="2107">
      <c r="A2107" t="inlineStr">
        <is>
          <t>Monster Damage Taken Bonus % (Freezing Breath - Weaken + Elemental Reset + Artifact Enemy Damage Taken, summed)</t>
        </is>
      </c>
      <c r="B2107">
        <f>IF(Inputs!$B$3&gt;=118,15*IF(Inputs!$B$38="pvp",MIN((30*(1+(Inputs!$B$34)/100)),15)/15,MIN(1,(30*(1+(Inputs!$B$34)/100))/(1/Q2087))),0)+IF(C2093=TRUE,F2093,0)+(IF(AND(ArtifactsInput!$M$35,Inputs!$B$4&lt;&gt;"Chapter Hunt"),CHOOSE(ArtifactsInput!$N$35+1,15,18,21,24,27,30)*(1-EXP(-(0.2*B2110)*5)),0)+IF(AND(ArtifactsInput!$M$22,Inputs!$B$4&lt;&gt;"Chapter Hunt"),CHOOSE(ArtifactsInput!$N$22+1,10,12,14,16,18,20)*((0*(((0.15*B2110*5))^0/1)+1*(((0.15*B2110*5))^1/1)+2*(((0.15*B2110*5))^2/2)+3*(((0.15*B2110*5))^3/6)+4*(((0.15*B2110*5))^4/24)+5*(((0.15*B2110*5))^5/120))/((((0.15*B2110*5))^0/1)+(((0.15*B2110*5))^1/1)+(((0.15*B2110*5))^2/2)+(((0.15*B2110*5))^3/6)+(((0.15*B2110*5))^4/24)+(((0.15*B2110*5))^5/120))),0))</f>
        <v/>
      </c>
    </row>
    <row r="2108">
      <c r="A2108" t="inlineStr">
        <is>
          <t>Damage % Bonus (Frozen Break + Frost Clutch, flat)</t>
        </is>
      </c>
      <c r="B2108">
        <f>IF(Inputs!$B$3&gt;=66,15,0)+IF(Inputs!$B$3&gt;=98,10,0)+IF(Inputs!$B$3&gt;=125,20,0)</f>
        <v/>
      </c>
    </row>
    <row r="2109">
      <c r="A2109" t="inlineStr">
        <is>
          <t>Attack Speed Bonus % (MP Eater - MP Boost, always-on + Nimble Feet, duty-cycle averaged)</t>
        </is>
      </c>
      <c r="B2109">
        <f>IF(C2092=TRUE,F2092+(F2096-Calc!F17),0)+((C2103=TRUE)*F2103*IF(AND(Inputs!$B$38&lt;&gt;"pvp",Inputs!$B$43&gt;0),(((R2103-1)*MIN((Skills!S24*(1+(Inputs!$B$34)/100)),(1/Q2103))+MIN((Skills!S24*(1+(Inputs!$B$34)/100)),MAX(0,Inputs!$B$43-((R2103-1)*(1/Q2103)))))/Inputs!$B$43),IF(Inputs!$B$38="pvp",MIN((Skills!S24*(1+(Inputs!$B$34)/100)),15)/15,MIN(1,(Skills!S24*(1+(Inputs!$B$34)/100))/(1/Q2103)))))</f>
        <v/>
      </c>
    </row>
    <row r="2110">
      <c r="A2110" t="inlineStr">
        <is>
          <t>Actions Per Second</t>
        </is>
      </c>
      <c r="B2110">
        <f>1+MIN(150,150*(1-(1-(Inputs!$B$11+(ArtifactsInput!$M$15-ArtifactsInput!$M$15)*CHOOSE(ArtifactsInput!$N$15+1,8,9.6,11.2,12.8,14.4,16))/150)*(1-B2109/150)))/100</f>
        <v/>
      </c>
    </row>
    <row r="2111">
      <c r="A2111" t="inlineStr">
        <is>
          <t>Skill + Buff Cast Rate</t>
        </is>
      </c>
      <c r="B2111">
        <f>IF(AND(Inputs!$B$38&lt;&gt;"pvp",Inputs!$B$43&gt;0),SUMPRODUCT((Skills!E2:E24=TRUE)*(C2081:C2103=TRUE)*R2081:R2103)/Inputs!$B$43,SUMPRODUCT((Skills!E2:E24=TRUE)*(C2081:C2103=TRUE)*Q2081:Q2103))</f>
        <v/>
      </c>
    </row>
    <row r="2112">
      <c r="A2112" t="inlineStr">
        <is>
          <t>Chain Lightning Casts Per Second</t>
        </is>
      </c>
      <c r="B2112">
        <f>MAX(0,B2110-B2111)</f>
        <v/>
      </c>
    </row>
    <row r="2113">
      <c r="A2113" t="inlineStr">
        <is>
          <t>Buff-Casting Startup Delay (s, fixed-duration only)</t>
        </is>
      </c>
      <c r="B2113">
        <f>IF(AND(Inputs!$B$38&lt;&gt;"pvp",Inputs!$B$43&gt;0),SUMPRODUCT((Skills!S2:S24&gt;0)*(Skills!E2:E24=TRUE)*(C2081:C2103=TRUE))/B2110,0)</f>
        <v/>
      </c>
    </row>
    <row r="2114">
      <c r="A2114" t="inlineStr">
        <is>
          <t>Boss-Only Total DPS (this block's swept value)</t>
        </is>
      </c>
      <c r="B2114">
        <f>SUM(S2081:S2103)</f>
        <v/>
      </c>
    </row>
    <row r="2115">
      <c r="A2115" t="inlineStr">
        <is>
          <t>Normal-Only Total DPS (this block's swept value)</t>
        </is>
      </c>
      <c r="B2115">
        <f>SUM(U2081:U2103)</f>
        <v/>
      </c>
    </row>
    <row r="2116">
      <c r="A2116" s="6" t="inlineStr">
        <is>
          <t>TOTAL DPS</t>
        </is>
      </c>
      <c r="B2116" s="6">
        <f>SUM(O2081:O2103)</f>
        <v/>
      </c>
    </row>
    <row r="2117">
      <c r="A2117" t="inlineStr">
        <is>
          <t>Blizzard Final Attack trigger rate (this block's own Q/R)</t>
        </is>
      </c>
      <c r="B2117">
        <f>IF(AND(Inputs!$B$38&lt;&gt;"pvp",Inputs!$B$43&gt;0),(((C2084=TRUE)*R2084*1)+((C2085=TRUE)*R2085*1)+((C2087=TRUE)*R2087*1)+((C2088=TRUE)*R2088*3)+((C2090=TRUE)*R2090*1))/Inputs!$B$43,((C2084=TRUE)*Q2084*1)+((C2085=TRUE)*Q2085*1)+((C2087=TRUE)*Q2087*1)+((C2088=TRUE)*Q2088*3)+((C2090=TRUE)*Q2090*1))+B2112</f>
        <v/>
      </c>
    </row>
    <row r="2120">
      <c r="A2120" s="6" t="inlineStr">
        <is>
          <t>Stat: Flaming Lava (Equip)</t>
        </is>
      </c>
    </row>
    <row r="2121">
      <c r="A2121" s="5" t="inlineStr">
        <is>
          <t>Key</t>
        </is>
      </c>
      <c r="B2121" s="5" t="inlineStr">
        <is>
          <t>Name</t>
        </is>
      </c>
      <c r="C2121" s="5" t="inlineStr">
        <is>
          <t>Unlocked</t>
        </is>
      </c>
      <c r="D2121" s="5" t="inlineStr">
        <is>
          <t>InputLevel</t>
        </is>
      </c>
      <c r="E2121" s="5" t="inlineStr">
        <is>
          <t>Factor</t>
        </is>
      </c>
      <c r="F2121" s="5" t="inlineStr">
        <is>
          <t>CoefficientPercent</t>
        </is>
      </c>
      <c r="G2121" s="5" t="inlineStr">
        <is>
          <t>EffectiveHits</t>
        </is>
      </c>
      <c r="H2121" s="5" t="inlineStr">
        <is>
          <t>ProcProbability</t>
        </is>
      </c>
      <c r="I2121" s="5" t="inlineStr">
        <is>
          <t>MapleHeroMultiplier</t>
        </is>
      </c>
      <c r="J2121" s="5" t="inlineStr">
        <is>
          <t>BaseDamage</t>
        </is>
      </c>
      <c r="K2121" s="5" t="inlineStr">
        <is>
          <t>BaseHitDamage</t>
        </is>
      </c>
      <c r="L2121" s="5" t="inlineStr">
        <is>
          <t>NonCritAvg</t>
        </is>
      </c>
      <c r="M2121" s="5" t="inlineStr">
        <is>
          <t>CritAvg</t>
        </is>
      </c>
      <c r="N2121" s="5" t="inlineStr">
        <is>
          <t>ExpectedDamage(perHit)</t>
        </is>
      </c>
      <c r="O2121" s="5" t="inlineStr">
        <is>
          <t>DPS</t>
        </is>
      </c>
      <c r="P2121" s="5" t="inlineStr">
        <is>
          <t>% of Total</t>
        </is>
      </c>
      <c r="R2121" t="inlineStr">
        <is>
          <t>helpers</t>
        </is>
      </c>
    </row>
    <row r="2122">
      <c r="A2122">
        <f>Skills!A2</f>
        <v/>
      </c>
      <c r="B2122">
        <f>Skills!B2</f>
        <v/>
      </c>
      <c r="C2122">
        <f>Inputs!$B$3&gt;=100</f>
        <v/>
      </c>
      <c r="D2122" t="inlineStr"/>
      <c r="E2122" t="inlineStr"/>
      <c r="F2122">
        <f>T2124+Skills!N2</f>
        <v/>
      </c>
      <c r="G2122">
        <f>Calc!G2</f>
        <v/>
      </c>
      <c r="H2122">
        <f>Calc!H2</f>
        <v/>
      </c>
      <c r="I2122">
        <f>IF(Skills!T2&lt;&gt;"",1+(Skills!T2/10)*(Z2123/1000)/100,1)</f>
        <v/>
      </c>
      <c r="J2122">
        <f>((Inputs!$B$6*(1+Inputs!$B$7/100))+(((Inputs!$B$12*(1+Inputs!$B$13/100))-(Inputs!$B$12*(1+Inputs!$B$13/100)))+0.25*(Inputs!$B$14-Inputs!$B$14))*(1+Inputs!$B$7/100))*(F2122/100)</f>
        <v/>
      </c>
      <c r="K2122">
        <f>J2122*(1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2="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2122)</f>
        <v/>
      </c>
      <c r="L2122">
        <f>K2122*(MIN(Inputs!$B$22+(F2138-Calc!F18),(Inputs!$B$23+(IF(ArtifactsInput!$M$15,CHOOSE(ArtifactsInput!$N$15+1,25,30,35,40,45,50)/100*(Inputs!$B$11-Inputs!$B$11),0))))/100+(Inputs!$B$23+(IF(ArtifactsInput!$M$15,CHOOSE(ArtifactsInput!$N$15+1,25,30,35,40,45,50)/100*(Inputs!$B$11-Inputs!$B$11),0)))/100)/2</f>
        <v/>
      </c>
      <c r="M2122">
        <f>L2122*(1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2">
        <f>L2122*(1-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2122*(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2">
        <f>(1-Summary!$B$11)*S2122+Summary!$B$11*U2122</f>
        <v/>
      </c>
      <c r="P2122">
        <f>IF(B2157=0,0,O2122/B2157)</f>
        <v/>
      </c>
      <c r="Q2122">
        <f>IFERROR(1/(IF(Inputs!$B$38="pvp",15,MAX(0.1,Skills!D2-IF(TRUE=TRUE,Inputs!$B$32,0)))*(1-IF(AND(ArtifactsInput!$M$27,Inputs!$B$4="Chapter Hunt"),CHOOSE(ArtifactsInput!$N$27+1,20,24,28,32,36,40),0)/100)),0)</f>
        <v/>
      </c>
      <c r="R2122" t="n">
        <v>0</v>
      </c>
      <c r="S2122">
        <f>IF(C2122,(Skills!F2*N2122*B2153)*IF(Inputs!$B$38="pvp",1,1+(Inputs!$B$20+Skills!O2+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2122*(1-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2122*(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2122*(1-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2122*(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22">
        <f>MAX(0,(Inputs!$B$3-100)*3)+Inputs!$B$28+Inputs!$B$29</f>
        <v/>
      </c>
      <c r="U2122">
        <f>IF(C2122,(Skills!F2*N2122*B2153)*IF(Inputs!$B$38="pvp",1,(1+(Inputs!$B$21+Skills!P2+B2148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122">
        <f>MAX(0,(Inputs!$B$3-100)*3)+Inputs!$B$28+Inputs!$B$29</f>
        <v/>
      </c>
    </row>
    <row r="2123">
      <c r="A2123">
        <f>Skills!A3</f>
        <v/>
      </c>
      <c r="B2123">
        <f>Skills!B3</f>
        <v/>
      </c>
      <c r="C2123">
        <f>Inputs!$B$3&gt;=15</f>
        <v/>
      </c>
      <c r="D2123">
        <f>IF(Skills!C3=1,60+Inputs!$B$25+Inputs!$B$29,IF(Skills!C3=2,90+Inputs!$B$26+Inputs!$B$29,IF(Skills!C3=3,120+Inputs!$B$27+Inputs!$B$29,MAX(0,(Inputs!$B$3-100)*3)+Inputs!$B$28+Inputs!$B$29)))</f>
        <v/>
      </c>
      <c r="E2123">
        <f>INDEX(FactorTable!$B$2:$Y$301, MATCH(ROUND(MIN(300,MAX(1,D2123)),0), FactorTable!$A$2:$A$301,0), Skills!L3+1)</f>
        <v/>
      </c>
      <c r="F2123">
        <f>IF(Skills!M3=TRUE,(Skills!K3/10)*(E2123/1000),Skills!K3/10)+Skills!N3</f>
        <v/>
      </c>
      <c r="G2123">
        <f>Calc!G3</f>
        <v/>
      </c>
      <c r="H2123">
        <f>Calc!H3</f>
        <v/>
      </c>
      <c r="I2123">
        <f>IF(Skills!T3&lt;&gt;"",1+(Skills!T3/10)*(Z2123/1000)/100,1)</f>
        <v/>
      </c>
      <c r="J2123" t="inlineStr"/>
      <c r="K2123" t="inlineStr"/>
      <c r="L2123" t="inlineStr"/>
      <c r="M2123" t="inlineStr"/>
      <c r="N2123" t="inlineStr"/>
      <c r="O2123">
        <f>(1-Summary!$B$11)*S2123+Summary!$B$11*U2123</f>
        <v/>
      </c>
      <c r="P2123">
        <f>IF(B2157=0,0,O2123/B2157)</f>
        <v/>
      </c>
      <c r="Q2123">
        <f>IFERROR(1/(IF(Inputs!$B$38="pvp",15,MAX(0.1,Skills!D3-IF(TRUE=TRUE,Inputs!$B$32,0)))*(1-IF(AND(ArtifactsInput!$M$27,Inputs!$B$4="Chapter Hunt"),CHOOSE(ArtifactsInput!$N$27+1,20,24,28,32,36,40),0)/100)),0)</f>
        <v/>
      </c>
      <c r="R2123">
        <f>IF(AND(Inputs!$B$38&lt;&gt;"pvp",Inputs!$B$43&gt;0),IF(Inputs!$B$43&lt;=0,0,(INT(Inputs!$B$43/(IF(Inputs!$B$38="pvp",15,MAX(0.1,Skills!D3-IF(TRUE=TRUE,Inputs!$B$32,0)))*(1-IF(AND(ArtifactsInput!$M$27,Inputs!$B$4="Chapter Hunt"),CHOOSE(ArtifactsInput!$N$27+1,20,24,28,32,36,40),0)/100)))+1)),0)</f>
        <v/>
      </c>
      <c r="S2123" t="n">
        <v>0</v>
      </c>
      <c r="T2123">
        <f>INDEX(FactorTable!$B$2:$Y$301, MATCH(ROUND(MIN(300,MAX(1,T2122)),0), FactorTable!$A$2:$A$301,0), 22)</f>
        <v/>
      </c>
      <c r="U2123" t="n">
        <v>0</v>
      </c>
      <c r="Z2123">
        <f>INDEX(FactorTable!$B$2:$Y$301, MATCH(ROUND(MIN(300,MAX(1,Z2122)),0), FactorTable!$A$2:$A$301,0), 24)</f>
        <v/>
      </c>
    </row>
    <row r="2124">
      <c r="A2124">
        <f>Skills!A4</f>
        <v/>
      </c>
      <c r="B2124">
        <f>Skills!B4</f>
        <v/>
      </c>
      <c r="C2124">
        <f>Inputs!$B$3&gt;=40</f>
        <v/>
      </c>
      <c r="D2124">
        <f>IF(Skills!C4=1,60+Inputs!$B$25+Inputs!$B$29,IF(Skills!C4=2,90+Inputs!$B$26+Inputs!$B$29,IF(Skills!C4=3,120+Inputs!$B$27+Inputs!$B$29,MAX(0,(Inputs!$B$3-100)*3)+Inputs!$B$28+Inputs!$B$29)))</f>
        <v/>
      </c>
      <c r="E2124">
        <f>INDEX(FactorTable!$B$2:$Y$301, MATCH(ROUND(MIN(300,MAX(1,D2124)),0), FactorTable!$A$2:$A$301,0), Skills!L4+1)</f>
        <v/>
      </c>
      <c r="F2124">
        <f>IF(Skills!M4=TRUE,(Skills!K4/10)*(E2124/1000),Skills!K4/10)+Skills!N4</f>
        <v/>
      </c>
      <c r="G2124">
        <f>Calc!G4</f>
        <v/>
      </c>
      <c r="H2124">
        <f>Calc!H4</f>
        <v/>
      </c>
      <c r="I2124">
        <f>IF(Skills!T4&lt;&gt;"",1+(Skills!T4/10)*(Z2123/1000)/100,1)</f>
        <v/>
      </c>
      <c r="J2124" t="inlineStr"/>
      <c r="K2124" t="inlineStr"/>
      <c r="L2124" t="inlineStr"/>
      <c r="M2124" t="inlineStr"/>
      <c r="N2124" t="inlineStr"/>
      <c r="O2124">
        <f>(1-Summary!$B$11)*S2124+Summary!$B$11*U2124</f>
        <v/>
      </c>
      <c r="P2124">
        <f>IF(B2157=0,0,O2124/B2157)</f>
        <v/>
      </c>
      <c r="Q2124">
        <f>IFERROR(1/(IF(Inputs!$B$38="pvp",15,MAX(0.1,Skills!D4-IF(TRUE=TRUE,Inputs!$B$32,0)))*(1-IF(AND(ArtifactsInput!$M$27,Inputs!$B$4="Chapter Hunt"),CHOOSE(ArtifactsInput!$N$27+1,20,24,28,32,36,40),0)/100)),0)</f>
        <v/>
      </c>
      <c r="R2124">
        <f>IF(AND(Inputs!$B$38&lt;&gt;"pvp",Inputs!$B$43&gt;0),IF(Inputs!$B$43&lt;=0,0,(INT(Inputs!$B$43/(IF(Inputs!$B$38="pvp",15,MAX(0.1,Skills!D4-IF(TRUE=TRUE,Inputs!$B$32,0)))*(1-IF(AND(ArtifactsInput!$M$27,Inputs!$B$4="Chapter Hunt"),CHOOSE(ArtifactsInput!$N$27+1,20,24,28,32,36,40),0)/100)))+1)),0)</f>
        <v/>
      </c>
      <c r="S2124" t="n">
        <v>0</v>
      </c>
      <c r="T2124">
        <f>290*T2123/1000</f>
        <v/>
      </c>
      <c r="U2124" t="n">
        <v>0</v>
      </c>
    </row>
    <row r="2125">
      <c r="A2125">
        <f>Skills!A5</f>
        <v/>
      </c>
      <c r="B2125">
        <f>Skills!B5</f>
        <v/>
      </c>
      <c r="C2125">
        <f>Inputs!$B$3&gt;=38</f>
        <v/>
      </c>
      <c r="D2125">
        <f>IF(Skills!C5=1,60+Inputs!$B$25+Inputs!$B$29,IF(Skills!C5=2,90+Inputs!$B$26+Inputs!$B$29,IF(Skills!C5=3,120+Inputs!$B$27+Inputs!$B$29,MAX(0,(Inputs!$B$3-100)*3)+Inputs!$B$28+Inputs!$B$29)))</f>
        <v/>
      </c>
      <c r="E2125">
        <f>INDEX(FactorTable!$B$2:$Y$301, MATCH(ROUND(MIN(300,MAX(1,D2125)),0), FactorTable!$A$2:$A$301,0), Skills!L5+1)</f>
        <v/>
      </c>
      <c r="F2125">
        <f>IF(Skills!M5=TRUE,(Skills!K5/10)*(E2125/1000),Skills!K5/10)+Skills!N5</f>
        <v/>
      </c>
      <c r="G2125">
        <f>Calc!G5</f>
        <v/>
      </c>
      <c r="H2125">
        <f>Calc!H5</f>
        <v/>
      </c>
      <c r="I2125">
        <f>IF(Skills!T5&lt;&gt;"",1+(Skills!T5/10)*(Z2123/1000)/100,1)</f>
        <v/>
      </c>
      <c r="J2125">
        <f>((Inputs!$B$6*(1+Inputs!$B$7/100))+(((Inputs!$B$12*(1+Inputs!$B$13/100))-(Inputs!$B$12*(1+Inputs!$B$13/100)))+0.25*(Inputs!$B$14-Inputs!$B$14))*(1+Inputs!$B$7/100))*(F2125/100)</f>
        <v/>
      </c>
      <c r="K2125">
        <f>J2125*(1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5="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2125)</f>
        <v/>
      </c>
      <c r="L2125">
        <f>K2125*(MIN(Inputs!$B$22+(F2138-Calc!F18),(Inputs!$B$23+(IF(ArtifactsInput!$M$15,CHOOSE(ArtifactsInput!$N$15+1,25,30,35,40,45,50)/100*(Inputs!$B$11-Inputs!$B$11),0))))/100+(Inputs!$B$23+(IF(ArtifactsInput!$M$15,CHOOSE(ArtifactsInput!$N$15+1,25,30,35,40,45,50)/100*(Inputs!$B$11-Inputs!$B$11),0)))/100)/2</f>
        <v/>
      </c>
      <c r="M2125">
        <f>L2125*(1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5">
        <f>L2125*(1-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2125*(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5">
        <f>(1-Summary!$B$11)*S2125+Summary!$B$11*U2125</f>
        <v/>
      </c>
      <c r="P2125">
        <f>IF(B2157=0,0,O2125/B2157)</f>
        <v/>
      </c>
      <c r="Q2125">
        <f>IFERROR(1/(IF(Inputs!$B$38="pvp",15,MAX(0.1,Skills!D5-IF(TRUE=TRUE,Inputs!$B$32,0)))*(1-IF(AND(ArtifactsInput!$M$27,Inputs!$B$4="Chapter Hunt"),CHOOSE(ArtifactsInput!$N$27+1,20,24,28,32,36,40),0)/100)),0)</f>
        <v/>
      </c>
      <c r="R2125">
        <f>IF(AND(Inputs!$B$38&lt;&gt;"pvp",Inputs!$B$43&gt;0),IF(MAX(0,Inputs!$B$43-B2154)&lt;=0,0,(INT(MAX(0,Inputs!$B$43-B2154)/(IF(Inputs!$B$38="pvp",15,MAX(0.1,Skills!D5-IF(TRUE=TRUE,Inputs!$B$32,0)))*(1-IF(AND(ArtifactsInput!$M$27,Inputs!$B$4="Chapter Hunt"),CHOOSE(ArtifactsInput!$N$27+1,20,24,28,32,36,40),0)/100)))+1)),0)</f>
        <v/>
      </c>
      <c r="S2125">
        <f>IF(C2125,(H2125*N2125*IF(AND(Inputs!$B$38&lt;&gt;"pvp",Inputs!$B$43&gt;0),((Skills!F5*((R2125-1)*IF(Skills!G5&gt;0,Skills!H5/Skills!G5,1)+IF(Skills!G5&gt;0,MIN(Skills!H5,MAX(0,MAX(0,Inputs!$B$43-B2154)-((R2125-1)*(IF(Inputs!$B$38="pvp",15,MAX(0.1,Skills!D5-IF(TRUE=TRUE,Inputs!$B$32,0)))*(1-IF(AND(ArtifactsInput!$M$27,Inputs!$B$4="Chapter Hunt"),CHOOSE(ArtifactsInput!$N$27+1,20,24,28,32,36,40),0)/100)))))/Skills!G5,1)))/Inputs!$B$43),G2125*Q2125))*IF(Inputs!$B$38="pvp",1,1+(Inputs!$B$20+Skills!O5+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2125*(1-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2125*(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2125*(1-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2125*(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5">
        <f>IF(C2125,(H2125*N2125*IF(AND(Inputs!$B$38&lt;&gt;"pvp",Inputs!$B$43&gt;0),((Skills!F5*((R2125-1)*IF(Skills!G5&gt;0,Skills!H5/Skills!G5,1)+IF(Skills!G5&gt;0,MIN(Skills!H5,MAX(0,MAX(0,Inputs!$B$43-B2154)-((R2125-1)*(IF(Inputs!$B$38="pvp",15,MAX(0.1,Skills!D5-IF(TRUE=TRUE,Inputs!$B$32,0)))*(1-IF(AND(ArtifactsInput!$M$27,Inputs!$B$4="Chapter Hunt"),CHOOSE(ArtifactsInput!$N$27+1,20,24,28,32,36,40),0)/100)))))/Skills!G5,1)))/Inputs!$B$43),G2125*Q2125))*IF(Inputs!$B$38="pvp",1,(1+(Inputs!$B$21+Skills!P5+B2148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6">
      <c r="A2126">
        <f>Skills!A6</f>
        <v/>
      </c>
      <c r="B2126">
        <f>Skills!B6</f>
        <v/>
      </c>
      <c r="C2126">
        <f>Inputs!$B$3&gt;=63</f>
        <v/>
      </c>
      <c r="D2126">
        <f>IF(Skills!C6=1,60+Inputs!$B$25+Inputs!$B$29,IF(Skills!C6=2,90+Inputs!$B$26+Inputs!$B$29,IF(Skills!C6=3,120+Inputs!$B$27+Inputs!$B$29,MAX(0,(Inputs!$B$3-100)*3)+Inputs!$B$28+Inputs!$B$29)))</f>
        <v/>
      </c>
      <c r="E2126">
        <f>INDEX(FactorTable!$B$2:$Y$301, MATCH(ROUND(MIN(300,MAX(1,D2126)),0), FactorTable!$A$2:$A$301,0), Skills!L6+1)</f>
        <v/>
      </c>
      <c r="F2126">
        <f>IF(Skills!M6=TRUE,(Skills!K6/10)*(E2126/1000),Skills!K6/10)+Skills!N6</f>
        <v/>
      </c>
      <c r="G2126">
        <f>Calc!G6</f>
        <v/>
      </c>
      <c r="H2126">
        <f>Calc!H6</f>
        <v/>
      </c>
      <c r="I2126">
        <f>IF(Skills!T6&lt;&gt;"",1+(Skills!T6/10)*(Z2123/1000)/100,1)</f>
        <v/>
      </c>
      <c r="J2126">
        <f>((Inputs!$B$6*(1+Inputs!$B$7/100))+(((Inputs!$B$12*(1+Inputs!$B$13/100))-(Inputs!$B$12*(1+Inputs!$B$13/100)))+0.25*(Inputs!$B$14-Inputs!$B$14))*(1+Inputs!$B$7/100))*(F2126/100)</f>
        <v/>
      </c>
      <c r="K2126">
        <f>J2126*(1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6="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2126)</f>
        <v/>
      </c>
      <c r="L2126">
        <f>K2126*(MIN(Inputs!$B$22+(F2138-Calc!F18),(Inputs!$B$23+(IF(ArtifactsInput!$M$15,CHOOSE(ArtifactsInput!$N$15+1,25,30,35,40,45,50)/100*(Inputs!$B$11-Inputs!$B$11),0))))/100+(Inputs!$B$23+(IF(ArtifactsInput!$M$15,CHOOSE(ArtifactsInput!$N$15+1,25,30,35,40,45,50)/100*(Inputs!$B$11-Inputs!$B$11),0)))/100)/2</f>
        <v/>
      </c>
      <c r="M2126">
        <f>L2126*(1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6">
        <f>L2126*(1-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2126*(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6">
        <f>(1-Summary!$B$11)*S2126+Summary!$B$11*U2126</f>
        <v/>
      </c>
      <c r="P2126">
        <f>IF(B2157=0,0,O2126/B2157)</f>
        <v/>
      </c>
      <c r="Q2126">
        <f>IFERROR(1/(IF(Inputs!$B$38="pvp",15,MAX(0.1,Skills!D6-IF(TRUE=TRUE,Inputs!$B$32,0)))*(1-IF(AND(ArtifactsInput!$M$27,Inputs!$B$4="Chapter Hunt"),CHOOSE(ArtifactsInput!$N$27+1,20,24,28,32,36,40),0)/100)),0)</f>
        <v/>
      </c>
      <c r="R2126">
        <f>IF(AND(Inputs!$B$38&lt;&gt;"pvp",Inputs!$B$43&gt;0),IF(MAX(0,Inputs!$B$43-B2154)&lt;=0,0,(INT(MAX(0,Inputs!$B$43-B2154)/(IF(Inputs!$B$38="pvp",15,MAX(0.1,Skills!D6-IF(TRUE=TRUE,Inputs!$B$32,0)))*(1-IF(AND(ArtifactsInput!$M$27,Inputs!$B$4="Chapter Hunt"),CHOOSE(ArtifactsInput!$N$27+1,20,24,28,32,36,40),0)/100)))+1)),0)</f>
        <v/>
      </c>
      <c r="S2126">
        <f>IF(C2126,(H2126*N2126*IF(AND(Inputs!$B$38&lt;&gt;"pvp",Inputs!$B$43&gt;0),((Skills!F6*((R2126-1)*IF(Skills!G6&gt;0,Skills!H6/Skills!G6,1)+IF(Skills!G6&gt;0,MIN(Skills!H6,MAX(0,MAX(0,Inputs!$B$43-B2154)-((R2126-1)*(IF(Inputs!$B$38="pvp",15,MAX(0.1,Skills!D6-IF(TRUE=TRUE,Inputs!$B$32,0)))*(1-IF(AND(ArtifactsInput!$M$27,Inputs!$B$4="Chapter Hunt"),CHOOSE(ArtifactsInput!$N$27+1,20,24,28,32,36,40),0)/100)))))/Skills!G6,1)))/Inputs!$B$43),G2126*Q2126))*IF(Inputs!$B$38="pvp",1,1+(Inputs!$B$20+Skills!O6+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2126*(1-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2126*(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2126*(1-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2126*(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6">
        <f>IF(C2126,(H2126*N2126*IF(AND(Inputs!$B$38&lt;&gt;"pvp",Inputs!$B$43&gt;0),((Skills!F6*((R2126-1)*IF(Skills!G6&gt;0,Skills!H6/Skills!G6,1)+IF(Skills!G6&gt;0,MIN(Skills!H6,MAX(0,MAX(0,Inputs!$B$43-B2154)-((R2126-1)*(IF(Inputs!$B$38="pvp",15,MAX(0.1,Skills!D6-IF(TRUE=TRUE,Inputs!$B$32,0)))*(1-IF(AND(ArtifactsInput!$M$27,Inputs!$B$4="Chapter Hunt"),CHOOSE(ArtifactsInput!$N$27+1,20,24,28,32,36,40),0)/100)))))/Skills!G6,1)))/Inputs!$B$43),G2126*Q2126))*IF(Inputs!$B$38="pvp",1,(1+(Inputs!$B$21+Skills!P6+B2148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7">
      <c r="A2127">
        <f>Skills!A7</f>
        <v/>
      </c>
      <c r="B2127">
        <f>Skills!B7</f>
        <v/>
      </c>
      <c r="C2127">
        <f>Inputs!$B$3&gt;=69</f>
        <v/>
      </c>
      <c r="D2127">
        <f>IF(Skills!C7=1,60+Inputs!$B$25+Inputs!$B$29,IF(Skills!C7=2,90+Inputs!$B$26+Inputs!$B$29,IF(Skills!C7=3,120+Inputs!$B$27+Inputs!$B$29,MAX(0,(Inputs!$B$3-100)*3)+Inputs!$B$28+Inputs!$B$29)))</f>
        <v/>
      </c>
      <c r="E2127">
        <f>INDEX(FactorTable!$B$2:$Y$301, MATCH(ROUND(MIN(300,MAX(1,D2127)),0), FactorTable!$A$2:$A$301,0), Skills!L7+1)</f>
        <v/>
      </c>
      <c r="F2127">
        <f>IF(Skills!M7=TRUE,(Skills!K7/10)*(E2127/1000),Skills!K7/10)+Skills!N7</f>
        <v/>
      </c>
      <c r="G2127">
        <f>Calc!G7</f>
        <v/>
      </c>
      <c r="H2127">
        <f>Calc!H7</f>
        <v/>
      </c>
      <c r="I2127">
        <f>IF(Skills!T7&lt;&gt;"",1+(Skills!T7/10)*(Z2123/1000)/100,1)</f>
        <v/>
      </c>
      <c r="J2127">
        <f>((Inputs!$B$6*(1+Inputs!$B$7/100))+(((Inputs!$B$12*(1+Inputs!$B$13/100))-(Inputs!$B$12*(1+Inputs!$B$13/100)))+0.25*(Inputs!$B$14-Inputs!$B$14))*(1+Inputs!$B$7/100))*(F2127/100)</f>
        <v/>
      </c>
      <c r="K2127">
        <f>J2127*(1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7="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2127)</f>
        <v/>
      </c>
      <c r="L2127">
        <f>K2127*(MIN(Inputs!$B$22+(F2138-Calc!F18),(Inputs!$B$23+(IF(ArtifactsInput!$M$15,CHOOSE(ArtifactsInput!$N$15+1,25,30,35,40,45,50)/100*(Inputs!$B$11-Inputs!$B$11),0))))/100+(Inputs!$B$23+(IF(ArtifactsInput!$M$15,CHOOSE(ArtifactsInput!$N$15+1,25,30,35,40,45,50)/100*(Inputs!$B$11-Inputs!$B$11),0)))/100)/2</f>
        <v/>
      </c>
      <c r="M2127">
        <f>L2127*(1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7">
        <f>L2127*(1-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2127*(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7">
        <f>(1-Summary!$B$11)*S2127+Summary!$B$11*U2127</f>
        <v/>
      </c>
      <c r="P2127">
        <f>IF(B2157=0,0,O2127/B2157)</f>
        <v/>
      </c>
      <c r="Q2127">
        <f>IFERROR(1/(IF(Inputs!$B$38="pvp",15,MAX(0.1,Skills!D7-IF(TRUE=TRUE,Inputs!$B$32,0)))*(1-IF(AND(ArtifactsInput!$M$27,Inputs!$B$4="Chapter Hunt"),CHOOSE(ArtifactsInput!$N$27+1,20,24,28,32,36,40),0)/100)),0)</f>
        <v/>
      </c>
      <c r="R2127">
        <f>IF(AND(Inputs!$B$38&lt;&gt;"pvp",Inputs!$B$43&gt;0),IF(MAX(0,Inputs!$B$43-B2154)&lt;=0,0,(INT(MAX(0,Inputs!$B$43-B2154)/(IF(Inputs!$B$38="pvp",15,MAX(0.1,Skills!D7-IF(TRUE=TRUE,Inputs!$B$32,0)))*(1-IF(AND(ArtifactsInput!$M$27,Inputs!$B$4="Chapter Hunt"),CHOOSE(ArtifactsInput!$N$27+1,20,24,28,32,36,40),0)/100)))+1)),0)</f>
        <v/>
      </c>
      <c r="S2127">
        <f>IF(C2127,(H2127*N2127*IF(AND(Inputs!$B$38&lt;&gt;"pvp",Inputs!$B$43&gt;0),((Skills!F7*((R2127-1)*IF(Skills!G7&gt;0,Skills!H7/Skills!G7,1)+IF(Skills!G7&gt;0,MIN(Skills!H7,MAX(0,MAX(0,Inputs!$B$43-B2154)-((R2127-1)*(IF(Inputs!$B$38="pvp",15,MAX(0.1,Skills!D7-IF(TRUE=TRUE,Inputs!$B$32,0)))*(1-IF(AND(ArtifactsInput!$M$27,Inputs!$B$4="Chapter Hunt"),CHOOSE(ArtifactsInput!$N$27+1,20,24,28,32,36,40),0)/100)))))/Skills!G7,1)))/Inputs!$B$43),G2127*Q2127))*IF(Inputs!$B$38="pvp",1,1+(Inputs!$B$20+Skills!O7+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2127*(1-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2127*(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2127*(1-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2127*(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7">
        <f>IF(C2127,(H2127*N2127*IF(AND(Inputs!$B$38&lt;&gt;"pvp",Inputs!$B$43&gt;0),((Skills!F7*((R2127-1)*IF(Skills!G7&gt;0,Skills!H7/Skills!G7,1)+IF(Skills!G7&gt;0,MIN(Skills!H7,MAX(0,MAX(0,Inputs!$B$43-B2154)-((R2127-1)*(IF(Inputs!$B$38="pvp",15,MAX(0.1,Skills!D7-IF(TRUE=TRUE,Inputs!$B$32,0)))*(1-IF(AND(ArtifactsInput!$M$27,Inputs!$B$4="Chapter Hunt"),CHOOSE(ArtifactsInput!$N$27+1,20,24,28,32,36,40),0)/100)))))/Skills!G7,1)))/Inputs!$B$43),G2127*Q2127))*IF(Inputs!$B$38="pvp",1,(1+(Inputs!$B$21+Skills!P7+B2148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8">
      <c r="A2128">
        <f>Skills!A8</f>
        <v/>
      </c>
      <c r="B2128">
        <f>Skills!B8</f>
        <v/>
      </c>
      <c r="C2128">
        <f>Inputs!$B$3&gt;=103</f>
        <v/>
      </c>
      <c r="D2128">
        <f>IF(Skills!C8=1,60+Inputs!$B$25+Inputs!$B$29,IF(Skills!C8=2,90+Inputs!$B$26+Inputs!$B$29,IF(Skills!C8=3,120+Inputs!$B$27+Inputs!$B$29,MAX(0,(Inputs!$B$3-100)*3)+Inputs!$B$28+Inputs!$B$29)))</f>
        <v/>
      </c>
      <c r="E2128">
        <f>INDEX(FactorTable!$B$2:$Y$301, MATCH(ROUND(MIN(300,MAX(1,D2128)),0), FactorTable!$A$2:$A$301,0), Skills!L8+1)</f>
        <v/>
      </c>
      <c r="F2128">
        <f>IF(Skills!M8=TRUE,(Skills!K8/10)*(E2128/1000),Skills!K8/10)+Skills!N8</f>
        <v/>
      </c>
      <c r="G2128">
        <f>Calc!G8</f>
        <v/>
      </c>
      <c r="H2128">
        <f>Calc!H8</f>
        <v/>
      </c>
      <c r="I2128">
        <f>IF(Skills!T8&lt;&gt;"",1+(Skills!T8/10)*(Z2123/1000)/100,1)</f>
        <v/>
      </c>
      <c r="J2128">
        <f>((Inputs!$B$6*(1+Inputs!$B$7/100))+(((Inputs!$B$12*(1+Inputs!$B$13/100))-(Inputs!$B$12*(1+Inputs!$B$13/100)))+0.25*(Inputs!$B$14-Inputs!$B$14))*(1+Inputs!$B$7/100))*(F2128/100)</f>
        <v/>
      </c>
      <c r="K2128">
        <f>J2128*(1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8="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2128)</f>
        <v/>
      </c>
      <c r="L2128">
        <f>K2128*(MIN(Inputs!$B$22+(F2138-Calc!F18),(Inputs!$B$23+(IF(ArtifactsInput!$M$15,CHOOSE(ArtifactsInput!$N$15+1,25,30,35,40,45,50)/100*(Inputs!$B$11-Inputs!$B$11),0))))/100+(Inputs!$B$23+(IF(ArtifactsInput!$M$15,CHOOSE(ArtifactsInput!$N$15+1,25,30,35,40,45,50)/100*(Inputs!$B$11-Inputs!$B$11),0)))/100)/2</f>
        <v/>
      </c>
      <c r="M2128">
        <f>L2128*(1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8">
        <f>L2128*(1-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2128*(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8">
        <f>(1-Summary!$B$11)*S2128+Summary!$B$11*U2128</f>
        <v/>
      </c>
      <c r="P2128">
        <f>IF(B2157=0,0,O2128/B2157)</f>
        <v/>
      </c>
      <c r="Q2128">
        <f>IFERROR(1/(IF(Inputs!$B$38="pvp",15,MAX(0.1,Skills!D8-IF(TRUE=TRUE,Inputs!$B$32,0)))*(1-IF(AND(ArtifactsInput!$M$27,Inputs!$B$4="Chapter Hunt"),CHOOSE(ArtifactsInput!$N$27+1,20,24,28,32,36,40),0)/100)),0)</f>
        <v/>
      </c>
      <c r="R2128">
        <f>IF(AND(Inputs!$B$38&lt;&gt;"pvp",Inputs!$B$43&gt;0),IF(MAX(0,Inputs!$B$43-B2154)&lt;=0,0,(INT(MAX(0,Inputs!$B$43-B2154)/(IF(Inputs!$B$38="pvp",15,MAX(0.1,Skills!D8-IF(TRUE=TRUE,Inputs!$B$32,0)))*(1-IF(AND(ArtifactsInput!$M$27,Inputs!$B$4="Chapter Hunt"),CHOOSE(ArtifactsInput!$N$27+1,20,24,28,32,36,40),0)/100)))+1)),0)</f>
        <v/>
      </c>
      <c r="S2128">
        <f>IF(C2128,(H2128*N2128*IF(AND(Inputs!$B$38&lt;&gt;"pvp",Inputs!$B$43&gt;0),((Skills!F8*((R2128-1)*IF(Skills!G8&gt;0,Skills!H8/Skills!G8,1)+IF(Skills!G8&gt;0,MIN(Skills!H8,MAX(0,MAX(0,Inputs!$B$43-B2154)-((R2128-1)*(IF(Inputs!$B$38="pvp",15,MAX(0.1,Skills!D8-IF(TRUE=TRUE,Inputs!$B$32,0)))*(1-IF(AND(ArtifactsInput!$M$27,Inputs!$B$4="Chapter Hunt"),CHOOSE(ArtifactsInput!$N$27+1,20,24,28,32,36,40),0)/100)))))/Skills!G8,1)))/Inputs!$B$43),G2128*Q2128))*IF(Inputs!$B$38="pvp",1,1+(Inputs!$B$20+Skills!O8+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2128*(1-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2128*(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2128*(1-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2128*(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8">
        <f>IF(C2128,(H2128*N2128*IF(AND(Inputs!$B$38&lt;&gt;"pvp",Inputs!$B$43&gt;0),((Skills!F8*((R2128-1)*IF(Skills!G8&gt;0,Skills!H8/Skills!G8,1)+IF(Skills!G8&gt;0,MIN(Skills!H8,MAX(0,MAX(0,Inputs!$B$43-B2154)-((R2128-1)*(IF(Inputs!$B$38="pvp",15,MAX(0.1,Skills!D8-IF(TRUE=TRUE,Inputs!$B$32,0)))*(1-IF(AND(ArtifactsInput!$M$27,Inputs!$B$4="Chapter Hunt"),CHOOSE(ArtifactsInput!$N$27+1,20,24,28,32,36,40),0)/100)))))/Skills!G8,1)))/Inputs!$B$43),G2128*Q2128))*IF(Inputs!$B$38="pvp",1,(1+(Inputs!$B$21+Skills!P8+B2148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9">
      <c r="A2129">
        <f>Skills!A9</f>
        <v/>
      </c>
      <c r="B2129">
        <f>Skills!B9</f>
        <v/>
      </c>
      <c r="C2129">
        <f>Inputs!$B$3&gt;=105</f>
        <v/>
      </c>
      <c r="D2129">
        <f>IF(Skills!C9=1,60+Inputs!$B$25+Inputs!$B$29,IF(Skills!C9=2,90+Inputs!$B$26+Inputs!$B$29,IF(Skills!C9=3,120+Inputs!$B$27+Inputs!$B$29,MAX(0,(Inputs!$B$3-100)*3)+Inputs!$B$28+Inputs!$B$29)))</f>
        <v/>
      </c>
      <c r="E2129">
        <f>INDEX(FactorTable!$B$2:$Y$301, MATCH(ROUND(MIN(300,MAX(1,D2129)),0), FactorTable!$A$2:$A$301,0), Skills!L9+1)</f>
        <v/>
      </c>
      <c r="F2129">
        <f>IF(Skills!M9=TRUE,(Skills!K9/10)*(E2129/1000),Skills!K9/10)+Skills!N9</f>
        <v/>
      </c>
      <c r="G2129">
        <f>Calc!G9</f>
        <v/>
      </c>
      <c r="H2129">
        <f>Calc!H9</f>
        <v/>
      </c>
      <c r="I2129">
        <f>IF(Skills!T9&lt;&gt;"",1+(Skills!T9/10)*(Z2123/1000)/100,1)</f>
        <v/>
      </c>
      <c r="J2129">
        <f>((Inputs!$B$6*(1+Inputs!$B$7/100))+(((Inputs!$B$12*(1+Inputs!$B$13/100))-(Inputs!$B$12*(1+Inputs!$B$13/100)))+0.25*(Inputs!$B$14-Inputs!$B$14))*(1+Inputs!$B$7/100))*(F2129/100)</f>
        <v/>
      </c>
      <c r="K2129">
        <f>J2129*(1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9="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2129)</f>
        <v/>
      </c>
      <c r="L2129">
        <f>K2129*(MIN(Inputs!$B$22+(F2138-Calc!F18),(Inputs!$B$23+(IF(ArtifactsInput!$M$15,CHOOSE(ArtifactsInput!$N$15+1,25,30,35,40,45,50)/100*(Inputs!$B$11-Inputs!$B$11),0))))/100+(Inputs!$B$23+(IF(ArtifactsInput!$M$15,CHOOSE(ArtifactsInput!$N$15+1,25,30,35,40,45,50)/100*(Inputs!$B$11-Inputs!$B$11),0)))/100)/2</f>
        <v/>
      </c>
      <c r="M2129">
        <f>L2129*(1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9">
        <f>L2129*(1-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2129*(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9">
        <f>(1-Summary!$B$11)*S2129+Summary!$B$11*U2129</f>
        <v/>
      </c>
      <c r="P2129">
        <f>IF(B2157=0,0,O2129/B2157)</f>
        <v/>
      </c>
      <c r="Q2129">
        <f>IFERROR(1/(IF(Inputs!$B$38="pvp",15,MAX(0.1,Skills!D9-IF(TRUE=TRUE,Inputs!$B$32,0)))*(1-IF(AND(ArtifactsInput!$M$27,Inputs!$B$4="Chapter Hunt"),CHOOSE(ArtifactsInput!$N$27+1,20,24,28,32,36,40),0)/100)),0)</f>
        <v/>
      </c>
      <c r="R2129">
        <f>IF(AND(Inputs!$B$38&lt;&gt;"pvp",Inputs!$B$43&gt;0),IF(MAX(0,Inputs!$B$43-B2154)&lt;=0,0,(INT(MAX(0,Inputs!$B$43-B2154)/(IF(Inputs!$B$38="pvp",15,MAX(0.1,Skills!D9-IF(TRUE=TRUE,Inputs!$B$32,0)))*(1-IF(AND(ArtifactsInput!$M$27,Inputs!$B$4="Chapter Hunt"),CHOOSE(ArtifactsInput!$N$27+1,20,24,28,32,36,40),0)/100)))+1)),0)</f>
        <v/>
      </c>
      <c r="S2129">
        <f>IF(C2129,(H2129*N2129*IF(AND(Inputs!$B$38&lt;&gt;"pvp",Inputs!$B$43&gt;0),((Skills!F9*((R2129-1)*IF(Skills!G9&gt;0,Skills!H9/Skills!G9,1)+IF(Skills!G9&gt;0,MIN(Skills!H9,MAX(0,MAX(0,Inputs!$B$43-B2154)-((R2129-1)*(IF(Inputs!$B$38="pvp",15,MAX(0.1,Skills!D9-IF(TRUE=TRUE,Inputs!$B$32,0)))*(1-IF(AND(ArtifactsInput!$M$27,Inputs!$B$4="Chapter Hunt"),CHOOSE(ArtifactsInput!$N$27+1,20,24,28,32,36,40),0)/100)))))/Skills!G9,1)))/Inputs!$B$43),G2129*Q2129))*IF(Inputs!$B$38="pvp",1,1+(Inputs!$B$20+Skills!O9+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2129*(1-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2129*(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2129*(1-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2129*(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29">
        <f>IF(C2129,(H2129*N2129*IF(AND(Inputs!$B$38&lt;&gt;"pvp",Inputs!$B$43&gt;0),((Skills!F9*((R2129-1)*IF(Skills!G9&gt;0,Skills!H9/Skills!G9,1)+IF(Skills!G9&gt;0,MIN(Skills!H9,MAX(0,MAX(0,Inputs!$B$43-B2154)-((R2129-1)*(IF(Inputs!$B$38="pvp",15,MAX(0.1,Skills!D9-IF(TRUE=TRUE,Inputs!$B$32,0)))*(1-IF(AND(ArtifactsInput!$M$27,Inputs!$B$4="Chapter Hunt"),CHOOSE(ArtifactsInput!$N$27+1,20,24,28,32,36,40),0)/100)))))/Skills!G9,1)))/Inputs!$B$43),G2129*Q2129))*IF(Inputs!$B$38="pvp",1,(1+(Inputs!$B$21+Skills!P9+B2148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0">
      <c r="A2130">
        <f>Skills!A10</f>
        <v/>
      </c>
      <c r="B2130">
        <f>Skills!B10</f>
        <v/>
      </c>
      <c r="C2130">
        <f>Inputs!$B$3&gt;=113</f>
        <v/>
      </c>
      <c r="D2130">
        <f>IF(Skills!C10=1,60+Inputs!$B$25+Inputs!$B$29,IF(Skills!C10=2,90+Inputs!$B$26+Inputs!$B$29,IF(Skills!C10=3,120+Inputs!$B$27+Inputs!$B$29,MAX(0,(Inputs!$B$3-100)*3)+Inputs!$B$28+Inputs!$B$29)))</f>
        <v/>
      </c>
      <c r="E2130">
        <f>INDEX(FactorTable!$B$2:$Y$301, MATCH(ROUND(MIN(300,MAX(1,D2130)),0), FactorTable!$A$2:$A$301,0), Skills!L10+1)</f>
        <v/>
      </c>
      <c r="F2130">
        <f>IF(Skills!M10=TRUE,(Skills!K10/10)*(E2130/1000),Skills!K10/10)+Skills!N10</f>
        <v/>
      </c>
      <c r="G2130">
        <f>Calc!G10</f>
        <v/>
      </c>
      <c r="H2130">
        <f>Calc!H10</f>
        <v/>
      </c>
      <c r="I2130">
        <f>IF(Skills!T10&lt;&gt;"",1+(Skills!T10/10)*(Z2123/1000)/100,1)</f>
        <v/>
      </c>
      <c r="J2130">
        <f>((Inputs!$B$6*(1+Inputs!$B$7/100))+(((Inputs!$B$12*(1+Inputs!$B$13/100))-(Inputs!$B$12*(1+Inputs!$B$13/100)))+0.25*(Inputs!$B$14-Inputs!$B$14))*(1+Inputs!$B$7/100))*(F2130/100)</f>
        <v/>
      </c>
      <c r="K2130">
        <f>J2130*(1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10="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2130)</f>
        <v/>
      </c>
      <c r="L2130">
        <f>K2130*(MIN(Inputs!$B$22+(F2138-Calc!F18),(Inputs!$B$23+(IF(ArtifactsInput!$M$15,CHOOSE(ArtifactsInput!$N$15+1,25,30,35,40,45,50)/100*(Inputs!$B$11-Inputs!$B$11),0))))/100+(Inputs!$B$23+(IF(ArtifactsInput!$M$15,CHOOSE(ArtifactsInput!$N$15+1,25,30,35,40,45,50)/100*(Inputs!$B$11-Inputs!$B$11),0)))/100)/2</f>
        <v/>
      </c>
      <c r="M2130">
        <f>L2130*(1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0">
        <f>L2130*(1-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2130*(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0">
        <f>(1-Summary!$B$11)*S2130+Summary!$B$11*U2130</f>
        <v/>
      </c>
      <c r="P2130">
        <f>IF(B2157=0,0,O2130/B2157)</f>
        <v/>
      </c>
      <c r="Q2130">
        <f>IFERROR(1/(IF(Inputs!$B$38="pvp",15,MAX(0.1,Skills!D10-IF(TRUE=TRUE,Inputs!$B$32,0)))*(1-IF(AND(ArtifactsInput!$M$27,Inputs!$B$4="Chapter Hunt"),CHOOSE(ArtifactsInput!$N$27+1,20,24,28,32,36,40),0)/100)),0)</f>
        <v/>
      </c>
      <c r="R2130" t="n">
        <v>0</v>
      </c>
      <c r="S2130">
        <f>IF(C2130,((H2130*B2158)/(1+Skills!G10*H2130*B2158)*N2130)*IF(Inputs!$B$38="pvp",1,1+(Inputs!$B$20+Skills!O10+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2130*(1-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2130*(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2130*(1-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2130*(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30">
        <f>IF(C2130,((H2130*B2158)/(1+Skills!G10*H2130*B2158)*N2130)*IF(Inputs!$B$38="pvp",1,(1+(Inputs!$B$21+Skills!P10+B2148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1">
      <c r="A2131">
        <f>Skills!A11</f>
        <v/>
      </c>
      <c r="B2131">
        <f>Skills!B11</f>
        <v/>
      </c>
      <c r="C2131">
        <f>Inputs!$B$3&gt;=107</f>
        <v/>
      </c>
      <c r="D2131">
        <f>IF(Skills!C11=1,60+Inputs!$B$25+Inputs!$B$29,IF(Skills!C11=2,90+Inputs!$B$26+Inputs!$B$29,IF(Skills!C11=3,120+Inputs!$B$27+Inputs!$B$29,MAX(0,(Inputs!$B$3-100)*3)+Inputs!$B$28+Inputs!$B$29)))</f>
        <v/>
      </c>
      <c r="E2131">
        <f>INDEX(FactorTable!$B$2:$Y$301, MATCH(ROUND(MIN(300,MAX(1,D2131)),0), FactorTable!$A$2:$A$301,0), Skills!L11+1)</f>
        <v/>
      </c>
      <c r="F2131">
        <f>IF(Skills!M11=TRUE,(Skills!K11/10)*(E2131/1000),Skills!K11/10)+Skills!N11</f>
        <v/>
      </c>
      <c r="G2131">
        <f>Calc!G11</f>
        <v/>
      </c>
      <c r="H2131">
        <f>Calc!H11</f>
        <v/>
      </c>
      <c r="I2131">
        <f>IF(Skills!T11&lt;&gt;"",1+(Skills!T11/10)*(Z2123/1000)/100,1)</f>
        <v/>
      </c>
      <c r="J2131">
        <f>((Inputs!$B$6*(1+Inputs!$B$7/100))+(((Inputs!$B$12*(1+Inputs!$B$13/100))-(Inputs!$B$12*(1+Inputs!$B$13/100)))+0.25*(Inputs!$B$14-Inputs!$B$14))*(1+Inputs!$B$7/100))*(F2131/100)</f>
        <v/>
      </c>
      <c r="K2131">
        <f>J2131*(1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11="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2131)</f>
        <v/>
      </c>
      <c r="L2131">
        <f>K2131*(MIN(Inputs!$B$22+(F2138-Calc!F18),(Inputs!$B$23+(IF(ArtifactsInput!$M$15,CHOOSE(ArtifactsInput!$N$15+1,25,30,35,40,45,50)/100*(Inputs!$B$11-Inputs!$B$11),0))))/100+(Inputs!$B$23+(IF(ArtifactsInput!$M$15,CHOOSE(ArtifactsInput!$N$15+1,25,30,35,40,45,50)/100*(Inputs!$B$11-Inputs!$B$11),0)))/100)/2</f>
        <v/>
      </c>
      <c r="M2131">
        <f>L2131*(1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1">
        <f>L2131*(1-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1">
        <f>(1-Summary!$B$11)*S2131+Summary!$B$11*U2131</f>
        <v/>
      </c>
      <c r="P2131">
        <f>IF(B2157=0,0,O2131/B2157)</f>
        <v/>
      </c>
      <c r="Q2131">
        <f>IFERROR(1/(IF(Inputs!$B$38="pvp",15,MAX(0.1,Skills!D11-IF(TRUE=TRUE,Inputs!$B$32,0)))*(1-IF(AND(ArtifactsInput!$M$27,Inputs!$B$4="Chapter Hunt"),CHOOSE(ArtifactsInput!$N$27+1,20,24,28,32,36,40),0)/100)),0)</f>
        <v/>
      </c>
      <c r="R2131">
        <f>IF(AND(Inputs!$B$38&lt;&gt;"pvp",Inputs!$B$43&gt;0),IF(MAX(0,Inputs!$B$43-B2154)&lt;=0,0,(INT(MAX(0,Inputs!$B$43-B2154)/(IF(Inputs!$B$38="pvp",15,MAX(0.1,Skills!D11-IF(TRUE=TRUE,Inputs!$B$32,0)))*(1-IF(AND(ArtifactsInput!$M$27,Inputs!$B$4="Chapter Hunt"),CHOOSE(ArtifactsInput!$N$27+1,20,24,28,32,36,40),0)/100)))+1)),0)</f>
        <v/>
      </c>
      <c r="S2131">
        <f>IF(C2131,H2131*N2131*IF(AND(Inputs!$B$38&lt;&gt;"pvp",Inputs!$B$43&gt;0),((Skills!F11*((R2131-1)*IF(Skills!G11&gt;0,Skills!H11/Skills!G11,1)+IF(Skills!G11&gt;0,MIN(Skills!H11,MAX(0,MAX(0,Inputs!$B$43-B2154)-((R2131-1)*(IF(Inputs!$B$38="pvp",15,MAX(0.1,Skills!D11-IF(TRUE=TRUE,Inputs!$B$32,0)))*(1-IF(AND(ArtifactsInput!$M$27,Inputs!$B$4="Chapter Hunt"),CHOOSE(ArtifactsInput!$N$27+1,20,24,28,32,36,40),0)/100)))))/Skills!G11,1)))/Inputs!$B$43),G2131*Q2131)*0.5*IF(Inputs!$B$38="pvp",1,1+(Inputs!$B$20+Skills!O11+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2131*(1-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2131*(1-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31">
        <f>IF(C2131,H2131*N2131*IF(AND(Inputs!$B$38&lt;&gt;"pvp",Inputs!$B$43&gt;0),((Skills!F11*((R2131-1)*IF(Skills!G11&gt;0,Skills!H11/Skills!G11,1)+IF(Skills!G11&gt;0,MIN(Skills!H11,MAX(0,MAX(0,Inputs!$B$43-B2154)-((R2131-1)*(IF(Inputs!$B$38="pvp",15,MAX(0.1,Skills!D11-IF(TRUE=TRUE,Inputs!$B$32,0)))*(1-IF(AND(ArtifactsInput!$M$27,Inputs!$B$4="Chapter Hunt"),CHOOSE(ArtifactsInput!$N$27+1,20,24,28,32,36,40),0)/100)))))/Skills!G11,1)))/Inputs!$B$43),G2131*Q2131)*1*IF(Inputs!$B$38="pvp",1,(1+(Inputs!$B$21+Skills!P11+B2148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2">
      <c r="A2132">
        <f>Skills!A12</f>
        <v/>
      </c>
      <c r="B2132">
        <f>Skills!B12</f>
        <v/>
      </c>
      <c r="C2132">
        <f>Inputs!$B$3&gt;=115</f>
        <v/>
      </c>
      <c r="D2132">
        <f>IF(Skills!C12=1,60+Inputs!$B$25+Inputs!$B$29,IF(Skills!C12=2,90+Inputs!$B$26+Inputs!$B$29,IF(Skills!C12=3,120+Inputs!$B$27+Inputs!$B$29,MAX(0,(Inputs!$B$3-100)*3)+Inputs!$B$28+Inputs!$B$29)))</f>
        <v/>
      </c>
      <c r="E2132">
        <f>INDEX(FactorTable!$B$2:$Y$301, MATCH(ROUND(MIN(300,MAX(1,D2132)),0), FactorTable!$A$2:$A$301,0), Skills!L12+1)</f>
        <v/>
      </c>
      <c r="F2132">
        <f>IF(Skills!M12=TRUE,(Skills!K12/10)*(E2132/1000),Skills!K12/10)+Skills!N12</f>
        <v/>
      </c>
      <c r="G2132">
        <f>Calc!G12</f>
        <v/>
      </c>
      <c r="H2132">
        <f>Calc!H12</f>
        <v/>
      </c>
      <c r="I2132">
        <f>IF(Skills!T12&lt;&gt;"",1+(Skills!T12/10)*(Z2123/1000)/100,1)</f>
        <v/>
      </c>
      <c r="J2132">
        <f>((Inputs!$B$6*(1+Inputs!$B$7/100))+(((Inputs!$B$12*(1+Inputs!$B$13/100))-(Inputs!$B$12*(1+Inputs!$B$13/100)))+0.25*(Inputs!$B$14-Inputs!$B$14))*(1+Inputs!$B$7/100))*(F2132/100)</f>
        <v/>
      </c>
      <c r="K2132">
        <f>J2132*(1+((Inputs!$B$12*(1+Inputs!$B$13/100))*0.01+Inputs!$B$14*0.0025)/100)*(1+(Inputs!$B$15+B2149)/100)*(1+Inputs!$B$16/100)*(5000/(6000+Inputs!$B$42*(1-(100*(1-(1-Inputs!$B$19/100)*(1-CHOOSE(ArtifactsInput!$N$40+1,5,6,7,8,9,10)/100)^(ArtifactsInput!$M$40-ArtifactsInput!$M$40)))/100)))*(1+Inputs!$B$24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2135=TRUE,F2135,0)/100)*(1+IF(C2143=TRUE,F2143,0)/100)^5*(1+(IF(Skills!A12="CHAIN_LIGHTNING",Inputs!$B$17+((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2147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2132)</f>
        <v/>
      </c>
      <c r="L2132">
        <f>K2132*(MIN(Inputs!$B$22+(F2138-Calc!F18),(Inputs!$B$23+(IF(ArtifactsInput!$M$15,CHOOSE(ArtifactsInput!$N$15+1,25,30,35,40,45,50)/100*(Inputs!$B$11-Inputs!$B$11),0))))/100+(Inputs!$B$23+(IF(ArtifactsInput!$M$15,CHOOSE(ArtifactsInput!$N$15+1,25,30,35,40,45,50)/100*(Inputs!$B$11-Inputs!$B$11),0)))/100)/2</f>
        <v/>
      </c>
      <c r="M2132">
        <f>L2132*(1+(Inputs!$B$10+(F2141-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2">
        <f>L2132*(1-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2132*(MIN((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2">
        <f>(1-Summary!$B$11)*S2132+Summary!$B$11*U2132</f>
        <v/>
      </c>
      <c r="P2132">
        <f>IF(B2157=0,0,O2132/B2157)</f>
        <v/>
      </c>
      <c r="Q2132">
        <f>IFERROR(1/(IF(Inputs!$B$38="pvp",15,MAX(0.1,Skills!D12-IF(TRUE=TRUE,Inputs!$B$32,0)))*(1-IF(AND(ArtifactsInput!$M$27,Inputs!$B$4="Chapter Hunt"),CHOOSE(ArtifactsInput!$N$27+1,20,24,28,32,36,40),0)/100)),0)</f>
        <v/>
      </c>
      <c r="R2132">
        <f>IF(AND(Inputs!$B$38&lt;&gt;"pvp",Inputs!$B$43&gt;0),IF(MAX(0,Inputs!$B$43-B2154)&lt;=0,0,(INT(MAX(0,Inputs!$B$43-B2154)/(IF(Inputs!$B$38="pvp",15,MAX(0.1,Skills!D12-IF(TRUE=TRUE,Inputs!$B$32,0)))*(1-IF(AND(ArtifactsInput!$M$27,Inputs!$B$4="Chapter Hunt"),CHOOSE(ArtifactsInput!$N$27+1,20,24,28,32,36,40),0)/100)))+1)),0)</f>
        <v/>
      </c>
      <c r="S2132">
        <f>IF(C2132,(H2132*N2132*IF(AND(Inputs!$B$38&lt;&gt;"pvp",Inputs!$B$43&gt;0),((Skills!F12*((R2132-1)*IF(Skills!G12&gt;0,Skills!H12/Skills!G12,1)+IF(Skills!G12&gt;0,MIN(Skills!H12,MAX(0,MAX(0,Inputs!$B$43-B2154)-((R2132-1)*(IF(Inputs!$B$38="pvp",15,MAX(0.1,Skills!D12-IF(TRUE=TRUE,Inputs!$B$32,0)))*(1-IF(AND(ArtifactsInput!$M$27,Inputs!$B$4="Chapter Hunt"),CHOOSE(ArtifactsInput!$N$27+1,20,24,28,32,36,40),0)/100)))))/Skills!G12,1)))/Inputs!$B$43),G2132*Q2132))*IF(Inputs!$B$38="pvp",1,1+(Inputs!$B$20+Skills!O12+B2148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2132*(1-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2132*(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2132*(1-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2132*(MIN(100,(Inputs!$B$9+((F2140-Calc!F20)+(F2139-Calc!F19))+(ArtifactsInput!$M$24-ArtifactsInput!$M$24)*CHOOSE(ArtifactsInput!$N$24+1,10,12,14,16,18,20)+(IF(AND(Inputs!$B$38&lt;&gt;"pvp",Inputs!$B$43=0),1,IF(IF(Inputs!$B$38="pvp",15,Inputs!$B$43)-(B2154)&lt;=0,1,MAX(0,IF(Inputs!$B$38="pvp",15,Inputs!$B$43)-MAX(5,B2154))/(IF(Inputs!$B$38="pvp",15,Inputs!$B$43)-(B2154)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32">
        <f>IF(C2132,(H2132*N2132*IF(AND(Inputs!$B$38&lt;&gt;"pvp",Inputs!$B$43&gt;0),((Skills!F12*((R2132-1)*IF(Skills!G12&gt;0,Skills!H12/Skills!G12,1)+IF(Skills!G12&gt;0,MIN(Skills!H12,MAX(0,MAX(0,Inputs!$B$43-B2154)-((R2132-1)*(IF(Inputs!$B$38="pvp",15,MAX(0.1,Skills!D12-IF(TRUE=TRUE,Inputs!$B$32,0)))*(1-IF(AND(ArtifactsInput!$M$27,Inputs!$B$4="Chapter Hunt"),CHOOSE(ArtifactsInput!$N$27+1,20,24,28,32,36,40),0)/100)))))/Skills!G12,1)))/Inputs!$B$43),G2132*Q2132))*IF(Inputs!$B$38="pvp",1,(1+(Inputs!$B$21+Skills!P12+B2148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3">
      <c r="A2133">
        <f>Skills!A13</f>
        <v/>
      </c>
      <c r="B2133">
        <f>Skills!B13</f>
        <v/>
      </c>
      <c r="C2133">
        <f>Inputs!$B$3&gt;=49</f>
        <v/>
      </c>
      <c r="D2133">
        <f>IF(Skills!C13=1,60+Inputs!$B$25+Inputs!$B$29,IF(Skills!C13=2,90+Inputs!$B$26+Inputs!$B$29,IF(Skills!C13=3,120+Inputs!$B$27+Inputs!$B$29,MAX(0,(Inputs!$B$3-100)*3)+Inputs!$B$28+Inputs!$B$29)))</f>
        <v/>
      </c>
      <c r="E2133">
        <f>INDEX(FactorTable!$B$2:$Y$301, MATCH(ROUND(MIN(300,MAX(1,D2133)),0), FactorTable!$A$2:$A$301,0), Skills!L13+1)</f>
        <v/>
      </c>
      <c r="F2133">
        <f>IF(Skills!M13=TRUE,(Skills!K13/10)*(E2133/1000),Skills!K13/10)+Skills!N13</f>
        <v/>
      </c>
      <c r="G2133">
        <f>Calc!G13</f>
        <v/>
      </c>
      <c r="H2133">
        <f>Calc!H13</f>
        <v/>
      </c>
      <c r="I2133">
        <f>IF(Skills!T13&lt;&gt;"",1+(Skills!T13/10)*(Z2123/1000)/100,1)</f>
        <v/>
      </c>
      <c r="J2133" t="inlineStr"/>
      <c r="K2133" t="inlineStr"/>
      <c r="L2133" t="inlineStr"/>
      <c r="M2133" t="inlineStr"/>
      <c r="N2133" t="inlineStr"/>
      <c r="O2133">
        <f>(1-Summary!$B$11)*S2133+Summary!$B$11*U2133</f>
        <v/>
      </c>
      <c r="P2133">
        <f>IF(B2157=0,0,O2133/B2157)</f>
        <v/>
      </c>
      <c r="Q2133">
        <f>IFERROR(1/(IF(Inputs!$B$38="pvp",15,MAX(0.1,Skills!D13-IF(TRUE=TRUE,Inputs!$B$32,0)))*(1-IF(AND(ArtifactsInput!$M$27,Inputs!$B$4="Chapter Hunt"),CHOOSE(ArtifactsInput!$N$27+1,20,24,28,32,36,40),0)/100)),0)</f>
        <v/>
      </c>
      <c r="R2133" t="n">
        <v>0</v>
      </c>
      <c r="S2133" t="n">
        <v>0</v>
      </c>
      <c r="U2133" t="n">
        <v>0</v>
      </c>
    </row>
    <row r="2134">
      <c r="A2134">
        <f>Skills!A14</f>
        <v/>
      </c>
      <c r="B2134">
        <f>Skills!B14</f>
        <v/>
      </c>
      <c r="C2134">
        <f>Inputs!$B$3&gt;=72</f>
        <v/>
      </c>
      <c r="D2134">
        <f>IF(Skills!C14=1,60+Inputs!$B$25+Inputs!$B$29,IF(Skills!C14=2,90+Inputs!$B$26+Inputs!$B$29,IF(Skills!C14=3,120+Inputs!$B$27+Inputs!$B$29,MAX(0,(Inputs!$B$3-100)*3)+Inputs!$B$28+Inputs!$B$29)))</f>
        <v/>
      </c>
      <c r="E2134">
        <f>INDEX(FactorTable!$B$2:$Y$301, MATCH(ROUND(MIN(300,MAX(1,D2134)),0), FactorTable!$A$2:$A$301,0), Skills!L14+1)</f>
        <v/>
      </c>
      <c r="F2134">
        <f>IF(Skills!M14=TRUE,(Skills!K14/10)*(E2134/1000),Skills!K14/10)+Skills!N14</f>
        <v/>
      </c>
      <c r="G2134">
        <f>Calc!G14</f>
        <v/>
      </c>
      <c r="H2134">
        <f>Calc!H14</f>
        <v/>
      </c>
      <c r="I2134">
        <f>IF(Skills!T14&lt;&gt;"",1+(Skills!T14/10)*(Z2123/1000)/100,1)</f>
        <v/>
      </c>
      <c r="J2134" t="inlineStr"/>
      <c r="K2134" t="inlineStr"/>
      <c r="L2134" t="inlineStr"/>
      <c r="M2134" t="inlineStr"/>
      <c r="N2134" t="inlineStr"/>
      <c r="O2134">
        <f>(1-Summary!$B$11)*S2134+Summary!$B$11*U2134</f>
        <v/>
      </c>
      <c r="P2134">
        <f>IF(B2157=0,0,O2134/B2157)</f>
        <v/>
      </c>
      <c r="Q2134">
        <f>IFERROR(1/(IF(Inputs!$B$38="pvp",15,MAX(0.1,Skills!D14-IF(TRUE=TRUE,Inputs!$B$32,0)))*(1-IF(AND(ArtifactsInput!$M$27,Inputs!$B$4="Chapter Hunt"),CHOOSE(ArtifactsInput!$N$27+1,20,24,28,32,36,40),0)/100)),0)</f>
        <v/>
      </c>
      <c r="R2134" t="n">
        <v>0</v>
      </c>
      <c r="S2134" t="n">
        <v>0</v>
      </c>
      <c r="U2134" t="n">
        <v>0</v>
      </c>
    </row>
    <row r="2135">
      <c r="A2135">
        <f>Skills!A15</f>
        <v/>
      </c>
      <c r="B2135">
        <f>Skills!B15</f>
        <v/>
      </c>
      <c r="C2135">
        <f>Inputs!$B$3&gt;=75</f>
        <v/>
      </c>
      <c r="D2135">
        <f>IF(Skills!C15=1,60+Inputs!$B$25+Inputs!$B$29,IF(Skills!C15=2,90+Inputs!$B$26+Inputs!$B$29,IF(Skills!C15=3,120+Inputs!$B$27+Inputs!$B$29,MAX(0,(Inputs!$B$3-100)*3)+Inputs!$B$28+Inputs!$B$29)))</f>
        <v/>
      </c>
      <c r="E2135">
        <f>INDEX(FactorTable!$B$2:$Y$301, MATCH(ROUND(MIN(300,MAX(1,D2135)),0), FactorTable!$A$2:$A$301,0), Skills!L15+1)</f>
        <v/>
      </c>
      <c r="F2135">
        <f>IF(Skills!M15=TRUE,(Skills!K15/10)*(E2135/1000),Skills!K15/10)+Skills!N15</f>
        <v/>
      </c>
      <c r="G2135">
        <f>Calc!G15</f>
        <v/>
      </c>
      <c r="H2135">
        <f>Calc!H15</f>
        <v/>
      </c>
      <c r="I2135">
        <f>IF(Skills!T15&lt;&gt;"",1+(Skills!T15/10)*(Z2123/1000)/100,1)</f>
        <v/>
      </c>
      <c r="J2135" t="inlineStr"/>
      <c r="K2135" t="inlineStr"/>
      <c r="L2135" t="inlineStr"/>
      <c r="M2135" t="inlineStr"/>
      <c r="N2135" t="inlineStr"/>
      <c r="O2135">
        <f>(1-Summary!$B$11)*S2135+Summary!$B$11*U2135</f>
        <v/>
      </c>
      <c r="P2135">
        <f>IF(B2157=0,0,O2135/B2157)</f>
        <v/>
      </c>
      <c r="Q2135">
        <f>IFERROR(1/(IF(Inputs!$B$38="pvp",15,MAX(0.1,Skills!D15-IF(TRUE=TRUE,Inputs!$B$32,0)))*(1-IF(AND(ArtifactsInput!$M$27,Inputs!$B$4="Chapter Hunt"),CHOOSE(ArtifactsInput!$N$27+1,20,24,28,32,36,40),0)/100)),0)</f>
        <v/>
      </c>
      <c r="R2135" t="n">
        <v>0</v>
      </c>
      <c r="S2135" t="n">
        <v>0</v>
      </c>
      <c r="U2135" t="n">
        <v>0</v>
      </c>
    </row>
    <row r="2136">
      <c r="A2136">
        <f>Skills!A16</f>
        <v/>
      </c>
      <c r="B2136">
        <f>Skills!B16</f>
        <v/>
      </c>
      <c r="C2136">
        <f>Inputs!$B$3&gt;=110</f>
        <v/>
      </c>
      <c r="D2136">
        <f>IF(Skills!C16=1,60+Inputs!$B$25+Inputs!$B$29,IF(Skills!C16=2,90+Inputs!$B$26+Inputs!$B$29,IF(Skills!C16=3,120+Inputs!$B$27+Inputs!$B$29,MAX(0,(Inputs!$B$3-100)*3)+Inputs!$B$28+Inputs!$B$29)))</f>
        <v/>
      </c>
      <c r="E2136">
        <f>INDEX(FactorTable!$B$2:$Y$301, MATCH(ROUND(MIN(300,MAX(1,D2136)),0), FactorTable!$A$2:$A$301,0), Skills!L16+1)</f>
        <v/>
      </c>
      <c r="F2136">
        <f>(Skills!K16/10)*(E2136/1000)*64/45+Skills!N16</f>
        <v/>
      </c>
      <c r="G2136">
        <f>Calc!G16</f>
        <v/>
      </c>
      <c r="H2136">
        <f>Calc!H16</f>
        <v/>
      </c>
      <c r="I2136">
        <f>IF(Skills!T16&lt;&gt;"",1+(Skills!T16/10)*(Z2123/1000)/100,1)</f>
        <v/>
      </c>
      <c r="J2136" t="inlineStr"/>
      <c r="K2136" t="inlineStr"/>
      <c r="L2136" t="inlineStr"/>
      <c r="M2136" t="inlineStr"/>
      <c r="N2136" t="inlineStr"/>
      <c r="O2136">
        <f>(1-Summary!$B$11)*S2136+Summary!$B$11*U2136</f>
        <v/>
      </c>
      <c r="P2136">
        <f>IF(B2157=0,0,O2136/B2157)</f>
        <v/>
      </c>
      <c r="Q2136">
        <f>IFERROR(1/(IF(Inputs!$B$38="pvp",15,MAX(0.1,Skills!D16-IF(TRUE=TRUE,Inputs!$B$32,0)))*(1-IF(AND(ArtifactsInput!$M$27,Inputs!$B$4="Chapter Hunt"),CHOOSE(ArtifactsInput!$N$27+1,20,24,28,32,36,40),0)/100)),0)</f>
        <v/>
      </c>
      <c r="R2136">
        <f>IF(AND(Inputs!$B$38&lt;&gt;"pvp",Inputs!$B$43&gt;0),IF(Inputs!$B$43&lt;=0,0,(INT(Inputs!$B$43/(IF(Inputs!$B$38="pvp",15,MAX(0.1,Skills!D16-IF(TRUE=TRUE,Inputs!$B$32,0)))*(1-IF(AND(ArtifactsInput!$M$27,Inputs!$B$4="Chapter Hunt"),CHOOSE(ArtifactsInput!$N$27+1,20,24,28,32,36,40),0)/100)))+1)),0)</f>
        <v/>
      </c>
      <c r="S2136" t="n">
        <v>0</v>
      </c>
      <c r="U2136" t="n">
        <v>0</v>
      </c>
    </row>
    <row r="2137">
      <c r="A2137">
        <f>Skills!A17</f>
        <v/>
      </c>
      <c r="B2137">
        <f>Skills!B17</f>
        <v/>
      </c>
      <c r="C2137">
        <f>Inputs!$B$3&gt;=33</f>
        <v/>
      </c>
      <c r="D2137">
        <f>IF(Skills!C17=1,60+Inputs!$B$25+Inputs!$B$29,IF(Skills!C17=2,90+Inputs!$B$26+Inputs!$B$29,IF(Skills!C17=3,120+Inputs!$B$27+Inputs!$B$29,MAX(0,(Inputs!$B$3-100)*3)+Inputs!$B$28+Inputs!$B$29)))</f>
        <v/>
      </c>
      <c r="E2137">
        <f>INDEX(FactorTable!$B$2:$Y$301, MATCH(ROUND(MIN(300,MAX(1,D2137)),0), FactorTable!$A$2:$A$301,0), Skills!L17+1)</f>
        <v/>
      </c>
      <c r="F2137">
        <f>IF(Skills!M17=TRUE,(Skills!K17/10)*(E2137/1000),Skills!K17/10)+Skills!N17</f>
        <v/>
      </c>
      <c r="G2137">
        <f>Calc!G17</f>
        <v/>
      </c>
      <c r="H2137">
        <f>Calc!H17</f>
        <v/>
      </c>
      <c r="I2137">
        <f>IF(Skills!T17&lt;&gt;"",1+(Skills!T17/10)*(Z2123/1000)/100,1)</f>
        <v/>
      </c>
      <c r="J2137" t="inlineStr"/>
      <c r="K2137" t="inlineStr"/>
      <c r="L2137" t="inlineStr"/>
      <c r="M2137" t="inlineStr"/>
      <c r="N2137" t="inlineStr"/>
      <c r="O2137">
        <f>(1-Summary!$B$11)*S2137+Summary!$B$11*U2137</f>
        <v/>
      </c>
      <c r="P2137">
        <f>IF(B2157=0,0,O2137/B2157)</f>
        <v/>
      </c>
      <c r="Q2137">
        <f>IFERROR(1/(IF(Inputs!$B$38="pvp",15,MAX(0.1,Skills!D17-IF(TRUE=TRUE,Inputs!$B$32,0)))*(1-IF(AND(ArtifactsInput!$M$27,Inputs!$B$4="Chapter Hunt"),CHOOSE(ArtifactsInput!$N$27+1,20,24,28,32,36,40),0)/100)),0)</f>
        <v/>
      </c>
      <c r="R2137" t="n">
        <v>0</v>
      </c>
      <c r="S2137" t="n">
        <v>0</v>
      </c>
      <c r="U2137" t="n">
        <v>0</v>
      </c>
    </row>
    <row r="2138">
      <c r="A2138">
        <f>Skills!A18</f>
        <v/>
      </c>
      <c r="B2138">
        <f>Skills!B18</f>
        <v/>
      </c>
      <c r="C2138">
        <f>Inputs!$B$3&gt;=43</f>
        <v/>
      </c>
      <c r="D2138">
        <f>IF(Skills!C18=1,60+Inputs!$B$25+Inputs!$B$29,IF(Skills!C18=2,90+Inputs!$B$26+Inputs!$B$29,IF(Skills!C18=3,120+Inputs!$B$27+Inputs!$B$29,MAX(0,(Inputs!$B$3-100)*3)+Inputs!$B$28+Inputs!$B$29)))</f>
        <v/>
      </c>
      <c r="E2138">
        <f>INDEX(FactorTable!$B$2:$Y$301, MATCH(ROUND(MIN(300,MAX(1,D2138)),0), FactorTable!$A$2:$A$301,0), Skills!L18+1)</f>
        <v/>
      </c>
      <c r="F2138">
        <f>IF(Skills!M18=TRUE,(Skills!K18/10)*(E2138/1000),Skills!K18/10)+Skills!N18</f>
        <v/>
      </c>
      <c r="G2138">
        <f>Calc!G18</f>
        <v/>
      </c>
      <c r="H2138">
        <f>Calc!H18</f>
        <v/>
      </c>
      <c r="I2138">
        <f>IF(Skills!T18&lt;&gt;"",1+(Skills!T18/10)*(Z2123/1000)/100,1)</f>
        <v/>
      </c>
      <c r="J2138" t="inlineStr"/>
      <c r="K2138" t="inlineStr"/>
      <c r="L2138" t="inlineStr"/>
      <c r="M2138" t="inlineStr"/>
      <c r="N2138" t="inlineStr"/>
      <c r="O2138">
        <f>(1-Summary!$B$11)*S2138+Summary!$B$11*U2138</f>
        <v/>
      </c>
      <c r="P2138">
        <f>IF(B2157=0,0,O2138/B2157)</f>
        <v/>
      </c>
      <c r="Q2138">
        <f>IFERROR(1/(IF(Inputs!$B$38="pvp",15,MAX(0.1,Skills!D18-IF(TRUE=TRUE,Inputs!$B$32,0)))*(1-IF(AND(ArtifactsInput!$M$27,Inputs!$B$4="Chapter Hunt"),CHOOSE(ArtifactsInput!$N$27+1,20,24,28,32,36,40),0)/100)),0)</f>
        <v/>
      </c>
      <c r="R2138" t="n">
        <v>0</v>
      </c>
      <c r="S2138" t="n">
        <v>0</v>
      </c>
      <c r="U2138" t="n">
        <v>0</v>
      </c>
    </row>
    <row r="2139">
      <c r="A2139">
        <f>Skills!A19</f>
        <v/>
      </c>
      <c r="B2139">
        <f>Skills!B19</f>
        <v/>
      </c>
      <c r="C2139">
        <f>Inputs!$B$3&gt;=50</f>
        <v/>
      </c>
      <c r="D2139">
        <f>IF(Skills!C19=1,60+Inputs!$B$25+Inputs!$B$29,IF(Skills!C19=2,90+Inputs!$B$26+Inputs!$B$29,IF(Skills!C19=3,120+Inputs!$B$27+Inputs!$B$29,MAX(0,(Inputs!$B$3-100)*3)+Inputs!$B$28+Inputs!$B$29)))</f>
        <v/>
      </c>
      <c r="E2139">
        <f>INDEX(FactorTable!$B$2:$Y$301, MATCH(ROUND(MIN(300,MAX(1,D2139)),0), FactorTable!$A$2:$A$301,0), Skills!L19+1)</f>
        <v/>
      </c>
      <c r="F2139">
        <f>IF(Skills!M19=TRUE,(Skills!K19/10)*(E2139/1000),Skills!K19/10)+Skills!N19</f>
        <v/>
      </c>
      <c r="G2139">
        <f>Calc!G19</f>
        <v/>
      </c>
      <c r="H2139">
        <f>Calc!H19</f>
        <v/>
      </c>
      <c r="I2139">
        <f>IF(Skills!T19&lt;&gt;"",1+(Skills!T19/10)*(Z2123/1000)/100,1)</f>
        <v/>
      </c>
      <c r="J2139" t="inlineStr"/>
      <c r="K2139" t="inlineStr"/>
      <c r="L2139" t="inlineStr"/>
      <c r="M2139" t="inlineStr"/>
      <c r="N2139" t="inlineStr"/>
      <c r="O2139">
        <f>(1-Summary!$B$11)*S2139+Summary!$B$11*U2139</f>
        <v/>
      </c>
      <c r="P2139">
        <f>IF(B2157=0,0,O2139/B2157)</f>
        <v/>
      </c>
      <c r="Q2139">
        <f>IFERROR(1/(IF(Inputs!$B$38="pvp",15,MAX(0.1,Skills!D19-IF(TRUE=TRUE,Inputs!$B$32,0)))*(1-IF(AND(ArtifactsInput!$M$27,Inputs!$B$4="Chapter Hunt"),CHOOSE(ArtifactsInput!$N$27+1,20,24,28,32,36,40),0)/100)),0)</f>
        <v/>
      </c>
      <c r="R2139" t="n">
        <v>0</v>
      </c>
      <c r="S2139" t="n">
        <v>0</v>
      </c>
      <c r="U2139" t="n">
        <v>0</v>
      </c>
    </row>
    <row r="2140">
      <c r="A2140">
        <f>Skills!A20</f>
        <v/>
      </c>
      <c r="B2140">
        <f>Skills!B20</f>
        <v/>
      </c>
      <c r="C2140">
        <f>Inputs!$B$3&gt;=74</f>
        <v/>
      </c>
      <c r="D2140">
        <f>IF(Skills!C20=1,60+Inputs!$B$25+Inputs!$B$29,IF(Skills!C20=2,90+Inputs!$B$26+Inputs!$B$29,IF(Skills!C20=3,120+Inputs!$B$27+Inputs!$B$29,MAX(0,(Inputs!$B$3-100)*3)+Inputs!$B$28+Inputs!$B$29)))</f>
        <v/>
      </c>
      <c r="E2140">
        <f>INDEX(FactorTable!$B$2:$Y$301, MATCH(ROUND(MIN(300,MAX(1,D2140)),0), FactorTable!$A$2:$A$301,0), Skills!L20+1)</f>
        <v/>
      </c>
      <c r="F2140">
        <f>IF(Skills!M20=TRUE,(Skills!K20/10)*(E2140/1000),Skills!K20/10)+Skills!N20</f>
        <v/>
      </c>
      <c r="G2140">
        <f>Calc!G20</f>
        <v/>
      </c>
      <c r="H2140">
        <f>Calc!H20</f>
        <v/>
      </c>
      <c r="I2140">
        <f>IF(Skills!T20&lt;&gt;"",1+(Skills!T20/10)*(Z2123/1000)/100,1)</f>
        <v/>
      </c>
      <c r="J2140" t="inlineStr"/>
      <c r="K2140" t="inlineStr"/>
      <c r="L2140" t="inlineStr"/>
      <c r="M2140" t="inlineStr"/>
      <c r="N2140" t="inlineStr"/>
      <c r="O2140">
        <f>(1-Summary!$B$11)*S2140+Summary!$B$11*U2140</f>
        <v/>
      </c>
      <c r="P2140">
        <f>IF(B2157=0,0,O2140/B2157)</f>
        <v/>
      </c>
      <c r="Q2140">
        <f>IFERROR(1/(IF(Inputs!$B$38="pvp",15,MAX(0.1,Skills!D20-IF(TRUE=TRUE,Inputs!$B$32,0)))*(1-IF(AND(ArtifactsInput!$M$27,Inputs!$B$4="Chapter Hunt"),CHOOSE(ArtifactsInput!$N$27+1,20,24,28,32,36,40),0)/100)),0)</f>
        <v/>
      </c>
      <c r="R2140" t="n">
        <v>0</v>
      </c>
      <c r="S2140" t="n">
        <v>0</v>
      </c>
      <c r="U2140" t="n">
        <v>0</v>
      </c>
    </row>
    <row r="2141">
      <c r="A2141">
        <f>Skills!A21</f>
        <v/>
      </c>
      <c r="B2141">
        <f>Skills!B21</f>
        <v/>
      </c>
      <c r="C2141">
        <f>Inputs!$B$3&gt;=74</f>
        <v/>
      </c>
      <c r="D2141">
        <f>IF(Skills!C21=1,60+Inputs!$B$25+Inputs!$B$29,IF(Skills!C21=2,90+Inputs!$B$26+Inputs!$B$29,IF(Skills!C21=3,120+Inputs!$B$27+Inputs!$B$29,MAX(0,(Inputs!$B$3-100)*3)+Inputs!$B$28+Inputs!$B$29)))</f>
        <v/>
      </c>
      <c r="E2141">
        <f>INDEX(FactorTable!$B$2:$Y$301, MATCH(ROUND(MIN(300,MAX(1,D2141)),0), FactorTable!$A$2:$A$301,0), Skills!L21+1)</f>
        <v/>
      </c>
      <c r="F2141">
        <f>IF(Skills!M21=TRUE,(Skills!K21/10)*(E2141/1000),Skills!K21/10)+Skills!N21</f>
        <v/>
      </c>
      <c r="G2141">
        <f>Calc!G21</f>
        <v/>
      </c>
      <c r="H2141">
        <f>Calc!H21</f>
        <v/>
      </c>
      <c r="I2141">
        <f>IF(Skills!T21&lt;&gt;"",1+(Skills!T21/10)*(Z2123/1000)/100,1)</f>
        <v/>
      </c>
      <c r="J2141" t="inlineStr"/>
      <c r="K2141" t="inlineStr"/>
      <c r="L2141" t="inlineStr"/>
      <c r="M2141" t="inlineStr"/>
      <c r="N2141" t="inlineStr"/>
      <c r="O2141">
        <f>(1-Summary!$B$11)*S2141+Summary!$B$11*U2141</f>
        <v/>
      </c>
      <c r="P2141">
        <f>IF(B2157=0,0,O2141/B2157)</f>
        <v/>
      </c>
      <c r="Q2141">
        <f>IFERROR(1/(IF(Inputs!$B$38="pvp",15,MAX(0.1,Skills!D21-IF(TRUE=TRUE,Inputs!$B$32,0)))*(1-IF(AND(ArtifactsInput!$M$27,Inputs!$B$4="Chapter Hunt"),CHOOSE(ArtifactsInput!$N$27+1,20,24,28,32,36,40),0)/100)),0)</f>
        <v/>
      </c>
      <c r="R2141" t="n">
        <v>0</v>
      </c>
      <c r="S2141" t="n">
        <v>0</v>
      </c>
      <c r="U2141" t="n">
        <v>0</v>
      </c>
    </row>
    <row r="2142">
      <c r="A2142">
        <f>Skills!A22</f>
        <v/>
      </c>
      <c r="B2142">
        <f>Skills!B22</f>
        <v/>
      </c>
      <c r="C2142">
        <f>Inputs!$B$3&gt;=117</f>
        <v/>
      </c>
      <c r="D2142">
        <f>IF(Skills!C22=1,60+Inputs!$B$25+Inputs!$B$29,IF(Skills!C22=2,90+Inputs!$B$26+Inputs!$B$29,IF(Skills!C22=3,120+Inputs!$B$27+Inputs!$B$29,MAX(0,(Inputs!$B$3-100)*3)+Inputs!$B$28+Inputs!$B$29)))</f>
        <v/>
      </c>
      <c r="E2142">
        <f>INDEX(FactorTable!$B$2:$Y$301, MATCH(ROUND(MIN(300,MAX(1,D2142)),0), FactorTable!$A$2:$A$301,0), Skills!L22+1)</f>
        <v/>
      </c>
      <c r="F2142">
        <f>IF(Skills!M22=TRUE,(Skills!K22/10)*(E2142/1000),Skills!K22/10)+Skills!N22</f>
        <v/>
      </c>
      <c r="G2142">
        <f>Calc!G22</f>
        <v/>
      </c>
      <c r="H2142">
        <f>Calc!H22</f>
        <v/>
      </c>
      <c r="I2142">
        <f>IF(Skills!T22&lt;&gt;"",1+(Skills!T22/10)*(Z2123/1000)/100,1)</f>
        <v/>
      </c>
      <c r="J2142" t="inlineStr"/>
      <c r="K2142" t="inlineStr"/>
      <c r="L2142" t="inlineStr"/>
      <c r="M2142" t="inlineStr"/>
      <c r="N2142" t="inlineStr"/>
      <c r="O2142">
        <f>(1-Summary!$B$11)*S2142+Summary!$B$11*U2142</f>
        <v/>
      </c>
      <c r="P2142">
        <f>IF(B2157=0,0,O2142/B2157)</f>
        <v/>
      </c>
      <c r="Q2142">
        <f>IFERROR(1/(IF(Inputs!$B$38="pvp",15,MAX(0.1,Skills!D22-IF(TRUE=TRUE,Inputs!$B$32,0)))*(1-IF(AND(ArtifactsInput!$M$27,Inputs!$B$4="Chapter Hunt"),CHOOSE(ArtifactsInput!$N$27+1,20,24,28,32,36,40),0)/100)),0)</f>
        <v/>
      </c>
      <c r="R2142" t="n">
        <v>0</v>
      </c>
      <c r="S2142" t="n">
        <v>0</v>
      </c>
      <c r="U2142" t="n">
        <v>0</v>
      </c>
    </row>
    <row r="2143">
      <c r="A2143">
        <f>Skills!A23</f>
        <v/>
      </c>
      <c r="B2143">
        <f>Skills!B23</f>
        <v/>
      </c>
      <c r="C2143">
        <f>Inputs!$B$3&gt;=120</f>
        <v/>
      </c>
      <c r="D2143">
        <f>IF(Skills!C23=1,60+Inputs!$B$25+Inputs!$B$29,IF(Skills!C23=2,90+Inputs!$B$26+Inputs!$B$29,IF(Skills!C23=3,120+Inputs!$B$27+Inputs!$B$29,MAX(0,(Inputs!$B$3-100)*3)+Inputs!$B$28+Inputs!$B$29)))</f>
        <v/>
      </c>
      <c r="E2143">
        <f>INDEX(FactorTable!$B$2:$Y$301, MATCH(ROUND(MIN(300,MAX(1,D2143)),0), FactorTable!$A$2:$A$301,0), Skills!L23+1)</f>
        <v/>
      </c>
      <c r="F2143">
        <f>IF(Skills!M23=TRUE,(Skills!K23/10)*(E2143/1000),Skills!K23/10)+Skills!N23</f>
        <v/>
      </c>
      <c r="G2143">
        <f>Calc!G23</f>
        <v/>
      </c>
      <c r="H2143">
        <f>Calc!H23</f>
        <v/>
      </c>
      <c r="I2143">
        <f>IF(Skills!T23&lt;&gt;"",1+(Skills!T23/10)*(Z2123/1000)/100,1)</f>
        <v/>
      </c>
      <c r="J2143" t="inlineStr"/>
      <c r="K2143" t="inlineStr"/>
      <c r="L2143" t="inlineStr"/>
      <c r="M2143" t="inlineStr"/>
      <c r="N2143" t="inlineStr"/>
      <c r="O2143">
        <f>(1-Summary!$B$11)*S2143+Summary!$B$11*U2143</f>
        <v/>
      </c>
      <c r="P2143">
        <f>IF(B2157=0,0,O2143/B2157)</f>
        <v/>
      </c>
      <c r="Q2143">
        <f>IFERROR(1/(IF(Inputs!$B$38="pvp",15,MAX(0.1,Skills!D23-IF(TRUE=TRUE,Inputs!$B$32,0)))*(1-IF(AND(ArtifactsInput!$M$27,Inputs!$B$4="Chapter Hunt"),CHOOSE(ArtifactsInput!$N$27+1,20,24,28,32,36,40),0)/100)),0)</f>
        <v/>
      </c>
      <c r="R2143" t="n">
        <v>0</v>
      </c>
      <c r="S2143" t="n">
        <v>0</v>
      </c>
      <c r="U2143" t="n">
        <v>0</v>
      </c>
    </row>
    <row r="2144">
      <c r="A2144">
        <f>Skills!A24</f>
        <v/>
      </c>
      <c r="B2144">
        <f>Skills!B24</f>
        <v/>
      </c>
      <c r="C2144">
        <f>TRUE</f>
        <v/>
      </c>
      <c r="D2144">
        <f>IF(Skills!C24=1,60+Inputs!$B$25+Inputs!$B$29,IF(Skills!C24=2,90+Inputs!$B$26+Inputs!$B$29,IF(Skills!C24=3,120+Inputs!$B$27+Inputs!$B$29,MAX(0,(Inputs!$B$3-100)*3)+Inputs!$B$28+Inputs!$B$29)))</f>
        <v/>
      </c>
      <c r="E2144">
        <f>INDEX(FactorTable!$B$2:$Y$301, MATCH(ROUND(MIN(300,MAX(1,D2144)),0), FactorTable!$A$2:$A$301,0), Skills!L24+1)</f>
        <v/>
      </c>
      <c r="F2144">
        <f>IF(Skills!M24=TRUE,(Skills!K24/10)*(E2144/1000),Skills!K24/10)+Skills!N24</f>
        <v/>
      </c>
      <c r="G2144">
        <f>Calc!G24</f>
        <v/>
      </c>
      <c r="H2144">
        <f>Calc!H24</f>
        <v/>
      </c>
      <c r="I2144">
        <f>IF(Skills!T24&lt;&gt;"",1+(Skills!T24/10)*(Z2123/1000)/100,1)</f>
        <v/>
      </c>
      <c r="J2144" t="inlineStr"/>
      <c r="K2144" t="inlineStr"/>
      <c r="L2144" t="inlineStr"/>
      <c r="M2144" t="inlineStr"/>
      <c r="N2144" t="inlineStr"/>
      <c r="O2144">
        <f>(1-Summary!$B$11)*S2144+Summary!$B$11*U2144</f>
        <v/>
      </c>
      <c r="P2144">
        <f>IF(B2157=0,0,O2144/B2157)</f>
        <v/>
      </c>
      <c r="Q2144">
        <f>IFERROR(1/(IF(Inputs!$B$38="pvp",15,MAX(0.1,Skills!D24-IF(TRUE=TRUE,Inputs!$B$32,0)))*(1-IF(AND(ArtifactsInput!$M$27,Inputs!$B$4="Chapter Hunt"),CHOOSE(ArtifactsInput!$N$27+1,20,24,28,32,36,40),0)/100)),0)</f>
        <v/>
      </c>
      <c r="R2144">
        <f>IF(AND(Inputs!$B$38&lt;&gt;"pvp",Inputs!$B$43&gt;0),IF(Inputs!$B$43&lt;=0,0,(INT(Inputs!$B$43/(IF(Inputs!$B$38="pvp",15,MAX(0.1,Skills!D24-IF(TRUE=TRUE,Inputs!$B$32,0)))*(1-IF(AND(ArtifactsInput!$M$27,Inputs!$B$4="Chapter Hunt"),CHOOSE(ArtifactsInput!$N$27+1,20,24,28,32,36,40),0)/100)))+1)),0)</f>
        <v/>
      </c>
      <c r="S2144" t="n">
        <v>0</v>
      </c>
      <c r="U2144" t="n">
        <v>0</v>
      </c>
    </row>
    <row r="2147">
      <c r="A2147" t="inlineStr">
        <is>
          <t>Average Buff Multiplier (Magic Guard + Meditation + Artifact Attack%, summed; then Infinity)</t>
        </is>
      </c>
      <c r="B2147">
        <f>(1+(IF(C2123=TRUE,F2123*IF(AND(Inputs!$B$38&lt;&gt;"pvp",Inputs!$B$43&gt;0),(((R2123-1)*MIN((Skills!S3*(1+(Inputs!$B$34)/100)),(1/Q2123))+MIN((Skills!S3*(1+(Inputs!$B$34)/100)),MAX(0,Inputs!$B$43-((R2123-1)*(1/Q2123)))))/Inputs!$B$43),IF(Inputs!$B$38="pvp",MIN((Skills!S3*(1+(Inputs!$B$34)/100)),15)/15,MIN(1,(Skills!S3*(1+(Inputs!$B$34)/100))/(1/Q2123)))),0)+IF(C2124=TRUE,F2124*IF(AND(Inputs!$B$38&lt;&gt;"pvp",Inputs!$B$43&gt;0),(((R2124-1)*MIN((Skills!S4*(1+(Inputs!$B$34)/100)),(1/Q2124))+MIN((Skills!S4*(1+(Inputs!$B$34)/100)),MAX(0,Inputs!$B$43-((R2124-1)*(1/Q2124)))))/Inputs!$B$43),IF(Inputs!$B$38="pvp",MIN((Skills!S4*(1+(Inputs!$B$34)/100)),15)/15,MIN(1,(Skills!S4*(1+(Inputs!$B$34)/100))/(1/Q2124)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2136=TRUE,(1+F2136*IF(AND(Inputs!$B$38&lt;&gt;"pvp",Inputs!$B$43&gt;0),(((R2136-1)*MIN((Skills!S16*(1+(Inputs!$B$34)/100)),(1/Q2136))+MIN((Skills!S16*(1+(Inputs!$B$34)/100)),MAX(0,Inputs!$B$43-((R2136-1)*(1/Q2136)))))/Inputs!$B$43),IF(Inputs!$B$38="pvp",MIN((Skills!S16*(1+(Inputs!$B$34)/100)),15)/15,MIN(1,(Skills!S16*(1+(Inputs!$B$34)/100))/(1/Q2136))))/100),1)</f>
        <v/>
      </c>
    </row>
    <row r="2148">
      <c r="A2148" t="inlineStr">
        <is>
          <t>Monster Damage Taken Bonus % (Freezing Breath - Weaken + Elemental Reset + Artifact Enemy Damage Taken, summed)</t>
        </is>
      </c>
      <c r="B2148">
        <f>IF(Inputs!$B$3&gt;=118,15*IF(Inputs!$B$38="pvp",MIN((30*(1+(Inputs!$B$34)/100)),15)/15,MIN(1,(30*(1+(Inputs!$B$34)/100))/(1/Q2128))),0)+IF(C2134=TRUE,F2134,0)+(IF(AND(ArtifactsInput!$M$35,Inputs!$B$4&lt;&gt;"Chapter Hunt"),CHOOSE(ArtifactsInput!$N$35+1,15,18,21,24,27,30)*(1-EXP(-(0.2*B2151)*5)),0)+IF(AND(ArtifactsInput!$M$22,Inputs!$B$4&lt;&gt;"Chapter Hunt"),CHOOSE(ArtifactsInput!$N$22+1,10,12,14,16,18,20)*((0*(((0.15*B2151*5))^0/1)+1*(((0.15*B2151*5))^1/1)+2*(((0.15*B2151*5))^2/2)+3*(((0.15*B2151*5))^3/6)+4*(((0.15*B2151*5))^4/24)+5*(((0.15*B2151*5))^5/120))/((((0.15*B2151*5))^0/1)+(((0.15*B2151*5))^1/1)+(((0.15*B2151*5))^2/2)+(((0.15*B2151*5))^3/6)+(((0.15*B2151*5))^4/24)+(((0.15*B2151*5))^5/120))),0))</f>
        <v/>
      </c>
    </row>
    <row r="2149">
      <c r="A2149" t="inlineStr">
        <is>
          <t>Damage % Bonus (Frozen Break + Frost Clutch, flat)</t>
        </is>
      </c>
      <c r="B2149">
        <f>IF(Inputs!$B$3&gt;=66,15,0)+IF(Inputs!$B$3&gt;=98,10,0)+IF(Inputs!$B$3&gt;=125,20,0)</f>
        <v/>
      </c>
    </row>
    <row r="2150">
      <c r="A2150" t="inlineStr">
        <is>
          <t>Attack Speed Bonus % (MP Eater - MP Boost, always-on + Nimble Feet, duty-cycle averaged)</t>
        </is>
      </c>
      <c r="B2150">
        <f>IF(C2133=TRUE,F2133+(F2137-Calc!F17),0)+((C2144=TRUE)*F2144*IF(AND(Inputs!$B$38&lt;&gt;"pvp",Inputs!$B$43&gt;0),(((R2144-1)*MIN((Skills!S24*(1+(Inputs!$B$34)/100)),(1/Q2144))+MIN((Skills!S24*(1+(Inputs!$B$34)/100)),MAX(0,Inputs!$B$43-((R2144-1)*(1/Q2144)))))/Inputs!$B$43),IF(Inputs!$B$38="pvp",MIN((Skills!S24*(1+(Inputs!$B$34)/100)),15)/15,MIN(1,(Skills!S24*(1+(Inputs!$B$34)/100))/(1/Q2144)))))</f>
        <v/>
      </c>
    </row>
    <row r="2151">
      <c r="A2151" t="inlineStr">
        <is>
          <t>Actions Per Second</t>
        </is>
      </c>
      <c r="B2151">
        <f>1+MIN(150,150*(1-(1-(Inputs!$B$11+(ArtifactsInput!$M$15-ArtifactsInput!$M$15)*CHOOSE(ArtifactsInput!$N$15+1,8,9.6,11.2,12.8,14.4,16))/150)*(1-B2150/150)))/100</f>
        <v/>
      </c>
    </row>
    <row r="2152">
      <c r="A2152" t="inlineStr">
        <is>
          <t>Skill + Buff Cast Rate</t>
        </is>
      </c>
      <c r="B2152">
        <f>IF(AND(Inputs!$B$38&lt;&gt;"pvp",Inputs!$B$43&gt;0),SUMPRODUCT((Skills!E2:E24=TRUE)*(C2122:C2144=TRUE)*R2122:R2144)/Inputs!$B$43,SUMPRODUCT((Skills!E2:E24=TRUE)*(C2122:C2144=TRUE)*Q2122:Q2144))</f>
        <v/>
      </c>
    </row>
    <row r="2153">
      <c r="A2153" t="inlineStr">
        <is>
          <t>Chain Lightning Casts Per Second</t>
        </is>
      </c>
      <c r="B2153">
        <f>MAX(0,B2151-B2152)</f>
        <v/>
      </c>
    </row>
    <row r="2154">
      <c r="A2154" t="inlineStr">
        <is>
          <t>Buff-Casting Startup Delay (s, fixed-duration only)</t>
        </is>
      </c>
      <c r="B2154">
        <f>IF(AND(Inputs!$B$38&lt;&gt;"pvp",Inputs!$B$43&gt;0),SUMPRODUCT((Skills!S2:S24&gt;0)*(Skills!E2:E24=TRUE)*(C2122:C2144=TRUE))/B2151,0)</f>
        <v/>
      </c>
    </row>
    <row r="2155">
      <c r="A2155" t="inlineStr">
        <is>
          <t>Boss-Only Total DPS (this block's swept value)</t>
        </is>
      </c>
      <c r="B2155">
        <f>SUM(S2122:S2144)</f>
        <v/>
      </c>
    </row>
    <row r="2156">
      <c r="A2156" t="inlineStr">
        <is>
          <t>Normal-Only Total DPS (this block's swept value)</t>
        </is>
      </c>
      <c r="B2156">
        <f>SUM(U2122:U2144)</f>
        <v/>
      </c>
    </row>
    <row r="2157">
      <c r="A2157" s="6" t="inlineStr">
        <is>
          <t>TOTAL DPS</t>
        </is>
      </c>
      <c r="B2157" s="6">
        <f>SUM(O2122:O2144)</f>
        <v/>
      </c>
    </row>
    <row r="2158">
      <c r="A2158" t="inlineStr">
        <is>
          <t>Blizzard Final Attack trigger rate (this block's own Q/R)</t>
        </is>
      </c>
      <c r="B2158">
        <f>IF(AND(Inputs!$B$38&lt;&gt;"pvp",Inputs!$B$43&gt;0),(((C2125=TRUE)*R2125*1)+((C2126=TRUE)*R2126*1)+((C2128=TRUE)*R2128*1)+((C2129=TRUE)*R2129*3)+((C2131=TRUE)*R2131*1))/Inputs!$B$43,((C2125=TRUE)*Q2125*1)+((C2126=TRUE)*Q2126*1)+((C2128=TRUE)*Q2128*1)+((C2129=TRUE)*Q2129*3)+((C2131=TRUE)*Q2131*1))+B2153</f>
        <v/>
      </c>
    </row>
    <row r="2161">
      <c r="A2161" s="6" t="inlineStr">
        <is>
          <t>Stat: Sayram's Necklace (Equip)</t>
        </is>
      </c>
    </row>
    <row r="2162">
      <c r="A2162" s="5" t="inlineStr">
        <is>
          <t>Key</t>
        </is>
      </c>
      <c r="B2162" s="5" t="inlineStr">
        <is>
          <t>Name</t>
        </is>
      </c>
      <c r="C2162" s="5" t="inlineStr">
        <is>
          <t>Unlocked</t>
        </is>
      </c>
      <c r="D2162" s="5" t="inlineStr">
        <is>
          <t>InputLevel</t>
        </is>
      </c>
      <c r="E2162" s="5" t="inlineStr">
        <is>
          <t>Factor</t>
        </is>
      </c>
      <c r="F2162" s="5" t="inlineStr">
        <is>
          <t>CoefficientPercent</t>
        </is>
      </c>
      <c r="G2162" s="5" t="inlineStr">
        <is>
          <t>EffectiveHits</t>
        </is>
      </c>
      <c r="H2162" s="5" t="inlineStr">
        <is>
          <t>ProcProbability</t>
        </is>
      </c>
      <c r="I2162" s="5" t="inlineStr">
        <is>
          <t>MapleHeroMultiplier</t>
        </is>
      </c>
      <c r="J2162" s="5" t="inlineStr">
        <is>
          <t>BaseDamage</t>
        </is>
      </c>
      <c r="K2162" s="5" t="inlineStr">
        <is>
          <t>BaseHitDamage</t>
        </is>
      </c>
      <c r="L2162" s="5" t="inlineStr">
        <is>
          <t>NonCritAvg</t>
        </is>
      </c>
      <c r="M2162" s="5" t="inlineStr">
        <is>
          <t>CritAvg</t>
        </is>
      </c>
      <c r="N2162" s="5" t="inlineStr">
        <is>
          <t>ExpectedDamage(perHit)</t>
        </is>
      </c>
      <c r="O2162" s="5" t="inlineStr">
        <is>
          <t>DPS</t>
        </is>
      </c>
      <c r="P2162" s="5" t="inlineStr">
        <is>
          <t>% of Total</t>
        </is>
      </c>
      <c r="R2162" t="inlineStr">
        <is>
          <t>helpers</t>
        </is>
      </c>
    </row>
    <row r="2163">
      <c r="A2163">
        <f>Skills!A2</f>
        <v/>
      </c>
      <c r="B2163">
        <f>Skills!B2</f>
        <v/>
      </c>
      <c r="C2163">
        <f>Inputs!$B$3&gt;=100</f>
        <v/>
      </c>
      <c r="D2163" t="inlineStr"/>
      <c r="E2163" t="inlineStr"/>
      <c r="F2163">
        <f>T2165+Skills!N2</f>
        <v/>
      </c>
      <c r="G2163">
        <f>Calc!G2</f>
        <v/>
      </c>
      <c r="H2163">
        <f>Calc!H2</f>
        <v/>
      </c>
      <c r="I2163">
        <f>IF(Skills!T2&lt;&gt;"",1+(Skills!T2/10)*(Z2164/1000)/100,1)</f>
        <v/>
      </c>
      <c r="J2163">
        <f>((Inputs!$B$6*(1+Inputs!$B$7/100))+(((Inputs!$B$12*(1+Inputs!$B$13/100))-(Inputs!$B$12*(1+Inputs!$B$13/100)))+0.25*(Inputs!$B$14-Inputs!$B$14))*(1+Inputs!$B$7/100))*(F2163/100)</f>
        <v/>
      </c>
      <c r="K2163">
        <f>J2163*(1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2="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2163)</f>
        <v/>
      </c>
      <c r="L2163">
        <f>K2163*(MIN(Inputs!$B$22+(F2179-Calc!F18),(Inputs!$B$23+(IF(ArtifactsInput!$M$15,CHOOSE(ArtifactsInput!$N$15+1,25,30,35,40,45,50)/100*(Inputs!$B$11-Inputs!$B$11),0))))/100+(Inputs!$B$23+(IF(ArtifactsInput!$M$15,CHOOSE(ArtifactsInput!$N$15+1,25,30,35,40,45,50)/100*(Inputs!$B$11-Inputs!$B$11),0)))/100)/2</f>
        <v/>
      </c>
      <c r="M2163">
        <f>L2163*(1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3">
        <f>L2163*(1-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2163*(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3">
        <f>(1-Summary!$B$11)*S2163+Summary!$B$11*U2163</f>
        <v/>
      </c>
      <c r="P2163">
        <f>IF(B2198=0,0,O2163/B2198)</f>
        <v/>
      </c>
      <c r="Q2163">
        <f>IFERROR(1/(IF(Inputs!$B$38="pvp",15,MAX(0.1,Skills!D2-IF(TRUE=TRUE,Inputs!$B$32,0)))*(1-IF(AND(ArtifactsInput!$M$27,Inputs!$B$4="Chapter Hunt"),CHOOSE(ArtifactsInput!$N$27+1,20,24,28,32,36,40),0)/100)),0)</f>
        <v/>
      </c>
      <c r="R2163" t="n">
        <v>0</v>
      </c>
      <c r="S2163">
        <f>IF(C2163,(Skills!F2*N2163*B2194)*IF(Inputs!$B$38="pvp",1,1+(Inputs!$B$20+Skills!O2+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2163*(1-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2163*(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2163*(1-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2163*(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163">
        <f>MAX(0,(Inputs!$B$3-100)*3)+Inputs!$B$28+Inputs!$B$29</f>
        <v/>
      </c>
      <c r="U2163">
        <f>IF(C2163,(Skills!F2*N2163*B2194)*IF(Inputs!$B$38="pvp",1,(1+(Inputs!$B$21+Skills!P2+B2189+(IF(IF(ArtifactsInput!$M$33,FALSE,TRUE),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163">
        <f>MAX(0,(Inputs!$B$3-100)*3)+Inputs!$B$28+Inputs!$B$29</f>
        <v/>
      </c>
    </row>
    <row r="2164">
      <c r="A2164">
        <f>Skills!A3</f>
        <v/>
      </c>
      <c r="B2164">
        <f>Skills!B3</f>
        <v/>
      </c>
      <c r="C2164">
        <f>Inputs!$B$3&gt;=15</f>
        <v/>
      </c>
      <c r="D2164">
        <f>IF(Skills!C3=1,60+Inputs!$B$25+Inputs!$B$29,IF(Skills!C3=2,90+Inputs!$B$26+Inputs!$B$29,IF(Skills!C3=3,120+Inputs!$B$27+Inputs!$B$29,MAX(0,(Inputs!$B$3-100)*3)+Inputs!$B$28+Inputs!$B$29)))</f>
        <v/>
      </c>
      <c r="E2164">
        <f>INDEX(FactorTable!$B$2:$Y$301, MATCH(ROUND(MIN(300,MAX(1,D2164)),0), FactorTable!$A$2:$A$301,0), Skills!L3+1)</f>
        <v/>
      </c>
      <c r="F2164">
        <f>IF(Skills!M3=TRUE,(Skills!K3/10)*(E2164/1000),Skills!K3/10)+Skills!N3</f>
        <v/>
      </c>
      <c r="G2164">
        <f>Calc!G3</f>
        <v/>
      </c>
      <c r="H2164">
        <f>Calc!H3</f>
        <v/>
      </c>
      <c r="I2164">
        <f>IF(Skills!T3&lt;&gt;"",1+(Skills!T3/10)*(Z2164/1000)/100,1)</f>
        <v/>
      </c>
      <c r="J2164" t="inlineStr"/>
      <c r="K2164" t="inlineStr"/>
      <c r="L2164" t="inlineStr"/>
      <c r="M2164" t="inlineStr"/>
      <c r="N2164" t="inlineStr"/>
      <c r="O2164">
        <f>(1-Summary!$B$11)*S2164+Summary!$B$11*U2164</f>
        <v/>
      </c>
      <c r="P2164">
        <f>IF(B2198=0,0,O2164/B2198)</f>
        <v/>
      </c>
      <c r="Q2164">
        <f>IFERROR(1/(IF(Inputs!$B$38="pvp",15,MAX(0.1,Skills!D3-IF(TRUE=TRUE,Inputs!$B$32,0)))*(1-IF(AND(ArtifactsInput!$M$27,Inputs!$B$4="Chapter Hunt"),CHOOSE(ArtifactsInput!$N$27+1,20,24,28,32,36,40),0)/100)),0)</f>
        <v/>
      </c>
      <c r="R2164">
        <f>IF(AND(Inputs!$B$38&lt;&gt;"pvp",Inputs!$B$43&gt;0),IF(Inputs!$B$43&lt;=0,0,(INT(Inputs!$B$43/(IF(Inputs!$B$38="pvp",15,MAX(0.1,Skills!D3-IF(TRUE=TRUE,Inputs!$B$32,0)))*(1-IF(AND(ArtifactsInput!$M$27,Inputs!$B$4="Chapter Hunt"),CHOOSE(ArtifactsInput!$N$27+1,20,24,28,32,36,40),0)/100)))+1)),0)</f>
        <v/>
      </c>
      <c r="S2164" t="n">
        <v>0</v>
      </c>
      <c r="T2164">
        <f>INDEX(FactorTable!$B$2:$Y$301, MATCH(ROUND(MIN(300,MAX(1,T2163)),0), FactorTable!$A$2:$A$301,0), 22)</f>
        <v/>
      </c>
      <c r="U2164" t="n">
        <v>0</v>
      </c>
      <c r="Z2164">
        <f>INDEX(FactorTable!$B$2:$Y$301, MATCH(ROUND(MIN(300,MAX(1,Z2163)),0), FactorTable!$A$2:$A$301,0), 24)</f>
        <v/>
      </c>
    </row>
    <row r="2165">
      <c r="A2165">
        <f>Skills!A4</f>
        <v/>
      </c>
      <c r="B2165">
        <f>Skills!B4</f>
        <v/>
      </c>
      <c r="C2165">
        <f>Inputs!$B$3&gt;=40</f>
        <v/>
      </c>
      <c r="D2165">
        <f>IF(Skills!C4=1,60+Inputs!$B$25+Inputs!$B$29,IF(Skills!C4=2,90+Inputs!$B$26+Inputs!$B$29,IF(Skills!C4=3,120+Inputs!$B$27+Inputs!$B$29,MAX(0,(Inputs!$B$3-100)*3)+Inputs!$B$28+Inputs!$B$29)))</f>
        <v/>
      </c>
      <c r="E2165">
        <f>INDEX(FactorTable!$B$2:$Y$301, MATCH(ROUND(MIN(300,MAX(1,D2165)),0), FactorTable!$A$2:$A$301,0), Skills!L4+1)</f>
        <v/>
      </c>
      <c r="F2165">
        <f>IF(Skills!M4=TRUE,(Skills!K4/10)*(E2165/1000),Skills!K4/10)+Skills!N4</f>
        <v/>
      </c>
      <c r="G2165">
        <f>Calc!G4</f>
        <v/>
      </c>
      <c r="H2165">
        <f>Calc!H4</f>
        <v/>
      </c>
      <c r="I2165">
        <f>IF(Skills!T4&lt;&gt;"",1+(Skills!T4/10)*(Z2164/1000)/100,1)</f>
        <v/>
      </c>
      <c r="J2165" t="inlineStr"/>
      <c r="K2165" t="inlineStr"/>
      <c r="L2165" t="inlineStr"/>
      <c r="M2165" t="inlineStr"/>
      <c r="N2165" t="inlineStr"/>
      <c r="O2165">
        <f>(1-Summary!$B$11)*S2165+Summary!$B$11*U2165</f>
        <v/>
      </c>
      <c r="P2165">
        <f>IF(B2198=0,0,O2165/B2198)</f>
        <v/>
      </c>
      <c r="Q2165">
        <f>IFERROR(1/(IF(Inputs!$B$38="pvp",15,MAX(0.1,Skills!D4-IF(TRUE=TRUE,Inputs!$B$32,0)))*(1-IF(AND(ArtifactsInput!$M$27,Inputs!$B$4="Chapter Hunt"),CHOOSE(ArtifactsInput!$N$27+1,20,24,28,32,36,40),0)/100)),0)</f>
        <v/>
      </c>
      <c r="R2165">
        <f>IF(AND(Inputs!$B$38&lt;&gt;"pvp",Inputs!$B$43&gt;0),IF(Inputs!$B$43&lt;=0,0,(INT(Inputs!$B$43/(IF(Inputs!$B$38="pvp",15,MAX(0.1,Skills!D4-IF(TRUE=TRUE,Inputs!$B$32,0)))*(1-IF(AND(ArtifactsInput!$M$27,Inputs!$B$4="Chapter Hunt"),CHOOSE(ArtifactsInput!$N$27+1,20,24,28,32,36,40),0)/100)))+1)),0)</f>
        <v/>
      </c>
      <c r="S2165" t="n">
        <v>0</v>
      </c>
      <c r="T2165">
        <f>290*T2164/1000</f>
        <v/>
      </c>
      <c r="U2165" t="n">
        <v>0</v>
      </c>
    </row>
    <row r="2166">
      <c r="A2166">
        <f>Skills!A5</f>
        <v/>
      </c>
      <c r="B2166">
        <f>Skills!B5</f>
        <v/>
      </c>
      <c r="C2166">
        <f>Inputs!$B$3&gt;=38</f>
        <v/>
      </c>
      <c r="D2166">
        <f>IF(Skills!C5=1,60+Inputs!$B$25+Inputs!$B$29,IF(Skills!C5=2,90+Inputs!$B$26+Inputs!$B$29,IF(Skills!C5=3,120+Inputs!$B$27+Inputs!$B$29,MAX(0,(Inputs!$B$3-100)*3)+Inputs!$B$28+Inputs!$B$29)))</f>
        <v/>
      </c>
      <c r="E2166">
        <f>INDEX(FactorTable!$B$2:$Y$301, MATCH(ROUND(MIN(300,MAX(1,D2166)),0), FactorTable!$A$2:$A$301,0), Skills!L5+1)</f>
        <v/>
      </c>
      <c r="F2166">
        <f>IF(Skills!M5=TRUE,(Skills!K5/10)*(E2166/1000),Skills!K5/10)+Skills!N5</f>
        <v/>
      </c>
      <c r="G2166">
        <f>Calc!G5</f>
        <v/>
      </c>
      <c r="H2166">
        <f>Calc!H5</f>
        <v/>
      </c>
      <c r="I2166">
        <f>IF(Skills!T5&lt;&gt;"",1+(Skills!T5/10)*(Z2164/1000)/100,1)</f>
        <v/>
      </c>
      <c r="J2166">
        <f>((Inputs!$B$6*(1+Inputs!$B$7/100))+(((Inputs!$B$12*(1+Inputs!$B$13/100))-(Inputs!$B$12*(1+Inputs!$B$13/100)))+0.25*(Inputs!$B$14-Inputs!$B$14))*(1+Inputs!$B$7/100))*(F2166/100)</f>
        <v/>
      </c>
      <c r="K2166">
        <f>J2166*(1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5="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2166)</f>
        <v/>
      </c>
      <c r="L2166">
        <f>K2166*(MIN(Inputs!$B$22+(F2179-Calc!F18),(Inputs!$B$23+(IF(ArtifactsInput!$M$15,CHOOSE(ArtifactsInput!$N$15+1,25,30,35,40,45,50)/100*(Inputs!$B$11-Inputs!$B$11),0))))/100+(Inputs!$B$23+(IF(ArtifactsInput!$M$15,CHOOSE(ArtifactsInput!$N$15+1,25,30,35,40,45,50)/100*(Inputs!$B$11-Inputs!$B$11),0)))/100)/2</f>
        <v/>
      </c>
      <c r="M2166">
        <f>L2166*(1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6">
        <f>L2166*(1-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2166*(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6">
        <f>(1-Summary!$B$11)*S2166+Summary!$B$11*U2166</f>
        <v/>
      </c>
      <c r="P2166">
        <f>IF(B2198=0,0,O2166/B2198)</f>
        <v/>
      </c>
      <c r="Q2166">
        <f>IFERROR(1/(IF(Inputs!$B$38="pvp",15,MAX(0.1,Skills!D5-IF(TRUE=TRUE,Inputs!$B$32,0)))*(1-IF(AND(ArtifactsInput!$M$27,Inputs!$B$4="Chapter Hunt"),CHOOSE(ArtifactsInput!$N$27+1,20,24,28,32,36,40),0)/100)),0)</f>
        <v/>
      </c>
      <c r="R2166">
        <f>IF(AND(Inputs!$B$38&lt;&gt;"pvp",Inputs!$B$43&gt;0),IF(MAX(0,Inputs!$B$43-B2195)&lt;=0,0,(INT(MAX(0,Inputs!$B$43-B2195)/(IF(Inputs!$B$38="pvp",15,MAX(0.1,Skills!D5-IF(TRUE=TRUE,Inputs!$B$32,0)))*(1-IF(AND(ArtifactsInput!$M$27,Inputs!$B$4="Chapter Hunt"),CHOOSE(ArtifactsInput!$N$27+1,20,24,28,32,36,40),0)/100)))+1)),0)</f>
        <v/>
      </c>
      <c r="S2166">
        <f>IF(C2166,(H2166*N2166*IF(AND(Inputs!$B$38&lt;&gt;"pvp",Inputs!$B$43&gt;0),((Skills!F5*((R2166-1)*IF(Skills!G5&gt;0,Skills!H5/Skills!G5,1)+IF(Skills!G5&gt;0,MIN(Skills!H5,MAX(0,MAX(0,Inputs!$B$43-B2195)-((R2166-1)*(IF(Inputs!$B$38="pvp",15,MAX(0.1,Skills!D5-IF(TRUE=TRUE,Inputs!$B$32,0)))*(1-IF(AND(ArtifactsInput!$M$27,Inputs!$B$4="Chapter Hunt"),CHOOSE(ArtifactsInput!$N$27+1,20,24,28,32,36,40),0)/100)))))/Skills!G5,1)))/Inputs!$B$43),G2166*Q2166))*IF(Inputs!$B$38="pvp",1,1+(Inputs!$B$20+Skills!O5+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2166*(1-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2166*(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2166*(1-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2166*(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6">
        <f>IF(C2166,(H2166*N2166*IF(AND(Inputs!$B$38&lt;&gt;"pvp",Inputs!$B$43&gt;0),((Skills!F5*((R2166-1)*IF(Skills!G5&gt;0,Skills!H5/Skills!G5,1)+IF(Skills!G5&gt;0,MIN(Skills!H5,MAX(0,MAX(0,Inputs!$B$43-B2195)-((R2166-1)*(IF(Inputs!$B$38="pvp",15,MAX(0.1,Skills!D5-IF(TRUE=TRUE,Inputs!$B$32,0)))*(1-IF(AND(ArtifactsInput!$M$27,Inputs!$B$4="Chapter Hunt"),CHOOSE(ArtifactsInput!$N$27+1,20,24,28,32,36,40),0)/100)))))/Skills!G5,1)))/Inputs!$B$43),G2166*Q2166))*IF(Inputs!$B$38="pvp",1,(1+(Inputs!$B$21+Skills!P5+B2189+(IF(IF(ArtifactsInput!$M$33,FALSE,TRUE),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7">
      <c r="A2167">
        <f>Skills!A6</f>
        <v/>
      </c>
      <c r="B2167">
        <f>Skills!B6</f>
        <v/>
      </c>
      <c r="C2167">
        <f>Inputs!$B$3&gt;=63</f>
        <v/>
      </c>
      <c r="D2167">
        <f>IF(Skills!C6=1,60+Inputs!$B$25+Inputs!$B$29,IF(Skills!C6=2,90+Inputs!$B$26+Inputs!$B$29,IF(Skills!C6=3,120+Inputs!$B$27+Inputs!$B$29,MAX(0,(Inputs!$B$3-100)*3)+Inputs!$B$28+Inputs!$B$29)))</f>
        <v/>
      </c>
      <c r="E2167">
        <f>INDEX(FactorTable!$B$2:$Y$301, MATCH(ROUND(MIN(300,MAX(1,D2167)),0), FactorTable!$A$2:$A$301,0), Skills!L6+1)</f>
        <v/>
      </c>
      <c r="F2167">
        <f>IF(Skills!M6=TRUE,(Skills!K6/10)*(E2167/1000),Skills!K6/10)+Skills!N6</f>
        <v/>
      </c>
      <c r="G2167">
        <f>Calc!G6</f>
        <v/>
      </c>
      <c r="H2167">
        <f>Calc!H6</f>
        <v/>
      </c>
      <c r="I2167">
        <f>IF(Skills!T6&lt;&gt;"",1+(Skills!T6/10)*(Z2164/1000)/100,1)</f>
        <v/>
      </c>
      <c r="J2167">
        <f>((Inputs!$B$6*(1+Inputs!$B$7/100))+(((Inputs!$B$12*(1+Inputs!$B$13/100))-(Inputs!$B$12*(1+Inputs!$B$13/100)))+0.25*(Inputs!$B$14-Inputs!$B$14))*(1+Inputs!$B$7/100))*(F2167/100)</f>
        <v/>
      </c>
      <c r="K2167">
        <f>J2167*(1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6="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2167)</f>
        <v/>
      </c>
      <c r="L2167">
        <f>K2167*(MIN(Inputs!$B$22+(F2179-Calc!F18),(Inputs!$B$23+(IF(ArtifactsInput!$M$15,CHOOSE(ArtifactsInput!$N$15+1,25,30,35,40,45,50)/100*(Inputs!$B$11-Inputs!$B$11),0))))/100+(Inputs!$B$23+(IF(ArtifactsInput!$M$15,CHOOSE(ArtifactsInput!$N$15+1,25,30,35,40,45,50)/100*(Inputs!$B$11-Inputs!$B$11),0)))/100)/2</f>
        <v/>
      </c>
      <c r="M2167">
        <f>L2167*(1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7">
        <f>L2167*(1-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2167*(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7">
        <f>(1-Summary!$B$11)*S2167+Summary!$B$11*U2167</f>
        <v/>
      </c>
      <c r="P2167">
        <f>IF(B2198=0,0,O2167/B2198)</f>
        <v/>
      </c>
      <c r="Q2167">
        <f>IFERROR(1/(IF(Inputs!$B$38="pvp",15,MAX(0.1,Skills!D6-IF(TRUE=TRUE,Inputs!$B$32,0)))*(1-IF(AND(ArtifactsInput!$M$27,Inputs!$B$4="Chapter Hunt"),CHOOSE(ArtifactsInput!$N$27+1,20,24,28,32,36,40),0)/100)),0)</f>
        <v/>
      </c>
      <c r="R2167">
        <f>IF(AND(Inputs!$B$38&lt;&gt;"pvp",Inputs!$B$43&gt;0),IF(MAX(0,Inputs!$B$43-B2195)&lt;=0,0,(INT(MAX(0,Inputs!$B$43-B2195)/(IF(Inputs!$B$38="pvp",15,MAX(0.1,Skills!D6-IF(TRUE=TRUE,Inputs!$B$32,0)))*(1-IF(AND(ArtifactsInput!$M$27,Inputs!$B$4="Chapter Hunt"),CHOOSE(ArtifactsInput!$N$27+1,20,24,28,32,36,40),0)/100)))+1)),0)</f>
        <v/>
      </c>
      <c r="S2167">
        <f>IF(C2167,(H2167*N2167*IF(AND(Inputs!$B$38&lt;&gt;"pvp",Inputs!$B$43&gt;0),((Skills!F6*((R2167-1)*IF(Skills!G6&gt;0,Skills!H6/Skills!G6,1)+IF(Skills!G6&gt;0,MIN(Skills!H6,MAX(0,MAX(0,Inputs!$B$43-B2195)-((R2167-1)*(IF(Inputs!$B$38="pvp",15,MAX(0.1,Skills!D6-IF(TRUE=TRUE,Inputs!$B$32,0)))*(1-IF(AND(ArtifactsInput!$M$27,Inputs!$B$4="Chapter Hunt"),CHOOSE(ArtifactsInput!$N$27+1,20,24,28,32,36,40),0)/100)))))/Skills!G6,1)))/Inputs!$B$43),G2167*Q2167))*IF(Inputs!$B$38="pvp",1,1+(Inputs!$B$20+Skills!O6+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2167*(1-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2167*(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2167*(1-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2167*(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7">
        <f>IF(C2167,(H2167*N2167*IF(AND(Inputs!$B$38&lt;&gt;"pvp",Inputs!$B$43&gt;0),((Skills!F6*((R2167-1)*IF(Skills!G6&gt;0,Skills!H6/Skills!G6,1)+IF(Skills!G6&gt;0,MIN(Skills!H6,MAX(0,MAX(0,Inputs!$B$43-B2195)-((R2167-1)*(IF(Inputs!$B$38="pvp",15,MAX(0.1,Skills!D6-IF(TRUE=TRUE,Inputs!$B$32,0)))*(1-IF(AND(ArtifactsInput!$M$27,Inputs!$B$4="Chapter Hunt"),CHOOSE(ArtifactsInput!$N$27+1,20,24,28,32,36,40),0)/100)))))/Skills!G6,1)))/Inputs!$B$43),G2167*Q2167))*IF(Inputs!$B$38="pvp",1,(1+(Inputs!$B$21+Skills!P6+B2189+(IF(IF(ArtifactsInput!$M$33,FALSE,TRUE),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8">
      <c r="A2168">
        <f>Skills!A7</f>
        <v/>
      </c>
      <c r="B2168">
        <f>Skills!B7</f>
        <v/>
      </c>
      <c r="C2168">
        <f>Inputs!$B$3&gt;=69</f>
        <v/>
      </c>
      <c r="D2168">
        <f>IF(Skills!C7=1,60+Inputs!$B$25+Inputs!$B$29,IF(Skills!C7=2,90+Inputs!$B$26+Inputs!$B$29,IF(Skills!C7=3,120+Inputs!$B$27+Inputs!$B$29,MAX(0,(Inputs!$B$3-100)*3)+Inputs!$B$28+Inputs!$B$29)))</f>
        <v/>
      </c>
      <c r="E2168">
        <f>INDEX(FactorTable!$B$2:$Y$301, MATCH(ROUND(MIN(300,MAX(1,D2168)),0), FactorTable!$A$2:$A$301,0), Skills!L7+1)</f>
        <v/>
      </c>
      <c r="F2168">
        <f>IF(Skills!M7=TRUE,(Skills!K7/10)*(E2168/1000),Skills!K7/10)+Skills!N7</f>
        <v/>
      </c>
      <c r="G2168">
        <f>Calc!G7</f>
        <v/>
      </c>
      <c r="H2168">
        <f>Calc!H7</f>
        <v/>
      </c>
      <c r="I2168">
        <f>IF(Skills!T7&lt;&gt;"",1+(Skills!T7/10)*(Z2164/1000)/100,1)</f>
        <v/>
      </c>
      <c r="J2168">
        <f>((Inputs!$B$6*(1+Inputs!$B$7/100))+(((Inputs!$B$12*(1+Inputs!$B$13/100))-(Inputs!$B$12*(1+Inputs!$B$13/100)))+0.25*(Inputs!$B$14-Inputs!$B$14))*(1+Inputs!$B$7/100))*(F2168/100)</f>
        <v/>
      </c>
      <c r="K2168">
        <f>J2168*(1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7="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2168)</f>
        <v/>
      </c>
      <c r="L2168">
        <f>K2168*(MIN(Inputs!$B$22+(F2179-Calc!F18),(Inputs!$B$23+(IF(ArtifactsInput!$M$15,CHOOSE(ArtifactsInput!$N$15+1,25,30,35,40,45,50)/100*(Inputs!$B$11-Inputs!$B$11),0))))/100+(Inputs!$B$23+(IF(ArtifactsInput!$M$15,CHOOSE(ArtifactsInput!$N$15+1,25,30,35,40,45,50)/100*(Inputs!$B$11-Inputs!$B$11),0)))/100)/2</f>
        <v/>
      </c>
      <c r="M2168">
        <f>L2168*(1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8">
        <f>L2168*(1-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2168*(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8">
        <f>(1-Summary!$B$11)*S2168+Summary!$B$11*U2168</f>
        <v/>
      </c>
      <c r="P2168">
        <f>IF(B2198=0,0,O2168/B2198)</f>
        <v/>
      </c>
      <c r="Q2168">
        <f>IFERROR(1/(IF(Inputs!$B$38="pvp",15,MAX(0.1,Skills!D7-IF(TRUE=TRUE,Inputs!$B$32,0)))*(1-IF(AND(ArtifactsInput!$M$27,Inputs!$B$4="Chapter Hunt"),CHOOSE(ArtifactsInput!$N$27+1,20,24,28,32,36,40),0)/100)),0)</f>
        <v/>
      </c>
      <c r="R2168">
        <f>IF(AND(Inputs!$B$38&lt;&gt;"pvp",Inputs!$B$43&gt;0),IF(MAX(0,Inputs!$B$43-B2195)&lt;=0,0,(INT(MAX(0,Inputs!$B$43-B2195)/(IF(Inputs!$B$38="pvp",15,MAX(0.1,Skills!D7-IF(TRUE=TRUE,Inputs!$B$32,0)))*(1-IF(AND(ArtifactsInput!$M$27,Inputs!$B$4="Chapter Hunt"),CHOOSE(ArtifactsInput!$N$27+1,20,24,28,32,36,40),0)/100)))+1)),0)</f>
        <v/>
      </c>
      <c r="S2168">
        <f>IF(C2168,(H2168*N2168*IF(AND(Inputs!$B$38&lt;&gt;"pvp",Inputs!$B$43&gt;0),((Skills!F7*((R2168-1)*IF(Skills!G7&gt;0,Skills!H7/Skills!G7,1)+IF(Skills!G7&gt;0,MIN(Skills!H7,MAX(0,MAX(0,Inputs!$B$43-B2195)-((R2168-1)*(IF(Inputs!$B$38="pvp",15,MAX(0.1,Skills!D7-IF(TRUE=TRUE,Inputs!$B$32,0)))*(1-IF(AND(ArtifactsInput!$M$27,Inputs!$B$4="Chapter Hunt"),CHOOSE(ArtifactsInput!$N$27+1,20,24,28,32,36,40),0)/100)))))/Skills!G7,1)))/Inputs!$B$43),G2168*Q2168))*IF(Inputs!$B$38="pvp",1,1+(Inputs!$B$20+Skills!O7+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2168*(1-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2168*(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2168*(1-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2168*(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8">
        <f>IF(C2168,(H2168*N2168*IF(AND(Inputs!$B$38&lt;&gt;"pvp",Inputs!$B$43&gt;0),((Skills!F7*((R2168-1)*IF(Skills!G7&gt;0,Skills!H7/Skills!G7,1)+IF(Skills!G7&gt;0,MIN(Skills!H7,MAX(0,MAX(0,Inputs!$B$43-B2195)-((R2168-1)*(IF(Inputs!$B$38="pvp",15,MAX(0.1,Skills!D7-IF(TRUE=TRUE,Inputs!$B$32,0)))*(1-IF(AND(ArtifactsInput!$M$27,Inputs!$B$4="Chapter Hunt"),CHOOSE(ArtifactsInput!$N$27+1,20,24,28,32,36,40),0)/100)))))/Skills!G7,1)))/Inputs!$B$43),G2168*Q2168))*IF(Inputs!$B$38="pvp",1,(1+(Inputs!$B$21+Skills!P7+B2189+(IF(IF(ArtifactsInput!$M$33,FALSE,TRUE),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9">
      <c r="A2169">
        <f>Skills!A8</f>
        <v/>
      </c>
      <c r="B2169">
        <f>Skills!B8</f>
        <v/>
      </c>
      <c r="C2169">
        <f>Inputs!$B$3&gt;=103</f>
        <v/>
      </c>
      <c r="D2169">
        <f>IF(Skills!C8=1,60+Inputs!$B$25+Inputs!$B$29,IF(Skills!C8=2,90+Inputs!$B$26+Inputs!$B$29,IF(Skills!C8=3,120+Inputs!$B$27+Inputs!$B$29,MAX(0,(Inputs!$B$3-100)*3)+Inputs!$B$28+Inputs!$B$29)))</f>
        <v/>
      </c>
      <c r="E2169">
        <f>INDEX(FactorTable!$B$2:$Y$301, MATCH(ROUND(MIN(300,MAX(1,D2169)),0), FactorTable!$A$2:$A$301,0), Skills!L8+1)</f>
        <v/>
      </c>
      <c r="F2169">
        <f>IF(Skills!M8=TRUE,(Skills!K8/10)*(E2169/1000),Skills!K8/10)+Skills!N8</f>
        <v/>
      </c>
      <c r="G2169">
        <f>Calc!G8</f>
        <v/>
      </c>
      <c r="H2169">
        <f>Calc!H8</f>
        <v/>
      </c>
      <c r="I2169">
        <f>IF(Skills!T8&lt;&gt;"",1+(Skills!T8/10)*(Z2164/1000)/100,1)</f>
        <v/>
      </c>
      <c r="J2169">
        <f>((Inputs!$B$6*(1+Inputs!$B$7/100))+(((Inputs!$B$12*(1+Inputs!$B$13/100))-(Inputs!$B$12*(1+Inputs!$B$13/100)))+0.25*(Inputs!$B$14-Inputs!$B$14))*(1+Inputs!$B$7/100))*(F2169/100)</f>
        <v/>
      </c>
      <c r="K2169">
        <f>J2169*(1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8="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2169)</f>
        <v/>
      </c>
      <c r="L2169">
        <f>K2169*(MIN(Inputs!$B$22+(F2179-Calc!F18),(Inputs!$B$23+(IF(ArtifactsInput!$M$15,CHOOSE(ArtifactsInput!$N$15+1,25,30,35,40,45,50)/100*(Inputs!$B$11-Inputs!$B$11),0))))/100+(Inputs!$B$23+(IF(ArtifactsInput!$M$15,CHOOSE(ArtifactsInput!$N$15+1,25,30,35,40,45,50)/100*(Inputs!$B$11-Inputs!$B$11),0)))/100)/2</f>
        <v/>
      </c>
      <c r="M2169">
        <f>L2169*(1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9">
        <f>L2169*(1-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2169*(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9">
        <f>(1-Summary!$B$11)*S2169+Summary!$B$11*U2169</f>
        <v/>
      </c>
      <c r="P2169">
        <f>IF(B2198=0,0,O2169/B2198)</f>
        <v/>
      </c>
      <c r="Q2169">
        <f>IFERROR(1/(IF(Inputs!$B$38="pvp",15,MAX(0.1,Skills!D8-IF(TRUE=TRUE,Inputs!$B$32,0)))*(1-IF(AND(ArtifactsInput!$M$27,Inputs!$B$4="Chapter Hunt"),CHOOSE(ArtifactsInput!$N$27+1,20,24,28,32,36,40),0)/100)),0)</f>
        <v/>
      </c>
      <c r="R2169">
        <f>IF(AND(Inputs!$B$38&lt;&gt;"pvp",Inputs!$B$43&gt;0),IF(MAX(0,Inputs!$B$43-B2195)&lt;=0,0,(INT(MAX(0,Inputs!$B$43-B2195)/(IF(Inputs!$B$38="pvp",15,MAX(0.1,Skills!D8-IF(TRUE=TRUE,Inputs!$B$32,0)))*(1-IF(AND(ArtifactsInput!$M$27,Inputs!$B$4="Chapter Hunt"),CHOOSE(ArtifactsInput!$N$27+1,20,24,28,32,36,40),0)/100)))+1)),0)</f>
        <v/>
      </c>
      <c r="S2169">
        <f>IF(C2169,(H2169*N2169*IF(AND(Inputs!$B$38&lt;&gt;"pvp",Inputs!$B$43&gt;0),((Skills!F8*((R2169-1)*IF(Skills!G8&gt;0,Skills!H8/Skills!G8,1)+IF(Skills!G8&gt;0,MIN(Skills!H8,MAX(0,MAX(0,Inputs!$B$43-B2195)-((R2169-1)*(IF(Inputs!$B$38="pvp",15,MAX(0.1,Skills!D8-IF(TRUE=TRUE,Inputs!$B$32,0)))*(1-IF(AND(ArtifactsInput!$M$27,Inputs!$B$4="Chapter Hunt"),CHOOSE(ArtifactsInput!$N$27+1,20,24,28,32,36,40),0)/100)))))/Skills!G8,1)))/Inputs!$B$43),G2169*Q2169))*IF(Inputs!$B$38="pvp",1,1+(Inputs!$B$20+Skills!O8+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2169*(1-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2169*(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2169*(1-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2169*(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69">
        <f>IF(C2169,(H2169*N2169*IF(AND(Inputs!$B$38&lt;&gt;"pvp",Inputs!$B$43&gt;0),((Skills!F8*((R2169-1)*IF(Skills!G8&gt;0,Skills!H8/Skills!G8,1)+IF(Skills!G8&gt;0,MIN(Skills!H8,MAX(0,MAX(0,Inputs!$B$43-B2195)-((R2169-1)*(IF(Inputs!$B$38="pvp",15,MAX(0.1,Skills!D8-IF(TRUE=TRUE,Inputs!$B$32,0)))*(1-IF(AND(ArtifactsInput!$M$27,Inputs!$B$4="Chapter Hunt"),CHOOSE(ArtifactsInput!$N$27+1,20,24,28,32,36,40),0)/100)))))/Skills!G8,1)))/Inputs!$B$43),G2169*Q2169))*IF(Inputs!$B$38="pvp",1,(1+(Inputs!$B$21+Skills!P8+B2189+(IF(IF(ArtifactsInput!$M$33,FALSE,TRUE),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0">
      <c r="A2170">
        <f>Skills!A9</f>
        <v/>
      </c>
      <c r="B2170">
        <f>Skills!B9</f>
        <v/>
      </c>
      <c r="C2170">
        <f>Inputs!$B$3&gt;=105</f>
        <v/>
      </c>
      <c r="D2170">
        <f>IF(Skills!C9=1,60+Inputs!$B$25+Inputs!$B$29,IF(Skills!C9=2,90+Inputs!$B$26+Inputs!$B$29,IF(Skills!C9=3,120+Inputs!$B$27+Inputs!$B$29,MAX(0,(Inputs!$B$3-100)*3)+Inputs!$B$28+Inputs!$B$29)))</f>
        <v/>
      </c>
      <c r="E2170">
        <f>INDEX(FactorTable!$B$2:$Y$301, MATCH(ROUND(MIN(300,MAX(1,D2170)),0), FactorTable!$A$2:$A$301,0), Skills!L9+1)</f>
        <v/>
      </c>
      <c r="F2170">
        <f>IF(Skills!M9=TRUE,(Skills!K9/10)*(E2170/1000),Skills!K9/10)+Skills!N9</f>
        <v/>
      </c>
      <c r="G2170">
        <f>Calc!G9</f>
        <v/>
      </c>
      <c r="H2170">
        <f>Calc!H9</f>
        <v/>
      </c>
      <c r="I2170">
        <f>IF(Skills!T9&lt;&gt;"",1+(Skills!T9/10)*(Z2164/1000)/100,1)</f>
        <v/>
      </c>
      <c r="J2170">
        <f>((Inputs!$B$6*(1+Inputs!$B$7/100))+(((Inputs!$B$12*(1+Inputs!$B$13/100))-(Inputs!$B$12*(1+Inputs!$B$13/100)))+0.25*(Inputs!$B$14-Inputs!$B$14))*(1+Inputs!$B$7/100))*(F2170/100)</f>
        <v/>
      </c>
      <c r="K2170">
        <f>J2170*(1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9="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2170)</f>
        <v/>
      </c>
      <c r="L2170">
        <f>K2170*(MIN(Inputs!$B$22+(F2179-Calc!F18),(Inputs!$B$23+(IF(ArtifactsInput!$M$15,CHOOSE(ArtifactsInput!$N$15+1,25,30,35,40,45,50)/100*(Inputs!$B$11-Inputs!$B$11),0))))/100+(Inputs!$B$23+(IF(ArtifactsInput!$M$15,CHOOSE(ArtifactsInput!$N$15+1,25,30,35,40,45,50)/100*(Inputs!$B$11-Inputs!$B$11),0)))/100)/2</f>
        <v/>
      </c>
      <c r="M2170">
        <f>L2170*(1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0">
        <f>L2170*(1-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2170*(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0">
        <f>(1-Summary!$B$11)*S2170+Summary!$B$11*U2170</f>
        <v/>
      </c>
      <c r="P2170">
        <f>IF(B2198=0,0,O2170/B2198)</f>
        <v/>
      </c>
      <c r="Q2170">
        <f>IFERROR(1/(IF(Inputs!$B$38="pvp",15,MAX(0.1,Skills!D9-IF(TRUE=TRUE,Inputs!$B$32,0)))*(1-IF(AND(ArtifactsInput!$M$27,Inputs!$B$4="Chapter Hunt"),CHOOSE(ArtifactsInput!$N$27+1,20,24,28,32,36,40),0)/100)),0)</f>
        <v/>
      </c>
      <c r="R2170">
        <f>IF(AND(Inputs!$B$38&lt;&gt;"pvp",Inputs!$B$43&gt;0),IF(MAX(0,Inputs!$B$43-B2195)&lt;=0,0,(INT(MAX(0,Inputs!$B$43-B2195)/(IF(Inputs!$B$38="pvp",15,MAX(0.1,Skills!D9-IF(TRUE=TRUE,Inputs!$B$32,0)))*(1-IF(AND(ArtifactsInput!$M$27,Inputs!$B$4="Chapter Hunt"),CHOOSE(ArtifactsInput!$N$27+1,20,24,28,32,36,40),0)/100)))+1)),0)</f>
        <v/>
      </c>
      <c r="S2170">
        <f>IF(C2170,(H2170*N2170*IF(AND(Inputs!$B$38&lt;&gt;"pvp",Inputs!$B$43&gt;0),((Skills!F9*((R2170-1)*IF(Skills!G9&gt;0,Skills!H9/Skills!G9,1)+IF(Skills!G9&gt;0,MIN(Skills!H9,MAX(0,MAX(0,Inputs!$B$43-B2195)-((R2170-1)*(IF(Inputs!$B$38="pvp",15,MAX(0.1,Skills!D9-IF(TRUE=TRUE,Inputs!$B$32,0)))*(1-IF(AND(ArtifactsInput!$M$27,Inputs!$B$4="Chapter Hunt"),CHOOSE(ArtifactsInput!$N$27+1,20,24,28,32,36,40),0)/100)))))/Skills!G9,1)))/Inputs!$B$43),G2170*Q2170))*IF(Inputs!$B$38="pvp",1,1+(Inputs!$B$20+Skills!O9+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2170*(1-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2170*(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2170*(1-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2170*(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0">
        <f>IF(C2170,(H2170*N2170*IF(AND(Inputs!$B$38&lt;&gt;"pvp",Inputs!$B$43&gt;0),((Skills!F9*((R2170-1)*IF(Skills!G9&gt;0,Skills!H9/Skills!G9,1)+IF(Skills!G9&gt;0,MIN(Skills!H9,MAX(0,MAX(0,Inputs!$B$43-B2195)-((R2170-1)*(IF(Inputs!$B$38="pvp",15,MAX(0.1,Skills!D9-IF(TRUE=TRUE,Inputs!$B$32,0)))*(1-IF(AND(ArtifactsInput!$M$27,Inputs!$B$4="Chapter Hunt"),CHOOSE(ArtifactsInput!$N$27+1,20,24,28,32,36,40),0)/100)))))/Skills!G9,1)))/Inputs!$B$43),G2170*Q2170))*IF(Inputs!$B$38="pvp",1,(1+(Inputs!$B$21+Skills!P9+B2189+(IF(IF(ArtifactsInput!$M$33,FALSE,TRUE),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1">
      <c r="A2171">
        <f>Skills!A10</f>
        <v/>
      </c>
      <c r="B2171">
        <f>Skills!B10</f>
        <v/>
      </c>
      <c r="C2171">
        <f>Inputs!$B$3&gt;=113</f>
        <v/>
      </c>
      <c r="D2171">
        <f>IF(Skills!C10=1,60+Inputs!$B$25+Inputs!$B$29,IF(Skills!C10=2,90+Inputs!$B$26+Inputs!$B$29,IF(Skills!C10=3,120+Inputs!$B$27+Inputs!$B$29,MAX(0,(Inputs!$B$3-100)*3)+Inputs!$B$28+Inputs!$B$29)))</f>
        <v/>
      </c>
      <c r="E2171">
        <f>INDEX(FactorTable!$B$2:$Y$301, MATCH(ROUND(MIN(300,MAX(1,D2171)),0), FactorTable!$A$2:$A$301,0), Skills!L10+1)</f>
        <v/>
      </c>
      <c r="F2171">
        <f>IF(Skills!M10=TRUE,(Skills!K10/10)*(E2171/1000),Skills!K10/10)+Skills!N10</f>
        <v/>
      </c>
      <c r="G2171">
        <f>Calc!G10</f>
        <v/>
      </c>
      <c r="H2171">
        <f>Calc!H10</f>
        <v/>
      </c>
      <c r="I2171">
        <f>IF(Skills!T10&lt;&gt;"",1+(Skills!T10/10)*(Z2164/1000)/100,1)</f>
        <v/>
      </c>
      <c r="J2171">
        <f>((Inputs!$B$6*(1+Inputs!$B$7/100))+(((Inputs!$B$12*(1+Inputs!$B$13/100))-(Inputs!$B$12*(1+Inputs!$B$13/100)))+0.25*(Inputs!$B$14-Inputs!$B$14))*(1+Inputs!$B$7/100))*(F2171/100)</f>
        <v/>
      </c>
      <c r="K2171">
        <f>J2171*(1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10="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2171)</f>
        <v/>
      </c>
      <c r="L2171">
        <f>K2171*(MIN(Inputs!$B$22+(F2179-Calc!F18),(Inputs!$B$23+(IF(ArtifactsInput!$M$15,CHOOSE(ArtifactsInput!$N$15+1,25,30,35,40,45,50)/100*(Inputs!$B$11-Inputs!$B$11),0))))/100+(Inputs!$B$23+(IF(ArtifactsInput!$M$15,CHOOSE(ArtifactsInput!$N$15+1,25,30,35,40,45,50)/100*(Inputs!$B$11-Inputs!$B$11),0)))/100)/2</f>
        <v/>
      </c>
      <c r="M2171">
        <f>L2171*(1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1">
        <f>L2171*(1-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1">
        <f>(1-Summary!$B$11)*S2171+Summary!$B$11*U2171</f>
        <v/>
      </c>
      <c r="P2171">
        <f>IF(B2198=0,0,O2171/B2198)</f>
        <v/>
      </c>
      <c r="Q2171">
        <f>IFERROR(1/(IF(Inputs!$B$38="pvp",15,MAX(0.1,Skills!D10-IF(TRUE=TRUE,Inputs!$B$32,0)))*(1-IF(AND(ArtifactsInput!$M$27,Inputs!$B$4="Chapter Hunt"),CHOOSE(ArtifactsInput!$N$27+1,20,24,28,32,36,40),0)/100)),0)</f>
        <v/>
      </c>
      <c r="R2171" t="n">
        <v>0</v>
      </c>
      <c r="S2171">
        <f>IF(C2171,((H2171*B2199)/(1+Skills!G10*H2171*B2199)*N2171)*IF(Inputs!$B$38="pvp",1,1+(Inputs!$B$20+Skills!O10+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2171*(1-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1">
        <f>IF(C2171,((H2171*B2199)/(1+Skills!G10*H2171*B2199)*N2171)*IF(Inputs!$B$38="pvp",1,(1+(Inputs!$B$21+Skills!P10+B2189+(IF(IF(ArtifactsInput!$M$33,FALSE,TRUE),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2">
      <c r="A2172">
        <f>Skills!A11</f>
        <v/>
      </c>
      <c r="B2172">
        <f>Skills!B11</f>
        <v/>
      </c>
      <c r="C2172">
        <f>Inputs!$B$3&gt;=107</f>
        <v/>
      </c>
      <c r="D2172">
        <f>IF(Skills!C11=1,60+Inputs!$B$25+Inputs!$B$29,IF(Skills!C11=2,90+Inputs!$B$26+Inputs!$B$29,IF(Skills!C11=3,120+Inputs!$B$27+Inputs!$B$29,MAX(0,(Inputs!$B$3-100)*3)+Inputs!$B$28+Inputs!$B$29)))</f>
        <v/>
      </c>
      <c r="E2172">
        <f>INDEX(FactorTable!$B$2:$Y$301, MATCH(ROUND(MIN(300,MAX(1,D2172)),0), FactorTable!$A$2:$A$301,0), Skills!L11+1)</f>
        <v/>
      </c>
      <c r="F2172">
        <f>IF(Skills!M11=TRUE,(Skills!K11/10)*(E2172/1000),Skills!K11/10)+Skills!N11</f>
        <v/>
      </c>
      <c r="G2172">
        <f>Calc!G11</f>
        <v/>
      </c>
      <c r="H2172">
        <f>Calc!H11</f>
        <v/>
      </c>
      <c r="I2172">
        <f>IF(Skills!T11&lt;&gt;"",1+(Skills!T11/10)*(Z2164/1000)/100,1)</f>
        <v/>
      </c>
      <c r="J2172">
        <f>((Inputs!$B$6*(1+Inputs!$B$7/100))+(((Inputs!$B$12*(1+Inputs!$B$13/100))-(Inputs!$B$12*(1+Inputs!$B$13/100)))+0.25*(Inputs!$B$14-Inputs!$B$14))*(1+Inputs!$B$7/100))*(F2172/100)</f>
        <v/>
      </c>
      <c r="K2172">
        <f>J2172*(1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11="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2172)</f>
        <v/>
      </c>
      <c r="L2172">
        <f>K2172*(MIN(Inputs!$B$22+(F2179-Calc!F18),(Inputs!$B$23+(IF(ArtifactsInput!$M$15,CHOOSE(ArtifactsInput!$N$15+1,25,30,35,40,45,50)/100*(Inputs!$B$11-Inputs!$B$11),0))))/100+(Inputs!$B$23+(IF(ArtifactsInput!$M$15,CHOOSE(ArtifactsInput!$N$15+1,25,30,35,40,45,50)/100*(Inputs!$B$11-Inputs!$B$11),0)))/100)/2</f>
        <v/>
      </c>
      <c r="M2172">
        <f>L2172*(1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2">
        <f>L2172*(1-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2172*(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2">
        <f>(1-Summary!$B$11)*S2172+Summary!$B$11*U2172</f>
        <v/>
      </c>
      <c r="P2172">
        <f>IF(B2198=0,0,O2172/B2198)</f>
        <v/>
      </c>
      <c r="Q2172">
        <f>IFERROR(1/(IF(Inputs!$B$38="pvp",15,MAX(0.1,Skills!D11-IF(TRUE=TRUE,Inputs!$B$32,0)))*(1-IF(AND(ArtifactsInput!$M$27,Inputs!$B$4="Chapter Hunt"),CHOOSE(ArtifactsInput!$N$27+1,20,24,28,32,36,40),0)/100)),0)</f>
        <v/>
      </c>
      <c r="R2172">
        <f>IF(AND(Inputs!$B$38&lt;&gt;"pvp",Inputs!$B$43&gt;0),IF(MAX(0,Inputs!$B$43-B2195)&lt;=0,0,(INT(MAX(0,Inputs!$B$43-B2195)/(IF(Inputs!$B$38="pvp",15,MAX(0.1,Skills!D11-IF(TRUE=TRUE,Inputs!$B$32,0)))*(1-IF(AND(ArtifactsInput!$M$27,Inputs!$B$4="Chapter Hunt"),CHOOSE(ArtifactsInput!$N$27+1,20,24,28,32,36,40),0)/100)))+1)),0)</f>
        <v/>
      </c>
      <c r="S2172">
        <f>IF(C2172,H2172*N2172*IF(AND(Inputs!$B$38&lt;&gt;"pvp",Inputs!$B$43&gt;0),((Skills!F11*((R2172-1)*IF(Skills!G11&gt;0,Skills!H11/Skills!G11,1)+IF(Skills!G11&gt;0,MIN(Skills!H11,MAX(0,MAX(0,Inputs!$B$43-B2195)-((R2172-1)*(IF(Inputs!$B$38="pvp",15,MAX(0.1,Skills!D11-IF(TRUE=TRUE,Inputs!$B$32,0)))*(1-IF(AND(ArtifactsInput!$M$27,Inputs!$B$4="Chapter Hunt"),CHOOSE(ArtifactsInput!$N$27+1,20,24,28,32,36,40),0)/100)))))/Skills!G11,1)))/Inputs!$B$43),G2172*Q2172)*0.5*IF(Inputs!$B$38="pvp",1,1+(Inputs!$B$20+Skills!O11+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2172*(1-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2172*(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2172*(1-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2172*(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2">
        <f>IF(C2172,H2172*N2172*IF(AND(Inputs!$B$38&lt;&gt;"pvp",Inputs!$B$43&gt;0),((Skills!F11*((R2172-1)*IF(Skills!G11&gt;0,Skills!H11/Skills!G11,1)+IF(Skills!G11&gt;0,MIN(Skills!H11,MAX(0,MAX(0,Inputs!$B$43-B2195)-((R2172-1)*(IF(Inputs!$B$38="pvp",15,MAX(0.1,Skills!D11-IF(TRUE=TRUE,Inputs!$B$32,0)))*(1-IF(AND(ArtifactsInput!$M$27,Inputs!$B$4="Chapter Hunt"),CHOOSE(ArtifactsInput!$N$27+1,20,24,28,32,36,40),0)/100)))))/Skills!G11,1)))/Inputs!$B$43),G2172*Q2172)*1*IF(Inputs!$B$38="pvp",1,(1+(Inputs!$B$21+Skills!P11+B2189+(IF(IF(ArtifactsInput!$M$33,FALSE,TRUE),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3">
      <c r="A2173">
        <f>Skills!A12</f>
        <v/>
      </c>
      <c r="B2173">
        <f>Skills!B12</f>
        <v/>
      </c>
      <c r="C2173">
        <f>Inputs!$B$3&gt;=115</f>
        <v/>
      </c>
      <c r="D2173">
        <f>IF(Skills!C12=1,60+Inputs!$B$25+Inputs!$B$29,IF(Skills!C12=2,90+Inputs!$B$26+Inputs!$B$29,IF(Skills!C12=3,120+Inputs!$B$27+Inputs!$B$29,MAX(0,(Inputs!$B$3-100)*3)+Inputs!$B$28+Inputs!$B$29)))</f>
        <v/>
      </c>
      <c r="E2173">
        <f>INDEX(FactorTable!$B$2:$Y$301, MATCH(ROUND(MIN(300,MAX(1,D2173)),0), FactorTable!$A$2:$A$301,0), Skills!L12+1)</f>
        <v/>
      </c>
      <c r="F2173">
        <f>IF(Skills!M12=TRUE,(Skills!K12/10)*(E2173/1000),Skills!K12/10)+Skills!N12</f>
        <v/>
      </c>
      <c r="G2173">
        <f>Calc!G12</f>
        <v/>
      </c>
      <c r="H2173">
        <f>Calc!H12</f>
        <v/>
      </c>
      <c r="I2173">
        <f>IF(Skills!T12&lt;&gt;"",1+(Skills!T12/10)*(Z2164/1000)/100,1)</f>
        <v/>
      </c>
      <c r="J2173">
        <f>((Inputs!$B$6*(1+Inputs!$B$7/100))+(((Inputs!$B$12*(1+Inputs!$B$13/100))-(Inputs!$B$12*(1+Inputs!$B$13/100)))+0.25*(Inputs!$B$14-Inputs!$B$14))*(1+Inputs!$B$7/100))*(F2173/100)</f>
        <v/>
      </c>
      <c r="K2173">
        <f>J2173*(1+((Inputs!$B$12*(1+Inputs!$B$13/100))*0.01+Inputs!$B$14*0.0025)/100)*(1+(Inputs!$B$15+B2190)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2176=TRUE,F2176,0)/100)*(1+IF(C2184=TRUE,F2184,0)/100)^5*(1+(IF(Skills!A12="CHAIN_LIGHTNING",Inputs!$B$17+((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2188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2173)</f>
        <v/>
      </c>
      <c r="L2173">
        <f>K2173*(MIN(Inputs!$B$22+(F2179-Calc!F18),(Inputs!$B$23+(IF(ArtifactsInput!$M$15,CHOOSE(ArtifactsInput!$N$15+1,25,30,35,40,45,50)/100*(Inputs!$B$11-Inputs!$B$11),0))))/100+(Inputs!$B$23+(IF(ArtifactsInput!$M$15,CHOOSE(ArtifactsInput!$N$15+1,25,30,35,40,45,50)/100*(Inputs!$B$11-Inputs!$B$11),0)))/100)/2</f>
        <v/>
      </c>
      <c r="M2173">
        <f>L2173*(1+(Inputs!$B$10+(F2182-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3">
        <f>L2173*(1-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2173*(MIN((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3">
        <f>(1-Summary!$B$11)*S2173+Summary!$B$11*U2173</f>
        <v/>
      </c>
      <c r="P2173">
        <f>IF(B2198=0,0,O2173/B2198)</f>
        <v/>
      </c>
      <c r="Q2173">
        <f>IFERROR(1/(IF(Inputs!$B$38="pvp",15,MAX(0.1,Skills!D12-IF(TRUE=TRUE,Inputs!$B$32,0)))*(1-IF(AND(ArtifactsInput!$M$27,Inputs!$B$4="Chapter Hunt"),CHOOSE(ArtifactsInput!$N$27+1,20,24,28,32,36,40),0)/100)),0)</f>
        <v/>
      </c>
      <c r="R2173">
        <f>IF(AND(Inputs!$B$38&lt;&gt;"pvp",Inputs!$B$43&gt;0),IF(MAX(0,Inputs!$B$43-B2195)&lt;=0,0,(INT(MAX(0,Inputs!$B$43-B2195)/(IF(Inputs!$B$38="pvp",15,MAX(0.1,Skills!D12-IF(TRUE=TRUE,Inputs!$B$32,0)))*(1-IF(AND(ArtifactsInput!$M$27,Inputs!$B$4="Chapter Hunt"),CHOOSE(ArtifactsInput!$N$27+1,20,24,28,32,36,40),0)/100)))+1)),0)</f>
        <v/>
      </c>
      <c r="S2173">
        <f>IF(C2173,(H2173*N2173*IF(AND(Inputs!$B$38&lt;&gt;"pvp",Inputs!$B$43&gt;0),((Skills!F12*((R2173-1)*IF(Skills!G12&gt;0,Skills!H12/Skills!G12,1)+IF(Skills!G12&gt;0,MIN(Skills!H12,MAX(0,MAX(0,Inputs!$B$43-B2195)-((R2173-1)*(IF(Inputs!$B$38="pvp",15,MAX(0.1,Skills!D12-IF(TRUE=TRUE,Inputs!$B$32,0)))*(1-IF(AND(ArtifactsInput!$M$27,Inputs!$B$4="Chapter Hunt"),CHOOSE(ArtifactsInput!$N$27+1,20,24,28,32,36,40),0)/100)))))/Skills!G12,1)))/Inputs!$B$43),G2173*Q2173))*IF(Inputs!$B$38="pvp",1,1+(Inputs!$B$20+Skills!O12+B2189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2173*(1-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2173*(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2173*(1-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2173*(MIN(100,(Inputs!$B$9+((F2181-Calc!F20)+(F2180-Calc!F19))+(ArtifactsInput!$M$24-ArtifactsInput!$M$24)*CHOOSE(ArtifactsInput!$N$24+1,10,12,14,16,18,20)+(IF(AND(Inputs!$B$38&lt;&gt;"pvp",Inputs!$B$43=0),1,IF(IF(Inputs!$B$38="pvp",15,Inputs!$B$43)-(B2195)&lt;=0,1,MAX(0,IF(Inputs!$B$38="pvp",15,Inputs!$B$43)-MAX(5,B2195))/(IF(Inputs!$B$38="pvp",15,Inputs!$B$43)-(B2195)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73">
        <f>IF(C2173,(H2173*N2173*IF(AND(Inputs!$B$38&lt;&gt;"pvp",Inputs!$B$43&gt;0),((Skills!F12*((R2173-1)*IF(Skills!G12&gt;0,Skills!H12/Skills!G12,1)+IF(Skills!G12&gt;0,MIN(Skills!H12,MAX(0,MAX(0,Inputs!$B$43-B2195)-((R2173-1)*(IF(Inputs!$B$38="pvp",15,MAX(0.1,Skills!D12-IF(TRUE=TRUE,Inputs!$B$32,0)))*(1-IF(AND(ArtifactsInput!$M$27,Inputs!$B$4="Chapter Hunt"),CHOOSE(ArtifactsInput!$N$27+1,20,24,28,32,36,40),0)/100)))))/Skills!G12,1)))/Inputs!$B$43),G2173*Q2173))*IF(Inputs!$B$38="pvp",1,(1+(Inputs!$B$21+Skills!P12+B2189+(IF(IF(ArtifactsInput!$M$33,FALSE,TRUE),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4">
      <c r="A2174">
        <f>Skills!A13</f>
        <v/>
      </c>
      <c r="B2174">
        <f>Skills!B13</f>
        <v/>
      </c>
      <c r="C2174">
        <f>Inputs!$B$3&gt;=49</f>
        <v/>
      </c>
      <c r="D2174">
        <f>IF(Skills!C13=1,60+Inputs!$B$25+Inputs!$B$29,IF(Skills!C13=2,90+Inputs!$B$26+Inputs!$B$29,IF(Skills!C13=3,120+Inputs!$B$27+Inputs!$B$29,MAX(0,(Inputs!$B$3-100)*3)+Inputs!$B$28+Inputs!$B$29)))</f>
        <v/>
      </c>
      <c r="E2174">
        <f>INDEX(FactorTable!$B$2:$Y$301, MATCH(ROUND(MIN(300,MAX(1,D2174)),0), FactorTable!$A$2:$A$301,0), Skills!L13+1)</f>
        <v/>
      </c>
      <c r="F2174">
        <f>IF(Skills!M13=TRUE,(Skills!K13/10)*(E2174/1000),Skills!K13/10)+Skills!N13</f>
        <v/>
      </c>
      <c r="G2174">
        <f>Calc!G13</f>
        <v/>
      </c>
      <c r="H2174">
        <f>Calc!H13</f>
        <v/>
      </c>
      <c r="I2174">
        <f>IF(Skills!T13&lt;&gt;"",1+(Skills!T13/10)*(Z2164/1000)/100,1)</f>
        <v/>
      </c>
      <c r="J2174" t="inlineStr"/>
      <c r="K2174" t="inlineStr"/>
      <c r="L2174" t="inlineStr"/>
      <c r="M2174" t="inlineStr"/>
      <c r="N2174" t="inlineStr"/>
      <c r="O2174">
        <f>(1-Summary!$B$11)*S2174+Summary!$B$11*U2174</f>
        <v/>
      </c>
      <c r="P2174">
        <f>IF(B2198=0,0,O2174/B2198)</f>
        <v/>
      </c>
      <c r="Q2174">
        <f>IFERROR(1/(IF(Inputs!$B$38="pvp",15,MAX(0.1,Skills!D13-IF(TRUE=TRUE,Inputs!$B$32,0)))*(1-IF(AND(ArtifactsInput!$M$27,Inputs!$B$4="Chapter Hunt"),CHOOSE(ArtifactsInput!$N$27+1,20,24,28,32,36,40),0)/100)),0)</f>
        <v/>
      </c>
      <c r="R2174" t="n">
        <v>0</v>
      </c>
      <c r="S2174" t="n">
        <v>0</v>
      </c>
      <c r="U2174" t="n">
        <v>0</v>
      </c>
    </row>
    <row r="2175">
      <c r="A2175">
        <f>Skills!A14</f>
        <v/>
      </c>
      <c r="B2175">
        <f>Skills!B14</f>
        <v/>
      </c>
      <c r="C2175">
        <f>Inputs!$B$3&gt;=72</f>
        <v/>
      </c>
      <c r="D2175">
        <f>IF(Skills!C14=1,60+Inputs!$B$25+Inputs!$B$29,IF(Skills!C14=2,90+Inputs!$B$26+Inputs!$B$29,IF(Skills!C14=3,120+Inputs!$B$27+Inputs!$B$29,MAX(0,(Inputs!$B$3-100)*3)+Inputs!$B$28+Inputs!$B$29)))</f>
        <v/>
      </c>
      <c r="E2175">
        <f>INDEX(FactorTable!$B$2:$Y$301, MATCH(ROUND(MIN(300,MAX(1,D2175)),0), FactorTable!$A$2:$A$301,0), Skills!L14+1)</f>
        <v/>
      </c>
      <c r="F2175">
        <f>IF(Skills!M14=TRUE,(Skills!K14/10)*(E2175/1000),Skills!K14/10)+Skills!N14</f>
        <v/>
      </c>
      <c r="G2175">
        <f>Calc!G14</f>
        <v/>
      </c>
      <c r="H2175">
        <f>Calc!H14</f>
        <v/>
      </c>
      <c r="I2175">
        <f>IF(Skills!T14&lt;&gt;"",1+(Skills!T14/10)*(Z2164/1000)/100,1)</f>
        <v/>
      </c>
      <c r="J2175" t="inlineStr"/>
      <c r="K2175" t="inlineStr"/>
      <c r="L2175" t="inlineStr"/>
      <c r="M2175" t="inlineStr"/>
      <c r="N2175" t="inlineStr"/>
      <c r="O2175">
        <f>(1-Summary!$B$11)*S2175+Summary!$B$11*U2175</f>
        <v/>
      </c>
      <c r="P2175">
        <f>IF(B2198=0,0,O2175/B2198)</f>
        <v/>
      </c>
      <c r="Q2175">
        <f>IFERROR(1/(IF(Inputs!$B$38="pvp",15,MAX(0.1,Skills!D14-IF(TRUE=TRUE,Inputs!$B$32,0)))*(1-IF(AND(ArtifactsInput!$M$27,Inputs!$B$4="Chapter Hunt"),CHOOSE(ArtifactsInput!$N$27+1,20,24,28,32,36,40),0)/100)),0)</f>
        <v/>
      </c>
      <c r="R2175" t="n">
        <v>0</v>
      </c>
      <c r="S2175" t="n">
        <v>0</v>
      </c>
      <c r="U2175" t="n">
        <v>0</v>
      </c>
    </row>
    <row r="2176">
      <c r="A2176">
        <f>Skills!A15</f>
        <v/>
      </c>
      <c r="B2176">
        <f>Skills!B15</f>
        <v/>
      </c>
      <c r="C2176">
        <f>Inputs!$B$3&gt;=75</f>
        <v/>
      </c>
      <c r="D2176">
        <f>IF(Skills!C15=1,60+Inputs!$B$25+Inputs!$B$29,IF(Skills!C15=2,90+Inputs!$B$26+Inputs!$B$29,IF(Skills!C15=3,120+Inputs!$B$27+Inputs!$B$29,MAX(0,(Inputs!$B$3-100)*3)+Inputs!$B$28+Inputs!$B$29)))</f>
        <v/>
      </c>
      <c r="E2176">
        <f>INDEX(FactorTable!$B$2:$Y$301, MATCH(ROUND(MIN(300,MAX(1,D2176)),0), FactorTable!$A$2:$A$301,0), Skills!L15+1)</f>
        <v/>
      </c>
      <c r="F2176">
        <f>IF(Skills!M15=TRUE,(Skills!K15/10)*(E2176/1000),Skills!K15/10)+Skills!N15</f>
        <v/>
      </c>
      <c r="G2176">
        <f>Calc!G15</f>
        <v/>
      </c>
      <c r="H2176">
        <f>Calc!H15</f>
        <v/>
      </c>
      <c r="I2176">
        <f>IF(Skills!T15&lt;&gt;"",1+(Skills!T15/10)*(Z2164/1000)/100,1)</f>
        <v/>
      </c>
      <c r="J2176" t="inlineStr"/>
      <c r="K2176" t="inlineStr"/>
      <c r="L2176" t="inlineStr"/>
      <c r="M2176" t="inlineStr"/>
      <c r="N2176" t="inlineStr"/>
      <c r="O2176">
        <f>(1-Summary!$B$11)*S2176+Summary!$B$11*U2176</f>
        <v/>
      </c>
      <c r="P2176">
        <f>IF(B2198=0,0,O2176/B2198)</f>
        <v/>
      </c>
      <c r="Q2176">
        <f>IFERROR(1/(IF(Inputs!$B$38="pvp",15,MAX(0.1,Skills!D15-IF(TRUE=TRUE,Inputs!$B$32,0)))*(1-IF(AND(ArtifactsInput!$M$27,Inputs!$B$4="Chapter Hunt"),CHOOSE(ArtifactsInput!$N$27+1,20,24,28,32,36,40),0)/100)),0)</f>
        <v/>
      </c>
      <c r="R2176" t="n">
        <v>0</v>
      </c>
      <c r="S2176" t="n">
        <v>0</v>
      </c>
      <c r="U2176" t="n">
        <v>0</v>
      </c>
    </row>
    <row r="2177">
      <c r="A2177">
        <f>Skills!A16</f>
        <v/>
      </c>
      <c r="B2177">
        <f>Skills!B16</f>
        <v/>
      </c>
      <c r="C2177">
        <f>Inputs!$B$3&gt;=110</f>
        <v/>
      </c>
      <c r="D2177">
        <f>IF(Skills!C16=1,60+Inputs!$B$25+Inputs!$B$29,IF(Skills!C16=2,90+Inputs!$B$26+Inputs!$B$29,IF(Skills!C16=3,120+Inputs!$B$27+Inputs!$B$29,MAX(0,(Inputs!$B$3-100)*3)+Inputs!$B$28+Inputs!$B$29)))</f>
        <v/>
      </c>
      <c r="E2177">
        <f>INDEX(FactorTable!$B$2:$Y$301, MATCH(ROUND(MIN(300,MAX(1,D2177)),0), FactorTable!$A$2:$A$301,0), Skills!L16+1)</f>
        <v/>
      </c>
      <c r="F2177">
        <f>(Skills!K16/10)*(E2177/1000)*64/45+Skills!N16</f>
        <v/>
      </c>
      <c r="G2177">
        <f>Calc!G16</f>
        <v/>
      </c>
      <c r="H2177">
        <f>Calc!H16</f>
        <v/>
      </c>
      <c r="I2177">
        <f>IF(Skills!T16&lt;&gt;"",1+(Skills!T16/10)*(Z2164/1000)/100,1)</f>
        <v/>
      </c>
      <c r="J2177" t="inlineStr"/>
      <c r="K2177" t="inlineStr"/>
      <c r="L2177" t="inlineStr"/>
      <c r="M2177" t="inlineStr"/>
      <c r="N2177" t="inlineStr"/>
      <c r="O2177">
        <f>(1-Summary!$B$11)*S2177+Summary!$B$11*U2177</f>
        <v/>
      </c>
      <c r="P2177">
        <f>IF(B2198=0,0,O2177/B2198)</f>
        <v/>
      </c>
      <c r="Q2177">
        <f>IFERROR(1/(IF(Inputs!$B$38="pvp",15,MAX(0.1,Skills!D16-IF(TRUE=TRUE,Inputs!$B$32,0)))*(1-IF(AND(ArtifactsInput!$M$27,Inputs!$B$4="Chapter Hunt"),CHOOSE(ArtifactsInput!$N$27+1,20,24,28,32,36,40),0)/100)),0)</f>
        <v/>
      </c>
      <c r="R2177">
        <f>IF(AND(Inputs!$B$38&lt;&gt;"pvp",Inputs!$B$43&gt;0),IF(Inputs!$B$43&lt;=0,0,(INT(Inputs!$B$43/(IF(Inputs!$B$38="pvp",15,MAX(0.1,Skills!D16-IF(TRUE=TRUE,Inputs!$B$32,0)))*(1-IF(AND(ArtifactsInput!$M$27,Inputs!$B$4="Chapter Hunt"),CHOOSE(ArtifactsInput!$N$27+1,20,24,28,32,36,40),0)/100)))+1)),0)</f>
        <v/>
      </c>
      <c r="S2177" t="n">
        <v>0</v>
      </c>
      <c r="U2177" t="n">
        <v>0</v>
      </c>
    </row>
    <row r="2178">
      <c r="A2178">
        <f>Skills!A17</f>
        <v/>
      </c>
      <c r="B2178">
        <f>Skills!B17</f>
        <v/>
      </c>
      <c r="C2178">
        <f>Inputs!$B$3&gt;=33</f>
        <v/>
      </c>
      <c r="D2178">
        <f>IF(Skills!C17=1,60+Inputs!$B$25+Inputs!$B$29,IF(Skills!C17=2,90+Inputs!$B$26+Inputs!$B$29,IF(Skills!C17=3,120+Inputs!$B$27+Inputs!$B$29,MAX(0,(Inputs!$B$3-100)*3)+Inputs!$B$28+Inputs!$B$29)))</f>
        <v/>
      </c>
      <c r="E2178">
        <f>INDEX(FactorTable!$B$2:$Y$301, MATCH(ROUND(MIN(300,MAX(1,D2178)),0), FactorTable!$A$2:$A$301,0), Skills!L17+1)</f>
        <v/>
      </c>
      <c r="F2178">
        <f>IF(Skills!M17=TRUE,(Skills!K17/10)*(E2178/1000),Skills!K17/10)+Skills!N17</f>
        <v/>
      </c>
      <c r="G2178">
        <f>Calc!G17</f>
        <v/>
      </c>
      <c r="H2178">
        <f>Calc!H17</f>
        <v/>
      </c>
      <c r="I2178">
        <f>IF(Skills!T17&lt;&gt;"",1+(Skills!T17/10)*(Z2164/1000)/100,1)</f>
        <v/>
      </c>
      <c r="J2178" t="inlineStr"/>
      <c r="K2178" t="inlineStr"/>
      <c r="L2178" t="inlineStr"/>
      <c r="M2178" t="inlineStr"/>
      <c r="N2178" t="inlineStr"/>
      <c r="O2178">
        <f>(1-Summary!$B$11)*S2178+Summary!$B$11*U2178</f>
        <v/>
      </c>
      <c r="P2178">
        <f>IF(B2198=0,0,O2178/B2198)</f>
        <v/>
      </c>
      <c r="Q2178">
        <f>IFERROR(1/(IF(Inputs!$B$38="pvp",15,MAX(0.1,Skills!D17-IF(TRUE=TRUE,Inputs!$B$32,0)))*(1-IF(AND(ArtifactsInput!$M$27,Inputs!$B$4="Chapter Hunt"),CHOOSE(ArtifactsInput!$N$27+1,20,24,28,32,36,40),0)/100)),0)</f>
        <v/>
      </c>
      <c r="R2178" t="n">
        <v>0</v>
      </c>
      <c r="S2178" t="n">
        <v>0</v>
      </c>
      <c r="U2178" t="n">
        <v>0</v>
      </c>
    </row>
    <row r="2179">
      <c r="A2179">
        <f>Skills!A18</f>
        <v/>
      </c>
      <c r="B2179">
        <f>Skills!B18</f>
        <v/>
      </c>
      <c r="C2179">
        <f>Inputs!$B$3&gt;=43</f>
        <v/>
      </c>
      <c r="D2179">
        <f>IF(Skills!C18=1,60+Inputs!$B$25+Inputs!$B$29,IF(Skills!C18=2,90+Inputs!$B$26+Inputs!$B$29,IF(Skills!C18=3,120+Inputs!$B$27+Inputs!$B$29,MAX(0,(Inputs!$B$3-100)*3)+Inputs!$B$28+Inputs!$B$29)))</f>
        <v/>
      </c>
      <c r="E2179">
        <f>INDEX(FactorTable!$B$2:$Y$301, MATCH(ROUND(MIN(300,MAX(1,D2179)),0), FactorTable!$A$2:$A$301,0), Skills!L18+1)</f>
        <v/>
      </c>
      <c r="F2179">
        <f>IF(Skills!M18=TRUE,(Skills!K18/10)*(E2179/1000),Skills!K18/10)+Skills!N18</f>
        <v/>
      </c>
      <c r="G2179">
        <f>Calc!G18</f>
        <v/>
      </c>
      <c r="H2179">
        <f>Calc!H18</f>
        <v/>
      </c>
      <c r="I2179">
        <f>IF(Skills!T18&lt;&gt;"",1+(Skills!T18/10)*(Z2164/1000)/100,1)</f>
        <v/>
      </c>
      <c r="J2179" t="inlineStr"/>
      <c r="K2179" t="inlineStr"/>
      <c r="L2179" t="inlineStr"/>
      <c r="M2179" t="inlineStr"/>
      <c r="N2179" t="inlineStr"/>
      <c r="O2179">
        <f>(1-Summary!$B$11)*S2179+Summary!$B$11*U2179</f>
        <v/>
      </c>
      <c r="P2179">
        <f>IF(B2198=0,0,O2179/B2198)</f>
        <v/>
      </c>
      <c r="Q2179">
        <f>IFERROR(1/(IF(Inputs!$B$38="pvp",15,MAX(0.1,Skills!D18-IF(TRUE=TRUE,Inputs!$B$32,0)))*(1-IF(AND(ArtifactsInput!$M$27,Inputs!$B$4="Chapter Hunt"),CHOOSE(ArtifactsInput!$N$27+1,20,24,28,32,36,40),0)/100)),0)</f>
        <v/>
      </c>
      <c r="R2179" t="n">
        <v>0</v>
      </c>
      <c r="S2179" t="n">
        <v>0</v>
      </c>
      <c r="U2179" t="n">
        <v>0</v>
      </c>
    </row>
    <row r="2180">
      <c r="A2180">
        <f>Skills!A19</f>
        <v/>
      </c>
      <c r="B2180">
        <f>Skills!B19</f>
        <v/>
      </c>
      <c r="C2180">
        <f>Inputs!$B$3&gt;=50</f>
        <v/>
      </c>
      <c r="D2180">
        <f>IF(Skills!C19=1,60+Inputs!$B$25+Inputs!$B$29,IF(Skills!C19=2,90+Inputs!$B$26+Inputs!$B$29,IF(Skills!C19=3,120+Inputs!$B$27+Inputs!$B$29,MAX(0,(Inputs!$B$3-100)*3)+Inputs!$B$28+Inputs!$B$29)))</f>
        <v/>
      </c>
      <c r="E2180">
        <f>INDEX(FactorTable!$B$2:$Y$301, MATCH(ROUND(MIN(300,MAX(1,D2180)),0), FactorTable!$A$2:$A$301,0), Skills!L19+1)</f>
        <v/>
      </c>
      <c r="F2180">
        <f>IF(Skills!M19=TRUE,(Skills!K19/10)*(E2180/1000),Skills!K19/10)+Skills!N19</f>
        <v/>
      </c>
      <c r="G2180">
        <f>Calc!G19</f>
        <v/>
      </c>
      <c r="H2180">
        <f>Calc!H19</f>
        <v/>
      </c>
      <c r="I2180">
        <f>IF(Skills!T19&lt;&gt;"",1+(Skills!T19/10)*(Z2164/1000)/100,1)</f>
        <v/>
      </c>
      <c r="J2180" t="inlineStr"/>
      <c r="K2180" t="inlineStr"/>
      <c r="L2180" t="inlineStr"/>
      <c r="M2180" t="inlineStr"/>
      <c r="N2180" t="inlineStr"/>
      <c r="O2180">
        <f>(1-Summary!$B$11)*S2180+Summary!$B$11*U2180</f>
        <v/>
      </c>
      <c r="P2180">
        <f>IF(B2198=0,0,O2180/B2198)</f>
        <v/>
      </c>
      <c r="Q2180">
        <f>IFERROR(1/(IF(Inputs!$B$38="pvp",15,MAX(0.1,Skills!D19-IF(TRUE=TRUE,Inputs!$B$32,0)))*(1-IF(AND(ArtifactsInput!$M$27,Inputs!$B$4="Chapter Hunt"),CHOOSE(ArtifactsInput!$N$27+1,20,24,28,32,36,40),0)/100)),0)</f>
        <v/>
      </c>
      <c r="R2180" t="n">
        <v>0</v>
      </c>
      <c r="S2180" t="n">
        <v>0</v>
      </c>
      <c r="U2180" t="n">
        <v>0</v>
      </c>
    </row>
    <row r="2181">
      <c r="A2181">
        <f>Skills!A20</f>
        <v/>
      </c>
      <c r="B2181">
        <f>Skills!B20</f>
        <v/>
      </c>
      <c r="C2181">
        <f>Inputs!$B$3&gt;=74</f>
        <v/>
      </c>
      <c r="D2181">
        <f>IF(Skills!C20=1,60+Inputs!$B$25+Inputs!$B$29,IF(Skills!C20=2,90+Inputs!$B$26+Inputs!$B$29,IF(Skills!C20=3,120+Inputs!$B$27+Inputs!$B$29,MAX(0,(Inputs!$B$3-100)*3)+Inputs!$B$28+Inputs!$B$29)))</f>
        <v/>
      </c>
      <c r="E2181">
        <f>INDEX(FactorTable!$B$2:$Y$301, MATCH(ROUND(MIN(300,MAX(1,D2181)),0), FactorTable!$A$2:$A$301,0), Skills!L20+1)</f>
        <v/>
      </c>
      <c r="F2181">
        <f>IF(Skills!M20=TRUE,(Skills!K20/10)*(E2181/1000),Skills!K20/10)+Skills!N20</f>
        <v/>
      </c>
      <c r="G2181">
        <f>Calc!G20</f>
        <v/>
      </c>
      <c r="H2181">
        <f>Calc!H20</f>
        <v/>
      </c>
      <c r="I2181">
        <f>IF(Skills!T20&lt;&gt;"",1+(Skills!T20/10)*(Z2164/1000)/100,1)</f>
        <v/>
      </c>
      <c r="J2181" t="inlineStr"/>
      <c r="K2181" t="inlineStr"/>
      <c r="L2181" t="inlineStr"/>
      <c r="M2181" t="inlineStr"/>
      <c r="N2181" t="inlineStr"/>
      <c r="O2181">
        <f>(1-Summary!$B$11)*S2181+Summary!$B$11*U2181</f>
        <v/>
      </c>
      <c r="P2181">
        <f>IF(B2198=0,0,O2181/B2198)</f>
        <v/>
      </c>
      <c r="Q2181">
        <f>IFERROR(1/(IF(Inputs!$B$38="pvp",15,MAX(0.1,Skills!D20-IF(TRUE=TRUE,Inputs!$B$32,0)))*(1-IF(AND(ArtifactsInput!$M$27,Inputs!$B$4="Chapter Hunt"),CHOOSE(ArtifactsInput!$N$27+1,20,24,28,32,36,40),0)/100)),0)</f>
        <v/>
      </c>
      <c r="R2181" t="n">
        <v>0</v>
      </c>
      <c r="S2181" t="n">
        <v>0</v>
      </c>
      <c r="U2181" t="n">
        <v>0</v>
      </c>
    </row>
    <row r="2182">
      <c r="A2182">
        <f>Skills!A21</f>
        <v/>
      </c>
      <c r="B2182">
        <f>Skills!B21</f>
        <v/>
      </c>
      <c r="C2182">
        <f>Inputs!$B$3&gt;=74</f>
        <v/>
      </c>
      <c r="D2182">
        <f>IF(Skills!C21=1,60+Inputs!$B$25+Inputs!$B$29,IF(Skills!C21=2,90+Inputs!$B$26+Inputs!$B$29,IF(Skills!C21=3,120+Inputs!$B$27+Inputs!$B$29,MAX(0,(Inputs!$B$3-100)*3)+Inputs!$B$28+Inputs!$B$29)))</f>
        <v/>
      </c>
      <c r="E2182">
        <f>INDEX(FactorTable!$B$2:$Y$301, MATCH(ROUND(MIN(300,MAX(1,D2182)),0), FactorTable!$A$2:$A$301,0), Skills!L21+1)</f>
        <v/>
      </c>
      <c r="F2182">
        <f>IF(Skills!M21=TRUE,(Skills!K21/10)*(E2182/1000),Skills!K21/10)+Skills!N21</f>
        <v/>
      </c>
      <c r="G2182">
        <f>Calc!G21</f>
        <v/>
      </c>
      <c r="H2182">
        <f>Calc!H21</f>
        <v/>
      </c>
      <c r="I2182">
        <f>IF(Skills!T21&lt;&gt;"",1+(Skills!T21/10)*(Z2164/1000)/100,1)</f>
        <v/>
      </c>
      <c r="J2182" t="inlineStr"/>
      <c r="K2182" t="inlineStr"/>
      <c r="L2182" t="inlineStr"/>
      <c r="M2182" t="inlineStr"/>
      <c r="N2182" t="inlineStr"/>
      <c r="O2182">
        <f>(1-Summary!$B$11)*S2182+Summary!$B$11*U2182</f>
        <v/>
      </c>
      <c r="P2182">
        <f>IF(B2198=0,0,O2182/B2198)</f>
        <v/>
      </c>
      <c r="Q2182">
        <f>IFERROR(1/(IF(Inputs!$B$38="pvp",15,MAX(0.1,Skills!D21-IF(TRUE=TRUE,Inputs!$B$32,0)))*(1-IF(AND(ArtifactsInput!$M$27,Inputs!$B$4="Chapter Hunt"),CHOOSE(ArtifactsInput!$N$27+1,20,24,28,32,36,40),0)/100)),0)</f>
        <v/>
      </c>
      <c r="R2182" t="n">
        <v>0</v>
      </c>
      <c r="S2182" t="n">
        <v>0</v>
      </c>
      <c r="U2182" t="n">
        <v>0</v>
      </c>
    </row>
    <row r="2183">
      <c r="A2183">
        <f>Skills!A22</f>
        <v/>
      </c>
      <c r="B2183">
        <f>Skills!B22</f>
        <v/>
      </c>
      <c r="C2183">
        <f>Inputs!$B$3&gt;=117</f>
        <v/>
      </c>
      <c r="D2183">
        <f>IF(Skills!C22=1,60+Inputs!$B$25+Inputs!$B$29,IF(Skills!C22=2,90+Inputs!$B$26+Inputs!$B$29,IF(Skills!C22=3,120+Inputs!$B$27+Inputs!$B$29,MAX(0,(Inputs!$B$3-100)*3)+Inputs!$B$28+Inputs!$B$29)))</f>
        <v/>
      </c>
      <c r="E2183">
        <f>INDEX(FactorTable!$B$2:$Y$301, MATCH(ROUND(MIN(300,MAX(1,D2183)),0), FactorTable!$A$2:$A$301,0), Skills!L22+1)</f>
        <v/>
      </c>
      <c r="F2183">
        <f>IF(Skills!M22=TRUE,(Skills!K22/10)*(E2183/1000),Skills!K22/10)+Skills!N22</f>
        <v/>
      </c>
      <c r="G2183">
        <f>Calc!G22</f>
        <v/>
      </c>
      <c r="H2183">
        <f>Calc!H22</f>
        <v/>
      </c>
      <c r="I2183">
        <f>IF(Skills!T22&lt;&gt;"",1+(Skills!T22/10)*(Z2164/1000)/100,1)</f>
        <v/>
      </c>
      <c r="J2183" t="inlineStr"/>
      <c r="K2183" t="inlineStr"/>
      <c r="L2183" t="inlineStr"/>
      <c r="M2183" t="inlineStr"/>
      <c r="N2183" t="inlineStr"/>
      <c r="O2183">
        <f>(1-Summary!$B$11)*S2183+Summary!$B$11*U2183</f>
        <v/>
      </c>
      <c r="P2183">
        <f>IF(B2198=0,0,O2183/B2198)</f>
        <v/>
      </c>
      <c r="Q2183">
        <f>IFERROR(1/(IF(Inputs!$B$38="pvp",15,MAX(0.1,Skills!D22-IF(TRUE=TRUE,Inputs!$B$32,0)))*(1-IF(AND(ArtifactsInput!$M$27,Inputs!$B$4="Chapter Hunt"),CHOOSE(ArtifactsInput!$N$27+1,20,24,28,32,36,40),0)/100)),0)</f>
        <v/>
      </c>
      <c r="R2183" t="n">
        <v>0</v>
      </c>
      <c r="S2183" t="n">
        <v>0</v>
      </c>
      <c r="U2183" t="n">
        <v>0</v>
      </c>
    </row>
    <row r="2184">
      <c r="A2184">
        <f>Skills!A23</f>
        <v/>
      </c>
      <c r="B2184">
        <f>Skills!B23</f>
        <v/>
      </c>
      <c r="C2184">
        <f>Inputs!$B$3&gt;=120</f>
        <v/>
      </c>
      <c r="D2184">
        <f>IF(Skills!C23=1,60+Inputs!$B$25+Inputs!$B$29,IF(Skills!C23=2,90+Inputs!$B$26+Inputs!$B$29,IF(Skills!C23=3,120+Inputs!$B$27+Inputs!$B$29,MAX(0,(Inputs!$B$3-100)*3)+Inputs!$B$28+Inputs!$B$29)))</f>
        <v/>
      </c>
      <c r="E2184">
        <f>INDEX(FactorTable!$B$2:$Y$301, MATCH(ROUND(MIN(300,MAX(1,D2184)),0), FactorTable!$A$2:$A$301,0), Skills!L23+1)</f>
        <v/>
      </c>
      <c r="F2184">
        <f>IF(Skills!M23=TRUE,(Skills!K23/10)*(E2184/1000),Skills!K23/10)+Skills!N23</f>
        <v/>
      </c>
      <c r="G2184">
        <f>Calc!G23</f>
        <v/>
      </c>
      <c r="H2184">
        <f>Calc!H23</f>
        <v/>
      </c>
      <c r="I2184">
        <f>IF(Skills!T23&lt;&gt;"",1+(Skills!T23/10)*(Z2164/1000)/100,1)</f>
        <v/>
      </c>
      <c r="J2184" t="inlineStr"/>
      <c r="K2184" t="inlineStr"/>
      <c r="L2184" t="inlineStr"/>
      <c r="M2184" t="inlineStr"/>
      <c r="N2184" t="inlineStr"/>
      <c r="O2184">
        <f>(1-Summary!$B$11)*S2184+Summary!$B$11*U2184</f>
        <v/>
      </c>
      <c r="P2184">
        <f>IF(B2198=0,0,O2184/B2198)</f>
        <v/>
      </c>
      <c r="Q2184">
        <f>IFERROR(1/(IF(Inputs!$B$38="pvp",15,MAX(0.1,Skills!D23-IF(TRUE=TRUE,Inputs!$B$32,0)))*(1-IF(AND(ArtifactsInput!$M$27,Inputs!$B$4="Chapter Hunt"),CHOOSE(ArtifactsInput!$N$27+1,20,24,28,32,36,40),0)/100)),0)</f>
        <v/>
      </c>
      <c r="R2184" t="n">
        <v>0</v>
      </c>
      <c r="S2184" t="n">
        <v>0</v>
      </c>
      <c r="U2184" t="n">
        <v>0</v>
      </c>
    </row>
    <row r="2185">
      <c r="A2185">
        <f>Skills!A24</f>
        <v/>
      </c>
      <c r="B2185">
        <f>Skills!B24</f>
        <v/>
      </c>
      <c r="C2185">
        <f>TRUE</f>
        <v/>
      </c>
      <c r="D2185">
        <f>IF(Skills!C24=1,60+Inputs!$B$25+Inputs!$B$29,IF(Skills!C24=2,90+Inputs!$B$26+Inputs!$B$29,IF(Skills!C24=3,120+Inputs!$B$27+Inputs!$B$29,MAX(0,(Inputs!$B$3-100)*3)+Inputs!$B$28+Inputs!$B$29)))</f>
        <v/>
      </c>
      <c r="E2185">
        <f>INDEX(FactorTable!$B$2:$Y$301, MATCH(ROUND(MIN(300,MAX(1,D2185)),0), FactorTable!$A$2:$A$301,0), Skills!L24+1)</f>
        <v/>
      </c>
      <c r="F2185">
        <f>IF(Skills!M24=TRUE,(Skills!K24/10)*(E2185/1000),Skills!K24/10)+Skills!N24</f>
        <v/>
      </c>
      <c r="G2185">
        <f>Calc!G24</f>
        <v/>
      </c>
      <c r="H2185">
        <f>Calc!H24</f>
        <v/>
      </c>
      <c r="I2185">
        <f>IF(Skills!T24&lt;&gt;"",1+(Skills!T24/10)*(Z2164/1000)/100,1)</f>
        <v/>
      </c>
      <c r="J2185" t="inlineStr"/>
      <c r="K2185" t="inlineStr"/>
      <c r="L2185" t="inlineStr"/>
      <c r="M2185" t="inlineStr"/>
      <c r="N2185" t="inlineStr"/>
      <c r="O2185">
        <f>(1-Summary!$B$11)*S2185+Summary!$B$11*U2185</f>
        <v/>
      </c>
      <c r="P2185">
        <f>IF(B2198=0,0,O2185/B2198)</f>
        <v/>
      </c>
      <c r="Q2185">
        <f>IFERROR(1/(IF(Inputs!$B$38="pvp",15,MAX(0.1,Skills!D24-IF(TRUE=TRUE,Inputs!$B$32,0)))*(1-IF(AND(ArtifactsInput!$M$27,Inputs!$B$4="Chapter Hunt"),CHOOSE(ArtifactsInput!$N$27+1,20,24,28,32,36,40),0)/100)),0)</f>
        <v/>
      </c>
      <c r="R2185">
        <f>IF(AND(Inputs!$B$38&lt;&gt;"pvp",Inputs!$B$43&gt;0),IF(Inputs!$B$43&lt;=0,0,(INT(Inputs!$B$43/(IF(Inputs!$B$38="pvp",15,MAX(0.1,Skills!D24-IF(TRUE=TRUE,Inputs!$B$32,0)))*(1-IF(AND(ArtifactsInput!$M$27,Inputs!$B$4="Chapter Hunt"),CHOOSE(ArtifactsInput!$N$27+1,20,24,28,32,36,40),0)/100)))+1)),0)</f>
        <v/>
      </c>
      <c r="S2185" t="n">
        <v>0</v>
      </c>
      <c r="U2185" t="n">
        <v>0</v>
      </c>
    </row>
    <row r="2188">
      <c r="A2188" t="inlineStr">
        <is>
          <t>Average Buff Multiplier (Magic Guard + Meditation + Artifact Attack%, summed; then Infinity)</t>
        </is>
      </c>
      <c r="B2188">
        <f>(1+(IF(C2164=TRUE,F2164*IF(AND(Inputs!$B$38&lt;&gt;"pvp",Inputs!$B$43&gt;0),(((R2164-1)*MIN((Skills!S3*(1+(Inputs!$B$34)/100)),(1/Q2164))+MIN((Skills!S3*(1+(Inputs!$B$34)/100)),MAX(0,Inputs!$B$43-((R2164-1)*(1/Q2164)))))/Inputs!$B$43),IF(Inputs!$B$38="pvp",MIN((Skills!S3*(1+(Inputs!$B$34)/100)),15)/15,MIN(1,(Skills!S3*(1+(Inputs!$B$34)/100))/(1/Q2164)))),0)+IF(C2165=TRUE,F2165*IF(AND(Inputs!$B$38&lt;&gt;"pvp",Inputs!$B$43&gt;0),(((R2165-1)*MIN((Skills!S4*(1+(Inputs!$B$34)/100)),(1/Q2165))+MIN((Skills!S4*(1+(Inputs!$B$34)/100)),MAX(0,Inputs!$B$43-((R2165-1)*(1/Q2165)))))/Inputs!$B$43),IF(Inputs!$B$38="pvp",MIN((Skills!S4*(1+(Inputs!$B$34)/100)),15)/15,MIN(1,(Skills!S4*(1+(Inputs!$B$34)/100))/(1/Q2165)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2177=TRUE,(1+F2177*IF(AND(Inputs!$B$38&lt;&gt;"pvp",Inputs!$B$43&gt;0),(((R2177-1)*MIN((Skills!S16*(1+(Inputs!$B$34)/100)),(1/Q2177))+MIN((Skills!S16*(1+(Inputs!$B$34)/100)),MAX(0,Inputs!$B$43-((R2177-1)*(1/Q2177)))))/Inputs!$B$43),IF(Inputs!$B$38="pvp",MIN((Skills!S16*(1+(Inputs!$B$34)/100)),15)/15,MIN(1,(Skills!S16*(1+(Inputs!$B$34)/100))/(1/Q2177))))/100),1)</f>
        <v/>
      </c>
    </row>
    <row r="2189">
      <c r="A2189" t="inlineStr">
        <is>
          <t>Monster Damage Taken Bonus % (Freezing Breath - Weaken + Elemental Reset + Artifact Enemy Damage Taken, summed)</t>
        </is>
      </c>
      <c r="B2189">
        <f>IF(Inputs!$B$3&gt;=118,15*IF(Inputs!$B$38="pvp",MIN((30*(1+(Inputs!$B$34)/100)),15)/15,MIN(1,(30*(1+(Inputs!$B$34)/100))/(1/Q2169))),0)+IF(C2175=TRUE,F2175,0)+(IF(AND(ArtifactsInput!$M$35,Inputs!$B$4&lt;&gt;"Chapter Hunt"),CHOOSE(ArtifactsInput!$N$35+1,15,18,21,24,27,30)*(1-EXP(-(0.2*B2192)*5)),0)+IF(AND(ArtifactsInput!$M$22,Inputs!$B$4&lt;&gt;"Chapter Hunt"),CHOOSE(ArtifactsInput!$N$22+1,10,12,14,16,18,20)*((0*(((0.15*B2192*5))^0/1)+1*(((0.15*B2192*5))^1/1)+2*(((0.15*B2192*5))^2/2)+3*(((0.15*B2192*5))^3/6)+4*(((0.15*B2192*5))^4/24)+5*(((0.15*B2192*5))^5/120))/((((0.15*B2192*5))^0/1)+(((0.15*B2192*5))^1/1)+(((0.15*B2192*5))^2/2)+(((0.15*B2192*5))^3/6)+(((0.15*B2192*5))^4/24)+(((0.15*B2192*5))^5/120))),0))</f>
        <v/>
      </c>
    </row>
    <row r="2190">
      <c r="A2190" t="inlineStr">
        <is>
          <t>Damage % Bonus (Frozen Break + Frost Clutch, flat)</t>
        </is>
      </c>
      <c r="B2190">
        <f>IF(Inputs!$B$3&gt;=66,15,0)+IF(Inputs!$B$3&gt;=98,10,0)+IF(Inputs!$B$3&gt;=125,20,0)</f>
        <v/>
      </c>
    </row>
    <row r="2191">
      <c r="A2191" t="inlineStr">
        <is>
          <t>Attack Speed Bonus % (MP Eater - MP Boost, always-on + Nimble Feet, duty-cycle averaged)</t>
        </is>
      </c>
      <c r="B2191">
        <f>IF(C2174=TRUE,F2174+(F2178-Calc!F17),0)+((C2185=TRUE)*F2185*IF(AND(Inputs!$B$38&lt;&gt;"pvp",Inputs!$B$43&gt;0),(((R2185-1)*MIN((Skills!S24*(1+(Inputs!$B$34)/100)),(1/Q2185))+MIN((Skills!S24*(1+(Inputs!$B$34)/100)),MAX(0,Inputs!$B$43-((R2185-1)*(1/Q2185)))))/Inputs!$B$43),IF(Inputs!$B$38="pvp",MIN((Skills!S24*(1+(Inputs!$B$34)/100)),15)/15,MIN(1,(Skills!S24*(1+(Inputs!$B$34)/100))/(1/Q2185)))))</f>
        <v/>
      </c>
    </row>
    <row r="2192">
      <c r="A2192" t="inlineStr">
        <is>
          <t>Actions Per Second</t>
        </is>
      </c>
      <c r="B2192">
        <f>1+MIN(150,150*(1-(1-(Inputs!$B$11+(ArtifactsInput!$M$15-ArtifactsInput!$M$15)*CHOOSE(ArtifactsInput!$N$15+1,8,9.6,11.2,12.8,14.4,16))/150)*(1-B2191/150)))/100</f>
        <v/>
      </c>
    </row>
    <row r="2193">
      <c r="A2193" t="inlineStr">
        <is>
          <t>Skill + Buff Cast Rate</t>
        </is>
      </c>
      <c r="B2193">
        <f>IF(AND(Inputs!$B$38&lt;&gt;"pvp",Inputs!$B$43&gt;0),SUMPRODUCT((Skills!E2:E24=TRUE)*(C2163:C2185=TRUE)*R2163:R2185)/Inputs!$B$43,SUMPRODUCT((Skills!E2:E24=TRUE)*(C2163:C2185=TRUE)*Q2163:Q2185))</f>
        <v/>
      </c>
    </row>
    <row r="2194">
      <c r="A2194" t="inlineStr">
        <is>
          <t>Chain Lightning Casts Per Second</t>
        </is>
      </c>
      <c r="B2194">
        <f>MAX(0,B2192-B2193)</f>
        <v/>
      </c>
    </row>
    <row r="2195">
      <c r="A2195" t="inlineStr">
        <is>
          <t>Buff-Casting Startup Delay (s, fixed-duration only)</t>
        </is>
      </c>
      <c r="B2195">
        <f>IF(AND(Inputs!$B$38&lt;&gt;"pvp",Inputs!$B$43&gt;0),SUMPRODUCT((Skills!S2:S24&gt;0)*(Skills!E2:E24=TRUE)*(C2163:C2185=TRUE))/B2192,0)</f>
        <v/>
      </c>
    </row>
    <row r="2196">
      <c r="A2196" t="inlineStr">
        <is>
          <t>Boss-Only Total DPS (this block's swept value)</t>
        </is>
      </c>
      <c r="B2196">
        <f>SUM(S2163:S2185)</f>
        <v/>
      </c>
    </row>
    <row r="2197">
      <c r="A2197" t="inlineStr">
        <is>
          <t>Normal-Only Total DPS (this block's swept value)</t>
        </is>
      </c>
      <c r="B2197">
        <f>SUM(U2163:U2185)</f>
        <v/>
      </c>
    </row>
    <row r="2198">
      <c r="A2198" s="6" t="inlineStr">
        <is>
          <t>TOTAL DPS</t>
        </is>
      </c>
      <c r="B2198" s="6">
        <f>SUM(O2163:O2185)</f>
        <v/>
      </c>
    </row>
    <row r="2199">
      <c r="A2199" t="inlineStr">
        <is>
          <t>Blizzard Final Attack trigger rate (this block's own Q/R)</t>
        </is>
      </c>
      <c r="B2199">
        <f>IF(AND(Inputs!$B$38&lt;&gt;"pvp",Inputs!$B$43&gt;0),(((C2166=TRUE)*R2166*1)+((C2167=TRUE)*R2167*1)+((C2169=TRUE)*R2169*1)+((C2170=TRUE)*R2170*3)+((C2172=TRUE)*R2172*1))/Inputs!$B$43,((C2166=TRUE)*Q2166*1)+((C2167=TRUE)*Q2167*1)+((C2169=TRUE)*Q2169*1)+((C2170=TRUE)*Q2170*3)+((C2172=TRUE)*Q2172*1))+B2194</f>
        <v/>
      </c>
    </row>
    <row r="2202">
      <c r="A2202" s="6" t="inlineStr">
        <is>
          <t>Stat: Bottle of Emotion (Equip)</t>
        </is>
      </c>
    </row>
    <row r="2203">
      <c r="A2203" s="5" t="inlineStr">
        <is>
          <t>Key</t>
        </is>
      </c>
      <c r="B2203" s="5" t="inlineStr">
        <is>
          <t>Name</t>
        </is>
      </c>
      <c r="C2203" s="5" t="inlineStr">
        <is>
          <t>Unlocked</t>
        </is>
      </c>
      <c r="D2203" s="5" t="inlineStr">
        <is>
          <t>InputLevel</t>
        </is>
      </c>
      <c r="E2203" s="5" t="inlineStr">
        <is>
          <t>Factor</t>
        </is>
      </c>
      <c r="F2203" s="5" t="inlineStr">
        <is>
          <t>CoefficientPercent</t>
        </is>
      </c>
      <c r="G2203" s="5" t="inlineStr">
        <is>
          <t>EffectiveHits</t>
        </is>
      </c>
      <c r="H2203" s="5" t="inlineStr">
        <is>
          <t>ProcProbability</t>
        </is>
      </c>
      <c r="I2203" s="5" t="inlineStr">
        <is>
          <t>MapleHeroMultiplier</t>
        </is>
      </c>
      <c r="J2203" s="5" t="inlineStr">
        <is>
          <t>BaseDamage</t>
        </is>
      </c>
      <c r="K2203" s="5" t="inlineStr">
        <is>
          <t>BaseHitDamage</t>
        </is>
      </c>
      <c r="L2203" s="5" t="inlineStr">
        <is>
          <t>NonCritAvg</t>
        </is>
      </c>
      <c r="M2203" s="5" t="inlineStr">
        <is>
          <t>CritAvg</t>
        </is>
      </c>
      <c r="N2203" s="5" t="inlineStr">
        <is>
          <t>ExpectedDamage(perHit)</t>
        </is>
      </c>
      <c r="O2203" s="5" t="inlineStr">
        <is>
          <t>DPS</t>
        </is>
      </c>
      <c r="P2203" s="5" t="inlineStr">
        <is>
          <t>% of Total</t>
        </is>
      </c>
      <c r="R2203" t="inlineStr">
        <is>
          <t>helpers</t>
        </is>
      </c>
    </row>
    <row r="2204">
      <c r="A2204">
        <f>Skills!A2</f>
        <v/>
      </c>
      <c r="B2204">
        <f>Skills!B2</f>
        <v/>
      </c>
      <c r="C2204">
        <f>Inputs!$B$3&gt;=100</f>
        <v/>
      </c>
      <c r="D2204" t="inlineStr"/>
      <c r="E2204" t="inlineStr"/>
      <c r="F2204">
        <f>T2206+Skills!N2</f>
        <v/>
      </c>
      <c r="G2204">
        <f>Calc!G2</f>
        <v/>
      </c>
      <c r="H2204">
        <f>Calc!H2</f>
        <v/>
      </c>
      <c r="I2204">
        <f>IF(Skills!T2&lt;&gt;"",1+(Skills!T2/10)*(Z2205/1000)/100,1)</f>
        <v/>
      </c>
      <c r="J2204">
        <f>((Inputs!$B$6*(1+Inputs!$B$7/100))+(((Inputs!$B$12*(1+Inputs!$B$13/100))-(Inputs!$B$12*(1+Inputs!$B$13/100)))+0.25*(Inputs!$B$14-Inputs!$B$14))*(1+Inputs!$B$7/100))*(F2204/100)</f>
        <v/>
      </c>
      <c r="K2204">
        <f>J2204*(1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2="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2204)</f>
        <v/>
      </c>
      <c r="L2204">
        <f>K2204*(MIN(Inputs!$B$22+(F2220-Calc!F18),(Inputs!$B$23+(IF(ArtifactsInput!$M$15,CHOOSE(ArtifactsInput!$N$15+1,25,30,35,40,45,50)/100*(Inputs!$B$11-Inputs!$B$11),0))))/100+(Inputs!$B$23+(IF(ArtifactsInput!$M$15,CHOOSE(ArtifactsInput!$N$15+1,25,30,35,40,45,50)/100*(Inputs!$B$11-Inputs!$B$11),0)))/100)/2</f>
        <v/>
      </c>
      <c r="M2204">
        <f>L2204*(1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4">
        <f>L2204*(1-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2204*(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4">
        <f>(1-Summary!$B$11)*S2204+Summary!$B$11*U2204</f>
        <v/>
      </c>
      <c r="P2204">
        <f>IF(B2239=0,0,O2204/B2239)</f>
        <v/>
      </c>
      <c r="Q2204">
        <f>IFERROR(1/(IF(Inputs!$B$38="pvp",15,MAX(0.1,Skills!D2-IF(TRUE=TRUE,Inputs!$B$32,0)))*(1-IF(AND(ArtifactsInput!$M$27,Inputs!$B$4="Chapter Hunt"),CHOOSE(ArtifactsInput!$N$27+1,20,24,28,32,36,40),0)/100)),0)</f>
        <v/>
      </c>
      <c r="R2204" t="n">
        <v>0</v>
      </c>
      <c r="S2204">
        <f>IF(C2204,(Skills!F2*N2204*B2235)*IF(Inputs!$B$38="pvp",1,1+(Inputs!$B$20+Skills!O2+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2204*(1-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2204*(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2204*(1-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2204*(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04">
        <f>MAX(0,(Inputs!$B$3-100)*3)+Inputs!$B$28+Inputs!$B$29</f>
        <v/>
      </c>
      <c r="U2204">
        <f>IF(C2204,(Skills!F2*N2204*B2235)*IF(Inputs!$B$38="pvp",1,(1+(Inputs!$B$21+Skills!P2+B2230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204">
        <f>MAX(0,(Inputs!$B$3-100)*3)+Inputs!$B$28+Inputs!$B$29</f>
        <v/>
      </c>
    </row>
    <row r="2205">
      <c r="A2205">
        <f>Skills!A3</f>
        <v/>
      </c>
      <c r="B2205">
        <f>Skills!B3</f>
        <v/>
      </c>
      <c r="C2205">
        <f>Inputs!$B$3&gt;=15</f>
        <v/>
      </c>
      <c r="D2205">
        <f>IF(Skills!C3=1,60+Inputs!$B$25+Inputs!$B$29,IF(Skills!C3=2,90+Inputs!$B$26+Inputs!$B$29,IF(Skills!C3=3,120+Inputs!$B$27+Inputs!$B$29,MAX(0,(Inputs!$B$3-100)*3)+Inputs!$B$28+Inputs!$B$29)))</f>
        <v/>
      </c>
      <c r="E2205">
        <f>INDEX(FactorTable!$B$2:$Y$301, MATCH(ROUND(MIN(300,MAX(1,D2205)),0), FactorTable!$A$2:$A$301,0), Skills!L3+1)</f>
        <v/>
      </c>
      <c r="F2205">
        <f>IF(Skills!M3=TRUE,(Skills!K3/10)*(E2205/1000),Skills!K3/10)+Skills!N3</f>
        <v/>
      </c>
      <c r="G2205">
        <f>Calc!G3</f>
        <v/>
      </c>
      <c r="H2205">
        <f>Calc!H3</f>
        <v/>
      </c>
      <c r="I2205">
        <f>IF(Skills!T3&lt;&gt;"",1+(Skills!T3/10)*(Z2205/1000)/100,1)</f>
        <v/>
      </c>
      <c r="J2205" t="inlineStr"/>
      <c r="K2205" t="inlineStr"/>
      <c r="L2205" t="inlineStr"/>
      <c r="M2205" t="inlineStr"/>
      <c r="N2205" t="inlineStr"/>
      <c r="O2205">
        <f>(1-Summary!$B$11)*S2205+Summary!$B$11*U2205</f>
        <v/>
      </c>
      <c r="P2205">
        <f>IF(B2239=0,0,O2205/B2239)</f>
        <v/>
      </c>
      <c r="Q2205">
        <f>IFERROR(1/(IF(Inputs!$B$38="pvp",15,MAX(0.1,Skills!D3-IF(TRUE=TRUE,Inputs!$B$32,0)))*(1-IF(AND(ArtifactsInput!$M$27,Inputs!$B$4="Chapter Hunt"),CHOOSE(ArtifactsInput!$N$27+1,20,24,28,32,36,40),0)/100)),0)</f>
        <v/>
      </c>
      <c r="R2205">
        <f>IF(AND(Inputs!$B$38&lt;&gt;"pvp",Inputs!$B$43&gt;0),IF(Inputs!$B$43&lt;=0,0,(INT(Inputs!$B$43/(IF(Inputs!$B$38="pvp",15,MAX(0.1,Skills!D3-IF(TRUE=TRUE,Inputs!$B$32,0)))*(1-IF(AND(ArtifactsInput!$M$27,Inputs!$B$4="Chapter Hunt"),CHOOSE(ArtifactsInput!$N$27+1,20,24,28,32,36,40),0)/100)))+1)),0)</f>
        <v/>
      </c>
      <c r="S2205" t="n">
        <v>0</v>
      </c>
      <c r="T2205">
        <f>INDEX(FactorTable!$B$2:$Y$301, MATCH(ROUND(MIN(300,MAX(1,T2204)),0), FactorTable!$A$2:$A$301,0), 22)</f>
        <v/>
      </c>
      <c r="U2205" t="n">
        <v>0</v>
      </c>
      <c r="Z2205">
        <f>INDEX(FactorTable!$B$2:$Y$301, MATCH(ROUND(MIN(300,MAX(1,Z2204)),0), FactorTable!$A$2:$A$301,0), 24)</f>
        <v/>
      </c>
    </row>
    <row r="2206">
      <c r="A2206">
        <f>Skills!A4</f>
        <v/>
      </c>
      <c r="B2206">
        <f>Skills!B4</f>
        <v/>
      </c>
      <c r="C2206">
        <f>Inputs!$B$3&gt;=40</f>
        <v/>
      </c>
      <c r="D2206">
        <f>IF(Skills!C4=1,60+Inputs!$B$25+Inputs!$B$29,IF(Skills!C4=2,90+Inputs!$B$26+Inputs!$B$29,IF(Skills!C4=3,120+Inputs!$B$27+Inputs!$B$29,MAX(0,(Inputs!$B$3-100)*3)+Inputs!$B$28+Inputs!$B$29)))</f>
        <v/>
      </c>
      <c r="E2206">
        <f>INDEX(FactorTable!$B$2:$Y$301, MATCH(ROUND(MIN(300,MAX(1,D2206)),0), FactorTable!$A$2:$A$301,0), Skills!L4+1)</f>
        <v/>
      </c>
      <c r="F2206">
        <f>IF(Skills!M4=TRUE,(Skills!K4/10)*(E2206/1000),Skills!K4/10)+Skills!N4</f>
        <v/>
      </c>
      <c r="G2206">
        <f>Calc!G4</f>
        <v/>
      </c>
      <c r="H2206">
        <f>Calc!H4</f>
        <v/>
      </c>
      <c r="I2206">
        <f>IF(Skills!T4&lt;&gt;"",1+(Skills!T4/10)*(Z2205/1000)/100,1)</f>
        <v/>
      </c>
      <c r="J2206" t="inlineStr"/>
      <c r="K2206" t="inlineStr"/>
      <c r="L2206" t="inlineStr"/>
      <c r="M2206" t="inlineStr"/>
      <c r="N2206" t="inlineStr"/>
      <c r="O2206">
        <f>(1-Summary!$B$11)*S2206+Summary!$B$11*U2206</f>
        <v/>
      </c>
      <c r="P2206">
        <f>IF(B2239=0,0,O2206/B2239)</f>
        <v/>
      </c>
      <c r="Q2206">
        <f>IFERROR(1/(IF(Inputs!$B$38="pvp",15,MAX(0.1,Skills!D4-IF(TRUE=TRUE,Inputs!$B$32,0)))*(1-IF(AND(ArtifactsInput!$M$27,Inputs!$B$4="Chapter Hunt"),CHOOSE(ArtifactsInput!$N$27+1,20,24,28,32,36,40),0)/100)),0)</f>
        <v/>
      </c>
      <c r="R2206">
        <f>IF(AND(Inputs!$B$38&lt;&gt;"pvp",Inputs!$B$43&gt;0),IF(Inputs!$B$43&lt;=0,0,(INT(Inputs!$B$43/(IF(Inputs!$B$38="pvp",15,MAX(0.1,Skills!D4-IF(TRUE=TRUE,Inputs!$B$32,0)))*(1-IF(AND(ArtifactsInput!$M$27,Inputs!$B$4="Chapter Hunt"),CHOOSE(ArtifactsInput!$N$27+1,20,24,28,32,36,40),0)/100)))+1)),0)</f>
        <v/>
      </c>
      <c r="S2206" t="n">
        <v>0</v>
      </c>
      <c r="T2206">
        <f>290*T2205/1000</f>
        <v/>
      </c>
      <c r="U2206" t="n">
        <v>0</v>
      </c>
    </row>
    <row r="2207">
      <c r="A2207">
        <f>Skills!A5</f>
        <v/>
      </c>
      <c r="B2207">
        <f>Skills!B5</f>
        <v/>
      </c>
      <c r="C2207">
        <f>Inputs!$B$3&gt;=38</f>
        <v/>
      </c>
      <c r="D2207">
        <f>IF(Skills!C5=1,60+Inputs!$B$25+Inputs!$B$29,IF(Skills!C5=2,90+Inputs!$B$26+Inputs!$B$29,IF(Skills!C5=3,120+Inputs!$B$27+Inputs!$B$29,MAX(0,(Inputs!$B$3-100)*3)+Inputs!$B$28+Inputs!$B$29)))</f>
        <v/>
      </c>
      <c r="E2207">
        <f>INDEX(FactorTable!$B$2:$Y$301, MATCH(ROUND(MIN(300,MAX(1,D2207)),0), FactorTable!$A$2:$A$301,0), Skills!L5+1)</f>
        <v/>
      </c>
      <c r="F2207">
        <f>IF(Skills!M5=TRUE,(Skills!K5/10)*(E2207/1000),Skills!K5/10)+Skills!N5</f>
        <v/>
      </c>
      <c r="G2207">
        <f>Calc!G5</f>
        <v/>
      </c>
      <c r="H2207">
        <f>Calc!H5</f>
        <v/>
      </c>
      <c r="I2207">
        <f>IF(Skills!T5&lt;&gt;"",1+(Skills!T5/10)*(Z2205/1000)/100,1)</f>
        <v/>
      </c>
      <c r="J2207">
        <f>((Inputs!$B$6*(1+Inputs!$B$7/100))+(((Inputs!$B$12*(1+Inputs!$B$13/100))-(Inputs!$B$12*(1+Inputs!$B$13/100)))+0.25*(Inputs!$B$14-Inputs!$B$14))*(1+Inputs!$B$7/100))*(F2207/100)</f>
        <v/>
      </c>
      <c r="K2207">
        <f>J2207*(1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5="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2207)</f>
        <v/>
      </c>
      <c r="L2207">
        <f>K2207*(MIN(Inputs!$B$22+(F2220-Calc!F18),(Inputs!$B$23+(IF(ArtifactsInput!$M$15,CHOOSE(ArtifactsInput!$N$15+1,25,30,35,40,45,50)/100*(Inputs!$B$11-Inputs!$B$11),0))))/100+(Inputs!$B$23+(IF(ArtifactsInput!$M$15,CHOOSE(ArtifactsInput!$N$15+1,25,30,35,40,45,50)/100*(Inputs!$B$11-Inputs!$B$11),0)))/100)/2</f>
        <v/>
      </c>
      <c r="M2207">
        <f>L2207*(1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7">
        <f>L2207*(1-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2207*(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7">
        <f>(1-Summary!$B$11)*S2207+Summary!$B$11*U2207</f>
        <v/>
      </c>
      <c r="P2207">
        <f>IF(B2239=0,0,O2207/B2239)</f>
        <v/>
      </c>
      <c r="Q2207">
        <f>IFERROR(1/(IF(Inputs!$B$38="pvp",15,MAX(0.1,Skills!D5-IF(TRUE=TRUE,Inputs!$B$32,0)))*(1-IF(AND(ArtifactsInput!$M$27,Inputs!$B$4="Chapter Hunt"),CHOOSE(ArtifactsInput!$N$27+1,20,24,28,32,36,40),0)/100)),0)</f>
        <v/>
      </c>
      <c r="R2207">
        <f>IF(AND(Inputs!$B$38&lt;&gt;"pvp",Inputs!$B$43&gt;0),IF(MAX(0,Inputs!$B$43-B2236)&lt;=0,0,(INT(MAX(0,Inputs!$B$43-B2236)/(IF(Inputs!$B$38="pvp",15,MAX(0.1,Skills!D5-IF(TRUE=TRUE,Inputs!$B$32,0)))*(1-IF(AND(ArtifactsInput!$M$27,Inputs!$B$4="Chapter Hunt"),CHOOSE(ArtifactsInput!$N$27+1,20,24,28,32,36,40),0)/100)))+1)),0)</f>
        <v/>
      </c>
      <c r="S2207">
        <f>IF(C2207,(H2207*N2207*IF(AND(Inputs!$B$38&lt;&gt;"pvp",Inputs!$B$43&gt;0),((Skills!F5*((R2207-1)*IF(Skills!G5&gt;0,Skills!H5/Skills!G5,1)+IF(Skills!G5&gt;0,MIN(Skills!H5,MAX(0,MAX(0,Inputs!$B$43-B2236)-((R2207-1)*(IF(Inputs!$B$38="pvp",15,MAX(0.1,Skills!D5-IF(TRUE=TRUE,Inputs!$B$32,0)))*(1-IF(AND(ArtifactsInput!$M$27,Inputs!$B$4="Chapter Hunt"),CHOOSE(ArtifactsInput!$N$27+1,20,24,28,32,36,40),0)/100)))))/Skills!G5,1)))/Inputs!$B$43),G2207*Q2207))*IF(Inputs!$B$38="pvp",1,1+(Inputs!$B$20+Skills!O5+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2207*(1-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2207*(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2207*(1-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2207*(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07">
        <f>IF(C2207,(H2207*N2207*IF(AND(Inputs!$B$38&lt;&gt;"pvp",Inputs!$B$43&gt;0),((Skills!F5*((R2207-1)*IF(Skills!G5&gt;0,Skills!H5/Skills!G5,1)+IF(Skills!G5&gt;0,MIN(Skills!H5,MAX(0,MAX(0,Inputs!$B$43-B2236)-((R2207-1)*(IF(Inputs!$B$38="pvp",15,MAX(0.1,Skills!D5-IF(TRUE=TRUE,Inputs!$B$32,0)))*(1-IF(AND(ArtifactsInput!$M$27,Inputs!$B$4="Chapter Hunt"),CHOOSE(ArtifactsInput!$N$27+1,20,24,28,32,36,40),0)/100)))))/Skills!G5,1)))/Inputs!$B$43),G2207*Q2207))*IF(Inputs!$B$38="pvp",1,(1+(Inputs!$B$21+Skills!P5+B2230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8">
      <c r="A2208">
        <f>Skills!A6</f>
        <v/>
      </c>
      <c r="B2208">
        <f>Skills!B6</f>
        <v/>
      </c>
      <c r="C2208">
        <f>Inputs!$B$3&gt;=63</f>
        <v/>
      </c>
      <c r="D2208">
        <f>IF(Skills!C6=1,60+Inputs!$B$25+Inputs!$B$29,IF(Skills!C6=2,90+Inputs!$B$26+Inputs!$B$29,IF(Skills!C6=3,120+Inputs!$B$27+Inputs!$B$29,MAX(0,(Inputs!$B$3-100)*3)+Inputs!$B$28+Inputs!$B$29)))</f>
        <v/>
      </c>
      <c r="E2208">
        <f>INDEX(FactorTable!$B$2:$Y$301, MATCH(ROUND(MIN(300,MAX(1,D2208)),0), FactorTable!$A$2:$A$301,0), Skills!L6+1)</f>
        <v/>
      </c>
      <c r="F2208">
        <f>IF(Skills!M6=TRUE,(Skills!K6/10)*(E2208/1000),Skills!K6/10)+Skills!N6</f>
        <v/>
      </c>
      <c r="G2208">
        <f>Calc!G6</f>
        <v/>
      </c>
      <c r="H2208">
        <f>Calc!H6</f>
        <v/>
      </c>
      <c r="I2208">
        <f>IF(Skills!T6&lt;&gt;"",1+(Skills!T6/10)*(Z2205/1000)/100,1)</f>
        <v/>
      </c>
      <c r="J2208">
        <f>((Inputs!$B$6*(1+Inputs!$B$7/100))+(((Inputs!$B$12*(1+Inputs!$B$13/100))-(Inputs!$B$12*(1+Inputs!$B$13/100)))+0.25*(Inputs!$B$14-Inputs!$B$14))*(1+Inputs!$B$7/100))*(F2208/100)</f>
        <v/>
      </c>
      <c r="K2208">
        <f>J2208*(1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6="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2208)</f>
        <v/>
      </c>
      <c r="L2208">
        <f>K2208*(MIN(Inputs!$B$22+(F2220-Calc!F18),(Inputs!$B$23+(IF(ArtifactsInput!$M$15,CHOOSE(ArtifactsInput!$N$15+1,25,30,35,40,45,50)/100*(Inputs!$B$11-Inputs!$B$11),0))))/100+(Inputs!$B$23+(IF(ArtifactsInput!$M$15,CHOOSE(ArtifactsInput!$N$15+1,25,30,35,40,45,50)/100*(Inputs!$B$11-Inputs!$B$11),0)))/100)/2</f>
        <v/>
      </c>
      <c r="M2208">
        <f>L2208*(1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8">
        <f>L2208*(1-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2208*(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8">
        <f>(1-Summary!$B$11)*S2208+Summary!$B$11*U2208</f>
        <v/>
      </c>
      <c r="P2208">
        <f>IF(B2239=0,0,O2208/B2239)</f>
        <v/>
      </c>
      <c r="Q2208">
        <f>IFERROR(1/(IF(Inputs!$B$38="pvp",15,MAX(0.1,Skills!D6-IF(TRUE=TRUE,Inputs!$B$32,0)))*(1-IF(AND(ArtifactsInput!$M$27,Inputs!$B$4="Chapter Hunt"),CHOOSE(ArtifactsInput!$N$27+1,20,24,28,32,36,40),0)/100)),0)</f>
        <v/>
      </c>
      <c r="R2208">
        <f>IF(AND(Inputs!$B$38&lt;&gt;"pvp",Inputs!$B$43&gt;0),IF(MAX(0,Inputs!$B$43-B2236)&lt;=0,0,(INT(MAX(0,Inputs!$B$43-B2236)/(IF(Inputs!$B$38="pvp",15,MAX(0.1,Skills!D6-IF(TRUE=TRUE,Inputs!$B$32,0)))*(1-IF(AND(ArtifactsInput!$M$27,Inputs!$B$4="Chapter Hunt"),CHOOSE(ArtifactsInput!$N$27+1,20,24,28,32,36,40),0)/100)))+1)),0)</f>
        <v/>
      </c>
      <c r="S2208">
        <f>IF(C2208,(H2208*N2208*IF(AND(Inputs!$B$38&lt;&gt;"pvp",Inputs!$B$43&gt;0),((Skills!F6*((R2208-1)*IF(Skills!G6&gt;0,Skills!H6/Skills!G6,1)+IF(Skills!G6&gt;0,MIN(Skills!H6,MAX(0,MAX(0,Inputs!$B$43-B2236)-((R2208-1)*(IF(Inputs!$B$38="pvp",15,MAX(0.1,Skills!D6-IF(TRUE=TRUE,Inputs!$B$32,0)))*(1-IF(AND(ArtifactsInput!$M$27,Inputs!$B$4="Chapter Hunt"),CHOOSE(ArtifactsInput!$N$27+1,20,24,28,32,36,40),0)/100)))))/Skills!G6,1)))/Inputs!$B$43),G2208*Q2208))*IF(Inputs!$B$38="pvp",1,1+(Inputs!$B$20+Skills!O6+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2208*(1-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2208*(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2208*(1-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2208*(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08">
        <f>IF(C2208,(H2208*N2208*IF(AND(Inputs!$B$38&lt;&gt;"pvp",Inputs!$B$43&gt;0),((Skills!F6*((R2208-1)*IF(Skills!G6&gt;0,Skills!H6/Skills!G6,1)+IF(Skills!G6&gt;0,MIN(Skills!H6,MAX(0,MAX(0,Inputs!$B$43-B2236)-((R2208-1)*(IF(Inputs!$B$38="pvp",15,MAX(0.1,Skills!D6-IF(TRUE=TRUE,Inputs!$B$32,0)))*(1-IF(AND(ArtifactsInput!$M$27,Inputs!$B$4="Chapter Hunt"),CHOOSE(ArtifactsInput!$N$27+1,20,24,28,32,36,40),0)/100)))))/Skills!G6,1)))/Inputs!$B$43),G2208*Q2208))*IF(Inputs!$B$38="pvp",1,(1+(Inputs!$B$21+Skills!P6+B2230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09">
      <c r="A2209">
        <f>Skills!A7</f>
        <v/>
      </c>
      <c r="B2209">
        <f>Skills!B7</f>
        <v/>
      </c>
      <c r="C2209">
        <f>Inputs!$B$3&gt;=69</f>
        <v/>
      </c>
      <c r="D2209">
        <f>IF(Skills!C7=1,60+Inputs!$B$25+Inputs!$B$29,IF(Skills!C7=2,90+Inputs!$B$26+Inputs!$B$29,IF(Skills!C7=3,120+Inputs!$B$27+Inputs!$B$29,MAX(0,(Inputs!$B$3-100)*3)+Inputs!$B$28+Inputs!$B$29)))</f>
        <v/>
      </c>
      <c r="E2209">
        <f>INDEX(FactorTable!$B$2:$Y$301, MATCH(ROUND(MIN(300,MAX(1,D2209)),0), FactorTable!$A$2:$A$301,0), Skills!L7+1)</f>
        <v/>
      </c>
      <c r="F2209">
        <f>IF(Skills!M7=TRUE,(Skills!K7/10)*(E2209/1000),Skills!K7/10)+Skills!N7</f>
        <v/>
      </c>
      <c r="G2209">
        <f>Calc!G7</f>
        <v/>
      </c>
      <c r="H2209">
        <f>Calc!H7</f>
        <v/>
      </c>
      <c r="I2209">
        <f>IF(Skills!T7&lt;&gt;"",1+(Skills!T7/10)*(Z2205/1000)/100,1)</f>
        <v/>
      </c>
      <c r="J2209">
        <f>((Inputs!$B$6*(1+Inputs!$B$7/100))+(((Inputs!$B$12*(1+Inputs!$B$13/100))-(Inputs!$B$12*(1+Inputs!$B$13/100)))+0.25*(Inputs!$B$14-Inputs!$B$14))*(1+Inputs!$B$7/100))*(F2209/100)</f>
        <v/>
      </c>
      <c r="K2209">
        <f>J2209*(1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7="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2209)</f>
        <v/>
      </c>
      <c r="L2209">
        <f>K2209*(MIN(Inputs!$B$22+(F2220-Calc!F18),(Inputs!$B$23+(IF(ArtifactsInput!$M$15,CHOOSE(ArtifactsInput!$N$15+1,25,30,35,40,45,50)/100*(Inputs!$B$11-Inputs!$B$11),0))))/100+(Inputs!$B$23+(IF(ArtifactsInput!$M$15,CHOOSE(ArtifactsInput!$N$15+1,25,30,35,40,45,50)/100*(Inputs!$B$11-Inputs!$B$11),0)))/100)/2</f>
        <v/>
      </c>
      <c r="M2209">
        <f>L2209*(1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09">
        <f>L2209*(1-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2209*(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09">
        <f>(1-Summary!$B$11)*S2209+Summary!$B$11*U2209</f>
        <v/>
      </c>
      <c r="P2209">
        <f>IF(B2239=0,0,O2209/B2239)</f>
        <v/>
      </c>
      <c r="Q2209">
        <f>IFERROR(1/(IF(Inputs!$B$38="pvp",15,MAX(0.1,Skills!D7-IF(TRUE=TRUE,Inputs!$B$32,0)))*(1-IF(AND(ArtifactsInput!$M$27,Inputs!$B$4="Chapter Hunt"),CHOOSE(ArtifactsInput!$N$27+1,20,24,28,32,36,40),0)/100)),0)</f>
        <v/>
      </c>
      <c r="R2209">
        <f>IF(AND(Inputs!$B$38&lt;&gt;"pvp",Inputs!$B$43&gt;0),IF(MAX(0,Inputs!$B$43-B2236)&lt;=0,0,(INT(MAX(0,Inputs!$B$43-B2236)/(IF(Inputs!$B$38="pvp",15,MAX(0.1,Skills!D7-IF(TRUE=TRUE,Inputs!$B$32,0)))*(1-IF(AND(ArtifactsInput!$M$27,Inputs!$B$4="Chapter Hunt"),CHOOSE(ArtifactsInput!$N$27+1,20,24,28,32,36,40),0)/100)))+1)),0)</f>
        <v/>
      </c>
      <c r="S2209">
        <f>IF(C2209,(H2209*N2209*IF(AND(Inputs!$B$38&lt;&gt;"pvp",Inputs!$B$43&gt;0),((Skills!F7*((R2209-1)*IF(Skills!G7&gt;0,Skills!H7/Skills!G7,1)+IF(Skills!G7&gt;0,MIN(Skills!H7,MAX(0,MAX(0,Inputs!$B$43-B2236)-((R2209-1)*(IF(Inputs!$B$38="pvp",15,MAX(0.1,Skills!D7-IF(TRUE=TRUE,Inputs!$B$32,0)))*(1-IF(AND(ArtifactsInput!$M$27,Inputs!$B$4="Chapter Hunt"),CHOOSE(ArtifactsInput!$N$27+1,20,24,28,32,36,40),0)/100)))))/Skills!G7,1)))/Inputs!$B$43),G2209*Q2209))*IF(Inputs!$B$38="pvp",1,1+(Inputs!$B$20+Skills!O7+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2209*(1-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2209*(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2209*(1-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2209*(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09">
        <f>IF(C2209,(H2209*N2209*IF(AND(Inputs!$B$38&lt;&gt;"pvp",Inputs!$B$43&gt;0),((Skills!F7*((R2209-1)*IF(Skills!G7&gt;0,Skills!H7/Skills!G7,1)+IF(Skills!G7&gt;0,MIN(Skills!H7,MAX(0,MAX(0,Inputs!$B$43-B2236)-((R2209-1)*(IF(Inputs!$B$38="pvp",15,MAX(0.1,Skills!D7-IF(TRUE=TRUE,Inputs!$B$32,0)))*(1-IF(AND(ArtifactsInput!$M$27,Inputs!$B$4="Chapter Hunt"),CHOOSE(ArtifactsInput!$N$27+1,20,24,28,32,36,40),0)/100)))))/Skills!G7,1)))/Inputs!$B$43),G2209*Q2209))*IF(Inputs!$B$38="pvp",1,(1+(Inputs!$B$21+Skills!P7+B2230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0">
      <c r="A2210">
        <f>Skills!A8</f>
        <v/>
      </c>
      <c r="B2210">
        <f>Skills!B8</f>
        <v/>
      </c>
      <c r="C2210">
        <f>Inputs!$B$3&gt;=103</f>
        <v/>
      </c>
      <c r="D2210">
        <f>IF(Skills!C8=1,60+Inputs!$B$25+Inputs!$B$29,IF(Skills!C8=2,90+Inputs!$B$26+Inputs!$B$29,IF(Skills!C8=3,120+Inputs!$B$27+Inputs!$B$29,MAX(0,(Inputs!$B$3-100)*3)+Inputs!$B$28+Inputs!$B$29)))</f>
        <v/>
      </c>
      <c r="E2210">
        <f>INDEX(FactorTable!$B$2:$Y$301, MATCH(ROUND(MIN(300,MAX(1,D2210)),0), FactorTable!$A$2:$A$301,0), Skills!L8+1)</f>
        <v/>
      </c>
      <c r="F2210">
        <f>IF(Skills!M8=TRUE,(Skills!K8/10)*(E2210/1000),Skills!K8/10)+Skills!N8</f>
        <v/>
      </c>
      <c r="G2210">
        <f>Calc!G8</f>
        <v/>
      </c>
      <c r="H2210">
        <f>Calc!H8</f>
        <v/>
      </c>
      <c r="I2210">
        <f>IF(Skills!T8&lt;&gt;"",1+(Skills!T8/10)*(Z2205/1000)/100,1)</f>
        <v/>
      </c>
      <c r="J2210">
        <f>((Inputs!$B$6*(1+Inputs!$B$7/100))+(((Inputs!$B$12*(1+Inputs!$B$13/100))-(Inputs!$B$12*(1+Inputs!$B$13/100)))+0.25*(Inputs!$B$14-Inputs!$B$14))*(1+Inputs!$B$7/100))*(F2210/100)</f>
        <v/>
      </c>
      <c r="K2210">
        <f>J2210*(1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8="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2210)</f>
        <v/>
      </c>
      <c r="L2210">
        <f>K2210*(MIN(Inputs!$B$22+(F2220-Calc!F18),(Inputs!$B$23+(IF(ArtifactsInput!$M$15,CHOOSE(ArtifactsInput!$N$15+1,25,30,35,40,45,50)/100*(Inputs!$B$11-Inputs!$B$11),0))))/100+(Inputs!$B$23+(IF(ArtifactsInput!$M$15,CHOOSE(ArtifactsInput!$N$15+1,25,30,35,40,45,50)/100*(Inputs!$B$11-Inputs!$B$11),0)))/100)/2</f>
        <v/>
      </c>
      <c r="M2210">
        <f>L2210*(1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0">
        <f>L2210*(1-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2210*(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0">
        <f>(1-Summary!$B$11)*S2210+Summary!$B$11*U2210</f>
        <v/>
      </c>
      <c r="P2210">
        <f>IF(B2239=0,0,O2210/B2239)</f>
        <v/>
      </c>
      <c r="Q2210">
        <f>IFERROR(1/(IF(Inputs!$B$38="pvp",15,MAX(0.1,Skills!D8-IF(TRUE=TRUE,Inputs!$B$32,0)))*(1-IF(AND(ArtifactsInput!$M$27,Inputs!$B$4="Chapter Hunt"),CHOOSE(ArtifactsInput!$N$27+1,20,24,28,32,36,40),0)/100)),0)</f>
        <v/>
      </c>
      <c r="R2210">
        <f>IF(AND(Inputs!$B$38&lt;&gt;"pvp",Inputs!$B$43&gt;0),IF(MAX(0,Inputs!$B$43-B2236)&lt;=0,0,(INT(MAX(0,Inputs!$B$43-B2236)/(IF(Inputs!$B$38="pvp",15,MAX(0.1,Skills!D8-IF(TRUE=TRUE,Inputs!$B$32,0)))*(1-IF(AND(ArtifactsInput!$M$27,Inputs!$B$4="Chapter Hunt"),CHOOSE(ArtifactsInput!$N$27+1,20,24,28,32,36,40),0)/100)))+1)),0)</f>
        <v/>
      </c>
      <c r="S2210">
        <f>IF(C2210,(H2210*N2210*IF(AND(Inputs!$B$38&lt;&gt;"pvp",Inputs!$B$43&gt;0),((Skills!F8*((R2210-1)*IF(Skills!G8&gt;0,Skills!H8/Skills!G8,1)+IF(Skills!G8&gt;0,MIN(Skills!H8,MAX(0,MAX(0,Inputs!$B$43-B2236)-((R2210-1)*(IF(Inputs!$B$38="pvp",15,MAX(0.1,Skills!D8-IF(TRUE=TRUE,Inputs!$B$32,0)))*(1-IF(AND(ArtifactsInput!$M$27,Inputs!$B$4="Chapter Hunt"),CHOOSE(ArtifactsInput!$N$27+1,20,24,28,32,36,40),0)/100)))))/Skills!G8,1)))/Inputs!$B$43),G2210*Q2210))*IF(Inputs!$B$38="pvp",1,1+(Inputs!$B$20+Skills!O8+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2210*(1-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2210*(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2210*(1-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2210*(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0">
        <f>IF(C2210,(H2210*N2210*IF(AND(Inputs!$B$38&lt;&gt;"pvp",Inputs!$B$43&gt;0),((Skills!F8*((R2210-1)*IF(Skills!G8&gt;0,Skills!H8/Skills!G8,1)+IF(Skills!G8&gt;0,MIN(Skills!H8,MAX(0,MAX(0,Inputs!$B$43-B2236)-((R2210-1)*(IF(Inputs!$B$38="pvp",15,MAX(0.1,Skills!D8-IF(TRUE=TRUE,Inputs!$B$32,0)))*(1-IF(AND(ArtifactsInput!$M$27,Inputs!$B$4="Chapter Hunt"),CHOOSE(ArtifactsInput!$N$27+1,20,24,28,32,36,40),0)/100)))))/Skills!G8,1)))/Inputs!$B$43),G2210*Q2210))*IF(Inputs!$B$38="pvp",1,(1+(Inputs!$B$21+Skills!P8+B2230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1">
      <c r="A2211">
        <f>Skills!A9</f>
        <v/>
      </c>
      <c r="B2211">
        <f>Skills!B9</f>
        <v/>
      </c>
      <c r="C2211">
        <f>Inputs!$B$3&gt;=105</f>
        <v/>
      </c>
      <c r="D2211">
        <f>IF(Skills!C9=1,60+Inputs!$B$25+Inputs!$B$29,IF(Skills!C9=2,90+Inputs!$B$26+Inputs!$B$29,IF(Skills!C9=3,120+Inputs!$B$27+Inputs!$B$29,MAX(0,(Inputs!$B$3-100)*3)+Inputs!$B$28+Inputs!$B$29)))</f>
        <v/>
      </c>
      <c r="E2211">
        <f>INDEX(FactorTable!$B$2:$Y$301, MATCH(ROUND(MIN(300,MAX(1,D2211)),0), FactorTable!$A$2:$A$301,0), Skills!L9+1)</f>
        <v/>
      </c>
      <c r="F2211">
        <f>IF(Skills!M9=TRUE,(Skills!K9/10)*(E2211/1000),Skills!K9/10)+Skills!N9</f>
        <v/>
      </c>
      <c r="G2211">
        <f>Calc!G9</f>
        <v/>
      </c>
      <c r="H2211">
        <f>Calc!H9</f>
        <v/>
      </c>
      <c r="I2211">
        <f>IF(Skills!T9&lt;&gt;"",1+(Skills!T9/10)*(Z2205/1000)/100,1)</f>
        <v/>
      </c>
      <c r="J2211">
        <f>((Inputs!$B$6*(1+Inputs!$B$7/100))+(((Inputs!$B$12*(1+Inputs!$B$13/100))-(Inputs!$B$12*(1+Inputs!$B$13/100)))+0.25*(Inputs!$B$14-Inputs!$B$14))*(1+Inputs!$B$7/100))*(F2211/100)</f>
        <v/>
      </c>
      <c r="K2211">
        <f>J2211*(1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9="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2211)</f>
        <v/>
      </c>
      <c r="L2211">
        <f>K2211*(MIN(Inputs!$B$22+(F2220-Calc!F18),(Inputs!$B$23+(IF(ArtifactsInput!$M$15,CHOOSE(ArtifactsInput!$N$15+1,25,30,35,40,45,50)/100*(Inputs!$B$11-Inputs!$B$11),0))))/100+(Inputs!$B$23+(IF(ArtifactsInput!$M$15,CHOOSE(ArtifactsInput!$N$15+1,25,30,35,40,45,50)/100*(Inputs!$B$11-Inputs!$B$11),0)))/100)/2</f>
        <v/>
      </c>
      <c r="M2211">
        <f>L2211*(1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1">
        <f>L2211*(1-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1">
        <f>(1-Summary!$B$11)*S2211+Summary!$B$11*U2211</f>
        <v/>
      </c>
      <c r="P2211">
        <f>IF(B2239=0,0,O2211/B2239)</f>
        <v/>
      </c>
      <c r="Q2211">
        <f>IFERROR(1/(IF(Inputs!$B$38="pvp",15,MAX(0.1,Skills!D9-IF(TRUE=TRUE,Inputs!$B$32,0)))*(1-IF(AND(ArtifactsInput!$M$27,Inputs!$B$4="Chapter Hunt"),CHOOSE(ArtifactsInput!$N$27+1,20,24,28,32,36,40),0)/100)),0)</f>
        <v/>
      </c>
      <c r="R2211">
        <f>IF(AND(Inputs!$B$38&lt;&gt;"pvp",Inputs!$B$43&gt;0),IF(MAX(0,Inputs!$B$43-B2236)&lt;=0,0,(INT(MAX(0,Inputs!$B$43-B2236)/(IF(Inputs!$B$38="pvp",15,MAX(0.1,Skills!D9-IF(TRUE=TRUE,Inputs!$B$32,0)))*(1-IF(AND(ArtifactsInput!$M$27,Inputs!$B$4="Chapter Hunt"),CHOOSE(ArtifactsInput!$N$27+1,20,24,28,32,36,40),0)/100)))+1)),0)</f>
        <v/>
      </c>
      <c r="S2211">
        <f>IF(C2211,(H2211*N2211*IF(AND(Inputs!$B$38&lt;&gt;"pvp",Inputs!$B$43&gt;0),((Skills!F9*((R2211-1)*IF(Skills!G9&gt;0,Skills!H9/Skills!G9,1)+IF(Skills!G9&gt;0,MIN(Skills!H9,MAX(0,MAX(0,Inputs!$B$43-B2236)-((R2211-1)*(IF(Inputs!$B$38="pvp",15,MAX(0.1,Skills!D9-IF(TRUE=TRUE,Inputs!$B$32,0)))*(1-IF(AND(ArtifactsInput!$M$27,Inputs!$B$4="Chapter Hunt"),CHOOSE(ArtifactsInput!$N$27+1,20,24,28,32,36,40),0)/100)))))/Skills!G9,1)))/Inputs!$B$43),G2211*Q2211))*IF(Inputs!$B$38="pvp",1,1+(Inputs!$B$20+Skills!O9+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2211*(1-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2211*(1-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1">
        <f>IF(C2211,(H2211*N2211*IF(AND(Inputs!$B$38&lt;&gt;"pvp",Inputs!$B$43&gt;0),((Skills!F9*((R2211-1)*IF(Skills!G9&gt;0,Skills!H9/Skills!G9,1)+IF(Skills!G9&gt;0,MIN(Skills!H9,MAX(0,MAX(0,Inputs!$B$43-B2236)-((R2211-1)*(IF(Inputs!$B$38="pvp",15,MAX(0.1,Skills!D9-IF(TRUE=TRUE,Inputs!$B$32,0)))*(1-IF(AND(ArtifactsInput!$M$27,Inputs!$B$4="Chapter Hunt"),CHOOSE(ArtifactsInput!$N$27+1,20,24,28,32,36,40),0)/100)))))/Skills!G9,1)))/Inputs!$B$43),G2211*Q2211))*IF(Inputs!$B$38="pvp",1,(1+(Inputs!$B$21+Skills!P9+B2230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2">
      <c r="A2212">
        <f>Skills!A10</f>
        <v/>
      </c>
      <c r="B2212">
        <f>Skills!B10</f>
        <v/>
      </c>
      <c r="C2212">
        <f>Inputs!$B$3&gt;=113</f>
        <v/>
      </c>
      <c r="D2212">
        <f>IF(Skills!C10=1,60+Inputs!$B$25+Inputs!$B$29,IF(Skills!C10=2,90+Inputs!$B$26+Inputs!$B$29,IF(Skills!C10=3,120+Inputs!$B$27+Inputs!$B$29,MAX(0,(Inputs!$B$3-100)*3)+Inputs!$B$28+Inputs!$B$29)))</f>
        <v/>
      </c>
      <c r="E2212">
        <f>INDEX(FactorTable!$B$2:$Y$301, MATCH(ROUND(MIN(300,MAX(1,D2212)),0), FactorTable!$A$2:$A$301,0), Skills!L10+1)</f>
        <v/>
      </c>
      <c r="F2212">
        <f>IF(Skills!M10=TRUE,(Skills!K10/10)*(E2212/1000),Skills!K10/10)+Skills!N10</f>
        <v/>
      </c>
      <c r="G2212">
        <f>Calc!G10</f>
        <v/>
      </c>
      <c r="H2212">
        <f>Calc!H10</f>
        <v/>
      </c>
      <c r="I2212">
        <f>IF(Skills!T10&lt;&gt;"",1+(Skills!T10/10)*(Z2205/1000)/100,1)</f>
        <v/>
      </c>
      <c r="J2212">
        <f>((Inputs!$B$6*(1+Inputs!$B$7/100))+(((Inputs!$B$12*(1+Inputs!$B$13/100))-(Inputs!$B$12*(1+Inputs!$B$13/100)))+0.25*(Inputs!$B$14-Inputs!$B$14))*(1+Inputs!$B$7/100))*(F2212/100)</f>
        <v/>
      </c>
      <c r="K2212">
        <f>J2212*(1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10="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2212)</f>
        <v/>
      </c>
      <c r="L2212">
        <f>K2212*(MIN(Inputs!$B$22+(F2220-Calc!F18),(Inputs!$B$23+(IF(ArtifactsInput!$M$15,CHOOSE(ArtifactsInput!$N$15+1,25,30,35,40,45,50)/100*(Inputs!$B$11-Inputs!$B$11),0))))/100+(Inputs!$B$23+(IF(ArtifactsInput!$M$15,CHOOSE(ArtifactsInput!$N$15+1,25,30,35,40,45,50)/100*(Inputs!$B$11-Inputs!$B$11),0)))/100)/2</f>
        <v/>
      </c>
      <c r="M2212">
        <f>L2212*(1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2">
        <f>L2212*(1-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2212*(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2">
        <f>(1-Summary!$B$11)*S2212+Summary!$B$11*U2212</f>
        <v/>
      </c>
      <c r="P2212">
        <f>IF(B2239=0,0,O2212/B2239)</f>
        <v/>
      </c>
      <c r="Q2212">
        <f>IFERROR(1/(IF(Inputs!$B$38="pvp",15,MAX(0.1,Skills!D10-IF(TRUE=TRUE,Inputs!$B$32,0)))*(1-IF(AND(ArtifactsInput!$M$27,Inputs!$B$4="Chapter Hunt"),CHOOSE(ArtifactsInput!$N$27+1,20,24,28,32,36,40),0)/100)),0)</f>
        <v/>
      </c>
      <c r="R2212" t="n">
        <v>0</v>
      </c>
      <c r="S2212">
        <f>IF(C2212,((H2212*B2240)/(1+Skills!G10*H2212*B2240)*N2212)*IF(Inputs!$B$38="pvp",1,1+(Inputs!$B$20+Skills!O10+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2212*(1-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2212*(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2212*(1-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2212*(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2">
        <f>IF(C2212,((H2212*B2240)/(1+Skills!G10*H2212*B2240)*N2212)*IF(Inputs!$B$38="pvp",1,(1+(Inputs!$B$21+Skills!P10+B2230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3">
      <c r="A2213">
        <f>Skills!A11</f>
        <v/>
      </c>
      <c r="B2213">
        <f>Skills!B11</f>
        <v/>
      </c>
      <c r="C2213">
        <f>Inputs!$B$3&gt;=107</f>
        <v/>
      </c>
      <c r="D2213">
        <f>IF(Skills!C11=1,60+Inputs!$B$25+Inputs!$B$29,IF(Skills!C11=2,90+Inputs!$B$26+Inputs!$B$29,IF(Skills!C11=3,120+Inputs!$B$27+Inputs!$B$29,MAX(0,(Inputs!$B$3-100)*3)+Inputs!$B$28+Inputs!$B$29)))</f>
        <v/>
      </c>
      <c r="E2213">
        <f>INDEX(FactorTable!$B$2:$Y$301, MATCH(ROUND(MIN(300,MAX(1,D2213)),0), FactorTable!$A$2:$A$301,0), Skills!L11+1)</f>
        <v/>
      </c>
      <c r="F2213">
        <f>IF(Skills!M11=TRUE,(Skills!K11/10)*(E2213/1000),Skills!K11/10)+Skills!N11</f>
        <v/>
      </c>
      <c r="G2213">
        <f>Calc!G11</f>
        <v/>
      </c>
      <c r="H2213">
        <f>Calc!H11</f>
        <v/>
      </c>
      <c r="I2213">
        <f>IF(Skills!T11&lt;&gt;"",1+(Skills!T11/10)*(Z2205/1000)/100,1)</f>
        <v/>
      </c>
      <c r="J2213">
        <f>((Inputs!$B$6*(1+Inputs!$B$7/100))+(((Inputs!$B$12*(1+Inputs!$B$13/100))-(Inputs!$B$12*(1+Inputs!$B$13/100)))+0.25*(Inputs!$B$14-Inputs!$B$14))*(1+Inputs!$B$7/100))*(F2213/100)</f>
        <v/>
      </c>
      <c r="K2213">
        <f>J2213*(1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11="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2213)</f>
        <v/>
      </c>
      <c r="L2213">
        <f>K2213*(MIN(Inputs!$B$22+(F2220-Calc!F18),(Inputs!$B$23+(IF(ArtifactsInput!$M$15,CHOOSE(ArtifactsInput!$N$15+1,25,30,35,40,45,50)/100*(Inputs!$B$11-Inputs!$B$11),0))))/100+(Inputs!$B$23+(IF(ArtifactsInput!$M$15,CHOOSE(ArtifactsInput!$N$15+1,25,30,35,40,45,50)/100*(Inputs!$B$11-Inputs!$B$11),0)))/100)/2</f>
        <v/>
      </c>
      <c r="M2213">
        <f>L2213*(1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3">
        <f>L2213*(1-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2213*(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3">
        <f>(1-Summary!$B$11)*S2213+Summary!$B$11*U2213</f>
        <v/>
      </c>
      <c r="P2213">
        <f>IF(B2239=0,0,O2213/B2239)</f>
        <v/>
      </c>
      <c r="Q2213">
        <f>IFERROR(1/(IF(Inputs!$B$38="pvp",15,MAX(0.1,Skills!D11-IF(TRUE=TRUE,Inputs!$B$32,0)))*(1-IF(AND(ArtifactsInput!$M$27,Inputs!$B$4="Chapter Hunt"),CHOOSE(ArtifactsInput!$N$27+1,20,24,28,32,36,40),0)/100)),0)</f>
        <v/>
      </c>
      <c r="R2213">
        <f>IF(AND(Inputs!$B$38&lt;&gt;"pvp",Inputs!$B$43&gt;0),IF(MAX(0,Inputs!$B$43-B2236)&lt;=0,0,(INT(MAX(0,Inputs!$B$43-B2236)/(IF(Inputs!$B$38="pvp",15,MAX(0.1,Skills!D11-IF(TRUE=TRUE,Inputs!$B$32,0)))*(1-IF(AND(ArtifactsInput!$M$27,Inputs!$B$4="Chapter Hunt"),CHOOSE(ArtifactsInput!$N$27+1,20,24,28,32,36,40),0)/100)))+1)),0)</f>
        <v/>
      </c>
      <c r="S2213">
        <f>IF(C2213,H2213*N2213*IF(AND(Inputs!$B$38&lt;&gt;"pvp",Inputs!$B$43&gt;0),((Skills!F11*((R2213-1)*IF(Skills!G11&gt;0,Skills!H11/Skills!G11,1)+IF(Skills!G11&gt;0,MIN(Skills!H11,MAX(0,MAX(0,Inputs!$B$43-B2236)-((R2213-1)*(IF(Inputs!$B$38="pvp",15,MAX(0.1,Skills!D11-IF(TRUE=TRUE,Inputs!$B$32,0)))*(1-IF(AND(ArtifactsInput!$M$27,Inputs!$B$4="Chapter Hunt"),CHOOSE(ArtifactsInput!$N$27+1,20,24,28,32,36,40),0)/100)))))/Skills!G11,1)))/Inputs!$B$43),G2213*Q2213)*0.5*IF(Inputs!$B$38="pvp",1,1+(Inputs!$B$20+Skills!O11+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2213*(1-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2213*(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2213*(1-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2213*(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3">
        <f>IF(C2213,H2213*N2213*IF(AND(Inputs!$B$38&lt;&gt;"pvp",Inputs!$B$43&gt;0),((Skills!F11*((R2213-1)*IF(Skills!G11&gt;0,Skills!H11/Skills!G11,1)+IF(Skills!G11&gt;0,MIN(Skills!H11,MAX(0,MAX(0,Inputs!$B$43-B2236)-((R2213-1)*(IF(Inputs!$B$38="pvp",15,MAX(0.1,Skills!D11-IF(TRUE=TRUE,Inputs!$B$32,0)))*(1-IF(AND(ArtifactsInput!$M$27,Inputs!$B$4="Chapter Hunt"),CHOOSE(ArtifactsInput!$N$27+1,20,24,28,32,36,40),0)/100)))))/Skills!G11,1)))/Inputs!$B$43),G2213*Q2213)*1*IF(Inputs!$B$38="pvp",1,(1+(Inputs!$B$21+Skills!P11+B2230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4">
      <c r="A2214">
        <f>Skills!A12</f>
        <v/>
      </c>
      <c r="B2214">
        <f>Skills!B12</f>
        <v/>
      </c>
      <c r="C2214">
        <f>Inputs!$B$3&gt;=115</f>
        <v/>
      </c>
      <c r="D2214">
        <f>IF(Skills!C12=1,60+Inputs!$B$25+Inputs!$B$29,IF(Skills!C12=2,90+Inputs!$B$26+Inputs!$B$29,IF(Skills!C12=3,120+Inputs!$B$27+Inputs!$B$29,MAX(0,(Inputs!$B$3-100)*3)+Inputs!$B$28+Inputs!$B$29)))</f>
        <v/>
      </c>
      <c r="E2214">
        <f>INDEX(FactorTable!$B$2:$Y$301, MATCH(ROUND(MIN(300,MAX(1,D2214)),0), FactorTable!$A$2:$A$301,0), Skills!L12+1)</f>
        <v/>
      </c>
      <c r="F2214">
        <f>IF(Skills!M12=TRUE,(Skills!K12/10)*(E2214/1000),Skills!K12/10)+Skills!N12</f>
        <v/>
      </c>
      <c r="G2214">
        <f>Calc!G12</f>
        <v/>
      </c>
      <c r="H2214">
        <f>Calc!H12</f>
        <v/>
      </c>
      <c r="I2214">
        <f>IF(Skills!T12&lt;&gt;"",1+(Skills!T12/10)*(Z2205/1000)/100,1)</f>
        <v/>
      </c>
      <c r="J2214">
        <f>((Inputs!$B$6*(1+Inputs!$B$7/100))+(((Inputs!$B$12*(1+Inputs!$B$13/100))-(Inputs!$B$12*(1+Inputs!$B$13/100)))+0.25*(Inputs!$B$14-Inputs!$B$14))*(1+Inputs!$B$7/100))*(F2214/100)</f>
        <v/>
      </c>
      <c r="K2214">
        <f>J2214*(1+((Inputs!$B$12*(1+Inputs!$B$13/100))*0.01+Inputs!$B$14*0.0025)/100)*(1+(Inputs!$B$15+B2231)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C2217=TRUE,F2217,0)/100)*(1+IF(C2225=TRUE,F2225,0)/100)^5*(1+(IF(Skills!A12="CHAIN_LIGHTNING",Inputs!$B$17+((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2229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2214)</f>
        <v/>
      </c>
      <c r="L2214">
        <f>K2214*(MIN(Inputs!$B$22+(F2220-Calc!F18),(Inputs!$B$23+(IF(ArtifactsInput!$M$15,CHOOSE(ArtifactsInput!$N$15+1,25,30,35,40,45,50)/100*(Inputs!$B$11-Inputs!$B$11),0))))/100+(Inputs!$B$23+(IF(ArtifactsInput!$M$15,CHOOSE(ArtifactsInput!$N$15+1,25,30,35,40,45,50)/100*(Inputs!$B$11-Inputs!$B$11),0)))/100)/2</f>
        <v/>
      </c>
      <c r="M2214">
        <f>L2214*(1+(Inputs!$B$10+(F2223-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14">
        <f>L2214*(1-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2214*(MIN((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14">
        <f>(1-Summary!$B$11)*S2214+Summary!$B$11*U2214</f>
        <v/>
      </c>
      <c r="P2214">
        <f>IF(B2239=0,0,O2214/B2239)</f>
        <v/>
      </c>
      <c r="Q2214">
        <f>IFERROR(1/(IF(Inputs!$B$38="pvp",15,MAX(0.1,Skills!D12-IF(TRUE=TRUE,Inputs!$B$32,0)))*(1-IF(AND(ArtifactsInput!$M$27,Inputs!$B$4="Chapter Hunt"),CHOOSE(ArtifactsInput!$N$27+1,20,24,28,32,36,40),0)/100)),0)</f>
        <v/>
      </c>
      <c r="R2214">
        <f>IF(AND(Inputs!$B$38&lt;&gt;"pvp",Inputs!$B$43&gt;0),IF(MAX(0,Inputs!$B$43-B2236)&lt;=0,0,(INT(MAX(0,Inputs!$B$43-B2236)/(IF(Inputs!$B$38="pvp",15,MAX(0.1,Skills!D12-IF(TRUE=TRUE,Inputs!$B$32,0)))*(1-IF(AND(ArtifactsInput!$M$27,Inputs!$B$4="Chapter Hunt"),CHOOSE(ArtifactsInput!$N$27+1,20,24,28,32,36,40),0)/100)))+1)),0)</f>
        <v/>
      </c>
      <c r="S2214">
        <f>IF(C2214,(H2214*N2214*IF(AND(Inputs!$B$38&lt;&gt;"pvp",Inputs!$B$43&gt;0),((Skills!F12*((R2214-1)*IF(Skills!G12&gt;0,Skills!H12/Skills!G12,1)+IF(Skills!G12&gt;0,MIN(Skills!H12,MAX(0,MAX(0,Inputs!$B$43-B2236)-((R2214-1)*(IF(Inputs!$B$38="pvp",15,MAX(0.1,Skills!D12-IF(TRUE=TRUE,Inputs!$B$32,0)))*(1-IF(AND(ArtifactsInput!$M$27,Inputs!$B$4="Chapter Hunt"),CHOOSE(ArtifactsInput!$N$27+1,20,24,28,32,36,40),0)/100)))))/Skills!G12,1)))/Inputs!$B$43),G2214*Q2214))*IF(Inputs!$B$38="pvp",1,1+(Inputs!$B$20+Skills!O12+B2230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2214*(1-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2214*(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2214*(1-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2214*(MIN(100,(Inputs!$B$9+((F2222-Calc!F20)+(F2221-Calc!F19))+(ArtifactsInput!$M$24-ArtifactsInput!$M$24)*CHOOSE(ArtifactsInput!$N$24+1,10,12,14,16,18,20)+(IF(AND(Inputs!$B$38&lt;&gt;"pvp",Inputs!$B$43=0),1,IF(IF(Inputs!$B$38="pvp",15,Inputs!$B$43)-(B2236)&lt;=0,1,MAX(0,IF(Inputs!$B$38="pvp",15,Inputs!$B$43)-MAX(5,B2236))/(IF(Inputs!$B$38="pvp",15,Inputs!$B$43)-(B2236)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14">
        <f>IF(C2214,(H2214*N2214*IF(AND(Inputs!$B$38&lt;&gt;"pvp",Inputs!$B$43&gt;0),((Skills!F12*((R2214-1)*IF(Skills!G12&gt;0,Skills!H12/Skills!G12,1)+IF(Skills!G12&gt;0,MIN(Skills!H12,MAX(0,MAX(0,Inputs!$B$43-B2236)-((R2214-1)*(IF(Inputs!$B$38="pvp",15,MAX(0.1,Skills!D12-IF(TRUE=TRUE,Inputs!$B$32,0)))*(1-IF(AND(ArtifactsInput!$M$27,Inputs!$B$4="Chapter Hunt"),CHOOSE(ArtifactsInput!$N$27+1,20,24,28,32,36,40),0)/100)))))/Skills!G12,1)))/Inputs!$B$43),G2214*Q2214))*IF(Inputs!$B$38="pvp",1,(1+(Inputs!$B$21+Skills!P12+B2230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15">
      <c r="A2215">
        <f>Skills!A13</f>
        <v/>
      </c>
      <c r="B2215">
        <f>Skills!B13</f>
        <v/>
      </c>
      <c r="C2215">
        <f>Inputs!$B$3&gt;=49</f>
        <v/>
      </c>
      <c r="D2215">
        <f>IF(Skills!C13=1,60+Inputs!$B$25+Inputs!$B$29,IF(Skills!C13=2,90+Inputs!$B$26+Inputs!$B$29,IF(Skills!C13=3,120+Inputs!$B$27+Inputs!$B$29,MAX(0,(Inputs!$B$3-100)*3)+Inputs!$B$28+Inputs!$B$29)))</f>
        <v/>
      </c>
      <c r="E2215">
        <f>INDEX(FactorTable!$B$2:$Y$301, MATCH(ROUND(MIN(300,MAX(1,D2215)),0), FactorTable!$A$2:$A$301,0), Skills!L13+1)</f>
        <v/>
      </c>
      <c r="F2215">
        <f>IF(Skills!M13=TRUE,(Skills!K13/10)*(E2215/1000),Skills!K13/10)+Skills!N13</f>
        <v/>
      </c>
      <c r="G2215">
        <f>Calc!G13</f>
        <v/>
      </c>
      <c r="H2215">
        <f>Calc!H13</f>
        <v/>
      </c>
      <c r="I2215">
        <f>IF(Skills!T13&lt;&gt;"",1+(Skills!T13/10)*(Z2205/1000)/100,1)</f>
        <v/>
      </c>
      <c r="J2215" t="inlineStr"/>
      <c r="K2215" t="inlineStr"/>
      <c r="L2215" t="inlineStr"/>
      <c r="M2215" t="inlineStr"/>
      <c r="N2215" t="inlineStr"/>
      <c r="O2215">
        <f>(1-Summary!$B$11)*S2215+Summary!$B$11*U2215</f>
        <v/>
      </c>
      <c r="P2215">
        <f>IF(B2239=0,0,O2215/B2239)</f>
        <v/>
      </c>
      <c r="Q2215">
        <f>IFERROR(1/(IF(Inputs!$B$38="pvp",15,MAX(0.1,Skills!D13-IF(TRUE=TRUE,Inputs!$B$32,0)))*(1-IF(AND(ArtifactsInput!$M$27,Inputs!$B$4="Chapter Hunt"),CHOOSE(ArtifactsInput!$N$27+1,20,24,28,32,36,40),0)/100)),0)</f>
        <v/>
      </c>
      <c r="R2215" t="n">
        <v>0</v>
      </c>
      <c r="S2215" t="n">
        <v>0</v>
      </c>
      <c r="U2215" t="n">
        <v>0</v>
      </c>
    </row>
    <row r="2216">
      <c r="A2216">
        <f>Skills!A14</f>
        <v/>
      </c>
      <c r="B2216">
        <f>Skills!B14</f>
        <v/>
      </c>
      <c r="C2216">
        <f>Inputs!$B$3&gt;=72</f>
        <v/>
      </c>
      <c r="D2216">
        <f>IF(Skills!C14=1,60+Inputs!$B$25+Inputs!$B$29,IF(Skills!C14=2,90+Inputs!$B$26+Inputs!$B$29,IF(Skills!C14=3,120+Inputs!$B$27+Inputs!$B$29,MAX(0,(Inputs!$B$3-100)*3)+Inputs!$B$28+Inputs!$B$29)))</f>
        <v/>
      </c>
      <c r="E2216">
        <f>INDEX(FactorTable!$B$2:$Y$301, MATCH(ROUND(MIN(300,MAX(1,D2216)),0), FactorTable!$A$2:$A$301,0), Skills!L14+1)</f>
        <v/>
      </c>
      <c r="F2216">
        <f>IF(Skills!M14=TRUE,(Skills!K14/10)*(E2216/1000),Skills!K14/10)+Skills!N14</f>
        <v/>
      </c>
      <c r="G2216">
        <f>Calc!G14</f>
        <v/>
      </c>
      <c r="H2216">
        <f>Calc!H14</f>
        <v/>
      </c>
      <c r="I2216">
        <f>IF(Skills!T14&lt;&gt;"",1+(Skills!T14/10)*(Z2205/1000)/100,1)</f>
        <v/>
      </c>
      <c r="J2216" t="inlineStr"/>
      <c r="K2216" t="inlineStr"/>
      <c r="L2216" t="inlineStr"/>
      <c r="M2216" t="inlineStr"/>
      <c r="N2216" t="inlineStr"/>
      <c r="O2216">
        <f>(1-Summary!$B$11)*S2216+Summary!$B$11*U2216</f>
        <v/>
      </c>
      <c r="P2216">
        <f>IF(B2239=0,0,O2216/B2239)</f>
        <v/>
      </c>
      <c r="Q2216">
        <f>IFERROR(1/(IF(Inputs!$B$38="pvp",15,MAX(0.1,Skills!D14-IF(TRUE=TRUE,Inputs!$B$32,0)))*(1-IF(AND(ArtifactsInput!$M$27,Inputs!$B$4="Chapter Hunt"),CHOOSE(ArtifactsInput!$N$27+1,20,24,28,32,36,40),0)/100)),0)</f>
        <v/>
      </c>
      <c r="R2216" t="n">
        <v>0</v>
      </c>
      <c r="S2216" t="n">
        <v>0</v>
      </c>
      <c r="U2216" t="n">
        <v>0</v>
      </c>
    </row>
    <row r="2217">
      <c r="A2217">
        <f>Skills!A15</f>
        <v/>
      </c>
      <c r="B2217">
        <f>Skills!B15</f>
        <v/>
      </c>
      <c r="C2217">
        <f>Inputs!$B$3&gt;=75</f>
        <v/>
      </c>
      <c r="D2217">
        <f>IF(Skills!C15=1,60+Inputs!$B$25+Inputs!$B$29,IF(Skills!C15=2,90+Inputs!$B$26+Inputs!$B$29,IF(Skills!C15=3,120+Inputs!$B$27+Inputs!$B$29,MAX(0,(Inputs!$B$3-100)*3)+Inputs!$B$28+Inputs!$B$29)))</f>
        <v/>
      </c>
      <c r="E2217">
        <f>INDEX(FactorTable!$B$2:$Y$301, MATCH(ROUND(MIN(300,MAX(1,D2217)),0), FactorTable!$A$2:$A$301,0), Skills!L15+1)</f>
        <v/>
      </c>
      <c r="F2217">
        <f>IF(Skills!M15=TRUE,(Skills!K15/10)*(E2217/1000),Skills!K15/10)+Skills!N15</f>
        <v/>
      </c>
      <c r="G2217">
        <f>Calc!G15</f>
        <v/>
      </c>
      <c r="H2217">
        <f>Calc!H15</f>
        <v/>
      </c>
      <c r="I2217">
        <f>IF(Skills!T15&lt;&gt;"",1+(Skills!T15/10)*(Z2205/1000)/100,1)</f>
        <v/>
      </c>
      <c r="J2217" t="inlineStr"/>
      <c r="K2217" t="inlineStr"/>
      <c r="L2217" t="inlineStr"/>
      <c r="M2217" t="inlineStr"/>
      <c r="N2217" t="inlineStr"/>
      <c r="O2217">
        <f>(1-Summary!$B$11)*S2217+Summary!$B$11*U2217</f>
        <v/>
      </c>
      <c r="P2217">
        <f>IF(B2239=0,0,O2217/B2239)</f>
        <v/>
      </c>
      <c r="Q2217">
        <f>IFERROR(1/(IF(Inputs!$B$38="pvp",15,MAX(0.1,Skills!D15-IF(TRUE=TRUE,Inputs!$B$32,0)))*(1-IF(AND(ArtifactsInput!$M$27,Inputs!$B$4="Chapter Hunt"),CHOOSE(ArtifactsInput!$N$27+1,20,24,28,32,36,40),0)/100)),0)</f>
        <v/>
      </c>
      <c r="R2217" t="n">
        <v>0</v>
      </c>
      <c r="S2217" t="n">
        <v>0</v>
      </c>
      <c r="U2217" t="n">
        <v>0</v>
      </c>
    </row>
    <row r="2218">
      <c r="A2218">
        <f>Skills!A16</f>
        <v/>
      </c>
      <c r="B2218">
        <f>Skills!B16</f>
        <v/>
      </c>
      <c r="C2218">
        <f>Inputs!$B$3&gt;=110</f>
        <v/>
      </c>
      <c r="D2218">
        <f>IF(Skills!C16=1,60+Inputs!$B$25+Inputs!$B$29,IF(Skills!C16=2,90+Inputs!$B$26+Inputs!$B$29,IF(Skills!C16=3,120+Inputs!$B$27+Inputs!$B$29,MAX(0,(Inputs!$B$3-100)*3)+Inputs!$B$28+Inputs!$B$29)))</f>
        <v/>
      </c>
      <c r="E2218">
        <f>INDEX(FactorTable!$B$2:$Y$301, MATCH(ROUND(MIN(300,MAX(1,D2218)),0), FactorTable!$A$2:$A$301,0), Skills!L16+1)</f>
        <v/>
      </c>
      <c r="F2218">
        <f>(Skills!K16/10)*(E2218/1000)*64/45+Skills!N16</f>
        <v/>
      </c>
      <c r="G2218">
        <f>Calc!G16</f>
        <v/>
      </c>
      <c r="H2218">
        <f>Calc!H16</f>
        <v/>
      </c>
      <c r="I2218">
        <f>IF(Skills!T16&lt;&gt;"",1+(Skills!T16/10)*(Z2205/1000)/100,1)</f>
        <v/>
      </c>
      <c r="J2218" t="inlineStr"/>
      <c r="K2218" t="inlineStr"/>
      <c r="L2218" t="inlineStr"/>
      <c r="M2218" t="inlineStr"/>
      <c r="N2218" t="inlineStr"/>
      <c r="O2218">
        <f>(1-Summary!$B$11)*S2218+Summary!$B$11*U2218</f>
        <v/>
      </c>
      <c r="P2218">
        <f>IF(B2239=0,0,O2218/B2239)</f>
        <v/>
      </c>
      <c r="Q2218">
        <f>IFERROR(1/(IF(Inputs!$B$38="pvp",15,MAX(0.1,Skills!D16-IF(TRUE=TRUE,Inputs!$B$32,0)))*(1-IF(AND(ArtifactsInput!$M$27,Inputs!$B$4="Chapter Hunt"),CHOOSE(ArtifactsInput!$N$27+1,20,24,28,32,36,40),0)/100)),0)</f>
        <v/>
      </c>
      <c r="R2218">
        <f>IF(AND(Inputs!$B$38&lt;&gt;"pvp",Inputs!$B$43&gt;0),IF(Inputs!$B$43&lt;=0,0,(INT(Inputs!$B$43/(IF(Inputs!$B$38="pvp",15,MAX(0.1,Skills!D16-IF(TRUE=TRUE,Inputs!$B$32,0)))*(1-IF(AND(ArtifactsInput!$M$27,Inputs!$B$4="Chapter Hunt"),CHOOSE(ArtifactsInput!$N$27+1,20,24,28,32,36,40),0)/100)))+1)),0)</f>
        <v/>
      </c>
      <c r="S2218" t="n">
        <v>0</v>
      </c>
      <c r="U2218" t="n">
        <v>0</v>
      </c>
    </row>
    <row r="2219">
      <c r="A2219">
        <f>Skills!A17</f>
        <v/>
      </c>
      <c r="B2219">
        <f>Skills!B17</f>
        <v/>
      </c>
      <c r="C2219">
        <f>Inputs!$B$3&gt;=33</f>
        <v/>
      </c>
      <c r="D2219">
        <f>IF(Skills!C17=1,60+Inputs!$B$25+Inputs!$B$29,IF(Skills!C17=2,90+Inputs!$B$26+Inputs!$B$29,IF(Skills!C17=3,120+Inputs!$B$27+Inputs!$B$29,MAX(0,(Inputs!$B$3-100)*3)+Inputs!$B$28+Inputs!$B$29)))</f>
        <v/>
      </c>
      <c r="E2219">
        <f>INDEX(FactorTable!$B$2:$Y$301, MATCH(ROUND(MIN(300,MAX(1,D2219)),0), FactorTable!$A$2:$A$301,0), Skills!L17+1)</f>
        <v/>
      </c>
      <c r="F2219">
        <f>IF(Skills!M17=TRUE,(Skills!K17/10)*(E2219/1000),Skills!K17/10)+Skills!N17</f>
        <v/>
      </c>
      <c r="G2219">
        <f>Calc!G17</f>
        <v/>
      </c>
      <c r="H2219">
        <f>Calc!H17</f>
        <v/>
      </c>
      <c r="I2219">
        <f>IF(Skills!T17&lt;&gt;"",1+(Skills!T17/10)*(Z2205/1000)/100,1)</f>
        <v/>
      </c>
      <c r="J2219" t="inlineStr"/>
      <c r="K2219" t="inlineStr"/>
      <c r="L2219" t="inlineStr"/>
      <c r="M2219" t="inlineStr"/>
      <c r="N2219" t="inlineStr"/>
      <c r="O2219">
        <f>(1-Summary!$B$11)*S2219+Summary!$B$11*U2219</f>
        <v/>
      </c>
      <c r="P2219">
        <f>IF(B2239=0,0,O2219/B2239)</f>
        <v/>
      </c>
      <c r="Q2219">
        <f>IFERROR(1/(IF(Inputs!$B$38="pvp",15,MAX(0.1,Skills!D17-IF(TRUE=TRUE,Inputs!$B$32,0)))*(1-IF(AND(ArtifactsInput!$M$27,Inputs!$B$4="Chapter Hunt"),CHOOSE(ArtifactsInput!$N$27+1,20,24,28,32,36,40),0)/100)),0)</f>
        <v/>
      </c>
      <c r="R2219" t="n">
        <v>0</v>
      </c>
      <c r="S2219" t="n">
        <v>0</v>
      </c>
      <c r="U2219" t="n">
        <v>0</v>
      </c>
    </row>
    <row r="2220">
      <c r="A2220">
        <f>Skills!A18</f>
        <v/>
      </c>
      <c r="B2220">
        <f>Skills!B18</f>
        <v/>
      </c>
      <c r="C2220">
        <f>Inputs!$B$3&gt;=43</f>
        <v/>
      </c>
      <c r="D2220">
        <f>IF(Skills!C18=1,60+Inputs!$B$25+Inputs!$B$29,IF(Skills!C18=2,90+Inputs!$B$26+Inputs!$B$29,IF(Skills!C18=3,120+Inputs!$B$27+Inputs!$B$29,MAX(0,(Inputs!$B$3-100)*3)+Inputs!$B$28+Inputs!$B$29)))</f>
        <v/>
      </c>
      <c r="E2220">
        <f>INDEX(FactorTable!$B$2:$Y$301, MATCH(ROUND(MIN(300,MAX(1,D2220)),0), FactorTable!$A$2:$A$301,0), Skills!L18+1)</f>
        <v/>
      </c>
      <c r="F2220">
        <f>IF(Skills!M18=TRUE,(Skills!K18/10)*(E2220/1000),Skills!K18/10)+Skills!N18</f>
        <v/>
      </c>
      <c r="G2220">
        <f>Calc!G18</f>
        <v/>
      </c>
      <c r="H2220">
        <f>Calc!H18</f>
        <v/>
      </c>
      <c r="I2220">
        <f>IF(Skills!T18&lt;&gt;"",1+(Skills!T18/10)*(Z2205/1000)/100,1)</f>
        <v/>
      </c>
      <c r="J2220" t="inlineStr"/>
      <c r="K2220" t="inlineStr"/>
      <c r="L2220" t="inlineStr"/>
      <c r="M2220" t="inlineStr"/>
      <c r="N2220" t="inlineStr"/>
      <c r="O2220">
        <f>(1-Summary!$B$11)*S2220+Summary!$B$11*U2220</f>
        <v/>
      </c>
      <c r="P2220">
        <f>IF(B2239=0,0,O2220/B2239)</f>
        <v/>
      </c>
      <c r="Q2220">
        <f>IFERROR(1/(IF(Inputs!$B$38="pvp",15,MAX(0.1,Skills!D18-IF(TRUE=TRUE,Inputs!$B$32,0)))*(1-IF(AND(ArtifactsInput!$M$27,Inputs!$B$4="Chapter Hunt"),CHOOSE(ArtifactsInput!$N$27+1,20,24,28,32,36,40),0)/100)),0)</f>
        <v/>
      </c>
      <c r="R2220" t="n">
        <v>0</v>
      </c>
      <c r="S2220" t="n">
        <v>0</v>
      </c>
      <c r="U2220" t="n">
        <v>0</v>
      </c>
    </row>
    <row r="2221">
      <c r="A2221">
        <f>Skills!A19</f>
        <v/>
      </c>
      <c r="B2221">
        <f>Skills!B19</f>
        <v/>
      </c>
      <c r="C2221">
        <f>Inputs!$B$3&gt;=50</f>
        <v/>
      </c>
      <c r="D2221">
        <f>IF(Skills!C19=1,60+Inputs!$B$25+Inputs!$B$29,IF(Skills!C19=2,90+Inputs!$B$26+Inputs!$B$29,IF(Skills!C19=3,120+Inputs!$B$27+Inputs!$B$29,MAX(0,(Inputs!$B$3-100)*3)+Inputs!$B$28+Inputs!$B$29)))</f>
        <v/>
      </c>
      <c r="E2221">
        <f>INDEX(FactorTable!$B$2:$Y$301, MATCH(ROUND(MIN(300,MAX(1,D2221)),0), FactorTable!$A$2:$A$301,0), Skills!L19+1)</f>
        <v/>
      </c>
      <c r="F2221">
        <f>IF(Skills!M19=TRUE,(Skills!K19/10)*(E2221/1000),Skills!K19/10)+Skills!N19</f>
        <v/>
      </c>
      <c r="G2221">
        <f>Calc!G19</f>
        <v/>
      </c>
      <c r="H2221">
        <f>Calc!H19</f>
        <v/>
      </c>
      <c r="I2221">
        <f>IF(Skills!T19&lt;&gt;"",1+(Skills!T19/10)*(Z2205/1000)/100,1)</f>
        <v/>
      </c>
      <c r="J2221" t="inlineStr"/>
      <c r="K2221" t="inlineStr"/>
      <c r="L2221" t="inlineStr"/>
      <c r="M2221" t="inlineStr"/>
      <c r="N2221" t="inlineStr"/>
      <c r="O2221">
        <f>(1-Summary!$B$11)*S2221+Summary!$B$11*U2221</f>
        <v/>
      </c>
      <c r="P2221">
        <f>IF(B2239=0,0,O2221/B2239)</f>
        <v/>
      </c>
      <c r="Q2221">
        <f>IFERROR(1/(IF(Inputs!$B$38="pvp",15,MAX(0.1,Skills!D19-IF(TRUE=TRUE,Inputs!$B$32,0)))*(1-IF(AND(ArtifactsInput!$M$27,Inputs!$B$4="Chapter Hunt"),CHOOSE(ArtifactsInput!$N$27+1,20,24,28,32,36,40),0)/100)),0)</f>
        <v/>
      </c>
      <c r="R2221" t="n">
        <v>0</v>
      </c>
      <c r="S2221" t="n">
        <v>0</v>
      </c>
      <c r="U2221" t="n">
        <v>0</v>
      </c>
    </row>
    <row r="2222">
      <c r="A2222">
        <f>Skills!A20</f>
        <v/>
      </c>
      <c r="B2222">
        <f>Skills!B20</f>
        <v/>
      </c>
      <c r="C2222">
        <f>Inputs!$B$3&gt;=74</f>
        <v/>
      </c>
      <c r="D2222">
        <f>IF(Skills!C20=1,60+Inputs!$B$25+Inputs!$B$29,IF(Skills!C20=2,90+Inputs!$B$26+Inputs!$B$29,IF(Skills!C20=3,120+Inputs!$B$27+Inputs!$B$29,MAX(0,(Inputs!$B$3-100)*3)+Inputs!$B$28+Inputs!$B$29)))</f>
        <v/>
      </c>
      <c r="E2222">
        <f>INDEX(FactorTable!$B$2:$Y$301, MATCH(ROUND(MIN(300,MAX(1,D2222)),0), FactorTable!$A$2:$A$301,0), Skills!L20+1)</f>
        <v/>
      </c>
      <c r="F2222">
        <f>IF(Skills!M20=TRUE,(Skills!K20/10)*(E2222/1000),Skills!K20/10)+Skills!N20</f>
        <v/>
      </c>
      <c r="G2222">
        <f>Calc!G20</f>
        <v/>
      </c>
      <c r="H2222">
        <f>Calc!H20</f>
        <v/>
      </c>
      <c r="I2222">
        <f>IF(Skills!T20&lt;&gt;"",1+(Skills!T20/10)*(Z2205/1000)/100,1)</f>
        <v/>
      </c>
      <c r="J2222" t="inlineStr"/>
      <c r="K2222" t="inlineStr"/>
      <c r="L2222" t="inlineStr"/>
      <c r="M2222" t="inlineStr"/>
      <c r="N2222" t="inlineStr"/>
      <c r="O2222">
        <f>(1-Summary!$B$11)*S2222+Summary!$B$11*U2222</f>
        <v/>
      </c>
      <c r="P2222">
        <f>IF(B2239=0,0,O2222/B2239)</f>
        <v/>
      </c>
      <c r="Q2222">
        <f>IFERROR(1/(IF(Inputs!$B$38="pvp",15,MAX(0.1,Skills!D20-IF(TRUE=TRUE,Inputs!$B$32,0)))*(1-IF(AND(ArtifactsInput!$M$27,Inputs!$B$4="Chapter Hunt"),CHOOSE(ArtifactsInput!$N$27+1,20,24,28,32,36,40),0)/100)),0)</f>
        <v/>
      </c>
      <c r="R2222" t="n">
        <v>0</v>
      </c>
      <c r="S2222" t="n">
        <v>0</v>
      </c>
      <c r="U2222" t="n">
        <v>0</v>
      </c>
    </row>
    <row r="2223">
      <c r="A2223">
        <f>Skills!A21</f>
        <v/>
      </c>
      <c r="B2223">
        <f>Skills!B21</f>
        <v/>
      </c>
      <c r="C2223">
        <f>Inputs!$B$3&gt;=74</f>
        <v/>
      </c>
      <c r="D2223">
        <f>IF(Skills!C21=1,60+Inputs!$B$25+Inputs!$B$29,IF(Skills!C21=2,90+Inputs!$B$26+Inputs!$B$29,IF(Skills!C21=3,120+Inputs!$B$27+Inputs!$B$29,MAX(0,(Inputs!$B$3-100)*3)+Inputs!$B$28+Inputs!$B$29)))</f>
        <v/>
      </c>
      <c r="E2223">
        <f>INDEX(FactorTable!$B$2:$Y$301, MATCH(ROUND(MIN(300,MAX(1,D2223)),0), FactorTable!$A$2:$A$301,0), Skills!L21+1)</f>
        <v/>
      </c>
      <c r="F2223">
        <f>IF(Skills!M21=TRUE,(Skills!K21/10)*(E2223/1000),Skills!K21/10)+Skills!N21</f>
        <v/>
      </c>
      <c r="G2223">
        <f>Calc!G21</f>
        <v/>
      </c>
      <c r="H2223">
        <f>Calc!H21</f>
        <v/>
      </c>
      <c r="I2223">
        <f>IF(Skills!T21&lt;&gt;"",1+(Skills!T21/10)*(Z2205/1000)/100,1)</f>
        <v/>
      </c>
      <c r="J2223" t="inlineStr"/>
      <c r="K2223" t="inlineStr"/>
      <c r="L2223" t="inlineStr"/>
      <c r="M2223" t="inlineStr"/>
      <c r="N2223" t="inlineStr"/>
      <c r="O2223">
        <f>(1-Summary!$B$11)*S2223+Summary!$B$11*U2223</f>
        <v/>
      </c>
      <c r="P2223">
        <f>IF(B2239=0,0,O2223/B2239)</f>
        <v/>
      </c>
      <c r="Q2223">
        <f>IFERROR(1/(IF(Inputs!$B$38="pvp",15,MAX(0.1,Skills!D21-IF(TRUE=TRUE,Inputs!$B$32,0)))*(1-IF(AND(ArtifactsInput!$M$27,Inputs!$B$4="Chapter Hunt"),CHOOSE(ArtifactsInput!$N$27+1,20,24,28,32,36,40),0)/100)),0)</f>
        <v/>
      </c>
      <c r="R2223" t="n">
        <v>0</v>
      </c>
      <c r="S2223" t="n">
        <v>0</v>
      </c>
      <c r="U2223" t="n">
        <v>0</v>
      </c>
    </row>
    <row r="2224">
      <c r="A2224">
        <f>Skills!A22</f>
        <v/>
      </c>
      <c r="B2224">
        <f>Skills!B22</f>
        <v/>
      </c>
      <c r="C2224">
        <f>Inputs!$B$3&gt;=117</f>
        <v/>
      </c>
      <c r="D2224">
        <f>IF(Skills!C22=1,60+Inputs!$B$25+Inputs!$B$29,IF(Skills!C22=2,90+Inputs!$B$26+Inputs!$B$29,IF(Skills!C22=3,120+Inputs!$B$27+Inputs!$B$29,MAX(0,(Inputs!$B$3-100)*3)+Inputs!$B$28+Inputs!$B$29)))</f>
        <v/>
      </c>
      <c r="E2224">
        <f>INDEX(FactorTable!$B$2:$Y$301, MATCH(ROUND(MIN(300,MAX(1,D2224)),0), FactorTable!$A$2:$A$301,0), Skills!L22+1)</f>
        <v/>
      </c>
      <c r="F2224">
        <f>IF(Skills!M22=TRUE,(Skills!K22/10)*(E2224/1000),Skills!K22/10)+Skills!N22</f>
        <v/>
      </c>
      <c r="G2224">
        <f>Calc!G22</f>
        <v/>
      </c>
      <c r="H2224">
        <f>Calc!H22</f>
        <v/>
      </c>
      <c r="I2224">
        <f>IF(Skills!T22&lt;&gt;"",1+(Skills!T22/10)*(Z2205/1000)/100,1)</f>
        <v/>
      </c>
      <c r="J2224" t="inlineStr"/>
      <c r="K2224" t="inlineStr"/>
      <c r="L2224" t="inlineStr"/>
      <c r="M2224" t="inlineStr"/>
      <c r="N2224" t="inlineStr"/>
      <c r="O2224">
        <f>(1-Summary!$B$11)*S2224+Summary!$B$11*U2224</f>
        <v/>
      </c>
      <c r="P2224">
        <f>IF(B2239=0,0,O2224/B2239)</f>
        <v/>
      </c>
      <c r="Q2224">
        <f>IFERROR(1/(IF(Inputs!$B$38="pvp",15,MAX(0.1,Skills!D22-IF(TRUE=TRUE,Inputs!$B$32,0)))*(1-IF(AND(ArtifactsInput!$M$27,Inputs!$B$4="Chapter Hunt"),CHOOSE(ArtifactsInput!$N$27+1,20,24,28,32,36,40),0)/100)),0)</f>
        <v/>
      </c>
      <c r="R2224" t="n">
        <v>0</v>
      </c>
      <c r="S2224" t="n">
        <v>0</v>
      </c>
      <c r="U2224" t="n">
        <v>0</v>
      </c>
    </row>
    <row r="2225">
      <c r="A2225">
        <f>Skills!A23</f>
        <v/>
      </c>
      <c r="B2225">
        <f>Skills!B23</f>
        <v/>
      </c>
      <c r="C2225">
        <f>Inputs!$B$3&gt;=120</f>
        <v/>
      </c>
      <c r="D2225">
        <f>IF(Skills!C23=1,60+Inputs!$B$25+Inputs!$B$29,IF(Skills!C23=2,90+Inputs!$B$26+Inputs!$B$29,IF(Skills!C23=3,120+Inputs!$B$27+Inputs!$B$29,MAX(0,(Inputs!$B$3-100)*3)+Inputs!$B$28+Inputs!$B$29)))</f>
        <v/>
      </c>
      <c r="E2225">
        <f>INDEX(FactorTable!$B$2:$Y$301, MATCH(ROUND(MIN(300,MAX(1,D2225)),0), FactorTable!$A$2:$A$301,0), Skills!L23+1)</f>
        <v/>
      </c>
      <c r="F2225">
        <f>IF(Skills!M23=TRUE,(Skills!K23/10)*(E2225/1000),Skills!K23/10)+Skills!N23</f>
        <v/>
      </c>
      <c r="G2225">
        <f>Calc!G23</f>
        <v/>
      </c>
      <c r="H2225">
        <f>Calc!H23</f>
        <v/>
      </c>
      <c r="I2225">
        <f>IF(Skills!T23&lt;&gt;"",1+(Skills!T23/10)*(Z2205/1000)/100,1)</f>
        <v/>
      </c>
      <c r="J2225" t="inlineStr"/>
      <c r="K2225" t="inlineStr"/>
      <c r="L2225" t="inlineStr"/>
      <c r="M2225" t="inlineStr"/>
      <c r="N2225" t="inlineStr"/>
      <c r="O2225">
        <f>(1-Summary!$B$11)*S2225+Summary!$B$11*U2225</f>
        <v/>
      </c>
      <c r="P2225">
        <f>IF(B2239=0,0,O2225/B2239)</f>
        <v/>
      </c>
      <c r="Q2225">
        <f>IFERROR(1/(IF(Inputs!$B$38="pvp",15,MAX(0.1,Skills!D23-IF(TRUE=TRUE,Inputs!$B$32,0)))*(1-IF(AND(ArtifactsInput!$M$27,Inputs!$B$4="Chapter Hunt"),CHOOSE(ArtifactsInput!$N$27+1,20,24,28,32,36,40),0)/100)),0)</f>
        <v/>
      </c>
      <c r="R2225" t="n">
        <v>0</v>
      </c>
      <c r="S2225" t="n">
        <v>0</v>
      </c>
      <c r="U2225" t="n">
        <v>0</v>
      </c>
    </row>
    <row r="2226">
      <c r="A2226">
        <f>Skills!A24</f>
        <v/>
      </c>
      <c r="B2226">
        <f>Skills!B24</f>
        <v/>
      </c>
      <c r="C2226">
        <f>TRUE</f>
        <v/>
      </c>
      <c r="D2226">
        <f>IF(Skills!C24=1,60+Inputs!$B$25+Inputs!$B$29,IF(Skills!C24=2,90+Inputs!$B$26+Inputs!$B$29,IF(Skills!C24=3,120+Inputs!$B$27+Inputs!$B$29,MAX(0,(Inputs!$B$3-100)*3)+Inputs!$B$28+Inputs!$B$29)))</f>
        <v/>
      </c>
      <c r="E2226">
        <f>INDEX(FactorTable!$B$2:$Y$301, MATCH(ROUND(MIN(300,MAX(1,D2226)),0), FactorTable!$A$2:$A$301,0), Skills!L24+1)</f>
        <v/>
      </c>
      <c r="F2226">
        <f>IF(Skills!M24=TRUE,(Skills!K24/10)*(E2226/1000),Skills!K24/10)+Skills!N24</f>
        <v/>
      </c>
      <c r="G2226">
        <f>Calc!G24</f>
        <v/>
      </c>
      <c r="H2226">
        <f>Calc!H24</f>
        <v/>
      </c>
      <c r="I2226">
        <f>IF(Skills!T24&lt;&gt;"",1+(Skills!T24/10)*(Z2205/1000)/100,1)</f>
        <v/>
      </c>
      <c r="J2226" t="inlineStr"/>
      <c r="K2226" t="inlineStr"/>
      <c r="L2226" t="inlineStr"/>
      <c r="M2226" t="inlineStr"/>
      <c r="N2226" t="inlineStr"/>
      <c r="O2226">
        <f>(1-Summary!$B$11)*S2226+Summary!$B$11*U2226</f>
        <v/>
      </c>
      <c r="P2226">
        <f>IF(B2239=0,0,O2226/B2239)</f>
        <v/>
      </c>
      <c r="Q2226">
        <f>IFERROR(1/(IF(Inputs!$B$38="pvp",15,MAX(0.1,Skills!D24-IF(TRUE=TRUE,Inputs!$B$32,0)))*(1-IF(AND(ArtifactsInput!$M$27,Inputs!$B$4="Chapter Hunt"),CHOOSE(ArtifactsInput!$N$27+1,20,24,28,32,36,40),0)/100)),0)</f>
        <v/>
      </c>
      <c r="R2226">
        <f>IF(AND(Inputs!$B$38&lt;&gt;"pvp",Inputs!$B$43&gt;0),IF(Inputs!$B$43&lt;=0,0,(INT(Inputs!$B$43/(IF(Inputs!$B$38="pvp",15,MAX(0.1,Skills!D24-IF(TRUE=TRUE,Inputs!$B$32,0)))*(1-IF(AND(ArtifactsInput!$M$27,Inputs!$B$4="Chapter Hunt"),CHOOSE(ArtifactsInput!$N$27+1,20,24,28,32,36,40),0)/100)))+1)),0)</f>
        <v/>
      </c>
      <c r="S2226" t="n">
        <v>0</v>
      </c>
      <c r="U2226" t="n">
        <v>0</v>
      </c>
    </row>
    <row r="2229">
      <c r="A2229" t="inlineStr">
        <is>
          <t>Average Buff Multiplier (Magic Guard + Meditation + Artifact Attack%, summed; then Infinity)</t>
        </is>
      </c>
      <c r="B2229">
        <f>(1+(IF(C2205=TRUE,F2205*IF(AND(Inputs!$B$38&lt;&gt;"pvp",Inputs!$B$43&gt;0),(((R2205-1)*MIN((Skills!S3*(1+(Inputs!$B$34)/100)),(1/Q2205))+MIN((Skills!S3*(1+(Inputs!$B$34)/100)),MAX(0,Inputs!$B$43-((R2205-1)*(1/Q2205)))))/Inputs!$B$43),IF(Inputs!$B$38="pvp",MIN((Skills!S3*(1+(Inputs!$B$34)/100)),15)/15,MIN(1,(Skills!S3*(1+(Inputs!$B$34)/100))/(1/Q2205)))),0)+IF(C2206=TRUE,F2206*IF(AND(Inputs!$B$38&lt;&gt;"pvp",Inputs!$B$43&gt;0),(((R2206-1)*MIN((Skills!S4*(1+(Inputs!$B$34)/100)),(1/Q2206))+MIN((Skills!S4*(1+(Inputs!$B$34)/100)),MAX(0,Inputs!$B$43-((R2206-1)*(1/Q2206)))))/Inputs!$B$43),IF(Inputs!$B$38="pvp",MIN((Skills!S4*(1+(Inputs!$B$34)/100)),15)/15,MIN(1,(Skills!S4*(1+(Inputs!$B$34)/100))/(1/Q2206)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IF(C2218=TRUE,(1+F2218*IF(AND(Inputs!$B$38&lt;&gt;"pvp",Inputs!$B$43&gt;0),(((R2218-1)*MIN((Skills!S16*(1+(Inputs!$B$34)/100)),(1/Q2218))+MIN((Skills!S16*(1+(Inputs!$B$34)/100)),MAX(0,Inputs!$B$43-((R2218-1)*(1/Q2218)))))/Inputs!$B$43),IF(Inputs!$B$38="pvp",MIN((Skills!S16*(1+(Inputs!$B$34)/100)),15)/15,MIN(1,(Skills!S16*(1+(Inputs!$B$34)/100))/(1/Q2218))))/100),1)</f>
        <v/>
      </c>
    </row>
    <row r="2230">
      <c r="A2230" t="inlineStr">
        <is>
          <t>Monster Damage Taken Bonus % (Freezing Breath - Weaken + Elemental Reset + Artifact Enemy Damage Taken, summed)</t>
        </is>
      </c>
      <c r="B2230">
        <f>IF(Inputs!$B$3&gt;=118,15*IF(Inputs!$B$38="pvp",MIN((30*(1+(Inputs!$B$34)/100)),15)/15,MIN(1,(30*(1+(Inputs!$B$34)/100))/(1/Q2210))),0)+IF(C2216=TRUE,F2216,0)+(IF(AND(ArtifactsInput!$M$35,Inputs!$B$4&lt;&gt;"Chapter Hunt"),CHOOSE(ArtifactsInput!$N$35+1,15,18,21,24,27,30)*(1-EXP(-(0.2*B2233)*5)),0)+IF(AND(ArtifactsInput!$M$22,Inputs!$B$4&lt;&gt;"Chapter Hunt"),CHOOSE(ArtifactsInput!$N$22+1,10,12,14,16,18,20)*((0*(((0.15*B2233*5))^0/1)+1*(((0.15*B2233*5))^1/1)+2*(((0.15*B2233*5))^2/2)+3*(((0.15*B2233*5))^3/6)+4*(((0.15*B2233*5))^4/24)+5*(((0.15*B2233*5))^5/120))/((((0.15*B2233*5))^0/1)+(((0.15*B2233*5))^1/1)+(((0.15*B2233*5))^2/2)+(((0.15*B2233*5))^3/6)+(((0.15*B2233*5))^4/24)+(((0.15*B2233*5))^5/120))),0))</f>
        <v/>
      </c>
    </row>
    <row r="2231">
      <c r="A2231" t="inlineStr">
        <is>
          <t>Damage % Bonus (Frozen Break + Frost Clutch, flat)</t>
        </is>
      </c>
      <c r="B2231">
        <f>IF(Inputs!$B$3&gt;=66,15,0)+IF(Inputs!$B$3&gt;=98,10,0)+IF(Inputs!$B$3&gt;=125,20,0)</f>
        <v/>
      </c>
    </row>
    <row r="2232">
      <c r="A2232" t="inlineStr">
        <is>
          <t>Attack Speed Bonus % (MP Eater - MP Boost, always-on + Nimble Feet, duty-cycle averaged)</t>
        </is>
      </c>
      <c r="B2232">
        <f>IF(C2215=TRUE,F2215+(F2219-Calc!F17),0)+((C2226=TRUE)*F2226*IF(AND(Inputs!$B$38&lt;&gt;"pvp",Inputs!$B$43&gt;0),(((R2226-1)*MIN((Skills!S24*(1+(Inputs!$B$34)/100)),(1/Q2226))+MIN((Skills!S24*(1+(Inputs!$B$34)/100)),MAX(0,Inputs!$B$43-((R2226-1)*(1/Q2226)))))/Inputs!$B$43),IF(Inputs!$B$38="pvp",MIN((Skills!S24*(1+(Inputs!$B$34)/100)),15)/15,MIN(1,(Skills!S24*(1+(Inputs!$B$34)/100))/(1/Q2226)))))</f>
        <v/>
      </c>
    </row>
    <row r="2233">
      <c r="A2233" t="inlineStr">
        <is>
          <t>Actions Per Second</t>
        </is>
      </c>
      <c r="B2233">
        <f>1+MIN(150,150*(1-(1-(Inputs!$B$11+(ArtifactsInput!$M$15-ArtifactsInput!$M$15)*CHOOSE(ArtifactsInput!$N$15+1,8,9.6,11.2,12.8,14.4,16))/150)*(1-B2232/150)))/100</f>
        <v/>
      </c>
    </row>
    <row r="2234">
      <c r="A2234" t="inlineStr">
        <is>
          <t>Skill + Buff Cast Rate</t>
        </is>
      </c>
      <c r="B2234">
        <f>IF(AND(Inputs!$B$38&lt;&gt;"pvp",Inputs!$B$43&gt;0),SUMPRODUCT((Skills!E2:E24=TRUE)*(C2204:C2226=TRUE)*R2204:R2226)/Inputs!$B$43,SUMPRODUCT((Skills!E2:E24=TRUE)*(C2204:C2226=TRUE)*Q2204:Q2226))</f>
        <v/>
      </c>
    </row>
    <row r="2235">
      <c r="A2235" t="inlineStr">
        <is>
          <t>Chain Lightning Casts Per Second</t>
        </is>
      </c>
      <c r="B2235">
        <f>MAX(0,B2233-B2234)</f>
        <v/>
      </c>
    </row>
    <row r="2236">
      <c r="A2236" t="inlineStr">
        <is>
          <t>Buff-Casting Startup Delay (s, fixed-duration only)</t>
        </is>
      </c>
      <c r="B2236">
        <f>IF(AND(Inputs!$B$38&lt;&gt;"pvp",Inputs!$B$43&gt;0),SUMPRODUCT((Skills!S2:S24&gt;0)*(Skills!E2:E24=TRUE)*(C2204:C2226=TRUE))/B2233,0)</f>
        <v/>
      </c>
    </row>
    <row r="2237">
      <c r="A2237" t="inlineStr">
        <is>
          <t>Boss-Only Total DPS (this block's swept value)</t>
        </is>
      </c>
      <c r="B2237">
        <f>SUM(S2204:S2226)</f>
        <v/>
      </c>
    </row>
    <row r="2238">
      <c r="A2238" t="inlineStr">
        <is>
          <t>Normal-Only Total DPS (this block's swept value)</t>
        </is>
      </c>
      <c r="B2238">
        <f>SUM(U2204:U2226)</f>
        <v/>
      </c>
    </row>
    <row r="2239">
      <c r="A2239" s="6" t="inlineStr">
        <is>
          <t>TOTAL DPS</t>
        </is>
      </c>
      <c r="B2239" s="6">
        <f>SUM(O2204:O2226)</f>
        <v/>
      </c>
    </row>
    <row r="2240">
      <c r="A2240" t="inlineStr">
        <is>
          <t>Blizzard Final Attack trigger rate (this block's own Q/R)</t>
        </is>
      </c>
      <c r="B2240">
        <f>IF(AND(Inputs!$B$38&lt;&gt;"pvp",Inputs!$B$43&gt;0),(((C2207=TRUE)*R2207*1)+((C2208=TRUE)*R2208*1)+((C2210=TRUE)*R2210*1)+((C2211=TRUE)*R2211*3)+((C2213=TRUE)*R2213*1))/Inputs!$B$43,((C2207=TRUE)*Q2207*1)+((C2208=TRUE)*Q2208*1)+((C2210=TRUE)*Q2210*1)+((C2211=TRUE)*Q2211*3)+((C2213=TRUE)*Q2213*1))+B2235</f>
        <v/>
      </c>
    </row>
    <row r="2243">
      <c r="A2243" s="6" t="inlineStr">
        <is>
          <t>Stat: Peach Tree Herb Pouch (Equip)</t>
        </is>
      </c>
    </row>
    <row r="2244">
      <c r="A2244" s="5" t="inlineStr">
        <is>
          <t>Key</t>
        </is>
      </c>
      <c r="B2244" s="5" t="inlineStr">
        <is>
          <t>Name</t>
        </is>
      </c>
      <c r="C2244" s="5" t="inlineStr">
        <is>
          <t>Unlocked</t>
        </is>
      </c>
      <c r="D2244" s="5" t="inlineStr">
        <is>
          <t>InputLevel</t>
        </is>
      </c>
      <c r="E2244" s="5" t="inlineStr">
        <is>
          <t>Factor</t>
        </is>
      </c>
      <c r="F2244" s="5" t="inlineStr">
        <is>
          <t>CoefficientPercent</t>
        </is>
      </c>
      <c r="G2244" s="5" t="inlineStr">
        <is>
          <t>EffectiveHits</t>
        </is>
      </c>
      <c r="H2244" s="5" t="inlineStr">
        <is>
          <t>ProcProbability</t>
        </is>
      </c>
      <c r="I2244" s="5" t="inlineStr">
        <is>
          <t>MapleHeroMultiplier</t>
        </is>
      </c>
      <c r="J2244" s="5" t="inlineStr">
        <is>
          <t>BaseDamage</t>
        </is>
      </c>
      <c r="K2244" s="5" t="inlineStr">
        <is>
          <t>BaseHitDamage</t>
        </is>
      </c>
      <c r="L2244" s="5" t="inlineStr">
        <is>
          <t>NonCritAvg</t>
        </is>
      </c>
      <c r="M2244" s="5" t="inlineStr">
        <is>
          <t>CritAvg</t>
        </is>
      </c>
      <c r="N2244" s="5" t="inlineStr">
        <is>
          <t>ExpectedDamage(perHit)</t>
        </is>
      </c>
      <c r="O2244" s="5" t="inlineStr">
        <is>
          <t>DPS</t>
        </is>
      </c>
      <c r="P2244" s="5" t="inlineStr">
        <is>
          <t>% of Total</t>
        </is>
      </c>
      <c r="R2244" t="inlineStr">
        <is>
          <t>helpers</t>
        </is>
      </c>
    </row>
    <row r="2245">
      <c r="A2245">
        <f>Skills!A2</f>
        <v/>
      </c>
      <c r="B2245">
        <f>Skills!B2</f>
        <v/>
      </c>
      <c r="C2245">
        <f>Inputs!$B$3&gt;=100</f>
        <v/>
      </c>
      <c r="D2245" t="inlineStr"/>
      <c r="E2245" t="inlineStr"/>
      <c r="F2245">
        <f>T2247+Skills!N2</f>
        <v/>
      </c>
      <c r="G2245">
        <f>Calc!G2</f>
        <v/>
      </c>
      <c r="H2245">
        <f>Calc!H2</f>
        <v/>
      </c>
      <c r="I2245">
        <f>IF(Skills!T2&lt;&gt;"",1+(Skills!T2/10)*(Z2246/1000)/100,1)</f>
        <v/>
      </c>
      <c r="J2245">
        <f>((Inputs!$B$6*(1+Inputs!$B$7/100))+(((Inputs!$B$12*(1+Inputs!$B$13/100))-(Inputs!$B$12*(1+Inputs!$B$13/100)))+0.25*(Inputs!$B$14-Inputs!$B$14))*(1+Inputs!$B$7/100))*(F2245/100)</f>
        <v/>
      </c>
      <c r="K2245">
        <f>J2245*(1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2="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2245)</f>
        <v/>
      </c>
      <c r="L2245">
        <f>K2245*(MIN(Inputs!$B$22+(F2261-Calc!F18),(Inputs!$B$23+(IF(ArtifactsInput!$M$15,CHOOSE(ArtifactsInput!$N$15+1,25,30,35,40,45,50)/100*(Inputs!$B$11-Inputs!$B$11),0))))/100+(Inputs!$B$23+(IF(ArtifactsInput!$M$15,CHOOSE(ArtifactsInput!$N$15+1,25,30,35,40,45,50)/100*(Inputs!$B$11-Inputs!$B$11),0)))/100)/2</f>
        <v/>
      </c>
      <c r="M2245">
        <f>L2245*(1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5">
        <f>L2245*(1-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2245*(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5">
        <f>(1-Summary!$B$11)*S2245+Summary!$B$11*U2245</f>
        <v/>
      </c>
      <c r="P2245">
        <f>IF(B2280=0,0,O2245/B2280)</f>
        <v/>
      </c>
      <c r="Q2245">
        <f>IFERROR(1/(IF(Inputs!$B$38="pvp",15,MAX(0.1,Skills!D2-IF(TRUE=TRUE,Inputs!$B$32,0)))*(1-IF(AND(ArtifactsInput!$M$27,Inputs!$B$4="Chapter Hunt"),CHOOSE(ArtifactsInput!$N$27+1,20,24,28,32,36,40),0)/100)),0)</f>
        <v/>
      </c>
      <c r="R2245" t="n">
        <v>0</v>
      </c>
      <c r="S2245">
        <f>IF(C2245,(Skills!F2*N2245*B2276)*IF(Inputs!$B$38="pvp",1,1+(Inputs!$B$20+Skills!O2+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2245*(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2245*(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45">
        <f>MAX(0,(Inputs!$B$3-100)*3)+Inputs!$B$28+Inputs!$B$29</f>
        <v/>
      </c>
      <c r="U2245">
        <f>IF(C2245,(Skills!F2*N2245*B2276)*IF(Inputs!$B$38="pvp",1,(1+(Inputs!$B$21+Skills!P2+B2271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245">
        <f>MAX(0,(Inputs!$B$3-100)*3)+Inputs!$B$28+Inputs!$B$29</f>
        <v/>
      </c>
    </row>
    <row r="2246">
      <c r="A2246">
        <f>Skills!A3</f>
        <v/>
      </c>
      <c r="B2246">
        <f>Skills!B3</f>
        <v/>
      </c>
      <c r="C2246">
        <f>Inputs!$B$3&gt;=15</f>
        <v/>
      </c>
      <c r="D2246">
        <f>IF(Skills!C3=1,60+Inputs!$B$25+Inputs!$B$29,IF(Skills!C3=2,90+Inputs!$B$26+Inputs!$B$29,IF(Skills!C3=3,120+Inputs!$B$27+Inputs!$B$29,MAX(0,(Inputs!$B$3-100)*3)+Inputs!$B$28+Inputs!$B$29)))</f>
        <v/>
      </c>
      <c r="E2246">
        <f>INDEX(FactorTable!$B$2:$Y$301, MATCH(ROUND(MIN(300,MAX(1,D2246)),0), FactorTable!$A$2:$A$301,0), Skills!L3+1)</f>
        <v/>
      </c>
      <c r="F2246">
        <f>IF(Skills!M3=TRUE,(Skills!K3/10)*(E2246/1000),Skills!K3/10)+Skills!N3</f>
        <v/>
      </c>
      <c r="G2246">
        <f>Calc!G3</f>
        <v/>
      </c>
      <c r="H2246">
        <f>Calc!H3</f>
        <v/>
      </c>
      <c r="I2246">
        <f>IF(Skills!T3&lt;&gt;"",1+(Skills!T3/10)*(Z2246/1000)/100,1)</f>
        <v/>
      </c>
      <c r="J2246" t="inlineStr"/>
      <c r="K2246" t="inlineStr"/>
      <c r="L2246" t="inlineStr"/>
      <c r="M2246" t="inlineStr"/>
      <c r="N2246" t="inlineStr"/>
      <c r="O2246">
        <f>(1-Summary!$B$11)*S2246+Summary!$B$11*U2246</f>
        <v/>
      </c>
      <c r="P2246">
        <f>IF(B2280=0,0,O2246/B2280)</f>
        <v/>
      </c>
      <c r="Q2246">
        <f>IFERROR(1/(IF(Inputs!$B$38="pvp",15,MAX(0.1,Skills!D3-IF(TRUE=TRUE,Inputs!$B$32,0)))*(1-IF(AND(ArtifactsInput!$M$27,Inputs!$B$4="Chapter Hunt"),CHOOSE(ArtifactsInput!$N$27+1,20,24,28,32,36,40),0)/100)),0)</f>
        <v/>
      </c>
      <c r="R2246">
        <f>IF(AND(Inputs!$B$38&lt;&gt;"pvp",Inputs!$B$43&gt;0),IF(Inputs!$B$43&lt;=0,0,(INT(Inputs!$B$43/(IF(Inputs!$B$38="pvp",15,MAX(0.1,Skills!D3-IF(TRUE=TRUE,Inputs!$B$32,0)))*(1-IF(AND(ArtifactsInput!$M$27,Inputs!$B$4="Chapter Hunt"),CHOOSE(ArtifactsInput!$N$27+1,20,24,28,32,36,40),0)/100)))+1)),0)</f>
        <v/>
      </c>
      <c r="S2246" t="n">
        <v>0</v>
      </c>
      <c r="T2246">
        <f>INDEX(FactorTable!$B$2:$Y$301, MATCH(ROUND(MIN(300,MAX(1,T2245)),0), FactorTable!$A$2:$A$301,0), 22)</f>
        <v/>
      </c>
      <c r="U2246" t="n">
        <v>0</v>
      </c>
      <c r="Z2246">
        <f>INDEX(FactorTable!$B$2:$Y$301, MATCH(ROUND(MIN(300,MAX(1,Z2245)),0), FactorTable!$A$2:$A$301,0), 24)</f>
        <v/>
      </c>
    </row>
    <row r="2247">
      <c r="A2247">
        <f>Skills!A4</f>
        <v/>
      </c>
      <c r="B2247">
        <f>Skills!B4</f>
        <v/>
      </c>
      <c r="C2247">
        <f>Inputs!$B$3&gt;=40</f>
        <v/>
      </c>
      <c r="D2247">
        <f>IF(Skills!C4=1,60+Inputs!$B$25+Inputs!$B$29,IF(Skills!C4=2,90+Inputs!$B$26+Inputs!$B$29,IF(Skills!C4=3,120+Inputs!$B$27+Inputs!$B$29,MAX(0,(Inputs!$B$3-100)*3)+Inputs!$B$28+Inputs!$B$29)))</f>
        <v/>
      </c>
      <c r="E2247">
        <f>INDEX(FactorTable!$B$2:$Y$301, MATCH(ROUND(MIN(300,MAX(1,D2247)),0), FactorTable!$A$2:$A$301,0), Skills!L4+1)</f>
        <v/>
      </c>
      <c r="F2247">
        <f>IF(Skills!M4=TRUE,(Skills!K4/10)*(E2247/1000),Skills!K4/10)+Skills!N4</f>
        <v/>
      </c>
      <c r="G2247">
        <f>Calc!G4</f>
        <v/>
      </c>
      <c r="H2247">
        <f>Calc!H4</f>
        <v/>
      </c>
      <c r="I2247">
        <f>IF(Skills!T4&lt;&gt;"",1+(Skills!T4/10)*(Z2246/1000)/100,1)</f>
        <v/>
      </c>
      <c r="J2247" t="inlineStr"/>
      <c r="K2247" t="inlineStr"/>
      <c r="L2247" t="inlineStr"/>
      <c r="M2247" t="inlineStr"/>
      <c r="N2247" t="inlineStr"/>
      <c r="O2247">
        <f>(1-Summary!$B$11)*S2247+Summary!$B$11*U2247</f>
        <v/>
      </c>
      <c r="P2247">
        <f>IF(B2280=0,0,O2247/B2280)</f>
        <v/>
      </c>
      <c r="Q2247">
        <f>IFERROR(1/(IF(Inputs!$B$38="pvp",15,MAX(0.1,Skills!D4-IF(TRUE=TRUE,Inputs!$B$32,0)))*(1-IF(AND(ArtifactsInput!$M$27,Inputs!$B$4="Chapter Hunt"),CHOOSE(ArtifactsInput!$N$27+1,20,24,28,32,36,40),0)/100)),0)</f>
        <v/>
      </c>
      <c r="R2247">
        <f>IF(AND(Inputs!$B$38&lt;&gt;"pvp",Inputs!$B$43&gt;0),IF(Inputs!$B$43&lt;=0,0,(INT(Inputs!$B$43/(IF(Inputs!$B$38="pvp",15,MAX(0.1,Skills!D4-IF(TRUE=TRUE,Inputs!$B$32,0)))*(1-IF(AND(ArtifactsInput!$M$27,Inputs!$B$4="Chapter Hunt"),CHOOSE(ArtifactsInput!$N$27+1,20,24,28,32,36,40),0)/100)))+1)),0)</f>
        <v/>
      </c>
      <c r="S2247" t="n">
        <v>0</v>
      </c>
      <c r="T2247">
        <f>290*T2246/1000</f>
        <v/>
      </c>
      <c r="U2247" t="n">
        <v>0</v>
      </c>
    </row>
    <row r="2248">
      <c r="A2248">
        <f>Skills!A5</f>
        <v/>
      </c>
      <c r="B2248">
        <f>Skills!B5</f>
        <v/>
      </c>
      <c r="C2248">
        <f>Inputs!$B$3&gt;=38</f>
        <v/>
      </c>
      <c r="D2248">
        <f>IF(Skills!C5=1,60+Inputs!$B$25+Inputs!$B$29,IF(Skills!C5=2,90+Inputs!$B$26+Inputs!$B$29,IF(Skills!C5=3,120+Inputs!$B$27+Inputs!$B$29,MAX(0,(Inputs!$B$3-100)*3)+Inputs!$B$28+Inputs!$B$29)))</f>
        <v/>
      </c>
      <c r="E2248">
        <f>INDEX(FactorTable!$B$2:$Y$301, MATCH(ROUND(MIN(300,MAX(1,D2248)),0), FactorTable!$A$2:$A$301,0), Skills!L5+1)</f>
        <v/>
      </c>
      <c r="F2248">
        <f>IF(Skills!M5=TRUE,(Skills!K5/10)*(E2248/1000),Skills!K5/10)+Skills!N5</f>
        <v/>
      </c>
      <c r="G2248">
        <f>Calc!G5</f>
        <v/>
      </c>
      <c r="H2248">
        <f>Calc!H5</f>
        <v/>
      </c>
      <c r="I2248">
        <f>IF(Skills!T5&lt;&gt;"",1+(Skills!T5/10)*(Z2246/1000)/100,1)</f>
        <v/>
      </c>
      <c r="J2248">
        <f>((Inputs!$B$6*(1+Inputs!$B$7/100))+(((Inputs!$B$12*(1+Inputs!$B$13/100))-(Inputs!$B$12*(1+Inputs!$B$13/100)))+0.25*(Inputs!$B$14-Inputs!$B$14))*(1+Inputs!$B$7/100))*(F2248/100)</f>
        <v/>
      </c>
      <c r="K2248">
        <f>J2248*(1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5="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2248)</f>
        <v/>
      </c>
      <c r="L2248">
        <f>K2248*(MIN(Inputs!$B$22+(F2261-Calc!F18),(Inputs!$B$23+(IF(ArtifactsInput!$M$15,CHOOSE(ArtifactsInput!$N$15+1,25,30,35,40,45,50)/100*(Inputs!$B$11-Inputs!$B$11),0))))/100+(Inputs!$B$23+(IF(ArtifactsInput!$M$15,CHOOSE(ArtifactsInput!$N$15+1,25,30,35,40,45,50)/100*(Inputs!$B$11-Inputs!$B$11),0)))/100)/2</f>
        <v/>
      </c>
      <c r="M2248">
        <f>L2248*(1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8">
        <f>L2248*(1-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2248*(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8">
        <f>(1-Summary!$B$11)*S2248+Summary!$B$11*U2248</f>
        <v/>
      </c>
      <c r="P2248">
        <f>IF(B2280=0,0,O2248/B2280)</f>
        <v/>
      </c>
      <c r="Q2248">
        <f>IFERROR(1/(IF(Inputs!$B$38="pvp",15,MAX(0.1,Skills!D5-IF(TRUE=TRUE,Inputs!$B$32,0)))*(1-IF(AND(ArtifactsInput!$M$27,Inputs!$B$4="Chapter Hunt"),CHOOSE(ArtifactsInput!$N$27+1,20,24,28,32,36,40),0)/100)),0)</f>
        <v/>
      </c>
      <c r="R2248">
        <f>IF(AND(Inputs!$B$38&lt;&gt;"pvp",Inputs!$B$43&gt;0),IF(MAX(0,Inputs!$B$43-B2277)&lt;=0,0,(INT(MAX(0,Inputs!$B$43-B2277)/(IF(Inputs!$B$38="pvp",15,MAX(0.1,Skills!D5-IF(TRUE=TRUE,Inputs!$B$32,0)))*(1-IF(AND(ArtifactsInput!$M$27,Inputs!$B$4="Chapter Hunt"),CHOOSE(ArtifactsInput!$N$27+1,20,24,28,32,36,40),0)/100)))+1)),0)</f>
        <v/>
      </c>
      <c r="S2248">
        <f>IF(C2248,(H2248*N2248*IF(AND(Inputs!$B$38&lt;&gt;"pvp",Inputs!$B$43&gt;0),((Skills!F5*((R2248-1)*IF(Skills!G5&gt;0,Skills!H5/Skills!G5,1)+IF(Skills!G5&gt;0,MIN(Skills!H5,MAX(0,MAX(0,Inputs!$B$43-B2277)-((R2248-1)*(IF(Inputs!$B$38="pvp",15,MAX(0.1,Skills!D5-IF(TRUE=TRUE,Inputs!$B$32,0)))*(1-IF(AND(ArtifactsInput!$M$27,Inputs!$B$4="Chapter Hunt"),CHOOSE(ArtifactsInput!$N$27+1,20,24,28,32,36,40),0)/100)))))/Skills!G5,1)))/Inputs!$B$43),G2248*Q2248))*IF(Inputs!$B$38="pvp",1,1+(Inputs!$B$20+Skills!O5+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2248*(1-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2248*(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2248*(1-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2248*(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48">
        <f>IF(C2248,(H2248*N2248*IF(AND(Inputs!$B$38&lt;&gt;"pvp",Inputs!$B$43&gt;0),((Skills!F5*((R2248-1)*IF(Skills!G5&gt;0,Skills!H5/Skills!G5,1)+IF(Skills!G5&gt;0,MIN(Skills!H5,MAX(0,MAX(0,Inputs!$B$43-B2277)-((R2248-1)*(IF(Inputs!$B$38="pvp",15,MAX(0.1,Skills!D5-IF(TRUE=TRUE,Inputs!$B$32,0)))*(1-IF(AND(ArtifactsInput!$M$27,Inputs!$B$4="Chapter Hunt"),CHOOSE(ArtifactsInput!$N$27+1,20,24,28,32,36,40),0)/100)))))/Skills!G5,1)))/Inputs!$B$43),G2248*Q2248))*IF(Inputs!$B$38="pvp",1,(1+(Inputs!$B$21+Skills!P5+B2271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9">
      <c r="A2249">
        <f>Skills!A6</f>
        <v/>
      </c>
      <c r="B2249">
        <f>Skills!B6</f>
        <v/>
      </c>
      <c r="C2249">
        <f>Inputs!$B$3&gt;=63</f>
        <v/>
      </c>
      <c r="D2249">
        <f>IF(Skills!C6=1,60+Inputs!$B$25+Inputs!$B$29,IF(Skills!C6=2,90+Inputs!$B$26+Inputs!$B$29,IF(Skills!C6=3,120+Inputs!$B$27+Inputs!$B$29,MAX(0,(Inputs!$B$3-100)*3)+Inputs!$B$28+Inputs!$B$29)))</f>
        <v/>
      </c>
      <c r="E2249">
        <f>INDEX(FactorTable!$B$2:$Y$301, MATCH(ROUND(MIN(300,MAX(1,D2249)),0), FactorTable!$A$2:$A$301,0), Skills!L6+1)</f>
        <v/>
      </c>
      <c r="F2249">
        <f>IF(Skills!M6=TRUE,(Skills!K6/10)*(E2249/1000),Skills!K6/10)+Skills!N6</f>
        <v/>
      </c>
      <c r="G2249">
        <f>Calc!G6</f>
        <v/>
      </c>
      <c r="H2249">
        <f>Calc!H6</f>
        <v/>
      </c>
      <c r="I2249">
        <f>IF(Skills!T6&lt;&gt;"",1+(Skills!T6/10)*(Z2246/1000)/100,1)</f>
        <v/>
      </c>
      <c r="J2249">
        <f>((Inputs!$B$6*(1+Inputs!$B$7/100))+(((Inputs!$B$12*(1+Inputs!$B$13/100))-(Inputs!$B$12*(1+Inputs!$B$13/100)))+0.25*(Inputs!$B$14-Inputs!$B$14))*(1+Inputs!$B$7/100))*(F2249/100)</f>
        <v/>
      </c>
      <c r="K2249">
        <f>J2249*(1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6="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2249)</f>
        <v/>
      </c>
      <c r="L2249">
        <f>K2249*(MIN(Inputs!$B$22+(F2261-Calc!F18),(Inputs!$B$23+(IF(ArtifactsInput!$M$15,CHOOSE(ArtifactsInput!$N$15+1,25,30,35,40,45,50)/100*(Inputs!$B$11-Inputs!$B$11),0))))/100+(Inputs!$B$23+(IF(ArtifactsInput!$M$15,CHOOSE(ArtifactsInput!$N$15+1,25,30,35,40,45,50)/100*(Inputs!$B$11-Inputs!$B$11),0)))/100)/2</f>
        <v/>
      </c>
      <c r="M2249">
        <f>L2249*(1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9">
        <f>L2249*(1-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2249*(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9">
        <f>(1-Summary!$B$11)*S2249+Summary!$B$11*U2249</f>
        <v/>
      </c>
      <c r="P2249">
        <f>IF(B2280=0,0,O2249/B2280)</f>
        <v/>
      </c>
      <c r="Q2249">
        <f>IFERROR(1/(IF(Inputs!$B$38="pvp",15,MAX(0.1,Skills!D6-IF(TRUE=TRUE,Inputs!$B$32,0)))*(1-IF(AND(ArtifactsInput!$M$27,Inputs!$B$4="Chapter Hunt"),CHOOSE(ArtifactsInput!$N$27+1,20,24,28,32,36,40),0)/100)),0)</f>
        <v/>
      </c>
      <c r="R2249">
        <f>IF(AND(Inputs!$B$38&lt;&gt;"pvp",Inputs!$B$43&gt;0),IF(MAX(0,Inputs!$B$43-B2277)&lt;=0,0,(INT(MAX(0,Inputs!$B$43-B2277)/(IF(Inputs!$B$38="pvp",15,MAX(0.1,Skills!D6-IF(TRUE=TRUE,Inputs!$B$32,0)))*(1-IF(AND(ArtifactsInput!$M$27,Inputs!$B$4="Chapter Hunt"),CHOOSE(ArtifactsInput!$N$27+1,20,24,28,32,36,40),0)/100)))+1)),0)</f>
        <v/>
      </c>
      <c r="S2249">
        <f>IF(C2249,(H2249*N2249*IF(AND(Inputs!$B$38&lt;&gt;"pvp",Inputs!$B$43&gt;0),((Skills!F6*((R2249-1)*IF(Skills!G6&gt;0,Skills!H6/Skills!G6,1)+IF(Skills!G6&gt;0,MIN(Skills!H6,MAX(0,MAX(0,Inputs!$B$43-B2277)-((R2249-1)*(IF(Inputs!$B$38="pvp",15,MAX(0.1,Skills!D6-IF(TRUE=TRUE,Inputs!$B$32,0)))*(1-IF(AND(ArtifactsInput!$M$27,Inputs!$B$4="Chapter Hunt"),CHOOSE(ArtifactsInput!$N$27+1,20,24,28,32,36,40),0)/100)))))/Skills!G6,1)))/Inputs!$B$43),G2249*Q2249))*IF(Inputs!$B$38="pvp",1,1+(Inputs!$B$20+Skills!O6+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2249*(1-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2249*(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2249*(1-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2249*(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49">
        <f>IF(C2249,(H2249*N2249*IF(AND(Inputs!$B$38&lt;&gt;"pvp",Inputs!$B$43&gt;0),((Skills!F6*((R2249-1)*IF(Skills!G6&gt;0,Skills!H6/Skills!G6,1)+IF(Skills!G6&gt;0,MIN(Skills!H6,MAX(0,MAX(0,Inputs!$B$43-B2277)-((R2249-1)*(IF(Inputs!$B$38="pvp",15,MAX(0.1,Skills!D6-IF(TRUE=TRUE,Inputs!$B$32,0)))*(1-IF(AND(ArtifactsInput!$M$27,Inputs!$B$4="Chapter Hunt"),CHOOSE(ArtifactsInput!$N$27+1,20,24,28,32,36,40),0)/100)))))/Skills!G6,1)))/Inputs!$B$43),G2249*Q2249))*IF(Inputs!$B$38="pvp",1,(1+(Inputs!$B$21+Skills!P6+B2271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0">
      <c r="A2250">
        <f>Skills!A7</f>
        <v/>
      </c>
      <c r="B2250">
        <f>Skills!B7</f>
        <v/>
      </c>
      <c r="C2250">
        <f>Inputs!$B$3&gt;=69</f>
        <v/>
      </c>
      <c r="D2250">
        <f>IF(Skills!C7=1,60+Inputs!$B$25+Inputs!$B$29,IF(Skills!C7=2,90+Inputs!$B$26+Inputs!$B$29,IF(Skills!C7=3,120+Inputs!$B$27+Inputs!$B$29,MAX(0,(Inputs!$B$3-100)*3)+Inputs!$B$28+Inputs!$B$29)))</f>
        <v/>
      </c>
      <c r="E2250">
        <f>INDEX(FactorTable!$B$2:$Y$301, MATCH(ROUND(MIN(300,MAX(1,D2250)),0), FactorTable!$A$2:$A$301,0), Skills!L7+1)</f>
        <v/>
      </c>
      <c r="F2250">
        <f>IF(Skills!M7=TRUE,(Skills!K7/10)*(E2250/1000),Skills!K7/10)+Skills!N7</f>
        <v/>
      </c>
      <c r="G2250">
        <f>Calc!G7</f>
        <v/>
      </c>
      <c r="H2250">
        <f>Calc!H7</f>
        <v/>
      </c>
      <c r="I2250">
        <f>IF(Skills!T7&lt;&gt;"",1+(Skills!T7/10)*(Z2246/1000)/100,1)</f>
        <v/>
      </c>
      <c r="J2250">
        <f>((Inputs!$B$6*(1+Inputs!$B$7/100))+(((Inputs!$B$12*(1+Inputs!$B$13/100))-(Inputs!$B$12*(1+Inputs!$B$13/100)))+0.25*(Inputs!$B$14-Inputs!$B$14))*(1+Inputs!$B$7/100))*(F2250/100)</f>
        <v/>
      </c>
      <c r="K2250">
        <f>J2250*(1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7="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2250)</f>
        <v/>
      </c>
      <c r="L2250">
        <f>K2250*(MIN(Inputs!$B$22+(F2261-Calc!F18),(Inputs!$B$23+(IF(ArtifactsInput!$M$15,CHOOSE(ArtifactsInput!$N$15+1,25,30,35,40,45,50)/100*(Inputs!$B$11-Inputs!$B$11),0))))/100+(Inputs!$B$23+(IF(ArtifactsInput!$M$15,CHOOSE(ArtifactsInput!$N$15+1,25,30,35,40,45,50)/100*(Inputs!$B$11-Inputs!$B$11),0)))/100)/2</f>
        <v/>
      </c>
      <c r="M2250">
        <f>L2250*(1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0">
        <f>L2250*(1-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2250*(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0">
        <f>(1-Summary!$B$11)*S2250+Summary!$B$11*U2250</f>
        <v/>
      </c>
      <c r="P2250">
        <f>IF(B2280=0,0,O2250/B2280)</f>
        <v/>
      </c>
      <c r="Q2250">
        <f>IFERROR(1/(IF(Inputs!$B$38="pvp",15,MAX(0.1,Skills!D7-IF(TRUE=TRUE,Inputs!$B$32,0)))*(1-IF(AND(ArtifactsInput!$M$27,Inputs!$B$4="Chapter Hunt"),CHOOSE(ArtifactsInput!$N$27+1,20,24,28,32,36,40),0)/100)),0)</f>
        <v/>
      </c>
      <c r="R2250">
        <f>IF(AND(Inputs!$B$38&lt;&gt;"pvp",Inputs!$B$43&gt;0),IF(MAX(0,Inputs!$B$43-B2277)&lt;=0,0,(INT(MAX(0,Inputs!$B$43-B2277)/(IF(Inputs!$B$38="pvp",15,MAX(0.1,Skills!D7-IF(TRUE=TRUE,Inputs!$B$32,0)))*(1-IF(AND(ArtifactsInput!$M$27,Inputs!$B$4="Chapter Hunt"),CHOOSE(ArtifactsInput!$N$27+1,20,24,28,32,36,40),0)/100)))+1)),0)</f>
        <v/>
      </c>
      <c r="S2250">
        <f>IF(C2250,(H2250*N2250*IF(AND(Inputs!$B$38&lt;&gt;"pvp",Inputs!$B$43&gt;0),((Skills!F7*((R2250-1)*IF(Skills!G7&gt;0,Skills!H7/Skills!G7,1)+IF(Skills!G7&gt;0,MIN(Skills!H7,MAX(0,MAX(0,Inputs!$B$43-B2277)-((R2250-1)*(IF(Inputs!$B$38="pvp",15,MAX(0.1,Skills!D7-IF(TRUE=TRUE,Inputs!$B$32,0)))*(1-IF(AND(ArtifactsInput!$M$27,Inputs!$B$4="Chapter Hunt"),CHOOSE(ArtifactsInput!$N$27+1,20,24,28,32,36,40),0)/100)))))/Skills!G7,1)))/Inputs!$B$43),G2250*Q2250))*IF(Inputs!$B$38="pvp",1,1+(Inputs!$B$20+Skills!O7+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2250*(1-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2250*(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2250*(1-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2250*(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0">
        <f>IF(C2250,(H2250*N2250*IF(AND(Inputs!$B$38&lt;&gt;"pvp",Inputs!$B$43&gt;0),((Skills!F7*((R2250-1)*IF(Skills!G7&gt;0,Skills!H7/Skills!G7,1)+IF(Skills!G7&gt;0,MIN(Skills!H7,MAX(0,MAX(0,Inputs!$B$43-B2277)-((R2250-1)*(IF(Inputs!$B$38="pvp",15,MAX(0.1,Skills!D7-IF(TRUE=TRUE,Inputs!$B$32,0)))*(1-IF(AND(ArtifactsInput!$M$27,Inputs!$B$4="Chapter Hunt"),CHOOSE(ArtifactsInput!$N$27+1,20,24,28,32,36,40),0)/100)))))/Skills!G7,1)))/Inputs!$B$43),G2250*Q2250))*IF(Inputs!$B$38="pvp",1,(1+(Inputs!$B$21+Skills!P7+B2271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1">
      <c r="A2251">
        <f>Skills!A8</f>
        <v/>
      </c>
      <c r="B2251">
        <f>Skills!B8</f>
        <v/>
      </c>
      <c r="C2251">
        <f>Inputs!$B$3&gt;=103</f>
        <v/>
      </c>
      <c r="D2251">
        <f>IF(Skills!C8=1,60+Inputs!$B$25+Inputs!$B$29,IF(Skills!C8=2,90+Inputs!$B$26+Inputs!$B$29,IF(Skills!C8=3,120+Inputs!$B$27+Inputs!$B$29,MAX(0,(Inputs!$B$3-100)*3)+Inputs!$B$28+Inputs!$B$29)))</f>
        <v/>
      </c>
      <c r="E2251">
        <f>INDEX(FactorTable!$B$2:$Y$301, MATCH(ROUND(MIN(300,MAX(1,D2251)),0), FactorTable!$A$2:$A$301,0), Skills!L8+1)</f>
        <v/>
      </c>
      <c r="F2251">
        <f>IF(Skills!M8=TRUE,(Skills!K8/10)*(E2251/1000),Skills!K8/10)+Skills!N8</f>
        <v/>
      </c>
      <c r="G2251">
        <f>Calc!G8</f>
        <v/>
      </c>
      <c r="H2251">
        <f>Calc!H8</f>
        <v/>
      </c>
      <c r="I2251">
        <f>IF(Skills!T8&lt;&gt;"",1+(Skills!T8/10)*(Z2246/1000)/100,1)</f>
        <v/>
      </c>
      <c r="J2251">
        <f>((Inputs!$B$6*(1+Inputs!$B$7/100))+(((Inputs!$B$12*(1+Inputs!$B$13/100))-(Inputs!$B$12*(1+Inputs!$B$13/100)))+0.25*(Inputs!$B$14-Inputs!$B$14))*(1+Inputs!$B$7/100))*(F2251/100)</f>
        <v/>
      </c>
      <c r="K2251">
        <f>J2251*(1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8="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2251)</f>
        <v/>
      </c>
      <c r="L2251">
        <f>K2251*(MIN(Inputs!$B$22+(F2261-Calc!F18),(Inputs!$B$23+(IF(ArtifactsInput!$M$15,CHOOSE(ArtifactsInput!$N$15+1,25,30,35,40,45,50)/100*(Inputs!$B$11-Inputs!$B$11),0))))/100+(Inputs!$B$23+(IF(ArtifactsInput!$M$15,CHOOSE(ArtifactsInput!$N$15+1,25,30,35,40,45,50)/100*(Inputs!$B$11-Inputs!$B$11),0)))/100)/2</f>
        <v/>
      </c>
      <c r="M2251">
        <f>L2251*(1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1">
        <f>L2251*(1-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1">
        <f>(1-Summary!$B$11)*S2251+Summary!$B$11*U2251</f>
        <v/>
      </c>
      <c r="P2251">
        <f>IF(B2280=0,0,O2251/B2280)</f>
        <v/>
      </c>
      <c r="Q2251">
        <f>IFERROR(1/(IF(Inputs!$B$38="pvp",15,MAX(0.1,Skills!D8-IF(TRUE=TRUE,Inputs!$B$32,0)))*(1-IF(AND(ArtifactsInput!$M$27,Inputs!$B$4="Chapter Hunt"),CHOOSE(ArtifactsInput!$N$27+1,20,24,28,32,36,40),0)/100)),0)</f>
        <v/>
      </c>
      <c r="R2251">
        <f>IF(AND(Inputs!$B$38&lt;&gt;"pvp",Inputs!$B$43&gt;0),IF(MAX(0,Inputs!$B$43-B2277)&lt;=0,0,(INT(MAX(0,Inputs!$B$43-B2277)/(IF(Inputs!$B$38="pvp",15,MAX(0.1,Skills!D8-IF(TRUE=TRUE,Inputs!$B$32,0)))*(1-IF(AND(ArtifactsInput!$M$27,Inputs!$B$4="Chapter Hunt"),CHOOSE(ArtifactsInput!$N$27+1,20,24,28,32,36,40),0)/100)))+1)),0)</f>
        <v/>
      </c>
      <c r="S2251">
        <f>IF(C2251,(H2251*N2251*IF(AND(Inputs!$B$38&lt;&gt;"pvp",Inputs!$B$43&gt;0),((Skills!F8*((R2251-1)*IF(Skills!G8&gt;0,Skills!H8/Skills!G8,1)+IF(Skills!G8&gt;0,MIN(Skills!H8,MAX(0,MAX(0,Inputs!$B$43-B2277)-((R2251-1)*(IF(Inputs!$B$38="pvp",15,MAX(0.1,Skills!D8-IF(TRUE=TRUE,Inputs!$B$32,0)))*(1-IF(AND(ArtifactsInput!$M$27,Inputs!$B$4="Chapter Hunt"),CHOOSE(ArtifactsInput!$N$27+1,20,24,28,32,36,40),0)/100)))))/Skills!G8,1)))/Inputs!$B$43),G2251*Q2251))*IF(Inputs!$B$38="pvp",1,1+(Inputs!$B$20+Skills!O8+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2251*(1-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2251*(1-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1">
        <f>IF(C2251,(H2251*N2251*IF(AND(Inputs!$B$38&lt;&gt;"pvp",Inputs!$B$43&gt;0),((Skills!F8*((R2251-1)*IF(Skills!G8&gt;0,Skills!H8/Skills!G8,1)+IF(Skills!G8&gt;0,MIN(Skills!H8,MAX(0,MAX(0,Inputs!$B$43-B2277)-((R2251-1)*(IF(Inputs!$B$38="pvp",15,MAX(0.1,Skills!D8-IF(TRUE=TRUE,Inputs!$B$32,0)))*(1-IF(AND(ArtifactsInput!$M$27,Inputs!$B$4="Chapter Hunt"),CHOOSE(ArtifactsInput!$N$27+1,20,24,28,32,36,40),0)/100)))))/Skills!G8,1)))/Inputs!$B$43),G2251*Q2251))*IF(Inputs!$B$38="pvp",1,(1+(Inputs!$B$21+Skills!P8+B2271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2">
      <c r="A2252">
        <f>Skills!A9</f>
        <v/>
      </c>
      <c r="B2252">
        <f>Skills!B9</f>
        <v/>
      </c>
      <c r="C2252">
        <f>Inputs!$B$3&gt;=105</f>
        <v/>
      </c>
      <c r="D2252">
        <f>IF(Skills!C9=1,60+Inputs!$B$25+Inputs!$B$29,IF(Skills!C9=2,90+Inputs!$B$26+Inputs!$B$29,IF(Skills!C9=3,120+Inputs!$B$27+Inputs!$B$29,MAX(0,(Inputs!$B$3-100)*3)+Inputs!$B$28+Inputs!$B$29)))</f>
        <v/>
      </c>
      <c r="E2252">
        <f>INDEX(FactorTable!$B$2:$Y$301, MATCH(ROUND(MIN(300,MAX(1,D2252)),0), FactorTable!$A$2:$A$301,0), Skills!L9+1)</f>
        <v/>
      </c>
      <c r="F2252">
        <f>IF(Skills!M9=TRUE,(Skills!K9/10)*(E2252/1000),Skills!K9/10)+Skills!N9</f>
        <v/>
      </c>
      <c r="G2252">
        <f>Calc!G9</f>
        <v/>
      </c>
      <c r="H2252">
        <f>Calc!H9</f>
        <v/>
      </c>
      <c r="I2252">
        <f>IF(Skills!T9&lt;&gt;"",1+(Skills!T9/10)*(Z2246/1000)/100,1)</f>
        <v/>
      </c>
      <c r="J2252">
        <f>((Inputs!$B$6*(1+Inputs!$B$7/100))+(((Inputs!$B$12*(1+Inputs!$B$13/100))-(Inputs!$B$12*(1+Inputs!$B$13/100)))+0.25*(Inputs!$B$14-Inputs!$B$14))*(1+Inputs!$B$7/100))*(F2252/100)</f>
        <v/>
      </c>
      <c r="K2252">
        <f>J2252*(1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9="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2252)</f>
        <v/>
      </c>
      <c r="L2252">
        <f>K2252*(MIN(Inputs!$B$22+(F2261-Calc!F18),(Inputs!$B$23+(IF(ArtifactsInput!$M$15,CHOOSE(ArtifactsInput!$N$15+1,25,30,35,40,45,50)/100*(Inputs!$B$11-Inputs!$B$11),0))))/100+(Inputs!$B$23+(IF(ArtifactsInput!$M$15,CHOOSE(ArtifactsInput!$N$15+1,25,30,35,40,45,50)/100*(Inputs!$B$11-Inputs!$B$11),0)))/100)/2</f>
        <v/>
      </c>
      <c r="M2252">
        <f>L2252*(1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2">
        <f>L2252*(1-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2252*(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2">
        <f>(1-Summary!$B$11)*S2252+Summary!$B$11*U2252</f>
        <v/>
      </c>
      <c r="P2252">
        <f>IF(B2280=0,0,O2252/B2280)</f>
        <v/>
      </c>
      <c r="Q2252">
        <f>IFERROR(1/(IF(Inputs!$B$38="pvp",15,MAX(0.1,Skills!D9-IF(TRUE=TRUE,Inputs!$B$32,0)))*(1-IF(AND(ArtifactsInput!$M$27,Inputs!$B$4="Chapter Hunt"),CHOOSE(ArtifactsInput!$N$27+1,20,24,28,32,36,40),0)/100)),0)</f>
        <v/>
      </c>
      <c r="R2252">
        <f>IF(AND(Inputs!$B$38&lt;&gt;"pvp",Inputs!$B$43&gt;0),IF(MAX(0,Inputs!$B$43-B2277)&lt;=0,0,(INT(MAX(0,Inputs!$B$43-B2277)/(IF(Inputs!$B$38="pvp",15,MAX(0.1,Skills!D9-IF(TRUE=TRUE,Inputs!$B$32,0)))*(1-IF(AND(ArtifactsInput!$M$27,Inputs!$B$4="Chapter Hunt"),CHOOSE(ArtifactsInput!$N$27+1,20,24,28,32,36,40),0)/100)))+1)),0)</f>
        <v/>
      </c>
      <c r="S2252">
        <f>IF(C2252,(H2252*N2252*IF(AND(Inputs!$B$38&lt;&gt;"pvp",Inputs!$B$43&gt;0),((Skills!F9*((R2252-1)*IF(Skills!G9&gt;0,Skills!H9/Skills!G9,1)+IF(Skills!G9&gt;0,MIN(Skills!H9,MAX(0,MAX(0,Inputs!$B$43-B2277)-((R2252-1)*(IF(Inputs!$B$38="pvp",15,MAX(0.1,Skills!D9-IF(TRUE=TRUE,Inputs!$B$32,0)))*(1-IF(AND(ArtifactsInput!$M$27,Inputs!$B$4="Chapter Hunt"),CHOOSE(ArtifactsInput!$N$27+1,20,24,28,32,36,40),0)/100)))))/Skills!G9,1)))/Inputs!$B$43),G2252*Q2252))*IF(Inputs!$B$38="pvp",1,1+(Inputs!$B$20+Skills!O9+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2252*(1-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2252*(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2252*(1-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2252*(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2">
        <f>IF(C2252,(H2252*N2252*IF(AND(Inputs!$B$38&lt;&gt;"pvp",Inputs!$B$43&gt;0),((Skills!F9*((R2252-1)*IF(Skills!G9&gt;0,Skills!H9/Skills!G9,1)+IF(Skills!G9&gt;0,MIN(Skills!H9,MAX(0,MAX(0,Inputs!$B$43-B2277)-((R2252-1)*(IF(Inputs!$B$38="pvp",15,MAX(0.1,Skills!D9-IF(TRUE=TRUE,Inputs!$B$32,0)))*(1-IF(AND(ArtifactsInput!$M$27,Inputs!$B$4="Chapter Hunt"),CHOOSE(ArtifactsInput!$N$27+1,20,24,28,32,36,40),0)/100)))))/Skills!G9,1)))/Inputs!$B$43),G2252*Q2252))*IF(Inputs!$B$38="pvp",1,(1+(Inputs!$B$21+Skills!P9+B2271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3">
      <c r="A2253">
        <f>Skills!A10</f>
        <v/>
      </c>
      <c r="B2253">
        <f>Skills!B10</f>
        <v/>
      </c>
      <c r="C2253">
        <f>Inputs!$B$3&gt;=113</f>
        <v/>
      </c>
      <c r="D2253">
        <f>IF(Skills!C10=1,60+Inputs!$B$25+Inputs!$B$29,IF(Skills!C10=2,90+Inputs!$B$26+Inputs!$B$29,IF(Skills!C10=3,120+Inputs!$B$27+Inputs!$B$29,MAX(0,(Inputs!$B$3-100)*3)+Inputs!$B$28+Inputs!$B$29)))</f>
        <v/>
      </c>
      <c r="E2253">
        <f>INDEX(FactorTable!$B$2:$Y$301, MATCH(ROUND(MIN(300,MAX(1,D2253)),0), FactorTable!$A$2:$A$301,0), Skills!L10+1)</f>
        <v/>
      </c>
      <c r="F2253">
        <f>IF(Skills!M10=TRUE,(Skills!K10/10)*(E2253/1000),Skills!K10/10)+Skills!N10</f>
        <v/>
      </c>
      <c r="G2253">
        <f>Calc!G10</f>
        <v/>
      </c>
      <c r="H2253">
        <f>Calc!H10</f>
        <v/>
      </c>
      <c r="I2253">
        <f>IF(Skills!T10&lt;&gt;"",1+(Skills!T10/10)*(Z2246/1000)/100,1)</f>
        <v/>
      </c>
      <c r="J2253">
        <f>((Inputs!$B$6*(1+Inputs!$B$7/100))+(((Inputs!$B$12*(1+Inputs!$B$13/100))-(Inputs!$B$12*(1+Inputs!$B$13/100)))+0.25*(Inputs!$B$14-Inputs!$B$14))*(1+Inputs!$B$7/100))*(F2253/100)</f>
        <v/>
      </c>
      <c r="K2253">
        <f>J2253*(1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10="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2253)</f>
        <v/>
      </c>
      <c r="L2253">
        <f>K2253*(MIN(Inputs!$B$22+(F2261-Calc!F18),(Inputs!$B$23+(IF(ArtifactsInput!$M$15,CHOOSE(ArtifactsInput!$N$15+1,25,30,35,40,45,50)/100*(Inputs!$B$11-Inputs!$B$11),0))))/100+(Inputs!$B$23+(IF(ArtifactsInput!$M$15,CHOOSE(ArtifactsInput!$N$15+1,25,30,35,40,45,50)/100*(Inputs!$B$11-Inputs!$B$11),0)))/100)/2</f>
        <v/>
      </c>
      <c r="M2253">
        <f>L2253*(1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3">
        <f>L2253*(1-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2253*(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3">
        <f>(1-Summary!$B$11)*S2253+Summary!$B$11*U2253</f>
        <v/>
      </c>
      <c r="P2253">
        <f>IF(B2280=0,0,O2253/B2280)</f>
        <v/>
      </c>
      <c r="Q2253">
        <f>IFERROR(1/(IF(Inputs!$B$38="pvp",15,MAX(0.1,Skills!D10-IF(TRUE=TRUE,Inputs!$B$32,0)))*(1-IF(AND(ArtifactsInput!$M$27,Inputs!$B$4="Chapter Hunt"),CHOOSE(ArtifactsInput!$N$27+1,20,24,28,32,36,40),0)/100)),0)</f>
        <v/>
      </c>
      <c r="R2253" t="n">
        <v>0</v>
      </c>
      <c r="S2253">
        <f>IF(C2253,((H2253*B2281)/(1+Skills!G10*H2253*B2281)*N2253)*IF(Inputs!$B$38="pvp",1,1+(Inputs!$B$20+Skills!O10+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2253*(1-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2253*(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2253*(1-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2253*(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3">
        <f>IF(C2253,((H2253*B2281)/(1+Skills!G10*H2253*B2281)*N2253)*IF(Inputs!$B$38="pvp",1,(1+(Inputs!$B$21+Skills!P10+B2271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4">
      <c r="A2254">
        <f>Skills!A11</f>
        <v/>
      </c>
      <c r="B2254">
        <f>Skills!B11</f>
        <v/>
      </c>
      <c r="C2254">
        <f>Inputs!$B$3&gt;=107</f>
        <v/>
      </c>
      <c r="D2254">
        <f>IF(Skills!C11=1,60+Inputs!$B$25+Inputs!$B$29,IF(Skills!C11=2,90+Inputs!$B$26+Inputs!$B$29,IF(Skills!C11=3,120+Inputs!$B$27+Inputs!$B$29,MAX(0,(Inputs!$B$3-100)*3)+Inputs!$B$28+Inputs!$B$29)))</f>
        <v/>
      </c>
      <c r="E2254">
        <f>INDEX(FactorTable!$B$2:$Y$301, MATCH(ROUND(MIN(300,MAX(1,D2254)),0), FactorTable!$A$2:$A$301,0), Skills!L11+1)</f>
        <v/>
      </c>
      <c r="F2254">
        <f>IF(Skills!M11=TRUE,(Skills!K11/10)*(E2254/1000),Skills!K11/10)+Skills!N11</f>
        <v/>
      </c>
      <c r="G2254">
        <f>Calc!G11</f>
        <v/>
      </c>
      <c r="H2254">
        <f>Calc!H11</f>
        <v/>
      </c>
      <c r="I2254">
        <f>IF(Skills!T11&lt;&gt;"",1+(Skills!T11/10)*(Z2246/1000)/100,1)</f>
        <v/>
      </c>
      <c r="J2254">
        <f>((Inputs!$B$6*(1+Inputs!$B$7/100))+(((Inputs!$B$12*(1+Inputs!$B$13/100))-(Inputs!$B$12*(1+Inputs!$B$13/100)))+0.25*(Inputs!$B$14-Inputs!$B$14))*(1+Inputs!$B$7/100))*(F2254/100)</f>
        <v/>
      </c>
      <c r="K2254">
        <f>J2254*(1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11="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2254)</f>
        <v/>
      </c>
      <c r="L2254">
        <f>K2254*(MIN(Inputs!$B$22+(F2261-Calc!F18),(Inputs!$B$23+(IF(ArtifactsInput!$M$15,CHOOSE(ArtifactsInput!$N$15+1,25,30,35,40,45,50)/100*(Inputs!$B$11-Inputs!$B$11),0))))/100+(Inputs!$B$23+(IF(ArtifactsInput!$M$15,CHOOSE(ArtifactsInput!$N$15+1,25,30,35,40,45,50)/100*(Inputs!$B$11-Inputs!$B$11),0)))/100)/2</f>
        <v/>
      </c>
      <c r="M2254">
        <f>L2254*(1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4">
        <f>L2254*(1-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2254*(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4">
        <f>(1-Summary!$B$11)*S2254+Summary!$B$11*U2254</f>
        <v/>
      </c>
      <c r="P2254">
        <f>IF(B2280=0,0,O2254/B2280)</f>
        <v/>
      </c>
      <c r="Q2254">
        <f>IFERROR(1/(IF(Inputs!$B$38="pvp",15,MAX(0.1,Skills!D11-IF(TRUE=TRUE,Inputs!$B$32,0)))*(1-IF(AND(ArtifactsInput!$M$27,Inputs!$B$4="Chapter Hunt"),CHOOSE(ArtifactsInput!$N$27+1,20,24,28,32,36,40),0)/100)),0)</f>
        <v/>
      </c>
      <c r="R2254">
        <f>IF(AND(Inputs!$B$38&lt;&gt;"pvp",Inputs!$B$43&gt;0),IF(MAX(0,Inputs!$B$43-B2277)&lt;=0,0,(INT(MAX(0,Inputs!$B$43-B2277)/(IF(Inputs!$B$38="pvp",15,MAX(0.1,Skills!D11-IF(TRUE=TRUE,Inputs!$B$32,0)))*(1-IF(AND(ArtifactsInput!$M$27,Inputs!$B$4="Chapter Hunt"),CHOOSE(ArtifactsInput!$N$27+1,20,24,28,32,36,40),0)/100)))+1)),0)</f>
        <v/>
      </c>
      <c r="S2254">
        <f>IF(C2254,H2254*N2254*IF(AND(Inputs!$B$38&lt;&gt;"pvp",Inputs!$B$43&gt;0),((Skills!F11*((R2254-1)*IF(Skills!G11&gt;0,Skills!H11/Skills!G11,1)+IF(Skills!G11&gt;0,MIN(Skills!H11,MAX(0,MAX(0,Inputs!$B$43-B2277)-((R2254-1)*(IF(Inputs!$B$38="pvp",15,MAX(0.1,Skills!D11-IF(TRUE=TRUE,Inputs!$B$32,0)))*(1-IF(AND(ArtifactsInput!$M$27,Inputs!$B$4="Chapter Hunt"),CHOOSE(ArtifactsInput!$N$27+1,20,24,28,32,36,40),0)/100)))))/Skills!G11,1)))/Inputs!$B$43),G2254*Q2254)*0.5*IF(Inputs!$B$38="pvp",1,1+(Inputs!$B$20+Skills!O11+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2254*(1-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2254*(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2254*(1-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2254*(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4">
        <f>IF(C2254,H2254*N2254*IF(AND(Inputs!$B$38&lt;&gt;"pvp",Inputs!$B$43&gt;0),((Skills!F11*((R2254-1)*IF(Skills!G11&gt;0,Skills!H11/Skills!G11,1)+IF(Skills!G11&gt;0,MIN(Skills!H11,MAX(0,MAX(0,Inputs!$B$43-B2277)-((R2254-1)*(IF(Inputs!$B$38="pvp",15,MAX(0.1,Skills!D11-IF(TRUE=TRUE,Inputs!$B$32,0)))*(1-IF(AND(ArtifactsInput!$M$27,Inputs!$B$4="Chapter Hunt"),CHOOSE(ArtifactsInput!$N$27+1,20,24,28,32,36,40),0)/100)))))/Skills!G11,1)))/Inputs!$B$43),G2254*Q2254)*1*IF(Inputs!$B$38="pvp",1,(1+(Inputs!$B$21+Skills!P11+B2271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5">
      <c r="A2255">
        <f>Skills!A12</f>
        <v/>
      </c>
      <c r="B2255">
        <f>Skills!B12</f>
        <v/>
      </c>
      <c r="C2255">
        <f>Inputs!$B$3&gt;=115</f>
        <v/>
      </c>
      <c r="D2255">
        <f>IF(Skills!C12=1,60+Inputs!$B$25+Inputs!$B$29,IF(Skills!C12=2,90+Inputs!$B$26+Inputs!$B$29,IF(Skills!C12=3,120+Inputs!$B$27+Inputs!$B$29,MAX(0,(Inputs!$B$3-100)*3)+Inputs!$B$28+Inputs!$B$29)))</f>
        <v/>
      </c>
      <c r="E2255">
        <f>INDEX(FactorTable!$B$2:$Y$301, MATCH(ROUND(MIN(300,MAX(1,D2255)),0), FactorTable!$A$2:$A$301,0), Skills!L12+1)</f>
        <v/>
      </c>
      <c r="F2255">
        <f>IF(Skills!M12=TRUE,(Skills!K12/10)*(E2255/1000),Skills!K12/10)+Skills!N12</f>
        <v/>
      </c>
      <c r="G2255">
        <f>Calc!G12</f>
        <v/>
      </c>
      <c r="H2255">
        <f>Calc!H12</f>
        <v/>
      </c>
      <c r="I2255">
        <f>IF(Skills!T12&lt;&gt;"",1+(Skills!T12/10)*(Z2246/1000)/100,1)</f>
        <v/>
      </c>
      <c r="J2255">
        <f>((Inputs!$B$6*(1+Inputs!$B$7/100))+(((Inputs!$B$12*(1+Inputs!$B$13/100))-(Inputs!$B$12*(1+Inputs!$B$13/100)))+0.25*(Inputs!$B$14-Inputs!$B$14))*(1+Inputs!$B$7/100))*(F2255/100)</f>
        <v/>
      </c>
      <c r="K2255">
        <f>J2255*(1+((Inputs!$B$12*(1+Inputs!$B$13/100))*0.01+Inputs!$B$14*0.0025)/100)*(1+(Inputs!$B$15+B2272)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2258=TRUE,F2258,0)/100)*(1+IF(C2266=TRUE,F2266,0)/100)^5*(1+(IF(Skills!A12="CHAIN_LIGHTNING",Inputs!$B$17+((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2270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2255)</f>
        <v/>
      </c>
      <c r="L2255">
        <f>K2255*(MIN(Inputs!$B$22+(F2261-Calc!F18),(Inputs!$B$23+(IF(ArtifactsInput!$M$15,CHOOSE(ArtifactsInput!$N$15+1,25,30,35,40,45,50)/100*(Inputs!$B$11-Inputs!$B$11),0))))/100+(Inputs!$B$23+(IF(ArtifactsInput!$M$15,CHOOSE(ArtifactsInput!$N$15+1,25,30,35,40,45,50)/100*(Inputs!$B$11-Inputs!$B$11),0)))/100)/2</f>
        <v/>
      </c>
      <c r="M2255">
        <f>L2255*(1+(Inputs!$B$10+(F2264-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55">
        <f>L2255*(1-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2255*(MIN((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55">
        <f>(1-Summary!$B$11)*S2255+Summary!$B$11*U2255</f>
        <v/>
      </c>
      <c r="P2255">
        <f>IF(B2280=0,0,O2255/B2280)</f>
        <v/>
      </c>
      <c r="Q2255">
        <f>IFERROR(1/(IF(Inputs!$B$38="pvp",15,MAX(0.1,Skills!D12-IF(TRUE=TRUE,Inputs!$B$32,0)))*(1-IF(AND(ArtifactsInput!$M$27,Inputs!$B$4="Chapter Hunt"),CHOOSE(ArtifactsInput!$N$27+1,20,24,28,32,36,40),0)/100)),0)</f>
        <v/>
      </c>
      <c r="R2255">
        <f>IF(AND(Inputs!$B$38&lt;&gt;"pvp",Inputs!$B$43&gt;0),IF(MAX(0,Inputs!$B$43-B2277)&lt;=0,0,(INT(MAX(0,Inputs!$B$43-B2277)/(IF(Inputs!$B$38="pvp",15,MAX(0.1,Skills!D12-IF(TRUE=TRUE,Inputs!$B$32,0)))*(1-IF(AND(ArtifactsInput!$M$27,Inputs!$B$4="Chapter Hunt"),CHOOSE(ArtifactsInput!$N$27+1,20,24,28,32,36,40),0)/100)))+1)),0)</f>
        <v/>
      </c>
      <c r="S2255">
        <f>IF(C2255,(H2255*N2255*IF(AND(Inputs!$B$38&lt;&gt;"pvp",Inputs!$B$43&gt;0),((Skills!F12*((R2255-1)*IF(Skills!G12&gt;0,Skills!H12/Skills!G12,1)+IF(Skills!G12&gt;0,MIN(Skills!H12,MAX(0,MAX(0,Inputs!$B$43-B2277)-((R2255-1)*(IF(Inputs!$B$38="pvp",15,MAX(0.1,Skills!D12-IF(TRUE=TRUE,Inputs!$B$32,0)))*(1-IF(AND(ArtifactsInput!$M$27,Inputs!$B$4="Chapter Hunt"),CHOOSE(ArtifactsInput!$N$27+1,20,24,28,32,36,40),0)/100)))))/Skills!G12,1)))/Inputs!$B$43),G2255*Q2255))*IF(Inputs!$B$38="pvp",1,1+(Inputs!$B$20+Skills!O12+B2271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2255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2255*(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2255*(1-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2255*(MIN(100,(Inputs!$B$9+((F2263-Calc!F20)+(F2262-Calc!F19))+(ArtifactsInput!$M$24-ArtifactsInput!$M$24)*CHOOSE(ArtifactsInput!$N$24+1,10,12,14,16,18,20)+(IF(AND(Inputs!$B$38&lt;&gt;"pvp",Inputs!$B$43=0),1,IF(IF(Inputs!$B$38="pvp",15,Inputs!$B$43)-(B2277)&lt;=0,1,MAX(0,IF(Inputs!$B$38="pvp",15,Inputs!$B$43)-MAX(5,B2277))/(IF(Inputs!$B$38="pvp",15,Inputs!$B$43)-(B2277)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55">
        <f>IF(C2255,(H2255*N2255*IF(AND(Inputs!$B$38&lt;&gt;"pvp",Inputs!$B$43&gt;0),((Skills!F12*((R2255-1)*IF(Skills!G12&gt;0,Skills!H12/Skills!G12,1)+IF(Skills!G12&gt;0,MIN(Skills!H12,MAX(0,MAX(0,Inputs!$B$43-B2277)-((R2255-1)*(IF(Inputs!$B$38="pvp",15,MAX(0.1,Skills!D12-IF(TRUE=TRUE,Inputs!$B$32,0)))*(1-IF(AND(ArtifactsInput!$M$27,Inputs!$B$4="Chapter Hunt"),CHOOSE(ArtifactsInput!$N$27+1,20,24,28,32,36,40),0)/100)))))/Skills!G12,1)))/Inputs!$B$43),G2255*Q2255))*IF(Inputs!$B$38="pvp",1,(1+(Inputs!$B$21+Skills!P12+B2271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56">
      <c r="A2256">
        <f>Skills!A13</f>
        <v/>
      </c>
      <c r="B2256">
        <f>Skills!B13</f>
        <v/>
      </c>
      <c r="C2256">
        <f>Inputs!$B$3&gt;=49</f>
        <v/>
      </c>
      <c r="D2256">
        <f>IF(Skills!C13=1,60+Inputs!$B$25+Inputs!$B$29,IF(Skills!C13=2,90+Inputs!$B$26+Inputs!$B$29,IF(Skills!C13=3,120+Inputs!$B$27+Inputs!$B$29,MAX(0,(Inputs!$B$3-100)*3)+Inputs!$B$28+Inputs!$B$29)))</f>
        <v/>
      </c>
      <c r="E2256">
        <f>INDEX(FactorTable!$B$2:$Y$301, MATCH(ROUND(MIN(300,MAX(1,D2256)),0), FactorTable!$A$2:$A$301,0), Skills!L13+1)</f>
        <v/>
      </c>
      <c r="F2256">
        <f>IF(Skills!M13=TRUE,(Skills!K13/10)*(E2256/1000),Skills!K13/10)+Skills!N13</f>
        <v/>
      </c>
      <c r="G2256">
        <f>Calc!G13</f>
        <v/>
      </c>
      <c r="H2256">
        <f>Calc!H13</f>
        <v/>
      </c>
      <c r="I2256">
        <f>IF(Skills!T13&lt;&gt;"",1+(Skills!T13/10)*(Z2246/1000)/100,1)</f>
        <v/>
      </c>
      <c r="J2256" t="inlineStr"/>
      <c r="K2256" t="inlineStr"/>
      <c r="L2256" t="inlineStr"/>
      <c r="M2256" t="inlineStr"/>
      <c r="N2256" t="inlineStr"/>
      <c r="O2256">
        <f>(1-Summary!$B$11)*S2256+Summary!$B$11*U2256</f>
        <v/>
      </c>
      <c r="P2256">
        <f>IF(B2280=0,0,O2256/B2280)</f>
        <v/>
      </c>
      <c r="Q2256">
        <f>IFERROR(1/(IF(Inputs!$B$38="pvp",15,MAX(0.1,Skills!D13-IF(TRUE=TRUE,Inputs!$B$32,0)))*(1-IF(AND(ArtifactsInput!$M$27,Inputs!$B$4="Chapter Hunt"),CHOOSE(ArtifactsInput!$N$27+1,20,24,28,32,36,40),0)/100)),0)</f>
        <v/>
      </c>
      <c r="R2256" t="n">
        <v>0</v>
      </c>
      <c r="S2256" t="n">
        <v>0</v>
      </c>
      <c r="U2256" t="n">
        <v>0</v>
      </c>
    </row>
    <row r="2257">
      <c r="A2257">
        <f>Skills!A14</f>
        <v/>
      </c>
      <c r="B2257">
        <f>Skills!B14</f>
        <v/>
      </c>
      <c r="C2257">
        <f>Inputs!$B$3&gt;=72</f>
        <v/>
      </c>
      <c r="D2257">
        <f>IF(Skills!C14=1,60+Inputs!$B$25+Inputs!$B$29,IF(Skills!C14=2,90+Inputs!$B$26+Inputs!$B$29,IF(Skills!C14=3,120+Inputs!$B$27+Inputs!$B$29,MAX(0,(Inputs!$B$3-100)*3)+Inputs!$B$28+Inputs!$B$29)))</f>
        <v/>
      </c>
      <c r="E2257">
        <f>INDEX(FactorTable!$B$2:$Y$301, MATCH(ROUND(MIN(300,MAX(1,D2257)),0), FactorTable!$A$2:$A$301,0), Skills!L14+1)</f>
        <v/>
      </c>
      <c r="F2257">
        <f>IF(Skills!M14=TRUE,(Skills!K14/10)*(E2257/1000),Skills!K14/10)+Skills!N14</f>
        <v/>
      </c>
      <c r="G2257">
        <f>Calc!G14</f>
        <v/>
      </c>
      <c r="H2257">
        <f>Calc!H14</f>
        <v/>
      </c>
      <c r="I2257">
        <f>IF(Skills!T14&lt;&gt;"",1+(Skills!T14/10)*(Z2246/1000)/100,1)</f>
        <v/>
      </c>
      <c r="J2257" t="inlineStr"/>
      <c r="K2257" t="inlineStr"/>
      <c r="L2257" t="inlineStr"/>
      <c r="M2257" t="inlineStr"/>
      <c r="N2257" t="inlineStr"/>
      <c r="O2257">
        <f>(1-Summary!$B$11)*S2257+Summary!$B$11*U2257</f>
        <v/>
      </c>
      <c r="P2257">
        <f>IF(B2280=0,0,O2257/B2280)</f>
        <v/>
      </c>
      <c r="Q2257">
        <f>IFERROR(1/(IF(Inputs!$B$38="pvp",15,MAX(0.1,Skills!D14-IF(TRUE=TRUE,Inputs!$B$32,0)))*(1-IF(AND(ArtifactsInput!$M$27,Inputs!$B$4="Chapter Hunt"),CHOOSE(ArtifactsInput!$N$27+1,20,24,28,32,36,40),0)/100)),0)</f>
        <v/>
      </c>
      <c r="R2257" t="n">
        <v>0</v>
      </c>
      <c r="S2257" t="n">
        <v>0</v>
      </c>
      <c r="U2257" t="n">
        <v>0</v>
      </c>
    </row>
    <row r="2258">
      <c r="A2258">
        <f>Skills!A15</f>
        <v/>
      </c>
      <c r="B2258">
        <f>Skills!B15</f>
        <v/>
      </c>
      <c r="C2258">
        <f>Inputs!$B$3&gt;=75</f>
        <v/>
      </c>
      <c r="D2258">
        <f>IF(Skills!C15=1,60+Inputs!$B$25+Inputs!$B$29,IF(Skills!C15=2,90+Inputs!$B$26+Inputs!$B$29,IF(Skills!C15=3,120+Inputs!$B$27+Inputs!$B$29,MAX(0,(Inputs!$B$3-100)*3)+Inputs!$B$28+Inputs!$B$29)))</f>
        <v/>
      </c>
      <c r="E2258">
        <f>INDEX(FactorTable!$B$2:$Y$301, MATCH(ROUND(MIN(300,MAX(1,D2258)),0), FactorTable!$A$2:$A$301,0), Skills!L15+1)</f>
        <v/>
      </c>
      <c r="F2258">
        <f>IF(Skills!M15=TRUE,(Skills!K15/10)*(E2258/1000),Skills!K15/10)+Skills!N15</f>
        <v/>
      </c>
      <c r="G2258">
        <f>Calc!G15</f>
        <v/>
      </c>
      <c r="H2258">
        <f>Calc!H15</f>
        <v/>
      </c>
      <c r="I2258">
        <f>IF(Skills!T15&lt;&gt;"",1+(Skills!T15/10)*(Z2246/1000)/100,1)</f>
        <v/>
      </c>
      <c r="J2258" t="inlineStr"/>
      <c r="K2258" t="inlineStr"/>
      <c r="L2258" t="inlineStr"/>
      <c r="M2258" t="inlineStr"/>
      <c r="N2258" t="inlineStr"/>
      <c r="O2258">
        <f>(1-Summary!$B$11)*S2258+Summary!$B$11*U2258</f>
        <v/>
      </c>
      <c r="P2258">
        <f>IF(B2280=0,0,O2258/B2280)</f>
        <v/>
      </c>
      <c r="Q2258">
        <f>IFERROR(1/(IF(Inputs!$B$38="pvp",15,MAX(0.1,Skills!D15-IF(TRUE=TRUE,Inputs!$B$32,0)))*(1-IF(AND(ArtifactsInput!$M$27,Inputs!$B$4="Chapter Hunt"),CHOOSE(ArtifactsInput!$N$27+1,20,24,28,32,36,40),0)/100)),0)</f>
        <v/>
      </c>
      <c r="R2258" t="n">
        <v>0</v>
      </c>
      <c r="S2258" t="n">
        <v>0</v>
      </c>
      <c r="U2258" t="n">
        <v>0</v>
      </c>
    </row>
    <row r="2259">
      <c r="A2259">
        <f>Skills!A16</f>
        <v/>
      </c>
      <c r="B2259">
        <f>Skills!B16</f>
        <v/>
      </c>
      <c r="C2259">
        <f>Inputs!$B$3&gt;=110</f>
        <v/>
      </c>
      <c r="D2259">
        <f>IF(Skills!C16=1,60+Inputs!$B$25+Inputs!$B$29,IF(Skills!C16=2,90+Inputs!$B$26+Inputs!$B$29,IF(Skills!C16=3,120+Inputs!$B$27+Inputs!$B$29,MAX(0,(Inputs!$B$3-100)*3)+Inputs!$B$28+Inputs!$B$29)))</f>
        <v/>
      </c>
      <c r="E2259">
        <f>INDEX(FactorTable!$B$2:$Y$301, MATCH(ROUND(MIN(300,MAX(1,D2259)),0), FactorTable!$A$2:$A$301,0), Skills!L16+1)</f>
        <v/>
      </c>
      <c r="F2259">
        <f>(Skills!K16/10)*(E2259/1000)*64/45+Skills!N16</f>
        <v/>
      </c>
      <c r="G2259">
        <f>Calc!G16</f>
        <v/>
      </c>
      <c r="H2259">
        <f>Calc!H16</f>
        <v/>
      </c>
      <c r="I2259">
        <f>IF(Skills!T16&lt;&gt;"",1+(Skills!T16/10)*(Z2246/1000)/100,1)</f>
        <v/>
      </c>
      <c r="J2259" t="inlineStr"/>
      <c r="K2259" t="inlineStr"/>
      <c r="L2259" t="inlineStr"/>
      <c r="M2259" t="inlineStr"/>
      <c r="N2259" t="inlineStr"/>
      <c r="O2259">
        <f>(1-Summary!$B$11)*S2259+Summary!$B$11*U2259</f>
        <v/>
      </c>
      <c r="P2259">
        <f>IF(B2280=0,0,O2259/B2280)</f>
        <v/>
      </c>
      <c r="Q2259">
        <f>IFERROR(1/(IF(Inputs!$B$38="pvp",15,MAX(0.1,Skills!D16-IF(TRUE=TRUE,Inputs!$B$32,0)))*(1-IF(AND(ArtifactsInput!$M$27,Inputs!$B$4="Chapter Hunt"),CHOOSE(ArtifactsInput!$N$27+1,20,24,28,32,36,40),0)/100)),0)</f>
        <v/>
      </c>
      <c r="R2259">
        <f>IF(AND(Inputs!$B$38&lt;&gt;"pvp",Inputs!$B$43&gt;0),IF(Inputs!$B$43&lt;=0,0,(INT(Inputs!$B$43/(IF(Inputs!$B$38="pvp",15,MAX(0.1,Skills!D16-IF(TRUE=TRUE,Inputs!$B$32,0)))*(1-IF(AND(ArtifactsInput!$M$27,Inputs!$B$4="Chapter Hunt"),CHOOSE(ArtifactsInput!$N$27+1,20,24,28,32,36,40),0)/100)))+1)),0)</f>
        <v/>
      </c>
      <c r="S2259" t="n">
        <v>0</v>
      </c>
      <c r="U2259" t="n">
        <v>0</v>
      </c>
    </row>
    <row r="2260">
      <c r="A2260">
        <f>Skills!A17</f>
        <v/>
      </c>
      <c r="B2260">
        <f>Skills!B17</f>
        <v/>
      </c>
      <c r="C2260">
        <f>Inputs!$B$3&gt;=33</f>
        <v/>
      </c>
      <c r="D2260">
        <f>IF(Skills!C17=1,60+Inputs!$B$25+Inputs!$B$29,IF(Skills!C17=2,90+Inputs!$B$26+Inputs!$B$29,IF(Skills!C17=3,120+Inputs!$B$27+Inputs!$B$29,MAX(0,(Inputs!$B$3-100)*3)+Inputs!$B$28+Inputs!$B$29)))</f>
        <v/>
      </c>
      <c r="E2260">
        <f>INDEX(FactorTable!$B$2:$Y$301, MATCH(ROUND(MIN(300,MAX(1,D2260)),0), FactorTable!$A$2:$A$301,0), Skills!L17+1)</f>
        <v/>
      </c>
      <c r="F2260">
        <f>IF(Skills!M17=TRUE,(Skills!K17/10)*(E2260/1000),Skills!K17/10)+Skills!N17</f>
        <v/>
      </c>
      <c r="G2260">
        <f>Calc!G17</f>
        <v/>
      </c>
      <c r="H2260">
        <f>Calc!H17</f>
        <v/>
      </c>
      <c r="I2260">
        <f>IF(Skills!T17&lt;&gt;"",1+(Skills!T17/10)*(Z2246/1000)/100,1)</f>
        <v/>
      </c>
      <c r="J2260" t="inlineStr"/>
      <c r="K2260" t="inlineStr"/>
      <c r="L2260" t="inlineStr"/>
      <c r="M2260" t="inlineStr"/>
      <c r="N2260" t="inlineStr"/>
      <c r="O2260">
        <f>(1-Summary!$B$11)*S2260+Summary!$B$11*U2260</f>
        <v/>
      </c>
      <c r="P2260">
        <f>IF(B2280=0,0,O2260/B2280)</f>
        <v/>
      </c>
      <c r="Q2260">
        <f>IFERROR(1/(IF(Inputs!$B$38="pvp",15,MAX(0.1,Skills!D17-IF(TRUE=TRUE,Inputs!$B$32,0)))*(1-IF(AND(ArtifactsInput!$M$27,Inputs!$B$4="Chapter Hunt"),CHOOSE(ArtifactsInput!$N$27+1,20,24,28,32,36,40),0)/100)),0)</f>
        <v/>
      </c>
      <c r="R2260" t="n">
        <v>0</v>
      </c>
      <c r="S2260" t="n">
        <v>0</v>
      </c>
      <c r="U2260" t="n">
        <v>0</v>
      </c>
    </row>
    <row r="2261">
      <c r="A2261">
        <f>Skills!A18</f>
        <v/>
      </c>
      <c r="B2261">
        <f>Skills!B18</f>
        <v/>
      </c>
      <c r="C2261">
        <f>Inputs!$B$3&gt;=43</f>
        <v/>
      </c>
      <c r="D2261">
        <f>IF(Skills!C18=1,60+Inputs!$B$25+Inputs!$B$29,IF(Skills!C18=2,90+Inputs!$B$26+Inputs!$B$29,IF(Skills!C18=3,120+Inputs!$B$27+Inputs!$B$29,MAX(0,(Inputs!$B$3-100)*3)+Inputs!$B$28+Inputs!$B$29)))</f>
        <v/>
      </c>
      <c r="E2261">
        <f>INDEX(FactorTable!$B$2:$Y$301, MATCH(ROUND(MIN(300,MAX(1,D2261)),0), FactorTable!$A$2:$A$301,0), Skills!L18+1)</f>
        <v/>
      </c>
      <c r="F2261">
        <f>IF(Skills!M18=TRUE,(Skills!K18/10)*(E2261/1000),Skills!K18/10)+Skills!N18</f>
        <v/>
      </c>
      <c r="G2261">
        <f>Calc!G18</f>
        <v/>
      </c>
      <c r="H2261">
        <f>Calc!H18</f>
        <v/>
      </c>
      <c r="I2261">
        <f>IF(Skills!T18&lt;&gt;"",1+(Skills!T18/10)*(Z2246/1000)/100,1)</f>
        <v/>
      </c>
      <c r="J2261" t="inlineStr"/>
      <c r="K2261" t="inlineStr"/>
      <c r="L2261" t="inlineStr"/>
      <c r="M2261" t="inlineStr"/>
      <c r="N2261" t="inlineStr"/>
      <c r="O2261">
        <f>(1-Summary!$B$11)*S2261+Summary!$B$11*U2261</f>
        <v/>
      </c>
      <c r="P2261">
        <f>IF(B2280=0,0,O2261/B2280)</f>
        <v/>
      </c>
      <c r="Q2261">
        <f>IFERROR(1/(IF(Inputs!$B$38="pvp",15,MAX(0.1,Skills!D18-IF(TRUE=TRUE,Inputs!$B$32,0)))*(1-IF(AND(ArtifactsInput!$M$27,Inputs!$B$4="Chapter Hunt"),CHOOSE(ArtifactsInput!$N$27+1,20,24,28,32,36,40),0)/100)),0)</f>
        <v/>
      </c>
      <c r="R2261" t="n">
        <v>0</v>
      </c>
      <c r="S2261" t="n">
        <v>0</v>
      </c>
      <c r="U2261" t="n">
        <v>0</v>
      </c>
    </row>
    <row r="2262">
      <c r="A2262">
        <f>Skills!A19</f>
        <v/>
      </c>
      <c r="B2262">
        <f>Skills!B19</f>
        <v/>
      </c>
      <c r="C2262">
        <f>Inputs!$B$3&gt;=50</f>
        <v/>
      </c>
      <c r="D2262">
        <f>IF(Skills!C19=1,60+Inputs!$B$25+Inputs!$B$29,IF(Skills!C19=2,90+Inputs!$B$26+Inputs!$B$29,IF(Skills!C19=3,120+Inputs!$B$27+Inputs!$B$29,MAX(0,(Inputs!$B$3-100)*3)+Inputs!$B$28+Inputs!$B$29)))</f>
        <v/>
      </c>
      <c r="E2262">
        <f>INDEX(FactorTable!$B$2:$Y$301, MATCH(ROUND(MIN(300,MAX(1,D2262)),0), FactorTable!$A$2:$A$301,0), Skills!L19+1)</f>
        <v/>
      </c>
      <c r="F2262">
        <f>IF(Skills!M19=TRUE,(Skills!K19/10)*(E2262/1000),Skills!K19/10)+Skills!N19</f>
        <v/>
      </c>
      <c r="G2262">
        <f>Calc!G19</f>
        <v/>
      </c>
      <c r="H2262">
        <f>Calc!H19</f>
        <v/>
      </c>
      <c r="I2262">
        <f>IF(Skills!T19&lt;&gt;"",1+(Skills!T19/10)*(Z2246/1000)/100,1)</f>
        <v/>
      </c>
      <c r="J2262" t="inlineStr"/>
      <c r="K2262" t="inlineStr"/>
      <c r="L2262" t="inlineStr"/>
      <c r="M2262" t="inlineStr"/>
      <c r="N2262" t="inlineStr"/>
      <c r="O2262">
        <f>(1-Summary!$B$11)*S2262+Summary!$B$11*U2262</f>
        <v/>
      </c>
      <c r="P2262">
        <f>IF(B2280=0,0,O2262/B2280)</f>
        <v/>
      </c>
      <c r="Q2262">
        <f>IFERROR(1/(IF(Inputs!$B$38="pvp",15,MAX(0.1,Skills!D19-IF(TRUE=TRUE,Inputs!$B$32,0)))*(1-IF(AND(ArtifactsInput!$M$27,Inputs!$B$4="Chapter Hunt"),CHOOSE(ArtifactsInput!$N$27+1,20,24,28,32,36,40),0)/100)),0)</f>
        <v/>
      </c>
      <c r="R2262" t="n">
        <v>0</v>
      </c>
      <c r="S2262" t="n">
        <v>0</v>
      </c>
      <c r="U2262" t="n">
        <v>0</v>
      </c>
    </row>
    <row r="2263">
      <c r="A2263">
        <f>Skills!A20</f>
        <v/>
      </c>
      <c r="B2263">
        <f>Skills!B20</f>
        <v/>
      </c>
      <c r="C2263">
        <f>Inputs!$B$3&gt;=74</f>
        <v/>
      </c>
      <c r="D2263">
        <f>IF(Skills!C20=1,60+Inputs!$B$25+Inputs!$B$29,IF(Skills!C20=2,90+Inputs!$B$26+Inputs!$B$29,IF(Skills!C20=3,120+Inputs!$B$27+Inputs!$B$29,MAX(0,(Inputs!$B$3-100)*3)+Inputs!$B$28+Inputs!$B$29)))</f>
        <v/>
      </c>
      <c r="E2263">
        <f>INDEX(FactorTable!$B$2:$Y$301, MATCH(ROUND(MIN(300,MAX(1,D2263)),0), FactorTable!$A$2:$A$301,0), Skills!L20+1)</f>
        <v/>
      </c>
      <c r="F2263">
        <f>IF(Skills!M20=TRUE,(Skills!K20/10)*(E2263/1000),Skills!K20/10)+Skills!N20</f>
        <v/>
      </c>
      <c r="G2263">
        <f>Calc!G20</f>
        <v/>
      </c>
      <c r="H2263">
        <f>Calc!H20</f>
        <v/>
      </c>
      <c r="I2263">
        <f>IF(Skills!T20&lt;&gt;"",1+(Skills!T20/10)*(Z2246/1000)/100,1)</f>
        <v/>
      </c>
      <c r="J2263" t="inlineStr"/>
      <c r="K2263" t="inlineStr"/>
      <c r="L2263" t="inlineStr"/>
      <c r="M2263" t="inlineStr"/>
      <c r="N2263" t="inlineStr"/>
      <c r="O2263">
        <f>(1-Summary!$B$11)*S2263+Summary!$B$11*U2263</f>
        <v/>
      </c>
      <c r="P2263">
        <f>IF(B2280=0,0,O2263/B2280)</f>
        <v/>
      </c>
      <c r="Q2263">
        <f>IFERROR(1/(IF(Inputs!$B$38="pvp",15,MAX(0.1,Skills!D20-IF(TRUE=TRUE,Inputs!$B$32,0)))*(1-IF(AND(ArtifactsInput!$M$27,Inputs!$B$4="Chapter Hunt"),CHOOSE(ArtifactsInput!$N$27+1,20,24,28,32,36,40),0)/100)),0)</f>
        <v/>
      </c>
      <c r="R2263" t="n">
        <v>0</v>
      </c>
      <c r="S2263" t="n">
        <v>0</v>
      </c>
      <c r="U2263" t="n">
        <v>0</v>
      </c>
    </row>
    <row r="2264">
      <c r="A2264">
        <f>Skills!A21</f>
        <v/>
      </c>
      <c r="B2264">
        <f>Skills!B21</f>
        <v/>
      </c>
      <c r="C2264">
        <f>Inputs!$B$3&gt;=74</f>
        <v/>
      </c>
      <c r="D2264">
        <f>IF(Skills!C21=1,60+Inputs!$B$25+Inputs!$B$29,IF(Skills!C21=2,90+Inputs!$B$26+Inputs!$B$29,IF(Skills!C21=3,120+Inputs!$B$27+Inputs!$B$29,MAX(0,(Inputs!$B$3-100)*3)+Inputs!$B$28+Inputs!$B$29)))</f>
        <v/>
      </c>
      <c r="E2264">
        <f>INDEX(FactorTable!$B$2:$Y$301, MATCH(ROUND(MIN(300,MAX(1,D2264)),0), FactorTable!$A$2:$A$301,0), Skills!L21+1)</f>
        <v/>
      </c>
      <c r="F2264">
        <f>IF(Skills!M21=TRUE,(Skills!K21/10)*(E2264/1000),Skills!K21/10)+Skills!N21</f>
        <v/>
      </c>
      <c r="G2264">
        <f>Calc!G21</f>
        <v/>
      </c>
      <c r="H2264">
        <f>Calc!H21</f>
        <v/>
      </c>
      <c r="I2264">
        <f>IF(Skills!T21&lt;&gt;"",1+(Skills!T21/10)*(Z2246/1000)/100,1)</f>
        <v/>
      </c>
      <c r="J2264" t="inlineStr"/>
      <c r="K2264" t="inlineStr"/>
      <c r="L2264" t="inlineStr"/>
      <c r="M2264" t="inlineStr"/>
      <c r="N2264" t="inlineStr"/>
      <c r="O2264">
        <f>(1-Summary!$B$11)*S2264+Summary!$B$11*U2264</f>
        <v/>
      </c>
      <c r="P2264">
        <f>IF(B2280=0,0,O2264/B2280)</f>
        <v/>
      </c>
      <c r="Q2264">
        <f>IFERROR(1/(IF(Inputs!$B$38="pvp",15,MAX(0.1,Skills!D21-IF(TRUE=TRUE,Inputs!$B$32,0)))*(1-IF(AND(ArtifactsInput!$M$27,Inputs!$B$4="Chapter Hunt"),CHOOSE(ArtifactsInput!$N$27+1,20,24,28,32,36,40),0)/100)),0)</f>
        <v/>
      </c>
      <c r="R2264" t="n">
        <v>0</v>
      </c>
      <c r="S2264" t="n">
        <v>0</v>
      </c>
      <c r="U2264" t="n">
        <v>0</v>
      </c>
    </row>
    <row r="2265">
      <c r="A2265">
        <f>Skills!A22</f>
        <v/>
      </c>
      <c r="B2265">
        <f>Skills!B22</f>
        <v/>
      </c>
      <c r="C2265">
        <f>Inputs!$B$3&gt;=117</f>
        <v/>
      </c>
      <c r="D2265">
        <f>IF(Skills!C22=1,60+Inputs!$B$25+Inputs!$B$29,IF(Skills!C22=2,90+Inputs!$B$26+Inputs!$B$29,IF(Skills!C22=3,120+Inputs!$B$27+Inputs!$B$29,MAX(0,(Inputs!$B$3-100)*3)+Inputs!$B$28+Inputs!$B$29)))</f>
        <v/>
      </c>
      <c r="E2265">
        <f>INDEX(FactorTable!$B$2:$Y$301, MATCH(ROUND(MIN(300,MAX(1,D2265)),0), FactorTable!$A$2:$A$301,0), Skills!L22+1)</f>
        <v/>
      </c>
      <c r="F2265">
        <f>IF(Skills!M22=TRUE,(Skills!K22/10)*(E2265/1000),Skills!K22/10)+Skills!N22</f>
        <v/>
      </c>
      <c r="G2265">
        <f>Calc!G22</f>
        <v/>
      </c>
      <c r="H2265">
        <f>Calc!H22</f>
        <v/>
      </c>
      <c r="I2265">
        <f>IF(Skills!T22&lt;&gt;"",1+(Skills!T22/10)*(Z2246/1000)/100,1)</f>
        <v/>
      </c>
      <c r="J2265" t="inlineStr"/>
      <c r="K2265" t="inlineStr"/>
      <c r="L2265" t="inlineStr"/>
      <c r="M2265" t="inlineStr"/>
      <c r="N2265" t="inlineStr"/>
      <c r="O2265">
        <f>(1-Summary!$B$11)*S2265+Summary!$B$11*U2265</f>
        <v/>
      </c>
      <c r="P2265">
        <f>IF(B2280=0,0,O2265/B2280)</f>
        <v/>
      </c>
      <c r="Q2265">
        <f>IFERROR(1/(IF(Inputs!$B$38="pvp",15,MAX(0.1,Skills!D22-IF(TRUE=TRUE,Inputs!$B$32,0)))*(1-IF(AND(ArtifactsInput!$M$27,Inputs!$B$4="Chapter Hunt"),CHOOSE(ArtifactsInput!$N$27+1,20,24,28,32,36,40),0)/100)),0)</f>
        <v/>
      </c>
      <c r="R2265" t="n">
        <v>0</v>
      </c>
      <c r="S2265" t="n">
        <v>0</v>
      </c>
      <c r="U2265" t="n">
        <v>0</v>
      </c>
    </row>
    <row r="2266">
      <c r="A2266">
        <f>Skills!A23</f>
        <v/>
      </c>
      <c r="B2266">
        <f>Skills!B23</f>
        <v/>
      </c>
      <c r="C2266">
        <f>Inputs!$B$3&gt;=120</f>
        <v/>
      </c>
      <c r="D2266">
        <f>IF(Skills!C23=1,60+Inputs!$B$25+Inputs!$B$29,IF(Skills!C23=2,90+Inputs!$B$26+Inputs!$B$29,IF(Skills!C23=3,120+Inputs!$B$27+Inputs!$B$29,MAX(0,(Inputs!$B$3-100)*3)+Inputs!$B$28+Inputs!$B$29)))</f>
        <v/>
      </c>
      <c r="E2266">
        <f>INDEX(FactorTable!$B$2:$Y$301, MATCH(ROUND(MIN(300,MAX(1,D2266)),0), FactorTable!$A$2:$A$301,0), Skills!L23+1)</f>
        <v/>
      </c>
      <c r="F2266">
        <f>IF(Skills!M23=TRUE,(Skills!K23/10)*(E2266/1000),Skills!K23/10)+Skills!N23</f>
        <v/>
      </c>
      <c r="G2266">
        <f>Calc!G23</f>
        <v/>
      </c>
      <c r="H2266">
        <f>Calc!H23</f>
        <v/>
      </c>
      <c r="I2266">
        <f>IF(Skills!T23&lt;&gt;"",1+(Skills!T23/10)*(Z2246/1000)/100,1)</f>
        <v/>
      </c>
      <c r="J2266" t="inlineStr"/>
      <c r="K2266" t="inlineStr"/>
      <c r="L2266" t="inlineStr"/>
      <c r="M2266" t="inlineStr"/>
      <c r="N2266" t="inlineStr"/>
      <c r="O2266">
        <f>(1-Summary!$B$11)*S2266+Summary!$B$11*U2266</f>
        <v/>
      </c>
      <c r="P2266">
        <f>IF(B2280=0,0,O2266/B2280)</f>
        <v/>
      </c>
      <c r="Q2266">
        <f>IFERROR(1/(IF(Inputs!$B$38="pvp",15,MAX(0.1,Skills!D23-IF(TRUE=TRUE,Inputs!$B$32,0)))*(1-IF(AND(ArtifactsInput!$M$27,Inputs!$B$4="Chapter Hunt"),CHOOSE(ArtifactsInput!$N$27+1,20,24,28,32,36,40),0)/100)),0)</f>
        <v/>
      </c>
      <c r="R2266" t="n">
        <v>0</v>
      </c>
      <c r="S2266" t="n">
        <v>0</v>
      </c>
      <c r="U2266" t="n">
        <v>0</v>
      </c>
    </row>
    <row r="2267">
      <c r="A2267">
        <f>Skills!A24</f>
        <v/>
      </c>
      <c r="B2267">
        <f>Skills!B24</f>
        <v/>
      </c>
      <c r="C2267">
        <f>TRUE</f>
        <v/>
      </c>
      <c r="D2267">
        <f>IF(Skills!C24=1,60+Inputs!$B$25+Inputs!$B$29,IF(Skills!C24=2,90+Inputs!$B$26+Inputs!$B$29,IF(Skills!C24=3,120+Inputs!$B$27+Inputs!$B$29,MAX(0,(Inputs!$B$3-100)*3)+Inputs!$B$28+Inputs!$B$29)))</f>
        <v/>
      </c>
      <c r="E2267">
        <f>INDEX(FactorTable!$B$2:$Y$301, MATCH(ROUND(MIN(300,MAX(1,D2267)),0), FactorTable!$A$2:$A$301,0), Skills!L24+1)</f>
        <v/>
      </c>
      <c r="F2267">
        <f>IF(Skills!M24=TRUE,(Skills!K24/10)*(E2267/1000),Skills!K24/10)+Skills!N24</f>
        <v/>
      </c>
      <c r="G2267">
        <f>Calc!G24</f>
        <v/>
      </c>
      <c r="H2267">
        <f>Calc!H24</f>
        <v/>
      </c>
      <c r="I2267">
        <f>IF(Skills!T24&lt;&gt;"",1+(Skills!T24/10)*(Z2246/1000)/100,1)</f>
        <v/>
      </c>
      <c r="J2267" t="inlineStr"/>
      <c r="K2267" t="inlineStr"/>
      <c r="L2267" t="inlineStr"/>
      <c r="M2267" t="inlineStr"/>
      <c r="N2267" t="inlineStr"/>
      <c r="O2267">
        <f>(1-Summary!$B$11)*S2267+Summary!$B$11*U2267</f>
        <v/>
      </c>
      <c r="P2267">
        <f>IF(B2280=0,0,O2267/B2280)</f>
        <v/>
      </c>
      <c r="Q2267">
        <f>IFERROR(1/(IF(Inputs!$B$38="pvp",15,MAX(0.1,Skills!D24-IF(TRUE=TRUE,Inputs!$B$32,0)))*(1-IF(AND(ArtifactsInput!$M$27,Inputs!$B$4="Chapter Hunt"),CHOOSE(ArtifactsInput!$N$27+1,20,24,28,32,36,40),0)/100)),0)</f>
        <v/>
      </c>
      <c r="R2267">
        <f>IF(AND(Inputs!$B$38&lt;&gt;"pvp",Inputs!$B$43&gt;0),IF(Inputs!$B$43&lt;=0,0,(INT(Inputs!$B$43/(IF(Inputs!$B$38="pvp",15,MAX(0.1,Skills!D24-IF(TRUE=TRUE,Inputs!$B$32,0)))*(1-IF(AND(ArtifactsInput!$M$27,Inputs!$B$4="Chapter Hunt"),CHOOSE(ArtifactsInput!$N$27+1,20,24,28,32,36,40),0)/100)))+1)),0)</f>
        <v/>
      </c>
      <c r="S2267" t="n">
        <v>0</v>
      </c>
      <c r="U2267" t="n">
        <v>0</v>
      </c>
    </row>
    <row r="2270">
      <c r="A2270" t="inlineStr">
        <is>
          <t>Average Buff Multiplier (Magic Guard + Meditation + Artifact Attack%, summed; then Infinity)</t>
        </is>
      </c>
      <c r="B2270">
        <f>(1+(IF(C2246=TRUE,F2246*IF(AND(Inputs!$B$38&lt;&gt;"pvp",Inputs!$B$43&gt;0),(((R2246-1)*MIN((Skills!S3*(1+(Inputs!$B$34)/100)),(1/Q2246))+MIN((Skills!S3*(1+(Inputs!$B$34)/100)),MAX(0,Inputs!$B$43-((R2246-1)*(1/Q2246)))))/Inputs!$B$43),IF(Inputs!$B$38="pvp",MIN((Skills!S3*(1+(Inputs!$B$34)/100)),15)/15,MIN(1,(Skills!S3*(1+(Inputs!$B$34)/100))/(1/Q2246)))),0)+IF(C2247=TRUE,F2247*IF(AND(Inputs!$B$38&lt;&gt;"pvp",Inputs!$B$43&gt;0),(((R2247-1)*MIN((Skills!S4*(1+(Inputs!$B$34)/100)),(1/Q2247))+MIN((Skills!S4*(1+(Inputs!$B$34)/100)),MAX(0,Inputs!$B$43-((R2247-1)*(1/Q2247)))))/Inputs!$B$43),IF(Inputs!$B$38="pvp",MIN((Skills!S4*(1+(Inputs!$B$34)/100)),15)/15,MIN(1,(Skills!S4*(1+(Inputs!$B$34)/100))/(1/Q2247)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2259=TRUE,(1+F2259*IF(AND(Inputs!$B$38&lt;&gt;"pvp",Inputs!$B$43&gt;0),(((R2259-1)*MIN((Skills!S16*(1+(Inputs!$B$34)/100)),(1/Q2259))+MIN((Skills!S16*(1+(Inputs!$B$34)/100)),MAX(0,Inputs!$B$43-((R2259-1)*(1/Q2259)))))/Inputs!$B$43),IF(Inputs!$B$38="pvp",MIN((Skills!S16*(1+(Inputs!$B$34)/100)),15)/15,MIN(1,(Skills!S16*(1+(Inputs!$B$34)/100))/(1/Q2259))))/100),1)</f>
        <v/>
      </c>
    </row>
    <row r="2271">
      <c r="A2271" t="inlineStr">
        <is>
          <t>Monster Damage Taken Bonus % (Freezing Breath - Weaken + Elemental Reset + Artifact Enemy Damage Taken, summed)</t>
        </is>
      </c>
      <c r="B2271">
        <f>IF(Inputs!$B$3&gt;=118,15*IF(Inputs!$B$38="pvp",MIN((30*(1+(Inputs!$B$34)/100)),15)/15,MIN(1,(30*(1+(Inputs!$B$34)/100))/(1/Q2251))),0)+IF(C2257=TRUE,F2257,0)+(IF(AND(IF(ArtifactsInput!$M$35,FALSE,TRUE),Inputs!$B$4&lt;&gt;"Chapter Hunt"),CHOOSE(ArtifactsInput!$N$35+1,15,18,21,24,27,30)*(1-EXP(-(0.2*B2274)*5)),0)+IF(AND(ArtifactsInput!$M$22,Inputs!$B$4&lt;&gt;"Chapter Hunt"),CHOOSE(ArtifactsInput!$N$22+1,10,12,14,16,18,20)*((0*(((0.15*B2274*5))^0/1)+1*(((0.15*B2274*5))^1/1)+2*(((0.15*B2274*5))^2/2)+3*(((0.15*B2274*5))^3/6)+4*(((0.15*B2274*5))^4/24)+5*(((0.15*B2274*5))^5/120))/((((0.15*B2274*5))^0/1)+(((0.15*B2274*5))^1/1)+(((0.15*B2274*5))^2/2)+(((0.15*B2274*5))^3/6)+(((0.15*B2274*5))^4/24)+(((0.15*B2274*5))^5/120))),0))</f>
        <v/>
      </c>
    </row>
    <row r="2272">
      <c r="A2272" t="inlineStr">
        <is>
          <t>Damage % Bonus (Frozen Break + Frost Clutch, flat)</t>
        </is>
      </c>
      <c r="B2272">
        <f>IF(Inputs!$B$3&gt;=66,15,0)+IF(Inputs!$B$3&gt;=98,10,0)+IF(Inputs!$B$3&gt;=125,20,0)</f>
        <v/>
      </c>
    </row>
    <row r="2273">
      <c r="A2273" t="inlineStr">
        <is>
          <t>Attack Speed Bonus % (MP Eater - MP Boost, always-on + Nimble Feet, duty-cycle averaged)</t>
        </is>
      </c>
      <c r="B2273">
        <f>IF(C2256=TRUE,F2256+(F2260-Calc!F17),0)+((C2267=TRUE)*F2267*IF(AND(Inputs!$B$38&lt;&gt;"pvp",Inputs!$B$43&gt;0),(((R2267-1)*MIN((Skills!S24*(1+(Inputs!$B$34)/100)),(1/Q2267))+MIN((Skills!S24*(1+(Inputs!$B$34)/100)),MAX(0,Inputs!$B$43-((R2267-1)*(1/Q2267)))))/Inputs!$B$43),IF(Inputs!$B$38="pvp",MIN((Skills!S24*(1+(Inputs!$B$34)/100)),15)/15,MIN(1,(Skills!S24*(1+(Inputs!$B$34)/100))/(1/Q2267)))))</f>
        <v/>
      </c>
    </row>
    <row r="2274">
      <c r="A2274" t="inlineStr">
        <is>
          <t>Actions Per Second</t>
        </is>
      </c>
      <c r="B2274">
        <f>1+MIN(150,150*(1-(1-(Inputs!$B$11+(ArtifactsInput!$M$15-ArtifactsInput!$M$15)*CHOOSE(ArtifactsInput!$N$15+1,8,9.6,11.2,12.8,14.4,16))/150)*(1-B2273/150)))/100</f>
        <v/>
      </c>
    </row>
    <row r="2275">
      <c r="A2275" t="inlineStr">
        <is>
          <t>Skill + Buff Cast Rate</t>
        </is>
      </c>
      <c r="B2275">
        <f>IF(AND(Inputs!$B$38&lt;&gt;"pvp",Inputs!$B$43&gt;0),SUMPRODUCT((Skills!E2:E24=TRUE)*(C2245:C2267=TRUE)*R2245:R2267)/Inputs!$B$43,SUMPRODUCT((Skills!E2:E24=TRUE)*(C2245:C2267=TRUE)*Q2245:Q2267))</f>
        <v/>
      </c>
    </row>
    <row r="2276">
      <c r="A2276" t="inlineStr">
        <is>
          <t>Chain Lightning Casts Per Second</t>
        </is>
      </c>
      <c r="B2276">
        <f>MAX(0,B2274-B2275)</f>
        <v/>
      </c>
    </row>
    <row r="2277">
      <c r="A2277" t="inlineStr">
        <is>
          <t>Buff-Casting Startup Delay (s, fixed-duration only)</t>
        </is>
      </c>
      <c r="B2277">
        <f>IF(AND(Inputs!$B$38&lt;&gt;"pvp",Inputs!$B$43&gt;0),SUMPRODUCT((Skills!S2:S24&gt;0)*(Skills!E2:E24=TRUE)*(C2245:C2267=TRUE))/B2274,0)</f>
        <v/>
      </c>
    </row>
    <row r="2278">
      <c r="A2278" t="inlineStr">
        <is>
          <t>Boss-Only Total DPS (this block's swept value)</t>
        </is>
      </c>
      <c r="B2278">
        <f>SUM(S2245:S2267)</f>
        <v/>
      </c>
    </row>
    <row r="2279">
      <c r="A2279" t="inlineStr">
        <is>
          <t>Normal-Only Total DPS (this block's swept value)</t>
        </is>
      </c>
      <c r="B2279">
        <f>SUM(U2245:U2267)</f>
        <v/>
      </c>
    </row>
    <row r="2280">
      <c r="A2280" s="6" t="inlineStr">
        <is>
          <t>TOTAL DPS</t>
        </is>
      </c>
      <c r="B2280" s="6">
        <f>SUM(O2245:O2267)</f>
        <v/>
      </c>
    </row>
    <row r="2281">
      <c r="A2281" t="inlineStr">
        <is>
          <t>Blizzard Final Attack trigger rate (this block's own Q/R)</t>
        </is>
      </c>
      <c r="B2281">
        <f>IF(AND(Inputs!$B$38&lt;&gt;"pvp",Inputs!$B$43&gt;0),(((C2248=TRUE)*R2248*1)+((C2249=TRUE)*R2249*1)+((C2251=TRUE)*R2251*1)+((C2252=TRUE)*R2252*3)+((C2254=TRUE)*R2254*1))/Inputs!$B$43,((C2248=TRUE)*Q2248*1)+((C2249=TRUE)*Q2249*1)+((C2251=TRUE)*Q2251*1)+((C2252=TRUE)*Q2252*3)+((C2254=TRUE)*Q2254*1))+B2276</f>
        <v/>
      </c>
    </row>
    <row r="2284">
      <c r="A2284" s="6" t="inlineStr">
        <is>
          <t>Stat: Candle (Equip)</t>
        </is>
      </c>
    </row>
    <row r="2285">
      <c r="A2285" s="5" t="inlineStr">
        <is>
          <t>Key</t>
        </is>
      </c>
      <c r="B2285" s="5" t="inlineStr">
        <is>
          <t>Name</t>
        </is>
      </c>
      <c r="C2285" s="5" t="inlineStr">
        <is>
          <t>Unlocked</t>
        </is>
      </c>
      <c r="D2285" s="5" t="inlineStr">
        <is>
          <t>InputLevel</t>
        </is>
      </c>
      <c r="E2285" s="5" t="inlineStr">
        <is>
          <t>Factor</t>
        </is>
      </c>
      <c r="F2285" s="5" t="inlineStr">
        <is>
          <t>CoefficientPercent</t>
        </is>
      </c>
      <c r="G2285" s="5" t="inlineStr">
        <is>
          <t>EffectiveHits</t>
        </is>
      </c>
      <c r="H2285" s="5" t="inlineStr">
        <is>
          <t>ProcProbability</t>
        </is>
      </c>
      <c r="I2285" s="5" t="inlineStr">
        <is>
          <t>MapleHeroMultiplier</t>
        </is>
      </c>
      <c r="J2285" s="5" t="inlineStr">
        <is>
          <t>BaseDamage</t>
        </is>
      </c>
      <c r="K2285" s="5" t="inlineStr">
        <is>
          <t>BaseHitDamage</t>
        </is>
      </c>
      <c r="L2285" s="5" t="inlineStr">
        <is>
          <t>NonCritAvg</t>
        </is>
      </c>
      <c r="M2285" s="5" t="inlineStr">
        <is>
          <t>CritAvg</t>
        </is>
      </c>
      <c r="N2285" s="5" t="inlineStr">
        <is>
          <t>ExpectedDamage(perHit)</t>
        </is>
      </c>
      <c r="O2285" s="5" t="inlineStr">
        <is>
          <t>DPS</t>
        </is>
      </c>
      <c r="P2285" s="5" t="inlineStr">
        <is>
          <t>% of Total</t>
        </is>
      </c>
      <c r="R2285" t="inlineStr">
        <is>
          <t>helpers</t>
        </is>
      </c>
    </row>
    <row r="2286">
      <c r="A2286">
        <f>Skills!A2</f>
        <v/>
      </c>
      <c r="B2286">
        <f>Skills!B2</f>
        <v/>
      </c>
      <c r="C2286">
        <f>Inputs!$B$3&gt;=100</f>
        <v/>
      </c>
      <c r="D2286" t="inlineStr"/>
      <c r="E2286" t="inlineStr"/>
      <c r="F2286">
        <f>T2288+Skills!N2</f>
        <v/>
      </c>
      <c r="G2286">
        <f>Calc!G2</f>
        <v/>
      </c>
      <c r="H2286">
        <f>Calc!H2</f>
        <v/>
      </c>
      <c r="I2286">
        <f>IF(Skills!T2&lt;&gt;"",1+(Skills!T2/10)*(Z2287/1000)/100,1)</f>
        <v/>
      </c>
      <c r="J2286">
        <f>((Inputs!$B$6*(1+Inputs!$B$7/100))+(((Inputs!$B$12*(1+Inputs!$B$13/100))-(Inputs!$B$12*(1+Inputs!$B$13/100)))+0.25*(Inputs!$B$14-Inputs!$B$14))*(1+Inputs!$B$7/100))*(F2286/100)</f>
        <v/>
      </c>
      <c r="K2286">
        <f>J2286*(1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2="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F2302-Calc!F18),(Inputs!$B$23+(IF(ArtifactsInput!$M$15,CHOOSE(ArtifactsInput!$N$15+1,25,30,35,40,45,50)/100*(Inputs!$B$11-Inputs!$B$11),0))))/100+(Inputs!$B$23+(IF(ArtifactsInput!$M$15,CHOOSE(ArtifactsInput!$N$15+1,25,30,35,40,45,50)/100*(Inputs!$B$11-Inputs!$B$11),0)))/100)/2</f>
        <v/>
      </c>
      <c r="M2286">
        <f>L2286*(1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(1-Summary!$B$11)*S2286+Summary!$B$11*U2286</f>
        <v/>
      </c>
      <c r="P2286">
        <f>IF(B2321=0,0,O2286/B2321)</f>
        <v/>
      </c>
      <c r="Q2286">
        <f>IFERROR(1/(IF(Inputs!$B$38="pvp",15,MAX(0.1,Skills!D2-IF(TRUE=TRUE,Inputs!$B$32,0)))*(1-IF(AND(ArtifactsInput!$M$27,Inputs!$B$4="Chapter Hunt"),CHOOSE(ArtifactsInput!$N$27+1,20,24,28,32,36,40),0)/100)),0)</f>
        <v/>
      </c>
      <c r="R2286" t="n">
        <v>0</v>
      </c>
      <c r="S2286">
        <f>IF(C2286,(Skills!F2*N2286*B2317)*IF(Inputs!$B$38="pvp",1,1+(Inputs!$B$20+Skills!O2+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2286*(1-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286">
        <f>MAX(0,(Inputs!$B$3-100)*3)+Inputs!$B$28+Inputs!$B$29</f>
        <v/>
      </c>
      <c r="U2286">
        <f>IF(C2286,(Skills!F2*N2286*B2317)*IF(Inputs!$B$38="pvp",1,(1+(Inputs!$B$21+Skills!P2+B2312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286">
        <f>MAX(0,(Inputs!$B$3-100)*3)+Inputs!$B$28+Inputs!$B$29</f>
        <v/>
      </c>
    </row>
    <row r="2287">
      <c r="A2287">
        <f>Skills!A3</f>
        <v/>
      </c>
      <c r="B2287">
        <f>Skills!B3</f>
        <v/>
      </c>
      <c r="C2287">
        <f>Inputs!$B$3&gt;=15</f>
        <v/>
      </c>
      <c r="D2287">
        <f>IF(Skills!C3=1,60+Inputs!$B$25+Inputs!$B$29,IF(Skills!C3=2,90+Inputs!$B$26+Inputs!$B$29,IF(Skills!C3=3,120+Inputs!$B$27+Inputs!$B$29,MAX(0,(Inputs!$B$3-100)*3)+Inputs!$B$28+Inputs!$B$29)))</f>
        <v/>
      </c>
      <c r="E2287">
        <f>INDEX(FactorTable!$B$2:$Y$301, MATCH(ROUND(MIN(300,MAX(1,D2287)),0), FactorTable!$A$2:$A$301,0), Skills!L3+1)</f>
        <v/>
      </c>
      <c r="F2287">
        <f>IF(Skills!M3=TRUE,(Skills!K3/10)*(E2287/1000),Skills!K3/10)+Skills!N3</f>
        <v/>
      </c>
      <c r="G2287">
        <f>Calc!G3</f>
        <v/>
      </c>
      <c r="H2287">
        <f>Calc!H3</f>
        <v/>
      </c>
      <c r="I2287">
        <f>IF(Skills!T3&lt;&gt;"",1+(Skills!T3/10)*(Z2287/1000)/100,1)</f>
        <v/>
      </c>
      <c r="J2287" t="inlineStr"/>
      <c r="K2287" t="inlineStr"/>
      <c r="L2287" t="inlineStr"/>
      <c r="M2287" t="inlineStr"/>
      <c r="N2287" t="inlineStr"/>
      <c r="O2287">
        <f>(1-Summary!$B$11)*S2287+Summary!$B$11*U2287</f>
        <v/>
      </c>
      <c r="P2287">
        <f>IF(B2321=0,0,O2287/B2321)</f>
        <v/>
      </c>
      <c r="Q2287">
        <f>IFERROR(1/(IF(Inputs!$B$38="pvp",15,MAX(0.1,Skills!D3-IF(TRUE=TRUE,Inputs!$B$32,0)))*(1-IF(AND(ArtifactsInput!$M$27,Inputs!$B$4="Chapter Hunt"),CHOOSE(ArtifactsInput!$N$27+1,20,24,28,32,36,40),0)/100)),0)</f>
        <v/>
      </c>
      <c r="R2287">
        <f>IF(AND(Inputs!$B$38&lt;&gt;"pvp",Inputs!$B$43&gt;0),IF(Inputs!$B$43&lt;=0,0,(INT(Inputs!$B$43/(IF(Inputs!$B$38="pvp",15,MAX(0.1,Skills!D3-IF(TRUE=TRUE,Inputs!$B$32,0)))*(1-IF(AND(ArtifactsInput!$M$27,Inputs!$B$4="Chapter Hunt"),CHOOSE(ArtifactsInput!$N$27+1,20,24,28,32,36,40),0)/100)))+1)),0)</f>
        <v/>
      </c>
      <c r="S2287" t="n">
        <v>0</v>
      </c>
      <c r="T2287">
        <f>INDEX(FactorTable!$B$2:$Y$301, MATCH(ROUND(MIN(300,MAX(1,T2286)),0), FactorTable!$A$2:$A$301,0), 22)</f>
        <v/>
      </c>
      <c r="U2287" t="n">
        <v>0</v>
      </c>
      <c r="Z2287">
        <f>INDEX(FactorTable!$B$2:$Y$301, MATCH(ROUND(MIN(300,MAX(1,Z2286)),0), FactorTable!$A$2:$A$301,0), 24)</f>
        <v/>
      </c>
    </row>
    <row r="2288">
      <c r="A2288">
        <f>Skills!A4</f>
        <v/>
      </c>
      <c r="B2288">
        <f>Skills!B4</f>
        <v/>
      </c>
      <c r="C2288">
        <f>Inputs!$B$3&gt;=40</f>
        <v/>
      </c>
      <c r="D2288">
        <f>IF(Skills!C4=1,60+Inputs!$B$25+Inputs!$B$29,IF(Skills!C4=2,90+Inputs!$B$26+Inputs!$B$29,IF(Skills!C4=3,120+Inputs!$B$27+Inputs!$B$29,MAX(0,(Inputs!$B$3-100)*3)+Inputs!$B$28+Inputs!$B$29)))</f>
        <v/>
      </c>
      <c r="E2288">
        <f>INDEX(FactorTable!$B$2:$Y$301, MATCH(ROUND(MIN(300,MAX(1,D2288)),0), FactorTable!$A$2:$A$301,0), Skills!L4+1)</f>
        <v/>
      </c>
      <c r="F2288">
        <f>IF(Skills!M4=TRUE,(Skills!K4/10)*(E2288/1000),Skills!K4/10)+Skills!N4</f>
        <v/>
      </c>
      <c r="G2288">
        <f>Calc!G4</f>
        <v/>
      </c>
      <c r="H2288">
        <f>Calc!H4</f>
        <v/>
      </c>
      <c r="I2288">
        <f>IF(Skills!T4&lt;&gt;"",1+(Skills!T4/10)*(Z2287/1000)/100,1)</f>
        <v/>
      </c>
      <c r="J2288" t="inlineStr"/>
      <c r="K2288" t="inlineStr"/>
      <c r="L2288" t="inlineStr"/>
      <c r="M2288" t="inlineStr"/>
      <c r="N2288" t="inlineStr"/>
      <c r="O2288">
        <f>(1-Summary!$B$11)*S2288+Summary!$B$11*U2288</f>
        <v/>
      </c>
      <c r="P2288">
        <f>IF(B2321=0,0,O2288/B2321)</f>
        <v/>
      </c>
      <c r="Q2288">
        <f>IFERROR(1/(IF(Inputs!$B$38="pvp",15,MAX(0.1,Skills!D4-IF(TRUE=TRUE,Inputs!$B$32,0)))*(1-IF(AND(ArtifactsInput!$M$27,Inputs!$B$4="Chapter Hunt"),CHOOSE(ArtifactsInput!$N$27+1,20,24,28,32,36,40),0)/100)),0)</f>
        <v/>
      </c>
      <c r="R2288">
        <f>IF(AND(Inputs!$B$38&lt;&gt;"pvp",Inputs!$B$43&gt;0),IF(Inputs!$B$43&lt;=0,0,(INT(Inputs!$B$43/(IF(Inputs!$B$38="pvp",15,MAX(0.1,Skills!D4-IF(TRUE=TRUE,Inputs!$B$32,0)))*(1-IF(AND(ArtifactsInput!$M$27,Inputs!$B$4="Chapter Hunt"),CHOOSE(ArtifactsInput!$N$27+1,20,24,28,32,36,40),0)/100)))+1)),0)</f>
        <v/>
      </c>
      <c r="S2288" t="n">
        <v>0</v>
      </c>
      <c r="T2288">
        <f>290*T2287/1000</f>
        <v/>
      </c>
      <c r="U2288" t="n">
        <v>0</v>
      </c>
    </row>
    <row r="2289">
      <c r="A2289">
        <f>Skills!A5</f>
        <v/>
      </c>
      <c r="B2289">
        <f>Skills!B5</f>
        <v/>
      </c>
      <c r="C2289">
        <f>Inputs!$B$3&gt;=38</f>
        <v/>
      </c>
      <c r="D2289">
        <f>IF(Skills!C5=1,60+Inputs!$B$25+Inputs!$B$29,IF(Skills!C5=2,90+Inputs!$B$26+Inputs!$B$29,IF(Skills!C5=3,120+Inputs!$B$27+Inputs!$B$29,MAX(0,(Inputs!$B$3-100)*3)+Inputs!$B$28+Inputs!$B$29)))</f>
        <v/>
      </c>
      <c r="E2289">
        <f>INDEX(FactorTable!$B$2:$Y$301, MATCH(ROUND(MIN(300,MAX(1,D2289)),0), FactorTable!$A$2:$A$301,0), Skills!L5+1)</f>
        <v/>
      </c>
      <c r="F2289">
        <f>IF(Skills!M5=TRUE,(Skills!K5/10)*(E2289/1000),Skills!K5/10)+Skills!N5</f>
        <v/>
      </c>
      <c r="G2289">
        <f>Calc!G5</f>
        <v/>
      </c>
      <c r="H2289">
        <f>Calc!H5</f>
        <v/>
      </c>
      <c r="I2289">
        <f>IF(Skills!T5&lt;&gt;"",1+(Skills!T5/10)*(Z2287/1000)/100,1)</f>
        <v/>
      </c>
      <c r="J2289">
        <f>((Inputs!$B$6*(1+Inputs!$B$7/100))+(((Inputs!$B$12*(1+Inputs!$B$13/100))-(Inputs!$B$12*(1+Inputs!$B$13/100)))+0.25*(Inputs!$B$14-Inputs!$B$14))*(1+Inputs!$B$7/100))*(F2289/100)</f>
        <v/>
      </c>
      <c r="K2289">
        <f>J2289*(1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5="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2289)</f>
        <v/>
      </c>
      <c r="L2289">
        <f>K2289*(MIN(Inputs!$B$22+(F2302-Calc!F18),(Inputs!$B$23+(IF(ArtifactsInput!$M$15,CHOOSE(ArtifactsInput!$N$15+1,25,30,35,40,45,50)/100*(Inputs!$B$11-Inputs!$B$11),0))))/100+(Inputs!$B$23+(IF(ArtifactsInput!$M$15,CHOOSE(ArtifactsInput!$N$15+1,25,30,35,40,45,50)/100*(Inputs!$B$11-Inputs!$B$11),0)))/100)/2</f>
        <v/>
      </c>
      <c r="M2289">
        <f>L2289*(1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9">
        <f>L2289*(1-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2289*(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9">
        <f>(1-Summary!$B$11)*S2289+Summary!$B$11*U2289</f>
        <v/>
      </c>
      <c r="P2289">
        <f>IF(B2321=0,0,O2289/B2321)</f>
        <v/>
      </c>
      <c r="Q2289">
        <f>IFERROR(1/(IF(Inputs!$B$38="pvp",15,MAX(0.1,Skills!D5-IF(TRUE=TRUE,Inputs!$B$32,0)))*(1-IF(AND(ArtifactsInput!$M$27,Inputs!$B$4="Chapter Hunt"),CHOOSE(ArtifactsInput!$N$27+1,20,24,28,32,36,40),0)/100)),0)</f>
        <v/>
      </c>
      <c r="R2289">
        <f>IF(AND(Inputs!$B$38&lt;&gt;"pvp",Inputs!$B$43&gt;0),IF(MAX(0,Inputs!$B$43-B2318)&lt;=0,0,(INT(MAX(0,Inputs!$B$43-B2318)/(IF(Inputs!$B$38="pvp",15,MAX(0.1,Skills!D5-IF(TRUE=TRUE,Inputs!$B$32,0)))*(1-IF(AND(ArtifactsInput!$M$27,Inputs!$B$4="Chapter Hunt"),CHOOSE(ArtifactsInput!$N$27+1,20,24,28,32,36,40),0)/100)))+1)),0)</f>
        <v/>
      </c>
      <c r="S2289">
        <f>IF(C2289,(H2289*N2289*IF(AND(Inputs!$B$38&lt;&gt;"pvp",Inputs!$B$43&gt;0),((Skills!F5*((R2289-1)*IF(Skills!G5&gt;0,Skills!H5/Skills!G5,1)+IF(Skills!G5&gt;0,MIN(Skills!H5,MAX(0,MAX(0,Inputs!$B$43-B2318)-((R2289-1)*(IF(Inputs!$B$38="pvp",15,MAX(0.1,Skills!D5-IF(TRUE=TRUE,Inputs!$B$32,0)))*(1-IF(AND(ArtifactsInput!$M$27,Inputs!$B$4="Chapter Hunt"),CHOOSE(ArtifactsInput!$N$27+1,20,24,28,32,36,40),0)/100)))))/Skills!G5,1)))/Inputs!$B$43),G2289*Q2289))*IF(Inputs!$B$38="pvp",1,1+(Inputs!$B$20+Skills!O5+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2289*(1-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2289*(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2289*(1-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2289*(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89">
        <f>IF(C2289,(H2289*N2289*IF(AND(Inputs!$B$38&lt;&gt;"pvp",Inputs!$B$43&gt;0),((Skills!F5*((R2289-1)*IF(Skills!G5&gt;0,Skills!H5/Skills!G5,1)+IF(Skills!G5&gt;0,MIN(Skills!H5,MAX(0,MAX(0,Inputs!$B$43-B2318)-((R2289-1)*(IF(Inputs!$B$38="pvp",15,MAX(0.1,Skills!D5-IF(TRUE=TRUE,Inputs!$B$32,0)))*(1-IF(AND(ArtifactsInput!$M$27,Inputs!$B$4="Chapter Hunt"),CHOOSE(ArtifactsInput!$N$27+1,20,24,28,32,36,40),0)/100)))))/Skills!G5,1)))/Inputs!$B$43),G2289*Q2289))*IF(Inputs!$B$38="pvp",1,(1+(Inputs!$B$21+Skills!P5+B2312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0">
      <c r="A2290">
        <f>Skills!A6</f>
        <v/>
      </c>
      <c r="B2290">
        <f>Skills!B6</f>
        <v/>
      </c>
      <c r="C2290">
        <f>Inputs!$B$3&gt;=63</f>
        <v/>
      </c>
      <c r="D2290">
        <f>IF(Skills!C6=1,60+Inputs!$B$25+Inputs!$B$29,IF(Skills!C6=2,90+Inputs!$B$26+Inputs!$B$29,IF(Skills!C6=3,120+Inputs!$B$27+Inputs!$B$29,MAX(0,(Inputs!$B$3-100)*3)+Inputs!$B$28+Inputs!$B$29)))</f>
        <v/>
      </c>
      <c r="E2290">
        <f>INDEX(FactorTable!$B$2:$Y$301, MATCH(ROUND(MIN(300,MAX(1,D2290)),0), FactorTable!$A$2:$A$301,0), Skills!L6+1)</f>
        <v/>
      </c>
      <c r="F2290">
        <f>IF(Skills!M6=TRUE,(Skills!K6/10)*(E2290/1000),Skills!K6/10)+Skills!N6</f>
        <v/>
      </c>
      <c r="G2290">
        <f>Calc!G6</f>
        <v/>
      </c>
      <c r="H2290">
        <f>Calc!H6</f>
        <v/>
      </c>
      <c r="I2290">
        <f>IF(Skills!T6&lt;&gt;"",1+(Skills!T6/10)*(Z2287/1000)/100,1)</f>
        <v/>
      </c>
      <c r="J2290">
        <f>((Inputs!$B$6*(1+Inputs!$B$7/100))+(((Inputs!$B$12*(1+Inputs!$B$13/100))-(Inputs!$B$12*(1+Inputs!$B$13/100)))+0.25*(Inputs!$B$14-Inputs!$B$14))*(1+Inputs!$B$7/100))*(F2290/100)</f>
        <v/>
      </c>
      <c r="K2290">
        <f>J2290*(1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6="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2290)</f>
        <v/>
      </c>
      <c r="L2290">
        <f>K2290*(MIN(Inputs!$B$22+(F2302-Calc!F18),(Inputs!$B$23+(IF(ArtifactsInput!$M$15,CHOOSE(ArtifactsInput!$N$15+1,25,30,35,40,45,50)/100*(Inputs!$B$11-Inputs!$B$11),0))))/100+(Inputs!$B$23+(IF(ArtifactsInput!$M$15,CHOOSE(ArtifactsInput!$N$15+1,25,30,35,40,45,50)/100*(Inputs!$B$11-Inputs!$B$11),0)))/100)/2</f>
        <v/>
      </c>
      <c r="M2290">
        <f>L2290*(1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0">
        <f>L2290*(1-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2290*(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0">
        <f>(1-Summary!$B$11)*S2290+Summary!$B$11*U2290</f>
        <v/>
      </c>
      <c r="P2290">
        <f>IF(B2321=0,0,O2290/B2321)</f>
        <v/>
      </c>
      <c r="Q2290">
        <f>IFERROR(1/(IF(Inputs!$B$38="pvp",15,MAX(0.1,Skills!D6-IF(TRUE=TRUE,Inputs!$B$32,0)))*(1-IF(AND(ArtifactsInput!$M$27,Inputs!$B$4="Chapter Hunt"),CHOOSE(ArtifactsInput!$N$27+1,20,24,28,32,36,40),0)/100)),0)</f>
        <v/>
      </c>
      <c r="R2290">
        <f>IF(AND(Inputs!$B$38&lt;&gt;"pvp",Inputs!$B$43&gt;0),IF(MAX(0,Inputs!$B$43-B2318)&lt;=0,0,(INT(MAX(0,Inputs!$B$43-B2318)/(IF(Inputs!$B$38="pvp",15,MAX(0.1,Skills!D6-IF(TRUE=TRUE,Inputs!$B$32,0)))*(1-IF(AND(ArtifactsInput!$M$27,Inputs!$B$4="Chapter Hunt"),CHOOSE(ArtifactsInput!$N$27+1,20,24,28,32,36,40),0)/100)))+1)),0)</f>
        <v/>
      </c>
      <c r="S2290">
        <f>IF(C2290,(H2290*N2290*IF(AND(Inputs!$B$38&lt;&gt;"pvp",Inputs!$B$43&gt;0),((Skills!F6*((R2290-1)*IF(Skills!G6&gt;0,Skills!H6/Skills!G6,1)+IF(Skills!G6&gt;0,MIN(Skills!H6,MAX(0,MAX(0,Inputs!$B$43-B2318)-((R2290-1)*(IF(Inputs!$B$38="pvp",15,MAX(0.1,Skills!D6-IF(TRUE=TRUE,Inputs!$B$32,0)))*(1-IF(AND(ArtifactsInput!$M$27,Inputs!$B$4="Chapter Hunt"),CHOOSE(ArtifactsInput!$N$27+1,20,24,28,32,36,40),0)/100)))))/Skills!G6,1)))/Inputs!$B$43),G2290*Q2290))*IF(Inputs!$B$38="pvp",1,1+(Inputs!$B$20+Skills!O6+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2290*(1-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2290*(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2290*(1-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2290*(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0">
        <f>IF(C2290,(H2290*N2290*IF(AND(Inputs!$B$38&lt;&gt;"pvp",Inputs!$B$43&gt;0),((Skills!F6*((R2290-1)*IF(Skills!G6&gt;0,Skills!H6/Skills!G6,1)+IF(Skills!G6&gt;0,MIN(Skills!H6,MAX(0,MAX(0,Inputs!$B$43-B2318)-((R2290-1)*(IF(Inputs!$B$38="pvp",15,MAX(0.1,Skills!D6-IF(TRUE=TRUE,Inputs!$B$32,0)))*(1-IF(AND(ArtifactsInput!$M$27,Inputs!$B$4="Chapter Hunt"),CHOOSE(ArtifactsInput!$N$27+1,20,24,28,32,36,40),0)/100)))))/Skills!G6,1)))/Inputs!$B$43),G2290*Q2290))*IF(Inputs!$B$38="pvp",1,(1+(Inputs!$B$21+Skills!P6+B2312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1">
      <c r="A2291">
        <f>Skills!A7</f>
        <v/>
      </c>
      <c r="B2291">
        <f>Skills!B7</f>
        <v/>
      </c>
      <c r="C2291">
        <f>Inputs!$B$3&gt;=69</f>
        <v/>
      </c>
      <c r="D2291">
        <f>IF(Skills!C7=1,60+Inputs!$B$25+Inputs!$B$29,IF(Skills!C7=2,90+Inputs!$B$26+Inputs!$B$29,IF(Skills!C7=3,120+Inputs!$B$27+Inputs!$B$29,MAX(0,(Inputs!$B$3-100)*3)+Inputs!$B$28+Inputs!$B$29)))</f>
        <v/>
      </c>
      <c r="E2291">
        <f>INDEX(FactorTable!$B$2:$Y$301, MATCH(ROUND(MIN(300,MAX(1,D2291)),0), FactorTable!$A$2:$A$301,0), Skills!L7+1)</f>
        <v/>
      </c>
      <c r="F2291">
        <f>IF(Skills!M7=TRUE,(Skills!K7/10)*(E2291/1000),Skills!K7/10)+Skills!N7</f>
        <v/>
      </c>
      <c r="G2291">
        <f>Calc!G7</f>
        <v/>
      </c>
      <c r="H2291">
        <f>Calc!H7</f>
        <v/>
      </c>
      <c r="I2291">
        <f>IF(Skills!T7&lt;&gt;"",1+(Skills!T7/10)*(Z2287/1000)/100,1)</f>
        <v/>
      </c>
      <c r="J2291">
        <f>((Inputs!$B$6*(1+Inputs!$B$7/100))+(((Inputs!$B$12*(1+Inputs!$B$13/100))-(Inputs!$B$12*(1+Inputs!$B$13/100)))+0.25*(Inputs!$B$14-Inputs!$B$14))*(1+Inputs!$B$7/100))*(F2291/100)</f>
        <v/>
      </c>
      <c r="K2291">
        <f>J2291*(1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7="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2291)</f>
        <v/>
      </c>
      <c r="L2291">
        <f>K2291*(MIN(Inputs!$B$22+(F2302-Calc!F18),(Inputs!$B$23+(IF(ArtifactsInput!$M$15,CHOOSE(ArtifactsInput!$N$15+1,25,30,35,40,45,50)/100*(Inputs!$B$11-Inputs!$B$11),0))))/100+(Inputs!$B$23+(IF(ArtifactsInput!$M$15,CHOOSE(ArtifactsInput!$N$15+1,25,30,35,40,45,50)/100*(Inputs!$B$11-Inputs!$B$11),0)))/100)/2</f>
        <v/>
      </c>
      <c r="M2291">
        <f>L2291*(1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1">
        <f>L2291*(1-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1">
        <f>(1-Summary!$B$11)*S2291+Summary!$B$11*U2291</f>
        <v/>
      </c>
      <c r="P2291">
        <f>IF(B2321=0,0,O2291/B2321)</f>
        <v/>
      </c>
      <c r="Q2291">
        <f>IFERROR(1/(IF(Inputs!$B$38="pvp",15,MAX(0.1,Skills!D7-IF(TRUE=TRUE,Inputs!$B$32,0)))*(1-IF(AND(ArtifactsInput!$M$27,Inputs!$B$4="Chapter Hunt"),CHOOSE(ArtifactsInput!$N$27+1,20,24,28,32,36,40),0)/100)),0)</f>
        <v/>
      </c>
      <c r="R2291">
        <f>IF(AND(Inputs!$B$38&lt;&gt;"pvp",Inputs!$B$43&gt;0),IF(MAX(0,Inputs!$B$43-B2318)&lt;=0,0,(INT(MAX(0,Inputs!$B$43-B2318)/(IF(Inputs!$B$38="pvp",15,MAX(0.1,Skills!D7-IF(TRUE=TRUE,Inputs!$B$32,0)))*(1-IF(AND(ArtifactsInput!$M$27,Inputs!$B$4="Chapter Hunt"),CHOOSE(ArtifactsInput!$N$27+1,20,24,28,32,36,40),0)/100)))+1)),0)</f>
        <v/>
      </c>
      <c r="S2291">
        <f>IF(C2291,(H2291*N2291*IF(AND(Inputs!$B$38&lt;&gt;"pvp",Inputs!$B$43&gt;0),((Skills!F7*((R2291-1)*IF(Skills!G7&gt;0,Skills!H7/Skills!G7,1)+IF(Skills!G7&gt;0,MIN(Skills!H7,MAX(0,MAX(0,Inputs!$B$43-B2318)-((R2291-1)*(IF(Inputs!$B$38="pvp",15,MAX(0.1,Skills!D7-IF(TRUE=TRUE,Inputs!$B$32,0)))*(1-IF(AND(ArtifactsInput!$M$27,Inputs!$B$4="Chapter Hunt"),CHOOSE(ArtifactsInput!$N$27+1,20,24,28,32,36,40),0)/100)))))/Skills!G7,1)))/Inputs!$B$43),G2291*Q2291))*IF(Inputs!$B$38="pvp",1,1+(Inputs!$B$20+Skills!O7+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2291*(1-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2291*(1-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1">
        <f>IF(C2291,(H2291*N2291*IF(AND(Inputs!$B$38&lt;&gt;"pvp",Inputs!$B$43&gt;0),((Skills!F7*((R2291-1)*IF(Skills!G7&gt;0,Skills!H7/Skills!G7,1)+IF(Skills!G7&gt;0,MIN(Skills!H7,MAX(0,MAX(0,Inputs!$B$43-B2318)-((R2291-1)*(IF(Inputs!$B$38="pvp",15,MAX(0.1,Skills!D7-IF(TRUE=TRUE,Inputs!$B$32,0)))*(1-IF(AND(ArtifactsInput!$M$27,Inputs!$B$4="Chapter Hunt"),CHOOSE(ArtifactsInput!$N$27+1,20,24,28,32,36,40),0)/100)))))/Skills!G7,1)))/Inputs!$B$43),G2291*Q2291))*IF(Inputs!$B$38="pvp",1,(1+(Inputs!$B$21+Skills!P7+B2312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2">
      <c r="A2292">
        <f>Skills!A8</f>
        <v/>
      </c>
      <c r="B2292">
        <f>Skills!B8</f>
        <v/>
      </c>
      <c r="C2292">
        <f>Inputs!$B$3&gt;=103</f>
        <v/>
      </c>
      <c r="D2292">
        <f>IF(Skills!C8=1,60+Inputs!$B$25+Inputs!$B$29,IF(Skills!C8=2,90+Inputs!$B$26+Inputs!$B$29,IF(Skills!C8=3,120+Inputs!$B$27+Inputs!$B$29,MAX(0,(Inputs!$B$3-100)*3)+Inputs!$B$28+Inputs!$B$29)))</f>
        <v/>
      </c>
      <c r="E2292">
        <f>INDEX(FactorTable!$B$2:$Y$301, MATCH(ROUND(MIN(300,MAX(1,D2292)),0), FactorTable!$A$2:$A$301,0), Skills!L8+1)</f>
        <v/>
      </c>
      <c r="F2292">
        <f>IF(Skills!M8=TRUE,(Skills!K8/10)*(E2292/1000),Skills!K8/10)+Skills!N8</f>
        <v/>
      </c>
      <c r="G2292">
        <f>Calc!G8</f>
        <v/>
      </c>
      <c r="H2292">
        <f>Calc!H8</f>
        <v/>
      </c>
      <c r="I2292">
        <f>IF(Skills!T8&lt;&gt;"",1+(Skills!T8/10)*(Z2287/1000)/100,1)</f>
        <v/>
      </c>
      <c r="J2292">
        <f>((Inputs!$B$6*(1+Inputs!$B$7/100))+(((Inputs!$B$12*(1+Inputs!$B$13/100))-(Inputs!$B$12*(1+Inputs!$B$13/100)))+0.25*(Inputs!$B$14-Inputs!$B$14))*(1+Inputs!$B$7/100))*(F2292/100)</f>
        <v/>
      </c>
      <c r="K2292">
        <f>J2292*(1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8="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2292)</f>
        <v/>
      </c>
      <c r="L2292">
        <f>K2292*(MIN(Inputs!$B$22+(F2302-Calc!F18),(Inputs!$B$23+(IF(ArtifactsInput!$M$15,CHOOSE(ArtifactsInput!$N$15+1,25,30,35,40,45,50)/100*(Inputs!$B$11-Inputs!$B$11),0))))/100+(Inputs!$B$23+(IF(ArtifactsInput!$M$15,CHOOSE(ArtifactsInput!$N$15+1,25,30,35,40,45,50)/100*(Inputs!$B$11-Inputs!$B$11),0)))/100)/2</f>
        <v/>
      </c>
      <c r="M2292">
        <f>L2292*(1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2">
        <f>L2292*(1-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2292*(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2">
        <f>(1-Summary!$B$11)*S2292+Summary!$B$11*U2292</f>
        <v/>
      </c>
      <c r="P2292">
        <f>IF(B2321=0,0,O2292/B2321)</f>
        <v/>
      </c>
      <c r="Q2292">
        <f>IFERROR(1/(IF(Inputs!$B$38="pvp",15,MAX(0.1,Skills!D8-IF(TRUE=TRUE,Inputs!$B$32,0)))*(1-IF(AND(ArtifactsInput!$M$27,Inputs!$B$4="Chapter Hunt"),CHOOSE(ArtifactsInput!$N$27+1,20,24,28,32,36,40),0)/100)),0)</f>
        <v/>
      </c>
      <c r="R2292">
        <f>IF(AND(Inputs!$B$38&lt;&gt;"pvp",Inputs!$B$43&gt;0),IF(MAX(0,Inputs!$B$43-B2318)&lt;=0,0,(INT(MAX(0,Inputs!$B$43-B2318)/(IF(Inputs!$B$38="pvp",15,MAX(0.1,Skills!D8-IF(TRUE=TRUE,Inputs!$B$32,0)))*(1-IF(AND(ArtifactsInput!$M$27,Inputs!$B$4="Chapter Hunt"),CHOOSE(ArtifactsInput!$N$27+1,20,24,28,32,36,40),0)/100)))+1)),0)</f>
        <v/>
      </c>
      <c r="S2292">
        <f>IF(C2292,(H2292*N2292*IF(AND(Inputs!$B$38&lt;&gt;"pvp",Inputs!$B$43&gt;0),((Skills!F8*((R2292-1)*IF(Skills!G8&gt;0,Skills!H8/Skills!G8,1)+IF(Skills!G8&gt;0,MIN(Skills!H8,MAX(0,MAX(0,Inputs!$B$43-B2318)-((R2292-1)*(IF(Inputs!$B$38="pvp",15,MAX(0.1,Skills!D8-IF(TRUE=TRUE,Inputs!$B$32,0)))*(1-IF(AND(ArtifactsInput!$M$27,Inputs!$B$4="Chapter Hunt"),CHOOSE(ArtifactsInput!$N$27+1,20,24,28,32,36,40),0)/100)))))/Skills!G8,1)))/Inputs!$B$43),G2292*Q2292))*IF(Inputs!$B$38="pvp",1,1+(Inputs!$B$20+Skills!O8+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2292*(1-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2292*(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2292*(1-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2292*(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2">
        <f>IF(C2292,(H2292*N2292*IF(AND(Inputs!$B$38&lt;&gt;"pvp",Inputs!$B$43&gt;0),((Skills!F8*((R2292-1)*IF(Skills!G8&gt;0,Skills!H8/Skills!G8,1)+IF(Skills!G8&gt;0,MIN(Skills!H8,MAX(0,MAX(0,Inputs!$B$43-B2318)-((R2292-1)*(IF(Inputs!$B$38="pvp",15,MAX(0.1,Skills!D8-IF(TRUE=TRUE,Inputs!$B$32,0)))*(1-IF(AND(ArtifactsInput!$M$27,Inputs!$B$4="Chapter Hunt"),CHOOSE(ArtifactsInput!$N$27+1,20,24,28,32,36,40),0)/100)))))/Skills!G8,1)))/Inputs!$B$43),G2292*Q2292))*IF(Inputs!$B$38="pvp",1,(1+(Inputs!$B$21+Skills!P8+B2312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3">
      <c r="A2293">
        <f>Skills!A9</f>
        <v/>
      </c>
      <c r="B2293">
        <f>Skills!B9</f>
        <v/>
      </c>
      <c r="C2293">
        <f>Inputs!$B$3&gt;=105</f>
        <v/>
      </c>
      <c r="D2293">
        <f>IF(Skills!C9=1,60+Inputs!$B$25+Inputs!$B$29,IF(Skills!C9=2,90+Inputs!$B$26+Inputs!$B$29,IF(Skills!C9=3,120+Inputs!$B$27+Inputs!$B$29,MAX(0,(Inputs!$B$3-100)*3)+Inputs!$B$28+Inputs!$B$29)))</f>
        <v/>
      </c>
      <c r="E2293">
        <f>INDEX(FactorTable!$B$2:$Y$301, MATCH(ROUND(MIN(300,MAX(1,D2293)),0), FactorTable!$A$2:$A$301,0), Skills!L9+1)</f>
        <v/>
      </c>
      <c r="F2293">
        <f>IF(Skills!M9=TRUE,(Skills!K9/10)*(E2293/1000),Skills!K9/10)+Skills!N9</f>
        <v/>
      </c>
      <c r="G2293">
        <f>Calc!G9</f>
        <v/>
      </c>
      <c r="H2293">
        <f>Calc!H9</f>
        <v/>
      </c>
      <c r="I2293">
        <f>IF(Skills!T9&lt;&gt;"",1+(Skills!T9/10)*(Z2287/1000)/100,1)</f>
        <v/>
      </c>
      <c r="J2293">
        <f>((Inputs!$B$6*(1+Inputs!$B$7/100))+(((Inputs!$B$12*(1+Inputs!$B$13/100))-(Inputs!$B$12*(1+Inputs!$B$13/100)))+0.25*(Inputs!$B$14-Inputs!$B$14))*(1+Inputs!$B$7/100))*(F2293/100)</f>
        <v/>
      </c>
      <c r="K2293">
        <f>J2293*(1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9="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2293)</f>
        <v/>
      </c>
      <c r="L2293">
        <f>K2293*(MIN(Inputs!$B$22+(F2302-Calc!F18),(Inputs!$B$23+(IF(ArtifactsInput!$M$15,CHOOSE(ArtifactsInput!$N$15+1,25,30,35,40,45,50)/100*(Inputs!$B$11-Inputs!$B$11),0))))/100+(Inputs!$B$23+(IF(ArtifactsInput!$M$15,CHOOSE(ArtifactsInput!$N$15+1,25,30,35,40,45,50)/100*(Inputs!$B$11-Inputs!$B$11),0)))/100)/2</f>
        <v/>
      </c>
      <c r="M2293">
        <f>L2293*(1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3">
        <f>L2293*(1-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2293*(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3">
        <f>(1-Summary!$B$11)*S2293+Summary!$B$11*U2293</f>
        <v/>
      </c>
      <c r="P2293">
        <f>IF(B2321=0,0,O2293/B2321)</f>
        <v/>
      </c>
      <c r="Q2293">
        <f>IFERROR(1/(IF(Inputs!$B$38="pvp",15,MAX(0.1,Skills!D9-IF(TRUE=TRUE,Inputs!$B$32,0)))*(1-IF(AND(ArtifactsInput!$M$27,Inputs!$B$4="Chapter Hunt"),CHOOSE(ArtifactsInput!$N$27+1,20,24,28,32,36,40),0)/100)),0)</f>
        <v/>
      </c>
      <c r="R2293">
        <f>IF(AND(Inputs!$B$38&lt;&gt;"pvp",Inputs!$B$43&gt;0),IF(MAX(0,Inputs!$B$43-B2318)&lt;=0,0,(INT(MAX(0,Inputs!$B$43-B2318)/(IF(Inputs!$B$38="pvp",15,MAX(0.1,Skills!D9-IF(TRUE=TRUE,Inputs!$B$32,0)))*(1-IF(AND(ArtifactsInput!$M$27,Inputs!$B$4="Chapter Hunt"),CHOOSE(ArtifactsInput!$N$27+1,20,24,28,32,36,40),0)/100)))+1)),0)</f>
        <v/>
      </c>
      <c r="S2293">
        <f>IF(C2293,(H2293*N2293*IF(AND(Inputs!$B$38&lt;&gt;"pvp",Inputs!$B$43&gt;0),((Skills!F9*((R2293-1)*IF(Skills!G9&gt;0,Skills!H9/Skills!G9,1)+IF(Skills!G9&gt;0,MIN(Skills!H9,MAX(0,MAX(0,Inputs!$B$43-B2318)-((R2293-1)*(IF(Inputs!$B$38="pvp",15,MAX(0.1,Skills!D9-IF(TRUE=TRUE,Inputs!$B$32,0)))*(1-IF(AND(ArtifactsInput!$M$27,Inputs!$B$4="Chapter Hunt"),CHOOSE(ArtifactsInput!$N$27+1,20,24,28,32,36,40),0)/100)))))/Skills!G9,1)))/Inputs!$B$43),G2293*Q2293))*IF(Inputs!$B$38="pvp",1,1+(Inputs!$B$20+Skills!O9+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2293*(1-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2293*(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2293*(1-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2293*(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3">
        <f>IF(C2293,(H2293*N2293*IF(AND(Inputs!$B$38&lt;&gt;"pvp",Inputs!$B$43&gt;0),((Skills!F9*((R2293-1)*IF(Skills!G9&gt;0,Skills!H9/Skills!G9,1)+IF(Skills!G9&gt;0,MIN(Skills!H9,MAX(0,MAX(0,Inputs!$B$43-B2318)-((R2293-1)*(IF(Inputs!$B$38="pvp",15,MAX(0.1,Skills!D9-IF(TRUE=TRUE,Inputs!$B$32,0)))*(1-IF(AND(ArtifactsInput!$M$27,Inputs!$B$4="Chapter Hunt"),CHOOSE(ArtifactsInput!$N$27+1,20,24,28,32,36,40),0)/100)))))/Skills!G9,1)))/Inputs!$B$43),G2293*Q2293))*IF(Inputs!$B$38="pvp",1,(1+(Inputs!$B$21+Skills!P9+B2312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4">
      <c r="A2294">
        <f>Skills!A10</f>
        <v/>
      </c>
      <c r="B2294">
        <f>Skills!B10</f>
        <v/>
      </c>
      <c r="C2294">
        <f>Inputs!$B$3&gt;=113</f>
        <v/>
      </c>
      <c r="D2294">
        <f>IF(Skills!C10=1,60+Inputs!$B$25+Inputs!$B$29,IF(Skills!C10=2,90+Inputs!$B$26+Inputs!$B$29,IF(Skills!C10=3,120+Inputs!$B$27+Inputs!$B$29,MAX(0,(Inputs!$B$3-100)*3)+Inputs!$B$28+Inputs!$B$29)))</f>
        <v/>
      </c>
      <c r="E2294">
        <f>INDEX(FactorTable!$B$2:$Y$301, MATCH(ROUND(MIN(300,MAX(1,D2294)),0), FactorTable!$A$2:$A$301,0), Skills!L10+1)</f>
        <v/>
      </c>
      <c r="F2294">
        <f>IF(Skills!M10=TRUE,(Skills!K10/10)*(E2294/1000),Skills!K10/10)+Skills!N10</f>
        <v/>
      </c>
      <c r="G2294">
        <f>Calc!G10</f>
        <v/>
      </c>
      <c r="H2294">
        <f>Calc!H10</f>
        <v/>
      </c>
      <c r="I2294">
        <f>IF(Skills!T10&lt;&gt;"",1+(Skills!T10/10)*(Z2287/1000)/100,1)</f>
        <v/>
      </c>
      <c r="J2294">
        <f>((Inputs!$B$6*(1+Inputs!$B$7/100))+(((Inputs!$B$12*(1+Inputs!$B$13/100))-(Inputs!$B$12*(1+Inputs!$B$13/100)))+0.25*(Inputs!$B$14-Inputs!$B$14))*(1+Inputs!$B$7/100))*(F2294/100)</f>
        <v/>
      </c>
      <c r="K2294">
        <f>J2294*(1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10="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2294)</f>
        <v/>
      </c>
      <c r="L2294">
        <f>K2294*(MIN(Inputs!$B$22+(F2302-Calc!F18),(Inputs!$B$23+(IF(ArtifactsInput!$M$15,CHOOSE(ArtifactsInput!$N$15+1,25,30,35,40,45,50)/100*(Inputs!$B$11-Inputs!$B$11),0))))/100+(Inputs!$B$23+(IF(ArtifactsInput!$M$15,CHOOSE(ArtifactsInput!$N$15+1,25,30,35,40,45,50)/100*(Inputs!$B$11-Inputs!$B$11),0)))/100)/2</f>
        <v/>
      </c>
      <c r="M2294">
        <f>L2294*(1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4">
        <f>L2294*(1-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2294*(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4">
        <f>(1-Summary!$B$11)*S2294+Summary!$B$11*U2294</f>
        <v/>
      </c>
      <c r="P2294">
        <f>IF(B2321=0,0,O2294/B2321)</f>
        <v/>
      </c>
      <c r="Q2294">
        <f>IFERROR(1/(IF(Inputs!$B$38="pvp",15,MAX(0.1,Skills!D10-IF(TRUE=TRUE,Inputs!$B$32,0)))*(1-IF(AND(ArtifactsInput!$M$27,Inputs!$B$4="Chapter Hunt"),CHOOSE(ArtifactsInput!$N$27+1,20,24,28,32,36,40),0)/100)),0)</f>
        <v/>
      </c>
      <c r="R2294" t="n">
        <v>0</v>
      </c>
      <c r="S2294">
        <f>IF(C2294,((H2294*B2322)/(1+Skills!G10*H2294*B2322)*N2294)*IF(Inputs!$B$38="pvp",1,1+(Inputs!$B$20+Skills!O10+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2294*(1-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2294*(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2294*(1-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2294*(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4">
        <f>IF(C2294,((H2294*B2322)/(1+Skills!G10*H2294*B2322)*N2294)*IF(Inputs!$B$38="pvp",1,(1+(Inputs!$B$21+Skills!P10+B2312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5">
      <c r="A2295">
        <f>Skills!A11</f>
        <v/>
      </c>
      <c r="B2295">
        <f>Skills!B11</f>
        <v/>
      </c>
      <c r="C2295">
        <f>Inputs!$B$3&gt;=107</f>
        <v/>
      </c>
      <c r="D2295">
        <f>IF(Skills!C11=1,60+Inputs!$B$25+Inputs!$B$29,IF(Skills!C11=2,90+Inputs!$B$26+Inputs!$B$29,IF(Skills!C11=3,120+Inputs!$B$27+Inputs!$B$29,MAX(0,(Inputs!$B$3-100)*3)+Inputs!$B$28+Inputs!$B$29)))</f>
        <v/>
      </c>
      <c r="E2295">
        <f>INDEX(FactorTable!$B$2:$Y$301, MATCH(ROUND(MIN(300,MAX(1,D2295)),0), FactorTable!$A$2:$A$301,0), Skills!L11+1)</f>
        <v/>
      </c>
      <c r="F2295">
        <f>IF(Skills!M11=TRUE,(Skills!K11/10)*(E2295/1000),Skills!K11/10)+Skills!N11</f>
        <v/>
      </c>
      <c r="G2295">
        <f>Calc!G11</f>
        <v/>
      </c>
      <c r="H2295">
        <f>Calc!H11</f>
        <v/>
      </c>
      <c r="I2295">
        <f>IF(Skills!T11&lt;&gt;"",1+(Skills!T11/10)*(Z2287/1000)/100,1)</f>
        <v/>
      </c>
      <c r="J2295">
        <f>((Inputs!$B$6*(1+Inputs!$B$7/100))+(((Inputs!$B$12*(1+Inputs!$B$13/100))-(Inputs!$B$12*(1+Inputs!$B$13/100)))+0.25*(Inputs!$B$14-Inputs!$B$14))*(1+Inputs!$B$7/100))*(F2295/100)</f>
        <v/>
      </c>
      <c r="K2295">
        <f>J2295*(1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11="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2295)</f>
        <v/>
      </c>
      <c r="L2295">
        <f>K2295*(MIN(Inputs!$B$22+(F2302-Calc!F18),(Inputs!$B$23+(IF(ArtifactsInput!$M$15,CHOOSE(ArtifactsInput!$N$15+1,25,30,35,40,45,50)/100*(Inputs!$B$11-Inputs!$B$11),0))))/100+(Inputs!$B$23+(IF(ArtifactsInput!$M$15,CHOOSE(ArtifactsInput!$N$15+1,25,30,35,40,45,50)/100*(Inputs!$B$11-Inputs!$B$11),0)))/100)/2</f>
        <v/>
      </c>
      <c r="M2295">
        <f>L2295*(1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5">
        <f>L2295*(1-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2295*(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5">
        <f>(1-Summary!$B$11)*S2295+Summary!$B$11*U2295</f>
        <v/>
      </c>
      <c r="P2295">
        <f>IF(B2321=0,0,O2295/B2321)</f>
        <v/>
      </c>
      <c r="Q2295">
        <f>IFERROR(1/(IF(Inputs!$B$38="pvp",15,MAX(0.1,Skills!D11-IF(TRUE=TRUE,Inputs!$B$32,0)))*(1-IF(AND(ArtifactsInput!$M$27,Inputs!$B$4="Chapter Hunt"),CHOOSE(ArtifactsInput!$N$27+1,20,24,28,32,36,40),0)/100)),0)</f>
        <v/>
      </c>
      <c r="R2295">
        <f>IF(AND(Inputs!$B$38&lt;&gt;"pvp",Inputs!$B$43&gt;0),IF(MAX(0,Inputs!$B$43-B2318)&lt;=0,0,(INT(MAX(0,Inputs!$B$43-B2318)/(IF(Inputs!$B$38="pvp",15,MAX(0.1,Skills!D11-IF(TRUE=TRUE,Inputs!$B$32,0)))*(1-IF(AND(ArtifactsInput!$M$27,Inputs!$B$4="Chapter Hunt"),CHOOSE(ArtifactsInput!$N$27+1,20,24,28,32,36,40),0)/100)))+1)),0)</f>
        <v/>
      </c>
      <c r="S2295">
        <f>IF(C2295,H2295*N2295*IF(AND(Inputs!$B$38&lt;&gt;"pvp",Inputs!$B$43&gt;0),((Skills!F11*((R2295-1)*IF(Skills!G11&gt;0,Skills!H11/Skills!G11,1)+IF(Skills!G11&gt;0,MIN(Skills!H11,MAX(0,MAX(0,Inputs!$B$43-B2318)-((R2295-1)*(IF(Inputs!$B$38="pvp",15,MAX(0.1,Skills!D11-IF(TRUE=TRUE,Inputs!$B$32,0)))*(1-IF(AND(ArtifactsInput!$M$27,Inputs!$B$4="Chapter Hunt"),CHOOSE(ArtifactsInput!$N$27+1,20,24,28,32,36,40),0)/100)))))/Skills!G11,1)))/Inputs!$B$43),G2295*Q2295)*0.5*IF(Inputs!$B$38="pvp",1,1+(Inputs!$B$20+Skills!O11+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2295*(1-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2295*(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2295*(1-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2295*(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5">
        <f>IF(C2295,H2295*N2295*IF(AND(Inputs!$B$38&lt;&gt;"pvp",Inputs!$B$43&gt;0),((Skills!F11*((R2295-1)*IF(Skills!G11&gt;0,Skills!H11/Skills!G11,1)+IF(Skills!G11&gt;0,MIN(Skills!H11,MAX(0,MAX(0,Inputs!$B$43-B2318)-((R2295-1)*(IF(Inputs!$B$38="pvp",15,MAX(0.1,Skills!D11-IF(TRUE=TRUE,Inputs!$B$32,0)))*(1-IF(AND(ArtifactsInput!$M$27,Inputs!$B$4="Chapter Hunt"),CHOOSE(ArtifactsInput!$N$27+1,20,24,28,32,36,40),0)/100)))))/Skills!G11,1)))/Inputs!$B$43),G2295*Q2295)*1*IF(Inputs!$B$38="pvp",1,(1+(Inputs!$B$21+Skills!P11+B2312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6">
      <c r="A2296">
        <f>Skills!A12</f>
        <v/>
      </c>
      <c r="B2296">
        <f>Skills!B12</f>
        <v/>
      </c>
      <c r="C2296">
        <f>Inputs!$B$3&gt;=115</f>
        <v/>
      </c>
      <c r="D2296">
        <f>IF(Skills!C12=1,60+Inputs!$B$25+Inputs!$B$29,IF(Skills!C12=2,90+Inputs!$B$26+Inputs!$B$29,IF(Skills!C12=3,120+Inputs!$B$27+Inputs!$B$29,MAX(0,(Inputs!$B$3-100)*3)+Inputs!$B$28+Inputs!$B$29)))</f>
        <v/>
      </c>
      <c r="E2296">
        <f>INDEX(FactorTable!$B$2:$Y$301, MATCH(ROUND(MIN(300,MAX(1,D2296)),0), FactorTable!$A$2:$A$301,0), Skills!L12+1)</f>
        <v/>
      </c>
      <c r="F2296">
        <f>IF(Skills!M12=TRUE,(Skills!K12/10)*(E2296/1000),Skills!K12/10)+Skills!N12</f>
        <v/>
      </c>
      <c r="G2296">
        <f>Calc!G12</f>
        <v/>
      </c>
      <c r="H2296">
        <f>Calc!H12</f>
        <v/>
      </c>
      <c r="I2296">
        <f>IF(Skills!T12&lt;&gt;"",1+(Skills!T12/10)*(Z2287/1000)/100,1)</f>
        <v/>
      </c>
      <c r="J2296">
        <f>((Inputs!$B$6*(1+Inputs!$B$7/100))+(((Inputs!$B$12*(1+Inputs!$B$13/100))-(Inputs!$B$12*(1+Inputs!$B$13/100)))+0.25*(Inputs!$B$14-Inputs!$B$14))*(1+Inputs!$B$7/100))*(F2296/100)</f>
        <v/>
      </c>
      <c r="K2296">
        <f>J2296*(1+((Inputs!$B$12*(1+Inputs!$B$13/100))*0.01+Inputs!$B$14*0.0025)/100)*(1+(Inputs!$B$15+B2313)/100)*(1+Inputs!$B$16/100)*(5000/(6000+Inputs!$B$42*(1-(100*(1-(1-Inputs!$B$19/100)*(1-CHOOSE(ArtifactsInput!$N$40+1,5,6,7,8,9,10)/100)^(ArtifactsInput!$M$40-ArtifactsInput!$M$40)))/100)))*(1+Inputs!$B$24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2299=TRUE,F2299,0)/100)*(1+IF(C2307=TRUE,F2307,0)/100)^5*(1+(IF(Skills!A12="CHAIN_LIGHTNING",Inputs!$B$17+((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2311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2296)</f>
        <v/>
      </c>
      <c r="L2296">
        <f>K2296*(MIN(Inputs!$B$22+(F2302-Calc!F18),(Inputs!$B$23+(IF(ArtifactsInput!$M$15,CHOOSE(ArtifactsInput!$N$15+1,25,30,35,40,45,50)/100*(Inputs!$B$11-Inputs!$B$11),0))))/100+(Inputs!$B$23+(IF(ArtifactsInput!$M$15,CHOOSE(ArtifactsInput!$N$15+1,25,30,35,40,45,50)/100*(Inputs!$B$11-Inputs!$B$11),0)))/100)/2</f>
        <v/>
      </c>
      <c r="M2296">
        <f>L2296*(1+(Inputs!$B$10+(F2305-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96">
        <f>L2296*(1-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2296*(MIN((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96">
        <f>(1-Summary!$B$11)*S2296+Summary!$B$11*U2296</f>
        <v/>
      </c>
      <c r="P2296">
        <f>IF(B2321=0,0,O2296/B2321)</f>
        <v/>
      </c>
      <c r="Q2296">
        <f>IFERROR(1/(IF(Inputs!$B$38="pvp",15,MAX(0.1,Skills!D12-IF(TRUE=TRUE,Inputs!$B$32,0)))*(1-IF(AND(ArtifactsInput!$M$27,Inputs!$B$4="Chapter Hunt"),CHOOSE(ArtifactsInput!$N$27+1,20,24,28,32,36,40),0)/100)),0)</f>
        <v/>
      </c>
      <c r="R2296">
        <f>IF(AND(Inputs!$B$38&lt;&gt;"pvp",Inputs!$B$43&gt;0),IF(MAX(0,Inputs!$B$43-B2318)&lt;=0,0,(INT(MAX(0,Inputs!$B$43-B2318)/(IF(Inputs!$B$38="pvp",15,MAX(0.1,Skills!D12-IF(TRUE=TRUE,Inputs!$B$32,0)))*(1-IF(AND(ArtifactsInput!$M$27,Inputs!$B$4="Chapter Hunt"),CHOOSE(ArtifactsInput!$N$27+1,20,24,28,32,36,40),0)/100)))+1)),0)</f>
        <v/>
      </c>
      <c r="S2296">
        <f>IF(C2296,(H2296*N2296*IF(AND(Inputs!$B$38&lt;&gt;"pvp",Inputs!$B$43&gt;0),((Skills!F12*((R2296-1)*IF(Skills!G12&gt;0,Skills!H12/Skills!G12,1)+IF(Skills!G12&gt;0,MIN(Skills!H12,MAX(0,MAX(0,Inputs!$B$43-B2318)-((R2296-1)*(IF(Inputs!$B$38="pvp",15,MAX(0.1,Skills!D12-IF(TRUE=TRUE,Inputs!$B$32,0)))*(1-IF(AND(ArtifactsInput!$M$27,Inputs!$B$4="Chapter Hunt"),CHOOSE(ArtifactsInput!$N$27+1,20,24,28,32,36,40),0)/100)))))/Skills!G12,1)))/Inputs!$B$43),G2296*Q2296))*IF(Inputs!$B$38="pvp",1,1+(Inputs!$B$20+Skills!O12+B2312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2296*(1-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2296*(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2296*(1-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2296*(MIN(100,(Inputs!$B$9+((F2304-Calc!F20)+(F2303-Calc!F19))+(ArtifactsInput!$M$24-ArtifactsInput!$M$24)*CHOOSE(ArtifactsInput!$N$24+1,10,12,14,16,18,20)+(IF(AND(Inputs!$B$38&lt;&gt;"pvp",Inputs!$B$43=0),1,IF(IF(Inputs!$B$38="pvp",15,Inputs!$B$43)-(B2318)&lt;=0,1,MAX(0,IF(Inputs!$B$38="pvp",15,Inputs!$B$43)-MAX(5,B2318))/(IF(Inputs!$B$38="pvp",15,Inputs!$B$43)-(B2318)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96">
        <f>IF(C2296,(H2296*N2296*IF(AND(Inputs!$B$38&lt;&gt;"pvp",Inputs!$B$43&gt;0),((Skills!F12*((R2296-1)*IF(Skills!G12&gt;0,Skills!H12/Skills!G12,1)+IF(Skills!G12&gt;0,MIN(Skills!H12,MAX(0,MAX(0,Inputs!$B$43-B2318)-((R2296-1)*(IF(Inputs!$B$38="pvp",15,MAX(0.1,Skills!D12-IF(TRUE=TRUE,Inputs!$B$32,0)))*(1-IF(AND(ArtifactsInput!$M$27,Inputs!$B$4="Chapter Hunt"),CHOOSE(ArtifactsInput!$N$27+1,20,24,28,32,36,40),0)/100)))))/Skills!G12,1)))/Inputs!$B$43),G2296*Q2296))*IF(Inputs!$B$38="pvp",1,(1+(Inputs!$B$21+Skills!P12+B2312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97">
      <c r="A2297">
        <f>Skills!A13</f>
        <v/>
      </c>
      <c r="B2297">
        <f>Skills!B13</f>
        <v/>
      </c>
      <c r="C2297">
        <f>Inputs!$B$3&gt;=49</f>
        <v/>
      </c>
      <c r="D2297">
        <f>IF(Skills!C13=1,60+Inputs!$B$25+Inputs!$B$29,IF(Skills!C13=2,90+Inputs!$B$26+Inputs!$B$29,IF(Skills!C13=3,120+Inputs!$B$27+Inputs!$B$29,MAX(0,(Inputs!$B$3-100)*3)+Inputs!$B$28+Inputs!$B$29)))</f>
        <v/>
      </c>
      <c r="E2297">
        <f>INDEX(FactorTable!$B$2:$Y$301, MATCH(ROUND(MIN(300,MAX(1,D2297)),0), FactorTable!$A$2:$A$301,0), Skills!L13+1)</f>
        <v/>
      </c>
      <c r="F2297">
        <f>IF(Skills!M13=TRUE,(Skills!K13/10)*(E2297/1000),Skills!K13/10)+Skills!N13</f>
        <v/>
      </c>
      <c r="G2297">
        <f>Calc!G13</f>
        <v/>
      </c>
      <c r="H2297">
        <f>Calc!H13</f>
        <v/>
      </c>
      <c r="I2297">
        <f>IF(Skills!T13&lt;&gt;"",1+(Skills!T13/10)*(Z2287/1000)/100,1)</f>
        <v/>
      </c>
      <c r="J2297" t="inlineStr"/>
      <c r="K2297" t="inlineStr"/>
      <c r="L2297" t="inlineStr"/>
      <c r="M2297" t="inlineStr"/>
      <c r="N2297" t="inlineStr"/>
      <c r="O2297">
        <f>(1-Summary!$B$11)*S2297+Summary!$B$11*U2297</f>
        <v/>
      </c>
      <c r="P2297">
        <f>IF(B2321=0,0,O2297/B2321)</f>
        <v/>
      </c>
      <c r="Q2297">
        <f>IFERROR(1/(IF(Inputs!$B$38="pvp",15,MAX(0.1,Skills!D13-IF(TRUE=TRUE,Inputs!$B$32,0)))*(1-IF(AND(ArtifactsInput!$M$27,Inputs!$B$4="Chapter Hunt"),CHOOSE(ArtifactsInput!$N$27+1,20,24,28,32,36,40),0)/100)),0)</f>
        <v/>
      </c>
      <c r="R2297" t="n">
        <v>0</v>
      </c>
      <c r="S2297" t="n">
        <v>0</v>
      </c>
      <c r="U2297" t="n">
        <v>0</v>
      </c>
    </row>
    <row r="2298">
      <c r="A2298">
        <f>Skills!A14</f>
        <v/>
      </c>
      <c r="B2298">
        <f>Skills!B14</f>
        <v/>
      </c>
      <c r="C2298">
        <f>Inputs!$B$3&gt;=72</f>
        <v/>
      </c>
      <c r="D2298">
        <f>IF(Skills!C14=1,60+Inputs!$B$25+Inputs!$B$29,IF(Skills!C14=2,90+Inputs!$B$26+Inputs!$B$29,IF(Skills!C14=3,120+Inputs!$B$27+Inputs!$B$29,MAX(0,(Inputs!$B$3-100)*3)+Inputs!$B$28+Inputs!$B$29)))</f>
        <v/>
      </c>
      <c r="E2298">
        <f>INDEX(FactorTable!$B$2:$Y$301, MATCH(ROUND(MIN(300,MAX(1,D2298)),0), FactorTable!$A$2:$A$301,0), Skills!L14+1)</f>
        <v/>
      </c>
      <c r="F2298">
        <f>IF(Skills!M14=TRUE,(Skills!K14/10)*(E2298/1000),Skills!K14/10)+Skills!N14</f>
        <v/>
      </c>
      <c r="G2298">
        <f>Calc!G14</f>
        <v/>
      </c>
      <c r="H2298">
        <f>Calc!H14</f>
        <v/>
      </c>
      <c r="I2298">
        <f>IF(Skills!T14&lt;&gt;"",1+(Skills!T14/10)*(Z2287/1000)/100,1)</f>
        <v/>
      </c>
      <c r="J2298" t="inlineStr"/>
      <c r="K2298" t="inlineStr"/>
      <c r="L2298" t="inlineStr"/>
      <c r="M2298" t="inlineStr"/>
      <c r="N2298" t="inlineStr"/>
      <c r="O2298">
        <f>(1-Summary!$B$11)*S2298+Summary!$B$11*U2298</f>
        <v/>
      </c>
      <c r="P2298">
        <f>IF(B2321=0,0,O2298/B2321)</f>
        <v/>
      </c>
      <c r="Q2298">
        <f>IFERROR(1/(IF(Inputs!$B$38="pvp",15,MAX(0.1,Skills!D14-IF(TRUE=TRUE,Inputs!$B$32,0)))*(1-IF(AND(ArtifactsInput!$M$27,Inputs!$B$4="Chapter Hunt"),CHOOSE(ArtifactsInput!$N$27+1,20,24,28,32,36,40),0)/100)),0)</f>
        <v/>
      </c>
      <c r="R2298" t="n">
        <v>0</v>
      </c>
      <c r="S2298" t="n">
        <v>0</v>
      </c>
      <c r="U2298" t="n">
        <v>0</v>
      </c>
    </row>
    <row r="2299">
      <c r="A2299">
        <f>Skills!A15</f>
        <v/>
      </c>
      <c r="B2299">
        <f>Skills!B15</f>
        <v/>
      </c>
      <c r="C2299">
        <f>Inputs!$B$3&gt;=75</f>
        <v/>
      </c>
      <c r="D2299">
        <f>IF(Skills!C15=1,60+Inputs!$B$25+Inputs!$B$29,IF(Skills!C15=2,90+Inputs!$B$26+Inputs!$B$29,IF(Skills!C15=3,120+Inputs!$B$27+Inputs!$B$29,MAX(0,(Inputs!$B$3-100)*3)+Inputs!$B$28+Inputs!$B$29)))</f>
        <v/>
      </c>
      <c r="E2299">
        <f>INDEX(FactorTable!$B$2:$Y$301, MATCH(ROUND(MIN(300,MAX(1,D2299)),0), FactorTable!$A$2:$A$301,0), Skills!L15+1)</f>
        <v/>
      </c>
      <c r="F2299">
        <f>IF(Skills!M15=TRUE,(Skills!K15/10)*(E2299/1000),Skills!K15/10)+Skills!N15</f>
        <v/>
      </c>
      <c r="G2299">
        <f>Calc!G15</f>
        <v/>
      </c>
      <c r="H2299">
        <f>Calc!H15</f>
        <v/>
      </c>
      <c r="I2299">
        <f>IF(Skills!T15&lt;&gt;"",1+(Skills!T15/10)*(Z2287/1000)/100,1)</f>
        <v/>
      </c>
      <c r="J2299" t="inlineStr"/>
      <c r="K2299" t="inlineStr"/>
      <c r="L2299" t="inlineStr"/>
      <c r="M2299" t="inlineStr"/>
      <c r="N2299" t="inlineStr"/>
      <c r="O2299">
        <f>(1-Summary!$B$11)*S2299+Summary!$B$11*U2299</f>
        <v/>
      </c>
      <c r="P2299">
        <f>IF(B2321=0,0,O2299/B2321)</f>
        <v/>
      </c>
      <c r="Q2299">
        <f>IFERROR(1/(IF(Inputs!$B$38="pvp",15,MAX(0.1,Skills!D15-IF(TRUE=TRUE,Inputs!$B$32,0)))*(1-IF(AND(ArtifactsInput!$M$27,Inputs!$B$4="Chapter Hunt"),CHOOSE(ArtifactsInput!$N$27+1,20,24,28,32,36,40),0)/100)),0)</f>
        <v/>
      </c>
      <c r="R2299" t="n">
        <v>0</v>
      </c>
      <c r="S2299" t="n">
        <v>0</v>
      </c>
      <c r="U2299" t="n">
        <v>0</v>
      </c>
    </row>
    <row r="2300">
      <c r="A2300">
        <f>Skills!A16</f>
        <v/>
      </c>
      <c r="B2300">
        <f>Skills!B16</f>
        <v/>
      </c>
      <c r="C2300">
        <f>Inputs!$B$3&gt;=110</f>
        <v/>
      </c>
      <c r="D2300">
        <f>IF(Skills!C16=1,60+Inputs!$B$25+Inputs!$B$29,IF(Skills!C16=2,90+Inputs!$B$26+Inputs!$B$29,IF(Skills!C16=3,120+Inputs!$B$27+Inputs!$B$29,MAX(0,(Inputs!$B$3-100)*3)+Inputs!$B$28+Inputs!$B$29)))</f>
        <v/>
      </c>
      <c r="E2300">
        <f>INDEX(FactorTable!$B$2:$Y$301, MATCH(ROUND(MIN(300,MAX(1,D2300)),0), FactorTable!$A$2:$A$301,0), Skills!L16+1)</f>
        <v/>
      </c>
      <c r="F2300">
        <f>(Skills!K16/10)*(E2300/1000)*64/45+Skills!N16</f>
        <v/>
      </c>
      <c r="G2300">
        <f>Calc!G16</f>
        <v/>
      </c>
      <c r="H2300">
        <f>Calc!H16</f>
        <v/>
      </c>
      <c r="I2300">
        <f>IF(Skills!T16&lt;&gt;"",1+(Skills!T16/10)*(Z2287/1000)/100,1)</f>
        <v/>
      </c>
      <c r="J2300" t="inlineStr"/>
      <c r="K2300" t="inlineStr"/>
      <c r="L2300" t="inlineStr"/>
      <c r="M2300" t="inlineStr"/>
      <c r="N2300" t="inlineStr"/>
      <c r="O2300">
        <f>(1-Summary!$B$11)*S2300+Summary!$B$11*U2300</f>
        <v/>
      </c>
      <c r="P2300">
        <f>IF(B2321=0,0,O2300/B2321)</f>
        <v/>
      </c>
      <c r="Q2300">
        <f>IFERROR(1/(IF(Inputs!$B$38="pvp",15,MAX(0.1,Skills!D16-IF(TRUE=TRUE,Inputs!$B$32,0)))*(1-IF(AND(ArtifactsInput!$M$27,Inputs!$B$4="Chapter Hunt"),CHOOSE(ArtifactsInput!$N$27+1,20,24,28,32,36,40),0)/100)),0)</f>
        <v/>
      </c>
      <c r="R2300">
        <f>IF(AND(Inputs!$B$38&lt;&gt;"pvp",Inputs!$B$43&gt;0),IF(Inputs!$B$43&lt;=0,0,(INT(Inputs!$B$43/(IF(Inputs!$B$38="pvp",15,MAX(0.1,Skills!D16-IF(TRUE=TRUE,Inputs!$B$32,0)))*(1-IF(AND(ArtifactsInput!$M$27,Inputs!$B$4="Chapter Hunt"),CHOOSE(ArtifactsInput!$N$27+1,20,24,28,32,36,40),0)/100)))+1)),0)</f>
        <v/>
      </c>
      <c r="S2300" t="n">
        <v>0</v>
      </c>
      <c r="U2300" t="n">
        <v>0</v>
      </c>
    </row>
    <row r="2301">
      <c r="A2301">
        <f>Skills!A17</f>
        <v/>
      </c>
      <c r="B2301">
        <f>Skills!B17</f>
        <v/>
      </c>
      <c r="C2301">
        <f>Inputs!$B$3&gt;=33</f>
        <v/>
      </c>
      <c r="D2301">
        <f>IF(Skills!C17=1,60+Inputs!$B$25+Inputs!$B$29,IF(Skills!C17=2,90+Inputs!$B$26+Inputs!$B$29,IF(Skills!C17=3,120+Inputs!$B$27+Inputs!$B$29,MAX(0,(Inputs!$B$3-100)*3)+Inputs!$B$28+Inputs!$B$29)))</f>
        <v/>
      </c>
      <c r="E2301">
        <f>INDEX(FactorTable!$B$2:$Y$301, MATCH(ROUND(MIN(300,MAX(1,D2301)),0), FactorTable!$A$2:$A$301,0), Skills!L17+1)</f>
        <v/>
      </c>
      <c r="F2301">
        <f>IF(Skills!M17=TRUE,(Skills!K17/10)*(E2301/1000),Skills!K17/10)+Skills!N17</f>
        <v/>
      </c>
      <c r="G2301">
        <f>Calc!G17</f>
        <v/>
      </c>
      <c r="H2301">
        <f>Calc!H17</f>
        <v/>
      </c>
      <c r="I2301">
        <f>IF(Skills!T17&lt;&gt;"",1+(Skills!T17/10)*(Z2287/1000)/100,1)</f>
        <v/>
      </c>
      <c r="J2301" t="inlineStr"/>
      <c r="K2301" t="inlineStr"/>
      <c r="L2301" t="inlineStr"/>
      <c r="M2301" t="inlineStr"/>
      <c r="N2301" t="inlineStr"/>
      <c r="O2301">
        <f>(1-Summary!$B$11)*S2301+Summary!$B$11*U2301</f>
        <v/>
      </c>
      <c r="P2301">
        <f>IF(B2321=0,0,O2301/B2321)</f>
        <v/>
      </c>
      <c r="Q2301">
        <f>IFERROR(1/(IF(Inputs!$B$38="pvp",15,MAX(0.1,Skills!D17-IF(TRUE=TRUE,Inputs!$B$32,0)))*(1-IF(AND(ArtifactsInput!$M$27,Inputs!$B$4="Chapter Hunt"),CHOOSE(ArtifactsInput!$N$27+1,20,24,28,32,36,40),0)/100)),0)</f>
        <v/>
      </c>
      <c r="R2301" t="n">
        <v>0</v>
      </c>
      <c r="S2301" t="n">
        <v>0</v>
      </c>
      <c r="U2301" t="n">
        <v>0</v>
      </c>
    </row>
    <row r="2302">
      <c r="A2302">
        <f>Skills!A18</f>
        <v/>
      </c>
      <c r="B2302">
        <f>Skills!B18</f>
        <v/>
      </c>
      <c r="C2302">
        <f>Inputs!$B$3&gt;=43</f>
        <v/>
      </c>
      <c r="D2302">
        <f>IF(Skills!C18=1,60+Inputs!$B$25+Inputs!$B$29,IF(Skills!C18=2,90+Inputs!$B$26+Inputs!$B$29,IF(Skills!C18=3,120+Inputs!$B$27+Inputs!$B$29,MAX(0,(Inputs!$B$3-100)*3)+Inputs!$B$28+Inputs!$B$29)))</f>
        <v/>
      </c>
      <c r="E2302">
        <f>INDEX(FactorTable!$B$2:$Y$301, MATCH(ROUND(MIN(300,MAX(1,D2302)),0), FactorTable!$A$2:$A$301,0), Skills!L18+1)</f>
        <v/>
      </c>
      <c r="F2302">
        <f>IF(Skills!M18=TRUE,(Skills!K18/10)*(E2302/1000),Skills!K18/10)+Skills!N18</f>
        <v/>
      </c>
      <c r="G2302">
        <f>Calc!G18</f>
        <v/>
      </c>
      <c r="H2302">
        <f>Calc!H18</f>
        <v/>
      </c>
      <c r="I2302">
        <f>IF(Skills!T18&lt;&gt;"",1+(Skills!T18/10)*(Z2287/1000)/100,1)</f>
        <v/>
      </c>
      <c r="J2302" t="inlineStr"/>
      <c r="K2302" t="inlineStr"/>
      <c r="L2302" t="inlineStr"/>
      <c r="M2302" t="inlineStr"/>
      <c r="N2302" t="inlineStr"/>
      <c r="O2302">
        <f>(1-Summary!$B$11)*S2302+Summary!$B$11*U2302</f>
        <v/>
      </c>
      <c r="P2302">
        <f>IF(B2321=0,0,O2302/B2321)</f>
        <v/>
      </c>
      <c r="Q2302">
        <f>IFERROR(1/(IF(Inputs!$B$38="pvp",15,MAX(0.1,Skills!D18-IF(TRUE=TRUE,Inputs!$B$32,0)))*(1-IF(AND(ArtifactsInput!$M$27,Inputs!$B$4="Chapter Hunt"),CHOOSE(ArtifactsInput!$N$27+1,20,24,28,32,36,40),0)/100)),0)</f>
        <v/>
      </c>
      <c r="R2302" t="n">
        <v>0</v>
      </c>
      <c r="S2302" t="n">
        <v>0</v>
      </c>
      <c r="U2302" t="n">
        <v>0</v>
      </c>
    </row>
    <row r="2303">
      <c r="A2303">
        <f>Skills!A19</f>
        <v/>
      </c>
      <c r="B2303">
        <f>Skills!B19</f>
        <v/>
      </c>
      <c r="C2303">
        <f>Inputs!$B$3&gt;=50</f>
        <v/>
      </c>
      <c r="D2303">
        <f>IF(Skills!C19=1,60+Inputs!$B$25+Inputs!$B$29,IF(Skills!C19=2,90+Inputs!$B$26+Inputs!$B$29,IF(Skills!C19=3,120+Inputs!$B$27+Inputs!$B$29,MAX(0,(Inputs!$B$3-100)*3)+Inputs!$B$28+Inputs!$B$29)))</f>
        <v/>
      </c>
      <c r="E2303">
        <f>INDEX(FactorTable!$B$2:$Y$301, MATCH(ROUND(MIN(300,MAX(1,D2303)),0), FactorTable!$A$2:$A$301,0), Skills!L19+1)</f>
        <v/>
      </c>
      <c r="F2303">
        <f>IF(Skills!M19=TRUE,(Skills!K19/10)*(E2303/1000),Skills!K19/10)+Skills!N19</f>
        <v/>
      </c>
      <c r="G2303">
        <f>Calc!G19</f>
        <v/>
      </c>
      <c r="H2303">
        <f>Calc!H19</f>
        <v/>
      </c>
      <c r="I2303">
        <f>IF(Skills!T19&lt;&gt;"",1+(Skills!T19/10)*(Z2287/1000)/100,1)</f>
        <v/>
      </c>
      <c r="J2303" t="inlineStr"/>
      <c r="K2303" t="inlineStr"/>
      <c r="L2303" t="inlineStr"/>
      <c r="M2303" t="inlineStr"/>
      <c r="N2303" t="inlineStr"/>
      <c r="O2303">
        <f>(1-Summary!$B$11)*S2303+Summary!$B$11*U2303</f>
        <v/>
      </c>
      <c r="P2303">
        <f>IF(B2321=0,0,O2303/B2321)</f>
        <v/>
      </c>
      <c r="Q2303">
        <f>IFERROR(1/(IF(Inputs!$B$38="pvp",15,MAX(0.1,Skills!D19-IF(TRUE=TRUE,Inputs!$B$32,0)))*(1-IF(AND(ArtifactsInput!$M$27,Inputs!$B$4="Chapter Hunt"),CHOOSE(ArtifactsInput!$N$27+1,20,24,28,32,36,40),0)/100)),0)</f>
        <v/>
      </c>
      <c r="R2303" t="n">
        <v>0</v>
      </c>
      <c r="S2303" t="n">
        <v>0</v>
      </c>
      <c r="U2303" t="n">
        <v>0</v>
      </c>
    </row>
    <row r="2304">
      <c r="A2304">
        <f>Skills!A20</f>
        <v/>
      </c>
      <c r="B2304">
        <f>Skills!B20</f>
        <v/>
      </c>
      <c r="C2304">
        <f>Inputs!$B$3&gt;=74</f>
        <v/>
      </c>
      <c r="D2304">
        <f>IF(Skills!C20=1,60+Inputs!$B$25+Inputs!$B$29,IF(Skills!C20=2,90+Inputs!$B$26+Inputs!$B$29,IF(Skills!C20=3,120+Inputs!$B$27+Inputs!$B$29,MAX(0,(Inputs!$B$3-100)*3)+Inputs!$B$28+Inputs!$B$29)))</f>
        <v/>
      </c>
      <c r="E2304">
        <f>INDEX(FactorTable!$B$2:$Y$301, MATCH(ROUND(MIN(300,MAX(1,D2304)),0), FactorTable!$A$2:$A$301,0), Skills!L20+1)</f>
        <v/>
      </c>
      <c r="F2304">
        <f>IF(Skills!M20=TRUE,(Skills!K20/10)*(E2304/1000),Skills!K20/10)+Skills!N20</f>
        <v/>
      </c>
      <c r="G2304">
        <f>Calc!G20</f>
        <v/>
      </c>
      <c r="H2304">
        <f>Calc!H20</f>
        <v/>
      </c>
      <c r="I2304">
        <f>IF(Skills!T20&lt;&gt;"",1+(Skills!T20/10)*(Z2287/1000)/100,1)</f>
        <v/>
      </c>
      <c r="J2304" t="inlineStr"/>
      <c r="K2304" t="inlineStr"/>
      <c r="L2304" t="inlineStr"/>
      <c r="M2304" t="inlineStr"/>
      <c r="N2304" t="inlineStr"/>
      <c r="O2304">
        <f>(1-Summary!$B$11)*S2304+Summary!$B$11*U2304</f>
        <v/>
      </c>
      <c r="P2304">
        <f>IF(B2321=0,0,O2304/B2321)</f>
        <v/>
      </c>
      <c r="Q2304">
        <f>IFERROR(1/(IF(Inputs!$B$38="pvp",15,MAX(0.1,Skills!D20-IF(TRUE=TRUE,Inputs!$B$32,0)))*(1-IF(AND(ArtifactsInput!$M$27,Inputs!$B$4="Chapter Hunt"),CHOOSE(ArtifactsInput!$N$27+1,20,24,28,32,36,40),0)/100)),0)</f>
        <v/>
      </c>
      <c r="R2304" t="n">
        <v>0</v>
      </c>
      <c r="S2304" t="n">
        <v>0</v>
      </c>
      <c r="U2304" t="n">
        <v>0</v>
      </c>
    </row>
    <row r="2305">
      <c r="A2305">
        <f>Skills!A21</f>
        <v/>
      </c>
      <c r="B2305">
        <f>Skills!B21</f>
        <v/>
      </c>
      <c r="C2305">
        <f>Inputs!$B$3&gt;=74</f>
        <v/>
      </c>
      <c r="D2305">
        <f>IF(Skills!C21=1,60+Inputs!$B$25+Inputs!$B$29,IF(Skills!C21=2,90+Inputs!$B$26+Inputs!$B$29,IF(Skills!C21=3,120+Inputs!$B$27+Inputs!$B$29,MAX(0,(Inputs!$B$3-100)*3)+Inputs!$B$28+Inputs!$B$29)))</f>
        <v/>
      </c>
      <c r="E2305">
        <f>INDEX(FactorTable!$B$2:$Y$301, MATCH(ROUND(MIN(300,MAX(1,D2305)),0), FactorTable!$A$2:$A$301,0), Skills!L21+1)</f>
        <v/>
      </c>
      <c r="F2305">
        <f>IF(Skills!M21=TRUE,(Skills!K21/10)*(E2305/1000),Skills!K21/10)+Skills!N21</f>
        <v/>
      </c>
      <c r="G2305">
        <f>Calc!G21</f>
        <v/>
      </c>
      <c r="H2305">
        <f>Calc!H21</f>
        <v/>
      </c>
      <c r="I2305">
        <f>IF(Skills!T21&lt;&gt;"",1+(Skills!T21/10)*(Z2287/1000)/100,1)</f>
        <v/>
      </c>
      <c r="J2305" t="inlineStr"/>
      <c r="K2305" t="inlineStr"/>
      <c r="L2305" t="inlineStr"/>
      <c r="M2305" t="inlineStr"/>
      <c r="N2305" t="inlineStr"/>
      <c r="O2305">
        <f>(1-Summary!$B$11)*S2305+Summary!$B$11*U2305</f>
        <v/>
      </c>
      <c r="P2305">
        <f>IF(B2321=0,0,O2305/B2321)</f>
        <v/>
      </c>
      <c r="Q2305">
        <f>IFERROR(1/(IF(Inputs!$B$38="pvp",15,MAX(0.1,Skills!D21-IF(TRUE=TRUE,Inputs!$B$32,0)))*(1-IF(AND(ArtifactsInput!$M$27,Inputs!$B$4="Chapter Hunt"),CHOOSE(ArtifactsInput!$N$27+1,20,24,28,32,36,40),0)/100)),0)</f>
        <v/>
      </c>
      <c r="R2305" t="n">
        <v>0</v>
      </c>
      <c r="S2305" t="n">
        <v>0</v>
      </c>
      <c r="U2305" t="n">
        <v>0</v>
      </c>
    </row>
    <row r="2306">
      <c r="A2306">
        <f>Skills!A22</f>
        <v/>
      </c>
      <c r="B2306">
        <f>Skills!B22</f>
        <v/>
      </c>
      <c r="C2306">
        <f>Inputs!$B$3&gt;=117</f>
        <v/>
      </c>
      <c r="D2306">
        <f>IF(Skills!C22=1,60+Inputs!$B$25+Inputs!$B$29,IF(Skills!C22=2,90+Inputs!$B$26+Inputs!$B$29,IF(Skills!C22=3,120+Inputs!$B$27+Inputs!$B$29,MAX(0,(Inputs!$B$3-100)*3)+Inputs!$B$28+Inputs!$B$29)))</f>
        <v/>
      </c>
      <c r="E2306">
        <f>INDEX(FactorTable!$B$2:$Y$301, MATCH(ROUND(MIN(300,MAX(1,D2306)),0), FactorTable!$A$2:$A$301,0), Skills!L22+1)</f>
        <v/>
      </c>
      <c r="F2306">
        <f>IF(Skills!M22=TRUE,(Skills!K22/10)*(E2306/1000),Skills!K22/10)+Skills!N22</f>
        <v/>
      </c>
      <c r="G2306">
        <f>Calc!G22</f>
        <v/>
      </c>
      <c r="H2306">
        <f>Calc!H22</f>
        <v/>
      </c>
      <c r="I2306">
        <f>IF(Skills!T22&lt;&gt;"",1+(Skills!T22/10)*(Z2287/1000)/100,1)</f>
        <v/>
      </c>
      <c r="J2306" t="inlineStr"/>
      <c r="K2306" t="inlineStr"/>
      <c r="L2306" t="inlineStr"/>
      <c r="M2306" t="inlineStr"/>
      <c r="N2306" t="inlineStr"/>
      <c r="O2306">
        <f>(1-Summary!$B$11)*S2306+Summary!$B$11*U2306</f>
        <v/>
      </c>
      <c r="P2306">
        <f>IF(B2321=0,0,O2306/B2321)</f>
        <v/>
      </c>
      <c r="Q2306">
        <f>IFERROR(1/(IF(Inputs!$B$38="pvp",15,MAX(0.1,Skills!D22-IF(TRUE=TRUE,Inputs!$B$32,0)))*(1-IF(AND(ArtifactsInput!$M$27,Inputs!$B$4="Chapter Hunt"),CHOOSE(ArtifactsInput!$N$27+1,20,24,28,32,36,40),0)/100)),0)</f>
        <v/>
      </c>
      <c r="R2306" t="n">
        <v>0</v>
      </c>
      <c r="S2306" t="n">
        <v>0</v>
      </c>
      <c r="U2306" t="n">
        <v>0</v>
      </c>
    </row>
    <row r="2307">
      <c r="A2307">
        <f>Skills!A23</f>
        <v/>
      </c>
      <c r="B2307">
        <f>Skills!B23</f>
        <v/>
      </c>
      <c r="C2307">
        <f>Inputs!$B$3&gt;=120</f>
        <v/>
      </c>
      <c r="D2307">
        <f>IF(Skills!C23=1,60+Inputs!$B$25+Inputs!$B$29,IF(Skills!C23=2,90+Inputs!$B$26+Inputs!$B$29,IF(Skills!C23=3,120+Inputs!$B$27+Inputs!$B$29,MAX(0,(Inputs!$B$3-100)*3)+Inputs!$B$28+Inputs!$B$29)))</f>
        <v/>
      </c>
      <c r="E2307">
        <f>INDEX(FactorTable!$B$2:$Y$301, MATCH(ROUND(MIN(300,MAX(1,D2307)),0), FactorTable!$A$2:$A$301,0), Skills!L23+1)</f>
        <v/>
      </c>
      <c r="F2307">
        <f>IF(Skills!M23=TRUE,(Skills!K23/10)*(E2307/1000),Skills!K23/10)+Skills!N23</f>
        <v/>
      </c>
      <c r="G2307">
        <f>Calc!G23</f>
        <v/>
      </c>
      <c r="H2307">
        <f>Calc!H23</f>
        <v/>
      </c>
      <c r="I2307">
        <f>IF(Skills!T23&lt;&gt;"",1+(Skills!T23/10)*(Z2287/1000)/100,1)</f>
        <v/>
      </c>
      <c r="J2307" t="inlineStr"/>
      <c r="K2307" t="inlineStr"/>
      <c r="L2307" t="inlineStr"/>
      <c r="M2307" t="inlineStr"/>
      <c r="N2307" t="inlineStr"/>
      <c r="O2307">
        <f>(1-Summary!$B$11)*S2307+Summary!$B$11*U2307</f>
        <v/>
      </c>
      <c r="P2307">
        <f>IF(B2321=0,0,O2307/B2321)</f>
        <v/>
      </c>
      <c r="Q2307">
        <f>IFERROR(1/(IF(Inputs!$B$38="pvp",15,MAX(0.1,Skills!D23-IF(TRUE=TRUE,Inputs!$B$32,0)))*(1-IF(AND(ArtifactsInput!$M$27,Inputs!$B$4="Chapter Hunt"),CHOOSE(ArtifactsInput!$N$27+1,20,24,28,32,36,40),0)/100)),0)</f>
        <v/>
      </c>
      <c r="R2307" t="n">
        <v>0</v>
      </c>
      <c r="S2307" t="n">
        <v>0</v>
      </c>
      <c r="U2307" t="n">
        <v>0</v>
      </c>
    </row>
    <row r="2308">
      <c r="A2308">
        <f>Skills!A24</f>
        <v/>
      </c>
      <c r="B2308">
        <f>Skills!B24</f>
        <v/>
      </c>
      <c r="C2308">
        <f>TRUE</f>
        <v/>
      </c>
      <c r="D2308">
        <f>IF(Skills!C24=1,60+Inputs!$B$25+Inputs!$B$29,IF(Skills!C24=2,90+Inputs!$B$26+Inputs!$B$29,IF(Skills!C24=3,120+Inputs!$B$27+Inputs!$B$29,MAX(0,(Inputs!$B$3-100)*3)+Inputs!$B$28+Inputs!$B$29)))</f>
        <v/>
      </c>
      <c r="E2308">
        <f>INDEX(FactorTable!$B$2:$Y$301, MATCH(ROUND(MIN(300,MAX(1,D2308)),0), FactorTable!$A$2:$A$301,0), Skills!L24+1)</f>
        <v/>
      </c>
      <c r="F2308">
        <f>IF(Skills!M24=TRUE,(Skills!K24/10)*(E2308/1000),Skills!K24/10)+Skills!N24</f>
        <v/>
      </c>
      <c r="G2308">
        <f>Calc!G24</f>
        <v/>
      </c>
      <c r="H2308">
        <f>Calc!H24</f>
        <v/>
      </c>
      <c r="I2308">
        <f>IF(Skills!T24&lt;&gt;"",1+(Skills!T24/10)*(Z2287/1000)/100,1)</f>
        <v/>
      </c>
      <c r="J2308" t="inlineStr"/>
      <c r="K2308" t="inlineStr"/>
      <c r="L2308" t="inlineStr"/>
      <c r="M2308" t="inlineStr"/>
      <c r="N2308" t="inlineStr"/>
      <c r="O2308">
        <f>(1-Summary!$B$11)*S2308+Summary!$B$11*U2308</f>
        <v/>
      </c>
      <c r="P2308">
        <f>IF(B2321=0,0,O2308/B2321)</f>
        <v/>
      </c>
      <c r="Q2308">
        <f>IFERROR(1/(IF(Inputs!$B$38="pvp",15,MAX(0.1,Skills!D24-IF(TRUE=TRUE,Inputs!$B$32,0)))*(1-IF(AND(ArtifactsInput!$M$27,Inputs!$B$4="Chapter Hunt"),CHOOSE(ArtifactsInput!$N$27+1,20,24,28,32,36,40),0)/100)),0)</f>
        <v/>
      </c>
      <c r="R2308">
        <f>IF(AND(Inputs!$B$38&lt;&gt;"pvp",Inputs!$B$43&gt;0),IF(Inputs!$B$43&lt;=0,0,(INT(Inputs!$B$43/(IF(Inputs!$B$38="pvp",15,MAX(0.1,Skills!D24-IF(TRUE=TRUE,Inputs!$B$32,0)))*(1-IF(AND(ArtifactsInput!$M$27,Inputs!$B$4="Chapter Hunt"),CHOOSE(ArtifactsInput!$N$27+1,20,24,28,32,36,40),0)/100)))+1)),0)</f>
        <v/>
      </c>
      <c r="S2308" t="n">
        <v>0</v>
      </c>
      <c r="U2308" t="n">
        <v>0</v>
      </c>
    </row>
    <row r="2311">
      <c r="A2311" t="inlineStr">
        <is>
          <t>Average Buff Multiplier (Magic Guard + Meditation + Artifact Attack%, summed; then Infinity)</t>
        </is>
      </c>
      <c r="B2311">
        <f>(1+(IF(C2287=TRUE,F2287*IF(AND(Inputs!$B$38&lt;&gt;"pvp",Inputs!$B$43&gt;0),(((R2287-1)*MIN((Skills!S3*(1+(Inputs!$B$34)/100)),(1/Q2287))+MIN((Skills!S3*(1+(Inputs!$B$34)/100)),MAX(0,Inputs!$B$43-((R2287-1)*(1/Q2287)))))/Inputs!$B$43),IF(Inputs!$B$38="pvp",MIN((Skills!S3*(1+(Inputs!$B$34)/100)),15)/15,MIN(1,(Skills!S3*(1+(Inputs!$B$34)/100))/(1/Q2287)))),0)+IF(C2288=TRUE,F2288*IF(AND(Inputs!$B$38&lt;&gt;"pvp",Inputs!$B$43&gt;0),(((R2288-1)*MIN((Skills!S4*(1+(Inputs!$B$34)/100)),(1/Q2288))+MIN((Skills!S4*(1+(Inputs!$B$34)/100)),MAX(0,Inputs!$B$43-((R2288-1)*(1/Q2288)))))/Inputs!$B$43),IF(Inputs!$B$38="pvp",MIN((Skills!S4*(1+(Inputs!$B$34)/100)),15)/15,MIN(1,(Skills!S4*(1+(Inputs!$B$34)/100))/(1/Q2288)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2300=TRUE,(1+F2300*IF(AND(Inputs!$B$38&lt;&gt;"pvp",Inputs!$B$43&gt;0),(((R2300-1)*MIN((Skills!S16*(1+(Inputs!$B$34)/100)),(1/Q2300))+MIN((Skills!S16*(1+(Inputs!$B$34)/100)),MAX(0,Inputs!$B$43-((R2300-1)*(1/Q2300)))))/Inputs!$B$43),IF(Inputs!$B$38="pvp",MIN((Skills!S16*(1+(Inputs!$B$34)/100)),15)/15,MIN(1,(Skills!S16*(1+(Inputs!$B$34)/100))/(1/Q2300))))/100),1)</f>
        <v/>
      </c>
    </row>
    <row r="2312">
      <c r="A2312" t="inlineStr">
        <is>
          <t>Monster Damage Taken Bonus % (Freezing Breath - Weaken + Elemental Reset + Artifact Enemy Damage Taken, summed)</t>
        </is>
      </c>
      <c r="B2312">
        <f>IF(Inputs!$B$3&gt;=118,15*IF(Inputs!$B$38="pvp",MIN((30*(1+(Inputs!$B$34)/100)),15)/15,MIN(1,(30*(1+(Inputs!$B$34)/100))/(1/Q2292))),0)+IF(C2298=TRUE,F2298,0)+(IF(AND(ArtifactsInput!$M$35,Inputs!$B$4&lt;&gt;"Chapter Hunt"),CHOOSE(ArtifactsInput!$N$35+1,15,18,21,24,27,30)*(1-EXP(-(0.2*B2315)*5)),0)+IF(AND(ArtifactsInput!$M$22,Inputs!$B$4&lt;&gt;"Chapter Hunt"),CHOOSE(ArtifactsInput!$N$22+1,10,12,14,16,18,20)*((0*(((0.15*B2315*5))^0/1)+1*(((0.15*B2315*5))^1/1)+2*(((0.15*B2315*5))^2/2)+3*(((0.15*B2315*5))^3/6)+4*(((0.15*B2315*5))^4/24)+5*(((0.15*B2315*5))^5/120))/((((0.15*B2315*5))^0/1)+(((0.15*B2315*5))^1/1)+(((0.15*B2315*5))^2/2)+(((0.15*B2315*5))^3/6)+(((0.15*B2315*5))^4/24)+(((0.15*B2315*5))^5/120))),0))</f>
        <v/>
      </c>
    </row>
    <row r="2313">
      <c r="A2313" t="inlineStr">
        <is>
          <t>Damage % Bonus (Frozen Break + Frost Clutch, flat)</t>
        </is>
      </c>
      <c r="B2313">
        <f>IF(Inputs!$B$3&gt;=66,15,0)+IF(Inputs!$B$3&gt;=98,10,0)+IF(Inputs!$B$3&gt;=125,20,0)</f>
        <v/>
      </c>
    </row>
    <row r="2314">
      <c r="A2314" t="inlineStr">
        <is>
          <t>Attack Speed Bonus % (MP Eater - MP Boost, always-on + Nimble Feet, duty-cycle averaged)</t>
        </is>
      </c>
      <c r="B2314">
        <f>IF(C2297=TRUE,F2297+(F2301-Calc!F17),0)+((C2308=TRUE)*F2308*IF(AND(Inputs!$B$38&lt;&gt;"pvp",Inputs!$B$43&gt;0),(((R2308-1)*MIN((Skills!S24*(1+(Inputs!$B$34)/100)),(1/Q2308))+MIN((Skills!S24*(1+(Inputs!$B$34)/100)),MAX(0,Inputs!$B$43-((R2308-1)*(1/Q2308)))))/Inputs!$B$43),IF(Inputs!$B$38="pvp",MIN((Skills!S24*(1+(Inputs!$B$34)/100)),15)/15,MIN(1,(Skills!S24*(1+(Inputs!$B$34)/100))/(1/Q2308)))))</f>
        <v/>
      </c>
    </row>
    <row r="2315">
      <c r="A2315" t="inlineStr">
        <is>
          <t>Actions Per Second</t>
        </is>
      </c>
      <c r="B2315">
        <f>1+MIN(150,150*(1-(1-(Inputs!$B$11+(ArtifactsInput!$M$15-ArtifactsInput!$M$15)*CHOOSE(ArtifactsInput!$N$15+1,8,9.6,11.2,12.8,14.4,16))/150)*(1-B2314/150)))/100</f>
        <v/>
      </c>
    </row>
    <row r="2316">
      <c r="A2316" t="inlineStr">
        <is>
          <t>Skill + Buff Cast Rate</t>
        </is>
      </c>
      <c r="B2316">
        <f>IF(AND(Inputs!$B$38&lt;&gt;"pvp",Inputs!$B$43&gt;0),SUMPRODUCT((Skills!E2:E24=TRUE)*(C2286:C2308=TRUE)*R2286:R2308)/Inputs!$B$43,SUMPRODUCT((Skills!E2:E24=TRUE)*(C2286:C2308=TRUE)*Q2286:Q2308))</f>
        <v/>
      </c>
    </row>
    <row r="2317">
      <c r="A2317" t="inlineStr">
        <is>
          <t>Chain Lightning Casts Per Second</t>
        </is>
      </c>
      <c r="B2317">
        <f>MAX(0,B2315-B2316)</f>
        <v/>
      </c>
    </row>
    <row r="2318">
      <c r="A2318" t="inlineStr">
        <is>
          <t>Buff-Casting Startup Delay (s, fixed-duration only)</t>
        </is>
      </c>
      <c r="B2318">
        <f>IF(AND(Inputs!$B$38&lt;&gt;"pvp",Inputs!$B$43&gt;0),SUMPRODUCT((Skills!S2:S24&gt;0)*(Skills!E2:E24=TRUE)*(C2286:C2308=TRUE))/B2315,0)</f>
        <v/>
      </c>
    </row>
    <row r="2319">
      <c r="A2319" t="inlineStr">
        <is>
          <t>Boss-Only Total DPS (this block's swept value)</t>
        </is>
      </c>
      <c r="B2319">
        <f>SUM(S2286:S2308)</f>
        <v/>
      </c>
    </row>
    <row r="2320">
      <c r="A2320" t="inlineStr">
        <is>
          <t>Normal-Only Total DPS (this block's swept value)</t>
        </is>
      </c>
      <c r="B2320">
        <f>SUM(U2286:U2308)</f>
        <v/>
      </c>
    </row>
    <row r="2321">
      <c r="A2321" s="6" t="inlineStr">
        <is>
          <t>TOTAL DPS</t>
        </is>
      </c>
      <c r="B2321" s="6">
        <f>SUM(O2286:O2308)</f>
        <v/>
      </c>
    </row>
    <row r="2322">
      <c r="A2322" t="inlineStr">
        <is>
          <t>Blizzard Final Attack trigger rate (this block's own Q/R)</t>
        </is>
      </c>
      <c r="B2322">
        <f>IF(AND(Inputs!$B$38&lt;&gt;"pvp",Inputs!$B$43&gt;0),(((C2289=TRUE)*R2289*1)+((C2290=TRUE)*R2290*1)+((C2292=TRUE)*R2292*1)+((C2293=TRUE)*R2293*3)+((C2295=TRUE)*R2295*1))/Inputs!$B$43,((C2289=TRUE)*Q2289*1)+((C2290=TRUE)*Q2290*1)+((C2292=TRUE)*Q2292*1)+((C2293=TRUE)*Q2293*3)+((C2295=TRUE)*Q2295*1))+B2317</f>
        <v/>
      </c>
    </row>
    <row r="2325">
      <c r="A2325" s="6" t="inlineStr">
        <is>
          <t>Stat: Alliance Badge (Equip)</t>
        </is>
      </c>
    </row>
    <row r="2326">
      <c r="A2326" s="5" t="inlineStr">
        <is>
          <t>Key</t>
        </is>
      </c>
      <c r="B2326" s="5" t="inlineStr">
        <is>
          <t>Name</t>
        </is>
      </c>
      <c r="C2326" s="5" t="inlineStr">
        <is>
          <t>Unlocked</t>
        </is>
      </c>
      <c r="D2326" s="5" t="inlineStr">
        <is>
          <t>InputLevel</t>
        </is>
      </c>
      <c r="E2326" s="5" t="inlineStr">
        <is>
          <t>Factor</t>
        </is>
      </c>
      <c r="F2326" s="5" t="inlineStr">
        <is>
          <t>CoefficientPercent</t>
        </is>
      </c>
      <c r="G2326" s="5" t="inlineStr">
        <is>
          <t>EffectiveHits</t>
        </is>
      </c>
      <c r="H2326" s="5" t="inlineStr">
        <is>
          <t>ProcProbability</t>
        </is>
      </c>
      <c r="I2326" s="5" t="inlineStr">
        <is>
          <t>MapleHeroMultiplier</t>
        </is>
      </c>
      <c r="J2326" s="5" t="inlineStr">
        <is>
          <t>BaseDamage</t>
        </is>
      </c>
      <c r="K2326" s="5" t="inlineStr">
        <is>
          <t>BaseHitDamage</t>
        </is>
      </c>
      <c r="L2326" s="5" t="inlineStr">
        <is>
          <t>NonCritAvg</t>
        </is>
      </c>
      <c r="M2326" s="5" t="inlineStr">
        <is>
          <t>CritAvg</t>
        </is>
      </c>
      <c r="N2326" s="5" t="inlineStr">
        <is>
          <t>ExpectedDamage(perHit)</t>
        </is>
      </c>
      <c r="O2326" s="5" t="inlineStr">
        <is>
          <t>DPS</t>
        </is>
      </c>
      <c r="P2326" s="5" t="inlineStr">
        <is>
          <t>% of Total</t>
        </is>
      </c>
      <c r="R2326" t="inlineStr">
        <is>
          <t>helpers</t>
        </is>
      </c>
    </row>
    <row r="2327">
      <c r="A2327">
        <f>Skills!A2</f>
        <v/>
      </c>
      <c r="B2327">
        <f>Skills!B2</f>
        <v/>
      </c>
      <c r="C2327">
        <f>Inputs!$B$3&gt;=100</f>
        <v/>
      </c>
      <c r="D2327" t="inlineStr"/>
      <c r="E2327" t="inlineStr"/>
      <c r="F2327">
        <f>T2329+Skills!N2</f>
        <v/>
      </c>
      <c r="G2327">
        <f>Calc!G2</f>
        <v/>
      </c>
      <c r="H2327">
        <f>Calc!H2</f>
        <v/>
      </c>
      <c r="I2327">
        <f>IF(Skills!T2&lt;&gt;"",1+(Skills!T2/10)*(Z2328/1000)/100,1)</f>
        <v/>
      </c>
      <c r="J2327">
        <f>((Inputs!$B$6*(1+Inputs!$B$7/100))+(((Inputs!$B$12*(1+Inputs!$B$13/100))-(Inputs!$B$12*(1+Inputs!$B$13/100)))+0.25*(Inputs!$B$14-Inputs!$B$14))*(1+Inputs!$B$7/100))*(F2327/100)</f>
        <v/>
      </c>
      <c r="K2327">
        <f>J2327*(1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2="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2327)</f>
        <v/>
      </c>
      <c r="L2327">
        <f>K2327*(MIN(Inputs!$B$22+(F2343-Calc!F18),(Inputs!$B$23+(IF(ArtifactsInput!$M$15,CHOOSE(ArtifactsInput!$N$15+1,25,30,35,40,45,50)/100*(Inputs!$B$11-Inputs!$B$11),0))))/100+(Inputs!$B$23+(IF(ArtifactsInput!$M$15,CHOOSE(ArtifactsInput!$N$15+1,25,30,35,40,45,50)/100*(Inputs!$B$11-Inputs!$B$11),0)))/100)/2</f>
        <v/>
      </c>
      <c r="M2327">
        <f>L2327*(1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27">
        <f>L2327*(1-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2327*(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7">
        <f>(1-Summary!$B$11)*S2327+Summary!$B$11*U2327</f>
        <v/>
      </c>
      <c r="P2327">
        <f>IF(B2362=0,0,O2327/B2362)</f>
        <v/>
      </c>
      <c r="Q2327">
        <f>IFERROR(1/(IF(Inputs!$B$38="pvp",15,MAX(0.1,Skills!D2-IF(TRUE=TRUE,Inputs!$B$32,0)))*(1-IF(AND(ArtifactsInput!$M$27,Inputs!$B$4="Chapter Hunt"),CHOOSE(ArtifactsInput!$N$27+1,20,24,28,32,36,40),0)/100)),0)</f>
        <v/>
      </c>
      <c r="R2327" t="n">
        <v>0</v>
      </c>
      <c r="S2327">
        <f>IF(C2327,(Skills!F2*N2327*B2358)*IF(Inputs!$B$38="pvp",1,1+(Inputs!$B$20+Skills!O2+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2327*(1-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2327*(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2327*(1-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2327*(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27">
        <f>MAX(0,(Inputs!$B$3-100)*3)+Inputs!$B$28+Inputs!$B$29</f>
        <v/>
      </c>
      <c r="U2327">
        <f>IF(C2327,(Skills!F2*N2327*B2358)*IF(Inputs!$B$38="pvp",1,(1+(Inputs!$B$21+Skills!P2+B2353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327">
        <f>MAX(0,(Inputs!$B$3-100)*3)+Inputs!$B$28+Inputs!$B$29</f>
        <v/>
      </c>
    </row>
    <row r="2328">
      <c r="A2328">
        <f>Skills!A3</f>
        <v/>
      </c>
      <c r="B2328">
        <f>Skills!B3</f>
        <v/>
      </c>
      <c r="C2328">
        <f>Inputs!$B$3&gt;=15</f>
        <v/>
      </c>
      <c r="D2328">
        <f>IF(Skills!C3=1,60+Inputs!$B$25+Inputs!$B$29,IF(Skills!C3=2,90+Inputs!$B$26+Inputs!$B$29,IF(Skills!C3=3,120+Inputs!$B$27+Inputs!$B$29,MAX(0,(Inputs!$B$3-100)*3)+Inputs!$B$28+Inputs!$B$29)))</f>
        <v/>
      </c>
      <c r="E2328">
        <f>INDEX(FactorTable!$B$2:$Y$301, MATCH(ROUND(MIN(300,MAX(1,D2328)),0), FactorTable!$A$2:$A$301,0), Skills!L3+1)</f>
        <v/>
      </c>
      <c r="F2328">
        <f>IF(Skills!M3=TRUE,(Skills!K3/10)*(E2328/1000),Skills!K3/10)+Skills!N3</f>
        <v/>
      </c>
      <c r="G2328">
        <f>Calc!G3</f>
        <v/>
      </c>
      <c r="H2328">
        <f>Calc!H3</f>
        <v/>
      </c>
      <c r="I2328">
        <f>IF(Skills!T3&lt;&gt;"",1+(Skills!T3/10)*(Z2328/1000)/100,1)</f>
        <v/>
      </c>
      <c r="J2328" t="inlineStr"/>
      <c r="K2328" t="inlineStr"/>
      <c r="L2328" t="inlineStr"/>
      <c r="M2328" t="inlineStr"/>
      <c r="N2328" t="inlineStr"/>
      <c r="O2328">
        <f>(1-Summary!$B$11)*S2328+Summary!$B$11*U2328</f>
        <v/>
      </c>
      <c r="P2328">
        <f>IF(B2362=0,0,O2328/B2362)</f>
        <v/>
      </c>
      <c r="Q2328">
        <f>IFERROR(1/(IF(Inputs!$B$38="pvp",15,MAX(0.1,Skills!D3-IF(TRUE=TRUE,Inputs!$B$32,0)))*(1-IF(AND(ArtifactsInput!$M$27,Inputs!$B$4="Chapter Hunt"),CHOOSE(ArtifactsInput!$N$27+1,20,24,28,32,36,40),0)/100)),0)</f>
        <v/>
      </c>
      <c r="R2328">
        <f>IF(AND(Inputs!$B$38&lt;&gt;"pvp",Inputs!$B$43&gt;0),IF(Inputs!$B$43&lt;=0,0,(INT(Inputs!$B$43/(IF(Inputs!$B$38="pvp",15,MAX(0.1,Skills!D3-IF(TRUE=TRUE,Inputs!$B$32,0)))*(1-IF(AND(ArtifactsInput!$M$27,Inputs!$B$4="Chapter Hunt"),CHOOSE(ArtifactsInput!$N$27+1,20,24,28,32,36,40),0)/100)))+1)),0)</f>
        <v/>
      </c>
      <c r="S2328" t="n">
        <v>0</v>
      </c>
      <c r="T2328">
        <f>INDEX(FactorTable!$B$2:$Y$301, MATCH(ROUND(MIN(300,MAX(1,T2327)),0), FactorTable!$A$2:$A$301,0), 22)</f>
        <v/>
      </c>
      <c r="U2328" t="n">
        <v>0</v>
      </c>
      <c r="Z2328">
        <f>INDEX(FactorTable!$B$2:$Y$301, MATCH(ROUND(MIN(300,MAX(1,Z2327)),0), FactorTable!$A$2:$A$301,0), 24)</f>
        <v/>
      </c>
    </row>
    <row r="2329">
      <c r="A2329">
        <f>Skills!A4</f>
        <v/>
      </c>
      <c r="B2329">
        <f>Skills!B4</f>
        <v/>
      </c>
      <c r="C2329">
        <f>Inputs!$B$3&gt;=40</f>
        <v/>
      </c>
      <c r="D2329">
        <f>IF(Skills!C4=1,60+Inputs!$B$25+Inputs!$B$29,IF(Skills!C4=2,90+Inputs!$B$26+Inputs!$B$29,IF(Skills!C4=3,120+Inputs!$B$27+Inputs!$B$29,MAX(0,(Inputs!$B$3-100)*3)+Inputs!$B$28+Inputs!$B$29)))</f>
        <v/>
      </c>
      <c r="E2329">
        <f>INDEX(FactorTable!$B$2:$Y$301, MATCH(ROUND(MIN(300,MAX(1,D2329)),0), FactorTable!$A$2:$A$301,0), Skills!L4+1)</f>
        <v/>
      </c>
      <c r="F2329">
        <f>IF(Skills!M4=TRUE,(Skills!K4/10)*(E2329/1000),Skills!K4/10)+Skills!N4</f>
        <v/>
      </c>
      <c r="G2329">
        <f>Calc!G4</f>
        <v/>
      </c>
      <c r="H2329">
        <f>Calc!H4</f>
        <v/>
      </c>
      <c r="I2329">
        <f>IF(Skills!T4&lt;&gt;"",1+(Skills!T4/10)*(Z2328/1000)/100,1)</f>
        <v/>
      </c>
      <c r="J2329" t="inlineStr"/>
      <c r="K2329" t="inlineStr"/>
      <c r="L2329" t="inlineStr"/>
      <c r="M2329" t="inlineStr"/>
      <c r="N2329" t="inlineStr"/>
      <c r="O2329">
        <f>(1-Summary!$B$11)*S2329+Summary!$B$11*U2329</f>
        <v/>
      </c>
      <c r="P2329">
        <f>IF(B2362=0,0,O2329/B2362)</f>
        <v/>
      </c>
      <c r="Q2329">
        <f>IFERROR(1/(IF(Inputs!$B$38="pvp",15,MAX(0.1,Skills!D4-IF(TRUE=TRUE,Inputs!$B$32,0)))*(1-IF(AND(ArtifactsInput!$M$27,Inputs!$B$4="Chapter Hunt"),CHOOSE(ArtifactsInput!$N$27+1,20,24,28,32,36,40),0)/100)),0)</f>
        <v/>
      </c>
      <c r="R2329">
        <f>IF(AND(Inputs!$B$38&lt;&gt;"pvp",Inputs!$B$43&gt;0),IF(Inputs!$B$43&lt;=0,0,(INT(Inputs!$B$43/(IF(Inputs!$B$38="pvp",15,MAX(0.1,Skills!D4-IF(TRUE=TRUE,Inputs!$B$32,0)))*(1-IF(AND(ArtifactsInput!$M$27,Inputs!$B$4="Chapter Hunt"),CHOOSE(ArtifactsInput!$N$27+1,20,24,28,32,36,40),0)/100)))+1)),0)</f>
        <v/>
      </c>
      <c r="S2329" t="n">
        <v>0</v>
      </c>
      <c r="T2329">
        <f>290*T2328/1000</f>
        <v/>
      </c>
      <c r="U2329" t="n">
        <v>0</v>
      </c>
    </row>
    <row r="2330">
      <c r="A2330">
        <f>Skills!A5</f>
        <v/>
      </c>
      <c r="B2330">
        <f>Skills!B5</f>
        <v/>
      </c>
      <c r="C2330">
        <f>Inputs!$B$3&gt;=38</f>
        <v/>
      </c>
      <c r="D2330">
        <f>IF(Skills!C5=1,60+Inputs!$B$25+Inputs!$B$29,IF(Skills!C5=2,90+Inputs!$B$26+Inputs!$B$29,IF(Skills!C5=3,120+Inputs!$B$27+Inputs!$B$29,MAX(0,(Inputs!$B$3-100)*3)+Inputs!$B$28+Inputs!$B$29)))</f>
        <v/>
      </c>
      <c r="E2330">
        <f>INDEX(FactorTable!$B$2:$Y$301, MATCH(ROUND(MIN(300,MAX(1,D2330)),0), FactorTable!$A$2:$A$301,0), Skills!L5+1)</f>
        <v/>
      </c>
      <c r="F2330">
        <f>IF(Skills!M5=TRUE,(Skills!K5/10)*(E2330/1000),Skills!K5/10)+Skills!N5</f>
        <v/>
      </c>
      <c r="G2330">
        <f>Calc!G5</f>
        <v/>
      </c>
      <c r="H2330">
        <f>Calc!H5</f>
        <v/>
      </c>
      <c r="I2330">
        <f>IF(Skills!T5&lt;&gt;"",1+(Skills!T5/10)*(Z2328/1000)/100,1)</f>
        <v/>
      </c>
      <c r="J2330">
        <f>((Inputs!$B$6*(1+Inputs!$B$7/100))+(((Inputs!$B$12*(1+Inputs!$B$13/100))-(Inputs!$B$12*(1+Inputs!$B$13/100)))+0.25*(Inputs!$B$14-Inputs!$B$14))*(1+Inputs!$B$7/100))*(F2330/100)</f>
        <v/>
      </c>
      <c r="K2330">
        <f>J2330*(1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5="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F2343-Calc!F18),(Inputs!$B$23+(IF(ArtifactsInput!$M$15,CHOOSE(ArtifactsInput!$N$15+1,25,30,35,40,45,50)/100*(Inputs!$B$11-Inputs!$B$11),0))))/100+(Inputs!$B$23+(IF(ArtifactsInput!$M$15,CHOOSE(ArtifactsInput!$N$15+1,25,30,35,40,45,50)/100*(Inputs!$B$11-Inputs!$B$11),0)))/100)/2</f>
        <v/>
      </c>
      <c r="M2330">
        <f>L2330*(1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0">
        <f>L2330*(1-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(1-Summary!$B$11)*S2330+Summary!$B$11*U2330</f>
        <v/>
      </c>
      <c r="P2330">
        <f>IF(B2362=0,0,O2330/B2362)</f>
        <v/>
      </c>
      <c r="Q2330">
        <f>IFERROR(1/(IF(Inputs!$B$38="pvp",15,MAX(0.1,Skills!D5-IF(TRUE=TRUE,Inputs!$B$32,0)))*(1-IF(AND(ArtifactsInput!$M$27,Inputs!$B$4="Chapter Hunt"),CHOOSE(ArtifactsInput!$N$27+1,20,24,28,32,36,40),0)/100)),0)</f>
        <v/>
      </c>
      <c r="R2330">
        <f>IF(AND(Inputs!$B$38&lt;&gt;"pvp",Inputs!$B$43&gt;0),IF(MAX(0,Inputs!$B$43-B2359)&lt;=0,0,(INT(MAX(0,Inputs!$B$43-B2359)/(IF(Inputs!$B$38="pvp",15,MAX(0.1,Skills!D5-IF(TRUE=TRUE,Inputs!$B$32,0)))*(1-IF(AND(ArtifactsInput!$M$27,Inputs!$B$4="Chapter Hunt"),CHOOSE(ArtifactsInput!$N$27+1,20,24,28,32,36,40),0)/100)))+1)),0)</f>
        <v/>
      </c>
      <c r="S2330">
        <f>IF(C2330,(H2330*N2330*IF(AND(Inputs!$B$38&lt;&gt;"pvp",Inputs!$B$43&gt;0),((Skills!F5*((R2330-1)*IF(Skills!G5&gt;0,Skills!H5/Skills!G5,1)+IF(Skills!G5&gt;0,MIN(Skills!H5,MAX(0,MAX(0,Inputs!$B$43-B2359)-((R2330-1)*(IF(Inputs!$B$38="pvp",15,MAX(0.1,Skills!D5-IF(TRUE=TRUE,Inputs!$B$32,0)))*(1-IF(AND(ArtifactsInput!$M$27,Inputs!$B$4="Chapter Hunt"),CHOOSE(ArtifactsInput!$N$27+1,20,24,28,32,36,40),0)/100)))))/Skills!G5,1)))/Inputs!$B$43),G2330*Q2330))*IF(Inputs!$B$38="pvp",1,1+(Inputs!$B$20+Skills!O5+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2330*(1-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0">
        <f>IF(C2330,(H2330*N2330*IF(AND(Inputs!$B$38&lt;&gt;"pvp",Inputs!$B$43&gt;0),((Skills!F5*((R2330-1)*IF(Skills!G5&gt;0,Skills!H5/Skills!G5,1)+IF(Skills!G5&gt;0,MIN(Skills!H5,MAX(0,MAX(0,Inputs!$B$43-B2359)-((R2330-1)*(IF(Inputs!$B$38="pvp",15,MAX(0.1,Skills!D5-IF(TRUE=TRUE,Inputs!$B$32,0)))*(1-IF(AND(ArtifactsInput!$M$27,Inputs!$B$4="Chapter Hunt"),CHOOSE(ArtifactsInput!$N$27+1,20,24,28,32,36,40),0)/100)))))/Skills!G5,1)))/Inputs!$B$43),G2330*Q2330))*IF(Inputs!$B$38="pvp",1,(1+(Inputs!$B$21+Skills!P5+B2353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Skills!A6</f>
        <v/>
      </c>
      <c r="B2331">
        <f>Skills!B6</f>
        <v/>
      </c>
      <c r="C2331">
        <f>Inputs!$B$3&gt;=63</f>
        <v/>
      </c>
      <c r="D2331">
        <f>IF(Skills!C6=1,60+Inputs!$B$25+Inputs!$B$29,IF(Skills!C6=2,90+Inputs!$B$26+Inputs!$B$29,IF(Skills!C6=3,120+Inputs!$B$27+Inputs!$B$29,MAX(0,(Inputs!$B$3-100)*3)+Inputs!$B$28+Inputs!$B$29)))</f>
        <v/>
      </c>
      <c r="E2331">
        <f>INDEX(FactorTable!$B$2:$Y$301, MATCH(ROUND(MIN(300,MAX(1,D2331)),0), FactorTable!$A$2:$A$301,0), Skills!L6+1)</f>
        <v/>
      </c>
      <c r="F2331">
        <f>IF(Skills!M6=TRUE,(Skills!K6/10)*(E2331/1000),Skills!K6/10)+Skills!N6</f>
        <v/>
      </c>
      <c r="G2331">
        <f>Calc!G6</f>
        <v/>
      </c>
      <c r="H2331">
        <f>Calc!H6</f>
        <v/>
      </c>
      <c r="I2331">
        <f>IF(Skills!T6&lt;&gt;"",1+(Skills!T6/10)*(Z2328/1000)/100,1)</f>
        <v/>
      </c>
      <c r="J2331">
        <f>((Inputs!$B$6*(1+Inputs!$B$7/100))+(((Inputs!$B$12*(1+Inputs!$B$13/100))-(Inputs!$B$12*(1+Inputs!$B$13/100)))+0.25*(Inputs!$B$14-Inputs!$B$14))*(1+Inputs!$B$7/100))*(F2331/100)</f>
        <v/>
      </c>
      <c r="K2331">
        <f>J2331*(1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6="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2331)</f>
        <v/>
      </c>
      <c r="L2331">
        <f>K2331*(MIN(Inputs!$B$22+(F2343-Calc!F18),(Inputs!$B$23+(IF(ArtifactsInput!$M$15,CHOOSE(ArtifactsInput!$N$15+1,25,30,35,40,45,50)/100*(Inputs!$B$11-Inputs!$B$11),0))))/100+(Inputs!$B$23+(IF(ArtifactsInput!$M$15,CHOOSE(ArtifactsInput!$N$15+1,25,30,35,40,45,50)/100*(Inputs!$B$11-Inputs!$B$11),0)))/100)/2</f>
        <v/>
      </c>
      <c r="M2331">
        <f>L2331*(1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1">
        <f>L2331*(1-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1">
        <f>(1-Summary!$B$11)*S2331+Summary!$B$11*U2331</f>
        <v/>
      </c>
      <c r="P2331">
        <f>IF(B2362=0,0,O2331/B2362)</f>
        <v/>
      </c>
      <c r="Q2331">
        <f>IFERROR(1/(IF(Inputs!$B$38="pvp",15,MAX(0.1,Skills!D6-IF(TRUE=TRUE,Inputs!$B$32,0)))*(1-IF(AND(ArtifactsInput!$M$27,Inputs!$B$4="Chapter Hunt"),CHOOSE(ArtifactsInput!$N$27+1,20,24,28,32,36,40),0)/100)),0)</f>
        <v/>
      </c>
      <c r="R2331">
        <f>IF(AND(Inputs!$B$38&lt;&gt;"pvp",Inputs!$B$43&gt;0),IF(MAX(0,Inputs!$B$43-B2359)&lt;=0,0,(INT(MAX(0,Inputs!$B$43-B2359)/(IF(Inputs!$B$38="pvp",15,MAX(0.1,Skills!D6-IF(TRUE=TRUE,Inputs!$B$32,0)))*(1-IF(AND(ArtifactsInput!$M$27,Inputs!$B$4="Chapter Hunt"),CHOOSE(ArtifactsInput!$N$27+1,20,24,28,32,36,40),0)/100)))+1)),0)</f>
        <v/>
      </c>
      <c r="S2331">
        <f>IF(C2331,(H2331*N2331*IF(AND(Inputs!$B$38&lt;&gt;"pvp",Inputs!$B$43&gt;0),((Skills!F6*((R2331-1)*IF(Skills!G6&gt;0,Skills!H6/Skills!G6,1)+IF(Skills!G6&gt;0,MIN(Skills!H6,MAX(0,MAX(0,Inputs!$B$43-B2359)-((R2331-1)*(IF(Inputs!$B$38="pvp",15,MAX(0.1,Skills!D6-IF(TRUE=TRUE,Inputs!$B$32,0)))*(1-IF(AND(ArtifactsInput!$M$27,Inputs!$B$4="Chapter Hunt"),CHOOSE(ArtifactsInput!$N$27+1,20,24,28,32,36,40),0)/100)))))/Skills!G6,1)))/Inputs!$B$43),G2331*Q2331))*IF(Inputs!$B$38="pvp",1,1+(Inputs!$B$20+Skills!O6+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2331*(1-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2331*(1-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1">
        <f>IF(C2331,(H2331*N2331*IF(AND(Inputs!$B$38&lt;&gt;"pvp",Inputs!$B$43&gt;0),((Skills!F6*((R2331-1)*IF(Skills!G6&gt;0,Skills!H6/Skills!G6,1)+IF(Skills!G6&gt;0,MIN(Skills!H6,MAX(0,MAX(0,Inputs!$B$43-B2359)-((R2331-1)*(IF(Inputs!$B$38="pvp",15,MAX(0.1,Skills!D6-IF(TRUE=TRUE,Inputs!$B$32,0)))*(1-IF(AND(ArtifactsInput!$M$27,Inputs!$B$4="Chapter Hunt"),CHOOSE(ArtifactsInput!$N$27+1,20,24,28,32,36,40),0)/100)))))/Skills!G6,1)))/Inputs!$B$43),G2331*Q2331))*IF(Inputs!$B$38="pvp",1,(1+(Inputs!$B$21+Skills!P6+B2353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2">
      <c r="A2332">
        <f>Skills!A7</f>
        <v/>
      </c>
      <c r="B2332">
        <f>Skills!B7</f>
        <v/>
      </c>
      <c r="C2332">
        <f>Inputs!$B$3&gt;=69</f>
        <v/>
      </c>
      <c r="D2332">
        <f>IF(Skills!C7=1,60+Inputs!$B$25+Inputs!$B$29,IF(Skills!C7=2,90+Inputs!$B$26+Inputs!$B$29,IF(Skills!C7=3,120+Inputs!$B$27+Inputs!$B$29,MAX(0,(Inputs!$B$3-100)*3)+Inputs!$B$28+Inputs!$B$29)))</f>
        <v/>
      </c>
      <c r="E2332">
        <f>INDEX(FactorTable!$B$2:$Y$301, MATCH(ROUND(MIN(300,MAX(1,D2332)),0), FactorTable!$A$2:$A$301,0), Skills!L7+1)</f>
        <v/>
      </c>
      <c r="F2332">
        <f>IF(Skills!M7=TRUE,(Skills!K7/10)*(E2332/1000),Skills!K7/10)+Skills!N7</f>
        <v/>
      </c>
      <c r="G2332">
        <f>Calc!G7</f>
        <v/>
      </c>
      <c r="H2332">
        <f>Calc!H7</f>
        <v/>
      </c>
      <c r="I2332">
        <f>IF(Skills!T7&lt;&gt;"",1+(Skills!T7/10)*(Z2328/1000)/100,1)</f>
        <v/>
      </c>
      <c r="J2332">
        <f>((Inputs!$B$6*(1+Inputs!$B$7/100))+(((Inputs!$B$12*(1+Inputs!$B$13/100))-(Inputs!$B$12*(1+Inputs!$B$13/100)))+0.25*(Inputs!$B$14-Inputs!$B$14))*(1+Inputs!$B$7/100))*(F2332/100)</f>
        <v/>
      </c>
      <c r="K2332">
        <f>J2332*(1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7="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2332)</f>
        <v/>
      </c>
      <c r="L2332">
        <f>K2332*(MIN(Inputs!$B$22+(F2343-Calc!F18),(Inputs!$B$23+(IF(ArtifactsInput!$M$15,CHOOSE(ArtifactsInput!$N$15+1,25,30,35,40,45,50)/100*(Inputs!$B$11-Inputs!$B$11),0))))/100+(Inputs!$B$23+(IF(ArtifactsInput!$M$15,CHOOSE(ArtifactsInput!$N$15+1,25,30,35,40,45,50)/100*(Inputs!$B$11-Inputs!$B$11),0)))/100)/2</f>
        <v/>
      </c>
      <c r="M2332">
        <f>L2332*(1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2">
        <f>L2332*(1-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2332*(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2">
        <f>(1-Summary!$B$11)*S2332+Summary!$B$11*U2332</f>
        <v/>
      </c>
      <c r="P2332">
        <f>IF(B2362=0,0,O2332/B2362)</f>
        <v/>
      </c>
      <c r="Q2332">
        <f>IFERROR(1/(IF(Inputs!$B$38="pvp",15,MAX(0.1,Skills!D7-IF(TRUE=TRUE,Inputs!$B$32,0)))*(1-IF(AND(ArtifactsInput!$M$27,Inputs!$B$4="Chapter Hunt"),CHOOSE(ArtifactsInput!$N$27+1,20,24,28,32,36,40),0)/100)),0)</f>
        <v/>
      </c>
      <c r="R2332">
        <f>IF(AND(Inputs!$B$38&lt;&gt;"pvp",Inputs!$B$43&gt;0),IF(MAX(0,Inputs!$B$43-B2359)&lt;=0,0,(INT(MAX(0,Inputs!$B$43-B2359)/(IF(Inputs!$B$38="pvp",15,MAX(0.1,Skills!D7-IF(TRUE=TRUE,Inputs!$B$32,0)))*(1-IF(AND(ArtifactsInput!$M$27,Inputs!$B$4="Chapter Hunt"),CHOOSE(ArtifactsInput!$N$27+1,20,24,28,32,36,40),0)/100)))+1)),0)</f>
        <v/>
      </c>
      <c r="S2332">
        <f>IF(C2332,(H2332*N2332*IF(AND(Inputs!$B$38&lt;&gt;"pvp",Inputs!$B$43&gt;0),((Skills!F7*((R2332-1)*IF(Skills!G7&gt;0,Skills!H7/Skills!G7,1)+IF(Skills!G7&gt;0,MIN(Skills!H7,MAX(0,MAX(0,Inputs!$B$43-B2359)-((R2332-1)*(IF(Inputs!$B$38="pvp",15,MAX(0.1,Skills!D7-IF(TRUE=TRUE,Inputs!$B$32,0)))*(1-IF(AND(ArtifactsInput!$M$27,Inputs!$B$4="Chapter Hunt"),CHOOSE(ArtifactsInput!$N$27+1,20,24,28,32,36,40),0)/100)))))/Skills!G7,1)))/Inputs!$B$43),G2332*Q2332))*IF(Inputs!$B$38="pvp",1,1+(Inputs!$B$20+Skills!O7+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2332*(1-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2332*(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2332*(1-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2332*(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2">
        <f>IF(C2332,(H2332*N2332*IF(AND(Inputs!$B$38&lt;&gt;"pvp",Inputs!$B$43&gt;0),((Skills!F7*((R2332-1)*IF(Skills!G7&gt;0,Skills!H7/Skills!G7,1)+IF(Skills!G7&gt;0,MIN(Skills!H7,MAX(0,MAX(0,Inputs!$B$43-B2359)-((R2332-1)*(IF(Inputs!$B$38="pvp",15,MAX(0.1,Skills!D7-IF(TRUE=TRUE,Inputs!$B$32,0)))*(1-IF(AND(ArtifactsInput!$M$27,Inputs!$B$4="Chapter Hunt"),CHOOSE(ArtifactsInput!$N$27+1,20,24,28,32,36,40),0)/100)))))/Skills!G7,1)))/Inputs!$B$43),G2332*Q2332))*IF(Inputs!$B$38="pvp",1,(1+(Inputs!$B$21+Skills!P7+B2353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3">
      <c r="A2333">
        <f>Skills!A8</f>
        <v/>
      </c>
      <c r="B2333">
        <f>Skills!B8</f>
        <v/>
      </c>
      <c r="C2333">
        <f>Inputs!$B$3&gt;=103</f>
        <v/>
      </c>
      <c r="D2333">
        <f>IF(Skills!C8=1,60+Inputs!$B$25+Inputs!$B$29,IF(Skills!C8=2,90+Inputs!$B$26+Inputs!$B$29,IF(Skills!C8=3,120+Inputs!$B$27+Inputs!$B$29,MAX(0,(Inputs!$B$3-100)*3)+Inputs!$B$28+Inputs!$B$29)))</f>
        <v/>
      </c>
      <c r="E2333">
        <f>INDEX(FactorTable!$B$2:$Y$301, MATCH(ROUND(MIN(300,MAX(1,D2333)),0), FactorTable!$A$2:$A$301,0), Skills!L8+1)</f>
        <v/>
      </c>
      <c r="F2333">
        <f>IF(Skills!M8=TRUE,(Skills!K8/10)*(E2333/1000),Skills!K8/10)+Skills!N8</f>
        <v/>
      </c>
      <c r="G2333">
        <f>Calc!G8</f>
        <v/>
      </c>
      <c r="H2333">
        <f>Calc!H8</f>
        <v/>
      </c>
      <c r="I2333">
        <f>IF(Skills!T8&lt;&gt;"",1+(Skills!T8/10)*(Z2328/1000)/100,1)</f>
        <v/>
      </c>
      <c r="J2333">
        <f>((Inputs!$B$6*(1+Inputs!$B$7/100))+(((Inputs!$B$12*(1+Inputs!$B$13/100))-(Inputs!$B$12*(1+Inputs!$B$13/100)))+0.25*(Inputs!$B$14-Inputs!$B$14))*(1+Inputs!$B$7/100))*(F2333/100)</f>
        <v/>
      </c>
      <c r="K2333">
        <f>J2333*(1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8="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2333)</f>
        <v/>
      </c>
      <c r="L2333">
        <f>K2333*(MIN(Inputs!$B$22+(F2343-Calc!F18),(Inputs!$B$23+(IF(ArtifactsInput!$M$15,CHOOSE(ArtifactsInput!$N$15+1,25,30,35,40,45,50)/100*(Inputs!$B$11-Inputs!$B$11),0))))/100+(Inputs!$B$23+(IF(ArtifactsInput!$M$15,CHOOSE(ArtifactsInput!$N$15+1,25,30,35,40,45,50)/100*(Inputs!$B$11-Inputs!$B$11),0)))/100)/2</f>
        <v/>
      </c>
      <c r="M2333">
        <f>L2333*(1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3">
        <f>L2333*(1-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2333*(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3">
        <f>(1-Summary!$B$11)*S2333+Summary!$B$11*U2333</f>
        <v/>
      </c>
      <c r="P2333">
        <f>IF(B2362=0,0,O2333/B2362)</f>
        <v/>
      </c>
      <c r="Q2333">
        <f>IFERROR(1/(IF(Inputs!$B$38="pvp",15,MAX(0.1,Skills!D8-IF(TRUE=TRUE,Inputs!$B$32,0)))*(1-IF(AND(ArtifactsInput!$M$27,Inputs!$B$4="Chapter Hunt"),CHOOSE(ArtifactsInput!$N$27+1,20,24,28,32,36,40),0)/100)),0)</f>
        <v/>
      </c>
      <c r="R2333">
        <f>IF(AND(Inputs!$B$38&lt;&gt;"pvp",Inputs!$B$43&gt;0),IF(MAX(0,Inputs!$B$43-B2359)&lt;=0,0,(INT(MAX(0,Inputs!$B$43-B2359)/(IF(Inputs!$B$38="pvp",15,MAX(0.1,Skills!D8-IF(TRUE=TRUE,Inputs!$B$32,0)))*(1-IF(AND(ArtifactsInput!$M$27,Inputs!$B$4="Chapter Hunt"),CHOOSE(ArtifactsInput!$N$27+1,20,24,28,32,36,40),0)/100)))+1)),0)</f>
        <v/>
      </c>
      <c r="S2333">
        <f>IF(C2333,(H2333*N2333*IF(AND(Inputs!$B$38&lt;&gt;"pvp",Inputs!$B$43&gt;0),((Skills!F8*((R2333-1)*IF(Skills!G8&gt;0,Skills!H8/Skills!G8,1)+IF(Skills!G8&gt;0,MIN(Skills!H8,MAX(0,MAX(0,Inputs!$B$43-B2359)-((R2333-1)*(IF(Inputs!$B$38="pvp",15,MAX(0.1,Skills!D8-IF(TRUE=TRUE,Inputs!$B$32,0)))*(1-IF(AND(ArtifactsInput!$M$27,Inputs!$B$4="Chapter Hunt"),CHOOSE(ArtifactsInput!$N$27+1,20,24,28,32,36,40),0)/100)))))/Skills!G8,1)))/Inputs!$B$43),G2333*Q2333))*IF(Inputs!$B$38="pvp",1,1+(Inputs!$B$20+Skills!O8+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2333*(1-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2333*(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2333*(1-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2333*(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3">
        <f>IF(C2333,(H2333*N2333*IF(AND(Inputs!$B$38&lt;&gt;"pvp",Inputs!$B$43&gt;0),((Skills!F8*((R2333-1)*IF(Skills!G8&gt;0,Skills!H8/Skills!G8,1)+IF(Skills!G8&gt;0,MIN(Skills!H8,MAX(0,MAX(0,Inputs!$B$43-B2359)-((R2333-1)*(IF(Inputs!$B$38="pvp",15,MAX(0.1,Skills!D8-IF(TRUE=TRUE,Inputs!$B$32,0)))*(1-IF(AND(ArtifactsInput!$M$27,Inputs!$B$4="Chapter Hunt"),CHOOSE(ArtifactsInput!$N$27+1,20,24,28,32,36,40),0)/100)))))/Skills!G8,1)))/Inputs!$B$43),G2333*Q2333))*IF(Inputs!$B$38="pvp",1,(1+(Inputs!$B$21+Skills!P8+B2353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4">
      <c r="A2334">
        <f>Skills!A9</f>
        <v/>
      </c>
      <c r="B2334">
        <f>Skills!B9</f>
        <v/>
      </c>
      <c r="C2334">
        <f>Inputs!$B$3&gt;=105</f>
        <v/>
      </c>
      <c r="D2334">
        <f>IF(Skills!C9=1,60+Inputs!$B$25+Inputs!$B$29,IF(Skills!C9=2,90+Inputs!$B$26+Inputs!$B$29,IF(Skills!C9=3,120+Inputs!$B$27+Inputs!$B$29,MAX(0,(Inputs!$B$3-100)*3)+Inputs!$B$28+Inputs!$B$29)))</f>
        <v/>
      </c>
      <c r="E2334">
        <f>INDEX(FactorTable!$B$2:$Y$301, MATCH(ROUND(MIN(300,MAX(1,D2334)),0), FactorTable!$A$2:$A$301,0), Skills!L9+1)</f>
        <v/>
      </c>
      <c r="F2334">
        <f>IF(Skills!M9=TRUE,(Skills!K9/10)*(E2334/1000),Skills!K9/10)+Skills!N9</f>
        <v/>
      </c>
      <c r="G2334">
        <f>Calc!G9</f>
        <v/>
      </c>
      <c r="H2334">
        <f>Calc!H9</f>
        <v/>
      </c>
      <c r="I2334">
        <f>IF(Skills!T9&lt;&gt;"",1+(Skills!T9/10)*(Z2328/1000)/100,1)</f>
        <v/>
      </c>
      <c r="J2334">
        <f>((Inputs!$B$6*(1+Inputs!$B$7/100))+(((Inputs!$B$12*(1+Inputs!$B$13/100))-(Inputs!$B$12*(1+Inputs!$B$13/100)))+0.25*(Inputs!$B$14-Inputs!$B$14))*(1+Inputs!$B$7/100))*(F2334/100)</f>
        <v/>
      </c>
      <c r="K2334">
        <f>J2334*(1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9="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2334)</f>
        <v/>
      </c>
      <c r="L2334">
        <f>K2334*(MIN(Inputs!$B$22+(F2343-Calc!F18),(Inputs!$B$23+(IF(ArtifactsInput!$M$15,CHOOSE(ArtifactsInput!$N$15+1,25,30,35,40,45,50)/100*(Inputs!$B$11-Inputs!$B$11),0))))/100+(Inputs!$B$23+(IF(ArtifactsInput!$M$15,CHOOSE(ArtifactsInput!$N$15+1,25,30,35,40,45,50)/100*(Inputs!$B$11-Inputs!$B$11),0)))/100)/2</f>
        <v/>
      </c>
      <c r="M2334">
        <f>L2334*(1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4">
        <f>L2334*(1-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2334*(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4">
        <f>(1-Summary!$B$11)*S2334+Summary!$B$11*U2334</f>
        <v/>
      </c>
      <c r="P2334">
        <f>IF(B2362=0,0,O2334/B2362)</f>
        <v/>
      </c>
      <c r="Q2334">
        <f>IFERROR(1/(IF(Inputs!$B$38="pvp",15,MAX(0.1,Skills!D9-IF(TRUE=TRUE,Inputs!$B$32,0)))*(1-IF(AND(ArtifactsInput!$M$27,Inputs!$B$4="Chapter Hunt"),CHOOSE(ArtifactsInput!$N$27+1,20,24,28,32,36,40),0)/100)),0)</f>
        <v/>
      </c>
      <c r="R2334">
        <f>IF(AND(Inputs!$B$38&lt;&gt;"pvp",Inputs!$B$43&gt;0),IF(MAX(0,Inputs!$B$43-B2359)&lt;=0,0,(INT(MAX(0,Inputs!$B$43-B2359)/(IF(Inputs!$B$38="pvp",15,MAX(0.1,Skills!D9-IF(TRUE=TRUE,Inputs!$B$32,0)))*(1-IF(AND(ArtifactsInput!$M$27,Inputs!$B$4="Chapter Hunt"),CHOOSE(ArtifactsInput!$N$27+1,20,24,28,32,36,40),0)/100)))+1)),0)</f>
        <v/>
      </c>
      <c r="S2334">
        <f>IF(C2334,(H2334*N2334*IF(AND(Inputs!$B$38&lt;&gt;"pvp",Inputs!$B$43&gt;0),((Skills!F9*((R2334-1)*IF(Skills!G9&gt;0,Skills!H9/Skills!G9,1)+IF(Skills!G9&gt;0,MIN(Skills!H9,MAX(0,MAX(0,Inputs!$B$43-B2359)-((R2334-1)*(IF(Inputs!$B$38="pvp",15,MAX(0.1,Skills!D9-IF(TRUE=TRUE,Inputs!$B$32,0)))*(1-IF(AND(ArtifactsInput!$M$27,Inputs!$B$4="Chapter Hunt"),CHOOSE(ArtifactsInput!$N$27+1,20,24,28,32,36,40),0)/100)))))/Skills!G9,1)))/Inputs!$B$43),G2334*Q2334))*IF(Inputs!$B$38="pvp",1,1+(Inputs!$B$20+Skills!O9+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2334*(1-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2334*(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2334*(1-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2334*(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4">
        <f>IF(C2334,(H2334*N2334*IF(AND(Inputs!$B$38&lt;&gt;"pvp",Inputs!$B$43&gt;0),((Skills!F9*((R2334-1)*IF(Skills!G9&gt;0,Skills!H9/Skills!G9,1)+IF(Skills!G9&gt;0,MIN(Skills!H9,MAX(0,MAX(0,Inputs!$B$43-B2359)-((R2334-1)*(IF(Inputs!$B$38="pvp",15,MAX(0.1,Skills!D9-IF(TRUE=TRUE,Inputs!$B$32,0)))*(1-IF(AND(ArtifactsInput!$M$27,Inputs!$B$4="Chapter Hunt"),CHOOSE(ArtifactsInput!$N$27+1,20,24,28,32,36,40),0)/100)))))/Skills!G9,1)))/Inputs!$B$43),G2334*Q2334))*IF(Inputs!$B$38="pvp",1,(1+(Inputs!$B$21+Skills!P9+B2353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5">
      <c r="A2335">
        <f>Skills!A10</f>
        <v/>
      </c>
      <c r="B2335">
        <f>Skills!B10</f>
        <v/>
      </c>
      <c r="C2335">
        <f>Inputs!$B$3&gt;=113</f>
        <v/>
      </c>
      <c r="D2335">
        <f>IF(Skills!C10=1,60+Inputs!$B$25+Inputs!$B$29,IF(Skills!C10=2,90+Inputs!$B$26+Inputs!$B$29,IF(Skills!C10=3,120+Inputs!$B$27+Inputs!$B$29,MAX(0,(Inputs!$B$3-100)*3)+Inputs!$B$28+Inputs!$B$29)))</f>
        <v/>
      </c>
      <c r="E2335">
        <f>INDEX(FactorTable!$B$2:$Y$301, MATCH(ROUND(MIN(300,MAX(1,D2335)),0), FactorTable!$A$2:$A$301,0), Skills!L10+1)</f>
        <v/>
      </c>
      <c r="F2335">
        <f>IF(Skills!M10=TRUE,(Skills!K10/10)*(E2335/1000),Skills!K10/10)+Skills!N10</f>
        <v/>
      </c>
      <c r="G2335">
        <f>Calc!G10</f>
        <v/>
      </c>
      <c r="H2335">
        <f>Calc!H10</f>
        <v/>
      </c>
      <c r="I2335">
        <f>IF(Skills!T10&lt;&gt;"",1+(Skills!T10/10)*(Z2328/1000)/100,1)</f>
        <v/>
      </c>
      <c r="J2335">
        <f>((Inputs!$B$6*(1+Inputs!$B$7/100))+(((Inputs!$B$12*(1+Inputs!$B$13/100))-(Inputs!$B$12*(1+Inputs!$B$13/100)))+0.25*(Inputs!$B$14-Inputs!$B$14))*(1+Inputs!$B$7/100))*(F2335/100)</f>
        <v/>
      </c>
      <c r="K2335">
        <f>J2335*(1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10="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2335)</f>
        <v/>
      </c>
      <c r="L2335">
        <f>K2335*(MIN(Inputs!$B$22+(F2343-Calc!F18),(Inputs!$B$23+(IF(ArtifactsInput!$M$15,CHOOSE(ArtifactsInput!$N$15+1,25,30,35,40,45,50)/100*(Inputs!$B$11-Inputs!$B$11),0))))/100+(Inputs!$B$23+(IF(ArtifactsInput!$M$15,CHOOSE(ArtifactsInput!$N$15+1,25,30,35,40,45,50)/100*(Inputs!$B$11-Inputs!$B$11),0)))/100)/2</f>
        <v/>
      </c>
      <c r="M2335">
        <f>L2335*(1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5">
        <f>L2335*(1-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2335*(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5">
        <f>(1-Summary!$B$11)*S2335+Summary!$B$11*U2335</f>
        <v/>
      </c>
      <c r="P2335">
        <f>IF(B2362=0,0,O2335/B2362)</f>
        <v/>
      </c>
      <c r="Q2335">
        <f>IFERROR(1/(IF(Inputs!$B$38="pvp",15,MAX(0.1,Skills!D10-IF(TRUE=TRUE,Inputs!$B$32,0)))*(1-IF(AND(ArtifactsInput!$M$27,Inputs!$B$4="Chapter Hunt"),CHOOSE(ArtifactsInput!$N$27+1,20,24,28,32,36,40),0)/100)),0)</f>
        <v/>
      </c>
      <c r="R2335" t="n">
        <v>0</v>
      </c>
      <c r="S2335">
        <f>IF(C2335,((H2335*B2363)/(1+Skills!G10*H2335*B2363)*N2335)*IF(Inputs!$B$38="pvp",1,1+(Inputs!$B$20+Skills!O10+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2335*(1-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2335*(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2335*(1-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2335*(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5">
        <f>IF(C2335,((H2335*B2363)/(1+Skills!G10*H2335*B2363)*N2335)*IF(Inputs!$B$38="pvp",1,(1+(Inputs!$B$21+Skills!P10+B2353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6">
      <c r="A2336">
        <f>Skills!A11</f>
        <v/>
      </c>
      <c r="B2336">
        <f>Skills!B11</f>
        <v/>
      </c>
      <c r="C2336">
        <f>Inputs!$B$3&gt;=107</f>
        <v/>
      </c>
      <c r="D2336">
        <f>IF(Skills!C11=1,60+Inputs!$B$25+Inputs!$B$29,IF(Skills!C11=2,90+Inputs!$B$26+Inputs!$B$29,IF(Skills!C11=3,120+Inputs!$B$27+Inputs!$B$29,MAX(0,(Inputs!$B$3-100)*3)+Inputs!$B$28+Inputs!$B$29)))</f>
        <v/>
      </c>
      <c r="E2336">
        <f>INDEX(FactorTable!$B$2:$Y$301, MATCH(ROUND(MIN(300,MAX(1,D2336)),0), FactorTable!$A$2:$A$301,0), Skills!L11+1)</f>
        <v/>
      </c>
      <c r="F2336">
        <f>IF(Skills!M11=TRUE,(Skills!K11/10)*(E2336/1000),Skills!K11/10)+Skills!N11</f>
        <v/>
      </c>
      <c r="G2336">
        <f>Calc!G11</f>
        <v/>
      </c>
      <c r="H2336">
        <f>Calc!H11</f>
        <v/>
      </c>
      <c r="I2336">
        <f>IF(Skills!T11&lt;&gt;"",1+(Skills!T11/10)*(Z2328/1000)/100,1)</f>
        <v/>
      </c>
      <c r="J2336">
        <f>((Inputs!$B$6*(1+Inputs!$B$7/100))+(((Inputs!$B$12*(1+Inputs!$B$13/100))-(Inputs!$B$12*(1+Inputs!$B$13/100)))+0.25*(Inputs!$B$14-Inputs!$B$14))*(1+Inputs!$B$7/100))*(F2336/100)</f>
        <v/>
      </c>
      <c r="K2336">
        <f>J2336*(1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11="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2336)</f>
        <v/>
      </c>
      <c r="L2336">
        <f>K2336*(MIN(Inputs!$B$22+(F2343-Calc!F18),(Inputs!$B$23+(IF(ArtifactsInput!$M$15,CHOOSE(ArtifactsInput!$N$15+1,25,30,35,40,45,50)/100*(Inputs!$B$11-Inputs!$B$11),0))))/100+(Inputs!$B$23+(IF(ArtifactsInput!$M$15,CHOOSE(ArtifactsInput!$N$15+1,25,30,35,40,45,50)/100*(Inputs!$B$11-Inputs!$B$11),0)))/100)/2</f>
        <v/>
      </c>
      <c r="M2336">
        <f>L2336*(1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6">
        <f>L2336*(1-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2336*(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6">
        <f>(1-Summary!$B$11)*S2336+Summary!$B$11*U2336</f>
        <v/>
      </c>
      <c r="P2336">
        <f>IF(B2362=0,0,O2336/B2362)</f>
        <v/>
      </c>
      <c r="Q2336">
        <f>IFERROR(1/(IF(Inputs!$B$38="pvp",15,MAX(0.1,Skills!D11-IF(TRUE=TRUE,Inputs!$B$32,0)))*(1-IF(AND(ArtifactsInput!$M$27,Inputs!$B$4="Chapter Hunt"),CHOOSE(ArtifactsInput!$N$27+1,20,24,28,32,36,40),0)/100)),0)</f>
        <v/>
      </c>
      <c r="R2336">
        <f>IF(AND(Inputs!$B$38&lt;&gt;"pvp",Inputs!$B$43&gt;0),IF(MAX(0,Inputs!$B$43-B2359)&lt;=0,0,(INT(MAX(0,Inputs!$B$43-B2359)/(IF(Inputs!$B$38="pvp",15,MAX(0.1,Skills!D11-IF(TRUE=TRUE,Inputs!$B$32,0)))*(1-IF(AND(ArtifactsInput!$M$27,Inputs!$B$4="Chapter Hunt"),CHOOSE(ArtifactsInput!$N$27+1,20,24,28,32,36,40),0)/100)))+1)),0)</f>
        <v/>
      </c>
      <c r="S2336">
        <f>IF(C2336,H2336*N2336*IF(AND(Inputs!$B$38&lt;&gt;"pvp",Inputs!$B$43&gt;0),((Skills!F11*((R2336-1)*IF(Skills!G11&gt;0,Skills!H11/Skills!G11,1)+IF(Skills!G11&gt;0,MIN(Skills!H11,MAX(0,MAX(0,Inputs!$B$43-B2359)-((R2336-1)*(IF(Inputs!$B$38="pvp",15,MAX(0.1,Skills!D11-IF(TRUE=TRUE,Inputs!$B$32,0)))*(1-IF(AND(ArtifactsInput!$M$27,Inputs!$B$4="Chapter Hunt"),CHOOSE(ArtifactsInput!$N$27+1,20,24,28,32,36,40),0)/100)))))/Skills!G11,1)))/Inputs!$B$43),G2336*Q2336)*0.5*IF(Inputs!$B$38="pvp",1,1+(Inputs!$B$20+Skills!O11+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2336*(1-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2336*(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2336*(1-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2336*(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6">
        <f>IF(C2336,H2336*N2336*IF(AND(Inputs!$B$38&lt;&gt;"pvp",Inputs!$B$43&gt;0),((Skills!F11*((R2336-1)*IF(Skills!G11&gt;0,Skills!H11/Skills!G11,1)+IF(Skills!G11&gt;0,MIN(Skills!H11,MAX(0,MAX(0,Inputs!$B$43-B2359)-((R2336-1)*(IF(Inputs!$B$38="pvp",15,MAX(0.1,Skills!D11-IF(TRUE=TRUE,Inputs!$B$32,0)))*(1-IF(AND(ArtifactsInput!$M$27,Inputs!$B$4="Chapter Hunt"),CHOOSE(ArtifactsInput!$N$27+1,20,24,28,32,36,40),0)/100)))))/Skills!G11,1)))/Inputs!$B$43),G2336*Q2336)*1*IF(Inputs!$B$38="pvp",1,(1+(Inputs!$B$21+Skills!P11+B2353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7">
      <c r="A2337">
        <f>Skills!A12</f>
        <v/>
      </c>
      <c r="B2337">
        <f>Skills!B12</f>
        <v/>
      </c>
      <c r="C2337">
        <f>Inputs!$B$3&gt;=115</f>
        <v/>
      </c>
      <c r="D2337">
        <f>IF(Skills!C12=1,60+Inputs!$B$25+Inputs!$B$29,IF(Skills!C12=2,90+Inputs!$B$26+Inputs!$B$29,IF(Skills!C12=3,120+Inputs!$B$27+Inputs!$B$29,MAX(0,(Inputs!$B$3-100)*3)+Inputs!$B$28+Inputs!$B$29)))</f>
        <v/>
      </c>
      <c r="E2337">
        <f>INDEX(FactorTable!$B$2:$Y$301, MATCH(ROUND(MIN(300,MAX(1,D2337)),0), FactorTable!$A$2:$A$301,0), Skills!L12+1)</f>
        <v/>
      </c>
      <c r="F2337">
        <f>IF(Skills!M12=TRUE,(Skills!K12/10)*(E2337/1000),Skills!K12/10)+Skills!N12</f>
        <v/>
      </c>
      <c r="G2337">
        <f>Calc!G12</f>
        <v/>
      </c>
      <c r="H2337">
        <f>Calc!H12</f>
        <v/>
      </c>
      <c r="I2337">
        <f>IF(Skills!T12&lt;&gt;"",1+(Skills!T12/10)*(Z2328/1000)/100,1)</f>
        <v/>
      </c>
      <c r="J2337">
        <f>((Inputs!$B$6*(1+Inputs!$B$7/100))+(((Inputs!$B$12*(1+Inputs!$B$13/100))-(Inputs!$B$12*(1+Inputs!$B$13/100)))+0.25*(Inputs!$B$14-Inputs!$B$14))*(1+Inputs!$B$7/100))*(F2337/100)</f>
        <v/>
      </c>
      <c r="K2337">
        <f>J2337*(1+((Inputs!$B$12*(1+Inputs!$B$13/100))*0.01+Inputs!$B$14*0.0025)/100)*(1+(Inputs!$B$15+B2354)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2340=TRUE,F2340,0)/100)*(1+IF(C2348=TRUE,F2348,0)/100)^5*(1+(IF(Skills!A12="CHAIN_LIGHTNING",Inputs!$B$17+((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2352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2337)</f>
        <v/>
      </c>
      <c r="L2337">
        <f>K2337*(MIN(Inputs!$B$22+(F2343-Calc!F18),(Inputs!$B$23+(IF(ArtifactsInput!$M$15,CHOOSE(ArtifactsInput!$N$15+1,25,30,35,40,45,50)/100*(Inputs!$B$11-Inputs!$B$11),0))))/100+(Inputs!$B$23+(IF(ArtifactsInput!$M$15,CHOOSE(ArtifactsInput!$N$15+1,25,30,35,40,45,50)/100*(Inputs!$B$11-Inputs!$B$11),0)))/100)/2</f>
        <v/>
      </c>
      <c r="M2337">
        <f>L2337*(1+(Inputs!$B$10+(F2346-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37">
        <f>L2337*(1-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2337*(MIN((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7">
        <f>(1-Summary!$B$11)*S2337+Summary!$B$11*U2337</f>
        <v/>
      </c>
      <c r="P2337">
        <f>IF(B2362=0,0,O2337/B2362)</f>
        <v/>
      </c>
      <c r="Q2337">
        <f>IFERROR(1/(IF(Inputs!$B$38="pvp",15,MAX(0.1,Skills!D12-IF(TRUE=TRUE,Inputs!$B$32,0)))*(1-IF(AND(ArtifactsInput!$M$27,Inputs!$B$4="Chapter Hunt"),CHOOSE(ArtifactsInput!$N$27+1,20,24,28,32,36,40),0)/100)),0)</f>
        <v/>
      </c>
      <c r="R2337">
        <f>IF(AND(Inputs!$B$38&lt;&gt;"pvp",Inputs!$B$43&gt;0),IF(MAX(0,Inputs!$B$43-B2359)&lt;=0,0,(INT(MAX(0,Inputs!$B$43-B2359)/(IF(Inputs!$B$38="pvp",15,MAX(0.1,Skills!D12-IF(TRUE=TRUE,Inputs!$B$32,0)))*(1-IF(AND(ArtifactsInput!$M$27,Inputs!$B$4="Chapter Hunt"),CHOOSE(ArtifactsInput!$N$27+1,20,24,28,32,36,40),0)/100)))+1)),0)</f>
        <v/>
      </c>
      <c r="S2337">
        <f>IF(C2337,(H2337*N2337*IF(AND(Inputs!$B$38&lt;&gt;"pvp",Inputs!$B$43&gt;0),((Skills!F12*((R2337-1)*IF(Skills!G12&gt;0,Skills!H12/Skills!G12,1)+IF(Skills!G12&gt;0,MIN(Skills!H12,MAX(0,MAX(0,Inputs!$B$43-B2359)-((R2337-1)*(IF(Inputs!$B$38="pvp",15,MAX(0.1,Skills!D12-IF(TRUE=TRUE,Inputs!$B$32,0)))*(1-IF(AND(ArtifactsInput!$M$27,Inputs!$B$4="Chapter Hunt"),CHOOSE(ArtifactsInput!$N$27+1,20,24,28,32,36,40),0)/100)))))/Skills!G12,1)))/Inputs!$B$43),G2337*Q2337))*IF(Inputs!$B$38="pvp",1,1+(Inputs!$B$20+Skills!O12+B2353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2337*(1-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2337*(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2337*(1-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2337*(MIN(100,(Inputs!$B$9+((F2345-Calc!F20)+(F2344-Calc!F19))+(ArtifactsInput!$M$24-ArtifactsInput!$M$24)*CHOOSE(ArtifactsInput!$N$24+1,10,12,14,16,18,20)+(IF(AND(Inputs!$B$38&lt;&gt;"pvp",Inputs!$B$43=0),1,IF(IF(Inputs!$B$38="pvp",15,Inputs!$B$43)-(B2359)&lt;=0,1,MAX(0,IF(Inputs!$B$38="pvp",15,Inputs!$B$43)-MAX(5,B2359))/(IF(Inputs!$B$38="pvp",15,Inputs!$B$43)-(B2359)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37">
        <f>IF(C2337,(H2337*N2337*IF(AND(Inputs!$B$38&lt;&gt;"pvp",Inputs!$B$43&gt;0),((Skills!F12*((R2337-1)*IF(Skills!G12&gt;0,Skills!H12/Skills!G12,1)+IF(Skills!G12&gt;0,MIN(Skills!H12,MAX(0,MAX(0,Inputs!$B$43-B2359)-((R2337-1)*(IF(Inputs!$B$38="pvp",15,MAX(0.1,Skills!D12-IF(TRUE=TRUE,Inputs!$B$32,0)))*(1-IF(AND(ArtifactsInput!$M$27,Inputs!$B$4="Chapter Hunt"),CHOOSE(ArtifactsInput!$N$27+1,20,24,28,32,36,40),0)/100)))))/Skills!G12,1)))/Inputs!$B$43),G2337*Q2337))*IF(Inputs!$B$38="pvp",1,(1+(Inputs!$B$21+Skills!P12+B2353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8">
      <c r="A2338">
        <f>Skills!A13</f>
        <v/>
      </c>
      <c r="B2338">
        <f>Skills!B13</f>
        <v/>
      </c>
      <c r="C2338">
        <f>Inputs!$B$3&gt;=49</f>
        <v/>
      </c>
      <c r="D2338">
        <f>IF(Skills!C13=1,60+Inputs!$B$25+Inputs!$B$29,IF(Skills!C13=2,90+Inputs!$B$26+Inputs!$B$29,IF(Skills!C13=3,120+Inputs!$B$27+Inputs!$B$29,MAX(0,(Inputs!$B$3-100)*3)+Inputs!$B$28+Inputs!$B$29)))</f>
        <v/>
      </c>
      <c r="E2338">
        <f>INDEX(FactorTable!$B$2:$Y$301, MATCH(ROUND(MIN(300,MAX(1,D2338)),0), FactorTable!$A$2:$A$301,0), Skills!L13+1)</f>
        <v/>
      </c>
      <c r="F2338">
        <f>IF(Skills!M13=TRUE,(Skills!K13/10)*(E2338/1000),Skills!K13/10)+Skills!N13</f>
        <v/>
      </c>
      <c r="G2338">
        <f>Calc!G13</f>
        <v/>
      </c>
      <c r="H2338">
        <f>Calc!H13</f>
        <v/>
      </c>
      <c r="I2338">
        <f>IF(Skills!T13&lt;&gt;"",1+(Skills!T13/10)*(Z2328/1000)/100,1)</f>
        <v/>
      </c>
      <c r="J2338" t="inlineStr"/>
      <c r="K2338" t="inlineStr"/>
      <c r="L2338" t="inlineStr"/>
      <c r="M2338" t="inlineStr"/>
      <c r="N2338" t="inlineStr"/>
      <c r="O2338">
        <f>(1-Summary!$B$11)*S2338+Summary!$B$11*U2338</f>
        <v/>
      </c>
      <c r="P2338">
        <f>IF(B2362=0,0,O2338/B2362)</f>
        <v/>
      </c>
      <c r="Q2338">
        <f>IFERROR(1/(IF(Inputs!$B$38="pvp",15,MAX(0.1,Skills!D13-IF(TRUE=TRUE,Inputs!$B$32,0)))*(1-IF(AND(ArtifactsInput!$M$27,Inputs!$B$4="Chapter Hunt"),CHOOSE(ArtifactsInput!$N$27+1,20,24,28,32,36,40),0)/100)),0)</f>
        <v/>
      </c>
      <c r="R2338" t="n">
        <v>0</v>
      </c>
      <c r="S2338" t="n">
        <v>0</v>
      </c>
      <c r="U2338" t="n">
        <v>0</v>
      </c>
    </row>
    <row r="2339">
      <c r="A2339">
        <f>Skills!A14</f>
        <v/>
      </c>
      <c r="B2339">
        <f>Skills!B14</f>
        <v/>
      </c>
      <c r="C2339">
        <f>Inputs!$B$3&gt;=72</f>
        <v/>
      </c>
      <c r="D2339">
        <f>IF(Skills!C14=1,60+Inputs!$B$25+Inputs!$B$29,IF(Skills!C14=2,90+Inputs!$B$26+Inputs!$B$29,IF(Skills!C14=3,120+Inputs!$B$27+Inputs!$B$29,MAX(0,(Inputs!$B$3-100)*3)+Inputs!$B$28+Inputs!$B$29)))</f>
        <v/>
      </c>
      <c r="E2339">
        <f>INDEX(FactorTable!$B$2:$Y$301, MATCH(ROUND(MIN(300,MAX(1,D2339)),0), FactorTable!$A$2:$A$301,0), Skills!L14+1)</f>
        <v/>
      </c>
      <c r="F2339">
        <f>IF(Skills!M14=TRUE,(Skills!K14/10)*(E2339/1000),Skills!K14/10)+Skills!N14</f>
        <v/>
      </c>
      <c r="G2339">
        <f>Calc!G14</f>
        <v/>
      </c>
      <c r="H2339">
        <f>Calc!H14</f>
        <v/>
      </c>
      <c r="I2339">
        <f>IF(Skills!T14&lt;&gt;"",1+(Skills!T14/10)*(Z2328/1000)/100,1)</f>
        <v/>
      </c>
      <c r="J2339" t="inlineStr"/>
      <c r="K2339" t="inlineStr"/>
      <c r="L2339" t="inlineStr"/>
      <c r="M2339" t="inlineStr"/>
      <c r="N2339" t="inlineStr"/>
      <c r="O2339">
        <f>(1-Summary!$B$11)*S2339+Summary!$B$11*U2339</f>
        <v/>
      </c>
      <c r="P2339">
        <f>IF(B2362=0,0,O2339/B2362)</f>
        <v/>
      </c>
      <c r="Q2339">
        <f>IFERROR(1/(IF(Inputs!$B$38="pvp",15,MAX(0.1,Skills!D14-IF(TRUE=TRUE,Inputs!$B$32,0)))*(1-IF(AND(ArtifactsInput!$M$27,Inputs!$B$4="Chapter Hunt"),CHOOSE(ArtifactsInput!$N$27+1,20,24,28,32,36,40),0)/100)),0)</f>
        <v/>
      </c>
      <c r="R2339" t="n">
        <v>0</v>
      </c>
      <c r="S2339" t="n">
        <v>0</v>
      </c>
      <c r="U2339" t="n">
        <v>0</v>
      </c>
    </row>
    <row r="2340">
      <c r="A2340">
        <f>Skills!A15</f>
        <v/>
      </c>
      <c r="B2340">
        <f>Skills!B15</f>
        <v/>
      </c>
      <c r="C2340">
        <f>Inputs!$B$3&gt;=75</f>
        <v/>
      </c>
      <c r="D2340">
        <f>IF(Skills!C15=1,60+Inputs!$B$25+Inputs!$B$29,IF(Skills!C15=2,90+Inputs!$B$26+Inputs!$B$29,IF(Skills!C15=3,120+Inputs!$B$27+Inputs!$B$29,MAX(0,(Inputs!$B$3-100)*3)+Inputs!$B$28+Inputs!$B$29)))</f>
        <v/>
      </c>
      <c r="E2340">
        <f>INDEX(FactorTable!$B$2:$Y$301, MATCH(ROUND(MIN(300,MAX(1,D2340)),0), FactorTable!$A$2:$A$301,0), Skills!L15+1)</f>
        <v/>
      </c>
      <c r="F2340">
        <f>IF(Skills!M15=TRUE,(Skills!K15/10)*(E2340/1000),Skills!K15/10)+Skills!N15</f>
        <v/>
      </c>
      <c r="G2340">
        <f>Calc!G15</f>
        <v/>
      </c>
      <c r="H2340">
        <f>Calc!H15</f>
        <v/>
      </c>
      <c r="I2340">
        <f>IF(Skills!T15&lt;&gt;"",1+(Skills!T15/10)*(Z2328/1000)/100,1)</f>
        <v/>
      </c>
      <c r="J2340" t="inlineStr"/>
      <c r="K2340" t="inlineStr"/>
      <c r="L2340" t="inlineStr"/>
      <c r="M2340" t="inlineStr"/>
      <c r="N2340" t="inlineStr"/>
      <c r="O2340">
        <f>(1-Summary!$B$11)*S2340+Summary!$B$11*U2340</f>
        <v/>
      </c>
      <c r="P2340">
        <f>IF(B2362=0,0,O2340/B2362)</f>
        <v/>
      </c>
      <c r="Q2340">
        <f>IFERROR(1/(IF(Inputs!$B$38="pvp",15,MAX(0.1,Skills!D15-IF(TRUE=TRUE,Inputs!$B$32,0)))*(1-IF(AND(ArtifactsInput!$M$27,Inputs!$B$4="Chapter Hunt"),CHOOSE(ArtifactsInput!$N$27+1,20,24,28,32,36,40),0)/100)),0)</f>
        <v/>
      </c>
      <c r="R2340" t="n">
        <v>0</v>
      </c>
      <c r="S2340" t="n">
        <v>0</v>
      </c>
      <c r="U2340" t="n">
        <v>0</v>
      </c>
    </row>
    <row r="2341">
      <c r="A2341">
        <f>Skills!A16</f>
        <v/>
      </c>
      <c r="B2341">
        <f>Skills!B16</f>
        <v/>
      </c>
      <c r="C2341">
        <f>Inputs!$B$3&gt;=110</f>
        <v/>
      </c>
      <c r="D2341">
        <f>IF(Skills!C16=1,60+Inputs!$B$25+Inputs!$B$29,IF(Skills!C16=2,90+Inputs!$B$26+Inputs!$B$29,IF(Skills!C16=3,120+Inputs!$B$27+Inputs!$B$29,MAX(0,(Inputs!$B$3-100)*3)+Inputs!$B$28+Inputs!$B$29)))</f>
        <v/>
      </c>
      <c r="E2341">
        <f>INDEX(FactorTable!$B$2:$Y$301, MATCH(ROUND(MIN(300,MAX(1,D2341)),0), FactorTable!$A$2:$A$301,0), Skills!L16+1)</f>
        <v/>
      </c>
      <c r="F2341">
        <f>(Skills!K16/10)*(E2341/1000)*64/45+Skills!N16</f>
        <v/>
      </c>
      <c r="G2341">
        <f>Calc!G16</f>
        <v/>
      </c>
      <c r="H2341">
        <f>Calc!H16</f>
        <v/>
      </c>
      <c r="I2341">
        <f>IF(Skills!T16&lt;&gt;"",1+(Skills!T16/10)*(Z2328/1000)/100,1)</f>
        <v/>
      </c>
      <c r="J2341" t="inlineStr"/>
      <c r="K2341" t="inlineStr"/>
      <c r="L2341" t="inlineStr"/>
      <c r="M2341" t="inlineStr"/>
      <c r="N2341" t="inlineStr"/>
      <c r="O2341">
        <f>(1-Summary!$B$11)*S2341+Summary!$B$11*U2341</f>
        <v/>
      </c>
      <c r="P2341">
        <f>IF(B2362=0,0,O2341/B2362)</f>
        <v/>
      </c>
      <c r="Q2341">
        <f>IFERROR(1/(IF(Inputs!$B$38="pvp",15,MAX(0.1,Skills!D16-IF(TRUE=TRUE,Inputs!$B$32,0)))*(1-IF(AND(ArtifactsInput!$M$27,Inputs!$B$4="Chapter Hunt"),CHOOSE(ArtifactsInput!$N$27+1,20,24,28,32,36,40),0)/100)),0)</f>
        <v/>
      </c>
      <c r="R2341">
        <f>IF(AND(Inputs!$B$38&lt;&gt;"pvp",Inputs!$B$43&gt;0),IF(Inputs!$B$43&lt;=0,0,(INT(Inputs!$B$43/(IF(Inputs!$B$38="pvp",15,MAX(0.1,Skills!D16-IF(TRUE=TRUE,Inputs!$B$32,0)))*(1-IF(AND(ArtifactsInput!$M$27,Inputs!$B$4="Chapter Hunt"),CHOOSE(ArtifactsInput!$N$27+1,20,24,28,32,36,40),0)/100)))+1)),0)</f>
        <v/>
      </c>
      <c r="S2341" t="n">
        <v>0</v>
      </c>
      <c r="U2341" t="n">
        <v>0</v>
      </c>
    </row>
    <row r="2342">
      <c r="A2342">
        <f>Skills!A17</f>
        <v/>
      </c>
      <c r="B2342">
        <f>Skills!B17</f>
        <v/>
      </c>
      <c r="C2342">
        <f>Inputs!$B$3&gt;=33</f>
        <v/>
      </c>
      <c r="D2342">
        <f>IF(Skills!C17=1,60+Inputs!$B$25+Inputs!$B$29,IF(Skills!C17=2,90+Inputs!$B$26+Inputs!$B$29,IF(Skills!C17=3,120+Inputs!$B$27+Inputs!$B$29,MAX(0,(Inputs!$B$3-100)*3)+Inputs!$B$28+Inputs!$B$29)))</f>
        <v/>
      </c>
      <c r="E2342">
        <f>INDEX(FactorTable!$B$2:$Y$301, MATCH(ROUND(MIN(300,MAX(1,D2342)),0), FactorTable!$A$2:$A$301,0), Skills!L17+1)</f>
        <v/>
      </c>
      <c r="F2342">
        <f>IF(Skills!M17=TRUE,(Skills!K17/10)*(E2342/1000),Skills!K17/10)+Skills!N17</f>
        <v/>
      </c>
      <c r="G2342">
        <f>Calc!G17</f>
        <v/>
      </c>
      <c r="H2342">
        <f>Calc!H17</f>
        <v/>
      </c>
      <c r="I2342">
        <f>IF(Skills!T17&lt;&gt;"",1+(Skills!T17/10)*(Z2328/1000)/100,1)</f>
        <v/>
      </c>
      <c r="J2342" t="inlineStr"/>
      <c r="K2342" t="inlineStr"/>
      <c r="L2342" t="inlineStr"/>
      <c r="M2342" t="inlineStr"/>
      <c r="N2342" t="inlineStr"/>
      <c r="O2342">
        <f>(1-Summary!$B$11)*S2342+Summary!$B$11*U2342</f>
        <v/>
      </c>
      <c r="P2342">
        <f>IF(B2362=0,0,O2342/B2362)</f>
        <v/>
      </c>
      <c r="Q2342">
        <f>IFERROR(1/(IF(Inputs!$B$38="pvp",15,MAX(0.1,Skills!D17-IF(TRUE=TRUE,Inputs!$B$32,0)))*(1-IF(AND(ArtifactsInput!$M$27,Inputs!$B$4="Chapter Hunt"),CHOOSE(ArtifactsInput!$N$27+1,20,24,28,32,36,40),0)/100)),0)</f>
        <v/>
      </c>
      <c r="R2342" t="n">
        <v>0</v>
      </c>
      <c r="S2342" t="n">
        <v>0</v>
      </c>
      <c r="U2342" t="n">
        <v>0</v>
      </c>
    </row>
    <row r="2343">
      <c r="A2343">
        <f>Skills!A18</f>
        <v/>
      </c>
      <c r="B2343">
        <f>Skills!B18</f>
        <v/>
      </c>
      <c r="C2343">
        <f>Inputs!$B$3&gt;=43</f>
        <v/>
      </c>
      <c r="D2343">
        <f>IF(Skills!C18=1,60+Inputs!$B$25+Inputs!$B$29,IF(Skills!C18=2,90+Inputs!$B$26+Inputs!$B$29,IF(Skills!C18=3,120+Inputs!$B$27+Inputs!$B$29,MAX(0,(Inputs!$B$3-100)*3)+Inputs!$B$28+Inputs!$B$29)))</f>
        <v/>
      </c>
      <c r="E2343">
        <f>INDEX(FactorTable!$B$2:$Y$301, MATCH(ROUND(MIN(300,MAX(1,D2343)),0), FactorTable!$A$2:$A$301,0), Skills!L18+1)</f>
        <v/>
      </c>
      <c r="F2343">
        <f>IF(Skills!M18=TRUE,(Skills!K18/10)*(E2343/1000),Skills!K18/10)+Skills!N18</f>
        <v/>
      </c>
      <c r="G2343">
        <f>Calc!G18</f>
        <v/>
      </c>
      <c r="H2343">
        <f>Calc!H18</f>
        <v/>
      </c>
      <c r="I2343">
        <f>IF(Skills!T18&lt;&gt;"",1+(Skills!T18/10)*(Z2328/1000)/100,1)</f>
        <v/>
      </c>
      <c r="J2343" t="inlineStr"/>
      <c r="K2343" t="inlineStr"/>
      <c r="L2343" t="inlineStr"/>
      <c r="M2343" t="inlineStr"/>
      <c r="N2343" t="inlineStr"/>
      <c r="O2343">
        <f>(1-Summary!$B$11)*S2343+Summary!$B$11*U2343</f>
        <v/>
      </c>
      <c r="P2343">
        <f>IF(B2362=0,0,O2343/B2362)</f>
        <v/>
      </c>
      <c r="Q2343">
        <f>IFERROR(1/(IF(Inputs!$B$38="pvp",15,MAX(0.1,Skills!D18-IF(TRUE=TRUE,Inputs!$B$32,0)))*(1-IF(AND(ArtifactsInput!$M$27,Inputs!$B$4="Chapter Hunt"),CHOOSE(ArtifactsInput!$N$27+1,20,24,28,32,36,40),0)/100)),0)</f>
        <v/>
      </c>
      <c r="R2343" t="n">
        <v>0</v>
      </c>
      <c r="S2343" t="n">
        <v>0</v>
      </c>
      <c r="U2343" t="n">
        <v>0</v>
      </c>
    </row>
    <row r="2344">
      <c r="A2344">
        <f>Skills!A19</f>
        <v/>
      </c>
      <c r="B2344">
        <f>Skills!B19</f>
        <v/>
      </c>
      <c r="C2344">
        <f>Inputs!$B$3&gt;=50</f>
        <v/>
      </c>
      <c r="D2344">
        <f>IF(Skills!C19=1,60+Inputs!$B$25+Inputs!$B$29,IF(Skills!C19=2,90+Inputs!$B$26+Inputs!$B$29,IF(Skills!C19=3,120+Inputs!$B$27+Inputs!$B$29,MAX(0,(Inputs!$B$3-100)*3)+Inputs!$B$28+Inputs!$B$29)))</f>
        <v/>
      </c>
      <c r="E2344">
        <f>INDEX(FactorTable!$B$2:$Y$301, MATCH(ROUND(MIN(300,MAX(1,D2344)),0), FactorTable!$A$2:$A$301,0), Skills!L19+1)</f>
        <v/>
      </c>
      <c r="F2344">
        <f>IF(Skills!M19=TRUE,(Skills!K19/10)*(E2344/1000),Skills!K19/10)+Skills!N19</f>
        <v/>
      </c>
      <c r="G2344">
        <f>Calc!G19</f>
        <v/>
      </c>
      <c r="H2344">
        <f>Calc!H19</f>
        <v/>
      </c>
      <c r="I2344">
        <f>IF(Skills!T19&lt;&gt;"",1+(Skills!T19/10)*(Z2328/1000)/100,1)</f>
        <v/>
      </c>
      <c r="J2344" t="inlineStr"/>
      <c r="K2344" t="inlineStr"/>
      <c r="L2344" t="inlineStr"/>
      <c r="M2344" t="inlineStr"/>
      <c r="N2344" t="inlineStr"/>
      <c r="O2344">
        <f>(1-Summary!$B$11)*S2344+Summary!$B$11*U2344</f>
        <v/>
      </c>
      <c r="P2344">
        <f>IF(B2362=0,0,O2344/B2362)</f>
        <v/>
      </c>
      <c r="Q2344">
        <f>IFERROR(1/(IF(Inputs!$B$38="pvp",15,MAX(0.1,Skills!D19-IF(TRUE=TRUE,Inputs!$B$32,0)))*(1-IF(AND(ArtifactsInput!$M$27,Inputs!$B$4="Chapter Hunt"),CHOOSE(ArtifactsInput!$N$27+1,20,24,28,32,36,40),0)/100)),0)</f>
        <v/>
      </c>
      <c r="R2344" t="n">
        <v>0</v>
      </c>
      <c r="S2344" t="n">
        <v>0</v>
      </c>
      <c r="U2344" t="n">
        <v>0</v>
      </c>
    </row>
    <row r="2345">
      <c r="A2345">
        <f>Skills!A20</f>
        <v/>
      </c>
      <c r="B2345">
        <f>Skills!B20</f>
        <v/>
      </c>
      <c r="C2345">
        <f>Inputs!$B$3&gt;=74</f>
        <v/>
      </c>
      <c r="D2345">
        <f>IF(Skills!C20=1,60+Inputs!$B$25+Inputs!$B$29,IF(Skills!C20=2,90+Inputs!$B$26+Inputs!$B$29,IF(Skills!C20=3,120+Inputs!$B$27+Inputs!$B$29,MAX(0,(Inputs!$B$3-100)*3)+Inputs!$B$28+Inputs!$B$29)))</f>
        <v/>
      </c>
      <c r="E2345">
        <f>INDEX(FactorTable!$B$2:$Y$301, MATCH(ROUND(MIN(300,MAX(1,D2345)),0), FactorTable!$A$2:$A$301,0), Skills!L20+1)</f>
        <v/>
      </c>
      <c r="F2345">
        <f>IF(Skills!M20=TRUE,(Skills!K20/10)*(E2345/1000),Skills!K20/10)+Skills!N20</f>
        <v/>
      </c>
      <c r="G2345">
        <f>Calc!G20</f>
        <v/>
      </c>
      <c r="H2345">
        <f>Calc!H20</f>
        <v/>
      </c>
      <c r="I2345">
        <f>IF(Skills!T20&lt;&gt;"",1+(Skills!T20/10)*(Z2328/1000)/100,1)</f>
        <v/>
      </c>
      <c r="J2345" t="inlineStr"/>
      <c r="K2345" t="inlineStr"/>
      <c r="L2345" t="inlineStr"/>
      <c r="M2345" t="inlineStr"/>
      <c r="N2345" t="inlineStr"/>
      <c r="O2345">
        <f>(1-Summary!$B$11)*S2345+Summary!$B$11*U2345</f>
        <v/>
      </c>
      <c r="P2345">
        <f>IF(B2362=0,0,O2345/B2362)</f>
        <v/>
      </c>
      <c r="Q2345">
        <f>IFERROR(1/(IF(Inputs!$B$38="pvp",15,MAX(0.1,Skills!D20-IF(TRUE=TRUE,Inputs!$B$32,0)))*(1-IF(AND(ArtifactsInput!$M$27,Inputs!$B$4="Chapter Hunt"),CHOOSE(ArtifactsInput!$N$27+1,20,24,28,32,36,40),0)/100)),0)</f>
        <v/>
      </c>
      <c r="R2345" t="n">
        <v>0</v>
      </c>
      <c r="S2345" t="n">
        <v>0</v>
      </c>
      <c r="U2345" t="n">
        <v>0</v>
      </c>
    </row>
    <row r="2346">
      <c r="A2346">
        <f>Skills!A21</f>
        <v/>
      </c>
      <c r="B2346">
        <f>Skills!B21</f>
        <v/>
      </c>
      <c r="C2346">
        <f>Inputs!$B$3&gt;=74</f>
        <v/>
      </c>
      <c r="D2346">
        <f>IF(Skills!C21=1,60+Inputs!$B$25+Inputs!$B$29,IF(Skills!C21=2,90+Inputs!$B$26+Inputs!$B$29,IF(Skills!C21=3,120+Inputs!$B$27+Inputs!$B$29,MAX(0,(Inputs!$B$3-100)*3)+Inputs!$B$28+Inputs!$B$29)))</f>
        <v/>
      </c>
      <c r="E2346">
        <f>INDEX(FactorTable!$B$2:$Y$301, MATCH(ROUND(MIN(300,MAX(1,D2346)),0), FactorTable!$A$2:$A$301,0), Skills!L21+1)</f>
        <v/>
      </c>
      <c r="F2346">
        <f>IF(Skills!M21=TRUE,(Skills!K21/10)*(E2346/1000),Skills!K21/10)+Skills!N21</f>
        <v/>
      </c>
      <c r="G2346">
        <f>Calc!G21</f>
        <v/>
      </c>
      <c r="H2346">
        <f>Calc!H21</f>
        <v/>
      </c>
      <c r="I2346">
        <f>IF(Skills!T21&lt;&gt;"",1+(Skills!T21/10)*(Z2328/1000)/100,1)</f>
        <v/>
      </c>
      <c r="J2346" t="inlineStr"/>
      <c r="K2346" t="inlineStr"/>
      <c r="L2346" t="inlineStr"/>
      <c r="M2346" t="inlineStr"/>
      <c r="N2346" t="inlineStr"/>
      <c r="O2346">
        <f>(1-Summary!$B$11)*S2346+Summary!$B$11*U2346</f>
        <v/>
      </c>
      <c r="P2346">
        <f>IF(B2362=0,0,O2346/B2362)</f>
        <v/>
      </c>
      <c r="Q2346">
        <f>IFERROR(1/(IF(Inputs!$B$38="pvp",15,MAX(0.1,Skills!D21-IF(TRUE=TRUE,Inputs!$B$32,0)))*(1-IF(AND(ArtifactsInput!$M$27,Inputs!$B$4="Chapter Hunt"),CHOOSE(ArtifactsInput!$N$27+1,20,24,28,32,36,40),0)/100)),0)</f>
        <v/>
      </c>
      <c r="R2346" t="n">
        <v>0</v>
      </c>
      <c r="S2346" t="n">
        <v>0</v>
      </c>
      <c r="U2346" t="n">
        <v>0</v>
      </c>
    </row>
    <row r="2347">
      <c r="A2347">
        <f>Skills!A22</f>
        <v/>
      </c>
      <c r="B2347">
        <f>Skills!B22</f>
        <v/>
      </c>
      <c r="C2347">
        <f>Inputs!$B$3&gt;=117</f>
        <v/>
      </c>
      <c r="D2347">
        <f>IF(Skills!C22=1,60+Inputs!$B$25+Inputs!$B$29,IF(Skills!C22=2,90+Inputs!$B$26+Inputs!$B$29,IF(Skills!C22=3,120+Inputs!$B$27+Inputs!$B$29,MAX(0,(Inputs!$B$3-100)*3)+Inputs!$B$28+Inputs!$B$29)))</f>
        <v/>
      </c>
      <c r="E2347">
        <f>INDEX(FactorTable!$B$2:$Y$301, MATCH(ROUND(MIN(300,MAX(1,D2347)),0), FactorTable!$A$2:$A$301,0), Skills!L22+1)</f>
        <v/>
      </c>
      <c r="F2347">
        <f>IF(Skills!M22=TRUE,(Skills!K22/10)*(E2347/1000),Skills!K22/10)+Skills!N22</f>
        <v/>
      </c>
      <c r="G2347">
        <f>Calc!G22</f>
        <v/>
      </c>
      <c r="H2347">
        <f>Calc!H22</f>
        <v/>
      </c>
      <c r="I2347">
        <f>IF(Skills!T22&lt;&gt;"",1+(Skills!T22/10)*(Z2328/1000)/100,1)</f>
        <v/>
      </c>
      <c r="J2347" t="inlineStr"/>
      <c r="K2347" t="inlineStr"/>
      <c r="L2347" t="inlineStr"/>
      <c r="M2347" t="inlineStr"/>
      <c r="N2347" t="inlineStr"/>
      <c r="O2347">
        <f>(1-Summary!$B$11)*S2347+Summary!$B$11*U2347</f>
        <v/>
      </c>
      <c r="P2347">
        <f>IF(B2362=0,0,O2347/B2362)</f>
        <v/>
      </c>
      <c r="Q2347">
        <f>IFERROR(1/(IF(Inputs!$B$38="pvp",15,MAX(0.1,Skills!D22-IF(TRUE=TRUE,Inputs!$B$32,0)))*(1-IF(AND(ArtifactsInput!$M$27,Inputs!$B$4="Chapter Hunt"),CHOOSE(ArtifactsInput!$N$27+1,20,24,28,32,36,40),0)/100)),0)</f>
        <v/>
      </c>
      <c r="R2347" t="n">
        <v>0</v>
      </c>
      <c r="S2347" t="n">
        <v>0</v>
      </c>
      <c r="U2347" t="n">
        <v>0</v>
      </c>
    </row>
    <row r="2348">
      <c r="A2348">
        <f>Skills!A23</f>
        <v/>
      </c>
      <c r="B2348">
        <f>Skills!B23</f>
        <v/>
      </c>
      <c r="C2348">
        <f>Inputs!$B$3&gt;=120</f>
        <v/>
      </c>
      <c r="D2348">
        <f>IF(Skills!C23=1,60+Inputs!$B$25+Inputs!$B$29,IF(Skills!C23=2,90+Inputs!$B$26+Inputs!$B$29,IF(Skills!C23=3,120+Inputs!$B$27+Inputs!$B$29,MAX(0,(Inputs!$B$3-100)*3)+Inputs!$B$28+Inputs!$B$29)))</f>
        <v/>
      </c>
      <c r="E2348">
        <f>INDEX(FactorTable!$B$2:$Y$301, MATCH(ROUND(MIN(300,MAX(1,D2348)),0), FactorTable!$A$2:$A$301,0), Skills!L23+1)</f>
        <v/>
      </c>
      <c r="F2348">
        <f>IF(Skills!M23=TRUE,(Skills!K23/10)*(E2348/1000),Skills!K23/10)+Skills!N23</f>
        <v/>
      </c>
      <c r="G2348">
        <f>Calc!G23</f>
        <v/>
      </c>
      <c r="H2348">
        <f>Calc!H23</f>
        <v/>
      </c>
      <c r="I2348">
        <f>IF(Skills!T23&lt;&gt;"",1+(Skills!T23/10)*(Z2328/1000)/100,1)</f>
        <v/>
      </c>
      <c r="J2348" t="inlineStr"/>
      <c r="K2348" t="inlineStr"/>
      <c r="L2348" t="inlineStr"/>
      <c r="M2348" t="inlineStr"/>
      <c r="N2348" t="inlineStr"/>
      <c r="O2348">
        <f>(1-Summary!$B$11)*S2348+Summary!$B$11*U2348</f>
        <v/>
      </c>
      <c r="P2348">
        <f>IF(B2362=0,0,O2348/B2362)</f>
        <v/>
      </c>
      <c r="Q2348">
        <f>IFERROR(1/(IF(Inputs!$B$38="pvp",15,MAX(0.1,Skills!D23-IF(TRUE=TRUE,Inputs!$B$32,0)))*(1-IF(AND(ArtifactsInput!$M$27,Inputs!$B$4="Chapter Hunt"),CHOOSE(ArtifactsInput!$N$27+1,20,24,28,32,36,40),0)/100)),0)</f>
        <v/>
      </c>
      <c r="R2348" t="n">
        <v>0</v>
      </c>
      <c r="S2348" t="n">
        <v>0</v>
      </c>
      <c r="U2348" t="n">
        <v>0</v>
      </c>
    </row>
    <row r="2349">
      <c r="A2349">
        <f>Skills!A24</f>
        <v/>
      </c>
      <c r="B2349">
        <f>Skills!B24</f>
        <v/>
      </c>
      <c r="C2349">
        <f>TRUE</f>
        <v/>
      </c>
      <c r="D2349">
        <f>IF(Skills!C24=1,60+Inputs!$B$25+Inputs!$B$29,IF(Skills!C24=2,90+Inputs!$B$26+Inputs!$B$29,IF(Skills!C24=3,120+Inputs!$B$27+Inputs!$B$29,MAX(0,(Inputs!$B$3-100)*3)+Inputs!$B$28+Inputs!$B$29)))</f>
        <v/>
      </c>
      <c r="E2349">
        <f>INDEX(FactorTable!$B$2:$Y$301, MATCH(ROUND(MIN(300,MAX(1,D2349)),0), FactorTable!$A$2:$A$301,0), Skills!L24+1)</f>
        <v/>
      </c>
      <c r="F2349">
        <f>IF(Skills!M24=TRUE,(Skills!K24/10)*(E2349/1000),Skills!K24/10)+Skills!N24</f>
        <v/>
      </c>
      <c r="G2349">
        <f>Calc!G24</f>
        <v/>
      </c>
      <c r="H2349">
        <f>Calc!H24</f>
        <v/>
      </c>
      <c r="I2349">
        <f>IF(Skills!T24&lt;&gt;"",1+(Skills!T24/10)*(Z2328/1000)/100,1)</f>
        <v/>
      </c>
      <c r="J2349" t="inlineStr"/>
      <c r="K2349" t="inlineStr"/>
      <c r="L2349" t="inlineStr"/>
      <c r="M2349" t="inlineStr"/>
      <c r="N2349" t="inlineStr"/>
      <c r="O2349">
        <f>(1-Summary!$B$11)*S2349+Summary!$B$11*U2349</f>
        <v/>
      </c>
      <c r="P2349">
        <f>IF(B2362=0,0,O2349/B2362)</f>
        <v/>
      </c>
      <c r="Q2349">
        <f>IFERROR(1/(IF(Inputs!$B$38="pvp",15,MAX(0.1,Skills!D24-IF(TRUE=TRUE,Inputs!$B$32,0)))*(1-IF(AND(ArtifactsInput!$M$27,Inputs!$B$4="Chapter Hunt"),CHOOSE(ArtifactsInput!$N$27+1,20,24,28,32,36,40),0)/100)),0)</f>
        <v/>
      </c>
      <c r="R2349">
        <f>IF(AND(Inputs!$B$38&lt;&gt;"pvp",Inputs!$B$43&gt;0),IF(Inputs!$B$43&lt;=0,0,(INT(Inputs!$B$43/(IF(Inputs!$B$38="pvp",15,MAX(0.1,Skills!D24-IF(TRUE=TRUE,Inputs!$B$32,0)))*(1-IF(AND(ArtifactsInput!$M$27,Inputs!$B$4="Chapter Hunt"),CHOOSE(ArtifactsInput!$N$27+1,20,24,28,32,36,40),0)/100)))+1)),0)</f>
        <v/>
      </c>
      <c r="S2349" t="n">
        <v>0</v>
      </c>
      <c r="U2349" t="n">
        <v>0</v>
      </c>
    </row>
    <row r="2352">
      <c r="A2352" t="inlineStr">
        <is>
          <t>Average Buff Multiplier (Magic Guard + Meditation + Artifact Attack%, summed; then Infinity)</t>
        </is>
      </c>
      <c r="B2352">
        <f>(1+(IF(C2328=TRUE,F2328*IF(AND(Inputs!$B$38&lt;&gt;"pvp",Inputs!$B$43&gt;0),(((R2328-1)*MIN((Skills!S3*(1+(Inputs!$B$34)/100)),(1/Q2328))+MIN((Skills!S3*(1+(Inputs!$B$34)/100)),MAX(0,Inputs!$B$43-((R2328-1)*(1/Q2328)))))/Inputs!$B$43),IF(Inputs!$B$38="pvp",MIN((Skills!S3*(1+(Inputs!$B$34)/100)),15)/15,MIN(1,(Skills!S3*(1+(Inputs!$B$34)/100))/(1/Q2328)))),0)+IF(C2329=TRUE,F2329*IF(AND(Inputs!$B$38&lt;&gt;"pvp",Inputs!$B$43&gt;0),(((R2329-1)*MIN((Skills!S4*(1+(Inputs!$B$34)/100)),(1/Q2329))+MIN((Skills!S4*(1+(Inputs!$B$34)/100)),MAX(0,Inputs!$B$43-((R2329-1)*(1/Q2329)))))/Inputs!$B$43),IF(Inputs!$B$38="pvp",MIN((Skills!S4*(1+(Inputs!$B$34)/100)),15)/15,MIN(1,(Skills!S4*(1+(Inputs!$B$34)/100))/(1/Q2329)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2341=TRUE,(1+F2341*IF(AND(Inputs!$B$38&lt;&gt;"pvp",Inputs!$B$43&gt;0),(((R2341-1)*MIN((Skills!S16*(1+(Inputs!$B$34)/100)),(1/Q2341))+MIN((Skills!S16*(1+(Inputs!$B$34)/100)),MAX(0,Inputs!$B$43-((R2341-1)*(1/Q2341)))))/Inputs!$B$43),IF(Inputs!$B$38="pvp",MIN((Skills!S16*(1+(Inputs!$B$34)/100)),15)/15,MIN(1,(Skills!S16*(1+(Inputs!$B$34)/100))/(1/Q2341))))/100),1)</f>
        <v/>
      </c>
    </row>
    <row r="2353">
      <c r="A2353" t="inlineStr">
        <is>
          <t>Monster Damage Taken Bonus % (Freezing Breath - Weaken + Elemental Reset + Artifact Enemy Damage Taken, summed)</t>
        </is>
      </c>
      <c r="B2353">
        <f>IF(Inputs!$B$3&gt;=118,15*IF(Inputs!$B$38="pvp",MIN((30*(1+(Inputs!$B$34)/100)),15)/15,MIN(1,(30*(1+(Inputs!$B$34)/100))/(1/Q2333))),0)+IF(C2339=TRUE,F2339,0)+(IF(AND(ArtifactsInput!$M$35,Inputs!$B$4&lt;&gt;"Chapter Hunt"),CHOOSE(ArtifactsInput!$N$35+1,15,18,21,24,27,30)*(1-EXP(-(0.2*B2356)*5)),0)+IF(AND(ArtifactsInput!$M$22,Inputs!$B$4&lt;&gt;"Chapter Hunt"),CHOOSE(ArtifactsInput!$N$22+1,10,12,14,16,18,20)*((0*(((0.15*B2356*5))^0/1)+1*(((0.15*B2356*5))^1/1)+2*(((0.15*B2356*5))^2/2)+3*(((0.15*B2356*5))^3/6)+4*(((0.15*B2356*5))^4/24)+5*(((0.15*B2356*5))^5/120))/((((0.15*B2356*5))^0/1)+(((0.15*B2356*5))^1/1)+(((0.15*B2356*5))^2/2)+(((0.15*B2356*5))^3/6)+(((0.15*B2356*5))^4/24)+(((0.15*B2356*5))^5/120))),0))</f>
        <v/>
      </c>
    </row>
    <row r="2354">
      <c r="A2354" t="inlineStr">
        <is>
          <t>Damage % Bonus (Frozen Break + Frost Clutch, flat)</t>
        </is>
      </c>
      <c r="B2354">
        <f>IF(Inputs!$B$3&gt;=66,15,0)+IF(Inputs!$B$3&gt;=98,10,0)+IF(Inputs!$B$3&gt;=125,20,0)</f>
        <v/>
      </c>
    </row>
    <row r="2355">
      <c r="A2355" t="inlineStr">
        <is>
          <t>Attack Speed Bonus % (MP Eater - MP Boost, always-on + Nimble Feet, duty-cycle averaged)</t>
        </is>
      </c>
      <c r="B2355">
        <f>IF(C2338=TRUE,F2338+(F2342-Calc!F17),0)+((C2349=TRUE)*F2349*IF(AND(Inputs!$B$38&lt;&gt;"pvp",Inputs!$B$43&gt;0),(((R2349-1)*MIN((Skills!S24*(1+(Inputs!$B$34)/100)),(1/Q2349))+MIN((Skills!S24*(1+(Inputs!$B$34)/100)),MAX(0,Inputs!$B$43-((R2349-1)*(1/Q2349)))))/Inputs!$B$43),IF(Inputs!$B$38="pvp",MIN((Skills!S24*(1+(Inputs!$B$34)/100)),15)/15,MIN(1,(Skills!S24*(1+(Inputs!$B$34)/100))/(1/Q2349)))))</f>
        <v/>
      </c>
    </row>
    <row r="2356">
      <c r="A2356" t="inlineStr">
        <is>
          <t>Actions Per Second</t>
        </is>
      </c>
      <c r="B2356">
        <f>1+MIN(150,150*(1-(1-(Inputs!$B$11+(ArtifactsInput!$M$15-ArtifactsInput!$M$15)*CHOOSE(ArtifactsInput!$N$15+1,8,9.6,11.2,12.8,14.4,16))/150)*(1-B2355/150)))/100</f>
        <v/>
      </c>
    </row>
    <row r="2357">
      <c r="A2357" t="inlineStr">
        <is>
          <t>Skill + Buff Cast Rate</t>
        </is>
      </c>
      <c r="B2357">
        <f>IF(AND(Inputs!$B$38&lt;&gt;"pvp",Inputs!$B$43&gt;0),SUMPRODUCT((Skills!E2:E24=TRUE)*(C2327:C2349=TRUE)*R2327:R2349)/Inputs!$B$43,SUMPRODUCT((Skills!E2:E24=TRUE)*(C2327:C2349=TRUE)*Q2327:Q2349))</f>
        <v/>
      </c>
    </row>
    <row r="2358">
      <c r="A2358" t="inlineStr">
        <is>
          <t>Chain Lightning Casts Per Second</t>
        </is>
      </c>
      <c r="B2358">
        <f>MAX(0,B2356-B2357)</f>
        <v/>
      </c>
    </row>
    <row r="2359">
      <c r="A2359" t="inlineStr">
        <is>
          <t>Buff-Casting Startup Delay (s, fixed-duration only)</t>
        </is>
      </c>
      <c r="B2359">
        <f>IF(AND(Inputs!$B$38&lt;&gt;"pvp",Inputs!$B$43&gt;0),SUMPRODUCT((Skills!S2:S24&gt;0)*(Skills!E2:E24=TRUE)*(C2327:C2349=TRUE))/B2356,0)</f>
        <v/>
      </c>
    </row>
    <row r="2360">
      <c r="A2360" t="inlineStr">
        <is>
          <t>Boss-Only Total DPS (this block's swept value)</t>
        </is>
      </c>
      <c r="B2360">
        <f>SUM(S2327:S2349)</f>
        <v/>
      </c>
    </row>
    <row r="2361">
      <c r="A2361" t="inlineStr">
        <is>
          <t>Normal-Only Total DPS (this block's swept value)</t>
        </is>
      </c>
      <c r="B2361">
        <f>SUM(U2327:U2349)</f>
        <v/>
      </c>
    </row>
    <row r="2362">
      <c r="A2362" s="6" t="inlineStr">
        <is>
          <t>TOTAL DPS</t>
        </is>
      </c>
      <c r="B2362" s="6">
        <f>SUM(O2327:O2349)</f>
        <v/>
      </c>
    </row>
    <row r="2363">
      <c r="A2363" t="inlineStr">
        <is>
          <t>Blizzard Final Attack trigger rate (this block's own Q/R)</t>
        </is>
      </c>
      <c r="B2363">
        <f>IF(AND(Inputs!$B$38&lt;&gt;"pvp",Inputs!$B$43&gt;0),(((C2330=TRUE)*R2330*1)+((C2331=TRUE)*R2331*1)+((C2333=TRUE)*R2333*1)+((C2334=TRUE)*R2334*3)+((C2336=TRUE)*R2336*1))/Inputs!$B$43,((C2330=TRUE)*Q2330*1)+((C2331=TRUE)*Q2331*1)+((C2333=TRUE)*Q2333*1)+((C2334=TRUE)*Q2334*3)+((C2336=TRUE)*Q2336*1))+B2358</f>
        <v/>
      </c>
    </row>
    <row r="2366">
      <c r="A2366" s="6" t="inlineStr">
        <is>
          <t>Stat: Horn Flute (Equip)</t>
        </is>
      </c>
    </row>
    <row r="2367">
      <c r="A2367" s="5" t="inlineStr">
        <is>
          <t>Key</t>
        </is>
      </c>
      <c r="B2367" s="5" t="inlineStr">
        <is>
          <t>Name</t>
        </is>
      </c>
      <c r="C2367" s="5" t="inlineStr">
        <is>
          <t>Unlocked</t>
        </is>
      </c>
      <c r="D2367" s="5" t="inlineStr">
        <is>
          <t>InputLevel</t>
        </is>
      </c>
      <c r="E2367" s="5" t="inlineStr">
        <is>
          <t>Factor</t>
        </is>
      </c>
      <c r="F2367" s="5" t="inlineStr">
        <is>
          <t>CoefficientPercent</t>
        </is>
      </c>
      <c r="G2367" s="5" t="inlineStr">
        <is>
          <t>EffectiveHits</t>
        </is>
      </c>
      <c r="H2367" s="5" t="inlineStr">
        <is>
          <t>ProcProbability</t>
        </is>
      </c>
      <c r="I2367" s="5" t="inlineStr">
        <is>
          <t>MapleHeroMultiplier</t>
        </is>
      </c>
      <c r="J2367" s="5" t="inlineStr">
        <is>
          <t>BaseDamage</t>
        </is>
      </c>
      <c r="K2367" s="5" t="inlineStr">
        <is>
          <t>BaseHitDamage</t>
        </is>
      </c>
      <c r="L2367" s="5" t="inlineStr">
        <is>
          <t>NonCritAvg</t>
        </is>
      </c>
      <c r="M2367" s="5" t="inlineStr">
        <is>
          <t>CritAvg</t>
        </is>
      </c>
      <c r="N2367" s="5" t="inlineStr">
        <is>
          <t>ExpectedDamage(perHit)</t>
        </is>
      </c>
      <c r="O2367" s="5" t="inlineStr">
        <is>
          <t>DPS</t>
        </is>
      </c>
      <c r="P2367" s="5" t="inlineStr">
        <is>
          <t>% of Total</t>
        </is>
      </c>
      <c r="R2367" t="inlineStr">
        <is>
          <t>helpers</t>
        </is>
      </c>
    </row>
    <row r="2368">
      <c r="A2368">
        <f>Skills!A2</f>
        <v/>
      </c>
      <c r="B2368">
        <f>Skills!B2</f>
        <v/>
      </c>
      <c r="C2368">
        <f>Inputs!$B$3&gt;=100</f>
        <v/>
      </c>
      <c r="D2368" t="inlineStr"/>
      <c r="E2368" t="inlineStr"/>
      <c r="F2368">
        <f>T2370+Skills!N2</f>
        <v/>
      </c>
      <c r="G2368">
        <f>Calc!G2</f>
        <v/>
      </c>
      <c r="H2368">
        <f>Calc!H2</f>
        <v/>
      </c>
      <c r="I2368">
        <f>IF(Skills!T2&lt;&gt;"",1+(Skills!T2/10)*(Z2369/1000)/100,1)</f>
        <v/>
      </c>
      <c r="J2368">
        <f>((Inputs!$B$6*(1+Inputs!$B$7/100))+(((Inputs!$B$12*(1+Inputs!$B$13/100))-(Inputs!$B$12*(1+Inputs!$B$13/100)))+0.25*(Inputs!$B$14-Inputs!$B$14))*(1+Inputs!$B$7/100))*(F2368/100)</f>
        <v/>
      </c>
      <c r="K2368">
        <f>J2368*(1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2="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2368)</f>
        <v/>
      </c>
      <c r="L2368">
        <f>K2368*(MIN(Inputs!$B$22+(F2384-Calc!F18),(Inputs!$B$23+(IF(ArtifactsInput!$M$15,CHOOSE(ArtifactsInput!$N$15+1,25,30,35,40,45,50)/100*(Inputs!$B$11-Inputs!$B$11),0))))/100+(Inputs!$B$23+(IF(ArtifactsInput!$M$15,CHOOSE(ArtifactsInput!$N$15+1,25,30,35,40,45,50)/100*(Inputs!$B$11-Inputs!$B$11),0)))/100)/2</f>
        <v/>
      </c>
      <c r="M2368">
        <f>L2368*(1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8">
        <f>L2368*(1-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2368*(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8">
        <f>(1-Summary!$B$11)*S2368+Summary!$B$11*U2368</f>
        <v/>
      </c>
      <c r="P2368">
        <f>IF(B2403=0,0,O2368/B2403)</f>
        <v/>
      </c>
      <c r="Q2368">
        <f>IFERROR(1/(IF(Inputs!$B$38="pvp",15,MAX(0.1,Skills!D2-IF(TRUE=TRUE,Inputs!$B$32,0)))*(1-IF(AND(ArtifactsInput!$M$27,Inputs!$B$4="Chapter Hunt"),CHOOSE(ArtifactsInput!$N$27+1,20,24,28,32,36,40),0)/100)),0)</f>
        <v/>
      </c>
      <c r="R2368" t="n">
        <v>0</v>
      </c>
      <c r="S2368">
        <f>IF(C2368,(Skills!F2*N2368*B2399)*IF(Inputs!$B$38="pvp",1,1+(Inputs!$B$20+Skills!O2+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2368*(1-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2368*(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2368*(1-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2368*(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368">
        <f>MAX(0,(Inputs!$B$3-100)*3)+Inputs!$B$28+Inputs!$B$29</f>
        <v/>
      </c>
      <c r="U2368">
        <f>IF(C2368,(Skills!F2*N2368*B2399)*IF(Inputs!$B$38="pvp",1,(1+(Inputs!$B$21+Skills!P2+B2394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368">
        <f>MAX(0,(Inputs!$B$3-100)*3)+Inputs!$B$28+Inputs!$B$29</f>
        <v/>
      </c>
    </row>
    <row r="2369">
      <c r="A2369">
        <f>Skills!A3</f>
        <v/>
      </c>
      <c r="B2369">
        <f>Skills!B3</f>
        <v/>
      </c>
      <c r="C2369">
        <f>Inputs!$B$3&gt;=15</f>
        <v/>
      </c>
      <c r="D2369">
        <f>IF(Skills!C3=1,60+Inputs!$B$25+Inputs!$B$29,IF(Skills!C3=2,90+Inputs!$B$26+Inputs!$B$29,IF(Skills!C3=3,120+Inputs!$B$27+Inputs!$B$29,MAX(0,(Inputs!$B$3-100)*3)+Inputs!$B$28+Inputs!$B$29)))</f>
        <v/>
      </c>
      <c r="E2369">
        <f>INDEX(FactorTable!$B$2:$Y$301, MATCH(ROUND(MIN(300,MAX(1,D2369)),0), FactorTable!$A$2:$A$301,0), Skills!L3+1)</f>
        <v/>
      </c>
      <c r="F2369">
        <f>IF(Skills!M3=TRUE,(Skills!K3/10)*(E2369/1000),Skills!K3/10)+Skills!N3</f>
        <v/>
      </c>
      <c r="G2369">
        <f>Calc!G3</f>
        <v/>
      </c>
      <c r="H2369">
        <f>Calc!H3</f>
        <v/>
      </c>
      <c r="I2369">
        <f>IF(Skills!T3&lt;&gt;"",1+(Skills!T3/10)*(Z2369/1000)/100,1)</f>
        <v/>
      </c>
      <c r="J2369" t="inlineStr"/>
      <c r="K2369" t="inlineStr"/>
      <c r="L2369" t="inlineStr"/>
      <c r="M2369" t="inlineStr"/>
      <c r="N2369" t="inlineStr"/>
      <c r="O2369">
        <f>(1-Summary!$B$11)*S2369+Summary!$B$11*U2369</f>
        <v/>
      </c>
      <c r="P2369">
        <f>IF(B2403=0,0,O2369/B2403)</f>
        <v/>
      </c>
      <c r="Q2369">
        <f>IFERROR(1/(IF(Inputs!$B$38="pvp",15,MAX(0.1,Skills!D3-IF(TRUE=TRUE,Inputs!$B$32,0)))*(1-IF(AND(ArtifactsInput!$M$27,Inputs!$B$4="Chapter Hunt"),CHOOSE(ArtifactsInput!$N$27+1,20,24,28,32,36,40),0)/100)),0)</f>
        <v/>
      </c>
      <c r="R2369">
        <f>IF(AND(Inputs!$B$38&lt;&gt;"pvp",Inputs!$B$43&gt;0),IF(Inputs!$B$43&lt;=0,0,(INT(Inputs!$B$43/(IF(Inputs!$B$38="pvp",15,MAX(0.1,Skills!D3-IF(TRUE=TRUE,Inputs!$B$32,0)))*(1-IF(AND(ArtifactsInput!$M$27,Inputs!$B$4="Chapter Hunt"),CHOOSE(ArtifactsInput!$N$27+1,20,24,28,32,36,40),0)/100)))+1)),0)</f>
        <v/>
      </c>
      <c r="S2369" t="n">
        <v>0</v>
      </c>
      <c r="T2369">
        <f>INDEX(FactorTable!$B$2:$Y$301, MATCH(ROUND(MIN(300,MAX(1,T2368)),0), FactorTable!$A$2:$A$301,0), 22)</f>
        <v/>
      </c>
      <c r="U2369" t="n">
        <v>0</v>
      </c>
      <c r="Z2369">
        <f>INDEX(FactorTable!$B$2:$Y$301, MATCH(ROUND(MIN(300,MAX(1,Z2368)),0), FactorTable!$A$2:$A$301,0), 24)</f>
        <v/>
      </c>
    </row>
    <row r="2370">
      <c r="A2370">
        <f>Skills!A4</f>
        <v/>
      </c>
      <c r="B2370">
        <f>Skills!B4</f>
        <v/>
      </c>
      <c r="C2370">
        <f>Inputs!$B$3&gt;=40</f>
        <v/>
      </c>
      <c r="D2370">
        <f>IF(Skills!C4=1,60+Inputs!$B$25+Inputs!$B$29,IF(Skills!C4=2,90+Inputs!$B$26+Inputs!$B$29,IF(Skills!C4=3,120+Inputs!$B$27+Inputs!$B$29,MAX(0,(Inputs!$B$3-100)*3)+Inputs!$B$28+Inputs!$B$29)))</f>
        <v/>
      </c>
      <c r="E2370">
        <f>INDEX(FactorTable!$B$2:$Y$301, MATCH(ROUND(MIN(300,MAX(1,D2370)),0), FactorTable!$A$2:$A$301,0), Skills!L4+1)</f>
        <v/>
      </c>
      <c r="F2370">
        <f>IF(Skills!M4=TRUE,(Skills!K4/10)*(E2370/1000),Skills!K4/10)+Skills!N4</f>
        <v/>
      </c>
      <c r="G2370">
        <f>Calc!G4</f>
        <v/>
      </c>
      <c r="H2370">
        <f>Calc!H4</f>
        <v/>
      </c>
      <c r="I2370">
        <f>IF(Skills!T4&lt;&gt;"",1+(Skills!T4/10)*(Z2369/1000)/100,1)</f>
        <v/>
      </c>
      <c r="J2370" t="inlineStr"/>
      <c r="K2370" t="inlineStr"/>
      <c r="L2370" t="inlineStr"/>
      <c r="M2370" t="inlineStr"/>
      <c r="N2370" t="inlineStr"/>
      <c r="O2370">
        <f>(1-Summary!$B$11)*S2370+Summary!$B$11*U2370</f>
        <v/>
      </c>
      <c r="P2370">
        <f>IF(B2403=0,0,O2370/B2403)</f>
        <v/>
      </c>
      <c r="Q2370">
        <f>IFERROR(1/(IF(Inputs!$B$38="pvp",15,MAX(0.1,Skills!D4-IF(TRUE=TRUE,Inputs!$B$32,0)))*(1-IF(AND(ArtifactsInput!$M$27,Inputs!$B$4="Chapter Hunt"),CHOOSE(ArtifactsInput!$N$27+1,20,24,28,32,36,40),0)/100)),0)</f>
        <v/>
      </c>
      <c r="R2370">
        <f>IF(AND(Inputs!$B$38&lt;&gt;"pvp",Inputs!$B$43&gt;0),IF(Inputs!$B$43&lt;=0,0,(INT(Inputs!$B$43/(IF(Inputs!$B$38="pvp",15,MAX(0.1,Skills!D4-IF(TRUE=TRUE,Inputs!$B$32,0)))*(1-IF(AND(ArtifactsInput!$M$27,Inputs!$B$4="Chapter Hunt"),CHOOSE(ArtifactsInput!$N$27+1,20,24,28,32,36,40),0)/100)))+1)),0)</f>
        <v/>
      </c>
      <c r="S2370" t="n">
        <v>0</v>
      </c>
      <c r="T2370">
        <f>290*T2369/1000</f>
        <v/>
      </c>
      <c r="U2370" t="n">
        <v>0</v>
      </c>
    </row>
    <row r="2371">
      <c r="A2371">
        <f>Skills!A5</f>
        <v/>
      </c>
      <c r="B2371">
        <f>Skills!B5</f>
        <v/>
      </c>
      <c r="C2371">
        <f>Inputs!$B$3&gt;=38</f>
        <v/>
      </c>
      <c r="D2371">
        <f>IF(Skills!C5=1,60+Inputs!$B$25+Inputs!$B$29,IF(Skills!C5=2,90+Inputs!$B$26+Inputs!$B$29,IF(Skills!C5=3,120+Inputs!$B$27+Inputs!$B$29,MAX(0,(Inputs!$B$3-100)*3)+Inputs!$B$28+Inputs!$B$29)))</f>
        <v/>
      </c>
      <c r="E2371">
        <f>INDEX(FactorTable!$B$2:$Y$301, MATCH(ROUND(MIN(300,MAX(1,D2371)),0), FactorTable!$A$2:$A$301,0), Skills!L5+1)</f>
        <v/>
      </c>
      <c r="F2371">
        <f>IF(Skills!M5=TRUE,(Skills!K5/10)*(E2371/1000),Skills!K5/10)+Skills!N5</f>
        <v/>
      </c>
      <c r="G2371">
        <f>Calc!G5</f>
        <v/>
      </c>
      <c r="H2371">
        <f>Calc!H5</f>
        <v/>
      </c>
      <c r="I2371">
        <f>IF(Skills!T5&lt;&gt;"",1+(Skills!T5/10)*(Z2369/1000)/100,1)</f>
        <v/>
      </c>
      <c r="J2371">
        <f>((Inputs!$B$6*(1+Inputs!$B$7/100))+(((Inputs!$B$12*(1+Inputs!$B$13/100))-(Inputs!$B$12*(1+Inputs!$B$13/100)))+0.25*(Inputs!$B$14-Inputs!$B$14))*(1+Inputs!$B$7/100))*(F2371/100)</f>
        <v/>
      </c>
      <c r="K2371">
        <f>J2371*(1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5="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2371)</f>
        <v/>
      </c>
      <c r="L2371">
        <f>K2371*(MIN(Inputs!$B$22+(F2384-Calc!F18),(Inputs!$B$23+(IF(ArtifactsInput!$M$15,CHOOSE(ArtifactsInput!$N$15+1,25,30,35,40,45,50)/100*(Inputs!$B$11-Inputs!$B$11),0))))/100+(Inputs!$B$23+(IF(ArtifactsInput!$M$15,CHOOSE(ArtifactsInput!$N$15+1,25,30,35,40,45,50)/100*(Inputs!$B$11-Inputs!$B$11),0)))/100)/2</f>
        <v/>
      </c>
      <c r="M2371">
        <f>L2371*(1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1">
        <f>L2371*(1-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1">
        <f>(1-Summary!$B$11)*S2371+Summary!$B$11*U2371</f>
        <v/>
      </c>
      <c r="P2371">
        <f>IF(B2403=0,0,O2371/B2403)</f>
        <v/>
      </c>
      <c r="Q2371">
        <f>IFERROR(1/(IF(Inputs!$B$38="pvp",15,MAX(0.1,Skills!D5-IF(TRUE=TRUE,Inputs!$B$32,0)))*(1-IF(AND(ArtifactsInput!$M$27,Inputs!$B$4="Chapter Hunt"),CHOOSE(ArtifactsInput!$N$27+1,20,24,28,32,36,40),0)/100)),0)</f>
        <v/>
      </c>
      <c r="R2371">
        <f>IF(AND(Inputs!$B$38&lt;&gt;"pvp",Inputs!$B$43&gt;0),IF(MAX(0,Inputs!$B$43-B2400)&lt;=0,0,(INT(MAX(0,Inputs!$B$43-B2400)/(IF(Inputs!$B$38="pvp",15,MAX(0.1,Skills!D5-IF(TRUE=TRUE,Inputs!$B$32,0)))*(1-IF(AND(ArtifactsInput!$M$27,Inputs!$B$4="Chapter Hunt"),CHOOSE(ArtifactsInput!$N$27+1,20,24,28,32,36,40),0)/100)))+1)),0)</f>
        <v/>
      </c>
      <c r="S2371">
        <f>IF(C2371,(H2371*N2371*IF(AND(Inputs!$B$38&lt;&gt;"pvp",Inputs!$B$43&gt;0),((Skills!F5*((R2371-1)*IF(Skills!G5&gt;0,Skills!H5/Skills!G5,1)+IF(Skills!G5&gt;0,MIN(Skills!H5,MAX(0,MAX(0,Inputs!$B$43-B2400)-((R2371-1)*(IF(Inputs!$B$38="pvp",15,MAX(0.1,Skills!D5-IF(TRUE=TRUE,Inputs!$B$32,0)))*(1-IF(AND(ArtifactsInput!$M$27,Inputs!$B$4="Chapter Hunt"),CHOOSE(ArtifactsInput!$N$27+1,20,24,28,32,36,40),0)/100)))))/Skills!G5,1)))/Inputs!$B$43),G2371*Q2371))*IF(Inputs!$B$38="pvp",1,1+(Inputs!$B$20+Skills!O5+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2371*(1-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2371*(1-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1">
        <f>IF(C2371,(H2371*N2371*IF(AND(Inputs!$B$38&lt;&gt;"pvp",Inputs!$B$43&gt;0),((Skills!F5*((R2371-1)*IF(Skills!G5&gt;0,Skills!H5/Skills!G5,1)+IF(Skills!G5&gt;0,MIN(Skills!H5,MAX(0,MAX(0,Inputs!$B$43-B2400)-((R2371-1)*(IF(Inputs!$B$38="pvp",15,MAX(0.1,Skills!D5-IF(TRUE=TRUE,Inputs!$B$32,0)))*(1-IF(AND(ArtifactsInput!$M$27,Inputs!$B$4="Chapter Hunt"),CHOOSE(ArtifactsInput!$N$27+1,20,24,28,32,36,40),0)/100)))))/Skills!G5,1)))/Inputs!$B$43),G2371*Q2371))*IF(Inputs!$B$38="pvp",1,(1+(Inputs!$B$21+Skills!P5+B2394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2">
      <c r="A2372">
        <f>Skills!A6</f>
        <v/>
      </c>
      <c r="B2372">
        <f>Skills!B6</f>
        <v/>
      </c>
      <c r="C2372">
        <f>Inputs!$B$3&gt;=63</f>
        <v/>
      </c>
      <c r="D2372">
        <f>IF(Skills!C6=1,60+Inputs!$B$25+Inputs!$B$29,IF(Skills!C6=2,90+Inputs!$B$26+Inputs!$B$29,IF(Skills!C6=3,120+Inputs!$B$27+Inputs!$B$29,MAX(0,(Inputs!$B$3-100)*3)+Inputs!$B$28+Inputs!$B$29)))</f>
        <v/>
      </c>
      <c r="E2372">
        <f>INDEX(FactorTable!$B$2:$Y$301, MATCH(ROUND(MIN(300,MAX(1,D2372)),0), FactorTable!$A$2:$A$301,0), Skills!L6+1)</f>
        <v/>
      </c>
      <c r="F2372">
        <f>IF(Skills!M6=TRUE,(Skills!K6/10)*(E2372/1000),Skills!K6/10)+Skills!N6</f>
        <v/>
      </c>
      <c r="G2372">
        <f>Calc!G6</f>
        <v/>
      </c>
      <c r="H2372">
        <f>Calc!H6</f>
        <v/>
      </c>
      <c r="I2372">
        <f>IF(Skills!T6&lt;&gt;"",1+(Skills!T6/10)*(Z2369/1000)/100,1)</f>
        <v/>
      </c>
      <c r="J2372">
        <f>((Inputs!$B$6*(1+Inputs!$B$7/100))+(((Inputs!$B$12*(1+Inputs!$B$13/100))-(Inputs!$B$12*(1+Inputs!$B$13/100)))+0.25*(Inputs!$B$14-Inputs!$B$14))*(1+Inputs!$B$7/100))*(F2372/100)</f>
        <v/>
      </c>
      <c r="K2372">
        <f>J2372*(1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6="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2372)</f>
        <v/>
      </c>
      <c r="L2372">
        <f>K2372*(MIN(Inputs!$B$22+(F2384-Calc!F18),(Inputs!$B$23+(IF(ArtifactsInput!$M$15,CHOOSE(ArtifactsInput!$N$15+1,25,30,35,40,45,50)/100*(Inputs!$B$11-Inputs!$B$11),0))))/100+(Inputs!$B$23+(IF(ArtifactsInput!$M$15,CHOOSE(ArtifactsInput!$N$15+1,25,30,35,40,45,50)/100*(Inputs!$B$11-Inputs!$B$11),0)))/100)/2</f>
        <v/>
      </c>
      <c r="M2372">
        <f>L2372*(1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2">
        <f>L2372*(1-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2372*(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2">
        <f>(1-Summary!$B$11)*S2372+Summary!$B$11*U2372</f>
        <v/>
      </c>
      <c r="P2372">
        <f>IF(B2403=0,0,O2372/B2403)</f>
        <v/>
      </c>
      <c r="Q2372">
        <f>IFERROR(1/(IF(Inputs!$B$38="pvp",15,MAX(0.1,Skills!D6-IF(TRUE=TRUE,Inputs!$B$32,0)))*(1-IF(AND(ArtifactsInput!$M$27,Inputs!$B$4="Chapter Hunt"),CHOOSE(ArtifactsInput!$N$27+1,20,24,28,32,36,40),0)/100)),0)</f>
        <v/>
      </c>
      <c r="R2372">
        <f>IF(AND(Inputs!$B$38&lt;&gt;"pvp",Inputs!$B$43&gt;0),IF(MAX(0,Inputs!$B$43-B2400)&lt;=0,0,(INT(MAX(0,Inputs!$B$43-B2400)/(IF(Inputs!$B$38="pvp",15,MAX(0.1,Skills!D6-IF(TRUE=TRUE,Inputs!$B$32,0)))*(1-IF(AND(ArtifactsInput!$M$27,Inputs!$B$4="Chapter Hunt"),CHOOSE(ArtifactsInput!$N$27+1,20,24,28,32,36,40),0)/100)))+1)),0)</f>
        <v/>
      </c>
      <c r="S2372">
        <f>IF(C2372,(H2372*N2372*IF(AND(Inputs!$B$38&lt;&gt;"pvp",Inputs!$B$43&gt;0),((Skills!F6*((R2372-1)*IF(Skills!G6&gt;0,Skills!H6/Skills!G6,1)+IF(Skills!G6&gt;0,MIN(Skills!H6,MAX(0,MAX(0,Inputs!$B$43-B2400)-((R2372-1)*(IF(Inputs!$B$38="pvp",15,MAX(0.1,Skills!D6-IF(TRUE=TRUE,Inputs!$B$32,0)))*(1-IF(AND(ArtifactsInput!$M$27,Inputs!$B$4="Chapter Hunt"),CHOOSE(ArtifactsInput!$N$27+1,20,24,28,32,36,40),0)/100)))))/Skills!G6,1)))/Inputs!$B$43),G2372*Q2372))*IF(Inputs!$B$38="pvp",1,1+(Inputs!$B$20+Skills!O6+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2372*(1-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2372*(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2372*(1-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2372*(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2">
        <f>IF(C2372,(H2372*N2372*IF(AND(Inputs!$B$38&lt;&gt;"pvp",Inputs!$B$43&gt;0),((Skills!F6*((R2372-1)*IF(Skills!G6&gt;0,Skills!H6/Skills!G6,1)+IF(Skills!G6&gt;0,MIN(Skills!H6,MAX(0,MAX(0,Inputs!$B$43-B2400)-((R2372-1)*(IF(Inputs!$B$38="pvp",15,MAX(0.1,Skills!D6-IF(TRUE=TRUE,Inputs!$B$32,0)))*(1-IF(AND(ArtifactsInput!$M$27,Inputs!$B$4="Chapter Hunt"),CHOOSE(ArtifactsInput!$N$27+1,20,24,28,32,36,40),0)/100)))))/Skills!G6,1)))/Inputs!$B$43),G2372*Q2372))*IF(Inputs!$B$38="pvp",1,(1+(Inputs!$B$21+Skills!P6+B2394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3">
      <c r="A2373">
        <f>Skills!A7</f>
        <v/>
      </c>
      <c r="B2373">
        <f>Skills!B7</f>
        <v/>
      </c>
      <c r="C2373">
        <f>Inputs!$B$3&gt;=69</f>
        <v/>
      </c>
      <c r="D2373">
        <f>IF(Skills!C7=1,60+Inputs!$B$25+Inputs!$B$29,IF(Skills!C7=2,90+Inputs!$B$26+Inputs!$B$29,IF(Skills!C7=3,120+Inputs!$B$27+Inputs!$B$29,MAX(0,(Inputs!$B$3-100)*3)+Inputs!$B$28+Inputs!$B$29)))</f>
        <v/>
      </c>
      <c r="E2373">
        <f>INDEX(FactorTable!$B$2:$Y$301, MATCH(ROUND(MIN(300,MAX(1,D2373)),0), FactorTable!$A$2:$A$301,0), Skills!L7+1)</f>
        <v/>
      </c>
      <c r="F2373">
        <f>IF(Skills!M7=TRUE,(Skills!K7/10)*(E2373/1000),Skills!K7/10)+Skills!N7</f>
        <v/>
      </c>
      <c r="G2373">
        <f>Calc!G7</f>
        <v/>
      </c>
      <c r="H2373">
        <f>Calc!H7</f>
        <v/>
      </c>
      <c r="I2373">
        <f>IF(Skills!T7&lt;&gt;"",1+(Skills!T7/10)*(Z2369/1000)/100,1)</f>
        <v/>
      </c>
      <c r="J2373">
        <f>((Inputs!$B$6*(1+Inputs!$B$7/100))+(((Inputs!$B$12*(1+Inputs!$B$13/100))-(Inputs!$B$12*(1+Inputs!$B$13/100)))+0.25*(Inputs!$B$14-Inputs!$B$14))*(1+Inputs!$B$7/100))*(F2373/100)</f>
        <v/>
      </c>
      <c r="K2373">
        <f>J2373*(1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7="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2373)</f>
        <v/>
      </c>
      <c r="L2373">
        <f>K2373*(MIN(Inputs!$B$22+(F2384-Calc!F18),(Inputs!$B$23+(IF(ArtifactsInput!$M$15,CHOOSE(ArtifactsInput!$N$15+1,25,30,35,40,45,50)/100*(Inputs!$B$11-Inputs!$B$11),0))))/100+(Inputs!$B$23+(IF(ArtifactsInput!$M$15,CHOOSE(ArtifactsInput!$N$15+1,25,30,35,40,45,50)/100*(Inputs!$B$11-Inputs!$B$11),0)))/100)/2</f>
        <v/>
      </c>
      <c r="M2373">
        <f>L2373*(1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3">
        <f>L2373*(1-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2373*(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3">
        <f>(1-Summary!$B$11)*S2373+Summary!$B$11*U2373</f>
        <v/>
      </c>
      <c r="P2373">
        <f>IF(B2403=0,0,O2373/B2403)</f>
        <v/>
      </c>
      <c r="Q2373">
        <f>IFERROR(1/(IF(Inputs!$B$38="pvp",15,MAX(0.1,Skills!D7-IF(TRUE=TRUE,Inputs!$B$32,0)))*(1-IF(AND(ArtifactsInput!$M$27,Inputs!$B$4="Chapter Hunt"),CHOOSE(ArtifactsInput!$N$27+1,20,24,28,32,36,40),0)/100)),0)</f>
        <v/>
      </c>
      <c r="R2373">
        <f>IF(AND(Inputs!$B$38&lt;&gt;"pvp",Inputs!$B$43&gt;0),IF(MAX(0,Inputs!$B$43-B2400)&lt;=0,0,(INT(MAX(0,Inputs!$B$43-B2400)/(IF(Inputs!$B$38="pvp",15,MAX(0.1,Skills!D7-IF(TRUE=TRUE,Inputs!$B$32,0)))*(1-IF(AND(ArtifactsInput!$M$27,Inputs!$B$4="Chapter Hunt"),CHOOSE(ArtifactsInput!$N$27+1,20,24,28,32,36,40),0)/100)))+1)),0)</f>
        <v/>
      </c>
      <c r="S2373">
        <f>IF(C2373,(H2373*N2373*IF(AND(Inputs!$B$38&lt;&gt;"pvp",Inputs!$B$43&gt;0),((Skills!F7*((R2373-1)*IF(Skills!G7&gt;0,Skills!H7/Skills!G7,1)+IF(Skills!G7&gt;0,MIN(Skills!H7,MAX(0,MAX(0,Inputs!$B$43-B2400)-((R2373-1)*(IF(Inputs!$B$38="pvp",15,MAX(0.1,Skills!D7-IF(TRUE=TRUE,Inputs!$B$32,0)))*(1-IF(AND(ArtifactsInput!$M$27,Inputs!$B$4="Chapter Hunt"),CHOOSE(ArtifactsInput!$N$27+1,20,24,28,32,36,40),0)/100)))))/Skills!G7,1)))/Inputs!$B$43),G2373*Q2373))*IF(Inputs!$B$38="pvp",1,1+(Inputs!$B$20+Skills!O7+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2373*(1-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2373*(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2373*(1-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2373*(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3">
        <f>IF(C2373,(H2373*N2373*IF(AND(Inputs!$B$38&lt;&gt;"pvp",Inputs!$B$43&gt;0),((Skills!F7*((R2373-1)*IF(Skills!G7&gt;0,Skills!H7/Skills!G7,1)+IF(Skills!G7&gt;0,MIN(Skills!H7,MAX(0,MAX(0,Inputs!$B$43-B2400)-((R2373-1)*(IF(Inputs!$B$38="pvp",15,MAX(0.1,Skills!D7-IF(TRUE=TRUE,Inputs!$B$32,0)))*(1-IF(AND(ArtifactsInput!$M$27,Inputs!$B$4="Chapter Hunt"),CHOOSE(ArtifactsInput!$N$27+1,20,24,28,32,36,40),0)/100)))))/Skills!G7,1)))/Inputs!$B$43),G2373*Q2373))*IF(Inputs!$B$38="pvp",1,(1+(Inputs!$B$21+Skills!P7+B2394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4">
      <c r="A2374">
        <f>Skills!A8</f>
        <v/>
      </c>
      <c r="B2374">
        <f>Skills!B8</f>
        <v/>
      </c>
      <c r="C2374">
        <f>Inputs!$B$3&gt;=103</f>
        <v/>
      </c>
      <c r="D2374">
        <f>IF(Skills!C8=1,60+Inputs!$B$25+Inputs!$B$29,IF(Skills!C8=2,90+Inputs!$B$26+Inputs!$B$29,IF(Skills!C8=3,120+Inputs!$B$27+Inputs!$B$29,MAX(0,(Inputs!$B$3-100)*3)+Inputs!$B$28+Inputs!$B$29)))</f>
        <v/>
      </c>
      <c r="E2374">
        <f>INDEX(FactorTable!$B$2:$Y$301, MATCH(ROUND(MIN(300,MAX(1,D2374)),0), FactorTable!$A$2:$A$301,0), Skills!L8+1)</f>
        <v/>
      </c>
      <c r="F2374">
        <f>IF(Skills!M8=TRUE,(Skills!K8/10)*(E2374/1000),Skills!K8/10)+Skills!N8</f>
        <v/>
      </c>
      <c r="G2374">
        <f>Calc!G8</f>
        <v/>
      </c>
      <c r="H2374">
        <f>Calc!H8</f>
        <v/>
      </c>
      <c r="I2374">
        <f>IF(Skills!T8&lt;&gt;"",1+(Skills!T8/10)*(Z2369/1000)/100,1)</f>
        <v/>
      </c>
      <c r="J2374">
        <f>((Inputs!$B$6*(1+Inputs!$B$7/100))+(((Inputs!$B$12*(1+Inputs!$B$13/100))-(Inputs!$B$12*(1+Inputs!$B$13/100)))+0.25*(Inputs!$B$14-Inputs!$B$14))*(1+Inputs!$B$7/100))*(F2374/100)</f>
        <v/>
      </c>
      <c r="K2374">
        <f>J2374*(1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8="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2374)</f>
        <v/>
      </c>
      <c r="L2374">
        <f>K2374*(MIN(Inputs!$B$22+(F2384-Calc!F18),(Inputs!$B$23+(IF(ArtifactsInput!$M$15,CHOOSE(ArtifactsInput!$N$15+1,25,30,35,40,45,50)/100*(Inputs!$B$11-Inputs!$B$11),0))))/100+(Inputs!$B$23+(IF(ArtifactsInput!$M$15,CHOOSE(ArtifactsInput!$N$15+1,25,30,35,40,45,50)/100*(Inputs!$B$11-Inputs!$B$11),0)))/100)/2</f>
        <v/>
      </c>
      <c r="M2374">
        <f>L2374*(1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4">
        <f>L2374*(1-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2374*(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4">
        <f>(1-Summary!$B$11)*S2374+Summary!$B$11*U2374</f>
        <v/>
      </c>
      <c r="P2374">
        <f>IF(B2403=0,0,O2374/B2403)</f>
        <v/>
      </c>
      <c r="Q2374">
        <f>IFERROR(1/(IF(Inputs!$B$38="pvp",15,MAX(0.1,Skills!D8-IF(TRUE=TRUE,Inputs!$B$32,0)))*(1-IF(AND(ArtifactsInput!$M$27,Inputs!$B$4="Chapter Hunt"),CHOOSE(ArtifactsInput!$N$27+1,20,24,28,32,36,40),0)/100)),0)</f>
        <v/>
      </c>
      <c r="R2374">
        <f>IF(AND(Inputs!$B$38&lt;&gt;"pvp",Inputs!$B$43&gt;0),IF(MAX(0,Inputs!$B$43-B2400)&lt;=0,0,(INT(MAX(0,Inputs!$B$43-B2400)/(IF(Inputs!$B$38="pvp",15,MAX(0.1,Skills!D8-IF(TRUE=TRUE,Inputs!$B$32,0)))*(1-IF(AND(ArtifactsInput!$M$27,Inputs!$B$4="Chapter Hunt"),CHOOSE(ArtifactsInput!$N$27+1,20,24,28,32,36,40),0)/100)))+1)),0)</f>
        <v/>
      </c>
      <c r="S2374">
        <f>IF(C2374,(H2374*N2374*IF(AND(Inputs!$B$38&lt;&gt;"pvp",Inputs!$B$43&gt;0),((Skills!F8*((R2374-1)*IF(Skills!G8&gt;0,Skills!H8/Skills!G8,1)+IF(Skills!G8&gt;0,MIN(Skills!H8,MAX(0,MAX(0,Inputs!$B$43-B2400)-((R2374-1)*(IF(Inputs!$B$38="pvp",15,MAX(0.1,Skills!D8-IF(TRUE=TRUE,Inputs!$B$32,0)))*(1-IF(AND(ArtifactsInput!$M$27,Inputs!$B$4="Chapter Hunt"),CHOOSE(ArtifactsInput!$N$27+1,20,24,28,32,36,40),0)/100)))))/Skills!G8,1)))/Inputs!$B$43),G2374*Q2374))*IF(Inputs!$B$38="pvp",1,1+(Inputs!$B$20+Skills!O8+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2374*(1-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2374*(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2374*(1-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2374*(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4">
        <f>IF(C2374,(H2374*N2374*IF(AND(Inputs!$B$38&lt;&gt;"pvp",Inputs!$B$43&gt;0),((Skills!F8*((R2374-1)*IF(Skills!G8&gt;0,Skills!H8/Skills!G8,1)+IF(Skills!G8&gt;0,MIN(Skills!H8,MAX(0,MAX(0,Inputs!$B$43-B2400)-((R2374-1)*(IF(Inputs!$B$38="pvp",15,MAX(0.1,Skills!D8-IF(TRUE=TRUE,Inputs!$B$32,0)))*(1-IF(AND(ArtifactsInput!$M$27,Inputs!$B$4="Chapter Hunt"),CHOOSE(ArtifactsInput!$N$27+1,20,24,28,32,36,40),0)/100)))))/Skills!G8,1)))/Inputs!$B$43),G2374*Q2374))*IF(Inputs!$B$38="pvp",1,(1+(Inputs!$B$21+Skills!P8+B2394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5">
      <c r="A2375">
        <f>Skills!A9</f>
        <v/>
      </c>
      <c r="B2375">
        <f>Skills!B9</f>
        <v/>
      </c>
      <c r="C2375">
        <f>Inputs!$B$3&gt;=105</f>
        <v/>
      </c>
      <c r="D2375">
        <f>IF(Skills!C9=1,60+Inputs!$B$25+Inputs!$B$29,IF(Skills!C9=2,90+Inputs!$B$26+Inputs!$B$29,IF(Skills!C9=3,120+Inputs!$B$27+Inputs!$B$29,MAX(0,(Inputs!$B$3-100)*3)+Inputs!$B$28+Inputs!$B$29)))</f>
        <v/>
      </c>
      <c r="E2375">
        <f>INDEX(FactorTable!$B$2:$Y$301, MATCH(ROUND(MIN(300,MAX(1,D2375)),0), FactorTable!$A$2:$A$301,0), Skills!L9+1)</f>
        <v/>
      </c>
      <c r="F2375">
        <f>IF(Skills!M9=TRUE,(Skills!K9/10)*(E2375/1000),Skills!K9/10)+Skills!N9</f>
        <v/>
      </c>
      <c r="G2375">
        <f>Calc!G9</f>
        <v/>
      </c>
      <c r="H2375">
        <f>Calc!H9</f>
        <v/>
      </c>
      <c r="I2375">
        <f>IF(Skills!T9&lt;&gt;"",1+(Skills!T9/10)*(Z2369/1000)/100,1)</f>
        <v/>
      </c>
      <c r="J2375">
        <f>((Inputs!$B$6*(1+Inputs!$B$7/100))+(((Inputs!$B$12*(1+Inputs!$B$13/100))-(Inputs!$B$12*(1+Inputs!$B$13/100)))+0.25*(Inputs!$B$14-Inputs!$B$14))*(1+Inputs!$B$7/100))*(F2375/100)</f>
        <v/>
      </c>
      <c r="K2375">
        <f>J2375*(1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9="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2375)</f>
        <v/>
      </c>
      <c r="L2375">
        <f>K2375*(MIN(Inputs!$B$22+(F2384-Calc!F18),(Inputs!$B$23+(IF(ArtifactsInput!$M$15,CHOOSE(ArtifactsInput!$N$15+1,25,30,35,40,45,50)/100*(Inputs!$B$11-Inputs!$B$11),0))))/100+(Inputs!$B$23+(IF(ArtifactsInput!$M$15,CHOOSE(ArtifactsInput!$N$15+1,25,30,35,40,45,50)/100*(Inputs!$B$11-Inputs!$B$11),0)))/100)/2</f>
        <v/>
      </c>
      <c r="M2375">
        <f>L2375*(1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5">
        <f>L2375*(1-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2375*(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5">
        <f>(1-Summary!$B$11)*S2375+Summary!$B$11*U2375</f>
        <v/>
      </c>
      <c r="P2375">
        <f>IF(B2403=0,0,O2375/B2403)</f>
        <v/>
      </c>
      <c r="Q2375">
        <f>IFERROR(1/(IF(Inputs!$B$38="pvp",15,MAX(0.1,Skills!D9-IF(TRUE=TRUE,Inputs!$B$32,0)))*(1-IF(AND(ArtifactsInput!$M$27,Inputs!$B$4="Chapter Hunt"),CHOOSE(ArtifactsInput!$N$27+1,20,24,28,32,36,40),0)/100)),0)</f>
        <v/>
      </c>
      <c r="R2375">
        <f>IF(AND(Inputs!$B$38&lt;&gt;"pvp",Inputs!$B$43&gt;0),IF(MAX(0,Inputs!$B$43-B2400)&lt;=0,0,(INT(MAX(0,Inputs!$B$43-B2400)/(IF(Inputs!$B$38="pvp",15,MAX(0.1,Skills!D9-IF(TRUE=TRUE,Inputs!$B$32,0)))*(1-IF(AND(ArtifactsInput!$M$27,Inputs!$B$4="Chapter Hunt"),CHOOSE(ArtifactsInput!$N$27+1,20,24,28,32,36,40),0)/100)))+1)),0)</f>
        <v/>
      </c>
      <c r="S2375">
        <f>IF(C2375,(H2375*N2375*IF(AND(Inputs!$B$38&lt;&gt;"pvp",Inputs!$B$43&gt;0),((Skills!F9*((R2375-1)*IF(Skills!G9&gt;0,Skills!H9/Skills!G9,1)+IF(Skills!G9&gt;0,MIN(Skills!H9,MAX(0,MAX(0,Inputs!$B$43-B2400)-((R2375-1)*(IF(Inputs!$B$38="pvp",15,MAX(0.1,Skills!D9-IF(TRUE=TRUE,Inputs!$B$32,0)))*(1-IF(AND(ArtifactsInput!$M$27,Inputs!$B$4="Chapter Hunt"),CHOOSE(ArtifactsInput!$N$27+1,20,24,28,32,36,40),0)/100)))))/Skills!G9,1)))/Inputs!$B$43),G2375*Q2375))*IF(Inputs!$B$38="pvp",1,1+(Inputs!$B$20+Skills!O9+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2375*(1-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2375*(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2375*(1-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2375*(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5">
        <f>IF(C2375,(H2375*N2375*IF(AND(Inputs!$B$38&lt;&gt;"pvp",Inputs!$B$43&gt;0),((Skills!F9*((R2375-1)*IF(Skills!G9&gt;0,Skills!H9/Skills!G9,1)+IF(Skills!G9&gt;0,MIN(Skills!H9,MAX(0,MAX(0,Inputs!$B$43-B2400)-((R2375-1)*(IF(Inputs!$B$38="pvp",15,MAX(0.1,Skills!D9-IF(TRUE=TRUE,Inputs!$B$32,0)))*(1-IF(AND(ArtifactsInput!$M$27,Inputs!$B$4="Chapter Hunt"),CHOOSE(ArtifactsInput!$N$27+1,20,24,28,32,36,40),0)/100)))))/Skills!G9,1)))/Inputs!$B$43),G2375*Q2375))*IF(Inputs!$B$38="pvp",1,(1+(Inputs!$B$21+Skills!P9+B2394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6">
      <c r="A2376">
        <f>Skills!A10</f>
        <v/>
      </c>
      <c r="B2376">
        <f>Skills!B10</f>
        <v/>
      </c>
      <c r="C2376">
        <f>Inputs!$B$3&gt;=113</f>
        <v/>
      </c>
      <c r="D2376">
        <f>IF(Skills!C10=1,60+Inputs!$B$25+Inputs!$B$29,IF(Skills!C10=2,90+Inputs!$B$26+Inputs!$B$29,IF(Skills!C10=3,120+Inputs!$B$27+Inputs!$B$29,MAX(0,(Inputs!$B$3-100)*3)+Inputs!$B$28+Inputs!$B$29)))</f>
        <v/>
      </c>
      <c r="E2376">
        <f>INDEX(FactorTable!$B$2:$Y$301, MATCH(ROUND(MIN(300,MAX(1,D2376)),0), FactorTable!$A$2:$A$301,0), Skills!L10+1)</f>
        <v/>
      </c>
      <c r="F2376">
        <f>IF(Skills!M10=TRUE,(Skills!K10/10)*(E2376/1000),Skills!K10/10)+Skills!N10</f>
        <v/>
      </c>
      <c r="G2376">
        <f>Calc!G10</f>
        <v/>
      </c>
      <c r="H2376">
        <f>Calc!H10</f>
        <v/>
      </c>
      <c r="I2376">
        <f>IF(Skills!T10&lt;&gt;"",1+(Skills!T10/10)*(Z2369/1000)/100,1)</f>
        <v/>
      </c>
      <c r="J2376">
        <f>((Inputs!$B$6*(1+Inputs!$B$7/100))+(((Inputs!$B$12*(1+Inputs!$B$13/100))-(Inputs!$B$12*(1+Inputs!$B$13/100)))+0.25*(Inputs!$B$14-Inputs!$B$14))*(1+Inputs!$B$7/100))*(F2376/100)</f>
        <v/>
      </c>
      <c r="K2376">
        <f>J2376*(1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10="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2376)</f>
        <v/>
      </c>
      <c r="L2376">
        <f>K2376*(MIN(Inputs!$B$22+(F2384-Calc!F18),(Inputs!$B$23+(IF(ArtifactsInput!$M$15,CHOOSE(ArtifactsInput!$N$15+1,25,30,35,40,45,50)/100*(Inputs!$B$11-Inputs!$B$11),0))))/100+(Inputs!$B$23+(IF(ArtifactsInput!$M$15,CHOOSE(ArtifactsInput!$N$15+1,25,30,35,40,45,50)/100*(Inputs!$B$11-Inputs!$B$11),0)))/100)/2</f>
        <v/>
      </c>
      <c r="M2376">
        <f>L2376*(1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6">
        <f>L2376*(1-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2376*(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6">
        <f>(1-Summary!$B$11)*S2376+Summary!$B$11*U2376</f>
        <v/>
      </c>
      <c r="P2376">
        <f>IF(B2403=0,0,O2376/B2403)</f>
        <v/>
      </c>
      <c r="Q2376">
        <f>IFERROR(1/(IF(Inputs!$B$38="pvp",15,MAX(0.1,Skills!D10-IF(TRUE=TRUE,Inputs!$B$32,0)))*(1-IF(AND(ArtifactsInput!$M$27,Inputs!$B$4="Chapter Hunt"),CHOOSE(ArtifactsInput!$N$27+1,20,24,28,32,36,40),0)/100)),0)</f>
        <v/>
      </c>
      <c r="R2376" t="n">
        <v>0</v>
      </c>
      <c r="S2376">
        <f>IF(C2376,((H2376*B2404)/(1+Skills!G10*H2376*B2404)*N2376)*IF(Inputs!$B$38="pvp",1,1+(Inputs!$B$20+Skills!O10+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2376*(1-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2376*(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2376*(1-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2376*(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6">
        <f>IF(C2376,((H2376*B2404)/(1+Skills!G10*H2376*B2404)*N2376)*IF(Inputs!$B$38="pvp",1,(1+(Inputs!$B$21+Skills!P10+B2394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7">
      <c r="A2377">
        <f>Skills!A11</f>
        <v/>
      </c>
      <c r="B2377">
        <f>Skills!B11</f>
        <v/>
      </c>
      <c r="C2377">
        <f>Inputs!$B$3&gt;=107</f>
        <v/>
      </c>
      <c r="D2377">
        <f>IF(Skills!C11=1,60+Inputs!$B$25+Inputs!$B$29,IF(Skills!C11=2,90+Inputs!$B$26+Inputs!$B$29,IF(Skills!C11=3,120+Inputs!$B$27+Inputs!$B$29,MAX(0,(Inputs!$B$3-100)*3)+Inputs!$B$28+Inputs!$B$29)))</f>
        <v/>
      </c>
      <c r="E2377">
        <f>INDEX(FactorTable!$B$2:$Y$301, MATCH(ROUND(MIN(300,MAX(1,D2377)),0), FactorTable!$A$2:$A$301,0), Skills!L11+1)</f>
        <v/>
      </c>
      <c r="F2377">
        <f>IF(Skills!M11=TRUE,(Skills!K11/10)*(E2377/1000),Skills!K11/10)+Skills!N11</f>
        <v/>
      </c>
      <c r="G2377">
        <f>Calc!G11</f>
        <v/>
      </c>
      <c r="H2377">
        <f>Calc!H11</f>
        <v/>
      </c>
      <c r="I2377">
        <f>IF(Skills!T11&lt;&gt;"",1+(Skills!T11/10)*(Z2369/1000)/100,1)</f>
        <v/>
      </c>
      <c r="J2377">
        <f>((Inputs!$B$6*(1+Inputs!$B$7/100))+(((Inputs!$B$12*(1+Inputs!$B$13/100))-(Inputs!$B$12*(1+Inputs!$B$13/100)))+0.25*(Inputs!$B$14-Inputs!$B$14))*(1+Inputs!$B$7/100))*(F2377/100)</f>
        <v/>
      </c>
      <c r="K2377">
        <f>J2377*(1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11="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2377)</f>
        <v/>
      </c>
      <c r="L2377">
        <f>K2377*(MIN(Inputs!$B$22+(F2384-Calc!F18),(Inputs!$B$23+(IF(ArtifactsInput!$M$15,CHOOSE(ArtifactsInput!$N$15+1,25,30,35,40,45,50)/100*(Inputs!$B$11-Inputs!$B$11),0))))/100+(Inputs!$B$23+(IF(ArtifactsInput!$M$15,CHOOSE(ArtifactsInput!$N$15+1,25,30,35,40,45,50)/100*(Inputs!$B$11-Inputs!$B$11),0)))/100)/2</f>
        <v/>
      </c>
      <c r="M2377">
        <f>L2377*(1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7">
        <f>L2377*(1-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2377*(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7">
        <f>(1-Summary!$B$11)*S2377+Summary!$B$11*U2377</f>
        <v/>
      </c>
      <c r="P2377">
        <f>IF(B2403=0,0,O2377/B2403)</f>
        <v/>
      </c>
      <c r="Q2377">
        <f>IFERROR(1/(IF(Inputs!$B$38="pvp",15,MAX(0.1,Skills!D11-IF(TRUE=TRUE,Inputs!$B$32,0)))*(1-IF(AND(ArtifactsInput!$M$27,Inputs!$B$4="Chapter Hunt"),CHOOSE(ArtifactsInput!$N$27+1,20,24,28,32,36,40),0)/100)),0)</f>
        <v/>
      </c>
      <c r="R2377">
        <f>IF(AND(Inputs!$B$38&lt;&gt;"pvp",Inputs!$B$43&gt;0),IF(MAX(0,Inputs!$B$43-B2400)&lt;=0,0,(INT(MAX(0,Inputs!$B$43-B2400)/(IF(Inputs!$B$38="pvp",15,MAX(0.1,Skills!D11-IF(TRUE=TRUE,Inputs!$B$32,0)))*(1-IF(AND(ArtifactsInput!$M$27,Inputs!$B$4="Chapter Hunt"),CHOOSE(ArtifactsInput!$N$27+1,20,24,28,32,36,40),0)/100)))+1)),0)</f>
        <v/>
      </c>
      <c r="S2377">
        <f>IF(C2377,H2377*N2377*IF(AND(Inputs!$B$38&lt;&gt;"pvp",Inputs!$B$43&gt;0),((Skills!F11*((R2377-1)*IF(Skills!G11&gt;0,Skills!H11/Skills!G11,1)+IF(Skills!G11&gt;0,MIN(Skills!H11,MAX(0,MAX(0,Inputs!$B$43-B2400)-((R2377-1)*(IF(Inputs!$B$38="pvp",15,MAX(0.1,Skills!D11-IF(TRUE=TRUE,Inputs!$B$32,0)))*(1-IF(AND(ArtifactsInput!$M$27,Inputs!$B$4="Chapter Hunt"),CHOOSE(ArtifactsInput!$N$27+1,20,24,28,32,36,40),0)/100)))))/Skills!G11,1)))/Inputs!$B$43),G2377*Q2377)*0.5*IF(Inputs!$B$38="pvp",1,1+(Inputs!$B$20+Skills!O11+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2377*(1-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2377*(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2377*(1-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2377*(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7">
        <f>IF(C2377,H2377*N2377*IF(AND(Inputs!$B$38&lt;&gt;"pvp",Inputs!$B$43&gt;0),((Skills!F11*((R2377-1)*IF(Skills!G11&gt;0,Skills!H11/Skills!G11,1)+IF(Skills!G11&gt;0,MIN(Skills!H11,MAX(0,MAX(0,Inputs!$B$43-B2400)-((R2377-1)*(IF(Inputs!$B$38="pvp",15,MAX(0.1,Skills!D11-IF(TRUE=TRUE,Inputs!$B$32,0)))*(1-IF(AND(ArtifactsInput!$M$27,Inputs!$B$4="Chapter Hunt"),CHOOSE(ArtifactsInput!$N$27+1,20,24,28,32,36,40),0)/100)))))/Skills!G11,1)))/Inputs!$B$43),G2377*Q2377)*1*IF(Inputs!$B$38="pvp",1,(1+(Inputs!$B$21+Skills!P11+B2394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8">
      <c r="A2378">
        <f>Skills!A12</f>
        <v/>
      </c>
      <c r="B2378">
        <f>Skills!B12</f>
        <v/>
      </c>
      <c r="C2378">
        <f>Inputs!$B$3&gt;=115</f>
        <v/>
      </c>
      <c r="D2378">
        <f>IF(Skills!C12=1,60+Inputs!$B$25+Inputs!$B$29,IF(Skills!C12=2,90+Inputs!$B$26+Inputs!$B$29,IF(Skills!C12=3,120+Inputs!$B$27+Inputs!$B$29,MAX(0,(Inputs!$B$3-100)*3)+Inputs!$B$28+Inputs!$B$29)))</f>
        <v/>
      </c>
      <c r="E2378">
        <f>INDEX(FactorTable!$B$2:$Y$301, MATCH(ROUND(MIN(300,MAX(1,D2378)),0), FactorTable!$A$2:$A$301,0), Skills!L12+1)</f>
        <v/>
      </c>
      <c r="F2378">
        <f>IF(Skills!M12=TRUE,(Skills!K12/10)*(E2378/1000),Skills!K12/10)+Skills!N12</f>
        <v/>
      </c>
      <c r="G2378">
        <f>Calc!G12</f>
        <v/>
      </c>
      <c r="H2378">
        <f>Calc!H12</f>
        <v/>
      </c>
      <c r="I2378">
        <f>IF(Skills!T12&lt;&gt;"",1+(Skills!T12/10)*(Z2369/1000)/100,1)</f>
        <v/>
      </c>
      <c r="J2378">
        <f>((Inputs!$B$6*(1+Inputs!$B$7/100))+(((Inputs!$B$12*(1+Inputs!$B$13/100))-(Inputs!$B$12*(1+Inputs!$B$13/100)))+0.25*(Inputs!$B$14-Inputs!$B$14))*(1+Inputs!$B$7/100))*(F2378/100)</f>
        <v/>
      </c>
      <c r="K2378">
        <f>J2378*(1+((Inputs!$B$12*(1+Inputs!$B$13/100))*0.01+Inputs!$B$14*0.0025)/100)*(1+(Inputs!$B$15+B2395)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2381=TRUE,F2381,0)/100)*(1+IF(C2389=TRUE,F2389,0)/100)^5*(1+(IF(Skills!A12="CHAIN_LIGHTNING",Inputs!$B$17+((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2393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2378)</f>
        <v/>
      </c>
      <c r="L2378">
        <f>K2378*(MIN(Inputs!$B$22+(F2384-Calc!F18),(Inputs!$B$23+(IF(ArtifactsInput!$M$15,CHOOSE(ArtifactsInput!$N$15+1,25,30,35,40,45,50)/100*(Inputs!$B$11-Inputs!$B$11),0))))/100+(Inputs!$B$23+(IF(ArtifactsInput!$M$15,CHOOSE(ArtifactsInput!$N$15+1,25,30,35,40,45,50)/100*(Inputs!$B$11-Inputs!$B$11),0)))/100)/2</f>
        <v/>
      </c>
      <c r="M2378">
        <f>L2378*(1+(Inputs!$B$10+(F2387-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8">
        <f>L2378*(1-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2378*(MIN((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8">
        <f>(1-Summary!$B$11)*S2378+Summary!$B$11*U2378</f>
        <v/>
      </c>
      <c r="P2378">
        <f>IF(B2403=0,0,O2378/B2403)</f>
        <v/>
      </c>
      <c r="Q2378">
        <f>IFERROR(1/(IF(Inputs!$B$38="pvp",15,MAX(0.1,Skills!D12-IF(TRUE=TRUE,Inputs!$B$32,0)))*(1-IF(AND(ArtifactsInput!$M$27,Inputs!$B$4="Chapter Hunt"),CHOOSE(ArtifactsInput!$N$27+1,20,24,28,32,36,40),0)/100)),0)</f>
        <v/>
      </c>
      <c r="R2378">
        <f>IF(AND(Inputs!$B$38&lt;&gt;"pvp",Inputs!$B$43&gt;0),IF(MAX(0,Inputs!$B$43-B2400)&lt;=0,0,(INT(MAX(0,Inputs!$B$43-B2400)/(IF(Inputs!$B$38="pvp",15,MAX(0.1,Skills!D12-IF(TRUE=TRUE,Inputs!$B$32,0)))*(1-IF(AND(ArtifactsInput!$M$27,Inputs!$B$4="Chapter Hunt"),CHOOSE(ArtifactsInput!$N$27+1,20,24,28,32,36,40),0)/100)))+1)),0)</f>
        <v/>
      </c>
      <c r="S2378">
        <f>IF(C2378,(H2378*N2378*IF(AND(Inputs!$B$38&lt;&gt;"pvp",Inputs!$B$43&gt;0),((Skills!F12*((R2378-1)*IF(Skills!G12&gt;0,Skills!H12/Skills!G12,1)+IF(Skills!G12&gt;0,MIN(Skills!H12,MAX(0,MAX(0,Inputs!$B$43-B2400)-((R2378-1)*(IF(Inputs!$B$38="pvp",15,MAX(0.1,Skills!D12-IF(TRUE=TRUE,Inputs!$B$32,0)))*(1-IF(AND(ArtifactsInput!$M$27,Inputs!$B$4="Chapter Hunt"),CHOOSE(ArtifactsInput!$N$27+1,20,24,28,32,36,40),0)/100)))))/Skills!G12,1)))/Inputs!$B$43),G2378*Q2378))*IF(Inputs!$B$38="pvp",1,1+(Inputs!$B$20+Skills!O12+B2394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2378*(1-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2378*(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2378*(1-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2378*(MIN(100,(Inputs!$B$9+((F2386-Calc!F20)+(F2385-Calc!F19))+(ArtifactsInput!$M$24-ArtifactsInput!$M$24)*CHOOSE(ArtifactsInput!$N$24+1,10,12,14,16,18,20)+(IF(AND(Inputs!$B$38&lt;&gt;"pvp",Inputs!$B$43=0),1,IF(IF(Inputs!$B$38="pvp",15,Inputs!$B$43)-(B2400)&lt;=0,1,MAX(0,IF(Inputs!$B$38="pvp",15,Inputs!$B$43)-MAX(5,B2400))/(IF(Inputs!$B$38="pvp",15,Inputs!$B$43)-(B2400)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78">
        <f>IF(C2378,(H2378*N2378*IF(AND(Inputs!$B$38&lt;&gt;"pvp",Inputs!$B$43&gt;0),((Skills!F12*((R2378-1)*IF(Skills!G12&gt;0,Skills!H12/Skills!G12,1)+IF(Skills!G12&gt;0,MIN(Skills!H12,MAX(0,MAX(0,Inputs!$B$43-B2400)-((R2378-1)*(IF(Inputs!$B$38="pvp",15,MAX(0.1,Skills!D12-IF(TRUE=TRUE,Inputs!$B$32,0)))*(1-IF(AND(ArtifactsInput!$M$27,Inputs!$B$4="Chapter Hunt"),CHOOSE(ArtifactsInput!$N$27+1,20,24,28,32,36,40),0)/100)))))/Skills!G12,1)))/Inputs!$B$43),G2378*Q2378))*IF(Inputs!$B$38="pvp",1,(1+(Inputs!$B$21+Skills!P12+B2394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9">
      <c r="A2379">
        <f>Skills!A13</f>
        <v/>
      </c>
      <c r="B2379">
        <f>Skills!B13</f>
        <v/>
      </c>
      <c r="C2379">
        <f>Inputs!$B$3&gt;=49</f>
        <v/>
      </c>
      <c r="D2379">
        <f>IF(Skills!C13=1,60+Inputs!$B$25+Inputs!$B$29,IF(Skills!C13=2,90+Inputs!$B$26+Inputs!$B$29,IF(Skills!C13=3,120+Inputs!$B$27+Inputs!$B$29,MAX(0,(Inputs!$B$3-100)*3)+Inputs!$B$28+Inputs!$B$29)))</f>
        <v/>
      </c>
      <c r="E2379">
        <f>INDEX(FactorTable!$B$2:$Y$301, MATCH(ROUND(MIN(300,MAX(1,D2379)),0), FactorTable!$A$2:$A$301,0), Skills!L13+1)</f>
        <v/>
      </c>
      <c r="F2379">
        <f>IF(Skills!M13=TRUE,(Skills!K13/10)*(E2379/1000),Skills!K13/10)+Skills!N13</f>
        <v/>
      </c>
      <c r="G2379">
        <f>Calc!G13</f>
        <v/>
      </c>
      <c r="H2379">
        <f>Calc!H13</f>
        <v/>
      </c>
      <c r="I2379">
        <f>IF(Skills!T13&lt;&gt;"",1+(Skills!T13/10)*(Z2369/1000)/100,1)</f>
        <v/>
      </c>
      <c r="J2379" t="inlineStr"/>
      <c r="K2379" t="inlineStr"/>
      <c r="L2379" t="inlineStr"/>
      <c r="M2379" t="inlineStr"/>
      <c r="N2379" t="inlineStr"/>
      <c r="O2379">
        <f>(1-Summary!$B$11)*S2379+Summary!$B$11*U2379</f>
        <v/>
      </c>
      <c r="P2379">
        <f>IF(B2403=0,0,O2379/B2403)</f>
        <v/>
      </c>
      <c r="Q2379">
        <f>IFERROR(1/(IF(Inputs!$B$38="pvp",15,MAX(0.1,Skills!D13-IF(TRUE=TRUE,Inputs!$B$32,0)))*(1-IF(AND(ArtifactsInput!$M$27,Inputs!$B$4="Chapter Hunt"),CHOOSE(ArtifactsInput!$N$27+1,20,24,28,32,36,40),0)/100)),0)</f>
        <v/>
      </c>
      <c r="R2379" t="n">
        <v>0</v>
      </c>
      <c r="S2379" t="n">
        <v>0</v>
      </c>
      <c r="U2379" t="n">
        <v>0</v>
      </c>
    </row>
    <row r="2380">
      <c r="A2380">
        <f>Skills!A14</f>
        <v/>
      </c>
      <c r="B2380">
        <f>Skills!B14</f>
        <v/>
      </c>
      <c r="C2380">
        <f>Inputs!$B$3&gt;=72</f>
        <v/>
      </c>
      <c r="D2380">
        <f>IF(Skills!C14=1,60+Inputs!$B$25+Inputs!$B$29,IF(Skills!C14=2,90+Inputs!$B$26+Inputs!$B$29,IF(Skills!C14=3,120+Inputs!$B$27+Inputs!$B$29,MAX(0,(Inputs!$B$3-100)*3)+Inputs!$B$28+Inputs!$B$29)))</f>
        <v/>
      </c>
      <c r="E2380">
        <f>INDEX(FactorTable!$B$2:$Y$301, MATCH(ROUND(MIN(300,MAX(1,D2380)),0), FactorTable!$A$2:$A$301,0), Skills!L14+1)</f>
        <v/>
      </c>
      <c r="F2380">
        <f>IF(Skills!M14=TRUE,(Skills!K14/10)*(E2380/1000),Skills!K14/10)+Skills!N14</f>
        <v/>
      </c>
      <c r="G2380">
        <f>Calc!G14</f>
        <v/>
      </c>
      <c r="H2380">
        <f>Calc!H14</f>
        <v/>
      </c>
      <c r="I2380">
        <f>IF(Skills!T14&lt;&gt;"",1+(Skills!T14/10)*(Z2369/1000)/100,1)</f>
        <v/>
      </c>
      <c r="J2380" t="inlineStr"/>
      <c r="K2380" t="inlineStr"/>
      <c r="L2380" t="inlineStr"/>
      <c r="M2380" t="inlineStr"/>
      <c r="N2380" t="inlineStr"/>
      <c r="O2380">
        <f>(1-Summary!$B$11)*S2380+Summary!$B$11*U2380</f>
        <v/>
      </c>
      <c r="P2380">
        <f>IF(B2403=0,0,O2380/B2403)</f>
        <v/>
      </c>
      <c r="Q2380">
        <f>IFERROR(1/(IF(Inputs!$B$38="pvp",15,MAX(0.1,Skills!D14-IF(TRUE=TRUE,Inputs!$B$32,0)))*(1-IF(AND(ArtifactsInput!$M$27,Inputs!$B$4="Chapter Hunt"),CHOOSE(ArtifactsInput!$N$27+1,20,24,28,32,36,40),0)/100)),0)</f>
        <v/>
      </c>
      <c r="R2380" t="n">
        <v>0</v>
      </c>
      <c r="S2380" t="n">
        <v>0</v>
      </c>
      <c r="U2380" t="n">
        <v>0</v>
      </c>
    </row>
    <row r="2381">
      <c r="A2381">
        <f>Skills!A15</f>
        <v/>
      </c>
      <c r="B2381">
        <f>Skills!B15</f>
        <v/>
      </c>
      <c r="C2381">
        <f>Inputs!$B$3&gt;=75</f>
        <v/>
      </c>
      <c r="D2381">
        <f>IF(Skills!C15=1,60+Inputs!$B$25+Inputs!$B$29,IF(Skills!C15=2,90+Inputs!$B$26+Inputs!$B$29,IF(Skills!C15=3,120+Inputs!$B$27+Inputs!$B$29,MAX(0,(Inputs!$B$3-100)*3)+Inputs!$B$28+Inputs!$B$29)))</f>
        <v/>
      </c>
      <c r="E2381">
        <f>INDEX(FactorTable!$B$2:$Y$301, MATCH(ROUND(MIN(300,MAX(1,D2381)),0), FactorTable!$A$2:$A$301,0), Skills!L15+1)</f>
        <v/>
      </c>
      <c r="F2381">
        <f>IF(Skills!M15=TRUE,(Skills!K15/10)*(E2381/1000),Skills!K15/10)+Skills!N15</f>
        <v/>
      </c>
      <c r="G2381">
        <f>Calc!G15</f>
        <v/>
      </c>
      <c r="H2381">
        <f>Calc!H15</f>
        <v/>
      </c>
      <c r="I2381">
        <f>IF(Skills!T15&lt;&gt;"",1+(Skills!T15/10)*(Z2369/1000)/100,1)</f>
        <v/>
      </c>
      <c r="J2381" t="inlineStr"/>
      <c r="K2381" t="inlineStr"/>
      <c r="L2381" t="inlineStr"/>
      <c r="M2381" t="inlineStr"/>
      <c r="N2381" t="inlineStr"/>
      <c r="O2381">
        <f>(1-Summary!$B$11)*S2381+Summary!$B$11*U2381</f>
        <v/>
      </c>
      <c r="P2381">
        <f>IF(B2403=0,0,O2381/B2403)</f>
        <v/>
      </c>
      <c r="Q2381">
        <f>IFERROR(1/(IF(Inputs!$B$38="pvp",15,MAX(0.1,Skills!D15-IF(TRUE=TRUE,Inputs!$B$32,0)))*(1-IF(AND(ArtifactsInput!$M$27,Inputs!$B$4="Chapter Hunt"),CHOOSE(ArtifactsInput!$N$27+1,20,24,28,32,36,40),0)/100)),0)</f>
        <v/>
      </c>
      <c r="R2381" t="n">
        <v>0</v>
      </c>
      <c r="S2381" t="n">
        <v>0</v>
      </c>
      <c r="U2381" t="n">
        <v>0</v>
      </c>
    </row>
    <row r="2382">
      <c r="A2382">
        <f>Skills!A16</f>
        <v/>
      </c>
      <c r="B2382">
        <f>Skills!B16</f>
        <v/>
      </c>
      <c r="C2382">
        <f>Inputs!$B$3&gt;=110</f>
        <v/>
      </c>
      <c r="D2382">
        <f>IF(Skills!C16=1,60+Inputs!$B$25+Inputs!$B$29,IF(Skills!C16=2,90+Inputs!$B$26+Inputs!$B$29,IF(Skills!C16=3,120+Inputs!$B$27+Inputs!$B$29,MAX(0,(Inputs!$B$3-100)*3)+Inputs!$B$28+Inputs!$B$29)))</f>
        <v/>
      </c>
      <c r="E2382">
        <f>INDEX(FactorTable!$B$2:$Y$301, MATCH(ROUND(MIN(300,MAX(1,D2382)),0), FactorTable!$A$2:$A$301,0), Skills!L16+1)</f>
        <v/>
      </c>
      <c r="F2382">
        <f>(Skills!K16/10)*(E2382/1000)*64/45+Skills!N16</f>
        <v/>
      </c>
      <c r="G2382">
        <f>Calc!G16</f>
        <v/>
      </c>
      <c r="H2382">
        <f>Calc!H16</f>
        <v/>
      </c>
      <c r="I2382">
        <f>IF(Skills!T16&lt;&gt;"",1+(Skills!T16/10)*(Z2369/1000)/100,1)</f>
        <v/>
      </c>
      <c r="J2382" t="inlineStr"/>
      <c r="K2382" t="inlineStr"/>
      <c r="L2382" t="inlineStr"/>
      <c r="M2382" t="inlineStr"/>
      <c r="N2382" t="inlineStr"/>
      <c r="O2382">
        <f>(1-Summary!$B$11)*S2382+Summary!$B$11*U2382</f>
        <v/>
      </c>
      <c r="P2382">
        <f>IF(B2403=0,0,O2382/B2403)</f>
        <v/>
      </c>
      <c r="Q2382">
        <f>IFERROR(1/(IF(Inputs!$B$38="pvp",15,MAX(0.1,Skills!D16-IF(TRUE=TRUE,Inputs!$B$32,0)))*(1-IF(AND(ArtifactsInput!$M$27,Inputs!$B$4="Chapter Hunt"),CHOOSE(ArtifactsInput!$N$27+1,20,24,28,32,36,40),0)/100)),0)</f>
        <v/>
      </c>
      <c r="R2382">
        <f>IF(AND(Inputs!$B$38&lt;&gt;"pvp",Inputs!$B$43&gt;0),IF(Inputs!$B$43&lt;=0,0,(INT(Inputs!$B$43/(IF(Inputs!$B$38="pvp",15,MAX(0.1,Skills!D16-IF(TRUE=TRUE,Inputs!$B$32,0)))*(1-IF(AND(ArtifactsInput!$M$27,Inputs!$B$4="Chapter Hunt"),CHOOSE(ArtifactsInput!$N$27+1,20,24,28,32,36,40),0)/100)))+1)),0)</f>
        <v/>
      </c>
      <c r="S2382" t="n">
        <v>0</v>
      </c>
      <c r="U2382" t="n">
        <v>0</v>
      </c>
    </row>
    <row r="2383">
      <c r="A2383">
        <f>Skills!A17</f>
        <v/>
      </c>
      <c r="B2383">
        <f>Skills!B17</f>
        <v/>
      </c>
      <c r="C2383">
        <f>Inputs!$B$3&gt;=33</f>
        <v/>
      </c>
      <c r="D2383">
        <f>IF(Skills!C17=1,60+Inputs!$B$25+Inputs!$B$29,IF(Skills!C17=2,90+Inputs!$B$26+Inputs!$B$29,IF(Skills!C17=3,120+Inputs!$B$27+Inputs!$B$29,MAX(0,(Inputs!$B$3-100)*3)+Inputs!$B$28+Inputs!$B$29)))</f>
        <v/>
      </c>
      <c r="E2383">
        <f>INDEX(FactorTable!$B$2:$Y$301, MATCH(ROUND(MIN(300,MAX(1,D2383)),0), FactorTable!$A$2:$A$301,0), Skills!L17+1)</f>
        <v/>
      </c>
      <c r="F2383">
        <f>IF(Skills!M17=TRUE,(Skills!K17/10)*(E2383/1000),Skills!K17/10)+Skills!N17</f>
        <v/>
      </c>
      <c r="G2383">
        <f>Calc!G17</f>
        <v/>
      </c>
      <c r="H2383">
        <f>Calc!H17</f>
        <v/>
      </c>
      <c r="I2383">
        <f>IF(Skills!T17&lt;&gt;"",1+(Skills!T17/10)*(Z2369/1000)/100,1)</f>
        <v/>
      </c>
      <c r="J2383" t="inlineStr"/>
      <c r="K2383" t="inlineStr"/>
      <c r="L2383" t="inlineStr"/>
      <c r="M2383" t="inlineStr"/>
      <c r="N2383" t="inlineStr"/>
      <c r="O2383">
        <f>(1-Summary!$B$11)*S2383+Summary!$B$11*U2383</f>
        <v/>
      </c>
      <c r="P2383">
        <f>IF(B2403=0,0,O2383/B2403)</f>
        <v/>
      </c>
      <c r="Q2383">
        <f>IFERROR(1/(IF(Inputs!$B$38="pvp",15,MAX(0.1,Skills!D17-IF(TRUE=TRUE,Inputs!$B$32,0)))*(1-IF(AND(ArtifactsInput!$M$27,Inputs!$B$4="Chapter Hunt"),CHOOSE(ArtifactsInput!$N$27+1,20,24,28,32,36,40),0)/100)),0)</f>
        <v/>
      </c>
      <c r="R2383" t="n">
        <v>0</v>
      </c>
      <c r="S2383" t="n">
        <v>0</v>
      </c>
      <c r="U2383" t="n">
        <v>0</v>
      </c>
    </row>
    <row r="2384">
      <c r="A2384">
        <f>Skills!A18</f>
        <v/>
      </c>
      <c r="B2384">
        <f>Skills!B18</f>
        <v/>
      </c>
      <c r="C2384">
        <f>Inputs!$B$3&gt;=43</f>
        <v/>
      </c>
      <c r="D2384">
        <f>IF(Skills!C18=1,60+Inputs!$B$25+Inputs!$B$29,IF(Skills!C18=2,90+Inputs!$B$26+Inputs!$B$29,IF(Skills!C18=3,120+Inputs!$B$27+Inputs!$B$29,MAX(0,(Inputs!$B$3-100)*3)+Inputs!$B$28+Inputs!$B$29)))</f>
        <v/>
      </c>
      <c r="E2384">
        <f>INDEX(FactorTable!$B$2:$Y$301, MATCH(ROUND(MIN(300,MAX(1,D2384)),0), FactorTable!$A$2:$A$301,0), Skills!L18+1)</f>
        <v/>
      </c>
      <c r="F2384">
        <f>IF(Skills!M18=TRUE,(Skills!K18/10)*(E2384/1000),Skills!K18/10)+Skills!N18</f>
        <v/>
      </c>
      <c r="G2384">
        <f>Calc!G18</f>
        <v/>
      </c>
      <c r="H2384">
        <f>Calc!H18</f>
        <v/>
      </c>
      <c r="I2384">
        <f>IF(Skills!T18&lt;&gt;"",1+(Skills!T18/10)*(Z2369/1000)/100,1)</f>
        <v/>
      </c>
      <c r="J2384" t="inlineStr"/>
      <c r="K2384" t="inlineStr"/>
      <c r="L2384" t="inlineStr"/>
      <c r="M2384" t="inlineStr"/>
      <c r="N2384" t="inlineStr"/>
      <c r="O2384">
        <f>(1-Summary!$B$11)*S2384+Summary!$B$11*U2384</f>
        <v/>
      </c>
      <c r="P2384">
        <f>IF(B2403=0,0,O2384/B2403)</f>
        <v/>
      </c>
      <c r="Q2384">
        <f>IFERROR(1/(IF(Inputs!$B$38="pvp",15,MAX(0.1,Skills!D18-IF(TRUE=TRUE,Inputs!$B$32,0)))*(1-IF(AND(ArtifactsInput!$M$27,Inputs!$B$4="Chapter Hunt"),CHOOSE(ArtifactsInput!$N$27+1,20,24,28,32,36,40),0)/100)),0)</f>
        <v/>
      </c>
      <c r="R2384" t="n">
        <v>0</v>
      </c>
      <c r="S2384" t="n">
        <v>0</v>
      </c>
      <c r="U2384" t="n">
        <v>0</v>
      </c>
    </row>
    <row r="2385">
      <c r="A2385">
        <f>Skills!A19</f>
        <v/>
      </c>
      <c r="B2385">
        <f>Skills!B19</f>
        <v/>
      </c>
      <c r="C2385">
        <f>Inputs!$B$3&gt;=50</f>
        <v/>
      </c>
      <c r="D2385">
        <f>IF(Skills!C19=1,60+Inputs!$B$25+Inputs!$B$29,IF(Skills!C19=2,90+Inputs!$B$26+Inputs!$B$29,IF(Skills!C19=3,120+Inputs!$B$27+Inputs!$B$29,MAX(0,(Inputs!$B$3-100)*3)+Inputs!$B$28+Inputs!$B$29)))</f>
        <v/>
      </c>
      <c r="E2385">
        <f>INDEX(FactorTable!$B$2:$Y$301, MATCH(ROUND(MIN(300,MAX(1,D2385)),0), FactorTable!$A$2:$A$301,0), Skills!L19+1)</f>
        <v/>
      </c>
      <c r="F2385">
        <f>IF(Skills!M19=TRUE,(Skills!K19/10)*(E2385/1000),Skills!K19/10)+Skills!N19</f>
        <v/>
      </c>
      <c r="G2385">
        <f>Calc!G19</f>
        <v/>
      </c>
      <c r="H2385">
        <f>Calc!H19</f>
        <v/>
      </c>
      <c r="I2385">
        <f>IF(Skills!T19&lt;&gt;"",1+(Skills!T19/10)*(Z2369/1000)/100,1)</f>
        <v/>
      </c>
      <c r="J2385" t="inlineStr"/>
      <c r="K2385" t="inlineStr"/>
      <c r="L2385" t="inlineStr"/>
      <c r="M2385" t="inlineStr"/>
      <c r="N2385" t="inlineStr"/>
      <c r="O2385">
        <f>(1-Summary!$B$11)*S2385+Summary!$B$11*U2385</f>
        <v/>
      </c>
      <c r="P2385">
        <f>IF(B2403=0,0,O2385/B2403)</f>
        <v/>
      </c>
      <c r="Q2385">
        <f>IFERROR(1/(IF(Inputs!$B$38="pvp",15,MAX(0.1,Skills!D19-IF(TRUE=TRUE,Inputs!$B$32,0)))*(1-IF(AND(ArtifactsInput!$M$27,Inputs!$B$4="Chapter Hunt"),CHOOSE(ArtifactsInput!$N$27+1,20,24,28,32,36,40),0)/100)),0)</f>
        <v/>
      </c>
      <c r="R2385" t="n">
        <v>0</v>
      </c>
      <c r="S2385" t="n">
        <v>0</v>
      </c>
      <c r="U2385" t="n">
        <v>0</v>
      </c>
    </row>
    <row r="2386">
      <c r="A2386">
        <f>Skills!A20</f>
        <v/>
      </c>
      <c r="B2386">
        <f>Skills!B20</f>
        <v/>
      </c>
      <c r="C2386">
        <f>Inputs!$B$3&gt;=74</f>
        <v/>
      </c>
      <c r="D2386">
        <f>IF(Skills!C20=1,60+Inputs!$B$25+Inputs!$B$29,IF(Skills!C20=2,90+Inputs!$B$26+Inputs!$B$29,IF(Skills!C20=3,120+Inputs!$B$27+Inputs!$B$29,MAX(0,(Inputs!$B$3-100)*3)+Inputs!$B$28+Inputs!$B$29)))</f>
        <v/>
      </c>
      <c r="E2386">
        <f>INDEX(FactorTable!$B$2:$Y$301, MATCH(ROUND(MIN(300,MAX(1,D2386)),0), FactorTable!$A$2:$A$301,0), Skills!L20+1)</f>
        <v/>
      </c>
      <c r="F2386">
        <f>IF(Skills!M20=TRUE,(Skills!K20/10)*(E2386/1000),Skills!K20/10)+Skills!N20</f>
        <v/>
      </c>
      <c r="G2386">
        <f>Calc!G20</f>
        <v/>
      </c>
      <c r="H2386">
        <f>Calc!H20</f>
        <v/>
      </c>
      <c r="I2386">
        <f>IF(Skills!T20&lt;&gt;"",1+(Skills!T20/10)*(Z2369/1000)/100,1)</f>
        <v/>
      </c>
      <c r="J2386" t="inlineStr"/>
      <c r="K2386" t="inlineStr"/>
      <c r="L2386" t="inlineStr"/>
      <c r="M2386" t="inlineStr"/>
      <c r="N2386" t="inlineStr"/>
      <c r="O2386">
        <f>(1-Summary!$B$11)*S2386+Summary!$B$11*U2386</f>
        <v/>
      </c>
      <c r="P2386">
        <f>IF(B2403=0,0,O2386/B2403)</f>
        <v/>
      </c>
      <c r="Q2386">
        <f>IFERROR(1/(IF(Inputs!$B$38="pvp",15,MAX(0.1,Skills!D20-IF(TRUE=TRUE,Inputs!$B$32,0)))*(1-IF(AND(ArtifactsInput!$M$27,Inputs!$B$4="Chapter Hunt"),CHOOSE(ArtifactsInput!$N$27+1,20,24,28,32,36,40),0)/100)),0)</f>
        <v/>
      </c>
      <c r="R2386" t="n">
        <v>0</v>
      </c>
      <c r="S2386" t="n">
        <v>0</v>
      </c>
      <c r="U2386" t="n">
        <v>0</v>
      </c>
    </row>
    <row r="2387">
      <c r="A2387">
        <f>Skills!A21</f>
        <v/>
      </c>
      <c r="B2387">
        <f>Skills!B21</f>
        <v/>
      </c>
      <c r="C2387">
        <f>Inputs!$B$3&gt;=74</f>
        <v/>
      </c>
      <c r="D2387">
        <f>IF(Skills!C21=1,60+Inputs!$B$25+Inputs!$B$29,IF(Skills!C21=2,90+Inputs!$B$26+Inputs!$B$29,IF(Skills!C21=3,120+Inputs!$B$27+Inputs!$B$29,MAX(0,(Inputs!$B$3-100)*3)+Inputs!$B$28+Inputs!$B$29)))</f>
        <v/>
      </c>
      <c r="E2387">
        <f>INDEX(FactorTable!$B$2:$Y$301, MATCH(ROUND(MIN(300,MAX(1,D2387)),0), FactorTable!$A$2:$A$301,0), Skills!L21+1)</f>
        <v/>
      </c>
      <c r="F2387">
        <f>IF(Skills!M21=TRUE,(Skills!K21/10)*(E2387/1000),Skills!K21/10)+Skills!N21</f>
        <v/>
      </c>
      <c r="G2387">
        <f>Calc!G21</f>
        <v/>
      </c>
      <c r="H2387">
        <f>Calc!H21</f>
        <v/>
      </c>
      <c r="I2387">
        <f>IF(Skills!T21&lt;&gt;"",1+(Skills!T21/10)*(Z2369/1000)/100,1)</f>
        <v/>
      </c>
      <c r="J2387" t="inlineStr"/>
      <c r="K2387" t="inlineStr"/>
      <c r="L2387" t="inlineStr"/>
      <c r="M2387" t="inlineStr"/>
      <c r="N2387" t="inlineStr"/>
      <c r="O2387">
        <f>(1-Summary!$B$11)*S2387+Summary!$B$11*U2387</f>
        <v/>
      </c>
      <c r="P2387">
        <f>IF(B2403=0,0,O2387/B2403)</f>
        <v/>
      </c>
      <c r="Q2387">
        <f>IFERROR(1/(IF(Inputs!$B$38="pvp",15,MAX(0.1,Skills!D21-IF(TRUE=TRUE,Inputs!$B$32,0)))*(1-IF(AND(ArtifactsInput!$M$27,Inputs!$B$4="Chapter Hunt"),CHOOSE(ArtifactsInput!$N$27+1,20,24,28,32,36,40),0)/100)),0)</f>
        <v/>
      </c>
      <c r="R2387" t="n">
        <v>0</v>
      </c>
      <c r="S2387" t="n">
        <v>0</v>
      </c>
      <c r="U2387" t="n">
        <v>0</v>
      </c>
    </row>
    <row r="2388">
      <c r="A2388">
        <f>Skills!A22</f>
        <v/>
      </c>
      <c r="B2388">
        <f>Skills!B22</f>
        <v/>
      </c>
      <c r="C2388">
        <f>Inputs!$B$3&gt;=117</f>
        <v/>
      </c>
      <c r="D2388">
        <f>IF(Skills!C22=1,60+Inputs!$B$25+Inputs!$B$29,IF(Skills!C22=2,90+Inputs!$B$26+Inputs!$B$29,IF(Skills!C22=3,120+Inputs!$B$27+Inputs!$B$29,MAX(0,(Inputs!$B$3-100)*3)+Inputs!$B$28+Inputs!$B$29)))</f>
        <v/>
      </c>
      <c r="E2388">
        <f>INDEX(FactorTable!$B$2:$Y$301, MATCH(ROUND(MIN(300,MAX(1,D2388)),0), FactorTable!$A$2:$A$301,0), Skills!L22+1)</f>
        <v/>
      </c>
      <c r="F2388">
        <f>IF(Skills!M22=TRUE,(Skills!K22/10)*(E2388/1000),Skills!K22/10)+Skills!N22</f>
        <v/>
      </c>
      <c r="G2388">
        <f>Calc!G22</f>
        <v/>
      </c>
      <c r="H2388">
        <f>Calc!H22</f>
        <v/>
      </c>
      <c r="I2388">
        <f>IF(Skills!T22&lt;&gt;"",1+(Skills!T22/10)*(Z2369/1000)/100,1)</f>
        <v/>
      </c>
      <c r="J2388" t="inlineStr"/>
      <c r="K2388" t="inlineStr"/>
      <c r="L2388" t="inlineStr"/>
      <c r="M2388" t="inlineStr"/>
      <c r="N2388" t="inlineStr"/>
      <c r="O2388">
        <f>(1-Summary!$B$11)*S2388+Summary!$B$11*U2388</f>
        <v/>
      </c>
      <c r="P2388">
        <f>IF(B2403=0,0,O2388/B2403)</f>
        <v/>
      </c>
      <c r="Q2388">
        <f>IFERROR(1/(IF(Inputs!$B$38="pvp",15,MAX(0.1,Skills!D22-IF(TRUE=TRUE,Inputs!$B$32,0)))*(1-IF(AND(ArtifactsInput!$M$27,Inputs!$B$4="Chapter Hunt"),CHOOSE(ArtifactsInput!$N$27+1,20,24,28,32,36,40),0)/100)),0)</f>
        <v/>
      </c>
      <c r="R2388" t="n">
        <v>0</v>
      </c>
      <c r="S2388" t="n">
        <v>0</v>
      </c>
      <c r="U2388" t="n">
        <v>0</v>
      </c>
    </row>
    <row r="2389">
      <c r="A2389">
        <f>Skills!A23</f>
        <v/>
      </c>
      <c r="B2389">
        <f>Skills!B23</f>
        <v/>
      </c>
      <c r="C2389">
        <f>Inputs!$B$3&gt;=120</f>
        <v/>
      </c>
      <c r="D2389">
        <f>IF(Skills!C23=1,60+Inputs!$B$25+Inputs!$B$29,IF(Skills!C23=2,90+Inputs!$B$26+Inputs!$B$29,IF(Skills!C23=3,120+Inputs!$B$27+Inputs!$B$29,MAX(0,(Inputs!$B$3-100)*3)+Inputs!$B$28+Inputs!$B$29)))</f>
        <v/>
      </c>
      <c r="E2389">
        <f>INDEX(FactorTable!$B$2:$Y$301, MATCH(ROUND(MIN(300,MAX(1,D2389)),0), FactorTable!$A$2:$A$301,0), Skills!L23+1)</f>
        <v/>
      </c>
      <c r="F2389">
        <f>IF(Skills!M23=TRUE,(Skills!K23/10)*(E2389/1000),Skills!K23/10)+Skills!N23</f>
        <v/>
      </c>
      <c r="G2389">
        <f>Calc!G23</f>
        <v/>
      </c>
      <c r="H2389">
        <f>Calc!H23</f>
        <v/>
      </c>
      <c r="I2389">
        <f>IF(Skills!T23&lt;&gt;"",1+(Skills!T23/10)*(Z2369/1000)/100,1)</f>
        <v/>
      </c>
      <c r="J2389" t="inlineStr"/>
      <c r="K2389" t="inlineStr"/>
      <c r="L2389" t="inlineStr"/>
      <c r="M2389" t="inlineStr"/>
      <c r="N2389" t="inlineStr"/>
      <c r="O2389">
        <f>(1-Summary!$B$11)*S2389+Summary!$B$11*U2389</f>
        <v/>
      </c>
      <c r="P2389">
        <f>IF(B2403=0,0,O2389/B2403)</f>
        <v/>
      </c>
      <c r="Q2389">
        <f>IFERROR(1/(IF(Inputs!$B$38="pvp",15,MAX(0.1,Skills!D23-IF(TRUE=TRUE,Inputs!$B$32,0)))*(1-IF(AND(ArtifactsInput!$M$27,Inputs!$B$4="Chapter Hunt"),CHOOSE(ArtifactsInput!$N$27+1,20,24,28,32,36,40),0)/100)),0)</f>
        <v/>
      </c>
      <c r="R2389" t="n">
        <v>0</v>
      </c>
      <c r="S2389" t="n">
        <v>0</v>
      </c>
      <c r="U2389" t="n">
        <v>0</v>
      </c>
    </row>
    <row r="2390">
      <c r="A2390">
        <f>Skills!A24</f>
        <v/>
      </c>
      <c r="B2390">
        <f>Skills!B24</f>
        <v/>
      </c>
      <c r="C2390">
        <f>TRUE</f>
        <v/>
      </c>
      <c r="D2390">
        <f>IF(Skills!C24=1,60+Inputs!$B$25+Inputs!$B$29,IF(Skills!C24=2,90+Inputs!$B$26+Inputs!$B$29,IF(Skills!C24=3,120+Inputs!$B$27+Inputs!$B$29,MAX(0,(Inputs!$B$3-100)*3)+Inputs!$B$28+Inputs!$B$29)))</f>
        <v/>
      </c>
      <c r="E2390">
        <f>INDEX(FactorTable!$B$2:$Y$301, MATCH(ROUND(MIN(300,MAX(1,D2390)),0), FactorTable!$A$2:$A$301,0), Skills!L24+1)</f>
        <v/>
      </c>
      <c r="F2390">
        <f>IF(Skills!M24=TRUE,(Skills!K24/10)*(E2390/1000),Skills!K24/10)+Skills!N24</f>
        <v/>
      </c>
      <c r="G2390">
        <f>Calc!G24</f>
        <v/>
      </c>
      <c r="H2390">
        <f>Calc!H24</f>
        <v/>
      </c>
      <c r="I2390">
        <f>IF(Skills!T24&lt;&gt;"",1+(Skills!T24/10)*(Z2369/1000)/100,1)</f>
        <v/>
      </c>
      <c r="J2390" t="inlineStr"/>
      <c r="K2390" t="inlineStr"/>
      <c r="L2390" t="inlineStr"/>
      <c r="M2390" t="inlineStr"/>
      <c r="N2390" t="inlineStr"/>
      <c r="O2390">
        <f>(1-Summary!$B$11)*S2390+Summary!$B$11*U2390</f>
        <v/>
      </c>
      <c r="P2390">
        <f>IF(B2403=0,0,O2390/B2403)</f>
        <v/>
      </c>
      <c r="Q2390">
        <f>IFERROR(1/(IF(Inputs!$B$38="pvp",15,MAX(0.1,Skills!D24-IF(TRUE=TRUE,Inputs!$B$32,0)))*(1-IF(AND(ArtifactsInput!$M$27,Inputs!$B$4="Chapter Hunt"),CHOOSE(ArtifactsInput!$N$27+1,20,24,28,32,36,40),0)/100)),0)</f>
        <v/>
      </c>
      <c r="R2390">
        <f>IF(AND(Inputs!$B$38&lt;&gt;"pvp",Inputs!$B$43&gt;0),IF(Inputs!$B$43&lt;=0,0,(INT(Inputs!$B$43/(IF(Inputs!$B$38="pvp",15,MAX(0.1,Skills!D24-IF(TRUE=TRUE,Inputs!$B$32,0)))*(1-IF(AND(ArtifactsInput!$M$27,Inputs!$B$4="Chapter Hunt"),CHOOSE(ArtifactsInput!$N$27+1,20,24,28,32,36,40),0)/100)))+1)),0)</f>
        <v/>
      </c>
      <c r="S2390" t="n">
        <v>0</v>
      </c>
      <c r="U2390" t="n">
        <v>0</v>
      </c>
    </row>
    <row r="2393">
      <c r="A2393" t="inlineStr">
        <is>
          <t>Average Buff Multiplier (Magic Guard + Meditation + Artifact Attack%, summed; then Infinity)</t>
        </is>
      </c>
      <c r="B2393">
        <f>(1+(IF(C2369=TRUE,F2369*IF(AND(Inputs!$B$38&lt;&gt;"pvp",Inputs!$B$43&gt;0),(((R2369-1)*MIN((Skills!S3*(1+(Inputs!$B$34)/100)),(1/Q2369))+MIN((Skills!S3*(1+(Inputs!$B$34)/100)),MAX(0,Inputs!$B$43-((R2369-1)*(1/Q2369)))))/Inputs!$B$43),IF(Inputs!$B$38="pvp",MIN((Skills!S3*(1+(Inputs!$B$34)/100)),15)/15,MIN(1,(Skills!S3*(1+(Inputs!$B$34)/100))/(1/Q2369)))),0)+IF(C2370=TRUE,F2370*IF(AND(Inputs!$B$38&lt;&gt;"pvp",Inputs!$B$43&gt;0),(((R2370-1)*MIN((Skills!S4*(1+(Inputs!$B$34)/100)),(1/Q2370))+MIN((Skills!S4*(1+(Inputs!$B$34)/100)),MAX(0,Inputs!$B$43-((R2370-1)*(1/Q2370)))))/Inputs!$B$43),IF(Inputs!$B$38="pvp",MIN((Skills!S4*(1+(Inputs!$B$34)/100)),15)/15,MIN(1,(Skills!S4*(1+(Inputs!$B$34)/100))/(1/Q2370)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2382=TRUE,(1+F2382*IF(AND(Inputs!$B$38&lt;&gt;"pvp",Inputs!$B$43&gt;0),(((R2382-1)*MIN((Skills!S16*(1+(Inputs!$B$34)/100)),(1/Q2382))+MIN((Skills!S16*(1+(Inputs!$B$34)/100)),MAX(0,Inputs!$B$43-((R2382-1)*(1/Q2382)))))/Inputs!$B$43),IF(Inputs!$B$38="pvp",MIN((Skills!S16*(1+(Inputs!$B$34)/100)),15)/15,MIN(1,(Skills!S16*(1+(Inputs!$B$34)/100))/(1/Q2382))))/100),1)</f>
        <v/>
      </c>
    </row>
    <row r="2394">
      <c r="A2394" t="inlineStr">
        <is>
          <t>Monster Damage Taken Bonus % (Freezing Breath - Weaken + Elemental Reset + Artifact Enemy Damage Taken, summed)</t>
        </is>
      </c>
      <c r="B2394">
        <f>IF(Inputs!$B$3&gt;=118,15*IF(Inputs!$B$38="pvp",MIN((30*(1+(Inputs!$B$34)/100)),15)/15,MIN(1,(30*(1+(Inputs!$B$34)/100))/(1/Q2374))),0)+IF(C2380=TRUE,F2380,0)+(IF(AND(ArtifactsInput!$M$35,Inputs!$B$4&lt;&gt;"Chapter Hunt"),CHOOSE(ArtifactsInput!$N$35+1,15,18,21,24,27,30)*(1-EXP(-(0.2*B2397)*5)),0)+IF(AND(ArtifactsInput!$M$22,Inputs!$B$4&lt;&gt;"Chapter Hunt"),CHOOSE(ArtifactsInput!$N$22+1,10,12,14,16,18,20)*((0*(((0.15*B2397*5))^0/1)+1*(((0.15*B2397*5))^1/1)+2*(((0.15*B2397*5))^2/2)+3*(((0.15*B2397*5))^3/6)+4*(((0.15*B2397*5))^4/24)+5*(((0.15*B2397*5))^5/120))/((((0.15*B2397*5))^0/1)+(((0.15*B2397*5))^1/1)+(((0.15*B2397*5))^2/2)+(((0.15*B2397*5))^3/6)+(((0.15*B2397*5))^4/24)+(((0.15*B2397*5))^5/120))),0))</f>
        <v/>
      </c>
    </row>
    <row r="2395">
      <c r="A2395" t="inlineStr">
        <is>
          <t>Damage % Bonus (Frozen Break + Frost Clutch, flat)</t>
        </is>
      </c>
      <c r="B2395">
        <f>IF(Inputs!$B$3&gt;=66,15,0)+IF(Inputs!$B$3&gt;=98,10,0)+IF(Inputs!$B$3&gt;=125,20,0)</f>
        <v/>
      </c>
    </row>
    <row r="2396">
      <c r="A2396" t="inlineStr">
        <is>
          <t>Attack Speed Bonus % (MP Eater - MP Boost, always-on + Nimble Feet, duty-cycle averaged)</t>
        </is>
      </c>
      <c r="B2396">
        <f>IF(C2379=TRUE,F2379+(F2383-Calc!F17),0)+((C2390=TRUE)*F2390*IF(AND(Inputs!$B$38&lt;&gt;"pvp",Inputs!$B$43&gt;0),(((R2390-1)*MIN((Skills!S24*(1+(Inputs!$B$34)/100)),(1/Q2390))+MIN((Skills!S24*(1+(Inputs!$B$34)/100)),MAX(0,Inputs!$B$43-((R2390-1)*(1/Q2390)))))/Inputs!$B$43),IF(Inputs!$B$38="pvp",MIN((Skills!S24*(1+(Inputs!$B$34)/100)),15)/15,MIN(1,(Skills!S24*(1+(Inputs!$B$34)/100))/(1/Q2390)))))</f>
        <v/>
      </c>
    </row>
    <row r="2397">
      <c r="A2397" t="inlineStr">
        <is>
          <t>Actions Per Second</t>
        </is>
      </c>
      <c r="B2397">
        <f>1+MIN(150,150*(1-(1-(Inputs!$B$11+(ArtifactsInput!$M$15-ArtifactsInput!$M$15)*CHOOSE(ArtifactsInput!$N$15+1,8,9.6,11.2,12.8,14.4,16))/150)*(1-B2396/150)))/100</f>
        <v/>
      </c>
    </row>
    <row r="2398">
      <c r="A2398" t="inlineStr">
        <is>
          <t>Skill + Buff Cast Rate</t>
        </is>
      </c>
      <c r="B2398">
        <f>IF(AND(Inputs!$B$38&lt;&gt;"pvp",Inputs!$B$43&gt;0),SUMPRODUCT((Skills!E2:E24=TRUE)*(C2368:C2390=TRUE)*R2368:R2390)/Inputs!$B$43,SUMPRODUCT((Skills!E2:E24=TRUE)*(C2368:C2390=TRUE)*Q2368:Q2390))</f>
        <v/>
      </c>
    </row>
    <row r="2399">
      <c r="A2399" t="inlineStr">
        <is>
          <t>Chain Lightning Casts Per Second</t>
        </is>
      </c>
      <c r="B2399">
        <f>MAX(0,B2397-B2398)</f>
        <v/>
      </c>
    </row>
    <row r="2400">
      <c r="A2400" t="inlineStr">
        <is>
          <t>Buff-Casting Startup Delay (s, fixed-duration only)</t>
        </is>
      </c>
      <c r="B2400">
        <f>IF(AND(Inputs!$B$38&lt;&gt;"pvp",Inputs!$B$43&gt;0),SUMPRODUCT((Skills!S2:S24&gt;0)*(Skills!E2:E24=TRUE)*(C2368:C2390=TRUE))/B2397,0)</f>
        <v/>
      </c>
    </row>
    <row r="2401">
      <c r="A2401" t="inlineStr">
        <is>
          <t>Boss-Only Total DPS (this block's swept value)</t>
        </is>
      </c>
      <c r="B2401">
        <f>SUM(S2368:S2390)</f>
        <v/>
      </c>
    </row>
    <row r="2402">
      <c r="A2402" t="inlineStr">
        <is>
          <t>Normal-Only Total DPS (this block's swept value)</t>
        </is>
      </c>
      <c r="B2402">
        <f>SUM(U2368:U2390)</f>
        <v/>
      </c>
    </row>
    <row r="2403">
      <c r="A2403" s="6" t="inlineStr">
        <is>
          <t>TOTAL DPS</t>
        </is>
      </c>
      <c r="B2403" s="6">
        <f>SUM(O2368:O2390)</f>
        <v/>
      </c>
    </row>
    <row r="2404">
      <c r="A2404" t="inlineStr">
        <is>
          <t>Blizzard Final Attack trigger rate (this block's own Q/R)</t>
        </is>
      </c>
      <c r="B2404">
        <f>IF(AND(Inputs!$B$38&lt;&gt;"pvp",Inputs!$B$43&gt;0),(((C2371=TRUE)*R2371*1)+((C2372=TRUE)*R2372*1)+((C2374=TRUE)*R2374*1)+((C2375=TRUE)*R2375*3)+((C2377=TRUE)*R2377*1))/Inputs!$B$43,((C2371=TRUE)*Q2371*1)+((C2372=TRUE)*Q2372*1)+((C2374=TRUE)*Q2374*1)+((C2375=TRUE)*Q2375*3)+((C2377=TRUE)*Q2377*1))+B2399</f>
        <v/>
      </c>
    </row>
    <row r="2407">
      <c r="A2407" s="6" t="inlineStr">
        <is>
          <t>Stat: Cursed Doll (Equip)</t>
        </is>
      </c>
    </row>
    <row r="2408">
      <c r="A2408" s="5" t="inlineStr">
        <is>
          <t>Key</t>
        </is>
      </c>
      <c r="B2408" s="5" t="inlineStr">
        <is>
          <t>Name</t>
        </is>
      </c>
      <c r="C2408" s="5" t="inlineStr">
        <is>
          <t>Unlocked</t>
        </is>
      </c>
      <c r="D2408" s="5" t="inlineStr">
        <is>
          <t>InputLevel</t>
        </is>
      </c>
      <c r="E2408" s="5" t="inlineStr">
        <is>
          <t>Factor</t>
        </is>
      </c>
      <c r="F2408" s="5" t="inlineStr">
        <is>
          <t>CoefficientPercent</t>
        </is>
      </c>
      <c r="G2408" s="5" t="inlineStr">
        <is>
          <t>EffectiveHits</t>
        </is>
      </c>
      <c r="H2408" s="5" t="inlineStr">
        <is>
          <t>ProcProbability</t>
        </is>
      </c>
      <c r="I2408" s="5" t="inlineStr">
        <is>
          <t>MapleHeroMultiplier</t>
        </is>
      </c>
      <c r="J2408" s="5" t="inlineStr">
        <is>
          <t>BaseDamage</t>
        </is>
      </c>
      <c r="K2408" s="5" t="inlineStr">
        <is>
          <t>BaseHitDamage</t>
        </is>
      </c>
      <c r="L2408" s="5" t="inlineStr">
        <is>
          <t>NonCritAvg</t>
        </is>
      </c>
      <c r="M2408" s="5" t="inlineStr">
        <is>
          <t>CritAvg</t>
        </is>
      </c>
      <c r="N2408" s="5" t="inlineStr">
        <is>
          <t>ExpectedDamage(perHit)</t>
        </is>
      </c>
      <c r="O2408" s="5" t="inlineStr">
        <is>
          <t>DPS</t>
        </is>
      </c>
      <c r="P2408" s="5" t="inlineStr">
        <is>
          <t>% of Total</t>
        </is>
      </c>
      <c r="R2408" t="inlineStr">
        <is>
          <t>helpers</t>
        </is>
      </c>
    </row>
    <row r="2409">
      <c r="A2409">
        <f>Skills!A2</f>
        <v/>
      </c>
      <c r="B2409">
        <f>Skills!B2</f>
        <v/>
      </c>
      <c r="C2409">
        <f>Inputs!$B$3&gt;=100</f>
        <v/>
      </c>
      <c r="D2409" t="inlineStr"/>
      <c r="E2409" t="inlineStr"/>
      <c r="F2409">
        <f>T2411+Skills!N2</f>
        <v/>
      </c>
      <c r="G2409">
        <f>Calc!G2</f>
        <v/>
      </c>
      <c r="H2409">
        <f>Calc!H2</f>
        <v/>
      </c>
      <c r="I2409">
        <f>IF(Skills!T2&lt;&gt;"",1+(Skills!T2/10)*(Z2410/1000)/100,1)</f>
        <v/>
      </c>
      <c r="J2409">
        <f>((Inputs!$B$6*(1+Inputs!$B$7/100))+(((Inputs!$B$12*(1+Inputs!$B$13/100))-(Inputs!$B$12*(1+Inputs!$B$13/100)))+0.25*(Inputs!$B$14-Inputs!$B$14))*(1+Inputs!$B$7/100))*(F2409/100)</f>
        <v/>
      </c>
      <c r="K2409">
        <f>J2409*(1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2="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2409)</f>
        <v/>
      </c>
      <c r="L2409">
        <f>K2409*(MIN(Inputs!$B$22+(F2425-Calc!F18),(Inputs!$B$23+(IF(ArtifactsInput!$M$15,CHOOSE(ArtifactsInput!$N$15+1,25,30,35,40,45,50)/100*(Inputs!$B$11-Inputs!$B$11),0))))/100+(Inputs!$B$23+(IF(ArtifactsInput!$M$15,CHOOSE(ArtifactsInput!$N$15+1,25,30,35,40,45,50)/100*(Inputs!$B$11-Inputs!$B$11),0)))/100)/2</f>
        <v/>
      </c>
      <c r="M2409">
        <f>L2409*(1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09">
        <f>L2409*(1-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2409*(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09">
        <f>(1-Summary!$B$11)*S2409+Summary!$B$11*U2409</f>
        <v/>
      </c>
      <c r="P2409">
        <f>IF(B2444=0,0,O2409/B2444)</f>
        <v/>
      </c>
      <c r="Q2409">
        <f>IFERROR(1/(IF(Inputs!$B$38="pvp",15,MAX(0.1,Skills!D2-IF(TRUE=TRUE,Inputs!$B$32,0)))*(1-IF(AND(ArtifactsInput!$M$27,Inputs!$B$4="Chapter Hunt"),CHOOSE(ArtifactsInput!$N$27+1,20,24,28,32,36,40),0)/100)),0)</f>
        <v/>
      </c>
      <c r="R2409" t="n">
        <v>0</v>
      </c>
      <c r="S2409">
        <f>IF(C2409,(Skills!F2*N2409*B2440)*IF(Inputs!$B$38="pvp",1,1+(Inputs!$B$20+Skills!O2+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2409*(1-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2409*(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2409*(1-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2409*(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09">
        <f>MAX(0,(Inputs!$B$3-100)*3)+Inputs!$B$28+Inputs!$B$29</f>
        <v/>
      </c>
      <c r="U2409">
        <f>IF(C2409,(Skills!F2*N2409*B2440)*IF(Inputs!$B$38="pvp",1,(1+(Inputs!$B$21+Skills!P2+B2435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09">
        <f>MAX(0,(Inputs!$B$3-100)*3)+Inputs!$B$28+Inputs!$B$29</f>
        <v/>
      </c>
    </row>
    <row r="2410">
      <c r="A2410">
        <f>Skills!A3</f>
        <v/>
      </c>
      <c r="B2410">
        <f>Skills!B3</f>
        <v/>
      </c>
      <c r="C2410">
        <f>Inputs!$B$3&gt;=15</f>
        <v/>
      </c>
      <c r="D2410">
        <f>IF(Skills!C3=1,60+Inputs!$B$25+Inputs!$B$29,IF(Skills!C3=2,90+Inputs!$B$26+Inputs!$B$29,IF(Skills!C3=3,120+Inputs!$B$27+Inputs!$B$29,MAX(0,(Inputs!$B$3-100)*3)+Inputs!$B$28+Inputs!$B$29)))</f>
        <v/>
      </c>
      <c r="E2410">
        <f>INDEX(FactorTable!$B$2:$Y$301, MATCH(ROUND(MIN(300,MAX(1,D2410)),0), FactorTable!$A$2:$A$301,0), Skills!L3+1)</f>
        <v/>
      </c>
      <c r="F2410">
        <f>IF(Skills!M3=TRUE,(Skills!K3/10)*(E2410/1000),Skills!K3/10)+Skills!N3</f>
        <v/>
      </c>
      <c r="G2410">
        <f>Calc!G3</f>
        <v/>
      </c>
      <c r="H2410">
        <f>Calc!H3</f>
        <v/>
      </c>
      <c r="I2410">
        <f>IF(Skills!T3&lt;&gt;"",1+(Skills!T3/10)*(Z2410/1000)/100,1)</f>
        <v/>
      </c>
      <c r="J2410" t="inlineStr"/>
      <c r="K2410" t="inlineStr"/>
      <c r="L2410" t="inlineStr"/>
      <c r="M2410" t="inlineStr"/>
      <c r="N2410" t="inlineStr"/>
      <c r="O2410">
        <f>(1-Summary!$B$11)*S2410+Summary!$B$11*U2410</f>
        <v/>
      </c>
      <c r="P2410">
        <f>IF(B2444=0,0,O2410/B2444)</f>
        <v/>
      </c>
      <c r="Q2410">
        <f>IFERROR(1/(IF(Inputs!$B$38="pvp",15,MAX(0.1,Skills!D3-IF(TRUE=TRUE,Inputs!$B$32,0)))*(1-IF(AND(ArtifactsInput!$M$27,Inputs!$B$4="Chapter Hunt"),CHOOSE(ArtifactsInput!$N$27+1,20,24,28,32,36,40),0)/100)),0)</f>
        <v/>
      </c>
      <c r="R2410">
        <f>IF(AND(Inputs!$B$38&lt;&gt;"pvp",Inputs!$B$43&gt;0),IF(Inputs!$B$43&lt;=0,0,(INT(Inputs!$B$43/(IF(Inputs!$B$38="pvp",15,MAX(0.1,Skills!D3-IF(TRUE=TRUE,Inputs!$B$32,0)))*(1-IF(AND(ArtifactsInput!$M$27,Inputs!$B$4="Chapter Hunt"),CHOOSE(ArtifactsInput!$N$27+1,20,24,28,32,36,40),0)/100)))+1)),0)</f>
        <v/>
      </c>
      <c r="S2410" t="n">
        <v>0</v>
      </c>
      <c r="T2410">
        <f>INDEX(FactorTable!$B$2:$Y$301, MATCH(ROUND(MIN(300,MAX(1,T2409)),0), FactorTable!$A$2:$A$301,0), 22)</f>
        <v/>
      </c>
      <c r="U2410" t="n">
        <v>0</v>
      </c>
      <c r="Z2410">
        <f>INDEX(FactorTable!$B$2:$Y$301, MATCH(ROUND(MIN(300,MAX(1,Z2409)),0), FactorTable!$A$2:$A$301,0), 24)</f>
        <v/>
      </c>
    </row>
    <row r="2411">
      <c r="A2411">
        <f>Skills!A4</f>
        <v/>
      </c>
      <c r="B2411">
        <f>Skills!B4</f>
        <v/>
      </c>
      <c r="C2411">
        <f>Inputs!$B$3&gt;=40</f>
        <v/>
      </c>
      <c r="D2411">
        <f>IF(Skills!C4=1,60+Inputs!$B$25+Inputs!$B$29,IF(Skills!C4=2,90+Inputs!$B$26+Inputs!$B$29,IF(Skills!C4=3,120+Inputs!$B$27+Inputs!$B$29,MAX(0,(Inputs!$B$3-100)*3)+Inputs!$B$28+Inputs!$B$29)))</f>
        <v/>
      </c>
      <c r="E2411">
        <f>INDEX(FactorTable!$B$2:$Y$301, MATCH(ROUND(MIN(300,MAX(1,D2411)),0), FactorTable!$A$2:$A$301,0), Skills!L4+1)</f>
        <v/>
      </c>
      <c r="F2411">
        <f>IF(Skills!M4=TRUE,(Skills!K4/10)*(E2411/1000),Skills!K4/10)+Skills!N4</f>
        <v/>
      </c>
      <c r="G2411">
        <f>Calc!G4</f>
        <v/>
      </c>
      <c r="H2411">
        <f>Calc!H4</f>
        <v/>
      </c>
      <c r="I2411">
        <f>IF(Skills!T4&lt;&gt;"",1+(Skills!T4/10)*(Z2410/1000)/100,1)</f>
        <v/>
      </c>
      <c r="J2411" t="inlineStr"/>
      <c r="K2411" t="inlineStr"/>
      <c r="L2411" t="inlineStr"/>
      <c r="M2411" t="inlineStr"/>
      <c r="N2411" t="inlineStr"/>
      <c r="O2411">
        <f>(1-Summary!$B$11)*S2411+Summary!$B$11*U2411</f>
        <v/>
      </c>
      <c r="P2411">
        <f>IF(B2444=0,0,O2411/B2444)</f>
        <v/>
      </c>
      <c r="Q2411">
        <f>IFERROR(1/(IF(Inputs!$B$38="pvp",15,MAX(0.1,Skills!D4-IF(TRUE=TRUE,Inputs!$B$32,0)))*(1-IF(AND(ArtifactsInput!$M$27,Inputs!$B$4="Chapter Hunt"),CHOOSE(ArtifactsInput!$N$27+1,20,24,28,32,36,40),0)/100)),0)</f>
        <v/>
      </c>
      <c r="R2411">
        <f>IF(AND(Inputs!$B$38&lt;&gt;"pvp",Inputs!$B$43&gt;0),IF(Inputs!$B$43&lt;=0,0,(INT(Inputs!$B$43/(IF(Inputs!$B$38="pvp",15,MAX(0.1,Skills!D4-IF(TRUE=TRUE,Inputs!$B$32,0)))*(1-IF(AND(ArtifactsInput!$M$27,Inputs!$B$4="Chapter Hunt"),CHOOSE(ArtifactsInput!$N$27+1,20,24,28,32,36,40),0)/100)))+1)),0)</f>
        <v/>
      </c>
      <c r="S2411" t="n">
        <v>0</v>
      </c>
      <c r="T2411">
        <f>290*T2410/1000</f>
        <v/>
      </c>
      <c r="U2411" t="n">
        <v>0</v>
      </c>
    </row>
    <row r="2412">
      <c r="A2412">
        <f>Skills!A5</f>
        <v/>
      </c>
      <c r="B2412">
        <f>Skills!B5</f>
        <v/>
      </c>
      <c r="C2412">
        <f>Inputs!$B$3&gt;=38</f>
        <v/>
      </c>
      <c r="D2412">
        <f>IF(Skills!C5=1,60+Inputs!$B$25+Inputs!$B$29,IF(Skills!C5=2,90+Inputs!$B$26+Inputs!$B$29,IF(Skills!C5=3,120+Inputs!$B$27+Inputs!$B$29,MAX(0,(Inputs!$B$3-100)*3)+Inputs!$B$28+Inputs!$B$29)))</f>
        <v/>
      </c>
      <c r="E2412">
        <f>INDEX(FactorTable!$B$2:$Y$301, MATCH(ROUND(MIN(300,MAX(1,D2412)),0), FactorTable!$A$2:$A$301,0), Skills!L5+1)</f>
        <v/>
      </c>
      <c r="F2412">
        <f>IF(Skills!M5=TRUE,(Skills!K5/10)*(E2412/1000),Skills!K5/10)+Skills!N5</f>
        <v/>
      </c>
      <c r="G2412">
        <f>Calc!G5</f>
        <v/>
      </c>
      <c r="H2412">
        <f>Calc!H5</f>
        <v/>
      </c>
      <c r="I2412">
        <f>IF(Skills!T5&lt;&gt;"",1+(Skills!T5/10)*(Z2410/1000)/100,1)</f>
        <v/>
      </c>
      <c r="J2412">
        <f>((Inputs!$B$6*(1+Inputs!$B$7/100))+(((Inputs!$B$12*(1+Inputs!$B$13/100))-(Inputs!$B$12*(1+Inputs!$B$13/100)))+0.25*(Inputs!$B$14-Inputs!$B$14))*(1+Inputs!$B$7/100))*(F2412/100)</f>
        <v/>
      </c>
      <c r="K2412">
        <f>J2412*(1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5="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2412)</f>
        <v/>
      </c>
      <c r="L2412">
        <f>K2412*(MIN(Inputs!$B$22+(F2425-Calc!F18),(Inputs!$B$23+(IF(ArtifactsInput!$M$15,CHOOSE(ArtifactsInput!$N$15+1,25,30,35,40,45,50)/100*(Inputs!$B$11-Inputs!$B$11),0))))/100+(Inputs!$B$23+(IF(ArtifactsInput!$M$15,CHOOSE(ArtifactsInput!$N$15+1,25,30,35,40,45,50)/100*(Inputs!$B$11-Inputs!$B$11),0)))/100)/2</f>
        <v/>
      </c>
      <c r="M2412">
        <f>L2412*(1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2">
        <f>L2412*(1-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2412*(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2">
        <f>(1-Summary!$B$11)*S2412+Summary!$B$11*U2412</f>
        <v/>
      </c>
      <c r="P2412">
        <f>IF(B2444=0,0,O2412/B2444)</f>
        <v/>
      </c>
      <c r="Q2412">
        <f>IFERROR(1/(IF(Inputs!$B$38="pvp",15,MAX(0.1,Skills!D5-IF(TRUE=TRUE,Inputs!$B$32,0)))*(1-IF(AND(ArtifactsInput!$M$27,Inputs!$B$4="Chapter Hunt"),CHOOSE(ArtifactsInput!$N$27+1,20,24,28,32,36,40),0)/100)),0)</f>
        <v/>
      </c>
      <c r="R2412">
        <f>IF(AND(Inputs!$B$38&lt;&gt;"pvp",Inputs!$B$43&gt;0),IF(MAX(0,Inputs!$B$43-B2441)&lt;=0,0,(INT(MAX(0,Inputs!$B$43-B2441)/(IF(Inputs!$B$38="pvp",15,MAX(0.1,Skills!D5-IF(TRUE=TRUE,Inputs!$B$32,0)))*(1-IF(AND(ArtifactsInput!$M$27,Inputs!$B$4="Chapter Hunt"),CHOOSE(ArtifactsInput!$N$27+1,20,24,28,32,36,40),0)/100)))+1)),0)</f>
        <v/>
      </c>
      <c r="S2412">
        <f>IF(C2412,(H2412*N2412*IF(AND(Inputs!$B$38&lt;&gt;"pvp",Inputs!$B$43&gt;0),((Skills!F5*((R2412-1)*IF(Skills!G5&gt;0,Skills!H5/Skills!G5,1)+IF(Skills!G5&gt;0,MIN(Skills!H5,MAX(0,MAX(0,Inputs!$B$43-B2441)-((R2412-1)*(IF(Inputs!$B$38="pvp",15,MAX(0.1,Skills!D5-IF(TRUE=TRUE,Inputs!$B$32,0)))*(1-IF(AND(ArtifactsInput!$M$27,Inputs!$B$4="Chapter Hunt"),CHOOSE(ArtifactsInput!$N$27+1,20,24,28,32,36,40),0)/100)))))/Skills!G5,1)))/Inputs!$B$43),G2412*Q2412))*IF(Inputs!$B$38="pvp",1,1+(Inputs!$B$20+Skills!O5+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2412*(1-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2412*(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2412*(1-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2412*(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2">
        <f>IF(C2412,(H2412*N2412*IF(AND(Inputs!$B$38&lt;&gt;"pvp",Inputs!$B$43&gt;0),((Skills!F5*((R2412-1)*IF(Skills!G5&gt;0,Skills!H5/Skills!G5,1)+IF(Skills!G5&gt;0,MIN(Skills!H5,MAX(0,MAX(0,Inputs!$B$43-B2441)-((R2412-1)*(IF(Inputs!$B$38="pvp",15,MAX(0.1,Skills!D5-IF(TRUE=TRUE,Inputs!$B$32,0)))*(1-IF(AND(ArtifactsInput!$M$27,Inputs!$B$4="Chapter Hunt"),CHOOSE(ArtifactsInput!$N$27+1,20,24,28,32,36,40),0)/100)))))/Skills!G5,1)))/Inputs!$B$43),G2412*Q2412))*IF(Inputs!$B$38="pvp",1,(1+(Inputs!$B$21+Skills!P5+B2435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3">
      <c r="A2413">
        <f>Skills!A6</f>
        <v/>
      </c>
      <c r="B2413">
        <f>Skills!B6</f>
        <v/>
      </c>
      <c r="C2413">
        <f>Inputs!$B$3&gt;=63</f>
        <v/>
      </c>
      <c r="D2413">
        <f>IF(Skills!C6=1,60+Inputs!$B$25+Inputs!$B$29,IF(Skills!C6=2,90+Inputs!$B$26+Inputs!$B$29,IF(Skills!C6=3,120+Inputs!$B$27+Inputs!$B$29,MAX(0,(Inputs!$B$3-100)*3)+Inputs!$B$28+Inputs!$B$29)))</f>
        <v/>
      </c>
      <c r="E2413">
        <f>INDEX(FactorTable!$B$2:$Y$301, MATCH(ROUND(MIN(300,MAX(1,D2413)),0), FactorTable!$A$2:$A$301,0), Skills!L6+1)</f>
        <v/>
      </c>
      <c r="F2413">
        <f>IF(Skills!M6=TRUE,(Skills!K6/10)*(E2413/1000),Skills!K6/10)+Skills!N6</f>
        <v/>
      </c>
      <c r="G2413">
        <f>Calc!G6</f>
        <v/>
      </c>
      <c r="H2413">
        <f>Calc!H6</f>
        <v/>
      </c>
      <c r="I2413">
        <f>IF(Skills!T6&lt;&gt;"",1+(Skills!T6/10)*(Z2410/1000)/100,1)</f>
        <v/>
      </c>
      <c r="J2413">
        <f>((Inputs!$B$6*(1+Inputs!$B$7/100))+(((Inputs!$B$12*(1+Inputs!$B$13/100))-(Inputs!$B$12*(1+Inputs!$B$13/100)))+0.25*(Inputs!$B$14-Inputs!$B$14))*(1+Inputs!$B$7/100))*(F2413/100)</f>
        <v/>
      </c>
      <c r="K2413">
        <f>J2413*(1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6="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2413)</f>
        <v/>
      </c>
      <c r="L2413">
        <f>K2413*(MIN(Inputs!$B$22+(F2425-Calc!F18),(Inputs!$B$23+(IF(ArtifactsInput!$M$15,CHOOSE(ArtifactsInput!$N$15+1,25,30,35,40,45,50)/100*(Inputs!$B$11-Inputs!$B$11),0))))/100+(Inputs!$B$23+(IF(ArtifactsInput!$M$15,CHOOSE(ArtifactsInput!$N$15+1,25,30,35,40,45,50)/100*(Inputs!$B$11-Inputs!$B$11),0)))/100)/2</f>
        <v/>
      </c>
      <c r="M2413">
        <f>L2413*(1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3">
        <f>L2413*(1-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2413*(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3">
        <f>(1-Summary!$B$11)*S2413+Summary!$B$11*U2413</f>
        <v/>
      </c>
      <c r="P2413">
        <f>IF(B2444=0,0,O2413/B2444)</f>
        <v/>
      </c>
      <c r="Q2413">
        <f>IFERROR(1/(IF(Inputs!$B$38="pvp",15,MAX(0.1,Skills!D6-IF(TRUE=TRUE,Inputs!$B$32,0)))*(1-IF(AND(ArtifactsInput!$M$27,Inputs!$B$4="Chapter Hunt"),CHOOSE(ArtifactsInput!$N$27+1,20,24,28,32,36,40),0)/100)),0)</f>
        <v/>
      </c>
      <c r="R2413">
        <f>IF(AND(Inputs!$B$38&lt;&gt;"pvp",Inputs!$B$43&gt;0),IF(MAX(0,Inputs!$B$43-B2441)&lt;=0,0,(INT(MAX(0,Inputs!$B$43-B2441)/(IF(Inputs!$B$38="pvp",15,MAX(0.1,Skills!D6-IF(TRUE=TRUE,Inputs!$B$32,0)))*(1-IF(AND(ArtifactsInput!$M$27,Inputs!$B$4="Chapter Hunt"),CHOOSE(ArtifactsInput!$N$27+1,20,24,28,32,36,40),0)/100)))+1)),0)</f>
        <v/>
      </c>
      <c r="S2413">
        <f>IF(C2413,(H2413*N2413*IF(AND(Inputs!$B$38&lt;&gt;"pvp",Inputs!$B$43&gt;0),((Skills!F6*((R2413-1)*IF(Skills!G6&gt;0,Skills!H6/Skills!G6,1)+IF(Skills!G6&gt;0,MIN(Skills!H6,MAX(0,MAX(0,Inputs!$B$43-B2441)-((R2413-1)*(IF(Inputs!$B$38="pvp",15,MAX(0.1,Skills!D6-IF(TRUE=TRUE,Inputs!$B$32,0)))*(1-IF(AND(ArtifactsInput!$M$27,Inputs!$B$4="Chapter Hunt"),CHOOSE(ArtifactsInput!$N$27+1,20,24,28,32,36,40),0)/100)))))/Skills!G6,1)))/Inputs!$B$43),G2413*Q2413))*IF(Inputs!$B$38="pvp",1,1+(Inputs!$B$20+Skills!O6+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2413*(1-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2413*(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2413*(1-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2413*(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3">
        <f>IF(C2413,(H2413*N2413*IF(AND(Inputs!$B$38&lt;&gt;"pvp",Inputs!$B$43&gt;0),((Skills!F6*((R2413-1)*IF(Skills!G6&gt;0,Skills!H6/Skills!G6,1)+IF(Skills!G6&gt;0,MIN(Skills!H6,MAX(0,MAX(0,Inputs!$B$43-B2441)-((R2413-1)*(IF(Inputs!$B$38="pvp",15,MAX(0.1,Skills!D6-IF(TRUE=TRUE,Inputs!$B$32,0)))*(1-IF(AND(ArtifactsInput!$M$27,Inputs!$B$4="Chapter Hunt"),CHOOSE(ArtifactsInput!$N$27+1,20,24,28,32,36,40),0)/100)))))/Skills!G6,1)))/Inputs!$B$43),G2413*Q2413))*IF(Inputs!$B$38="pvp",1,(1+(Inputs!$B$21+Skills!P6+B2435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4">
      <c r="A2414">
        <f>Skills!A7</f>
        <v/>
      </c>
      <c r="B2414">
        <f>Skills!B7</f>
        <v/>
      </c>
      <c r="C2414">
        <f>Inputs!$B$3&gt;=69</f>
        <v/>
      </c>
      <c r="D2414">
        <f>IF(Skills!C7=1,60+Inputs!$B$25+Inputs!$B$29,IF(Skills!C7=2,90+Inputs!$B$26+Inputs!$B$29,IF(Skills!C7=3,120+Inputs!$B$27+Inputs!$B$29,MAX(0,(Inputs!$B$3-100)*3)+Inputs!$B$28+Inputs!$B$29)))</f>
        <v/>
      </c>
      <c r="E2414">
        <f>INDEX(FactorTable!$B$2:$Y$301, MATCH(ROUND(MIN(300,MAX(1,D2414)),0), FactorTable!$A$2:$A$301,0), Skills!L7+1)</f>
        <v/>
      </c>
      <c r="F2414">
        <f>IF(Skills!M7=TRUE,(Skills!K7/10)*(E2414/1000),Skills!K7/10)+Skills!N7</f>
        <v/>
      </c>
      <c r="G2414">
        <f>Calc!G7</f>
        <v/>
      </c>
      <c r="H2414">
        <f>Calc!H7</f>
        <v/>
      </c>
      <c r="I2414">
        <f>IF(Skills!T7&lt;&gt;"",1+(Skills!T7/10)*(Z2410/1000)/100,1)</f>
        <v/>
      </c>
      <c r="J2414">
        <f>((Inputs!$B$6*(1+Inputs!$B$7/100))+(((Inputs!$B$12*(1+Inputs!$B$13/100))-(Inputs!$B$12*(1+Inputs!$B$13/100)))+0.25*(Inputs!$B$14-Inputs!$B$14))*(1+Inputs!$B$7/100))*(F2414/100)</f>
        <v/>
      </c>
      <c r="K2414">
        <f>J2414*(1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7="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2414)</f>
        <v/>
      </c>
      <c r="L2414">
        <f>K2414*(MIN(Inputs!$B$22+(F2425-Calc!F18),(Inputs!$B$23+(IF(ArtifactsInput!$M$15,CHOOSE(ArtifactsInput!$N$15+1,25,30,35,40,45,50)/100*(Inputs!$B$11-Inputs!$B$11),0))))/100+(Inputs!$B$23+(IF(ArtifactsInput!$M$15,CHOOSE(ArtifactsInput!$N$15+1,25,30,35,40,45,50)/100*(Inputs!$B$11-Inputs!$B$11),0)))/100)/2</f>
        <v/>
      </c>
      <c r="M2414">
        <f>L2414*(1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4">
        <f>L2414*(1-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2414*(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4">
        <f>(1-Summary!$B$11)*S2414+Summary!$B$11*U2414</f>
        <v/>
      </c>
      <c r="P2414">
        <f>IF(B2444=0,0,O2414/B2444)</f>
        <v/>
      </c>
      <c r="Q2414">
        <f>IFERROR(1/(IF(Inputs!$B$38="pvp",15,MAX(0.1,Skills!D7-IF(TRUE=TRUE,Inputs!$B$32,0)))*(1-IF(AND(ArtifactsInput!$M$27,Inputs!$B$4="Chapter Hunt"),CHOOSE(ArtifactsInput!$N$27+1,20,24,28,32,36,40),0)/100)),0)</f>
        <v/>
      </c>
      <c r="R2414">
        <f>IF(AND(Inputs!$B$38&lt;&gt;"pvp",Inputs!$B$43&gt;0),IF(MAX(0,Inputs!$B$43-B2441)&lt;=0,0,(INT(MAX(0,Inputs!$B$43-B2441)/(IF(Inputs!$B$38="pvp",15,MAX(0.1,Skills!D7-IF(TRUE=TRUE,Inputs!$B$32,0)))*(1-IF(AND(ArtifactsInput!$M$27,Inputs!$B$4="Chapter Hunt"),CHOOSE(ArtifactsInput!$N$27+1,20,24,28,32,36,40),0)/100)))+1)),0)</f>
        <v/>
      </c>
      <c r="S2414">
        <f>IF(C2414,(H2414*N2414*IF(AND(Inputs!$B$38&lt;&gt;"pvp",Inputs!$B$43&gt;0),((Skills!F7*((R2414-1)*IF(Skills!G7&gt;0,Skills!H7/Skills!G7,1)+IF(Skills!G7&gt;0,MIN(Skills!H7,MAX(0,MAX(0,Inputs!$B$43-B2441)-((R2414-1)*(IF(Inputs!$B$38="pvp",15,MAX(0.1,Skills!D7-IF(TRUE=TRUE,Inputs!$B$32,0)))*(1-IF(AND(ArtifactsInput!$M$27,Inputs!$B$4="Chapter Hunt"),CHOOSE(ArtifactsInput!$N$27+1,20,24,28,32,36,40),0)/100)))))/Skills!G7,1)))/Inputs!$B$43),G2414*Q2414))*IF(Inputs!$B$38="pvp",1,1+(Inputs!$B$20+Skills!O7+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2414*(1-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2414*(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2414*(1-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2414*(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4">
        <f>IF(C2414,(H2414*N2414*IF(AND(Inputs!$B$38&lt;&gt;"pvp",Inputs!$B$43&gt;0),((Skills!F7*((R2414-1)*IF(Skills!G7&gt;0,Skills!H7/Skills!G7,1)+IF(Skills!G7&gt;0,MIN(Skills!H7,MAX(0,MAX(0,Inputs!$B$43-B2441)-((R2414-1)*(IF(Inputs!$B$38="pvp",15,MAX(0.1,Skills!D7-IF(TRUE=TRUE,Inputs!$B$32,0)))*(1-IF(AND(ArtifactsInput!$M$27,Inputs!$B$4="Chapter Hunt"),CHOOSE(ArtifactsInput!$N$27+1,20,24,28,32,36,40),0)/100)))))/Skills!G7,1)))/Inputs!$B$43),G2414*Q2414))*IF(Inputs!$B$38="pvp",1,(1+(Inputs!$B$21+Skills!P7+B2435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5">
      <c r="A2415">
        <f>Skills!A8</f>
        <v/>
      </c>
      <c r="B2415">
        <f>Skills!B8</f>
        <v/>
      </c>
      <c r="C2415">
        <f>Inputs!$B$3&gt;=103</f>
        <v/>
      </c>
      <c r="D2415">
        <f>IF(Skills!C8=1,60+Inputs!$B$25+Inputs!$B$29,IF(Skills!C8=2,90+Inputs!$B$26+Inputs!$B$29,IF(Skills!C8=3,120+Inputs!$B$27+Inputs!$B$29,MAX(0,(Inputs!$B$3-100)*3)+Inputs!$B$28+Inputs!$B$29)))</f>
        <v/>
      </c>
      <c r="E2415">
        <f>INDEX(FactorTable!$B$2:$Y$301, MATCH(ROUND(MIN(300,MAX(1,D2415)),0), FactorTable!$A$2:$A$301,0), Skills!L8+1)</f>
        <v/>
      </c>
      <c r="F2415">
        <f>IF(Skills!M8=TRUE,(Skills!K8/10)*(E2415/1000),Skills!K8/10)+Skills!N8</f>
        <v/>
      </c>
      <c r="G2415">
        <f>Calc!G8</f>
        <v/>
      </c>
      <c r="H2415">
        <f>Calc!H8</f>
        <v/>
      </c>
      <c r="I2415">
        <f>IF(Skills!T8&lt;&gt;"",1+(Skills!T8/10)*(Z2410/1000)/100,1)</f>
        <v/>
      </c>
      <c r="J2415">
        <f>((Inputs!$B$6*(1+Inputs!$B$7/100))+(((Inputs!$B$12*(1+Inputs!$B$13/100))-(Inputs!$B$12*(1+Inputs!$B$13/100)))+0.25*(Inputs!$B$14-Inputs!$B$14))*(1+Inputs!$B$7/100))*(F2415/100)</f>
        <v/>
      </c>
      <c r="K2415">
        <f>J2415*(1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8="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2415)</f>
        <v/>
      </c>
      <c r="L2415">
        <f>K2415*(MIN(Inputs!$B$22+(F2425-Calc!F18),(Inputs!$B$23+(IF(ArtifactsInput!$M$15,CHOOSE(ArtifactsInput!$N$15+1,25,30,35,40,45,50)/100*(Inputs!$B$11-Inputs!$B$11),0))))/100+(Inputs!$B$23+(IF(ArtifactsInput!$M$15,CHOOSE(ArtifactsInput!$N$15+1,25,30,35,40,45,50)/100*(Inputs!$B$11-Inputs!$B$11),0)))/100)/2</f>
        <v/>
      </c>
      <c r="M2415">
        <f>L2415*(1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5">
        <f>L2415*(1-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2415*(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5">
        <f>(1-Summary!$B$11)*S2415+Summary!$B$11*U2415</f>
        <v/>
      </c>
      <c r="P2415">
        <f>IF(B2444=0,0,O2415/B2444)</f>
        <v/>
      </c>
      <c r="Q2415">
        <f>IFERROR(1/(IF(Inputs!$B$38="pvp",15,MAX(0.1,Skills!D8-IF(TRUE=TRUE,Inputs!$B$32,0)))*(1-IF(AND(ArtifactsInput!$M$27,Inputs!$B$4="Chapter Hunt"),CHOOSE(ArtifactsInput!$N$27+1,20,24,28,32,36,40),0)/100)),0)</f>
        <v/>
      </c>
      <c r="R2415">
        <f>IF(AND(Inputs!$B$38&lt;&gt;"pvp",Inputs!$B$43&gt;0),IF(MAX(0,Inputs!$B$43-B2441)&lt;=0,0,(INT(MAX(0,Inputs!$B$43-B2441)/(IF(Inputs!$B$38="pvp",15,MAX(0.1,Skills!D8-IF(TRUE=TRUE,Inputs!$B$32,0)))*(1-IF(AND(ArtifactsInput!$M$27,Inputs!$B$4="Chapter Hunt"),CHOOSE(ArtifactsInput!$N$27+1,20,24,28,32,36,40),0)/100)))+1)),0)</f>
        <v/>
      </c>
      <c r="S2415">
        <f>IF(C2415,(H2415*N2415*IF(AND(Inputs!$B$38&lt;&gt;"pvp",Inputs!$B$43&gt;0),((Skills!F8*((R2415-1)*IF(Skills!G8&gt;0,Skills!H8/Skills!G8,1)+IF(Skills!G8&gt;0,MIN(Skills!H8,MAX(0,MAX(0,Inputs!$B$43-B2441)-((R2415-1)*(IF(Inputs!$B$38="pvp",15,MAX(0.1,Skills!D8-IF(TRUE=TRUE,Inputs!$B$32,0)))*(1-IF(AND(ArtifactsInput!$M$27,Inputs!$B$4="Chapter Hunt"),CHOOSE(ArtifactsInput!$N$27+1,20,24,28,32,36,40),0)/100)))))/Skills!G8,1)))/Inputs!$B$43),G2415*Q2415))*IF(Inputs!$B$38="pvp",1,1+(Inputs!$B$20+Skills!O8+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2415*(1-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2415*(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2415*(1-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2415*(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5">
        <f>IF(C2415,(H2415*N2415*IF(AND(Inputs!$B$38&lt;&gt;"pvp",Inputs!$B$43&gt;0),((Skills!F8*((R2415-1)*IF(Skills!G8&gt;0,Skills!H8/Skills!G8,1)+IF(Skills!G8&gt;0,MIN(Skills!H8,MAX(0,MAX(0,Inputs!$B$43-B2441)-((R2415-1)*(IF(Inputs!$B$38="pvp",15,MAX(0.1,Skills!D8-IF(TRUE=TRUE,Inputs!$B$32,0)))*(1-IF(AND(ArtifactsInput!$M$27,Inputs!$B$4="Chapter Hunt"),CHOOSE(ArtifactsInput!$N$27+1,20,24,28,32,36,40),0)/100)))))/Skills!G8,1)))/Inputs!$B$43),G2415*Q2415))*IF(Inputs!$B$38="pvp",1,(1+(Inputs!$B$21+Skills!P8+B2435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6">
      <c r="A2416">
        <f>Skills!A9</f>
        <v/>
      </c>
      <c r="B2416">
        <f>Skills!B9</f>
        <v/>
      </c>
      <c r="C2416">
        <f>Inputs!$B$3&gt;=105</f>
        <v/>
      </c>
      <c r="D2416">
        <f>IF(Skills!C9=1,60+Inputs!$B$25+Inputs!$B$29,IF(Skills!C9=2,90+Inputs!$B$26+Inputs!$B$29,IF(Skills!C9=3,120+Inputs!$B$27+Inputs!$B$29,MAX(0,(Inputs!$B$3-100)*3)+Inputs!$B$28+Inputs!$B$29)))</f>
        <v/>
      </c>
      <c r="E2416">
        <f>INDEX(FactorTable!$B$2:$Y$301, MATCH(ROUND(MIN(300,MAX(1,D2416)),0), FactorTable!$A$2:$A$301,0), Skills!L9+1)</f>
        <v/>
      </c>
      <c r="F2416">
        <f>IF(Skills!M9=TRUE,(Skills!K9/10)*(E2416/1000),Skills!K9/10)+Skills!N9</f>
        <v/>
      </c>
      <c r="G2416">
        <f>Calc!G9</f>
        <v/>
      </c>
      <c r="H2416">
        <f>Calc!H9</f>
        <v/>
      </c>
      <c r="I2416">
        <f>IF(Skills!T9&lt;&gt;"",1+(Skills!T9/10)*(Z2410/1000)/100,1)</f>
        <v/>
      </c>
      <c r="J2416">
        <f>((Inputs!$B$6*(1+Inputs!$B$7/100))+(((Inputs!$B$12*(1+Inputs!$B$13/100))-(Inputs!$B$12*(1+Inputs!$B$13/100)))+0.25*(Inputs!$B$14-Inputs!$B$14))*(1+Inputs!$B$7/100))*(F2416/100)</f>
        <v/>
      </c>
      <c r="K2416">
        <f>J2416*(1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9="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2416)</f>
        <v/>
      </c>
      <c r="L2416">
        <f>K2416*(MIN(Inputs!$B$22+(F2425-Calc!F18),(Inputs!$B$23+(IF(ArtifactsInput!$M$15,CHOOSE(ArtifactsInput!$N$15+1,25,30,35,40,45,50)/100*(Inputs!$B$11-Inputs!$B$11),0))))/100+(Inputs!$B$23+(IF(ArtifactsInput!$M$15,CHOOSE(ArtifactsInput!$N$15+1,25,30,35,40,45,50)/100*(Inputs!$B$11-Inputs!$B$11),0)))/100)/2</f>
        <v/>
      </c>
      <c r="M2416">
        <f>L2416*(1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6">
        <f>L2416*(1-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2416*(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6">
        <f>(1-Summary!$B$11)*S2416+Summary!$B$11*U2416</f>
        <v/>
      </c>
      <c r="P2416">
        <f>IF(B2444=0,0,O2416/B2444)</f>
        <v/>
      </c>
      <c r="Q2416">
        <f>IFERROR(1/(IF(Inputs!$B$38="pvp",15,MAX(0.1,Skills!D9-IF(TRUE=TRUE,Inputs!$B$32,0)))*(1-IF(AND(ArtifactsInput!$M$27,Inputs!$B$4="Chapter Hunt"),CHOOSE(ArtifactsInput!$N$27+1,20,24,28,32,36,40),0)/100)),0)</f>
        <v/>
      </c>
      <c r="R2416">
        <f>IF(AND(Inputs!$B$38&lt;&gt;"pvp",Inputs!$B$43&gt;0),IF(MAX(0,Inputs!$B$43-B2441)&lt;=0,0,(INT(MAX(0,Inputs!$B$43-B2441)/(IF(Inputs!$B$38="pvp",15,MAX(0.1,Skills!D9-IF(TRUE=TRUE,Inputs!$B$32,0)))*(1-IF(AND(ArtifactsInput!$M$27,Inputs!$B$4="Chapter Hunt"),CHOOSE(ArtifactsInput!$N$27+1,20,24,28,32,36,40),0)/100)))+1)),0)</f>
        <v/>
      </c>
      <c r="S2416">
        <f>IF(C2416,(H2416*N2416*IF(AND(Inputs!$B$38&lt;&gt;"pvp",Inputs!$B$43&gt;0),((Skills!F9*((R2416-1)*IF(Skills!G9&gt;0,Skills!H9/Skills!G9,1)+IF(Skills!G9&gt;0,MIN(Skills!H9,MAX(0,MAX(0,Inputs!$B$43-B2441)-((R2416-1)*(IF(Inputs!$B$38="pvp",15,MAX(0.1,Skills!D9-IF(TRUE=TRUE,Inputs!$B$32,0)))*(1-IF(AND(ArtifactsInput!$M$27,Inputs!$B$4="Chapter Hunt"),CHOOSE(ArtifactsInput!$N$27+1,20,24,28,32,36,40),0)/100)))))/Skills!G9,1)))/Inputs!$B$43),G2416*Q2416))*IF(Inputs!$B$38="pvp",1,1+(Inputs!$B$20+Skills!O9+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2416*(1-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2416*(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2416*(1-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2416*(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6">
        <f>IF(C2416,(H2416*N2416*IF(AND(Inputs!$B$38&lt;&gt;"pvp",Inputs!$B$43&gt;0),((Skills!F9*((R2416-1)*IF(Skills!G9&gt;0,Skills!H9/Skills!G9,1)+IF(Skills!G9&gt;0,MIN(Skills!H9,MAX(0,MAX(0,Inputs!$B$43-B2441)-((R2416-1)*(IF(Inputs!$B$38="pvp",15,MAX(0.1,Skills!D9-IF(TRUE=TRUE,Inputs!$B$32,0)))*(1-IF(AND(ArtifactsInput!$M$27,Inputs!$B$4="Chapter Hunt"),CHOOSE(ArtifactsInput!$N$27+1,20,24,28,32,36,40),0)/100)))))/Skills!G9,1)))/Inputs!$B$43),G2416*Q2416))*IF(Inputs!$B$38="pvp",1,(1+(Inputs!$B$21+Skills!P9+B2435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7">
      <c r="A2417">
        <f>Skills!A10</f>
        <v/>
      </c>
      <c r="B2417">
        <f>Skills!B10</f>
        <v/>
      </c>
      <c r="C2417">
        <f>Inputs!$B$3&gt;=113</f>
        <v/>
      </c>
      <c r="D2417">
        <f>IF(Skills!C10=1,60+Inputs!$B$25+Inputs!$B$29,IF(Skills!C10=2,90+Inputs!$B$26+Inputs!$B$29,IF(Skills!C10=3,120+Inputs!$B$27+Inputs!$B$29,MAX(0,(Inputs!$B$3-100)*3)+Inputs!$B$28+Inputs!$B$29)))</f>
        <v/>
      </c>
      <c r="E2417">
        <f>INDEX(FactorTable!$B$2:$Y$301, MATCH(ROUND(MIN(300,MAX(1,D2417)),0), FactorTable!$A$2:$A$301,0), Skills!L10+1)</f>
        <v/>
      </c>
      <c r="F2417">
        <f>IF(Skills!M10=TRUE,(Skills!K10/10)*(E2417/1000),Skills!K10/10)+Skills!N10</f>
        <v/>
      </c>
      <c r="G2417">
        <f>Calc!G10</f>
        <v/>
      </c>
      <c r="H2417">
        <f>Calc!H10</f>
        <v/>
      </c>
      <c r="I2417">
        <f>IF(Skills!T10&lt;&gt;"",1+(Skills!T10/10)*(Z2410/1000)/100,1)</f>
        <v/>
      </c>
      <c r="J2417">
        <f>((Inputs!$B$6*(1+Inputs!$B$7/100))+(((Inputs!$B$12*(1+Inputs!$B$13/100))-(Inputs!$B$12*(1+Inputs!$B$13/100)))+0.25*(Inputs!$B$14-Inputs!$B$14))*(1+Inputs!$B$7/100))*(F2417/100)</f>
        <v/>
      </c>
      <c r="K2417">
        <f>J2417*(1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10="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2417)</f>
        <v/>
      </c>
      <c r="L2417">
        <f>K2417*(MIN(Inputs!$B$22+(F2425-Calc!F18),(Inputs!$B$23+(IF(ArtifactsInput!$M$15,CHOOSE(ArtifactsInput!$N$15+1,25,30,35,40,45,50)/100*(Inputs!$B$11-Inputs!$B$11),0))))/100+(Inputs!$B$23+(IF(ArtifactsInput!$M$15,CHOOSE(ArtifactsInput!$N$15+1,25,30,35,40,45,50)/100*(Inputs!$B$11-Inputs!$B$11),0)))/100)/2</f>
        <v/>
      </c>
      <c r="M2417">
        <f>L2417*(1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7">
        <f>L2417*(1-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2417*(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7">
        <f>(1-Summary!$B$11)*S2417+Summary!$B$11*U2417</f>
        <v/>
      </c>
      <c r="P2417">
        <f>IF(B2444=0,0,O2417/B2444)</f>
        <v/>
      </c>
      <c r="Q2417">
        <f>IFERROR(1/(IF(Inputs!$B$38="pvp",15,MAX(0.1,Skills!D10-IF(TRUE=TRUE,Inputs!$B$32,0)))*(1-IF(AND(ArtifactsInput!$M$27,Inputs!$B$4="Chapter Hunt"),CHOOSE(ArtifactsInput!$N$27+1,20,24,28,32,36,40),0)/100)),0)</f>
        <v/>
      </c>
      <c r="R2417" t="n">
        <v>0</v>
      </c>
      <c r="S2417">
        <f>IF(C2417,((H2417*B2445)/(1+Skills!G10*H2417*B2445)*N2417)*IF(Inputs!$B$38="pvp",1,1+(Inputs!$B$20+Skills!O10+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2417*(1-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2417*(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2417*(1-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2417*(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7">
        <f>IF(C2417,((H2417*B2445)/(1+Skills!G10*H2417*B2445)*N2417)*IF(Inputs!$B$38="pvp",1,(1+(Inputs!$B$21+Skills!P10+B2435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8">
      <c r="A2418">
        <f>Skills!A11</f>
        <v/>
      </c>
      <c r="B2418">
        <f>Skills!B11</f>
        <v/>
      </c>
      <c r="C2418">
        <f>Inputs!$B$3&gt;=107</f>
        <v/>
      </c>
      <c r="D2418">
        <f>IF(Skills!C11=1,60+Inputs!$B$25+Inputs!$B$29,IF(Skills!C11=2,90+Inputs!$B$26+Inputs!$B$29,IF(Skills!C11=3,120+Inputs!$B$27+Inputs!$B$29,MAX(0,(Inputs!$B$3-100)*3)+Inputs!$B$28+Inputs!$B$29)))</f>
        <v/>
      </c>
      <c r="E2418">
        <f>INDEX(FactorTable!$B$2:$Y$301, MATCH(ROUND(MIN(300,MAX(1,D2418)),0), FactorTable!$A$2:$A$301,0), Skills!L11+1)</f>
        <v/>
      </c>
      <c r="F2418">
        <f>IF(Skills!M11=TRUE,(Skills!K11/10)*(E2418/1000),Skills!K11/10)+Skills!N11</f>
        <v/>
      </c>
      <c r="G2418">
        <f>Calc!G11</f>
        <v/>
      </c>
      <c r="H2418">
        <f>Calc!H11</f>
        <v/>
      </c>
      <c r="I2418">
        <f>IF(Skills!T11&lt;&gt;"",1+(Skills!T11/10)*(Z2410/1000)/100,1)</f>
        <v/>
      </c>
      <c r="J2418">
        <f>((Inputs!$B$6*(1+Inputs!$B$7/100))+(((Inputs!$B$12*(1+Inputs!$B$13/100))-(Inputs!$B$12*(1+Inputs!$B$13/100)))+0.25*(Inputs!$B$14-Inputs!$B$14))*(1+Inputs!$B$7/100))*(F2418/100)</f>
        <v/>
      </c>
      <c r="K2418">
        <f>J2418*(1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11="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2418)</f>
        <v/>
      </c>
      <c r="L2418">
        <f>K2418*(MIN(Inputs!$B$22+(F2425-Calc!F18),(Inputs!$B$23+(IF(ArtifactsInput!$M$15,CHOOSE(ArtifactsInput!$N$15+1,25,30,35,40,45,50)/100*(Inputs!$B$11-Inputs!$B$11),0))))/100+(Inputs!$B$23+(IF(ArtifactsInput!$M$15,CHOOSE(ArtifactsInput!$N$15+1,25,30,35,40,45,50)/100*(Inputs!$B$11-Inputs!$B$11),0)))/100)/2</f>
        <v/>
      </c>
      <c r="M2418">
        <f>L2418*(1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8">
        <f>L2418*(1-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2418*(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8">
        <f>(1-Summary!$B$11)*S2418+Summary!$B$11*U2418</f>
        <v/>
      </c>
      <c r="P2418">
        <f>IF(B2444=0,0,O2418/B2444)</f>
        <v/>
      </c>
      <c r="Q2418">
        <f>IFERROR(1/(IF(Inputs!$B$38="pvp",15,MAX(0.1,Skills!D11-IF(TRUE=TRUE,Inputs!$B$32,0)))*(1-IF(AND(ArtifactsInput!$M$27,Inputs!$B$4="Chapter Hunt"),CHOOSE(ArtifactsInput!$N$27+1,20,24,28,32,36,40),0)/100)),0)</f>
        <v/>
      </c>
      <c r="R2418">
        <f>IF(AND(Inputs!$B$38&lt;&gt;"pvp",Inputs!$B$43&gt;0),IF(MAX(0,Inputs!$B$43-B2441)&lt;=0,0,(INT(MAX(0,Inputs!$B$43-B2441)/(IF(Inputs!$B$38="pvp",15,MAX(0.1,Skills!D11-IF(TRUE=TRUE,Inputs!$B$32,0)))*(1-IF(AND(ArtifactsInput!$M$27,Inputs!$B$4="Chapter Hunt"),CHOOSE(ArtifactsInput!$N$27+1,20,24,28,32,36,40),0)/100)))+1)),0)</f>
        <v/>
      </c>
      <c r="S2418">
        <f>IF(C2418,H2418*N2418*IF(AND(Inputs!$B$38&lt;&gt;"pvp",Inputs!$B$43&gt;0),((Skills!F11*((R2418-1)*IF(Skills!G11&gt;0,Skills!H11/Skills!G11,1)+IF(Skills!G11&gt;0,MIN(Skills!H11,MAX(0,MAX(0,Inputs!$B$43-B2441)-((R2418-1)*(IF(Inputs!$B$38="pvp",15,MAX(0.1,Skills!D11-IF(TRUE=TRUE,Inputs!$B$32,0)))*(1-IF(AND(ArtifactsInput!$M$27,Inputs!$B$4="Chapter Hunt"),CHOOSE(ArtifactsInput!$N$27+1,20,24,28,32,36,40),0)/100)))))/Skills!G11,1)))/Inputs!$B$43),G2418*Q2418)*0.5*IF(Inputs!$B$38="pvp",1,1+(Inputs!$B$20+Skills!O11+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2418*(1-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2418*(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2418*(1-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2418*(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8">
        <f>IF(C2418,H2418*N2418*IF(AND(Inputs!$B$38&lt;&gt;"pvp",Inputs!$B$43&gt;0),((Skills!F11*((R2418-1)*IF(Skills!G11&gt;0,Skills!H11/Skills!G11,1)+IF(Skills!G11&gt;0,MIN(Skills!H11,MAX(0,MAX(0,Inputs!$B$43-B2441)-((R2418-1)*(IF(Inputs!$B$38="pvp",15,MAX(0.1,Skills!D11-IF(TRUE=TRUE,Inputs!$B$32,0)))*(1-IF(AND(ArtifactsInput!$M$27,Inputs!$B$4="Chapter Hunt"),CHOOSE(ArtifactsInput!$N$27+1,20,24,28,32,36,40),0)/100)))))/Skills!G11,1)))/Inputs!$B$43),G2418*Q2418)*1*IF(Inputs!$B$38="pvp",1,(1+(Inputs!$B$21+Skills!P11+B2435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9">
      <c r="A2419">
        <f>Skills!A12</f>
        <v/>
      </c>
      <c r="B2419">
        <f>Skills!B12</f>
        <v/>
      </c>
      <c r="C2419">
        <f>Inputs!$B$3&gt;=115</f>
        <v/>
      </c>
      <c r="D2419">
        <f>IF(Skills!C12=1,60+Inputs!$B$25+Inputs!$B$29,IF(Skills!C12=2,90+Inputs!$B$26+Inputs!$B$29,IF(Skills!C12=3,120+Inputs!$B$27+Inputs!$B$29,MAX(0,(Inputs!$B$3-100)*3)+Inputs!$B$28+Inputs!$B$29)))</f>
        <v/>
      </c>
      <c r="E2419">
        <f>INDEX(FactorTable!$B$2:$Y$301, MATCH(ROUND(MIN(300,MAX(1,D2419)),0), FactorTable!$A$2:$A$301,0), Skills!L12+1)</f>
        <v/>
      </c>
      <c r="F2419">
        <f>IF(Skills!M12=TRUE,(Skills!K12/10)*(E2419/1000),Skills!K12/10)+Skills!N12</f>
        <v/>
      </c>
      <c r="G2419">
        <f>Calc!G12</f>
        <v/>
      </c>
      <c r="H2419">
        <f>Calc!H12</f>
        <v/>
      </c>
      <c r="I2419">
        <f>IF(Skills!T12&lt;&gt;"",1+(Skills!T12/10)*(Z2410/1000)/100,1)</f>
        <v/>
      </c>
      <c r="J2419">
        <f>((Inputs!$B$6*(1+Inputs!$B$7/100))+(((Inputs!$B$12*(1+Inputs!$B$13/100))-(Inputs!$B$12*(1+Inputs!$B$13/100)))+0.25*(Inputs!$B$14-Inputs!$B$14))*(1+Inputs!$B$7/100))*(F2419/100)</f>
        <v/>
      </c>
      <c r="K2419">
        <f>J2419*(1+((Inputs!$B$12*(1+Inputs!$B$13/100))*0.01+Inputs!$B$14*0.0025)/100)*(1+(Inputs!$B$15+B2436)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2422=TRUE,F2422,0)/100)*(1+IF(C2430=TRUE,F2430,0)/100)^5*(1+(IF(Skills!A12="CHAIN_LIGHTNING",Inputs!$B$17+((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2434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2419)</f>
        <v/>
      </c>
      <c r="L2419">
        <f>K2419*(MIN(Inputs!$B$22+(F2425-Calc!F18),(Inputs!$B$23+(IF(ArtifactsInput!$M$15,CHOOSE(ArtifactsInput!$N$15+1,25,30,35,40,45,50)/100*(Inputs!$B$11-Inputs!$B$11),0))))/100+(Inputs!$B$23+(IF(ArtifactsInput!$M$15,CHOOSE(ArtifactsInput!$N$15+1,25,30,35,40,45,50)/100*(Inputs!$B$11-Inputs!$B$11),0)))/100)/2</f>
        <v/>
      </c>
      <c r="M2419">
        <f>L2419*(1+(Inputs!$B$10+(F2428-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9">
        <f>L2419*(1-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2419*(MIN((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9">
        <f>(1-Summary!$B$11)*S2419+Summary!$B$11*U2419</f>
        <v/>
      </c>
      <c r="P2419">
        <f>IF(B2444=0,0,O2419/B2444)</f>
        <v/>
      </c>
      <c r="Q2419">
        <f>IFERROR(1/(IF(Inputs!$B$38="pvp",15,MAX(0.1,Skills!D12-IF(TRUE=TRUE,Inputs!$B$32,0)))*(1-IF(AND(ArtifactsInput!$M$27,Inputs!$B$4="Chapter Hunt"),CHOOSE(ArtifactsInput!$N$27+1,20,24,28,32,36,40),0)/100)),0)</f>
        <v/>
      </c>
      <c r="R2419">
        <f>IF(AND(Inputs!$B$38&lt;&gt;"pvp",Inputs!$B$43&gt;0),IF(MAX(0,Inputs!$B$43-B2441)&lt;=0,0,(INT(MAX(0,Inputs!$B$43-B2441)/(IF(Inputs!$B$38="pvp",15,MAX(0.1,Skills!D12-IF(TRUE=TRUE,Inputs!$B$32,0)))*(1-IF(AND(ArtifactsInput!$M$27,Inputs!$B$4="Chapter Hunt"),CHOOSE(ArtifactsInput!$N$27+1,20,24,28,32,36,40),0)/100)))+1)),0)</f>
        <v/>
      </c>
      <c r="S2419">
        <f>IF(C2419,(H2419*N2419*IF(AND(Inputs!$B$38&lt;&gt;"pvp",Inputs!$B$43&gt;0),((Skills!F12*((R2419-1)*IF(Skills!G12&gt;0,Skills!H12/Skills!G12,1)+IF(Skills!G12&gt;0,MIN(Skills!H12,MAX(0,MAX(0,Inputs!$B$43-B2441)-((R2419-1)*(IF(Inputs!$B$38="pvp",15,MAX(0.1,Skills!D12-IF(TRUE=TRUE,Inputs!$B$32,0)))*(1-IF(AND(ArtifactsInput!$M$27,Inputs!$B$4="Chapter Hunt"),CHOOSE(ArtifactsInput!$N$27+1,20,24,28,32,36,40),0)/100)))))/Skills!G12,1)))/Inputs!$B$43),G2419*Q2419))*IF(Inputs!$B$38="pvp",1,1+(Inputs!$B$20+Skills!O12+B2435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2419*(1-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2419*(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2419*(1-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2419*(MIN(100,(Inputs!$B$9+((F2427-Calc!F20)+(F2426-Calc!F19))+(ArtifactsInput!$M$24-ArtifactsInput!$M$24)*CHOOSE(ArtifactsInput!$N$24+1,10,12,14,16,18,20)+(IF(AND(Inputs!$B$38&lt;&gt;"pvp",Inputs!$B$43=0),1,IF(IF(Inputs!$B$38="pvp",15,Inputs!$B$43)-(B2441)&lt;=0,1,MAX(0,IF(Inputs!$B$38="pvp",15,Inputs!$B$43)-MAX(5,B2441))/(IF(Inputs!$B$38="pvp",15,Inputs!$B$43)-(B2441)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9">
        <f>IF(C2419,(H2419*N2419*IF(AND(Inputs!$B$38&lt;&gt;"pvp",Inputs!$B$43&gt;0),((Skills!F12*((R2419-1)*IF(Skills!G12&gt;0,Skills!H12/Skills!G12,1)+IF(Skills!G12&gt;0,MIN(Skills!H12,MAX(0,MAX(0,Inputs!$B$43-B2441)-((R2419-1)*(IF(Inputs!$B$38="pvp",15,MAX(0.1,Skills!D12-IF(TRUE=TRUE,Inputs!$B$32,0)))*(1-IF(AND(ArtifactsInput!$M$27,Inputs!$B$4="Chapter Hunt"),CHOOSE(ArtifactsInput!$N$27+1,20,24,28,32,36,40),0)/100)))))/Skills!G12,1)))/Inputs!$B$43),G2419*Q2419))*IF(Inputs!$B$38="pvp",1,(1+(Inputs!$B$21+Skills!P12+B2435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0">
      <c r="A2420">
        <f>Skills!A13</f>
        <v/>
      </c>
      <c r="B2420">
        <f>Skills!B13</f>
        <v/>
      </c>
      <c r="C2420">
        <f>Inputs!$B$3&gt;=49</f>
        <v/>
      </c>
      <c r="D2420">
        <f>IF(Skills!C13=1,60+Inputs!$B$25+Inputs!$B$29,IF(Skills!C13=2,90+Inputs!$B$26+Inputs!$B$29,IF(Skills!C13=3,120+Inputs!$B$27+Inputs!$B$29,MAX(0,(Inputs!$B$3-100)*3)+Inputs!$B$28+Inputs!$B$29)))</f>
        <v/>
      </c>
      <c r="E2420">
        <f>INDEX(FactorTable!$B$2:$Y$301, MATCH(ROUND(MIN(300,MAX(1,D2420)),0), FactorTable!$A$2:$A$301,0), Skills!L13+1)</f>
        <v/>
      </c>
      <c r="F2420">
        <f>IF(Skills!M13=TRUE,(Skills!K13/10)*(E2420/1000),Skills!K13/10)+Skills!N13</f>
        <v/>
      </c>
      <c r="G2420">
        <f>Calc!G13</f>
        <v/>
      </c>
      <c r="H2420">
        <f>Calc!H13</f>
        <v/>
      </c>
      <c r="I2420">
        <f>IF(Skills!T13&lt;&gt;"",1+(Skills!T13/10)*(Z2410/1000)/100,1)</f>
        <v/>
      </c>
      <c r="J2420" t="inlineStr"/>
      <c r="K2420" t="inlineStr"/>
      <c r="L2420" t="inlineStr"/>
      <c r="M2420" t="inlineStr"/>
      <c r="N2420" t="inlineStr"/>
      <c r="O2420">
        <f>(1-Summary!$B$11)*S2420+Summary!$B$11*U2420</f>
        <v/>
      </c>
      <c r="P2420">
        <f>IF(B2444=0,0,O2420/B2444)</f>
        <v/>
      </c>
      <c r="Q2420">
        <f>IFERROR(1/(IF(Inputs!$B$38="pvp",15,MAX(0.1,Skills!D13-IF(TRUE=TRUE,Inputs!$B$32,0)))*(1-IF(AND(ArtifactsInput!$M$27,Inputs!$B$4="Chapter Hunt"),CHOOSE(ArtifactsInput!$N$27+1,20,24,28,32,36,40),0)/100)),0)</f>
        <v/>
      </c>
      <c r="R2420" t="n">
        <v>0</v>
      </c>
      <c r="S2420" t="n">
        <v>0</v>
      </c>
      <c r="U2420" t="n">
        <v>0</v>
      </c>
    </row>
    <row r="2421">
      <c r="A2421">
        <f>Skills!A14</f>
        <v/>
      </c>
      <c r="B2421">
        <f>Skills!B14</f>
        <v/>
      </c>
      <c r="C2421">
        <f>Inputs!$B$3&gt;=72</f>
        <v/>
      </c>
      <c r="D2421">
        <f>IF(Skills!C14=1,60+Inputs!$B$25+Inputs!$B$29,IF(Skills!C14=2,90+Inputs!$B$26+Inputs!$B$29,IF(Skills!C14=3,120+Inputs!$B$27+Inputs!$B$29,MAX(0,(Inputs!$B$3-100)*3)+Inputs!$B$28+Inputs!$B$29)))</f>
        <v/>
      </c>
      <c r="E2421">
        <f>INDEX(FactorTable!$B$2:$Y$301, MATCH(ROUND(MIN(300,MAX(1,D2421)),0), FactorTable!$A$2:$A$301,0), Skills!L14+1)</f>
        <v/>
      </c>
      <c r="F2421">
        <f>IF(Skills!M14=TRUE,(Skills!K14/10)*(E2421/1000),Skills!K14/10)+Skills!N14</f>
        <v/>
      </c>
      <c r="G2421">
        <f>Calc!G14</f>
        <v/>
      </c>
      <c r="H2421">
        <f>Calc!H14</f>
        <v/>
      </c>
      <c r="I2421">
        <f>IF(Skills!T14&lt;&gt;"",1+(Skills!T14/10)*(Z2410/1000)/100,1)</f>
        <v/>
      </c>
      <c r="J2421" t="inlineStr"/>
      <c r="K2421" t="inlineStr"/>
      <c r="L2421" t="inlineStr"/>
      <c r="M2421" t="inlineStr"/>
      <c r="N2421" t="inlineStr"/>
      <c r="O2421">
        <f>(1-Summary!$B$11)*S2421+Summary!$B$11*U2421</f>
        <v/>
      </c>
      <c r="P2421">
        <f>IF(B2444=0,0,O2421/B2444)</f>
        <v/>
      </c>
      <c r="Q2421">
        <f>IFERROR(1/(IF(Inputs!$B$38="pvp",15,MAX(0.1,Skills!D14-IF(TRUE=TRUE,Inputs!$B$32,0)))*(1-IF(AND(ArtifactsInput!$M$27,Inputs!$B$4="Chapter Hunt"),CHOOSE(ArtifactsInput!$N$27+1,20,24,28,32,36,40),0)/100)),0)</f>
        <v/>
      </c>
      <c r="R2421" t="n">
        <v>0</v>
      </c>
      <c r="S2421" t="n">
        <v>0</v>
      </c>
      <c r="U2421" t="n">
        <v>0</v>
      </c>
    </row>
    <row r="2422">
      <c r="A2422">
        <f>Skills!A15</f>
        <v/>
      </c>
      <c r="B2422">
        <f>Skills!B15</f>
        <v/>
      </c>
      <c r="C2422">
        <f>Inputs!$B$3&gt;=75</f>
        <v/>
      </c>
      <c r="D2422">
        <f>IF(Skills!C15=1,60+Inputs!$B$25+Inputs!$B$29,IF(Skills!C15=2,90+Inputs!$B$26+Inputs!$B$29,IF(Skills!C15=3,120+Inputs!$B$27+Inputs!$B$29,MAX(0,(Inputs!$B$3-100)*3)+Inputs!$B$28+Inputs!$B$29)))</f>
        <v/>
      </c>
      <c r="E2422">
        <f>INDEX(FactorTable!$B$2:$Y$301, MATCH(ROUND(MIN(300,MAX(1,D2422)),0), FactorTable!$A$2:$A$301,0), Skills!L15+1)</f>
        <v/>
      </c>
      <c r="F2422">
        <f>IF(Skills!M15=TRUE,(Skills!K15/10)*(E2422/1000),Skills!K15/10)+Skills!N15</f>
        <v/>
      </c>
      <c r="G2422">
        <f>Calc!G15</f>
        <v/>
      </c>
      <c r="H2422">
        <f>Calc!H15</f>
        <v/>
      </c>
      <c r="I2422">
        <f>IF(Skills!T15&lt;&gt;"",1+(Skills!T15/10)*(Z2410/1000)/100,1)</f>
        <v/>
      </c>
      <c r="J2422" t="inlineStr"/>
      <c r="K2422" t="inlineStr"/>
      <c r="L2422" t="inlineStr"/>
      <c r="M2422" t="inlineStr"/>
      <c r="N2422" t="inlineStr"/>
      <c r="O2422">
        <f>(1-Summary!$B$11)*S2422+Summary!$B$11*U2422</f>
        <v/>
      </c>
      <c r="P2422">
        <f>IF(B2444=0,0,O2422/B2444)</f>
        <v/>
      </c>
      <c r="Q2422">
        <f>IFERROR(1/(IF(Inputs!$B$38="pvp",15,MAX(0.1,Skills!D15-IF(TRUE=TRUE,Inputs!$B$32,0)))*(1-IF(AND(ArtifactsInput!$M$27,Inputs!$B$4="Chapter Hunt"),CHOOSE(ArtifactsInput!$N$27+1,20,24,28,32,36,40),0)/100)),0)</f>
        <v/>
      </c>
      <c r="R2422" t="n">
        <v>0</v>
      </c>
      <c r="S2422" t="n">
        <v>0</v>
      </c>
      <c r="U2422" t="n">
        <v>0</v>
      </c>
    </row>
    <row r="2423">
      <c r="A2423">
        <f>Skills!A16</f>
        <v/>
      </c>
      <c r="B2423">
        <f>Skills!B16</f>
        <v/>
      </c>
      <c r="C2423">
        <f>Inputs!$B$3&gt;=110</f>
        <v/>
      </c>
      <c r="D2423">
        <f>IF(Skills!C16=1,60+Inputs!$B$25+Inputs!$B$29,IF(Skills!C16=2,90+Inputs!$B$26+Inputs!$B$29,IF(Skills!C16=3,120+Inputs!$B$27+Inputs!$B$29,MAX(0,(Inputs!$B$3-100)*3)+Inputs!$B$28+Inputs!$B$29)))</f>
        <v/>
      </c>
      <c r="E2423">
        <f>INDEX(FactorTable!$B$2:$Y$301, MATCH(ROUND(MIN(300,MAX(1,D2423)),0), FactorTable!$A$2:$A$301,0), Skills!L16+1)</f>
        <v/>
      </c>
      <c r="F2423">
        <f>(Skills!K16/10)*(E2423/1000)*64/45+Skills!N16</f>
        <v/>
      </c>
      <c r="G2423">
        <f>Calc!G16</f>
        <v/>
      </c>
      <c r="H2423">
        <f>Calc!H16</f>
        <v/>
      </c>
      <c r="I2423">
        <f>IF(Skills!T16&lt;&gt;"",1+(Skills!T16/10)*(Z2410/1000)/100,1)</f>
        <v/>
      </c>
      <c r="J2423" t="inlineStr"/>
      <c r="K2423" t="inlineStr"/>
      <c r="L2423" t="inlineStr"/>
      <c r="M2423" t="inlineStr"/>
      <c r="N2423" t="inlineStr"/>
      <c r="O2423">
        <f>(1-Summary!$B$11)*S2423+Summary!$B$11*U2423</f>
        <v/>
      </c>
      <c r="P2423">
        <f>IF(B2444=0,0,O2423/B2444)</f>
        <v/>
      </c>
      <c r="Q2423">
        <f>IFERROR(1/(IF(Inputs!$B$38="pvp",15,MAX(0.1,Skills!D16-IF(TRUE=TRUE,Inputs!$B$32,0)))*(1-IF(AND(ArtifactsInput!$M$27,Inputs!$B$4="Chapter Hunt"),CHOOSE(ArtifactsInput!$N$27+1,20,24,28,32,36,40),0)/100)),0)</f>
        <v/>
      </c>
      <c r="R2423">
        <f>IF(AND(Inputs!$B$38&lt;&gt;"pvp",Inputs!$B$43&gt;0),IF(Inputs!$B$43&lt;=0,0,(INT(Inputs!$B$43/(IF(Inputs!$B$38="pvp",15,MAX(0.1,Skills!D16-IF(TRUE=TRUE,Inputs!$B$32,0)))*(1-IF(AND(ArtifactsInput!$M$27,Inputs!$B$4="Chapter Hunt"),CHOOSE(ArtifactsInput!$N$27+1,20,24,28,32,36,40),0)/100)))+1)),0)</f>
        <v/>
      </c>
      <c r="S2423" t="n">
        <v>0</v>
      </c>
      <c r="U2423" t="n">
        <v>0</v>
      </c>
    </row>
    <row r="2424">
      <c r="A2424">
        <f>Skills!A17</f>
        <v/>
      </c>
      <c r="B2424">
        <f>Skills!B17</f>
        <v/>
      </c>
      <c r="C2424">
        <f>Inputs!$B$3&gt;=33</f>
        <v/>
      </c>
      <c r="D2424">
        <f>IF(Skills!C17=1,60+Inputs!$B$25+Inputs!$B$29,IF(Skills!C17=2,90+Inputs!$B$26+Inputs!$B$29,IF(Skills!C17=3,120+Inputs!$B$27+Inputs!$B$29,MAX(0,(Inputs!$B$3-100)*3)+Inputs!$B$28+Inputs!$B$29)))</f>
        <v/>
      </c>
      <c r="E2424">
        <f>INDEX(FactorTable!$B$2:$Y$301, MATCH(ROUND(MIN(300,MAX(1,D2424)),0), FactorTable!$A$2:$A$301,0), Skills!L17+1)</f>
        <v/>
      </c>
      <c r="F2424">
        <f>IF(Skills!M17=TRUE,(Skills!K17/10)*(E2424/1000),Skills!K17/10)+Skills!N17</f>
        <v/>
      </c>
      <c r="G2424">
        <f>Calc!G17</f>
        <v/>
      </c>
      <c r="H2424">
        <f>Calc!H17</f>
        <v/>
      </c>
      <c r="I2424">
        <f>IF(Skills!T17&lt;&gt;"",1+(Skills!T17/10)*(Z2410/1000)/100,1)</f>
        <v/>
      </c>
      <c r="J2424" t="inlineStr"/>
      <c r="K2424" t="inlineStr"/>
      <c r="L2424" t="inlineStr"/>
      <c r="M2424" t="inlineStr"/>
      <c r="N2424" t="inlineStr"/>
      <c r="O2424">
        <f>(1-Summary!$B$11)*S2424+Summary!$B$11*U2424</f>
        <v/>
      </c>
      <c r="P2424">
        <f>IF(B2444=0,0,O2424/B2444)</f>
        <v/>
      </c>
      <c r="Q2424">
        <f>IFERROR(1/(IF(Inputs!$B$38="pvp",15,MAX(0.1,Skills!D17-IF(TRUE=TRUE,Inputs!$B$32,0)))*(1-IF(AND(ArtifactsInput!$M$27,Inputs!$B$4="Chapter Hunt"),CHOOSE(ArtifactsInput!$N$27+1,20,24,28,32,36,40),0)/100)),0)</f>
        <v/>
      </c>
      <c r="R2424" t="n">
        <v>0</v>
      </c>
      <c r="S2424" t="n">
        <v>0</v>
      </c>
      <c r="U2424" t="n">
        <v>0</v>
      </c>
    </row>
    <row r="2425">
      <c r="A2425">
        <f>Skills!A18</f>
        <v/>
      </c>
      <c r="B2425">
        <f>Skills!B18</f>
        <v/>
      </c>
      <c r="C2425">
        <f>Inputs!$B$3&gt;=43</f>
        <v/>
      </c>
      <c r="D2425">
        <f>IF(Skills!C18=1,60+Inputs!$B$25+Inputs!$B$29,IF(Skills!C18=2,90+Inputs!$B$26+Inputs!$B$29,IF(Skills!C18=3,120+Inputs!$B$27+Inputs!$B$29,MAX(0,(Inputs!$B$3-100)*3)+Inputs!$B$28+Inputs!$B$29)))</f>
        <v/>
      </c>
      <c r="E2425">
        <f>INDEX(FactorTable!$B$2:$Y$301, MATCH(ROUND(MIN(300,MAX(1,D2425)),0), FactorTable!$A$2:$A$301,0), Skills!L18+1)</f>
        <v/>
      </c>
      <c r="F2425">
        <f>IF(Skills!M18=TRUE,(Skills!K18/10)*(E2425/1000),Skills!K18/10)+Skills!N18</f>
        <v/>
      </c>
      <c r="G2425">
        <f>Calc!G18</f>
        <v/>
      </c>
      <c r="H2425">
        <f>Calc!H18</f>
        <v/>
      </c>
      <c r="I2425">
        <f>IF(Skills!T18&lt;&gt;"",1+(Skills!T18/10)*(Z2410/1000)/100,1)</f>
        <v/>
      </c>
      <c r="J2425" t="inlineStr"/>
      <c r="K2425" t="inlineStr"/>
      <c r="L2425" t="inlineStr"/>
      <c r="M2425" t="inlineStr"/>
      <c r="N2425" t="inlineStr"/>
      <c r="O2425">
        <f>(1-Summary!$B$11)*S2425+Summary!$B$11*U2425</f>
        <v/>
      </c>
      <c r="P2425">
        <f>IF(B2444=0,0,O2425/B2444)</f>
        <v/>
      </c>
      <c r="Q2425">
        <f>IFERROR(1/(IF(Inputs!$B$38="pvp",15,MAX(0.1,Skills!D18-IF(TRUE=TRUE,Inputs!$B$32,0)))*(1-IF(AND(ArtifactsInput!$M$27,Inputs!$B$4="Chapter Hunt"),CHOOSE(ArtifactsInput!$N$27+1,20,24,28,32,36,40),0)/100)),0)</f>
        <v/>
      </c>
      <c r="R2425" t="n">
        <v>0</v>
      </c>
      <c r="S2425" t="n">
        <v>0</v>
      </c>
      <c r="U2425" t="n">
        <v>0</v>
      </c>
    </row>
    <row r="2426">
      <c r="A2426">
        <f>Skills!A19</f>
        <v/>
      </c>
      <c r="B2426">
        <f>Skills!B19</f>
        <v/>
      </c>
      <c r="C2426">
        <f>Inputs!$B$3&gt;=50</f>
        <v/>
      </c>
      <c r="D2426">
        <f>IF(Skills!C19=1,60+Inputs!$B$25+Inputs!$B$29,IF(Skills!C19=2,90+Inputs!$B$26+Inputs!$B$29,IF(Skills!C19=3,120+Inputs!$B$27+Inputs!$B$29,MAX(0,(Inputs!$B$3-100)*3)+Inputs!$B$28+Inputs!$B$29)))</f>
        <v/>
      </c>
      <c r="E2426">
        <f>INDEX(FactorTable!$B$2:$Y$301, MATCH(ROUND(MIN(300,MAX(1,D2426)),0), FactorTable!$A$2:$A$301,0), Skills!L19+1)</f>
        <v/>
      </c>
      <c r="F2426">
        <f>IF(Skills!M19=TRUE,(Skills!K19/10)*(E2426/1000),Skills!K19/10)+Skills!N19</f>
        <v/>
      </c>
      <c r="G2426">
        <f>Calc!G19</f>
        <v/>
      </c>
      <c r="H2426">
        <f>Calc!H19</f>
        <v/>
      </c>
      <c r="I2426">
        <f>IF(Skills!T19&lt;&gt;"",1+(Skills!T19/10)*(Z2410/1000)/100,1)</f>
        <v/>
      </c>
      <c r="J2426" t="inlineStr"/>
      <c r="K2426" t="inlineStr"/>
      <c r="L2426" t="inlineStr"/>
      <c r="M2426" t="inlineStr"/>
      <c r="N2426" t="inlineStr"/>
      <c r="O2426">
        <f>(1-Summary!$B$11)*S2426+Summary!$B$11*U2426</f>
        <v/>
      </c>
      <c r="P2426">
        <f>IF(B2444=0,0,O2426/B2444)</f>
        <v/>
      </c>
      <c r="Q2426">
        <f>IFERROR(1/(IF(Inputs!$B$38="pvp",15,MAX(0.1,Skills!D19-IF(TRUE=TRUE,Inputs!$B$32,0)))*(1-IF(AND(ArtifactsInput!$M$27,Inputs!$B$4="Chapter Hunt"),CHOOSE(ArtifactsInput!$N$27+1,20,24,28,32,36,40),0)/100)),0)</f>
        <v/>
      </c>
      <c r="R2426" t="n">
        <v>0</v>
      </c>
      <c r="S2426" t="n">
        <v>0</v>
      </c>
      <c r="U2426" t="n">
        <v>0</v>
      </c>
    </row>
    <row r="2427">
      <c r="A2427">
        <f>Skills!A20</f>
        <v/>
      </c>
      <c r="B2427">
        <f>Skills!B20</f>
        <v/>
      </c>
      <c r="C2427">
        <f>Inputs!$B$3&gt;=74</f>
        <v/>
      </c>
      <c r="D2427">
        <f>IF(Skills!C20=1,60+Inputs!$B$25+Inputs!$B$29,IF(Skills!C20=2,90+Inputs!$B$26+Inputs!$B$29,IF(Skills!C20=3,120+Inputs!$B$27+Inputs!$B$29,MAX(0,(Inputs!$B$3-100)*3)+Inputs!$B$28+Inputs!$B$29)))</f>
        <v/>
      </c>
      <c r="E2427">
        <f>INDEX(FactorTable!$B$2:$Y$301, MATCH(ROUND(MIN(300,MAX(1,D2427)),0), FactorTable!$A$2:$A$301,0), Skills!L20+1)</f>
        <v/>
      </c>
      <c r="F2427">
        <f>IF(Skills!M20=TRUE,(Skills!K20/10)*(E2427/1000),Skills!K20/10)+Skills!N20</f>
        <v/>
      </c>
      <c r="G2427">
        <f>Calc!G20</f>
        <v/>
      </c>
      <c r="H2427">
        <f>Calc!H20</f>
        <v/>
      </c>
      <c r="I2427">
        <f>IF(Skills!T20&lt;&gt;"",1+(Skills!T20/10)*(Z2410/1000)/100,1)</f>
        <v/>
      </c>
      <c r="J2427" t="inlineStr"/>
      <c r="K2427" t="inlineStr"/>
      <c r="L2427" t="inlineStr"/>
      <c r="M2427" t="inlineStr"/>
      <c r="N2427" t="inlineStr"/>
      <c r="O2427">
        <f>(1-Summary!$B$11)*S2427+Summary!$B$11*U2427</f>
        <v/>
      </c>
      <c r="P2427">
        <f>IF(B2444=0,0,O2427/B2444)</f>
        <v/>
      </c>
      <c r="Q2427">
        <f>IFERROR(1/(IF(Inputs!$B$38="pvp",15,MAX(0.1,Skills!D20-IF(TRUE=TRUE,Inputs!$B$32,0)))*(1-IF(AND(ArtifactsInput!$M$27,Inputs!$B$4="Chapter Hunt"),CHOOSE(ArtifactsInput!$N$27+1,20,24,28,32,36,40),0)/100)),0)</f>
        <v/>
      </c>
      <c r="R2427" t="n">
        <v>0</v>
      </c>
      <c r="S2427" t="n">
        <v>0</v>
      </c>
      <c r="U2427" t="n">
        <v>0</v>
      </c>
    </row>
    <row r="2428">
      <c r="A2428">
        <f>Skills!A21</f>
        <v/>
      </c>
      <c r="B2428">
        <f>Skills!B21</f>
        <v/>
      </c>
      <c r="C2428">
        <f>Inputs!$B$3&gt;=74</f>
        <v/>
      </c>
      <c r="D2428">
        <f>IF(Skills!C21=1,60+Inputs!$B$25+Inputs!$B$29,IF(Skills!C21=2,90+Inputs!$B$26+Inputs!$B$29,IF(Skills!C21=3,120+Inputs!$B$27+Inputs!$B$29,MAX(0,(Inputs!$B$3-100)*3)+Inputs!$B$28+Inputs!$B$29)))</f>
        <v/>
      </c>
      <c r="E2428">
        <f>INDEX(FactorTable!$B$2:$Y$301, MATCH(ROUND(MIN(300,MAX(1,D2428)),0), FactorTable!$A$2:$A$301,0), Skills!L21+1)</f>
        <v/>
      </c>
      <c r="F2428">
        <f>IF(Skills!M21=TRUE,(Skills!K21/10)*(E2428/1000),Skills!K21/10)+Skills!N21</f>
        <v/>
      </c>
      <c r="G2428">
        <f>Calc!G21</f>
        <v/>
      </c>
      <c r="H2428">
        <f>Calc!H21</f>
        <v/>
      </c>
      <c r="I2428">
        <f>IF(Skills!T21&lt;&gt;"",1+(Skills!T21/10)*(Z2410/1000)/100,1)</f>
        <v/>
      </c>
      <c r="J2428" t="inlineStr"/>
      <c r="K2428" t="inlineStr"/>
      <c r="L2428" t="inlineStr"/>
      <c r="M2428" t="inlineStr"/>
      <c r="N2428" t="inlineStr"/>
      <c r="O2428">
        <f>(1-Summary!$B$11)*S2428+Summary!$B$11*U2428</f>
        <v/>
      </c>
      <c r="P2428">
        <f>IF(B2444=0,0,O2428/B2444)</f>
        <v/>
      </c>
      <c r="Q2428">
        <f>IFERROR(1/(IF(Inputs!$B$38="pvp",15,MAX(0.1,Skills!D21-IF(TRUE=TRUE,Inputs!$B$32,0)))*(1-IF(AND(ArtifactsInput!$M$27,Inputs!$B$4="Chapter Hunt"),CHOOSE(ArtifactsInput!$N$27+1,20,24,28,32,36,40),0)/100)),0)</f>
        <v/>
      </c>
      <c r="R2428" t="n">
        <v>0</v>
      </c>
      <c r="S2428" t="n">
        <v>0</v>
      </c>
      <c r="U2428" t="n">
        <v>0</v>
      </c>
    </row>
    <row r="2429">
      <c r="A2429">
        <f>Skills!A22</f>
        <v/>
      </c>
      <c r="B2429">
        <f>Skills!B22</f>
        <v/>
      </c>
      <c r="C2429">
        <f>Inputs!$B$3&gt;=117</f>
        <v/>
      </c>
      <c r="D2429">
        <f>IF(Skills!C22=1,60+Inputs!$B$25+Inputs!$B$29,IF(Skills!C22=2,90+Inputs!$B$26+Inputs!$B$29,IF(Skills!C22=3,120+Inputs!$B$27+Inputs!$B$29,MAX(0,(Inputs!$B$3-100)*3)+Inputs!$B$28+Inputs!$B$29)))</f>
        <v/>
      </c>
      <c r="E2429">
        <f>INDEX(FactorTable!$B$2:$Y$301, MATCH(ROUND(MIN(300,MAX(1,D2429)),0), FactorTable!$A$2:$A$301,0), Skills!L22+1)</f>
        <v/>
      </c>
      <c r="F2429">
        <f>IF(Skills!M22=TRUE,(Skills!K22/10)*(E2429/1000),Skills!K22/10)+Skills!N22</f>
        <v/>
      </c>
      <c r="G2429">
        <f>Calc!G22</f>
        <v/>
      </c>
      <c r="H2429">
        <f>Calc!H22</f>
        <v/>
      </c>
      <c r="I2429">
        <f>IF(Skills!T22&lt;&gt;"",1+(Skills!T22/10)*(Z2410/1000)/100,1)</f>
        <v/>
      </c>
      <c r="J2429" t="inlineStr"/>
      <c r="K2429" t="inlineStr"/>
      <c r="L2429" t="inlineStr"/>
      <c r="M2429" t="inlineStr"/>
      <c r="N2429" t="inlineStr"/>
      <c r="O2429">
        <f>(1-Summary!$B$11)*S2429+Summary!$B$11*U2429</f>
        <v/>
      </c>
      <c r="P2429">
        <f>IF(B2444=0,0,O2429/B2444)</f>
        <v/>
      </c>
      <c r="Q2429">
        <f>IFERROR(1/(IF(Inputs!$B$38="pvp",15,MAX(0.1,Skills!D22-IF(TRUE=TRUE,Inputs!$B$32,0)))*(1-IF(AND(ArtifactsInput!$M$27,Inputs!$B$4="Chapter Hunt"),CHOOSE(ArtifactsInput!$N$27+1,20,24,28,32,36,40),0)/100)),0)</f>
        <v/>
      </c>
      <c r="R2429" t="n">
        <v>0</v>
      </c>
      <c r="S2429" t="n">
        <v>0</v>
      </c>
      <c r="U2429" t="n">
        <v>0</v>
      </c>
    </row>
    <row r="2430">
      <c r="A2430">
        <f>Skills!A23</f>
        <v/>
      </c>
      <c r="B2430">
        <f>Skills!B23</f>
        <v/>
      </c>
      <c r="C2430">
        <f>Inputs!$B$3&gt;=120</f>
        <v/>
      </c>
      <c r="D2430">
        <f>IF(Skills!C23=1,60+Inputs!$B$25+Inputs!$B$29,IF(Skills!C23=2,90+Inputs!$B$26+Inputs!$B$29,IF(Skills!C23=3,120+Inputs!$B$27+Inputs!$B$29,MAX(0,(Inputs!$B$3-100)*3)+Inputs!$B$28+Inputs!$B$29)))</f>
        <v/>
      </c>
      <c r="E2430">
        <f>INDEX(FactorTable!$B$2:$Y$301, MATCH(ROUND(MIN(300,MAX(1,D2430)),0), FactorTable!$A$2:$A$301,0), Skills!L23+1)</f>
        <v/>
      </c>
      <c r="F2430">
        <f>IF(Skills!M23=TRUE,(Skills!K23/10)*(E2430/1000),Skills!K23/10)+Skills!N23</f>
        <v/>
      </c>
      <c r="G2430">
        <f>Calc!G23</f>
        <v/>
      </c>
      <c r="H2430">
        <f>Calc!H23</f>
        <v/>
      </c>
      <c r="I2430">
        <f>IF(Skills!T23&lt;&gt;"",1+(Skills!T23/10)*(Z2410/1000)/100,1)</f>
        <v/>
      </c>
      <c r="J2430" t="inlineStr"/>
      <c r="K2430" t="inlineStr"/>
      <c r="L2430" t="inlineStr"/>
      <c r="M2430" t="inlineStr"/>
      <c r="N2430" t="inlineStr"/>
      <c r="O2430">
        <f>(1-Summary!$B$11)*S2430+Summary!$B$11*U2430</f>
        <v/>
      </c>
      <c r="P2430">
        <f>IF(B2444=0,0,O2430/B2444)</f>
        <v/>
      </c>
      <c r="Q2430">
        <f>IFERROR(1/(IF(Inputs!$B$38="pvp",15,MAX(0.1,Skills!D23-IF(TRUE=TRUE,Inputs!$B$32,0)))*(1-IF(AND(ArtifactsInput!$M$27,Inputs!$B$4="Chapter Hunt"),CHOOSE(ArtifactsInput!$N$27+1,20,24,28,32,36,40),0)/100)),0)</f>
        <v/>
      </c>
      <c r="R2430" t="n">
        <v>0</v>
      </c>
      <c r="S2430" t="n">
        <v>0</v>
      </c>
      <c r="U2430" t="n">
        <v>0</v>
      </c>
    </row>
    <row r="2431">
      <c r="A2431">
        <f>Skills!A24</f>
        <v/>
      </c>
      <c r="B2431">
        <f>Skills!B24</f>
        <v/>
      </c>
      <c r="C2431">
        <f>TRUE</f>
        <v/>
      </c>
      <c r="D2431">
        <f>IF(Skills!C24=1,60+Inputs!$B$25+Inputs!$B$29,IF(Skills!C24=2,90+Inputs!$B$26+Inputs!$B$29,IF(Skills!C24=3,120+Inputs!$B$27+Inputs!$B$29,MAX(0,(Inputs!$B$3-100)*3)+Inputs!$B$28+Inputs!$B$29)))</f>
        <v/>
      </c>
      <c r="E2431">
        <f>INDEX(FactorTable!$B$2:$Y$301, MATCH(ROUND(MIN(300,MAX(1,D2431)),0), FactorTable!$A$2:$A$301,0), Skills!L24+1)</f>
        <v/>
      </c>
      <c r="F2431">
        <f>IF(Skills!M24=TRUE,(Skills!K24/10)*(E2431/1000),Skills!K24/10)+Skills!N24</f>
        <v/>
      </c>
      <c r="G2431">
        <f>Calc!G24</f>
        <v/>
      </c>
      <c r="H2431">
        <f>Calc!H24</f>
        <v/>
      </c>
      <c r="I2431">
        <f>IF(Skills!T24&lt;&gt;"",1+(Skills!T24/10)*(Z2410/1000)/100,1)</f>
        <v/>
      </c>
      <c r="J2431" t="inlineStr"/>
      <c r="K2431" t="inlineStr"/>
      <c r="L2431" t="inlineStr"/>
      <c r="M2431" t="inlineStr"/>
      <c r="N2431" t="inlineStr"/>
      <c r="O2431">
        <f>(1-Summary!$B$11)*S2431+Summary!$B$11*U2431</f>
        <v/>
      </c>
      <c r="P2431">
        <f>IF(B2444=0,0,O2431/B2444)</f>
        <v/>
      </c>
      <c r="Q2431">
        <f>IFERROR(1/(IF(Inputs!$B$38="pvp",15,MAX(0.1,Skills!D24-IF(TRUE=TRUE,Inputs!$B$32,0)))*(1-IF(AND(ArtifactsInput!$M$27,Inputs!$B$4="Chapter Hunt"),CHOOSE(ArtifactsInput!$N$27+1,20,24,28,32,36,40),0)/100)),0)</f>
        <v/>
      </c>
      <c r="R2431">
        <f>IF(AND(Inputs!$B$38&lt;&gt;"pvp",Inputs!$B$43&gt;0),IF(Inputs!$B$43&lt;=0,0,(INT(Inputs!$B$43/(IF(Inputs!$B$38="pvp",15,MAX(0.1,Skills!D24-IF(TRUE=TRUE,Inputs!$B$32,0)))*(1-IF(AND(ArtifactsInput!$M$27,Inputs!$B$4="Chapter Hunt"),CHOOSE(ArtifactsInput!$N$27+1,20,24,28,32,36,40),0)/100)))+1)),0)</f>
        <v/>
      </c>
      <c r="S2431" t="n">
        <v>0</v>
      </c>
      <c r="U2431" t="n">
        <v>0</v>
      </c>
    </row>
    <row r="2434">
      <c r="A2434" t="inlineStr">
        <is>
          <t>Average Buff Multiplier (Magic Guard + Meditation + Artifact Attack%, summed; then Infinity)</t>
        </is>
      </c>
      <c r="B2434">
        <f>(1+(IF(C2410=TRUE,F2410*IF(AND(Inputs!$B$38&lt;&gt;"pvp",Inputs!$B$43&gt;0),(((R2410-1)*MIN((Skills!S3*(1+(Inputs!$B$34)/100)),(1/Q2410))+MIN((Skills!S3*(1+(Inputs!$B$34)/100)),MAX(0,Inputs!$B$43-((R2410-1)*(1/Q2410)))))/Inputs!$B$43),IF(Inputs!$B$38="pvp",MIN((Skills!S3*(1+(Inputs!$B$34)/100)),15)/15,MIN(1,(Skills!S3*(1+(Inputs!$B$34)/100))/(1/Q2410)))),0)+IF(C2411=TRUE,F2411*IF(AND(Inputs!$B$38&lt;&gt;"pvp",Inputs!$B$43&gt;0),(((R2411-1)*MIN((Skills!S4*(1+(Inputs!$B$34)/100)),(1/Q2411))+MIN((Skills!S4*(1+(Inputs!$B$34)/100)),MAX(0,Inputs!$B$43-((R2411-1)*(1/Q2411)))))/Inputs!$B$43),IF(Inputs!$B$38="pvp",MIN((Skills!S4*(1+(Inputs!$B$34)/100)),15)/15,MIN(1,(Skills!S4*(1+(Inputs!$B$34)/100))/(1/Q2411)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2423=TRUE,(1+F2423*IF(AND(Inputs!$B$38&lt;&gt;"pvp",Inputs!$B$43&gt;0),(((R2423-1)*MIN((Skills!S16*(1+(Inputs!$B$34)/100)),(1/Q2423))+MIN((Skills!S16*(1+(Inputs!$B$34)/100)),MAX(0,Inputs!$B$43-((R2423-1)*(1/Q2423)))))/Inputs!$B$43),IF(Inputs!$B$38="pvp",MIN((Skills!S16*(1+(Inputs!$B$34)/100)),15)/15,MIN(1,(Skills!S16*(1+(Inputs!$B$34)/100))/(1/Q2423))))/100),1)</f>
        <v/>
      </c>
    </row>
    <row r="2435">
      <c r="A2435" t="inlineStr">
        <is>
          <t>Monster Damage Taken Bonus % (Freezing Breath - Weaken + Elemental Reset + Artifact Enemy Damage Taken, summed)</t>
        </is>
      </c>
      <c r="B2435">
        <f>IF(Inputs!$B$3&gt;=118,15*IF(Inputs!$B$38="pvp",MIN((30*(1+(Inputs!$B$34)/100)),15)/15,MIN(1,(30*(1+(Inputs!$B$34)/100))/(1/Q2415))),0)+IF(C2421=TRUE,F2421,0)+(IF(AND(ArtifactsInput!$M$35,Inputs!$B$4&lt;&gt;"Chapter Hunt"),CHOOSE(ArtifactsInput!$N$35+1,15,18,21,24,27,30)*(1-EXP(-(0.2*B2438)*5)),0)+IF(AND(ArtifactsInput!$M$22,Inputs!$B$4&lt;&gt;"Chapter Hunt"),CHOOSE(ArtifactsInput!$N$22+1,10,12,14,16,18,20)*((0*(((0.15*B2438*5))^0/1)+1*(((0.15*B2438*5))^1/1)+2*(((0.15*B2438*5))^2/2)+3*(((0.15*B2438*5))^3/6)+4*(((0.15*B2438*5))^4/24)+5*(((0.15*B2438*5))^5/120))/((((0.15*B2438*5))^0/1)+(((0.15*B2438*5))^1/1)+(((0.15*B2438*5))^2/2)+(((0.15*B2438*5))^3/6)+(((0.15*B2438*5))^4/24)+(((0.15*B2438*5))^5/120))),0))</f>
        <v/>
      </c>
    </row>
    <row r="2436">
      <c r="A2436" t="inlineStr">
        <is>
          <t>Damage % Bonus (Frozen Break + Frost Clutch, flat)</t>
        </is>
      </c>
      <c r="B2436">
        <f>IF(Inputs!$B$3&gt;=66,15,0)+IF(Inputs!$B$3&gt;=98,10,0)+IF(Inputs!$B$3&gt;=125,20,0)</f>
        <v/>
      </c>
    </row>
    <row r="2437">
      <c r="A2437" t="inlineStr">
        <is>
          <t>Attack Speed Bonus % (MP Eater - MP Boost, always-on + Nimble Feet, duty-cycle averaged)</t>
        </is>
      </c>
      <c r="B2437">
        <f>IF(C2420=TRUE,F2420+(F2424-Calc!F17),0)+((C2431=TRUE)*F2431*IF(AND(Inputs!$B$38&lt;&gt;"pvp",Inputs!$B$43&gt;0),(((R2431-1)*MIN((Skills!S24*(1+(Inputs!$B$34)/100)),(1/Q2431))+MIN((Skills!S24*(1+(Inputs!$B$34)/100)),MAX(0,Inputs!$B$43-((R2431-1)*(1/Q2431)))))/Inputs!$B$43),IF(Inputs!$B$38="pvp",MIN((Skills!S24*(1+(Inputs!$B$34)/100)),15)/15,MIN(1,(Skills!S24*(1+(Inputs!$B$34)/100))/(1/Q2431)))))</f>
        <v/>
      </c>
    </row>
    <row r="2438">
      <c r="A2438" t="inlineStr">
        <is>
          <t>Actions Per Second</t>
        </is>
      </c>
      <c r="B2438">
        <f>1+MIN(150,150*(1-(1-(Inputs!$B$11+(ArtifactsInput!$M$15-ArtifactsInput!$M$15)*CHOOSE(ArtifactsInput!$N$15+1,8,9.6,11.2,12.8,14.4,16))/150)*(1-B2437/150)))/100</f>
        <v/>
      </c>
    </row>
    <row r="2439">
      <c r="A2439" t="inlineStr">
        <is>
          <t>Skill + Buff Cast Rate</t>
        </is>
      </c>
      <c r="B2439">
        <f>IF(AND(Inputs!$B$38&lt;&gt;"pvp",Inputs!$B$43&gt;0),SUMPRODUCT((Skills!E2:E24=TRUE)*(C2409:C2431=TRUE)*R2409:R2431)/Inputs!$B$43,SUMPRODUCT((Skills!E2:E24=TRUE)*(C2409:C2431=TRUE)*Q2409:Q2431))</f>
        <v/>
      </c>
    </row>
    <row r="2440">
      <c r="A2440" t="inlineStr">
        <is>
          <t>Chain Lightning Casts Per Second</t>
        </is>
      </c>
      <c r="B2440">
        <f>MAX(0,B2438-B2439)</f>
        <v/>
      </c>
    </row>
    <row r="2441">
      <c r="A2441" t="inlineStr">
        <is>
          <t>Buff-Casting Startup Delay (s, fixed-duration only)</t>
        </is>
      </c>
      <c r="B2441">
        <f>IF(AND(Inputs!$B$38&lt;&gt;"pvp",Inputs!$B$43&gt;0),SUMPRODUCT((Skills!S2:S24&gt;0)*(Skills!E2:E24=TRUE)*(C2409:C2431=TRUE))/B2438,0)</f>
        <v/>
      </c>
    </row>
    <row r="2442">
      <c r="A2442" t="inlineStr">
        <is>
          <t>Boss-Only Total DPS (this block's swept value)</t>
        </is>
      </c>
      <c r="B2442">
        <f>SUM(S2409:S2431)</f>
        <v/>
      </c>
    </row>
    <row r="2443">
      <c r="A2443" t="inlineStr">
        <is>
          <t>Normal-Only Total DPS (this block's swept value)</t>
        </is>
      </c>
      <c r="B2443">
        <f>SUM(U2409:U2431)</f>
        <v/>
      </c>
    </row>
    <row r="2444">
      <c r="A2444" s="6" t="inlineStr">
        <is>
          <t>TOTAL DPS</t>
        </is>
      </c>
      <c r="B2444" s="6">
        <f>SUM(O2409:O2431)</f>
        <v/>
      </c>
    </row>
    <row r="2445">
      <c r="A2445" t="inlineStr">
        <is>
          <t>Blizzard Final Attack trigger rate (this block's own Q/R)</t>
        </is>
      </c>
      <c r="B2445">
        <f>IF(AND(Inputs!$B$38&lt;&gt;"pvp",Inputs!$B$43&gt;0),(((C2412=TRUE)*R2412*1)+((C2413=TRUE)*R2413*1)+((C2415=TRUE)*R2415*1)+((C2416=TRUE)*R2416*3)+((C2418=TRUE)*R2418*1))/Inputs!$B$43,((C2412=TRUE)*Q2412*1)+((C2413=TRUE)*Q2413*1)+((C2415=TRUE)*Q2415*1)+((C2416=TRUE)*Q2416*3)+((C2418=TRUE)*Q2418*1))+B2440</f>
        <v/>
      </c>
    </row>
    <row r="2448">
      <c r="A2448" s="6" t="inlineStr">
        <is>
          <t>Stat: Reindeer's Spear (Equip)</t>
        </is>
      </c>
    </row>
    <row r="2449">
      <c r="A2449" s="5" t="inlineStr">
        <is>
          <t>Key</t>
        </is>
      </c>
      <c r="B2449" s="5" t="inlineStr">
        <is>
          <t>Name</t>
        </is>
      </c>
      <c r="C2449" s="5" t="inlineStr">
        <is>
          <t>Unlocked</t>
        </is>
      </c>
      <c r="D2449" s="5" t="inlineStr">
        <is>
          <t>InputLevel</t>
        </is>
      </c>
      <c r="E2449" s="5" t="inlineStr">
        <is>
          <t>Factor</t>
        </is>
      </c>
      <c r="F2449" s="5" t="inlineStr">
        <is>
          <t>CoefficientPercent</t>
        </is>
      </c>
      <c r="G2449" s="5" t="inlineStr">
        <is>
          <t>EffectiveHits</t>
        </is>
      </c>
      <c r="H2449" s="5" t="inlineStr">
        <is>
          <t>ProcProbability</t>
        </is>
      </c>
      <c r="I2449" s="5" t="inlineStr">
        <is>
          <t>MapleHeroMultiplier</t>
        </is>
      </c>
      <c r="J2449" s="5" t="inlineStr">
        <is>
          <t>BaseDamage</t>
        </is>
      </c>
      <c r="K2449" s="5" t="inlineStr">
        <is>
          <t>BaseHitDamage</t>
        </is>
      </c>
      <c r="L2449" s="5" t="inlineStr">
        <is>
          <t>NonCritAvg</t>
        </is>
      </c>
      <c r="M2449" s="5" t="inlineStr">
        <is>
          <t>CritAvg</t>
        </is>
      </c>
      <c r="N2449" s="5" t="inlineStr">
        <is>
          <t>ExpectedDamage(perHit)</t>
        </is>
      </c>
      <c r="O2449" s="5" t="inlineStr">
        <is>
          <t>DPS</t>
        </is>
      </c>
      <c r="P2449" s="5" t="inlineStr">
        <is>
          <t>% of Total</t>
        </is>
      </c>
      <c r="R2449" t="inlineStr">
        <is>
          <t>helpers</t>
        </is>
      </c>
    </row>
    <row r="2450">
      <c r="A2450">
        <f>Skills!A2</f>
        <v/>
      </c>
      <c r="B2450">
        <f>Skills!B2</f>
        <v/>
      </c>
      <c r="C2450">
        <f>Inputs!$B$3&gt;=100</f>
        <v/>
      </c>
      <c r="D2450" t="inlineStr"/>
      <c r="E2450" t="inlineStr"/>
      <c r="F2450">
        <f>T2452+Skills!N2</f>
        <v/>
      </c>
      <c r="G2450">
        <f>Calc!G2</f>
        <v/>
      </c>
      <c r="H2450">
        <f>Calc!H2</f>
        <v/>
      </c>
      <c r="I2450">
        <f>IF(Skills!T2&lt;&gt;"",1+(Skills!T2/10)*(Z2451/1000)/100,1)</f>
        <v/>
      </c>
      <c r="J2450">
        <f>((Inputs!$B$6*(1+Inputs!$B$7/100))+(((Inputs!$B$12*(1+Inputs!$B$13/100))-(Inputs!$B$12*(1+Inputs!$B$13/100)))+0.25*(Inputs!$B$14-Inputs!$B$14))*(1+Inputs!$B$7/100))*(F2450/100)</f>
        <v/>
      </c>
      <c r="K2450">
        <f>J2450*(1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2="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2450)</f>
        <v/>
      </c>
      <c r="L2450">
        <f>K2450*(MIN(Inputs!$B$22+(F2466-Calc!F18),(Inputs!$B$23+(IF(ArtifactsInput!$M$15,CHOOSE(ArtifactsInput!$N$15+1,25,30,35,40,45,50)/100*(Inputs!$B$11-Inputs!$B$11),0))))/100+(Inputs!$B$23+(IF(ArtifactsInput!$M$15,CHOOSE(ArtifactsInput!$N$15+1,25,30,35,40,45,50)/100*(Inputs!$B$11-Inputs!$B$11),0)))/100)/2</f>
        <v/>
      </c>
      <c r="M2450">
        <f>L2450*(1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0">
        <f>L2450*(1-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2450*(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0">
        <f>(1-Summary!$B$11)*S2450+Summary!$B$11*U2450</f>
        <v/>
      </c>
      <c r="P2450">
        <f>IF(B2485=0,0,O2450/B2485)</f>
        <v/>
      </c>
      <c r="Q2450">
        <f>IFERROR(1/(IF(Inputs!$B$38="pvp",15,MAX(0.1,Skills!D2-IF(TRUE=TRUE,Inputs!$B$32,0)))*(1-IF(AND(ArtifactsInput!$M$27,Inputs!$B$4="Chapter Hunt"),CHOOSE(ArtifactsInput!$N$27+1,20,24,28,32,36,40),0)/100)),0)</f>
        <v/>
      </c>
      <c r="R2450" t="n">
        <v>0</v>
      </c>
      <c r="S2450">
        <f>IF(C2450,(Skills!F2*N2450*B2481)*IF(Inputs!$B$38="pvp",1,1+(Inputs!$B$20+Skills!O2+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2450*(1-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2450*(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2450*(1-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2450*(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50">
        <f>MAX(0,(Inputs!$B$3-100)*3)+Inputs!$B$28+Inputs!$B$29</f>
        <v/>
      </c>
      <c r="U2450">
        <f>IF(C2450,(Skills!F2*N2450*B2481)*IF(Inputs!$B$38="pvp",1,(1+(Inputs!$B$21+Skills!P2+B2476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50">
        <f>MAX(0,(Inputs!$B$3-100)*3)+Inputs!$B$28+Inputs!$B$29</f>
        <v/>
      </c>
    </row>
    <row r="2451">
      <c r="A2451">
        <f>Skills!A3</f>
        <v/>
      </c>
      <c r="B2451">
        <f>Skills!B3</f>
        <v/>
      </c>
      <c r="C2451">
        <f>Inputs!$B$3&gt;=15</f>
        <v/>
      </c>
      <c r="D2451">
        <f>IF(Skills!C3=1,60+Inputs!$B$25+Inputs!$B$29,IF(Skills!C3=2,90+Inputs!$B$26+Inputs!$B$29,IF(Skills!C3=3,120+Inputs!$B$27+Inputs!$B$29,MAX(0,(Inputs!$B$3-100)*3)+Inputs!$B$28+Inputs!$B$29)))</f>
        <v/>
      </c>
      <c r="E2451">
        <f>INDEX(FactorTable!$B$2:$Y$301, MATCH(ROUND(MIN(300,MAX(1,D2451)),0), FactorTable!$A$2:$A$301,0), Skills!L3+1)</f>
        <v/>
      </c>
      <c r="F2451">
        <f>IF(Skills!M3=TRUE,(Skills!K3/10)*(E2451/1000),Skills!K3/10)+Skills!N3</f>
        <v/>
      </c>
      <c r="G2451">
        <f>Calc!G3</f>
        <v/>
      </c>
      <c r="H2451">
        <f>Calc!H3</f>
        <v/>
      </c>
      <c r="I2451">
        <f>IF(Skills!T3&lt;&gt;"",1+(Skills!T3/10)*(Z2451/1000)/100,1)</f>
        <v/>
      </c>
      <c r="J2451" t="inlineStr"/>
      <c r="K2451" t="inlineStr"/>
      <c r="L2451" t="inlineStr"/>
      <c r="M2451" t="inlineStr"/>
      <c r="N2451" t="inlineStr"/>
      <c r="O2451">
        <f>(1-Summary!$B$11)*S2451+Summary!$B$11*U2451</f>
        <v/>
      </c>
      <c r="P2451">
        <f>IF(B2485=0,0,O2451/B2485)</f>
        <v/>
      </c>
      <c r="Q2451">
        <f>IFERROR(1/(IF(Inputs!$B$38="pvp",15,MAX(0.1,Skills!D3-IF(TRUE=TRUE,Inputs!$B$32,0)))*(1-IF(AND(ArtifactsInput!$M$27,Inputs!$B$4="Chapter Hunt"),CHOOSE(ArtifactsInput!$N$27+1,20,24,28,32,36,40),0)/100)),0)</f>
        <v/>
      </c>
      <c r="R2451">
        <f>IF(AND(Inputs!$B$38&lt;&gt;"pvp",Inputs!$B$43&gt;0),IF(Inputs!$B$43&lt;=0,0,(INT(Inputs!$B$43/(IF(Inputs!$B$38="pvp",15,MAX(0.1,Skills!D3-IF(TRUE=TRUE,Inputs!$B$32,0)))*(1-IF(AND(ArtifactsInput!$M$27,Inputs!$B$4="Chapter Hunt"),CHOOSE(ArtifactsInput!$N$27+1,20,24,28,32,36,40),0)/100)))+1)),0)</f>
        <v/>
      </c>
      <c r="S2451" t="n">
        <v>0</v>
      </c>
      <c r="T2451">
        <f>INDEX(FactorTable!$B$2:$Y$301, MATCH(ROUND(MIN(300,MAX(1,T2450)),0), FactorTable!$A$2:$A$301,0), 22)</f>
        <v/>
      </c>
      <c r="U2451" t="n">
        <v>0</v>
      </c>
      <c r="Z2451">
        <f>INDEX(FactorTable!$B$2:$Y$301, MATCH(ROUND(MIN(300,MAX(1,Z2450)),0), FactorTable!$A$2:$A$301,0), 24)</f>
        <v/>
      </c>
    </row>
    <row r="2452">
      <c r="A2452">
        <f>Skills!A4</f>
        <v/>
      </c>
      <c r="B2452">
        <f>Skills!B4</f>
        <v/>
      </c>
      <c r="C2452">
        <f>Inputs!$B$3&gt;=40</f>
        <v/>
      </c>
      <c r="D2452">
        <f>IF(Skills!C4=1,60+Inputs!$B$25+Inputs!$B$29,IF(Skills!C4=2,90+Inputs!$B$26+Inputs!$B$29,IF(Skills!C4=3,120+Inputs!$B$27+Inputs!$B$29,MAX(0,(Inputs!$B$3-100)*3)+Inputs!$B$28+Inputs!$B$29)))</f>
        <v/>
      </c>
      <c r="E2452">
        <f>INDEX(FactorTable!$B$2:$Y$301, MATCH(ROUND(MIN(300,MAX(1,D2452)),0), FactorTable!$A$2:$A$301,0), Skills!L4+1)</f>
        <v/>
      </c>
      <c r="F2452">
        <f>IF(Skills!M4=TRUE,(Skills!K4/10)*(E2452/1000),Skills!K4/10)+Skills!N4</f>
        <v/>
      </c>
      <c r="G2452">
        <f>Calc!G4</f>
        <v/>
      </c>
      <c r="H2452">
        <f>Calc!H4</f>
        <v/>
      </c>
      <c r="I2452">
        <f>IF(Skills!T4&lt;&gt;"",1+(Skills!T4/10)*(Z2451/1000)/100,1)</f>
        <v/>
      </c>
      <c r="J2452" t="inlineStr"/>
      <c r="K2452" t="inlineStr"/>
      <c r="L2452" t="inlineStr"/>
      <c r="M2452" t="inlineStr"/>
      <c r="N2452" t="inlineStr"/>
      <c r="O2452">
        <f>(1-Summary!$B$11)*S2452+Summary!$B$11*U2452</f>
        <v/>
      </c>
      <c r="P2452">
        <f>IF(B2485=0,0,O2452/B2485)</f>
        <v/>
      </c>
      <c r="Q2452">
        <f>IFERROR(1/(IF(Inputs!$B$38="pvp",15,MAX(0.1,Skills!D4-IF(TRUE=TRUE,Inputs!$B$32,0)))*(1-IF(AND(ArtifactsInput!$M$27,Inputs!$B$4="Chapter Hunt"),CHOOSE(ArtifactsInput!$N$27+1,20,24,28,32,36,40),0)/100)),0)</f>
        <v/>
      </c>
      <c r="R2452">
        <f>IF(AND(Inputs!$B$38&lt;&gt;"pvp",Inputs!$B$43&gt;0),IF(Inputs!$B$43&lt;=0,0,(INT(Inputs!$B$43/(IF(Inputs!$B$38="pvp",15,MAX(0.1,Skills!D4-IF(TRUE=TRUE,Inputs!$B$32,0)))*(1-IF(AND(ArtifactsInput!$M$27,Inputs!$B$4="Chapter Hunt"),CHOOSE(ArtifactsInput!$N$27+1,20,24,28,32,36,40),0)/100)))+1)),0)</f>
        <v/>
      </c>
      <c r="S2452" t="n">
        <v>0</v>
      </c>
      <c r="T2452">
        <f>290*T2451/1000</f>
        <v/>
      </c>
      <c r="U2452" t="n">
        <v>0</v>
      </c>
    </row>
    <row r="2453">
      <c r="A2453">
        <f>Skills!A5</f>
        <v/>
      </c>
      <c r="B2453">
        <f>Skills!B5</f>
        <v/>
      </c>
      <c r="C2453">
        <f>Inputs!$B$3&gt;=38</f>
        <v/>
      </c>
      <c r="D2453">
        <f>IF(Skills!C5=1,60+Inputs!$B$25+Inputs!$B$29,IF(Skills!C5=2,90+Inputs!$B$26+Inputs!$B$29,IF(Skills!C5=3,120+Inputs!$B$27+Inputs!$B$29,MAX(0,(Inputs!$B$3-100)*3)+Inputs!$B$28+Inputs!$B$29)))</f>
        <v/>
      </c>
      <c r="E2453">
        <f>INDEX(FactorTable!$B$2:$Y$301, MATCH(ROUND(MIN(300,MAX(1,D2453)),0), FactorTable!$A$2:$A$301,0), Skills!L5+1)</f>
        <v/>
      </c>
      <c r="F2453">
        <f>IF(Skills!M5=TRUE,(Skills!K5/10)*(E2453/1000),Skills!K5/10)+Skills!N5</f>
        <v/>
      </c>
      <c r="G2453">
        <f>Calc!G5</f>
        <v/>
      </c>
      <c r="H2453">
        <f>Calc!H5</f>
        <v/>
      </c>
      <c r="I2453">
        <f>IF(Skills!T5&lt;&gt;"",1+(Skills!T5/10)*(Z2451/1000)/100,1)</f>
        <v/>
      </c>
      <c r="J2453">
        <f>((Inputs!$B$6*(1+Inputs!$B$7/100))+(((Inputs!$B$12*(1+Inputs!$B$13/100))-(Inputs!$B$12*(1+Inputs!$B$13/100)))+0.25*(Inputs!$B$14-Inputs!$B$14))*(1+Inputs!$B$7/100))*(F2453/100)</f>
        <v/>
      </c>
      <c r="K2453">
        <f>J2453*(1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5="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2453)</f>
        <v/>
      </c>
      <c r="L2453">
        <f>K2453*(MIN(Inputs!$B$22+(F2466-Calc!F18),(Inputs!$B$23+(IF(ArtifactsInput!$M$15,CHOOSE(ArtifactsInput!$N$15+1,25,30,35,40,45,50)/100*(Inputs!$B$11-Inputs!$B$11),0))))/100+(Inputs!$B$23+(IF(ArtifactsInput!$M$15,CHOOSE(ArtifactsInput!$N$15+1,25,30,35,40,45,50)/100*(Inputs!$B$11-Inputs!$B$11),0)))/100)/2</f>
        <v/>
      </c>
      <c r="M2453">
        <f>L2453*(1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3">
        <f>L2453*(1-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2453*(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3">
        <f>(1-Summary!$B$11)*S2453+Summary!$B$11*U2453</f>
        <v/>
      </c>
      <c r="P2453">
        <f>IF(B2485=0,0,O2453/B2485)</f>
        <v/>
      </c>
      <c r="Q2453">
        <f>IFERROR(1/(IF(Inputs!$B$38="pvp",15,MAX(0.1,Skills!D5-IF(TRUE=TRUE,Inputs!$B$32,0)))*(1-IF(AND(ArtifactsInput!$M$27,Inputs!$B$4="Chapter Hunt"),CHOOSE(ArtifactsInput!$N$27+1,20,24,28,32,36,40),0)/100)),0)</f>
        <v/>
      </c>
      <c r="R2453">
        <f>IF(AND(Inputs!$B$38&lt;&gt;"pvp",Inputs!$B$43&gt;0),IF(MAX(0,Inputs!$B$43-B2482)&lt;=0,0,(INT(MAX(0,Inputs!$B$43-B2482)/(IF(Inputs!$B$38="pvp",15,MAX(0.1,Skills!D5-IF(TRUE=TRUE,Inputs!$B$32,0)))*(1-IF(AND(ArtifactsInput!$M$27,Inputs!$B$4="Chapter Hunt"),CHOOSE(ArtifactsInput!$N$27+1,20,24,28,32,36,40),0)/100)))+1)),0)</f>
        <v/>
      </c>
      <c r="S2453">
        <f>IF(C2453,(H2453*N2453*IF(AND(Inputs!$B$38&lt;&gt;"pvp",Inputs!$B$43&gt;0),((Skills!F5*((R2453-1)*IF(Skills!G5&gt;0,Skills!H5/Skills!G5,1)+IF(Skills!G5&gt;0,MIN(Skills!H5,MAX(0,MAX(0,Inputs!$B$43-B2482)-((R2453-1)*(IF(Inputs!$B$38="pvp",15,MAX(0.1,Skills!D5-IF(TRUE=TRUE,Inputs!$B$32,0)))*(1-IF(AND(ArtifactsInput!$M$27,Inputs!$B$4="Chapter Hunt"),CHOOSE(ArtifactsInput!$N$27+1,20,24,28,32,36,40),0)/100)))))/Skills!G5,1)))/Inputs!$B$43),G2453*Q2453))*IF(Inputs!$B$38="pvp",1,1+(Inputs!$B$20+Skills!O5+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2453*(1-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2453*(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2453*(1-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2453*(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3">
        <f>IF(C2453,(H2453*N2453*IF(AND(Inputs!$B$38&lt;&gt;"pvp",Inputs!$B$43&gt;0),((Skills!F5*((R2453-1)*IF(Skills!G5&gt;0,Skills!H5/Skills!G5,1)+IF(Skills!G5&gt;0,MIN(Skills!H5,MAX(0,MAX(0,Inputs!$B$43-B2482)-((R2453-1)*(IF(Inputs!$B$38="pvp",15,MAX(0.1,Skills!D5-IF(TRUE=TRUE,Inputs!$B$32,0)))*(1-IF(AND(ArtifactsInput!$M$27,Inputs!$B$4="Chapter Hunt"),CHOOSE(ArtifactsInput!$N$27+1,20,24,28,32,36,40),0)/100)))))/Skills!G5,1)))/Inputs!$B$43),G2453*Q2453))*IF(Inputs!$B$38="pvp",1,(1+(Inputs!$B$21+Skills!P5+B2476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4">
      <c r="A2454">
        <f>Skills!A6</f>
        <v/>
      </c>
      <c r="B2454">
        <f>Skills!B6</f>
        <v/>
      </c>
      <c r="C2454">
        <f>Inputs!$B$3&gt;=63</f>
        <v/>
      </c>
      <c r="D2454">
        <f>IF(Skills!C6=1,60+Inputs!$B$25+Inputs!$B$29,IF(Skills!C6=2,90+Inputs!$B$26+Inputs!$B$29,IF(Skills!C6=3,120+Inputs!$B$27+Inputs!$B$29,MAX(0,(Inputs!$B$3-100)*3)+Inputs!$B$28+Inputs!$B$29)))</f>
        <v/>
      </c>
      <c r="E2454">
        <f>INDEX(FactorTable!$B$2:$Y$301, MATCH(ROUND(MIN(300,MAX(1,D2454)),0), FactorTable!$A$2:$A$301,0), Skills!L6+1)</f>
        <v/>
      </c>
      <c r="F2454">
        <f>IF(Skills!M6=TRUE,(Skills!K6/10)*(E2454/1000),Skills!K6/10)+Skills!N6</f>
        <v/>
      </c>
      <c r="G2454">
        <f>Calc!G6</f>
        <v/>
      </c>
      <c r="H2454">
        <f>Calc!H6</f>
        <v/>
      </c>
      <c r="I2454">
        <f>IF(Skills!T6&lt;&gt;"",1+(Skills!T6/10)*(Z2451/1000)/100,1)</f>
        <v/>
      </c>
      <c r="J2454">
        <f>((Inputs!$B$6*(1+Inputs!$B$7/100))+(((Inputs!$B$12*(1+Inputs!$B$13/100))-(Inputs!$B$12*(1+Inputs!$B$13/100)))+0.25*(Inputs!$B$14-Inputs!$B$14))*(1+Inputs!$B$7/100))*(F2454/100)</f>
        <v/>
      </c>
      <c r="K2454">
        <f>J2454*(1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6="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2454)</f>
        <v/>
      </c>
      <c r="L2454">
        <f>K2454*(MIN(Inputs!$B$22+(F2466-Calc!F18),(Inputs!$B$23+(IF(ArtifactsInput!$M$15,CHOOSE(ArtifactsInput!$N$15+1,25,30,35,40,45,50)/100*(Inputs!$B$11-Inputs!$B$11),0))))/100+(Inputs!$B$23+(IF(ArtifactsInput!$M$15,CHOOSE(ArtifactsInput!$N$15+1,25,30,35,40,45,50)/100*(Inputs!$B$11-Inputs!$B$11),0)))/100)/2</f>
        <v/>
      </c>
      <c r="M2454">
        <f>L2454*(1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4">
        <f>L2454*(1-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2454*(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4">
        <f>(1-Summary!$B$11)*S2454+Summary!$B$11*U2454</f>
        <v/>
      </c>
      <c r="P2454">
        <f>IF(B2485=0,0,O2454/B2485)</f>
        <v/>
      </c>
      <c r="Q2454">
        <f>IFERROR(1/(IF(Inputs!$B$38="pvp",15,MAX(0.1,Skills!D6-IF(TRUE=TRUE,Inputs!$B$32,0)))*(1-IF(AND(ArtifactsInput!$M$27,Inputs!$B$4="Chapter Hunt"),CHOOSE(ArtifactsInput!$N$27+1,20,24,28,32,36,40),0)/100)),0)</f>
        <v/>
      </c>
      <c r="R2454">
        <f>IF(AND(Inputs!$B$38&lt;&gt;"pvp",Inputs!$B$43&gt;0),IF(MAX(0,Inputs!$B$43-B2482)&lt;=0,0,(INT(MAX(0,Inputs!$B$43-B2482)/(IF(Inputs!$B$38="pvp",15,MAX(0.1,Skills!D6-IF(TRUE=TRUE,Inputs!$B$32,0)))*(1-IF(AND(ArtifactsInput!$M$27,Inputs!$B$4="Chapter Hunt"),CHOOSE(ArtifactsInput!$N$27+1,20,24,28,32,36,40),0)/100)))+1)),0)</f>
        <v/>
      </c>
      <c r="S2454">
        <f>IF(C2454,(H2454*N2454*IF(AND(Inputs!$B$38&lt;&gt;"pvp",Inputs!$B$43&gt;0),((Skills!F6*((R2454-1)*IF(Skills!G6&gt;0,Skills!H6/Skills!G6,1)+IF(Skills!G6&gt;0,MIN(Skills!H6,MAX(0,MAX(0,Inputs!$B$43-B2482)-((R2454-1)*(IF(Inputs!$B$38="pvp",15,MAX(0.1,Skills!D6-IF(TRUE=TRUE,Inputs!$B$32,0)))*(1-IF(AND(ArtifactsInput!$M$27,Inputs!$B$4="Chapter Hunt"),CHOOSE(ArtifactsInput!$N$27+1,20,24,28,32,36,40),0)/100)))))/Skills!G6,1)))/Inputs!$B$43),G2454*Q2454))*IF(Inputs!$B$38="pvp",1,1+(Inputs!$B$20+Skills!O6+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2454*(1-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2454*(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2454*(1-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2454*(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4">
        <f>IF(C2454,(H2454*N2454*IF(AND(Inputs!$B$38&lt;&gt;"pvp",Inputs!$B$43&gt;0),((Skills!F6*((R2454-1)*IF(Skills!G6&gt;0,Skills!H6/Skills!G6,1)+IF(Skills!G6&gt;0,MIN(Skills!H6,MAX(0,MAX(0,Inputs!$B$43-B2482)-((R2454-1)*(IF(Inputs!$B$38="pvp",15,MAX(0.1,Skills!D6-IF(TRUE=TRUE,Inputs!$B$32,0)))*(1-IF(AND(ArtifactsInput!$M$27,Inputs!$B$4="Chapter Hunt"),CHOOSE(ArtifactsInput!$N$27+1,20,24,28,32,36,40),0)/100)))))/Skills!G6,1)))/Inputs!$B$43),G2454*Q2454))*IF(Inputs!$B$38="pvp",1,(1+(Inputs!$B$21+Skills!P6+B2476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5">
      <c r="A2455">
        <f>Skills!A7</f>
        <v/>
      </c>
      <c r="B2455">
        <f>Skills!B7</f>
        <v/>
      </c>
      <c r="C2455">
        <f>Inputs!$B$3&gt;=69</f>
        <v/>
      </c>
      <c r="D2455">
        <f>IF(Skills!C7=1,60+Inputs!$B$25+Inputs!$B$29,IF(Skills!C7=2,90+Inputs!$B$26+Inputs!$B$29,IF(Skills!C7=3,120+Inputs!$B$27+Inputs!$B$29,MAX(0,(Inputs!$B$3-100)*3)+Inputs!$B$28+Inputs!$B$29)))</f>
        <v/>
      </c>
      <c r="E2455">
        <f>INDEX(FactorTable!$B$2:$Y$301, MATCH(ROUND(MIN(300,MAX(1,D2455)),0), FactorTable!$A$2:$A$301,0), Skills!L7+1)</f>
        <v/>
      </c>
      <c r="F2455">
        <f>IF(Skills!M7=TRUE,(Skills!K7/10)*(E2455/1000),Skills!K7/10)+Skills!N7</f>
        <v/>
      </c>
      <c r="G2455">
        <f>Calc!G7</f>
        <v/>
      </c>
      <c r="H2455">
        <f>Calc!H7</f>
        <v/>
      </c>
      <c r="I2455">
        <f>IF(Skills!T7&lt;&gt;"",1+(Skills!T7/10)*(Z2451/1000)/100,1)</f>
        <v/>
      </c>
      <c r="J2455">
        <f>((Inputs!$B$6*(1+Inputs!$B$7/100))+(((Inputs!$B$12*(1+Inputs!$B$13/100))-(Inputs!$B$12*(1+Inputs!$B$13/100)))+0.25*(Inputs!$B$14-Inputs!$B$14))*(1+Inputs!$B$7/100))*(F2455/100)</f>
        <v/>
      </c>
      <c r="K2455">
        <f>J2455*(1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7="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2455)</f>
        <v/>
      </c>
      <c r="L2455">
        <f>K2455*(MIN(Inputs!$B$22+(F2466-Calc!F18),(Inputs!$B$23+(IF(ArtifactsInput!$M$15,CHOOSE(ArtifactsInput!$N$15+1,25,30,35,40,45,50)/100*(Inputs!$B$11-Inputs!$B$11),0))))/100+(Inputs!$B$23+(IF(ArtifactsInput!$M$15,CHOOSE(ArtifactsInput!$N$15+1,25,30,35,40,45,50)/100*(Inputs!$B$11-Inputs!$B$11),0)))/100)/2</f>
        <v/>
      </c>
      <c r="M2455">
        <f>L2455*(1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5">
        <f>L2455*(1-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2455*(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5">
        <f>(1-Summary!$B$11)*S2455+Summary!$B$11*U2455</f>
        <v/>
      </c>
      <c r="P2455">
        <f>IF(B2485=0,0,O2455/B2485)</f>
        <v/>
      </c>
      <c r="Q2455">
        <f>IFERROR(1/(IF(Inputs!$B$38="pvp",15,MAX(0.1,Skills!D7-IF(TRUE=TRUE,Inputs!$B$32,0)))*(1-IF(AND(ArtifactsInput!$M$27,Inputs!$B$4="Chapter Hunt"),CHOOSE(ArtifactsInput!$N$27+1,20,24,28,32,36,40),0)/100)),0)</f>
        <v/>
      </c>
      <c r="R2455">
        <f>IF(AND(Inputs!$B$38&lt;&gt;"pvp",Inputs!$B$43&gt;0),IF(MAX(0,Inputs!$B$43-B2482)&lt;=0,0,(INT(MAX(0,Inputs!$B$43-B2482)/(IF(Inputs!$B$38="pvp",15,MAX(0.1,Skills!D7-IF(TRUE=TRUE,Inputs!$B$32,0)))*(1-IF(AND(ArtifactsInput!$M$27,Inputs!$B$4="Chapter Hunt"),CHOOSE(ArtifactsInput!$N$27+1,20,24,28,32,36,40),0)/100)))+1)),0)</f>
        <v/>
      </c>
      <c r="S2455">
        <f>IF(C2455,(H2455*N2455*IF(AND(Inputs!$B$38&lt;&gt;"pvp",Inputs!$B$43&gt;0),((Skills!F7*((R2455-1)*IF(Skills!G7&gt;0,Skills!H7/Skills!G7,1)+IF(Skills!G7&gt;0,MIN(Skills!H7,MAX(0,MAX(0,Inputs!$B$43-B2482)-((R2455-1)*(IF(Inputs!$B$38="pvp",15,MAX(0.1,Skills!D7-IF(TRUE=TRUE,Inputs!$B$32,0)))*(1-IF(AND(ArtifactsInput!$M$27,Inputs!$B$4="Chapter Hunt"),CHOOSE(ArtifactsInput!$N$27+1,20,24,28,32,36,40),0)/100)))))/Skills!G7,1)))/Inputs!$B$43),G2455*Q2455))*IF(Inputs!$B$38="pvp",1,1+(Inputs!$B$20+Skills!O7+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2455*(1-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2455*(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2455*(1-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2455*(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5">
        <f>IF(C2455,(H2455*N2455*IF(AND(Inputs!$B$38&lt;&gt;"pvp",Inputs!$B$43&gt;0),((Skills!F7*((R2455-1)*IF(Skills!G7&gt;0,Skills!H7/Skills!G7,1)+IF(Skills!G7&gt;0,MIN(Skills!H7,MAX(0,MAX(0,Inputs!$B$43-B2482)-((R2455-1)*(IF(Inputs!$B$38="pvp",15,MAX(0.1,Skills!D7-IF(TRUE=TRUE,Inputs!$B$32,0)))*(1-IF(AND(ArtifactsInput!$M$27,Inputs!$B$4="Chapter Hunt"),CHOOSE(ArtifactsInput!$N$27+1,20,24,28,32,36,40),0)/100)))))/Skills!G7,1)))/Inputs!$B$43),G2455*Q2455))*IF(Inputs!$B$38="pvp",1,(1+(Inputs!$B$21+Skills!P7+B2476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6">
      <c r="A2456">
        <f>Skills!A8</f>
        <v/>
      </c>
      <c r="B2456">
        <f>Skills!B8</f>
        <v/>
      </c>
      <c r="C2456">
        <f>Inputs!$B$3&gt;=103</f>
        <v/>
      </c>
      <c r="D2456">
        <f>IF(Skills!C8=1,60+Inputs!$B$25+Inputs!$B$29,IF(Skills!C8=2,90+Inputs!$B$26+Inputs!$B$29,IF(Skills!C8=3,120+Inputs!$B$27+Inputs!$B$29,MAX(0,(Inputs!$B$3-100)*3)+Inputs!$B$28+Inputs!$B$29)))</f>
        <v/>
      </c>
      <c r="E2456">
        <f>INDEX(FactorTable!$B$2:$Y$301, MATCH(ROUND(MIN(300,MAX(1,D2456)),0), FactorTable!$A$2:$A$301,0), Skills!L8+1)</f>
        <v/>
      </c>
      <c r="F2456">
        <f>IF(Skills!M8=TRUE,(Skills!K8/10)*(E2456/1000),Skills!K8/10)+Skills!N8</f>
        <v/>
      </c>
      <c r="G2456">
        <f>Calc!G8</f>
        <v/>
      </c>
      <c r="H2456">
        <f>Calc!H8</f>
        <v/>
      </c>
      <c r="I2456">
        <f>IF(Skills!T8&lt;&gt;"",1+(Skills!T8/10)*(Z2451/1000)/100,1)</f>
        <v/>
      </c>
      <c r="J2456">
        <f>((Inputs!$B$6*(1+Inputs!$B$7/100))+(((Inputs!$B$12*(1+Inputs!$B$13/100))-(Inputs!$B$12*(1+Inputs!$B$13/100)))+0.25*(Inputs!$B$14-Inputs!$B$14))*(1+Inputs!$B$7/100))*(F2456/100)</f>
        <v/>
      </c>
      <c r="K2456">
        <f>J2456*(1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8="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2456)</f>
        <v/>
      </c>
      <c r="L2456">
        <f>K2456*(MIN(Inputs!$B$22+(F2466-Calc!F18),(Inputs!$B$23+(IF(ArtifactsInput!$M$15,CHOOSE(ArtifactsInput!$N$15+1,25,30,35,40,45,50)/100*(Inputs!$B$11-Inputs!$B$11),0))))/100+(Inputs!$B$23+(IF(ArtifactsInput!$M$15,CHOOSE(ArtifactsInput!$N$15+1,25,30,35,40,45,50)/100*(Inputs!$B$11-Inputs!$B$11),0)))/100)/2</f>
        <v/>
      </c>
      <c r="M2456">
        <f>L2456*(1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6">
        <f>L2456*(1-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2456*(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6">
        <f>(1-Summary!$B$11)*S2456+Summary!$B$11*U2456</f>
        <v/>
      </c>
      <c r="P2456">
        <f>IF(B2485=0,0,O2456/B2485)</f>
        <v/>
      </c>
      <c r="Q2456">
        <f>IFERROR(1/(IF(Inputs!$B$38="pvp",15,MAX(0.1,Skills!D8-IF(TRUE=TRUE,Inputs!$B$32,0)))*(1-IF(AND(ArtifactsInput!$M$27,Inputs!$B$4="Chapter Hunt"),CHOOSE(ArtifactsInput!$N$27+1,20,24,28,32,36,40),0)/100)),0)</f>
        <v/>
      </c>
      <c r="R2456">
        <f>IF(AND(Inputs!$B$38&lt;&gt;"pvp",Inputs!$B$43&gt;0),IF(MAX(0,Inputs!$B$43-B2482)&lt;=0,0,(INT(MAX(0,Inputs!$B$43-B2482)/(IF(Inputs!$B$38="pvp",15,MAX(0.1,Skills!D8-IF(TRUE=TRUE,Inputs!$B$32,0)))*(1-IF(AND(ArtifactsInput!$M$27,Inputs!$B$4="Chapter Hunt"),CHOOSE(ArtifactsInput!$N$27+1,20,24,28,32,36,40),0)/100)))+1)),0)</f>
        <v/>
      </c>
      <c r="S2456">
        <f>IF(C2456,(H2456*N2456*IF(AND(Inputs!$B$38&lt;&gt;"pvp",Inputs!$B$43&gt;0),((Skills!F8*((R2456-1)*IF(Skills!G8&gt;0,Skills!H8/Skills!G8,1)+IF(Skills!G8&gt;0,MIN(Skills!H8,MAX(0,MAX(0,Inputs!$B$43-B2482)-((R2456-1)*(IF(Inputs!$B$38="pvp",15,MAX(0.1,Skills!D8-IF(TRUE=TRUE,Inputs!$B$32,0)))*(1-IF(AND(ArtifactsInput!$M$27,Inputs!$B$4="Chapter Hunt"),CHOOSE(ArtifactsInput!$N$27+1,20,24,28,32,36,40),0)/100)))))/Skills!G8,1)))/Inputs!$B$43),G2456*Q2456))*IF(Inputs!$B$38="pvp",1,1+(Inputs!$B$20+Skills!O8+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2456*(1-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2456*(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2456*(1-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2456*(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6">
        <f>IF(C2456,(H2456*N2456*IF(AND(Inputs!$B$38&lt;&gt;"pvp",Inputs!$B$43&gt;0),((Skills!F8*((R2456-1)*IF(Skills!G8&gt;0,Skills!H8/Skills!G8,1)+IF(Skills!G8&gt;0,MIN(Skills!H8,MAX(0,MAX(0,Inputs!$B$43-B2482)-((R2456-1)*(IF(Inputs!$B$38="pvp",15,MAX(0.1,Skills!D8-IF(TRUE=TRUE,Inputs!$B$32,0)))*(1-IF(AND(ArtifactsInput!$M$27,Inputs!$B$4="Chapter Hunt"),CHOOSE(ArtifactsInput!$N$27+1,20,24,28,32,36,40),0)/100)))))/Skills!G8,1)))/Inputs!$B$43),G2456*Q2456))*IF(Inputs!$B$38="pvp",1,(1+(Inputs!$B$21+Skills!P8+B2476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7">
      <c r="A2457">
        <f>Skills!A9</f>
        <v/>
      </c>
      <c r="B2457">
        <f>Skills!B9</f>
        <v/>
      </c>
      <c r="C2457">
        <f>Inputs!$B$3&gt;=105</f>
        <v/>
      </c>
      <c r="D2457">
        <f>IF(Skills!C9=1,60+Inputs!$B$25+Inputs!$B$29,IF(Skills!C9=2,90+Inputs!$B$26+Inputs!$B$29,IF(Skills!C9=3,120+Inputs!$B$27+Inputs!$B$29,MAX(0,(Inputs!$B$3-100)*3)+Inputs!$B$28+Inputs!$B$29)))</f>
        <v/>
      </c>
      <c r="E2457">
        <f>INDEX(FactorTable!$B$2:$Y$301, MATCH(ROUND(MIN(300,MAX(1,D2457)),0), FactorTable!$A$2:$A$301,0), Skills!L9+1)</f>
        <v/>
      </c>
      <c r="F2457">
        <f>IF(Skills!M9=TRUE,(Skills!K9/10)*(E2457/1000),Skills!K9/10)+Skills!N9</f>
        <v/>
      </c>
      <c r="G2457">
        <f>Calc!G9</f>
        <v/>
      </c>
      <c r="H2457">
        <f>Calc!H9</f>
        <v/>
      </c>
      <c r="I2457">
        <f>IF(Skills!T9&lt;&gt;"",1+(Skills!T9/10)*(Z2451/1000)/100,1)</f>
        <v/>
      </c>
      <c r="J2457">
        <f>((Inputs!$B$6*(1+Inputs!$B$7/100))+(((Inputs!$B$12*(1+Inputs!$B$13/100))-(Inputs!$B$12*(1+Inputs!$B$13/100)))+0.25*(Inputs!$B$14-Inputs!$B$14))*(1+Inputs!$B$7/100))*(F2457/100)</f>
        <v/>
      </c>
      <c r="K2457">
        <f>J2457*(1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9="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2457)</f>
        <v/>
      </c>
      <c r="L2457">
        <f>K2457*(MIN(Inputs!$B$22+(F2466-Calc!F18),(Inputs!$B$23+(IF(ArtifactsInput!$M$15,CHOOSE(ArtifactsInput!$N$15+1,25,30,35,40,45,50)/100*(Inputs!$B$11-Inputs!$B$11),0))))/100+(Inputs!$B$23+(IF(ArtifactsInput!$M$15,CHOOSE(ArtifactsInput!$N$15+1,25,30,35,40,45,50)/100*(Inputs!$B$11-Inputs!$B$11),0)))/100)/2</f>
        <v/>
      </c>
      <c r="M2457">
        <f>L2457*(1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7">
        <f>L2457*(1-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2457*(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7">
        <f>(1-Summary!$B$11)*S2457+Summary!$B$11*U2457</f>
        <v/>
      </c>
      <c r="P2457">
        <f>IF(B2485=0,0,O2457/B2485)</f>
        <v/>
      </c>
      <c r="Q2457">
        <f>IFERROR(1/(IF(Inputs!$B$38="pvp",15,MAX(0.1,Skills!D9-IF(TRUE=TRUE,Inputs!$B$32,0)))*(1-IF(AND(ArtifactsInput!$M$27,Inputs!$B$4="Chapter Hunt"),CHOOSE(ArtifactsInput!$N$27+1,20,24,28,32,36,40),0)/100)),0)</f>
        <v/>
      </c>
      <c r="R2457">
        <f>IF(AND(Inputs!$B$38&lt;&gt;"pvp",Inputs!$B$43&gt;0),IF(MAX(0,Inputs!$B$43-B2482)&lt;=0,0,(INT(MAX(0,Inputs!$B$43-B2482)/(IF(Inputs!$B$38="pvp",15,MAX(0.1,Skills!D9-IF(TRUE=TRUE,Inputs!$B$32,0)))*(1-IF(AND(ArtifactsInput!$M$27,Inputs!$B$4="Chapter Hunt"),CHOOSE(ArtifactsInput!$N$27+1,20,24,28,32,36,40),0)/100)))+1)),0)</f>
        <v/>
      </c>
      <c r="S2457">
        <f>IF(C2457,(H2457*N2457*IF(AND(Inputs!$B$38&lt;&gt;"pvp",Inputs!$B$43&gt;0),((Skills!F9*((R2457-1)*IF(Skills!G9&gt;0,Skills!H9/Skills!G9,1)+IF(Skills!G9&gt;0,MIN(Skills!H9,MAX(0,MAX(0,Inputs!$B$43-B2482)-((R2457-1)*(IF(Inputs!$B$38="pvp",15,MAX(0.1,Skills!D9-IF(TRUE=TRUE,Inputs!$B$32,0)))*(1-IF(AND(ArtifactsInput!$M$27,Inputs!$B$4="Chapter Hunt"),CHOOSE(ArtifactsInput!$N$27+1,20,24,28,32,36,40),0)/100)))))/Skills!G9,1)))/Inputs!$B$43),G2457*Q2457))*IF(Inputs!$B$38="pvp",1,1+(Inputs!$B$20+Skills!O9+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2457*(1-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2457*(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2457*(1-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2457*(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7">
        <f>IF(C2457,(H2457*N2457*IF(AND(Inputs!$B$38&lt;&gt;"pvp",Inputs!$B$43&gt;0),((Skills!F9*((R2457-1)*IF(Skills!G9&gt;0,Skills!H9/Skills!G9,1)+IF(Skills!G9&gt;0,MIN(Skills!H9,MAX(0,MAX(0,Inputs!$B$43-B2482)-((R2457-1)*(IF(Inputs!$B$38="pvp",15,MAX(0.1,Skills!D9-IF(TRUE=TRUE,Inputs!$B$32,0)))*(1-IF(AND(ArtifactsInput!$M$27,Inputs!$B$4="Chapter Hunt"),CHOOSE(ArtifactsInput!$N$27+1,20,24,28,32,36,40),0)/100)))))/Skills!G9,1)))/Inputs!$B$43),G2457*Q2457))*IF(Inputs!$B$38="pvp",1,(1+(Inputs!$B$21+Skills!P9+B2476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8">
      <c r="A2458">
        <f>Skills!A10</f>
        <v/>
      </c>
      <c r="B2458">
        <f>Skills!B10</f>
        <v/>
      </c>
      <c r="C2458">
        <f>Inputs!$B$3&gt;=113</f>
        <v/>
      </c>
      <c r="D2458">
        <f>IF(Skills!C10=1,60+Inputs!$B$25+Inputs!$B$29,IF(Skills!C10=2,90+Inputs!$B$26+Inputs!$B$29,IF(Skills!C10=3,120+Inputs!$B$27+Inputs!$B$29,MAX(0,(Inputs!$B$3-100)*3)+Inputs!$B$28+Inputs!$B$29)))</f>
        <v/>
      </c>
      <c r="E2458">
        <f>INDEX(FactorTable!$B$2:$Y$301, MATCH(ROUND(MIN(300,MAX(1,D2458)),0), FactorTable!$A$2:$A$301,0), Skills!L10+1)</f>
        <v/>
      </c>
      <c r="F2458">
        <f>IF(Skills!M10=TRUE,(Skills!K10/10)*(E2458/1000),Skills!K10/10)+Skills!N10</f>
        <v/>
      </c>
      <c r="G2458">
        <f>Calc!G10</f>
        <v/>
      </c>
      <c r="H2458">
        <f>Calc!H10</f>
        <v/>
      </c>
      <c r="I2458">
        <f>IF(Skills!T10&lt;&gt;"",1+(Skills!T10/10)*(Z2451/1000)/100,1)</f>
        <v/>
      </c>
      <c r="J2458">
        <f>((Inputs!$B$6*(1+Inputs!$B$7/100))+(((Inputs!$B$12*(1+Inputs!$B$13/100))-(Inputs!$B$12*(1+Inputs!$B$13/100)))+0.25*(Inputs!$B$14-Inputs!$B$14))*(1+Inputs!$B$7/100))*(F2458/100)</f>
        <v/>
      </c>
      <c r="K2458">
        <f>J2458*(1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10="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2458)</f>
        <v/>
      </c>
      <c r="L2458">
        <f>K2458*(MIN(Inputs!$B$22+(F2466-Calc!F18),(Inputs!$B$23+(IF(ArtifactsInput!$M$15,CHOOSE(ArtifactsInput!$N$15+1,25,30,35,40,45,50)/100*(Inputs!$B$11-Inputs!$B$11),0))))/100+(Inputs!$B$23+(IF(ArtifactsInput!$M$15,CHOOSE(ArtifactsInput!$N$15+1,25,30,35,40,45,50)/100*(Inputs!$B$11-Inputs!$B$11),0)))/100)/2</f>
        <v/>
      </c>
      <c r="M2458">
        <f>L2458*(1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8">
        <f>L2458*(1-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2458*(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8">
        <f>(1-Summary!$B$11)*S2458+Summary!$B$11*U2458</f>
        <v/>
      </c>
      <c r="P2458">
        <f>IF(B2485=0,0,O2458/B2485)</f>
        <v/>
      </c>
      <c r="Q2458">
        <f>IFERROR(1/(IF(Inputs!$B$38="pvp",15,MAX(0.1,Skills!D10-IF(TRUE=TRUE,Inputs!$B$32,0)))*(1-IF(AND(ArtifactsInput!$M$27,Inputs!$B$4="Chapter Hunt"),CHOOSE(ArtifactsInput!$N$27+1,20,24,28,32,36,40),0)/100)),0)</f>
        <v/>
      </c>
      <c r="R2458" t="n">
        <v>0</v>
      </c>
      <c r="S2458">
        <f>IF(C2458,((H2458*B2486)/(1+Skills!G10*H2458*B2486)*N2458)*IF(Inputs!$B$38="pvp",1,1+(Inputs!$B$20+Skills!O10+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2458*(1-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2458*(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2458*(1-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2458*(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8">
        <f>IF(C2458,((H2458*B2486)/(1+Skills!G10*H2458*B2486)*N2458)*IF(Inputs!$B$38="pvp",1,(1+(Inputs!$B$21+Skills!P10+B2476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9">
      <c r="A2459">
        <f>Skills!A11</f>
        <v/>
      </c>
      <c r="B2459">
        <f>Skills!B11</f>
        <v/>
      </c>
      <c r="C2459">
        <f>Inputs!$B$3&gt;=107</f>
        <v/>
      </c>
      <c r="D2459">
        <f>IF(Skills!C11=1,60+Inputs!$B$25+Inputs!$B$29,IF(Skills!C11=2,90+Inputs!$B$26+Inputs!$B$29,IF(Skills!C11=3,120+Inputs!$B$27+Inputs!$B$29,MAX(0,(Inputs!$B$3-100)*3)+Inputs!$B$28+Inputs!$B$29)))</f>
        <v/>
      </c>
      <c r="E2459">
        <f>INDEX(FactorTable!$B$2:$Y$301, MATCH(ROUND(MIN(300,MAX(1,D2459)),0), FactorTable!$A$2:$A$301,0), Skills!L11+1)</f>
        <v/>
      </c>
      <c r="F2459">
        <f>IF(Skills!M11=TRUE,(Skills!K11/10)*(E2459/1000),Skills!K11/10)+Skills!N11</f>
        <v/>
      </c>
      <c r="G2459">
        <f>Calc!G11</f>
        <v/>
      </c>
      <c r="H2459">
        <f>Calc!H11</f>
        <v/>
      </c>
      <c r="I2459">
        <f>IF(Skills!T11&lt;&gt;"",1+(Skills!T11/10)*(Z2451/1000)/100,1)</f>
        <v/>
      </c>
      <c r="J2459">
        <f>((Inputs!$B$6*(1+Inputs!$B$7/100))+(((Inputs!$B$12*(1+Inputs!$B$13/100))-(Inputs!$B$12*(1+Inputs!$B$13/100)))+0.25*(Inputs!$B$14-Inputs!$B$14))*(1+Inputs!$B$7/100))*(F2459/100)</f>
        <v/>
      </c>
      <c r="K2459">
        <f>J2459*(1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11="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2459)</f>
        <v/>
      </c>
      <c r="L2459">
        <f>K2459*(MIN(Inputs!$B$22+(F2466-Calc!F18),(Inputs!$B$23+(IF(ArtifactsInput!$M$15,CHOOSE(ArtifactsInput!$N$15+1,25,30,35,40,45,50)/100*(Inputs!$B$11-Inputs!$B$11),0))))/100+(Inputs!$B$23+(IF(ArtifactsInput!$M$15,CHOOSE(ArtifactsInput!$N$15+1,25,30,35,40,45,50)/100*(Inputs!$B$11-Inputs!$B$11),0)))/100)/2</f>
        <v/>
      </c>
      <c r="M2459">
        <f>L2459*(1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9">
        <f>L2459*(1-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2459*(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9">
        <f>(1-Summary!$B$11)*S2459+Summary!$B$11*U2459</f>
        <v/>
      </c>
      <c r="P2459">
        <f>IF(B2485=0,0,O2459/B2485)</f>
        <v/>
      </c>
      <c r="Q2459">
        <f>IFERROR(1/(IF(Inputs!$B$38="pvp",15,MAX(0.1,Skills!D11-IF(TRUE=TRUE,Inputs!$B$32,0)))*(1-IF(AND(ArtifactsInput!$M$27,Inputs!$B$4="Chapter Hunt"),CHOOSE(ArtifactsInput!$N$27+1,20,24,28,32,36,40),0)/100)),0)</f>
        <v/>
      </c>
      <c r="R2459">
        <f>IF(AND(Inputs!$B$38&lt;&gt;"pvp",Inputs!$B$43&gt;0),IF(MAX(0,Inputs!$B$43-B2482)&lt;=0,0,(INT(MAX(0,Inputs!$B$43-B2482)/(IF(Inputs!$B$38="pvp",15,MAX(0.1,Skills!D11-IF(TRUE=TRUE,Inputs!$B$32,0)))*(1-IF(AND(ArtifactsInput!$M$27,Inputs!$B$4="Chapter Hunt"),CHOOSE(ArtifactsInput!$N$27+1,20,24,28,32,36,40),0)/100)))+1)),0)</f>
        <v/>
      </c>
      <c r="S2459">
        <f>IF(C2459,H2459*N2459*IF(AND(Inputs!$B$38&lt;&gt;"pvp",Inputs!$B$43&gt;0),((Skills!F11*((R2459-1)*IF(Skills!G11&gt;0,Skills!H11/Skills!G11,1)+IF(Skills!G11&gt;0,MIN(Skills!H11,MAX(0,MAX(0,Inputs!$B$43-B2482)-((R2459-1)*(IF(Inputs!$B$38="pvp",15,MAX(0.1,Skills!D11-IF(TRUE=TRUE,Inputs!$B$32,0)))*(1-IF(AND(ArtifactsInput!$M$27,Inputs!$B$4="Chapter Hunt"),CHOOSE(ArtifactsInput!$N$27+1,20,24,28,32,36,40),0)/100)))))/Skills!G11,1)))/Inputs!$B$43),G2459*Q2459)*0.5*IF(Inputs!$B$38="pvp",1,1+(Inputs!$B$20+Skills!O11+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2459*(1-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2459*(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2459*(1-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2459*(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9">
        <f>IF(C2459,H2459*N2459*IF(AND(Inputs!$B$38&lt;&gt;"pvp",Inputs!$B$43&gt;0),((Skills!F11*((R2459-1)*IF(Skills!G11&gt;0,Skills!H11/Skills!G11,1)+IF(Skills!G11&gt;0,MIN(Skills!H11,MAX(0,MAX(0,Inputs!$B$43-B2482)-((R2459-1)*(IF(Inputs!$B$38="pvp",15,MAX(0.1,Skills!D11-IF(TRUE=TRUE,Inputs!$B$32,0)))*(1-IF(AND(ArtifactsInput!$M$27,Inputs!$B$4="Chapter Hunt"),CHOOSE(ArtifactsInput!$N$27+1,20,24,28,32,36,40),0)/100)))))/Skills!G11,1)))/Inputs!$B$43),G2459*Q2459)*1*IF(Inputs!$B$38="pvp",1,(1+(Inputs!$B$21+Skills!P11+B2476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0">
      <c r="A2460">
        <f>Skills!A12</f>
        <v/>
      </c>
      <c r="B2460">
        <f>Skills!B12</f>
        <v/>
      </c>
      <c r="C2460">
        <f>Inputs!$B$3&gt;=115</f>
        <v/>
      </c>
      <c r="D2460">
        <f>IF(Skills!C12=1,60+Inputs!$B$25+Inputs!$B$29,IF(Skills!C12=2,90+Inputs!$B$26+Inputs!$B$29,IF(Skills!C12=3,120+Inputs!$B$27+Inputs!$B$29,MAX(0,(Inputs!$B$3-100)*3)+Inputs!$B$28+Inputs!$B$29)))</f>
        <v/>
      </c>
      <c r="E2460">
        <f>INDEX(FactorTable!$B$2:$Y$301, MATCH(ROUND(MIN(300,MAX(1,D2460)),0), FactorTable!$A$2:$A$301,0), Skills!L12+1)</f>
        <v/>
      </c>
      <c r="F2460">
        <f>IF(Skills!M12=TRUE,(Skills!K12/10)*(E2460/1000),Skills!K12/10)+Skills!N12</f>
        <v/>
      </c>
      <c r="G2460">
        <f>Calc!G12</f>
        <v/>
      </c>
      <c r="H2460">
        <f>Calc!H12</f>
        <v/>
      </c>
      <c r="I2460">
        <f>IF(Skills!T12&lt;&gt;"",1+(Skills!T12/10)*(Z2451/1000)/100,1)</f>
        <v/>
      </c>
      <c r="J2460">
        <f>((Inputs!$B$6*(1+Inputs!$B$7/100))+(((Inputs!$B$12*(1+Inputs!$B$13/100))-(Inputs!$B$12*(1+Inputs!$B$13/100)))+0.25*(Inputs!$B$14-Inputs!$B$14))*(1+Inputs!$B$7/100))*(F2460/100)</f>
        <v/>
      </c>
      <c r="K2460">
        <f>J2460*(1+((Inputs!$B$12*(1+Inputs!$B$13/100))*0.01+Inputs!$B$14*0.0025)/100)*(1+(Inputs!$B$15+B2477)/100)*(1+Inputs!$B$16/100)*(5000/(6000+Inputs!$B$42*(1-(100*(1-(1-Inputs!$B$19/100)*(1-CHOOSE(ArtifactsInput!$N$40+1,5,6,7,8,9,10)/100)^(IF(ArtifactsInput!$M$40,FALSE,TRUE)-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2463=TRUE,F2463,0)/100)*(1+IF(C2471=TRUE,F2471,0)/100)^5*(1+(IF(Skills!A12="CHAIN_LIGHTNING",Inputs!$B$17+((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2475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2460)</f>
        <v/>
      </c>
      <c r="L2460">
        <f>K2460*(MIN(Inputs!$B$22+(F2466-Calc!F18),(Inputs!$B$23+(IF(ArtifactsInput!$M$15,CHOOSE(ArtifactsInput!$N$15+1,25,30,35,40,45,50)/100*(Inputs!$B$11-Inputs!$B$11),0))))/100+(Inputs!$B$23+(IF(ArtifactsInput!$M$15,CHOOSE(ArtifactsInput!$N$15+1,25,30,35,40,45,50)/100*(Inputs!$B$11-Inputs!$B$11),0)))/100)/2</f>
        <v/>
      </c>
      <c r="M2460">
        <f>L2460*(1+(Inputs!$B$10+(F2469-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0">
        <f>L2460*(1-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2460*(MIN((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0">
        <f>(1-Summary!$B$11)*S2460+Summary!$B$11*U2460</f>
        <v/>
      </c>
      <c r="P2460">
        <f>IF(B2485=0,0,O2460/B2485)</f>
        <v/>
      </c>
      <c r="Q2460">
        <f>IFERROR(1/(IF(Inputs!$B$38="pvp",15,MAX(0.1,Skills!D12-IF(TRUE=TRUE,Inputs!$B$32,0)))*(1-IF(AND(ArtifactsInput!$M$27,Inputs!$B$4="Chapter Hunt"),CHOOSE(ArtifactsInput!$N$27+1,20,24,28,32,36,40),0)/100)),0)</f>
        <v/>
      </c>
      <c r="R2460">
        <f>IF(AND(Inputs!$B$38&lt;&gt;"pvp",Inputs!$B$43&gt;0),IF(MAX(0,Inputs!$B$43-B2482)&lt;=0,0,(INT(MAX(0,Inputs!$B$43-B2482)/(IF(Inputs!$B$38="pvp",15,MAX(0.1,Skills!D12-IF(TRUE=TRUE,Inputs!$B$32,0)))*(1-IF(AND(ArtifactsInput!$M$27,Inputs!$B$4="Chapter Hunt"),CHOOSE(ArtifactsInput!$N$27+1,20,24,28,32,36,40),0)/100)))+1)),0)</f>
        <v/>
      </c>
      <c r="S2460">
        <f>IF(C2460,(H2460*N2460*IF(AND(Inputs!$B$38&lt;&gt;"pvp",Inputs!$B$43&gt;0),((Skills!F12*((R2460-1)*IF(Skills!G12&gt;0,Skills!H12/Skills!G12,1)+IF(Skills!G12&gt;0,MIN(Skills!H12,MAX(0,MAX(0,Inputs!$B$43-B2482)-((R2460-1)*(IF(Inputs!$B$38="pvp",15,MAX(0.1,Skills!D12-IF(TRUE=TRUE,Inputs!$B$32,0)))*(1-IF(AND(ArtifactsInput!$M$27,Inputs!$B$4="Chapter Hunt"),CHOOSE(ArtifactsInput!$N$27+1,20,24,28,32,36,40),0)/100)))))/Skills!G12,1)))/Inputs!$B$43),G2460*Q2460))*IF(Inputs!$B$38="pvp",1,1+(Inputs!$B$20+Skills!O12+B2476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IF(ArtifactsInput!$M$40,FALSE,TRUE)-ArtifactsInput!$M$40)))/100)*(1-IF(IF(ArtifactsInput!$M$40,FALSE,TRUE),CHOOSE(ArtifactsInput!$N$40+1,5,6,7,8,9,10),0)/100)^IF(Inputs!$B$38="pvp",1,2)))/100)))/(5000/(6000+Inputs!$B$42*(1-(100*(1-(1-Inputs!$B$19/100)*(1-CHOOSE(ArtifactsInput!$N$40+1,5,6,7,8,9,10)/100)^(IF(ArtifactsInput!$M$40,FALSE,TRUE)-ArtifactsInput!$M$40)))/100))))*((L2460*(1-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2460*(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2460*(1-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2460*(MIN(100,(Inputs!$B$9+((F2468-Calc!F20)+(F2467-Calc!F19))+(ArtifactsInput!$M$24-ArtifactsInput!$M$24)*CHOOSE(ArtifactsInput!$N$24+1,10,12,14,16,18,20)+(IF(AND(Inputs!$B$38&lt;&gt;"pvp",Inputs!$B$43=0),1,IF(IF(Inputs!$B$38="pvp",15,Inputs!$B$43)-(B2482)&lt;=0,1,MAX(0,IF(Inputs!$B$38="pvp",15,Inputs!$B$43)-MAX(5,B2482))/(IF(Inputs!$B$38="pvp",15,Inputs!$B$43)-(B2482)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60">
        <f>IF(C2460,(H2460*N2460*IF(AND(Inputs!$B$38&lt;&gt;"pvp",Inputs!$B$43&gt;0),((Skills!F12*((R2460-1)*IF(Skills!G12&gt;0,Skills!H12/Skills!G12,1)+IF(Skills!G12&gt;0,MIN(Skills!H12,MAX(0,MAX(0,Inputs!$B$43-B2482)-((R2460-1)*(IF(Inputs!$B$38="pvp",15,MAX(0.1,Skills!D12-IF(TRUE=TRUE,Inputs!$B$32,0)))*(1-IF(AND(ArtifactsInput!$M$27,Inputs!$B$4="Chapter Hunt"),CHOOSE(ArtifactsInput!$N$27+1,20,24,28,32,36,40),0)/100)))))/Skills!G12,1)))/Inputs!$B$43),G2460*Q2460))*IF(Inputs!$B$38="pvp",1,(1+(Inputs!$B$21+Skills!P12+B2476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1">
      <c r="A2461">
        <f>Skills!A13</f>
        <v/>
      </c>
      <c r="B2461">
        <f>Skills!B13</f>
        <v/>
      </c>
      <c r="C2461">
        <f>Inputs!$B$3&gt;=49</f>
        <v/>
      </c>
      <c r="D2461">
        <f>IF(Skills!C13=1,60+Inputs!$B$25+Inputs!$B$29,IF(Skills!C13=2,90+Inputs!$B$26+Inputs!$B$29,IF(Skills!C13=3,120+Inputs!$B$27+Inputs!$B$29,MAX(0,(Inputs!$B$3-100)*3)+Inputs!$B$28+Inputs!$B$29)))</f>
        <v/>
      </c>
      <c r="E2461">
        <f>INDEX(FactorTable!$B$2:$Y$301, MATCH(ROUND(MIN(300,MAX(1,D2461)),0), FactorTable!$A$2:$A$301,0), Skills!L13+1)</f>
        <v/>
      </c>
      <c r="F2461">
        <f>IF(Skills!M13=TRUE,(Skills!K13/10)*(E2461/1000),Skills!K13/10)+Skills!N13</f>
        <v/>
      </c>
      <c r="G2461">
        <f>Calc!G13</f>
        <v/>
      </c>
      <c r="H2461">
        <f>Calc!H13</f>
        <v/>
      </c>
      <c r="I2461">
        <f>IF(Skills!T13&lt;&gt;"",1+(Skills!T13/10)*(Z2451/1000)/100,1)</f>
        <v/>
      </c>
      <c r="J2461" t="inlineStr"/>
      <c r="K2461" t="inlineStr"/>
      <c r="L2461" t="inlineStr"/>
      <c r="M2461" t="inlineStr"/>
      <c r="N2461" t="inlineStr"/>
      <c r="O2461">
        <f>(1-Summary!$B$11)*S2461+Summary!$B$11*U2461</f>
        <v/>
      </c>
      <c r="P2461">
        <f>IF(B2485=0,0,O2461/B2485)</f>
        <v/>
      </c>
      <c r="Q2461">
        <f>IFERROR(1/(IF(Inputs!$B$38="pvp",15,MAX(0.1,Skills!D13-IF(TRUE=TRUE,Inputs!$B$32,0)))*(1-IF(AND(ArtifactsInput!$M$27,Inputs!$B$4="Chapter Hunt"),CHOOSE(ArtifactsInput!$N$27+1,20,24,28,32,36,40),0)/100)),0)</f>
        <v/>
      </c>
      <c r="R2461" t="n">
        <v>0</v>
      </c>
      <c r="S2461" t="n">
        <v>0</v>
      </c>
      <c r="U2461" t="n">
        <v>0</v>
      </c>
    </row>
    <row r="2462">
      <c r="A2462">
        <f>Skills!A14</f>
        <v/>
      </c>
      <c r="B2462">
        <f>Skills!B14</f>
        <v/>
      </c>
      <c r="C2462">
        <f>Inputs!$B$3&gt;=72</f>
        <v/>
      </c>
      <c r="D2462">
        <f>IF(Skills!C14=1,60+Inputs!$B$25+Inputs!$B$29,IF(Skills!C14=2,90+Inputs!$B$26+Inputs!$B$29,IF(Skills!C14=3,120+Inputs!$B$27+Inputs!$B$29,MAX(0,(Inputs!$B$3-100)*3)+Inputs!$B$28+Inputs!$B$29)))</f>
        <v/>
      </c>
      <c r="E2462">
        <f>INDEX(FactorTable!$B$2:$Y$301, MATCH(ROUND(MIN(300,MAX(1,D2462)),0), FactorTable!$A$2:$A$301,0), Skills!L14+1)</f>
        <v/>
      </c>
      <c r="F2462">
        <f>IF(Skills!M14=TRUE,(Skills!K14/10)*(E2462/1000),Skills!K14/10)+Skills!N14</f>
        <v/>
      </c>
      <c r="G2462">
        <f>Calc!G14</f>
        <v/>
      </c>
      <c r="H2462">
        <f>Calc!H14</f>
        <v/>
      </c>
      <c r="I2462">
        <f>IF(Skills!T14&lt;&gt;"",1+(Skills!T14/10)*(Z2451/1000)/100,1)</f>
        <v/>
      </c>
      <c r="J2462" t="inlineStr"/>
      <c r="K2462" t="inlineStr"/>
      <c r="L2462" t="inlineStr"/>
      <c r="M2462" t="inlineStr"/>
      <c r="N2462" t="inlineStr"/>
      <c r="O2462">
        <f>(1-Summary!$B$11)*S2462+Summary!$B$11*U2462</f>
        <v/>
      </c>
      <c r="P2462">
        <f>IF(B2485=0,0,O2462/B2485)</f>
        <v/>
      </c>
      <c r="Q2462">
        <f>IFERROR(1/(IF(Inputs!$B$38="pvp",15,MAX(0.1,Skills!D14-IF(TRUE=TRUE,Inputs!$B$32,0)))*(1-IF(AND(ArtifactsInput!$M$27,Inputs!$B$4="Chapter Hunt"),CHOOSE(ArtifactsInput!$N$27+1,20,24,28,32,36,40),0)/100)),0)</f>
        <v/>
      </c>
      <c r="R2462" t="n">
        <v>0</v>
      </c>
      <c r="S2462" t="n">
        <v>0</v>
      </c>
      <c r="U2462" t="n">
        <v>0</v>
      </c>
    </row>
    <row r="2463">
      <c r="A2463">
        <f>Skills!A15</f>
        <v/>
      </c>
      <c r="B2463">
        <f>Skills!B15</f>
        <v/>
      </c>
      <c r="C2463">
        <f>Inputs!$B$3&gt;=75</f>
        <v/>
      </c>
      <c r="D2463">
        <f>IF(Skills!C15=1,60+Inputs!$B$25+Inputs!$B$29,IF(Skills!C15=2,90+Inputs!$B$26+Inputs!$B$29,IF(Skills!C15=3,120+Inputs!$B$27+Inputs!$B$29,MAX(0,(Inputs!$B$3-100)*3)+Inputs!$B$28+Inputs!$B$29)))</f>
        <v/>
      </c>
      <c r="E2463">
        <f>INDEX(FactorTable!$B$2:$Y$301, MATCH(ROUND(MIN(300,MAX(1,D2463)),0), FactorTable!$A$2:$A$301,0), Skills!L15+1)</f>
        <v/>
      </c>
      <c r="F2463">
        <f>IF(Skills!M15=TRUE,(Skills!K15/10)*(E2463/1000),Skills!K15/10)+Skills!N15</f>
        <v/>
      </c>
      <c r="G2463">
        <f>Calc!G15</f>
        <v/>
      </c>
      <c r="H2463">
        <f>Calc!H15</f>
        <v/>
      </c>
      <c r="I2463">
        <f>IF(Skills!T15&lt;&gt;"",1+(Skills!T15/10)*(Z2451/1000)/100,1)</f>
        <v/>
      </c>
      <c r="J2463" t="inlineStr"/>
      <c r="K2463" t="inlineStr"/>
      <c r="L2463" t="inlineStr"/>
      <c r="M2463" t="inlineStr"/>
      <c r="N2463" t="inlineStr"/>
      <c r="O2463">
        <f>(1-Summary!$B$11)*S2463+Summary!$B$11*U2463</f>
        <v/>
      </c>
      <c r="P2463">
        <f>IF(B2485=0,0,O2463/B2485)</f>
        <v/>
      </c>
      <c r="Q2463">
        <f>IFERROR(1/(IF(Inputs!$B$38="pvp",15,MAX(0.1,Skills!D15-IF(TRUE=TRUE,Inputs!$B$32,0)))*(1-IF(AND(ArtifactsInput!$M$27,Inputs!$B$4="Chapter Hunt"),CHOOSE(ArtifactsInput!$N$27+1,20,24,28,32,36,40),0)/100)),0)</f>
        <v/>
      </c>
      <c r="R2463" t="n">
        <v>0</v>
      </c>
      <c r="S2463" t="n">
        <v>0</v>
      </c>
      <c r="U2463" t="n">
        <v>0</v>
      </c>
    </row>
    <row r="2464">
      <c r="A2464">
        <f>Skills!A16</f>
        <v/>
      </c>
      <c r="B2464">
        <f>Skills!B16</f>
        <v/>
      </c>
      <c r="C2464">
        <f>Inputs!$B$3&gt;=110</f>
        <v/>
      </c>
      <c r="D2464">
        <f>IF(Skills!C16=1,60+Inputs!$B$25+Inputs!$B$29,IF(Skills!C16=2,90+Inputs!$B$26+Inputs!$B$29,IF(Skills!C16=3,120+Inputs!$B$27+Inputs!$B$29,MAX(0,(Inputs!$B$3-100)*3)+Inputs!$B$28+Inputs!$B$29)))</f>
        <v/>
      </c>
      <c r="E2464">
        <f>INDEX(FactorTable!$B$2:$Y$301, MATCH(ROUND(MIN(300,MAX(1,D2464)),0), FactorTable!$A$2:$A$301,0), Skills!L16+1)</f>
        <v/>
      </c>
      <c r="F2464">
        <f>(Skills!K16/10)*(E2464/1000)*64/45+Skills!N16</f>
        <v/>
      </c>
      <c r="G2464">
        <f>Calc!G16</f>
        <v/>
      </c>
      <c r="H2464">
        <f>Calc!H16</f>
        <v/>
      </c>
      <c r="I2464">
        <f>IF(Skills!T16&lt;&gt;"",1+(Skills!T16/10)*(Z2451/1000)/100,1)</f>
        <v/>
      </c>
      <c r="J2464" t="inlineStr"/>
      <c r="K2464" t="inlineStr"/>
      <c r="L2464" t="inlineStr"/>
      <c r="M2464" t="inlineStr"/>
      <c r="N2464" t="inlineStr"/>
      <c r="O2464">
        <f>(1-Summary!$B$11)*S2464+Summary!$B$11*U2464</f>
        <v/>
      </c>
      <c r="P2464">
        <f>IF(B2485=0,0,O2464/B2485)</f>
        <v/>
      </c>
      <c r="Q2464">
        <f>IFERROR(1/(IF(Inputs!$B$38="pvp",15,MAX(0.1,Skills!D16-IF(TRUE=TRUE,Inputs!$B$32,0)))*(1-IF(AND(ArtifactsInput!$M$27,Inputs!$B$4="Chapter Hunt"),CHOOSE(ArtifactsInput!$N$27+1,20,24,28,32,36,40),0)/100)),0)</f>
        <v/>
      </c>
      <c r="R2464">
        <f>IF(AND(Inputs!$B$38&lt;&gt;"pvp",Inputs!$B$43&gt;0),IF(Inputs!$B$43&lt;=0,0,(INT(Inputs!$B$43/(IF(Inputs!$B$38="pvp",15,MAX(0.1,Skills!D16-IF(TRUE=TRUE,Inputs!$B$32,0)))*(1-IF(AND(ArtifactsInput!$M$27,Inputs!$B$4="Chapter Hunt"),CHOOSE(ArtifactsInput!$N$27+1,20,24,28,32,36,40),0)/100)))+1)),0)</f>
        <v/>
      </c>
      <c r="S2464" t="n">
        <v>0</v>
      </c>
      <c r="U2464" t="n">
        <v>0</v>
      </c>
    </row>
    <row r="2465">
      <c r="A2465">
        <f>Skills!A17</f>
        <v/>
      </c>
      <c r="B2465">
        <f>Skills!B17</f>
        <v/>
      </c>
      <c r="C2465">
        <f>Inputs!$B$3&gt;=33</f>
        <v/>
      </c>
      <c r="D2465">
        <f>IF(Skills!C17=1,60+Inputs!$B$25+Inputs!$B$29,IF(Skills!C17=2,90+Inputs!$B$26+Inputs!$B$29,IF(Skills!C17=3,120+Inputs!$B$27+Inputs!$B$29,MAX(0,(Inputs!$B$3-100)*3)+Inputs!$B$28+Inputs!$B$29)))</f>
        <v/>
      </c>
      <c r="E2465">
        <f>INDEX(FactorTable!$B$2:$Y$301, MATCH(ROUND(MIN(300,MAX(1,D2465)),0), FactorTable!$A$2:$A$301,0), Skills!L17+1)</f>
        <v/>
      </c>
      <c r="F2465">
        <f>IF(Skills!M17=TRUE,(Skills!K17/10)*(E2465/1000),Skills!K17/10)+Skills!N17</f>
        <v/>
      </c>
      <c r="G2465">
        <f>Calc!G17</f>
        <v/>
      </c>
      <c r="H2465">
        <f>Calc!H17</f>
        <v/>
      </c>
      <c r="I2465">
        <f>IF(Skills!T17&lt;&gt;"",1+(Skills!T17/10)*(Z2451/1000)/100,1)</f>
        <v/>
      </c>
      <c r="J2465" t="inlineStr"/>
      <c r="K2465" t="inlineStr"/>
      <c r="L2465" t="inlineStr"/>
      <c r="M2465" t="inlineStr"/>
      <c r="N2465" t="inlineStr"/>
      <c r="O2465">
        <f>(1-Summary!$B$11)*S2465+Summary!$B$11*U2465</f>
        <v/>
      </c>
      <c r="P2465">
        <f>IF(B2485=0,0,O2465/B2485)</f>
        <v/>
      </c>
      <c r="Q2465">
        <f>IFERROR(1/(IF(Inputs!$B$38="pvp",15,MAX(0.1,Skills!D17-IF(TRUE=TRUE,Inputs!$B$32,0)))*(1-IF(AND(ArtifactsInput!$M$27,Inputs!$B$4="Chapter Hunt"),CHOOSE(ArtifactsInput!$N$27+1,20,24,28,32,36,40),0)/100)),0)</f>
        <v/>
      </c>
      <c r="R2465" t="n">
        <v>0</v>
      </c>
      <c r="S2465" t="n">
        <v>0</v>
      </c>
      <c r="U2465" t="n">
        <v>0</v>
      </c>
    </row>
    <row r="2466">
      <c r="A2466">
        <f>Skills!A18</f>
        <v/>
      </c>
      <c r="B2466">
        <f>Skills!B18</f>
        <v/>
      </c>
      <c r="C2466">
        <f>Inputs!$B$3&gt;=43</f>
        <v/>
      </c>
      <c r="D2466">
        <f>IF(Skills!C18=1,60+Inputs!$B$25+Inputs!$B$29,IF(Skills!C18=2,90+Inputs!$B$26+Inputs!$B$29,IF(Skills!C18=3,120+Inputs!$B$27+Inputs!$B$29,MAX(0,(Inputs!$B$3-100)*3)+Inputs!$B$28+Inputs!$B$29)))</f>
        <v/>
      </c>
      <c r="E2466">
        <f>INDEX(FactorTable!$B$2:$Y$301, MATCH(ROUND(MIN(300,MAX(1,D2466)),0), FactorTable!$A$2:$A$301,0), Skills!L18+1)</f>
        <v/>
      </c>
      <c r="F2466">
        <f>IF(Skills!M18=TRUE,(Skills!K18/10)*(E2466/1000),Skills!K18/10)+Skills!N18</f>
        <v/>
      </c>
      <c r="G2466">
        <f>Calc!G18</f>
        <v/>
      </c>
      <c r="H2466">
        <f>Calc!H18</f>
        <v/>
      </c>
      <c r="I2466">
        <f>IF(Skills!T18&lt;&gt;"",1+(Skills!T18/10)*(Z2451/1000)/100,1)</f>
        <v/>
      </c>
      <c r="J2466" t="inlineStr"/>
      <c r="K2466" t="inlineStr"/>
      <c r="L2466" t="inlineStr"/>
      <c r="M2466" t="inlineStr"/>
      <c r="N2466" t="inlineStr"/>
      <c r="O2466">
        <f>(1-Summary!$B$11)*S2466+Summary!$B$11*U2466</f>
        <v/>
      </c>
      <c r="P2466">
        <f>IF(B2485=0,0,O2466/B2485)</f>
        <v/>
      </c>
      <c r="Q2466">
        <f>IFERROR(1/(IF(Inputs!$B$38="pvp",15,MAX(0.1,Skills!D18-IF(TRUE=TRUE,Inputs!$B$32,0)))*(1-IF(AND(ArtifactsInput!$M$27,Inputs!$B$4="Chapter Hunt"),CHOOSE(ArtifactsInput!$N$27+1,20,24,28,32,36,40),0)/100)),0)</f>
        <v/>
      </c>
      <c r="R2466" t="n">
        <v>0</v>
      </c>
      <c r="S2466" t="n">
        <v>0</v>
      </c>
      <c r="U2466" t="n">
        <v>0</v>
      </c>
    </row>
    <row r="2467">
      <c r="A2467">
        <f>Skills!A19</f>
        <v/>
      </c>
      <c r="B2467">
        <f>Skills!B19</f>
        <v/>
      </c>
      <c r="C2467">
        <f>Inputs!$B$3&gt;=50</f>
        <v/>
      </c>
      <c r="D2467">
        <f>IF(Skills!C19=1,60+Inputs!$B$25+Inputs!$B$29,IF(Skills!C19=2,90+Inputs!$B$26+Inputs!$B$29,IF(Skills!C19=3,120+Inputs!$B$27+Inputs!$B$29,MAX(0,(Inputs!$B$3-100)*3)+Inputs!$B$28+Inputs!$B$29)))</f>
        <v/>
      </c>
      <c r="E2467">
        <f>INDEX(FactorTable!$B$2:$Y$301, MATCH(ROUND(MIN(300,MAX(1,D2467)),0), FactorTable!$A$2:$A$301,0), Skills!L19+1)</f>
        <v/>
      </c>
      <c r="F2467">
        <f>IF(Skills!M19=TRUE,(Skills!K19/10)*(E2467/1000),Skills!K19/10)+Skills!N19</f>
        <v/>
      </c>
      <c r="G2467">
        <f>Calc!G19</f>
        <v/>
      </c>
      <c r="H2467">
        <f>Calc!H19</f>
        <v/>
      </c>
      <c r="I2467">
        <f>IF(Skills!T19&lt;&gt;"",1+(Skills!T19/10)*(Z2451/1000)/100,1)</f>
        <v/>
      </c>
      <c r="J2467" t="inlineStr"/>
      <c r="K2467" t="inlineStr"/>
      <c r="L2467" t="inlineStr"/>
      <c r="M2467" t="inlineStr"/>
      <c r="N2467" t="inlineStr"/>
      <c r="O2467">
        <f>(1-Summary!$B$11)*S2467+Summary!$B$11*U2467</f>
        <v/>
      </c>
      <c r="P2467">
        <f>IF(B2485=0,0,O2467/B2485)</f>
        <v/>
      </c>
      <c r="Q2467">
        <f>IFERROR(1/(IF(Inputs!$B$38="pvp",15,MAX(0.1,Skills!D19-IF(TRUE=TRUE,Inputs!$B$32,0)))*(1-IF(AND(ArtifactsInput!$M$27,Inputs!$B$4="Chapter Hunt"),CHOOSE(ArtifactsInput!$N$27+1,20,24,28,32,36,40),0)/100)),0)</f>
        <v/>
      </c>
      <c r="R2467" t="n">
        <v>0</v>
      </c>
      <c r="S2467" t="n">
        <v>0</v>
      </c>
      <c r="U2467" t="n">
        <v>0</v>
      </c>
    </row>
    <row r="2468">
      <c r="A2468">
        <f>Skills!A20</f>
        <v/>
      </c>
      <c r="B2468">
        <f>Skills!B20</f>
        <v/>
      </c>
      <c r="C2468">
        <f>Inputs!$B$3&gt;=74</f>
        <v/>
      </c>
      <c r="D2468">
        <f>IF(Skills!C20=1,60+Inputs!$B$25+Inputs!$B$29,IF(Skills!C20=2,90+Inputs!$B$26+Inputs!$B$29,IF(Skills!C20=3,120+Inputs!$B$27+Inputs!$B$29,MAX(0,(Inputs!$B$3-100)*3)+Inputs!$B$28+Inputs!$B$29)))</f>
        <v/>
      </c>
      <c r="E2468">
        <f>INDEX(FactorTable!$B$2:$Y$301, MATCH(ROUND(MIN(300,MAX(1,D2468)),0), FactorTable!$A$2:$A$301,0), Skills!L20+1)</f>
        <v/>
      </c>
      <c r="F2468">
        <f>IF(Skills!M20=TRUE,(Skills!K20/10)*(E2468/1000),Skills!K20/10)+Skills!N20</f>
        <v/>
      </c>
      <c r="G2468">
        <f>Calc!G20</f>
        <v/>
      </c>
      <c r="H2468">
        <f>Calc!H20</f>
        <v/>
      </c>
      <c r="I2468">
        <f>IF(Skills!T20&lt;&gt;"",1+(Skills!T20/10)*(Z2451/1000)/100,1)</f>
        <v/>
      </c>
      <c r="J2468" t="inlineStr"/>
      <c r="K2468" t="inlineStr"/>
      <c r="L2468" t="inlineStr"/>
      <c r="M2468" t="inlineStr"/>
      <c r="N2468" t="inlineStr"/>
      <c r="O2468">
        <f>(1-Summary!$B$11)*S2468+Summary!$B$11*U2468</f>
        <v/>
      </c>
      <c r="P2468">
        <f>IF(B2485=0,0,O2468/B2485)</f>
        <v/>
      </c>
      <c r="Q2468">
        <f>IFERROR(1/(IF(Inputs!$B$38="pvp",15,MAX(0.1,Skills!D20-IF(TRUE=TRUE,Inputs!$B$32,0)))*(1-IF(AND(ArtifactsInput!$M$27,Inputs!$B$4="Chapter Hunt"),CHOOSE(ArtifactsInput!$N$27+1,20,24,28,32,36,40),0)/100)),0)</f>
        <v/>
      </c>
      <c r="R2468" t="n">
        <v>0</v>
      </c>
      <c r="S2468" t="n">
        <v>0</v>
      </c>
      <c r="U2468" t="n">
        <v>0</v>
      </c>
    </row>
    <row r="2469">
      <c r="A2469">
        <f>Skills!A21</f>
        <v/>
      </c>
      <c r="B2469">
        <f>Skills!B21</f>
        <v/>
      </c>
      <c r="C2469">
        <f>Inputs!$B$3&gt;=74</f>
        <v/>
      </c>
      <c r="D2469">
        <f>IF(Skills!C21=1,60+Inputs!$B$25+Inputs!$B$29,IF(Skills!C21=2,90+Inputs!$B$26+Inputs!$B$29,IF(Skills!C21=3,120+Inputs!$B$27+Inputs!$B$29,MAX(0,(Inputs!$B$3-100)*3)+Inputs!$B$28+Inputs!$B$29)))</f>
        <v/>
      </c>
      <c r="E2469">
        <f>INDEX(FactorTable!$B$2:$Y$301, MATCH(ROUND(MIN(300,MAX(1,D2469)),0), FactorTable!$A$2:$A$301,0), Skills!L21+1)</f>
        <v/>
      </c>
      <c r="F2469">
        <f>IF(Skills!M21=TRUE,(Skills!K21/10)*(E2469/1000),Skills!K21/10)+Skills!N21</f>
        <v/>
      </c>
      <c r="G2469">
        <f>Calc!G21</f>
        <v/>
      </c>
      <c r="H2469">
        <f>Calc!H21</f>
        <v/>
      </c>
      <c r="I2469">
        <f>IF(Skills!T21&lt;&gt;"",1+(Skills!T21/10)*(Z2451/1000)/100,1)</f>
        <v/>
      </c>
      <c r="J2469" t="inlineStr"/>
      <c r="K2469" t="inlineStr"/>
      <c r="L2469" t="inlineStr"/>
      <c r="M2469" t="inlineStr"/>
      <c r="N2469" t="inlineStr"/>
      <c r="O2469">
        <f>(1-Summary!$B$11)*S2469+Summary!$B$11*U2469</f>
        <v/>
      </c>
      <c r="P2469">
        <f>IF(B2485=0,0,O2469/B2485)</f>
        <v/>
      </c>
      <c r="Q2469">
        <f>IFERROR(1/(IF(Inputs!$B$38="pvp",15,MAX(0.1,Skills!D21-IF(TRUE=TRUE,Inputs!$B$32,0)))*(1-IF(AND(ArtifactsInput!$M$27,Inputs!$B$4="Chapter Hunt"),CHOOSE(ArtifactsInput!$N$27+1,20,24,28,32,36,40),0)/100)),0)</f>
        <v/>
      </c>
      <c r="R2469" t="n">
        <v>0</v>
      </c>
      <c r="S2469" t="n">
        <v>0</v>
      </c>
      <c r="U2469" t="n">
        <v>0</v>
      </c>
    </row>
    <row r="2470">
      <c r="A2470">
        <f>Skills!A22</f>
        <v/>
      </c>
      <c r="B2470">
        <f>Skills!B22</f>
        <v/>
      </c>
      <c r="C2470">
        <f>Inputs!$B$3&gt;=117</f>
        <v/>
      </c>
      <c r="D2470">
        <f>IF(Skills!C22=1,60+Inputs!$B$25+Inputs!$B$29,IF(Skills!C22=2,90+Inputs!$B$26+Inputs!$B$29,IF(Skills!C22=3,120+Inputs!$B$27+Inputs!$B$29,MAX(0,(Inputs!$B$3-100)*3)+Inputs!$B$28+Inputs!$B$29)))</f>
        <v/>
      </c>
      <c r="E2470">
        <f>INDEX(FactorTable!$B$2:$Y$301, MATCH(ROUND(MIN(300,MAX(1,D2470)),0), FactorTable!$A$2:$A$301,0), Skills!L22+1)</f>
        <v/>
      </c>
      <c r="F2470">
        <f>IF(Skills!M22=TRUE,(Skills!K22/10)*(E2470/1000),Skills!K22/10)+Skills!N22</f>
        <v/>
      </c>
      <c r="G2470">
        <f>Calc!G22</f>
        <v/>
      </c>
      <c r="H2470">
        <f>Calc!H22</f>
        <v/>
      </c>
      <c r="I2470">
        <f>IF(Skills!T22&lt;&gt;"",1+(Skills!T22/10)*(Z2451/1000)/100,1)</f>
        <v/>
      </c>
      <c r="J2470" t="inlineStr"/>
      <c r="K2470" t="inlineStr"/>
      <c r="L2470" t="inlineStr"/>
      <c r="M2470" t="inlineStr"/>
      <c r="N2470" t="inlineStr"/>
      <c r="O2470">
        <f>(1-Summary!$B$11)*S2470+Summary!$B$11*U2470</f>
        <v/>
      </c>
      <c r="P2470">
        <f>IF(B2485=0,0,O2470/B2485)</f>
        <v/>
      </c>
      <c r="Q2470">
        <f>IFERROR(1/(IF(Inputs!$B$38="pvp",15,MAX(0.1,Skills!D22-IF(TRUE=TRUE,Inputs!$B$32,0)))*(1-IF(AND(ArtifactsInput!$M$27,Inputs!$B$4="Chapter Hunt"),CHOOSE(ArtifactsInput!$N$27+1,20,24,28,32,36,40),0)/100)),0)</f>
        <v/>
      </c>
      <c r="R2470" t="n">
        <v>0</v>
      </c>
      <c r="S2470" t="n">
        <v>0</v>
      </c>
      <c r="U2470" t="n">
        <v>0</v>
      </c>
    </row>
    <row r="2471">
      <c r="A2471">
        <f>Skills!A23</f>
        <v/>
      </c>
      <c r="B2471">
        <f>Skills!B23</f>
        <v/>
      </c>
      <c r="C2471">
        <f>Inputs!$B$3&gt;=120</f>
        <v/>
      </c>
      <c r="D2471">
        <f>IF(Skills!C23=1,60+Inputs!$B$25+Inputs!$B$29,IF(Skills!C23=2,90+Inputs!$B$26+Inputs!$B$29,IF(Skills!C23=3,120+Inputs!$B$27+Inputs!$B$29,MAX(0,(Inputs!$B$3-100)*3)+Inputs!$B$28+Inputs!$B$29)))</f>
        <v/>
      </c>
      <c r="E2471">
        <f>INDEX(FactorTable!$B$2:$Y$301, MATCH(ROUND(MIN(300,MAX(1,D2471)),0), FactorTable!$A$2:$A$301,0), Skills!L23+1)</f>
        <v/>
      </c>
      <c r="F2471">
        <f>IF(Skills!M23=TRUE,(Skills!K23/10)*(E2471/1000),Skills!K23/10)+Skills!N23</f>
        <v/>
      </c>
      <c r="G2471">
        <f>Calc!G23</f>
        <v/>
      </c>
      <c r="H2471">
        <f>Calc!H23</f>
        <v/>
      </c>
      <c r="I2471">
        <f>IF(Skills!T23&lt;&gt;"",1+(Skills!T23/10)*(Z2451/1000)/100,1)</f>
        <v/>
      </c>
      <c r="J2471" t="inlineStr"/>
      <c r="K2471" t="inlineStr"/>
      <c r="L2471" t="inlineStr"/>
      <c r="M2471" t="inlineStr"/>
      <c r="N2471" t="inlineStr"/>
      <c r="O2471">
        <f>(1-Summary!$B$11)*S2471+Summary!$B$11*U2471</f>
        <v/>
      </c>
      <c r="P2471">
        <f>IF(B2485=0,0,O2471/B2485)</f>
        <v/>
      </c>
      <c r="Q2471">
        <f>IFERROR(1/(IF(Inputs!$B$38="pvp",15,MAX(0.1,Skills!D23-IF(TRUE=TRUE,Inputs!$B$32,0)))*(1-IF(AND(ArtifactsInput!$M$27,Inputs!$B$4="Chapter Hunt"),CHOOSE(ArtifactsInput!$N$27+1,20,24,28,32,36,40),0)/100)),0)</f>
        <v/>
      </c>
      <c r="R2471" t="n">
        <v>0</v>
      </c>
      <c r="S2471" t="n">
        <v>0</v>
      </c>
      <c r="U2471" t="n">
        <v>0</v>
      </c>
    </row>
    <row r="2472">
      <c r="A2472">
        <f>Skills!A24</f>
        <v/>
      </c>
      <c r="B2472">
        <f>Skills!B24</f>
        <v/>
      </c>
      <c r="C2472">
        <f>TRUE</f>
        <v/>
      </c>
      <c r="D2472">
        <f>IF(Skills!C24=1,60+Inputs!$B$25+Inputs!$B$29,IF(Skills!C24=2,90+Inputs!$B$26+Inputs!$B$29,IF(Skills!C24=3,120+Inputs!$B$27+Inputs!$B$29,MAX(0,(Inputs!$B$3-100)*3)+Inputs!$B$28+Inputs!$B$29)))</f>
        <v/>
      </c>
      <c r="E2472">
        <f>INDEX(FactorTable!$B$2:$Y$301, MATCH(ROUND(MIN(300,MAX(1,D2472)),0), FactorTable!$A$2:$A$301,0), Skills!L24+1)</f>
        <v/>
      </c>
      <c r="F2472">
        <f>IF(Skills!M24=TRUE,(Skills!K24/10)*(E2472/1000),Skills!K24/10)+Skills!N24</f>
        <v/>
      </c>
      <c r="G2472">
        <f>Calc!G24</f>
        <v/>
      </c>
      <c r="H2472">
        <f>Calc!H24</f>
        <v/>
      </c>
      <c r="I2472">
        <f>IF(Skills!T24&lt;&gt;"",1+(Skills!T24/10)*(Z2451/1000)/100,1)</f>
        <v/>
      </c>
      <c r="J2472" t="inlineStr"/>
      <c r="K2472" t="inlineStr"/>
      <c r="L2472" t="inlineStr"/>
      <c r="M2472" t="inlineStr"/>
      <c r="N2472" t="inlineStr"/>
      <c r="O2472">
        <f>(1-Summary!$B$11)*S2472+Summary!$B$11*U2472</f>
        <v/>
      </c>
      <c r="P2472">
        <f>IF(B2485=0,0,O2472/B2485)</f>
        <v/>
      </c>
      <c r="Q2472">
        <f>IFERROR(1/(IF(Inputs!$B$38="pvp",15,MAX(0.1,Skills!D24-IF(TRUE=TRUE,Inputs!$B$32,0)))*(1-IF(AND(ArtifactsInput!$M$27,Inputs!$B$4="Chapter Hunt"),CHOOSE(ArtifactsInput!$N$27+1,20,24,28,32,36,40),0)/100)),0)</f>
        <v/>
      </c>
      <c r="R2472">
        <f>IF(AND(Inputs!$B$38&lt;&gt;"pvp",Inputs!$B$43&gt;0),IF(Inputs!$B$43&lt;=0,0,(INT(Inputs!$B$43/(IF(Inputs!$B$38="pvp",15,MAX(0.1,Skills!D24-IF(TRUE=TRUE,Inputs!$B$32,0)))*(1-IF(AND(ArtifactsInput!$M$27,Inputs!$B$4="Chapter Hunt"),CHOOSE(ArtifactsInput!$N$27+1,20,24,28,32,36,40),0)/100)))+1)),0)</f>
        <v/>
      </c>
      <c r="S2472" t="n">
        <v>0</v>
      </c>
      <c r="U2472" t="n">
        <v>0</v>
      </c>
    </row>
    <row r="2475">
      <c r="A2475" t="inlineStr">
        <is>
          <t>Average Buff Multiplier (Magic Guard + Meditation + Artifact Attack%, summed; then Infinity)</t>
        </is>
      </c>
      <c r="B2475">
        <f>(1+(IF(C2451=TRUE,F2451*IF(AND(Inputs!$B$38&lt;&gt;"pvp",Inputs!$B$43&gt;0),(((R2451-1)*MIN((Skills!S3*(1+(Inputs!$B$34)/100)),(1/Q2451))+MIN((Skills!S3*(1+(Inputs!$B$34)/100)),MAX(0,Inputs!$B$43-((R2451-1)*(1/Q2451)))))/Inputs!$B$43),IF(Inputs!$B$38="pvp",MIN((Skills!S3*(1+(Inputs!$B$34)/100)),15)/15,MIN(1,(Skills!S3*(1+(Inputs!$B$34)/100))/(1/Q2451)))),0)+IF(C2452=TRUE,F2452*IF(AND(Inputs!$B$38&lt;&gt;"pvp",Inputs!$B$43&gt;0),(((R2452-1)*MIN((Skills!S4*(1+(Inputs!$B$34)/100)),(1/Q2452))+MIN((Skills!S4*(1+(Inputs!$B$34)/100)),MAX(0,Inputs!$B$43-((R2452-1)*(1/Q2452)))))/Inputs!$B$43),IF(Inputs!$B$38="pvp",MIN((Skills!S4*(1+(Inputs!$B$34)/100)),15)/15,MIN(1,(Skills!S4*(1+(Inputs!$B$34)/100))/(1/Q2452)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2464=TRUE,(1+F2464*IF(AND(Inputs!$B$38&lt;&gt;"pvp",Inputs!$B$43&gt;0),(((R2464-1)*MIN((Skills!S16*(1+(Inputs!$B$34)/100)),(1/Q2464))+MIN((Skills!S16*(1+(Inputs!$B$34)/100)),MAX(0,Inputs!$B$43-((R2464-1)*(1/Q2464)))))/Inputs!$B$43),IF(Inputs!$B$38="pvp",MIN((Skills!S16*(1+(Inputs!$B$34)/100)),15)/15,MIN(1,(Skills!S16*(1+(Inputs!$B$34)/100))/(1/Q2464))))/100),1)</f>
        <v/>
      </c>
    </row>
    <row r="2476">
      <c r="A2476" t="inlineStr">
        <is>
          <t>Monster Damage Taken Bonus % (Freezing Breath - Weaken + Elemental Reset + Artifact Enemy Damage Taken, summed)</t>
        </is>
      </c>
      <c r="B2476">
        <f>IF(Inputs!$B$3&gt;=118,15*IF(Inputs!$B$38="pvp",MIN((30*(1+(Inputs!$B$34)/100)),15)/15,MIN(1,(30*(1+(Inputs!$B$34)/100))/(1/Q2456))),0)+IF(C2462=TRUE,F2462,0)+(IF(AND(ArtifactsInput!$M$35,Inputs!$B$4&lt;&gt;"Chapter Hunt"),CHOOSE(ArtifactsInput!$N$35+1,15,18,21,24,27,30)*(1-EXP(-(0.2*B2479)*5)),0)+IF(AND(ArtifactsInput!$M$22,Inputs!$B$4&lt;&gt;"Chapter Hunt"),CHOOSE(ArtifactsInput!$N$22+1,10,12,14,16,18,20)*((0*(((0.15*B2479*5))^0/1)+1*(((0.15*B2479*5))^1/1)+2*(((0.15*B2479*5))^2/2)+3*(((0.15*B2479*5))^3/6)+4*(((0.15*B2479*5))^4/24)+5*(((0.15*B2479*5))^5/120))/((((0.15*B2479*5))^0/1)+(((0.15*B2479*5))^1/1)+(((0.15*B2479*5))^2/2)+(((0.15*B2479*5))^3/6)+(((0.15*B2479*5))^4/24)+(((0.15*B2479*5))^5/120))),0))</f>
        <v/>
      </c>
    </row>
    <row r="2477">
      <c r="A2477" t="inlineStr">
        <is>
          <t>Damage % Bonus (Frozen Break + Frost Clutch, flat)</t>
        </is>
      </c>
      <c r="B2477">
        <f>IF(Inputs!$B$3&gt;=66,15,0)+IF(Inputs!$B$3&gt;=98,10,0)+IF(Inputs!$B$3&gt;=125,20,0)</f>
        <v/>
      </c>
    </row>
    <row r="2478">
      <c r="A2478" t="inlineStr">
        <is>
          <t>Attack Speed Bonus % (MP Eater - MP Boost, always-on + Nimble Feet, duty-cycle averaged)</t>
        </is>
      </c>
      <c r="B2478">
        <f>IF(C2461=TRUE,F2461+(F2465-Calc!F17),0)+((C2472=TRUE)*F2472*IF(AND(Inputs!$B$38&lt;&gt;"pvp",Inputs!$B$43&gt;0),(((R2472-1)*MIN((Skills!S24*(1+(Inputs!$B$34)/100)),(1/Q2472))+MIN((Skills!S24*(1+(Inputs!$B$34)/100)),MAX(0,Inputs!$B$43-((R2472-1)*(1/Q2472)))))/Inputs!$B$43),IF(Inputs!$B$38="pvp",MIN((Skills!S24*(1+(Inputs!$B$34)/100)),15)/15,MIN(1,(Skills!S24*(1+(Inputs!$B$34)/100))/(1/Q2472)))))</f>
        <v/>
      </c>
    </row>
    <row r="2479">
      <c r="A2479" t="inlineStr">
        <is>
          <t>Actions Per Second</t>
        </is>
      </c>
      <c r="B2479">
        <f>1+MIN(150,150*(1-(1-(Inputs!$B$11+(ArtifactsInput!$M$15-ArtifactsInput!$M$15)*CHOOSE(ArtifactsInput!$N$15+1,8,9.6,11.2,12.8,14.4,16))/150)*(1-B2478/150)))/100</f>
        <v/>
      </c>
    </row>
    <row r="2480">
      <c r="A2480" t="inlineStr">
        <is>
          <t>Skill + Buff Cast Rate</t>
        </is>
      </c>
      <c r="B2480">
        <f>IF(AND(Inputs!$B$38&lt;&gt;"pvp",Inputs!$B$43&gt;0),SUMPRODUCT((Skills!E2:E24=TRUE)*(C2450:C2472=TRUE)*R2450:R2472)/Inputs!$B$43,SUMPRODUCT((Skills!E2:E24=TRUE)*(C2450:C2472=TRUE)*Q2450:Q2472))</f>
        <v/>
      </c>
    </row>
    <row r="2481">
      <c r="A2481" t="inlineStr">
        <is>
          <t>Chain Lightning Casts Per Second</t>
        </is>
      </c>
      <c r="B2481">
        <f>MAX(0,B2479-B2480)</f>
        <v/>
      </c>
    </row>
    <row r="2482">
      <c r="A2482" t="inlineStr">
        <is>
          <t>Buff-Casting Startup Delay (s, fixed-duration only)</t>
        </is>
      </c>
      <c r="B2482">
        <f>IF(AND(Inputs!$B$38&lt;&gt;"pvp",Inputs!$B$43&gt;0),SUMPRODUCT((Skills!S2:S24&gt;0)*(Skills!E2:E24=TRUE)*(C2450:C2472=TRUE))/B2479,0)</f>
        <v/>
      </c>
    </row>
    <row r="2483">
      <c r="A2483" t="inlineStr">
        <is>
          <t>Boss-Only Total DPS (this block's swept value)</t>
        </is>
      </c>
      <c r="B2483">
        <f>SUM(S2450:S2472)</f>
        <v/>
      </c>
    </row>
    <row r="2484">
      <c r="A2484" t="inlineStr">
        <is>
          <t>Normal-Only Total DPS (this block's swept value)</t>
        </is>
      </c>
      <c r="B2484">
        <f>SUM(U2450:U2472)</f>
        <v/>
      </c>
    </row>
    <row r="2485">
      <c r="A2485" s="6" t="inlineStr">
        <is>
          <t>TOTAL DPS</t>
        </is>
      </c>
      <c r="B2485" s="6">
        <f>SUM(O2450:O2472)</f>
        <v/>
      </c>
    </row>
    <row r="2486">
      <c r="A2486" t="inlineStr">
        <is>
          <t>Blizzard Final Attack trigger rate (this block's own Q/R)</t>
        </is>
      </c>
      <c r="B2486">
        <f>IF(AND(Inputs!$B$38&lt;&gt;"pvp",Inputs!$B$43&gt;0),(((C2453=TRUE)*R2453*1)+((C2454=TRUE)*R2454*1)+((C2456=TRUE)*R2456*1)+((C2457=TRUE)*R2457*3)+((C2459=TRUE)*R2459*1))/Inputs!$B$43,((C2453=TRUE)*Q2453*1)+((C2454=TRUE)*Q2454*1)+((C2456=TRUE)*Q2456*1)+((C2457=TRUE)*Q2457*3)+((C2459=TRUE)*Q2459*1))+B2481</f>
        <v/>
      </c>
    </row>
    <row r="2489">
      <c r="A2489" s="6" t="inlineStr">
        <is>
          <t>Stat: Secret Map (Equip)</t>
        </is>
      </c>
    </row>
    <row r="2490">
      <c r="A2490" s="5" t="inlineStr">
        <is>
          <t>Key</t>
        </is>
      </c>
      <c r="B2490" s="5" t="inlineStr">
        <is>
          <t>Name</t>
        </is>
      </c>
      <c r="C2490" s="5" t="inlineStr">
        <is>
          <t>Unlocked</t>
        </is>
      </c>
      <c r="D2490" s="5" t="inlineStr">
        <is>
          <t>InputLevel</t>
        </is>
      </c>
      <c r="E2490" s="5" t="inlineStr">
        <is>
          <t>Factor</t>
        </is>
      </c>
      <c r="F2490" s="5" t="inlineStr">
        <is>
          <t>CoefficientPercent</t>
        </is>
      </c>
      <c r="G2490" s="5" t="inlineStr">
        <is>
          <t>EffectiveHits</t>
        </is>
      </c>
      <c r="H2490" s="5" t="inlineStr">
        <is>
          <t>ProcProbability</t>
        </is>
      </c>
      <c r="I2490" s="5" t="inlineStr">
        <is>
          <t>MapleHeroMultiplier</t>
        </is>
      </c>
      <c r="J2490" s="5" t="inlineStr">
        <is>
          <t>BaseDamage</t>
        </is>
      </c>
      <c r="K2490" s="5" t="inlineStr">
        <is>
          <t>BaseHitDamage</t>
        </is>
      </c>
      <c r="L2490" s="5" t="inlineStr">
        <is>
          <t>NonCritAvg</t>
        </is>
      </c>
      <c r="M2490" s="5" t="inlineStr">
        <is>
          <t>CritAvg</t>
        </is>
      </c>
      <c r="N2490" s="5" t="inlineStr">
        <is>
          <t>ExpectedDamage(perHit)</t>
        </is>
      </c>
      <c r="O2490" s="5" t="inlineStr">
        <is>
          <t>DPS</t>
        </is>
      </c>
      <c r="P2490" s="5" t="inlineStr">
        <is>
          <t>% of Total</t>
        </is>
      </c>
      <c r="R2490" t="inlineStr">
        <is>
          <t>helpers</t>
        </is>
      </c>
    </row>
    <row r="2491">
      <c r="A2491">
        <f>Skills!A2</f>
        <v/>
      </c>
      <c r="B2491">
        <f>Skills!B2</f>
        <v/>
      </c>
      <c r="C2491">
        <f>Inputs!$B$3&gt;=100</f>
        <v/>
      </c>
      <c r="D2491" t="inlineStr"/>
      <c r="E2491" t="inlineStr"/>
      <c r="F2491">
        <f>T2493+Skills!N2</f>
        <v/>
      </c>
      <c r="G2491">
        <f>Calc!G2</f>
        <v/>
      </c>
      <c r="H2491">
        <f>Calc!H2</f>
        <v/>
      </c>
      <c r="I2491">
        <f>IF(Skills!T2&lt;&gt;"",1+(Skills!T2/10)*(Z2492/1000)/100,1)</f>
        <v/>
      </c>
      <c r="J2491">
        <f>((Inputs!$B$6*(1+Inputs!$B$7/100))+(((Inputs!$B$12*(1+Inputs!$B$13/100))-(Inputs!$B$12*(1+Inputs!$B$13/100)))+0.25*(Inputs!$B$14-Inputs!$B$14))*(1+Inputs!$B$7/100))*(F2491/100)</f>
        <v/>
      </c>
      <c r="K2491">
        <f>J2491*(1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2="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2491)</f>
        <v/>
      </c>
      <c r="L2491">
        <f>K2491*(MIN(Inputs!$B$22+(F2507-Calc!F18),(Inputs!$B$23+(IF(ArtifactsInput!$M$15,CHOOSE(ArtifactsInput!$N$15+1,25,30,35,40,45,50)/100*(Inputs!$B$11-Inputs!$B$11),0))))/100+(Inputs!$B$23+(IF(ArtifactsInput!$M$15,CHOOSE(ArtifactsInput!$N$15+1,25,30,35,40,45,50)/100*(Inputs!$B$11-Inputs!$B$11),0)))/100)/2</f>
        <v/>
      </c>
      <c r="M2491">
        <f>L2491*(1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1">
        <f>L2491*(1-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1">
        <f>(1-Summary!$B$11)*S2491+Summary!$B$11*U2491</f>
        <v/>
      </c>
      <c r="P2491">
        <f>IF(B2526=0,0,O2491/B2526)</f>
        <v/>
      </c>
      <c r="Q2491">
        <f>IFERROR(1/(IF(Inputs!$B$38="pvp",15,MAX(0.1,Skills!D2-IF(TRUE=TRUE,Inputs!$B$32,0)))*(1-IF(AND(ArtifactsInput!$M$27,Inputs!$B$4="Chapter Hunt"),CHOOSE(ArtifactsInput!$N$27+1,20,24,28,32,36,40),0)/100)),0)</f>
        <v/>
      </c>
      <c r="R2491" t="n">
        <v>0</v>
      </c>
      <c r="S2491">
        <f>IF(C2491,(Skills!F2*N2491*B2522)*IF(Inputs!$B$38="pvp",1,1+(Inputs!$B$20+Skills!O2+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2491*(1-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2491*(1-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491">
        <f>MAX(0,(Inputs!$B$3-100)*3)+Inputs!$B$28+Inputs!$B$29</f>
        <v/>
      </c>
      <c r="U2491">
        <f>IF(C2491,(Skills!F2*N2491*B2522)*IF(Inputs!$B$38="pvp",1,(1+(Inputs!$B$21+Skills!P2+B2517+(IF(ArtifactsInput!$M$33,CHOOSE(ArtifactsInput!$N$33+1,30,36,42,48,54,60),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491">
        <f>MAX(0,(Inputs!$B$3-100)*3)+Inputs!$B$28+Inputs!$B$29</f>
        <v/>
      </c>
    </row>
    <row r="2492">
      <c r="A2492">
        <f>Skills!A3</f>
        <v/>
      </c>
      <c r="B2492">
        <f>Skills!B3</f>
        <v/>
      </c>
      <c r="C2492">
        <f>Inputs!$B$3&gt;=15</f>
        <v/>
      </c>
      <c r="D2492">
        <f>IF(Skills!C3=1,60+Inputs!$B$25+Inputs!$B$29,IF(Skills!C3=2,90+Inputs!$B$26+Inputs!$B$29,IF(Skills!C3=3,120+Inputs!$B$27+Inputs!$B$29,MAX(0,(Inputs!$B$3-100)*3)+Inputs!$B$28+Inputs!$B$29)))</f>
        <v/>
      </c>
      <c r="E2492">
        <f>INDEX(FactorTable!$B$2:$Y$301, MATCH(ROUND(MIN(300,MAX(1,D2492)),0), FactorTable!$A$2:$A$301,0), Skills!L3+1)</f>
        <v/>
      </c>
      <c r="F2492">
        <f>IF(Skills!M3=TRUE,(Skills!K3/10)*(E2492/1000),Skills!K3/10)+Skills!N3</f>
        <v/>
      </c>
      <c r="G2492">
        <f>Calc!G3</f>
        <v/>
      </c>
      <c r="H2492">
        <f>Calc!H3</f>
        <v/>
      </c>
      <c r="I2492">
        <f>IF(Skills!T3&lt;&gt;"",1+(Skills!T3/10)*(Z2492/1000)/100,1)</f>
        <v/>
      </c>
      <c r="J2492" t="inlineStr"/>
      <c r="K2492" t="inlineStr"/>
      <c r="L2492" t="inlineStr"/>
      <c r="M2492" t="inlineStr"/>
      <c r="N2492" t="inlineStr"/>
      <c r="O2492">
        <f>(1-Summary!$B$11)*S2492+Summary!$B$11*U2492</f>
        <v/>
      </c>
      <c r="P2492">
        <f>IF(B2526=0,0,O2492/B2526)</f>
        <v/>
      </c>
      <c r="Q2492">
        <f>IFERROR(1/(IF(Inputs!$B$38="pvp",15,MAX(0.1,Skills!D3-IF(TRUE=TRUE,Inputs!$B$32,0)))*(1-IF(AND(ArtifactsInput!$M$27,Inputs!$B$4="Chapter Hunt"),CHOOSE(ArtifactsInput!$N$27+1,20,24,28,32,36,40),0)/100)),0)</f>
        <v/>
      </c>
      <c r="R2492">
        <f>IF(AND(Inputs!$B$38&lt;&gt;"pvp",Inputs!$B$43&gt;0),IF(Inputs!$B$43&lt;=0,0,(INT(Inputs!$B$43/(IF(Inputs!$B$38="pvp",15,MAX(0.1,Skills!D3-IF(TRUE=TRUE,Inputs!$B$32,0)))*(1-IF(AND(ArtifactsInput!$M$27,Inputs!$B$4="Chapter Hunt"),CHOOSE(ArtifactsInput!$N$27+1,20,24,28,32,36,40),0)/100)))+1)),0)</f>
        <v/>
      </c>
      <c r="S2492" t="n">
        <v>0</v>
      </c>
      <c r="T2492">
        <f>INDEX(FactorTable!$B$2:$Y$301, MATCH(ROUND(MIN(300,MAX(1,T2491)),0), FactorTable!$A$2:$A$301,0), 22)</f>
        <v/>
      </c>
      <c r="U2492" t="n">
        <v>0</v>
      </c>
      <c r="Z2492">
        <f>INDEX(FactorTable!$B$2:$Y$301, MATCH(ROUND(MIN(300,MAX(1,Z2491)),0), FactorTable!$A$2:$A$301,0), 24)</f>
        <v/>
      </c>
    </row>
    <row r="2493">
      <c r="A2493">
        <f>Skills!A4</f>
        <v/>
      </c>
      <c r="B2493">
        <f>Skills!B4</f>
        <v/>
      </c>
      <c r="C2493">
        <f>Inputs!$B$3&gt;=40</f>
        <v/>
      </c>
      <c r="D2493">
        <f>IF(Skills!C4=1,60+Inputs!$B$25+Inputs!$B$29,IF(Skills!C4=2,90+Inputs!$B$26+Inputs!$B$29,IF(Skills!C4=3,120+Inputs!$B$27+Inputs!$B$29,MAX(0,(Inputs!$B$3-100)*3)+Inputs!$B$28+Inputs!$B$29)))</f>
        <v/>
      </c>
      <c r="E2493">
        <f>INDEX(FactorTable!$B$2:$Y$301, MATCH(ROUND(MIN(300,MAX(1,D2493)),0), FactorTable!$A$2:$A$301,0), Skills!L4+1)</f>
        <v/>
      </c>
      <c r="F2493">
        <f>IF(Skills!M4=TRUE,(Skills!K4/10)*(E2493/1000),Skills!K4/10)+Skills!N4</f>
        <v/>
      </c>
      <c r="G2493">
        <f>Calc!G4</f>
        <v/>
      </c>
      <c r="H2493">
        <f>Calc!H4</f>
        <v/>
      </c>
      <c r="I2493">
        <f>IF(Skills!T4&lt;&gt;"",1+(Skills!T4/10)*(Z2492/1000)/100,1)</f>
        <v/>
      </c>
      <c r="J2493" t="inlineStr"/>
      <c r="K2493" t="inlineStr"/>
      <c r="L2493" t="inlineStr"/>
      <c r="M2493" t="inlineStr"/>
      <c r="N2493" t="inlineStr"/>
      <c r="O2493">
        <f>(1-Summary!$B$11)*S2493+Summary!$B$11*U2493</f>
        <v/>
      </c>
      <c r="P2493">
        <f>IF(B2526=0,0,O2493/B2526)</f>
        <v/>
      </c>
      <c r="Q2493">
        <f>IFERROR(1/(IF(Inputs!$B$38="pvp",15,MAX(0.1,Skills!D4-IF(TRUE=TRUE,Inputs!$B$32,0)))*(1-IF(AND(ArtifactsInput!$M$27,Inputs!$B$4="Chapter Hunt"),CHOOSE(ArtifactsInput!$N$27+1,20,24,28,32,36,40),0)/100)),0)</f>
        <v/>
      </c>
      <c r="R2493">
        <f>IF(AND(Inputs!$B$38&lt;&gt;"pvp",Inputs!$B$43&gt;0),IF(Inputs!$B$43&lt;=0,0,(INT(Inputs!$B$43/(IF(Inputs!$B$38="pvp",15,MAX(0.1,Skills!D4-IF(TRUE=TRUE,Inputs!$B$32,0)))*(1-IF(AND(ArtifactsInput!$M$27,Inputs!$B$4="Chapter Hunt"),CHOOSE(ArtifactsInput!$N$27+1,20,24,28,32,36,40),0)/100)))+1)),0)</f>
        <v/>
      </c>
      <c r="S2493" t="n">
        <v>0</v>
      </c>
      <c r="T2493">
        <f>290*T2492/1000</f>
        <v/>
      </c>
      <c r="U2493" t="n">
        <v>0</v>
      </c>
    </row>
    <row r="2494">
      <c r="A2494">
        <f>Skills!A5</f>
        <v/>
      </c>
      <c r="B2494">
        <f>Skills!B5</f>
        <v/>
      </c>
      <c r="C2494">
        <f>Inputs!$B$3&gt;=38</f>
        <v/>
      </c>
      <c r="D2494">
        <f>IF(Skills!C5=1,60+Inputs!$B$25+Inputs!$B$29,IF(Skills!C5=2,90+Inputs!$B$26+Inputs!$B$29,IF(Skills!C5=3,120+Inputs!$B$27+Inputs!$B$29,MAX(0,(Inputs!$B$3-100)*3)+Inputs!$B$28+Inputs!$B$29)))</f>
        <v/>
      </c>
      <c r="E2494">
        <f>INDEX(FactorTable!$B$2:$Y$301, MATCH(ROUND(MIN(300,MAX(1,D2494)),0), FactorTable!$A$2:$A$301,0), Skills!L5+1)</f>
        <v/>
      </c>
      <c r="F2494">
        <f>IF(Skills!M5=TRUE,(Skills!K5/10)*(E2494/1000),Skills!K5/10)+Skills!N5</f>
        <v/>
      </c>
      <c r="G2494">
        <f>Calc!G5</f>
        <v/>
      </c>
      <c r="H2494">
        <f>Calc!H5</f>
        <v/>
      </c>
      <c r="I2494">
        <f>IF(Skills!T5&lt;&gt;"",1+(Skills!T5/10)*(Z2492/1000)/100,1)</f>
        <v/>
      </c>
      <c r="J2494">
        <f>((Inputs!$B$6*(1+Inputs!$B$7/100))+(((Inputs!$B$12*(1+Inputs!$B$13/100))-(Inputs!$B$12*(1+Inputs!$B$13/100)))+0.25*(Inputs!$B$14-Inputs!$B$14))*(1+Inputs!$B$7/100))*(F2494/100)</f>
        <v/>
      </c>
      <c r="K2494">
        <f>J2494*(1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5="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2494)</f>
        <v/>
      </c>
      <c r="L2494">
        <f>K2494*(MIN(Inputs!$B$22+(F2507-Calc!F18),(Inputs!$B$23+(IF(ArtifactsInput!$M$15,CHOOSE(ArtifactsInput!$N$15+1,25,30,35,40,45,50)/100*(Inputs!$B$11-Inputs!$B$11),0))))/100+(Inputs!$B$23+(IF(ArtifactsInput!$M$15,CHOOSE(ArtifactsInput!$N$15+1,25,30,35,40,45,50)/100*(Inputs!$B$11-Inputs!$B$11),0)))/100)/2</f>
        <v/>
      </c>
      <c r="M2494">
        <f>L2494*(1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4">
        <f>L2494*(1-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2494*(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4">
        <f>(1-Summary!$B$11)*S2494+Summary!$B$11*U2494</f>
        <v/>
      </c>
      <c r="P2494">
        <f>IF(B2526=0,0,O2494/B2526)</f>
        <v/>
      </c>
      <c r="Q2494">
        <f>IFERROR(1/(IF(Inputs!$B$38="pvp",15,MAX(0.1,Skills!D5-IF(TRUE=TRUE,Inputs!$B$32,0)))*(1-IF(AND(ArtifactsInput!$M$27,Inputs!$B$4="Chapter Hunt"),CHOOSE(ArtifactsInput!$N$27+1,20,24,28,32,36,40),0)/100)),0)</f>
        <v/>
      </c>
      <c r="R2494">
        <f>IF(AND(Inputs!$B$38&lt;&gt;"pvp",Inputs!$B$43&gt;0),IF(MAX(0,Inputs!$B$43-B2523)&lt;=0,0,(INT(MAX(0,Inputs!$B$43-B2523)/(IF(Inputs!$B$38="pvp",15,MAX(0.1,Skills!D5-IF(TRUE=TRUE,Inputs!$B$32,0)))*(1-IF(AND(ArtifactsInput!$M$27,Inputs!$B$4="Chapter Hunt"),CHOOSE(ArtifactsInput!$N$27+1,20,24,28,32,36,40),0)/100)))+1)),0)</f>
        <v/>
      </c>
      <c r="S2494">
        <f>IF(C2494,(H2494*N2494*IF(AND(Inputs!$B$38&lt;&gt;"pvp",Inputs!$B$43&gt;0),((Skills!F5*((R2494-1)*IF(Skills!G5&gt;0,Skills!H5/Skills!G5,1)+IF(Skills!G5&gt;0,MIN(Skills!H5,MAX(0,MAX(0,Inputs!$B$43-B2523)-((R2494-1)*(IF(Inputs!$B$38="pvp",15,MAX(0.1,Skills!D5-IF(TRUE=TRUE,Inputs!$B$32,0)))*(1-IF(AND(ArtifactsInput!$M$27,Inputs!$B$4="Chapter Hunt"),CHOOSE(ArtifactsInput!$N$27+1,20,24,28,32,36,40),0)/100)))))/Skills!G5,1)))/Inputs!$B$43),G2494*Q2494))*IF(Inputs!$B$38="pvp",1,1+(Inputs!$B$20+Skills!O5+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2494*(1-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2494*(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2494*(1-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2494*(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4">
        <f>IF(C2494,(H2494*N2494*IF(AND(Inputs!$B$38&lt;&gt;"pvp",Inputs!$B$43&gt;0),((Skills!F5*((R2494-1)*IF(Skills!G5&gt;0,Skills!H5/Skills!G5,1)+IF(Skills!G5&gt;0,MIN(Skills!H5,MAX(0,MAX(0,Inputs!$B$43-B2523)-((R2494-1)*(IF(Inputs!$B$38="pvp",15,MAX(0.1,Skills!D5-IF(TRUE=TRUE,Inputs!$B$32,0)))*(1-IF(AND(ArtifactsInput!$M$27,Inputs!$B$4="Chapter Hunt"),CHOOSE(ArtifactsInput!$N$27+1,20,24,28,32,36,40),0)/100)))))/Skills!G5,1)))/Inputs!$B$43),G2494*Q2494))*IF(Inputs!$B$38="pvp",1,(1+(Inputs!$B$21+Skills!P5+B2517+(IF(ArtifactsInput!$M$33,CHOOSE(ArtifactsInput!$N$33+1,30,36,42,48,54,60),0)))/100)*(MIN(Skills!Q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5">
      <c r="A2495">
        <f>Skills!A6</f>
        <v/>
      </c>
      <c r="B2495">
        <f>Skills!B6</f>
        <v/>
      </c>
      <c r="C2495">
        <f>Inputs!$B$3&gt;=63</f>
        <v/>
      </c>
      <c r="D2495">
        <f>IF(Skills!C6=1,60+Inputs!$B$25+Inputs!$B$29,IF(Skills!C6=2,90+Inputs!$B$26+Inputs!$B$29,IF(Skills!C6=3,120+Inputs!$B$27+Inputs!$B$29,MAX(0,(Inputs!$B$3-100)*3)+Inputs!$B$28+Inputs!$B$29)))</f>
        <v/>
      </c>
      <c r="E2495">
        <f>INDEX(FactorTable!$B$2:$Y$301, MATCH(ROUND(MIN(300,MAX(1,D2495)),0), FactorTable!$A$2:$A$301,0), Skills!L6+1)</f>
        <v/>
      </c>
      <c r="F2495">
        <f>IF(Skills!M6=TRUE,(Skills!K6/10)*(E2495/1000),Skills!K6/10)+Skills!N6</f>
        <v/>
      </c>
      <c r="G2495">
        <f>Calc!G6</f>
        <v/>
      </c>
      <c r="H2495">
        <f>Calc!H6</f>
        <v/>
      </c>
      <c r="I2495">
        <f>IF(Skills!T6&lt;&gt;"",1+(Skills!T6/10)*(Z2492/1000)/100,1)</f>
        <v/>
      </c>
      <c r="J2495">
        <f>((Inputs!$B$6*(1+Inputs!$B$7/100))+(((Inputs!$B$12*(1+Inputs!$B$13/100))-(Inputs!$B$12*(1+Inputs!$B$13/100)))+0.25*(Inputs!$B$14-Inputs!$B$14))*(1+Inputs!$B$7/100))*(F2495/100)</f>
        <v/>
      </c>
      <c r="K2495">
        <f>J2495*(1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6="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2495)</f>
        <v/>
      </c>
      <c r="L2495">
        <f>K2495*(MIN(Inputs!$B$22+(F2507-Calc!F18),(Inputs!$B$23+(IF(ArtifactsInput!$M$15,CHOOSE(ArtifactsInput!$N$15+1,25,30,35,40,45,50)/100*(Inputs!$B$11-Inputs!$B$11),0))))/100+(Inputs!$B$23+(IF(ArtifactsInput!$M$15,CHOOSE(ArtifactsInput!$N$15+1,25,30,35,40,45,50)/100*(Inputs!$B$11-Inputs!$B$11),0)))/100)/2</f>
        <v/>
      </c>
      <c r="M2495">
        <f>L2495*(1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5">
        <f>L2495*(1-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2495*(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5">
        <f>(1-Summary!$B$11)*S2495+Summary!$B$11*U2495</f>
        <v/>
      </c>
      <c r="P2495">
        <f>IF(B2526=0,0,O2495/B2526)</f>
        <v/>
      </c>
      <c r="Q2495">
        <f>IFERROR(1/(IF(Inputs!$B$38="pvp",15,MAX(0.1,Skills!D6-IF(TRUE=TRUE,Inputs!$B$32,0)))*(1-IF(AND(ArtifactsInput!$M$27,Inputs!$B$4="Chapter Hunt"),CHOOSE(ArtifactsInput!$N$27+1,20,24,28,32,36,40),0)/100)),0)</f>
        <v/>
      </c>
      <c r="R2495">
        <f>IF(AND(Inputs!$B$38&lt;&gt;"pvp",Inputs!$B$43&gt;0),IF(MAX(0,Inputs!$B$43-B2523)&lt;=0,0,(INT(MAX(0,Inputs!$B$43-B2523)/(IF(Inputs!$B$38="pvp",15,MAX(0.1,Skills!D6-IF(TRUE=TRUE,Inputs!$B$32,0)))*(1-IF(AND(ArtifactsInput!$M$27,Inputs!$B$4="Chapter Hunt"),CHOOSE(ArtifactsInput!$N$27+1,20,24,28,32,36,40),0)/100)))+1)),0)</f>
        <v/>
      </c>
      <c r="S2495">
        <f>IF(C2495,(H2495*N2495*IF(AND(Inputs!$B$38&lt;&gt;"pvp",Inputs!$B$43&gt;0),((Skills!F6*((R2495-1)*IF(Skills!G6&gt;0,Skills!H6/Skills!G6,1)+IF(Skills!G6&gt;0,MIN(Skills!H6,MAX(0,MAX(0,Inputs!$B$43-B2523)-((R2495-1)*(IF(Inputs!$B$38="pvp",15,MAX(0.1,Skills!D6-IF(TRUE=TRUE,Inputs!$B$32,0)))*(1-IF(AND(ArtifactsInput!$M$27,Inputs!$B$4="Chapter Hunt"),CHOOSE(ArtifactsInput!$N$27+1,20,24,28,32,36,40),0)/100)))))/Skills!G6,1)))/Inputs!$B$43),G2495*Q2495))*IF(Inputs!$B$38="pvp",1,1+(Inputs!$B$20+Skills!O6+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2495*(1-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2495*(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2495*(1-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2495*(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5">
        <f>IF(C2495,(H2495*N2495*IF(AND(Inputs!$B$38&lt;&gt;"pvp",Inputs!$B$43&gt;0),((Skills!F6*((R2495-1)*IF(Skills!G6&gt;0,Skills!H6/Skills!G6,1)+IF(Skills!G6&gt;0,MIN(Skills!H6,MAX(0,MAX(0,Inputs!$B$43-B2523)-((R2495-1)*(IF(Inputs!$B$38="pvp",15,MAX(0.1,Skills!D6-IF(TRUE=TRUE,Inputs!$B$32,0)))*(1-IF(AND(ArtifactsInput!$M$27,Inputs!$B$4="Chapter Hunt"),CHOOSE(ArtifactsInput!$N$27+1,20,24,28,32,36,40),0)/100)))))/Skills!G6,1)))/Inputs!$B$43),G2495*Q2495))*IF(Inputs!$B$38="pvp",1,(1+(Inputs!$B$21+Skills!P6+B2517+(IF(ArtifactsInput!$M$33,CHOOSE(ArtifactsInput!$N$33+1,30,36,42,48,54,60),0)))/100)*(MIN(Skills!Q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6">
      <c r="A2496">
        <f>Skills!A7</f>
        <v/>
      </c>
      <c r="B2496">
        <f>Skills!B7</f>
        <v/>
      </c>
      <c r="C2496">
        <f>Inputs!$B$3&gt;=69</f>
        <v/>
      </c>
      <c r="D2496">
        <f>IF(Skills!C7=1,60+Inputs!$B$25+Inputs!$B$29,IF(Skills!C7=2,90+Inputs!$B$26+Inputs!$B$29,IF(Skills!C7=3,120+Inputs!$B$27+Inputs!$B$29,MAX(0,(Inputs!$B$3-100)*3)+Inputs!$B$28+Inputs!$B$29)))</f>
        <v/>
      </c>
      <c r="E2496">
        <f>INDEX(FactorTable!$B$2:$Y$301, MATCH(ROUND(MIN(300,MAX(1,D2496)),0), FactorTable!$A$2:$A$301,0), Skills!L7+1)</f>
        <v/>
      </c>
      <c r="F2496">
        <f>IF(Skills!M7=TRUE,(Skills!K7/10)*(E2496/1000),Skills!K7/10)+Skills!N7</f>
        <v/>
      </c>
      <c r="G2496">
        <f>Calc!G7</f>
        <v/>
      </c>
      <c r="H2496">
        <f>Calc!H7</f>
        <v/>
      </c>
      <c r="I2496">
        <f>IF(Skills!T7&lt;&gt;"",1+(Skills!T7/10)*(Z2492/1000)/100,1)</f>
        <v/>
      </c>
      <c r="J2496">
        <f>((Inputs!$B$6*(1+Inputs!$B$7/100))+(((Inputs!$B$12*(1+Inputs!$B$13/100))-(Inputs!$B$12*(1+Inputs!$B$13/100)))+0.25*(Inputs!$B$14-Inputs!$B$14))*(1+Inputs!$B$7/100))*(F2496/100)</f>
        <v/>
      </c>
      <c r="K2496">
        <f>J2496*(1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7="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2496)</f>
        <v/>
      </c>
      <c r="L2496">
        <f>K2496*(MIN(Inputs!$B$22+(F2507-Calc!F18),(Inputs!$B$23+(IF(ArtifactsInput!$M$15,CHOOSE(ArtifactsInput!$N$15+1,25,30,35,40,45,50)/100*(Inputs!$B$11-Inputs!$B$11),0))))/100+(Inputs!$B$23+(IF(ArtifactsInput!$M$15,CHOOSE(ArtifactsInput!$N$15+1,25,30,35,40,45,50)/100*(Inputs!$B$11-Inputs!$B$11),0)))/100)/2</f>
        <v/>
      </c>
      <c r="M2496">
        <f>L2496*(1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6">
        <f>L2496*(1-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2496*(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6">
        <f>(1-Summary!$B$11)*S2496+Summary!$B$11*U2496</f>
        <v/>
      </c>
      <c r="P2496">
        <f>IF(B2526=0,0,O2496/B2526)</f>
        <v/>
      </c>
      <c r="Q2496">
        <f>IFERROR(1/(IF(Inputs!$B$38="pvp",15,MAX(0.1,Skills!D7-IF(TRUE=TRUE,Inputs!$B$32,0)))*(1-IF(AND(ArtifactsInput!$M$27,Inputs!$B$4="Chapter Hunt"),CHOOSE(ArtifactsInput!$N$27+1,20,24,28,32,36,40),0)/100)),0)</f>
        <v/>
      </c>
      <c r="R2496">
        <f>IF(AND(Inputs!$B$38&lt;&gt;"pvp",Inputs!$B$43&gt;0),IF(MAX(0,Inputs!$B$43-B2523)&lt;=0,0,(INT(MAX(0,Inputs!$B$43-B2523)/(IF(Inputs!$B$38="pvp",15,MAX(0.1,Skills!D7-IF(TRUE=TRUE,Inputs!$B$32,0)))*(1-IF(AND(ArtifactsInput!$M$27,Inputs!$B$4="Chapter Hunt"),CHOOSE(ArtifactsInput!$N$27+1,20,24,28,32,36,40),0)/100)))+1)),0)</f>
        <v/>
      </c>
      <c r="S2496">
        <f>IF(C2496,(H2496*N2496*IF(AND(Inputs!$B$38&lt;&gt;"pvp",Inputs!$B$43&gt;0),((Skills!F7*((R2496-1)*IF(Skills!G7&gt;0,Skills!H7/Skills!G7,1)+IF(Skills!G7&gt;0,MIN(Skills!H7,MAX(0,MAX(0,Inputs!$B$43-B2523)-((R2496-1)*(IF(Inputs!$B$38="pvp",15,MAX(0.1,Skills!D7-IF(TRUE=TRUE,Inputs!$B$32,0)))*(1-IF(AND(ArtifactsInput!$M$27,Inputs!$B$4="Chapter Hunt"),CHOOSE(ArtifactsInput!$N$27+1,20,24,28,32,36,40),0)/100)))))/Skills!G7,1)))/Inputs!$B$43),G2496*Q2496))*IF(Inputs!$B$38="pvp",1,1+(Inputs!$B$20+Skills!O7+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2496*(1-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2496*(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2496*(1-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2496*(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6">
        <f>IF(C2496,(H2496*N2496*IF(AND(Inputs!$B$38&lt;&gt;"pvp",Inputs!$B$43&gt;0),((Skills!F7*((R2496-1)*IF(Skills!G7&gt;0,Skills!H7/Skills!G7,1)+IF(Skills!G7&gt;0,MIN(Skills!H7,MAX(0,MAX(0,Inputs!$B$43-B2523)-((R2496-1)*(IF(Inputs!$B$38="pvp",15,MAX(0.1,Skills!D7-IF(TRUE=TRUE,Inputs!$B$32,0)))*(1-IF(AND(ArtifactsInput!$M$27,Inputs!$B$4="Chapter Hunt"),CHOOSE(ArtifactsInput!$N$27+1,20,24,28,32,36,40),0)/100)))))/Skills!G7,1)))/Inputs!$B$43),G2496*Q2496))*IF(Inputs!$B$38="pvp",1,(1+(Inputs!$B$21+Skills!P7+B2517+(IF(ArtifactsInput!$M$33,CHOOSE(ArtifactsInput!$N$33+1,30,36,42,48,54,60),0)))/100)*(MIN(Skills!Q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7">
      <c r="A2497">
        <f>Skills!A8</f>
        <v/>
      </c>
      <c r="B2497">
        <f>Skills!B8</f>
        <v/>
      </c>
      <c r="C2497">
        <f>Inputs!$B$3&gt;=103</f>
        <v/>
      </c>
      <c r="D2497">
        <f>IF(Skills!C8=1,60+Inputs!$B$25+Inputs!$B$29,IF(Skills!C8=2,90+Inputs!$B$26+Inputs!$B$29,IF(Skills!C8=3,120+Inputs!$B$27+Inputs!$B$29,MAX(0,(Inputs!$B$3-100)*3)+Inputs!$B$28+Inputs!$B$29)))</f>
        <v/>
      </c>
      <c r="E2497">
        <f>INDEX(FactorTable!$B$2:$Y$301, MATCH(ROUND(MIN(300,MAX(1,D2497)),0), FactorTable!$A$2:$A$301,0), Skills!L8+1)</f>
        <v/>
      </c>
      <c r="F2497">
        <f>IF(Skills!M8=TRUE,(Skills!K8/10)*(E2497/1000),Skills!K8/10)+Skills!N8</f>
        <v/>
      </c>
      <c r="G2497">
        <f>Calc!G8</f>
        <v/>
      </c>
      <c r="H2497">
        <f>Calc!H8</f>
        <v/>
      </c>
      <c r="I2497">
        <f>IF(Skills!T8&lt;&gt;"",1+(Skills!T8/10)*(Z2492/1000)/100,1)</f>
        <v/>
      </c>
      <c r="J2497">
        <f>((Inputs!$B$6*(1+Inputs!$B$7/100))+(((Inputs!$B$12*(1+Inputs!$B$13/100))-(Inputs!$B$12*(1+Inputs!$B$13/100)))+0.25*(Inputs!$B$14-Inputs!$B$14))*(1+Inputs!$B$7/100))*(F2497/100)</f>
        <v/>
      </c>
      <c r="K2497">
        <f>J2497*(1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8="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2497)</f>
        <v/>
      </c>
      <c r="L2497">
        <f>K2497*(MIN(Inputs!$B$22+(F2507-Calc!F18),(Inputs!$B$23+(IF(ArtifactsInput!$M$15,CHOOSE(ArtifactsInput!$N$15+1,25,30,35,40,45,50)/100*(Inputs!$B$11-Inputs!$B$11),0))))/100+(Inputs!$B$23+(IF(ArtifactsInput!$M$15,CHOOSE(ArtifactsInput!$N$15+1,25,30,35,40,45,50)/100*(Inputs!$B$11-Inputs!$B$11),0)))/100)/2</f>
        <v/>
      </c>
      <c r="M2497">
        <f>L2497*(1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7">
        <f>L2497*(1-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2497*(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7">
        <f>(1-Summary!$B$11)*S2497+Summary!$B$11*U2497</f>
        <v/>
      </c>
      <c r="P2497">
        <f>IF(B2526=0,0,O2497/B2526)</f>
        <v/>
      </c>
      <c r="Q2497">
        <f>IFERROR(1/(IF(Inputs!$B$38="pvp",15,MAX(0.1,Skills!D8-IF(TRUE=TRUE,Inputs!$B$32,0)))*(1-IF(AND(ArtifactsInput!$M$27,Inputs!$B$4="Chapter Hunt"),CHOOSE(ArtifactsInput!$N$27+1,20,24,28,32,36,40),0)/100)),0)</f>
        <v/>
      </c>
      <c r="R2497">
        <f>IF(AND(Inputs!$B$38&lt;&gt;"pvp",Inputs!$B$43&gt;0),IF(MAX(0,Inputs!$B$43-B2523)&lt;=0,0,(INT(MAX(0,Inputs!$B$43-B2523)/(IF(Inputs!$B$38="pvp",15,MAX(0.1,Skills!D8-IF(TRUE=TRUE,Inputs!$B$32,0)))*(1-IF(AND(ArtifactsInput!$M$27,Inputs!$B$4="Chapter Hunt"),CHOOSE(ArtifactsInput!$N$27+1,20,24,28,32,36,40),0)/100)))+1)),0)</f>
        <v/>
      </c>
      <c r="S2497">
        <f>IF(C2497,(H2497*N2497*IF(AND(Inputs!$B$38&lt;&gt;"pvp",Inputs!$B$43&gt;0),((Skills!F8*((R2497-1)*IF(Skills!G8&gt;0,Skills!H8/Skills!G8,1)+IF(Skills!G8&gt;0,MIN(Skills!H8,MAX(0,MAX(0,Inputs!$B$43-B2523)-((R2497-1)*(IF(Inputs!$B$38="pvp",15,MAX(0.1,Skills!D8-IF(TRUE=TRUE,Inputs!$B$32,0)))*(1-IF(AND(ArtifactsInput!$M$27,Inputs!$B$4="Chapter Hunt"),CHOOSE(ArtifactsInput!$N$27+1,20,24,28,32,36,40),0)/100)))))/Skills!G8,1)))/Inputs!$B$43),G2497*Q2497))*IF(Inputs!$B$38="pvp",1,1+(Inputs!$B$20+Skills!O8+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2497*(1-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2497*(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2497*(1-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2497*(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7">
        <f>IF(C2497,(H2497*N2497*IF(AND(Inputs!$B$38&lt;&gt;"pvp",Inputs!$B$43&gt;0),((Skills!F8*((R2497-1)*IF(Skills!G8&gt;0,Skills!H8/Skills!G8,1)+IF(Skills!G8&gt;0,MIN(Skills!H8,MAX(0,MAX(0,Inputs!$B$43-B2523)-((R2497-1)*(IF(Inputs!$B$38="pvp",15,MAX(0.1,Skills!D8-IF(TRUE=TRUE,Inputs!$B$32,0)))*(1-IF(AND(ArtifactsInput!$M$27,Inputs!$B$4="Chapter Hunt"),CHOOSE(ArtifactsInput!$N$27+1,20,24,28,32,36,40),0)/100)))))/Skills!G8,1)))/Inputs!$B$43),G2497*Q2497))*IF(Inputs!$B$38="pvp",1,(1+(Inputs!$B$21+Skills!P8+B2517+(IF(ArtifactsInput!$M$33,CHOOSE(ArtifactsInput!$N$33+1,30,36,42,48,54,60),0)))/100)*(MIN(Skills!Q8,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8">
      <c r="A2498">
        <f>Skills!A9</f>
        <v/>
      </c>
      <c r="B2498">
        <f>Skills!B9</f>
        <v/>
      </c>
      <c r="C2498">
        <f>Inputs!$B$3&gt;=105</f>
        <v/>
      </c>
      <c r="D2498">
        <f>IF(Skills!C9=1,60+Inputs!$B$25+Inputs!$B$29,IF(Skills!C9=2,90+Inputs!$B$26+Inputs!$B$29,IF(Skills!C9=3,120+Inputs!$B$27+Inputs!$B$29,MAX(0,(Inputs!$B$3-100)*3)+Inputs!$B$28+Inputs!$B$29)))</f>
        <v/>
      </c>
      <c r="E2498">
        <f>INDEX(FactorTable!$B$2:$Y$301, MATCH(ROUND(MIN(300,MAX(1,D2498)),0), FactorTable!$A$2:$A$301,0), Skills!L9+1)</f>
        <v/>
      </c>
      <c r="F2498">
        <f>IF(Skills!M9=TRUE,(Skills!K9/10)*(E2498/1000),Skills!K9/10)+Skills!N9</f>
        <v/>
      </c>
      <c r="G2498">
        <f>Calc!G9</f>
        <v/>
      </c>
      <c r="H2498">
        <f>Calc!H9</f>
        <v/>
      </c>
      <c r="I2498">
        <f>IF(Skills!T9&lt;&gt;"",1+(Skills!T9/10)*(Z2492/1000)/100,1)</f>
        <v/>
      </c>
      <c r="J2498">
        <f>((Inputs!$B$6*(1+Inputs!$B$7/100))+(((Inputs!$B$12*(1+Inputs!$B$13/100))-(Inputs!$B$12*(1+Inputs!$B$13/100)))+0.25*(Inputs!$B$14-Inputs!$B$14))*(1+Inputs!$B$7/100))*(F2498/100)</f>
        <v/>
      </c>
      <c r="K2498">
        <f>J2498*(1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9="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2498)</f>
        <v/>
      </c>
      <c r="L2498">
        <f>K2498*(MIN(Inputs!$B$22+(F2507-Calc!F18),(Inputs!$B$23+(IF(ArtifactsInput!$M$15,CHOOSE(ArtifactsInput!$N$15+1,25,30,35,40,45,50)/100*(Inputs!$B$11-Inputs!$B$11),0))))/100+(Inputs!$B$23+(IF(ArtifactsInput!$M$15,CHOOSE(ArtifactsInput!$N$15+1,25,30,35,40,45,50)/100*(Inputs!$B$11-Inputs!$B$11),0)))/100)/2</f>
        <v/>
      </c>
      <c r="M2498">
        <f>L2498*(1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8">
        <f>L2498*(1-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2498*(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8">
        <f>(1-Summary!$B$11)*S2498+Summary!$B$11*U2498</f>
        <v/>
      </c>
      <c r="P2498">
        <f>IF(B2526=0,0,O2498/B2526)</f>
        <v/>
      </c>
      <c r="Q2498">
        <f>IFERROR(1/(IF(Inputs!$B$38="pvp",15,MAX(0.1,Skills!D9-IF(TRUE=TRUE,Inputs!$B$32,0)))*(1-IF(AND(ArtifactsInput!$M$27,Inputs!$B$4="Chapter Hunt"),CHOOSE(ArtifactsInput!$N$27+1,20,24,28,32,36,40),0)/100)),0)</f>
        <v/>
      </c>
      <c r="R2498">
        <f>IF(AND(Inputs!$B$38&lt;&gt;"pvp",Inputs!$B$43&gt;0),IF(MAX(0,Inputs!$B$43-B2523)&lt;=0,0,(INT(MAX(0,Inputs!$B$43-B2523)/(IF(Inputs!$B$38="pvp",15,MAX(0.1,Skills!D9-IF(TRUE=TRUE,Inputs!$B$32,0)))*(1-IF(AND(ArtifactsInput!$M$27,Inputs!$B$4="Chapter Hunt"),CHOOSE(ArtifactsInput!$N$27+1,20,24,28,32,36,40),0)/100)))+1)),0)</f>
        <v/>
      </c>
      <c r="S2498">
        <f>IF(C2498,(H2498*N2498*IF(AND(Inputs!$B$38&lt;&gt;"pvp",Inputs!$B$43&gt;0),((Skills!F9*((R2498-1)*IF(Skills!G9&gt;0,Skills!H9/Skills!G9,1)+IF(Skills!G9&gt;0,MIN(Skills!H9,MAX(0,MAX(0,Inputs!$B$43-B2523)-((R2498-1)*(IF(Inputs!$B$38="pvp",15,MAX(0.1,Skills!D9-IF(TRUE=TRUE,Inputs!$B$32,0)))*(1-IF(AND(ArtifactsInput!$M$27,Inputs!$B$4="Chapter Hunt"),CHOOSE(ArtifactsInput!$N$27+1,20,24,28,32,36,40),0)/100)))))/Skills!G9,1)))/Inputs!$B$43),G2498*Q2498))*IF(Inputs!$B$38="pvp",1,1+(Inputs!$B$20+Skills!O9+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2498*(1-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2498*(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2498*(1-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2498*(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8">
        <f>IF(C2498,(H2498*N2498*IF(AND(Inputs!$B$38&lt;&gt;"pvp",Inputs!$B$43&gt;0),((Skills!F9*((R2498-1)*IF(Skills!G9&gt;0,Skills!H9/Skills!G9,1)+IF(Skills!G9&gt;0,MIN(Skills!H9,MAX(0,MAX(0,Inputs!$B$43-B2523)-((R2498-1)*(IF(Inputs!$B$38="pvp",15,MAX(0.1,Skills!D9-IF(TRUE=TRUE,Inputs!$B$32,0)))*(1-IF(AND(ArtifactsInput!$M$27,Inputs!$B$4="Chapter Hunt"),CHOOSE(ArtifactsInput!$N$27+1,20,24,28,32,36,40),0)/100)))))/Skills!G9,1)))/Inputs!$B$43),G2498*Q2498))*IF(Inputs!$B$38="pvp",1,(1+(Inputs!$B$21+Skills!P9+B2517+(IF(ArtifactsInput!$M$33,CHOOSE(ArtifactsInput!$N$33+1,30,36,42,48,54,60),0)))/100)*(MIN(Skills!Q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99">
      <c r="A2499">
        <f>Skills!A10</f>
        <v/>
      </c>
      <c r="B2499">
        <f>Skills!B10</f>
        <v/>
      </c>
      <c r="C2499">
        <f>Inputs!$B$3&gt;=113</f>
        <v/>
      </c>
      <c r="D2499">
        <f>IF(Skills!C10=1,60+Inputs!$B$25+Inputs!$B$29,IF(Skills!C10=2,90+Inputs!$B$26+Inputs!$B$29,IF(Skills!C10=3,120+Inputs!$B$27+Inputs!$B$29,MAX(0,(Inputs!$B$3-100)*3)+Inputs!$B$28+Inputs!$B$29)))</f>
        <v/>
      </c>
      <c r="E2499">
        <f>INDEX(FactorTable!$B$2:$Y$301, MATCH(ROUND(MIN(300,MAX(1,D2499)),0), FactorTable!$A$2:$A$301,0), Skills!L10+1)</f>
        <v/>
      </c>
      <c r="F2499">
        <f>IF(Skills!M10=TRUE,(Skills!K10/10)*(E2499/1000),Skills!K10/10)+Skills!N10</f>
        <v/>
      </c>
      <c r="G2499">
        <f>Calc!G10</f>
        <v/>
      </c>
      <c r="H2499">
        <f>Calc!H10</f>
        <v/>
      </c>
      <c r="I2499">
        <f>IF(Skills!T10&lt;&gt;"",1+(Skills!T10/10)*(Z2492/1000)/100,1)</f>
        <v/>
      </c>
      <c r="J2499">
        <f>((Inputs!$B$6*(1+Inputs!$B$7/100))+(((Inputs!$B$12*(1+Inputs!$B$13/100))-(Inputs!$B$12*(1+Inputs!$B$13/100)))+0.25*(Inputs!$B$14-Inputs!$B$14))*(1+Inputs!$B$7/100))*(F2499/100)</f>
        <v/>
      </c>
      <c r="K2499">
        <f>J2499*(1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10="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2499)</f>
        <v/>
      </c>
      <c r="L2499">
        <f>K2499*(MIN(Inputs!$B$22+(F2507-Calc!F18),(Inputs!$B$23+(IF(ArtifactsInput!$M$15,CHOOSE(ArtifactsInput!$N$15+1,25,30,35,40,45,50)/100*(Inputs!$B$11-Inputs!$B$11),0))))/100+(Inputs!$B$23+(IF(ArtifactsInput!$M$15,CHOOSE(ArtifactsInput!$N$15+1,25,30,35,40,45,50)/100*(Inputs!$B$11-Inputs!$B$11),0)))/100)/2</f>
        <v/>
      </c>
      <c r="M2499">
        <f>L2499*(1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99">
        <f>L2499*(1-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2499*(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99">
        <f>(1-Summary!$B$11)*S2499+Summary!$B$11*U2499</f>
        <v/>
      </c>
      <c r="P2499">
        <f>IF(B2526=0,0,O2499/B2526)</f>
        <v/>
      </c>
      <c r="Q2499">
        <f>IFERROR(1/(IF(Inputs!$B$38="pvp",15,MAX(0.1,Skills!D10-IF(TRUE=TRUE,Inputs!$B$32,0)))*(1-IF(AND(ArtifactsInput!$M$27,Inputs!$B$4="Chapter Hunt"),CHOOSE(ArtifactsInput!$N$27+1,20,24,28,32,36,40),0)/100)),0)</f>
        <v/>
      </c>
      <c r="R2499" t="n">
        <v>0</v>
      </c>
      <c r="S2499">
        <f>IF(C2499,((H2499*B2527)/(1+Skills!G10*H2499*B2527)*N2499)*IF(Inputs!$B$38="pvp",1,1+(Inputs!$B$20+Skills!O10+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2499*(1-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2499*(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2499*(1-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2499*(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99">
        <f>IF(C2499,((H2499*B2527)/(1+Skills!G10*H2499*B2527)*N2499)*IF(Inputs!$B$38="pvp",1,(1+(Inputs!$B$21+Skills!P10+B2517+(IF(ArtifactsInput!$M$33,CHOOSE(ArtifactsInput!$N$33+1,30,36,42,48,54,60),0)))/100)*(MIN(Skills!Q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0">
      <c r="A2500">
        <f>Skills!A11</f>
        <v/>
      </c>
      <c r="B2500">
        <f>Skills!B11</f>
        <v/>
      </c>
      <c r="C2500">
        <f>Inputs!$B$3&gt;=107</f>
        <v/>
      </c>
      <c r="D2500">
        <f>IF(Skills!C11=1,60+Inputs!$B$25+Inputs!$B$29,IF(Skills!C11=2,90+Inputs!$B$26+Inputs!$B$29,IF(Skills!C11=3,120+Inputs!$B$27+Inputs!$B$29,MAX(0,(Inputs!$B$3-100)*3)+Inputs!$B$28+Inputs!$B$29)))</f>
        <v/>
      </c>
      <c r="E2500">
        <f>INDEX(FactorTable!$B$2:$Y$301, MATCH(ROUND(MIN(300,MAX(1,D2500)),0), FactorTable!$A$2:$A$301,0), Skills!L11+1)</f>
        <v/>
      </c>
      <c r="F2500">
        <f>IF(Skills!M11=TRUE,(Skills!K11/10)*(E2500/1000),Skills!K11/10)+Skills!N11</f>
        <v/>
      </c>
      <c r="G2500">
        <f>Calc!G11</f>
        <v/>
      </c>
      <c r="H2500">
        <f>Calc!H11</f>
        <v/>
      </c>
      <c r="I2500">
        <f>IF(Skills!T11&lt;&gt;"",1+(Skills!T11/10)*(Z2492/1000)/100,1)</f>
        <v/>
      </c>
      <c r="J2500">
        <f>((Inputs!$B$6*(1+Inputs!$B$7/100))+(((Inputs!$B$12*(1+Inputs!$B$13/100))-(Inputs!$B$12*(1+Inputs!$B$13/100)))+0.25*(Inputs!$B$14-Inputs!$B$14))*(1+Inputs!$B$7/100))*(F2500/100)</f>
        <v/>
      </c>
      <c r="K2500">
        <f>J2500*(1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11="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2500)</f>
        <v/>
      </c>
      <c r="L2500">
        <f>K2500*(MIN(Inputs!$B$22+(F2507-Calc!F18),(Inputs!$B$23+(IF(ArtifactsInput!$M$15,CHOOSE(ArtifactsInput!$N$15+1,25,30,35,40,45,50)/100*(Inputs!$B$11-Inputs!$B$11),0))))/100+(Inputs!$B$23+(IF(ArtifactsInput!$M$15,CHOOSE(ArtifactsInput!$N$15+1,25,30,35,40,45,50)/100*(Inputs!$B$11-Inputs!$B$11),0)))/100)/2</f>
        <v/>
      </c>
      <c r="M2500">
        <f>L2500*(1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0">
        <f>L2500*(1-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2500*(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0">
        <f>(1-Summary!$B$11)*S2500+Summary!$B$11*U2500</f>
        <v/>
      </c>
      <c r="P2500">
        <f>IF(B2526=0,0,O2500/B2526)</f>
        <v/>
      </c>
      <c r="Q2500">
        <f>IFERROR(1/(IF(Inputs!$B$38="pvp",15,MAX(0.1,Skills!D11-IF(TRUE=TRUE,Inputs!$B$32,0)))*(1-IF(AND(ArtifactsInput!$M$27,Inputs!$B$4="Chapter Hunt"),CHOOSE(ArtifactsInput!$N$27+1,20,24,28,32,36,40),0)/100)),0)</f>
        <v/>
      </c>
      <c r="R2500">
        <f>IF(AND(Inputs!$B$38&lt;&gt;"pvp",Inputs!$B$43&gt;0),IF(MAX(0,Inputs!$B$43-B2523)&lt;=0,0,(INT(MAX(0,Inputs!$B$43-B2523)/(IF(Inputs!$B$38="pvp",15,MAX(0.1,Skills!D11-IF(TRUE=TRUE,Inputs!$B$32,0)))*(1-IF(AND(ArtifactsInput!$M$27,Inputs!$B$4="Chapter Hunt"),CHOOSE(ArtifactsInput!$N$27+1,20,24,28,32,36,40),0)/100)))+1)),0)</f>
        <v/>
      </c>
      <c r="S2500">
        <f>IF(C2500,H2500*N2500*IF(AND(Inputs!$B$38&lt;&gt;"pvp",Inputs!$B$43&gt;0),((Skills!F11*((R2500-1)*IF(Skills!G11&gt;0,Skills!H11/Skills!G11,1)+IF(Skills!G11&gt;0,MIN(Skills!H11,MAX(0,MAX(0,Inputs!$B$43-B2523)-((R2500-1)*(IF(Inputs!$B$38="pvp",15,MAX(0.1,Skills!D11-IF(TRUE=TRUE,Inputs!$B$32,0)))*(1-IF(AND(ArtifactsInput!$M$27,Inputs!$B$4="Chapter Hunt"),CHOOSE(ArtifactsInput!$N$27+1,20,24,28,32,36,40),0)/100)))))/Skills!G11,1)))/Inputs!$B$43),G2500*Q2500)*0.5*IF(Inputs!$B$38="pvp",1,1+(Inputs!$B$20+Skills!O11+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2500*(1-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2500*(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2500*(1-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2500*(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0">
        <f>IF(C2500,H2500*N2500*IF(AND(Inputs!$B$38&lt;&gt;"pvp",Inputs!$B$43&gt;0),((Skills!F11*((R2500-1)*IF(Skills!G11&gt;0,Skills!H11/Skills!G11,1)+IF(Skills!G11&gt;0,MIN(Skills!H11,MAX(0,MAX(0,Inputs!$B$43-B2523)-((R2500-1)*(IF(Inputs!$B$38="pvp",15,MAX(0.1,Skills!D11-IF(TRUE=TRUE,Inputs!$B$32,0)))*(1-IF(AND(ArtifactsInput!$M$27,Inputs!$B$4="Chapter Hunt"),CHOOSE(ArtifactsInput!$N$27+1,20,24,28,32,36,40),0)/100)))))/Skills!G11,1)))/Inputs!$B$43),G2500*Q2500)*1*IF(Inputs!$B$38="pvp",1,(1+(Inputs!$B$21+Skills!P11+B2517+(IF(ArtifactsInput!$M$33,CHOOSE(ArtifactsInput!$N$33+1,30,36,42,48,54,60),0)))/100)*(MIN(Skills!Q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1">
      <c r="A2501">
        <f>Skills!A12</f>
        <v/>
      </c>
      <c r="B2501">
        <f>Skills!B12</f>
        <v/>
      </c>
      <c r="C2501">
        <f>Inputs!$B$3&gt;=115</f>
        <v/>
      </c>
      <c r="D2501">
        <f>IF(Skills!C12=1,60+Inputs!$B$25+Inputs!$B$29,IF(Skills!C12=2,90+Inputs!$B$26+Inputs!$B$29,IF(Skills!C12=3,120+Inputs!$B$27+Inputs!$B$29,MAX(0,(Inputs!$B$3-100)*3)+Inputs!$B$28+Inputs!$B$29)))</f>
        <v/>
      </c>
      <c r="E2501">
        <f>INDEX(FactorTable!$B$2:$Y$301, MATCH(ROUND(MIN(300,MAX(1,D2501)),0), FactorTable!$A$2:$A$301,0), Skills!L12+1)</f>
        <v/>
      </c>
      <c r="F2501">
        <f>IF(Skills!M12=TRUE,(Skills!K12/10)*(E2501/1000),Skills!K12/10)+Skills!N12</f>
        <v/>
      </c>
      <c r="G2501">
        <f>Calc!G12</f>
        <v/>
      </c>
      <c r="H2501">
        <f>Calc!H12</f>
        <v/>
      </c>
      <c r="I2501">
        <f>IF(Skills!T12&lt;&gt;"",1+(Skills!T12/10)*(Z2492/1000)/100,1)</f>
        <v/>
      </c>
      <c r="J2501">
        <f>((Inputs!$B$6*(1+Inputs!$B$7/100))+(((Inputs!$B$12*(1+Inputs!$B$13/100))-(Inputs!$B$12*(1+Inputs!$B$13/100)))+0.25*(Inputs!$B$14-Inputs!$B$14))*(1+Inputs!$B$7/100))*(F2501/100)</f>
        <v/>
      </c>
      <c r="K2501">
        <f>J2501*(1+((Inputs!$B$12*(1+Inputs!$B$13/100))*0.01+Inputs!$B$14*0.0025)/100)*(1+(Inputs!$B$15+B2518)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2504=TRUE,F2504,0)/100)*(1+IF(C2512=TRUE,F2512,0)/100)^5*(1+(IF(Skills!A12="CHAIN_LIGHTNING",Inputs!$B$17+((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2516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2501)</f>
        <v/>
      </c>
      <c r="L2501">
        <f>K2501*(MIN(Inputs!$B$22+(F2507-Calc!F18),(Inputs!$B$23+(IF(ArtifactsInput!$M$15,CHOOSE(ArtifactsInput!$N$15+1,25,30,35,40,45,50)/100*(Inputs!$B$11-Inputs!$B$11),0))))/100+(Inputs!$B$23+(IF(ArtifactsInput!$M$15,CHOOSE(ArtifactsInput!$N$15+1,25,30,35,40,45,50)/100*(Inputs!$B$11-Inputs!$B$11),0)))/100)/2</f>
        <v/>
      </c>
      <c r="M2501">
        <f>L2501*(1+(Inputs!$B$10+(F2510-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1">
        <f>L2501*(1-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2501*(MIN((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1">
        <f>(1-Summary!$B$11)*S2501+Summary!$B$11*U2501</f>
        <v/>
      </c>
      <c r="P2501">
        <f>IF(B2526=0,0,O2501/B2526)</f>
        <v/>
      </c>
      <c r="Q2501">
        <f>IFERROR(1/(IF(Inputs!$B$38="pvp",15,MAX(0.1,Skills!D12-IF(TRUE=TRUE,Inputs!$B$32,0)))*(1-IF(AND(ArtifactsInput!$M$27,Inputs!$B$4="Chapter Hunt"),CHOOSE(ArtifactsInput!$N$27+1,20,24,28,32,36,40),0)/100)),0)</f>
        <v/>
      </c>
      <c r="R2501">
        <f>IF(AND(Inputs!$B$38&lt;&gt;"pvp",Inputs!$B$43&gt;0),IF(MAX(0,Inputs!$B$43-B2523)&lt;=0,0,(INT(MAX(0,Inputs!$B$43-B2523)/(IF(Inputs!$B$38="pvp",15,MAX(0.1,Skills!D12-IF(TRUE=TRUE,Inputs!$B$32,0)))*(1-IF(AND(ArtifactsInput!$M$27,Inputs!$B$4="Chapter Hunt"),CHOOSE(ArtifactsInput!$N$27+1,20,24,28,32,36,40),0)/100)))+1)),0)</f>
        <v/>
      </c>
      <c r="S2501">
        <f>IF(C2501,(H2501*N2501*IF(AND(Inputs!$B$38&lt;&gt;"pvp",Inputs!$B$43&gt;0),((Skills!F12*((R2501-1)*IF(Skills!G12&gt;0,Skills!H12/Skills!G12,1)+IF(Skills!G12&gt;0,MIN(Skills!H12,MAX(0,MAX(0,Inputs!$B$43-B2523)-((R2501-1)*(IF(Inputs!$B$38="pvp",15,MAX(0.1,Skills!D12-IF(TRUE=TRUE,Inputs!$B$32,0)))*(1-IF(AND(ArtifactsInput!$M$27,Inputs!$B$4="Chapter Hunt"),CHOOSE(ArtifactsInput!$N$27+1,20,24,28,32,36,40),0)/100)))))/Skills!G12,1)))/Inputs!$B$43),G2501*Q2501))*IF(Inputs!$B$38="pvp",1,1+(Inputs!$B$20+Skills!O12+B2517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2501*(1-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2501*(1-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2501*(MIN(100,(Inputs!$B$9+((F2509-Calc!F20)+(F2508-Calc!F19))+(ArtifactsInput!$M$24-ArtifactsInput!$M$24)*CHOOSE(ArtifactsInput!$N$24+1,10,12,14,16,18,20)+(IF(AND(Inputs!$B$38&lt;&gt;"pvp",Inputs!$B$43=0),1,IF(IF(Inputs!$B$38="pvp",15,Inputs!$B$43)-(B2523)&lt;=0,1,MAX(0,IF(Inputs!$B$38="pvp",15,Inputs!$B$43)-MAX(5,B2523))/(IF(Inputs!$B$38="pvp",15,Inputs!$B$43)-(B2523)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1">
        <f>IF(C2501,(H2501*N2501*IF(AND(Inputs!$B$38&lt;&gt;"pvp",Inputs!$B$43&gt;0),((Skills!F12*((R2501-1)*IF(Skills!G12&gt;0,Skills!H12/Skills!G12,1)+IF(Skills!G12&gt;0,MIN(Skills!H12,MAX(0,MAX(0,Inputs!$B$43-B2523)-((R2501-1)*(IF(Inputs!$B$38="pvp",15,MAX(0.1,Skills!D12-IF(TRUE=TRUE,Inputs!$B$32,0)))*(1-IF(AND(ArtifactsInput!$M$27,Inputs!$B$4="Chapter Hunt"),CHOOSE(ArtifactsInput!$N$27+1,20,24,28,32,36,40),0)/100)))))/Skills!G12,1)))/Inputs!$B$43),G2501*Q2501))*IF(Inputs!$B$38="pvp",1,(1+(Inputs!$B$21+Skills!P12+B2517+(IF(ArtifactsInput!$M$33,CHOOSE(ArtifactsInput!$N$33+1,30,36,42,48,54,60),0)))/100)*(MIN(Skills!Q12,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2">
      <c r="A2502">
        <f>Skills!A13</f>
        <v/>
      </c>
      <c r="B2502">
        <f>Skills!B13</f>
        <v/>
      </c>
      <c r="C2502">
        <f>Inputs!$B$3&gt;=49</f>
        <v/>
      </c>
      <c r="D2502">
        <f>IF(Skills!C13=1,60+Inputs!$B$25+Inputs!$B$29,IF(Skills!C13=2,90+Inputs!$B$26+Inputs!$B$29,IF(Skills!C13=3,120+Inputs!$B$27+Inputs!$B$29,MAX(0,(Inputs!$B$3-100)*3)+Inputs!$B$28+Inputs!$B$29)))</f>
        <v/>
      </c>
      <c r="E2502">
        <f>INDEX(FactorTable!$B$2:$Y$301, MATCH(ROUND(MIN(300,MAX(1,D2502)),0), FactorTable!$A$2:$A$301,0), Skills!L13+1)</f>
        <v/>
      </c>
      <c r="F2502">
        <f>IF(Skills!M13=TRUE,(Skills!K13/10)*(E2502/1000),Skills!K13/10)+Skills!N13</f>
        <v/>
      </c>
      <c r="G2502">
        <f>Calc!G13</f>
        <v/>
      </c>
      <c r="H2502">
        <f>Calc!H13</f>
        <v/>
      </c>
      <c r="I2502">
        <f>IF(Skills!T13&lt;&gt;"",1+(Skills!T13/10)*(Z2492/1000)/100,1)</f>
        <v/>
      </c>
      <c r="J2502" t="inlineStr"/>
      <c r="K2502" t="inlineStr"/>
      <c r="L2502" t="inlineStr"/>
      <c r="M2502" t="inlineStr"/>
      <c r="N2502" t="inlineStr"/>
      <c r="O2502">
        <f>(1-Summary!$B$11)*S2502+Summary!$B$11*U2502</f>
        <v/>
      </c>
      <c r="P2502">
        <f>IF(B2526=0,0,O2502/B2526)</f>
        <v/>
      </c>
      <c r="Q2502">
        <f>IFERROR(1/(IF(Inputs!$B$38="pvp",15,MAX(0.1,Skills!D13-IF(TRUE=TRUE,Inputs!$B$32,0)))*(1-IF(AND(ArtifactsInput!$M$27,Inputs!$B$4="Chapter Hunt"),CHOOSE(ArtifactsInput!$N$27+1,20,24,28,32,36,40),0)/100)),0)</f>
        <v/>
      </c>
      <c r="R2502" t="n">
        <v>0</v>
      </c>
      <c r="S2502" t="n">
        <v>0</v>
      </c>
      <c r="U2502" t="n">
        <v>0</v>
      </c>
    </row>
    <row r="2503">
      <c r="A2503">
        <f>Skills!A14</f>
        <v/>
      </c>
      <c r="B2503">
        <f>Skills!B14</f>
        <v/>
      </c>
      <c r="C2503">
        <f>Inputs!$B$3&gt;=72</f>
        <v/>
      </c>
      <c r="D2503">
        <f>IF(Skills!C14=1,60+Inputs!$B$25+Inputs!$B$29,IF(Skills!C14=2,90+Inputs!$B$26+Inputs!$B$29,IF(Skills!C14=3,120+Inputs!$B$27+Inputs!$B$29,MAX(0,(Inputs!$B$3-100)*3)+Inputs!$B$28+Inputs!$B$29)))</f>
        <v/>
      </c>
      <c r="E2503">
        <f>INDEX(FactorTable!$B$2:$Y$301, MATCH(ROUND(MIN(300,MAX(1,D2503)),0), FactorTable!$A$2:$A$301,0), Skills!L14+1)</f>
        <v/>
      </c>
      <c r="F2503">
        <f>IF(Skills!M14=TRUE,(Skills!K14/10)*(E2503/1000),Skills!K14/10)+Skills!N14</f>
        <v/>
      </c>
      <c r="G2503">
        <f>Calc!G14</f>
        <v/>
      </c>
      <c r="H2503">
        <f>Calc!H14</f>
        <v/>
      </c>
      <c r="I2503">
        <f>IF(Skills!T14&lt;&gt;"",1+(Skills!T14/10)*(Z2492/1000)/100,1)</f>
        <v/>
      </c>
      <c r="J2503" t="inlineStr"/>
      <c r="K2503" t="inlineStr"/>
      <c r="L2503" t="inlineStr"/>
      <c r="M2503" t="inlineStr"/>
      <c r="N2503" t="inlineStr"/>
      <c r="O2503">
        <f>(1-Summary!$B$11)*S2503+Summary!$B$11*U2503</f>
        <v/>
      </c>
      <c r="P2503">
        <f>IF(B2526=0,0,O2503/B2526)</f>
        <v/>
      </c>
      <c r="Q2503">
        <f>IFERROR(1/(IF(Inputs!$B$38="pvp",15,MAX(0.1,Skills!D14-IF(TRUE=TRUE,Inputs!$B$32,0)))*(1-IF(AND(ArtifactsInput!$M$27,Inputs!$B$4="Chapter Hunt"),CHOOSE(ArtifactsInput!$N$27+1,20,24,28,32,36,40),0)/100)),0)</f>
        <v/>
      </c>
      <c r="R2503" t="n">
        <v>0</v>
      </c>
      <c r="S2503" t="n">
        <v>0</v>
      </c>
      <c r="U2503" t="n">
        <v>0</v>
      </c>
    </row>
    <row r="2504">
      <c r="A2504">
        <f>Skills!A15</f>
        <v/>
      </c>
      <c r="B2504">
        <f>Skills!B15</f>
        <v/>
      </c>
      <c r="C2504">
        <f>Inputs!$B$3&gt;=75</f>
        <v/>
      </c>
      <c r="D2504">
        <f>IF(Skills!C15=1,60+Inputs!$B$25+Inputs!$B$29,IF(Skills!C15=2,90+Inputs!$B$26+Inputs!$B$29,IF(Skills!C15=3,120+Inputs!$B$27+Inputs!$B$29,MAX(0,(Inputs!$B$3-100)*3)+Inputs!$B$28+Inputs!$B$29)))</f>
        <v/>
      </c>
      <c r="E2504">
        <f>INDEX(FactorTable!$B$2:$Y$301, MATCH(ROUND(MIN(300,MAX(1,D2504)),0), FactorTable!$A$2:$A$301,0), Skills!L15+1)</f>
        <v/>
      </c>
      <c r="F2504">
        <f>IF(Skills!M15=TRUE,(Skills!K15/10)*(E2504/1000),Skills!K15/10)+Skills!N15</f>
        <v/>
      </c>
      <c r="G2504">
        <f>Calc!G15</f>
        <v/>
      </c>
      <c r="H2504">
        <f>Calc!H15</f>
        <v/>
      </c>
      <c r="I2504">
        <f>IF(Skills!T15&lt;&gt;"",1+(Skills!T15/10)*(Z2492/1000)/100,1)</f>
        <v/>
      </c>
      <c r="J2504" t="inlineStr"/>
      <c r="K2504" t="inlineStr"/>
      <c r="L2504" t="inlineStr"/>
      <c r="M2504" t="inlineStr"/>
      <c r="N2504" t="inlineStr"/>
      <c r="O2504">
        <f>(1-Summary!$B$11)*S2504+Summary!$B$11*U2504</f>
        <v/>
      </c>
      <c r="P2504">
        <f>IF(B2526=0,0,O2504/B2526)</f>
        <v/>
      </c>
      <c r="Q2504">
        <f>IFERROR(1/(IF(Inputs!$B$38="pvp",15,MAX(0.1,Skills!D15-IF(TRUE=TRUE,Inputs!$B$32,0)))*(1-IF(AND(ArtifactsInput!$M$27,Inputs!$B$4="Chapter Hunt"),CHOOSE(ArtifactsInput!$N$27+1,20,24,28,32,36,40),0)/100)),0)</f>
        <v/>
      </c>
      <c r="R2504" t="n">
        <v>0</v>
      </c>
      <c r="S2504" t="n">
        <v>0</v>
      </c>
      <c r="U2504" t="n">
        <v>0</v>
      </c>
    </row>
    <row r="2505">
      <c r="A2505">
        <f>Skills!A16</f>
        <v/>
      </c>
      <c r="B2505">
        <f>Skills!B16</f>
        <v/>
      </c>
      <c r="C2505">
        <f>Inputs!$B$3&gt;=110</f>
        <v/>
      </c>
      <c r="D2505">
        <f>IF(Skills!C16=1,60+Inputs!$B$25+Inputs!$B$29,IF(Skills!C16=2,90+Inputs!$B$26+Inputs!$B$29,IF(Skills!C16=3,120+Inputs!$B$27+Inputs!$B$29,MAX(0,(Inputs!$B$3-100)*3)+Inputs!$B$28+Inputs!$B$29)))</f>
        <v/>
      </c>
      <c r="E2505">
        <f>INDEX(FactorTable!$B$2:$Y$301, MATCH(ROUND(MIN(300,MAX(1,D2505)),0), FactorTable!$A$2:$A$301,0), Skills!L16+1)</f>
        <v/>
      </c>
      <c r="F2505">
        <f>(Skills!K16/10)*(E2505/1000)*64/45+Skills!N16</f>
        <v/>
      </c>
      <c r="G2505">
        <f>Calc!G16</f>
        <v/>
      </c>
      <c r="H2505">
        <f>Calc!H16</f>
        <v/>
      </c>
      <c r="I2505">
        <f>IF(Skills!T16&lt;&gt;"",1+(Skills!T16/10)*(Z2492/1000)/100,1)</f>
        <v/>
      </c>
      <c r="J2505" t="inlineStr"/>
      <c r="K2505" t="inlineStr"/>
      <c r="L2505" t="inlineStr"/>
      <c r="M2505" t="inlineStr"/>
      <c r="N2505" t="inlineStr"/>
      <c r="O2505">
        <f>(1-Summary!$B$11)*S2505+Summary!$B$11*U2505</f>
        <v/>
      </c>
      <c r="P2505">
        <f>IF(B2526=0,0,O2505/B2526)</f>
        <v/>
      </c>
      <c r="Q2505">
        <f>IFERROR(1/(IF(Inputs!$B$38="pvp",15,MAX(0.1,Skills!D16-IF(TRUE=TRUE,Inputs!$B$32,0)))*(1-IF(AND(ArtifactsInput!$M$27,Inputs!$B$4="Chapter Hunt"),CHOOSE(ArtifactsInput!$N$27+1,20,24,28,32,36,40),0)/100)),0)</f>
        <v/>
      </c>
      <c r="R2505">
        <f>IF(AND(Inputs!$B$38&lt;&gt;"pvp",Inputs!$B$43&gt;0),IF(Inputs!$B$43&lt;=0,0,(INT(Inputs!$B$43/(IF(Inputs!$B$38="pvp",15,MAX(0.1,Skills!D16-IF(TRUE=TRUE,Inputs!$B$32,0)))*(1-IF(AND(ArtifactsInput!$M$27,Inputs!$B$4="Chapter Hunt"),CHOOSE(ArtifactsInput!$N$27+1,20,24,28,32,36,40),0)/100)))+1)),0)</f>
        <v/>
      </c>
      <c r="S2505" t="n">
        <v>0</v>
      </c>
      <c r="U2505" t="n">
        <v>0</v>
      </c>
    </row>
    <row r="2506">
      <c r="A2506">
        <f>Skills!A17</f>
        <v/>
      </c>
      <c r="B2506">
        <f>Skills!B17</f>
        <v/>
      </c>
      <c r="C2506">
        <f>Inputs!$B$3&gt;=33</f>
        <v/>
      </c>
      <c r="D2506">
        <f>IF(Skills!C17=1,60+Inputs!$B$25+Inputs!$B$29,IF(Skills!C17=2,90+Inputs!$B$26+Inputs!$B$29,IF(Skills!C17=3,120+Inputs!$B$27+Inputs!$B$29,MAX(0,(Inputs!$B$3-100)*3)+Inputs!$B$28+Inputs!$B$29)))</f>
        <v/>
      </c>
      <c r="E2506">
        <f>INDEX(FactorTable!$B$2:$Y$301, MATCH(ROUND(MIN(300,MAX(1,D2506)),0), FactorTable!$A$2:$A$301,0), Skills!L17+1)</f>
        <v/>
      </c>
      <c r="F2506">
        <f>IF(Skills!M17=TRUE,(Skills!K17/10)*(E2506/1000),Skills!K17/10)+Skills!N17</f>
        <v/>
      </c>
      <c r="G2506">
        <f>Calc!G17</f>
        <v/>
      </c>
      <c r="H2506">
        <f>Calc!H17</f>
        <v/>
      </c>
      <c r="I2506">
        <f>IF(Skills!T17&lt;&gt;"",1+(Skills!T17/10)*(Z2492/1000)/100,1)</f>
        <v/>
      </c>
      <c r="J2506" t="inlineStr"/>
      <c r="K2506" t="inlineStr"/>
      <c r="L2506" t="inlineStr"/>
      <c r="M2506" t="inlineStr"/>
      <c r="N2506" t="inlineStr"/>
      <c r="O2506">
        <f>(1-Summary!$B$11)*S2506+Summary!$B$11*U2506</f>
        <v/>
      </c>
      <c r="P2506">
        <f>IF(B2526=0,0,O2506/B2526)</f>
        <v/>
      </c>
      <c r="Q2506">
        <f>IFERROR(1/(IF(Inputs!$B$38="pvp",15,MAX(0.1,Skills!D17-IF(TRUE=TRUE,Inputs!$B$32,0)))*(1-IF(AND(ArtifactsInput!$M$27,Inputs!$B$4="Chapter Hunt"),CHOOSE(ArtifactsInput!$N$27+1,20,24,28,32,36,40),0)/100)),0)</f>
        <v/>
      </c>
      <c r="R2506" t="n">
        <v>0</v>
      </c>
      <c r="S2506" t="n">
        <v>0</v>
      </c>
      <c r="U2506" t="n">
        <v>0</v>
      </c>
    </row>
    <row r="2507">
      <c r="A2507">
        <f>Skills!A18</f>
        <v/>
      </c>
      <c r="B2507">
        <f>Skills!B18</f>
        <v/>
      </c>
      <c r="C2507">
        <f>Inputs!$B$3&gt;=43</f>
        <v/>
      </c>
      <c r="D2507">
        <f>IF(Skills!C18=1,60+Inputs!$B$25+Inputs!$B$29,IF(Skills!C18=2,90+Inputs!$B$26+Inputs!$B$29,IF(Skills!C18=3,120+Inputs!$B$27+Inputs!$B$29,MAX(0,(Inputs!$B$3-100)*3)+Inputs!$B$28+Inputs!$B$29)))</f>
        <v/>
      </c>
      <c r="E2507">
        <f>INDEX(FactorTable!$B$2:$Y$301, MATCH(ROUND(MIN(300,MAX(1,D2507)),0), FactorTable!$A$2:$A$301,0), Skills!L18+1)</f>
        <v/>
      </c>
      <c r="F2507">
        <f>IF(Skills!M18=TRUE,(Skills!K18/10)*(E2507/1000),Skills!K18/10)+Skills!N18</f>
        <v/>
      </c>
      <c r="G2507">
        <f>Calc!G18</f>
        <v/>
      </c>
      <c r="H2507">
        <f>Calc!H18</f>
        <v/>
      </c>
      <c r="I2507">
        <f>IF(Skills!T18&lt;&gt;"",1+(Skills!T18/10)*(Z2492/1000)/100,1)</f>
        <v/>
      </c>
      <c r="J2507" t="inlineStr"/>
      <c r="K2507" t="inlineStr"/>
      <c r="L2507" t="inlineStr"/>
      <c r="M2507" t="inlineStr"/>
      <c r="N2507" t="inlineStr"/>
      <c r="O2507">
        <f>(1-Summary!$B$11)*S2507+Summary!$B$11*U2507</f>
        <v/>
      </c>
      <c r="P2507">
        <f>IF(B2526=0,0,O2507/B2526)</f>
        <v/>
      </c>
      <c r="Q2507">
        <f>IFERROR(1/(IF(Inputs!$B$38="pvp",15,MAX(0.1,Skills!D18-IF(TRUE=TRUE,Inputs!$B$32,0)))*(1-IF(AND(ArtifactsInput!$M$27,Inputs!$B$4="Chapter Hunt"),CHOOSE(ArtifactsInput!$N$27+1,20,24,28,32,36,40),0)/100)),0)</f>
        <v/>
      </c>
      <c r="R2507" t="n">
        <v>0</v>
      </c>
      <c r="S2507" t="n">
        <v>0</v>
      </c>
      <c r="U2507" t="n">
        <v>0</v>
      </c>
    </row>
    <row r="2508">
      <c r="A2508">
        <f>Skills!A19</f>
        <v/>
      </c>
      <c r="B2508">
        <f>Skills!B19</f>
        <v/>
      </c>
      <c r="C2508">
        <f>Inputs!$B$3&gt;=50</f>
        <v/>
      </c>
      <c r="D2508">
        <f>IF(Skills!C19=1,60+Inputs!$B$25+Inputs!$B$29,IF(Skills!C19=2,90+Inputs!$B$26+Inputs!$B$29,IF(Skills!C19=3,120+Inputs!$B$27+Inputs!$B$29,MAX(0,(Inputs!$B$3-100)*3)+Inputs!$B$28+Inputs!$B$29)))</f>
        <v/>
      </c>
      <c r="E2508">
        <f>INDEX(FactorTable!$B$2:$Y$301, MATCH(ROUND(MIN(300,MAX(1,D2508)),0), FactorTable!$A$2:$A$301,0), Skills!L19+1)</f>
        <v/>
      </c>
      <c r="F2508">
        <f>IF(Skills!M19=TRUE,(Skills!K19/10)*(E2508/1000),Skills!K19/10)+Skills!N19</f>
        <v/>
      </c>
      <c r="G2508">
        <f>Calc!G19</f>
        <v/>
      </c>
      <c r="H2508">
        <f>Calc!H19</f>
        <v/>
      </c>
      <c r="I2508">
        <f>IF(Skills!T19&lt;&gt;"",1+(Skills!T19/10)*(Z2492/1000)/100,1)</f>
        <v/>
      </c>
      <c r="J2508" t="inlineStr"/>
      <c r="K2508" t="inlineStr"/>
      <c r="L2508" t="inlineStr"/>
      <c r="M2508" t="inlineStr"/>
      <c r="N2508" t="inlineStr"/>
      <c r="O2508">
        <f>(1-Summary!$B$11)*S2508+Summary!$B$11*U2508</f>
        <v/>
      </c>
      <c r="P2508">
        <f>IF(B2526=0,0,O2508/B2526)</f>
        <v/>
      </c>
      <c r="Q2508">
        <f>IFERROR(1/(IF(Inputs!$B$38="pvp",15,MAX(0.1,Skills!D19-IF(TRUE=TRUE,Inputs!$B$32,0)))*(1-IF(AND(ArtifactsInput!$M$27,Inputs!$B$4="Chapter Hunt"),CHOOSE(ArtifactsInput!$N$27+1,20,24,28,32,36,40),0)/100)),0)</f>
        <v/>
      </c>
      <c r="R2508" t="n">
        <v>0</v>
      </c>
      <c r="S2508" t="n">
        <v>0</v>
      </c>
      <c r="U2508" t="n">
        <v>0</v>
      </c>
    </row>
    <row r="2509">
      <c r="A2509">
        <f>Skills!A20</f>
        <v/>
      </c>
      <c r="B2509">
        <f>Skills!B20</f>
        <v/>
      </c>
      <c r="C2509">
        <f>Inputs!$B$3&gt;=74</f>
        <v/>
      </c>
      <c r="D2509">
        <f>IF(Skills!C20=1,60+Inputs!$B$25+Inputs!$B$29,IF(Skills!C20=2,90+Inputs!$B$26+Inputs!$B$29,IF(Skills!C20=3,120+Inputs!$B$27+Inputs!$B$29,MAX(0,(Inputs!$B$3-100)*3)+Inputs!$B$28+Inputs!$B$29)))</f>
        <v/>
      </c>
      <c r="E2509">
        <f>INDEX(FactorTable!$B$2:$Y$301, MATCH(ROUND(MIN(300,MAX(1,D2509)),0), FactorTable!$A$2:$A$301,0), Skills!L20+1)</f>
        <v/>
      </c>
      <c r="F2509">
        <f>IF(Skills!M20=TRUE,(Skills!K20/10)*(E2509/1000),Skills!K20/10)+Skills!N20</f>
        <v/>
      </c>
      <c r="G2509">
        <f>Calc!G20</f>
        <v/>
      </c>
      <c r="H2509">
        <f>Calc!H20</f>
        <v/>
      </c>
      <c r="I2509">
        <f>IF(Skills!T20&lt;&gt;"",1+(Skills!T20/10)*(Z2492/1000)/100,1)</f>
        <v/>
      </c>
      <c r="J2509" t="inlineStr"/>
      <c r="K2509" t="inlineStr"/>
      <c r="L2509" t="inlineStr"/>
      <c r="M2509" t="inlineStr"/>
      <c r="N2509" t="inlineStr"/>
      <c r="O2509">
        <f>(1-Summary!$B$11)*S2509+Summary!$B$11*U2509</f>
        <v/>
      </c>
      <c r="P2509">
        <f>IF(B2526=0,0,O2509/B2526)</f>
        <v/>
      </c>
      <c r="Q2509">
        <f>IFERROR(1/(IF(Inputs!$B$38="pvp",15,MAX(0.1,Skills!D20-IF(TRUE=TRUE,Inputs!$B$32,0)))*(1-IF(AND(ArtifactsInput!$M$27,Inputs!$B$4="Chapter Hunt"),CHOOSE(ArtifactsInput!$N$27+1,20,24,28,32,36,40),0)/100)),0)</f>
        <v/>
      </c>
      <c r="R2509" t="n">
        <v>0</v>
      </c>
      <c r="S2509" t="n">
        <v>0</v>
      </c>
      <c r="U2509" t="n">
        <v>0</v>
      </c>
    </row>
    <row r="2510">
      <c r="A2510">
        <f>Skills!A21</f>
        <v/>
      </c>
      <c r="B2510">
        <f>Skills!B21</f>
        <v/>
      </c>
      <c r="C2510">
        <f>Inputs!$B$3&gt;=74</f>
        <v/>
      </c>
      <c r="D2510">
        <f>IF(Skills!C21=1,60+Inputs!$B$25+Inputs!$B$29,IF(Skills!C21=2,90+Inputs!$B$26+Inputs!$B$29,IF(Skills!C21=3,120+Inputs!$B$27+Inputs!$B$29,MAX(0,(Inputs!$B$3-100)*3)+Inputs!$B$28+Inputs!$B$29)))</f>
        <v/>
      </c>
      <c r="E2510">
        <f>INDEX(FactorTable!$B$2:$Y$301, MATCH(ROUND(MIN(300,MAX(1,D2510)),0), FactorTable!$A$2:$A$301,0), Skills!L21+1)</f>
        <v/>
      </c>
      <c r="F2510">
        <f>IF(Skills!M21=TRUE,(Skills!K21/10)*(E2510/1000),Skills!K21/10)+Skills!N21</f>
        <v/>
      </c>
      <c r="G2510">
        <f>Calc!G21</f>
        <v/>
      </c>
      <c r="H2510">
        <f>Calc!H21</f>
        <v/>
      </c>
      <c r="I2510">
        <f>IF(Skills!T21&lt;&gt;"",1+(Skills!T21/10)*(Z2492/1000)/100,1)</f>
        <v/>
      </c>
      <c r="J2510" t="inlineStr"/>
      <c r="K2510" t="inlineStr"/>
      <c r="L2510" t="inlineStr"/>
      <c r="M2510" t="inlineStr"/>
      <c r="N2510" t="inlineStr"/>
      <c r="O2510">
        <f>(1-Summary!$B$11)*S2510+Summary!$B$11*U2510</f>
        <v/>
      </c>
      <c r="P2510">
        <f>IF(B2526=0,0,O2510/B2526)</f>
        <v/>
      </c>
      <c r="Q2510">
        <f>IFERROR(1/(IF(Inputs!$B$38="pvp",15,MAX(0.1,Skills!D21-IF(TRUE=TRUE,Inputs!$B$32,0)))*(1-IF(AND(ArtifactsInput!$M$27,Inputs!$B$4="Chapter Hunt"),CHOOSE(ArtifactsInput!$N$27+1,20,24,28,32,36,40),0)/100)),0)</f>
        <v/>
      </c>
      <c r="R2510" t="n">
        <v>0</v>
      </c>
      <c r="S2510" t="n">
        <v>0</v>
      </c>
      <c r="U2510" t="n">
        <v>0</v>
      </c>
    </row>
    <row r="2511">
      <c r="A2511">
        <f>Skills!A22</f>
        <v/>
      </c>
      <c r="B2511">
        <f>Skills!B22</f>
        <v/>
      </c>
      <c r="C2511">
        <f>Inputs!$B$3&gt;=117</f>
        <v/>
      </c>
      <c r="D2511">
        <f>IF(Skills!C22=1,60+Inputs!$B$25+Inputs!$B$29,IF(Skills!C22=2,90+Inputs!$B$26+Inputs!$B$29,IF(Skills!C22=3,120+Inputs!$B$27+Inputs!$B$29,MAX(0,(Inputs!$B$3-100)*3)+Inputs!$B$28+Inputs!$B$29)))</f>
        <v/>
      </c>
      <c r="E2511">
        <f>INDEX(FactorTable!$B$2:$Y$301, MATCH(ROUND(MIN(300,MAX(1,D2511)),0), FactorTable!$A$2:$A$301,0), Skills!L22+1)</f>
        <v/>
      </c>
      <c r="F2511">
        <f>IF(Skills!M22=TRUE,(Skills!K22/10)*(E2511/1000),Skills!K22/10)+Skills!N22</f>
        <v/>
      </c>
      <c r="G2511">
        <f>Calc!G22</f>
        <v/>
      </c>
      <c r="H2511">
        <f>Calc!H22</f>
        <v/>
      </c>
      <c r="I2511">
        <f>IF(Skills!T22&lt;&gt;"",1+(Skills!T22/10)*(Z2492/1000)/100,1)</f>
        <v/>
      </c>
      <c r="J2511" t="inlineStr"/>
      <c r="K2511" t="inlineStr"/>
      <c r="L2511" t="inlineStr"/>
      <c r="M2511" t="inlineStr"/>
      <c r="N2511" t="inlineStr"/>
      <c r="O2511">
        <f>(1-Summary!$B$11)*S2511+Summary!$B$11*U2511</f>
        <v/>
      </c>
      <c r="P2511">
        <f>IF(B2526=0,0,O2511/B2526)</f>
        <v/>
      </c>
      <c r="Q2511">
        <f>IFERROR(1/(IF(Inputs!$B$38="pvp",15,MAX(0.1,Skills!D22-IF(TRUE=TRUE,Inputs!$B$32,0)))*(1-IF(AND(ArtifactsInput!$M$27,Inputs!$B$4="Chapter Hunt"),CHOOSE(ArtifactsInput!$N$27+1,20,24,28,32,36,40),0)/100)),0)</f>
        <v/>
      </c>
      <c r="R2511" t="n">
        <v>0</v>
      </c>
      <c r="S2511" t="n">
        <v>0</v>
      </c>
      <c r="U2511" t="n">
        <v>0</v>
      </c>
    </row>
    <row r="2512">
      <c r="A2512">
        <f>Skills!A23</f>
        <v/>
      </c>
      <c r="B2512">
        <f>Skills!B23</f>
        <v/>
      </c>
      <c r="C2512">
        <f>Inputs!$B$3&gt;=120</f>
        <v/>
      </c>
      <c r="D2512">
        <f>IF(Skills!C23=1,60+Inputs!$B$25+Inputs!$B$29,IF(Skills!C23=2,90+Inputs!$B$26+Inputs!$B$29,IF(Skills!C23=3,120+Inputs!$B$27+Inputs!$B$29,MAX(0,(Inputs!$B$3-100)*3)+Inputs!$B$28+Inputs!$B$29)))</f>
        <v/>
      </c>
      <c r="E2512">
        <f>INDEX(FactorTable!$B$2:$Y$301, MATCH(ROUND(MIN(300,MAX(1,D2512)),0), FactorTable!$A$2:$A$301,0), Skills!L23+1)</f>
        <v/>
      </c>
      <c r="F2512">
        <f>IF(Skills!M23=TRUE,(Skills!K23/10)*(E2512/1000),Skills!K23/10)+Skills!N23</f>
        <v/>
      </c>
      <c r="G2512">
        <f>Calc!G23</f>
        <v/>
      </c>
      <c r="H2512">
        <f>Calc!H23</f>
        <v/>
      </c>
      <c r="I2512">
        <f>IF(Skills!T23&lt;&gt;"",1+(Skills!T23/10)*(Z2492/1000)/100,1)</f>
        <v/>
      </c>
      <c r="J2512" t="inlineStr"/>
      <c r="K2512" t="inlineStr"/>
      <c r="L2512" t="inlineStr"/>
      <c r="M2512" t="inlineStr"/>
      <c r="N2512" t="inlineStr"/>
      <c r="O2512">
        <f>(1-Summary!$B$11)*S2512+Summary!$B$11*U2512</f>
        <v/>
      </c>
      <c r="P2512">
        <f>IF(B2526=0,0,O2512/B2526)</f>
        <v/>
      </c>
      <c r="Q2512">
        <f>IFERROR(1/(IF(Inputs!$B$38="pvp",15,MAX(0.1,Skills!D23-IF(TRUE=TRUE,Inputs!$B$32,0)))*(1-IF(AND(ArtifactsInput!$M$27,Inputs!$B$4="Chapter Hunt"),CHOOSE(ArtifactsInput!$N$27+1,20,24,28,32,36,40),0)/100)),0)</f>
        <v/>
      </c>
      <c r="R2512" t="n">
        <v>0</v>
      </c>
      <c r="S2512" t="n">
        <v>0</v>
      </c>
      <c r="U2512" t="n">
        <v>0</v>
      </c>
    </row>
    <row r="2513">
      <c r="A2513">
        <f>Skills!A24</f>
        <v/>
      </c>
      <c r="B2513">
        <f>Skills!B24</f>
        <v/>
      </c>
      <c r="C2513">
        <f>TRUE</f>
        <v/>
      </c>
      <c r="D2513">
        <f>IF(Skills!C24=1,60+Inputs!$B$25+Inputs!$B$29,IF(Skills!C24=2,90+Inputs!$B$26+Inputs!$B$29,IF(Skills!C24=3,120+Inputs!$B$27+Inputs!$B$29,MAX(0,(Inputs!$B$3-100)*3)+Inputs!$B$28+Inputs!$B$29)))</f>
        <v/>
      </c>
      <c r="E2513">
        <f>INDEX(FactorTable!$B$2:$Y$301, MATCH(ROUND(MIN(300,MAX(1,D2513)),0), FactorTable!$A$2:$A$301,0), Skills!L24+1)</f>
        <v/>
      </c>
      <c r="F2513">
        <f>IF(Skills!M24=TRUE,(Skills!K24/10)*(E2513/1000),Skills!K24/10)+Skills!N24</f>
        <v/>
      </c>
      <c r="G2513">
        <f>Calc!G24</f>
        <v/>
      </c>
      <c r="H2513">
        <f>Calc!H24</f>
        <v/>
      </c>
      <c r="I2513">
        <f>IF(Skills!T24&lt;&gt;"",1+(Skills!T24/10)*(Z2492/1000)/100,1)</f>
        <v/>
      </c>
      <c r="J2513" t="inlineStr"/>
      <c r="K2513" t="inlineStr"/>
      <c r="L2513" t="inlineStr"/>
      <c r="M2513" t="inlineStr"/>
      <c r="N2513" t="inlineStr"/>
      <c r="O2513">
        <f>(1-Summary!$B$11)*S2513+Summary!$B$11*U2513</f>
        <v/>
      </c>
      <c r="P2513">
        <f>IF(B2526=0,0,O2513/B2526)</f>
        <v/>
      </c>
      <c r="Q2513">
        <f>IFERROR(1/(IF(Inputs!$B$38="pvp",15,MAX(0.1,Skills!D24-IF(TRUE=TRUE,Inputs!$B$32,0)))*(1-IF(AND(ArtifactsInput!$M$27,Inputs!$B$4="Chapter Hunt"),CHOOSE(ArtifactsInput!$N$27+1,20,24,28,32,36,40),0)/100)),0)</f>
        <v/>
      </c>
      <c r="R2513">
        <f>IF(AND(Inputs!$B$38&lt;&gt;"pvp",Inputs!$B$43&gt;0),IF(Inputs!$B$43&lt;=0,0,(INT(Inputs!$B$43/(IF(Inputs!$B$38="pvp",15,MAX(0.1,Skills!D24-IF(TRUE=TRUE,Inputs!$B$32,0)))*(1-IF(AND(ArtifactsInput!$M$27,Inputs!$B$4="Chapter Hunt"),CHOOSE(ArtifactsInput!$N$27+1,20,24,28,32,36,40),0)/100)))+1)),0)</f>
        <v/>
      </c>
      <c r="S2513" t="n">
        <v>0</v>
      </c>
      <c r="U2513" t="n">
        <v>0</v>
      </c>
    </row>
    <row r="2516">
      <c r="A2516" t="inlineStr">
        <is>
          <t>Average Buff Multiplier (Magic Guard + Meditation + Artifact Attack%, summed; then Infinity)</t>
        </is>
      </c>
      <c r="B2516">
        <f>(1+(IF(C2492=TRUE,F2492*IF(AND(Inputs!$B$38&lt;&gt;"pvp",Inputs!$B$43&gt;0),(((R2492-1)*MIN((Skills!S3*(1+(Inputs!$B$34)/100)),(1/Q2492))+MIN((Skills!S3*(1+(Inputs!$B$34)/100)),MAX(0,Inputs!$B$43-((R2492-1)*(1/Q2492)))))/Inputs!$B$43),IF(Inputs!$B$38="pvp",MIN((Skills!S3*(1+(Inputs!$B$34)/100)),15)/15,MIN(1,(Skills!S3*(1+(Inputs!$B$34)/100))/(1/Q2492)))),0)+IF(C2493=TRUE,F2493*IF(AND(Inputs!$B$38&lt;&gt;"pvp",Inputs!$B$43&gt;0),(((R2493-1)*MIN((Skills!S4*(1+(Inputs!$B$34)/100)),(1/Q2493))+MIN((Skills!S4*(1+(Inputs!$B$34)/100)),MAX(0,Inputs!$B$43-((R2493-1)*(1/Q2493)))))/Inputs!$B$43),IF(Inputs!$B$38="pvp",MIN((Skills!S4*(1+(Inputs!$B$34)/100)),15)/15,MIN(1,(Skills!S4*(1+(Inputs!$B$34)/100))/(1/Q2493)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2505=TRUE,(1+F2505*IF(AND(Inputs!$B$38&lt;&gt;"pvp",Inputs!$B$43&gt;0),(((R2505-1)*MIN((Skills!S16*(1+(Inputs!$B$34)/100)),(1/Q2505))+MIN((Skills!S16*(1+(Inputs!$B$34)/100)),MAX(0,Inputs!$B$43-((R2505-1)*(1/Q2505)))))/Inputs!$B$43),IF(Inputs!$B$38="pvp",MIN((Skills!S16*(1+(Inputs!$B$34)/100)),15)/15,MIN(1,(Skills!S16*(1+(Inputs!$B$34)/100))/(1/Q2505))))/100),1)</f>
        <v/>
      </c>
    </row>
    <row r="2517">
      <c r="A2517" t="inlineStr">
        <is>
          <t>Monster Damage Taken Bonus % (Freezing Breath - Weaken + Elemental Reset + Artifact Enemy Damage Taken, summed)</t>
        </is>
      </c>
      <c r="B2517">
        <f>IF(Inputs!$B$3&gt;=118,15*IF(Inputs!$B$38="pvp",MIN((30*(1+(Inputs!$B$34)/100)),15)/15,MIN(1,(30*(1+(Inputs!$B$34)/100))/(1/Q2497))),0)+IF(C2503=TRUE,F2503,0)+(IF(AND(ArtifactsInput!$M$35,Inputs!$B$4&lt;&gt;"Chapter Hunt"),CHOOSE(ArtifactsInput!$N$35+1,15,18,21,24,27,30)*(1-EXP(-(0.2*B2520)*5)),0)+IF(AND(ArtifactsInput!$M$22,Inputs!$B$4&lt;&gt;"Chapter Hunt"),CHOOSE(ArtifactsInput!$N$22+1,10,12,14,16,18,20)*((0*(((0.15*B2520*5))^0/1)+1*(((0.15*B2520*5))^1/1)+2*(((0.15*B2520*5))^2/2)+3*(((0.15*B2520*5))^3/6)+4*(((0.15*B2520*5))^4/24)+5*(((0.15*B2520*5))^5/120))/((((0.15*B2520*5))^0/1)+(((0.15*B2520*5))^1/1)+(((0.15*B2520*5))^2/2)+(((0.15*B2520*5))^3/6)+(((0.15*B2520*5))^4/24)+(((0.15*B2520*5))^5/120))),0))</f>
        <v/>
      </c>
    </row>
    <row r="2518">
      <c r="A2518" t="inlineStr">
        <is>
          <t>Damage % Bonus (Frozen Break + Frost Clutch, flat)</t>
        </is>
      </c>
      <c r="B2518">
        <f>IF(Inputs!$B$3&gt;=66,15,0)+IF(Inputs!$B$3&gt;=98,10,0)+IF(Inputs!$B$3&gt;=125,20,0)</f>
        <v/>
      </c>
    </row>
    <row r="2519">
      <c r="A2519" t="inlineStr">
        <is>
          <t>Attack Speed Bonus % (MP Eater - MP Boost, always-on + Nimble Feet, duty-cycle averaged)</t>
        </is>
      </c>
      <c r="B2519">
        <f>IF(C2502=TRUE,F2502+(F2506-Calc!F17),0)+((C2513=TRUE)*F2513*IF(AND(Inputs!$B$38&lt;&gt;"pvp",Inputs!$B$43&gt;0),(((R2513-1)*MIN((Skills!S24*(1+(Inputs!$B$34)/100)),(1/Q2513))+MIN((Skills!S24*(1+(Inputs!$B$34)/100)),MAX(0,Inputs!$B$43-((R2513-1)*(1/Q2513)))))/Inputs!$B$43),IF(Inputs!$B$38="pvp",MIN((Skills!S24*(1+(Inputs!$B$34)/100)),15)/15,MIN(1,(Skills!S24*(1+(Inputs!$B$34)/100))/(1/Q2513)))))</f>
        <v/>
      </c>
    </row>
    <row r="2520">
      <c r="A2520" t="inlineStr">
        <is>
          <t>Actions Per Second</t>
        </is>
      </c>
      <c r="B2520">
        <f>1+MIN(150,150*(1-(1-(Inputs!$B$11+(ArtifactsInput!$M$15-ArtifactsInput!$M$15)*CHOOSE(ArtifactsInput!$N$15+1,8,9.6,11.2,12.8,14.4,16))/150)*(1-B2519/150)))/100</f>
        <v/>
      </c>
    </row>
    <row r="2521">
      <c r="A2521" t="inlineStr">
        <is>
          <t>Skill + Buff Cast Rate</t>
        </is>
      </c>
      <c r="B2521">
        <f>IF(AND(Inputs!$B$38&lt;&gt;"pvp",Inputs!$B$43&gt;0),SUMPRODUCT((Skills!E2:E24=TRUE)*(C2491:C2513=TRUE)*R2491:R2513)/Inputs!$B$43,SUMPRODUCT((Skills!E2:E24=TRUE)*(C2491:C2513=TRUE)*Q2491:Q2513))</f>
        <v/>
      </c>
    </row>
    <row r="2522">
      <c r="A2522" t="inlineStr">
        <is>
          <t>Chain Lightning Casts Per Second</t>
        </is>
      </c>
      <c r="B2522">
        <f>MAX(0,B2520-B2521)</f>
        <v/>
      </c>
    </row>
    <row r="2523">
      <c r="A2523" t="inlineStr">
        <is>
          <t>Buff-Casting Startup Delay (s, fixed-duration only)</t>
        </is>
      </c>
      <c r="B2523">
        <f>IF(AND(Inputs!$B$38&lt;&gt;"pvp",Inputs!$B$43&gt;0),SUMPRODUCT((Skills!S2:S24&gt;0)*(Skills!E2:E24=TRUE)*(C2491:C2513=TRUE))/B2520,0)</f>
        <v/>
      </c>
    </row>
    <row r="2524">
      <c r="A2524" t="inlineStr">
        <is>
          <t>Boss-Only Total DPS (this block's swept value)</t>
        </is>
      </c>
      <c r="B2524">
        <f>SUM(S2491:S2513)</f>
        <v/>
      </c>
    </row>
    <row r="2525">
      <c r="A2525" t="inlineStr">
        <is>
          <t>Normal-Only Total DPS (this block's swept value)</t>
        </is>
      </c>
      <c r="B2525">
        <f>SUM(U2491:U2513)</f>
        <v/>
      </c>
    </row>
    <row r="2526">
      <c r="A2526" s="6" t="inlineStr">
        <is>
          <t>TOTAL DPS</t>
        </is>
      </c>
      <c r="B2526" s="6">
        <f>SUM(O2491:O2513)</f>
        <v/>
      </c>
    </row>
    <row r="2527">
      <c r="A2527" t="inlineStr">
        <is>
          <t>Blizzard Final Attack trigger rate (this block's own Q/R)</t>
        </is>
      </c>
      <c r="B2527">
        <f>IF(AND(Inputs!$B$38&lt;&gt;"pvp",Inputs!$B$43&gt;0),(((C2494=TRUE)*R2494*1)+((C2495=TRUE)*R2495*1)+((C2497=TRUE)*R2497*1)+((C2498=TRUE)*R2498*3)+((C2500=TRUE)*R2500*1))/Inputs!$B$43,((C2494=TRUE)*Q2494*1)+((C2495=TRUE)*Q2495*1)+((C2497=TRUE)*Q2497*1)+((C2498=TRUE)*Q2498*3)+((C2500=TRUE)*Q2500*1))+B2522</f>
        <v/>
      </c>
    </row>
    <row r="2530">
      <c r="A2530" s="6" t="inlineStr">
        <is>
          <t>Stat: Ring of Cycles (Equip)</t>
        </is>
      </c>
    </row>
    <row r="2531">
      <c r="A2531" s="5" t="inlineStr">
        <is>
          <t>Key</t>
        </is>
      </c>
      <c r="B2531" s="5" t="inlineStr">
        <is>
          <t>Name</t>
        </is>
      </c>
      <c r="C2531" s="5" t="inlineStr">
        <is>
          <t>Unlocked</t>
        </is>
      </c>
      <c r="D2531" s="5" t="inlineStr">
        <is>
          <t>InputLevel</t>
        </is>
      </c>
      <c r="E2531" s="5" t="inlineStr">
        <is>
          <t>Factor</t>
        </is>
      </c>
      <c r="F2531" s="5" t="inlineStr">
        <is>
          <t>CoefficientPercent</t>
        </is>
      </c>
      <c r="G2531" s="5" t="inlineStr">
        <is>
          <t>EffectiveHits</t>
        </is>
      </c>
      <c r="H2531" s="5" t="inlineStr">
        <is>
          <t>ProcProbability</t>
        </is>
      </c>
      <c r="I2531" s="5" t="inlineStr">
        <is>
          <t>MapleHeroMultiplier</t>
        </is>
      </c>
      <c r="J2531" s="5" t="inlineStr">
        <is>
          <t>BaseDamage</t>
        </is>
      </c>
      <c r="K2531" s="5" t="inlineStr">
        <is>
          <t>BaseHitDamage</t>
        </is>
      </c>
      <c r="L2531" s="5" t="inlineStr">
        <is>
          <t>NonCritAvg</t>
        </is>
      </c>
      <c r="M2531" s="5" t="inlineStr">
        <is>
          <t>CritAvg</t>
        </is>
      </c>
      <c r="N2531" s="5" t="inlineStr">
        <is>
          <t>ExpectedDamage(perHit)</t>
        </is>
      </c>
      <c r="O2531" s="5" t="inlineStr">
        <is>
          <t>DPS</t>
        </is>
      </c>
      <c r="P2531" s="5" t="inlineStr">
        <is>
          <t>% of Total</t>
        </is>
      </c>
      <c r="R2531" t="inlineStr">
        <is>
          <t>helpers</t>
        </is>
      </c>
    </row>
    <row r="2532">
      <c r="A2532">
        <f>Skills!A2</f>
        <v/>
      </c>
      <c r="B2532">
        <f>Skills!B2</f>
        <v/>
      </c>
      <c r="C2532">
        <f>Inputs!$B$3&gt;=100</f>
        <v/>
      </c>
      <c r="D2532" t="inlineStr"/>
      <c r="E2532" t="inlineStr"/>
      <c r="F2532">
        <f>T2534+Skills!N2</f>
        <v/>
      </c>
      <c r="G2532">
        <f>Calc!G2</f>
        <v/>
      </c>
      <c r="H2532">
        <f>Calc!H2</f>
        <v/>
      </c>
      <c r="I2532">
        <f>IF(Skills!T2&lt;&gt;"",1+(Skills!T2/10)*(Z2533/1000)/100,1)</f>
        <v/>
      </c>
      <c r="J2532">
        <f>((Inputs!$B$6*(1+Inputs!$B$7/100))+(((Inputs!$B$12*(1+Inputs!$B$13/100))-(Inputs!$B$12*(1+Inputs!$B$13/100)))+0.25*(Inputs!$B$14-Inputs!$B$14))*(1+Inputs!$B$7/100))*(F2532/100)</f>
        <v/>
      </c>
      <c r="K2532">
        <f>J2532*(1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2="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2532)</f>
        <v/>
      </c>
      <c r="L2532">
        <f>K2532*(MIN(Inputs!$B$22+(F2548-Calc!F18),(Inputs!$B$23+(IF(ArtifactsInput!$M$15,CHOOSE(ArtifactsInput!$N$15+1,25,30,35,40,45,50)/100*(Inputs!$B$11-Inputs!$B$11),0))))/100+(Inputs!$B$23+(IF(ArtifactsInput!$M$15,CHOOSE(ArtifactsInput!$N$15+1,25,30,35,40,45,50)/100*(Inputs!$B$11-Inputs!$B$11),0)))/100)/2</f>
        <v/>
      </c>
      <c r="M2532">
        <f>L2532*(1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2">
        <f>L2532*(1-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2532*(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2">
        <f>(1-Summary!$B$11)*S2532+Summary!$B$11*U2532</f>
        <v/>
      </c>
      <c r="P2532">
        <f>IF(B2567=0,0,O2532/B2567)</f>
        <v/>
      </c>
      <c r="Q2532">
        <f>IFERROR(1/(IF(Inputs!$B$38="pvp",15,MAX(0.1,Skills!D2-IF(TRUE=TRUE,Inputs!$B$32,0)))*(1-IF(AND(ArtifactsInput!$M$27,Inputs!$B$4="Chapter Hunt"),CHOOSE(ArtifactsInput!$N$27+1,20,24,28,32,36,40),0)/100)),0)</f>
        <v/>
      </c>
      <c r="R2532" t="n">
        <v>0</v>
      </c>
      <c r="S2532">
        <f>IF(C2532,(Skills!F2*N2532*B2563)*IF(Inputs!$B$38="pvp",1,1+(Inputs!$B$20+Skills!O2+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2532*(1-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2532*(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2532*(1-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2532*(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32">
        <f>MAX(0,(Inputs!$B$3-100)*3)+Inputs!$B$28+Inputs!$B$29</f>
        <v/>
      </c>
      <c r="U2532">
        <f>IF(C2532,(Skills!F2*N2532*B2563)*IF(Inputs!$B$38="pvp",1,(1+(Inputs!$B$21+Skills!P2+B2558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532">
        <f>MAX(0,(Inputs!$B$3-100)*3)+Inputs!$B$28+Inputs!$B$29</f>
        <v/>
      </c>
    </row>
    <row r="2533">
      <c r="A2533">
        <f>Skills!A3</f>
        <v/>
      </c>
      <c r="B2533">
        <f>Skills!B3</f>
        <v/>
      </c>
      <c r="C2533">
        <f>Inputs!$B$3&gt;=15</f>
        <v/>
      </c>
      <c r="D2533">
        <f>IF(Skills!C3=1,60+Inputs!$B$25+Inputs!$B$29,IF(Skills!C3=2,90+Inputs!$B$26+Inputs!$B$29,IF(Skills!C3=3,120+Inputs!$B$27+Inputs!$B$29,MAX(0,(Inputs!$B$3-100)*3)+Inputs!$B$28+Inputs!$B$29)))</f>
        <v/>
      </c>
      <c r="E2533">
        <f>INDEX(FactorTable!$B$2:$Y$301, MATCH(ROUND(MIN(300,MAX(1,D2533)),0), FactorTable!$A$2:$A$301,0), Skills!L3+1)</f>
        <v/>
      </c>
      <c r="F2533">
        <f>IF(Skills!M3=TRUE,(Skills!K3/10)*(E2533/1000),Skills!K3/10)+Skills!N3</f>
        <v/>
      </c>
      <c r="G2533">
        <f>Calc!G3</f>
        <v/>
      </c>
      <c r="H2533">
        <f>Calc!H3</f>
        <v/>
      </c>
      <c r="I2533">
        <f>IF(Skills!T3&lt;&gt;"",1+(Skills!T3/10)*(Z2533/1000)/100,1)</f>
        <v/>
      </c>
      <c r="J2533" t="inlineStr"/>
      <c r="K2533" t="inlineStr"/>
      <c r="L2533" t="inlineStr"/>
      <c r="M2533" t="inlineStr"/>
      <c r="N2533" t="inlineStr"/>
      <c r="O2533">
        <f>(1-Summary!$B$11)*S2533+Summary!$B$11*U2533</f>
        <v/>
      </c>
      <c r="P2533">
        <f>IF(B2567=0,0,O2533/B2567)</f>
        <v/>
      </c>
      <c r="Q2533">
        <f>IFERROR(1/(IF(Inputs!$B$38="pvp",15,MAX(0.1,Skills!D3-IF(TRUE=TRUE,Inputs!$B$32,0)))*(1-IF(AND(ArtifactsInput!$M$27,Inputs!$B$4="Chapter Hunt"),CHOOSE(ArtifactsInput!$N$27+1,20,24,28,32,36,40),0)/100)),0)</f>
        <v/>
      </c>
      <c r="R2533">
        <f>IF(AND(Inputs!$B$38&lt;&gt;"pvp",Inputs!$B$43&gt;0),IF(Inputs!$B$43&lt;=0,0,(INT(Inputs!$B$43/(IF(Inputs!$B$38="pvp",15,MAX(0.1,Skills!D3-IF(TRUE=TRUE,Inputs!$B$32,0)))*(1-IF(AND(ArtifactsInput!$M$27,Inputs!$B$4="Chapter Hunt"),CHOOSE(ArtifactsInput!$N$27+1,20,24,28,32,36,40),0)/100)))+1)),0)</f>
        <v/>
      </c>
      <c r="S2533" t="n">
        <v>0</v>
      </c>
      <c r="T2533">
        <f>INDEX(FactorTable!$B$2:$Y$301, MATCH(ROUND(MIN(300,MAX(1,T2532)),0), FactorTable!$A$2:$A$301,0), 22)</f>
        <v/>
      </c>
      <c r="U2533" t="n">
        <v>0</v>
      </c>
      <c r="Z2533">
        <f>INDEX(FactorTable!$B$2:$Y$301, MATCH(ROUND(MIN(300,MAX(1,Z2532)),0), FactorTable!$A$2:$A$301,0), 24)</f>
        <v/>
      </c>
    </row>
    <row r="2534">
      <c r="A2534">
        <f>Skills!A4</f>
        <v/>
      </c>
      <c r="B2534">
        <f>Skills!B4</f>
        <v/>
      </c>
      <c r="C2534">
        <f>Inputs!$B$3&gt;=40</f>
        <v/>
      </c>
      <c r="D2534">
        <f>IF(Skills!C4=1,60+Inputs!$B$25+Inputs!$B$29,IF(Skills!C4=2,90+Inputs!$B$26+Inputs!$B$29,IF(Skills!C4=3,120+Inputs!$B$27+Inputs!$B$29,MAX(0,(Inputs!$B$3-100)*3)+Inputs!$B$28+Inputs!$B$29)))</f>
        <v/>
      </c>
      <c r="E2534">
        <f>INDEX(FactorTable!$B$2:$Y$301, MATCH(ROUND(MIN(300,MAX(1,D2534)),0), FactorTable!$A$2:$A$301,0), Skills!L4+1)</f>
        <v/>
      </c>
      <c r="F2534">
        <f>IF(Skills!M4=TRUE,(Skills!K4/10)*(E2534/1000),Skills!K4/10)+Skills!N4</f>
        <v/>
      </c>
      <c r="G2534">
        <f>Calc!G4</f>
        <v/>
      </c>
      <c r="H2534">
        <f>Calc!H4</f>
        <v/>
      </c>
      <c r="I2534">
        <f>IF(Skills!T4&lt;&gt;"",1+(Skills!T4/10)*(Z2533/1000)/100,1)</f>
        <v/>
      </c>
      <c r="J2534" t="inlineStr"/>
      <c r="K2534" t="inlineStr"/>
      <c r="L2534" t="inlineStr"/>
      <c r="M2534" t="inlineStr"/>
      <c r="N2534" t="inlineStr"/>
      <c r="O2534">
        <f>(1-Summary!$B$11)*S2534+Summary!$B$11*U2534</f>
        <v/>
      </c>
      <c r="P2534">
        <f>IF(B2567=0,0,O2534/B2567)</f>
        <v/>
      </c>
      <c r="Q2534">
        <f>IFERROR(1/(IF(Inputs!$B$38="pvp",15,MAX(0.1,Skills!D4-IF(TRUE=TRUE,Inputs!$B$32,0)))*(1-IF(AND(ArtifactsInput!$M$27,Inputs!$B$4="Chapter Hunt"),CHOOSE(ArtifactsInput!$N$27+1,20,24,28,32,36,40),0)/100)),0)</f>
        <v/>
      </c>
      <c r="R2534">
        <f>IF(AND(Inputs!$B$38&lt;&gt;"pvp",Inputs!$B$43&gt;0),IF(Inputs!$B$43&lt;=0,0,(INT(Inputs!$B$43/(IF(Inputs!$B$38="pvp",15,MAX(0.1,Skills!D4-IF(TRUE=TRUE,Inputs!$B$32,0)))*(1-IF(AND(ArtifactsInput!$M$27,Inputs!$B$4="Chapter Hunt"),CHOOSE(ArtifactsInput!$N$27+1,20,24,28,32,36,40),0)/100)))+1)),0)</f>
        <v/>
      </c>
      <c r="S2534" t="n">
        <v>0</v>
      </c>
      <c r="T2534">
        <f>290*T2533/1000</f>
        <v/>
      </c>
      <c r="U2534" t="n">
        <v>0</v>
      </c>
    </row>
    <row r="2535">
      <c r="A2535">
        <f>Skills!A5</f>
        <v/>
      </c>
      <c r="B2535">
        <f>Skills!B5</f>
        <v/>
      </c>
      <c r="C2535">
        <f>Inputs!$B$3&gt;=38</f>
        <v/>
      </c>
      <c r="D2535">
        <f>IF(Skills!C5=1,60+Inputs!$B$25+Inputs!$B$29,IF(Skills!C5=2,90+Inputs!$B$26+Inputs!$B$29,IF(Skills!C5=3,120+Inputs!$B$27+Inputs!$B$29,MAX(0,(Inputs!$B$3-100)*3)+Inputs!$B$28+Inputs!$B$29)))</f>
        <v/>
      </c>
      <c r="E2535">
        <f>INDEX(FactorTable!$B$2:$Y$301, MATCH(ROUND(MIN(300,MAX(1,D2535)),0), FactorTable!$A$2:$A$301,0), Skills!L5+1)</f>
        <v/>
      </c>
      <c r="F2535">
        <f>IF(Skills!M5=TRUE,(Skills!K5/10)*(E2535/1000),Skills!K5/10)+Skills!N5</f>
        <v/>
      </c>
      <c r="G2535">
        <f>Calc!G5</f>
        <v/>
      </c>
      <c r="H2535">
        <f>Calc!H5</f>
        <v/>
      </c>
      <c r="I2535">
        <f>IF(Skills!T5&lt;&gt;"",1+(Skills!T5/10)*(Z2533/1000)/100,1)</f>
        <v/>
      </c>
      <c r="J2535">
        <f>((Inputs!$B$6*(1+Inputs!$B$7/100))+(((Inputs!$B$12*(1+Inputs!$B$13/100))-(Inputs!$B$12*(1+Inputs!$B$13/100)))+0.25*(Inputs!$B$14-Inputs!$B$14))*(1+Inputs!$B$7/100))*(F2535/100)</f>
        <v/>
      </c>
      <c r="K2535">
        <f>J2535*(1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5="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2535)</f>
        <v/>
      </c>
      <c r="L2535">
        <f>K2535*(MIN(Inputs!$B$22+(F2548-Calc!F18),(Inputs!$B$23+(IF(ArtifactsInput!$M$15,CHOOSE(ArtifactsInput!$N$15+1,25,30,35,40,45,50)/100*(Inputs!$B$11-Inputs!$B$11),0))))/100+(Inputs!$B$23+(IF(ArtifactsInput!$M$15,CHOOSE(ArtifactsInput!$N$15+1,25,30,35,40,45,50)/100*(Inputs!$B$11-Inputs!$B$11),0)))/100)/2</f>
        <v/>
      </c>
      <c r="M2535">
        <f>L2535*(1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5">
        <f>L2535*(1-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2535*(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5">
        <f>(1-Summary!$B$11)*S2535+Summary!$B$11*U2535</f>
        <v/>
      </c>
      <c r="P2535">
        <f>IF(B2567=0,0,O2535/B2567)</f>
        <v/>
      </c>
      <c r="Q2535">
        <f>IFERROR(1/(IF(Inputs!$B$38="pvp",15,MAX(0.1,Skills!D5-IF(TRUE=TRUE,Inputs!$B$32,0)))*(1-IF(AND(ArtifactsInput!$M$27,Inputs!$B$4="Chapter Hunt"),CHOOSE(ArtifactsInput!$N$27+1,20,24,28,32,36,40),0)/100)),0)</f>
        <v/>
      </c>
      <c r="R2535">
        <f>IF(AND(Inputs!$B$38&lt;&gt;"pvp",Inputs!$B$43&gt;0),IF(MAX(0,Inputs!$B$43-B2564)&lt;=0,0,(INT(MAX(0,Inputs!$B$43-B2564)/(IF(Inputs!$B$38="pvp",15,MAX(0.1,Skills!D5-IF(TRUE=TRUE,Inputs!$B$32,0)))*(1-IF(AND(ArtifactsInput!$M$27,Inputs!$B$4="Chapter Hunt"),CHOOSE(ArtifactsInput!$N$27+1,20,24,28,32,36,40),0)/100)))+1)),0)</f>
        <v/>
      </c>
      <c r="S2535">
        <f>IF(C2535,(H2535*N2535*IF(AND(Inputs!$B$38&lt;&gt;"pvp",Inputs!$B$43&gt;0),((Skills!F5*((R2535-1)*IF(Skills!G5&gt;0,Skills!H5/Skills!G5,1)+IF(Skills!G5&gt;0,MIN(Skills!H5,MAX(0,MAX(0,Inputs!$B$43-B2564)-((R2535-1)*(IF(Inputs!$B$38="pvp",15,MAX(0.1,Skills!D5-IF(TRUE=TRUE,Inputs!$B$32,0)))*(1-IF(AND(ArtifactsInput!$M$27,Inputs!$B$4="Chapter Hunt"),CHOOSE(ArtifactsInput!$N$27+1,20,24,28,32,36,40),0)/100)))))/Skills!G5,1)))/Inputs!$B$43),G2535*Q2535))*IF(Inputs!$B$38="pvp",1,1+(Inputs!$B$20+Skills!O5+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2535*(1-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2535*(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2535*(1-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2535*(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5">
        <f>IF(C2535,(H2535*N2535*IF(AND(Inputs!$B$38&lt;&gt;"pvp",Inputs!$B$43&gt;0),((Skills!F5*((R2535-1)*IF(Skills!G5&gt;0,Skills!H5/Skills!G5,1)+IF(Skills!G5&gt;0,MIN(Skills!H5,MAX(0,MAX(0,Inputs!$B$43-B2564)-((R2535-1)*(IF(Inputs!$B$38="pvp",15,MAX(0.1,Skills!D5-IF(TRUE=TRUE,Inputs!$B$32,0)))*(1-IF(AND(ArtifactsInput!$M$27,Inputs!$B$4="Chapter Hunt"),CHOOSE(ArtifactsInput!$N$27+1,20,24,28,32,36,40),0)/100)))))/Skills!G5,1)))/Inputs!$B$43),G2535*Q2535))*IF(Inputs!$B$38="pvp",1,(1+(Inputs!$B$21+Skills!P5+B2558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36">
      <c r="A2536">
        <f>Skills!A6</f>
        <v/>
      </c>
      <c r="B2536">
        <f>Skills!B6</f>
        <v/>
      </c>
      <c r="C2536">
        <f>Inputs!$B$3&gt;=63</f>
        <v/>
      </c>
      <c r="D2536">
        <f>IF(Skills!C6=1,60+Inputs!$B$25+Inputs!$B$29,IF(Skills!C6=2,90+Inputs!$B$26+Inputs!$B$29,IF(Skills!C6=3,120+Inputs!$B$27+Inputs!$B$29,MAX(0,(Inputs!$B$3-100)*3)+Inputs!$B$28+Inputs!$B$29)))</f>
        <v/>
      </c>
      <c r="E2536">
        <f>INDEX(FactorTable!$B$2:$Y$301, MATCH(ROUND(MIN(300,MAX(1,D2536)),0), FactorTable!$A$2:$A$301,0), Skills!L6+1)</f>
        <v/>
      </c>
      <c r="F2536">
        <f>IF(Skills!M6=TRUE,(Skills!K6/10)*(E2536/1000),Skills!K6/10)+Skills!N6</f>
        <v/>
      </c>
      <c r="G2536">
        <f>Calc!G6</f>
        <v/>
      </c>
      <c r="H2536">
        <f>Calc!H6</f>
        <v/>
      </c>
      <c r="I2536">
        <f>IF(Skills!T6&lt;&gt;"",1+(Skills!T6/10)*(Z2533/1000)/100,1)</f>
        <v/>
      </c>
      <c r="J2536">
        <f>((Inputs!$B$6*(1+Inputs!$B$7/100))+(((Inputs!$B$12*(1+Inputs!$B$13/100))-(Inputs!$B$12*(1+Inputs!$B$13/100)))+0.25*(Inputs!$B$14-Inputs!$B$14))*(1+Inputs!$B$7/100))*(F2536/100)</f>
        <v/>
      </c>
      <c r="K2536">
        <f>J2536*(1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6="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2536)</f>
        <v/>
      </c>
      <c r="L2536">
        <f>K2536*(MIN(Inputs!$B$22+(F2548-Calc!F18),(Inputs!$B$23+(IF(ArtifactsInput!$M$15,CHOOSE(ArtifactsInput!$N$15+1,25,30,35,40,45,50)/100*(Inputs!$B$11-Inputs!$B$11),0))))/100+(Inputs!$B$23+(IF(ArtifactsInput!$M$15,CHOOSE(ArtifactsInput!$N$15+1,25,30,35,40,45,50)/100*(Inputs!$B$11-Inputs!$B$11),0)))/100)/2</f>
        <v/>
      </c>
      <c r="M2536">
        <f>L2536*(1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6">
        <f>L2536*(1-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2536*(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6">
        <f>(1-Summary!$B$11)*S2536+Summary!$B$11*U2536</f>
        <v/>
      </c>
      <c r="P2536">
        <f>IF(B2567=0,0,O2536/B2567)</f>
        <v/>
      </c>
      <c r="Q2536">
        <f>IFERROR(1/(IF(Inputs!$B$38="pvp",15,MAX(0.1,Skills!D6-IF(TRUE=TRUE,Inputs!$B$32,0)))*(1-IF(AND(ArtifactsInput!$M$27,Inputs!$B$4="Chapter Hunt"),CHOOSE(ArtifactsInput!$N$27+1,20,24,28,32,36,40),0)/100)),0)</f>
        <v/>
      </c>
      <c r="R2536">
        <f>IF(AND(Inputs!$B$38&lt;&gt;"pvp",Inputs!$B$43&gt;0),IF(MAX(0,Inputs!$B$43-B2564)&lt;=0,0,(INT(MAX(0,Inputs!$B$43-B2564)/(IF(Inputs!$B$38="pvp",15,MAX(0.1,Skills!D6-IF(TRUE=TRUE,Inputs!$B$32,0)))*(1-IF(AND(ArtifactsInput!$M$27,Inputs!$B$4="Chapter Hunt"),CHOOSE(ArtifactsInput!$N$27+1,20,24,28,32,36,40),0)/100)))+1)),0)</f>
        <v/>
      </c>
      <c r="S2536">
        <f>IF(C2536,(H2536*N2536*IF(AND(Inputs!$B$38&lt;&gt;"pvp",Inputs!$B$43&gt;0),((Skills!F6*((R2536-1)*IF(Skills!G6&gt;0,Skills!H6/Skills!G6,1)+IF(Skills!G6&gt;0,MIN(Skills!H6,MAX(0,MAX(0,Inputs!$B$43-B2564)-((R2536-1)*(IF(Inputs!$B$38="pvp",15,MAX(0.1,Skills!D6-IF(TRUE=TRUE,Inputs!$B$32,0)))*(1-IF(AND(ArtifactsInput!$M$27,Inputs!$B$4="Chapter Hunt"),CHOOSE(ArtifactsInput!$N$27+1,20,24,28,32,36,40),0)/100)))))/Skills!G6,1)))/Inputs!$B$43),G2536*Q2536))*IF(Inputs!$B$38="pvp",1,1+(Inputs!$B$20+Skills!O6+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2536*(1-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2536*(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2536*(1-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2536*(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6">
        <f>IF(C2536,(H2536*N2536*IF(AND(Inputs!$B$38&lt;&gt;"pvp",Inputs!$B$43&gt;0),((Skills!F6*((R2536-1)*IF(Skills!G6&gt;0,Skills!H6/Skills!G6,1)+IF(Skills!G6&gt;0,MIN(Skills!H6,MAX(0,MAX(0,Inputs!$B$43-B2564)-((R2536-1)*(IF(Inputs!$B$38="pvp",15,MAX(0.1,Skills!D6-IF(TRUE=TRUE,Inputs!$B$32,0)))*(1-IF(AND(ArtifactsInput!$M$27,Inputs!$B$4="Chapter Hunt"),CHOOSE(ArtifactsInput!$N$27+1,20,24,28,32,36,40),0)/100)))))/Skills!G6,1)))/Inputs!$B$43),G2536*Q2536))*IF(Inputs!$B$38="pvp",1,(1+(Inputs!$B$21+Skills!P6+B2558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37">
      <c r="A2537">
        <f>Skills!A7</f>
        <v/>
      </c>
      <c r="B2537">
        <f>Skills!B7</f>
        <v/>
      </c>
      <c r="C2537">
        <f>Inputs!$B$3&gt;=69</f>
        <v/>
      </c>
      <c r="D2537">
        <f>IF(Skills!C7=1,60+Inputs!$B$25+Inputs!$B$29,IF(Skills!C7=2,90+Inputs!$B$26+Inputs!$B$29,IF(Skills!C7=3,120+Inputs!$B$27+Inputs!$B$29,MAX(0,(Inputs!$B$3-100)*3)+Inputs!$B$28+Inputs!$B$29)))</f>
        <v/>
      </c>
      <c r="E2537">
        <f>INDEX(FactorTable!$B$2:$Y$301, MATCH(ROUND(MIN(300,MAX(1,D2537)),0), FactorTable!$A$2:$A$301,0), Skills!L7+1)</f>
        <v/>
      </c>
      <c r="F2537">
        <f>IF(Skills!M7=TRUE,(Skills!K7/10)*(E2537/1000),Skills!K7/10)+Skills!N7</f>
        <v/>
      </c>
      <c r="G2537">
        <f>Calc!G7</f>
        <v/>
      </c>
      <c r="H2537">
        <f>Calc!H7</f>
        <v/>
      </c>
      <c r="I2537">
        <f>IF(Skills!T7&lt;&gt;"",1+(Skills!T7/10)*(Z2533/1000)/100,1)</f>
        <v/>
      </c>
      <c r="J2537">
        <f>((Inputs!$B$6*(1+Inputs!$B$7/100))+(((Inputs!$B$12*(1+Inputs!$B$13/100))-(Inputs!$B$12*(1+Inputs!$B$13/100)))+0.25*(Inputs!$B$14-Inputs!$B$14))*(1+Inputs!$B$7/100))*(F2537/100)</f>
        <v/>
      </c>
      <c r="K2537">
        <f>J2537*(1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7="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2537)</f>
        <v/>
      </c>
      <c r="L2537">
        <f>K2537*(MIN(Inputs!$B$22+(F2548-Calc!F18),(Inputs!$B$23+(IF(ArtifactsInput!$M$15,CHOOSE(ArtifactsInput!$N$15+1,25,30,35,40,45,50)/100*(Inputs!$B$11-Inputs!$B$11),0))))/100+(Inputs!$B$23+(IF(ArtifactsInput!$M$15,CHOOSE(ArtifactsInput!$N$15+1,25,30,35,40,45,50)/100*(Inputs!$B$11-Inputs!$B$11),0)))/100)/2</f>
        <v/>
      </c>
      <c r="M2537">
        <f>L2537*(1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7">
        <f>L2537*(1-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2537*(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7">
        <f>(1-Summary!$B$11)*S2537+Summary!$B$11*U2537</f>
        <v/>
      </c>
      <c r="P2537">
        <f>IF(B2567=0,0,O2537/B2567)</f>
        <v/>
      </c>
      <c r="Q2537">
        <f>IFERROR(1/(IF(Inputs!$B$38="pvp",15,MAX(0.1,Skills!D7-IF(TRUE=TRUE,Inputs!$B$32,0)))*(1-IF(AND(ArtifactsInput!$M$27,Inputs!$B$4="Chapter Hunt"),CHOOSE(ArtifactsInput!$N$27+1,20,24,28,32,36,40),0)/100)),0)</f>
        <v/>
      </c>
      <c r="R2537">
        <f>IF(AND(Inputs!$B$38&lt;&gt;"pvp",Inputs!$B$43&gt;0),IF(MAX(0,Inputs!$B$43-B2564)&lt;=0,0,(INT(MAX(0,Inputs!$B$43-B2564)/(IF(Inputs!$B$38="pvp",15,MAX(0.1,Skills!D7-IF(TRUE=TRUE,Inputs!$B$32,0)))*(1-IF(AND(ArtifactsInput!$M$27,Inputs!$B$4="Chapter Hunt"),CHOOSE(ArtifactsInput!$N$27+1,20,24,28,32,36,40),0)/100)))+1)),0)</f>
        <v/>
      </c>
      <c r="S2537">
        <f>IF(C2537,(H2537*N2537*IF(AND(Inputs!$B$38&lt;&gt;"pvp",Inputs!$B$43&gt;0),((Skills!F7*((R2537-1)*IF(Skills!G7&gt;0,Skills!H7/Skills!G7,1)+IF(Skills!G7&gt;0,MIN(Skills!H7,MAX(0,MAX(0,Inputs!$B$43-B2564)-((R2537-1)*(IF(Inputs!$B$38="pvp",15,MAX(0.1,Skills!D7-IF(TRUE=TRUE,Inputs!$B$32,0)))*(1-IF(AND(ArtifactsInput!$M$27,Inputs!$B$4="Chapter Hunt"),CHOOSE(ArtifactsInput!$N$27+1,20,24,28,32,36,40),0)/100)))))/Skills!G7,1)))/Inputs!$B$43),G2537*Q2537))*IF(Inputs!$B$38="pvp",1,1+(Inputs!$B$20+Skills!O7+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2537*(1-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2537*(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2537*(1-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2537*(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7">
        <f>IF(C2537,(H2537*N2537*IF(AND(Inputs!$B$38&lt;&gt;"pvp",Inputs!$B$43&gt;0),((Skills!F7*((R2537-1)*IF(Skills!G7&gt;0,Skills!H7/Skills!G7,1)+IF(Skills!G7&gt;0,MIN(Skills!H7,MAX(0,MAX(0,Inputs!$B$43-B2564)-((R2537-1)*(IF(Inputs!$B$38="pvp",15,MAX(0.1,Skills!D7-IF(TRUE=TRUE,Inputs!$B$32,0)))*(1-IF(AND(ArtifactsInput!$M$27,Inputs!$B$4="Chapter Hunt"),CHOOSE(ArtifactsInput!$N$27+1,20,24,28,32,36,40),0)/100)))))/Skills!G7,1)))/Inputs!$B$43),G2537*Q2537))*IF(Inputs!$B$38="pvp",1,(1+(Inputs!$B$21+Skills!P7+B2558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38">
      <c r="A2538">
        <f>Skills!A8</f>
        <v/>
      </c>
      <c r="B2538">
        <f>Skills!B8</f>
        <v/>
      </c>
      <c r="C2538">
        <f>Inputs!$B$3&gt;=103</f>
        <v/>
      </c>
      <c r="D2538">
        <f>IF(Skills!C8=1,60+Inputs!$B$25+Inputs!$B$29,IF(Skills!C8=2,90+Inputs!$B$26+Inputs!$B$29,IF(Skills!C8=3,120+Inputs!$B$27+Inputs!$B$29,MAX(0,(Inputs!$B$3-100)*3)+Inputs!$B$28+Inputs!$B$29)))</f>
        <v/>
      </c>
      <c r="E2538">
        <f>INDEX(FactorTable!$B$2:$Y$301, MATCH(ROUND(MIN(300,MAX(1,D2538)),0), FactorTable!$A$2:$A$301,0), Skills!L8+1)</f>
        <v/>
      </c>
      <c r="F2538">
        <f>IF(Skills!M8=TRUE,(Skills!K8/10)*(E2538/1000),Skills!K8/10)+Skills!N8</f>
        <v/>
      </c>
      <c r="G2538">
        <f>Calc!G8</f>
        <v/>
      </c>
      <c r="H2538">
        <f>Calc!H8</f>
        <v/>
      </c>
      <c r="I2538">
        <f>IF(Skills!T8&lt;&gt;"",1+(Skills!T8/10)*(Z2533/1000)/100,1)</f>
        <v/>
      </c>
      <c r="J2538">
        <f>((Inputs!$B$6*(1+Inputs!$B$7/100))+(((Inputs!$B$12*(1+Inputs!$B$13/100))-(Inputs!$B$12*(1+Inputs!$B$13/100)))+0.25*(Inputs!$B$14-Inputs!$B$14))*(1+Inputs!$B$7/100))*(F2538/100)</f>
        <v/>
      </c>
      <c r="K2538">
        <f>J2538*(1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8="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2538)</f>
        <v/>
      </c>
      <c r="L2538">
        <f>K2538*(MIN(Inputs!$B$22+(F2548-Calc!F18),(Inputs!$B$23+(IF(ArtifactsInput!$M$15,CHOOSE(ArtifactsInput!$N$15+1,25,30,35,40,45,50)/100*(Inputs!$B$11-Inputs!$B$11),0))))/100+(Inputs!$B$23+(IF(ArtifactsInput!$M$15,CHOOSE(ArtifactsInput!$N$15+1,25,30,35,40,45,50)/100*(Inputs!$B$11-Inputs!$B$11),0)))/100)/2</f>
        <v/>
      </c>
      <c r="M2538">
        <f>L2538*(1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8">
        <f>L2538*(1-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2538*(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8">
        <f>(1-Summary!$B$11)*S2538+Summary!$B$11*U2538</f>
        <v/>
      </c>
      <c r="P2538">
        <f>IF(B2567=0,0,O2538/B2567)</f>
        <v/>
      </c>
      <c r="Q2538">
        <f>IFERROR(1/(IF(Inputs!$B$38="pvp",15,MAX(0.1,Skills!D8-IF(TRUE=TRUE,Inputs!$B$32,0)))*(1-IF(AND(ArtifactsInput!$M$27,Inputs!$B$4="Chapter Hunt"),CHOOSE(ArtifactsInput!$N$27+1,20,24,28,32,36,40),0)/100)),0)</f>
        <v/>
      </c>
      <c r="R2538">
        <f>IF(AND(Inputs!$B$38&lt;&gt;"pvp",Inputs!$B$43&gt;0),IF(MAX(0,Inputs!$B$43-B2564)&lt;=0,0,(INT(MAX(0,Inputs!$B$43-B2564)/(IF(Inputs!$B$38="pvp",15,MAX(0.1,Skills!D8-IF(TRUE=TRUE,Inputs!$B$32,0)))*(1-IF(AND(ArtifactsInput!$M$27,Inputs!$B$4="Chapter Hunt"),CHOOSE(ArtifactsInput!$N$27+1,20,24,28,32,36,40),0)/100)))+1)),0)</f>
        <v/>
      </c>
      <c r="S2538">
        <f>IF(C2538,(H2538*N2538*IF(AND(Inputs!$B$38&lt;&gt;"pvp",Inputs!$B$43&gt;0),((Skills!F8*((R2538-1)*IF(Skills!G8&gt;0,Skills!H8/Skills!G8,1)+IF(Skills!G8&gt;0,MIN(Skills!H8,MAX(0,MAX(0,Inputs!$B$43-B2564)-((R2538-1)*(IF(Inputs!$B$38="pvp",15,MAX(0.1,Skills!D8-IF(TRUE=TRUE,Inputs!$B$32,0)))*(1-IF(AND(ArtifactsInput!$M$27,Inputs!$B$4="Chapter Hunt"),CHOOSE(ArtifactsInput!$N$27+1,20,24,28,32,36,40),0)/100)))))/Skills!G8,1)))/Inputs!$B$43),G2538*Q2538))*IF(Inputs!$B$38="pvp",1,1+(Inputs!$B$20+Skills!O8+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2538*(1-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2538*(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2538*(1-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2538*(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8">
        <f>IF(C2538,(H2538*N2538*IF(AND(Inputs!$B$38&lt;&gt;"pvp",Inputs!$B$43&gt;0),((Skills!F8*((R2538-1)*IF(Skills!G8&gt;0,Skills!H8/Skills!G8,1)+IF(Skills!G8&gt;0,MIN(Skills!H8,MAX(0,MAX(0,Inputs!$B$43-B2564)-((R2538-1)*(IF(Inputs!$B$38="pvp",15,MAX(0.1,Skills!D8-IF(TRUE=TRUE,Inputs!$B$32,0)))*(1-IF(AND(ArtifactsInput!$M$27,Inputs!$B$4="Chapter Hunt"),CHOOSE(ArtifactsInput!$N$27+1,20,24,28,32,36,40),0)/100)))))/Skills!G8,1)))/Inputs!$B$43),G2538*Q2538))*IF(Inputs!$B$38="pvp",1,(1+(Inputs!$B$21+Skills!P8+B2558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39">
      <c r="A2539">
        <f>Skills!A9</f>
        <v/>
      </c>
      <c r="B2539">
        <f>Skills!B9</f>
        <v/>
      </c>
      <c r="C2539">
        <f>Inputs!$B$3&gt;=105</f>
        <v/>
      </c>
      <c r="D2539">
        <f>IF(Skills!C9=1,60+Inputs!$B$25+Inputs!$B$29,IF(Skills!C9=2,90+Inputs!$B$26+Inputs!$B$29,IF(Skills!C9=3,120+Inputs!$B$27+Inputs!$B$29,MAX(0,(Inputs!$B$3-100)*3)+Inputs!$B$28+Inputs!$B$29)))</f>
        <v/>
      </c>
      <c r="E2539">
        <f>INDEX(FactorTable!$B$2:$Y$301, MATCH(ROUND(MIN(300,MAX(1,D2539)),0), FactorTable!$A$2:$A$301,0), Skills!L9+1)</f>
        <v/>
      </c>
      <c r="F2539">
        <f>IF(Skills!M9=TRUE,(Skills!K9/10)*(E2539/1000),Skills!K9/10)+Skills!N9</f>
        <v/>
      </c>
      <c r="G2539">
        <f>Calc!G9</f>
        <v/>
      </c>
      <c r="H2539">
        <f>Calc!H9</f>
        <v/>
      </c>
      <c r="I2539">
        <f>IF(Skills!T9&lt;&gt;"",1+(Skills!T9/10)*(Z2533/1000)/100,1)</f>
        <v/>
      </c>
      <c r="J2539">
        <f>((Inputs!$B$6*(1+Inputs!$B$7/100))+(((Inputs!$B$12*(1+Inputs!$B$13/100))-(Inputs!$B$12*(1+Inputs!$B$13/100)))+0.25*(Inputs!$B$14-Inputs!$B$14))*(1+Inputs!$B$7/100))*(F2539/100)</f>
        <v/>
      </c>
      <c r="K2539">
        <f>J2539*(1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9="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2539)</f>
        <v/>
      </c>
      <c r="L2539">
        <f>K2539*(MIN(Inputs!$B$22+(F2548-Calc!F18),(Inputs!$B$23+(IF(ArtifactsInput!$M$15,CHOOSE(ArtifactsInput!$N$15+1,25,30,35,40,45,50)/100*(Inputs!$B$11-Inputs!$B$11),0))))/100+(Inputs!$B$23+(IF(ArtifactsInput!$M$15,CHOOSE(ArtifactsInput!$N$15+1,25,30,35,40,45,50)/100*(Inputs!$B$11-Inputs!$B$11),0)))/100)/2</f>
        <v/>
      </c>
      <c r="M2539">
        <f>L2539*(1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9">
        <f>L2539*(1-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2539*(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9">
        <f>(1-Summary!$B$11)*S2539+Summary!$B$11*U2539</f>
        <v/>
      </c>
      <c r="P2539">
        <f>IF(B2567=0,0,O2539/B2567)</f>
        <v/>
      </c>
      <c r="Q2539">
        <f>IFERROR(1/(IF(Inputs!$B$38="pvp",15,MAX(0.1,Skills!D9-IF(TRUE=TRUE,Inputs!$B$32,0)))*(1-IF(AND(ArtifactsInput!$M$27,Inputs!$B$4="Chapter Hunt"),CHOOSE(ArtifactsInput!$N$27+1,20,24,28,32,36,40),0)/100)),0)</f>
        <v/>
      </c>
      <c r="R2539">
        <f>IF(AND(Inputs!$B$38&lt;&gt;"pvp",Inputs!$B$43&gt;0),IF(MAX(0,Inputs!$B$43-B2564)&lt;=0,0,(INT(MAX(0,Inputs!$B$43-B2564)/(IF(Inputs!$B$38="pvp",15,MAX(0.1,Skills!D9-IF(TRUE=TRUE,Inputs!$B$32,0)))*(1-IF(AND(ArtifactsInput!$M$27,Inputs!$B$4="Chapter Hunt"),CHOOSE(ArtifactsInput!$N$27+1,20,24,28,32,36,40),0)/100)))+1)),0)</f>
        <v/>
      </c>
      <c r="S2539">
        <f>IF(C2539,(H2539*N2539*IF(AND(Inputs!$B$38&lt;&gt;"pvp",Inputs!$B$43&gt;0),((Skills!F9*((R2539-1)*IF(Skills!G9&gt;0,Skills!H9/Skills!G9,1)+IF(Skills!G9&gt;0,MIN(Skills!H9,MAX(0,MAX(0,Inputs!$B$43-B2564)-((R2539-1)*(IF(Inputs!$B$38="pvp",15,MAX(0.1,Skills!D9-IF(TRUE=TRUE,Inputs!$B$32,0)))*(1-IF(AND(ArtifactsInput!$M$27,Inputs!$B$4="Chapter Hunt"),CHOOSE(ArtifactsInput!$N$27+1,20,24,28,32,36,40),0)/100)))))/Skills!G9,1)))/Inputs!$B$43),G2539*Q2539))*IF(Inputs!$B$38="pvp",1,1+(Inputs!$B$20+Skills!O9+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2539*(1-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2539*(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2539*(1-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2539*(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9">
        <f>IF(C2539,(H2539*N2539*IF(AND(Inputs!$B$38&lt;&gt;"pvp",Inputs!$B$43&gt;0),((Skills!F9*((R2539-1)*IF(Skills!G9&gt;0,Skills!H9/Skills!G9,1)+IF(Skills!G9&gt;0,MIN(Skills!H9,MAX(0,MAX(0,Inputs!$B$43-B2564)-((R2539-1)*(IF(Inputs!$B$38="pvp",15,MAX(0.1,Skills!D9-IF(TRUE=TRUE,Inputs!$B$32,0)))*(1-IF(AND(ArtifactsInput!$M$27,Inputs!$B$4="Chapter Hunt"),CHOOSE(ArtifactsInput!$N$27+1,20,24,28,32,36,40),0)/100)))))/Skills!G9,1)))/Inputs!$B$43),G2539*Q2539))*IF(Inputs!$B$38="pvp",1,(1+(Inputs!$B$21+Skills!P9+B2558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0">
      <c r="A2540">
        <f>Skills!A10</f>
        <v/>
      </c>
      <c r="B2540">
        <f>Skills!B10</f>
        <v/>
      </c>
      <c r="C2540">
        <f>Inputs!$B$3&gt;=113</f>
        <v/>
      </c>
      <c r="D2540">
        <f>IF(Skills!C10=1,60+Inputs!$B$25+Inputs!$B$29,IF(Skills!C10=2,90+Inputs!$B$26+Inputs!$B$29,IF(Skills!C10=3,120+Inputs!$B$27+Inputs!$B$29,MAX(0,(Inputs!$B$3-100)*3)+Inputs!$B$28+Inputs!$B$29)))</f>
        <v/>
      </c>
      <c r="E2540">
        <f>INDEX(FactorTable!$B$2:$Y$301, MATCH(ROUND(MIN(300,MAX(1,D2540)),0), FactorTable!$A$2:$A$301,0), Skills!L10+1)</f>
        <v/>
      </c>
      <c r="F2540">
        <f>IF(Skills!M10=TRUE,(Skills!K10/10)*(E2540/1000),Skills!K10/10)+Skills!N10</f>
        <v/>
      </c>
      <c r="G2540">
        <f>Calc!G10</f>
        <v/>
      </c>
      <c r="H2540">
        <f>Calc!H10</f>
        <v/>
      </c>
      <c r="I2540">
        <f>IF(Skills!T10&lt;&gt;"",1+(Skills!T10/10)*(Z2533/1000)/100,1)</f>
        <v/>
      </c>
      <c r="J2540">
        <f>((Inputs!$B$6*(1+Inputs!$B$7/100))+(((Inputs!$B$12*(1+Inputs!$B$13/100))-(Inputs!$B$12*(1+Inputs!$B$13/100)))+0.25*(Inputs!$B$14-Inputs!$B$14))*(1+Inputs!$B$7/100))*(F2540/100)</f>
        <v/>
      </c>
      <c r="K2540">
        <f>J2540*(1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10="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2540)</f>
        <v/>
      </c>
      <c r="L2540">
        <f>K2540*(MIN(Inputs!$B$22+(F2548-Calc!F18),(Inputs!$B$23+(IF(ArtifactsInput!$M$15,CHOOSE(ArtifactsInput!$N$15+1,25,30,35,40,45,50)/100*(Inputs!$B$11-Inputs!$B$11),0))))/100+(Inputs!$B$23+(IF(ArtifactsInput!$M$15,CHOOSE(ArtifactsInput!$N$15+1,25,30,35,40,45,50)/100*(Inputs!$B$11-Inputs!$B$11),0)))/100)/2</f>
        <v/>
      </c>
      <c r="M2540">
        <f>L2540*(1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0">
        <f>L2540*(1-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2540*(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0">
        <f>(1-Summary!$B$11)*S2540+Summary!$B$11*U2540</f>
        <v/>
      </c>
      <c r="P2540">
        <f>IF(B2567=0,0,O2540/B2567)</f>
        <v/>
      </c>
      <c r="Q2540">
        <f>IFERROR(1/(IF(Inputs!$B$38="pvp",15,MAX(0.1,Skills!D10-IF(TRUE=TRUE,Inputs!$B$32,0)))*(1-IF(AND(ArtifactsInput!$M$27,Inputs!$B$4="Chapter Hunt"),CHOOSE(ArtifactsInput!$N$27+1,20,24,28,32,36,40),0)/100)),0)</f>
        <v/>
      </c>
      <c r="R2540" t="n">
        <v>0</v>
      </c>
      <c r="S2540">
        <f>IF(C2540,((H2540*B2568)/(1+Skills!G10*H2540*B2568)*N2540)*IF(Inputs!$B$38="pvp",1,1+(Inputs!$B$20+Skills!O10+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2540*(1-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2540*(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2540*(1-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2540*(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0">
        <f>IF(C2540,((H2540*B2568)/(1+Skills!G10*H2540*B2568)*N2540)*IF(Inputs!$B$38="pvp",1,(1+(Inputs!$B$21+Skills!P10+B2558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1">
      <c r="A2541">
        <f>Skills!A11</f>
        <v/>
      </c>
      <c r="B2541">
        <f>Skills!B11</f>
        <v/>
      </c>
      <c r="C2541">
        <f>Inputs!$B$3&gt;=107</f>
        <v/>
      </c>
      <c r="D2541">
        <f>IF(Skills!C11=1,60+Inputs!$B$25+Inputs!$B$29,IF(Skills!C11=2,90+Inputs!$B$26+Inputs!$B$29,IF(Skills!C11=3,120+Inputs!$B$27+Inputs!$B$29,MAX(0,(Inputs!$B$3-100)*3)+Inputs!$B$28+Inputs!$B$29)))</f>
        <v/>
      </c>
      <c r="E2541">
        <f>INDEX(FactorTable!$B$2:$Y$301, MATCH(ROUND(MIN(300,MAX(1,D2541)),0), FactorTable!$A$2:$A$301,0), Skills!L11+1)</f>
        <v/>
      </c>
      <c r="F2541">
        <f>IF(Skills!M11=TRUE,(Skills!K11/10)*(E2541/1000),Skills!K11/10)+Skills!N11</f>
        <v/>
      </c>
      <c r="G2541">
        <f>Calc!G11</f>
        <v/>
      </c>
      <c r="H2541">
        <f>Calc!H11</f>
        <v/>
      </c>
      <c r="I2541">
        <f>IF(Skills!T11&lt;&gt;"",1+(Skills!T11/10)*(Z2533/1000)/100,1)</f>
        <v/>
      </c>
      <c r="J2541">
        <f>((Inputs!$B$6*(1+Inputs!$B$7/100))+(((Inputs!$B$12*(1+Inputs!$B$13/100))-(Inputs!$B$12*(1+Inputs!$B$13/100)))+0.25*(Inputs!$B$14-Inputs!$B$14))*(1+Inputs!$B$7/100))*(F2541/100)</f>
        <v/>
      </c>
      <c r="K2541">
        <f>J2541*(1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11="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2541)</f>
        <v/>
      </c>
      <c r="L2541">
        <f>K2541*(MIN(Inputs!$B$22+(F2548-Calc!F18),(Inputs!$B$23+(IF(ArtifactsInput!$M$15,CHOOSE(ArtifactsInput!$N$15+1,25,30,35,40,45,50)/100*(Inputs!$B$11-Inputs!$B$11),0))))/100+(Inputs!$B$23+(IF(ArtifactsInput!$M$15,CHOOSE(ArtifactsInput!$N$15+1,25,30,35,40,45,50)/100*(Inputs!$B$11-Inputs!$B$11),0)))/100)/2</f>
        <v/>
      </c>
      <c r="M2541">
        <f>L2541*(1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1">
        <f>L2541*(1-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1">
        <f>(1-Summary!$B$11)*S2541+Summary!$B$11*U2541</f>
        <v/>
      </c>
      <c r="P2541">
        <f>IF(B2567=0,0,O2541/B2567)</f>
        <v/>
      </c>
      <c r="Q2541">
        <f>IFERROR(1/(IF(Inputs!$B$38="pvp",15,MAX(0.1,Skills!D11-IF(TRUE=TRUE,Inputs!$B$32,0)))*(1-IF(AND(ArtifactsInput!$M$27,Inputs!$B$4="Chapter Hunt"),CHOOSE(ArtifactsInput!$N$27+1,20,24,28,32,36,40),0)/100)),0)</f>
        <v/>
      </c>
      <c r="R2541">
        <f>IF(AND(Inputs!$B$38&lt;&gt;"pvp",Inputs!$B$43&gt;0),IF(MAX(0,Inputs!$B$43-B2564)&lt;=0,0,(INT(MAX(0,Inputs!$B$43-B2564)/(IF(Inputs!$B$38="pvp",15,MAX(0.1,Skills!D11-IF(TRUE=TRUE,Inputs!$B$32,0)))*(1-IF(AND(ArtifactsInput!$M$27,Inputs!$B$4="Chapter Hunt"),CHOOSE(ArtifactsInput!$N$27+1,20,24,28,32,36,40),0)/100)))+1)),0)</f>
        <v/>
      </c>
      <c r="S2541">
        <f>IF(C2541,H2541*N2541*IF(AND(Inputs!$B$38&lt;&gt;"pvp",Inputs!$B$43&gt;0),((Skills!F11*((R2541-1)*IF(Skills!G11&gt;0,Skills!H11/Skills!G11,1)+IF(Skills!G11&gt;0,MIN(Skills!H11,MAX(0,MAX(0,Inputs!$B$43-B2564)-((R2541-1)*(IF(Inputs!$B$38="pvp",15,MAX(0.1,Skills!D11-IF(TRUE=TRUE,Inputs!$B$32,0)))*(1-IF(AND(ArtifactsInput!$M$27,Inputs!$B$4="Chapter Hunt"),CHOOSE(ArtifactsInput!$N$27+1,20,24,28,32,36,40),0)/100)))))/Skills!G11,1)))/Inputs!$B$43),G2541*Q2541)*0.5*IF(Inputs!$B$38="pvp",1,1+(Inputs!$B$20+Skills!O11+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2541*(1-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2541*(1-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1">
        <f>IF(C2541,H2541*N2541*IF(AND(Inputs!$B$38&lt;&gt;"pvp",Inputs!$B$43&gt;0),((Skills!F11*((R2541-1)*IF(Skills!G11&gt;0,Skills!H11/Skills!G11,1)+IF(Skills!G11&gt;0,MIN(Skills!H11,MAX(0,MAX(0,Inputs!$B$43-B2564)-((R2541-1)*(IF(Inputs!$B$38="pvp",15,MAX(0.1,Skills!D11-IF(TRUE=TRUE,Inputs!$B$32,0)))*(1-IF(AND(ArtifactsInput!$M$27,Inputs!$B$4="Chapter Hunt"),CHOOSE(ArtifactsInput!$N$27+1,20,24,28,32,36,40),0)/100)))))/Skills!G11,1)))/Inputs!$B$43),G2541*Q2541)*1*IF(Inputs!$B$38="pvp",1,(1+(Inputs!$B$21+Skills!P11+B2558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2">
      <c r="A2542">
        <f>Skills!A12</f>
        <v/>
      </c>
      <c r="B2542">
        <f>Skills!B12</f>
        <v/>
      </c>
      <c r="C2542">
        <f>Inputs!$B$3&gt;=115</f>
        <v/>
      </c>
      <c r="D2542">
        <f>IF(Skills!C12=1,60+Inputs!$B$25+Inputs!$B$29,IF(Skills!C12=2,90+Inputs!$B$26+Inputs!$B$29,IF(Skills!C12=3,120+Inputs!$B$27+Inputs!$B$29,MAX(0,(Inputs!$B$3-100)*3)+Inputs!$B$28+Inputs!$B$29)))</f>
        <v/>
      </c>
      <c r="E2542">
        <f>INDEX(FactorTable!$B$2:$Y$301, MATCH(ROUND(MIN(300,MAX(1,D2542)),0), FactorTable!$A$2:$A$301,0), Skills!L12+1)</f>
        <v/>
      </c>
      <c r="F2542">
        <f>IF(Skills!M12=TRUE,(Skills!K12/10)*(E2542/1000),Skills!K12/10)+Skills!N12</f>
        <v/>
      </c>
      <c r="G2542">
        <f>Calc!G12</f>
        <v/>
      </c>
      <c r="H2542">
        <f>Calc!H12</f>
        <v/>
      </c>
      <c r="I2542">
        <f>IF(Skills!T12&lt;&gt;"",1+(Skills!T12/10)*(Z2533/1000)/100,1)</f>
        <v/>
      </c>
      <c r="J2542">
        <f>((Inputs!$B$6*(1+Inputs!$B$7/100))+(((Inputs!$B$12*(1+Inputs!$B$13/100))-(Inputs!$B$12*(1+Inputs!$B$13/100)))+0.25*(Inputs!$B$14-Inputs!$B$14))*(1+Inputs!$B$7/100))*(F2542/100)</f>
        <v/>
      </c>
      <c r="K2542">
        <f>J2542*(1+((Inputs!$B$12*(1+Inputs!$B$13/100))*0.01+Inputs!$B$14*0.0025)/100)*(1+(Inputs!$B$15+B2559)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2545=TRUE,F2545,0)/100)*(1+IF(C2553=TRUE,F2553,0)/100)^5*(1+(IF(Skills!A12="CHAIN_LIGHTNING",Inputs!$B$17+((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gt;=100),CHOOSE(ArtifactsInput!$N$42+1,40,48,56,64,72,80),0))))/100)*(B2557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2542)</f>
        <v/>
      </c>
      <c r="L2542">
        <f>K2542*(MIN(Inputs!$B$22+(F2548-Calc!F18),(Inputs!$B$23+(IF(ArtifactsInput!$M$15,CHOOSE(ArtifactsInput!$N$15+1,25,30,35,40,45,50)/100*(Inputs!$B$11-Inputs!$B$11),0))))/100+(Inputs!$B$23+(IF(ArtifactsInput!$M$15,CHOOSE(ArtifactsInput!$N$15+1,25,30,35,40,45,50)/100*(Inputs!$B$11-Inputs!$B$11),0)))/100)/2</f>
        <v/>
      </c>
      <c r="M2542">
        <f>L2542*(1+(Inputs!$B$10+(F2551-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2">
        <f>L2542*(1-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2542*(MIN((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2">
        <f>(1-Summary!$B$11)*S2542+Summary!$B$11*U2542</f>
        <v/>
      </c>
      <c r="P2542">
        <f>IF(B2567=0,0,O2542/B2567)</f>
        <v/>
      </c>
      <c r="Q2542">
        <f>IFERROR(1/(IF(Inputs!$B$38="pvp",15,MAX(0.1,Skills!D12-IF(TRUE=TRUE,Inputs!$B$32,0)))*(1-IF(AND(ArtifactsInput!$M$27,Inputs!$B$4="Chapter Hunt"),CHOOSE(ArtifactsInput!$N$27+1,20,24,28,32,36,40),0)/100)),0)</f>
        <v/>
      </c>
      <c r="R2542">
        <f>IF(AND(Inputs!$B$38&lt;&gt;"pvp",Inputs!$B$43&gt;0),IF(MAX(0,Inputs!$B$43-B2564)&lt;=0,0,(INT(MAX(0,Inputs!$B$43-B2564)/(IF(Inputs!$B$38="pvp",15,MAX(0.1,Skills!D12-IF(TRUE=TRUE,Inputs!$B$32,0)))*(1-IF(AND(ArtifactsInput!$M$27,Inputs!$B$4="Chapter Hunt"),CHOOSE(ArtifactsInput!$N$27+1,20,24,28,32,36,40),0)/100)))+1)),0)</f>
        <v/>
      </c>
      <c r="S2542">
        <f>IF(C2542,(H2542*N2542*IF(AND(Inputs!$B$38&lt;&gt;"pvp",Inputs!$B$43&gt;0),((Skills!F12*((R2542-1)*IF(Skills!G12&gt;0,Skills!H12/Skills!G12,1)+IF(Skills!G12&gt;0,MIN(Skills!H12,MAX(0,MAX(0,Inputs!$B$43-B2564)-((R2542-1)*(IF(Inputs!$B$38="pvp",15,MAX(0.1,Skills!D12-IF(TRUE=TRUE,Inputs!$B$32,0)))*(1-IF(AND(ArtifactsInput!$M$27,Inputs!$B$4="Chapter Hunt"),CHOOSE(ArtifactsInput!$N$27+1,20,24,28,32,36,40),0)/100)))))/Skills!G12,1)))/Inputs!$B$43),G2542*Q2542))*IF(Inputs!$B$38="pvp",1,1+(Inputs!$B$20+Skills!O12+B2558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2542*(1-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2542*(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2542*(1-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2542*(MIN(100,(Inputs!$B$9+((F2550-Calc!F20)+(F2549-Calc!F19))+(ArtifactsInput!$M$24-ArtifactsInput!$M$24)*CHOOSE(ArtifactsInput!$N$24+1,10,12,14,16,18,20)+(IF(AND(Inputs!$B$38&lt;&gt;"pvp",Inputs!$B$43=0),1,IF(IF(Inputs!$B$38="pvp",15,Inputs!$B$43)-(B2564)&lt;=0,1,MAX(0,IF(Inputs!$B$38="pvp",15,Inputs!$B$43)-MAX(5,B2564))/(IF(Inputs!$B$38="pvp",15,Inputs!$B$43)-(B2564))))*IF(AND(IF(ArtifactsInput!$M$42,FALSE,TRUE),((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2">
        <f>IF(C2542,(H2542*N2542*IF(AND(Inputs!$B$38&lt;&gt;"pvp",Inputs!$B$43&gt;0),((Skills!F12*((R2542-1)*IF(Skills!G12&gt;0,Skills!H12/Skills!G12,1)+IF(Skills!G12&gt;0,MIN(Skills!H12,MAX(0,MAX(0,Inputs!$B$43-B2564)-((R2542-1)*(IF(Inputs!$B$38="pvp",15,MAX(0.1,Skills!D12-IF(TRUE=TRUE,Inputs!$B$32,0)))*(1-IF(AND(ArtifactsInput!$M$27,Inputs!$B$4="Chapter Hunt"),CHOOSE(ArtifactsInput!$N$27+1,20,24,28,32,36,40),0)/100)))))/Skills!G12,1)))/Inputs!$B$43),G2542*Q2542))*IF(Inputs!$B$38="pvp",1,(1+(Inputs!$B$21+Skills!P12+B2558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3">
      <c r="A2543">
        <f>Skills!A13</f>
        <v/>
      </c>
      <c r="B2543">
        <f>Skills!B13</f>
        <v/>
      </c>
      <c r="C2543">
        <f>Inputs!$B$3&gt;=49</f>
        <v/>
      </c>
      <c r="D2543">
        <f>IF(Skills!C13=1,60+Inputs!$B$25+Inputs!$B$29,IF(Skills!C13=2,90+Inputs!$B$26+Inputs!$B$29,IF(Skills!C13=3,120+Inputs!$B$27+Inputs!$B$29,MAX(0,(Inputs!$B$3-100)*3)+Inputs!$B$28+Inputs!$B$29)))</f>
        <v/>
      </c>
      <c r="E2543">
        <f>INDEX(FactorTable!$B$2:$Y$301, MATCH(ROUND(MIN(300,MAX(1,D2543)),0), FactorTable!$A$2:$A$301,0), Skills!L13+1)</f>
        <v/>
      </c>
      <c r="F2543">
        <f>IF(Skills!M13=TRUE,(Skills!K13/10)*(E2543/1000),Skills!K13/10)+Skills!N13</f>
        <v/>
      </c>
      <c r="G2543">
        <f>Calc!G13</f>
        <v/>
      </c>
      <c r="H2543">
        <f>Calc!H13</f>
        <v/>
      </c>
      <c r="I2543">
        <f>IF(Skills!T13&lt;&gt;"",1+(Skills!T13/10)*(Z2533/1000)/100,1)</f>
        <v/>
      </c>
      <c r="J2543" t="inlineStr"/>
      <c r="K2543" t="inlineStr"/>
      <c r="L2543" t="inlineStr"/>
      <c r="M2543" t="inlineStr"/>
      <c r="N2543" t="inlineStr"/>
      <c r="O2543">
        <f>(1-Summary!$B$11)*S2543+Summary!$B$11*U2543</f>
        <v/>
      </c>
      <c r="P2543">
        <f>IF(B2567=0,0,O2543/B2567)</f>
        <v/>
      </c>
      <c r="Q2543">
        <f>IFERROR(1/(IF(Inputs!$B$38="pvp",15,MAX(0.1,Skills!D13-IF(TRUE=TRUE,Inputs!$B$32,0)))*(1-IF(AND(ArtifactsInput!$M$27,Inputs!$B$4="Chapter Hunt"),CHOOSE(ArtifactsInput!$N$27+1,20,24,28,32,36,40),0)/100)),0)</f>
        <v/>
      </c>
      <c r="R2543" t="n">
        <v>0</v>
      </c>
      <c r="S2543" t="n">
        <v>0</v>
      </c>
      <c r="U2543" t="n">
        <v>0</v>
      </c>
    </row>
    <row r="2544">
      <c r="A2544">
        <f>Skills!A14</f>
        <v/>
      </c>
      <c r="B2544">
        <f>Skills!B14</f>
        <v/>
      </c>
      <c r="C2544">
        <f>Inputs!$B$3&gt;=72</f>
        <v/>
      </c>
      <c r="D2544">
        <f>IF(Skills!C14=1,60+Inputs!$B$25+Inputs!$B$29,IF(Skills!C14=2,90+Inputs!$B$26+Inputs!$B$29,IF(Skills!C14=3,120+Inputs!$B$27+Inputs!$B$29,MAX(0,(Inputs!$B$3-100)*3)+Inputs!$B$28+Inputs!$B$29)))</f>
        <v/>
      </c>
      <c r="E2544">
        <f>INDEX(FactorTable!$B$2:$Y$301, MATCH(ROUND(MIN(300,MAX(1,D2544)),0), FactorTable!$A$2:$A$301,0), Skills!L14+1)</f>
        <v/>
      </c>
      <c r="F2544">
        <f>IF(Skills!M14=TRUE,(Skills!K14/10)*(E2544/1000),Skills!K14/10)+Skills!N14</f>
        <v/>
      </c>
      <c r="G2544">
        <f>Calc!G14</f>
        <v/>
      </c>
      <c r="H2544">
        <f>Calc!H14</f>
        <v/>
      </c>
      <c r="I2544">
        <f>IF(Skills!T14&lt;&gt;"",1+(Skills!T14/10)*(Z2533/1000)/100,1)</f>
        <v/>
      </c>
      <c r="J2544" t="inlineStr"/>
      <c r="K2544" t="inlineStr"/>
      <c r="L2544" t="inlineStr"/>
      <c r="M2544" t="inlineStr"/>
      <c r="N2544" t="inlineStr"/>
      <c r="O2544">
        <f>(1-Summary!$B$11)*S2544+Summary!$B$11*U2544</f>
        <v/>
      </c>
      <c r="P2544">
        <f>IF(B2567=0,0,O2544/B2567)</f>
        <v/>
      </c>
      <c r="Q2544">
        <f>IFERROR(1/(IF(Inputs!$B$38="pvp",15,MAX(0.1,Skills!D14-IF(TRUE=TRUE,Inputs!$B$32,0)))*(1-IF(AND(ArtifactsInput!$M$27,Inputs!$B$4="Chapter Hunt"),CHOOSE(ArtifactsInput!$N$27+1,20,24,28,32,36,40),0)/100)),0)</f>
        <v/>
      </c>
      <c r="R2544" t="n">
        <v>0</v>
      </c>
      <c r="S2544" t="n">
        <v>0</v>
      </c>
      <c r="U2544" t="n">
        <v>0</v>
      </c>
    </row>
    <row r="2545">
      <c r="A2545">
        <f>Skills!A15</f>
        <v/>
      </c>
      <c r="B2545">
        <f>Skills!B15</f>
        <v/>
      </c>
      <c r="C2545">
        <f>Inputs!$B$3&gt;=75</f>
        <v/>
      </c>
      <c r="D2545">
        <f>IF(Skills!C15=1,60+Inputs!$B$25+Inputs!$B$29,IF(Skills!C15=2,90+Inputs!$B$26+Inputs!$B$29,IF(Skills!C15=3,120+Inputs!$B$27+Inputs!$B$29,MAX(0,(Inputs!$B$3-100)*3)+Inputs!$B$28+Inputs!$B$29)))</f>
        <v/>
      </c>
      <c r="E2545">
        <f>INDEX(FactorTable!$B$2:$Y$301, MATCH(ROUND(MIN(300,MAX(1,D2545)),0), FactorTable!$A$2:$A$301,0), Skills!L15+1)</f>
        <v/>
      </c>
      <c r="F2545">
        <f>IF(Skills!M15=TRUE,(Skills!K15/10)*(E2545/1000),Skills!K15/10)+Skills!N15</f>
        <v/>
      </c>
      <c r="G2545">
        <f>Calc!G15</f>
        <v/>
      </c>
      <c r="H2545">
        <f>Calc!H15</f>
        <v/>
      </c>
      <c r="I2545">
        <f>IF(Skills!T15&lt;&gt;"",1+(Skills!T15/10)*(Z2533/1000)/100,1)</f>
        <v/>
      </c>
      <c r="J2545" t="inlineStr"/>
      <c r="K2545" t="inlineStr"/>
      <c r="L2545" t="inlineStr"/>
      <c r="M2545" t="inlineStr"/>
      <c r="N2545" t="inlineStr"/>
      <c r="O2545">
        <f>(1-Summary!$B$11)*S2545+Summary!$B$11*U2545</f>
        <v/>
      </c>
      <c r="P2545">
        <f>IF(B2567=0,0,O2545/B2567)</f>
        <v/>
      </c>
      <c r="Q2545">
        <f>IFERROR(1/(IF(Inputs!$B$38="pvp",15,MAX(0.1,Skills!D15-IF(TRUE=TRUE,Inputs!$B$32,0)))*(1-IF(AND(ArtifactsInput!$M$27,Inputs!$B$4="Chapter Hunt"),CHOOSE(ArtifactsInput!$N$27+1,20,24,28,32,36,40),0)/100)),0)</f>
        <v/>
      </c>
      <c r="R2545" t="n">
        <v>0</v>
      </c>
      <c r="S2545" t="n">
        <v>0</v>
      </c>
      <c r="U2545" t="n">
        <v>0</v>
      </c>
    </row>
    <row r="2546">
      <c r="A2546">
        <f>Skills!A16</f>
        <v/>
      </c>
      <c r="B2546">
        <f>Skills!B16</f>
        <v/>
      </c>
      <c r="C2546">
        <f>Inputs!$B$3&gt;=110</f>
        <v/>
      </c>
      <c r="D2546">
        <f>IF(Skills!C16=1,60+Inputs!$B$25+Inputs!$B$29,IF(Skills!C16=2,90+Inputs!$B$26+Inputs!$B$29,IF(Skills!C16=3,120+Inputs!$B$27+Inputs!$B$29,MAX(0,(Inputs!$B$3-100)*3)+Inputs!$B$28+Inputs!$B$29)))</f>
        <v/>
      </c>
      <c r="E2546">
        <f>INDEX(FactorTable!$B$2:$Y$301, MATCH(ROUND(MIN(300,MAX(1,D2546)),0), FactorTable!$A$2:$A$301,0), Skills!L16+1)</f>
        <v/>
      </c>
      <c r="F2546">
        <f>(Skills!K16/10)*(E2546/1000)*64/45+Skills!N16</f>
        <v/>
      </c>
      <c r="G2546">
        <f>Calc!G16</f>
        <v/>
      </c>
      <c r="H2546">
        <f>Calc!H16</f>
        <v/>
      </c>
      <c r="I2546">
        <f>IF(Skills!T16&lt;&gt;"",1+(Skills!T16/10)*(Z2533/1000)/100,1)</f>
        <v/>
      </c>
      <c r="J2546" t="inlineStr"/>
      <c r="K2546" t="inlineStr"/>
      <c r="L2546" t="inlineStr"/>
      <c r="M2546" t="inlineStr"/>
      <c r="N2546" t="inlineStr"/>
      <c r="O2546">
        <f>(1-Summary!$B$11)*S2546+Summary!$B$11*U2546</f>
        <v/>
      </c>
      <c r="P2546">
        <f>IF(B2567=0,0,O2546/B2567)</f>
        <v/>
      </c>
      <c r="Q2546">
        <f>IFERROR(1/(IF(Inputs!$B$38="pvp",15,MAX(0.1,Skills!D16-IF(TRUE=TRUE,Inputs!$B$32,0)))*(1-IF(AND(ArtifactsInput!$M$27,Inputs!$B$4="Chapter Hunt"),CHOOSE(ArtifactsInput!$N$27+1,20,24,28,32,36,40),0)/100)),0)</f>
        <v/>
      </c>
      <c r="R2546">
        <f>IF(AND(Inputs!$B$38&lt;&gt;"pvp",Inputs!$B$43&gt;0),IF(Inputs!$B$43&lt;=0,0,(INT(Inputs!$B$43/(IF(Inputs!$B$38="pvp",15,MAX(0.1,Skills!D16-IF(TRUE=TRUE,Inputs!$B$32,0)))*(1-IF(AND(ArtifactsInput!$M$27,Inputs!$B$4="Chapter Hunt"),CHOOSE(ArtifactsInput!$N$27+1,20,24,28,32,36,40),0)/100)))+1)),0)</f>
        <v/>
      </c>
      <c r="S2546" t="n">
        <v>0</v>
      </c>
      <c r="U2546" t="n">
        <v>0</v>
      </c>
    </row>
    <row r="2547">
      <c r="A2547">
        <f>Skills!A17</f>
        <v/>
      </c>
      <c r="B2547">
        <f>Skills!B17</f>
        <v/>
      </c>
      <c r="C2547">
        <f>Inputs!$B$3&gt;=33</f>
        <v/>
      </c>
      <c r="D2547">
        <f>IF(Skills!C17=1,60+Inputs!$B$25+Inputs!$B$29,IF(Skills!C17=2,90+Inputs!$B$26+Inputs!$B$29,IF(Skills!C17=3,120+Inputs!$B$27+Inputs!$B$29,MAX(0,(Inputs!$B$3-100)*3)+Inputs!$B$28+Inputs!$B$29)))</f>
        <v/>
      </c>
      <c r="E2547">
        <f>INDEX(FactorTable!$B$2:$Y$301, MATCH(ROUND(MIN(300,MAX(1,D2547)),0), FactorTable!$A$2:$A$301,0), Skills!L17+1)</f>
        <v/>
      </c>
      <c r="F2547">
        <f>IF(Skills!M17=TRUE,(Skills!K17/10)*(E2547/1000),Skills!K17/10)+Skills!N17</f>
        <v/>
      </c>
      <c r="G2547">
        <f>Calc!G17</f>
        <v/>
      </c>
      <c r="H2547">
        <f>Calc!H17</f>
        <v/>
      </c>
      <c r="I2547">
        <f>IF(Skills!T17&lt;&gt;"",1+(Skills!T17/10)*(Z2533/1000)/100,1)</f>
        <v/>
      </c>
      <c r="J2547" t="inlineStr"/>
      <c r="K2547" t="inlineStr"/>
      <c r="L2547" t="inlineStr"/>
      <c r="M2547" t="inlineStr"/>
      <c r="N2547" t="inlineStr"/>
      <c r="O2547">
        <f>(1-Summary!$B$11)*S2547+Summary!$B$11*U2547</f>
        <v/>
      </c>
      <c r="P2547">
        <f>IF(B2567=0,0,O2547/B2567)</f>
        <v/>
      </c>
      <c r="Q2547">
        <f>IFERROR(1/(IF(Inputs!$B$38="pvp",15,MAX(0.1,Skills!D17-IF(TRUE=TRUE,Inputs!$B$32,0)))*(1-IF(AND(ArtifactsInput!$M$27,Inputs!$B$4="Chapter Hunt"),CHOOSE(ArtifactsInput!$N$27+1,20,24,28,32,36,40),0)/100)),0)</f>
        <v/>
      </c>
      <c r="R2547" t="n">
        <v>0</v>
      </c>
      <c r="S2547" t="n">
        <v>0</v>
      </c>
      <c r="U2547" t="n">
        <v>0</v>
      </c>
    </row>
    <row r="2548">
      <c r="A2548">
        <f>Skills!A18</f>
        <v/>
      </c>
      <c r="B2548">
        <f>Skills!B18</f>
        <v/>
      </c>
      <c r="C2548">
        <f>Inputs!$B$3&gt;=43</f>
        <v/>
      </c>
      <c r="D2548">
        <f>IF(Skills!C18=1,60+Inputs!$B$25+Inputs!$B$29,IF(Skills!C18=2,90+Inputs!$B$26+Inputs!$B$29,IF(Skills!C18=3,120+Inputs!$B$27+Inputs!$B$29,MAX(0,(Inputs!$B$3-100)*3)+Inputs!$B$28+Inputs!$B$29)))</f>
        <v/>
      </c>
      <c r="E2548">
        <f>INDEX(FactorTable!$B$2:$Y$301, MATCH(ROUND(MIN(300,MAX(1,D2548)),0), FactorTable!$A$2:$A$301,0), Skills!L18+1)</f>
        <v/>
      </c>
      <c r="F2548">
        <f>IF(Skills!M18=TRUE,(Skills!K18/10)*(E2548/1000),Skills!K18/10)+Skills!N18</f>
        <v/>
      </c>
      <c r="G2548">
        <f>Calc!G18</f>
        <v/>
      </c>
      <c r="H2548">
        <f>Calc!H18</f>
        <v/>
      </c>
      <c r="I2548">
        <f>IF(Skills!T18&lt;&gt;"",1+(Skills!T18/10)*(Z2533/1000)/100,1)</f>
        <v/>
      </c>
      <c r="J2548" t="inlineStr"/>
      <c r="K2548" t="inlineStr"/>
      <c r="L2548" t="inlineStr"/>
      <c r="M2548" t="inlineStr"/>
      <c r="N2548" t="inlineStr"/>
      <c r="O2548">
        <f>(1-Summary!$B$11)*S2548+Summary!$B$11*U2548</f>
        <v/>
      </c>
      <c r="P2548">
        <f>IF(B2567=0,0,O2548/B2567)</f>
        <v/>
      </c>
      <c r="Q2548">
        <f>IFERROR(1/(IF(Inputs!$B$38="pvp",15,MAX(0.1,Skills!D18-IF(TRUE=TRUE,Inputs!$B$32,0)))*(1-IF(AND(ArtifactsInput!$M$27,Inputs!$B$4="Chapter Hunt"),CHOOSE(ArtifactsInput!$N$27+1,20,24,28,32,36,40),0)/100)),0)</f>
        <v/>
      </c>
      <c r="R2548" t="n">
        <v>0</v>
      </c>
      <c r="S2548" t="n">
        <v>0</v>
      </c>
      <c r="U2548" t="n">
        <v>0</v>
      </c>
    </row>
    <row r="2549">
      <c r="A2549">
        <f>Skills!A19</f>
        <v/>
      </c>
      <c r="B2549">
        <f>Skills!B19</f>
        <v/>
      </c>
      <c r="C2549">
        <f>Inputs!$B$3&gt;=50</f>
        <v/>
      </c>
      <c r="D2549">
        <f>IF(Skills!C19=1,60+Inputs!$B$25+Inputs!$B$29,IF(Skills!C19=2,90+Inputs!$B$26+Inputs!$B$29,IF(Skills!C19=3,120+Inputs!$B$27+Inputs!$B$29,MAX(0,(Inputs!$B$3-100)*3)+Inputs!$B$28+Inputs!$B$29)))</f>
        <v/>
      </c>
      <c r="E2549">
        <f>INDEX(FactorTable!$B$2:$Y$301, MATCH(ROUND(MIN(300,MAX(1,D2549)),0), FactorTable!$A$2:$A$301,0), Skills!L19+1)</f>
        <v/>
      </c>
      <c r="F2549">
        <f>IF(Skills!M19=TRUE,(Skills!K19/10)*(E2549/1000),Skills!K19/10)+Skills!N19</f>
        <v/>
      </c>
      <c r="G2549">
        <f>Calc!G19</f>
        <v/>
      </c>
      <c r="H2549">
        <f>Calc!H19</f>
        <v/>
      </c>
      <c r="I2549">
        <f>IF(Skills!T19&lt;&gt;"",1+(Skills!T19/10)*(Z2533/1000)/100,1)</f>
        <v/>
      </c>
      <c r="J2549" t="inlineStr"/>
      <c r="K2549" t="inlineStr"/>
      <c r="L2549" t="inlineStr"/>
      <c r="M2549" t="inlineStr"/>
      <c r="N2549" t="inlineStr"/>
      <c r="O2549">
        <f>(1-Summary!$B$11)*S2549+Summary!$B$11*U2549</f>
        <v/>
      </c>
      <c r="P2549">
        <f>IF(B2567=0,0,O2549/B2567)</f>
        <v/>
      </c>
      <c r="Q2549">
        <f>IFERROR(1/(IF(Inputs!$B$38="pvp",15,MAX(0.1,Skills!D19-IF(TRUE=TRUE,Inputs!$B$32,0)))*(1-IF(AND(ArtifactsInput!$M$27,Inputs!$B$4="Chapter Hunt"),CHOOSE(ArtifactsInput!$N$27+1,20,24,28,32,36,40),0)/100)),0)</f>
        <v/>
      </c>
      <c r="R2549" t="n">
        <v>0</v>
      </c>
      <c r="S2549" t="n">
        <v>0</v>
      </c>
      <c r="U2549" t="n">
        <v>0</v>
      </c>
    </row>
    <row r="2550">
      <c r="A2550">
        <f>Skills!A20</f>
        <v/>
      </c>
      <c r="B2550">
        <f>Skills!B20</f>
        <v/>
      </c>
      <c r="C2550">
        <f>Inputs!$B$3&gt;=74</f>
        <v/>
      </c>
      <c r="D2550">
        <f>IF(Skills!C20=1,60+Inputs!$B$25+Inputs!$B$29,IF(Skills!C20=2,90+Inputs!$B$26+Inputs!$B$29,IF(Skills!C20=3,120+Inputs!$B$27+Inputs!$B$29,MAX(0,(Inputs!$B$3-100)*3)+Inputs!$B$28+Inputs!$B$29)))</f>
        <v/>
      </c>
      <c r="E2550">
        <f>INDEX(FactorTable!$B$2:$Y$301, MATCH(ROUND(MIN(300,MAX(1,D2550)),0), FactorTable!$A$2:$A$301,0), Skills!L20+1)</f>
        <v/>
      </c>
      <c r="F2550">
        <f>IF(Skills!M20=TRUE,(Skills!K20/10)*(E2550/1000),Skills!K20/10)+Skills!N20</f>
        <v/>
      </c>
      <c r="G2550">
        <f>Calc!G20</f>
        <v/>
      </c>
      <c r="H2550">
        <f>Calc!H20</f>
        <v/>
      </c>
      <c r="I2550">
        <f>IF(Skills!T20&lt;&gt;"",1+(Skills!T20/10)*(Z2533/1000)/100,1)</f>
        <v/>
      </c>
      <c r="J2550" t="inlineStr"/>
      <c r="K2550" t="inlineStr"/>
      <c r="L2550" t="inlineStr"/>
      <c r="M2550" t="inlineStr"/>
      <c r="N2550" t="inlineStr"/>
      <c r="O2550">
        <f>(1-Summary!$B$11)*S2550+Summary!$B$11*U2550</f>
        <v/>
      </c>
      <c r="P2550">
        <f>IF(B2567=0,0,O2550/B2567)</f>
        <v/>
      </c>
      <c r="Q2550">
        <f>IFERROR(1/(IF(Inputs!$B$38="pvp",15,MAX(0.1,Skills!D20-IF(TRUE=TRUE,Inputs!$B$32,0)))*(1-IF(AND(ArtifactsInput!$M$27,Inputs!$B$4="Chapter Hunt"),CHOOSE(ArtifactsInput!$N$27+1,20,24,28,32,36,40),0)/100)),0)</f>
        <v/>
      </c>
      <c r="R2550" t="n">
        <v>0</v>
      </c>
      <c r="S2550" t="n">
        <v>0</v>
      </c>
      <c r="U2550" t="n">
        <v>0</v>
      </c>
    </row>
    <row r="2551">
      <c r="A2551">
        <f>Skills!A21</f>
        <v/>
      </c>
      <c r="B2551">
        <f>Skills!B21</f>
        <v/>
      </c>
      <c r="C2551">
        <f>Inputs!$B$3&gt;=74</f>
        <v/>
      </c>
      <c r="D2551">
        <f>IF(Skills!C21=1,60+Inputs!$B$25+Inputs!$B$29,IF(Skills!C21=2,90+Inputs!$B$26+Inputs!$B$29,IF(Skills!C21=3,120+Inputs!$B$27+Inputs!$B$29,MAX(0,(Inputs!$B$3-100)*3)+Inputs!$B$28+Inputs!$B$29)))</f>
        <v/>
      </c>
      <c r="E2551">
        <f>INDEX(FactorTable!$B$2:$Y$301, MATCH(ROUND(MIN(300,MAX(1,D2551)),0), FactorTable!$A$2:$A$301,0), Skills!L21+1)</f>
        <v/>
      </c>
      <c r="F2551">
        <f>IF(Skills!M21=TRUE,(Skills!K21/10)*(E2551/1000),Skills!K21/10)+Skills!N21</f>
        <v/>
      </c>
      <c r="G2551">
        <f>Calc!G21</f>
        <v/>
      </c>
      <c r="H2551">
        <f>Calc!H21</f>
        <v/>
      </c>
      <c r="I2551">
        <f>IF(Skills!T21&lt;&gt;"",1+(Skills!T21/10)*(Z2533/1000)/100,1)</f>
        <v/>
      </c>
      <c r="J2551" t="inlineStr"/>
      <c r="K2551" t="inlineStr"/>
      <c r="L2551" t="inlineStr"/>
      <c r="M2551" t="inlineStr"/>
      <c r="N2551" t="inlineStr"/>
      <c r="O2551">
        <f>(1-Summary!$B$11)*S2551+Summary!$B$11*U2551</f>
        <v/>
      </c>
      <c r="P2551">
        <f>IF(B2567=0,0,O2551/B2567)</f>
        <v/>
      </c>
      <c r="Q2551">
        <f>IFERROR(1/(IF(Inputs!$B$38="pvp",15,MAX(0.1,Skills!D21-IF(TRUE=TRUE,Inputs!$B$32,0)))*(1-IF(AND(ArtifactsInput!$M$27,Inputs!$B$4="Chapter Hunt"),CHOOSE(ArtifactsInput!$N$27+1,20,24,28,32,36,40),0)/100)),0)</f>
        <v/>
      </c>
      <c r="R2551" t="n">
        <v>0</v>
      </c>
      <c r="S2551" t="n">
        <v>0</v>
      </c>
      <c r="U2551" t="n">
        <v>0</v>
      </c>
    </row>
    <row r="2552">
      <c r="A2552">
        <f>Skills!A22</f>
        <v/>
      </c>
      <c r="B2552">
        <f>Skills!B22</f>
        <v/>
      </c>
      <c r="C2552">
        <f>Inputs!$B$3&gt;=117</f>
        <v/>
      </c>
      <c r="D2552">
        <f>IF(Skills!C22=1,60+Inputs!$B$25+Inputs!$B$29,IF(Skills!C22=2,90+Inputs!$B$26+Inputs!$B$29,IF(Skills!C22=3,120+Inputs!$B$27+Inputs!$B$29,MAX(0,(Inputs!$B$3-100)*3)+Inputs!$B$28+Inputs!$B$29)))</f>
        <v/>
      </c>
      <c r="E2552">
        <f>INDEX(FactorTable!$B$2:$Y$301, MATCH(ROUND(MIN(300,MAX(1,D2552)),0), FactorTable!$A$2:$A$301,0), Skills!L22+1)</f>
        <v/>
      </c>
      <c r="F2552">
        <f>IF(Skills!M22=TRUE,(Skills!K22/10)*(E2552/1000),Skills!K22/10)+Skills!N22</f>
        <v/>
      </c>
      <c r="G2552">
        <f>Calc!G22</f>
        <v/>
      </c>
      <c r="H2552">
        <f>Calc!H22</f>
        <v/>
      </c>
      <c r="I2552">
        <f>IF(Skills!T22&lt;&gt;"",1+(Skills!T22/10)*(Z2533/1000)/100,1)</f>
        <v/>
      </c>
      <c r="J2552" t="inlineStr"/>
      <c r="K2552" t="inlineStr"/>
      <c r="L2552" t="inlineStr"/>
      <c r="M2552" t="inlineStr"/>
      <c r="N2552" t="inlineStr"/>
      <c r="O2552">
        <f>(1-Summary!$B$11)*S2552+Summary!$B$11*U2552</f>
        <v/>
      </c>
      <c r="P2552">
        <f>IF(B2567=0,0,O2552/B2567)</f>
        <v/>
      </c>
      <c r="Q2552">
        <f>IFERROR(1/(IF(Inputs!$B$38="pvp",15,MAX(0.1,Skills!D22-IF(TRUE=TRUE,Inputs!$B$32,0)))*(1-IF(AND(ArtifactsInput!$M$27,Inputs!$B$4="Chapter Hunt"),CHOOSE(ArtifactsInput!$N$27+1,20,24,28,32,36,40),0)/100)),0)</f>
        <v/>
      </c>
      <c r="R2552" t="n">
        <v>0</v>
      </c>
      <c r="S2552" t="n">
        <v>0</v>
      </c>
      <c r="U2552" t="n">
        <v>0</v>
      </c>
    </row>
    <row r="2553">
      <c r="A2553">
        <f>Skills!A23</f>
        <v/>
      </c>
      <c r="B2553">
        <f>Skills!B23</f>
        <v/>
      </c>
      <c r="C2553">
        <f>Inputs!$B$3&gt;=120</f>
        <v/>
      </c>
      <c r="D2553">
        <f>IF(Skills!C23=1,60+Inputs!$B$25+Inputs!$B$29,IF(Skills!C23=2,90+Inputs!$B$26+Inputs!$B$29,IF(Skills!C23=3,120+Inputs!$B$27+Inputs!$B$29,MAX(0,(Inputs!$B$3-100)*3)+Inputs!$B$28+Inputs!$B$29)))</f>
        <v/>
      </c>
      <c r="E2553">
        <f>INDEX(FactorTable!$B$2:$Y$301, MATCH(ROUND(MIN(300,MAX(1,D2553)),0), FactorTable!$A$2:$A$301,0), Skills!L23+1)</f>
        <v/>
      </c>
      <c r="F2553">
        <f>IF(Skills!M23=TRUE,(Skills!K23/10)*(E2553/1000),Skills!K23/10)+Skills!N23</f>
        <v/>
      </c>
      <c r="G2553">
        <f>Calc!G23</f>
        <v/>
      </c>
      <c r="H2553">
        <f>Calc!H23</f>
        <v/>
      </c>
      <c r="I2553">
        <f>IF(Skills!T23&lt;&gt;"",1+(Skills!T23/10)*(Z2533/1000)/100,1)</f>
        <v/>
      </c>
      <c r="J2553" t="inlineStr"/>
      <c r="K2553" t="inlineStr"/>
      <c r="L2553" t="inlineStr"/>
      <c r="M2553" t="inlineStr"/>
      <c r="N2553" t="inlineStr"/>
      <c r="O2553">
        <f>(1-Summary!$B$11)*S2553+Summary!$B$11*U2553</f>
        <v/>
      </c>
      <c r="P2553">
        <f>IF(B2567=0,0,O2553/B2567)</f>
        <v/>
      </c>
      <c r="Q2553">
        <f>IFERROR(1/(IF(Inputs!$B$38="pvp",15,MAX(0.1,Skills!D23-IF(TRUE=TRUE,Inputs!$B$32,0)))*(1-IF(AND(ArtifactsInput!$M$27,Inputs!$B$4="Chapter Hunt"),CHOOSE(ArtifactsInput!$N$27+1,20,24,28,32,36,40),0)/100)),0)</f>
        <v/>
      </c>
      <c r="R2553" t="n">
        <v>0</v>
      </c>
      <c r="S2553" t="n">
        <v>0</v>
      </c>
      <c r="U2553" t="n">
        <v>0</v>
      </c>
    </row>
    <row r="2554">
      <c r="A2554">
        <f>Skills!A24</f>
        <v/>
      </c>
      <c r="B2554">
        <f>Skills!B24</f>
        <v/>
      </c>
      <c r="C2554">
        <f>TRUE</f>
        <v/>
      </c>
      <c r="D2554">
        <f>IF(Skills!C24=1,60+Inputs!$B$25+Inputs!$B$29,IF(Skills!C24=2,90+Inputs!$B$26+Inputs!$B$29,IF(Skills!C24=3,120+Inputs!$B$27+Inputs!$B$29,MAX(0,(Inputs!$B$3-100)*3)+Inputs!$B$28+Inputs!$B$29)))</f>
        <v/>
      </c>
      <c r="E2554">
        <f>INDEX(FactorTable!$B$2:$Y$301, MATCH(ROUND(MIN(300,MAX(1,D2554)),0), FactorTable!$A$2:$A$301,0), Skills!L24+1)</f>
        <v/>
      </c>
      <c r="F2554">
        <f>IF(Skills!M24=TRUE,(Skills!K24/10)*(E2554/1000),Skills!K24/10)+Skills!N24</f>
        <v/>
      </c>
      <c r="G2554">
        <f>Calc!G24</f>
        <v/>
      </c>
      <c r="H2554">
        <f>Calc!H24</f>
        <v/>
      </c>
      <c r="I2554">
        <f>IF(Skills!T24&lt;&gt;"",1+(Skills!T24/10)*(Z2533/1000)/100,1)</f>
        <v/>
      </c>
      <c r="J2554" t="inlineStr"/>
      <c r="K2554" t="inlineStr"/>
      <c r="L2554" t="inlineStr"/>
      <c r="M2554" t="inlineStr"/>
      <c r="N2554" t="inlineStr"/>
      <c r="O2554">
        <f>(1-Summary!$B$11)*S2554+Summary!$B$11*U2554</f>
        <v/>
      </c>
      <c r="P2554">
        <f>IF(B2567=0,0,O2554/B2567)</f>
        <v/>
      </c>
      <c r="Q2554">
        <f>IFERROR(1/(IF(Inputs!$B$38="pvp",15,MAX(0.1,Skills!D24-IF(TRUE=TRUE,Inputs!$B$32,0)))*(1-IF(AND(ArtifactsInput!$M$27,Inputs!$B$4="Chapter Hunt"),CHOOSE(ArtifactsInput!$N$27+1,20,24,28,32,36,40),0)/100)),0)</f>
        <v/>
      </c>
      <c r="R2554">
        <f>IF(AND(Inputs!$B$38&lt;&gt;"pvp",Inputs!$B$43&gt;0),IF(Inputs!$B$43&lt;=0,0,(INT(Inputs!$B$43/(IF(Inputs!$B$38="pvp",15,MAX(0.1,Skills!D24-IF(TRUE=TRUE,Inputs!$B$32,0)))*(1-IF(AND(ArtifactsInput!$M$27,Inputs!$B$4="Chapter Hunt"),CHOOSE(ArtifactsInput!$N$27+1,20,24,28,32,36,40),0)/100)))+1)),0)</f>
        <v/>
      </c>
      <c r="S2554" t="n">
        <v>0</v>
      </c>
      <c r="U2554" t="n">
        <v>0</v>
      </c>
    </row>
    <row r="2557">
      <c r="A2557" t="inlineStr">
        <is>
          <t>Average Buff Multiplier (Magic Guard + Meditation + Artifact Attack%, summed; then Infinity)</t>
        </is>
      </c>
      <c r="B2557">
        <f>(1+(IF(C2533=TRUE,F2533*IF(AND(Inputs!$B$38&lt;&gt;"pvp",Inputs!$B$43&gt;0),(((R2533-1)*MIN((Skills!S3*(1+(Inputs!$B$34)/100)),(1/Q2533))+MIN((Skills!S3*(1+(Inputs!$B$34)/100)),MAX(0,Inputs!$B$43-((R2533-1)*(1/Q2533)))))/Inputs!$B$43),IF(Inputs!$B$38="pvp",MIN((Skills!S3*(1+(Inputs!$B$34)/100)),15)/15,MIN(1,(Skills!S3*(1+(Inputs!$B$34)/100))/(1/Q2533)))),0)+IF(C2534=TRUE,F2534*IF(AND(Inputs!$B$38&lt;&gt;"pvp",Inputs!$B$43&gt;0),(((R2534-1)*MIN((Skills!S4*(1+(Inputs!$B$34)/100)),(1/Q2534))+MIN((Skills!S4*(1+(Inputs!$B$34)/100)),MAX(0,Inputs!$B$43-((R2534-1)*(1/Q2534)))))/Inputs!$B$43),IF(Inputs!$B$38="pvp",MIN((Skills!S4*(1+(Inputs!$B$34)/100)),15)/15,MIN(1,(Skills!S4*(1+(Inputs!$B$34)/100))/(1/Q2534)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2546=TRUE,(1+F2546*IF(AND(Inputs!$B$38&lt;&gt;"pvp",Inputs!$B$43&gt;0),(((R2546-1)*MIN((Skills!S16*(1+(Inputs!$B$34)/100)),(1/Q2546))+MIN((Skills!S16*(1+(Inputs!$B$34)/100)),MAX(0,Inputs!$B$43-((R2546-1)*(1/Q2546)))))/Inputs!$B$43),IF(Inputs!$B$38="pvp",MIN((Skills!S16*(1+(Inputs!$B$34)/100)),15)/15,MIN(1,(Skills!S16*(1+(Inputs!$B$34)/100))/(1/Q2546))))/100),1)</f>
        <v/>
      </c>
    </row>
    <row r="2558">
      <c r="A2558" t="inlineStr">
        <is>
          <t>Monster Damage Taken Bonus % (Freezing Breath - Weaken + Elemental Reset + Artifact Enemy Damage Taken, summed)</t>
        </is>
      </c>
      <c r="B2558">
        <f>IF(Inputs!$B$3&gt;=118,15*IF(Inputs!$B$38="pvp",MIN((30*(1+(Inputs!$B$34)/100)),15)/15,MIN(1,(30*(1+(Inputs!$B$34)/100))/(1/Q2538))),0)+IF(C2544=TRUE,F2544,0)+(IF(AND(ArtifactsInput!$M$35,Inputs!$B$4&lt;&gt;"Chapter Hunt"),CHOOSE(ArtifactsInput!$N$35+1,15,18,21,24,27,30)*(1-EXP(-(0.2*B2561)*5)),0)+IF(AND(ArtifactsInput!$M$22,Inputs!$B$4&lt;&gt;"Chapter Hunt"),CHOOSE(ArtifactsInput!$N$22+1,10,12,14,16,18,20)*((0*(((0.15*B2561*5))^0/1)+1*(((0.15*B2561*5))^1/1)+2*(((0.15*B2561*5))^2/2)+3*(((0.15*B2561*5))^3/6)+4*(((0.15*B2561*5))^4/24)+5*(((0.15*B2561*5))^5/120))/((((0.15*B2561*5))^0/1)+(((0.15*B2561*5))^1/1)+(((0.15*B2561*5))^2/2)+(((0.15*B2561*5))^3/6)+(((0.15*B2561*5))^4/24)+(((0.15*B2561*5))^5/120))),0))</f>
        <v/>
      </c>
    </row>
    <row r="2559">
      <c r="A2559" t="inlineStr">
        <is>
          <t>Damage % Bonus (Frozen Break + Frost Clutch, flat)</t>
        </is>
      </c>
      <c r="B2559">
        <f>IF(Inputs!$B$3&gt;=66,15,0)+IF(Inputs!$B$3&gt;=98,10,0)+IF(Inputs!$B$3&gt;=125,20,0)</f>
        <v/>
      </c>
    </row>
    <row r="2560">
      <c r="A2560" t="inlineStr">
        <is>
          <t>Attack Speed Bonus % (MP Eater - MP Boost, always-on + Nimble Feet, duty-cycle averaged)</t>
        </is>
      </c>
      <c r="B2560">
        <f>IF(C2543=TRUE,F2543+(F2547-Calc!F17),0)+((C2554=TRUE)*F2554*IF(AND(Inputs!$B$38&lt;&gt;"pvp",Inputs!$B$43&gt;0),(((R2554-1)*MIN((Skills!S24*(1+(Inputs!$B$34)/100)),(1/Q2554))+MIN((Skills!S24*(1+(Inputs!$B$34)/100)),MAX(0,Inputs!$B$43-((R2554-1)*(1/Q2554)))))/Inputs!$B$43),IF(Inputs!$B$38="pvp",MIN((Skills!S24*(1+(Inputs!$B$34)/100)),15)/15,MIN(1,(Skills!S24*(1+(Inputs!$B$34)/100))/(1/Q2554)))))</f>
        <v/>
      </c>
    </row>
    <row r="2561">
      <c r="A2561" t="inlineStr">
        <is>
          <t>Actions Per Second</t>
        </is>
      </c>
      <c r="B2561">
        <f>1+MIN(150,150*(1-(1-(Inputs!$B$11+(ArtifactsInput!$M$15-ArtifactsInput!$M$15)*CHOOSE(ArtifactsInput!$N$15+1,8,9.6,11.2,12.8,14.4,16))/150)*(1-B2560/150)))/100</f>
        <v/>
      </c>
    </row>
    <row r="2562">
      <c r="A2562" t="inlineStr">
        <is>
          <t>Skill + Buff Cast Rate</t>
        </is>
      </c>
      <c r="B2562">
        <f>IF(AND(Inputs!$B$38&lt;&gt;"pvp",Inputs!$B$43&gt;0),SUMPRODUCT((Skills!E2:E24=TRUE)*(C2532:C2554=TRUE)*R2532:R2554)/Inputs!$B$43,SUMPRODUCT((Skills!E2:E24=TRUE)*(C2532:C2554=TRUE)*Q2532:Q2554))</f>
        <v/>
      </c>
    </row>
    <row r="2563">
      <c r="A2563" t="inlineStr">
        <is>
          <t>Chain Lightning Casts Per Second</t>
        </is>
      </c>
      <c r="B2563">
        <f>MAX(0,B2561-B2562)</f>
        <v/>
      </c>
    </row>
    <row r="2564">
      <c r="A2564" t="inlineStr">
        <is>
          <t>Buff-Casting Startup Delay (s, fixed-duration only)</t>
        </is>
      </c>
      <c r="B2564">
        <f>IF(AND(Inputs!$B$38&lt;&gt;"pvp",Inputs!$B$43&gt;0),SUMPRODUCT((Skills!S2:S24&gt;0)*(Skills!E2:E24=TRUE)*(C2532:C2554=TRUE))/B2561,0)</f>
        <v/>
      </c>
    </row>
    <row r="2565">
      <c r="A2565" t="inlineStr">
        <is>
          <t>Boss-Only Total DPS (this block's swept value)</t>
        </is>
      </c>
      <c r="B2565">
        <f>SUM(S2532:S2554)</f>
        <v/>
      </c>
    </row>
    <row r="2566">
      <c r="A2566" t="inlineStr">
        <is>
          <t>Normal-Only Total DPS (this block's swept value)</t>
        </is>
      </c>
      <c r="B2566">
        <f>SUM(U2532:U2554)</f>
        <v/>
      </c>
    </row>
    <row r="2567">
      <c r="A2567" s="6" t="inlineStr">
        <is>
          <t>TOTAL DPS</t>
        </is>
      </c>
      <c r="B2567" s="6">
        <f>SUM(O2532:O2554)</f>
        <v/>
      </c>
    </row>
    <row r="2568">
      <c r="A2568" t="inlineStr">
        <is>
          <t>Blizzard Final Attack trigger rate (this block's own Q/R)</t>
        </is>
      </c>
      <c r="B2568">
        <f>IF(AND(Inputs!$B$38&lt;&gt;"pvp",Inputs!$B$43&gt;0),(((C2535=TRUE)*R2535*1)+((C2536=TRUE)*R2536*1)+((C2538=TRUE)*R2538*1)+((C2539=TRUE)*R2539*3)+((C2541=TRUE)*R2541*1))/Inputs!$B$43,((C2535=TRUE)*Q2535*1)+((C2536=TRUE)*Q2536*1)+((C2538=TRUE)*Q2538*1)+((C2539=TRUE)*Q2539*3)+((C2541=TRUE)*Q2541*1))+B2563</f>
        <v/>
      </c>
    </row>
    <row r="2571">
      <c r="A2571" s="9" t="inlineStr">
        <is>
          <t>Cooldown Reduction Milestone Sweep (absolute CDR seconds, fixed-duration content only)</t>
        </is>
      </c>
    </row>
    <row r="2572">
      <c r="A2572" s="5" t="inlineStr">
        <is>
          <t>CDR (s)</t>
        </is>
      </c>
      <c r="B2572" s="5" t="inlineStr">
        <is>
          <t>Total DPS</t>
        </is>
      </c>
      <c r="C2572" s="5" t="inlineStr">
        <is>
          <t>DPS Gain (vs prior step)</t>
        </is>
      </c>
      <c r="D2572" s="5" t="inlineStr">
        <is>
          <t>% Gain (vs current CDR)</t>
        </is>
      </c>
    </row>
    <row r="2573">
      <c r="A2573" t="n">
        <v>0.5</v>
      </c>
      <c r="B2573">
        <f>B2622</f>
        <v/>
      </c>
      <c r="C2573" t="n">
        <v>0</v>
      </c>
      <c r="D2573">
        <f>IF(Summary!$B$3=0,0,(B2573-Summary!$B$3)/Summary!$B$3*100)</f>
        <v/>
      </c>
    </row>
    <row r="2574">
      <c r="A2574" t="n">
        <v>1</v>
      </c>
      <c r="B2574">
        <f>B2663</f>
        <v/>
      </c>
      <c r="C2574">
        <f>B2574-B2573</f>
        <v/>
      </c>
      <c r="D2574">
        <f>IF(Summary!$B$3=0,0,(B2574-Summary!$B$3)/Summary!$B$3*100)</f>
        <v/>
      </c>
    </row>
    <row r="2575">
      <c r="A2575" t="n">
        <v>1.5</v>
      </c>
      <c r="B2575">
        <f>B2704</f>
        <v/>
      </c>
      <c r="C2575">
        <f>B2575-B2574</f>
        <v/>
      </c>
      <c r="D2575">
        <f>IF(Summary!$B$3=0,0,(B2575-Summary!$B$3)/Summary!$B$3*100)</f>
        <v/>
      </c>
    </row>
    <row r="2576">
      <c r="A2576" t="n">
        <v>2</v>
      </c>
      <c r="B2576">
        <f>B2745</f>
        <v/>
      </c>
      <c r="C2576">
        <f>B2576-B2575</f>
        <v/>
      </c>
      <c r="D2576">
        <f>IF(Summary!$B$3=0,0,(B2576-Summary!$B$3)/Summary!$B$3*100)</f>
        <v/>
      </c>
    </row>
    <row r="2577">
      <c r="A2577" t="n">
        <v>2.5</v>
      </c>
      <c r="B2577">
        <f>B2786</f>
        <v/>
      </c>
      <c r="C2577">
        <f>B2577-B2576</f>
        <v/>
      </c>
      <c r="D2577">
        <f>IF(Summary!$B$3=0,0,(B2577-Summary!$B$3)/Summary!$B$3*100)</f>
        <v/>
      </c>
    </row>
    <row r="2578">
      <c r="A2578" t="n">
        <v>3</v>
      </c>
      <c r="B2578">
        <f>B2827</f>
        <v/>
      </c>
      <c r="C2578">
        <f>B2578-B2577</f>
        <v/>
      </c>
      <c r="D2578">
        <f>IF(Summary!$B$3=0,0,(B2578-Summary!$B$3)/Summary!$B$3*100)</f>
        <v/>
      </c>
    </row>
    <row r="2579">
      <c r="A2579" t="n">
        <v>3.5</v>
      </c>
      <c r="B2579">
        <f>B2868</f>
        <v/>
      </c>
      <c r="C2579">
        <f>B2579-B2578</f>
        <v/>
      </c>
      <c r="D2579">
        <f>IF(Summary!$B$3=0,0,(B2579-Summary!$B$3)/Summary!$B$3*100)</f>
        <v/>
      </c>
    </row>
    <row r="2580">
      <c r="A2580" t="n">
        <v>4</v>
      </c>
      <c r="B2580">
        <f>B2909</f>
        <v/>
      </c>
      <c r="C2580">
        <f>B2580-B2579</f>
        <v/>
      </c>
      <c r="D2580">
        <f>IF(Summary!$B$3=0,0,(B2580-Summary!$B$3)/Summary!$B$3*100)</f>
        <v/>
      </c>
    </row>
    <row r="2581">
      <c r="A2581" t="n">
        <v>4.5</v>
      </c>
      <c r="B2581">
        <f>B2950</f>
        <v/>
      </c>
      <c r="C2581">
        <f>B2581-B2580</f>
        <v/>
      </c>
      <c r="D2581">
        <f>IF(Summary!$B$3=0,0,(B2581-Summary!$B$3)/Summary!$B$3*100)</f>
        <v/>
      </c>
    </row>
    <row r="2582">
      <c r="A2582" t="n">
        <v>5</v>
      </c>
      <c r="B2582">
        <f>B2991</f>
        <v/>
      </c>
      <c r="C2582">
        <f>B2582-B2581</f>
        <v/>
      </c>
      <c r="D2582">
        <f>IF(Summary!$B$3=0,0,(B2582-Summary!$B$3)/Summary!$B$3*100)</f>
        <v/>
      </c>
    </row>
    <row r="2585">
      <c r="A2585" s="6" t="inlineStr">
        <is>
          <t>Stat: CDR = 0.5s</t>
        </is>
      </c>
    </row>
    <row r="2586">
      <c r="A2586" s="5" t="inlineStr">
        <is>
          <t>Key</t>
        </is>
      </c>
      <c r="B2586" s="5" t="inlineStr">
        <is>
          <t>Name</t>
        </is>
      </c>
      <c r="C2586" s="5" t="inlineStr">
        <is>
          <t>Unlocked</t>
        </is>
      </c>
      <c r="D2586" s="5" t="inlineStr">
        <is>
          <t>InputLevel</t>
        </is>
      </c>
      <c r="E2586" s="5" t="inlineStr">
        <is>
          <t>Factor</t>
        </is>
      </c>
      <c r="F2586" s="5" t="inlineStr">
        <is>
          <t>CoefficientPercent</t>
        </is>
      </c>
      <c r="G2586" s="5" t="inlineStr">
        <is>
          <t>EffectiveHits</t>
        </is>
      </c>
      <c r="H2586" s="5" t="inlineStr">
        <is>
          <t>ProcProbability</t>
        </is>
      </c>
      <c r="I2586" s="5" t="inlineStr">
        <is>
          <t>MapleHeroMultiplier</t>
        </is>
      </c>
      <c r="J2586" s="5" t="inlineStr">
        <is>
          <t>BaseDamage</t>
        </is>
      </c>
      <c r="K2586" s="5" t="inlineStr">
        <is>
          <t>BaseHitDamage</t>
        </is>
      </c>
      <c r="L2586" s="5" t="inlineStr">
        <is>
          <t>NonCritAvg</t>
        </is>
      </c>
      <c r="M2586" s="5" t="inlineStr">
        <is>
          <t>CritAvg</t>
        </is>
      </c>
      <c r="N2586" s="5" t="inlineStr">
        <is>
          <t>ExpectedDamage(perHit)</t>
        </is>
      </c>
      <c r="O2586" s="5" t="inlineStr">
        <is>
          <t>DPS</t>
        </is>
      </c>
      <c r="P2586" s="5" t="inlineStr">
        <is>
          <t>% of Total</t>
        </is>
      </c>
      <c r="R2586" t="inlineStr">
        <is>
          <t>helpers</t>
        </is>
      </c>
    </row>
    <row r="2587">
      <c r="A2587">
        <f>Skills!A2</f>
        <v/>
      </c>
      <c r="B2587">
        <f>Skills!B2</f>
        <v/>
      </c>
      <c r="C2587">
        <f>Inputs!$B$3&gt;=100</f>
        <v/>
      </c>
      <c r="D2587" t="inlineStr"/>
      <c r="E2587" t="inlineStr"/>
      <c r="F2587">
        <f>T2589+Skills!N2</f>
        <v/>
      </c>
      <c r="G2587">
        <f>Calc!G2</f>
        <v/>
      </c>
      <c r="H2587">
        <f>Calc!H2</f>
        <v/>
      </c>
      <c r="I2587">
        <f>IF(Skills!T2&lt;&gt;"",1+(Skills!T2/10)*(Z2588/1000)/100,1)</f>
        <v/>
      </c>
      <c r="J2587">
        <f>((Inputs!$B$6*(1+Inputs!$B$7/100))+(((Inputs!$B$12*(1+Inputs!$B$13/100))-(Inputs!$B$12*(1+Inputs!$B$13/100)))+0.25*(Inputs!$B$14-Inputs!$B$14))*(1+Inputs!$B$7/100))*(F2587/100)</f>
        <v/>
      </c>
      <c r="K2587">
        <f>J2587*(1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2="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2587)</f>
        <v/>
      </c>
      <c r="L2587">
        <f>K2587*(MIN(Inputs!$B$22+(F2603-Calc!F18),(Inputs!$B$23+(IF(ArtifactsInput!$M$15,CHOOSE(ArtifactsInput!$N$15+1,25,30,35,40,45,50)/100*(Inputs!$B$11-Inputs!$B$11),0))))/100+(Inputs!$B$23+(IF(ArtifactsInput!$M$15,CHOOSE(ArtifactsInput!$N$15+1,25,30,35,40,45,50)/100*(Inputs!$B$11-Inputs!$B$11),0)))/100)/2</f>
        <v/>
      </c>
      <c r="M2587">
        <f>L2587*(1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7">
        <f>L2587*(1-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2587*(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7">
        <f>(1-Summary!$B$11)*S2587+Summary!$B$11*U2587</f>
        <v/>
      </c>
      <c r="P2587">
        <f>IF(B2622=0,0,O2587/B2622)</f>
        <v/>
      </c>
      <c r="Q2587">
        <f>IFERROR(1/(IF(Inputs!$B$38="pvp",15,MAX(0.1,Skills!D2-IF(TRUE=TRUE,0.5,0)))*(1-IF(AND(ArtifactsInput!$M$27,Inputs!$B$4="Chapter Hunt"),CHOOSE(ArtifactsInput!$N$27+1,20,24,28,32,36,40),0)/100)),0)</f>
        <v/>
      </c>
      <c r="R2587" t="n">
        <v>0</v>
      </c>
      <c r="S2587">
        <f>IF(C2587,(Skills!F2*N2587*B2618)*IF(Inputs!$B$38="pvp",1,1+(Inputs!$B$20+Skills!O2+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2587*(1-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2587*(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2587*(1-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2587*(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587">
        <f>MAX(0,(Inputs!$B$3-100)*3)+Inputs!$B$28+Inputs!$B$29</f>
        <v/>
      </c>
      <c r="U2587">
        <f>IF(C2587,(Skills!F2*N2587*B2618)*IF(Inputs!$B$38="pvp",1,(1+(Inputs!$B$21+Skills!P2+B2613+(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587">
        <f>MAX(0,(Inputs!$B$3-100)*3)+Inputs!$B$28+Inputs!$B$29</f>
        <v/>
      </c>
    </row>
    <row r="2588">
      <c r="A2588">
        <f>Skills!A3</f>
        <v/>
      </c>
      <c r="B2588">
        <f>Skills!B3</f>
        <v/>
      </c>
      <c r="C2588">
        <f>Inputs!$B$3&gt;=15</f>
        <v/>
      </c>
      <c r="D2588">
        <f>IF(Skills!C3=1,60+Inputs!$B$25+Inputs!$B$29,IF(Skills!C3=2,90+Inputs!$B$26+Inputs!$B$29,IF(Skills!C3=3,120+Inputs!$B$27+Inputs!$B$29,MAX(0,(Inputs!$B$3-100)*3)+Inputs!$B$28+Inputs!$B$29)))</f>
        <v/>
      </c>
      <c r="E2588">
        <f>INDEX(FactorTable!$B$2:$Y$301, MATCH(ROUND(MIN(300,MAX(1,D2588)),0), FactorTable!$A$2:$A$301,0), Skills!L3+1)</f>
        <v/>
      </c>
      <c r="F2588">
        <f>IF(Skills!M3=TRUE,(Skills!K3/10)*(E2588/1000),Skills!K3/10)+Skills!N3</f>
        <v/>
      </c>
      <c r="G2588">
        <f>Calc!G3</f>
        <v/>
      </c>
      <c r="H2588">
        <f>Calc!H3</f>
        <v/>
      </c>
      <c r="I2588">
        <f>IF(Skills!T3&lt;&gt;"",1+(Skills!T3/10)*(Z2588/1000)/100,1)</f>
        <v/>
      </c>
      <c r="J2588" t="inlineStr"/>
      <c r="K2588" t="inlineStr"/>
      <c r="L2588" t="inlineStr"/>
      <c r="M2588" t="inlineStr"/>
      <c r="N2588" t="inlineStr"/>
      <c r="O2588">
        <f>(1-Summary!$B$11)*S2588+Summary!$B$11*U2588</f>
        <v/>
      </c>
      <c r="P2588">
        <f>IF(B2622=0,0,O2588/B2622)</f>
        <v/>
      </c>
      <c r="Q2588">
        <f>IFERROR(1/(IF(Inputs!$B$38="pvp",15,MAX(0.1,Skills!D3-IF(TRUE=TRUE,0.5,0)))*(1-IF(AND(ArtifactsInput!$M$27,Inputs!$B$4="Chapter Hunt"),CHOOSE(ArtifactsInput!$N$27+1,20,24,28,32,36,40),0)/100)),0)</f>
        <v/>
      </c>
      <c r="R2588">
        <f>IF(AND(Inputs!$B$38&lt;&gt;"pvp",Inputs!$B$43&gt;0),IF(Inputs!$B$43&lt;=0,0,(INT(Inputs!$B$43/(IF(Inputs!$B$38="pvp",15,MAX(0.1,Skills!D3-IF(TRUE=TRUE,0.5,0)))*(1-IF(AND(ArtifactsInput!$M$27,Inputs!$B$4="Chapter Hunt"),CHOOSE(ArtifactsInput!$N$27+1,20,24,28,32,36,40),0)/100)))+1)),0)</f>
        <v/>
      </c>
      <c r="S2588" t="n">
        <v>0</v>
      </c>
      <c r="T2588">
        <f>INDEX(FactorTable!$B$2:$Y$301, MATCH(ROUND(MIN(300,MAX(1,T2587)),0), FactorTable!$A$2:$A$301,0), 22)</f>
        <v/>
      </c>
      <c r="U2588" t="n">
        <v>0</v>
      </c>
      <c r="Z2588">
        <f>INDEX(FactorTable!$B$2:$Y$301, MATCH(ROUND(MIN(300,MAX(1,Z2587)),0), FactorTable!$A$2:$A$301,0), 24)</f>
        <v/>
      </c>
    </row>
    <row r="2589">
      <c r="A2589">
        <f>Skills!A4</f>
        <v/>
      </c>
      <c r="B2589">
        <f>Skills!B4</f>
        <v/>
      </c>
      <c r="C2589">
        <f>Inputs!$B$3&gt;=40</f>
        <v/>
      </c>
      <c r="D2589">
        <f>IF(Skills!C4=1,60+Inputs!$B$25+Inputs!$B$29,IF(Skills!C4=2,90+Inputs!$B$26+Inputs!$B$29,IF(Skills!C4=3,120+Inputs!$B$27+Inputs!$B$29,MAX(0,(Inputs!$B$3-100)*3)+Inputs!$B$28+Inputs!$B$29)))</f>
        <v/>
      </c>
      <c r="E2589">
        <f>INDEX(FactorTable!$B$2:$Y$301, MATCH(ROUND(MIN(300,MAX(1,D2589)),0), FactorTable!$A$2:$A$301,0), Skills!L4+1)</f>
        <v/>
      </c>
      <c r="F2589">
        <f>IF(Skills!M4=TRUE,(Skills!K4/10)*(E2589/1000),Skills!K4/10)+Skills!N4</f>
        <v/>
      </c>
      <c r="G2589">
        <f>Calc!G4</f>
        <v/>
      </c>
      <c r="H2589">
        <f>Calc!H4</f>
        <v/>
      </c>
      <c r="I2589">
        <f>IF(Skills!T4&lt;&gt;"",1+(Skills!T4/10)*(Z2588/1000)/100,1)</f>
        <v/>
      </c>
      <c r="J2589" t="inlineStr"/>
      <c r="K2589" t="inlineStr"/>
      <c r="L2589" t="inlineStr"/>
      <c r="M2589" t="inlineStr"/>
      <c r="N2589" t="inlineStr"/>
      <c r="O2589">
        <f>(1-Summary!$B$11)*S2589+Summary!$B$11*U2589</f>
        <v/>
      </c>
      <c r="P2589">
        <f>IF(B2622=0,0,O2589/B2622)</f>
        <v/>
      </c>
      <c r="Q2589">
        <f>IFERROR(1/(IF(Inputs!$B$38="pvp",15,MAX(0.1,Skills!D4-IF(TRUE=TRUE,0.5,0)))*(1-IF(AND(ArtifactsInput!$M$27,Inputs!$B$4="Chapter Hunt"),CHOOSE(ArtifactsInput!$N$27+1,20,24,28,32,36,40),0)/100)),0)</f>
        <v/>
      </c>
      <c r="R2589">
        <f>IF(AND(Inputs!$B$38&lt;&gt;"pvp",Inputs!$B$43&gt;0),IF(Inputs!$B$43&lt;=0,0,(INT(Inputs!$B$43/(IF(Inputs!$B$38="pvp",15,MAX(0.1,Skills!D4-IF(TRUE=TRUE,0.5,0)))*(1-IF(AND(ArtifactsInput!$M$27,Inputs!$B$4="Chapter Hunt"),CHOOSE(ArtifactsInput!$N$27+1,20,24,28,32,36,40),0)/100)))+1)),0)</f>
        <v/>
      </c>
      <c r="S2589" t="n">
        <v>0</v>
      </c>
      <c r="T2589">
        <f>290*T2588/1000</f>
        <v/>
      </c>
      <c r="U2589" t="n">
        <v>0</v>
      </c>
    </row>
    <row r="2590">
      <c r="A2590">
        <f>Skills!A5</f>
        <v/>
      </c>
      <c r="B2590">
        <f>Skills!B5</f>
        <v/>
      </c>
      <c r="C2590">
        <f>Inputs!$B$3&gt;=38</f>
        <v/>
      </c>
      <c r="D2590">
        <f>IF(Skills!C5=1,60+Inputs!$B$25+Inputs!$B$29,IF(Skills!C5=2,90+Inputs!$B$26+Inputs!$B$29,IF(Skills!C5=3,120+Inputs!$B$27+Inputs!$B$29,MAX(0,(Inputs!$B$3-100)*3)+Inputs!$B$28+Inputs!$B$29)))</f>
        <v/>
      </c>
      <c r="E2590">
        <f>INDEX(FactorTable!$B$2:$Y$301, MATCH(ROUND(MIN(300,MAX(1,D2590)),0), FactorTable!$A$2:$A$301,0), Skills!L5+1)</f>
        <v/>
      </c>
      <c r="F2590">
        <f>IF(Skills!M5=TRUE,(Skills!K5/10)*(E2590/1000),Skills!K5/10)+Skills!N5</f>
        <v/>
      </c>
      <c r="G2590">
        <f>Calc!G5</f>
        <v/>
      </c>
      <c r="H2590">
        <f>Calc!H5</f>
        <v/>
      </c>
      <c r="I2590">
        <f>IF(Skills!T5&lt;&gt;"",1+(Skills!T5/10)*(Z2588/1000)/100,1)</f>
        <v/>
      </c>
      <c r="J2590">
        <f>((Inputs!$B$6*(1+Inputs!$B$7/100))+(((Inputs!$B$12*(1+Inputs!$B$13/100))-(Inputs!$B$12*(1+Inputs!$B$13/100)))+0.25*(Inputs!$B$14-Inputs!$B$14))*(1+Inputs!$B$7/100))*(F2590/100)</f>
        <v/>
      </c>
      <c r="K2590">
        <f>J2590*(1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5="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2590)</f>
        <v/>
      </c>
      <c r="L2590">
        <f>K2590*(MIN(Inputs!$B$22+(F2603-Calc!F18),(Inputs!$B$23+(IF(ArtifactsInput!$M$15,CHOOSE(ArtifactsInput!$N$15+1,25,30,35,40,45,50)/100*(Inputs!$B$11-Inputs!$B$11),0))))/100+(Inputs!$B$23+(IF(ArtifactsInput!$M$15,CHOOSE(ArtifactsInput!$N$15+1,25,30,35,40,45,50)/100*(Inputs!$B$11-Inputs!$B$11),0)))/100)/2</f>
        <v/>
      </c>
      <c r="M2590">
        <f>L2590*(1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0">
        <f>L2590*(1-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2590*(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0">
        <f>(1-Summary!$B$11)*S2590+Summary!$B$11*U2590</f>
        <v/>
      </c>
      <c r="P2590">
        <f>IF(B2622=0,0,O2590/B2622)</f>
        <v/>
      </c>
      <c r="Q2590">
        <f>IFERROR(1/(IF(Inputs!$B$38="pvp",15,MAX(0.1,Skills!D5-IF(TRUE=TRUE,0.5,0)))*(1-IF(AND(ArtifactsInput!$M$27,Inputs!$B$4="Chapter Hunt"),CHOOSE(ArtifactsInput!$N$27+1,20,24,28,32,36,40),0)/100)),0)</f>
        <v/>
      </c>
      <c r="R2590">
        <f>IF(AND(Inputs!$B$38&lt;&gt;"pvp",Inputs!$B$43&gt;0),IF(MAX(0,Inputs!$B$43-B2619)&lt;=0,0,(INT(MAX(0,Inputs!$B$43-B2619)/(IF(Inputs!$B$38="pvp",15,MAX(0.1,Skills!D5-IF(TRUE=TRUE,0.5,0)))*(1-IF(AND(ArtifactsInput!$M$27,Inputs!$B$4="Chapter Hunt"),CHOOSE(ArtifactsInput!$N$27+1,20,24,28,32,36,40),0)/100)))+1)),0)</f>
        <v/>
      </c>
      <c r="S2590">
        <f>IF(C2590,(H2590*N2590*IF(AND(Inputs!$B$38&lt;&gt;"pvp",Inputs!$B$43&gt;0),((Skills!F5*((R2590-1)*IF(Skills!G5&gt;0,Skills!H5/Skills!G5,1)+IF(Skills!G5&gt;0,MIN(Skills!H5,MAX(0,MAX(0,Inputs!$B$43-B2619)-((R2590-1)*(IF(Inputs!$B$38="pvp",15,MAX(0.1,Skills!D5-IF(TRUE=TRUE,0.5,0)))*(1-IF(AND(ArtifactsInput!$M$27,Inputs!$B$4="Chapter Hunt"),CHOOSE(ArtifactsInput!$N$27+1,20,24,28,32,36,40),0)/100)))))/Skills!G5,1)))/Inputs!$B$43),G2590*Q2590))*IF(Inputs!$B$38="pvp",1,1+(Inputs!$B$20+Skills!O5+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2590*(1-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2590*(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2590*(1-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2590*(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0">
        <f>IF(C2590,(H2590*N2590*IF(AND(Inputs!$B$38&lt;&gt;"pvp",Inputs!$B$43&gt;0),((Skills!F5*((R2590-1)*IF(Skills!G5&gt;0,Skills!H5/Skills!G5,1)+IF(Skills!G5&gt;0,MIN(Skills!H5,MAX(0,MAX(0,Inputs!$B$43-B2619)-((R2590-1)*(IF(Inputs!$B$38="pvp",15,MAX(0.1,Skills!D5-IF(TRUE=TRUE,0.5,0)))*(1-IF(AND(ArtifactsInput!$M$27,Inputs!$B$4="Chapter Hunt"),CHOOSE(ArtifactsInput!$N$27+1,20,24,28,32,36,40),0)/100)))))/Skills!G5,1)))/Inputs!$B$43),G2590*Q2590))*IF(Inputs!$B$38="pvp",1,(1+(Inputs!$B$21+Skills!P5+B2613+(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1">
      <c r="A2591">
        <f>Skills!A6</f>
        <v/>
      </c>
      <c r="B2591">
        <f>Skills!B6</f>
        <v/>
      </c>
      <c r="C2591">
        <f>Inputs!$B$3&gt;=63</f>
        <v/>
      </c>
      <c r="D2591">
        <f>IF(Skills!C6=1,60+Inputs!$B$25+Inputs!$B$29,IF(Skills!C6=2,90+Inputs!$B$26+Inputs!$B$29,IF(Skills!C6=3,120+Inputs!$B$27+Inputs!$B$29,MAX(0,(Inputs!$B$3-100)*3)+Inputs!$B$28+Inputs!$B$29)))</f>
        <v/>
      </c>
      <c r="E2591">
        <f>INDEX(FactorTable!$B$2:$Y$301, MATCH(ROUND(MIN(300,MAX(1,D2591)),0), FactorTable!$A$2:$A$301,0), Skills!L6+1)</f>
        <v/>
      </c>
      <c r="F2591">
        <f>IF(Skills!M6=TRUE,(Skills!K6/10)*(E2591/1000),Skills!K6/10)+Skills!N6</f>
        <v/>
      </c>
      <c r="G2591">
        <f>Calc!G6</f>
        <v/>
      </c>
      <c r="H2591">
        <f>Calc!H6</f>
        <v/>
      </c>
      <c r="I2591">
        <f>IF(Skills!T6&lt;&gt;"",1+(Skills!T6/10)*(Z2588/1000)/100,1)</f>
        <v/>
      </c>
      <c r="J2591">
        <f>((Inputs!$B$6*(1+Inputs!$B$7/100))+(((Inputs!$B$12*(1+Inputs!$B$13/100))-(Inputs!$B$12*(1+Inputs!$B$13/100)))+0.25*(Inputs!$B$14-Inputs!$B$14))*(1+Inputs!$B$7/100))*(F2591/100)</f>
        <v/>
      </c>
      <c r="K2591">
        <f>J2591*(1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6="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2591)</f>
        <v/>
      </c>
      <c r="L2591">
        <f>K2591*(MIN(Inputs!$B$22+(F2603-Calc!F18),(Inputs!$B$23+(IF(ArtifactsInput!$M$15,CHOOSE(ArtifactsInput!$N$15+1,25,30,35,40,45,50)/100*(Inputs!$B$11-Inputs!$B$11),0))))/100+(Inputs!$B$23+(IF(ArtifactsInput!$M$15,CHOOSE(ArtifactsInput!$N$15+1,25,30,35,40,45,50)/100*(Inputs!$B$11-Inputs!$B$11),0)))/100)/2</f>
        <v/>
      </c>
      <c r="M2591">
        <f>L2591*(1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1">
        <f>L2591*(1-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1">
        <f>(1-Summary!$B$11)*S2591+Summary!$B$11*U2591</f>
        <v/>
      </c>
      <c r="P2591">
        <f>IF(B2622=0,0,O2591/B2622)</f>
        <v/>
      </c>
      <c r="Q2591">
        <f>IFERROR(1/(IF(Inputs!$B$38="pvp",15,MAX(0.1,Skills!D6-IF(TRUE=TRUE,0.5,0)))*(1-IF(AND(ArtifactsInput!$M$27,Inputs!$B$4="Chapter Hunt"),CHOOSE(ArtifactsInput!$N$27+1,20,24,28,32,36,40),0)/100)),0)</f>
        <v/>
      </c>
      <c r="R2591">
        <f>IF(AND(Inputs!$B$38&lt;&gt;"pvp",Inputs!$B$43&gt;0),IF(MAX(0,Inputs!$B$43-B2619)&lt;=0,0,(INT(MAX(0,Inputs!$B$43-B2619)/(IF(Inputs!$B$38="pvp",15,MAX(0.1,Skills!D6-IF(TRUE=TRUE,0.5,0)))*(1-IF(AND(ArtifactsInput!$M$27,Inputs!$B$4="Chapter Hunt"),CHOOSE(ArtifactsInput!$N$27+1,20,24,28,32,36,40),0)/100)))+1)),0)</f>
        <v/>
      </c>
      <c r="S2591">
        <f>IF(C2591,(H2591*N2591*IF(AND(Inputs!$B$38&lt;&gt;"pvp",Inputs!$B$43&gt;0),((Skills!F6*((R2591-1)*IF(Skills!G6&gt;0,Skills!H6/Skills!G6,1)+IF(Skills!G6&gt;0,MIN(Skills!H6,MAX(0,MAX(0,Inputs!$B$43-B2619)-((R2591-1)*(IF(Inputs!$B$38="pvp",15,MAX(0.1,Skills!D6-IF(TRUE=TRUE,0.5,0)))*(1-IF(AND(ArtifactsInput!$M$27,Inputs!$B$4="Chapter Hunt"),CHOOSE(ArtifactsInput!$N$27+1,20,24,28,32,36,40),0)/100)))))/Skills!G6,1)))/Inputs!$B$43),G2591*Q2591))*IF(Inputs!$B$38="pvp",1,1+(Inputs!$B$20+Skills!O6+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2591*(1-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2591*(1-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1">
        <f>IF(C2591,(H2591*N2591*IF(AND(Inputs!$B$38&lt;&gt;"pvp",Inputs!$B$43&gt;0),((Skills!F6*((R2591-1)*IF(Skills!G6&gt;0,Skills!H6/Skills!G6,1)+IF(Skills!G6&gt;0,MIN(Skills!H6,MAX(0,MAX(0,Inputs!$B$43-B2619)-((R2591-1)*(IF(Inputs!$B$38="pvp",15,MAX(0.1,Skills!D6-IF(TRUE=TRUE,0.5,0)))*(1-IF(AND(ArtifactsInput!$M$27,Inputs!$B$4="Chapter Hunt"),CHOOSE(ArtifactsInput!$N$27+1,20,24,28,32,36,40),0)/100)))))/Skills!G6,1)))/Inputs!$B$43),G2591*Q2591))*IF(Inputs!$B$38="pvp",1,(1+(Inputs!$B$21+Skills!P6+B2613+(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2">
      <c r="A2592">
        <f>Skills!A7</f>
        <v/>
      </c>
      <c r="B2592">
        <f>Skills!B7</f>
        <v/>
      </c>
      <c r="C2592">
        <f>Inputs!$B$3&gt;=69</f>
        <v/>
      </c>
      <c r="D2592">
        <f>IF(Skills!C7=1,60+Inputs!$B$25+Inputs!$B$29,IF(Skills!C7=2,90+Inputs!$B$26+Inputs!$B$29,IF(Skills!C7=3,120+Inputs!$B$27+Inputs!$B$29,MAX(0,(Inputs!$B$3-100)*3)+Inputs!$B$28+Inputs!$B$29)))</f>
        <v/>
      </c>
      <c r="E2592">
        <f>INDEX(FactorTable!$B$2:$Y$301, MATCH(ROUND(MIN(300,MAX(1,D2592)),0), FactorTable!$A$2:$A$301,0), Skills!L7+1)</f>
        <v/>
      </c>
      <c r="F2592">
        <f>IF(Skills!M7=TRUE,(Skills!K7/10)*(E2592/1000),Skills!K7/10)+Skills!N7</f>
        <v/>
      </c>
      <c r="G2592">
        <f>Calc!G7</f>
        <v/>
      </c>
      <c r="H2592">
        <f>Calc!H7</f>
        <v/>
      </c>
      <c r="I2592">
        <f>IF(Skills!T7&lt;&gt;"",1+(Skills!T7/10)*(Z2588/1000)/100,1)</f>
        <v/>
      </c>
      <c r="J2592">
        <f>((Inputs!$B$6*(1+Inputs!$B$7/100))+(((Inputs!$B$12*(1+Inputs!$B$13/100))-(Inputs!$B$12*(1+Inputs!$B$13/100)))+0.25*(Inputs!$B$14-Inputs!$B$14))*(1+Inputs!$B$7/100))*(F2592/100)</f>
        <v/>
      </c>
      <c r="K2592">
        <f>J2592*(1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7="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2592)</f>
        <v/>
      </c>
      <c r="L2592">
        <f>K2592*(MIN(Inputs!$B$22+(F2603-Calc!F18),(Inputs!$B$23+(IF(ArtifactsInput!$M$15,CHOOSE(ArtifactsInput!$N$15+1,25,30,35,40,45,50)/100*(Inputs!$B$11-Inputs!$B$11),0))))/100+(Inputs!$B$23+(IF(ArtifactsInput!$M$15,CHOOSE(ArtifactsInput!$N$15+1,25,30,35,40,45,50)/100*(Inputs!$B$11-Inputs!$B$11),0)))/100)/2</f>
        <v/>
      </c>
      <c r="M2592">
        <f>L2592*(1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2">
        <f>L2592*(1-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2592*(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2">
        <f>(1-Summary!$B$11)*S2592+Summary!$B$11*U2592</f>
        <v/>
      </c>
      <c r="P2592">
        <f>IF(B2622=0,0,O2592/B2622)</f>
        <v/>
      </c>
      <c r="Q2592">
        <f>IFERROR(1/(IF(Inputs!$B$38="pvp",15,MAX(0.1,Skills!D7-IF(TRUE=TRUE,0.5,0)))*(1-IF(AND(ArtifactsInput!$M$27,Inputs!$B$4="Chapter Hunt"),CHOOSE(ArtifactsInput!$N$27+1,20,24,28,32,36,40),0)/100)),0)</f>
        <v/>
      </c>
      <c r="R2592">
        <f>IF(AND(Inputs!$B$38&lt;&gt;"pvp",Inputs!$B$43&gt;0),IF(MAX(0,Inputs!$B$43-B2619)&lt;=0,0,(INT(MAX(0,Inputs!$B$43-B2619)/(IF(Inputs!$B$38="pvp",15,MAX(0.1,Skills!D7-IF(TRUE=TRUE,0.5,0)))*(1-IF(AND(ArtifactsInput!$M$27,Inputs!$B$4="Chapter Hunt"),CHOOSE(ArtifactsInput!$N$27+1,20,24,28,32,36,40),0)/100)))+1)),0)</f>
        <v/>
      </c>
      <c r="S2592">
        <f>IF(C2592,(H2592*N2592*IF(AND(Inputs!$B$38&lt;&gt;"pvp",Inputs!$B$43&gt;0),((Skills!F7*((R2592-1)*IF(Skills!G7&gt;0,Skills!H7/Skills!G7,1)+IF(Skills!G7&gt;0,MIN(Skills!H7,MAX(0,MAX(0,Inputs!$B$43-B2619)-((R2592-1)*(IF(Inputs!$B$38="pvp",15,MAX(0.1,Skills!D7-IF(TRUE=TRUE,0.5,0)))*(1-IF(AND(ArtifactsInput!$M$27,Inputs!$B$4="Chapter Hunt"),CHOOSE(ArtifactsInput!$N$27+1,20,24,28,32,36,40),0)/100)))))/Skills!G7,1)))/Inputs!$B$43),G2592*Q2592))*IF(Inputs!$B$38="pvp",1,1+(Inputs!$B$20+Skills!O7+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2592*(1-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2592*(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2592*(1-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2592*(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2">
        <f>IF(C2592,(H2592*N2592*IF(AND(Inputs!$B$38&lt;&gt;"pvp",Inputs!$B$43&gt;0),((Skills!F7*((R2592-1)*IF(Skills!G7&gt;0,Skills!H7/Skills!G7,1)+IF(Skills!G7&gt;0,MIN(Skills!H7,MAX(0,MAX(0,Inputs!$B$43-B2619)-((R2592-1)*(IF(Inputs!$B$38="pvp",15,MAX(0.1,Skills!D7-IF(TRUE=TRUE,0.5,0)))*(1-IF(AND(ArtifactsInput!$M$27,Inputs!$B$4="Chapter Hunt"),CHOOSE(ArtifactsInput!$N$27+1,20,24,28,32,36,40),0)/100)))))/Skills!G7,1)))/Inputs!$B$43),G2592*Q2592))*IF(Inputs!$B$38="pvp",1,(1+(Inputs!$B$21+Skills!P7+B2613+(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3">
      <c r="A2593">
        <f>Skills!A8</f>
        <v/>
      </c>
      <c r="B2593">
        <f>Skills!B8</f>
        <v/>
      </c>
      <c r="C2593">
        <f>Inputs!$B$3&gt;=103</f>
        <v/>
      </c>
      <c r="D2593">
        <f>IF(Skills!C8=1,60+Inputs!$B$25+Inputs!$B$29,IF(Skills!C8=2,90+Inputs!$B$26+Inputs!$B$29,IF(Skills!C8=3,120+Inputs!$B$27+Inputs!$B$29,MAX(0,(Inputs!$B$3-100)*3)+Inputs!$B$28+Inputs!$B$29)))</f>
        <v/>
      </c>
      <c r="E2593">
        <f>INDEX(FactorTable!$B$2:$Y$301, MATCH(ROUND(MIN(300,MAX(1,D2593)),0), FactorTable!$A$2:$A$301,0), Skills!L8+1)</f>
        <v/>
      </c>
      <c r="F2593">
        <f>IF(Skills!M8=TRUE,(Skills!K8/10)*(E2593/1000),Skills!K8/10)+Skills!N8</f>
        <v/>
      </c>
      <c r="G2593">
        <f>Calc!G8</f>
        <v/>
      </c>
      <c r="H2593">
        <f>Calc!H8</f>
        <v/>
      </c>
      <c r="I2593">
        <f>IF(Skills!T8&lt;&gt;"",1+(Skills!T8/10)*(Z2588/1000)/100,1)</f>
        <v/>
      </c>
      <c r="J2593">
        <f>((Inputs!$B$6*(1+Inputs!$B$7/100))+(((Inputs!$B$12*(1+Inputs!$B$13/100))-(Inputs!$B$12*(1+Inputs!$B$13/100)))+0.25*(Inputs!$B$14-Inputs!$B$14))*(1+Inputs!$B$7/100))*(F2593/100)</f>
        <v/>
      </c>
      <c r="K2593">
        <f>J2593*(1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8="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2593)</f>
        <v/>
      </c>
      <c r="L2593">
        <f>K2593*(MIN(Inputs!$B$22+(F2603-Calc!F18),(Inputs!$B$23+(IF(ArtifactsInput!$M$15,CHOOSE(ArtifactsInput!$N$15+1,25,30,35,40,45,50)/100*(Inputs!$B$11-Inputs!$B$11),0))))/100+(Inputs!$B$23+(IF(ArtifactsInput!$M$15,CHOOSE(ArtifactsInput!$N$15+1,25,30,35,40,45,50)/100*(Inputs!$B$11-Inputs!$B$11),0)))/100)/2</f>
        <v/>
      </c>
      <c r="M2593">
        <f>L2593*(1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3">
        <f>L2593*(1-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2593*(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3">
        <f>(1-Summary!$B$11)*S2593+Summary!$B$11*U2593</f>
        <v/>
      </c>
      <c r="P2593">
        <f>IF(B2622=0,0,O2593/B2622)</f>
        <v/>
      </c>
      <c r="Q2593">
        <f>IFERROR(1/(IF(Inputs!$B$38="pvp",15,MAX(0.1,Skills!D8-IF(TRUE=TRUE,0.5,0)))*(1-IF(AND(ArtifactsInput!$M$27,Inputs!$B$4="Chapter Hunt"),CHOOSE(ArtifactsInput!$N$27+1,20,24,28,32,36,40),0)/100)),0)</f>
        <v/>
      </c>
      <c r="R2593">
        <f>IF(AND(Inputs!$B$38&lt;&gt;"pvp",Inputs!$B$43&gt;0),IF(MAX(0,Inputs!$B$43-B2619)&lt;=0,0,(INT(MAX(0,Inputs!$B$43-B2619)/(IF(Inputs!$B$38="pvp",15,MAX(0.1,Skills!D8-IF(TRUE=TRUE,0.5,0)))*(1-IF(AND(ArtifactsInput!$M$27,Inputs!$B$4="Chapter Hunt"),CHOOSE(ArtifactsInput!$N$27+1,20,24,28,32,36,40),0)/100)))+1)),0)</f>
        <v/>
      </c>
      <c r="S2593">
        <f>IF(C2593,(H2593*N2593*IF(AND(Inputs!$B$38&lt;&gt;"pvp",Inputs!$B$43&gt;0),((Skills!F8*((R2593-1)*IF(Skills!G8&gt;0,Skills!H8/Skills!G8,1)+IF(Skills!G8&gt;0,MIN(Skills!H8,MAX(0,MAX(0,Inputs!$B$43-B2619)-((R2593-1)*(IF(Inputs!$B$38="pvp",15,MAX(0.1,Skills!D8-IF(TRUE=TRUE,0.5,0)))*(1-IF(AND(ArtifactsInput!$M$27,Inputs!$B$4="Chapter Hunt"),CHOOSE(ArtifactsInput!$N$27+1,20,24,28,32,36,40),0)/100)))))/Skills!G8,1)))/Inputs!$B$43),G2593*Q2593))*IF(Inputs!$B$38="pvp",1,1+(Inputs!$B$20+Skills!O8+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2593*(1-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2593*(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2593*(1-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2593*(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3">
        <f>IF(C2593,(H2593*N2593*IF(AND(Inputs!$B$38&lt;&gt;"pvp",Inputs!$B$43&gt;0),((Skills!F8*((R2593-1)*IF(Skills!G8&gt;0,Skills!H8/Skills!G8,1)+IF(Skills!G8&gt;0,MIN(Skills!H8,MAX(0,MAX(0,Inputs!$B$43-B2619)-((R2593-1)*(IF(Inputs!$B$38="pvp",15,MAX(0.1,Skills!D8-IF(TRUE=TRUE,0.5,0)))*(1-IF(AND(ArtifactsInput!$M$27,Inputs!$B$4="Chapter Hunt"),CHOOSE(ArtifactsInput!$N$27+1,20,24,28,32,36,40),0)/100)))))/Skills!G8,1)))/Inputs!$B$43),G2593*Q2593))*IF(Inputs!$B$38="pvp",1,(1+(Inputs!$B$21+Skills!P8+B2613+(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4">
      <c r="A2594">
        <f>Skills!A9</f>
        <v/>
      </c>
      <c r="B2594">
        <f>Skills!B9</f>
        <v/>
      </c>
      <c r="C2594">
        <f>Inputs!$B$3&gt;=105</f>
        <v/>
      </c>
      <c r="D2594">
        <f>IF(Skills!C9=1,60+Inputs!$B$25+Inputs!$B$29,IF(Skills!C9=2,90+Inputs!$B$26+Inputs!$B$29,IF(Skills!C9=3,120+Inputs!$B$27+Inputs!$B$29,MAX(0,(Inputs!$B$3-100)*3)+Inputs!$B$28+Inputs!$B$29)))</f>
        <v/>
      </c>
      <c r="E2594">
        <f>INDEX(FactorTable!$B$2:$Y$301, MATCH(ROUND(MIN(300,MAX(1,D2594)),0), FactorTable!$A$2:$A$301,0), Skills!L9+1)</f>
        <v/>
      </c>
      <c r="F2594">
        <f>IF(Skills!M9=TRUE,(Skills!K9/10)*(E2594/1000),Skills!K9/10)+Skills!N9</f>
        <v/>
      </c>
      <c r="G2594">
        <f>Calc!G9</f>
        <v/>
      </c>
      <c r="H2594">
        <f>Calc!H9</f>
        <v/>
      </c>
      <c r="I2594">
        <f>IF(Skills!T9&lt;&gt;"",1+(Skills!T9/10)*(Z2588/1000)/100,1)</f>
        <v/>
      </c>
      <c r="J2594">
        <f>((Inputs!$B$6*(1+Inputs!$B$7/100))+(((Inputs!$B$12*(1+Inputs!$B$13/100))-(Inputs!$B$12*(1+Inputs!$B$13/100)))+0.25*(Inputs!$B$14-Inputs!$B$14))*(1+Inputs!$B$7/100))*(F2594/100)</f>
        <v/>
      </c>
      <c r="K2594">
        <f>J2594*(1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9="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2594)</f>
        <v/>
      </c>
      <c r="L2594">
        <f>K2594*(MIN(Inputs!$B$22+(F2603-Calc!F18),(Inputs!$B$23+(IF(ArtifactsInput!$M$15,CHOOSE(ArtifactsInput!$N$15+1,25,30,35,40,45,50)/100*(Inputs!$B$11-Inputs!$B$11),0))))/100+(Inputs!$B$23+(IF(ArtifactsInput!$M$15,CHOOSE(ArtifactsInput!$N$15+1,25,30,35,40,45,50)/100*(Inputs!$B$11-Inputs!$B$11),0)))/100)/2</f>
        <v/>
      </c>
      <c r="M2594">
        <f>L2594*(1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4">
        <f>L2594*(1-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2594*(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4">
        <f>(1-Summary!$B$11)*S2594+Summary!$B$11*U2594</f>
        <v/>
      </c>
      <c r="P2594">
        <f>IF(B2622=0,0,O2594/B2622)</f>
        <v/>
      </c>
      <c r="Q2594">
        <f>IFERROR(1/(IF(Inputs!$B$38="pvp",15,MAX(0.1,Skills!D9-IF(TRUE=TRUE,0.5,0)))*(1-IF(AND(ArtifactsInput!$M$27,Inputs!$B$4="Chapter Hunt"),CHOOSE(ArtifactsInput!$N$27+1,20,24,28,32,36,40),0)/100)),0)</f>
        <v/>
      </c>
      <c r="R2594">
        <f>IF(AND(Inputs!$B$38&lt;&gt;"pvp",Inputs!$B$43&gt;0),IF(MAX(0,Inputs!$B$43-B2619)&lt;=0,0,(INT(MAX(0,Inputs!$B$43-B2619)/(IF(Inputs!$B$38="pvp",15,MAX(0.1,Skills!D9-IF(TRUE=TRUE,0.5,0)))*(1-IF(AND(ArtifactsInput!$M$27,Inputs!$B$4="Chapter Hunt"),CHOOSE(ArtifactsInput!$N$27+1,20,24,28,32,36,40),0)/100)))+1)),0)</f>
        <v/>
      </c>
      <c r="S2594">
        <f>IF(C2594,(H2594*N2594*IF(AND(Inputs!$B$38&lt;&gt;"pvp",Inputs!$B$43&gt;0),((Skills!F9*((R2594-1)*IF(Skills!G9&gt;0,Skills!H9/Skills!G9,1)+IF(Skills!G9&gt;0,MIN(Skills!H9,MAX(0,MAX(0,Inputs!$B$43-B2619)-((R2594-1)*(IF(Inputs!$B$38="pvp",15,MAX(0.1,Skills!D9-IF(TRUE=TRUE,0.5,0)))*(1-IF(AND(ArtifactsInput!$M$27,Inputs!$B$4="Chapter Hunt"),CHOOSE(ArtifactsInput!$N$27+1,20,24,28,32,36,40),0)/100)))))/Skills!G9,1)))/Inputs!$B$43),G2594*Q2594))*IF(Inputs!$B$38="pvp",1,1+(Inputs!$B$20+Skills!O9+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2594*(1-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2594*(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2594*(1-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2594*(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4">
        <f>IF(C2594,(H2594*N2594*IF(AND(Inputs!$B$38&lt;&gt;"pvp",Inputs!$B$43&gt;0),((Skills!F9*((R2594-1)*IF(Skills!G9&gt;0,Skills!H9/Skills!G9,1)+IF(Skills!G9&gt;0,MIN(Skills!H9,MAX(0,MAX(0,Inputs!$B$43-B2619)-((R2594-1)*(IF(Inputs!$B$38="pvp",15,MAX(0.1,Skills!D9-IF(TRUE=TRUE,0.5,0)))*(1-IF(AND(ArtifactsInput!$M$27,Inputs!$B$4="Chapter Hunt"),CHOOSE(ArtifactsInput!$N$27+1,20,24,28,32,36,40),0)/100)))))/Skills!G9,1)))/Inputs!$B$43),G2594*Q2594))*IF(Inputs!$B$38="pvp",1,(1+(Inputs!$B$21+Skills!P9+B2613+(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5">
      <c r="A2595">
        <f>Skills!A10</f>
        <v/>
      </c>
      <c r="B2595">
        <f>Skills!B10</f>
        <v/>
      </c>
      <c r="C2595">
        <f>Inputs!$B$3&gt;=113</f>
        <v/>
      </c>
      <c r="D2595">
        <f>IF(Skills!C10=1,60+Inputs!$B$25+Inputs!$B$29,IF(Skills!C10=2,90+Inputs!$B$26+Inputs!$B$29,IF(Skills!C10=3,120+Inputs!$B$27+Inputs!$B$29,MAX(0,(Inputs!$B$3-100)*3)+Inputs!$B$28+Inputs!$B$29)))</f>
        <v/>
      </c>
      <c r="E2595">
        <f>INDEX(FactorTable!$B$2:$Y$301, MATCH(ROUND(MIN(300,MAX(1,D2595)),0), FactorTable!$A$2:$A$301,0), Skills!L10+1)</f>
        <v/>
      </c>
      <c r="F2595">
        <f>IF(Skills!M10=TRUE,(Skills!K10/10)*(E2595/1000),Skills!K10/10)+Skills!N10</f>
        <v/>
      </c>
      <c r="G2595">
        <f>Calc!G10</f>
        <v/>
      </c>
      <c r="H2595">
        <f>Calc!H10</f>
        <v/>
      </c>
      <c r="I2595">
        <f>IF(Skills!T10&lt;&gt;"",1+(Skills!T10/10)*(Z2588/1000)/100,1)</f>
        <v/>
      </c>
      <c r="J2595">
        <f>((Inputs!$B$6*(1+Inputs!$B$7/100))+(((Inputs!$B$12*(1+Inputs!$B$13/100))-(Inputs!$B$12*(1+Inputs!$B$13/100)))+0.25*(Inputs!$B$14-Inputs!$B$14))*(1+Inputs!$B$7/100))*(F2595/100)</f>
        <v/>
      </c>
      <c r="K2595">
        <f>J2595*(1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10="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2595)</f>
        <v/>
      </c>
      <c r="L2595">
        <f>K2595*(MIN(Inputs!$B$22+(F2603-Calc!F18),(Inputs!$B$23+(IF(ArtifactsInput!$M$15,CHOOSE(ArtifactsInput!$N$15+1,25,30,35,40,45,50)/100*(Inputs!$B$11-Inputs!$B$11),0))))/100+(Inputs!$B$23+(IF(ArtifactsInput!$M$15,CHOOSE(ArtifactsInput!$N$15+1,25,30,35,40,45,50)/100*(Inputs!$B$11-Inputs!$B$11),0)))/100)/2</f>
        <v/>
      </c>
      <c r="M2595">
        <f>L2595*(1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5">
        <f>L2595*(1-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2595*(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5">
        <f>(1-Summary!$B$11)*S2595+Summary!$B$11*U2595</f>
        <v/>
      </c>
      <c r="P2595">
        <f>IF(B2622=0,0,O2595/B2622)</f>
        <v/>
      </c>
      <c r="Q2595">
        <f>IFERROR(1/(IF(Inputs!$B$38="pvp",15,MAX(0.1,Skills!D10-IF(TRUE=TRUE,0.5,0)))*(1-IF(AND(ArtifactsInput!$M$27,Inputs!$B$4="Chapter Hunt"),CHOOSE(ArtifactsInput!$N$27+1,20,24,28,32,36,40),0)/100)),0)</f>
        <v/>
      </c>
      <c r="R2595" t="n">
        <v>0</v>
      </c>
      <c r="S2595">
        <f>IF(C2595,((H2595*B2623)/(1+Skills!G10*H2595*B2623)*N2595)*IF(Inputs!$B$38="pvp",1,1+(Inputs!$B$20+Skills!O10+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2595*(1-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2595*(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2595*(1-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2595*(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5">
        <f>IF(C2595,((H2595*B2623)/(1+Skills!G10*H2595*B2623)*N2595)*IF(Inputs!$B$38="pvp",1,(1+(Inputs!$B$21+Skills!P10+B2613+(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6">
      <c r="A2596">
        <f>Skills!A11</f>
        <v/>
      </c>
      <c r="B2596">
        <f>Skills!B11</f>
        <v/>
      </c>
      <c r="C2596">
        <f>Inputs!$B$3&gt;=107</f>
        <v/>
      </c>
      <c r="D2596">
        <f>IF(Skills!C11=1,60+Inputs!$B$25+Inputs!$B$29,IF(Skills!C11=2,90+Inputs!$B$26+Inputs!$B$29,IF(Skills!C11=3,120+Inputs!$B$27+Inputs!$B$29,MAX(0,(Inputs!$B$3-100)*3)+Inputs!$B$28+Inputs!$B$29)))</f>
        <v/>
      </c>
      <c r="E2596">
        <f>INDEX(FactorTable!$B$2:$Y$301, MATCH(ROUND(MIN(300,MAX(1,D2596)),0), FactorTable!$A$2:$A$301,0), Skills!L11+1)</f>
        <v/>
      </c>
      <c r="F2596">
        <f>IF(Skills!M11=TRUE,(Skills!K11/10)*(E2596/1000),Skills!K11/10)+Skills!N11</f>
        <v/>
      </c>
      <c r="G2596">
        <f>Calc!G11</f>
        <v/>
      </c>
      <c r="H2596">
        <f>Calc!H11</f>
        <v/>
      </c>
      <c r="I2596">
        <f>IF(Skills!T11&lt;&gt;"",1+(Skills!T11/10)*(Z2588/1000)/100,1)</f>
        <v/>
      </c>
      <c r="J2596">
        <f>((Inputs!$B$6*(1+Inputs!$B$7/100))+(((Inputs!$B$12*(1+Inputs!$B$13/100))-(Inputs!$B$12*(1+Inputs!$B$13/100)))+0.25*(Inputs!$B$14-Inputs!$B$14))*(1+Inputs!$B$7/100))*(F2596/100)</f>
        <v/>
      </c>
      <c r="K2596">
        <f>J2596*(1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11="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2596)</f>
        <v/>
      </c>
      <c r="L2596">
        <f>K2596*(MIN(Inputs!$B$22+(F2603-Calc!F18),(Inputs!$B$23+(IF(ArtifactsInput!$M$15,CHOOSE(ArtifactsInput!$N$15+1,25,30,35,40,45,50)/100*(Inputs!$B$11-Inputs!$B$11),0))))/100+(Inputs!$B$23+(IF(ArtifactsInput!$M$15,CHOOSE(ArtifactsInput!$N$15+1,25,30,35,40,45,50)/100*(Inputs!$B$11-Inputs!$B$11),0)))/100)/2</f>
        <v/>
      </c>
      <c r="M2596">
        <f>L2596*(1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6">
        <f>L2596*(1-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2596*(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6">
        <f>(1-Summary!$B$11)*S2596+Summary!$B$11*U2596</f>
        <v/>
      </c>
      <c r="P2596">
        <f>IF(B2622=0,0,O2596/B2622)</f>
        <v/>
      </c>
      <c r="Q2596">
        <f>IFERROR(1/(IF(Inputs!$B$38="pvp",15,MAX(0.1,Skills!D11-IF(TRUE=TRUE,0.5,0)))*(1-IF(AND(ArtifactsInput!$M$27,Inputs!$B$4="Chapter Hunt"),CHOOSE(ArtifactsInput!$N$27+1,20,24,28,32,36,40),0)/100)),0)</f>
        <v/>
      </c>
      <c r="R2596">
        <f>IF(AND(Inputs!$B$38&lt;&gt;"pvp",Inputs!$B$43&gt;0),IF(MAX(0,Inputs!$B$43-B2619)&lt;=0,0,(INT(MAX(0,Inputs!$B$43-B2619)/(IF(Inputs!$B$38="pvp",15,MAX(0.1,Skills!D11-IF(TRUE=TRUE,0.5,0)))*(1-IF(AND(ArtifactsInput!$M$27,Inputs!$B$4="Chapter Hunt"),CHOOSE(ArtifactsInput!$N$27+1,20,24,28,32,36,40),0)/100)))+1)),0)</f>
        <v/>
      </c>
      <c r="S2596">
        <f>IF(C2596,H2596*N2596*IF(AND(Inputs!$B$38&lt;&gt;"pvp",Inputs!$B$43&gt;0),((Skills!F11*((R2596-1)*IF(Skills!G11&gt;0,Skills!H11/Skills!G11,1)+IF(Skills!G11&gt;0,MIN(Skills!H11,MAX(0,MAX(0,Inputs!$B$43-B2619)-((R2596-1)*(IF(Inputs!$B$38="pvp",15,MAX(0.1,Skills!D11-IF(TRUE=TRUE,0.5,0)))*(1-IF(AND(ArtifactsInput!$M$27,Inputs!$B$4="Chapter Hunt"),CHOOSE(ArtifactsInput!$N$27+1,20,24,28,32,36,40),0)/100)))))/Skills!G11,1)))/Inputs!$B$43),G2596*Q2596)*0.5*IF(Inputs!$B$38="pvp",1,1+(Inputs!$B$20+Skills!O11+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2596*(1-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2596*(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2596*(1-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2596*(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6">
        <f>IF(C2596,H2596*N2596*IF(AND(Inputs!$B$38&lt;&gt;"pvp",Inputs!$B$43&gt;0),((Skills!F11*((R2596-1)*IF(Skills!G11&gt;0,Skills!H11/Skills!G11,1)+IF(Skills!G11&gt;0,MIN(Skills!H11,MAX(0,MAX(0,Inputs!$B$43-B2619)-((R2596-1)*(IF(Inputs!$B$38="pvp",15,MAX(0.1,Skills!D11-IF(TRUE=TRUE,0.5,0)))*(1-IF(AND(ArtifactsInput!$M$27,Inputs!$B$4="Chapter Hunt"),CHOOSE(ArtifactsInput!$N$27+1,20,24,28,32,36,40),0)/100)))))/Skills!G11,1)))/Inputs!$B$43),G2596*Q2596)*1*IF(Inputs!$B$38="pvp",1,(1+(Inputs!$B$21+Skills!P11+B2613+(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7">
      <c r="A2597">
        <f>Skills!A12</f>
        <v/>
      </c>
      <c r="B2597">
        <f>Skills!B12</f>
        <v/>
      </c>
      <c r="C2597">
        <f>Inputs!$B$3&gt;=115</f>
        <v/>
      </c>
      <c r="D2597">
        <f>IF(Skills!C12=1,60+Inputs!$B$25+Inputs!$B$29,IF(Skills!C12=2,90+Inputs!$B$26+Inputs!$B$29,IF(Skills!C12=3,120+Inputs!$B$27+Inputs!$B$29,MAX(0,(Inputs!$B$3-100)*3)+Inputs!$B$28+Inputs!$B$29)))</f>
        <v/>
      </c>
      <c r="E2597">
        <f>INDEX(FactorTable!$B$2:$Y$301, MATCH(ROUND(MIN(300,MAX(1,D2597)),0), FactorTable!$A$2:$A$301,0), Skills!L12+1)</f>
        <v/>
      </c>
      <c r="F2597">
        <f>IF(Skills!M12=TRUE,(Skills!K12/10)*(E2597/1000),Skills!K12/10)+Skills!N12</f>
        <v/>
      </c>
      <c r="G2597">
        <f>Calc!G12</f>
        <v/>
      </c>
      <c r="H2597">
        <f>Calc!H12</f>
        <v/>
      </c>
      <c r="I2597">
        <f>IF(Skills!T12&lt;&gt;"",1+(Skills!T12/10)*(Z2588/1000)/100,1)</f>
        <v/>
      </c>
      <c r="J2597">
        <f>((Inputs!$B$6*(1+Inputs!$B$7/100))+(((Inputs!$B$12*(1+Inputs!$B$13/100))-(Inputs!$B$12*(1+Inputs!$B$13/100)))+0.25*(Inputs!$B$14-Inputs!$B$14))*(1+Inputs!$B$7/100))*(F2597/100)</f>
        <v/>
      </c>
      <c r="K2597">
        <f>J2597*(1+((Inputs!$B$12*(1+Inputs!$B$13/100))*0.01+Inputs!$B$14*0.0025)/100)*(1+(Inputs!$B$15+B2614)/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2600=TRUE,F2600,0)/100)*(1+IF(C2608=TRUE,F2608,0)/100)^5*(1+(IF(Skills!A12="CHAIN_LIGHTNING",Inputs!$B$17+((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2612*(1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2597)</f>
        <v/>
      </c>
      <c r="L2597">
        <f>K2597*(MIN(Inputs!$B$22+(F2603-Calc!F18),(Inputs!$B$23+(IF(ArtifactsInput!$M$15,CHOOSE(ArtifactsInput!$N$15+1,25,30,35,40,45,50)/100*(Inputs!$B$11-Inputs!$B$11),0))))/100+(Inputs!$B$23+(IF(ArtifactsInput!$M$15,CHOOSE(ArtifactsInput!$N$15+1,25,30,35,40,45,50)/100*(Inputs!$B$11-Inputs!$B$11),0)))/100)/2</f>
        <v/>
      </c>
      <c r="M2597">
        <f>L2597*(1+(Inputs!$B$10+(F2606-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7">
        <f>L2597*(1-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2597*(MIN((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7">
        <f>(1-Summary!$B$11)*S2597+Summary!$B$11*U2597</f>
        <v/>
      </c>
      <c r="P2597">
        <f>IF(B2622=0,0,O2597/B2622)</f>
        <v/>
      </c>
      <c r="Q2597">
        <f>IFERROR(1/(IF(Inputs!$B$38="pvp",15,MAX(0.1,Skills!D12-IF(TRUE=TRUE,0.5,0)))*(1-IF(AND(ArtifactsInput!$M$27,Inputs!$B$4="Chapter Hunt"),CHOOSE(ArtifactsInput!$N$27+1,20,24,28,32,36,40),0)/100)),0)</f>
        <v/>
      </c>
      <c r="R2597">
        <f>IF(AND(Inputs!$B$38&lt;&gt;"pvp",Inputs!$B$43&gt;0),IF(MAX(0,Inputs!$B$43-B2619)&lt;=0,0,(INT(MAX(0,Inputs!$B$43-B2619)/(IF(Inputs!$B$38="pvp",15,MAX(0.1,Skills!D12-IF(TRUE=TRUE,0.5,0)))*(1-IF(AND(ArtifactsInput!$M$27,Inputs!$B$4="Chapter Hunt"),CHOOSE(ArtifactsInput!$N$27+1,20,24,28,32,36,40),0)/100)))+1)),0)</f>
        <v/>
      </c>
      <c r="S2597">
        <f>IF(C2597,(H2597*N2597*IF(AND(Inputs!$B$38&lt;&gt;"pvp",Inputs!$B$43&gt;0),((Skills!F12*((R2597-1)*IF(Skills!G12&gt;0,Skills!H12/Skills!G12,1)+IF(Skills!G12&gt;0,MIN(Skills!H12,MAX(0,MAX(0,Inputs!$B$43-B2619)-((R2597-1)*(IF(Inputs!$B$38="pvp",15,MAX(0.1,Skills!D12-IF(TRUE=TRUE,0.5,0)))*(1-IF(AND(ArtifactsInput!$M$27,Inputs!$B$4="Chapter Hunt"),CHOOSE(ArtifactsInput!$N$27+1,20,24,28,32,36,40),0)/100)))))/Skills!G12,1)))/Inputs!$B$43),G2597*Q2597))*IF(Inputs!$B$38="pvp",1,1+(Inputs!$B$20+Skills!O12+B2613+(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2597*(1-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2597*(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2597*(1-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2597*(MIN(100,(Inputs!$B$9+((F2605-Calc!F20)+(F2604-Calc!F19))+(ArtifactsInput!$M$24-ArtifactsInput!$M$24)*CHOOSE(ArtifactsInput!$N$24+1,10,12,14,16,18,20)+(IF(AND(Inputs!$B$38&lt;&gt;"pvp",Inputs!$B$43=0),1,IF(IF(Inputs!$B$38="pvp",15,Inputs!$B$43)-(B2619)&lt;=0,1,MAX(0,IF(Inputs!$B$38="pvp",15,Inputs!$B$43)-MAX(5,B2619))/(IF(Inputs!$B$38="pvp",15,Inputs!$B$43)-(B2619))))*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7">
        <f>IF(C2597,(H2597*N2597*IF(AND(Inputs!$B$38&lt;&gt;"pvp",Inputs!$B$43&gt;0),((Skills!F12*((R2597-1)*IF(Skills!G12&gt;0,Skills!H12/Skills!G12,1)+IF(Skills!G12&gt;0,MIN(Skills!H12,MAX(0,MAX(0,Inputs!$B$43-B2619)-((R2597-1)*(IF(Inputs!$B$38="pvp",15,MAX(0.1,Skills!D12-IF(TRUE=TRUE,0.5,0)))*(1-IF(AND(ArtifactsInput!$M$27,Inputs!$B$4="Chapter Hunt"),CHOOSE(ArtifactsInput!$N$27+1,20,24,28,32,36,40),0)/100)))))/Skills!G12,1)))/Inputs!$B$43),G2597*Q2597))*IF(Inputs!$B$38="pvp",1,(1+(Inputs!$B$21+Skills!P12+B2613+(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8">
      <c r="A2598">
        <f>Skills!A13</f>
        <v/>
      </c>
      <c r="B2598">
        <f>Skills!B13</f>
        <v/>
      </c>
      <c r="C2598">
        <f>Inputs!$B$3&gt;=49</f>
        <v/>
      </c>
      <c r="D2598">
        <f>IF(Skills!C13=1,60+Inputs!$B$25+Inputs!$B$29,IF(Skills!C13=2,90+Inputs!$B$26+Inputs!$B$29,IF(Skills!C13=3,120+Inputs!$B$27+Inputs!$B$29,MAX(0,(Inputs!$B$3-100)*3)+Inputs!$B$28+Inputs!$B$29)))</f>
        <v/>
      </c>
      <c r="E2598">
        <f>INDEX(FactorTable!$B$2:$Y$301, MATCH(ROUND(MIN(300,MAX(1,D2598)),0), FactorTable!$A$2:$A$301,0), Skills!L13+1)</f>
        <v/>
      </c>
      <c r="F2598">
        <f>IF(Skills!M13=TRUE,(Skills!K13/10)*(E2598/1000),Skills!K13/10)+Skills!N13</f>
        <v/>
      </c>
      <c r="G2598">
        <f>Calc!G13</f>
        <v/>
      </c>
      <c r="H2598">
        <f>Calc!H13</f>
        <v/>
      </c>
      <c r="I2598">
        <f>IF(Skills!T13&lt;&gt;"",1+(Skills!T13/10)*(Z2588/1000)/100,1)</f>
        <v/>
      </c>
      <c r="J2598" t="inlineStr"/>
      <c r="K2598" t="inlineStr"/>
      <c r="L2598" t="inlineStr"/>
      <c r="M2598" t="inlineStr"/>
      <c r="N2598" t="inlineStr"/>
      <c r="O2598">
        <f>(1-Summary!$B$11)*S2598+Summary!$B$11*U2598</f>
        <v/>
      </c>
      <c r="P2598">
        <f>IF(B2622=0,0,O2598/B2622)</f>
        <v/>
      </c>
      <c r="Q2598">
        <f>IFERROR(1/(IF(Inputs!$B$38="pvp",15,MAX(0.1,Skills!D13-IF(TRUE=TRUE,0.5,0)))*(1-IF(AND(ArtifactsInput!$M$27,Inputs!$B$4="Chapter Hunt"),CHOOSE(ArtifactsInput!$N$27+1,20,24,28,32,36,40),0)/100)),0)</f>
        <v/>
      </c>
      <c r="R2598" t="n">
        <v>0</v>
      </c>
      <c r="S2598" t="n">
        <v>0</v>
      </c>
      <c r="U2598" t="n">
        <v>0</v>
      </c>
    </row>
    <row r="2599">
      <c r="A2599">
        <f>Skills!A14</f>
        <v/>
      </c>
      <c r="B2599">
        <f>Skills!B14</f>
        <v/>
      </c>
      <c r="C2599">
        <f>Inputs!$B$3&gt;=72</f>
        <v/>
      </c>
      <c r="D2599">
        <f>IF(Skills!C14=1,60+Inputs!$B$25+Inputs!$B$29,IF(Skills!C14=2,90+Inputs!$B$26+Inputs!$B$29,IF(Skills!C14=3,120+Inputs!$B$27+Inputs!$B$29,MAX(0,(Inputs!$B$3-100)*3)+Inputs!$B$28+Inputs!$B$29)))</f>
        <v/>
      </c>
      <c r="E2599">
        <f>INDEX(FactorTable!$B$2:$Y$301, MATCH(ROUND(MIN(300,MAX(1,D2599)),0), FactorTable!$A$2:$A$301,0), Skills!L14+1)</f>
        <v/>
      </c>
      <c r="F2599">
        <f>IF(Skills!M14=TRUE,(Skills!K14/10)*(E2599/1000),Skills!K14/10)+Skills!N14</f>
        <v/>
      </c>
      <c r="G2599">
        <f>Calc!G14</f>
        <v/>
      </c>
      <c r="H2599">
        <f>Calc!H14</f>
        <v/>
      </c>
      <c r="I2599">
        <f>IF(Skills!T14&lt;&gt;"",1+(Skills!T14/10)*(Z2588/1000)/100,1)</f>
        <v/>
      </c>
      <c r="J2599" t="inlineStr"/>
      <c r="K2599" t="inlineStr"/>
      <c r="L2599" t="inlineStr"/>
      <c r="M2599" t="inlineStr"/>
      <c r="N2599" t="inlineStr"/>
      <c r="O2599">
        <f>(1-Summary!$B$11)*S2599+Summary!$B$11*U2599</f>
        <v/>
      </c>
      <c r="P2599">
        <f>IF(B2622=0,0,O2599/B2622)</f>
        <v/>
      </c>
      <c r="Q2599">
        <f>IFERROR(1/(IF(Inputs!$B$38="pvp",15,MAX(0.1,Skills!D14-IF(TRUE=TRUE,0.5,0)))*(1-IF(AND(ArtifactsInput!$M$27,Inputs!$B$4="Chapter Hunt"),CHOOSE(ArtifactsInput!$N$27+1,20,24,28,32,36,40),0)/100)),0)</f>
        <v/>
      </c>
      <c r="R2599" t="n">
        <v>0</v>
      </c>
      <c r="S2599" t="n">
        <v>0</v>
      </c>
      <c r="U2599" t="n">
        <v>0</v>
      </c>
    </row>
    <row r="2600">
      <c r="A2600">
        <f>Skills!A15</f>
        <v/>
      </c>
      <c r="B2600">
        <f>Skills!B15</f>
        <v/>
      </c>
      <c r="C2600">
        <f>Inputs!$B$3&gt;=75</f>
        <v/>
      </c>
      <c r="D2600">
        <f>IF(Skills!C15=1,60+Inputs!$B$25+Inputs!$B$29,IF(Skills!C15=2,90+Inputs!$B$26+Inputs!$B$29,IF(Skills!C15=3,120+Inputs!$B$27+Inputs!$B$29,MAX(0,(Inputs!$B$3-100)*3)+Inputs!$B$28+Inputs!$B$29)))</f>
        <v/>
      </c>
      <c r="E2600">
        <f>INDEX(FactorTable!$B$2:$Y$301, MATCH(ROUND(MIN(300,MAX(1,D2600)),0), FactorTable!$A$2:$A$301,0), Skills!L15+1)</f>
        <v/>
      </c>
      <c r="F2600">
        <f>IF(Skills!M15=TRUE,(Skills!K15/10)*(E2600/1000),Skills!K15/10)+Skills!N15</f>
        <v/>
      </c>
      <c r="G2600">
        <f>Calc!G15</f>
        <v/>
      </c>
      <c r="H2600">
        <f>Calc!H15</f>
        <v/>
      </c>
      <c r="I2600">
        <f>IF(Skills!T15&lt;&gt;"",1+(Skills!T15/10)*(Z2588/1000)/100,1)</f>
        <v/>
      </c>
      <c r="J2600" t="inlineStr"/>
      <c r="K2600" t="inlineStr"/>
      <c r="L2600" t="inlineStr"/>
      <c r="M2600" t="inlineStr"/>
      <c r="N2600" t="inlineStr"/>
      <c r="O2600">
        <f>(1-Summary!$B$11)*S2600+Summary!$B$11*U2600</f>
        <v/>
      </c>
      <c r="P2600">
        <f>IF(B2622=0,0,O2600/B2622)</f>
        <v/>
      </c>
      <c r="Q2600">
        <f>IFERROR(1/(IF(Inputs!$B$38="pvp",15,MAX(0.1,Skills!D15-IF(TRUE=TRUE,0.5,0)))*(1-IF(AND(ArtifactsInput!$M$27,Inputs!$B$4="Chapter Hunt"),CHOOSE(ArtifactsInput!$N$27+1,20,24,28,32,36,40),0)/100)),0)</f>
        <v/>
      </c>
      <c r="R2600" t="n">
        <v>0</v>
      </c>
      <c r="S2600" t="n">
        <v>0</v>
      </c>
      <c r="U2600" t="n">
        <v>0</v>
      </c>
    </row>
    <row r="2601">
      <c r="A2601">
        <f>Skills!A16</f>
        <v/>
      </c>
      <c r="B2601">
        <f>Skills!B16</f>
        <v/>
      </c>
      <c r="C2601">
        <f>Inputs!$B$3&gt;=110</f>
        <v/>
      </c>
      <c r="D2601">
        <f>IF(Skills!C16=1,60+Inputs!$B$25+Inputs!$B$29,IF(Skills!C16=2,90+Inputs!$B$26+Inputs!$B$29,IF(Skills!C16=3,120+Inputs!$B$27+Inputs!$B$29,MAX(0,(Inputs!$B$3-100)*3)+Inputs!$B$28+Inputs!$B$29)))</f>
        <v/>
      </c>
      <c r="E2601">
        <f>INDEX(FactorTable!$B$2:$Y$301, MATCH(ROUND(MIN(300,MAX(1,D2601)),0), FactorTable!$A$2:$A$301,0), Skills!L16+1)</f>
        <v/>
      </c>
      <c r="F2601">
        <f>(Skills!K16/10)*(E2601/1000)*64/45+Skills!N16</f>
        <v/>
      </c>
      <c r="G2601">
        <f>Calc!G16</f>
        <v/>
      </c>
      <c r="H2601">
        <f>Calc!H16</f>
        <v/>
      </c>
      <c r="I2601">
        <f>IF(Skills!T16&lt;&gt;"",1+(Skills!T16/10)*(Z2588/1000)/100,1)</f>
        <v/>
      </c>
      <c r="J2601" t="inlineStr"/>
      <c r="K2601" t="inlineStr"/>
      <c r="L2601" t="inlineStr"/>
      <c r="M2601" t="inlineStr"/>
      <c r="N2601" t="inlineStr"/>
      <c r="O2601">
        <f>(1-Summary!$B$11)*S2601+Summary!$B$11*U2601</f>
        <v/>
      </c>
      <c r="P2601">
        <f>IF(B2622=0,0,O2601/B2622)</f>
        <v/>
      </c>
      <c r="Q2601">
        <f>IFERROR(1/(IF(Inputs!$B$38="pvp",15,MAX(0.1,Skills!D16-IF(TRUE=TRUE,0.5,0)))*(1-IF(AND(ArtifactsInput!$M$27,Inputs!$B$4="Chapter Hunt"),CHOOSE(ArtifactsInput!$N$27+1,20,24,28,32,36,40),0)/100)),0)</f>
        <v/>
      </c>
      <c r="R2601">
        <f>IF(AND(Inputs!$B$38&lt;&gt;"pvp",Inputs!$B$43&gt;0),IF(Inputs!$B$43&lt;=0,0,(INT(Inputs!$B$43/(IF(Inputs!$B$38="pvp",15,MAX(0.1,Skills!D16-IF(TRUE=TRUE,0.5,0)))*(1-IF(AND(ArtifactsInput!$M$27,Inputs!$B$4="Chapter Hunt"),CHOOSE(ArtifactsInput!$N$27+1,20,24,28,32,36,40),0)/100)))+1)),0)</f>
        <v/>
      </c>
      <c r="S2601" t="n">
        <v>0</v>
      </c>
      <c r="U2601" t="n">
        <v>0</v>
      </c>
    </row>
    <row r="2602">
      <c r="A2602">
        <f>Skills!A17</f>
        <v/>
      </c>
      <c r="B2602">
        <f>Skills!B17</f>
        <v/>
      </c>
      <c r="C2602">
        <f>Inputs!$B$3&gt;=33</f>
        <v/>
      </c>
      <c r="D2602">
        <f>IF(Skills!C17=1,60+Inputs!$B$25+Inputs!$B$29,IF(Skills!C17=2,90+Inputs!$B$26+Inputs!$B$29,IF(Skills!C17=3,120+Inputs!$B$27+Inputs!$B$29,MAX(0,(Inputs!$B$3-100)*3)+Inputs!$B$28+Inputs!$B$29)))</f>
        <v/>
      </c>
      <c r="E2602">
        <f>INDEX(FactorTable!$B$2:$Y$301, MATCH(ROUND(MIN(300,MAX(1,D2602)),0), FactorTable!$A$2:$A$301,0), Skills!L17+1)</f>
        <v/>
      </c>
      <c r="F2602">
        <f>IF(Skills!M17=TRUE,(Skills!K17/10)*(E2602/1000),Skills!K17/10)+Skills!N17</f>
        <v/>
      </c>
      <c r="G2602">
        <f>Calc!G17</f>
        <v/>
      </c>
      <c r="H2602">
        <f>Calc!H17</f>
        <v/>
      </c>
      <c r="I2602">
        <f>IF(Skills!T17&lt;&gt;"",1+(Skills!T17/10)*(Z2588/1000)/100,1)</f>
        <v/>
      </c>
      <c r="J2602" t="inlineStr"/>
      <c r="K2602" t="inlineStr"/>
      <c r="L2602" t="inlineStr"/>
      <c r="M2602" t="inlineStr"/>
      <c r="N2602" t="inlineStr"/>
      <c r="O2602">
        <f>(1-Summary!$B$11)*S2602+Summary!$B$11*U2602</f>
        <v/>
      </c>
      <c r="P2602">
        <f>IF(B2622=0,0,O2602/B2622)</f>
        <v/>
      </c>
      <c r="Q2602">
        <f>IFERROR(1/(IF(Inputs!$B$38="pvp",15,MAX(0.1,Skills!D17-IF(TRUE=TRUE,0.5,0)))*(1-IF(AND(ArtifactsInput!$M$27,Inputs!$B$4="Chapter Hunt"),CHOOSE(ArtifactsInput!$N$27+1,20,24,28,32,36,40),0)/100)),0)</f>
        <v/>
      </c>
      <c r="R2602" t="n">
        <v>0</v>
      </c>
      <c r="S2602" t="n">
        <v>0</v>
      </c>
      <c r="U2602" t="n">
        <v>0</v>
      </c>
    </row>
    <row r="2603">
      <c r="A2603">
        <f>Skills!A18</f>
        <v/>
      </c>
      <c r="B2603">
        <f>Skills!B18</f>
        <v/>
      </c>
      <c r="C2603">
        <f>Inputs!$B$3&gt;=43</f>
        <v/>
      </c>
      <c r="D2603">
        <f>IF(Skills!C18=1,60+Inputs!$B$25+Inputs!$B$29,IF(Skills!C18=2,90+Inputs!$B$26+Inputs!$B$29,IF(Skills!C18=3,120+Inputs!$B$27+Inputs!$B$29,MAX(0,(Inputs!$B$3-100)*3)+Inputs!$B$28+Inputs!$B$29)))</f>
        <v/>
      </c>
      <c r="E2603">
        <f>INDEX(FactorTable!$B$2:$Y$301, MATCH(ROUND(MIN(300,MAX(1,D2603)),0), FactorTable!$A$2:$A$301,0), Skills!L18+1)</f>
        <v/>
      </c>
      <c r="F2603">
        <f>IF(Skills!M18=TRUE,(Skills!K18/10)*(E2603/1000),Skills!K18/10)+Skills!N18</f>
        <v/>
      </c>
      <c r="G2603">
        <f>Calc!G18</f>
        <v/>
      </c>
      <c r="H2603">
        <f>Calc!H18</f>
        <v/>
      </c>
      <c r="I2603">
        <f>IF(Skills!T18&lt;&gt;"",1+(Skills!T18/10)*(Z2588/1000)/100,1)</f>
        <v/>
      </c>
      <c r="J2603" t="inlineStr"/>
      <c r="K2603" t="inlineStr"/>
      <c r="L2603" t="inlineStr"/>
      <c r="M2603" t="inlineStr"/>
      <c r="N2603" t="inlineStr"/>
      <c r="O2603">
        <f>(1-Summary!$B$11)*S2603+Summary!$B$11*U2603</f>
        <v/>
      </c>
      <c r="P2603">
        <f>IF(B2622=0,0,O2603/B2622)</f>
        <v/>
      </c>
      <c r="Q2603">
        <f>IFERROR(1/(IF(Inputs!$B$38="pvp",15,MAX(0.1,Skills!D18-IF(TRUE=TRUE,0.5,0)))*(1-IF(AND(ArtifactsInput!$M$27,Inputs!$B$4="Chapter Hunt"),CHOOSE(ArtifactsInput!$N$27+1,20,24,28,32,36,40),0)/100)),0)</f>
        <v/>
      </c>
      <c r="R2603" t="n">
        <v>0</v>
      </c>
      <c r="S2603" t="n">
        <v>0</v>
      </c>
      <c r="U2603" t="n">
        <v>0</v>
      </c>
    </row>
    <row r="2604">
      <c r="A2604">
        <f>Skills!A19</f>
        <v/>
      </c>
      <c r="B2604">
        <f>Skills!B19</f>
        <v/>
      </c>
      <c r="C2604">
        <f>Inputs!$B$3&gt;=50</f>
        <v/>
      </c>
      <c r="D2604">
        <f>IF(Skills!C19=1,60+Inputs!$B$25+Inputs!$B$29,IF(Skills!C19=2,90+Inputs!$B$26+Inputs!$B$29,IF(Skills!C19=3,120+Inputs!$B$27+Inputs!$B$29,MAX(0,(Inputs!$B$3-100)*3)+Inputs!$B$28+Inputs!$B$29)))</f>
        <v/>
      </c>
      <c r="E2604">
        <f>INDEX(FactorTable!$B$2:$Y$301, MATCH(ROUND(MIN(300,MAX(1,D2604)),0), FactorTable!$A$2:$A$301,0), Skills!L19+1)</f>
        <v/>
      </c>
      <c r="F2604">
        <f>IF(Skills!M19=TRUE,(Skills!K19/10)*(E2604/1000),Skills!K19/10)+Skills!N19</f>
        <v/>
      </c>
      <c r="G2604">
        <f>Calc!G19</f>
        <v/>
      </c>
      <c r="H2604">
        <f>Calc!H19</f>
        <v/>
      </c>
      <c r="I2604">
        <f>IF(Skills!T19&lt;&gt;"",1+(Skills!T19/10)*(Z2588/1000)/100,1)</f>
        <v/>
      </c>
      <c r="J2604" t="inlineStr"/>
      <c r="K2604" t="inlineStr"/>
      <c r="L2604" t="inlineStr"/>
      <c r="M2604" t="inlineStr"/>
      <c r="N2604" t="inlineStr"/>
      <c r="O2604">
        <f>(1-Summary!$B$11)*S2604+Summary!$B$11*U2604</f>
        <v/>
      </c>
      <c r="P2604">
        <f>IF(B2622=0,0,O2604/B2622)</f>
        <v/>
      </c>
      <c r="Q2604">
        <f>IFERROR(1/(IF(Inputs!$B$38="pvp",15,MAX(0.1,Skills!D19-IF(TRUE=TRUE,0.5,0)))*(1-IF(AND(ArtifactsInput!$M$27,Inputs!$B$4="Chapter Hunt"),CHOOSE(ArtifactsInput!$N$27+1,20,24,28,32,36,40),0)/100)),0)</f>
        <v/>
      </c>
      <c r="R2604" t="n">
        <v>0</v>
      </c>
      <c r="S2604" t="n">
        <v>0</v>
      </c>
      <c r="U2604" t="n">
        <v>0</v>
      </c>
    </row>
    <row r="2605">
      <c r="A2605">
        <f>Skills!A20</f>
        <v/>
      </c>
      <c r="B2605">
        <f>Skills!B20</f>
        <v/>
      </c>
      <c r="C2605">
        <f>Inputs!$B$3&gt;=74</f>
        <v/>
      </c>
      <c r="D2605">
        <f>IF(Skills!C20=1,60+Inputs!$B$25+Inputs!$B$29,IF(Skills!C20=2,90+Inputs!$B$26+Inputs!$B$29,IF(Skills!C20=3,120+Inputs!$B$27+Inputs!$B$29,MAX(0,(Inputs!$B$3-100)*3)+Inputs!$B$28+Inputs!$B$29)))</f>
        <v/>
      </c>
      <c r="E2605">
        <f>INDEX(FactorTable!$B$2:$Y$301, MATCH(ROUND(MIN(300,MAX(1,D2605)),0), FactorTable!$A$2:$A$301,0), Skills!L20+1)</f>
        <v/>
      </c>
      <c r="F2605">
        <f>IF(Skills!M20=TRUE,(Skills!K20/10)*(E2605/1000),Skills!K20/10)+Skills!N20</f>
        <v/>
      </c>
      <c r="G2605">
        <f>Calc!G20</f>
        <v/>
      </c>
      <c r="H2605">
        <f>Calc!H20</f>
        <v/>
      </c>
      <c r="I2605">
        <f>IF(Skills!T20&lt;&gt;"",1+(Skills!T20/10)*(Z2588/1000)/100,1)</f>
        <v/>
      </c>
      <c r="J2605" t="inlineStr"/>
      <c r="K2605" t="inlineStr"/>
      <c r="L2605" t="inlineStr"/>
      <c r="M2605" t="inlineStr"/>
      <c r="N2605" t="inlineStr"/>
      <c r="O2605">
        <f>(1-Summary!$B$11)*S2605+Summary!$B$11*U2605</f>
        <v/>
      </c>
      <c r="P2605">
        <f>IF(B2622=0,0,O2605/B2622)</f>
        <v/>
      </c>
      <c r="Q2605">
        <f>IFERROR(1/(IF(Inputs!$B$38="pvp",15,MAX(0.1,Skills!D20-IF(TRUE=TRUE,0.5,0)))*(1-IF(AND(ArtifactsInput!$M$27,Inputs!$B$4="Chapter Hunt"),CHOOSE(ArtifactsInput!$N$27+1,20,24,28,32,36,40),0)/100)),0)</f>
        <v/>
      </c>
      <c r="R2605" t="n">
        <v>0</v>
      </c>
      <c r="S2605" t="n">
        <v>0</v>
      </c>
      <c r="U2605" t="n">
        <v>0</v>
      </c>
    </row>
    <row r="2606">
      <c r="A2606">
        <f>Skills!A21</f>
        <v/>
      </c>
      <c r="B2606">
        <f>Skills!B21</f>
        <v/>
      </c>
      <c r="C2606">
        <f>Inputs!$B$3&gt;=74</f>
        <v/>
      </c>
      <c r="D2606">
        <f>IF(Skills!C21=1,60+Inputs!$B$25+Inputs!$B$29,IF(Skills!C21=2,90+Inputs!$B$26+Inputs!$B$29,IF(Skills!C21=3,120+Inputs!$B$27+Inputs!$B$29,MAX(0,(Inputs!$B$3-100)*3)+Inputs!$B$28+Inputs!$B$29)))</f>
        <v/>
      </c>
      <c r="E2606">
        <f>INDEX(FactorTable!$B$2:$Y$301, MATCH(ROUND(MIN(300,MAX(1,D2606)),0), FactorTable!$A$2:$A$301,0), Skills!L21+1)</f>
        <v/>
      </c>
      <c r="F2606">
        <f>IF(Skills!M21=TRUE,(Skills!K21/10)*(E2606/1000),Skills!K21/10)+Skills!N21</f>
        <v/>
      </c>
      <c r="G2606">
        <f>Calc!G21</f>
        <v/>
      </c>
      <c r="H2606">
        <f>Calc!H21</f>
        <v/>
      </c>
      <c r="I2606">
        <f>IF(Skills!T21&lt;&gt;"",1+(Skills!T21/10)*(Z2588/1000)/100,1)</f>
        <v/>
      </c>
      <c r="J2606" t="inlineStr"/>
      <c r="K2606" t="inlineStr"/>
      <c r="L2606" t="inlineStr"/>
      <c r="M2606" t="inlineStr"/>
      <c r="N2606" t="inlineStr"/>
      <c r="O2606">
        <f>(1-Summary!$B$11)*S2606+Summary!$B$11*U2606</f>
        <v/>
      </c>
      <c r="P2606">
        <f>IF(B2622=0,0,O2606/B2622)</f>
        <v/>
      </c>
      <c r="Q2606">
        <f>IFERROR(1/(IF(Inputs!$B$38="pvp",15,MAX(0.1,Skills!D21-IF(TRUE=TRUE,0.5,0)))*(1-IF(AND(ArtifactsInput!$M$27,Inputs!$B$4="Chapter Hunt"),CHOOSE(ArtifactsInput!$N$27+1,20,24,28,32,36,40),0)/100)),0)</f>
        <v/>
      </c>
      <c r="R2606" t="n">
        <v>0</v>
      </c>
      <c r="S2606" t="n">
        <v>0</v>
      </c>
      <c r="U2606" t="n">
        <v>0</v>
      </c>
    </row>
    <row r="2607">
      <c r="A2607">
        <f>Skills!A22</f>
        <v/>
      </c>
      <c r="B2607">
        <f>Skills!B22</f>
        <v/>
      </c>
      <c r="C2607">
        <f>Inputs!$B$3&gt;=117</f>
        <v/>
      </c>
      <c r="D2607">
        <f>IF(Skills!C22=1,60+Inputs!$B$25+Inputs!$B$29,IF(Skills!C22=2,90+Inputs!$B$26+Inputs!$B$29,IF(Skills!C22=3,120+Inputs!$B$27+Inputs!$B$29,MAX(0,(Inputs!$B$3-100)*3)+Inputs!$B$28+Inputs!$B$29)))</f>
        <v/>
      </c>
      <c r="E2607">
        <f>INDEX(FactorTable!$B$2:$Y$301, MATCH(ROUND(MIN(300,MAX(1,D2607)),0), FactorTable!$A$2:$A$301,0), Skills!L22+1)</f>
        <v/>
      </c>
      <c r="F2607">
        <f>IF(Skills!M22=TRUE,(Skills!K22/10)*(E2607/1000),Skills!K22/10)+Skills!N22</f>
        <v/>
      </c>
      <c r="G2607">
        <f>Calc!G22</f>
        <v/>
      </c>
      <c r="H2607">
        <f>Calc!H22</f>
        <v/>
      </c>
      <c r="I2607">
        <f>IF(Skills!T22&lt;&gt;"",1+(Skills!T22/10)*(Z2588/1000)/100,1)</f>
        <v/>
      </c>
      <c r="J2607" t="inlineStr"/>
      <c r="K2607" t="inlineStr"/>
      <c r="L2607" t="inlineStr"/>
      <c r="M2607" t="inlineStr"/>
      <c r="N2607" t="inlineStr"/>
      <c r="O2607">
        <f>(1-Summary!$B$11)*S2607+Summary!$B$11*U2607</f>
        <v/>
      </c>
      <c r="P2607">
        <f>IF(B2622=0,0,O2607/B2622)</f>
        <v/>
      </c>
      <c r="Q2607">
        <f>IFERROR(1/(IF(Inputs!$B$38="pvp",15,MAX(0.1,Skills!D22-IF(TRUE=TRUE,0.5,0)))*(1-IF(AND(ArtifactsInput!$M$27,Inputs!$B$4="Chapter Hunt"),CHOOSE(ArtifactsInput!$N$27+1,20,24,28,32,36,40),0)/100)),0)</f>
        <v/>
      </c>
      <c r="R2607" t="n">
        <v>0</v>
      </c>
      <c r="S2607" t="n">
        <v>0</v>
      </c>
      <c r="U2607" t="n">
        <v>0</v>
      </c>
    </row>
    <row r="2608">
      <c r="A2608">
        <f>Skills!A23</f>
        <v/>
      </c>
      <c r="B2608">
        <f>Skills!B23</f>
        <v/>
      </c>
      <c r="C2608">
        <f>Inputs!$B$3&gt;=120</f>
        <v/>
      </c>
      <c r="D2608">
        <f>IF(Skills!C23=1,60+Inputs!$B$25+Inputs!$B$29,IF(Skills!C23=2,90+Inputs!$B$26+Inputs!$B$29,IF(Skills!C23=3,120+Inputs!$B$27+Inputs!$B$29,MAX(0,(Inputs!$B$3-100)*3)+Inputs!$B$28+Inputs!$B$29)))</f>
        <v/>
      </c>
      <c r="E2608">
        <f>INDEX(FactorTable!$B$2:$Y$301, MATCH(ROUND(MIN(300,MAX(1,D2608)),0), FactorTable!$A$2:$A$301,0), Skills!L23+1)</f>
        <v/>
      </c>
      <c r="F2608">
        <f>IF(Skills!M23=TRUE,(Skills!K23/10)*(E2608/1000),Skills!K23/10)+Skills!N23</f>
        <v/>
      </c>
      <c r="G2608">
        <f>Calc!G23</f>
        <v/>
      </c>
      <c r="H2608">
        <f>Calc!H23</f>
        <v/>
      </c>
      <c r="I2608">
        <f>IF(Skills!T23&lt;&gt;"",1+(Skills!T23/10)*(Z2588/1000)/100,1)</f>
        <v/>
      </c>
      <c r="J2608" t="inlineStr"/>
      <c r="K2608" t="inlineStr"/>
      <c r="L2608" t="inlineStr"/>
      <c r="M2608" t="inlineStr"/>
      <c r="N2608" t="inlineStr"/>
      <c r="O2608">
        <f>(1-Summary!$B$11)*S2608+Summary!$B$11*U2608</f>
        <v/>
      </c>
      <c r="P2608">
        <f>IF(B2622=0,0,O2608/B2622)</f>
        <v/>
      </c>
      <c r="Q2608">
        <f>IFERROR(1/(IF(Inputs!$B$38="pvp",15,MAX(0.1,Skills!D23-IF(TRUE=TRUE,0.5,0)))*(1-IF(AND(ArtifactsInput!$M$27,Inputs!$B$4="Chapter Hunt"),CHOOSE(ArtifactsInput!$N$27+1,20,24,28,32,36,40),0)/100)),0)</f>
        <v/>
      </c>
      <c r="R2608" t="n">
        <v>0</v>
      </c>
      <c r="S2608" t="n">
        <v>0</v>
      </c>
      <c r="U2608" t="n">
        <v>0</v>
      </c>
    </row>
    <row r="2609">
      <c r="A2609">
        <f>Skills!A24</f>
        <v/>
      </c>
      <c r="B2609">
        <f>Skills!B24</f>
        <v/>
      </c>
      <c r="C2609">
        <f>TRUE</f>
        <v/>
      </c>
      <c r="D2609">
        <f>IF(Skills!C24=1,60+Inputs!$B$25+Inputs!$B$29,IF(Skills!C24=2,90+Inputs!$B$26+Inputs!$B$29,IF(Skills!C24=3,120+Inputs!$B$27+Inputs!$B$29,MAX(0,(Inputs!$B$3-100)*3)+Inputs!$B$28+Inputs!$B$29)))</f>
        <v/>
      </c>
      <c r="E2609">
        <f>INDEX(FactorTable!$B$2:$Y$301, MATCH(ROUND(MIN(300,MAX(1,D2609)),0), FactorTable!$A$2:$A$301,0), Skills!L24+1)</f>
        <v/>
      </c>
      <c r="F2609">
        <f>IF(Skills!M24=TRUE,(Skills!K24/10)*(E2609/1000),Skills!K24/10)+Skills!N24</f>
        <v/>
      </c>
      <c r="G2609">
        <f>Calc!G24</f>
        <v/>
      </c>
      <c r="H2609">
        <f>Calc!H24</f>
        <v/>
      </c>
      <c r="I2609">
        <f>IF(Skills!T24&lt;&gt;"",1+(Skills!T24/10)*(Z2588/1000)/100,1)</f>
        <v/>
      </c>
      <c r="J2609" t="inlineStr"/>
      <c r="K2609" t="inlineStr"/>
      <c r="L2609" t="inlineStr"/>
      <c r="M2609" t="inlineStr"/>
      <c r="N2609" t="inlineStr"/>
      <c r="O2609">
        <f>(1-Summary!$B$11)*S2609+Summary!$B$11*U2609</f>
        <v/>
      </c>
      <c r="P2609">
        <f>IF(B2622=0,0,O2609/B2622)</f>
        <v/>
      </c>
      <c r="Q2609">
        <f>IFERROR(1/(IF(Inputs!$B$38="pvp",15,MAX(0.1,Skills!D24-IF(TRUE=TRUE,0.5,0)))*(1-IF(AND(ArtifactsInput!$M$27,Inputs!$B$4="Chapter Hunt"),CHOOSE(ArtifactsInput!$N$27+1,20,24,28,32,36,40),0)/100)),0)</f>
        <v/>
      </c>
      <c r="R2609">
        <f>IF(AND(Inputs!$B$38&lt;&gt;"pvp",Inputs!$B$43&gt;0),IF(Inputs!$B$43&lt;=0,0,(INT(Inputs!$B$43/(IF(Inputs!$B$38="pvp",15,MAX(0.1,Skills!D24-IF(TRUE=TRUE,0.5,0)))*(1-IF(AND(ArtifactsInput!$M$27,Inputs!$B$4="Chapter Hunt"),CHOOSE(ArtifactsInput!$N$27+1,20,24,28,32,36,40),0)/100)))+1)),0)</f>
        <v/>
      </c>
      <c r="S2609" t="n">
        <v>0</v>
      </c>
      <c r="U2609" t="n">
        <v>0</v>
      </c>
    </row>
    <row r="2612">
      <c r="A2612" t="inlineStr">
        <is>
          <t>Average Buff Multiplier (Magic Guard + Meditation + Artifact Attack%, summed; then Infinity)</t>
        </is>
      </c>
      <c r="B2612">
        <f>(1+(IF(C2588=TRUE,F2588*IF(AND(Inputs!$B$38&lt;&gt;"pvp",Inputs!$B$43&gt;0),(((R2588-1)*MIN((Skills!S3*(1+(Inputs!$B$34)/100)),(1/Q2588))+MIN((Skills!S3*(1+(Inputs!$B$34)/100)),MAX(0,Inputs!$B$43-((R2588-1)*(1/Q2588)))))/Inputs!$B$43),IF(Inputs!$B$38="pvp",MIN((Skills!S3*(1+(Inputs!$B$34)/100)),15)/15,MIN(1,(Skills!S3*(1+(Inputs!$B$34)/100))/(1/Q2588)))),0)+IF(C2589=TRUE,F2589*IF(AND(Inputs!$B$38&lt;&gt;"pvp",Inputs!$B$43&gt;0),(((R2589-1)*MIN((Skills!S4*(1+(Inputs!$B$34)/100)),(1/Q2589))+MIN((Skills!S4*(1+(Inputs!$B$34)/100)),MAX(0,Inputs!$B$43-((R2589-1)*(1/Q2589)))))/Inputs!$B$43),IF(Inputs!$B$38="pvp",MIN((Skills!S4*(1+(Inputs!$B$34)/100)),15)/15,MIN(1,(Skills!S4*(1+(Inputs!$B$34)/100))/(1/Q2589)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2601=TRUE,(1+F2601*IF(AND(Inputs!$B$38&lt;&gt;"pvp",Inputs!$B$43&gt;0),(((R2601-1)*MIN((Skills!S16*(1+(Inputs!$B$34)/100)),(1/Q2601))+MIN((Skills!S16*(1+(Inputs!$B$34)/100)),MAX(0,Inputs!$B$43-((R2601-1)*(1/Q2601)))))/Inputs!$B$43),IF(Inputs!$B$38="pvp",MIN((Skills!S16*(1+(Inputs!$B$34)/100)),15)/15,MIN(1,(Skills!S16*(1+(Inputs!$B$34)/100))/(1/Q2601))))/100),1)</f>
        <v/>
      </c>
    </row>
    <row r="2613">
      <c r="A2613" t="inlineStr">
        <is>
          <t>Monster Damage Taken Bonus % (Freezing Breath - Weaken + Elemental Reset + Artifact Enemy Damage Taken, summed)</t>
        </is>
      </c>
      <c r="B2613">
        <f>IF(Inputs!$B$3&gt;=118,15*IF(Inputs!$B$38="pvp",MIN((30*(1+(Inputs!$B$34)/100)),15)/15,MIN(1,(30*(1+(Inputs!$B$34)/100))/(1/Q2593))),0)+IF(C2599=TRUE,F2599,0)+(IF(AND(ArtifactsInput!$M$35,Inputs!$B$4&lt;&gt;"Chapter Hunt"),CHOOSE(ArtifactsInput!$N$35+1,15,18,21,24,27,30)*(1-EXP(-(0.2*B2616)*5)),0)+IF(AND(ArtifactsInput!$M$22,Inputs!$B$4&lt;&gt;"Chapter Hunt"),CHOOSE(ArtifactsInput!$N$22+1,10,12,14,16,18,20)*((0*(((0.15*B2616*5))^0/1)+1*(((0.15*B2616*5))^1/1)+2*(((0.15*B2616*5))^2/2)+3*(((0.15*B2616*5))^3/6)+4*(((0.15*B2616*5))^4/24)+5*(((0.15*B2616*5))^5/120))/((((0.15*B2616*5))^0/1)+(((0.15*B2616*5))^1/1)+(((0.15*B2616*5))^2/2)+(((0.15*B2616*5))^3/6)+(((0.15*B2616*5))^4/24)+(((0.15*B2616*5))^5/120))),0))</f>
        <v/>
      </c>
    </row>
    <row r="2614">
      <c r="A2614" t="inlineStr">
        <is>
          <t>Damage % Bonus (Frozen Break + Frost Clutch, flat)</t>
        </is>
      </c>
      <c r="B2614">
        <f>IF(Inputs!$B$3&gt;=66,15,0)+IF(Inputs!$B$3&gt;=98,10,0)+IF(Inputs!$B$3&gt;=125,20,0)</f>
        <v/>
      </c>
    </row>
    <row r="2615">
      <c r="A2615" t="inlineStr">
        <is>
          <t>Attack Speed Bonus % (MP Eater - MP Boost, always-on + Nimble Feet, duty-cycle averaged)</t>
        </is>
      </c>
      <c r="B2615">
        <f>IF(C2598=TRUE,F2598+(F2602-Calc!F17),0)+((C2609=TRUE)*F2609*IF(AND(Inputs!$B$38&lt;&gt;"pvp",Inputs!$B$43&gt;0),(((R2609-1)*MIN((Skills!S24*(1+(Inputs!$B$34)/100)),(1/Q2609))+MIN((Skills!S24*(1+(Inputs!$B$34)/100)),MAX(0,Inputs!$B$43-((R2609-1)*(1/Q2609)))))/Inputs!$B$43),IF(Inputs!$B$38="pvp",MIN((Skills!S24*(1+(Inputs!$B$34)/100)),15)/15,MIN(1,(Skills!S24*(1+(Inputs!$B$34)/100))/(1/Q2609)))))</f>
        <v/>
      </c>
    </row>
    <row r="2616">
      <c r="A2616" t="inlineStr">
        <is>
          <t>Actions Per Second</t>
        </is>
      </c>
      <c r="B2616">
        <f>1+MIN(150,150*(1-(1-(Inputs!$B$11+(ArtifactsInput!$M$15-ArtifactsInput!$M$15)*CHOOSE(ArtifactsInput!$N$15+1,8,9.6,11.2,12.8,14.4,16))/150)*(1-B2615/150)))/100</f>
        <v/>
      </c>
    </row>
    <row r="2617">
      <c r="A2617" t="inlineStr">
        <is>
          <t>Skill + Buff Cast Rate</t>
        </is>
      </c>
      <c r="B2617">
        <f>IF(AND(Inputs!$B$38&lt;&gt;"pvp",Inputs!$B$43&gt;0),SUMPRODUCT((Skills!E2:E24=TRUE)*(C2587:C2609=TRUE)*R2587:R2609)/Inputs!$B$43,SUMPRODUCT((Skills!E2:E24=TRUE)*(C2587:C2609=TRUE)*Q2587:Q2609))</f>
        <v/>
      </c>
    </row>
    <row r="2618">
      <c r="A2618" t="inlineStr">
        <is>
          <t>Chain Lightning Casts Per Second</t>
        </is>
      </c>
      <c r="B2618">
        <f>MAX(0,B2616-B2617)</f>
        <v/>
      </c>
    </row>
    <row r="2619">
      <c r="A2619" t="inlineStr">
        <is>
          <t>Buff-Casting Startup Delay (s, fixed-duration only)</t>
        </is>
      </c>
      <c r="B2619">
        <f>IF(AND(Inputs!$B$38&lt;&gt;"pvp",Inputs!$B$43&gt;0),SUMPRODUCT((Skills!S2:S24&gt;0)*(Skills!E2:E24=TRUE)*(C2587:C2609=TRUE))/B2616,0)</f>
        <v/>
      </c>
    </row>
    <row r="2620">
      <c r="A2620" t="inlineStr">
        <is>
          <t>Boss-Only Total DPS (this block's swept value)</t>
        </is>
      </c>
      <c r="B2620">
        <f>SUM(S2587:S2609)</f>
        <v/>
      </c>
    </row>
    <row r="2621">
      <c r="A2621" t="inlineStr">
        <is>
          <t>Normal-Only Total DPS (this block's swept value)</t>
        </is>
      </c>
      <c r="B2621">
        <f>SUM(U2587:U2609)</f>
        <v/>
      </c>
    </row>
    <row r="2622">
      <c r="A2622" s="6" t="inlineStr">
        <is>
          <t>TOTAL DPS</t>
        </is>
      </c>
      <c r="B2622" s="6">
        <f>SUM(O2587:O2609)</f>
        <v/>
      </c>
    </row>
    <row r="2623">
      <c r="A2623" t="inlineStr">
        <is>
          <t>Blizzard Final Attack trigger rate (this block's own Q/R)</t>
        </is>
      </c>
      <c r="B2623">
        <f>IF(AND(Inputs!$B$38&lt;&gt;"pvp",Inputs!$B$43&gt;0),(((C2590=TRUE)*R2590*1)+((C2591=TRUE)*R2591*1)+((C2593=TRUE)*R2593*1)+((C2594=TRUE)*R2594*3)+((C2596=TRUE)*R2596*1))/Inputs!$B$43,((C2590=TRUE)*Q2590*1)+((C2591=TRUE)*Q2591*1)+((C2593=TRUE)*Q2593*1)+((C2594=TRUE)*Q2594*3)+((C2596=TRUE)*Q2596*1))+B2618</f>
        <v/>
      </c>
    </row>
    <row r="2626">
      <c r="A2626" s="6" t="inlineStr">
        <is>
          <t>Stat: CDR = 1.0s</t>
        </is>
      </c>
    </row>
    <row r="2627">
      <c r="A2627" s="5" t="inlineStr">
        <is>
          <t>Key</t>
        </is>
      </c>
      <c r="B2627" s="5" t="inlineStr">
        <is>
          <t>Name</t>
        </is>
      </c>
      <c r="C2627" s="5" t="inlineStr">
        <is>
          <t>Unlocked</t>
        </is>
      </c>
      <c r="D2627" s="5" t="inlineStr">
        <is>
          <t>InputLevel</t>
        </is>
      </c>
      <c r="E2627" s="5" t="inlineStr">
        <is>
          <t>Factor</t>
        </is>
      </c>
      <c r="F2627" s="5" t="inlineStr">
        <is>
          <t>CoefficientPercent</t>
        </is>
      </c>
      <c r="G2627" s="5" t="inlineStr">
        <is>
          <t>EffectiveHits</t>
        </is>
      </c>
      <c r="H2627" s="5" t="inlineStr">
        <is>
          <t>ProcProbability</t>
        </is>
      </c>
      <c r="I2627" s="5" t="inlineStr">
        <is>
          <t>MapleHeroMultiplier</t>
        </is>
      </c>
      <c r="J2627" s="5" t="inlineStr">
        <is>
          <t>BaseDamage</t>
        </is>
      </c>
      <c r="K2627" s="5" t="inlineStr">
        <is>
          <t>BaseHitDamage</t>
        </is>
      </c>
      <c r="L2627" s="5" t="inlineStr">
        <is>
          <t>NonCritAvg</t>
        </is>
      </c>
      <c r="M2627" s="5" t="inlineStr">
        <is>
          <t>CritAvg</t>
        </is>
      </c>
      <c r="N2627" s="5" t="inlineStr">
        <is>
          <t>ExpectedDamage(perHit)</t>
        </is>
      </c>
      <c r="O2627" s="5" t="inlineStr">
        <is>
          <t>DPS</t>
        </is>
      </c>
      <c r="P2627" s="5" t="inlineStr">
        <is>
          <t>% of Total</t>
        </is>
      </c>
      <c r="R2627" t="inlineStr">
        <is>
          <t>helpers</t>
        </is>
      </c>
    </row>
    <row r="2628">
      <c r="A2628">
        <f>Skills!A2</f>
        <v/>
      </c>
      <c r="B2628">
        <f>Skills!B2</f>
        <v/>
      </c>
      <c r="C2628">
        <f>Inputs!$B$3&gt;=100</f>
        <v/>
      </c>
      <c r="D2628" t="inlineStr"/>
      <c r="E2628" t="inlineStr"/>
      <c r="F2628">
        <f>T2630+Skills!N2</f>
        <v/>
      </c>
      <c r="G2628">
        <f>Calc!G2</f>
        <v/>
      </c>
      <c r="H2628">
        <f>Calc!H2</f>
        <v/>
      </c>
      <c r="I2628">
        <f>IF(Skills!T2&lt;&gt;"",1+(Skills!T2/10)*(Z2629/1000)/100,1)</f>
        <v/>
      </c>
      <c r="J2628">
        <f>((Inputs!$B$6*(1+Inputs!$B$7/100))+(((Inputs!$B$12*(1+Inputs!$B$13/100))-(Inputs!$B$12*(1+Inputs!$B$13/100)))+0.25*(Inputs!$B$14-Inputs!$B$14))*(1+Inputs!$B$7/100))*(F2628/100)</f>
        <v/>
      </c>
      <c r="K2628">
        <f>J2628*(1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2="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2628)</f>
        <v/>
      </c>
      <c r="L2628">
        <f>K2628*(MIN(Inputs!$B$22+(F2644-Calc!F18),(Inputs!$B$23+(IF(ArtifactsInput!$M$15,CHOOSE(ArtifactsInput!$N$15+1,25,30,35,40,45,50)/100*(Inputs!$B$11-Inputs!$B$11),0))))/100+(Inputs!$B$23+(IF(ArtifactsInput!$M$15,CHOOSE(ArtifactsInput!$N$15+1,25,30,35,40,45,50)/100*(Inputs!$B$11-Inputs!$B$11),0)))/100)/2</f>
        <v/>
      </c>
      <c r="M2628">
        <f>L2628*(1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8">
        <f>L2628*(1-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2628*(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8">
        <f>(1-Summary!$B$11)*S2628+Summary!$B$11*U2628</f>
        <v/>
      </c>
      <c r="P2628">
        <f>IF(B2663=0,0,O2628/B2663)</f>
        <v/>
      </c>
      <c r="Q2628">
        <f>IFERROR(1/(IF(Inputs!$B$38="pvp",15,MAX(0.1,Skills!D2-IF(TRUE=TRUE,1.0,0)))*(1-IF(AND(ArtifactsInput!$M$27,Inputs!$B$4="Chapter Hunt"),CHOOSE(ArtifactsInput!$N$27+1,20,24,28,32,36,40),0)/100)),0)</f>
        <v/>
      </c>
      <c r="R2628" t="n">
        <v>0</v>
      </c>
      <c r="S2628">
        <f>IF(C2628,(Skills!F2*N2628*B2659)*IF(Inputs!$B$38="pvp",1,1+(Inputs!$B$20+Skills!O2+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2628*(1-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2628*(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2628*(1-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2628*(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28">
        <f>MAX(0,(Inputs!$B$3-100)*3)+Inputs!$B$28+Inputs!$B$29</f>
        <v/>
      </c>
      <c r="U2628">
        <f>IF(C2628,(Skills!F2*N2628*B2659)*IF(Inputs!$B$38="pvp",1,(1+(Inputs!$B$21+Skills!P2+B2654+(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628">
        <f>MAX(0,(Inputs!$B$3-100)*3)+Inputs!$B$28+Inputs!$B$29</f>
        <v/>
      </c>
    </row>
    <row r="2629">
      <c r="A2629">
        <f>Skills!A3</f>
        <v/>
      </c>
      <c r="B2629">
        <f>Skills!B3</f>
        <v/>
      </c>
      <c r="C2629">
        <f>Inputs!$B$3&gt;=15</f>
        <v/>
      </c>
      <c r="D2629">
        <f>IF(Skills!C3=1,60+Inputs!$B$25+Inputs!$B$29,IF(Skills!C3=2,90+Inputs!$B$26+Inputs!$B$29,IF(Skills!C3=3,120+Inputs!$B$27+Inputs!$B$29,MAX(0,(Inputs!$B$3-100)*3)+Inputs!$B$28+Inputs!$B$29)))</f>
        <v/>
      </c>
      <c r="E2629">
        <f>INDEX(FactorTable!$B$2:$Y$301, MATCH(ROUND(MIN(300,MAX(1,D2629)),0), FactorTable!$A$2:$A$301,0), Skills!L3+1)</f>
        <v/>
      </c>
      <c r="F2629">
        <f>IF(Skills!M3=TRUE,(Skills!K3/10)*(E2629/1000),Skills!K3/10)+Skills!N3</f>
        <v/>
      </c>
      <c r="G2629">
        <f>Calc!G3</f>
        <v/>
      </c>
      <c r="H2629">
        <f>Calc!H3</f>
        <v/>
      </c>
      <c r="I2629">
        <f>IF(Skills!T3&lt;&gt;"",1+(Skills!T3/10)*(Z2629/1000)/100,1)</f>
        <v/>
      </c>
      <c r="J2629" t="inlineStr"/>
      <c r="K2629" t="inlineStr"/>
      <c r="L2629" t="inlineStr"/>
      <c r="M2629" t="inlineStr"/>
      <c r="N2629" t="inlineStr"/>
      <c r="O2629">
        <f>(1-Summary!$B$11)*S2629+Summary!$B$11*U2629</f>
        <v/>
      </c>
      <c r="P2629">
        <f>IF(B2663=0,0,O2629/B2663)</f>
        <v/>
      </c>
      <c r="Q2629">
        <f>IFERROR(1/(IF(Inputs!$B$38="pvp",15,MAX(0.1,Skills!D3-IF(TRUE=TRUE,1.0,0)))*(1-IF(AND(ArtifactsInput!$M$27,Inputs!$B$4="Chapter Hunt"),CHOOSE(ArtifactsInput!$N$27+1,20,24,28,32,36,40),0)/100)),0)</f>
        <v/>
      </c>
      <c r="R2629">
        <f>IF(AND(Inputs!$B$38&lt;&gt;"pvp",Inputs!$B$43&gt;0),IF(Inputs!$B$43&lt;=0,0,(INT(Inputs!$B$43/(IF(Inputs!$B$38="pvp",15,MAX(0.1,Skills!D3-IF(TRUE=TRUE,1.0,0)))*(1-IF(AND(ArtifactsInput!$M$27,Inputs!$B$4="Chapter Hunt"),CHOOSE(ArtifactsInput!$N$27+1,20,24,28,32,36,40),0)/100)))+1)),0)</f>
        <v/>
      </c>
      <c r="S2629" t="n">
        <v>0</v>
      </c>
      <c r="T2629">
        <f>INDEX(FactorTable!$B$2:$Y$301, MATCH(ROUND(MIN(300,MAX(1,T2628)),0), FactorTable!$A$2:$A$301,0), 22)</f>
        <v/>
      </c>
      <c r="U2629" t="n">
        <v>0</v>
      </c>
      <c r="Z2629">
        <f>INDEX(FactorTable!$B$2:$Y$301, MATCH(ROUND(MIN(300,MAX(1,Z2628)),0), FactorTable!$A$2:$A$301,0), 24)</f>
        <v/>
      </c>
    </row>
    <row r="2630">
      <c r="A2630">
        <f>Skills!A4</f>
        <v/>
      </c>
      <c r="B2630">
        <f>Skills!B4</f>
        <v/>
      </c>
      <c r="C2630">
        <f>Inputs!$B$3&gt;=40</f>
        <v/>
      </c>
      <c r="D2630">
        <f>IF(Skills!C4=1,60+Inputs!$B$25+Inputs!$B$29,IF(Skills!C4=2,90+Inputs!$B$26+Inputs!$B$29,IF(Skills!C4=3,120+Inputs!$B$27+Inputs!$B$29,MAX(0,(Inputs!$B$3-100)*3)+Inputs!$B$28+Inputs!$B$29)))</f>
        <v/>
      </c>
      <c r="E2630">
        <f>INDEX(FactorTable!$B$2:$Y$301, MATCH(ROUND(MIN(300,MAX(1,D2630)),0), FactorTable!$A$2:$A$301,0), Skills!L4+1)</f>
        <v/>
      </c>
      <c r="F2630">
        <f>IF(Skills!M4=TRUE,(Skills!K4/10)*(E2630/1000),Skills!K4/10)+Skills!N4</f>
        <v/>
      </c>
      <c r="G2630">
        <f>Calc!G4</f>
        <v/>
      </c>
      <c r="H2630">
        <f>Calc!H4</f>
        <v/>
      </c>
      <c r="I2630">
        <f>IF(Skills!T4&lt;&gt;"",1+(Skills!T4/10)*(Z2629/1000)/100,1)</f>
        <v/>
      </c>
      <c r="J2630" t="inlineStr"/>
      <c r="K2630" t="inlineStr"/>
      <c r="L2630" t="inlineStr"/>
      <c r="M2630" t="inlineStr"/>
      <c r="N2630" t="inlineStr"/>
      <c r="O2630">
        <f>(1-Summary!$B$11)*S2630+Summary!$B$11*U2630</f>
        <v/>
      </c>
      <c r="P2630">
        <f>IF(B2663=0,0,O2630/B2663)</f>
        <v/>
      </c>
      <c r="Q2630">
        <f>IFERROR(1/(IF(Inputs!$B$38="pvp",15,MAX(0.1,Skills!D4-IF(TRUE=TRUE,1.0,0)))*(1-IF(AND(ArtifactsInput!$M$27,Inputs!$B$4="Chapter Hunt"),CHOOSE(ArtifactsInput!$N$27+1,20,24,28,32,36,40),0)/100)),0)</f>
        <v/>
      </c>
      <c r="R2630">
        <f>IF(AND(Inputs!$B$38&lt;&gt;"pvp",Inputs!$B$43&gt;0),IF(Inputs!$B$43&lt;=0,0,(INT(Inputs!$B$43/(IF(Inputs!$B$38="pvp",15,MAX(0.1,Skills!D4-IF(TRUE=TRUE,1.0,0)))*(1-IF(AND(ArtifactsInput!$M$27,Inputs!$B$4="Chapter Hunt"),CHOOSE(ArtifactsInput!$N$27+1,20,24,28,32,36,40),0)/100)))+1)),0)</f>
        <v/>
      </c>
      <c r="S2630" t="n">
        <v>0</v>
      </c>
      <c r="T2630">
        <f>290*T2629/1000</f>
        <v/>
      </c>
      <c r="U2630" t="n">
        <v>0</v>
      </c>
    </row>
    <row r="2631">
      <c r="A2631">
        <f>Skills!A5</f>
        <v/>
      </c>
      <c r="B2631">
        <f>Skills!B5</f>
        <v/>
      </c>
      <c r="C2631">
        <f>Inputs!$B$3&gt;=38</f>
        <v/>
      </c>
      <c r="D2631">
        <f>IF(Skills!C5=1,60+Inputs!$B$25+Inputs!$B$29,IF(Skills!C5=2,90+Inputs!$B$26+Inputs!$B$29,IF(Skills!C5=3,120+Inputs!$B$27+Inputs!$B$29,MAX(0,(Inputs!$B$3-100)*3)+Inputs!$B$28+Inputs!$B$29)))</f>
        <v/>
      </c>
      <c r="E2631">
        <f>INDEX(FactorTable!$B$2:$Y$301, MATCH(ROUND(MIN(300,MAX(1,D2631)),0), FactorTable!$A$2:$A$301,0), Skills!L5+1)</f>
        <v/>
      </c>
      <c r="F2631">
        <f>IF(Skills!M5=TRUE,(Skills!K5/10)*(E2631/1000),Skills!K5/10)+Skills!N5</f>
        <v/>
      </c>
      <c r="G2631">
        <f>Calc!G5</f>
        <v/>
      </c>
      <c r="H2631">
        <f>Calc!H5</f>
        <v/>
      </c>
      <c r="I2631">
        <f>IF(Skills!T5&lt;&gt;"",1+(Skills!T5/10)*(Z2629/1000)/100,1)</f>
        <v/>
      </c>
      <c r="J2631">
        <f>((Inputs!$B$6*(1+Inputs!$B$7/100))+(((Inputs!$B$12*(1+Inputs!$B$13/100))-(Inputs!$B$12*(1+Inputs!$B$13/100)))+0.25*(Inputs!$B$14-Inputs!$B$14))*(1+Inputs!$B$7/100))*(F2631/100)</f>
        <v/>
      </c>
      <c r="K2631">
        <f>J2631*(1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5="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2631)</f>
        <v/>
      </c>
      <c r="L2631">
        <f>K2631*(MIN(Inputs!$B$22+(F2644-Calc!F18),(Inputs!$B$23+(IF(ArtifactsInput!$M$15,CHOOSE(ArtifactsInput!$N$15+1,25,30,35,40,45,50)/100*(Inputs!$B$11-Inputs!$B$11),0))))/100+(Inputs!$B$23+(IF(ArtifactsInput!$M$15,CHOOSE(ArtifactsInput!$N$15+1,25,30,35,40,45,50)/100*(Inputs!$B$11-Inputs!$B$11),0)))/100)/2</f>
        <v/>
      </c>
      <c r="M2631">
        <f>L2631*(1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1">
        <f>L2631*(1-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1">
        <f>(1-Summary!$B$11)*S2631+Summary!$B$11*U2631</f>
        <v/>
      </c>
      <c r="P2631">
        <f>IF(B2663=0,0,O2631/B2663)</f>
        <v/>
      </c>
      <c r="Q2631">
        <f>IFERROR(1/(IF(Inputs!$B$38="pvp",15,MAX(0.1,Skills!D5-IF(TRUE=TRUE,1.0,0)))*(1-IF(AND(ArtifactsInput!$M$27,Inputs!$B$4="Chapter Hunt"),CHOOSE(ArtifactsInput!$N$27+1,20,24,28,32,36,40),0)/100)),0)</f>
        <v/>
      </c>
      <c r="R2631">
        <f>IF(AND(Inputs!$B$38&lt;&gt;"pvp",Inputs!$B$43&gt;0),IF(MAX(0,Inputs!$B$43-B2660)&lt;=0,0,(INT(MAX(0,Inputs!$B$43-B2660)/(IF(Inputs!$B$38="pvp",15,MAX(0.1,Skills!D5-IF(TRUE=TRUE,1.0,0)))*(1-IF(AND(ArtifactsInput!$M$27,Inputs!$B$4="Chapter Hunt"),CHOOSE(ArtifactsInput!$N$27+1,20,24,28,32,36,40),0)/100)))+1)),0)</f>
        <v/>
      </c>
      <c r="S2631">
        <f>IF(C2631,(H2631*N2631*IF(AND(Inputs!$B$38&lt;&gt;"pvp",Inputs!$B$43&gt;0),((Skills!F5*((R2631-1)*IF(Skills!G5&gt;0,Skills!H5/Skills!G5,1)+IF(Skills!G5&gt;0,MIN(Skills!H5,MAX(0,MAX(0,Inputs!$B$43-B2660)-((R2631-1)*(IF(Inputs!$B$38="pvp",15,MAX(0.1,Skills!D5-IF(TRUE=TRUE,1.0,0)))*(1-IF(AND(ArtifactsInput!$M$27,Inputs!$B$4="Chapter Hunt"),CHOOSE(ArtifactsInput!$N$27+1,20,24,28,32,36,40),0)/100)))))/Skills!G5,1)))/Inputs!$B$43),G2631*Q2631))*IF(Inputs!$B$38="pvp",1,1+(Inputs!$B$20+Skills!O5+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2631*(1-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2631*(1-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1">
        <f>IF(C2631,(H2631*N2631*IF(AND(Inputs!$B$38&lt;&gt;"pvp",Inputs!$B$43&gt;0),((Skills!F5*((R2631-1)*IF(Skills!G5&gt;0,Skills!H5/Skills!G5,1)+IF(Skills!G5&gt;0,MIN(Skills!H5,MAX(0,MAX(0,Inputs!$B$43-B2660)-((R2631-1)*(IF(Inputs!$B$38="pvp",15,MAX(0.1,Skills!D5-IF(TRUE=TRUE,1.0,0)))*(1-IF(AND(ArtifactsInput!$M$27,Inputs!$B$4="Chapter Hunt"),CHOOSE(ArtifactsInput!$N$27+1,20,24,28,32,36,40),0)/100)))))/Skills!G5,1)))/Inputs!$B$43),G2631*Q2631))*IF(Inputs!$B$38="pvp",1,(1+(Inputs!$B$21+Skills!P5+B2654+(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2">
      <c r="A2632">
        <f>Skills!A6</f>
        <v/>
      </c>
      <c r="B2632">
        <f>Skills!B6</f>
        <v/>
      </c>
      <c r="C2632">
        <f>Inputs!$B$3&gt;=63</f>
        <v/>
      </c>
      <c r="D2632">
        <f>IF(Skills!C6=1,60+Inputs!$B$25+Inputs!$B$29,IF(Skills!C6=2,90+Inputs!$B$26+Inputs!$B$29,IF(Skills!C6=3,120+Inputs!$B$27+Inputs!$B$29,MAX(0,(Inputs!$B$3-100)*3)+Inputs!$B$28+Inputs!$B$29)))</f>
        <v/>
      </c>
      <c r="E2632">
        <f>INDEX(FactorTable!$B$2:$Y$301, MATCH(ROUND(MIN(300,MAX(1,D2632)),0), FactorTable!$A$2:$A$301,0), Skills!L6+1)</f>
        <v/>
      </c>
      <c r="F2632">
        <f>IF(Skills!M6=TRUE,(Skills!K6/10)*(E2632/1000),Skills!K6/10)+Skills!N6</f>
        <v/>
      </c>
      <c r="G2632">
        <f>Calc!G6</f>
        <v/>
      </c>
      <c r="H2632">
        <f>Calc!H6</f>
        <v/>
      </c>
      <c r="I2632">
        <f>IF(Skills!T6&lt;&gt;"",1+(Skills!T6/10)*(Z2629/1000)/100,1)</f>
        <v/>
      </c>
      <c r="J2632">
        <f>((Inputs!$B$6*(1+Inputs!$B$7/100))+(((Inputs!$B$12*(1+Inputs!$B$13/100))-(Inputs!$B$12*(1+Inputs!$B$13/100)))+0.25*(Inputs!$B$14-Inputs!$B$14))*(1+Inputs!$B$7/100))*(F2632/100)</f>
        <v/>
      </c>
      <c r="K2632">
        <f>J2632*(1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6="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2632)</f>
        <v/>
      </c>
      <c r="L2632">
        <f>K2632*(MIN(Inputs!$B$22+(F2644-Calc!F18),(Inputs!$B$23+(IF(ArtifactsInput!$M$15,CHOOSE(ArtifactsInput!$N$15+1,25,30,35,40,45,50)/100*(Inputs!$B$11-Inputs!$B$11),0))))/100+(Inputs!$B$23+(IF(ArtifactsInput!$M$15,CHOOSE(ArtifactsInput!$N$15+1,25,30,35,40,45,50)/100*(Inputs!$B$11-Inputs!$B$11),0)))/100)/2</f>
        <v/>
      </c>
      <c r="M2632">
        <f>L2632*(1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2">
        <f>L2632*(1-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2632*(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2">
        <f>(1-Summary!$B$11)*S2632+Summary!$B$11*U2632</f>
        <v/>
      </c>
      <c r="P2632">
        <f>IF(B2663=0,0,O2632/B2663)</f>
        <v/>
      </c>
      <c r="Q2632">
        <f>IFERROR(1/(IF(Inputs!$B$38="pvp",15,MAX(0.1,Skills!D6-IF(TRUE=TRUE,1.0,0)))*(1-IF(AND(ArtifactsInput!$M$27,Inputs!$B$4="Chapter Hunt"),CHOOSE(ArtifactsInput!$N$27+1,20,24,28,32,36,40),0)/100)),0)</f>
        <v/>
      </c>
      <c r="R2632">
        <f>IF(AND(Inputs!$B$38&lt;&gt;"pvp",Inputs!$B$43&gt;0),IF(MAX(0,Inputs!$B$43-B2660)&lt;=0,0,(INT(MAX(0,Inputs!$B$43-B2660)/(IF(Inputs!$B$38="pvp",15,MAX(0.1,Skills!D6-IF(TRUE=TRUE,1.0,0)))*(1-IF(AND(ArtifactsInput!$M$27,Inputs!$B$4="Chapter Hunt"),CHOOSE(ArtifactsInput!$N$27+1,20,24,28,32,36,40),0)/100)))+1)),0)</f>
        <v/>
      </c>
      <c r="S2632">
        <f>IF(C2632,(H2632*N2632*IF(AND(Inputs!$B$38&lt;&gt;"pvp",Inputs!$B$43&gt;0),((Skills!F6*((R2632-1)*IF(Skills!G6&gt;0,Skills!H6/Skills!G6,1)+IF(Skills!G6&gt;0,MIN(Skills!H6,MAX(0,MAX(0,Inputs!$B$43-B2660)-((R2632-1)*(IF(Inputs!$B$38="pvp",15,MAX(0.1,Skills!D6-IF(TRUE=TRUE,1.0,0)))*(1-IF(AND(ArtifactsInput!$M$27,Inputs!$B$4="Chapter Hunt"),CHOOSE(ArtifactsInput!$N$27+1,20,24,28,32,36,40),0)/100)))))/Skills!G6,1)))/Inputs!$B$43),G2632*Q2632))*IF(Inputs!$B$38="pvp",1,1+(Inputs!$B$20+Skills!O6+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2632*(1-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2632*(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2632*(1-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2632*(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2">
        <f>IF(C2632,(H2632*N2632*IF(AND(Inputs!$B$38&lt;&gt;"pvp",Inputs!$B$43&gt;0),((Skills!F6*((R2632-1)*IF(Skills!G6&gt;0,Skills!H6/Skills!G6,1)+IF(Skills!G6&gt;0,MIN(Skills!H6,MAX(0,MAX(0,Inputs!$B$43-B2660)-((R2632-1)*(IF(Inputs!$B$38="pvp",15,MAX(0.1,Skills!D6-IF(TRUE=TRUE,1.0,0)))*(1-IF(AND(ArtifactsInput!$M$27,Inputs!$B$4="Chapter Hunt"),CHOOSE(ArtifactsInput!$N$27+1,20,24,28,32,36,40),0)/100)))))/Skills!G6,1)))/Inputs!$B$43),G2632*Q2632))*IF(Inputs!$B$38="pvp",1,(1+(Inputs!$B$21+Skills!P6+B2654+(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3">
      <c r="A2633">
        <f>Skills!A7</f>
        <v/>
      </c>
      <c r="B2633">
        <f>Skills!B7</f>
        <v/>
      </c>
      <c r="C2633">
        <f>Inputs!$B$3&gt;=69</f>
        <v/>
      </c>
      <c r="D2633">
        <f>IF(Skills!C7=1,60+Inputs!$B$25+Inputs!$B$29,IF(Skills!C7=2,90+Inputs!$B$26+Inputs!$B$29,IF(Skills!C7=3,120+Inputs!$B$27+Inputs!$B$29,MAX(0,(Inputs!$B$3-100)*3)+Inputs!$B$28+Inputs!$B$29)))</f>
        <v/>
      </c>
      <c r="E2633">
        <f>INDEX(FactorTable!$B$2:$Y$301, MATCH(ROUND(MIN(300,MAX(1,D2633)),0), FactorTable!$A$2:$A$301,0), Skills!L7+1)</f>
        <v/>
      </c>
      <c r="F2633">
        <f>IF(Skills!M7=TRUE,(Skills!K7/10)*(E2633/1000),Skills!K7/10)+Skills!N7</f>
        <v/>
      </c>
      <c r="G2633">
        <f>Calc!G7</f>
        <v/>
      </c>
      <c r="H2633">
        <f>Calc!H7</f>
        <v/>
      </c>
      <c r="I2633">
        <f>IF(Skills!T7&lt;&gt;"",1+(Skills!T7/10)*(Z2629/1000)/100,1)</f>
        <v/>
      </c>
      <c r="J2633">
        <f>((Inputs!$B$6*(1+Inputs!$B$7/100))+(((Inputs!$B$12*(1+Inputs!$B$13/100))-(Inputs!$B$12*(1+Inputs!$B$13/100)))+0.25*(Inputs!$B$14-Inputs!$B$14))*(1+Inputs!$B$7/100))*(F2633/100)</f>
        <v/>
      </c>
      <c r="K2633">
        <f>J2633*(1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7="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2633)</f>
        <v/>
      </c>
      <c r="L2633">
        <f>K2633*(MIN(Inputs!$B$22+(F2644-Calc!F18),(Inputs!$B$23+(IF(ArtifactsInput!$M$15,CHOOSE(ArtifactsInput!$N$15+1,25,30,35,40,45,50)/100*(Inputs!$B$11-Inputs!$B$11),0))))/100+(Inputs!$B$23+(IF(ArtifactsInput!$M$15,CHOOSE(ArtifactsInput!$N$15+1,25,30,35,40,45,50)/100*(Inputs!$B$11-Inputs!$B$11),0)))/100)/2</f>
        <v/>
      </c>
      <c r="M2633">
        <f>L2633*(1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3">
        <f>L2633*(1-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2633*(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3">
        <f>(1-Summary!$B$11)*S2633+Summary!$B$11*U2633</f>
        <v/>
      </c>
      <c r="P2633">
        <f>IF(B2663=0,0,O2633/B2663)</f>
        <v/>
      </c>
      <c r="Q2633">
        <f>IFERROR(1/(IF(Inputs!$B$38="pvp",15,MAX(0.1,Skills!D7-IF(TRUE=TRUE,1.0,0)))*(1-IF(AND(ArtifactsInput!$M$27,Inputs!$B$4="Chapter Hunt"),CHOOSE(ArtifactsInput!$N$27+1,20,24,28,32,36,40),0)/100)),0)</f>
        <v/>
      </c>
      <c r="R2633">
        <f>IF(AND(Inputs!$B$38&lt;&gt;"pvp",Inputs!$B$43&gt;0),IF(MAX(0,Inputs!$B$43-B2660)&lt;=0,0,(INT(MAX(0,Inputs!$B$43-B2660)/(IF(Inputs!$B$38="pvp",15,MAX(0.1,Skills!D7-IF(TRUE=TRUE,1.0,0)))*(1-IF(AND(ArtifactsInput!$M$27,Inputs!$B$4="Chapter Hunt"),CHOOSE(ArtifactsInput!$N$27+1,20,24,28,32,36,40),0)/100)))+1)),0)</f>
        <v/>
      </c>
      <c r="S2633">
        <f>IF(C2633,(H2633*N2633*IF(AND(Inputs!$B$38&lt;&gt;"pvp",Inputs!$B$43&gt;0),((Skills!F7*((R2633-1)*IF(Skills!G7&gt;0,Skills!H7/Skills!G7,1)+IF(Skills!G7&gt;0,MIN(Skills!H7,MAX(0,MAX(0,Inputs!$B$43-B2660)-((R2633-1)*(IF(Inputs!$B$38="pvp",15,MAX(0.1,Skills!D7-IF(TRUE=TRUE,1.0,0)))*(1-IF(AND(ArtifactsInput!$M$27,Inputs!$B$4="Chapter Hunt"),CHOOSE(ArtifactsInput!$N$27+1,20,24,28,32,36,40),0)/100)))))/Skills!G7,1)))/Inputs!$B$43),G2633*Q2633))*IF(Inputs!$B$38="pvp",1,1+(Inputs!$B$20+Skills!O7+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2633*(1-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2633*(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2633*(1-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2633*(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3">
        <f>IF(C2633,(H2633*N2633*IF(AND(Inputs!$B$38&lt;&gt;"pvp",Inputs!$B$43&gt;0),((Skills!F7*((R2633-1)*IF(Skills!G7&gt;0,Skills!H7/Skills!G7,1)+IF(Skills!G7&gt;0,MIN(Skills!H7,MAX(0,MAX(0,Inputs!$B$43-B2660)-((R2633-1)*(IF(Inputs!$B$38="pvp",15,MAX(0.1,Skills!D7-IF(TRUE=TRUE,1.0,0)))*(1-IF(AND(ArtifactsInput!$M$27,Inputs!$B$4="Chapter Hunt"),CHOOSE(ArtifactsInput!$N$27+1,20,24,28,32,36,40),0)/100)))))/Skills!G7,1)))/Inputs!$B$43),G2633*Q2633))*IF(Inputs!$B$38="pvp",1,(1+(Inputs!$B$21+Skills!P7+B2654+(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4">
      <c r="A2634">
        <f>Skills!A8</f>
        <v/>
      </c>
      <c r="B2634">
        <f>Skills!B8</f>
        <v/>
      </c>
      <c r="C2634">
        <f>Inputs!$B$3&gt;=103</f>
        <v/>
      </c>
      <c r="D2634">
        <f>IF(Skills!C8=1,60+Inputs!$B$25+Inputs!$B$29,IF(Skills!C8=2,90+Inputs!$B$26+Inputs!$B$29,IF(Skills!C8=3,120+Inputs!$B$27+Inputs!$B$29,MAX(0,(Inputs!$B$3-100)*3)+Inputs!$B$28+Inputs!$B$29)))</f>
        <v/>
      </c>
      <c r="E2634">
        <f>INDEX(FactorTable!$B$2:$Y$301, MATCH(ROUND(MIN(300,MAX(1,D2634)),0), FactorTable!$A$2:$A$301,0), Skills!L8+1)</f>
        <v/>
      </c>
      <c r="F2634">
        <f>IF(Skills!M8=TRUE,(Skills!K8/10)*(E2634/1000),Skills!K8/10)+Skills!N8</f>
        <v/>
      </c>
      <c r="G2634">
        <f>Calc!G8</f>
        <v/>
      </c>
      <c r="H2634">
        <f>Calc!H8</f>
        <v/>
      </c>
      <c r="I2634">
        <f>IF(Skills!T8&lt;&gt;"",1+(Skills!T8/10)*(Z2629/1000)/100,1)</f>
        <v/>
      </c>
      <c r="J2634">
        <f>((Inputs!$B$6*(1+Inputs!$B$7/100))+(((Inputs!$B$12*(1+Inputs!$B$13/100))-(Inputs!$B$12*(1+Inputs!$B$13/100)))+0.25*(Inputs!$B$14-Inputs!$B$14))*(1+Inputs!$B$7/100))*(F2634/100)</f>
        <v/>
      </c>
      <c r="K2634">
        <f>J2634*(1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8="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2634)</f>
        <v/>
      </c>
      <c r="L2634">
        <f>K2634*(MIN(Inputs!$B$22+(F2644-Calc!F18),(Inputs!$B$23+(IF(ArtifactsInput!$M$15,CHOOSE(ArtifactsInput!$N$15+1,25,30,35,40,45,50)/100*(Inputs!$B$11-Inputs!$B$11),0))))/100+(Inputs!$B$23+(IF(ArtifactsInput!$M$15,CHOOSE(ArtifactsInput!$N$15+1,25,30,35,40,45,50)/100*(Inputs!$B$11-Inputs!$B$11),0)))/100)/2</f>
        <v/>
      </c>
      <c r="M2634">
        <f>L2634*(1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4">
        <f>L2634*(1-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2634*(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4">
        <f>(1-Summary!$B$11)*S2634+Summary!$B$11*U2634</f>
        <v/>
      </c>
      <c r="P2634">
        <f>IF(B2663=0,0,O2634/B2663)</f>
        <v/>
      </c>
      <c r="Q2634">
        <f>IFERROR(1/(IF(Inputs!$B$38="pvp",15,MAX(0.1,Skills!D8-IF(TRUE=TRUE,1.0,0)))*(1-IF(AND(ArtifactsInput!$M$27,Inputs!$B$4="Chapter Hunt"),CHOOSE(ArtifactsInput!$N$27+1,20,24,28,32,36,40),0)/100)),0)</f>
        <v/>
      </c>
      <c r="R2634">
        <f>IF(AND(Inputs!$B$38&lt;&gt;"pvp",Inputs!$B$43&gt;0),IF(MAX(0,Inputs!$B$43-B2660)&lt;=0,0,(INT(MAX(0,Inputs!$B$43-B2660)/(IF(Inputs!$B$38="pvp",15,MAX(0.1,Skills!D8-IF(TRUE=TRUE,1.0,0)))*(1-IF(AND(ArtifactsInput!$M$27,Inputs!$B$4="Chapter Hunt"),CHOOSE(ArtifactsInput!$N$27+1,20,24,28,32,36,40),0)/100)))+1)),0)</f>
        <v/>
      </c>
      <c r="S2634">
        <f>IF(C2634,(H2634*N2634*IF(AND(Inputs!$B$38&lt;&gt;"pvp",Inputs!$B$43&gt;0),((Skills!F8*((R2634-1)*IF(Skills!G8&gt;0,Skills!H8/Skills!G8,1)+IF(Skills!G8&gt;0,MIN(Skills!H8,MAX(0,MAX(0,Inputs!$B$43-B2660)-((R2634-1)*(IF(Inputs!$B$38="pvp",15,MAX(0.1,Skills!D8-IF(TRUE=TRUE,1.0,0)))*(1-IF(AND(ArtifactsInput!$M$27,Inputs!$B$4="Chapter Hunt"),CHOOSE(ArtifactsInput!$N$27+1,20,24,28,32,36,40),0)/100)))))/Skills!G8,1)))/Inputs!$B$43),G2634*Q2634))*IF(Inputs!$B$38="pvp",1,1+(Inputs!$B$20+Skills!O8+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2634*(1-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2634*(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2634*(1-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2634*(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4">
        <f>IF(C2634,(H2634*N2634*IF(AND(Inputs!$B$38&lt;&gt;"pvp",Inputs!$B$43&gt;0),((Skills!F8*((R2634-1)*IF(Skills!G8&gt;0,Skills!H8/Skills!G8,1)+IF(Skills!G8&gt;0,MIN(Skills!H8,MAX(0,MAX(0,Inputs!$B$43-B2660)-((R2634-1)*(IF(Inputs!$B$38="pvp",15,MAX(0.1,Skills!D8-IF(TRUE=TRUE,1.0,0)))*(1-IF(AND(ArtifactsInput!$M$27,Inputs!$B$4="Chapter Hunt"),CHOOSE(ArtifactsInput!$N$27+1,20,24,28,32,36,40),0)/100)))))/Skills!G8,1)))/Inputs!$B$43),G2634*Q2634))*IF(Inputs!$B$38="pvp",1,(1+(Inputs!$B$21+Skills!P8+B2654+(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5">
      <c r="A2635">
        <f>Skills!A9</f>
        <v/>
      </c>
      <c r="B2635">
        <f>Skills!B9</f>
        <v/>
      </c>
      <c r="C2635">
        <f>Inputs!$B$3&gt;=105</f>
        <v/>
      </c>
      <c r="D2635">
        <f>IF(Skills!C9=1,60+Inputs!$B$25+Inputs!$B$29,IF(Skills!C9=2,90+Inputs!$B$26+Inputs!$B$29,IF(Skills!C9=3,120+Inputs!$B$27+Inputs!$B$29,MAX(0,(Inputs!$B$3-100)*3)+Inputs!$B$28+Inputs!$B$29)))</f>
        <v/>
      </c>
      <c r="E2635">
        <f>INDEX(FactorTable!$B$2:$Y$301, MATCH(ROUND(MIN(300,MAX(1,D2635)),0), FactorTable!$A$2:$A$301,0), Skills!L9+1)</f>
        <v/>
      </c>
      <c r="F2635">
        <f>IF(Skills!M9=TRUE,(Skills!K9/10)*(E2635/1000),Skills!K9/10)+Skills!N9</f>
        <v/>
      </c>
      <c r="G2635">
        <f>Calc!G9</f>
        <v/>
      </c>
      <c r="H2635">
        <f>Calc!H9</f>
        <v/>
      </c>
      <c r="I2635">
        <f>IF(Skills!T9&lt;&gt;"",1+(Skills!T9/10)*(Z2629/1000)/100,1)</f>
        <v/>
      </c>
      <c r="J2635">
        <f>((Inputs!$B$6*(1+Inputs!$B$7/100))+(((Inputs!$B$12*(1+Inputs!$B$13/100))-(Inputs!$B$12*(1+Inputs!$B$13/100)))+0.25*(Inputs!$B$14-Inputs!$B$14))*(1+Inputs!$B$7/100))*(F2635/100)</f>
        <v/>
      </c>
      <c r="K2635">
        <f>J2635*(1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9="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2635)</f>
        <v/>
      </c>
      <c r="L2635">
        <f>K2635*(MIN(Inputs!$B$22+(F2644-Calc!F18),(Inputs!$B$23+(IF(ArtifactsInput!$M$15,CHOOSE(ArtifactsInput!$N$15+1,25,30,35,40,45,50)/100*(Inputs!$B$11-Inputs!$B$11),0))))/100+(Inputs!$B$23+(IF(ArtifactsInput!$M$15,CHOOSE(ArtifactsInput!$N$15+1,25,30,35,40,45,50)/100*(Inputs!$B$11-Inputs!$B$11),0)))/100)/2</f>
        <v/>
      </c>
      <c r="M2635">
        <f>L2635*(1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5">
        <f>L2635*(1-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2635*(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5">
        <f>(1-Summary!$B$11)*S2635+Summary!$B$11*U2635</f>
        <v/>
      </c>
      <c r="P2635">
        <f>IF(B2663=0,0,O2635/B2663)</f>
        <v/>
      </c>
      <c r="Q2635">
        <f>IFERROR(1/(IF(Inputs!$B$38="pvp",15,MAX(0.1,Skills!D9-IF(TRUE=TRUE,1.0,0)))*(1-IF(AND(ArtifactsInput!$M$27,Inputs!$B$4="Chapter Hunt"),CHOOSE(ArtifactsInput!$N$27+1,20,24,28,32,36,40),0)/100)),0)</f>
        <v/>
      </c>
      <c r="R2635">
        <f>IF(AND(Inputs!$B$38&lt;&gt;"pvp",Inputs!$B$43&gt;0),IF(MAX(0,Inputs!$B$43-B2660)&lt;=0,0,(INT(MAX(0,Inputs!$B$43-B2660)/(IF(Inputs!$B$38="pvp",15,MAX(0.1,Skills!D9-IF(TRUE=TRUE,1.0,0)))*(1-IF(AND(ArtifactsInput!$M$27,Inputs!$B$4="Chapter Hunt"),CHOOSE(ArtifactsInput!$N$27+1,20,24,28,32,36,40),0)/100)))+1)),0)</f>
        <v/>
      </c>
      <c r="S2635">
        <f>IF(C2635,(H2635*N2635*IF(AND(Inputs!$B$38&lt;&gt;"pvp",Inputs!$B$43&gt;0),((Skills!F9*((R2635-1)*IF(Skills!G9&gt;0,Skills!H9/Skills!G9,1)+IF(Skills!G9&gt;0,MIN(Skills!H9,MAX(0,MAX(0,Inputs!$B$43-B2660)-((R2635-1)*(IF(Inputs!$B$38="pvp",15,MAX(0.1,Skills!D9-IF(TRUE=TRUE,1.0,0)))*(1-IF(AND(ArtifactsInput!$M$27,Inputs!$B$4="Chapter Hunt"),CHOOSE(ArtifactsInput!$N$27+1,20,24,28,32,36,40),0)/100)))))/Skills!G9,1)))/Inputs!$B$43),G2635*Q2635))*IF(Inputs!$B$38="pvp",1,1+(Inputs!$B$20+Skills!O9+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2635*(1-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2635*(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2635*(1-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2635*(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5">
        <f>IF(C2635,(H2635*N2635*IF(AND(Inputs!$B$38&lt;&gt;"pvp",Inputs!$B$43&gt;0),((Skills!F9*((R2635-1)*IF(Skills!G9&gt;0,Skills!H9/Skills!G9,1)+IF(Skills!G9&gt;0,MIN(Skills!H9,MAX(0,MAX(0,Inputs!$B$43-B2660)-((R2635-1)*(IF(Inputs!$B$38="pvp",15,MAX(0.1,Skills!D9-IF(TRUE=TRUE,1.0,0)))*(1-IF(AND(ArtifactsInput!$M$27,Inputs!$B$4="Chapter Hunt"),CHOOSE(ArtifactsInput!$N$27+1,20,24,28,32,36,40),0)/100)))))/Skills!G9,1)))/Inputs!$B$43),G2635*Q2635))*IF(Inputs!$B$38="pvp",1,(1+(Inputs!$B$21+Skills!P9+B2654+(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6">
      <c r="A2636">
        <f>Skills!A10</f>
        <v/>
      </c>
      <c r="B2636">
        <f>Skills!B10</f>
        <v/>
      </c>
      <c r="C2636">
        <f>Inputs!$B$3&gt;=113</f>
        <v/>
      </c>
      <c r="D2636">
        <f>IF(Skills!C10=1,60+Inputs!$B$25+Inputs!$B$29,IF(Skills!C10=2,90+Inputs!$B$26+Inputs!$B$29,IF(Skills!C10=3,120+Inputs!$B$27+Inputs!$B$29,MAX(0,(Inputs!$B$3-100)*3)+Inputs!$B$28+Inputs!$B$29)))</f>
        <v/>
      </c>
      <c r="E2636">
        <f>INDEX(FactorTable!$B$2:$Y$301, MATCH(ROUND(MIN(300,MAX(1,D2636)),0), FactorTable!$A$2:$A$301,0), Skills!L10+1)</f>
        <v/>
      </c>
      <c r="F2636">
        <f>IF(Skills!M10=TRUE,(Skills!K10/10)*(E2636/1000),Skills!K10/10)+Skills!N10</f>
        <v/>
      </c>
      <c r="G2636">
        <f>Calc!G10</f>
        <v/>
      </c>
      <c r="H2636">
        <f>Calc!H10</f>
        <v/>
      </c>
      <c r="I2636">
        <f>IF(Skills!T10&lt;&gt;"",1+(Skills!T10/10)*(Z2629/1000)/100,1)</f>
        <v/>
      </c>
      <c r="J2636">
        <f>((Inputs!$B$6*(1+Inputs!$B$7/100))+(((Inputs!$B$12*(1+Inputs!$B$13/100))-(Inputs!$B$12*(1+Inputs!$B$13/100)))+0.25*(Inputs!$B$14-Inputs!$B$14))*(1+Inputs!$B$7/100))*(F2636/100)</f>
        <v/>
      </c>
      <c r="K2636">
        <f>J2636*(1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10="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2636)</f>
        <v/>
      </c>
      <c r="L2636">
        <f>K2636*(MIN(Inputs!$B$22+(F2644-Calc!F18),(Inputs!$B$23+(IF(ArtifactsInput!$M$15,CHOOSE(ArtifactsInput!$N$15+1,25,30,35,40,45,50)/100*(Inputs!$B$11-Inputs!$B$11),0))))/100+(Inputs!$B$23+(IF(ArtifactsInput!$M$15,CHOOSE(ArtifactsInput!$N$15+1,25,30,35,40,45,50)/100*(Inputs!$B$11-Inputs!$B$11),0)))/100)/2</f>
        <v/>
      </c>
      <c r="M2636">
        <f>L2636*(1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6">
        <f>L2636*(1-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2636*(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6">
        <f>(1-Summary!$B$11)*S2636+Summary!$B$11*U2636</f>
        <v/>
      </c>
      <c r="P2636">
        <f>IF(B2663=0,0,O2636/B2663)</f>
        <v/>
      </c>
      <c r="Q2636">
        <f>IFERROR(1/(IF(Inputs!$B$38="pvp",15,MAX(0.1,Skills!D10-IF(TRUE=TRUE,1.0,0)))*(1-IF(AND(ArtifactsInput!$M$27,Inputs!$B$4="Chapter Hunt"),CHOOSE(ArtifactsInput!$N$27+1,20,24,28,32,36,40),0)/100)),0)</f>
        <v/>
      </c>
      <c r="R2636" t="n">
        <v>0</v>
      </c>
      <c r="S2636">
        <f>IF(C2636,((H2636*B2664)/(1+Skills!G10*H2636*B2664)*N2636)*IF(Inputs!$B$38="pvp",1,1+(Inputs!$B$20+Skills!O10+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2636*(1-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2636*(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2636*(1-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2636*(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6">
        <f>IF(C2636,((H2636*B2664)/(1+Skills!G10*H2636*B2664)*N2636)*IF(Inputs!$B$38="pvp",1,(1+(Inputs!$B$21+Skills!P10+B2654+(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7">
      <c r="A2637">
        <f>Skills!A11</f>
        <v/>
      </c>
      <c r="B2637">
        <f>Skills!B11</f>
        <v/>
      </c>
      <c r="C2637">
        <f>Inputs!$B$3&gt;=107</f>
        <v/>
      </c>
      <c r="D2637">
        <f>IF(Skills!C11=1,60+Inputs!$B$25+Inputs!$B$29,IF(Skills!C11=2,90+Inputs!$B$26+Inputs!$B$29,IF(Skills!C11=3,120+Inputs!$B$27+Inputs!$B$29,MAX(0,(Inputs!$B$3-100)*3)+Inputs!$B$28+Inputs!$B$29)))</f>
        <v/>
      </c>
      <c r="E2637">
        <f>INDEX(FactorTable!$B$2:$Y$301, MATCH(ROUND(MIN(300,MAX(1,D2637)),0), FactorTable!$A$2:$A$301,0), Skills!L11+1)</f>
        <v/>
      </c>
      <c r="F2637">
        <f>IF(Skills!M11=TRUE,(Skills!K11/10)*(E2637/1000),Skills!K11/10)+Skills!N11</f>
        <v/>
      </c>
      <c r="G2637">
        <f>Calc!G11</f>
        <v/>
      </c>
      <c r="H2637">
        <f>Calc!H11</f>
        <v/>
      </c>
      <c r="I2637">
        <f>IF(Skills!T11&lt;&gt;"",1+(Skills!T11/10)*(Z2629/1000)/100,1)</f>
        <v/>
      </c>
      <c r="J2637">
        <f>((Inputs!$B$6*(1+Inputs!$B$7/100))+(((Inputs!$B$12*(1+Inputs!$B$13/100))-(Inputs!$B$12*(1+Inputs!$B$13/100)))+0.25*(Inputs!$B$14-Inputs!$B$14))*(1+Inputs!$B$7/100))*(F2637/100)</f>
        <v/>
      </c>
      <c r="K2637">
        <f>J2637*(1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11="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2637)</f>
        <v/>
      </c>
      <c r="L2637">
        <f>K2637*(MIN(Inputs!$B$22+(F2644-Calc!F18),(Inputs!$B$23+(IF(ArtifactsInput!$M$15,CHOOSE(ArtifactsInput!$N$15+1,25,30,35,40,45,50)/100*(Inputs!$B$11-Inputs!$B$11),0))))/100+(Inputs!$B$23+(IF(ArtifactsInput!$M$15,CHOOSE(ArtifactsInput!$N$15+1,25,30,35,40,45,50)/100*(Inputs!$B$11-Inputs!$B$11),0)))/100)/2</f>
        <v/>
      </c>
      <c r="M2637">
        <f>L2637*(1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7">
        <f>L2637*(1-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2637*(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7">
        <f>(1-Summary!$B$11)*S2637+Summary!$B$11*U2637</f>
        <v/>
      </c>
      <c r="P2637">
        <f>IF(B2663=0,0,O2637/B2663)</f>
        <v/>
      </c>
      <c r="Q2637">
        <f>IFERROR(1/(IF(Inputs!$B$38="pvp",15,MAX(0.1,Skills!D11-IF(TRUE=TRUE,1.0,0)))*(1-IF(AND(ArtifactsInput!$M$27,Inputs!$B$4="Chapter Hunt"),CHOOSE(ArtifactsInput!$N$27+1,20,24,28,32,36,40),0)/100)),0)</f>
        <v/>
      </c>
      <c r="R2637">
        <f>IF(AND(Inputs!$B$38&lt;&gt;"pvp",Inputs!$B$43&gt;0),IF(MAX(0,Inputs!$B$43-B2660)&lt;=0,0,(INT(MAX(0,Inputs!$B$43-B2660)/(IF(Inputs!$B$38="pvp",15,MAX(0.1,Skills!D11-IF(TRUE=TRUE,1.0,0)))*(1-IF(AND(ArtifactsInput!$M$27,Inputs!$B$4="Chapter Hunt"),CHOOSE(ArtifactsInput!$N$27+1,20,24,28,32,36,40),0)/100)))+1)),0)</f>
        <v/>
      </c>
      <c r="S2637">
        <f>IF(C2637,H2637*N2637*IF(AND(Inputs!$B$38&lt;&gt;"pvp",Inputs!$B$43&gt;0),((Skills!F11*((R2637-1)*IF(Skills!G11&gt;0,Skills!H11/Skills!G11,1)+IF(Skills!G11&gt;0,MIN(Skills!H11,MAX(0,MAX(0,Inputs!$B$43-B2660)-((R2637-1)*(IF(Inputs!$B$38="pvp",15,MAX(0.1,Skills!D11-IF(TRUE=TRUE,1.0,0)))*(1-IF(AND(ArtifactsInput!$M$27,Inputs!$B$4="Chapter Hunt"),CHOOSE(ArtifactsInput!$N$27+1,20,24,28,32,36,40),0)/100)))))/Skills!G11,1)))/Inputs!$B$43),G2637*Q2637)*0.5*IF(Inputs!$B$38="pvp",1,1+(Inputs!$B$20+Skills!O11+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2637*(1-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2637*(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2637*(1-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2637*(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7">
        <f>IF(C2637,H2637*N2637*IF(AND(Inputs!$B$38&lt;&gt;"pvp",Inputs!$B$43&gt;0),((Skills!F11*((R2637-1)*IF(Skills!G11&gt;0,Skills!H11/Skills!G11,1)+IF(Skills!G11&gt;0,MIN(Skills!H11,MAX(0,MAX(0,Inputs!$B$43-B2660)-((R2637-1)*(IF(Inputs!$B$38="pvp",15,MAX(0.1,Skills!D11-IF(TRUE=TRUE,1.0,0)))*(1-IF(AND(ArtifactsInput!$M$27,Inputs!$B$4="Chapter Hunt"),CHOOSE(ArtifactsInput!$N$27+1,20,24,28,32,36,40),0)/100)))))/Skills!G11,1)))/Inputs!$B$43),G2637*Q2637)*1*IF(Inputs!$B$38="pvp",1,(1+(Inputs!$B$21+Skills!P11+B2654+(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8">
      <c r="A2638">
        <f>Skills!A12</f>
        <v/>
      </c>
      <c r="B2638">
        <f>Skills!B12</f>
        <v/>
      </c>
      <c r="C2638">
        <f>Inputs!$B$3&gt;=115</f>
        <v/>
      </c>
      <c r="D2638">
        <f>IF(Skills!C12=1,60+Inputs!$B$25+Inputs!$B$29,IF(Skills!C12=2,90+Inputs!$B$26+Inputs!$B$29,IF(Skills!C12=3,120+Inputs!$B$27+Inputs!$B$29,MAX(0,(Inputs!$B$3-100)*3)+Inputs!$B$28+Inputs!$B$29)))</f>
        <v/>
      </c>
      <c r="E2638">
        <f>INDEX(FactorTable!$B$2:$Y$301, MATCH(ROUND(MIN(300,MAX(1,D2638)),0), FactorTable!$A$2:$A$301,0), Skills!L12+1)</f>
        <v/>
      </c>
      <c r="F2638">
        <f>IF(Skills!M12=TRUE,(Skills!K12/10)*(E2638/1000),Skills!K12/10)+Skills!N12</f>
        <v/>
      </c>
      <c r="G2638">
        <f>Calc!G12</f>
        <v/>
      </c>
      <c r="H2638">
        <f>Calc!H12</f>
        <v/>
      </c>
      <c r="I2638">
        <f>IF(Skills!T12&lt;&gt;"",1+(Skills!T12/10)*(Z2629/1000)/100,1)</f>
        <v/>
      </c>
      <c r="J2638">
        <f>((Inputs!$B$6*(1+Inputs!$B$7/100))+(((Inputs!$B$12*(1+Inputs!$B$13/100))-(Inputs!$B$12*(1+Inputs!$B$13/100)))+0.25*(Inputs!$B$14-Inputs!$B$14))*(1+Inputs!$B$7/100))*(F2638/100)</f>
        <v/>
      </c>
      <c r="K2638">
        <f>J2638*(1+((Inputs!$B$12*(1+Inputs!$B$13/100))*0.01+Inputs!$B$14*0.0025)/100)*(1+(Inputs!$B$15+B2655)/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2641=TRUE,F2641,0)/100)*(1+IF(C2649=TRUE,F2649,0)/100)^5*(1+(IF(Skills!A12="CHAIN_LIGHTNING",Inputs!$B$17+((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2653*(1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2638)</f>
        <v/>
      </c>
      <c r="L2638">
        <f>K2638*(MIN(Inputs!$B$22+(F2644-Calc!F18),(Inputs!$B$23+(IF(ArtifactsInput!$M$15,CHOOSE(ArtifactsInput!$N$15+1,25,30,35,40,45,50)/100*(Inputs!$B$11-Inputs!$B$11),0))))/100+(Inputs!$B$23+(IF(ArtifactsInput!$M$15,CHOOSE(ArtifactsInput!$N$15+1,25,30,35,40,45,50)/100*(Inputs!$B$11-Inputs!$B$11),0)))/100)/2</f>
        <v/>
      </c>
      <c r="M2638">
        <f>L2638*(1+(Inputs!$B$10+(F2647-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8">
        <f>L2638*(1-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2638*(MIN((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8">
        <f>(1-Summary!$B$11)*S2638+Summary!$B$11*U2638</f>
        <v/>
      </c>
      <c r="P2638">
        <f>IF(B2663=0,0,O2638/B2663)</f>
        <v/>
      </c>
      <c r="Q2638">
        <f>IFERROR(1/(IF(Inputs!$B$38="pvp",15,MAX(0.1,Skills!D12-IF(TRUE=TRUE,1.0,0)))*(1-IF(AND(ArtifactsInput!$M$27,Inputs!$B$4="Chapter Hunt"),CHOOSE(ArtifactsInput!$N$27+1,20,24,28,32,36,40),0)/100)),0)</f>
        <v/>
      </c>
      <c r="R2638">
        <f>IF(AND(Inputs!$B$38&lt;&gt;"pvp",Inputs!$B$43&gt;0),IF(MAX(0,Inputs!$B$43-B2660)&lt;=0,0,(INT(MAX(0,Inputs!$B$43-B2660)/(IF(Inputs!$B$38="pvp",15,MAX(0.1,Skills!D12-IF(TRUE=TRUE,1.0,0)))*(1-IF(AND(ArtifactsInput!$M$27,Inputs!$B$4="Chapter Hunt"),CHOOSE(ArtifactsInput!$N$27+1,20,24,28,32,36,40),0)/100)))+1)),0)</f>
        <v/>
      </c>
      <c r="S2638">
        <f>IF(C2638,(H2638*N2638*IF(AND(Inputs!$B$38&lt;&gt;"pvp",Inputs!$B$43&gt;0),((Skills!F12*((R2638-1)*IF(Skills!G12&gt;0,Skills!H12/Skills!G12,1)+IF(Skills!G12&gt;0,MIN(Skills!H12,MAX(0,MAX(0,Inputs!$B$43-B2660)-((R2638-1)*(IF(Inputs!$B$38="pvp",15,MAX(0.1,Skills!D12-IF(TRUE=TRUE,1.0,0)))*(1-IF(AND(ArtifactsInput!$M$27,Inputs!$B$4="Chapter Hunt"),CHOOSE(ArtifactsInput!$N$27+1,20,24,28,32,36,40),0)/100)))))/Skills!G12,1)))/Inputs!$B$43),G2638*Q2638))*IF(Inputs!$B$38="pvp",1,1+(Inputs!$B$20+Skills!O12+B2654+(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2638*(1-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2638*(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2638*(1-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2638*(MIN(100,(Inputs!$B$9+((F2646-Calc!F20)+(F2645-Calc!F19))+(ArtifactsInput!$M$24-ArtifactsInput!$M$24)*CHOOSE(ArtifactsInput!$N$24+1,10,12,14,16,18,20)+(IF(AND(Inputs!$B$38&lt;&gt;"pvp",Inputs!$B$43=0),1,IF(IF(Inputs!$B$38="pvp",15,Inputs!$B$43)-(B2660)&lt;=0,1,MAX(0,IF(Inputs!$B$38="pvp",15,Inputs!$B$43)-MAX(5,B2660))/(IF(Inputs!$B$38="pvp",15,Inputs!$B$43)-(B2660))))*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8">
        <f>IF(C2638,(H2638*N2638*IF(AND(Inputs!$B$38&lt;&gt;"pvp",Inputs!$B$43&gt;0),((Skills!F12*((R2638-1)*IF(Skills!G12&gt;0,Skills!H12/Skills!G12,1)+IF(Skills!G12&gt;0,MIN(Skills!H12,MAX(0,MAX(0,Inputs!$B$43-B2660)-((R2638-1)*(IF(Inputs!$B$38="pvp",15,MAX(0.1,Skills!D12-IF(TRUE=TRUE,1.0,0)))*(1-IF(AND(ArtifactsInput!$M$27,Inputs!$B$4="Chapter Hunt"),CHOOSE(ArtifactsInput!$N$27+1,20,24,28,32,36,40),0)/100)))))/Skills!G12,1)))/Inputs!$B$43),G2638*Q2638))*IF(Inputs!$B$38="pvp",1,(1+(Inputs!$B$21+Skills!P12+B2654+(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9">
      <c r="A2639">
        <f>Skills!A13</f>
        <v/>
      </c>
      <c r="B2639">
        <f>Skills!B13</f>
        <v/>
      </c>
      <c r="C2639">
        <f>Inputs!$B$3&gt;=49</f>
        <v/>
      </c>
      <c r="D2639">
        <f>IF(Skills!C13=1,60+Inputs!$B$25+Inputs!$B$29,IF(Skills!C13=2,90+Inputs!$B$26+Inputs!$B$29,IF(Skills!C13=3,120+Inputs!$B$27+Inputs!$B$29,MAX(0,(Inputs!$B$3-100)*3)+Inputs!$B$28+Inputs!$B$29)))</f>
        <v/>
      </c>
      <c r="E2639">
        <f>INDEX(FactorTable!$B$2:$Y$301, MATCH(ROUND(MIN(300,MAX(1,D2639)),0), FactorTable!$A$2:$A$301,0), Skills!L13+1)</f>
        <v/>
      </c>
      <c r="F2639">
        <f>IF(Skills!M13=TRUE,(Skills!K13/10)*(E2639/1000),Skills!K13/10)+Skills!N13</f>
        <v/>
      </c>
      <c r="G2639">
        <f>Calc!G13</f>
        <v/>
      </c>
      <c r="H2639">
        <f>Calc!H13</f>
        <v/>
      </c>
      <c r="I2639">
        <f>IF(Skills!T13&lt;&gt;"",1+(Skills!T13/10)*(Z2629/1000)/100,1)</f>
        <v/>
      </c>
      <c r="J2639" t="inlineStr"/>
      <c r="K2639" t="inlineStr"/>
      <c r="L2639" t="inlineStr"/>
      <c r="M2639" t="inlineStr"/>
      <c r="N2639" t="inlineStr"/>
      <c r="O2639">
        <f>(1-Summary!$B$11)*S2639+Summary!$B$11*U2639</f>
        <v/>
      </c>
      <c r="P2639">
        <f>IF(B2663=0,0,O2639/B2663)</f>
        <v/>
      </c>
      <c r="Q2639">
        <f>IFERROR(1/(IF(Inputs!$B$38="pvp",15,MAX(0.1,Skills!D13-IF(TRUE=TRUE,1.0,0)))*(1-IF(AND(ArtifactsInput!$M$27,Inputs!$B$4="Chapter Hunt"),CHOOSE(ArtifactsInput!$N$27+1,20,24,28,32,36,40),0)/100)),0)</f>
        <v/>
      </c>
      <c r="R2639" t="n">
        <v>0</v>
      </c>
      <c r="S2639" t="n">
        <v>0</v>
      </c>
      <c r="U2639" t="n">
        <v>0</v>
      </c>
    </row>
    <row r="2640">
      <c r="A2640">
        <f>Skills!A14</f>
        <v/>
      </c>
      <c r="B2640">
        <f>Skills!B14</f>
        <v/>
      </c>
      <c r="C2640">
        <f>Inputs!$B$3&gt;=72</f>
        <v/>
      </c>
      <c r="D2640">
        <f>IF(Skills!C14=1,60+Inputs!$B$25+Inputs!$B$29,IF(Skills!C14=2,90+Inputs!$B$26+Inputs!$B$29,IF(Skills!C14=3,120+Inputs!$B$27+Inputs!$B$29,MAX(0,(Inputs!$B$3-100)*3)+Inputs!$B$28+Inputs!$B$29)))</f>
        <v/>
      </c>
      <c r="E2640">
        <f>INDEX(FactorTable!$B$2:$Y$301, MATCH(ROUND(MIN(300,MAX(1,D2640)),0), FactorTable!$A$2:$A$301,0), Skills!L14+1)</f>
        <v/>
      </c>
      <c r="F2640">
        <f>IF(Skills!M14=TRUE,(Skills!K14/10)*(E2640/1000),Skills!K14/10)+Skills!N14</f>
        <v/>
      </c>
      <c r="G2640">
        <f>Calc!G14</f>
        <v/>
      </c>
      <c r="H2640">
        <f>Calc!H14</f>
        <v/>
      </c>
      <c r="I2640">
        <f>IF(Skills!T14&lt;&gt;"",1+(Skills!T14/10)*(Z2629/1000)/100,1)</f>
        <v/>
      </c>
      <c r="J2640" t="inlineStr"/>
      <c r="K2640" t="inlineStr"/>
      <c r="L2640" t="inlineStr"/>
      <c r="M2640" t="inlineStr"/>
      <c r="N2640" t="inlineStr"/>
      <c r="O2640">
        <f>(1-Summary!$B$11)*S2640+Summary!$B$11*U2640</f>
        <v/>
      </c>
      <c r="P2640">
        <f>IF(B2663=0,0,O2640/B2663)</f>
        <v/>
      </c>
      <c r="Q2640">
        <f>IFERROR(1/(IF(Inputs!$B$38="pvp",15,MAX(0.1,Skills!D14-IF(TRUE=TRUE,1.0,0)))*(1-IF(AND(ArtifactsInput!$M$27,Inputs!$B$4="Chapter Hunt"),CHOOSE(ArtifactsInput!$N$27+1,20,24,28,32,36,40),0)/100)),0)</f>
        <v/>
      </c>
      <c r="R2640" t="n">
        <v>0</v>
      </c>
      <c r="S2640" t="n">
        <v>0</v>
      </c>
      <c r="U2640" t="n">
        <v>0</v>
      </c>
    </row>
    <row r="2641">
      <c r="A2641">
        <f>Skills!A15</f>
        <v/>
      </c>
      <c r="B2641">
        <f>Skills!B15</f>
        <v/>
      </c>
      <c r="C2641">
        <f>Inputs!$B$3&gt;=75</f>
        <v/>
      </c>
      <c r="D2641">
        <f>IF(Skills!C15=1,60+Inputs!$B$25+Inputs!$B$29,IF(Skills!C15=2,90+Inputs!$B$26+Inputs!$B$29,IF(Skills!C15=3,120+Inputs!$B$27+Inputs!$B$29,MAX(0,(Inputs!$B$3-100)*3)+Inputs!$B$28+Inputs!$B$29)))</f>
        <v/>
      </c>
      <c r="E2641">
        <f>INDEX(FactorTable!$B$2:$Y$301, MATCH(ROUND(MIN(300,MAX(1,D2641)),0), FactorTable!$A$2:$A$301,0), Skills!L15+1)</f>
        <v/>
      </c>
      <c r="F2641">
        <f>IF(Skills!M15=TRUE,(Skills!K15/10)*(E2641/1000),Skills!K15/10)+Skills!N15</f>
        <v/>
      </c>
      <c r="G2641">
        <f>Calc!G15</f>
        <v/>
      </c>
      <c r="H2641">
        <f>Calc!H15</f>
        <v/>
      </c>
      <c r="I2641">
        <f>IF(Skills!T15&lt;&gt;"",1+(Skills!T15/10)*(Z2629/1000)/100,1)</f>
        <v/>
      </c>
      <c r="J2641" t="inlineStr"/>
      <c r="K2641" t="inlineStr"/>
      <c r="L2641" t="inlineStr"/>
      <c r="M2641" t="inlineStr"/>
      <c r="N2641" t="inlineStr"/>
      <c r="O2641">
        <f>(1-Summary!$B$11)*S2641+Summary!$B$11*U2641</f>
        <v/>
      </c>
      <c r="P2641">
        <f>IF(B2663=0,0,O2641/B2663)</f>
        <v/>
      </c>
      <c r="Q2641">
        <f>IFERROR(1/(IF(Inputs!$B$38="pvp",15,MAX(0.1,Skills!D15-IF(TRUE=TRUE,1.0,0)))*(1-IF(AND(ArtifactsInput!$M$27,Inputs!$B$4="Chapter Hunt"),CHOOSE(ArtifactsInput!$N$27+1,20,24,28,32,36,40),0)/100)),0)</f>
        <v/>
      </c>
      <c r="R2641" t="n">
        <v>0</v>
      </c>
      <c r="S2641" t="n">
        <v>0</v>
      </c>
      <c r="U2641" t="n">
        <v>0</v>
      </c>
    </row>
    <row r="2642">
      <c r="A2642">
        <f>Skills!A16</f>
        <v/>
      </c>
      <c r="B2642">
        <f>Skills!B16</f>
        <v/>
      </c>
      <c r="C2642">
        <f>Inputs!$B$3&gt;=110</f>
        <v/>
      </c>
      <c r="D2642">
        <f>IF(Skills!C16=1,60+Inputs!$B$25+Inputs!$B$29,IF(Skills!C16=2,90+Inputs!$B$26+Inputs!$B$29,IF(Skills!C16=3,120+Inputs!$B$27+Inputs!$B$29,MAX(0,(Inputs!$B$3-100)*3)+Inputs!$B$28+Inputs!$B$29)))</f>
        <v/>
      </c>
      <c r="E2642">
        <f>INDEX(FactorTable!$B$2:$Y$301, MATCH(ROUND(MIN(300,MAX(1,D2642)),0), FactorTable!$A$2:$A$301,0), Skills!L16+1)</f>
        <v/>
      </c>
      <c r="F2642">
        <f>(Skills!K16/10)*(E2642/1000)*64/45+Skills!N16</f>
        <v/>
      </c>
      <c r="G2642">
        <f>Calc!G16</f>
        <v/>
      </c>
      <c r="H2642">
        <f>Calc!H16</f>
        <v/>
      </c>
      <c r="I2642">
        <f>IF(Skills!T16&lt;&gt;"",1+(Skills!T16/10)*(Z2629/1000)/100,1)</f>
        <v/>
      </c>
      <c r="J2642" t="inlineStr"/>
      <c r="K2642" t="inlineStr"/>
      <c r="L2642" t="inlineStr"/>
      <c r="M2642" t="inlineStr"/>
      <c r="N2642" t="inlineStr"/>
      <c r="O2642">
        <f>(1-Summary!$B$11)*S2642+Summary!$B$11*U2642</f>
        <v/>
      </c>
      <c r="P2642">
        <f>IF(B2663=0,0,O2642/B2663)</f>
        <v/>
      </c>
      <c r="Q2642">
        <f>IFERROR(1/(IF(Inputs!$B$38="pvp",15,MAX(0.1,Skills!D16-IF(TRUE=TRUE,1.0,0)))*(1-IF(AND(ArtifactsInput!$M$27,Inputs!$B$4="Chapter Hunt"),CHOOSE(ArtifactsInput!$N$27+1,20,24,28,32,36,40),0)/100)),0)</f>
        <v/>
      </c>
      <c r="R2642">
        <f>IF(AND(Inputs!$B$38&lt;&gt;"pvp",Inputs!$B$43&gt;0),IF(Inputs!$B$43&lt;=0,0,(INT(Inputs!$B$43/(IF(Inputs!$B$38="pvp",15,MAX(0.1,Skills!D16-IF(TRUE=TRUE,1.0,0)))*(1-IF(AND(ArtifactsInput!$M$27,Inputs!$B$4="Chapter Hunt"),CHOOSE(ArtifactsInput!$N$27+1,20,24,28,32,36,40),0)/100)))+1)),0)</f>
        <v/>
      </c>
      <c r="S2642" t="n">
        <v>0</v>
      </c>
      <c r="U2642" t="n">
        <v>0</v>
      </c>
    </row>
    <row r="2643">
      <c r="A2643">
        <f>Skills!A17</f>
        <v/>
      </c>
      <c r="B2643">
        <f>Skills!B17</f>
        <v/>
      </c>
      <c r="C2643">
        <f>Inputs!$B$3&gt;=33</f>
        <v/>
      </c>
      <c r="D2643">
        <f>IF(Skills!C17=1,60+Inputs!$B$25+Inputs!$B$29,IF(Skills!C17=2,90+Inputs!$B$26+Inputs!$B$29,IF(Skills!C17=3,120+Inputs!$B$27+Inputs!$B$29,MAX(0,(Inputs!$B$3-100)*3)+Inputs!$B$28+Inputs!$B$29)))</f>
        <v/>
      </c>
      <c r="E2643">
        <f>INDEX(FactorTable!$B$2:$Y$301, MATCH(ROUND(MIN(300,MAX(1,D2643)),0), FactorTable!$A$2:$A$301,0), Skills!L17+1)</f>
        <v/>
      </c>
      <c r="F2643">
        <f>IF(Skills!M17=TRUE,(Skills!K17/10)*(E2643/1000),Skills!K17/10)+Skills!N17</f>
        <v/>
      </c>
      <c r="G2643">
        <f>Calc!G17</f>
        <v/>
      </c>
      <c r="H2643">
        <f>Calc!H17</f>
        <v/>
      </c>
      <c r="I2643">
        <f>IF(Skills!T17&lt;&gt;"",1+(Skills!T17/10)*(Z2629/1000)/100,1)</f>
        <v/>
      </c>
      <c r="J2643" t="inlineStr"/>
      <c r="K2643" t="inlineStr"/>
      <c r="L2643" t="inlineStr"/>
      <c r="M2643" t="inlineStr"/>
      <c r="N2643" t="inlineStr"/>
      <c r="O2643">
        <f>(1-Summary!$B$11)*S2643+Summary!$B$11*U2643</f>
        <v/>
      </c>
      <c r="P2643">
        <f>IF(B2663=0,0,O2643/B2663)</f>
        <v/>
      </c>
      <c r="Q2643">
        <f>IFERROR(1/(IF(Inputs!$B$38="pvp",15,MAX(0.1,Skills!D17-IF(TRUE=TRUE,1.0,0)))*(1-IF(AND(ArtifactsInput!$M$27,Inputs!$B$4="Chapter Hunt"),CHOOSE(ArtifactsInput!$N$27+1,20,24,28,32,36,40),0)/100)),0)</f>
        <v/>
      </c>
      <c r="R2643" t="n">
        <v>0</v>
      </c>
      <c r="S2643" t="n">
        <v>0</v>
      </c>
      <c r="U2643" t="n">
        <v>0</v>
      </c>
    </row>
    <row r="2644">
      <c r="A2644">
        <f>Skills!A18</f>
        <v/>
      </c>
      <c r="B2644">
        <f>Skills!B18</f>
        <v/>
      </c>
      <c r="C2644">
        <f>Inputs!$B$3&gt;=43</f>
        <v/>
      </c>
      <c r="D2644">
        <f>IF(Skills!C18=1,60+Inputs!$B$25+Inputs!$B$29,IF(Skills!C18=2,90+Inputs!$B$26+Inputs!$B$29,IF(Skills!C18=3,120+Inputs!$B$27+Inputs!$B$29,MAX(0,(Inputs!$B$3-100)*3)+Inputs!$B$28+Inputs!$B$29)))</f>
        <v/>
      </c>
      <c r="E2644">
        <f>INDEX(FactorTable!$B$2:$Y$301, MATCH(ROUND(MIN(300,MAX(1,D2644)),0), FactorTable!$A$2:$A$301,0), Skills!L18+1)</f>
        <v/>
      </c>
      <c r="F2644">
        <f>IF(Skills!M18=TRUE,(Skills!K18/10)*(E2644/1000),Skills!K18/10)+Skills!N18</f>
        <v/>
      </c>
      <c r="G2644">
        <f>Calc!G18</f>
        <v/>
      </c>
      <c r="H2644">
        <f>Calc!H18</f>
        <v/>
      </c>
      <c r="I2644">
        <f>IF(Skills!T18&lt;&gt;"",1+(Skills!T18/10)*(Z2629/1000)/100,1)</f>
        <v/>
      </c>
      <c r="J2644" t="inlineStr"/>
      <c r="K2644" t="inlineStr"/>
      <c r="L2644" t="inlineStr"/>
      <c r="M2644" t="inlineStr"/>
      <c r="N2644" t="inlineStr"/>
      <c r="O2644">
        <f>(1-Summary!$B$11)*S2644+Summary!$B$11*U2644</f>
        <v/>
      </c>
      <c r="P2644">
        <f>IF(B2663=0,0,O2644/B2663)</f>
        <v/>
      </c>
      <c r="Q2644">
        <f>IFERROR(1/(IF(Inputs!$B$38="pvp",15,MAX(0.1,Skills!D18-IF(TRUE=TRUE,1.0,0)))*(1-IF(AND(ArtifactsInput!$M$27,Inputs!$B$4="Chapter Hunt"),CHOOSE(ArtifactsInput!$N$27+1,20,24,28,32,36,40),0)/100)),0)</f>
        <v/>
      </c>
      <c r="R2644" t="n">
        <v>0</v>
      </c>
      <c r="S2644" t="n">
        <v>0</v>
      </c>
      <c r="U2644" t="n">
        <v>0</v>
      </c>
    </row>
    <row r="2645">
      <c r="A2645">
        <f>Skills!A19</f>
        <v/>
      </c>
      <c r="B2645">
        <f>Skills!B19</f>
        <v/>
      </c>
      <c r="C2645">
        <f>Inputs!$B$3&gt;=50</f>
        <v/>
      </c>
      <c r="D2645">
        <f>IF(Skills!C19=1,60+Inputs!$B$25+Inputs!$B$29,IF(Skills!C19=2,90+Inputs!$B$26+Inputs!$B$29,IF(Skills!C19=3,120+Inputs!$B$27+Inputs!$B$29,MAX(0,(Inputs!$B$3-100)*3)+Inputs!$B$28+Inputs!$B$29)))</f>
        <v/>
      </c>
      <c r="E2645">
        <f>INDEX(FactorTable!$B$2:$Y$301, MATCH(ROUND(MIN(300,MAX(1,D2645)),0), FactorTable!$A$2:$A$301,0), Skills!L19+1)</f>
        <v/>
      </c>
      <c r="F2645">
        <f>IF(Skills!M19=TRUE,(Skills!K19/10)*(E2645/1000),Skills!K19/10)+Skills!N19</f>
        <v/>
      </c>
      <c r="G2645">
        <f>Calc!G19</f>
        <v/>
      </c>
      <c r="H2645">
        <f>Calc!H19</f>
        <v/>
      </c>
      <c r="I2645">
        <f>IF(Skills!T19&lt;&gt;"",1+(Skills!T19/10)*(Z2629/1000)/100,1)</f>
        <v/>
      </c>
      <c r="J2645" t="inlineStr"/>
      <c r="K2645" t="inlineStr"/>
      <c r="L2645" t="inlineStr"/>
      <c r="M2645" t="inlineStr"/>
      <c r="N2645" t="inlineStr"/>
      <c r="O2645">
        <f>(1-Summary!$B$11)*S2645+Summary!$B$11*U2645</f>
        <v/>
      </c>
      <c r="P2645">
        <f>IF(B2663=0,0,O2645/B2663)</f>
        <v/>
      </c>
      <c r="Q2645">
        <f>IFERROR(1/(IF(Inputs!$B$38="pvp",15,MAX(0.1,Skills!D19-IF(TRUE=TRUE,1.0,0)))*(1-IF(AND(ArtifactsInput!$M$27,Inputs!$B$4="Chapter Hunt"),CHOOSE(ArtifactsInput!$N$27+1,20,24,28,32,36,40),0)/100)),0)</f>
        <v/>
      </c>
      <c r="R2645" t="n">
        <v>0</v>
      </c>
      <c r="S2645" t="n">
        <v>0</v>
      </c>
      <c r="U2645" t="n">
        <v>0</v>
      </c>
    </row>
    <row r="2646">
      <c r="A2646">
        <f>Skills!A20</f>
        <v/>
      </c>
      <c r="B2646">
        <f>Skills!B20</f>
        <v/>
      </c>
      <c r="C2646">
        <f>Inputs!$B$3&gt;=74</f>
        <v/>
      </c>
      <c r="D2646">
        <f>IF(Skills!C20=1,60+Inputs!$B$25+Inputs!$B$29,IF(Skills!C20=2,90+Inputs!$B$26+Inputs!$B$29,IF(Skills!C20=3,120+Inputs!$B$27+Inputs!$B$29,MAX(0,(Inputs!$B$3-100)*3)+Inputs!$B$28+Inputs!$B$29)))</f>
        <v/>
      </c>
      <c r="E2646">
        <f>INDEX(FactorTable!$B$2:$Y$301, MATCH(ROUND(MIN(300,MAX(1,D2646)),0), FactorTable!$A$2:$A$301,0), Skills!L20+1)</f>
        <v/>
      </c>
      <c r="F2646">
        <f>IF(Skills!M20=TRUE,(Skills!K20/10)*(E2646/1000),Skills!K20/10)+Skills!N20</f>
        <v/>
      </c>
      <c r="G2646">
        <f>Calc!G20</f>
        <v/>
      </c>
      <c r="H2646">
        <f>Calc!H20</f>
        <v/>
      </c>
      <c r="I2646">
        <f>IF(Skills!T20&lt;&gt;"",1+(Skills!T20/10)*(Z2629/1000)/100,1)</f>
        <v/>
      </c>
      <c r="J2646" t="inlineStr"/>
      <c r="K2646" t="inlineStr"/>
      <c r="L2646" t="inlineStr"/>
      <c r="M2646" t="inlineStr"/>
      <c r="N2646" t="inlineStr"/>
      <c r="O2646">
        <f>(1-Summary!$B$11)*S2646+Summary!$B$11*U2646</f>
        <v/>
      </c>
      <c r="P2646">
        <f>IF(B2663=0,0,O2646/B2663)</f>
        <v/>
      </c>
      <c r="Q2646">
        <f>IFERROR(1/(IF(Inputs!$B$38="pvp",15,MAX(0.1,Skills!D20-IF(TRUE=TRUE,1.0,0)))*(1-IF(AND(ArtifactsInput!$M$27,Inputs!$B$4="Chapter Hunt"),CHOOSE(ArtifactsInput!$N$27+1,20,24,28,32,36,40),0)/100)),0)</f>
        <v/>
      </c>
      <c r="R2646" t="n">
        <v>0</v>
      </c>
      <c r="S2646" t="n">
        <v>0</v>
      </c>
      <c r="U2646" t="n">
        <v>0</v>
      </c>
    </row>
    <row r="2647">
      <c r="A2647">
        <f>Skills!A21</f>
        <v/>
      </c>
      <c r="B2647">
        <f>Skills!B21</f>
        <v/>
      </c>
      <c r="C2647">
        <f>Inputs!$B$3&gt;=74</f>
        <v/>
      </c>
      <c r="D2647">
        <f>IF(Skills!C21=1,60+Inputs!$B$25+Inputs!$B$29,IF(Skills!C21=2,90+Inputs!$B$26+Inputs!$B$29,IF(Skills!C21=3,120+Inputs!$B$27+Inputs!$B$29,MAX(0,(Inputs!$B$3-100)*3)+Inputs!$B$28+Inputs!$B$29)))</f>
        <v/>
      </c>
      <c r="E2647">
        <f>INDEX(FactorTable!$B$2:$Y$301, MATCH(ROUND(MIN(300,MAX(1,D2647)),0), FactorTable!$A$2:$A$301,0), Skills!L21+1)</f>
        <v/>
      </c>
      <c r="F2647">
        <f>IF(Skills!M21=TRUE,(Skills!K21/10)*(E2647/1000),Skills!K21/10)+Skills!N21</f>
        <v/>
      </c>
      <c r="G2647">
        <f>Calc!G21</f>
        <v/>
      </c>
      <c r="H2647">
        <f>Calc!H21</f>
        <v/>
      </c>
      <c r="I2647">
        <f>IF(Skills!T21&lt;&gt;"",1+(Skills!T21/10)*(Z2629/1000)/100,1)</f>
        <v/>
      </c>
      <c r="J2647" t="inlineStr"/>
      <c r="K2647" t="inlineStr"/>
      <c r="L2647" t="inlineStr"/>
      <c r="M2647" t="inlineStr"/>
      <c r="N2647" t="inlineStr"/>
      <c r="O2647">
        <f>(1-Summary!$B$11)*S2647+Summary!$B$11*U2647</f>
        <v/>
      </c>
      <c r="P2647">
        <f>IF(B2663=0,0,O2647/B2663)</f>
        <v/>
      </c>
      <c r="Q2647">
        <f>IFERROR(1/(IF(Inputs!$B$38="pvp",15,MAX(0.1,Skills!D21-IF(TRUE=TRUE,1.0,0)))*(1-IF(AND(ArtifactsInput!$M$27,Inputs!$B$4="Chapter Hunt"),CHOOSE(ArtifactsInput!$N$27+1,20,24,28,32,36,40),0)/100)),0)</f>
        <v/>
      </c>
      <c r="R2647" t="n">
        <v>0</v>
      </c>
      <c r="S2647" t="n">
        <v>0</v>
      </c>
      <c r="U2647" t="n">
        <v>0</v>
      </c>
    </row>
    <row r="2648">
      <c r="A2648">
        <f>Skills!A22</f>
        <v/>
      </c>
      <c r="B2648">
        <f>Skills!B22</f>
        <v/>
      </c>
      <c r="C2648">
        <f>Inputs!$B$3&gt;=117</f>
        <v/>
      </c>
      <c r="D2648">
        <f>IF(Skills!C22=1,60+Inputs!$B$25+Inputs!$B$29,IF(Skills!C22=2,90+Inputs!$B$26+Inputs!$B$29,IF(Skills!C22=3,120+Inputs!$B$27+Inputs!$B$29,MAX(0,(Inputs!$B$3-100)*3)+Inputs!$B$28+Inputs!$B$29)))</f>
        <v/>
      </c>
      <c r="E2648">
        <f>INDEX(FactorTable!$B$2:$Y$301, MATCH(ROUND(MIN(300,MAX(1,D2648)),0), FactorTable!$A$2:$A$301,0), Skills!L22+1)</f>
        <v/>
      </c>
      <c r="F2648">
        <f>IF(Skills!M22=TRUE,(Skills!K22/10)*(E2648/1000),Skills!K22/10)+Skills!N22</f>
        <v/>
      </c>
      <c r="G2648">
        <f>Calc!G22</f>
        <v/>
      </c>
      <c r="H2648">
        <f>Calc!H22</f>
        <v/>
      </c>
      <c r="I2648">
        <f>IF(Skills!T22&lt;&gt;"",1+(Skills!T22/10)*(Z2629/1000)/100,1)</f>
        <v/>
      </c>
      <c r="J2648" t="inlineStr"/>
      <c r="K2648" t="inlineStr"/>
      <c r="L2648" t="inlineStr"/>
      <c r="M2648" t="inlineStr"/>
      <c r="N2648" t="inlineStr"/>
      <c r="O2648">
        <f>(1-Summary!$B$11)*S2648+Summary!$B$11*U2648</f>
        <v/>
      </c>
      <c r="P2648">
        <f>IF(B2663=0,0,O2648/B2663)</f>
        <v/>
      </c>
      <c r="Q2648">
        <f>IFERROR(1/(IF(Inputs!$B$38="pvp",15,MAX(0.1,Skills!D22-IF(TRUE=TRUE,1.0,0)))*(1-IF(AND(ArtifactsInput!$M$27,Inputs!$B$4="Chapter Hunt"),CHOOSE(ArtifactsInput!$N$27+1,20,24,28,32,36,40),0)/100)),0)</f>
        <v/>
      </c>
      <c r="R2648" t="n">
        <v>0</v>
      </c>
      <c r="S2648" t="n">
        <v>0</v>
      </c>
      <c r="U2648" t="n">
        <v>0</v>
      </c>
    </row>
    <row r="2649">
      <c r="A2649">
        <f>Skills!A23</f>
        <v/>
      </c>
      <c r="B2649">
        <f>Skills!B23</f>
        <v/>
      </c>
      <c r="C2649">
        <f>Inputs!$B$3&gt;=120</f>
        <v/>
      </c>
      <c r="D2649">
        <f>IF(Skills!C23=1,60+Inputs!$B$25+Inputs!$B$29,IF(Skills!C23=2,90+Inputs!$B$26+Inputs!$B$29,IF(Skills!C23=3,120+Inputs!$B$27+Inputs!$B$29,MAX(0,(Inputs!$B$3-100)*3)+Inputs!$B$28+Inputs!$B$29)))</f>
        <v/>
      </c>
      <c r="E2649">
        <f>INDEX(FactorTable!$B$2:$Y$301, MATCH(ROUND(MIN(300,MAX(1,D2649)),0), FactorTable!$A$2:$A$301,0), Skills!L23+1)</f>
        <v/>
      </c>
      <c r="F2649">
        <f>IF(Skills!M23=TRUE,(Skills!K23/10)*(E2649/1000),Skills!K23/10)+Skills!N23</f>
        <v/>
      </c>
      <c r="G2649">
        <f>Calc!G23</f>
        <v/>
      </c>
      <c r="H2649">
        <f>Calc!H23</f>
        <v/>
      </c>
      <c r="I2649">
        <f>IF(Skills!T23&lt;&gt;"",1+(Skills!T23/10)*(Z2629/1000)/100,1)</f>
        <v/>
      </c>
      <c r="J2649" t="inlineStr"/>
      <c r="K2649" t="inlineStr"/>
      <c r="L2649" t="inlineStr"/>
      <c r="M2649" t="inlineStr"/>
      <c r="N2649" t="inlineStr"/>
      <c r="O2649">
        <f>(1-Summary!$B$11)*S2649+Summary!$B$11*U2649</f>
        <v/>
      </c>
      <c r="P2649">
        <f>IF(B2663=0,0,O2649/B2663)</f>
        <v/>
      </c>
      <c r="Q2649">
        <f>IFERROR(1/(IF(Inputs!$B$38="pvp",15,MAX(0.1,Skills!D23-IF(TRUE=TRUE,1.0,0)))*(1-IF(AND(ArtifactsInput!$M$27,Inputs!$B$4="Chapter Hunt"),CHOOSE(ArtifactsInput!$N$27+1,20,24,28,32,36,40),0)/100)),0)</f>
        <v/>
      </c>
      <c r="R2649" t="n">
        <v>0</v>
      </c>
      <c r="S2649" t="n">
        <v>0</v>
      </c>
      <c r="U2649" t="n">
        <v>0</v>
      </c>
    </row>
    <row r="2650">
      <c r="A2650">
        <f>Skills!A24</f>
        <v/>
      </c>
      <c r="B2650">
        <f>Skills!B24</f>
        <v/>
      </c>
      <c r="C2650">
        <f>TRUE</f>
        <v/>
      </c>
      <c r="D2650">
        <f>IF(Skills!C24=1,60+Inputs!$B$25+Inputs!$B$29,IF(Skills!C24=2,90+Inputs!$B$26+Inputs!$B$29,IF(Skills!C24=3,120+Inputs!$B$27+Inputs!$B$29,MAX(0,(Inputs!$B$3-100)*3)+Inputs!$B$28+Inputs!$B$29)))</f>
        <v/>
      </c>
      <c r="E2650">
        <f>INDEX(FactorTable!$B$2:$Y$301, MATCH(ROUND(MIN(300,MAX(1,D2650)),0), FactorTable!$A$2:$A$301,0), Skills!L24+1)</f>
        <v/>
      </c>
      <c r="F2650">
        <f>IF(Skills!M24=TRUE,(Skills!K24/10)*(E2650/1000),Skills!K24/10)+Skills!N24</f>
        <v/>
      </c>
      <c r="G2650">
        <f>Calc!G24</f>
        <v/>
      </c>
      <c r="H2650">
        <f>Calc!H24</f>
        <v/>
      </c>
      <c r="I2650">
        <f>IF(Skills!T24&lt;&gt;"",1+(Skills!T24/10)*(Z2629/1000)/100,1)</f>
        <v/>
      </c>
      <c r="J2650" t="inlineStr"/>
      <c r="K2650" t="inlineStr"/>
      <c r="L2650" t="inlineStr"/>
      <c r="M2650" t="inlineStr"/>
      <c r="N2650" t="inlineStr"/>
      <c r="O2650">
        <f>(1-Summary!$B$11)*S2650+Summary!$B$11*U2650</f>
        <v/>
      </c>
      <c r="P2650">
        <f>IF(B2663=0,0,O2650/B2663)</f>
        <v/>
      </c>
      <c r="Q2650">
        <f>IFERROR(1/(IF(Inputs!$B$38="pvp",15,MAX(0.1,Skills!D24-IF(TRUE=TRUE,1.0,0)))*(1-IF(AND(ArtifactsInput!$M$27,Inputs!$B$4="Chapter Hunt"),CHOOSE(ArtifactsInput!$N$27+1,20,24,28,32,36,40),0)/100)),0)</f>
        <v/>
      </c>
      <c r="R2650">
        <f>IF(AND(Inputs!$B$38&lt;&gt;"pvp",Inputs!$B$43&gt;0),IF(Inputs!$B$43&lt;=0,0,(INT(Inputs!$B$43/(IF(Inputs!$B$38="pvp",15,MAX(0.1,Skills!D24-IF(TRUE=TRUE,1.0,0)))*(1-IF(AND(ArtifactsInput!$M$27,Inputs!$B$4="Chapter Hunt"),CHOOSE(ArtifactsInput!$N$27+1,20,24,28,32,36,40),0)/100)))+1)),0)</f>
        <v/>
      </c>
      <c r="S2650" t="n">
        <v>0</v>
      </c>
      <c r="U2650" t="n">
        <v>0</v>
      </c>
    </row>
    <row r="2653">
      <c r="A2653" t="inlineStr">
        <is>
          <t>Average Buff Multiplier (Magic Guard + Meditation + Artifact Attack%, summed; then Infinity)</t>
        </is>
      </c>
      <c r="B2653">
        <f>(1+(IF(C2629=TRUE,F2629*IF(AND(Inputs!$B$38&lt;&gt;"pvp",Inputs!$B$43&gt;0),(((R2629-1)*MIN((Skills!S3*(1+(Inputs!$B$34)/100)),(1/Q2629))+MIN((Skills!S3*(1+(Inputs!$B$34)/100)),MAX(0,Inputs!$B$43-((R2629-1)*(1/Q2629)))))/Inputs!$B$43),IF(Inputs!$B$38="pvp",MIN((Skills!S3*(1+(Inputs!$B$34)/100)),15)/15,MIN(1,(Skills!S3*(1+(Inputs!$B$34)/100))/(1/Q2629)))),0)+IF(C2630=TRUE,F2630*IF(AND(Inputs!$B$38&lt;&gt;"pvp",Inputs!$B$43&gt;0),(((R2630-1)*MIN((Skills!S4*(1+(Inputs!$B$34)/100)),(1/Q2630))+MIN((Skills!S4*(1+(Inputs!$B$34)/100)),MAX(0,Inputs!$B$43-((R2630-1)*(1/Q2630)))))/Inputs!$B$43),IF(Inputs!$B$38="pvp",MIN((Skills!S4*(1+(Inputs!$B$34)/100)),15)/15,MIN(1,(Skills!S4*(1+(Inputs!$B$34)/100))/(1/Q2630)))),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2642=TRUE,(1+F2642*IF(AND(Inputs!$B$38&lt;&gt;"pvp",Inputs!$B$43&gt;0),(((R2642-1)*MIN((Skills!S16*(1+(Inputs!$B$34)/100)),(1/Q2642))+MIN((Skills!S16*(1+(Inputs!$B$34)/100)),MAX(0,Inputs!$B$43-((R2642-1)*(1/Q2642)))))/Inputs!$B$43),IF(Inputs!$B$38="pvp",MIN((Skills!S16*(1+(Inputs!$B$34)/100)),15)/15,MIN(1,(Skills!S16*(1+(Inputs!$B$34)/100))/(1/Q2642))))/100),1)</f>
        <v/>
      </c>
    </row>
    <row r="2654">
      <c r="A2654" t="inlineStr">
        <is>
          <t>Monster Damage Taken Bonus % (Freezing Breath - Weaken + Elemental Reset + Artifact Enemy Damage Taken, summed)</t>
        </is>
      </c>
      <c r="B2654">
        <f>IF(Inputs!$B$3&gt;=118,15*IF(Inputs!$B$38="pvp",MIN((30*(1+(Inputs!$B$34)/100)),15)/15,MIN(1,(30*(1+(Inputs!$B$34)/100))/(1/Q2634))),0)+IF(C2640=TRUE,F2640,0)+(IF(AND(ArtifactsInput!$M$35,Inputs!$B$4&lt;&gt;"Chapter Hunt"),CHOOSE(ArtifactsInput!$N$35+1,15,18,21,24,27,30)*(1-EXP(-(0.2*B2657)*5)),0)+IF(AND(ArtifactsInput!$M$22,Inputs!$B$4&lt;&gt;"Chapter Hunt"),CHOOSE(ArtifactsInput!$N$22+1,10,12,14,16,18,20)*((0*(((0.15*B2657*5))^0/1)+1*(((0.15*B2657*5))^1/1)+2*(((0.15*B2657*5))^2/2)+3*(((0.15*B2657*5))^3/6)+4*(((0.15*B2657*5))^4/24)+5*(((0.15*B2657*5))^5/120))/((((0.15*B2657*5))^0/1)+(((0.15*B2657*5))^1/1)+(((0.15*B2657*5))^2/2)+(((0.15*B2657*5))^3/6)+(((0.15*B2657*5))^4/24)+(((0.15*B2657*5))^5/120))),0))</f>
        <v/>
      </c>
    </row>
    <row r="2655">
      <c r="A2655" t="inlineStr">
        <is>
          <t>Damage % Bonus (Frozen Break + Frost Clutch, flat)</t>
        </is>
      </c>
      <c r="B2655">
        <f>IF(Inputs!$B$3&gt;=66,15,0)+IF(Inputs!$B$3&gt;=98,10,0)+IF(Inputs!$B$3&gt;=125,20,0)</f>
        <v/>
      </c>
    </row>
    <row r="2656">
      <c r="A2656" t="inlineStr">
        <is>
          <t>Attack Speed Bonus % (MP Eater - MP Boost, always-on + Nimble Feet, duty-cycle averaged)</t>
        </is>
      </c>
      <c r="B2656">
        <f>IF(C2639=TRUE,F2639+(F2643-Calc!F17),0)+((C2650=TRUE)*F2650*IF(AND(Inputs!$B$38&lt;&gt;"pvp",Inputs!$B$43&gt;0),(((R2650-1)*MIN((Skills!S24*(1+(Inputs!$B$34)/100)),(1/Q2650))+MIN((Skills!S24*(1+(Inputs!$B$34)/100)),MAX(0,Inputs!$B$43-((R2650-1)*(1/Q2650)))))/Inputs!$B$43),IF(Inputs!$B$38="pvp",MIN((Skills!S24*(1+(Inputs!$B$34)/100)),15)/15,MIN(1,(Skills!S24*(1+(Inputs!$B$34)/100))/(1/Q2650)))))</f>
        <v/>
      </c>
    </row>
    <row r="2657">
      <c r="A2657" t="inlineStr">
        <is>
          <t>Actions Per Second</t>
        </is>
      </c>
      <c r="B2657">
        <f>1+MIN(150,150*(1-(1-(Inputs!$B$11+(ArtifactsInput!$M$15-ArtifactsInput!$M$15)*CHOOSE(ArtifactsInput!$N$15+1,8,9.6,11.2,12.8,14.4,16))/150)*(1-B2656/150)))/100</f>
        <v/>
      </c>
    </row>
    <row r="2658">
      <c r="A2658" t="inlineStr">
        <is>
          <t>Skill + Buff Cast Rate</t>
        </is>
      </c>
      <c r="B2658">
        <f>IF(AND(Inputs!$B$38&lt;&gt;"pvp",Inputs!$B$43&gt;0),SUMPRODUCT((Skills!E2:E24=TRUE)*(C2628:C2650=TRUE)*R2628:R2650)/Inputs!$B$43,SUMPRODUCT((Skills!E2:E24=TRUE)*(C2628:C2650=TRUE)*Q2628:Q2650))</f>
        <v/>
      </c>
    </row>
    <row r="2659">
      <c r="A2659" t="inlineStr">
        <is>
          <t>Chain Lightning Casts Per Second</t>
        </is>
      </c>
      <c r="B2659">
        <f>MAX(0,B2657-B2658)</f>
        <v/>
      </c>
    </row>
    <row r="2660">
      <c r="A2660" t="inlineStr">
        <is>
          <t>Buff-Casting Startup Delay (s, fixed-duration only)</t>
        </is>
      </c>
      <c r="B2660">
        <f>IF(AND(Inputs!$B$38&lt;&gt;"pvp",Inputs!$B$43&gt;0),SUMPRODUCT((Skills!S2:S24&gt;0)*(Skills!E2:E24=TRUE)*(C2628:C2650=TRUE))/B2657,0)</f>
        <v/>
      </c>
    </row>
    <row r="2661">
      <c r="A2661" t="inlineStr">
        <is>
          <t>Boss-Only Total DPS (this block's swept value)</t>
        </is>
      </c>
      <c r="B2661">
        <f>SUM(S2628:S2650)</f>
        <v/>
      </c>
    </row>
    <row r="2662">
      <c r="A2662" t="inlineStr">
        <is>
          <t>Normal-Only Total DPS (this block's swept value)</t>
        </is>
      </c>
      <c r="B2662">
        <f>SUM(U2628:U2650)</f>
        <v/>
      </c>
    </row>
    <row r="2663">
      <c r="A2663" s="6" t="inlineStr">
        <is>
          <t>TOTAL DPS</t>
        </is>
      </c>
      <c r="B2663" s="6">
        <f>SUM(O2628:O2650)</f>
        <v/>
      </c>
    </row>
    <row r="2664">
      <c r="A2664" t="inlineStr">
        <is>
          <t>Blizzard Final Attack trigger rate (this block's own Q/R)</t>
        </is>
      </c>
      <c r="B2664">
        <f>IF(AND(Inputs!$B$38&lt;&gt;"pvp",Inputs!$B$43&gt;0),(((C2631=TRUE)*R2631*1)+((C2632=TRUE)*R2632*1)+((C2634=TRUE)*R2634*1)+((C2635=TRUE)*R2635*3)+((C2637=TRUE)*R2637*1))/Inputs!$B$43,((C2631=TRUE)*Q2631*1)+((C2632=TRUE)*Q2632*1)+((C2634=TRUE)*Q2634*1)+((C2635=TRUE)*Q2635*3)+((C2637=TRUE)*Q2637*1))+B2659</f>
        <v/>
      </c>
    </row>
    <row r="2667">
      <c r="A2667" s="6" t="inlineStr">
        <is>
          <t>Stat: CDR = 1.5s</t>
        </is>
      </c>
    </row>
    <row r="2668">
      <c r="A2668" s="5" t="inlineStr">
        <is>
          <t>Key</t>
        </is>
      </c>
      <c r="B2668" s="5" t="inlineStr">
        <is>
          <t>Name</t>
        </is>
      </c>
      <c r="C2668" s="5" t="inlineStr">
        <is>
          <t>Unlocked</t>
        </is>
      </c>
      <c r="D2668" s="5" t="inlineStr">
        <is>
          <t>InputLevel</t>
        </is>
      </c>
      <c r="E2668" s="5" t="inlineStr">
        <is>
          <t>Factor</t>
        </is>
      </c>
      <c r="F2668" s="5" t="inlineStr">
        <is>
          <t>CoefficientPercent</t>
        </is>
      </c>
      <c r="G2668" s="5" t="inlineStr">
        <is>
          <t>EffectiveHits</t>
        </is>
      </c>
      <c r="H2668" s="5" t="inlineStr">
        <is>
          <t>ProcProbability</t>
        </is>
      </c>
      <c r="I2668" s="5" t="inlineStr">
        <is>
          <t>MapleHeroMultiplier</t>
        </is>
      </c>
      <c r="J2668" s="5" t="inlineStr">
        <is>
          <t>BaseDamage</t>
        </is>
      </c>
      <c r="K2668" s="5" t="inlineStr">
        <is>
          <t>BaseHitDamage</t>
        </is>
      </c>
      <c r="L2668" s="5" t="inlineStr">
        <is>
          <t>NonCritAvg</t>
        </is>
      </c>
      <c r="M2668" s="5" t="inlineStr">
        <is>
          <t>CritAvg</t>
        </is>
      </c>
      <c r="N2668" s="5" t="inlineStr">
        <is>
          <t>ExpectedDamage(perHit)</t>
        </is>
      </c>
      <c r="O2668" s="5" t="inlineStr">
        <is>
          <t>DPS</t>
        </is>
      </c>
      <c r="P2668" s="5" t="inlineStr">
        <is>
          <t>% of Total</t>
        </is>
      </c>
      <c r="R2668" t="inlineStr">
        <is>
          <t>helpers</t>
        </is>
      </c>
    </row>
    <row r="2669">
      <c r="A2669">
        <f>Skills!A2</f>
        <v/>
      </c>
      <c r="B2669">
        <f>Skills!B2</f>
        <v/>
      </c>
      <c r="C2669">
        <f>Inputs!$B$3&gt;=100</f>
        <v/>
      </c>
      <c r="D2669" t="inlineStr"/>
      <c r="E2669" t="inlineStr"/>
      <c r="F2669">
        <f>T2671+Skills!N2</f>
        <v/>
      </c>
      <c r="G2669">
        <f>Calc!G2</f>
        <v/>
      </c>
      <c r="H2669">
        <f>Calc!H2</f>
        <v/>
      </c>
      <c r="I2669">
        <f>IF(Skills!T2&lt;&gt;"",1+(Skills!T2/10)*(Z2670/1000)/100,1)</f>
        <v/>
      </c>
      <c r="J2669">
        <f>((Inputs!$B$6*(1+Inputs!$B$7/100))+(((Inputs!$B$12*(1+Inputs!$B$13/100))-(Inputs!$B$12*(1+Inputs!$B$13/100)))+0.25*(Inputs!$B$14-Inputs!$B$14))*(1+Inputs!$B$7/100))*(F2669/100)</f>
        <v/>
      </c>
      <c r="K2669">
        <f>J2669*(1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2="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2669)</f>
        <v/>
      </c>
      <c r="L2669">
        <f>K2669*(MIN(Inputs!$B$22+(F2685-Calc!F18),(Inputs!$B$23+(IF(ArtifactsInput!$M$15,CHOOSE(ArtifactsInput!$N$15+1,25,30,35,40,45,50)/100*(Inputs!$B$11-Inputs!$B$11),0))))/100+(Inputs!$B$23+(IF(ArtifactsInput!$M$15,CHOOSE(ArtifactsInput!$N$15+1,25,30,35,40,45,50)/100*(Inputs!$B$11-Inputs!$B$11),0)))/100)/2</f>
        <v/>
      </c>
      <c r="M2669">
        <f>L2669*(1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69">
        <f>L2669*(1-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2669*(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69">
        <f>(1-Summary!$B$11)*S2669+Summary!$B$11*U2669</f>
        <v/>
      </c>
      <c r="P2669">
        <f>IF(B2704=0,0,O2669/B2704)</f>
        <v/>
      </c>
      <c r="Q2669">
        <f>IFERROR(1/(IF(Inputs!$B$38="pvp",15,MAX(0.1,Skills!D2-IF(TRUE=TRUE,1.5,0)))*(1-IF(AND(ArtifactsInput!$M$27,Inputs!$B$4="Chapter Hunt"),CHOOSE(ArtifactsInput!$N$27+1,20,24,28,32,36,40),0)/100)),0)</f>
        <v/>
      </c>
      <c r="R2669" t="n">
        <v>0</v>
      </c>
      <c r="S2669">
        <f>IF(C2669,(Skills!F2*N2669*B2700)*IF(Inputs!$B$38="pvp",1,1+(Inputs!$B$20+Skills!O2+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2669*(1-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2669*(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2669*(1-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2669*(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669">
        <f>MAX(0,(Inputs!$B$3-100)*3)+Inputs!$B$28+Inputs!$B$29</f>
        <v/>
      </c>
      <c r="U2669">
        <f>IF(C2669,(Skills!F2*N2669*B2700)*IF(Inputs!$B$38="pvp",1,(1+(Inputs!$B$21+Skills!P2+B2695+(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669">
        <f>MAX(0,(Inputs!$B$3-100)*3)+Inputs!$B$28+Inputs!$B$29</f>
        <v/>
      </c>
    </row>
    <row r="2670">
      <c r="A2670">
        <f>Skills!A3</f>
        <v/>
      </c>
      <c r="B2670">
        <f>Skills!B3</f>
        <v/>
      </c>
      <c r="C2670">
        <f>Inputs!$B$3&gt;=15</f>
        <v/>
      </c>
      <c r="D2670">
        <f>IF(Skills!C3=1,60+Inputs!$B$25+Inputs!$B$29,IF(Skills!C3=2,90+Inputs!$B$26+Inputs!$B$29,IF(Skills!C3=3,120+Inputs!$B$27+Inputs!$B$29,MAX(0,(Inputs!$B$3-100)*3)+Inputs!$B$28+Inputs!$B$29)))</f>
        <v/>
      </c>
      <c r="E2670">
        <f>INDEX(FactorTable!$B$2:$Y$301, MATCH(ROUND(MIN(300,MAX(1,D2670)),0), FactorTable!$A$2:$A$301,0), Skills!L3+1)</f>
        <v/>
      </c>
      <c r="F2670">
        <f>IF(Skills!M3=TRUE,(Skills!K3/10)*(E2670/1000),Skills!K3/10)+Skills!N3</f>
        <v/>
      </c>
      <c r="G2670">
        <f>Calc!G3</f>
        <v/>
      </c>
      <c r="H2670">
        <f>Calc!H3</f>
        <v/>
      </c>
      <c r="I2670">
        <f>IF(Skills!T3&lt;&gt;"",1+(Skills!T3/10)*(Z2670/1000)/100,1)</f>
        <v/>
      </c>
      <c r="J2670" t="inlineStr"/>
      <c r="K2670" t="inlineStr"/>
      <c r="L2670" t="inlineStr"/>
      <c r="M2670" t="inlineStr"/>
      <c r="N2670" t="inlineStr"/>
      <c r="O2670">
        <f>(1-Summary!$B$11)*S2670+Summary!$B$11*U2670</f>
        <v/>
      </c>
      <c r="P2670">
        <f>IF(B2704=0,0,O2670/B2704)</f>
        <v/>
      </c>
      <c r="Q2670">
        <f>IFERROR(1/(IF(Inputs!$B$38="pvp",15,MAX(0.1,Skills!D3-IF(TRUE=TRUE,1.5,0)))*(1-IF(AND(ArtifactsInput!$M$27,Inputs!$B$4="Chapter Hunt"),CHOOSE(ArtifactsInput!$N$27+1,20,24,28,32,36,40),0)/100)),0)</f>
        <v/>
      </c>
      <c r="R2670">
        <f>IF(AND(Inputs!$B$38&lt;&gt;"pvp",Inputs!$B$43&gt;0),IF(Inputs!$B$43&lt;=0,0,(INT(Inputs!$B$43/(IF(Inputs!$B$38="pvp",15,MAX(0.1,Skills!D3-IF(TRUE=TRUE,1.5,0)))*(1-IF(AND(ArtifactsInput!$M$27,Inputs!$B$4="Chapter Hunt"),CHOOSE(ArtifactsInput!$N$27+1,20,24,28,32,36,40),0)/100)))+1)),0)</f>
        <v/>
      </c>
      <c r="S2670" t="n">
        <v>0</v>
      </c>
      <c r="T2670">
        <f>INDEX(FactorTable!$B$2:$Y$301, MATCH(ROUND(MIN(300,MAX(1,T2669)),0), FactorTable!$A$2:$A$301,0), 22)</f>
        <v/>
      </c>
      <c r="U2670" t="n">
        <v>0</v>
      </c>
      <c r="Z2670">
        <f>INDEX(FactorTable!$B$2:$Y$301, MATCH(ROUND(MIN(300,MAX(1,Z2669)),0), FactorTable!$A$2:$A$301,0), 24)</f>
        <v/>
      </c>
    </row>
    <row r="2671">
      <c r="A2671">
        <f>Skills!A4</f>
        <v/>
      </c>
      <c r="B2671">
        <f>Skills!B4</f>
        <v/>
      </c>
      <c r="C2671">
        <f>Inputs!$B$3&gt;=40</f>
        <v/>
      </c>
      <c r="D2671">
        <f>IF(Skills!C4=1,60+Inputs!$B$25+Inputs!$B$29,IF(Skills!C4=2,90+Inputs!$B$26+Inputs!$B$29,IF(Skills!C4=3,120+Inputs!$B$27+Inputs!$B$29,MAX(0,(Inputs!$B$3-100)*3)+Inputs!$B$28+Inputs!$B$29)))</f>
        <v/>
      </c>
      <c r="E2671">
        <f>INDEX(FactorTable!$B$2:$Y$301, MATCH(ROUND(MIN(300,MAX(1,D2671)),0), FactorTable!$A$2:$A$301,0), Skills!L4+1)</f>
        <v/>
      </c>
      <c r="F2671">
        <f>IF(Skills!M4=TRUE,(Skills!K4/10)*(E2671/1000),Skills!K4/10)+Skills!N4</f>
        <v/>
      </c>
      <c r="G2671">
        <f>Calc!G4</f>
        <v/>
      </c>
      <c r="H2671">
        <f>Calc!H4</f>
        <v/>
      </c>
      <c r="I2671">
        <f>IF(Skills!T4&lt;&gt;"",1+(Skills!T4/10)*(Z2670/1000)/100,1)</f>
        <v/>
      </c>
      <c r="J2671" t="inlineStr"/>
      <c r="K2671" t="inlineStr"/>
      <c r="L2671" t="inlineStr"/>
      <c r="M2671" t="inlineStr"/>
      <c r="N2671" t="inlineStr"/>
      <c r="O2671">
        <f>(1-Summary!$B$11)*S2671+Summary!$B$11*U2671</f>
        <v/>
      </c>
      <c r="P2671">
        <f>IF(B2704=0,0,O2671/B2704)</f>
        <v/>
      </c>
      <c r="Q2671">
        <f>IFERROR(1/(IF(Inputs!$B$38="pvp",15,MAX(0.1,Skills!D4-IF(TRUE=TRUE,1.5,0)))*(1-IF(AND(ArtifactsInput!$M$27,Inputs!$B$4="Chapter Hunt"),CHOOSE(ArtifactsInput!$N$27+1,20,24,28,32,36,40),0)/100)),0)</f>
        <v/>
      </c>
      <c r="R2671">
        <f>IF(AND(Inputs!$B$38&lt;&gt;"pvp",Inputs!$B$43&gt;0),IF(Inputs!$B$43&lt;=0,0,(INT(Inputs!$B$43/(IF(Inputs!$B$38="pvp",15,MAX(0.1,Skills!D4-IF(TRUE=TRUE,1.5,0)))*(1-IF(AND(ArtifactsInput!$M$27,Inputs!$B$4="Chapter Hunt"),CHOOSE(ArtifactsInput!$N$27+1,20,24,28,32,36,40),0)/100)))+1)),0)</f>
        <v/>
      </c>
      <c r="S2671" t="n">
        <v>0</v>
      </c>
      <c r="T2671">
        <f>290*T2670/1000</f>
        <v/>
      </c>
      <c r="U2671" t="n">
        <v>0</v>
      </c>
    </row>
    <row r="2672">
      <c r="A2672">
        <f>Skills!A5</f>
        <v/>
      </c>
      <c r="B2672">
        <f>Skills!B5</f>
        <v/>
      </c>
      <c r="C2672">
        <f>Inputs!$B$3&gt;=38</f>
        <v/>
      </c>
      <c r="D2672">
        <f>IF(Skills!C5=1,60+Inputs!$B$25+Inputs!$B$29,IF(Skills!C5=2,90+Inputs!$B$26+Inputs!$B$29,IF(Skills!C5=3,120+Inputs!$B$27+Inputs!$B$29,MAX(0,(Inputs!$B$3-100)*3)+Inputs!$B$28+Inputs!$B$29)))</f>
        <v/>
      </c>
      <c r="E2672">
        <f>INDEX(FactorTable!$B$2:$Y$301, MATCH(ROUND(MIN(300,MAX(1,D2672)),0), FactorTable!$A$2:$A$301,0), Skills!L5+1)</f>
        <v/>
      </c>
      <c r="F2672">
        <f>IF(Skills!M5=TRUE,(Skills!K5/10)*(E2672/1000),Skills!K5/10)+Skills!N5</f>
        <v/>
      </c>
      <c r="G2672">
        <f>Calc!G5</f>
        <v/>
      </c>
      <c r="H2672">
        <f>Calc!H5</f>
        <v/>
      </c>
      <c r="I2672">
        <f>IF(Skills!T5&lt;&gt;"",1+(Skills!T5/10)*(Z2670/1000)/100,1)</f>
        <v/>
      </c>
      <c r="J2672">
        <f>((Inputs!$B$6*(1+Inputs!$B$7/100))+(((Inputs!$B$12*(1+Inputs!$B$13/100))-(Inputs!$B$12*(1+Inputs!$B$13/100)))+0.25*(Inputs!$B$14-Inputs!$B$14))*(1+Inputs!$B$7/100))*(F2672/100)</f>
        <v/>
      </c>
      <c r="K2672">
        <f>J2672*(1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5="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2672)</f>
        <v/>
      </c>
      <c r="L2672">
        <f>K2672*(MIN(Inputs!$B$22+(F2685-Calc!F18),(Inputs!$B$23+(IF(ArtifactsInput!$M$15,CHOOSE(ArtifactsInput!$N$15+1,25,30,35,40,45,50)/100*(Inputs!$B$11-Inputs!$B$11),0))))/100+(Inputs!$B$23+(IF(ArtifactsInput!$M$15,CHOOSE(ArtifactsInput!$N$15+1,25,30,35,40,45,50)/100*(Inputs!$B$11-Inputs!$B$11),0)))/100)/2</f>
        <v/>
      </c>
      <c r="M2672">
        <f>L2672*(1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2">
        <f>L2672*(1-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2672*(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2">
        <f>(1-Summary!$B$11)*S2672+Summary!$B$11*U2672</f>
        <v/>
      </c>
      <c r="P2672">
        <f>IF(B2704=0,0,O2672/B2704)</f>
        <v/>
      </c>
      <c r="Q2672">
        <f>IFERROR(1/(IF(Inputs!$B$38="pvp",15,MAX(0.1,Skills!D5-IF(TRUE=TRUE,1.5,0)))*(1-IF(AND(ArtifactsInput!$M$27,Inputs!$B$4="Chapter Hunt"),CHOOSE(ArtifactsInput!$N$27+1,20,24,28,32,36,40),0)/100)),0)</f>
        <v/>
      </c>
      <c r="R2672">
        <f>IF(AND(Inputs!$B$38&lt;&gt;"pvp",Inputs!$B$43&gt;0),IF(MAX(0,Inputs!$B$43-B2701)&lt;=0,0,(INT(MAX(0,Inputs!$B$43-B2701)/(IF(Inputs!$B$38="pvp",15,MAX(0.1,Skills!D5-IF(TRUE=TRUE,1.5,0)))*(1-IF(AND(ArtifactsInput!$M$27,Inputs!$B$4="Chapter Hunt"),CHOOSE(ArtifactsInput!$N$27+1,20,24,28,32,36,40),0)/100)))+1)),0)</f>
        <v/>
      </c>
      <c r="S2672">
        <f>IF(C2672,(H2672*N2672*IF(AND(Inputs!$B$38&lt;&gt;"pvp",Inputs!$B$43&gt;0),((Skills!F5*((R2672-1)*IF(Skills!G5&gt;0,Skills!H5/Skills!G5,1)+IF(Skills!G5&gt;0,MIN(Skills!H5,MAX(0,MAX(0,Inputs!$B$43-B2701)-((R2672-1)*(IF(Inputs!$B$38="pvp",15,MAX(0.1,Skills!D5-IF(TRUE=TRUE,1.5,0)))*(1-IF(AND(ArtifactsInput!$M$27,Inputs!$B$4="Chapter Hunt"),CHOOSE(ArtifactsInput!$N$27+1,20,24,28,32,36,40),0)/100)))))/Skills!G5,1)))/Inputs!$B$43),G2672*Q2672))*IF(Inputs!$B$38="pvp",1,1+(Inputs!$B$20+Skills!O5+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2672*(1-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2672*(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2672*(1-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2672*(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2">
        <f>IF(C2672,(H2672*N2672*IF(AND(Inputs!$B$38&lt;&gt;"pvp",Inputs!$B$43&gt;0),((Skills!F5*((R2672-1)*IF(Skills!G5&gt;0,Skills!H5/Skills!G5,1)+IF(Skills!G5&gt;0,MIN(Skills!H5,MAX(0,MAX(0,Inputs!$B$43-B2701)-((R2672-1)*(IF(Inputs!$B$38="pvp",15,MAX(0.1,Skills!D5-IF(TRUE=TRUE,1.5,0)))*(1-IF(AND(ArtifactsInput!$M$27,Inputs!$B$4="Chapter Hunt"),CHOOSE(ArtifactsInput!$N$27+1,20,24,28,32,36,40),0)/100)))))/Skills!G5,1)))/Inputs!$B$43),G2672*Q2672))*IF(Inputs!$B$38="pvp",1,(1+(Inputs!$B$21+Skills!P5+B2695+(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3">
      <c r="A2673">
        <f>Skills!A6</f>
        <v/>
      </c>
      <c r="B2673">
        <f>Skills!B6</f>
        <v/>
      </c>
      <c r="C2673">
        <f>Inputs!$B$3&gt;=63</f>
        <v/>
      </c>
      <c r="D2673">
        <f>IF(Skills!C6=1,60+Inputs!$B$25+Inputs!$B$29,IF(Skills!C6=2,90+Inputs!$B$26+Inputs!$B$29,IF(Skills!C6=3,120+Inputs!$B$27+Inputs!$B$29,MAX(0,(Inputs!$B$3-100)*3)+Inputs!$B$28+Inputs!$B$29)))</f>
        <v/>
      </c>
      <c r="E2673">
        <f>INDEX(FactorTable!$B$2:$Y$301, MATCH(ROUND(MIN(300,MAX(1,D2673)),0), FactorTable!$A$2:$A$301,0), Skills!L6+1)</f>
        <v/>
      </c>
      <c r="F2673">
        <f>IF(Skills!M6=TRUE,(Skills!K6/10)*(E2673/1000),Skills!K6/10)+Skills!N6</f>
        <v/>
      </c>
      <c r="G2673">
        <f>Calc!G6</f>
        <v/>
      </c>
      <c r="H2673">
        <f>Calc!H6</f>
        <v/>
      </c>
      <c r="I2673">
        <f>IF(Skills!T6&lt;&gt;"",1+(Skills!T6/10)*(Z2670/1000)/100,1)</f>
        <v/>
      </c>
      <c r="J2673">
        <f>((Inputs!$B$6*(1+Inputs!$B$7/100))+(((Inputs!$B$12*(1+Inputs!$B$13/100))-(Inputs!$B$12*(1+Inputs!$B$13/100)))+0.25*(Inputs!$B$14-Inputs!$B$14))*(1+Inputs!$B$7/100))*(F2673/100)</f>
        <v/>
      </c>
      <c r="K2673">
        <f>J2673*(1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6="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2673)</f>
        <v/>
      </c>
      <c r="L2673">
        <f>K2673*(MIN(Inputs!$B$22+(F2685-Calc!F18),(Inputs!$B$23+(IF(ArtifactsInput!$M$15,CHOOSE(ArtifactsInput!$N$15+1,25,30,35,40,45,50)/100*(Inputs!$B$11-Inputs!$B$11),0))))/100+(Inputs!$B$23+(IF(ArtifactsInput!$M$15,CHOOSE(ArtifactsInput!$N$15+1,25,30,35,40,45,50)/100*(Inputs!$B$11-Inputs!$B$11),0)))/100)/2</f>
        <v/>
      </c>
      <c r="M2673">
        <f>L2673*(1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3">
        <f>L2673*(1-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2673*(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3">
        <f>(1-Summary!$B$11)*S2673+Summary!$B$11*U2673</f>
        <v/>
      </c>
      <c r="P2673">
        <f>IF(B2704=0,0,O2673/B2704)</f>
        <v/>
      </c>
      <c r="Q2673">
        <f>IFERROR(1/(IF(Inputs!$B$38="pvp",15,MAX(0.1,Skills!D6-IF(TRUE=TRUE,1.5,0)))*(1-IF(AND(ArtifactsInput!$M$27,Inputs!$B$4="Chapter Hunt"),CHOOSE(ArtifactsInput!$N$27+1,20,24,28,32,36,40),0)/100)),0)</f>
        <v/>
      </c>
      <c r="R2673">
        <f>IF(AND(Inputs!$B$38&lt;&gt;"pvp",Inputs!$B$43&gt;0),IF(MAX(0,Inputs!$B$43-B2701)&lt;=0,0,(INT(MAX(0,Inputs!$B$43-B2701)/(IF(Inputs!$B$38="pvp",15,MAX(0.1,Skills!D6-IF(TRUE=TRUE,1.5,0)))*(1-IF(AND(ArtifactsInput!$M$27,Inputs!$B$4="Chapter Hunt"),CHOOSE(ArtifactsInput!$N$27+1,20,24,28,32,36,40),0)/100)))+1)),0)</f>
        <v/>
      </c>
      <c r="S2673">
        <f>IF(C2673,(H2673*N2673*IF(AND(Inputs!$B$38&lt;&gt;"pvp",Inputs!$B$43&gt;0),((Skills!F6*((R2673-1)*IF(Skills!G6&gt;0,Skills!H6/Skills!G6,1)+IF(Skills!G6&gt;0,MIN(Skills!H6,MAX(0,MAX(0,Inputs!$B$43-B2701)-((R2673-1)*(IF(Inputs!$B$38="pvp",15,MAX(0.1,Skills!D6-IF(TRUE=TRUE,1.5,0)))*(1-IF(AND(ArtifactsInput!$M$27,Inputs!$B$4="Chapter Hunt"),CHOOSE(ArtifactsInput!$N$27+1,20,24,28,32,36,40),0)/100)))))/Skills!G6,1)))/Inputs!$B$43),G2673*Q2673))*IF(Inputs!$B$38="pvp",1,1+(Inputs!$B$20+Skills!O6+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2673*(1-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2673*(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2673*(1-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2673*(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3">
        <f>IF(C2673,(H2673*N2673*IF(AND(Inputs!$B$38&lt;&gt;"pvp",Inputs!$B$43&gt;0),((Skills!F6*((R2673-1)*IF(Skills!G6&gt;0,Skills!H6/Skills!G6,1)+IF(Skills!G6&gt;0,MIN(Skills!H6,MAX(0,MAX(0,Inputs!$B$43-B2701)-((R2673-1)*(IF(Inputs!$B$38="pvp",15,MAX(0.1,Skills!D6-IF(TRUE=TRUE,1.5,0)))*(1-IF(AND(ArtifactsInput!$M$27,Inputs!$B$4="Chapter Hunt"),CHOOSE(ArtifactsInput!$N$27+1,20,24,28,32,36,40),0)/100)))))/Skills!G6,1)))/Inputs!$B$43),G2673*Q2673))*IF(Inputs!$B$38="pvp",1,(1+(Inputs!$B$21+Skills!P6+B2695+(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4">
      <c r="A2674">
        <f>Skills!A7</f>
        <v/>
      </c>
      <c r="B2674">
        <f>Skills!B7</f>
        <v/>
      </c>
      <c r="C2674">
        <f>Inputs!$B$3&gt;=69</f>
        <v/>
      </c>
      <c r="D2674">
        <f>IF(Skills!C7=1,60+Inputs!$B$25+Inputs!$B$29,IF(Skills!C7=2,90+Inputs!$B$26+Inputs!$B$29,IF(Skills!C7=3,120+Inputs!$B$27+Inputs!$B$29,MAX(0,(Inputs!$B$3-100)*3)+Inputs!$B$28+Inputs!$B$29)))</f>
        <v/>
      </c>
      <c r="E2674">
        <f>INDEX(FactorTable!$B$2:$Y$301, MATCH(ROUND(MIN(300,MAX(1,D2674)),0), FactorTable!$A$2:$A$301,0), Skills!L7+1)</f>
        <v/>
      </c>
      <c r="F2674">
        <f>IF(Skills!M7=TRUE,(Skills!K7/10)*(E2674/1000),Skills!K7/10)+Skills!N7</f>
        <v/>
      </c>
      <c r="G2674">
        <f>Calc!G7</f>
        <v/>
      </c>
      <c r="H2674">
        <f>Calc!H7</f>
        <v/>
      </c>
      <c r="I2674">
        <f>IF(Skills!T7&lt;&gt;"",1+(Skills!T7/10)*(Z2670/1000)/100,1)</f>
        <v/>
      </c>
      <c r="J2674">
        <f>((Inputs!$B$6*(1+Inputs!$B$7/100))+(((Inputs!$B$12*(1+Inputs!$B$13/100))-(Inputs!$B$12*(1+Inputs!$B$13/100)))+0.25*(Inputs!$B$14-Inputs!$B$14))*(1+Inputs!$B$7/100))*(F2674/100)</f>
        <v/>
      </c>
      <c r="K2674">
        <f>J2674*(1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7="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2674)</f>
        <v/>
      </c>
      <c r="L2674">
        <f>K2674*(MIN(Inputs!$B$22+(F2685-Calc!F18),(Inputs!$B$23+(IF(ArtifactsInput!$M$15,CHOOSE(ArtifactsInput!$N$15+1,25,30,35,40,45,50)/100*(Inputs!$B$11-Inputs!$B$11),0))))/100+(Inputs!$B$23+(IF(ArtifactsInput!$M$15,CHOOSE(ArtifactsInput!$N$15+1,25,30,35,40,45,50)/100*(Inputs!$B$11-Inputs!$B$11),0)))/100)/2</f>
        <v/>
      </c>
      <c r="M2674">
        <f>L2674*(1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4">
        <f>L2674*(1-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2674*(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4">
        <f>(1-Summary!$B$11)*S2674+Summary!$B$11*U2674</f>
        <v/>
      </c>
      <c r="P2674">
        <f>IF(B2704=0,0,O2674/B2704)</f>
        <v/>
      </c>
      <c r="Q2674">
        <f>IFERROR(1/(IF(Inputs!$B$38="pvp",15,MAX(0.1,Skills!D7-IF(TRUE=TRUE,1.5,0)))*(1-IF(AND(ArtifactsInput!$M$27,Inputs!$B$4="Chapter Hunt"),CHOOSE(ArtifactsInput!$N$27+1,20,24,28,32,36,40),0)/100)),0)</f>
        <v/>
      </c>
      <c r="R2674">
        <f>IF(AND(Inputs!$B$38&lt;&gt;"pvp",Inputs!$B$43&gt;0),IF(MAX(0,Inputs!$B$43-B2701)&lt;=0,0,(INT(MAX(0,Inputs!$B$43-B2701)/(IF(Inputs!$B$38="pvp",15,MAX(0.1,Skills!D7-IF(TRUE=TRUE,1.5,0)))*(1-IF(AND(ArtifactsInput!$M$27,Inputs!$B$4="Chapter Hunt"),CHOOSE(ArtifactsInput!$N$27+1,20,24,28,32,36,40),0)/100)))+1)),0)</f>
        <v/>
      </c>
      <c r="S2674">
        <f>IF(C2674,(H2674*N2674*IF(AND(Inputs!$B$38&lt;&gt;"pvp",Inputs!$B$43&gt;0),((Skills!F7*((R2674-1)*IF(Skills!G7&gt;0,Skills!H7/Skills!G7,1)+IF(Skills!G7&gt;0,MIN(Skills!H7,MAX(0,MAX(0,Inputs!$B$43-B2701)-((R2674-1)*(IF(Inputs!$B$38="pvp",15,MAX(0.1,Skills!D7-IF(TRUE=TRUE,1.5,0)))*(1-IF(AND(ArtifactsInput!$M$27,Inputs!$B$4="Chapter Hunt"),CHOOSE(ArtifactsInput!$N$27+1,20,24,28,32,36,40),0)/100)))))/Skills!G7,1)))/Inputs!$B$43),G2674*Q2674))*IF(Inputs!$B$38="pvp",1,1+(Inputs!$B$20+Skills!O7+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2674*(1-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2674*(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2674*(1-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2674*(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4">
        <f>IF(C2674,(H2674*N2674*IF(AND(Inputs!$B$38&lt;&gt;"pvp",Inputs!$B$43&gt;0),((Skills!F7*((R2674-1)*IF(Skills!G7&gt;0,Skills!H7/Skills!G7,1)+IF(Skills!G7&gt;0,MIN(Skills!H7,MAX(0,MAX(0,Inputs!$B$43-B2701)-((R2674-1)*(IF(Inputs!$B$38="pvp",15,MAX(0.1,Skills!D7-IF(TRUE=TRUE,1.5,0)))*(1-IF(AND(ArtifactsInput!$M$27,Inputs!$B$4="Chapter Hunt"),CHOOSE(ArtifactsInput!$N$27+1,20,24,28,32,36,40),0)/100)))))/Skills!G7,1)))/Inputs!$B$43),G2674*Q2674))*IF(Inputs!$B$38="pvp",1,(1+(Inputs!$B$21+Skills!P7+B2695+(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5">
      <c r="A2675">
        <f>Skills!A8</f>
        <v/>
      </c>
      <c r="B2675">
        <f>Skills!B8</f>
        <v/>
      </c>
      <c r="C2675">
        <f>Inputs!$B$3&gt;=103</f>
        <v/>
      </c>
      <c r="D2675">
        <f>IF(Skills!C8=1,60+Inputs!$B$25+Inputs!$B$29,IF(Skills!C8=2,90+Inputs!$B$26+Inputs!$B$29,IF(Skills!C8=3,120+Inputs!$B$27+Inputs!$B$29,MAX(0,(Inputs!$B$3-100)*3)+Inputs!$B$28+Inputs!$B$29)))</f>
        <v/>
      </c>
      <c r="E2675">
        <f>INDEX(FactorTable!$B$2:$Y$301, MATCH(ROUND(MIN(300,MAX(1,D2675)),0), FactorTable!$A$2:$A$301,0), Skills!L8+1)</f>
        <v/>
      </c>
      <c r="F2675">
        <f>IF(Skills!M8=TRUE,(Skills!K8/10)*(E2675/1000),Skills!K8/10)+Skills!N8</f>
        <v/>
      </c>
      <c r="G2675">
        <f>Calc!G8</f>
        <v/>
      </c>
      <c r="H2675">
        <f>Calc!H8</f>
        <v/>
      </c>
      <c r="I2675">
        <f>IF(Skills!T8&lt;&gt;"",1+(Skills!T8/10)*(Z2670/1000)/100,1)</f>
        <v/>
      </c>
      <c r="J2675">
        <f>((Inputs!$B$6*(1+Inputs!$B$7/100))+(((Inputs!$B$12*(1+Inputs!$B$13/100))-(Inputs!$B$12*(1+Inputs!$B$13/100)))+0.25*(Inputs!$B$14-Inputs!$B$14))*(1+Inputs!$B$7/100))*(F2675/100)</f>
        <v/>
      </c>
      <c r="K2675">
        <f>J2675*(1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8="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2675)</f>
        <v/>
      </c>
      <c r="L2675">
        <f>K2675*(MIN(Inputs!$B$22+(F2685-Calc!F18),(Inputs!$B$23+(IF(ArtifactsInput!$M$15,CHOOSE(ArtifactsInput!$N$15+1,25,30,35,40,45,50)/100*(Inputs!$B$11-Inputs!$B$11),0))))/100+(Inputs!$B$23+(IF(ArtifactsInput!$M$15,CHOOSE(ArtifactsInput!$N$15+1,25,30,35,40,45,50)/100*(Inputs!$B$11-Inputs!$B$11),0)))/100)/2</f>
        <v/>
      </c>
      <c r="M2675">
        <f>L2675*(1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5">
        <f>L2675*(1-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2675*(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5">
        <f>(1-Summary!$B$11)*S2675+Summary!$B$11*U2675</f>
        <v/>
      </c>
      <c r="P2675">
        <f>IF(B2704=0,0,O2675/B2704)</f>
        <v/>
      </c>
      <c r="Q2675">
        <f>IFERROR(1/(IF(Inputs!$B$38="pvp",15,MAX(0.1,Skills!D8-IF(TRUE=TRUE,1.5,0)))*(1-IF(AND(ArtifactsInput!$M$27,Inputs!$B$4="Chapter Hunt"),CHOOSE(ArtifactsInput!$N$27+1,20,24,28,32,36,40),0)/100)),0)</f>
        <v/>
      </c>
      <c r="R2675">
        <f>IF(AND(Inputs!$B$38&lt;&gt;"pvp",Inputs!$B$43&gt;0),IF(MAX(0,Inputs!$B$43-B2701)&lt;=0,0,(INT(MAX(0,Inputs!$B$43-B2701)/(IF(Inputs!$B$38="pvp",15,MAX(0.1,Skills!D8-IF(TRUE=TRUE,1.5,0)))*(1-IF(AND(ArtifactsInput!$M$27,Inputs!$B$4="Chapter Hunt"),CHOOSE(ArtifactsInput!$N$27+1,20,24,28,32,36,40),0)/100)))+1)),0)</f>
        <v/>
      </c>
      <c r="S2675">
        <f>IF(C2675,(H2675*N2675*IF(AND(Inputs!$B$38&lt;&gt;"pvp",Inputs!$B$43&gt;0),((Skills!F8*((R2675-1)*IF(Skills!G8&gt;0,Skills!H8/Skills!G8,1)+IF(Skills!G8&gt;0,MIN(Skills!H8,MAX(0,MAX(0,Inputs!$B$43-B2701)-((R2675-1)*(IF(Inputs!$B$38="pvp",15,MAX(0.1,Skills!D8-IF(TRUE=TRUE,1.5,0)))*(1-IF(AND(ArtifactsInput!$M$27,Inputs!$B$4="Chapter Hunt"),CHOOSE(ArtifactsInput!$N$27+1,20,24,28,32,36,40),0)/100)))))/Skills!G8,1)))/Inputs!$B$43),G2675*Q2675))*IF(Inputs!$B$38="pvp",1,1+(Inputs!$B$20+Skills!O8+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2675*(1-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2675*(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2675*(1-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2675*(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5">
        <f>IF(C2675,(H2675*N2675*IF(AND(Inputs!$B$38&lt;&gt;"pvp",Inputs!$B$43&gt;0),((Skills!F8*((R2675-1)*IF(Skills!G8&gt;0,Skills!H8/Skills!G8,1)+IF(Skills!G8&gt;0,MIN(Skills!H8,MAX(0,MAX(0,Inputs!$B$43-B2701)-((R2675-1)*(IF(Inputs!$B$38="pvp",15,MAX(0.1,Skills!D8-IF(TRUE=TRUE,1.5,0)))*(1-IF(AND(ArtifactsInput!$M$27,Inputs!$B$4="Chapter Hunt"),CHOOSE(ArtifactsInput!$N$27+1,20,24,28,32,36,40),0)/100)))))/Skills!G8,1)))/Inputs!$B$43),G2675*Q2675))*IF(Inputs!$B$38="pvp",1,(1+(Inputs!$B$21+Skills!P8+B2695+(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6">
      <c r="A2676">
        <f>Skills!A9</f>
        <v/>
      </c>
      <c r="B2676">
        <f>Skills!B9</f>
        <v/>
      </c>
      <c r="C2676">
        <f>Inputs!$B$3&gt;=105</f>
        <v/>
      </c>
      <c r="D2676">
        <f>IF(Skills!C9=1,60+Inputs!$B$25+Inputs!$B$29,IF(Skills!C9=2,90+Inputs!$B$26+Inputs!$B$29,IF(Skills!C9=3,120+Inputs!$B$27+Inputs!$B$29,MAX(0,(Inputs!$B$3-100)*3)+Inputs!$B$28+Inputs!$B$29)))</f>
        <v/>
      </c>
      <c r="E2676">
        <f>INDEX(FactorTable!$B$2:$Y$301, MATCH(ROUND(MIN(300,MAX(1,D2676)),0), FactorTable!$A$2:$A$301,0), Skills!L9+1)</f>
        <v/>
      </c>
      <c r="F2676">
        <f>IF(Skills!M9=TRUE,(Skills!K9/10)*(E2676/1000),Skills!K9/10)+Skills!N9</f>
        <v/>
      </c>
      <c r="G2676">
        <f>Calc!G9</f>
        <v/>
      </c>
      <c r="H2676">
        <f>Calc!H9</f>
        <v/>
      </c>
      <c r="I2676">
        <f>IF(Skills!T9&lt;&gt;"",1+(Skills!T9/10)*(Z2670/1000)/100,1)</f>
        <v/>
      </c>
      <c r="J2676">
        <f>((Inputs!$B$6*(1+Inputs!$B$7/100))+(((Inputs!$B$12*(1+Inputs!$B$13/100))-(Inputs!$B$12*(1+Inputs!$B$13/100)))+0.25*(Inputs!$B$14-Inputs!$B$14))*(1+Inputs!$B$7/100))*(F2676/100)</f>
        <v/>
      </c>
      <c r="K2676">
        <f>J2676*(1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9="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2676)</f>
        <v/>
      </c>
      <c r="L2676">
        <f>K2676*(MIN(Inputs!$B$22+(F2685-Calc!F18),(Inputs!$B$23+(IF(ArtifactsInput!$M$15,CHOOSE(ArtifactsInput!$N$15+1,25,30,35,40,45,50)/100*(Inputs!$B$11-Inputs!$B$11),0))))/100+(Inputs!$B$23+(IF(ArtifactsInput!$M$15,CHOOSE(ArtifactsInput!$N$15+1,25,30,35,40,45,50)/100*(Inputs!$B$11-Inputs!$B$11),0)))/100)/2</f>
        <v/>
      </c>
      <c r="M2676">
        <f>L2676*(1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6">
        <f>L2676*(1-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2676*(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6">
        <f>(1-Summary!$B$11)*S2676+Summary!$B$11*U2676</f>
        <v/>
      </c>
      <c r="P2676">
        <f>IF(B2704=0,0,O2676/B2704)</f>
        <v/>
      </c>
      <c r="Q2676">
        <f>IFERROR(1/(IF(Inputs!$B$38="pvp",15,MAX(0.1,Skills!D9-IF(TRUE=TRUE,1.5,0)))*(1-IF(AND(ArtifactsInput!$M$27,Inputs!$B$4="Chapter Hunt"),CHOOSE(ArtifactsInput!$N$27+1,20,24,28,32,36,40),0)/100)),0)</f>
        <v/>
      </c>
      <c r="R2676">
        <f>IF(AND(Inputs!$B$38&lt;&gt;"pvp",Inputs!$B$43&gt;0),IF(MAX(0,Inputs!$B$43-B2701)&lt;=0,0,(INT(MAX(0,Inputs!$B$43-B2701)/(IF(Inputs!$B$38="pvp",15,MAX(0.1,Skills!D9-IF(TRUE=TRUE,1.5,0)))*(1-IF(AND(ArtifactsInput!$M$27,Inputs!$B$4="Chapter Hunt"),CHOOSE(ArtifactsInput!$N$27+1,20,24,28,32,36,40),0)/100)))+1)),0)</f>
        <v/>
      </c>
      <c r="S2676">
        <f>IF(C2676,(H2676*N2676*IF(AND(Inputs!$B$38&lt;&gt;"pvp",Inputs!$B$43&gt;0),((Skills!F9*((R2676-1)*IF(Skills!G9&gt;0,Skills!H9/Skills!G9,1)+IF(Skills!G9&gt;0,MIN(Skills!H9,MAX(0,MAX(0,Inputs!$B$43-B2701)-((R2676-1)*(IF(Inputs!$B$38="pvp",15,MAX(0.1,Skills!D9-IF(TRUE=TRUE,1.5,0)))*(1-IF(AND(ArtifactsInput!$M$27,Inputs!$B$4="Chapter Hunt"),CHOOSE(ArtifactsInput!$N$27+1,20,24,28,32,36,40),0)/100)))))/Skills!G9,1)))/Inputs!$B$43),G2676*Q2676))*IF(Inputs!$B$38="pvp",1,1+(Inputs!$B$20+Skills!O9+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2676*(1-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2676*(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2676*(1-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2676*(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6">
        <f>IF(C2676,(H2676*N2676*IF(AND(Inputs!$B$38&lt;&gt;"pvp",Inputs!$B$43&gt;0),((Skills!F9*((R2676-1)*IF(Skills!G9&gt;0,Skills!H9/Skills!G9,1)+IF(Skills!G9&gt;0,MIN(Skills!H9,MAX(0,MAX(0,Inputs!$B$43-B2701)-((R2676-1)*(IF(Inputs!$B$38="pvp",15,MAX(0.1,Skills!D9-IF(TRUE=TRUE,1.5,0)))*(1-IF(AND(ArtifactsInput!$M$27,Inputs!$B$4="Chapter Hunt"),CHOOSE(ArtifactsInput!$N$27+1,20,24,28,32,36,40),0)/100)))))/Skills!G9,1)))/Inputs!$B$43),G2676*Q2676))*IF(Inputs!$B$38="pvp",1,(1+(Inputs!$B$21+Skills!P9+B2695+(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7">
      <c r="A2677">
        <f>Skills!A10</f>
        <v/>
      </c>
      <c r="B2677">
        <f>Skills!B10</f>
        <v/>
      </c>
      <c r="C2677">
        <f>Inputs!$B$3&gt;=113</f>
        <v/>
      </c>
      <c r="D2677">
        <f>IF(Skills!C10=1,60+Inputs!$B$25+Inputs!$B$29,IF(Skills!C10=2,90+Inputs!$B$26+Inputs!$B$29,IF(Skills!C10=3,120+Inputs!$B$27+Inputs!$B$29,MAX(0,(Inputs!$B$3-100)*3)+Inputs!$B$28+Inputs!$B$29)))</f>
        <v/>
      </c>
      <c r="E2677">
        <f>INDEX(FactorTable!$B$2:$Y$301, MATCH(ROUND(MIN(300,MAX(1,D2677)),0), FactorTable!$A$2:$A$301,0), Skills!L10+1)</f>
        <v/>
      </c>
      <c r="F2677">
        <f>IF(Skills!M10=TRUE,(Skills!K10/10)*(E2677/1000),Skills!K10/10)+Skills!N10</f>
        <v/>
      </c>
      <c r="G2677">
        <f>Calc!G10</f>
        <v/>
      </c>
      <c r="H2677">
        <f>Calc!H10</f>
        <v/>
      </c>
      <c r="I2677">
        <f>IF(Skills!T10&lt;&gt;"",1+(Skills!T10/10)*(Z2670/1000)/100,1)</f>
        <v/>
      </c>
      <c r="J2677">
        <f>((Inputs!$B$6*(1+Inputs!$B$7/100))+(((Inputs!$B$12*(1+Inputs!$B$13/100))-(Inputs!$B$12*(1+Inputs!$B$13/100)))+0.25*(Inputs!$B$14-Inputs!$B$14))*(1+Inputs!$B$7/100))*(F2677/100)</f>
        <v/>
      </c>
      <c r="K2677">
        <f>J2677*(1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10="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2677)</f>
        <v/>
      </c>
      <c r="L2677">
        <f>K2677*(MIN(Inputs!$B$22+(F2685-Calc!F18),(Inputs!$B$23+(IF(ArtifactsInput!$M$15,CHOOSE(ArtifactsInput!$N$15+1,25,30,35,40,45,50)/100*(Inputs!$B$11-Inputs!$B$11),0))))/100+(Inputs!$B$23+(IF(ArtifactsInput!$M$15,CHOOSE(ArtifactsInput!$N$15+1,25,30,35,40,45,50)/100*(Inputs!$B$11-Inputs!$B$11),0)))/100)/2</f>
        <v/>
      </c>
      <c r="M2677">
        <f>L2677*(1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7">
        <f>L2677*(1-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2677*(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7">
        <f>(1-Summary!$B$11)*S2677+Summary!$B$11*U2677</f>
        <v/>
      </c>
      <c r="P2677">
        <f>IF(B2704=0,0,O2677/B2704)</f>
        <v/>
      </c>
      <c r="Q2677">
        <f>IFERROR(1/(IF(Inputs!$B$38="pvp",15,MAX(0.1,Skills!D10-IF(TRUE=TRUE,1.5,0)))*(1-IF(AND(ArtifactsInput!$M$27,Inputs!$B$4="Chapter Hunt"),CHOOSE(ArtifactsInput!$N$27+1,20,24,28,32,36,40),0)/100)),0)</f>
        <v/>
      </c>
      <c r="R2677" t="n">
        <v>0</v>
      </c>
      <c r="S2677">
        <f>IF(C2677,((H2677*B2705)/(1+Skills!G10*H2677*B2705)*N2677)*IF(Inputs!$B$38="pvp",1,1+(Inputs!$B$20+Skills!O10+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2677*(1-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2677*(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2677*(1-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2677*(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7">
        <f>IF(C2677,((H2677*B2705)/(1+Skills!G10*H2677*B2705)*N2677)*IF(Inputs!$B$38="pvp",1,(1+(Inputs!$B$21+Skills!P10+B2695+(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8">
      <c r="A2678">
        <f>Skills!A11</f>
        <v/>
      </c>
      <c r="B2678">
        <f>Skills!B11</f>
        <v/>
      </c>
      <c r="C2678">
        <f>Inputs!$B$3&gt;=107</f>
        <v/>
      </c>
      <c r="D2678">
        <f>IF(Skills!C11=1,60+Inputs!$B$25+Inputs!$B$29,IF(Skills!C11=2,90+Inputs!$B$26+Inputs!$B$29,IF(Skills!C11=3,120+Inputs!$B$27+Inputs!$B$29,MAX(0,(Inputs!$B$3-100)*3)+Inputs!$B$28+Inputs!$B$29)))</f>
        <v/>
      </c>
      <c r="E2678">
        <f>INDEX(FactorTable!$B$2:$Y$301, MATCH(ROUND(MIN(300,MAX(1,D2678)),0), FactorTable!$A$2:$A$301,0), Skills!L11+1)</f>
        <v/>
      </c>
      <c r="F2678">
        <f>IF(Skills!M11=TRUE,(Skills!K11/10)*(E2678/1000),Skills!K11/10)+Skills!N11</f>
        <v/>
      </c>
      <c r="G2678">
        <f>Calc!G11</f>
        <v/>
      </c>
      <c r="H2678">
        <f>Calc!H11</f>
        <v/>
      </c>
      <c r="I2678">
        <f>IF(Skills!T11&lt;&gt;"",1+(Skills!T11/10)*(Z2670/1000)/100,1)</f>
        <v/>
      </c>
      <c r="J2678">
        <f>((Inputs!$B$6*(1+Inputs!$B$7/100))+(((Inputs!$B$12*(1+Inputs!$B$13/100))-(Inputs!$B$12*(1+Inputs!$B$13/100)))+0.25*(Inputs!$B$14-Inputs!$B$14))*(1+Inputs!$B$7/100))*(F2678/100)</f>
        <v/>
      </c>
      <c r="K2678">
        <f>J2678*(1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11="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2678)</f>
        <v/>
      </c>
      <c r="L2678">
        <f>K2678*(MIN(Inputs!$B$22+(F2685-Calc!F18),(Inputs!$B$23+(IF(ArtifactsInput!$M$15,CHOOSE(ArtifactsInput!$N$15+1,25,30,35,40,45,50)/100*(Inputs!$B$11-Inputs!$B$11),0))))/100+(Inputs!$B$23+(IF(ArtifactsInput!$M$15,CHOOSE(ArtifactsInput!$N$15+1,25,30,35,40,45,50)/100*(Inputs!$B$11-Inputs!$B$11),0)))/100)/2</f>
        <v/>
      </c>
      <c r="M2678">
        <f>L2678*(1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8">
        <f>L2678*(1-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2678*(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8">
        <f>(1-Summary!$B$11)*S2678+Summary!$B$11*U2678</f>
        <v/>
      </c>
      <c r="P2678">
        <f>IF(B2704=0,0,O2678/B2704)</f>
        <v/>
      </c>
      <c r="Q2678">
        <f>IFERROR(1/(IF(Inputs!$B$38="pvp",15,MAX(0.1,Skills!D11-IF(TRUE=TRUE,1.5,0)))*(1-IF(AND(ArtifactsInput!$M$27,Inputs!$B$4="Chapter Hunt"),CHOOSE(ArtifactsInput!$N$27+1,20,24,28,32,36,40),0)/100)),0)</f>
        <v/>
      </c>
      <c r="R2678">
        <f>IF(AND(Inputs!$B$38&lt;&gt;"pvp",Inputs!$B$43&gt;0),IF(MAX(0,Inputs!$B$43-B2701)&lt;=0,0,(INT(MAX(0,Inputs!$B$43-B2701)/(IF(Inputs!$B$38="pvp",15,MAX(0.1,Skills!D11-IF(TRUE=TRUE,1.5,0)))*(1-IF(AND(ArtifactsInput!$M$27,Inputs!$B$4="Chapter Hunt"),CHOOSE(ArtifactsInput!$N$27+1,20,24,28,32,36,40),0)/100)))+1)),0)</f>
        <v/>
      </c>
      <c r="S2678">
        <f>IF(C2678,H2678*N2678*IF(AND(Inputs!$B$38&lt;&gt;"pvp",Inputs!$B$43&gt;0),((Skills!F11*((R2678-1)*IF(Skills!G11&gt;0,Skills!H11/Skills!G11,1)+IF(Skills!G11&gt;0,MIN(Skills!H11,MAX(0,MAX(0,Inputs!$B$43-B2701)-((R2678-1)*(IF(Inputs!$B$38="pvp",15,MAX(0.1,Skills!D11-IF(TRUE=TRUE,1.5,0)))*(1-IF(AND(ArtifactsInput!$M$27,Inputs!$B$4="Chapter Hunt"),CHOOSE(ArtifactsInput!$N$27+1,20,24,28,32,36,40),0)/100)))))/Skills!G11,1)))/Inputs!$B$43),G2678*Q2678)*0.5*IF(Inputs!$B$38="pvp",1,1+(Inputs!$B$20+Skills!O11+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2678*(1-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2678*(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2678*(1-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2678*(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8">
        <f>IF(C2678,H2678*N2678*IF(AND(Inputs!$B$38&lt;&gt;"pvp",Inputs!$B$43&gt;0),((Skills!F11*((R2678-1)*IF(Skills!G11&gt;0,Skills!H11/Skills!G11,1)+IF(Skills!G11&gt;0,MIN(Skills!H11,MAX(0,MAX(0,Inputs!$B$43-B2701)-((R2678-1)*(IF(Inputs!$B$38="pvp",15,MAX(0.1,Skills!D11-IF(TRUE=TRUE,1.5,0)))*(1-IF(AND(ArtifactsInput!$M$27,Inputs!$B$4="Chapter Hunt"),CHOOSE(ArtifactsInput!$N$27+1,20,24,28,32,36,40),0)/100)))))/Skills!G11,1)))/Inputs!$B$43),G2678*Q2678)*1*IF(Inputs!$B$38="pvp",1,(1+(Inputs!$B$21+Skills!P11+B2695+(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79">
      <c r="A2679">
        <f>Skills!A12</f>
        <v/>
      </c>
      <c r="B2679">
        <f>Skills!B12</f>
        <v/>
      </c>
      <c r="C2679">
        <f>Inputs!$B$3&gt;=115</f>
        <v/>
      </c>
      <c r="D2679">
        <f>IF(Skills!C12=1,60+Inputs!$B$25+Inputs!$B$29,IF(Skills!C12=2,90+Inputs!$B$26+Inputs!$B$29,IF(Skills!C12=3,120+Inputs!$B$27+Inputs!$B$29,MAX(0,(Inputs!$B$3-100)*3)+Inputs!$B$28+Inputs!$B$29)))</f>
        <v/>
      </c>
      <c r="E2679">
        <f>INDEX(FactorTable!$B$2:$Y$301, MATCH(ROUND(MIN(300,MAX(1,D2679)),0), FactorTable!$A$2:$A$301,0), Skills!L12+1)</f>
        <v/>
      </c>
      <c r="F2679">
        <f>IF(Skills!M12=TRUE,(Skills!K12/10)*(E2679/1000),Skills!K12/10)+Skills!N12</f>
        <v/>
      </c>
      <c r="G2679">
        <f>Calc!G12</f>
        <v/>
      </c>
      <c r="H2679">
        <f>Calc!H12</f>
        <v/>
      </c>
      <c r="I2679">
        <f>IF(Skills!T12&lt;&gt;"",1+(Skills!T12/10)*(Z2670/1000)/100,1)</f>
        <v/>
      </c>
      <c r="J2679">
        <f>((Inputs!$B$6*(1+Inputs!$B$7/100))+(((Inputs!$B$12*(1+Inputs!$B$13/100))-(Inputs!$B$12*(1+Inputs!$B$13/100)))+0.25*(Inputs!$B$14-Inputs!$B$14))*(1+Inputs!$B$7/100))*(F2679/100)</f>
        <v/>
      </c>
      <c r="K2679">
        <f>J2679*(1+((Inputs!$B$12*(1+Inputs!$B$13/100))*0.01+Inputs!$B$14*0.0025)/100)*(1+(Inputs!$B$15+B2696)/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2682=TRUE,F2682,0)/100)*(1+IF(C2690=TRUE,F2690,0)/100)^5*(1+(IF(Skills!A12="CHAIN_LIGHTNING",Inputs!$B$17+((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2694*(1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2679)</f>
        <v/>
      </c>
      <c r="L2679">
        <f>K2679*(MIN(Inputs!$B$22+(F2685-Calc!F18),(Inputs!$B$23+(IF(ArtifactsInput!$M$15,CHOOSE(ArtifactsInput!$N$15+1,25,30,35,40,45,50)/100*(Inputs!$B$11-Inputs!$B$11),0))))/100+(Inputs!$B$23+(IF(ArtifactsInput!$M$15,CHOOSE(ArtifactsInput!$N$15+1,25,30,35,40,45,50)/100*(Inputs!$B$11-Inputs!$B$11),0)))/100)/2</f>
        <v/>
      </c>
      <c r="M2679">
        <f>L2679*(1+(Inputs!$B$10+(F2688-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79">
        <f>L2679*(1-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2679*(MIN((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79">
        <f>(1-Summary!$B$11)*S2679+Summary!$B$11*U2679</f>
        <v/>
      </c>
      <c r="P2679">
        <f>IF(B2704=0,0,O2679/B2704)</f>
        <v/>
      </c>
      <c r="Q2679">
        <f>IFERROR(1/(IF(Inputs!$B$38="pvp",15,MAX(0.1,Skills!D12-IF(TRUE=TRUE,1.5,0)))*(1-IF(AND(ArtifactsInput!$M$27,Inputs!$B$4="Chapter Hunt"),CHOOSE(ArtifactsInput!$N$27+1,20,24,28,32,36,40),0)/100)),0)</f>
        <v/>
      </c>
      <c r="R2679">
        <f>IF(AND(Inputs!$B$38&lt;&gt;"pvp",Inputs!$B$43&gt;0),IF(MAX(0,Inputs!$B$43-B2701)&lt;=0,0,(INT(MAX(0,Inputs!$B$43-B2701)/(IF(Inputs!$B$38="pvp",15,MAX(0.1,Skills!D12-IF(TRUE=TRUE,1.5,0)))*(1-IF(AND(ArtifactsInput!$M$27,Inputs!$B$4="Chapter Hunt"),CHOOSE(ArtifactsInput!$N$27+1,20,24,28,32,36,40),0)/100)))+1)),0)</f>
        <v/>
      </c>
      <c r="S2679">
        <f>IF(C2679,(H2679*N2679*IF(AND(Inputs!$B$38&lt;&gt;"pvp",Inputs!$B$43&gt;0),((Skills!F12*((R2679-1)*IF(Skills!G12&gt;0,Skills!H12/Skills!G12,1)+IF(Skills!G12&gt;0,MIN(Skills!H12,MAX(0,MAX(0,Inputs!$B$43-B2701)-((R2679-1)*(IF(Inputs!$B$38="pvp",15,MAX(0.1,Skills!D12-IF(TRUE=TRUE,1.5,0)))*(1-IF(AND(ArtifactsInput!$M$27,Inputs!$B$4="Chapter Hunt"),CHOOSE(ArtifactsInput!$N$27+1,20,24,28,32,36,40),0)/100)))))/Skills!G12,1)))/Inputs!$B$43),G2679*Q2679))*IF(Inputs!$B$38="pvp",1,1+(Inputs!$B$20+Skills!O12+B2695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2679*(1-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2679*(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2679*(1-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2679*(MIN(100,(Inputs!$B$9+((F2687-Calc!F20)+(F2686-Calc!F19))+(ArtifactsInput!$M$24-ArtifactsInput!$M$24)*CHOOSE(ArtifactsInput!$N$24+1,10,12,14,16,18,20)+(IF(AND(Inputs!$B$38&lt;&gt;"pvp",Inputs!$B$43=0),1,IF(IF(Inputs!$B$38="pvp",15,Inputs!$B$43)-(B2701)&lt;=0,1,MAX(0,IF(Inputs!$B$38="pvp",15,Inputs!$B$43)-MAX(5,B2701))/(IF(Inputs!$B$38="pvp",15,Inputs!$B$43)-(B2701))))*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79">
        <f>IF(C2679,(H2679*N2679*IF(AND(Inputs!$B$38&lt;&gt;"pvp",Inputs!$B$43&gt;0),((Skills!F12*((R2679-1)*IF(Skills!G12&gt;0,Skills!H12/Skills!G12,1)+IF(Skills!G12&gt;0,MIN(Skills!H12,MAX(0,MAX(0,Inputs!$B$43-B2701)-((R2679-1)*(IF(Inputs!$B$38="pvp",15,MAX(0.1,Skills!D12-IF(TRUE=TRUE,1.5,0)))*(1-IF(AND(ArtifactsInput!$M$27,Inputs!$B$4="Chapter Hunt"),CHOOSE(ArtifactsInput!$N$27+1,20,24,28,32,36,40),0)/100)))))/Skills!G12,1)))/Inputs!$B$43),G2679*Q2679))*IF(Inputs!$B$38="pvp",1,(1+(Inputs!$B$21+Skills!P12+B2695+(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0">
      <c r="A2680">
        <f>Skills!A13</f>
        <v/>
      </c>
      <c r="B2680">
        <f>Skills!B13</f>
        <v/>
      </c>
      <c r="C2680">
        <f>Inputs!$B$3&gt;=49</f>
        <v/>
      </c>
      <c r="D2680">
        <f>IF(Skills!C13=1,60+Inputs!$B$25+Inputs!$B$29,IF(Skills!C13=2,90+Inputs!$B$26+Inputs!$B$29,IF(Skills!C13=3,120+Inputs!$B$27+Inputs!$B$29,MAX(0,(Inputs!$B$3-100)*3)+Inputs!$B$28+Inputs!$B$29)))</f>
        <v/>
      </c>
      <c r="E2680">
        <f>INDEX(FactorTable!$B$2:$Y$301, MATCH(ROUND(MIN(300,MAX(1,D2680)),0), FactorTable!$A$2:$A$301,0), Skills!L13+1)</f>
        <v/>
      </c>
      <c r="F2680">
        <f>IF(Skills!M13=TRUE,(Skills!K13/10)*(E2680/1000),Skills!K13/10)+Skills!N13</f>
        <v/>
      </c>
      <c r="G2680">
        <f>Calc!G13</f>
        <v/>
      </c>
      <c r="H2680">
        <f>Calc!H13</f>
        <v/>
      </c>
      <c r="I2680">
        <f>IF(Skills!T13&lt;&gt;"",1+(Skills!T13/10)*(Z2670/1000)/100,1)</f>
        <v/>
      </c>
      <c r="J2680" t="inlineStr"/>
      <c r="K2680" t="inlineStr"/>
      <c r="L2680" t="inlineStr"/>
      <c r="M2680" t="inlineStr"/>
      <c r="N2680" t="inlineStr"/>
      <c r="O2680">
        <f>(1-Summary!$B$11)*S2680+Summary!$B$11*U2680</f>
        <v/>
      </c>
      <c r="P2680">
        <f>IF(B2704=0,0,O2680/B2704)</f>
        <v/>
      </c>
      <c r="Q2680">
        <f>IFERROR(1/(IF(Inputs!$B$38="pvp",15,MAX(0.1,Skills!D13-IF(TRUE=TRUE,1.5,0)))*(1-IF(AND(ArtifactsInput!$M$27,Inputs!$B$4="Chapter Hunt"),CHOOSE(ArtifactsInput!$N$27+1,20,24,28,32,36,40),0)/100)),0)</f>
        <v/>
      </c>
      <c r="R2680" t="n">
        <v>0</v>
      </c>
      <c r="S2680" t="n">
        <v>0</v>
      </c>
      <c r="U2680" t="n">
        <v>0</v>
      </c>
    </row>
    <row r="2681">
      <c r="A2681">
        <f>Skills!A14</f>
        <v/>
      </c>
      <c r="B2681">
        <f>Skills!B14</f>
        <v/>
      </c>
      <c r="C2681">
        <f>Inputs!$B$3&gt;=72</f>
        <v/>
      </c>
      <c r="D2681">
        <f>IF(Skills!C14=1,60+Inputs!$B$25+Inputs!$B$29,IF(Skills!C14=2,90+Inputs!$B$26+Inputs!$B$29,IF(Skills!C14=3,120+Inputs!$B$27+Inputs!$B$29,MAX(0,(Inputs!$B$3-100)*3)+Inputs!$B$28+Inputs!$B$29)))</f>
        <v/>
      </c>
      <c r="E2681">
        <f>INDEX(FactorTable!$B$2:$Y$301, MATCH(ROUND(MIN(300,MAX(1,D2681)),0), FactorTable!$A$2:$A$301,0), Skills!L14+1)</f>
        <v/>
      </c>
      <c r="F2681">
        <f>IF(Skills!M14=TRUE,(Skills!K14/10)*(E2681/1000),Skills!K14/10)+Skills!N14</f>
        <v/>
      </c>
      <c r="G2681">
        <f>Calc!G14</f>
        <v/>
      </c>
      <c r="H2681">
        <f>Calc!H14</f>
        <v/>
      </c>
      <c r="I2681">
        <f>IF(Skills!T14&lt;&gt;"",1+(Skills!T14/10)*(Z2670/1000)/100,1)</f>
        <v/>
      </c>
      <c r="J2681" t="inlineStr"/>
      <c r="K2681" t="inlineStr"/>
      <c r="L2681" t="inlineStr"/>
      <c r="M2681" t="inlineStr"/>
      <c r="N2681" t="inlineStr"/>
      <c r="O2681">
        <f>(1-Summary!$B$11)*S2681+Summary!$B$11*U2681</f>
        <v/>
      </c>
      <c r="P2681">
        <f>IF(B2704=0,0,O2681/B2704)</f>
        <v/>
      </c>
      <c r="Q2681">
        <f>IFERROR(1/(IF(Inputs!$B$38="pvp",15,MAX(0.1,Skills!D14-IF(TRUE=TRUE,1.5,0)))*(1-IF(AND(ArtifactsInput!$M$27,Inputs!$B$4="Chapter Hunt"),CHOOSE(ArtifactsInput!$N$27+1,20,24,28,32,36,40),0)/100)),0)</f>
        <v/>
      </c>
      <c r="R2681" t="n">
        <v>0</v>
      </c>
      <c r="S2681" t="n">
        <v>0</v>
      </c>
      <c r="U2681" t="n">
        <v>0</v>
      </c>
    </row>
    <row r="2682">
      <c r="A2682">
        <f>Skills!A15</f>
        <v/>
      </c>
      <c r="B2682">
        <f>Skills!B15</f>
        <v/>
      </c>
      <c r="C2682">
        <f>Inputs!$B$3&gt;=75</f>
        <v/>
      </c>
      <c r="D2682">
        <f>IF(Skills!C15=1,60+Inputs!$B$25+Inputs!$B$29,IF(Skills!C15=2,90+Inputs!$B$26+Inputs!$B$29,IF(Skills!C15=3,120+Inputs!$B$27+Inputs!$B$29,MAX(0,(Inputs!$B$3-100)*3)+Inputs!$B$28+Inputs!$B$29)))</f>
        <v/>
      </c>
      <c r="E2682">
        <f>INDEX(FactorTable!$B$2:$Y$301, MATCH(ROUND(MIN(300,MAX(1,D2682)),0), FactorTable!$A$2:$A$301,0), Skills!L15+1)</f>
        <v/>
      </c>
      <c r="F2682">
        <f>IF(Skills!M15=TRUE,(Skills!K15/10)*(E2682/1000),Skills!K15/10)+Skills!N15</f>
        <v/>
      </c>
      <c r="G2682">
        <f>Calc!G15</f>
        <v/>
      </c>
      <c r="H2682">
        <f>Calc!H15</f>
        <v/>
      </c>
      <c r="I2682">
        <f>IF(Skills!T15&lt;&gt;"",1+(Skills!T15/10)*(Z2670/1000)/100,1)</f>
        <v/>
      </c>
      <c r="J2682" t="inlineStr"/>
      <c r="K2682" t="inlineStr"/>
      <c r="L2682" t="inlineStr"/>
      <c r="M2682" t="inlineStr"/>
      <c r="N2682" t="inlineStr"/>
      <c r="O2682">
        <f>(1-Summary!$B$11)*S2682+Summary!$B$11*U2682</f>
        <v/>
      </c>
      <c r="P2682">
        <f>IF(B2704=0,0,O2682/B2704)</f>
        <v/>
      </c>
      <c r="Q2682">
        <f>IFERROR(1/(IF(Inputs!$B$38="pvp",15,MAX(0.1,Skills!D15-IF(TRUE=TRUE,1.5,0)))*(1-IF(AND(ArtifactsInput!$M$27,Inputs!$B$4="Chapter Hunt"),CHOOSE(ArtifactsInput!$N$27+1,20,24,28,32,36,40),0)/100)),0)</f>
        <v/>
      </c>
      <c r="R2682" t="n">
        <v>0</v>
      </c>
      <c r="S2682" t="n">
        <v>0</v>
      </c>
      <c r="U2682" t="n">
        <v>0</v>
      </c>
    </row>
    <row r="2683">
      <c r="A2683">
        <f>Skills!A16</f>
        <v/>
      </c>
      <c r="B2683">
        <f>Skills!B16</f>
        <v/>
      </c>
      <c r="C2683">
        <f>Inputs!$B$3&gt;=110</f>
        <v/>
      </c>
      <c r="D2683">
        <f>IF(Skills!C16=1,60+Inputs!$B$25+Inputs!$B$29,IF(Skills!C16=2,90+Inputs!$B$26+Inputs!$B$29,IF(Skills!C16=3,120+Inputs!$B$27+Inputs!$B$29,MAX(0,(Inputs!$B$3-100)*3)+Inputs!$B$28+Inputs!$B$29)))</f>
        <v/>
      </c>
      <c r="E2683">
        <f>INDEX(FactorTable!$B$2:$Y$301, MATCH(ROUND(MIN(300,MAX(1,D2683)),0), FactorTable!$A$2:$A$301,0), Skills!L16+1)</f>
        <v/>
      </c>
      <c r="F2683">
        <f>(Skills!K16/10)*(E2683/1000)*64/45+Skills!N16</f>
        <v/>
      </c>
      <c r="G2683">
        <f>Calc!G16</f>
        <v/>
      </c>
      <c r="H2683">
        <f>Calc!H16</f>
        <v/>
      </c>
      <c r="I2683">
        <f>IF(Skills!T16&lt;&gt;"",1+(Skills!T16/10)*(Z2670/1000)/100,1)</f>
        <v/>
      </c>
      <c r="J2683" t="inlineStr"/>
      <c r="K2683" t="inlineStr"/>
      <c r="L2683" t="inlineStr"/>
      <c r="M2683" t="inlineStr"/>
      <c r="N2683" t="inlineStr"/>
      <c r="O2683">
        <f>(1-Summary!$B$11)*S2683+Summary!$B$11*U2683</f>
        <v/>
      </c>
      <c r="P2683">
        <f>IF(B2704=0,0,O2683/B2704)</f>
        <v/>
      </c>
      <c r="Q2683">
        <f>IFERROR(1/(IF(Inputs!$B$38="pvp",15,MAX(0.1,Skills!D16-IF(TRUE=TRUE,1.5,0)))*(1-IF(AND(ArtifactsInput!$M$27,Inputs!$B$4="Chapter Hunt"),CHOOSE(ArtifactsInput!$N$27+1,20,24,28,32,36,40),0)/100)),0)</f>
        <v/>
      </c>
      <c r="R2683">
        <f>IF(AND(Inputs!$B$38&lt;&gt;"pvp",Inputs!$B$43&gt;0),IF(Inputs!$B$43&lt;=0,0,(INT(Inputs!$B$43/(IF(Inputs!$B$38="pvp",15,MAX(0.1,Skills!D16-IF(TRUE=TRUE,1.5,0)))*(1-IF(AND(ArtifactsInput!$M$27,Inputs!$B$4="Chapter Hunt"),CHOOSE(ArtifactsInput!$N$27+1,20,24,28,32,36,40),0)/100)))+1)),0)</f>
        <v/>
      </c>
      <c r="S2683" t="n">
        <v>0</v>
      </c>
      <c r="U2683" t="n">
        <v>0</v>
      </c>
    </row>
    <row r="2684">
      <c r="A2684">
        <f>Skills!A17</f>
        <v/>
      </c>
      <c r="B2684">
        <f>Skills!B17</f>
        <v/>
      </c>
      <c r="C2684">
        <f>Inputs!$B$3&gt;=33</f>
        <v/>
      </c>
      <c r="D2684">
        <f>IF(Skills!C17=1,60+Inputs!$B$25+Inputs!$B$29,IF(Skills!C17=2,90+Inputs!$B$26+Inputs!$B$29,IF(Skills!C17=3,120+Inputs!$B$27+Inputs!$B$29,MAX(0,(Inputs!$B$3-100)*3)+Inputs!$B$28+Inputs!$B$29)))</f>
        <v/>
      </c>
      <c r="E2684">
        <f>INDEX(FactorTable!$B$2:$Y$301, MATCH(ROUND(MIN(300,MAX(1,D2684)),0), FactorTable!$A$2:$A$301,0), Skills!L17+1)</f>
        <v/>
      </c>
      <c r="F2684">
        <f>IF(Skills!M17=TRUE,(Skills!K17/10)*(E2684/1000),Skills!K17/10)+Skills!N17</f>
        <v/>
      </c>
      <c r="G2684">
        <f>Calc!G17</f>
        <v/>
      </c>
      <c r="H2684">
        <f>Calc!H17</f>
        <v/>
      </c>
      <c r="I2684">
        <f>IF(Skills!T17&lt;&gt;"",1+(Skills!T17/10)*(Z2670/1000)/100,1)</f>
        <v/>
      </c>
      <c r="J2684" t="inlineStr"/>
      <c r="K2684" t="inlineStr"/>
      <c r="L2684" t="inlineStr"/>
      <c r="M2684" t="inlineStr"/>
      <c r="N2684" t="inlineStr"/>
      <c r="O2684">
        <f>(1-Summary!$B$11)*S2684+Summary!$B$11*U2684</f>
        <v/>
      </c>
      <c r="P2684">
        <f>IF(B2704=0,0,O2684/B2704)</f>
        <v/>
      </c>
      <c r="Q2684">
        <f>IFERROR(1/(IF(Inputs!$B$38="pvp",15,MAX(0.1,Skills!D17-IF(TRUE=TRUE,1.5,0)))*(1-IF(AND(ArtifactsInput!$M$27,Inputs!$B$4="Chapter Hunt"),CHOOSE(ArtifactsInput!$N$27+1,20,24,28,32,36,40),0)/100)),0)</f>
        <v/>
      </c>
      <c r="R2684" t="n">
        <v>0</v>
      </c>
      <c r="S2684" t="n">
        <v>0</v>
      </c>
      <c r="U2684" t="n">
        <v>0</v>
      </c>
    </row>
    <row r="2685">
      <c r="A2685">
        <f>Skills!A18</f>
        <v/>
      </c>
      <c r="B2685">
        <f>Skills!B18</f>
        <v/>
      </c>
      <c r="C2685">
        <f>Inputs!$B$3&gt;=43</f>
        <v/>
      </c>
      <c r="D2685">
        <f>IF(Skills!C18=1,60+Inputs!$B$25+Inputs!$B$29,IF(Skills!C18=2,90+Inputs!$B$26+Inputs!$B$29,IF(Skills!C18=3,120+Inputs!$B$27+Inputs!$B$29,MAX(0,(Inputs!$B$3-100)*3)+Inputs!$B$28+Inputs!$B$29)))</f>
        <v/>
      </c>
      <c r="E2685">
        <f>INDEX(FactorTable!$B$2:$Y$301, MATCH(ROUND(MIN(300,MAX(1,D2685)),0), FactorTable!$A$2:$A$301,0), Skills!L18+1)</f>
        <v/>
      </c>
      <c r="F2685">
        <f>IF(Skills!M18=TRUE,(Skills!K18/10)*(E2685/1000),Skills!K18/10)+Skills!N18</f>
        <v/>
      </c>
      <c r="G2685">
        <f>Calc!G18</f>
        <v/>
      </c>
      <c r="H2685">
        <f>Calc!H18</f>
        <v/>
      </c>
      <c r="I2685">
        <f>IF(Skills!T18&lt;&gt;"",1+(Skills!T18/10)*(Z2670/1000)/100,1)</f>
        <v/>
      </c>
      <c r="J2685" t="inlineStr"/>
      <c r="K2685" t="inlineStr"/>
      <c r="L2685" t="inlineStr"/>
      <c r="M2685" t="inlineStr"/>
      <c r="N2685" t="inlineStr"/>
      <c r="O2685">
        <f>(1-Summary!$B$11)*S2685+Summary!$B$11*U2685</f>
        <v/>
      </c>
      <c r="P2685">
        <f>IF(B2704=0,0,O2685/B2704)</f>
        <v/>
      </c>
      <c r="Q2685">
        <f>IFERROR(1/(IF(Inputs!$B$38="pvp",15,MAX(0.1,Skills!D18-IF(TRUE=TRUE,1.5,0)))*(1-IF(AND(ArtifactsInput!$M$27,Inputs!$B$4="Chapter Hunt"),CHOOSE(ArtifactsInput!$N$27+1,20,24,28,32,36,40),0)/100)),0)</f>
        <v/>
      </c>
      <c r="R2685" t="n">
        <v>0</v>
      </c>
      <c r="S2685" t="n">
        <v>0</v>
      </c>
      <c r="U2685" t="n">
        <v>0</v>
      </c>
    </row>
    <row r="2686">
      <c r="A2686">
        <f>Skills!A19</f>
        <v/>
      </c>
      <c r="B2686">
        <f>Skills!B19</f>
        <v/>
      </c>
      <c r="C2686">
        <f>Inputs!$B$3&gt;=50</f>
        <v/>
      </c>
      <c r="D2686">
        <f>IF(Skills!C19=1,60+Inputs!$B$25+Inputs!$B$29,IF(Skills!C19=2,90+Inputs!$B$26+Inputs!$B$29,IF(Skills!C19=3,120+Inputs!$B$27+Inputs!$B$29,MAX(0,(Inputs!$B$3-100)*3)+Inputs!$B$28+Inputs!$B$29)))</f>
        <v/>
      </c>
      <c r="E2686">
        <f>INDEX(FactorTable!$B$2:$Y$301, MATCH(ROUND(MIN(300,MAX(1,D2686)),0), FactorTable!$A$2:$A$301,0), Skills!L19+1)</f>
        <v/>
      </c>
      <c r="F2686">
        <f>IF(Skills!M19=TRUE,(Skills!K19/10)*(E2686/1000),Skills!K19/10)+Skills!N19</f>
        <v/>
      </c>
      <c r="G2686">
        <f>Calc!G19</f>
        <v/>
      </c>
      <c r="H2686">
        <f>Calc!H19</f>
        <v/>
      </c>
      <c r="I2686">
        <f>IF(Skills!T19&lt;&gt;"",1+(Skills!T19/10)*(Z2670/1000)/100,1)</f>
        <v/>
      </c>
      <c r="J2686" t="inlineStr"/>
      <c r="K2686" t="inlineStr"/>
      <c r="L2686" t="inlineStr"/>
      <c r="M2686" t="inlineStr"/>
      <c r="N2686" t="inlineStr"/>
      <c r="O2686">
        <f>(1-Summary!$B$11)*S2686+Summary!$B$11*U2686</f>
        <v/>
      </c>
      <c r="P2686">
        <f>IF(B2704=0,0,O2686/B2704)</f>
        <v/>
      </c>
      <c r="Q2686">
        <f>IFERROR(1/(IF(Inputs!$B$38="pvp",15,MAX(0.1,Skills!D19-IF(TRUE=TRUE,1.5,0)))*(1-IF(AND(ArtifactsInput!$M$27,Inputs!$B$4="Chapter Hunt"),CHOOSE(ArtifactsInput!$N$27+1,20,24,28,32,36,40),0)/100)),0)</f>
        <v/>
      </c>
      <c r="R2686" t="n">
        <v>0</v>
      </c>
      <c r="S2686" t="n">
        <v>0</v>
      </c>
      <c r="U2686" t="n">
        <v>0</v>
      </c>
    </row>
    <row r="2687">
      <c r="A2687">
        <f>Skills!A20</f>
        <v/>
      </c>
      <c r="B2687">
        <f>Skills!B20</f>
        <v/>
      </c>
      <c r="C2687">
        <f>Inputs!$B$3&gt;=74</f>
        <v/>
      </c>
      <c r="D2687">
        <f>IF(Skills!C20=1,60+Inputs!$B$25+Inputs!$B$29,IF(Skills!C20=2,90+Inputs!$B$26+Inputs!$B$29,IF(Skills!C20=3,120+Inputs!$B$27+Inputs!$B$29,MAX(0,(Inputs!$B$3-100)*3)+Inputs!$B$28+Inputs!$B$29)))</f>
        <v/>
      </c>
      <c r="E2687">
        <f>INDEX(FactorTable!$B$2:$Y$301, MATCH(ROUND(MIN(300,MAX(1,D2687)),0), FactorTable!$A$2:$A$301,0), Skills!L20+1)</f>
        <v/>
      </c>
      <c r="F2687">
        <f>IF(Skills!M20=TRUE,(Skills!K20/10)*(E2687/1000),Skills!K20/10)+Skills!N20</f>
        <v/>
      </c>
      <c r="G2687">
        <f>Calc!G20</f>
        <v/>
      </c>
      <c r="H2687">
        <f>Calc!H20</f>
        <v/>
      </c>
      <c r="I2687">
        <f>IF(Skills!T20&lt;&gt;"",1+(Skills!T20/10)*(Z2670/1000)/100,1)</f>
        <v/>
      </c>
      <c r="J2687" t="inlineStr"/>
      <c r="K2687" t="inlineStr"/>
      <c r="L2687" t="inlineStr"/>
      <c r="M2687" t="inlineStr"/>
      <c r="N2687" t="inlineStr"/>
      <c r="O2687">
        <f>(1-Summary!$B$11)*S2687+Summary!$B$11*U2687</f>
        <v/>
      </c>
      <c r="P2687">
        <f>IF(B2704=0,0,O2687/B2704)</f>
        <v/>
      </c>
      <c r="Q2687">
        <f>IFERROR(1/(IF(Inputs!$B$38="pvp",15,MAX(0.1,Skills!D20-IF(TRUE=TRUE,1.5,0)))*(1-IF(AND(ArtifactsInput!$M$27,Inputs!$B$4="Chapter Hunt"),CHOOSE(ArtifactsInput!$N$27+1,20,24,28,32,36,40),0)/100)),0)</f>
        <v/>
      </c>
      <c r="R2687" t="n">
        <v>0</v>
      </c>
      <c r="S2687" t="n">
        <v>0</v>
      </c>
      <c r="U2687" t="n">
        <v>0</v>
      </c>
    </row>
    <row r="2688">
      <c r="A2688">
        <f>Skills!A21</f>
        <v/>
      </c>
      <c r="B2688">
        <f>Skills!B21</f>
        <v/>
      </c>
      <c r="C2688">
        <f>Inputs!$B$3&gt;=74</f>
        <v/>
      </c>
      <c r="D2688">
        <f>IF(Skills!C21=1,60+Inputs!$B$25+Inputs!$B$29,IF(Skills!C21=2,90+Inputs!$B$26+Inputs!$B$29,IF(Skills!C21=3,120+Inputs!$B$27+Inputs!$B$29,MAX(0,(Inputs!$B$3-100)*3)+Inputs!$B$28+Inputs!$B$29)))</f>
        <v/>
      </c>
      <c r="E2688">
        <f>INDEX(FactorTable!$B$2:$Y$301, MATCH(ROUND(MIN(300,MAX(1,D2688)),0), FactorTable!$A$2:$A$301,0), Skills!L21+1)</f>
        <v/>
      </c>
      <c r="F2688">
        <f>IF(Skills!M21=TRUE,(Skills!K21/10)*(E2688/1000),Skills!K21/10)+Skills!N21</f>
        <v/>
      </c>
      <c r="G2688">
        <f>Calc!G21</f>
        <v/>
      </c>
      <c r="H2688">
        <f>Calc!H21</f>
        <v/>
      </c>
      <c r="I2688">
        <f>IF(Skills!T21&lt;&gt;"",1+(Skills!T21/10)*(Z2670/1000)/100,1)</f>
        <v/>
      </c>
      <c r="J2688" t="inlineStr"/>
      <c r="K2688" t="inlineStr"/>
      <c r="L2688" t="inlineStr"/>
      <c r="M2688" t="inlineStr"/>
      <c r="N2688" t="inlineStr"/>
      <c r="O2688">
        <f>(1-Summary!$B$11)*S2688+Summary!$B$11*U2688</f>
        <v/>
      </c>
      <c r="P2688">
        <f>IF(B2704=0,0,O2688/B2704)</f>
        <v/>
      </c>
      <c r="Q2688">
        <f>IFERROR(1/(IF(Inputs!$B$38="pvp",15,MAX(0.1,Skills!D21-IF(TRUE=TRUE,1.5,0)))*(1-IF(AND(ArtifactsInput!$M$27,Inputs!$B$4="Chapter Hunt"),CHOOSE(ArtifactsInput!$N$27+1,20,24,28,32,36,40),0)/100)),0)</f>
        <v/>
      </c>
      <c r="R2688" t="n">
        <v>0</v>
      </c>
      <c r="S2688" t="n">
        <v>0</v>
      </c>
      <c r="U2688" t="n">
        <v>0</v>
      </c>
    </row>
    <row r="2689">
      <c r="A2689">
        <f>Skills!A22</f>
        <v/>
      </c>
      <c r="B2689">
        <f>Skills!B22</f>
        <v/>
      </c>
      <c r="C2689">
        <f>Inputs!$B$3&gt;=117</f>
        <v/>
      </c>
      <c r="D2689">
        <f>IF(Skills!C22=1,60+Inputs!$B$25+Inputs!$B$29,IF(Skills!C22=2,90+Inputs!$B$26+Inputs!$B$29,IF(Skills!C22=3,120+Inputs!$B$27+Inputs!$B$29,MAX(0,(Inputs!$B$3-100)*3)+Inputs!$B$28+Inputs!$B$29)))</f>
        <v/>
      </c>
      <c r="E2689">
        <f>INDEX(FactorTable!$B$2:$Y$301, MATCH(ROUND(MIN(300,MAX(1,D2689)),0), FactorTable!$A$2:$A$301,0), Skills!L22+1)</f>
        <v/>
      </c>
      <c r="F2689">
        <f>IF(Skills!M22=TRUE,(Skills!K22/10)*(E2689/1000),Skills!K22/10)+Skills!N22</f>
        <v/>
      </c>
      <c r="G2689">
        <f>Calc!G22</f>
        <v/>
      </c>
      <c r="H2689">
        <f>Calc!H22</f>
        <v/>
      </c>
      <c r="I2689">
        <f>IF(Skills!T22&lt;&gt;"",1+(Skills!T22/10)*(Z2670/1000)/100,1)</f>
        <v/>
      </c>
      <c r="J2689" t="inlineStr"/>
      <c r="K2689" t="inlineStr"/>
      <c r="L2689" t="inlineStr"/>
      <c r="M2689" t="inlineStr"/>
      <c r="N2689" t="inlineStr"/>
      <c r="O2689">
        <f>(1-Summary!$B$11)*S2689+Summary!$B$11*U2689</f>
        <v/>
      </c>
      <c r="P2689">
        <f>IF(B2704=0,0,O2689/B2704)</f>
        <v/>
      </c>
      <c r="Q2689">
        <f>IFERROR(1/(IF(Inputs!$B$38="pvp",15,MAX(0.1,Skills!D22-IF(TRUE=TRUE,1.5,0)))*(1-IF(AND(ArtifactsInput!$M$27,Inputs!$B$4="Chapter Hunt"),CHOOSE(ArtifactsInput!$N$27+1,20,24,28,32,36,40),0)/100)),0)</f>
        <v/>
      </c>
      <c r="R2689" t="n">
        <v>0</v>
      </c>
      <c r="S2689" t="n">
        <v>0</v>
      </c>
      <c r="U2689" t="n">
        <v>0</v>
      </c>
    </row>
    <row r="2690">
      <c r="A2690">
        <f>Skills!A23</f>
        <v/>
      </c>
      <c r="B2690">
        <f>Skills!B23</f>
        <v/>
      </c>
      <c r="C2690">
        <f>Inputs!$B$3&gt;=120</f>
        <v/>
      </c>
      <c r="D2690">
        <f>IF(Skills!C23=1,60+Inputs!$B$25+Inputs!$B$29,IF(Skills!C23=2,90+Inputs!$B$26+Inputs!$B$29,IF(Skills!C23=3,120+Inputs!$B$27+Inputs!$B$29,MAX(0,(Inputs!$B$3-100)*3)+Inputs!$B$28+Inputs!$B$29)))</f>
        <v/>
      </c>
      <c r="E2690">
        <f>INDEX(FactorTable!$B$2:$Y$301, MATCH(ROUND(MIN(300,MAX(1,D2690)),0), FactorTable!$A$2:$A$301,0), Skills!L23+1)</f>
        <v/>
      </c>
      <c r="F2690">
        <f>IF(Skills!M23=TRUE,(Skills!K23/10)*(E2690/1000),Skills!K23/10)+Skills!N23</f>
        <v/>
      </c>
      <c r="G2690">
        <f>Calc!G23</f>
        <v/>
      </c>
      <c r="H2690">
        <f>Calc!H23</f>
        <v/>
      </c>
      <c r="I2690">
        <f>IF(Skills!T23&lt;&gt;"",1+(Skills!T23/10)*(Z2670/1000)/100,1)</f>
        <v/>
      </c>
      <c r="J2690" t="inlineStr"/>
      <c r="K2690" t="inlineStr"/>
      <c r="L2690" t="inlineStr"/>
      <c r="M2690" t="inlineStr"/>
      <c r="N2690" t="inlineStr"/>
      <c r="O2690">
        <f>(1-Summary!$B$11)*S2690+Summary!$B$11*U2690</f>
        <v/>
      </c>
      <c r="P2690">
        <f>IF(B2704=0,0,O2690/B2704)</f>
        <v/>
      </c>
      <c r="Q2690">
        <f>IFERROR(1/(IF(Inputs!$B$38="pvp",15,MAX(0.1,Skills!D23-IF(TRUE=TRUE,1.5,0)))*(1-IF(AND(ArtifactsInput!$M$27,Inputs!$B$4="Chapter Hunt"),CHOOSE(ArtifactsInput!$N$27+1,20,24,28,32,36,40),0)/100)),0)</f>
        <v/>
      </c>
      <c r="R2690" t="n">
        <v>0</v>
      </c>
      <c r="S2690" t="n">
        <v>0</v>
      </c>
      <c r="U2690" t="n">
        <v>0</v>
      </c>
    </row>
    <row r="2691">
      <c r="A2691">
        <f>Skills!A24</f>
        <v/>
      </c>
      <c r="B2691">
        <f>Skills!B24</f>
        <v/>
      </c>
      <c r="C2691">
        <f>TRUE</f>
        <v/>
      </c>
      <c r="D2691">
        <f>IF(Skills!C24=1,60+Inputs!$B$25+Inputs!$B$29,IF(Skills!C24=2,90+Inputs!$B$26+Inputs!$B$29,IF(Skills!C24=3,120+Inputs!$B$27+Inputs!$B$29,MAX(0,(Inputs!$B$3-100)*3)+Inputs!$B$28+Inputs!$B$29)))</f>
        <v/>
      </c>
      <c r="E2691">
        <f>INDEX(FactorTable!$B$2:$Y$301, MATCH(ROUND(MIN(300,MAX(1,D2691)),0), FactorTable!$A$2:$A$301,0), Skills!L24+1)</f>
        <v/>
      </c>
      <c r="F2691">
        <f>IF(Skills!M24=TRUE,(Skills!K24/10)*(E2691/1000),Skills!K24/10)+Skills!N24</f>
        <v/>
      </c>
      <c r="G2691">
        <f>Calc!G24</f>
        <v/>
      </c>
      <c r="H2691">
        <f>Calc!H24</f>
        <v/>
      </c>
      <c r="I2691">
        <f>IF(Skills!T24&lt;&gt;"",1+(Skills!T24/10)*(Z2670/1000)/100,1)</f>
        <v/>
      </c>
      <c r="J2691" t="inlineStr"/>
      <c r="K2691" t="inlineStr"/>
      <c r="L2691" t="inlineStr"/>
      <c r="M2691" t="inlineStr"/>
      <c r="N2691" t="inlineStr"/>
      <c r="O2691">
        <f>(1-Summary!$B$11)*S2691+Summary!$B$11*U2691</f>
        <v/>
      </c>
      <c r="P2691">
        <f>IF(B2704=0,0,O2691/B2704)</f>
        <v/>
      </c>
      <c r="Q2691">
        <f>IFERROR(1/(IF(Inputs!$B$38="pvp",15,MAX(0.1,Skills!D24-IF(TRUE=TRUE,1.5,0)))*(1-IF(AND(ArtifactsInput!$M$27,Inputs!$B$4="Chapter Hunt"),CHOOSE(ArtifactsInput!$N$27+1,20,24,28,32,36,40),0)/100)),0)</f>
        <v/>
      </c>
      <c r="R2691">
        <f>IF(AND(Inputs!$B$38&lt;&gt;"pvp",Inputs!$B$43&gt;0),IF(Inputs!$B$43&lt;=0,0,(INT(Inputs!$B$43/(IF(Inputs!$B$38="pvp",15,MAX(0.1,Skills!D24-IF(TRUE=TRUE,1.5,0)))*(1-IF(AND(ArtifactsInput!$M$27,Inputs!$B$4="Chapter Hunt"),CHOOSE(ArtifactsInput!$N$27+1,20,24,28,32,36,40),0)/100)))+1)),0)</f>
        <v/>
      </c>
      <c r="S2691" t="n">
        <v>0</v>
      </c>
      <c r="U2691" t="n">
        <v>0</v>
      </c>
    </row>
    <row r="2694">
      <c r="A2694" t="inlineStr">
        <is>
          <t>Average Buff Multiplier (Magic Guard + Meditation + Artifact Attack%, summed; then Infinity)</t>
        </is>
      </c>
      <c r="B2694">
        <f>(1+(IF(C2670=TRUE,F2670*IF(AND(Inputs!$B$38&lt;&gt;"pvp",Inputs!$B$43&gt;0),(((R2670-1)*MIN((Skills!S3*(1+(Inputs!$B$34)/100)),(1/Q2670))+MIN((Skills!S3*(1+(Inputs!$B$34)/100)),MAX(0,Inputs!$B$43-((R2670-1)*(1/Q2670)))))/Inputs!$B$43),IF(Inputs!$B$38="pvp",MIN((Skills!S3*(1+(Inputs!$B$34)/100)),15)/15,MIN(1,(Skills!S3*(1+(Inputs!$B$34)/100))/(1/Q2670)))),0)+IF(C2671=TRUE,F2671*IF(AND(Inputs!$B$38&lt;&gt;"pvp",Inputs!$B$43&gt;0),(((R2671-1)*MIN((Skills!S4*(1+(Inputs!$B$34)/100)),(1/Q2671))+MIN((Skills!S4*(1+(Inputs!$B$34)/100)),MAX(0,Inputs!$B$43-((R2671-1)*(1/Q2671)))))/Inputs!$B$43),IF(Inputs!$B$38="pvp",MIN((Skills!S4*(1+(Inputs!$B$34)/100)),15)/15,MIN(1,(Skills!S4*(1+(Inputs!$B$34)/100))/(1/Q2671)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2683=TRUE,(1+F2683*IF(AND(Inputs!$B$38&lt;&gt;"pvp",Inputs!$B$43&gt;0),(((R2683-1)*MIN((Skills!S16*(1+(Inputs!$B$34)/100)),(1/Q2683))+MIN((Skills!S16*(1+(Inputs!$B$34)/100)),MAX(0,Inputs!$B$43-((R2683-1)*(1/Q2683)))))/Inputs!$B$43),IF(Inputs!$B$38="pvp",MIN((Skills!S16*(1+(Inputs!$B$34)/100)),15)/15,MIN(1,(Skills!S16*(1+(Inputs!$B$34)/100))/(1/Q2683))))/100),1)</f>
        <v/>
      </c>
    </row>
    <row r="2695">
      <c r="A2695" t="inlineStr">
        <is>
          <t>Monster Damage Taken Bonus % (Freezing Breath - Weaken + Elemental Reset + Artifact Enemy Damage Taken, summed)</t>
        </is>
      </c>
      <c r="B2695">
        <f>IF(Inputs!$B$3&gt;=118,15*IF(Inputs!$B$38="pvp",MIN((30*(1+(Inputs!$B$34)/100)),15)/15,MIN(1,(30*(1+(Inputs!$B$34)/100))/(1/Q2675))),0)+IF(C2681=TRUE,F2681,0)+(IF(AND(ArtifactsInput!$M$35,Inputs!$B$4&lt;&gt;"Chapter Hunt"),CHOOSE(ArtifactsInput!$N$35+1,15,18,21,24,27,30)*(1-EXP(-(0.2*B2698)*5)),0)+IF(AND(ArtifactsInput!$M$22,Inputs!$B$4&lt;&gt;"Chapter Hunt"),CHOOSE(ArtifactsInput!$N$22+1,10,12,14,16,18,20)*((0*(((0.15*B2698*5))^0/1)+1*(((0.15*B2698*5))^1/1)+2*(((0.15*B2698*5))^2/2)+3*(((0.15*B2698*5))^3/6)+4*(((0.15*B2698*5))^4/24)+5*(((0.15*B2698*5))^5/120))/((((0.15*B2698*5))^0/1)+(((0.15*B2698*5))^1/1)+(((0.15*B2698*5))^2/2)+(((0.15*B2698*5))^3/6)+(((0.15*B2698*5))^4/24)+(((0.15*B2698*5))^5/120))),0))</f>
        <v/>
      </c>
    </row>
    <row r="2696">
      <c r="A2696" t="inlineStr">
        <is>
          <t>Damage % Bonus (Frozen Break + Frost Clutch, flat)</t>
        </is>
      </c>
      <c r="B2696">
        <f>IF(Inputs!$B$3&gt;=66,15,0)+IF(Inputs!$B$3&gt;=98,10,0)+IF(Inputs!$B$3&gt;=125,20,0)</f>
        <v/>
      </c>
    </row>
    <row r="2697">
      <c r="A2697" t="inlineStr">
        <is>
          <t>Attack Speed Bonus % (MP Eater - MP Boost, always-on + Nimble Feet, duty-cycle averaged)</t>
        </is>
      </c>
      <c r="B2697">
        <f>IF(C2680=TRUE,F2680+(F2684-Calc!F17),0)+((C2691=TRUE)*F2691*IF(AND(Inputs!$B$38&lt;&gt;"pvp",Inputs!$B$43&gt;0),(((R2691-1)*MIN((Skills!S24*(1+(Inputs!$B$34)/100)),(1/Q2691))+MIN((Skills!S24*(1+(Inputs!$B$34)/100)),MAX(0,Inputs!$B$43-((R2691-1)*(1/Q2691)))))/Inputs!$B$43),IF(Inputs!$B$38="pvp",MIN((Skills!S24*(1+(Inputs!$B$34)/100)),15)/15,MIN(1,(Skills!S24*(1+(Inputs!$B$34)/100))/(1/Q2691)))))</f>
        <v/>
      </c>
    </row>
    <row r="2698">
      <c r="A2698" t="inlineStr">
        <is>
          <t>Actions Per Second</t>
        </is>
      </c>
      <c r="B2698">
        <f>1+MIN(150,150*(1-(1-(Inputs!$B$11+(ArtifactsInput!$M$15-ArtifactsInput!$M$15)*CHOOSE(ArtifactsInput!$N$15+1,8,9.6,11.2,12.8,14.4,16))/150)*(1-B2697/150)))/100</f>
        <v/>
      </c>
    </row>
    <row r="2699">
      <c r="A2699" t="inlineStr">
        <is>
          <t>Skill + Buff Cast Rate</t>
        </is>
      </c>
      <c r="B2699">
        <f>IF(AND(Inputs!$B$38&lt;&gt;"pvp",Inputs!$B$43&gt;0),SUMPRODUCT((Skills!E2:E24=TRUE)*(C2669:C2691=TRUE)*R2669:R2691)/Inputs!$B$43,SUMPRODUCT((Skills!E2:E24=TRUE)*(C2669:C2691=TRUE)*Q2669:Q2691))</f>
        <v/>
      </c>
    </row>
    <row r="2700">
      <c r="A2700" t="inlineStr">
        <is>
          <t>Chain Lightning Casts Per Second</t>
        </is>
      </c>
      <c r="B2700">
        <f>MAX(0,B2698-B2699)</f>
        <v/>
      </c>
    </row>
    <row r="2701">
      <c r="A2701" t="inlineStr">
        <is>
          <t>Buff-Casting Startup Delay (s, fixed-duration only)</t>
        </is>
      </c>
      <c r="B2701">
        <f>IF(AND(Inputs!$B$38&lt;&gt;"pvp",Inputs!$B$43&gt;0),SUMPRODUCT((Skills!S2:S24&gt;0)*(Skills!E2:E24=TRUE)*(C2669:C2691=TRUE))/B2698,0)</f>
        <v/>
      </c>
    </row>
    <row r="2702">
      <c r="A2702" t="inlineStr">
        <is>
          <t>Boss-Only Total DPS (this block's swept value)</t>
        </is>
      </c>
      <c r="B2702">
        <f>SUM(S2669:S2691)</f>
        <v/>
      </c>
    </row>
    <row r="2703">
      <c r="A2703" t="inlineStr">
        <is>
          <t>Normal-Only Total DPS (this block's swept value)</t>
        </is>
      </c>
      <c r="B2703">
        <f>SUM(U2669:U2691)</f>
        <v/>
      </c>
    </row>
    <row r="2704">
      <c r="A2704" s="6" t="inlineStr">
        <is>
          <t>TOTAL DPS</t>
        </is>
      </c>
      <c r="B2704" s="6">
        <f>SUM(O2669:O2691)</f>
        <v/>
      </c>
    </row>
    <row r="2705">
      <c r="A2705" t="inlineStr">
        <is>
          <t>Blizzard Final Attack trigger rate (this block's own Q/R)</t>
        </is>
      </c>
      <c r="B2705">
        <f>IF(AND(Inputs!$B$38&lt;&gt;"pvp",Inputs!$B$43&gt;0),(((C2672=TRUE)*R2672*1)+((C2673=TRUE)*R2673*1)+((C2675=TRUE)*R2675*1)+((C2676=TRUE)*R2676*3)+((C2678=TRUE)*R2678*1))/Inputs!$B$43,((C2672=TRUE)*Q2672*1)+((C2673=TRUE)*Q2673*1)+((C2675=TRUE)*Q2675*1)+((C2676=TRUE)*Q2676*3)+((C2678=TRUE)*Q2678*1))+B2700</f>
        <v/>
      </c>
    </row>
    <row r="2708">
      <c r="A2708" s="6" t="inlineStr">
        <is>
          <t>Stat: CDR = 2.0s</t>
        </is>
      </c>
    </row>
    <row r="2709">
      <c r="A2709" s="5" t="inlineStr">
        <is>
          <t>Key</t>
        </is>
      </c>
      <c r="B2709" s="5" t="inlineStr">
        <is>
          <t>Name</t>
        </is>
      </c>
      <c r="C2709" s="5" t="inlineStr">
        <is>
          <t>Unlocked</t>
        </is>
      </c>
      <c r="D2709" s="5" t="inlineStr">
        <is>
          <t>InputLevel</t>
        </is>
      </c>
      <c r="E2709" s="5" t="inlineStr">
        <is>
          <t>Factor</t>
        </is>
      </c>
      <c r="F2709" s="5" t="inlineStr">
        <is>
          <t>CoefficientPercent</t>
        </is>
      </c>
      <c r="G2709" s="5" t="inlineStr">
        <is>
          <t>EffectiveHits</t>
        </is>
      </c>
      <c r="H2709" s="5" t="inlineStr">
        <is>
          <t>ProcProbability</t>
        </is>
      </c>
      <c r="I2709" s="5" t="inlineStr">
        <is>
          <t>MapleHeroMultiplier</t>
        </is>
      </c>
      <c r="J2709" s="5" t="inlineStr">
        <is>
          <t>BaseDamage</t>
        </is>
      </c>
      <c r="K2709" s="5" t="inlineStr">
        <is>
          <t>BaseHitDamage</t>
        </is>
      </c>
      <c r="L2709" s="5" t="inlineStr">
        <is>
          <t>NonCritAvg</t>
        </is>
      </c>
      <c r="M2709" s="5" t="inlineStr">
        <is>
          <t>CritAvg</t>
        </is>
      </c>
      <c r="N2709" s="5" t="inlineStr">
        <is>
          <t>ExpectedDamage(perHit)</t>
        </is>
      </c>
      <c r="O2709" s="5" t="inlineStr">
        <is>
          <t>DPS</t>
        </is>
      </c>
      <c r="P2709" s="5" t="inlineStr">
        <is>
          <t>% of Total</t>
        </is>
      </c>
      <c r="R2709" t="inlineStr">
        <is>
          <t>helpers</t>
        </is>
      </c>
    </row>
    <row r="2710">
      <c r="A2710">
        <f>Skills!A2</f>
        <v/>
      </c>
      <c r="B2710">
        <f>Skills!B2</f>
        <v/>
      </c>
      <c r="C2710">
        <f>Inputs!$B$3&gt;=100</f>
        <v/>
      </c>
      <c r="D2710" t="inlineStr"/>
      <c r="E2710" t="inlineStr"/>
      <c r="F2710">
        <f>T2712+Skills!N2</f>
        <v/>
      </c>
      <c r="G2710">
        <f>Calc!G2</f>
        <v/>
      </c>
      <c r="H2710">
        <f>Calc!H2</f>
        <v/>
      </c>
      <c r="I2710">
        <f>IF(Skills!T2&lt;&gt;"",1+(Skills!T2/10)*(Z2711/1000)/100,1)</f>
        <v/>
      </c>
      <c r="J2710">
        <f>((Inputs!$B$6*(1+Inputs!$B$7/100))+(((Inputs!$B$12*(1+Inputs!$B$13/100))-(Inputs!$B$12*(1+Inputs!$B$13/100)))+0.25*(Inputs!$B$14-Inputs!$B$14))*(1+Inputs!$B$7/100))*(F2710/100)</f>
        <v/>
      </c>
      <c r="K2710">
        <f>J2710*(1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2="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2710)</f>
        <v/>
      </c>
      <c r="L2710">
        <f>K2710*(MIN(Inputs!$B$22+(F2726-Calc!F18),(Inputs!$B$23+(IF(ArtifactsInput!$M$15,CHOOSE(ArtifactsInput!$N$15+1,25,30,35,40,45,50)/100*(Inputs!$B$11-Inputs!$B$11),0))))/100+(Inputs!$B$23+(IF(ArtifactsInput!$M$15,CHOOSE(ArtifactsInput!$N$15+1,25,30,35,40,45,50)/100*(Inputs!$B$11-Inputs!$B$11),0)))/100)/2</f>
        <v/>
      </c>
      <c r="M2710">
        <f>L2710*(1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0">
        <f>L2710*(1-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2710*(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0">
        <f>(1-Summary!$B$11)*S2710+Summary!$B$11*U2710</f>
        <v/>
      </c>
      <c r="P2710">
        <f>IF(B2745=0,0,O2710/B2745)</f>
        <v/>
      </c>
      <c r="Q2710">
        <f>IFERROR(1/(IF(Inputs!$B$38="pvp",15,MAX(0.1,Skills!D2-IF(TRUE=TRUE,2.0,0)))*(1-IF(AND(ArtifactsInput!$M$27,Inputs!$B$4="Chapter Hunt"),CHOOSE(ArtifactsInput!$N$27+1,20,24,28,32,36,40),0)/100)),0)</f>
        <v/>
      </c>
      <c r="R2710" t="n">
        <v>0</v>
      </c>
      <c r="S2710">
        <f>IF(C2710,(Skills!F2*N2710*B2741)*IF(Inputs!$B$38="pvp",1,1+(Inputs!$B$20+Skills!O2+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2710*(1-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2710*(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2710*(1-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2710*(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10">
        <f>MAX(0,(Inputs!$B$3-100)*3)+Inputs!$B$28+Inputs!$B$29</f>
        <v/>
      </c>
      <c r="U2710">
        <f>IF(C2710,(Skills!F2*N2710*B2741)*IF(Inputs!$B$38="pvp",1,(1+(Inputs!$B$21+Skills!P2+B2736+(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10">
        <f>MAX(0,(Inputs!$B$3-100)*3)+Inputs!$B$28+Inputs!$B$29</f>
        <v/>
      </c>
    </row>
    <row r="2711">
      <c r="A2711">
        <f>Skills!A3</f>
        <v/>
      </c>
      <c r="B2711">
        <f>Skills!B3</f>
        <v/>
      </c>
      <c r="C2711">
        <f>Inputs!$B$3&gt;=15</f>
        <v/>
      </c>
      <c r="D2711">
        <f>IF(Skills!C3=1,60+Inputs!$B$25+Inputs!$B$29,IF(Skills!C3=2,90+Inputs!$B$26+Inputs!$B$29,IF(Skills!C3=3,120+Inputs!$B$27+Inputs!$B$29,MAX(0,(Inputs!$B$3-100)*3)+Inputs!$B$28+Inputs!$B$29)))</f>
        <v/>
      </c>
      <c r="E2711">
        <f>INDEX(FactorTable!$B$2:$Y$301, MATCH(ROUND(MIN(300,MAX(1,D2711)),0), FactorTable!$A$2:$A$301,0), Skills!L3+1)</f>
        <v/>
      </c>
      <c r="F2711">
        <f>IF(Skills!M3=TRUE,(Skills!K3/10)*(E2711/1000),Skills!K3/10)+Skills!N3</f>
        <v/>
      </c>
      <c r="G2711">
        <f>Calc!G3</f>
        <v/>
      </c>
      <c r="H2711">
        <f>Calc!H3</f>
        <v/>
      </c>
      <c r="I2711">
        <f>IF(Skills!T3&lt;&gt;"",1+(Skills!T3/10)*(Z2711/1000)/100,1)</f>
        <v/>
      </c>
      <c r="J2711" t="inlineStr"/>
      <c r="K2711" t="inlineStr"/>
      <c r="L2711" t="inlineStr"/>
      <c r="M2711" t="inlineStr"/>
      <c r="N2711" t="inlineStr"/>
      <c r="O2711">
        <f>(1-Summary!$B$11)*S2711+Summary!$B$11*U2711</f>
        <v/>
      </c>
      <c r="P2711">
        <f>IF(B2745=0,0,O2711/B2745)</f>
        <v/>
      </c>
      <c r="Q2711">
        <f>IFERROR(1/(IF(Inputs!$B$38="pvp",15,MAX(0.1,Skills!D3-IF(TRUE=TRUE,2.0,0)))*(1-IF(AND(ArtifactsInput!$M$27,Inputs!$B$4="Chapter Hunt"),CHOOSE(ArtifactsInput!$N$27+1,20,24,28,32,36,40),0)/100)),0)</f>
        <v/>
      </c>
      <c r="R2711">
        <f>IF(AND(Inputs!$B$38&lt;&gt;"pvp",Inputs!$B$43&gt;0),IF(Inputs!$B$43&lt;=0,0,(INT(Inputs!$B$43/(IF(Inputs!$B$38="pvp",15,MAX(0.1,Skills!D3-IF(TRUE=TRUE,2.0,0)))*(1-IF(AND(ArtifactsInput!$M$27,Inputs!$B$4="Chapter Hunt"),CHOOSE(ArtifactsInput!$N$27+1,20,24,28,32,36,40),0)/100)))+1)),0)</f>
        <v/>
      </c>
      <c r="S2711" t="n">
        <v>0</v>
      </c>
      <c r="T2711">
        <f>INDEX(FactorTable!$B$2:$Y$301, MATCH(ROUND(MIN(300,MAX(1,T2710)),0), FactorTable!$A$2:$A$301,0), 22)</f>
        <v/>
      </c>
      <c r="U2711" t="n">
        <v>0</v>
      </c>
      <c r="Z2711">
        <f>INDEX(FactorTable!$B$2:$Y$301, MATCH(ROUND(MIN(300,MAX(1,Z2710)),0), FactorTable!$A$2:$A$301,0), 24)</f>
        <v/>
      </c>
    </row>
    <row r="2712">
      <c r="A2712">
        <f>Skills!A4</f>
        <v/>
      </c>
      <c r="B2712">
        <f>Skills!B4</f>
        <v/>
      </c>
      <c r="C2712">
        <f>Inputs!$B$3&gt;=40</f>
        <v/>
      </c>
      <c r="D2712">
        <f>IF(Skills!C4=1,60+Inputs!$B$25+Inputs!$B$29,IF(Skills!C4=2,90+Inputs!$B$26+Inputs!$B$29,IF(Skills!C4=3,120+Inputs!$B$27+Inputs!$B$29,MAX(0,(Inputs!$B$3-100)*3)+Inputs!$B$28+Inputs!$B$29)))</f>
        <v/>
      </c>
      <c r="E2712">
        <f>INDEX(FactorTable!$B$2:$Y$301, MATCH(ROUND(MIN(300,MAX(1,D2712)),0), FactorTable!$A$2:$A$301,0), Skills!L4+1)</f>
        <v/>
      </c>
      <c r="F2712">
        <f>IF(Skills!M4=TRUE,(Skills!K4/10)*(E2712/1000),Skills!K4/10)+Skills!N4</f>
        <v/>
      </c>
      <c r="G2712">
        <f>Calc!G4</f>
        <v/>
      </c>
      <c r="H2712">
        <f>Calc!H4</f>
        <v/>
      </c>
      <c r="I2712">
        <f>IF(Skills!T4&lt;&gt;"",1+(Skills!T4/10)*(Z2711/1000)/100,1)</f>
        <v/>
      </c>
      <c r="J2712" t="inlineStr"/>
      <c r="K2712" t="inlineStr"/>
      <c r="L2712" t="inlineStr"/>
      <c r="M2712" t="inlineStr"/>
      <c r="N2712" t="inlineStr"/>
      <c r="O2712">
        <f>(1-Summary!$B$11)*S2712+Summary!$B$11*U2712</f>
        <v/>
      </c>
      <c r="P2712">
        <f>IF(B2745=0,0,O2712/B2745)</f>
        <v/>
      </c>
      <c r="Q2712">
        <f>IFERROR(1/(IF(Inputs!$B$38="pvp",15,MAX(0.1,Skills!D4-IF(TRUE=TRUE,2.0,0)))*(1-IF(AND(ArtifactsInput!$M$27,Inputs!$B$4="Chapter Hunt"),CHOOSE(ArtifactsInput!$N$27+1,20,24,28,32,36,40),0)/100)),0)</f>
        <v/>
      </c>
      <c r="R2712">
        <f>IF(AND(Inputs!$B$38&lt;&gt;"pvp",Inputs!$B$43&gt;0),IF(Inputs!$B$43&lt;=0,0,(INT(Inputs!$B$43/(IF(Inputs!$B$38="pvp",15,MAX(0.1,Skills!D4-IF(TRUE=TRUE,2.0,0)))*(1-IF(AND(ArtifactsInput!$M$27,Inputs!$B$4="Chapter Hunt"),CHOOSE(ArtifactsInput!$N$27+1,20,24,28,32,36,40),0)/100)))+1)),0)</f>
        <v/>
      </c>
      <c r="S2712" t="n">
        <v>0</v>
      </c>
      <c r="T2712">
        <f>290*T2711/1000</f>
        <v/>
      </c>
      <c r="U2712" t="n">
        <v>0</v>
      </c>
    </row>
    <row r="2713">
      <c r="A2713">
        <f>Skills!A5</f>
        <v/>
      </c>
      <c r="B2713">
        <f>Skills!B5</f>
        <v/>
      </c>
      <c r="C2713">
        <f>Inputs!$B$3&gt;=38</f>
        <v/>
      </c>
      <c r="D2713">
        <f>IF(Skills!C5=1,60+Inputs!$B$25+Inputs!$B$29,IF(Skills!C5=2,90+Inputs!$B$26+Inputs!$B$29,IF(Skills!C5=3,120+Inputs!$B$27+Inputs!$B$29,MAX(0,(Inputs!$B$3-100)*3)+Inputs!$B$28+Inputs!$B$29)))</f>
        <v/>
      </c>
      <c r="E2713">
        <f>INDEX(FactorTable!$B$2:$Y$301, MATCH(ROUND(MIN(300,MAX(1,D2713)),0), FactorTable!$A$2:$A$301,0), Skills!L5+1)</f>
        <v/>
      </c>
      <c r="F2713">
        <f>IF(Skills!M5=TRUE,(Skills!K5/10)*(E2713/1000),Skills!K5/10)+Skills!N5</f>
        <v/>
      </c>
      <c r="G2713">
        <f>Calc!G5</f>
        <v/>
      </c>
      <c r="H2713">
        <f>Calc!H5</f>
        <v/>
      </c>
      <c r="I2713">
        <f>IF(Skills!T5&lt;&gt;"",1+(Skills!T5/10)*(Z2711/1000)/100,1)</f>
        <v/>
      </c>
      <c r="J2713">
        <f>((Inputs!$B$6*(1+Inputs!$B$7/100))+(((Inputs!$B$12*(1+Inputs!$B$13/100))-(Inputs!$B$12*(1+Inputs!$B$13/100)))+0.25*(Inputs!$B$14-Inputs!$B$14))*(1+Inputs!$B$7/100))*(F2713/100)</f>
        <v/>
      </c>
      <c r="K2713">
        <f>J2713*(1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5="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2713)</f>
        <v/>
      </c>
      <c r="L2713">
        <f>K2713*(MIN(Inputs!$B$22+(F2726-Calc!F18),(Inputs!$B$23+(IF(ArtifactsInput!$M$15,CHOOSE(ArtifactsInput!$N$15+1,25,30,35,40,45,50)/100*(Inputs!$B$11-Inputs!$B$11),0))))/100+(Inputs!$B$23+(IF(ArtifactsInput!$M$15,CHOOSE(ArtifactsInput!$N$15+1,25,30,35,40,45,50)/100*(Inputs!$B$11-Inputs!$B$11),0)))/100)/2</f>
        <v/>
      </c>
      <c r="M2713">
        <f>L2713*(1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3">
        <f>L2713*(1-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2713*(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3">
        <f>(1-Summary!$B$11)*S2713+Summary!$B$11*U2713</f>
        <v/>
      </c>
      <c r="P2713">
        <f>IF(B2745=0,0,O2713/B2745)</f>
        <v/>
      </c>
      <c r="Q2713">
        <f>IFERROR(1/(IF(Inputs!$B$38="pvp",15,MAX(0.1,Skills!D5-IF(TRUE=TRUE,2.0,0)))*(1-IF(AND(ArtifactsInput!$M$27,Inputs!$B$4="Chapter Hunt"),CHOOSE(ArtifactsInput!$N$27+1,20,24,28,32,36,40),0)/100)),0)</f>
        <v/>
      </c>
      <c r="R2713">
        <f>IF(AND(Inputs!$B$38&lt;&gt;"pvp",Inputs!$B$43&gt;0),IF(MAX(0,Inputs!$B$43-B2742)&lt;=0,0,(INT(MAX(0,Inputs!$B$43-B2742)/(IF(Inputs!$B$38="pvp",15,MAX(0.1,Skills!D5-IF(TRUE=TRUE,2.0,0)))*(1-IF(AND(ArtifactsInput!$M$27,Inputs!$B$4="Chapter Hunt"),CHOOSE(ArtifactsInput!$N$27+1,20,24,28,32,36,40),0)/100)))+1)),0)</f>
        <v/>
      </c>
      <c r="S2713">
        <f>IF(C2713,(H2713*N2713*IF(AND(Inputs!$B$38&lt;&gt;"pvp",Inputs!$B$43&gt;0),((Skills!F5*((R2713-1)*IF(Skills!G5&gt;0,Skills!H5/Skills!G5,1)+IF(Skills!G5&gt;0,MIN(Skills!H5,MAX(0,MAX(0,Inputs!$B$43-B2742)-((R2713-1)*(IF(Inputs!$B$38="pvp",15,MAX(0.1,Skills!D5-IF(TRUE=TRUE,2.0,0)))*(1-IF(AND(ArtifactsInput!$M$27,Inputs!$B$4="Chapter Hunt"),CHOOSE(ArtifactsInput!$N$27+1,20,24,28,32,36,40),0)/100)))))/Skills!G5,1)))/Inputs!$B$43),G2713*Q2713))*IF(Inputs!$B$38="pvp",1,1+(Inputs!$B$20+Skills!O5+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2713*(1-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2713*(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2713*(1-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2713*(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3">
        <f>IF(C2713,(H2713*N2713*IF(AND(Inputs!$B$38&lt;&gt;"pvp",Inputs!$B$43&gt;0),((Skills!F5*((R2713-1)*IF(Skills!G5&gt;0,Skills!H5/Skills!G5,1)+IF(Skills!G5&gt;0,MIN(Skills!H5,MAX(0,MAX(0,Inputs!$B$43-B2742)-((R2713-1)*(IF(Inputs!$B$38="pvp",15,MAX(0.1,Skills!D5-IF(TRUE=TRUE,2.0,0)))*(1-IF(AND(ArtifactsInput!$M$27,Inputs!$B$4="Chapter Hunt"),CHOOSE(ArtifactsInput!$N$27+1,20,24,28,32,36,40),0)/100)))))/Skills!G5,1)))/Inputs!$B$43),G2713*Q2713))*IF(Inputs!$B$38="pvp",1,(1+(Inputs!$B$21+Skills!P5+B2736+(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4">
      <c r="A2714">
        <f>Skills!A6</f>
        <v/>
      </c>
      <c r="B2714">
        <f>Skills!B6</f>
        <v/>
      </c>
      <c r="C2714">
        <f>Inputs!$B$3&gt;=63</f>
        <v/>
      </c>
      <c r="D2714">
        <f>IF(Skills!C6=1,60+Inputs!$B$25+Inputs!$B$29,IF(Skills!C6=2,90+Inputs!$B$26+Inputs!$B$29,IF(Skills!C6=3,120+Inputs!$B$27+Inputs!$B$29,MAX(0,(Inputs!$B$3-100)*3)+Inputs!$B$28+Inputs!$B$29)))</f>
        <v/>
      </c>
      <c r="E2714">
        <f>INDEX(FactorTable!$B$2:$Y$301, MATCH(ROUND(MIN(300,MAX(1,D2714)),0), FactorTable!$A$2:$A$301,0), Skills!L6+1)</f>
        <v/>
      </c>
      <c r="F2714">
        <f>IF(Skills!M6=TRUE,(Skills!K6/10)*(E2714/1000),Skills!K6/10)+Skills!N6</f>
        <v/>
      </c>
      <c r="G2714">
        <f>Calc!G6</f>
        <v/>
      </c>
      <c r="H2714">
        <f>Calc!H6</f>
        <v/>
      </c>
      <c r="I2714">
        <f>IF(Skills!T6&lt;&gt;"",1+(Skills!T6/10)*(Z2711/1000)/100,1)</f>
        <v/>
      </c>
      <c r="J2714">
        <f>((Inputs!$B$6*(1+Inputs!$B$7/100))+(((Inputs!$B$12*(1+Inputs!$B$13/100))-(Inputs!$B$12*(1+Inputs!$B$13/100)))+0.25*(Inputs!$B$14-Inputs!$B$14))*(1+Inputs!$B$7/100))*(F2714/100)</f>
        <v/>
      </c>
      <c r="K2714">
        <f>J2714*(1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6="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2714)</f>
        <v/>
      </c>
      <c r="L2714">
        <f>K2714*(MIN(Inputs!$B$22+(F2726-Calc!F18),(Inputs!$B$23+(IF(ArtifactsInput!$M$15,CHOOSE(ArtifactsInput!$N$15+1,25,30,35,40,45,50)/100*(Inputs!$B$11-Inputs!$B$11),0))))/100+(Inputs!$B$23+(IF(ArtifactsInput!$M$15,CHOOSE(ArtifactsInput!$N$15+1,25,30,35,40,45,50)/100*(Inputs!$B$11-Inputs!$B$11),0)))/100)/2</f>
        <v/>
      </c>
      <c r="M2714">
        <f>L2714*(1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4">
        <f>L2714*(1-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2714*(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4">
        <f>(1-Summary!$B$11)*S2714+Summary!$B$11*U2714</f>
        <v/>
      </c>
      <c r="P2714">
        <f>IF(B2745=0,0,O2714/B2745)</f>
        <v/>
      </c>
      <c r="Q2714">
        <f>IFERROR(1/(IF(Inputs!$B$38="pvp",15,MAX(0.1,Skills!D6-IF(TRUE=TRUE,2.0,0)))*(1-IF(AND(ArtifactsInput!$M$27,Inputs!$B$4="Chapter Hunt"),CHOOSE(ArtifactsInput!$N$27+1,20,24,28,32,36,40),0)/100)),0)</f>
        <v/>
      </c>
      <c r="R2714">
        <f>IF(AND(Inputs!$B$38&lt;&gt;"pvp",Inputs!$B$43&gt;0),IF(MAX(0,Inputs!$B$43-B2742)&lt;=0,0,(INT(MAX(0,Inputs!$B$43-B2742)/(IF(Inputs!$B$38="pvp",15,MAX(0.1,Skills!D6-IF(TRUE=TRUE,2.0,0)))*(1-IF(AND(ArtifactsInput!$M$27,Inputs!$B$4="Chapter Hunt"),CHOOSE(ArtifactsInput!$N$27+1,20,24,28,32,36,40),0)/100)))+1)),0)</f>
        <v/>
      </c>
      <c r="S2714">
        <f>IF(C2714,(H2714*N2714*IF(AND(Inputs!$B$38&lt;&gt;"pvp",Inputs!$B$43&gt;0),((Skills!F6*((R2714-1)*IF(Skills!G6&gt;0,Skills!H6/Skills!G6,1)+IF(Skills!G6&gt;0,MIN(Skills!H6,MAX(0,MAX(0,Inputs!$B$43-B2742)-((R2714-1)*(IF(Inputs!$B$38="pvp",15,MAX(0.1,Skills!D6-IF(TRUE=TRUE,2.0,0)))*(1-IF(AND(ArtifactsInput!$M$27,Inputs!$B$4="Chapter Hunt"),CHOOSE(ArtifactsInput!$N$27+1,20,24,28,32,36,40),0)/100)))))/Skills!G6,1)))/Inputs!$B$43),G2714*Q2714))*IF(Inputs!$B$38="pvp",1,1+(Inputs!$B$20+Skills!O6+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2714*(1-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2714*(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2714*(1-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2714*(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4">
        <f>IF(C2714,(H2714*N2714*IF(AND(Inputs!$B$38&lt;&gt;"pvp",Inputs!$B$43&gt;0),((Skills!F6*((R2714-1)*IF(Skills!G6&gt;0,Skills!H6/Skills!G6,1)+IF(Skills!G6&gt;0,MIN(Skills!H6,MAX(0,MAX(0,Inputs!$B$43-B2742)-((R2714-1)*(IF(Inputs!$B$38="pvp",15,MAX(0.1,Skills!D6-IF(TRUE=TRUE,2.0,0)))*(1-IF(AND(ArtifactsInput!$M$27,Inputs!$B$4="Chapter Hunt"),CHOOSE(ArtifactsInput!$N$27+1,20,24,28,32,36,40),0)/100)))))/Skills!G6,1)))/Inputs!$B$43),G2714*Q2714))*IF(Inputs!$B$38="pvp",1,(1+(Inputs!$B$21+Skills!P6+B2736+(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5">
      <c r="A2715">
        <f>Skills!A7</f>
        <v/>
      </c>
      <c r="B2715">
        <f>Skills!B7</f>
        <v/>
      </c>
      <c r="C2715">
        <f>Inputs!$B$3&gt;=69</f>
        <v/>
      </c>
      <c r="D2715">
        <f>IF(Skills!C7=1,60+Inputs!$B$25+Inputs!$B$29,IF(Skills!C7=2,90+Inputs!$B$26+Inputs!$B$29,IF(Skills!C7=3,120+Inputs!$B$27+Inputs!$B$29,MAX(0,(Inputs!$B$3-100)*3)+Inputs!$B$28+Inputs!$B$29)))</f>
        <v/>
      </c>
      <c r="E2715">
        <f>INDEX(FactorTable!$B$2:$Y$301, MATCH(ROUND(MIN(300,MAX(1,D2715)),0), FactorTable!$A$2:$A$301,0), Skills!L7+1)</f>
        <v/>
      </c>
      <c r="F2715">
        <f>IF(Skills!M7=TRUE,(Skills!K7/10)*(E2715/1000),Skills!K7/10)+Skills!N7</f>
        <v/>
      </c>
      <c r="G2715">
        <f>Calc!G7</f>
        <v/>
      </c>
      <c r="H2715">
        <f>Calc!H7</f>
        <v/>
      </c>
      <c r="I2715">
        <f>IF(Skills!T7&lt;&gt;"",1+(Skills!T7/10)*(Z2711/1000)/100,1)</f>
        <v/>
      </c>
      <c r="J2715">
        <f>((Inputs!$B$6*(1+Inputs!$B$7/100))+(((Inputs!$B$12*(1+Inputs!$B$13/100))-(Inputs!$B$12*(1+Inputs!$B$13/100)))+0.25*(Inputs!$B$14-Inputs!$B$14))*(1+Inputs!$B$7/100))*(F2715/100)</f>
        <v/>
      </c>
      <c r="K2715">
        <f>J2715*(1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7="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2715)</f>
        <v/>
      </c>
      <c r="L2715">
        <f>K2715*(MIN(Inputs!$B$22+(F2726-Calc!F18),(Inputs!$B$23+(IF(ArtifactsInput!$M$15,CHOOSE(ArtifactsInput!$N$15+1,25,30,35,40,45,50)/100*(Inputs!$B$11-Inputs!$B$11),0))))/100+(Inputs!$B$23+(IF(ArtifactsInput!$M$15,CHOOSE(ArtifactsInput!$N$15+1,25,30,35,40,45,50)/100*(Inputs!$B$11-Inputs!$B$11),0)))/100)/2</f>
        <v/>
      </c>
      <c r="M2715">
        <f>L2715*(1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5">
        <f>L2715*(1-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2715*(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5">
        <f>(1-Summary!$B$11)*S2715+Summary!$B$11*U2715</f>
        <v/>
      </c>
      <c r="P2715">
        <f>IF(B2745=0,0,O2715/B2745)</f>
        <v/>
      </c>
      <c r="Q2715">
        <f>IFERROR(1/(IF(Inputs!$B$38="pvp",15,MAX(0.1,Skills!D7-IF(TRUE=TRUE,2.0,0)))*(1-IF(AND(ArtifactsInput!$M$27,Inputs!$B$4="Chapter Hunt"),CHOOSE(ArtifactsInput!$N$27+1,20,24,28,32,36,40),0)/100)),0)</f>
        <v/>
      </c>
      <c r="R2715">
        <f>IF(AND(Inputs!$B$38&lt;&gt;"pvp",Inputs!$B$43&gt;0),IF(MAX(0,Inputs!$B$43-B2742)&lt;=0,0,(INT(MAX(0,Inputs!$B$43-B2742)/(IF(Inputs!$B$38="pvp",15,MAX(0.1,Skills!D7-IF(TRUE=TRUE,2.0,0)))*(1-IF(AND(ArtifactsInput!$M$27,Inputs!$B$4="Chapter Hunt"),CHOOSE(ArtifactsInput!$N$27+1,20,24,28,32,36,40),0)/100)))+1)),0)</f>
        <v/>
      </c>
      <c r="S2715">
        <f>IF(C2715,(H2715*N2715*IF(AND(Inputs!$B$38&lt;&gt;"pvp",Inputs!$B$43&gt;0),((Skills!F7*((R2715-1)*IF(Skills!G7&gt;0,Skills!H7/Skills!G7,1)+IF(Skills!G7&gt;0,MIN(Skills!H7,MAX(0,MAX(0,Inputs!$B$43-B2742)-((R2715-1)*(IF(Inputs!$B$38="pvp",15,MAX(0.1,Skills!D7-IF(TRUE=TRUE,2.0,0)))*(1-IF(AND(ArtifactsInput!$M$27,Inputs!$B$4="Chapter Hunt"),CHOOSE(ArtifactsInput!$N$27+1,20,24,28,32,36,40),0)/100)))))/Skills!G7,1)))/Inputs!$B$43),G2715*Q2715))*IF(Inputs!$B$38="pvp",1,1+(Inputs!$B$20+Skills!O7+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2715*(1-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2715*(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2715*(1-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2715*(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5">
        <f>IF(C2715,(H2715*N2715*IF(AND(Inputs!$B$38&lt;&gt;"pvp",Inputs!$B$43&gt;0),((Skills!F7*((R2715-1)*IF(Skills!G7&gt;0,Skills!H7/Skills!G7,1)+IF(Skills!G7&gt;0,MIN(Skills!H7,MAX(0,MAX(0,Inputs!$B$43-B2742)-((R2715-1)*(IF(Inputs!$B$38="pvp",15,MAX(0.1,Skills!D7-IF(TRUE=TRUE,2.0,0)))*(1-IF(AND(ArtifactsInput!$M$27,Inputs!$B$4="Chapter Hunt"),CHOOSE(ArtifactsInput!$N$27+1,20,24,28,32,36,40),0)/100)))))/Skills!G7,1)))/Inputs!$B$43),G2715*Q2715))*IF(Inputs!$B$38="pvp",1,(1+(Inputs!$B$21+Skills!P7+B2736+(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6">
      <c r="A2716">
        <f>Skills!A8</f>
        <v/>
      </c>
      <c r="B2716">
        <f>Skills!B8</f>
        <v/>
      </c>
      <c r="C2716">
        <f>Inputs!$B$3&gt;=103</f>
        <v/>
      </c>
      <c r="D2716">
        <f>IF(Skills!C8=1,60+Inputs!$B$25+Inputs!$B$29,IF(Skills!C8=2,90+Inputs!$B$26+Inputs!$B$29,IF(Skills!C8=3,120+Inputs!$B$27+Inputs!$B$29,MAX(0,(Inputs!$B$3-100)*3)+Inputs!$B$28+Inputs!$B$29)))</f>
        <v/>
      </c>
      <c r="E2716">
        <f>INDEX(FactorTable!$B$2:$Y$301, MATCH(ROUND(MIN(300,MAX(1,D2716)),0), FactorTable!$A$2:$A$301,0), Skills!L8+1)</f>
        <v/>
      </c>
      <c r="F2716">
        <f>IF(Skills!M8=TRUE,(Skills!K8/10)*(E2716/1000),Skills!K8/10)+Skills!N8</f>
        <v/>
      </c>
      <c r="G2716">
        <f>Calc!G8</f>
        <v/>
      </c>
      <c r="H2716">
        <f>Calc!H8</f>
        <v/>
      </c>
      <c r="I2716">
        <f>IF(Skills!T8&lt;&gt;"",1+(Skills!T8/10)*(Z2711/1000)/100,1)</f>
        <v/>
      </c>
      <c r="J2716">
        <f>((Inputs!$B$6*(1+Inputs!$B$7/100))+(((Inputs!$B$12*(1+Inputs!$B$13/100))-(Inputs!$B$12*(1+Inputs!$B$13/100)))+0.25*(Inputs!$B$14-Inputs!$B$14))*(1+Inputs!$B$7/100))*(F2716/100)</f>
        <v/>
      </c>
      <c r="K2716">
        <f>J2716*(1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8="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2716)</f>
        <v/>
      </c>
      <c r="L2716">
        <f>K2716*(MIN(Inputs!$B$22+(F2726-Calc!F18),(Inputs!$B$23+(IF(ArtifactsInput!$M$15,CHOOSE(ArtifactsInput!$N$15+1,25,30,35,40,45,50)/100*(Inputs!$B$11-Inputs!$B$11),0))))/100+(Inputs!$B$23+(IF(ArtifactsInput!$M$15,CHOOSE(ArtifactsInput!$N$15+1,25,30,35,40,45,50)/100*(Inputs!$B$11-Inputs!$B$11),0)))/100)/2</f>
        <v/>
      </c>
      <c r="M2716">
        <f>L2716*(1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6">
        <f>L2716*(1-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2716*(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6">
        <f>(1-Summary!$B$11)*S2716+Summary!$B$11*U2716</f>
        <v/>
      </c>
      <c r="P2716">
        <f>IF(B2745=0,0,O2716/B2745)</f>
        <v/>
      </c>
      <c r="Q2716">
        <f>IFERROR(1/(IF(Inputs!$B$38="pvp",15,MAX(0.1,Skills!D8-IF(TRUE=TRUE,2.0,0)))*(1-IF(AND(ArtifactsInput!$M$27,Inputs!$B$4="Chapter Hunt"),CHOOSE(ArtifactsInput!$N$27+1,20,24,28,32,36,40),0)/100)),0)</f>
        <v/>
      </c>
      <c r="R2716">
        <f>IF(AND(Inputs!$B$38&lt;&gt;"pvp",Inputs!$B$43&gt;0),IF(MAX(0,Inputs!$B$43-B2742)&lt;=0,0,(INT(MAX(0,Inputs!$B$43-B2742)/(IF(Inputs!$B$38="pvp",15,MAX(0.1,Skills!D8-IF(TRUE=TRUE,2.0,0)))*(1-IF(AND(ArtifactsInput!$M$27,Inputs!$B$4="Chapter Hunt"),CHOOSE(ArtifactsInput!$N$27+1,20,24,28,32,36,40),0)/100)))+1)),0)</f>
        <v/>
      </c>
      <c r="S2716">
        <f>IF(C2716,(H2716*N2716*IF(AND(Inputs!$B$38&lt;&gt;"pvp",Inputs!$B$43&gt;0),((Skills!F8*((R2716-1)*IF(Skills!G8&gt;0,Skills!H8/Skills!G8,1)+IF(Skills!G8&gt;0,MIN(Skills!H8,MAX(0,MAX(0,Inputs!$B$43-B2742)-((R2716-1)*(IF(Inputs!$B$38="pvp",15,MAX(0.1,Skills!D8-IF(TRUE=TRUE,2.0,0)))*(1-IF(AND(ArtifactsInput!$M$27,Inputs!$B$4="Chapter Hunt"),CHOOSE(ArtifactsInput!$N$27+1,20,24,28,32,36,40),0)/100)))))/Skills!G8,1)))/Inputs!$B$43),G2716*Q2716))*IF(Inputs!$B$38="pvp",1,1+(Inputs!$B$20+Skills!O8+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2716*(1-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2716*(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2716*(1-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2716*(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6">
        <f>IF(C2716,(H2716*N2716*IF(AND(Inputs!$B$38&lt;&gt;"pvp",Inputs!$B$43&gt;0),((Skills!F8*((R2716-1)*IF(Skills!G8&gt;0,Skills!H8/Skills!G8,1)+IF(Skills!G8&gt;0,MIN(Skills!H8,MAX(0,MAX(0,Inputs!$B$43-B2742)-((R2716-1)*(IF(Inputs!$B$38="pvp",15,MAX(0.1,Skills!D8-IF(TRUE=TRUE,2.0,0)))*(1-IF(AND(ArtifactsInput!$M$27,Inputs!$B$4="Chapter Hunt"),CHOOSE(ArtifactsInput!$N$27+1,20,24,28,32,36,40),0)/100)))))/Skills!G8,1)))/Inputs!$B$43),G2716*Q2716))*IF(Inputs!$B$38="pvp",1,(1+(Inputs!$B$21+Skills!P8+B2736+(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7">
      <c r="A2717">
        <f>Skills!A9</f>
        <v/>
      </c>
      <c r="B2717">
        <f>Skills!B9</f>
        <v/>
      </c>
      <c r="C2717">
        <f>Inputs!$B$3&gt;=105</f>
        <v/>
      </c>
      <c r="D2717">
        <f>IF(Skills!C9=1,60+Inputs!$B$25+Inputs!$B$29,IF(Skills!C9=2,90+Inputs!$B$26+Inputs!$B$29,IF(Skills!C9=3,120+Inputs!$B$27+Inputs!$B$29,MAX(0,(Inputs!$B$3-100)*3)+Inputs!$B$28+Inputs!$B$29)))</f>
        <v/>
      </c>
      <c r="E2717">
        <f>INDEX(FactorTable!$B$2:$Y$301, MATCH(ROUND(MIN(300,MAX(1,D2717)),0), FactorTable!$A$2:$A$301,0), Skills!L9+1)</f>
        <v/>
      </c>
      <c r="F2717">
        <f>IF(Skills!M9=TRUE,(Skills!K9/10)*(E2717/1000),Skills!K9/10)+Skills!N9</f>
        <v/>
      </c>
      <c r="G2717">
        <f>Calc!G9</f>
        <v/>
      </c>
      <c r="H2717">
        <f>Calc!H9</f>
        <v/>
      </c>
      <c r="I2717">
        <f>IF(Skills!T9&lt;&gt;"",1+(Skills!T9/10)*(Z2711/1000)/100,1)</f>
        <v/>
      </c>
      <c r="J2717">
        <f>((Inputs!$B$6*(1+Inputs!$B$7/100))+(((Inputs!$B$12*(1+Inputs!$B$13/100))-(Inputs!$B$12*(1+Inputs!$B$13/100)))+0.25*(Inputs!$B$14-Inputs!$B$14))*(1+Inputs!$B$7/100))*(F2717/100)</f>
        <v/>
      </c>
      <c r="K2717">
        <f>J2717*(1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9="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2717)</f>
        <v/>
      </c>
      <c r="L2717">
        <f>K2717*(MIN(Inputs!$B$22+(F2726-Calc!F18),(Inputs!$B$23+(IF(ArtifactsInput!$M$15,CHOOSE(ArtifactsInput!$N$15+1,25,30,35,40,45,50)/100*(Inputs!$B$11-Inputs!$B$11),0))))/100+(Inputs!$B$23+(IF(ArtifactsInput!$M$15,CHOOSE(ArtifactsInput!$N$15+1,25,30,35,40,45,50)/100*(Inputs!$B$11-Inputs!$B$11),0)))/100)/2</f>
        <v/>
      </c>
      <c r="M2717">
        <f>L2717*(1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7">
        <f>L2717*(1-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2717*(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7">
        <f>(1-Summary!$B$11)*S2717+Summary!$B$11*U2717</f>
        <v/>
      </c>
      <c r="P2717">
        <f>IF(B2745=0,0,O2717/B2745)</f>
        <v/>
      </c>
      <c r="Q2717">
        <f>IFERROR(1/(IF(Inputs!$B$38="pvp",15,MAX(0.1,Skills!D9-IF(TRUE=TRUE,2.0,0)))*(1-IF(AND(ArtifactsInput!$M$27,Inputs!$B$4="Chapter Hunt"),CHOOSE(ArtifactsInput!$N$27+1,20,24,28,32,36,40),0)/100)),0)</f>
        <v/>
      </c>
      <c r="R2717">
        <f>IF(AND(Inputs!$B$38&lt;&gt;"pvp",Inputs!$B$43&gt;0),IF(MAX(0,Inputs!$B$43-B2742)&lt;=0,0,(INT(MAX(0,Inputs!$B$43-B2742)/(IF(Inputs!$B$38="pvp",15,MAX(0.1,Skills!D9-IF(TRUE=TRUE,2.0,0)))*(1-IF(AND(ArtifactsInput!$M$27,Inputs!$B$4="Chapter Hunt"),CHOOSE(ArtifactsInput!$N$27+1,20,24,28,32,36,40),0)/100)))+1)),0)</f>
        <v/>
      </c>
      <c r="S2717">
        <f>IF(C2717,(H2717*N2717*IF(AND(Inputs!$B$38&lt;&gt;"pvp",Inputs!$B$43&gt;0),((Skills!F9*((R2717-1)*IF(Skills!G9&gt;0,Skills!H9/Skills!G9,1)+IF(Skills!G9&gt;0,MIN(Skills!H9,MAX(0,MAX(0,Inputs!$B$43-B2742)-((R2717-1)*(IF(Inputs!$B$38="pvp",15,MAX(0.1,Skills!D9-IF(TRUE=TRUE,2.0,0)))*(1-IF(AND(ArtifactsInput!$M$27,Inputs!$B$4="Chapter Hunt"),CHOOSE(ArtifactsInput!$N$27+1,20,24,28,32,36,40),0)/100)))))/Skills!G9,1)))/Inputs!$B$43),G2717*Q2717))*IF(Inputs!$B$38="pvp",1,1+(Inputs!$B$20+Skills!O9+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2717*(1-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2717*(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2717*(1-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2717*(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7">
        <f>IF(C2717,(H2717*N2717*IF(AND(Inputs!$B$38&lt;&gt;"pvp",Inputs!$B$43&gt;0),((Skills!F9*((R2717-1)*IF(Skills!G9&gt;0,Skills!H9/Skills!G9,1)+IF(Skills!G9&gt;0,MIN(Skills!H9,MAX(0,MAX(0,Inputs!$B$43-B2742)-((R2717-1)*(IF(Inputs!$B$38="pvp",15,MAX(0.1,Skills!D9-IF(TRUE=TRUE,2.0,0)))*(1-IF(AND(ArtifactsInput!$M$27,Inputs!$B$4="Chapter Hunt"),CHOOSE(ArtifactsInput!$N$27+1,20,24,28,32,36,40),0)/100)))))/Skills!G9,1)))/Inputs!$B$43),G2717*Q2717))*IF(Inputs!$B$38="pvp",1,(1+(Inputs!$B$21+Skills!P9+B2736+(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8">
      <c r="A2718">
        <f>Skills!A10</f>
        <v/>
      </c>
      <c r="B2718">
        <f>Skills!B10</f>
        <v/>
      </c>
      <c r="C2718">
        <f>Inputs!$B$3&gt;=113</f>
        <v/>
      </c>
      <c r="D2718">
        <f>IF(Skills!C10=1,60+Inputs!$B$25+Inputs!$B$29,IF(Skills!C10=2,90+Inputs!$B$26+Inputs!$B$29,IF(Skills!C10=3,120+Inputs!$B$27+Inputs!$B$29,MAX(0,(Inputs!$B$3-100)*3)+Inputs!$B$28+Inputs!$B$29)))</f>
        <v/>
      </c>
      <c r="E2718">
        <f>INDEX(FactorTable!$B$2:$Y$301, MATCH(ROUND(MIN(300,MAX(1,D2718)),0), FactorTable!$A$2:$A$301,0), Skills!L10+1)</f>
        <v/>
      </c>
      <c r="F2718">
        <f>IF(Skills!M10=TRUE,(Skills!K10/10)*(E2718/1000),Skills!K10/10)+Skills!N10</f>
        <v/>
      </c>
      <c r="G2718">
        <f>Calc!G10</f>
        <v/>
      </c>
      <c r="H2718">
        <f>Calc!H10</f>
        <v/>
      </c>
      <c r="I2718">
        <f>IF(Skills!T10&lt;&gt;"",1+(Skills!T10/10)*(Z2711/1000)/100,1)</f>
        <v/>
      </c>
      <c r="J2718">
        <f>((Inputs!$B$6*(1+Inputs!$B$7/100))+(((Inputs!$B$12*(1+Inputs!$B$13/100))-(Inputs!$B$12*(1+Inputs!$B$13/100)))+0.25*(Inputs!$B$14-Inputs!$B$14))*(1+Inputs!$B$7/100))*(F2718/100)</f>
        <v/>
      </c>
      <c r="K2718">
        <f>J2718*(1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10="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2718)</f>
        <v/>
      </c>
      <c r="L2718">
        <f>K2718*(MIN(Inputs!$B$22+(F2726-Calc!F18),(Inputs!$B$23+(IF(ArtifactsInput!$M$15,CHOOSE(ArtifactsInput!$N$15+1,25,30,35,40,45,50)/100*(Inputs!$B$11-Inputs!$B$11),0))))/100+(Inputs!$B$23+(IF(ArtifactsInput!$M$15,CHOOSE(ArtifactsInput!$N$15+1,25,30,35,40,45,50)/100*(Inputs!$B$11-Inputs!$B$11),0)))/100)/2</f>
        <v/>
      </c>
      <c r="M2718">
        <f>L2718*(1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8">
        <f>L2718*(1-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2718*(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8">
        <f>(1-Summary!$B$11)*S2718+Summary!$B$11*U2718</f>
        <v/>
      </c>
      <c r="P2718">
        <f>IF(B2745=0,0,O2718/B2745)</f>
        <v/>
      </c>
      <c r="Q2718">
        <f>IFERROR(1/(IF(Inputs!$B$38="pvp",15,MAX(0.1,Skills!D10-IF(TRUE=TRUE,2.0,0)))*(1-IF(AND(ArtifactsInput!$M$27,Inputs!$B$4="Chapter Hunt"),CHOOSE(ArtifactsInput!$N$27+1,20,24,28,32,36,40),0)/100)),0)</f>
        <v/>
      </c>
      <c r="R2718" t="n">
        <v>0</v>
      </c>
      <c r="S2718">
        <f>IF(C2718,((H2718*B2746)/(1+Skills!G10*H2718*B2746)*N2718)*IF(Inputs!$B$38="pvp",1,1+(Inputs!$B$20+Skills!O10+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2718*(1-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2718*(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2718*(1-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2718*(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8">
        <f>IF(C2718,((H2718*B2746)/(1+Skills!G10*H2718*B2746)*N2718)*IF(Inputs!$B$38="pvp",1,(1+(Inputs!$B$21+Skills!P10+B2736+(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19">
      <c r="A2719">
        <f>Skills!A11</f>
        <v/>
      </c>
      <c r="B2719">
        <f>Skills!B11</f>
        <v/>
      </c>
      <c r="C2719">
        <f>Inputs!$B$3&gt;=107</f>
        <v/>
      </c>
      <c r="D2719">
        <f>IF(Skills!C11=1,60+Inputs!$B$25+Inputs!$B$29,IF(Skills!C11=2,90+Inputs!$B$26+Inputs!$B$29,IF(Skills!C11=3,120+Inputs!$B$27+Inputs!$B$29,MAX(0,(Inputs!$B$3-100)*3)+Inputs!$B$28+Inputs!$B$29)))</f>
        <v/>
      </c>
      <c r="E2719">
        <f>INDEX(FactorTable!$B$2:$Y$301, MATCH(ROUND(MIN(300,MAX(1,D2719)),0), FactorTable!$A$2:$A$301,0), Skills!L11+1)</f>
        <v/>
      </c>
      <c r="F2719">
        <f>IF(Skills!M11=TRUE,(Skills!K11/10)*(E2719/1000),Skills!K11/10)+Skills!N11</f>
        <v/>
      </c>
      <c r="G2719">
        <f>Calc!G11</f>
        <v/>
      </c>
      <c r="H2719">
        <f>Calc!H11</f>
        <v/>
      </c>
      <c r="I2719">
        <f>IF(Skills!T11&lt;&gt;"",1+(Skills!T11/10)*(Z2711/1000)/100,1)</f>
        <v/>
      </c>
      <c r="J2719">
        <f>((Inputs!$B$6*(1+Inputs!$B$7/100))+(((Inputs!$B$12*(1+Inputs!$B$13/100))-(Inputs!$B$12*(1+Inputs!$B$13/100)))+0.25*(Inputs!$B$14-Inputs!$B$14))*(1+Inputs!$B$7/100))*(F2719/100)</f>
        <v/>
      </c>
      <c r="K2719">
        <f>J2719*(1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11="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2719)</f>
        <v/>
      </c>
      <c r="L2719">
        <f>K2719*(MIN(Inputs!$B$22+(F2726-Calc!F18),(Inputs!$B$23+(IF(ArtifactsInput!$M$15,CHOOSE(ArtifactsInput!$N$15+1,25,30,35,40,45,50)/100*(Inputs!$B$11-Inputs!$B$11),0))))/100+(Inputs!$B$23+(IF(ArtifactsInput!$M$15,CHOOSE(ArtifactsInput!$N$15+1,25,30,35,40,45,50)/100*(Inputs!$B$11-Inputs!$B$11),0)))/100)/2</f>
        <v/>
      </c>
      <c r="M2719">
        <f>L2719*(1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19">
        <f>L2719*(1-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2719*(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19">
        <f>(1-Summary!$B$11)*S2719+Summary!$B$11*U2719</f>
        <v/>
      </c>
      <c r="P2719">
        <f>IF(B2745=0,0,O2719/B2745)</f>
        <v/>
      </c>
      <c r="Q2719">
        <f>IFERROR(1/(IF(Inputs!$B$38="pvp",15,MAX(0.1,Skills!D11-IF(TRUE=TRUE,2.0,0)))*(1-IF(AND(ArtifactsInput!$M$27,Inputs!$B$4="Chapter Hunt"),CHOOSE(ArtifactsInput!$N$27+1,20,24,28,32,36,40),0)/100)),0)</f>
        <v/>
      </c>
      <c r="R2719">
        <f>IF(AND(Inputs!$B$38&lt;&gt;"pvp",Inputs!$B$43&gt;0),IF(MAX(0,Inputs!$B$43-B2742)&lt;=0,0,(INT(MAX(0,Inputs!$B$43-B2742)/(IF(Inputs!$B$38="pvp",15,MAX(0.1,Skills!D11-IF(TRUE=TRUE,2.0,0)))*(1-IF(AND(ArtifactsInput!$M$27,Inputs!$B$4="Chapter Hunt"),CHOOSE(ArtifactsInput!$N$27+1,20,24,28,32,36,40),0)/100)))+1)),0)</f>
        <v/>
      </c>
      <c r="S2719">
        <f>IF(C2719,H2719*N2719*IF(AND(Inputs!$B$38&lt;&gt;"pvp",Inputs!$B$43&gt;0),((Skills!F11*((R2719-1)*IF(Skills!G11&gt;0,Skills!H11/Skills!G11,1)+IF(Skills!G11&gt;0,MIN(Skills!H11,MAX(0,MAX(0,Inputs!$B$43-B2742)-((R2719-1)*(IF(Inputs!$B$38="pvp",15,MAX(0.1,Skills!D11-IF(TRUE=TRUE,2.0,0)))*(1-IF(AND(ArtifactsInput!$M$27,Inputs!$B$4="Chapter Hunt"),CHOOSE(ArtifactsInput!$N$27+1,20,24,28,32,36,40),0)/100)))))/Skills!G11,1)))/Inputs!$B$43),G2719*Q2719)*0.5*IF(Inputs!$B$38="pvp",1,1+(Inputs!$B$20+Skills!O11+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2719*(1-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2719*(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2719*(1-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2719*(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19">
        <f>IF(C2719,H2719*N2719*IF(AND(Inputs!$B$38&lt;&gt;"pvp",Inputs!$B$43&gt;0),((Skills!F11*((R2719-1)*IF(Skills!G11&gt;0,Skills!H11/Skills!G11,1)+IF(Skills!G11&gt;0,MIN(Skills!H11,MAX(0,MAX(0,Inputs!$B$43-B2742)-((R2719-1)*(IF(Inputs!$B$38="pvp",15,MAX(0.1,Skills!D11-IF(TRUE=TRUE,2.0,0)))*(1-IF(AND(ArtifactsInput!$M$27,Inputs!$B$4="Chapter Hunt"),CHOOSE(ArtifactsInput!$N$27+1,20,24,28,32,36,40),0)/100)))))/Skills!G11,1)))/Inputs!$B$43),G2719*Q2719)*1*IF(Inputs!$B$38="pvp",1,(1+(Inputs!$B$21+Skills!P11+B2736+(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0">
      <c r="A2720">
        <f>Skills!A12</f>
        <v/>
      </c>
      <c r="B2720">
        <f>Skills!B12</f>
        <v/>
      </c>
      <c r="C2720">
        <f>Inputs!$B$3&gt;=115</f>
        <v/>
      </c>
      <c r="D2720">
        <f>IF(Skills!C12=1,60+Inputs!$B$25+Inputs!$B$29,IF(Skills!C12=2,90+Inputs!$B$26+Inputs!$B$29,IF(Skills!C12=3,120+Inputs!$B$27+Inputs!$B$29,MAX(0,(Inputs!$B$3-100)*3)+Inputs!$B$28+Inputs!$B$29)))</f>
        <v/>
      </c>
      <c r="E2720">
        <f>INDEX(FactorTable!$B$2:$Y$301, MATCH(ROUND(MIN(300,MAX(1,D2720)),0), FactorTable!$A$2:$A$301,0), Skills!L12+1)</f>
        <v/>
      </c>
      <c r="F2720">
        <f>IF(Skills!M12=TRUE,(Skills!K12/10)*(E2720/1000),Skills!K12/10)+Skills!N12</f>
        <v/>
      </c>
      <c r="G2720">
        <f>Calc!G12</f>
        <v/>
      </c>
      <c r="H2720">
        <f>Calc!H12</f>
        <v/>
      </c>
      <c r="I2720">
        <f>IF(Skills!T12&lt;&gt;"",1+(Skills!T12/10)*(Z2711/1000)/100,1)</f>
        <v/>
      </c>
      <c r="J2720">
        <f>((Inputs!$B$6*(1+Inputs!$B$7/100))+(((Inputs!$B$12*(1+Inputs!$B$13/100))-(Inputs!$B$12*(1+Inputs!$B$13/100)))+0.25*(Inputs!$B$14-Inputs!$B$14))*(1+Inputs!$B$7/100))*(F2720/100)</f>
        <v/>
      </c>
      <c r="K2720">
        <f>J2720*(1+((Inputs!$B$12*(1+Inputs!$B$13/100))*0.01+Inputs!$B$14*0.0025)/100)*(1+(Inputs!$B$15+B2737)/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2723=TRUE,F2723,0)/100)*(1+IF(C2731=TRUE,F2731,0)/100)^5*(1+(IF(Skills!A12="CHAIN_LIGHTNING",Inputs!$B$17+((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2735*(1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2720)</f>
        <v/>
      </c>
      <c r="L2720">
        <f>K2720*(MIN(Inputs!$B$22+(F2726-Calc!F18),(Inputs!$B$23+(IF(ArtifactsInput!$M$15,CHOOSE(ArtifactsInput!$N$15+1,25,30,35,40,45,50)/100*(Inputs!$B$11-Inputs!$B$11),0))))/100+(Inputs!$B$23+(IF(ArtifactsInput!$M$15,CHOOSE(ArtifactsInput!$N$15+1,25,30,35,40,45,50)/100*(Inputs!$B$11-Inputs!$B$11),0)))/100)/2</f>
        <v/>
      </c>
      <c r="M2720">
        <f>L2720*(1+(Inputs!$B$10+(F2729-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0">
        <f>L2720*(1-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2720*(MIN((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0">
        <f>(1-Summary!$B$11)*S2720+Summary!$B$11*U2720</f>
        <v/>
      </c>
      <c r="P2720">
        <f>IF(B2745=0,0,O2720/B2745)</f>
        <v/>
      </c>
      <c r="Q2720">
        <f>IFERROR(1/(IF(Inputs!$B$38="pvp",15,MAX(0.1,Skills!D12-IF(TRUE=TRUE,2.0,0)))*(1-IF(AND(ArtifactsInput!$M$27,Inputs!$B$4="Chapter Hunt"),CHOOSE(ArtifactsInput!$N$27+1,20,24,28,32,36,40),0)/100)),0)</f>
        <v/>
      </c>
      <c r="R2720">
        <f>IF(AND(Inputs!$B$38&lt;&gt;"pvp",Inputs!$B$43&gt;0),IF(MAX(0,Inputs!$B$43-B2742)&lt;=0,0,(INT(MAX(0,Inputs!$B$43-B2742)/(IF(Inputs!$B$38="pvp",15,MAX(0.1,Skills!D12-IF(TRUE=TRUE,2.0,0)))*(1-IF(AND(ArtifactsInput!$M$27,Inputs!$B$4="Chapter Hunt"),CHOOSE(ArtifactsInput!$N$27+1,20,24,28,32,36,40),0)/100)))+1)),0)</f>
        <v/>
      </c>
      <c r="S2720">
        <f>IF(C2720,(H2720*N2720*IF(AND(Inputs!$B$38&lt;&gt;"pvp",Inputs!$B$43&gt;0),((Skills!F12*((R2720-1)*IF(Skills!G12&gt;0,Skills!H12/Skills!G12,1)+IF(Skills!G12&gt;0,MIN(Skills!H12,MAX(0,MAX(0,Inputs!$B$43-B2742)-((R2720-1)*(IF(Inputs!$B$38="pvp",15,MAX(0.1,Skills!D12-IF(TRUE=TRUE,2.0,0)))*(1-IF(AND(ArtifactsInput!$M$27,Inputs!$B$4="Chapter Hunt"),CHOOSE(ArtifactsInput!$N$27+1,20,24,28,32,36,40),0)/100)))))/Skills!G12,1)))/Inputs!$B$43),G2720*Q2720))*IF(Inputs!$B$38="pvp",1,1+(Inputs!$B$20+Skills!O12+B2736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2720*(1-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2720*(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2720*(1-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2720*(MIN(100,(Inputs!$B$9+((F2728-Calc!F20)+(F2727-Calc!F19))+(ArtifactsInput!$M$24-ArtifactsInput!$M$24)*CHOOSE(ArtifactsInput!$N$24+1,10,12,14,16,18,20)+(IF(AND(Inputs!$B$38&lt;&gt;"pvp",Inputs!$B$43=0),1,IF(IF(Inputs!$B$38="pvp",15,Inputs!$B$43)-(B2742)&lt;=0,1,MAX(0,IF(Inputs!$B$38="pvp",15,Inputs!$B$43)-MAX(5,B2742))/(IF(Inputs!$B$38="pvp",15,Inputs!$B$43)-(B2742))))*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0">
        <f>IF(C2720,(H2720*N2720*IF(AND(Inputs!$B$38&lt;&gt;"pvp",Inputs!$B$43&gt;0),((Skills!F12*((R2720-1)*IF(Skills!G12&gt;0,Skills!H12/Skills!G12,1)+IF(Skills!G12&gt;0,MIN(Skills!H12,MAX(0,MAX(0,Inputs!$B$43-B2742)-((R2720-1)*(IF(Inputs!$B$38="pvp",15,MAX(0.1,Skills!D12-IF(TRUE=TRUE,2.0,0)))*(1-IF(AND(ArtifactsInput!$M$27,Inputs!$B$4="Chapter Hunt"),CHOOSE(ArtifactsInput!$N$27+1,20,24,28,32,36,40),0)/100)))))/Skills!G12,1)))/Inputs!$B$43),G2720*Q2720))*IF(Inputs!$B$38="pvp",1,(1+(Inputs!$B$21+Skills!P12+B2736+(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1">
      <c r="A2721">
        <f>Skills!A13</f>
        <v/>
      </c>
      <c r="B2721">
        <f>Skills!B13</f>
        <v/>
      </c>
      <c r="C2721">
        <f>Inputs!$B$3&gt;=49</f>
        <v/>
      </c>
      <c r="D2721">
        <f>IF(Skills!C13=1,60+Inputs!$B$25+Inputs!$B$29,IF(Skills!C13=2,90+Inputs!$B$26+Inputs!$B$29,IF(Skills!C13=3,120+Inputs!$B$27+Inputs!$B$29,MAX(0,(Inputs!$B$3-100)*3)+Inputs!$B$28+Inputs!$B$29)))</f>
        <v/>
      </c>
      <c r="E2721">
        <f>INDEX(FactorTable!$B$2:$Y$301, MATCH(ROUND(MIN(300,MAX(1,D2721)),0), FactorTable!$A$2:$A$301,0), Skills!L13+1)</f>
        <v/>
      </c>
      <c r="F2721">
        <f>IF(Skills!M13=TRUE,(Skills!K13/10)*(E2721/1000),Skills!K13/10)+Skills!N13</f>
        <v/>
      </c>
      <c r="G2721">
        <f>Calc!G13</f>
        <v/>
      </c>
      <c r="H2721">
        <f>Calc!H13</f>
        <v/>
      </c>
      <c r="I2721">
        <f>IF(Skills!T13&lt;&gt;"",1+(Skills!T13/10)*(Z2711/1000)/100,1)</f>
        <v/>
      </c>
      <c r="J2721" t="inlineStr"/>
      <c r="K2721" t="inlineStr"/>
      <c r="L2721" t="inlineStr"/>
      <c r="M2721" t="inlineStr"/>
      <c r="N2721" t="inlineStr"/>
      <c r="O2721">
        <f>(1-Summary!$B$11)*S2721+Summary!$B$11*U2721</f>
        <v/>
      </c>
      <c r="P2721">
        <f>IF(B2745=0,0,O2721/B2745)</f>
        <v/>
      </c>
      <c r="Q2721">
        <f>IFERROR(1/(IF(Inputs!$B$38="pvp",15,MAX(0.1,Skills!D13-IF(TRUE=TRUE,2.0,0)))*(1-IF(AND(ArtifactsInput!$M$27,Inputs!$B$4="Chapter Hunt"),CHOOSE(ArtifactsInput!$N$27+1,20,24,28,32,36,40),0)/100)),0)</f>
        <v/>
      </c>
      <c r="R2721" t="n">
        <v>0</v>
      </c>
      <c r="S2721" t="n">
        <v>0</v>
      </c>
      <c r="U2721" t="n">
        <v>0</v>
      </c>
    </row>
    <row r="2722">
      <c r="A2722">
        <f>Skills!A14</f>
        <v/>
      </c>
      <c r="B2722">
        <f>Skills!B14</f>
        <v/>
      </c>
      <c r="C2722">
        <f>Inputs!$B$3&gt;=72</f>
        <v/>
      </c>
      <c r="D2722">
        <f>IF(Skills!C14=1,60+Inputs!$B$25+Inputs!$B$29,IF(Skills!C14=2,90+Inputs!$B$26+Inputs!$B$29,IF(Skills!C14=3,120+Inputs!$B$27+Inputs!$B$29,MAX(0,(Inputs!$B$3-100)*3)+Inputs!$B$28+Inputs!$B$29)))</f>
        <v/>
      </c>
      <c r="E2722">
        <f>INDEX(FactorTable!$B$2:$Y$301, MATCH(ROUND(MIN(300,MAX(1,D2722)),0), FactorTable!$A$2:$A$301,0), Skills!L14+1)</f>
        <v/>
      </c>
      <c r="F2722">
        <f>IF(Skills!M14=TRUE,(Skills!K14/10)*(E2722/1000),Skills!K14/10)+Skills!N14</f>
        <v/>
      </c>
      <c r="G2722">
        <f>Calc!G14</f>
        <v/>
      </c>
      <c r="H2722">
        <f>Calc!H14</f>
        <v/>
      </c>
      <c r="I2722">
        <f>IF(Skills!T14&lt;&gt;"",1+(Skills!T14/10)*(Z2711/1000)/100,1)</f>
        <v/>
      </c>
      <c r="J2722" t="inlineStr"/>
      <c r="K2722" t="inlineStr"/>
      <c r="L2722" t="inlineStr"/>
      <c r="M2722" t="inlineStr"/>
      <c r="N2722" t="inlineStr"/>
      <c r="O2722">
        <f>(1-Summary!$B$11)*S2722+Summary!$B$11*U2722</f>
        <v/>
      </c>
      <c r="P2722">
        <f>IF(B2745=0,0,O2722/B2745)</f>
        <v/>
      </c>
      <c r="Q2722">
        <f>IFERROR(1/(IF(Inputs!$B$38="pvp",15,MAX(0.1,Skills!D14-IF(TRUE=TRUE,2.0,0)))*(1-IF(AND(ArtifactsInput!$M$27,Inputs!$B$4="Chapter Hunt"),CHOOSE(ArtifactsInput!$N$27+1,20,24,28,32,36,40),0)/100)),0)</f>
        <v/>
      </c>
      <c r="R2722" t="n">
        <v>0</v>
      </c>
      <c r="S2722" t="n">
        <v>0</v>
      </c>
      <c r="U2722" t="n">
        <v>0</v>
      </c>
    </row>
    <row r="2723">
      <c r="A2723">
        <f>Skills!A15</f>
        <v/>
      </c>
      <c r="B2723">
        <f>Skills!B15</f>
        <v/>
      </c>
      <c r="C2723">
        <f>Inputs!$B$3&gt;=75</f>
        <v/>
      </c>
      <c r="D2723">
        <f>IF(Skills!C15=1,60+Inputs!$B$25+Inputs!$B$29,IF(Skills!C15=2,90+Inputs!$B$26+Inputs!$B$29,IF(Skills!C15=3,120+Inputs!$B$27+Inputs!$B$29,MAX(0,(Inputs!$B$3-100)*3)+Inputs!$B$28+Inputs!$B$29)))</f>
        <v/>
      </c>
      <c r="E2723">
        <f>INDEX(FactorTable!$B$2:$Y$301, MATCH(ROUND(MIN(300,MAX(1,D2723)),0), FactorTable!$A$2:$A$301,0), Skills!L15+1)</f>
        <v/>
      </c>
      <c r="F2723">
        <f>IF(Skills!M15=TRUE,(Skills!K15/10)*(E2723/1000),Skills!K15/10)+Skills!N15</f>
        <v/>
      </c>
      <c r="G2723">
        <f>Calc!G15</f>
        <v/>
      </c>
      <c r="H2723">
        <f>Calc!H15</f>
        <v/>
      </c>
      <c r="I2723">
        <f>IF(Skills!T15&lt;&gt;"",1+(Skills!T15/10)*(Z2711/1000)/100,1)</f>
        <v/>
      </c>
      <c r="J2723" t="inlineStr"/>
      <c r="K2723" t="inlineStr"/>
      <c r="L2723" t="inlineStr"/>
      <c r="M2723" t="inlineStr"/>
      <c r="N2723" t="inlineStr"/>
      <c r="O2723">
        <f>(1-Summary!$B$11)*S2723+Summary!$B$11*U2723</f>
        <v/>
      </c>
      <c r="P2723">
        <f>IF(B2745=0,0,O2723/B2745)</f>
        <v/>
      </c>
      <c r="Q2723">
        <f>IFERROR(1/(IF(Inputs!$B$38="pvp",15,MAX(0.1,Skills!D15-IF(TRUE=TRUE,2.0,0)))*(1-IF(AND(ArtifactsInput!$M$27,Inputs!$B$4="Chapter Hunt"),CHOOSE(ArtifactsInput!$N$27+1,20,24,28,32,36,40),0)/100)),0)</f>
        <v/>
      </c>
      <c r="R2723" t="n">
        <v>0</v>
      </c>
      <c r="S2723" t="n">
        <v>0</v>
      </c>
      <c r="U2723" t="n">
        <v>0</v>
      </c>
    </row>
    <row r="2724">
      <c r="A2724">
        <f>Skills!A16</f>
        <v/>
      </c>
      <c r="B2724">
        <f>Skills!B16</f>
        <v/>
      </c>
      <c r="C2724">
        <f>Inputs!$B$3&gt;=110</f>
        <v/>
      </c>
      <c r="D2724">
        <f>IF(Skills!C16=1,60+Inputs!$B$25+Inputs!$B$29,IF(Skills!C16=2,90+Inputs!$B$26+Inputs!$B$29,IF(Skills!C16=3,120+Inputs!$B$27+Inputs!$B$29,MAX(0,(Inputs!$B$3-100)*3)+Inputs!$B$28+Inputs!$B$29)))</f>
        <v/>
      </c>
      <c r="E2724">
        <f>INDEX(FactorTable!$B$2:$Y$301, MATCH(ROUND(MIN(300,MAX(1,D2724)),0), FactorTable!$A$2:$A$301,0), Skills!L16+1)</f>
        <v/>
      </c>
      <c r="F2724">
        <f>(Skills!K16/10)*(E2724/1000)*64/45+Skills!N16</f>
        <v/>
      </c>
      <c r="G2724">
        <f>Calc!G16</f>
        <v/>
      </c>
      <c r="H2724">
        <f>Calc!H16</f>
        <v/>
      </c>
      <c r="I2724">
        <f>IF(Skills!T16&lt;&gt;"",1+(Skills!T16/10)*(Z2711/1000)/100,1)</f>
        <v/>
      </c>
      <c r="J2724" t="inlineStr"/>
      <c r="K2724" t="inlineStr"/>
      <c r="L2724" t="inlineStr"/>
      <c r="M2724" t="inlineStr"/>
      <c r="N2724" t="inlineStr"/>
      <c r="O2724">
        <f>(1-Summary!$B$11)*S2724+Summary!$B$11*U2724</f>
        <v/>
      </c>
      <c r="P2724">
        <f>IF(B2745=0,0,O2724/B2745)</f>
        <v/>
      </c>
      <c r="Q2724">
        <f>IFERROR(1/(IF(Inputs!$B$38="pvp",15,MAX(0.1,Skills!D16-IF(TRUE=TRUE,2.0,0)))*(1-IF(AND(ArtifactsInput!$M$27,Inputs!$B$4="Chapter Hunt"),CHOOSE(ArtifactsInput!$N$27+1,20,24,28,32,36,40),0)/100)),0)</f>
        <v/>
      </c>
      <c r="R2724">
        <f>IF(AND(Inputs!$B$38&lt;&gt;"pvp",Inputs!$B$43&gt;0),IF(Inputs!$B$43&lt;=0,0,(INT(Inputs!$B$43/(IF(Inputs!$B$38="pvp",15,MAX(0.1,Skills!D16-IF(TRUE=TRUE,2.0,0)))*(1-IF(AND(ArtifactsInput!$M$27,Inputs!$B$4="Chapter Hunt"),CHOOSE(ArtifactsInput!$N$27+1,20,24,28,32,36,40),0)/100)))+1)),0)</f>
        <v/>
      </c>
      <c r="S2724" t="n">
        <v>0</v>
      </c>
      <c r="U2724" t="n">
        <v>0</v>
      </c>
    </row>
    <row r="2725">
      <c r="A2725">
        <f>Skills!A17</f>
        <v/>
      </c>
      <c r="B2725">
        <f>Skills!B17</f>
        <v/>
      </c>
      <c r="C2725">
        <f>Inputs!$B$3&gt;=33</f>
        <v/>
      </c>
      <c r="D2725">
        <f>IF(Skills!C17=1,60+Inputs!$B$25+Inputs!$B$29,IF(Skills!C17=2,90+Inputs!$B$26+Inputs!$B$29,IF(Skills!C17=3,120+Inputs!$B$27+Inputs!$B$29,MAX(0,(Inputs!$B$3-100)*3)+Inputs!$B$28+Inputs!$B$29)))</f>
        <v/>
      </c>
      <c r="E2725">
        <f>INDEX(FactorTable!$B$2:$Y$301, MATCH(ROUND(MIN(300,MAX(1,D2725)),0), FactorTable!$A$2:$A$301,0), Skills!L17+1)</f>
        <v/>
      </c>
      <c r="F2725">
        <f>IF(Skills!M17=TRUE,(Skills!K17/10)*(E2725/1000),Skills!K17/10)+Skills!N17</f>
        <v/>
      </c>
      <c r="G2725">
        <f>Calc!G17</f>
        <v/>
      </c>
      <c r="H2725">
        <f>Calc!H17</f>
        <v/>
      </c>
      <c r="I2725">
        <f>IF(Skills!T17&lt;&gt;"",1+(Skills!T17/10)*(Z2711/1000)/100,1)</f>
        <v/>
      </c>
      <c r="J2725" t="inlineStr"/>
      <c r="K2725" t="inlineStr"/>
      <c r="L2725" t="inlineStr"/>
      <c r="M2725" t="inlineStr"/>
      <c r="N2725" t="inlineStr"/>
      <c r="O2725">
        <f>(1-Summary!$B$11)*S2725+Summary!$B$11*U2725</f>
        <v/>
      </c>
      <c r="P2725">
        <f>IF(B2745=0,0,O2725/B2745)</f>
        <v/>
      </c>
      <c r="Q2725">
        <f>IFERROR(1/(IF(Inputs!$B$38="pvp",15,MAX(0.1,Skills!D17-IF(TRUE=TRUE,2.0,0)))*(1-IF(AND(ArtifactsInput!$M$27,Inputs!$B$4="Chapter Hunt"),CHOOSE(ArtifactsInput!$N$27+1,20,24,28,32,36,40),0)/100)),0)</f>
        <v/>
      </c>
      <c r="R2725" t="n">
        <v>0</v>
      </c>
      <c r="S2725" t="n">
        <v>0</v>
      </c>
      <c r="U2725" t="n">
        <v>0</v>
      </c>
    </row>
    <row r="2726">
      <c r="A2726">
        <f>Skills!A18</f>
        <v/>
      </c>
      <c r="B2726">
        <f>Skills!B18</f>
        <v/>
      </c>
      <c r="C2726">
        <f>Inputs!$B$3&gt;=43</f>
        <v/>
      </c>
      <c r="D2726">
        <f>IF(Skills!C18=1,60+Inputs!$B$25+Inputs!$B$29,IF(Skills!C18=2,90+Inputs!$B$26+Inputs!$B$29,IF(Skills!C18=3,120+Inputs!$B$27+Inputs!$B$29,MAX(0,(Inputs!$B$3-100)*3)+Inputs!$B$28+Inputs!$B$29)))</f>
        <v/>
      </c>
      <c r="E2726">
        <f>INDEX(FactorTable!$B$2:$Y$301, MATCH(ROUND(MIN(300,MAX(1,D2726)),0), FactorTable!$A$2:$A$301,0), Skills!L18+1)</f>
        <v/>
      </c>
      <c r="F2726">
        <f>IF(Skills!M18=TRUE,(Skills!K18/10)*(E2726/1000),Skills!K18/10)+Skills!N18</f>
        <v/>
      </c>
      <c r="G2726">
        <f>Calc!G18</f>
        <v/>
      </c>
      <c r="H2726">
        <f>Calc!H18</f>
        <v/>
      </c>
      <c r="I2726">
        <f>IF(Skills!T18&lt;&gt;"",1+(Skills!T18/10)*(Z2711/1000)/100,1)</f>
        <v/>
      </c>
      <c r="J2726" t="inlineStr"/>
      <c r="K2726" t="inlineStr"/>
      <c r="L2726" t="inlineStr"/>
      <c r="M2726" t="inlineStr"/>
      <c r="N2726" t="inlineStr"/>
      <c r="O2726">
        <f>(1-Summary!$B$11)*S2726+Summary!$B$11*U2726</f>
        <v/>
      </c>
      <c r="P2726">
        <f>IF(B2745=0,0,O2726/B2745)</f>
        <v/>
      </c>
      <c r="Q2726">
        <f>IFERROR(1/(IF(Inputs!$B$38="pvp",15,MAX(0.1,Skills!D18-IF(TRUE=TRUE,2.0,0)))*(1-IF(AND(ArtifactsInput!$M$27,Inputs!$B$4="Chapter Hunt"),CHOOSE(ArtifactsInput!$N$27+1,20,24,28,32,36,40),0)/100)),0)</f>
        <v/>
      </c>
      <c r="R2726" t="n">
        <v>0</v>
      </c>
      <c r="S2726" t="n">
        <v>0</v>
      </c>
      <c r="U2726" t="n">
        <v>0</v>
      </c>
    </row>
    <row r="2727">
      <c r="A2727">
        <f>Skills!A19</f>
        <v/>
      </c>
      <c r="B2727">
        <f>Skills!B19</f>
        <v/>
      </c>
      <c r="C2727">
        <f>Inputs!$B$3&gt;=50</f>
        <v/>
      </c>
      <c r="D2727">
        <f>IF(Skills!C19=1,60+Inputs!$B$25+Inputs!$B$29,IF(Skills!C19=2,90+Inputs!$B$26+Inputs!$B$29,IF(Skills!C19=3,120+Inputs!$B$27+Inputs!$B$29,MAX(0,(Inputs!$B$3-100)*3)+Inputs!$B$28+Inputs!$B$29)))</f>
        <v/>
      </c>
      <c r="E2727">
        <f>INDEX(FactorTable!$B$2:$Y$301, MATCH(ROUND(MIN(300,MAX(1,D2727)),0), FactorTable!$A$2:$A$301,0), Skills!L19+1)</f>
        <v/>
      </c>
      <c r="F2727">
        <f>IF(Skills!M19=TRUE,(Skills!K19/10)*(E2727/1000),Skills!K19/10)+Skills!N19</f>
        <v/>
      </c>
      <c r="G2727">
        <f>Calc!G19</f>
        <v/>
      </c>
      <c r="H2727">
        <f>Calc!H19</f>
        <v/>
      </c>
      <c r="I2727">
        <f>IF(Skills!T19&lt;&gt;"",1+(Skills!T19/10)*(Z2711/1000)/100,1)</f>
        <v/>
      </c>
      <c r="J2727" t="inlineStr"/>
      <c r="K2727" t="inlineStr"/>
      <c r="L2727" t="inlineStr"/>
      <c r="M2727" t="inlineStr"/>
      <c r="N2727" t="inlineStr"/>
      <c r="O2727">
        <f>(1-Summary!$B$11)*S2727+Summary!$B$11*U2727</f>
        <v/>
      </c>
      <c r="P2727">
        <f>IF(B2745=0,0,O2727/B2745)</f>
        <v/>
      </c>
      <c r="Q2727">
        <f>IFERROR(1/(IF(Inputs!$B$38="pvp",15,MAX(0.1,Skills!D19-IF(TRUE=TRUE,2.0,0)))*(1-IF(AND(ArtifactsInput!$M$27,Inputs!$B$4="Chapter Hunt"),CHOOSE(ArtifactsInput!$N$27+1,20,24,28,32,36,40),0)/100)),0)</f>
        <v/>
      </c>
      <c r="R2727" t="n">
        <v>0</v>
      </c>
      <c r="S2727" t="n">
        <v>0</v>
      </c>
      <c r="U2727" t="n">
        <v>0</v>
      </c>
    </row>
    <row r="2728">
      <c r="A2728">
        <f>Skills!A20</f>
        <v/>
      </c>
      <c r="B2728">
        <f>Skills!B20</f>
        <v/>
      </c>
      <c r="C2728">
        <f>Inputs!$B$3&gt;=74</f>
        <v/>
      </c>
      <c r="D2728">
        <f>IF(Skills!C20=1,60+Inputs!$B$25+Inputs!$B$29,IF(Skills!C20=2,90+Inputs!$B$26+Inputs!$B$29,IF(Skills!C20=3,120+Inputs!$B$27+Inputs!$B$29,MAX(0,(Inputs!$B$3-100)*3)+Inputs!$B$28+Inputs!$B$29)))</f>
        <v/>
      </c>
      <c r="E2728">
        <f>INDEX(FactorTable!$B$2:$Y$301, MATCH(ROUND(MIN(300,MAX(1,D2728)),0), FactorTable!$A$2:$A$301,0), Skills!L20+1)</f>
        <v/>
      </c>
      <c r="F2728">
        <f>IF(Skills!M20=TRUE,(Skills!K20/10)*(E2728/1000),Skills!K20/10)+Skills!N20</f>
        <v/>
      </c>
      <c r="G2728">
        <f>Calc!G20</f>
        <v/>
      </c>
      <c r="H2728">
        <f>Calc!H20</f>
        <v/>
      </c>
      <c r="I2728">
        <f>IF(Skills!T20&lt;&gt;"",1+(Skills!T20/10)*(Z2711/1000)/100,1)</f>
        <v/>
      </c>
      <c r="J2728" t="inlineStr"/>
      <c r="K2728" t="inlineStr"/>
      <c r="L2728" t="inlineStr"/>
      <c r="M2728" t="inlineStr"/>
      <c r="N2728" t="inlineStr"/>
      <c r="O2728">
        <f>(1-Summary!$B$11)*S2728+Summary!$B$11*U2728</f>
        <v/>
      </c>
      <c r="P2728">
        <f>IF(B2745=0,0,O2728/B2745)</f>
        <v/>
      </c>
      <c r="Q2728">
        <f>IFERROR(1/(IF(Inputs!$B$38="pvp",15,MAX(0.1,Skills!D20-IF(TRUE=TRUE,2.0,0)))*(1-IF(AND(ArtifactsInput!$M$27,Inputs!$B$4="Chapter Hunt"),CHOOSE(ArtifactsInput!$N$27+1,20,24,28,32,36,40),0)/100)),0)</f>
        <v/>
      </c>
      <c r="R2728" t="n">
        <v>0</v>
      </c>
      <c r="S2728" t="n">
        <v>0</v>
      </c>
      <c r="U2728" t="n">
        <v>0</v>
      </c>
    </row>
    <row r="2729">
      <c r="A2729">
        <f>Skills!A21</f>
        <v/>
      </c>
      <c r="B2729">
        <f>Skills!B21</f>
        <v/>
      </c>
      <c r="C2729">
        <f>Inputs!$B$3&gt;=74</f>
        <v/>
      </c>
      <c r="D2729">
        <f>IF(Skills!C21=1,60+Inputs!$B$25+Inputs!$B$29,IF(Skills!C21=2,90+Inputs!$B$26+Inputs!$B$29,IF(Skills!C21=3,120+Inputs!$B$27+Inputs!$B$29,MAX(0,(Inputs!$B$3-100)*3)+Inputs!$B$28+Inputs!$B$29)))</f>
        <v/>
      </c>
      <c r="E2729">
        <f>INDEX(FactorTable!$B$2:$Y$301, MATCH(ROUND(MIN(300,MAX(1,D2729)),0), FactorTable!$A$2:$A$301,0), Skills!L21+1)</f>
        <v/>
      </c>
      <c r="F2729">
        <f>IF(Skills!M21=TRUE,(Skills!K21/10)*(E2729/1000),Skills!K21/10)+Skills!N21</f>
        <v/>
      </c>
      <c r="G2729">
        <f>Calc!G21</f>
        <v/>
      </c>
      <c r="H2729">
        <f>Calc!H21</f>
        <v/>
      </c>
      <c r="I2729">
        <f>IF(Skills!T21&lt;&gt;"",1+(Skills!T21/10)*(Z2711/1000)/100,1)</f>
        <v/>
      </c>
      <c r="J2729" t="inlineStr"/>
      <c r="K2729" t="inlineStr"/>
      <c r="L2729" t="inlineStr"/>
      <c r="M2729" t="inlineStr"/>
      <c r="N2729" t="inlineStr"/>
      <c r="O2729">
        <f>(1-Summary!$B$11)*S2729+Summary!$B$11*U2729</f>
        <v/>
      </c>
      <c r="P2729">
        <f>IF(B2745=0,0,O2729/B2745)</f>
        <v/>
      </c>
      <c r="Q2729">
        <f>IFERROR(1/(IF(Inputs!$B$38="pvp",15,MAX(0.1,Skills!D21-IF(TRUE=TRUE,2.0,0)))*(1-IF(AND(ArtifactsInput!$M$27,Inputs!$B$4="Chapter Hunt"),CHOOSE(ArtifactsInput!$N$27+1,20,24,28,32,36,40),0)/100)),0)</f>
        <v/>
      </c>
      <c r="R2729" t="n">
        <v>0</v>
      </c>
      <c r="S2729" t="n">
        <v>0</v>
      </c>
      <c r="U2729" t="n">
        <v>0</v>
      </c>
    </row>
    <row r="2730">
      <c r="A2730">
        <f>Skills!A22</f>
        <v/>
      </c>
      <c r="B2730">
        <f>Skills!B22</f>
        <v/>
      </c>
      <c r="C2730">
        <f>Inputs!$B$3&gt;=117</f>
        <v/>
      </c>
      <c r="D2730">
        <f>IF(Skills!C22=1,60+Inputs!$B$25+Inputs!$B$29,IF(Skills!C22=2,90+Inputs!$B$26+Inputs!$B$29,IF(Skills!C22=3,120+Inputs!$B$27+Inputs!$B$29,MAX(0,(Inputs!$B$3-100)*3)+Inputs!$B$28+Inputs!$B$29)))</f>
        <v/>
      </c>
      <c r="E2730">
        <f>INDEX(FactorTable!$B$2:$Y$301, MATCH(ROUND(MIN(300,MAX(1,D2730)),0), FactorTable!$A$2:$A$301,0), Skills!L22+1)</f>
        <v/>
      </c>
      <c r="F2730">
        <f>IF(Skills!M22=TRUE,(Skills!K22/10)*(E2730/1000),Skills!K22/10)+Skills!N22</f>
        <v/>
      </c>
      <c r="G2730">
        <f>Calc!G22</f>
        <v/>
      </c>
      <c r="H2730">
        <f>Calc!H22</f>
        <v/>
      </c>
      <c r="I2730">
        <f>IF(Skills!T22&lt;&gt;"",1+(Skills!T22/10)*(Z2711/1000)/100,1)</f>
        <v/>
      </c>
      <c r="J2730" t="inlineStr"/>
      <c r="K2730" t="inlineStr"/>
      <c r="L2730" t="inlineStr"/>
      <c r="M2730" t="inlineStr"/>
      <c r="N2730" t="inlineStr"/>
      <c r="O2730">
        <f>(1-Summary!$B$11)*S2730+Summary!$B$11*U2730</f>
        <v/>
      </c>
      <c r="P2730">
        <f>IF(B2745=0,0,O2730/B2745)</f>
        <v/>
      </c>
      <c r="Q2730">
        <f>IFERROR(1/(IF(Inputs!$B$38="pvp",15,MAX(0.1,Skills!D22-IF(TRUE=TRUE,2.0,0)))*(1-IF(AND(ArtifactsInput!$M$27,Inputs!$B$4="Chapter Hunt"),CHOOSE(ArtifactsInput!$N$27+1,20,24,28,32,36,40),0)/100)),0)</f>
        <v/>
      </c>
      <c r="R2730" t="n">
        <v>0</v>
      </c>
      <c r="S2730" t="n">
        <v>0</v>
      </c>
      <c r="U2730" t="n">
        <v>0</v>
      </c>
    </row>
    <row r="2731">
      <c r="A2731">
        <f>Skills!A23</f>
        <v/>
      </c>
      <c r="B2731">
        <f>Skills!B23</f>
        <v/>
      </c>
      <c r="C2731">
        <f>Inputs!$B$3&gt;=120</f>
        <v/>
      </c>
      <c r="D2731">
        <f>IF(Skills!C23=1,60+Inputs!$B$25+Inputs!$B$29,IF(Skills!C23=2,90+Inputs!$B$26+Inputs!$B$29,IF(Skills!C23=3,120+Inputs!$B$27+Inputs!$B$29,MAX(0,(Inputs!$B$3-100)*3)+Inputs!$B$28+Inputs!$B$29)))</f>
        <v/>
      </c>
      <c r="E2731">
        <f>INDEX(FactorTable!$B$2:$Y$301, MATCH(ROUND(MIN(300,MAX(1,D2731)),0), FactorTable!$A$2:$A$301,0), Skills!L23+1)</f>
        <v/>
      </c>
      <c r="F2731">
        <f>IF(Skills!M23=TRUE,(Skills!K23/10)*(E2731/1000),Skills!K23/10)+Skills!N23</f>
        <v/>
      </c>
      <c r="G2731">
        <f>Calc!G23</f>
        <v/>
      </c>
      <c r="H2731">
        <f>Calc!H23</f>
        <v/>
      </c>
      <c r="I2731">
        <f>IF(Skills!T23&lt;&gt;"",1+(Skills!T23/10)*(Z2711/1000)/100,1)</f>
        <v/>
      </c>
      <c r="J2731" t="inlineStr"/>
      <c r="K2731" t="inlineStr"/>
      <c r="L2731" t="inlineStr"/>
      <c r="M2731" t="inlineStr"/>
      <c r="N2731" t="inlineStr"/>
      <c r="O2731">
        <f>(1-Summary!$B$11)*S2731+Summary!$B$11*U2731</f>
        <v/>
      </c>
      <c r="P2731">
        <f>IF(B2745=0,0,O2731/B2745)</f>
        <v/>
      </c>
      <c r="Q2731">
        <f>IFERROR(1/(IF(Inputs!$B$38="pvp",15,MAX(0.1,Skills!D23-IF(TRUE=TRUE,2.0,0)))*(1-IF(AND(ArtifactsInput!$M$27,Inputs!$B$4="Chapter Hunt"),CHOOSE(ArtifactsInput!$N$27+1,20,24,28,32,36,40),0)/100)),0)</f>
        <v/>
      </c>
      <c r="R2731" t="n">
        <v>0</v>
      </c>
      <c r="S2731" t="n">
        <v>0</v>
      </c>
      <c r="U2731" t="n">
        <v>0</v>
      </c>
    </row>
    <row r="2732">
      <c r="A2732">
        <f>Skills!A24</f>
        <v/>
      </c>
      <c r="B2732">
        <f>Skills!B24</f>
        <v/>
      </c>
      <c r="C2732">
        <f>TRUE</f>
        <v/>
      </c>
      <c r="D2732">
        <f>IF(Skills!C24=1,60+Inputs!$B$25+Inputs!$B$29,IF(Skills!C24=2,90+Inputs!$B$26+Inputs!$B$29,IF(Skills!C24=3,120+Inputs!$B$27+Inputs!$B$29,MAX(0,(Inputs!$B$3-100)*3)+Inputs!$B$28+Inputs!$B$29)))</f>
        <v/>
      </c>
      <c r="E2732">
        <f>INDEX(FactorTable!$B$2:$Y$301, MATCH(ROUND(MIN(300,MAX(1,D2732)),0), FactorTable!$A$2:$A$301,0), Skills!L24+1)</f>
        <v/>
      </c>
      <c r="F2732">
        <f>IF(Skills!M24=TRUE,(Skills!K24/10)*(E2732/1000),Skills!K24/10)+Skills!N24</f>
        <v/>
      </c>
      <c r="G2732">
        <f>Calc!G24</f>
        <v/>
      </c>
      <c r="H2732">
        <f>Calc!H24</f>
        <v/>
      </c>
      <c r="I2732">
        <f>IF(Skills!T24&lt;&gt;"",1+(Skills!T24/10)*(Z2711/1000)/100,1)</f>
        <v/>
      </c>
      <c r="J2732" t="inlineStr"/>
      <c r="K2732" t="inlineStr"/>
      <c r="L2732" t="inlineStr"/>
      <c r="M2732" t="inlineStr"/>
      <c r="N2732" t="inlineStr"/>
      <c r="O2732">
        <f>(1-Summary!$B$11)*S2732+Summary!$B$11*U2732</f>
        <v/>
      </c>
      <c r="P2732">
        <f>IF(B2745=0,0,O2732/B2745)</f>
        <v/>
      </c>
      <c r="Q2732">
        <f>IFERROR(1/(IF(Inputs!$B$38="pvp",15,MAX(0.1,Skills!D24-IF(TRUE=TRUE,2.0,0)))*(1-IF(AND(ArtifactsInput!$M$27,Inputs!$B$4="Chapter Hunt"),CHOOSE(ArtifactsInput!$N$27+1,20,24,28,32,36,40),0)/100)),0)</f>
        <v/>
      </c>
      <c r="R2732">
        <f>IF(AND(Inputs!$B$38&lt;&gt;"pvp",Inputs!$B$43&gt;0),IF(Inputs!$B$43&lt;=0,0,(INT(Inputs!$B$43/(IF(Inputs!$B$38="pvp",15,MAX(0.1,Skills!D24-IF(TRUE=TRUE,2.0,0)))*(1-IF(AND(ArtifactsInput!$M$27,Inputs!$B$4="Chapter Hunt"),CHOOSE(ArtifactsInput!$N$27+1,20,24,28,32,36,40),0)/100)))+1)),0)</f>
        <v/>
      </c>
      <c r="S2732" t="n">
        <v>0</v>
      </c>
      <c r="U2732" t="n">
        <v>0</v>
      </c>
    </row>
    <row r="2735">
      <c r="A2735" t="inlineStr">
        <is>
          <t>Average Buff Multiplier (Magic Guard + Meditation + Artifact Attack%, summed; then Infinity)</t>
        </is>
      </c>
      <c r="B2735">
        <f>(1+(IF(C2711=TRUE,F2711*IF(AND(Inputs!$B$38&lt;&gt;"pvp",Inputs!$B$43&gt;0),(((R2711-1)*MIN((Skills!S3*(1+(Inputs!$B$34)/100)),(1/Q2711))+MIN((Skills!S3*(1+(Inputs!$B$34)/100)),MAX(0,Inputs!$B$43-((R2711-1)*(1/Q2711)))))/Inputs!$B$43),IF(Inputs!$B$38="pvp",MIN((Skills!S3*(1+(Inputs!$B$34)/100)),15)/15,MIN(1,(Skills!S3*(1+(Inputs!$B$34)/100))/(1/Q2711)))),0)+IF(C2712=TRUE,F2712*IF(AND(Inputs!$B$38&lt;&gt;"pvp",Inputs!$B$43&gt;0),(((R2712-1)*MIN((Skills!S4*(1+(Inputs!$B$34)/100)),(1/Q2712))+MIN((Skills!S4*(1+(Inputs!$B$34)/100)),MAX(0,Inputs!$B$43-((R2712-1)*(1/Q2712)))))/Inputs!$B$43),IF(Inputs!$B$38="pvp",MIN((Skills!S4*(1+(Inputs!$B$34)/100)),15)/15,MIN(1,(Skills!S4*(1+(Inputs!$B$34)/100))/(1/Q2712)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2724=TRUE,(1+F2724*IF(AND(Inputs!$B$38&lt;&gt;"pvp",Inputs!$B$43&gt;0),(((R2724-1)*MIN((Skills!S16*(1+(Inputs!$B$34)/100)),(1/Q2724))+MIN((Skills!S16*(1+(Inputs!$B$34)/100)),MAX(0,Inputs!$B$43-((R2724-1)*(1/Q2724)))))/Inputs!$B$43),IF(Inputs!$B$38="pvp",MIN((Skills!S16*(1+(Inputs!$B$34)/100)),15)/15,MIN(1,(Skills!S16*(1+(Inputs!$B$34)/100))/(1/Q2724))))/100),1)</f>
        <v/>
      </c>
    </row>
    <row r="2736">
      <c r="A2736" t="inlineStr">
        <is>
          <t>Monster Damage Taken Bonus % (Freezing Breath - Weaken + Elemental Reset + Artifact Enemy Damage Taken, summed)</t>
        </is>
      </c>
      <c r="B2736">
        <f>IF(Inputs!$B$3&gt;=118,15*IF(Inputs!$B$38="pvp",MIN((30*(1+(Inputs!$B$34)/100)),15)/15,MIN(1,(30*(1+(Inputs!$B$34)/100))/(1/Q2716))),0)+IF(C2722=TRUE,F2722,0)+(IF(AND(ArtifactsInput!$M$35,Inputs!$B$4&lt;&gt;"Chapter Hunt"),CHOOSE(ArtifactsInput!$N$35+1,15,18,21,24,27,30)*(1-EXP(-(0.2*B2739)*5)),0)+IF(AND(ArtifactsInput!$M$22,Inputs!$B$4&lt;&gt;"Chapter Hunt"),CHOOSE(ArtifactsInput!$N$22+1,10,12,14,16,18,20)*((0*(((0.15*B2739*5))^0/1)+1*(((0.15*B2739*5))^1/1)+2*(((0.15*B2739*5))^2/2)+3*(((0.15*B2739*5))^3/6)+4*(((0.15*B2739*5))^4/24)+5*(((0.15*B2739*5))^5/120))/((((0.15*B2739*5))^0/1)+(((0.15*B2739*5))^1/1)+(((0.15*B2739*5))^2/2)+(((0.15*B2739*5))^3/6)+(((0.15*B2739*5))^4/24)+(((0.15*B2739*5))^5/120))),0))</f>
        <v/>
      </c>
    </row>
    <row r="2737">
      <c r="A2737" t="inlineStr">
        <is>
          <t>Damage % Bonus (Frozen Break + Frost Clutch, flat)</t>
        </is>
      </c>
      <c r="B2737">
        <f>IF(Inputs!$B$3&gt;=66,15,0)+IF(Inputs!$B$3&gt;=98,10,0)+IF(Inputs!$B$3&gt;=125,20,0)</f>
        <v/>
      </c>
    </row>
    <row r="2738">
      <c r="A2738" t="inlineStr">
        <is>
          <t>Attack Speed Bonus % (MP Eater - MP Boost, always-on + Nimble Feet, duty-cycle averaged)</t>
        </is>
      </c>
      <c r="B2738">
        <f>IF(C2721=TRUE,F2721+(F2725-Calc!F17),0)+((C2732=TRUE)*F2732*IF(AND(Inputs!$B$38&lt;&gt;"pvp",Inputs!$B$43&gt;0),(((R2732-1)*MIN((Skills!S24*(1+(Inputs!$B$34)/100)),(1/Q2732))+MIN((Skills!S24*(1+(Inputs!$B$34)/100)),MAX(0,Inputs!$B$43-((R2732-1)*(1/Q2732)))))/Inputs!$B$43),IF(Inputs!$B$38="pvp",MIN((Skills!S24*(1+(Inputs!$B$34)/100)),15)/15,MIN(1,(Skills!S24*(1+(Inputs!$B$34)/100))/(1/Q2732)))))</f>
        <v/>
      </c>
    </row>
    <row r="2739">
      <c r="A2739" t="inlineStr">
        <is>
          <t>Actions Per Second</t>
        </is>
      </c>
      <c r="B2739">
        <f>1+MIN(150,150*(1-(1-(Inputs!$B$11+(ArtifactsInput!$M$15-ArtifactsInput!$M$15)*CHOOSE(ArtifactsInput!$N$15+1,8,9.6,11.2,12.8,14.4,16))/150)*(1-B2738/150)))/100</f>
        <v/>
      </c>
    </row>
    <row r="2740">
      <c r="A2740" t="inlineStr">
        <is>
          <t>Skill + Buff Cast Rate</t>
        </is>
      </c>
      <c r="B2740">
        <f>IF(AND(Inputs!$B$38&lt;&gt;"pvp",Inputs!$B$43&gt;0),SUMPRODUCT((Skills!E2:E24=TRUE)*(C2710:C2732=TRUE)*R2710:R2732)/Inputs!$B$43,SUMPRODUCT((Skills!E2:E24=TRUE)*(C2710:C2732=TRUE)*Q2710:Q2732))</f>
        <v/>
      </c>
    </row>
    <row r="2741">
      <c r="A2741" t="inlineStr">
        <is>
          <t>Chain Lightning Casts Per Second</t>
        </is>
      </c>
      <c r="B2741">
        <f>MAX(0,B2739-B2740)</f>
        <v/>
      </c>
    </row>
    <row r="2742">
      <c r="A2742" t="inlineStr">
        <is>
          <t>Buff-Casting Startup Delay (s, fixed-duration only)</t>
        </is>
      </c>
      <c r="B2742">
        <f>IF(AND(Inputs!$B$38&lt;&gt;"pvp",Inputs!$B$43&gt;0),SUMPRODUCT((Skills!S2:S24&gt;0)*(Skills!E2:E24=TRUE)*(C2710:C2732=TRUE))/B2739,0)</f>
        <v/>
      </c>
    </row>
    <row r="2743">
      <c r="A2743" t="inlineStr">
        <is>
          <t>Boss-Only Total DPS (this block's swept value)</t>
        </is>
      </c>
      <c r="B2743">
        <f>SUM(S2710:S2732)</f>
        <v/>
      </c>
    </row>
    <row r="2744">
      <c r="A2744" t="inlineStr">
        <is>
          <t>Normal-Only Total DPS (this block's swept value)</t>
        </is>
      </c>
      <c r="B2744">
        <f>SUM(U2710:U2732)</f>
        <v/>
      </c>
    </row>
    <row r="2745">
      <c r="A2745" s="6" t="inlineStr">
        <is>
          <t>TOTAL DPS</t>
        </is>
      </c>
      <c r="B2745" s="6">
        <f>SUM(O2710:O2732)</f>
        <v/>
      </c>
    </row>
    <row r="2746">
      <c r="A2746" t="inlineStr">
        <is>
          <t>Blizzard Final Attack trigger rate (this block's own Q/R)</t>
        </is>
      </c>
      <c r="B2746">
        <f>IF(AND(Inputs!$B$38&lt;&gt;"pvp",Inputs!$B$43&gt;0),(((C2713=TRUE)*R2713*1)+((C2714=TRUE)*R2714*1)+((C2716=TRUE)*R2716*1)+((C2717=TRUE)*R2717*3)+((C2719=TRUE)*R2719*1))/Inputs!$B$43,((C2713=TRUE)*Q2713*1)+((C2714=TRUE)*Q2714*1)+((C2716=TRUE)*Q2716*1)+((C2717=TRUE)*Q2717*3)+((C2719=TRUE)*Q2719*1))+B2741</f>
        <v/>
      </c>
    </row>
    <row r="2749">
      <c r="A2749" s="6" t="inlineStr">
        <is>
          <t>Stat: CDR = 2.5s</t>
        </is>
      </c>
    </row>
    <row r="2750">
      <c r="A2750" s="5" t="inlineStr">
        <is>
          <t>Key</t>
        </is>
      </c>
      <c r="B2750" s="5" t="inlineStr">
        <is>
          <t>Name</t>
        </is>
      </c>
      <c r="C2750" s="5" t="inlineStr">
        <is>
          <t>Unlocked</t>
        </is>
      </c>
      <c r="D2750" s="5" t="inlineStr">
        <is>
          <t>InputLevel</t>
        </is>
      </c>
      <c r="E2750" s="5" t="inlineStr">
        <is>
          <t>Factor</t>
        </is>
      </c>
      <c r="F2750" s="5" t="inlineStr">
        <is>
          <t>CoefficientPercent</t>
        </is>
      </c>
      <c r="G2750" s="5" t="inlineStr">
        <is>
          <t>EffectiveHits</t>
        </is>
      </c>
      <c r="H2750" s="5" t="inlineStr">
        <is>
          <t>ProcProbability</t>
        </is>
      </c>
      <c r="I2750" s="5" t="inlineStr">
        <is>
          <t>MapleHeroMultiplier</t>
        </is>
      </c>
      <c r="J2750" s="5" t="inlineStr">
        <is>
          <t>BaseDamage</t>
        </is>
      </c>
      <c r="K2750" s="5" t="inlineStr">
        <is>
          <t>BaseHitDamage</t>
        </is>
      </c>
      <c r="L2750" s="5" t="inlineStr">
        <is>
          <t>NonCritAvg</t>
        </is>
      </c>
      <c r="M2750" s="5" t="inlineStr">
        <is>
          <t>CritAvg</t>
        </is>
      </c>
      <c r="N2750" s="5" t="inlineStr">
        <is>
          <t>ExpectedDamage(perHit)</t>
        </is>
      </c>
      <c r="O2750" s="5" t="inlineStr">
        <is>
          <t>DPS</t>
        </is>
      </c>
      <c r="P2750" s="5" t="inlineStr">
        <is>
          <t>% of Total</t>
        </is>
      </c>
      <c r="R2750" t="inlineStr">
        <is>
          <t>helpers</t>
        </is>
      </c>
    </row>
    <row r="2751">
      <c r="A2751">
        <f>Skills!A2</f>
        <v/>
      </c>
      <c r="B2751">
        <f>Skills!B2</f>
        <v/>
      </c>
      <c r="C2751">
        <f>Inputs!$B$3&gt;=100</f>
        <v/>
      </c>
      <c r="D2751" t="inlineStr"/>
      <c r="E2751" t="inlineStr"/>
      <c r="F2751">
        <f>T2753+Skills!N2</f>
        <v/>
      </c>
      <c r="G2751">
        <f>Calc!G2</f>
        <v/>
      </c>
      <c r="H2751">
        <f>Calc!H2</f>
        <v/>
      </c>
      <c r="I2751">
        <f>IF(Skills!T2&lt;&gt;"",1+(Skills!T2/10)*(Z2752/1000)/100,1)</f>
        <v/>
      </c>
      <c r="J2751">
        <f>((Inputs!$B$6*(1+Inputs!$B$7/100))+(((Inputs!$B$12*(1+Inputs!$B$13/100))-(Inputs!$B$12*(1+Inputs!$B$13/100)))+0.25*(Inputs!$B$14-Inputs!$B$14))*(1+Inputs!$B$7/100))*(F2751/100)</f>
        <v/>
      </c>
      <c r="K2751">
        <f>J2751*(1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2="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2751)</f>
        <v/>
      </c>
      <c r="L2751">
        <f>K2751*(MIN(Inputs!$B$22+(F2767-Calc!F18),(Inputs!$B$23+(IF(ArtifactsInput!$M$15,CHOOSE(ArtifactsInput!$N$15+1,25,30,35,40,45,50)/100*(Inputs!$B$11-Inputs!$B$11),0))))/100+(Inputs!$B$23+(IF(ArtifactsInput!$M$15,CHOOSE(ArtifactsInput!$N$15+1,25,30,35,40,45,50)/100*(Inputs!$B$11-Inputs!$B$11),0)))/100)/2</f>
        <v/>
      </c>
      <c r="M2751">
        <f>L2751*(1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1">
        <f>L2751*(1-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1">
        <f>(1-Summary!$B$11)*S2751+Summary!$B$11*U2751</f>
        <v/>
      </c>
      <c r="P2751">
        <f>IF(B2786=0,0,O2751/B2786)</f>
        <v/>
      </c>
      <c r="Q2751">
        <f>IFERROR(1/(IF(Inputs!$B$38="pvp",15,MAX(0.1,Skills!D2-IF(TRUE=TRUE,2.5,0)))*(1-IF(AND(ArtifactsInput!$M$27,Inputs!$B$4="Chapter Hunt"),CHOOSE(ArtifactsInput!$N$27+1,20,24,28,32,36,40),0)/100)),0)</f>
        <v/>
      </c>
      <c r="R2751" t="n">
        <v>0</v>
      </c>
      <c r="S2751">
        <f>IF(C2751,(Skills!F2*N2751*B2782)*IF(Inputs!$B$38="pvp",1,1+(Inputs!$B$20+Skills!O2+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2751*(1-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2751*(1-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51">
        <f>MAX(0,(Inputs!$B$3-100)*3)+Inputs!$B$28+Inputs!$B$29</f>
        <v/>
      </c>
      <c r="U2751">
        <f>IF(C2751,(Skills!F2*N2751*B2782)*IF(Inputs!$B$38="pvp",1,(1+(Inputs!$B$21+Skills!P2+B2777+(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51">
        <f>MAX(0,(Inputs!$B$3-100)*3)+Inputs!$B$28+Inputs!$B$29</f>
        <v/>
      </c>
    </row>
    <row r="2752">
      <c r="A2752">
        <f>Skills!A3</f>
        <v/>
      </c>
      <c r="B2752">
        <f>Skills!B3</f>
        <v/>
      </c>
      <c r="C2752">
        <f>Inputs!$B$3&gt;=15</f>
        <v/>
      </c>
      <c r="D2752">
        <f>IF(Skills!C3=1,60+Inputs!$B$25+Inputs!$B$29,IF(Skills!C3=2,90+Inputs!$B$26+Inputs!$B$29,IF(Skills!C3=3,120+Inputs!$B$27+Inputs!$B$29,MAX(0,(Inputs!$B$3-100)*3)+Inputs!$B$28+Inputs!$B$29)))</f>
        <v/>
      </c>
      <c r="E2752">
        <f>INDEX(FactorTable!$B$2:$Y$301, MATCH(ROUND(MIN(300,MAX(1,D2752)),0), FactorTable!$A$2:$A$301,0), Skills!L3+1)</f>
        <v/>
      </c>
      <c r="F2752">
        <f>IF(Skills!M3=TRUE,(Skills!K3/10)*(E2752/1000),Skills!K3/10)+Skills!N3</f>
        <v/>
      </c>
      <c r="G2752">
        <f>Calc!G3</f>
        <v/>
      </c>
      <c r="H2752">
        <f>Calc!H3</f>
        <v/>
      </c>
      <c r="I2752">
        <f>IF(Skills!T3&lt;&gt;"",1+(Skills!T3/10)*(Z2752/1000)/100,1)</f>
        <v/>
      </c>
      <c r="J2752" t="inlineStr"/>
      <c r="K2752" t="inlineStr"/>
      <c r="L2752" t="inlineStr"/>
      <c r="M2752" t="inlineStr"/>
      <c r="N2752" t="inlineStr"/>
      <c r="O2752">
        <f>(1-Summary!$B$11)*S2752+Summary!$B$11*U2752</f>
        <v/>
      </c>
      <c r="P2752">
        <f>IF(B2786=0,0,O2752/B2786)</f>
        <v/>
      </c>
      <c r="Q2752">
        <f>IFERROR(1/(IF(Inputs!$B$38="pvp",15,MAX(0.1,Skills!D3-IF(TRUE=TRUE,2.5,0)))*(1-IF(AND(ArtifactsInput!$M$27,Inputs!$B$4="Chapter Hunt"),CHOOSE(ArtifactsInput!$N$27+1,20,24,28,32,36,40),0)/100)),0)</f>
        <v/>
      </c>
      <c r="R2752">
        <f>IF(AND(Inputs!$B$38&lt;&gt;"pvp",Inputs!$B$43&gt;0),IF(Inputs!$B$43&lt;=0,0,(INT(Inputs!$B$43/(IF(Inputs!$B$38="pvp",15,MAX(0.1,Skills!D3-IF(TRUE=TRUE,2.5,0)))*(1-IF(AND(ArtifactsInput!$M$27,Inputs!$B$4="Chapter Hunt"),CHOOSE(ArtifactsInput!$N$27+1,20,24,28,32,36,40),0)/100)))+1)),0)</f>
        <v/>
      </c>
      <c r="S2752" t="n">
        <v>0</v>
      </c>
      <c r="T2752">
        <f>INDEX(FactorTable!$B$2:$Y$301, MATCH(ROUND(MIN(300,MAX(1,T2751)),0), FactorTable!$A$2:$A$301,0), 22)</f>
        <v/>
      </c>
      <c r="U2752" t="n">
        <v>0</v>
      </c>
      <c r="Z2752">
        <f>INDEX(FactorTable!$B$2:$Y$301, MATCH(ROUND(MIN(300,MAX(1,Z2751)),0), FactorTable!$A$2:$A$301,0), 24)</f>
        <v/>
      </c>
    </row>
    <row r="2753">
      <c r="A2753">
        <f>Skills!A4</f>
        <v/>
      </c>
      <c r="B2753">
        <f>Skills!B4</f>
        <v/>
      </c>
      <c r="C2753">
        <f>Inputs!$B$3&gt;=40</f>
        <v/>
      </c>
      <c r="D2753">
        <f>IF(Skills!C4=1,60+Inputs!$B$25+Inputs!$B$29,IF(Skills!C4=2,90+Inputs!$B$26+Inputs!$B$29,IF(Skills!C4=3,120+Inputs!$B$27+Inputs!$B$29,MAX(0,(Inputs!$B$3-100)*3)+Inputs!$B$28+Inputs!$B$29)))</f>
        <v/>
      </c>
      <c r="E2753">
        <f>INDEX(FactorTable!$B$2:$Y$301, MATCH(ROUND(MIN(300,MAX(1,D2753)),0), FactorTable!$A$2:$A$301,0), Skills!L4+1)</f>
        <v/>
      </c>
      <c r="F2753">
        <f>IF(Skills!M4=TRUE,(Skills!K4/10)*(E2753/1000),Skills!K4/10)+Skills!N4</f>
        <v/>
      </c>
      <c r="G2753">
        <f>Calc!G4</f>
        <v/>
      </c>
      <c r="H2753">
        <f>Calc!H4</f>
        <v/>
      </c>
      <c r="I2753">
        <f>IF(Skills!T4&lt;&gt;"",1+(Skills!T4/10)*(Z2752/1000)/100,1)</f>
        <v/>
      </c>
      <c r="J2753" t="inlineStr"/>
      <c r="K2753" t="inlineStr"/>
      <c r="L2753" t="inlineStr"/>
      <c r="M2753" t="inlineStr"/>
      <c r="N2753" t="inlineStr"/>
      <c r="O2753">
        <f>(1-Summary!$B$11)*S2753+Summary!$B$11*U2753</f>
        <v/>
      </c>
      <c r="P2753">
        <f>IF(B2786=0,0,O2753/B2786)</f>
        <v/>
      </c>
      <c r="Q2753">
        <f>IFERROR(1/(IF(Inputs!$B$38="pvp",15,MAX(0.1,Skills!D4-IF(TRUE=TRUE,2.5,0)))*(1-IF(AND(ArtifactsInput!$M$27,Inputs!$B$4="Chapter Hunt"),CHOOSE(ArtifactsInput!$N$27+1,20,24,28,32,36,40),0)/100)),0)</f>
        <v/>
      </c>
      <c r="R2753">
        <f>IF(AND(Inputs!$B$38&lt;&gt;"pvp",Inputs!$B$43&gt;0),IF(Inputs!$B$43&lt;=0,0,(INT(Inputs!$B$43/(IF(Inputs!$B$38="pvp",15,MAX(0.1,Skills!D4-IF(TRUE=TRUE,2.5,0)))*(1-IF(AND(ArtifactsInput!$M$27,Inputs!$B$4="Chapter Hunt"),CHOOSE(ArtifactsInput!$N$27+1,20,24,28,32,36,40),0)/100)))+1)),0)</f>
        <v/>
      </c>
      <c r="S2753" t="n">
        <v>0</v>
      </c>
      <c r="T2753">
        <f>290*T2752/1000</f>
        <v/>
      </c>
      <c r="U2753" t="n">
        <v>0</v>
      </c>
    </row>
    <row r="2754">
      <c r="A2754">
        <f>Skills!A5</f>
        <v/>
      </c>
      <c r="B2754">
        <f>Skills!B5</f>
        <v/>
      </c>
      <c r="C2754">
        <f>Inputs!$B$3&gt;=38</f>
        <v/>
      </c>
      <c r="D2754">
        <f>IF(Skills!C5=1,60+Inputs!$B$25+Inputs!$B$29,IF(Skills!C5=2,90+Inputs!$B$26+Inputs!$B$29,IF(Skills!C5=3,120+Inputs!$B$27+Inputs!$B$29,MAX(0,(Inputs!$B$3-100)*3)+Inputs!$B$28+Inputs!$B$29)))</f>
        <v/>
      </c>
      <c r="E2754">
        <f>INDEX(FactorTable!$B$2:$Y$301, MATCH(ROUND(MIN(300,MAX(1,D2754)),0), FactorTable!$A$2:$A$301,0), Skills!L5+1)</f>
        <v/>
      </c>
      <c r="F2754">
        <f>IF(Skills!M5=TRUE,(Skills!K5/10)*(E2754/1000),Skills!K5/10)+Skills!N5</f>
        <v/>
      </c>
      <c r="G2754">
        <f>Calc!G5</f>
        <v/>
      </c>
      <c r="H2754">
        <f>Calc!H5</f>
        <v/>
      </c>
      <c r="I2754">
        <f>IF(Skills!T5&lt;&gt;"",1+(Skills!T5/10)*(Z2752/1000)/100,1)</f>
        <v/>
      </c>
      <c r="J2754">
        <f>((Inputs!$B$6*(1+Inputs!$B$7/100))+(((Inputs!$B$12*(1+Inputs!$B$13/100))-(Inputs!$B$12*(1+Inputs!$B$13/100)))+0.25*(Inputs!$B$14-Inputs!$B$14))*(1+Inputs!$B$7/100))*(F2754/100)</f>
        <v/>
      </c>
      <c r="K2754">
        <f>J2754*(1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5="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2754)</f>
        <v/>
      </c>
      <c r="L2754">
        <f>K2754*(MIN(Inputs!$B$22+(F2767-Calc!F18),(Inputs!$B$23+(IF(ArtifactsInput!$M$15,CHOOSE(ArtifactsInput!$N$15+1,25,30,35,40,45,50)/100*(Inputs!$B$11-Inputs!$B$11),0))))/100+(Inputs!$B$23+(IF(ArtifactsInput!$M$15,CHOOSE(ArtifactsInput!$N$15+1,25,30,35,40,45,50)/100*(Inputs!$B$11-Inputs!$B$11),0)))/100)/2</f>
        <v/>
      </c>
      <c r="M2754">
        <f>L2754*(1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4">
        <f>L2754*(1-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2754*(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4">
        <f>(1-Summary!$B$11)*S2754+Summary!$B$11*U2754</f>
        <v/>
      </c>
      <c r="P2754">
        <f>IF(B2786=0,0,O2754/B2786)</f>
        <v/>
      </c>
      <c r="Q2754">
        <f>IFERROR(1/(IF(Inputs!$B$38="pvp",15,MAX(0.1,Skills!D5-IF(TRUE=TRUE,2.5,0)))*(1-IF(AND(ArtifactsInput!$M$27,Inputs!$B$4="Chapter Hunt"),CHOOSE(ArtifactsInput!$N$27+1,20,24,28,32,36,40),0)/100)),0)</f>
        <v/>
      </c>
      <c r="R2754">
        <f>IF(AND(Inputs!$B$38&lt;&gt;"pvp",Inputs!$B$43&gt;0),IF(MAX(0,Inputs!$B$43-B2783)&lt;=0,0,(INT(MAX(0,Inputs!$B$43-B2783)/(IF(Inputs!$B$38="pvp",15,MAX(0.1,Skills!D5-IF(TRUE=TRUE,2.5,0)))*(1-IF(AND(ArtifactsInput!$M$27,Inputs!$B$4="Chapter Hunt"),CHOOSE(ArtifactsInput!$N$27+1,20,24,28,32,36,40),0)/100)))+1)),0)</f>
        <v/>
      </c>
      <c r="S2754">
        <f>IF(C2754,(H2754*N2754*IF(AND(Inputs!$B$38&lt;&gt;"pvp",Inputs!$B$43&gt;0),((Skills!F5*((R2754-1)*IF(Skills!G5&gt;0,Skills!H5/Skills!G5,1)+IF(Skills!G5&gt;0,MIN(Skills!H5,MAX(0,MAX(0,Inputs!$B$43-B2783)-((R2754-1)*(IF(Inputs!$B$38="pvp",15,MAX(0.1,Skills!D5-IF(TRUE=TRUE,2.5,0)))*(1-IF(AND(ArtifactsInput!$M$27,Inputs!$B$4="Chapter Hunt"),CHOOSE(ArtifactsInput!$N$27+1,20,24,28,32,36,40),0)/100)))))/Skills!G5,1)))/Inputs!$B$43),G2754*Q2754))*IF(Inputs!$B$38="pvp",1,1+(Inputs!$B$20+Skills!O5+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2754*(1-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2754*(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2754*(1-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2754*(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4">
        <f>IF(C2754,(H2754*N2754*IF(AND(Inputs!$B$38&lt;&gt;"pvp",Inputs!$B$43&gt;0),((Skills!F5*((R2754-1)*IF(Skills!G5&gt;0,Skills!H5/Skills!G5,1)+IF(Skills!G5&gt;0,MIN(Skills!H5,MAX(0,MAX(0,Inputs!$B$43-B2783)-((R2754-1)*(IF(Inputs!$B$38="pvp",15,MAX(0.1,Skills!D5-IF(TRUE=TRUE,2.5,0)))*(1-IF(AND(ArtifactsInput!$M$27,Inputs!$B$4="Chapter Hunt"),CHOOSE(ArtifactsInput!$N$27+1,20,24,28,32,36,40),0)/100)))))/Skills!G5,1)))/Inputs!$B$43),G2754*Q2754))*IF(Inputs!$B$38="pvp",1,(1+(Inputs!$B$21+Skills!P5+B2777+(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5">
      <c r="A2755">
        <f>Skills!A6</f>
        <v/>
      </c>
      <c r="B2755">
        <f>Skills!B6</f>
        <v/>
      </c>
      <c r="C2755">
        <f>Inputs!$B$3&gt;=63</f>
        <v/>
      </c>
      <c r="D2755">
        <f>IF(Skills!C6=1,60+Inputs!$B$25+Inputs!$B$29,IF(Skills!C6=2,90+Inputs!$B$26+Inputs!$B$29,IF(Skills!C6=3,120+Inputs!$B$27+Inputs!$B$29,MAX(0,(Inputs!$B$3-100)*3)+Inputs!$B$28+Inputs!$B$29)))</f>
        <v/>
      </c>
      <c r="E2755">
        <f>INDEX(FactorTable!$B$2:$Y$301, MATCH(ROUND(MIN(300,MAX(1,D2755)),0), FactorTable!$A$2:$A$301,0), Skills!L6+1)</f>
        <v/>
      </c>
      <c r="F2755">
        <f>IF(Skills!M6=TRUE,(Skills!K6/10)*(E2755/1000),Skills!K6/10)+Skills!N6</f>
        <v/>
      </c>
      <c r="G2755">
        <f>Calc!G6</f>
        <v/>
      </c>
      <c r="H2755">
        <f>Calc!H6</f>
        <v/>
      </c>
      <c r="I2755">
        <f>IF(Skills!T6&lt;&gt;"",1+(Skills!T6/10)*(Z2752/1000)/100,1)</f>
        <v/>
      </c>
      <c r="J2755">
        <f>((Inputs!$B$6*(1+Inputs!$B$7/100))+(((Inputs!$B$12*(1+Inputs!$B$13/100))-(Inputs!$B$12*(1+Inputs!$B$13/100)))+0.25*(Inputs!$B$14-Inputs!$B$14))*(1+Inputs!$B$7/100))*(F2755/100)</f>
        <v/>
      </c>
      <c r="K2755">
        <f>J2755*(1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6="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2755)</f>
        <v/>
      </c>
      <c r="L2755">
        <f>K2755*(MIN(Inputs!$B$22+(F2767-Calc!F18),(Inputs!$B$23+(IF(ArtifactsInput!$M$15,CHOOSE(ArtifactsInput!$N$15+1,25,30,35,40,45,50)/100*(Inputs!$B$11-Inputs!$B$11),0))))/100+(Inputs!$B$23+(IF(ArtifactsInput!$M$15,CHOOSE(ArtifactsInput!$N$15+1,25,30,35,40,45,50)/100*(Inputs!$B$11-Inputs!$B$11),0)))/100)/2</f>
        <v/>
      </c>
      <c r="M2755">
        <f>L2755*(1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5">
        <f>L2755*(1-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2755*(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5">
        <f>(1-Summary!$B$11)*S2755+Summary!$B$11*U2755</f>
        <v/>
      </c>
      <c r="P2755">
        <f>IF(B2786=0,0,O2755/B2786)</f>
        <v/>
      </c>
      <c r="Q2755">
        <f>IFERROR(1/(IF(Inputs!$B$38="pvp",15,MAX(0.1,Skills!D6-IF(TRUE=TRUE,2.5,0)))*(1-IF(AND(ArtifactsInput!$M$27,Inputs!$B$4="Chapter Hunt"),CHOOSE(ArtifactsInput!$N$27+1,20,24,28,32,36,40),0)/100)),0)</f>
        <v/>
      </c>
      <c r="R2755">
        <f>IF(AND(Inputs!$B$38&lt;&gt;"pvp",Inputs!$B$43&gt;0),IF(MAX(0,Inputs!$B$43-B2783)&lt;=0,0,(INT(MAX(0,Inputs!$B$43-B2783)/(IF(Inputs!$B$38="pvp",15,MAX(0.1,Skills!D6-IF(TRUE=TRUE,2.5,0)))*(1-IF(AND(ArtifactsInput!$M$27,Inputs!$B$4="Chapter Hunt"),CHOOSE(ArtifactsInput!$N$27+1,20,24,28,32,36,40),0)/100)))+1)),0)</f>
        <v/>
      </c>
      <c r="S2755">
        <f>IF(C2755,(H2755*N2755*IF(AND(Inputs!$B$38&lt;&gt;"pvp",Inputs!$B$43&gt;0),((Skills!F6*((R2755-1)*IF(Skills!G6&gt;0,Skills!H6/Skills!G6,1)+IF(Skills!G6&gt;0,MIN(Skills!H6,MAX(0,MAX(0,Inputs!$B$43-B2783)-((R2755-1)*(IF(Inputs!$B$38="pvp",15,MAX(0.1,Skills!D6-IF(TRUE=TRUE,2.5,0)))*(1-IF(AND(ArtifactsInput!$M$27,Inputs!$B$4="Chapter Hunt"),CHOOSE(ArtifactsInput!$N$27+1,20,24,28,32,36,40),0)/100)))))/Skills!G6,1)))/Inputs!$B$43),G2755*Q2755))*IF(Inputs!$B$38="pvp",1,1+(Inputs!$B$20+Skills!O6+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2755*(1-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2755*(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2755*(1-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2755*(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5">
        <f>IF(C2755,(H2755*N2755*IF(AND(Inputs!$B$38&lt;&gt;"pvp",Inputs!$B$43&gt;0),((Skills!F6*((R2755-1)*IF(Skills!G6&gt;0,Skills!H6/Skills!G6,1)+IF(Skills!G6&gt;0,MIN(Skills!H6,MAX(0,MAX(0,Inputs!$B$43-B2783)-((R2755-1)*(IF(Inputs!$B$38="pvp",15,MAX(0.1,Skills!D6-IF(TRUE=TRUE,2.5,0)))*(1-IF(AND(ArtifactsInput!$M$27,Inputs!$B$4="Chapter Hunt"),CHOOSE(ArtifactsInput!$N$27+1,20,24,28,32,36,40),0)/100)))))/Skills!G6,1)))/Inputs!$B$43),G2755*Q2755))*IF(Inputs!$B$38="pvp",1,(1+(Inputs!$B$21+Skills!P6+B2777+(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6">
      <c r="A2756">
        <f>Skills!A7</f>
        <v/>
      </c>
      <c r="B2756">
        <f>Skills!B7</f>
        <v/>
      </c>
      <c r="C2756">
        <f>Inputs!$B$3&gt;=69</f>
        <v/>
      </c>
      <c r="D2756">
        <f>IF(Skills!C7=1,60+Inputs!$B$25+Inputs!$B$29,IF(Skills!C7=2,90+Inputs!$B$26+Inputs!$B$29,IF(Skills!C7=3,120+Inputs!$B$27+Inputs!$B$29,MAX(0,(Inputs!$B$3-100)*3)+Inputs!$B$28+Inputs!$B$29)))</f>
        <v/>
      </c>
      <c r="E2756">
        <f>INDEX(FactorTable!$B$2:$Y$301, MATCH(ROUND(MIN(300,MAX(1,D2756)),0), FactorTable!$A$2:$A$301,0), Skills!L7+1)</f>
        <v/>
      </c>
      <c r="F2756">
        <f>IF(Skills!M7=TRUE,(Skills!K7/10)*(E2756/1000),Skills!K7/10)+Skills!N7</f>
        <v/>
      </c>
      <c r="G2756">
        <f>Calc!G7</f>
        <v/>
      </c>
      <c r="H2756">
        <f>Calc!H7</f>
        <v/>
      </c>
      <c r="I2756">
        <f>IF(Skills!T7&lt;&gt;"",1+(Skills!T7/10)*(Z2752/1000)/100,1)</f>
        <v/>
      </c>
      <c r="J2756">
        <f>((Inputs!$B$6*(1+Inputs!$B$7/100))+(((Inputs!$B$12*(1+Inputs!$B$13/100))-(Inputs!$B$12*(1+Inputs!$B$13/100)))+0.25*(Inputs!$B$14-Inputs!$B$14))*(1+Inputs!$B$7/100))*(F2756/100)</f>
        <v/>
      </c>
      <c r="K2756">
        <f>J2756*(1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7="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2756)</f>
        <v/>
      </c>
      <c r="L2756">
        <f>K2756*(MIN(Inputs!$B$22+(F2767-Calc!F18),(Inputs!$B$23+(IF(ArtifactsInput!$M$15,CHOOSE(ArtifactsInput!$N$15+1,25,30,35,40,45,50)/100*(Inputs!$B$11-Inputs!$B$11),0))))/100+(Inputs!$B$23+(IF(ArtifactsInput!$M$15,CHOOSE(ArtifactsInput!$N$15+1,25,30,35,40,45,50)/100*(Inputs!$B$11-Inputs!$B$11),0)))/100)/2</f>
        <v/>
      </c>
      <c r="M2756">
        <f>L2756*(1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6">
        <f>L2756*(1-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2756*(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6">
        <f>(1-Summary!$B$11)*S2756+Summary!$B$11*U2756</f>
        <v/>
      </c>
      <c r="P2756">
        <f>IF(B2786=0,0,O2756/B2786)</f>
        <v/>
      </c>
      <c r="Q2756">
        <f>IFERROR(1/(IF(Inputs!$B$38="pvp",15,MAX(0.1,Skills!D7-IF(TRUE=TRUE,2.5,0)))*(1-IF(AND(ArtifactsInput!$M$27,Inputs!$B$4="Chapter Hunt"),CHOOSE(ArtifactsInput!$N$27+1,20,24,28,32,36,40),0)/100)),0)</f>
        <v/>
      </c>
      <c r="R2756">
        <f>IF(AND(Inputs!$B$38&lt;&gt;"pvp",Inputs!$B$43&gt;0),IF(MAX(0,Inputs!$B$43-B2783)&lt;=0,0,(INT(MAX(0,Inputs!$B$43-B2783)/(IF(Inputs!$B$38="pvp",15,MAX(0.1,Skills!D7-IF(TRUE=TRUE,2.5,0)))*(1-IF(AND(ArtifactsInput!$M$27,Inputs!$B$4="Chapter Hunt"),CHOOSE(ArtifactsInput!$N$27+1,20,24,28,32,36,40),0)/100)))+1)),0)</f>
        <v/>
      </c>
      <c r="S2756">
        <f>IF(C2756,(H2756*N2756*IF(AND(Inputs!$B$38&lt;&gt;"pvp",Inputs!$B$43&gt;0),((Skills!F7*((R2756-1)*IF(Skills!G7&gt;0,Skills!H7/Skills!G7,1)+IF(Skills!G7&gt;0,MIN(Skills!H7,MAX(0,MAX(0,Inputs!$B$43-B2783)-((R2756-1)*(IF(Inputs!$B$38="pvp",15,MAX(0.1,Skills!D7-IF(TRUE=TRUE,2.5,0)))*(1-IF(AND(ArtifactsInput!$M$27,Inputs!$B$4="Chapter Hunt"),CHOOSE(ArtifactsInput!$N$27+1,20,24,28,32,36,40),0)/100)))))/Skills!G7,1)))/Inputs!$B$43),G2756*Q2756))*IF(Inputs!$B$38="pvp",1,1+(Inputs!$B$20+Skills!O7+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2756*(1-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2756*(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2756*(1-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2756*(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6">
        <f>IF(C2756,(H2756*N2756*IF(AND(Inputs!$B$38&lt;&gt;"pvp",Inputs!$B$43&gt;0),((Skills!F7*((R2756-1)*IF(Skills!G7&gt;0,Skills!H7/Skills!G7,1)+IF(Skills!G7&gt;0,MIN(Skills!H7,MAX(0,MAX(0,Inputs!$B$43-B2783)-((R2756-1)*(IF(Inputs!$B$38="pvp",15,MAX(0.1,Skills!D7-IF(TRUE=TRUE,2.5,0)))*(1-IF(AND(ArtifactsInput!$M$27,Inputs!$B$4="Chapter Hunt"),CHOOSE(ArtifactsInput!$N$27+1,20,24,28,32,36,40),0)/100)))))/Skills!G7,1)))/Inputs!$B$43),G2756*Q2756))*IF(Inputs!$B$38="pvp",1,(1+(Inputs!$B$21+Skills!P7+B2777+(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7">
      <c r="A2757">
        <f>Skills!A8</f>
        <v/>
      </c>
      <c r="B2757">
        <f>Skills!B8</f>
        <v/>
      </c>
      <c r="C2757">
        <f>Inputs!$B$3&gt;=103</f>
        <v/>
      </c>
      <c r="D2757">
        <f>IF(Skills!C8=1,60+Inputs!$B$25+Inputs!$B$29,IF(Skills!C8=2,90+Inputs!$B$26+Inputs!$B$29,IF(Skills!C8=3,120+Inputs!$B$27+Inputs!$B$29,MAX(0,(Inputs!$B$3-100)*3)+Inputs!$B$28+Inputs!$B$29)))</f>
        <v/>
      </c>
      <c r="E2757">
        <f>INDEX(FactorTable!$B$2:$Y$301, MATCH(ROUND(MIN(300,MAX(1,D2757)),0), FactorTable!$A$2:$A$301,0), Skills!L8+1)</f>
        <v/>
      </c>
      <c r="F2757">
        <f>IF(Skills!M8=TRUE,(Skills!K8/10)*(E2757/1000),Skills!K8/10)+Skills!N8</f>
        <v/>
      </c>
      <c r="G2757">
        <f>Calc!G8</f>
        <v/>
      </c>
      <c r="H2757">
        <f>Calc!H8</f>
        <v/>
      </c>
      <c r="I2757">
        <f>IF(Skills!T8&lt;&gt;"",1+(Skills!T8/10)*(Z2752/1000)/100,1)</f>
        <v/>
      </c>
      <c r="J2757">
        <f>((Inputs!$B$6*(1+Inputs!$B$7/100))+(((Inputs!$B$12*(1+Inputs!$B$13/100))-(Inputs!$B$12*(1+Inputs!$B$13/100)))+0.25*(Inputs!$B$14-Inputs!$B$14))*(1+Inputs!$B$7/100))*(F2757/100)</f>
        <v/>
      </c>
      <c r="K2757">
        <f>J2757*(1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8="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2757)</f>
        <v/>
      </c>
      <c r="L2757">
        <f>K2757*(MIN(Inputs!$B$22+(F2767-Calc!F18),(Inputs!$B$23+(IF(ArtifactsInput!$M$15,CHOOSE(ArtifactsInput!$N$15+1,25,30,35,40,45,50)/100*(Inputs!$B$11-Inputs!$B$11),0))))/100+(Inputs!$B$23+(IF(ArtifactsInput!$M$15,CHOOSE(ArtifactsInput!$N$15+1,25,30,35,40,45,50)/100*(Inputs!$B$11-Inputs!$B$11),0)))/100)/2</f>
        <v/>
      </c>
      <c r="M2757">
        <f>L2757*(1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7">
        <f>L2757*(1-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2757*(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7">
        <f>(1-Summary!$B$11)*S2757+Summary!$B$11*U2757</f>
        <v/>
      </c>
      <c r="P2757">
        <f>IF(B2786=0,0,O2757/B2786)</f>
        <v/>
      </c>
      <c r="Q2757">
        <f>IFERROR(1/(IF(Inputs!$B$38="pvp",15,MAX(0.1,Skills!D8-IF(TRUE=TRUE,2.5,0)))*(1-IF(AND(ArtifactsInput!$M$27,Inputs!$B$4="Chapter Hunt"),CHOOSE(ArtifactsInput!$N$27+1,20,24,28,32,36,40),0)/100)),0)</f>
        <v/>
      </c>
      <c r="R2757">
        <f>IF(AND(Inputs!$B$38&lt;&gt;"pvp",Inputs!$B$43&gt;0),IF(MAX(0,Inputs!$B$43-B2783)&lt;=0,0,(INT(MAX(0,Inputs!$B$43-B2783)/(IF(Inputs!$B$38="pvp",15,MAX(0.1,Skills!D8-IF(TRUE=TRUE,2.5,0)))*(1-IF(AND(ArtifactsInput!$M$27,Inputs!$B$4="Chapter Hunt"),CHOOSE(ArtifactsInput!$N$27+1,20,24,28,32,36,40),0)/100)))+1)),0)</f>
        <v/>
      </c>
      <c r="S2757">
        <f>IF(C2757,(H2757*N2757*IF(AND(Inputs!$B$38&lt;&gt;"pvp",Inputs!$B$43&gt;0),((Skills!F8*((R2757-1)*IF(Skills!G8&gt;0,Skills!H8/Skills!G8,1)+IF(Skills!G8&gt;0,MIN(Skills!H8,MAX(0,MAX(0,Inputs!$B$43-B2783)-((R2757-1)*(IF(Inputs!$B$38="pvp",15,MAX(0.1,Skills!D8-IF(TRUE=TRUE,2.5,0)))*(1-IF(AND(ArtifactsInput!$M$27,Inputs!$B$4="Chapter Hunt"),CHOOSE(ArtifactsInput!$N$27+1,20,24,28,32,36,40),0)/100)))))/Skills!G8,1)))/Inputs!$B$43),G2757*Q2757))*IF(Inputs!$B$38="pvp",1,1+(Inputs!$B$20+Skills!O8+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2757*(1-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2757*(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2757*(1-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2757*(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7">
        <f>IF(C2757,(H2757*N2757*IF(AND(Inputs!$B$38&lt;&gt;"pvp",Inputs!$B$43&gt;0),((Skills!F8*((R2757-1)*IF(Skills!G8&gt;0,Skills!H8/Skills!G8,1)+IF(Skills!G8&gt;0,MIN(Skills!H8,MAX(0,MAX(0,Inputs!$B$43-B2783)-((R2757-1)*(IF(Inputs!$B$38="pvp",15,MAX(0.1,Skills!D8-IF(TRUE=TRUE,2.5,0)))*(1-IF(AND(ArtifactsInput!$M$27,Inputs!$B$4="Chapter Hunt"),CHOOSE(ArtifactsInput!$N$27+1,20,24,28,32,36,40),0)/100)))))/Skills!G8,1)))/Inputs!$B$43),G2757*Q2757))*IF(Inputs!$B$38="pvp",1,(1+(Inputs!$B$21+Skills!P8+B2777+(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8">
      <c r="A2758">
        <f>Skills!A9</f>
        <v/>
      </c>
      <c r="B2758">
        <f>Skills!B9</f>
        <v/>
      </c>
      <c r="C2758">
        <f>Inputs!$B$3&gt;=105</f>
        <v/>
      </c>
      <c r="D2758">
        <f>IF(Skills!C9=1,60+Inputs!$B$25+Inputs!$B$29,IF(Skills!C9=2,90+Inputs!$B$26+Inputs!$B$29,IF(Skills!C9=3,120+Inputs!$B$27+Inputs!$B$29,MAX(0,(Inputs!$B$3-100)*3)+Inputs!$B$28+Inputs!$B$29)))</f>
        <v/>
      </c>
      <c r="E2758">
        <f>INDEX(FactorTable!$B$2:$Y$301, MATCH(ROUND(MIN(300,MAX(1,D2758)),0), FactorTable!$A$2:$A$301,0), Skills!L9+1)</f>
        <v/>
      </c>
      <c r="F2758">
        <f>IF(Skills!M9=TRUE,(Skills!K9/10)*(E2758/1000),Skills!K9/10)+Skills!N9</f>
        <v/>
      </c>
      <c r="G2758">
        <f>Calc!G9</f>
        <v/>
      </c>
      <c r="H2758">
        <f>Calc!H9</f>
        <v/>
      </c>
      <c r="I2758">
        <f>IF(Skills!T9&lt;&gt;"",1+(Skills!T9/10)*(Z2752/1000)/100,1)</f>
        <v/>
      </c>
      <c r="J2758">
        <f>((Inputs!$B$6*(1+Inputs!$B$7/100))+(((Inputs!$B$12*(1+Inputs!$B$13/100))-(Inputs!$B$12*(1+Inputs!$B$13/100)))+0.25*(Inputs!$B$14-Inputs!$B$14))*(1+Inputs!$B$7/100))*(F2758/100)</f>
        <v/>
      </c>
      <c r="K2758">
        <f>J2758*(1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9="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2758)</f>
        <v/>
      </c>
      <c r="L2758">
        <f>K2758*(MIN(Inputs!$B$22+(F2767-Calc!F18),(Inputs!$B$23+(IF(ArtifactsInput!$M$15,CHOOSE(ArtifactsInput!$N$15+1,25,30,35,40,45,50)/100*(Inputs!$B$11-Inputs!$B$11),0))))/100+(Inputs!$B$23+(IF(ArtifactsInput!$M$15,CHOOSE(ArtifactsInput!$N$15+1,25,30,35,40,45,50)/100*(Inputs!$B$11-Inputs!$B$11),0)))/100)/2</f>
        <v/>
      </c>
      <c r="M2758">
        <f>L2758*(1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8">
        <f>L2758*(1-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2758*(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8">
        <f>(1-Summary!$B$11)*S2758+Summary!$B$11*U2758</f>
        <v/>
      </c>
      <c r="P2758">
        <f>IF(B2786=0,0,O2758/B2786)</f>
        <v/>
      </c>
      <c r="Q2758">
        <f>IFERROR(1/(IF(Inputs!$B$38="pvp",15,MAX(0.1,Skills!D9-IF(TRUE=TRUE,2.5,0)))*(1-IF(AND(ArtifactsInput!$M$27,Inputs!$B$4="Chapter Hunt"),CHOOSE(ArtifactsInput!$N$27+1,20,24,28,32,36,40),0)/100)),0)</f>
        <v/>
      </c>
      <c r="R2758">
        <f>IF(AND(Inputs!$B$38&lt;&gt;"pvp",Inputs!$B$43&gt;0),IF(MAX(0,Inputs!$B$43-B2783)&lt;=0,0,(INT(MAX(0,Inputs!$B$43-B2783)/(IF(Inputs!$B$38="pvp",15,MAX(0.1,Skills!D9-IF(TRUE=TRUE,2.5,0)))*(1-IF(AND(ArtifactsInput!$M$27,Inputs!$B$4="Chapter Hunt"),CHOOSE(ArtifactsInput!$N$27+1,20,24,28,32,36,40),0)/100)))+1)),0)</f>
        <v/>
      </c>
      <c r="S2758">
        <f>IF(C2758,(H2758*N2758*IF(AND(Inputs!$B$38&lt;&gt;"pvp",Inputs!$B$43&gt;0),((Skills!F9*((R2758-1)*IF(Skills!G9&gt;0,Skills!H9/Skills!G9,1)+IF(Skills!G9&gt;0,MIN(Skills!H9,MAX(0,MAX(0,Inputs!$B$43-B2783)-((R2758-1)*(IF(Inputs!$B$38="pvp",15,MAX(0.1,Skills!D9-IF(TRUE=TRUE,2.5,0)))*(1-IF(AND(ArtifactsInput!$M$27,Inputs!$B$4="Chapter Hunt"),CHOOSE(ArtifactsInput!$N$27+1,20,24,28,32,36,40),0)/100)))))/Skills!G9,1)))/Inputs!$B$43),G2758*Q2758))*IF(Inputs!$B$38="pvp",1,1+(Inputs!$B$20+Skills!O9+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2758*(1-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2758*(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2758*(1-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2758*(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8">
        <f>IF(C2758,(H2758*N2758*IF(AND(Inputs!$B$38&lt;&gt;"pvp",Inputs!$B$43&gt;0),((Skills!F9*((R2758-1)*IF(Skills!G9&gt;0,Skills!H9/Skills!G9,1)+IF(Skills!G9&gt;0,MIN(Skills!H9,MAX(0,MAX(0,Inputs!$B$43-B2783)-((R2758-1)*(IF(Inputs!$B$38="pvp",15,MAX(0.1,Skills!D9-IF(TRUE=TRUE,2.5,0)))*(1-IF(AND(ArtifactsInput!$M$27,Inputs!$B$4="Chapter Hunt"),CHOOSE(ArtifactsInput!$N$27+1,20,24,28,32,36,40),0)/100)))))/Skills!G9,1)))/Inputs!$B$43),G2758*Q2758))*IF(Inputs!$B$38="pvp",1,(1+(Inputs!$B$21+Skills!P9+B2777+(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59">
      <c r="A2759">
        <f>Skills!A10</f>
        <v/>
      </c>
      <c r="B2759">
        <f>Skills!B10</f>
        <v/>
      </c>
      <c r="C2759">
        <f>Inputs!$B$3&gt;=113</f>
        <v/>
      </c>
      <c r="D2759">
        <f>IF(Skills!C10=1,60+Inputs!$B$25+Inputs!$B$29,IF(Skills!C10=2,90+Inputs!$B$26+Inputs!$B$29,IF(Skills!C10=3,120+Inputs!$B$27+Inputs!$B$29,MAX(0,(Inputs!$B$3-100)*3)+Inputs!$B$28+Inputs!$B$29)))</f>
        <v/>
      </c>
      <c r="E2759">
        <f>INDEX(FactorTable!$B$2:$Y$301, MATCH(ROUND(MIN(300,MAX(1,D2759)),0), FactorTable!$A$2:$A$301,0), Skills!L10+1)</f>
        <v/>
      </c>
      <c r="F2759">
        <f>IF(Skills!M10=TRUE,(Skills!K10/10)*(E2759/1000),Skills!K10/10)+Skills!N10</f>
        <v/>
      </c>
      <c r="G2759">
        <f>Calc!G10</f>
        <v/>
      </c>
      <c r="H2759">
        <f>Calc!H10</f>
        <v/>
      </c>
      <c r="I2759">
        <f>IF(Skills!T10&lt;&gt;"",1+(Skills!T10/10)*(Z2752/1000)/100,1)</f>
        <v/>
      </c>
      <c r="J2759">
        <f>((Inputs!$B$6*(1+Inputs!$B$7/100))+(((Inputs!$B$12*(1+Inputs!$B$13/100))-(Inputs!$B$12*(1+Inputs!$B$13/100)))+0.25*(Inputs!$B$14-Inputs!$B$14))*(1+Inputs!$B$7/100))*(F2759/100)</f>
        <v/>
      </c>
      <c r="K2759">
        <f>J2759*(1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10="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2759)</f>
        <v/>
      </c>
      <c r="L2759">
        <f>K2759*(MIN(Inputs!$B$22+(F2767-Calc!F18),(Inputs!$B$23+(IF(ArtifactsInput!$M$15,CHOOSE(ArtifactsInput!$N$15+1,25,30,35,40,45,50)/100*(Inputs!$B$11-Inputs!$B$11),0))))/100+(Inputs!$B$23+(IF(ArtifactsInput!$M$15,CHOOSE(ArtifactsInput!$N$15+1,25,30,35,40,45,50)/100*(Inputs!$B$11-Inputs!$B$11),0)))/100)/2</f>
        <v/>
      </c>
      <c r="M2759">
        <f>L2759*(1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59">
        <f>L2759*(1-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2759*(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59">
        <f>(1-Summary!$B$11)*S2759+Summary!$B$11*U2759</f>
        <v/>
      </c>
      <c r="P2759">
        <f>IF(B2786=0,0,O2759/B2786)</f>
        <v/>
      </c>
      <c r="Q2759">
        <f>IFERROR(1/(IF(Inputs!$B$38="pvp",15,MAX(0.1,Skills!D10-IF(TRUE=TRUE,2.5,0)))*(1-IF(AND(ArtifactsInput!$M$27,Inputs!$B$4="Chapter Hunt"),CHOOSE(ArtifactsInput!$N$27+1,20,24,28,32,36,40),0)/100)),0)</f>
        <v/>
      </c>
      <c r="R2759" t="n">
        <v>0</v>
      </c>
      <c r="S2759">
        <f>IF(C2759,((H2759*B2787)/(1+Skills!G10*H2759*B2787)*N2759)*IF(Inputs!$B$38="pvp",1,1+(Inputs!$B$20+Skills!O10+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2759*(1-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2759*(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2759*(1-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2759*(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59">
        <f>IF(C2759,((H2759*B2787)/(1+Skills!G10*H2759*B2787)*N2759)*IF(Inputs!$B$38="pvp",1,(1+(Inputs!$B$21+Skills!P10+B2777+(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0">
      <c r="A2760">
        <f>Skills!A11</f>
        <v/>
      </c>
      <c r="B2760">
        <f>Skills!B11</f>
        <v/>
      </c>
      <c r="C2760">
        <f>Inputs!$B$3&gt;=107</f>
        <v/>
      </c>
      <c r="D2760">
        <f>IF(Skills!C11=1,60+Inputs!$B$25+Inputs!$B$29,IF(Skills!C11=2,90+Inputs!$B$26+Inputs!$B$29,IF(Skills!C11=3,120+Inputs!$B$27+Inputs!$B$29,MAX(0,(Inputs!$B$3-100)*3)+Inputs!$B$28+Inputs!$B$29)))</f>
        <v/>
      </c>
      <c r="E2760">
        <f>INDEX(FactorTable!$B$2:$Y$301, MATCH(ROUND(MIN(300,MAX(1,D2760)),0), FactorTable!$A$2:$A$301,0), Skills!L11+1)</f>
        <v/>
      </c>
      <c r="F2760">
        <f>IF(Skills!M11=TRUE,(Skills!K11/10)*(E2760/1000),Skills!K11/10)+Skills!N11</f>
        <v/>
      </c>
      <c r="G2760">
        <f>Calc!G11</f>
        <v/>
      </c>
      <c r="H2760">
        <f>Calc!H11</f>
        <v/>
      </c>
      <c r="I2760">
        <f>IF(Skills!T11&lt;&gt;"",1+(Skills!T11/10)*(Z2752/1000)/100,1)</f>
        <v/>
      </c>
      <c r="J2760">
        <f>((Inputs!$B$6*(1+Inputs!$B$7/100))+(((Inputs!$B$12*(1+Inputs!$B$13/100))-(Inputs!$B$12*(1+Inputs!$B$13/100)))+0.25*(Inputs!$B$14-Inputs!$B$14))*(1+Inputs!$B$7/100))*(F2760/100)</f>
        <v/>
      </c>
      <c r="K2760">
        <f>J2760*(1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11="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2760)</f>
        <v/>
      </c>
      <c r="L2760">
        <f>K2760*(MIN(Inputs!$B$22+(F2767-Calc!F18),(Inputs!$B$23+(IF(ArtifactsInput!$M$15,CHOOSE(ArtifactsInput!$N$15+1,25,30,35,40,45,50)/100*(Inputs!$B$11-Inputs!$B$11),0))))/100+(Inputs!$B$23+(IF(ArtifactsInput!$M$15,CHOOSE(ArtifactsInput!$N$15+1,25,30,35,40,45,50)/100*(Inputs!$B$11-Inputs!$B$11),0)))/100)/2</f>
        <v/>
      </c>
      <c r="M2760">
        <f>L2760*(1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0">
        <f>L2760*(1-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2760*(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0">
        <f>(1-Summary!$B$11)*S2760+Summary!$B$11*U2760</f>
        <v/>
      </c>
      <c r="P2760">
        <f>IF(B2786=0,0,O2760/B2786)</f>
        <v/>
      </c>
      <c r="Q2760">
        <f>IFERROR(1/(IF(Inputs!$B$38="pvp",15,MAX(0.1,Skills!D11-IF(TRUE=TRUE,2.5,0)))*(1-IF(AND(ArtifactsInput!$M$27,Inputs!$B$4="Chapter Hunt"),CHOOSE(ArtifactsInput!$N$27+1,20,24,28,32,36,40),0)/100)),0)</f>
        <v/>
      </c>
      <c r="R2760">
        <f>IF(AND(Inputs!$B$38&lt;&gt;"pvp",Inputs!$B$43&gt;0),IF(MAX(0,Inputs!$B$43-B2783)&lt;=0,0,(INT(MAX(0,Inputs!$B$43-B2783)/(IF(Inputs!$B$38="pvp",15,MAX(0.1,Skills!D11-IF(TRUE=TRUE,2.5,0)))*(1-IF(AND(ArtifactsInput!$M$27,Inputs!$B$4="Chapter Hunt"),CHOOSE(ArtifactsInput!$N$27+1,20,24,28,32,36,40),0)/100)))+1)),0)</f>
        <v/>
      </c>
      <c r="S2760">
        <f>IF(C2760,H2760*N2760*IF(AND(Inputs!$B$38&lt;&gt;"pvp",Inputs!$B$43&gt;0),((Skills!F11*((R2760-1)*IF(Skills!G11&gt;0,Skills!H11/Skills!G11,1)+IF(Skills!G11&gt;0,MIN(Skills!H11,MAX(0,MAX(0,Inputs!$B$43-B2783)-((R2760-1)*(IF(Inputs!$B$38="pvp",15,MAX(0.1,Skills!D11-IF(TRUE=TRUE,2.5,0)))*(1-IF(AND(ArtifactsInput!$M$27,Inputs!$B$4="Chapter Hunt"),CHOOSE(ArtifactsInput!$N$27+1,20,24,28,32,36,40),0)/100)))))/Skills!G11,1)))/Inputs!$B$43),G2760*Q2760)*0.5*IF(Inputs!$B$38="pvp",1,1+(Inputs!$B$20+Skills!O11+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2760*(1-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2760*(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2760*(1-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2760*(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60">
        <f>IF(C2760,H2760*N2760*IF(AND(Inputs!$B$38&lt;&gt;"pvp",Inputs!$B$43&gt;0),((Skills!F11*((R2760-1)*IF(Skills!G11&gt;0,Skills!H11/Skills!G11,1)+IF(Skills!G11&gt;0,MIN(Skills!H11,MAX(0,MAX(0,Inputs!$B$43-B2783)-((R2760-1)*(IF(Inputs!$B$38="pvp",15,MAX(0.1,Skills!D11-IF(TRUE=TRUE,2.5,0)))*(1-IF(AND(ArtifactsInput!$M$27,Inputs!$B$4="Chapter Hunt"),CHOOSE(ArtifactsInput!$N$27+1,20,24,28,32,36,40),0)/100)))))/Skills!G11,1)))/Inputs!$B$43),G2760*Q2760)*1*IF(Inputs!$B$38="pvp",1,(1+(Inputs!$B$21+Skills!P11+B2777+(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1">
      <c r="A2761">
        <f>Skills!A12</f>
        <v/>
      </c>
      <c r="B2761">
        <f>Skills!B12</f>
        <v/>
      </c>
      <c r="C2761">
        <f>Inputs!$B$3&gt;=115</f>
        <v/>
      </c>
      <c r="D2761">
        <f>IF(Skills!C12=1,60+Inputs!$B$25+Inputs!$B$29,IF(Skills!C12=2,90+Inputs!$B$26+Inputs!$B$29,IF(Skills!C12=3,120+Inputs!$B$27+Inputs!$B$29,MAX(0,(Inputs!$B$3-100)*3)+Inputs!$B$28+Inputs!$B$29)))</f>
        <v/>
      </c>
      <c r="E2761">
        <f>INDEX(FactorTable!$B$2:$Y$301, MATCH(ROUND(MIN(300,MAX(1,D2761)),0), FactorTable!$A$2:$A$301,0), Skills!L12+1)</f>
        <v/>
      </c>
      <c r="F2761">
        <f>IF(Skills!M12=TRUE,(Skills!K12/10)*(E2761/1000),Skills!K12/10)+Skills!N12</f>
        <v/>
      </c>
      <c r="G2761">
        <f>Calc!G12</f>
        <v/>
      </c>
      <c r="H2761">
        <f>Calc!H12</f>
        <v/>
      </c>
      <c r="I2761">
        <f>IF(Skills!T12&lt;&gt;"",1+(Skills!T12/10)*(Z2752/1000)/100,1)</f>
        <v/>
      </c>
      <c r="J2761">
        <f>((Inputs!$B$6*(1+Inputs!$B$7/100))+(((Inputs!$B$12*(1+Inputs!$B$13/100))-(Inputs!$B$12*(1+Inputs!$B$13/100)))+0.25*(Inputs!$B$14-Inputs!$B$14))*(1+Inputs!$B$7/100))*(F2761/100)</f>
        <v/>
      </c>
      <c r="K2761">
        <f>J2761*(1+((Inputs!$B$12*(1+Inputs!$B$13/100))*0.01+Inputs!$B$14*0.0025)/100)*(1+(Inputs!$B$15+B2778)/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2764=TRUE,F2764,0)/100)*(1+IF(C2772=TRUE,F2772,0)/100)^5*(1+(IF(Skills!A12="CHAIN_LIGHTNING",Inputs!$B$17+((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2776*(1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2761)</f>
        <v/>
      </c>
      <c r="L2761">
        <f>K2761*(MIN(Inputs!$B$22+(F2767-Calc!F18),(Inputs!$B$23+(IF(ArtifactsInput!$M$15,CHOOSE(ArtifactsInput!$N$15+1,25,30,35,40,45,50)/100*(Inputs!$B$11-Inputs!$B$11),0))))/100+(Inputs!$B$23+(IF(ArtifactsInput!$M$15,CHOOSE(ArtifactsInput!$N$15+1,25,30,35,40,45,50)/100*(Inputs!$B$11-Inputs!$B$11),0)))/100)/2</f>
        <v/>
      </c>
      <c r="M2761">
        <f>L2761*(1+(Inputs!$B$10+(F2770-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61">
        <f>L2761*(1-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2761*(MIN((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61">
        <f>(1-Summary!$B$11)*S2761+Summary!$B$11*U2761</f>
        <v/>
      </c>
      <c r="P2761">
        <f>IF(B2786=0,0,O2761/B2786)</f>
        <v/>
      </c>
      <c r="Q2761">
        <f>IFERROR(1/(IF(Inputs!$B$38="pvp",15,MAX(0.1,Skills!D12-IF(TRUE=TRUE,2.5,0)))*(1-IF(AND(ArtifactsInput!$M$27,Inputs!$B$4="Chapter Hunt"),CHOOSE(ArtifactsInput!$N$27+1,20,24,28,32,36,40),0)/100)),0)</f>
        <v/>
      </c>
      <c r="R2761">
        <f>IF(AND(Inputs!$B$38&lt;&gt;"pvp",Inputs!$B$43&gt;0),IF(MAX(0,Inputs!$B$43-B2783)&lt;=0,0,(INT(MAX(0,Inputs!$B$43-B2783)/(IF(Inputs!$B$38="pvp",15,MAX(0.1,Skills!D12-IF(TRUE=TRUE,2.5,0)))*(1-IF(AND(ArtifactsInput!$M$27,Inputs!$B$4="Chapter Hunt"),CHOOSE(ArtifactsInput!$N$27+1,20,24,28,32,36,40),0)/100)))+1)),0)</f>
        <v/>
      </c>
      <c r="S2761">
        <f>IF(C2761,(H2761*N2761*IF(AND(Inputs!$B$38&lt;&gt;"pvp",Inputs!$B$43&gt;0),((Skills!F12*((R2761-1)*IF(Skills!G12&gt;0,Skills!H12/Skills!G12,1)+IF(Skills!G12&gt;0,MIN(Skills!H12,MAX(0,MAX(0,Inputs!$B$43-B2783)-((R2761-1)*(IF(Inputs!$B$38="pvp",15,MAX(0.1,Skills!D12-IF(TRUE=TRUE,2.5,0)))*(1-IF(AND(ArtifactsInput!$M$27,Inputs!$B$4="Chapter Hunt"),CHOOSE(ArtifactsInput!$N$27+1,20,24,28,32,36,40),0)/100)))))/Skills!G12,1)))/Inputs!$B$43),G2761*Q2761))*IF(Inputs!$B$38="pvp",1,1+(Inputs!$B$20+Skills!O12+B2777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2761*(1-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2761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2761*(1-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2761*(MIN(100,(Inputs!$B$9+((F2769-Calc!F20)+(F2768-Calc!F19))+(ArtifactsInput!$M$24-ArtifactsInput!$M$24)*CHOOSE(ArtifactsInput!$N$24+1,10,12,14,16,18,20)+(IF(AND(Inputs!$B$38&lt;&gt;"pvp",Inputs!$B$43=0),1,IF(IF(Inputs!$B$38="pvp",15,Inputs!$B$43)-(B2783)&lt;=0,1,MAX(0,IF(Inputs!$B$38="pvp",15,Inputs!$B$43)-MAX(5,B2783))/(IF(Inputs!$B$38="pvp",15,Inputs!$B$43)-(B2783))))*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61">
        <f>IF(C2761,(H2761*N2761*IF(AND(Inputs!$B$38&lt;&gt;"pvp",Inputs!$B$43&gt;0),((Skills!F12*((R2761-1)*IF(Skills!G12&gt;0,Skills!H12/Skills!G12,1)+IF(Skills!G12&gt;0,MIN(Skills!H12,MAX(0,MAX(0,Inputs!$B$43-B2783)-((R2761-1)*(IF(Inputs!$B$38="pvp",15,MAX(0.1,Skills!D12-IF(TRUE=TRUE,2.5,0)))*(1-IF(AND(ArtifactsInput!$M$27,Inputs!$B$4="Chapter Hunt"),CHOOSE(ArtifactsInput!$N$27+1,20,24,28,32,36,40),0)/100)))))/Skills!G12,1)))/Inputs!$B$43),G2761*Q2761))*IF(Inputs!$B$38="pvp",1,(1+(Inputs!$B$21+Skills!P12+B2777+(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62">
      <c r="A2762">
        <f>Skills!A13</f>
        <v/>
      </c>
      <c r="B2762">
        <f>Skills!B13</f>
        <v/>
      </c>
      <c r="C2762">
        <f>Inputs!$B$3&gt;=49</f>
        <v/>
      </c>
      <c r="D2762">
        <f>IF(Skills!C13=1,60+Inputs!$B$25+Inputs!$B$29,IF(Skills!C13=2,90+Inputs!$B$26+Inputs!$B$29,IF(Skills!C13=3,120+Inputs!$B$27+Inputs!$B$29,MAX(0,(Inputs!$B$3-100)*3)+Inputs!$B$28+Inputs!$B$29)))</f>
        <v/>
      </c>
      <c r="E2762">
        <f>INDEX(FactorTable!$B$2:$Y$301, MATCH(ROUND(MIN(300,MAX(1,D2762)),0), FactorTable!$A$2:$A$301,0), Skills!L13+1)</f>
        <v/>
      </c>
      <c r="F2762">
        <f>IF(Skills!M13=TRUE,(Skills!K13/10)*(E2762/1000),Skills!K13/10)+Skills!N13</f>
        <v/>
      </c>
      <c r="G2762">
        <f>Calc!G13</f>
        <v/>
      </c>
      <c r="H2762">
        <f>Calc!H13</f>
        <v/>
      </c>
      <c r="I2762">
        <f>IF(Skills!T13&lt;&gt;"",1+(Skills!T13/10)*(Z2752/1000)/100,1)</f>
        <v/>
      </c>
      <c r="J2762" t="inlineStr"/>
      <c r="K2762" t="inlineStr"/>
      <c r="L2762" t="inlineStr"/>
      <c r="M2762" t="inlineStr"/>
      <c r="N2762" t="inlineStr"/>
      <c r="O2762">
        <f>(1-Summary!$B$11)*S2762+Summary!$B$11*U2762</f>
        <v/>
      </c>
      <c r="P2762">
        <f>IF(B2786=0,0,O2762/B2786)</f>
        <v/>
      </c>
      <c r="Q2762">
        <f>IFERROR(1/(IF(Inputs!$B$38="pvp",15,MAX(0.1,Skills!D13-IF(TRUE=TRUE,2.5,0)))*(1-IF(AND(ArtifactsInput!$M$27,Inputs!$B$4="Chapter Hunt"),CHOOSE(ArtifactsInput!$N$27+1,20,24,28,32,36,40),0)/100)),0)</f>
        <v/>
      </c>
      <c r="R2762" t="n">
        <v>0</v>
      </c>
      <c r="S2762" t="n">
        <v>0</v>
      </c>
      <c r="U2762" t="n">
        <v>0</v>
      </c>
    </row>
    <row r="2763">
      <c r="A2763">
        <f>Skills!A14</f>
        <v/>
      </c>
      <c r="B2763">
        <f>Skills!B14</f>
        <v/>
      </c>
      <c r="C2763">
        <f>Inputs!$B$3&gt;=72</f>
        <v/>
      </c>
      <c r="D2763">
        <f>IF(Skills!C14=1,60+Inputs!$B$25+Inputs!$B$29,IF(Skills!C14=2,90+Inputs!$B$26+Inputs!$B$29,IF(Skills!C14=3,120+Inputs!$B$27+Inputs!$B$29,MAX(0,(Inputs!$B$3-100)*3)+Inputs!$B$28+Inputs!$B$29)))</f>
        <v/>
      </c>
      <c r="E2763">
        <f>INDEX(FactorTable!$B$2:$Y$301, MATCH(ROUND(MIN(300,MAX(1,D2763)),0), FactorTable!$A$2:$A$301,0), Skills!L14+1)</f>
        <v/>
      </c>
      <c r="F2763">
        <f>IF(Skills!M14=TRUE,(Skills!K14/10)*(E2763/1000),Skills!K14/10)+Skills!N14</f>
        <v/>
      </c>
      <c r="G2763">
        <f>Calc!G14</f>
        <v/>
      </c>
      <c r="H2763">
        <f>Calc!H14</f>
        <v/>
      </c>
      <c r="I2763">
        <f>IF(Skills!T14&lt;&gt;"",1+(Skills!T14/10)*(Z2752/1000)/100,1)</f>
        <v/>
      </c>
      <c r="J2763" t="inlineStr"/>
      <c r="K2763" t="inlineStr"/>
      <c r="L2763" t="inlineStr"/>
      <c r="M2763" t="inlineStr"/>
      <c r="N2763" t="inlineStr"/>
      <c r="O2763">
        <f>(1-Summary!$B$11)*S2763+Summary!$B$11*U2763</f>
        <v/>
      </c>
      <c r="P2763">
        <f>IF(B2786=0,0,O2763/B2786)</f>
        <v/>
      </c>
      <c r="Q2763">
        <f>IFERROR(1/(IF(Inputs!$B$38="pvp",15,MAX(0.1,Skills!D14-IF(TRUE=TRUE,2.5,0)))*(1-IF(AND(ArtifactsInput!$M$27,Inputs!$B$4="Chapter Hunt"),CHOOSE(ArtifactsInput!$N$27+1,20,24,28,32,36,40),0)/100)),0)</f>
        <v/>
      </c>
      <c r="R2763" t="n">
        <v>0</v>
      </c>
      <c r="S2763" t="n">
        <v>0</v>
      </c>
      <c r="U2763" t="n">
        <v>0</v>
      </c>
    </row>
    <row r="2764">
      <c r="A2764">
        <f>Skills!A15</f>
        <v/>
      </c>
      <c r="B2764">
        <f>Skills!B15</f>
        <v/>
      </c>
      <c r="C2764">
        <f>Inputs!$B$3&gt;=75</f>
        <v/>
      </c>
      <c r="D2764">
        <f>IF(Skills!C15=1,60+Inputs!$B$25+Inputs!$B$29,IF(Skills!C15=2,90+Inputs!$B$26+Inputs!$B$29,IF(Skills!C15=3,120+Inputs!$B$27+Inputs!$B$29,MAX(0,(Inputs!$B$3-100)*3)+Inputs!$B$28+Inputs!$B$29)))</f>
        <v/>
      </c>
      <c r="E2764">
        <f>INDEX(FactorTable!$B$2:$Y$301, MATCH(ROUND(MIN(300,MAX(1,D2764)),0), FactorTable!$A$2:$A$301,0), Skills!L15+1)</f>
        <v/>
      </c>
      <c r="F2764">
        <f>IF(Skills!M15=TRUE,(Skills!K15/10)*(E2764/1000),Skills!K15/10)+Skills!N15</f>
        <v/>
      </c>
      <c r="G2764">
        <f>Calc!G15</f>
        <v/>
      </c>
      <c r="H2764">
        <f>Calc!H15</f>
        <v/>
      </c>
      <c r="I2764">
        <f>IF(Skills!T15&lt;&gt;"",1+(Skills!T15/10)*(Z2752/1000)/100,1)</f>
        <v/>
      </c>
      <c r="J2764" t="inlineStr"/>
      <c r="K2764" t="inlineStr"/>
      <c r="L2764" t="inlineStr"/>
      <c r="M2764" t="inlineStr"/>
      <c r="N2764" t="inlineStr"/>
      <c r="O2764">
        <f>(1-Summary!$B$11)*S2764+Summary!$B$11*U2764</f>
        <v/>
      </c>
      <c r="P2764">
        <f>IF(B2786=0,0,O2764/B2786)</f>
        <v/>
      </c>
      <c r="Q2764">
        <f>IFERROR(1/(IF(Inputs!$B$38="pvp",15,MAX(0.1,Skills!D15-IF(TRUE=TRUE,2.5,0)))*(1-IF(AND(ArtifactsInput!$M$27,Inputs!$B$4="Chapter Hunt"),CHOOSE(ArtifactsInput!$N$27+1,20,24,28,32,36,40),0)/100)),0)</f>
        <v/>
      </c>
      <c r="R2764" t="n">
        <v>0</v>
      </c>
      <c r="S2764" t="n">
        <v>0</v>
      </c>
      <c r="U2764" t="n">
        <v>0</v>
      </c>
    </row>
    <row r="2765">
      <c r="A2765">
        <f>Skills!A16</f>
        <v/>
      </c>
      <c r="B2765">
        <f>Skills!B16</f>
        <v/>
      </c>
      <c r="C2765">
        <f>Inputs!$B$3&gt;=110</f>
        <v/>
      </c>
      <c r="D2765">
        <f>IF(Skills!C16=1,60+Inputs!$B$25+Inputs!$B$29,IF(Skills!C16=2,90+Inputs!$B$26+Inputs!$B$29,IF(Skills!C16=3,120+Inputs!$B$27+Inputs!$B$29,MAX(0,(Inputs!$B$3-100)*3)+Inputs!$B$28+Inputs!$B$29)))</f>
        <v/>
      </c>
      <c r="E2765">
        <f>INDEX(FactorTable!$B$2:$Y$301, MATCH(ROUND(MIN(300,MAX(1,D2765)),0), FactorTable!$A$2:$A$301,0), Skills!L16+1)</f>
        <v/>
      </c>
      <c r="F2765">
        <f>(Skills!K16/10)*(E2765/1000)*64/45+Skills!N16</f>
        <v/>
      </c>
      <c r="G2765">
        <f>Calc!G16</f>
        <v/>
      </c>
      <c r="H2765">
        <f>Calc!H16</f>
        <v/>
      </c>
      <c r="I2765">
        <f>IF(Skills!T16&lt;&gt;"",1+(Skills!T16/10)*(Z2752/1000)/100,1)</f>
        <v/>
      </c>
      <c r="J2765" t="inlineStr"/>
      <c r="K2765" t="inlineStr"/>
      <c r="L2765" t="inlineStr"/>
      <c r="M2765" t="inlineStr"/>
      <c r="N2765" t="inlineStr"/>
      <c r="O2765">
        <f>(1-Summary!$B$11)*S2765+Summary!$B$11*U2765</f>
        <v/>
      </c>
      <c r="P2765">
        <f>IF(B2786=0,0,O2765/B2786)</f>
        <v/>
      </c>
      <c r="Q2765">
        <f>IFERROR(1/(IF(Inputs!$B$38="pvp",15,MAX(0.1,Skills!D16-IF(TRUE=TRUE,2.5,0)))*(1-IF(AND(ArtifactsInput!$M$27,Inputs!$B$4="Chapter Hunt"),CHOOSE(ArtifactsInput!$N$27+1,20,24,28,32,36,40),0)/100)),0)</f>
        <v/>
      </c>
      <c r="R2765">
        <f>IF(AND(Inputs!$B$38&lt;&gt;"pvp",Inputs!$B$43&gt;0),IF(Inputs!$B$43&lt;=0,0,(INT(Inputs!$B$43/(IF(Inputs!$B$38="pvp",15,MAX(0.1,Skills!D16-IF(TRUE=TRUE,2.5,0)))*(1-IF(AND(ArtifactsInput!$M$27,Inputs!$B$4="Chapter Hunt"),CHOOSE(ArtifactsInput!$N$27+1,20,24,28,32,36,40),0)/100)))+1)),0)</f>
        <v/>
      </c>
      <c r="S2765" t="n">
        <v>0</v>
      </c>
      <c r="U2765" t="n">
        <v>0</v>
      </c>
    </row>
    <row r="2766">
      <c r="A2766">
        <f>Skills!A17</f>
        <v/>
      </c>
      <c r="B2766">
        <f>Skills!B17</f>
        <v/>
      </c>
      <c r="C2766">
        <f>Inputs!$B$3&gt;=33</f>
        <v/>
      </c>
      <c r="D2766">
        <f>IF(Skills!C17=1,60+Inputs!$B$25+Inputs!$B$29,IF(Skills!C17=2,90+Inputs!$B$26+Inputs!$B$29,IF(Skills!C17=3,120+Inputs!$B$27+Inputs!$B$29,MAX(0,(Inputs!$B$3-100)*3)+Inputs!$B$28+Inputs!$B$29)))</f>
        <v/>
      </c>
      <c r="E2766">
        <f>INDEX(FactorTable!$B$2:$Y$301, MATCH(ROUND(MIN(300,MAX(1,D2766)),0), FactorTable!$A$2:$A$301,0), Skills!L17+1)</f>
        <v/>
      </c>
      <c r="F2766">
        <f>IF(Skills!M17=TRUE,(Skills!K17/10)*(E2766/1000),Skills!K17/10)+Skills!N17</f>
        <v/>
      </c>
      <c r="G2766">
        <f>Calc!G17</f>
        <v/>
      </c>
      <c r="H2766">
        <f>Calc!H17</f>
        <v/>
      </c>
      <c r="I2766">
        <f>IF(Skills!T17&lt;&gt;"",1+(Skills!T17/10)*(Z2752/1000)/100,1)</f>
        <v/>
      </c>
      <c r="J2766" t="inlineStr"/>
      <c r="K2766" t="inlineStr"/>
      <c r="L2766" t="inlineStr"/>
      <c r="M2766" t="inlineStr"/>
      <c r="N2766" t="inlineStr"/>
      <c r="O2766">
        <f>(1-Summary!$B$11)*S2766+Summary!$B$11*U2766</f>
        <v/>
      </c>
      <c r="P2766">
        <f>IF(B2786=0,0,O2766/B2786)</f>
        <v/>
      </c>
      <c r="Q2766">
        <f>IFERROR(1/(IF(Inputs!$B$38="pvp",15,MAX(0.1,Skills!D17-IF(TRUE=TRUE,2.5,0)))*(1-IF(AND(ArtifactsInput!$M$27,Inputs!$B$4="Chapter Hunt"),CHOOSE(ArtifactsInput!$N$27+1,20,24,28,32,36,40),0)/100)),0)</f>
        <v/>
      </c>
      <c r="R2766" t="n">
        <v>0</v>
      </c>
      <c r="S2766" t="n">
        <v>0</v>
      </c>
      <c r="U2766" t="n">
        <v>0</v>
      </c>
    </row>
    <row r="2767">
      <c r="A2767">
        <f>Skills!A18</f>
        <v/>
      </c>
      <c r="B2767">
        <f>Skills!B18</f>
        <v/>
      </c>
      <c r="C2767">
        <f>Inputs!$B$3&gt;=43</f>
        <v/>
      </c>
      <c r="D2767">
        <f>IF(Skills!C18=1,60+Inputs!$B$25+Inputs!$B$29,IF(Skills!C18=2,90+Inputs!$B$26+Inputs!$B$29,IF(Skills!C18=3,120+Inputs!$B$27+Inputs!$B$29,MAX(0,(Inputs!$B$3-100)*3)+Inputs!$B$28+Inputs!$B$29)))</f>
        <v/>
      </c>
      <c r="E2767">
        <f>INDEX(FactorTable!$B$2:$Y$301, MATCH(ROUND(MIN(300,MAX(1,D2767)),0), FactorTable!$A$2:$A$301,0), Skills!L18+1)</f>
        <v/>
      </c>
      <c r="F2767">
        <f>IF(Skills!M18=TRUE,(Skills!K18/10)*(E2767/1000),Skills!K18/10)+Skills!N18</f>
        <v/>
      </c>
      <c r="G2767">
        <f>Calc!G18</f>
        <v/>
      </c>
      <c r="H2767">
        <f>Calc!H18</f>
        <v/>
      </c>
      <c r="I2767">
        <f>IF(Skills!T18&lt;&gt;"",1+(Skills!T18/10)*(Z2752/1000)/100,1)</f>
        <v/>
      </c>
      <c r="J2767" t="inlineStr"/>
      <c r="K2767" t="inlineStr"/>
      <c r="L2767" t="inlineStr"/>
      <c r="M2767" t="inlineStr"/>
      <c r="N2767" t="inlineStr"/>
      <c r="O2767">
        <f>(1-Summary!$B$11)*S2767+Summary!$B$11*U2767</f>
        <v/>
      </c>
      <c r="P2767">
        <f>IF(B2786=0,0,O2767/B2786)</f>
        <v/>
      </c>
      <c r="Q2767">
        <f>IFERROR(1/(IF(Inputs!$B$38="pvp",15,MAX(0.1,Skills!D18-IF(TRUE=TRUE,2.5,0)))*(1-IF(AND(ArtifactsInput!$M$27,Inputs!$B$4="Chapter Hunt"),CHOOSE(ArtifactsInput!$N$27+1,20,24,28,32,36,40),0)/100)),0)</f>
        <v/>
      </c>
      <c r="R2767" t="n">
        <v>0</v>
      </c>
      <c r="S2767" t="n">
        <v>0</v>
      </c>
      <c r="U2767" t="n">
        <v>0</v>
      </c>
    </row>
    <row r="2768">
      <c r="A2768">
        <f>Skills!A19</f>
        <v/>
      </c>
      <c r="B2768">
        <f>Skills!B19</f>
        <v/>
      </c>
      <c r="C2768">
        <f>Inputs!$B$3&gt;=50</f>
        <v/>
      </c>
      <c r="D2768">
        <f>IF(Skills!C19=1,60+Inputs!$B$25+Inputs!$B$29,IF(Skills!C19=2,90+Inputs!$B$26+Inputs!$B$29,IF(Skills!C19=3,120+Inputs!$B$27+Inputs!$B$29,MAX(0,(Inputs!$B$3-100)*3)+Inputs!$B$28+Inputs!$B$29)))</f>
        <v/>
      </c>
      <c r="E2768">
        <f>INDEX(FactorTable!$B$2:$Y$301, MATCH(ROUND(MIN(300,MAX(1,D2768)),0), FactorTable!$A$2:$A$301,0), Skills!L19+1)</f>
        <v/>
      </c>
      <c r="F2768">
        <f>IF(Skills!M19=TRUE,(Skills!K19/10)*(E2768/1000),Skills!K19/10)+Skills!N19</f>
        <v/>
      </c>
      <c r="G2768">
        <f>Calc!G19</f>
        <v/>
      </c>
      <c r="H2768">
        <f>Calc!H19</f>
        <v/>
      </c>
      <c r="I2768">
        <f>IF(Skills!T19&lt;&gt;"",1+(Skills!T19/10)*(Z2752/1000)/100,1)</f>
        <v/>
      </c>
      <c r="J2768" t="inlineStr"/>
      <c r="K2768" t="inlineStr"/>
      <c r="L2768" t="inlineStr"/>
      <c r="M2768" t="inlineStr"/>
      <c r="N2768" t="inlineStr"/>
      <c r="O2768">
        <f>(1-Summary!$B$11)*S2768+Summary!$B$11*U2768</f>
        <v/>
      </c>
      <c r="P2768">
        <f>IF(B2786=0,0,O2768/B2786)</f>
        <v/>
      </c>
      <c r="Q2768">
        <f>IFERROR(1/(IF(Inputs!$B$38="pvp",15,MAX(0.1,Skills!D19-IF(TRUE=TRUE,2.5,0)))*(1-IF(AND(ArtifactsInput!$M$27,Inputs!$B$4="Chapter Hunt"),CHOOSE(ArtifactsInput!$N$27+1,20,24,28,32,36,40),0)/100)),0)</f>
        <v/>
      </c>
      <c r="R2768" t="n">
        <v>0</v>
      </c>
      <c r="S2768" t="n">
        <v>0</v>
      </c>
      <c r="U2768" t="n">
        <v>0</v>
      </c>
    </row>
    <row r="2769">
      <c r="A2769">
        <f>Skills!A20</f>
        <v/>
      </c>
      <c r="B2769">
        <f>Skills!B20</f>
        <v/>
      </c>
      <c r="C2769">
        <f>Inputs!$B$3&gt;=74</f>
        <v/>
      </c>
      <c r="D2769">
        <f>IF(Skills!C20=1,60+Inputs!$B$25+Inputs!$B$29,IF(Skills!C20=2,90+Inputs!$B$26+Inputs!$B$29,IF(Skills!C20=3,120+Inputs!$B$27+Inputs!$B$29,MAX(0,(Inputs!$B$3-100)*3)+Inputs!$B$28+Inputs!$B$29)))</f>
        <v/>
      </c>
      <c r="E2769">
        <f>INDEX(FactorTable!$B$2:$Y$301, MATCH(ROUND(MIN(300,MAX(1,D2769)),0), FactorTable!$A$2:$A$301,0), Skills!L20+1)</f>
        <v/>
      </c>
      <c r="F2769">
        <f>IF(Skills!M20=TRUE,(Skills!K20/10)*(E2769/1000),Skills!K20/10)+Skills!N20</f>
        <v/>
      </c>
      <c r="G2769">
        <f>Calc!G20</f>
        <v/>
      </c>
      <c r="H2769">
        <f>Calc!H20</f>
        <v/>
      </c>
      <c r="I2769">
        <f>IF(Skills!T20&lt;&gt;"",1+(Skills!T20/10)*(Z2752/1000)/100,1)</f>
        <v/>
      </c>
      <c r="J2769" t="inlineStr"/>
      <c r="K2769" t="inlineStr"/>
      <c r="L2769" t="inlineStr"/>
      <c r="M2769" t="inlineStr"/>
      <c r="N2769" t="inlineStr"/>
      <c r="O2769">
        <f>(1-Summary!$B$11)*S2769+Summary!$B$11*U2769</f>
        <v/>
      </c>
      <c r="P2769">
        <f>IF(B2786=0,0,O2769/B2786)</f>
        <v/>
      </c>
      <c r="Q2769">
        <f>IFERROR(1/(IF(Inputs!$B$38="pvp",15,MAX(0.1,Skills!D20-IF(TRUE=TRUE,2.5,0)))*(1-IF(AND(ArtifactsInput!$M$27,Inputs!$B$4="Chapter Hunt"),CHOOSE(ArtifactsInput!$N$27+1,20,24,28,32,36,40),0)/100)),0)</f>
        <v/>
      </c>
      <c r="R2769" t="n">
        <v>0</v>
      </c>
      <c r="S2769" t="n">
        <v>0</v>
      </c>
      <c r="U2769" t="n">
        <v>0</v>
      </c>
    </row>
    <row r="2770">
      <c r="A2770">
        <f>Skills!A21</f>
        <v/>
      </c>
      <c r="B2770">
        <f>Skills!B21</f>
        <v/>
      </c>
      <c r="C2770">
        <f>Inputs!$B$3&gt;=74</f>
        <v/>
      </c>
      <c r="D2770">
        <f>IF(Skills!C21=1,60+Inputs!$B$25+Inputs!$B$29,IF(Skills!C21=2,90+Inputs!$B$26+Inputs!$B$29,IF(Skills!C21=3,120+Inputs!$B$27+Inputs!$B$29,MAX(0,(Inputs!$B$3-100)*3)+Inputs!$B$28+Inputs!$B$29)))</f>
        <v/>
      </c>
      <c r="E2770">
        <f>INDEX(FactorTable!$B$2:$Y$301, MATCH(ROUND(MIN(300,MAX(1,D2770)),0), FactorTable!$A$2:$A$301,0), Skills!L21+1)</f>
        <v/>
      </c>
      <c r="F2770">
        <f>IF(Skills!M21=TRUE,(Skills!K21/10)*(E2770/1000),Skills!K21/10)+Skills!N21</f>
        <v/>
      </c>
      <c r="G2770">
        <f>Calc!G21</f>
        <v/>
      </c>
      <c r="H2770">
        <f>Calc!H21</f>
        <v/>
      </c>
      <c r="I2770">
        <f>IF(Skills!T21&lt;&gt;"",1+(Skills!T21/10)*(Z2752/1000)/100,1)</f>
        <v/>
      </c>
      <c r="J2770" t="inlineStr"/>
      <c r="K2770" t="inlineStr"/>
      <c r="L2770" t="inlineStr"/>
      <c r="M2770" t="inlineStr"/>
      <c r="N2770" t="inlineStr"/>
      <c r="O2770">
        <f>(1-Summary!$B$11)*S2770+Summary!$B$11*U2770</f>
        <v/>
      </c>
      <c r="P2770">
        <f>IF(B2786=0,0,O2770/B2786)</f>
        <v/>
      </c>
      <c r="Q2770">
        <f>IFERROR(1/(IF(Inputs!$B$38="pvp",15,MAX(0.1,Skills!D21-IF(TRUE=TRUE,2.5,0)))*(1-IF(AND(ArtifactsInput!$M$27,Inputs!$B$4="Chapter Hunt"),CHOOSE(ArtifactsInput!$N$27+1,20,24,28,32,36,40),0)/100)),0)</f>
        <v/>
      </c>
      <c r="R2770" t="n">
        <v>0</v>
      </c>
      <c r="S2770" t="n">
        <v>0</v>
      </c>
      <c r="U2770" t="n">
        <v>0</v>
      </c>
    </row>
    <row r="2771">
      <c r="A2771">
        <f>Skills!A22</f>
        <v/>
      </c>
      <c r="B2771">
        <f>Skills!B22</f>
        <v/>
      </c>
      <c r="C2771">
        <f>Inputs!$B$3&gt;=117</f>
        <v/>
      </c>
      <c r="D2771">
        <f>IF(Skills!C22=1,60+Inputs!$B$25+Inputs!$B$29,IF(Skills!C22=2,90+Inputs!$B$26+Inputs!$B$29,IF(Skills!C22=3,120+Inputs!$B$27+Inputs!$B$29,MAX(0,(Inputs!$B$3-100)*3)+Inputs!$B$28+Inputs!$B$29)))</f>
        <v/>
      </c>
      <c r="E2771">
        <f>INDEX(FactorTable!$B$2:$Y$301, MATCH(ROUND(MIN(300,MAX(1,D2771)),0), FactorTable!$A$2:$A$301,0), Skills!L22+1)</f>
        <v/>
      </c>
      <c r="F2771">
        <f>IF(Skills!M22=TRUE,(Skills!K22/10)*(E2771/1000),Skills!K22/10)+Skills!N22</f>
        <v/>
      </c>
      <c r="G2771">
        <f>Calc!G22</f>
        <v/>
      </c>
      <c r="H2771">
        <f>Calc!H22</f>
        <v/>
      </c>
      <c r="I2771">
        <f>IF(Skills!T22&lt;&gt;"",1+(Skills!T22/10)*(Z2752/1000)/100,1)</f>
        <v/>
      </c>
      <c r="J2771" t="inlineStr"/>
      <c r="K2771" t="inlineStr"/>
      <c r="L2771" t="inlineStr"/>
      <c r="M2771" t="inlineStr"/>
      <c r="N2771" t="inlineStr"/>
      <c r="O2771">
        <f>(1-Summary!$B$11)*S2771+Summary!$B$11*U2771</f>
        <v/>
      </c>
      <c r="P2771">
        <f>IF(B2786=0,0,O2771/B2786)</f>
        <v/>
      </c>
      <c r="Q2771">
        <f>IFERROR(1/(IF(Inputs!$B$38="pvp",15,MAX(0.1,Skills!D22-IF(TRUE=TRUE,2.5,0)))*(1-IF(AND(ArtifactsInput!$M$27,Inputs!$B$4="Chapter Hunt"),CHOOSE(ArtifactsInput!$N$27+1,20,24,28,32,36,40),0)/100)),0)</f>
        <v/>
      </c>
      <c r="R2771" t="n">
        <v>0</v>
      </c>
      <c r="S2771" t="n">
        <v>0</v>
      </c>
      <c r="U2771" t="n">
        <v>0</v>
      </c>
    </row>
    <row r="2772">
      <c r="A2772">
        <f>Skills!A23</f>
        <v/>
      </c>
      <c r="B2772">
        <f>Skills!B23</f>
        <v/>
      </c>
      <c r="C2772">
        <f>Inputs!$B$3&gt;=120</f>
        <v/>
      </c>
      <c r="D2772">
        <f>IF(Skills!C23=1,60+Inputs!$B$25+Inputs!$B$29,IF(Skills!C23=2,90+Inputs!$B$26+Inputs!$B$29,IF(Skills!C23=3,120+Inputs!$B$27+Inputs!$B$29,MAX(0,(Inputs!$B$3-100)*3)+Inputs!$B$28+Inputs!$B$29)))</f>
        <v/>
      </c>
      <c r="E2772">
        <f>INDEX(FactorTable!$B$2:$Y$301, MATCH(ROUND(MIN(300,MAX(1,D2772)),0), FactorTable!$A$2:$A$301,0), Skills!L23+1)</f>
        <v/>
      </c>
      <c r="F2772">
        <f>IF(Skills!M23=TRUE,(Skills!K23/10)*(E2772/1000),Skills!K23/10)+Skills!N23</f>
        <v/>
      </c>
      <c r="G2772">
        <f>Calc!G23</f>
        <v/>
      </c>
      <c r="H2772">
        <f>Calc!H23</f>
        <v/>
      </c>
      <c r="I2772">
        <f>IF(Skills!T23&lt;&gt;"",1+(Skills!T23/10)*(Z2752/1000)/100,1)</f>
        <v/>
      </c>
      <c r="J2772" t="inlineStr"/>
      <c r="K2772" t="inlineStr"/>
      <c r="L2772" t="inlineStr"/>
      <c r="M2772" t="inlineStr"/>
      <c r="N2772" t="inlineStr"/>
      <c r="O2772">
        <f>(1-Summary!$B$11)*S2772+Summary!$B$11*U2772</f>
        <v/>
      </c>
      <c r="P2772">
        <f>IF(B2786=0,0,O2772/B2786)</f>
        <v/>
      </c>
      <c r="Q2772">
        <f>IFERROR(1/(IF(Inputs!$B$38="pvp",15,MAX(0.1,Skills!D23-IF(TRUE=TRUE,2.5,0)))*(1-IF(AND(ArtifactsInput!$M$27,Inputs!$B$4="Chapter Hunt"),CHOOSE(ArtifactsInput!$N$27+1,20,24,28,32,36,40),0)/100)),0)</f>
        <v/>
      </c>
      <c r="R2772" t="n">
        <v>0</v>
      </c>
      <c r="S2772" t="n">
        <v>0</v>
      </c>
      <c r="U2772" t="n">
        <v>0</v>
      </c>
    </row>
    <row r="2773">
      <c r="A2773">
        <f>Skills!A24</f>
        <v/>
      </c>
      <c r="B2773">
        <f>Skills!B24</f>
        <v/>
      </c>
      <c r="C2773">
        <f>TRUE</f>
        <v/>
      </c>
      <c r="D2773">
        <f>IF(Skills!C24=1,60+Inputs!$B$25+Inputs!$B$29,IF(Skills!C24=2,90+Inputs!$B$26+Inputs!$B$29,IF(Skills!C24=3,120+Inputs!$B$27+Inputs!$B$29,MAX(0,(Inputs!$B$3-100)*3)+Inputs!$B$28+Inputs!$B$29)))</f>
        <v/>
      </c>
      <c r="E2773">
        <f>INDEX(FactorTable!$B$2:$Y$301, MATCH(ROUND(MIN(300,MAX(1,D2773)),0), FactorTable!$A$2:$A$301,0), Skills!L24+1)</f>
        <v/>
      </c>
      <c r="F2773">
        <f>IF(Skills!M24=TRUE,(Skills!K24/10)*(E2773/1000),Skills!K24/10)+Skills!N24</f>
        <v/>
      </c>
      <c r="G2773">
        <f>Calc!G24</f>
        <v/>
      </c>
      <c r="H2773">
        <f>Calc!H24</f>
        <v/>
      </c>
      <c r="I2773">
        <f>IF(Skills!T24&lt;&gt;"",1+(Skills!T24/10)*(Z2752/1000)/100,1)</f>
        <v/>
      </c>
      <c r="J2773" t="inlineStr"/>
      <c r="K2773" t="inlineStr"/>
      <c r="L2773" t="inlineStr"/>
      <c r="M2773" t="inlineStr"/>
      <c r="N2773" t="inlineStr"/>
      <c r="O2773">
        <f>(1-Summary!$B$11)*S2773+Summary!$B$11*U2773</f>
        <v/>
      </c>
      <c r="P2773">
        <f>IF(B2786=0,0,O2773/B2786)</f>
        <v/>
      </c>
      <c r="Q2773">
        <f>IFERROR(1/(IF(Inputs!$B$38="pvp",15,MAX(0.1,Skills!D24-IF(TRUE=TRUE,2.5,0)))*(1-IF(AND(ArtifactsInput!$M$27,Inputs!$B$4="Chapter Hunt"),CHOOSE(ArtifactsInput!$N$27+1,20,24,28,32,36,40),0)/100)),0)</f>
        <v/>
      </c>
      <c r="R2773">
        <f>IF(AND(Inputs!$B$38&lt;&gt;"pvp",Inputs!$B$43&gt;0),IF(Inputs!$B$43&lt;=0,0,(INT(Inputs!$B$43/(IF(Inputs!$B$38="pvp",15,MAX(0.1,Skills!D24-IF(TRUE=TRUE,2.5,0)))*(1-IF(AND(ArtifactsInput!$M$27,Inputs!$B$4="Chapter Hunt"),CHOOSE(ArtifactsInput!$N$27+1,20,24,28,32,36,40),0)/100)))+1)),0)</f>
        <v/>
      </c>
      <c r="S2773" t="n">
        <v>0</v>
      </c>
      <c r="U2773" t="n">
        <v>0</v>
      </c>
    </row>
    <row r="2776">
      <c r="A2776" t="inlineStr">
        <is>
          <t>Average Buff Multiplier (Magic Guard + Meditation + Artifact Attack%, summed; then Infinity)</t>
        </is>
      </c>
      <c r="B2776">
        <f>(1+(IF(C2752=TRUE,F2752*IF(AND(Inputs!$B$38&lt;&gt;"pvp",Inputs!$B$43&gt;0),(((R2752-1)*MIN((Skills!S3*(1+(Inputs!$B$34)/100)),(1/Q2752))+MIN((Skills!S3*(1+(Inputs!$B$34)/100)),MAX(0,Inputs!$B$43-((R2752-1)*(1/Q2752)))))/Inputs!$B$43),IF(Inputs!$B$38="pvp",MIN((Skills!S3*(1+(Inputs!$B$34)/100)),15)/15,MIN(1,(Skills!S3*(1+(Inputs!$B$34)/100))/(1/Q2752)))),0)+IF(C2753=TRUE,F2753*IF(AND(Inputs!$B$38&lt;&gt;"pvp",Inputs!$B$43&gt;0),(((R2753-1)*MIN((Skills!S4*(1+(Inputs!$B$34)/100)),(1/Q2753))+MIN((Skills!S4*(1+(Inputs!$B$34)/100)),MAX(0,Inputs!$B$43-((R2753-1)*(1/Q2753)))))/Inputs!$B$43),IF(Inputs!$B$38="pvp",MIN((Skills!S4*(1+(Inputs!$B$34)/100)),15)/15,MIN(1,(Skills!S4*(1+(Inputs!$B$34)/100))/(1/Q2753)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2765=TRUE,(1+F2765*IF(AND(Inputs!$B$38&lt;&gt;"pvp",Inputs!$B$43&gt;0),(((R2765-1)*MIN((Skills!S16*(1+(Inputs!$B$34)/100)),(1/Q2765))+MIN((Skills!S16*(1+(Inputs!$B$34)/100)),MAX(0,Inputs!$B$43-((R2765-1)*(1/Q2765)))))/Inputs!$B$43),IF(Inputs!$B$38="pvp",MIN((Skills!S16*(1+(Inputs!$B$34)/100)),15)/15,MIN(1,(Skills!S16*(1+(Inputs!$B$34)/100))/(1/Q2765))))/100),1)</f>
        <v/>
      </c>
    </row>
    <row r="2777">
      <c r="A2777" t="inlineStr">
        <is>
          <t>Monster Damage Taken Bonus % (Freezing Breath - Weaken + Elemental Reset + Artifact Enemy Damage Taken, summed)</t>
        </is>
      </c>
      <c r="B2777">
        <f>IF(Inputs!$B$3&gt;=118,15*IF(Inputs!$B$38="pvp",MIN((30*(1+(Inputs!$B$34)/100)),15)/15,MIN(1,(30*(1+(Inputs!$B$34)/100))/(1/Q2757))),0)+IF(C2763=TRUE,F2763,0)+(IF(AND(ArtifactsInput!$M$35,Inputs!$B$4&lt;&gt;"Chapter Hunt"),CHOOSE(ArtifactsInput!$N$35+1,15,18,21,24,27,30)*(1-EXP(-(0.2*B2780)*5)),0)+IF(AND(ArtifactsInput!$M$22,Inputs!$B$4&lt;&gt;"Chapter Hunt"),CHOOSE(ArtifactsInput!$N$22+1,10,12,14,16,18,20)*((0*(((0.15*B2780*5))^0/1)+1*(((0.15*B2780*5))^1/1)+2*(((0.15*B2780*5))^2/2)+3*(((0.15*B2780*5))^3/6)+4*(((0.15*B2780*5))^4/24)+5*(((0.15*B2780*5))^5/120))/((((0.15*B2780*5))^0/1)+(((0.15*B2780*5))^1/1)+(((0.15*B2780*5))^2/2)+(((0.15*B2780*5))^3/6)+(((0.15*B2780*5))^4/24)+(((0.15*B2780*5))^5/120))),0))</f>
        <v/>
      </c>
    </row>
    <row r="2778">
      <c r="A2778" t="inlineStr">
        <is>
          <t>Damage % Bonus (Frozen Break + Frost Clutch, flat)</t>
        </is>
      </c>
      <c r="B2778">
        <f>IF(Inputs!$B$3&gt;=66,15,0)+IF(Inputs!$B$3&gt;=98,10,0)+IF(Inputs!$B$3&gt;=125,20,0)</f>
        <v/>
      </c>
    </row>
    <row r="2779">
      <c r="A2779" t="inlineStr">
        <is>
          <t>Attack Speed Bonus % (MP Eater - MP Boost, always-on + Nimble Feet, duty-cycle averaged)</t>
        </is>
      </c>
      <c r="B2779">
        <f>IF(C2762=TRUE,F2762+(F2766-Calc!F17),0)+((C2773=TRUE)*F2773*IF(AND(Inputs!$B$38&lt;&gt;"pvp",Inputs!$B$43&gt;0),(((R2773-1)*MIN((Skills!S24*(1+(Inputs!$B$34)/100)),(1/Q2773))+MIN((Skills!S24*(1+(Inputs!$B$34)/100)),MAX(0,Inputs!$B$43-((R2773-1)*(1/Q2773)))))/Inputs!$B$43),IF(Inputs!$B$38="pvp",MIN((Skills!S24*(1+(Inputs!$B$34)/100)),15)/15,MIN(1,(Skills!S24*(1+(Inputs!$B$34)/100))/(1/Q2773)))))</f>
        <v/>
      </c>
    </row>
    <row r="2780">
      <c r="A2780" t="inlineStr">
        <is>
          <t>Actions Per Second</t>
        </is>
      </c>
      <c r="B2780">
        <f>1+MIN(150,150*(1-(1-(Inputs!$B$11+(ArtifactsInput!$M$15-ArtifactsInput!$M$15)*CHOOSE(ArtifactsInput!$N$15+1,8,9.6,11.2,12.8,14.4,16))/150)*(1-B2779/150)))/100</f>
        <v/>
      </c>
    </row>
    <row r="2781">
      <c r="A2781" t="inlineStr">
        <is>
          <t>Skill + Buff Cast Rate</t>
        </is>
      </c>
      <c r="B2781">
        <f>IF(AND(Inputs!$B$38&lt;&gt;"pvp",Inputs!$B$43&gt;0),SUMPRODUCT((Skills!E2:E24=TRUE)*(C2751:C2773=TRUE)*R2751:R2773)/Inputs!$B$43,SUMPRODUCT((Skills!E2:E24=TRUE)*(C2751:C2773=TRUE)*Q2751:Q2773))</f>
        <v/>
      </c>
    </row>
    <row r="2782">
      <c r="A2782" t="inlineStr">
        <is>
          <t>Chain Lightning Casts Per Second</t>
        </is>
      </c>
      <c r="B2782">
        <f>MAX(0,B2780-B2781)</f>
        <v/>
      </c>
    </row>
    <row r="2783">
      <c r="A2783" t="inlineStr">
        <is>
          <t>Buff-Casting Startup Delay (s, fixed-duration only)</t>
        </is>
      </c>
      <c r="B2783">
        <f>IF(AND(Inputs!$B$38&lt;&gt;"pvp",Inputs!$B$43&gt;0),SUMPRODUCT((Skills!S2:S24&gt;0)*(Skills!E2:E24=TRUE)*(C2751:C2773=TRUE))/B2780,0)</f>
        <v/>
      </c>
    </row>
    <row r="2784">
      <c r="A2784" t="inlineStr">
        <is>
          <t>Boss-Only Total DPS (this block's swept value)</t>
        </is>
      </c>
      <c r="B2784">
        <f>SUM(S2751:S2773)</f>
        <v/>
      </c>
    </row>
    <row r="2785">
      <c r="A2785" t="inlineStr">
        <is>
          <t>Normal-Only Total DPS (this block's swept value)</t>
        </is>
      </c>
      <c r="B2785">
        <f>SUM(U2751:U2773)</f>
        <v/>
      </c>
    </row>
    <row r="2786">
      <c r="A2786" s="6" t="inlineStr">
        <is>
          <t>TOTAL DPS</t>
        </is>
      </c>
      <c r="B2786" s="6">
        <f>SUM(O2751:O2773)</f>
        <v/>
      </c>
    </row>
    <row r="2787">
      <c r="A2787" t="inlineStr">
        <is>
          <t>Blizzard Final Attack trigger rate (this block's own Q/R)</t>
        </is>
      </c>
      <c r="B2787">
        <f>IF(AND(Inputs!$B$38&lt;&gt;"pvp",Inputs!$B$43&gt;0),(((C2754=TRUE)*R2754*1)+((C2755=TRUE)*R2755*1)+((C2757=TRUE)*R2757*1)+((C2758=TRUE)*R2758*3)+((C2760=TRUE)*R2760*1))/Inputs!$B$43,((C2754=TRUE)*Q2754*1)+((C2755=TRUE)*Q2755*1)+((C2757=TRUE)*Q2757*1)+((C2758=TRUE)*Q2758*3)+((C2760=TRUE)*Q2760*1))+B2782</f>
        <v/>
      </c>
    </row>
    <row r="2790">
      <c r="A2790" s="6" t="inlineStr">
        <is>
          <t>Stat: CDR = 3.0s</t>
        </is>
      </c>
    </row>
    <row r="2791">
      <c r="A2791" s="5" t="inlineStr">
        <is>
          <t>Key</t>
        </is>
      </c>
      <c r="B2791" s="5" t="inlineStr">
        <is>
          <t>Name</t>
        </is>
      </c>
      <c r="C2791" s="5" t="inlineStr">
        <is>
          <t>Unlocked</t>
        </is>
      </c>
      <c r="D2791" s="5" t="inlineStr">
        <is>
          <t>InputLevel</t>
        </is>
      </c>
      <c r="E2791" s="5" t="inlineStr">
        <is>
          <t>Factor</t>
        </is>
      </c>
      <c r="F2791" s="5" t="inlineStr">
        <is>
          <t>CoefficientPercent</t>
        </is>
      </c>
      <c r="G2791" s="5" t="inlineStr">
        <is>
          <t>EffectiveHits</t>
        </is>
      </c>
      <c r="H2791" s="5" t="inlineStr">
        <is>
          <t>ProcProbability</t>
        </is>
      </c>
      <c r="I2791" s="5" t="inlineStr">
        <is>
          <t>MapleHeroMultiplier</t>
        </is>
      </c>
      <c r="J2791" s="5" t="inlineStr">
        <is>
          <t>BaseDamage</t>
        </is>
      </c>
      <c r="K2791" s="5" t="inlineStr">
        <is>
          <t>BaseHitDamage</t>
        </is>
      </c>
      <c r="L2791" s="5" t="inlineStr">
        <is>
          <t>NonCritAvg</t>
        </is>
      </c>
      <c r="M2791" s="5" t="inlineStr">
        <is>
          <t>CritAvg</t>
        </is>
      </c>
      <c r="N2791" s="5" t="inlineStr">
        <is>
          <t>ExpectedDamage(perHit)</t>
        </is>
      </c>
      <c r="O2791" s="5" t="inlineStr">
        <is>
          <t>DPS</t>
        </is>
      </c>
      <c r="P2791" s="5" t="inlineStr">
        <is>
          <t>% of Total</t>
        </is>
      </c>
      <c r="R2791" t="inlineStr">
        <is>
          <t>helpers</t>
        </is>
      </c>
    </row>
    <row r="2792">
      <c r="A2792">
        <f>Skills!A2</f>
        <v/>
      </c>
      <c r="B2792">
        <f>Skills!B2</f>
        <v/>
      </c>
      <c r="C2792">
        <f>Inputs!$B$3&gt;=100</f>
        <v/>
      </c>
      <c r="D2792" t="inlineStr"/>
      <c r="E2792" t="inlineStr"/>
      <c r="F2792">
        <f>T2794+Skills!N2</f>
        <v/>
      </c>
      <c r="G2792">
        <f>Calc!G2</f>
        <v/>
      </c>
      <c r="H2792">
        <f>Calc!H2</f>
        <v/>
      </c>
      <c r="I2792">
        <f>IF(Skills!T2&lt;&gt;"",1+(Skills!T2/10)*(Z2793/1000)/100,1)</f>
        <v/>
      </c>
      <c r="J2792">
        <f>((Inputs!$B$6*(1+Inputs!$B$7/100))+(((Inputs!$B$12*(1+Inputs!$B$13/100))-(Inputs!$B$12*(1+Inputs!$B$13/100)))+0.25*(Inputs!$B$14-Inputs!$B$14))*(1+Inputs!$B$7/100))*(F2792/100)</f>
        <v/>
      </c>
      <c r="K2792">
        <f>J2792*(1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2="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2792)</f>
        <v/>
      </c>
      <c r="L2792">
        <f>K2792*(MIN(Inputs!$B$22+(F2808-Calc!F18),(Inputs!$B$23+(IF(ArtifactsInput!$M$15,CHOOSE(ArtifactsInput!$N$15+1,25,30,35,40,45,50)/100*(Inputs!$B$11-Inputs!$B$11),0))))/100+(Inputs!$B$23+(IF(ArtifactsInput!$M$15,CHOOSE(ArtifactsInput!$N$15+1,25,30,35,40,45,50)/100*(Inputs!$B$11-Inputs!$B$11),0)))/100)/2</f>
        <v/>
      </c>
      <c r="M2792">
        <f>L2792*(1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2">
        <f>L2792*(1-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2792*(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2">
        <f>(1-Summary!$B$11)*S2792+Summary!$B$11*U2792</f>
        <v/>
      </c>
      <c r="P2792">
        <f>IF(B2827=0,0,O2792/B2827)</f>
        <v/>
      </c>
      <c r="Q2792">
        <f>IFERROR(1/(IF(Inputs!$B$38="pvp",15,MAX(0.1,Skills!D2-IF(TRUE=TRUE,3.0,0)))*(1-IF(AND(ArtifactsInput!$M$27,Inputs!$B$4="Chapter Hunt"),CHOOSE(ArtifactsInput!$N$27+1,20,24,28,32,36,40),0)/100)),0)</f>
        <v/>
      </c>
      <c r="R2792" t="n">
        <v>0</v>
      </c>
      <c r="S2792">
        <f>IF(C2792,(Skills!F2*N2792*B2823)*IF(Inputs!$B$38="pvp",1,1+(Inputs!$B$20+Skills!O2+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2792*(1-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2792*(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2792*(1-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2792*(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792">
        <f>MAX(0,(Inputs!$B$3-100)*3)+Inputs!$B$28+Inputs!$B$29</f>
        <v/>
      </c>
      <c r="U2792">
        <f>IF(C2792,(Skills!F2*N2792*B2823)*IF(Inputs!$B$38="pvp",1,(1+(Inputs!$B$21+Skills!P2+B2818+(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792">
        <f>MAX(0,(Inputs!$B$3-100)*3)+Inputs!$B$28+Inputs!$B$29</f>
        <v/>
      </c>
    </row>
    <row r="2793">
      <c r="A2793">
        <f>Skills!A3</f>
        <v/>
      </c>
      <c r="B2793">
        <f>Skills!B3</f>
        <v/>
      </c>
      <c r="C2793">
        <f>Inputs!$B$3&gt;=15</f>
        <v/>
      </c>
      <c r="D2793">
        <f>IF(Skills!C3=1,60+Inputs!$B$25+Inputs!$B$29,IF(Skills!C3=2,90+Inputs!$B$26+Inputs!$B$29,IF(Skills!C3=3,120+Inputs!$B$27+Inputs!$B$29,MAX(0,(Inputs!$B$3-100)*3)+Inputs!$B$28+Inputs!$B$29)))</f>
        <v/>
      </c>
      <c r="E2793">
        <f>INDEX(FactorTable!$B$2:$Y$301, MATCH(ROUND(MIN(300,MAX(1,D2793)),0), FactorTable!$A$2:$A$301,0), Skills!L3+1)</f>
        <v/>
      </c>
      <c r="F2793">
        <f>IF(Skills!M3=TRUE,(Skills!K3/10)*(E2793/1000),Skills!K3/10)+Skills!N3</f>
        <v/>
      </c>
      <c r="G2793">
        <f>Calc!G3</f>
        <v/>
      </c>
      <c r="H2793">
        <f>Calc!H3</f>
        <v/>
      </c>
      <c r="I2793">
        <f>IF(Skills!T3&lt;&gt;"",1+(Skills!T3/10)*(Z2793/1000)/100,1)</f>
        <v/>
      </c>
      <c r="J2793" t="inlineStr"/>
      <c r="K2793" t="inlineStr"/>
      <c r="L2793" t="inlineStr"/>
      <c r="M2793" t="inlineStr"/>
      <c r="N2793" t="inlineStr"/>
      <c r="O2793">
        <f>(1-Summary!$B$11)*S2793+Summary!$B$11*U2793</f>
        <v/>
      </c>
      <c r="P2793">
        <f>IF(B2827=0,0,O2793/B2827)</f>
        <v/>
      </c>
      <c r="Q2793">
        <f>IFERROR(1/(IF(Inputs!$B$38="pvp",15,MAX(0.1,Skills!D3-IF(TRUE=TRUE,3.0,0)))*(1-IF(AND(ArtifactsInput!$M$27,Inputs!$B$4="Chapter Hunt"),CHOOSE(ArtifactsInput!$N$27+1,20,24,28,32,36,40),0)/100)),0)</f>
        <v/>
      </c>
      <c r="R2793">
        <f>IF(AND(Inputs!$B$38&lt;&gt;"pvp",Inputs!$B$43&gt;0),IF(Inputs!$B$43&lt;=0,0,(INT(Inputs!$B$43/(IF(Inputs!$B$38="pvp",15,MAX(0.1,Skills!D3-IF(TRUE=TRUE,3.0,0)))*(1-IF(AND(ArtifactsInput!$M$27,Inputs!$B$4="Chapter Hunt"),CHOOSE(ArtifactsInput!$N$27+1,20,24,28,32,36,40),0)/100)))+1)),0)</f>
        <v/>
      </c>
      <c r="S2793" t="n">
        <v>0</v>
      </c>
      <c r="T2793">
        <f>INDEX(FactorTable!$B$2:$Y$301, MATCH(ROUND(MIN(300,MAX(1,T2792)),0), FactorTable!$A$2:$A$301,0), 22)</f>
        <v/>
      </c>
      <c r="U2793" t="n">
        <v>0</v>
      </c>
      <c r="Z2793">
        <f>INDEX(FactorTable!$B$2:$Y$301, MATCH(ROUND(MIN(300,MAX(1,Z2792)),0), FactorTable!$A$2:$A$301,0), 24)</f>
        <v/>
      </c>
    </row>
    <row r="2794">
      <c r="A2794">
        <f>Skills!A4</f>
        <v/>
      </c>
      <c r="B2794">
        <f>Skills!B4</f>
        <v/>
      </c>
      <c r="C2794">
        <f>Inputs!$B$3&gt;=40</f>
        <v/>
      </c>
      <c r="D2794">
        <f>IF(Skills!C4=1,60+Inputs!$B$25+Inputs!$B$29,IF(Skills!C4=2,90+Inputs!$B$26+Inputs!$B$29,IF(Skills!C4=3,120+Inputs!$B$27+Inputs!$B$29,MAX(0,(Inputs!$B$3-100)*3)+Inputs!$B$28+Inputs!$B$29)))</f>
        <v/>
      </c>
      <c r="E2794">
        <f>INDEX(FactorTable!$B$2:$Y$301, MATCH(ROUND(MIN(300,MAX(1,D2794)),0), FactorTable!$A$2:$A$301,0), Skills!L4+1)</f>
        <v/>
      </c>
      <c r="F2794">
        <f>IF(Skills!M4=TRUE,(Skills!K4/10)*(E2794/1000),Skills!K4/10)+Skills!N4</f>
        <v/>
      </c>
      <c r="G2794">
        <f>Calc!G4</f>
        <v/>
      </c>
      <c r="H2794">
        <f>Calc!H4</f>
        <v/>
      </c>
      <c r="I2794">
        <f>IF(Skills!T4&lt;&gt;"",1+(Skills!T4/10)*(Z2793/1000)/100,1)</f>
        <v/>
      </c>
      <c r="J2794" t="inlineStr"/>
      <c r="K2794" t="inlineStr"/>
      <c r="L2794" t="inlineStr"/>
      <c r="M2794" t="inlineStr"/>
      <c r="N2794" t="inlineStr"/>
      <c r="O2794">
        <f>(1-Summary!$B$11)*S2794+Summary!$B$11*U2794</f>
        <v/>
      </c>
      <c r="P2794">
        <f>IF(B2827=0,0,O2794/B2827)</f>
        <v/>
      </c>
      <c r="Q2794">
        <f>IFERROR(1/(IF(Inputs!$B$38="pvp",15,MAX(0.1,Skills!D4-IF(TRUE=TRUE,3.0,0)))*(1-IF(AND(ArtifactsInput!$M$27,Inputs!$B$4="Chapter Hunt"),CHOOSE(ArtifactsInput!$N$27+1,20,24,28,32,36,40),0)/100)),0)</f>
        <v/>
      </c>
      <c r="R2794">
        <f>IF(AND(Inputs!$B$38&lt;&gt;"pvp",Inputs!$B$43&gt;0),IF(Inputs!$B$43&lt;=0,0,(INT(Inputs!$B$43/(IF(Inputs!$B$38="pvp",15,MAX(0.1,Skills!D4-IF(TRUE=TRUE,3.0,0)))*(1-IF(AND(ArtifactsInput!$M$27,Inputs!$B$4="Chapter Hunt"),CHOOSE(ArtifactsInput!$N$27+1,20,24,28,32,36,40),0)/100)))+1)),0)</f>
        <v/>
      </c>
      <c r="S2794" t="n">
        <v>0</v>
      </c>
      <c r="T2794">
        <f>290*T2793/1000</f>
        <v/>
      </c>
      <c r="U2794" t="n">
        <v>0</v>
      </c>
    </row>
    <row r="2795">
      <c r="A2795">
        <f>Skills!A5</f>
        <v/>
      </c>
      <c r="B2795">
        <f>Skills!B5</f>
        <v/>
      </c>
      <c r="C2795">
        <f>Inputs!$B$3&gt;=38</f>
        <v/>
      </c>
      <c r="D2795">
        <f>IF(Skills!C5=1,60+Inputs!$B$25+Inputs!$B$29,IF(Skills!C5=2,90+Inputs!$B$26+Inputs!$B$29,IF(Skills!C5=3,120+Inputs!$B$27+Inputs!$B$29,MAX(0,(Inputs!$B$3-100)*3)+Inputs!$B$28+Inputs!$B$29)))</f>
        <v/>
      </c>
      <c r="E2795">
        <f>INDEX(FactorTable!$B$2:$Y$301, MATCH(ROUND(MIN(300,MAX(1,D2795)),0), FactorTable!$A$2:$A$301,0), Skills!L5+1)</f>
        <v/>
      </c>
      <c r="F2795">
        <f>IF(Skills!M5=TRUE,(Skills!K5/10)*(E2795/1000),Skills!K5/10)+Skills!N5</f>
        <v/>
      </c>
      <c r="G2795">
        <f>Calc!G5</f>
        <v/>
      </c>
      <c r="H2795">
        <f>Calc!H5</f>
        <v/>
      </c>
      <c r="I2795">
        <f>IF(Skills!T5&lt;&gt;"",1+(Skills!T5/10)*(Z2793/1000)/100,1)</f>
        <v/>
      </c>
      <c r="J2795">
        <f>((Inputs!$B$6*(1+Inputs!$B$7/100))+(((Inputs!$B$12*(1+Inputs!$B$13/100))-(Inputs!$B$12*(1+Inputs!$B$13/100)))+0.25*(Inputs!$B$14-Inputs!$B$14))*(1+Inputs!$B$7/100))*(F2795/100)</f>
        <v/>
      </c>
      <c r="K2795">
        <f>J2795*(1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5="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2795)</f>
        <v/>
      </c>
      <c r="L2795">
        <f>K2795*(MIN(Inputs!$B$22+(F2808-Calc!F18),(Inputs!$B$23+(IF(ArtifactsInput!$M$15,CHOOSE(ArtifactsInput!$N$15+1,25,30,35,40,45,50)/100*(Inputs!$B$11-Inputs!$B$11),0))))/100+(Inputs!$B$23+(IF(ArtifactsInput!$M$15,CHOOSE(ArtifactsInput!$N$15+1,25,30,35,40,45,50)/100*(Inputs!$B$11-Inputs!$B$11),0)))/100)/2</f>
        <v/>
      </c>
      <c r="M2795">
        <f>L2795*(1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5">
        <f>L2795*(1-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2795*(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5">
        <f>(1-Summary!$B$11)*S2795+Summary!$B$11*U2795</f>
        <v/>
      </c>
      <c r="P2795">
        <f>IF(B2827=0,0,O2795/B2827)</f>
        <v/>
      </c>
      <c r="Q2795">
        <f>IFERROR(1/(IF(Inputs!$B$38="pvp",15,MAX(0.1,Skills!D5-IF(TRUE=TRUE,3.0,0)))*(1-IF(AND(ArtifactsInput!$M$27,Inputs!$B$4="Chapter Hunt"),CHOOSE(ArtifactsInput!$N$27+1,20,24,28,32,36,40),0)/100)),0)</f>
        <v/>
      </c>
      <c r="R2795">
        <f>IF(AND(Inputs!$B$38&lt;&gt;"pvp",Inputs!$B$43&gt;0),IF(MAX(0,Inputs!$B$43-B2824)&lt;=0,0,(INT(MAX(0,Inputs!$B$43-B2824)/(IF(Inputs!$B$38="pvp",15,MAX(0.1,Skills!D5-IF(TRUE=TRUE,3.0,0)))*(1-IF(AND(ArtifactsInput!$M$27,Inputs!$B$4="Chapter Hunt"),CHOOSE(ArtifactsInput!$N$27+1,20,24,28,32,36,40),0)/100)))+1)),0)</f>
        <v/>
      </c>
      <c r="S2795">
        <f>IF(C2795,(H2795*N2795*IF(AND(Inputs!$B$38&lt;&gt;"pvp",Inputs!$B$43&gt;0),((Skills!F5*((R2795-1)*IF(Skills!G5&gt;0,Skills!H5/Skills!G5,1)+IF(Skills!G5&gt;0,MIN(Skills!H5,MAX(0,MAX(0,Inputs!$B$43-B2824)-((R2795-1)*(IF(Inputs!$B$38="pvp",15,MAX(0.1,Skills!D5-IF(TRUE=TRUE,3.0,0)))*(1-IF(AND(ArtifactsInput!$M$27,Inputs!$B$4="Chapter Hunt"),CHOOSE(ArtifactsInput!$N$27+1,20,24,28,32,36,40),0)/100)))))/Skills!G5,1)))/Inputs!$B$43),G2795*Q2795))*IF(Inputs!$B$38="pvp",1,1+(Inputs!$B$20+Skills!O5+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2795*(1-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2795*(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2795*(1-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2795*(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5">
        <f>IF(C2795,(H2795*N2795*IF(AND(Inputs!$B$38&lt;&gt;"pvp",Inputs!$B$43&gt;0),((Skills!F5*((R2795-1)*IF(Skills!G5&gt;0,Skills!H5/Skills!G5,1)+IF(Skills!G5&gt;0,MIN(Skills!H5,MAX(0,MAX(0,Inputs!$B$43-B2824)-((R2795-1)*(IF(Inputs!$B$38="pvp",15,MAX(0.1,Skills!D5-IF(TRUE=TRUE,3.0,0)))*(1-IF(AND(ArtifactsInput!$M$27,Inputs!$B$4="Chapter Hunt"),CHOOSE(ArtifactsInput!$N$27+1,20,24,28,32,36,40),0)/100)))))/Skills!G5,1)))/Inputs!$B$43),G2795*Q2795))*IF(Inputs!$B$38="pvp",1,(1+(Inputs!$B$21+Skills!P5+B2818+(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6">
      <c r="A2796">
        <f>Skills!A6</f>
        <v/>
      </c>
      <c r="B2796">
        <f>Skills!B6</f>
        <v/>
      </c>
      <c r="C2796">
        <f>Inputs!$B$3&gt;=63</f>
        <v/>
      </c>
      <c r="D2796">
        <f>IF(Skills!C6=1,60+Inputs!$B$25+Inputs!$B$29,IF(Skills!C6=2,90+Inputs!$B$26+Inputs!$B$29,IF(Skills!C6=3,120+Inputs!$B$27+Inputs!$B$29,MAX(0,(Inputs!$B$3-100)*3)+Inputs!$B$28+Inputs!$B$29)))</f>
        <v/>
      </c>
      <c r="E2796">
        <f>INDEX(FactorTable!$B$2:$Y$301, MATCH(ROUND(MIN(300,MAX(1,D2796)),0), FactorTable!$A$2:$A$301,0), Skills!L6+1)</f>
        <v/>
      </c>
      <c r="F2796">
        <f>IF(Skills!M6=TRUE,(Skills!K6/10)*(E2796/1000),Skills!K6/10)+Skills!N6</f>
        <v/>
      </c>
      <c r="G2796">
        <f>Calc!G6</f>
        <v/>
      </c>
      <c r="H2796">
        <f>Calc!H6</f>
        <v/>
      </c>
      <c r="I2796">
        <f>IF(Skills!T6&lt;&gt;"",1+(Skills!T6/10)*(Z2793/1000)/100,1)</f>
        <v/>
      </c>
      <c r="J2796">
        <f>((Inputs!$B$6*(1+Inputs!$B$7/100))+(((Inputs!$B$12*(1+Inputs!$B$13/100))-(Inputs!$B$12*(1+Inputs!$B$13/100)))+0.25*(Inputs!$B$14-Inputs!$B$14))*(1+Inputs!$B$7/100))*(F2796/100)</f>
        <v/>
      </c>
      <c r="K2796">
        <f>J2796*(1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6="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2796)</f>
        <v/>
      </c>
      <c r="L2796">
        <f>K2796*(MIN(Inputs!$B$22+(F2808-Calc!F18),(Inputs!$B$23+(IF(ArtifactsInput!$M$15,CHOOSE(ArtifactsInput!$N$15+1,25,30,35,40,45,50)/100*(Inputs!$B$11-Inputs!$B$11),0))))/100+(Inputs!$B$23+(IF(ArtifactsInput!$M$15,CHOOSE(ArtifactsInput!$N$15+1,25,30,35,40,45,50)/100*(Inputs!$B$11-Inputs!$B$11),0)))/100)/2</f>
        <v/>
      </c>
      <c r="M2796">
        <f>L2796*(1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6">
        <f>L2796*(1-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2796*(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6">
        <f>(1-Summary!$B$11)*S2796+Summary!$B$11*U2796</f>
        <v/>
      </c>
      <c r="P2796">
        <f>IF(B2827=0,0,O2796/B2827)</f>
        <v/>
      </c>
      <c r="Q2796">
        <f>IFERROR(1/(IF(Inputs!$B$38="pvp",15,MAX(0.1,Skills!D6-IF(TRUE=TRUE,3.0,0)))*(1-IF(AND(ArtifactsInput!$M$27,Inputs!$B$4="Chapter Hunt"),CHOOSE(ArtifactsInput!$N$27+1,20,24,28,32,36,40),0)/100)),0)</f>
        <v/>
      </c>
      <c r="R2796">
        <f>IF(AND(Inputs!$B$38&lt;&gt;"pvp",Inputs!$B$43&gt;0),IF(MAX(0,Inputs!$B$43-B2824)&lt;=0,0,(INT(MAX(0,Inputs!$B$43-B2824)/(IF(Inputs!$B$38="pvp",15,MAX(0.1,Skills!D6-IF(TRUE=TRUE,3.0,0)))*(1-IF(AND(ArtifactsInput!$M$27,Inputs!$B$4="Chapter Hunt"),CHOOSE(ArtifactsInput!$N$27+1,20,24,28,32,36,40),0)/100)))+1)),0)</f>
        <v/>
      </c>
      <c r="S2796">
        <f>IF(C2796,(H2796*N2796*IF(AND(Inputs!$B$38&lt;&gt;"pvp",Inputs!$B$43&gt;0),((Skills!F6*((R2796-1)*IF(Skills!G6&gt;0,Skills!H6/Skills!G6,1)+IF(Skills!G6&gt;0,MIN(Skills!H6,MAX(0,MAX(0,Inputs!$B$43-B2824)-((R2796-1)*(IF(Inputs!$B$38="pvp",15,MAX(0.1,Skills!D6-IF(TRUE=TRUE,3.0,0)))*(1-IF(AND(ArtifactsInput!$M$27,Inputs!$B$4="Chapter Hunt"),CHOOSE(ArtifactsInput!$N$27+1,20,24,28,32,36,40),0)/100)))))/Skills!G6,1)))/Inputs!$B$43),G2796*Q2796))*IF(Inputs!$B$38="pvp",1,1+(Inputs!$B$20+Skills!O6+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2796*(1-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2796*(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2796*(1-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2796*(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6">
        <f>IF(C2796,(H2796*N2796*IF(AND(Inputs!$B$38&lt;&gt;"pvp",Inputs!$B$43&gt;0),((Skills!F6*((R2796-1)*IF(Skills!G6&gt;0,Skills!H6/Skills!G6,1)+IF(Skills!G6&gt;0,MIN(Skills!H6,MAX(0,MAX(0,Inputs!$B$43-B2824)-((R2796-1)*(IF(Inputs!$B$38="pvp",15,MAX(0.1,Skills!D6-IF(TRUE=TRUE,3.0,0)))*(1-IF(AND(ArtifactsInput!$M$27,Inputs!$B$4="Chapter Hunt"),CHOOSE(ArtifactsInput!$N$27+1,20,24,28,32,36,40),0)/100)))))/Skills!G6,1)))/Inputs!$B$43),G2796*Q2796))*IF(Inputs!$B$38="pvp",1,(1+(Inputs!$B$21+Skills!P6+B2818+(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7">
      <c r="A2797">
        <f>Skills!A7</f>
        <v/>
      </c>
      <c r="B2797">
        <f>Skills!B7</f>
        <v/>
      </c>
      <c r="C2797">
        <f>Inputs!$B$3&gt;=69</f>
        <v/>
      </c>
      <c r="D2797">
        <f>IF(Skills!C7=1,60+Inputs!$B$25+Inputs!$B$29,IF(Skills!C7=2,90+Inputs!$B$26+Inputs!$B$29,IF(Skills!C7=3,120+Inputs!$B$27+Inputs!$B$29,MAX(0,(Inputs!$B$3-100)*3)+Inputs!$B$28+Inputs!$B$29)))</f>
        <v/>
      </c>
      <c r="E2797">
        <f>INDEX(FactorTable!$B$2:$Y$301, MATCH(ROUND(MIN(300,MAX(1,D2797)),0), FactorTable!$A$2:$A$301,0), Skills!L7+1)</f>
        <v/>
      </c>
      <c r="F2797">
        <f>IF(Skills!M7=TRUE,(Skills!K7/10)*(E2797/1000),Skills!K7/10)+Skills!N7</f>
        <v/>
      </c>
      <c r="G2797">
        <f>Calc!G7</f>
        <v/>
      </c>
      <c r="H2797">
        <f>Calc!H7</f>
        <v/>
      </c>
      <c r="I2797">
        <f>IF(Skills!T7&lt;&gt;"",1+(Skills!T7/10)*(Z2793/1000)/100,1)</f>
        <v/>
      </c>
      <c r="J2797">
        <f>((Inputs!$B$6*(1+Inputs!$B$7/100))+(((Inputs!$B$12*(1+Inputs!$B$13/100))-(Inputs!$B$12*(1+Inputs!$B$13/100)))+0.25*(Inputs!$B$14-Inputs!$B$14))*(1+Inputs!$B$7/100))*(F2797/100)</f>
        <v/>
      </c>
      <c r="K2797">
        <f>J2797*(1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7="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2797)</f>
        <v/>
      </c>
      <c r="L2797">
        <f>K2797*(MIN(Inputs!$B$22+(F2808-Calc!F18),(Inputs!$B$23+(IF(ArtifactsInput!$M$15,CHOOSE(ArtifactsInput!$N$15+1,25,30,35,40,45,50)/100*(Inputs!$B$11-Inputs!$B$11),0))))/100+(Inputs!$B$23+(IF(ArtifactsInput!$M$15,CHOOSE(ArtifactsInput!$N$15+1,25,30,35,40,45,50)/100*(Inputs!$B$11-Inputs!$B$11),0)))/100)/2</f>
        <v/>
      </c>
      <c r="M2797">
        <f>L2797*(1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7">
        <f>L2797*(1-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2797*(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7">
        <f>(1-Summary!$B$11)*S2797+Summary!$B$11*U2797</f>
        <v/>
      </c>
      <c r="P2797">
        <f>IF(B2827=0,0,O2797/B2827)</f>
        <v/>
      </c>
      <c r="Q2797">
        <f>IFERROR(1/(IF(Inputs!$B$38="pvp",15,MAX(0.1,Skills!D7-IF(TRUE=TRUE,3.0,0)))*(1-IF(AND(ArtifactsInput!$M$27,Inputs!$B$4="Chapter Hunt"),CHOOSE(ArtifactsInput!$N$27+1,20,24,28,32,36,40),0)/100)),0)</f>
        <v/>
      </c>
      <c r="R2797">
        <f>IF(AND(Inputs!$B$38&lt;&gt;"pvp",Inputs!$B$43&gt;0),IF(MAX(0,Inputs!$B$43-B2824)&lt;=0,0,(INT(MAX(0,Inputs!$B$43-B2824)/(IF(Inputs!$B$38="pvp",15,MAX(0.1,Skills!D7-IF(TRUE=TRUE,3.0,0)))*(1-IF(AND(ArtifactsInput!$M$27,Inputs!$B$4="Chapter Hunt"),CHOOSE(ArtifactsInput!$N$27+1,20,24,28,32,36,40),0)/100)))+1)),0)</f>
        <v/>
      </c>
      <c r="S2797">
        <f>IF(C2797,(H2797*N2797*IF(AND(Inputs!$B$38&lt;&gt;"pvp",Inputs!$B$43&gt;0),((Skills!F7*((R2797-1)*IF(Skills!G7&gt;0,Skills!H7/Skills!G7,1)+IF(Skills!G7&gt;0,MIN(Skills!H7,MAX(0,MAX(0,Inputs!$B$43-B2824)-((R2797-1)*(IF(Inputs!$B$38="pvp",15,MAX(0.1,Skills!D7-IF(TRUE=TRUE,3.0,0)))*(1-IF(AND(ArtifactsInput!$M$27,Inputs!$B$4="Chapter Hunt"),CHOOSE(ArtifactsInput!$N$27+1,20,24,28,32,36,40),0)/100)))))/Skills!G7,1)))/Inputs!$B$43),G2797*Q2797))*IF(Inputs!$B$38="pvp",1,1+(Inputs!$B$20+Skills!O7+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2797*(1-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2797*(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2797*(1-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2797*(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7">
        <f>IF(C2797,(H2797*N2797*IF(AND(Inputs!$B$38&lt;&gt;"pvp",Inputs!$B$43&gt;0),((Skills!F7*((R2797-1)*IF(Skills!G7&gt;0,Skills!H7/Skills!G7,1)+IF(Skills!G7&gt;0,MIN(Skills!H7,MAX(0,MAX(0,Inputs!$B$43-B2824)-((R2797-1)*(IF(Inputs!$B$38="pvp",15,MAX(0.1,Skills!D7-IF(TRUE=TRUE,3.0,0)))*(1-IF(AND(ArtifactsInput!$M$27,Inputs!$B$4="Chapter Hunt"),CHOOSE(ArtifactsInput!$N$27+1,20,24,28,32,36,40),0)/100)))))/Skills!G7,1)))/Inputs!$B$43),G2797*Q2797))*IF(Inputs!$B$38="pvp",1,(1+(Inputs!$B$21+Skills!P7+B2818+(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8">
      <c r="A2798">
        <f>Skills!A8</f>
        <v/>
      </c>
      <c r="B2798">
        <f>Skills!B8</f>
        <v/>
      </c>
      <c r="C2798">
        <f>Inputs!$B$3&gt;=103</f>
        <v/>
      </c>
      <c r="D2798">
        <f>IF(Skills!C8=1,60+Inputs!$B$25+Inputs!$B$29,IF(Skills!C8=2,90+Inputs!$B$26+Inputs!$B$29,IF(Skills!C8=3,120+Inputs!$B$27+Inputs!$B$29,MAX(0,(Inputs!$B$3-100)*3)+Inputs!$B$28+Inputs!$B$29)))</f>
        <v/>
      </c>
      <c r="E2798">
        <f>INDEX(FactorTable!$B$2:$Y$301, MATCH(ROUND(MIN(300,MAX(1,D2798)),0), FactorTable!$A$2:$A$301,0), Skills!L8+1)</f>
        <v/>
      </c>
      <c r="F2798">
        <f>IF(Skills!M8=TRUE,(Skills!K8/10)*(E2798/1000),Skills!K8/10)+Skills!N8</f>
        <v/>
      </c>
      <c r="G2798">
        <f>Calc!G8</f>
        <v/>
      </c>
      <c r="H2798">
        <f>Calc!H8</f>
        <v/>
      </c>
      <c r="I2798">
        <f>IF(Skills!T8&lt;&gt;"",1+(Skills!T8/10)*(Z2793/1000)/100,1)</f>
        <v/>
      </c>
      <c r="J2798">
        <f>((Inputs!$B$6*(1+Inputs!$B$7/100))+(((Inputs!$B$12*(1+Inputs!$B$13/100))-(Inputs!$B$12*(1+Inputs!$B$13/100)))+0.25*(Inputs!$B$14-Inputs!$B$14))*(1+Inputs!$B$7/100))*(F2798/100)</f>
        <v/>
      </c>
      <c r="K2798">
        <f>J2798*(1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8="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2798)</f>
        <v/>
      </c>
      <c r="L2798">
        <f>K2798*(MIN(Inputs!$B$22+(F2808-Calc!F18),(Inputs!$B$23+(IF(ArtifactsInput!$M$15,CHOOSE(ArtifactsInput!$N$15+1,25,30,35,40,45,50)/100*(Inputs!$B$11-Inputs!$B$11),0))))/100+(Inputs!$B$23+(IF(ArtifactsInput!$M$15,CHOOSE(ArtifactsInput!$N$15+1,25,30,35,40,45,50)/100*(Inputs!$B$11-Inputs!$B$11),0)))/100)/2</f>
        <v/>
      </c>
      <c r="M2798">
        <f>L2798*(1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8">
        <f>L2798*(1-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2798*(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8">
        <f>(1-Summary!$B$11)*S2798+Summary!$B$11*U2798</f>
        <v/>
      </c>
      <c r="P2798">
        <f>IF(B2827=0,0,O2798/B2827)</f>
        <v/>
      </c>
      <c r="Q2798">
        <f>IFERROR(1/(IF(Inputs!$B$38="pvp",15,MAX(0.1,Skills!D8-IF(TRUE=TRUE,3.0,0)))*(1-IF(AND(ArtifactsInput!$M$27,Inputs!$B$4="Chapter Hunt"),CHOOSE(ArtifactsInput!$N$27+1,20,24,28,32,36,40),0)/100)),0)</f>
        <v/>
      </c>
      <c r="R2798">
        <f>IF(AND(Inputs!$B$38&lt;&gt;"pvp",Inputs!$B$43&gt;0),IF(MAX(0,Inputs!$B$43-B2824)&lt;=0,0,(INT(MAX(0,Inputs!$B$43-B2824)/(IF(Inputs!$B$38="pvp",15,MAX(0.1,Skills!D8-IF(TRUE=TRUE,3.0,0)))*(1-IF(AND(ArtifactsInput!$M$27,Inputs!$B$4="Chapter Hunt"),CHOOSE(ArtifactsInput!$N$27+1,20,24,28,32,36,40),0)/100)))+1)),0)</f>
        <v/>
      </c>
      <c r="S2798">
        <f>IF(C2798,(H2798*N2798*IF(AND(Inputs!$B$38&lt;&gt;"pvp",Inputs!$B$43&gt;0),((Skills!F8*((R2798-1)*IF(Skills!G8&gt;0,Skills!H8/Skills!G8,1)+IF(Skills!G8&gt;0,MIN(Skills!H8,MAX(0,MAX(0,Inputs!$B$43-B2824)-((R2798-1)*(IF(Inputs!$B$38="pvp",15,MAX(0.1,Skills!D8-IF(TRUE=TRUE,3.0,0)))*(1-IF(AND(ArtifactsInput!$M$27,Inputs!$B$4="Chapter Hunt"),CHOOSE(ArtifactsInput!$N$27+1,20,24,28,32,36,40),0)/100)))))/Skills!G8,1)))/Inputs!$B$43),G2798*Q2798))*IF(Inputs!$B$38="pvp",1,1+(Inputs!$B$20+Skills!O8+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2798*(1-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2798*(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2798*(1-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2798*(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8">
        <f>IF(C2798,(H2798*N2798*IF(AND(Inputs!$B$38&lt;&gt;"pvp",Inputs!$B$43&gt;0),((Skills!F8*((R2798-1)*IF(Skills!G8&gt;0,Skills!H8/Skills!G8,1)+IF(Skills!G8&gt;0,MIN(Skills!H8,MAX(0,MAX(0,Inputs!$B$43-B2824)-((R2798-1)*(IF(Inputs!$B$38="pvp",15,MAX(0.1,Skills!D8-IF(TRUE=TRUE,3.0,0)))*(1-IF(AND(ArtifactsInput!$M$27,Inputs!$B$4="Chapter Hunt"),CHOOSE(ArtifactsInput!$N$27+1,20,24,28,32,36,40),0)/100)))))/Skills!G8,1)))/Inputs!$B$43),G2798*Q2798))*IF(Inputs!$B$38="pvp",1,(1+(Inputs!$B$21+Skills!P8+B2818+(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99">
      <c r="A2799">
        <f>Skills!A9</f>
        <v/>
      </c>
      <c r="B2799">
        <f>Skills!B9</f>
        <v/>
      </c>
      <c r="C2799">
        <f>Inputs!$B$3&gt;=105</f>
        <v/>
      </c>
      <c r="D2799">
        <f>IF(Skills!C9=1,60+Inputs!$B$25+Inputs!$B$29,IF(Skills!C9=2,90+Inputs!$B$26+Inputs!$B$29,IF(Skills!C9=3,120+Inputs!$B$27+Inputs!$B$29,MAX(0,(Inputs!$B$3-100)*3)+Inputs!$B$28+Inputs!$B$29)))</f>
        <v/>
      </c>
      <c r="E2799">
        <f>INDEX(FactorTable!$B$2:$Y$301, MATCH(ROUND(MIN(300,MAX(1,D2799)),0), FactorTable!$A$2:$A$301,0), Skills!L9+1)</f>
        <v/>
      </c>
      <c r="F2799">
        <f>IF(Skills!M9=TRUE,(Skills!K9/10)*(E2799/1000),Skills!K9/10)+Skills!N9</f>
        <v/>
      </c>
      <c r="G2799">
        <f>Calc!G9</f>
        <v/>
      </c>
      <c r="H2799">
        <f>Calc!H9</f>
        <v/>
      </c>
      <c r="I2799">
        <f>IF(Skills!T9&lt;&gt;"",1+(Skills!T9/10)*(Z2793/1000)/100,1)</f>
        <v/>
      </c>
      <c r="J2799">
        <f>((Inputs!$B$6*(1+Inputs!$B$7/100))+(((Inputs!$B$12*(1+Inputs!$B$13/100))-(Inputs!$B$12*(1+Inputs!$B$13/100)))+0.25*(Inputs!$B$14-Inputs!$B$14))*(1+Inputs!$B$7/100))*(F2799/100)</f>
        <v/>
      </c>
      <c r="K2799">
        <f>J2799*(1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9="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2799)</f>
        <v/>
      </c>
      <c r="L2799">
        <f>K2799*(MIN(Inputs!$B$22+(F2808-Calc!F18),(Inputs!$B$23+(IF(ArtifactsInput!$M$15,CHOOSE(ArtifactsInput!$N$15+1,25,30,35,40,45,50)/100*(Inputs!$B$11-Inputs!$B$11),0))))/100+(Inputs!$B$23+(IF(ArtifactsInput!$M$15,CHOOSE(ArtifactsInput!$N$15+1,25,30,35,40,45,50)/100*(Inputs!$B$11-Inputs!$B$11),0)))/100)/2</f>
        <v/>
      </c>
      <c r="M2799">
        <f>L2799*(1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99">
        <f>L2799*(1-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2799*(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99">
        <f>(1-Summary!$B$11)*S2799+Summary!$B$11*U2799</f>
        <v/>
      </c>
      <c r="P2799">
        <f>IF(B2827=0,0,O2799/B2827)</f>
        <v/>
      </c>
      <c r="Q2799">
        <f>IFERROR(1/(IF(Inputs!$B$38="pvp",15,MAX(0.1,Skills!D9-IF(TRUE=TRUE,3.0,0)))*(1-IF(AND(ArtifactsInput!$M$27,Inputs!$B$4="Chapter Hunt"),CHOOSE(ArtifactsInput!$N$27+1,20,24,28,32,36,40),0)/100)),0)</f>
        <v/>
      </c>
      <c r="R2799">
        <f>IF(AND(Inputs!$B$38&lt;&gt;"pvp",Inputs!$B$43&gt;0),IF(MAX(0,Inputs!$B$43-B2824)&lt;=0,0,(INT(MAX(0,Inputs!$B$43-B2824)/(IF(Inputs!$B$38="pvp",15,MAX(0.1,Skills!D9-IF(TRUE=TRUE,3.0,0)))*(1-IF(AND(ArtifactsInput!$M$27,Inputs!$B$4="Chapter Hunt"),CHOOSE(ArtifactsInput!$N$27+1,20,24,28,32,36,40),0)/100)))+1)),0)</f>
        <v/>
      </c>
      <c r="S2799">
        <f>IF(C2799,(H2799*N2799*IF(AND(Inputs!$B$38&lt;&gt;"pvp",Inputs!$B$43&gt;0),((Skills!F9*((R2799-1)*IF(Skills!G9&gt;0,Skills!H9/Skills!G9,1)+IF(Skills!G9&gt;0,MIN(Skills!H9,MAX(0,MAX(0,Inputs!$B$43-B2824)-((R2799-1)*(IF(Inputs!$B$38="pvp",15,MAX(0.1,Skills!D9-IF(TRUE=TRUE,3.0,0)))*(1-IF(AND(ArtifactsInput!$M$27,Inputs!$B$4="Chapter Hunt"),CHOOSE(ArtifactsInput!$N$27+1,20,24,28,32,36,40),0)/100)))))/Skills!G9,1)))/Inputs!$B$43),G2799*Q2799))*IF(Inputs!$B$38="pvp",1,1+(Inputs!$B$20+Skills!O9+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2799*(1-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2799*(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2799*(1-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2799*(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99">
        <f>IF(C2799,(H2799*N2799*IF(AND(Inputs!$B$38&lt;&gt;"pvp",Inputs!$B$43&gt;0),((Skills!F9*((R2799-1)*IF(Skills!G9&gt;0,Skills!H9/Skills!G9,1)+IF(Skills!G9&gt;0,MIN(Skills!H9,MAX(0,MAX(0,Inputs!$B$43-B2824)-((R2799-1)*(IF(Inputs!$B$38="pvp",15,MAX(0.1,Skills!D9-IF(TRUE=TRUE,3.0,0)))*(1-IF(AND(ArtifactsInput!$M$27,Inputs!$B$4="Chapter Hunt"),CHOOSE(ArtifactsInput!$N$27+1,20,24,28,32,36,40),0)/100)))))/Skills!G9,1)))/Inputs!$B$43),G2799*Q2799))*IF(Inputs!$B$38="pvp",1,(1+(Inputs!$B$21+Skills!P9+B2818+(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0">
      <c r="A2800">
        <f>Skills!A10</f>
        <v/>
      </c>
      <c r="B2800">
        <f>Skills!B10</f>
        <v/>
      </c>
      <c r="C2800">
        <f>Inputs!$B$3&gt;=113</f>
        <v/>
      </c>
      <c r="D2800">
        <f>IF(Skills!C10=1,60+Inputs!$B$25+Inputs!$B$29,IF(Skills!C10=2,90+Inputs!$B$26+Inputs!$B$29,IF(Skills!C10=3,120+Inputs!$B$27+Inputs!$B$29,MAX(0,(Inputs!$B$3-100)*3)+Inputs!$B$28+Inputs!$B$29)))</f>
        <v/>
      </c>
      <c r="E2800">
        <f>INDEX(FactorTable!$B$2:$Y$301, MATCH(ROUND(MIN(300,MAX(1,D2800)),0), FactorTable!$A$2:$A$301,0), Skills!L10+1)</f>
        <v/>
      </c>
      <c r="F2800">
        <f>IF(Skills!M10=TRUE,(Skills!K10/10)*(E2800/1000),Skills!K10/10)+Skills!N10</f>
        <v/>
      </c>
      <c r="G2800">
        <f>Calc!G10</f>
        <v/>
      </c>
      <c r="H2800">
        <f>Calc!H10</f>
        <v/>
      </c>
      <c r="I2800">
        <f>IF(Skills!T10&lt;&gt;"",1+(Skills!T10/10)*(Z2793/1000)/100,1)</f>
        <v/>
      </c>
      <c r="J2800">
        <f>((Inputs!$B$6*(1+Inputs!$B$7/100))+(((Inputs!$B$12*(1+Inputs!$B$13/100))-(Inputs!$B$12*(1+Inputs!$B$13/100)))+0.25*(Inputs!$B$14-Inputs!$B$14))*(1+Inputs!$B$7/100))*(F2800/100)</f>
        <v/>
      </c>
      <c r="K2800">
        <f>J2800*(1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10="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2800)</f>
        <v/>
      </c>
      <c r="L2800">
        <f>K2800*(MIN(Inputs!$B$22+(F2808-Calc!F18),(Inputs!$B$23+(IF(ArtifactsInput!$M$15,CHOOSE(ArtifactsInput!$N$15+1,25,30,35,40,45,50)/100*(Inputs!$B$11-Inputs!$B$11),0))))/100+(Inputs!$B$23+(IF(ArtifactsInput!$M$15,CHOOSE(ArtifactsInput!$N$15+1,25,30,35,40,45,50)/100*(Inputs!$B$11-Inputs!$B$11),0)))/100)/2</f>
        <v/>
      </c>
      <c r="M2800">
        <f>L2800*(1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0">
        <f>L2800*(1-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2800*(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0">
        <f>(1-Summary!$B$11)*S2800+Summary!$B$11*U2800</f>
        <v/>
      </c>
      <c r="P2800">
        <f>IF(B2827=0,0,O2800/B2827)</f>
        <v/>
      </c>
      <c r="Q2800">
        <f>IFERROR(1/(IF(Inputs!$B$38="pvp",15,MAX(0.1,Skills!D10-IF(TRUE=TRUE,3.0,0)))*(1-IF(AND(ArtifactsInput!$M$27,Inputs!$B$4="Chapter Hunt"),CHOOSE(ArtifactsInput!$N$27+1,20,24,28,32,36,40),0)/100)),0)</f>
        <v/>
      </c>
      <c r="R2800" t="n">
        <v>0</v>
      </c>
      <c r="S2800">
        <f>IF(C2800,((H2800*B2828)/(1+Skills!G10*H2800*B2828)*N2800)*IF(Inputs!$B$38="pvp",1,1+(Inputs!$B$20+Skills!O10+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2800*(1-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2800*(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2800*(1-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2800*(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0">
        <f>IF(C2800,((H2800*B2828)/(1+Skills!G10*H2800*B2828)*N2800)*IF(Inputs!$B$38="pvp",1,(1+(Inputs!$B$21+Skills!P10+B2818+(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1">
      <c r="A2801">
        <f>Skills!A11</f>
        <v/>
      </c>
      <c r="B2801">
        <f>Skills!B11</f>
        <v/>
      </c>
      <c r="C2801">
        <f>Inputs!$B$3&gt;=107</f>
        <v/>
      </c>
      <c r="D2801">
        <f>IF(Skills!C11=1,60+Inputs!$B$25+Inputs!$B$29,IF(Skills!C11=2,90+Inputs!$B$26+Inputs!$B$29,IF(Skills!C11=3,120+Inputs!$B$27+Inputs!$B$29,MAX(0,(Inputs!$B$3-100)*3)+Inputs!$B$28+Inputs!$B$29)))</f>
        <v/>
      </c>
      <c r="E2801">
        <f>INDEX(FactorTable!$B$2:$Y$301, MATCH(ROUND(MIN(300,MAX(1,D2801)),0), FactorTable!$A$2:$A$301,0), Skills!L11+1)</f>
        <v/>
      </c>
      <c r="F2801">
        <f>IF(Skills!M11=TRUE,(Skills!K11/10)*(E2801/1000),Skills!K11/10)+Skills!N11</f>
        <v/>
      </c>
      <c r="G2801">
        <f>Calc!G11</f>
        <v/>
      </c>
      <c r="H2801">
        <f>Calc!H11</f>
        <v/>
      </c>
      <c r="I2801">
        <f>IF(Skills!T11&lt;&gt;"",1+(Skills!T11/10)*(Z2793/1000)/100,1)</f>
        <v/>
      </c>
      <c r="J2801">
        <f>((Inputs!$B$6*(1+Inputs!$B$7/100))+(((Inputs!$B$12*(1+Inputs!$B$13/100))-(Inputs!$B$12*(1+Inputs!$B$13/100)))+0.25*(Inputs!$B$14-Inputs!$B$14))*(1+Inputs!$B$7/100))*(F2801/100)</f>
        <v/>
      </c>
      <c r="K2801">
        <f>J2801*(1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11="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2801)</f>
        <v/>
      </c>
      <c r="L2801">
        <f>K2801*(MIN(Inputs!$B$22+(F2808-Calc!F18),(Inputs!$B$23+(IF(ArtifactsInput!$M$15,CHOOSE(ArtifactsInput!$N$15+1,25,30,35,40,45,50)/100*(Inputs!$B$11-Inputs!$B$11),0))))/100+(Inputs!$B$23+(IF(ArtifactsInput!$M$15,CHOOSE(ArtifactsInput!$N$15+1,25,30,35,40,45,50)/100*(Inputs!$B$11-Inputs!$B$11),0)))/100)/2</f>
        <v/>
      </c>
      <c r="M2801">
        <f>L2801*(1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1">
        <f>L2801*(1-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1">
        <f>(1-Summary!$B$11)*S2801+Summary!$B$11*U2801</f>
        <v/>
      </c>
      <c r="P2801">
        <f>IF(B2827=0,0,O2801/B2827)</f>
        <v/>
      </c>
      <c r="Q2801">
        <f>IFERROR(1/(IF(Inputs!$B$38="pvp",15,MAX(0.1,Skills!D11-IF(TRUE=TRUE,3.0,0)))*(1-IF(AND(ArtifactsInput!$M$27,Inputs!$B$4="Chapter Hunt"),CHOOSE(ArtifactsInput!$N$27+1,20,24,28,32,36,40),0)/100)),0)</f>
        <v/>
      </c>
      <c r="R2801">
        <f>IF(AND(Inputs!$B$38&lt;&gt;"pvp",Inputs!$B$43&gt;0),IF(MAX(0,Inputs!$B$43-B2824)&lt;=0,0,(INT(MAX(0,Inputs!$B$43-B2824)/(IF(Inputs!$B$38="pvp",15,MAX(0.1,Skills!D11-IF(TRUE=TRUE,3.0,0)))*(1-IF(AND(ArtifactsInput!$M$27,Inputs!$B$4="Chapter Hunt"),CHOOSE(ArtifactsInput!$N$27+1,20,24,28,32,36,40),0)/100)))+1)),0)</f>
        <v/>
      </c>
      <c r="S2801">
        <f>IF(C2801,H2801*N2801*IF(AND(Inputs!$B$38&lt;&gt;"pvp",Inputs!$B$43&gt;0),((Skills!F11*((R2801-1)*IF(Skills!G11&gt;0,Skills!H11/Skills!G11,1)+IF(Skills!G11&gt;0,MIN(Skills!H11,MAX(0,MAX(0,Inputs!$B$43-B2824)-((R2801-1)*(IF(Inputs!$B$38="pvp",15,MAX(0.1,Skills!D11-IF(TRUE=TRUE,3.0,0)))*(1-IF(AND(ArtifactsInput!$M$27,Inputs!$B$4="Chapter Hunt"),CHOOSE(ArtifactsInput!$N$27+1,20,24,28,32,36,40),0)/100)))))/Skills!G11,1)))/Inputs!$B$43),G2801*Q2801)*0.5*IF(Inputs!$B$38="pvp",1,1+(Inputs!$B$20+Skills!O11+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2801*(1-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2801*(1-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1">
        <f>IF(C2801,H2801*N2801*IF(AND(Inputs!$B$38&lt;&gt;"pvp",Inputs!$B$43&gt;0),((Skills!F11*((R2801-1)*IF(Skills!G11&gt;0,Skills!H11/Skills!G11,1)+IF(Skills!G11&gt;0,MIN(Skills!H11,MAX(0,MAX(0,Inputs!$B$43-B2824)-((R2801-1)*(IF(Inputs!$B$38="pvp",15,MAX(0.1,Skills!D11-IF(TRUE=TRUE,3.0,0)))*(1-IF(AND(ArtifactsInput!$M$27,Inputs!$B$4="Chapter Hunt"),CHOOSE(ArtifactsInput!$N$27+1,20,24,28,32,36,40),0)/100)))))/Skills!G11,1)))/Inputs!$B$43),G2801*Q2801)*1*IF(Inputs!$B$38="pvp",1,(1+(Inputs!$B$21+Skills!P11+B2818+(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2">
      <c r="A2802">
        <f>Skills!A12</f>
        <v/>
      </c>
      <c r="B2802">
        <f>Skills!B12</f>
        <v/>
      </c>
      <c r="C2802">
        <f>Inputs!$B$3&gt;=115</f>
        <v/>
      </c>
      <c r="D2802">
        <f>IF(Skills!C12=1,60+Inputs!$B$25+Inputs!$B$29,IF(Skills!C12=2,90+Inputs!$B$26+Inputs!$B$29,IF(Skills!C12=3,120+Inputs!$B$27+Inputs!$B$29,MAX(0,(Inputs!$B$3-100)*3)+Inputs!$B$28+Inputs!$B$29)))</f>
        <v/>
      </c>
      <c r="E2802">
        <f>INDEX(FactorTable!$B$2:$Y$301, MATCH(ROUND(MIN(300,MAX(1,D2802)),0), FactorTable!$A$2:$A$301,0), Skills!L12+1)</f>
        <v/>
      </c>
      <c r="F2802">
        <f>IF(Skills!M12=TRUE,(Skills!K12/10)*(E2802/1000),Skills!K12/10)+Skills!N12</f>
        <v/>
      </c>
      <c r="G2802">
        <f>Calc!G12</f>
        <v/>
      </c>
      <c r="H2802">
        <f>Calc!H12</f>
        <v/>
      </c>
      <c r="I2802">
        <f>IF(Skills!T12&lt;&gt;"",1+(Skills!T12/10)*(Z2793/1000)/100,1)</f>
        <v/>
      </c>
      <c r="J2802">
        <f>((Inputs!$B$6*(1+Inputs!$B$7/100))+(((Inputs!$B$12*(1+Inputs!$B$13/100))-(Inputs!$B$12*(1+Inputs!$B$13/100)))+0.25*(Inputs!$B$14-Inputs!$B$14))*(1+Inputs!$B$7/100))*(F2802/100)</f>
        <v/>
      </c>
      <c r="K2802">
        <f>J2802*(1+((Inputs!$B$12*(1+Inputs!$B$13/100))*0.01+Inputs!$B$14*0.0025)/100)*(1+(Inputs!$B$15+B2819)/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2805=TRUE,F2805,0)/100)*(1+IF(C2813=TRUE,F2813,0)/100)^5*(1+(IF(Skills!A12="CHAIN_LIGHTNING",Inputs!$B$17+((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2817*(1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2802)</f>
        <v/>
      </c>
      <c r="L2802">
        <f>K2802*(MIN(Inputs!$B$22+(F2808-Calc!F18),(Inputs!$B$23+(IF(ArtifactsInput!$M$15,CHOOSE(ArtifactsInput!$N$15+1,25,30,35,40,45,50)/100*(Inputs!$B$11-Inputs!$B$11),0))))/100+(Inputs!$B$23+(IF(ArtifactsInput!$M$15,CHOOSE(ArtifactsInput!$N$15+1,25,30,35,40,45,50)/100*(Inputs!$B$11-Inputs!$B$11),0)))/100)/2</f>
        <v/>
      </c>
      <c r="M2802">
        <f>L2802*(1+(Inputs!$B$10+(F2811-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02">
        <f>L2802*(1-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2802*(MIN((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02">
        <f>(1-Summary!$B$11)*S2802+Summary!$B$11*U2802</f>
        <v/>
      </c>
      <c r="P2802">
        <f>IF(B2827=0,0,O2802/B2827)</f>
        <v/>
      </c>
      <c r="Q2802">
        <f>IFERROR(1/(IF(Inputs!$B$38="pvp",15,MAX(0.1,Skills!D12-IF(TRUE=TRUE,3.0,0)))*(1-IF(AND(ArtifactsInput!$M$27,Inputs!$B$4="Chapter Hunt"),CHOOSE(ArtifactsInput!$N$27+1,20,24,28,32,36,40),0)/100)),0)</f>
        <v/>
      </c>
      <c r="R2802">
        <f>IF(AND(Inputs!$B$38&lt;&gt;"pvp",Inputs!$B$43&gt;0),IF(MAX(0,Inputs!$B$43-B2824)&lt;=0,0,(INT(MAX(0,Inputs!$B$43-B2824)/(IF(Inputs!$B$38="pvp",15,MAX(0.1,Skills!D12-IF(TRUE=TRUE,3.0,0)))*(1-IF(AND(ArtifactsInput!$M$27,Inputs!$B$4="Chapter Hunt"),CHOOSE(ArtifactsInput!$N$27+1,20,24,28,32,36,40),0)/100)))+1)),0)</f>
        <v/>
      </c>
      <c r="S2802">
        <f>IF(C2802,(H2802*N2802*IF(AND(Inputs!$B$38&lt;&gt;"pvp",Inputs!$B$43&gt;0),((Skills!F12*((R2802-1)*IF(Skills!G12&gt;0,Skills!H12/Skills!G12,1)+IF(Skills!G12&gt;0,MIN(Skills!H12,MAX(0,MAX(0,Inputs!$B$43-B2824)-((R2802-1)*(IF(Inputs!$B$38="pvp",15,MAX(0.1,Skills!D12-IF(TRUE=TRUE,3.0,0)))*(1-IF(AND(ArtifactsInput!$M$27,Inputs!$B$4="Chapter Hunt"),CHOOSE(ArtifactsInput!$N$27+1,20,24,28,32,36,40),0)/100)))))/Skills!G12,1)))/Inputs!$B$43),G2802*Q2802))*IF(Inputs!$B$38="pvp",1,1+(Inputs!$B$20+Skills!O12+B2818+(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2802*(1-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2802*(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2802*(1-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2802*(MIN(100,(Inputs!$B$9+((F2810-Calc!F20)+(F2809-Calc!F19))+(ArtifactsInput!$M$24-ArtifactsInput!$M$24)*CHOOSE(ArtifactsInput!$N$24+1,10,12,14,16,18,20)+(IF(AND(Inputs!$B$38&lt;&gt;"pvp",Inputs!$B$43=0),1,IF(IF(Inputs!$B$38="pvp",15,Inputs!$B$43)-(B2824)&lt;=0,1,MAX(0,IF(Inputs!$B$38="pvp",15,Inputs!$B$43)-MAX(5,B2824))/(IF(Inputs!$B$38="pvp",15,Inputs!$B$43)-(B2824))))*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02">
        <f>IF(C2802,(H2802*N2802*IF(AND(Inputs!$B$38&lt;&gt;"pvp",Inputs!$B$43&gt;0),((Skills!F12*((R2802-1)*IF(Skills!G12&gt;0,Skills!H12/Skills!G12,1)+IF(Skills!G12&gt;0,MIN(Skills!H12,MAX(0,MAX(0,Inputs!$B$43-B2824)-((R2802-1)*(IF(Inputs!$B$38="pvp",15,MAX(0.1,Skills!D12-IF(TRUE=TRUE,3.0,0)))*(1-IF(AND(ArtifactsInput!$M$27,Inputs!$B$4="Chapter Hunt"),CHOOSE(ArtifactsInput!$N$27+1,20,24,28,32,36,40),0)/100)))))/Skills!G12,1)))/Inputs!$B$43),G2802*Q2802))*IF(Inputs!$B$38="pvp",1,(1+(Inputs!$B$21+Skills!P12+B2818+(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03">
      <c r="A2803">
        <f>Skills!A13</f>
        <v/>
      </c>
      <c r="B2803">
        <f>Skills!B13</f>
        <v/>
      </c>
      <c r="C2803">
        <f>Inputs!$B$3&gt;=49</f>
        <v/>
      </c>
      <c r="D2803">
        <f>IF(Skills!C13=1,60+Inputs!$B$25+Inputs!$B$29,IF(Skills!C13=2,90+Inputs!$B$26+Inputs!$B$29,IF(Skills!C13=3,120+Inputs!$B$27+Inputs!$B$29,MAX(0,(Inputs!$B$3-100)*3)+Inputs!$B$28+Inputs!$B$29)))</f>
        <v/>
      </c>
      <c r="E2803">
        <f>INDEX(FactorTable!$B$2:$Y$301, MATCH(ROUND(MIN(300,MAX(1,D2803)),0), FactorTable!$A$2:$A$301,0), Skills!L13+1)</f>
        <v/>
      </c>
      <c r="F2803">
        <f>IF(Skills!M13=TRUE,(Skills!K13/10)*(E2803/1000),Skills!K13/10)+Skills!N13</f>
        <v/>
      </c>
      <c r="G2803">
        <f>Calc!G13</f>
        <v/>
      </c>
      <c r="H2803">
        <f>Calc!H13</f>
        <v/>
      </c>
      <c r="I2803">
        <f>IF(Skills!T13&lt;&gt;"",1+(Skills!T13/10)*(Z2793/1000)/100,1)</f>
        <v/>
      </c>
      <c r="J2803" t="inlineStr"/>
      <c r="K2803" t="inlineStr"/>
      <c r="L2803" t="inlineStr"/>
      <c r="M2803" t="inlineStr"/>
      <c r="N2803" t="inlineStr"/>
      <c r="O2803">
        <f>(1-Summary!$B$11)*S2803+Summary!$B$11*U2803</f>
        <v/>
      </c>
      <c r="P2803">
        <f>IF(B2827=0,0,O2803/B2827)</f>
        <v/>
      </c>
      <c r="Q2803">
        <f>IFERROR(1/(IF(Inputs!$B$38="pvp",15,MAX(0.1,Skills!D13-IF(TRUE=TRUE,3.0,0)))*(1-IF(AND(ArtifactsInput!$M$27,Inputs!$B$4="Chapter Hunt"),CHOOSE(ArtifactsInput!$N$27+1,20,24,28,32,36,40),0)/100)),0)</f>
        <v/>
      </c>
      <c r="R2803" t="n">
        <v>0</v>
      </c>
      <c r="S2803" t="n">
        <v>0</v>
      </c>
      <c r="U2803" t="n">
        <v>0</v>
      </c>
    </row>
    <row r="2804">
      <c r="A2804">
        <f>Skills!A14</f>
        <v/>
      </c>
      <c r="B2804">
        <f>Skills!B14</f>
        <v/>
      </c>
      <c r="C2804">
        <f>Inputs!$B$3&gt;=72</f>
        <v/>
      </c>
      <c r="D2804">
        <f>IF(Skills!C14=1,60+Inputs!$B$25+Inputs!$B$29,IF(Skills!C14=2,90+Inputs!$B$26+Inputs!$B$29,IF(Skills!C14=3,120+Inputs!$B$27+Inputs!$B$29,MAX(0,(Inputs!$B$3-100)*3)+Inputs!$B$28+Inputs!$B$29)))</f>
        <v/>
      </c>
      <c r="E2804">
        <f>INDEX(FactorTable!$B$2:$Y$301, MATCH(ROUND(MIN(300,MAX(1,D2804)),0), FactorTable!$A$2:$A$301,0), Skills!L14+1)</f>
        <v/>
      </c>
      <c r="F2804">
        <f>IF(Skills!M14=TRUE,(Skills!K14/10)*(E2804/1000),Skills!K14/10)+Skills!N14</f>
        <v/>
      </c>
      <c r="G2804">
        <f>Calc!G14</f>
        <v/>
      </c>
      <c r="H2804">
        <f>Calc!H14</f>
        <v/>
      </c>
      <c r="I2804">
        <f>IF(Skills!T14&lt;&gt;"",1+(Skills!T14/10)*(Z2793/1000)/100,1)</f>
        <v/>
      </c>
      <c r="J2804" t="inlineStr"/>
      <c r="K2804" t="inlineStr"/>
      <c r="L2804" t="inlineStr"/>
      <c r="M2804" t="inlineStr"/>
      <c r="N2804" t="inlineStr"/>
      <c r="O2804">
        <f>(1-Summary!$B$11)*S2804+Summary!$B$11*U2804</f>
        <v/>
      </c>
      <c r="P2804">
        <f>IF(B2827=0,0,O2804/B2827)</f>
        <v/>
      </c>
      <c r="Q2804">
        <f>IFERROR(1/(IF(Inputs!$B$38="pvp",15,MAX(0.1,Skills!D14-IF(TRUE=TRUE,3.0,0)))*(1-IF(AND(ArtifactsInput!$M$27,Inputs!$B$4="Chapter Hunt"),CHOOSE(ArtifactsInput!$N$27+1,20,24,28,32,36,40),0)/100)),0)</f>
        <v/>
      </c>
      <c r="R2804" t="n">
        <v>0</v>
      </c>
      <c r="S2804" t="n">
        <v>0</v>
      </c>
      <c r="U2804" t="n">
        <v>0</v>
      </c>
    </row>
    <row r="2805">
      <c r="A2805">
        <f>Skills!A15</f>
        <v/>
      </c>
      <c r="B2805">
        <f>Skills!B15</f>
        <v/>
      </c>
      <c r="C2805">
        <f>Inputs!$B$3&gt;=75</f>
        <v/>
      </c>
      <c r="D2805">
        <f>IF(Skills!C15=1,60+Inputs!$B$25+Inputs!$B$29,IF(Skills!C15=2,90+Inputs!$B$26+Inputs!$B$29,IF(Skills!C15=3,120+Inputs!$B$27+Inputs!$B$29,MAX(0,(Inputs!$B$3-100)*3)+Inputs!$B$28+Inputs!$B$29)))</f>
        <v/>
      </c>
      <c r="E2805">
        <f>INDEX(FactorTable!$B$2:$Y$301, MATCH(ROUND(MIN(300,MAX(1,D2805)),0), FactorTable!$A$2:$A$301,0), Skills!L15+1)</f>
        <v/>
      </c>
      <c r="F2805">
        <f>IF(Skills!M15=TRUE,(Skills!K15/10)*(E2805/1000),Skills!K15/10)+Skills!N15</f>
        <v/>
      </c>
      <c r="G2805">
        <f>Calc!G15</f>
        <v/>
      </c>
      <c r="H2805">
        <f>Calc!H15</f>
        <v/>
      </c>
      <c r="I2805">
        <f>IF(Skills!T15&lt;&gt;"",1+(Skills!T15/10)*(Z2793/1000)/100,1)</f>
        <v/>
      </c>
      <c r="J2805" t="inlineStr"/>
      <c r="K2805" t="inlineStr"/>
      <c r="L2805" t="inlineStr"/>
      <c r="M2805" t="inlineStr"/>
      <c r="N2805" t="inlineStr"/>
      <c r="O2805">
        <f>(1-Summary!$B$11)*S2805+Summary!$B$11*U2805</f>
        <v/>
      </c>
      <c r="P2805">
        <f>IF(B2827=0,0,O2805/B2827)</f>
        <v/>
      </c>
      <c r="Q2805">
        <f>IFERROR(1/(IF(Inputs!$B$38="pvp",15,MAX(0.1,Skills!D15-IF(TRUE=TRUE,3.0,0)))*(1-IF(AND(ArtifactsInput!$M$27,Inputs!$B$4="Chapter Hunt"),CHOOSE(ArtifactsInput!$N$27+1,20,24,28,32,36,40),0)/100)),0)</f>
        <v/>
      </c>
      <c r="R2805" t="n">
        <v>0</v>
      </c>
      <c r="S2805" t="n">
        <v>0</v>
      </c>
      <c r="U2805" t="n">
        <v>0</v>
      </c>
    </row>
    <row r="2806">
      <c r="A2806">
        <f>Skills!A16</f>
        <v/>
      </c>
      <c r="B2806">
        <f>Skills!B16</f>
        <v/>
      </c>
      <c r="C2806">
        <f>Inputs!$B$3&gt;=110</f>
        <v/>
      </c>
      <c r="D2806">
        <f>IF(Skills!C16=1,60+Inputs!$B$25+Inputs!$B$29,IF(Skills!C16=2,90+Inputs!$B$26+Inputs!$B$29,IF(Skills!C16=3,120+Inputs!$B$27+Inputs!$B$29,MAX(0,(Inputs!$B$3-100)*3)+Inputs!$B$28+Inputs!$B$29)))</f>
        <v/>
      </c>
      <c r="E2806">
        <f>INDEX(FactorTable!$B$2:$Y$301, MATCH(ROUND(MIN(300,MAX(1,D2806)),0), FactorTable!$A$2:$A$301,0), Skills!L16+1)</f>
        <v/>
      </c>
      <c r="F2806">
        <f>(Skills!K16/10)*(E2806/1000)*64/45+Skills!N16</f>
        <v/>
      </c>
      <c r="G2806">
        <f>Calc!G16</f>
        <v/>
      </c>
      <c r="H2806">
        <f>Calc!H16</f>
        <v/>
      </c>
      <c r="I2806">
        <f>IF(Skills!T16&lt;&gt;"",1+(Skills!T16/10)*(Z2793/1000)/100,1)</f>
        <v/>
      </c>
      <c r="J2806" t="inlineStr"/>
      <c r="K2806" t="inlineStr"/>
      <c r="L2806" t="inlineStr"/>
      <c r="M2806" t="inlineStr"/>
      <c r="N2806" t="inlineStr"/>
      <c r="O2806">
        <f>(1-Summary!$B$11)*S2806+Summary!$B$11*U2806</f>
        <v/>
      </c>
      <c r="P2806">
        <f>IF(B2827=0,0,O2806/B2827)</f>
        <v/>
      </c>
      <c r="Q2806">
        <f>IFERROR(1/(IF(Inputs!$B$38="pvp",15,MAX(0.1,Skills!D16-IF(TRUE=TRUE,3.0,0)))*(1-IF(AND(ArtifactsInput!$M$27,Inputs!$B$4="Chapter Hunt"),CHOOSE(ArtifactsInput!$N$27+1,20,24,28,32,36,40),0)/100)),0)</f>
        <v/>
      </c>
      <c r="R2806">
        <f>IF(AND(Inputs!$B$38&lt;&gt;"pvp",Inputs!$B$43&gt;0),IF(Inputs!$B$43&lt;=0,0,(INT(Inputs!$B$43/(IF(Inputs!$B$38="pvp",15,MAX(0.1,Skills!D16-IF(TRUE=TRUE,3.0,0)))*(1-IF(AND(ArtifactsInput!$M$27,Inputs!$B$4="Chapter Hunt"),CHOOSE(ArtifactsInput!$N$27+1,20,24,28,32,36,40),0)/100)))+1)),0)</f>
        <v/>
      </c>
      <c r="S2806" t="n">
        <v>0</v>
      </c>
      <c r="U2806" t="n">
        <v>0</v>
      </c>
    </row>
    <row r="2807">
      <c r="A2807">
        <f>Skills!A17</f>
        <v/>
      </c>
      <c r="B2807">
        <f>Skills!B17</f>
        <v/>
      </c>
      <c r="C2807">
        <f>Inputs!$B$3&gt;=33</f>
        <v/>
      </c>
      <c r="D2807">
        <f>IF(Skills!C17=1,60+Inputs!$B$25+Inputs!$B$29,IF(Skills!C17=2,90+Inputs!$B$26+Inputs!$B$29,IF(Skills!C17=3,120+Inputs!$B$27+Inputs!$B$29,MAX(0,(Inputs!$B$3-100)*3)+Inputs!$B$28+Inputs!$B$29)))</f>
        <v/>
      </c>
      <c r="E2807">
        <f>INDEX(FactorTable!$B$2:$Y$301, MATCH(ROUND(MIN(300,MAX(1,D2807)),0), FactorTable!$A$2:$A$301,0), Skills!L17+1)</f>
        <v/>
      </c>
      <c r="F2807">
        <f>IF(Skills!M17=TRUE,(Skills!K17/10)*(E2807/1000),Skills!K17/10)+Skills!N17</f>
        <v/>
      </c>
      <c r="G2807">
        <f>Calc!G17</f>
        <v/>
      </c>
      <c r="H2807">
        <f>Calc!H17</f>
        <v/>
      </c>
      <c r="I2807">
        <f>IF(Skills!T17&lt;&gt;"",1+(Skills!T17/10)*(Z2793/1000)/100,1)</f>
        <v/>
      </c>
      <c r="J2807" t="inlineStr"/>
      <c r="K2807" t="inlineStr"/>
      <c r="L2807" t="inlineStr"/>
      <c r="M2807" t="inlineStr"/>
      <c r="N2807" t="inlineStr"/>
      <c r="O2807">
        <f>(1-Summary!$B$11)*S2807+Summary!$B$11*U2807</f>
        <v/>
      </c>
      <c r="P2807">
        <f>IF(B2827=0,0,O2807/B2827)</f>
        <v/>
      </c>
      <c r="Q2807">
        <f>IFERROR(1/(IF(Inputs!$B$38="pvp",15,MAX(0.1,Skills!D17-IF(TRUE=TRUE,3.0,0)))*(1-IF(AND(ArtifactsInput!$M$27,Inputs!$B$4="Chapter Hunt"),CHOOSE(ArtifactsInput!$N$27+1,20,24,28,32,36,40),0)/100)),0)</f>
        <v/>
      </c>
      <c r="R2807" t="n">
        <v>0</v>
      </c>
      <c r="S2807" t="n">
        <v>0</v>
      </c>
      <c r="U2807" t="n">
        <v>0</v>
      </c>
    </row>
    <row r="2808">
      <c r="A2808">
        <f>Skills!A18</f>
        <v/>
      </c>
      <c r="B2808">
        <f>Skills!B18</f>
        <v/>
      </c>
      <c r="C2808">
        <f>Inputs!$B$3&gt;=43</f>
        <v/>
      </c>
      <c r="D2808">
        <f>IF(Skills!C18=1,60+Inputs!$B$25+Inputs!$B$29,IF(Skills!C18=2,90+Inputs!$B$26+Inputs!$B$29,IF(Skills!C18=3,120+Inputs!$B$27+Inputs!$B$29,MAX(0,(Inputs!$B$3-100)*3)+Inputs!$B$28+Inputs!$B$29)))</f>
        <v/>
      </c>
      <c r="E2808">
        <f>INDEX(FactorTable!$B$2:$Y$301, MATCH(ROUND(MIN(300,MAX(1,D2808)),0), FactorTable!$A$2:$A$301,0), Skills!L18+1)</f>
        <v/>
      </c>
      <c r="F2808">
        <f>IF(Skills!M18=TRUE,(Skills!K18/10)*(E2808/1000),Skills!K18/10)+Skills!N18</f>
        <v/>
      </c>
      <c r="G2808">
        <f>Calc!G18</f>
        <v/>
      </c>
      <c r="H2808">
        <f>Calc!H18</f>
        <v/>
      </c>
      <c r="I2808">
        <f>IF(Skills!T18&lt;&gt;"",1+(Skills!T18/10)*(Z2793/1000)/100,1)</f>
        <v/>
      </c>
      <c r="J2808" t="inlineStr"/>
      <c r="K2808" t="inlineStr"/>
      <c r="L2808" t="inlineStr"/>
      <c r="M2808" t="inlineStr"/>
      <c r="N2808" t="inlineStr"/>
      <c r="O2808">
        <f>(1-Summary!$B$11)*S2808+Summary!$B$11*U2808</f>
        <v/>
      </c>
      <c r="P2808">
        <f>IF(B2827=0,0,O2808/B2827)</f>
        <v/>
      </c>
      <c r="Q2808">
        <f>IFERROR(1/(IF(Inputs!$B$38="pvp",15,MAX(0.1,Skills!D18-IF(TRUE=TRUE,3.0,0)))*(1-IF(AND(ArtifactsInput!$M$27,Inputs!$B$4="Chapter Hunt"),CHOOSE(ArtifactsInput!$N$27+1,20,24,28,32,36,40),0)/100)),0)</f>
        <v/>
      </c>
      <c r="R2808" t="n">
        <v>0</v>
      </c>
      <c r="S2808" t="n">
        <v>0</v>
      </c>
      <c r="U2808" t="n">
        <v>0</v>
      </c>
    </row>
    <row r="2809">
      <c r="A2809">
        <f>Skills!A19</f>
        <v/>
      </c>
      <c r="B2809">
        <f>Skills!B19</f>
        <v/>
      </c>
      <c r="C2809">
        <f>Inputs!$B$3&gt;=50</f>
        <v/>
      </c>
      <c r="D2809">
        <f>IF(Skills!C19=1,60+Inputs!$B$25+Inputs!$B$29,IF(Skills!C19=2,90+Inputs!$B$26+Inputs!$B$29,IF(Skills!C19=3,120+Inputs!$B$27+Inputs!$B$29,MAX(0,(Inputs!$B$3-100)*3)+Inputs!$B$28+Inputs!$B$29)))</f>
        <v/>
      </c>
      <c r="E2809">
        <f>INDEX(FactorTable!$B$2:$Y$301, MATCH(ROUND(MIN(300,MAX(1,D2809)),0), FactorTable!$A$2:$A$301,0), Skills!L19+1)</f>
        <v/>
      </c>
      <c r="F2809">
        <f>IF(Skills!M19=TRUE,(Skills!K19/10)*(E2809/1000),Skills!K19/10)+Skills!N19</f>
        <v/>
      </c>
      <c r="G2809">
        <f>Calc!G19</f>
        <v/>
      </c>
      <c r="H2809">
        <f>Calc!H19</f>
        <v/>
      </c>
      <c r="I2809">
        <f>IF(Skills!T19&lt;&gt;"",1+(Skills!T19/10)*(Z2793/1000)/100,1)</f>
        <v/>
      </c>
      <c r="J2809" t="inlineStr"/>
      <c r="K2809" t="inlineStr"/>
      <c r="L2809" t="inlineStr"/>
      <c r="M2809" t="inlineStr"/>
      <c r="N2809" t="inlineStr"/>
      <c r="O2809">
        <f>(1-Summary!$B$11)*S2809+Summary!$B$11*U2809</f>
        <v/>
      </c>
      <c r="P2809">
        <f>IF(B2827=0,0,O2809/B2827)</f>
        <v/>
      </c>
      <c r="Q2809">
        <f>IFERROR(1/(IF(Inputs!$B$38="pvp",15,MAX(0.1,Skills!D19-IF(TRUE=TRUE,3.0,0)))*(1-IF(AND(ArtifactsInput!$M$27,Inputs!$B$4="Chapter Hunt"),CHOOSE(ArtifactsInput!$N$27+1,20,24,28,32,36,40),0)/100)),0)</f>
        <v/>
      </c>
      <c r="R2809" t="n">
        <v>0</v>
      </c>
      <c r="S2809" t="n">
        <v>0</v>
      </c>
      <c r="U2809" t="n">
        <v>0</v>
      </c>
    </row>
    <row r="2810">
      <c r="A2810">
        <f>Skills!A20</f>
        <v/>
      </c>
      <c r="B2810">
        <f>Skills!B20</f>
        <v/>
      </c>
      <c r="C2810">
        <f>Inputs!$B$3&gt;=74</f>
        <v/>
      </c>
      <c r="D2810">
        <f>IF(Skills!C20=1,60+Inputs!$B$25+Inputs!$B$29,IF(Skills!C20=2,90+Inputs!$B$26+Inputs!$B$29,IF(Skills!C20=3,120+Inputs!$B$27+Inputs!$B$29,MAX(0,(Inputs!$B$3-100)*3)+Inputs!$B$28+Inputs!$B$29)))</f>
        <v/>
      </c>
      <c r="E2810">
        <f>INDEX(FactorTable!$B$2:$Y$301, MATCH(ROUND(MIN(300,MAX(1,D2810)),0), FactorTable!$A$2:$A$301,0), Skills!L20+1)</f>
        <v/>
      </c>
      <c r="F2810">
        <f>IF(Skills!M20=TRUE,(Skills!K20/10)*(E2810/1000),Skills!K20/10)+Skills!N20</f>
        <v/>
      </c>
      <c r="G2810">
        <f>Calc!G20</f>
        <v/>
      </c>
      <c r="H2810">
        <f>Calc!H20</f>
        <v/>
      </c>
      <c r="I2810">
        <f>IF(Skills!T20&lt;&gt;"",1+(Skills!T20/10)*(Z2793/1000)/100,1)</f>
        <v/>
      </c>
      <c r="J2810" t="inlineStr"/>
      <c r="K2810" t="inlineStr"/>
      <c r="L2810" t="inlineStr"/>
      <c r="M2810" t="inlineStr"/>
      <c r="N2810" t="inlineStr"/>
      <c r="O2810">
        <f>(1-Summary!$B$11)*S2810+Summary!$B$11*U2810</f>
        <v/>
      </c>
      <c r="P2810">
        <f>IF(B2827=0,0,O2810/B2827)</f>
        <v/>
      </c>
      <c r="Q2810">
        <f>IFERROR(1/(IF(Inputs!$B$38="pvp",15,MAX(0.1,Skills!D20-IF(TRUE=TRUE,3.0,0)))*(1-IF(AND(ArtifactsInput!$M$27,Inputs!$B$4="Chapter Hunt"),CHOOSE(ArtifactsInput!$N$27+1,20,24,28,32,36,40),0)/100)),0)</f>
        <v/>
      </c>
      <c r="R2810" t="n">
        <v>0</v>
      </c>
      <c r="S2810" t="n">
        <v>0</v>
      </c>
      <c r="U2810" t="n">
        <v>0</v>
      </c>
    </row>
    <row r="2811">
      <c r="A2811">
        <f>Skills!A21</f>
        <v/>
      </c>
      <c r="B2811">
        <f>Skills!B21</f>
        <v/>
      </c>
      <c r="C2811">
        <f>Inputs!$B$3&gt;=74</f>
        <v/>
      </c>
      <c r="D2811">
        <f>IF(Skills!C21=1,60+Inputs!$B$25+Inputs!$B$29,IF(Skills!C21=2,90+Inputs!$B$26+Inputs!$B$29,IF(Skills!C21=3,120+Inputs!$B$27+Inputs!$B$29,MAX(0,(Inputs!$B$3-100)*3)+Inputs!$B$28+Inputs!$B$29)))</f>
        <v/>
      </c>
      <c r="E2811">
        <f>INDEX(FactorTable!$B$2:$Y$301, MATCH(ROUND(MIN(300,MAX(1,D2811)),0), FactorTable!$A$2:$A$301,0), Skills!L21+1)</f>
        <v/>
      </c>
      <c r="F2811">
        <f>IF(Skills!M21=TRUE,(Skills!K21/10)*(E2811/1000),Skills!K21/10)+Skills!N21</f>
        <v/>
      </c>
      <c r="G2811">
        <f>Calc!G21</f>
        <v/>
      </c>
      <c r="H2811">
        <f>Calc!H21</f>
        <v/>
      </c>
      <c r="I2811">
        <f>IF(Skills!T21&lt;&gt;"",1+(Skills!T21/10)*(Z2793/1000)/100,1)</f>
        <v/>
      </c>
      <c r="J2811" t="inlineStr"/>
      <c r="K2811" t="inlineStr"/>
      <c r="L2811" t="inlineStr"/>
      <c r="M2811" t="inlineStr"/>
      <c r="N2811" t="inlineStr"/>
      <c r="O2811">
        <f>(1-Summary!$B$11)*S2811+Summary!$B$11*U2811</f>
        <v/>
      </c>
      <c r="P2811">
        <f>IF(B2827=0,0,O2811/B2827)</f>
        <v/>
      </c>
      <c r="Q2811">
        <f>IFERROR(1/(IF(Inputs!$B$38="pvp",15,MAX(0.1,Skills!D21-IF(TRUE=TRUE,3.0,0)))*(1-IF(AND(ArtifactsInput!$M$27,Inputs!$B$4="Chapter Hunt"),CHOOSE(ArtifactsInput!$N$27+1,20,24,28,32,36,40),0)/100)),0)</f>
        <v/>
      </c>
      <c r="R2811" t="n">
        <v>0</v>
      </c>
      <c r="S2811" t="n">
        <v>0</v>
      </c>
      <c r="U2811" t="n">
        <v>0</v>
      </c>
    </row>
    <row r="2812">
      <c r="A2812">
        <f>Skills!A22</f>
        <v/>
      </c>
      <c r="B2812">
        <f>Skills!B22</f>
        <v/>
      </c>
      <c r="C2812">
        <f>Inputs!$B$3&gt;=117</f>
        <v/>
      </c>
      <c r="D2812">
        <f>IF(Skills!C22=1,60+Inputs!$B$25+Inputs!$B$29,IF(Skills!C22=2,90+Inputs!$B$26+Inputs!$B$29,IF(Skills!C22=3,120+Inputs!$B$27+Inputs!$B$29,MAX(0,(Inputs!$B$3-100)*3)+Inputs!$B$28+Inputs!$B$29)))</f>
        <v/>
      </c>
      <c r="E2812">
        <f>INDEX(FactorTable!$B$2:$Y$301, MATCH(ROUND(MIN(300,MAX(1,D2812)),0), FactorTable!$A$2:$A$301,0), Skills!L22+1)</f>
        <v/>
      </c>
      <c r="F2812">
        <f>IF(Skills!M22=TRUE,(Skills!K22/10)*(E2812/1000),Skills!K22/10)+Skills!N22</f>
        <v/>
      </c>
      <c r="G2812">
        <f>Calc!G22</f>
        <v/>
      </c>
      <c r="H2812">
        <f>Calc!H22</f>
        <v/>
      </c>
      <c r="I2812">
        <f>IF(Skills!T22&lt;&gt;"",1+(Skills!T22/10)*(Z2793/1000)/100,1)</f>
        <v/>
      </c>
      <c r="J2812" t="inlineStr"/>
      <c r="K2812" t="inlineStr"/>
      <c r="L2812" t="inlineStr"/>
      <c r="M2812" t="inlineStr"/>
      <c r="N2812" t="inlineStr"/>
      <c r="O2812">
        <f>(1-Summary!$B$11)*S2812+Summary!$B$11*U2812</f>
        <v/>
      </c>
      <c r="P2812">
        <f>IF(B2827=0,0,O2812/B2827)</f>
        <v/>
      </c>
      <c r="Q2812">
        <f>IFERROR(1/(IF(Inputs!$B$38="pvp",15,MAX(0.1,Skills!D22-IF(TRUE=TRUE,3.0,0)))*(1-IF(AND(ArtifactsInput!$M$27,Inputs!$B$4="Chapter Hunt"),CHOOSE(ArtifactsInput!$N$27+1,20,24,28,32,36,40),0)/100)),0)</f>
        <v/>
      </c>
      <c r="R2812" t="n">
        <v>0</v>
      </c>
      <c r="S2812" t="n">
        <v>0</v>
      </c>
      <c r="U2812" t="n">
        <v>0</v>
      </c>
    </row>
    <row r="2813">
      <c r="A2813">
        <f>Skills!A23</f>
        <v/>
      </c>
      <c r="B2813">
        <f>Skills!B23</f>
        <v/>
      </c>
      <c r="C2813">
        <f>Inputs!$B$3&gt;=120</f>
        <v/>
      </c>
      <c r="D2813">
        <f>IF(Skills!C23=1,60+Inputs!$B$25+Inputs!$B$29,IF(Skills!C23=2,90+Inputs!$B$26+Inputs!$B$29,IF(Skills!C23=3,120+Inputs!$B$27+Inputs!$B$29,MAX(0,(Inputs!$B$3-100)*3)+Inputs!$B$28+Inputs!$B$29)))</f>
        <v/>
      </c>
      <c r="E2813">
        <f>INDEX(FactorTable!$B$2:$Y$301, MATCH(ROUND(MIN(300,MAX(1,D2813)),0), FactorTable!$A$2:$A$301,0), Skills!L23+1)</f>
        <v/>
      </c>
      <c r="F2813">
        <f>IF(Skills!M23=TRUE,(Skills!K23/10)*(E2813/1000),Skills!K23/10)+Skills!N23</f>
        <v/>
      </c>
      <c r="G2813">
        <f>Calc!G23</f>
        <v/>
      </c>
      <c r="H2813">
        <f>Calc!H23</f>
        <v/>
      </c>
      <c r="I2813">
        <f>IF(Skills!T23&lt;&gt;"",1+(Skills!T23/10)*(Z2793/1000)/100,1)</f>
        <v/>
      </c>
      <c r="J2813" t="inlineStr"/>
      <c r="K2813" t="inlineStr"/>
      <c r="L2813" t="inlineStr"/>
      <c r="M2813" t="inlineStr"/>
      <c r="N2813" t="inlineStr"/>
      <c r="O2813">
        <f>(1-Summary!$B$11)*S2813+Summary!$B$11*U2813</f>
        <v/>
      </c>
      <c r="P2813">
        <f>IF(B2827=0,0,O2813/B2827)</f>
        <v/>
      </c>
      <c r="Q2813">
        <f>IFERROR(1/(IF(Inputs!$B$38="pvp",15,MAX(0.1,Skills!D23-IF(TRUE=TRUE,3.0,0)))*(1-IF(AND(ArtifactsInput!$M$27,Inputs!$B$4="Chapter Hunt"),CHOOSE(ArtifactsInput!$N$27+1,20,24,28,32,36,40),0)/100)),0)</f>
        <v/>
      </c>
      <c r="R2813" t="n">
        <v>0</v>
      </c>
      <c r="S2813" t="n">
        <v>0</v>
      </c>
      <c r="U2813" t="n">
        <v>0</v>
      </c>
    </row>
    <row r="2814">
      <c r="A2814">
        <f>Skills!A24</f>
        <v/>
      </c>
      <c r="B2814">
        <f>Skills!B24</f>
        <v/>
      </c>
      <c r="C2814">
        <f>TRUE</f>
        <v/>
      </c>
      <c r="D2814">
        <f>IF(Skills!C24=1,60+Inputs!$B$25+Inputs!$B$29,IF(Skills!C24=2,90+Inputs!$B$26+Inputs!$B$29,IF(Skills!C24=3,120+Inputs!$B$27+Inputs!$B$29,MAX(0,(Inputs!$B$3-100)*3)+Inputs!$B$28+Inputs!$B$29)))</f>
        <v/>
      </c>
      <c r="E2814">
        <f>INDEX(FactorTable!$B$2:$Y$301, MATCH(ROUND(MIN(300,MAX(1,D2814)),0), FactorTable!$A$2:$A$301,0), Skills!L24+1)</f>
        <v/>
      </c>
      <c r="F2814">
        <f>IF(Skills!M24=TRUE,(Skills!K24/10)*(E2814/1000),Skills!K24/10)+Skills!N24</f>
        <v/>
      </c>
      <c r="G2814">
        <f>Calc!G24</f>
        <v/>
      </c>
      <c r="H2814">
        <f>Calc!H24</f>
        <v/>
      </c>
      <c r="I2814">
        <f>IF(Skills!T24&lt;&gt;"",1+(Skills!T24/10)*(Z2793/1000)/100,1)</f>
        <v/>
      </c>
      <c r="J2814" t="inlineStr"/>
      <c r="K2814" t="inlineStr"/>
      <c r="L2814" t="inlineStr"/>
      <c r="M2814" t="inlineStr"/>
      <c r="N2814" t="inlineStr"/>
      <c r="O2814">
        <f>(1-Summary!$B$11)*S2814+Summary!$B$11*U2814</f>
        <v/>
      </c>
      <c r="P2814">
        <f>IF(B2827=0,0,O2814/B2827)</f>
        <v/>
      </c>
      <c r="Q2814">
        <f>IFERROR(1/(IF(Inputs!$B$38="pvp",15,MAX(0.1,Skills!D24-IF(TRUE=TRUE,3.0,0)))*(1-IF(AND(ArtifactsInput!$M$27,Inputs!$B$4="Chapter Hunt"),CHOOSE(ArtifactsInput!$N$27+1,20,24,28,32,36,40),0)/100)),0)</f>
        <v/>
      </c>
      <c r="R2814">
        <f>IF(AND(Inputs!$B$38&lt;&gt;"pvp",Inputs!$B$43&gt;0),IF(Inputs!$B$43&lt;=0,0,(INT(Inputs!$B$43/(IF(Inputs!$B$38="pvp",15,MAX(0.1,Skills!D24-IF(TRUE=TRUE,3.0,0)))*(1-IF(AND(ArtifactsInput!$M$27,Inputs!$B$4="Chapter Hunt"),CHOOSE(ArtifactsInput!$N$27+1,20,24,28,32,36,40),0)/100)))+1)),0)</f>
        <v/>
      </c>
      <c r="S2814" t="n">
        <v>0</v>
      </c>
      <c r="U2814" t="n">
        <v>0</v>
      </c>
    </row>
    <row r="2817">
      <c r="A2817" t="inlineStr">
        <is>
          <t>Average Buff Multiplier (Magic Guard + Meditation + Artifact Attack%, summed; then Infinity)</t>
        </is>
      </c>
      <c r="B2817">
        <f>(1+(IF(C2793=TRUE,F2793*IF(AND(Inputs!$B$38&lt;&gt;"pvp",Inputs!$B$43&gt;0),(((R2793-1)*MIN((Skills!S3*(1+(Inputs!$B$34)/100)),(1/Q2793))+MIN((Skills!S3*(1+(Inputs!$B$34)/100)),MAX(0,Inputs!$B$43-((R2793-1)*(1/Q2793)))))/Inputs!$B$43),IF(Inputs!$B$38="pvp",MIN((Skills!S3*(1+(Inputs!$B$34)/100)),15)/15,MIN(1,(Skills!S3*(1+(Inputs!$B$34)/100))/(1/Q2793)))),0)+IF(C2794=TRUE,F2794*IF(AND(Inputs!$B$38&lt;&gt;"pvp",Inputs!$B$43&gt;0),(((R2794-1)*MIN((Skills!S4*(1+(Inputs!$B$34)/100)),(1/Q2794))+MIN((Skills!S4*(1+(Inputs!$B$34)/100)),MAX(0,Inputs!$B$43-((R2794-1)*(1/Q2794)))))/Inputs!$B$43),IF(Inputs!$B$38="pvp",MIN((Skills!S4*(1+(Inputs!$B$34)/100)),15)/15,MIN(1,(Skills!S4*(1+(Inputs!$B$34)/100))/(1/Q2794)))),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2806=TRUE,(1+F2806*IF(AND(Inputs!$B$38&lt;&gt;"pvp",Inputs!$B$43&gt;0),(((R2806-1)*MIN((Skills!S16*(1+(Inputs!$B$34)/100)),(1/Q2806))+MIN((Skills!S16*(1+(Inputs!$B$34)/100)),MAX(0,Inputs!$B$43-((R2806-1)*(1/Q2806)))))/Inputs!$B$43),IF(Inputs!$B$38="pvp",MIN((Skills!S16*(1+(Inputs!$B$34)/100)),15)/15,MIN(1,(Skills!S16*(1+(Inputs!$B$34)/100))/(1/Q2806))))/100),1)</f>
        <v/>
      </c>
    </row>
    <row r="2818">
      <c r="A2818" t="inlineStr">
        <is>
          <t>Monster Damage Taken Bonus % (Freezing Breath - Weaken + Elemental Reset + Artifact Enemy Damage Taken, summed)</t>
        </is>
      </c>
      <c r="B2818">
        <f>IF(Inputs!$B$3&gt;=118,15*IF(Inputs!$B$38="pvp",MIN((30*(1+(Inputs!$B$34)/100)),15)/15,MIN(1,(30*(1+(Inputs!$B$34)/100))/(1/Q2798))),0)+IF(C2804=TRUE,F2804,0)+(IF(AND(ArtifactsInput!$M$35,Inputs!$B$4&lt;&gt;"Chapter Hunt"),CHOOSE(ArtifactsInput!$N$35+1,15,18,21,24,27,30)*(1-EXP(-(0.2*B2821)*5)),0)+IF(AND(ArtifactsInput!$M$22,Inputs!$B$4&lt;&gt;"Chapter Hunt"),CHOOSE(ArtifactsInput!$N$22+1,10,12,14,16,18,20)*((0*(((0.15*B2821*5))^0/1)+1*(((0.15*B2821*5))^1/1)+2*(((0.15*B2821*5))^2/2)+3*(((0.15*B2821*5))^3/6)+4*(((0.15*B2821*5))^4/24)+5*(((0.15*B2821*5))^5/120))/((((0.15*B2821*5))^0/1)+(((0.15*B2821*5))^1/1)+(((0.15*B2821*5))^2/2)+(((0.15*B2821*5))^3/6)+(((0.15*B2821*5))^4/24)+(((0.15*B2821*5))^5/120))),0))</f>
        <v/>
      </c>
    </row>
    <row r="2819">
      <c r="A2819" t="inlineStr">
        <is>
          <t>Damage % Bonus (Frozen Break + Frost Clutch, flat)</t>
        </is>
      </c>
      <c r="B2819">
        <f>IF(Inputs!$B$3&gt;=66,15,0)+IF(Inputs!$B$3&gt;=98,10,0)+IF(Inputs!$B$3&gt;=125,20,0)</f>
        <v/>
      </c>
    </row>
    <row r="2820">
      <c r="A2820" t="inlineStr">
        <is>
          <t>Attack Speed Bonus % (MP Eater - MP Boost, always-on + Nimble Feet, duty-cycle averaged)</t>
        </is>
      </c>
      <c r="B2820">
        <f>IF(C2803=TRUE,F2803+(F2807-Calc!F17),0)+((C2814=TRUE)*F2814*IF(AND(Inputs!$B$38&lt;&gt;"pvp",Inputs!$B$43&gt;0),(((R2814-1)*MIN((Skills!S24*(1+(Inputs!$B$34)/100)),(1/Q2814))+MIN((Skills!S24*(1+(Inputs!$B$34)/100)),MAX(0,Inputs!$B$43-((R2814-1)*(1/Q2814)))))/Inputs!$B$43),IF(Inputs!$B$38="pvp",MIN((Skills!S24*(1+(Inputs!$B$34)/100)),15)/15,MIN(1,(Skills!S24*(1+(Inputs!$B$34)/100))/(1/Q2814)))))</f>
        <v/>
      </c>
    </row>
    <row r="2821">
      <c r="A2821" t="inlineStr">
        <is>
          <t>Actions Per Second</t>
        </is>
      </c>
      <c r="B2821">
        <f>1+MIN(150,150*(1-(1-(Inputs!$B$11+(ArtifactsInput!$M$15-ArtifactsInput!$M$15)*CHOOSE(ArtifactsInput!$N$15+1,8,9.6,11.2,12.8,14.4,16))/150)*(1-B2820/150)))/100</f>
        <v/>
      </c>
    </row>
    <row r="2822">
      <c r="A2822" t="inlineStr">
        <is>
          <t>Skill + Buff Cast Rate</t>
        </is>
      </c>
      <c r="B2822">
        <f>IF(AND(Inputs!$B$38&lt;&gt;"pvp",Inputs!$B$43&gt;0),SUMPRODUCT((Skills!E2:E24=TRUE)*(C2792:C2814=TRUE)*R2792:R2814)/Inputs!$B$43,SUMPRODUCT((Skills!E2:E24=TRUE)*(C2792:C2814=TRUE)*Q2792:Q2814))</f>
        <v/>
      </c>
    </row>
    <row r="2823">
      <c r="A2823" t="inlineStr">
        <is>
          <t>Chain Lightning Casts Per Second</t>
        </is>
      </c>
      <c r="B2823">
        <f>MAX(0,B2821-B2822)</f>
        <v/>
      </c>
    </row>
    <row r="2824">
      <c r="A2824" t="inlineStr">
        <is>
          <t>Buff-Casting Startup Delay (s, fixed-duration only)</t>
        </is>
      </c>
      <c r="B2824">
        <f>IF(AND(Inputs!$B$38&lt;&gt;"pvp",Inputs!$B$43&gt;0),SUMPRODUCT((Skills!S2:S24&gt;0)*(Skills!E2:E24=TRUE)*(C2792:C2814=TRUE))/B2821,0)</f>
        <v/>
      </c>
    </row>
    <row r="2825">
      <c r="A2825" t="inlineStr">
        <is>
          <t>Boss-Only Total DPS (this block's swept value)</t>
        </is>
      </c>
      <c r="B2825">
        <f>SUM(S2792:S2814)</f>
        <v/>
      </c>
    </row>
    <row r="2826">
      <c r="A2826" t="inlineStr">
        <is>
          <t>Normal-Only Total DPS (this block's swept value)</t>
        </is>
      </c>
      <c r="B2826">
        <f>SUM(U2792:U2814)</f>
        <v/>
      </c>
    </row>
    <row r="2827">
      <c r="A2827" s="6" t="inlineStr">
        <is>
          <t>TOTAL DPS</t>
        </is>
      </c>
      <c r="B2827" s="6">
        <f>SUM(O2792:O2814)</f>
        <v/>
      </c>
    </row>
    <row r="2828">
      <c r="A2828" t="inlineStr">
        <is>
          <t>Blizzard Final Attack trigger rate (this block's own Q/R)</t>
        </is>
      </c>
      <c r="B2828">
        <f>IF(AND(Inputs!$B$38&lt;&gt;"pvp",Inputs!$B$43&gt;0),(((C2795=TRUE)*R2795*1)+((C2796=TRUE)*R2796*1)+((C2798=TRUE)*R2798*1)+((C2799=TRUE)*R2799*3)+((C2801=TRUE)*R2801*1))/Inputs!$B$43,((C2795=TRUE)*Q2795*1)+((C2796=TRUE)*Q2796*1)+((C2798=TRUE)*Q2798*1)+((C2799=TRUE)*Q2799*3)+((C2801=TRUE)*Q2801*1))+B2823</f>
        <v/>
      </c>
    </row>
    <row r="2831">
      <c r="A2831" s="6" t="inlineStr">
        <is>
          <t>Stat: CDR = 3.5s</t>
        </is>
      </c>
    </row>
    <row r="2832">
      <c r="A2832" s="5" t="inlineStr">
        <is>
          <t>Key</t>
        </is>
      </c>
      <c r="B2832" s="5" t="inlineStr">
        <is>
          <t>Name</t>
        </is>
      </c>
      <c r="C2832" s="5" t="inlineStr">
        <is>
          <t>Unlocked</t>
        </is>
      </c>
      <c r="D2832" s="5" t="inlineStr">
        <is>
          <t>InputLevel</t>
        </is>
      </c>
      <c r="E2832" s="5" t="inlineStr">
        <is>
          <t>Factor</t>
        </is>
      </c>
      <c r="F2832" s="5" t="inlineStr">
        <is>
          <t>CoefficientPercent</t>
        </is>
      </c>
      <c r="G2832" s="5" t="inlineStr">
        <is>
          <t>EffectiveHits</t>
        </is>
      </c>
      <c r="H2832" s="5" t="inlineStr">
        <is>
          <t>ProcProbability</t>
        </is>
      </c>
      <c r="I2832" s="5" t="inlineStr">
        <is>
          <t>MapleHeroMultiplier</t>
        </is>
      </c>
      <c r="J2832" s="5" t="inlineStr">
        <is>
          <t>BaseDamage</t>
        </is>
      </c>
      <c r="K2832" s="5" t="inlineStr">
        <is>
          <t>BaseHitDamage</t>
        </is>
      </c>
      <c r="L2832" s="5" t="inlineStr">
        <is>
          <t>NonCritAvg</t>
        </is>
      </c>
      <c r="M2832" s="5" t="inlineStr">
        <is>
          <t>CritAvg</t>
        </is>
      </c>
      <c r="N2832" s="5" t="inlineStr">
        <is>
          <t>ExpectedDamage(perHit)</t>
        </is>
      </c>
      <c r="O2832" s="5" t="inlineStr">
        <is>
          <t>DPS</t>
        </is>
      </c>
      <c r="P2832" s="5" t="inlineStr">
        <is>
          <t>% of Total</t>
        </is>
      </c>
      <c r="R2832" t="inlineStr">
        <is>
          <t>helpers</t>
        </is>
      </c>
    </row>
    <row r="2833">
      <c r="A2833">
        <f>Skills!A2</f>
        <v/>
      </c>
      <c r="B2833">
        <f>Skills!B2</f>
        <v/>
      </c>
      <c r="C2833">
        <f>Inputs!$B$3&gt;=100</f>
        <v/>
      </c>
      <c r="D2833" t="inlineStr"/>
      <c r="E2833" t="inlineStr"/>
      <c r="F2833">
        <f>T2835+Skills!N2</f>
        <v/>
      </c>
      <c r="G2833">
        <f>Calc!G2</f>
        <v/>
      </c>
      <c r="H2833">
        <f>Calc!H2</f>
        <v/>
      </c>
      <c r="I2833">
        <f>IF(Skills!T2&lt;&gt;"",1+(Skills!T2/10)*(Z2834/1000)/100,1)</f>
        <v/>
      </c>
      <c r="J2833">
        <f>((Inputs!$B$6*(1+Inputs!$B$7/100))+(((Inputs!$B$12*(1+Inputs!$B$13/100))-(Inputs!$B$12*(1+Inputs!$B$13/100)))+0.25*(Inputs!$B$14-Inputs!$B$14))*(1+Inputs!$B$7/100))*(F2833/100)</f>
        <v/>
      </c>
      <c r="K2833">
        <f>J2833*(1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2="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2833)</f>
        <v/>
      </c>
      <c r="L2833">
        <f>K2833*(MIN(Inputs!$B$22+(F2849-Calc!F18),(Inputs!$B$23+(IF(ArtifactsInput!$M$15,CHOOSE(ArtifactsInput!$N$15+1,25,30,35,40,45,50)/100*(Inputs!$B$11-Inputs!$B$11),0))))/100+(Inputs!$B$23+(IF(ArtifactsInput!$M$15,CHOOSE(ArtifactsInput!$N$15+1,25,30,35,40,45,50)/100*(Inputs!$B$11-Inputs!$B$11),0)))/100)/2</f>
        <v/>
      </c>
      <c r="M2833">
        <f>L2833*(1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3">
        <f>L2833*(1-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2833*(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3">
        <f>(1-Summary!$B$11)*S2833+Summary!$B$11*U2833</f>
        <v/>
      </c>
      <c r="P2833">
        <f>IF(B2868=0,0,O2833/B2868)</f>
        <v/>
      </c>
      <c r="Q2833">
        <f>IFERROR(1/(IF(Inputs!$B$38="pvp",15,MAX(0.1,Skills!D2-IF(TRUE=TRUE,3.5,0)))*(1-IF(AND(ArtifactsInput!$M$27,Inputs!$B$4="Chapter Hunt"),CHOOSE(ArtifactsInput!$N$27+1,20,24,28,32,36,40),0)/100)),0)</f>
        <v/>
      </c>
      <c r="R2833" t="n">
        <v>0</v>
      </c>
      <c r="S2833">
        <f>IF(C2833,(Skills!F2*N2833*B2864)*IF(Inputs!$B$38="pvp",1,1+(Inputs!$B$20+Skills!O2+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2833*(1-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2833*(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2833*(1-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2833*(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33">
        <f>MAX(0,(Inputs!$B$3-100)*3)+Inputs!$B$28+Inputs!$B$29</f>
        <v/>
      </c>
      <c r="U2833">
        <f>IF(C2833,(Skills!F2*N2833*B2864)*IF(Inputs!$B$38="pvp",1,(1+(Inputs!$B$21+Skills!P2+B2859+(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833">
        <f>MAX(0,(Inputs!$B$3-100)*3)+Inputs!$B$28+Inputs!$B$29</f>
        <v/>
      </c>
    </row>
    <row r="2834">
      <c r="A2834">
        <f>Skills!A3</f>
        <v/>
      </c>
      <c r="B2834">
        <f>Skills!B3</f>
        <v/>
      </c>
      <c r="C2834">
        <f>Inputs!$B$3&gt;=15</f>
        <v/>
      </c>
      <c r="D2834">
        <f>IF(Skills!C3=1,60+Inputs!$B$25+Inputs!$B$29,IF(Skills!C3=2,90+Inputs!$B$26+Inputs!$B$29,IF(Skills!C3=3,120+Inputs!$B$27+Inputs!$B$29,MAX(0,(Inputs!$B$3-100)*3)+Inputs!$B$28+Inputs!$B$29)))</f>
        <v/>
      </c>
      <c r="E2834">
        <f>INDEX(FactorTable!$B$2:$Y$301, MATCH(ROUND(MIN(300,MAX(1,D2834)),0), FactorTable!$A$2:$A$301,0), Skills!L3+1)</f>
        <v/>
      </c>
      <c r="F2834">
        <f>IF(Skills!M3=TRUE,(Skills!K3/10)*(E2834/1000),Skills!K3/10)+Skills!N3</f>
        <v/>
      </c>
      <c r="G2834">
        <f>Calc!G3</f>
        <v/>
      </c>
      <c r="H2834">
        <f>Calc!H3</f>
        <v/>
      </c>
      <c r="I2834">
        <f>IF(Skills!T3&lt;&gt;"",1+(Skills!T3/10)*(Z2834/1000)/100,1)</f>
        <v/>
      </c>
      <c r="J2834" t="inlineStr"/>
      <c r="K2834" t="inlineStr"/>
      <c r="L2834" t="inlineStr"/>
      <c r="M2834" t="inlineStr"/>
      <c r="N2834" t="inlineStr"/>
      <c r="O2834">
        <f>(1-Summary!$B$11)*S2834+Summary!$B$11*U2834</f>
        <v/>
      </c>
      <c r="P2834">
        <f>IF(B2868=0,0,O2834/B2868)</f>
        <v/>
      </c>
      <c r="Q2834">
        <f>IFERROR(1/(IF(Inputs!$B$38="pvp",15,MAX(0.1,Skills!D3-IF(TRUE=TRUE,3.5,0)))*(1-IF(AND(ArtifactsInput!$M$27,Inputs!$B$4="Chapter Hunt"),CHOOSE(ArtifactsInput!$N$27+1,20,24,28,32,36,40),0)/100)),0)</f>
        <v/>
      </c>
      <c r="R2834">
        <f>IF(AND(Inputs!$B$38&lt;&gt;"pvp",Inputs!$B$43&gt;0),IF(Inputs!$B$43&lt;=0,0,(INT(Inputs!$B$43/(IF(Inputs!$B$38="pvp",15,MAX(0.1,Skills!D3-IF(TRUE=TRUE,3.5,0)))*(1-IF(AND(ArtifactsInput!$M$27,Inputs!$B$4="Chapter Hunt"),CHOOSE(ArtifactsInput!$N$27+1,20,24,28,32,36,40),0)/100)))+1)),0)</f>
        <v/>
      </c>
      <c r="S2834" t="n">
        <v>0</v>
      </c>
      <c r="T2834">
        <f>INDEX(FactorTable!$B$2:$Y$301, MATCH(ROUND(MIN(300,MAX(1,T2833)),0), FactorTable!$A$2:$A$301,0), 22)</f>
        <v/>
      </c>
      <c r="U2834" t="n">
        <v>0</v>
      </c>
      <c r="Z2834">
        <f>INDEX(FactorTable!$B$2:$Y$301, MATCH(ROUND(MIN(300,MAX(1,Z2833)),0), FactorTable!$A$2:$A$301,0), 24)</f>
        <v/>
      </c>
    </row>
    <row r="2835">
      <c r="A2835">
        <f>Skills!A4</f>
        <v/>
      </c>
      <c r="B2835">
        <f>Skills!B4</f>
        <v/>
      </c>
      <c r="C2835">
        <f>Inputs!$B$3&gt;=40</f>
        <v/>
      </c>
      <c r="D2835">
        <f>IF(Skills!C4=1,60+Inputs!$B$25+Inputs!$B$29,IF(Skills!C4=2,90+Inputs!$B$26+Inputs!$B$29,IF(Skills!C4=3,120+Inputs!$B$27+Inputs!$B$29,MAX(0,(Inputs!$B$3-100)*3)+Inputs!$B$28+Inputs!$B$29)))</f>
        <v/>
      </c>
      <c r="E2835">
        <f>INDEX(FactorTable!$B$2:$Y$301, MATCH(ROUND(MIN(300,MAX(1,D2835)),0), FactorTable!$A$2:$A$301,0), Skills!L4+1)</f>
        <v/>
      </c>
      <c r="F2835">
        <f>IF(Skills!M4=TRUE,(Skills!K4/10)*(E2835/1000),Skills!K4/10)+Skills!N4</f>
        <v/>
      </c>
      <c r="G2835">
        <f>Calc!G4</f>
        <v/>
      </c>
      <c r="H2835">
        <f>Calc!H4</f>
        <v/>
      </c>
      <c r="I2835">
        <f>IF(Skills!T4&lt;&gt;"",1+(Skills!T4/10)*(Z2834/1000)/100,1)</f>
        <v/>
      </c>
      <c r="J2835" t="inlineStr"/>
      <c r="K2835" t="inlineStr"/>
      <c r="L2835" t="inlineStr"/>
      <c r="M2835" t="inlineStr"/>
      <c r="N2835" t="inlineStr"/>
      <c r="O2835">
        <f>(1-Summary!$B$11)*S2835+Summary!$B$11*U2835</f>
        <v/>
      </c>
      <c r="P2835">
        <f>IF(B2868=0,0,O2835/B2868)</f>
        <v/>
      </c>
      <c r="Q2835">
        <f>IFERROR(1/(IF(Inputs!$B$38="pvp",15,MAX(0.1,Skills!D4-IF(TRUE=TRUE,3.5,0)))*(1-IF(AND(ArtifactsInput!$M$27,Inputs!$B$4="Chapter Hunt"),CHOOSE(ArtifactsInput!$N$27+1,20,24,28,32,36,40),0)/100)),0)</f>
        <v/>
      </c>
      <c r="R2835">
        <f>IF(AND(Inputs!$B$38&lt;&gt;"pvp",Inputs!$B$43&gt;0),IF(Inputs!$B$43&lt;=0,0,(INT(Inputs!$B$43/(IF(Inputs!$B$38="pvp",15,MAX(0.1,Skills!D4-IF(TRUE=TRUE,3.5,0)))*(1-IF(AND(ArtifactsInput!$M$27,Inputs!$B$4="Chapter Hunt"),CHOOSE(ArtifactsInput!$N$27+1,20,24,28,32,36,40),0)/100)))+1)),0)</f>
        <v/>
      </c>
      <c r="S2835" t="n">
        <v>0</v>
      </c>
      <c r="T2835">
        <f>290*T2834/1000</f>
        <v/>
      </c>
      <c r="U2835" t="n">
        <v>0</v>
      </c>
    </row>
    <row r="2836">
      <c r="A2836">
        <f>Skills!A5</f>
        <v/>
      </c>
      <c r="B2836">
        <f>Skills!B5</f>
        <v/>
      </c>
      <c r="C2836">
        <f>Inputs!$B$3&gt;=38</f>
        <v/>
      </c>
      <c r="D2836">
        <f>IF(Skills!C5=1,60+Inputs!$B$25+Inputs!$B$29,IF(Skills!C5=2,90+Inputs!$B$26+Inputs!$B$29,IF(Skills!C5=3,120+Inputs!$B$27+Inputs!$B$29,MAX(0,(Inputs!$B$3-100)*3)+Inputs!$B$28+Inputs!$B$29)))</f>
        <v/>
      </c>
      <c r="E2836">
        <f>INDEX(FactorTable!$B$2:$Y$301, MATCH(ROUND(MIN(300,MAX(1,D2836)),0), FactorTable!$A$2:$A$301,0), Skills!L5+1)</f>
        <v/>
      </c>
      <c r="F2836">
        <f>IF(Skills!M5=TRUE,(Skills!K5/10)*(E2836/1000),Skills!K5/10)+Skills!N5</f>
        <v/>
      </c>
      <c r="G2836">
        <f>Calc!G5</f>
        <v/>
      </c>
      <c r="H2836">
        <f>Calc!H5</f>
        <v/>
      </c>
      <c r="I2836">
        <f>IF(Skills!T5&lt;&gt;"",1+(Skills!T5/10)*(Z2834/1000)/100,1)</f>
        <v/>
      </c>
      <c r="J2836">
        <f>((Inputs!$B$6*(1+Inputs!$B$7/100))+(((Inputs!$B$12*(1+Inputs!$B$13/100))-(Inputs!$B$12*(1+Inputs!$B$13/100)))+0.25*(Inputs!$B$14-Inputs!$B$14))*(1+Inputs!$B$7/100))*(F2836/100)</f>
        <v/>
      </c>
      <c r="K2836">
        <f>J2836*(1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5="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2836)</f>
        <v/>
      </c>
      <c r="L2836">
        <f>K2836*(MIN(Inputs!$B$22+(F2849-Calc!F18),(Inputs!$B$23+(IF(ArtifactsInput!$M$15,CHOOSE(ArtifactsInput!$N$15+1,25,30,35,40,45,50)/100*(Inputs!$B$11-Inputs!$B$11),0))))/100+(Inputs!$B$23+(IF(ArtifactsInput!$M$15,CHOOSE(ArtifactsInput!$N$15+1,25,30,35,40,45,50)/100*(Inputs!$B$11-Inputs!$B$11),0)))/100)/2</f>
        <v/>
      </c>
      <c r="M2836">
        <f>L2836*(1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6">
        <f>L2836*(1-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2836*(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6">
        <f>(1-Summary!$B$11)*S2836+Summary!$B$11*U2836</f>
        <v/>
      </c>
      <c r="P2836">
        <f>IF(B2868=0,0,O2836/B2868)</f>
        <v/>
      </c>
      <c r="Q2836">
        <f>IFERROR(1/(IF(Inputs!$B$38="pvp",15,MAX(0.1,Skills!D5-IF(TRUE=TRUE,3.5,0)))*(1-IF(AND(ArtifactsInput!$M$27,Inputs!$B$4="Chapter Hunt"),CHOOSE(ArtifactsInput!$N$27+1,20,24,28,32,36,40),0)/100)),0)</f>
        <v/>
      </c>
      <c r="R2836">
        <f>IF(AND(Inputs!$B$38&lt;&gt;"pvp",Inputs!$B$43&gt;0),IF(MAX(0,Inputs!$B$43-B2865)&lt;=0,0,(INT(MAX(0,Inputs!$B$43-B2865)/(IF(Inputs!$B$38="pvp",15,MAX(0.1,Skills!D5-IF(TRUE=TRUE,3.5,0)))*(1-IF(AND(ArtifactsInput!$M$27,Inputs!$B$4="Chapter Hunt"),CHOOSE(ArtifactsInput!$N$27+1,20,24,28,32,36,40),0)/100)))+1)),0)</f>
        <v/>
      </c>
      <c r="S2836">
        <f>IF(C2836,(H2836*N2836*IF(AND(Inputs!$B$38&lt;&gt;"pvp",Inputs!$B$43&gt;0),((Skills!F5*((R2836-1)*IF(Skills!G5&gt;0,Skills!H5/Skills!G5,1)+IF(Skills!G5&gt;0,MIN(Skills!H5,MAX(0,MAX(0,Inputs!$B$43-B2865)-((R2836-1)*(IF(Inputs!$B$38="pvp",15,MAX(0.1,Skills!D5-IF(TRUE=TRUE,3.5,0)))*(1-IF(AND(ArtifactsInput!$M$27,Inputs!$B$4="Chapter Hunt"),CHOOSE(ArtifactsInput!$N$27+1,20,24,28,32,36,40),0)/100)))))/Skills!G5,1)))/Inputs!$B$43),G2836*Q2836))*IF(Inputs!$B$38="pvp",1,1+(Inputs!$B$20+Skills!O5+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2836*(1-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2836*(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2836*(1-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2836*(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6">
        <f>IF(C2836,(H2836*N2836*IF(AND(Inputs!$B$38&lt;&gt;"pvp",Inputs!$B$43&gt;0),((Skills!F5*((R2836-1)*IF(Skills!G5&gt;0,Skills!H5/Skills!G5,1)+IF(Skills!G5&gt;0,MIN(Skills!H5,MAX(0,MAX(0,Inputs!$B$43-B2865)-((R2836-1)*(IF(Inputs!$B$38="pvp",15,MAX(0.1,Skills!D5-IF(TRUE=TRUE,3.5,0)))*(1-IF(AND(ArtifactsInput!$M$27,Inputs!$B$4="Chapter Hunt"),CHOOSE(ArtifactsInput!$N$27+1,20,24,28,32,36,40),0)/100)))))/Skills!G5,1)))/Inputs!$B$43),G2836*Q2836))*IF(Inputs!$B$38="pvp",1,(1+(Inputs!$B$21+Skills!P5+B2859+(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7">
      <c r="A2837">
        <f>Skills!A6</f>
        <v/>
      </c>
      <c r="B2837">
        <f>Skills!B6</f>
        <v/>
      </c>
      <c r="C2837">
        <f>Inputs!$B$3&gt;=63</f>
        <v/>
      </c>
      <c r="D2837">
        <f>IF(Skills!C6=1,60+Inputs!$B$25+Inputs!$B$29,IF(Skills!C6=2,90+Inputs!$B$26+Inputs!$B$29,IF(Skills!C6=3,120+Inputs!$B$27+Inputs!$B$29,MAX(0,(Inputs!$B$3-100)*3)+Inputs!$B$28+Inputs!$B$29)))</f>
        <v/>
      </c>
      <c r="E2837">
        <f>INDEX(FactorTable!$B$2:$Y$301, MATCH(ROUND(MIN(300,MAX(1,D2837)),0), FactorTable!$A$2:$A$301,0), Skills!L6+1)</f>
        <v/>
      </c>
      <c r="F2837">
        <f>IF(Skills!M6=TRUE,(Skills!K6/10)*(E2837/1000),Skills!K6/10)+Skills!N6</f>
        <v/>
      </c>
      <c r="G2837">
        <f>Calc!G6</f>
        <v/>
      </c>
      <c r="H2837">
        <f>Calc!H6</f>
        <v/>
      </c>
      <c r="I2837">
        <f>IF(Skills!T6&lt;&gt;"",1+(Skills!T6/10)*(Z2834/1000)/100,1)</f>
        <v/>
      </c>
      <c r="J2837">
        <f>((Inputs!$B$6*(1+Inputs!$B$7/100))+(((Inputs!$B$12*(1+Inputs!$B$13/100))-(Inputs!$B$12*(1+Inputs!$B$13/100)))+0.25*(Inputs!$B$14-Inputs!$B$14))*(1+Inputs!$B$7/100))*(F2837/100)</f>
        <v/>
      </c>
      <c r="K2837">
        <f>J2837*(1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6="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2837)</f>
        <v/>
      </c>
      <c r="L2837">
        <f>K2837*(MIN(Inputs!$B$22+(F2849-Calc!F18),(Inputs!$B$23+(IF(ArtifactsInput!$M$15,CHOOSE(ArtifactsInput!$N$15+1,25,30,35,40,45,50)/100*(Inputs!$B$11-Inputs!$B$11),0))))/100+(Inputs!$B$23+(IF(ArtifactsInput!$M$15,CHOOSE(ArtifactsInput!$N$15+1,25,30,35,40,45,50)/100*(Inputs!$B$11-Inputs!$B$11),0)))/100)/2</f>
        <v/>
      </c>
      <c r="M2837">
        <f>L2837*(1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7">
        <f>L2837*(1-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2837*(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7">
        <f>(1-Summary!$B$11)*S2837+Summary!$B$11*U2837</f>
        <v/>
      </c>
      <c r="P2837">
        <f>IF(B2868=0,0,O2837/B2868)</f>
        <v/>
      </c>
      <c r="Q2837">
        <f>IFERROR(1/(IF(Inputs!$B$38="pvp",15,MAX(0.1,Skills!D6-IF(TRUE=TRUE,3.5,0)))*(1-IF(AND(ArtifactsInput!$M$27,Inputs!$B$4="Chapter Hunt"),CHOOSE(ArtifactsInput!$N$27+1,20,24,28,32,36,40),0)/100)),0)</f>
        <v/>
      </c>
      <c r="R2837">
        <f>IF(AND(Inputs!$B$38&lt;&gt;"pvp",Inputs!$B$43&gt;0),IF(MAX(0,Inputs!$B$43-B2865)&lt;=0,0,(INT(MAX(0,Inputs!$B$43-B2865)/(IF(Inputs!$B$38="pvp",15,MAX(0.1,Skills!D6-IF(TRUE=TRUE,3.5,0)))*(1-IF(AND(ArtifactsInput!$M$27,Inputs!$B$4="Chapter Hunt"),CHOOSE(ArtifactsInput!$N$27+1,20,24,28,32,36,40),0)/100)))+1)),0)</f>
        <v/>
      </c>
      <c r="S2837">
        <f>IF(C2837,(H2837*N2837*IF(AND(Inputs!$B$38&lt;&gt;"pvp",Inputs!$B$43&gt;0),((Skills!F6*((R2837-1)*IF(Skills!G6&gt;0,Skills!H6/Skills!G6,1)+IF(Skills!G6&gt;0,MIN(Skills!H6,MAX(0,MAX(0,Inputs!$B$43-B2865)-((R2837-1)*(IF(Inputs!$B$38="pvp",15,MAX(0.1,Skills!D6-IF(TRUE=TRUE,3.5,0)))*(1-IF(AND(ArtifactsInput!$M$27,Inputs!$B$4="Chapter Hunt"),CHOOSE(ArtifactsInput!$N$27+1,20,24,28,32,36,40),0)/100)))))/Skills!G6,1)))/Inputs!$B$43),G2837*Q2837))*IF(Inputs!$B$38="pvp",1,1+(Inputs!$B$20+Skills!O6+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2837*(1-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2837*(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2837*(1-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2837*(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7">
        <f>IF(C2837,(H2837*N2837*IF(AND(Inputs!$B$38&lt;&gt;"pvp",Inputs!$B$43&gt;0),((Skills!F6*((R2837-1)*IF(Skills!G6&gt;0,Skills!H6/Skills!G6,1)+IF(Skills!G6&gt;0,MIN(Skills!H6,MAX(0,MAX(0,Inputs!$B$43-B2865)-((R2837-1)*(IF(Inputs!$B$38="pvp",15,MAX(0.1,Skills!D6-IF(TRUE=TRUE,3.5,0)))*(1-IF(AND(ArtifactsInput!$M$27,Inputs!$B$4="Chapter Hunt"),CHOOSE(ArtifactsInput!$N$27+1,20,24,28,32,36,40),0)/100)))))/Skills!G6,1)))/Inputs!$B$43),G2837*Q2837))*IF(Inputs!$B$38="pvp",1,(1+(Inputs!$B$21+Skills!P6+B2859+(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8">
      <c r="A2838">
        <f>Skills!A7</f>
        <v/>
      </c>
      <c r="B2838">
        <f>Skills!B7</f>
        <v/>
      </c>
      <c r="C2838">
        <f>Inputs!$B$3&gt;=69</f>
        <v/>
      </c>
      <c r="D2838">
        <f>IF(Skills!C7=1,60+Inputs!$B$25+Inputs!$B$29,IF(Skills!C7=2,90+Inputs!$B$26+Inputs!$B$29,IF(Skills!C7=3,120+Inputs!$B$27+Inputs!$B$29,MAX(0,(Inputs!$B$3-100)*3)+Inputs!$B$28+Inputs!$B$29)))</f>
        <v/>
      </c>
      <c r="E2838">
        <f>INDEX(FactorTable!$B$2:$Y$301, MATCH(ROUND(MIN(300,MAX(1,D2838)),0), FactorTable!$A$2:$A$301,0), Skills!L7+1)</f>
        <v/>
      </c>
      <c r="F2838">
        <f>IF(Skills!M7=TRUE,(Skills!K7/10)*(E2838/1000),Skills!K7/10)+Skills!N7</f>
        <v/>
      </c>
      <c r="G2838">
        <f>Calc!G7</f>
        <v/>
      </c>
      <c r="H2838">
        <f>Calc!H7</f>
        <v/>
      </c>
      <c r="I2838">
        <f>IF(Skills!T7&lt;&gt;"",1+(Skills!T7/10)*(Z2834/1000)/100,1)</f>
        <v/>
      </c>
      <c r="J2838">
        <f>((Inputs!$B$6*(1+Inputs!$B$7/100))+(((Inputs!$B$12*(1+Inputs!$B$13/100))-(Inputs!$B$12*(1+Inputs!$B$13/100)))+0.25*(Inputs!$B$14-Inputs!$B$14))*(1+Inputs!$B$7/100))*(F2838/100)</f>
        <v/>
      </c>
      <c r="K2838">
        <f>J2838*(1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7="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2838)</f>
        <v/>
      </c>
      <c r="L2838">
        <f>K2838*(MIN(Inputs!$B$22+(F2849-Calc!F18),(Inputs!$B$23+(IF(ArtifactsInput!$M$15,CHOOSE(ArtifactsInput!$N$15+1,25,30,35,40,45,50)/100*(Inputs!$B$11-Inputs!$B$11),0))))/100+(Inputs!$B$23+(IF(ArtifactsInput!$M$15,CHOOSE(ArtifactsInput!$N$15+1,25,30,35,40,45,50)/100*(Inputs!$B$11-Inputs!$B$11),0)))/100)/2</f>
        <v/>
      </c>
      <c r="M2838">
        <f>L2838*(1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8">
        <f>L2838*(1-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2838*(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8">
        <f>(1-Summary!$B$11)*S2838+Summary!$B$11*U2838</f>
        <v/>
      </c>
      <c r="P2838">
        <f>IF(B2868=0,0,O2838/B2868)</f>
        <v/>
      </c>
      <c r="Q2838">
        <f>IFERROR(1/(IF(Inputs!$B$38="pvp",15,MAX(0.1,Skills!D7-IF(TRUE=TRUE,3.5,0)))*(1-IF(AND(ArtifactsInput!$M$27,Inputs!$B$4="Chapter Hunt"),CHOOSE(ArtifactsInput!$N$27+1,20,24,28,32,36,40),0)/100)),0)</f>
        <v/>
      </c>
      <c r="R2838">
        <f>IF(AND(Inputs!$B$38&lt;&gt;"pvp",Inputs!$B$43&gt;0),IF(MAX(0,Inputs!$B$43-B2865)&lt;=0,0,(INT(MAX(0,Inputs!$B$43-B2865)/(IF(Inputs!$B$38="pvp",15,MAX(0.1,Skills!D7-IF(TRUE=TRUE,3.5,0)))*(1-IF(AND(ArtifactsInput!$M$27,Inputs!$B$4="Chapter Hunt"),CHOOSE(ArtifactsInput!$N$27+1,20,24,28,32,36,40),0)/100)))+1)),0)</f>
        <v/>
      </c>
      <c r="S2838">
        <f>IF(C2838,(H2838*N2838*IF(AND(Inputs!$B$38&lt;&gt;"pvp",Inputs!$B$43&gt;0),((Skills!F7*((R2838-1)*IF(Skills!G7&gt;0,Skills!H7/Skills!G7,1)+IF(Skills!G7&gt;0,MIN(Skills!H7,MAX(0,MAX(0,Inputs!$B$43-B2865)-((R2838-1)*(IF(Inputs!$B$38="pvp",15,MAX(0.1,Skills!D7-IF(TRUE=TRUE,3.5,0)))*(1-IF(AND(ArtifactsInput!$M$27,Inputs!$B$4="Chapter Hunt"),CHOOSE(ArtifactsInput!$N$27+1,20,24,28,32,36,40),0)/100)))))/Skills!G7,1)))/Inputs!$B$43),G2838*Q2838))*IF(Inputs!$B$38="pvp",1,1+(Inputs!$B$20+Skills!O7+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2838*(1-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2838*(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2838*(1-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2838*(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8">
        <f>IF(C2838,(H2838*N2838*IF(AND(Inputs!$B$38&lt;&gt;"pvp",Inputs!$B$43&gt;0),((Skills!F7*((R2838-1)*IF(Skills!G7&gt;0,Skills!H7/Skills!G7,1)+IF(Skills!G7&gt;0,MIN(Skills!H7,MAX(0,MAX(0,Inputs!$B$43-B2865)-((R2838-1)*(IF(Inputs!$B$38="pvp",15,MAX(0.1,Skills!D7-IF(TRUE=TRUE,3.5,0)))*(1-IF(AND(ArtifactsInput!$M$27,Inputs!$B$4="Chapter Hunt"),CHOOSE(ArtifactsInput!$N$27+1,20,24,28,32,36,40),0)/100)))))/Skills!G7,1)))/Inputs!$B$43),G2838*Q2838))*IF(Inputs!$B$38="pvp",1,(1+(Inputs!$B$21+Skills!P7+B2859+(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39">
      <c r="A2839">
        <f>Skills!A8</f>
        <v/>
      </c>
      <c r="B2839">
        <f>Skills!B8</f>
        <v/>
      </c>
      <c r="C2839">
        <f>Inputs!$B$3&gt;=103</f>
        <v/>
      </c>
      <c r="D2839">
        <f>IF(Skills!C8=1,60+Inputs!$B$25+Inputs!$B$29,IF(Skills!C8=2,90+Inputs!$B$26+Inputs!$B$29,IF(Skills!C8=3,120+Inputs!$B$27+Inputs!$B$29,MAX(0,(Inputs!$B$3-100)*3)+Inputs!$B$28+Inputs!$B$29)))</f>
        <v/>
      </c>
      <c r="E2839">
        <f>INDEX(FactorTable!$B$2:$Y$301, MATCH(ROUND(MIN(300,MAX(1,D2839)),0), FactorTable!$A$2:$A$301,0), Skills!L8+1)</f>
        <v/>
      </c>
      <c r="F2839">
        <f>IF(Skills!M8=TRUE,(Skills!K8/10)*(E2839/1000),Skills!K8/10)+Skills!N8</f>
        <v/>
      </c>
      <c r="G2839">
        <f>Calc!G8</f>
        <v/>
      </c>
      <c r="H2839">
        <f>Calc!H8</f>
        <v/>
      </c>
      <c r="I2839">
        <f>IF(Skills!T8&lt;&gt;"",1+(Skills!T8/10)*(Z2834/1000)/100,1)</f>
        <v/>
      </c>
      <c r="J2839">
        <f>((Inputs!$B$6*(1+Inputs!$B$7/100))+(((Inputs!$B$12*(1+Inputs!$B$13/100))-(Inputs!$B$12*(1+Inputs!$B$13/100)))+0.25*(Inputs!$B$14-Inputs!$B$14))*(1+Inputs!$B$7/100))*(F2839/100)</f>
        <v/>
      </c>
      <c r="K2839">
        <f>J2839*(1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8="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2839)</f>
        <v/>
      </c>
      <c r="L2839">
        <f>K2839*(MIN(Inputs!$B$22+(F2849-Calc!F18),(Inputs!$B$23+(IF(ArtifactsInput!$M$15,CHOOSE(ArtifactsInput!$N$15+1,25,30,35,40,45,50)/100*(Inputs!$B$11-Inputs!$B$11),0))))/100+(Inputs!$B$23+(IF(ArtifactsInput!$M$15,CHOOSE(ArtifactsInput!$N$15+1,25,30,35,40,45,50)/100*(Inputs!$B$11-Inputs!$B$11),0)))/100)/2</f>
        <v/>
      </c>
      <c r="M2839">
        <f>L2839*(1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39">
        <f>L2839*(1-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2839*(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39">
        <f>(1-Summary!$B$11)*S2839+Summary!$B$11*U2839</f>
        <v/>
      </c>
      <c r="P2839">
        <f>IF(B2868=0,0,O2839/B2868)</f>
        <v/>
      </c>
      <c r="Q2839">
        <f>IFERROR(1/(IF(Inputs!$B$38="pvp",15,MAX(0.1,Skills!D8-IF(TRUE=TRUE,3.5,0)))*(1-IF(AND(ArtifactsInput!$M$27,Inputs!$B$4="Chapter Hunt"),CHOOSE(ArtifactsInput!$N$27+1,20,24,28,32,36,40),0)/100)),0)</f>
        <v/>
      </c>
      <c r="R2839">
        <f>IF(AND(Inputs!$B$38&lt;&gt;"pvp",Inputs!$B$43&gt;0),IF(MAX(0,Inputs!$B$43-B2865)&lt;=0,0,(INT(MAX(0,Inputs!$B$43-B2865)/(IF(Inputs!$B$38="pvp",15,MAX(0.1,Skills!D8-IF(TRUE=TRUE,3.5,0)))*(1-IF(AND(ArtifactsInput!$M$27,Inputs!$B$4="Chapter Hunt"),CHOOSE(ArtifactsInput!$N$27+1,20,24,28,32,36,40),0)/100)))+1)),0)</f>
        <v/>
      </c>
      <c r="S2839">
        <f>IF(C2839,(H2839*N2839*IF(AND(Inputs!$B$38&lt;&gt;"pvp",Inputs!$B$43&gt;0),((Skills!F8*((R2839-1)*IF(Skills!G8&gt;0,Skills!H8/Skills!G8,1)+IF(Skills!G8&gt;0,MIN(Skills!H8,MAX(0,MAX(0,Inputs!$B$43-B2865)-((R2839-1)*(IF(Inputs!$B$38="pvp",15,MAX(0.1,Skills!D8-IF(TRUE=TRUE,3.5,0)))*(1-IF(AND(ArtifactsInput!$M$27,Inputs!$B$4="Chapter Hunt"),CHOOSE(ArtifactsInput!$N$27+1,20,24,28,32,36,40),0)/100)))))/Skills!G8,1)))/Inputs!$B$43),G2839*Q2839))*IF(Inputs!$B$38="pvp",1,1+(Inputs!$B$20+Skills!O8+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2839*(1-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2839*(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2839*(1-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2839*(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39">
        <f>IF(C2839,(H2839*N2839*IF(AND(Inputs!$B$38&lt;&gt;"pvp",Inputs!$B$43&gt;0),((Skills!F8*((R2839-1)*IF(Skills!G8&gt;0,Skills!H8/Skills!G8,1)+IF(Skills!G8&gt;0,MIN(Skills!H8,MAX(0,MAX(0,Inputs!$B$43-B2865)-((R2839-1)*(IF(Inputs!$B$38="pvp",15,MAX(0.1,Skills!D8-IF(TRUE=TRUE,3.5,0)))*(1-IF(AND(ArtifactsInput!$M$27,Inputs!$B$4="Chapter Hunt"),CHOOSE(ArtifactsInput!$N$27+1,20,24,28,32,36,40),0)/100)))))/Skills!G8,1)))/Inputs!$B$43),G2839*Q2839))*IF(Inputs!$B$38="pvp",1,(1+(Inputs!$B$21+Skills!P8+B2859+(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0">
      <c r="A2840">
        <f>Skills!A9</f>
        <v/>
      </c>
      <c r="B2840">
        <f>Skills!B9</f>
        <v/>
      </c>
      <c r="C2840">
        <f>Inputs!$B$3&gt;=105</f>
        <v/>
      </c>
      <c r="D2840">
        <f>IF(Skills!C9=1,60+Inputs!$B$25+Inputs!$B$29,IF(Skills!C9=2,90+Inputs!$B$26+Inputs!$B$29,IF(Skills!C9=3,120+Inputs!$B$27+Inputs!$B$29,MAX(0,(Inputs!$B$3-100)*3)+Inputs!$B$28+Inputs!$B$29)))</f>
        <v/>
      </c>
      <c r="E2840">
        <f>INDEX(FactorTable!$B$2:$Y$301, MATCH(ROUND(MIN(300,MAX(1,D2840)),0), FactorTable!$A$2:$A$301,0), Skills!L9+1)</f>
        <v/>
      </c>
      <c r="F2840">
        <f>IF(Skills!M9=TRUE,(Skills!K9/10)*(E2840/1000),Skills!K9/10)+Skills!N9</f>
        <v/>
      </c>
      <c r="G2840">
        <f>Calc!G9</f>
        <v/>
      </c>
      <c r="H2840">
        <f>Calc!H9</f>
        <v/>
      </c>
      <c r="I2840">
        <f>IF(Skills!T9&lt;&gt;"",1+(Skills!T9/10)*(Z2834/1000)/100,1)</f>
        <v/>
      </c>
      <c r="J2840">
        <f>((Inputs!$B$6*(1+Inputs!$B$7/100))+(((Inputs!$B$12*(1+Inputs!$B$13/100))-(Inputs!$B$12*(1+Inputs!$B$13/100)))+0.25*(Inputs!$B$14-Inputs!$B$14))*(1+Inputs!$B$7/100))*(F2840/100)</f>
        <v/>
      </c>
      <c r="K2840">
        <f>J2840*(1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9="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2840)</f>
        <v/>
      </c>
      <c r="L2840">
        <f>K2840*(MIN(Inputs!$B$22+(F2849-Calc!F18),(Inputs!$B$23+(IF(ArtifactsInput!$M$15,CHOOSE(ArtifactsInput!$N$15+1,25,30,35,40,45,50)/100*(Inputs!$B$11-Inputs!$B$11),0))))/100+(Inputs!$B$23+(IF(ArtifactsInput!$M$15,CHOOSE(ArtifactsInput!$N$15+1,25,30,35,40,45,50)/100*(Inputs!$B$11-Inputs!$B$11),0)))/100)/2</f>
        <v/>
      </c>
      <c r="M2840">
        <f>L2840*(1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0">
        <f>L2840*(1-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2840*(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0">
        <f>(1-Summary!$B$11)*S2840+Summary!$B$11*U2840</f>
        <v/>
      </c>
      <c r="P2840">
        <f>IF(B2868=0,0,O2840/B2868)</f>
        <v/>
      </c>
      <c r="Q2840">
        <f>IFERROR(1/(IF(Inputs!$B$38="pvp",15,MAX(0.1,Skills!D9-IF(TRUE=TRUE,3.5,0)))*(1-IF(AND(ArtifactsInput!$M$27,Inputs!$B$4="Chapter Hunt"),CHOOSE(ArtifactsInput!$N$27+1,20,24,28,32,36,40),0)/100)),0)</f>
        <v/>
      </c>
      <c r="R2840">
        <f>IF(AND(Inputs!$B$38&lt;&gt;"pvp",Inputs!$B$43&gt;0),IF(MAX(0,Inputs!$B$43-B2865)&lt;=0,0,(INT(MAX(0,Inputs!$B$43-B2865)/(IF(Inputs!$B$38="pvp",15,MAX(0.1,Skills!D9-IF(TRUE=TRUE,3.5,0)))*(1-IF(AND(ArtifactsInput!$M$27,Inputs!$B$4="Chapter Hunt"),CHOOSE(ArtifactsInput!$N$27+1,20,24,28,32,36,40),0)/100)))+1)),0)</f>
        <v/>
      </c>
      <c r="S2840">
        <f>IF(C2840,(H2840*N2840*IF(AND(Inputs!$B$38&lt;&gt;"pvp",Inputs!$B$43&gt;0),((Skills!F9*((R2840-1)*IF(Skills!G9&gt;0,Skills!H9/Skills!G9,1)+IF(Skills!G9&gt;0,MIN(Skills!H9,MAX(0,MAX(0,Inputs!$B$43-B2865)-((R2840-1)*(IF(Inputs!$B$38="pvp",15,MAX(0.1,Skills!D9-IF(TRUE=TRUE,3.5,0)))*(1-IF(AND(ArtifactsInput!$M$27,Inputs!$B$4="Chapter Hunt"),CHOOSE(ArtifactsInput!$N$27+1,20,24,28,32,36,40),0)/100)))))/Skills!G9,1)))/Inputs!$B$43),G2840*Q2840))*IF(Inputs!$B$38="pvp",1,1+(Inputs!$B$20+Skills!O9+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2840*(1-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2840*(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2840*(1-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2840*(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0">
        <f>IF(C2840,(H2840*N2840*IF(AND(Inputs!$B$38&lt;&gt;"pvp",Inputs!$B$43&gt;0),((Skills!F9*((R2840-1)*IF(Skills!G9&gt;0,Skills!H9/Skills!G9,1)+IF(Skills!G9&gt;0,MIN(Skills!H9,MAX(0,MAX(0,Inputs!$B$43-B2865)-((R2840-1)*(IF(Inputs!$B$38="pvp",15,MAX(0.1,Skills!D9-IF(TRUE=TRUE,3.5,0)))*(1-IF(AND(ArtifactsInput!$M$27,Inputs!$B$4="Chapter Hunt"),CHOOSE(ArtifactsInput!$N$27+1,20,24,28,32,36,40),0)/100)))))/Skills!G9,1)))/Inputs!$B$43),G2840*Q2840))*IF(Inputs!$B$38="pvp",1,(1+(Inputs!$B$21+Skills!P9+B2859+(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1">
      <c r="A2841">
        <f>Skills!A10</f>
        <v/>
      </c>
      <c r="B2841">
        <f>Skills!B10</f>
        <v/>
      </c>
      <c r="C2841">
        <f>Inputs!$B$3&gt;=113</f>
        <v/>
      </c>
      <c r="D2841">
        <f>IF(Skills!C10=1,60+Inputs!$B$25+Inputs!$B$29,IF(Skills!C10=2,90+Inputs!$B$26+Inputs!$B$29,IF(Skills!C10=3,120+Inputs!$B$27+Inputs!$B$29,MAX(0,(Inputs!$B$3-100)*3)+Inputs!$B$28+Inputs!$B$29)))</f>
        <v/>
      </c>
      <c r="E2841">
        <f>INDEX(FactorTable!$B$2:$Y$301, MATCH(ROUND(MIN(300,MAX(1,D2841)),0), FactorTable!$A$2:$A$301,0), Skills!L10+1)</f>
        <v/>
      </c>
      <c r="F2841">
        <f>IF(Skills!M10=TRUE,(Skills!K10/10)*(E2841/1000),Skills!K10/10)+Skills!N10</f>
        <v/>
      </c>
      <c r="G2841">
        <f>Calc!G10</f>
        <v/>
      </c>
      <c r="H2841">
        <f>Calc!H10</f>
        <v/>
      </c>
      <c r="I2841">
        <f>IF(Skills!T10&lt;&gt;"",1+(Skills!T10/10)*(Z2834/1000)/100,1)</f>
        <v/>
      </c>
      <c r="J2841">
        <f>((Inputs!$B$6*(1+Inputs!$B$7/100))+(((Inputs!$B$12*(1+Inputs!$B$13/100))-(Inputs!$B$12*(1+Inputs!$B$13/100)))+0.25*(Inputs!$B$14-Inputs!$B$14))*(1+Inputs!$B$7/100))*(F2841/100)</f>
        <v/>
      </c>
      <c r="K2841">
        <f>J2841*(1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10="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2841)</f>
        <v/>
      </c>
      <c r="L2841">
        <f>K2841*(MIN(Inputs!$B$22+(F2849-Calc!F18),(Inputs!$B$23+(IF(ArtifactsInput!$M$15,CHOOSE(ArtifactsInput!$N$15+1,25,30,35,40,45,50)/100*(Inputs!$B$11-Inputs!$B$11),0))))/100+(Inputs!$B$23+(IF(ArtifactsInput!$M$15,CHOOSE(ArtifactsInput!$N$15+1,25,30,35,40,45,50)/100*(Inputs!$B$11-Inputs!$B$11),0)))/100)/2</f>
        <v/>
      </c>
      <c r="M2841">
        <f>L2841*(1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1">
        <f>L2841*(1-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1">
        <f>(1-Summary!$B$11)*S2841+Summary!$B$11*U2841</f>
        <v/>
      </c>
      <c r="P2841">
        <f>IF(B2868=0,0,O2841/B2868)</f>
        <v/>
      </c>
      <c r="Q2841">
        <f>IFERROR(1/(IF(Inputs!$B$38="pvp",15,MAX(0.1,Skills!D10-IF(TRUE=TRUE,3.5,0)))*(1-IF(AND(ArtifactsInput!$M$27,Inputs!$B$4="Chapter Hunt"),CHOOSE(ArtifactsInput!$N$27+1,20,24,28,32,36,40),0)/100)),0)</f>
        <v/>
      </c>
      <c r="R2841" t="n">
        <v>0</v>
      </c>
      <c r="S2841">
        <f>IF(C2841,((H2841*B2869)/(1+Skills!G10*H2841*B2869)*N2841)*IF(Inputs!$B$38="pvp",1,1+(Inputs!$B$20+Skills!O10+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2841*(1-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2841*(1-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1">
        <f>IF(C2841,((H2841*B2869)/(1+Skills!G10*H2841*B2869)*N2841)*IF(Inputs!$B$38="pvp",1,(1+(Inputs!$B$21+Skills!P10+B2859+(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2">
      <c r="A2842">
        <f>Skills!A11</f>
        <v/>
      </c>
      <c r="B2842">
        <f>Skills!B11</f>
        <v/>
      </c>
      <c r="C2842">
        <f>Inputs!$B$3&gt;=107</f>
        <v/>
      </c>
      <c r="D2842">
        <f>IF(Skills!C11=1,60+Inputs!$B$25+Inputs!$B$29,IF(Skills!C11=2,90+Inputs!$B$26+Inputs!$B$29,IF(Skills!C11=3,120+Inputs!$B$27+Inputs!$B$29,MAX(0,(Inputs!$B$3-100)*3)+Inputs!$B$28+Inputs!$B$29)))</f>
        <v/>
      </c>
      <c r="E2842">
        <f>INDEX(FactorTable!$B$2:$Y$301, MATCH(ROUND(MIN(300,MAX(1,D2842)),0), FactorTable!$A$2:$A$301,0), Skills!L11+1)</f>
        <v/>
      </c>
      <c r="F2842">
        <f>IF(Skills!M11=TRUE,(Skills!K11/10)*(E2842/1000),Skills!K11/10)+Skills!N11</f>
        <v/>
      </c>
      <c r="G2842">
        <f>Calc!G11</f>
        <v/>
      </c>
      <c r="H2842">
        <f>Calc!H11</f>
        <v/>
      </c>
      <c r="I2842">
        <f>IF(Skills!T11&lt;&gt;"",1+(Skills!T11/10)*(Z2834/1000)/100,1)</f>
        <v/>
      </c>
      <c r="J2842">
        <f>((Inputs!$B$6*(1+Inputs!$B$7/100))+(((Inputs!$B$12*(1+Inputs!$B$13/100))-(Inputs!$B$12*(1+Inputs!$B$13/100)))+0.25*(Inputs!$B$14-Inputs!$B$14))*(1+Inputs!$B$7/100))*(F2842/100)</f>
        <v/>
      </c>
      <c r="K2842">
        <f>J2842*(1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11="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2842)</f>
        <v/>
      </c>
      <c r="L2842">
        <f>K2842*(MIN(Inputs!$B$22+(F2849-Calc!F18),(Inputs!$B$23+(IF(ArtifactsInput!$M$15,CHOOSE(ArtifactsInput!$N$15+1,25,30,35,40,45,50)/100*(Inputs!$B$11-Inputs!$B$11),0))))/100+(Inputs!$B$23+(IF(ArtifactsInput!$M$15,CHOOSE(ArtifactsInput!$N$15+1,25,30,35,40,45,50)/100*(Inputs!$B$11-Inputs!$B$11),0)))/100)/2</f>
        <v/>
      </c>
      <c r="M2842">
        <f>L2842*(1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2">
        <f>L2842*(1-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2842*(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2">
        <f>(1-Summary!$B$11)*S2842+Summary!$B$11*U2842</f>
        <v/>
      </c>
      <c r="P2842">
        <f>IF(B2868=0,0,O2842/B2868)</f>
        <v/>
      </c>
      <c r="Q2842">
        <f>IFERROR(1/(IF(Inputs!$B$38="pvp",15,MAX(0.1,Skills!D11-IF(TRUE=TRUE,3.5,0)))*(1-IF(AND(ArtifactsInput!$M$27,Inputs!$B$4="Chapter Hunt"),CHOOSE(ArtifactsInput!$N$27+1,20,24,28,32,36,40),0)/100)),0)</f>
        <v/>
      </c>
      <c r="R2842">
        <f>IF(AND(Inputs!$B$38&lt;&gt;"pvp",Inputs!$B$43&gt;0),IF(MAX(0,Inputs!$B$43-B2865)&lt;=0,0,(INT(MAX(0,Inputs!$B$43-B2865)/(IF(Inputs!$B$38="pvp",15,MAX(0.1,Skills!D11-IF(TRUE=TRUE,3.5,0)))*(1-IF(AND(ArtifactsInput!$M$27,Inputs!$B$4="Chapter Hunt"),CHOOSE(ArtifactsInput!$N$27+1,20,24,28,32,36,40),0)/100)))+1)),0)</f>
        <v/>
      </c>
      <c r="S2842">
        <f>IF(C2842,H2842*N2842*IF(AND(Inputs!$B$38&lt;&gt;"pvp",Inputs!$B$43&gt;0),((Skills!F11*((R2842-1)*IF(Skills!G11&gt;0,Skills!H11/Skills!G11,1)+IF(Skills!G11&gt;0,MIN(Skills!H11,MAX(0,MAX(0,Inputs!$B$43-B2865)-((R2842-1)*(IF(Inputs!$B$38="pvp",15,MAX(0.1,Skills!D11-IF(TRUE=TRUE,3.5,0)))*(1-IF(AND(ArtifactsInput!$M$27,Inputs!$B$4="Chapter Hunt"),CHOOSE(ArtifactsInput!$N$27+1,20,24,28,32,36,40),0)/100)))))/Skills!G11,1)))/Inputs!$B$43),G2842*Q2842)*0.5*IF(Inputs!$B$38="pvp",1,1+(Inputs!$B$20+Skills!O11+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2842*(1-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2842*(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2842*(1-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2842*(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2">
        <f>IF(C2842,H2842*N2842*IF(AND(Inputs!$B$38&lt;&gt;"pvp",Inputs!$B$43&gt;0),((Skills!F11*((R2842-1)*IF(Skills!G11&gt;0,Skills!H11/Skills!G11,1)+IF(Skills!G11&gt;0,MIN(Skills!H11,MAX(0,MAX(0,Inputs!$B$43-B2865)-((R2842-1)*(IF(Inputs!$B$38="pvp",15,MAX(0.1,Skills!D11-IF(TRUE=TRUE,3.5,0)))*(1-IF(AND(ArtifactsInput!$M$27,Inputs!$B$4="Chapter Hunt"),CHOOSE(ArtifactsInput!$N$27+1,20,24,28,32,36,40),0)/100)))))/Skills!G11,1)))/Inputs!$B$43),G2842*Q2842)*1*IF(Inputs!$B$38="pvp",1,(1+(Inputs!$B$21+Skills!P11+B2859+(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3">
      <c r="A2843">
        <f>Skills!A12</f>
        <v/>
      </c>
      <c r="B2843">
        <f>Skills!B12</f>
        <v/>
      </c>
      <c r="C2843">
        <f>Inputs!$B$3&gt;=115</f>
        <v/>
      </c>
      <c r="D2843">
        <f>IF(Skills!C12=1,60+Inputs!$B$25+Inputs!$B$29,IF(Skills!C12=2,90+Inputs!$B$26+Inputs!$B$29,IF(Skills!C12=3,120+Inputs!$B$27+Inputs!$B$29,MAX(0,(Inputs!$B$3-100)*3)+Inputs!$B$28+Inputs!$B$29)))</f>
        <v/>
      </c>
      <c r="E2843">
        <f>INDEX(FactorTable!$B$2:$Y$301, MATCH(ROUND(MIN(300,MAX(1,D2843)),0), FactorTable!$A$2:$A$301,0), Skills!L12+1)</f>
        <v/>
      </c>
      <c r="F2843">
        <f>IF(Skills!M12=TRUE,(Skills!K12/10)*(E2843/1000),Skills!K12/10)+Skills!N12</f>
        <v/>
      </c>
      <c r="G2843">
        <f>Calc!G12</f>
        <v/>
      </c>
      <c r="H2843">
        <f>Calc!H12</f>
        <v/>
      </c>
      <c r="I2843">
        <f>IF(Skills!T12&lt;&gt;"",1+(Skills!T12/10)*(Z2834/1000)/100,1)</f>
        <v/>
      </c>
      <c r="J2843">
        <f>((Inputs!$B$6*(1+Inputs!$B$7/100))+(((Inputs!$B$12*(1+Inputs!$B$13/100))-(Inputs!$B$12*(1+Inputs!$B$13/100)))+0.25*(Inputs!$B$14-Inputs!$B$14))*(1+Inputs!$B$7/100))*(F2843/100)</f>
        <v/>
      </c>
      <c r="K2843">
        <f>J2843*(1+((Inputs!$B$12*(1+Inputs!$B$13/100))*0.01+Inputs!$B$14*0.0025)/100)*(1+(Inputs!$B$15+B2860)/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2846=TRUE,F2846,0)/100)*(1+IF(C2854=TRUE,F2854,0)/100)^5*(1+(IF(Skills!A12="CHAIN_LIGHTNING",Inputs!$B$17+((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2858*(1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2843)</f>
        <v/>
      </c>
      <c r="L2843">
        <f>K2843*(MIN(Inputs!$B$22+(F2849-Calc!F18),(Inputs!$B$23+(IF(ArtifactsInput!$M$15,CHOOSE(ArtifactsInput!$N$15+1,25,30,35,40,45,50)/100*(Inputs!$B$11-Inputs!$B$11),0))))/100+(Inputs!$B$23+(IF(ArtifactsInput!$M$15,CHOOSE(ArtifactsInput!$N$15+1,25,30,35,40,45,50)/100*(Inputs!$B$11-Inputs!$B$11),0)))/100)/2</f>
        <v/>
      </c>
      <c r="M2843">
        <f>L2843*(1+(Inputs!$B$10+(F2852-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43">
        <f>L2843*(1-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2843*(MIN((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43">
        <f>(1-Summary!$B$11)*S2843+Summary!$B$11*U2843</f>
        <v/>
      </c>
      <c r="P2843">
        <f>IF(B2868=0,0,O2843/B2868)</f>
        <v/>
      </c>
      <c r="Q2843">
        <f>IFERROR(1/(IF(Inputs!$B$38="pvp",15,MAX(0.1,Skills!D12-IF(TRUE=TRUE,3.5,0)))*(1-IF(AND(ArtifactsInput!$M$27,Inputs!$B$4="Chapter Hunt"),CHOOSE(ArtifactsInput!$N$27+1,20,24,28,32,36,40),0)/100)),0)</f>
        <v/>
      </c>
      <c r="R2843">
        <f>IF(AND(Inputs!$B$38&lt;&gt;"pvp",Inputs!$B$43&gt;0),IF(MAX(0,Inputs!$B$43-B2865)&lt;=0,0,(INT(MAX(0,Inputs!$B$43-B2865)/(IF(Inputs!$B$38="pvp",15,MAX(0.1,Skills!D12-IF(TRUE=TRUE,3.5,0)))*(1-IF(AND(ArtifactsInput!$M$27,Inputs!$B$4="Chapter Hunt"),CHOOSE(ArtifactsInput!$N$27+1,20,24,28,32,36,40),0)/100)))+1)),0)</f>
        <v/>
      </c>
      <c r="S2843">
        <f>IF(C2843,(H2843*N2843*IF(AND(Inputs!$B$38&lt;&gt;"pvp",Inputs!$B$43&gt;0),((Skills!F12*((R2843-1)*IF(Skills!G12&gt;0,Skills!H12/Skills!G12,1)+IF(Skills!G12&gt;0,MIN(Skills!H12,MAX(0,MAX(0,Inputs!$B$43-B2865)-((R2843-1)*(IF(Inputs!$B$38="pvp",15,MAX(0.1,Skills!D12-IF(TRUE=TRUE,3.5,0)))*(1-IF(AND(ArtifactsInput!$M$27,Inputs!$B$4="Chapter Hunt"),CHOOSE(ArtifactsInput!$N$27+1,20,24,28,32,36,40),0)/100)))))/Skills!G12,1)))/Inputs!$B$43),G2843*Q2843))*IF(Inputs!$B$38="pvp",1,1+(Inputs!$B$20+Skills!O12+B2859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2843*(1-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2843*(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2843*(1-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2843*(MIN(100,(Inputs!$B$9+((F2851-Calc!F20)+(F2850-Calc!F19))+(ArtifactsInput!$M$24-ArtifactsInput!$M$24)*CHOOSE(ArtifactsInput!$N$24+1,10,12,14,16,18,20)+(IF(AND(Inputs!$B$38&lt;&gt;"pvp",Inputs!$B$43=0),1,IF(IF(Inputs!$B$38="pvp",15,Inputs!$B$43)-(B2865)&lt;=0,1,MAX(0,IF(Inputs!$B$38="pvp",15,Inputs!$B$43)-MAX(5,B2865))/(IF(Inputs!$B$38="pvp",15,Inputs!$B$43)-(B2865))))*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43">
        <f>IF(C2843,(H2843*N2843*IF(AND(Inputs!$B$38&lt;&gt;"pvp",Inputs!$B$43&gt;0),((Skills!F12*((R2843-1)*IF(Skills!G12&gt;0,Skills!H12/Skills!G12,1)+IF(Skills!G12&gt;0,MIN(Skills!H12,MAX(0,MAX(0,Inputs!$B$43-B2865)-((R2843-1)*(IF(Inputs!$B$38="pvp",15,MAX(0.1,Skills!D12-IF(TRUE=TRUE,3.5,0)))*(1-IF(AND(ArtifactsInput!$M$27,Inputs!$B$4="Chapter Hunt"),CHOOSE(ArtifactsInput!$N$27+1,20,24,28,32,36,40),0)/100)))))/Skills!G12,1)))/Inputs!$B$43),G2843*Q2843))*IF(Inputs!$B$38="pvp",1,(1+(Inputs!$B$21+Skills!P12+B2859+(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44">
      <c r="A2844">
        <f>Skills!A13</f>
        <v/>
      </c>
      <c r="B2844">
        <f>Skills!B13</f>
        <v/>
      </c>
      <c r="C2844">
        <f>Inputs!$B$3&gt;=49</f>
        <v/>
      </c>
      <c r="D2844">
        <f>IF(Skills!C13=1,60+Inputs!$B$25+Inputs!$B$29,IF(Skills!C13=2,90+Inputs!$B$26+Inputs!$B$29,IF(Skills!C13=3,120+Inputs!$B$27+Inputs!$B$29,MAX(0,(Inputs!$B$3-100)*3)+Inputs!$B$28+Inputs!$B$29)))</f>
        <v/>
      </c>
      <c r="E2844">
        <f>INDEX(FactorTable!$B$2:$Y$301, MATCH(ROUND(MIN(300,MAX(1,D2844)),0), FactorTable!$A$2:$A$301,0), Skills!L13+1)</f>
        <v/>
      </c>
      <c r="F2844">
        <f>IF(Skills!M13=TRUE,(Skills!K13/10)*(E2844/1000),Skills!K13/10)+Skills!N13</f>
        <v/>
      </c>
      <c r="G2844">
        <f>Calc!G13</f>
        <v/>
      </c>
      <c r="H2844">
        <f>Calc!H13</f>
        <v/>
      </c>
      <c r="I2844">
        <f>IF(Skills!T13&lt;&gt;"",1+(Skills!T13/10)*(Z2834/1000)/100,1)</f>
        <v/>
      </c>
      <c r="J2844" t="inlineStr"/>
      <c r="K2844" t="inlineStr"/>
      <c r="L2844" t="inlineStr"/>
      <c r="M2844" t="inlineStr"/>
      <c r="N2844" t="inlineStr"/>
      <c r="O2844">
        <f>(1-Summary!$B$11)*S2844+Summary!$B$11*U2844</f>
        <v/>
      </c>
      <c r="P2844">
        <f>IF(B2868=0,0,O2844/B2868)</f>
        <v/>
      </c>
      <c r="Q2844">
        <f>IFERROR(1/(IF(Inputs!$B$38="pvp",15,MAX(0.1,Skills!D13-IF(TRUE=TRUE,3.5,0)))*(1-IF(AND(ArtifactsInput!$M$27,Inputs!$B$4="Chapter Hunt"),CHOOSE(ArtifactsInput!$N$27+1,20,24,28,32,36,40),0)/100)),0)</f>
        <v/>
      </c>
      <c r="R2844" t="n">
        <v>0</v>
      </c>
      <c r="S2844" t="n">
        <v>0</v>
      </c>
      <c r="U2844" t="n">
        <v>0</v>
      </c>
    </row>
    <row r="2845">
      <c r="A2845">
        <f>Skills!A14</f>
        <v/>
      </c>
      <c r="B2845">
        <f>Skills!B14</f>
        <v/>
      </c>
      <c r="C2845">
        <f>Inputs!$B$3&gt;=72</f>
        <v/>
      </c>
      <c r="D2845">
        <f>IF(Skills!C14=1,60+Inputs!$B$25+Inputs!$B$29,IF(Skills!C14=2,90+Inputs!$B$26+Inputs!$B$29,IF(Skills!C14=3,120+Inputs!$B$27+Inputs!$B$29,MAX(0,(Inputs!$B$3-100)*3)+Inputs!$B$28+Inputs!$B$29)))</f>
        <v/>
      </c>
      <c r="E2845">
        <f>INDEX(FactorTable!$B$2:$Y$301, MATCH(ROUND(MIN(300,MAX(1,D2845)),0), FactorTable!$A$2:$A$301,0), Skills!L14+1)</f>
        <v/>
      </c>
      <c r="F2845">
        <f>IF(Skills!M14=TRUE,(Skills!K14/10)*(E2845/1000),Skills!K14/10)+Skills!N14</f>
        <v/>
      </c>
      <c r="G2845">
        <f>Calc!G14</f>
        <v/>
      </c>
      <c r="H2845">
        <f>Calc!H14</f>
        <v/>
      </c>
      <c r="I2845">
        <f>IF(Skills!T14&lt;&gt;"",1+(Skills!T14/10)*(Z2834/1000)/100,1)</f>
        <v/>
      </c>
      <c r="J2845" t="inlineStr"/>
      <c r="K2845" t="inlineStr"/>
      <c r="L2845" t="inlineStr"/>
      <c r="M2845" t="inlineStr"/>
      <c r="N2845" t="inlineStr"/>
      <c r="O2845">
        <f>(1-Summary!$B$11)*S2845+Summary!$B$11*U2845</f>
        <v/>
      </c>
      <c r="P2845">
        <f>IF(B2868=0,0,O2845/B2868)</f>
        <v/>
      </c>
      <c r="Q2845">
        <f>IFERROR(1/(IF(Inputs!$B$38="pvp",15,MAX(0.1,Skills!D14-IF(TRUE=TRUE,3.5,0)))*(1-IF(AND(ArtifactsInput!$M$27,Inputs!$B$4="Chapter Hunt"),CHOOSE(ArtifactsInput!$N$27+1,20,24,28,32,36,40),0)/100)),0)</f>
        <v/>
      </c>
      <c r="R2845" t="n">
        <v>0</v>
      </c>
      <c r="S2845" t="n">
        <v>0</v>
      </c>
      <c r="U2845" t="n">
        <v>0</v>
      </c>
    </row>
    <row r="2846">
      <c r="A2846">
        <f>Skills!A15</f>
        <v/>
      </c>
      <c r="B2846">
        <f>Skills!B15</f>
        <v/>
      </c>
      <c r="C2846">
        <f>Inputs!$B$3&gt;=75</f>
        <v/>
      </c>
      <c r="D2846">
        <f>IF(Skills!C15=1,60+Inputs!$B$25+Inputs!$B$29,IF(Skills!C15=2,90+Inputs!$B$26+Inputs!$B$29,IF(Skills!C15=3,120+Inputs!$B$27+Inputs!$B$29,MAX(0,(Inputs!$B$3-100)*3)+Inputs!$B$28+Inputs!$B$29)))</f>
        <v/>
      </c>
      <c r="E2846">
        <f>INDEX(FactorTable!$B$2:$Y$301, MATCH(ROUND(MIN(300,MAX(1,D2846)),0), FactorTable!$A$2:$A$301,0), Skills!L15+1)</f>
        <v/>
      </c>
      <c r="F2846">
        <f>IF(Skills!M15=TRUE,(Skills!K15/10)*(E2846/1000),Skills!K15/10)+Skills!N15</f>
        <v/>
      </c>
      <c r="G2846">
        <f>Calc!G15</f>
        <v/>
      </c>
      <c r="H2846">
        <f>Calc!H15</f>
        <v/>
      </c>
      <c r="I2846">
        <f>IF(Skills!T15&lt;&gt;"",1+(Skills!T15/10)*(Z2834/1000)/100,1)</f>
        <v/>
      </c>
      <c r="J2846" t="inlineStr"/>
      <c r="K2846" t="inlineStr"/>
      <c r="L2846" t="inlineStr"/>
      <c r="M2846" t="inlineStr"/>
      <c r="N2846" t="inlineStr"/>
      <c r="O2846">
        <f>(1-Summary!$B$11)*S2846+Summary!$B$11*U2846</f>
        <v/>
      </c>
      <c r="P2846">
        <f>IF(B2868=0,0,O2846/B2868)</f>
        <v/>
      </c>
      <c r="Q2846">
        <f>IFERROR(1/(IF(Inputs!$B$38="pvp",15,MAX(0.1,Skills!D15-IF(TRUE=TRUE,3.5,0)))*(1-IF(AND(ArtifactsInput!$M$27,Inputs!$B$4="Chapter Hunt"),CHOOSE(ArtifactsInput!$N$27+1,20,24,28,32,36,40),0)/100)),0)</f>
        <v/>
      </c>
      <c r="R2846" t="n">
        <v>0</v>
      </c>
      <c r="S2846" t="n">
        <v>0</v>
      </c>
      <c r="U2846" t="n">
        <v>0</v>
      </c>
    </row>
    <row r="2847">
      <c r="A2847">
        <f>Skills!A16</f>
        <v/>
      </c>
      <c r="B2847">
        <f>Skills!B16</f>
        <v/>
      </c>
      <c r="C2847">
        <f>Inputs!$B$3&gt;=110</f>
        <v/>
      </c>
      <c r="D2847">
        <f>IF(Skills!C16=1,60+Inputs!$B$25+Inputs!$B$29,IF(Skills!C16=2,90+Inputs!$B$26+Inputs!$B$29,IF(Skills!C16=3,120+Inputs!$B$27+Inputs!$B$29,MAX(0,(Inputs!$B$3-100)*3)+Inputs!$B$28+Inputs!$B$29)))</f>
        <v/>
      </c>
      <c r="E2847">
        <f>INDEX(FactorTable!$B$2:$Y$301, MATCH(ROUND(MIN(300,MAX(1,D2847)),0), FactorTable!$A$2:$A$301,0), Skills!L16+1)</f>
        <v/>
      </c>
      <c r="F2847">
        <f>(Skills!K16/10)*(E2847/1000)*64/45+Skills!N16</f>
        <v/>
      </c>
      <c r="G2847">
        <f>Calc!G16</f>
        <v/>
      </c>
      <c r="H2847">
        <f>Calc!H16</f>
        <v/>
      </c>
      <c r="I2847">
        <f>IF(Skills!T16&lt;&gt;"",1+(Skills!T16/10)*(Z2834/1000)/100,1)</f>
        <v/>
      </c>
      <c r="J2847" t="inlineStr"/>
      <c r="K2847" t="inlineStr"/>
      <c r="L2847" t="inlineStr"/>
      <c r="M2847" t="inlineStr"/>
      <c r="N2847" t="inlineStr"/>
      <c r="O2847">
        <f>(1-Summary!$B$11)*S2847+Summary!$B$11*U2847</f>
        <v/>
      </c>
      <c r="P2847">
        <f>IF(B2868=0,0,O2847/B2868)</f>
        <v/>
      </c>
      <c r="Q2847">
        <f>IFERROR(1/(IF(Inputs!$B$38="pvp",15,MAX(0.1,Skills!D16-IF(TRUE=TRUE,3.5,0)))*(1-IF(AND(ArtifactsInput!$M$27,Inputs!$B$4="Chapter Hunt"),CHOOSE(ArtifactsInput!$N$27+1,20,24,28,32,36,40),0)/100)),0)</f>
        <v/>
      </c>
      <c r="R2847">
        <f>IF(AND(Inputs!$B$38&lt;&gt;"pvp",Inputs!$B$43&gt;0),IF(Inputs!$B$43&lt;=0,0,(INT(Inputs!$B$43/(IF(Inputs!$B$38="pvp",15,MAX(0.1,Skills!D16-IF(TRUE=TRUE,3.5,0)))*(1-IF(AND(ArtifactsInput!$M$27,Inputs!$B$4="Chapter Hunt"),CHOOSE(ArtifactsInput!$N$27+1,20,24,28,32,36,40),0)/100)))+1)),0)</f>
        <v/>
      </c>
      <c r="S2847" t="n">
        <v>0</v>
      </c>
      <c r="U2847" t="n">
        <v>0</v>
      </c>
    </row>
    <row r="2848">
      <c r="A2848">
        <f>Skills!A17</f>
        <v/>
      </c>
      <c r="B2848">
        <f>Skills!B17</f>
        <v/>
      </c>
      <c r="C2848">
        <f>Inputs!$B$3&gt;=33</f>
        <v/>
      </c>
      <c r="D2848">
        <f>IF(Skills!C17=1,60+Inputs!$B$25+Inputs!$B$29,IF(Skills!C17=2,90+Inputs!$B$26+Inputs!$B$29,IF(Skills!C17=3,120+Inputs!$B$27+Inputs!$B$29,MAX(0,(Inputs!$B$3-100)*3)+Inputs!$B$28+Inputs!$B$29)))</f>
        <v/>
      </c>
      <c r="E2848">
        <f>INDEX(FactorTable!$B$2:$Y$301, MATCH(ROUND(MIN(300,MAX(1,D2848)),0), FactorTable!$A$2:$A$301,0), Skills!L17+1)</f>
        <v/>
      </c>
      <c r="F2848">
        <f>IF(Skills!M17=TRUE,(Skills!K17/10)*(E2848/1000),Skills!K17/10)+Skills!N17</f>
        <v/>
      </c>
      <c r="G2848">
        <f>Calc!G17</f>
        <v/>
      </c>
      <c r="H2848">
        <f>Calc!H17</f>
        <v/>
      </c>
      <c r="I2848">
        <f>IF(Skills!T17&lt;&gt;"",1+(Skills!T17/10)*(Z2834/1000)/100,1)</f>
        <v/>
      </c>
      <c r="J2848" t="inlineStr"/>
      <c r="K2848" t="inlineStr"/>
      <c r="L2848" t="inlineStr"/>
      <c r="M2848" t="inlineStr"/>
      <c r="N2848" t="inlineStr"/>
      <c r="O2848">
        <f>(1-Summary!$B$11)*S2848+Summary!$B$11*U2848</f>
        <v/>
      </c>
      <c r="P2848">
        <f>IF(B2868=0,0,O2848/B2868)</f>
        <v/>
      </c>
      <c r="Q2848">
        <f>IFERROR(1/(IF(Inputs!$B$38="pvp",15,MAX(0.1,Skills!D17-IF(TRUE=TRUE,3.5,0)))*(1-IF(AND(ArtifactsInput!$M$27,Inputs!$B$4="Chapter Hunt"),CHOOSE(ArtifactsInput!$N$27+1,20,24,28,32,36,40),0)/100)),0)</f>
        <v/>
      </c>
      <c r="R2848" t="n">
        <v>0</v>
      </c>
      <c r="S2848" t="n">
        <v>0</v>
      </c>
      <c r="U2848" t="n">
        <v>0</v>
      </c>
    </row>
    <row r="2849">
      <c r="A2849">
        <f>Skills!A18</f>
        <v/>
      </c>
      <c r="B2849">
        <f>Skills!B18</f>
        <v/>
      </c>
      <c r="C2849">
        <f>Inputs!$B$3&gt;=43</f>
        <v/>
      </c>
      <c r="D2849">
        <f>IF(Skills!C18=1,60+Inputs!$B$25+Inputs!$B$29,IF(Skills!C18=2,90+Inputs!$B$26+Inputs!$B$29,IF(Skills!C18=3,120+Inputs!$B$27+Inputs!$B$29,MAX(0,(Inputs!$B$3-100)*3)+Inputs!$B$28+Inputs!$B$29)))</f>
        <v/>
      </c>
      <c r="E2849">
        <f>INDEX(FactorTable!$B$2:$Y$301, MATCH(ROUND(MIN(300,MAX(1,D2849)),0), FactorTable!$A$2:$A$301,0), Skills!L18+1)</f>
        <v/>
      </c>
      <c r="F2849">
        <f>IF(Skills!M18=TRUE,(Skills!K18/10)*(E2849/1000),Skills!K18/10)+Skills!N18</f>
        <v/>
      </c>
      <c r="G2849">
        <f>Calc!G18</f>
        <v/>
      </c>
      <c r="H2849">
        <f>Calc!H18</f>
        <v/>
      </c>
      <c r="I2849">
        <f>IF(Skills!T18&lt;&gt;"",1+(Skills!T18/10)*(Z2834/1000)/100,1)</f>
        <v/>
      </c>
      <c r="J2849" t="inlineStr"/>
      <c r="K2849" t="inlineStr"/>
      <c r="L2849" t="inlineStr"/>
      <c r="M2849" t="inlineStr"/>
      <c r="N2849" t="inlineStr"/>
      <c r="O2849">
        <f>(1-Summary!$B$11)*S2849+Summary!$B$11*U2849</f>
        <v/>
      </c>
      <c r="P2849">
        <f>IF(B2868=0,0,O2849/B2868)</f>
        <v/>
      </c>
      <c r="Q2849">
        <f>IFERROR(1/(IF(Inputs!$B$38="pvp",15,MAX(0.1,Skills!D18-IF(TRUE=TRUE,3.5,0)))*(1-IF(AND(ArtifactsInput!$M$27,Inputs!$B$4="Chapter Hunt"),CHOOSE(ArtifactsInput!$N$27+1,20,24,28,32,36,40),0)/100)),0)</f>
        <v/>
      </c>
      <c r="R2849" t="n">
        <v>0</v>
      </c>
      <c r="S2849" t="n">
        <v>0</v>
      </c>
      <c r="U2849" t="n">
        <v>0</v>
      </c>
    </row>
    <row r="2850">
      <c r="A2850">
        <f>Skills!A19</f>
        <v/>
      </c>
      <c r="B2850">
        <f>Skills!B19</f>
        <v/>
      </c>
      <c r="C2850">
        <f>Inputs!$B$3&gt;=50</f>
        <v/>
      </c>
      <c r="D2850">
        <f>IF(Skills!C19=1,60+Inputs!$B$25+Inputs!$B$29,IF(Skills!C19=2,90+Inputs!$B$26+Inputs!$B$29,IF(Skills!C19=3,120+Inputs!$B$27+Inputs!$B$29,MAX(0,(Inputs!$B$3-100)*3)+Inputs!$B$28+Inputs!$B$29)))</f>
        <v/>
      </c>
      <c r="E2850">
        <f>INDEX(FactorTable!$B$2:$Y$301, MATCH(ROUND(MIN(300,MAX(1,D2850)),0), FactorTable!$A$2:$A$301,0), Skills!L19+1)</f>
        <v/>
      </c>
      <c r="F2850">
        <f>IF(Skills!M19=TRUE,(Skills!K19/10)*(E2850/1000),Skills!K19/10)+Skills!N19</f>
        <v/>
      </c>
      <c r="G2850">
        <f>Calc!G19</f>
        <v/>
      </c>
      <c r="H2850">
        <f>Calc!H19</f>
        <v/>
      </c>
      <c r="I2850">
        <f>IF(Skills!T19&lt;&gt;"",1+(Skills!T19/10)*(Z2834/1000)/100,1)</f>
        <v/>
      </c>
      <c r="J2850" t="inlineStr"/>
      <c r="K2850" t="inlineStr"/>
      <c r="L2850" t="inlineStr"/>
      <c r="M2850" t="inlineStr"/>
      <c r="N2850" t="inlineStr"/>
      <c r="O2850">
        <f>(1-Summary!$B$11)*S2850+Summary!$B$11*U2850</f>
        <v/>
      </c>
      <c r="P2850">
        <f>IF(B2868=0,0,O2850/B2868)</f>
        <v/>
      </c>
      <c r="Q2850">
        <f>IFERROR(1/(IF(Inputs!$B$38="pvp",15,MAX(0.1,Skills!D19-IF(TRUE=TRUE,3.5,0)))*(1-IF(AND(ArtifactsInput!$M$27,Inputs!$B$4="Chapter Hunt"),CHOOSE(ArtifactsInput!$N$27+1,20,24,28,32,36,40),0)/100)),0)</f>
        <v/>
      </c>
      <c r="R2850" t="n">
        <v>0</v>
      </c>
      <c r="S2850" t="n">
        <v>0</v>
      </c>
      <c r="U2850" t="n">
        <v>0</v>
      </c>
    </row>
    <row r="2851">
      <c r="A2851">
        <f>Skills!A20</f>
        <v/>
      </c>
      <c r="B2851">
        <f>Skills!B20</f>
        <v/>
      </c>
      <c r="C2851">
        <f>Inputs!$B$3&gt;=74</f>
        <v/>
      </c>
      <c r="D2851">
        <f>IF(Skills!C20=1,60+Inputs!$B$25+Inputs!$B$29,IF(Skills!C20=2,90+Inputs!$B$26+Inputs!$B$29,IF(Skills!C20=3,120+Inputs!$B$27+Inputs!$B$29,MAX(0,(Inputs!$B$3-100)*3)+Inputs!$B$28+Inputs!$B$29)))</f>
        <v/>
      </c>
      <c r="E2851">
        <f>INDEX(FactorTable!$B$2:$Y$301, MATCH(ROUND(MIN(300,MAX(1,D2851)),0), FactorTable!$A$2:$A$301,0), Skills!L20+1)</f>
        <v/>
      </c>
      <c r="F2851">
        <f>IF(Skills!M20=TRUE,(Skills!K20/10)*(E2851/1000),Skills!K20/10)+Skills!N20</f>
        <v/>
      </c>
      <c r="G2851">
        <f>Calc!G20</f>
        <v/>
      </c>
      <c r="H2851">
        <f>Calc!H20</f>
        <v/>
      </c>
      <c r="I2851">
        <f>IF(Skills!T20&lt;&gt;"",1+(Skills!T20/10)*(Z2834/1000)/100,1)</f>
        <v/>
      </c>
      <c r="J2851" t="inlineStr"/>
      <c r="K2851" t="inlineStr"/>
      <c r="L2851" t="inlineStr"/>
      <c r="M2851" t="inlineStr"/>
      <c r="N2851" t="inlineStr"/>
      <c r="O2851">
        <f>(1-Summary!$B$11)*S2851+Summary!$B$11*U2851</f>
        <v/>
      </c>
      <c r="P2851">
        <f>IF(B2868=0,0,O2851/B2868)</f>
        <v/>
      </c>
      <c r="Q2851">
        <f>IFERROR(1/(IF(Inputs!$B$38="pvp",15,MAX(0.1,Skills!D20-IF(TRUE=TRUE,3.5,0)))*(1-IF(AND(ArtifactsInput!$M$27,Inputs!$B$4="Chapter Hunt"),CHOOSE(ArtifactsInput!$N$27+1,20,24,28,32,36,40),0)/100)),0)</f>
        <v/>
      </c>
      <c r="R2851" t="n">
        <v>0</v>
      </c>
      <c r="S2851" t="n">
        <v>0</v>
      </c>
      <c r="U2851" t="n">
        <v>0</v>
      </c>
    </row>
    <row r="2852">
      <c r="A2852">
        <f>Skills!A21</f>
        <v/>
      </c>
      <c r="B2852">
        <f>Skills!B21</f>
        <v/>
      </c>
      <c r="C2852">
        <f>Inputs!$B$3&gt;=74</f>
        <v/>
      </c>
      <c r="D2852">
        <f>IF(Skills!C21=1,60+Inputs!$B$25+Inputs!$B$29,IF(Skills!C21=2,90+Inputs!$B$26+Inputs!$B$29,IF(Skills!C21=3,120+Inputs!$B$27+Inputs!$B$29,MAX(0,(Inputs!$B$3-100)*3)+Inputs!$B$28+Inputs!$B$29)))</f>
        <v/>
      </c>
      <c r="E2852">
        <f>INDEX(FactorTable!$B$2:$Y$301, MATCH(ROUND(MIN(300,MAX(1,D2852)),0), FactorTable!$A$2:$A$301,0), Skills!L21+1)</f>
        <v/>
      </c>
      <c r="F2852">
        <f>IF(Skills!M21=TRUE,(Skills!K21/10)*(E2852/1000),Skills!K21/10)+Skills!N21</f>
        <v/>
      </c>
      <c r="G2852">
        <f>Calc!G21</f>
        <v/>
      </c>
      <c r="H2852">
        <f>Calc!H21</f>
        <v/>
      </c>
      <c r="I2852">
        <f>IF(Skills!T21&lt;&gt;"",1+(Skills!T21/10)*(Z2834/1000)/100,1)</f>
        <v/>
      </c>
      <c r="J2852" t="inlineStr"/>
      <c r="K2852" t="inlineStr"/>
      <c r="L2852" t="inlineStr"/>
      <c r="M2852" t="inlineStr"/>
      <c r="N2852" t="inlineStr"/>
      <c r="O2852">
        <f>(1-Summary!$B$11)*S2852+Summary!$B$11*U2852</f>
        <v/>
      </c>
      <c r="P2852">
        <f>IF(B2868=0,0,O2852/B2868)</f>
        <v/>
      </c>
      <c r="Q2852">
        <f>IFERROR(1/(IF(Inputs!$B$38="pvp",15,MAX(0.1,Skills!D21-IF(TRUE=TRUE,3.5,0)))*(1-IF(AND(ArtifactsInput!$M$27,Inputs!$B$4="Chapter Hunt"),CHOOSE(ArtifactsInput!$N$27+1,20,24,28,32,36,40),0)/100)),0)</f>
        <v/>
      </c>
      <c r="R2852" t="n">
        <v>0</v>
      </c>
      <c r="S2852" t="n">
        <v>0</v>
      </c>
      <c r="U2852" t="n">
        <v>0</v>
      </c>
    </row>
    <row r="2853">
      <c r="A2853">
        <f>Skills!A22</f>
        <v/>
      </c>
      <c r="B2853">
        <f>Skills!B22</f>
        <v/>
      </c>
      <c r="C2853">
        <f>Inputs!$B$3&gt;=117</f>
        <v/>
      </c>
      <c r="D2853">
        <f>IF(Skills!C22=1,60+Inputs!$B$25+Inputs!$B$29,IF(Skills!C22=2,90+Inputs!$B$26+Inputs!$B$29,IF(Skills!C22=3,120+Inputs!$B$27+Inputs!$B$29,MAX(0,(Inputs!$B$3-100)*3)+Inputs!$B$28+Inputs!$B$29)))</f>
        <v/>
      </c>
      <c r="E2853">
        <f>INDEX(FactorTable!$B$2:$Y$301, MATCH(ROUND(MIN(300,MAX(1,D2853)),0), FactorTable!$A$2:$A$301,0), Skills!L22+1)</f>
        <v/>
      </c>
      <c r="F2853">
        <f>IF(Skills!M22=TRUE,(Skills!K22/10)*(E2853/1000),Skills!K22/10)+Skills!N22</f>
        <v/>
      </c>
      <c r="G2853">
        <f>Calc!G22</f>
        <v/>
      </c>
      <c r="H2853">
        <f>Calc!H22</f>
        <v/>
      </c>
      <c r="I2853">
        <f>IF(Skills!T22&lt;&gt;"",1+(Skills!T22/10)*(Z2834/1000)/100,1)</f>
        <v/>
      </c>
      <c r="J2853" t="inlineStr"/>
      <c r="K2853" t="inlineStr"/>
      <c r="L2853" t="inlineStr"/>
      <c r="M2853" t="inlineStr"/>
      <c r="N2853" t="inlineStr"/>
      <c r="O2853">
        <f>(1-Summary!$B$11)*S2853+Summary!$B$11*U2853</f>
        <v/>
      </c>
      <c r="P2853">
        <f>IF(B2868=0,0,O2853/B2868)</f>
        <v/>
      </c>
      <c r="Q2853">
        <f>IFERROR(1/(IF(Inputs!$B$38="pvp",15,MAX(0.1,Skills!D22-IF(TRUE=TRUE,3.5,0)))*(1-IF(AND(ArtifactsInput!$M$27,Inputs!$B$4="Chapter Hunt"),CHOOSE(ArtifactsInput!$N$27+1,20,24,28,32,36,40),0)/100)),0)</f>
        <v/>
      </c>
      <c r="R2853" t="n">
        <v>0</v>
      </c>
      <c r="S2853" t="n">
        <v>0</v>
      </c>
      <c r="U2853" t="n">
        <v>0</v>
      </c>
    </row>
    <row r="2854">
      <c r="A2854">
        <f>Skills!A23</f>
        <v/>
      </c>
      <c r="B2854">
        <f>Skills!B23</f>
        <v/>
      </c>
      <c r="C2854">
        <f>Inputs!$B$3&gt;=120</f>
        <v/>
      </c>
      <c r="D2854">
        <f>IF(Skills!C23=1,60+Inputs!$B$25+Inputs!$B$29,IF(Skills!C23=2,90+Inputs!$B$26+Inputs!$B$29,IF(Skills!C23=3,120+Inputs!$B$27+Inputs!$B$29,MAX(0,(Inputs!$B$3-100)*3)+Inputs!$B$28+Inputs!$B$29)))</f>
        <v/>
      </c>
      <c r="E2854">
        <f>INDEX(FactorTable!$B$2:$Y$301, MATCH(ROUND(MIN(300,MAX(1,D2854)),0), FactorTable!$A$2:$A$301,0), Skills!L23+1)</f>
        <v/>
      </c>
      <c r="F2854">
        <f>IF(Skills!M23=TRUE,(Skills!K23/10)*(E2854/1000),Skills!K23/10)+Skills!N23</f>
        <v/>
      </c>
      <c r="G2854">
        <f>Calc!G23</f>
        <v/>
      </c>
      <c r="H2854">
        <f>Calc!H23</f>
        <v/>
      </c>
      <c r="I2854">
        <f>IF(Skills!T23&lt;&gt;"",1+(Skills!T23/10)*(Z2834/1000)/100,1)</f>
        <v/>
      </c>
      <c r="J2854" t="inlineStr"/>
      <c r="K2854" t="inlineStr"/>
      <c r="L2854" t="inlineStr"/>
      <c r="M2854" t="inlineStr"/>
      <c r="N2854" t="inlineStr"/>
      <c r="O2854">
        <f>(1-Summary!$B$11)*S2854+Summary!$B$11*U2854</f>
        <v/>
      </c>
      <c r="P2854">
        <f>IF(B2868=0,0,O2854/B2868)</f>
        <v/>
      </c>
      <c r="Q2854">
        <f>IFERROR(1/(IF(Inputs!$B$38="pvp",15,MAX(0.1,Skills!D23-IF(TRUE=TRUE,3.5,0)))*(1-IF(AND(ArtifactsInput!$M$27,Inputs!$B$4="Chapter Hunt"),CHOOSE(ArtifactsInput!$N$27+1,20,24,28,32,36,40),0)/100)),0)</f>
        <v/>
      </c>
      <c r="R2854" t="n">
        <v>0</v>
      </c>
      <c r="S2854" t="n">
        <v>0</v>
      </c>
      <c r="U2854" t="n">
        <v>0</v>
      </c>
    </row>
    <row r="2855">
      <c r="A2855">
        <f>Skills!A24</f>
        <v/>
      </c>
      <c r="B2855">
        <f>Skills!B24</f>
        <v/>
      </c>
      <c r="C2855">
        <f>TRUE</f>
        <v/>
      </c>
      <c r="D2855">
        <f>IF(Skills!C24=1,60+Inputs!$B$25+Inputs!$B$29,IF(Skills!C24=2,90+Inputs!$B$26+Inputs!$B$29,IF(Skills!C24=3,120+Inputs!$B$27+Inputs!$B$29,MAX(0,(Inputs!$B$3-100)*3)+Inputs!$B$28+Inputs!$B$29)))</f>
        <v/>
      </c>
      <c r="E2855">
        <f>INDEX(FactorTable!$B$2:$Y$301, MATCH(ROUND(MIN(300,MAX(1,D2855)),0), FactorTable!$A$2:$A$301,0), Skills!L24+1)</f>
        <v/>
      </c>
      <c r="F2855">
        <f>IF(Skills!M24=TRUE,(Skills!K24/10)*(E2855/1000),Skills!K24/10)+Skills!N24</f>
        <v/>
      </c>
      <c r="G2855">
        <f>Calc!G24</f>
        <v/>
      </c>
      <c r="H2855">
        <f>Calc!H24</f>
        <v/>
      </c>
      <c r="I2855">
        <f>IF(Skills!T24&lt;&gt;"",1+(Skills!T24/10)*(Z2834/1000)/100,1)</f>
        <v/>
      </c>
      <c r="J2855" t="inlineStr"/>
      <c r="K2855" t="inlineStr"/>
      <c r="L2855" t="inlineStr"/>
      <c r="M2855" t="inlineStr"/>
      <c r="N2855" t="inlineStr"/>
      <c r="O2855">
        <f>(1-Summary!$B$11)*S2855+Summary!$B$11*U2855</f>
        <v/>
      </c>
      <c r="P2855">
        <f>IF(B2868=0,0,O2855/B2868)</f>
        <v/>
      </c>
      <c r="Q2855">
        <f>IFERROR(1/(IF(Inputs!$B$38="pvp",15,MAX(0.1,Skills!D24-IF(TRUE=TRUE,3.5,0)))*(1-IF(AND(ArtifactsInput!$M$27,Inputs!$B$4="Chapter Hunt"),CHOOSE(ArtifactsInput!$N$27+1,20,24,28,32,36,40),0)/100)),0)</f>
        <v/>
      </c>
      <c r="R2855">
        <f>IF(AND(Inputs!$B$38&lt;&gt;"pvp",Inputs!$B$43&gt;0),IF(Inputs!$B$43&lt;=0,0,(INT(Inputs!$B$43/(IF(Inputs!$B$38="pvp",15,MAX(0.1,Skills!D24-IF(TRUE=TRUE,3.5,0)))*(1-IF(AND(ArtifactsInput!$M$27,Inputs!$B$4="Chapter Hunt"),CHOOSE(ArtifactsInput!$N$27+1,20,24,28,32,36,40),0)/100)))+1)),0)</f>
        <v/>
      </c>
      <c r="S2855" t="n">
        <v>0</v>
      </c>
      <c r="U2855" t="n">
        <v>0</v>
      </c>
    </row>
    <row r="2858">
      <c r="A2858" t="inlineStr">
        <is>
          <t>Average Buff Multiplier (Magic Guard + Meditation + Artifact Attack%, summed; then Infinity)</t>
        </is>
      </c>
      <c r="B2858">
        <f>(1+(IF(C2834=TRUE,F2834*IF(AND(Inputs!$B$38&lt;&gt;"pvp",Inputs!$B$43&gt;0),(((R2834-1)*MIN((Skills!S3*(1+(Inputs!$B$34)/100)),(1/Q2834))+MIN((Skills!S3*(1+(Inputs!$B$34)/100)),MAX(0,Inputs!$B$43-((R2834-1)*(1/Q2834)))))/Inputs!$B$43),IF(Inputs!$B$38="pvp",MIN((Skills!S3*(1+(Inputs!$B$34)/100)),15)/15,MIN(1,(Skills!S3*(1+(Inputs!$B$34)/100))/(1/Q2834)))),0)+IF(C2835=TRUE,F2835*IF(AND(Inputs!$B$38&lt;&gt;"pvp",Inputs!$B$43&gt;0),(((R2835-1)*MIN((Skills!S4*(1+(Inputs!$B$34)/100)),(1/Q2835))+MIN((Skills!S4*(1+(Inputs!$B$34)/100)),MAX(0,Inputs!$B$43-((R2835-1)*(1/Q2835)))))/Inputs!$B$43),IF(Inputs!$B$38="pvp",MIN((Skills!S4*(1+(Inputs!$B$34)/100)),15)/15,MIN(1,(Skills!S4*(1+(Inputs!$B$34)/100))/(1/Q2835)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2847=TRUE,(1+F2847*IF(AND(Inputs!$B$38&lt;&gt;"pvp",Inputs!$B$43&gt;0),(((R2847-1)*MIN((Skills!S16*(1+(Inputs!$B$34)/100)),(1/Q2847))+MIN((Skills!S16*(1+(Inputs!$B$34)/100)),MAX(0,Inputs!$B$43-((R2847-1)*(1/Q2847)))))/Inputs!$B$43),IF(Inputs!$B$38="pvp",MIN((Skills!S16*(1+(Inputs!$B$34)/100)),15)/15,MIN(1,(Skills!S16*(1+(Inputs!$B$34)/100))/(1/Q2847))))/100),1)</f>
        <v/>
      </c>
    </row>
    <row r="2859">
      <c r="A2859" t="inlineStr">
        <is>
          <t>Monster Damage Taken Bonus % (Freezing Breath - Weaken + Elemental Reset + Artifact Enemy Damage Taken, summed)</t>
        </is>
      </c>
      <c r="B2859">
        <f>IF(Inputs!$B$3&gt;=118,15*IF(Inputs!$B$38="pvp",MIN((30*(1+(Inputs!$B$34)/100)),15)/15,MIN(1,(30*(1+(Inputs!$B$34)/100))/(1/Q2839))),0)+IF(C2845=TRUE,F2845,0)+(IF(AND(ArtifactsInput!$M$35,Inputs!$B$4&lt;&gt;"Chapter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f>
        <v/>
      </c>
    </row>
    <row r="2860">
      <c r="A2860" t="inlineStr">
        <is>
          <t>Damage % Bonus (Frozen Break + Frost Clutch, flat)</t>
        </is>
      </c>
      <c r="B2860">
        <f>IF(Inputs!$B$3&gt;=66,15,0)+IF(Inputs!$B$3&gt;=98,10,0)+IF(Inputs!$B$3&gt;=125,20,0)</f>
        <v/>
      </c>
    </row>
    <row r="2861">
      <c r="A2861" t="inlineStr">
        <is>
          <t>Attack Speed Bonus % (MP Eater - MP Boost, always-on + Nimble Feet, duty-cycle averaged)</t>
        </is>
      </c>
      <c r="B2861">
        <f>IF(C2844=TRUE,F2844+(F2848-Calc!F17),0)+((C2855=TRUE)*F2855*IF(AND(Inputs!$B$38&lt;&gt;"pvp",Inputs!$B$43&gt;0),(((R2855-1)*MIN((Skills!S24*(1+(Inputs!$B$34)/100)),(1/Q2855))+MIN((Skills!S24*(1+(Inputs!$B$34)/100)),MAX(0,Inputs!$B$43-((R2855-1)*(1/Q2855)))))/Inputs!$B$43),IF(Inputs!$B$38="pvp",MIN((Skills!S24*(1+(Inputs!$B$34)/100)),15)/15,MIN(1,(Skills!S24*(1+(Inputs!$B$34)/100))/(1/Q2855)))))</f>
        <v/>
      </c>
    </row>
    <row r="2862">
      <c r="A2862" t="inlineStr">
        <is>
          <t>Actions Per Second</t>
        </is>
      </c>
      <c r="B2862">
        <f>1+MIN(150,150*(1-(1-(Inputs!$B$11+(ArtifactsInput!$M$15-ArtifactsInput!$M$15)*CHOOSE(ArtifactsInput!$N$15+1,8,9.6,11.2,12.8,14.4,16))/150)*(1-B2861/150)))/100</f>
        <v/>
      </c>
    </row>
    <row r="2863">
      <c r="A2863" t="inlineStr">
        <is>
          <t>Skill + Buff Cast Rate</t>
        </is>
      </c>
      <c r="B2863">
        <f>IF(AND(Inputs!$B$38&lt;&gt;"pvp",Inputs!$B$43&gt;0),SUMPRODUCT((Skills!E2:E24=TRUE)*(C2833:C2855=TRUE)*R2833:R2855)/Inputs!$B$43,SUMPRODUCT((Skills!E2:E24=TRUE)*(C2833:C2855=TRUE)*Q2833:Q2855))</f>
        <v/>
      </c>
    </row>
    <row r="2864">
      <c r="A2864" t="inlineStr">
        <is>
          <t>Chain Lightning Casts Per Second</t>
        </is>
      </c>
      <c r="B2864">
        <f>MAX(0,B2862-B2863)</f>
        <v/>
      </c>
    </row>
    <row r="2865">
      <c r="A2865" t="inlineStr">
        <is>
          <t>Buff-Casting Startup Delay (s, fixed-duration only)</t>
        </is>
      </c>
      <c r="B2865">
        <f>IF(AND(Inputs!$B$38&lt;&gt;"pvp",Inputs!$B$43&gt;0),SUMPRODUCT((Skills!S2:S24&gt;0)*(Skills!E2:E24=TRUE)*(C2833:C2855=TRUE))/B2862,0)</f>
        <v/>
      </c>
    </row>
    <row r="2866">
      <c r="A2866" t="inlineStr">
        <is>
          <t>Boss-Only Total DPS (this block's swept value)</t>
        </is>
      </c>
      <c r="B2866">
        <f>SUM(S2833:S2855)</f>
        <v/>
      </c>
    </row>
    <row r="2867">
      <c r="A2867" t="inlineStr">
        <is>
          <t>Normal-Only Total DPS (this block's swept value)</t>
        </is>
      </c>
      <c r="B2867">
        <f>SUM(U2833:U2855)</f>
        <v/>
      </c>
    </row>
    <row r="2868">
      <c r="A2868" s="6" t="inlineStr">
        <is>
          <t>TOTAL DPS</t>
        </is>
      </c>
      <c r="B2868" s="6">
        <f>SUM(O2833:O2855)</f>
        <v/>
      </c>
    </row>
    <row r="2869">
      <c r="A2869" t="inlineStr">
        <is>
          <t>Blizzard Final Attack trigger rate (this block's own Q/R)</t>
        </is>
      </c>
      <c r="B2869">
        <f>IF(AND(Inputs!$B$38&lt;&gt;"pvp",Inputs!$B$43&gt;0),(((C2836=TRUE)*R2836*1)+((C2837=TRUE)*R2837*1)+((C2839=TRUE)*R2839*1)+((C2840=TRUE)*R2840*3)+((C2842=TRUE)*R2842*1))/Inputs!$B$43,((C2836=TRUE)*Q2836*1)+((C2837=TRUE)*Q2837*1)+((C2839=TRUE)*Q2839*1)+((C2840=TRUE)*Q2840*3)+((C2842=TRUE)*Q2842*1))+B2864</f>
        <v/>
      </c>
    </row>
    <row r="2872">
      <c r="A2872" s="6" t="inlineStr">
        <is>
          <t>Stat: CDR = 4.0s</t>
        </is>
      </c>
    </row>
    <row r="2873">
      <c r="A2873" s="5" t="inlineStr">
        <is>
          <t>Key</t>
        </is>
      </c>
      <c r="B2873" s="5" t="inlineStr">
        <is>
          <t>Name</t>
        </is>
      </c>
      <c r="C2873" s="5" t="inlineStr">
        <is>
          <t>Unlocked</t>
        </is>
      </c>
      <c r="D2873" s="5" t="inlineStr">
        <is>
          <t>InputLevel</t>
        </is>
      </c>
      <c r="E2873" s="5" t="inlineStr">
        <is>
          <t>Factor</t>
        </is>
      </c>
      <c r="F2873" s="5" t="inlineStr">
        <is>
          <t>CoefficientPercent</t>
        </is>
      </c>
      <c r="G2873" s="5" t="inlineStr">
        <is>
          <t>EffectiveHits</t>
        </is>
      </c>
      <c r="H2873" s="5" t="inlineStr">
        <is>
          <t>ProcProbability</t>
        </is>
      </c>
      <c r="I2873" s="5" t="inlineStr">
        <is>
          <t>MapleHeroMultiplier</t>
        </is>
      </c>
      <c r="J2873" s="5" t="inlineStr">
        <is>
          <t>BaseDamage</t>
        </is>
      </c>
      <c r="K2873" s="5" t="inlineStr">
        <is>
          <t>BaseHitDamage</t>
        </is>
      </c>
      <c r="L2873" s="5" t="inlineStr">
        <is>
          <t>NonCritAvg</t>
        </is>
      </c>
      <c r="M2873" s="5" t="inlineStr">
        <is>
          <t>CritAvg</t>
        </is>
      </c>
      <c r="N2873" s="5" t="inlineStr">
        <is>
          <t>ExpectedDamage(perHit)</t>
        </is>
      </c>
      <c r="O2873" s="5" t="inlineStr">
        <is>
          <t>DPS</t>
        </is>
      </c>
      <c r="P2873" s="5" t="inlineStr">
        <is>
          <t>% of Total</t>
        </is>
      </c>
      <c r="R2873" t="inlineStr">
        <is>
          <t>helpers</t>
        </is>
      </c>
    </row>
    <row r="2874">
      <c r="A2874">
        <f>Skills!A2</f>
        <v/>
      </c>
      <c r="B2874">
        <f>Skills!B2</f>
        <v/>
      </c>
      <c r="C2874">
        <f>Inputs!$B$3&gt;=100</f>
        <v/>
      </c>
      <c r="D2874" t="inlineStr"/>
      <c r="E2874" t="inlineStr"/>
      <c r="F2874">
        <f>T2876+Skills!N2</f>
        <v/>
      </c>
      <c r="G2874">
        <f>Calc!G2</f>
        <v/>
      </c>
      <c r="H2874">
        <f>Calc!H2</f>
        <v/>
      </c>
      <c r="I2874">
        <f>IF(Skills!T2&lt;&gt;"",1+(Skills!T2/10)*(Z2875/1000)/100,1)</f>
        <v/>
      </c>
      <c r="J2874">
        <f>((Inputs!$B$6*(1+Inputs!$B$7/100))+(((Inputs!$B$12*(1+Inputs!$B$13/100))-(Inputs!$B$12*(1+Inputs!$B$13/100)))+0.25*(Inputs!$B$14-Inputs!$B$14))*(1+Inputs!$B$7/100))*(F2874/100)</f>
        <v/>
      </c>
      <c r="K2874">
        <f>J2874*(1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2="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2874)</f>
        <v/>
      </c>
      <c r="L2874">
        <f>K2874*(MIN(Inputs!$B$22+(F2890-Calc!F18),(Inputs!$B$23+(IF(ArtifactsInput!$M$15,CHOOSE(ArtifactsInput!$N$15+1,25,30,35,40,45,50)/100*(Inputs!$B$11-Inputs!$B$11),0))))/100+(Inputs!$B$23+(IF(ArtifactsInput!$M$15,CHOOSE(ArtifactsInput!$N$15+1,25,30,35,40,45,50)/100*(Inputs!$B$11-Inputs!$B$11),0)))/100)/2</f>
        <v/>
      </c>
      <c r="M2874">
        <f>L2874*(1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4">
        <f>L2874*(1-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2874*(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4">
        <f>(1-Summary!$B$11)*S2874+Summary!$B$11*U2874</f>
        <v/>
      </c>
      <c r="P2874">
        <f>IF(B2909=0,0,O2874/B2909)</f>
        <v/>
      </c>
      <c r="Q2874">
        <f>IFERROR(1/(IF(Inputs!$B$38="pvp",15,MAX(0.1,Skills!D2-IF(TRUE=TRUE,4.0,0)))*(1-IF(AND(ArtifactsInput!$M$27,Inputs!$B$4="Chapter Hunt"),CHOOSE(ArtifactsInput!$N$27+1,20,24,28,32,36,40),0)/100)),0)</f>
        <v/>
      </c>
      <c r="R2874" t="n">
        <v>0</v>
      </c>
      <c r="S2874">
        <f>IF(C2874,(Skills!F2*N2874*B2905)*IF(Inputs!$B$38="pvp",1,1+(Inputs!$B$20+Skills!O2+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2874*(1-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2874*(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2874*(1-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2874*(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874">
        <f>MAX(0,(Inputs!$B$3-100)*3)+Inputs!$B$28+Inputs!$B$29</f>
        <v/>
      </c>
      <c r="U2874">
        <f>IF(C2874,(Skills!F2*N2874*B2905)*IF(Inputs!$B$38="pvp",1,(1+(Inputs!$B$21+Skills!P2+B2900+(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874">
        <f>MAX(0,(Inputs!$B$3-100)*3)+Inputs!$B$28+Inputs!$B$29</f>
        <v/>
      </c>
    </row>
    <row r="2875">
      <c r="A2875">
        <f>Skills!A3</f>
        <v/>
      </c>
      <c r="B2875">
        <f>Skills!B3</f>
        <v/>
      </c>
      <c r="C2875">
        <f>Inputs!$B$3&gt;=15</f>
        <v/>
      </c>
      <c r="D2875">
        <f>IF(Skills!C3=1,60+Inputs!$B$25+Inputs!$B$29,IF(Skills!C3=2,90+Inputs!$B$26+Inputs!$B$29,IF(Skills!C3=3,120+Inputs!$B$27+Inputs!$B$29,MAX(0,(Inputs!$B$3-100)*3)+Inputs!$B$28+Inputs!$B$29)))</f>
        <v/>
      </c>
      <c r="E2875">
        <f>INDEX(FactorTable!$B$2:$Y$301, MATCH(ROUND(MIN(300,MAX(1,D2875)),0), FactorTable!$A$2:$A$301,0), Skills!L3+1)</f>
        <v/>
      </c>
      <c r="F2875">
        <f>IF(Skills!M3=TRUE,(Skills!K3/10)*(E2875/1000),Skills!K3/10)+Skills!N3</f>
        <v/>
      </c>
      <c r="G2875">
        <f>Calc!G3</f>
        <v/>
      </c>
      <c r="H2875">
        <f>Calc!H3</f>
        <v/>
      </c>
      <c r="I2875">
        <f>IF(Skills!T3&lt;&gt;"",1+(Skills!T3/10)*(Z2875/1000)/100,1)</f>
        <v/>
      </c>
      <c r="J2875" t="inlineStr"/>
      <c r="K2875" t="inlineStr"/>
      <c r="L2875" t="inlineStr"/>
      <c r="M2875" t="inlineStr"/>
      <c r="N2875" t="inlineStr"/>
      <c r="O2875">
        <f>(1-Summary!$B$11)*S2875+Summary!$B$11*U2875</f>
        <v/>
      </c>
      <c r="P2875">
        <f>IF(B2909=0,0,O2875/B2909)</f>
        <v/>
      </c>
      <c r="Q2875">
        <f>IFERROR(1/(IF(Inputs!$B$38="pvp",15,MAX(0.1,Skills!D3-IF(TRUE=TRUE,4.0,0)))*(1-IF(AND(ArtifactsInput!$M$27,Inputs!$B$4="Chapter Hunt"),CHOOSE(ArtifactsInput!$N$27+1,20,24,28,32,36,40),0)/100)),0)</f>
        <v/>
      </c>
      <c r="R2875">
        <f>IF(AND(Inputs!$B$38&lt;&gt;"pvp",Inputs!$B$43&gt;0),IF(Inputs!$B$43&lt;=0,0,(INT(Inputs!$B$43/(IF(Inputs!$B$38="pvp",15,MAX(0.1,Skills!D3-IF(TRUE=TRUE,4.0,0)))*(1-IF(AND(ArtifactsInput!$M$27,Inputs!$B$4="Chapter Hunt"),CHOOSE(ArtifactsInput!$N$27+1,20,24,28,32,36,40),0)/100)))+1)),0)</f>
        <v/>
      </c>
      <c r="S2875" t="n">
        <v>0</v>
      </c>
      <c r="T2875">
        <f>INDEX(FactorTable!$B$2:$Y$301, MATCH(ROUND(MIN(300,MAX(1,T2874)),0), FactorTable!$A$2:$A$301,0), 22)</f>
        <v/>
      </c>
      <c r="U2875" t="n">
        <v>0</v>
      </c>
      <c r="Z2875">
        <f>INDEX(FactorTable!$B$2:$Y$301, MATCH(ROUND(MIN(300,MAX(1,Z2874)),0), FactorTable!$A$2:$A$301,0), 24)</f>
        <v/>
      </c>
    </row>
    <row r="2876">
      <c r="A2876">
        <f>Skills!A4</f>
        <v/>
      </c>
      <c r="B2876">
        <f>Skills!B4</f>
        <v/>
      </c>
      <c r="C2876">
        <f>Inputs!$B$3&gt;=40</f>
        <v/>
      </c>
      <c r="D2876">
        <f>IF(Skills!C4=1,60+Inputs!$B$25+Inputs!$B$29,IF(Skills!C4=2,90+Inputs!$B$26+Inputs!$B$29,IF(Skills!C4=3,120+Inputs!$B$27+Inputs!$B$29,MAX(0,(Inputs!$B$3-100)*3)+Inputs!$B$28+Inputs!$B$29)))</f>
        <v/>
      </c>
      <c r="E2876">
        <f>INDEX(FactorTable!$B$2:$Y$301, MATCH(ROUND(MIN(300,MAX(1,D2876)),0), FactorTable!$A$2:$A$301,0), Skills!L4+1)</f>
        <v/>
      </c>
      <c r="F2876">
        <f>IF(Skills!M4=TRUE,(Skills!K4/10)*(E2876/1000),Skills!K4/10)+Skills!N4</f>
        <v/>
      </c>
      <c r="G2876">
        <f>Calc!G4</f>
        <v/>
      </c>
      <c r="H2876">
        <f>Calc!H4</f>
        <v/>
      </c>
      <c r="I2876">
        <f>IF(Skills!T4&lt;&gt;"",1+(Skills!T4/10)*(Z2875/1000)/100,1)</f>
        <v/>
      </c>
      <c r="J2876" t="inlineStr"/>
      <c r="K2876" t="inlineStr"/>
      <c r="L2876" t="inlineStr"/>
      <c r="M2876" t="inlineStr"/>
      <c r="N2876" t="inlineStr"/>
      <c r="O2876">
        <f>(1-Summary!$B$11)*S2876+Summary!$B$11*U2876</f>
        <v/>
      </c>
      <c r="P2876">
        <f>IF(B2909=0,0,O2876/B2909)</f>
        <v/>
      </c>
      <c r="Q2876">
        <f>IFERROR(1/(IF(Inputs!$B$38="pvp",15,MAX(0.1,Skills!D4-IF(TRUE=TRUE,4.0,0)))*(1-IF(AND(ArtifactsInput!$M$27,Inputs!$B$4="Chapter Hunt"),CHOOSE(ArtifactsInput!$N$27+1,20,24,28,32,36,40),0)/100)),0)</f>
        <v/>
      </c>
      <c r="R2876">
        <f>IF(AND(Inputs!$B$38&lt;&gt;"pvp",Inputs!$B$43&gt;0),IF(Inputs!$B$43&lt;=0,0,(INT(Inputs!$B$43/(IF(Inputs!$B$38="pvp",15,MAX(0.1,Skills!D4-IF(TRUE=TRUE,4.0,0)))*(1-IF(AND(ArtifactsInput!$M$27,Inputs!$B$4="Chapter Hunt"),CHOOSE(ArtifactsInput!$N$27+1,20,24,28,32,36,40),0)/100)))+1)),0)</f>
        <v/>
      </c>
      <c r="S2876" t="n">
        <v>0</v>
      </c>
      <c r="T2876">
        <f>290*T2875/1000</f>
        <v/>
      </c>
      <c r="U2876" t="n">
        <v>0</v>
      </c>
    </row>
    <row r="2877">
      <c r="A2877">
        <f>Skills!A5</f>
        <v/>
      </c>
      <c r="B2877">
        <f>Skills!B5</f>
        <v/>
      </c>
      <c r="C2877">
        <f>Inputs!$B$3&gt;=38</f>
        <v/>
      </c>
      <c r="D2877">
        <f>IF(Skills!C5=1,60+Inputs!$B$25+Inputs!$B$29,IF(Skills!C5=2,90+Inputs!$B$26+Inputs!$B$29,IF(Skills!C5=3,120+Inputs!$B$27+Inputs!$B$29,MAX(0,(Inputs!$B$3-100)*3)+Inputs!$B$28+Inputs!$B$29)))</f>
        <v/>
      </c>
      <c r="E2877">
        <f>INDEX(FactorTable!$B$2:$Y$301, MATCH(ROUND(MIN(300,MAX(1,D2877)),0), FactorTable!$A$2:$A$301,0), Skills!L5+1)</f>
        <v/>
      </c>
      <c r="F2877">
        <f>IF(Skills!M5=TRUE,(Skills!K5/10)*(E2877/1000),Skills!K5/10)+Skills!N5</f>
        <v/>
      </c>
      <c r="G2877">
        <f>Calc!G5</f>
        <v/>
      </c>
      <c r="H2877">
        <f>Calc!H5</f>
        <v/>
      </c>
      <c r="I2877">
        <f>IF(Skills!T5&lt;&gt;"",1+(Skills!T5/10)*(Z2875/1000)/100,1)</f>
        <v/>
      </c>
      <c r="J2877">
        <f>((Inputs!$B$6*(1+Inputs!$B$7/100))+(((Inputs!$B$12*(1+Inputs!$B$13/100))-(Inputs!$B$12*(1+Inputs!$B$13/100)))+0.25*(Inputs!$B$14-Inputs!$B$14))*(1+Inputs!$B$7/100))*(F2877/100)</f>
        <v/>
      </c>
      <c r="K2877">
        <f>J2877*(1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5="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2877)</f>
        <v/>
      </c>
      <c r="L2877">
        <f>K2877*(MIN(Inputs!$B$22+(F2890-Calc!F18),(Inputs!$B$23+(IF(ArtifactsInput!$M$15,CHOOSE(ArtifactsInput!$N$15+1,25,30,35,40,45,50)/100*(Inputs!$B$11-Inputs!$B$11),0))))/100+(Inputs!$B$23+(IF(ArtifactsInput!$M$15,CHOOSE(ArtifactsInput!$N$15+1,25,30,35,40,45,50)/100*(Inputs!$B$11-Inputs!$B$11),0)))/100)/2</f>
        <v/>
      </c>
      <c r="M2877">
        <f>L2877*(1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7">
        <f>L2877*(1-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2877*(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7">
        <f>(1-Summary!$B$11)*S2877+Summary!$B$11*U2877</f>
        <v/>
      </c>
      <c r="P2877">
        <f>IF(B2909=0,0,O2877/B2909)</f>
        <v/>
      </c>
      <c r="Q2877">
        <f>IFERROR(1/(IF(Inputs!$B$38="pvp",15,MAX(0.1,Skills!D5-IF(TRUE=TRUE,4.0,0)))*(1-IF(AND(ArtifactsInput!$M$27,Inputs!$B$4="Chapter Hunt"),CHOOSE(ArtifactsInput!$N$27+1,20,24,28,32,36,40),0)/100)),0)</f>
        <v/>
      </c>
      <c r="R2877">
        <f>IF(AND(Inputs!$B$38&lt;&gt;"pvp",Inputs!$B$43&gt;0),IF(MAX(0,Inputs!$B$43-B2906)&lt;=0,0,(INT(MAX(0,Inputs!$B$43-B2906)/(IF(Inputs!$B$38="pvp",15,MAX(0.1,Skills!D5-IF(TRUE=TRUE,4.0,0)))*(1-IF(AND(ArtifactsInput!$M$27,Inputs!$B$4="Chapter Hunt"),CHOOSE(ArtifactsInput!$N$27+1,20,24,28,32,36,40),0)/100)))+1)),0)</f>
        <v/>
      </c>
      <c r="S2877">
        <f>IF(C2877,(H2877*N2877*IF(AND(Inputs!$B$38&lt;&gt;"pvp",Inputs!$B$43&gt;0),((Skills!F5*((R2877-1)*IF(Skills!G5&gt;0,Skills!H5/Skills!G5,1)+IF(Skills!G5&gt;0,MIN(Skills!H5,MAX(0,MAX(0,Inputs!$B$43-B2906)-((R2877-1)*(IF(Inputs!$B$38="pvp",15,MAX(0.1,Skills!D5-IF(TRUE=TRUE,4.0,0)))*(1-IF(AND(ArtifactsInput!$M$27,Inputs!$B$4="Chapter Hunt"),CHOOSE(ArtifactsInput!$N$27+1,20,24,28,32,36,40),0)/100)))))/Skills!G5,1)))/Inputs!$B$43),G2877*Q2877))*IF(Inputs!$B$38="pvp",1,1+(Inputs!$B$20+Skills!O5+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2877*(1-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2877*(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2877*(1-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2877*(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7">
        <f>IF(C2877,(H2877*N2877*IF(AND(Inputs!$B$38&lt;&gt;"pvp",Inputs!$B$43&gt;0),((Skills!F5*((R2877-1)*IF(Skills!G5&gt;0,Skills!H5/Skills!G5,1)+IF(Skills!G5&gt;0,MIN(Skills!H5,MAX(0,MAX(0,Inputs!$B$43-B2906)-((R2877-1)*(IF(Inputs!$B$38="pvp",15,MAX(0.1,Skills!D5-IF(TRUE=TRUE,4.0,0)))*(1-IF(AND(ArtifactsInput!$M$27,Inputs!$B$4="Chapter Hunt"),CHOOSE(ArtifactsInput!$N$27+1,20,24,28,32,36,40),0)/100)))))/Skills!G5,1)))/Inputs!$B$43),G2877*Q2877))*IF(Inputs!$B$38="pvp",1,(1+(Inputs!$B$21+Skills!P5+B2900+(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8">
      <c r="A2878">
        <f>Skills!A6</f>
        <v/>
      </c>
      <c r="B2878">
        <f>Skills!B6</f>
        <v/>
      </c>
      <c r="C2878">
        <f>Inputs!$B$3&gt;=63</f>
        <v/>
      </c>
      <c r="D2878">
        <f>IF(Skills!C6=1,60+Inputs!$B$25+Inputs!$B$29,IF(Skills!C6=2,90+Inputs!$B$26+Inputs!$B$29,IF(Skills!C6=3,120+Inputs!$B$27+Inputs!$B$29,MAX(0,(Inputs!$B$3-100)*3)+Inputs!$B$28+Inputs!$B$29)))</f>
        <v/>
      </c>
      <c r="E2878">
        <f>INDEX(FactorTable!$B$2:$Y$301, MATCH(ROUND(MIN(300,MAX(1,D2878)),0), FactorTable!$A$2:$A$301,0), Skills!L6+1)</f>
        <v/>
      </c>
      <c r="F2878">
        <f>IF(Skills!M6=TRUE,(Skills!K6/10)*(E2878/1000),Skills!K6/10)+Skills!N6</f>
        <v/>
      </c>
      <c r="G2878">
        <f>Calc!G6</f>
        <v/>
      </c>
      <c r="H2878">
        <f>Calc!H6</f>
        <v/>
      </c>
      <c r="I2878">
        <f>IF(Skills!T6&lt;&gt;"",1+(Skills!T6/10)*(Z2875/1000)/100,1)</f>
        <v/>
      </c>
      <c r="J2878">
        <f>((Inputs!$B$6*(1+Inputs!$B$7/100))+(((Inputs!$B$12*(1+Inputs!$B$13/100))-(Inputs!$B$12*(1+Inputs!$B$13/100)))+0.25*(Inputs!$B$14-Inputs!$B$14))*(1+Inputs!$B$7/100))*(F2878/100)</f>
        <v/>
      </c>
      <c r="K2878">
        <f>J2878*(1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6="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2878)</f>
        <v/>
      </c>
      <c r="L2878">
        <f>K2878*(MIN(Inputs!$B$22+(F2890-Calc!F18),(Inputs!$B$23+(IF(ArtifactsInput!$M$15,CHOOSE(ArtifactsInput!$N$15+1,25,30,35,40,45,50)/100*(Inputs!$B$11-Inputs!$B$11),0))))/100+(Inputs!$B$23+(IF(ArtifactsInput!$M$15,CHOOSE(ArtifactsInput!$N$15+1,25,30,35,40,45,50)/100*(Inputs!$B$11-Inputs!$B$11),0)))/100)/2</f>
        <v/>
      </c>
      <c r="M2878">
        <f>L2878*(1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8">
        <f>L2878*(1-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2878*(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8">
        <f>(1-Summary!$B$11)*S2878+Summary!$B$11*U2878</f>
        <v/>
      </c>
      <c r="P2878">
        <f>IF(B2909=0,0,O2878/B2909)</f>
        <v/>
      </c>
      <c r="Q2878">
        <f>IFERROR(1/(IF(Inputs!$B$38="pvp",15,MAX(0.1,Skills!D6-IF(TRUE=TRUE,4.0,0)))*(1-IF(AND(ArtifactsInput!$M$27,Inputs!$B$4="Chapter Hunt"),CHOOSE(ArtifactsInput!$N$27+1,20,24,28,32,36,40),0)/100)),0)</f>
        <v/>
      </c>
      <c r="R2878">
        <f>IF(AND(Inputs!$B$38&lt;&gt;"pvp",Inputs!$B$43&gt;0),IF(MAX(0,Inputs!$B$43-B2906)&lt;=0,0,(INT(MAX(0,Inputs!$B$43-B2906)/(IF(Inputs!$B$38="pvp",15,MAX(0.1,Skills!D6-IF(TRUE=TRUE,4.0,0)))*(1-IF(AND(ArtifactsInput!$M$27,Inputs!$B$4="Chapter Hunt"),CHOOSE(ArtifactsInput!$N$27+1,20,24,28,32,36,40),0)/100)))+1)),0)</f>
        <v/>
      </c>
      <c r="S2878">
        <f>IF(C2878,(H2878*N2878*IF(AND(Inputs!$B$38&lt;&gt;"pvp",Inputs!$B$43&gt;0),((Skills!F6*((R2878-1)*IF(Skills!G6&gt;0,Skills!H6/Skills!G6,1)+IF(Skills!G6&gt;0,MIN(Skills!H6,MAX(0,MAX(0,Inputs!$B$43-B2906)-((R2878-1)*(IF(Inputs!$B$38="pvp",15,MAX(0.1,Skills!D6-IF(TRUE=TRUE,4.0,0)))*(1-IF(AND(ArtifactsInput!$M$27,Inputs!$B$4="Chapter Hunt"),CHOOSE(ArtifactsInput!$N$27+1,20,24,28,32,36,40),0)/100)))))/Skills!G6,1)))/Inputs!$B$43),G2878*Q2878))*IF(Inputs!$B$38="pvp",1,1+(Inputs!$B$20+Skills!O6+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2878*(1-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2878*(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2878*(1-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2878*(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8">
        <f>IF(C2878,(H2878*N2878*IF(AND(Inputs!$B$38&lt;&gt;"pvp",Inputs!$B$43&gt;0),((Skills!F6*((R2878-1)*IF(Skills!G6&gt;0,Skills!H6/Skills!G6,1)+IF(Skills!G6&gt;0,MIN(Skills!H6,MAX(0,MAX(0,Inputs!$B$43-B2906)-((R2878-1)*(IF(Inputs!$B$38="pvp",15,MAX(0.1,Skills!D6-IF(TRUE=TRUE,4.0,0)))*(1-IF(AND(ArtifactsInput!$M$27,Inputs!$B$4="Chapter Hunt"),CHOOSE(ArtifactsInput!$N$27+1,20,24,28,32,36,40),0)/100)))))/Skills!G6,1)))/Inputs!$B$43),G2878*Q2878))*IF(Inputs!$B$38="pvp",1,(1+(Inputs!$B$21+Skills!P6+B2900+(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9">
      <c r="A2879">
        <f>Skills!A7</f>
        <v/>
      </c>
      <c r="B2879">
        <f>Skills!B7</f>
        <v/>
      </c>
      <c r="C2879">
        <f>Inputs!$B$3&gt;=69</f>
        <v/>
      </c>
      <c r="D2879">
        <f>IF(Skills!C7=1,60+Inputs!$B$25+Inputs!$B$29,IF(Skills!C7=2,90+Inputs!$B$26+Inputs!$B$29,IF(Skills!C7=3,120+Inputs!$B$27+Inputs!$B$29,MAX(0,(Inputs!$B$3-100)*3)+Inputs!$B$28+Inputs!$B$29)))</f>
        <v/>
      </c>
      <c r="E2879">
        <f>INDEX(FactorTable!$B$2:$Y$301, MATCH(ROUND(MIN(300,MAX(1,D2879)),0), FactorTable!$A$2:$A$301,0), Skills!L7+1)</f>
        <v/>
      </c>
      <c r="F2879">
        <f>IF(Skills!M7=TRUE,(Skills!K7/10)*(E2879/1000),Skills!K7/10)+Skills!N7</f>
        <v/>
      </c>
      <c r="G2879">
        <f>Calc!G7</f>
        <v/>
      </c>
      <c r="H2879">
        <f>Calc!H7</f>
        <v/>
      </c>
      <c r="I2879">
        <f>IF(Skills!T7&lt;&gt;"",1+(Skills!T7/10)*(Z2875/1000)/100,1)</f>
        <v/>
      </c>
      <c r="J2879">
        <f>((Inputs!$B$6*(1+Inputs!$B$7/100))+(((Inputs!$B$12*(1+Inputs!$B$13/100))-(Inputs!$B$12*(1+Inputs!$B$13/100)))+0.25*(Inputs!$B$14-Inputs!$B$14))*(1+Inputs!$B$7/100))*(F2879/100)</f>
        <v/>
      </c>
      <c r="K2879">
        <f>J2879*(1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7="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2879)</f>
        <v/>
      </c>
      <c r="L2879">
        <f>K2879*(MIN(Inputs!$B$22+(F2890-Calc!F18),(Inputs!$B$23+(IF(ArtifactsInput!$M$15,CHOOSE(ArtifactsInput!$N$15+1,25,30,35,40,45,50)/100*(Inputs!$B$11-Inputs!$B$11),0))))/100+(Inputs!$B$23+(IF(ArtifactsInput!$M$15,CHOOSE(ArtifactsInput!$N$15+1,25,30,35,40,45,50)/100*(Inputs!$B$11-Inputs!$B$11),0)))/100)/2</f>
        <v/>
      </c>
      <c r="M2879">
        <f>L2879*(1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9">
        <f>L2879*(1-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2879*(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9">
        <f>(1-Summary!$B$11)*S2879+Summary!$B$11*U2879</f>
        <v/>
      </c>
      <c r="P2879">
        <f>IF(B2909=0,0,O2879/B2909)</f>
        <v/>
      </c>
      <c r="Q2879">
        <f>IFERROR(1/(IF(Inputs!$B$38="pvp",15,MAX(0.1,Skills!D7-IF(TRUE=TRUE,4.0,0)))*(1-IF(AND(ArtifactsInput!$M$27,Inputs!$B$4="Chapter Hunt"),CHOOSE(ArtifactsInput!$N$27+1,20,24,28,32,36,40),0)/100)),0)</f>
        <v/>
      </c>
      <c r="R2879">
        <f>IF(AND(Inputs!$B$38&lt;&gt;"pvp",Inputs!$B$43&gt;0),IF(MAX(0,Inputs!$B$43-B2906)&lt;=0,0,(INT(MAX(0,Inputs!$B$43-B2906)/(IF(Inputs!$B$38="pvp",15,MAX(0.1,Skills!D7-IF(TRUE=TRUE,4.0,0)))*(1-IF(AND(ArtifactsInput!$M$27,Inputs!$B$4="Chapter Hunt"),CHOOSE(ArtifactsInput!$N$27+1,20,24,28,32,36,40),0)/100)))+1)),0)</f>
        <v/>
      </c>
      <c r="S2879">
        <f>IF(C2879,(H2879*N2879*IF(AND(Inputs!$B$38&lt;&gt;"pvp",Inputs!$B$43&gt;0),((Skills!F7*((R2879-1)*IF(Skills!G7&gt;0,Skills!H7/Skills!G7,1)+IF(Skills!G7&gt;0,MIN(Skills!H7,MAX(0,MAX(0,Inputs!$B$43-B2906)-((R2879-1)*(IF(Inputs!$B$38="pvp",15,MAX(0.1,Skills!D7-IF(TRUE=TRUE,4.0,0)))*(1-IF(AND(ArtifactsInput!$M$27,Inputs!$B$4="Chapter Hunt"),CHOOSE(ArtifactsInput!$N$27+1,20,24,28,32,36,40),0)/100)))))/Skills!G7,1)))/Inputs!$B$43),G2879*Q2879))*IF(Inputs!$B$38="pvp",1,1+(Inputs!$B$20+Skills!O7+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2879*(1-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2879*(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2879*(1-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2879*(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9">
        <f>IF(C2879,(H2879*N2879*IF(AND(Inputs!$B$38&lt;&gt;"pvp",Inputs!$B$43&gt;0),((Skills!F7*((R2879-1)*IF(Skills!G7&gt;0,Skills!H7/Skills!G7,1)+IF(Skills!G7&gt;0,MIN(Skills!H7,MAX(0,MAX(0,Inputs!$B$43-B2906)-((R2879-1)*(IF(Inputs!$B$38="pvp",15,MAX(0.1,Skills!D7-IF(TRUE=TRUE,4.0,0)))*(1-IF(AND(ArtifactsInput!$M$27,Inputs!$B$4="Chapter Hunt"),CHOOSE(ArtifactsInput!$N$27+1,20,24,28,32,36,40),0)/100)))))/Skills!G7,1)))/Inputs!$B$43),G2879*Q2879))*IF(Inputs!$B$38="pvp",1,(1+(Inputs!$B$21+Skills!P7+B2900+(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0">
      <c r="A2880">
        <f>Skills!A8</f>
        <v/>
      </c>
      <c r="B2880">
        <f>Skills!B8</f>
        <v/>
      </c>
      <c r="C2880">
        <f>Inputs!$B$3&gt;=103</f>
        <v/>
      </c>
      <c r="D2880">
        <f>IF(Skills!C8=1,60+Inputs!$B$25+Inputs!$B$29,IF(Skills!C8=2,90+Inputs!$B$26+Inputs!$B$29,IF(Skills!C8=3,120+Inputs!$B$27+Inputs!$B$29,MAX(0,(Inputs!$B$3-100)*3)+Inputs!$B$28+Inputs!$B$29)))</f>
        <v/>
      </c>
      <c r="E2880">
        <f>INDEX(FactorTable!$B$2:$Y$301, MATCH(ROUND(MIN(300,MAX(1,D2880)),0), FactorTable!$A$2:$A$301,0), Skills!L8+1)</f>
        <v/>
      </c>
      <c r="F2880">
        <f>IF(Skills!M8=TRUE,(Skills!K8/10)*(E2880/1000),Skills!K8/10)+Skills!N8</f>
        <v/>
      </c>
      <c r="G2880">
        <f>Calc!G8</f>
        <v/>
      </c>
      <c r="H2880">
        <f>Calc!H8</f>
        <v/>
      </c>
      <c r="I2880">
        <f>IF(Skills!T8&lt;&gt;"",1+(Skills!T8/10)*(Z2875/1000)/100,1)</f>
        <v/>
      </c>
      <c r="J2880">
        <f>((Inputs!$B$6*(1+Inputs!$B$7/100))+(((Inputs!$B$12*(1+Inputs!$B$13/100))-(Inputs!$B$12*(1+Inputs!$B$13/100)))+0.25*(Inputs!$B$14-Inputs!$B$14))*(1+Inputs!$B$7/100))*(F2880/100)</f>
        <v/>
      </c>
      <c r="K2880">
        <f>J2880*(1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8="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2880)</f>
        <v/>
      </c>
      <c r="L2880">
        <f>K2880*(MIN(Inputs!$B$22+(F2890-Calc!F18),(Inputs!$B$23+(IF(ArtifactsInput!$M$15,CHOOSE(ArtifactsInput!$N$15+1,25,30,35,40,45,50)/100*(Inputs!$B$11-Inputs!$B$11),0))))/100+(Inputs!$B$23+(IF(ArtifactsInput!$M$15,CHOOSE(ArtifactsInput!$N$15+1,25,30,35,40,45,50)/100*(Inputs!$B$11-Inputs!$B$11),0)))/100)/2</f>
        <v/>
      </c>
      <c r="M2880">
        <f>L2880*(1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0">
        <f>L2880*(1-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2880*(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0">
        <f>(1-Summary!$B$11)*S2880+Summary!$B$11*U2880</f>
        <v/>
      </c>
      <c r="P2880">
        <f>IF(B2909=0,0,O2880/B2909)</f>
        <v/>
      </c>
      <c r="Q2880">
        <f>IFERROR(1/(IF(Inputs!$B$38="pvp",15,MAX(0.1,Skills!D8-IF(TRUE=TRUE,4.0,0)))*(1-IF(AND(ArtifactsInput!$M$27,Inputs!$B$4="Chapter Hunt"),CHOOSE(ArtifactsInput!$N$27+1,20,24,28,32,36,40),0)/100)),0)</f>
        <v/>
      </c>
      <c r="R2880">
        <f>IF(AND(Inputs!$B$38&lt;&gt;"pvp",Inputs!$B$43&gt;0),IF(MAX(0,Inputs!$B$43-B2906)&lt;=0,0,(INT(MAX(0,Inputs!$B$43-B2906)/(IF(Inputs!$B$38="pvp",15,MAX(0.1,Skills!D8-IF(TRUE=TRUE,4.0,0)))*(1-IF(AND(ArtifactsInput!$M$27,Inputs!$B$4="Chapter Hunt"),CHOOSE(ArtifactsInput!$N$27+1,20,24,28,32,36,40),0)/100)))+1)),0)</f>
        <v/>
      </c>
      <c r="S2880">
        <f>IF(C2880,(H2880*N2880*IF(AND(Inputs!$B$38&lt;&gt;"pvp",Inputs!$B$43&gt;0),((Skills!F8*((R2880-1)*IF(Skills!G8&gt;0,Skills!H8/Skills!G8,1)+IF(Skills!G8&gt;0,MIN(Skills!H8,MAX(0,MAX(0,Inputs!$B$43-B2906)-((R2880-1)*(IF(Inputs!$B$38="pvp",15,MAX(0.1,Skills!D8-IF(TRUE=TRUE,4.0,0)))*(1-IF(AND(ArtifactsInput!$M$27,Inputs!$B$4="Chapter Hunt"),CHOOSE(ArtifactsInput!$N$27+1,20,24,28,32,36,40),0)/100)))))/Skills!G8,1)))/Inputs!$B$43),G2880*Q2880))*IF(Inputs!$B$38="pvp",1,1+(Inputs!$B$20+Skills!O8+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2880*(1-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2880*(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2880*(1-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2880*(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0">
        <f>IF(C2880,(H2880*N2880*IF(AND(Inputs!$B$38&lt;&gt;"pvp",Inputs!$B$43&gt;0),((Skills!F8*((R2880-1)*IF(Skills!G8&gt;0,Skills!H8/Skills!G8,1)+IF(Skills!G8&gt;0,MIN(Skills!H8,MAX(0,MAX(0,Inputs!$B$43-B2906)-((R2880-1)*(IF(Inputs!$B$38="pvp",15,MAX(0.1,Skills!D8-IF(TRUE=TRUE,4.0,0)))*(1-IF(AND(ArtifactsInput!$M$27,Inputs!$B$4="Chapter Hunt"),CHOOSE(ArtifactsInput!$N$27+1,20,24,28,32,36,40),0)/100)))))/Skills!G8,1)))/Inputs!$B$43),G2880*Q2880))*IF(Inputs!$B$38="pvp",1,(1+(Inputs!$B$21+Skills!P8+B2900+(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1">
      <c r="A2881">
        <f>Skills!A9</f>
        <v/>
      </c>
      <c r="B2881">
        <f>Skills!B9</f>
        <v/>
      </c>
      <c r="C2881">
        <f>Inputs!$B$3&gt;=105</f>
        <v/>
      </c>
      <c r="D2881">
        <f>IF(Skills!C9=1,60+Inputs!$B$25+Inputs!$B$29,IF(Skills!C9=2,90+Inputs!$B$26+Inputs!$B$29,IF(Skills!C9=3,120+Inputs!$B$27+Inputs!$B$29,MAX(0,(Inputs!$B$3-100)*3)+Inputs!$B$28+Inputs!$B$29)))</f>
        <v/>
      </c>
      <c r="E2881">
        <f>INDEX(FactorTable!$B$2:$Y$301, MATCH(ROUND(MIN(300,MAX(1,D2881)),0), FactorTable!$A$2:$A$301,0), Skills!L9+1)</f>
        <v/>
      </c>
      <c r="F2881">
        <f>IF(Skills!M9=TRUE,(Skills!K9/10)*(E2881/1000),Skills!K9/10)+Skills!N9</f>
        <v/>
      </c>
      <c r="G2881">
        <f>Calc!G9</f>
        <v/>
      </c>
      <c r="H2881">
        <f>Calc!H9</f>
        <v/>
      </c>
      <c r="I2881">
        <f>IF(Skills!T9&lt;&gt;"",1+(Skills!T9/10)*(Z2875/1000)/100,1)</f>
        <v/>
      </c>
      <c r="J2881">
        <f>((Inputs!$B$6*(1+Inputs!$B$7/100))+(((Inputs!$B$12*(1+Inputs!$B$13/100))-(Inputs!$B$12*(1+Inputs!$B$13/100)))+0.25*(Inputs!$B$14-Inputs!$B$14))*(1+Inputs!$B$7/100))*(F2881/100)</f>
        <v/>
      </c>
      <c r="K2881">
        <f>J2881*(1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9="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2881)</f>
        <v/>
      </c>
      <c r="L2881">
        <f>K2881*(MIN(Inputs!$B$22+(F2890-Calc!F18),(Inputs!$B$23+(IF(ArtifactsInput!$M$15,CHOOSE(ArtifactsInput!$N$15+1,25,30,35,40,45,50)/100*(Inputs!$B$11-Inputs!$B$11),0))))/100+(Inputs!$B$23+(IF(ArtifactsInput!$M$15,CHOOSE(ArtifactsInput!$N$15+1,25,30,35,40,45,50)/100*(Inputs!$B$11-Inputs!$B$11),0)))/100)/2</f>
        <v/>
      </c>
      <c r="M2881">
        <f>L2881*(1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1">
        <f>L2881*(1-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1">
        <f>(1-Summary!$B$11)*S2881+Summary!$B$11*U2881</f>
        <v/>
      </c>
      <c r="P2881">
        <f>IF(B2909=0,0,O2881/B2909)</f>
        <v/>
      </c>
      <c r="Q2881">
        <f>IFERROR(1/(IF(Inputs!$B$38="pvp",15,MAX(0.1,Skills!D9-IF(TRUE=TRUE,4.0,0)))*(1-IF(AND(ArtifactsInput!$M$27,Inputs!$B$4="Chapter Hunt"),CHOOSE(ArtifactsInput!$N$27+1,20,24,28,32,36,40),0)/100)),0)</f>
        <v/>
      </c>
      <c r="R2881">
        <f>IF(AND(Inputs!$B$38&lt;&gt;"pvp",Inputs!$B$43&gt;0),IF(MAX(0,Inputs!$B$43-B2906)&lt;=0,0,(INT(MAX(0,Inputs!$B$43-B2906)/(IF(Inputs!$B$38="pvp",15,MAX(0.1,Skills!D9-IF(TRUE=TRUE,4.0,0)))*(1-IF(AND(ArtifactsInput!$M$27,Inputs!$B$4="Chapter Hunt"),CHOOSE(ArtifactsInput!$N$27+1,20,24,28,32,36,40),0)/100)))+1)),0)</f>
        <v/>
      </c>
      <c r="S2881">
        <f>IF(C2881,(H2881*N2881*IF(AND(Inputs!$B$38&lt;&gt;"pvp",Inputs!$B$43&gt;0),((Skills!F9*((R2881-1)*IF(Skills!G9&gt;0,Skills!H9/Skills!G9,1)+IF(Skills!G9&gt;0,MIN(Skills!H9,MAX(0,MAX(0,Inputs!$B$43-B2906)-((R2881-1)*(IF(Inputs!$B$38="pvp",15,MAX(0.1,Skills!D9-IF(TRUE=TRUE,4.0,0)))*(1-IF(AND(ArtifactsInput!$M$27,Inputs!$B$4="Chapter Hunt"),CHOOSE(ArtifactsInput!$N$27+1,20,24,28,32,36,40),0)/100)))))/Skills!G9,1)))/Inputs!$B$43),G2881*Q2881))*IF(Inputs!$B$38="pvp",1,1+(Inputs!$B$20+Skills!O9+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2881*(1-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2881*(1-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1">
        <f>IF(C2881,(H2881*N2881*IF(AND(Inputs!$B$38&lt;&gt;"pvp",Inputs!$B$43&gt;0),((Skills!F9*((R2881-1)*IF(Skills!G9&gt;0,Skills!H9/Skills!G9,1)+IF(Skills!G9&gt;0,MIN(Skills!H9,MAX(0,MAX(0,Inputs!$B$43-B2906)-((R2881-1)*(IF(Inputs!$B$38="pvp",15,MAX(0.1,Skills!D9-IF(TRUE=TRUE,4.0,0)))*(1-IF(AND(ArtifactsInput!$M$27,Inputs!$B$4="Chapter Hunt"),CHOOSE(ArtifactsInput!$N$27+1,20,24,28,32,36,40),0)/100)))))/Skills!G9,1)))/Inputs!$B$43),G2881*Q2881))*IF(Inputs!$B$38="pvp",1,(1+(Inputs!$B$21+Skills!P9+B2900+(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2">
      <c r="A2882">
        <f>Skills!A10</f>
        <v/>
      </c>
      <c r="B2882">
        <f>Skills!B10</f>
        <v/>
      </c>
      <c r="C2882">
        <f>Inputs!$B$3&gt;=113</f>
        <v/>
      </c>
      <c r="D2882">
        <f>IF(Skills!C10=1,60+Inputs!$B$25+Inputs!$B$29,IF(Skills!C10=2,90+Inputs!$B$26+Inputs!$B$29,IF(Skills!C10=3,120+Inputs!$B$27+Inputs!$B$29,MAX(0,(Inputs!$B$3-100)*3)+Inputs!$B$28+Inputs!$B$29)))</f>
        <v/>
      </c>
      <c r="E2882">
        <f>INDEX(FactorTable!$B$2:$Y$301, MATCH(ROUND(MIN(300,MAX(1,D2882)),0), FactorTable!$A$2:$A$301,0), Skills!L10+1)</f>
        <v/>
      </c>
      <c r="F2882">
        <f>IF(Skills!M10=TRUE,(Skills!K10/10)*(E2882/1000),Skills!K10/10)+Skills!N10</f>
        <v/>
      </c>
      <c r="G2882">
        <f>Calc!G10</f>
        <v/>
      </c>
      <c r="H2882">
        <f>Calc!H10</f>
        <v/>
      </c>
      <c r="I2882">
        <f>IF(Skills!T10&lt;&gt;"",1+(Skills!T10/10)*(Z2875/1000)/100,1)</f>
        <v/>
      </c>
      <c r="J2882">
        <f>((Inputs!$B$6*(1+Inputs!$B$7/100))+(((Inputs!$B$12*(1+Inputs!$B$13/100))-(Inputs!$B$12*(1+Inputs!$B$13/100)))+0.25*(Inputs!$B$14-Inputs!$B$14))*(1+Inputs!$B$7/100))*(F2882/100)</f>
        <v/>
      </c>
      <c r="K2882">
        <f>J2882*(1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10="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2882)</f>
        <v/>
      </c>
      <c r="L2882">
        <f>K2882*(MIN(Inputs!$B$22+(F2890-Calc!F18),(Inputs!$B$23+(IF(ArtifactsInput!$M$15,CHOOSE(ArtifactsInput!$N$15+1,25,30,35,40,45,50)/100*(Inputs!$B$11-Inputs!$B$11),0))))/100+(Inputs!$B$23+(IF(ArtifactsInput!$M$15,CHOOSE(ArtifactsInput!$N$15+1,25,30,35,40,45,50)/100*(Inputs!$B$11-Inputs!$B$11),0)))/100)/2</f>
        <v/>
      </c>
      <c r="M2882">
        <f>L2882*(1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2">
        <f>L2882*(1-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2882*(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2">
        <f>(1-Summary!$B$11)*S2882+Summary!$B$11*U2882</f>
        <v/>
      </c>
      <c r="P2882">
        <f>IF(B2909=0,0,O2882/B2909)</f>
        <v/>
      </c>
      <c r="Q2882">
        <f>IFERROR(1/(IF(Inputs!$B$38="pvp",15,MAX(0.1,Skills!D10-IF(TRUE=TRUE,4.0,0)))*(1-IF(AND(ArtifactsInput!$M$27,Inputs!$B$4="Chapter Hunt"),CHOOSE(ArtifactsInput!$N$27+1,20,24,28,32,36,40),0)/100)),0)</f>
        <v/>
      </c>
      <c r="R2882" t="n">
        <v>0</v>
      </c>
      <c r="S2882">
        <f>IF(C2882,((H2882*B2910)/(1+Skills!G10*H2882*B2910)*N2882)*IF(Inputs!$B$38="pvp",1,1+(Inputs!$B$20+Skills!O10+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2882*(1-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2882*(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2882*(1-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2882*(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2">
        <f>IF(C2882,((H2882*B2910)/(1+Skills!G10*H2882*B2910)*N2882)*IF(Inputs!$B$38="pvp",1,(1+(Inputs!$B$21+Skills!P10+B2900+(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3">
      <c r="A2883">
        <f>Skills!A11</f>
        <v/>
      </c>
      <c r="B2883">
        <f>Skills!B11</f>
        <v/>
      </c>
      <c r="C2883">
        <f>Inputs!$B$3&gt;=107</f>
        <v/>
      </c>
      <c r="D2883">
        <f>IF(Skills!C11=1,60+Inputs!$B$25+Inputs!$B$29,IF(Skills!C11=2,90+Inputs!$B$26+Inputs!$B$29,IF(Skills!C11=3,120+Inputs!$B$27+Inputs!$B$29,MAX(0,(Inputs!$B$3-100)*3)+Inputs!$B$28+Inputs!$B$29)))</f>
        <v/>
      </c>
      <c r="E2883">
        <f>INDEX(FactorTable!$B$2:$Y$301, MATCH(ROUND(MIN(300,MAX(1,D2883)),0), FactorTable!$A$2:$A$301,0), Skills!L11+1)</f>
        <v/>
      </c>
      <c r="F2883">
        <f>IF(Skills!M11=TRUE,(Skills!K11/10)*(E2883/1000),Skills!K11/10)+Skills!N11</f>
        <v/>
      </c>
      <c r="G2883">
        <f>Calc!G11</f>
        <v/>
      </c>
      <c r="H2883">
        <f>Calc!H11</f>
        <v/>
      </c>
      <c r="I2883">
        <f>IF(Skills!T11&lt;&gt;"",1+(Skills!T11/10)*(Z2875/1000)/100,1)</f>
        <v/>
      </c>
      <c r="J2883">
        <f>((Inputs!$B$6*(1+Inputs!$B$7/100))+(((Inputs!$B$12*(1+Inputs!$B$13/100))-(Inputs!$B$12*(1+Inputs!$B$13/100)))+0.25*(Inputs!$B$14-Inputs!$B$14))*(1+Inputs!$B$7/100))*(F2883/100)</f>
        <v/>
      </c>
      <c r="K2883">
        <f>J2883*(1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11="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2883)</f>
        <v/>
      </c>
      <c r="L2883">
        <f>K2883*(MIN(Inputs!$B$22+(F2890-Calc!F18),(Inputs!$B$23+(IF(ArtifactsInput!$M$15,CHOOSE(ArtifactsInput!$N$15+1,25,30,35,40,45,50)/100*(Inputs!$B$11-Inputs!$B$11),0))))/100+(Inputs!$B$23+(IF(ArtifactsInput!$M$15,CHOOSE(ArtifactsInput!$N$15+1,25,30,35,40,45,50)/100*(Inputs!$B$11-Inputs!$B$11),0)))/100)/2</f>
        <v/>
      </c>
      <c r="M2883">
        <f>L2883*(1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3">
        <f>L2883*(1-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2883*(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3">
        <f>(1-Summary!$B$11)*S2883+Summary!$B$11*U2883</f>
        <v/>
      </c>
      <c r="P2883">
        <f>IF(B2909=0,0,O2883/B2909)</f>
        <v/>
      </c>
      <c r="Q2883">
        <f>IFERROR(1/(IF(Inputs!$B$38="pvp",15,MAX(0.1,Skills!D11-IF(TRUE=TRUE,4.0,0)))*(1-IF(AND(ArtifactsInput!$M$27,Inputs!$B$4="Chapter Hunt"),CHOOSE(ArtifactsInput!$N$27+1,20,24,28,32,36,40),0)/100)),0)</f>
        <v/>
      </c>
      <c r="R2883">
        <f>IF(AND(Inputs!$B$38&lt;&gt;"pvp",Inputs!$B$43&gt;0),IF(MAX(0,Inputs!$B$43-B2906)&lt;=0,0,(INT(MAX(0,Inputs!$B$43-B2906)/(IF(Inputs!$B$38="pvp",15,MAX(0.1,Skills!D11-IF(TRUE=TRUE,4.0,0)))*(1-IF(AND(ArtifactsInput!$M$27,Inputs!$B$4="Chapter Hunt"),CHOOSE(ArtifactsInput!$N$27+1,20,24,28,32,36,40),0)/100)))+1)),0)</f>
        <v/>
      </c>
      <c r="S2883">
        <f>IF(C2883,H2883*N2883*IF(AND(Inputs!$B$38&lt;&gt;"pvp",Inputs!$B$43&gt;0),((Skills!F11*((R2883-1)*IF(Skills!G11&gt;0,Skills!H11/Skills!G11,1)+IF(Skills!G11&gt;0,MIN(Skills!H11,MAX(0,MAX(0,Inputs!$B$43-B2906)-((R2883-1)*(IF(Inputs!$B$38="pvp",15,MAX(0.1,Skills!D11-IF(TRUE=TRUE,4.0,0)))*(1-IF(AND(ArtifactsInput!$M$27,Inputs!$B$4="Chapter Hunt"),CHOOSE(ArtifactsInput!$N$27+1,20,24,28,32,36,40),0)/100)))))/Skills!G11,1)))/Inputs!$B$43),G2883*Q2883)*0.5*IF(Inputs!$B$38="pvp",1,1+(Inputs!$B$20+Skills!O11+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2883*(1-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2883*(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2883*(1-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2883*(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3">
        <f>IF(C2883,H2883*N2883*IF(AND(Inputs!$B$38&lt;&gt;"pvp",Inputs!$B$43&gt;0),((Skills!F11*((R2883-1)*IF(Skills!G11&gt;0,Skills!H11/Skills!G11,1)+IF(Skills!G11&gt;0,MIN(Skills!H11,MAX(0,MAX(0,Inputs!$B$43-B2906)-((R2883-1)*(IF(Inputs!$B$38="pvp",15,MAX(0.1,Skills!D11-IF(TRUE=TRUE,4.0,0)))*(1-IF(AND(ArtifactsInput!$M$27,Inputs!$B$4="Chapter Hunt"),CHOOSE(ArtifactsInput!$N$27+1,20,24,28,32,36,40),0)/100)))))/Skills!G11,1)))/Inputs!$B$43),G2883*Q2883)*1*IF(Inputs!$B$38="pvp",1,(1+(Inputs!$B$21+Skills!P11+B2900+(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4">
      <c r="A2884">
        <f>Skills!A12</f>
        <v/>
      </c>
      <c r="B2884">
        <f>Skills!B12</f>
        <v/>
      </c>
      <c r="C2884">
        <f>Inputs!$B$3&gt;=115</f>
        <v/>
      </c>
      <c r="D2884">
        <f>IF(Skills!C12=1,60+Inputs!$B$25+Inputs!$B$29,IF(Skills!C12=2,90+Inputs!$B$26+Inputs!$B$29,IF(Skills!C12=3,120+Inputs!$B$27+Inputs!$B$29,MAX(0,(Inputs!$B$3-100)*3)+Inputs!$B$28+Inputs!$B$29)))</f>
        <v/>
      </c>
      <c r="E2884">
        <f>INDEX(FactorTable!$B$2:$Y$301, MATCH(ROUND(MIN(300,MAX(1,D2884)),0), FactorTable!$A$2:$A$301,0), Skills!L12+1)</f>
        <v/>
      </c>
      <c r="F2884">
        <f>IF(Skills!M12=TRUE,(Skills!K12/10)*(E2884/1000),Skills!K12/10)+Skills!N12</f>
        <v/>
      </c>
      <c r="G2884">
        <f>Calc!G12</f>
        <v/>
      </c>
      <c r="H2884">
        <f>Calc!H12</f>
        <v/>
      </c>
      <c r="I2884">
        <f>IF(Skills!T12&lt;&gt;"",1+(Skills!T12/10)*(Z2875/1000)/100,1)</f>
        <v/>
      </c>
      <c r="J2884">
        <f>((Inputs!$B$6*(1+Inputs!$B$7/100))+(((Inputs!$B$12*(1+Inputs!$B$13/100))-(Inputs!$B$12*(1+Inputs!$B$13/100)))+0.25*(Inputs!$B$14-Inputs!$B$14))*(1+Inputs!$B$7/100))*(F2884/100)</f>
        <v/>
      </c>
      <c r="K2884">
        <f>J2884*(1+((Inputs!$B$12*(1+Inputs!$B$13/100))*0.01+Inputs!$B$14*0.0025)/100)*(1+(Inputs!$B$15+B2901)/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2887=TRUE,F2887,0)/100)*(1+IF(C2895=TRUE,F2895,0)/100)^5*(1+(IF(Skills!A12="CHAIN_LIGHTNING",Inputs!$B$17+((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2899*(1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2884)</f>
        <v/>
      </c>
      <c r="L2884">
        <f>K2884*(MIN(Inputs!$B$22+(F2890-Calc!F18),(Inputs!$B$23+(IF(ArtifactsInput!$M$15,CHOOSE(ArtifactsInput!$N$15+1,25,30,35,40,45,50)/100*(Inputs!$B$11-Inputs!$B$11),0))))/100+(Inputs!$B$23+(IF(ArtifactsInput!$M$15,CHOOSE(ArtifactsInput!$N$15+1,25,30,35,40,45,50)/100*(Inputs!$B$11-Inputs!$B$11),0)))/100)/2</f>
        <v/>
      </c>
      <c r="M2884">
        <f>L2884*(1+(Inputs!$B$10+(F2893-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4">
        <f>L2884*(1-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2884*(MIN((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4">
        <f>(1-Summary!$B$11)*S2884+Summary!$B$11*U2884</f>
        <v/>
      </c>
      <c r="P2884">
        <f>IF(B2909=0,0,O2884/B2909)</f>
        <v/>
      </c>
      <c r="Q2884">
        <f>IFERROR(1/(IF(Inputs!$B$38="pvp",15,MAX(0.1,Skills!D12-IF(TRUE=TRUE,4.0,0)))*(1-IF(AND(ArtifactsInput!$M$27,Inputs!$B$4="Chapter Hunt"),CHOOSE(ArtifactsInput!$N$27+1,20,24,28,32,36,40),0)/100)),0)</f>
        <v/>
      </c>
      <c r="R2884">
        <f>IF(AND(Inputs!$B$38&lt;&gt;"pvp",Inputs!$B$43&gt;0),IF(MAX(0,Inputs!$B$43-B2906)&lt;=0,0,(INT(MAX(0,Inputs!$B$43-B2906)/(IF(Inputs!$B$38="pvp",15,MAX(0.1,Skills!D12-IF(TRUE=TRUE,4.0,0)))*(1-IF(AND(ArtifactsInput!$M$27,Inputs!$B$4="Chapter Hunt"),CHOOSE(ArtifactsInput!$N$27+1,20,24,28,32,36,40),0)/100)))+1)),0)</f>
        <v/>
      </c>
      <c r="S2884">
        <f>IF(C2884,(H2884*N2884*IF(AND(Inputs!$B$38&lt;&gt;"pvp",Inputs!$B$43&gt;0),((Skills!F12*((R2884-1)*IF(Skills!G12&gt;0,Skills!H12/Skills!G12,1)+IF(Skills!G12&gt;0,MIN(Skills!H12,MAX(0,MAX(0,Inputs!$B$43-B2906)-((R2884-1)*(IF(Inputs!$B$38="pvp",15,MAX(0.1,Skills!D12-IF(TRUE=TRUE,4.0,0)))*(1-IF(AND(ArtifactsInput!$M$27,Inputs!$B$4="Chapter Hunt"),CHOOSE(ArtifactsInput!$N$27+1,20,24,28,32,36,40),0)/100)))))/Skills!G12,1)))/Inputs!$B$43),G2884*Q2884))*IF(Inputs!$B$38="pvp",1,1+(Inputs!$B$20+Skills!O12+B2900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2884*(1-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2884*(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2884*(1-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2884*(MIN(100,(Inputs!$B$9+((F2892-Calc!F20)+(F2891-Calc!F19))+(ArtifactsInput!$M$24-ArtifactsInput!$M$24)*CHOOSE(ArtifactsInput!$N$24+1,10,12,14,16,18,20)+(IF(AND(Inputs!$B$38&lt;&gt;"pvp",Inputs!$B$43=0),1,IF(IF(Inputs!$B$38="pvp",15,Inputs!$B$43)-(B2906)&lt;=0,1,MAX(0,IF(Inputs!$B$38="pvp",15,Inputs!$B$43)-MAX(5,B2906))/(IF(Inputs!$B$38="pvp",15,Inputs!$B$43)-(B2906))))*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84">
        <f>IF(C2884,(H2884*N2884*IF(AND(Inputs!$B$38&lt;&gt;"pvp",Inputs!$B$43&gt;0),((Skills!F12*((R2884-1)*IF(Skills!G12&gt;0,Skills!H12/Skills!G12,1)+IF(Skills!G12&gt;0,MIN(Skills!H12,MAX(0,MAX(0,Inputs!$B$43-B2906)-((R2884-1)*(IF(Inputs!$B$38="pvp",15,MAX(0.1,Skills!D12-IF(TRUE=TRUE,4.0,0)))*(1-IF(AND(ArtifactsInput!$M$27,Inputs!$B$4="Chapter Hunt"),CHOOSE(ArtifactsInput!$N$27+1,20,24,28,32,36,40),0)/100)))))/Skills!G12,1)))/Inputs!$B$43),G2884*Q2884))*IF(Inputs!$B$38="pvp",1,(1+(Inputs!$B$21+Skills!P12+B2900+(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5">
      <c r="A2885">
        <f>Skills!A13</f>
        <v/>
      </c>
      <c r="B2885">
        <f>Skills!B13</f>
        <v/>
      </c>
      <c r="C2885">
        <f>Inputs!$B$3&gt;=49</f>
        <v/>
      </c>
      <c r="D2885">
        <f>IF(Skills!C13=1,60+Inputs!$B$25+Inputs!$B$29,IF(Skills!C13=2,90+Inputs!$B$26+Inputs!$B$29,IF(Skills!C13=3,120+Inputs!$B$27+Inputs!$B$29,MAX(0,(Inputs!$B$3-100)*3)+Inputs!$B$28+Inputs!$B$29)))</f>
        <v/>
      </c>
      <c r="E2885">
        <f>INDEX(FactorTable!$B$2:$Y$301, MATCH(ROUND(MIN(300,MAX(1,D2885)),0), FactorTable!$A$2:$A$301,0), Skills!L13+1)</f>
        <v/>
      </c>
      <c r="F2885">
        <f>IF(Skills!M13=TRUE,(Skills!K13/10)*(E2885/1000),Skills!K13/10)+Skills!N13</f>
        <v/>
      </c>
      <c r="G2885">
        <f>Calc!G13</f>
        <v/>
      </c>
      <c r="H2885">
        <f>Calc!H13</f>
        <v/>
      </c>
      <c r="I2885">
        <f>IF(Skills!T13&lt;&gt;"",1+(Skills!T13/10)*(Z2875/1000)/100,1)</f>
        <v/>
      </c>
      <c r="J2885" t="inlineStr"/>
      <c r="K2885" t="inlineStr"/>
      <c r="L2885" t="inlineStr"/>
      <c r="M2885" t="inlineStr"/>
      <c r="N2885" t="inlineStr"/>
      <c r="O2885">
        <f>(1-Summary!$B$11)*S2885+Summary!$B$11*U2885</f>
        <v/>
      </c>
      <c r="P2885">
        <f>IF(B2909=0,0,O2885/B2909)</f>
        <v/>
      </c>
      <c r="Q2885">
        <f>IFERROR(1/(IF(Inputs!$B$38="pvp",15,MAX(0.1,Skills!D13-IF(TRUE=TRUE,4.0,0)))*(1-IF(AND(ArtifactsInput!$M$27,Inputs!$B$4="Chapter Hunt"),CHOOSE(ArtifactsInput!$N$27+1,20,24,28,32,36,40),0)/100)),0)</f>
        <v/>
      </c>
      <c r="R2885" t="n">
        <v>0</v>
      </c>
      <c r="S2885" t="n">
        <v>0</v>
      </c>
      <c r="U2885" t="n">
        <v>0</v>
      </c>
    </row>
    <row r="2886">
      <c r="A2886">
        <f>Skills!A14</f>
        <v/>
      </c>
      <c r="B2886">
        <f>Skills!B14</f>
        <v/>
      </c>
      <c r="C2886">
        <f>Inputs!$B$3&gt;=72</f>
        <v/>
      </c>
      <c r="D2886">
        <f>IF(Skills!C14=1,60+Inputs!$B$25+Inputs!$B$29,IF(Skills!C14=2,90+Inputs!$B$26+Inputs!$B$29,IF(Skills!C14=3,120+Inputs!$B$27+Inputs!$B$29,MAX(0,(Inputs!$B$3-100)*3)+Inputs!$B$28+Inputs!$B$29)))</f>
        <v/>
      </c>
      <c r="E2886">
        <f>INDEX(FactorTable!$B$2:$Y$301, MATCH(ROUND(MIN(300,MAX(1,D2886)),0), FactorTable!$A$2:$A$301,0), Skills!L14+1)</f>
        <v/>
      </c>
      <c r="F2886">
        <f>IF(Skills!M14=TRUE,(Skills!K14/10)*(E2886/1000),Skills!K14/10)+Skills!N14</f>
        <v/>
      </c>
      <c r="G2886">
        <f>Calc!G14</f>
        <v/>
      </c>
      <c r="H2886">
        <f>Calc!H14</f>
        <v/>
      </c>
      <c r="I2886">
        <f>IF(Skills!T14&lt;&gt;"",1+(Skills!T14/10)*(Z2875/1000)/100,1)</f>
        <v/>
      </c>
      <c r="J2886" t="inlineStr"/>
      <c r="K2886" t="inlineStr"/>
      <c r="L2886" t="inlineStr"/>
      <c r="M2886" t="inlineStr"/>
      <c r="N2886" t="inlineStr"/>
      <c r="O2886">
        <f>(1-Summary!$B$11)*S2886+Summary!$B$11*U2886</f>
        <v/>
      </c>
      <c r="P2886">
        <f>IF(B2909=0,0,O2886/B2909)</f>
        <v/>
      </c>
      <c r="Q2886">
        <f>IFERROR(1/(IF(Inputs!$B$38="pvp",15,MAX(0.1,Skills!D14-IF(TRUE=TRUE,4.0,0)))*(1-IF(AND(ArtifactsInput!$M$27,Inputs!$B$4="Chapter Hunt"),CHOOSE(ArtifactsInput!$N$27+1,20,24,28,32,36,40),0)/100)),0)</f>
        <v/>
      </c>
      <c r="R2886" t="n">
        <v>0</v>
      </c>
      <c r="S2886" t="n">
        <v>0</v>
      </c>
      <c r="U2886" t="n">
        <v>0</v>
      </c>
    </row>
    <row r="2887">
      <c r="A2887">
        <f>Skills!A15</f>
        <v/>
      </c>
      <c r="B2887">
        <f>Skills!B15</f>
        <v/>
      </c>
      <c r="C2887">
        <f>Inputs!$B$3&gt;=75</f>
        <v/>
      </c>
      <c r="D2887">
        <f>IF(Skills!C15=1,60+Inputs!$B$25+Inputs!$B$29,IF(Skills!C15=2,90+Inputs!$B$26+Inputs!$B$29,IF(Skills!C15=3,120+Inputs!$B$27+Inputs!$B$29,MAX(0,(Inputs!$B$3-100)*3)+Inputs!$B$28+Inputs!$B$29)))</f>
        <v/>
      </c>
      <c r="E2887">
        <f>INDEX(FactorTable!$B$2:$Y$301, MATCH(ROUND(MIN(300,MAX(1,D2887)),0), FactorTable!$A$2:$A$301,0), Skills!L15+1)</f>
        <v/>
      </c>
      <c r="F2887">
        <f>IF(Skills!M15=TRUE,(Skills!K15/10)*(E2887/1000),Skills!K15/10)+Skills!N15</f>
        <v/>
      </c>
      <c r="G2887">
        <f>Calc!G15</f>
        <v/>
      </c>
      <c r="H2887">
        <f>Calc!H15</f>
        <v/>
      </c>
      <c r="I2887">
        <f>IF(Skills!T15&lt;&gt;"",1+(Skills!T15/10)*(Z2875/1000)/100,1)</f>
        <v/>
      </c>
      <c r="J2887" t="inlineStr"/>
      <c r="K2887" t="inlineStr"/>
      <c r="L2887" t="inlineStr"/>
      <c r="M2887" t="inlineStr"/>
      <c r="N2887" t="inlineStr"/>
      <c r="O2887">
        <f>(1-Summary!$B$11)*S2887+Summary!$B$11*U2887</f>
        <v/>
      </c>
      <c r="P2887">
        <f>IF(B2909=0,0,O2887/B2909)</f>
        <v/>
      </c>
      <c r="Q2887">
        <f>IFERROR(1/(IF(Inputs!$B$38="pvp",15,MAX(0.1,Skills!D15-IF(TRUE=TRUE,4.0,0)))*(1-IF(AND(ArtifactsInput!$M$27,Inputs!$B$4="Chapter Hunt"),CHOOSE(ArtifactsInput!$N$27+1,20,24,28,32,36,40),0)/100)),0)</f>
        <v/>
      </c>
      <c r="R2887" t="n">
        <v>0</v>
      </c>
      <c r="S2887" t="n">
        <v>0</v>
      </c>
      <c r="U2887" t="n">
        <v>0</v>
      </c>
    </row>
    <row r="2888">
      <c r="A2888">
        <f>Skills!A16</f>
        <v/>
      </c>
      <c r="B2888">
        <f>Skills!B16</f>
        <v/>
      </c>
      <c r="C2888">
        <f>Inputs!$B$3&gt;=110</f>
        <v/>
      </c>
      <c r="D2888">
        <f>IF(Skills!C16=1,60+Inputs!$B$25+Inputs!$B$29,IF(Skills!C16=2,90+Inputs!$B$26+Inputs!$B$29,IF(Skills!C16=3,120+Inputs!$B$27+Inputs!$B$29,MAX(0,(Inputs!$B$3-100)*3)+Inputs!$B$28+Inputs!$B$29)))</f>
        <v/>
      </c>
      <c r="E2888">
        <f>INDEX(FactorTable!$B$2:$Y$301, MATCH(ROUND(MIN(300,MAX(1,D2888)),0), FactorTable!$A$2:$A$301,0), Skills!L16+1)</f>
        <v/>
      </c>
      <c r="F2888">
        <f>(Skills!K16/10)*(E2888/1000)*64/45+Skills!N16</f>
        <v/>
      </c>
      <c r="G2888">
        <f>Calc!G16</f>
        <v/>
      </c>
      <c r="H2888">
        <f>Calc!H16</f>
        <v/>
      </c>
      <c r="I2888">
        <f>IF(Skills!T16&lt;&gt;"",1+(Skills!T16/10)*(Z2875/1000)/100,1)</f>
        <v/>
      </c>
      <c r="J2888" t="inlineStr"/>
      <c r="K2888" t="inlineStr"/>
      <c r="L2888" t="inlineStr"/>
      <c r="M2888" t="inlineStr"/>
      <c r="N2888" t="inlineStr"/>
      <c r="O2888">
        <f>(1-Summary!$B$11)*S2888+Summary!$B$11*U2888</f>
        <v/>
      </c>
      <c r="P2888">
        <f>IF(B2909=0,0,O2888/B2909)</f>
        <v/>
      </c>
      <c r="Q2888">
        <f>IFERROR(1/(IF(Inputs!$B$38="pvp",15,MAX(0.1,Skills!D16-IF(TRUE=TRUE,4.0,0)))*(1-IF(AND(ArtifactsInput!$M$27,Inputs!$B$4="Chapter Hunt"),CHOOSE(ArtifactsInput!$N$27+1,20,24,28,32,36,40),0)/100)),0)</f>
        <v/>
      </c>
      <c r="R2888">
        <f>IF(AND(Inputs!$B$38&lt;&gt;"pvp",Inputs!$B$43&gt;0),IF(Inputs!$B$43&lt;=0,0,(INT(Inputs!$B$43/(IF(Inputs!$B$38="pvp",15,MAX(0.1,Skills!D16-IF(TRUE=TRUE,4.0,0)))*(1-IF(AND(ArtifactsInput!$M$27,Inputs!$B$4="Chapter Hunt"),CHOOSE(ArtifactsInput!$N$27+1,20,24,28,32,36,40),0)/100)))+1)),0)</f>
        <v/>
      </c>
      <c r="S2888" t="n">
        <v>0</v>
      </c>
      <c r="U2888" t="n">
        <v>0</v>
      </c>
    </row>
    <row r="2889">
      <c r="A2889">
        <f>Skills!A17</f>
        <v/>
      </c>
      <c r="B2889">
        <f>Skills!B17</f>
        <v/>
      </c>
      <c r="C2889">
        <f>Inputs!$B$3&gt;=33</f>
        <v/>
      </c>
      <c r="D2889">
        <f>IF(Skills!C17=1,60+Inputs!$B$25+Inputs!$B$29,IF(Skills!C17=2,90+Inputs!$B$26+Inputs!$B$29,IF(Skills!C17=3,120+Inputs!$B$27+Inputs!$B$29,MAX(0,(Inputs!$B$3-100)*3)+Inputs!$B$28+Inputs!$B$29)))</f>
        <v/>
      </c>
      <c r="E2889">
        <f>INDEX(FactorTable!$B$2:$Y$301, MATCH(ROUND(MIN(300,MAX(1,D2889)),0), FactorTable!$A$2:$A$301,0), Skills!L17+1)</f>
        <v/>
      </c>
      <c r="F2889">
        <f>IF(Skills!M17=TRUE,(Skills!K17/10)*(E2889/1000),Skills!K17/10)+Skills!N17</f>
        <v/>
      </c>
      <c r="G2889">
        <f>Calc!G17</f>
        <v/>
      </c>
      <c r="H2889">
        <f>Calc!H17</f>
        <v/>
      </c>
      <c r="I2889">
        <f>IF(Skills!T17&lt;&gt;"",1+(Skills!T17/10)*(Z2875/1000)/100,1)</f>
        <v/>
      </c>
      <c r="J2889" t="inlineStr"/>
      <c r="K2889" t="inlineStr"/>
      <c r="L2889" t="inlineStr"/>
      <c r="M2889" t="inlineStr"/>
      <c r="N2889" t="inlineStr"/>
      <c r="O2889">
        <f>(1-Summary!$B$11)*S2889+Summary!$B$11*U2889</f>
        <v/>
      </c>
      <c r="P2889">
        <f>IF(B2909=0,0,O2889/B2909)</f>
        <v/>
      </c>
      <c r="Q2889">
        <f>IFERROR(1/(IF(Inputs!$B$38="pvp",15,MAX(0.1,Skills!D17-IF(TRUE=TRUE,4.0,0)))*(1-IF(AND(ArtifactsInput!$M$27,Inputs!$B$4="Chapter Hunt"),CHOOSE(ArtifactsInput!$N$27+1,20,24,28,32,36,40),0)/100)),0)</f>
        <v/>
      </c>
      <c r="R2889" t="n">
        <v>0</v>
      </c>
      <c r="S2889" t="n">
        <v>0</v>
      </c>
      <c r="U2889" t="n">
        <v>0</v>
      </c>
    </row>
    <row r="2890">
      <c r="A2890">
        <f>Skills!A18</f>
        <v/>
      </c>
      <c r="B2890">
        <f>Skills!B18</f>
        <v/>
      </c>
      <c r="C2890">
        <f>Inputs!$B$3&gt;=43</f>
        <v/>
      </c>
      <c r="D2890">
        <f>IF(Skills!C18=1,60+Inputs!$B$25+Inputs!$B$29,IF(Skills!C18=2,90+Inputs!$B$26+Inputs!$B$29,IF(Skills!C18=3,120+Inputs!$B$27+Inputs!$B$29,MAX(0,(Inputs!$B$3-100)*3)+Inputs!$B$28+Inputs!$B$29)))</f>
        <v/>
      </c>
      <c r="E2890">
        <f>INDEX(FactorTable!$B$2:$Y$301, MATCH(ROUND(MIN(300,MAX(1,D2890)),0), FactorTable!$A$2:$A$301,0), Skills!L18+1)</f>
        <v/>
      </c>
      <c r="F2890">
        <f>IF(Skills!M18=TRUE,(Skills!K18/10)*(E2890/1000),Skills!K18/10)+Skills!N18</f>
        <v/>
      </c>
      <c r="G2890">
        <f>Calc!G18</f>
        <v/>
      </c>
      <c r="H2890">
        <f>Calc!H18</f>
        <v/>
      </c>
      <c r="I2890">
        <f>IF(Skills!T18&lt;&gt;"",1+(Skills!T18/10)*(Z2875/1000)/100,1)</f>
        <v/>
      </c>
      <c r="J2890" t="inlineStr"/>
      <c r="K2890" t="inlineStr"/>
      <c r="L2890" t="inlineStr"/>
      <c r="M2890" t="inlineStr"/>
      <c r="N2890" t="inlineStr"/>
      <c r="O2890">
        <f>(1-Summary!$B$11)*S2890+Summary!$B$11*U2890</f>
        <v/>
      </c>
      <c r="P2890">
        <f>IF(B2909=0,0,O2890/B2909)</f>
        <v/>
      </c>
      <c r="Q2890">
        <f>IFERROR(1/(IF(Inputs!$B$38="pvp",15,MAX(0.1,Skills!D18-IF(TRUE=TRUE,4.0,0)))*(1-IF(AND(ArtifactsInput!$M$27,Inputs!$B$4="Chapter Hunt"),CHOOSE(ArtifactsInput!$N$27+1,20,24,28,32,36,40),0)/100)),0)</f>
        <v/>
      </c>
      <c r="R2890" t="n">
        <v>0</v>
      </c>
      <c r="S2890" t="n">
        <v>0</v>
      </c>
      <c r="U2890" t="n">
        <v>0</v>
      </c>
    </row>
    <row r="2891">
      <c r="A2891">
        <f>Skills!A19</f>
        <v/>
      </c>
      <c r="B2891">
        <f>Skills!B19</f>
        <v/>
      </c>
      <c r="C2891">
        <f>Inputs!$B$3&gt;=50</f>
        <v/>
      </c>
      <c r="D2891">
        <f>IF(Skills!C19=1,60+Inputs!$B$25+Inputs!$B$29,IF(Skills!C19=2,90+Inputs!$B$26+Inputs!$B$29,IF(Skills!C19=3,120+Inputs!$B$27+Inputs!$B$29,MAX(0,(Inputs!$B$3-100)*3)+Inputs!$B$28+Inputs!$B$29)))</f>
        <v/>
      </c>
      <c r="E2891">
        <f>INDEX(FactorTable!$B$2:$Y$301, MATCH(ROUND(MIN(300,MAX(1,D2891)),0), FactorTable!$A$2:$A$301,0), Skills!L19+1)</f>
        <v/>
      </c>
      <c r="F2891">
        <f>IF(Skills!M19=TRUE,(Skills!K19/10)*(E2891/1000),Skills!K19/10)+Skills!N19</f>
        <v/>
      </c>
      <c r="G2891">
        <f>Calc!G19</f>
        <v/>
      </c>
      <c r="H2891">
        <f>Calc!H19</f>
        <v/>
      </c>
      <c r="I2891">
        <f>IF(Skills!T19&lt;&gt;"",1+(Skills!T19/10)*(Z2875/1000)/100,1)</f>
        <v/>
      </c>
      <c r="J2891" t="inlineStr"/>
      <c r="K2891" t="inlineStr"/>
      <c r="L2891" t="inlineStr"/>
      <c r="M2891" t="inlineStr"/>
      <c r="N2891" t="inlineStr"/>
      <c r="O2891">
        <f>(1-Summary!$B$11)*S2891+Summary!$B$11*U2891</f>
        <v/>
      </c>
      <c r="P2891">
        <f>IF(B2909=0,0,O2891/B2909)</f>
        <v/>
      </c>
      <c r="Q2891">
        <f>IFERROR(1/(IF(Inputs!$B$38="pvp",15,MAX(0.1,Skills!D19-IF(TRUE=TRUE,4.0,0)))*(1-IF(AND(ArtifactsInput!$M$27,Inputs!$B$4="Chapter Hunt"),CHOOSE(ArtifactsInput!$N$27+1,20,24,28,32,36,40),0)/100)),0)</f>
        <v/>
      </c>
      <c r="R2891" t="n">
        <v>0</v>
      </c>
      <c r="S2891" t="n">
        <v>0</v>
      </c>
      <c r="U2891" t="n">
        <v>0</v>
      </c>
    </row>
    <row r="2892">
      <c r="A2892">
        <f>Skills!A20</f>
        <v/>
      </c>
      <c r="B2892">
        <f>Skills!B20</f>
        <v/>
      </c>
      <c r="C2892">
        <f>Inputs!$B$3&gt;=74</f>
        <v/>
      </c>
      <c r="D2892">
        <f>IF(Skills!C20=1,60+Inputs!$B$25+Inputs!$B$29,IF(Skills!C20=2,90+Inputs!$B$26+Inputs!$B$29,IF(Skills!C20=3,120+Inputs!$B$27+Inputs!$B$29,MAX(0,(Inputs!$B$3-100)*3)+Inputs!$B$28+Inputs!$B$29)))</f>
        <v/>
      </c>
      <c r="E2892">
        <f>INDEX(FactorTable!$B$2:$Y$301, MATCH(ROUND(MIN(300,MAX(1,D2892)),0), FactorTable!$A$2:$A$301,0), Skills!L20+1)</f>
        <v/>
      </c>
      <c r="F2892">
        <f>IF(Skills!M20=TRUE,(Skills!K20/10)*(E2892/1000),Skills!K20/10)+Skills!N20</f>
        <v/>
      </c>
      <c r="G2892">
        <f>Calc!G20</f>
        <v/>
      </c>
      <c r="H2892">
        <f>Calc!H20</f>
        <v/>
      </c>
      <c r="I2892">
        <f>IF(Skills!T20&lt;&gt;"",1+(Skills!T20/10)*(Z2875/1000)/100,1)</f>
        <v/>
      </c>
      <c r="J2892" t="inlineStr"/>
      <c r="K2892" t="inlineStr"/>
      <c r="L2892" t="inlineStr"/>
      <c r="M2892" t="inlineStr"/>
      <c r="N2892" t="inlineStr"/>
      <c r="O2892">
        <f>(1-Summary!$B$11)*S2892+Summary!$B$11*U2892</f>
        <v/>
      </c>
      <c r="P2892">
        <f>IF(B2909=0,0,O2892/B2909)</f>
        <v/>
      </c>
      <c r="Q2892">
        <f>IFERROR(1/(IF(Inputs!$B$38="pvp",15,MAX(0.1,Skills!D20-IF(TRUE=TRUE,4.0,0)))*(1-IF(AND(ArtifactsInput!$M$27,Inputs!$B$4="Chapter Hunt"),CHOOSE(ArtifactsInput!$N$27+1,20,24,28,32,36,40),0)/100)),0)</f>
        <v/>
      </c>
      <c r="R2892" t="n">
        <v>0</v>
      </c>
      <c r="S2892" t="n">
        <v>0</v>
      </c>
      <c r="U2892" t="n">
        <v>0</v>
      </c>
    </row>
    <row r="2893">
      <c r="A2893">
        <f>Skills!A21</f>
        <v/>
      </c>
      <c r="B2893">
        <f>Skills!B21</f>
        <v/>
      </c>
      <c r="C2893">
        <f>Inputs!$B$3&gt;=74</f>
        <v/>
      </c>
      <c r="D2893">
        <f>IF(Skills!C21=1,60+Inputs!$B$25+Inputs!$B$29,IF(Skills!C21=2,90+Inputs!$B$26+Inputs!$B$29,IF(Skills!C21=3,120+Inputs!$B$27+Inputs!$B$29,MAX(0,(Inputs!$B$3-100)*3)+Inputs!$B$28+Inputs!$B$29)))</f>
        <v/>
      </c>
      <c r="E2893">
        <f>INDEX(FactorTable!$B$2:$Y$301, MATCH(ROUND(MIN(300,MAX(1,D2893)),0), FactorTable!$A$2:$A$301,0), Skills!L21+1)</f>
        <v/>
      </c>
      <c r="F2893">
        <f>IF(Skills!M21=TRUE,(Skills!K21/10)*(E2893/1000),Skills!K21/10)+Skills!N21</f>
        <v/>
      </c>
      <c r="G2893">
        <f>Calc!G21</f>
        <v/>
      </c>
      <c r="H2893">
        <f>Calc!H21</f>
        <v/>
      </c>
      <c r="I2893">
        <f>IF(Skills!T21&lt;&gt;"",1+(Skills!T21/10)*(Z2875/1000)/100,1)</f>
        <v/>
      </c>
      <c r="J2893" t="inlineStr"/>
      <c r="K2893" t="inlineStr"/>
      <c r="L2893" t="inlineStr"/>
      <c r="M2893" t="inlineStr"/>
      <c r="N2893" t="inlineStr"/>
      <c r="O2893">
        <f>(1-Summary!$B$11)*S2893+Summary!$B$11*U2893</f>
        <v/>
      </c>
      <c r="P2893">
        <f>IF(B2909=0,0,O2893/B2909)</f>
        <v/>
      </c>
      <c r="Q2893">
        <f>IFERROR(1/(IF(Inputs!$B$38="pvp",15,MAX(0.1,Skills!D21-IF(TRUE=TRUE,4.0,0)))*(1-IF(AND(ArtifactsInput!$M$27,Inputs!$B$4="Chapter Hunt"),CHOOSE(ArtifactsInput!$N$27+1,20,24,28,32,36,40),0)/100)),0)</f>
        <v/>
      </c>
      <c r="R2893" t="n">
        <v>0</v>
      </c>
      <c r="S2893" t="n">
        <v>0</v>
      </c>
      <c r="U2893" t="n">
        <v>0</v>
      </c>
    </row>
    <row r="2894">
      <c r="A2894">
        <f>Skills!A22</f>
        <v/>
      </c>
      <c r="B2894">
        <f>Skills!B22</f>
        <v/>
      </c>
      <c r="C2894">
        <f>Inputs!$B$3&gt;=117</f>
        <v/>
      </c>
      <c r="D2894">
        <f>IF(Skills!C22=1,60+Inputs!$B$25+Inputs!$B$29,IF(Skills!C22=2,90+Inputs!$B$26+Inputs!$B$29,IF(Skills!C22=3,120+Inputs!$B$27+Inputs!$B$29,MAX(0,(Inputs!$B$3-100)*3)+Inputs!$B$28+Inputs!$B$29)))</f>
        <v/>
      </c>
      <c r="E2894">
        <f>INDEX(FactorTable!$B$2:$Y$301, MATCH(ROUND(MIN(300,MAX(1,D2894)),0), FactorTable!$A$2:$A$301,0), Skills!L22+1)</f>
        <v/>
      </c>
      <c r="F2894">
        <f>IF(Skills!M22=TRUE,(Skills!K22/10)*(E2894/1000),Skills!K22/10)+Skills!N22</f>
        <v/>
      </c>
      <c r="G2894">
        <f>Calc!G22</f>
        <v/>
      </c>
      <c r="H2894">
        <f>Calc!H22</f>
        <v/>
      </c>
      <c r="I2894">
        <f>IF(Skills!T22&lt;&gt;"",1+(Skills!T22/10)*(Z2875/1000)/100,1)</f>
        <v/>
      </c>
      <c r="J2894" t="inlineStr"/>
      <c r="K2894" t="inlineStr"/>
      <c r="L2894" t="inlineStr"/>
      <c r="M2894" t="inlineStr"/>
      <c r="N2894" t="inlineStr"/>
      <c r="O2894">
        <f>(1-Summary!$B$11)*S2894+Summary!$B$11*U2894</f>
        <v/>
      </c>
      <c r="P2894">
        <f>IF(B2909=0,0,O2894/B2909)</f>
        <v/>
      </c>
      <c r="Q2894">
        <f>IFERROR(1/(IF(Inputs!$B$38="pvp",15,MAX(0.1,Skills!D22-IF(TRUE=TRUE,4.0,0)))*(1-IF(AND(ArtifactsInput!$M$27,Inputs!$B$4="Chapter Hunt"),CHOOSE(ArtifactsInput!$N$27+1,20,24,28,32,36,40),0)/100)),0)</f>
        <v/>
      </c>
      <c r="R2894" t="n">
        <v>0</v>
      </c>
      <c r="S2894" t="n">
        <v>0</v>
      </c>
      <c r="U2894" t="n">
        <v>0</v>
      </c>
    </row>
    <row r="2895">
      <c r="A2895">
        <f>Skills!A23</f>
        <v/>
      </c>
      <c r="B2895">
        <f>Skills!B23</f>
        <v/>
      </c>
      <c r="C2895">
        <f>Inputs!$B$3&gt;=120</f>
        <v/>
      </c>
      <c r="D2895">
        <f>IF(Skills!C23=1,60+Inputs!$B$25+Inputs!$B$29,IF(Skills!C23=2,90+Inputs!$B$26+Inputs!$B$29,IF(Skills!C23=3,120+Inputs!$B$27+Inputs!$B$29,MAX(0,(Inputs!$B$3-100)*3)+Inputs!$B$28+Inputs!$B$29)))</f>
        <v/>
      </c>
      <c r="E2895">
        <f>INDEX(FactorTable!$B$2:$Y$301, MATCH(ROUND(MIN(300,MAX(1,D2895)),0), FactorTable!$A$2:$A$301,0), Skills!L23+1)</f>
        <v/>
      </c>
      <c r="F2895">
        <f>IF(Skills!M23=TRUE,(Skills!K23/10)*(E2895/1000),Skills!K23/10)+Skills!N23</f>
        <v/>
      </c>
      <c r="G2895">
        <f>Calc!G23</f>
        <v/>
      </c>
      <c r="H2895">
        <f>Calc!H23</f>
        <v/>
      </c>
      <c r="I2895">
        <f>IF(Skills!T23&lt;&gt;"",1+(Skills!T23/10)*(Z2875/1000)/100,1)</f>
        <v/>
      </c>
      <c r="J2895" t="inlineStr"/>
      <c r="K2895" t="inlineStr"/>
      <c r="L2895" t="inlineStr"/>
      <c r="M2895" t="inlineStr"/>
      <c r="N2895" t="inlineStr"/>
      <c r="O2895">
        <f>(1-Summary!$B$11)*S2895+Summary!$B$11*U2895</f>
        <v/>
      </c>
      <c r="P2895">
        <f>IF(B2909=0,0,O2895/B2909)</f>
        <v/>
      </c>
      <c r="Q2895">
        <f>IFERROR(1/(IF(Inputs!$B$38="pvp",15,MAX(0.1,Skills!D23-IF(TRUE=TRUE,4.0,0)))*(1-IF(AND(ArtifactsInput!$M$27,Inputs!$B$4="Chapter Hunt"),CHOOSE(ArtifactsInput!$N$27+1,20,24,28,32,36,40),0)/100)),0)</f>
        <v/>
      </c>
      <c r="R2895" t="n">
        <v>0</v>
      </c>
      <c r="S2895" t="n">
        <v>0</v>
      </c>
      <c r="U2895" t="n">
        <v>0</v>
      </c>
    </row>
    <row r="2896">
      <c r="A2896">
        <f>Skills!A24</f>
        <v/>
      </c>
      <c r="B2896">
        <f>Skills!B24</f>
        <v/>
      </c>
      <c r="C2896">
        <f>TRUE</f>
        <v/>
      </c>
      <c r="D2896">
        <f>IF(Skills!C24=1,60+Inputs!$B$25+Inputs!$B$29,IF(Skills!C24=2,90+Inputs!$B$26+Inputs!$B$29,IF(Skills!C24=3,120+Inputs!$B$27+Inputs!$B$29,MAX(0,(Inputs!$B$3-100)*3)+Inputs!$B$28+Inputs!$B$29)))</f>
        <v/>
      </c>
      <c r="E2896">
        <f>INDEX(FactorTable!$B$2:$Y$301, MATCH(ROUND(MIN(300,MAX(1,D2896)),0), FactorTable!$A$2:$A$301,0), Skills!L24+1)</f>
        <v/>
      </c>
      <c r="F2896">
        <f>IF(Skills!M24=TRUE,(Skills!K24/10)*(E2896/1000),Skills!K24/10)+Skills!N24</f>
        <v/>
      </c>
      <c r="G2896">
        <f>Calc!G24</f>
        <v/>
      </c>
      <c r="H2896">
        <f>Calc!H24</f>
        <v/>
      </c>
      <c r="I2896">
        <f>IF(Skills!T24&lt;&gt;"",1+(Skills!T24/10)*(Z2875/1000)/100,1)</f>
        <v/>
      </c>
      <c r="J2896" t="inlineStr"/>
      <c r="K2896" t="inlineStr"/>
      <c r="L2896" t="inlineStr"/>
      <c r="M2896" t="inlineStr"/>
      <c r="N2896" t="inlineStr"/>
      <c r="O2896">
        <f>(1-Summary!$B$11)*S2896+Summary!$B$11*U2896</f>
        <v/>
      </c>
      <c r="P2896">
        <f>IF(B2909=0,0,O2896/B2909)</f>
        <v/>
      </c>
      <c r="Q2896">
        <f>IFERROR(1/(IF(Inputs!$B$38="pvp",15,MAX(0.1,Skills!D24-IF(TRUE=TRUE,4.0,0)))*(1-IF(AND(ArtifactsInput!$M$27,Inputs!$B$4="Chapter Hunt"),CHOOSE(ArtifactsInput!$N$27+1,20,24,28,32,36,40),0)/100)),0)</f>
        <v/>
      </c>
      <c r="R2896">
        <f>IF(AND(Inputs!$B$38&lt;&gt;"pvp",Inputs!$B$43&gt;0),IF(Inputs!$B$43&lt;=0,0,(INT(Inputs!$B$43/(IF(Inputs!$B$38="pvp",15,MAX(0.1,Skills!D24-IF(TRUE=TRUE,4.0,0)))*(1-IF(AND(ArtifactsInput!$M$27,Inputs!$B$4="Chapter Hunt"),CHOOSE(ArtifactsInput!$N$27+1,20,24,28,32,36,40),0)/100)))+1)),0)</f>
        <v/>
      </c>
      <c r="S2896" t="n">
        <v>0</v>
      </c>
      <c r="U2896" t="n">
        <v>0</v>
      </c>
    </row>
    <row r="2899">
      <c r="A2899" t="inlineStr">
        <is>
          <t>Average Buff Multiplier (Magic Guard + Meditation + Artifact Attack%, summed; then Infinity)</t>
        </is>
      </c>
      <c r="B2899">
        <f>(1+(IF(C2875=TRUE,F2875*IF(AND(Inputs!$B$38&lt;&gt;"pvp",Inputs!$B$43&gt;0),(((R2875-1)*MIN((Skills!S3*(1+(Inputs!$B$34)/100)),(1/Q2875))+MIN((Skills!S3*(1+(Inputs!$B$34)/100)),MAX(0,Inputs!$B$43-((R2875-1)*(1/Q2875)))))/Inputs!$B$43),IF(Inputs!$B$38="pvp",MIN((Skills!S3*(1+(Inputs!$B$34)/100)),15)/15,MIN(1,(Skills!S3*(1+(Inputs!$B$34)/100))/(1/Q2875)))),0)+IF(C2876=TRUE,F2876*IF(AND(Inputs!$B$38&lt;&gt;"pvp",Inputs!$B$43&gt;0),(((R2876-1)*MIN((Skills!S4*(1+(Inputs!$B$34)/100)),(1/Q2876))+MIN((Skills!S4*(1+(Inputs!$B$34)/100)),MAX(0,Inputs!$B$43-((R2876-1)*(1/Q2876)))))/Inputs!$B$43),IF(Inputs!$B$38="pvp",MIN((Skills!S4*(1+(Inputs!$B$34)/100)),15)/15,MIN(1,(Skills!S4*(1+(Inputs!$B$34)/100))/(1/Q2876)))),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2888=TRUE,(1+F2888*IF(AND(Inputs!$B$38&lt;&gt;"pvp",Inputs!$B$43&gt;0),(((R2888-1)*MIN((Skills!S16*(1+(Inputs!$B$34)/100)),(1/Q2888))+MIN((Skills!S16*(1+(Inputs!$B$34)/100)),MAX(0,Inputs!$B$43-((R2888-1)*(1/Q2888)))))/Inputs!$B$43),IF(Inputs!$B$38="pvp",MIN((Skills!S16*(1+(Inputs!$B$34)/100)),15)/15,MIN(1,(Skills!S16*(1+(Inputs!$B$34)/100))/(1/Q2888))))/100),1)</f>
        <v/>
      </c>
    </row>
    <row r="2900">
      <c r="A2900" t="inlineStr">
        <is>
          <t>Monster Damage Taken Bonus % (Freezing Breath - Weaken + Elemental Reset + Artifact Enemy Damage Taken, summed)</t>
        </is>
      </c>
      <c r="B2900">
        <f>IF(Inputs!$B$3&gt;=118,15*IF(Inputs!$B$38="pvp",MIN((30*(1+(Inputs!$B$34)/100)),15)/15,MIN(1,(30*(1+(Inputs!$B$34)/100))/(1/Q2880))),0)+IF(C2886=TRUE,F2886,0)+(IF(AND(ArtifactsInput!$M$35,Inputs!$B$4&lt;&gt;"Chapter Hunt"),CHOOSE(ArtifactsInput!$N$35+1,15,18,21,24,27,30)*(1-EXP(-(0.2*B2903)*5)),0)+IF(AND(ArtifactsInput!$M$22,Inputs!$B$4&lt;&gt;"Chapter Hunt"),CHOOSE(ArtifactsInput!$N$22+1,10,12,14,16,18,20)*((0*(((0.15*B2903*5))^0/1)+1*(((0.15*B2903*5))^1/1)+2*(((0.15*B2903*5))^2/2)+3*(((0.15*B2903*5))^3/6)+4*(((0.15*B2903*5))^4/24)+5*(((0.15*B2903*5))^5/120))/((((0.15*B2903*5))^0/1)+(((0.15*B2903*5))^1/1)+(((0.15*B2903*5))^2/2)+(((0.15*B2903*5))^3/6)+(((0.15*B2903*5))^4/24)+(((0.15*B2903*5))^5/120))),0))</f>
        <v/>
      </c>
    </row>
    <row r="2901">
      <c r="A2901" t="inlineStr">
        <is>
          <t>Damage % Bonus (Frozen Break + Frost Clutch, flat)</t>
        </is>
      </c>
      <c r="B2901">
        <f>IF(Inputs!$B$3&gt;=66,15,0)+IF(Inputs!$B$3&gt;=98,10,0)+IF(Inputs!$B$3&gt;=125,20,0)</f>
        <v/>
      </c>
    </row>
    <row r="2902">
      <c r="A2902" t="inlineStr">
        <is>
          <t>Attack Speed Bonus % (MP Eater - MP Boost, always-on + Nimble Feet, duty-cycle averaged)</t>
        </is>
      </c>
      <c r="B2902">
        <f>IF(C2885=TRUE,F2885+(F2889-Calc!F17),0)+((C2896=TRUE)*F2896*IF(AND(Inputs!$B$38&lt;&gt;"pvp",Inputs!$B$43&gt;0),(((R2896-1)*MIN((Skills!S24*(1+(Inputs!$B$34)/100)),(1/Q2896))+MIN((Skills!S24*(1+(Inputs!$B$34)/100)),MAX(0,Inputs!$B$43-((R2896-1)*(1/Q2896)))))/Inputs!$B$43),IF(Inputs!$B$38="pvp",MIN((Skills!S24*(1+(Inputs!$B$34)/100)),15)/15,MIN(1,(Skills!S24*(1+(Inputs!$B$34)/100))/(1/Q2896)))))</f>
        <v/>
      </c>
    </row>
    <row r="2903">
      <c r="A2903" t="inlineStr">
        <is>
          <t>Actions Per Second</t>
        </is>
      </c>
      <c r="B2903">
        <f>1+MIN(150,150*(1-(1-(Inputs!$B$11+(ArtifactsInput!$M$15-ArtifactsInput!$M$15)*CHOOSE(ArtifactsInput!$N$15+1,8,9.6,11.2,12.8,14.4,16))/150)*(1-B2902/150)))/100</f>
        <v/>
      </c>
    </row>
    <row r="2904">
      <c r="A2904" t="inlineStr">
        <is>
          <t>Skill + Buff Cast Rate</t>
        </is>
      </c>
      <c r="B2904">
        <f>IF(AND(Inputs!$B$38&lt;&gt;"pvp",Inputs!$B$43&gt;0),SUMPRODUCT((Skills!E2:E24=TRUE)*(C2874:C2896=TRUE)*R2874:R2896)/Inputs!$B$43,SUMPRODUCT((Skills!E2:E24=TRUE)*(C2874:C2896=TRUE)*Q2874:Q2896))</f>
        <v/>
      </c>
    </row>
    <row r="2905">
      <c r="A2905" t="inlineStr">
        <is>
          <t>Chain Lightning Casts Per Second</t>
        </is>
      </c>
      <c r="B2905">
        <f>MAX(0,B2903-B2904)</f>
        <v/>
      </c>
    </row>
    <row r="2906">
      <c r="A2906" t="inlineStr">
        <is>
          <t>Buff-Casting Startup Delay (s, fixed-duration only)</t>
        </is>
      </c>
      <c r="B2906">
        <f>IF(AND(Inputs!$B$38&lt;&gt;"pvp",Inputs!$B$43&gt;0),SUMPRODUCT((Skills!S2:S24&gt;0)*(Skills!E2:E24=TRUE)*(C2874:C2896=TRUE))/B2903,0)</f>
        <v/>
      </c>
    </row>
    <row r="2907">
      <c r="A2907" t="inlineStr">
        <is>
          <t>Boss-Only Total DPS (this block's swept value)</t>
        </is>
      </c>
      <c r="B2907">
        <f>SUM(S2874:S2896)</f>
        <v/>
      </c>
    </row>
    <row r="2908">
      <c r="A2908" t="inlineStr">
        <is>
          <t>Normal-Only Total DPS (this block's swept value)</t>
        </is>
      </c>
      <c r="B2908">
        <f>SUM(U2874:U2896)</f>
        <v/>
      </c>
    </row>
    <row r="2909">
      <c r="A2909" s="6" t="inlineStr">
        <is>
          <t>TOTAL DPS</t>
        </is>
      </c>
      <c r="B2909" s="6">
        <f>SUM(O2874:O2896)</f>
        <v/>
      </c>
    </row>
    <row r="2910">
      <c r="A2910" t="inlineStr">
        <is>
          <t>Blizzard Final Attack trigger rate (this block's own Q/R)</t>
        </is>
      </c>
      <c r="B2910">
        <f>IF(AND(Inputs!$B$38&lt;&gt;"pvp",Inputs!$B$43&gt;0),(((C2877=TRUE)*R2877*1)+((C2878=TRUE)*R2878*1)+((C2880=TRUE)*R2880*1)+((C2881=TRUE)*R2881*3)+((C2883=TRUE)*R2883*1))/Inputs!$B$43,((C2877=TRUE)*Q2877*1)+((C2878=TRUE)*Q2878*1)+((C2880=TRUE)*Q2880*1)+((C2881=TRUE)*Q2881*3)+((C2883=TRUE)*Q2883*1))+B2905</f>
        <v/>
      </c>
    </row>
    <row r="2913">
      <c r="A2913" s="6" t="inlineStr">
        <is>
          <t>Stat: CDR = 4.5s</t>
        </is>
      </c>
    </row>
    <row r="2914">
      <c r="A2914" s="5" t="inlineStr">
        <is>
          <t>Key</t>
        </is>
      </c>
      <c r="B2914" s="5" t="inlineStr">
        <is>
          <t>Name</t>
        </is>
      </c>
      <c r="C2914" s="5" t="inlineStr">
        <is>
          <t>Unlocked</t>
        </is>
      </c>
      <c r="D2914" s="5" t="inlineStr">
        <is>
          <t>InputLevel</t>
        </is>
      </c>
      <c r="E2914" s="5" t="inlineStr">
        <is>
          <t>Factor</t>
        </is>
      </c>
      <c r="F2914" s="5" t="inlineStr">
        <is>
          <t>CoefficientPercent</t>
        </is>
      </c>
      <c r="G2914" s="5" t="inlineStr">
        <is>
          <t>EffectiveHits</t>
        </is>
      </c>
      <c r="H2914" s="5" t="inlineStr">
        <is>
          <t>ProcProbability</t>
        </is>
      </c>
      <c r="I2914" s="5" t="inlineStr">
        <is>
          <t>MapleHeroMultiplier</t>
        </is>
      </c>
      <c r="J2914" s="5" t="inlineStr">
        <is>
          <t>BaseDamage</t>
        </is>
      </c>
      <c r="K2914" s="5" t="inlineStr">
        <is>
          <t>BaseHitDamage</t>
        </is>
      </c>
      <c r="L2914" s="5" t="inlineStr">
        <is>
          <t>NonCritAvg</t>
        </is>
      </c>
      <c r="M2914" s="5" t="inlineStr">
        <is>
          <t>CritAvg</t>
        </is>
      </c>
      <c r="N2914" s="5" t="inlineStr">
        <is>
          <t>ExpectedDamage(perHit)</t>
        </is>
      </c>
      <c r="O2914" s="5" t="inlineStr">
        <is>
          <t>DPS</t>
        </is>
      </c>
      <c r="P2914" s="5" t="inlineStr">
        <is>
          <t>% of Total</t>
        </is>
      </c>
      <c r="R2914" t="inlineStr">
        <is>
          <t>helpers</t>
        </is>
      </c>
    </row>
    <row r="2915">
      <c r="A2915">
        <f>Skills!A2</f>
        <v/>
      </c>
      <c r="B2915">
        <f>Skills!B2</f>
        <v/>
      </c>
      <c r="C2915">
        <f>Inputs!$B$3&gt;=100</f>
        <v/>
      </c>
      <c r="D2915" t="inlineStr"/>
      <c r="E2915" t="inlineStr"/>
      <c r="F2915">
        <f>T2917+Skills!N2</f>
        <v/>
      </c>
      <c r="G2915">
        <f>Calc!G2</f>
        <v/>
      </c>
      <c r="H2915">
        <f>Calc!H2</f>
        <v/>
      </c>
      <c r="I2915">
        <f>IF(Skills!T2&lt;&gt;"",1+(Skills!T2/10)*(Z2916/1000)/100,1)</f>
        <v/>
      </c>
      <c r="J2915">
        <f>((Inputs!$B$6*(1+Inputs!$B$7/100))+(((Inputs!$B$12*(1+Inputs!$B$13/100))-(Inputs!$B$12*(1+Inputs!$B$13/100)))+0.25*(Inputs!$B$14-Inputs!$B$14))*(1+Inputs!$B$7/100))*(F2915/100)</f>
        <v/>
      </c>
      <c r="K2915">
        <f>J2915*(1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2="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2915)</f>
        <v/>
      </c>
      <c r="L2915">
        <f>K2915*(MIN(Inputs!$B$22+(F2931-Calc!F18),(Inputs!$B$23+(IF(ArtifactsInput!$M$15,CHOOSE(ArtifactsInput!$N$15+1,25,30,35,40,45,50)/100*(Inputs!$B$11-Inputs!$B$11),0))))/100+(Inputs!$B$23+(IF(ArtifactsInput!$M$15,CHOOSE(ArtifactsInput!$N$15+1,25,30,35,40,45,50)/100*(Inputs!$B$11-Inputs!$B$11),0)))/100)/2</f>
        <v/>
      </c>
      <c r="M2915">
        <f>L2915*(1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5">
        <f>L2915*(1-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2915*(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5">
        <f>(1-Summary!$B$11)*S2915+Summary!$B$11*U2915</f>
        <v/>
      </c>
      <c r="P2915">
        <f>IF(B2950=0,0,O2915/B2950)</f>
        <v/>
      </c>
      <c r="Q2915">
        <f>IFERROR(1/(IF(Inputs!$B$38="pvp",15,MAX(0.1,Skills!D2-IF(TRUE=TRUE,4.5,0)))*(1-IF(AND(ArtifactsInput!$M$27,Inputs!$B$4="Chapter Hunt"),CHOOSE(ArtifactsInput!$N$27+1,20,24,28,32,36,40),0)/100)),0)</f>
        <v/>
      </c>
      <c r="R2915" t="n">
        <v>0</v>
      </c>
      <c r="S2915">
        <f>IF(C2915,(Skills!F2*N2915*B2946)*IF(Inputs!$B$38="pvp",1,1+(Inputs!$B$20+Skills!O2+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2915*(1-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2915*(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2915*(1-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2915*(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15">
        <f>MAX(0,(Inputs!$B$3-100)*3)+Inputs!$B$28+Inputs!$B$29</f>
        <v/>
      </c>
      <c r="U2915">
        <f>IF(C2915,(Skills!F2*N2915*B2946)*IF(Inputs!$B$38="pvp",1,(1+(Inputs!$B$21+Skills!P2+B2941+(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15">
        <f>MAX(0,(Inputs!$B$3-100)*3)+Inputs!$B$28+Inputs!$B$29</f>
        <v/>
      </c>
    </row>
    <row r="2916">
      <c r="A2916">
        <f>Skills!A3</f>
        <v/>
      </c>
      <c r="B2916">
        <f>Skills!B3</f>
        <v/>
      </c>
      <c r="C2916">
        <f>Inputs!$B$3&gt;=15</f>
        <v/>
      </c>
      <c r="D2916">
        <f>IF(Skills!C3=1,60+Inputs!$B$25+Inputs!$B$29,IF(Skills!C3=2,90+Inputs!$B$26+Inputs!$B$29,IF(Skills!C3=3,120+Inputs!$B$27+Inputs!$B$29,MAX(0,(Inputs!$B$3-100)*3)+Inputs!$B$28+Inputs!$B$29)))</f>
        <v/>
      </c>
      <c r="E2916">
        <f>INDEX(FactorTable!$B$2:$Y$301, MATCH(ROUND(MIN(300,MAX(1,D2916)),0), FactorTable!$A$2:$A$301,0), Skills!L3+1)</f>
        <v/>
      </c>
      <c r="F2916">
        <f>IF(Skills!M3=TRUE,(Skills!K3/10)*(E2916/1000),Skills!K3/10)+Skills!N3</f>
        <v/>
      </c>
      <c r="G2916">
        <f>Calc!G3</f>
        <v/>
      </c>
      <c r="H2916">
        <f>Calc!H3</f>
        <v/>
      </c>
      <c r="I2916">
        <f>IF(Skills!T3&lt;&gt;"",1+(Skills!T3/10)*(Z2916/1000)/100,1)</f>
        <v/>
      </c>
      <c r="J2916" t="inlineStr"/>
      <c r="K2916" t="inlineStr"/>
      <c r="L2916" t="inlineStr"/>
      <c r="M2916" t="inlineStr"/>
      <c r="N2916" t="inlineStr"/>
      <c r="O2916">
        <f>(1-Summary!$B$11)*S2916+Summary!$B$11*U2916</f>
        <v/>
      </c>
      <c r="P2916">
        <f>IF(B2950=0,0,O2916/B2950)</f>
        <v/>
      </c>
      <c r="Q2916">
        <f>IFERROR(1/(IF(Inputs!$B$38="pvp",15,MAX(0.1,Skills!D3-IF(TRUE=TRUE,4.5,0)))*(1-IF(AND(ArtifactsInput!$M$27,Inputs!$B$4="Chapter Hunt"),CHOOSE(ArtifactsInput!$N$27+1,20,24,28,32,36,40),0)/100)),0)</f>
        <v/>
      </c>
      <c r="R2916">
        <f>IF(AND(Inputs!$B$38&lt;&gt;"pvp",Inputs!$B$43&gt;0),IF(Inputs!$B$43&lt;=0,0,(INT(Inputs!$B$43/(IF(Inputs!$B$38="pvp",15,MAX(0.1,Skills!D3-IF(TRUE=TRUE,4.5,0)))*(1-IF(AND(ArtifactsInput!$M$27,Inputs!$B$4="Chapter Hunt"),CHOOSE(ArtifactsInput!$N$27+1,20,24,28,32,36,40),0)/100)))+1)),0)</f>
        <v/>
      </c>
      <c r="S2916" t="n">
        <v>0</v>
      </c>
      <c r="T2916">
        <f>INDEX(FactorTable!$B$2:$Y$301, MATCH(ROUND(MIN(300,MAX(1,T2915)),0), FactorTable!$A$2:$A$301,0), 22)</f>
        <v/>
      </c>
      <c r="U2916" t="n">
        <v>0</v>
      </c>
      <c r="Z2916">
        <f>INDEX(FactorTable!$B$2:$Y$301, MATCH(ROUND(MIN(300,MAX(1,Z2915)),0), FactorTable!$A$2:$A$301,0), 24)</f>
        <v/>
      </c>
    </row>
    <row r="2917">
      <c r="A2917">
        <f>Skills!A4</f>
        <v/>
      </c>
      <c r="B2917">
        <f>Skills!B4</f>
        <v/>
      </c>
      <c r="C2917">
        <f>Inputs!$B$3&gt;=40</f>
        <v/>
      </c>
      <c r="D2917">
        <f>IF(Skills!C4=1,60+Inputs!$B$25+Inputs!$B$29,IF(Skills!C4=2,90+Inputs!$B$26+Inputs!$B$29,IF(Skills!C4=3,120+Inputs!$B$27+Inputs!$B$29,MAX(0,(Inputs!$B$3-100)*3)+Inputs!$B$28+Inputs!$B$29)))</f>
        <v/>
      </c>
      <c r="E2917">
        <f>INDEX(FactorTable!$B$2:$Y$301, MATCH(ROUND(MIN(300,MAX(1,D2917)),0), FactorTable!$A$2:$A$301,0), Skills!L4+1)</f>
        <v/>
      </c>
      <c r="F2917">
        <f>IF(Skills!M4=TRUE,(Skills!K4/10)*(E2917/1000),Skills!K4/10)+Skills!N4</f>
        <v/>
      </c>
      <c r="G2917">
        <f>Calc!G4</f>
        <v/>
      </c>
      <c r="H2917">
        <f>Calc!H4</f>
        <v/>
      </c>
      <c r="I2917">
        <f>IF(Skills!T4&lt;&gt;"",1+(Skills!T4/10)*(Z2916/1000)/100,1)</f>
        <v/>
      </c>
      <c r="J2917" t="inlineStr"/>
      <c r="K2917" t="inlineStr"/>
      <c r="L2917" t="inlineStr"/>
      <c r="M2917" t="inlineStr"/>
      <c r="N2917" t="inlineStr"/>
      <c r="O2917">
        <f>(1-Summary!$B$11)*S2917+Summary!$B$11*U2917</f>
        <v/>
      </c>
      <c r="P2917">
        <f>IF(B2950=0,0,O2917/B2950)</f>
        <v/>
      </c>
      <c r="Q2917">
        <f>IFERROR(1/(IF(Inputs!$B$38="pvp",15,MAX(0.1,Skills!D4-IF(TRUE=TRUE,4.5,0)))*(1-IF(AND(ArtifactsInput!$M$27,Inputs!$B$4="Chapter Hunt"),CHOOSE(ArtifactsInput!$N$27+1,20,24,28,32,36,40),0)/100)),0)</f>
        <v/>
      </c>
      <c r="R2917">
        <f>IF(AND(Inputs!$B$38&lt;&gt;"pvp",Inputs!$B$43&gt;0),IF(Inputs!$B$43&lt;=0,0,(INT(Inputs!$B$43/(IF(Inputs!$B$38="pvp",15,MAX(0.1,Skills!D4-IF(TRUE=TRUE,4.5,0)))*(1-IF(AND(ArtifactsInput!$M$27,Inputs!$B$4="Chapter Hunt"),CHOOSE(ArtifactsInput!$N$27+1,20,24,28,32,36,40),0)/100)))+1)),0)</f>
        <v/>
      </c>
      <c r="S2917" t="n">
        <v>0</v>
      </c>
      <c r="T2917">
        <f>290*T2916/1000</f>
        <v/>
      </c>
      <c r="U2917" t="n">
        <v>0</v>
      </c>
    </row>
    <row r="2918">
      <c r="A2918">
        <f>Skills!A5</f>
        <v/>
      </c>
      <c r="B2918">
        <f>Skills!B5</f>
        <v/>
      </c>
      <c r="C2918">
        <f>Inputs!$B$3&gt;=38</f>
        <v/>
      </c>
      <c r="D2918">
        <f>IF(Skills!C5=1,60+Inputs!$B$25+Inputs!$B$29,IF(Skills!C5=2,90+Inputs!$B$26+Inputs!$B$29,IF(Skills!C5=3,120+Inputs!$B$27+Inputs!$B$29,MAX(0,(Inputs!$B$3-100)*3)+Inputs!$B$28+Inputs!$B$29)))</f>
        <v/>
      </c>
      <c r="E2918">
        <f>INDEX(FactorTable!$B$2:$Y$301, MATCH(ROUND(MIN(300,MAX(1,D2918)),0), FactorTable!$A$2:$A$301,0), Skills!L5+1)</f>
        <v/>
      </c>
      <c r="F2918">
        <f>IF(Skills!M5=TRUE,(Skills!K5/10)*(E2918/1000),Skills!K5/10)+Skills!N5</f>
        <v/>
      </c>
      <c r="G2918">
        <f>Calc!G5</f>
        <v/>
      </c>
      <c r="H2918">
        <f>Calc!H5</f>
        <v/>
      </c>
      <c r="I2918">
        <f>IF(Skills!T5&lt;&gt;"",1+(Skills!T5/10)*(Z2916/1000)/100,1)</f>
        <v/>
      </c>
      <c r="J2918">
        <f>((Inputs!$B$6*(1+Inputs!$B$7/100))+(((Inputs!$B$12*(1+Inputs!$B$13/100))-(Inputs!$B$12*(1+Inputs!$B$13/100)))+0.25*(Inputs!$B$14-Inputs!$B$14))*(1+Inputs!$B$7/100))*(F2918/100)</f>
        <v/>
      </c>
      <c r="K2918">
        <f>J2918*(1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5="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2918)</f>
        <v/>
      </c>
      <c r="L2918">
        <f>K2918*(MIN(Inputs!$B$22+(F2931-Calc!F18),(Inputs!$B$23+(IF(ArtifactsInput!$M$15,CHOOSE(ArtifactsInput!$N$15+1,25,30,35,40,45,50)/100*(Inputs!$B$11-Inputs!$B$11),0))))/100+(Inputs!$B$23+(IF(ArtifactsInput!$M$15,CHOOSE(ArtifactsInput!$N$15+1,25,30,35,40,45,50)/100*(Inputs!$B$11-Inputs!$B$11),0)))/100)/2</f>
        <v/>
      </c>
      <c r="M2918">
        <f>L2918*(1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8">
        <f>L2918*(1-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2918*(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8">
        <f>(1-Summary!$B$11)*S2918+Summary!$B$11*U2918</f>
        <v/>
      </c>
      <c r="P2918">
        <f>IF(B2950=0,0,O2918/B2950)</f>
        <v/>
      </c>
      <c r="Q2918">
        <f>IFERROR(1/(IF(Inputs!$B$38="pvp",15,MAX(0.1,Skills!D5-IF(TRUE=TRUE,4.5,0)))*(1-IF(AND(ArtifactsInput!$M$27,Inputs!$B$4="Chapter Hunt"),CHOOSE(ArtifactsInput!$N$27+1,20,24,28,32,36,40),0)/100)),0)</f>
        <v/>
      </c>
      <c r="R2918">
        <f>IF(AND(Inputs!$B$38&lt;&gt;"pvp",Inputs!$B$43&gt;0),IF(MAX(0,Inputs!$B$43-B2947)&lt;=0,0,(INT(MAX(0,Inputs!$B$43-B2947)/(IF(Inputs!$B$38="pvp",15,MAX(0.1,Skills!D5-IF(TRUE=TRUE,4.5,0)))*(1-IF(AND(ArtifactsInput!$M$27,Inputs!$B$4="Chapter Hunt"),CHOOSE(ArtifactsInput!$N$27+1,20,24,28,32,36,40),0)/100)))+1)),0)</f>
        <v/>
      </c>
      <c r="S2918">
        <f>IF(C2918,(H2918*N2918*IF(AND(Inputs!$B$38&lt;&gt;"pvp",Inputs!$B$43&gt;0),((Skills!F5*((R2918-1)*IF(Skills!G5&gt;0,Skills!H5/Skills!G5,1)+IF(Skills!G5&gt;0,MIN(Skills!H5,MAX(0,MAX(0,Inputs!$B$43-B2947)-((R2918-1)*(IF(Inputs!$B$38="pvp",15,MAX(0.1,Skills!D5-IF(TRUE=TRUE,4.5,0)))*(1-IF(AND(ArtifactsInput!$M$27,Inputs!$B$4="Chapter Hunt"),CHOOSE(ArtifactsInput!$N$27+1,20,24,28,32,36,40),0)/100)))))/Skills!G5,1)))/Inputs!$B$43),G2918*Q2918))*IF(Inputs!$B$38="pvp",1,1+(Inputs!$B$20+Skills!O5+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2918*(1-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2918*(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2918*(1-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2918*(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8">
        <f>IF(C2918,(H2918*N2918*IF(AND(Inputs!$B$38&lt;&gt;"pvp",Inputs!$B$43&gt;0),((Skills!F5*((R2918-1)*IF(Skills!G5&gt;0,Skills!H5/Skills!G5,1)+IF(Skills!G5&gt;0,MIN(Skills!H5,MAX(0,MAX(0,Inputs!$B$43-B2947)-((R2918-1)*(IF(Inputs!$B$38="pvp",15,MAX(0.1,Skills!D5-IF(TRUE=TRUE,4.5,0)))*(1-IF(AND(ArtifactsInput!$M$27,Inputs!$B$4="Chapter Hunt"),CHOOSE(ArtifactsInput!$N$27+1,20,24,28,32,36,40),0)/100)))))/Skills!G5,1)))/Inputs!$B$43),G2918*Q2918))*IF(Inputs!$B$38="pvp",1,(1+(Inputs!$B$21+Skills!P5+B2941+(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19">
      <c r="A2919">
        <f>Skills!A6</f>
        <v/>
      </c>
      <c r="B2919">
        <f>Skills!B6</f>
        <v/>
      </c>
      <c r="C2919">
        <f>Inputs!$B$3&gt;=63</f>
        <v/>
      </c>
      <c r="D2919">
        <f>IF(Skills!C6=1,60+Inputs!$B$25+Inputs!$B$29,IF(Skills!C6=2,90+Inputs!$B$26+Inputs!$B$29,IF(Skills!C6=3,120+Inputs!$B$27+Inputs!$B$29,MAX(0,(Inputs!$B$3-100)*3)+Inputs!$B$28+Inputs!$B$29)))</f>
        <v/>
      </c>
      <c r="E2919">
        <f>INDEX(FactorTable!$B$2:$Y$301, MATCH(ROUND(MIN(300,MAX(1,D2919)),0), FactorTable!$A$2:$A$301,0), Skills!L6+1)</f>
        <v/>
      </c>
      <c r="F2919">
        <f>IF(Skills!M6=TRUE,(Skills!K6/10)*(E2919/1000),Skills!K6/10)+Skills!N6</f>
        <v/>
      </c>
      <c r="G2919">
        <f>Calc!G6</f>
        <v/>
      </c>
      <c r="H2919">
        <f>Calc!H6</f>
        <v/>
      </c>
      <c r="I2919">
        <f>IF(Skills!T6&lt;&gt;"",1+(Skills!T6/10)*(Z2916/1000)/100,1)</f>
        <v/>
      </c>
      <c r="J2919">
        <f>((Inputs!$B$6*(1+Inputs!$B$7/100))+(((Inputs!$B$12*(1+Inputs!$B$13/100))-(Inputs!$B$12*(1+Inputs!$B$13/100)))+0.25*(Inputs!$B$14-Inputs!$B$14))*(1+Inputs!$B$7/100))*(F2919/100)</f>
        <v/>
      </c>
      <c r="K2919">
        <f>J2919*(1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6="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2919)</f>
        <v/>
      </c>
      <c r="L2919">
        <f>K2919*(MIN(Inputs!$B$22+(F2931-Calc!F18),(Inputs!$B$23+(IF(ArtifactsInput!$M$15,CHOOSE(ArtifactsInput!$N$15+1,25,30,35,40,45,50)/100*(Inputs!$B$11-Inputs!$B$11),0))))/100+(Inputs!$B$23+(IF(ArtifactsInput!$M$15,CHOOSE(ArtifactsInput!$N$15+1,25,30,35,40,45,50)/100*(Inputs!$B$11-Inputs!$B$11),0)))/100)/2</f>
        <v/>
      </c>
      <c r="M2919">
        <f>L2919*(1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19">
        <f>L2919*(1-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2919*(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19">
        <f>(1-Summary!$B$11)*S2919+Summary!$B$11*U2919</f>
        <v/>
      </c>
      <c r="P2919">
        <f>IF(B2950=0,0,O2919/B2950)</f>
        <v/>
      </c>
      <c r="Q2919">
        <f>IFERROR(1/(IF(Inputs!$B$38="pvp",15,MAX(0.1,Skills!D6-IF(TRUE=TRUE,4.5,0)))*(1-IF(AND(ArtifactsInput!$M$27,Inputs!$B$4="Chapter Hunt"),CHOOSE(ArtifactsInput!$N$27+1,20,24,28,32,36,40),0)/100)),0)</f>
        <v/>
      </c>
      <c r="R2919">
        <f>IF(AND(Inputs!$B$38&lt;&gt;"pvp",Inputs!$B$43&gt;0),IF(MAX(0,Inputs!$B$43-B2947)&lt;=0,0,(INT(MAX(0,Inputs!$B$43-B2947)/(IF(Inputs!$B$38="pvp",15,MAX(0.1,Skills!D6-IF(TRUE=TRUE,4.5,0)))*(1-IF(AND(ArtifactsInput!$M$27,Inputs!$B$4="Chapter Hunt"),CHOOSE(ArtifactsInput!$N$27+1,20,24,28,32,36,40),0)/100)))+1)),0)</f>
        <v/>
      </c>
      <c r="S2919">
        <f>IF(C2919,(H2919*N2919*IF(AND(Inputs!$B$38&lt;&gt;"pvp",Inputs!$B$43&gt;0),((Skills!F6*((R2919-1)*IF(Skills!G6&gt;0,Skills!H6/Skills!G6,1)+IF(Skills!G6&gt;0,MIN(Skills!H6,MAX(0,MAX(0,Inputs!$B$43-B2947)-((R2919-1)*(IF(Inputs!$B$38="pvp",15,MAX(0.1,Skills!D6-IF(TRUE=TRUE,4.5,0)))*(1-IF(AND(ArtifactsInput!$M$27,Inputs!$B$4="Chapter Hunt"),CHOOSE(ArtifactsInput!$N$27+1,20,24,28,32,36,40),0)/100)))))/Skills!G6,1)))/Inputs!$B$43),G2919*Q2919))*IF(Inputs!$B$38="pvp",1,1+(Inputs!$B$20+Skills!O6+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2919*(1-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2919*(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2919*(1-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2919*(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19">
        <f>IF(C2919,(H2919*N2919*IF(AND(Inputs!$B$38&lt;&gt;"pvp",Inputs!$B$43&gt;0),((Skills!F6*((R2919-1)*IF(Skills!G6&gt;0,Skills!H6/Skills!G6,1)+IF(Skills!G6&gt;0,MIN(Skills!H6,MAX(0,MAX(0,Inputs!$B$43-B2947)-((R2919-1)*(IF(Inputs!$B$38="pvp",15,MAX(0.1,Skills!D6-IF(TRUE=TRUE,4.5,0)))*(1-IF(AND(ArtifactsInput!$M$27,Inputs!$B$4="Chapter Hunt"),CHOOSE(ArtifactsInput!$N$27+1,20,24,28,32,36,40),0)/100)))))/Skills!G6,1)))/Inputs!$B$43),G2919*Q2919))*IF(Inputs!$B$38="pvp",1,(1+(Inputs!$B$21+Skills!P6+B2941+(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0">
      <c r="A2920">
        <f>Skills!A7</f>
        <v/>
      </c>
      <c r="B2920">
        <f>Skills!B7</f>
        <v/>
      </c>
      <c r="C2920">
        <f>Inputs!$B$3&gt;=69</f>
        <v/>
      </c>
      <c r="D2920">
        <f>IF(Skills!C7=1,60+Inputs!$B$25+Inputs!$B$29,IF(Skills!C7=2,90+Inputs!$B$26+Inputs!$B$29,IF(Skills!C7=3,120+Inputs!$B$27+Inputs!$B$29,MAX(0,(Inputs!$B$3-100)*3)+Inputs!$B$28+Inputs!$B$29)))</f>
        <v/>
      </c>
      <c r="E2920">
        <f>INDEX(FactorTable!$B$2:$Y$301, MATCH(ROUND(MIN(300,MAX(1,D2920)),0), FactorTable!$A$2:$A$301,0), Skills!L7+1)</f>
        <v/>
      </c>
      <c r="F2920">
        <f>IF(Skills!M7=TRUE,(Skills!K7/10)*(E2920/1000),Skills!K7/10)+Skills!N7</f>
        <v/>
      </c>
      <c r="G2920">
        <f>Calc!G7</f>
        <v/>
      </c>
      <c r="H2920">
        <f>Calc!H7</f>
        <v/>
      </c>
      <c r="I2920">
        <f>IF(Skills!T7&lt;&gt;"",1+(Skills!T7/10)*(Z2916/1000)/100,1)</f>
        <v/>
      </c>
      <c r="J2920">
        <f>((Inputs!$B$6*(1+Inputs!$B$7/100))+(((Inputs!$B$12*(1+Inputs!$B$13/100))-(Inputs!$B$12*(1+Inputs!$B$13/100)))+0.25*(Inputs!$B$14-Inputs!$B$14))*(1+Inputs!$B$7/100))*(F2920/100)</f>
        <v/>
      </c>
      <c r="K2920">
        <f>J2920*(1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7="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2920)</f>
        <v/>
      </c>
      <c r="L2920">
        <f>K2920*(MIN(Inputs!$B$22+(F2931-Calc!F18),(Inputs!$B$23+(IF(ArtifactsInput!$M$15,CHOOSE(ArtifactsInput!$N$15+1,25,30,35,40,45,50)/100*(Inputs!$B$11-Inputs!$B$11),0))))/100+(Inputs!$B$23+(IF(ArtifactsInput!$M$15,CHOOSE(ArtifactsInput!$N$15+1,25,30,35,40,45,50)/100*(Inputs!$B$11-Inputs!$B$11),0)))/100)/2</f>
        <v/>
      </c>
      <c r="M2920">
        <f>L2920*(1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0">
        <f>L2920*(1-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2920*(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0">
        <f>(1-Summary!$B$11)*S2920+Summary!$B$11*U2920</f>
        <v/>
      </c>
      <c r="P2920">
        <f>IF(B2950=0,0,O2920/B2950)</f>
        <v/>
      </c>
      <c r="Q2920">
        <f>IFERROR(1/(IF(Inputs!$B$38="pvp",15,MAX(0.1,Skills!D7-IF(TRUE=TRUE,4.5,0)))*(1-IF(AND(ArtifactsInput!$M$27,Inputs!$B$4="Chapter Hunt"),CHOOSE(ArtifactsInput!$N$27+1,20,24,28,32,36,40),0)/100)),0)</f>
        <v/>
      </c>
      <c r="R2920">
        <f>IF(AND(Inputs!$B$38&lt;&gt;"pvp",Inputs!$B$43&gt;0),IF(MAX(0,Inputs!$B$43-B2947)&lt;=0,0,(INT(MAX(0,Inputs!$B$43-B2947)/(IF(Inputs!$B$38="pvp",15,MAX(0.1,Skills!D7-IF(TRUE=TRUE,4.5,0)))*(1-IF(AND(ArtifactsInput!$M$27,Inputs!$B$4="Chapter Hunt"),CHOOSE(ArtifactsInput!$N$27+1,20,24,28,32,36,40),0)/100)))+1)),0)</f>
        <v/>
      </c>
      <c r="S2920">
        <f>IF(C2920,(H2920*N2920*IF(AND(Inputs!$B$38&lt;&gt;"pvp",Inputs!$B$43&gt;0),((Skills!F7*((R2920-1)*IF(Skills!G7&gt;0,Skills!H7/Skills!G7,1)+IF(Skills!G7&gt;0,MIN(Skills!H7,MAX(0,MAX(0,Inputs!$B$43-B2947)-((R2920-1)*(IF(Inputs!$B$38="pvp",15,MAX(0.1,Skills!D7-IF(TRUE=TRUE,4.5,0)))*(1-IF(AND(ArtifactsInput!$M$27,Inputs!$B$4="Chapter Hunt"),CHOOSE(ArtifactsInput!$N$27+1,20,24,28,32,36,40),0)/100)))))/Skills!G7,1)))/Inputs!$B$43),G2920*Q2920))*IF(Inputs!$B$38="pvp",1,1+(Inputs!$B$20+Skills!O7+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2920*(1-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2920*(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2920*(1-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2920*(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0">
        <f>IF(C2920,(H2920*N2920*IF(AND(Inputs!$B$38&lt;&gt;"pvp",Inputs!$B$43&gt;0),((Skills!F7*((R2920-1)*IF(Skills!G7&gt;0,Skills!H7/Skills!G7,1)+IF(Skills!G7&gt;0,MIN(Skills!H7,MAX(0,MAX(0,Inputs!$B$43-B2947)-((R2920-1)*(IF(Inputs!$B$38="pvp",15,MAX(0.1,Skills!D7-IF(TRUE=TRUE,4.5,0)))*(1-IF(AND(ArtifactsInput!$M$27,Inputs!$B$4="Chapter Hunt"),CHOOSE(ArtifactsInput!$N$27+1,20,24,28,32,36,40),0)/100)))))/Skills!G7,1)))/Inputs!$B$43),G2920*Q2920))*IF(Inputs!$B$38="pvp",1,(1+(Inputs!$B$21+Skills!P7+B2941+(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1">
      <c r="A2921">
        <f>Skills!A8</f>
        <v/>
      </c>
      <c r="B2921">
        <f>Skills!B8</f>
        <v/>
      </c>
      <c r="C2921">
        <f>Inputs!$B$3&gt;=103</f>
        <v/>
      </c>
      <c r="D2921">
        <f>IF(Skills!C8=1,60+Inputs!$B$25+Inputs!$B$29,IF(Skills!C8=2,90+Inputs!$B$26+Inputs!$B$29,IF(Skills!C8=3,120+Inputs!$B$27+Inputs!$B$29,MAX(0,(Inputs!$B$3-100)*3)+Inputs!$B$28+Inputs!$B$29)))</f>
        <v/>
      </c>
      <c r="E2921">
        <f>INDEX(FactorTable!$B$2:$Y$301, MATCH(ROUND(MIN(300,MAX(1,D2921)),0), FactorTable!$A$2:$A$301,0), Skills!L8+1)</f>
        <v/>
      </c>
      <c r="F2921">
        <f>IF(Skills!M8=TRUE,(Skills!K8/10)*(E2921/1000),Skills!K8/10)+Skills!N8</f>
        <v/>
      </c>
      <c r="G2921">
        <f>Calc!G8</f>
        <v/>
      </c>
      <c r="H2921">
        <f>Calc!H8</f>
        <v/>
      </c>
      <c r="I2921">
        <f>IF(Skills!T8&lt;&gt;"",1+(Skills!T8/10)*(Z2916/1000)/100,1)</f>
        <v/>
      </c>
      <c r="J2921">
        <f>((Inputs!$B$6*(1+Inputs!$B$7/100))+(((Inputs!$B$12*(1+Inputs!$B$13/100))-(Inputs!$B$12*(1+Inputs!$B$13/100)))+0.25*(Inputs!$B$14-Inputs!$B$14))*(1+Inputs!$B$7/100))*(F2921/100)</f>
        <v/>
      </c>
      <c r="K2921">
        <f>J2921*(1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8="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2921)</f>
        <v/>
      </c>
      <c r="L2921">
        <f>K2921*(MIN(Inputs!$B$22+(F2931-Calc!F18),(Inputs!$B$23+(IF(ArtifactsInput!$M$15,CHOOSE(ArtifactsInput!$N$15+1,25,30,35,40,45,50)/100*(Inputs!$B$11-Inputs!$B$11),0))))/100+(Inputs!$B$23+(IF(ArtifactsInput!$M$15,CHOOSE(ArtifactsInput!$N$15+1,25,30,35,40,45,50)/100*(Inputs!$B$11-Inputs!$B$11),0)))/100)/2</f>
        <v/>
      </c>
      <c r="M2921">
        <f>L2921*(1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1">
        <f>L2921*(1-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1">
        <f>(1-Summary!$B$11)*S2921+Summary!$B$11*U2921</f>
        <v/>
      </c>
      <c r="P2921">
        <f>IF(B2950=0,0,O2921/B2950)</f>
        <v/>
      </c>
      <c r="Q2921">
        <f>IFERROR(1/(IF(Inputs!$B$38="pvp",15,MAX(0.1,Skills!D8-IF(TRUE=TRUE,4.5,0)))*(1-IF(AND(ArtifactsInput!$M$27,Inputs!$B$4="Chapter Hunt"),CHOOSE(ArtifactsInput!$N$27+1,20,24,28,32,36,40),0)/100)),0)</f>
        <v/>
      </c>
      <c r="R2921">
        <f>IF(AND(Inputs!$B$38&lt;&gt;"pvp",Inputs!$B$43&gt;0),IF(MAX(0,Inputs!$B$43-B2947)&lt;=0,0,(INT(MAX(0,Inputs!$B$43-B2947)/(IF(Inputs!$B$38="pvp",15,MAX(0.1,Skills!D8-IF(TRUE=TRUE,4.5,0)))*(1-IF(AND(ArtifactsInput!$M$27,Inputs!$B$4="Chapter Hunt"),CHOOSE(ArtifactsInput!$N$27+1,20,24,28,32,36,40),0)/100)))+1)),0)</f>
        <v/>
      </c>
      <c r="S2921">
        <f>IF(C2921,(H2921*N2921*IF(AND(Inputs!$B$38&lt;&gt;"pvp",Inputs!$B$43&gt;0),((Skills!F8*((R2921-1)*IF(Skills!G8&gt;0,Skills!H8/Skills!G8,1)+IF(Skills!G8&gt;0,MIN(Skills!H8,MAX(0,MAX(0,Inputs!$B$43-B2947)-((R2921-1)*(IF(Inputs!$B$38="pvp",15,MAX(0.1,Skills!D8-IF(TRUE=TRUE,4.5,0)))*(1-IF(AND(ArtifactsInput!$M$27,Inputs!$B$4="Chapter Hunt"),CHOOSE(ArtifactsInput!$N$27+1,20,24,28,32,36,40),0)/100)))))/Skills!G8,1)))/Inputs!$B$43),G2921*Q2921))*IF(Inputs!$B$38="pvp",1,1+(Inputs!$B$20+Skills!O8+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2921*(1-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2921*(1-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1">
        <f>IF(C2921,(H2921*N2921*IF(AND(Inputs!$B$38&lt;&gt;"pvp",Inputs!$B$43&gt;0),((Skills!F8*((R2921-1)*IF(Skills!G8&gt;0,Skills!H8/Skills!G8,1)+IF(Skills!G8&gt;0,MIN(Skills!H8,MAX(0,MAX(0,Inputs!$B$43-B2947)-((R2921-1)*(IF(Inputs!$B$38="pvp",15,MAX(0.1,Skills!D8-IF(TRUE=TRUE,4.5,0)))*(1-IF(AND(ArtifactsInput!$M$27,Inputs!$B$4="Chapter Hunt"),CHOOSE(ArtifactsInput!$N$27+1,20,24,28,32,36,40),0)/100)))))/Skills!G8,1)))/Inputs!$B$43),G2921*Q2921))*IF(Inputs!$B$38="pvp",1,(1+(Inputs!$B$21+Skills!P8+B2941+(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2">
      <c r="A2922">
        <f>Skills!A9</f>
        <v/>
      </c>
      <c r="B2922">
        <f>Skills!B9</f>
        <v/>
      </c>
      <c r="C2922">
        <f>Inputs!$B$3&gt;=105</f>
        <v/>
      </c>
      <c r="D2922">
        <f>IF(Skills!C9=1,60+Inputs!$B$25+Inputs!$B$29,IF(Skills!C9=2,90+Inputs!$B$26+Inputs!$B$29,IF(Skills!C9=3,120+Inputs!$B$27+Inputs!$B$29,MAX(0,(Inputs!$B$3-100)*3)+Inputs!$B$28+Inputs!$B$29)))</f>
        <v/>
      </c>
      <c r="E2922">
        <f>INDEX(FactorTable!$B$2:$Y$301, MATCH(ROUND(MIN(300,MAX(1,D2922)),0), FactorTable!$A$2:$A$301,0), Skills!L9+1)</f>
        <v/>
      </c>
      <c r="F2922">
        <f>IF(Skills!M9=TRUE,(Skills!K9/10)*(E2922/1000),Skills!K9/10)+Skills!N9</f>
        <v/>
      </c>
      <c r="G2922">
        <f>Calc!G9</f>
        <v/>
      </c>
      <c r="H2922">
        <f>Calc!H9</f>
        <v/>
      </c>
      <c r="I2922">
        <f>IF(Skills!T9&lt;&gt;"",1+(Skills!T9/10)*(Z2916/1000)/100,1)</f>
        <v/>
      </c>
      <c r="J2922">
        <f>((Inputs!$B$6*(1+Inputs!$B$7/100))+(((Inputs!$B$12*(1+Inputs!$B$13/100))-(Inputs!$B$12*(1+Inputs!$B$13/100)))+0.25*(Inputs!$B$14-Inputs!$B$14))*(1+Inputs!$B$7/100))*(F2922/100)</f>
        <v/>
      </c>
      <c r="K2922">
        <f>J2922*(1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9="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2922)</f>
        <v/>
      </c>
      <c r="L2922">
        <f>K2922*(MIN(Inputs!$B$22+(F2931-Calc!F18),(Inputs!$B$23+(IF(ArtifactsInput!$M$15,CHOOSE(ArtifactsInput!$N$15+1,25,30,35,40,45,50)/100*(Inputs!$B$11-Inputs!$B$11),0))))/100+(Inputs!$B$23+(IF(ArtifactsInput!$M$15,CHOOSE(ArtifactsInput!$N$15+1,25,30,35,40,45,50)/100*(Inputs!$B$11-Inputs!$B$11),0)))/100)/2</f>
        <v/>
      </c>
      <c r="M2922">
        <f>L2922*(1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2">
        <f>L2922*(1-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2922*(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2">
        <f>(1-Summary!$B$11)*S2922+Summary!$B$11*U2922</f>
        <v/>
      </c>
      <c r="P2922">
        <f>IF(B2950=0,0,O2922/B2950)</f>
        <v/>
      </c>
      <c r="Q2922">
        <f>IFERROR(1/(IF(Inputs!$B$38="pvp",15,MAX(0.1,Skills!D9-IF(TRUE=TRUE,4.5,0)))*(1-IF(AND(ArtifactsInput!$M$27,Inputs!$B$4="Chapter Hunt"),CHOOSE(ArtifactsInput!$N$27+1,20,24,28,32,36,40),0)/100)),0)</f>
        <v/>
      </c>
      <c r="R2922">
        <f>IF(AND(Inputs!$B$38&lt;&gt;"pvp",Inputs!$B$43&gt;0),IF(MAX(0,Inputs!$B$43-B2947)&lt;=0,0,(INT(MAX(0,Inputs!$B$43-B2947)/(IF(Inputs!$B$38="pvp",15,MAX(0.1,Skills!D9-IF(TRUE=TRUE,4.5,0)))*(1-IF(AND(ArtifactsInput!$M$27,Inputs!$B$4="Chapter Hunt"),CHOOSE(ArtifactsInput!$N$27+1,20,24,28,32,36,40),0)/100)))+1)),0)</f>
        <v/>
      </c>
      <c r="S2922">
        <f>IF(C2922,(H2922*N2922*IF(AND(Inputs!$B$38&lt;&gt;"pvp",Inputs!$B$43&gt;0),((Skills!F9*((R2922-1)*IF(Skills!G9&gt;0,Skills!H9/Skills!G9,1)+IF(Skills!G9&gt;0,MIN(Skills!H9,MAX(0,MAX(0,Inputs!$B$43-B2947)-((R2922-1)*(IF(Inputs!$B$38="pvp",15,MAX(0.1,Skills!D9-IF(TRUE=TRUE,4.5,0)))*(1-IF(AND(ArtifactsInput!$M$27,Inputs!$B$4="Chapter Hunt"),CHOOSE(ArtifactsInput!$N$27+1,20,24,28,32,36,40),0)/100)))))/Skills!G9,1)))/Inputs!$B$43),G2922*Q2922))*IF(Inputs!$B$38="pvp",1,1+(Inputs!$B$20+Skills!O9+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2922*(1-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2922*(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2922*(1-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2922*(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2">
        <f>IF(C2922,(H2922*N2922*IF(AND(Inputs!$B$38&lt;&gt;"pvp",Inputs!$B$43&gt;0),((Skills!F9*((R2922-1)*IF(Skills!G9&gt;0,Skills!H9/Skills!G9,1)+IF(Skills!G9&gt;0,MIN(Skills!H9,MAX(0,MAX(0,Inputs!$B$43-B2947)-((R2922-1)*(IF(Inputs!$B$38="pvp",15,MAX(0.1,Skills!D9-IF(TRUE=TRUE,4.5,0)))*(1-IF(AND(ArtifactsInput!$M$27,Inputs!$B$4="Chapter Hunt"),CHOOSE(ArtifactsInput!$N$27+1,20,24,28,32,36,40),0)/100)))))/Skills!G9,1)))/Inputs!$B$43),G2922*Q2922))*IF(Inputs!$B$38="pvp",1,(1+(Inputs!$B$21+Skills!P9+B2941+(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3">
      <c r="A2923">
        <f>Skills!A10</f>
        <v/>
      </c>
      <c r="B2923">
        <f>Skills!B10</f>
        <v/>
      </c>
      <c r="C2923">
        <f>Inputs!$B$3&gt;=113</f>
        <v/>
      </c>
      <c r="D2923">
        <f>IF(Skills!C10=1,60+Inputs!$B$25+Inputs!$B$29,IF(Skills!C10=2,90+Inputs!$B$26+Inputs!$B$29,IF(Skills!C10=3,120+Inputs!$B$27+Inputs!$B$29,MAX(0,(Inputs!$B$3-100)*3)+Inputs!$B$28+Inputs!$B$29)))</f>
        <v/>
      </c>
      <c r="E2923">
        <f>INDEX(FactorTable!$B$2:$Y$301, MATCH(ROUND(MIN(300,MAX(1,D2923)),0), FactorTable!$A$2:$A$301,0), Skills!L10+1)</f>
        <v/>
      </c>
      <c r="F2923">
        <f>IF(Skills!M10=TRUE,(Skills!K10/10)*(E2923/1000),Skills!K10/10)+Skills!N10</f>
        <v/>
      </c>
      <c r="G2923">
        <f>Calc!G10</f>
        <v/>
      </c>
      <c r="H2923">
        <f>Calc!H10</f>
        <v/>
      </c>
      <c r="I2923">
        <f>IF(Skills!T10&lt;&gt;"",1+(Skills!T10/10)*(Z2916/1000)/100,1)</f>
        <v/>
      </c>
      <c r="J2923">
        <f>((Inputs!$B$6*(1+Inputs!$B$7/100))+(((Inputs!$B$12*(1+Inputs!$B$13/100))-(Inputs!$B$12*(1+Inputs!$B$13/100)))+0.25*(Inputs!$B$14-Inputs!$B$14))*(1+Inputs!$B$7/100))*(F2923/100)</f>
        <v/>
      </c>
      <c r="K2923">
        <f>J2923*(1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10="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2923)</f>
        <v/>
      </c>
      <c r="L2923">
        <f>K2923*(MIN(Inputs!$B$22+(F2931-Calc!F18),(Inputs!$B$23+(IF(ArtifactsInput!$M$15,CHOOSE(ArtifactsInput!$N$15+1,25,30,35,40,45,50)/100*(Inputs!$B$11-Inputs!$B$11),0))))/100+(Inputs!$B$23+(IF(ArtifactsInput!$M$15,CHOOSE(ArtifactsInput!$N$15+1,25,30,35,40,45,50)/100*(Inputs!$B$11-Inputs!$B$11),0)))/100)/2</f>
        <v/>
      </c>
      <c r="M2923">
        <f>L2923*(1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3">
        <f>L2923*(1-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2923*(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3">
        <f>(1-Summary!$B$11)*S2923+Summary!$B$11*U2923</f>
        <v/>
      </c>
      <c r="P2923">
        <f>IF(B2950=0,0,O2923/B2950)</f>
        <v/>
      </c>
      <c r="Q2923">
        <f>IFERROR(1/(IF(Inputs!$B$38="pvp",15,MAX(0.1,Skills!D10-IF(TRUE=TRUE,4.5,0)))*(1-IF(AND(ArtifactsInput!$M$27,Inputs!$B$4="Chapter Hunt"),CHOOSE(ArtifactsInput!$N$27+1,20,24,28,32,36,40),0)/100)),0)</f>
        <v/>
      </c>
      <c r="R2923" t="n">
        <v>0</v>
      </c>
      <c r="S2923">
        <f>IF(C2923,((H2923*B2951)/(1+Skills!G10*H2923*B2951)*N2923)*IF(Inputs!$B$38="pvp",1,1+(Inputs!$B$20+Skills!O10+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2923*(1-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2923*(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2923*(1-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2923*(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3">
        <f>IF(C2923,((H2923*B2951)/(1+Skills!G10*H2923*B2951)*N2923)*IF(Inputs!$B$38="pvp",1,(1+(Inputs!$B$21+Skills!P10+B2941+(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4">
      <c r="A2924">
        <f>Skills!A11</f>
        <v/>
      </c>
      <c r="B2924">
        <f>Skills!B11</f>
        <v/>
      </c>
      <c r="C2924">
        <f>Inputs!$B$3&gt;=107</f>
        <v/>
      </c>
      <c r="D2924">
        <f>IF(Skills!C11=1,60+Inputs!$B$25+Inputs!$B$29,IF(Skills!C11=2,90+Inputs!$B$26+Inputs!$B$29,IF(Skills!C11=3,120+Inputs!$B$27+Inputs!$B$29,MAX(0,(Inputs!$B$3-100)*3)+Inputs!$B$28+Inputs!$B$29)))</f>
        <v/>
      </c>
      <c r="E2924">
        <f>INDEX(FactorTable!$B$2:$Y$301, MATCH(ROUND(MIN(300,MAX(1,D2924)),0), FactorTable!$A$2:$A$301,0), Skills!L11+1)</f>
        <v/>
      </c>
      <c r="F2924">
        <f>IF(Skills!M11=TRUE,(Skills!K11/10)*(E2924/1000),Skills!K11/10)+Skills!N11</f>
        <v/>
      </c>
      <c r="G2924">
        <f>Calc!G11</f>
        <v/>
      </c>
      <c r="H2924">
        <f>Calc!H11</f>
        <v/>
      </c>
      <c r="I2924">
        <f>IF(Skills!T11&lt;&gt;"",1+(Skills!T11/10)*(Z2916/1000)/100,1)</f>
        <v/>
      </c>
      <c r="J2924">
        <f>((Inputs!$B$6*(1+Inputs!$B$7/100))+(((Inputs!$B$12*(1+Inputs!$B$13/100))-(Inputs!$B$12*(1+Inputs!$B$13/100)))+0.25*(Inputs!$B$14-Inputs!$B$14))*(1+Inputs!$B$7/100))*(F2924/100)</f>
        <v/>
      </c>
      <c r="K2924">
        <f>J2924*(1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11="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2924)</f>
        <v/>
      </c>
      <c r="L2924">
        <f>K2924*(MIN(Inputs!$B$22+(F2931-Calc!F18),(Inputs!$B$23+(IF(ArtifactsInput!$M$15,CHOOSE(ArtifactsInput!$N$15+1,25,30,35,40,45,50)/100*(Inputs!$B$11-Inputs!$B$11),0))))/100+(Inputs!$B$23+(IF(ArtifactsInput!$M$15,CHOOSE(ArtifactsInput!$N$15+1,25,30,35,40,45,50)/100*(Inputs!$B$11-Inputs!$B$11),0)))/100)/2</f>
        <v/>
      </c>
      <c r="M2924">
        <f>L2924*(1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4">
        <f>L2924*(1-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2924*(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4">
        <f>(1-Summary!$B$11)*S2924+Summary!$B$11*U2924</f>
        <v/>
      </c>
      <c r="P2924">
        <f>IF(B2950=0,0,O2924/B2950)</f>
        <v/>
      </c>
      <c r="Q2924">
        <f>IFERROR(1/(IF(Inputs!$B$38="pvp",15,MAX(0.1,Skills!D11-IF(TRUE=TRUE,4.5,0)))*(1-IF(AND(ArtifactsInput!$M$27,Inputs!$B$4="Chapter Hunt"),CHOOSE(ArtifactsInput!$N$27+1,20,24,28,32,36,40),0)/100)),0)</f>
        <v/>
      </c>
      <c r="R2924">
        <f>IF(AND(Inputs!$B$38&lt;&gt;"pvp",Inputs!$B$43&gt;0),IF(MAX(0,Inputs!$B$43-B2947)&lt;=0,0,(INT(MAX(0,Inputs!$B$43-B2947)/(IF(Inputs!$B$38="pvp",15,MAX(0.1,Skills!D11-IF(TRUE=TRUE,4.5,0)))*(1-IF(AND(ArtifactsInput!$M$27,Inputs!$B$4="Chapter Hunt"),CHOOSE(ArtifactsInput!$N$27+1,20,24,28,32,36,40),0)/100)))+1)),0)</f>
        <v/>
      </c>
      <c r="S2924">
        <f>IF(C2924,H2924*N2924*IF(AND(Inputs!$B$38&lt;&gt;"pvp",Inputs!$B$43&gt;0),((Skills!F11*((R2924-1)*IF(Skills!G11&gt;0,Skills!H11/Skills!G11,1)+IF(Skills!G11&gt;0,MIN(Skills!H11,MAX(0,MAX(0,Inputs!$B$43-B2947)-((R2924-1)*(IF(Inputs!$B$38="pvp",15,MAX(0.1,Skills!D11-IF(TRUE=TRUE,4.5,0)))*(1-IF(AND(ArtifactsInput!$M$27,Inputs!$B$4="Chapter Hunt"),CHOOSE(ArtifactsInput!$N$27+1,20,24,28,32,36,40),0)/100)))))/Skills!G11,1)))/Inputs!$B$43),G2924*Q2924)*0.5*IF(Inputs!$B$38="pvp",1,1+(Inputs!$B$20+Skills!O11+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2924*(1-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2924*(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2924*(1-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2924*(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4">
        <f>IF(C2924,H2924*N2924*IF(AND(Inputs!$B$38&lt;&gt;"pvp",Inputs!$B$43&gt;0),((Skills!F11*((R2924-1)*IF(Skills!G11&gt;0,Skills!H11/Skills!G11,1)+IF(Skills!G11&gt;0,MIN(Skills!H11,MAX(0,MAX(0,Inputs!$B$43-B2947)-((R2924-1)*(IF(Inputs!$B$38="pvp",15,MAX(0.1,Skills!D11-IF(TRUE=TRUE,4.5,0)))*(1-IF(AND(ArtifactsInput!$M$27,Inputs!$B$4="Chapter Hunt"),CHOOSE(ArtifactsInput!$N$27+1,20,24,28,32,36,40),0)/100)))))/Skills!G11,1)))/Inputs!$B$43),G2924*Q2924)*1*IF(Inputs!$B$38="pvp",1,(1+(Inputs!$B$21+Skills!P11+B2941+(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5">
      <c r="A2925">
        <f>Skills!A12</f>
        <v/>
      </c>
      <c r="B2925">
        <f>Skills!B12</f>
        <v/>
      </c>
      <c r="C2925">
        <f>Inputs!$B$3&gt;=115</f>
        <v/>
      </c>
      <c r="D2925">
        <f>IF(Skills!C12=1,60+Inputs!$B$25+Inputs!$B$29,IF(Skills!C12=2,90+Inputs!$B$26+Inputs!$B$29,IF(Skills!C12=3,120+Inputs!$B$27+Inputs!$B$29,MAX(0,(Inputs!$B$3-100)*3)+Inputs!$B$28+Inputs!$B$29)))</f>
        <v/>
      </c>
      <c r="E2925">
        <f>INDEX(FactorTable!$B$2:$Y$301, MATCH(ROUND(MIN(300,MAX(1,D2925)),0), FactorTable!$A$2:$A$301,0), Skills!L12+1)</f>
        <v/>
      </c>
      <c r="F2925">
        <f>IF(Skills!M12=TRUE,(Skills!K12/10)*(E2925/1000),Skills!K12/10)+Skills!N12</f>
        <v/>
      </c>
      <c r="G2925">
        <f>Calc!G12</f>
        <v/>
      </c>
      <c r="H2925">
        <f>Calc!H12</f>
        <v/>
      </c>
      <c r="I2925">
        <f>IF(Skills!T12&lt;&gt;"",1+(Skills!T12/10)*(Z2916/1000)/100,1)</f>
        <v/>
      </c>
      <c r="J2925">
        <f>((Inputs!$B$6*(1+Inputs!$B$7/100))+(((Inputs!$B$12*(1+Inputs!$B$13/100))-(Inputs!$B$12*(1+Inputs!$B$13/100)))+0.25*(Inputs!$B$14-Inputs!$B$14))*(1+Inputs!$B$7/100))*(F2925/100)</f>
        <v/>
      </c>
      <c r="K2925">
        <f>J2925*(1+((Inputs!$B$12*(1+Inputs!$B$13/100))*0.01+Inputs!$B$14*0.0025)/100)*(1+(Inputs!$B$15+B2942)/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2928=TRUE,F2928,0)/100)*(1+IF(C2936=TRUE,F2936,0)/100)^5*(1+(IF(Skills!A12="CHAIN_LIGHTNING",Inputs!$B$17+((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2940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2925)</f>
        <v/>
      </c>
      <c r="L2925">
        <f>K2925*(MIN(Inputs!$B$22+(F2931-Calc!F18),(Inputs!$B$23+(IF(ArtifactsInput!$M$15,CHOOSE(ArtifactsInput!$N$15+1,25,30,35,40,45,50)/100*(Inputs!$B$11-Inputs!$B$11),0))))/100+(Inputs!$B$23+(IF(ArtifactsInput!$M$15,CHOOSE(ArtifactsInput!$N$15+1,25,30,35,40,45,50)/100*(Inputs!$B$11-Inputs!$B$11),0)))/100)/2</f>
        <v/>
      </c>
      <c r="M2925">
        <f>L2925*(1+(Inputs!$B$10+(F2934-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5">
        <f>L2925*(1-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2925*(MIN((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5">
        <f>(1-Summary!$B$11)*S2925+Summary!$B$11*U2925</f>
        <v/>
      </c>
      <c r="P2925">
        <f>IF(B2950=0,0,O2925/B2950)</f>
        <v/>
      </c>
      <c r="Q2925">
        <f>IFERROR(1/(IF(Inputs!$B$38="pvp",15,MAX(0.1,Skills!D12-IF(TRUE=TRUE,4.5,0)))*(1-IF(AND(ArtifactsInput!$M$27,Inputs!$B$4="Chapter Hunt"),CHOOSE(ArtifactsInput!$N$27+1,20,24,28,32,36,40),0)/100)),0)</f>
        <v/>
      </c>
      <c r="R2925">
        <f>IF(AND(Inputs!$B$38&lt;&gt;"pvp",Inputs!$B$43&gt;0),IF(MAX(0,Inputs!$B$43-B2947)&lt;=0,0,(INT(MAX(0,Inputs!$B$43-B2947)/(IF(Inputs!$B$38="pvp",15,MAX(0.1,Skills!D12-IF(TRUE=TRUE,4.5,0)))*(1-IF(AND(ArtifactsInput!$M$27,Inputs!$B$4="Chapter Hunt"),CHOOSE(ArtifactsInput!$N$27+1,20,24,28,32,36,40),0)/100)))+1)),0)</f>
        <v/>
      </c>
      <c r="S2925">
        <f>IF(C2925,(H2925*N2925*IF(AND(Inputs!$B$38&lt;&gt;"pvp",Inputs!$B$43&gt;0),((Skills!F12*((R2925-1)*IF(Skills!G12&gt;0,Skills!H12/Skills!G12,1)+IF(Skills!G12&gt;0,MIN(Skills!H12,MAX(0,MAX(0,Inputs!$B$43-B2947)-((R2925-1)*(IF(Inputs!$B$38="pvp",15,MAX(0.1,Skills!D12-IF(TRUE=TRUE,4.5,0)))*(1-IF(AND(ArtifactsInput!$M$27,Inputs!$B$4="Chapter Hunt"),CHOOSE(ArtifactsInput!$N$27+1,20,24,28,32,36,40),0)/100)))))/Skills!G12,1)))/Inputs!$B$43),G2925*Q2925))*IF(Inputs!$B$38="pvp",1,1+(Inputs!$B$20+Skills!O12+B2941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2925*(1-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2925*(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2925*(1-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2925*(MIN(100,(Inputs!$B$9+((F2933-Calc!F20)+(F2932-Calc!F19))+(ArtifactsInput!$M$24-ArtifactsInput!$M$24)*CHOOSE(ArtifactsInput!$N$24+1,10,12,14,16,18,20)+(IF(AND(Inputs!$B$38&lt;&gt;"pvp",Inputs!$B$43=0),1,IF(IF(Inputs!$B$38="pvp",15,Inputs!$B$43)-(B2947)&lt;=0,1,MAX(0,IF(Inputs!$B$38="pvp",15,Inputs!$B$43)-MAX(5,B2947))/(IF(Inputs!$B$38="pvp",15,Inputs!$B$43)-(B2947))))*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5">
        <f>IF(C2925,(H2925*N2925*IF(AND(Inputs!$B$38&lt;&gt;"pvp",Inputs!$B$43&gt;0),((Skills!F12*((R2925-1)*IF(Skills!G12&gt;0,Skills!H12/Skills!G12,1)+IF(Skills!G12&gt;0,MIN(Skills!H12,MAX(0,MAX(0,Inputs!$B$43-B2947)-((R2925-1)*(IF(Inputs!$B$38="pvp",15,MAX(0.1,Skills!D12-IF(TRUE=TRUE,4.5,0)))*(1-IF(AND(ArtifactsInput!$M$27,Inputs!$B$4="Chapter Hunt"),CHOOSE(ArtifactsInput!$N$27+1,20,24,28,32,36,40),0)/100)))))/Skills!G12,1)))/Inputs!$B$43),G2925*Q2925))*IF(Inputs!$B$38="pvp",1,(1+(Inputs!$B$21+Skills!P12+B2941+(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6">
      <c r="A2926">
        <f>Skills!A13</f>
        <v/>
      </c>
      <c r="B2926">
        <f>Skills!B13</f>
        <v/>
      </c>
      <c r="C2926">
        <f>Inputs!$B$3&gt;=49</f>
        <v/>
      </c>
      <c r="D2926">
        <f>IF(Skills!C13=1,60+Inputs!$B$25+Inputs!$B$29,IF(Skills!C13=2,90+Inputs!$B$26+Inputs!$B$29,IF(Skills!C13=3,120+Inputs!$B$27+Inputs!$B$29,MAX(0,(Inputs!$B$3-100)*3)+Inputs!$B$28+Inputs!$B$29)))</f>
        <v/>
      </c>
      <c r="E2926">
        <f>INDEX(FactorTable!$B$2:$Y$301, MATCH(ROUND(MIN(300,MAX(1,D2926)),0), FactorTable!$A$2:$A$301,0), Skills!L13+1)</f>
        <v/>
      </c>
      <c r="F2926">
        <f>IF(Skills!M13=TRUE,(Skills!K13/10)*(E2926/1000),Skills!K13/10)+Skills!N13</f>
        <v/>
      </c>
      <c r="G2926">
        <f>Calc!G13</f>
        <v/>
      </c>
      <c r="H2926">
        <f>Calc!H13</f>
        <v/>
      </c>
      <c r="I2926">
        <f>IF(Skills!T13&lt;&gt;"",1+(Skills!T13/10)*(Z2916/1000)/100,1)</f>
        <v/>
      </c>
      <c r="J2926" t="inlineStr"/>
      <c r="K2926" t="inlineStr"/>
      <c r="L2926" t="inlineStr"/>
      <c r="M2926" t="inlineStr"/>
      <c r="N2926" t="inlineStr"/>
      <c r="O2926">
        <f>(1-Summary!$B$11)*S2926+Summary!$B$11*U2926</f>
        <v/>
      </c>
      <c r="P2926">
        <f>IF(B2950=0,0,O2926/B2950)</f>
        <v/>
      </c>
      <c r="Q2926">
        <f>IFERROR(1/(IF(Inputs!$B$38="pvp",15,MAX(0.1,Skills!D13-IF(TRUE=TRUE,4.5,0)))*(1-IF(AND(ArtifactsInput!$M$27,Inputs!$B$4="Chapter Hunt"),CHOOSE(ArtifactsInput!$N$27+1,20,24,28,32,36,40),0)/100)),0)</f>
        <v/>
      </c>
      <c r="R2926" t="n">
        <v>0</v>
      </c>
      <c r="S2926" t="n">
        <v>0</v>
      </c>
      <c r="U2926" t="n">
        <v>0</v>
      </c>
    </row>
    <row r="2927">
      <c r="A2927">
        <f>Skills!A14</f>
        <v/>
      </c>
      <c r="B2927">
        <f>Skills!B14</f>
        <v/>
      </c>
      <c r="C2927">
        <f>Inputs!$B$3&gt;=72</f>
        <v/>
      </c>
      <c r="D2927">
        <f>IF(Skills!C14=1,60+Inputs!$B$25+Inputs!$B$29,IF(Skills!C14=2,90+Inputs!$B$26+Inputs!$B$29,IF(Skills!C14=3,120+Inputs!$B$27+Inputs!$B$29,MAX(0,(Inputs!$B$3-100)*3)+Inputs!$B$28+Inputs!$B$29)))</f>
        <v/>
      </c>
      <c r="E2927">
        <f>INDEX(FactorTable!$B$2:$Y$301, MATCH(ROUND(MIN(300,MAX(1,D2927)),0), FactorTable!$A$2:$A$301,0), Skills!L14+1)</f>
        <v/>
      </c>
      <c r="F2927">
        <f>IF(Skills!M14=TRUE,(Skills!K14/10)*(E2927/1000),Skills!K14/10)+Skills!N14</f>
        <v/>
      </c>
      <c r="G2927">
        <f>Calc!G14</f>
        <v/>
      </c>
      <c r="H2927">
        <f>Calc!H14</f>
        <v/>
      </c>
      <c r="I2927">
        <f>IF(Skills!T14&lt;&gt;"",1+(Skills!T14/10)*(Z2916/1000)/100,1)</f>
        <v/>
      </c>
      <c r="J2927" t="inlineStr"/>
      <c r="K2927" t="inlineStr"/>
      <c r="L2927" t="inlineStr"/>
      <c r="M2927" t="inlineStr"/>
      <c r="N2927" t="inlineStr"/>
      <c r="O2927">
        <f>(1-Summary!$B$11)*S2927+Summary!$B$11*U2927</f>
        <v/>
      </c>
      <c r="P2927">
        <f>IF(B2950=0,0,O2927/B2950)</f>
        <v/>
      </c>
      <c r="Q2927">
        <f>IFERROR(1/(IF(Inputs!$B$38="pvp",15,MAX(0.1,Skills!D14-IF(TRUE=TRUE,4.5,0)))*(1-IF(AND(ArtifactsInput!$M$27,Inputs!$B$4="Chapter Hunt"),CHOOSE(ArtifactsInput!$N$27+1,20,24,28,32,36,40),0)/100)),0)</f>
        <v/>
      </c>
      <c r="R2927" t="n">
        <v>0</v>
      </c>
      <c r="S2927" t="n">
        <v>0</v>
      </c>
      <c r="U2927" t="n">
        <v>0</v>
      </c>
    </row>
    <row r="2928">
      <c r="A2928">
        <f>Skills!A15</f>
        <v/>
      </c>
      <c r="B2928">
        <f>Skills!B15</f>
        <v/>
      </c>
      <c r="C2928">
        <f>Inputs!$B$3&gt;=75</f>
        <v/>
      </c>
      <c r="D2928">
        <f>IF(Skills!C15=1,60+Inputs!$B$25+Inputs!$B$29,IF(Skills!C15=2,90+Inputs!$B$26+Inputs!$B$29,IF(Skills!C15=3,120+Inputs!$B$27+Inputs!$B$29,MAX(0,(Inputs!$B$3-100)*3)+Inputs!$B$28+Inputs!$B$29)))</f>
        <v/>
      </c>
      <c r="E2928">
        <f>INDEX(FactorTable!$B$2:$Y$301, MATCH(ROUND(MIN(300,MAX(1,D2928)),0), FactorTable!$A$2:$A$301,0), Skills!L15+1)</f>
        <v/>
      </c>
      <c r="F2928">
        <f>IF(Skills!M15=TRUE,(Skills!K15/10)*(E2928/1000),Skills!K15/10)+Skills!N15</f>
        <v/>
      </c>
      <c r="G2928">
        <f>Calc!G15</f>
        <v/>
      </c>
      <c r="H2928">
        <f>Calc!H15</f>
        <v/>
      </c>
      <c r="I2928">
        <f>IF(Skills!T15&lt;&gt;"",1+(Skills!T15/10)*(Z2916/1000)/100,1)</f>
        <v/>
      </c>
      <c r="J2928" t="inlineStr"/>
      <c r="K2928" t="inlineStr"/>
      <c r="L2928" t="inlineStr"/>
      <c r="M2928" t="inlineStr"/>
      <c r="N2928" t="inlineStr"/>
      <c r="O2928">
        <f>(1-Summary!$B$11)*S2928+Summary!$B$11*U2928</f>
        <v/>
      </c>
      <c r="P2928">
        <f>IF(B2950=0,0,O2928/B2950)</f>
        <v/>
      </c>
      <c r="Q2928">
        <f>IFERROR(1/(IF(Inputs!$B$38="pvp",15,MAX(0.1,Skills!D15-IF(TRUE=TRUE,4.5,0)))*(1-IF(AND(ArtifactsInput!$M$27,Inputs!$B$4="Chapter Hunt"),CHOOSE(ArtifactsInput!$N$27+1,20,24,28,32,36,40),0)/100)),0)</f>
        <v/>
      </c>
      <c r="R2928" t="n">
        <v>0</v>
      </c>
      <c r="S2928" t="n">
        <v>0</v>
      </c>
      <c r="U2928" t="n">
        <v>0</v>
      </c>
    </row>
    <row r="2929">
      <c r="A2929">
        <f>Skills!A16</f>
        <v/>
      </c>
      <c r="B2929">
        <f>Skills!B16</f>
        <v/>
      </c>
      <c r="C2929">
        <f>Inputs!$B$3&gt;=110</f>
        <v/>
      </c>
      <c r="D2929">
        <f>IF(Skills!C16=1,60+Inputs!$B$25+Inputs!$B$29,IF(Skills!C16=2,90+Inputs!$B$26+Inputs!$B$29,IF(Skills!C16=3,120+Inputs!$B$27+Inputs!$B$29,MAX(0,(Inputs!$B$3-100)*3)+Inputs!$B$28+Inputs!$B$29)))</f>
        <v/>
      </c>
      <c r="E2929">
        <f>INDEX(FactorTable!$B$2:$Y$301, MATCH(ROUND(MIN(300,MAX(1,D2929)),0), FactorTable!$A$2:$A$301,0), Skills!L16+1)</f>
        <v/>
      </c>
      <c r="F2929">
        <f>(Skills!K16/10)*(E2929/1000)*64/45+Skills!N16</f>
        <v/>
      </c>
      <c r="G2929">
        <f>Calc!G16</f>
        <v/>
      </c>
      <c r="H2929">
        <f>Calc!H16</f>
        <v/>
      </c>
      <c r="I2929">
        <f>IF(Skills!T16&lt;&gt;"",1+(Skills!T16/10)*(Z2916/1000)/100,1)</f>
        <v/>
      </c>
      <c r="J2929" t="inlineStr"/>
      <c r="K2929" t="inlineStr"/>
      <c r="L2929" t="inlineStr"/>
      <c r="M2929" t="inlineStr"/>
      <c r="N2929" t="inlineStr"/>
      <c r="O2929">
        <f>(1-Summary!$B$11)*S2929+Summary!$B$11*U2929</f>
        <v/>
      </c>
      <c r="P2929">
        <f>IF(B2950=0,0,O2929/B2950)</f>
        <v/>
      </c>
      <c r="Q2929">
        <f>IFERROR(1/(IF(Inputs!$B$38="pvp",15,MAX(0.1,Skills!D16-IF(TRUE=TRUE,4.5,0)))*(1-IF(AND(ArtifactsInput!$M$27,Inputs!$B$4="Chapter Hunt"),CHOOSE(ArtifactsInput!$N$27+1,20,24,28,32,36,40),0)/100)),0)</f>
        <v/>
      </c>
      <c r="R2929">
        <f>IF(AND(Inputs!$B$38&lt;&gt;"pvp",Inputs!$B$43&gt;0),IF(Inputs!$B$43&lt;=0,0,(INT(Inputs!$B$43/(IF(Inputs!$B$38="pvp",15,MAX(0.1,Skills!D16-IF(TRUE=TRUE,4.5,0)))*(1-IF(AND(ArtifactsInput!$M$27,Inputs!$B$4="Chapter Hunt"),CHOOSE(ArtifactsInput!$N$27+1,20,24,28,32,36,40),0)/100)))+1)),0)</f>
        <v/>
      </c>
      <c r="S2929" t="n">
        <v>0</v>
      </c>
      <c r="U2929" t="n">
        <v>0</v>
      </c>
    </row>
    <row r="2930">
      <c r="A2930">
        <f>Skills!A17</f>
        <v/>
      </c>
      <c r="B2930">
        <f>Skills!B17</f>
        <v/>
      </c>
      <c r="C2930">
        <f>Inputs!$B$3&gt;=33</f>
        <v/>
      </c>
      <c r="D2930">
        <f>IF(Skills!C17=1,60+Inputs!$B$25+Inputs!$B$29,IF(Skills!C17=2,90+Inputs!$B$26+Inputs!$B$29,IF(Skills!C17=3,120+Inputs!$B$27+Inputs!$B$29,MAX(0,(Inputs!$B$3-100)*3)+Inputs!$B$28+Inputs!$B$29)))</f>
        <v/>
      </c>
      <c r="E2930">
        <f>INDEX(FactorTable!$B$2:$Y$301, MATCH(ROUND(MIN(300,MAX(1,D2930)),0), FactorTable!$A$2:$A$301,0), Skills!L17+1)</f>
        <v/>
      </c>
      <c r="F2930">
        <f>IF(Skills!M17=TRUE,(Skills!K17/10)*(E2930/1000),Skills!K17/10)+Skills!N17</f>
        <v/>
      </c>
      <c r="G2930">
        <f>Calc!G17</f>
        <v/>
      </c>
      <c r="H2930">
        <f>Calc!H17</f>
        <v/>
      </c>
      <c r="I2930">
        <f>IF(Skills!T17&lt;&gt;"",1+(Skills!T17/10)*(Z2916/1000)/100,1)</f>
        <v/>
      </c>
      <c r="J2930" t="inlineStr"/>
      <c r="K2930" t="inlineStr"/>
      <c r="L2930" t="inlineStr"/>
      <c r="M2930" t="inlineStr"/>
      <c r="N2930" t="inlineStr"/>
      <c r="O2930">
        <f>(1-Summary!$B$11)*S2930+Summary!$B$11*U2930</f>
        <v/>
      </c>
      <c r="P2930">
        <f>IF(B2950=0,0,O2930/B2950)</f>
        <v/>
      </c>
      <c r="Q2930">
        <f>IFERROR(1/(IF(Inputs!$B$38="pvp",15,MAX(0.1,Skills!D17-IF(TRUE=TRUE,4.5,0)))*(1-IF(AND(ArtifactsInput!$M$27,Inputs!$B$4="Chapter Hunt"),CHOOSE(ArtifactsInput!$N$27+1,20,24,28,32,36,40),0)/100)),0)</f>
        <v/>
      </c>
      <c r="R2930" t="n">
        <v>0</v>
      </c>
      <c r="S2930" t="n">
        <v>0</v>
      </c>
      <c r="U2930" t="n">
        <v>0</v>
      </c>
    </row>
    <row r="2931">
      <c r="A2931">
        <f>Skills!A18</f>
        <v/>
      </c>
      <c r="B2931">
        <f>Skills!B18</f>
        <v/>
      </c>
      <c r="C2931">
        <f>Inputs!$B$3&gt;=43</f>
        <v/>
      </c>
      <c r="D2931">
        <f>IF(Skills!C18=1,60+Inputs!$B$25+Inputs!$B$29,IF(Skills!C18=2,90+Inputs!$B$26+Inputs!$B$29,IF(Skills!C18=3,120+Inputs!$B$27+Inputs!$B$29,MAX(0,(Inputs!$B$3-100)*3)+Inputs!$B$28+Inputs!$B$29)))</f>
        <v/>
      </c>
      <c r="E2931">
        <f>INDEX(FactorTable!$B$2:$Y$301, MATCH(ROUND(MIN(300,MAX(1,D2931)),0), FactorTable!$A$2:$A$301,0), Skills!L18+1)</f>
        <v/>
      </c>
      <c r="F2931">
        <f>IF(Skills!M18=TRUE,(Skills!K18/10)*(E2931/1000),Skills!K18/10)+Skills!N18</f>
        <v/>
      </c>
      <c r="G2931">
        <f>Calc!G18</f>
        <v/>
      </c>
      <c r="H2931">
        <f>Calc!H18</f>
        <v/>
      </c>
      <c r="I2931">
        <f>IF(Skills!T18&lt;&gt;"",1+(Skills!T18/10)*(Z2916/1000)/100,1)</f>
        <v/>
      </c>
      <c r="J2931" t="inlineStr"/>
      <c r="K2931" t="inlineStr"/>
      <c r="L2931" t="inlineStr"/>
      <c r="M2931" t="inlineStr"/>
      <c r="N2931" t="inlineStr"/>
      <c r="O2931">
        <f>(1-Summary!$B$11)*S2931+Summary!$B$11*U2931</f>
        <v/>
      </c>
      <c r="P2931">
        <f>IF(B2950=0,0,O2931/B2950)</f>
        <v/>
      </c>
      <c r="Q2931">
        <f>IFERROR(1/(IF(Inputs!$B$38="pvp",15,MAX(0.1,Skills!D18-IF(TRUE=TRUE,4.5,0)))*(1-IF(AND(ArtifactsInput!$M$27,Inputs!$B$4="Chapter Hunt"),CHOOSE(ArtifactsInput!$N$27+1,20,24,28,32,36,40),0)/100)),0)</f>
        <v/>
      </c>
      <c r="R2931" t="n">
        <v>0</v>
      </c>
      <c r="S2931" t="n">
        <v>0</v>
      </c>
      <c r="U2931" t="n">
        <v>0</v>
      </c>
    </row>
    <row r="2932">
      <c r="A2932">
        <f>Skills!A19</f>
        <v/>
      </c>
      <c r="B2932">
        <f>Skills!B19</f>
        <v/>
      </c>
      <c r="C2932">
        <f>Inputs!$B$3&gt;=50</f>
        <v/>
      </c>
      <c r="D2932">
        <f>IF(Skills!C19=1,60+Inputs!$B$25+Inputs!$B$29,IF(Skills!C19=2,90+Inputs!$B$26+Inputs!$B$29,IF(Skills!C19=3,120+Inputs!$B$27+Inputs!$B$29,MAX(0,(Inputs!$B$3-100)*3)+Inputs!$B$28+Inputs!$B$29)))</f>
        <v/>
      </c>
      <c r="E2932">
        <f>INDEX(FactorTable!$B$2:$Y$301, MATCH(ROUND(MIN(300,MAX(1,D2932)),0), FactorTable!$A$2:$A$301,0), Skills!L19+1)</f>
        <v/>
      </c>
      <c r="F2932">
        <f>IF(Skills!M19=TRUE,(Skills!K19/10)*(E2932/1000),Skills!K19/10)+Skills!N19</f>
        <v/>
      </c>
      <c r="G2932">
        <f>Calc!G19</f>
        <v/>
      </c>
      <c r="H2932">
        <f>Calc!H19</f>
        <v/>
      </c>
      <c r="I2932">
        <f>IF(Skills!T19&lt;&gt;"",1+(Skills!T19/10)*(Z2916/1000)/100,1)</f>
        <v/>
      </c>
      <c r="J2932" t="inlineStr"/>
      <c r="K2932" t="inlineStr"/>
      <c r="L2932" t="inlineStr"/>
      <c r="M2932" t="inlineStr"/>
      <c r="N2932" t="inlineStr"/>
      <c r="O2932">
        <f>(1-Summary!$B$11)*S2932+Summary!$B$11*U2932</f>
        <v/>
      </c>
      <c r="P2932">
        <f>IF(B2950=0,0,O2932/B2950)</f>
        <v/>
      </c>
      <c r="Q2932">
        <f>IFERROR(1/(IF(Inputs!$B$38="pvp",15,MAX(0.1,Skills!D19-IF(TRUE=TRUE,4.5,0)))*(1-IF(AND(ArtifactsInput!$M$27,Inputs!$B$4="Chapter Hunt"),CHOOSE(ArtifactsInput!$N$27+1,20,24,28,32,36,40),0)/100)),0)</f>
        <v/>
      </c>
      <c r="R2932" t="n">
        <v>0</v>
      </c>
      <c r="S2932" t="n">
        <v>0</v>
      </c>
      <c r="U2932" t="n">
        <v>0</v>
      </c>
    </row>
    <row r="2933">
      <c r="A2933">
        <f>Skills!A20</f>
        <v/>
      </c>
      <c r="B2933">
        <f>Skills!B20</f>
        <v/>
      </c>
      <c r="C2933">
        <f>Inputs!$B$3&gt;=74</f>
        <v/>
      </c>
      <c r="D2933">
        <f>IF(Skills!C20=1,60+Inputs!$B$25+Inputs!$B$29,IF(Skills!C20=2,90+Inputs!$B$26+Inputs!$B$29,IF(Skills!C20=3,120+Inputs!$B$27+Inputs!$B$29,MAX(0,(Inputs!$B$3-100)*3)+Inputs!$B$28+Inputs!$B$29)))</f>
        <v/>
      </c>
      <c r="E2933">
        <f>INDEX(FactorTable!$B$2:$Y$301, MATCH(ROUND(MIN(300,MAX(1,D2933)),0), FactorTable!$A$2:$A$301,0), Skills!L20+1)</f>
        <v/>
      </c>
      <c r="F2933">
        <f>IF(Skills!M20=TRUE,(Skills!K20/10)*(E2933/1000),Skills!K20/10)+Skills!N20</f>
        <v/>
      </c>
      <c r="G2933">
        <f>Calc!G20</f>
        <v/>
      </c>
      <c r="H2933">
        <f>Calc!H20</f>
        <v/>
      </c>
      <c r="I2933">
        <f>IF(Skills!T20&lt;&gt;"",1+(Skills!T20/10)*(Z2916/1000)/100,1)</f>
        <v/>
      </c>
      <c r="J2933" t="inlineStr"/>
      <c r="K2933" t="inlineStr"/>
      <c r="L2933" t="inlineStr"/>
      <c r="M2933" t="inlineStr"/>
      <c r="N2933" t="inlineStr"/>
      <c r="O2933">
        <f>(1-Summary!$B$11)*S2933+Summary!$B$11*U2933</f>
        <v/>
      </c>
      <c r="P2933">
        <f>IF(B2950=0,0,O2933/B2950)</f>
        <v/>
      </c>
      <c r="Q2933">
        <f>IFERROR(1/(IF(Inputs!$B$38="pvp",15,MAX(0.1,Skills!D20-IF(TRUE=TRUE,4.5,0)))*(1-IF(AND(ArtifactsInput!$M$27,Inputs!$B$4="Chapter Hunt"),CHOOSE(ArtifactsInput!$N$27+1,20,24,28,32,36,40),0)/100)),0)</f>
        <v/>
      </c>
      <c r="R2933" t="n">
        <v>0</v>
      </c>
      <c r="S2933" t="n">
        <v>0</v>
      </c>
      <c r="U2933" t="n">
        <v>0</v>
      </c>
    </row>
    <row r="2934">
      <c r="A2934">
        <f>Skills!A21</f>
        <v/>
      </c>
      <c r="B2934">
        <f>Skills!B21</f>
        <v/>
      </c>
      <c r="C2934">
        <f>Inputs!$B$3&gt;=74</f>
        <v/>
      </c>
      <c r="D2934">
        <f>IF(Skills!C21=1,60+Inputs!$B$25+Inputs!$B$29,IF(Skills!C21=2,90+Inputs!$B$26+Inputs!$B$29,IF(Skills!C21=3,120+Inputs!$B$27+Inputs!$B$29,MAX(0,(Inputs!$B$3-100)*3)+Inputs!$B$28+Inputs!$B$29)))</f>
        <v/>
      </c>
      <c r="E2934">
        <f>INDEX(FactorTable!$B$2:$Y$301, MATCH(ROUND(MIN(300,MAX(1,D2934)),0), FactorTable!$A$2:$A$301,0), Skills!L21+1)</f>
        <v/>
      </c>
      <c r="F2934">
        <f>IF(Skills!M21=TRUE,(Skills!K21/10)*(E2934/1000),Skills!K21/10)+Skills!N21</f>
        <v/>
      </c>
      <c r="G2934">
        <f>Calc!G21</f>
        <v/>
      </c>
      <c r="H2934">
        <f>Calc!H21</f>
        <v/>
      </c>
      <c r="I2934">
        <f>IF(Skills!T21&lt;&gt;"",1+(Skills!T21/10)*(Z2916/1000)/100,1)</f>
        <v/>
      </c>
      <c r="J2934" t="inlineStr"/>
      <c r="K2934" t="inlineStr"/>
      <c r="L2934" t="inlineStr"/>
      <c r="M2934" t="inlineStr"/>
      <c r="N2934" t="inlineStr"/>
      <c r="O2934">
        <f>(1-Summary!$B$11)*S2934+Summary!$B$11*U2934</f>
        <v/>
      </c>
      <c r="P2934">
        <f>IF(B2950=0,0,O2934/B2950)</f>
        <v/>
      </c>
      <c r="Q2934">
        <f>IFERROR(1/(IF(Inputs!$B$38="pvp",15,MAX(0.1,Skills!D21-IF(TRUE=TRUE,4.5,0)))*(1-IF(AND(ArtifactsInput!$M$27,Inputs!$B$4="Chapter Hunt"),CHOOSE(ArtifactsInput!$N$27+1,20,24,28,32,36,40),0)/100)),0)</f>
        <v/>
      </c>
      <c r="R2934" t="n">
        <v>0</v>
      </c>
      <c r="S2934" t="n">
        <v>0</v>
      </c>
      <c r="U2934" t="n">
        <v>0</v>
      </c>
    </row>
    <row r="2935">
      <c r="A2935">
        <f>Skills!A22</f>
        <v/>
      </c>
      <c r="B2935">
        <f>Skills!B22</f>
        <v/>
      </c>
      <c r="C2935">
        <f>Inputs!$B$3&gt;=117</f>
        <v/>
      </c>
      <c r="D2935">
        <f>IF(Skills!C22=1,60+Inputs!$B$25+Inputs!$B$29,IF(Skills!C22=2,90+Inputs!$B$26+Inputs!$B$29,IF(Skills!C22=3,120+Inputs!$B$27+Inputs!$B$29,MAX(0,(Inputs!$B$3-100)*3)+Inputs!$B$28+Inputs!$B$29)))</f>
        <v/>
      </c>
      <c r="E2935">
        <f>INDEX(FactorTable!$B$2:$Y$301, MATCH(ROUND(MIN(300,MAX(1,D2935)),0), FactorTable!$A$2:$A$301,0), Skills!L22+1)</f>
        <v/>
      </c>
      <c r="F2935">
        <f>IF(Skills!M22=TRUE,(Skills!K22/10)*(E2935/1000),Skills!K22/10)+Skills!N22</f>
        <v/>
      </c>
      <c r="G2935">
        <f>Calc!G22</f>
        <v/>
      </c>
      <c r="H2935">
        <f>Calc!H22</f>
        <v/>
      </c>
      <c r="I2935">
        <f>IF(Skills!T22&lt;&gt;"",1+(Skills!T22/10)*(Z2916/1000)/100,1)</f>
        <v/>
      </c>
      <c r="J2935" t="inlineStr"/>
      <c r="K2935" t="inlineStr"/>
      <c r="L2935" t="inlineStr"/>
      <c r="M2935" t="inlineStr"/>
      <c r="N2935" t="inlineStr"/>
      <c r="O2935">
        <f>(1-Summary!$B$11)*S2935+Summary!$B$11*U2935</f>
        <v/>
      </c>
      <c r="P2935">
        <f>IF(B2950=0,0,O2935/B2950)</f>
        <v/>
      </c>
      <c r="Q2935">
        <f>IFERROR(1/(IF(Inputs!$B$38="pvp",15,MAX(0.1,Skills!D22-IF(TRUE=TRUE,4.5,0)))*(1-IF(AND(ArtifactsInput!$M$27,Inputs!$B$4="Chapter Hunt"),CHOOSE(ArtifactsInput!$N$27+1,20,24,28,32,36,40),0)/100)),0)</f>
        <v/>
      </c>
      <c r="R2935" t="n">
        <v>0</v>
      </c>
      <c r="S2935" t="n">
        <v>0</v>
      </c>
      <c r="U2935" t="n">
        <v>0</v>
      </c>
    </row>
    <row r="2936">
      <c r="A2936">
        <f>Skills!A23</f>
        <v/>
      </c>
      <c r="B2936">
        <f>Skills!B23</f>
        <v/>
      </c>
      <c r="C2936">
        <f>Inputs!$B$3&gt;=120</f>
        <v/>
      </c>
      <c r="D2936">
        <f>IF(Skills!C23=1,60+Inputs!$B$25+Inputs!$B$29,IF(Skills!C23=2,90+Inputs!$B$26+Inputs!$B$29,IF(Skills!C23=3,120+Inputs!$B$27+Inputs!$B$29,MAX(0,(Inputs!$B$3-100)*3)+Inputs!$B$28+Inputs!$B$29)))</f>
        <v/>
      </c>
      <c r="E2936">
        <f>INDEX(FactorTable!$B$2:$Y$301, MATCH(ROUND(MIN(300,MAX(1,D2936)),0), FactorTable!$A$2:$A$301,0), Skills!L23+1)</f>
        <v/>
      </c>
      <c r="F2936">
        <f>IF(Skills!M23=TRUE,(Skills!K23/10)*(E2936/1000),Skills!K23/10)+Skills!N23</f>
        <v/>
      </c>
      <c r="G2936">
        <f>Calc!G23</f>
        <v/>
      </c>
      <c r="H2936">
        <f>Calc!H23</f>
        <v/>
      </c>
      <c r="I2936">
        <f>IF(Skills!T23&lt;&gt;"",1+(Skills!T23/10)*(Z2916/1000)/100,1)</f>
        <v/>
      </c>
      <c r="J2936" t="inlineStr"/>
      <c r="K2936" t="inlineStr"/>
      <c r="L2936" t="inlineStr"/>
      <c r="M2936" t="inlineStr"/>
      <c r="N2936" t="inlineStr"/>
      <c r="O2936">
        <f>(1-Summary!$B$11)*S2936+Summary!$B$11*U2936</f>
        <v/>
      </c>
      <c r="P2936">
        <f>IF(B2950=0,0,O2936/B2950)</f>
        <v/>
      </c>
      <c r="Q2936">
        <f>IFERROR(1/(IF(Inputs!$B$38="pvp",15,MAX(0.1,Skills!D23-IF(TRUE=TRUE,4.5,0)))*(1-IF(AND(ArtifactsInput!$M$27,Inputs!$B$4="Chapter Hunt"),CHOOSE(ArtifactsInput!$N$27+1,20,24,28,32,36,40),0)/100)),0)</f>
        <v/>
      </c>
      <c r="R2936" t="n">
        <v>0</v>
      </c>
      <c r="S2936" t="n">
        <v>0</v>
      </c>
      <c r="U2936" t="n">
        <v>0</v>
      </c>
    </row>
    <row r="2937">
      <c r="A2937">
        <f>Skills!A24</f>
        <v/>
      </c>
      <c r="B2937">
        <f>Skills!B24</f>
        <v/>
      </c>
      <c r="C2937">
        <f>TRUE</f>
        <v/>
      </c>
      <c r="D2937">
        <f>IF(Skills!C24=1,60+Inputs!$B$25+Inputs!$B$29,IF(Skills!C24=2,90+Inputs!$B$26+Inputs!$B$29,IF(Skills!C24=3,120+Inputs!$B$27+Inputs!$B$29,MAX(0,(Inputs!$B$3-100)*3)+Inputs!$B$28+Inputs!$B$29)))</f>
        <v/>
      </c>
      <c r="E2937">
        <f>INDEX(FactorTable!$B$2:$Y$301, MATCH(ROUND(MIN(300,MAX(1,D2937)),0), FactorTable!$A$2:$A$301,0), Skills!L24+1)</f>
        <v/>
      </c>
      <c r="F2937">
        <f>IF(Skills!M24=TRUE,(Skills!K24/10)*(E2937/1000),Skills!K24/10)+Skills!N24</f>
        <v/>
      </c>
      <c r="G2937">
        <f>Calc!G24</f>
        <v/>
      </c>
      <c r="H2937">
        <f>Calc!H24</f>
        <v/>
      </c>
      <c r="I2937">
        <f>IF(Skills!T24&lt;&gt;"",1+(Skills!T24/10)*(Z2916/1000)/100,1)</f>
        <v/>
      </c>
      <c r="J2937" t="inlineStr"/>
      <c r="K2937" t="inlineStr"/>
      <c r="L2937" t="inlineStr"/>
      <c r="M2937" t="inlineStr"/>
      <c r="N2937" t="inlineStr"/>
      <c r="O2937">
        <f>(1-Summary!$B$11)*S2937+Summary!$B$11*U2937</f>
        <v/>
      </c>
      <c r="P2937">
        <f>IF(B2950=0,0,O2937/B2950)</f>
        <v/>
      </c>
      <c r="Q2937">
        <f>IFERROR(1/(IF(Inputs!$B$38="pvp",15,MAX(0.1,Skills!D24-IF(TRUE=TRUE,4.5,0)))*(1-IF(AND(ArtifactsInput!$M$27,Inputs!$B$4="Chapter Hunt"),CHOOSE(ArtifactsInput!$N$27+1,20,24,28,32,36,40),0)/100)),0)</f>
        <v/>
      </c>
      <c r="R2937">
        <f>IF(AND(Inputs!$B$38&lt;&gt;"pvp",Inputs!$B$43&gt;0),IF(Inputs!$B$43&lt;=0,0,(INT(Inputs!$B$43/(IF(Inputs!$B$38="pvp",15,MAX(0.1,Skills!D24-IF(TRUE=TRUE,4.5,0)))*(1-IF(AND(ArtifactsInput!$M$27,Inputs!$B$4="Chapter Hunt"),CHOOSE(ArtifactsInput!$N$27+1,20,24,28,32,36,40),0)/100)))+1)),0)</f>
        <v/>
      </c>
      <c r="S2937" t="n">
        <v>0</v>
      </c>
      <c r="U2937" t="n">
        <v>0</v>
      </c>
    </row>
    <row r="2940">
      <c r="A2940" t="inlineStr">
        <is>
          <t>Average Buff Multiplier (Magic Guard + Meditation + Artifact Attack%, summed; then Infinity)</t>
        </is>
      </c>
      <c r="B2940">
        <f>(1+(IF(C2916=TRUE,F2916*IF(AND(Inputs!$B$38&lt;&gt;"pvp",Inputs!$B$43&gt;0),(((R2916-1)*MIN((Skills!S3*(1+(Inputs!$B$34)/100)),(1/Q2916))+MIN((Skills!S3*(1+(Inputs!$B$34)/100)),MAX(0,Inputs!$B$43-((R2916-1)*(1/Q2916)))))/Inputs!$B$43),IF(Inputs!$B$38="pvp",MIN((Skills!S3*(1+(Inputs!$B$34)/100)),15)/15,MIN(1,(Skills!S3*(1+(Inputs!$B$34)/100))/(1/Q2916)))),0)+IF(C2917=TRUE,F2917*IF(AND(Inputs!$B$38&lt;&gt;"pvp",Inputs!$B$43&gt;0),(((R2917-1)*MIN((Skills!S4*(1+(Inputs!$B$34)/100)),(1/Q2917))+MIN((Skills!S4*(1+(Inputs!$B$34)/100)),MAX(0,Inputs!$B$43-((R2917-1)*(1/Q2917)))))/Inputs!$B$43),IF(Inputs!$B$38="pvp",MIN((Skills!S4*(1+(Inputs!$B$34)/100)),15)/15,MIN(1,(Skills!S4*(1+(Inputs!$B$34)/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2929=TRUE,(1+F2929*IF(AND(Inputs!$B$38&lt;&gt;"pvp",Inputs!$B$43&gt;0),(((R2929-1)*MIN((Skills!S16*(1+(Inputs!$B$34)/100)),(1/Q2929))+MIN((Skills!S16*(1+(Inputs!$B$34)/100)),MAX(0,Inputs!$B$43-((R2929-1)*(1/Q2929)))))/Inputs!$B$43),IF(Inputs!$B$38="pvp",MIN((Skills!S16*(1+(Inputs!$B$34)/100)),15)/15,MIN(1,(Skills!S16*(1+(Inputs!$B$34)/100))/(1/Q2929))))/100),1)</f>
        <v/>
      </c>
    </row>
    <row r="2941">
      <c r="A2941" t="inlineStr">
        <is>
          <t>Monster Damage Taken Bonus % (Freezing Breath - Weaken + Elemental Reset + Artifact Enemy Damage Taken, summed)</t>
        </is>
      </c>
      <c r="B2941">
        <f>IF(Inputs!$B$3&gt;=118,15*IF(Inputs!$B$38="pvp",MIN((30*(1+(Inputs!$B$34)/100)),15)/15,MIN(1,(30*(1+(Inputs!$B$34)/100))/(1/Q2921))),0)+IF(C2927=TRUE,F2927,0)+(IF(AND(ArtifactsInput!$M$35,Inputs!$B$4&lt;&gt;"Chapter Hunt"),CHOOSE(ArtifactsInput!$N$35+1,15,18,21,24,27,30)*(1-EXP(-(0.2*B2944)*5)),0)+IF(AND(ArtifactsInput!$M$22,Inputs!$B$4&lt;&gt;"Chapter Hunt"),CHOOSE(ArtifactsInput!$N$22+1,10,12,14,16,18,20)*((0*(((0.15*B2944*5))^0/1)+1*(((0.15*B2944*5))^1/1)+2*(((0.15*B2944*5))^2/2)+3*(((0.15*B2944*5))^3/6)+4*(((0.15*B2944*5))^4/24)+5*(((0.15*B2944*5))^5/120))/((((0.15*B2944*5))^0/1)+(((0.15*B2944*5))^1/1)+(((0.15*B2944*5))^2/2)+(((0.15*B2944*5))^3/6)+(((0.15*B2944*5))^4/24)+(((0.15*B2944*5))^5/120))),0))</f>
        <v/>
      </c>
    </row>
    <row r="2942">
      <c r="A2942" t="inlineStr">
        <is>
          <t>Damage % Bonus (Frozen Break + Frost Clutch, flat)</t>
        </is>
      </c>
      <c r="B2942">
        <f>IF(Inputs!$B$3&gt;=66,15,0)+IF(Inputs!$B$3&gt;=98,10,0)+IF(Inputs!$B$3&gt;=125,20,0)</f>
        <v/>
      </c>
    </row>
    <row r="2943">
      <c r="A2943" t="inlineStr">
        <is>
          <t>Attack Speed Bonus % (MP Eater - MP Boost, always-on + Nimble Feet, duty-cycle averaged)</t>
        </is>
      </c>
      <c r="B2943">
        <f>IF(C2926=TRUE,F2926+(F2930-Calc!F17),0)+((C2937=TRUE)*F2937*IF(AND(Inputs!$B$38&lt;&gt;"pvp",Inputs!$B$43&gt;0),(((R2937-1)*MIN((Skills!S24*(1+(Inputs!$B$34)/100)),(1/Q2937))+MIN((Skills!S24*(1+(Inputs!$B$34)/100)),MAX(0,Inputs!$B$43-((R2937-1)*(1/Q2937)))))/Inputs!$B$43),IF(Inputs!$B$38="pvp",MIN((Skills!S24*(1+(Inputs!$B$34)/100)),15)/15,MIN(1,(Skills!S24*(1+(Inputs!$B$34)/100))/(1/Q2937)))))</f>
        <v/>
      </c>
    </row>
    <row r="2944">
      <c r="A2944" t="inlineStr">
        <is>
          <t>Actions Per Second</t>
        </is>
      </c>
      <c r="B2944">
        <f>1+MIN(150,150*(1-(1-(Inputs!$B$11+(ArtifactsInput!$M$15-ArtifactsInput!$M$15)*CHOOSE(ArtifactsInput!$N$15+1,8,9.6,11.2,12.8,14.4,16))/150)*(1-B2943/150)))/100</f>
        <v/>
      </c>
    </row>
    <row r="2945">
      <c r="A2945" t="inlineStr">
        <is>
          <t>Skill + Buff Cast Rate</t>
        </is>
      </c>
      <c r="B2945">
        <f>IF(AND(Inputs!$B$38&lt;&gt;"pvp",Inputs!$B$43&gt;0),SUMPRODUCT((Skills!E2:E24=TRUE)*(C2915:C2937=TRUE)*R2915:R2937)/Inputs!$B$43,SUMPRODUCT((Skills!E2:E24=TRUE)*(C2915:C2937=TRUE)*Q2915:Q2937))</f>
        <v/>
      </c>
    </row>
    <row r="2946">
      <c r="A2946" t="inlineStr">
        <is>
          <t>Chain Lightning Casts Per Second</t>
        </is>
      </c>
      <c r="B2946">
        <f>MAX(0,B2944-B2945)</f>
        <v/>
      </c>
    </row>
    <row r="2947">
      <c r="A2947" t="inlineStr">
        <is>
          <t>Buff-Casting Startup Delay (s, fixed-duration only)</t>
        </is>
      </c>
      <c r="B2947">
        <f>IF(AND(Inputs!$B$38&lt;&gt;"pvp",Inputs!$B$43&gt;0),SUMPRODUCT((Skills!S2:S24&gt;0)*(Skills!E2:E24=TRUE)*(C2915:C2937=TRUE))/B2944,0)</f>
        <v/>
      </c>
    </row>
    <row r="2948">
      <c r="A2948" t="inlineStr">
        <is>
          <t>Boss-Only Total DPS (this block's swept value)</t>
        </is>
      </c>
      <c r="B2948">
        <f>SUM(S2915:S2937)</f>
        <v/>
      </c>
    </row>
    <row r="2949">
      <c r="A2949" t="inlineStr">
        <is>
          <t>Normal-Only Total DPS (this block's swept value)</t>
        </is>
      </c>
      <c r="B2949">
        <f>SUM(U2915:U2937)</f>
        <v/>
      </c>
    </row>
    <row r="2950">
      <c r="A2950" s="6" t="inlineStr">
        <is>
          <t>TOTAL DPS</t>
        </is>
      </c>
      <c r="B2950" s="6">
        <f>SUM(O2915:O2937)</f>
        <v/>
      </c>
    </row>
    <row r="2951">
      <c r="A2951" t="inlineStr">
        <is>
          <t>Blizzard Final Attack trigger rate (this block's own Q/R)</t>
        </is>
      </c>
      <c r="B2951">
        <f>IF(AND(Inputs!$B$38&lt;&gt;"pvp",Inputs!$B$43&gt;0),(((C2918=TRUE)*R2918*1)+((C2919=TRUE)*R2919*1)+((C2921=TRUE)*R2921*1)+((C2922=TRUE)*R2922*3)+((C2924=TRUE)*R2924*1))/Inputs!$B$43,((C2918=TRUE)*Q2918*1)+((C2919=TRUE)*Q2919*1)+((C2921=TRUE)*Q2921*1)+((C2922=TRUE)*Q2922*3)+((C2924=TRUE)*Q2924*1))+B2946</f>
        <v/>
      </c>
    </row>
    <row r="2954">
      <c r="A2954" s="6" t="inlineStr">
        <is>
          <t>Stat: CDR = 5.0s</t>
        </is>
      </c>
    </row>
    <row r="2955">
      <c r="A2955" s="5" t="inlineStr">
        <is>
          <t>Key</t>
        </is>
      </c>
      <c r="B2955" s="5" t="inlineStr">
        <is>
          <t>Name</t>
        </is>
      </c>
      <c r="C2955" s="5" t="inlineStr">
        <is>
          <t>Unlocked</t>
        </is>
      </c>
      <c r="D2955" s="5" t="inlineStr">
        <is>
          <t>InputLevel</t>
        </is>
      </c>
      <c r="E2955" s="5" t="inlineStr">
        <is>
          <t>Factor</t>
        </is>
      </c>
      <c r="F2955" s="5" t="inlineStr">
        <is>
          <t>CoefficientPercent</t>
        </is>
      </c>
      <c r="G2955" s="5" t="inlineStr">
        <is>
          <t>EffectiveHits</t>
        </is>
      </c>
      <c r="H2955" s="5" t="inlineStr">
        <is>
          <t>ProcProbability</t>
        </is>
      </c>
      <c r="I2955" s="5" t="inlineStr">
        <is>
          <t>MapleHeroMultiplier</t>
        </is>
      </c>
      <c r="J2955" s="5" t="inlineStr">
        <is>
          <t>BaseDamage</t>
        </is>
      </c>
      <c r="K2955" s="5" t="inlineStr">
        <is>
          <t>BaseHitDamage</t>
        </is>
      </c>
      <c r="L2955" s="5" t="inlineStr">
        <is>
          <t>NonCritAvg</t>
        </is>
      </c>
      <c r="M2955" s="5" t="inlineStr">
        <is>
          <t>CritAvg</t>
        </is>
      </c>
      <c r="N2955" s="5" t="inlineStr">
        <is>
          <t>ExpectedDamage(perHit)</t>
        </is>
      </c>
      <c r="O2955" s="5" t="inlineStr">
        <is>
          <t>DPS</t>
        </is>
      </c>
      <c r="P2955" s="5" t="inlineStr">
        <is>
          <t>% of Total</t>
        </is>
      </c>
      <c r="R2955" t="inlineStr">
        <is>
          <t>helpers</t>
        </is>
      </c>
    </row>
    <row r="2956">
      <c r="A2956">
        <f>Skills!A2</f>
        <v/>
      </c>
      <c r="B2956">
        <f>Skills!B2</f>
        <v/>
      </c>
      <c r="C2956">
        <f>Inputs!$B$3&gt;=100</f>
        <v/>
      </c>
      <c r="D2956" t="inlineStr"/>
      <c r="E2956" t="inlineStr"/>
      <c r="F2956">
        <f>T2958+Skills!N2</f>
        <v/>
      </c>
      <c r="G2956">
        <f>Calc!G2</f>
        <v/>
      </c>
      <c r="H2956">
        <f>Calc!H2</f>
        <v/>
      </c>
      <c r="I2956">
        <f>IF(Skills!T2&lt;&gt;"",1+(Skills!T2/10)*(Z2957/1000)/100,1)</f>
        <v/>
      </c>
      <c r="J2956">
        <f>((Inputs!$B$6*(1+Inputs!$B$7/100))+(((Inputs!$B$12*(1+Inputs!$B$13/100))-(Inputs!$B$12*(1+Inputs!$B$13/100)))+0.25*(Inputs!$B$14-Inputs!$B$14))*(1+Inputs!$B$7/100))*(F2956/100)</f>
        <v/>
      </c>
      <c r="K2956">
        <f>J2956*(1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2="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2956)</f>
        <v/>
      </c>
      <c r="L2956">
        <f>K2956*(MIN(Inputs!$B$22+(F2972-Calc!F18),(Inputs!$B$23+(IF(ArtifactsInput!$M$15,CHOOSE(ArtifactsInput!$N$15+1,25,30,35,40,45,50)/100*(Inputs!$B$11-Inputs!$B$11),0))))/100+(Inputs!$B$23+(IF(ArtifactsInput!$M$15,CHOOSE(ArtifactsInput!$N$15+1,25,30,35,40,45,50)/100*(Inputs!$B$11-Inputs!$B$11),0)))/100)/2</f>
        <v/>
      </c>
      <c r="M2956">
        <f>L2956*(1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6">
        <f>L2956*(1-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2956*(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6">
        <f>(1-Summary!$B$11)*S2956+Summary!$B$11*U2956</f>
        <v/>
      </c>
      <c r="P2956">
        <f>IF(B2991=0,0,O2956/B2991)</f>
        <v/>
      </c>
      <c r="Q2956">
        <f>IFERROR(1/(IF(Inputs!$B$38="pvp",15,MAX(0.1,Skills!D2-IF(TRUE=TRUE,5.0,0)))*(1-IF(AND(ArtifactsInput!$M$27,Inputs!$B$4="Chapter Hunt"),CHOOSE(ArtifactsInput!$N$27+1,20,24,28,32,36,40),0)/100)),0)</f>
        <v/>
      </c>
      <c r="R2956" t="n">
        <v>0</v>
      </c>
      <c r="S2956">
        <f>IF(C2956,(Skills!F2*N2956*B2987)*IF(Inputs!$B$38="pvp",1,1+(Inputs!$B$20+Skills!O2+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2956*(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2956*(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T2956">
        <f>MAX(0,(Inputs!$B$3-100)*3)+Inputs!$B$28+Inputs!$B$29</f>
        <v/>
      </c>
      <c r="U2956">
        <f>IF(C2956,(Skills!F2*N2956*B2987)*IF(Inputs!$B$38="pvp",1,(1+(Inputs!$B$21+Skills!P2+B2982+(IF(ArtifactsInput!$M$33,CHOOSE(ArtifactsInput!$N$33+1,30,36,42,48,54,60)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c r="Z2956">
        <f>MAX(0,(Inputs!$B$3-100)*3)+Inputs!$B$28+Inputs!$B$29</f>
        <v/>
      </c>
    </row>
    <row r="2957">
      <c r="A2957">
        <f>Skills!A3</f>
        <v/>
      </c>
      <c r="B2957">
        <f>Skills!B3</f>
        <v/>
      </c>
      <c r="C2957">
        <f>Inputs!$B$3&gt;=15</f>
        <v/>
      </c>
      <c r="D2957">
        <f>IF(Skills!C3=1,60+Inputs!$B$25+Inputs!$B$29,IF(Skills!C3=2,90+Inputs!$B$26+Inputs!$B$29,IF(Skills!C3=3,120+Inputs!$B$27+Inputs!$B$29,MAX(0,(Inputs!$B$3-100)*3)+Inputs!$B$28+Inputs!$B$29)))</f>
        <v/>
      </c>
      <c r="E2957">
        <f>INDEX(FactorTable!$B$2:$Y$301, MATCH(ROUND(MIN(300,MAX(1,D2957)),0), FactorTable!$A$2:$A$301,0), Skills!L3+1)</f>
        <v/>
      </c>
      <c r="F2957">
        <f>IF(Skills!M3=TRUE,(Skills!K3/10)*(E2957/1000),Skills!K3/10)+Skills!N3</f>
        <v/>
      </c>
      <c r="G2957">
        <f>Calc!G3</f>
        <v/>
      </c>
      <c r="H2957">
        <f>Calc!H3</f>
        <v/>
      </c>
      <c r="I2957">
        <f>IF(Skills!T3&lt;&gt;"",1+(Skills!T3/10)*(Z2957/1000)/100,1)</f>
        <v/>
      </c>
      <c r="J2957" t="inlineStr"/>
      <c r="K2957" t="inlineStr"/>
      <c r="L2957" t="inlineStr"/>
      <c r="M2957" t="inlineStr"/>
      <c r="N2957" t="inlineStr"/>
      <c r="O2957">
        <f>(1-Summary!$B$11)*S2957+Summary!$B$11*U2957</f>
        <v/>
      </c>
      <c r="P2957">
        <f>IF(B2991=0,0,O2957/B2991)</f>
        <v/>
      </c>
      <c r="Q2957">
        <f>IFERROR(1/(IF(Inputs!$B$38="pvp",15,MAX(0.1,Skills!D3-IF(TRUE=TRUE,5.0,0)))*(1-IF(AND(ArtifactsInput!$M$27,Inputs!$B$4="Chapter Hunt"),CHOOSE(ArtifactsInput!$N$27+1,20,24,28,32,36,40),0)/100)),0)</f>
        <v/>
      </c>
      <c r="R2957">
        <f>IF(AND(Inputs!$B$38&lt;&gt;"pvp",Inputs!$B$43&gt;0),IF(Inputs!$B$43&lt;=0,0,(INT(Inputs!$B$43/(IF(Inputs!$B$38="pvp",15,MAX(0.1,Skills!D3-IF(TRUE=TRUE,5.0,0)))*(1-IF(AND(ArtifactsInput!$M$27,Inputs!$B$4="Chapter Hunt"),CHOOSE(ArtifactsInput!$N$27+1,20,24,28,32,36,40),0)/100)))+1)),0)</f>
        <v/>
      </c>
      <c r="S2957" t="n">
        <v>0</v>
      </c>
      <c r="T2957">
        <f>INDEX(FactorTable!$B$2:$Y$301, MATCH(ROUND(MIN(300,MAX(1,T2956)),0), FactorTable!$A$2:$A$301,0), 22)</f>
        <v/>
      </c>
      <c r="U2957" t="n">
        <v>0</v>
      </c>
      <c r="Z2957">
        <f>INDEX(FactorTable!$B$2:$Y$301, MATCH(ROUND(MIN(300,MAX(1,Z2956)),0), FactorTable!$A$2:$A$301,0), 24)</f>
        <v/>
      </c>
    </row>
    <row r="2958">
      <c r="A2958">
        <f>Skills!A4</f>
        <v/>
      </c>
      <c r="B2958">
        <f>Skills!B4</f>
        <v/>
      </c>
      <c r="C2958">
        <f>Inputs!$B$3&gt;=40</f>
        <v/>
      </c>
      <c r="D2958">
        <f>IF(Skills!C4=1,60+Inputs!$B$25+Inputs!$B$29,IF(Skills!C4=2,90+Inputs!$B$26+Inputs!$B$29,IF(Skills!C4=3,120+Inputs!$B$27+Inputs!$B$29,MAX(0,(Inputs!$B$3-100)*3)+Inputs!$B$28+Inputs!$B$29)))</f>
        <v/>
      </c>
      <c r="E2958">
        <f>INDEX(FactorTable!$B$2:$Y$301, MATCH(ROUND(MIN(300,MAX(1,D2958)),0), FactorTable!$A$2:$A$301,0), Skills!L4+1)</f>
        <v/>
      </c>
      <c r="F2958">
        <f>IF(Skills!M4=TRUE,(Skills!K4/10)*(E2958/1000),Skills!K4/10)+Skills!N4</f>
        <v/>
      </c>
      <c r="G2958">
        <f>Calc!G4</f>
        <v/>
      </c>
      <c r="H2958">
        <f>Calc!H4</f>
        <v/>
      </c>
      <c r="I2958">
        <f>IF(Skills!T4&lt;&gt;"",1+(Skills!T4/10)*(Z2957/1000)/100,1)</f>
        <v/>
      </c>
      <c r="J2958" t="inlineStr"/>
      <c r="K2958" t="inlineStr"/>
      <c r="L2958" t="inlineStr"/>
      <c r="M2958" t="inlineStr"/>
      <c r="N2958" t="inlineStr"/>
      <c r="O2958">
        <f>(1-Summary!$B$11)*S2958+Summary!$B$11*U2958</f>
        <v/>
      </c>
      <c r="P2958">
        <f>IF(B2991=0,0,O2958/B2991)</f>
        <v/>
      </c>
      <c r="Q2958">
        <f>IFERROR(1/(IF(Inputs!$B$38="pvp",15,MAX(0.1,Skills!D4-IF(TRUE=TRUE,5.0,0)))*(1-IF(AND(ArtifactsInput!$M$27,Inputs!$B$4="Chapter Hunt"),CHOOSE(ArtifactsInput!$N$27+1,20,24,28,32,36,40),0)/100)),0)</f>
        <v/>
      </c>
      <c r="R2958">
        <f>IF(AND(Inputs!$B$38&lt;&gt;"pvp",Inputs!$B$43&gt;0),IF(Inputs!$B$43&lt;=0,0,(INT(Inputs!$B$43/(IF(Inputs!$B$38="pvp",15,MAX(0.1,Skills!D4-IF(TRUE=TRUE,5.0,0)))*(1-IF(AND(ArtifactsInput!$M$27,Inputs!$B$4="Chapter Hunt"),CHOOSE(ArtifactsInput!$N$27+1,20,24,28,32,36,40),0)/100)))+1)),0)</f>
        <v/>
      </c>
      <c r="S2958" t="n">
        <v>0</v>
      </c>
      <c r="T2958">
        <f>290*T2957/1000</f>
        <v/>
      </c>
      <c r="U2958" t="n">
        <v>0</v>
      </c>
    </row>
    <row r="2959">
      <c r="A2959">
        <f>Skills!A5</f>
        <v/>
      </c>
      <c r="B2959">
        <f>Skills!B5</f>
        <v/>
      </c>
      <c r="C2959">
        <f>Inputs!$B$3&gt;=38</f>
        <v/>
      </c>
      <c r="D2959">
        <f>IF(Skills!C5=1,60+Inputs!$B$25+Inputs!$B$29,IF(Skills!C5=2,90+Inputs!$B$26+Inputs!$B$29,IF(Skills!C5=3,120+Inputs!$B$27+Inputs!$B$29,MAX(0,(Inputs!$B$3-100)*3)+Inputs!$B$28+Inputs!$B$29)))</f>
        <v/>
      </c>
      <c r="E2959">
        <f>INDEX(FactorTable!$B$2:$Y$301, MATCH(ROUND(MIN(300,MAX(1,D2959)),0), FactorTable!$A$2:$A$301,0), Skills!L5+1)</f>
        <v/>
      </c>
      <c r="F2959">
        <f>IF(Skills!M5=TRUE,(Skills!K5/10)*(E2959/1000),Skills!K5/10)+Skills!N5</f>
        <v/>
      </c>
      <c r="G2959">
        <f>Calc!G5</f>
        <v/>
      </c>
      <c r="H2959">
        <f>Calc!H5</f>
        <v/>
      </c>
      <c r="I2959">
        <f>IF(Skills!T5&lt;&gt;"",1+(Skills!T5/10)*(Z2957/1000)/100,1)</f>
        <v/>
      </c>
      <c r="J2959">
        <f>((Inputs!$B$6*(1+Inputs!$B$7/100))+(((Inputs!$B$12*(1+Inputs!$B$13/100))-(Inputs!$B$12*(1+Inputs!$B$13/100)))+0.25*(Inputs!$B$14-Inputs!$B$14))*(1+Inputs!$B$7/100))*(F2959/100)</f>
        <v/>
      </c>
      <c r="K2959">
        <f>J2959*(1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5="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2959)</f>
        <v/>
      </c>
      <c r="L2959">
        <f>K2959*(MIN(Inputs!$B$22+(F2972-Calc!F18),(Inputs!$B$23+(IF(ArtifactsInput!$M$15,CHOOSE(ArtifactsInput!$N$15+1,25,30,35,40,45,50)/100*(Inputs!$B$11-Inputs!$B$11),0))))/100+(Inputs!$B$23+(IF(ArtifactsInput!$M$15,CHOOSE(ArtifactsInput!$N$15+1,25,30,35,40,45,50)/100*(Inputs!$B$11-Inputs!$B$11),0)))/100)/2</f>
        <v/>
      </c>
      <c r="M2959">
        <f>L2959*(1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59">
        <f>L2959*(1-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2959*(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59">
        <f>(1-Summary!$B$11)*S2959+Summary!$B$11*U2959</f>
        <v/>
      </c>
      <c r="P2959">
        <f>IF(B2991=0,0,O2959/B2991)</f>
        <v/>
      </c>
      <c r="Q2959">
        <f>IFERROR(1/(IF(Inputs!$B$38="pvp",15,MAX(0.1,Skills!D5-IF(TRUE=TRUE,5.0,0)))*(1-IF(AND(ArtifactsInput!$M$27,Inputs!$B$4="Chapter Hunt"),CHOOSE(ArtifactsInput!$N$27+1,20,24,28,32,36,40),0)/100)),0)</f>
        <v/>
      </c>
      <c r="R2959">
        <f>IF(AND(Inputs!$B$38&lt;&gt;"pvp",Inputs!$B$43&gt;0),IF(MAX(0,Inputs!$B$43-B2988)&lt;=0,0,(INT(MAX(0,Inputs!$B$43-B2988)/(IF(Inputs!$B$38="pvp",15,MAX(0.1,Skills!D5-IF(TRUE=TRUE,5.0,0)))*(1-IF(AND(ArtifactsInput!$M$27,Inputs!$B$4="Chapter Hunt"),CHOOSE(ArtifactsInput!$N$27+1,20,24,28,32,36,40),0)/100)))+1)),0)</f>
        <v/>
      </c>
      <c r="S2959">
        <f>IF(C2959,(H2959*N2959*IF(AND(Inputs!$B$38&lt;&gt;"pvp",Inputs!$B$43&gt;0),((Skills!F5*((R2959-1)*IF(Skills!G5&gt;0,Skills!H5/Skills!G5,1)+IF(Skills!G5&gt;0,MIN(Skills!H5,MAX(0,MAX(0,Inputs!$B$43-B2988)-((R2959-1)*(IF(Inputs!$B$38="pvp",15,MAX(0.1,Skills!D5-IF(TRUE=TRUE,5.0,0)))*(1-IF(AND(ArtifactsInput!$M$27,Inputs!$B$4="Chapter Hunt"),CHOOSE(ArtifactsInput!$N$27+1,20,24,28,32,36,40),0)/100)))))/Skills!G5,1)))/Inputs!$B$43),G2959*Q2959))*IF(Inputs!$B$38="pvp",1,1+(Inputs!$B$20+Skills!O5+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2959*(1-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2959*(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2959*(1-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2959*(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59">
        <f>IF(C2959,(H2959*N2959*IF(AND(Inputs!$B$38&lt;&gt;"pvp",Inputs!$B$43&gt;0),((Skills!F5*((R2959-1)*IF(Skills!G5&gt;0,Skills!H5/Skills!G5,1)+IF(Skills!G5&gt;0,MIN(Skills!H5,MAX(0,MAX(0,Inputs!$B$43-B2988)-((R2959-1)*(IF(Inputs!$B$38="pvp",15,MAX(0.1,Skills!D5-IF(TRUE=TRUE,5.0,0)))*(1-IF(AND(ArtifactsInput!$M$27,Inputs!$B$4="Chapter Hunt"),CHOOSE(ArtifactsInput!$N$27+1,20,24,28,32,36,40),0)/100)))))/Skills!G5,1)))/Inputs!$B$43),G2959*Q2959))*IF(Inputs!$B$38="pvp",1,(1+(Inputs!$B$21+Skills!P5+B2982+(IF(ArtifactsInput!$M$33,CHOOSE(ArtifactsInput!$N$33+1,30,36,42,48,54,60),0)))/100)*(MIN(Skills!Q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0">
      <c r="A2960">
        <f>Skills!A6</f>
        <v/>
      </c>
      <c r="B2960">
        <f>Skills!B6</f>
        <v/>
      </c>
      <c r="C2960">
        <f>Inputs!$B$3&gt;=63</f>
        <v/>
      </c>
      <c r="D2960">
        <f>IF(Skills!C6=1,60+Inputs!$B$25+Inputs!$B$29,IF(Skills!C6=2,90+Inputs!$B$26+Inputs!$B$29,IF(Skills!C6=3,120+Inputs!$B$27+Inputs!$B$29,MAX(0,(Inputs!$B$3-100)*3)+Inputs!$B$28+Inputs!$B$29)))</f>
        <v/>
      </c>
      <c r="E2960">
        <f>INDEX(FactorTable!$B$2:$Y$301, MATCH(ROUND(MIN(300,MAX(1,D2960)),0), FactorTable!$A$2:$A$301,0), Skills!L6+1)</f>
        <v/>
      </c>
      <c r="F2960">
        <f>IF(Skills!M6=TRUE,(Skills!K6/10)*(E2960/1000),Skills!K6/10)+Skills!N6</f>
        <v/>
      </c>
      <c r="G2960">
        <f>Calc!G6</f>
        <v/>
      </c>
      <c r="H2960">
        <f>Calc!H6</f>
        <v/>
      </c>
      <c r="I2960">
        <f>IF(Skills!T6&lt;&gt;"",1+(Skills!T6/10)*(Z2957/1000)/100,1)</f>
        <v/>
      </c>
      <c r="J2960">
        <f>((Inputs!$B$6*(1+Inputs!$B$7/100))+(((Inputs!$B$12*(1+Inputs!$B$13/100))-(Inputs!$B$12*(1+Inputs!$B$13/100)))+0.25*(Inputs!$B$14-Inputs!$B$14))*(1+Inputs!$B$7/100))*(F2960/100)</f>
        <v/>
      </c>
      <c r="K2960">
        <f>J2960*(1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6="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2960)</f>
        <v/>
      </c>
      <c r="L2960">
        <f>K2960*(MIN(Inputs!$B$22+(F2972-Calc!F18),(Inputs!$B$23+(IF(ArtifactsInput!$M$15,CHOOSE(ArtifactsInput!$N$15+1,25,30,35,40,45,50)/100*(Inputs!$B$11-Inputs!$B$11),0))))/100+(Inputs!$B$23+(IF(ArtifactsInput!$M$15,CHOOSE(ArtifactsInput!$N$15+1,25,30,35,40,45,50)/100*(Inputs!$B$11-Inputs!$B$11),0)))/100)/2</f>
        <v/>
      </c>
      <c r="M2960">
        <f>L2960*(1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0">
        <f>L2960*(1-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2960*(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0">
        <f>(1-Summary!$B$11)*S2960+Summary!$B$11*U2960</f>
        <v/>
      </c>
      <c r="P2960">
        <f>IF(B2991=0,0,O2960/B2991)</f>
        <v/>
      </c>
      <c r="Q2960">
        <f>IFERROR(1/(IF(Inputs!$B$38="pvp",15,MAX(0.1,Skills!D6-IF(TRUE=TRUE,5.0,0)))*(1-IF(AND(ArtifactsInput!$M$27,Inputs!$B$4="Chapter Hunt"),CHOOSE(ArtifactsInput!$N$27+1,20,24,28,32,36,40),0)/100)),0)</f>
        <v/>
      </c>
      <c r="R2960">
        <f>IF(AND(Inputs!$B$38&lt;&gt;"pvp",Inputs!$B$43&gt;0),IF(MAX(0,Inputs!$B$43-B2988)&lt;=0,0,(INT(MAX(0,Inputs!$B$43-B2988)/(IF(Inputs!$B$38="pvp",15,MAX(0.1,Skills!D6-IF(TRUE=TRUE,5.0,0)))*(1-IF(AND(ArtifactsInput!$M$27,Inputs!$B$4="Chapter Hunt"),CHOOSE(ArtifactsInput!$N$27+1,20,24,28,32,36,40),0)/100)))+1)),0)</f>
        <v/>
      </c>
      <c r="S2960">
        <f>IF(C2960,(H2960*N2960*IF(AND(Inputs!$B$38&lt;&gt;"pvp",Inputs!$B$43&gt;0),((Skills!F6*((R2960-1)*IF(Skills!G6&gt;0,Skills!H6/Skills!G6,1)+IF(Skills!G6&gt;0,MIN(Skills!H6,MAX(0,MAX(0,Inputs!$B$43-B2988)-((R2960-1)*(IF(Inputs!$B$38="pvp",15,MAX(0.1,Skills!D6-IF(TRUE=TRUE,5.0,0)))*(1-IF(AND(ArtifactsInput!$M$27,Inputs!$B$4="Chapter Hunt"),CHOOSE(ArtifactsInput!$N$27+1,20,24,28,32,36,40),0)/100)))))/Skills!G6,1)))/Inputs!$B$43),G2960*Q2960))*IF(Inputs!$B$38="pvp",1,1+(Inputs!$B$20+Skills!O6+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2960*(1-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2960*(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2960*(1-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2960*(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0">
        <f>IF(C2960,(H2960*N2960*IF(AND(Inputs!$B$38&lt;&gt;"pvp",Inputs!$B$43&gt;0),((Skills!F6*((R2960-1)*IF(Skills!G6&gt;0,Skills!H6/Skills!G6,1)+IF(Skills!G6&gt;0,MIN(Skills!H6,MAX(0,MAX(0,Inputs!$B$43-B2988)-((R2960-1)*(IF(Inputs!$B$38="pvp",15,MAX(0.1,Skills!D6-IF(TRUE=TRUE,5.0,0)))*(1-IF(AND(ArtifactsInput!$M$27,Inputs!$B$4="Chapter Hunt"),CHOOSE(ArtifactsInput!$N$27+1,20,24,28,32,36,40),0)/100)))))/Skills!G6,1)))/Inputs!$B$43),G2960*Q2960))*IF(Inputs!$B$38="pvp",1,(1+(Inputs!$B$21+Skills!P6+B2982+(IF(ArtifactsInput!$M$33,CHOOSE(ArtifactsInput!$N$33+1,30,36,42,48,54,60),0)))/100)*(MIN(Skills!Q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1">
      <c r="A2961">
        <f>Skills!A7</f>
        <v/>
      </c>
      <c r="B2961">
        <f>Skills!B7</f>
        <v/>
      </c>
      <c r="C2961">
        <f>Inputs!$B$3&gt;=69</f>
        <v/>
      </c>
      <c r="D2961">
        <f>IF(Skills!C7=1,60+Inputs!$B$25+Inputs!$B$29,IF(Skills!C7=2,90+Inputs!$B$26+Inputs!$B$29,IF(Skills!C7=3,120+Inputs!$B$27+Inputs!$B$29,MAX(0,(Inputs!$B$3-100)*3)+Inputs!$B$28+Inputs!$B$29)))</f>
        <v/>
      </c>
      <c r="E2961">
        <f>INDEX(FactorTable!$B$2:$Y$301, MATCH(ROUND(MIN(300,MAX(1,D2961)),0), FactorTable!$A$2:$A$301,0), Skills!L7+1)</f>
        <v/>
      </c>
      <c r="F2961">
        <f>IF(Skills!M7=TRUE,(Skills!K7/10)*(E2961/1000),Skills!K7/10)+Skills!N7</f>
        <v/>
      </c>
      <c r="G2961">
        <f>Calc!G7</f>
        <v/>
      </c>
      <c r="H2961">
        <f>Calc!H7</f>
        <v/>
      </c>
      <c r="I2961">
        <f>IF(Skills!T7&lt;&gt;"",1+(Skills!T7/10)*(Z2957/1000)/100,1)</f>
        <v/>
      </c>
      <c r="J2961">
        <f>((Inputs!$B$6*(1+Inputs!$B$7/100))+(((Inputs!$B$12*(1+Inputs!$B$13/100))-(Inputs!$B$12*(1+Inputs!$B$13/100)))+0.25*(Inputs!$B$14-Inputs!$B$14))*(1+Inputs!$B$7/100))*(F2961/100)</f>
        <v/>
      </c>
      <c r="K2961">
        <f>J2961*(1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7="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2961)</f>
        <v/>
      </c>
      <c r="L2961">
        <f>K2961*(MIN(Inputs!$B$22+(F2972-Calc!F18),(Inputs!$B$23+(IF(ArtifactsInput!$M$15,CHOOSE(ArtifactsInput!$N$15+1,25,30,35,40,45,50)/100*(Inputs!$B$11-Inputs!$B$11),0))))/100+(Inputs!$B$23+(IF(ArtifactsInput!$M$15,CHOOSE(ArtifactsInput!$N$15+1,25,30,35,40,45,50)/100*(Inputs!$B$11-Inputs!$B$11),0)))/100)/2</f>
        <v/>
      </c>
      <c r="M2961">
        <f>L2961*(1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1">
        <f>L2961*(1-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1">
        <f>(1-Summary!$B$11)*S2961+Summary!$B$11*U2961</f>
        <v/>
      </c>
      <c r="P2961">
        <f>IF(B2991=0,0,O2961/B2991)</f>
        <v/>
      </c>
      <c r="Q2961">
        <f>IFERROR(1/(IF(Inputs!$B$38="pvp",15,MAX(0.1,Skills!D7-IF(TRUE=TRUE,5.0,0)))*(1-IF(AND(ArtifactsInput!$M$27,Inputs!$B$4="Chapter Hunt"),CHOOSE(ArtifactsInput!$N$27+1,20,24,28,32,36,40),0)/100)),0)</f>
        <v/>
      </c>
      <c r="R2961">
        <f>IF(AND(Inputs!$B$38&lt;&gt;"pvp",Inputs!$B$43&gt;0),IF(MAX(0,Inputs!$B$43-B2988)&lt;=0,0,(INT(MAX(0,Inputs!$B$43-B2988)/(IF(Inputs!$B$38="pvp",15,MAX(0.1,Skills!D7-IF(TRUE=TRUE,5.0,0)))*(1-IF(AND(ArtifactsInput!$M$27,Inputs!$B$4="Chapter Hunt"),CHOOSE(ArtifactsInput!$N$27+1,20,24,28,32,36,40),0)/100)))+1)),0)</f>
        <v/>
      </c>
      <c r="S2961">
        <f>IF(C2961,(H2961*N2961*IF(AND(Inputs!$B$38&lt;&gt;"pvp",Inputs!$B$43&gt;0),((Skills!F7*((R2961-1)*IF(Skills!G7&gt;0,Skills!H7/Skills!G7,1)+IF(Skills!G7&gt;0,MIN(Skills!H7,MAX(0,MAX(0,Inputs!$B$43-B2988)-((R2961-1)*(IF(Inputs!$B$38="pvp",15,MAX(0.1,Skills!D7-IF(TRUE=TRUE,5.0,0)))*(1-IF(AND(ArtifactsInput!$M$27,Inputs!$B$4="Chapter Hunt"),CHOOSE(ArtifactsInput!$N$27+1,20,24,28,32,36,40),0)/100)))))/Skills!G7,1)))/Inputs!$B$43),G2961*Q2961))*IF(Inputs!$B$38="pvp",1,1+(Inputs!$B$20+Skills!O7+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2961*(1-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2961*(1-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1">
        <f>IF(C2961,(H2961*N2961*IF(AND(Inputs!$B$38&lt;&gt;"pvp",Inputs!$B$43&gt;0),((Skills!F7*((R2961-1)*IF(Skills!G7&gt;0,Skills!H7/Skills!G7,1)+IF(Skills!G7&gt;0,MIN(Skills!H7,MAX(0,MAX(0,Inputs!$B$43-B2988)-((R2961-1)*(IF(Inputs!$B$38="pvp",15,MAX(0.1,Skills!D7-IF(TRUE=TRUE,5.0,0)))*(1-IF(AND(ArtifactsInput!$M$27,Inputs!$B$4="Chapter Hunt"),CHOOSE(ArtifactsInput!$N$27+1,20,24,28,32,36,40),0)/100)))))/Skills!G7,1)))/Inputs!$B$43),G2961*Q2961))*IF(Inputs!$B$38="pvp",1,(1+(Inputs!$B$21+Skills!P7+B2982+(IF(ArtifactsInput!$M$33,CHOOSE(ArtifactsInput!$N$33+1,30,36,42,48,54,60),0)))/100)*(MIN(Skills!Q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2">
      <c r="A2962">
        <f>Skills!A8</f>
        <v/>
      </c>
      <c r="B2962">
        <f>Skills!B8</f>
        <v/>
      </c>
      <c r="C2962">
        <f>Inputs!$B$3&gt;=103</f>
        <v/>
      </c>
      <c r="D2962">
        <f>IF(Skills!C8=1,60+Inputs!$B$25+Inputs!$B$29,IF(Skills!C8=2,90+Inputs!$B$26+Inputs!$B$29,IF(Skills!C8=3,120+Inputs!$B$27+Inputs!$B$29,MAX(0,(Inputs!$B$3-100)*3)+Inputs!$B$28+Inputs!$B$29)))</f>
        <v/>
      </c>
      <c r="E2962">
        <f>INDEX(FactorTable!$B$2:$Y$301, MATCH(ROUND(MIN(300,MAX(1,D2962)),0), FactorTable!$A$2:$A$301,0), Skills!L8+1)</f>
        <v/>
      </c>
      <c r="F2962">
        <f>IF(Skills!M8=TRUE,(Skills!K8/10)*(E2962/1000),Skills!K8/10)+Skills!N8</f>
        <v/>
      </c>
      <c r="G2962">
        <f>Calc!G8</f>
        <v/>
      </c>
      <c r="H2962">
        <f>Calc!H8</f>
        <v/>
      </c>
      <c r="I2962">
        <f>IF(Skills!T8&lt;&gt;"",1+(Skills!T8/10)*(Z2957/1000)/100,1)</f>
        <v/>
      </c>
      <c r="J2962">
        <f>((Inputs!$B$6*(1+Inputs!$B$7/100))+(((Inputs!$B$12*(1+Inputs!$B$13/100))-(Inputs!$B$12*(1+Inputs!$B$13/100)))+0.25*(Inputs!$B$14-Inputs!$B$14))*(1+Inputs!$B$7/100))*(F2962/100)</f>
        <v/>
      </c>
      <c r="K2962">
        <f>J2962*(1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8="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2962)</f>
        <v/>
      </c>
      <c r="L2962">
        <f>K2962*(MIN(Inputs!$B$22+(F2972-Calc!F18),(Inputs!$B$23+(IF(ArtifactsInput!$M$15,CHOOSE(ArtifactsInput!$N$15+1,25,30,35,40,45,50)/100*(Inputs!$B$11-Inputs!$B$11),0))))/100+(Inputs!$B$23+(IF(ArtifactsInput!$M$15,CHOOSE(ArtifactsInput!$N$15+1,25,30,35,40,45,50)/100*(Inputs!$B$11-Inputs!$B$11),0)))/100)/2</f>
        <v/>
      </c>
      <c r="M2962">
        <f>L2962*(1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2">
        <f>L2962*(1-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2962*(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2">
        <f>(1-Summary!$B$11)*S2962+Summary!$B$11*U2962</f>
        <v/>
      </c>
      <c r="P2962">
        <f>IF(B2991=0,0,O2962/B2991)</f>
        <v/>
      </c>
      <c r="Q2962">
        <f>IFERROR(1/(IF(Inputs!$B$38="pvp",15,MAX(0.1,Skills!D8-IF(TRUE=TRUE,5.0,0)))*(1-IF(AND(ArtifactsInput!$M$27,Inputs!$B$4="Chapter Hunt"),CHOOSE(ArtifactsInput!$N$27+1,20,24,28,32,36,40),0)/100)),0)</f>
        <v/>
      </c>
      <c r="R2962">
        <f>IF(AND(Inputs!$B$38&lt;&gt;"pvp",Inputs!$B$43&gt;0),IF(MAX(0,Inputs!$B$43-B2988)&lt;=0,0,(INT(MAX(0,Inputs!$B$43-B2988)/(IF(Inputs!$B$38="pvp",15,MAX(0.1,Skills!D8-IF(TRUE=TRUE,5.0,0)))*(1-IF(AND(ArtifactsInput!$M$27,Inputs!$B$4="Chapter Hunt"),CHOOSE(ArtifactsInput!$N$27+1,20,24,28,32,36,40),0)/100)))+1)),0)</f>
        <v/>
      </c>
      <c r="S2962">
        <f>IF(C2962,(H2962*N2962*IF(AND(Inputs!$B$38&lt;&gt;"pvp",Inputs!$B$43&gt;0),((Skills!F8*((R2962-1)*IF(Skills!G8&gt;0,Skills!H8/Skills!G8,1)+IF(Skills!G8&gt;0,MIN(Skills!H8,MAX(0,MAX(0,Inputs!$B$43-B2988)-((R2962-1)*(IF(Inputs!$B$38="pvp",15,MAX(0.1,Skills!D8-IF(TRUE=TRUE,5.0,0)))*(1-IF(AND(ArtifactsInput!$M$27,Inputs!$B$4="Chapter Hunt"),CHOOSE(ArtifactsInput!$N$27+1,20,24,28,32,36,40),0)/100)))))/Skills!G8,1)))/Inputs!$B$43),G2962*Q2962))*IF(Inputs!$B$38="pvp",1,1+(Inputs!$B$20+Skills!O8+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2962*(1-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2962*(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2962*(1-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2962*(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2">
        <f>IF(C2962,(H2962*N2962*IF(AND(Inputs!$B$38&lt;&gt;"pvp",Inputs!$B$43&gt;0),((Skills!F8*((R2962-1)*IF(Skills!G8&gt;0,Skills!H8/Skills!G8,1)+IF(Skills!G8&gt;0,MIN(Skills!H8,MAX(0,MAX(0,Inputs!$B$43-B2988)-((R2962-1)*(IF(Inputs!$B$38="pvp",15,MAX(0.1,Skills!D8-IF(TRUE=TRUE,5.0,0)))*(1-IF(AND(ArtifactsInput!$M$27,Inputs!$B$4="Chapter Hunt"),CHOOSE(ArtifactsInput!$N$27+1,20,24,28,32,36,40),0)/100)))))/Skills!G8,1)))/Inputs!$B$43),G2962*Q2962))*IF(Inputs!$B$38="pvp",1,(1+(Inputs!$B$21+Skills!P8+B2982+(IF(ArtifactsInput!$M$33,CHOOSE(ArtifactsInput!$N$33+1,30,36,42,48,54,60),0)))/100)*(MIN(Skills!Q8,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3">
      <c r="A2963">
        <f>Skills!A9</f>
        <v/>
      </c>
      <c r="B2963">
        <f>Skills!B9</f>
        <v/>
      </c>
      <c r="C2963">
        <f>Inputs!$B$3&gt;=105</f>
        <v/>
      </c>
      <c r="D2963">
        <f>IF(Skills!C9=1,60+Inputs!$B$25+Inputs!$B$29,IF(Skills!C9=2,90+Inputs!$B$26+Inputs!$B$29,IF(Skills!C9=3,120+Inputs!$B$27+Inputs!$B$29,MAX(0,(Inputs!$B$3-100)*3)+Inputs!$B$28+Inputs!$B$29)))</f>
        <v/>
      </c>
      <c r="E2963">
        <f>INDEX(FactorTable!$B$2:$Y$301, MATCH(ROUND(MIN(300,MAX(1,D2963)),0), FactorTable!$A$2:$A$301,0), Skills!L9+1)</f>
        <v/>
      </c>
      <c r="F2963">
        <f>IF(Skills!M9=TRUE,(Skills!K9/10)*(E2963/1000),Skills!K9/10)+Skills!N9</f>
        <v/>
      </c>
      <c r="G2963">
        <f>Calc!G9</f>
        <v/>
      </c>
      <c r="H2963">
        <f>Calc!H9</f>
        <v/>
      </c>
      <c r="I2963">
        <f>IF(Skills!T9&lt;&gt;"",1+(Skills!T9/10)*(Z2957/1000)/100,1)</f>
        <v/>
      </c>
      <c r="J2963">
        <f>((Inputs!$B$6*(1+Inputs!$B$7/100))+(((Inputs!$B$12*(1+Inputs!$B$13/100))-(Inputs!$B$12*(1+Inputs!$B$13/100)))+0.25*(Inputs!$B$14-Inputs!$B$14))*(1+Inputs!$B$7/100))*(F2963/100)</f>
        <v/>
      </c>
      <c r="K2963">
        <f>J2963*(1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9="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2963)</f>
        <v/>
      </c>
      <c r="L2963">
        <f>K2963*(MIN(Inputs!$B$22+(F2972-Calc!F18),(Inputs!$B$23+(IF(ArtifactsInput!$M$15,CHOOSE(ArtifactsInput!$N$15+1,25,30,35,40,45,50)/100*(Inputs!$B$11-Inputs!$B$11),0))))/100+(Inputs!$B$23+(IF(ArtifactsInput!$M$15,CHOOSE(ArtifactsInput!$N$15+1,25,30,35,40,45,50)/100*(Inputs!$B$11-Inputs!$B$11),0)))/100)/2</f>
        <v/>
      </c>
      <c r="M2963">
        <f>L2963*(1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3">
        <f>L2963*(1-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2963*(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3">
        <f>(1-Summary!$B$11)*S2963+Summary!$B$11*U2963</f>
        <v/>
      </c>
      <c r="P2963">
        <f>IF(B2991=0,0,O2963/B2991)</f>
        <v/>
      </c>
      <c r="Q2963">
        <f>IFERROR(1/(IF(Inputs!$B$38="pvp",15,MAX(0.1,Skills!D9-IF(TRUE=TRUE,5.0,0)))*(1-IF(AND(ArtifactsInput!$M$27,Inputs!$B$4="Chapter Hunt"),CHOOSE(ArtifactsInput!$N$27+1,20,24,28,32,36,40),0)/100)),0)</f>
        <v/>
      </c>
      <c r="R2963">
        <f>IF(AND(Inputs!$B$38&lt;&gt;"pvp",Inputs!$B$43&gt;0),IF(MAX(0,Inputs!$B$43-B2988)&lt;=0,0,(INT(MAX(0,Inputs!$B$43-B2988)/(IF(Inputs!$B$38="pvp",15,MAX(0.1,Skills!D9-IF(TRUE=TRUE,5.0,0)))*(1-IF(AND(ArtifactsInput!$M$27,Inputs!$B$4="Chapter Hunt"),CHOOSE(ArtifactsInput!$N$27+1,20,24,28,32,36,40),0)/100)))+1)),0)</f>
        <v/>
      </c>
      <c r="S2963">
        <f>IF(C2963,(H2963*N2963*IF(AND(Inputs!$B$38&lt;&gt;"pvp",Inputs!$B$43&gt;0),((Skills!F9*((R2963-1)*IF(Skills!G9&gt;0,Skills!H9/Skills!G9,1)+IF(Skills!G9&gt;0,MIN(Skills!H9,MAX(0,MAX(0,Inputs!$B$43-B2988)-((R2963-1)*(IF(Inputs!$B$38="pvp",15,MAX(0.1,Skills!D9-IF(TRUE=TRUE,5.0,0)))*(1-IF(AND(ArtifactsInput!$M$27,Inputs!$B$4="Chapter Hunt"),CHOOSE(ArtifactsInput!$N$27+1,20,24,28,32,36,40),0)/100)))))/Skills!G9,1)))/Inputs!$B$43),G2963*Q2963))*IF(Inputs!$B$38="pvp",1,1+(Inputs!$B$20+Skills!O9+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2963*(1-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2963*(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2963*(1-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2963*(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3">
        <f>IF(C2963,(H2963*N2963*IF(AND(Inputs!$B$38&lt;&gt;"pvp",Inputs!$B$43&gt;0),((Skills!F9*((R2963-1)*IF(Skills!G9&gt;0,Skills!H9/Skills!G9,1)+IF(Skills!G9&gt;0,MIN(Skills!H9,MAX(0,MAX(0,Inputs!$B$43-B2988)-((R2963-1)*(IF(Inputs!$B$38="pvp",15,MAX(0.1,Skills!D9-IF(TRUE=TRUE,5.0,0)))*(1-IF(AND(ArtifactsInput!$M$27,Inputs!$B$4="Chapter Hunt"),CHOOSE(ArtifactsInput!$N$27+1,20,24,28,32,36,40),0)/100)))))/Skills!G9,1)))/Inputs!$B$43),G2963*Q2963))*IF(Inputs!$B$38="pvp",1,(1+(Inputs!$B$21+Skills!P9+B2982+(IF(ArtifactsInput!$M$33,CHOOSE(ArtifactsInput!$N$33+1,30,36,42,48,54,60),0)))/100)*(MIN(Skills!Q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4">
      <c r="A2964">
        <f>Skills!A10</f>
        <v/>
      </c>
      <c r="B2964">
        <f>Skills!B10</f>
        <v/>
      </c>
      <c r="C2964">
        <f>Inputs!$B$3&gt;=113</f>
        <v/>
      </c>
      <c r="D2964">
        <f>IF(Skills!C10=1,60+Inputs!$B$25+Inputs!$B$29,IF(Skills!C10=2,90+Inputs!$B$26+Inputs!$B$29,IF(Skills!C10=3,120+Inputs!$B$27+Inputs!$B$29,MAX(0,(Inputs!$B$3-100)*3)+Inputs!$B$28+Inputs!$B$29)))</f>
        <v/>
      </c>
      <c r="E2964">
        <f>INDEX(FactorTable!$B$2:$Y$301, MATCH(ROUND(MIN(300,MAX(1,D2964)),0), FactorTable!$A$2:$A$301,0), Skills!L10+1)</f>
        <v/>
      </c>
      <c r="F2964">
        <f>IF(Skills!M10=TRUE,(Skills!K10/10)*(E2964/1000),Skills!K10/10)+Skills!N10</f>
        <v/>
      </c>
      <c r="G2964">
        <f>Calc!G10</f>
        <v/>
      </c>
      <c r="H2964">
        <f>Calc!H10</f>
        <v/>
      </c>
      <c r="I2964">
        <f>IF(Skills!T10&lt;&gt;"",1+(Skills!T10/10)*(Z2957/1000)/100,1)</f>
        <v/>
      </c>
      <c r="J2964">
        <f>((Inputs!$B$6*(1+Inputs!$B$7/100))+(((Inputs!$B$12*(1+Inputs!$B$13/100))-(Inputs!$B$12*(1+Inputs!$B$13/100)))+0.25*(Inputs!$B$14-Inputs!$B$14))*(1+Inputs!$B$7/100))*(F2964/100)</f>
        <v/>
      </c>
      <c r="K2964">
        <f>J2964*(1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10="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2964)</f>
        <v/>
      </c>
      <c r="L2964">
        <f>K2964*(MIN(Inputs!$B$22+(F2972-Calc!F18),(Inputs!$B$23+(IF(ArtifactsInput!$M$15,CHOOSE(ArtifactsInput!$N$15+1,25,30,35,40,45,50)/100*(Inputs!$B$11-Inputs!$B$11),0))))/100+(Inputs!$B$23+(IF(ArtifactsInput!$M$15,CHOOSE(ArtifactsInput!$N$15+1,25,30,35,40,45,50)/100*(Inputs!$B$11-Inputs!$B$11),0)))/100)/2</f>
        <v/>
      </c>
      <c r="M2964">
        <f>L2964*(1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4">
        <f>L2964*(1-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2964*(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4">
        <f>(1-Summary!$B$11)*S2964+Summary!$B$11*U2964</f>
        <v/>
      </c>
      <c r="P2964">
        <f>IF(B2991=0,0,O2964/B2991)</f>
        <v/>
      </c>
      <c r="Q2964">
        <f>IFERROR(1/(IF(Inputs!$B$38="pvp",15,MAX(0.1,Skills!D10-IF(TRUE=TRUE,5.0,0)))*(1-IF(AND(ArtifactsInput!$M$27,Inputs!$B$4="Chapter Hunt"),CHOOSE(ArtifactsInput!$N$27+1,20,24,28,32,36,40),0)/100)),0)</f>
        <v/>
      </c>
      <c r="R2964" t="n">
        <v>0</v>
      </c>
      <c r="S2964">
        <f>IF(C2964,((H2964*B2992)/(1+Skills!G10*H2964*B2992)*N2964)*IF(Inputs!$B$38="pvp",1,1+(Inputs!$B$20+Skills!O10+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2964*(1-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2964*(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2964*(1-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2964*(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4">
        <f>IF(C2964,((H2964*B2992)/(1+Skills!G10*H2964*B2992)*N2964)*IF(Inputs!$B$38="pvp",1,(1+(Inputs!$B$21+Skills!P10+B2982+(IF(ArtifactsInput!$M$33,CHOOSE(ArtifactsInput!$N$33+1,30,36,42,48,54,60),0)))/100)*(MIN(Skills!Q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5">
      <c r="A2965">
        <f>Skills!A11</f>
        <v/>
      </c>
      <c r="B2965">
        <f>Skills!B11</f>
        <v/>
      </c>
      <c r="C2965">
        <f>Inputs!$B$3&gt;=107</f>
        <v/>
      </c>
      <c r="D2965">
        <f>IF(Skills!C11=1,60+Inputs!$B$25+Inputs!$B$29,IF(Skills!C11=2,90+Inputs!$B$26+Inputs!$B$29,IF(Skills!C11=3,120+Inputs!$B$27+Inputs!$B$29,MAX(0,(Inputs!$B$3-100)*3)+Inputs!$B$28+Inputs!$B$29)))</f>
        <v/>
      </c>
      <c r="E2965">
        <f>INDEX(FactorTable!$B$2:$Y$301, MATCH(ROUND(MIN(300,MAX(1,D2965)),0), FactorTable!$A$2:$A$301,0), Skills!L11+1)</f>
        <v/>
      </c>
      <c r="F2965">
        <f>IF(Skills!M11=TRUE,(Skills!K11/10)*(E2965/1000),Skills!K11/10)+Skills!N11</f>
        <v/>
      </c>
      <c r="G2965">
        <f>Calc!G11</f>
        <v/>
      </c>
      <c r="H2965">
        <f>Calc!H11</f>
        <v/>
      </c>
      <c r="I2965">
        <f>IF(Skills!T11&lt;&gt;"",1+(Skills!T11/10)*(Z2957/1000)/100,1)</f>
        <v/>
      </c>
      <c r="J2965">
        <f>((Inputs!$B$6*(1+Inputs!$B$7/100))+(((Inputs!$B$12*(1+Inputs!$B$13/100))-(Inputs!$B$12*(1+Inputs!$B$13/100)))+0.25*(Inputs!$B$14-Inputs!$B$14))*(1+Inputs!$B$7/100))*(F2965/100)</f>
        <v/>
      </c>
      <c r="K2965">
        <f>J2965*(1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11="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2965)</f>
        <v/>
      </c>
      <c r="L2965">
        <f>K2965*(MIN(Inputs!$B$22+(F2972-Calc!F18),(Inputs!$B$23+(IF(ArtifactsInput!$M$15,CHOOSE(ArtifactsInput!$N$15+1,25,30,35,40,45,50)/100*(Inputs!$B$11-Inputs!$B$11),0))))/100+(Inputs!$B$23+(IF(ArtifactsInput!$M$15,CHOOSE(ArtifactsInput!$N$15+1,25,30,35,40,45,50)/100*(Inputs!$B$11-Inputs!$B$11),0)))/100)/2</f>
        <v/>
      </c>
      <c r="M2965">
        <f>L2965*(1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5">
        <f>L2965*(1-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2965*(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5">
        <f>(1-Summary!$B$11)*S2965+Summary!$B$11*U2965</f>
        <v/>
      </c>
      <c r="P2965">
        <f>IF(B2991=0,0,O2965/B2991)</f>
        <v/>
      </c>
      <c r="Q2965">
        <f>IFERROR(1/(IF(Inputs!$B$38="pvp",15,MAX(0.1,Skills!D11-IF(TRUE=TRUE,5.0,0)))*(1-IF(AND(ArtifactsInput!$M$27,Inputs!$B$4="Chapter Hunt"),CHOOSE(ArtifactsInput!$N$27+1,20,24,28,32,36,40),0)/100)),0)</f>
        <v/>
      </c>
      <c r="R2965">
        <f>IF(AND(Inputs!$B$38&lt;&gt;"pvp",Inputs!$B$43&gt;0),IF(MAX(0,Inputs!$B$43-B2988)&lt;=0,0,(INT(MAX(0,Inputs!$B$43-B2988)/(IF(Inputs!$B$38="pvp",15,MAX(0.1,Skills!D11-IF(TRUE=TRUE,5.0,0)))*(1-IF(AND(ArtifactsInput!$M$27,Inputs!$B$4="Chapter Hunt"),CHOOSE(ArtifactsInput!$N$27+1,20,24,28,32,36,40),0)/100)))+1)),0)</f>
        <v/>
      </c>
      <c r="S2965">
        <f>IF(C2965,H2965*N2965*IF(AND(Inputs!$B$38&lt;&gt;"pvp",Inputs!$B$43&gt;0),((Skills!F11*((R2965-1)*IF(Skills!G11&gt;0,Skills!H11/Skills!G11,1)+IF(Skills!G11&gt;0,MIN(Skills!H11,MAX(0,MAX(0,Inputs!$B$43-B2988)-((R2965-1)*(IF(Inputs!$B$38="pvp",15,MAX(0.1,Skills!D11-IF(TRUE=TRUE,5.0,0)))*(1-IF(AND(ArtifactsInput!$M$27,Inputs!$B$4="Chapter Hunt"),CHOOSE(ArtifactsInput!$N$27+1,20,24,28,32,36,40),0)/100)))))/Skills!G11,1)))/Inputs!$B$43),G2965*Q2965)*0.5*IF(Inputs!$B$38="pvp",1,1+(Inputs!$B$20+Skills!O11+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2965*(1-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2965*(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2965*(1-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2965*(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5">
        <f>IF(C2965,H2965*N2965*IF(AND(Inputs!$B$38&lt;&gt;"pvp",Inputs!$B$43&gt;0),((Skills!F11*((R2965-1)*IF(Skills!G11&gt;0,Skills!H11/Skills!G11,1)+IF(Skills!G11&gt;0,MIN(Skills!H11,MAX(0,MAX(0,Inputs!$B$43-B2988)-((R2965-1)*(IF(Inputs!$B$38="pvp",15,MAX(0.1,Skills!D11-IF(TRUE=TRUE,5.0,0)))*(1-IF(AND(ArtifactsInput!$M$27,Inputs!$B$4="Chapter Hunt"),CHOOSE(ArtifactsInput!$N$27+1,20,24,28,32,36,40),0)/100)))))/Skills!G11,1)))/Inputs!$B$43),G2965*Q2965)*1*IF(Inputs!$B$38="pvp",1,(1+(Inputs!$B$21+Skills!P11+B2982+(IF(ArtifactsInput!$M$33,CHOOSE(ArtifactsInput!$N$33+1,30,36,42,48,54,60),0)))/100)*(MIN(Skills!Q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6">
      <c r="A2966">
        <f>Skills!A12</f>
        <v/>
      </c>
      <c r="B2966">
        <f>Skills!B12</f>
        <v/>
      </c>
      <c r="C2966">
        <f>Inputs!$B$3&gt;=115</f>
        <v/>
      </c>
      <c r="D2966">
        <f>IF(Skills!C12=1,60+Inputs!$B$25+Inputs!$B$29,IF(Skills!C12=2,90+Inputs!$B$26+Inputs!$B$29,IF(Skills!C12=3,120+Inputs!$B$27+Inputs!$B$29,MAX(0,(Inputs!$B$3-100)*3)+Inputs!$B$28+Inputs!$B$29)))</f>
        <v/>
      </c>
      <c r="E2966">
        <f>INDEX(FactorTable!$B$2:$Y$301, MATCH(ROUND(MIN(300,MAX(1,D2966)),0), FactorTable!$A$2:$A$301,0), Skills!L12+1)</f>
        <v/>
      </c>
      <c r="F2966">
        <f>IF(Skills!M12=TRUE,(Skills!K12/10)*(E2966/1000),Skills!K12/10)+Skills!N12</f>
        <v/>
      </c>
      <c r="G2966">
        <f>Calc!G12</f>
        <v/>
      </c>
      <c r="H2966">
        <f>Calc!H12</f>
        <v/>
      </c>
      <c r="I2966">
        <f>IF(Skills!T12&lt;&gt;"",1+(Skills!T12/10)*(Z2957/1000)/100,1)</f>
        <v/>
      </c>
      <c r="J2966">
        <f>((Inputs!$B$6*(1+Inputs!$B$7/100))+(((Inputs!$B$12*(1+Inputs!$B$13/100))-(Inputs!$B$12*(1+Inputs!$B$13/100)))+0.25*(Inputs!$B$14-Inputs!$B$14))*(1+Inputs!$B$7/100))*(F2966/100)</f>
        <v/>
      </c>
      <c r="K2966">
        <f>J2966*(1+((Inputs!$B$12*(1+Inputs!$B$13/100))*0.01+Inputs!$B$14*0.0025)/100)*(1+(Inputs!$B$15+B2983)/100)*(1+Inputs!$B$16/100)*(5000/(6000+Inputs!$B$42*(1-(100*(1-(1-Inputs!$B$19/100)*(1-CHOOSE(ArtifactsInput!$N$40+1,5,6,7,8,9,10)/100)^(ArtifactsInput!$M$40-ArtifactsInput!$M$40)))/100)))*(1+Inputs!$B$24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C2969=TRUE,F2969,0)/100)*(1+IF(C2977=TRUE,F2977,0)/100)^5*(1+(IF(Skills!A12="CHAIN_LIGHTNING",Inputs!$B$17+((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MIN(100,((Inputs!$B$9+(ArtifactsInput!$M$24-ArtifactsInput!$M$24)*CHOOSE(ArtifactsInput!$N$24+1,10,12,14,16,18,20)+IF(ArtifactsInput!$M$10,CHOOSE(ArtifactsInput!$N$10+1,15,18,21,24,27,30)*(IF(Inputs!$B$38="pvp",MIN(15,15)/15,IF(AND(Inputs!$B$38&lt;&gt;"pvp",Inputs!$B$43&gt;0),MIN(15,Inputs!$B$43)/(Inputs!$B$43),0))),0)))-100),0))*CHOOSE(ArtifactsInput!$N$42+1,0.6,0.72,0.84,0.96,1.08,1.2))),Inputs!$B$18+(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gt;=100),CHOOSE(ArtifactsInput!$N$42+1,40,48,56,64,72,80),0))))/100)*(B2981*(1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2966)</f>
        <v/>
      </c>
      <c r="L2966">
        <f>K2966*(MIN(Inputs!$B$22+(F2972-Calc!F18),(Inputs!$B$23+(IF(ArtifactsInput!$M$15,CHOOSE(ArtifactsInput!$N$15+1,25,30,35,40,45,50)/100*(Inputs!$B$11-Inputs!$B$11),0))))/100+(Inputs!$B$23+(IF(ArtifactsInput!$M$15,CHOOSE(ArtifactsInput!$N$15+1,25,30,35,40,45,50)/100*(Inputs!$B$11-Inputs!$B$11),0)))/100)/2</f>
        <v/>
      </c>
      <c r="M2966">
        <f>L2966*(1+(Inputs!$B$10+(F2975-Calc!F21)+(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6">
        <f>L2966*(1-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2966*(MIN((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6">
        <f>(1-Summary!$B$11)*S2966+Summary!$B$11*U2966</f>
        <v/>
      </c>
      <c r="P2966">
        <f>IF(B2991=0,0,O2966/B2991)</f>
        <v/>
      </c>
      <c r="Q2966">
        <f>IFERROR(1/(IF(Inputs!$B$38="pvp",15,MAX(0.1,Skills!D12-IF(TRUE=TRUE,5.0,0)))*(1-IF(AND(ArtifactsInput!$M$27,Inputs!$B$4="Chapter Hunt"),CHOOSE(ArtifactsInput!$N$27+1,20,24,28,32,36,40),0)/100)),0)</f>
        <v/>
      </c>
      <c r="R2966">
        <f>IF(AND(Inputs!$B$38&lt;&gt;"pvp",Inputs!$B$43&gt;0),IF(MAX(0,Inputs!$B$43-B2988)&lt;=0,0,(INT(MAX(0,Inputs!$B$43-B2988)/(IF(Inputs!$B$38="pvp",15,MAX(0.1,Skills!D12-IF(TRUE=TRUE,5.0,0)))*(1-IF(AND(ArtifactsInput!$M$27,Inputs!$B$4="Chapter Hunt"),CHOOSE(ArtifactsInput!$N$27+1,20,24,28,32,36,40),0)/100)))+1)),0)</f>
        <v/>
      </c>
      <c r="S2966">
        <f>IF(C2966,(H2966*N2966*IF(AND(Inputs!$B$38&lt;&gt;"pvp",Inputs!$B$43&gt;0),((Skills!F12*((R2966-1)*IF(Skills!G12&gt;0,Skills!H12/Skills!G12,1)+IF(Skills!G12&gt;0,MIN(Skills!H12,MAX(0,MAX(0,Inputs!$B$43-B2988)-((R2966-1)*(IF(Inputs!$B$38="pvp",15,MAX(0.1,Skills!D12-IF(TRUE=TRUE,5.0,0)))*(1-IF(AND(ArtifactsInput!$M$27,Inputs!$B$4="Chapter Hunt"),CHOOSE(ArtifactsInput!$N$27+1,20,24,28,32,36,40),0)/100)))))/Skills!G12,1)))/Inputs!$B$43),G2966*Q2966))*IF(Inputs!$B$38="pvp",1,1+(Inputs!$B$20+Skills!O12+B2982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100)*((((5000/(6000+Inputs!$B$42*(1-(100*(1-(1-(100*(1-(1-Inputs!$B$19/100)*(1-CHOOSE(ArtifactsInput!$N$40+1,5,6,7,8,9,10)/100)^(ArtifactsInput!$M$40-ArtifactsInput!$M$40)))/100)*(1-IF(ArtifactsInput!$M$40,CHOOSE(ArtifactsInput!$N$40+1,5,6,7,8,9,10),0)/100)^IF(Inputs!$B$38="pvp",1,2)))/100)))/(5000/(6000+Inputs!$B$42*(1-(100*(1-(1-Inputs!$B$19/100)*(1-CHOOSE(ArtifactsInput!$N$40+1,5,6,7,8,9,10)/100)^(ArtifactsInput!$M$40-ArtifactsInput!$M$40)))/100))))*((L2966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2966*(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2966*(1-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2966*(MIN(100,(Inputs!$B$9+((F2974-Calc!F20)+(F2973-Calc!F19))+(ArtifactsInput!$M$24-ArtifactsInput!$M$24)*CHOOSE(ArtifactsInput!$N$24+1,10,12,14,16,18,20)+(IF(AND(Inputs!$B$38&lt;&gt;"pvp",Inputs!$B$43=0),1,IF(IF(Inputs!$B$38="pvp",15,Inputs!$B$43)-(B2988)&lt;=0,1,MAX(0,IF(Inputs!$B$38="pvp",15,Inputs!$B$43)-MAX(5,B2988))/(IF(Inputs!$B$38="pvp",15,Inputs!$B$43)-(B2988))))*IF(AND(ArtifactsInput!$M$42,((Inputs!$B$9+(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6">
        <f>IF(C2966,(H2966*N2966*IF(AND(Inputs!$B$38&lt;&gt;"pvp",Inputs!$B$43&gt;0),((Skills!F12*((R2966-1)*IF(Skills!G12&gt;0,Skills!H12/Skills!G12,1)+IF(Skills!G12&gt;0,MIN(Skills!H12,MAX(0,MAX(0,Inputs!$B$43-B2988)-((R2966-1)*(IF(Inputs!$B$38="pvp",15,MAX(0.1,Skills!D12-IF(TRUE=TRUE,5.0,0)))*(1-IF(AND(ArtifactsInput!$M$27,Inputs!$B$4="Chapter Hunt"),CHOOSE(ArtifactsInput!$N$27+1,20,24,28,32,36,40),0)/100)))))/Skills!G12,1)))/Inputs!$B$43),G2966*Q2966))*IF(Inputs!$B$38="pvp",1,(1+(Inputs!$B$21+Skills!P12+B2982+(IF(ArtifactsInput!$M$33,CHOOSE(ArtifactsInput!$N$33+1,30,36,42,48,54,60),0)))/100)*(MIN(Skills!Q12,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7">
      <c r="A2967">
        <f>Skills!A13</f>
        <v/>
      </c>
      <c r="B2967">
        <f>Skills!B13</f>
        <v/>
      </c>
      <c r="C2967">
        <f>Inputs!$B$3&gt;=49</f>
        <v/>
      </c>
      <c r="D2967">
        <f>IF(Skills!C13=1,60+Inputs!$B$25+Inputs!$B$29,IF(Skills!C13=2,90+Inputs!$B$26+Inputs!$B$29,IF(Skills!C13=3,120+Inputs!$B$27+Inputs!$B$29,MAX(0,(Inputs!$B$3-100)*3)+Inputs!$B$28+Inputs!$B$29)))</f>
        <v/>
      </c>
      <c r="E2967">
        <f>INDEX(FactorTable!$B$2:$Y$301, MATCH(ROUND(MIN(300,MAX(1,D2967)),0), FactorTable!$A$2:$A$301,0), Skills!L13+1)</f>
        <v/>
      </c>
      <c r="F2967">
        <f>IF(Skills!M13=TRUE,(Skills!K13/10)*(E2967/1000),Skills!K13/10)+Skills!N13</f>
        <v/>
      </c>
      <c r="G2967">
        <f>Calc!G13</f>
        <v/>
      </c>
      <c r="H2967">
        <f>Calc!H13</f>
        <v/>
      </c>
      <c r="I2967">
        <f>IF(Skills!T13&lt;&gt;"",1+(Skills!T13/10)*(Z2957/1000)/100,1)</f>
        <v/>
      </c>
      <c r="J2967" t="inlineStr"/>
      <c r="K2967" t="inlineStr"/>
      <c r="L2967" t="inlineStr"/>
      <c r="M2967" t="inlineStr"/>
      <c r="N2967" t="inlineStr"/>
      <c r="O2967">
        <f>(1-Summary!$B$11)*S2967+Summary!$B$11*U2967</f>
        <v/>
      </c>
      <c r="P2967">
        <f>IF(B2991=0,0,O2967/B2991)</f>
        <v/>
      </c>
      <c r="Q2967">
        <f>IFERROR(1/(IF(Inputs!$B$38="pvp",15,MAX(0.1,Skills!D13-IF(TRUE=TRUE,5.0,0)))*(1-IF(AND(ArtifactsInput!$M$27,Inputs!$B$4="Chapter Hunt"),CHOOSE(ArtifactsInput!$N$27+1,20,24,28,32,36,40),0)/100)),0)</f>
        <v/>
      </c>
      <c r="R2967" t="n">
        <v>0</v>
      </c>
      <c r="S2967" t="n">
        <v>0</v>
      </c>
      <c r="U2967" t="n">
        <v>0</v>
      </c>
    </row>
    <row r="2968">
      <c r="A2968">
        <f>Skills!A14</f>
        <v/>
      </c>
      <c r="B2968">
        <f>Skills!B14</f>
        <v/>
      </c>
      <c r="C2968">
        <f>Inputs!$B$3&gt;=72</f>
        <v/>
      </c>
      <c r="D2968">
        <f>IF(Skills!C14=1,60+Inputs!$B$25+Inputs!$B$29,IF(Skills!C14=2,90+Inputs!$B$26+Inputs!$B$29,IF(Skills!C14=3,120+Inputs!$B$27+Inputs!$B$29,MAX(0,(Inputs!$B$3-100)*3)+Inputs!$B$28+Inputs!$B$29)))</f>
        <v/>
      </c>
      <c r="E2968">
        <f>INDEX(FactorTable!$B$2:$Y$301, MATCH(ROUND(MIN(300,MAX(1,D2968)),0), FactorTable!$A$2:$A$301,0), Skills!L14+1)</f>
        <v/>
      </c>
      <c r="F2968">
        <f>IF(Skills!M14=TRUE,(Skills!K14/10)*(E2968/1000),Skills!K14/10)+Skills!N14</f>
        <v/>
      </c>
      <c r="G2968">
        <f>Calc!G14</f>
        <v/>
      </c>
      <c r="H2968">
        <f>Calc!H14</f>
        <v/>
      </c>
      <c r="I2968">
        <f>IF(Skills!T14&lt;&gt;"",1+(Skills!T14/10)*(Z2957/1000)/100,1)</f>
        <v/>
      </c>
      <c r="J2968" t="inlineStr"/>
      <c r="K2968" t="inlineStr"/>
      <c r="L2968" t="inlineStr"/>
      <c r="M2968" t="inlineStr"/>
      <c r="N2968" t="inlineStr"/>
      <c r="O2968">
        <f>(1-Summary!$B$11)*S2968+Summary!$B$11*U2968</f>
        <v/>
      </c>
      <c r="P2968">
        <f>IF(B2991=0,0,O2968/B2991)</f>
        <v/>
      </c>
      <c r="Q2968">
        <f>IFERROR(1/(IF(Inputs!$B$38="pvp",15,MAX(0.1,Skills!D14-IF(TRUE=TRUE,5.0,0)))*(1-IF(AND(ArtifactsInput!$M$27,Inputs!$B$4="Chapter Hunt"),CHOOSE(ArtifactsInput!$N$27+1,20,24,28,32,36,40),0)/100)),0)</f>
        <v/>
      </c>
      <c r="R2968" t="n">
        <v>0</v>
      </c>
      <c r="S2968" t="n">
        <v>0</v>
      </c>
      <c r="U2968" t="n">
        <v>0</v>
      </c>
    </row>
    <row r="2969">
      <c r="A2969">
        <f>Skills!A15</f>
        <v/>
      </c>
      <c r="B2969">
        <f>Skills!B15</f>
        <v/>
      </c>
      <c r="C2969">
        <f>Inputs!$B$3&gt;=75</f>
        <v/>
      </c>
      <c r="D2969">
        <f>IF(Skills!C15=1,60+Inputs!$B$25+Inputs!$B$29,IF(Skills!C15=2,90+Inputs!$B$26+Inputs!$B$29,IF(Skills!C15=3,120+Inputs!$B$27+Inputs!$B$29,MAX(0,(Inputs!$B$3-100)*3)+Inputs!$B$28+Inputs!$B$29)))</f>
        <v/>
      </c>
      <c r="E2969">
        <f>INDEX(FactorTable!$B$2:$Y$301, MATCH(ROUND(MIN(300,MAX(1,D2969)),0), FactorTable!$A$2:$A$301,0), Skills!L15+1)</f>
        <v/>
      </c>
      <c r="F2969">
        <f>IF(Skills!M15=TRUE,(Skills!K15/10)*(E2969/1000),Skills!K15/10)+Skills!N15</f>
        <v/>
      </c>
      <c r="G2969">
        <f>Calc!G15</f>
        <v/>
      </c>
      <c r="H2969">
        <f>Calc!H15</f>
        <v/>
      </c>
      <c r="I2969">
        <f>IF(Skills!T15&lt;&gt;"",1+(Skills!T15/10)*(Z2957/1000)/100,1)</f>
        <v/>
      </c>
      <c r="J2969" t="inlineStr"/>
      <c r="K2969" t="inlineStr"/>
      <c r="L2969" t="inlineStr"/>
      <c r="M2969" t="inlineStr"/>
      <c r="N2969" t="inlineStr"/>
      <c r="O2969">
        <f>(1-Summary!$B$11)*S2969+Summary!$B$11*U2969</f>
        <v/>
      </c>
      <c r="P2969">
        <f>IF(B2991=0,0,O2969/B2991)</f>
        <v/>
      </c>
      <c r="Q2969">
        <f>IFERROR(1/(IF(Inputs!$B$38="pvp",15,MAX(0.1,Skills!D15-IF(TRUE=TRUE,5.0,0)))*(1-IF(AND(ArtifactsInput!$M$27,Inputs!$B$4="Chapter Hunt"),CHOOSE(ArtifactsInput!$N$27+1,20,24,28,32,36,40),0)/100)),0)</f>
        <v/>
      </c>
      <c r="R2969" t="n">
        <v>0</v>
      </c>
      <c r="S2969" t="n">
        <v>0</v>
      </c>
      <c r="U2969" t="n">
        <v>0</v>
      </c>
    </row>
    <row r="2970">
      <c r="A2970">
        <f>Skills!A16</f>
        <v/>
      </c>
      <c r="B2970">
        <f>Skills!B16</f>
        <v/>
      </c>
      <c r="C2970">
        <f>Inputs!$B$3&gt;=110</f>
        <v/>
      </c>
      <c r="D2970">
        <f>IF(Skills!C16=1,60+Inputs!$B$25+Inputs!$B$29,IF(Skills!C16=2,90+Inputs!$B$26+Inputs!$B$29,IF(Skills!C16=3,120+Inputs!$B$27+Inputs!$B$29,MAX(0,(Inputs!$B$3-100)*3)+Inputs!$B$28+Inputs!$B$29)))</f>
        <v/>
      </c>
      <c r="E2970">
        <f>INDEX(FactorTable!$B$2:$Y$301, MATCH(ROUND(MIN(300,MAX(1,D2970)),0), FactorTable!$A$2:$A$301,0), Skills!L16+1)</f>
        <v/>
      </c>
      <c r="F2970">
        <f>(Skills!K16/10)*(E2970/1000)*64/45+Skills!N16</f>
        <v/>
      </c>
      <c r="G2970">
        <f>Calc!G16</f>
        <v/>
      </c>
      <c r="H2970">
        <f>Calc!H16</f>
        <v/>
      </c>
      <c r="I2970">
        <f>IF(Skills!T16&lt;&gt;"",1+(Skills!T16/10)*(Z2957/1000)/100,1)</f>
        <v/>
      </c>
      <c r="J2970" t="inlineStr"/>
      <c r="K2970" t="inlineStr"/>
      <c r="L2970" t="inlineStr"/>
      <c r="M2970" t="inlineStr"/>
      <c r="N2970" t="inlineStr"/>
      <c r="O2970">
        <f>(1-Summary!$B$11)*S2970+Summary!$B$11*U2970</f>
        <v/>
      </c>
      <c r="P2970">
        <f>IF(B2991=0,0,O2970/B2991)</f>
        <v/>
      </c>
      <c r="Q2970">
        <f>IFERROR(1/(IF(Inputs!$B$38="pvp",15,MAX(0.1,Skills!D16-IF(TRUE=TRUE,5.0,0)))*(1-IF(AND(ArtifactsInput!$M$27,Inputs!$B$4="Chapter Hunt"),CHOOSE(ArtifactsInput!$N$27+1,20,24,28,32,36,40),0)/100)),0)</f>
        <v/>
      </c>
      <c r="R2970">
        <f>IF(AND(Inputs!$B$38&lt;&gt;"pvp",Inputs!$B$43&gt;0),IF(Inputs!$B$43&lt;=0,0,(INT(Inputs!$B$43/(IF(Inputs!$B$38="pvp",15,MAX(0.1,Skills!D16-IF(TRUE=TRUE,5.0,0)))*(1-IF(AND(ArtifactsInput!$M$27,Inputs!$B$4="Chapter Hunt"),CHOOSE(ArtifactsInput!$N$27+1,20,24,28,32,36,40),0)/100)))+1)),0)</f>
        <v/>
      </c>
      <c r="S2970" t="n">
        <v>0</v>
      </c>
      <c r="U2970" t="n">
        <v>0</v>
      </c>
    </row>
    <row r="2971">
      <c r="A2971">
        <f>Skills!A17</f>
        <v/>
      </c>
      <c r="B2971">
        <f>Skills!B17</f>
        <v/>
      </c>
      <c r="C2971">
        <f>Inputs!$B$3&gt;=33</f>
        <v/>
      </c>
      <c r="D2971">
        <f>IF(Skills!C17=1,60+Inputs!$B$25+Inputs!$B$29,IF(Skills!C17=2,90+Inputs!$B$26+Inputs!$B$29,IF(Skills!C17=3,120+Inputs!$B$27+Inputs!$B$29,MAX(0,(Inputs!$B$3-100)*3)+Inputs!$B$28+Inputs!$B$29)))</f>
        <v/>
      </c>
      <c r="E2971">
        <f>INDEX(FactorTable!$B$2:$Y$301, MATCH(ROUND(MIN(300,MAX(1,D2971)),0), FactorTable!$A$2:$A$301,0), Skills!L17+1)</f>
        <v/>
      </c>
      <c r="F2971">
        <f>IF(Skills!M17=TRUE,(Skills!K17/10)*(E2971/1000),Skills!K17/10)+Skills!N17</f>
        <v/>
      </c>
      <c r="G2971">
        <f>Calc!G17</f>
        <v/>
      </c>
      <c r="H2971">
        <f>Calc!H17</f>
        <v/>
      </c>
      <c r="I2971">
        <f>IF(Skills!T17&lt;&gt;"",1+(Skills!T17/10)*(Z2957/1000)/100,1)</f>
        <v/>
      </c>
      <c r="J2971" t="inlineStr"/>
      <c r="K2971" t="inlineStr"/>
      <c r="L2971" t="inlineStr"/>
      <c r="M2971" t="inlineStr"/>
      <c r="N2971" t="inlineStr"/>
      <c r="O2971">
        <f>(1-Summary!$B$11)*S2971+Summary!$B$11*U2971</f>
        <v/>
      </c>
      <c r="P2971">
        <f>IF(B2991=0,0,O2971/B2991)</f>
        <v/>
      </c>
      <c r="Q2971">
        <f>IFERROR(1/(IF(Inputs!$B$38="pvp",15,MAX(0.1,Skills!D17-IF(TRUE=TRUE,5.0,0)))*(1-IF(AND(ArtifactsInput!$M$27,Inputs!$B$4="Chapter Hunt"),CHOOSE(ArtifactsInput!$N$27+1,20,24,28,32,36,40),0)/100)),0)</f>
        <v/>
      </c>
      <c r="R2971" t="n">
        <v>0</v>
      </c>
      <c r="S2971" t="n">
        <v>0</v>
      </c>
      <c r="U2971" t="n">
        <v>0</v>
      </c>
    </row>
    <row r="2972">
      <c r="A2972">
        <f>Skills!A18</f>
        <v/>
      </c>
      <c r="B2972">
        <f>Skills!B18</f>
        <v/>
      </c>
      <c r="C2972">
        <f>Inputs!$B$3&gt;=43</f>
        <v/>
      </c>
      <c r="D2972">
        <f>IF(Skills!C18=1,60+Inputs!$B$25+Inputs!$B$29,IF(Skills!C18=2,90+Inputs!$B$26+Inputs!$B$29,IF(Skills!C18=3,120+Inputs!$B$27+Inputs!$B$29,MAX(0,(Inputs!$B$3-100)*3)+Inputs!$B$28+Inputs!$B$29)))</f>
        <v/>
      </c>
      <c r="E2972">
        <f>INDEX(FactorTable!$B$2:$Y$301, MATCH(ROUND(MIN(300,MAX(1,D2972)),0), FactorTable!$A$2:$A$301,0), Skills!L18+1)</f>
        <v/>
      </c>
      <c r="F2972">
        <f>IF(Skills!M18=TRUE,(Skills!K18/10)*(E2972/1000),Skills!K18/10)+Skills!N18</f>
        <v/>
      </c>
      <c r="G2972">
        <f>Calc!G18</f>
        <v/>
      </c>
      <c r="H2972">
        <f>Calc!H18</f>
        <v/>
      </c>
      <c r="I2972">
        <f>IF(Skills!T18&lt;&gt;"",1+(Skills!T18/10)*(Z2957/1000)/100,1)</f>
        <v/>
      </c>
      <c r="J2972" t="inlineStr"/>
      <c r="K2972" t="inlineStr"/>
      <c r="L2972" t="inlineStr"/>
      <c r="M2972" t="inlineStr"/>
      <c r="N2972" t="inlineStr"/>
      <c r="O2972">
        <f>(1-Summary!$B$11)*S2972+Summary!$B$11*U2972</f>
        <v/>
      </c>
      <c r="P2972">
        <f>IF(B2991=0,0,O2972/B2991)</f>
        <v/>
      </c>
      <c r="Q2972">
        <f>IFERROR(1/(IF(Inputs!$B$38="pvp",15,MAX(0.1,Skills!D18-IF(TRUE=TRUE,5.0,0)))*(1-IF(AND(ArtifactsInput!$M$27,Inputs!$B$4="Chapter Hunt"),CHOOSE(ArtifactsInput!$N$27+1,20,24,28,32,36,40),0)/100)),0)</f>
        <v/>
      </c>
      <c r="R2972" t="n">
        <v>0</v>
      </c>
      <c r="S2972" t="n">
        <v>0</v>
      </c>
      <c r="U2972" t="n">
        <v>0</v>
      </c>
    </row>
    <row r="2973">
      <c r="A2973">
        <f>Skills!A19</f>
        <v/>
      </c>
      <c r="B2973">
        <f>Skills!B19</f>
        <v/>
      </c>
      <c r="C2973">
        <f>Inputs!$B$3&gt;=50</f>
        <v/>
      </c>
      <c r="D2973">
        <f>IF(Skills!C19=1,60+Inputs!$B$25+Inputs!$B$29,IF(Skills!C19=2,90+Inputs!$B$26+Inputs!$B$29,IF(Skills!C19=3,120+Inputs!$B$27+Inputs!$B$29,MAX(0,(Inputs!$B$3-100)*3)+Inputs!$B$28+Inputs!$B$29)))</f>
        <v/>
      </c>
      <c r="E2973">
        <f>INDEX(FactorTable!$B$2:$Y$301, MATCH(ROUND(MIN(300,MAX(1,D2973)),0), FactorTable!$A$2:$A$301,0), Skills!L19+1)</f>
        <v/>
      </c>
      <c r="F2973">
        <f>IF(Skills!M19=TRUE,(Skills!K19/10)*(E2973/1000),Skills!K19/10)+Skills!N19</f>
        <v/>
      </c>
      <c r="G2973">
        <f>Calc!G19</f>
        <v/>
      </c>
      <c r="H2973">
        <f>Calc!H19</f>
        <v/>
      </c>
      <c r="I2973">
        <f>IF(Skills!T19&lt;&gt;"",1+(Skills!T19/10)*(Z2957/1000)/100,1)</f>
        <v/>
      </c>
      <c r="J2973" t="inlineStr"/>
      <c r="K2973" t="inlineStr"/>
      <c r="L2973" t="inlineStr"/>
      <c r="M2973" t="inlineStr"/>
      <c r="N2973" t="inlineStr"/>
      <c r="O2973">
        <f>(1-Summary!$B$11)*S2973+Summary!$B$11*U2973</f>
        <v/>
      </c>
      <c r="P2973">
        <f>IF(B2991=0,0,O2973/B2991)</f>
        <v/>
      </c>
      <c r="Q2973">
        <f>IFERROR(1/(IF(Inputs!$B$38="pvp",15,MAX(0.1,Skills!D19-IF(TRUE=TRUE,5.0,0)))*(1-IF(AND(ArtifactsInput!$M$27,Inputs!$B$4="Chapter Hunt"),CHOOSE(ArtifactsInput!$N$27+1,20,24,28,32,36,40),0)/100)),0)</f>
        <v/>
      </c>
      <c r="R2973" t="n">
        <v>0</v>
      </c>
      <c r="S2973" t="n">
        <v>0</v>
      </c>
      <c r="U2973" t="n">
        <v>0</v>
      </c>
    </row>
    <row r="2974">
      <c r="A2974">
        <f>Skills!A20</f>
        <v/>
      </c>
      <c r="B2974">
        <f>Skills!B20</f>
        <v/>
      </c>
      <c r="C2974">
        <f>Inputs!$B$3&gt;=74</f>
        <v/>
      </c>
      <c r="D2974">
        <f>IF(Skills!C20=1,60+Inputs!$B$25+Inputs!$B$29,IF(Skills!C20=2,90+Inputs!$B$26+Inputs!$B$29,IF(Skills!C20=3,120+Inputs!$B$27+Inputs!$B$29,MAX(0,(Inputs!$B$3-100)*3)+Inputs!$B$28+Inputs!$B$29)))</f>
        <v/>
      </c>
      <c r="E2974">
        <f>INDEX(FactorTable!$B$2:$Y$301, MATCH(ROUND(MIN(300,MAX(1,D2974)),0), FactorTable!$A$2:$A$301,0), Skills!L20+1)</f>
        <v/>
      </c>
      <c r="F2974">
        <f>IF(Skills!M20=TRUE,(Skills!K20/10)*(E2974/1000),Skills!K20/10)+Skills!N20</f>
        <v/>
      </c>
      <c r="G2974">
        <f>Calc!G20</f>
        <v/>
      </c>
      <c r="H2974">
        <f>Calc!H20</f>
        <v/>
      </c>
      <c r="I2974">
        <f>IF(Skills!T20&lt;&gt;"",1+(Skills!T20/10)*(Z2957/1000)/100,1)</f>
        <v/>
      </c>
      <c r="J2974" t="inlineStr"/>
      <c r="K2974" t="inlineStr"/>
      <c r="L2974" t="inlineStr"/>
      <c r="M2974" t="inlineStr"/>
      <c r="N2974" t="inlineStr"/>
      <c r="O2974">
        <f>(1-Summary!$B$11)*S2974+Summary!$B$11*U2974</f>
        <v/>
      </c>
      <c r="P2974">
        <f>IF(B2991=0,0,O2974/B2991)</f>
        <v/>
      </c>
      <c r="Q2974">
        <f>IFERROR(1/(IF(Inputs!$B$38="pvp",15,MAX(0.1,Skills!D20-IF(TRUE=TRUE,5.0,0)))*(1-IF(AND(ArtifactsInput!$M$27,Inputs!$B$4="Chapter Hunt"),CHOOSE(ArtifactsInput!$N$27+1,20,24,28,32,36,40),0)/100)),0)</f>
        <v/>
      </c>
      <c r="R2974" t="n">
        <v>0</v>
      </c>
      <c r="S2974" t="n">
        <v>0</v>
      </c>
      <c r="U2974" t="n">
        <v>0</v>
      </c>
    </row>
    <row r="2975">
      <c r="A2975">
        <f>Skills!A21</f>
        <v/>
      </c>
      <c r="B2975">
        <f>Skills!B21</f>
        <v/>
      </c>
      <c r="C2975">
        <f>Inputs!$B$3&gt;=74</f>
        <v/>
      </c>
      <c r="D2975">
        <f>IF(Skills!C21=1,60+Inputs!$B$25+Inputs!$B$29,IF(Skills!C21=2,90+Inputs!$B$26+Inputs!$B$29,IF(Skills!C21=3,120+Inputs!$B$27+Inputs!$B$29,MAX(0,(Inputs!$B$3-100)*3)+Inputs!$B$28+Inputs!$B$29)))</f>
        <v/>
      </c>
      <c r="E2975">
        <f>INDEX(FactorTable!$B$2:$Y$301, MATCH(ROUND(MIN(300,MAX(1,D2975)),0), FactorTable!$A$2:$A$301,0), Skills!L21+1)</f>
        <v/>
      </c>
      <c r="F2975">
        <f>IF(Skills!M21=TRUE,(Skills!K21/10)*(E2975/1000),Skills!K21/10)+Skills!N21</f>
        <v/>
      </c>
      <c r="G2975">
        <f>Calc!G21</f>
        <v/>
      </c>
      <c r="H2975">
        <f>Calc!H21</f>
        <v/>
      </c>
      <c r="I2975">
        <f>IF(Skills!T21&lt;&gt;"",1+(Skills!T21/10)*(Z2957/1000)/100,1)</f>
        <v/>
      </c>
      <c r="J2975" t="inlineStr"/>
      <c r="K2975" t="inlineStr"/>
      <c r="L2975" t="inlineStr"/>
      <c r="M2975" t="inlineStr"/>
      <c r="N2975" t="inlineStr"/>
      <c r="O2975">
        <f>(1-Summary!$B$11)*S2975+Summary!$B$11*U2975</f>
        <v/>
      </c>
      <c r="P2975">
        <f>IF(B2991=0,0,O2975/B2991)</f>
        <v/>
      </c>
      <c r="Q2975">
        <f>IFERROR(1/(IF(Inputs!$B$38="pvp",15,MAX(0.1,Skills!D21-IF(TRUE=TRUE,5.0,0)))*(1-IF(AND(ArtifactsInput!$M$27,Inputs!$B$4="Chapter Hunt"),CHOOSE(ArtifactsInput!$N$27+1,20,24,28,32,36,40),0)/100)),0)</f>
        <v/>
      </c>
      <c r="R2975" t="n">
        <v>0</v>
      </c>
      <c r="S2975" t="n">
        <v>0</v>
      </c>
      <c r="U2975" t="n">
        <v>0</v>
      </c>
    </row>
    <row r="2976">
      <c r="A2976">
        <f>Skills!A22</f>
        <v/>
      </c>
      <c r="B2976">
        <f>Skills!B22</f>
        <v/>
      </c>
      <c r="C2976">
        <f>Inputs!$B$3&gt;=117</f>
        <v/>
      </c>
      <c r="D2976">
        <f>IF(Skills!C22=1,60+Inputs!$B$25+Inputs!$B$29,IF(Skills!C22=2,90+Inputs!$B$26+Inputs!$B$29,IF(Skills!C22=3,120+Inputs!$B$27+Inputs!$B$29,MAX(0,(Inputs!$B$3-100)*3)+Inputs!$B$28+Inputs!$B$29)))</f>
        <v/>
      </c>
      <c r="E2976">
        <f>INDEX(FactorTable!$B$2:$Y$301, MATCH(ROUND(MIN(300,MAX(1,D2976)),0), FactorTable!$A$2:$A$301,0), Skills!L22+1)</f>
        <v/>
      </c>
      <c r="F2976">
        <f>IF(Skills!M22=TRUE,(Skills!K22/10)*(E2976/1000),Skills!K22/10)+Skills!N22</f>
        <v/>
      </c>
      <c r="G2976">
        <f>Calc!G22</f>
        <v/>
      </c>
      <c r="H2976">
        <f>Calc!H22</f>
        <v/>
      </c>
      <c r="I2976">
        <f>IF(Skills!T22&lt;&gt;"",1+(Skills!T22/10)*(Z2957/1000)/100,1)</f>
        <v/>
      </c>
      <c r="J2976" t="inlineStr"/>
      <c r="K2976" t="inlineStr"/>
      <c r="L2976" t="inlineStr"/>
      <c r="M2976" t="inlineStr"/>
      <c r="N2976" t="inlineStr"/>
      <c r="O2976">
        <f>(1-Summary!$B$11)*S2976+Summary!$B$11*U2976</f>
        <v/>
      </c>
      <c r="P2976">
        <f>IF(B2991=0,0,O2976/B2991)</f>
        <v/>
      </c>
      <c r="Q2976">
        <f>IFERROR(1/(IF(Inputs!$B$38="pvp",15,MAX(0.1,Skills!D22-IF(TRUE=TRUE,5.0,0)))*(1-IF(AND(ArtifactsInput!$M$27,Inputs!$B$4="Chapter Hunt"),CHOOSE(ArtifactsInput!$N$27+1,20,24,28,32,36,40),0)/100)),0)</f>
        <v/>
      </c>
      <c r="R2976" t="n">
        <v>0</v>
      </c>
      <c r="S2976" t="n">
        <v>0</v>
      </c>
      <c r="U2976" t="n">
        <v>0</v>
      </c>
    </row>
    <row r="2977">
      <c r="A2977">
        <f>Skills!A23</f>
        <v/>
      </c>
      <c r="B2977">
        <f>Skills!B23</f>
        <v/>
      </c>
      <c r="C2977">
        <f>Inputs!$B$3&gt;=120</f>
        <v/>
      </c>
      <c r="D2977">
        <f>IF(Skills!C23=1,60+Inputs!$B$25+Inputs!$B$29,IF(Skills!C23=2,90+Inputs!$B$26+Inputs!$B$29,IF(Skills!C23=3,120+Inputs!$B$27+Inputs!$B$29,MAX(0,(Inputs!$B$3-100)*3)+Inputs!$B$28+Inputs!$B$29)))</f>
        <v/>
      </c>
      <c r="E2977">
        <f>INDEX(FactorTable!$B$2:$Y$301, MATCH(ROUND(MIN(300,MAX(1,D2977)),0), FactorTable!$A$2:$A$301,0), Skills!L23+1)</f>
        <v/>
      </c>
      <c r="F2977">
        <f>IF(Skills!M23=TRUE,(Skills!K23/10)*(E2977/1000),Skills!K23/10)+Skills!N23</f>
        <v/>
      </c>
      <c r="G2977">
        <f>Calc!G23</f>
        <v/>
      </c>
      <c r="H2977">
        <f>Calc!H23</f>
        <v/>
      </c>
      <c r="I2977">
        <f>IF(Skills!T23&lt;&gt;"",1+(Skills!T23/10)*(Z2957/1000)/100,1)</f>
        <v/>
      </c>
      <c r="J2977" t="inlineStr"/>
      <c r="K2977" t="inlineStr"/>
      <c r="L2977" t="inlineStr"/>
      <c r="M2977" t="inlineStr"/>
      <c r="N2977" t="inlineStr"/>
      <c r="O2977">
        <f>(1-Summary!$B$11)*S2977+Summary!$B$11*U2977</f>
        <v/>
      </c>
      <c r="P2977">
        <f>IF(B2991=0,0,O2977/B2991)</f>
        <v/>
      </c>
      <c r="Q2977">
        <f>IFERROR(1/(IF(Inputs!$B$38="pvp",15,MAX(0.1,Skills!D23-IF(TRUE=TRUE,5.0,0)))*(1-IF(AND(ArtifactsInput!$M$27,Inputs!$B$4="Chapter Hunt"),CHOOSE(ArtifactsInput!$N$27+1,20,24,28,32,36,40),0)/100)),0)</f>
        <v/>
      </c>
      <c r="R2977" t="n">
        <v>0</v>
      </c>
      <c r="S2977" t="n">
        <v>0</v>
      </c>
      <c r="U2977" t="n">
        <v>0</v>
      </c>
    </row>
    <row r="2978">
      <c r="A2978">
        <f>Skills!A24</f>
        <v/>
      </c>
      <c r="B2978">
        <f>Skills!B24</f>
        <v/>
      </c>
      <c r="C2978">
        <f>TRUE</f>
        <v/>
      </c>
      <c r="D2978">
        <f>IF(Skills!C24=1,60+Inputs!$B$25+Inputs!$B$29,IF(Skills!C24=2,90+Inputs!$B$26+Inputs!$B$29,IF(Skills!C24=3,120+Inputs!$B$27+Inputs!$B$29,MAX(0,(Inputs!$B$3-100)*3)+Inputs!$B$28+Inputs!$B$29)))</f>
        <v/>
      </c>
      <c r="E2978">
        <f>INDEX(FactorTable!$B$2:$Y$301, MATCH(ROUND(MIN(300,MAX(1,D2978)),0), FactorTable!$A$2:$A$301,0), Skills!L24+1)</f>
        <v/>
      </c>
      <c r="F2978">
        <f>IF(Skills!M24=TRUE,(Skills!K24/10)*(E2978/1000),Skills!K24/10)+Skills!N24</f>
        <v/>
      </c>
      <c r="G2978">
        <f>Calc!G24</f>
        <v/>
      </c>
      <c r="H2978">
        <f>Calc!H24</f>
        <v/>
      </c>
      <c r="I2978">
        <f>IF(Skills!T24&lt;&gt;"",1+(Skills!T24/10)*(Z2957/1000)/100,1)</f>
        <v/>
      </c>
      <c r="J2978" t="inlineStr"/>
      <c r="K2978" t="inlineStr"/>
      <c r="L2978" t="inlineStr"/>
      <c r="M2978" t="inlineStr"/>
      <c r="N2978" t="inlineStr"/>
      <c r="O2978">
        <f>(1-Summary!$B$11)*S2978+Summary!$B$11*U2978</f>
        <v/>
      </c>
      <c r="P2978">
        <f>IF(B2991=0,0,O2978/B2991)</f>
        <v/>
      </c>
      <c r="Q2978">
        <f>IFERROR(1/(IF(Inputs!$B$38="pvp",15,MAX(0.1,Skills!D24-IF(TRUE=TRUE,5.0,0)))*(1-IF(AND(ArtifactsInput!$M$27,Inputs!$B$4="Chapter Hunt"),CHOOSE(ArtifactsInput!$N$27+1,20,24,28,32,36,40),0)/100)),0)</f>
        <v/>
      </c>
      <c r="R2978">
        <f>IF(AND(Inputs!$B$38&lt;&gt;"pvp",Inputs!$B$43&gt;0),IF(Inputs!$B$43&lt;=0,0,(INT(Inputs!$B$43/(IF(Inputs!$B$38="pvp",15,MAX(0.1,Skills!D24-IF(TRUE=TRUE,5.0,0)))*(1-IF(AND(ArtifactsInput!$M$27,Inputs!$B$4="Chapter Hunt"),CHOOSE(ArtifactsInput!$N$27+1,20,24,28,32,36,40),0)/100)))+1)),0)</f>
        <v/>
      </c>
      <c r="S2978" t="n">
        <v>0</v>
      </c>
      <c r="U2978" t="n">
        <v>0</v>
      </c>
    </row>
    <row r="2981">
      <c r="A2981" t="inlineStr">
        <is>
          <t>Average Buff Multiplier (Magic Guard + Meditation + Artifact Attack%, summed; then Infinity)</t>
        </is>
      </c>
      <c r="B2981">
        <f>(1+(IF(C2957=TRUE,F2957*IF(AND(Inputs!$B$38&lt;&gt;"pvp",Inputs!$B$43&gt;0),(((R2957-1)*MIN((Skills!S3*(1+(Inputs!$B$34)/100)),(1/Q2957))+MIN((Skills!S3*(1+(Inputs!$B$34)/100)),MAX(0,Inputs!$B$43-((R2957-1)*(1/Q2957)))))/Inputs!$B$43),IF(Inputs!$B$38="pvp",MIN((Skills!S3*(1+(Inputs!$B$34)/100)),15)/15,MIN(1,(Skills!S3*(1+(Inputs!$B$34)/100))/(1/Q2957)))),0)+IF(C2958=TRUE,F2958*IF(AND(Inputs!$B$38&lt;&gt;"pvp",Inputs!$B$43&gt;0),(((R2958-1)*MIN((Skills!S4*(1+(Inputs!$B$34)/100)),(1/Q2958))+MIN((Skills!S4*(1+(Inputs!$B$34)/100)),MAX(0,Inputs!$B$43-((R2958-1)*(1/Q2958)))))/Inputs!$B$43),IF(Inputs!$B$38="pvp",MIN((Skills!S4*(1+(Inputs!$B$34)/100)),15)/15,MIN(1,(Skills!S4*(1+(Inputs!$B$34)/100))/(1/Q2958)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IF(C2970=TRUE,(1+F2970*IF(AND(Inputs!$B$38&lt;&gt;"pvp",Inputs!$B$43&gt;0),(((R2970-1)*MIN((Skills!S16*(1+(Inputs!$B$34)/100)),(1/Q2970))+MIN((Skills!S16*(1+(Inputs!$B$34)/100)),MAX(0,Inputs!$B$43-((R2970-1)*(1/Q2970)))))/Inputs!$B$43),IF(Inputs!$B$38="pvp",MIN((Skills!S16*(1+(Inputs!$B$34)/100)),15)/15,MIN(1,(Skills!S16*(1+(Inputs!$B$34)/100))/(1/Q2970))))/100),1)</f>
        <v/>
      </c>
    </row>
    <row r="2982">
      <c r="A2982" t="inlineStr">
        <is>
          <t>Monster Damage Taken Bonus % (Freezing Breath - Weaken + Elemental Reset + Artifact Enemy Damage Taken, summed)</t>
        </is>
      </c>
      <c r="B2982">
        <f>IF(Inputs!$B$3&gt;=118,15*IF(Inputs!$B$38="pvp",MIN((30*(1+(Inputs!$B$34)/100)),15)/15,MIN(1,(30*(1+(Inputs!$B$34)/100))/(1/Q2962))),0)+IF(C2968=TRUE,F2968,0)+(IF(AND(ArtifactsInput!$M$35,Inputs!$B$4&lt;&gt;"Chapter Hunt"),CHOOSE(ArtifactsInput!$N$35+1,15,18,21,24,27,30)*(1-EXP(-(0.2*B2985)*5)),0)+IF(AND(ArtifactsInput!$M$22,Inputs!$B$4&lt;&gt;"Chapter Hunt"),CHOOSE(ArtifactsInput!$N$22+1,10,12,14,16,18,20)*((0*(((0.15*B2985*5))^0/1)+1*(((0.15*B2985*5))^1/1)+2*(((0.15*B2985*5))^2/2)+3*(((0.15*B2985*5))^3/6)+4*(((0.15*B2985*5))^4/24)+5*(((0.15*B2985*5))^5/120))/((((0.15*B2985*5))^0/1)+(((0.15*B2985*5))^1/1)+(((0.15*B2985*5))^2/2)+(((0.15*B2985*5))^3/6)+(((0.15*B2985*5))^4/24)+(((0.15*B2985*5))^5/120))),0))</f>
        <v/>
      </c>
    </row>
    <row r="2983">
      <c r="A2983" t="inlineStr">
        <is>
          <t>Damage % Bonus (Frozen Break + Frost Clutch, flat)</t>
        </is>
      </c>
      <c r="B2983">
        <f>IF(Inputs!$B$3&gt;=66,15,0)+IF(Inputs!$B$3&gt;=98,10,0)+IF(Inputs!$B$3&gt;=125,20,0)</f>
        <v/>
      </c>
    </row>
    <row r="2984">
      <c r="A2984" t="inlineStr">
        <is>
          <t>Attack Speed Bonus % (MP Eater - MP Boost, always-on + Nimble Feet, duty-cycle averaged)</t>
        </is>
      </c>
      <c r="B2984">
        <f>IF(C2967=TRUE,F2967+(F2971-Calc!F17),0)+((C2978=TRUE)*F2978*IF(AND(Inputs!$B$38&lt;&gt;"pvp",Inputs!$B$43&gt;0),(((R2978-1)*MIN((Skills!S24*(1+(Inputs!$B$34)/100)),(1/Q2978))+MIN((Skills!S24*(1+(Inputs!$B$34)/100)),MAX(0,Inputs!$B$43-((R2978-1)*(1/Q2978)))))/Inputs!$B$43),IF(Inputs!$B$38="pvp",MIN((Skills!S24*(1+(Inputs!$B$34)/100)),15)/15,MIN(1,(Skills!S24*(1+(Inputs!$B$34)/100))/(1/Q2978)))))</f>
        <v/>
      </c>
    </row>
    <row r="2985">
      <c r="A2985" t="inlineStr">
        <is>
          <t>Actions Per Second</t>
        </is>
      </c>
      <c r="B2985">
        <f>1+MIN(150,150*(1-(1-(Inputs!$B$11+(ArtifactsInput!$M$15-ArtifactsInput!$M$15)*CHOOSE(ArtifactsInput!$N$15+1,8,9.6,11.2,12.8,14.4,16))/150)*(1-B2984/150)))/100</f>
        <v/>
      </c>
    </row>
    <row r="2986">
      <c r="A2986" t="inlineStr">
        <is>
          <t>Skill + Buff Cast Rate</t>
        </is>
      </c>
      <c r="B2986">
        <f>IF(AND(Inputs!$B$38&lt;&gt;"pvp",Inputs!$B$43&gt;0),SUMPRODUCT((Skills!E2:E24=TRUE)*(C2956:C2978=TRUE)*R2956:R2978)/Inputs!$B$43,SUMPRODUCT((Skills!E2:E24=TRUE)*(C2956:C2978=TRUE)*Q2956:Q2978))</f>
        <v/>
      </c>
    </row>
    <row r="2987">
      <c r="A2987" t="inlineStr">
        <is>
          <t>Chain Lightning Casts Per Second</t>
        </is>
      </c>
      <c r="B2987">
        <f>MAX(0,B2985-B2986)</f>
        <v/>
      </c>
    </row>
    <row r="2988">
      <c r="A2988" t="inlineStr">
        <is>
          <t>Buff-Casting Startup Delay (s, fixed-duration only)</t>
        </is>
      </c>
      <c r="B2988">
        <f>IF(AND(Inputs!$B$38&lt;&gt;"pvp",Inputs!$B$43&gt;0),SUMPRODUCT((Skills!S2:S24&gt;0)*(Skills!E2:E24=TRUE)*(C2956:C2978=TRUE))/B2985,0)</f>
        <v/>
      </c>
    </row>
    <row r="2989">
      <c r="A2989" t="inlineStr">
        <is>
          <t>Boss-Only Total DPS (this block's swept value)</t>
        </is>
      </c>
      <c r="B2989">
        <f>SUM(S2956:S2978)</f>
        <v/>
      </c>
    </row>
    <row r="2990">
      <c r="A2990" t="inlineStr">
        <is>
          <t>Normal-Only Total DPS (this block's swept value)</t>
        </is>
      </c>
      <c r="B2990">
        <f>SUM(U2956:U2978)</f>
        <v/>
      </c>
    </row>
    <row r="2991">
      <c r="A2991" s="6" t="inlineStr">
        <is>
          <t>TOTAL DPS</t>
        </is>
      </c>
      <c r="B2991" s="6">
        <f>SUM(O2956:O2978)</f>
        <v/>
      </c>
    </row>
    <row r="2992">
      <c r="A2992" t="inlineStr">
        <is>
          <t>Blizzard Final Attack trigger rate (this block's own Q/R)</t>
        </is>
      </c>
      <c r="B2992">
        <f>IF(AND(Inputs!$B$38&lt;&gt;"pvp",Inputs!$B$43&gt;0),(((C2959=TRUE)*R2959*1)+((C2960=TRUE)*R2960*1)+((C2962=TRUE)*R2962*1)+((C2963=TRUE)*R2963*3)+((C2965=TRUE)*R2965*1))/Inputs!$B$43,((C2959=TRUE)*Q2959*1)+((C2960=TRUE)*Q2960*1)+((C2962=TRUE)*Q2962*1)+((C2963=TRUE)*Q2963*3)+((C2965=TRUE)*Q2965*1))+B2987</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Arch Mage (Ice/Lightning)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C5*Sensitivity!H25</f>
        <v/>
      </c>
      <c r="E5">
        <f>SUMIF($B$5:$B$10,B5,$D$5:$D$10)</f>
        <v/>
      </c>
      <c r="F5">
        <f>TRUE</f>
        <v/>
      </c>
      <c r="G5">
        <f>IF(NOT(F5),1,1+E5/Summary!$B$3)</f>
        <v/>
      </c>
      <c r="I5" s="8" t="inlineStr">
        <is>
          <t>Attack (flat)</t>
        </is>
      </c>
      <c r="J5" s="7" t="n">
        <v>0</v>
      </c>
      <c r="K5">
        <f>J5*Sensitivity!H25</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(flat)",Sensitivity!H25,IF(B6="Min Damage %",Sensitivity!H12,IF(B6="Max Damage %",Sensitivity!H13,IF(B6="Damage %",Sensitivity!H7,IF(B6="Critical Rate %",IF(AND(Inputs!$B$9+Artifacts!$B$32&gt;=100,NOT(ArtifactsInput!$M$42),NOT(ArtifactsInput!$M$24)),Sensitivity!H15,Sensitivity!H14),IF(B6="Critical Damage %",Sensitivity!H15,IF(B6="Boss Monster Damage %",Sensitivity!H9,IF(B6="Normal Monster Damage %",Sensitivity!H10,IF(B6="Defense Penetration %",Sensitivity!H17,IF(B6="Defense (flat)",0,IF(B6="Skill Level Bonus — 1st Job",Sensitivity!H20,IF(B6="Skill Level Bonus — 2nd Job",Sensitivity!H21,IF(B6="Skill Level Bonus — 3rd Job",Sensitivity!H22,IF(B6="Skill Level Bonus — 4th Job",Sensitivity!H23,IF(B6="Skill Level Bonus — All Skills",Sensitivity!H24,IF(B6="Final Damage %",Sensitivity!H11,IF(B6="Basic Attack Damage %",Sensitivity!H18,IF(B6="Skill Damage %",Sensitivity!H19,IF(B6="Attack Speed %",Sensitivity!H16,0)))))))))))))))))))))))</f>
        <v/>
      </c>
      <c r="E6">
        <f>SUMIF($B$5:$B$10,B6,$D$5:$D$10)</f>
        <v/>
      </c>
      <c r="F6">
        <f>AND(B6&lt;&gt;"(none)",COUNTIF($B$5:B5,B6)=0)</f>
        <v/>
      </c>
      <c r="G6">
        <f>IF(NOT(F6),1,1+E6/Summary!$B$3)</f>
        <v/>
      </c>
      <c r="I6" s="7" t="inlineStr">
        <is>
          <t>(none)</t>
        </is>
      </c>
      <c r="J6" s="7" t="n">
        <v>0</v>
      </c>
      <c r="K6">
        <f>IF(I6="(none)",0,J6*(IF(I6="Main Stat (flat)",Sensitivity!H5,IF(I6="Main Stat %",Sensitivity!H6,IF(I6="Attack (flat)",Sensitivity!H25,IF(I6="Min Damage %",Sensitivity!H12,IF(I6="Max Damage %",Sensitivity!H13,IF(I6="Damage %",Sensitivity!H7,IF(I6="Critical Rate %",IF(AND(Inputs!$B$9+Artifacts!$B$32&gt;=100,NOT(ArtifactsInput!$M$42),NOT(ArtifactsInput!$M$24)),Sensitivity!H15,Sensitivity!H14),IF(I6="Critical Damage %",Sensitivity!H15,IF(I6="Boss Monster Damage %",Sensitivity!H9,IF(I6="Normal Monster Damage %",Sensitivity!H10,IF(I6="Defense Penetration %",Sensitivity!H17,IF(I6="Defense (flat)",0,IF(I6="Skill Level Bonus — 1st Job",Sensitivity!H20,IF(I6="Skill Level Bonus — 2nd Job",Sensitivity!H21,IF(I6="Skill Level Bonus — 3rd Job",Sensitivity!H22,IF(I6="Skill Level Bonus — 4th Job",Sensitivity!H23,IF(I6="Skill Level Bonus — All Skills",Sensitivity!H24,IF(I6="Final Damage %",Sensitivity!H11,IF(I6="Basic Attack Damage %",Sensitivity!H18,IF(I6="Skill Damage %",Sensitivity!H19,IF(I6="Attack Speed %",Sensitivity!H16,0)))))))))))))))))))))))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(flat)",Sensitivity!H25,IF(B7="Min Damage %",Sensitivity!H12,IF(B7="Max Damage %",Sensitivity!H13,IF(B7="Damage %",Sensitivity!H7,IF(B7="Critical Rate %",IF(AND(Inputs!$B$9+Artifacts!$B$32&gt;=100,NOT(ArtifactsInput!$M$42),NOT(ArtifactsInput!$M$24)),Sensitivity!H15,Sensitivity!H14),IF(B7="Critical Damage %",Sensitivity!H15,IF(B7="Boss Monster Damage %",Sensitivity!H9,IF(B7="Normal Monster Damage %",Sensitivity!H10,IF(B7="Defense Penetration %",Sensitivity!H17,IF(B7="Defense (flat)",0,IF(B7="Skill Level Bonus — 1st Job",Sensitivity!H20,IF(B7="Skill Level Bonus — 2nd Job",Sensitivity!H21,IF(B7="Skill Level Bonus — 3rd Job",Sensitivity!H22,IF(B7="Skill Level Bonus — 4th Job",Sensitivity!H23,IF(B7="Skill Level Bonus — All Skills",Sensitivity!H24,IF(B7="Final Damage %",Sensitivity!H11,IF(B7="Basic Attack Damage %",Sensitivity!H18,IF(B7="Skill Damage %",Sensitivity!H19,IF(B7="Attack Speed %",Sensitivity!H16,0)))))))))))))))))))))))</f>
        <v/>
      </c>
      <c r="E7">
        <f>SUMIF($B$5:$B$10,B7,$D$5:$D$10)</f>
        <v/>
      </c>
      <c r="F7">
        <f>AND(B7&lt;&gt;"(none)",COUNTIF($B$5:B6,B7)=0)</f>
        <v/>
      </c>
      <c r="G7">
        <f>IF(NOT(F7),1,1+E7/Summary!$B$3)</f>
        <v/>
      </c>
      <c r="I7" s="7" t="inlineStr">
        <is>
          <t>(none)</t>
        </is>
      </c>
      <c r="J7" s="7" t="n">
        <v>0</v>
      </c>
      <c r="K7">
        <f>IF(I7="(none)",0,J7*(IF(I7="Main Stat (flat)",Sensitivity!H5,IF(I7="Main Stat %",Sensitivity!H6,IF(I7="Attack (flat)",Sensitivity!H25,IF(I7="Min Damage %",Sensitivity!H12,IF(I7="Max Damage %",Sensitivity!H13,IF(I7="Damage %",Sensitivity!H7,IF(I7="Critical Rate %",IF(AND(Inputs!$B$9+Artifacts!$B$32&gt;=100,NOT(ArtifactsInput!$M$42),NOT(ArtifactsInput!$M$24)),Sensitivity!H15,Sensitivity!H14),IF(I7="Critical Damage %",Sensitivity!H15,IF(I7="Boss Monster Damage %",Sensitivity!H9,IF(I7="Normal Monster Damage %",Sensitivity!H10,IF(I7="Defense Penetration %",Sensitivity!H17,IF(I7="Defense (flat)",0,IF(I7="Skill Level Bonus — 1st Job",Sensitivity!H20,IF(I7="Skill Level Bonus — 2nd Job",Sensitivity!H21,IF(I7="Skill Level Bonus — 3rd Job",Sensitivity!H22,IF(I7="Skill Level Bonus — 4th Job",Sensitivity!H23,IF(I7="Skill Level Bonus — All Skills",Sensitivity!H24,IF(I7="Final Damage %",Sensitivity!H11,IF(I7="Basic Attack Damage %",Sensitivity!H18,IF(I7="Skill Damage %",Sensitivity!H19,IF(I7="Attack Speed %",Sensitivity!H16,0)))))))))))))))))))))))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(flat)",Sensitivity!H25,IF(B8="Min Damage %",Sensitivity!H12,IF(B8="Max Damage %",Sensitivity!H13,IF(B8="Damage %",Sensitivity!H7,IF(B8="Critical Rate %",IF(AND(Inputs!$B$9+Artifacts!$B$32&gt;=100,NOT(ArtifactsInput!$M$42),NOT(ArtifactsInput!$M$24)),Sensitivity!H15,Sensitivity!H14),IF(B8="Critical Damage %",Sensitivity!H15,IF(B8="Boss Monster Damage %",Sensitivity!H9,IF(B8="Normal Monster Damage %",Sensitivity!H10,IF(B8="Defense Penetration %",Sensitivity!H17,IF(B8="Defense (flat)",0,IF(B8="Skill Level Bonus — 1st Job",Sensitivity!H20,IF(B8="Skill Level Bonus — 2nd Job",Sensitivity!H21,IF(B8="Skill Level Bonus — 3rd Job",Sensitivity!H22,IF(B8="Skill Level Bonus — 4th Job",Sensitivity!H23,IF(B8="Skill Level Bonus — All Skills",Sensitivity!H24,IF(B8="Final Damage %",Sensitivity!H11,IF(B8="Basic Attack Damage %",Sensitivity!H18,IF(B8="Skill Damage %",Sensitivity!H19,IF(B8="Attack Speed %",Sensitivity!H16,0)))))))))))))))))))))))</f>
        <v/>
      </c>
      <c r="E8">
        <f>SUMIF($B$5:$B$10,B8,$D$5:$D$10)</f>
        <v/>
      </c>
      <c r="F8">
        <f>AND(B8&lt;&gt;"(none)",COUNTIF($B$5:B7,B8)=0)</f>
        <v/>
      </c>
      <c r="G8">
        <f>IF(NOT(F8),1,1+E8/Summary!$B$3)</f>
        <v/>
      </c>
      <c r="I8" s="7" t="inlineStr">
        <is>
          <t>(none)</t>
        </is>
      </c>
      <c r="J8" s="7" t="n">
        <v>0</v>
      </c>
      <c r="K8">
        <f>IF(I8="(none)",0,J8*(IF(I8="Main Stat (flat)",Sensitivity!H5,IF(I8="Main Stat %",Sensitivity!H6,IF(I8="Attack (flat)",Sensitivity!H25,IF(I8="Min Damage %",Sensitivity!H12,IF(I8="Max Damage %",Sensitivity!H13,IF(I8="Damage %",Sensitivity!H7,IF(I8="Critical Rate %",IF(AND(Inputs!$B$9+Artifacts!$B$32&gt;=100,NOT(ArtifactsInput!$M$42),NOT(ArtifactsInput!$M$24)),Sensitivity!H15,Sensitivity!H14),IF(I8="Critical Damage %",Sensitivity!H15,IF(I8="Boss Monster Damage %",Sensitivity!H9,IF(I8="Normal Monster Damage %",Sensitivity!H10,IF(I8="Defense Penetration %",Sensitivity!H17,IF(I8="Defense (flat)",0,IF(I8="Skill Level Bonus — 1st Job",Sensitivity!H20,IF(I8="Skill Level Bonus — 2nd Job",Sensitivity!H21,IF(I8="Skill Level Bonus — 3rd Job",Sensitivity!H22,IF(I8="Skill Level Bonus — 4th Job",Sensitivity!H23,IF(I8="Skill Level Bonus — All Skills",Sensitivity!H24,IF(I8="Final Damage %",Sensitivity!H11,IF(I8="Basic Attack Damage %",Sensitivity!H18,IF(I8="Skill Damage %",Sensitivity!H19,IF(I8="Attack Speed %",Sensitivity!H16,0)))))))))))))))))))))))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(flat)",Sensitivity!H25,IF(B9="Min Damage %",Sensitivity!H12,IF(B9="Max Damage %",Sensitivity!H13,IF(B9="Damage %",Sensitivity!H7,IF(B9="Critical Rate %",IF(AND(Inputs!$B$9+Artifacts!$B$32&gt;=100,NOT(ArtifactsInput!$M$42),NOT(ArtifactsInput!$M$24)),Sensitivity!H15,Sensitivity!H14),IF(B9="Critical Damage %",Sensitivity!H15,IF(B9="Boss Monster Damage %",Sensitivity!H9,IF(B9="Normal Monster Damage %",Sensitivity!H10,IF(B9="Defense Penetration %",Sensitivity!H17,IF(B9="Defense (flat)",0,IF(B9="Skill Level Bonus — 1st Job",Sensitivity!H20,IF(B9="Skill Level Bonus — 2nd Job",Sensitivity!H21,IF(B9="Skill Level Bonus — 3rd Job",Sensitivity!H22,IF(B9="Skill Level Bonus — 4th Job",Sensitivity!H23,IF(B9="Skill Level Bonus — All Skills",Sensitivity!H24,IF(B9="Final Damage %",Sensitivity!H11,IF(B9="Basic Attack Damage %",Sensitivity!H18,IF(B9="Skill Damage %",Sensitivity!H19,IF(B9="Attack Speed %",Sensitivity!H16,0)))))))))))))))))))))))</f>
        <v/>
      </c>
      <c r="E9">
        <f>SUMIF($B$5:$B$10,B9,$D$5:$D$10)</f>
        <v/>
      </c>
      <c r="F9">
        <f>AND(B9&lt;&gt;"(none)",COUNTIF($B$5:B8,B9)=0)</f>
        <v/>
      </c>
      <c r="G9">
        <f>IF(NOT(F9),1,1+E9/Summary!$B$3)</f>
        <v/>
      </c>
      <c r="I9" s="7" t="inlineStr">
        <is>
          <t>(none)</t>
        </is>
      </c>
      <c r="J9" s="7" t="n">
        <v>0</v>
      </c>
      <c r="K9">
        <f>IF(I9="(none)",0,J9*(IF(I9="Main Stat (flat)",Sensitivity!H5,IF(I9="Main Stat %",Sensitivity!H6,IF(I9="Attack (flat)",Sensitivity!H25,IF(I9="Min Damage %",Sensitivity!H12,IF(I9="Max Damage %",Sensitivity!H13,IF(I9="Damage %",Sensitivity!H7,IF(I9="Critical Rate %",IF(AND(Inputs!$B$9+Artifacts!$B$32&gt;=100,NOT(ArtifactsInput!$M$42),NOT(ArtifactsInput!$M$24)),Sensitivity!H15,Sensitivity!H14),IF(I9="Critical Damage %",Sensitivity!H15,IF(I9="Boss Monster Damage %",Sensitivity!H9,IF(I9="Normal Monster Damage %",Sensitivity!H10,IF(I9="Defense Penetration %",Sensitivity!H17,IF(I9="Defense (flat)",0,IF(I9="Skill Level Bonus — 1st Job",Sensitivity!H20,IF(I9="Skill Level Bonus — 2nd Job",Sensitivity!H21,IF(I9="Skill Level Bonus — 3rd Job",Sensitivity!H22,IF(I9="Skill Level Bonus — 4th Job",Sensitivity!H23,IF(I9="Skill Level Bonus — All Skills",Sensitivity!H24,IF(I9="Final Damage %",Sensitivity!H11,IF(I9="Basic Attack Damage %",Sensitivity!H18,IF(I9="Skill Damage %",Sensitivity!H19,IF(I9="Attack Speed %",Sensitivity!H16,0)))))))))))))))))))))))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(flat)",Sensitivity!H25,IF(B10="Min Damage %",Sensitivity!H12,IF(B10="Max Damage %",Sensitivity!H13,IF(B10="Damage %",Sensitivity!H7,IF(B10="Critical Rate %",IF(AND(Inputs!$B$9+Artifacts!$B$32&gt;=100,NOT(ArtifactsInput!$M$42),NOT(ArtifactsInput!$M$24)),Sensitivity!H15,Sensitivity!H14),IF(B10="Critical Damage %",Sensitivity!H15,IF(B10="Boss Monster Damage %",Sensitivity!H9,IF(B10="Normal Monster Damage %",Sensitivity!H10,IF(B10="Defense Penetration %",Sensitivity!H17,IF(B10="Defense (flat)",0,IF(B10="Skill Level Bonus — 1st Job",Sensitivity!H20,IF(B10="Skill Level Bonus — 2nd Job",Sensitivity!H21,IF(B10="Skill Level Bonus — 3rd Job",Sensitivity!H22,IF(B10="Skill Level Bonus — 4th Job",Sensitivity!H23,IF(B10="Skill Level Bonus — All Skills",Sensitivity!H24,IF(B10="Final Damage %",Sensitivity!H11,IF(B10="Basic Attack Damage %",Sensitivity!H18,IF(B10="Skill Damage %",Sensitivity!H19,IF(B10="Attack Speed %",Sensitivity!H16,0)))))))))))))))))))))))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(flat)",Sensitivity!H25,IF(I10="Min Damage %",Sensitivity!H12,IF(I10="Max Damage %",Sensitivity!H13,IF(I10="Damage %",Sensitivity!H7,IF(I10="Critical Rate %",IF(AND(Inputs!$B$9+Artifacts!$B$32&gt;=100,NOT(ArtifactsInput!$M$42),NOT(ArtifactsInput!$M$24)),Sensitivity!H15,Sensitivity!H14),IF(I10="Critical Damage %",Sensitivity!H15,IF(I10="Boss Monster Damage %",Sensitivity!H9,IF(I10="Normal Monster Damage %",Sensitivity!H10,IF(I10="Defense Penetration %",Sensitivity!H17,IF(I10="Defense (flat)",0,IF(I10="Skill Level Bonus — 1st Job",Sensitivity!H20,IF(I10="Skill Level Bonus — 2nd Job",Sensitivity!H21,IF(I10="Skill Level Bonus — 3rd Job",Sensitivity!H22,IF(I10="Skill Level Bonus — 4th Job",Sensitivity!H23,IF(I10="Skill Level Bonus — All Skills",Sensitivity!H24,IF(I10="Final Damage %",Sensitivity!H11,IF(I10="Basic Attack Damage %",Sensitivity!H18,IF(I10="Skill Damage %",Sensitivity!H19,IF(I10="Attack Speed %",Sensitivity!H16,0)))))))))))))))))))))))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IF(AND(Inputs!$B$9+Artifacts!$B$32&gt;=100,NOT(ArtifactsInput!$M$42),NOT(ArtifactsInput!$M$24)),Sensitivity!H15,Sensitivity!H14)</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Sensitivity!H16</f>
        <v/>
      </c>
      <c r="J3" t="inlineStr">
        <is>
          <t>All Skill Level</t>
        </is>
      </c>
      <c r="K3">
        <f>Sensitivity!H24</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Sensitivity!H7</f>
        <v/>
      </c>
      <c r="J4" t="inlineStr">
        <is>
          <t>Attack Speed %</t>
        </is>
      </c>
      <c r="K4">
        <f>Sensitivity!H16</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Sensitivity!H12</f>
        <v/>
      </c>
      <c r="J5" t="inlineStr">
        <is>
          <t>Basic Attack Damage %</t>
        </is>
      </c>
      <c r="K5">
        <f>Sensitivity!H18</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Sensitivity!H13</f>
        <v/>
      </c>
      <c r="J6" t="inlineStr">
        <is>
          <t>Basic Attack Target Increase</t>
        </is>
      </c>
      <c r="K6">
        <f>Sensitivity!H28</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Sensitivity!H29</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Sensitivity!H15</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f>Sensitivity!H6</f>
        <v/>
      </c>
      <c r="J9" t="inlineStr">
        <is>
          <t>Critical Damage %</t>
        </is>
      </c>
      <c r="K9">
        <f>Sensitivity!H15</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IF(AND(Inputs!$B$9+Artifacts!$B$32&gt;=100,NOT(ArtifactsInput!$M$42),NOT(ArtifactsInput!$M$24)),Sensitivity!H15,Sensitivity!H14)</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Sensitivity!H7</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Sensitivity!H17</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f>Sensitivity!H5</f>
        <v/>
      </c>
      <c r="J16" t="inlineStr">
        <is>
          <t>Final Damage %</t>
        </is>
      </c>
      <c r="K16">
        <f>Sensitivity!H11</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f>Sensitivity!H5</f>
        <v/>
      </c>
    </row>
    <row r="18">
      <c r="A18" t="inlineStr">
        <is>
          <t>ALL</t>
        </is>
      </c>
      <c r="B18" t="inlineStr">
        <is>
          <t>normal</t>
        </is>
      </c>
      <c r="C18" t="n">
        <v>2</v>
      </c>
      <c r="D18" t="inlineStr">
        <is>
          <t>Critical Rate %</t>
        </is>
      </c>
      <c r="E18" t="n">
        <v>3</v>
      </c>
      <c r="F18" t="n">
        <v>2.5</v>
      </c>
      <c r="G18" t="b">
        <v>0</v>
      </c>
      <c r="H18">
        <f>IF(AND(Inputs!$B$9+Artifacts!$B$32&gt;=100,NOT(ArtifactsInput!$M$42),NOT(ArtifactsInput!$M$24)),Sensitivity!H15,Sensitivity!H14)</f>
        <v/>
      </c>
      <c r="J18" t="inlineStr">
        <is>
          <t>Int %</t>
        </is>
      </c>
      <c r="K18">
        <f>Sensitivity!H6</f>
        <v/>
      </c>
    </row>
    <row r="19">
      <c r="A19" t="inlineStr">
        <is>
          <t>ALL</t>
        </is>
      </c>
      <c r="B19" t="inlineStr">
        <is>
          <t>normal</t>
        </is>
      </c>
      <c r="C19" t="n">
        <v>2</v>
      </c>
      <c r="D19" t="inlineStr">
        <is>
          <t>Attack Speed %</t>
        </is>
      </c>
      <c r="E19" t="n">
        <v>3</v>
      </c>
      <c r="F19" t="n">
        <v>2.5</v>
      </c>
      <c r="G19" t="b">
        <v>0</v>
      </c>
      <c r="H19">
        <f>Sensitivity!H16</f>
        <v/>
      </c>
      <c r="J19" t="inlineStr">
        <is>
          <t>Luk</t>
        </is>
      </c>
      <c r="K19" t="inlineStr">
        <is>
          <t>0</t>
        </is>
      </c>
    </row>
    <row r="20">
      <c r="A20" t="inlineStr">
        <is>
          <t>ALL</t>
        </is>
      </c>
      <c r="B20" t="inlineStr">
        <is>
          <t>normal</t>
        </is>
      </c>
      <c r="C20" t="n">
        <v>2</v>
      </c>
      <c r="D20" t="inlineStr">
        <is>
          <t>Damage %</t>
        </is>
      </c>
      <c r="E20" t="n">
        <v>5</v>
      </c>
      <c r="F20" t="n">
        <v>4</v>
      </c>
      <c r="G20" t="b">
        <v>0</v>
      </c>
      <c r="H20">
        <f>Sensitivity!H7</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Sensitivity!H12</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Sensitivity!H13</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Sensitivity!H13</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f>Sensitivity!H6</f>
        <v/>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Sensitivity!H12</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Sensitivity!H27</f>
        <v/>
      </c>
    </row>
    <row r="28">
      <c r="A28" t="inlineStr">
        <is>
          <t>ALL</t>
        </is>
      </c>
      <c r="B28" t="inlineStr">
        <is>
          <t>normal</t>
        </is>
      </c>
      <c r="C28" t="n">
        <v>2</v>
      </c>
      <c r="D28" t="inlineStr">
        <is>
          <t>Max HP %</t>
        </is>
      </c>
      <c r="E28" t="n">
        <v>6</v>
      </c>
      <c r="F28" t="n">
        <v>9</v>
      </c>
      <c r="G28" t="b">
        <v>0</v>
      </c>
      <c r="H28" t="inlineStr">
        <is>
          <t>0</t>
        </is>
      </c>
      <c r="J28" t="inlineStr">
        <is>
          <t>Skill Damage %</t>
        </is>
      </c>
      <c r="K28">
        <f>Sensitivity!H19</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f>Sensitivity!H5</f>
        <v/>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IF(AND(Inputs!$B$9+Artifacts!$B$32&gt;=100,NOT(ArtifactsInput!$M$42),NOT(ArtifactsInput!$M$24)),Sensitivity!H15,Sensitivity!H14)</f>
        <v/>
      </c>
    </row>
    <row r="35">
      <c r="A35" t="inlineStr">
        <is>
          <t>ALL</t>
        </is>
      </c>
      <c r="B35" t="inlineStr">
        <is>
          <t>normal</t>
        </is>
      </c>
      <c r="C35" t="n">
        <v>3</v>
      </c>
      <c r="D35" t="inlineStr">
        <is>
          <t>Attack Speed %</t>
        </is>
      </c>
      <c r="E35" t="n">
        <v>3</v>
      </c>
      <c r="F35" t="n">
        <v>2.5</v>
      </c>
      <c r="G35" t="b">
        <v>0</v>
      </c>
      <c r="H35">
        <f>Sensitivity!H16</f>
        <v/>
      </c>
    </row>
    <row r="36">
      <c r="A36" t="inlineStr">
        <is>
          <t>ALL</t>
        </is>
      </c>
      <c r="B36" t="inlineStr">
        <is>
          <t>normal</t>
        </is>
      </c>
      <c r="C36" t="n">
        <v>3</v>
      </c>
      <c r="D36" t="inlineStr">
        <is>
          <t>Damage %</t>
        </is>
      </c>
      <c r="E36" t="n">
        <v>5</v>
      </c>
      <c r="F36" t="n">
        <v>4</v>
      </c>
      <c r="G36" t="b">
        <v>0</v>
      </c>
      <c r="H36">
        <f>Sensitivity!H7</f>
        <v/>
      </c>
    </row>
    <row r="37">
      <c r="A37" t="inlineStr">
        <is>
          <t>ALL</t>
        </is>
      </c>
      <c r="B37" t="inlineStr">
        <is>
          <t>normal</t>
        </is>
      </c>
      <c r="C37" t="n">
        <v>3</v>
      </c>
      <c r="D37" t="inlineStr">
        <is>
          <t>Min Damage Multiplier %</t>
        </is>
      </c>
      <c r="E37" t="n">
        <v>3</v>
      </c>
      <c r="F37" t="n">
        <v>4</v>
      </c>
      <c r="G37" t="b">
        <v>0</v>
      </c>
      <c r="H37">
        <f>Sensitivity!H12</f>
        <v/>
      </c>
    </row>
    <row r="38">
      <c r="A38" t="inlineStr">
        <is>
          <t>ALL</t>
        </is>
      </c>
      <c r="B38" t="inlineStr">
        <is>
          <t>normal</t>
        </is>
      </c>
      <c r="C38" t="n">
        <v>3</v>
      </c>
      <c r="D38" t="inlineStr">
        <is>
          <t>Max Damage Multiplier %</t>
        </is>
      </c>
      <c r="E38" t="n">
        <v>3</v>
      </c>
      <c r="F38" t="n">
        <v>4</v>
      </c>
      <c r="G38" t="b">
        <v>0</v>
      </c>
      <c r="H38">
        <f>Sensitivity!H13</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f>Sensitivity!H6</f>
        <v/>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f>Sensitivity!H5</f>
        <v/>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IF(AND(Inputs!$B$9+Artifacts!$B$32&gt;=100,NOT(ArtifactsInput!$M$42),NOT(ArtifactsInput!$M$24)),Sensitivity!H15,Sensitivity!H14)</f>
        <v/>
      </c>
    </row>
    <row r="51">
      <c r="A51" t="inlineStr">
        <is>
          <t>ALL</t>
        </is>
      </c>
      <c r="B51" t="inlineStr">
        <is>
          <t>rare</t>
        </is>
      </c>
      <c r="C51" t="n">
        <v>1</v>
      </c>
      <c r="D51" t="inlineStr">
        <is>
          <t>Attack Speed %</t>
        </is>
      </c>
      <c r="E51" t="n">
        <v>3.5</v>
      </c>
      <c r="F51" t="n">
        <v>2.5</v>
      </c>
      <c r="G51" t="b">
        <v>1</v>
      </c>
      <c r="H51">
        <f>Sensitivity!H16</f>
        <v/>
      </c>
    </row>
    <row r="52">
      <c r="A52" t="inlineStr">
        <is>
          <t>ALL</t>
        </is>
      </c>
      <c r="B52" t="inlineStr">
        <is>
          <t>rare</t>
        </is>
      </c>
      <c r="C52" t="n">
        <v>1</v>
      </c>
      <c r="D52" t="inlineStr">
        <is>
          <t>Damage %</t>
        </is>
      </c>
      <c r="E52" t="n">
        <v>8</v>
      </c>
      <c r="F52" t="n">
        <v>4</v>
      </c>
      <c r="G52" t="b">
        <v>1</v>
      </c>
      <c r="H52">
        <f>Sensitivity!H7</f>
        <v/>
      </c>
    </row>
    <row r="53">
      <c r="A53" t="inlineStr">
        <is>
          <t>ALL</t>
        </is>
      </c>
      <c r="B53" t="inlineStr">
        <is>
          <t>rare</t>
        </is>
      </c>
      <c r="C53" t="n">
        <v>1</v>
      </c>
      <c r="D53" t="inlineStr">
        <is>
          <t>Min Damage Multiplier %</t>
        </is>
      </c>
      <c r="E53" t="n">
        <v>6</v>
      </c>
      <c r="F53" t="n">
        <v>4</v>
      </c>
      <c r="G53" t="b">
        <v>1</v>
      </c>
      <c r="H53">
        <f>Sensitivity!H12</f>
        <v/>
      </c>
    </row>
    <row r="54">
      <c r="A54" t="inlineStr">
        <is>
          <t>ALL</t>
        </is>
      </c>
      <c r="B54" t="inlineStr">
        <is>
          <t>rare</t>
        </is>
      </c>
      <c r="C54" t="n">
        <v>1</v>
      </c>
      <c r="D54" t="inlineStr">
        <is>
          <t>Max Damage Multiplier %</t>
        </is>
      </c>
      <c r="E54" t="n">
        <v>6</v>
      </c>
      <c r="F54" t="n">
        <v>4</v>
      </c>
      <c r="G54" t="b">
        <v>1</v>
      </c>
      <c r="H54">
        <f>Sensitivity!H13</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f>Sensitivity!H6</f>
        <v/>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f>Sensitivity!H5</f>
        <v/>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IF(AND(Inputs!$B$9+Artifacts!$B$32&gt;=100,NOT(ArtifactsInput!$M$42),NOT(ArtifactsInput!$M$24)),Sensitivity!H15,Sensitivity!H14)</f>
        <v/>
      </c>
    </row>
    <row r="67">
      <c r="A67" t="inlineStr">
        <is>
          <t>ALL</t>
        </is>
      </c>
      <c r="B67" t="inlineStr">
        <is>
          <t>rare</t>
        </is>
      </c>
      <c r="C67" t="n">
        <v>2</v>
      </c>
      <c r="D67" t="inlineStr">
        <is>
          <t>Critical Rate %</t>
        </is>
      </c>
      <c r="E67" t="n">
        <v>4.5</v>
      </c>
      <c r="F67" t="n">
        <v>0.6</v>
      </c>
      <c r="G67" t="b">
        <v>1</v>
      </c>
      <c r="H67">
        <f>IF(AND(Inputs!$B$9+Artifacts!$B$32&gt;=100,NOT(ArtifactsInput!$M$42),NOT(ArtifactsInput!$M$24)),Sensitivity!H15,Sensitivity!H14)</f>
        <v/>
      </c>
    </row>
    <row r="68">
      <c r="A68" t="inlineStr">
        <is>
          <t>ALL</t>
        </is>
      </c>
      <c r="B68" t="inlineStr">
        <is>
          <t>rare</t>
        </is>
      </c>
      <c r="C68" t="n">
        <v>2</v>
      </c>
      <c r="D68" t="inlineStr">
        <is>
          <t>Attack Speed %</t>
        </is>
      </c>
      <c r="E68" t="n">
        <v>3</v>
      </c>
      <c r="F68" t="n">
        <v>1.9</v>
      </c>
      <c r="G68" t="b">
        <v>0</v>
      </c>
      <c r="H68">
        <f>Sensitivity!H16</f>
        <v/>
      </c>
    </row>
    <row r="69">
      <c r="A69" t="inlineStr">
        <is>
          <t>ALL</t>
        </is>
      </c>
      <c r="B69" t="inlineStr">
        <is>
          <t>rare</t>
        </is>
      </c>
      <c r="C69" t="n">
        <v>2</v>
      </c>
      <c r="D69" t="inlineStr">
        <is>
          <t>Attack Speed %</t>
        </is>
      </c>
      <c r="E69" t="n">
        <v>3.5</v>
      </c>
      <c r="F69" t="n">
        <v>0.6</v>
      </c>
      <c r="G69" t="b">
        <v>1</v>
      </c>
      <c r="H69">
        <f>Sensitivity!H16</f>
        <v/>
      </c>
    </row>
    <row r="70">
      <c r="A70" t="inlineStr">
        <is>
          <t>ALL</t>
        </is>
      </c>
      <c r="B70" t="inlineStr">
        <is>
          <t>rare</t>
        </is>
      </c>
      <c r="C70" t="n">
        <v>2</v>
      </c>
      <c r="D70" t="inlineStr">
        <is>
          <t>Damage %</t>
        </is>
      </c>
      <c r="E70" t="n">
        <v>5</v>
      </c>
      <c r="F70" t="n">
        <v>3.04</v>
      </c>
      <c r="G70" t="b">
        <v>0</v>
      </c>
      <c r="H70">
        <f>Sensitivity!H7</f>
        <v/>
      </c>
    </row>
    <row r="71">
      <c r="A71" t="inlineStr">
        <is>
          <t>ALL</t>
        </is>
      </c>
      <c r="B71" t="inlineStr">
        <is>
          <t>rare</t>
        </is>
      </c>
      <c r="C71" t="n">
        <v>2</v>
      </c>
      <c r="D71" t="inlineStr">
        <is>
          <t>Damage %</t>
        </is>
      </c>
      <c r="E71" t="n">
        <v>8</v>
      </c>
      <c r="F71" t="n">
        <v>0.96</v>
      </c>
      <c r="G71" t="b">
        <v>1</v>
      </c>
      <c r="H71">
        <f>Sensitivity!H7</f>
        <v/>
      </c>
    </row>
    <row r="72">
      <c r="A72" t="inlineStr">
        <is>
          <t>ALL</t>
        </is>
      </c>
      <c r="B72" t="inlineStr">
        <is>
          <t>rare</t>
        </is>
      </c>
      <c r="C72" t="n">
        <v>2</v>
      </c>
      <c r="D72" t="inlineStr">
        <is>
          <t>Min Damage Multiplier %</t>
        </is>
      </c>
      <c r="E72" t="n">
        <v>3</v>
      </c>
      <c r="F72" t="n">
        <v>3.04</v>
      </c>
      <c r="G72" t="b">
        <v>0</v>
      </c>
      <c r="H72">
        <f>Sensitivity!H12</f>
        <v/>
      </c>
    </row>
    <row r="73">
      <c r="A73" t="inlineStr">
        <is>
          <t>ALL</t>
        </is>
      </c>
      <c r="B73" t="inlineStr">
        <is>
          <t>rare</t>
        </is>
      </c>
      <c r="C73" t="n">
        <v>2</v>
      </c>
      <c r="D73" t="inlineStr">
        <is>
          <t>Min Damage Multiplier %</t>
        </is>
      </c>
      <c r="E73" t="n">
        <v>6</v>
      </c>
      <c r="F73" t="n">
        <v>0.96</v>
      </c>
      <c r="G73" t="b">
        <v>1</v>
      </c>
      <c r="H73">
        <f>Sensitivity!H12</f>
        <v/>
      </c>
    </row>
    <row r="74">
      <c r="A74" t="inlineStr">
        <is>
          <t>ALL</t>
        </is>
      </c>
      <c r="B74" t="inlineStr">
        <is>
          <t>rare</t>
        </is>
      </c>
      <c r="C74" t="n">
        <v>2</v>
      </c>
      <c r="D74" t="inlineStr">
        <is>
          <t>Max Damage Multiplier %</t>
        </is>
      </c>
      <c r="E74" t="n">
        <v>3</v>
      </c>
      <c r="F74" t="n">
        <v>3.04</v>
      </c>
      <c r="G74" t="b">
        <v>0</v>
      </c>
      <c r="H74">
        <f>Sensitivity!H13</f>
        <v/>
      </c>
    </row>
    <row r="75">
      <c r="A75" t="inlineStr">
        <is>
          <t>ALL</t>
        </is>
      </c>
      <c r="B75" t="inlineStr">
        <is>
          <t>rare</t>
        </is>
      </c>
      <c r="C75" t="n">
        <v>2</v>
      </c>
      <c r="D75" t="inlineStr">
        <is>
          <t>Max Damage Multiplier %</t>
        </is>
      </c>
      <c r="E75" t="n">
        <v>6</v>
      </c>
      <c r="F75" t="n">
        <v>0.96</v>
      </c>
      <c r="G75" t="b">
        <v>1</v>
      </c>
      <c r="H75">
        <f>Sensitivity!H13</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f>Sensitivity!H6</f>
        <v/>
      </c>
    </row>
    <row r="81">
      <c r="A81" t="inlineStr">
        <is>
          <t>ALL</t>
        </is>
      </c>
      <c r="B81" t="inlineStr">
        <is>
          <t>rare</t>
        </is>
      </c>
      <c r="C81" t="n">
        <v>2</v>
      </c>
      <c r="D81" t="inlineStr">
        <is>
          <t>Int %</t>
        </is>
      </c>
      <c r="E81" t="n">
        <v>4.5</v>
      </c>
      <c r="F81" t="n">
        <v>1.08</v>
      </c>
      <c r="G81" t="b">
        <v>1</v>
      </c>
      <c r="H81">
        <f>Sensitivity!H6</f>
        <v/>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f>Sensitivity!H5</f>
        <v/>
      </c>
    </row>
    <row r="95">
      <c r="A95" t="inlineStr">
        <is>
          <t>ALL</t>
        </is>
      </c>
      <c r="B95" t="inlineStr">
        <is>
          <t>rare</t>
        </is>
      </c>
      <c r="C95" t="n">
        <v>2</v>
      </c>
      <c r="D95" t="inlineStr">
        <is>
          <t>Int</t>
        </is>
      </c>
      <c r="E95" t="n">
        <v>100</v>
      </c>
      <c r="F95" t="n">
        <v>2.28</v>
      </c>
      <c r="G95" t="b">
        <v>1</v>
      </c>
      <c r="H95">
        <f>Sensitivity!H5</f>
        <v/>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IF(AND(Inputs!$B$9+Artifacts!$B$32&gt;=100,NOT(ArtifactsInput!$M$42),NOT(ArtifactsInput!$M$24)),Sensitivity!H15,Sensitivity!H14)</f>
        <v/>
      </c>
    </row>
    <row r="99">
      <c r="A99" t="inlineStr">
        <is>
          <t>ALL</t>
        </is>
      </c>
      <c r="B99" t="inlineStr">
        <is>
          <t>rare</t>
        </is>
      </c>
      <c r="C99" t="n">
        <v>3</v>
      </c>
      <c r="D99" t="inlineStr">
        <is>
          <t>Critical Rate %</t>
        </is>
      </c>
      <c r="E99" t="n">
        <v>4.5</v>
      </c>
      <c r="F99" t="n">
        <v>0.2</v>
      </c>
      <c r="G99" t="b">
        <v>1</v>
      </c>
      <c r="H99">
        <f>IF(AND(Inputs!$B$9+Artifacts!$B$32&gt;=100,NOT(ArtifactsInput!$M$42),NOT(ArtifactsInput!$M$24)),Sensitivity!H15,Sensitivity!H14)</f>
        <v/>
      </c>
    </row>
    <row r="100">
      <c r="A100" t="inlineStr">
        <is>
          <t>ALL</t>
        </is>
      </c>
      <c r="B100" t="inlineStr">
        <is>
          <t>rare</t>
        </is>
      </c>
      <c r="C100" t="n">
        <v>3</v>
      </c>
      <c r="D100" t="inlineStr">
        <is>
          <t>Attack Speed %</t>
        </is>
      </c>
      <c r="E100" t="n">
        <v>3</v>
      </c>
      <c r="F100" t="n">
        <v>2.3</v>
      </c>
      <c r="G100" t="b">
        <v>0</v>
      </c>
      <c r="H100">
        <f>Sensitivity!H16</f>
        <v/>
      </c>
    </row>
    <row r="101">
      <c r="A101" t="inlineStr">
        <is>
          <t>ALL</t>
        </is>
      </c>
      <c r="B101" t="inlineStr">
        <is>
          <t>rare</t>
        </is>
      </c>
      <c r="C101" t="n">
        <v>3</v>
      </c>
      <c r="D101" t="inlineStr">
        <is>
          <t>Attack Speed %</t>
        </is>
      </c>
      <c r="E101" t="n">
        <v>3.5</v>
      </c>
      <c r="F101" t="n">
        <v>0.2</v>
      </c>
      <c r="G101" t="b">
        <v>1</v>
      </c>
      <c r="H101">
        <f>Sensitivity!H16</f>
        <v/>
      </c>
    </row>
    <row r="102">
      <c r="A102" t="inlineStr">
        <is>
          <t>ALL</t>
        </is>
      </c>
      <c r="B102" t="inlineStr">
        <is>
          <t>rare</t>
        </is>
      </c>
      <c r="C102" t="n">
        <v>3</v>
      </c>
      <c r="D102" t="inlineStr">
        <is>
          <t>Damage %</t>
        </is>
      </c>
      <c r="E102" t="n">
        <v>5</v>
      </c>
      <c r="F102" t="n">
        <v>3.68</v>
      </c>
      <c r="G102" t="b">
        <v>0</v>
      </c>
      <c r="H102">
        <f>Sensitivity!H7</f>
        <v/>
      </c>
    </row>
    <row r="103">
      <c r="A103" t="inlineStr">
        <is>
          <t>ALL</t>
        </is>
      </c>
      <c r="B103" t="inlineStr">
        <is>
          <t>rare</t>
        </is>
      </c>
      <c r="C103" t="n">
        <v>3</v>
      </c>
      <c r="D103" t="inlineStr">
        <is>
          <t>Damage %</t>
        </is>
      </c>
      <c r="E103" t="n">
        <v>8</v>
      </c>
      <c r="F103" t="n">
        <v>0.32</v>
      </c>
      <c r="G103" t="b">
        <v>1</v>
      </c>
      <c r="H103">
        <f>Sensitivity!H7</f>
        <v/>
      </c>
    </row>
    <row r="104">
      <c r="A104" t="inlineStr">
        <is>
          <t>ALL</t>
        </is>
      </c>
      <c r="B104" t="inlineStr">
        <is>
          <t>rare</t>
        </is>
      </c>
      <c r="C104" t="n">
        <v>3</v>
      </c>
      <c r="D104" t="inlineStr">
        <is>
          <t>Min Damage Multiplier %</t>
        </is>
      </c>
      <c r="E104" t="n">
        <v>3</v>
      </c>
      <c r="F104" t="n">
        <v>3.68</v>
      </c>
      <c r="G104" t="b">
        <v>0</v>
      </c>
      <c r="H104">
        <f>Sensitivity!H12</f>
        <v/>
      </c>
    </row>
    <row r="105">
      <c r="A105" t="inlineStr">
        <is>
          <t>ALL</t>
        </is>
      </c>
      <c r="B105" t="inlineStr">
        <is>
          <t>rare</t>
        </is>
      </c>
      <c r="C105" t="n">
        <v>3</v>
      </c>
      <c r="D105" t="inlineStr">
        <is>
          <t>Min Damage Multiplier %</t>
        </is>
      </c>
      <c r="E105" t="n">
        <v>6</v>
      </c>
      <c r="F105" t="n">
        <v>0.32</v>
      </c>
      <c r="G105" t="b">
        <v>1</v>
      </c>
      <c r="H105">
        <f>Sensitivity!H12</f>
        <v/>
      </c>
    </row>
    <row r="106">
      <c r="A106" t="inlineStr">
        <is>
          <t>ALL</t>
        </is>
      </c>
      <c r="B106" t="inlineStr">
        <is>
          <t>rare</t>
        </is>
      </c>
      <c r="C106" t="n">
        <v>3</v>
      </c>
      <c r="D106" t="inlineStr">
        <is>
          <t>Max Damage Multiplier %</t>
        </is>
      </c>
      <c r="E106" t="n">
        <v>3</v>
      </c>
      <c r="F106" t="n">
        <v>3.68</v>
      </c>
      <c r="G106" t="b">
        <v>0</v>
      </c>
      <c r="H106">
        <f>Sensitivity!H13</f>
        <v/>
      </c>
    </row>
    <row r="107">
      <c r="A107" t="inlineStr">
        <is>
          <t>ALL</t>
        </is>
      </c>
      <c r="B107" t="inlineStr">
        <is>
          <t>rare</t>
        </is>
      </c>
      <c r="C107" t="n">
        <v>3</v>
      </c>
      <c r="D107" t="inlineStr">
        <is>
          <t>Max Damage Multiplier %</t>
        </is>
      </c>
      <c r="E107" t="n">
        <v>6</v>
      </c>
      <c r="F107" t="n">
        <v>0.32</v>
      </c>
      <c r="G107" t="b">
        <v>1</v>
      </c>
      <c r="H107">
        <f>Sensitivity!H13</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f>Sensitivity!H6</f>
        <v/>
      </c>
    </row>
    <row r="113">
      <c r="A113" t="inlineStr">
        <is>
          <t>ALL</t>
        </is>
      </c>
      <c r="B113" t="inlineStr">
        <is>
          <t>rare</t>
        </is>
      </c>
      <c r="C113" t="n">
        <v>3</v>
      </c>
      <c r="D113" t="inlineStr">
        <is>
          <t>Int %</t>
        </is>
      </c>
      <c r="E113" t="n">
        <v>4.5</v>
      </c>
      <c r="F113" t="n">
        <v>0.36</v>
      </c>
      <c r="G113" t="b">
        <v>1</v>
      </c>
      <c r="H113">
        <f>Sensitivity!H6</f>
        <v/>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f>Sensitivity!H5</f>
        <v/>
      </c>
    </row>
    <row r="127">
      <c r="A127" t="inlineStr">
        <is>
          <t>ALL</t>
        </is>
      </c>
      <c r="B127" t="inlineStr">
        <is>
          <t>rare</t>
        </is>
      </c>
      <c r="C127" t="n">
        <v>3</v>
      </c>
      <c r="D127" t="inlineStr">
        <is>
          <t>Int</t>
        </is>
      </c>
      <c r="E127" t="n">
        <v>100</v>
      </c>
      <c r="F127" t="n">
        <v>0.76</v>
      </c>
      <c r="G127" t="b">
        <v>1</v>
      </c>
      <c r="H127">
        <f>Sensitivity!H5</f>
        <v/>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IF(AND(Inputs!$B$9+Artifacts!$B$32&gt;=100,NOT(ArtifactsInput!$M$42),NOT(ArtifactsInput!$M$24)),Sensitivity!H15,Sensitivity!H14)</f>
        <v/>
      </c>
    </row>
    <row r="131">
      <c r="A131" t="inlineStr">
        <is>
          <t>ALL</t>
        </is>
      </c>
      <c r="B131" t="inlineStr">
        <is>
          <t>epic</t>
        </is>
      </c>
      <c r="C131" t="n">
        <v>1</v>
      </c>
      <c r="D131" t="inlineStr">
        <is>
          <t>Attack Speed %</t>
        </is>
      </c>
      <c r="E131" t="n">
        <v>4</v>
      </c>
      <c r="F131" t="n">
        <v>2.5</v>
      </c>
      <c r="G131" t="b">
        <v>1</v>
      </c>
      <c r="H131">
        <f>Sensitivity!H16</f>
        <v/>
      </c>
    </row>
    <row r="132">
      <c r="A132" t="inlineStr">
        <is>
          <t>ALL</t>
        </is>
      </c>
      <c r="B132" t="inlineStr">
        <is>
          <t>epic</t>
        </is>
      </c>
      <c r="C132" t="n">
        <v>1</v>
      </c>
      <c r="D132" t="inlineStr">
        <is>
          <t>Damage %</t>
        </is>
      </c>
      <c r="E132" t="n">
        <v>12</v>
      </c>
      <c r="F132" t="n">
        <v>4</v>
      </c>
      <c r="G132" t="b">
        <v>1</v>
      </c>
      <c r="H132">
        <f>Sensitivity!H7</f>
        <v/>
      </c>
    </row>
    <row r="133">
      <c r="A133" t="inlineStr">
        <is>
          <t>ALL</t>
        </is>
      </c>
      <c r="B133" t="inlineStr">
        <is>
          <t>epic</t>
        </is>
      </c>
      <c r="C133" t="n">
        <v>1</v>
      </c>
      <c r="D133" t="inlineStr">
        <is>
          <t>Min Damage Multiplier %</t>
        </is>
      </c>
      <c r="E133" t="n">
        <v>8</v>
      </c>
      <c r="F133" t="n">
        <v>4</v>
      </c>
      <c r="G133" t="b">
        <v>1</v>
      </c>
      <c r="H133">
        <f>Sensitivity!H12</f>
        <v/>
      </c>
    </row>
    <row r="134">
      <c r="A134" t="inlineStr">
        <is>
          <t>ALL</t>
        </is>
      </c>
      <c r="B134" t="inlineStr">
        <is>
          <t>epic</t>
        </is>
      </c>
      <c r="C134" t="n">
        <v>1</v>
      </c>
      <c r="D134" t="inlineStr">
        <is>
          <t>Max Damage Multiplier %</t>
        </is>
      </c>
      <c r="E134" t="n">
        <v>8</v>
      </c>
      <c r="F134" t="n">
        <v>4</v>
      </c>
      <c r="G134" t="b">
        <v>1</v>
      </c>
      <c r="H134">
        <f>Sensitivity!H13</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f>Sensitivity!H6</f>
        <v/>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f>Sensitivity!H5</f>
        <v/>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IF(AND(Inputs!$B$9+Artifacts!$B$32&gt;=100,NOT(ArtifactsInput!$M$42),NOT(ArtifactsInput!$M$24)),Sensitivity!H15,Sensitivity!H14)</f>
        <v/>
      </c>
    </row>
    <row r="147">
      <c r="A147" t="inlineStr">
        <is>
          <t>ALL</t>
        </is>
      </c>
      <c r="B147" t="inlineStr">
        <is>
          <t>epic</t>
        </is>
      </c>
      <c r="C147" t="n">
        <v>2</v>
      </c>
      <c r="D147" t="inlineStr">
        <is>
          <t>Critical Rate %</t>
        </is>
      </c>
      <c r="E147" t="n">
        <v>6</v>
      </c>
      <c r="F147" t="n">
        <v>0.6</v>
      </c>
      <c r="G147" t="b">
        <v>1</v>
      </c>
      <c r="H147">
        <f>IF(AND(Inputs!$B$9+Artifacts!$B$32&gt;=100,NOT(ArtifactsInput!$M$42),NOT(ArtifactsInput!$M$24)),Sensitivity!H15,Sensitivity!H14)</f>
        <v/>
      </c>
    </row>
    <row r="148">
      <c r="A148" t="inlineStr">
        <is>
          <t>ALL</t>
        </is>
      </c>
      <c r="B148" t="inlineStr">
        <is>
          <t>epic</t>
        </is>
      </c>
      <c r="C148" t="n">
        <v>2</v>
      </c>
      <c r="D148" t="inlineStr">
        <is>
          <t>Attack Speed %</t>
        </is>
      </c>
      <c r="E148" t="n">
        <v>3.5</v>
      </c>
      <c r="F148" t="n">
        <v>1.9</v>
      </c>
      <c r="G148" t="b">
        <v>0</v>
      </c>
      <c r="H148">
        <f>Sensitivity!H16</f>
        <v/>
      </c>
    </row>
    <row r="149">
      <c r="A149" t="inlineStr">
        <is>
          <t>ALL</t>
        </is>
      </c>
      <c r="B149" t="inlineStr">
        <is>
          <t>epic</t>
        </is>
      </c>
      <c r="C149" t="n">
        <v>2</v>
      </c>
      <c r="D149" t="inlineStr">
        <is>
          <t>Attack Speed %</t>
        </is>
      </c>
      <c r="E149" t="n">
        <v>4</v>
      </c>
      <c r="F149" t="n">
        <v>0.6</v>
      </c>
      <c r="G149" t="b">
        <v>1</v>
      </c>
      <c r="H149">
        <f>Sensitivity!H16</f>
        <v/>
      </c>
    </row>
    <row r="150">
      <c r="A150" t="inlineStr">
        <is>
          <t>ALL</t>
        </is>
      </c>
      <c r="B150" t="inlineStr">
        <is>
          <t>epic</t>
        </is>
      </c>
      <c r="C150" t="n">
        <v>2</v>
      </c>
      <c r="D150" t="inlineStr">
        <is>
          <t>Damage %</t>
        </is>
      </c>
      <c r="E150" t="n">
        <v>8</v>
      </c>
      <c r="F150" t="n">
        <v>3.04</v>
      </c>
      <c r="G150" t="b">
        <v>0</v>
      </c>
      <c r="H150">
        <f>Sensitivity!H7</f>
        <v/>
      </c>
    </row>
    <row r="151">
      <c r="A151" t="inlineStr">
        <is>
          <t>ALL</t>
        </is>
      </c>
      <c r="B151" t="inlineStr">
        <is>
          <t>epic</t>
        </is>
      </c>
      <c r="C151" t="n">
        <v>2</v>
      </c>
      <c r="D151" t="inlineStr">
        <is>
          <t>Damage %</t>
        </is>
      </c>
      <c r="E151" t="n">
        <v>12</v>
      </c>
      <c r="F151" t="n">
        <v>0.96</v>
      </c>
      <c r="G151" t="b">
        <v>1</v>
      </c>
      <c r="H151">
        <f>Sensitivity!H7</f>
        <v/>
      </c>
    </row>
    <row r="152">
      <c r="A152" t="inlineStr">
        <is>
          <t>ALL</t>
        </is>
      </c>
      <c r="B152" t="inlineStr">
        <is>
          <t>epic</t>
        </is>
      </c>
      <c r="C152" t="n">
        <v>2</v>
      </c>
      <c r="D152" t="inlineStr">
        <is>
          <t>Min Damage Multiplier %</t>
        </is>
      </c>
      <c r="E152" t="n">
        <v>6</v>
      </c>
      <c r="F152" t="n">
        <v>3.04</v>
      </c>
      <c r="G152" t="b">
        <v>0</v>
      </c>
      <c r="H152">
        <f>Sensitivity!H12</f>
        <v/>
      </c>
    </row>
    <row r="153">
      <c r="A153" t="inlineStr">
        <is>
          <t>ALL</t>
        </is>
      </c>
      <c r="B153" t="inlineStr">
        <is>
          <t>epic</t>
        </is>
      </c>
      <c r="C153" t="n">
        <v>2</v>
      </c>
      <c r="D153" t="inlineStr">
        <is>
          <t>Min Damage Multiplier %</t>
        </is>
      </c>
      <c r="E153" t="n">
        <v>8</v>
      </c>
      <c r="F153" t="n">
        <v>0.96</v>
      </c>
      <c r="G153" t="b">
        <v>1</v>
      </c>
      <c r="H153">
        <f>Sensitivity!H12</f>
        <v/>
      </c>
    </row>
    <row r="154">
      <c r="A154" t="inlineStr">
        <is>
          <t>ALL</t>
        </is>
      </c>
      <c r="B154" t="inlineStr">
        <is>
          <t>epic</t>
        </is>
      </c>
      <c r="C154" t="n">
        <v>2</v>
      </c>
      <c r="D154" t="inlineStr">
        <is>
          <t>Max Damage Multiplier %</t>
        </is>
      </c>
      <c r="E154" t="n">
        <v>6</v>
      </c>
      <c r="F154" t="n">
        <v>3.04</v>
      </c>
      <c r="G154" t="b">
        <v>0</v>
      </c>
      <c r="H154">
        <f>Sensitivity!H13</f>
        <v/>
      </c>
    </row>
    <row r="155">
      <c r="A155" t="inlineStr">
        <is>
          <t>ALL</t>
        </is>
      </c>
      <c r="B155" t="inlineStr">
        <is>
          <t>epic</t>
        </is>
      </c>
      <c r="C155" t="n">
        <v>2</v>
      </c>
      <c r="D155" t="inlineStr">
        <is>
          <t>Max Damage Multiplier %</t>
        </is>
      </c>
      <c r="E155" t="n">
        <v>8</v>
      </c>
      <c r="F155" t="n">
        <v>0.96</v>
      </c>
      <c r="G155" t="b">
        <v>1</v>
      </c>
      <c r="H155">
        <f>Sensitivity!H13</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f>Sensitivity!H6</f>
        <v/>
      </c>
    </row>
    <row r="161">
      <c r="A161" t="inlineStr">
        <is>
          <t>ALL</t>
        </is>
      </c>
      <c r="B161" t="inlineStr">
        <is>
          <t>epic</t>
        </is>
      </c>
      <c r="C161" t="n">
        <v>2</v>
      </c>
      <c r="D161" t="inlineStr">
        <is>
          <t>Int %</t>
        </is>
      </c>
      <c r="E161" t="n">
        <v>6</v>
      </c>
      <c r="F161" t="n">
        <v>1.08</v>
      </c>
      <c r="G161" t="b">
        <v>1</v>
      </c>
      <c r="H161">
        <f>Sensitivity!H6</f>
        <v/>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f>Sensitivity!H5</f>
        <v/>
      </c>
    </row>
    <row r="175">
      <c r="A175" t="inlineStr">
        <is>
          <t>ALL</t>
        </is>
      </c>
      <c r="B175" t="inlineStr">
        <is>
          <t>epic</t>
        </is>
      </c>
      <c r="C175" t="n">
        <v>2</v>
      </c>
      <c r="D175" t="inlineStr">
        <is>
          <t>Int</t>
        </is>
      </c>
      <c r="E175" t="n">
        <v>200</v>
      </c>
      <c r="F175" t="n">
        <v>2.22</v>
      </c>
      <c r="G175" t="b">
        <v>1</v>
      </c>
      <c r="H175">
        <f>Sensitivity!H5</f>
        <v/>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IF(AND(Inputs!$B$9+Artifacts!$B$32&gt;=100,NOT(ArtifactsInput!$M$42),NOT(ArtifactsInput!$M$24)),Sensitivity!H15,Sensitivity!H14)</f>
        <v/>
      </c>
    </row>
    <row r="179">
      <c r="A179" t="inlineStr">
        <is>
          <t>ALL</t>
        </is>
      </c>
      <c r="B179" t="inlineStr">
        <is>
          <t>epic</t>
        </is>
      </c>
      <c r="C179" t="n">
        <v>3</v>
      </c>
      <c r="D179" t="inlineStr">
        <is>
          <t>Critical Rate %</t>
        </is>
      </c>
      <c r="E179" t="n">
        <v>6</v>
      </c>
      <c r="F179" t="n">
        <v>0.2</v>
      </c>
      <c r="G179" t="b">
        <v>1</v>
      </c>
      <c r="H179">
        <f>IF(AND(Inputs!$B$9+Artifacts!$B$32&gt;=100,NOT(ArtifactsInput!$M$42),NOT(ArtifactsInput!$M$24)),Sensitivity!H15,Sensitivity!H14)</f>
        <v/>
      </c>
    </row>
    <row r="180">
      <c r="A180" t="inlineStr">
        <is>
          <t>ALL</t>
        </is>
      </c>
      <c r="B180" t="inlineStr">
        <is>
          <t>epic</t>
        </is>
      </c>
      <c r="C180" t="n">
        <v>3</v>
      </c>
      <c r="D180" t="inlineStr">
        <is>
          <t>Attack Speed %</t>
        </is>
      </c>
      <c r="E180" t="n">
        <v>3.5</v>
      </c>
      <c r="F180" t="n">
        <v>2.3</v>
      </c>
      <c r="G180" t="b">
        <v>0</v>
      </c>
      <c r="H180">
        <f>Sensitivity!H16</f>
        <v/>
      </c>
    </row>
    <row r="181">
      <c r="A181" t="inlineStr">
        <is>
          <t>ALL</t>
        </is>
      </c>
      <c r="B181" t="inlineStr">
        <is>
          <t>epic</t>
        </is>
      </c>
      <c r="C181" t="n">
        <v>3</v>
      </c>
      <c r="D181" t="inlineStr">
        <is>
          <t>Attack Speed %</t>
        </is>
      </c>
      <c r="E181" t="n">
        <v>4</v>
      </c>
      <c r="F181" t="n">
        <v>0.2</v>
      </c>
      <c r="G181" t="b">
        <v>1</v>
      </c>
      <c r="H181">
        <f>Sensitivity!H16</f>
        <v/>
      </c>
    </row>
    <row r="182">
      <c r="A182" t="inlineStr">
        <is>
          <t>ALL</t>
        </is>
      </c>
      <c r="B182" t="inlineStr">
        <is>
          <t>epic</t>
        </is>
      </c>
      <c r="C182" t="n">
        <v>3</v>
      </c>
      <c r="D182" t="inlineStr">
        <is>
          <t>Damage %</t>
        </is>
      </c>
      <c r="E182" t="n">
        <v>8</v>
      </c>
      <c r="F182" t="n">
        <v>3.68</v>
      </c>
      <c r="G182" t="b">
        <v>0</v>
      </c>
      <c r="H182">
        <f>Sensitivity!H7</f>
        <v/>
      </c>
    </row>
    <row r="183">
      <c r="A183" t="inlineStr">
        <is>
          <t>ALL</t>
        </is>
      </c>
      <c r="B183" t="inlineStr">
        <is>
          <t>epic</t>
        </is>
      </c>
      <c r="C183" t="n">
        <v>3</v>
      </c>
      <c r="D183" t="inlineStr">
        <is>
          <t>Damage %</t>
        </is>
      </c>
      <c r="E183" t="n">
        <v>12</v>
      </c>
      <c r="F183" t="n">
        <v>0.32</v>
      </c>
      <c r="G183" t="b">
        <v>1</v>
      </c>
      <c r="H183">
        <f>Sensitivity!H7</f>
        <v/>
      </c>
    </row>
    <row r="184">
      <c r="A184" t="inlineStr">
        <is>
          <t>ALL</t>
        </is>
      </c>
      <c r="B184" t="inlineStr">
        <is>
          <t>epic</t>
        </is>
      </c>
      <c r="C184" t="n">
        <v>3</v>
      </c>
      <c r="D184" t="inlineStr">
        <is>
          <t>Min Damage Multiplier %</t>
        </is>
      </c>
      <c r="E184" t="n">
        <v>6</v>
      </c>
      <c r="F184" t="n">
        <v>3.68</v>
      </c>
      <c r="G184" t="b">
        <v>0</v>
      </c>
      <c r="H184">
        <f>Sensitivity!H12</f>
        <v/>
      </c>
    </row>
    <row r="185">
      <c r="A185" t="inlineStr">
        <is>
          <t>ALL</t>
        </is>
      </c>
      <c r="B185" t="inlineStr">
        <is>
          <t>epic</t>
        </is>
      </c>
      <c r="C185" t="n">
        <v>3</v>
      </c>
      <c r="D185" t="inlineStr">
        <is>
          <t>Min Damage Multiplier %</t>
        </is>
      </c>
      <c r="E185" t="n">
        <v>8</v>
      </c>
      <c r="F185" t="n">
        <v>0.32</v>
      </c>
      <c r="G185" t="b">
        <v>1</v>
      </c>
      <c r="H185">
        <f>Sensitivity!H12</f>
        <v/>
      </c>
    </row>
    <row r="186">
      <c r="A186" t="inlineStr">
        <is>
          <t>ALL</t>
        </is>
      </c>
      <c r="B186" t="inlineStr">
        <is>
          <t>epic</t>
        </is>
      </c>
      <c r="C186" t="n">
        <v>3</v>
      </c>
      <c r="D186" t="inlineStr">
        <is>
          <t>Max Damage Multiplier %</t>
        </is>
      </c>
      <c r="E186" t="n">
        <v>6</v>
      </c>
      <c r="F186" t="n">
        <v>3.68</v>
      </c>
      <c r="G186" t="b">
        <v>0</v>
      </c>
      <c r="H186">
        <f>Sensitivity!H13</f>
        <v/>
      </c>
    </row>
    <row r="187">
      <c r="A187" t="inlineStr">
        <is>
          <t>ALL</t>
        </is>
      </c>
      <c r="B187" t="inlineStr">
        <is>
          <t>epic</t>
        </is>
      </c>
      <c r="C187" t="n">
        <v>3</v>
      </c>
      <c r="D187" t="inlineStr">
        <is>
          <t>Max Damage Multiplier %</t>
        </is>
      </c>
      <c r="E187" t="n">
        <v>8</v>
      </c>
      <c r="F187" t="n">
        <v>0.32</v>
      </c>
      <c r="G187" t="b">
        <v>1</v>
      </c>
      <c r="H187">
        <f>Sensitivity!H13</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f>Sensitivity!H6</f>
        <v/>
      </c>
    </row>
    <row r="193">
      <c r="A193" t="inlineStr">
        <is>
          <t>ALL</t>
        </is>
      </c>
      <c r="B193" t="inlineStr">
        <is>
          <t>epic</t>
        </is>
      </c>
      <c r="C193" t="n">
        <v>3</v>
      </c>
      <c r="D193" t="inlineStr">
        <is>
          <t>Int %</t>
        </is>
      </c>
      <c r="E193" t="n">
        <v>6</v>
      </c>
      <c r="F193" t="n">
        <v>0.36</v>
      </c>
      <c r="G193" t="b">
        <v>1</v>
      </c>
      <c r="H193">
        <f>Sensitivity!H6</f>
        <v/>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f>Sensitivity!H5</f>
        <v/>
      </c>
    </row>
    <row r="207">
      <c r="A207" t="inlineStr">
        <is>
          <t>ALL</t>
        </is>
      </c>
      <c r="B207" t="inlineStr">
        <is>
          <t>epic</t>
        </is>
      </c>
      <c r="C207" t="n">
        <v>3</v>
      </c>
      <c r="D207" t="inlineStr">
        <is>
          <t>Int</t>
        </is>
      </c>
      <c r="E207" t="n">
        <v>200</v>
      </c>
      <c r="F207" t="n">
        <v>0.74</v>
      </c>
      <c r="G207" t="b">
        <v>1</v>
      </c>
      <c r="H207">
        <f>Sensitivity!H5</f>
        <v/>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IF(AND(Inputs!$B$9+Artifacts!$B$32&gt;=100,NOT(ArtifactsInput!$M$42),NOT(ArtifactsInput!$M$24)),Sensitivity!H15,Sensitivity!H14)</f>
        <v/>
      </c>
    </row>
    <row r="211">
      <c r="A211" t="inlineStr">
        <is>
          <t>ALL</t>
        </is>
      </c>
      <c r="B211" t="inlineStr">
        <is>
          <t>unique</t>
        </is>
      </c>
      <c r="C211" t="n">
        <v>1</v>
      </c>
      <c r="D211" t="inlineStr">
        <is>
          <t>Attack Speed %</t>
        </is>
      </c>
      <c r="E211" t="n">
        <v>5</v>
      </c>
      <c r="F211" t="n">
        <v>2.5</v>
      </c>
      <c r="G211" t="b">
        <v>1</v>
      </c>
      <c r="H211">
        <f>Sensitivity!H16</f>
        <v/>
      </c>
    </row>
    <row r="212">
      <c r="A212" t="inlineStr">
        <is>
          <t>ALL</t>
        </is>
      </c>
      <c r="B212" t="inlineStr">
        <is>
          <t>unique</t>
        </is>
      </c>
      <c r="C212" t="n">
        <v>1</v>
      </c>
      <c r="D212" t="inlineStr">
        <is>
          <t>Damage %</t>
        </is>
      </c>
      <c r="E212" t="n">
        <v>18</v>
      </c>
      <c r="F212" t="n">
        <v>4</v>
      </c>
      <c r="G212" t="b">
        <v>1</v>
      </c>
      <c r="H212">
        <f>Sensitivity!H7</f>
        <v/>
      </c>
    </row>
    <row r="213">
      <c r="A213" t="inlineStr">
        <is>
          <t>ALL</t>
        </is>
      </c>
      <c r="B213" t="inlineStr">
        <is>
          <t>unique</t>
        </is>
      </c>
      <c r="C213" t="n">
        <v>1</v>
      </c>
      <c r="D213" t="inlineStr">
        <is>
          <t>Min Damage Multiplier %</t>
        </is>
      </c>
      <c r="E213" t="n">
        <v>10</v>
      </c>
      <c r="F213" t="n">
        <v>4</v>
      </c>
      <c r="G213" t="b">
        <v>1</v>
      </c>
      <c r="H213">
        <f>Sensitivity!H12</f>
        <v/>
      </c>
    </row>
    <row r="214">
      <c r="A214" t="inlineStr">
        <is>
          <t>ALL</t>
        </is>
      </c>
      <c r="B214" t="inlineStr">
        <is>
          <t>unique</t>
        </is>
      </c>
      <c r="C214" t="n">
        <v>1</v>
      </c>
      <c r="D214" t="inlineStr">
        <is>
          <t>Max Damage Multiplier %</t>
        </is>
      </c>
      <c r="E214" t="n">
        <v>10</v>
      </c>
      <c r="F214" t="n">
        <v>4</v>
      </c>
      <c r="G214" t="b">
        <v>1</v>
      </c>
      <c r="H214">
        <f>Sensitivity!H13</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f>Sensitivity!H6</f>
        <v/>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f>Sensitivity!H5</f>
        <v/>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IF(AND(Inputs!$B$9+Artifacts!$B$32&gt;=100,NOT(ArtifactsInput!$M$42),NOT(ArtifactsInput!$M$24)),Sensitivity!H15,Sensitivity!H14)</f>
        <v/>
      </c>
    </row>
    <row r="227">
      <c r="A227" t="inlineStr">
        <is>
          <t>ALL</t>
        </is>
      </c>
      <c r="B227" t="inlineStr">
        <is>
          <t>unique</t>
        </is>
      </c>
      <c r="C227" t="n">
        <v>2</v>
      </c>
      <c r="D227" t="inlineStr">
        <is>
          <t>Critical Rate %</t>
        </is>
      </c>
      <c r="E227" t="n">
        <v>9</v>
      </c>
      <c r="F227" t="n">
        <v>0.6</v>
      </c>
      <c r="G227" t="b">
        <v>1</v>
      </c>
      <c r="H227">
        <f>IF(AND(Inputs!$B$9+Artifacts!$B$32&gt;=100,NOT(ArtifactsInput!$M$42),NOT(ArtifactsInput!$M$24)),Sensitivity!H15,Sensitivity!H14)</f>
        <v/>
      </c>
    </row>
    <row r="228">
      <c r="A228" t="inlineStr">
        <is>
          <t>ALL</t>
        </is>
      </c>
      <c r="B228" t="inlineStr">
        <is>
          <t>unique</t>
        </is>
      </c>
      <c r="C228" t="n">
        <v>2</v>
      </c>
      <c r="D228" t="inlineStr">
        <is>
          <t>Attack Speed %</t>
        </is>
      </c>
      <c r="E228" t="n">
        <v>4</v>
      </c>
      <c r="F228" t="n">
        <v>1.9</v>
      </c>
      <c r="G228" t="b">
        <v>0</v>
      </c>
      <c r="H228">
        <f>Sensitivity!H16</f>
        <v/>
      </c>
    </row>
    <row r="229">
      <c r="A229" t="inlineStr">
        <is>
          <t>ALL</t>
        </is>
      </c>
      <c r="B229" t="inlineStr">
        <is>
          <t>unique</t>
        </is>
      </c>
      <c r="C229" t="n">
        <v>2</v>
      </c>
      <c r="D229" t="inlineStr">
        <is>
          <t>Attack Speed %</t>
        </is>
      </c>
      <c r="E229" t="n">
        <v>5</v>
      </c>
      <c r="F229" t="n">
        <v>0.6</v>
      </c>
      <c r="G229" t="b">
        <v>1</v>
      </c>
      <c r="H229">
        <f>Sensitivity!H16</f>
        <v/>
      </c>
    </row>
    <row r="230">
      <c r="A230" t="inlineStr">
        <is>
          <t>ALL</t>
        </is>
      </c>
      <c r="B230" t="inlineStr">
        <is>
          <t>unique</t>
        </is>
      </c>
      <c r="C230" t="n">
        <v>2</v>
      </c>
      <c r="D230" t="inlineStr">
        <is>
          <t>Damage %</t>
        </is>
      </c>
      <c r="E230" t="n">
        <v>12</v>
      </c>
      <c r="F230" t="n">
        <v>3.04</v>
      </c>
      <c r="G230" t="b">
        <v>0</v>
      </c>
      <c r="H230">
        <f>Sensitivity!H7</f>
        <v/>
      </c>
    </row>
    <row r="231">
      <c r="A231" t="inlineStr">
        <is>
          <t>ALL</t>
        </is>
      </c>
      <c r="B231" t="inlineStr">
        <is>
          <t>unique</t>
        </is>
      </c>
      <c r="C231" t="n">
        <v>2</v>
      </c>
      <c r="D231" t="inlineStr">
        <is>
          <t>Damage %</t>
        </is>
      </c>
      <c r="E231" t="n">
        <v>18</v>
      </c>
      <c r="F231" t="n">
        <v>0.96</v>
      </c>
      <c r="G231" t="b">
        <v>1</v>
      </c>
      <c r="H231">
        <f>Sensitivity!H7</f>
        <v/>
      </c>
    </row>
    <row r="232">
      <c r="A232" t="inlineStr">
        <is>
          <t>ALL</t>
        </is>
      </c>
      <c r="B232" t="inlineStr">
        <is>
          <t>unique</t>
        </is>
      </c>
      <c r="C232" t="n">
        <v>2</v>
      </c>
      <c r="D232" t="inlineStr">
        <is>
          <t>Min Damage Multiplier %</t>
        </is>
      </c>
      <c r="E232" t="n">
        <v>8</v>
      </c>
      <c r="F232" t="n">
        <v>3.04</v>
      </c>
      <c r="G232" t="b">
        <v>0</v>
      </c>
      <c r="H232">
        <f>Sensitivity!H12</f>
        <v/>
      </c>
    </row>
    <row r="233">
      <c r="A233" t="inlineStr">
        <is>
          <t>ALL</t>
        </is>
      </c>
      <c r="B233" t="inlineStr">
        <is>
          <t>unique</t>
        </is>
      </c>
      <c r="C233" t="n">
        <v>2</v>
      </c>
      <c r="D233" t="inlineStr">
        <is>
          <t>Min Damage Multiplier %</t>
        </is>
      </c>
      <c r="E233" t="n">
        <v>10</v>
      </c>
      <c r="F233" t="n">
        <v>0.96</v>
      </c>
      <c r="G233" t="b">
        <v>1</v>
      </c>
      <c r="H233">
        <f>Sensitivity!H12</f>
        <v/>
      </c>
    </row>
    <row r="234">
      <c r="A234" t="inlineStr">
        <is>
          <t>ALL</t>
        </is>
      </c>
      <c r="B234" t="inlineStr">
        <is>
          <t>unique</t>
        </is>
      </c>
      <c r="C234" t="n">
        <v>2</v>
      </c>
      <c r="D234" t="inlineStr">
        <is>
          <t>Max Damage Multiplier %</t>
        </is>
      </c>
      <c r="E234" t="n">
        <v>8</v>
      </c>
      <c r="F234" t="n">
        <v>3.04</v>
      </c>
      <c r="G234" t="b">
        <v>0</v>
      </c>
      <c r="H234">
        <f>Sensitivity!H13</f>
        <v/>
      </c>
    </row>
    <row r="235">
      <c r="A235" t="inlineStr">
        <is>
          <t>ALL</t>
        </is>
      </c>
      <c r="B235" t="inlineStr">
        <is>
          <t>unique</t>
        </is>
      </c>
      <c r="C235" t="n">
        <v>2</v>
      </c>
      <c r="D235" t="inlineStr">
        <is>
          <t>Max Damage Multiplier %</t>
        </is>
      </c>
      <c r="E235" t="n">
        <v>10</v>
      </c>
      <c r="F235" t="n">
        <v>0.96</v>
      </c>
      <c r="G235" t="b">
        <v>1</v>
      </c>
      <c r="H235">
        <f>Sensitivity!H13</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f>Sensitivity!H6</f>
        <v/>
      </c>
    </row>
    <row r="241">
      <c r="A241" t="inlineStr">
        <is>
          <t>ALL</t>
        </is>
      </c>
      <c r="B241" t="inlineStr">
        <is>
          <t>unique</t>
        </is>
      </c>
      <c r="C241" t="n">
        <v>2</v>
      </c>
      <c r="D241" t="inlineStr">
        <is>
          <t>Int %</t>
        </is>
      </c>
      <c r="E241" t="n">
        <v>9</v>
      </c>
      <c r="F241" t="n">
        <v>1.08</v>
      </c>
      <c r="G241" t="b">
        <v>1</v>
      </c>
      <c r="H241">
        <f>Sensitivity!H6</f>
        <v/>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f>Sensitivity!H5</f>
        <v/>
      </c>
    </row>
    <row r="255">
      <c r="A255" t="inlineStr">
        <is>
          <t>ALL</t>
        </is>
      </c>
      <c r="B255" t="inlineStr">
        <is>
          <t>unique</t>
        </is>
      </c>
      <c r="C255" t="n">
        <v>2</v>
      </c>
      <c r="D255" t="inlineStr">
        <is>
          <t>Int</t>
        </is>
      </c>
      <c r="E255" t="n">
        <v>400</v>
      </c>
      <c r="F255" t="n">
        <v>2.22</v>
      </c>
      <c r="G255" t="b">
        <v>1</v>
      </c>
      <c r="H255">
        <f>Sensitivity!H5</f>
        <v/>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IF(AND(Inputs!$B$9+Artifacts!$B$32&gt;=100,NOT(ArtifactsInput!$M$42),NOT(ArtifactsInput!$M$24)),Sensitivity!H15,Sensitivity!H14)</f>
        <v/>
      </c>
    </row>
    <row r="259">
      <c r="A259" t="inlineStr">
        <is>
          <t>ALL</t>
        </is>
      </c>
      <c r="B259" t="inlineStr">
        <is>
          <t>unique</t>
        </is>
      </c>
      <c r="C259" t="n">
        <v>3</v>
      </c>
      <c r="D259" t="inlineStr">
        <is>
          <t>Critical Rate %</t>
        </is>
      </c>
      <c r="E259" t="n">
        <v>9</v>
      </c>
      <c r="F259" t="n">
        <v>0.2</v>
      </c>
      <c r="G259" t="b">
        <v>1</v>
      </c>
      <c r="H259">
        <f>IF(AND(Inputs!$B$9+Artifacts!$B$32&gt;=100,NOT(ArtifactsInput!$M$42),NOT(ArtifactsInput!$M$24)),Sensitivity!H15,Sensitivity!H14)</f>
        <v/>
      </c>
    </row>
    <row r="260">
      <c r="A260" t="inlineStr">
        <is>
          <t>ALL</t>
        </is>
      </c>
      <c r="B260" t="inlineStr">
        <is>
          <t>unique</t>
        </is>
      </c>
      <c r="C260" t="n">
        <v>3</v>
      </c>
      <c r="D260" t="inlineStr">
        <is>
          <t>Attack Speed %</t>
        </is>
      </c>
      <c r="E260" t="n">
        <v>4</v>
      </c>
      <c r="F260" t="n">
        <v>2.3</v>
      </c>
      <c r="G260" t="b">
        <v>0</v>
      </c>
      <c r="H260">
        <f>Sensitivity!H16</f>
        <v/>
      </c>
    </row>
    <row r="261">
      <c r="A261" t="inlineStr">
        <is>
          <t>ALL</t>
        </is>
      </c>
      <c r="B261" t="inlineStr">
        <is>
          <t>unique</t>
        </is>
      </c>
      <c r="C261" t="n">
        <v>3</v>
      </c>
      <c r="D261" t="inlineStr">
        <is>
          <t>Attack Speed %</t>
        </is>
      </c>
      <c r="E261" t="n">
        <v>5</v>
      </c>
      <c r="F261" t="n">
        <v>0.2</v>
      </c>
      <c r="G261" t="b">
        <v>1</v>
      </c>
      <c r="H261">
        <f>Sensitivity!H16</f>
        <v/>
      </c>
    </row>
    <row r="262">
      <c r="A262" t="inlineStr">
        <is>
          <t>ALL</t>
        </is>
      </c>
      <c r="B262" t="inlineStr">
        <is>
          <t>unique</t>
        </is>
      </c>
      <c r="C262" t="n">
        <v>3</v>
      </c>
      <c r="D262" t="inlineStr">
        <is>
          <t>Damage %</t>
        </is>
      </c>
      <c r="E262" t="n">
        <v>12</v>
      </c>
      <c r="F262" t="n">
        <v>3.68</v>
      </c>
      <c r="G262" t="b">
        <v>0</v>
      </c>
      <c r="H262">
        <f>Sensitivity!H7</f>
        <v/>
      </c>
    </row>
    <row r="263">
      <c r="A263" t="inlineStr">
        <is>
          <t>ALL</t>
        </is>
      </c>
      <c r="B263" t="inlineStr">
        <is>
          <t>unique</t>
        </is>
      </c>
      <c r="C263" t="n">
        <v>3</v>
      </c>
      <c r="D263" t="inlineStr">
        <is>
          <t>Damage %</t>
        </is>
      </c>
      <c r="E263" t="n">
        <v>18</v>
      </c>
      <c r="F263" t="n">
        <v>0.32</v>
      </c>
      <c r="G263" t="b">
        <v>1</v>
      </c>
      <c r="H263">
        <f>Sensitivity!H7</f>
        <v/>
      </c>
    </row>
    <row r="264">
      <c r="A264" t="inlineStr">
        <is>
          <t>ALL</t>
        </is>
      </c>
      <c r="B264" t="inlineStr">
        <is>
          <t>unique</t>
        </is>
      </c>
      <c r="C264" t="n">
        <v>3</v>
      </c>
      <c r="D264" t="inlineStr">
        <is>
          <t>Min Damage Multiplier %</t>
        </is>
      </c>
      <c r="E264" t="n">
        <v>8</v>
      </c>
      <c r="F264" t="n">
        <v>3.68</v>
      </c>
      <c r="G264" t="b">
        <v>0</v>
      </c>
      <c r="H264">
        <f>Sensitivity!H12</f>
        <v/>
      </c>
    </row>
    <row r="265">
      <c r="A265" t="inlineStr">
        <is>
          <t>ALL</t>
        </is>
      </c>
      <c r="B265" t="inlineStr">
        <is>
          <t>unique</t>
        </is>
      </c>
      <c r="C265" t="n">
        <v>3</v>
      </c>
      <c r="D265" t="inlineStr">
        <is>
          <t>Min Damage Multiplier %</t>
        </is>
      </c>
      <c r="E265" t="n">
        <v>10</v>
      </c>
      <c r="F265" t="n">
        <v>0.32</v>
      </c>
      <c r="G265" t="b">
        <v>1</v>
      </c>
      <c r="H265">
        <f>Sensitivity!H12</f>
        <v/>
      </c>
    </row>
    <row r="266">
      <c r="A266" t="inlineStr">
        <is>
          <t>ALL</t>
        </is>
      </c>
      <c r="B266" t="inlineStr">
        <is>
          <t>unique</t>
        </is>
      </c>
      <c r="C266" t="n">
        <v>3</v>
      </c>
      <c r="D266" t="inlineStr">
        <is>
          <t>Max Damage Multiplier %</t>
        </is>
      </c>
      <c r="E266" t="n">
        <v>8</v>
      </c>
      <c r="F266" t="n">
        <v>3.68</v>
      </c>
      <c r="G266" t="b">
        <v>0</v>
      </c>
      <c r="H266">
        <f>Sensitivity!H13</f>
        <v/>
      </c>
    </row>
    <row r="267">
      <c r="A267" t="inlineStr">
        <is>
          <t>ALL</t>
        </is>
      </c>
      <c r="B267" t="inlineStr">
        <is>
          <t>unique</t>
        </is>
      </c>
      <c r="C267" t="n">
        <v>3</v>
      </c>
      <c r="D267" t="inlineStr">
        <is>
          <t>Max Damage Multiplier %</t>
        </is>
      </c>
      <c r="E267" t="n">
        <v>10</v>
      </c>
      <c r="F267" t="n">
        <v>0.32</v>
      </c>
      <c r="G267" t="b">
        <v>1</v>
      </c>
      <c r="H267">
        <f>Sensitivity!H13</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f>Sensitivity!H6</f>
        <v/>
      </c>
    </row>
    <row r="273">
      <c r="A273" t="inlineStr">
        <is>
          <t>ALL</t>
        </is>
      </c>
      <c r="B273" t="inlineStr">
        <is>
          <t>unique</t>
        </is>
      </c>
      <c r="C273" t="n">
        <v>3</v>
      </c>
      <c r="D273" t="inlineStr">
        <is>
          <t>Int %</t>
        </is>
      </c>
      <c r="E273" t="n">
        <v>9</v>
      </c>
      <c r="F273" t="n">
        <v>0.36</v>
      </c>
      <c r="G273" t="b">
        <v>1</v>
      </c>
      <c r="H273">
        <f>Sensitivity!H6</f>
        <v/>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f>Sensitivity!H5</f>
        <v/>
      </c>
    </row>
    <row r="287">
      <c r="A287" t="inlineStr">
        <is>
          <t>ALL</t>
        </is>
      </c>
      <c r="B287" t="inlineStr">
        <is>
          <t>unique</t>
        </is>
      </c>
      <c r="C287" t="n">
        <v>3</v>
      </c>
      <c r="D287" t="inlineStr">
        <is>
          <t>Int</t>
        </is>
      </c>
      <c r="E287" t="n">
        <v>400</v>
      </c>
      <c r="F287" t="n">
        <v>0.74</v>
      </c>
      <c r="G287" t="b">
        <v>1</v>
      </c>
      <c r="H287">
        <f>Sensitivity!H5</f>
        <v/>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IF(AND(Inputs!$B$9+Artifacts!$B$32&gt;=100,NOT(ArtifactsInput!$M$42),NOT(ArtifactsInput!$M$24)),Sensitivity!H15,Sensitivity!H14)</f>
        <v/>
      </c>
    </row>
    <row r="291">
      <c r="A291" t="inlineStr">
        <is>
          <t>ALL</t>
        </is>
      </c>
      <c r="B291" t="inlineStr">
        <is>
          <t>legendary</t>
        </is>
      </c>
      <c r="C291" t="n">
        <v>1</v>
      </c>
      <c r="D291" t="inlineStr">
        <is>
          <t>Attack Speed %</t>
        </is>
      </c>
      <c r="E291" t="n">
        <v>7</v>
      </c>
      <c r="F291" t="n">
        <v>2.5</v>
      </c>
      <c r="G291" t="b">
        <v>0</v>
      </c>
      <c r="H291">
        <f>Sensitivity!H16</f>
        <v/>
      </c>
    </row>
    <row r="292">
      <c r="A292" t="inlineStr">
        <is>
          <t>ALL</t>
        </is>
      </c>
      <c r="B292" t="inlineStr">
        <is>
          <t>legendary</t>
        </is>
      </c>
      <c r="C292" t="n">
        <v>1</v>
      </c>
      <c r="D292" t="inlineStr">
        <is>
          <t>Damage %</t>
        </is>
      </c>
      <c r="E292" t="n">
        <v>25</v>
      </c>
      <c r="F292" t="n">
        <v>4</v>
      </c>
      <c r="G292" t="b">
        <v>0</v>
      </c>
      <c r="H292">
        <f>Sensitivity!H7</f>
        <v/>
      </c>
    </row>
    <row r="293">
      <c r="A293" t="inlineStr">
        <is>
          <t>ALL</t>
        </is>
      </c>
      <c r="B293" t="inlineStr">
        <is>
          <t>legendary</t>
        </is>
      </c>
      <c r="C293" t="n">
        <v>1</v>
      </c>
      <c r="D293" t="inlineStr">
        <is>
          <t>Min Damage Multiplier %</t>
        </is>
      </c>
      <c r="E293" t="n">
        <v>15</v>
      </c>
      <c r="F293" t="n">
        <v>4</v>
      </c>
      <c r="G293" t="b">
        <v>0</v>
      </c>
      <c r="H293">
        <f>Sensitivity!H12</f>
        <v/>
      </c>
    </row>
    <row r="294">
      <c r="A294" t="inlineStr">
        <is>
          <t>ALL</t>
        </is>
      </c>
      <c r="B294" t="inlineStr">
        <is>
          <t>legendary</t>
        </is>
      </c>
      <c r="C294" t="n">
        <v>1</v>
      </c>
      <c r="D294" t="inlineStr">
        <is>
          <t>Max Damage Multiplier %</t>
        </is>
      </c>
      <c r="E294" t="n">
        <v>15</v>
      </c>
      <c r="F294" t="n">
        <v>4</v>
      </c>
      <c r="G294" t="b">
        <v>0</v>
      </c>
      <c r="H294">
        <f>Sensitivity!H13</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f>Sensitivity!H6</f>
        <v/>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f>Sensitivity!H5</f>
        <v/>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IF(AND(Inputs!$B$9+Artifacts!$B$32&gt;=100,NOT(ArtifactsInput!$M$42),NOT(ArtifactsInput!$M$24)),Sensitivity!H15,Sensitivity!H14)</f>
        <v/>
      </c>
    </row>
    <row r="307">
      <c r="A307" t="inlineStr">
        <is>
          <t>ALL</t>
        </is>
      </c>
      <c r="B307" t="inlineStr">
        <is>
          <t>legendary</t>
        </is>
      </c>
      <c r="C307" t="n">
        <v>2</v>
      </c>
      <c r="D307" t="inlineStr">
        <is>
          <t>Critical Rate %</t>
        </is>
      </c>
      <c r="E307" t="n">
        <v>12</v>
      </c>
      <c r="F307" t="n">
        <v>0.6</v>
      </c>
      <c r="G307" t="b">
        <v>1</v>
      </c>
      <c r="H307">
        <f>IF(AND(Inputs!$B$9+Artifacts!$B$32&gt;=100,NOT(ArtifactsInput!$M$42),NOT(ArtifactsInput!$M$24)),Sensitivity!H15,Sensitivity!H14)</f>
        <v/>
      </c>
    </row>
    <row r="308">
      <c r="A308" t="inlineStr">
        <is>
          <t>ALL</t>
        </is>
      </c>
      <c r="B308" t="inlineStr">
        <is>
          <t>legendary</t>
        </is>
      </c>
      <c r="C308" t="n">
        <v>2</v>
      </c>
      <c r="D308" t="inlineStr">
        <is>
          <t>Attack Speed %</t>
        </is>
      </c>
      <c r="E308" t="n">
        <v>5</v>
      </c>
      <c r="F308" t="n">
        <v>1.9</v>
      </c>
      <c r="G308" t="b">
        <v>0</v>
      </c>
      <c r="H308">
        <f>Sensitivity!H16</f>
        <v/>
      </c>
    </row>
    <row r="309">
      <c r="A309" t="inlineStr">
        <is>
          <t>ALL</t>
        </is>
      </c>
      <c r="B309" t="inlineStr">
        <is>
          <t>legendary</t>
        </is>
      </c>
      <c r="C309" t="n">
        <v>2</v>
      </c>
      <c r="D309" t="inlineStr">
        <is>
          <t>Attack Speed %</t>
        </is>
      </c>
      <c r="E309" t="n">
        <v>7</v>
      </c>
      <c r="F309" t="n">
        <v>0.6</v>
      </c>
      <c r="G309" t="b">
        <v>1</v>
      </c>
      <c r="H309">
        <f>Sensitivity!H16</f>
        <v/>
      </c>
    </row>
    <row r="310">
      <c r="A310" t="inlineStr">
        <is>
          <t>ALL</t>
        </is>
      </c>
      <c r="B310" t="inlineStr">
        <is>
          <t>legendary</t>
        </is>
      </c>
      <c r="C310" t="n">
        <v>2</v>
      </c>
      <c r="D310" t="inlineStr">
        <is>
          <t>Damage %</t>
        </is>
      </c>
      <c r="E310" t="n">
        <v>18</v>
      </c>
      <c r="F310" t="n">
        <v>3.04</v>
      </c>
      <c r="G310" t="b">
        <v>0</v>
      </c>
      <c r="H310">
        <f>Sensitivity!H7</f>
        <v/>
      </c>
    </row>
    <row r="311">
      <c r="A311" t="inlineStr">
        <is>
          <t>ALL</t>
        </is>
      </c>
      <c r="B311" t="inlineStr">
        <is>
          <t>legendary</t>
        </is>
      </c>
      <c r="C311" t="n">
        <v>2</v>
      </c>
      <c r="D311" t="inlineStr">
        <is>
          <t>Damage %</t>
        </is>
      </c>
      <c r="E311" t="n">
        <v>25</v>
      </c>
      <c r="F311" t="n">
        <v>0.96</v>
      </c>
      <c r="G311" t="b">
        <v>1</v>
      </c>
      <c r="H311">
        <f>Sensitivity!H7</f>
        <v/>
      </c>
    </row>
    <row r="312">
      <c r="A312" t="inlineStr">
        <is>
          <t>ALL</t>
        </is>
      </c>
      <c r="B312" t="inlineStr">
        <is>
          <t>legendary</t>
        </is>
      </c>
      <c r="C312" t="n">
        <v>2</v>
      </c>
      <c r="D312" t="inlineStr">
        <is>
          <t>Min Damage Multiplier %</t>
        </is>
      </c>
      <c r="E312" t="n">
        <v>10</v>
      </c>
      <c r="F312" t="n">
        <v>3.04</v>
      </c>
      <c r="G312" t="b">
        <v>0</v>
      </c>
      <c r="H312">
        <f>Sensitivity!H12</f>
        <v/>
      </c>
    </row>
    <row r="313">
      <c r="A313" t="inlineStr">
        <is>
          <t>ALL</t>
        </is>
      </c>
      <c r="B313" t="inlineStr">
        <is>
          <t>legendary</t>
        </is>
      </c>
      <c r="C313" t="n">
        <v>2</v>
      </c>
      <c r="D313" t="inlineStr">
        <is>
          <t>Min Damage Multiplier %</t>
        </is>
      </c>
      <c r="E313" t="n">
        <v>15</v>
      </c>
      <c r="F313" t="n">
        <v>0.96</v>
      </c>
      <c r="G313" t="b">
        <v>1</v>
      </c>
      <c r="H313">
        <f>Sensitivity!H12</f>
        <v/>
      </c>
    </row>
    <row r="314">
      <c r="A314" t="inlineStr">
        <is>
          <t>ALL</t>
        </is>
      </c>
      <c r="B314" t="inlineStr">
        <is>
          <t>legendary</t>
        </is>
      </c>
      <c r="C314" t="n">
        <v>2</v>
      </c>
      <c r="D314" t="inlineStr">
        <is>
          <t>Max Damage Multiplier %</t>
        </is>
      </c>
      <c r="E314" t="n">
        <v>10</v>
      </c>
      <c r="F314" t="n">
        <v>3.04</v>
      </c>
      <c r="G314" t="b">
        <v>0</v>
      </c>
      <c r="H314">
        <f>Sensitivity!H13</f>
        <v/>
      </c>
    </row>
    <row r="315">
      <c r="A315" t="inlineStr">
        <is>
          <t>ALL</t>
        </is>
      </c>
      <c r="B315" t="inlineStr">
        <is>
          <t>legendary</t>
        </is>
      </c>
      <c r="C315" t="n">
        <v>2</v>
      </c>
      <c r="D315" t="inlineStr">
        <is>
          <t>Max Damage Multiplier %</t>
        </is>
      </c>
      <c r="E315" t="n">
        <v>15</v>
      </c>
      <c r="F315" t="n">
        <v>0.96</v>
      </c>
      <c r="G315" t="b">
        <v>1</v>
      </c>
      <c r="H315">
        <f>Sensitivity!H13</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f>Sensitivity!H6</f>
        <v/>
      </c>
    </row>
    <row r="321">
      <c r="A321" t="inlineStr">
        <is>
          <t>ALL</t>
        </is>
      </c>
      <c r="B321" t="inlineStr">
        <is>
          <t>legendary</t>
        </is>
      </c>
      <c r="C321" t="n">
        <v>2</v>
      </c>
      <c r="D321" t="inlineStr">
        <is>
          <t>Int %</t>
        </is>
      </c>
      <c r="E321" t="n">
        <v>12</v>
      </c>
      <c r="F321" t="n">
        <v>1.08</v>
      </c>
      <c r="G321" t="b">
        <v>1</v>
      </c>
      <c r="H321">
        <f>Sensitivity!H6</f>
        <v/>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f>Sensitivity!H5</f>
        <v/>
      </c>
    </row>
    <row r="335">
      <c r="A335" t="inlineStr">
        <is>
          <t>ALL</t>
        </is>
      </c>
      <c r="B335" t="inlineStr">
        <is>
          <t>legendary</t>
        </is>
      </c>
      <c r="C335" t="n">
        <v>2</v>
      </c>
      <c r="D335" t="inlineStr">
        <is>
          <t>Int</t>
        </is>
      </c>
      <c r="E335" t="n">
        <v>600</v>
      </c>
      <c r="F335" t="n">
        <v>2.22</v>
      </c>
      <c r="G335" t="b">
        <v>1</v>
      </c>
      <c r="H335">
        <f>Sensitivity!H5</f>
        <v/>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IF(AND(Inputs!$B$9+Artifacts!$B$32&gt;=100,NOT(ArtifactsInput!$M$42),NOT(ArtifactsInput!$M$24)),Sensitivity!H15,Sensitivity!H14)</f>
        <v/>
      </c>
    </row>
    <row r="339">
      <c r="A339" t="inlineStr">
        <is>
          <t>ALL</t>
        </is>
      </c>
      <c r="B339" t="inlineStr">
        <is>
          <t>legendary</t>
        </is>
      </c>
      <c r="C339" t="n">
        <v>3</v>
      </c>
      <c r="D339" t="inlineStr">
        <is>
          <t>Critical Rate %</t>
        </is>
      </c>
      <c r="E339" t="n">
        <v>12</v>
      </c>
      <c r="F339" t="n">
        <v>0.2</v>
      </c>
      <c r="G339" t="b">
        <v>1</v>
      </c>
      <c r="H339">
        <f>IF(AND(Inputs!$B$9+Artifacts!$B$32&gt;=100,NOT(ArtifactsInput!$M$42),NOT(ArtifactsInput!$M$24)),Sensitivity!H15,Sensitivity!H14)</f>
        <v/>
      </c>
    </row>
    <row r="340">
      <c r="A340" t="inlineStr">
        <is>
          <t>ALL</t>
        </is>
      </c>
      <c r="B340" t="inlineStr">
        <is>
          <t>legendary</t>
        </is>
      </c>
      <c r="C340" t="n">
        <v>3</v>
      </c>
      <c r="D340" t="inlineStr">
        <is>
          <t>Attack Speed %</t>
        </is>
      </c>
      <c r="E340" t="n">
        <v>5</v>
      </c>
      <c r="F340" t="n">
        <v>2.3</v>
      </c>
      <c r="G340" t="b">
        <v>0</v>
      </c>
      <c r="H340">
        <f>Sensitivity!H16</f>
        <v/>
      </c>
    </row>
    <row r="341">
      <c r="A341" t="inlineStr">
        <is>
          <t>ALL</t>
        </is>
      </c>
      <c r="B341" t="inlineStr">
        <is>
          <t>legendary</t>
        </is>
      </c>
      <c r="C341" t="n">
        <v>3</v>
      </c>
      <c r="D341" t="inlineStr">
        <is>
          <t>Attack Speed %</t>
        </is>
      </c>
      <c r="E341" t="n">
        <v>7</v>
      </c>
      <c r="F341" t="n">
        <v>0.2</v>
      </c>
      <c r="G341" t="b">
        <v>1</v>
      </c>
      <c r="H341">
        <f>Sensitivity!H16</f>
        <v/>
      </c>
    </row>
    <row r="342">
      <c r="A342" t="inlineStr">
        <is>
          <t>ALL</t>
        </is>
      </c>
      <c r="B342" t="inlineStr">
        <is>
          <t>legendary</t>
        </is>
      </c>
      <c r="C342" t="n">
        <v>3</v>
      </c>
      <c r="D342" t="inlineStr">
        <is>
          <t>Damage %</t>
        </is>
      </c>
      <c r="E342" t="n">
        <v>18</v>
      </c>
      <c r="F342" t="n">
        <v>3.68</v>
      </c>
      <c r="G342" t="b">
        <v>0</v>
      </c>
      <c r="H342">
        <f>Sensitivity!H7</f>
        <v/>
      </c>
    </row>
    <row r="343">
      <c r="A343" t="inlineStr">
        <is>
          <t>ALL</t>
        </is>
      </c>
      <c r="B343" t="inlineStr">
        <is>
          <t>legendary</t>
        </is>
      </c>
      <c r="C343" t="n">
        <v>3</v>
      </c>
      <c r="D343" t="inlineStr">
        <is>
          <t>Damage %</t>
        </is>
      </c>
      <c r="E343" t="n">
        <v>25</v>
      </c>
      <c r="F343" t="n">
        <v>0.32</v>
      </c>
      <c r="G343" t="b">
        <v>1</v>
      </c>
      <c r="H343">
        <f>Sensitivity!H7</f>
        <v/>
      </c>
    </row>
    <row r="344">
      <c r="A344" t="inlineStr">
        <is>
          <t>ALL</t>
        </is>
      </c>
      <c r="B344" t="inlineStr">
        <is>
          <t>legendary</t>
        </is>
      </c>
      <c r="C344" t="n">
        <v>3</v>
      </c>
      <c r="D344" t="inlineStr">
        <is>
          <t>Min Damage Multiplier %</t>
        </is>
      </c>
      <c r="E344" t="n">
        <v>10</v>
      </c>
      <c r="F344" t="n">
        <v>3.68</v>
      </c>
      <c r="G344" t="b">
        <v>0</v>
      </c>
      <c r="H344">
        <f>Sensitivity!H12</f>
        <v/>
      </c>
    </row>
    <row r="345">
      <c r="A345" t="inlineStr">
        <is>
          <t>ALL</t>
        </is>
      </c>
      <c r="B345" t="inlineStr">
        <is>
          <t>legendary</t>
        </is>
      </c>
      <c r="C345" t="n">
        <v>3</v>
      </c>
      <c r="D345" t="inlineStr">
        <is>
          <t>Min Damage Multiplier %</t>
        </is>
      </c>
      <c r="E345" t="n">
        <v>15</v>
      </c>
      <c r="F345" t="n">
        <v>0.32</v>
      </c>
      <c r="G345" t="b">
        <v>1</v>
      </c>
      <c r="H345">
        <f>Sensitivity!H12</f>
        <v/>
      </c>
    </row>
    <row r="346">
      <c r="A346" t="inlineStr">
        <is>
          <t>ALL</t>
        </is>
      </c>
      <c r="B346" t="inlineStr">
        <is>
          <t>legendary</t>
        </is>
      </c>
      <c r="C346" t="n">
        <v>3</v>
      </c>
      <c r="D346" t="inlineStr">
        <is>
          <t>Max Damage Multiplier %</t>
        </is>
      </c>
      <c r="E346" t="n">
        <v>10</v>
      </c>
      <c r="F346" t="n">
        <v>3.68</v>
      </c>
      <c r="G346" t="b">
        <v>0</v>
      </c>
      <c r="H346">
        <f>Sensitivity!H13</f>
        <v/>
      </c>
    </row>
    <row r="347">
      <c r="A347" t="inlineStr">
        <is>
          <t>ALL</t>
        </is>
      </c>
      <c r="B347" t="inlineStr">
        <is>
          <t>legendary</t>
        </is>
      </c>
      <c r="C347" t="n">
        <v>3</v>
      </c>
      <c r="D347" t="inlineStr">
        <is>
          <t>Max Damage Multiplier %</t>
        </is>
      </c>
      <c r="E347" t="n">
        <v>15</v>
      </c>
      <c r="F347" t="n">
        <v>0.32</v>
      </c>
      <c r="G347" t="b">
        <v>1</v>
      </c>
      <c r="H347">
        <f>Sensitivity!H13</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f>Sensitivity!H6</f>
        <v/>
      </c>
    </row>
    <row r="353">
      <c r="A353" t="inlineStr">
        <is>
          <t>ALL</t>
        </is>
      </c>
      <c r="B353" t="inlineStr">
        <is>
          <t>legendary</t>
        </is>
      </c>
      <c r="C353" t="n">
        <v>3</v>
      </c>
      <c r="D353" t="inlineStr">
        <is>
          <t>Int %</t>
        </is>
      </c>
      <c r="E353" t="n">
        <v>12</v>
      </c>
      <c r="F353" t="n">
        <v>0.36</v>
      </c>
      <c r="G353" t="b">
        <v>1</v>
      </c>
      <c r="H353">
        <f>Sensitivity!H6</f>
        <v/>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f>Sensitivity!H5</f>
        <v/>
      </c>
    </row>
    <row r="367">
      <c r="A367" t="inlineStr">
        <is>
          <t>ALL</t>
        </is>
      </c>
      <c r="B367" t="inlineStr">
        <is>
          <t>legendary</t>
        </is>
      </c>
      <c r="C367" t="n">
        <v>3</v>
      </c>
      <c r="D367" t="inlineStr">
        <is>
          <t>Int</t>
        </is>
      </c>
      <c r="E367" t="n">
        <v>600</v>
      </c>
      <c r="F367" t="n">
        <v>0.74</v>
      </c>
      <c r="G367" t="b">
        <v>1</v>
      </c>
      <c r="H367">
        <f>Sensitivity!H5</f>
        <v/>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IF(AND(Inputs!$B$9+Artifacts!$B$32&gt;=100,NOT(ArtifactsInput!$M$42),NOT(ArtifactsInput!$M$24)),Sensitivity!H15,Sensitivity!H14)</f>
        <v/>
      </c>
    </row>
    <row r="371">
      <c r="A371" t="inlineStr">
        <is>
          <t>ALL</t>
        </is>
      </c>
      <c r="B371" t="inlineStr">
        <is>
          <t>mystic</t>
        </is>
      </c>
      <c r="C371" t="n">
        <v>1</v>
      </c>
      <c r="D371" t="inlineStr">
        <is>
          <t>Attack Speed %</t>
        </is>
      </c>
      <c r="E371" t="n">
        <v>10</v>
      </c>
      <c r="F371" t="n">
        <v>2.5</v>
      </c>
      <c r="G371" t="b">
        <v>0</v>
      </c>
      <c r="H371">
        <f>Sensitivity!H16</f>
        <v/>
      </c>
    </row>
    <row r="372">
      <c r="A372" t="inlineStr">
        <is>
          <t>ALL</t>
        </is>
      </c>
      <c r="B372" t="inlineStr">
        <is>
          <t>mystic</t>
        </is>
      </c>
      <c r="C372" t="n">
        <v>1</v>
      </c>
      <c r="D372" t="inlineStr">
        <is>
          <t>Damage %</t>
        </is>
      </c>
      <c r="E372" t="n">
        <v>35</v>
      </c>
      <c r="F372" t="n">
        <v>4</v>
      </c>
      <c r="G372" t="b">
        <v>0</v>
      </c>
      <c r="H372">
        <f>Sensitivity!H7</f>
        <v/>
      </c>
    </row>
    <row r="373">
      <c r="A373" t="inlineStr">
        <is>
          <t>ALL</t>
        </is>
      </c>
      <c r="B373" t="inlineStr">
        <is>
          <t>mystic</t>
        </is>
      </c>
      <c r="C373" t="n">
        <v>1</v>
      </c>
      <c r="D373" t="inlineStr">
        <is>
          <t>Min Damage Multiplier %</t>
        </is>
      </c>
      <c r="E373" t="n">
        <v>25</v>
      </c>
      <c r="F373" t="n">
        <v>4</v>
      </c>
      <c r="G373" t="b">
        <v>0</v>
      </c>
      <c r="H373">
        <f>Sensitivity!H12</f>
        <v/>
      </c>
    </row>
    <row r="374">
      <c r="A374" t="inlineStr">
        <is>
          <t>ALL</t>
        </is>
      </c>
      <c r="B374" t="inlineStr">
        <is>
          <t>mystic</t>
        </is>
      </c>
      <c r="C374" t="n">
        <v>1</v>
      </c>
      <c r="D374" t="inlineStr">
        <is>
          <t>Max Damage Multiplier %</t>
        </is>
      </c>
      <c r="E374" t="n">
        <v>25</v>
      </c>
      <c r="F374" t="n">
        <v>4</v>
      </c>
      <c r="G374" t="b">
        <v>0</v>
      </c>
      <c r="H374">
        <f>Sensitivity!H13</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f>Sensitivity!H6</f>
        <v/>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f>Sensitivity!H5</f>
        <v/>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IF(AND(Inputs!$B$9+Artifacts!$B$32&gt;=100,NOT(ArtifactsInput!$M$42),NOT(ArtifactsInput!$M$24)),Sensitivity!H15,Sensitivity!H14)</f>
        <v/>
      </c>
    </row>
    <row r="387">
      <c r="A387" t="inlineStr">
        <is>
          <t>ALL</t>
        </is>
      </c>
      <c r="B387" t="inlineStr">
        <is>
          <t>mystic</t>
        </is>
      </c>
      <c r="C387" t="n">
        <v>2</v>
      </c>
      <c r="D387" t="inlineStr">
        <is>
          <t>Critical Rate %</t>
        </is>
      </c>
      <c r="E387" t="n">
        <v>15</v>
      </c>
      <c r="F387" t="n">
        <v>0.6</v>
      </c>
      <c r="G387" t="b">
        <v>1</v>
      </c>
      <c r="H387">
        <f>IF(AND(Inputs!$B$9+Artifacts!$B$32&gt;=100,NOT(ArtifactsInput!$M$42),NOT(ArtifactsInput!$M$24)),Sensitivity!H15,Sensitivity!H14)</f>
        <v/>
      </c>
    </row>
    <row r="388">
      <c r="A388" t="inlineStr">
        <is>
          <t>ALL</t>
        </is>
      </c>
      <c r="B388" t="inlineStr">
        <is>
          <t>mystic</t>
        </is>
      </c>
      <c r="C388" t="n">
        <v>2</v>
      </c>
      <c r="D388" t="inlineStr">
        <is>
          <t>Attack Speed %</t>
        </is>
      </c>
      <c r="E388" t="n">
        <v>7</v>
      </c>
      <c r="F388" t="n">
        <v>1.9</v>
      </c>
      <c r="G388" t="b">
        <v>0</v>
      </c>
      <c r="H388">
        <f>Sensitivity!H16</f>
        <v/>
      </c>
    </row>
    <row r="389">
      <c r="A389" t="inlineStr">
        <is>
          <t>ALL</t>
        </is>
      </c>
      <c r="B389" t="inlineStr">
        <is>
          <t>mystic</t>
        </is>
      </c>
      <c r="C389" t="n">
        <v>2</v>
      </c>
      <c r="D389" t="inlineStr">
        <is>
          <t>Attack Speed %</t>
        </is>
      </c>
      <c r="E389" t="n">
        <v>10</v>
      </c>
      <c r="F389" t="n">
        <v>0.6</v>
      </c>
      <c r="G389" t="b">
        <v>1</v>
      </c>
      <c r="H389">
        <f>Sensitivity!H16</f>
        <v/>
      </c>
    </row>
    <row r="390">
      <c r="A390" t="inlineStr">
        <is>
          <t>ALL</t>
        </is>
      </c>
      <c r="B390" t="inlineStr">
        <is>
          <t>mystic</t>
        </is>
      </c>
      <c r="C390" t="n">
        <v>2</v>
      </c>
      <c r="D390" t="inlineStr">
        <is>
          <t>Damage %</t>
        </is>
      </c>
      <c r="E390" t="n">
        <v>25</v>
      </c>
      <c r="F390" t="n">
        <v>3.04</v>
      </c>
      <c r="G390" t="b">
        <v>0</v>
      </c>
      <c r="H390">
        <f>Sensitivity!H7</f>
        <v/>
      </c>
    </row>
    <row r="391">
      <c r="A391" t="inlineStr">
        <is>
          <t>ALL</t>
        </is>
      </c>
      <c r="B391" t="inlineStr">
        <is>
          <t>mystic</t>
        </is>
      </c>
      <c r="C391" t="n">
        <v>2</v>
      </c>
      <c r="D391" t="inlineStr">
        <is>
          <t>Damage %</t>
        </is>
      </c>
      <c r="E391" t="n">
        <v>35</v>
      </c>
      <c r="F391" t="n">
        <v>0.96</v>
      </c>
      <c r="G391" t="b">
        <v>1</v>
      </c>
      <c r="H391">
        <f>Sensitivity!H7</f>
        <v/>
      </c>
    </row>
    <row r="392">
      <c r="A392" t="inlineStr">
        <is>
          <t>ALL</t>
        </is>
      </c>
      <c r="B392" t="inlineStr">
        <is>
          <t>mystic</t>
        </is>
      </c>
      <c r="C392" t="n">
        <v>2</v>
      </c>
      <c r="D392" t="inlineStr">
        <is>
          <t>Min Damage Multiplier %</t>
        </is>
      </c>
      <c r="E392" t="n">
        <v>15</v>
      </c>
      <c r="F392" t="n">
        <v>3.04</v>
      </c>
      <c r="G392" t="b">
        <v>0</v>
      </c>
      <c r="H392">
        <f>Sensitivity!H12</f>
        <v/>
      </c>
    </row>
    <row r="393">
      <c r="A393" t="inlineStr">
        <is>
          <t>ALL</t>
        </is>
      </c>
      <c r="B393" t="inlineStr">
        <is>
          <t>mystic</t>
        </is>
      </c>
      <c r="C393" t="n">
        <v>2</v>
      </c>
      <c r="D393" t="inlineStr">
        <is>
          <t>Min Damage Multiplier %</t>
        </is>
      </c>
      <c r="E393" t="n">
        <v>25</v>
      </c>
      <c r="F393" t="n">
        <v>0.96</v>
      </c>
      <c r="G393" t="b">
        <v>1</v>
      </c>
      <c r="H393">
        <f>Sensitivity!H12</f>
        <v/>
      </c>
    </row>
    <row r="394">
      <c r="A394" t="inlineStr">
        <is>
          <t>ALL</t>
        </is>
      </c>
      <c r="B394" t="inlineStr">
        <is>
          <t>mystic</t>
        </is>
      </c>
      <c r="C394" t="n">
        <v>2</v>
      </c>
      <c r="D394" t="inlineStr">
        <is>
          <t>Max Damage Multiplier %</t>
        </is>
      </c>
      <c r="E394" t="n">
        <v>15</v>
      </c>
      <c r="F394" t="n">
        <v>3.04</v>
      </c>
      <c r="G394" t="b">
        <v>0</v>
      </c>
      <c r="H394">
        <f>Sensitivity!H13</f>
        <v/>
      </c>
    </row>
    <row r="395">
      <c r="A395" t="inlineStr">
        <is>
          <t>ALL</t>
        </is>
      </c>
      <c r="B395" t="inlineStr">
        <is>
          <t>mystic</t>
        </is>
      </c>
      <c r="C395" t="n">
        <v>2</v>
      </c>
      <c r="D395" t="inlineStr">
        <is>
          <t>Max Damage Multiplier %</t>
        </is>
      </c>
      <c r="E395" t="n">
        <v>25</v>
      </c>
      <c r="F395" t="n">
        <v>0.96</v>
      </c>
      <c r="G395" t="b">
        <v>1</v>
      </c>
      <c r="H395">
        <f>Sensitivity!H13</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f>Sensitivity!H6</f>
        <v/>
      </c>
    </row>
    <row r="401">
      <c r="A401" t="inlineStr">
        <is>
          <t>ALL</t>
        </is>
      </c>
      <c r="B401" t="inlineStr">
        <is>
          <t>mystic</t>
        </is>
      </c>
      <c r="C401" t="n">
        <v>2</v>
      </c>
      <c r="D401" t="inlineStr">
        <is>
          <t>Int %</t>
        </is>
      </c>
      <c r="E401" t="n">
        <v>15</v>
      </c>
      <c r="F401" t="n">
        <v>1.08</v>
      </c>
      <c r="G401" t="b">
        <v>1</v>
      </c>
      <c r="H401">
        <f>Sensitivity!H6</f>
        <v/>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f>Sensitivity!H5</f>
        <v/>
      </c>
    </row>
    <row r="415">
      <c r="A415" t="inlineStr">
        <is>
          <t>ALL</t>
        </is>
      </c>
      <c r="B415" t="inlineStr">
        <is>
          <t>mystic</t>
        </is>
      </c>
      <c r="C415" t="n">
        <v>2</v>
      </c>
      <c r="D415" t="inlineStr">
        <is>
          <t>Int</t>
        </is>
      </c>
      <c r="E415" t="n">
        <v>1000</v>
      </c>
      <c r="F415" t="n">
        <v>2.22</v>
      </c>
      <c r="G415" t="b">
        <v>1</v>
      </c>
      <c r="H415">
        <f>Sensitivity!H5</f>
        <v/>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IF(AND(Inputs!$B$9+Artifacts!$B$32&gt;=100,NOT(ArtifactsInput!$M$42),NOT(ArtifactsInput!$M$24)),Sensitivity!H15,Sensitivity!H14)</f>
        <v/>
      </c>
    </row>
    <row r="419">
      <c r="A419" t="inlineStr">
        <is>
          <t>ALL</t>
        </is>
      </c>
      <c r="B419" t="inlineStr">
        <is>
          <t>mystic</t>
        </is>
      </c>
      <c r="C419" t="n">
        <v>3</v>
      </c>
      <c r="D419" t="inlineStr">
        <is>
          <t>Critical Rate %</t>
        </is>
      </c>
      <c r="E419" t="n">
        <v>15</v>
      </c>
      <c r="F419" t="n">
        <v>0.2</v>
      </c>
      <c r="G419" t="b">
        <v>1</v>
      </c>
      <c r="H419">
        <f>IF(AND(Inputs!$B$9+Artifacts!$B$32&gt;=100,NOT(ArtifactsInput!$M$42),NOT(ArtifactsInput!$M$24)),Sensitivity!H15,Sensitivity!H14)</f>
        <v/>
      </c>
    </row>
    <row r="420">
      <c r="A420" t="inlineStr">
        <is>
          <t>ALL</t>
        </is>
      </c>
      <c r="B420" t="inlineStr">
        <is>
          <t>mystic</t>
        </is>
      </c>
      <c r="C420" t="n">
        <v>3</v>
      </c>
      <c r="D420" t="inlineStr">
        <is>
          <t>Attack Speed %</t>
        </is>
      </c>
      <c r="E420" t="n">
        <v>7</v>
      </c>
      <c r="F420" t="n">
        <v>2.3</v>
      </c>
      <c r="G420" t="b">
        <v>0</v>
      </c>
      <c r="H420">
        <f>Sensitivity!H16</f>
        <v/>
      </c>
    </row>
    <row r="421">
      <c r="A421" t="inlineStr">
        <is>
          <t>ALL</t>
        </is>
      </c>
      <c r="B421" t="inlineStr">
        <is>
          <t>mystic</t>
        </is>
      </c>
      <c r="C421" t="n">
        <v>3</v>
      </c>
      <c r="D421" t="inlineStr">
        <is>
          <t>Attack Speed %</t>
        </is>
      </c>
      <c r="E421" t="n">
        <v>10</v>
      </c>
      <c r="F421" t="n">
        <v>0.2</v>
      </c>
      <c r="G421" t="b">
        <v>1</v>
      </c>
      <c r="H421">
        <f>Sensitivity!H16</f>
        <v/>
      </c>
    </row>
    <row r="422">
      <c r="A422" t="inlineStr">
        <is>
          <t>ALL</t>
        </is>
      </c>
      <c r="B422" t="inlineStr">
        <is>
          <t>mystic</t>
        </is>
      </c>
      <c r="C422" t="n">
        <v>3</v>
      </c>
      <c r="D422" t="inlineStr">
        <is>
          <t>Damage %</t>
        </is>
      </c>
      <c r="E422" t="n">
        <v>25</v>
      </c>
      <c r="F422" t="n">
        <v>3.68</v>
      </c>
      <c r="G422" t="b">
        <v>0</v>
      </c>
      <c r="H422">
        <f>Sensitivity!H7</f>
        <v/>
      </c>
    </row>
    <row r="423">
      <c r="A423" t="inlineStr">
        <is>
          <t>ALL</t>
        </is>
      </c>
      <c r="B423" t="inlineStr">
        <is>
          <t>mystic</t>
        </is>
      </c>
      <c r="C423" t="n">
        <v>3</v>
      </c>
      <c r="D423" t="inlineStr">
        <is>
          <t>Damage %</t>
        </is>
      </c>
      <c r="E423" t="n">
        <v>35</v>
      </c>
      <c r="F423" t="n">
        <v>0.32</v>
      </c>
      <c r="G423" t="b">
        <v>1</v>
      </c>
      <c r="H423">
        <f>Sensitivity!H7</f>
        <v/>
      </c>
    </row>
    <row r="424">
      <c r="A424" t="inlineStr">
        <is>
          <t>ALL</t>
        </is>
      </c>
      <c r="B424" t="inlineStr">
        <is>
          <t>mystic</t>
        </is>
      </c>
      <c r="C424" t="n">
        <v>3</v>
      </c>
      <c r="D424" t="inlineStr">
        <is>
          <t>Min Damage Multiplier %</t>
        </is>
      </c>
      <c r="E424" t="n">
        <v>15</v>
      </c>
      <c r="F424" t="n">
        <v>3.68</v>
      </c>
      <c r="G424" t="b">
        <v>0</v>
      </c>
      <c r="H424">
        <f>Sensitivity!H12</f>
        <v/>
      </c>
    </row>
    <row r="425">
      <c r="A425" t="inlineStr">
        <is>
          <t>ALL</t>
        </is>
      </c>
      <c r="B425" t="inlineStr">
        <is>
          <t>mystic</t>
        </is>
      </c>
      <c r="C425" t="n">
        <v>3</v>
      </c>
      <c r="D425" t="inlineStr">
        <is>
          <t>Min Damage Multiplier %</t>
        </is>
      </c>
      <c r="E425" t="n">
        <v>25</v>
      </c>
      <c r="F425" t="n">
        <v>0.32</v>
      </c>
      <c r="G425" t="b">
        <v>1</v>
      </c>
      <c r="H425">
        <f>Sensitivity!H12</f>
        <v/>
      </c>
    </row>
    <row r="426">
      <c r="A426" t="inlineStr">
        <is>
          <t>ALL</t>
        </is>
      </c>
      <c r="B426" t="inlineStr">
        <is>
          <t>mystic</t>
        </is>
      </c>
      <c r="C426" t="n">
        <v>3</v>
      </c>
      <c r="D426" t="inlineStr">
        <is>
          <t>Max Damage Multiplier %</t>
        </is>
      </c>
      <c r="E426" t="n">
        <v>15</v>
      </c>
      <c r="F426" t="n">
        <v>3.68</v>
      </c>
      <c r="G426" t="b">
        <v>0</v>
      </c>
      <c r="H426">
        <f>Sensitivity!H13</f>
        <v/>
      </c>
    </row>
    <row r="427">
      <c r="A427" t="inlineStr">
        <is>
          <t>ALL</t>
        </is>
      </c>
      <c r="B427" t="inlineStr">
        <is>
          <t>mystic</t>
        </is>
      </c>
      <c r="C427" t="n">
        <v>3</v>
      </c>
      <c r="D427" t="inlineStr">
        <is>
          <t>Max Damage Multiplier %</t>
        </is>
      </c>
      <c r="E427" t="n">
        <v>25</v>
      </c>
      <c r="F427" t="n">
        <v>0.32</v>
      </c>
      <c r="G427" t="b">
        <v>1</v>
      </c>
      <c r="H427">
        <f>Sensitivity!H13</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f>Sensitivity!H6</f>
        <v/>
      </c>
    </row>
    <row r="433">
      <c r="A433" t="inlineStr">
        <is>
          <t>ALL</t>
        </is>
      </c>
      <c r="B433" t="inlineStr">
        <is>
          <t>mystic</t>
        </is>
      </c>
      <c r="C433" t="n">
        <v>3</v>
      </c>
      <c r="D433" t="inlineStr">
        <is>
          <t>Int %</t>
        </is>
      </c>
      <c r="E433" t="n">
        <v>15</v>
      </c>
      <c r="F433" t="n">
        <v>0.36</v>
      </c>
      <c r="G433" t="b">
        <v>1</v>
      </c>
      <c r="H433">
        <f>Sensitivity!H6</f>
        <v/>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f>Sensitivity!H5</f>
        <v/>
      </c>
    </row>
    <row r="447">
      <c r="A447" t="inlineStr">
        <is>
          <t>ALL</t>
        </is>
      </c>
      <c r="B447" t="inlineStr">
        <is>
          <t>mystic</t>
        </is>
      </c>
      <c r="C447" t="n">
        <v>3</v>
      </c>
      <c r="D447" t="inlineStr">
        <is>
          <t>Int</t>
        </is>
      </c>
      <c r="E447" t="n">
        <v>1000</v>
      </c>
      <c r="F447" t="n">
        <v>0.74</v>
      </c>
      <c r="G447" t="b">
        <v>1</v>
      </c>
      <c r="H447">
        <f>Sensitivity!H5</f>
        <v/>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Sensitivity!H27</f>
        <v/>
      </c>
    </row>
    <row r="451">
      <c r="A451" t="inlineStr">
        <is>
          <t>head</t>
        </is>
      </c>
      <c r="B451" t="inlineStr">
        <is>
          <t>epic</t>
        </is>
      </c>
      <c r="C451" t="n">
        <v>2</v>
      </c>
      <c r="D451" t="inlineStr">
        <is>
          <t>Skill Cooldown Decrease (seconds)</t>
        </is>
      </c>
      <c r="E451" t="n">
        <v>0.5</v>
      </c>
      <c r="F451" t="n">
        <v>0.24</v>
      </c>
      <c r="G451" t="b">
        <v>1</v>
      </c>
      <c r="H451">
        <f>Sensitivity!H27</f>
        <v/>
      </c>
    </row>
    <row r="452">
      <c r="A452" t="inlineStr">
        <is>
          <t>head</t>
        </is>
      </c>
      <c r="B452" t="inlineStr">
        <is>
          <t>epic</t>
        </is>
      </c>
      <c r="C452" t="n">
        <v>3</v>
      </c>
      <c r="D452" t="inlineStr">
        <is>
          <t>Skill Cooldown Decrease (seconds)</t>
        </is>
      </c>
      <c r="E452" t="n">
        <v>0.5</v>
      </c>
      <c r="F452" t="n">
        <v>0.08</v>
      </c>
      <c r="G452" t="b">
        <v>1</v>
      </c>
      <c r="H452">
        <f>Sensitivity!H27</f>
        <v/>
      </c>
    </row>
    <row r="453">
      <c r="A453" t="inlineStr">
        <is>
          <t>head</t>
        </is>
      </c>
      <c r="B453" t="inlineStr">
        <is>
          <t>unique</t>
        </is>
      </c>
      <c r="C453" t="n">
        <v>1</v>
      </c>
      <c r="D453" t="inlineStr">
        <is>
          <t>Skill Cooldown Decrease (seconds)</t>
        </is>
      </c>
      <c r="E453" t="n">
        <v>1</v>
      </c>
      <c r="F453" t="n">
        <v>1</v>
      </c>
      <c r="G453" t="b">
        <v>1</v>
      </c>
      <c r="H453">
        <f>Sensitivity!H27</f>
        <v/>
      </c>
    </row>
    <row r="454">
      <c r="A454" t="inlineStr">
        <is>
          <t>head</t>
        </is>
      </c>
      <c r="B454" t="inlineStr">
        <is>
          <t>unique</t>
        </is>
      </c>
      <c r="C454" t="n">
        <v>2</v>
      </c>
      <c r="D454" t="inlineStr">
        <is>
          <t>Skill Cooldown Decrease (seconds)</t>
        </is>
      </c>
      <c r="E454" t="n">
        <v>1</v>
      </c>
      <c r="F454" t="n">
        <v>0.24</v>
      </c>
      <c r="G454" t="b">
        <v>1</v>
      </c>
      <c r="H454">
        <f>Sensitivity!H27</f>
        <v/>
      </c>
    </row>
    <row r="455">
      <c r="A455" t="inlineStr">
        <is>
          <t>head</t>
        </is>
      </c>
      <c r="B455" t="inlineStr">
        <is>
          <t>unique</t>
        </is>
      </c>
      <c r="C455" t="n">
        <v>2</v>
      </c>
      <c r="D455" t="inlineStr">
        <is>
          <t>Skill Cooldown Decrease (seconds)</t>
        </is>
      </c>
      <c r="E455" t="n">
        <v>0.5</v>
      </c>
      <c r="F455" t="n">
        <v>0.76</v>
      </c>
      <c r="G455" t="b">
        <v>0</v>
      </c>
      <c r="H455">
        <f>Sensitivity!H27</f>
        <v/>
      </c>
    </row>
    <row r="456">
      <c r="A456" t="inlineStr">
        <is>
          <t>head</t>
        </is>
      </c>
      <c r="B456" t="inlineStr">
        <is>
          <t>unique</t>
        </is>
      </c>
      <c r="C456" t="n">
        <v>3</v>
      </c>
      <c r="D456" t="inlineStr">
        <is>
          <t>Skill Cooldown Decrease (seconds)</t>
        </is>
      </c>
      <c r="E456" t="n">
        <v>1</v>
      </c>
      <c r="F456" t="n">
        <v>0.08</v>
      </c>
      <c r="G456" t="b">
        <v>1</v>
      </c>
      <c r="H456">
        <f>Sensitivity!H27</f>
        <v/>
      </c>
    </row>
    <row r="457">
      <c r="A457" t="inlineStr">
        <is>
          <t>head</t>
        </is>
      </c>
      <c r="B457" t="inlineStr">
        <is>
          <t>unique</t>
        </is>
      </c>
      <c r="C457" t="n">
        <v>3</v>
      </c>
      <c r="D457" t="inlineStr">
        <is>
          <t>Skill Cooldown Decrease (seconds)</t>
        </is>
      </c>
      <c r="E457" t="n">
        <v>0.5</v>
      </c>
      <c r="F457" t="n">
        <v>0.92</v>
      </c>
      <c r="G457" t="b">
        <v>0</v>
      </c>
      <c r="H457">
        <f>Sensitivity!H27</f>
        <v/>
      </c>
    </row>
    <row r="458">
      <c r="A458" t="inlineStr">
        <is>
          <t>head</t>
        </is>
      </c>
      <c r="B458" t="inlineStr">
        <is>
          <t>legendary</t>
        </is>
      </c>
      <c r="C458" t="n">
        <v>1</v>
      </c>
      <c r="D458" t="inlineStr">
        <is>
          <t>Skill Cooldown Decrease (seconds)</t>
        </is>
      </c>
      <c r="E458" t="n">
        <v>1.5</v>
      </c>
      <c r="F458" t="n">
        <v>1</v>
      </c>
      <c r="G458" t="b">
        <v>1</v>
      </c>
      <c r="H458">
        <f>Sensitivity!H27</f>
        <v/>
      </c>
    </row>
    <row r="459">
      <c r="A459" t="inlineStr">
        <is>
          <t>head</t>
        </is>
      </c>
      <c r="B459" t="inlineStr">
        <is>
          <t>legendary</t>
        </is>
      </c>
      <c r="C459" t="n">
        <v>2</v>
      </c>
      <c r="D459" t="inlineStr">
        <is>
          <t>Skill Cooldown Decrease (seconds)</t>
        </is>
      </c>
      <c r="E459" t="n">
        <v>1.5</v>
      </c>
      <c r="F459" t="n">
        <v>0.24</v>
      </c>
      <c r="G459" t="b">
        <v>1</v>
      </c>
      <c r="H459">
        <f>Sensitivity!H27</f>
        <v/>
      </c>
    </row>
    <row r="460">
      <c r="A460" t="inlineStr">
        <is>
          <t>head</t>
        </is>
      </c>
      <c r="B460" t="inlineStr">
        <is>
          <t>legendary</t>
        </is>
      </c>
      <c r="C460" t="n">
        <v>2</v>
      </c>
      <c r="D460" t="inlineStr">
        <is>
          <t>Skill Cooldown Decrease (seconds)</t>
        </is>
      </c>
      <c r="E460" t="n">
        <v>1</v>
      </c>
      <c r="F460" t="n">
        <v>0.76</v>
      </c>
      <c r="G460" t="b">
        <v>0</v>
      </c>
      <c r="H460">
        <f>Sensitivity!H27</f>
        <v/>
      </c>
    </row>
    <row r="461">
      <c r="A461" t="inlineStr">
        <is>
          <t>head</t>
        </is>
      </c>
      <c r="B461" t="inlineStr">
        <is>
          <t>legendary</t>
        </is>
      </c>
      <c r="C461" t="n">
        <v>3</v>
      </c>
      <c r="D461" t="inlineStr">
        <is>
          <t>Skill Cooldown Decrease (seconds)</t>
        </is>
      </c>
      <c r="E461" t="n">
        <v>1.5</v>
      </c>
      <c r="F461" t="n">
        <v>0.08</v>
      </c>
      <c r="G461" t="b">
        <v>1</v>
      </c>
      <c r="H461">
        <f>Sensitivity!H27</f>
        <v/>
      </c>
    </row>
    <row r="462">
      <c r="A462" t="inlineStr">
        <is>
          <t>head</t>
        </is>
      </c>
      <c r="B462" t="inlineStr">
        <is>
          <t>legendary</t>
        </is>
      </c>
      <c r="C462" t="n">
        <v>3</v>
      </c>
      <c r="D462" t="inlineStr">
        <is>
          <t>Skill Cooldown Decrease (seconds)</t>
        </is>
      </c>
      <c r="E462" t="n">
        <v>1</v>
      </c>
      <c r="F462" t="n">
        <v>0.92</v>
      </c>
      <c r="G462" t="b">
        <v>0</v>
      </c>
      <c r="H462">
        <f>Sensitivity!H27</f>
        <v/>
      </c>
    </row>
    <row r="463">
      <c r="A463" t="inlineStr">
        <is>
          <t>head</t>
        </is>
      </c>
      <c r="B463" t="inlineStr">
        <is>
          <t>mystic</t>
        </is>
      </c>
      <c r="C463" t="n">
        <v>1</v>
      </c>
      <c r="D463" t="inlineStr">
        <is>
          <t>Skill Cooldown Decrease (seconds)</t>
        </is>
      </c>
      <c r="E463" t="n">
        <v>2</v>
      </c>
      <c r="F463" t="n">
        <v>1</v>
      </c>
      <c r="G463" t="b">
        <v>1</v>
      </c>
      <c r="H463">
        <f>Sensitivity!H27</f>
        <v/>
      </c>
    </row>
    <row r="464">
      <c r="A464" t="inlineStr">
        <is>
          <t>head</t>
        </is>
      </c>
      <c r="B464" t="inlineStr">
        <is>
          <t>mystic</t>
        </is>
      </c>
      <c r="C464" t="n">
        <v>2</v>
      </c>
      <c r="D464" t="inlineStr">
        <is>
          <t>Skill Cooldown Decrease (seconds)</t>
        </is>
      </c>
      <c r="E464" t="n">
        <v>2</v>
      </c>
      <c r="F464" t="n">
        <v>0.24</v>
      </c>
      <c r="G464" t="b">
        <v>1</v>
      </c>
      <c r="H464">
        <f>Sensitivity!H27</f>
        <v/>
      </c>
    </row>
    <row r="465">
      <c r="A465" t="inlineStr">
        <is>
          <t>head</t>
        </is>
      </c>
      <c r="B465" t="inlineStr">
        <is>
          <t>mystic</t>
        </is>
      </c>
      <c r="C465" t="n">
        <v>2</v>
      </c>
      <c r="D465" t="inlineStr">
        <is>
          <t>Skill Cooldown Decrease (seconds)</t>
        </is>
      </c>
      <c r="E465" t="n">
        <v>1.5</v>
      </c>
      <c r="F465" t="n">
        <v>0.76</v>
      </c>
      <c r="G465" t="b">
        <v>0</v>
      </c>
      <c r="H465">
        <f>Sensitivity!H27</f>
        <v/>
      </c>
    </row>
    <row r="466">
      <c r="A466" t="inlineStr">
        <is>
          <t>head</t>
        </is>
      </c>
      <c r="B466" t="inlineStr">
        <is>
          <t>mystic</t>
        </is>
      </c>
      <c r="C466" t="n">
        <v>3</v>
      </c>
      <c r="D466" t="inlineStr">
        <is>
          <t>Skill Cooldown Decrease (seconds)</t>
        </is>
      </c>
      <c r="E466" t="n">
        <v>2</v>
      </c>
      <c r="F466" t="n">
        <v>0.08</v>
      </c>
      <c r="G466" t="b">
        <v>1</v>
      </c>
      <c r="H466">
        <f>Sensitivity!H27</f>
        <v/>
      </c>
    </row>
    <row r="467">
      <c r="A467" t="inlineStr">
        <is>
          <t>head</t>
        </is>
      </c>
      <c r="B467" t="inlineStr">
        <is>
          <t>mystic</t>
        </is>
      </c>
      <c r="C467" t="n">
        <v>3</v>
      </c>
      <c r="D467" t="inlineStr">
        <is>
          <t>Skill Cooldown Decrease (seconds)</t>
        </is>
      </c>
      <c r="E467" t="n">
        <v>1.5</v>
      </c>
      <c r="F467" t="n">
        <v>0.92</v>
      </c>
      <c r="G467" t="b">
        <v>0</v>
      </c>
      <c r="H467">
        <f>Sensitivity!H27</f>
        <v/>
      </c>
    </row>
    <row r="468">
      <c r="A468" t="inlineStr">
        <is>
          <t>cape</t>
        </is>
      </c>
      <c r="B468" t="inlineStr">
        <is>
          <t>epic</t>
        </is>
      </c>
      <c r="C468" t="n">
        <v>1</v>
      </c>
      <c r="D468" t="inlineStr">
        <is>
          <t>Final Damage %</t>
        </is>
      </c>
      <c r="E468" t="n">
        <v>3</v>
      </c>
      <c r="F468" t="n">
        <v>1</v>
      </c>
      <c r="G468" t="b">
        <v>1</v>
      </c>
      <c r="H468">
        <f>Sensitivity!H11</f>
        <v/>
      </c>
    </row>
    <row r="469">
      <c r="A469" t="inlineStr">
        <is>
          <t>cape</t>
        </is>
      </c>
      <c r="B469" t="inlineStr">
        <is>
          <t>epic</t>
        </is>
      </c>
      <c r="C469" t="n">
        <v>2</v>
      </c>
      <c r="D469" t="inlineStr">
        <is>
          <t>Final Damage %</t>
        </is>
      </c>
      <c r="E469" t="n">
        <v>3</v>
      </c>
      <c r="F469" t="n">
        <v>0.24</v>
      </c>
      <c r="G469" t="b">
        <v>1</v>
      </c>
      <c r="H469">
        <f>Sensitivity!H11</f>
        <v/>
      </c>
    </row>
    <row r="470">
      <c r="A470" t="inlineStr">
        <is>
          <t>cape</t>
        </is>
      </c>
      <c r="B470" t="inlineStr">
        <is>
          <t>epic</t>
        </is>
      </c>
      <c r="C470" t="n">
        <v>3</v>
      </c>
      <c r="D470" t="inlineStr">
        <is>
          <t>Final Damage %</t>
        </is>
      </c>
      <c r="E470" t="n">
        <v>3</v>
      </c>
      <c r="F470" t="n">
        <v>0.08</v>
      </c>
      <c r="G470" t="b">
        <v>1</v>
      </c>
      <c r="H470">
        <f>Sensitivity!H11</f>
        <v/>
      </c>
    </row>
    <row r="471">
      <c r="A471" t="inlineStr">
        <is>
          <t>cape</t>
        </is>
      </c>
      <c r="B471" t="inlineStr">
        <is>
          <t>unique</t>
        </is>
      </c>
      <c r="C471" t="n">
        <v>1</v>
      </c>
      <c r="D471" t="inlineStr">
        <is>
          <t>Final Damage %</t>
        </is>
      </c>
      <c r="E471" t="n">
        <v>5</v>
      </c>
      <c r="F471" t="n">
        <v>1</v>
      </c>
      <c r="G471" t="b">
        <v>1</v>
      </c>
      <c r="H471">
        <f>Sensitivity!H11</f>
        <v/>
      </c>
    </row>
    <row r="472">
      <c r="A472" t="inlineStr">
        <is>
          <t>cape</t>
        </is>
      </c>
      <c r="B472" t="inlineStr">
        <is>
          <t>unique</t>
        </is>
      </c>
      <c r="C472" t="n">
        <v>2</v>
      </c>
      <c r="D472" t="inlineStr">
        <is>
          <t>Final Damage %</t>
        </is>
      </c>
      <c r="E472" t="n">
        <v>5</v>
      </c>
      <c r="F472" t="n">
        <v>0.24</v>
      </c>
      <c r="G472" t="b">
        <v>1</v>
      </c>
      <c r="H472">
        <f>Sensitivity!H11</f>
        <v/>
      </c>
    </row>
    <row r="473">
      <c r="A473" t="inlineStr">
        <is>
          <t>cape</t>
        </is>
      </c>
      <c r="B473" t="inlineStr">
        <is>
          <t>unique</t>
        </is>
      </c>
      <c r="C473" t="n">
        <v>2</v>
      </c>
      <c r="D473" t="inlineStr">
        <is>
          <t>Final Damage %</t>
        </is>
      </c>
      <c r="E473" t="n">
        <v>3</v>
      </c>
      <c r="F473" t="n">
        <v>0.76</v>
      </c>
      <c r="G473" t="b">
        <v>0</v>
      </c>
      <c r="H473">
        <f>Sensitivity!H11</f>
        <v/>
      </c>
    </row>
    <row r="474">
      <c r="A474" t="inlineStr">
        <is>
          <t>cape</t>
        </is>
      </c>
      <c r="B474" t="inlineStr">
        <is>
          <t>unique</t>
        </is>
      </c>
      <c r="C474" t="n">
        <v>3</v>
      </c>
      <c r="D474" t="inlineStr">
        <is>
          <t>Final Damage %</t>
        </is>
      </c>
      <c r="E474" t="n">
        <v>5</v>
      </c>
      <c r="F474" t="n">
        <v>0.08</v>
      </c>
      <c r="G474" t="b">
        <v>1</v>
      </c>
      <c r="H474">
        <f>Sensitivity!H11</f>
        <v/>
      </c>
    </row>
    <row r="475">
      <c r="A475" t="inlineStr">
        <is>
          <t>cape</t>
        </is>
      </c>
      <c r="B475" t="inlineStr">
        <is>
          <t>unique</t>
        </is>
      </c>
      <c r="C475" t="n">
        <v>3</v>
      </c>
      <c r="D475" t="inlineStr">
        <is>
          <t>Final Damage %</t>
        </is>
      </c>
      <c r="E475" t="n">
        <v>3</v>
      </c>
      <c r="F475" t="n">
        <v>0.92</v>
      </c>
      <c r="G475" t="b">
        <v>0</v>
      </c>
      <c r="H475">
        <f>Sensitivity!H11</f>
        <v/>
      </c>
    </row>
    <row r="476">
      <c r="A476" t="inlineStr">
        <is>
          <t>cape</t>
        </is>
      </c>
      <c r="B476" t="inlineStr">
        <is>
          <t>legendary</t>
        </is>
      </c>
      <c r="C476" t="n">
        <v>1</v>
      </c>
      <c r="D476" t="inlineStr">
        <is>
          <t>Final Damage %</t>
        </is>
      </c>
      <c r="E476" t="n">
        <v>8</v>
      </c>
      <c r="F476" t="n">
        <v>1</v>
      </c>
      <c r="G476" t="b">
        <v>1</v>
      </c>
      <c r="H476">
        <f>Sensitivity!H11</f>
        <v/>
      </c>
    </row>
    <row r="477">
      <c r="A477" t="inlineStr">
        <is>
          <t>cape</t>
        </is>
      </c>
      <c r="B477" t="inlineStr">
        <is>
          <t>legendary</t>
        </is>
      </c>
      <c r="C477" t="n">
        <v>2</v>
      </c>
      <c r="D477" t="inlineStr">
        <is>
          <t>Final Damage %</t>
        </is>
      </c>
      <c r="E477" t="n">
        <v>8</v>
      </c>
      <c r="F477" t="n">
        <v>0.24</v>
      </c>
      <c r="G477" t="b">
        <v>1</v>
      </c>
      <c r="H477">
        <f>Sensitivity!H11</f>
        <v/>
      </c>
    </row>
    <row r="478">
      <c r="A478" t="inlineStr">
        <is>
          <t>cape</t>
        </is>
      </c>
      <c r="B478" t="inlineStr">
        <is>
          <t>legendary</t>
        </is>
      </c>
      <c r="C478" t="n">
        <v>2</v>
      </c>
      <c r="D478" t="inlineStr">
        <is>
          <t>Final Damage %</t>
        </is>
      </c>
      <c r="E478" t="n">
        <v>5</v>
      </c>
      <c r="F478" t="n">
        <v>0.76</v>
      </c>
      <c r="G478" t="b">
        <v>0</v>
      </c>
      <c r="H478">
        <f>Sensitivity!H11</f>
        <v/>
      </c>
    </row>
    <row r="479">
      <c r="A479" t="inlineStr">
        <is>
          <t>cape</t>
        </is>
      </c>
      <c r="B479" t="inlineStr">
        <is>
          <t>legendary</t>
        </is>
      </c>
      <c r="C479" t="n">
        <v>3</v>
      </c>
      <c r="D479" t="inlineStr">
        <is>
          <t>Final Damage %</t>
        </is>
      </c>
      <c r="E479" t="n">
        <v>8</v>
      </c>
      <c r="F479" t="n">
        <v>0.08</v>
      </c>
      <c r="G479" t="b">
        <v>1</v>
      </c>
      <c r="H479">
        <f>Sensitivity!H11</f>
        <v/>
      </c>
    </row>
    <row r="480">
      <c r="A480" t="inlineStr">
        <is>
          <t>cape</t>
        </is>
      </c>
      <c r="B480" t="inlineStr">
        <is>
          <t>legendary</t>
        </is>
      </c>
      <c r="C480" t="n">
        <v>3</v>
      </c>
      <c r="D480" t="inlineStr">
        <is>
          <t>Final Damage %</t>
        </is>
      </c>
      <c r="E480" t="n">
        <v>5</v>
      </c>
      <c r="F480" t="n">
        <v>0.92</v>
      </c>
      <c r="G480" t="b">
        <v>0</v>
      </c>
      <c r="H480">
        <f>Sensitivity!H11</f>
        <v/>
      </c>
    </row>
    <row r="481">
      <c r="A481" t="inlineStr">
        <is>
          <t>cape</t>
        </is>
      </c>
      <c r="B481" t="inlineStr">
        <is>
          <t>mystic</t>
        </is>
      </c>
      <c r="C481" t="n">
        <v>1</v>
      </c>
      <c r="D481" t="inlineStr">
        <is>
          <t>Final Damage %</t>
        </is>
      </c>
      <c r="E481" t="n">
        <v>12</v>
      </c>
      <c r="F481" t="n">
        <v>1</v>
      </c>
      <c r="G481" t="b">
        <v>1</v>
      </c>
      <c r="H481">
        <f>Sensitivity!H11</f>
        <v/>
      </c>
    </row>
    <row r="482">
      <c r="A482" t="inlineStr">
        <is>
          <t>cape</t>
        </is>
      </c>
      <c r="B482" t="inlineStr">
        <is>
          <t>mystic</t>
        </is>
      </c>
      <c r="C482" t="n">
        <v>2</v>
      </c>
      <c r="D482" t="inlineStr">
        <is>
          <t>Final Damage %</t>
        </is>
      </c>
      <c r="E482" t="n">
        <v>12</v>
      </c>
      <c r="F482" t="n">
        <v>0.24</v>
      </c>
      <c r="G482" t="b">
        <v>1</v>
      </c>
      <c r="H482">
        <f>Sensitivity!H11</f>
        <v/>
      </c>
    </row>
    <row r="483">
      <c r="A483" t="inlineStr">
        <is>
          <t>cape</t>
        </is>
      </c>
      <c r="B483" t="inlineStr">
        <is>
          <t>mystic</t>
        </is>
      </c>
      <c r="C483" t="n">
        <v>2</v>
      </c>
      <c r="D483" t="inlineStr">
        <is>
          <t>Final Damage %</t>
        </is>
      </c>
      <c r="E483" t="n">
        <v>8</v>
      </c>
      <c r="F483" t="n">
        <v>0.76</v>
      </c>
      <c r="G483" t="b">
        <v>0</v>
      </c>
      <c r="H483">
        <f>Sensitivity!H11</f>
        <v/>
      </c>
    </row>
    <row r="484">
      <c r="A484" t="inlineStr">
        <is>
          <t>cape</t>
        </is>
      </c>
      <c r="B484" t="inlineStr">
        <is>
          <t>mystic</t>
        </is>
      </c>
      <c r="C484" t="n">
        <v>3</v>
      </c>
      <c r="D484" t="inlineStr">
        <is>
          <t>Final Damage %</t>
        </is>
      </c>
      <c r="E484" t="n">
        <v>12</v>
      </c>
      <c r="F484" t="n">
        <v>0.08</v>
      </c>
      <c r="G484" t="b">
        <v>1</v>
      </c>
      <c r="H484">
        <f>Sensitivity!H11</f>
        <v/>
      </c>
    </row>
    <row r="485">
      <c r="A485" t="inlineStr">
        <is>
          <t>cape</t>
        </is>
      </c>
      <c r="B485" t="inlineStr">
        <is>
          <t>mystic</t>
        </is>
      </c>
      <c r="C485" t="n">
        <v>3</v>
      </c>
      <c r="D485" t="inlineStr">
        <is>
          <t>Final Damage %</t>
        </is>
      </c>
      <c r="E485" t="n">
        <v>8</v>
      </c>
      <c r="F485" t="n">
        <v>0.92</v>
      </c>
      <c r="G485" t="b">
        <v>0</v>
      </c>
      <c r="H485">
        <f>Sensitivity!H11</f>
        <v/>
      </c>
    </row>
    <row r="486">
      <c r="A486" t="inlineStr">
        <is>
          <t>chest</t>
        </is>
      </c>
      <c r="B486" t="inlineStr">
        <is>
          <t>unique</t>
        </is>
      </c>
      <c r="C486" t="n">
        <v>1</v>
      </c>
      <c r="D486" t="inlineStr">
        <is>
          <t>Basic Attack Target Increase</t>
        </is>
      </c>
      <c r="E486" t="n">
        <v>1</v>
      </c>
      <c r="F486" t="n">
        <v>1</v>
      </c>
      <c r="G486" t="b">
        <v>1</v>
      </c>
      <c r="H486">
        <f>Sensitivity!H28</f>
        <v/>
      </c>
    </row>
    <row r="487">
      <c r="A487" t="inlineStr">
        <is>
          <t>chest</t>
        </is>
      </c>
      <c r="B487" t="inlineStr">
        <is>
          <t>unique</t>
        </is>
      </c>
      <c r="C487" t="n">
        <v>2</v>
      </c>
      <c r="D487" t="inlineStr">
        <is>
          <t>Basic Attack Target Increase</t>
        </is>
      </c>
      <c r="E487" t="n">
        <v>1</v>
      </c>
      <c r="F487" t="n">
        <v>0.24</v>
      </c>
      <c r="G487" t="b">
        <v>1</v>
      </c>
      <c r="H487">
        <f>Sensitivity!H28</f>
        <v/>
      </c>
    </row>
    <row r="488">
      <c r="A488" t="inlineStr">
        <is>
          <t>chest</t>
        </is>
      </c>
      <c r="B488" t="inlineStr">
        <is>
          <t>unique</t>
        </is>
      </c>
      <c r="C488" t="n">
        <v>3</v>
      </c>
      <c r="D488" t="inlineStr">
        <is>
          <t>Basic Attack Target Increase</t>
        </is>
      </c>
      <c r="E488" t="n">
        <v>1</v>
      </c>
      <c r="F488" t="n">
        <v>0.08</v>
      </c>
      <c r="G488" t="b">
        <v>1</v>
      </c>
      <c r="H488">
        <f>Sensitivity!H28</f>
        <v/>
      </c>
    </row>
    <row r="489">
      <c r="A489" t="inlineStr">
        <is>
          <t>chest</t>
        </is>
      </c>
      <c r="B489" t="inlineStr">
        <is>
          <t>legendary</t>
        </is>
      </c>
      <c r="C489" t="n">
        <v>1</v>
      </c>
      <c r="D489" t="inlineStr">
        <is>
          <t>Basic Attack Target Increase</t>
        </is>
      </c>
      <c r="E489" t="n">
        <v>2</v>
      </c>
      <c r="F489" t="n">
        <v>1</v>
      </c>
      <c r="G489" t="b">
        <v>1</v>
      </c>
      <c r="H489">
        <f>Sensitivity!H28</f>
        <v/>
      </c>
    </row>
    <row r="490">
      <c r="A490" t="inlineStr">
        <is>
          <t>chest</t>
        </is>
      </c>
      <c r="B490" t="inlineStr">
        <is>
          <t>legendary</t>
        </is>
      </c>
      <c r="C490" t="n">
        <v>2</v>
      </c>
      <c r="D490" t="inlineStr">
        <is>
          <t>Basic Attack Target Increase</t>
        </is>
      </c>
      <c r="E490" t="n">
        <v>2</v>
      </c>
      <c r="F490" t="n">
        <v>0.24</v>
      </c>
      <c r="G490" t="b">
        <v>1</v>
      </c>
      <c r="H490">
        <f>Sensitivity!H28</f>
        <v/>
      </c>
    </row>
    <row r="491">
      <c r="A491" t="inlineStr">
        <is>
          <t>chest</t>
        </is>
      </c>
      <c r="B491" t="inlineStr">
        <is>
          <t>legendary</t>
        </is>
      </c>
      <c r="C491" t="n">
        <v>2</v>
      </c>
      <c r="D491" t="inlineStr">
        <is>
          <t>Basic Attack Target Increase</t>
        </is>
      </c>
      <c r="E491" t="n">
        <v>1</v>
      </c>
      <c r="F491" t="n">
        <v>0.76</v>
      </c>
      <c r="G491" t="b">
        <v>0</v>
      </c>
      <c r="H491">
        <f>Sensitivity!H28</f>
        <v/>
      </c>
    </row>
    <row r="492">
      <c r="A492" t="inlineStr">
        <is>
          <t>chest</t>
        </is>
      </c>
      <c r="B492" t="inlineStr">
        <is>
          <t>legendary</t>
        </is>
      </c>
      <c r="C492" t="n">
        <v>3</v>
      </c>
      <c r="D492" t="inlineStr">
        <is>
          <t>Basic Attack Target Increase</t>
        </is>
      </c>
      <c r="E492" t="n">
        <v>2</v>
      </c>
      <c r="F492" t="n">
        <v>0.08</v>
      </c>
      <c r="G492" t="b">
        <v>1</v>
      </c>
      <c r="H492">
        <f>Sensitivity!H28</f>
        <v/>
      </c>
    </row>
    <row r="493">
      <c r="A493" t="inlineStr">
        <is>
          <t>chest</t>
        </is>
      </c>
      <c r="B493" t="inlineStr">
        <is>
          <t>legendary</t>
        </is>
      </c>
      <c r="C493" t="n">
        <v>3</v>
      </c>
      <c r="D493" t="inlineStr">
        <is>
          <t>Basic Attack Target Increase</t>
        </is>
      </c>
      <c r="E493" t="n">
        <v>1</v>
      </c>
      <c r="F493" t="n">
        <v>0.92</v>
      </c>
      <c r="G493" t="b">
        <v>0</v>
      </c>
      <c r="H493">
        <f>Sensitivity!H28</f>
        <v/>
      </c>
    </row>
    <row r="494">
      <c r="A494" t="inlineStr">
        <is>
          <t>chest</t>
        </is>
      </c>
      <c r="B494" t="inlineStr">
        <is>
          <t>mystic</t>
        </is>
      </c>
      <c r="C494" t="n">
        <v>1</v>
      </c>
      <c r="D494" t="inlineStr">
        <is>
          <t>Basic Attack Target Increase</t>
        </is>
      </c>
      <c r="E494" t="n">
        <v>3</v>
      </c>
      <c r="F494" t="n">
        <v>1</v>
      </c>
      <c r="G494" t="b">
        <v>1</v>
      </c>
      <c r="H494">
        <f>Sensitivity!H28</f>
        <v/>
      </c>
    </row>
    <row r="495">
      <c r="A495" t="inlineStr">
        <is>
          <t>chest</t>
        </is>
      </c>
      <c r="B495" t="inlineStr">
        <is>
          <t>mystic</t>
        </is>
      </c>
      <c r="C495" t="n">
        <v>2</v>
      </c>
      <c r="D495" t="inlineStr">
        <is>
          <t>Basic Attack Target Increase</t>
        </is>
      </c>
      <c r="E495" t="n">
        <v>3</v>
      </c>
      <c r="F495" t="n">
        <v>0.24</v>
      </c>
      <c r="G495" t="b">
        <v>1</v>
      </c>
      <c r="H495">
        <f>Sensitivity!H28</f>
        <v/>
      </c>
    </row>
    <row r="496">
      <c r="A496" t="inlineStr">
        <is>
          <t>chest</t>
        </is>
      </c>
      <c r="B496" t="inlineStr">
        <is>
          <t>mystic</t>
        </is>
      </c>
      <c r="C496" t="n">
        <v>2</v>
      </c>
      <c r="D496" t="inlineStr">
        <is>
          <t>Basic Attack Target Increase</t>
        </is>
      </c>
      <c r="E496" t="n">
        <v>2</v>
      </c>
      <c r="F496" t="n">
        <v>0.76</v>
      </c>
      <c r="G496" t="b">
        <v>0</v>
      </c>
      <c r="H496">
        <f>Sensitivity!H28</f>
        <v/>
      </c>
    </row>
    <row r="497">
      <c r="A497" t="inlineStr">
        <is>
          <t>chest</t>
        </is>
      </c>
      <c r="B497" t="inlineStr">
        <is>
          <t>mystic</t>
        </is>
      </c>
      <c r="C497" t="n">
        <v>3</v>
      </c>
      <c r="D497" t="inlineStr">
        <is>
          <t>Basic Attack Target Increase</t>
        </is>
      </c>
      <c r="E497" t="n">
        <v>3</v>
      </c>
      <c r="F497" t="n">
        <v>0.08</v>
      </c>
      <c r="G497" t="b">
        <v>1</v>
      </c>
      <c r="H497">
        <f>Sensitivity!H28</f>
        <v/>
      </c>
    </row>
    <row r="498">
      <c r="A498" t="inlineStr">
        <is>
          <t>chest</t>
        </is>
      </c>
      <c r="B498" t="inlineStr">
        <is>
          <t>mystic</t>
        </is>
      </c>
      <c r="C498" t="n">
        <v>3</v>
      </c>
      <c r="D498" t="inlineStr">
        <is>
          <t>Basic Attack Target Increase</t>
        </is>
      </c>
      <c r="E498" t="n">
        <v>2</v>
      </c>
      <c r="F498" t="n">
        <v>0.92</v>
      </c>
      <c r="G498" t="b">
        <v>0</v>
      </c>
      <c r="H498">
        <f>Sensitivity!H28</f>
        <v/>
      </c>
    </row>
    <row r="499">
      <c r="A499" t="inlineStr">
        <is>
          <t>shoulders</t>
        </is>
      </c>
      <c r="B499" t="inlineStr">
        <is>
          <t>unique</t>
        </is>
      </c>
      <c r="C499" t="n">
        <v>1</v>
      </c>
      <c r="D499" t="inlineStr">
        <is>
          <t>Defense Penetration</t>
        </is>
      </c>
      <c r="E499" t="n">
        <v>8</v>
      </c>
      <c r="F499" t="n">
        <v>1</v>
      </c>
      <c r="G499" t="b">
        <v>1</v>
      </c>
      <c r="H499">
        <f>Sensitivity!H17</f>
        <v/>
      </c>
    </row>
    <row r="500">
      <c r="A500" t="inlineStr">
        <is>
          <t>shoulders</t>
        </is>
      </c>
      <c r="B500" t="inlineStr">
        <is>
          <t>unique</t>
        </is>
      </c>
      <c r="C500" t="n">
        <v>2</v>
      </c>
      <c r="D500" t="inlineStr">
        <is>
          <t>Defense Penetration</t>
        </is>
      </c>
      <c r="E500" t="n">
        <v>8</v>
      </c>
      <c r="F500" t="n">
        <v>0.24</v>
      </c>
      <c r="G500" t="b">
        <v>1</v>
      </c>
      <c r="H500">
        <f>Sensitivity!H17</f>
        <v/>
      </c>
    </row>
    <row r="501">
      <c r="A501" t="inlineStr">
        <is>
          <t>shoulders</t>
        </is>
      </c>
      <c r="B501" t="inlineStr">
        <is>
          <t>unique</t>
        </is>
      </c>
      <c r="C501" t="n">
        <v>3</v>
      </c>
      <c r="D501" t="inlineStr">
        <is>
          <t>Defense Penetration</t>
        </is>
      </c>
      <c r="E501" t="n">
        <v>8</v>
      </c>
      <c r="F501" t="n">
        <v>0.08</v>
      </c>
      <c r="G501" t="b">
        <v>1</v>
      </c>
      <c r="H501">
        <f>Sensitivity!H17</f>
        <v/>
      </c>
    </row>
    <row r="502">
      <c r="A502" t="inlineStr">
        <is>
          <t>shoulders</t>
        </is>
      </c>
      <c r="B502" t="inlineStr">
        <is>
          <t>legendary</t>
        </is>
      </c>
      <c r="C502" t="n">
        <v>1</v>
      </c>
      <c r="D502" t="inlineStr">
        <is>
          <t>Defense Penetration</t>
        </is>
      </c>
      <c r="E502" t="n">
        <v>12</v>
      </c>
      <c r="F502" t="n">
        <v>1</v>
      </c>
      <c r="G502" t="b">
        <v>1</v>
      </c>
      <c r="H502">
        <f>Sensitivity!H17</f>
        <v/>
      </c>
    </row>
    <row r="503">
      <c r="A503" t="inlineStr">
        <is>
          <t>shoulders</t>
        </is>
      </c>
      <c r="B503" t="inlineStr">
        <is>
          <t>legendary</t>
        </is>
      </c>
      <c r="C503" t="n">
        <v>2</v>
      </c>
      <c r="D503" t="inlineStr">
        <is>
          <t>Defense Penetration</t>
        </is>
      </c>
      <c r="E503" t="n">
        <v>12</v>
      </c>
      <c r="F503" t="n">
        <v>0.24</v>
      </c>
      <c r="G503" t="b">
        <v>1</v>
      </c>
      <c r="H503">
        <f>Sensitivity!H17</f>
        <v/>
      </c>
    </row>
    <row r="504">
      <c r="A504" t="inlineStr">
        <is>
          <t>shoulders</t>
        </is>
      </c>
      <c r="B504" t="inlineStr">
        <is>
          <t>legendary</t>
        </is>
      </c>
      <c r="C504" t="n">
        <v>2</v>
      </c>
      <c r="D504" t="inlineStr">
        <is>
          <t>Defense Penetration</t>
        </is>
      </c>
      <c r="E504" t="n">
        <v>8</v>
      </c>
      <c r="F504" t="n">
        <v>0.76</v>
      </c>
      <c r="G504" t="b">
        <v>0</v>
      </c>
      <c r="H504">
        <f>Sensitivity!H17</f>
        <v/>
      </c>
    </row>
    <row r="505">
      <c r="A505" t="inlineStr">
        <is>
          <t>shoulders</t>
        </is>
      </c>
      <c r="B505" t="inlineStr">
        <is>
          <t>legendary</t>
        </is>
      </c>
      <c r="C505" t="n">
        <v>3</v>
      </c>
      <c r="D505" t="inlineStr">
        <is>
          <t>Defense Penetration</t>
        </is>
      </c>
      <c r="E505" t="n">
        <v>12</v>
      </c>
      <c r="F505" t="n">
        <v>0.08</v>
      </c>
      <c r="G505" t="b">
        <v>1</v>
      </c>
      <c r="H505">
        <f>Sensitivity!H17</f>
        <v/>
      </c>
    </row>
    <row r="506">
      <c r="A506" t="inlineStr">
        <is>
          <t>shoulders</t>
        </is>
      </c>
      <c r="B506" t="inlineStr">
        <is>
          <t>legendary</t>
        </is>
      </c>
      <c r="C506" t="n">
        <v>3</v>
      </c>
      <c r="D506" t="inlineStr">
        <is>
          <t>Defense Penetration</t>
        </is>
      </c>
      <c r="E506" t="n">
        <v>8</v>
      </c>
      <c r="F506" t="n">
        <v>0.92</v>
      </c>
      <c r="G506" t="b">
        <v>0</v>
      </c>
      <c r="H506">
        <f>Sensitivity!H17</f>
        <v/>
      </c>
    </row>
    <row r="507">
      <c r="A507" t="inlineStr">
        <is>
          <t>shoulders</t>
        </is>
      </c>
      <c r="B507" t="inlineStr">
        <is>
          <t>mystic</t>
        </is>
      </c>
      <c r="C507" t="n">
        <v>1</v>
      </c>
      <c r="D507" t="inlineStr">
        <is>
          <t>Defense Penetration</t>
        </is>
      </c>
      <c r="E507" t="n">
        <v>20</v>
      </c>
      <c r="F507" t="n">
        <v>1</v>
      </c>
      <c r="G507" t="b">
        <v>1</v>
      </c>
      <c r="H507">
        <f>Sensitivity!H17</f>
        <v/>
      </c>
    </row>
    <row r="508">
      <c r="A508" t="inlineStr">
        <is>
          <t>shoulders</t>
        </is>
      </c>
      <c r="B508" t="inlineStr">
        <is>
          <t>mystic</t>
        </is>
      </c>
      <c r="C508" t="n">
        <v>2</v>
      </c>
      <c r="D508" t="inlineStr">
        <is>
          <t>Defense Penetration</t>
        </is>
      </c>
      <c r="E508" t="n">
        <v>20</v>
      </c>
      <c r="F508" t="n">
        <v>0.24</v>
      </c>
      <c r="G508" t="b">
        <v>1</v>
      </c>
      <c r="H508">
        <f>Sensitivity!H17</f>
        <v/>
      </c>
    </row>
    <row r="509">
      <c r="A509" t="inlineStr">
        <is>
          <t>shoulders</t>
        </is>
      </c>
      <c r="B509" t="inlineStr">
        <is>
          <t>mystic</t>
        </is>
      </c>
      <c r="C509" t="n">
        <v>2</v>
      </c>
      <c r="D509" t="inlineStr">
        <is>
          <t>Defense Penetration</t>
        </is>
      </c>
      <c r="E509" t="n">
        <v>12</v>
      </c>
      <c r="F509" t="n">
        <v>0.76</v>
      </c>
      <c r="G509" t="b">
        <v>0</v>
      </c>
      <c r="H509">
        <f>Sensitivity!H17</f>
        <v/>
      </c>
    </row>
    <row r="510">
      <c r="A510" t="inlineStr">
        <is>
          <t>shoulders</t>
        </is>
      </c>
      <c r="B510" t="inlineStr">
        <is>
          <t>mystic</t>
        </is>
      </c>
      <c r="C510" t="n">
        <v>3</v>
      </c>
      <c r="D510" t="inlineStr">
        <is>
          <t>Defense Penetration</t>
        </is>
      </c>
      <c r="E510" t="n">
        <v>20</v>
      </c>
      <c r="F510" t="n">
        <v>0.08</v>
      </c>
      <c r="G510" t="b">
        <v>1</v>
      </c>
      <c r="H510">
        <f>Sensitivity!H17</f>
        <v/>
      </c>
    </row>
    <row r="511">
      <c r="A511" t="inlineStr">
        <is>
          <t>shoulders</t>
        </is>
      </c>
      <c r="B511" t="inlineStr">
        <is>
          <t>mystic</t>
        </is>
      </c>
      <c r="C511" t="n">
        <v>3</v>
      </c>
      <c r="D511" t="inlineStr">
        <is>
          <t>Defense Penetration</t>
        </is>
      </c>
      <c r="E511" t="n">
        <v>12</v>
      </c>
      <c r="F511" t="n">
        <v>0.92</v>
      </c>
      <c r="G511" t="b">
        <v>0</v>
      </c>
      <c r="H511">
        <f>Sensitivity!H17</f>
        <v/>
      </c>
    </row>
    <row r="512">
      <c r="A512" t="inlineStr">
        <is>
          <t>legs</t>
        </is>
      </c>
      <c r="B512" t="inlineStr">
        <is>
          <t>epic</t>
        </is>
      </c>
      <c r="C512" t="n">
        <v>1</v>
      </c>
      <c r="D512" t="inlineStr">
        <is>
          <t>Final Damage %</t>
        </is>
      </c>
      <c r="E512" t="n">
        <v>3</v>
      </c>
      <c r="F512" t="n">
        <v>1</v>
      </c>
      <c r="G512" t="b">
        <v>1</v>
      </c>
      <c r="H512">
        <f>Sensitivity!H11</f>
        <v/>
      </c>
    </row>
    <row r="513">
      <c r="A513" t="inlineStr">
        <is>
          <t>legs</t>
        </is>
      </c>
      <c r="B513" t="inlineStr">
        <is>
          <t>epic</t>
        </is>
      </c>
      <c r="C513" t="n">
        <v>2</v>
      </c>
      <c r="D513" t="inlineStr">
        <is>
          <t>Final Damage %</t>
        </is>
      </c>
      <c r="E513" t="n">
        <v>3</v>
      </c>
      <c r="F513" t="n">
        <v>0.24</v>
      </c>
      <c r="G513" t="b">
        <v>1</v>
      </c>
      <c r="H513">
        <f>Sensitivity!H11</f>
        <v/>
      </c>
    </row>
    <row r="514">
      <c r="A514" t="inlineStr">
        <is>
          <t>legs</t>
        </is>
      </c>
      <c r="B514" t="inlineStr">
        <is>
          <t>epic</t>
        </is>
      </c>
      <c r="C514" t="n">
        <v>3</v>
      </c>
      <c r="D514" t="inlineStr">
        <is>
          <t>Final Damage %</t>
        </is>
      </c>
      <c r="E514" t="n">
        <v>3</v>
      </c>
      <c r="F514" t="n">
        <v>0.08</v>
      </c>
      <c r="G514" t="b">
        <v>1</v>
      </c>
      <c r="H514">
        <f>Sensitivity!H11</f>
        <v/>
      </c>
    </row>
    <row r="515">
      <c r="A515" t="inlineStr">
        <is>
          <t>legs</t>
        </is>
      </c>
      <c r="B515" t="inlineStr">
        <is>
          <t>unique</t>
        </is>
      </c>
      <c r="C515" t="n">
        <v>1</v>
      </c>
      <c r="D515" t="inlineStr">
        <is>
          <t>Final Damage %</t>
        </is>
      </c>
      <c r="E515" t="n">
        <v>5</v>
      </c>
      <c r="F515" t="n">
        <v>1</v>
      </c>
      <c r="G515" t="b">
        <v>1</v>
      </c>
      <c r="H515">
        <f>Sensitivity!H11</f>
        <v/>
      </c>
    </row>
    <row r="516">
      <c r="A516" t="inlineStr">
        <is>
          <t>legs</t>
        </is>
      </c>
      <c r="B516" t="inlineStr">
        <is>
          <t>unique</t>
        </is>
      </c>
      <c r="C516" t="n">
        <v>2</v>
      </c>
      <c r="D516" t="inlineStr">
        <is>
          <t>Final Damage %</t>
        </is>
      </c>
      <c r="E516" t="n">
        <v>5</v>
      </c>
      <c r="F516" t="n">
        <v>0.24</v>
      </c>
      <c r="G516" t="b">
        <v>1</v>
      </c>
      <c r="H516">
        <f>Sensitivity!H11</f>
        <v/>
      </c>
    </row>
    <row r="517">
      <c r="A517" t="inlineStr">
        <is>
          <t>legs</t>
        </is>
      </c>
      <c r="B517" t="inlineStr">
        <is>
          <t>unique</t>
        </is>
      </c>
      <c r="C517" t="n">
        <v>2</v>
      </c>
      <c r="D517" t="inlineStr">
        <is>
          <t>Final Damage %</t>
        </is>
      </c>
      <c r="E517" t="n">
        <v>3</v>
      </c>
      <c r="F517" t="n">
        <v>0.76</v>
      </c>
      <c r="G517" t="b">
        <v>0</v>
      </c>
      <c r="H517">
        <f>Sensitivity!H11</f>
        <v/>
      </c>
    </row>
    <row r="518">
      <c r="A518" t="inlineStr">
        <is>
          <t>legs</t>
        </is>
      </c>
      <c r="B518" t="inlineStr">
        <is>
          <t>unique</t>
        </is>
      </c>
      <c r="C518" t="n">
        <v>3</v>
      </c>
      <c r="D518" t="inlineStr">
        <is>
          <t>Final Damage %</t>
        </is>
      </c>
      <c r="E518" t="n">
        <v>5</v>
      </c>
      <c r="F518" t="n">
        <v>0.08</v>
      </c>
      <c r="G518" t="b">
        <v>1</v>
      </c>
      <c r="H518">
        <f>Sensitivity!H11</f>
        <v/>
      </c>
    </row>
    <row r="519">
      <c r="A519" t="inlineStr">
        <is>
          <t>legs</t>
        </is>
      </c>
      <c r="B519" t="inlineStr">
        <is>
          <t>unique</t>
        </is>
      </c>
      <c r="C519" t="n">
        <v>3</v>
      </c>
      <c r="D519" t="inlineStr">
        <is>
          <t>Final Damage %</t>
        </is>
      </c>
      <c r="E519" t="n">
        <v>3</v>
      </c>
      <c r="F519" t="n">
        <v>0.92</v>
      </c>
      <c r="G519" t="b">
        <v>0</v>
      </c>
      <c r="H519">
        <f>Sensitivity!H11</f>
        <v/>
      </c>
    </row>
    <row r="520">
      <c r="A520" t="inlineStr">
        <is>
          <t>legs</t>
        </is>
      </c>
      <c r="B520" t="inlineStr">
        <is>
          <t>legendary</t>
        </is>
      </c>
      <c r="C520" t="n">
        <v>1</v>
      </c>
      <c r="D520" t="inlineStr">
        <is>
          <t>Final Damage %</t>
        </is>
      </c>
      <c r="E520" t="n">
        <v>8</v>
      </c>
      <c r="F520" t="n">
        <v>1</v>
      </c>
      <c r="G520" t="b">
        <v>1</v>
      </c>
      <c r="H520">
        <f>Sensitivity!H11</f>
        <v/>
      </c>
    </row>
    <row r="521">
      <c r="A521" t="inlineStr">
        <is>
          <t>legs</t>
        </is>
      </c>
      <c r="B521" t="inlineStr">
        <is>
          <t>legendary</t>
        </is>
      </c>
      <c r="C521" t="n">
        <v>2</v>
      </c>
      <c r="D521" t="inlineStr">
        <is>
          <t>Final Damage %</t>
        </is>
      </c>
      <c r="E521" t="n">
        <v>8</v>
      </c>
      <c r="F521" t="n">
        <v>0.24</v>
      </c>
      <c r="G521" t="b">
        <v>1</v>
      </c>
      <c r="H521">
        <f>Sensitivity!H11</f>
        <v/>
      </c>
    </row>
    <row r="522">
      <c r="A522" t="inlineStr">
        <is>
          <t>legs</t>
        </is>
      </c>
      <c r="B522" t="inlineStr">
        <is>
          <t>legendary</t>
        </is>
      </c>
      <c r="C522" t="n">
        <v>2</v>
      </c>
      <c r="D522" t="inlineStr">
        <is>
          <t>Final Damage %</t>
        </is>
      </c>
      <c r="E522" t="n">
        <v>5</v>
      </c>
      <c r="F522" t="n">
        <v>0.76</v>
      </c>
      <c r="G522" t="b">
        <v>0</v>
      </c>
      <c r="H522">
        <f>Sensitivity!H11</f>
        <v/>
      </c>
    </row>
    <row r="523">
      <c r="A523" t="inlineStr">
        <is>
          <t>legs</t>
        </is>
      </c>
      <c r="B523" t="inlineStr">
        <is>
          <t>legendary</t>
        </is>
      </c>
      <c r="C523" t="n">
        <v>3</v>
      </c>
      <c r="D523" t="inlineStr">
        <is>
          <t>Final Damage %</t>
        </is>
      </c>
      <c r="E523" t="n">
        <v>8</v>
      </c>
      <c r="F523" t="n">
        <v>0.08</v>
      </c>
      <c r="G523" t="b">
        <v>1</v>
      </c>
      <c r="H523">
        <f>Sensitivity!H11</f>
        <v/>
      </c>
    </row>
    <row r="524">
      <c r="A524" t="inlineStr">
        <is>
          <t>legs</t>
        </is>
      </c>
      <c r="B524" t="inlineStr">
        <is>
          <t>legendary</t>
        </is>
      </c>
      <c r="C524" t="n">
        <v>3</v>
      </c>
      <c r="D524" t="inlineStr">
        <is>
          <t>Final Damage %</t>
        </is>
      </c>
      <c r="E524" t="n">
        <v>5</v>
      </c>
      <c r="F524" t="n">
        <v>0.92</v>
      </c>
      <c r="G524" t="b">
        <v>0</v>
      </c>
      <c r="H524">
        <f>Sensitivity!H11</f>
        <v/>
      </c>
    </row>
    <row r="525">
      <c r="A525" t="inlineStr">
        <is>
          <t>legs</t>
        </is>
      </c>
      <c r="B525" t="inlineStr">
        <is>
          <t>mystic</t>
        </is>
      </c>
      <c r="C525" t="n">
        <v>1</v>
      </c>
      <c r="D525" t="inlineStr">
        <is>
          <t>Final Damage %</t>
        </is>
      </c>
      <c r="E525" t="n">
        <v>12</v>
      </c>
      <c r="F525" t="n">
        <v>1</v>
      </c>
      <c r="G525" t="b">
        <v>1</v>
      </c>
      <c r="H525">
        <f>Sensitivity!H11</f>
        <v/>
      </c>
    </row>
    <row r="526">
      <c r="A526" t="inlineStr">
        <is>
          <t>legs</t>
        </is>
      </c>
      <c r="B526" t="inlineStr">
        <is>
          <t>mystic</t>
        </is>
      </c>
      <c r="C526" t="n">
        <v>2</v>
      </c>
      <c r="D526" t="inlineStr">
        <is>
          <t>Final Damage %</t>
        </is>
      </c>
      <c r="E526" t="n">
        <v>12</v>
      </c>
      <c r="F526" t="n">
        <v>0.24</v>
      </c>
      <c r="G526" t="b">
        <v>1</v>
      </c>
      <c r="H526">
        <f>Sensitivity!H11</f>
        <v/>
      </c>
    </row>
    <row r="527">
      <c r="A527" t="inlineStr">
        <is>
          <t>legs</t>
        </is>
      </c>
      <c r="B527" t="inlineStr">
        <is>
          <t>mystic</t>
        </is>
      </c>
      <c r="C527" t="n">
        <v>2</v>
      </c>
      <c r="D527" t="inlineStr">
        <is>
          <t>Final Damage %</t>
        </is>
      </c>
      <c r="E527" t="n">
        <v>8</v>
      </c>
      <c r="F527" t="n">
        <v>0.76</v>
      </c>
      <c r="G527" t="b">
        <v>0</v>
      </c>
      <c r="H527">
        <f>Sensitivity!H11</f>
        <v/>
      </c>
    </row>
    <row r="528">
      <c r="A528" t="inlineStr">
        <is>
          <t>legs</t>
        </is>
      </c>
      <c r="B528" t="inlineStr">
        <is>
          <t>mystic</t>
        </is>
      </c>
      <c r="C528" t="n">
        <v>3</v>
      </c>
      <c r="D528" t="inlineStr">
        <is>
          <t>Final Damage %</t>
        </is>
      </c>
      <c r="E528" t="n">
        <v>12</v>
      </c>
      <c r="F528" t="n">
        <v>0.08</v>
      </c>
      <c r="G528" t="b">
        <v>1</v>
      </c>
      <c r="H528">
        <f>Sensitivity!H11</f>
        <v/>
      </c>
    </row>
    <row r="529">
      <c r="A529" t="inlineStr">
        <is>
          <t>legs</t>
        </is>
      </c>
      <c r="B529" t="inlineStr">
        <is>
          <t>mystic</t>
        </is>
      </c>
      <c r="C529" t="n">
        <v>3</v>
      </c>
      <c r="D529" t="inlineStr">
        <is>
          <t>Final Damage %</t>
        </is>
      </c>
      <c r="E529" t="n">
        <v>8</v>
      </c>
      <c r="F529" t="n">
        <v>0.92</v>
      </c>
      <c r="G529" t="b">
        <v>0</v>
      </c>
      <c r="H529">
        <f>Sensitivity!H11</f>
        <v/>
      </c>
    </row>
    <row r="530">
      <c r="A530" t="inlineStr">
        <is>
          <t>belt</t>
        </is>
      </c>
      <c r="B530" t="inlineStr">
        <is>
          <t>epic</t>
        </is>
      </c>
      <c r="C530" t="n">
        <v>1</v>
      </c>
      <c r="D530" t="inlineStr">
        <is>
          <t>Buff Duration Increase %</t>
        </is>
      </c>
      <c r="E530" t="n">
        <v>5</v>
      </c>
      <c r="F530" t="n">
        <v>1</v>
      </c>
      <c r="G530" t="b">
        <v>1</v>
      </c>
      <c r="H530">
        <f>Sensitivity!H29</f>
        <v/>
      </c>
    </row>
    <row r="531">
      <c r="A531" t="inlineStr">
        <is>
          <t>belt</t>
        </is>
      </c>
      <c r="B531" t="inlineStr">
        <is>
          <t>epic</t>
        </is>
      </c>
      <c r="C531" t="n">
        <v>2</v>
      </c>
      <c r="D531" t="inlineStr">
        <is>
          <t>Buff Duration Increase %</t>
        </is>
      </c>
      <c r="E531" t="n">
        <v>5</v>
      </c>
      <c r="F531" t="n">
        <v>0.24</v>
      </c>
      <c r="G531" t="b">
        <v>1</v>
      </c>
      <c r="H531">
        <f>Sensitivity!H29</f>
        <v/>
      </c>
    </row>
    <row r="532">
      <c r="A532" t="inlineStr">
        <is>
          <t>belt</t>
        </is>
      </c>
      <c r="B532" t="inlineStr">
        <is>
          <t>epic</t>
        </is>
      </c>
      <c r="C532" t="n">
        <v>3</v>
      </c>
      <c r="D532" t="inlineStr">
        <is>
          <t>Buff Duration Increase %</t>
        </is>
      </c>
      <c r="E532" t="n">
        <v>5</v>
      </c>
      <c r="F532" t="n">
        <v>0.08</v>
      </c>
      <c r="G532" t="b">
        <v>1</v>
      </c>
      <c r="H532">
        <f>Sensitivity!H29</f>
        <v/>
      </c>
    </row>
    <row r="533">
      <c r="A533" t="inlineStr">
        <is>
          <t>belt</t>
        </is>
      </c>
      <c r="B533" t="inlineStr">
        <is>
          <t>unique</t>
        </is>
      </c>
      <c r="C533" t="n">
        <v>1</v>
      </c>
      <c r="D533" t="inlineStr">
        <is>
          <t>Buff Duration Increase %</t>
        </is>
      </c>
      <c r="E533" t="n">
        <v>8</v>
      </c>
      <c r="F533" t="n">
        <v>1</v>
      </c>
      <c r="G533" t="b">
        <v>1</v>
      </c>
      <c r="H533">
        <f>Sensitivity!H29</f>
        <v/>
      </c>
    </row>
    <row r="534">
      <c r="A534" t="inlineStr">
        <is>
          <t>belt</t>
        </is>
      </c>
      <c r="B534" t="inlineStr">
        <is>
          <t>unique</t>
        </is>
      </c>
      <c r="C534" t="n">
        <v>2</v>
      </c>
      <c r="D534" t="inlineStr">
        <is>
          <t>Buff Duration Increase %</t>
        </is>
      </c>
      <c r="E534" t="n">
        <v>8</v>
      </c>
      <c r="F534" t="n">
        <v>0.24</v>
      </c>
      <c r="G534" t="b">
        <v>1</v>
      </c>
      <c r="H534">
        <f>Sensitivity!H29</f>
        <v/>
      </c>
    </row>
    <row r="535">
      <c r="A535" t="inlineStr">
        <is>
          <t>belt</t>
        </is>
      </c>
      <c r="B535" t="inlineStr">
        <is>
          <t>unique</t>
        </is>
      </c>
      <c r="C535" t="n">
        <v>2</v>
      </c>
      <c r="D535" t="inlineStr">
        <is>
          <t>Buff Duration Increase %</t>
        </is>
      </c>
      <c r="E535" t="n">
        <v>5</v>
      </c>
      <c r="F535" t="n">
        <v>0.76</v>
      </c>
      <c r="G535" t="b">
        <v>0</v>
      </c>
      <c r="H535">
        <f>Sensitivity!H29</f>
        <v/>
      </c>
    </row>
    <row r="536">
      <c r="A536" t="inlineStr">
        <is>
          <t>belt</t>
        </is>
      </c>
      <c r="B536" t="inlineStr">
        <is>
          <t>unique</t>
        </is>
      </c>
      <c r="C536" t="n">
        <v>3</v>
      </c>
      <c r="D536" t="inlineStr">
        <is>
          <t>Buff Duration Increase %</t>
        </is>
      </c>
      <c r="E536" t="n">
        <v>8</v>
      </c>
      <c r="F536" t="n">
        <v>0.08</v>
      </c>
      <c r="G536" t="b">
        <v>1</v>
      </c>
      <c r="H536">
        <f>Sensitivity!H29</f>
        <v/>
      </c>
    </row>
    <row r="537">
      <c r="A537" t="inlineStr">
        <is>
          <t>belt</t>
        </is>
      </c>
      <c r="B537" t="inlineStr">
        <is>
          <t>unique</t>
        </is>
      </c>
      <c r="C537" t="n">
        <v>3</v>
      </c>
      <c r="D537" t="inlineStr">
        <is>
          <t>Buff Duration Increase %</t>
        </is>
      </c>
      <c r="E537" t="n">
        <v>5</v>
      </c>
      <c r="F537" t="n">
        <v>0.92</v>
      </c>
      <c r="G537" t="b">
        <v>0</v>
      </c>
      <c r="H537">
        <f>Sensitivity!H29</f>
        <v/>
      </c>
    </row>
    <row r="538">
      <c r="A538" t="inlineStr">
        <is>
          <t>belt</t>
        </is>
      </c>
      <c r="B538" t="inlineStr">
        <is>
          <t>legendary</t>
        </is>
      </c>
      <c r="C538" t="n">
        <v>1</v>
      </c>
      <c r="D538" t="inlineStr">
        <is>
          <t>Buff Duration Increase %</t>
        </is>
      </c>
      <c r="E538" t="n">
        <v>12</v>
      </c>
      <c r="F538" t="n">
        <v>1</v>
      </c>
      <c r="G538" t="b">
        <v>1</v>
      </c>
      <c r="H538">
        <f>Sensitivity!H29</f>
        <v/>
      </c>
    </row>
    <row r="539">
      <c r="A539" t="inlineStr">
        <is>
          <t>belt</t>
        </is>
      </c>
      <c r="B539" t="inlineStr">
        <is>
          <t>legendary</t>
        </is>
      </c>
      <c r="C539" t="n">
        <v>2</v>
      </c>
      <c r="D539" t="inlineStr">
        <is>
          <t>Buff Duration Increase %</t>
        </is>
      </c>
      <c r="E539" t="n">
        <v>12</v>
      </c>
      <c r="F539" t="n">
        <v>0.24</v>
      </c>
      <c r="G539" t="b">
        <v>1</v>
      </c>
      <c r="H539">
        <f>Sensitivity!H29</f>
        <v/>
      </c>
    </row>
    <row r="540">
      <c r="A540" t="inlineStr">
        <is>
          <t>belt</t>
        </is>
      </c>
      <c r="B540" t="inlineStr">
        <is>
          <t>legendary</t>
        </is>
      </c>
      <c r="C540" t="n">
        <v>2</v>
      </c>
      <c r="D540" t="inlineStr">
        <is>
          <t>Buff Duration Increase %</t>
        </is>
      </c>
      <c r="E540" t="n">
        <v>8</v>
      </c>
      <c r="F540" t="n">
        <v>0.76</v>
      </c>
      <c r="G540" t="b">
        <v>0</v>
      </c>
      <c r="H540">
        <f>Sensitivity!H29</f>
        <v/>
      </c>
    </row>
    <row r="541">
      <c r="A541" t="inlineStr">
        <is>
          <t>belt</t>
        </is>
      </c>
      <c r="B541" t="inlineStr">
        <is>
          <t>legendary</t>
        </is>
      </c>
      <c r="C541" t="n">
        <v>3</v>
      </c>
      <c r="D541" t="inlineStr">
        <is>
          <t>Buff Duration Increase %</t>
        </is>
      </c>
      <c r="E541" t="n">
        <v>12</v>
      </c>
      <c r="F541" t="n">
        <v>0.08</v>
      </c>
      <c r="G541" t="b">
        <v>1</v>
      </c>
      <c r="H541">
        <f>Sensitivity!H29</f>
        <v/>
      </c>
    </row>
    <row r="542">
      <c r="A542" t="inlineStr">
        <is>
          <t>belt</t>
        </is>
      </c>
      <c r="B542" t="inlineStr">
        <is>
          <t>legendary</t>
        </is>
      </c>
      <c r="C542" t="n">
        <v>3</v>
      </c>
      <c r="D542" t="inlineStr">
        <is>
          <t>Buff Duration Increase %</t>
        </is>
      </c>
      <c r="E542" t="n">
        <v>8</v>
      </c>
      <c r="F542" t="n">
        <v>0.92</v>
      </c>
      <c r="G542" t="b">
        <v>0</v>
      </c>
      <c r="H542">
        <f>Sensitivity!H29</f>
        <v/>
      </c>
    </row>
    <row r="543">
      <c r="A543" t="inlineStr">
        <is>
          <t>belt</t>
        </is>
      </c>
      <c r="B543" t="inlineStr">
        <is>
          <t>mystic</t>
        </is>
      </c>
      <c r="C543" t="n">
        <v>1</v>
      </c>
      <c r="D543" t="inlineStr">
        <is>
          <t>Buff Duration Increase %</t>
        </is>
      </c>
      <c r="E543" t="n">
        <v>20</v>
      </c>
      <c r="F543" t="n">
        <v>1</v>
      </c>
      <c r="G543" t="b">
        <v>1</v>
      </c>
      <c r="H543">
        <f>Sensitivity!H29</f>
        <v/>
      </c>
    </row>
    <row r="544">
      <c r="A544" t="inlineStr">
        <is>
          <t>belt</t>
        </is>
      </c>
      <c r="B544" t="inlineStr">
        <is>
          <t>mystic</t>
        </is>
      </c>
      <c r="C544" t="n">
        <v>2</v>
      </c>
      <c r="D544" t="inlineStr">
        <is>
          <t>Buff Duration Increase %</t>
        </is>
      </c>
      <c r="E544" t="n">
        <v>20</v>
      </c>
      <c r="F544" t="n">
        <v>0.24</v>
      </c>
      <c r="G544" t="b">
        <v>1</v>
      </c>
      <c r="H544">
        <f>Sensitivity!H29</f>
        <v/>
      </c>
    </row>
    <row r="545">
      <c r="A545" t="inlineStr">
        <is>
          <t>belt</t>
        </is>
      </c>
      <c r="B545" t="inlineStr">
        <is>
          <t>mystic</t>
        </is>
      </c>
      <c r="C545" t="n">
        <v>2</v>
      </c>
      <c r="D545" t="inlineStr">
        <is>
          <t>Buff Duration Increase %</t>
        </is>
      </c>
      <c r="E545" t="n">
        <v>12</v>
      </c>
      <c r="F545" t="n">
        <v>0.76</v>
      </c>
      <c r="G545" t="b">
        <v>0</v>
      </c>
      <c r="H545">
        <f>Sensitivity!H29</f>
        <v/>
      </c>
    </row>
    <row r="546">
      <c r="A546" t="inlineStr">
        <is>
          <t>belt</t>
        </is>
      </c>
      <c r="B546" t="inlineStr">
        <is>
          <t>mystic</t>
        </is>
      </c>
      <c r="C546" t="n">
        <v>3</v>
      </c>
      <c r="D546" t="inlineStr">
        <is>
          <t>Buff Duration Increase %</t>
        </is>
      </c>
      <c r="E546" t="n">
        <v>20</v>
      </c>
      <c r="F546" t="n">
        <v>0.08</v>
      </c>
      <c r="G546" t="b">
        <v>1</v>
      </c>
      <c r="H546">
        <f>Sensitivity!H29</f>
        <v/>
      </c>
    </row>
    <row r="547">
      <c r="A547" t="inlineStr">
        <is>
          <t>belt</t>
        </is>
      </c>
      <c r="B547" t="inlineStr">
        <is>
          <t>mystic</t>
        </is>
      </c>
      <c r="C547" t="n">
        <v>3</v>
      </c>
      <c r="D547" t="inlineStr">
        <is>
          <t>Buff Duration Increase %</t>
        </is>
      </c>
      <c r="E547" t="n">
        <v>12</v>
      </c>
      <c r="F547" t="n">
        <v>0.92</v>
      </c>
      <c r="G547" t="b">
        <v>0</v>
      </c>
      <c r="H547">
        <f>Sensitivity!H29</f>
        <v/>
      </c>
    </row>
    <row r="548">
      <c r="A548" t="inlineStr">
        <is>
          <t>gloves</t>
        </is>
      </c>
      <c r="B548" t="inlineStr">
        <is>
          <t>epic</t>
        </is>
      </c>
      <c r="C548" t="n">
        <v>1</v>
      </c>
      <c r="D548" t="inlineStr">
        <is>
          <t>Critical Damage %</t>
        </is>
      </c>
      <c r="E548" t="n">
        <v>10</v>
      </c>
      <c r="F548" t="n">
        <v>1</v>
      </c>
      <c r="G548" t="b">
        <v>1</v>
      </c>
      <c r="H548">
        <f>Sensitivity!H15</f>
        <v/>
      </c>
    </row>
    <row r="549">
      <c r="A549" t="inlineStr">
        <is>
          <t>gloves</t>
        </is>
      </c>
      <c r="B549" t="inlineStr">
        <is>
          <t>epic</t>
        </is>
      </c>
      <c r="C549" t="n">
        <v>2</v>
      </c>
      <c r="D549" t="inlineStr">
        <is>
          <t>Critical Damage %</t>
        </is>
      </c>
      <c r="E549" t="n">
        <v>10</v>
      </c>
      <c r="F549" t="n">
        <v>0.24</v>
      </c>
      <c r="G549" t="b">
        <v>1</v>
      </c>
      <c r="H549">
        <f>Sensitivity!H15</f>
        <v/>
      </c>
    </row>
    <row r="550">
      <c r="A550" t="inlineStr">
        <is>
          <t>gloves</t>
        </is>
      </c>
      <c r="B550" t="inlineStr">
        <is>
          <t>epic</t>
        </is>
      </c>
      <c r="C550" t="n">
        <v>3</v>
      </c>
      <c r="D550" t="inlineStr">
        <is>
          <t>Critical Damage %</t>
        </is>
      </c>
      <c r="E550" t="n">
        <v>10</v>
      </c>
      <c r="F550" t="n">
        <v>0.08</v>
      </c>
      <c r="G550" t="b">
        <v>1</v>
      </c>
      <c r="H550">
        <f>Sensitivity!H15</f>
        <v/>
      </c>
    </row>
    <row r="551">
      <c r="A551" t="inlineStr">
        <is>
          <t>gloves</t>
        </is>
      </c>
      <c r="B551" t="inlineStr">
        <is>
          <t>unique</t>
        </is>
      </c>
      <c r="C551" t="n">
        <v>1</v>
      </c>
      <c r="D551" t="inlineStr">
        <is>
          <t>Critical Damage %</t>
        </is>
      </c>
      <c r="E551" t="n">
        <v>20</v>
      </c>
      <c r="F551" t="n">
        <v>1</v>
      </c>
      <c r="G551" t="b">
        <v>1</v>
      </c>
      <c r="H551">
        <f>Sensitivity!H15</f>
        <v/>
      </c>
    </row>
    <row r="552">
      <c r="A552" t="inlineStr">
        <is>
          <t>gloves</t>
        </is>
      </c>
      <c r="B552" t="inlineStr">
        <is>
          <t>unique</t>
        </is>
      </c>
      <c r="C552" t="n">
        <v>2</v>
      </c>
      <c r="D552" t="inlineStr">
        <is>
          <t>Critical Damage %</t>
        </is>
      </c>
      <c r="E552" t="n">
        <v>20</v>
      </c>
      <c r="F552" t="n">
        <v>0.24</v>
      </c>
      <c r="G552" t="b">
        <v>1</v>
      </c>
      <c r="H552">
        <f>Sensitivity!H15</f>
        <v/>
      </c>
    </row>
    <row r="553">
      <c r="A553" t="inlineStr">
        <is>
          <t>gloves</t>
        </is>
      </c>
      <c r="B553" t="inlineStr">
        <is>
          <t>unique</t>
        </is>
      </c>
      <c r="C553" t="n">
        <v>2</v>
      </c>
      <c r="D553" t="inlineStr">
        <is>
          <t>Critical Damage %</t>
        </is>
      </c>
      <c r="E553" t="n">
        <v>10</v>
      </c>
      <c r="F553" t="n">
        <v>0.76</v>
      </c>
      <c r="G553" t="b">
        <v>0</v>
      </c>
      <c r="H553">
        <f>Sensitivity!H15</f>
        <v/>
      </c>
    </row>
    <row r="554">
      <c r="A554" t="inlineStr">
        <is>
          <t>gloves</t>
        </is>
      </c>
      <c r="B554" t="inlineStr">
        <is>
          <t>unique</t>
        </is>
      </c>
      <c r="C554" t="n">
        <v>3</v>
      </c>
      <c r="D554" t="inlineStr">
        <is>
          <t>Critical Damage %</t>
        </is>
      </c>
      <c r="E554" t="n">
        <v>20</v>
      </c>
      <c r="F554" t="n">
        <v>0.08</v>
      </c>
      <c r="G554" t="b">
        <v>1</v>
      </c>
      <c r="H554">
        <f>Sensitivity!H15</f>
        <v/>
      </c>
    </row>
    <row r="555">
      <c r="A555" t="inlineStr">
        <is>
          <t>gloves</t>
        </is>
      </c>
      <c r="B555" t="inlineStr">
        <is>
          <t>unique</t>
        </is>
      </c>
      <c r="C555" t="n">
        <v>3</v>
      </c>
      <c r="D555" t="inlineStr">
        <is>
          <t>Critical Damage %</t>
        </is>
      </c>
      <c r="E555" t="n">
        <v>10</v>
      </c>
      <c r="F555" t="n">
        <v>0.92</v>
      </c>
      <c r="G555" t="b">
        <v>0</v>
      </c>
      <c r="H555">
        <f>Sensitivity!H15</f>
        <v/>
      </c>
    </row>
    <row r="556">
      <c r="A556" t="inlineStr">
        <is>
          <t>gloves</t>
        </is>
      </c>
      <c r="B556" t="inlineStr">
        <is>
          <t>legendary</t>
        </is>
      </c>
      <c r="C556" t="n">
        <v>1</v>
      </c>
      <c r="D556" t="inlineStr">
        <is>
          <t>Critical Damage %</t>
        </is>
      </c>
      <c r="E556" t="n">
        <v>30</v>
      </c>
      <c r="F556" t="n">
        <v>1</v>
      </c>
      <c r="G556" t="b">
        <v>1</v>
      </c>
      <c r="H556">
        <f>Sensitivity!H15</f>
        <v/>
      </c>
    </row>
    <row r="557">
      <c r="A557" t="inlineStr">
        <is>
          <t>gloves</t>
        </is>
      </c>
      <c r="B557" t="inlineStr">
        <is>
          <t>legendary</t>
        </is>
      </c>
      <c r="C557" t="n">
        <v>2</v>
      </c>
      <c r="D557" t="inlineStr">
        <is>
          <t>Critical Damage %</t>
        </is>
      </c>
      <c r="E557" t="n">
        <v>30</v>
      </c>
      <c r="F557" t="n">
        <v>0.24</v>
      </c>
      <c r="G557" t="b">
        <v>1</v>
      </c>
      <c r="H557">
        <f>Sensitivity!H15</f>
        <v/>
      </c>
    </row>
    <row r="558">
      <c r="A558" t="inlineStr">
        <is>
          <t>gloves</t>
        </is>
      </c>
      <c r="B558" t="inlineStr">
        <is>
          <t>legendary</t>
        </is>
      </c>
      <c r="C558" t="n">
        <v>2</v>
      </c>
      <c r="D558" t="inlineStr">
        <is>
          <t>Critical Damage %</t>
        </is>
      </c>
      <c r="E558" t="n">
        <v>20</v>
      </c>
      <c r="F558" t="n">
        <v>0.76</v>
      </c>
      <c r="G558" t="b">
        <v>0</v>
      </c>
      <c r="H558">
        <f>Sensitivity!H15</f>
        <v/>
      </c>
    </row>
    <row r="559">
      <c r="A559" t="inlineStr">
        <is>
          <t>gloves</t>
        </is>
      </c>
      <c r="B559" t="inlineStr">
        <is>
          <t>legendary</t>
        </is>
      </c>
      <c r="C559" t="n">
        <v>3</v>
      </c>
      <c r="D559" t="inlineStr">
        <is>
          <t>Critical Damage %</t>
        </is>
      </c>
      <c r="E559" t="n">
        <v>30</v>
      </c>
      <c r="F559" t="n">
        <v>0.08</v>
      </c>
      <c r="G559" t="b">
        <v>1</v>
      </c>
      <c r="H559">
        <f>Sensitivity!H15</f>
        <v/>
      </c>
    </row>
    <row r="560">
      <c r="A560" t="inlineStr">
        <is>
          <t>gloves</t>
        </is>
      </c>
      <c r="B560" t="inlineStr">
        <is>
          <t>legendary</t>
        </is>
      </c>
      <c r="C560" t="n">
        <v>3</v>
      </c>
      <c r="D560" t="inlineStr">
        <is>
          <t>Critical Damage %</t>
        </is>
      </c>
      <c r="E560" t="n">
        <v>20</v>
      </c>
      <c r="F560" t="n">
        <v>0.92</v>
      </c>
      <c r="G560" t="b">
        <v>0</v>
      </c>
      <c r="H560">
        <f>Sensitivity!H15</f>
        <v/>
      </c>
    </row>
    <row r="561">
      <c r="A561" t="inlineStr">
        <is>
          <t>gloves</t>
        </is>
      </c>
      <c r="B561" t="inlineStr">
        <is>
          <t>mystic</t>
        </is>
      </c>
      <c r="C561" t="n">
        <v>1</v>
      </c>
      <c r="D561" t="inlineStr">
        <is>
          <t>Critical Damage %</t>
        </is>
      </c>
      <c r="E561" t="n">
        <v>50</v>
      </c>
      <c r="F561" t="n">
        <v>1</v>
      </c>
      <c r="G561" t="b">
        <v>1</v>
      </c>
      <c r="H561">
        <f>Sensitivity!H15</f>
        <v/>
      </c>
    </row>
    <row r="562">
      <c r="A562" t="inlineStr">
        <is>
          <t>gloves</t>
        </is>
      </c>
      <c r="B562" t="inlineStr">
        <is>
          <t>mystic</t>
        </is>
      </c>
      <c r="C562" t="n">
        <v>2</v>
      </c>
      <c r="D562" t="inlineStr">
        <is>
          <t>Critical Damage %</t>
        </is>
      </c>
      <c r="E562" t="n">
        <v>50</v>
      </c>
      <c r="F562" t="n">
        <v>0.24</v>
      </c>
      <c r="G562" t="b">
        <v>1</v>
      </c>
      <c r="H562">
        <f>Sensitivity!H15</f>
        <v/>
      </c>
    </row>
    <row r="563">
      <c r="A563" t="inlineStr">
        <is>
          <t>gloves</t>
        </is>
      </c>
      <c r="B563" t="inlineStr">
        <is>
          <t>mystic</t>
        </is>
      </c>
      <c r="C563" t="n">
        <v>2</v>
      </c>
      <c r="D563" t="inlineStr">
        <is>
          <t>Critical Damage %</t>
        </is>
      </c>
      <c r="E563" t="n">
        <v>30</v>
      </c>
      <c r="F563" t="n">
        <v>0.76</v>
      </c>
      <c r="G563" t="b">
        <v>0</v>
      </c>
      <c r="H563">
        <f>Sensitivity!H15</f>
        <v/>
      </c>
    </row>
    <row r="564">
      <c r="A564" t="inlineStr">
        <is>
          <t>gloves</t>
        </is>
      </c>
      <c r="B564" t="inlineStr">
        <is>
          <t>mystic</t>
        </is>
      </c>
      <c r="C564" t="n">
        <v>3</v>
      </c>
      <c r="D564" t="inlineStr">
        <is>
          <t>Critical Damage %</t>
        </is>
      </c>
      <c r="E564" t="n">
        <v>50</v>
      </c>
      <c r="F564" t="n">
        <v>0.08</v>
      </c>
      <c r="G564" t="b">
        <v>1</v>
      </c>
      <c r="H564">
        <f>Sensitivity!H15</f>
        <v/>
      </c>
    </row>
    <row r="565">
      <c r="A565" t="inlineStr">
        <is>
          <t>gloves</t>
        </is>
      </c>
      <c r="B565" t="inlineStr">
        <is>
          <t>mystic</t>
        </is>
      </c>
      <c r="C565" t="n">
        <v>3</v>
      </c>
      <c r="D565" t="inlineStr">
        <is>
          <t>Critical Damage %</t>
        </is>
      </c>
      <c r="E565" t="n">
        <v>30</v>
      </c>
      <c r="F565" t="n">
        <v>0.92</v>
      </c>
      <c r="G565" t="b">
        <v>0</v>
      </c>
      <c r="H565">
        <f>Sensitivity!H15</f>
        <v/>
      </c>
    </row>
    <row r="566">
      <c r="A566" t="inlineStr">
        <is>
          <t>boots</t>
        </is>
      </c>
      <c r="B566" t="inlineStr">
        <is>
          <t>epic</t>
        </is>
      </c>
      <c r="C566" t="n">
        <v>1</v>
      </c>
      <c r="D566" t="inlineStr">
        <is>
          <t>Companion Summoning Time Increase %</t>
        </is>
      </c>
      <c r="E566" t="n">
        <v>5</v>
      </c>
      <c r="F566" t="n">
        <v>1</v>
      </c>
      <c r="G566" t="b">
        <v>1</v>
      </c>
      <c r="H566">
        <f>Sensitivity!H15</f>
        <v/>
      </c>
    </row>
    <row r="567">
      <c r="A567" t="inlineStr">
        <is>
          <t>boots</t>
        </is>
      </c>
      <c r="B567" t="inlineStr">
        <is>
          <t>epic</t>
        </is>
      </c>
      <c r="C567" t="n">
        <v>2</v>
      </c>
      <c r="D567" t="inlineStr">
        <is>
          <t>Companion Summoning Time Increase %</t>
        </is>
      </c>
      <c r="E567" t="n">
        <v>5</v>
      </c>
      <c r="F567" t="n">
        <v>0.24</v>
      </c>
      <c r="G567" t="b">
        <v>1</v>
      </c>
      <c r="H567">
        <f>Sensitivity!H15</f>
        <v/>
      </c>
    </row>
    <row r="568">
      <c r="A568" t="inlineStr">
        <is>
          <t>boots</t>
        </is>
      </c>
      <c r="B568" t="inlineStr">
        <is>
          <t>epic</t>
        </is>
      </c>
      <c r="C568" t="n">
        <v>3</v>
      </c>
      <c r="D568" t="inlineStr">
        <is>
          <t>Companion Summoning Time Increase %</t>
        </is>
      </c>
      <c r="E568" t="n">
        <v>5</v>
      </c>
      <c r="F568" t="n">
        <v>0.08</v>
      </c>
      <c r="G568" t="b">
        <v>1</v>
      </c>
      <c r="H568">
        <f>Sensitivity!H15</f>
        <v/>
      </c>
    </row>
    <row r="569">
      <c r="A569" t="inlineStr">
        <is>
          <t>boots</t>
        </is>
      </c>
      <c r="B569" t="inlineStr">
        <is>
          <t>unique</t>
        </is>
      </c>
      <c r="C569" t="n">
        <v>1</v>
      </c>
      <c r="D569" t="inlineStr">
        <is>
          <t>Companion Summoning Time Increase %</t>
        </is>
      </c>
      <c r="E569" t="n">
        <v>8</v>
      </c>
      <c r="F569" t="n">
        <v>1</v>
      </c>
      <c r="G569" t="b">
        <v>1</v>
      </c>
      <c r="H569">
        <f>Sensitivity!H15</f>
        <v/>
      </c>
    </row>
    <row r="570">
      <c r="A570" t="inlineStr">
        <is>
          <t>boots</t>
        </is>
      </c>
      <c r="B570" t="inlineStr">
        <is>
          <t>unique</t>
        </is>
      </c>
      <c r="C570" t="n">
        <v>2</v>
      </c>
      <c r="D570" t="inlineStr">
        <is>
          <t>Companion Summoning Time Increase %</t>
        </is>
      </c>
      <c r="E570" t="n">
        <v>8</v>
      </c>
      <c r="F570" t="n">
        <v>0.24</v>
      </c>
      <c r="G570" t="b">
        <v>1</v>
      </c>
      <c r="H570">
        <f>Sensitivity!H15</f>
        <v/>
      </c>
    </row>
    <row r="571">
      <c r="A571" t="inlineStr">
        <is>
          <t>boots</t>
        </is>
      </c>
      <c r="B571" t="inlineStr">
        <is>
          <t>unique</t>
        </is>
      </c>
      <c r="C571" t="n">
        <v>2</v>
      </c>
      <c r="D571" t="inlineStr">
        <is>
          <t>Companion Summoning Time Increase %</t>
        </is>
      </c>
      <c r="E571" t="n">
        <v>5</v>
      </c>
      <c r="F571" t="n">
        <v>0.76</v>
      </c>
      <c r="G571" t="b">
        <v>0</v>
      </c>
      <c r="H571">
        <f>Sensitivity!H15</f>
        <v/>
      </c>
    </row>
    <row r="572">
      <c r="A572" t="inlineStr">
        <is>
          <t>boots</t>
        </is>
      </c>
      <c r="B572" t="inlineStr">
        <is>
          <t>unique</t>
        </is>
      </c>
      <c r="C572" t="n">
        <v>3</v>
      </c>
      <c r="D572" t="inlineStr">
        <is>
          <t>Companion Summoning Time Increase %</t>
        </is>
      </c>
      <c r="E572" t="n">
        <v>8</v>
      </c>
      <c r="F572" t="n">
        <v>0.08</v>
      </c>
      <c r="G572" t="b">
        <v>1</v>
      </c>
      <c r="H572">
        <f>Sensitivity!H15</f>
        <v/>
      </c>
    </row>
    <row r="573">
      <c r="A573" t="inlineStr">
        <is>
          <t>boots</t>
        </is>
      </c>
      <c r="B573" t="inlineStr">
        <is>
          <t>unique</t>
        </is>
      </c>
      <c r="C573" t="n">
        <v>3</v>
      </c>
      <c r="D573" t="inlineStr">
        <is>
          <t>Companion Summoning Time Increase %</t>
        </is>
      </c>
      <c r="E573" t="n">
        <v>5</v>
      </c>
      <c r="F573" t="n">
        <v>0.92</v>
      </c>
      <c r="G573" t="b">
        <v>0</v>
      </c>
      <c r="H573">
        <f>Sensitivity!H15</f>
        <v/>
      </c>
    </row>
    <row r="574">
      <c r="A574" t="inlineStr">
        <is>
          <t>boots</t>
        </is>
      </c>
      <c r="B574" t="inlineStr">
        <is>
          <t>legendary</t>
        </is>
      </c>
      <c r="C574" t="n">
        <v>1</v>
      </c>
      <c r="D574" t="inlineStr">
        <is>
          <t>Companion Summoning Time Increase %</t>
        </is>
      </c>
      <c r="E574" t="n">
        <v>12</v>
      </c>
      <c r="F574" t="n">
        <v>1</v>
      </c>
      <c r="G574" t="b">
        <v>1</v>
      </c>
      <c r="H574">
        <f>Sensitivity!H15</f>
        <v/>
      </c>
    </row>
    <row r="575">
      <c r="A575" t="inlineStr">
        <is>
          <t>boots</t>
        </is>
      </c>
      <c r="B575" t="inlineStr">
        <is>
          <t>legendary</t>
        </is>
      </c>
      <c r="C575" t="n">
        <v>2</v>
      </c>
      <c r="D575" t="inlineStr">
        <is>
          <t>Companion Summoning Time Increase %</t>
        </is>
      </c>
      <c r="E575" t="n">
        <v>12</v>
      </c>
      <c r="F575" t="n">
        <v>0.24</v>
      </c>
      <c r="G575" t="b">
        <v>1</v>
      </c>
      <c r="H575">
        <f>Sensitivity!H15</f>
        <v/>
      </c>
    </row>
    <row r="576">
      <c r="A576" t="inlineStr">
        <is>
          <t>boots</t>
        </is>
      </c>
      <c r="B576" t="inlineStr">
        <is>
          <t>legendary</t>
        </is>
      </c>
      <c r="C576" t="n">
        <v>2</v>
      </c>
      <c r="D576" t="inlineStr">
        <is>
          <t>Companion Summoning Time Increase %</t>
        </is>
      </c>
      <c r="E576" t="n">
        <v>8</v>
      </c>
      <c r="F576" t="n">
        <v>0.76</v>
      </c>
      <c r="G576" t="b">
        <v>0</v>
      </c>
      <c r="H576">
        <f>Sensitivity!H15</f>
        <v/>
      </c>
    </row>
    <row r="577">
      <c r="A577" t="inlineStr">
        <is>
          <t>boots</t>
        </is>
      </c>
      <c r="B577" t="inlineStr">
        <is>
          <t>legendary</t>
        </is>
      </c>
      <c r="C577" t="n">
        <v>3</v>
      </c>
      <c r="D577" t="inlineStr">
        <is>
          <t>Companion Summoning Time Increase %</t>
        </is>
      </c>
      <c r="E577" t="n">
        <v>12</v>
      </c>
      <c r="F577" t="n">
        <v>0.08</v>
      </c>
      <c r="G577" t="b">
        <v>1</v>
      </c>
      <c r="H577">
        <f>Sensitivity!H15</f>
        <v/>
      </c>
    </row>
    <row r="578">
      <c r="A578" t="inlineStr">
        <is>
          <t>boots</t>
        </is>
      </c>
      <c r="B578" t="inlineStr">
        <is>
          <t>legendary</t>
        </is>
      </c>
      <c r="C578" t="n">
        <v>3</v>
      </c>
      <c r="D578" t="inlineStr">
        <is>
          <t>Companion Summoning Time Increase %</t>
        </is>
      </c>
      <c r="E578" t="n">
        <v>8</v>
      </c>
      <c r="F578" t="n">
        <v>0.92</v>
      </c>
      <c r="G578" t="b">
        <v>0</v>
      </c>
      <c r="H578">
        <f>Sensitivity!H15</f>
        <v/>
      </c>
    </row>
    <row r="579">
      <c r="A579" t="inlineStr">
        <is>
          <t>boots</t>
        </is>
      </c>
      <c r="B579" t="inlineStr">
        <is>
          <t>mystic</t>
        </is>
      </c>
      <c r="C579" t="n">
        <v>1</v>
      </c>
      <c r="D579" t="inlineStr">
        <is>
          <t>Companion Summoning Time Increase %</t>
        </is>
      </c>
      <c r="E579" t="n">
        <v>20</v>
      </c>
      <c r="F579" t="n">
        <v>1</v>
      </c>
      <c r="G579" t="b">
        <v>1</v>
      </c>
      <c r="H579">
        <f>Sensitivity!H15</f>
        <v/>
      </c>
    </row>
    <row r="580">
      <c r="A580" t="inlineStr">
        <is>
          <t>boots</t>
        </is>
      </c>
      <c r="B580" t="inlineStr">
        <is>
          <t>mystic</t>
        </is>
      </c>
      <c r="C580" t="n">
        <v>2</v>
      </c>
      <c r="D580" t="inlineStr">
        <is>
          <t>Companion Summoning Time Increase %</t>
        </is>
      </c>
      <c r="E580" t="n">
        <v>20</v>
      </c>
      <c r="F580" t="n">
        <v>0.24</v>
      </c>
      <c r="G580" t="b">
        <v>1</v>
      </c>
      <c r="H580">
        <f>Sensitivity!H15</f>
        <v/>
      </c>
    </row>
    <row r="581">
      <c r="A581" t="inlineStr">
        <is>
          <t>boots</t>
        </is>
      </c>
      <c r="B581" t="inlineStr">
        <is>
          <t>mystic</t>
        </is>
      </c>
      <c r="C581" t="n">
        <v>2</v>
      </c>
      <c r="D581" t="inlineStr">
        <is>
          <t>Companion Summoning Time Increase %</t>
        </is>
      </c>
      <c r="E581" t="n">
        <v>12</v>
      </c>
      <c r="F581" t="n">
        <v>0.76</v>
      </c>
      <c r="G581" t="b">
        <v>0</v>
      </c>
      <c r="H581">
        <f>Sensitivity!H15</f>
        <v/>
      </c>
    </row>
    <row r="582">
      <c r="A582" t="inlineStr">
        <is>
          <t>boots</t>
        </is>
      </c>
      <c r="B582" t="inlineStr">
        <is>
          <t>mystic</t>
        </is>
      </c>
      <c r="C582" t="n">
        <v>3</v>
      </c>
      <c r="D582" t="inlineStr">
        <is>
          <t>Companion Summoning Time Increase %</t>
        </is>
      </c>
      <c r="E582" t="n">
        <v>20</v>
      </c>
      <c r="F582" t="n">
        <v>0.08</v>
      </c>
      <c r="G582" t="b">
        <v>1</v>
      </c>
      <c r="H582">
        <f>Sensitivity!H15</f>
        <v/>
      </c>
    </row>
    <row r="583">
      <c r="A583" t="inlineStr">
        <is>
          <t>boots</t>
        </is>
      </c>
      <c r="B583" t="inlineStr">
        <is>
          <t>mystic</t>
        </is>
      </c>
      <c r="C583" t="n">
        <v>3</v>
      </c>
      <c r="D583" t="inlineStr">
        <is>
          <t>Companion Summoning Time Increase %</t>
        </is>
      </c>
      <c r="E583" t="n">
        <v>12</v>
      </c>
      <c r="F583" t="n">
        <v>0.92</v>
      </c>
      <c r="G583" t="b">
        <v>0</v>
      </c>
      <c r="H583">
        <f>Sensitivity!H15</f>
        <v/>
      </c>
    </row>
    <row r="584">
      <c r="A584" t="inlineStr">
        <is>
          <t>ring</t>
        </is>
      </c>
      <c r="B584" t="inlineStr">
        <is>
          <t>epic</t>
        </is>
      </c>
      <c r="C584" t="n">
        <v>1</v>
      </c>
      <c r="D584" t="inlineStr">
        <is>
          <t>All Skill Level</t>
        </is>
      </c>
      <c r="E584" t="n">
        <v>5</v>
      </c>
      <c r="F584" t="n">
        <v>1</v>
      </c>
      <c r="G584" t="b">
        <v>1</v>
      </c>
      <c r="H584">
        <f>Sensitivity!H24</f>
        <v/>
      </c>
    </row>
    <row r="585">
      <c r="A585" t="inlineStr">
        <is>
          <t>ring</t>
        </is>
      </c>
      <c r="B585" t="inlineStr">
        <is>
          <t>epic</t>
        </is>
      </c>
      <c r="C585" t="n">
        <v>2</v>
      </c>
      <c r="D585" t="inlineStr">
        <is>
          <t>All Skill Level</t>
        </is>
      </c>
      <c r="E585" t="n">
        <v>5</v>
      </c>
      <c r="F585" t="n">
        <v>0.24</v>
      </c>
      <c r="G585" t="b">
        <v>1</v>
      </c>
      <c r="H585">
        <f>Sensitivity!H24</f>
        <v/>
      </c>
    </row>
    <row r="586">
      <c r="A586" t="inlineStr">
        <is>
          <t>ring</t>
        </is>
      </c>
      <c r="B586" t="inlineStr">
        <is>
          <t>epic</t>
        </is>
      </c>
      <c r="C586" t="n">
        <v>3</v>
      </c>
      <c r="D586" t="inlineStr">
        <is>
          <t>All Skill Level</t>
        </is>
      </c>
      <c r="E586" t="n">
        <v>5</v>
      </c>
      <c r="F586" t="n">
        <v>0.08</v>
      </c>
      <c r="G586" t="b">
        <v>1</v>
      </c>
      <c r="H586">
        <f>Sensitivity!H24</f>
        <v/>
      </c>
    </row>
    <row r="587">
      <c r="A587" t="inlineStr">
        <is>
          <t>ring</t>
        </is>
      </c>
      <c r="B587" t="inlineStr">
        <is>
          <t>unique</t>
        </is>
      </c>
      <c r="C587" t="n">
        <v>1</v>
      </c>
      <c r="D587" t="inlineStr">
        <is>
          <t>All Skill Level</t>
        </is>
      </c>
      <c r="E587" t="n">
        <v>8</v>
      </c>
      <c r="F587" t="n">
        <v>1</v>
      </c>
      <c r="G587" t="b">
        <v>1</v>
      </c>
      <c r="H587">
        <f>Sensitivity!H24</f>
        <v/>
      </c>
    </row>
    <row r="588">
      <c r="A588" t="inlineStr">
        <is>
          <t>ring</t>
        </is>
      </c>
      <c r="B588" t="inlineStr">
        <is>
          <t>unique</t>
        </is>
      </c>
      <c r="C588" t="n">
        <v>2</v>
      </c>
      <c r="D588" t="inlineStr">
        <is>
          <t>All Skill Level</t>
        </is>
      </c>
      <c r="E588" t="n">
        <v>8</v>
      </c>
      <c r="F588" t="n">
        <v>0.24</v>
      </c>
      <c r="G588" t="b">
        <v>1</v>
      </c>
      <c r="H588">
        <f>Sensitivity!H24</f>
        <v/>
      </c>
    </row>
    <row r="589">
      <c r="A589" t="inlineStr">
        <is>
          <t>ring</t>
        </is>
      </c>
      <c r="B589" t="inlineStr">
        <is>
          <t>unique</t>
        </is>
      </c>
      <c r="C589" t="n">
        <v>2</v>
      </c>
      <c r="D589" t="inlineStr">
        <is>
          <t>All Skill Level</t>
        </is>
      </c>
      <c r="E589" t="n">
        <v>5</v>
      </c>
      <c r="F589" t="n">
        <v>0.76</v>
      </c>
      <c r="G589" t="b">
        <v>0</v>
      </c>
      <c r="H589">
        <f>Sensitivity!H24</f>
        <v/>
      </c>
    </row>
    <row r="590">
      <c r="A590" t="inlineStr">
        <is>
          <t>ring</t>
        </is>
      </c>
      <c r="B590" t="inlineStr">
        <is>
          <t>unique</t>
        </is>
      </c>
      <c r="C590" t="n">
        <v>3</v>
      </c>
      <c r="D590" t="inlineStr">
        <is>
          <t>All Skill Level</t>
        </is>
      </c>
      <c r="E590" t="n">
        <v>8</v>
      </c>
      <c r="F590" t="n">
        <v>0.08</v>
      </c>
      <c r="G590" t="b">
        <v>1</v>
      </c>
      <c r="H590">
        <f>Sensitivity!H24</f>
        <v/>
      </c>
    </row>
    <row r="591">
      <c r="A591" t="inlineStr">
        <is>
          <t>ring</t>
        </is>
      </c>
      <c r="B591" t="inlineStr">
        <is>
          <t>unique</t>
        </is>
      </c>
      <c r="C591" t="n">
        <v>3</v>
      </c>
      <c r="D591" t="inlineStr">
        <is>
          <t>All Skill Level</t>
        </is>
      </c>
      <c r="E591" t="n">
        <v>5</v>
      </c>
      <c r="F591" t="n">
        <v>0.92</v>
      </c>
      <c r="G591" t="b">
        <v>0</v>
      </c>
      <c r="H591">
        <f>Sensitivity!H24</f>
        <v/>
      </c>
    </row>
    <row r="592">
      <c r="A592" t="inlineStr">
        <is>
          <t>ring</t>
        </is>
      </c>
      <c r="B592" t="inlineStr">
        <is>
          <t>legendary</t>
        </is>
      </c>
      <c r="C592" t="n">
        <v>1</v>
      </c>
      <c r="D592" t="inlineStr">
        <is>
          <t>All Skill Level</t>
        </is>
      </c>
      <c r="E592" t="n">
        <v>12</v>
      </c>
      <c r="F592" t="n">
        <v>1</v>
      </c>
      <c r="G592" t="b">
        <v>1</v>
      </c>
      <c r="H592">
        <f>Sensitivity!H24</f>
        <v/>
      </c>
    </row>
    <row r="593">
      <c r="A593" t="inlineStr">
        <is>
          <t>ring</t>
        </is>
      </c>
      <c r="B593" t="inlineStr">
        <is>
          <t>legendary</t>
        </is>
      </c>
      <c r="C593" t="n">
        <v>2</v>
      </c>
      <c r="D593" t="inlineStr">
        <is>
          <t>All Skill Level</t>
        </is>
      </c>
      <c r="E593" t="n">
        <v>12</v>
      </c>
      <c r="F593" t="n">
        <v>0.24</v>
      </c>
      <c r="G593" t="b">
        <v>1</v>
      </c>
      <c r="H593">
        <f>Sensitivity!H24</f>
        <v/>
      </c>
    </row>
    <row r="594">
      <c r="A594" t="inlineStr">
        <is>
          <t>ring</t>
        </is>
      </c>
      <c r="B594" t="inlineStr">
        <is>
          <t>legendary</t>
        </is>
      </c>
      <c r="C594" t="n">
        <v>2</v>
      </c>
      <c r="D594" t="inlineStr">
        <is>
          <t>All Skill Level</t>
        </is>
      </c>
      <c r="E594" t="n">
        <v>8</v>
      </c>
      <c r="F594" t="n">
        <v>0.76</v>
      </c>
      <c r="G594" t="b">
        <v>0</v>
      </c>
      <c r="H594">
        <f>Sensitivity!H24</f>
        <v/>
      </c>
    </row>
    <row r="595">
      <c r="A595" t="inlineStr">
        <is>
          <t>ring</t>
        </is>
      </c>
      <c r="B595" t="inlineStr">
        <is>
          <t>legendary</t>
        </is>
      </c>
      <c r="C595" t="n">
        <v>3</v>
      </c>
      <c r="D595" t="inlineStr">
        <is>
          <t>All Skill Level</t>
        </is>
      </c>
      <c r="E595" t="n">
        <v>12</v>
      </c>
      <c r="F595" t="n">
        <v>0.08</v>
      </c>
      <c r="G595" t="b">
        <v>1</v>
      </c>
      <c r="H595">
        <f>Sensitivity!H24</f>
        <v/>
      </c>
    </row>
    <row r="596">
      <c r="A596" t="inlineStr">
        <is>
          <t>ring</t>
        </is>
      </c>
      <c r="B596" t="inlineStr">
        <is>
          <t>legendary</t>
        </is>
      </c>
      <c r="C596" t="n">
        <v>3</v>
      </c>
      <c r="D596" t="inlineStr">
        <is>
          <t>All Skill Level</t>
        </is>
      </c>
      <c r="E596" t="n">
        <v>8</v>
      </c>
      <c r="F596" t="n">
        <v>0.92</v>
      </c>
      <c r="G596" t="b">
        <v>0</v>
      </c>
      <c r="H596">
        <f>Sensitivity!H24</f>
        <v/>
      </c>
    </row>
    <row r="597">
      <c r="A597" t="inlineStr">
        <is>
          <t>ring</t>
        </is>
      </c>
      <c r="B597" t="inlineStr">
        <is>
          <t>mystic</t>
        </is>
      </c>
      <c r="C597" t="n">
        <v>1</v>
      </c>
      <c r="D597" t="inlineStr">
        <is>
          <t>All Skill Level</t>
        </is>
      </c>
      <c r="E597" t="n">
        <v>16</v>
      </c>
      <c r="F597" t="n">
        <v>1</v>
      </c>
      <c r="G597" t="b">
        <v>1</v>
      </c>
      <c r="H597">
        <f>Sensitivity!H24</f>
        <v/>
      </c>
    </row>
    <row r="598">
      <c r="A598" t="inlineStr">
        <is>
          <t>ring</t>
        </is>
      </c>
      <c r="B598" t="inlineStr">
        <is>
          <t>mystic</t>
        </is>
      </c>
      <c r="C598" t="n">
        <v>2</v>
      </c>
      <c r="D598" t="inlineStr">
        <is>
          <t>All Skill Level</t>
        </is>
      </c>
      <c r="E598" t="n">
        <v>16</v>
      </c>
      <c r="F598" t="n">
        <v>0.24</v>
      </c>
      <c r="G598" t="b">
        <v>1</v>
      </c>
      <c r="H598">
        <f>Sensitivity!H24</f>
        <v/>
      </c>
    </row>
    <row r="599">
      <c r="A599" t="inlineStr">
        <is>
          <t>ring</t>
        </is>
      </c>
      <c r="B599" t="inlineStr">
        <is>
          <t>mystic</t>
        </is>
      </c>
      <c r="C599" t="n">
        <v>2</v>
      </c>
      <c r="D599" t="inlineStr">
        <is>
          <t>All Skill Level</t>
        </is>
      </c>
      <c r="E599" t="n">
        <v>12</v>
      </c>
      <c r="F599" t="n">
        <v>0.76</v>
      </c>
      <c r="G599" t="b">
        <v>0</v>
      </c>
      <c r="H599">
        <f>Sensitivity!H24</f>
        <v/>
      </c>
    </row>
    <row r="600">
      <c r="A600" t="inlineStr">
        <is>
          <t>ring</t>
        </is>
      </c>
      <c r="B600" t="inlineStr">
        <is>
          <t>mystic</t>
        </is>
      </c>
      <c r="C600" t="n">
        <v>3</v>
      </c>
      <c r="D600" t="inlineStr">
        <is>
          <t>All Skill Level</t>
        </is>
      </c>
      <c r="E600" t="n">
        <v>16</v>
      </c>
      <c r="F600" t="n">
        <v>0.08</v>
      </c>
      <c r="G600" t="b">
        <v>1</v>
      </c>
      <c r="H600">
        <f>Sensitivity!H24</f>
        <v/>
      </c>
    </row>
    <row r="601">
      <c r="A601" t="inlineStr">
        <is>
          <t>ring</t>
        </is>
      </c>
      <c r="B601" t="inlineStr">
        <is>
          <t>mystic</t>
        </is>
      </c>
      <c r="C601" t="n">
        <v>3</v>
      </c>
      <c r="D601" t="inlineStr">
        <is>
          <t>All Skill Level</t>
        </is>
      </c>
      <c r="E601" t="n">
        <v>12</v>
      </c>
      <c r="F601" t="n">
        <v>0.92</v>
      </c>
      <c r="G601" t="b">
        <v>0</v>
      </c>
      <c r="H601">
        <f>Sensitivity!H24</f>
        <v/>
      </c>
    </row>
    <row r="602">
      <c r="A602" t="inlineStr">
        <is>
          <t>neck</t>
        </is>
      </c>
      <c r="B602" t="inlineStr">
        <is>
          <t>epic</t>
        </is>
      </c>
      <c r="C602" t="n">
        <v>1</v>
      </c>
      <c r="D602" t="inlineStr">
        <is>
          <t>All Skill Level</t>
        </is>
      </c>
      <c r="E602" t="n">
        <v>5</v>
      </c>
      <c r="F602" t="n">
        <v>1</v>
      </c>
      <c r="G602" t="b">
        <v>1</v>
      </c>
      <c r="H602">
        <f>Sensitivity!H24</f>
        <v/>
      </c>
    </row>
    <row r="603">
      <c r="A603" t="inlineStr">
        <is>
          <t>neck</t>
        </is>
      </c>
      <c r="B603" t="inlineStr">
        <is>
          <t>epic</t>
        </is>
      </c>
      <c r="C603" t="n">
        <v>2</v>
      </c>
      <c r="D603" t="inlineStr">
        <is>
          <t>All Skill Level</t>
        </is>
      </c>
      <c r="E603" t="n">
        <v>5</v>
      </c>
      <c r="F603" t="n">
        <v>0.24</v>
      </c>
      <c r="G603" t="b">
        <v>1</v>
      </c>
      <c r="H603">
        <f>Sensitivity!H24</f>
        <v/>
      </c>
    </row>
    <row r="604">
      <c r="A604" t="inlineStr">
        <is>
          <t>neck</t>
        </is>
      </c>
      <c r="B604" t="inlineStr">
        <is>
          <t>epic</t>
        </is>
      </c>
      <c r="C604" t="n">
        <v>3</v>
      </c>
      <c r="D604" t="inlineStr">
        <is>
          <t>All Skill Level</t>
        </is>
      </c>
      <c r="E604" t="n">
        <v>5</v>
      </c>
      <c r="F604" t="n">
        <v>0.08</v>
      </c>
      <c r="G604" t="b">
        <v>1</v>
      </c>
      <c r="H604">
        <f>Sensitivity!H24</f>
        <v/>
      </c>
    </row>
    <row r="605">
      <c r="A605" t="inlineStr">
        <is>
          <t>neck</t>
        </is>
      </c>
      <c r="B605" t="inlineStr">
        <is>
          <t>unique</t>
        </is>
      </c>
      <c r="C605" t="n">
        <v>1</v>
      </c>
      <c r="D605" t="inlineStr">
        <is>
          <t>All Skill Level</t>
        </is>
      </c>
      <c r="E605" t="n">
        <v>8</v>
      </c>
      <c r="F605" t="n">
        <v>1</v>
      </c>
      <c r="G605" t="b">
        <v>1</v>
      </c>
      <c r="H605">
        <f>Sensitivity!H24</f>
        <v/>
      </c>
    </row>
    <row r="606">
      <c r="A606" t="inlineStr">
        <is>
          <t>neck</t>
        </is>
      </c>
      <c r="B606" t="inlineStr">
        <is>
          <t>unique</t>
        </is>
      </c>
      <c r="C606" t="n">
        <v>2</v>
      </c>
      <c r="D606" t="inlineStr">
        <is>
          <t>All Skill Level</t>
        </is>
      </c>
      <c r="E606" t="n">
        <v>8</v>
      </c>
      <c r="F606" t="n">
        <v>0.24</v>
      </c>
      <c r="G606" t="b">
        <v>1</v>
      </c>
      <c r="H606">
        <f>Sensitivity!H24</f>
        <v/>
      </c>
    </row>
    <row r="607">
      <c r="A607" t="inlineStr">
        <is>
          <t>neck</t>
        </is>
      </c>
      <c r="B607" t="inlineStr">
        <is>
          <t>unique</t>
        </is>
      </c>
      <c r="C607" t="n">
        <v>2</v>
      </c>
      <c r="D607" t="inlineStr">
        <is>
          <t>All Skill Level</t>
        </is>
      </c>
      <c r="E607" t="n">
        <v>5</v>
      </c>
      <c r="F607" t="n">
        <v>0.76</v>
      </c>
      <c r="G607" t="b">
        <v>0</v>
      </c>
      <c r="H607">
        <f>Sensitivity!H24</f>
        <v/>
      </c>
    </row>
    <row r="608">
      <c r="A608" t="inlineStr">
        <is>
          <t>neck</t>
        </is>
      </c>
      <c r="B608" t="inlineStr">
        <is>
          <t>unique</t>
        </is>
      </c>
      <c r="C608" t="n">
        <v>3</v>
      </c>
      <c r="D608" t="inlineStr">
        <is>
          <t>All Skill Level</t>
        </is>
      </c>
      <c r="E608" t="n">
        <v>8</v>
      </c>
      <c r="F608" t="n">
        <v>0.08</v>
      </c>
      <c r="G608" t="b">
        <v>1</v>
      </c>
      <c r="H608">
        <f>Sensitivity!H24</f>
        <v/>
      </c>
    </row>
    <row r="609">
      <c r="A609" t="inlineStr">
        <is>
          <t>neck</t>
        </is>
      </c>
      <c r="B609" t="inlineStr">
        <is>
          <t>unique</t>
        </is>
      </c>
      <c r="C609" t="n">
        <v>3</v>
      </c>
      <c r="D609" t="inlineStr">
        <is>
          <t>All Skill Level</t>
        </is>
      </c>
      <c r="E609" t="n">
        <v>5</v>
      </c>
      <c r="F609" t="n">
        <v>0.92</v>
      </c>
      <c r="G609" t="b">
        <v>0</v>
      </c>
      <c r="H609">
        <f>Sensitivity!H24</f>
        <v/>
      </c>
    </row>
    <row r="610">
      <c r="A610" t="inlineStr">
        <is>
          <t>neck</t>
        </is>
      </c>
      <c r="B610" t="inlineStr">
        <is>
          <t>legendary</t>
        </is>
      </c>
      <c r="C610" t="n">
        <v>1</v>
      </c>
      <c r="D610" t="inlineStr">
        <is>
          <t>All Skill Level</t>
        </is>
      </c>
      <c r="E610" t="n">
        <v>12</v>
      </c>
      <c r="F610" t="n">
        <v>1</v>
      </c>
      <c r="G610" t="b">
        <v>1</v>
      </c>
      <c r="H610">
        <f>Sensitivity!H24</f>
        <v/>
      </c>
    </row>
    <row r="611">
      <c r="A611" t="inlineStr">
        <is>
          <t>neck</t>
        </is>
      </c>
      <c r="B611" t="inlineStr">
        <is>
          <t>legendary</t>
        </is>
      </c>
      <c r="C611" t="n">
        <v>2</v>
      </c>
      <c r="D611" t="inlineStr">
        <is>
          <t>All Skill Level</t>
        </is>
      </c>
      <c r="E611" t="n">
        <v>12</v>
      </c>
      <c r="F611" t="n">
        <v>0.24</v>
      </c>
      <c r="G611" t="b">
        <v>1</v>
      </c>
      <c r="H611">
        <f>Sensitivity!H24</f>
        <v/>
      </c>
    </row>
    <row r="612">
      <c r="A612" t="inlineStr">
        <is>
          <t>neck</t>
        </is>
      </c>
      <c r="B612" t="inlineStr">
        <is>
          <t>legendary</t>
        </is>
      </c>
      <c r="C612" t="n">
        <v>2</v>
      </c>
      <c r="D612" t="inlineStr">
        <is>
          <t>All Skill Level</t>
        </is>
      </c>
      <c r="E612" t="n">
        <v>8</v>
      </c>
      <c r="F612" t="n">
        <v>0.76</v>
      </c>
      <c r="G612" t="b">
        <v>0</v>
      </c>
      <c r="H612">
        <f>Sensitivity!H24</f>
        <v/>
      </c>
    </row>
    <row r="613">
      <c r="A613" t="inlineStr">
        <is>
          <t>neck</t>
        </is>
      </c>
      <c r="B613" t="inlineStr">
        <is>
          <t>legendary</t>
        </is>
      </c>
      <c r="C613" t="n">
        <v>3</v>
      </c>
      <c r="D613" t="inlineStr">
        <is>
          <t>All Skill Level</t>
        </is>
      </c>
      <c r="E613" t="n">
        <v>12</v>
      </c>
      <c r="F613" t="n">
        <v>0.08</v>
      </c>
      <c r="G613" t="b">
        <v>1</v>
      </c>
      <c r="H613">
        <f>Sensitivity!H24</f>
        <v/>
      </c>
    </row>
    <row r="614">
      <c r="A614" t="inlineStr">
        <is>
          <t>neck</t>
        </is>
      </c>
      <c r="B614" t="inlineStr">
        <is>
          <t>legendary</t>
        </is>
      </c>
      <c r="C614" t="n">
        <v>3</v>
      </c>
      <c r="D614" t="inlineStr">
        <is>
          <t>All Skill Level</t>
        </is>
      </c>
      <c r="E614" t="n">
        <v>8</v>
      </c>
      <c r="F614" t="n">
        <v>0.92</v>
      </c>
      <c r="G614" t="b">
        <v>0</v>
      </c>
      <c r="H614">
        <f>Sensitivity!H24</f>
        <v/>
      </c>
    </row>
    <row r="615">
      <c r="A615" t="inlineStr">
        <is>
          <t>neck</t>
        </is>
      </c>
      <c r="B615" t="inlineStr">
        <is>
          <t>mystic</t>
        </is>
      </c>
      <c r="C615" t="n">
        <v>1</v>
      </c>
      <c r="D615" t="inlineStr">
        <is>
          <t>All Skill Level</t>
        </is>
      </c>
      <c r="E615" t="n">
        <v>16</v>
      </c>
      <c r="F615" t="n">
        <v>1</v>
      </c>
      <c r="G615" t="b">
        <v>1</v>
      </c>
      <c r="H615">
        <f>Sensitivity!H24</f>
        <v/>
      </c>
    </row>
    <row r="616">
      <c r="A616" t="inlineStr">
        <is>
          <t>neck</t>
        </is>
      </c>
      <c r="B616" t="inlineStr">
        <is>
          <t>mystic</t>
        </is>
      </c>
      <c r="C616" t="n">
        <v>2</v>
      </c>
      <c r="D616" t="inlineStr">
        <is>
          <t>All Skill Level</t>
        </is>
      </c>
      <c r="E616" t="n">
        <v>16</v>
      </c>
      <c r="F616" t="n">
        <v>0.24</v>
      </c>
      <c r="G616" t="b">
        <v>1</v>
      </c>
      <c r="H616">
        <f>Sensitivity!H24</f>
        <v/>
      </c>
    </row>
    <row r="617">
      <c r="A617" t="inlineStr">
        <is>
          <t>neck</t>
        </is>
      </c>
      <c r="B617" t="inlineStr">
        <is>
          <t>mystic</t>
        </is>
      </c>
      <c r="C617" t="n">
        <v>2</v>
      </c>
      <c r="D617" t="inlineStr">
        <is>
          <t>All Skill Level</t>
        </is>
      </c>
      <c r="E617" t="n">
        <v>12</v>
      </c>
      <c r="F617" t="n">
        <v>0.76</v>
      </c>
      <c r="G617" t="b">
        <v>0</v>
      </c>
      <c r="H617">
        <f>Sensitivity!H24</f>
        <v/>
      </c>
    </row>
    <row r="618">
      <c r="A618" t="inlineStr">
        <is>
          <t>neck</t>
        </is>
      </c>
      <c r="B618" t="inlineStr">
        <is>
          <t>mystic</t>
        </is>
      </c>
      <c r="C618" t="n">
        <v>3</v>
      </c>
      <c r="D618" t="inlineStr">
        <is>
          <t>All Skill Level</t>
        </is>
      </c>
      <c r="E618" t="n">
        <v>16</v>
      </c>
      <c r="F618" t="n">
        <v>0.08</v>
      </c>
      <c r="G618" t="b">
        <v>1</v>
      </c>
      <c r="H618">
        <f>Sensitivity!H24</f>
        <v/>
      </c>
    </row>
    <row r="619">
      <c r="A619" t="inlineStr">
        <is>
          <t>neck</t>
        </is>
      </c>
      <c r="B619" t="inlineStr">
        <is>
          <t>mystic</t>
        </is>
      </c>
      <c r="C619" t="n">
        <v>3</v>
      </c>
      <c r="D619" t="inlineStr">
        <is>
          <t>All Skill Level</t>
        </is>
      </c>
      <c r="E619" t="n">
        <v>12</v>
      </c>
      <c r="F619" t="n">
        <v>0.92</v>
      </c>
      <c r="G619" t="b">
        <v>0</v>
      </c>
      <c r="H619">
        <f>Sensitivity!H24</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Sensitivity!H18</f>
        <v/>
      </c>
    </row>
    <row r="639">
      <c r="A639" t="inlineStr">
        <is>
          <t>ring2</t>
        </is>
      </c>
      <c r="B639" t="inlineStr">
        <is>
          <t>epic</t>
        </is>
      </c>
      <c r="C639" t="n">
        <v>2</v>
      </c>
      <c r="D639" t="inlineStr">
        <is>
          <t>Basic Attack Damage %</t>
        </is>
      </c>
      <c r="E639" t="n">
        <v>8</v>
      </c>
      <c r="F639" t="n">
        <v>0.24</v>
      </c>
      <c r="G639" t="b">
        <v>1</v>
      </c>
      <c r="H639">
        <f>Sensitivity!H18</f>
        <v/>
      </c>
    </row>
    <row r="640">
      <c r="A640" t="inlineStr">
        <is>
          <t>ring2</t>
        </is>
      </c>
      <c r="B640" t="inlineStr">
        <is>
          <t>epic</t>
        </is>
      </c>
      <c r="C640" t="n">
        <v>3</v>
      </c>
      <c r="D640" t="inlineStr">
        <is>
          <t>Basic Attack Damage %</t>
        </is>
      </c>
      <c r="E640" t="n">
        <v>8</v>
      </c>
      <c r="F640" t="n">
        <v>0.08</v>
      </c>
      <c r="G640" t="b">
        <v>1</v>
      </c>
      <c r="H640">
        <f>Sensitivity!H18</f>
        <v/>
      </c>
    </row>
    <row r="641">
      <c r="A641" t="inlineStr">
        <is>
          <t>ring2</t>
        </is>
      </c>
      <c r="B641" t="inlineStr">
        <is>
          <t>unique</t>
        </is>
      </c>
      <c r="C641" t="n">
        <v>1</v>
      </c>
      <c r="D641" t="inlineStr">
        <is>
          <t>Basic Attack Damage %</t>
        </is>
      </c>
      <c r="E641" t="n">
        <v>14</v>
      </c>
      <c r="F641" t="n">
        <v>1</v>
      </c>
      <c r="G641" t="b">
        <v>1</v>
      </c>
      <c r="H641">
        <f>Sensitivity!H18</f>
        <v/>
      </c>
    </row>
    <row r="642">
      <c r="A642" t="inlineStr">
        <is>
          <t>ring2</t>
        </is>
      </c>
      <c r="B642" t="inlineStr">
        <is>
          <t>unique</t>
        </is>
      </c>
      <c r="C642" t="n">
        <v>2</v>
      </c>
      <c r="D642" t="inlineStr">
        <is>
          <t>Basic Attack Damage %</t>
        </is>
      </c>
      <c r="E642" t="n">
        <v>14</v>
      </c>
      <c r="F642" t="n">
        <v>0.24</v>
      </c>
      <c r="G642" t="b">
        <v>1</v>
      </c>
      <c r="H642">
        <f>Sensitivity!H18</f>
        <v/>
      </c>
    </row>
    <row r="643">
      <c r="A643" t="inlineStr">
        <is>
          <t>ring2</t>
        </is>
      </c>
      <c r="B643" t="inlineStr">
        <is>
          <t>unique</t>
        </is>
      </c>
      <c r="C643" t="n">
        <v>2</v>
      </c>
      <c r="D643" t="inlineStr">
        <is>
          <t>Basic Attack Damage %</t>
        </is>
      </c>
      <c r="E643" t="n">
        <v>8</v>
      </c>
      <c r="F643" t="n">
        <v>0.76</v>
      </c>
      <c r="G643" t="b">
        <v>0</v>
      </c>
      <c r="H643">
        <f>Sensitivity!H18</f>
        <v/>
      </c>
    </row>
    <row r="644">
      <c r="A644" t="inlineStr">
        <is>
          <t>ring2</t>
        </is>
      </c>
      <c r="B644" t="inlineStr">
        <is>
          <t>unique</t>
        </is>
      </c>
      <c r="C644" t="n">
        <v>3</v>
      </c>
      <c r="D644" t="inlineStr">
        <is>
          <t>Basic Attack Damage %</t>
        </is>
      </c>
      <c r="E644" t="n">
        <v>14</v>
      </c>
      <c r="F644" t="n">
        <v>0.08</v>
      </c>
      <c r="G644" t="b">
        <v>1</v>
      </c>
      <c r="H644">
        <f>Sensitivity!H18</f>
        <v/>
      </c>
    </row>
    <row r="645">
      <c r="A645" t="inlineStr">
        <is>
          <t>ring2</t>
        </is>
      </c>
      <c r="B645" t="inlineStr">
        <is>
          <t>unique</t>
        </is>
      </c>
      <c r="C645" t="n">
        <v>3</v>
      </c>
      <c r="D645" t="inlineStr">
        <is>
          <t>Basic Attack Damage %</t>
        </is>
      </c>
      <c r="E645" t="n">
        <v>8</v>
      </c>
      <c r="F645" t="n">
        <v>0.92</v>
      </c>
      <c r="G645" t="b">
        <v>0</v>
      </c>
      <c r="H645">
        <f>Sensitivity!H18</f>
        <v/>
      </c>
    </row>
    <row r="646">
      <c r="A646" t="inlineStr">
        <is>
          <t>ring2</t>
        </is>
      </c>
      <c r="B646" t="inlineStr">
        <is>
          <t>legendary</t>
        </is>
      </c>
      <c r="C646" t="n">
        <v>1</v>
      </c>
      <c r="D646" t="inlineStr">
        <is>
          <t>Basic Attack Damage %</t>
        </is>
      </c>
      <c r="E646" t="n">
        <v>21</v>
      </c>
      <c r="F646" t="n">
        <v>1</v>
      </c>
      <c r="G646" t="b">
        <v>1</v>
      </c>
      <c r="H646">
        <f>Sensitivity!H18</f>
        <v/>
      </c>
    </row>
    <row r="647">
      <c r="A647" t="inlineStr">
        <is>
          <t>ring2</t>
        </is>
      </c>
      <c r="B647" t="inlineStr">
        <is>
          <t>legendary</t>
        </is>
      </c>
      <c r="C647" t="n">
        <v>2</v>
      </c>
      <c r="D647" t="inlineStr">
        <is>
          <t>Basic Attack Damage %</t>
        </is>
      </c>
      <c r="E647" t="n">
        <v>21</v>
      </c>
      <c r="F647" t="n">
        <v>0.24</v>
      </c>
      <c r="G647" t="b">
        <v>1</v>
      </c>
      <c r="H647">
        <f>Sensitivity!H18</f>
        <v/>
      </c>
    </row>
    <row r="648">
      <c r="A648" t="inlineStr">
        <is>
          <t>ring2</t>
        </is>
      </c>
      <c r="B648" t="inlineStr">
        <is>
          <t>legendary</t>
        </is>
      </c>
      <c r="C648" t="n">
        <v>2</v>
      </c>
      <c r="D648" t="inlineStr">
        <is>
          <t>Basic Attack Damage %</t>
        </is>
      </c>
      <c r="E648" t="n">
        <v>14</v>
      </c>
      <c r="F648" t="n">
        <v>0.76</v>
      </c>
      <c r="G648" t="b">
        <v>0</v>
      </c>
      <c r="H648">
        <f>Sensitivity!H18</f>
        <v/>
      </c>
    </row>
    <row r="649">
      <c r="A649" t="inlineStr">
        <is>
          <t>ring2</t>
        </is>
      </c>
      <c r="B649" t="inlineStr">
        <is>
          <t>legendary</t>
        </is>
      </c>
      <c r="C649" t="n">
        <v>3</v>
      </c>
      <c r="D649" t="inlineStr">
        <is>
          <t>Basic Attack Damage %</t>
        </is>
      </c>
      <c r="E649" t="n">
        <v>21</v>
      </c>
      <c r="F649" t="n">
        <v>0.08</v>
      </c>
      <c r="G649" t="b">
        <v>1</v>
      </c>
      <c r="H649">
        <f>Sensitivity!H18</f>
        <v/>
      </c>
    </row>
    <row r="650">
      <c r="A650" t="inlineStr">
        <is>
          <t>ring2</t>
        </is>
      </c>
      <c r="B650" t="inlineStr">
        <is>
          <t>legendary</t>
        </is>
      </c>
      <c r="C650" t="n">
        <v>3</v>
      </c>
      <c r="D650" t="inlineStr">
        <is>
          <t>Basic Attack Damage %</t>
        </is>
      </c>
      <c r="E650" t="n">
        <v>14</v>
      </c>
      <c r="F650" t="n">
        <v>0.92</v>
      </c>
      <c r="G650" t="b">
        <v>0</v>
      </c>
      <c r="H650">
        <f>Sensitivity!H18</f>
        <v/>
      </c>
    </row>
    <row r="651">
      <c r="A651" t="inlineStr">
        <is>
          <t>ring2</t>
        </is>
      </c>
      <c r="B651" t="inlineStr">
        <is>
          <t>mystic</t>
        </is>
      </c>
      <c r="C651" t="n">
        <v>1</v>
      </c>
      <c r="D651" t="inlineStr">
        <is>
          <t>Basic Attack Damage %</t>
        </is>
      </c>
      <c r="E651" t="n">
        <v>30</v>
      </c>
      <c r="F651" t="n">
        <v>1</v>
      </c>
      <c r="G651" t="b">
        <v>1</v>
      </c>
      <c r="H651">
        <f>Sensitivity!H18</f>
        <v/>
      </c>
    </row>
    <row r="652">
      <c r="A652" t="inlineStr">
        <is>
          <t>ring2</t>
        </is>
      </c>
      <c r="B652" t="inlineStr">
        <is>
          <t>mystic</t>
        </is>
      </c>
      <c r="C652" t="n">
        <v>2</v>
      </c>
      <c r="D652" t="inlineStr">
        <is>
          <t>Basic Attack Damage %</t>
        </is>
      </c>
      <c r="E652" t="n">
        <v>30</v>
      </c>
      <c r="F652" t="n">
        <v>0.24</v>
      </c>
      <c r="G652" t="b">
        <v>1</v>
      </c>
      <c r="H652">
        <f>Sensitivity!H18</f>
        <v/>
      </c>
    </row>
    <row r="653">
      <c r="A653" t="inlineStr">
        <is>
          <t>ring2</t>
        </is>
      </c>
      <c r="B653" t="inlineStr">
        <is>
          <t>mystic</t>
        </is>
      </c>
      <c r="C653" t="n">
        <v>2</v>
      </c>
      <c r="D653" t="inlineStr">
        <is>
          <t>Basic Attack Damage %</t>
        </is>
      </c>
      <c r="E653" t="n">
        <v>21</v>
      </c>
      <c r="F653" t="n">
        <v>0.76</v>
      </c>
      <c r="G653" t="b">
        <v>0</v>
      </c>
      <c r="H653">
        <f>Sensitivity!H18</f>
        <v/>
      </c>
    </row>
    <row r="654">
      <c r="A654" t="inlineStr">
        <is>
          <t>ring2</t>
        </is>
      </c>
      <c r="B654" t="inlineStr">
        <is>
          <t>mystic</t>
        </is>
      </c>
      <c r="C654" t="n">
        <v>3</v>
      </c>
      <c r="D654" t="inlineStr">
        <is>
          <t>Basic Attack Damage %</t>
        </is>
      </c>
      <c r="E654" t="n">
        <v>30</v>
      </c>
      <c r="F654" t="n">
        <v>0.08</v>
      </c>
      <c r="G654" t="b">
        <v>1</v>
      </c>
      <c r="H654">
        <f>Sensitivity!H18</f>
        <v/>
      </c>
    </row>
    <row r="655">
      <c r="A655" t="inlineStr">
        <is>
          <t>ring2</t>
        </is>
      </c>
      <c r="B655" t="inlineStr">
        <is>
          <t>mystic</t>
        </is>
      </c>
      <c r="C655" t="n">
        <v>3</v>
      </c>
      <c r="D655" t="inlineStr">
        <is>
          <t>Basic Attack Damage %</t>
        </is>
      </c>
      <c r="E655" t="n">
        <v>21</v>
      </c>
      <c r="F655" t="n">
        <v>0.92</v>
      </c>
      <c r="G655" t="b">
        <v>0</v>
      </c>
      <c r="H655">
        <f>Sensitivity!H18</f>
        <v/>
      </c>
    </row>
    <row r="656">
      <c r="A656" t="inlineStr">
        <is>
          <t>face</t>
        </is>
      </c>
      <c r="B656" t="inlineStr">
        <is>
          <t>epic</t>
        </is>
      </c>
      <c r="C656" t="n">
        <v>1</v>
      </c>
      <c r="D656" t="inlineStr">
        <is>
          <t>Final Damage %</t>
        </is>
      </c>
      <c r="E656" t="n">
        <v>3</v>
      </c>
      <c r="F656" t="n">
        <v>1</v>
      </c>
      <c r="G656" t="b">
        <v>1</v>
      </c>
      <c r="H656">
        <f>Sensitivity!H11</f>
        <v/>
      </c>
    </row>
    <row r="657">
      <c r="A657" t="inlineStr">
        <is>
          <t>face</t>
        </is>
      </c>
      <c r="B657" t="inlineStr">
        <is>
          <t>epic</t>
        </is>
      </c>
      <c r="C657" t="n">
        <v>2</v>
      </c>
      <c r="D657" t="inlineStr">
        <is>
          <t>Final Damage %</t>
        </is>
      </c>
      <c r="E657" t="n">
        <v>3</v>
      </c>
      <c r="F657" t="n">
        <v>0.24</v>
      </c>
      <c r="G657" t="b">
        <v>1</v>
      </c>
      <c r="H657">
        <f>Sensitivity!H11</f>
        <v/>
      </c>
    </row>
    <row r="658">
      <c r="A658" t="inlineStr">
        <is>
          <t>face</t>
        </is>
      </c>
      <c r="B658" t="inlineStr">
        <is>
          <t>epic</t>
        </is>
      </c>
      <c r="C658" t="n">
        <v>3</v>
      </c>
      <c r="D658" t="inlineStr">
        <is>
          <t>Final Damage %</t>
        </is>
      </c>
      <c r="E658" t="n">
        <v>3</v>
      </c>
      <c r="F658" t="n">
        <v>0.08</v>
      </c>
      <c r="G658" t="b">
        <v>1</v>
      </c>
      <c r="H658">
        <f>Sensitivity!H11</f>
        <v/>
      </c>
    </row>
    <row r="659">
      <c r="A659" t="inlineStr">
        <is>
          <t>face</t>
        </is>
      </c>
      <c r="B659" t="inlineStr">
        <is>
          <t>unique</t>
        </is>
      </c>
      <c r="C659" t="n">
        <v>1</v>
      </c>
      <c r="D659" t="inlineStr">
        <is>
          <t>Final Damage %</t>
        </is>
      </c>
      <c r="E659" t="n">
        <v>5</v>
      </c>
      <c r="F659" t="n">
        <v>1</v>
      </c>
      <c r="G659" t="b">
        <v>1</v>
      </c>
      <c r="H659">
        <f>Sensitivity!H11</f>
        <v/>
      </c>
    </row>
    <row r="660">
      <c r="A660" t="inlineStr">
        <is>
          <t>face</t>
        </is>
      </c>
      <c r="B660" t="inlineStr">
        <is>
          <t>unique</t>
        </is>
      </c>
      <c r="C660" t="n">
        <v>2</v>
      </c>
      <c r="D660" t="inlineStr">
        <is>
          <t>Final Damage %</t>
        </is>
      </c>
      <c r="E660" t="n">
        <v>5</v>
      </c>
      <c r="F660" t="n">
        <v>0.24</v>
      </c>
      <c r="G660" t="b">
        <v>1</v>
      </c>
      <c r="H660">
        <f>Sensitivity!H11</f>
        <v/>
      </c>
    </row>
    <row r="661">
      <c r="A661" t="inlineStr">
        <is>
          <t>face</t>
        </is>
      </c>
      <c r="B661" t="inlineStr">
        <is>
          <t>unique</t>
        </is>
      </c>
      <c r="C661" t="n">
        <v>2</v>
      </c>
      <c r="D661" t="inlineStr">
        <is>
          <t>Final Damage %</t>
        </is>
      </c>
      <c r="E661" t="n">
        <v>3</v>
      </c>
      <c r="F661" t="n">
        <v>0.76</v>
      </c>
      <c r="G661" t="b">
        <v>0</v>
      </c>
      <c r="H661">
        <f>Sensitivity!H11</f>
        <v/>
      </c>
    </row>
    <row r="662">
      <c r="A662" t="inlineStr">
        <is>
          <t>face</t>
        </is>
      </c>
      <c r="B662" t="inlineStr">
        <is>
          <t>unique</t>
        </is>
      </c>
      <c r="C662" t="n">
        <v>3</v>
      </c>
      <c r="D662" t="inlineStr">
        <is>
          <t>Final Damage %</t>
        </is>
      </c>
      <c r="E662" t="n">
        <v>5</v>
      </c>
      <c r="F662" t="n">
        <v>0.08</v>
      </c>
      <c r="G662" t="b">
        <v>1</v>
      </c>
      <c r="H662">
        <f>Sensitivity!H11</f>
        <v/>
      </c>
    </row>
    <row r="663">
      <c r="A663" t="inlineStr">
        <is>
          <t>face</t>
        </is>
      </c>
      <c r="B663" t="inlineStr">
        <is>
          <t>unique</t>
        </is>
      </c>
      <c r="C663" t="n">
        <v>3</v>
      </c>
      <c r="D663" t="inlineStr">
        <is>
          <t>Final Damage %</t>
        </is>
      </c>
      <c r="E663" t="n">
        <v>3</v>
      </c>
      <c r="F663" t="n">
        <v>0.92</v>
      </c>
      <c r="G663" t="b">
        <v>0</v>
      </c>
      <c r="H663">
        <f>Sensitivity!H11</f>
        <v/>
      </c>
    </row>
    <row r="664">
      <c r="A664" t="inlineStr">
        <is>
          <t>face</t>
        </is>
      </c>
      <c r="B664" t="inlineStr">
        <is>
          <t>legendary</t>
        </is>
      </c>
      <c r="C664" t="n">
        <v>1</v>
      </c>
      <c r="D664" t="inlineStr">
        <is>
          <t>Final Damage %</t>
        </is>
      </c>
      <c r="E664" t="n">
        <v>8</v>
      </c>
      <c r="F664" t="n">
        <v>1</v>
      </c>
      <c r="G664" t="b">
        <v>1</v>
      </c>
      <c r="H664">
        <f>Sensitivity!H11</f>
        <v/>
      </c>
    </row>
    <row r="665">
      <c r="A665" t="inlineStr">
        <is>
          <t>face</t>
        </is>
      </c>
      <c r="B665" t="inlineStr">
        <is>
          <t>legendary</t>
        </is>
      </c>
      <c r="C665" t="n">
        <v>2</v>
      </c>
      <c r="D665" t="inlineStr">
        <is>
          <t>Final Damage %</t>
        </is>
      </c>
      <c r="E665" t="n">
        <v>8</v>
      </c>
      <c r="F665" t="n">
        <v>0.24</v>
      </c>
      <c r="G665" t="b">
        <v>1</v>
      </c>
      <c r="H665">
        <f>Sensitivity!H11</f>
        <v/>
      </c>
    </row>
    <row r="666">
      <c r="A666" t="inlineStr">
        <is>
          <t>face</t>
        </is>
      </c>
      <c r="B666" t="inlineStr">
        <is>
          <t>legendary</t>
        </is>
      </c>
      <c r="C666" t="n">
        <v>2</v>
      </c>
      <c r="D666" t="inlineStr">
        <is>
          <t>Final Damage %</t>
        </is>
      </c>
      <c r="E666" t="n">
        <v>5</v>
      </c>
      <c r="F666" t="n">
        <v>0.76</v>
      </c>
      <c r="G666" t="b">
        <v>0</v>
      </c>
      <c r="H666">
        <f>Sensitivity!H11</f>
        <v/>
      </c>
    </row>
    <row r="667">
      <c r="A667" t="inlineStr">
        <is>
          <t>face</t>
        </is>
      </c>
      <c r="B667" t="inlineStr">
        <is>
          <t>legendary</t>
        </is>
      </c>
      <c r="C667" t="n">
        <v>3</v>
      </c>
      <c r="D667" t="inlineStr">
        <is>
          <t>Final Damage %</t>
        </is>
      </c>
      <c r="E667" t="n">
        <v>8</v>
      </c>
      <c r="F667" t="n">
        <v>0.08</v>
      </c>
      <c r="G667" t="b">
        <v>1</v>
      </c>
      <c r="H667">
        <f>Sensitivity!H11</f>
        <v/>
      </c>
    </row>
    <row r="668">
      <c r="A668" t="inlineStr">
        <is>
          <t>face</t>
        </is>
      </c>
      <c r="B668" t="inlineStr">
        <is>
          <t>legendary</t>
        </is>
      </c>
      <c r="C668" t="n">
        <v>3</v>
      </c>
      <c r="D668" t="inlineStr">
        <is>
          <t>Final Damage %</t>
        </is>
      </c>
      <c r="E668" t="n">
        <v>5</v>
      </c>
      <c r="F668" t="n">
        <v>0.92</v>
      </c>
      <c r="G668" t="b">
        <v>0</v>
      </c>
      <c r="H668">
        <f>Sensitivity!H11</f>
        <v/>
      </c>
    </row>
    <row r="669">
      <c r="A669" t="inlineStr">
        <is>
          <t>face</t>
        </is>
      </c>
      <c r="B669" t="inlineStr">
        <is>
          <t>mystic</t>
        </is>
      </c>
      <c r="C669" t="n">
        <v>1</v>
      </c>
      <c r="D669" t="inlineStr">
        <is>
          <t>Final Damage %</t>
        </is>
      </c>
      <c r="E669" t="n">
        <v>12</v>
      </c>
      <c r="F669" t="n">
        <v>1</v>
      </c>
      <c r="G669" t="b">
        <v>1</v>
      </c>
      <c r="H669">
        <f>Sensitivity!H11</f>
        <v/>
      </c>
    </row>
    <row r="670">
      <c r="A670" t="inlineStr">
        <is>
          <t>face</t>
        </is>
      </c>
      <c r="B670" t="inlineStr">
        <is>
          <t>mystic</t>
        </is>
      </c>
      <c r="C670" t="n">
        <v>2</v>
      </c>
      <c r="D670" t="inlineStr">
        <is>
          <t>Final Damage %</t>
        </is>
      </c>
      <c r="E670" t="n">
        <v>12</v>
      </c>
      <c r="F670" t="n">
        <v>0.24</v>
      </c>
      <c r="G670" t="b">
        <v>1</v>
      </c>
      <c r="H670">
        <f>Sensitivity!H11</f>
        <v/>
      </c>
    </row>
    <row r="671">
      <c r="A671" t="inlineStr">
        <is>
          <t>face</t>
        </is>
      </c>
      <c r="B671" t="inlineStr">
        <is>
          <t>mystic</t>
        </is>
      </c>
      <c r="C671" t="n">
        <v>2</v>
      </c>
      <c r="D671" t="inlineStr">
        <is>
          <t>Final Damage %</t>
        </is>
      </c>
      <c r="E671" t="n">
        <v>8</v>
      </c>
      <c r="F671" t="n">
        <v>0.76</v>
      </c>
      <c r="G671" t="b">
        <v>0</v>
      </c>
      <c r="H671">
        <f>Sensitivity!H11</f>
        <v/>
      </c>
    </row>
    <row r="672">
      <c r="A672" t="inlineStr">
        <is>
          <t>face</t>
        </is>
      </c>
      <c r="B672" t="inlineStr">
        <is>
          <t>mystic</t>
        </is>
      </c>
      <c r="C672" t="n">
        <v>3</v>
      </c>
      <c r="D672" t="inlineStr">
        <is>
          <t>Final Damage %</t>
        </is>
      </c>
      <c r="E672" t="n">
        <v>12</v>
      </c>
      <c r="F672" t="n">
        <v>0.08</v>
      </c>
      <c r="G672" t="b">
        <v>1</v>
      </c>
      <c r="H672">
        <f>Sensitivity!H11</f>
        <v/>
      </c>
    </row>
    <row r="673">
      <c r="A673" t="inlineStr">
        <is>
          <t>face</t>
        </is>
      </c>
      <c r="B673" t="inlineStr">
        <is>
          <t>mystic</t>
        </is>
      </c>
      <c r="C673" t="n">
        <v>3</v>
      </c>
      <c r="D673" t="inlineStr">
        <is>
          <t>Final Damage %</t>
        </is>
      </c>
      <c r="E673" t="n">
        <v>8</v>
      </c>
      <c r="F673" t="n">
        <v>0.92</v>
      </c>
      <c r="G673" t="b">
        <v>0</v>
      </c>
      <c r="H673">
        <f>Sensitivity!H11</f>
        <v/>
      </c>
    </row>
    <row r="674">
      <c r="A674" t="inlineStr">
        <is>
          <t>earrings</t>
        </is>
      </c>
      <c r="B674" t="inlineStr">
        <is>
          <t>epic</t>
        </is>
      </c>
      <c r="C674" t="n">
        <v>1</v>
      </c>
      <c r="D674" t="inlineStr">
        <is>
          <t>Skill Damage %</t>
        </is>
      </c>
      <c r="E674" t="n">
        <v>8</v>
      </c>
      <c r="F674" t="n">
        <v>1</v>
      </c>
      <c r="G674" t="b">
        <v>1</v>
      </c>
      <c r="H674">
        <f>Sensitivity!H19</f>
        <v/>
      </c>
    </row>
    <row r="675">
      <c r="A675" t="inlineStr">
        <is>
          <t>earrings</t>
        </is>
      </c>
      <c r="B675" t="inlineStr">
        <is>
          <t>epic</t>
        </is>
      </c>
      <c r="C675" t="n">
        <v>2</v>
      </c>
      <c r="D675" t="inlineStr">
        <is>
          <t>Skill Damage %</t>
        </is>
      </c>
      <c r="E675" t="n">
        <v>8</v>
      </c>
      <c r="F675" t="n">
        <v>0.24</v>
      </c>
      <c r="G675" t="b">
        <v>1</v>
      </c>
      <c r="H675">
        <f>Sensitivity!H19</f>
        <v/>
      </c>
    </row>
    <row r="676">
      <c r="A676" t="inlineStr">
        <is>
          <t>earrings</t>
        </is>
      </c>
      <c r="B676" t="inlineStr">
        <is>
          <t>epic</t>
        </is>
      </c>
      <c r="C676" t="n">
        <v>3</v>
      </c>
      <c r="D676" t="inlineStr">
        <is>
          <t>Skill Damage %</t>
        </is>
      </c>
      <c r="E676" t="n">
        <v>8</v>
      </c>
      <c r="F676" t="n">
        <v>0.08</v>
      </c>
      <c r="G676" t="b">
        <v>1</v>
      </c>
      <c r="H676">
        <f>Sensitivity!H19</f>
        <v/>
      </c>
    </row>
    <row r="677">
      <c r="A677" t="inlineStr">
        <is>
          <t>earrings</t>
        </is>
      </c>
      <c r="B677" t="inlineStr">
        <is>
          <t>unique</t>
        </is>
      </c>
      <c r="C677" t="n">
        <v>1</v>
      </c>
      <c r="D677" t="inlineStr">
        <is>
          <t>Skill Damage %</t>
        </is>
      </c>
      <c r="E677" t="n">
        <v>14</v>
      </c>
      <c r="F677" t="n">
        <v>1</v>
      </c>
      <c r="G677" t="b">
        <v>1</v>
      </c>
      <c r="H677">
        <f>Sensitivity!H19</f>
        <v/>
      </c>
    </row>
    <row r="678">
      <c r="A678" t="inlineStr">
        <is>
          <t>earrings</t>
        </is>
      </c>
      <c r="B678" t="inlineStr">
        <is>
          <t>unique</t>
        </is>
      </c>
      <c r="C678" t="n">
        <v>2</v>
      </c>
      <c r="D678" t="inlineStr">
        <is>
          <t>Skill Damage %</t>
        </is>
      </c>
      <c r="E678" t="n">
        <v>14</v>
      </c>
      <c r="F678" t="n">
        <v>0.24</v>
      </c>
      <c r="G678" t="b">
        <v>1</v>
      </c>
      <c r="H678">
        <f>Sensitivity!H19</f>
        <v/>
      </c>
    </row>
    <row r="679">
      <c r="A679" t="inlineStr">
        <is>
          <t>earrings</t>
        </is>
      </c>
      <c r="B679" t="inlineStr">
        <is>
          <t>unique</t>
        </is>
      </c>
      <c r="C679" t="n">
        <v>2</v>
      </c>
      <c r="D679" t="inlineStr">
        <is>
          <t>Skill Damage %</t>
        </is>
      </c>
      <c r="E679" t="n">
        <v>8</v>
      </c>
      <c r="F679" t="n">
        <v>0.76</v>
      </c>
      <c r="G679" t="b">
        <v>0</v>
      </c>
      <c r="H679">
        <f>Sensitivity!H19</f>
        <v/>
      </c>
    </row>
    <row r="680">
      <c r="A680" t="inlineStr">
        <is>
          <t>earrings</t>
        </is>
      </c>
      <c r="B680" t="inlineStr">
        <is>
          <t>unique</t>
        </is>
      </c>
      <c r="C680" t="n">
        <v>3</v>
      </c>
      <c r="D680" t="inlineStr">
        <is>
          <t>Skill Damage %</t>
        </is>
      </c>
      <c r="E680" t="n">
        <v>14</v>
      </c>
      <c r="F680" t="n">
        <v>0.08</v>
      </c>
      <c r="G680" t="b">
        <v>1</v>
      </c>
      <c r="H680">
        <f>Sensitivity!H19</f>
        <v/>
      </c>
    </row>
    <row r="681">
      <c r="A681" t="inlineStr">
        <is>
          <t>earrings</t>
        </is>
      </c>
      <c r="B681" t="inlineStr">
        <is>
          <t>unique</t>
        </is>
      </c>
      <c r="C681" t="n">
        <v>3</v>
      </c>
      <c r="D681" t="inlineStr">
        <is>
          <t>Skill Damage %</t>
        </is>
      </c>
      <c r="E681" t="n">
        <v>8</v>
      </c>
      <c r="F681" t="n">
        <v>0.92</v>
      </c>
      <c r="G681" t="b">
        <v>0</v>
      </c>
      <c r="H681">
        <f>Sensitivity!H19</f>
        <v/>
      </c>
    </row>
    <row r="682">
      <c r="A682" t="inlineStr">
        <is>
          <t>earrings</t>
        </is>
      </c>
      <c r="B682" t="inlineStr">
        <is>
          <t>legendary</t>
        </is>
      </c>
      <c r="C682" t="n">
        <v>1</v>
      </c>
      <c r="D682" t="inlineStr">
        <is>
          <t>Skill Damage %</t>
        </is>
      </c>
      <c r="E682" t="n">
        <v>21</v>
      </c>
      <c r="F682" t="n">
        <v>1</v>
      </c>
      <c r="G682" t="b">
        <v>1</v>
      </c>
      <c r="H682">
        <f>Sensitivity!H19</f>
        <v/>
      </c>
    </row>
    <row r="683">
      <c r="A683" t="inlineStr">
        <is>
          <t>earrings</t>
        </is>
      </c>
      <c r="B683" t="inlineStr">
        <is>
          <t>legendary</t>
        </is>
      </c>
      <c r="C683" t="n">
        <v>2</v>
      </c>
      <c r="D683" t="inlineStr">
        <is>
          <t>Skill Damage %</t>
        </is>
      </c>
      <c r="E683" t="n">
        <v>21</v>
      </c>
      <c r="F683" t="n">
        <v>0.24</v>
      </c>
      <c r="G683" t="b">
        <v>1</v>
      </c>
      <c r="H683">
        <f>Sensitivity!H19</f>
        <v/>
      </c>
    </row>
    <row r="684">
      <c r="A684" t="inlineStr">
        <is>
          <t>earrings</t>
        </is>
      </c>
      <c r="B684" t="inlineStr">
        <is>
          <t>legendary</t>
        </is>
      </c>
      <c r="C684" t="n">
        <v>2</v>
      </c>
      <c r="D684" t="inlineStr">
        <is>
          <t>Skill Damage %</t>
        </is>
      </c>
      <c r="E684" t="n">
        <v>14</v>
      </c>
      <c r="F684" t="n">
        <v>0.76</v>
      </c>
      <c r="G684" t="b">
        <v>0</v>
      </c>
      <c r="H684">
        <f>Sensitivity!H19</f>
        <v/>
      </c>
    </row>
    <row r="685">
      <c r="A685" t="inlineStr">
        <is>
          <t>earrings</t>
        </is>
      </c>
      <c r="B685" t="inlineStr">
        <is>
          <t>legendary</t>
        </is>
      </c>
      <c r="C685" t="n">
        <v>3</v>
      </c>
      <c r="D685" t="inlineStr">
        <is>
          <t>Skill Damage %</t>
        </is>
      </c>
      <c r="E685" t="n">
        <v>21</v>
      </c>
      <c r="F685" t="n">
        <v>0.08</v>
      </c>
      <c r="G685" t="b">
        <v>1</v>
      </c>
      <c r="H685">
        <f>Sensitivity!H19</f>
        <v/>
      </c>
    </row>
    <row r="686">
      <c r="A686" t="inlineStr">
        <is>
          <t>earrings</t>
        </is>
      </c>
      <c r="B686" t="inlineStr">
        <is>
          <t>legendary</t>
        </is>
      </c>
      <c r="C686" t="n">
        <v>3</v>
      </c>
      <c r="D686" t="inlineStr">
        <is>
          <t>Skill Damage %</t>
        </is>
      </c>
      <c r="E686" t="n">
        <v>14</v>
      </c>
      <c r="F686" t="n">
        <v>0.92</v>
      </c>
      <c r="G686" t="b">
        <v>0</v>
      </c>
      <c r="H686">
        <f>Sensitivity!H19</f>
        <v/>
      </c>
    </row>
    <row r="687">
      <c r="A687" t="inlineStr">
        <is>
          <t>earrings</t>
        </is>
      </c>
      <c r="B687" t="inlineStr">
        <is>
          <t>mystic</t>
        </is>
      </c>
      <c r="C687" t="n">
        <v>1</v>
      </c>
      <c r="D687" t="inlineStr">
        <is>
          <t>Skill Damage %</t>
        </is>
      </c>
      <c r="E687" t="n">
        <v>30</v>
      </c>
      <c r="F687" t="n">
        <v>1</v>
      </c>
      <c r="G687" t="b">
        <v>1</v>
      </c>
      <c r="H687">
        <f>Sensitivity!H19</f>
        <v/>
      </c>
    </row>
    <row r="688">
      <c r="A688" t="inlineStr">
        <is>
          <t>earrings</t>
        </is>
      </c>
      <c r="B688" t="inlineStr">
        <is>
          <t>mystic</t>
        </is>
      </c>
      <c r="C688" t="n">
        <v>2</v>
      </c>
      <c r="D688" t="inlineStr">
        <is>
          <t>Skill Damage %</t>
        </is>
      </c>
      <c r="E688" t="n">
        <v>30</v>
      </c>
      <c r="F688" t="n">
        <v>0.24</v>
      </c>
      <c r="G688" t="b">
        <v>1</v>
      </c>
      <c r="H688">
        <f>Sensitivity!H19</f>
        <v/>
      </c>
    </row>
    <row r="689">
      <c r="A689" t="inlineStr">
        <is>
          <t>earrings</t>
        </is>
      </c>
      <c r="B689" t="inlineStr">
        <is>
          <t>mystic</t>
        </is>
      </c>
      <c r="C689" t="n">
        <v>2</v>
      </c>
      <c r="D689" t="inlineStr">
        <is>
          <t>Skill Damage %</t>
        </is>
      </c>
      <c r="E689" t="n">
        <v>21</v>
      </c>
      <c r="F689" t="n">
        <v>0.76</v>
      </c>
      <c r="G689" t="b">
        <v>0</v>
      </c>
      <c r="H689">
        <f>Sensitivity!H19</f>
        <v/>
      </c>
    </row>
    <row r="690">
      <c r="A690" t="inlineStr">
        <is>
          <t>earrings</t>
        </is>
      </c>
      <c r="B690" t="inlineStr">
        <is>
          <t>mystic</t>
        </is>
      </c>
      <c r="C690" t="n">
        <v>3</v>
      </c>
      <c r="D690" t="inlineStr">
        <is>
          <t>Skill Damage %</t>
        </is>
      </c>
      <c r="E690" t="n">
        <v>30</v>
      </c>
      <c r="F690" t="n">
        <v>0.08</v>
      </c>
      <c r="G690" t="b">
        <v>1</v>
      </c>
      <c r="H690">
        <f>Sensitivity!H19</f>
        <v/>
      </c>
    </row>
    <row r="691">
      <c r="A691" t="inlineStr">
        <is>
          <t>earrings</t>
        </is>
      </c>
      <c r="B691" t="inlineStr">
        <is>
          <t>mystic</t>
        </is>
      </c>
      <c r="C691" t="n">
        <v>3</v>
      </c>
      <c r="D691" t="inlineStr">
        <is>
          <t>Skill Damage %</t>
        </is>
      </c>
      <c r="E691" t="n">
        <v>21</v>
      </c>
      <c r="F691" t="n">
        <v>0.92</v>
      </c>
      <c r="G691" t="b">
        <v>0</v>
      </c>
      <c r="H691">
        <f>Sensitivity!H19</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Arch Mage (Ice/Lightning)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(Prime)"},0),2,3,4.5,7,10,12))*Sensitivity!$H$14,IF($D$5="Min Damage Multiplier %",(CHOOSE(MATCH($C$5,{"Rare","Epic","Unique","Legendary","Mystic","Mystic (Prime)"},0),2,3,4.5,7,10,12))*Sensitivity!$H$12,IF($D$5="Max Damage Multiplier %",(CHOOSE(MATCH($C$5,{"Rare","Epic","Unique","Legendary","Mystic","Mystic (Prime)"},0),2,3,4.5,7,10,12))*Sensitivity!$H$13,IF($D$5="Boss Monster Damage %",(CHOOSE(MATCH($C$5,{"Rare","Epic","Unique","Legendary","Mystic","Mystic (Prime)"},0),4,6,9,14,20,24))*Sensitivity!$H$9,IF($D$5="Normal Monster Damage %",(CHOOSE(MATCH($C$5,{"Rare","Epic","Unique","Legendary","Mystic","Mystic (Prime)"},0),4,6,9,14,20,24))*Sensitivity!$H$10,IF($D$5="Status Effect Damage %",0,IF($D$5="Damage %",(CHOOSE(MATCH($C$5,{"Rare","Epic","Unique","Legendary","Mystic","Mystic (Prime)"},0),4,6,9,14,20,24))*Sensitivity!$H$7,IF($D$5="Defense Penetration %",(CHOOSE(MATCH($C$5,{"Rare","Epic","Unique","Legendary","Mystic","Mystic (Prime)"},0),2,3,4.5,7,10,12))*Sensitivity!$H$17,0)))))))))))),0)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(Prime)"},0),2,3,4.5,7,10,12))*Sensitivity!$H$14,IF($G$5="Min Damage Multiplier %",(CHOOSE(MATCH($F$5,{"Rare","Epic","Unique","Legendary","Mystic","Mystic (Prime)"},0),2,3,4.5,7,10,12))*Sensitivity!$H$12,IF($G$5="Max Damage Multiplier %",(CHOOSE(MATCH($F$5,{"Rare","Epic","Unique","Legendary","Mystic","Mystic (Prime)"},0),2,3,4.5,7,10,12))*Sensitivity!$H$13,IF($G$5="Boss Monster Damage %",(CHOOSE(MATCH($F$5,{"Rare","Epic","Unique","Legendary","Mystic","Mystic (Prime)"},0),4,6,9,14,20,24))*Sensitivity!$H$9,IF($G$5="Normal Monster Damage %",(CHOOSE(MATCH($F$5,{"Rare","Epic","Unique","Legendary","Mystic","Mystic (Prime)"},0),4,6,9,14,20,24))*Sensitivity!$H$10,IF($G$5="Status Effect Damage %",0,IF($G$5="Damage %",(CHOOSE(MATCH($F$5,{"Rare","Epic","Unique","Legendary","Mystic","Mystic (Prime)"},0),4,6,9,14,20,24))*Sensitivity!$H$7,IF($G$5="Defense Penetration %",(CHOOSE(MATCH($F$5,{"Rare","Epic","Unique","Legendary","Mystic","Mystic (Prime)"},0),2,3,4.5,7,10,12))*Sensitivity!$H$17,0)))))))))))),0)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(Prime)"},0),2,3,4.5,7,10,12))*Sensitivity!$H$14,IF($D$6="Min Damage Multiplier %",(CHOOSE(MATCH($C$6,{"Rare","Epic","Unique","Legendary","Mystic","Mystic (Prime)"},0),2,3,4.5,7,10,12))*Sensitivity!$H$12,IF($D$6="Max Damage Multiplier %",(CHOOSE(MATCH($C$6,{"Rare","Epic","Unique","Legendary","Mystic","Mystic (Prime)"},0),2,3,4.5,7,10,12))*Sensitivity!$H$13,IF($D$6="Boss Monster Damage %",(CHOOSE(MATCH($C$6,{"Rare","Epic","Unique","Legendary","Mystic","Mystic (Prime)"},0),4,6,9,14,20,24))*Sensitivity!$H$9,IF($D$6="Normal Monster Damage %",(CHOOSE(MATCH($C$6,{"Rare","Epic","Unique","Legendary","Mystic","Mystic (Prime)"},0),4,6,9,14,20,24))*Sensitivity!$H$10,IF($D$6="Status Effect Damage %",0,IF($D$6="Damage %",(CHOOSE(MATCH($C$6,{"Rare","Epic","Unique","Legendary","Mystic","Mystic (Prime)"},0),4,6,9,14,20,24))*Sensitivity!$H$7,IF($D$6="Defense Penetration %",(CHOOSE(MATCH($C$6,{"Rare","Epic","Unique","Legendary","Mystic","Mystic (Prime)"},0),2,3,4.5,7,10,12))*Sensitivity!$H$17,0)))))))))))),0)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(Prime)"},0),2,3,4.5,7,10,12))*Sensitivity!$H$14,IF($G$6="Min Damage Multiplier %",(CHOOSE(MATCH($F$6,{"Rare","Epic","Unique","Legendary","Mystic","Mystic (Prime)"},0),2,3,4.5,7,10,12))*Sensitivity!$H$12,IF($G$6="Max Damage Multiplier %",(CHOOSE(MATCH($F$6,{"Rare","Epic","Unique","Legendary","Mystic","Mystic (Prime)"},0),2,3,4.5,7,10,12))*Sensitivity!$H$13,IF($G$6="Boss Monster Damage %",(CHOOSE(MATCH($F$6,{"Rare","Epic","Unique","Legendary","Mystic","Mystic (Prime)"},0),4,6,9,14,20,24))*Sensitivity!$H$9,IF($G$6="Normal Monster Damage %",(CHOOSE(MATCH($F$6,{"Rare","Epic","Unique","Legendary","Mystic","Mystic (Prime)"},0),4,6,9,14,20,24))*Sensitivity!$H$10,IF($G$6="Status Effect Damage %",0,IF($G$6="Damage %",(CHOOSE(MATCH($F$6,{"Rare","Epic","Unique","Legendary","Mystic","Mystic (Prime)"},0),4,6,9,14,20,24))*Sensitivity!$H$7,IF($G$6="Defense Penetration %",(CHOOSE(MATCH($F$6,{"Rare","Epic","Unique","Legendary","Mystic","Mystic (Prime)"},0),2,3,4.5,7,10,12))*Sensitivity!$H$17,0)))))))))))),0)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(Prime)"},0),2,3,4.5,7,10,12))*Sensitivity!$H$14,IF($D$7="Min Damage Multiplier %",(CHOOSE(MATCH($C$7,{"Rare","Epic","Unique","Legendary","Mystic","Mystic (Prime)"},0),2,3,4.5,7,10,12))*Sensitivity!$H$12,IF($D$7="Max Damage Multiplier %",(CHOOSE(MATCH($C$7,{"Rare","Epic","Unique","Legendary","Mystic","Mystic (Prime)"},0),2,3,4.5,7,10,12))*Sensitivity!$H$13,IF($D$7="Boss Monster Damage %",(CHOOSE(MATCH($C$7,{"Rare","Epic","Unique","Legendary","Mystic","Mystic (Prime)"},0),4,6,9,14,20,24))*Sensitivity!$H$9,IF($D$7="Normal Monster Damage %",(CHOOSE(MATCH($C$7,{"Rare","Epic","Unique","Legendary","Mystic","Mystic (Prime)"},0),4,6,9,14,20,24))*Sensitivity!$H$10,IF($D$7="Status Effect Damage %",0,IF($D$7="Damage %",(CHOOSE(MATCH($C$7,{"Rare","Epic","Unique","Legendary","Mystic","Mystic (Prime)"},0),4,6,9,14,20,24))*Sensitivity!$H$7,IF($D$7="Defense Penetration %",(CHOOSE(MATCH($C$7,{"Rare","Epic","Unique","Legendary","Mystic","Mystic (Prime)"},0),2,3,4.5,7,10,12))*Sensitivity!$H$17,0)))))))))))),0)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(Prime)"},0),2,3,4.5,7,10,12))*Sensitivity!$H$14,IF($G$7="Min Damage Multiplier %",(CHOOSE(MATCH($F$7,{"Rare","Epic","Unique","Legendary","Mystic","Mystic (Prime)"},0),2,3,4.5,7,10,12))*Sensitivity!$H$12,IF($G$7="Max Damage Multiplier %",(CHOOSE(MATCH($F$7,{"Rare","Epic","Unique","Legendary","Mystic","Mystic (Prime)"},0),2,3,4.5,7,10,12))*Sensitivity!$H$13,IF($G$7="Boss Monster Damage %",(CHOOSE(MATCH($F$7,{"Rare","Epic","Unique","Legendary","Mystic","Mystic (Prime)"},0),4,6,9,14,20,24))*Sensitivity!$H$9,IF($G$7="Normal Monster Damage %",(CHOOSE(MATCH($F$7,{"Rare","Epic","Unique","Legendary","Mystic","Mystic (Prime)"},0),4,6,9,14,20,24))*Sensitivity!$H$10,IF($G$7="Status Effect Damage %",0,IF($G$7="Damage %",(CHOOSE(MATCH($F$7,{"Rare","Epic","Unique","Legendary","Mystic","Mystic (Prime)"},0),4,6,9,14,20,24))*Sensitivity!$H$7,IF($G$7="Defense Penetration %",(CHOOSE(MATCH($F$7,{"Rare","Epic","Unique","Legendary","Mystic","Mystic (Prime)"},0),2,3,4.5,7,10,12))*Sensitivity!$H$17,0)))))))))))),0)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(Prime)"},0),2,3,4.5,7,10,12))*Sensitivity!$H$14,IF($D$8="Min Damage Multiplier %",(CHOOSE(MATCH($C$8,{"Rare","Epic","Unique","Legendary","Mystic","Mystic (Prime)"},0),2,3,4.5,7,10,12))*Sensitivity!$H$12,IF($D$8="Max Damage Multiplier %",(CHOOSE(MATCH($C$8,{"Rare","Epic","Unique","Legendary","Mystic","Mystic (Prime)"},0),2,3,4.5,7,10,12))*Sensitivity!$H$13,IF($D$8="Boss Monster Damage %",(CHOOSE(MATCH($C$8,{"Rare","Epic","Unique","Legendary","Mystic","Mystic (Prime)"},0),4,6,9,14,20,24))*Sensitivity!$H$9,IF($D$8="Normal Monster Damage %",(CHOOSE(MATCH($C$8,{"Rare","Epic","Unique","Legendary","Mystic","Mystic (Prime)"},0),4,6,9,14,20,24))*Sensitivity!$H$10,IF($D$8="Status Effect Damage %",0,IF($D$8="Damage %",(CHOOSE(MATCH($C$8,{"Rare","Epic","Unique","Legendary","Mystic","Mystic (Prime)"},0),4,6,9,14,20,24))*Sensitivity!$H$7,IF($D$8="Defense Penetration %",(CHOOSE(MATCH($C$8,{"Rare","Epic","Unique","Legendary","Mystic","Mystic (Prime)"},0),2,3,4.5,7,10,12))*Sensitivity!$H$17,0)))))))))))),0)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(Prime)"},0),2,3,4.5,7,10,12))*Sensitivity!$H$14,IF($G$8="Min Damage Multiplier %",(CHOOSE(MATCH($F$8,{"Rare","Epic","Unique","Legendary","Mystic","Mystic (Prime)"},0),2,3,4.5,7,10,12))*Sensitivity!$H$12,IF($G$8="Max Damage Multiplier %",(CHOOSE(MATCH($F$8,{"Rare","Epic","Unique","Legendary","Mystic","Mystic (Prime)"},0),2,3,4.5,7,10,12))*Sensitivity!$H$13,IF($G$8="Boss Monster Damage %",(CHOOSE(MATCH($F$8,{"Rare","Epic","Unique","Legendary","Mystic","Mystic (Prime)"},0),4,6,9,14,20,24))*Sensitivity!$H$9,IF($G$8="Normal Monster Damage %",(CHOOSE(MATCH($F$8,{"Rare","Epic","Unique","Legendary","Mystic","Mystic (Prime)"},0),4,6,9,14,20,24))*Sensitivity!$H$10,IF($G$8="Status Effect Damage %",0,IF($G$8="Damage %",(CHOOSE(MATCH($F$8,{"Rare","Epic","Unique","Legendary","Mystic","Mystic (Prime)"},0),4,6,9,14,20,24))*Sensitivity!$H$7,IF($G$8="Defense Penetration %",(CHOOSE(MATCH($F$8,{"Rare","Epic","Unique","Legendary","Mystic","Mystic (Prime)"},0),2,3,4.5,7,10,12))*Sensitivity!$H$17,0)))))))))))),0)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(Prime)"},0),2,3,4.5,7,10,12))*Sensitivity!$H$14,IF($D$10="Min Damage Multiplier %",(CHOOSE(MATCH($C$10,{"Rare","Epic","Unique","Legendary","Mystic","Mystic (Prime)"},0),2,3,4.5,7,10,12))*Sensitivity!$H$12,IF($D$10="Max Damage Multiplier %",(CHOOSE(MATCH($C$10,{"Rare","Epic","Unique","Legendary","Mystic","Mystic (Prime)"},0),2,3,4.5,7,10,12))*Sensitivity!$H$13,IF($D$10="Boss Monster Damage %",(CHOOSE(MATCH($C$10,{"Rare","Epic","Unique","Legendary","Mystic","Mystic (Prime)"},0),4,6,9,14,20,24))*Sensitivity!$H$9,IF($D$10="Normal Monster Damage %",(CHOOSE(MATCH($C$10,{"Rare","Epic","Unique","Legendary","Mystic","Mystic (Prime)"},0),4,6,9,14,20,24))*Sensitivity!$H$10,IF($D$10="Status Effect Damage %",0,IF($D$10="Damage %",(CHOOSE(MATCH($C$10,{"Rare","Epic","Unique","Legendary","Mystic","Mystic (Prime)"},0),4,6,9,14,20,24))*Sensitivity!$H$7,IF($D$10="Defense Penetration %",(CHOOSE(MATCH($C$10,{"Rare","Epic","Unique","Legendary","Mystic","Mystic (Prime)"},0),2,3,4.5,7,10,12))*Sensitivity!$H$17,0)))))))))))),0)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(Prime)"},0),2,3,4.5,7,10,12))*Sensitivity!$H$14,IF($G$10="Min Damage Multiplier %",(CHOOSE(MATCH($F$10,{"Rare","Epic","Unique","Legendary","Mystic","Mystic (Prime)"},0),2,3,4.5,7,10,12))*Sensitivity!$H$12,IF($G$10="Max Damage Multiplier %",(CHOOSE(MATCH($F$10,{"Rare","Epic","Unique","Legendary","Mystic","Mystic (Prime)"},0),2,3,4.5,7,10,12))*Sensitivity!$H$13,IF($G$10="Boss Monster Damage %",(CHOOSE(MATCH($F$10,{"Rare","Epic","Unique","Legendary","Mystic","Mystic (Prime)"},0),4,6,9,14,20,24))*Sensitivity!$H$9,IF($G$10="Normal Monster Damage %",(CHOOSE(MATCH($F$10,{"Rare","Epic","Unique","Legendary","Mystic","Mystic (Prime)"},0),4,6,9,14,20,24))*Sensitivity!$H$10,IF($G$10="Status Effect Damage %",0,IF($G$10="Damage %",(CHOOSE(MATCH($F$10,{"Rare","Epic","Unique","Legendary","Mystic","Mystic (Prime)"},0),4,6,9,14,20,24))*Sensitivity!$H$7,IF($G$10="Defense Penetration %",(CHOOSE(MATCH($F$10,{"Rare","Epic","Unique","Legendary","Mystic","Mystic (Prime)"},0),2,3,4.5,7,10,12))*Sensitivity!$H$17,0)))))))))))),0)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(Prime)"},0),2,3,4.5,7,10,12))*Sensitivity!$H$14,IF($D$11="Min Damage Multiplier %",(CHOOSE(MATCH($C$11,{"Rare","Epic","Unique","Legendary","Mystic","Mystic (Prime)"},0),2,3,4.5,7,10,12))*Sensitivity!$H$12,IF($D$11="Max Damage Multiplier %",(CHOOSE(MATCH($C$11,{"Rare","Epic","Unique","Legendary","Mystic","Mystic (Prime)"},0),2,3,4.5,7,10,12))*Sensitivity!$H$13,IF($D$11="Boss Monster Damage %",(CHOOSE(MATCH($C$11,{"Rare","Epic","Unique","Legendary","Mystic","Mystic (Prime)"},0),4,6,9,14,20,24))*Sensitivity!$H$9,IF($D$11="Normal Monster Damage %",(CHOOSE(MATCH($C$11,{"Rare","Epic","Unique","Legendary","Mystic","Mystic (Prime)"},0),4,6,9,14,20,24))*Sensitivity!$H$10,IF($D$11="Status Effect Damage %",0,IF($D$11="Damage %",(CHOOSE(MATCH($C$11,{"Rare","Epic","Unique","Legendary","Mystic","Mystic (Prime)"},0),4,6,9,14,20,24))*Sensitivity!$H$7,IF($D$11="Defense Penetration %",(CHOOSE(MATCH($C$11,{"Rare","Epic","Unique","Legendary","Mystic","Mystic (Prime)"},0),2,3,4.5,7,10,12))*Sensitivity!$H$17,0)))))))))))),0)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(Prime)"},0),2,3,4.5,7,10,12))*Sensitivity!$H$14,IF($G$11="Min Damage Multiplier %",(CHOOSE(MATCH($F$11,{"Rare","Epic","Unique","Legendary","Mystic","Mystic (Prime)"},0),2,3,4.5,7,10,12))*Sensitivity!$H$12,IF($G$11="Max Damage Multiplier %",(CHOOSE(MATCH($F$11,{"Rare","Epic","Unique","Legendary","Mystic","Mystic (Prime)"},0),2,3,4.5,7,10,12))*Sensitivity!$H$13,IF($G$11="Boss Monster Damage %",(CHOOSE(MATCH($F$11,{"Rare","Epic","Unique","Legendary","Mystic","Mystic (Prime)"},0),4,6,9,14,20,24))*Sensitivity!$H$9,IF($G$11="Normal Monster Damage %",(CHOOSE(MATCH($F$11,{"Rare","Epic","Unique","Legendary","Mystic","Mystic (Prime)"},0),4,6,9,14,20,24))*Sensitivity!$H$10,IF($G$11="Status Effect Damage %",0,IF($G$11="Damage %",(CHOOSE(MATCH($F$11,{"Rare","Epic","Unique","Legendary","Mystic","Mystic (Prime)"},0),4,6,9,14,20,24))*Sensitivity!$H$7,IF($G$11="Defense Penetration %",(CHOOSE(MATCH($F$11,{"Rare","Epic","Unique","Legendary","Mystic","Mystic (Prime)"},0),2,3,4.5,7,10,12))*Sensitivity!$H$17,0)))))))))))),0)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(Prime)"},0),2,3,4.5,7,10,12))*Sensitivity!$H$14,IF($D$12="Min Damage Multiplier %",(CHOOSE(MATCH($C$12,{"Rare","Epic","Unique","Legendary","Mystic","Mystic (Prime)"},0),2,3,4.5,7,10,12))*Sensitivity!$H$12,IF($D$12="Max Damage Multiplier %",(CHOOSE(MATCH($C$12,{"Rare","Epic","Unique","Legendary","Mystic","Mystic (Prime)"},0),2,3,4.5,7,10,12))*Sensitivity!$H$13,IF($D$12="Boss Monster Damage %",(CHOOSE(MATCH($C$12,{"Rare","Epic","Unique","Legendary","Mystic","Mystic (Prime)"},0),4,6,9,14,20,24))*Sensitivity!$H$9,IF($D$12="Normal Monster Damage %",(CHOOSE(MATCH($C$12,{"Rare","Epic","Unique","Legendary","Mystic","Mystic (Prime)"},0),4,6,9,14,20,24))*Sensitivity!$H$10,IF($D$12="Status Effect Damage %",0,IF($D$12="Damage %",(CHOOSE(MATCH($C$12,{"Rare","Epic","Unique","Legendary","Mystic","Mystic (Prime)"},0),4,6,9,14,20,24))*Sensitivity!$H$7,IF($D$12="Defense Penetration %",(CHOOSE(MATCH($C$12,{"Rare","Epic","Unique","Legendary","Mystic","Mystic (Prime)"},0),2,3,4.5,7,10,12))*Sensitivity!$H$17,0)))))))))))),0)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(Prime)"},0),2,3,4.5,7,10,12))*Sensitivity!$H$14,IF($G$12="Min Damage Multiplier %",(CHOOSE(MATCH($F$12,{"Rare","Epic","Unique","Legendary","Mystic","Mystic (Prime)"},0),2,3,4.5,7,10,12))*Sensitivity!$H$12,IF($G$12="Max Damage Multiplier %",(CHOOSE(MATCH($F$12,{"Rare","Epic","Unique","Legendary","Mystic","Mystic (Prime)"},0),2,3,4.5,7,10,12))*Sensitivity!$H$13,IF($G$12="Boss Monster Damage %",(CHOOSE(MATCH($F$12,{"Rare","Epic","Unique","Legendary","Mystic","Mystic (Prime)"},0),4,6,9,14,20,24))*Sensitivity!$H$9,IF($G$12="Normal Monster Damage %",(CHOOSE(MATCH($F$12,{"Rare","Epic","Unique","Legendary","Mystic","Mystic (Prime)"},0),4,6,9,14,20,24))*Sensitivity!$H$10,IF($G$12="Status Effect Damage %",0,IF($G$12="Damage %",(CHOOSE(MATCH($F$12,{"Rare","Epic","Unique","Legendary","Mystic","Mystic (Prime)"},0),4,6,9,14,20,24))*Sensitivity!$H$7,IF($G$12="Defense Penetration %",(CHOOSE(MATCH($F$12,{"Rare","Epic","Unique","Legendary","Mystic","Mystic (Prime)"},0),2,3,4.5,7,10,12))*Sensitivity!$H$17,0)))))))))))),0)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(Prime)"},0),2,3,4.5,7,10,12))*Sensitivity!$H$14,IF($D$13="Min Damage Multiplier %",(CHOOSE(MATCH($C$13,{"Rare","Epic","Unique","Legendary","Mystic","Mystic (Prime)"},0),2,3,4.5,7,10,12))*Sensitivity!$H$12,IF($D$13="Max Damage Multiplier %",(CHOOSE(MATCH($C$13,{"Rare","Epic","Unique","Legendary","Mystic","Mystic (Prime)"},0),2,3,4.5,7,10,12))*Sensitivity!$H$13,IF($D$13="Boss Monster Damage %",(CHOOSE(MATCH($C$13,{"Rare","Epic","Unique","Legendary","Mystic","Mystic (Prime)"},0),4,6,9,14,20,24))*Sensitivity!$H$9,IF($D$13="Normal Monster Damage %",(CHOOSE(MATCH($C$13,{"Rare","Epic","Unique","Legendary","Mystic","Mystic (Prime)"},0),4,6,9,14,20,24))*Sensitivity!$H$10,IF($D$13="Status Effect Damage %",0,IF($D$13="Damage %",(CHOOSE(MATCH($C$13,{"Rare","Epic","Unique","Legendary","Mystic","Mystic (Prime)"},0),4,6,9,14,20,24))*Sensitivity!$H$7,IF($D$13="Defense Penetration %",(CHOOSE(MATCH($C$13,{"Rare","Epic","Unique","Legendary","Mystic","Mystic (Prime)"},0),2,3,4.5,7,10,12))*Sensitivity!$H$17,0)))))))))))),0)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(Prime)"},0),2,3,4.5,7,10,12))*Sensitivity!$H$14,IF($G$13="Min Damage Multiplier %",(CHOOSE(MATCH($F$13,{"Rare","Epic","Unique","Legendary","Mystic","Mystic (Prime)"},0),2,3,4.5,7,10,12))*Sensitivity!$H$12,IF($G$13="Max Damage Multiplier %",(CHOOSE(MATCH($F$13,{"Rare","Epic","Unique","Legendary","Mystic","Mystic (Prime)"},0),2,3,4.5,7,10,12))*Sensitivity!$H$13,IF($G$13="Boss Monster Damage %",(CHOOSE(MATCH($F$13,{"Rare","Epic","Unique","Legendary","Mystic","Mystic (Prime)"},0),4,6,9,14,20,24))*Sensitivity!$H$9,IF($G$13="Normal Monster Damage %",(CHOOSE(MATCH($F$13,{"Rare","Epic","Unique","Legendary","Mystic","Mystic (Prime)"},0),4,6,9,14,20,24))*Sensitivity!$H$10,IF($G$13="Status Effect Damage %",0,IF($G$13="Damage %",(CHOOSE(MATCH($F$13,{"Rare","Epic","Unique","Legendary","Mystic","Mystic (Prime)"},0),4,6,9,14,20,24))*Sensitivity!$H$7,IF($G$13="Defense Penetration %",(CHOOSE(MATCH($F$13,{"Rare","Epic","Unique","Legendary","Mystic","Mystic (Prime)"},0),2,3,4.5,7,10,12))*Sensitivity!$H$17,0)))))))))))),0)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(Prime)"},0),2,3,4.5,7,10,12))*Sensitivity!$H$14,IF($D$14="Min Damage Multiplier %",(CHOOSE(MATCH($C$14,{"Rare","Epic","Unique","Legendary","Mystic","Mystic (Prime)"},0),2,3,4.5,7,10,12))*Sensitivity!$H$12,IF($D$14="Max Damage Multiplier %",(CHOOSE(MATCH($C$14,{"Rare","Epic","Unique","Legendary","Mystic","Mystic (Prime)"},0),2,3,4.5,7,10,12))*Sensitivity!$H$13,IF($D$14="Boss Monster Damage %",(CHOOSE(MATCH($C$14,{"Rare","Epic","Unique","Legendary","Mystic","Mystic (Prime)"},0),4,6,9,14,20,24))*Sensitivity!$H$9,IF($D$14="Normal Monster Damage %",(CHOOSE(MATCH($C$14,{"Rare","Epic","Unique","Legendary","Mystic","Mystic (Prime)"},0),4,6,9,14,20,24))*Sensitivity!$H$10,IF($D$14="Status Effect Damage %",0,IF($D$14="Damage %",(CHOOSE(MATCH($C$14,{"Rare","Epic","Unique","Legendary","Mystic","Mystic (Prime)"},0),4,6,9,14,20,24))*Sensitivity!$H$7,IF($D$14="Defense Penetration %",(CHOOSE(MATCH($C$14,{"Rare","Epic","Unique","Legendary","Mystic","Mystic (Prime)"},0),2,3,4.5,7,10,12))*Sensitivity!$H$17,0)))))))))))),0)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(Prime)"},0),2,3,4.5,7,10,12))*Sensitivity!$H$14,IF($G$14="Min Damage Multiplier %",(CHOOSE(MATCH($F$14,{"Rare","Epic","Unique","Legendary","Mystic","Mystic (Prime)"},0),2,3,4.5,7,10,12))*Sensitivity!$H$12,IF($G$14="Max Damage Multiplier %",(CHOOSE(MATCH($F$14,{"Rare","Epic","Unique","Legendary","Mystic","Mystic (Prime)"},0),2,3,4.5,7,10,12))*Sensitivity!$H$13,IF($G$14="Boss Monster Damage %",(CHOOSE(MATCH($F$14,{"Rare","Epic","Unique","Legendary","Mystic","Mystic (Prime)"},0),4,6,9,14,20,24))*Sensitivity!$H$9,IF($G$14="Normal Monster Damage %",(CHOOSE(MATCH($F$14,{"Rare","Epic","Unique","Legendary","Mystic","Mystic (Prime)"},0),4,6,9,14,20,24))*Sensitivity!$H$10,IF($G$14="Status Effect Damage %",0,IF($G$14="Damage %",(CHOOSE(MATCH($F$14,{"Rare","Epic","Unique","Legendary","Mystic","Mystic (Prime)"},0),4,6,9,14,20,24))*Sensitivity!$H$7,IF($G$14="Defense Penetration %",(CHOOSE(MATCH($F$14,{"Rare","Epic","Unique","Legendary","Mystic","Mystic (Prime)"},0),2,3,4.5,7,10,12))*Sensitivity!$H$17,0)))))))))))),0)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(Prime)"},0),2,3,4.5,7,10,12))*Sensitivity!$H$14,IF($D$15="Min Damage Multiplier %",(CHOOSE(MATCH($C$15,{"Rare","Epic","Unique","Legendary","Mystic","Mystic (Prime)"},0),2,3,4.5,7,10,12))*Sensitivity!$H$12,IF($D$15="Max Damage Multiplier %",(CHOOSE(MATCH($C$15,{"Rare","Epic","Unique","Legendary","Mystic","Mystic (Prime)"},0),2,3,4.5,7,10,12))*Sensitivity!$H$13,IF($D$15="Boss Monster Damage %",(CHOOSE(MATCH($C$15,{"Rare","Epic","Unique","Legendary","Mystic","Mystic (Prime)"},0),4,6,9,14,20,24))*Sensitivity!$H$9,IF($D$15="Normal Monster Damage %",(CHOOSE(MATCH($C$15,{"Rare","Epic","Unique","Legendary","Mystic","Mystic (Prime)"},0),4,6,9,14,20,24))*Sensitivity!$H$10,IF($D$15="Status Effect Damage %",0,IF($D$15="Damage %",(CHOOSE(MATCH($C$15,{"Rare","Epic","Unique","Legendary","Mystic","Mystic (Prime)"},0),4,6,9,14,20,24))*Sensitivity!$H$7,IF($D$15="Defense Penetration %",(CHOOSE(MATCH($C$15,{"Rare","Epic","Unique","Legendary","Mystic","Mystic (Prime)"},0),2,3,4.5,7,10,12))*Sensitivity!$H$17,0)))))))))))),0)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(Prime)"},0),2,3,4.5,7,10,12))*Sensitivity!$H$14,IF($G$15="Min Damage Multiplier %",(CHOOSE(MATCH($F$15,{"Rare","Epic","Unique","Legendary","Mystic","Mystic (Prime)"},0),2,3,4.5,7,10,12))*Sensitivity!$H$12,IF($G$15="Max Damage Multiplier %",(CHOOSE(MATCH($F$15,{"Rare","Epic","Unique","Legendary","Mystic","Mystic (Prime)"},0),2,3,4.5,7,10,12))*Sensitivity!$H$13,IF($G$15="Boss Monster Damage %",(CHOOSE(MATCH($F$15,{"Rare","Epic","Unique","Legendary","Mystic","Mystic (Prime)"},0),4,6,9,14,20,24))*Sensitivity!$H$9,IF($G$15="Normal Monster Damage %",(CHOOSE(MATCH($F$15,{"Rare","Epic","Unique","Legendary","Mystic","Mystic (Prime)"},0),4,6,9,14,20,24))*Sensitivity!$H$10,IF($G$15="Status Effect Damage %",0,IF($G$15="Damage %",(CHOOSE(MATCH($F$15,{"Rare","Epic","Unique","Legendary","Mystic","Mystic (Prime)"},0),4,6,9,14,20,24))*Sensitivity!$H$7,IF($G$15="Defense Penetration %",(CHOOSE(MATCH($F$15,{"Rare","Epic","Unique","Legendary","Mystic","Mystic (Prime)"},0),2,3,4.5,7,10,12))*Sensitivity!$H$17,0)))))))))))),0)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(Prime)"},0),2,3,4.5,7,10,12))*Sensitivity!$H$14,IF($D$16="Min Damage Multiplier %",(CHOOSE(MATCH($C$16,{"Rare","Epic","Unique","Legendary","Mystic","Mystic (Prime)"},0),2,3,4.5,7,10,12))*Sensitivity!$H$12,IF($D$16="Max Damage Multiplier %",(CHOOSE(MATCH($C$16,{"Rare","Epic","Unique","Legendary","Mystic","Mystic (Prime)"},0),2,3,4.5,7,10,12))*Sensitivity!$H$13,IF($D$16="Boss Monster Damage %",(CHOOSE(MATCH($C$16,{"Rare","Epic","Unique","Legendary","Mystic","Mystic (Prime)"},0),4,6,9,14,20,24))*Sensitivity!$H$9,IF($D$16="Normal Monster Damage %",(CHOOSE(MATCH($C$16,{"Rare","Epic","Unique","Legendary","Mystic","Mystic (Prime)"},0),4,6,9,14,20,24))*Sensitivity!$H$10,IF($D$16="Status Effect Damage %",0,IF($D$16="Damage %",(CHOOSE(MATCH($C$16,{"Rare","Epic","Unique","Legendary","Mystic","Mystic (Prime)"},0),4,6,9,14,20,24))*Sensitivity!$H$7,IF($D$16="Defense Penetration %",(CHOOSE(MATCH($C$16,{"Rare","Epic","Unique","Legendary","Mystic","Mystic (Prime)"},0),2,3,4.5,7,10,12))*Sensitivity!$H$17,0)))))))))))),0)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(Prime)"},0),2,3,4.5,7,10,12))*Sensitivity!$H$14,IF($G$16="Min Damage Multiplier %",(CHOOSE(MATCH($F$16,{"Rare","Epic","Unique","Legendary","Mystic","Mystic (Prime)"},0),2,3,4.5,7,10,12))*Sensitivity!$H$12,IF($G$16="Max Damage Multiplier %",(CHOOSE(MATCH($F$16,{"Rare","Epic","Unique","Legendary","Mystic","Mystic (Prime)"},0),2,3,4.5,7,10,12))*Sensitivity!$H$13,IF($G$16="Boss Monster Damage %",(CHOOSE(MATCH($F$16,{"Rare","Epic","Unique","Legendary","Mystic","Mystic (Prime)"},0),4,6,9,14,20,24))*Sensitivity!$H$9,IF($G$16="Normal Monster Damage %",(CHOOSE(MATCH($F$16,{"Rare","Epic","Unique","Legendary","Mystic","Mystic (Prime)"},0),4,6,9,14,20,24))*Sensitivity!$H$10,IF($G$16="Status Effect Damage %",0,IF($G$16="Damage %",(CHOOSE(MATCH($F$16,{"Rare","Epic","Unique","Legendary","Mystic","Mystic (Prime)"},0),4,6,9,14,20,24))*Sensitivity!$H$7,IF($G$16="Defense Penetration %",(CHOOSE(MATCH($F$16,{"Rare","Epic","Unique","Legendary","Mystic","Mystic (Prime)"},0),2,3,4.5,7,10,12))*Sensitivity!$H$17,0)))))))))))),0)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(Prime)"},0),2,3,4.5,7,10,12))*Sensitivity!$H$14,IF($D$17="Min Damage Multiplier %",(CHOOSE(MATCH($C$17,{"Rare","Epic","Unique","Legendary","Mystic","Mystic (Prime)"},0),2,3,4.5,7,10,12))*Sensitivity!$H$12,IF($D$17="Max Damage Multiplier %",(CHOOSE(MATCH($C$17,{"Rare","Epic","Unique","Legendary","Mystic","Mystic (Prime)"},0),2,3,4.5,7,10,12))*Sensitivity!$H$13,IF($D$17="Boss Monster Damage %",(CHOOSE(MATCH($C$17,{"Rare","Epic","Unique","Legendary","Mystic","Mystic (Prime)"},0),4,6,9,14,20,24))*Sensitivity!$H$9,IF($D$17="Normal Monster Damage %",(CHOOSE(MATCH($C$17,{"Rare","Epic","Unique","Legendary","Mystic","Mystic (Prime)"},0),4,6,9,14,20,24))*Sensitivity!$H$10,IF($D$17="Status Effect Damage %",0,IF($D$17="Damage %",(CHOOSE(MATCH($C$17,{"Rare","Epic","Unique","Legendary","Mystic","Mystic (Prime)"},0),4,6,9,14,20,24))*Sensitivity!$H$7,IF($D$17="Defense Penetration %",(CHOOSE(MATCH($C$17,{"Rare","Epic","Unique","Legendary","Mystic","Mystic (Prime)"},0),2,3,4.5,7,10,12))*Sensitivity!$H$17,0)))))))))))),0)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(Prime)"},0),2,3,4.5,7,10,12))*Sensitivity!$H$14,IF($G$17="Min Damage Multiplier %",(CHOOSE(MATCH($F$17,{"Rare","Epic","Unique","Legendary","Mystic","Mystic (Prime)"},0),2,3,4.5,7,10,12))*Sensitivity!$H$12,IF($G$17="Max Damage Multiplier %",(CHOOSE(MATCH($F$17,{"Rare","Epic","Unique","Legendary","Mystic","Mystic (Prime)"},0),2,3,4.5,7,10,12))*Sensitivity!$H$13,IF($G$17="Boss Monster Damage %",(CHOOSE(MATCH($F$17,{"Rare","Epic","Unique","Legendary","Mystic","Mystic (Prime)"},0),4,6,9,14,20,24))*Sensitivity!$H$9,IF($G$17="Normal Monster Damage %",(CHOOSE(MATCH($F$17,{"Rare","Epic","Unique","Legendary","Mystic","Mystic (Prime)"},0),4,6,9,14,20,24))*Sensitivity!$H$10,IF($G$17="Status Effect Damage %",0,IF($G$17="Damage %",(CHOOSE(MATCH($F$17,{"Rare","Epic","Unique","Legendary","Mystic","Mystic (Prime)"},0),4,6,9,14,20,24))*Sensitivity!$H$7,IF($G$17="Defense Penetration %",(CHOOSE(MATCH($F$17,{"Rare","Epic","Unique","Legendary","Mystic","Mystic (Prime)"},0),2,3,4.5,7,10,12))*Sensitivity!$H$17,0)))))))))))),0)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(Prime)"},0),2,3,4.5,7,10,12))*Sensitivity!$H$14,IF($D$18="Min Damage Multiplier %",(CHOOSE(MATCH($C$18,{"Rare","Epic","Unique","Legendary","Mystic","Mystic (Prime)"},0),2,3,4.5,7,10,12))*Sensitivity!$H$12,IF($D$18="Max Damage Multiplier %",(CHOOSE(MATCH($C$18,{"Rare","Epic","Unique","Legendary","Mystic","Mystic (Prime)"},0),2,3,4.5,7,10,12))*Sensitivity!$H$13,IF($D$18="Boss Monster Damage %",(CHOOSE(MATCH($C$18,{"Rare","Epic","Unique","Legendary","Mystic","Mystic (Prime)"},0),4,6,9,14,20,24))*Sensitivity!$H$9,IF($D$18="Normal Monster Damage %",(CHOOSE(MATCH($C$18,{"Rare","Epic","Unique","Legendary","Mystic","Mystic (Prime)"},0),4,6,9,14,20,24))*Sensitivity!$H$10,IF($D$18="Status Effect Damage %",0,IF($D$18="Damage %",(CHOOSE(MATCH($C$18,{"Rare","Epic","Unique","Legendary","Mystic","Mystic (Prime)"},0),4,6,9,14,20,24))*Sensitivity!$H$7,IF($D$18="Defense Penetration %",(CHOOSE(MATCH($C$18,{"Rare","Epic","Unique","Legendary","Mystic","Mystic (Prime)"},0),2,3,4.5,7,10,12))*Sensitivity!$H$17,0)))))))))))),0)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(Prime)"},0),2,3,4.5,7,10,12))*Sensitivity!$H$14,IF($G$18="Min Damage Multiplier %",(CHOOSE(MATCH($F$18,{"Rare","Epic","Unique","Legendary","Mystic","Mystic (Prime)"},0),2,3,4.5,7,10,12))*Sensitivity!$H$12,IF($G$18="Max Damage Multiplier %",(CHOOSE(MATCH($F$18,{"Rare","Epic","Unique","Legendary","Mystic","Mystic (Prime)"},0),2,3,4.5,7,10,12))*Sensitivity!$H$13,IF($G$18="Boss Monster Damage %",(CHOOSE(MATCH($F$18,{"Rare","Epic","Unique","Legendary","Mystic","Mystic (Prime)"},0),4,6,9,14,20,24))*Sensitivity!$H$9,IF($G$18="Normal Monster Damage %",(CHOOSE(MATCH($F$18,{"Rare","Epic","Unique","Legendary","Mystic","Mystic (Prime)"},0),4,6,9,14,20,24))*Sensitivity!$H$10,IF($G$18="Status Effect Damage %",0,IF($G$18="Damage %",(CHOOSE(MATCH($F$18,{"Rare","Epic","Unique","Legendary","Mystic","Mystic (Prime)"},0),4,6,9,14,20,24))*Sensitivity!$H$7,IF($G$18="Defense Penetration %",(CHOOSE(MATCH($F$18,{"Rare","Epic","Unique","Legendary","Mystic","Mystic (Prime)"},0),2,3,4.5,7,10,12))*Sensitivity!$H$17,0)))))))))))),0)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(Prime)"},0),2,3,4.5,7,10,12))*Sensitivity!$H$14,IF($D$20="Min Damage Multiplier %",(CHOOSE(MATCH($C$20,{"Rare","Epic","Unique","Legendary","Mystic","Mystic (Prime)"},0),2,3,4.5,7,10,12))*Sensitivity!$H$12,IF($D$20="Max Damage Multiplier %",(CHOOSE(MATCH($C$20,{"Rare","Epic","Unique","Legendary","Mystic","Mystic (Prime)"},0),2,3,4.5,7,10,12))*Sensitivity!$H$13,IF($D$20="Boss Monster Damage %",(CHOOSE(MATCH($C$20,{"Rare","Epic","Unique","Legendary","Mystic","Mystic (Prime)"},0),4,6,9,14,20,24))*Sensitivity!$H$9,IF($D$20="Normal Monster Damage %",(CHOOSE(MATCH($C$20,{"Rare","Epic","Unique","Legendary","Mystic","Mystic (Prime)"},0),4,6,9,14,20,24))*Sensitivity!$H$10,IF($D$20="Status Effect Damage %",0,IF($D$20="Damage %",(CHOOSE(MATCH($C$20,{"Rare","Epic","Unique","Legendary","Mystic","Mystic (Prime)"},0),4,6,9,14,20,24))*Sensitivity!$H$7,IF($D$20="Defense Penetration %",(CHOOSE(MATCH($C$20,{"Rare","Epic","Unique","Legendary","Mystic","Mystic (Prime)"},0),2,3,4.5,7,10,12))*Sensitivity!$H$17,0)))))))))))),0)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(Prime)"},0),2,3,4.5,7,10,12))*Sensitivity!$H$14,IF($G$20="Min Damage Multiplier %",(CHOOSE(MATCH($F$20,{"Rare","Epic","Unique","Legendary","Mystic","Mystic (Prime)"},0),2,3,4.5,7,10,12))*Sensitivity!$H$12,IF($G$20="Max Damage Multiplier %",(CHOOSE(MATCH($F$20,{"Rare","Epic","Unique","Legendary","Mystic","Mystic (Prime)"},0),2,3,4.5,7,10,12))*Sensitivity!$H$13,IF($G$20="Boss Monster Damage %",(CHOOSE(MATCH($F$20,{"Rare","Epic","Unique","Legendary","Mystic","Mystic (Prime)"},0),4,6,9,14,20,24))*Sensitivity!$H$9,IF($G$20="Normal Monster Damage %",(CHOOSE(MATCH($F$20,{"Rare","Epic","Unique","Legendary","Mystic","Mystic (Prime)"},0),4,6,9,14,20,24))*Sensitivity!$H$10,IF($G$20="Status Effect Damage %",0,IF($G$20="Damage %",(CHOOSE(MATCH($F$20,{"Rare","Epic","Unique","Legendary","Mystic","Mystic (Prime)"},0),4,6,9,14,20,24))*Sensitivity!$H$7,IF($G$20="Defense Penetration %",(CHOOSE(MATCH($F$20,{"Rare","Epic","Unique","Legendary","Mystic","Mystic (Prime)"},0),2,3,4.5,7,10,12))*Sensitivity!$H$17,0)))))))))))),0)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(Prime)"},0),2,3,4.5,7,10,12))*Sensitivity!$H$14,IF($J$20="Min Damage Multiplier %",(CHOOSE(MATCH($I$20,{"Rare","Epic","Unique","Legendary","Mystic","Mystic (Prime)"},0),2,3,4.5,7,10,12))*Sensitivity!$H$12,IF($J$20="Max Damage Multiplier %",(CHOOSE(MATCH($I$20,{"Rare","Epic","Unique","Legendary","Mystic","Mystic (Prime)"},0),2,3,4.5,7,10,12))*Sensitivity!$H$13,IF($J$20="Boss Monster Damage %",(CHOOSE(MATCH($I$20,{"Rare","Epic","Unique","Legendary","Mystic","Mystic (Prime)"},0),4,6,9,14,20,24))*Sensitivity!$H$9,IF($J$20="Normal Monster Damage %",(CHOOSE(MATCH($I$20,{"Rare","Epic","Unique","Legendary","Mystic","Mystic (Prime)"},0),4,6,9,14,20,24))*Sensitivity!$H$10,IF($J$20="Status Effect Damage %",0,IF($J$20="Damage %",(CHOOSE(MATCH($I$20,{"Rare","Epic","Unique","Legendary","Mystic","Mystic (Prime)"},0),4,6,9,14,20,24))*Sensitivity!$H$7,IF($J$20="Defense Penetration %",(CHOOSE(MATCH($I$20,{"Rare","Epic","Unique","Legendary","Mystic","Mystic (Prime)"},0),2,3,4.5,7,10,12))*Sensitivity!$H$17,0)))))))))))),0)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(Prime)"},0),2,3,4.5,7,10,12))*Sensitivity!$H$14,IF($D$21="Min Damage Multiplier %",(CHOOSE(MATCH($C$21,{"Rare","Epic","Unique","Legendary","Mystic","Mystic (Prime)"},0),2,3,4.5,7,10,12))*Sensitivity!$H$12,IF($D$21="Max Damage Multiplier %",(CHOOSE(MATCH($C$21,{"Rare","Epic","Unique","Legendary","Mystic","Mystic (Prime)"},0),2,3,4.5,7,10,12))*Sensitivity!$H$13,IF($D$21="Boss Monster Damage %",(CHOOSE(MATCH($C$21,{"Rare","Epic","Unique","Legendary","Mystic","Mystic (Prime)"},0),4,6,9,14,20,24))*Sensitivity!$H$9,IF($D$21="Normal Monster Damage %",(CHOOSE(MATCH($C$21,{"Rare","Epic","Unique","Legendary","Mystic","Mystic (Prime)"},0),4,6,9,14,20,24))*Sensitivity!$H$10,IF($D$21="Status Effect Damage %",0,IF($D$21="Damage %",(CHOOSE(MATCH($C$21,{"Rare","Epic","Unique","Legendary","Mystic","Mystic (Prime)"},0),4,6,9,14,20,24))*Sensitivity!$H$7,IF($D$21="Defense Penetration %",(CHOOSE(MATCH($C$21,{"Rare","Epic","Unique","Legendary","Mystic","Mystic (Prime)"},0),2,3,4.5,7,10,12))*Sensitivity!$H$17,0)))))))))))),0)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(Prime)"},0),2,3,4.5,7,10,12))*Sensitivity!$H$14,IF($G$21="Min Damage Multiplier %",(CHOOSE(MATCH($F$21,{"Rare","Epic","Unique","Legendary","Mystic","Mystic (Prime)"},0),2,3,4.5,7,10,12))*Sensitivity!$H$12,IF($G$21="Max Damage Multiplier %",(CHOOSE(MATCH($F$21,{"Rare","Epic","Unique","Legendary","Mystic","Mystic (Prime)"},0),2,3,4.5,7,10,12))*Sensitivity!$H$13,IF($G$21="Boss Monster Damage %",(CHOOSE(MATCH($F$21,{"Rare","Epic","Unique","Legendary","Mystic","Mystic (Prime)"},0),4,6,9,14,20,24))*Sensitivity!$H$9,IF($G$21="Normal Monster Damage %",(CHOOSE(MATCH($F$21,{"Rare","Epic","Unique","Legendary","Mystic","Mystic (Prime)"},0),4,6,9,14,20,24))*Sensitivity!$H$10,IF($G$21="Status Effect Damage %",0,IF($G$21="Damage %",(CHOOSE(MATCH($F$21,{"Rare","Epic","Unique","Legendary","Mystic","Mystic (Prime)"},0),4,6,9,14,20,24))*Sensitivity!$H$7,IF($G$21="Defense Penetration %",(CHOOSE(MATCH($F$21,{"Rare","Epic","Unique","Legendary","Mystic","Mystic (Prime)"},0),2,3,4.5,7,10,12))*Sensitivity!$H$17,0)))))))))))),0)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(Prime)"},0),2,3,4.5,7,10,12))*Sensitivity!$H$14,IF($J$21="Min Damage Multiplier %",(CHOOSE(MATCH($I$21,{"Rare","Epic","Unique","Legendary","Mystic","Mystic (Prime)"},0),2,3,4.5,7,10,12))*Sensitivity!$H$12,IF($J$21="Max Damage Multiplier %",(CHOOSE(MATCH($I$21,{"Rare","Epic","Unique","Legendary","Mystic","Mystic (Prime)"},0),2,3,4.5,7,10,12))*Sensitivity!$H$13,IF($J$21="Boss Monster Damage %",(CHOOSE(MATCH($I$21,{"Rare","Epic","Unique","Legendary","Mystic","Mystic (Prime)"},0),4,6,9,14,20,24))*Sensitivity!$H$9,IF($J$21="Normal Monster Damage %",(CHOOSE(MATCH($I$21,{"Rare","Epic","Unique","Legendary","Mystic","Mystic (Prime)"},0),4,6,9,14,20,24))*Sensitivity!$H$10,IF($J$21="Status Effect Damage %",0,IF($J$21="Damage %",(CHOOSE(MATCH($I$21,{"Rare","Epic","Unique","Legendary","Mystic","Mystic (Prime)"},0),4,6,9,14,20,24))*Sensitivity!$H$7,IF($J$21="Defense Penetration %",(CHOOSE(MATCH($I$21,{"Rare","Epic","Unique","Legendary","Mystic","Mystic (Prime)"},0),2,3,4.5,7,10,12))*Sensitivity!$H$17,0)))))))))))),0)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(Prime)"},0),2,3,4.5,7,10,12))*Sensitivity!$H$14,IF($D$22="Min Damage Multiplier %",(CHOOSE(MATCH($C$22,{"Rare","Epic","Unique","Legendary","Mystic","Mystic (Prime)"},0),2,3,4.5,7,10,12))*Sensitivity!$H$12,IF($D$22="Max Damage Multiplier %",(CHOOSE(MATCH($C$22,{"Rare","Epic","Unique","Legendary","Mystic","Mystic (Prime)"},0),2,3,4.5,7,10,12))*Sensitivity!$H$13,IF($D$22="Boss Monster Damage %",(CHOOSE(MATCH($C$22,{"Rare","Epic","Unique","Legendary","Mystic","Mystic (Prime)"},0),4,6,9,14,20,24))*Sensitivity!$H$9,IF($D$22="Normal Monster Damage %",(CHOOSE(MATCH($C$22,{"Rare","Epic","Unique","Legendary","Mystic","Mystic (Prime)"},0),4,6,9,14,20,24))*Sensitivity!$H$10,IF($D$22="Status Effect Damage %",0,IF($D$22="Damage %",(CHOOSE(MATCH($C$22,{"Rare","Epic","Unique","Legendary","Mystic","Mystic (Prime)"},0),4,6,9,14,20,24))*Sensitivity!$H$7,IF($D$22="Defense Penetration %",(CHOOSE(MATCH($C$22,{"Rare","Epic","Unique","Legendary","Mystic","Mystic (Prime)"},0),2,3,4.5,7,10,12))*Sensitivity!$H$17,0)))))))))))),0)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(Prime)"},0),2,3,4.5,7,10,12))*Sensitivity!$H$14,IF($G$22="Min Damage Multiplier %",(CHOOSE(MATCH($F$22,{"Rare","Epic","Unique","Legendary","Mystic","Mystic (Prime)"},0),2,3,4.5,7,10,12))*Sensitivity!$H$12,IF($G$22="Max Damage Multiplier %",(CHOOSE(MATCH($F$22,{"Rare","Epic","Unique","Legendary","Mystic","Mystic (Prime)"},0),2,3,4.5,7,10,12))*Sensitivity!$H$13,IF($G$22="Boss Monster Damage %",(CHOOSE(MATCH($F$22,{"Rare","Epic","Unique","Legendary","Mystic","Mystic (Prime)"},0),4,6,9,14,20,24))*Sensitivity!$H$9,IF($G$22="Normal Monster Damage %",(CHOOSE(MATCH($F$22,{"Rare","Epic","Unique","Legendary","Mystic","Mystic (Prime)"},0),4,6,9,14,20,24))*Sensitivity!$H$10,IF($G$22="Status Effect Damage %",0,IF($G$22="Damage %",(CHOOSE(MATCH($F$22,{"Rare","Epic","Unique","Legendary","Mystic","Mystic (Prime)"},0),4,6,9,14,20,24))*Sensitivity!$H$7,IF($G$22="Defense Penetration %",(CHOOSE(MATCH($F$22,{"Rare","Epic","Unique","Legendary","Mystic","Mystic (Prime)"},0),2,3,4.5,7,10,12))*Sensitivity!$H$17,0)))))))))))),0)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(Prime)"},0),2,3,4.5,7,10,12))*Sensitivity!$H$14,IF($J$22="Min Damage Multiplier %",(CHOOSE(MATCH($I$22,{"Rare","Epic","Unique","Legendary","Mystic","Mystic (Prime)"},0),2,3,4.5,7,10,12))*Sensitivity!$H$12,IF($J$22="Max Damage Multiplier %",(CHOOSE(MATCH($I$22,{"Rare","Epic","Unique","Legendary","Mystic","Mystic (Prime)"},0),2,3,4.5,7,10,12))*Sensitivity!$H$13,IF($J$22="Boss Monster Damage %",(CHOOSE(MATCH($I$22,{"Rare","Epic","Unique","Legendary","Mystic","Mystic (Prime)"},0),4,6,9,14,20,24))*Sensitivity!$H$9,IF($J$22="Normal Monster Damage %",(CHOOSE(MATCH($I$22,{"Rare","Epic","Unique","Legendary","Mystic","Mystic (Prime)"},0),4,6,9,14,20,24))*Sensitivity!$H$10,IF($J$22="Status Effect Damage %",0,IF($J$22="Damage %",(CHOOSE(MATCH($I$22,{"Rare","Epic","Unique","Legendary","Mystic","Mystic (Prime)"},0),4,6,9,14,20,24))*Sensitivity!$H$7,IF($J$22="Defense Penetration %",(CHOOSE(MATCH($I$22,{"Rare","Epic","Unique","Legendary","Mystic","Mystic (Prime)"},0),2,3,4.5,7,10,12))*Sensitivity!$H$17,0)))))))))))),0)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(Prime)"},0),2,3,4.5,7,10,12))*Sensitivity!$H$14,IF($D$23="Min Damage Multiplier %",(CHOOSE(MATCH($C$23,{"Rare","Epic","Unique","Legendary","Mystic","Mystic (Prime)"},0),2,3,4.5,7,10,12))*Sensitivity!$H$12,IF($D$23="Max Damage Multiplier %",(CHOOSE(MATCH($C$23,{"Rare","Epic","Unique","Legendary","Mystic","Mystic (Prime)"},0),2,3,4.5,7,10,12))*Sensitivity!$H$13,IF($D$23="Boss Monster Damage %",(CHOOSE(MATCH($C$23,{"Rare","Epic","Unique","Legendary","Mystic","Mystic (Prime)"},0),4,6,9,14,20,24))*Sensitivity!$H$9,IF($D$23="Normal Monster Damage %",(CHOOSE(MATCH($C$23,{"Rare","Epic","Unique","Legendary","Mystic","Mystic (Prime)"},0),4,6,9,14,20,24))*Sensitivity!$H$10,IF($D$23="Status Effect Damage %",0,IF($D$23="Damage %",(CHOOSE(MATCH($C$23,{"Rare","Epic","Unique","Legendary","Mystic","Mystic (Prime)"},0),4,6,9,14,20,24))*Sensitivity!$H$7,IF($D$23="Defense Penetration %",(CHOOSE(MATCH($C$23,{"Rare","Epic","Unique","Legendary","Mystic","Mystic (Prime)"},0),2,3,4.5,7,10,12))*Sensitivity!$H$17,0)))))))))))),0)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(Prime)"},0),2,3,4.5,7,10,12))*Sensitivity!$H$14,IF($G$23="Min Damage Multiplier %",(CHOOSE(MATCH($F$23,{"Rare","Epic","Unique","Legendary","Mystic","Mystic (Prime)"},0),2,3,4.5,7,10,12))*Sensitivity!$H$12,IF($G$23="Max Damage Multiplier %",(CHOOSE(MATCH($F$23,{"Rare","Epic","Unique","Legendary","Mystic","Mystic (Prime)"},0),2,3,4.5,7,10,12))*Sensitivity!$H$13,IF($G$23="Boss Monster Damage %",(CHOOSE(MATCH($F$23,{"Rare","Epic","Unique","Legendary","Mystic","Mystic (Prime)"},0),4,6,9,14,20,24))*Sensitivity!$H$9,IF($G$23="Normal Monster Damage %",(CHOOSE(MATCH($F$23,{"Rare","Epic","Unique","Legendary","Mystic","Mystic (Prime)"},0),4,6,9,14,20,24))*Sensitivity!$H$10,IF($G$23="Status Effect Damage %",0,IF($G$23="Damage %",(CHOOSE(MATCH($F$23,{"Rare","Epic","Unique","Legendary","Mystic","Mystic (Prime)"},0),4,6,9,14,20,24))*Sensitivity!$H$7,IF($G$23="Defense Penetration %",(CHOOSE(MATCH($F$23,{"Rare","Epic","Unique","Legendary","Mystic","Mystic (Prime)"},0),2,3,4.5,7,10,12))*Sensitivity!$H$17,0)))))))))))),0)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(Prime)"},0),2,3,4.5,7,10,12))*Sensitivity!$H$14,IF($J$23="Min Damage Multiplier %",(CHOOSE(MATCH($I$23,{"Rare","Epic","Unique","Legendary","Mystic","Mystic (Prime)"},0),2,3,4.5,7,10,12))*Sensitivity!$H$12,IF($J$23="Max Damage Multiplier %",(CHOOSE(MATCH($I$23,{"Rare","Epic","Unique","Legendary","Mystic","Mystic (Prime)"},0),2,3,4.5,7,10,12))*Sensitivity!$H$13,IF($J$23="Boss Monster Damage %",(CHOOSE(MATCH($I$23,{"Rare","Epic","Unique","Legendary","Mystic","Mystic (Prime)"},0),4,6,9,14,20,24))*Sensitivity!$H$9,IF($J$23="Normal Monster Damage %",(CHOOSE(MATCH($I$23,{"Rare","Epic","Unique","Legendary","Mystic","Mystic (Prime)"},0),4,6,9,14,20,24))*Sensitivity!$H$10,IF($J$23="Status Effect Damage %",0,IF($J$23="Damage %",(CHOOSE(MATCH($I$23,{"Rare","Epic","Unique","Legendary","Mystic","Mystic (Prime)"},0),4,6,9,14,20,24))*Sensitivity!$H$7,IF($J$23="Defense Penetration %",(CHOOSE(MATCH($I$23,{"Rare","Epic","Unique","Legendary","Mystic","Mystic (Prime)"},0),2,3,4.5,7,10,12))*Sensitivity!$H$17,0)))))))))))),0)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(Prime)"},0),2,3,4.5,7,10,12))*Sensitivity!$H$14,IF($D$24="Min Damage Multiplier %",(CHOOSE(MATCH($C$24,{"Rare","Epic","Unique","Legendary","Mystic","Mystic (Prime)"},0),2,3,4.5,7,10,12))*Sensitivity!$H$12,IF($D$24="Max Damage Multiplier %",(CHOOSE(MATCH($C$24,{"Rare","Epic","Unique","Legendary","Mystic","Mystic (Prime)"},0),2,3,4.5,7,10,12))*Sensitivity!$H$13,IF($D$24="Boss Monster Damage %",(CHOOSE(MATCH($C$24,{"Rare","Epic","Unique","Legendary","Mystic","Mystic (Prime)"},0),4,6,9,14,20,24))*Sensitivity!$H$9,IF($D$24="Normal Monster Damage %",(CHOOSE(MATCH($C$24,{"Rare","Epic","Unique","Legendary","Mystic","Mystic (Prime)"},0),4,6,9,14,20,24))*Sensitivity!$H$10,IF($D$24="Status Effect Damage %",0,IF($D$24="Damage %",(CHOOSE(MATCH($C$24,{"Rare","Epic","Unique","Legendary","Mystic","Mystic (Prime)"},0),4,6,9,14,20,24))*Sensitivity!$H$7,IF($D$24="Defense Penetration %",(CHOOSE(MATCH($C$24,{"Rare","Epic","Unique","Legendary","Mystic","Mystic (Prime)"},0),2,3,4.5,7,10,12))*Sensitivity!$H$17,0)))))))))))),0)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(Prime)"},0),2,3,4.5,7,10,12))*Sensitivity!$H$14,IF($G$24="Min Damage Multiplier %",(CHOOSE(MATCH($F$24,{"Rare","Epic","Unique","Legendary","Mystic","Mystic (Prime)"},0),2,3,4.5,7,10,12))*Sensitivity!$H$12,IF($G$24="Max Damage Multiplier %",(CHOOSE(MATCH($F$24,{"Rare","Epic","Unique","Legendary","Mystic","Mystic (Prime)"},0),2,3,4.5,7,10,12))*Sensitivity!$H$13,IF($G$24="Boss Monster Damage %",(CHOOSE(MATCH($F$24,{"Rare","Epic","Unique","Legendary","Mystic","Mystic (Prime)"},0),4,6,9,14,20,24))*Sensitivity!$H$9,IF($G$24="Normal Monster Damage %",(CHOOSE(MATCH($F$24,{"Rare","Epic","Unique","Legendary","Mystic","Mystic (Prime)"},0),4,6,9,14,20,24))*Sensitivity!$H$10,IF($G$24="Status Effect Damage %",0,IF($G$24="Damage %",(CHOOSE(MATCH($F$24,{"Rare","Epic","Unique","Legendary","Mystic","Mystic (Prime)"},0),4,6,9,14,20,24))*Sensitivity!$H$7,IF($G$24="Defense Penetration %",(CHOOSE(MATCH($F$24,{"Rare","Epic","Unique","Legendary","Mystic","Mystic (Prime)"},0),2,3,4.5,7,10,12))*Sensitivity!$H$17,0)))))))))))),0)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(Prime)"},0),2,3,4.5,7,10,12))*Sensitivity!$H$14,IF($J$24="Min Damage Multiplier %",(CHOOSE(MATCH($I$24,{"Rare","Epic","Unique","Legendary","Mystic","Mystic (Prime)"},0),2,3,4.5,7,10,12))*Sensitivity!$H$12,IF($J$24="Max Damage Multiplier %",(CHOOSE(MATCH($I$24,{"Rare","Epic","Unique","Legendary","Mystic","Mystic (Prime)"},0),2,3,4.5,7,10,12))*Sensitivity!$H$13,IF($J$24="Boss Monster Damage %",(CHOOSE(MATCH($I$24,{"Rare","Epic","Unique","Legendary","Mystic","Mystic (Prime)"},0),4,6,9,14,20,24))*Sensitivity!$H$9,IF($J$24="Normal Monster Damage %",(CHOOSE(MATCH($I$24,{"Rare","Epic","Unique","Legendary","Mystic","Mystic (Prime)"},0),4,6,9,14,20,24))*Sensitivity!$H$10,IF($J$24="Status Effect Damage %",0,IF($J$24="Damage %",(CHOOSE(MATCH($I$24,{"Rare","Epic","Unique","Legendary","Mystic","Mystic (Prime)"},0),4,6,9,14,20,24))*Sensitivity!$H$7,IF($J$24="Defense Penetration %",(CHOOSE(MATCH($I$24,{"Rare","Epic","Unique","Legendary","Mystic","Mystic (Prime)"},0),2,3,4.5,7,10,12))*Sensitivity!$H$17,0)))))))))))),0)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(Prime)"},0),2,3,4.5,7,10,12))*Sensitivity!$H$14,IF($D$25="Min Damage Multiplier %",(CHOOSE(MATCH($C$25,{"Rare","Epic","Unique","Legendary","Mystic","Mystic (Prime)"},0),2,3,4.5,7,10,12))*Sensitivity!$H$12,IF($D$25="Max Damage Multiplier %",(CHOOSE(MATCH($C$25,{"Rare","Epic","Unique","Legendary","Mystic","Mystic (Prime)"},0),2,3,4.5,7,10,12))*Sensitivity!$H$13,IF($D$25="Boss Monster Damage %",(CHOOSE(MATCH($C$25,{"Rare","Epic","Unique","Legendary","Mystic","Mystic (Prime)"},0),4,6,9,14,20,24))*Sensitivity!$H$9,IF($D$25="Normal Monster Damage %",(CHOOSE(MATCH($C$25,{"Rare","Epic","Unique","Legendary","Mystic","Mystic (Prime)"},0),4,6,9,14,20,24))*Sensitivity!$H$10,IF($D$25="Status Effect Damage %",0,IF($D$25="Damage %",(CHOOSE(MATCH($C$25,{"Rare","Epic","Unique","Legendary","Mystic","Mystic (Prime)"},0),4,6,9,14,20,24))*Sensitivity!$H$7,IF($D$25="Defense Penetration %",(CHOOSE(MATCH($C$25,{"Rare","Epic","Unique","Legendary","Mystic","Mystic (Prime)"},0),2,3,4.5,7,10,12))*Sensitivity!$H$17,0)))))))))))),0)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(Prime)"},0),2,3,4.5,7,10,12))*Sensitivity!$H$14,IF($G$25="Min Damage Multiplier %",(CHOOSE(MATCH($F$25,{"Rare","Epic","Unique","Legendary","Mystic","Mystic (Prime)"},0),2,3,4.5,7,10,12))*Sensitivity!$H$12,IF($G$25="Max Damage Multiplier %",(CHOOSE(MATCH($F$25,{"Rare","Epic","Unique","Legendary","Mystic","Mystic (Prime)"},0),2,3,4.5,7,10,12))*Sensitivity!$H$13,IF($G$25="Boss Monster Damage %",(CHOOSE(MATCH($F$25,{"Rare","Epic","Unique","Legendary","Mystic","Mystic (Prime)"},0),4,6,9,14,20,24))*Sensitivity!$H$9,IF($G$25="Normal Monster Damage %",(CHOOSE(MATCH($F$25,{"Rare","Epic","Unique","Legendary","Mystic","Mystic (Prime)"},0),4,6,9,14,20,24))*Sensitivity!$H$10,IF($G$25="Status Effect Damage %",0,IF($G$25="Damage %",(CHOOSE(MATCH($F$25,{"Rare","Epic","Unique","Legendary","Mystic","Mystic (Prime)"},0),4,6,9,14,20,24))*Sensitivity!$H$7,IF($G$25="Defense Penetration %",(CHOOSE(MATCH($F$25,{"Rare","Epic","Unique","Legendary","Mystic","Mystic (Prime)"},0),2,3,4.5,7,10,12))*Sensitivity!$H$17,0)))))))))))),0)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(Prime)"},0),2,3,4.5,7,10,12))*Sensitivity!$H$14,IF($J$25="Min Damage Multiplier %",(CHOOSE(MATCH($I$25,{"Rare","Epic","Unique","Legendary","Mystic","Mystic (Prime)"},0),2,3,4.5,7,10,12))*Sensitivity!$H$12,IF($J$25="Max Damage Multiplier %",(CHOOSE(MATCH($I$25,{"Rare","Epic","Unique","Legendary","Mystic","Mystic (Prime)"},0),2,3,4.5,7,10,12))*Sensitivity!$H$13,IF($J$25="Boss Monster Damage %",(CHOOSE(MATCH($I$25,{"Rare","Epic","Unique","Legendary","Mystic","Mystic (Prime)"},0),4,6,9,14,20,24))*Sensitivity!$H$9,IF($J$25="Normal Monster Damage %",(CHOOSE(MATCH($I$25,{"Rare","Epic","Unique","Legendary","Mystic","Mystic (Prime)"},0),4,6,9,14,20,24))*Sensitivity!$H$10,IF($J$25="Status Effect Damage %",0,IF($J$25="Damage %",(CHOOSE(MATCH($I$25,{"Rare","Epic","Unique","Legendary","Mystic","Mystic (Prime)"},0),4,6,9,14,20,24))*Sensitivity!$H$7,IF($J$25="Defense Penetration %",(CHOOSE(MATCH($I$25,{"Rare","Epic","Unique","Legendary","Mystic","Mystic (Prime)"},0),2,3,4.5,7,10,12))*Sensitivity!$H$17,0)))))))))))),0)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(Prime)"},0),2,3,4.5,7,10,12))*Sensitivity!$H$14,IF($D$26="Min Damage Multiplier %",(CHOOSE(MATCH($C$26,{"Rare","Epic","Unique","Legendary","Mystic","Mystic (Prime)"},0),2,3,4.5,7,10,12))*Sensitivity!$H$12,IF($D$26="Max Damage Multiplier %",(CHOOSE(MATCH($C$26,{"Rare","Epic","Unique","Legendary","Mystic","Mystic (Prime)"},0),2,3,4.5,7,10,12))*Sensitivity!$H$13,IF($D$26="Boss Monster Damage %",(CHOOSE(MATCH($C$26,{"Rare","Epic","Unique","Legendary","Mystic","Mystic (Prime)"},0),4,6,9,14,20,24))*Sensitivity!$H$9,IF($D$26="Normal Monster Damage %",(CHOOSE(MATCH($C$26,{"Rare","Epic","Unique","Legendary","Mystic","Mystic (Prime)"},0),4,6,9,14,20,24))*Sensitivity!$H$10,IF($D$26="Status Effect Damage %",0,IF($D$26="Damage %",(CHOOSE(MATCH($C$26,{"Rare","Epic","Unique","Legendary","Mystic","Mystic (Prime)"},0),4,6,9,14,20,24))*Sensitivity!$H$7,IF($D$26="Defense Penetration %",(CHOOSE(MATCH($C$26,{"Rare","Epic","Unique","Legendary","Mystic","Mystic (Prime)"},0),2,3,4.5,7,10,12))*Sensitivity!$H$17,0)))))))))))),0)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(Prime)"},0),2,3,4.5,7,10,12))*Sensitivity!$H$14,IF($G$26="Min Damage Multiplier %",(CHOOSE(MATCH($F$26,{"Rare","Epic","Unique","Legendary","Mystic","Mystic (Prime)"},0),2,3,4.5,7,10,12))*Sensitivity!$H$12,IF($G$26="Max Damage Multiplier %",(CHOOSE(MATCH($F$26,{"Rare","Epic","Unique","Legendary","Mystic","Mystic (Prime)"},0),2,3,4.5,7,10,12))*Sensitivity!$H$13,IF($G$26="Boss Monster Damage %",(CHOOSE(MATCH($F$26,{"Rare","Epic","Unique","Legendary","Mystic","Mystic (Prime)"},0),4,6,9,14,20,24))*Sensitivity!$H$9,IF($G$26="Normal Monster Damage %",(CHOOSE(MATCH($F$26,{"Rare","Epic","Unique","Legendary","Mystic","Mystic (Prime)"},0),4,6,9,14,20,24))*Sensitivity!$H$10,IF($G$26="Status Effect Damage %",0,IF($G$26="Damage %",(CHOOSE(MATCH($F$26,{"Rare","Epic","Unique","Legendary","Mystic","Mystic (Prime)"},0),4,6,9,14,20,24))*Sensitivity!$H$7,IF($G$26="Defense Penetration %",(CHOOSE(MATCH($F$26,{"Rare","Epic","Unique","Legendary","Mystic","Mystic (Prime)"},0),2,3,4.5,7,10,12))*Sensitivity!$H$17,0)))))))))))),0)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(Prime)"},0),2,3,4.5,7,10,12))*Sensitivity!$H$14,IF($J$26="Min Damage Multiplier %",(CHOOSE(MATCH($I$26,{"Rare","Epic","Unique","Legendary","Mystic","Mystic (Prime)"},0),2,3,4.5,7,10,12))*Sensitivity!$H$12,IF($J$26="Max Damage Multiplier %",(CHOOSE(MATCH($I$26,{"Rare","Epic","Unique","Legendary","Mystic","Mystic (Prime)"},0),2,3,4.5,7,10,12))*Sensitivity!$H$13,IF($J$26="Boss Monster Damage %",(CHOOSE(MATCH($I$26,{"Rare","Epic","Unique","Legendary","Mystic","Mystic (Prime)"},0),4,6,9,14,20,24))*Sensitivity!$H$9,IF($J$26="Normal Monster Damage %",(CHOOSE(MATCH($I$26,{"Rare","Epic","Unique","Legendary","Mystic","Mystic (Prime)"},0),4,6,9,14,20,24))*Sensitivity!$H$10,IF($J$26="Status Effect Damage %",0,IF($J$26="Damage %",(CHOOSE(MATCH($I$26,{"Rare","Epic","Unique","Legendary","Mystic","Mystic (Prime)"},0),4,6,9,14,20,24))*Sensitivity!$H$7,IF($J$26="Defense Penetration %",(CHOOSE(MATCH($I$26,{"Rare","Epic","Unique","Legendary","Mystic","Mystic (Prime)"},0),2,3,4.5,7,10,12))*Sensitivity!$H$17,0)))))))))))),0)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(Prime)"},0),2,3,4.5,7,10,12))*Sensitivity!$H$14,IF($D$27="Min Damage Multiplier %",(CHOOSE(MATCH($C$27,{"Rare","Epic","Unique","Legendary","Mystic","Mystic (Prime)"},0),2,3,4.5,7,10,12))*Sensitivity!$H$12,IF($D$27="Max Damage Multiplier %",(CHOOSE(MATCH($C$27,{"Rare","Epic","Unique","Legendary","Mystic","Mystic (Prime)"},0),2,3,4.5,7,10,12))*Sensitivity!$H$13,IF($D$27="Boss Monster Damage %",(CHOOSE(MATCH($C$27,{"Rare","Epic","Unique","Legendary","Mystic","Mystic (Prime)"},0),4,6,9,14,20,24))*Sensitivity!$H$9,IF($D$27="Normal Monster Damage %",(CHOOSE(MATCH($C$27,{"Rare","Epic","Unique","Legendary","Mystic","Mystic (Prime)"},0),4,6,9,14,20,24))*Sensitivity!$H$10,IF($D$27="Status Effect Damage %",0,IF($D$27="Damage %",(CHOOSE(MATCH($C$27,{"Rare","Epic","Unique","Legendary","Mystic","Mystic (Prime)"},0),4,6,9,14,20,24))*Sensitivity!$H$7,IF($D$27="Defense Penetration %",(CHOOSE(MATCH($C$27,{"Rare","Epic","Unique","Legendary","Mystic","Mystic (Prime)"},0),2,3,4.5,7,10,12))*Sensitivity!$H$17,0)))))))))))),0)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(Prime)"},0),2,3,4.5,7,10,12))*Sensitivity!$H$14,IF($G$27="Min Damage Multiplier %",(CHOOSE(MATCH($F$27,{"Rare","Epic","Unique","Legendary","Mystic","Mystic (Prime)"},0),2,3,4.5,7,10,12))*Sensitivity!$H$12,IF($G$27="Max Damage Multiplier %",(CHOOSE(MATCH($F$27,{"Rare","Epic","Unique","Legendary","Mystic","Mystic (Prime)"},0),2,3,4.5,7,10,12))*Sensitivity!$H$13,IF($G$27="Boss Monster Damage %",(CHOOSE(MATCH($F$27,{"Rare","Epic","Unique","Legendary","Mystic","Mystic (Prime)"},0),4,6,9,14,20,24))*Sensitivity!$H$9,IF($G$27="Normal Monster Damage %",(CHOOSE(MATCH($F$27,{"Rare","Epic","Unique","Legendary","Mystic","Mystic (Prime)"},0),4,6,9,14,20,24))*Sensitivity!$H$10,IF($G$27="Status Effect Damage %",0,IF($G$27="Damage %",(CHOOSE(MATCH($F$27,{"Rare","Epic","Unique","Legendary","Mystic","Mystic (Prime)"},0),4,6,9,14,20,24))*Sensitivity!$H$7,IF($G$27="Defense Penetration %",(CHOOSE(MATCH($F$27,{"Rare","Epic","Unique","Legendary","Mystic","Mystic (Prime)"},0),2,3,4.5,7,10,12))*Sensitivity!$H$17,0)))))))))))),0)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(Prime)"},0),2,3,4.5,7,10,12))*Sensitivity!$H$14,IF($J$27="Min Damage Multiplier %",(CHOOSE(MATCH($I$27,{"Rare","Epic","Unique","Legendary","Mystic","Mystic (Prime)"},0),2,3,4.5,7,10,12))*Sensitivity!$H$12,IF($J$27="Max Damage Multiplier %",(CHOOSE(MATCH($I$27,{"Rare","Epic","Unique","Legendary","Mystic","Mystic (Prime)"},0),2,3,4.5,7,10,12))*Sensitivity!$H$13,IF($J$27="Boss Monster Damage %",(CHOOSE(MATCH($I$27,{"Rare","Epic","Unique","Legendary","Mystic","Mystic (Prime)"},0),4,6,9,14,20,24))*Sensitivity!$H$9,IF($J$27="Normal Monster Damage %",(CHOOSE(MATCH($I$27,{"Rare","Epic","Unique","Legendary","Mystic","Mystic (Prime)"},0),4,6,9,14,20,24))*Sensitivity!$H$10,IF($J$27="Status Effect Damage %",0,IF($J$27="Damage %",(CHOOSE(MATCH($I$27,{"Rare","Epic","Unique","Legendary","Mystic","Mystic (Prime)"},0),4,6,9,14,20,24))*Sensitivity!$H$7,IF($J$27="Defense Penetration %",(CHOOSE(MATCH($I$27,{"Rare","Epic","Unique","Legendary","Mystic","Mystic (Prime)"},0),2,3,4.5,7,10,12))*Sensitivity!$H$17,0)))))))))))),0)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(Prime)"},0),2,3,4.5,7,10,12))*Sensitivity!$H$14,IF($D$28="Min Damage Multiplier %",(CHOOSE(MATCH($C$28,{"Rare","Epic","Unique","Legendary","Mystic","Mystic (Prime)"},0),2,3,4.5,7,10,12))*Sensitivity!$H$12,IF($D$28="Max Damage Multiplier %",(CHOOSE(MATCH($C$28,{"Rare","Epic","Unique","Legendary","Mystic","Mystic (Prime)"},0),2,3,4.5,7,10,12))*Sensitivity!$H$13,IF($D$28="Boss Monster Damage %",(CHOOSE(MATCH($C$28,{"Rare","Epic","Unique","Legendary","Mystic","Mystic (Prime)"},0),4,6,9,14,20,24))*Sensitivity!$H$9,IF($D$28="Normal Monster Damage %",(CHOOSE(MATCH($C$28,{"Rare","Epic","Unique","Legendary","Mystic","Mystic (Prime)"},0),4,6,9,14,20,24))*Sensitivity!$H$10,IF($D$28="Status Effect Damage %",0,IF($D$28="Damage %",(CHOOSE(MATCH($C$28,{"Rare","Epic","Unique","Legendary","Mystic","Mystic (Prime)"},0),4,6,9,14,20,24))*Sensitivity!$H$7,IF($D$28="Defense Penetration %",(CHOOSE(MATCH($C$28,{"Rare","Epic","Unique","Legendary","Mystic","Mystic (Prime)"},0),2,3,4.5,7,10,12))*Sensitivity!$H$17,0)))))))))))),0)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(Prime)"},0),2,3,4.5,7,10,12))*Sensitivity!$H$14,IF($G$28="Min Damage Multiplier %",(CHOOSE(MATCH($F$28,{"Rare","Epic","Unique","Legendary","Mystic","Mystic (Prime)"},0),2,3,4.5,7,10,12))*Sensitivity!$H$12,IF($G$28="Max Damage Multiplier %",(CHOOSE(MATCH($F$28,{"Rare","Epic","Unique","Legendary","Mystic","Mystic (Prime)"},0),2,3,4.5,7,10,12))*Sensitivity!$H$13,IF($G$28="Boss Monster Damage %",(CHOOSE(MATCH($F$28,{"Rare","Epic","Unique","Legendary","Mystic","Mystic (Prime)"},0),4,6,9,14,20,24))*Sensitivity!$H$9,IF($G$28="Normal Monster Damage %",(CHOOSE(MATCH($F$28,{"Rare","Epic","Unique","Legendary","Mystic","Mystic (Prime)"},0),4,6,9,14,20,24))*Sensitivity!$H$10,IF($G$28="Status Effect Damage %",0,IF($G$28="Damage %",(CHOOSE(MATCH($F$28,{"Rare","Epic","Unique","Legendary","Mystic","Mystic (Prime)"},0),4,6,9,14,20,24))*Sensitivity!$H$7,IF($G$28="Defense Penetration %",(CHOOSE(MATCH($F$28,{"Rare","Epic","Unique","Legendary","Mystic","Mystic (Prime)"},0),2,3,4.5,7,10,12))*Sensitivity!$H$17,0)))))))))))),0)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(Prime)"},0),2,3,4.5,7,10,12))*Sensitivity!$H$14,IF($J$28="Min Damage Multiplier %",(CHOOSE(MATCH($I$28,{"Rare","Epic","Unique","Legendary","Mystic","Mystic (Prime)"},0),2,3,4.5,7,10,12))*Sensitivity!$H$12,IF($J$28="Max Damage Multiplier %",(CHOOSE(MATCH($I$28,{"Rare","Epic","Unique","Legendary","Mystic","Mystic (Prime)"},0),2,3,4.5,7,10,12))*Sensitivity!$H$13,IF($J$28="Boss Monster Damage %",(CHOOSE(MATCH($I$28,{"Rare","Epic","Unique","Legendary","Mystic","Mystic (Prime)"},0),4,6,9,14,20,24))*Sensitivity!$H$9,IF($J$28="Normal Monster Damage %",(CHOOSE(MATCH($I$28,{"Rare","Epic","Unique","Legendary","Mystic","Mystic (Prime)"},0),4,6,9,14,20,24))*Sensitivity!$H$10,IF($J$28="Status Effect Damage %",0,IF($J$28="Damage %",(CHOOSE(MATCH($I$28,{"Rare","Epic","Unique","Legendary","Mystic","Mystic (Prime)"},0),4,6,9,14,20,24))*Sensitivity!$H$7,IF($J$28="Defense Penetration %",(CHOOSE(MATCH($I$28,{"Rare","Epic","Unique","Legendary","Mystic","Mystic (Prime)"},0),2,3,4.5,7,10,12))*Sensitivity!$H$17,0)))))))))))),0)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(Prime)"},0),2,3,4.5,7,10,12))*Sensitivity!$H$14,IF($D$29="Min Damage Multiplier %",(CHOOSE(MATCH($C$29,{"Rare","Epic","Unique","Legendary","Mystic","Mystic (Prime)"},0),2,3,4.5,7,10,12))*Sensitivity!$H$12,IF($D$29="Max Damage Multiplier %",(CHOOSE(MATCH($C$29,{"Rare","Epic","Unique","Legendary","Mystic","Mystic (Prime)"},0),2,3,4.5,7,10,12))*Sensitivity!$H$13,IF($D$29="Boss Monster Damage %",(CHOOSE(MATCH($C$29,{"Rare","Epic","Unique","Legendary","Mystic","Mystic (Prime)"},0),4,6,9,14,20,24))*Sensitivity!$H$9,IF($D$29="Normal Monster Damage %",(CHOOSE(MATCH($C$29,{"Rare","Epic","Unique","Legendary","Mystic","Mystic (Prime)"},0),4,6,9,14,20,24))*Sensitivity!$H$10,IF($D$29="Status Effect Damage %",0,IF($D$29="Damage %",(CHOOSE(MATCH($C$29,{"Rare","Epic","Unique","Legendary","Mystic","Mystic (Prime)"},0),4,6,9,14,20,24))*Sensitivity!$H$7,IF($D$29="Defense Penetration %",(CHOOSE(MATCH($C$29,{"Rare","Epic","Unique","Legendary","Mystic","Mystic (Prime)"},0),2,3,4.5,7,10,12))*Sensitivity!$H$17,0)))))))))))),0)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(Prime)"},0),2,3,4.5,7,10,12))*Sensitivity!$H$14,IF($G$29="Min Damage Multiplier %",(CHOOSE(MATCH($F$29,{"Rare","Epic","Unique","Legendary","Mystic","Mystic (Prime)"},0),2,3,4.5,7,10,12))*Sensitivity!$H$12,IF($G$29="Max Damage Multiplier %",(CHOOSE(MATCH($F$29,{"Rare","Epic","Unique","Legendary","Mystic","Mystic (Prime)"},0),2,3,4.5,7,10,12))*Sensitivity!$H$13,IF($G$29="Boss Monster Damage %",(CHOOSE(MATCH($F$29,{"Rare","Epic","Unique","Legendary","Mystic","Mystic (Prime)"},0),4,6,9,14,20,24))*Sensitivity!$H$9,IF($G$29="Normal Monster Damage %",(CHOOSE(MATCH($F$29,{"Rare","Epic","Unique","Legendary","Mystic","Mystic (Prime)"},0),4,6,9,14,20,24))*Sensitivity!$H$10,IF($G$29="Status Effect Damage %",0,IF($G$29="Damage %",(CHOOSE(MATCH($F$29,{"Rare","Epic","Unique","Legendary","Mystic","Mystic (Prime)"},0),4,6,9,14,20,24))*Sensitivity!$H$7,IF($G$29="Defense Penetration %",(CHOOSE(MATCH($F$29,{"Rare","Epic","Unique","Legendary","Mystic","Mystic (Prime)"},0),2,3,4.5,7,10,12))*Sensitivity!$H$17,0)))))))))))),0)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(Prime)"},0),2,3,4.5,7,10,12))*Sensitivity!$H$14,IF($J$29="Min Damage Multiplier %",(CHOOSE(MATCH($I$29,{"Rare","Epic","Unique","Legendary","Mystic","Mystic (Prime)"},0),2,3,4.5,7,10,12))*Sensitivity!$H$12,IF($J$29="Max Damage Multiplier %",(CHOOSE(MATCH($I$29,{"Rare","Epic","Unique","Legendary","Mystic","Mystic (Prime)"},0),2,3,4.5,7,10,12))*Sensitivity!$H$13,IF($J$29="Boss Monster Damage %",(CHOOSE(MATCH($I$29,{"Rare","Epic","Unique","Legendary","Mystic","Mystic (Prime)"},0),4,6,9,14,20,24))*Sensitivity!$H$9,IF($J$29="Normal Monster Damage %",(CHOOSE(MATCH($I$29,{"Rare","Epic","Unique","Legendary","Mystic","Mystic (Prime)"},0),4,6,9,14,20,24))*Sensitivity!$H$10,IF($J$29="Status Effect Damage %",0,IF($J$29="Damage %",(CHOOSE(MATCH($I$29,{"Rare","Epic","Unique","Legendary","Mystic","Mystic (Prime)"},0),4,6,9,14,20,24))*Sensitivity!$H$7,IF($J$29="Defense Penetration %",(CHOOSE(MATCH($I$29,{"Rare","Epic","Unique","Legendary","Mystic","Mystic (Prime)"},0),2,3,4.5,7,10,12))*Sensitivity!$H$17,0)))))))))))),0)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(Prime)"},0),2,3,4.5,7,10,12))*Sensitivity!$H$14,IF($D$30="Min Damage Multiplier %",(CHOOSE(MATCH($C$30,{"Rare","Epic","Unique","Legendary","Mystic","Mystic (Prime)"},0),2,3,4.5,7,10,12))*Sensitivity!$H$12,IF($D$30="Max Damage Multiplier %",(CHOOSE(MATCH($C$30,{"Rare","Epic","Unique","Legendary","Mystic","Mystic (Prime)"},0),2,3,4.5,7,10,12))*Sensitivity!$H$13,IF($D$30="Boss Monster Damage %",(CHOOSE(MATCH($C$30,{"Rare","Epic","Unique","Legendary","Mystic","Mystic (Prime)"},0),4,6,9,14,20,24))*Sensitivity!$H$9,IF($D$30="Normal Monster Damage %",(CHOOSE(MATCH($C$30,{"Rare","Epic","Unique","Legendary","Mystic","Mystic (Prime)"},0),4,6,9,14,20,24))*Sensitivity!$H$10,IF($D$30="Status Effect Damage %",0,IF($D$30="Damage %",(CHOOSE(MATCH($C$30,{"Rare","Epic","Unique","Legendary","Mystic","Mystic (Prime)"},0),4,6,9,14,20,24))*Sensitivity!$H$7,IF($D$30="Defense Penetration %",(CHOOSE(MATCH($C$30,{"Rare","Epic","Unique","Legendary","Mystic","Mystic (Prime)"},0),2,3,4.5,7,10,12))*Sensitivity!$H$17,0)))))))))))),0)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(Prime)"},0),2,3,4.5,7,10,12))*Sensitivity!$H$14,IF($G$30="Min Damage Multiplier %",(CHOOSE(MATCH($F$30,{"Rare","Epic","Unique","Legendary","Mystic","Mystic (Prime)"},0),2,3,4.5,7,10,12))*Sensitivity!$H$12,IF($G$30="Max Damage Multiplier %",(CHOOSE(MATCH($F$30,{"Rare","Epic","Unique","Legendary","Mystic","Mystic (Prime)"},0),2,3,4.5,7,10,12))*Sensitivity!$H$13,IF($G$30="Boss Monster Damage %",(CHOOSE(MATCH($F$30,{"Rare","Epic","Unique","Legendary","Mystic","Mystic (Prime)"},0),4,6,9,14,20,24))*Sensitivity!$H$9,IF($G$30="Normal Monster Damage %",(CHOOSE(MATCH($F$30,{"Rare","Epic","Unique","Legendary","Mystic","Mystic (Prime)"},0),4,6,9,14,20,24))*Sensitivity!$H$10,IF($G$30="Status Effect Damage %",0,IF($G$30="Damage %",(CHOOSE(MATCH($F$30,{"Rare","Epic","Unique","Legendary","Mystic","Mystic (Prime)"},0),4,6,9,14,20,24))*Sensitivity!$H$7,IF($G$30="Defense Penetration %",(CHOOSE(MATCH($F$30,{"Rare","Epic","Unique","Legendary","Mystic","Mystic (Prime)"},0),2,3,4.5,7,10,12))*Sensitivity!$H$17,0)))))))))))),0)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(Prime)"},0),2,3,4.5,7,10,12))*Sensitivity!$H$14,IF($J$30="Min Damage Multiplier %",(CHOOSE(MATCH($I$30,{"Rare","Epic","Unique","Legendary","Mystic","Mystic (Prime)"},0),2,3,4.5,7,10,12))*Sensitivity!$H$12,IF($J$30="Max Damage Multiplier %",(CHOOSE(MATCH($I$30,{"Rare","Epic","Unique","Legendary","Mystic","Mystic (Prime)"},0),2,3,4.5,7,10,12))*Sensitivity!$H$13,IF($J$30="Boss Monster Damage %",(CHOOSE(MATCH($I$30,{"Rare","Epic","Unique","Legendary","Mystic","Mystic (Prime)"},0),4,6,9,14,20,24))*Sensitivity!$H$9,IF($J$30="Normal Monster Damage %",(CHOOSE(MATCH($I$30,{"Rare","Epic","Unique","Legendary","Mystic","Mystic (Prime)"},0),4,6,9,14,20,24))*Sensitivity!$H$10,IF($J$30="Status Effect Damage %",0,IF($J$30="Damage %",(CHOOSE(MATCH($I$30,{"Rare","Epic","Unique","Legendary","Mystic","Mystic (Prime)"},0),4,6,9,14,20,24))*Sensitivity!$H$7,IF($J$30="Defense Penetration %",(CHOOSE(MATCH($I$30,{"Rare","Epic","Unique","Legendary","Mystic","Mystic (Prime)"},0),2,3,4.5,7,10,12))*Sensitivity!$H$17,0)))))))))))),0)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(Prime)"},0),2,3,4.5,7,10,12))*Sensitivity!$H$14,IF($D$31="Min Damage Multiplier %",(CHOOSE(MATCH($C$31,{"Rare","Epic","Unique","Legendary","Mystic","Mystic (Prime)"},0),2,3,4.5,7,10,12))*Sensitivity!$H$12,IF($D$31="Max Damage Multiplier %",(CHOOSE(MATCH($C$31,{"Rare","Epic","Unique","Legendary","Mystic","Mystic (Prime)"},0),2,3,4.5,7,10,12))*Sensitivity!$H$13,IF($D$31="Boss Monster Damage %",(CHOOSE(MATCH($C$31,{"Rare","Epic","Unique","Legendary","Mystic","Mystic (Prime)"},0),4,6,9,14,20,24))*Sensitivity!$H$9,IF($D$31="Normal Monster Damage %",(CHOOSE(MATCH($C$31,{"Rare","Epic","Unique","Legendary","Mystic","Mystic (Prime)"},0),4,6,9,14,20,24))*Sensitivity!$H$10,IF($D$31="Status Effect Damage %",0,IF($D$31="Damage %",(CHOOSE(MATCH($C$31,{"Rare","Epic","Unique","Legendary","Mystic","Mystic (Prime)"},0),4,6,9,14,20,24))*Sensitivity!$H$7,IF($D$31="Defense Penetration %",(CHOOSE(MATCH($C$31,{"Rare","Epic","Unique","Legendary","Mystic","Mystic (Prime)"},0),2,3,4.5,7,10,12))*Sensitivity!$H$17,0)))))))))))),0)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(Prime)"},0),2,3,4.5,7,10,12))*Sensitivity!$H$14,IF($G$31="Min Damage Multiplier %",(CHOOSE(MATCH($F$31,{"Rare","Epic","Unique","Legendary","Mystic","Mystic (Prime)"},0),2,3,4.5,7,10,12))*Sensitivity!$H$12,IF($G$31="Max Damage Multiplier %",(CHOOSE(MATCH($F$31,{"Rare","Epic","Unique","Legendary","Mystic","Mystic (Prime)"},0),2,3,4.5,7,10,12))*Sensitivity!$H$13,IF($G$31="Boss Monster Damage %",(CHOOSE(MATCH($F$31,{"Rare","Epic","Unique","Legendary","Mystic","Mystic (Prime)"},0),4,6,9,14,20,24))*Sensitivity!$H$9,IF($G$31="Normal Monster Damage %",(CHOOSE(MATCH($F$31,{"Rare","Epic","Unique","Legendary","Mystic","Mystic (Prime)"},0),4,6,9,14,20,24))*Sensitivity!$H$10,IF($G$31="Status Effect Damage %",0,IF($G$31="Damage %",(CHOOSE(MATCH($F$31,{"Rare","Epic","Unique","Legendary","Mystic","Mystic (Prime)"},0),4,6,9,14,20,24))*Sensitivity!$H$7,IF($G$31="Defense Penetration %",(CHOOSE(MATCH($F$31,{"Rare","Epic","Unique","Legendary","Mystic","Mystic (Prime)"},0),2,3,4.5,7,10,12))*Sensitivity!$H$17,0)))))))))))),0)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(Prime)"},0),2,3,4.5,7,10,12))*Sensitivity!$H$14,IF($J$31="Min Damage Multiplier %",(CHOOSE(MATCH($I$31,{"Rare","Epic","Unique","Legendary","Mystic","Mystic (Prime)"},0),2,3,4.5,7,10,12))*Sensitivity!$H$12,IF($J$31="Max Damage Multiplier %",(CHOOSE(MATCH($I$31,{"Rare","Epic","Unique","Legendary","Mystic","Mystic (Prime)"},0),2,3,4.5,7,10,12))*Sensitivity!$H$13,IF($J$31="Boss Monster Damage %",(CHOOSE(MATCH($I$31,{"Rare","Epic","Unique","Legendary","Mystic","Mystic (Prime)"},0),4,6,9,14,20,24))*Sensitivity!$H$9,IF($J$31="Normal Monster Damage %",(CHOOSE(MATCH($I$31,{"Rare","Epic","Unique","Legendary","Mystic","Mystic (Prime)"},0),4,6,9,14,20,24))*Sensitivity!$H$10,IF($J$31="Status Effect Damage %",0,IF($J$31="Damage %",(CHOOSE(MATCH($I$31,{"Rare","Epic","Unique","Legendary","Mystic","Mystic (Prime)"},0),4,6,9,14,20,24))*Sensitivity!$H$7,IF($J$31="Defense Penetration %",(CHOOSE(MATCH($I$31,{"Rare","Epic","Unique","Legendary","Mystic","Mystic (Prime)"},0),2,3,4.5,7,10,12))*Sensitivity!$H$17,0)))))))))))),0)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(Prime)"},0),2,3,4.5,7,10,12))*Sensitivity!$H$14,IF($D$32="Min Damage Multiplier %",(CHOOSE(MATCH($C$32,{"Rare","Epic","Unique","Legendary","Mystic","Mystic (Prime)"},0),2,3,4.5,7,10,12))*Sensitivity!$H$12,IF($D$32="Max Damage Multiplier %",(CHOOSE(MATCH($C$32,{"Rare","Epic","Unique","Legendary","Mystic","Mystic (Prime)"},0),2,3,4.5,7,10,12))*Sensitivity!$H$13,IF($D$32="Boss Monster Damage %",(CHOOSE(MATCH($C$32,{"Rare","Epic","Unique","Legendary","Mystic","Mystic (Prime)"},0),4,6,9,14,20,24))*Sensitivity!$H$9,IF($D$32="Normal Monster Damage %",(CHOOSE(MATCH($C$32,{"Rare","Epic","Unique","Legendary","Mystic","Mystic (Prime)"},0),4,6,9,14,20,24))*Sensitivity!$H$10,IF($D$32="Status Effect Damage %",0,IF($D$32="Damage %",(CHOOSE(MATCH($C$32,{"Rare","Epic","Unique","Legendary","Mystic","Mystic (Prime)"},0),4,6,9,14,20,24))*Sensitivity!$H$7,IF($D$32="Defense Penetration %",(CHOOSE(MATCH($C$32,{"Rare","Epic","Unique","Legendary","Mystic","Mystic (Prime)"},0),2,3,4.5,7,10,12))*Sensitivity!$H$17,0)))))))))))),0)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(Prime)"},0),2,3,4.5,7,10,12))*Sensitivity!$H$14,IF($G$32="Min Damage Multiplier %",(CHOOSE(MATCH($F$32,{"Rare","Epic","Unique","Legendary","Mystic","Mystic (Prime)"},0),2,3,4.5,7,10,12))*Sensitivity!$H$12,IF($G$32="Max Damage Multiplier %",(CHOOSE(MATCH($F$32,{"Rare","Epic","Unique","Legendary","Mystic","Mystic (Prime)"},0),2,3,4.5,7,10,12))*Sensitivity!$H$13,IF($G$32="Boss Monster Damage %",(CHOOSE(MATCH($F$32,{"Rare","Epic","Unique","Legendary","Mystic","Mystic (Prime)"},0),4,6,9,14,20,24))*Sensitivity!$H$9,IF($G$32="Normal Monster Damage %",(CHOOSE(MATCH($F$32,{"Rare","Epic","Unique","Legendary","Mystic","Mystic (Prime)"},0),4,6,9,14,20,24))*Sensitivity!$H$10,IF($G$32="Status Effect Damage %",0,IF($G$32="Damage %",(CHOOSE(MATCH($F$32,{"Rare","Epic","Unique","Legendary","Mystic","Mystic (Prime)"},0),4,6,9,14,20,24))*Sensitivity!$H$7,IF($G$32="Defense Penetration %",(CHOOSE(MATCH($F$32,{"Rare","Epic","Unique","Legendary","Mystic","Mystic (Prime)"},0),2,3,4.5,7,10,12))*Sensitivity!$H$17,0)))))))))))),0)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(Prime)"},0),2,3,4.5,7,10,12))*Sensitivity!$H$14,IF($J$32="Min Damage Multiplier %",(CHOOSE(MATCH($I$32,{"Rare","Epic","Unique","Legendary","Mystic","Mystic (Prime)"},0),2,3,4.5,7,10,12))*Sensitivity!$H$12,IF($J$32="Max Damage Multiplier %",(CHOOSE(MATCH($I$32,{"Rare","Epic","Unique","Legendary","Mystic","Mystic (Prime)"},0),2,3,4.5,7,10,12))*Sensitivity!$H$13,IF($J$32="Boss Monster Damage %",(CHOOSE(MATCH($I$32,{"Rare","Epic","Unique","Legendary","Mystic","Mystic (Prime)"},0),4,6,9,14,20,24))*Sensitivity!$H$9,IF($J$32="Normal Monster Damage %",(CHOOSE(MATCH($I$32,{"Rare","Epic","Unique","Legendary","Mystic","Mystic (Prime)"},0),4,6,9,14,20,24))*Sensitivity!$H$10,IF($J$32="Status Effect Damage %",0,IF($J$32="Damage %",(CHOOSE(MATCH($I$32,{"Rare","Epic","Unique","Legendary","Mystic","Mystic (Prime)"},0),4,6,9,14,20,24))*Sensitivity!$H$7,IF($J$32="Defense Penetration %",(CHOOSE(MATCH($I$32,{"Rare","Epic","Unique","Legendary","Mystic","Mystic (Prime)"},0),2,3,4.5,7,10,12))*Sensitivity!$H$17,0)))))))))))),0)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(Prime)"},0),2,3,4.5,7,10,12))*Sensitivity!$H$14,IF($D$33="Min Damage Multiplier %",(CHOOSE(MATCH($C$33,{"Rare","Epic","Unique","Legendary","Mystic","Mystic (Prime)"},0),2,3,4.5,7,10,12))*Sensitivity!$H$12,IF($D$33="Max Damage Multiplier %",(CHOOSE(MATCH($C$33,{"Rare","Epic","Unique","Legendary","Mystic","Mystic (Prime)"},0),2,3,4.5,7,10,12))*Sensitivity!$H$13,IF($D$33="Boss Monster Damage %",(CHOOSE(MATCH($C$33,{"Rare","Epic","Unique","Legendary","Mystic","Mystic (Prime)"},0),4,6,9,14,20,24))*Sensitivity!$H$9,IF($D$33="Normal Monster Damage %",(CHOOSE(MATCH($C$33,{"Rare","Epic","Unique","Legendary","Mystic","Mystic (Prime)"},0),4,6,9,14,20,24))*Sensitivity!$H$10,IF($D$33="Status Effect Damage %",0,IF($D$33="Damage %",(CHOOSE(MATCH($C$33,{"Rare","Epic","Unique","Legendary","Mystic","Mystic (Prime)"},0),4,6,9,14,20,24))*Sensitivity!$H$7,IF($D$33="Defense Penetration %",(CHOOSE(MATCH($C$33,{"Rare","Epic","Unique","Legendary","Mystic","Mystic (Prime)"},0),2,3,4.5,7,10,12))*Sensitivity!$H$17,0)))))))))))),0)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(Prime)"},0),2,3,4.5,7,10,12))*Sensitivity!$H$14,IF($G$33="Min Damage Multiplier %",(CHOOSE(MATCH($F$33,{"Rare","Epic","Unique","Legendary","Mystic","Mystic (Prime)"},0),2,3,4.5,7,10,12))*Sensitivity!$H$12,IF($G$33="Max Damage Multiplier %",(CHOOSE(MATCH($F$33,{"Rare","Epic","Unique","Legendary","Mystic","Mystic (Prime)"},0),2,3,4.5,7,10,12))*Sensitivity!$H$13,IF($G$33="Boss Monster Damage %",(CHOOSE(MATCH($F$33,{"Rare","Epic","Unique","Legendary","Mystic","Mystic (Prime)"},0),4,6,9,14,20,24))*Sensitivity!$H$9,IF($G$33="Normal Monster Damage %",(CHOOSE(MATCH($F$33,{"Rare","Epic","Unique","Legendary","Mystic","Mystic (Prime)"},0),4,6,9,14,20,24))*Sensitivity!$H$10,IF($G$33="Status Effect Damage %",0,IF($G$33="Damage %",(CHOOSE(MATCH($F$33,{"Rare","Epic","Unique","Legendary","Mystic","Mystic (Prime)"},0),4,6,9,14,20,24))*Sensitivity!$H$7,IF($G$33="Defense Penetration %",(CHOOSE(MATCH($F$33,{"Rare","Epic","Unique","Legendary","Mystic","Mystic (Prime)"},0),2,3,4.5,7,10,12))*Sensitivity!$H$17,0)))))))))))),0)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(Prime)"},0),2,3,4.5,7,10,12))*Sensitivity!$H$14,IF($J$33="Min Damage Multiplier %",(CHOOSE(MATCH($I$33,{"Rare","Epic","Unique","Legendary","Mystic","Mystic (Prime)"},0),2,3,4.5,7,10,12))*Sensitivity!$H$12,IF($J$33="Max Damage Multiplier %",(CHOOSE(MATCH($I$33,{"Rare","Epic","Unique","Legendary","Mystic","Mystic (Prime)"},0),2,3,4.5,7,10,12))*Sensitivity!$H$13,IF($J$33="Boss Monster Damage %",(CHOOSE(MATCH($I$33,{"Rare","Epic","Unique","Legendary","Mystic","Mystic (Prime)"},0),4,6,9,14,20,24))*Sensitivity!$H$9,IF($J$33="Normal Monster Damage %",(CHOOSE(MATCH($I$33,{"Rare","Epic","Unique","Legendary","Mystic","Mystic (Prime)"},0),4,6,9,14,20,24))*Sensitivity!$H$10,IF($J$33="Status Effect Damage %",0,IF($J$33="Damage %",(CHOOSE(MATCH($I$33,{"Rare","Epic","Unique","Legendary","Mystic","Mystic (Prime)"},0),4,6,9,14,20,24))*Sensitivity!$H$7,IF($J$33="Defense Penetration %",(CHOOSE(MATCH($I$33,{"Rare","Epic","Unique","Legendary","Mystic","Mystic (Prime)"},0),2,3,4.5,7,10,12))*Sensitivity!$H$17,0)))))))))))),0)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(Prime)"},0),2,3,4.5,7,10,12))*Sensitivity!$H$14,IF($D$34="Min Damage Multiplier %",(CHOOSE(MATCH($C$34,{"Rare","Epic","Unique","Legendary","Mystic","Mystic (Prime)"},0),2,3,4.5,7,10,12))*Sensitivity!$H$12,IF($D$34="Max Damage Multiplier %",(CHOOSE(MATCH($C$34,{"Rare","Epic","Unique","Legendary","Mystic","Mystic (Prime)"},0),2,3,4.5,7,10,12))*Sensitivity!$H$13,IF($D$34="Boss Monster Damage %",(CHOOSE(MATCH($C$34,{"Rare","Epic","Unique","Legendary","Mystic","Mystic (Prime)"},0),4,6,9,14,20,24))*Sensitivity!$H$9,IF($D$34="Normal Monster Damage %",(CHOOSE(MATCH($C$34,{"Rare","Epic","Unique","Legendary","Mystic","Mystic (Prime)"},0),4,6,9,14,20,24))*Sensitivity!$H$10,IF($D$34="Status Effect Damage %",0,IF($D$34="Damage %",(CHOOSE(MATCH($C$34,{"Rare","Epic","Unique","Legendary","Mystic","Mystic (Prime)"},0),4,6,9,14,20,24))*Sensitivity!$H$7,IF($D$34="Defense Penetration %",(CHOOSE(MATCH($C$34,{"Rare","Epic","Unique","Legendary","Mystic","Mystic (Prime)"},0),2,3,4.5,7,10,12))*Sensitivity!$H$17,0)))))))))))),0)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(Prime)"},0),2,3,4.5,7,10,12))*Sensitivity!$H$14,IF($G$34="Min Damage Multiplier %",(CHOOSE(MATCH($F$34,{"Rare","Epic","Unique","Legendary","Mystic","Mystic (Prime)"},0),2,3,4.5,7,10,12))*Sensitivity!$H$12,IF($G$34="Max Damage Multiplier %",(CHOOSE(MATCH($F$34,{"Rare","Epic","Unique","Legendary","Mystic","Mystic (Prime)"},0),2,3,4.5,7,10,12))*Sensitivity!$H$13,IF($G$34="Boss Monster Damage %",(CHOOSE(MATCH($F$34,{"Rare","Epic","Unique","Legendary","Mystic","Mystic (Prime)"},0),4,6,9,14,20,24))*Sensitivity!$H$9,IF($G$34="Normal Monster Damage %",(CHOOSE(MATCH($F$34,{"Rare","Epic","Unique","Legendary","Mystic","Mystic (Prime)"},0),4,6,9,14,20,24))*Sensitivity!$H$10,IF($G$34="Status Effect Damage %",0,IF($G$34="Damage %",(CHOOSE(MATCH($F$34,{"Rare","Epic","Unique","Legendary","Mystic","Mystic (Prime)"},0),4,6,9,14,20,24))*Sensitivity!$H$7,IF($G$34="Defense Penetration %",(CHOOSE(MATCH($F$34,{"Rare","Epic","Unique","Legendary","Mystic","Mystic (Prime)"},0),2,3,4.5,7,10,12))*Sensitivity!$H$17,0)))))))))))),0)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(Prime)"},0),2,3,4.5,7,10,12))*Sensitivity!$H$14,IF($J$34="Min Damage Multiplier %",(CHOOSE(MATCH($I$34,{"Rare","Epic","Unique","Legendary","Mystic","Mystic (Prime)"},0),2,3,4.5,7,10,12))*Sensitivity!$H$12,IF($J$34="Max Damage Multiplier %",(CHOOSE(MATCH($I$34,{"Rare","Epic","Unique","Legendary","Mystic","Mystic (Prime)"},0),2,3,4.5,7,10,12))*Sensitivity!$H$13,IF($J$34="Boss Monster Damage %",(CHOOSE(MATCH($I$34,{"Rare","Epic","Unique","Legendary","Mystic","Mystic (Prime)"},0),4,6,9,14,20,24))*Sensitivity!$H$9,IF($J$34="Normal Monster Damage %",(CHOOSE(MATCH($I$34,{"Rare","Epic","Unique","Legendary","Mystic","Mystic (Prime)"},0),4,6,9,14,20,24))*Sensitivity!$H$10,IF($J$34="Status Effect Damage %",0,IF($J$34="Damage %",(CHOOSE(MATCH($I$34,{"Rare","Epic","Unique","Legendary","Mystic","Mystic (Prime)"},0),4,6,9,14,20,24))*Sensitivity!$H$7,IF($J$34="Defense Penetration %",(CHOOSE(MATCH($I$34,{"Rare","Epic","Unique","Legendary","Mystic","Mystic (Prime)"},0),2,3,4.5,7,10,12))*Sensitivity!$H$17,0)))))))))))),0)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(Prime)"},0),2,3,4.5,7,10,12))*Sensitivity!$H$14,IF($D$35="Min Damage Multiplier %",(CHOOSE(MATCH($C$35,{"Rare","Epic","Unique","Legendary","Mystic","Mystic (Prime)"},0),2,3,4.5,7,10,12))*Sensitivity!$H$12,IF($D$35="Max Damage Multiplier %",(CHOOSE(MATCH($C$35,{"Rare","Epic","Unique","Legendary","Mystic","Mystic (Prime)"},0),2,3,4.5,7,10,12))*Sensitivity!$H$13,IF($D$35="Boss Monster Damage %",(CHOOSE(MATCH($C$35,{"Rare","Epic","Unique","Legendary","Mystic","Mystic (Prime)"},0),4,6,9,14,20,24))*Sensitivity!$H$9,IF($D$35="Normal Monster Damage %",(CHOOSE(MATCH($C$35,{"Rare","Epic","Unique","Legendary","Mystic","Mystic (Prime)"},0),4,6,9,14,20,24))*Sensitivity!$H$10,IF($D$35="Status Effect Damage %",0,IF($D$35="Damage %",(CHOOSE(MATCH($C$35,{"Rare","Epic","Unique","Legendary","Mystic","Mystic (Prime)"},0),4,6,9,14,20,24))*Sensitivity!$H$7,IF($D$35="Defense Penetration %",(CHOOSE(MATCH($C$35,{"Rare","Epic","Unique","Legendary","Mystic","Mystic (Prime)"},0),2,3,4.5,7,10,12))*Sensitivity!$H$17,0)))))))))))),0)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(Prime)"},0),2,3,4.5,7,10,12))*Sensitivity!$H$14,IF($G$35="Min Damage Multiplier %",(CHOOSE(MATCH($F$35,{"Rare","Epic","Unique","Legendary","Mystic","Mystic (Prime)"},0),2,3,4.5,7,10,12))*Sensitivity!$H$12,IF($G$35="Max Damage Multiplier %",(CHOOSE(MATCH($F$35,{"Rare","Epic","Unique","Legendary","Mystic","Mystic (Prime)"},0),2,3,4.5,7,10,12))*Sensitivity!$H$13,IF($G$35="Boss Monster Damage %",(CHOOSE(MATCH($F$35,{"Rare","Epic","Unique","Legendary","Mystic","Mystic (Prime)"},0),4,6,9,14,20,24))*Sensitivity!$H$9,IF($G$35="Normal Monster Damage %",(CHOOSE(MATCH($F$35,{"Rare","Epic","Unique","Legendary","Mystic","Mystic (Prime)"},0),4,6,9,14,20,24))*Sensitivity!$H$10,IF($G$35="Status Effect Damage %",0,IF($G$35="Damage %",(CHOOSE(MATCH($F$35,{"Rare","Epic","Unique","Legendary","Mystic","Mystic (Prime)"},0),4,6,9,14,20,24))*Sensitivity!$H$7,IF($G$35="Defense Penetration %",(CHOOSE(MATCH($F$35,{"Rare","Epic","Unique","Legendary","Mystic","Mystic (Prime)"},0),2,3,4.5,7,10,12))*Sensitivity!$H$17,0)))))))))))),0)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(Prime)"},0),2,3,4.5,7,10,12))*Sensitivity!$H$14,IF($J$35="Min Damage Multiplier %",(CHOOSE(MATCH($I$35,{"Rare","Epic","Unique","Legendary","Mystic","Mystic (Prime)"},0),2,3,4.5,7,10,12))*Sensitivity!$H$12,IF($J$35="Max Damage Multiplier %",(CHOOSE(MATCH($I$35,{"Rare","Epic","Unique","Legendary","Mystic","Mystic (Prime)"},0),2,3,4.5,7,10,12))*Sensitivity!$H$13,IF($J$35="Boss Monster Damage %",(CHOOSE(MATCH($I$35,{"Rare","Epic","Unique","Legendary","Mystic","Mystic (Prime)"},0),4,6,9,14,20,24))*Sensitivity!$H$9,IF($J$35="Normal Monster Damage %",(CHOOSE(MATCH($I$35,{"Rare","Epic","Unique","Legendary","Mystic","Mystic (Prime)"},0),4,6,9,14,20,24))*Sensitivity!$H$10,IF($J$35="Status Effect Damage %",0,IF($J$35="Damage %",(CHOOSE(MATCH($I$35,{"Rare","Epic","Unique","Legendary","Mystic","Mystic (Prime)"},0),4,6,9,14,20,24))*Sensitivity!$H$7,IF($J$35="Defense Penetration %",(CHOOSE(MATCH($I$35,{"Rare","Epic","Unique","Legendary","Mystic","Mystic (Prime)"},0),2,3,4.5,7,10,12))*Sensitivity!$H$17,0)))))))))))),0)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(Prime)"},0),2,3,4.5,7,10,12))*Sensitivity!$H$14,IF($D$36="Min Damage Multiplier %",(CHOOSE(MATCH($C$36,{"Rare","Epic","Unique","Legendary","Mystic","Mystic (Prime)"},0),2,3,4.5,7,10,12))*Sensitivity!$H$12,IF($D$36="Max Damage Multiplier %",(CHOOSE(MATCH($C$36,{"Rare","Epic","Unique","Legendary","Mystic","Mystic (Prime)"},0),2,3,4.5,7,10,12))*Sensitivity!$H$13,IF($D$36="Boss Monster Damage %",(CHOOSE(MATCH($C$36,{"Rare","Epic","Unique","Legendary","Mystic","Mystic (Prime)"},0),4,6,9,14,20,24))*Sensitivity!$H$9,IF($D$36="Normal Monster Damage %",(CHOOSE(MATCH($C$36,{"Rare","Epic","Unique","Legendary","Mystic","Mystic (Prime)"},0),4,6,9,14,20,24))*Sensitivity!$H$10,IF($D$36="Status Effect Damage %",0,IF($D$36="Damage %",(CHOOSE(MATCH($C$36,{"Rare","Epic","Unique","Legendary","Mystic","Mystic (Prime)"},0),4,6,9,14,20,24))*Sensitivity!$H$7,IF($D$36="Defense Penetration %",(CHOOSE(MATCH($C$36,{"Rare","Epic","Unique","Legendary","Mystic","Mystic (Prime)"},0),2,3,4.5,7,10,12))*Sensitivity!$H$17,0)))))))))))),0)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(Prime)"},0),2,3,4.5,7,10,12))*Sensitivity!$H$14,IF($G$36="Min Damage Multiplier %",(CHOOSE(MATCH($F$36,{"Rare","Epic","Unique","Legendary","Mystic","Mystic (Prime)"},0),2,3,4.5,7,10,12))*Sensitivity!$H$12,IF($G$36="Max Damage Multiplier %",(CHOOSE(MATCH($F$36,{"Rare","Epic","Unique","Legendary","Mystic","Mystic (Prime)"},0),2,3,4.5,7,10,12))*Sensitivity!$H$13,IF($G$36="Boss Monster Damage %",(CHOOSE(MATCH($F$36,{"Rare","Epic","Unique","Legendary","Mystic","Mystic (Prime)"},0),4,6,9,14,20,24))*Sensitivity!$H$9,IF($G$36="Normal Monster Damage %",(CHOOSE(MATCH($F$36,{"Rare","Epic","Unique","Legendary","Mystic","Mystic (Prime)"},0),4,6,9,14,20,24))*Sensitivity!$H$10,IF($G$36="Status Effect Damage %",0,IF($G$36="Damage %",(CHOOSE(MATCH($F$36,{"Rare","Epic","Unique","Legendary","Mystic","Mystic (Prime)"},0),4,6,9,14,20,24))*Sensitivity!$H$7,IF($G$36="Defense Penetration %",(CHOOSE(MATCH($F$36,{"Rare","Epic","Unique","Legendary","Mystic","Mystic (Prime)"},0),2,3,4.5,7,10,12))*Sensitivity!$H$17,0)))))))))))),0)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(Prime)"},0),2,3,4.5,7,10,12))*Sensitivity!$H$14,IF($J$36="Min Damage Multiplier %",(CHOOSE(MATCH($I$36,{"Rare","Epic","Unique","Legendary","Mystic","Mystic (Prime)"},0),2,3,4.5,7,10,12))*Sensitivity!$H$12,IF($J$36="Max Damage Multiplier %",(CHOOSE(MATCH($I$36,{"Rare","Epic","Unique","Legendary","Mystic","Mystic (Prime)"},0),2,3,4.5,7,10,12))*Sensitivity!$H$13,IF($J$36="Boss Monster Damage %",(CHOOSE(MATCH($I$36,{"Rare","Epic","Unique","Legendary","Mystic","Mystic (Prime)"},0),4,6,9,14,20,24))*Sensitivity!$H$9,IF($J$36="Normal Monster Damage %",(CHOOSE(MATCH($I$36,{"Rare","Epic","Unique","Legendary","Mystic","Mystic (Prime)"},0),4,6,9,14,20,24))*Sensitivity!$H$10,IF($J$36="Status Effect Damage %",0,IF($J$36="Damage %",(CHOOSE(MATCH($I$36,{"Rare","Epic","Unique","Legendary","Mystic","Mystic (Prime)"},0),4,6,9,14,20,24))*Sensitivity!$H$7,IF($J$36="Defense Penetration %",(CHOOSE(MATCH($I$36,{"Rare","Epic","Unique","Legendary","Mystic","Mystic (Prime)"},0),2,3,4.5,7,10,12))*Sensitivity!$H$17,0)))))))))))),0)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(Prime)"},0),2,3,4.5,7,10,12))*Sensitivity!$H$14,IF($D$37="Min Damage Multiplier %",(CHOOSE(MATCH($C$37,{"Rare","Epic","Unique","Legendary","Mystic","Mystic (Prime)"},0),2,3,4.5,7,10,12))*Sensitivity!$H$12,IF($D$37="Max Damage Multiplier %",(CHOOSE(MATCH($C$37,{"Rare","Epic","Unique","Legendary","Mystic","Mystic (Prime)"},0),2,3,4.5,7,10,12))*Sensitivity!$H$13,IF($D$37="Boss Monster Damage %",(CHOOSE(MATCH($C$37,{"Rare","Epic","Unique","Legendary","Mystic","Mystic (Prime)"},0),4,6,9,14,20,24))*Sensitivity!$H$9,IF($D$37="Normal Monster Damage %",(CHOOSE(MATCH($C$37,{"Rare","Epic","Unique","Legendary","Mystic","Mystic (Prime)"},0),4,6,9,14,20,24))*Sensitivity!$H$10,IF($D$37="Status Effect Damage %",0,IF($D$37="Damage %",(CHOOSE(MATCH($C$37,{"Rare","Epic","Unique","Legendary","Mystic","Mystic (Prime)"},0),4,6,9,14,20,24))*Sensitivity!$H$7,IF($D$37="Defense Penetration %",(CHOOSE(MATCH($C$37,{"Rare","Epic","Unique","Legendary","Mystic","Mystic (Prime)"},0),2,3,4.5,7,10,12))*Sensitivity!$H$17,0)))))))))))),0)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(Prime)"},0),2,3,4.5,7,10,12))*Sensitivity!$H$14,IF($G$37="Min Damage Multiplier %",(CHOOSE(MATCH($F$37,{"Rare","Epic","Unique","Legendary","Mystic","Mystic (Prime)"},0),2,3,4.5,7,10,12))*Sensitivity!$H$12,IF($G$37="Max Damage Multiplier %",(CHOOSE(MATCH($F$37,{"Rare","Epic","Unique","Legendary","Mystic","Mystic (Prime)"},0),2,3,4.5,7,10,12))*Sensitivity!$H$13,IF($G$37="Boss Monster Damage %",(CHOOSE(MATCH($F$37,{"Rare","Epic","Unique","Legendary","Mystic","Mystic (Prime)"},0),4,6,9,14,20,24))*Sensitivity!$H$9,IF($G$37="Normal Monster Damage %",(CHOOSE(MATCH($F$37,{"Rare","Epic","Unique","Legendary","Mystic","Mystic (Prime)"},0),4,6,9,14,20,24))*Sensitivity!$H$10,IF($G$37="Status Effect Damage %",0,IF($G$37="Damage %",(CHOOSE(MATCH($F$37,{"Rare","Epic","Unique","Legendary","Mystic","Mystic (Prime)"},0),4,6,9,14,20,24))*Sensitivity!$H$7,IF($G$37="Defense Penetration %",(CHOOSE(MATCH($F$37,{"Rare","Epic","Unique","Legendary","Mystic","Mystic (Prime)"},0),2,3,4.5,7,10,12))*Sensitivity!$H$17,0)))))))))))),0)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(Prime)"},0),2,3,4.5,7,10,12))*Sensitivity!$H$14,IF($J$37="Min Damage Multiplier %",(CHOOSE(MATCH($I$37,{"Rare","Epic","Unique","Legendary","Mystic","Mystic (Prime)"},0),2,3,4.5,7,10,12))*Sensitivity!$H$12,IF($J$37="Max Damage Multiplier %",(CHOOSE(MATCH($I$37,{"Rare","Epic","Unique","Legendary","Mystic","Mystic (Prime)"},0),2,3,4.5,7,10,12))*Sensitivity!$H$13,IF($J$37="Boss Monster Damage %",(CHOOSE(MATCH($I$37,{"Rare","Epic","Unique","Legendary","Mystic","Mystic (Prime)"},0),4,6,9,14,20,24))*Sensitivity!$H$9,IF($J$37="Normal Monster Damage %",(CHOOSE(MATCH($I$37,{"Rare","Epic","Unique","Legendary","Mystic","Mystic (Prime)"},0),4,6,9,14,20,24))*Sensitivity!$H$10,IF($J$37="Status Effect Damage %",0,IF($J$37="Damage %",(CHOOSE(MATCH($I$37,{"Rare","Epic","Unique","Legendary","Mystic","Mystic (Prime)"},0),4,6,9,14,20,24))*Sensitivity!$H$7,IF($J$37="Defense Penetration %",(CHOOSE(MATCH($I$37,{"Rare","Epic","Unique","Legendary","Mystic","Mystic (Prime)"},0),2,3,4.5,7,10,12))*Sensitivity!$H$17,0)))))))))))),0)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(Prime)"},0),2,3,4.5,7,10,12))*Sensitivity!$H$14,IF($D$38="Min Damage Multiplier %",(CHOOSE(MATCH($C$38,{"Rare","Epic","Unique","Legendary","Mystic","Mystic (Prime)"},0),2,3,4.5,7,10,12))*Sensitivity!$H$12,IF($D$38="Max Damage Multiplier %",(CHOOSE(MATCH($C$38,{"Rare","Epic","Unique","Legendary","Mystic","Mystic (Prime)"},0),2,3,4.5,7,10,12))*Sensitivity!$H$13,IF($D$38="Boss Monster Damage %",(CHOOSE(MATCH($C$38,{"Rare","Epic","Unique","Legendary","Mystic","Mystic (Prime)"},0),4,6,9,14,20,24))*Sensitivity!$H$9,IF($D$38="Normal Monster Damage %",(CHOOSE(MATCH($C$38,{"Rare","Epic","Unique","Legendary","Mystic","Mystic (Prime)"},0),4,6,9,14,20,24))*Sensitivity!$H$10,IF($D$38="Status Effect Damage %",0,IF($D$38="Damage %",(CHOOSE(MATCH($C$38,{"Rare","Epic","Unique","Legendary","Mystic","Mystic (Prime)"},0),4,6,9,14,20,24))*Sensitivity!$H$7,IF($D$38="Defense Penetration %",(CHOOSE(MATCH($C$38,{"Rare","Epic","Unique","Legendary","Mystic","Mystic (Prime)"},0),2,3,4.5,7,10,12))*Sensitivity!$H$17,0)))))))))))),0)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(Prime)"},0),2,3,4.5,7,10,12))*Sensitivity!$H$14,IF($G$38="Min Damage Multiplier %",(CHOOSE(MATCH($F$38,{"Rare","Epic","Unique","Legendary","Mystic","Mystic (Prime)"},0),2,3,4.5,7,10,12))*Sensitivity!$H$12,IF($G$38="Max Damage Multiplier %",(CHOOSE(MATCH($F$38,{"Rare","Epic","Unique","Legendary","Mystic","Mystic (Prime)"},0),2,3,4.5,7,10,12))*Sensitivity!$H$13,IF($G$38="Boss Monster Damage %",(CHOOSE(MATCH($F$38,{"Rare","Epic","Unique","Legendary","Mystic","Mystic (Prime)"},0),4,6,9,14,20,24))*Sensitivity!$H$9,IF($G$38="Normal Monster Damage %",(CHOOSE(MATCH($F$38,{"Rare","Epic","Unique","Legendary","Mystic","Mystic (Prime)"},0),4,6,9,14,20,24))*Sensitivity!$H$10,IF($G$38="Status Effect Damage %",0,IF($G$38="Damage %",(CHOOSE(MATCH($F$38,{"Rare","Epic","Unique","Legendary","Mystic","Mystic (Prime)"},0),4,6,9,14,20,24))*Sensitivity!$H$7,IF($G$38="Defense Penetration %",(CHOOSE(MATCH($F$38,{"Rare","Epic","Unique","Legendary","Mystic","Mystic (Prime)"},0),2,3,4.5,7,10,12))*Sensitivity!$H$17,0)))))))))))),0)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(Prime)"},0),2,3,4.5,7,10,12))*Sensitivity!$H$14,IF($J$38="Min Damage Multiplier %",(CHOOSE(MATCH($I$38,{"Rare","Epic","Unique","Legendary","Mystic","Mystic (Prime)"},0),2,3,4.5,7,10,12))*Sensitivity!$H$12,IF($J$38="Max Damage Multiplier %",(CHOOSE(MATCH($I$38,{"Rare","Epic","Unique","Legendary","Mystic","Mystic (Prime)"},0),2,3,4.5,7,10,12))*Sensitivity!$H$13,IF($J$38="Boss Monster Damage %",(CHOOSE(MATCH($I$38,{"Rare","Epic","Unique","Legendary","Mystic","Mystic (Prime)"},0),4,6,9,14,20,24))*Sensitivity!$H$9,IF($J$38="Normal Monster Damage %",(CHOOSE(MATCH($I$38,{"Rare","Epic","Unique","Legendary","Mystic","Mystic (Prime)"},0),4,6,9,14,20,24))*Sensitivity!$H$10,IF($J$38="Status Effect Damage %",0,IF($J$38="Damage %",(CHOOSE(MATCH($I$38,{"Rare","Epic","Unique","Legendary","Mystic","Mystic (Prime)"},0),4,6,9,14,20,24))*Sensitivity!$H$7,IF($J$38="Defense Penetration %",(CHOOSE(MATCH($I$38,{"Rare","Epic","Unique","Legendary","Mystic","Mystic (Prime)"},0),2,3,4.5,7,10,12))*Sensitivity!$H$17,0)))))))))))),0)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(Prime)"},0),2,3,4.5,7,10,12))*Sensitivity!$H$14,IF($D$39="Min Damage Multiplier %",(CHOOSE(MATCH($C$39,{"Rare","Epic","Unique","Legendary","Mystic","Mystic (Prime)"},0),2,3,4.5,7,10,12))*Sensitivity!$H$12,IF($D$39="Max Damage Multiplier %",(CHOOSE(MATCH($C$39,{"Rare","Epic","Unique","Legendary","Mystic","Mystic (Prime)"},0),2,3,4.5,7,10,12))*Sensitivity!$H$13,IF($D$39="Boss Monster Damage %",(CHOOSE(MATCH($C$39,{"Rare","Epic","Unique","Legendary","Mystic","Mystic (Prime)"},0),4,6,9,14,20,24))*Sensitivity!$H$9,IF($D$39="Normal Monster Damage %",(CHOOSE(MATCH($C$39,{"Rare","Epic","Unique","Legendary","Mystic","Mystic (Prime)"},0),4,6,9,14,20,24))*Sensitivity!$H$10,IF($D$39="Status Effect Damage %",0,IF($D$39="Damage %",(CHOOSE(MATCH($C$39,{"Rare","Epic","Unique","Legendary","Mystic","Mystic (Prime)"},0),4,6,9,14,20,24))*Sensitivity!$H$7,IF($D$39="Defense Penetration %",(CHOOSE(MATCH($C$39,{"Rare","Epic","Unique","Legendary","Mystic","Mystic (Prime)"},0),2,3,4.5,7,10,12))*Sensitivity!$H$17,0)))))))))))),0)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(Prime)"},0),2,3,4.5,7,10,12))*Sensitivity!$H$14,IF($G$39="Min Damage Multiplier %",(CHOOSE(MATCH($F$39,{"Rare","Epic","Unique","Legendary","Mystic","Mystic (Prime)"},0),2,3,4.5,7,10,12))*Sensitivity!$H$12,IF($G$39="Max Damage Multiplier %",(CHOOSE(MATCH($F$39,{"Rare","Epic","Unique","Legendary","Mystic","Mystic (Prime)"},0),2,3,4.5,7,10,12))*Sensitivity!$H$13,IF($G$39="Boss Monster Damage %",(CHOOSE(MATCH($F$39,{"Rare","Epic","Unique","Legendary","Mystic","Mystic (Prime)"},0),4,6,9,14,20,24))*Sensitivity!$H$9,IF($G$39="Normal Monster Damage %",(CHOOSE(MATCH($F$39,{"Rare","Epic","Unique","Legendary","Mystic","Mystic (Prime)"},0),4,6,9,14,20,24))*Sensitivity!$H$10,IF($G$39="Status Effect Damage %",0,IF($G$39="Damage %",(CHOOSE(MATCH($F$39,{"Rare","Epic","Unique","Legendary","Mystic","Mystic (Prime)"},0),4,6,9,14,20,24))*Sensitivity!$H$7,IF($G$39="Defense Penetration %",(CHOOSE(MATCH($F$39,{"Rare","Epic","Unique","Legendary","Mystic","Mystic (Prime)"},0),2,3,4.5,7,10,12))*Sensitivity!$H$17,0)))))))))))),0)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(Prime)"},0),2,3,4.5,7,10,12))*Sensitivity!$H$14,IF($J$39="Min Damage Multiplier %",(CHOOSE(MATCH($I$39,{"Rare","Epic","Unique","Legendary","Mystic","Mystic (Prime)"},0),2,3,4.5,7,10,12))*Sensitivity!$H$12,IF($J$39="Max Damage Multiplier %",(CHOOSE(MATCH($I$39,{"Rare","Epic","Unique","Legendary","Mystic","Mystic (Prime)"},0),2,3,4.5,7,10,12))*Sensitivity!$H$13,IF($J$39="Boss Monster Damage %",(CHOOSE(MATCH($I$39,{"Rare","Epic","Unique","Legendary","Mystic","Mystic (Prime)"},0),4,6,9,14,20,24))*Sensitivity!$H$9,IF($J$39="Normal Monster Damage %",(CHOOSE(MATCH($I$39,{"Rare","Epic","Unique","Legendary","Mystic","Mystic (Prime)"},0),4,6,9,14,20,24))*Sensitivity!$H$10,IF($J$39="Status Effect Damage %",0,IF($J$39="Damage %",(CHOOSE(MATCH($I$39,{"Rare","Epic","Unique","Legendary","Mystic","Mystic (Prime)"},0),4,6,9,14,20,24))*Sensitivity!$H$7,IF($J$39="Defense Penetration %",(CHOOSE(MATCH($I$39,{"Rare","Epic","Unique","Legendary","Mystic","Mystic (Prime)"},0),2,3,4.5,7,10,12))*Sensitivity!$H$17,0)))))))))))),0)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(Prime)"},0),2,3,4.5,7,10,12))*Sensitivity!$H$14,IF($D$40="Min Damage Multiplier %",(CHOOSE(MATCH($C$40,{"Rare","Epic","Unique","Legendary","Mystic","Mystic (Prime)"},0),2,3,4.5,7,10,12))*Sensitivity!$H$12,IF($D$40="Max Damage Multiplier %",(CHOOSE(MATCH($C$40,{"Rare","Epic","Unique","Legendary","Mystic","Mystic (Prime)"},0),2,3,4.5,7,10,12))*Sensitivity!$H$13,IF($D$40="Boss Monster Damage %",(CHOOSE(MATCH($C$40,{"Rare","Epic","Unique","Legendary","Mystic","Mystic (Prime)"},0),4,6,9,14,20,24))*Sensitivity!$H$9,IF($D$40="Normal Monster Damage %",(CHOOSE(MATCH($C$40,{"Rare","Epic","Unique","Legendary","Mystic","Mystic (Prime)"},0),4,6,9,14,20,24))*Sensitivity!$H$10,IF($D$40="Status Effect Damage %",0,IF($D$40="Damage %",(CHOOSE(MATCH($C$40,{"Rare","Epic","Unique","Legendary","Mystic","Mystic (Prime)"},0),4,6,9,14,20,24))*Sensitivity!$H$7,IF($D$40="Defense Penetration %",(CHOOSE(MATCH($C$40,{"Rare","Epic","Unique","Legendary","Mystic","Mystic (Prime)"},0),2,3,4.5,7,10,12))*Sensitivity!$H$17,0)))))))))))),0)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(Prime)"},0),2,3,4.5,7,10,12))*Sensitivity!$H$14,IF($G$40="Min Damage Multiplier %",(CHOOSE(MATCH($F$40,{"Rare","Epic","Unique","Legendary","Mystic","Mystic (Prime)"},0),2,3,4.5,7,10,12))*Sensitivity!$H$12,IF($G$40="Max Damage Multiplier %",(CHOOSE(MATCH($F$40,{"Rare","Epic","Unique","Legendary","Mystic","Mystic (Prime)"},0),2,3,4.5,7,10,12))*Sensitivity!$H$13,IF($G$40="Boss Monster Damage %",(CHOOSE(MATCH($F$40,{"Rare","Epic","Unique","Legendary","Mystic","Mystic (Prime)"},0),4,6,9,14,20,24))*Sensitivity!$H$9,IF($G$40="Normal Monster Damage %",(CHOOSE(MATCH($F$40,{"Rare","Epic","Unique","Legendary","Mystic","Mystic (Prime)"},0),4,6,9,14,20,24))*Sensitivity!$H$10,IF($G$40="Status Effect Damage %",0,IF($G$40="Damage %",(CHOOSE(MATCH($F$40,{"Rare","Epic","Unique","Legendary","Mystic","Mystic (Prime)"},0),4,6,9,14,20,24))*Sensitivity!$H$7,IF($G$40="Defense Penetration %",(CHOOSE(MATCH($F$40,{"Rare","Epic","Unique","Legendary","Mystic","Mystic (Prime)"},0),2,3,4.5,7,10,12))*Sensitivity!$H$17,0)))))))))))),0)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(Prime)"},0),2,3,4.5,7,10,12))*Sensitivity!$H$14,IF($J$40="Min Damage Multiplier %",(CHOOSE(MATCH($I$40,{"Rare","Epic","Unique","Legendary","Mystic","Mystic (Prime)"},0),2,3,4.5,7,10,12))*Sensitivity!$H$12,IF($J$40="Max Damage Multiplier %",(CHOOSE(MATCH($I$40,{"Rare","Epic","Unique","Legendary","Mystic","Mystic (Prime)"},0),2,3,4.5,7,10,12))*Sensitivity!$H$13,IF($J$40="Boss Monster Damage %",(CHOOSE(MATCH($I$40,{"Rare","Epic","Unique","Legendary","Mystic","Mystic (Prime)"},0),4,6,9,14,20,24))*Sensitivity!$H$9,IF($J$40="Normal Monster Damage %",(CHOOSE(MATCH($I$40,{"Rare","Epic","Unique","Legendary","Mystic","Mystic (Prime)"},0),4,6,9,14,20,24))*Sensitivity!$H$10,IF($J$40="Status Effect Damage %",0,IF($J$40="Damage %",(CHOOSE(MATCH($I$40,{"Rare","Epic","Unique","Legendary","Mystic","Mystic (Prime)"},0),4,6,9,14,20,24))*Sensitivity!$H$7,IF($J$40="Defense Penetration %",(CHOOSE(MATCH($I$40,{"Rare","Epic","Unique","Legendary","Mystic","Mystic (Prime)"},0),2,3,4.5,7,10,12))*Sensitivity!$H$17,0)))))))))))),0)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(Prime)"},0),2,3,4.5,7,10,12))*Sensitivity!$H$14,IF($D$41="Min Damage Multiplier %",(CHOOSE(MATCH($C$41,{"Rare","Epic","Unique","Legendary","Mystic","Mystic (Prime)"},0),2,3,4.5,7,10,12))*Sensitivity!$H$12,IF($D$41="Max Damage Multiplier %",(CHOOSE(MATCH($C$41,{"Rare","Epic","Unique","Legendary","Mystic","Mystic (Prime)"},0),2,3,4.5,7,10,12))*Sensitivity!$H$13,IF($D$41="Boss Monster Damage %",(CHOOSE(MATCH($C$41,{"Rare","Epic","Unique","Legendary","Mystic","Mystic (Prime)"},0),4,6,9,14,20,24))*Sensitivity!$H$9,IF($D$41="Normal Monster Damage %",(CHOOSE(MATCH($C$41,{"Rare","Epic","Unique","Legendary","Mystic","Mystic (Prime)"},0),4,6,9,14,20,24))*Sensitivity!$H$10,IF($D$41="Status Effect Damage %",0,IF($D$41="Damage %",(CHOOSE(MATCH($C$41,{"Rare","Epic","Unique","Legendary","Mystic","Mystic (Prime)"},0),4,6,9,14,20,24))*Sensitivity!$H$7,IF($D$41="Defense Penetration %",(CHOOSE(MATCH($C$41,{"Rare","Epic","Unique","Legendary","Mystic","Mystic (Prime)"},0),2,3,4.5,7,10,12))*Sensitivity!$H$17,0)))))))))))),0)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(Prime)"},0),2,3,4.5,7,10,12))*Sensitivity!$H$14,IF($G$41="Min Damage Multiplier %",(CHOOSE(MATCH($F$41,{"Rare","Epic","Unique","Legendary","Mystic","Mystic (Prime)"},0),2,3,4.5,7,10,12))*Sensitivity!$H$12,IF($G$41="Max Damage Multiplier %",(CHOOSE(MATCH($F$41,{"Rare","Epic","Unique","Legendary","Mystic","Mystic (Prime)"},0),2,3,4.5,7,10,12))*Sensitivity!$H$13,IF($G$41="Boss Monster Damage %",(CHOOSE(MATCH($F$41,{"Rare","Epic","Unique","Legendary","Mystic","Mystic (Prime)"},0),4,6,9,14,20,24))*Sensitivity!$H$9,IF($G$41="Normal Monster Damage %",(CHOOSE(MATCH($F$41,{"Rare","Epic","Unique","Legendary","Mystic","Mystic (Prime)"},0),4,6,9,14,20,24))*Sensitivity!$H$10,IF($G$41="Status Effect Damage %",0,IF($G$41="Damage %",(CHOOSE(MATCH($F$41,{"Rare","Epic","Unique","Legendary","Mystic","Mystic (Prime)"},0),4,6,9,14,20,24))*Sensitivity!$H$7,IF($G$41="Defense Penetration %",(CHOOSE(MATCH($F$41,{"Rare","Epic","Unique","Legendary","Mystic","Mystic (Prime)"},0),2,3,4.5,7,10,12))*Sensitivity!$H$17,0)))))))))))),0)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(Prime)"},0),2,3,4.5,7,10,12))*Sensitivity!$H$14,IF($J$41="Min Damage Multiplier %",(CHOOSE(MATCH($I$41,{"Rare","Epic","Unique","Legendary","Mystic","Mystic (Prime)"},0),2,3,4.5,7,10,12))*Sensitivity!$H$12,IF($J$41="Max Damage Multiplier %",(CHOOSE(MATCH($I$41,{"Rare","Epic","Unique","Legendary","Mystic","Mystic (Prime)"},0),2,3,4.5,7,10,12))*Sensitivity!$H$13,IF($J$41="Boss Monster Damage %",(CHOOSE(MATCH($I$41,{"Rare","Epic","Unique","Legendary","Mystic","Mystic (Prime)"},0),4,6,9,14,20,24))*Sensitivity!$H$9,IF($J$41="Normal Monster Damage %",(CHOOSE(MATCH($I$41,{"Rare","Epic","Unique","Legendary","Mystic","Mystic (Prime)"},0),4,6,9,14,20,24))*Sensitivity!$H$10,IF($J$41="Status Effect Damage %",0,IF($J$41="Damage %",(CHOOSE(MATCH($I$41,{"Rare","Epic","Unique","Legendary","Mystic","Mystic (Prime)"},0),4,6,9,14,20,24))*Sensitivity!$H$7,IF($J$41="Defense Penetration %",(CHOOSE(MATCH($I$41,{"Rare","Epic","Unique","Legendary","Mystic","Mystic (Prime)"},0),2,3,4.5,7,10,12))*Sensitivity!$H$17,0)))))))))))),0)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(Prime)"},0),2,3,4.5,7,10,12))*Sensitivity!$H$14,IF($D$42="Min Damage Multiplier %",(CHOOSE(MATCH($C$42,{"Rare","Epic","Unique","Legendary","Mystic","Mystic (Prime)"},0),2,3,4.5,7,10,12))*Sensitivity!$H$12,IF($D$42="Max Damage Multiplier %",(CHOOSE(MATCH($C$42,{"Rare","Epic","Unique","Legendary","Mystic","Mystic (Prime)"},0),2,3,4.5,7,10,12))*Sensitivity!$H$13,IF($D$42="Boss Monster Damage %",(CHOOSE(MATCH($C$42,{"Rare","Epic","Unique","Legendary","Mystic","Mystic (Prime)"},0),4,6,9,14,20,24))*Sensitivity!$H$9,IF($D$42="Normal Monster Damage %",(CHOOSE(MATCH($C$42,{"Rare","Epic","Unique","Legendary","Mystic","Mystic (Prime)"},0),4,6,9,14,20,24))*Sensitivity!$H$10,IF($D$42="Status Effect Damage %",0,IF($D$42="Damage %",(CHOOSE(MATCH($C$42,{"Rare","Epic","Unique","Legendary","Mystic","Mystic (Prime)"},0),4,6,9,14,20,24))*Sensitivity!$H$7,IF($D$42="Defense Penetration %",(CHOOSE(MATCH($C$42,{"Rare","Epic","Unique","Legendary","Mystic","Mystic (Prime)"},0),2,3,4.5,7,10,12))*Sensitivity!$H$17,0)))))))))))),0)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(Prime)"},0),2,3,4.5,7,10,12))*Sensitivity!$H$14,IF($G$42="Min Damage Multiplier %",(CHOOSE(MATCH($F$42,{"Rare","Epic","Unique","Legendary","Mystic","Mystic (Prime)"},0),2,3,4.5,7,10,12))*Sensitivity!$H$12,IF($G$42="Max Damage Multiplier %",(CHOOSE(MATCH($F$42,{"Rare","Epic","Unique","Legendary","Mystic","Mystic (Prime)"},0),2,3,4.5,7,10,12))*Sensitivity!$H$13,IF($G$42="Boss Monster Damage %",(CHOOSE(MATCH($F$42,{"Rare","Epic","Unique","Legendary","Mystic","Mystic (Prime)"},0),4,6,9,14,20,24))*Sensitivity!$H$9,IF($G$42="Normal Monster Damage %",(CHOOSE(MATCH($F$42,{"Rare","Epic","Unique","Legendary","Mystic","Mystic (Prime)"},0),4,6,9,14,20,24))*Sensitivity!$H$10,IF($G$42="Status Effect Damage %",0,IF($G$42="Damage %",(CHOOSE(MATCH($F$42,{"Rare","Epic","Unique","Legendary","Mystic","Mystic (Prime)"},0),4,6,9,14,20,24))*Sensitivity!$H$7,IF($G$42="Defense Penetration %",(CHOOSE(MATCH($F$42,{"Rare","Epic","Unique","Legendary","Mystic","Mystic (Prime)"},0),2,3,4.5,7,10,12))*Sensitivity!$H$17,0)))))))))))),0)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(Prime)"},0),2,3,4.5,7,10,12))*Sensitivity!$H$14,IF($J$42="Min Damage Multiplier %",(CHOOSE(MATCH($I$42,{"Rare","Epic","Unique","Legendary","Mystic","Mystic (Prime)"},0),2,3,4.5,7,10,12))*Sensitivity!$H$12,IF($J$42="Max Damage Multiplier %",(CHOOSE(MATCH($I$42,{"Rare","Epic","Unique","Legendary","Mystic","Mystic (Prime)"},0),2,3,4.5,7,10,12))*Sensitivity!$H$13,IF($J$42="Boss Monster Damage %",(CHOOSE(MATCH($I$42,{"Rare","Epic","Unique","Legendary","Mystic","Mystic (Prime)"},0),4,6,9,14,20,24))*Sensitivity!$H$9,IF($J$42="Normal Monster Damage %",(CHOOSE(MATCH($I$42,{"Rare","Epic","Unique","Legendary","Mystic","Mystic (Prime)"},0),4,6,9,14,20,24))*Sensitivity!$H$10,IF($J$42="Status Effect Damage %",0,IF($J$42="Damage %",(CHOOSE(MATCH($I$42,{"Rare","Epic","Unique","Legendary","Mystic","Mystic (Prime)"},0),4,6,9,14,20,24))*Sensitivity!$H$7,IF($J$42="Defense Penetration %",(CHOOSE(MATCH($I$42,{"Rare","Epic","Unique","Legendary","Mystic","Mystic (Prime)"},0),2,3,4.5,7,10,12))*Sensitivity!$H$17,0)))))))))))),0)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2026-10-21T17:20:47Z</dcterms:created>
  <dcterms:modified xsi:type="dcterms:W3CDTF">2026-10-21T17:20:48Z</dcterms:modified>
</cp:coreProperties>
</file>