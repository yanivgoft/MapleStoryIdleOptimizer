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IFERROR(1/(IF(Inputs!$B$38="pvp",15,MAX(0.1,Skills!D2-IF(Skills!E2=TRUE,Inputs!$B$32,0)))*(1-IF(AND(ArtifactsInput!$M$27,Inputs!$B$4="Chapter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IFERROR(1/(IF(Inputs!$B$38="pvp",15,MAX(0.1,Skills!D3-IF(Skills!E3=TRUE,Inputs!$B$32,0)))*(1-IF(AND(ArtifactsInput!$M$27,Inputs!$B$4="Chapter Hunt"),CHOOSE(ArtifactsInput!$N$27+1,20,24,28,32,36,40),0)/100)),0)</f>
        <v/>
      </c>
      <c r="R3">
        <f>IF(AND(Inputs!$B$38&lt;&gt;"pvp",Inputs!$B$43&gt;0),IF(Inputs!$B$43&lt;=0,0,(INT(Inputs!$B$43/(IF(Inputs!$B$38="pvp",15,MAX(0.1,Skills!D3-IF(Skills!E3=TRUE,Inputs!$B$32,0)))*(1-IF(AND(ArtifactsInput!$M$27,Inputs!$B$4="Chapter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IFERROR(1/(IF(Inputs!$B$38="pvp",15,MAX(0.1,Skills!D4-IF(Skills!E4=TRUE,Inputs!$B$32,0)))*(1-IF(AND(ArtifactsInput!$M$27,Inputs!$B$4="Chapter Hunt"),CHOOSE(ArtifactsInput!$N$27+1,20,24,28,32,36,40),0)/100)),0)</f>
        <v/>
      </c>
      <c r="R4">
        <f>IF(AND(Inputs!$B$38&lt;&gt;"pvp",Inputs!$B$43&gt;0),IF(Inputs!$B$43&lt;=0,0,(INT(Inputs!$B$43/(IF(Inputs!$B$38="pvp",15,MAX(0.1,Skills!D4-IF(Skills!E4=TRUE,Inputs!$B$32,0)))*(1-IF(AND(ArtifactsInput!$M$27,Inputs!$B$4="Chapter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IFERROR(1/(IF(Inputs!$B$38="pvp",15,MAX(0.1,Skills!D5-IF(Skills!E5=TRUE,Inputs!$B$32,0)))*(1-IF(AND(ArtifactsInput!$M$27,Inputs!$B$4="Chapter Hunt"),CHOOSE(ArtifactsInput!$N$27+1,20,24,28,32,36,40),0)/100)),0)</f>
        <v/>
      </c>
      <c r="R5">
        <f>IF(AND(Inputs!$B$38&lt;&gt;"pvp",Inputs!$B$43&gt;0),IF(MAX(0,Inputs!$B$43-Summary!$B$21)&lt;=0,0,(INT(MAX(0,Inputs!$B$43-Summary!$B$21)/(IF(Inputs!$B$38="pvp",15,MAX(0.1,Skills!D5-IF(Skills!E5=TRUE,Inputs!$B$32,0)))*(1-IF(AND(ArtifactsInput!$M$27,Inputs!$B$4="Chapter Hunt"),CHOOSE(ArtifactsInput!$N$27+1,20,24,28,32,36,40),0)/100)))+1)),0)</f>
        <v/>
      </c>
      <c r="S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IFERROR(1/(IF(Inputs!$B$38="pvp",15,MAX(0.1,Skills!D6-IF(Skills!E6=TRUE,Inputs!$B$32,0)))*(1-IF(AND(ArtifactsInput!$M$27,Inputs!$B$4="Chapter Hunt"),CHOOSE(ArtifactsInput!$N$27+1,20,24,28,32,36,40),0)/100)),0)</f>
        <v/>
      </c>
      <c r="R6">
        <f>IF(AND(Inputs!$B$38&lt;&gt;"pvp",Inputs!$B$43&gt;0),IF(MAX(0,Inputs!$B$43-Summary!$B$21)&lt;=0,0,(INT(MAX(0,Inputs!$B$43-Summary!$B$21)/(IF(Inputs!$B$38="pvp",15,MAX(0.1,Skills!D6-IF(Skills!E6=TRUE,Inputs!$B$32,0)))*(1-IF(AND(ArtifactsInput!$M$27,Inputs!$B$4="Chapter Hunt"),CHOOSE(ArtifactsInput!$N$27+1,20,24,28,32,36,40),0)/100)))+1)),0)</f>
        <v/>
      </c>
      <c r="S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IFERROR(1/(IF(Inputs!$B$38="pvp",15,MAX(0.1,Skills!D7-IF(Skills!E7=TRUE,Inputs!$B$32,0)))*(1-IF(AND(ArtifactsInput!$M$27,Inputs!$B$4="Chapter Hunt"),CHOOSE(ArtifactsInput!$N$27+1,20,24,28,32,36,40),0)/100)),0)</f>
        <v/>
      </c>
      <c r="R7">
        <f>IF(AND(Inputs!$B$38&lt;&gt;"pvp",Inputs!$B$43&gt;0),IF(MAX(0,Inputs!$B$43-Summary!$B$21)&lt;=0,0,(INT(MAX(0,Inputs!$B$43-Summary!$B$21)/(IF(Inputs!$B$38="pvp",15,MAX(0.1,Skills!D7-IF(Skills!E7=TRUE,Inputs!$B$32,0)))*(1-IF(AND(ArtifactsInput!$M$27,Inputs!$B$4="Chapter Hunt"),CHOOSE(ArtifactsInput!$N$27+1,20,24,28,32,36,40),0)/100)))+1)),0)</f>
        <v/>
      </c>
      <c r="S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IFERROR(1/(IF(Inputs!$B$38="pvp",15,MAX(0.1,Skills!D8-IF(Skills!E8=TRUE,Inputs!$B$32,0)))*(1-IF(AND(ArtifactsInput!$M$27,Inputs!$B$4="Chapter Hunt"),CHOOSE(ArtifactsInput!$N$27+1,20,24,28,32,36,40),0)/100)),0)</f>
        <v/>
      </c>
      <c r="R8">
        <f>IF(AND(Inputs!$B$38&lt;&gt;"pvp",Inputs!$B$43&gt;0),IF(MAX(0,Inputs!$B$43-Summary!$B$21)&lt;=0,0,(INT(MAX(0,Inputs!$B$43-Summary!$B$21)/(IF(Inputs!$B$38="pvp",15,MAX(0.1,Skills!D8-IF(Skills!E8=TRUE,Inputs!$B$32,0)))*(1-IF(AND(ArtifactsInput!$M$27,Inputs!$B$4="Chapter Hunt"),CHOOSE(ArtifactsInput!$N$27+1,20,24,28,32,36,40),0)/100)))+1)),0)</f>
        <v/>
      </c>
      <c r="S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IFERROR(1/(IF(Inputs!$B$38="pvp",15,MAX(0.1,Skills!D9-IF(Skills!E9=TRUE,Inputs!$B$32,0)))*(1-IF(AND(ArtifactsInput!$M$27,Inputs!$B$4="Chapter Hunt"),CHOOSE(ArtifactsInput!$N$27+1,20,24,28,32,36,40),0)/100)),0)</f>
        <v/>
      </c>
      <c r="R9">
        <f>IF(AND(Inputs!$B$38&lt;&gt;"pvp",Inputs!$B$43&gt;0),IF(MAX(0,Inputs!$B$43-Summary!$B$21)&lt;=0,0,(INT(MAX(0,Inputs!$B$43-Summary!$B$21)/(IF(Inputs!$B$38="pvp",15,MAX(0.1,Skills!D9-IF(Skills!E9=TRUE,Inputs!$B$32,0)))*(1-IF(AND(ArtifactsInput!$M$27,Inputs!$B$4="Chapter Hunt"),CHOOSE(ArtifactsInput!$N$27+1,20,24,28,32,36,40),0)/100)))+1)),0)</f>
        <v/>
      </c>
      <c r="S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IFERROR(1/(IF(Inputs!$B$38="pvp",15,MAX(0.1,Skills!D10-IF(Skills!E9=TRUE,Inputs!$B$32,0)))*(1-IF(AND(ArtifactsInput!$M$27,Inputs!$B$4="Chapter Hunt"),CHOOSE(ArtifactsInput!$N$27+1,20,24,28,32,36,40),0)/100)),0)</f>
        <v/>
      </c>
      <c r="R10">
        <f>IF(AND(Inputs!$B$38&lt;&gt;"pvp",Inputs!$B$43&gt;0),IF(MAX(0,Inputs!$B$43-Summary!$B$21)&lt;=0,0,(INT(MAX(0,Inputs!$B$43-Summary!$B$21)/(IF(Inputs!$B$38="pvp",15,MAX(0.1,Skills!D10-IF(Skills!E9=TRUE,Inputs!$B$32,0)))*(1-IF(AND(ArtifactsInput!$M$27,Inputs!$B$4="Chapter Hunt"),CHOOSE(ArtifactsInput!$N$27+1,20,24,28,32,36,40),0)/100)))+1)),0)</f>
        <v/>
      </c>
      <c r="S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IFERROR(1/(IF(Inputs!$B$38="pvp",15,MAX(0.1,Skills!D11-IF(Skills!E11=TRUE,Inputs!$B$32,0)))*(1-IF(AND(ArtifactsInput!$M$27,Inputs!$B$4="Chapter Hunt"),CHOOSE(ArtifactsInput!$N$27+1,20,24,28,32,36,40),0)/100)),0)</f>
        <v/>
      </c>
      <c r="R11">
        <f>IF(AND(Inputs!$B$38&lt;&gt;"pvp",Inputs!$B$43&gt;0),IF(MAX(0,Inputs!$B$43-Summary!$B$21)&lt;=0,0,(INT(MAX(0,Inputs!$B$43-Summary!$B$21)/(IF(Inputs!$B$38="pvp",15,MAX(0.1,Skills!D11-IF(Skills!E11=TRUE,Inputs!$B$32,0)))*(1-IF(AND(ArtifactsInput!$M$27,Inputs!$B$4="Chapter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IFERROR(1/(IF(Inputs!$B$38="pvp",15,MAX(0.1,Skills!D12-IF(Skills!E12=TRUE,Inputs!$B$32,0)))*(1-IF(AND(ArtifactsInput!$M$27,Inputs!$B$4="Chapter Hunt"),CHOOSE(ArtifactsInput!$N$27+1,20,24,28,32,36,40),0)/100)),0)</f>
        <v/>
      </c>
      <c r="R12">
        <f>IF(AND(Inputs!$B$38&lt;&gt;"pvp",Inputs!$B$43&gt;0),IF(MAX(0,Inputs!$B$43-Summary!$B$21)&lt;=0,0,(INT(MAX(0,Inputs!$B$43-Summary!$B$21)/(IF(Inputs!$B$38="pvp",15,MAX(0.1,Skills!D12-IF(Skills!E12=TRUE,Inputs!$B$32,0)))*(1-IF(AND(ArtifactsInput!$M$27,Inputs!$B$4="Chapter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IFERROR(1/(IF(Inputs!$B$38="pvp",15,MAX(0.1,Skills!D13-IF(Skills!E13=TRUE,Inputs!$B$32,0)))*(1-IF(AND(ArtifactsInput!$M$27,Inputs!$B$4="Chapter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IFERROR(1/(IF(Inputs!$B$38="pvp",15,MAX(0.1,Skills!D14-IF(Skills!E14=TRUE,Inputs!$B$32,0)))*(1-IF(AND(ArtifactsInput!$M$27,Inputs!$B$4="Chapter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IFERROR(1/(IF(Inputs!$B$38="pvp",15,MAX(0.1,Skills!D15-IF(Skills!E15=TRUE,Inputs!$B$32,0)))*(1-IF(AND(ArtifactsInput!$M$27,Inputs!$B$4="Chapter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IFERROR(1/(IF(Inputs!$B$38="pvp",15,MAX(0.1,Skills!D17-IF(Skills!E17=TRUE,Inputs!$B$32,0)))*(1-IF(AND(ArtifactsInput!$M$27,Inputs!$B$4="Chapter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IFERROR(1/(IF(Inputs!$B$38="pvp",15,MAX(0.1,Skills!D18-IF(Skills!E18=TRUE,Inputs!$B$32,0)))*(1-IF(AND(ArtifactsInput!$M$27,Inputs!$B$4="Chapter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IFERROR(1/(IF(Inputs!$B$38="pvp",15,MAX(0.1,Skills!D19-IF(Skills!E19=TRUE,Inputs!$B$32,0)))*(1-IF(AND(ArtifactsInput!$M$27,Inputs!$B$4="Chapter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IFERROR(1/(IF(Inputs!$B$38="pvp",15,MAX(0.1,Skills!D20-IF(Skills!E20=TRUE,Inputs!$B$32,0)))*(1-IF(AND(ArtifactsInput!$M$27,Inputs!$B$4="Chapter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IFERROR(1/(IF(Inputs!$B$38="pvp",15,MAX(0.1,Skills!D21-IF(Skills!E21=TRUE,Inputs!$B$32,0)))*(1-IF(AND(ArtifactsInput!$M$27,Inputs!$B$4="Chapter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IFERROR(1/(IF(Inputs!$B$38="pvp",15,MAX(0.1,Skills!D22-IF(Skills!E22=TRUE,Inputs!$B$32,0)))*(1-IF(AND(ArtifactsInput!$M$27,Inputs!$B$4="Chapter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IFERROR(1/(IF(Inputs!$B$38="pvp",15,MAX(0.1,Skills!D23-IF(Skills!E23=TRUE,Inputs!$B$32,0)))*(1-IF(AND(ArtifactsInput!$M$27,Inputs!$B$4="Chapter Hunt"),CHOOSE(ArtifactsInput!$N$27+1,20,24,28,32,36,40),0)/100)),0)</f>
        <v/>
      </c>
      <c r="R23" t="n">
        <v>0</v>
      </c>
      <c r="S23" t="n">
        <v>0</v>
      </c>
      <c r="U23"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SUM(Calc!O2:O23)</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Artifacts!$B$52)/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14">
      <c r="A14" t="inlineStr">
        <is>
          <t>Monster Damage Taken Bonus % (Freezing Breath - Weaken + Elemental Reset + Artifact Enemy Damage Taken, summed)</t>
        </is>
      </c>
      <c r="B14">
        <f>IF(Inputs!$B$3&gt;=118,15*IF(Inputs!$B$38="pvp",MIN((30*(1+(Inputs!$B$34+IF(Inputs!$B$3&gt;=117,Calc!F22,0))/100)),15)/15,(30*(1+(Inputs!$B$34+IF(Inputs!$B$3&gt;=117,Calc!F22,0))/100))/Skills!D8),0)+IF(Calc!C14=TRUE,Calc!F14,0)+Artifacts!$B$36</f>
        <v/>
      </c>
    </row>
    <row r="15">
      <c r="A15" t="inlineStr">
        <is>
          <t>Damage % Bonus (Frozen Break + Frost Clutch, flat)</t>
        </is>
      </c>
      <c r="B15">
        <f>IF(Inputs!$B$3&gt;=66,15,0)+IF(Inputs!$B$3&gt;=98,10,0)+IF(Inputs!$B$3&gt;=125,20,0)</f>
        <v/>
      </c>
    </row>
    <row r="16">
      <c r="A16" t="inlineStr">
        <is>
          <t>Attack Speed Bonus % (MP Eater - MP Boost, always-on once unlocked)</t>
        </is>
      </c>
      <c r="B16">
        <f>IF(Calc!C13=TRUE,Calc!F13,0)</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IF(AND(Inputs!$B$38&lt;&gt;"pvp",Inputs!$B$43&gt;0),SUMPRODUCT((Skills!E2:E23=TRUE)*(Calc!C2:C23=TRUE)*Calc!R2:R23)/Inputs!$B$43,SUMPRODUCT((Skills!E2:E23=TRUE)*(Calc!C2:C23=TRUE)*Calc!Q2:Q23))</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IF(AND(Inputs!$B$38&lt;&gt;"pvp",Inputs!$B$43&gt;0),SUMPRODUCT((Skills!S2:S23&gt;0)*(Skills!E2:E23=TRUE)*(Calc!C2:C23=TRUE))/B17,0)</f>
        <v/>
      </c>
    </row>
    <row r="22">
      <c r="A22" t="inlineStr">
        <is>
          <t>Boss-Only Total DPS (Sensitivity baseline)</t>
        </is>
      </c>
      <c r="B22">
        <f>SUM(Calc!S2:S23)</f>
        <v/>
      </c>
    </row>
    <row r="23">
      <c r="A23" t="inlineStr">
        <is>
          <t>Normal-Only Total DPS (Sensitivity baseline)</t>
        </is>
      </c>
      <c r="B23">
        <f>SUM(Calc!U2:U23)</f>
        <v/>
      </c>
    </row>
    <row r="25">
      <c r="A25" s="9" t="inlineStr">
        <is>
          <t>Per-Skill DPS Breakdown</t>
        </is>
      </c>
    </row>
    <row r="26">
      <c r="A26" s="5" t="inlineStr">
        <is>
          <t>Skill</t>
        </is>
      </c>
      <c r="B26" s="5" t="inlineStr">
        <is>
          <t>DPS</t>
        </is>
      </c>
      <c r="C26" s="5" t="inlineStr">
        <is>
          <t>% of Total</t>
        </is>
      </c>
    </row>
    <row r="27">
      <c r="A27">
        <f>Calc!B2</f>
        <v/>
      </c>
      <c r="B27">
        <f>Calc!O2</f>
        <v/>
      </c>
      <c r="C27">
        <f>Calc!P2*100</f>
        <v/>
      </c>
    </row>
    <row r="28">
      <c r="A28">
        <f>Calc!B5</f>
        <v/>
      </c>
      <c r="B28">
        <f>Calc!O5</f>
        <v/>
      </c>
      <c r="C28">
        <f>Calc!P5*100</f>
        <v/>
      </c>
    </row>
    <row r="29">
      <c r="A29">
        <f>Calc!B6</f>
        <v/>
      </c>
      <c r="B29">
        <f>Calc!O6</f>
        <v/>
      </c>
      <c r="C29">
        <f>Calc!P6*100</f>
        <v/>
      </c>
    </row>
    <row r="30">
      <c r="A30">
        <f>Calc!B7</f>
        <v/>
      </c>
      <c r="B30">
        <f>Calc!O7</f>
        <v/>
      </c>
      <c r="C30">
        <f>Calc!P7*100</f>
        <v/>
      </c>
    </row>
    <row r="31">
      <c r="A31">
        <f>Calc!B8</f>
        <v/>
      </c>
      <c r="B31">
        <f>Calc!O8</f>
        <v/>
      </c>
      <c r="C31">
        <f>Calc!P8*100</f>
        <v/>
      </c>
    </row>
    <row r="32">
      <c r="A32">
        <f>Calc!B9</f>
        <v/>
      </c>
      <c r="B32">
        <f>Calc!O9</f>
        <v/>
      </c>
      <c r="C32">
        <f>Calc!P9*100</f>
        <v/>
      </c>
    </row>
    <row r="33">
      <c r="A33">
        <f>Calc!B10</f>
        <v/>
      </c>
      <c r="B33">
        <f>Calc!O10</f>
        <v/>
      </c>
      <c r="C33">
        <f>Calc!P10*100</f>
        <v/>
      </c>
    </row>
    <row r="34">
      <c r="A34">
        <f>Calc!B11</f>
        <v/>
      </c>
      <c r="B34">
        <f>Calc!O11</f>
        <v/>
      </c>
      <c r="C34">
        <f>Calc!P11*100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5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B106</f>
        <v/>
      </c>
      <c r="H5">
        <f>Summary!$B$3*(((1-Summary!$B$11)*IFERROR(B104/Summary!$B$22,1)+Summary!$B$11*IFERROR(B105/Summary!$B$23,1))-1)</f>
        <v/>
      </c>
      <c r="I5">
        <f>((1-Summary!$B$11)*IFERROR(B104/Summary!$B$22,1)+Summary!$B$11*IFERROR(B105/Summary!$B$23,1))*100</f>
        <v/>
      </c>
    </row>
    <row r="6">
      <c r="A6" t="inlineStr">
        <is>
          <t>INT %</t>
        </is>
      </c>
      <c r="B6">
        <f>IFERROR(1/(I6-100),"n/a")</f>
        <v/>
      </c>
      <c r="C6" t="inlineStr">
        <is>
          <t>pct</t>
        </is>
      </c>
      <c r="D6">
        <f>Inputs!$B$13</f>
        <v/>
      </c>
      <c r="E6">
        <f>(Inputs!$B$13+1)</f>
        <v/>
      </c>
      <c r="F6">
        <f>Summary!$B$3</f>
        <v/>
      </c>
      <c r="G6">
        <f>B145</f>
        <v/>
      </c>
      <c r="H6">
        <f>Summary!$B$3*(((1-Summary!$B$11)*IFERROR(B143/Summary!$B$22,1)+Summary!$B$11*IFERROR(B144/Summary!$B$23,1))-1)</f>
        <v/>
      </c>
      <c r="I6">
        <f>((1-Summary!$B$11)*IFERROR(B143/Summary!$B$22,1)+Summary!$B$11*IFERROR(B144/Summary!$B$23,1))*100</f>
        <v/>
      </c>
    </row>
    <row r="7">
      <c r="A7" t="inlineStr">
        <is>
          <t>DAMAGE %</t>
        </is>
      </c>
      <c r="B7">
        <f>IFERROR(1/(I7-100),"n/a")</f>
        <v/>
      </c>
      <c r="C7" t="inlineStr">
        <is>
          <t>pct</t>
        </is>
      </c>
      <c r="D7">
        <f>Inputs!$B$15</f>
        <v/>
      </c>
      <c r="E7">
        <f>(Inputs!$B$15+1)</f>
        <v/>
      </c>
      <c r="F7">
        <f>Summary!$B$3</f>
        <v/>
      </c>
      <c r="G7">
        <f>B184</f>
        <v/>
      </c>
      <c r="H7">
        <f>Summary!$B$3*(((1-Summary!$B$11)*IFERROR(B182/Summary!$B$22,1)+Summary!$B$11*IFERROR(B183/Summary!$B$23,1))-1)</f>
        <v/>
      </c>
      <c r="I7">
        <f>((1-Summary!$B$11)*IFERROR(B182/Summary!$B$22,1)+Summary!$B$11*IFERROR(B183/Summary!$B$23,1))*100</f>
        <v/>
      </c>
    </row>
    <row r="8">
      <c r="A8" t="inlineStr">
        <is>
          <t>DAMAGE_AMP %</t>
        </is>
      </c>
      <c r="B8">
        <f>IFERROR(1/(I8-100),"n/a")</f>
        <v/>
      </c>
      <c r="C8" t="inlineStr">
        <is>
          <t>pct</t>
        </is>
      </c>
      <c r="D8">
        <f>Inputs!$B$16</f>
        <v/>
      </c>
      <c r="E8">
        <f>(Inputs!$B$16+1)</f>
        <v/>
      </c>
      <c r="F8">
        <f>Summary!$B$3</f>
        <v/>
      </c>
      <c r="G8">
        <f>B223</f>
        <v/>
      </c>
      <c r="H8">
        <f>Summary!$B$3*(((1-Summary!$B$11)*IFERROR(B221/Summary!$B$22,1)+Summary!$B$11*IFERROR(B222/Summary!$B$23,1))-1)</f>
        <v/>
      </c>
      <c r="I8">
        <f>((1-Summary!$B$11)*IFERROR(B221/Summary!$B$22,1)+Summary!$B$11*IFERROR(B222/Summary!$B$23,1))*100</f>
        <v/>
      </c>
    </row>
    <row r="9">
      <c r="A9" t="inlineStr">
        <is>
          <t>BOSS_DAMAGE %</t>
        </is>
      </c>
      <c r="B9">
        <f>IFERROR(1/(I9-100),"n/a")</f>
        <v/>
      </c>
      <c r="C9" t="inlineStr">
        <is>
          <t>pct</t>
        </is>
      </c>
      <c r="D9">
        <f>Inputs!$B$20</f>
        <v/>
      </c>
      <c r="E9">
        <f>(Inputs!$B$20+1)</f>
        <v/>
      </c>
      <c r="F9">
        <f>Summary!$B$3</f>
        <v/>
      </c>
      <c r="G9">
        <f>B262</f>
        <v/>
      </c>
      <c r="H9">
        <f>Summary!$B$3*(((1-Summary!$B$11)*IFERROR(B260/Summary!$B$22,1)+Summary!$B$11*IFERROR(B261/Summary!$B$23,1))-1)</f>
        <v/>
      </c>
      <c r="I9">
        <f>((1-Summary!$B$11)*IFERROR(B260/Summary!$B$22,1)+Summary!$B$11*IFERROR(B261/Summary!$B$23,1))*100</f>
        <v/>
      </c>
    </row>
    <row r="10">
      <c r="A10" t="inlineStr">
        <is>
          <t>NORMAL_DAMAGE %</t>
        </is>
      </c>
      <c r="B10">
        <f>IFERROR(1/(I10-100),"n/a")</f>
        <v/>
      </c>
      <c r="C10" t="inlineStr">
        <is>
          <t>pct</t>
        </is>
      </c>
      <c r="D10">
        <f>Inputs!$B$21</f>
        <v/>
      </c>
      <c r="E10">
        <f>(Inputs!$B$21+1)</f>
        <v/>
      </c>
      <c r="F10">
        <f>Summary!$B$3</f>
        <v/>
      </c>
      <c r="G10">
        <f>B301</f>
        <v/>
      </c>
      <c r="H10">
        <f>Summary!$B$3*(((1-Summary!$B$11)*IFERROR(B299/Summary!$B$22,1)+Summary!$B$11*IFERROR(B300/Summary!$B$23,1))-1)</f>
        <v/>
      </c>
      <c r="I10">
        <f>((1-Summary!$B$11)*IFERROR(B299/Summary!$B$22,1)+Summary!$B$11*IFERROR(B300/Summary!$B$23,1))*100</f>
        <v/>
      </c>
    </row>
    <row r="11">
      <c r="A11" t="inlineStr">
        <is>
          <t>FINAL_DAMAGE % (multiplicative source)</t>
        </is>
      </c>
      <c r="B11">
        <f>IFERROR(1/(I11-100),"n/a")</f>
        <v/>
      </c>
      <c r="C11" t="inlineStr">
        <is>
          <t>mult</t>
        </is>
      </c>
      <c r="D11">
        <f>Inputs!$B$24</f>
        <v/>
      </c>
      <c r="E11">
        <f>((((1+Inputs!$B$24/100)*(1.01))-1)*100)</f>
        <v/>
      </c>
      <c r="F11">
        <f>Summary!$B$3</f>
        <v/>
      </c>
      <c r="G11">
        <f>B340</f>
        <v/>
      </c>
      <c r="H11">
        <f>Summary!$B$3*(((1-Summary!$B$11)*IFERROR(B338/Summary!$B$22,1)+Summary!$B$11*IFERROR(B339/Summary!$B$23,1))-1)</f>
        <v/>
      </c>
      <c r="I11">
        <f>((1-Summary!$B$11)*IFERROR(B338/Summary!$B$22,1)+Summary!$B$11*IFERROR(B339/Summary!$B$23,1))*100</f>
        <v/>
      </c>
    </row>
    <row r="12">
      <c r="A12" t="inlineStr">
        <is>
          <t>MIN_DAMAGE %</t>
        </is>
      </c>
      <c r="B12">
        <f>IFERROR(1/(I12-100),"n/a")</f>
        <v/>
      </c>
      <c r="C12" t="inlineStr">
        <is>
          <t>pct</t>
        </is>
      </c>
      <c r="D12">
        <f>Inputs!$B$22</f>
        <v/>
      </c>
      <c r="E12">
        <f>(Inputs!$B$22+1)</f>
        <v/>
      </c>
      <c r="F12">
        <f>Summary!$B$3</f>
        <v/>
      </c>
      <c r="G12">
        <f>B379</f>
        <v/>
      </c>
      <c r="H12">
        <f>Summary!$B$3*(((1-Summary!$B$11)*IFERROR(B377/Summary!$B$22,1)+Summary!$B$11*IFERROR(B378/Summary!$B$23,1))-1)</f>
        <v/>
      </c>
      <c r="I12">
        <f>((1-Summary!$B$11)*IFERROR(B377/Summary!$B$22,1)+Summary!$B$11*IFERROR(B378/Summary!$B$23,1))*100</f>
        <v/>
      </c>
    </row>
    <row r="13">
      <c r="A13" t="inlineStr">
        <is>
          <t>MAX_DAMAGE %</t>
        </is>
      </c>
      <c r="B13">
        <f>IFERROR(1/(I13-100),"n/a")</f>
        <v/>
      </c>
      <c r="C13" t="inlineStr">
        <is>
          <t>pct</t>
        </is>
      </c>
      <c r="D13">
        <f>Inputs!$B$23</f>
        <v/>
      </c>
      <c r="E13">
        <f>(Inputs!$B$23+1)</f>
        <v/>
      </c>
      <c r="F13">
        <f>Summary!$B$3</f>
        <v/>
      </c>
      <c r="G13">
        <f>B418</f>
        <v/>
      </c>
      <c r="H13">
        <f>Summary!$B$3*(((1-Summary!$B$11)*IFERROR(B416/Summary!$B$22,1)+Summary!$B$11*IFERROR(B417/Summary!$B$23,1))-1)</f>
        <v/>
      </c>
      <c r="I13">
        <f>((1-Summary!$B$11)*IFERROR(B416/Summary!$B$22,1)+Summary!$B$11*IFERROR(B417/Summary!$B$23,1))*100</f>
        <v/>
      </c>
    </row>
    <row r="14">
      <c r="A14" t="inlineStr">
        <is>
          <t>CRIT_RATE %</t>
        </is>
      </c>
      <c r="B14">
        <f>IFERROR(1/(I14-100),"n/a")</f>
        <v/>
      </c>
      <c r="C14" t="inlineStr">
        <is>
          <t>pct</t>
        </is>
      </c>
      <c r="D14">
        <f>Inputs!$B$9</f>
        <v/>
      </c>
      <c r="E14">
        <f>(Inputs!$B$9+1)</f>
        <v/>
      </c>
      <c r="F14">
        <f>Summary!$B$3</f>
        <v/>
      </c>
      <c r="G14">
        <f>B457</f>
        <v/>
      </c>
      <c r="H14">
        <f>Summary!$B$3*(((1-Summary!$B$11)*IFERROR(B455/Summary!$B$22,1)+Summary!$B$11*IFERROR(B456/Summary!$B$23,1))-1)</f>
        <v/>
      </c>
      <c r="I14">
        <f>((1-Summary!$B$11)*IFERROR(B455/Summary!$B$22,1)+Summary!$B$11*IFERROR(B456/Summary!$B$23,1))*100</f>
        <v/>
      </c>
    </row>
    <row r="15">
      <c r="A15" t="inlineStr">
        <is>
          <t>CRIT_DAMAGE %</t>
        </is>
      </c>
      <c r="B15">
        <f>IFERROR(1/(I15-100),"n/a")</f>
        <v/>
      </c>
      <c r="C15" t="inlineStr">
        <is>
          <t>pct</t>
        </is>
      </c>
      <c r="D15">
        <f>Inputs!$B$10</f>
        <v/>
      </c>
      <c r="E15">
        <f>(Inputs!$B$10+1)</f>
        <v/>
      </c>
      <c r="F15">
        <f>Summary!$B$3</f>
        <v/>
      </c>
      <c r="G15">
        <f>B496</f>
        <v/>
      </c>
      <c r="H15">
        <f>Summary!$B$3*(((1-Summary!$B$11)*IFERROR(B494/Summary!$B$22,1)+Summary!$B$11*IFERROR(B495/Summary!$B$23,1))-1)</f>
        <v/>
      </c>
      <c r="I15">
        <f>((1-Summary!$B$11)*IFERROR(B494/Summary!$B$22,1)+Summary!$B$11*IFERROR(B495/Summary!$B$23,1))*100</f>
        <v/>
      </c>
    </row>
    <row r="16">
      <c r="A16" t="inlineStr">
        <is>
          <t>ATTACK_SPEED % (diminishing returns, factor 150)</t>
        </is>
      </c>
      <c r="B16">
        <f>IFERROR(1/(I16-100),"n/a")</f>
        <v/>
      </c>
      <c r="C16" t="inlineStr">
        <is>
          <t>dr150</t>
        </is>
      </c>
      <c r="D16">
        <f>Inputs!$B$11</f>
        <v/>
      </c>
      <c r="E16">
        <f>((1-(1-Inputs!$B$11/150)*(1-1/150))*150)</f>
        <v/>
      </c>
      <c r="F16">
        <f>Summary!$B$3</f>
        <v/>
      </c>
      <c r="G16">
        <f>B535</f>
        <v/>
      </c>
      <c r="H16">
        <f>Summary!$B$3*(((1-Summary!$B$11)*IFERROR(B533/Summary!$B$22,1)+Summary!$B$11*IFERROR(B534/Summary!$B$23,1))-1)</f>
        <v/>
      </c>
      <c r="I16">
        <f>((1-Summary!$B$11)*IFERROR(B533/Summary!$B$22,1)+Summary!$B$11*IFERROR(B534/Summary!$B$23,1))*100</f>
        <v/>
      </c>
    </row>
    <row r="17">
      <c r="A17" t="inlineStr">
        <is>
          <t>DEF_PEN % (diminishing returns, factor 100)</t>
        </is>
      </c>
      <c r="B17">
        <f>IFERROR(1/(I17-100),"n/a")</f>
        <v/>
      </c>
      <c r="C17" t="inlineStr">
        <is>
          <t>dr100</t>
        </is>
      </c>
      <c r="D17">
        <f>Inputs!$B$19</f>
        <v/>
      </c>
      <c r="E17">
        <f>((1-(1-Inputs!$B$19/100)*(1-1/100))*100)</f>
        <v/>
      </c>
      <c r="F17">
        <f>Summary!$B$3</f>
        <v/>
      </c>
      <c r="G17">
        <f>B574</f>
        <v/>
      </c>
      <c r="H17">
        <f>Summary!$B$3*(((1-Summary!$B$11)*IFERROR(B572/Summary!$B$22,1)+Summary!$B$11*IFERROR(B573/Summary!$B$23,1))-1)</f>
        <v/>
      </c>
      <c r="I17">
        <f>((1-Summary!$B$11)*IFERROR(B572/Summary!$B$22,1)+Summary!$B$11*IFERROR(B573/Summary!$B$23,1))*100</f>
        <v/>
      </c>
    </row>
    <row r="18">
      <c r="A18" t="inlineStr">
        <is>
          <t>BASIC_ATTACK_DAMAGE %</t>
        </is>
      </c>
      <c r="B18">
        <f>IFERROR(1/(I18-100),"n/a")</f>
        <v/>
      </c>
      <c r="C18" t="inlineStr">
        <is>
          <t>pct</t>
        </is>
      </c>
      <c r="D18">
        <f>Inputs!$B$17</f>
        <v/>
      </c>
      <c r="E18">
        <f>(Inputs!$B$17+1)</f>
        <v/>
      </c>
      <c r="F18">
        <f>Summary!$B$3</f>
        <v/>
      </c>
      <c r="G18">
        <f>B613</f>
        <v/>
      </c>
      <c r="H18">
        <f>Summary!$B$3*(((1-Summary!$B$11)*IFERROR(B611/Summary!$B$22,1)+Summary!$B$11*IFERROR(B612/Summary!$B$23,1))-1)</f>
        <v/>
      </c>
      <c r="I18">
        <f>((1-Summary!$B$11)*IFERROR(B611/Summary!$B$22,1)+Summary!$B$11*IFERROR(B612/Summary!$B$23,1))*100</f>
        <v/>
      </c>
    </row>
    <row r="19">
      <c r="A19" t="inlineStr">
        <is>
          <t>SKILL_DAMAGE %</t>
        </is>
      </c>
      <c r="B19">
        <f>IFERROR(1/(I19-100),"n/a")</f>
        <v/>
      </c>
      <c r="C19" t="inlineStr">
        <is>
          <t>pct</t>
        </is>
      </c>
      <c r="D19">
        <f>Inputs!$B$18</f>
        <v/>
      </c>
      <c r="E19">
        <f>(Inputs!$B$18+1)</f>
        <v/>
      </c>
      <c r="F19">
        <f>Summary!$B$3</f>
        <v/>
      </c>
      <c r="G19">
        <f>B652</f>
        <v/>
      </c>
      <c r="H19">
        <f>Summary!$B$3*(((1-Summary!$B$11)*IFERROR(B650/Summary!$B$22,1)+Summary!$B$11*IFERROR(B651/Summary!$B$23,1))-1)</f>
        <v/>
      </c>
      <c r="I19">
        <f>((1-Summary!$B$11)*IFERROR(B650/Summary!$B$22,1)+Summary!$B$11*IFERROR(B651/Summary!$B$23,1))*100</f>
        <v/>
      </c>
    </row>
    <row r="20">
      <c r="A20" t="inlineStr">
        <is>
          <t>Skill Level Bonus — 1st Job</t>
        </is>
      </c>
      <c r="B20">
        <f>IFERROR(1/(I20-100),"n/a")</f>
        <v/>
      </c>
      <c r="C20" t="inlineStr">
        <is>
          <t>level</t>
        </is>
      </c>
      <c r="D20">
        <f>Inputs!$B$25</f>
        <v/>
      </c>
      <c r="E20">
        <f>(Inputs!$B$25+1)</f>
        <v/>
      </c>
      <c r="F20">
        <f>Summary!$B$3</f>
        <v/>
      </c>
      <c r="G20">
        <f>B691</f>
        <v/>
      </c>
      <c r="H20">
        <f>Summary!$B$3*(((1-Summary!$B$11)*IFERROR(B689/Summary!$B$22,1)+Summary!$B$11*IFERROR(B690/Summary!$B$23,1))-1)</f>
        <v/>
      </c>
      <c r="I20">
        <f>((1-Summary!$B$11)*IFERROR(B689/Summary!$B$22,1)+Summary!$B$11*IFERROR(B690/Summary!$B$23,1))*100</f>
        <v/>
      </c>
    </row>
    <row r="21">
      <c r="A21" t="inlineStr">
        <is>
          <t>Skill Level Bonus — 2nd Job</t>
        </is>
      </c>
      <c r="B21">
        <f>IFERROR(1/(I21-100),"n/a")</f>
        <v/>
      </c>
      <c r="C21" t="inlineStr">
        <is>
          <t>level</t>
        </is>
      </c>
      <c r="D21">
        <f>Inputs!$B$26</f>
        <v/>
      </c>
      <c r="E21">
        <f>(Inputs!$B$26+1)</f>
        <v/>
      </c>
      <c r="F21">
        <f>Summary!$B$3</f>
        <v/>
      </c>
      <c r="G21">
        <f>B730</f>
        <v/>
      </c>
      <c r="H21">
        <f>Summary!$B$3*(((1-Summary!$B$11)*IFERROR(B728/Summary!$B$22,1)+Summary!$B$11*IFERROR(B729/Summary!$B$23,1))-1)</f>
        <v/>
      </c>
      <c r="I21">
        <f>((1-Summary!$B$11)*IFERROR(B728/Summary!$B$22,1)+Summary!$B$11*IFERROR(B729/Summary!$B$23,1))*100</f>
        <v/>
      </c>
    </row>
    <row r="22">
      <c r="A22" t="inlineStr">
        <is>
          <t>Skill Level Bonus — 3rd Job</t>
        </is>
      </c>
      <c r="B22">
        <f>IFERROR(1/(I22-100),"n/a")</f>
        <v/>
      </c>
      <c r="C22" t="inlineStr">
        <is>
          <t>level</t>
        </is>
      </c>
      <c r="D22">
        <f>Inputs!$B$27</f>
        <v/>
      </c>
      <c r="E22">
        <f>(Inputs!$B$27+1)</f>
        <v/>
      </c>
      <c r="F22">
        <f>Summary!$B$3</f>
        <v/>
      </c>
      <c r="G22">
        <f>B769</f>
        <v/>
      </c>
      <c r="H22">
        <f>Summary!$B$3*(((1-Summary!$B$11)*IFERROR(B767/Summary!$B$22,1)+Summary!$B$11*IFERROR(B768/Summary!$B$23,1))-1)</f>
        <v/>
      </c>
      <c r="I22">
        <f>((1-Summary!$B$11)*IFERROR(B767/Summary!$B$22,1)+Summary!$B$11*IFERROR(B768/Summary!$B$23,1))*100</f>
        <v/>
      </c>
    </row>
    <row r="23">
      <c r="A23" t="inlineStr">
        <is>
          <t>Skill Level Bonus — 4th Job</t>
        </is>
      </c>
      <c r="B23">
        <f>IFERROR(1/(I23-100),"n/a")</f>
        <v/>
      </c>
      <c r="C23" t="inlineStr">
        <is>
          <t>level</t>
        </is>
      </c>
      <c r="D23">
        <f>Inputs!$B$28</f>
        <v/>
      </c>
      <c r="E23">
        <f>(Inputs!$B$28+1)</f>
        <v/>
      </c>
      <c r="F23">
        <f>Summary!$B$3</f>
        <v/>
      </c>
      <c r="G23">
        <f>B808</f>
        <v/>
      </c>
      <c r="H23">
        <f>Summary!$B$3*(((1-Summary!$B$11)*IFERROR(B806/Summary!$B$22,1)+Summary!$B$11*IFERROR(B807/Summary!$B$23,1))-1)</f>
        <v/>
      </c>
      <c r="I23">
        <f>((1-Summary!$B$11)*IFERROR(B806/Summary!$B$22,1)+Summary!$B$11*IFERROR(B807/Summary!$B$23,1))*100</f>
        <v/>
      </c>
    </row>
    <row r="24">
      <c r="A24" t="inlineStr">
        <is>
          <t>Skill Level Bonus — All Skills</t>
        </is>
      </c>
      <c r="B24">
        <f>IFERROR(1/(I24-100),"n/a")</f>
        <v/>
      </c>
      <c r="C24" t="inlineStr">
        <is>
          <t>level</t>
        </is>
      </c>
      <c r="D24">
        <f>Inputs!$B$29</f>
        <v/>
      </c>
      <c r="E24">
        <f>(Inputs!$B$29+1)</f>
        <v/>
      </c>
      <c r="F24">
        <f>Summary!$B$3</f>
        <v/>
      </c>
      <c r="G24">
        <f>B847</f>
        <v/>
      </c>
      <c r="H24">
        <f>Summary!$B$3*(((1-Summary!$B$11)*IFERROR(B845/Summary!$B$22,1)+Summary!$B$11*IFERROR(B846/Summary!$B$23,1))-1)</f>
        <v/>
      </c>
      <c r="I24">
        <f>((1-Summary!$B$11)*IFERROR(B845/Summary!$B$22,1)+Summary!$B$11*IFERROR(B846/Summary!$B$23,1))*100</f>
        <v/>
      </c>
    </row>
    <row r="25">
      <c r="A25" t="inlineStr">
        <is>
          <t>Flat ATTACK</t>
        </is>
      </c>
      <c r="B25">
        <f>IFERROR(1/(I25-100),"n/a")</f>
        <v/>
      </c>
      <c r="C25" t="inlineStr">
        <is>
          <t>flat</t>
        </is>
      </c>
      <c r="D25">
        <f>Inputs!$B$6</f>
        <v/>
      </c>
      <c r="E25">
        <f>(Inputs!$B$6+1)</f>
        <v/>
      </c>
      <c r="F25">
        <f>Summary!$B$3</f>
        <v/>
      </c>
      <c r="G25">
        <f>B886</f>
        <v/>
      </c>
      <c r="H25">
        <f>Summary!$B$3*(((1-Summary!$B$11)*IFERROR(B884/Summary!$B$22,1)+Summary!$B$11*IFERROR(B885/Summary!$B$23,1))-1)</f>
        <v/>
      </c>
      <c r="I25">
        <f>((1-Summary!$B$11)*IFERROR(B884/Summary!$B$22,1)+Summary!$B$11*IFERROR(B885/Summary!$B$23,1))*100</f>
        <v/>
      </c>
    </row>
    <row r="26">
      <c r="A26" t="inlineStr">
        <is>
          <t>ATTACK %</t>
        </is>
      </c>
      <c r="B26">
        <f>IFERROR(1/(I26-100),"n/a")</f>
        <v/>
      </c>
      <c r="C26" t="inlineStr">
        <is>
          <t>pct</t>
        </is>
      </c>
      <c r="D26">
        <f>Inputs!$B$7</f>
        <v/>
      </c>
      <c r="E26">
        <f>(Inputs!$B$7+1)</f>
        <v/>
      </c>
      <c r="F26">
        <f>Summary!$B$3</f>
        <v/>
      </c>
      <c r="G26">
        <f>B925</f>
        <v/>
      </c>
      <c r="H26">
        <f>Summary!$B$3*(((1-Summary!$B$11)*IFERROR(B923/Summary!$B$22,1)+Summary!$B$11*IFERROR(B924/Summary!$B$23,1))-1)</f>
        <v/>
      </c>
      <c r="I26">
        <f>((1-Summary!$B$11)*IFERROR(B923/Summary!$B$22,1)+Summary!$B$11*IFERROR(B924/Summary!$B$23,1))*100</f>
        <v/>
      </c>
    </row>
    <row r="27">
      <c r="A27" t="inlineStr">
        <is>
          <t>Skill Cooldown Decrease (seconds)</t>
        </is>
      </c>
      <c r="B27">
        <f>IFERROR(1/(I27-100),"n/a")</f>
        <v/>
      </c>
      <c r="C27" t="inlineStr">
        <is>
          <t>flat</t>
        </is>
      </c>
      <c r="D27">
        <f>Inputs!$B$32</f>
        <v/>
      </c>
      <c r="E27">
        <f>(Inputs!$B$32+1)</f>
        <v/>
      </c>
      <c r="F27">
        <f>Summary!$B$3</f>
        <v/>
      </c>
      <c r="G27">
        <f>B964</f>
        <v/>
      </c>
      <c r="H27">
        <f>Summary!$B$3*(((1-Summary!$B$11)*IFERROR(B962/Summary!$B$22,1)+Summary!$B$11*IFERROR(B963/Summary!$B$23,1))-1)</f>
        <v/>
      </c>
      <c r="I27">
        <f>((1-Summary!$B$11)*IFERROR(B962/Summary!$B$22,1)+Summary!$B$11*IFERROR(B963/Summary!$B$23,1))*100</f>
        <v/>
      </c>
    </row>
    <row r="28">
      <c r="A28" t="inlineStr">
        <is>
          <t>Basic Attack Target Increase (flat)</t>
        </is>
      </c>
      <c r="B28">
        <f>IFERROR(1/(I28-100),"n/a")</f>
        <v/>
      </c>
      <c r="C28" t="inlineStr">
        <is>
          <t>flat</t>
        </is>
      </c>
      <c r="D28">
        <f>Inputs!$B$33</f>
        <v/>
      </c>
      <c r="E28">
        <f>(Inputs!$B$33+1)</f>
        <v/>
      </c>
      <c r="F28">
        <f>Summary!$B$3</f>
        <v/>
      </c>
      <c r="G28">
        <f>B1003</f>
        <v/>
      </c>
      <c r="H28">
        <f>Summary!$B$3*(((1-Summary!$B$11)*IFERROR(B1001/Summary!$B$22,1)+Summary!$B$11*IFERROR(B1002/Summary!$B$23,1))-1)</f>
        <v/>
      </c>
      <c r="I28">
        <f>((1-Summary!$B$11)*IFERROR(B1001/Summary!$B$22,1)+Summary!$B$11*IFERROR(B1002/Summary!$B$23,1))*100</f>
        <v/>
      </c>
    </row>
    <row r="29">
      <c r="A29" t="inlineStr">
        <is>
          <t>Buff Duration Increase %</t>
        </is>
      </c>
      <c r="B29">
        <f>IFERROR(1/(I29-100),"n/a")</f>
        <v/>
      </c>
      <c r="C29" t="inlineStr">
        <is>
          <t>pct</t>
        </is>
      </c>
      <c r="D29">
        <f>Inputs!$B$34</f>
        <v/>
      </c>
      <c r="E29">
        <f>(Inputs!$B$34+1)</f>
        <v/>
      </c>
      <c r="F29">
        <f>Summary!$B$3</f>
        <v/>
      </c>
      <c r="G29">
        <f>B1042</f>
        <v/>
      </c>
      <c r="H29">
        <f>Summary!$B$3*(((1-Summary!$B$11)*IFERROR(B1040/Summary!$B$22,1)+Summary!$B$11*IFERROR(B1041/Summary!$B$23,1))-1)</f>
        <v/>
      </c>
      <c r="I29">
        <f>((1-Summary!$B$11)*IFERROR(B1040/Summary!$B$22,1)+Summary!$B$11*IFERROR(B1041/Summary!$B$23,1))*100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(IF(ArtifactsInput!$M$5,-1,1)*Summary!$B$3*(((1-Summary!$B$11)*IFERROR(B1079/Summary!$B$22,1)+Summary!$B$11*IFERROR(B1080/Summary!$B$23,1))-1)+ArtifactsInput!$L$5)</f>
        <v/>
      </c>
      <c r="AC32">
        <f>(Summary!$B$3+(IF(ArtifactsInput!$M$5,-1,1)*Summary!$B$3*(((1-Summary!$B$11)*IFERROR(B1079/Summary!$B$22,1)+Summary!$B$11*IFERROR(B1080/Summary!$B$23,1))-1)+ArtifactsInput!$L$5))/Summary!$B$3*100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(IF(ArtifactsInput!$M$6,-1,1)*Summary!$B$3*(((1-Summary!$B$11)*IFERROR(B1118/Summary!$B$22,1)+Summary!$B$11*IFERROR(B1119/Summary!$B$23,1))-1)+ArtifactsInput!$L$6)</f>
        <v/>
      </c>
      <c r="AC33">
        <f>(Summary!$B$3+(IF(ArtifactsInput!$M$6,-1,1)*Summary!$B$3*(((1-Summary!$B$11)*IFERROR(B1118/Summary!$B$22,1)+Summary!$B$11*IFERROR(B1119/Summary!$B$23,1))-1)+ArtifactsInput!$L$6))/Summary!$B$3*100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(IF(ArtifactsInput!$M$7,-1,1)*Summary!$B$3*(((1-Summary!$B$11)*IFERROR(B1157/Summary!$B$22,1)+Summary!$B$11*IFERROR(B1158/Summary!$B$23,1))-1)+ArtifactsInput!$L$7)</f>
        <v/>
      </c>
      <c r="AC34">
        <f>(Summary!$B$3+(IF(ArtifactsInput!$M$7,-1,1)*Summary!$B$3*(((1-Summary!$B$11)*IFERROR(B1157/Summary!$B$22,1)+Summary!$B$11*IFERROR(B1158/Summary!$B$23,1))-1)+ArtifactsInput!$L$7))/Summary!$B$3*100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(IF(ArtifactsInput!$M$8,-1,1)*Summary!$B$3*(((1-Summary!$B$11)*IFERROR(B1196/Summary!$B$22,1)+Summary!$B$11*IFERROR(B1197/Summary!$B$23,1))-1)+ArtifactsInput!$L$8)</f>
        <v/>
      </c>
      <c r="AC35">
        <f>(Summary!$B$3+(IF(ArtifactsInput!$M$8,-1,1)*Summary!$B$3*(((1-Summary!$B$11)*IFERROR(B1196/Summary!$B$22,1)+Summary!$B$11*IFERROR(B1197/Summary!$B$23,1))-1)+ArtifactsInput!$L$8))/Summary!$B$3*100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(IF(ArtifactsInput!$M$10,-1,1)*Summary!$B$3*(((1-Summary!$B$11)*IFERROR(B1235/Summary!$B$22,1)+Summary!$B$11*IFERROR(B1236/Summary!$B$23,1))-1)+ArtifactsInput!$L$10)</f>
        <v/>
      </c>
      <c r="AC36">
        <f>(Summary!$B$3+(IF(ArtifactsInput!$M$10,-1,1)*Summary!$B$3*(((1-Summary!$B$11)*IFERROR(B1235/Summary!$B$22,1)+Summary!$B$11*IFERROR(B1236/Summary!$B$23,1))-1)+ArtifactsInput!$L$10))/Summary!$B$3*100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(IF(ArtifactsInput!$M$11,-1,1)*Summary!$B$3*(((1-Summary!$B$11)*IFERROR(B1274/Summary!$B$22,1)+Summary!$B$11*IFERROR(B1275/Summary!$B$23,1))-1)+ArtifactsInput!$L$11)</f>
        <v/>
      </c>
      <c r="AC37">
        <f>(Summary!$B$3+(IF(ArtifactsInput!$M$11,-1,1)*Summary!$B$3*(((1-Summary!$B$11)*IFERROR(B1274/Summary!$B$22,1)+Summary!$B$11*IFERROR(B1275/Summary!$B$23,1))-1)+ArtifactsInput!$L$11))/Summary!$B$3*100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(IF(ArtifactsInput!$M$12,-1,1)*Summary!$B$3*(((1-Summary!$B$11)*IFERROR(B1313/Summary!$B$22,1)+Summary!$B$11*IFERROR(B1314/Summary!$B$23,1))-1)+ArtifactsInput!$L$12)</f>
        <v/>
      </c>
      <c r="AC38">
        <f>(Summary!$B$3+(IF(ArtifactsInput!$M$12,-1,1)*Summary!$B$3*(((1-Summary!$B$11)*IFERROR(B1313/Summary!$B$22,1)+Summary!$B$11*IFERROR(B1314/Summary!$B$23,1))-1)+ArtifactsInput!$L$12))/Summary!$B$3*100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(IF(ArtifactsInput!$M$13,-1,1)*Summary!$B$3*(((1-Summary!$B$11)*IFERROR(B1352/Summary!$B$22,1)+Summary!$B$11*IFERROR(B1353/Summary!$B$23,1))-1)+ArtifactsInput!$L$13)</f>
        <v/>
      </c>
      <c r="AC39">
        <f>(Summary!$B$3+(IF(ArtifactsInput!$M$13,-1,1)*Summary!$B$3*(((1-Summary!$B$11)*IFERROR(B1352/Summary!$B$22,1)+Summary!$B$11*IFERROR(B1353/Summary!$B$23,1))-1)+ArtifactsInput!$L$13))/Summary!$B$3*100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(IF(ArtifactsInput!$M$14,-1,1)*Summary!$B$3*(((1-Summary!$B$11)*IFERROR(B1391/Summary!$B$22,1)+Summary!$B$11*IFERROR(B1392/Summary!$B$23,1))-1)+ArtifactsInput!$L$14)</f>
        <v/>
      </c>
      <c r="AC40">
        <f>(Summary!$B$3+(IF(ArtifactsInput!$M$14,-1,1)*Summary!$B$3*(((1-Summary!$B$11)*IFERROR(B1391/Summary!$B$22,1)+Summary!$B$11*IFERROR(B1392/Summary!$B$23,1))-1)+ArtifactsInput!$L$14))/Summary!$B$3*100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(IF(ArtifactsInput!$M$15,-1,1)*Summary!$B$3*(((1-Summary!$B$11)*IFERROR(B1430/Summary!$B$22,1)+Summary!$B$11*IFERROR(B1431/Summary!$B$23,1))-1)+ArtifactsInput!$L$15)</f>
        <v/>
      </c>
      <c r="AC41">
        <f>(Summary!$B$3+(IF(ArtifactsInput!$M$15,-1,1)*Summary!$B$3*(((1-Summary!$B$11)*IFERROR(B1430/Summary!$B$22,1)+Summary!$B$11*IFERROR(B1431/Summary!$B$23,1))-1)+ArtifactsInput!$L$15))/Summary!$B$3*100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(IF(ArtifactsInput!$M$16,-1,1)*Summary!$B$3*(((1-Summary!$B$11)*IFERROR(B1469/Summary!$B$22,1)+Summary!$B$11*IFERROR(B1470/Summary!$B$23,1))-1)+ArtifactsInput!$L$16)</f>
        <v/>
      </c>
      <c r="AC42">
        <f>(Summary!$B$3+(IF(ArtifactsInput!$M$16,-1,1)*Summary!$B$3*(((1-Summary!$B$11)*IFERROR(B1469/Summary!$B$22,1)+Summary!$B$11*IFERROR(B1470/Summary!$B$23,1))-1)+ArtifactsInput!$L$16))/Summary!$B$3*100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(IF(ArtifactsInput!$M$17,-1,1)*Summary!$B$3*(((1-Summary!$B$11)*IFERROR(B1508/Summary!$B$22,1)+Summary!$B$11*IFERROR(B1509/Summary!$B$23,1))-1)+ArtifactsInput!$L$17)</f>
        <v/>
      </c>
      <c r="AC43">
        <f>(Summary!$B$3+(IF(ArtifactsInput!$M$17,-1,1)*Summary!$B$3*(((1-Summary!$B$11)*IFERROR(B1508/Summary!$B$22,1)+Summary!$B$11*IFERROR(B1509/Summary!$B$23,1))-1)+ArtifactsInput!$L$17))/Summary!$B$3*100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(IF(ArtifactsInput!$M$18,-1,1)*Summary!$B$3*(((1-Summary!$B$11)*IFERROR(B1547/Summary!$B$22,1)+Summary!$B$11*IFERROR(B1548/Summary!$B$23,1))-1)+ArtifactsInput!$L$18)</f>
        <v/>
      </c>
      <c r="AC44">
        <f>(Summary!$B$3+(IF(ArtifactsInput!$M$18,-1,1)*Summary!$B$3*(((1-Summary!$B$11)*IFERROR(B1547/Summary!$B$22,1)+Summary!$B$11*IFERROR(B1548/Summary!$B$23,1))-1)+ArtifactsInput!$L$18))/Summary!$B$3*100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(IF(ArtifactsInput!$M$20,-1,1)*Summary!$B$3*(((1-Summary!$B$11)*IFERROR(B1586/Summary!$B$22,1)+Summary!$B$11*IFERROR(B1587/Summary!$B$23,1))-1)+ArtifactsInput!$L$20)</f>
        <v/>
      </c>
      <c r="AC45">
        <f>(Summary!$B$3+(IF(ArtifactsInput!$M$20,-1,1)*Summary!$B$3*(((1-Summary!$B$11)*IFERROR(B1586/Summary!$B$22,1)+Summary!$B$11*IFERROR(B1587/Summary!$B$23,1))-1)+ArtifactsInput!$L$20))/Summary!$B$3*100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(IF(ArtifactsInput!$M$21,-1,1)*Summary!$B$3*(((1-Summary!$B$11)*IFERROR(B1625/Summary!$B$22,1)+Summary!$B$11*IFERROR(B1626/Summary!$B$23,1))-1)+ArtifactsInput!$L$21)</f>
        <v/>
      </c>
      <c r="AC46">
        <f>(Summary!$B$3+(IF(ArtifactsInput!$M$21,-1,1)*Summary!$B$3*(((1-Summary!$B$11)*IFERROR(B1625/Summary!$B$22,1)+Summary!$B$11*IFERROR(B1626/Summary!$B$23,1))-1)+ArtifactsInput!$L$21))/Summary!$B$3*100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(IF(ArtifactsInput!$M$22,-1,1)*Summary!$B$3*(((1-Summary!$B$11)*IFERROR(B1664/Summary!$B$22,1)+Summary!$B$11*IFERROR(B1665/Summary!$B$23,1))-1)+ArtifactsInput!$L$22)</f>
        <v/>
      </c>
      <c r="AC47">
        <f>(Summary!$B$3+(IF(ArtifactsInput!$M$22,-1,1)*Summary!$B$3*(((1-Summary!$B$11)*IFERROR(B1664/Summary!$B$22,1)+Summary!$B$11*IFERROR(B1665/Summary!$B$23,1))-1)+ArtifactsInput!$L$22))/Summary!$B$3*100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(IF(ArtifactsInput!$M$23,-1,1)*Summary!$B$3*(((1-Summary!$B$11)*IFERROR(B1703/Summary!$B$22,1)+Summary!$B$11*IFERROR(B1704/Summary!$B$23,1))-1)+ArtifactsInput!$L$23)</f>
        <v/>
      </c>
      <c r="AC48">
        <f>(Summary!$B$3+(IF(ArtifactsInput!$M$23,-1,1)*Summary!$B$3*(((1-Summary!$B$11)*IFERROR(B1703/Summary!$B$22,1)+Summary!$B$11*IFERROR(B1704/Summary!$B$23,1))-1)+ArtifactsInput!$L$23))/Summary!$B$3*100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(IF(ArtifactsInput!$M$24,-1,1)*Summary!$B$3*(((1-Summary!$B$11)*IFERROR(B1742/Summary!$B$22,1)+Summary!$B$11*IFERROR(B1743/Summary!$B$23,1))-1)+ArtifactsInput!$L$24)</f>
        <v/>
      </c>
      <c r="AC49">
        <f>(Summary!$B$3+(IF(ArtifactsInput!$M$24,-1,1)*Summary!$B$3*(((1-Summary!$B$11)*IFERROR(B1742/Summary!$B$22,1)+Summary!$B$11*IFERROR(B1743/Summary!$B$23,1))-1)+ArtifactsInput!$L$24))/Summary!$B$3*100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(IF(ArtifactsInput!$M$25,-1,1)*Summary!$B$3*(((1-Summary!$B$11)*IFERROR(B1781/Summary!$B$22,1)+Summary!$B$11*IFERROR(B1782/Summary!$B$23,1))-1)+ArtifactsInput!$L$25)</f>
        <v/>
      </c>
      <c r="AC50">
        <f>(Summary!$B$3+(IF(ArtifactsInput!$M$25,-1,1)*Summary!$B$3*(((1-Summary!$B$11)*IFERROR(B1781/Summary!$B$22,1)+Summary!$B$11*IFERROR(B1782/Summary!$B$23,1))-1)+ArtifactsInput!$L$25))/Summary!$B$3*100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(IF(ArtifactsInput!$M$26,-1,1)*Summary!$B$3*(((1-Summary!$B$11)*IFERROR(B1820/Summary!$B$22,1)+Summary!$B$11*IFERROR(B1821/Summary!$B$23,1))-1)+ArtifactsInput!$L$26)</f>
        <v/>
      </c>
      <c r="AC51">
        <f>(Summary!$B$3+(IF(ArtifactsInput!$M$26,-1,1)*Summary!$B$3*(((1-Summary!$B$11)*IFERROR(B1820/Summary!$B$22,1)+Summary!$B$11*IFERROR(B1821/Summary!$B$23,1))-1)+ArtifactsInput!$L$26))/Summary!$B$3*100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(IF(ArtifactsInput!$M$27,-1,1)*Summary!$B$3*(((1-Summary!$B$11)*IFERROR(B1859/Summary!$B$22,1)+Summary!$B$11*IFERROR(B1860/Summary!$B$23,1))-1)+ArtifactsInput!$L$27)</f>
        <v/>
      </c>
      <c r="AC52">
        <f>(Summary!$B$3+(IF(ArtifactsInput!$M$27,-1,1)*Summary!$B$3*(((1-Summary!$B$11)*IFERROR(B1859/Summary!$B$22,1)+Summary!$B$11*IFERROR(B1860/Summary!$B$23,1))-1)+ArtifactsInput!$L$27))/Summary!$B$3*100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(IF(ArtifactsInput!$M$28,-1,1)*Summary!$B$3*(((1-Summary!$B$11)*IFERROR(B1898/Summary!$B$22,1)+Summary!$B$11*IFERROR(B1899/Summary!$B$23,1))-1)+ArtifactsInput!$L$28)</f>
        <v/>
      </c>
      <c r="AC53">
        <f>(Summary!$B$3+(IF(ArtifactsInput!$M$28,-1,1)*Summary!$B$3*(((1-Summary!$B$11)*IFERROR(B1898/Summary!$B$22,1)+Summary!$B$11*IFERROR(B1899/Summary!$B$23,1))-1)+ArtifactsInput!$L$28))/Summary!$B$3*100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(IF(ArtifactsInput!$M$29,-1,1)*Summary!$B$3*(((1-Summary!$B$11)*IFERROR(B1937/Summary!$B$22,1)+Summary!$B$11*IFERROR(B1938/Summary!$B$23,1))-1)+ArtifactsInput!$L$29)</f>
        <v/>
      </c>
      <c r="AC54">
        <f>(Summary!$B$3+(IF(ArtifactsInput!$M$29,-1,1)*Summary!$B$3*(((1-Summary!$B$11)*IFERROR(B1937/Summary!$B$22,1)+Summary!$B$11*IFERROR(B1938/Summary!$B$23,1))-1)+ArtifactsInput!$L$29))/Summary!$B$3*100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(IF(ArtifactsInput!$M$30,-1,1)*Summary!$B$3*(((1-Summary!$B$11)*IFERROR(B1976/Summary!$B$22,1)+Summary!$B$11*IFERROR(B1977/Summary!$B$23,1))-1)+ArtifactsInput!$L$30)</f>
        <v/>
      </c>
      <c r="AC55">
        <f>(Summary!$B$3+(IF(ArtifactsInput!$M$30,-1,1)*Summary!$B$3*(((1-Summary!$B$11)*IFERROR(B1976/Summary!$B$22,1)+Summary!$B$11*IFERROR(B1977/Summary!$B$23,1))-1)+ArtifactsInput!$L$30))/Summary!$B$3*100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(IF(ArtifactsInput!$M$31,-1,1)*Summary!$B$3*(((1-Summary!$B$11)*IFERROR(B2015/Summary!$B$22,1)+Summary!$B$11*IFERROR(B2016/Summary!$B$23,1))-1)+ArtifactsInput!$L$31)</f>
        <v/>
      </c>
      <c r="AC56">
        <f>(Summary!$B$3+(IF(ArtifactsInput!$M$31,-1,1)*Summary!$B$3*(((1-Summary!$B$11)*IFERROR(B2015/Summary!$B$22,1)+Summary!$B$11*IFERROR(B2016/Summary!$B$23,1))-1)+ArtifactsInput!$L$31))/Summary!$B$3*100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(IF(ArtifactsInput!$M$32,-1,1)*Summary!$B$3*(((1-Summary!$B$11)*IFERROR(B2054/Summary!$B$22,1)+Summary!$B$11*IFERROR(B2055/Summary!$B$23,1))-1)+ArtifactsInput!$L$32)</f>
        <v/>
      </c>
      <c r="AC57">
        <f>(Summary!$B$3+(IF(ArtifactsInput!$M$32,-1,1)*Summary!$B$3*(((1-Summary!$B$11)*IFERROR(B2054/Summary!$B$22,1)+Summary!$B$11*IFERROR(B2055/Summary!$B$23,1))-1)+ArtifactsInput!$L$32))/Summary!$B$3*100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(IF(ArtifactsInput!$M$33,-1,1)*Summary!$B$3*(((1-Summary!$B$11)*IFERROR(B2093/Summary!$B$22,1)+Summary!$B$11*IFERROR(B2094/Summary!$B$23,1))-1)+ArtifactsInput!$L$33)</f>
        <v/>
      </c>
      <c r="AC58">
        <f>(Summary!$B$3+(IF(ArtifactsInput!$M$33,-1,1)*Summary!$B$3*(((1-Summary!$B$11)*IFERROR(B2093/Summary!$B$22,1)+Summary!$B$11*IFERROR(B2094/Summary!$B$23,1))-1)+ArtifactsInput!$L$33))/Summary!$B$3*100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(IF(ArtifactsInput!$M$34,-1,1)*Summary!$B$3*(((1-Summary!$B$11)*IFERROR(B2132/Summary!$B$22,1)+Summary!$B$11*IFERROR(B2133/Summary!$B$23,1))-1)+ArtifactsInput!$L$34)</f>
        <v/>
      </c>
      <c r="AC59">
        <f>(Summary!$B$3+(IF(ArtifactsInput!$M$34,-1,1)*Summary!$B$3*(((1-Summary!$B$11)*IFERROR(B2132/Summary!$B$22,1)+Summary!$B$11*IFERROR(B2133/Summary!$B$23,1))-1)+ArtifactsInput!$L$34))/Summary!$B$3*100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(IF(ArtifactsInput!$M$35,-1,1)*Summary!$B$3*(((1-Summary!$B$11)*IFERROR(B2171/Summary!$B$22,1)+Summary!$B$11*IFERROR(B2172/Summary!$B$23,1))-1)+ArtifactsInput!$L$35)</f>
        <v/>
      </c>
      <c r="AC60">
        <f>(Summary!$B$3+(IF(ArtifactsInput!$M$35,-1,1)*Summary!$B$3*(((1-Summary!$B$11)*IFERROR(B2171/Summary!$B$22,1)+Summary!$B$11*IFERROR(B2172/Summary!$B$23,1))-1)+ArtifactsInput!$L$35))/Summary!$B$3*100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(IF(ArtifactsInput!$M$36,-1,1)*Summary!$B$3*(((1-Summary!$B$11)*IFERROR(B2210/Summary!$B$22,1)+Summary!$B$11*IFERROR(B2211/Summary!$B$23,1))-1)+ArtifactsInput!$L$36)</f>
        <v/>
      </c>
      <c r="AC61">
        <f>(Summary!$B$3+(IF(ArtifactsInput!$M$36,-1,1)*Summary!$B$3*(((1-Summary!$B$11)*IFERROR(B2210/Summary!$B$22,1)+Summary!$B$11*IFERROR(B2211/Summary!$B$23,1))-1)+ArtifactsInput!$L$36))/Summary!$B$3*100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(IF(ArtifactsInput!$M$37,-1,1)*Summary!$B$3*(((1-Summary!$B$11)*IFERROR(B2249/Summary!$B$22,1)+Summary!$B$11*IFERROR(B2250/Summary!$B$23,1))-1)+ArtifactsInput!$L$37)</f>
        <v/>
      </c>
      <c r="AC62">
        <f>(Summary!$B$3+(IF(ArtifactsInput!$M$37,-1,1)*Summary!$B$3*(((1-Summary!$B$11)*IFERROR(B2249/Summary!$B$22,1)+Summary!$B$11*IFERROR(B2250/Summary!$B$23,1))-1)+ArtifactsInput!$L$37))/Summary!$B$3*100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(IF(ArtifactsInput!$M$38,-1,1)*Summary!$B$3*(((1-Summary!$B$11)*IFERROR(B2288/Summary!$B$22,1)+Summary!$B$11*IFERROR(B2289/Summary!$B$23,1))-1)+ArtifactsInput!$L$38)</f>
        <v/>
      </c>
      <c r="AC63">
        <f>(Summary!$B$3+(IF(ArtifactsInput!$M$38,-1,1)*Summary!$B$3*(((1-Summary!$B$11)*IFERROR(B2288/Summary!$B$22,1)+Summary!$B$11*IFERROR(B2289/Summary!$B$23,1))-1)+ArtifactsInput!$L$38))/Summary!$B$3*100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(IF(ArtifactsInput!$M$39,-1,1)*Summary!$B$3*(((1-Summary!$B$11)*IFERROR(B2327/Summary!$B$22,1)+Summary!$B$11*IFERROR(B2328/Summary!$B$23,1))-1)+ArtifactsInput!$L$39)</f>
        <v/>
      </c>
      <c r="AC64">
        <f>(Summary!$B$3+(IF(ArtifactsInput!$M$39,-1,1)*Summary!$B$3*(((1-Summary!$B$11)*IFERROR(B2327/Summary!$B$22,1)+Summary!$B$11*IFERROR(B2328/Summary!$B$23,1))-1)+ArtifactsInput!$L$39))/Summary!$B$3*100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(IF(ArtifactsInput!$M$40,-1,1)*Summary!$B$3*(((1-Summary!$B$11)*IFERROR(B2366/Summary!$B$22,1)+Summary!$B$11*IFERROR(B2367/Summary!$B$23,1))-1)+ArtifactsInput!$L$40)</f>
        <v/>
      </c>
      <c r="AC65">
        <f>(Summary!$B$3+(IF(ArtifactsInput!$M$40,-1,1)*Summary!$B$3*(((1-Summary!$B$11)*IFERROR(B2366/Summary!$B$22,1)+Summary!$B$11*IFERROR(B2367/Summary!$B$23,1))-1)+ArtifactsInput!$L$40))/Summary!$B$3*100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(IF(ArtifactsInput!$M$41,-1,1)*Summary!$B$3*(((1-Summary!$B$11)*IFERROR(B2405/Summary!$B$22,1)+Summary!$B$11*IFERROR(B2406/Summary!$B$23,1))-1)+ArtifactsInput!$L$41)</f>
        <v/>
      </c>
      <c r="AC66">
        <f>(Summary!$B$3+(IF(ArtifactsInput!$M$41,-1,1)*Summary!$B$3*(((1-Summary!$B$11)*IFERROR(B2405/Summary!$B$22,1)+Summary!$B$11*IFERROR(B2406/Summary!$B$23,1))-1)+ArtifactsInput!$L$41))/Summary!$B$3*100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(IF(ArtifactsInput!$M$42,-1,1)*Summary!$B$3*(((1-Summary!$B$11)*IFERROR(B2444/Summary!$B$22,1)+Summary!$B$11*IFERROR(B2445/Summary!$B$23,1))-1)+ArtifactsInput!$L$42)</f>
        <v/>
      </c>
      <c r="AC67">
        <f>(Summary!$B$3+(IF(ArtifactsInput!$M$42,-1,1)*Summary!$B$3*(((1-Summary!$B$11)*IFERROR(B2444/Summary!$B$22,1)+Summary!$B$11*IFERROR(B2445/Summary!$B$23,1))-1)+ArtifactsInput!$L$42))/Summary!$B$3*100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IF(B106=0,0,O72/B106)</f>
        <v/>
      </c>
      <c r="Q72">
        <f>IFERROR(1/IF(Inputs!$B$38="pvp",15,MAX(0.1,Skills!D2-IF(Skills!E2=TRUE,Inputs!$B$32,0))),0)</f>
        <v/>
      </c>
      <c r="R72" t="n">
        <v>0</v>
      </c>
      <c r="S72">
        <f>IF(C72,(Skills!F2*N72*B102)*IF(Inputs!$B$38="pvp",1,1+(Inputs!$B$20+Skills!O2+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102)*IF(Inputs!$B$38="pvp",1,(1+(Inputs!$B$21+Skills!P2+B97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IF(B106=0,0,O73/B106)</f>
        <v/>
      </c>
      <c r="Q73">
        <f>IFERROR(1/IF(Inputs!$B$38="pvp",15,MAX(0.1,Skills!D3-IF(Skills!E3=TRUE,Inputs!$B$32,0))),0)</f>
        <v/>
      </c>
      <c r="R73">
        <f>IF(AND(Inputs!$B$38&lt;&gt;"pvp",Inputs!$B$43&gt;0),IF(Inputs!$B$43&lt;=0,0,(INT(Inputs!$B$43/IF(Inputs!$B$38="pvp",15,MAX(0.1,Skills!D3-IF(Skills!E3=TRUE,Inputs!$B$32,0))))+1)),0)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IF(B106=0,0,O74/B106)</f>
        <v/>
      </c>
      <c r="Q74">
        <f>IFERROR(1/IF(Inputs!$B$38="pvp",15,MAX(0.1,Skills!D4-IF(Skills!E4=TRUE,Inputs!$B$32,0))),0)</f>
        <v/>
      </c>
      <c r="R74">
        <f>IF(AND(Inputs!$B$38&lt;&gt;"pvp",Inputs!$B$43&gt;0),IF(Inputs!$B$43&lt;=0,0,(INT(Inputs!$B$43/IF(Inputs!$B$38="pvp",15,MAX(0.1,Skills!D4-IF(Skills!E4=TRUE,Inputs!$B$32,0))))+1)),0)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IF(B106=0,0,O75/B106)</f>
        <v/>
      </c>
      <c r="Q75">
        <f>IFERROR(1/IF(Inputs!$B$38="pvp",15,MAX(0.1,Skills!D5-IF(Skills!E5=TRUE,Inputs!$B$32,0))),0)</f>
        <v/>
      </c>
      <c r="R75">
        <f>IF(AND(Inputs!$B$38&lt;&gt;"pvp",Inputs!$B$43&gt;0),IF(MAX(0,Inputs!$B$43-B103)&lt;=0,0,(INT(MAX(0,Inputs!$B$43-B103)/IF(Inputs!$B$38="pvp",15,MAX(0.1,Skills!D5-IF(Skills!E5=TRUE,Inputs!$B$32,0))))+1)),0)</f>
        <v/>
      </c>
      <c r="S75">
        <f>IF(C75,(H75*N75*IF(AND(Inputs!$B$38&lt;&gt;"pvp",Inputs!$B$43&gt;0),((Skills!F5*((R75-1)*IF(Skills!G5&gt;0,Skills!H5/Skills!G5,1)+IF(Skills!G5&gt;0,MIN(Skills!H5,MAX(0,MAX(0,Inputs!$B$43-B103)-((R75-1)*IF(Inputs!$B$38="pvp",15,MAX(0.1,Skills!D5-IF(Skills!E5=TRUE,Inputs!$B$32,0))))))/Skills!G5,1)))/Inputs!$B$43),G75*Q75))*IF(Inputs!$B$38="pvp",1,1+(Inputs!$B$20+Skills!O5+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103)-((R75-1)*IF(Inputs!$B$38="pvp",15,MAX(0.1,Skills!D5-IF(Skills!E5=TRUE,Inputs!$B$32,0))))))/Skills!G5,1)))/Inputs!$B$43),G75*Q75))*IF(Inputs!$B$38="pvp",1,(1+(Inputs!$B$21+Skills!P5+B97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IF(B106=0,0,O76/B106)</f>
        <v/>
      </c>
      <c r="Q76">
        <f>IFERROR(1/IF(Inputs!$B$38="pvp",15,MAX(0.1,Skills!D6-IF(Skills!E6=TRUE,Inputs!$B$32,0))),0)</f>
        <v/>
      </c>
      <c r="R76">
        <f>IF(AND(Inputs!$B$38&lt;&gt;"pvp",Inputs!$B$43&gt;0),IF(MAX(0,Inputs!$B$43-B103)&lt;=0,0,(INT(MAX(0,Inputs!$B$43-B103)/IF(Inputs!$B$38="pvp",15,MAX(0.1,Skills!D6-IF(Skills!E6=TRUE,Inputs!$B$32,0))))+1)),0)</f>
        <v/>
      </c>
      <c r="S76">
        <f>IF(C76,(H76*N76*IF(AND(Inputs!$B$38&lt;&gt;"pvp",Inputs!$B$43&gt;0),((Skills!F6*((R76-1)*IF(Skills!G6&gt;0,Skills!H6/Skills!G6,1)+IF(Skills!G6&gt;0,MIN(Skills!H6,MAX(0,MAX(0,Inputs!$B$43-B103)-((R76-1)*IF(Inputs!$B$38="pvp",15,MAX(0.1,Skills!D6-IF(Skills!E6=TRUE,Inputs!$B$32,0))))))/Skills!G6,1)))/Inputs!$B$43),G76*Q76))*IF(Inputs!$B$38="pvp",1,1+(Inputs!$B$20+Skills!O6+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103)-((R76-1)*IF(Inputs!$B$38="pvp",15,MAX(0.1,Skills!D6-IF(Skills!E6=TRUE,Inputs!$B$32,0))))))/Skills!G6,1)))/Inputs!$B$43),G76*Q76))*IF(Inputs!$B$38="pvp",1,(1+(Inputs!$B$21+Skills!P6+B97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IF(B106=0,0,O77/B106)</f>
        <v/>
      </c>
      <c r="Q77">
        <f>IFERROR(1/IF(Inputs!$B$38="pvp",15,MAX(0.1,Skills!D7-IF(Skills!E7=TRUE,Inputs!$B$32,0))),0)</f>
        <v/>
      </c>
      <c r="R77">
        <f>IF(AND(Inputs!$B$38&lt;&gt;"pvp",Inputs!$B$43&gt;0),IF(MAX(0,Inputs!$B$43-B103)&lt;=0,0,(INT(MAX(0,Inputs!$B$43-B103)/IF(Inputs!$B$38="pvp",15,MAX(0.1,Skills!D7-IF(Skills!E7=TRUE,Inputs!$B$32,0))))+1)),0)</f>
        <v/>
      </c>
      <c r="S77">
        <f>IF(C77,(H77*N77*IF(AND(Inputs!$B$38&lt;&gt;"pvp",Inputs!$B$43&gt;0),((Skills!F7*((R77-1)*IF(Skills!G7&gt;0,Skills!H7/Skills!G7,1)+IF(Skills!G7&gt;0,MIN(Skills!H7,MAX(0,MAX(0,Inputs!$B$43-B103)-((R77-1)*IF(Inputs!$B$38="pvp",15,MAX(0.1,Skills!D7-IF(Skills!E7=TRUE,Inputs!$B$32,0))))))/Skills!G7,1)))/Inputs!$B$43),G77*Q77))*IF(Inputs!$B$38="pvp",1,1+(Inputs!$B$20+Skills!O7+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103)-((R77-1)*IF(Inputs!$B$38="pvp",15,MAX(0.1,Skills!D7-IF(Skills!E7=TRUE,Inputs!$B$32,0))))))/Skills!G7,1)))/Inputs!$B$43),G77*Q77))*IF(Inputs!$B$38="pvp",1,(1+(Inputs!$B$21+Skills!P7+B97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IF(B106=0,0,O78/B106)</f>
        <v/>
      </c>
      <c r="Q78">
        <f>IFERROR(1/IF(Inputs!$B$38="pvp",15,MAX(0.1,Skills!D8-IF(Skills!E8=TRUE,Inputs!$B$32,0))),0)</f>
        <v/>
      </c>
      <c r="R78">
        <f>IF(AND(Inputs!$B$38&lt;&gt;"pvp",Inputs!$B$43&gt;0),IF(MAX(0,Inputs!$B$43-B103)&lt;=0,0,(INT(MAX(0,Inputs!$B$43-B103)/IF(Inputs!$B$38="pvp",15,MAX(0.1,Skills!D8-IF(Skills!E8=TRUE,Inputs!$B$32,0))))+1)),0)</f>
        <v/>
      </c>
      <c r="S78">
        <f>IF(C78,(H78*N78*IF(AND(Inputs!$B$38&lt;&gt;"pvp",Inputs!$B$43&gt;0),((Skills!F8*((R78-1)*IF(Skills!G8&gt;0,Skills!H8/Skills!G8,1)+IF(Skills!G8&gt;0,MIN(Skills!H8,MAX(0,MAX(0,Inputs!$B$43-B103)-((R78-1)*IF(Inputs!$B$38="pvp",15,MAX(0.1,Skills!D8-IF(Skills!E8=TRUE,Inputs!$B$32,0))))))/Skills!G8,1)))/Inputs!$B$43),G78*Q78))*IF(Inputs!$B$38="pvp",1,1+(Inputs!$B$20+Skills!O8+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103)-((R78-1)*IF(Inputs!$B$38="pvp",15,MAX(0.1,Skills!D8-IF(Skills!E8=TRUE,Inputs!$B$32,0))))))/Skills!G8,1)))/Inputs!$B$43),G78*Q78))*IF(Inputs!$B$38="pvp",1,(1+(Inputs!$B$21+Skills!P8+B97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IF(B106=0,0,O79/B106)</f>
        <v/>
      </c>
      <c r="Q79">
        <f>IFERROR(1/IF(Inputs!$B$38="pvp",15,MAX(0.1,Skills!D9-IF(Skills!E9=TRUE,Inputs!$B$32,0))),0)</f>
        <v/>
      </c>
      <c r="R79">
        <f>IF(AND(Inputs!$B$38&lt;&gt;"pvp",Inputs!$B$43&gt;0),IF(MAX(0,Inputs!$B$43-B103)&lt;=0,0,(INT(MAX(0,Inputs!$B$43-B103)/IF(Inputs!$B$38="pvp",15,MAX(0.1,Skills!D9-IF(Skills!E9=TRUE,Inputs!$B$32,0))))+1)),0)</f>
        <v/>
      </c>
      <c r="S79">
        <f>IF(C79,(H79*N79*IF(AND(Inputs!$B$38&lt;&gt;"pvp",Inputs!$B$43&gt;0),((Skills!F9*((R79-1)*IF(Skills!G9&gt;0,Skills!H9/Skills!G9,1)+IF(Skills!G9&gt;0,MIN(Skills!H9,MAX(0,MAX(0,Inputs!$B$43-B103)-((R79-1)*IF(Inputs!$B$38="pvp",15,MAX(0.1,Skills!D9-IF(Skills!E9=TRUE,Inputs!$B$32,0))))))/Skills!G9,1)))/Inputs!$B$43),G79*Q79))*IF(Inputs!$B$38="pvp",1,1+(Inputs!$B$20+Skills!O9+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103)-((R79-1)*IF(Inputs!$B$38="pvp",15,MAX(0.1,Skills!D9-IF(Skills!E9=TRUE,Inputs!$B$32,0))))))/Skills!G9,1)))/Inputs!$B$43),G79*Q79))*IF(Inputs!$B$38="pvp",1,(1+(Inputs!$B$21+Skills!P9+B97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IF(B106=0,0,O80/B106)</f>
        <v/>
      </c>
      <c r="Q80">
        <f>IFERROR(1/IF(Inputs!$B$38="pvp",15,MAX(0.1,Skills!D10-IF(Skills!E9=TRUE,Inputs!$B$32,0))),0)</f>
        <v/>
      </c>
      <c r="R80">
        <f>IF(AND(Inputs!$B$38&lt;&gt;"pvp",Inputs!$B$43&gt;0),IF(MAX(0,Inputs!$B$43-B103)&lt;=0,0,(INT(MAX(0,Inputs!$B$43-B103)/IF(Inputs!$B$38="pvp",15,MAX(0.1,Skills!D10-IF(Skills!E9=TRUE,Inputs!$B$32,0))))+1)),0)</f>
        <v/>
      </c>
      <c r="S80">
        <f>IF(C80,(H80*N80*IF(AND(Inputs!$B$38&lt;&gt;"pvp",Inputs!$B$43&gt;0),((Skills!F10*((R80-1)*IF(Skills!G10&gt;0,Skills!H10/Skills!G10,1)+IF(Skills!G10&gt;0,MIN(Skills!H10,MAX(0,MAX(0,Inputs!$B$43-B103)-((R80-1)*IF(Inputs!$B$38="pvp",15,MAX(0.1,Skills!D10-IF(Skills!E9=TRUE,Inputs!$B$32,0))))))/Skills!G10,1)))/Inputs!$B$43),G80*Q80))*IF(Inputs!$B$38="pvp",1,1+(Inputs!$B$20+Skills!O10+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F10*((R80-1)*IF(Skills!G10&gt;0,Skills!H10/Skills!G10,1)+IF(Skills!G10&gt;0,MIN(Skills!H10,MAX(0,MAX(0,Inputs!$B$43-B103)-((R80-1)*IF(Inputs!$B$38="pvp",15,MAX(0.1,Skills!D10-IF(Skills!E9=TRUE,Inputs!$B$32,0))))))/Skills!G10,1)))/Inputs!$B$43),G80*Q80))*IF(Inputs!$B$38="pvp",1,(1+(Inputs!$B$21+Skills!P10+B97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IF(B106=0,0,O81/B106)</f>
        <v/>
      </c>
      <c r="Q81">
        <f>IFERROR(1/IF(Inputs!$B$38="pvp",15,MAX(0.1,Skills!D11-IF(Skills!E11=TRUE,Inputs!$B$32,0))),0)</f>
        <v/>
      </c>
      <c r="R81">
        <f>IF(AND(Inputs!$B$38&lt;&gt;"pvp",Inputs!$B$43&gt;0),IF(MAX(0,Inputs!$B$43-B103)&lt;=0,0,(INT(MAX(0,Inputs!$B$43-B103)/IF(Inputs!$B$38="pvp",15,MAX(0.1,Skills!D11-IF(Skills!E11=TRUE,Inputs!$B$32,0))))+1)),0)</f>
        <v/>
      </c>
      <c r="S81">
        <f>IF(C81,H81*N81*IF(AND(Inputs!$B$38&lt;&gt;"pvp",Inputs!$B$43&gt;0),((Skills!F11*((R81-1)*IF(Skills!G11&gt;0,Skills!H11/Skills!G11,1)+IF(Skills!G11&gt;0,MIN(Skills!H11,MAX(0,MAX(0,Inputs!$B$43-B103)-((R81-1)*IF(Inputs!$B$38="pvp",15,MAX(0.1,Skills!D11-IF(Skills!E11=TRUE,Inputs!$B$32,0))))))/Skills!G11,1)))/Inputs!$B$43),G81*Q81)*0.5*IF(Inputs!$B$38="pvp",1,1+(Inputs!$B$20+Skills!O11+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103)-((R81-1)*IF(Inputs!$B$38="pvp",15,MAX(0.1,Skills!D11-IF(Skills!E11=TRUE,Inputs!$B$32,0))))))/Skills!G11,1)))/Inputs!$B$43),G81*Q81)*1*IF(Inputs!$B$38="pvp",1,(1+(Inputs!$B$21+Skills!P11+B97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IF(B106=0,0,O82/B106)</f>
        <v/>
      </c>
      <c r="Q82">
        <f>IFERROR(1/IF(Inputs!$B$38="pvp",15,MAX(0.1,Skills!D12-IF(Skills!E12=TRUE,Inputs!$B$32,0))),0)</f>
        <v/>
      </c>
      <c r="R82">
        <f>IF(AND(Inputs!$B$38&lt;&gt;"pvp",Inputs!$B$43&gt;0),IF(MAX(0,Inputs!$B$43-B103)&lt;=0,0,(INT(MAX(0,Inputs!$B$43-B103)/IF(Inputs!$B$38="pvp",15,MAX(0.1,Skills!D12-IF(Skills!E12=TRUE,Inputs!$B$32,0))))+1)),0)</f>
        <v/>
      </c>
      <c r="S82">
        <f>IF(C82,(H82*N82*IF(AND(Inputs!$B$38&lt;&gt;"pvp",Inputs!$B$43&gt;0),((Skills!F12*((R82-1)*IF(Skills!G12&gt;0,Skills!H12/Skills!G12,1)+IF(Skills!G12&gt;0,MIN(Skills!H12,MAX(0,MAX(0,Inputs!$B$43-B103)-((R82-1)*IF(Inputs!$B$38="pvp",15,MAX(0.1,Skills!D12-IF(Skills!E12=TRUE,Inputs!$B$32,0))))))/Skills!G12,1)))/Inputs!$B$43),G82*Q82))*IF(Inputs!$B$38="pvp",1,1+(Inputs!$B$20+Skills!O12+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103)-((R82-1)*IF(Inputs!$B$38="pvp",15,MAX(0.1,Skills!D12-IF(Skills!E12=TRUE,Inputs!$B$32,0))))))/Skills!G12,1)))/Inputs!$B$43),G82*Q82))*IF(Inputs!$B$38="pvp",1,(1+(Inputs!$B$21+Skills!P12+B97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IF(B106=0,0,O83/B106)</f>
        <v/>
      </c>
      <c r="Q83">
        <f>IFERROR(1/IF(Inputs!$B$38="pvp",15,MAX(0.1,Skills!D13-IF(Skills!E13=TRUE,Inputs!$B$32,0))),0)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IF(B106=0,0,O84/B106)</f>
        <v/>
      </c>
      <c r="Q84">
        <f>IFERROR(1/IF(Inputs!$B$38="pvp",15,MAX(0.1,Skills!D14-IF(Skills!E14=TRUE,Inputs!$B$32,0))),0)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IF(B106=0,0,O85/B106)</f>
        <v/>
      </c>
      <c r="Q85">
        <f>IFERROR(1/IF(Inputs!$B$38="pvp",15,MAX(0.1,Skills!D15-IF(Skills!E15=TRUE,Inputs!$B$32,0))),0)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IF(B106=0,0,O86/B106)</f>
        <v/>
      </c>
      <c r="Q86">
        <f>IFERROR(1/IF(Inputs!$B$38="pvp",15,MAX(0.1,Skills!D16-IF(Skills!E16=TRUE,Inputs!$B$32,0))),0)</f>
        <v/>
      </c>
      <c r="R86">
        <f>IF(AND(Inputs!$B$38&lt;&gt;"pvp",Inputs!$B$43&gt;0),IF(Inputs!$B$43&lt;=0,0,(INT(Inputs!$B$43/IF(Inputs!$B$38="pvp",15,MAX(0.1,Skills!D16-IF(Skills!E16=TRUE,Inputs!$B$32,0))))+1)),0)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IF(B106=0,0,O87/B106)</f>
        <v/>
      </c>
      <c r="Q87">
        <f>IFERROR(1/IF(Inputs!$B$38="pvp",15,MAX(0.1,Skills!D17-IF(Skills!E17=TRUE,Inputs!$B$32,0))),0)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IF(B106=0,0,O88/B106)</f>
        <v/>
      </c>
      <c r="Q88">
        <f>IFERROR(1/IF(Inputs!$B$38="pvp",15,MAX(0.1,Skills!D18-IF(Skills!E18=TRUE,Inputs!$B$32,0))),0)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IF(B106=0,0,O89/B106)</f>
        <v/>
      </c>
      <c r="Q89">
        <f>IFERROR(1/IF(Inputs!$B$38="pvp",15,MAX(0.1,Skills!D19-IF(Skills!E19=TRUE,Inputs!$B$32,0))),0)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IF(B106=0,0,O90/B106)</f>
        <v/>
      </c>
      <c r="Q90">
        <f>IFERROR(1/IF(Inputs!$B$38="pvp",15,MAX(0.1,Skills!D20-IF(Skills!E20=TRUE,Inputs!$B$32,0))),0)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IF(B106=0,0,O91/B106)</f>
        <v/>
      </c>
      <c r="Q91">
        <f>IFERROR(1/IF(Inputs!$B$38="pvp",15,MAX(0.1,Skills!D21-IF(Skills!E21=TRUE,Inputs!$B$32,0))),0)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IF(B106=0,0,O92/B106)</f>
        <v/>
      </c>
      <c r="Q92">
        <f>IFERROR(1/IF(Inputs!$B$38="pvp",15,MAX(0.1,Skills!D22-IF(Skills!E22=TRUE,Inputs!$B$32,0))),0)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IF(B106=0,0,O93/B106)</f>
        <v/>
      </c>
      <c r="Q93">
        <f>IFERROR(1/IF(Inputs!$B$38="pvp",15,MAX(0.1,Skills!D23-IF(Skills!E23=TRUE,Inputs!$B$32,0))),0)</f>
        <v/>
      </c>
      <c r="R93" t="n">
        <v>0</v>
      </c>
      <c r="S93" t="n">
        <v>0</v>
      </c>
      <c r="U93" t="n">
        <v>0</v>
      </c>
    </row>
    <row r="96">
      <c r="A96" t="inlineStr">
        <is>
          <t>Average Buff Multiplier (Magic Guard + Meditation + Artifact Attack%, summed; then Infinity)</t>
        </is>
      </c>
      <c r="B96">
        <f>(1+(IF(C73=TRUE,F73*IF(AND(Inputs!$B$38&lt;&gt;"pvp",Inputs!$B$43&gt;0),(((R73-1)*(Skills!S3*(1+(Inputs!$B$34+IF(Inputs!$B$3&gt;=117,F92,0))/100))+MIN((Skills!S3*(1+(Inputs!$B$34+IF(Inputs!$B$3&gt;=117,F92,0))/100)),MAX(0,Inputs!$B$43-((R73-1)*Skills!D3))))/Inputs!$B$43),IF(Inputs!$B$38="pvp",MIN((Skills!S3*(1+(Inputs!$B$34+IF(Inputs!$B$3&gt;=117,F92,0))/100)),15)/15,(Skills!S3*(1+(Inputs!$B$34+IF(Inputs!$B$3&gt;=117,F92,0))/100))/Skills!D3)),0)+IF(C74=TRUE,F74*IF(AND(Inputs!$B$38&lt;&gt;"pvp",Inputs!$B$43&gt;0),(((R74-1)*(Skills!S4*(1+(Inputs!$B$34+IF(Inputs!$B$3&gt;=117,F92,0))/100))+MIN((Skills!S4*(1+(Inputs!$B$34+IF(Inputs!$B$3&gt;=117,F92,0))/100)),MAX(0,Inputs!$B$43-((R74-1)*Skills!D4))))/Inputs!$B$43),IF(Inputs!$B$38="pvp",MIN((Skills!S4*(1+(Inputs!$B$34+IF(Inputs!$B$3&gt;=117,F92,0))/100)),15)/15,(Skills!S4*(1+(Inputs!$B$34+IF(Inputs!$B$3&gt;=117,F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Skills!S16*(1+(Inputs!$B$34+IF(Inputs!$B$3&gt;=117,F92,0))/100))+MIN((Skills!S16*(1+(Inputs!$B$34+IF(Inputs!$B$3&gt;=117,F92,0))/100)),MAX(0,Inputs!$B$43-((R86-1)*Skills!D16))))/Inputs!$B$43),IF(Inputs!$B$38="pvp",MIN((Skills!S16*(1+(Inputs!$B$34+IF(Inputs!$B$3&gt;=117,F92,0))/100)),15)/15,(Skills!S16*(1+(Inputs!$B$34+IF(Inputs!$B$3&gt;=117,F92,0))/100))/Skills!D16))/100),1)</f>
        <v/>
      </c>
    </row>
    <row r="97">
      <c r="A97" t="inlineStr">
        <is>
          <t>Monster Damage Taken Bonus % (Freezing Breath - Weaken + Elemental Reset + Artifact Enemy Damage Taken, summed)</t>
        </is>
      </c>
      <c r="B97">
        <f>IF(Inputs!$B$3&gt;=118,15*IF(Inputs!$B$38="pvp",MIN((30*(1+(Inputs!$B$34+IF(Inputs!$B$3&gt;=117,F92,0))/100)),15)/15,(30*(1+(Inputs!$B$34+IF(Inputs!$B$3&gt;=117,F92,0))/100))/Skills!D8),0)+IF(C84=TRUE,F84,0)+(IF(AND(ArtifactsInput!$M$35,Inputs!$B$4&lt;&gt;"Chapter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f>
        <v/>
      </c>
    </row>
    <row r="98">
      <c r="A98" t="inlineStr">
        <is>
          <t>Damage % Bonus (Frozen Break + Frost Clutch, flat)</t>
        </is>
      </c>
      <c r="B98">
        <f>IF(Inputs!$B$3&gt;=66,15,0)+IF(Inputs!$B$3&gt;=98,10,0)+IF(Inputs!$B$3&gt;=125,20,0)</f>
        <v/>
      </c>
    </row>
    <row r="99">
      <c r="A99" t="inlineStr">
        <is>
          <t>Attack Speed Bonus % (MP Eater - MP Boost, always-on once unlocked)</t>
        </is>
      </c>
      <c r="B99">
        <f>IF(C83=TRUE,F83+(F87-Calc!F17),0)</f>
        <v/>
      </c>
    </row>
    <row r="100">
      <c r="A100" t="inlineStr">
        <is>
          <t>Actions Per Second</t>
        </is>
      </c>
      <c r="B100">
        <f>1+MIN(150,150*(1-(1-(Inputs!$B$11+(ArtifactsInput!$M$15-ArtifactsInput!$M$15)*CHOOSE(ArtifactsInput!$N$15+1,8,9.6,11.2,12.8,14.4,16))/150)*(1-B99/150)))/100</f>
        <v/>
      </c>
    </row>
    <row r="101">
      <c r="A101" t="inlineStr">
        <is>
          <t>Skill + Buff Cast Rate</t>
        </is>
      </c>
      <c r="B101">
        <f>IF(AND(Inputs!$B$38&lt;&gt;"pvp",Inputs!$B$43&gt;0),SUMPRODUCT((Skills!E2:E23=TRUE)*(C72:C93=TRUE)*R72:R93)/Inputs!$B$43,SUMPRODUCT((Skills!E2:E23=TRUE)*(C72:C93=TRUE)*Q72:Q93))</f>
        <v/>
      </c>
    </row>
    <row r="102">
      <c r="A102" t="inlineStr">
        <is>
          <t>Chain Lightning Casts Per Second</t>
        </is>
      </c>
      <c r="B102">
        <f>MAX(0,B100-B101)</f>
        <v/>
      </c>
    </row>
    <row r="103">
      <c r="A103" t="inlineStr">
        <is>
          <t>Buff-Casting Startup Delay (s, fixed-duration only)</t>
        </is>
      </c>
      <c r="B103">
        <f>IF(AND(Inputs!$B$38&lt;&gt;"pvp",Inputs!$B$43&gt;0),SUMPRODUCT((Skills!S2:S23&gt;0)*(Skills!E2:E23=TRUE)*(C72:C93=TRUE))/B100,0)</f>
        <v/>
      </c>
    </row>
    <row r="104">
      <c r="A104" t="inlineStr">
        <is>
          <t>Boss-Only Total DPS (this block's swept value)</t>
        </is>
      </c>
      <c r="B104">
        <f>SUM(S72:S93)</f>
        <v/>
      </c>
    </row>
    <row r="105">
      <c r="A105" t="inlineStr">
        <is>
          <t>Normal-Only Total DPS (this block's swept value)</t>
        </is>
      </c>
      <c r="B105">
        <f>SUM(U72:U93)</f>
        <v/>
      </c>
    </row>
    <row r="106">
      <c r="A106" s="6" t="inlineStr">
        <is>
          <t>TOTAL DPS</t>
        </is>
      </c>
      <c r="B106" s="6">
        <f>SUM(O72:O93)</f>
        <v/>
      </c>
    </row>
    <row r="109">
      <c r="A109" s="6" t="inlineStr">
        <is>
          <t>Stat: INT %</t>
        </is>
      </c>
    </row>
    <row r="110">
      <c r="A110" s="5" t="inlineStr">
        <is>
          <t>Key</t>
        </is>
      </c>
      <c r="B110" s="5" t="inlineStr">
        <is>
          <t>Name</t>
        </is>
      </c>
      <c r="C110" s="5" t="inlineStr">
        <is>
          <t>Unlocked</t>
        </is>
      </c>
      <c r="D110" s="5" t="inlineStr">
        <is>
          <t>InputLevel</t>
        </is>
      </c>
      <c r="E110" s="5" t="inlineStr">
        <is>
          <t>Factor</t>
        </is>
      </c>
      <c r="F110" s="5" t="inlineStr">
        <is>
          <t>CoefficientPercent</t>
        </is>
      </c>
      <c r="G110" s="5" t="inlineStr">
        <is>
          <t>EffectiveHits</t>
        </is>
      </c>
      <c r="H110" s="5" t="inlineStr">
        <is>
          <t>ProcProbability</t>
        </is>
      </c>
      <c r="I110" s="5" t="inlineStr">
        <is>
          <t>MapleHeroMultiplier</t>
        </is>
      </c>
      <c r="J110" s="5" t="inlineStr">
        <is>
          <t>BaseDamage</t>
        </is>
      </c>
      <c r="K110" s="5" t="inlineStr">
        <is>
          <t>BaseHitDamage</t>
        </is>
      </c>
      <c r="L110" s="5" t="inlineStr">
        <is>
          <t>NonCritAvg</t>
        </is>
      </c>
      <c r="M110" s="5" t="inlineStr">
        <is>
          <t>CritAvg</t>
        </is>
      </c>
      <c r="N110" s="5" t="inlineStr">
        <is>
          <t>ExpectedDamage(perHit)</t>
        </is>
      </c>
      <c r="O110" s="5" t="inlineStr">
        <is>
          <t>DPS</t>
        </is>
      </c>
      <c r="P110" s="5" t="inlineStr">
        <is>
          <t>% of Total</t>
        </is>
      </c>
      <c r="R110" t="inlineStr">
        <is>
          <t>helpers</t>
        </is>
      </c>
    </row>
    <row r="111">
      <c r="A111">
        <f>Skills!A2</f>
        <v/>
      </c>
      <c r="B111">
        <f>Skills!B2</f>
        <v/>
      </c>
      <c r="C111">
        <f>Inputs!$B$3&gt;=100</f>
        <v/>
      </c>
      <c r="D111" t="inlineStr"/>
      <c r="E111" t="inlineStr"/>
      <c r="F111">
        <f>T113+Skills!N2</f>
        <v/>
      </c>
      <c r="G111">
        <f>Calc!G2</f>
        <v/>
      </c>
      <c r="H111">
        <f>Calc!H2</f>
        <v/>
      </c>
      <c r="I111">
        <f>IF(Skills!T2&lt;&gt;"",1+(Skills!T2/10)*(Z112/1000)/100,1)</f>
        <v/>
      </c>
      <c r="J111">
        <f>((Inputs!$B$6*(1+Inputs!$B$7/100))+(((Inputs!$B$12*(1+(Inputs!$B$13+1)/100))-(Inputs!$B$12*(1+Inputs!$B$13/100)))+0.25*(Inputs!$B$14-Inputs!$B$14))*(1+Inputs!$B$7/100))*(F111/100)</f>
        <v/>
      </c>
      <c r="K111">
        <f>J111*(1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f>
        <v/>
      </c>
      <c r="L111">
        <f>K111*(MIN(Inputs!$B$22+(F127-Calc!F18),(Inputs!$B$23+(IF(ArtifactsInput!$M$15,CHOOSE(ArtifactsInput!$N$15+1,25,30,35,40,45,50)/100*(Inputs!$B$11-Inputs!$B$11),0))))/100+(Inputs!$B$23+(IF(ArtifactsInput!$M$15,CHOOSE(ArtifactsInput!$N$15+1,25,30,35,40,45,50)/100*(Inputs!$B$11-Inputs!$B$11),0)))/100)/2</f>
        <v/>
      </c>
      <c r="M111">
        <f>L111*(1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
        <f>L111*(1-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
        <f>(1-Summary!$B$11)*S111+Summary!$B$11*U111</f>
        <v/>
      </c>
      <c r="P111">
        <f>IF(B145=0,0,O111/B145)</f>
        <v/>
      </c>
      <c r="Q111">
        <f>IFERROR(1/IF(Inputs!$B$38="pvp",15,MAX(0.1,Skills!D2-IF(Skills!E2=TRUE,Inputs!$B$32,0))),0)</f>
        <v/>
      </c>
      <c r="R111" t="n">
        <v>0</v>
      </c>
      <c r="S111">
        <f>IF(C111,(Skills!F2*N111*B141)*IF(Inputs!$B$38="pvp",1,1+(Inputs!$B$20+Skills!O2+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1">
        <f>MAX(0,(Inputs!$B$3-100)*3)+Inputs!$B$28+Inputs!$B$29</f>
        <v/>
      </c>
      <c r="U111">
        <f>IF(C111,(Skills!F2*N111*B141)*IF(Inputs!$B$38="pvp",1,(1+(Inputs!$B$21+Skills!P2+B136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1">
        <f>MAX(0,(Inputs!$B$3-100)*3)+Inputs!$B$28+Inputs!$B$29</f>
        <v/>
      </c>
    </row>
    <row r="112">
      <c r="A112">
        <f>Skills!A3</f>
        <v/>
      </c>
      <c r="B112">
        <f>Skills!B3</f>
        <v/>
      </c>
      <c r="C112">
        <f>Inputs!$B$3&gt;=15</f>
        <v/>
      </c>
      <c r="D112">
        <f>IF(Skills!C3=1,60+Inputs!$B$25+Inputs!$B$29,IF(Skills!C3=2,90+Inputs!$B$26+Inputs!$B$29,IF(Skills!C3=3,120+Inputs!$B$27+Inputs!$B$29,MAX(0,(Inputs!$B$3-100)*3)+Inputs!$B$28+Inputs!$B$29)))</f>
        <v/>
      </c>
      <c r="E112">
        <f>INDEX(FactorTable!$B$2:$Y$301, MATCH(ROUND(MIN(300,MAX(1,D112)),0), FactorTable!$A$2:$A$301,0), Skills!L3+1)</f>
        <v/>
      </c>
      <c r="F112">
        <f>IF(Skills!M3=TRUE,(Skills!K3/10)*(E112/1000),Skills!K3/10)+Skills!N3</f>
        <v/>
      </c>
      <c r="G112">
        <f>Calc!G3</f>
        <v/>
      </c>
      <c r="H112">
        <f>Calc!H3</f>
        <v/>
      </c>
      <c r="I112">
        <f>IF(Skills!T3&lt;&gt;"",1+(Skills!T3/10)*(Z112/1000)/100,1)</f>
        <v/>
      </c>
      <c r="J112" t="inlineStr"/>
      <c r="K112" t="inlineStr"/>
      <c r="L112" t="inlineStr"/>
      <c r="M112" t="inlineStr"/>
      <c r="N112" t="inlineStr"/>
      <c r="O112">
        <f>(1-Summary!$B$11)*S112+Summary!$B$11*U112</f>
        <v/>
      </c>
      <c r="P112">
        <f>IF(B145=0,0,O112/B145)</f>
        <v/>
      </c>
      <c r="Q112">
        <f>IFERROR(1/IF(Inputs!$B$38="pvp",15,MAX(0.1,Skills!D3-IF(Skills!E3=TRUE,Inputs!$B$32,0))),0)</f>
        <v/>
      </c>
      <c r="R112">
        <f>IF(AND(Inputs!$B$38&lt;&gt;"pvp",Inputs!$B$43&gt;0),IF(Inputs!$B$43&lt;=0,0,(INT(Inputs!$B$43/IF(Inputs!$B$38="pvp",15,MAX(0.1,Skills!D3-IF(Skills!E3=TRUE,Inputs!$B$32,0))))+1)),0)</f>
        <v/>
      </c>
      <c r="S112" t="n">
        <v>0</v>
      </c>
      <c r="T112">
        <f>INDEX(FactorTable!$B$2:$Y$301, MATCH(ROUND(MIN(300,MAX(1,T111)),0), FactorTable!$A$2:$A$301,0), 22)</f>
        <v/>
      </c>
      <c r="U112" t="n">
        <v>0</v>
      </c>
      <c r="Z112">
        <f>INDEX(FactorTable!$B$2:$Y$301, MATCH(ROUND(MIN(300,MAX(1,Z111)),0), FactorTable!$A$2:$A$301,0), 24)</f>
        <v/>
      </c>
    </row>
    <row r="113">
      <c r="A113">
        <f>Skills!A4</f>
        <v/>
      </c>
      <c r="B113">
        <f>Skills!B4</f>
        <v/>
      </c>
      <c r="C113">
        <f>Inputs!$B$3&gt;=40</f>
        <v/>
      </c>
      <c r="D113">
        <f>IF(Skills!C4=1,60+Inputs!$B$25+Inputs!$B$29,IF(Skills!C4=2,90+Inputs!$B$26+Inputs!$B$29,IF(Skills!C4=3,120+Inputs!$B$27+Inputs!$B$29,MAX(0,(Inputs!$B$3-100)*3)+Inputs!$B$28+Inputs!$B$29)))</f>
        <v/>
      </c>
      <c r="E113">
        <f>INDEX(FactorTable!$B$2:$Y$301, MATCH(ROUND(MIN(300,MAX(1,D113)),0), FactorTable!$A$2:$A$301,0), Skills!L4+1)</f>
        <v/>
      </c>
      <c r="F113">
        <f>IF(Skills!M4=TRUE,(Skills!K4/10)*(E113/1000),Skills!K4/10)+Skills!N4</f>
        <v/>
      </c>
      <c r="G113">
        <f>Calc!G4</f>
        <v/>
      </c>
      <c r="H113">
        <f>Calc!H4</f>
        <v/>
      </c>
      <c r="I113">
        <f>IF(Skills!T4&lt;&gt;"",1+(Skills!T4/10)*(Z112/1000)/100,1)</f>
        <v/>
      </c>
      <c r="J113" t="inlineStr"/>
      <c r="K113" t="inlineStr"/>
      <c r="L113" t="inlineStr"/>
      <c r="M113" t="inlineStr"/>
      <c r="N113" t="inlineStr"/>
      <c r="O113">
        <f>(1-Summary!$B$11)*S113+Summary!$B$11*U113</f>
        <v/>
      </c>
      <c r="P113">
        <f>IF(B145=0,0,O113/B145)</f>
        <v/>
      </c>
      <c r="Q113">
        <f>IFERROR(1/IF(Inputs!$B$38="pvp",15,MAX(0.1,Skills!D4-IF(Skills!E4=TRUE,Inputs!$B$32,0))),0)</f>
        <v/>
      </c>
      <c r="R113">
        <f>IF(AND(Inputs!$B$38&lt;&gt;"pvp",Inputs!$B$43&gt;0),IF(Inputs!$B$43&lt;=0,0,(INT(Inputs!$B$43/IF(Inputs!$B$38="pvp",15,MAX(0.1,Skills!D4-IF(Skills!E4=TRUE,Inputs!$B$32,0))))+1)),0)</f>
        <v/>
      </c>
      <c r="S113" t="n">
        <v>0</v>
      </c>
      <c r="T113">
        <f>290*T112/1000</f>
        <v/>
      </c>
      <c r="U113" t="n">
        <v>0</v>
      </c>
    </row>
    <row r="114">
      <c r="A114">
        <f>Skills!A5</f>
        <v/>
      </c>
      <c r="B114">
        <f>Skills!B5</f>
        <v/>
      </c>
      <c r="C114">
        <f>Inputs!$B$3&gt;=38</f>
        <v/>
      </c>
      <c r="D114">
        <f>IF(Skills!C5=1,60+Inputs!$B$25+Inputs!$B$29,IF(Skills!C5=2,90+Inputs!$B$26+Inputs!$B$29,IF(Skills!C5=3,120+Inputs!$B$27+Inputs!$B$29,MAX(0,(Inputs!$B$3-100)*3)+Inputs!$B$28+Inputs!$B$29)))</f>
        <v/>
      </c>
      <c r="E114">
        <f>INDEX(FactorTable!$B$2:$Y$301, MATCH(ROUND(MIN(300,MAX(1,D114)),0), FactorTable!$A$2:$A$301,0), Skills!L5+1)</f>
        <v/>
      </c>
      <c r="F114">
        <f>IF(Skills!M5=TRUE,(Skills!K5/10)*(E114/1000),Skills!K5/10)+Skills!N5</f>
        <v/>
      </c>
      <c r="G114">
        <f>Calc!G5</f>
        <v/>
      </c>
      <c r="H114">
        <f>Calc!H5</f>
        <v/>
      </c>
      <c r="I114">
        <f>IF(Skills!T5&lt;&gt;"",1+(Skills!T5/10)*(Z112/1000)/100,1)</f>
        <v/>
      </c>
      <c r="J114">
        <f>((Inputs!$B$6*(1+Inputs!$B$7/100))+(((Inputs!$B$12*(1+(Inputs!$B$13+1)/100))-(Inputs!$B$12*(1+Inputs!$B$13/100)))+0.25*(Inputs!$B$14-Inputs!$B$14))*(1+Inputs!$B$7/100))*(F114/100)</f>
        <v/>
      </c>
      <c r="K114">
        <f>J114*(1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f>
        <v/>
      </c>
      <c r="L114">
        <f>K114*(MIN(Inputs!$B$22+(F127-Calc!F18),(Inputs!$B$23+(IF(ArtifactsInput!$M$15,CHOOSE(ArtifactsInput!$N$15+1,25,30,35,40,45,50)/100*(Inputs!$B$11-Inputs!$B$11),0))))/100+(Inputs!$B$23+(IF(ArtifactsInput!$M$15,CHOOSE(ArtifactsInput!$N$15+1,25,30,35,40,45,50)/100*(Inputs!$B$11-Inputs!$B$11),0)))/100)/2</f>
        <v/>
      </c>
      <c r="M114">
        <f>L114*(1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
        <f>L114*(1-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
        <f>(1-Summary!$B$11)*S114+Summary!$B$11*U114</f>
        <v/>
      </c>
      <c r="P114">
        <f>IF(B145=0,0,O114/B145)</f>
        <v/>
      </c>
      <c r="Q114">
        <f>IFERROR(1/IF(Inputs!$B$38="pvp",15,MAX(0.1,Skills!D5-IF(Skills!E5=TRUE,Inputs!$B$32,0))),0)</f>
        <v/>
      </c>
      <c r="R114">
        <f>IF(AND(Inputs!$B$38&lt;&gt;"pvp",Inputs!$B$43&gt;0),IF(MAX(0,Inputs!$B$43-B142)&lt;=0,0,(INT(MAX(0,Inputs!$B$43-B142)/IF(Inputs!$B$38="pvp",15,MAX(0.1,Skills!D5-IF(Skills!E5=TRUE,Inputs!$B$32,0))))+1)),0)</f>
        <v/>
      </c>
      <c r="S114">
        <f>IF(C114,(H114*N114*IF(AND(Inputs!$B$38&lt;&gt;"pvp",Inputs!$B$43&gt;0),((Skills!F5*((R114-1)*IF(Skills!G5&gt;0,Skills!H5/Skills!G5,1)+IF(Skills!G5&gt;0,MIN(Skills!H5,MAX(0,MAX(0,Inputs!$B$43-B142)-((R114-1)*IF(Inputs!$B$38="pvp",15,MAX(0.1,Skills!D5-IF(Skills!E5=TRUE,Inputs!$B$32,0))))))/Skills!G5,1)))/Inputs!$B$43),G114*Q114))*IF(Inputs!$B$38="pvp",1,1+(Inputs!$B$20+Skills!O5+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
        <f>IF(C114,(H114*N114*IF(AND(Inputs!$B$38&lt;&gt;"pvp",Inputs!$B$43&gt;0),((Skills!F5*((R114-1)*IF(Skills!G5&gt;0,Skills!H5/Skills!G5,1)+IF(Skills!G5&gt;0,MIN(Skills!H5,MAX(0,MAX(0,Inputs!$B$43-B142)-((R114-1)*IF(Inputs!$B$38="pvp",15,MAX(0.1,Skills!D5-IF(Skills!E5=TRUE,Inputs!$B$32,0))))))/Skills!G5,1)))/Inputs!$B$43),G114*Q114))*IF(Inputs!$B$38="pvp",1,(1+(Inputs!$B$21+Skills!P5+B136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
      <c r="A115">
        <f>Skills!A6</f>
        <v/>
      </c>
      <c r="B115">
        <f>Skills!B6</f>
        <v/>
      </c>
      <c r="C115">
        <f>Inputs!$B$3&gt;=63</f>
        <v/>
      </c>
      <c r="D115">
        <f>IF(Skills!C6=1,60+Inputs!$B$25+Inputs!$B$29,IF(Skills!C6=2,90+Inputs!$B$26+Inputs!$B$29,IF(Skills!C6=3,120+Inputs!$B$27+Inputs!$B$29,MAX(0,(Inputs!$B$3-100)*3)+Inputs!$B$28+Inputs!$B$29)))</f>
        <v/>
      </c>
      <c r="E115">
        <f>INDEX(FactorTable!$B$2:$Y$301, MATCH(ROUND(MIN(300,MAX(1,D115)),0), FactorTable!$A$2:$A$301,0), Skills!L6+1)</f>
        <v/>
      </c>
      <c r="F115">
        <f>IF(Skills!M6=TRUE,(Skills!K6/10)*(E115/1000),Skills!K6/10)+Skills!N6</f>
        <v/>
      </c>
      <c r="G115">
        <f>Calc!G6</f>
        <v/>
      </c>
      <c r="H115">
        <f>Calc!H6</f>
        <v/>
      </c>
      <c r="I115">
        <f>IF(Skills!T6&lt;&gt;"",1+(Skills!T6/10)*(Z112/1000)/100,1)</f>
        <v/>
      </c>
      <c r="J115">
        <f>((Inputs!$B$6*(1+Inputs!$B$7/100))+(((Inputs!$B$12*(1+(Inputs!$B$13+1)/100))-(Inputs!$B$12*(1+Inputs!$B$13/100)))+0.25*(Inputs!$B$14-Inputs!$B$14))*(1+Inputs!$B$7/100))*(F115/100)</f>
        <v/>
      </c>
      <c r="K115">
        <f>J115*(1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F127-Calc!F18),(Inputs!$B$23+(IF(ArtifactsInput!$M$15,CHOOSE(ArtifactsInput!$N$15+1,25,30,35,40,45,50)/100*(Inputs!$B$11-Inputs!$B$11),0))))/100+(Inputs!$B$23+(IF(ArtifactsInput!$M$15,CHOOSE(ArtifactsInput!$N$15+1,25,30,35,40,45,50)/100*(Inputs!$B$11-Inputs!$B$11),0)))/100)/2</f>
        <v/>
      </c>
      <c r="M115">
        <f>L115*(1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(1-Summary!$B$11)*S115+Summary!$B$11*U115</f>
        <v/>
      </c>
      <c r="P115">
        <f>IF(B145=0,0,O115/B145)</f>
        <v/>
      </c>
      <c r="Q115">
        <f>IFERROR(1/IF(Inputs!$B$38="pvp",15,MAX(0.1,Skills!D6-IF(Skills!E6=TRUE,Inputs!$B$32,0))),0)</f>
        <v/>
      </c>
      <c r="R115">
        <f>IF(AND(Inputs!$B$38&lt;&gt;"pvp",Inputs!$B$43&gt;0),IF(MAX(0,Inputs!$B$43-B142)&lt;=0,0,(INT(MAX(0,Inputs!$B$43-B142)/IF(Inputs!$B$38="pvp",15,MAX(0.1,Skills!D6-IF(Skills!E6=TRUE,Inputs!$B$32,0))))+1)),0)</f>
        <v/>
      </c>
      <c r="S115">
        <f>IF(C115,(H115*N115*IF(AND(Inputs!$B$38&lt;&gt;"pvp",Inputs!$B$43&gt;0),((Skills!F6*((R115-1)*IF(Skills!G6&gt;0,Skills!H6/Skills!G6,1)+IF(Skills!G6&gt;0,MIN(Skills!H6,MAX(0,MAX(0,Inputs!$B$43-B142)-((R115-1)*IF(Inputs!$B$38="pvp",15,MAX(0.1,Skills!D6-IF(Skills!E6=TRUE,Inputs!$B$32,0))))))/Skills!G6,1)))/Inputs!$B$43),G115*Q115))*IF(Inputs!$B$38="pvp",1,1+(Inputs!$B$20+Skills!O6+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IF(C115,(H115*N115*IF(AND(Inputs!$B$38&lt;&gt;"pvp",Inputs!$B$43&gt;0),((Skills!F6*((R115-1)*IF(Skills!G6&gt;0,Skills!H6/Skills!G6,1)+IF(Skills!G6&gt;0,MIN(Skills!H6,MAX(0,MAX(0,Inputs!$B$43-B142)-((R115-1)*IF(Inputs!$B$38="pvp",15,MAX(0.1,Skills!D6-IF(Skills!E6=TRUE,Inputs!$B$32,0))))))/Skills!G6,1)))/Inputs!$B$43),G115*Q115))*IF(Inputs!$B$38="pvp",1,(1+(Inputs!$B$21+Skills!P6+B136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Skills!A7</f>
        <v/>
      </c>
      <c r="B116">
        <f>Skills!B7</f>
        <v/>
      </c>
      <c r="C116">
        <f>Inputs!$B$3&gt;=69</f>
        <v/>
      </c>
      <c r="D116">
        <f>IF(Skills!C7=1,60+Inputs!$B$25+Inputs!$B$29,IF(Skills!C7=2,90+Inputs!$B$26+Inputs!$B$29,IF(Skills!C7=3,120+Inputs!$B$27+Inputs!$B$29,MAX(0,(Inputs!$B$3-100)*3)+Inputs!$B$28+Inputs!$B$29)))</f>
        <v/>
      </c>
      <c r="E116">
        <f>INDEX(FactorTable!$B$2:$Y$301, MATCH(ROUND(MIN(300,MAX(1,D116)),0), FactorTable!$A$2:$A$301,0), Skills!L7+1)</f>
        <v/>
      </c>
      <c r="F116">
        <f>IF(Skills!M7=TRUE,(Skills!K7/10)*(E116/1000),Skills!K7/10)+Skills!N7</f>
        <v/>
      </c>
      <c r="G116">
        <f>Calc!G7</f>
        <v/>
      </c>
      <c r="H116">
        <f>Calc!H7</f>
        <v/>
      </c>
      <c r="I116">
        <f>IF(Skills!T7&lt;&gt;"",1+(Skills!T7/10)*(Z112/1000)/100,1)</f>
        <v/>
      </c>
      <c r="J116">
        <f>((Inputs!$B$6*(1+Inputs!$B$7/100))+(((Inputs!$B$12*(1+(Inputs!$B$13+1)/100))-(Inputs!$B$12*(1+Inputs!$B$13/100)))+0.25*(Inputs!$B$14-Inputs!$B$14))*(1+Inputs!$B$7/100))*(F116/100)</f>
        <v/>
      </c>
      <c r="K116">
        <f>J116*(1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127-Calc!F18),(Inputs!$B$23+(IF(ArtifactsInput!$M$15,CHOOSE(ArtifactsInput!$N$15+1,25,30,35,40,45,50)/100*(Inputs!$B$11-Inputs!$B$11),0))))/100+(Inputs!$B$23+(IF(ArtifactsInput!$M$15,CHOOSE(ArtifactsInput!$N$15+1,25,30,35,40,45,50)/100*(Inputs!$B$11-Inputs!$B$11),0)))/100)/2</f>
        <v/>
      </c>
      <c r="M116">
        <f>L116*(1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IF(B145=0,0,O116/B145)</f>
        <v/>
      </c>
      <c r="Q116">
        <f>IFERROR(1/IF(Inputs!$B$38="pvp",15,MAX(0.1,Skills!D7-IF(Skills!E7=TRUE,Inputs!$B$32,0))),0)</f>
        <v/>
      </c>
      <c r="R116">
        <f>IF(AND(Inputs!$B$38&lt;&gt;"pvp",Inputs!$B$43&gt;0),IF(MAX(0,Inputs!$B$43-B142)&lt;=0,0,(INT(MAX(0,Inputs!$B$43-B142)/IF(Inputs!$B$38="pvp",15,MAX(0.1,Skills!D7-IF(Skills!E7=TRUE,Inputs!$B$32,0))))+1)),0)</f>
        <v/>
      </c>
      <c r="S116">
        <f>IF(C116,(H116*N116*IF(AND(Inputs!$B$38&lt;&gt;"pvp",Inputs!$B$43&gt;0),((Skills!F7*((R116-1)*IF(Skills!G7&gt;0,Skills!H7/Skills!G7,1)+IF(Skills!G7&gt;0,MIN(Skills!H7,MAX(0,MAX(0,Inputs!$B$43-B142)-((R116-1)*IF(Inputs!$B$38="pvp",15,MAX(0.1,Skills!D7-IF(Skills!E7=TRUE,Inputs!$B$32,0))))))/Skills!G7,1)))/Inputs!$B$43),G116*Q116))*IF(Inputs!$B$38="pvp",1,1+(Inputs!$B$20+Skills!O7+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7*((R116-1)*IF(Skills!G7&gt;0,Skills!H7/Skills!G7,1)+IF(Skills!G7&gt;0,MIN(Skills!H7,MAX(0,MAX(0,Inputs!$B$43-B142)-((R116-1)*IF(Inputs!$B$38="pvp",15,MAX(0.1,Skills!D7-IF(Skills!E7=TRUE,Inputs!$B$32,0))))))/Skills!G7,1)))/Inputs!$B$43),G116*Q116))*IF(Inputs!$B$38="pvp",1,(1+(Inputs!$B$21+Skills!P7+B136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Skills!A8</f>
        <v/>
      </c>
      <c r="B117">
        <f>Skills!B8</f>
        <v/>
      </c>
      <c r="C117">
        <f>Inputs!$B$3&gt;=103</f>
        <v/>
      </c>
      <c r="D117">
        <f>IF(Skills!C8=1,60+Inputs!$B$25+Inputs!$B$29,IF(Skills!C8=2,90+Inputs!$B$26+Inputs!$B$29,IF(Skills!C8=3,120+Inputs!$B$27+Inputs!$B$29,MAX(0,(Inputs!$B$3-100)*3)+Inputs!$B$28+Inputs!$B$29)))</f>
        <v/>
      </c>
      <c r="E117">
        <f>INDEX(FactorTable!$B$2:$Y$301, MATCH(ROUND(MIN(300,MAX(1,D117)),0), FactorTable!$A$2:$A$301,0), Skills!L8+1)</f>
        <v/>
      </c>
      <c r="F117">
        <f>IF(Skills!M8=TRUE,(Skills!K8/10)*(E117/1000),Skills!K8/10)+Skills!N8</f>
        <v/>
      </c>
      <c r="G117">
        <f>Calc!G8</f>
        <v/>
      </c>
      <c r="H117">
        <f>Calc!H8</f>
        <v/>
      </c>
      <c r="I117">
        <f>IF(Skills!T8&lt;&gt;"",1+(Skills!T8/10)*(Z112/1000)/100,1)</f>
        <v/>
      </c>
      <c r="J117">
        <f>((Inputs!$B$6*(1+Inputs!$B$7/100))+(((Inputs!$B$12*(1+(Inputs!$B$13+1)/100))-(Inputs!$B$12*(1+Inputs!$B$13/100)))+0.25*(Inputs!$B$14-Inputs!$B$14))*(1+Inputs!$B$7/100))*(F117/100)</f>
        <v/>
      </c>
      <c r="K117">
        <f>J117*(1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127-Calc!F18),(Inputs!$B$23+(IF(ArtifactsInput!$M$15,CHOOSE(ArtifactsInput!$N$15+1,25,30,35,40,45,50)/100*(Inputs!$B$11-Inputs!$B$11),0))))/100+(Inputs!$B$23+(IF(ArtifactsInput!$M$15,CHOOSE(ArtifactsInput!$N$15+1,25,30,35,40,45,50)/100*(Inputs!$B$11-Inputs!$B$11),0)))/100)/2</f>
        <v/>
      </c>
      <c r="M117">
        <f>L117*(1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IF(B145=0,0,O117/B145)</f>
        <v/>
      </c>
      <c r="Q117">
        <f>IFERROR(1/IF(Inputs!$B$38="pvp",15,MAX(0.1,Skills!D8-IF(Skills!E8=TRUE,Inputs!$B$32,0))),0)</f>
        <v/>
      </c>
      <c r="R117">
        <f>IF(AND(Inputs!$B$38&lt;&gt;"pvp",Inputs!$B$43&gt;0),IF(MAX(0,Inputs!$B$43-B142)&lt;=0,0,(INT(MAX(0,Inputs!$B$43-B142)/IF(Inputs!$B$38="pvp",15,MAX(0.1,Skills!D8-IF(Skills!E8=TRUE,Inputs!$B$32,0))))+1)),0)</f>
        <v/>
      </c>
      <c r="S117">
        <f>IF(C117,(H117*N117*IF(AND(Inputs!$B$38&lt;&gt;"pvp",Inputs!$B$43&gt;0),((Skills!F8*((R117-1)*IF(Skills!G8&gt;0,Skills!H8/Skills!G8,1)+IF(Skills!G8&gt;0,MIN(Skills!H8,MAX(0,MAX(0,Inputs!$B$43-B142)-((R117-1)*IF(Inputs!$B$38="pvp",15,MAX(0.1,Skills!D8-IF(Skills!E8=TRUE,Inputs!$B$32,0))))))/Skills!G8,1)))/Inputs!$B$43),G117*Q117))*IF(Inputs!$B$38="pvp",1,1+(Inputs!$B$20+Skills!O8+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8*((R117-1)*IF(Skills!G8&gt;0,Skills!H8/Skills!G8,1)+IF(Skills!G8&gt;0,MIN(Skills!H8,MAX(0,MAX(0,Inputs!$B$43-B142)-((R117-1)*IF(Inputs!$B$38="pvp",15,MAX(0.1,Skills!D8-IF(Skills!E8=TRUE,Inputs!$B$32,0))))))/Skills!G8,1)))/Inputs!$B$43),G117*Q117))*IF(Inputs!$B$38="pvp",1,(1+(Inputs!$B$21+Skills!P8+B136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Skills!A9</f>
        <v/>
      </c>
      <c r="B118">
        <f>Skills!B9</f>
        <v/>
      </c>
      <c r="C118">
        <f>Inputs!$B$3&gt;=105</f>
        <v/>
      </c>
      <c r="D118">
        <f>IF(Skills!C9=1,60+Inputs!$B$25+Inputs!$B$29,IF(Skills!C9=2,90+Inputs!$B$26+Inputs!$B$29,IF(Skills!C9=3,120+Inputs!$B$27+Inputs!$B$29,MAX(0,(Inputs!$B$3-100)*3)+Inputs!$B$28+Inputs!$B$29)))</f>
        <v/>
      </c>
      <c r="E118">
        <f>INDEX(FactorTable!$B$2:$Y$301, MATCH(ROUND(MIN(300,MAX(1,D118)),0), FactorTable!$A$2:$A$301,0), Skills!L9+1)</f>
        <v/>
      </c>
      <c r="F118">
        <f>IF(Skills!M9=TRUE,(Skills!K9/10)*(E118/1000),Skills!K9/10)+Skills!N9</f>
        <v/>
      </c>
      <c r="G118">
        <f>Calc!G9</f>
        <v/>
      </c>
      <c r="H118">
        <f>Calc!H9</f>
        <v/>
      </c>
      <c r="I118">
        <f>IF(Skills!T9&lt;&gt;"",1+(Skills!T9/10)*(Z112/1000)/100,1)</f>
        <v/>
      </c>
      <c r="J118">
        <f>((Inputs!$B$6*(1+Inputs!$B$7/100))+(((Inputs!$B$12*(1+(Inputs!$B$13+1)/100))-(Inputs!$B$12*(1+Inputs!$B$13/100)))+0.25*(Inputs!$B$14-Inputs!$B$14))*(1+Inputs!$B$7/100))*(F118/100)</f>
        <v/>
      </c>
      <c r="K118">
        <f>J118*(1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127-Calc!F18),(Inputs!$B$23+(IF(ArtifactsInput!$M$15,CHOOSE(ArtifactsInput!$N$15+1,25,30,35,40,45,50)/100*(Inputs!$B$11-Inputs!$B$11),0))))/100+(Inputs!$B$23+(IF(ArtifactsInput!$M$15,CHOOSE(ArtifactsInput!$N$15+1,25,30,35,40,45,50)/100*(Inputs!$B$11-Inputs!$B$11),0)))/100)/2</f>
        <v/>
      </c>
      <c r="M118">
        <f>L118*(1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IF(B145=0,0,O118/B145)</f>
        <v/>
      </c>
      <c r="Q118">
        <f>IFERROR(1/IF(Inputs!$B$38="pvp",15,MAX(0.1,Skills!D9-IF(Skills!E9=TRUE,Inputs!$B$32,0))),0)</f>
        <v/>
      </c>
      <c r="R118">
        <f>IF(AND(Inputs!$B$38&lt;&gt;"pvp",Inputs!$B$43&gt;0),IF(MAX(0,Inputs!$B$43-B142)&lt;=0,0,(INT(MAX(0,Inputs!$B$43-B142)/IF(Inputs!$B$38="pvp",15,MAX(0.1,Skills!D9-IF(Skills!E9=TRUE,Inputs!$B$32,0))))+1)),0)</f>
        <v/>
      </c>
      <c r="S118">
        <f>IF(C118,(H118*N118*IF(AND(Inputs!$B$38&lt;&gt;"pvp",Inputs!$B$43&gt;0),((Skills!F9*((R118-1)*IF(Skills!G9&gt;0,Skills!H9/Skills!G9,1)+IF(Skills!G9&gt;0,MIN(Skills!H9,MAX(0,MAX(0,Inputs!$B$43-B142)-((R118-1)*IF(Inputs!$B$38="pvp",15,MAX(0.1,Skills!D9-IF(Skills!E9=TRUE,Inputs!$B$32,0))))))/Skills!G9,1)))/Inputs!$B$43),G118*Q118))*IF(Inputs!$B$38="pvp",1,1+(Inputs!$B$20+Skills!O9+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9*((R118-1)*IF(Skills!G9&gt;0,Skills!H9/Skills!G9,1)+IF(Skills!G9&gt;0,MIN(Skills!H9,MAX(0,MAX(0,Inputs!$B$43-B142)-((R118-1)*IF(Inputs!$B$38="pvp",15,MAX(0.1,Skills!D9-IF(Skills!E9=TRUE,Inputs!$B$32,0))))))/Skills!G9,1)))/Inputs!$B$43),G118*Q118))*IF(Inputs!$B$38="pvp",1,(1+(Inputs!$B$21+Skills!P9+B136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Skills!A10</f>
        <v/>
      </c>
      <c r="B119">
        <f>Skills!B10</f>
        <v/>
      </c>
      <c r="C119">
        <f>Inputs!$B$3&gt;=113</f>
        <v/>
      </c>
      <c r="D119">
        <f>IF(Skills!C10=1,60+Inputs!$B$25+Inputs!$B$29,IF(Skills!C10=2,90+Inputs!$B$26+Inputs!$B$29,IF(Skills!C10=3,120+Inputs!$B$27+Inputs!$B$29,MAX(0,(Inputs!$B$3-100)*3)+Inputs!$B$28+Inputs!$B$29)))</f>
        <v/>
      </c>
      <c r="E119">
        <f>INDEX(FactorTable!$B$2:$Y$301, MATCH(ROUND(MIN(300,MAX(1,D119)),0), FactorTable!$A$2:$A$301,0), Skills!L10+1)</f>
        <v/>
      </c>
      <c r="F119">
        <f>IF(Skills!M10=TRUE,(Skills!K10/10)*(E119/1000),Skills!K10/10)+Skills!N10</f>
        <v/>
      </c>
      <c r="G119">
        <f>Calc!G10</f>
        <v/>
      </c>
      <c r="H119">
        <f>Calc!H10</f>
        <v/>
      </c>
      <c r="I119">
        <f>IF(Skills!T10&lt;&gt;"",1+(Skills!T10/10)*(Z112/1000)/100,1)</f>
        <v/>
      </c>
      <c r="J119">
        <f>((Inputs!$B$6*(1+Inputs!$B$7/100))+(((Inputs!$B$12*(1+(Inputs!$B$13+1)/100))-(Inputs!$B$12*(1+Inputs!$B$13/100)))+0.25*(Inputs!$B$14-Inputs!$B$14))*(1+Inputs!$B$7/100))*(F119/100)</f>
        <v/>
      </c>
      <c r="K119">
        <f>J119*(1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127-Calc!F18),(Inputs!$B$23+(IF(ArtifactsInput!$M$15,CHOOSE(ArtifactsInput!$N$15+1,25,30,35,40,45,50)/100*(Inputs!$B$11-Inputs!$B$11),0))))/100+(Inputs!$B$23+(IF(ArtifactsInput!$M$15,CHOOSE(ArtifactsInput!$N$15+1,25,30,35,40,45,50)/100*(Inputs!$B$11-Inputs!$B$11),0)))/100)/2</f>
        <v/>
      </c>
      <c r="M119">
        <f>L119*(1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IF(B145=0,0,O119/B145)</f>
        <v/>
      </c>
      <c r="Q119">
        <f>IFERROR(1/IF(Inputs!$B$38="pvp",15,MAX(0.1,Skills!D10-IF(Skills!E9=TRUE,Inputs!$B$32,0))),0)</f>
        <v/>
      </c>
      <c r="R119">
        <f>IF(AND(Inputs!$B$38&lt;&gt;"pvp",Inputs!$B$43&gt;0),IF(MAX(0,Inputs!$B$43-B142)&lt;=0,0,(INT(MAX(0,Inputs!$B$43-B142)/IF(Inputs!$B$38="pvp",15,MAX(0.1,Skills!D10-IF(Skills!E9=TRUE,Inputs!$B$32,0))))+1)),0)</f>
        <v/>
      </c>
      <c r="S119">
        <f>IF(C119,(H119*N119*IF(AND(Inputs!$B$38&lt;&gt;"pvp",Inputs!$B$43&gt;0),((Skills!F10*((R119-1)*IF(Skills!G10&gt;0,Skills!H10/Skills!G10,1)+IF(Skills!G10&gt;0,MIN(Skills!H10,MAX(0,MAX(0,Inputs!$B$43-B142)-((R119-1)*IF(Inputs!$B$38="pvp",15,MAX(0.1,Skills!D10-IF(Skills!E9=TRUE,Inputs!$B$32,0))))))/Skills!G10,1)))/Inputs!$B$43),G119*Q119))*IF(Inputs!$B$38="pvp",1,1+(Inputs!$B$20+Skills!O10+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10*((R119-1)*IF(Skills!G10&gt;0,Skills!H10/Skills!G10,1)+IF(Skills!G10&gt;0,MIN(Skills!H10,MAX(0,MAX(0,Inputs!$B$43-B142)-((R119-1)*IF(Inputs!$B$38="pvp",15,MAX(0.1,Skills!D10-IF(Skills!E9=TRUE,Inputs!$B$32,0))))))/Skills!G10,1)))/Inputs!$B$43),G119*Q119))*IF(Inputs!$B$38="pvp",1,(1+(Inputs!$B$21+Skills!P10+B136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Skills!A11</f>
        <v/>
      </c>
      <c r="B120">
        <f>Skills!B11</f>
        <v/>
      </c>
      <c r="C120">
        <f>Inputs!$B$3&gt;=107</f>
        <v/>
      </c>
      <c r="D120">
        <f>IF(Skills!C11=1,60+Inputs!$B$25+Inputs!$B$29,IF(Skills!C11=2,90+Inputs!$B$26+Inputs!$B$29,IF(Skills!C11=3,120+Inputs!$B$27+Inputs!$B$29,MAX(0,(Inputs!$B$3-100)*3)+Inputs!$B$28+Inputs!$B$29)))</f>
        <v/>
      </c>
      <c r="E120">
        <f>INDEX(FactorTable!$B$2:$Y$301, MATCH(ROUND(MIN(300,MAX(1,D120)),0), FactorTable!$A$2:$A$301,0), Skills!L11+1)</f>
        <v/>
      </c>
      <c r="F120">
        <f>IF(Skills!M11=TRUE,(Skills!K11/10)*(E120/1000),Skills!K11/10)+Skills!N11</f>
        <v/>
      </c>
      <c r="G120">
        <f>Calc!G11</f>
        <v/>
      </c>
      <c r="H120">
        <f>Calc!H11</f>
        <v/>
      </c>
      <c r="I120">
        <f>IF(Skills!T11&lt;&gt;"",1+(Skills!T11/10)*(Z112/1000)/100,1)</f>
        <v/>
      </c>
      <c r="J120">
        <f>((Inputs!$B$6*(1+Inputs!$B$7/100))+(((Inputs!$B$12*(1+(Inputs!$B$13+1)/100))-(Inputs!$B$12*(1+Inputs!$B$13/100)))+0.25*(Inputs!$B$14-Inputs!$B$14))*(1+Inputs!$B$7/100))*(F120/100)</f>
        <v/>
      </c>
      <c r="K120">
        <f>J120*(1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127-Calc!F18),(Inputs!$B$23+(IF(ArtifactsInput!$M$15,CHOOSE(ArtifactsInput!$N$15+1,25,30,35,40,45,50)/100*(Inputs!$B$11-Inputs!$B$11),0))))/100+(Inputs!$B$23+(IF(ArtifactsInput!$M$15,CHOOSE(ArtifactsInput!$N$15+1,25,30,35,40,45,50)/100*(Inputs!$B$11-Inputs!$B$11),0)))/100)/2</f>
        <v/>
      </c>
      <c r="M120">
        <f>L120*(1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IF(B145=0,0,O120/B145)</f>
        <v/>
      </c>
      <c r="Q120">
        <f>IFERROR(1/IF(Inputs!$B$38="pvp",15,MAX(0.1,Skills!D11-IF(Skills!E11=TRUE,Inputs!$B$32,0))),0)</f>
        <v/>
      </c>
      <c r="R120">
        <f>IF(AND(Inputs!$B$38&lt;&gt;"pvp",Inputs!$B$43&gt;0),IF(MAX(0,Inputs!$B$43-B142)&lt;=0,0,(INT(MAX(0,Inputs!$B$43-B142)/IF(Inputs!$B$38="pvp",15,MAX(0.1,Skills!D11-IF(Skills!E11=TRUE,Inputs!$B$32,0))))+1)),0)</f>
        <v/>
      </c>
      <c r="S120">
        <f>IF(C120,H120*N120*IF(AND(Inputs!$B$38&lt;&gt;"pvp",Inputs!$B$43&gt;0),((Skills!F11*((R120-1)*IF(Skills!G11&gt;0,Skills!H11/Skills!G11,1)+IF(Skills!G11&gt;0,MIN(Skills!H11,MAX(0,MAX(0,Inputs!$B$43-B142)-((R120-1)*IF(Inputs!$B$38="pvp",15,MAX(0.1,Skills!D11-IF(Skills!E11=TRUE,Inputs!$B$32,0))))))/Skills!G11,1)))/Inputs!$B$43),G120*Q120)*0.5*IF(Inputs!$B$38="pvp",1,1+(Inputs!$B$20+Skills!O11+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11*((R120-1)*IF(Skills!G11&gt;0,Skills!H11/Skills!G11,1)+IF(Skills!G11&gt;0,MIN(Skills!H11,MAX(0,MAX(0,Inputs!$B$43-B142)-((R120-1)*IF(Inputs!$B$38="pvp",15,MAX(0.1,Skills!D11-IF(Skills!E11=TRUE,Inputs!$B$32,0))))))/Skills!G11,1)))/Inputs!$B$43),G120*Q120)*1*IF(Inputs!$B$38="pvp",1,(1+(Inputs!$B$21+Skills!P11+B136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Skills!A12</f>
        <v/>
      </c>
      <c r="B121">
        <f>Skills!B12</f>
        <v/>
      </c>
      <c r="C121">
        <f>Inputs!$B$3&gt;=115</f>
        <v/>
      </c>
      <c r="D121">
        <f>IF(Skills!C12=1,60+Inputs!$B$25+Inputs!$B$29,IF(Skills!C12=2,90+Inputs!$B$26+Inputs!$B$29,IF(Skills!C12=3,120+Inputs!$B$27+Inputs!$B$29,MAX(0,(Inputs!$B$3-100)*3)+Inputs!$B$28+Inputs!$B$29)))</f>
        <v/>
      </c>
      <c r="E121">
        <f>INDEX(FactorTable!$B$2:$Y$301, MATCH(ROUND(MIN(300,MAX(1,D121)),0), FactorTable!$A$2:$A$301,0), Skills!L12+1)</f>
        <v/>
      </c>
      <c r="F121">
        <f>IF(Skills!M12=TRUE,(Skills!K12/10)*(E121/1000),Skills!K12/10)+Skills!N12</f>
        <v/>
      </c>
      <c r="G121">
        <f>Calc!G12</f>
        <v/>
      </c>
      <c r="H121">
        <f>Calc!H12</f>
        <v/>
      </c>
      <c r="I121">
        <f>IF(Skills!T12&lt;&gt;"",1+(Skills!T12/10)*(Z112/1000)/100,1)</f>
        <v/>
      </c>
      <c r="J121">
        <f>((Inputs!$B$6*(1+Inputs!$B$7/100))+(((Inputs!$B$12*(1+(Inputs!$B$13+1)/100))-(Inputs!$B$12*(1+Inputs!$B$13/100)))+0.25*(Inputs!$B$14-Inputs!$B$14))*(1+Inputs!$B$7/100))*(F121/100)</f>
        <v/>
      </c>
      <c r="K121">
        <f>J121*(1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127-Calc!F18),(Inputs!$B$23+(IF(ArtifactsInput!$M$15,CHOOSE(ArtifactsInput!$N$15+1,25,30,35,40,45,50)/100*(Inputs!$B$11-Inputs!$B$11),0))))/100+(Inputs!$B$23+(IF(ArtifactsInput!$M$15,CHOOSE(ArtifactsInput!$N$15+1,25,30,35,40,45,50)/100*(Inputs!$B$11-Inputs!$B$11),0)))/100)/2</f>
        <v/>
      </c>
      <c r="M121">
        <f>L121*(1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IF(B145=0,0,O121/B145)</f>
        <v/>
      </c>
      <c r="Q121">
        <f>IFERROR(1/IF(Inputs!$B$38="pvp",15,MAX(0.1,Skills!D12-IF(Skills!E12=TRUE,Inputs!$B$32,0))),0)</f>
        <v/>
      </c>
      <c r="R121">
        <f>IF(AND(Inputs!$B$38&lt;&gt;"pvp",Inputs!$B$43&gt;0),IF(MAX(0,Inputs!$B$43-B142)&lt;=0,0,(INT(MAX(0,Inputs!$B$43-B142)/IF(Inputs!$B$38="pvp",15,MAX(0.1,Skills!D12-IF(Skills!E12=TRUE,Inputs!$B$32,0))))+1)),0)</f>
        <v/>
      </c>
      <c r="S121">
        <f>IF(C121,(H121*N121*IF(AND(Inputs!$B$38&lt;&gt;"pvp",Inputs!$B$43&gt;0),((Skills!F12*((R121-1)*IF(Skills!G12&gt;0,Skills!H12/Skills!G12,1)+IF(Skills!G12&gt;0,MIN(Skills!H12,MAX(0,MAX(0,Inputs!$B$43-B142)-((R121-1)*IF(Inputs!$B$38="pvp",15,MAX(0.1,Skills!D12-IF(Skills!E12=TRUE,Inputs!$B$32,0))))))/Skills!G12,1)))/Inputs!$B$43),G121*Q121))*IF(Inputs!$B$38="pvp",1,1+(Inputs!$B$20+Skills!O12+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F12*((R121-1)*IF(Skills!G12&gt;0,Skills!H12/Skills!G12,1)+IF(Skills!G12&gt;0,MIN(Skills!H12,MAX(0,MAX(0,Inputs!$B$43-B142)-((R121-1)*IF(Inputs!$B$38="pvp",15,MAX(0.1,Skills!D12-IF(Skills!E12=TRUE,Inputs!$B$32,0))))))/Skills!G12,1)))/Inputs!$B$43),G121*Q121))*IF(Inputs!$B$38="pvp",1,(1+(Inputs!$B$21+Skills!P12+B136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Skills!A13</f>
        <v/>
      </c>
      <c r="B122">
        <f>Skills!B13</f>
        <v/>
      </c>
      <c r="C122">
        <f>Inputs!$B$3&gt;=49</f>
        <v/>
      </c>
      <c r="D122">
        <f>IF(Skills!C13=1,60+Inputs!$B$25+Inputs!$B$29,IF(Skills!C13=2,90+Inputs!$B$26+Inputs!$B$29,IF(Skills!C13=3,120+Inputs!$B$27+Inputs!$B$29,MAX(0,(Inputs!$B$3-100)*3)+Inputs!$B$28+Inputs!$B$29)))</f>
        <v/>
      </c>
      <c r="E122">
        <f>INDEX(FactorTable!$B$2:$Y$301, MATCH(ROUND(MIN(300,MAX(1,D122)),0), FactorTable!$A$2:$A$301,0), Skills!L13+1)</f>
        <v/>
      </c>
      <c r="F122">
        <f>IF(Skills!M13=TRUE,(Skills!K13/10)*(E122/1000),Skills!K13/10)+Skills!N13</f>
        <v/>
      </c>
      <c r="G122">
        <f>Calc!G13</f>
        <v/>
      </c>
      <c r="H122">
        <f>Calc!H13</f>
        <v/>
      </c>
      <c r="I122">
        <f>IF(Skills!T13&lt;&gt;"",1+(Skills!T13/10)*(Z112/1000)/100,1)</f>
        <v/>
      </c>
      <c r="J122" t="inlineStr"/>
      <c r="K122" t="inlineStr"/>
      <c r="L122" t="inlineStr"/>
      <c r="M122" t="inlineStr"/>
      <c r="N122" t="inlineStr"/>
      <c r="O122">
        <f>(1-Summary!$B$11)*S122+Summary!$B$11*U122</f>
        <v/>
      </c>
      <c r="P122">
        <f>IF(B145=0,0,O122/B145)</f>
        <v/>
      </c>
      <c r="Q122">
        <f>IFERROR(1/IF(Inputs!$B$38="pvp",15,MAX(0.1,Skills!D13-IF(Skills!E13=TRUE,Inputs!$B$32,0))),0)</f>
        <v/>
      </c>
      <c r="R122" t="n">
        <v>0</v>
      </c>
      <c r="S122" t="n">
        <v>0</v>
      </c>
      <c r="U122" t="n">
        <v>0</v>
      </c>
    </row>
    <row r="123">
      <c r="A123">
        <f>Skills!A14</f>
        <v/>
      </c>
      <c r="B123">
        <f>Skills!B14</f>
        <v/>
      </c>
      <c r="C123">
        <f>Inputs!$B$3&gt;=72</f>
        <v/>
      </c>
      <c r="D123">
        <f>IF(Skills!C14=1,60+Inputs!$B$25+Inputs!$B$29,IF(Skills!C14=2,90+Inputs!$B$26+Inputs!$B$29,IF(Skills!C14=3,120+Inputs!$B$27+Inputs!$B$29,MAX(0,(Inputs!$B$3-100)*3)+Inputs!$B$28+Inputs!$B$29)))</f>
        <v/>
      </c>
      <c r="E123">
        <f>INDEX(FactorTable!$B$2:$Y$301, MATCH(ROUND(MIN(300,MAX(1,D123)),0), FactorTable!$A$2:$A$301,0), Skills!L14+1)</f>
        <v/>
      </c>
      <c r="F123">
        <f>IF(Skills!M14=TRUE,(Skills!K14/10)*(E123/1000),Skills!K14/10)+Skills!N14</f>
        <v/>
      </c>
      <c r="G123">
        <f>Calc!G14</f>
        <v/>
      </c>
      <c r="H123">
        <f>Calc!H14</f>
        <v/>
      </c>
      <c r="I123">
        <f>IF(Skills!T14&lt;&gt;"",1+(Skills!T14/10)*(Z112/1000)/100,1)</f>
        <v/>
      </c>
      <c r="J123" t="inlineStr"/>
      <c r="K123" t="inlineStr"/>
      <c r="L123" t="inlineStr"/>
      <c r="M123" t="inlineStr"/>
      <c r="N123" t="inlineStr"/>
      <c r="O123">
        <f>(1-Summary!$B$11)*S123+Summary!$B$11*U123</f>
        <v/>
      </c>
      <c r="P123">
        <f>IF(B145=0,0,O123/B145)</f>
        <v/>
      </c>
      <c r="Q123">
        <f>IFERROR(1/IF(Inputs!$B$38="pvp",15,MAX(0.1,Skills!D14-IF(Skills!E14=TRUE,Inputs!$B$32,0))),0)</f>
        <v/>
      </c>
      <c r="R123" t="n">
        <v>0</v>
      </c>
      <c r="S123" t="n">
        <v>0</v>
      </c>
      <c r="U123" t="n">
        <v>0</v>
      </c>
    </row>
    <row r="124">
      <c r="A124">
        <f>Skills!A15</f>
        <v/>
      </c>
      <c r="B124">
        <f>Skills!B15</f>
        <v/>
      </c>
      <c r="C124">
        <f>Inputs!$B$3&gt;=75</f>
        <v/>
      </c>
      <c r="D124">
        <f>IF(Skills!C15=1,60+Inputs!$B$25+Inputs!$B$29,IF(Skills!C15=2,90+Inputs!$B$26+Inputs!$B$29,IF(Skills!C15=3,120+Inputs!$B$27+Inputs!$B$29,MAX(0,(Inputs!$B$3-100)*3)+Inputs!$B$28+Inputs!$B$29)))</f>
        <v/>
      </c>
      <c r="E124">
        <f>INDEX(FactorTable!$B$2:$Y$301, MATCH(ROUND(MIN(300,MAX(1,D124)),0), FactorTable!$A$2:$A$301,0), Skills!L15+1)</f>
        <v/>
      </c>
      <c r="F124">
        <f>IF(Skills!M15=TRUE,(Skills!K15/10)*(E124/1000),Skills!K15/10)+Skills!N15</f>
        <v/>
      </c>
      <c r="G124">
        <f>Calc!G15</f>
        <v/>
      </c>
      <c r="H124">
        <f>Calc!H15</f>
        <v/>
      </c>
      <c r="I124">
        <f>IF(Skills!T15&lt;&gt;"",1+(Skills!T15/10)*(Z112/1000)/100,1)</f>
        <v/>
      </c>
      <c r="J124" t="inlineStr"/>
      <c r="K124" t="inlineStr"/>
      <c r="L124" t="inlineStr"/>
      <c r="M124" t="inlineStr"/>
      <c r="N124" t="inlineStr"/>
      <c r="O124">
        <f>(1-Summary!$B$11)*S124+Summary!$B$11*U124</f>
        <v/>
      </c>
      <c r="P124">
        <f>IF(B145=0,0,O124/B145)</f>
        <v/>
      </c>
      <c r="Q124">
        <f>IFERROR(1/IF(Inputs!$B$38="pvp",15,MAX(0.1,Skills!D15-IF(Skills!E15=TRUE,Inputs!$B$32,0))),0)</f>
        <v/>
      </c>
      <c r="R124" t="n">
        <v>0</v>
      </c>
      <c r="S124" t="n">
        <v>0</v>
      </c>
      <c r="U124" t="n">
        <v>0</v>
      </c>
    </row>
    <row r="125">
      <c r="A125">
        <f>Skills!A16</f>
        <v/>
      </c>
      <c r="B125">
        <f>Skills!B16</f>
        <v/>
      </c>
      <c r="C125">
        <f>Inputs!$B$3&gt;=110</f>
        <v/>
      </c>
      <c r="D125">
        <f>IF(Skills!C16=1,60+Inputs!$B$25+Inputs!$B$29,IF(Skills!C16=2,90+Inputs!$B$26+Inputs!$B$29,IF(Skills!C16=3,120+Inputs!$B$27+Inputs!$B$29,MAX(0,(Inputs!$B$3-100)*3)+Inputs!$B$28+Inputs!$B$29)))</f>
        <v/>
      </c>
      <c r="E125">
        <f>INDEX(FactorTable!$B$2:$Y$301, MATCH(ROUND(MIN(300,MAX(1,D125)),0), FactorTable!$A$2:$A$301,0), Skills!L16+1)</f>
        <v/>
      </c>
      <c r="F125">
        <f>(Skills!K16/10)*(E125/1000)*64/45+Skills!N16</f>
        <v/>
      </c>
      <c r="G125">
        <f>Calc!G16</f>
        <v/>
      </c>
      <c r="H125">
        <f>Calc!H16</f>
        <v/>
      </c>
      <c r="I125">
        <f>IF(Skills!T16&lt;&gt;"",1+(Skills!T16/10)*(Z112/1000)/100,1)</f>
        <v/>
      </c>
      <c r="J125" t="inlineStr"/>
      <c r="K125" t="inlineStr"/>
      <c r="L125" t="inlineStr"/>
      <c r="M125" t="inlineStr"/>
      <c r="N125" t="inlineStr"/>
      <c r="O125">
        <f>(1-Summary!$B$11)*S125+Summary!$B$11*U125</f>
        <v/>
      </c>
      <c r="P125">
        <f>IF(B145=0,0,O125/B145)</f>
        <v/>
      </c>
      <c r="Q125">
        <f>IFERROR(1/IF(Inputs!$B$38="pvp",15,MAX(0.1,Skills!D16-IF(Skills!E16=TRUE,Inputs!$B$32,0))),0)</f>
        <v/>
      </c>
      <c r="R125">
        <f>IF(AND(Inputs!$B$38&lt;&gt;"pvp",Inputs!$B$43&gt;0),IF(Inputs!$B$43&lt;=0,0,(INT(Inputs!$B$43/IF(Inputs!$B$38="pvp",15,MAX(0.1,Skills!D16-IF(Skills!E16=TRUE,Inputs!$B$32,0))))+1)),0)</f>
        <v/>
      </c>
      <c r="S125" t="n">
        <v>0</v>
      </c>
      <c r="U125" t="n">
        <v>0</v>
      </c>
    </row>
    <row r="126">
      <c r="A126">
        <f>Skills!A17</f>
        <v/>
      </c>
      <c r="B126">
        <f>Skills!B17</f>
        <v/>
      </c>
      <c r="C126">
        <f>Inputs!$B$3&gt;=33</f>
        <v/>
      </c>
      <c r="D126">
        <f>IF(Skills!C17=1,60+Inputs!$B$25+Inputs!$B$29,IF(Skills!C17=2,90+Inputs!$B$26+Inputs!$B$29,IF(Skills!C17=3,120+Inputs!$B$27+Inputs!$B$29,MAX(0,(Inputs!$B$3-100)*3)+Inputs!$B$28+Inputs!$B$29)))</f>
        <v/>
      </c>
      <c r="E126">
        <f>INDEX(FactorTable!$B$2:$Y$301, MATCH(ROUND(MIN(300,MAX(1,D126)),0), FactorTable!$A$2:$A$301,0), Skills!L17+1)</f>
        <v/>
      </c>
      <c r="F126">
        <f>IF(Skills!M17=TRUE,(Skills!K17/10)*(E126/1000),Skills!K17/10)+Skills!N17</f>
        <v/>
      </c>
      <c r="G126">
        <f>Calc!G17</f>
        <v/>
      </c>
      <c r="H126">
        <f>Calc!H17</f>
        <v/>
      </c>
      <c r="I126">
        <f>IF(Skills!T17&lt;&gt;"",1+(Skills!T17/10)*(Z112/1000)/100,1)</f>
        <v/>
      </c>
      <c r="J126" t="inlineStr"/>
      <c r="K126" t="inlineStr"/>
      <c r="L126" t="inlineStr"/>
      <c r="M126" t="inlineStr"/>
      <c r="N126" t="inlineStr"/>
      <c r="O126">
        <f>(1-Summary!$B$11)*S126+Summary!$B$11*U126</f>
        <v/>
      </c>
      <c r="P126">
        <f>IF(B145=0,0,O126/B145)</f>
        <v/>
      </c>
      <c r="Q126">
        <f>IFERROR(1/IF(Inputs!$B$38="pvp",15,MAX(0.1,Skills!D17-IF(Skills!E17=TRUE,Inputs!$B$32,0))),0)</f>
        <v/>
      </c>
      <c r="R126" t="n">
        <v>0</v>
      </c>
      <c r="S126" t="n">
        <v>0</v>
      </c>
      <c r="U126" t="n">
        <v>0</v>
      </c>
    </row>
    <row r="127">
      <c r="A127">
        <f>Skills!A18</f>
        <v/>
      </c>
      <c r="B127">
        <f>Skills!B18</f>
        <v/>
      </c>
      <c r="C127">
        <f>Inputs!$B$3&gt;=43</f>
        <v/>
      </c>
      <c r="D127">
        <f>IF(Skills!C18=1,60+Inputs!$B$25+Inputs!$B$29,IF(Skills!C18=2,90+Inputs!$B$26+Inputs!$B$29,IF(Skills!C18=3,120+Inputs!$B$27+Inputs!$B$29,MAX(0,(Inputs!$B$3-100)*3)+Inputs!$B$28+Inputs!$B$29)))</f>
        <v/>
      </c>
      <c r="E127">
        <f>INDEX(FactorTable!$B$2:$Y$301, MATCH(ROUND(MIN(300,MAX(1,D127)),0), FactorTable!$A$2:$A$301,0), Skills!L18+1)</f>
        <v/>
      </c>
      <c r="F127">
        <f>IF(Skills!M18=TRUE,(Skills!K18/10)*(E127/1000),Skills!K18/10)+Skills!N18</f>
        <v/>
      </c>
      <c r="G127">
        <f>Calc!G18</f>
        <v/>
      </c>
      <c r="H127">
        <f>Calc!H18</f>
        <v/>
      </c>
      <c r="I127">
        <f>IF(Skills!T18&lt;&gt;"",1+(Skills!T18/10)*(Z112/1000)/100,1)</f>
        <v/>
      </c>
      <c r="J127" t="inlineStr"/>
      <c r="K127" t="inlineStr"/>
      <c r="L127" t="inlineStr"/>
      <c r="M127" t="inlineStr"/>
      <c r="N127" t="inlineStr"/>
      <c r="O127">
        <f>(1-Summary!$B$11)*S127+Summary!$B$11*U127</f>
        <v/>
      </c>
      <c r="P127">
        <f>IF(B145=0,0,O127/B145)</f>
        <v/>
      </c>
      <c r="Q127">
        <f>IFERROR(1/IF(Inputs!$B$38="pvp",15,MAX(0.1,Skills!D18-IF(Skills!E18=TRUE,Inputs!$B$32,0))),0)</f>
        <v/>
      </c>
      <c r="R127" t="n">
        <v>0</v>
      </c>
      <c r="S127" t="n">
        <v>0</v>
      </c>
      <c r="U127" t="n">
        <v>0</v>
      </c>
    </row>
    <row r="128">
      <c r="A128">
        <f>Skills!A19</f>
        <v/>
      </c>
      <c r="B128">
        <f>Skills!B19</f>
        <v/>
      </c>
      <c r="C128">
        <f>Inputs!$B$3&gt;=50</f>
        <v/>
      </c>
      <c r="D128">
        <f>IF(Skills!C19=1,60+Inputs!$B$25+Inputs!$B$29,IF(Skills!C19=2,90+Inputs!$B$26+Inputs!$B$29,IF(Skills!C19=3,120+Inputs!$B$27+Inputs!$B$29,MAX(0,(Inputs!$B$3-100)*3)+Inputs!$B$28+Inputs!$B$29)))</f>
        <v/>
      </c>
      <c r="E128">
        <f>INDEX(FactorTable!$B$2:$Y$301, MATCH(ROUND(MIN(300,MAX(1,D128)),0), FactorTable!$A$2:$A$301,0), Skills!L19+1)</f>
        <v/>
      </c>
      <c r="F128">
        <f>IF(Skills!M19=TRUE,(Skills!K19/10)*(E128/1000),Skills!K19/10)+Skills!N19</f>
        <v/>
      </c>
      <c r="G128">
        <f>Calc!G19</f>
        <v/>
      </c>
      <c r="H128">
        <f>Calc!H19</f>
        <v/>
      </c>
      <c r="I128">
        <f>IF(Skills!T19&lt;&gt;"",1+(Skills!T19/10)*(Z112/1000)/100,1)</f>
        <v/>
      </c>
      <c r="J128" t="inlineStr"/>
      <c r="K128" t="inlineStr"/>
      <c r="L128" t="inlineStr"/>
      <c r="M128" t="inlineStr"/>
      <c r="N128" t="inlineStr"/>
      <c r="O128">
        <f>(1-Summary!$B$11)*S128+Summary!$B$11*U128</f>
        <v/>
      </c>
      <c r="P128">
        <f>IF(B145=0,0,O128/B145)</f>
        <v/>
      </c>
      <c r="Q128">
        <f>IFERROR(1/IF(Inputs!$B$38="pvp",15,MAX(0.1,Skills!D19-IF(Skills!E19=TRUE,Inputs!$B$32,0))),0)</f>
        <v/>
      </c>
      <c r="R128" t="n">
        <v>0</v>
      </c>
      <c r="S128" t="n">
        <v>0</v>
      </c>
      <c r="U128" t="n">
        <v>0</v>
      </c>
    </row>
    <row r="129">
      <c r="A129">
        <f>Skills!A20</f>
        <v/>
      </c>
      <c r="B129">
        <f>Skills!B20</f>
        <v/>
      </c>
      <c r="C129">
        <f>Inputs!$B$3&gt;=74</f>
        <v/>
      </c>
      <c r="D129">
        <f>IF(Skills!C20=1,60+Inputs!$B$25+Inputs!$B$29,IF(Skills!C20=2,90+Inputs!$B$26+Inputs!$B$29,IF(Skills!C20=3,120+Inputs!$B$27+Inputs!$B$29,MAX(0,(Inputs!$B$3-100)*3)+Inputs!$B$28+Inputs!$B$29)))</f>
        <v/>
      </c>
      <c r="E129">
        <f>INDEX(FactorTable!$B$2:$Y$301, MATCH(ROUND(MIN(300,MAX(1,D129)),0), FactorTable!$A$2:$A$301,0), Skills!L20+1)</f>
        <v/>
      </c>
      <c r="F129">
        <f>IF(Skills!M20=TRUE,(Skills!K20/10)*(E129/1000),Skills!K20/10)+Skills!N20</f>
        <v/>
      </c>
      <c r="G129">
        <f>Calc!G20</f>
        <v/>
      </c>
      <c r="H129">
        <f>Calc!H20</f>
        <v/>
      </c>
      <c r="I129">
        <f>IF(Skills!T20&lt;&gt;"",1+(Skills!T20/10)*(Z112/1000)/100,1)</f>
        <v/>
      </c>
      <c r="J129" t="inlineStr"/>
      <c r="K129" t="inlineStr"/>
      <c r="L129" t="inlineStr"/>
      <c r="M129" t="inlineStr"/>
      <c r="N129" t="inlineStr"/>
      <c r="O129">
        <f>(1-Summary!$B$11)*S129+Summary!$B$11*U129</f>
        <v/>
      </c>
      <c r="P129">
        <f>IF(B145=0,0,O129/B145)</f>
        <v/>
      </c>
      <c r="Q129">
        <f>IFERROR(1/IF(Inputs!$B$38="pvp",15,MAX(0.1,Skills!D20-IF(Skills!E20=TRUE,Inputs!$B$32,0))),0)</f>
        <v/>
      </c>
      <c r="R129" t="n">
        <v>0</v>
      </c>
      <c r="S129" t="n">
        <v>0</v>
      </c>
      <c r="U129" t="n">
        <v>0</v>
      </c>
    </row>
    <row r="130">
      <c r="A130">
        <f>Skills!A21</f>
        <v/>
      </c>
      <c r="B130">
        <f>Skills!B21</f>
        <v/>
      </c>
      <c r="C130">
        <f>Inputs!$B$3&gt;=74</f>
        <v/>
      </c>
      <c r="D130">
        <f>IF(Skills!C21=1,60+Inputs!$B$25+Inputs!$B$29,IF(Skills!C21=2,90+Inputs!$B$26+Inputs!$B$29,IF(Skills!C21=3,120+Inputs!$B$27+Inputs!$B$29,MAX(0,(Inputs!$B$3-100)*3)+Inputs!$B$28+Inputs!$B$29)))</f>
        <v/>
      </c>
      <c r="E130">
        <f>INDEX(FactorTable!$B$2:$Y$301, MATCH(ROUND(MIN(300,MAX(1,D130)),0), FactorTable!$A$2:$A$301,0), Skills!L21+1)</f>
        <v/>
      </c>
      <c r="F130">
        <f>IF(Skills!M21=TRUE,(Skills!K21/10)*(E130/1000),Skills!K21/10)+Skills!N21</f>
        <v/>
      </c>
      <c r="G130">
        <f>Calc!G21</f>
        <v/>
      </c>
      <c r="H130">
        <f>Calc!H21</f>
        <v/>
      </c>
      <c r="I130">
        <f>IF(Skills!T21&lt;&gt;"",1+(Skills!T21/10)*(Z112/1000)/100,1)</f>
        <v/>
      </c>
      <c r="J130" t="inlineStr"/>
      <c r="K130" t="inlineStr"/>
      <c r="L130" t="inlineStr"/>
      <c r="M130" t="inlineStr"/>
      <c r="N130" t="inlineStr"/>
      <c r="O130">
        <f>(1-Summary!$B$11)*S130+Summary!$B$11*U130</f>
        <v/>
      </c>
      <c r="P130">
        <f>IF(B145=0,0,O130/B145)</f>
        <v/>
      </c>
      <c r="Q130">
        <f>IFERROR(1/IF(Inputs!$B$38="pvp",15,MAX(0.1,Skills!D21-IF(Skills!E21=TRUE,Inputs!$B$32,0))),0)</f>
        <v/>
      </c>
      <c r="R130" t="n">
        <v>0</v>
      </c>
      <c r="S130" t="n">
        <v>0</v>
      </c>
      <c r="U130" t="n">
        <v>0</v>
      </c>
    </row>
    <row r="131">
      <c r="A131">
        <f>Skills!A22</f>
        <v/>
      </c>
      <c r="B131">
        <f>Skills!B22</f>
        <v/>
      </c>
      <c r="C131">
        <f>Inputs!$B$3&gt;=117</f>
        <v/>
      </c>
      <c r="D131">
        <f>IF(Skills!C22=1,60+Inputs!$B$25+Inputs!$B$29,IF(Skills!C22=2,90+Inputs!$B$26+Inputs!$B$29,IF(Skills!C22=3,120+Inputs!$B$27+Inputs!$B$29,MAX(0,(Inputs!$B$3-100)*3)+Inputs!$B$28+Inputs!$B$29)))</f>
        <v/>
      </c>
      <c r="E131">
        <f>INDEX(FactorTable!$B$2:$Y$301, MATCH(ROUND(MIN(300,MAX(1,D131)),0), FactorTable!$A$2:$A$301,0), Skills!L22+1)</f>
        <v/>
      </c>
      <c r="F131">
        <f>IF(Skills!M22=TRUE,(Skills!K22/10)*(E131/1000),Skills!K22/10)+Skills!N22</f>
        <v/>
      </c>
      <c r="G131">
        <f>Calc!G22</f>
        <v/>
      </c>
      <c r="H131">
        <f>Calc!H22</f>
        <v/>
      </c>
      <c r="I131">
        <f>IF(Skills!T22&lt;&gt;"",1+(Skills!T22/10)*(Z112/1000)/100,1)</f>
        <v/>
      </c>
      <c r="J131" t="inlineStr"/>
      <c r="K131" t="inlineStr"/>
      <c r="L131" t="inlineStr"/>
      <c r="M131" t="inlineStr"/>
      <c r="N131" t="inlineStr"/>
      <c r="O131">
        <f>(1-Summary!$B$11)*S131+Summary!$B$11*U131</f>
        <v/>
      </c>
      <c r="P131">
        <f>IF(B145=0,0,O131/B145)</f>
        <v/>
      </c>
      <c r="Q131">
        <f>IFERROR(1/IF(Inputs!$B$38="pvp",15,MAX(0.1,Skills!D22-IF(Skills!E22=TRUE,Inputs!$B$32,0))),0)</f>
        <v/>
      </c>
      <c r="R131" t="n">
        <v>0</v>
      </c>
      <c r="S131" t="n">
        <v>0</v>
      </c>
      <c r="U131" t="n">
        <v>0</v>
      </c>
    </row>
    <row r="132">
      <c r="A132">
        <f>Skills!A23</f>
        <v/>
      </c>
      <c r="B132">
        <f>Skills!B23</f>
        <v/>
      </c>
      <c r="C132">
        <f>Inputs!$B$3&gt;=120</f>
        <v/>
      </c>
      <c r="D132">
        <f>IF(Skills!C23=1,60+Inputs!$B$25+Inputs!$B$29,IF(Skills!C23=2,90+Inputs!$B$26+Inputs!$B$29,IF(Skills!C23=3,120+Inputs!$B$27+Inputs!$B$29,MAX(0,(Inputs!$B$3-100)*3)+Inputs!$B$28+Inputs!$B$29)))</f>
        <v/>
      </c>
      <c r="E132">
        <f>INDEX(FactorTable!$B$2:$Y$301, MATCH(ROUND(MIN(300,MAX(1,D132)),0), FactorTable!$A$2:$A$301,0), Skills!L23+1)</f>
        <v/>
      </c>
      <c r="F132">
        <f>IF(Skills!M23=TRUE,(Skills!K23/10)*(E132/1000),Skills!K23/10)+Skills!N23</f>
        <v/>
      </c>
      <c r="G132">
        <f>Calc!G23</f>
        <v/>
      </c>
      <c r="H132">
        <f>Calc!H23</f>
        <v/>
      </c>
      <c r="I132">
        <f>IF(Skills!T23&lt;&gt;"",1+(Skills!T23/10)*(Z112/1000)/100,1)</f>
        <v/>
      </c>
      <c r="J132" t="inlineStr"/>
      <c r="K132" t="inlineStr"/>
      <c r="L132" t="inlineStr"/>
      <c r="M132" t="inlineStr"/>
      <c r="N132" t="inlineStr"/>
      <c r="O132">
        <f>(1-Summary!$B$11)*S132+Summary!$B$11*U132</f>
        <v/>
      </c>
      <c r="P132">
        <f>IF(B145=0,0,O132/B145)</f>
        <v/>
      </c>
      <c r="Q132">
        <f>IFERROR(1/IF(Inputs!$B$38="pvp",15,MAX(0.1,Skills!D23-IF(Skills!E23=TRUE,Inputs!$B$32,0))),0)</f>
        <v/>
      </c>
      <c r="R132" t="n">
        <v>0</v>
      </c>
      <c r="S132" t="n">
        <v>0</v>
      </c>
      <c r="U132" t="n">
        <v>0</v>
      </c>
    </row>
    <row r="135">
      <c r="A135" t="inlineStr">
        <is>
          <t>Average Buff Multiplier (Magic Guard + Meditation + Artifact Attack%, summed; then Infinity)</t>
        </is>
      </c>
      <c r="B135">
        <f>(1+(IF(C112=TRUE,F112*IF(AND(Inputs!$B$38&lt;&gt;"pvp",Inputs!$B$43&gt;0),(((R112-1)*(Skills!S3*(1+(Inputs!$B$34+IF(Inputs!$B$3&gt;=117,F131,0))/100))+MIN((Skills!S3*(1+(Inputs!$B$34+IF(Inputs!$B$3&gt;=117,F131,0))/100)),MAX(0,Inputs!$B$43-((R112-1)*Skills!D3))))/Inputs!$B$43),IF(Inputs!$B$38="pvp",MIN((Skills!S3*(1+(Inputs!$B$34+IF(Inputs!$B$3&gt;=117,F131,0))/100)),15)/15,(Skills!S3*(1+(Inputs!$B$34+IF(Inputs!$B$3&gt;=117,F131,0))/100))/Skills!D3)),0)+IF(C113=TRUE,F113*IF(AND(Inputs!$B$38&lt;&gt;"pvp",Inputs!$B$43&gt;0),(((R113-1)*(Skills!S4*(1+(Inputs!$B$34+IF(Inputs!$B$3&gt;=117,F131,0))/100))+MIN((Skills!S4*(1+(Inputs!$B$34+IF(Inputs!$B$3&gt;=117,F131,0))/100)),MAX(0,Inputs!$B$43-((R113-1)*Skills!D4))))/Inputs!$B$43),IF(Inputs!$B$38="pvp",MIN((Skills!S4*(1+(Inputs!$B$34+IF(Inputs!$B$3&gt;=117,F131,0))/100)),15)/15,(Skills!S4*(1+(Inputs!$B$34+IF(Inputs!$B$3&gt;=117,F131,0)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125=TRUE,(1+F125*IF(AND(Inputs!$B$38&lt;&gt;"pvp",Inputs!$B$43&gt;0),(((R125-1)*(Skills!S16*(1+(Inputs!$B$34+IF(Inputs!$B$3&gt;=117,F131,0))/100))+MIN((Skills!S16*(1+(Inputs!$B$34+IF(Inputs!$B$3&gt;=117,F131,0))/100)),MAX(0,Inputs!$B$43-((R125-1)*Skills!D16))))/Inputs!$B$43),IF(Inputs!$B$38="pvp",MIN((Skills!S16*(1+(Inputs!$B$34+IF(Inputs!$B$3&gt;=117,F131,0))/100)),15)/15,(Skills!S16*(1+(Inputs!$B$34+IF(Inputs!$B$3&gt;=117,F131,0))/100))/Skills!D16))/100),1)</f>
        <v/>
      </c>
    </row>
    <row r="136">
      <c r="A136" t="inlineStr">
        <is>
          <t>Monster Damage Taken Bonus % (Freezing Breath - Weaken + Elemental Reset + Artifact Enemy Damage Taken, summed)</t>
        </is>
      </c>
      <c r="B136">
        <f>IF(Inputs!$B$3&gt;=118,15*IF(Inputs!$B$38="pvp",MIN((30*(1+(Inputs!$B$34+IF(Inputs!$B$3&gt;=117,F131,0))/100)),15)/15,(30*(1+(Inputs!$B$34+IF(Inputs!$B$3&gt;=117,F131,0))/100))/Skills!D8),0)+IF(C123=TRUE,F123,0)+(IF(AND(ArtifactsInput!$M$35,Inputs!$B$4&lt;&gt;"Chapter Hunt"),CHOOSE(ArtifactsInput!$N$35+1,15,18,21,24,27,30)*(1-EXP(-(0.2*B139)*5)),0)+IF(AND(ArtifactsInput!$M$22,Inputs!$B$4&lt;&gt;"Chapter Hunt"),CHOOSE(ArtifactsInput!$N$22+1,10,12,14,16,18,20)*((0*(((0.15*B139*5))^0/1)+1*(((0.15*B139*5))^1/1)+2*(((0.15*B139*5))^2/2)+3*(((0.15*B139*5))^3/6)+4*(((0.15*B139*5))^4/24)+5*(((0.15*B139*5))^5/120))/((((0.15*B139*5))^0/1)+(((0.15*B139*5))^1/1)+(((0.15*B139*5))^2/2)+(((0.15*B139*5))^3/6)+(((0.15*B139*5))^4/24)+(((0.15*B139*5))^5/120))),0))</f>
        <v/>
      </c>
    </row>
    <row r="137">
      <c r="A137" t="inlineStr">
        <is>
          <t>Damage % Bonus (Frozen Break + Frost Clutch, flat)</t>
        </is>
      </c>
      <c r="B137">
        <f>IF(Inputs!$B$3&gt;=66,15,0)+IF(Inputs!$B$3&gt;=98,10,0)+IF(Inputs!$B$3&gt;=125,20,0)</f>
        <v/>
      </c>
    </row>
    <row r="138">
      <c r="A138" t="inlineStr">
        <is>
          <t>Attack Speed Bonus % (MP Eater - MP Boost, always-on once unlocked)</t>
        </is>
      </c>
      <c r="B138">
        <f>IF(C122=TRUE,F122+(F126-Calc!F17),0)</f>
        <v/>
      </c>
    </row>
    <row r="139">
      <c r="A139" t="inlineStr">
        <is>
          <t>Actions Per Second</t>
        </is>
      </c>
      <c r="B139">
        <f>1+MIN(150,150*(1-(1-(Inputs!$B$11+(ArtifactsInput!$M$15-ArtifactsInput!$M$15)*CHOOSE(ArtifactsInput!$N$15+1,8,9.6,11.2,12.8,14.4,16))/150)*(1-B138/150)))/100</f>
        <v/>
      </c>
    </row>
    <row r="140">
      <c r="A140" t="inlineStr">
        <is>
          <t>Skill + Buff Cast Rate</t>
        </is>
      </c>
      <c r="B140">
        <f>IF(AND(Inputs!$B$38&lt;&gt;"pvp",Inputs!$B$43&gt;0),SUMPRODUCT((Skills!E2:E23=TRUE)*(C111:C132=TRUE)*R111:R132)/Inputs!$B$43,SUMPRODUCT((Skills!E2:E23=TRUE)*(C111:C132=TRUE)*Q111:Q132))</f>
        <v/>
      </c>
    </row>
    <row r="141">
      <c r="A141" t="inlineStr">
        <is>
          <t>Chain Lightning Casts Per Second</t>
        </is>
      </c>
      <c r="B141">
        <f>MAX(0,B139-B140)</f>
        <v/>
      </c>
    </row>
    <row r="142">
      <c r="A142" t="inlineStr">
        <is>
          <t>Buff-Casting Startup Delay (s, fixed-duration only)</t>
        </is>
      </c>
      <c r="B142">
        <f>IF(AND(Inputs!$B$38&lt;&gt;"pvp",Inputs!$B$43&gt;0),SUMPRODUCT((Skills!S2:S23&gt;0)*(Skills!E2:E23=TRUE)*(C111:C132=TRUE))/B139,0)</f>
        <v/>
      </c>
    </row>
    <row r="143">
      <c r="A143" t="inlineStr">
        <is>
          <t>Boss-Only Total DPS (this block's swept value)</t>
        </is>
      </c>
      <c r="B143">
        <f>SUM(S111:S132)</f>
        <v/>
      </c>
    </row>
    <row r="144">
      <c r="A144" t="inlineStr">
        <is>
          <t>Normal-Only Total DPS (this block's swept value)</t>
        </is>
      </c>
      <c r="B144">
        <f>SUM(U111:U132)</f>
        <v/>
      </c>
    </row>
    <row r="145">
      <c r="A145" s="6" t="inlineStr">
        <is>
          <t>TOTAL DPS</t>
        </is>
      </c>
      <c r="B145" s="6">
        <f>SUM(O111:O132)</f>
        <v/>
      </c>
    </row>
    <row r="148">
      <c r="A148" s="6" t="inlineStr">
        <is>
          <t>Stat: DAMAGE %</t>
        </is>
      </c>
    </row>
    <row r="149">
      <c r="A149" s="5" t="inlineStr">
        <is>
          <t>Key</t>
        </is>
      </c>
      <c r="B149" s="5" t="inlineStr">
        <is>
          <t>Name</t>
        </is>
      </c>
      <c r="C149" s="5" t="inlineStr">
        <is>
          <t>Unlocked</t>
        </is>
      </c>
      <c r="D149" s="5" t="inlineStr">
        <is>
          <t>InputLevel</t>
        </is>
      </c>
      <c r="E149" s="5" t="inlineStr">
        <is>
          <t>Factor</t>
        </is>
      </c>
      <c r="F149" s="5" t="inlineStr">
        <is>
          <t>CoefficientPercent</t>
        </is>
      </c>
      <c r="G149" s="5" t="inlineStr">
        <is>
          <t>EffectiveHits</t>
        </is>
      </c>
      <c r="H149" s="5" t="inlineStr">
        <is>
          <t>ProcProbability</t>
        </is>
      </c>
      <c r="I149" s="5" t="inlineStr">
        <is>
          <t>MapleHeroMultiplier</t>
        </is>
      </c>
      <c r="J149" s="5" t="inlineStr">
        <is>
          <t>BaseDamage</t>
        </is>
      </c>
      <c r="K149" s="5" t="inlineStr">
        <is>
          <t>BaseHitDamage</t>
        </is>
      </c>
      <c r="L149" s="5" t="inlineStr">
        <is>
          <t>NonCritAvg</t>
        </is>
      </c>
      <c r="M149" s="5" t="inlineStr">
        <is>
          <t>CritAvg</t>
        </is>
      </c>
      <c r="N149" s="5" t="inlineStr">
        <is>
          <t>ExpectedDamage(perHit)</t>
        </is>
      </c>
      <c r="O149" s="5" t="inlineStr">
        <is>
          <t>DPS</t>
        </is>
      </c>
      <c r="P149" s="5" t="inlineStr">
        <is>
          <t>% of Total</t>
        </is>
      </c>
      <c r="R149" t="inlineStr">
        <is>
          <t>helpers</t>
        </is>
      </c>
    </row>
    <row r="150">
      <c r="A150">
        <f>Skills!A2</f>
        <v/>
      </c>
      <c r="B150">
        <f>Skills!B2</f>
        <v/>
      </c>
      <c r="C150">
        <f>Inputs!$B$3&gt;=100</f>
        <v/>
      </c>
      <c r="D150" t="inlineStr"/>
      <c r="E150" t="inlineStr"/>
      <c r="F150">
        <f>T152+Skills!N2</f>
        <v/>
      </c>
      <c r="G150">
        <f>Calc!G2</f>
        <v/>
      </c>
      <c r="H150">
        <f>Calc!H2</f>
        <v/>
      </c>
      <c r="I150">
        <f>IF(Skills!T2&lt;&gt;"",1+(Skills!T2/10)*(Z151/1000)/100,1)</f>
        <v/>
      </c>
      <c r="J150">
        <f>((Inputs!$B$6*(1+Inputs!$B$7/100))+(((Inputs!$B$12*(1+Inputs!$B$13/100))-(Inputs!$B$12*(1+Inputs!$B$13/100)))+0.25*(Inputs!$B$14-Inputs!$B$14))*(1+Inputs!$B$7/100))*(F150/100)</f>
        <v/>
      </c>
      <c r="K150">
        <f>J150*(1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f>
        <v/>
      </c>
      <c r="L150">
        <f>K150*(MIN(Inputs!$B$22+(F166-Calc!F18),(Inputs!$B$23+(IF(ArtifactsInput!$M$15,CHOOSE(ArtifactsInput!$N$15+1,25,30,35,40,45,50)/100*(Inputs!$B$11-Inputs!$B$11),0))))/100+(Inputs!$B$23+(IF(ArtifactsInput!$M$15,CHOOSE(ArtifactsInput!$N$15+1,25,30,35,40,45,50)/100*(Inputs!$B$11-Inputs!$B$11),0)))/100)/2</f>
        <v/>
      </c>
      <c r="M150">
        <f>L150*(1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
        <f>L150*(1-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
        <f>(1-Summary!$B$11)*S150+Summary!$B$11*U150</f>
        <v/>
      </c>
      <c r="P150">
        <f>IF(B184=0,0,O150/B184)</f>
        <v/>
      </c>
      <c r="Q150">
        <f>IFERROR(1/IF(Inputs!$B$38="pvp",15,MAX(0.1,Skills!D2-IF(Skills!E2=TRUE,Inputs!$B$32,0))),0)</f>
        <v/>
      </c>
      <c r="R150" t="n">
        <v>0</v>
      </c>
      <c r="S150">
        <f>IF(C150,(Skills!F2*N150*B180)*IF(Inputs!$B$38="pvp",1,1+(Inputs!$B$20+Skills!O2+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0">
        <f>MAX(0,(Inputs!$B$3-100)*3)+Inputs!$B$28+Inputs!$B$29</f>
        <v/>
      </c>
      <c r="U150">
        <f>IF(C150,(Skills!F2*N150*B180)*IF(Inputs!$B$38="pvp",1,(1+(Inputs!$B$21+Skills!P2+B175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0">
        <f>MAX(0,(Inputs!$B$3-100)*3)+Inputs!$B$28+Inputs!$B$29</f>
        <v/>
      </c>
    </row>
    <row r="151">
      <c r="A151">
        <f>Skills!A3</f>
        <v/>
      </c>
      <c r="B151">
        <f>Skills!B3</f>
        <v/>
      </c>
      <c r="C151">
        <f>Inputs!$B$3&gt;=15</f>
        <v/>
      </c>
      <c r="D151">
        <f>IF(Skills!C3=1,60+Inputs!$B$25+Inputs!$B$29,IF(Skills!C3=2,90+Inputs!$B$26+Inputs!$B$29,IF(Skills!C3=3,120+Inputs!$B$27+Inputs!$B$29,MAX(0,(Inputs!$B$3-100)*3)+Inputs!$B$28+Inputs!$B$29)))</f>
        <v/>
      </c>
      <c r="E151">
        <f>INDEX(FactorTable!$B$2:$Y$301, MATCH(ROUND(MIN(300,MAX(1,D151)),0), FactorTable!$A$2:$A$301,0), Skills!L3+1)</f>
        <v/>
      </c>
      <c r="F151">
        <f>IF(Skills!M3=TRUE,(Skills!K3/10)*(E151/1000),Skills!K3/10)+Skills!N3</f>
        <v/>
      </c>
      <c r="G151">
        <f>Calc!G3</f>
        <v/>
      </c>
      <c r="H151">
        <f>Calc!H3</f>
        <v/>
      </c>
      <c r="I151">
        <f>IF(Skills!T3&lt;&gt;"",1+(Skills!T3/10)*(Z151/1000)/100,1)</f>
        <v/>
      </c>
      <c r="J151" t="inlineStr"/>
      <c r="K151" t="inlineStr"/>
      <c r="L151" t="inlineStr"/>
      <c r="M151" t="inlineStr"/>
      <c r="N151" t="inlineStr"/>
      <c r="O151">
        <f>(1-Summary!$B$11)*S151+Summary!$B$11*U151</f>
        <v/>
      </c>
      <c r="P151">
        <f>IF(B184=0,0,O151/B184)</f>
        <v/>
      </c>
      <c r="Q151">
        <f>IFERROR(1/IF(Inputs!$B$38="pvp",15,MAX(0.1,Skills!D3-IF(Skills!E3=TRUE,Inputs!$B$32,0))),0)</f>
        <v/>
      </c>
      <c r="R151">
        <f>IF(AND(Inputs!$B$38&lt;&gt;"pvp",Inputs!$B$43&gt;0),IF(Inputs!$B$43&lt;=0,0,(INT(Inputs!$B$43/IF(Inputs!$B$38="pvp",15,MAX(0.1,Skills!D3-IF(Skills!E3=TRUE,Inputs!$B$32,0))))+1)),0)</f>
        <v/>
      </c>
      <c r="S151" t="n">
        <v>0</v>
      </c>
      <c r="T151">
        <f>INDEX(FactorTable!$B$2:$Y$301, MATCH(ROUND(MIN(300,MAX(1,T150)),0), FactorTable!$A$2:$A$301,0), 22)</f>
        <v/>
      </c>
      <c r="U151" t="n">
        <v>0</v>
      </c>
      <c r="Z151">
        <f>INDEX(FactorTable!$B$2:$Y$301, MATCH(ROUND(MIN(300,MAX(1,Z150)),0), FactorTable!$A$2:$A$301,0), 24)</f>
        <v/>
      </c>
    </row>
    <row r="152">
      <c r="A152">
        <f>Skills!A4</f>
        <v/>
      </c>
      <c r="B152">
        <f>Skills!B4</f>
        <v/>
      </c>
      <c r="C152">
        <f>Inputs!$B$3&gt;=40</f>
        <v/>
      </c>
      <c r="D152">
        <f>IF(Skills!C4=1,60+Inputs!$B$25+Inputs!$B$29,IF(Skills!C4=2,90+Inputs!$B$26+Inputs!$B$29,IF(Skills!C4=3,120+Inputs!$B$27+Inputs!$B$29,MAX(0,(Inputs!$B$3-100)*3)+Inputs!$B$28+Inputs!$B$29)))</f>
        <v/>
      </c>
      <c r="E152">
        <f>INDEX(FactorTable!$B$2:$Y$301, MATCH(ROUND(MIN(300,MAX(1,D152)),0), FactorTable!$A$2:$A$301,0), Skills!L4+1)</f>
        <v/>
      </c>
      <c r="F152">
        <f>IF(Skills!M4=TRUE,(Skills!K4/10)*(E152/1000),Skills!K4/10)+Skills!N4</f>
        <v/>
      </c>
      <c r="G152">
        <f>Calc!G4</f>
        <v/>
      </c>
      <c r="H152">
        <f>Calc!H4</f>
        <v/>
      </c>
      <c r="I152">
        <f>IF(Skills!T4&lt;&gt;"",1+(Skills!T4/10)*(Z151/1000)/100,1)</f>
        <v/>
      </c>
      <c r="J152" t="inlineStr"/>
      <c r="K152" t="inlineStr"/>
      <c r="L152" t="inlineStr"/>
      <c r="M152" t="inlineStr"/>
      <c r="N152" t="inlineStr"/>
      <c r="O152">
        <f>(1-Summary!$B$11)*S152+Summary!$B$11*U152</f>
        <v/>
      </c>
      <c r="P152">
        <f>IF(B184=0,0,O152/B184)</f>
        <v/>
      </c>
      <c r="Q152">
        <f>IFERROR(1/IF(Inputs!$B$38="pvp",15,MAX(0.1,Skills!D4-IF(Skills!E4=TRUE,Inputs!$B$32,0))),0)</f>
        <v/>
      </c>
      <c r="R152">
        <f>IF(AND(Inputs!$B$38&lt;&gt;"pvp",Inputs!$B$43&gt;0),IF(Inputs!$B$43&lt;=0,0,(INT(Inputs!$B$43/IF(Inputs!$B$38="pvp",15,MAX(0.1,Skills!D4-IF(Skills!E4=TRUE,Inputs!$B$32,0))))+1)),0)</f>
        <v/>
      </c>
      <c r="S152" t="n">
        <v>0</v>
      </c>
      <c r="T152">
        <f>290*T151/1000</f>
        <v/>
      </c>
      <c r="U152" t="n">
        <v>0</v>
      </c>
    </row>
    <row r="153">
      <c r="A153">
        <f>Skills!A5</f>
        <v/>
      </c>
      <c r="B153">
        <f>Skills!B5</f>
        <v/>
      </c>
      <c r="C153">
        <f>Inputs!$B$3&gt;=38</f>
        <v/>
      </c>
      <c r="D153">
        <f>IF(Skills!C5=1,60+Inputs!$B$25+Inputs!$B$29,IF(Skills!C5=2,90+Inputs!$B$26+Inputs!$B$29,IF(Skills!C5=3,120+Inputs!$B$27+Inputs!$B$29,MAX(0,(Inputs!$B$3-100)*3)+Inputs!$B$28+Inputs!$B$29)))</f>
        <v/>
      </c>
      <c r="E153">
        <f>INDEX(FactorTable!$B$2:$Y$301, MATCH(ROUND(MIN(300,MAX(1,D153)),0), FactorTable!$A$2:$A$301,0), Skills!L5+1)</f>
        <v/>
      </c>
      <c r="F153">
        <f>IF(Skills!M5=TRUE,(Skills!K5/10)*(E153/1000),Skills!K5/10)+Skills!N5</f>
        <v/>
      </c>
      <c r="G153">
        <f>Calc!G5</f>
        <v/>
      </c>
      <c r="H153">
        <f>Calc!H5</f>
        <v/>
      </c>
      <c r="I153">
        <f>IF(Skills!T5&lt;&gt;"",1+(Skills!T5/10)*(Z151/1000)/100,1)</f>
        <v/>
      </c>
      <c r="J153">
        <f>((Inputs!$B$6*(1+Inputs!$B$7/100))+(((Inputs!$B$12*(1+Inputs!$B$13/100))-(Inputs!$B$12*(1+Inputs!$B$13/100)))+0.25*(Inputs!$B$14-Inputs!$B$14))*(1+Inputs!$B$7/100))*(F153/100)</f>
        <v/>
      </c>
      <c r="K153">
        <f>J153*(1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F166-Calc!F18),(Inputs!$B$23+(IF(ArtifactsInput!$M$15,CHOOSE(ArtifactsInput!$N$15+1,25,30,35,40,45,50)/100*(Inputs!$B$11-Inputs!$B$11),0))))/100+(Inputs!$B$23+(IF(ArtifactsInput!$M$15,CHOOSE(ArtifactsInput!$N$15+1,25,30,35,40,45,50)/100*(Inputs!$B$11-Inputs!$B$11),0)))/100)/2</f>
        <v/>
      </c>
      <c r="M153">
        <f>L153*(1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(1-Summary!$B$11)*S153+Summary!$B$11*U153</f>
        <v/>
      </c>
      <c r="P153">
        <f>IF(B184=0,0,O153/B184)</f>
        <v/>
      </c>
      <c r="Q153">
        <f>IFERROR(1/IF(Inputs!$B$38="pvp",15,MAX(0.1,Skills!D5-IF(Skills!E5=TRUE,Inputs!$B$32,0))),0)</f>
        <v/>
      </c>
      <c r="R153">
        <f>IF(AND(Inputs!$B$38&lt;&gt;"pvp",Inputs!$B$43&gt;0),IF(MAX(0,Inputs!$B$43-B181)&lt;=0,0,(INT(MAX(0,Inputs!$B$43-B181)/IF(Inputs!$B$38="pvp",15,MAX(0.1,Skills!D5-IF(Skills!E5=TRUE,Inputs!$B$32,0))))+1)),0)</f>
        <v/>
      </c>
      <c r="S153">
        <f>IF(C153,(H153*N153*IF(AND(Inputs!$B$38&lt;&gt;"pvp",Inputs!$B$43&gt;0),((Skills!F5*((R153-1)*IF(Skills!G5&gt;0,Skills!H5/Skills!G5,1)+IF(Skills!G5&gt;0,MIN(Skills!H5,MAX(0,MAX(0,Inputs!$B$43-B181)-((R153-1)*IF(Inputs!$B$38="pvp",15,MAX(0.1,Skills!D5-IF(Skills!E5=TRUE,Inputs!$B$32,0))))))/Skills!G5,1)))/Inputs!$B$43),G153*Q153))*IF(Inputs!$B$38="pvp",1,1+(Inputs!$B$20+Skills!O5+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IF(C153,(H153*N153*IF(AND(Inputs!$B$38&lt;&gt;"pvp",Inputs!$B$43&gt;0),((Skills!F5*((R153-1)*IF(Skills!G5&gt;0,Skills!H5/Skills!G5,1)+IF(Skills!G5&gt;0,MIN(Skills!H5,MAX(0,MAX(0,Inputs!$B$43-B181)-((R153-1)*IF(Inputs!$B$38="pvp",15,MAX(0.1,Skills!D5-IF(Skills!E5=TRUE,Inputs!$B$32,0))))))/Skills!G5,1)))/Inputs!$B$43),G153*Q153))*IF(Inputs!$B$38="pvp",1,(1+(Inputs!$B$21+Skills!P5+B175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Skills!A6</f>
        <v/>
      </c>
      <c r="B154">
        <f>Skills!B6</f>
        <v/>
      </c>
      <c r="C154">
        <f>Inputs!$B$3&gt;=63</f>
        <v/>
      </c>
      <c r="D154">
        <f>IF(Skills!C6=1,60+Inputs!$B$25+Inputs!$B$29,IF(Skills!C6=2,90+Inputs!$B$26+Inputs!$B$29,IF(Skills!C6=3,120+Inputs!$B$27+Inputs!$B$29,MAX(0,(Inputs!$B$3-100)*3)+Inputs!$B$28+Inputs!$B$29)))</f>
        <v/>
      </c>
      <c r="E154">
        <f>INDEX(FactorTable!$B$2:$Y$301, MATCH(ROUND(MIN(300,MAX(1,D154)),0), FactorTable!$A$2:$A$301,0), Skills!L6+1)</f>
        <v/>
      </c>
      <c r="F154">
        <f>IF(Skills!M6=TRUE,(Skills!K6/10)*(E154/1000),Skills!K6/10)+Skills!N6</f>
        <v/>
      </c>
      <c r="G154">
        <f>Calc!G6</f>
        <v/>
      </c>
      <c r="H154">
        <f>Calc!H6</f>
        <v/>
      </c>
      <c r="I154">
        <f>IF(Skills!T6&lt;&gt;"",1+(Skills!T6/10)*(Z151/1000)/100,1)</f>
        <v/>
      </c>
      <c r="J154">
        <f>((Inputs!$B$6*(1+Inputs!$B$7/100))+(((Inputs!$B$12*(1+Inputs!$B$13/100))-(Inputs!$B$12*(1+Inputs!$B$13/100)))+0.25*(Inputs!$B$14-Inputs!$B$14))*(1+Inputs!$B$7/100))*(F154/100)</f>
        <v/>
      </c>
      <c r="K154">
        <f>J154*(1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f>
        <v/>
      </c>
      <c r="L154">
        <f>K154*(MIN(Inputs!$B$22+(F166-Calc!F18),(Inputs!$B$23+(IF(ArtifactsInput!$M$15,CHOOSE(ArtifactsInput!$N$15+1,25,30,35,40,45,50)/100*(Inputs!$B$11-Inputs!$B$11),0))))/100+(Inputs!$B$23+(IF(ArtifactsInput!$M$15,CHOOSE(ArtifactsInput!$N$15+1,25,30,35,40,45,50)/100*(Inputs!$B$11-Inputs!$B$11),0)))/100)/2</f>
        <v/>
      </c>
      <c r="M154">
        <f>L154*(1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
        <f>L154*(1-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
        <f>(1-Summary!$B$11)*S154+Summary!$B$11*U154</f>
        <v/>
      </c>
      <c r="P154">
        <f>IF(B184=0,0,O154/B184)</f>
        <v/>
      </c>
      <c r="Q154">
        <f>IFERROR(1/IF(Inputs!$B$38="pvp",15,MAX(0.1,Skills!D6-IF(Skills!E6=TRUE,Inputs!$B$32,0))),0)</f>
        <v/>
      </c>
      <c r="R154">
        <f>IF(AND(Inputs!$B$38&lt;&gt;"pvp",Inputs!$B$43&gt;0),IF(MAX(0,Inputs!$B$43-B181)&lt;=0,0,(INT(MAX(0,Inputs!$B$43-B181)/IF(Inputs!$B$38="pvp",15,MAX(0.1,Skills!D6-IF(Skills!E6=TRUE,Inputs!$B$32,0))))+1)),0)</f>
        <v/>
      </c>
      <c r="S154">
        <f>IF(C154,(H154*N154*IF(AND(Inputs!$B$38&lt;&gt;"pvp",Inputs!$B$43&gt;0),((Skills!F6*((R154-1)*IF(Skills!G6&gt;0,Skills!H6/Skills!G6,1)+IF(Skills!G6&gt;0,MIN(Skills!H6,MAX(0,MAX(0,Inputs!$B$43-B181)-((R154-1)*IF(Inputs!$B$38="pvp",15,MAX(0.1,Skills!D6-IF(Skills!E6=TRUE,Inputs!$B$32,0))))))/Skills!G6,1)))/Inputs!$B$43),G154*Q154))*IF(Inputs!$B$38="pvp",1,1+(Inputs!$B$20+Skills!O6+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
        <f>IF(C154,(H154*N154*IF(AND(Inputs!$B$38&lt;&gt;"pvp",Inputs!$B$43&gt;0),((Skills!F6*((R154-1)*IF(Skills!G6&gt;0,Skills!H6/Skills!G6,1)+IF(Skills!G6&gt;0,MIN(Skills!H6,MAX(0,MAX(0,Inputs!$B$43-B181)-((R154-1)*IF(Inputs!$B$38="pvp",15,MAX(0.1,Skills!D6-IF(Skills!E6=TRUE,Inputs!$B$32,0))))))/Skills!G6,1)))/Inputs!$B$43),G154*Q154))*IF(Inputs!$B$38="pvp",1,(1+(Inputs!$B$21+Skills!P6+B175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
      <c r="A155">
        <f>Skills!A7</f>
        <v/>
      </c>
      <c r="B155">
        <f>Skills!B7</f>
        <v/>
      </c>
      <c r="C155">
        <f>Inputs!$B$3&gt;=69</f>
        <v/>
      </c>
      <c r="D155">
        <f>IF(Skills!C7=1,60+Inputs!$B$25+Inputs!$B$29,IF(Skills!C7=2,90+Inputs!$B$26+Inputs!$B$29,IF(Skills!C7=3,120+Inputs!$B$27+Inputs!$B$29,MAX(0,(Inputs!$B$3-100)*3)+Inputs!$B$28+Inputs!$B$29)))</f>
        <v/>
      </c>
      <c r="E155">
        <f>INDEX(FactorTable!$B$2:$Y$301, MATCH(ROUND(MIN(300,MAX(1,D155)),0), FactorTable!$A$2:$A$301,0), Skills!L7+1)</f>
        <v/>
      </c>
      <c r="F155">
        <f>IF(Skills!M7=TRUE,(Skills!K7/10)*(E155/1000),Skills!K7/10)+Skills!N7</f>
        <v/>
      </c>
      <c r="G155">
        <f>Calc!G7</f>
        <v/>
      </c>
      <c r="H155">
        <f>Calc!H7</f>
        <v/>
      </c>
      <c r="I155">
        <f>IF(Skills!T7&lt;&gt;"",1+(Skills!T7/10)*(Z151/1000)/100,1)</f>
        <v/>
      </c>
      <c r="J155">
        <f>((Inputs!$B$6*(1+Inputs!$B$7/100))+(((Inputs!$B$12*(1+Inputs!$B$13/100))-(Inputs!$B$12*(1+Inputs!$B$13/100)))+0.25*(Inputs!$B$14-Inputs!$B$14))*(1+Inputs!$B$7/100))*(F155/100)</f>
        <v/>
      </c>
      <c r="K155">
        <f>J155*(1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F166-Calc!F18),(Inputs!$B$23+(IF(ArtifactsInput!$M$15,CHOOSE(ArtifactsInput!$N$15+1,25,30,35,40,45,50)/100*(Inputs!$B$11-Inputs!$B$11),0))))/100+(Inputs!$B$23+(IF(ArtifactsInput!$M$15,CHOOSE(ArtifactsInput!$N$15+1,25,30,35,40,45,50)/100*(Inputs!$B$11-Inputs!$B$11),0)))/100)/2</f>
        <v/>
      </c>
      <c r="M155">
        <f>L155*(1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(1-Summary!$B$11)*S155+Summary!$B$11*U155</f>
        <v/>
      </c>
      <c r="P155">
        <f>IF(B184=0,0,O155/B184)</f>
        <v/>
      </c>
      <c r="Q155">
        <f>IFERROR(1/IF(Inputs!$B$38="pvp",15,MAX(0.1,Skills!D7-IF(Skills!E7=TRUE,Inputs!$B$32,0))),0)</f>
        <v/>
      </c>
      <c r="R155">
        <f>IF(AND(Inputs!$B$38&lt;&gt;"pvp",Inputs!$B$43&gt;0),IF(MAX(0,Inputs!$B$43-B181)&lt;=0,0,(INT(MAX(0,Inputs!$B$43-B181)/IF(Inputs!$B$38="pvp",15,MAX(0.1,Skills!D7-IF(Skills!E7=TRUE,Inputs!$B$32,0))))+1)),0)</f>
        <v/>
      </c>
      <c r="S155">
        <f>IF(C155,(H155*N155*IF(AND(Inputs!$B$38&lt;&gt;"pvp",Inputs!$B$43&gt;0),((Skills!F7*((R155-1)*IF(Skills!G7&gt;0,Skills!H7/Skills!G7,1)+IF(Skills!G7&gt;0,MIN(Skills!H7,MAX(0,MAX(0,Inputs!$B$43-B181)-((R155-1)*IF(Inputs!$B$38="pvp",15,MAX(0.1,Skills!D7-IF(Skills!E7=TRUE,Inputs!$B$32,0))))))/Skills!G7,1)))/Inputs!$B$43),G155*Q155))*IF(Inputs!$B$38="pvp",1,1+(Inputs!$B$20+Skills!O7+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IF(C155,(H155*N155*IF(AND(Inputs!$B$38&lt;&gt;"pvp",Inputs!$B$43&gt;0),((Skills!F7*((R155-1)*IF(Skills!G7&gt;0,Skills!H7/Skills!G7,1)+IF(Skills!G7&gt;0,MIN(Skills!H7,MAX(0,MAX(0,Inputs!$B$43-B181)-((R155-1)*IF(Inputs!$B$38="pvp",15,MAX(0.1,Skills!D7-IF(Skills!E7=TRUE,Inputs!$B$32,0))))))/Skills!G7,1)))/Inputs!$B$43),G155*Q155))*IF(Inputs!$B$38="pvp",1,(1+(Inputs!$B$21+Skills!P7+B175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Skills!A8</f>
        <v/>
      </c>
      <c r="B156">
        <f>Skills!B8</f>
        <v/>
      </c>
      <c r="C156">
        <f>Inputs!$B$3&gt;=103</f>
        <v/>
      </c>
      <c r="D156">
        <f>IF(Skills!C8=1,60+Inputs!$B$25+Inputs!$B$29,IF(Skills!C8=2,90+Inputs!$B$26+Inputs!$B$29,IF(Skills!C8=3,120+Inputs!$B$27+Inputs!$B$29,MAX(0,(Inputs!$B$3-100)*3)+Inputs!$B$28+Inputs!$B$29)))</f>
        <v/>
      </c>
      <c r="E156">
        <f>INDEX(FactorTable!$B$2:$Y$301, MATCH(ROUND(MIN(300,MAX(1,D156)),0), FactorTable!$A$2:$A$301,0), Skills!L8+1)</f>
        <v/>
      </c>
      <c r="F156">
        <f>IF(Skills!M8=TRUE,(Skills!K8/10)*(E156/1000),Skills!K8/10)+Skills!N8</f>
        <v/>
      </c>
      <c r="G156">
        <f>Calc!G8</f>
        <v/>
      </c>
      <c r="H156">
        <f>Calc!H8</f>
        <v/>
      </c>
      <c r="I156">
        <f>IF(Skills!T8&lt;&gt;"",1+(Skills!T8/10)*(Z151/1000)/100,1)</f>
        <v/>
      </c>
      <c r="J156">
        <f>((Inputs!$B$6*(1+Inputs!$B$7/100))+(((Inputs!$B$12*(1+Inputs!$B$13/100))-(Inputs!$B$12*(1+Inputs!$B$13/100)))+0.25*(Inputs!$B$14-Inputs!$B$14))*(1+Inputs!$B$7/100))*(F156/100)</f>
        <v/>
      </c>
      <c r="K156">
        <f>J156*(1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F166-Calc!F18),(Inputs!$B$23+(IF(ArtifactsInput!$M$15,CHOOSE(ArtifactsInput!$N$15+1,25,30,35,40,45,50)/100*(Inputs!$B$11-Inputs!$B$11),0))))/100+(Inputs!$B$23+(IF(ArtifactsInput!$M$15,CHOOSE(ArtifactsInput!$N$15+1,25,30,35,40,45,50)/100*(Inputs!$B$11-Inputs!$B$11),0)))/100)/2</f>
        <v/>
      </c>
      <c r="M156">
        <f>L156*(1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(1-Summary!$B$11)*S156+Summary!$B$11*U156</f>
        <v/>
      </c>
      <c r="P156">
        <f>IF(B184=0,0,O156/B184)</f>
        <v/>
      </c>
      <c r="Q156">
        <f>IFERROR(1/IF(Inputs!$B$38="pvp",15,MAX(0.1,Skills!D8-IF(Skills!E8=TRUE,Inputs!$B$32,0))),0)</f>
        <v/>
      </c>
      <c r="R156">
        <f>IF(AND(Inputs!$B$38&lt;&gt;"pvp",Inputs!$B$43&gt;0),IF(MAX(0,Inputs!$B$43-B181)&lt;=0,0,(INT(MAX(0,Inputs!$B$43-B181)/IF(Inputs!$B$38="pvp",15,MAX(0.1,Skills!D8-IF(Skills!E8=TRUE,Inputs!$B$32,0))))+1)),0)</f>
        <v/>
      </c>
      <c r="S156">
        <f>IF(C156,(H156*N156*IF(AND(Inputs!$B$38&lt;&gt;"pvp",Inputs!$B$43&gt;0),((Skills!F8*((R156-1)*IF(Skills!G8&gt;0,Skills!H8/Skills!G8,1)+IF(Skills!G8&gt;0,MIN(Skills!H8,MAX(0,MAX(0,Inputs!$B$43-B181)-((R156-1)*IF(Inputs!$B$38="pvp",15,MAX(0.1,Skills!D8-IF(Skills!E8=TRUE,Inputs!$B$32,0))))))/Skills!G8,1)))/Inputs!$B$43),G156*Q156))*IF(Inputs!$B$38="pvp",1,1+(Inputs!$B$20+Skills!O8+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
        <f>IF(C156,(H156*N156*IF(AND(Inputs!$B$38&lt;&gt;"pvp",Inputs!$B$43&gt;0),((Skills!F8*((R156-1)*IF(Skills!G8&gt;0,Skills!H8/Skills!G8,1)+IF(Skills!G8&gt;0,MIN(Skills!H8,MAX(0,MAX(0,Inputs!$B$43-B181)-((R156-1)*IF(Inputs!$B$38="pvp",15,MAX(0.1,Skills!D8-IF(Skills!E8=TRUE,Inputs!$B$32,0))))))/Skills!G8,1)))/Inputs!$B$43),G156*Q156))*IF(Inputs!$B$38="pvp",1,(1+(Inputs!$B$21+Skills!P8+B175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Skills!A9</f>
        <v/>
      </c>
      <c r="B157">
        <f>Skills!B9</f>
        <v/>
      </c>
      <c r="C157">
        <f>Inputs!$B$3&gt;=105</f>
        <v/>
      </c>
      <c r="D157">
        <f>IF(Skills!C9=1,60+Inputs!$B$25+Inputs!$B$29,IF(Skills!C9=2,90+Inputs!$B$26+Inputs!$B$29,IF(Skills!C9=3,120+Inputs!$B$27+Inputs!$B$29,MAX(0,(Inputs!$B$3-100)*3)+Inputs!$B$28+Inputs!$B$29)))</f>
        <v/>
      </c>
      <c r="E157">
        <f>INDEX(FactorTable!$B$2:$Y$301, MATCH(ROUND(MIN(300,MAX(1,D157)),0), FactorTable!$A$2:$A$301,0), Skills!L9+1)</f>
        <v/>
      </c>
      <c r="F157">
        <f>IF(Skills!M9=TRUE,(Skills!K9/10)*(E157/1000),Skills!K9/10)+Skills!N9</f>
        <v/>
      </c>
      <c r="G157">
        <f>Calc!G9</f>
        <v/>
      </c>
      <c r="H157">
        <f>Calc!H9</f>
        <v/>
      </c>
      <c r="I157">
        <f>IF(Skills!T9&lt;&gt;"",1+(Skills!T9/10)*(Z151/1000)/100,1)</f>
        <v/>
      </c>
      <c r="J157">
        <f>((Inputs!$B$6*(1+Inputs!$B$7/100))+(((Inputs!$B$12*(1+Inputs!$B$13/100))-(Inputs!$B$12*(1+Inputs!$B$13/100)))+0.25*(Inputs!$B$14-Inputs!$B$14))*(1+Inputs!$B$7/100))*(F157/100)</f>
        <v/>
      </c>
      <c r="K157">
        <f>J157*(1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166-Calc!F18),(Inputs!$B$23+(IF(ArtifactsInput!$M$15,CHOOSE(ArtifactsInput!$N$15+1,25,30,35,40,45,50)/100*(Inputs!$B$11-Inputs!$B$11),0))))/100+(Inputs!$B$23+(IF(ArtifactsInput!$M$15,CHOOSE(ArtifactsInput!$N$15+1,25,30,35,40,45,50)/100*(Inputs!$B$11-Inputs!$B$11),0)))/100)/2</f>
        <v/>
      </c>
      <c r="M157">
        <f>L157*(1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IF(B184=0,0,O157/B184)</f>
        <v/>
      </c>
      <c r="Q157">
        <f>IFERROR(1/IF(Inputs!$B$38="pvp",15,MAX(0.1,Skills!D9-IF(Skills!E9=TRUE,Inputs!$B$32,0))),0)</f>
        <v/>
      </c>
      <c r="R157">
        <f>IF(AND(Inputs!$B$38&lt;&gt;"pvp",Inputs!$B$43&gt;0),IF(MAX(0,Inputs!$B$43-B181)&lt;=0,0,(INT(MAX(0,Inputs!$B$43-B181)/IF(Inputs!$B$38="pvp",15,MAX(0.1,Skills!D9-IF(Skills!E9=TRUE,Inputs!$B$32,0))))+1)),0)</f>
        <v/>
      </c>
      <c r="S157">
        <f>IF(C157,(H157*N157*IF(AND(Inputs!$B$38&lt;&gt;"pvp",Inputs!$B$43&gt;0),((Skills!F9*((R157-1)*IF(Skills!G9&gt;0,Skills!H9/Skills!G9,1)+IF(Skills!G9&gt;0,MIN(Skills!H9,MAX(0,MAX(0,Inputs!$B$43-B181)-((R157-1)*IF(Inputs!$B$38="pvp",15,MAX(0.1,Skills!D9-IF(Skills!E9=TRUE,Inputs!$B$32,0))))))/Skills!G9,1)))/Inputs!$B$43),G157*Q157))*IF(Inputs!$B$38="pvp",1,1+(Inputs!$B$20+Skills!O9+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9*((R157-1)*IF(Skills!G9&gt;0,Skills!H9/Skills!G9,1)+IF(Skills!G9&gt;0,MIN(Skills!H9,MAX(0,MAX(0,Inputs!$B$43-B181)-((R157-1)*IF(Inputs!$B$38="pvp",15,MAX(0.1,Skills!D9-IF(Skills!E9=TRUE,Inputs!$B$32,0))))))/Skills!G9,1)))/Inputs!$B$43),G157*Q157))*IF(Inputs!$B$38="pvp",1,(1+(Inputs!$B$21+Skills!P9+B175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Skills!A10</f>
        <v/>
      </c>
      <c r="B158">
        <f>Skills!B10</f>
        <v/>
      </c>
      <c r="C158">
        <f>Inputs!$B$3&gt;=113</f>
        <v/>
      </c>
      <c r="D158">
        <f>IF(Skills!C10=1,60+Inputs!$B$25+Inputs!$B$29,IF(Skills!C10=2,90+Inputs!$B$26+Inputs!$B$29,IF(Skills!C10=3,120+Inputs!$B$27+Inputs!$B$29,MAX(0,(Inputs!$B$3-100)*3)+Inputs!$B$28+Inputs!$B$29)))</f>
        <v/>
      </c>
      <c r="E158">
        <f>INDEX(FactorTable!$B$2:$Y$301, MATCH(ROUND(MIN(300,MAX(1,D158)),0), FactorTable!$A$2:$A$301,0), Skills!L10+1)</f>
        <v/>
      </c>
      <c r="F158">
        <f>IF(Skills!M10=TRUE,(Skills!K10/10)*(E158/1000),Skills!K10/10)+Skills!N10</f>
        <v/>
      </c>
      <c r="G158">
        <f>Calc!G10</f>
        <v/>
      </c>
      <c r="H158">
        <f>Calc!H10</f>
        <v/>
      </c>
      <c r="I158">
        <f>IF(Skills!T10&lt;&gt;"",1+(Skills!T10/10)*(Z151/1000)/100,1)</f>
        <v/>
      </c>
      <c r="J158">
        <f>((Inputs!$B$6*(1+Inputs!$B$7/100))+(((Inputs!$B$12*(1+Inputs!$B$13/100))-(Inputs!$B$12*(1+Inputs!$B$13/100)))+0.25*(Inputs!$B$14-Inputs!$B$14))*(1+Inputs!$B$7/100))*(F158/100)</f>
        <v/>
      </c>
      <c r="K158">
        <f>J158*(1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166-Calc!F18),(Inputs!$B$23+(IF(ArtifactsInput!$M$15,CHOOSE(ArtifactsInput!$N$15+1,25,30,35,40,45,50)/100*(Inputs!$B$11-Inputs!$B$11),0))))/100+(Inputs!$B$23+(IF(ArtifactsInput!$M$15,CHOOSE(ArtifactsInput!$N$15+1,25,30,35,40,45,50)/100*(Inputs!$B$11-Inputs!$B$11),0)))/100)/2</f>
        <v/>
      </c>
      <c r="M158">
        <f>L158*(1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IF(B184=0,0,O158/B184)</f>
        <v/>
      </c>
      <c r="Q158">
        <f>IFERROR(1/IF(Inputs!$B$38="pvp",15,MAX(0.1,Skills!D10-IF(Skills!E9=TRUE,Inputs!$B$32,0))),0)</f>
        <v/>
      </c>
      <c r="R158">
        <f>IF(AND(Inputs!$B$38&lt;&gt;"pvp",Inputs!$B$43&gt;0),IF(MAX(0,Inputs!$B$43-B181)&lt;=0,0,(INT(MAX(0,Inputs!$B$43-B181)/IF(Inputs!$B$38="pvp",15,MAX(0.1,Skills!D10-IF(Skills!E9=TRUE,Inputs!$B$32,0))))+1)),0)</f>
        <v/>
      </c>
      <c r="S158">
        <f>IF(C158,(H158*N158*IF(AND(Inputs!$B$38&lt;&gt;"pvp",Inputs!$B$43&gt;0),((Skills!F10*((R158-1)*IF(Skills!G10&gt;0,Skills!H10/Skills!G10,1)+IF(Skills!G10&gt;0,MIN(Skills!H10,MAX(0,MAX(0,Inputs!$B$43-B181)-((R158-1)*IF(Inputs!$B$38="pvp",15,MAX(0.1,Skills!D10-IF(Skills!E9=TRUE,Inputs!$B$32,0))))))/Skills!G10,1)))/Inputs!$B$43),G158*Q158))*IF(Inputs!$B$38="pvp",1,1+(Inputs!$B$20+Skills!O10+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10*((R158-1)*IF(Skills!G10&gt;0,Skills!H10/Skills!G10,1)+IF(Skills!G10&gt;0,MIN(Skills!H10,MAX(0,MAX(0,Inputs!$B$43-B181)-((R158-1)*IF(Inputs!$B$38="pvp",15,MAX(0.1,Skills!D10-IF(Skills!E9=TRUE,Inputs!$B$32,0))))))/Skills!G10,1)))/Inputs!$B$43),G158*Q158))*IF(Inputs!$B$38="pvp",1,(1+(Inputs!$B$21+Skills!P10+B175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Skills!A11</f>
        <v/>
      </c>
      <c r="B159">
        <f>Skills!B11</f>
        <v/>
      </c>
      <c r="C159">
        <f>Inputs!$B$3&gt;=107</f>
        <v/>
      </c>
      <c r="D159">
        <f>IF(Skills!C11=1,60+Inputs!$B$25+Inputs!$B$29,IF(Skills!C11=2,90+Inputs!$B$26+Inputs!$B$29,IF(Skills!C11=3,120+Inputs!$B$27+Inputs!$B$29,MAX(0,(Inputs!$B$3-100)*3)+Inputs!$B$28+Inputs!$B$29)))</f>
        <v/>
      </c>
      <c r="E159">
        <f>INDEX(FactorTable!$B$2:$Y$301, MATCH(ROUND(MIN(300,MAX(1,D159)),0), FactorTable!$A$2:$A$301,0), Skills!L11+1)</f>
        <v/>
      </c>
      <c r="F159">
        <f>IF(Skills!M11=TRUE,(Skills!K11/10)*(E159/1000),Skills!K11/10)+Skills!N11</f>
        <v/>
      </c>
      <c r="G159">
        <f>Calc!G11</f>
        <v/>
      </c>
      <c r="H159">
        <f>Calc!H11</f>
        <v/>
      </c>
      <c r="I159">
        <f>IF(Skills!T11&lt;&gt;"",1+(Skills!T11/10)*(Z151/1000)/100,1)</f>
        <v/>
      </c>
      <c r="J159">
        <f>((Inputs!$B$6*(1+Inputs!$B$7/100))+(((Inputs!$B$12*(1+Inputs!$B$13/100))-(Inputs!$B$12*(1+Inputs!$B$13/100)))+0.25*(Inputs!$B$14-Inputs!$B$14))*(1+Inputs!$B$7/100))*(F159/100)</f>
        <v/>
      </c>
      <c r="K159">
        <f>J159*(1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166-Calc!F18),(Inputs!$B$23+(IF(ArtifactsInput!$M$15,CHOOSE(ArtifactsInput!$N$15+1,25,30,35,40,45,50)/100*(Inputs!$B$11-Inputs!$B$11),0))))/100+(Inputs!$B$23+(IF(ArtifactsInput!$M$15,CHOOSE(ArtifactsInput!$N$15+1,25,30,35,40,45,50)/100*(Inputs!$B$11-Inputs!$B$11),0)))/100)/2</f>
        <v/>
      </c>
      <c r="M159">
        <f>L159*(1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IF(B184=0,0,O159/B184)</f>
        <v/>
      </c>
      <c r="Q159">
        <f>IFERROR(1/IF(Inputs!$B$38="pvp",15,MAX(0.1,Skills!D11-IF(Skills!E11=TRUE,Inputs!$B$32,0))),0)</f>
        <v/>
      </c>
      <c r="R159">
        <f>IF(AND(Inputs!$B$38&lt;&gt;"pvp",Inputs!$B$43&gt;0),IF(MAX(0,Inputs!$B$43-B181)&lt;=0,0,(INT(MAX(0,Inputs!$B$43-B181)/IF(Inputs!$B$38="pvp",15,MAX(0.1,Skills!D11-IF(Skills!E11=TRUE,Inputs!$B$32,0))))+1)),0)</f>
        <v/>
      </c>
      <c r="S159">
        <f>IF(C159,H159*N159*IF(AND(Inputs!$B$38&lt;&gt;"pvp",Inputs!$B$43&gt;0),((Skills!F11*((R159-1)*IF(Skills!G11&gt;0,Skills!H11/Skills!G11,1)+IF(Skills!G11&gt;0,MIN(Skills!H11,MAX(0,MAX(0,Inputs!$B$43-B181)-((R159-1)*IF(Inputs!$B$38="pvp",15,MAX(0.1,Skills!D11-IF(Skills!E11=TRUE,Inputs!$B$32,0))))))/Skills!G11,1)))/Inputs!$B$43),G159*Q159)*0.5*IF(Inputs!$B$38="pvp",1,1+(Inputs!$B$20+Skills!O11+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11*((R159-1)*IF(Skills!G11&gt;0,Skills!H11/Skills!G11,1)+IF(Skills!G11&gt;0,MIN(Skills!H11,MAX(0,MAX(0,Inputs!$B$43-B181)-((R159-1)*IF(Inputs!$B$38="pvp",15,MAX(0.1,Skills!D11-IF(Skills!E11=TRUE,Inputs!$B$32,0))))))/Skills!G11,1)))/Inputs!$B$43),G159*Q159)*1*IF(Inputs!$B$38="pvp",1,(1+(Inputs!$B$21+Skills!P11+B175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Skills!A12</f>
        <v/>
      </c>
      <c r="B160">
        <f>Skills!B12</f>
        <v/>
      </c>
      <c r="C160">
        <f>Inputs!$B$3&gt;=115</f>
        <v/>
      </c>
      <c r="D160">
        <f>IF(Skills!C12=1,60+Inputs!$B$25+Inputs!$B$29,IF(Skills!C12=2,90+Inputs!$B$26+Inputs!$B$29,IF(Skills!C12=3,120+Inputs!$B$27+Inputs!$B$29,MAX(0,(Inputs!$B$3-100)*3)+Inputs!$B$28+Inputs!$B$29)))</f>
        <v/>
      </c>
      <c r="E160">
        <f>INDEX(FactorTable!$B$2:$Y$301, MATCH(ROUND(MIN(300,MAX(1,D160)),0), FactorTable!$A$2:$A$301,0), Skills!L12+1)</f>
        <v/>
      </c>
      <c r="F160">
        <f>IF(Skills!M12=TRUE,(Skills!K12/10)*(E160/1000),Skills!K12/10)+Skills!N12</f>
        <v/>
      </c>
      <c r="G160">
        <f>Calc!G12</f>
        <v/>
      </c>
      <c r="H160">
        <f>Calc!H12</f>
        <v/>
      </c>
      <c r="I160">
        <f>IF(Skills!T12&lt;&gt;"",1+(Skills!T12/10)*(Z151/1000)/100,1)</f>
        <v/>
      </c>
      <c r="J160">
        <f>((Inputs!$B$6*(1+Inputs!$B$7/100))+(((Inputs!$B$12*(1+Inputs!$B$13/100))-(Inputs!$B$12*(1+Inputs!$B$13/100)))+0.25*(Inputs!$B$14-Inputs!$B$14))*(1+Inputs!$B$7/100))*(F160/100)</f>
        <v/>
      </c>
      <c r="K160">
        <f>J160*(1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166-Calc!F18),(Inputs!$B$23+(IF(ArtifactsInput!$M$15,CHOOSE(ArtifactsInput!$N$15+1,25,30,35,40,45,50)/100*(Inputs!$B$11-Inputs!$B$11),0))))/100+(Inputs!$B$23+(IF(ArtifactsInput!$M$15,CHOOSE(ArtifactsInput!$N$15+1,25,30,35,40,45,50)/100*(Inputs!$B$11-Inputs!$B$11),0)))/100)/2</f>
        <v/>
      </c>
      <c r="M160">
        <f>L160*(1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IF(B184=0,0,O160/B184)</f>
        <v/>
      </c>
      <c r="Q160">
        <f>IFERROR(1/IF(Inputs!$B$38="pvp",15,MAX(0.1,Skills!D12-IF(Skills!E12=TRUE,Inputs!$B$32,0))),0)</f>
        <v/>
      </c>
      <c r="R160">
        <f>IF(AND(Inputs!$B$38&lt;&gt;"pvp",Inputs!$B$43&gt;0),IF(MAX(0,Inputs!$B$43-B181)&lt;=0,0,(INT(MAX(0,Inputs!$B$43-B181)/IF(Inputs!$B$38="pvp",15,MAX(0.1,Skills!D12-IF(Skills!E12=TRUE,Inputs!$B$32,0))))+1)),0)</f>
        <v/>
      </c>
      <c r="S160">
        <f>IF(C160,(H160*N160*IF(AND(Inputs!$B$38&lt;&gt;"pvp",Inputs!$B$43&gt;0),((Skills!F12*((R160-1)*IF(Skills!G12&gt;0,Skills!H12/Skills!G12,1)+IF(Skills!G12&gt;0,MIN(Skills!H12,MAX(0,MAX(0,Inputs!$B$43-B181)-((R160-1)*IF(Inputs!$B$38="pvp",15,MAX(0.1,Skills!D12-IF(Skills!E12=TRUE,Inputs!$B$32,0))))))/Skills!G12,1)))/Inputs!$B$43),G160*Q160))*IF(Inputs!$B$38="pvp",1,1+(Inputs!$B$20+Skills!O12+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12*((R160-1)*IF(Skills!G12&gt;0,Skills!H12/Skills!G12,1)+IF(Skills!G12&gt;0,MIN(Skills!H12,MAX(0,MAX(0,Inputs!$B$43-B181)-((R160-1)*IF(Inputs!$B$38="pvp",15,MAX(0.1,Skills!D12-IF(Skills!E12=TRUE,Inputs!$B$32,0))))))/Skills!G12,1)))/Inputs!$B$43),G160*Q160))*IF(Inputs!$B$38="pvp",1,(1+(Inputs!$B$21+Skills!P12+B175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Skills!A13</f>
        <v/>
      </c>
      <c r="B161">
        <f>Skills!B13</f>
        <v/>
      </c>
      <c r="C161">
        <f>Inputs!$B$3&gt;=49</f>
        <v/>
      </c>
      <c r="D161">
        <f>IF(Skills!C13=1,60+Inputs!$B$25+Inputs!$B$29,IF(Skills!C13=2,90+Inputs!$B$26+Inputs!$B$29,IF(Skills!C13=3,120+Inputs!$B$27+Inputs!$B$29,MAX(0,(Inputs!$B$3-100)*3)+Inputs!$B$28+Inputs!$B$29)))</f>
        <v/>
      </c>
      <c r="E161">
        <f>INDEX(FactorTable!$B$2:$Y$301, MATCH(ROUND(MIN(300,MAX(1,D161)),0), FactorTable!$A$2:$A$301,0), Skills!L13+1)</f>
        <v/>
      </c>
      <c r="F161">
        <f>IF(Skills!M13=TRUE,(Skills!K13/10)*(E161/1000),Skills!K13/10)+Skills!N13</f>
        <v/>
      </c>
      <c r="G161">
        <f>Calc!G13</f>
        <v/>
      </c>
      <c r="H161">
        <f>Calc!H13</f>
        <v/>
      </c>
      <c r="I161">
        <f>IF(Skills!T13&lt;&gt;"",1+(Skills!T13/10)*(Z151/1000)/100,1)</f>
        <v/>
      </c>
      <c r="J161" t="inlineStr"/>
      <c r="K161" t="inlineStr"/>
      <c r="L161" t="inlineStr"/>
      <c r="M161" t="inlineStr"/>
      <c r="N161" t="inlineStr"/>
      <c r="O161">
        <f>(1-Summary!$B$11)*S161+Summary!$B$11*U161</f>
        <v/>
      </c>
      <c r="P161">
        <f>IF(B184=0,0,O161/B184)</f>
        <v/>
      </c>
      <c r="Q161">
        <f>IFERROR(1/IF(Inputs!$B$38="pvp",15,MAX(0.1,Skills!D13-IF(Skills!E13=TRUE,Inputs!$B$32,0))),0)</f>
        <v/>
      </c>
      <c r="R161" t="n">
        <v>0</v>
      </c>
      <c r="S161" t="n">
        <v>0</v>
      </c>
      <c r="U161" t="n">
        <v>0</v>
      </c>
    </row>
    <row r="162">
      <c r="A162">
        <f>Skills!A14</f>
        <v/>
      </c>
      <c r="B162">
        <f>Skills!B14</f>
        <v/>
      </c>
      <c r="C162">
        <f>Inputs!$B$3&gt;=72</f>
        <v/>
      </c>
      <c r="D162">
        <f>IF(Skills!C14=1,60+Inputs!$B$25+Inputs!$B$29,IF(Skills!C14=2,90+Inputs!$B$26+Inputs!$B$29,IF(Skills!C14=3,120+Inputs!$B$27+Inputs!$B$29,MAX(0,(Inputs!$B$3-100)*3)+Inputs!$B$28+Inputs!$B$29)))</f>
        <v/>
      </c>
      <c r="E162">
        <f>INDEX(FactorTable!$B$2:$Y$301, MATCH(ROUND(MIN(300,MAX(1,D162)),0), FactorTable!$A$2:$A$301,0), Skills!L14+1)</f>
        <v/>
      </c>
      <c r="F162">
        <f>IF(Skills!M14=TRUE,(Skills!K14/10)*(E162/1000),Skills!K14/10)+Skills!N14</f>
        <v/>
      </c>
      <c r="G162">
        <f>Calc!G14</f>
        <v/>
      </c>
      <c r="H162">
        <f>Calc!H14</f>
        <v/>
      </c>
      <c r="I162">
        <f>IF(Skills!T14&lt;&gt;"",1+(Skills!T14/10)*(Z151/1000)/100,1)</f>
        <v/>
      </c>
      <c r="J162" t="inlineStr"/>
      <c r="K162" t="inlineStr"/>
      <c r="L162" t="inlineStr"/>
      <c r="M162" t="inlineStr"/>
      <c r="N162" t="inlineStr"/>
      <c r="O162">
        <f>(1-Summary!$B$11)*S162+Summary!$B$11*U162</f>
        <v/>
      </c>
      <c r="P162">
        <f>IF(B184=0,0,O162/B184)</f>
        <v/>
      </c>
      <c r="Q162">
        <f>IFERROR(1/IF(Inputs!$B$38="pvp",15,MAX(0.1,Skills!D14-IF(Skills!E14=TRUE,Inputs!$B$32,0))),0)</f>
        <v/>
      </c>
      <c r="R162" t="n">
        <v>0</v>
      </c>
      <c r="S162" t="n">
        <v>0</v>
      </c>
      <c r="U162" t="n">
        <v>0</v>
      </c>
    </row>
    <row r="163">
      <c r="A163">
        <f>Skills!A15</f>
        <v/>
      </c>
      <c r="B163">
        <f>Skills!B15</f>
        <v/>
      </c>
      <c r="C163">
        <f>Inputs!$B$3&gt;=75</f>
        <v/>
      </c>
      <c r="D163">
        <f>IF(Skills!C15=1,60+Inputs!$B$25+Inputs!$B$29,IF(Skills!C15=2,90+Inputs!$B$26+Inputs!$B$29,IF(Skills!C15=3,120+Inputs!$B$27+Inputs!$B$29,MAX(0,(Inputs!$B$3-100)*3)+Inputs!$B$28+Inputs!$B$29)))</f>
        <v/>
      </c>
      <c r="E163">
        <f>INDEX(FactorTable!$B$2:$Y$301, MATCH(ROUND(MIN(300,MAX(1,D163)),0), FactorTable!$A$2:$A$301,0), Skills!L15+1)</f>
        <v/>
      </c>
      <c r="F163">
        <f>IF(Skills!M15=TRUE,(Skills!K15/10)*(E163/1000),Skills!K15/10)+Skills!N15</f>
        <v/>
      </c>
      <c r="G163">
        <f>Calc!G15</f>
        <v/>
      </c>
      <c r="H163">
        <f>Calc!H15</f>
        <v/>
      </c>
      <c r="I163">
        <f>IF(Skills!T15&lt;&gt;"",1+(Skills!T15/10)*(Z151/1000)/100,1)</f>
        <v/>
      </c>
      <c r="J163" t="inlineStr"/>
      <c r="K163" t="inlineStr"/>
      <c r="L163" t="inlineStr"/>
      <c r="M163" t="inlineStr"/>
      <c r="N163" t="inlineStr"/>
      <c r="O163">
        <f>(1-Summary!$B$11)*S163+Summary!$B$11*U163</f>
        <v/>
      </c>
      <c r="P163">
        <f>IF(B184=0,0,O163/B184)</f>
        <v/>
      </c>
      <c r="Q163">
        <f>IFERROR(1/IF(Inputs!$B$38="pvp",15,MAX(0.1,Skills!D15-IF(Skills!E15=TRUE,Inputs!$B$32,0))),0)</f>
        <v/>
      </c>
      <c r="R163" t="n">
        <v>0</v>
      </c>
      <c r="S163" t="n">
        <v>0</v>
      </c>
      <c r="U163" t="n">
        <v>0</v>
      </c>
    </row>
    <row r="164">
      <c r="A164">
        <f>Skills!A16</f>
        <v/>
      </c>
      <c r="B164">
        <f>Skills!B16</f>
        <v/>
      </c>
      <c r="C164">
        <f>Inputs!$B$3&gt;=110</f>
        <v/>
      </c>
      <c r="D164">
        <f>IF(Skills!C16=1,60+Inputs!$B$25+Inputs!$B$29,IF(Skills!C16=2,90+Inputs!$B$26+Inputs!$B$29,IF(Skills!C16=3,120+Inputs!$B$27+Inputs!$B$29,MAX(0,(Inputs!$B$3-100)*3)+Inputs!$B$28+Inputs!$B$29)))</f>
        <v/>
      </c>
      <c r="E164">
        <f>INDEX(FactorTable!$B$2:$Y$301, MATCH(ROUND(MIN(300,MAX(1,D164)),0), FactorTable!$A$2:$A$301,0), Skills!L16+1)</f>
        <v/>
      </c>
      <c r="F164">
        <f>(Skills!K16/10)*(E164/1000)*64/45+Skills!N16</f>
        <v/>
      </c>
      <c r="G164">
        <f>Calc!G16</f>
        <v/>
      </c>
      <c r="H164">
        <f>Calc!H16</f>
        <v/>
      </c>
      <c r="I164">
        <f>IF(Skills!T16&lt;&gt;"",1+(Skills!T16/10)*(Z151/1000)/100,1)</f>
        <v/>
      </c>
      <c r="J164" t="inlineStr"/>
      <c r="K164" t="inlineStr"/>
      <c r="L164" t="inlineStr"/>
      <c r="M164" t="inlineStr"/>
      <c r="N164" t="inlineStr"/>
      <c r="O164">
        <f>(1-Summary!$B$11)*S164+Summary!$B$11*U164</f>
        <v/>
      </c>
      <c r="P164">
        <f>IF(B184=0,0,O164/B184)</f>
        <v/>
      </c>
      <c r="Q164">
        <f>IFERROR(1/IF(Inputs!$B$38="pvp",15,MAX(0.1,Skills!D16-IF(Skills!E16=TRUE,Inputs!$B$32,0))),0)</f>
        <v/>
      </c>
      <c r="R164">
        <f>IF(AND(Inputs!$B$38&lt;&gt;"pvp",Inputs!$B$43&gt;0),IF(Inputs!$B$43&lt;=0,0,(INT(Inputs!$B$43/IF(Inputs!$B$38="pvp",15,MAX(0.1,Skills!D16-IF(Skills!E16=TRUE,Inputs!$B$32,0))))+1)),0)</f>
        <v/>
      </c>
      <c r="S164" t="n">
        <v>0</v>
      </c>
      <c r="U164" t="n">
        <v>0</v>
      </c>
    </row>
    <row r="165">
      <c r="A165">
        <f>Skills!A17</f>
        <v/>
      </c>
      <c r="B165">
        <f>Skills!B17</f>
        <v/>
      </c>
      <c r="C165">
        <f>Inputs!$B$3&gt;=33</f>
        <v/>
      </c>
      <c r="D165">
        <f>IF(Skills!C17=1,60+Inputs!$B$25+Inputs!$B$29,IF(Skills!C17=2,90+Inputs!$B$26+Inputs!$B$29,IF(Skills!C17=3,120+Inputs!$B$27+Inputs!$B$29,MAX(0,(Inputs!$B$3-100)*3)+Inputs!$B$28+Inputs!$B$29)))</f>
        <v/>
      </c>
      <c r="E165">
        <f>INDEX(FactorTable!$B$2:$Y$301, MATCH(ROUND(MIN(300,MAX(1,D165)),0), FactorTable!$A$2:$A$301,0), Skills!L17+1)</f>
        <v/>
      </c>
      <c r="F165">
        <f>IF(Skills!M17=TRUE,(Skills!K17/10)*(E165/1000),Skills!K17/10)+Skills!N17</f>
        <v/>
      </c>
      <c r="G165">
        <f>Calc!G17</f>
        <v/>
      </c>
      <c r="H165">
        <f>Calc!H17</f>
        <v/>
      </c>
      <c r="I165">
        <f>IF(Skills!T17&lt;&gt;"",1+(Skills!T17/10)*(Z151/1000)/100,1)</f>
        <v/>
      </c>
      <c r="J165" t="inlineStr"/>
      <c r="K165" t="inlineStr"/>
      <c r="L165" t="inlineStr"/>
      <c r="M165" t="inlineStr"/>
      <c r="N165" t="inlineStr"/>
      <c r="O165">
        <f>(1-Summary!$B$11)*S165+Summary!$B$11*U165</f>
        <v/>
      </c>
      <c r="P165">
        <f>IF(B184=0,0,O165/B184)</f>
        <v/>
      </c>
      <c r="Q165">
        <f>IFERROR(1/IF(Inputs!$B$38="pvp",15,MAX(0.1,Skills!D17-IF(Skills!E17=TRUE,Inputs!$B$32,0))),0)</f>
        <v/>
      </c>
      <c r="R165" t="n">
        <v>0</v>
      </c>
      <c r="S165" t="n">
        <v>0</v>
      </c>
      <c r="U165" t="n">
        <v>0</v>
      </c>
    </row>
    <row r="166">
      <c r="A166">
        <f>Skills!A18</f>
        <v/>
      </c>
      <c r="B166">
        <f>Skills!B18</f>
        <v/>
      </c>
      <c r="C166">
        <f>Inputs!$B$3&gt;=43</f>
        <v/>
      </c>
      <c r="D166">
        <f>IF(Skills!C18=1,60+Inputs!$B$25+Inputs!$B$29,IF(Skills!C18=2,90+Inputs!$B$26+Inputs!$B$29,IF(Skills!C18=3,120+Inputs!$B$27+Inputs!$B$29,MAX(0,(Inputs!$B$3-100)*3)+Inputs!$B$28+Inputs!$B$29)))</f>
        <v/>
      </c>
      <c r="E166">
        <f>INDEX(FactorTable!$B$2:$Y$301, MATCH(ROUND(MIN(300,MAX(1,D166)),0), FactorTable!$A$2:$A$301,0), Skills!L18+1)</f>
        <v/>
      </c>
      <c r="F166">
        <f>IF(Skills!M18=TRUE,(Skills!K18/10)*(E166/1000),Skills!K18/10)+Skills!N18</f>
        <v/>
      </c>
      <c r="G166">
        <f>Calc!G18</f>
        <v/>
      </c>
      <c r="H166">
        <f>Calc!H18</f>
        <v/>
      </c>
      <c r="I166">
        <f>IF(Skills!T18&lt;&gt;"",1+(Skills!T18/10)*(Z151/1000)/100,1)</f>
        <v/>
      </c>
      <c r="J166" t="inlineStr"/>
      <c r="K166" t="inlineStr"/>
      <c r="L166" t="inlineStr"/>
      <c r="M166" t="inlineStr"/>
      <c r="N166" t="inlineStr"/>
      <c r="O166">
        <f>(1-Summary!$B$11)*S166+Summary!$B$11*U166</f>
        <v/>
      </c>
      <c r="P166">
        <f>IF(B184=0,0,O166/B184)</f>
        <v/>
      </c>
      <c r="Q166">
        <f>IFERROR(1/IF(Inputs!$B$38="pvp",15,MAX(0.1,Skills!D18-IF(Skills!E18=TRUE,Inputs!$B$32,0))),0)</f>
        <v/>
      </c>
      <c r="R166" t="n">
        <v>0</v>
      </c>
      <c r="S166" t="n">
        <v>0</v>
      </c>
      <c r="U166" t="n">
        <v>0</v>
      </c>
    </row>
    <row r="167">
      <c r="A167">
        <f>Skills!A19</f>
        <v/>
      </c>
      <c r="B167">
        <f>Skills!B19</f>
        <v/>
      </c>
      <c r="C167">
        <f>Inputs!$B$3&gt;=50</f>
        <v/>
      </c>
      <c r="D167">
        <f>IF(Skills!C19=1,60+Inputs!$B$25+Inputs!$B$29,IF(Skills!C19=2,90+Inputs!$B$26+Inputs!$B$29,IF(Skills!C19=3,120+Inputs!$B$27+Inputs!$B$29,MAX(0,(Inputs!$B$3-100)*3)+Inputs!$B$28+Inputs!$B$29)))</f>
        <v/>
      </c>
      <c r="E167">
        <f>INDEX(FactorTable!$B$2:$Y$301, MATCH(ROUND(MIN(300,MAX(1,D167)),0), FactorTable!$A$2:$A$301,0), Skills!L19+1)</f>
        <v/>
      </c>
      <c r="F167">
        <f>IF(Skills!M19=TRUE,(Skills!K19/10)*(E167/1000),Skills!K19/10)+Skills!N19</f>
        <v/>
      </c>
      <c r="G167">
        <f>Calc!G19</f>
        <v/>
      </c>
      <c r="H167">
        <f>Calc!H19</f>
        <v/>
      </c>
      <c r="I167">
        <f>IF(Skills!T19&lt;&gt;"",1+(Skills!T19/10)*(Z151/1000)/100,1)</f>
        <v/>
      </c>
      <c r="J167" t="inlineStr"/>
      <c r="K167" t="inlineStr"/>
      <c r="L167" t="inlineStr"/>
      <c r="M167" t="inlineStr"/>
      <c r="N167" t="inlineStr"/>
      <c r="O167">
        <f>(1-Summary!$B$11)*S167+Summary!$B$11*U167</f>
        <v/>
      </c>
      <c r="P167">
        <f>IF(B184=0,0,O167/B184)</f>
        <v/>
      </c>
      <c r="Q167">
        <f>IFERROR(1/IF(Inputs!$B$38="pvp",15,MAX(0.1,Skills!D19-IF(Skills!E19=TRUE,Inputs!$B$32,0))),0)</f>
        <v/>
      </c>
      <c r="R167" t="n">
        <v>0</v>
      </c>
      <c r="S167" t="n">
        <v>0</v>
      </c>
      <c r="U167" t="n">
        <v>0</v>
      </c>
    </row>
    <row r="168">
      <c r="A168">
        <f>Skills!A20</f>
        <v/>
      </c>
      <c r="B168">
        <f>Skills!B20</f>
        <v/>
      </c>
      <c r="C168">
        <f>Inputs!$B$3&gt;=74</f>
        <v/>
      </c>
      <c r="D168">
        <f>IF(Skills!C20=1,60+Inputs!$B$25+Inputs!$B$29,IF(Skills!C20=2,90+Inputs!$B$26+Inputs!$B$29,IF(Skills!C20=3,120+Inputs!$B$27+Inputs!$B$29,MAX(0,(Inputs!$B$3-100)*3)+Inputs!$B$28+Inputs!$B$29)))</f>
        <v/>
      </c>
      <c r="E168">
        <f>INDEX(FactorTable!$B$2:$Y$301, MATCH(ROUND(MIN(300,MAX(1,D168)),0), FactorTable!$A$2:$A$301,0), Skills!L20+1)</f>
        <v/>
      </c>
      <c r="F168">
        <f>IF(Skills!M20=TRUE,(Skills!K20/10)*(E168/1000),Skills!K20/10)+Skills!N20</f>
        <v/>
      </c>
      <c r="G168">
        <f>Calc!G20</f>
        <v/>
      </c>
      <c r="H168">
        <f>Calc!H20</f>
        <v/>
      </c>
      <c r="I168">
        <f>IF(Skills!T20&lt;&gt;"",1+(Skills!T20/10)*(Z151/1000)/100,1)</f>
        <v/>
      </c>
      <c r="J168" t="inlineStr"/>
      <c r="K168" t="inlineStr"/>
      <c r="L168" t="inlineStr"/>
      <c r="M168" t="inlineStr"/>
      <c r="N168" t="inlineStr"/>
      <c r="O168">
        <f>(1-Summary!$B$11)*S168+Summary!$B$11*U168</f>
        <v/>
      </c>
      <c r="P168">
        <f>IF(B184=0,0,O168/B184)</f>
        <v/>
      </c>
      <c r="Q168">
        <f>IFERROR(1/IF(Inputs!$B$38="pvp",15,MAX(0.1,Skills!D20-IF(Skills!E20=TRUE,Inputs!$B$32,0))),0)</f>
        <v/>
      </c>
      <c r="R168" t="n">
        <v>0</v>
      </c>
      <c r="S168" t="n">
        <v>0</v>
      </c>
      <c r="U168" t="n">
        <v>0</v>
      </c>
    </row>
    <row r="169">
      <c r="A169">
        <f>Skills!A21</f>
        <v/>
      </c>
      <c r="B169">
        <f>Skills!B21</f>
        <v/>
      </c>
      <c r="C169">
        <f>Inputs!$B$3&gt;=74</f>
        <v/>
      </c>
      <c r="D169">
        <f>IF(Skills!C21=1,60+Inputs!$B$25+Inputs!$B$29,IF(Skills!C21=2,90+Inputs!$B$26+Inputs!$B$29,IF(Skills!C21=3,120+Inputs!$B$27+Inputs!$B$29,MAX(0,(Inputs!$B$3-100)*3)+Inputs!$B$28+Inputs!$B$29)))</f>
        <v/>
      </c>
      <c r="E169">
        <f>INDEX(FactorTable!$B$2:$Y$301, MATCH(ROUND(MIN(300,MAX(1,D169)),0), FactorTable!$A$2:$A$301,0), Skills!L21+1)</f>
        <v/>
      </c>
      <c r="F169">
        <f>IF(Skills!M21=TRUE,(Skills!K21/10)*(E169/1000),Skills!K21/10)+Skills!N21</f>
        <v/>
      </c>
      <c r="G169">
        <f>Calc!G21</f>
        <v/>
      </c>
      <c r="H169">
        <f>Calc!H21</f>
        <v/>
      </c>
      <c r="I169">
        <f>IF(Skills!T21&lt;&gt;"",1+(Skills!T21/10)*(Z151/1000)/100,1)</f>
        <v/>
      </c>
      <c r="J169" t="inlineStr"/>
      <c r="K169" t="inlineStr"/>
      <c r="L169" t="inlineStr"/>
      <c r="M169" t="inlineStr"/>
      <c r="N169" t="inlineStr"/>
      <c r="O169">
        <f>(1-Summary!$B$11)*S169+Summary!$B$11*U169</f>
        <v/>
      </c>
      <c r="P169">
        <f>IF(B184=0,0,O169/B184)</f>
        <v/>
      </c>
      <c r="Q169">
        <f>IFERROR(1/IF(Inputs!$B$38="pvp",15,MAX(0.1,Skills!D21-IF(Skills!E21=TRUE,Inputs!$B$32,0))),0)</f>
        <v/>
      </c>
      <c r="R169" t="n">
        <v>0</v>
      </c>
      <c r="S169" t="n">
        <v>0</v>
      </c>
      <c r="U169" t="n">
        <v>0</v>
      </c>
    </row>
    <row r="170">
      <c r="A170">
        <f>Skills!A22</f>
        <v/>
      </c>
      <c r="B170">
        <f>Skills!B22</f>
        <v/>
      </c>
      <c r="C170">
        <f>Inputs!$B$3&gt;=117</f>
        <v/>
      </c>
      <c r="D170">
        <f>IF(Skills!C22=1,60+Inputs!$B$25+Inputs!$B$29,IF(Skills!C22=2,90+Inputs!$B$26+Inputs!$B$29,IF(Skills!C22=3,120+Inputs!$B$27+Inputs!$B$29,MAX(0,(Inputs!$B$3-100)*3)+Inputs!$B$28+Inputs!$B$29)))</f>
        <v/>
      </c>
      <c r="E170">
        <f>INDEX(FactorTable!$B$2:$Y$301, MATCH(ROUND(MIN(300,MAX(1,D170)),0), FactorTable!$A$2:$A$301,0), Skills!L22+1)</f>
        <v/>
      </c>
      <c r="F170">
        <f>IF(Skills!M22=TRUE,(Skills!K22/10)*(E170/1000),Skills!K22/10)+Skills!N22</f>
        <v/>
      </c>
      <c r="G170">
        <f>Calc!G22</f>
        <v/>
      </c>
      <c r="H170">
        <f>Calc!H22</f>
        <v/>
      </c>
      <c r="I170">
        <f>IF(Skills!T22&lt;&gt;"",1+(Skills!T22/10)*(Z151/1000)/100,1)</f>
        <v/>
      </c>
      <c r="J170" t="inlineStr"/>
      <c r="K170" t="inlineStr"/>
      <c r="L170" t="inlineStr"/>
      <c r="M170" t="inlineStr"/>
      <c r="N170" t="inlineStr"/>
      <c r="O170">
        <f>(1-Summary!$B$11)*S170+Summary!$B$11*U170</f>
        <v/>
      </c>
      <c r="P170">
        <f>IF(B184=0,0,O170/B184)</f>
        <v/>
      </c>
      <c r="Q170">
        <f>IFERROR(1/IF(Inputs!$B$38="pvp",15,MAX(0.1,Skills!D22-IF(Skills!E22=TRUE,Inputs!$B$32,0))),0)</f>
        <v/>
      </c>
      <c r="R170" t="n">
        <v>0</v>
      </c>
      <c r="S170" t="n">
        <v>0</v>
      </c>
      <c r="U170" t="n">
        <v>0</v>
      </c>
    </row>
    <row r="171">
      <c r="A171">
        <f>Skills!A23</f>
        <v/>
      </c>
      <c r="B171">
        <f>Skills!B23</f>
        <v/>
      </c>
      <c r="C171">
        <f>Inputs!$B$3&gt;=120</f>
        <v/>
      </c>
      <c r="D171">
        <f>IF(Skills!C23=1,60+Inputs!$B$25+Inputs!$B$29,IF(Skills!C23=2,90+Inputs!$B$26+Inputs!$B$29,IF(Skills!C23=3,120+Inputs!$B$27+Inputs!$B$29,MAX(0,(Inputs!$B$3-100)*3)+Inputs!$B$28+Inputs!$B$29)))</f>
        <v/>
      </c>
      <c r="E171">
        <f>INDEX(FactorTable!$B$2:$Y$301, MATCH(ROUND(MIN(300,MAX(1,D171)),0), FactorTable!$A$2:$A$301,0), Skills!L23+1)</f>
        <v/>
      </c>
      <c r="F171">
        <f>IF(Skills!M23=TRUE,(Skills!K23/10)*(E171/1000),Skills!K23/10)+Skills!N23</f>
        <v/>
      </c>
      <c r="G171">
        <f>Calc!G23</f>
        <v/>
      </c>
      <c r="H171">
        <f>Calc!H23</f>
        <v/>
      </c>
      <c r="I171">
        <f>IF(Skills!T23&lt;&gt;"",1+(Skills!T23/10)*(Z151/1000)/100,1)</f>
        <v/>
      </c>
      <c r="J171" t="inlineStr"/>
      <c r="K171" t="inlineStr"/>
      <c r="L171" t="inlineStr"/>
      <c r="M171" t="inlineStr"/>
      <c r="N171" t="inlineStr"/>
      <c r="O171">
        <f>(1-Summary!$B$11)*S171+Summary!$B$11*U171</f>
        <v/>
      </c>
      <c r="P171">
        <f>IF(B184=0,0,O171/B184)</f>
        <v/>
      </c>
      <c r="Q171">
        <f>IFERROR(1/IF(Inputs!$B$38="pvp",15,MAX(0.1,Skills!D23-IF(Skills!E23=TRUE,Inputs!$B$32,0))),0)</f>
        <v/>
      </c>
      <c r="R171" t="n">
        <v>0</v>
      </c>
      <c r="S171" t="n">
        <v>0</v>
      </c>
      <c r="U171" t="n">
        <v>0</v>
      </c>
    </row>
    <row r="174">
      <c r="A174" t="inlineStr">
        <is>
          <t>Average Buff Multiplier (Magic Guard + Meditation + Artifact Attack%, summed; then Infinity)</t>
        </is>
      </c>
      <c r="B174">
        <f>(1+(IF(C151=TRUE,F151*IF(AND(Inputs!$B$38&lt;&gt;"pvp",Inputs!$B$43&gt;0),(((R151-1)*(Skills!S3*(1+(Inputs!$B$34+IF(Inputs!$B$3&gt;=117,F170,0))/100))+MIN((Skills!S3*(1+(Inputs!$B$34+IF(Inputs!$B$3&gt;=117,F170,0))/100)),MAX(0,Inputs!$B$43-((R151-1)*Skills!D3))))/Inputs!$B$43),IF(Inputs!$B$38="pvp",MIN((Skills!S3*(1+(Inputs!$B$34+IF(Inputs!$B$3&gt;=117,F170,0))/100)),15)/15,(Skills!S3*(1+(Inputs!$B$34+IF(Inputs!$B$3&gt;=117,F170,0))/100))/Skills!D3)),0)+IF(C152=TRUE,F152*IF(AND(Inputs!$B$38&lt;&gt;"pvp",Inputs!$B$43&gt;0),(((R152-1)*(Skills!S4*(1+(Inputs!$B$34+IF(Inputs!$B$3&gt;=117,F170,0))/100))+MIN((Skills!S4*(1+(Inputs!$B$34+IF(Inputs!$B$3&gt;=117,F170,0))/100)),MAX(0,Inputs!$B$43-((R152-1)*Skills!D4))))/Inputs!$B$43),IF(Inputs!$B$38="pvp",MIN((Skills!S4*(1+(Inputs!$B$34+IF(Inputs!$B$3&gt;=117,F170,0))/100)),15)/15,(Skills!S4*(1+(Inputs!$B$34+IF(Inputs!$B$3&gt;=117,F170,0)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TRUE,(1+F164*IF(AND(Inputs!$B$38&lt;&gt;"pvp",Inputs!$B$43&gt;0),(((R164-1)*(Skills!S16*(1+(Inputs!$B$34+IF(Inputs!$B$3&gt;=117,F170,0))/100))+MIN((Skills!S16*(1+(Inputs!$B$34+IF(Inputs!$B$3&gt;=117,F170,0))/100)),MAX(0,Inputs!$B$43-((R164-1)*Skills!D16))))/Inputs!$B$43),IF(Inputs!$B$38="pvp",MIN((Skills!S16*(1+(Inputs!$B$34+IF(Inputs!$B$3&gt;=117,F170,0))/100)),15)/15,(Skills!S16*(1+(Inputs!$B$34+IF(Inputs!$B$3&gt;=117,F170,0))/100))/Skills!D16))/100),1)</f>
        <v/>
      </c>
    </row>
    <row r="175">
      <c r="A175" t="inlineStr">
        <is>
          <t>Monster Damage Taken Bonus % (Freezing Breath - Weaken + Elemental Reset + Artifact Enemy Damage Taken, summed)</t>
        </is>
      </c>
      <c r="B175">
        <f>IF(Inputs!$B$3&gt;=118,15*IF(Inputs!$B$38="pvp",MIN((30*(1+(Inputs!$B$34+IF(Inputs!$B$3&gt;=117,F170,0))/100)),15)/15,(30*(1+(Inputs!$B$34+IF(Inputs!$B$3&gt;=117,F170,0))/100))/Skills!D8),0)+IF(C162=TRUE,F162,0)+(IF(AND(ArtifactsInput!$M$35,Inputs!$B$4&lt;&gt;"Chapter Hunt"),CHOOSE(ArtifactsInput!$N$35+1,15,18,21,24,27,30)*(1-EXP(-(0.2*B178)*5)),0)+IF(AND(ArtifactsInput!$M$22,Inputs!$B$4&lt;&gt;"Chapter Hunt"),CHOOSE(ArtifactsInput!$N$22+1,10,12,14,16,18,20)*((0*(((0.15*B178*5))^0/1)+1*(((0.15*B178*5))^1/1)+2*(((0.15*B178*5))^2/2)+3*(((0.15*B178*5))^3/6)+4*(((0.15*B178*5))^4/24)+5*(((0.15*B178*5))^5/120))/((((0.15*B178*5))^0/1)+(((0.15*B178*5))^1/1)+(((0.15*B178*5))^2/2)+(((0.15*B178*5))^3/6)+(((0.15*B178*5))^4/24)+(((0.15*B178*5))^5/120))),0))</f>
        <v/>
      </c>
    </row>
    <row r="176">
      <c r="A176" t="inlineStr">
        <is>
          <t>Damage % Bonus (Frozen Break + Frost Clutch, flat)</t>
        </is>
      </c>
      <c r="B176">
        <f>IF(Inputs!$B$3&gt;=66,15,0)+IF(Inputs!$B$3&gt;=98,10,0)+IF(Inputs!$B$3&gt;=125,20,0)</f>
        <v/>
      </c>
    </row>
    <row r="177">
      <c r="A177" t="inlineStr">
        <is>
          <t>Attack Speed Bonus % (MP Eater - MP Boost, always-on once unlocked)</t>
        </is>
      </c>
      <c r="B177">
        <f>IF(C161=TRUE,F161+(F165-Calc!F17),0)</f>
        <v/>
      </c>
    </row>
    <row r="178">
      <c r="A178" t="inlineStr">
        <is>
          <t>Actions Per Second</t>
        </is>
      </c>
      <c r="B178">
        <f>1+MIN(150,150*(1-(1-(Inputs!$B$11+(ArtifactsInput!$M$15-ArtifactsInput!$M$15)*CHOOSE(ArtifactsInput!$N$15+1,8,9.6,11.2,12.8,14.4,16))/150)*(1-B177/150)))/100</f>
        <v/>
      </c>
    </row>
    <row r="179">
      <c r="A179" t="inlineStr">
        <is>
          <t>Skill + Buff Cast Rate</t>
        </is>
      </c>
      <c r="B179">
        <f>IF(AND(Inputs!$B$38&lt;&gt;"pvp",Inputs!$B$43&gt;0),SUMPRODUCT((Skills!E2:E23=TRUE)*(C150:C171=TRUE)*R150:R171)/Inputs!$B$43,SUMPRODUCT((Skills!E2:E23=TRUE)*(C150:C171=TRUE)*Q150:Q171))</f>
        <v/>
      </c>
    </row>
    <row r="180">
      <c r="A180" t="inlineStr">
        <is>
          <t>Chain Lightning Casts Per Second</t>
        </is>
      </c>
      <c r="B180">
        <f>MAX(0,B178-B179)</f>
        <v/>
      </c>
    </row>
    <row r="181">
      <c r="A181" t="inlineStr">
        <is>
          <t>Buff-Casting Startup Delay (s, fixed-duration only)</t>
        </is>
      </c>
      <c r="B181">
        <f>IF(AND(Inputs!$B$38&lt;&gt;"pvp",Inputs!$B$43&gt;0),SUMPRODUCT((Skills!S2:S23&gt;0)*(Skills!E2:E23=TRUE)*(C150:C171=TRUE))/B178,0)</f>
        <v/>
      </c>
    </row>
    <row r="182">
      <c r="A182" t="inlineStr">
        <is>
          <t>Boss-Only Total DPS (this block's swept value)</t>
        </is>
      </c>
      <c r="B182">
        <f>SUM(S150:S171)</f>
        <v/>
      </c>
    </row>
    <row r="183">
      <c r="A183" t="inlineStr">
        <is>
          <t>Normal-Only Total DPS (this block's swept value)</t>
        </is>
      </c>
      <c r="B183">
        <f>SUM(U150:U171)</f>
        <v/>
      </c>
    </row>
    <row r="184">
      <c r="A184" s="6" t="inlineStr">
        <is>
          <t>TOTAL DPS</t>
        </is>
      </c>
      <c r="B184" s="6">
        <f>SUM(O150:O171)</f>
        <v/>
      </c>
    </row>
    <row r="187">
      <c r="A187" s="6" t="inlineStr">
        <is>
          <t>Stat: DAMAGE_AMP %</t>
        </is>
      </c>
    </row>
    <row r="188">
      <c r="A188" s="5" t="inlineStr">
        <is>
          <t>Key</t>
        </is>
      </c>
      <c r="B188" s="5" t="inlineStr">
        <is>
          <t>Name</t>
        </is>
      </c>
      <c r="C188" s="5" t="inlineStr">
        <is>
          <t>Unlocked</t>
        </is>
      </c>
      <c r="D188" s="5" t="inlineStr">
        <is>
          <t>InputLevel</t>
        </is>
      </c>
      <c r="E188" s="5" t="inlineStr">
        <is>
          <t>Factor</t>
        </is>
      </c>
      <c r="F188" s="5" t="inlineStr">
        <is>
          <t>CoefficientPercent</t>
        </is>
      </c>
      <c r="G188" s="5" t="inlineStr">
        <is>
          <t>EffectiveHits</t>
        </is>
      </c>
      <c r="H188" s="5" t="inlineStr">
        <is>
          <t>ProcProbability</t>
        </is>
      </c>
      <c r="I188" s="5" t="inlineStr">
        <is>
          <t>MapleHeroMultiplier</t>
        </is>
      </c>
      <c r="J188" s="5" t="inlineStr">
        <is>
          <t>BaseDamage</t>
        </is>
      </c>
      <c r="K188" s="5" t="inlineStr">
        <is>
          <t>BaseHitDamage</t>
        </is>
      </c>
      <c r="L188" s="5" t="inlineStr">
        <is>
          <t>NonCritAvg</t>
        </is>
      </c>
      <c r="M188" s="5" t="inlineStr">
        <is>
          <t>CritAvg</t>
        </is>
      </c>
      <c r="N188" s="5" t="inlineStr">
        <is>
          <t>ExpectedDamage(perHit)</t>
        </is>
      </c>
      <c r="O188" s="5" t="inlineStr">
        <is>
          <t>DPS</t>
        </is>
      </c>
      <c r="P188" s="5" t="inlineStr">
        <is>
          <t>% of Total</t>
        </is>
      </c>
      <c r="R188" t="inlineStr">
        <is>
          <t>helpers</t>
        </is>
      </c>
    </row>
    <row r="189">
      <c r="A189">
        <f>Skills!A2</f>
        <v/>
      </c>
      <c r="B189">
        <f>Skills!B2</f>
        <v/>
      </c>
      <c r="C189">
        <f>Inputs!$B$3&gt;=100</f>
        <v/>
      </c>
      <c r="D189" t="inlineStr"/>
      <c r="E189" t="inlineStr"/>
      <c r="F189">
        <f>T191+Skills!N2</f>
        <v/>
      </c>
      <c r="G189">
        <f>Calc!G2</f>
        <v/>
      </c>
      <c r="H189">
        <f>Calc!H2</f>
        <v/>
      </c>
      <c r="I189">
        <f>IF(Skills!T2&lt;&gt;"",1+(Skills!T2/10)*(Z190/1000)/100,1)</f>
        <v/>
      </c>
      <c r="J189">
        <f>((Inputs!$B$6*(1+Inputs!$B$7/100))+(((Inputs!$B$12*(1+Inputs!$B$13/100))-(Inputs!$B$12*(1+Inputs!$B$13/100)))+0.25*(Inputs!$B$14-Inputs!$B$14))*(1+Inputs!$B$7/100))*(F189/100)</f>
        <v/>
      </c>
      <c r="K189">
        <f>J189*(1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f>
        <v/>
      </c>
      <c r="L189">
        <f>K189*(MIN(Inputs!$B$22+(F205-Calc!F18),(Inputs!$B$23+(IF(ArtifactsInput!$M$15,CHOOSE(ArtifactsInput!$N$15+1,25,30,35,40,45,50)/100*(Inputs!$B$11-Inputs!$B$11),0))))/100+(Inputs!$B$23+(IF(ArtifactsInput!$M$15,CHOOSE(ArtifactsInput!$N$15+1,25,30,35,40,45,50)/100*(Inputs!$B$11-Inputs!$B$11),0)))/100)/2</f>
        <v/>
      </c>
      <c r="M189">
        <f>L189*(1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
        <f>L189*(1-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
        <f>(1-Summary!$B$11)*S189+Summary!$B$11*U189</f>
        <v/>
      </c>
      <c r="P189">
        <f>IF(B223=0,0,O189/B223)</f>
        <v/>
      </c>
      <c r="Q189">
        <f>IFERROR(1/IF(Inputs!$B$38="pvp",15,MAX(0.1,Skills!D2-IF(Skills!E2=TRUE,Inputs!$B$32,0))),0)</f>
        <v/>
      </c>
      <c r="R189" t="n">
        <v>0</v>
      </c>
      <c r="S189">
        <f>IF(C189,(Skills!F2*N189*B219)*IF(Inputs!$B$38="pvp",1,1+(Inputs!$B$20+Skills!O2+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9">
        <f>MAX(0,(Inputs!$B$3-100)*3)+Inputs!$B$28+Inputs!$B$29</f>
        <v/>
      </c>
      <c r="U189">
        <f>IF(C189,(Skills!F2*N189*B219)*IF(Inputs!$B$38="pvp",1,(1+(Inputs!$B$21+Skills!P2+B214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9">
        <f>MAX(0,(Inputs!$B$3-100)*3)+Inputs!$B$28+Inputs!$B$29</f>
        <v/>
      </c>
    </row>
    <row r="190">
      <c r="A190">
        <f>Skills!A3</f>
        <v/>
      </c>
      <c r="B190">
        <f>Skills!B3</f>
        <v/>
      </c>
      <c r="C190">
        <f>Inputs!$B$3&gt;=15</f>
        <v/>
      </c>
      <c r="D190">
        <f>IF(Skills!C3=1,60+Inputs!$B$25+Inputs!$B$29,IF(Skills!C3=2,90+Inputs!$B$26+Inputs!$B$29,IF(Skills!C3=3,120+Inputs!$B$27+Inputs!$B$29,MAX(0,(Inputs!$B$3-100)*3)+Inputs!$B$28+Inputs!$B$29)))</f>
        <v/>
      </c>
      <c r="E190">
        <f>INDEX(FactorTable!$B$2:$Y$301, MATCH(ROUND(MIN(300,MAX(1,D190)),0), FactorTable!$A$2:$A$301,0), Skills!L3+1)</f>
        <v/>
      </c>
      <c r="F190">
        <f>IF(Skills!M3=TRUE,(Skills!K3/10)*(E190/1000),Skills!K3/10)+Skills!N3</f>
        <v/>
      </c>
      <c r="G190">
        <f>Calc!G3</f>
        <v/>
      </c>
      <c r="H190">
        <f>Calc!H3</f>
        <v/>
      </c>
      <c r="I190">
        <f>IF(Skills!T3&lt;&gt;"",1+(Skills!T3/10)*(Z190/1000)/100,1)</f>
        <v/>
      </c>
      <c r="J190" t="inlineStr"/>
      <c r="K190" t="inlineStr"/>
      <c r="L190" t="inlineStr"/>
      <c r="M190" t="inlineStr"/>
      <c r="N190" t="inlineStr"/>
      <c r="O190">
        <f>(1-Summary!$B$11)*S190+Summary!$B$11*U190</f>
        <v/>
      </c>
      <c r="P190">
        <f>IF(B223=0,0,O190/B223)</f>
        <v/>
      </c>
      <c r="Q190">
        <f>IFERROR(1/IF(Inputs!$B$38="pvp",15,MAX(0.1,Skills!D3-IF(Skills!E3=TRUE,Inputs!$B$32,0))),0)</f>
        <v/>
      </c>
      <c r="R190">
        <f>IF(AND(Inputs!$B$38&lt;&gt;"pvp",Inputs!$B$43&gt;0),IF(Inputs!$B$43&lt;=0,0,(INT(Inputs!$B$43/IF(Inputs!$B$38="pvp",15,MAX(0.1,Skills!D3-IF(Skills!E3=TRUE,Inputs!$B$32,0))))+1)),0)</f>
        <v/>
      </c>
      <c r="S190" t="n">
        <v>0</v>
      </c>
      <c r="T190">
        <f>INDEX(FactorTable!$B$2:$Y$301, MATCH(ROUND(MIN(300,MAX(1,T189)),0), FactorTable!$A$2:$A$301,0), 22)</f>
        <v/>
      </c>
      <c r="U190" t="n">
        <v>0</v>
      </c>
      <c r="Z190">
        <f>INDEX(FactorTable!$B$2:$Y$301, MATCH(ROUND(MIN(300,MAX(1,Z189)),0), FactorTable!$A$2:$A$301,0), 24)</f>
        <v/>
      </c>
    </row>
    <row r="191">
      <c r="A191">
        <f>Skills!A4</f>
        <v/>
      </c>
      <c r="B191">
        <f>Skills!B4</f>
        <v/>
      </c>
      <c r="C191">
        <f>Inputs!$B$3&gt;=40</f>
        <v/>
      </c>
      <c r="D191">
        <f>IF(Skills!C4=1,60+Inputs!$B$25+Inputs!$B$29,IF(Skills!C4=2,90+Inputs!$B$26+Inputs!$B$29,IF(Skills!C4=3,120+Inputs!$B$27+Inputs!$B$29,MAX(0,(Inputs!$B$3-100)*3)+Inputs!$B$28+Inputs!$B$29)))</f>
        <v/>
      </c>
      <c r="E191">
        <f>INDEX(FactorTable!$B$2:$Y$301, MATCH(ROUND(MIN(300,MAX(1,D191)),0), FactorTable!$A$2:$A$301,0), Skills!L4+1)</f>
        <v/>
      </c>
      <c r="F191">
        <f>IF(Skills!M4=TRUE,(Skills!K4/10)*(E191/1000),Skills!K4/10)+Skills!N4</f>
        <v/>
      </c>
      <c r="G191">
        <f>Calc!G4</f>
        <v/>
      </c>
      <c r="H191">
        <f>Calc!H4</f>
        <v/>
      </c>
      <c r="I191">
        <f>IF(Skills!T4&lt;&gt;"",1+(Skills!T4/10)*(Z190/1000)/100,1)</f>
        <v/>
      </c>
      <c r="J191" t="inlineStr"/>
      <c r="K191" t="inlineStr"/>
      <c r="L191" t="inlineStr"/>
      <c r="M191" t="inlineStr"/>
      <c r="N191" t="inlineStr"/>
      <c r="O191">
        <f>(1-Summary!$B$11)*S191+Summary!$B$11*U191</f>
        <v/>
      </c>
      <c r="P191">
        <f>IF(B223=0,0,O191/B223)</f>
        <v/>
      </c>
      <c r="Q191">
        <f>IFERROR(1/IF(Inputs!$B$38="pvp",15,MAX(0.1,Skills!D4-IF(Skills!E4=TRUE,Inputs!$B$32,0))),0)</f>
        <v/>
      </c>
      <c r="R191">
        <f>IF(AND(Inputs!$B$38&lt;&gt;"pvp",Inputs!$B$43&gt;0),IF(Inputs!$B$43&lt;=0,0,(INT(Inputs!$B$43/IF(Inputs!$B$38="pvp",15,MAX(0.1,Skills!D4-IF(Skills!E4=TRUE,Inputs!$B$32,0))))+1)),0)</f>
        <v/>
      </c>
      <c r="S191" t="n">
        <v>0</v>
      </c>
      <c r="T191">
        <f>290*T190/1000</f>
        <v/>
      </c>
      <c r="U191" t="n">
        <v>0</v>
      </c>
    </row>
    <row r="192">
      <c r="A192">
        <f>Skills!A5</f>
        <v/>
      </c>
      <c r="B192">
        <f>Skills!B5</f>
        <v/>
      </c>
      <c r="C192">
        <f>Inputs!$B$3&gt;=38</f>
        <v/>
      </c>
      <c r="D192">
        <f>IF(Skills!C5=1,60+Inputs!$B$25+Inputs!$B$29,IF(Skills!C5=2,90+Inputs!$B$26+Inputs!$B$29,IF(Skills!C5=3,120+Inputs!$B$27+Inputs!$B$29,MAX(0,(Inputs!$B$3-100)*3)+Inputs!$B$28+Inputs!$B$29)))</f>
        <v/>
      </c>
      <c r="E192">
        <f>INDEX(FactorTable!$B$2:$Y$301, MATCH(ROUND(MIN(300,MAX(1,D192)),0), FactorTable!$A$2:$A$301,0), Skills!L5+1)</f>
        <v/>
      </c>
      <c r="F192">
        <f>IF(Skills!M5=TRUE,(Skills!K5/10)*(E192/1000),Skills!K5/10)+Skills!N5</f>
        <v/>
      </c>
      <c r="G192">
        <f>Calc!G5</f>
        <v/>
      </c>
      <c r="H192">
        <f>Calc!H5</f>
        <v/>
      </c>
      <c r="I192">
        <f>IF(Skills!T5&lt;&gt;"",1+(Skills!T5/10)*(Z190/1000)/100,1)</f>
        <v/>
      </c>
      <c r="J192">
        <f>((Inputs!$B$6*(1+Inputs!$B$7/100))+(((Inputs!$B$12*(1+Inputs!$B$13/100))-(Inputs!$B$12*(1+Inputs!$B$13/100)))+0.25*(Inputs!$B$14-Inputs!$B$14))*(1+Inputs!$B$7/100))*(F192/100)</f>
        <v/>
      </c>
      <c r="K192">
        <f>J192*(1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F205-Calc!F18),(Inputs!$B$23+(IF(ArtifactsInput!$M$15,CHOOSE(ArtifactsInput!$N$15+1,25,30,35,40,45,50)/100*(Inputs!$B$11-Inputs!$B$11),0))))/100+(Inputs!$B$23+(IF(ArtifactsInput!$M$15,CHOOSE(ArtifactsInput!$N$15+1,25,30,35,40,45,50)/100*(Inputs!$B$11-Inputs!$B$11),0)))/100)/2</f>
        <v/>
      </c>
      <c r="M192">
        <f>L192*(1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(1-Summary!$B$11)*S192+Summary!$B$11*U192</f>
        <v/>
      </c>
      <c r="P192">
        <f>IF(B223=0,0,O192/B223)</f>
        <v/>
      </c>
      <c r="Q192">
        <f>IFERROR(1/IF(Inputs!$B$38="pvp",15,MAX(0.1,Skills!D5-IF(Skills!E5=TRUE,Inputs!$B$32,0))),0)</f>
        <v/>
      </c>
      <c r="R192">
        <f>IF(AND(Inputs!$B$38&lt;&gt;"pvp",Inputs!$B$43&gt;0),IF(MAX(0,Inputs!$B$43-B220)&lt;=0,0,(INT(MAX(0,Inputs!$B$43-B220)/IF(Inputs!$B$38="pvp",15,MAX(0.1,Skills!D5-IF(Skills!E5=TRUE,Inputs!$B$32,0))))+1)),0)</f>
        <v/>
      </c>
      <c r="S192">
        <f>IF(C192,(H192*N192*IF(AND(Inputs!$B$38&lt;&gt;"pvp",Inputs!$B$43&gt;0),((Skills!F5*((R192-1)*IF(Skills!G5&gt;0,Skills!H5/Skills!G5,1)+IF(Skills!G5&gt;0,MIN(Skills!H5,MAX(0,MAX(0,Inputs!$B$43-B220)-((R192-1)*IF(Inputs!$B$38="pvp",15,MAX(0.1,Skills!D5-IF(Skills!E5=TRUE,Inputs!$B$32,0))))))/Skills!G5,1)))/Inputs!$B$43),G192*Q192))*IF(Inputs!$B$38="pvp",1,1+(Inputs!$B$20+Skills!O5+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
        <f>IF(C192,(H192*N192*IF(AND(Inputs!$B$38&lt;&gt;"pvp",Inputs!$B$43&gt;0),((Skills!F5*((R192-1)*IF(Skills!G5&gt;0,Skills!H5/Skills!G5,1)+IF(Skills!G5&gt;0,MIN(Skills!H5,MAX(0,MAX(0,Inputs!$B$43-B220)-((R192-1)*IF(Inputs!$B$38="pvp",15,MAX(0.1,Skills!D5-IF(Skills!E5=TRUE,Inputs!$B$32,0))))))/Skills!G5,1)))/Inputs!$B$43),G192*Q192))*IF(Inputs!$B$38="pvp",1,(1+(Inputs!$B$21+Skills!P5+B214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Skills!A6</f>
        <v/>
      </c>
      <c r="B193">
        <f>Skills!B6</f>
        <v/>
      </c>
      <c r="C193">
        <f>Inputs!$B$3&gt;=63</f>
        <v/>
      </c>
      <c r="D193">
        <f>IF(Skills!C6=1,60+Inputs!$B$25+Inputs!$B$29,IF(Skills!C6=2,90+Inputs!$B$26+Inputs!$B$29,IF(Skills!C6=3,120+Inputs!$B$27+Inputs!$B$29,MAX(0,(Inputs!$B$3-100)*3)+Inputs!$B$28+Inputs!$B$29)))</f>
        <v/>
      </c>
      <c r="E193">
        <f>INDEX(FactorTable!$B$2:$Y$301, MATCH(ROUND(MIN(300,MAX(1,D193)),0), FactorTable!$A$2:$A$301,0), Skills!L6+1)</f>
        <v/>
      </c>
      <c r="F193">
        <f>IF(Skills!M6=TRUE,(Skills!K6/10)*(E193/1000),Skills!K6/10)+Skills!N6</f>
        <v/>
      </c>
      <c r="G193">
        <f>Calc!G6</f>
        <v/>
      </c>
      <c r="H193">
        <f>Calc!H6</f>
        <v/>
      </c>
      <c r="I193">
        <f>IF(Skills!T6&lt;&gt;"",1+(Skills!T6/10)*(Z190/1000)/100,1)</f>
        <v/>
      </c>
      <c r="J193">
        <f>((Inputs!$B$6*(1+Inputs!$B$7/100))+(((Inputs!$B$12*(1+Inputs!$B$13/100))-(Inputs!$B$12*(1+Inputs!$B$13/100)))+0.25*(Inputs!$B$14-Inputs!$B$14))*(1+Inputs!$B$7/100))*(F193/100)</f>
        <v/>
      </c>
      <c r="K193">
        <f>J193*(1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F205-Calc!F18),(Inputs!$B$23+(IF(ArtifactsInput!$M$15,CHOOSE(ArtifactsInput!$N$15+1,25,30,35,40,45,50)/100*(Inputs!$B$11-Inputs!$B$11),0))))/100+(Inputs!$B$23+(IF(ArtifactsInput!$M$15,CHOOSE(ArtifactsInput!$N$15+1,25,30,35,40,45,50)/100*(Inputs!$B$11-Inputs!$B$11),0)))/100)/2</f>
        <v/>
      </c>
      <c r="M193">
        <f>L193*(1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(1-Summary!$B$11)*S193+Summary!$B$11*U193</f>
        <v/>
      </c>
      <c r="P193">
        <f>IF(B223=0,0,O193/B223)</f>
        <v/>
      </c>
      <c r="Q193">
        <f>IFERROR(1/IF(Inputs!$B$38="pvp",15,MAX(0.1,Skills!D6-IF(Skills!E6=TRUE,Inputs!$B$32,0))),0)</f>
        <v/>
      </c>
      <c r="R193">
        <f>IF(AND(Inputs!$B$38&lt;&gt;"pvp",Inputs!$B$43&gt;0),IF(MAX(0,Inputs!$B$43-B220)&lt;=0,0,(INT(MAX(0,Inputs!$B$43-B220)/IF(Inputs!$B$38="pvp",15,MAX(0.1,Skills!D6-IF(Skills!E6=TRUE,Inputs!$B$32,0))))+1)),0)</f>
        <v/>
      </c>
      <c r="S193">
        <f>IF(C193,(H193*N193*IF(AND(Inputs!$B$38&lt;&gt;"pvp",Inputs!$B$43&gt;0),((Skills!F6*((R193-1)*IF(Skills!G6&gt;0,Skills!H6/Skills!G6,1)+IF(Skills!G6&gt;0,MIN(Skills!H6,MAX(0,MAX(0,Inputs!$B$43-B220)-((R193-1)*IF(Inputs!$B$38="pvp",15,MAX(0.1,Skills!D6-IF(Skills!E6=TRUE,Inputs!$B$32,0))))))/Skills!G6,1)))/Inputs!$B$43),G193*Q193))*IF(Inputs!$B$38="pvp",1,1+(Inputs!$B$20+Skills!O6+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IF(C193,(H193*N193*IF(AND(Inputs!$B$38&lt;&gt;"pvp",Inputs!$B$43&gt;0),((Skills!F6*((R193-1)*IF(Skills!G6&gt;0,Skills!H6/Skills!G6,1)+IF(Skills!G6&gt;0,MIN(Skills!H6,MAX(0,MAX(0,Inputs!$B$43-B220)-((R193-1)*IF(Inputs!$B$38="pvp",15,MAX(0.1,Skills!D6-IF(Skills!E6=TRUE,Inputs!$B$32,0))))))/Skills!G6,1)))/Inputs!$B$43),G193*Q193))*IF(Inputs!$B$38="pvp",1,(1+(Inputs!$B$21+Skills!P6+B214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Skills!A7</f>
        <v/>
      </c>
      <c r="B194">
        <f>Skills!B7</f>
        <v/>
      </c>
      <c r="C194">
        <f>Inputs!$B$3&gt;=69</f>
        <v/>
      </c>
      <c r="D194">
        <f>IF(Skills!C7=1,60+Inputs!$B$25+Inputs!$B$29,IF(Skills!C7=2,90+Inputs!$B$26+Inputs!$B$29,IF(Skills!C7=3,120+Inputs!$B$27+Inputs!$B$29,MAX(0,(Inputs!$B$3-100)*3)+Inputs!$B$28+Inputs!$B$29)))</f>
        <v/>
      </c>
      <c r="E194">
        <f>INDEX(FactorTable!$B$2:$Y$301, MATCH(ROUND(MIN(300,MAX(1,D194)),0), FactorTable!$A$2:$A$301,0), Skills!L7+1)</f>
        <v/>
      </c>
      <c r="F194">
        <f>IF(Skills!M7=TRUE,(Skills!K7/10)*(E194/1000),Skills!K7/10)+Skills!N7</f>
        <v/>
      </c>
      <c r="G194">
        <f>Calc!G7</f>
        <v/>
      </c>
      <c r="H194">
        <f>Calc!H7</f>
        <v/>
      </c>
      <c r="I194">
        <f>IF(Skills!T7&lt;&gt;"",1+(Skills!T7/10)*(Z190/1000)/100,1)</f>
        <v/>
      </c>
      <c r="J194">
        <f>((Inputs!$B$6*(1+Inputs!$B$7/100))+(((Inputs!$B$12*(1+Inputs!$B$13/100))-(Inputs!$B$12*(1+Inputs!$B$13/100)))+0.25*(Inputs!$B$14-Inputs!$B$14))*(1+Inputs!$B$7/100))*(F194/100)</f>
        <v/>
      </c>
      <c r="K194">
        <f>J194*(1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F205-Calc!F18),(Inputs!$B$23+(IF(ArtifactsInput!$M$15,CHOOSE(ArtifactsInput!$N$15+1,25,30,35,40,45,50)/100*(Inputs!$B$11-Inputs!$B$11),0))))/100+(Inputs!$B$23+(IF(ArtifactsInput!$M$15,CHOOSE(ArtifactsInput!$N$15+1,25,30,35,40,45,50)/100*(Inputs!$B$11-Inputs!$B$11),0)))/100)/2</f>
        <v/>
      </c>
      <c r="M194">
        <f>L194*(1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(1-Summary!$B$11)*S194+Summary!$B$11*U194</f>
        <v/>
      </c>
      <c r="P194">
        <f>IF(B223=0,0,O194/B223)</f>
        <v/>
      </c>
      <c r="Q194">
        <f>IFERROR(1/IF(Inputs!$B$38="pvp",15,MAX(0.1,Skills!D7-IF(Skills!E7=TRUE,Inputs!$B$32,0))),0)</f>
        <v/>
      </c>
      <c r="R194">
        <f>IF(AND(Inputs!$B$38&lt;&gt;"pvp",Inputs!$B$43&gt;0),IF(MAX(0,Inputs!$B$43-B220)&lt;=0,0,(INT(MAX(0,Inputs!$B$43-B220)/IF(Inputs!$B$38="pvp",15,MAX(0.1,Skills!D7-IF(Skills!E7=TRUE,Inputs!$B$32,0))))+1)),0)</f>
        <v/>
      </c>
      <c r="S194">
        <f>IF(C194,(H194*N194*IF(AND(Inputs!$B$38&lt;&gt;"pvp",Inputs!$B$43&gt;0),((Skills!F7*((R194-1)*IF(Skills!G7&gt;0,Skills!H7/Skills!G7,1)+IF(Skills!G7&gt;0,MIN(Skills!H7,MAX(0,MAX(0,Inputs!$B$43-B220)-((R194-1)*IF(Inputs!$B$38="pvp",15,MAX(0.1,Skills!D7-IF(Skills!E7=TRUE,Inputs!$B$32,0))))))/Skills!G7,1)))/Inputs!$B$43),G194*Q194))*IF(Inputs!$B$38="pvp",1,1+(Inputs!$B$20+Skills!O7+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
        <f>IF(C194,(H194*N194*IF(AND(Inputs!$B$38&lt;&gt;"pvp",Inputs!$B$43&gt;0),((Skills!F7*((R194-1)*IF(Skills!G7&gt;0,Skills!H7/Skills!G7,1)+IF(Skills!G7&gt;0,MIN(Skills!H7,MAX(0,MAX(0,Inputs!$B$43-B220)-((R194-1)*IF(Inputs!$B$38="pvp",15,MAX(0.1,Skills!D7-IF(Skills!E7=TRUE,Inputs!$B$32,0))))))/Skills!G7,1)))/Inputs!$B$43),G194*Q194))*IF(Inputs!$B$38="pvp",1,(1+(Inputs!$B$21+Skills!P7+B214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Skills!A8</f>
        <v/>
      </c>
      <c r="B195">
        <f>Skills!B8</f>
        <v/>
      </c>
      <c r="C195">
        <f>Inputs!$B$3&gt;=103</f>
        <v/>
      </c>
      <c r="D195">
        <f>IF(Skills!C8=1,60+Inputs!$B$25+Inputs!$B$29,IF(Skills!C8=2,90+Inputs!$B$26+Inputs!$B$29,IF(Skills!C8=3,120+Inputs!$B$27+Inputs!$B$29,MAX(0,(Inputs!$B$3-100)*3)+Inputs!$B$28+Inputs!$B$29)))</f>
        <v/>
      </c>
      <c r="E195">
        <f>INDEX(FactorTable!$B$2:$Y$301, MATCH(ROUND(MIN(300,MAX(1,D195)),0), FactorTable!$A$2:$A$301,0), Skills!L8+1)</f>
        <v/>
      </c>
      <c r="F195">
        <f>IF(Skills!M8=TRUE,(Skills!K8/10)*(E195/1000),Skills!K8/10)+Skills!N8</f>
        <v/>
      </c>
      <c r="G195">
        <f>Calc!G8</f>
        <v/>
      </c>
      <c r="H195">
        <f>Calc!H8</f>
        <v/>
      </c>
      <c r="I195">
        <f>IF(Skills!T8&lt;&gt;"",1+(Skills!T8/10)*(Z190/1000)/100,1)</f>
        <v/>
      </c>
      <c r="J195">
        <f>((Inputs!$B$6*(1+Inputs!$B$7/100))+(((Inputs!$B$12*(1+Inputs!$B$13/100))-(Inputs!$B$12*(1+Inputs!$B$13/100)))+0.25*(Inputs!$B$14-Inputs!$B$14))*(1+Inputs!$B$7/100))*(F195/100)</f>
        <v/>
      </c>
      <c r="K195">
        <f>J195*(1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205-Calc!F18),(Inputs!$B$23+(IF(ArtifactsInput!$M$15,CHOOSE(ArtifactsInput!$N$15+1,25,30,35,40,45,50)/100*(Inputs!$B$11-Inputs!$B$11),0))))/100+(Inputs!$B$23+(IF(ArtifactsInput!$M$15,CHOOSE(ArtifactsInput!$N$15+1,25,30,35,40,45,50)/100*(Inputs!$B$11-Inputs!$B$11),0)))/100)/2</f>
        <v/>
      </c>
      <c r="M195">
        <f>L195*(1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IF(B223=0,0,O195/B223)</f>
        <v/>
      </c>
      <c r="Q195">
        <f>IFERROR(1/IF(Inputs!$B$38="pvp",15,MAX(0.1,Skills!D8-IF(Skills!E8=TRUE,Inputs!$B$32,0))),0)</f>
        <v/>
      </c>
      <c r="R195">
        <f>IF(AND(Inputs!$B$38&lt;&gt;"pvp",Inputs!$B$43&gt;0),IF(MAX(0,Inputs!$B$43-B220)&lt;=0,0,(INT(MAX(0,Inputs!$B$43-B220)/IF(Inputs!$B$38="pvp",15,MAX(0.1,Skills!D8-IF(Skills!E8=TRUE,Inputs!$B$32,0))))+1)),0)</f>
        <v/>
      </c>
      <c r="S195">
        <f>IF(C195,(H195*N195*IF(AND(Inputs!$B$38&lt;&gt;"pvp",Inputs!$B$43&gt;0),((Skills!F8*((R195-1)*IF(Skills!G8&gt;0,Skills!H8/Skills!G8,1)+IF(Skills!G8&gt;0,MIN(Skills!H8,MAX(0,MAX(0,Inputs!$B$43-B220)-((R195-1)*IF(Inputs!$B$38="pvp",15,MAX(0.1,Skills!D8-IF(Skills!E8=TRUE,Inputs!$B$32,0))))))/Skills!G8,1)))/Inputs!$B$43),G195*Q195))*IF(Inputs!$B$38="pvp",1,1+(Inputs!$B$20+Skills!O8+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IF(C195,(H195*N195*IF(AND(Inputs!$B$38&lt;&gt;"pvp",Inputs!$B$43&gt;0),((Skills!F8*((R195-1)*IF(Skills!G8&gt;0,Skills!H8/Skills!G8,1)+IF(Skills!G8&gt;0,MIN(Skills!H8,MAX(0,MAX(0,Inputs!$B$43-B220)-((R195-1)*IF(Inputs!$B$38="pvp",15,MAX(0.1,Skills!D8-IF(Skills!E8=TRUE,Inputs!$B$32,0))))))/Skills!G8,1)))/Inputs!$B$43),G195*Q195))*IF(Inputs!$B$38="pvp",1,(1+(Inputs!$B$21+Skills!P8+B214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Skills!A9</f>
        <v/>
      </c>
      <c r="B196">
        <f>Skills!B9</f>
        <v/>
      </c>
      <c r="C196">
        <f>Inputs!$B$3&gt;=105</f>
        <v/>
      </c>
      <c r="D196">
        <f>IF(Skills!C9=1,60+Inputs!$B$25+Inputs!$B$29,IF(Skills!C9=2,90+Inputs!$B$26+Inputs!$B$29,IF(Skills!C9=3,120+Inputs!$B$27+Inputs!$B$29,MAX(0,(Inputs!$B$3-100)*3)+Inputs!$B$28+Inputs!$B$29)))</f>
        <v/>
      </c>
      <c r="E196">
        <f>INDEX(FactorTable!$B$2:$Y$301, MATCH(ROUND(MIN(300,MAX(1,D196)),0), FactorTable!$A$2:$A$301,0), Skills!L9+1)</f>
        <v/>
      </c>
      <c r="F196">
        <f>IF(Skills!M9=TRUE,(Skills!K9/10)*(E196/1000),Skills!K9/10)+Skills!N9</f>
        <v/>
      </c>
      <c r="G196">
        <f>Calc!G9</f>
        <v/>
      </c>
      <c r="H196">
        <f>Calc!H9</f>
        <v/>
      </c>
      <c r="I196">
        <f>IF(Skills!T9&lt;&gt;"",1+(Skills!T9/10)*(Z190/1000)/100,1)</f>
        <v/>
      </c>
      <c r="J196">
        <f>((Inputs!$B$6*(1+Inputs!$B$7/100))+(((Inputs!$B$12*(1+Inputs!$B$13/100))-(Inputs!$B$12*(1+Inputs!$B$13/100)))+0.25*(Inputs!$B$14-Inputs!$B$14))*(1+Inputs!$B$7/100))*(F196/100)</f>
        <v/>
      </c>
      <c r="K196">
        <f>J196*(1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F205-Calc!F18),(Inputs!$B$23+(IF(ArtifactsInput!$M$15,CHOOSE(ArtifactsInput!$N$15+1,25,30,35,40,45,50)/100*(Inputs!$B$11-Inputs!$B$11),0))))/100+(Inputs!$B$23+(IF(ArtifactsInput!$M$15,CHOOSE(ArtifactsInput!$N$15+1,25,30,35,40,45,50)/100*(Inputs!$B$11-Inputs!$B$11),0)))/100)/2</f>
        <v/>
      </c>
      <c r="M196">
        <f>L196*(1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(1-Summary!$B$11)*S196+Summary!$B$11*U196</f>
        <v/>
      </c>
      <c r="P196">
        <f>IF(B223=0,0,O196/B223)</f>
        <v/>
      </c>
      <c r="Q196">
        <f>IFERROR(1/IF(Inputs!$B$38="pvp",15,MAX(0.1,Skills!D9-IF(Skills!E9=TRUE,Inputs!$B$32,0))),0)</f>
        <v/>
      </c>
      <c r="R196">
        <f>IF(AND(Inputs!$B$38&lt;&gt;"pvp",Inputs!$B$43&gt;0),IF(MAX(0,Inputs!$B$43-B220)&lt;=0,0,(INT(MAX(0,Inputs!$B$43-B220)/IF(Inputs!$B$38="pvp",15,MAX(0.1,Skills!D9-IF(Skills!E9=TRUE,Inputs!$B$32,0))))+1)),0)</f>
        <v/>
      </c>
      <c r="S196">
        <f>IF(C196,(H196*N196*IF(AND(Inputs!$B$38&lt;&gt;"pvp",Inputs!$B$43&gt;0),((Skills!F9*((R196-1)*IF(Skills!G9&gt;0,Skills!H9/Skills!G9,1)+IF(Skills!G9&gt;0,MIN(Skills!H9,MAX(0,MAX(0,Inputs!$B$43-B220)-((R196-1)*IF(Inputs!$B$38="pvp",15,MAX(0.1,Skills!D9-IF(Skills!E9=TRUE,Inputs!$B$32,0))))))/Skills!G9,1)))/Inputs!$B$43),G196*Q196))*IF(Inputs!$B$38="pvp",1,1+(Inputs!$B$20+Skills!O9+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
        <f>IF(C196,(H196*N196*IF(AND(Inputs!$B$38&lt;&gt;"pvp",Inputs!$B$43&gt;0),((Skills!F9*((R196-1)*IF(Skills!G9&gt;0,Skills!H9/Skills!G9,1)+IF(Skills!G9&gt;0,MIN(Skills!H9,MAX(0,MAX(0,Inputs!$B$43-B220)-((R196-1)*IF(Inputs!$B$38="pvp",15,MAX(0.1,Skills!D9-IF(Skills!E9=TRUE,Inputs!$B$32,0))))))/Skills!G9,1)))/Inputs!$B$43),G196*Q196))*IF(Inputs!$B$38="pvp",1,(1+(Inputs!$B$21+Skills!P9+B214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Skills!A10</f>
        <v/>
      </c>
      <c r="B197">
        <f>Skills!B10</f>
        <v/>
      </c>
      <c r="C197">
        <f>Inputs!$B$3&gt;=113</f>
        <v/>
      </c>
      <c r="D197">
        <f>IF(Skills!C10=1,60+Inputs!$B$25+Inputs!$B$29,IF(Skills!C10=2,90+Inputs!$B$26+Inputs!$B$29,IF(Skills!C10=3,120+Inputs!$B$27+Inputs!$B$29,MAX(0,(Inputs!$B$3-100)*3)+Inputs!$B$28+Inputs!$B$29)))</f>
        <v/>
      </c>
      <c r="E197">
        <f>INDEX(FactorTable!$B$2:$Y$301, MATCH(ROUND(MIN(300,MAX(1,D197)),0), FactorTable!$A$2:$A$301,0), Skills!L10+1)</f>
        <v/>
      </c>
      <c r="F197">
        <f>IF(Skills!M10=TRUE,(Skills!K10/10)*(E197/1000),Skills!K10/10)+Skills!N10</f>
        <v/>
      </c>
      <c r="G197">
        <f>Calc!G10</f>
        <v/>
      </c>
      <c r="H197">
        <f>Calc!H10</f>
        <v/>
      </c>
      <c r="I197">
        <f>IF(Skills!T10&lt;&gt;"",1+(Skills!T10/10)*(Z190/1000)/100,1)</f>
        <v/>
      </c>
      <c r="J197">
        <f>((Inputs!$B$6*(1+Inputs!$B$7/100))+(((Inputs!$B$12*(1+Inputs!$B$13/100))-(Inputs!$B$12*(1+Inputs!$B$13/100)))+0.25*(Inputs!$B$14-Inputs!$B$14))*(1+Inputs!$B$7/100))*(F197/100)</f>
        <v/>
      </c>
      <c r="K197">
        <f>J197*(1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F205-Calc!F18),(Inputs!$B$23+(IF(ArtifactsInput!$M$15,CHOOSE(ArtifactsInput!$N$15+1,25,30,35,40,45,50)/100*(Inputs!$B$11-Inputs!$B$11),0))))/100+(Inputs!$B$23+(IF(ArtifactsInput!$M$15,CHOOSE(ArtifactsInput!$N$15+1,25,30,35,40,45,50)/100*(Inputs!$B$11-Inputs!$B$11),0)))/100)/2</f>
        <v/>
      </c>
      <c r="M197">
        <f>L197*(1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(1-Summary!$B$11)*S197+Summary!$B$11*U197</f>
        <v/>
      </c>
      <c r="P197">
        <f>IF(B223=0,0,O197/B223)</f>
        <v/>
      </c>
      <c r="Q197">
        <f>IFERROR(1/IF(Inputs!$B$38="pvp",15,MAX(0.1,Skills!D10-IF(Skills!E9=TRUE,Inputs!$B$32,0))),0)</f>
        <v/>
      </c>
      <c r="R197">
        <f>IF(AND(Inputs!$B$38&lt;&gt;"pvp",Inputs!$B$43&gt;0),IF(MAX(0,Inputs!$B$43-B220)&lt;=0,0,(INT(MAX(0,Inputs!$B$43-B220)/IF(Inputs!$B$38="pvp",15,MAX(0.1,Skills!D10-IF(Skills!E9=TRUE,Inputs!$B$32,0))))+1)),0)</f>
        <v/>
      </c>
      <c r="S197">
        <f>IF(C197,(H197*N197*IF(AND(Inputs!$B$38&lt;&gt;"pvp",Inputs!$B$43&gt;0),((Skills!F10*((R197-1)*IF(Skills!G10&gt;0,Skills!H10/Skills!G10,1)+IF(Skills!G10&gt;0,MIN(Skills!H10,MAX(0,MAX(0,Inputs!$B$43-B220)-((R197-1)*IF(Inputs!$B$38="pvp",15,MAX(0.1,Skills!D10-IF(Skills!E9=TRUE,Inputs!$B$32,0))))))/Skills!G10,1)))/Inputs!$B$43),G197*Q197))*IF(Inputs!$B$38="pvp",1,1+(Inputs!$B$20+Skills!O10+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
        <f>IF(C197,(H197*N197*IF(AND(Inputs!$B$38&lt;&gt;"pvp",Inputs!$B$43&gt;0),((Skills!F10*((R197-1)*IF(Skills!G10&gt;0,Skills!H10/Skills!G10,1)+IF(Skills!G10&gt;0,MIN(Skills!H10,MAX(0,MAX(0,Inputs!$B$43-B220)-((R197-1)*IF(Inputs!$B$38="pvp",15,MAX(0.1,Skills!D10-IF(Skills!E9=TRUE,Inputs!$B$32,0))))))/Skills!G10,1)))/Inputs!$B$43),G197*Q197))*IF(Inputs!$B$38="pvp",1,(1+(Inputs!$B$21+Skills!P10+B214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Skills!A11</f>
        <v/>
      </c>
      <c r="B198">
        <f>Skills!B11</f>
        <v/>
      </c>
      <c r="C198">
        <f>Inputs!$B$3&gt;=107</f>
        <v/>
      </c>
      <c r="D198">
        <f>IF(Skills!C11=1,60+Inputs!$B$25+Inputs!$B$29,IF(Skills!C11=2,90+Inputs!$B$26+Inputs!$B$29,IF(Skills!C11=3,120+Inputs!$B$27+Inputs!$B$29,MAX(0,(Inputs!$B$3-100)*3)+Inputs!$B$28+Inputs!$B$29)))</f>
        <v/>
      </c>
      <c r="E198">
        <f>INDEX(FactorTable!$B$2:$Y$301, MATCH(ROUND(MIN(300,MAX(1,D198)),0), FactorTable!$A$2:$A$301,0), Skills!L11+1)</f>
        <v/>
      </c>
      <c r="F198">
        <f>IF(Skills!M11=TRUE,(Skills!K11/10)*(E198/1000),Skills!K11/10)+Skills!N11</f>
        <v/>
      </c>
      <c r="G198">
        <f>Calc!G11</f>
        <v/>
      </c>
      <c r="H198">
        <f>Calc!H11</f>
        <v/>
      </c>
      <c r="I198">
        <f>IF(Skills!T11&lt;&gt;"",1+(Skills!T11/10)*(Z190/1000)/100,1)</f>
        <v/>
      </c>
      <c r="J198">
        <f>((Inputs!$B$6*(1+Inputs!$B$7/100))+(((Inputs!$B$12*(1+Inputs!$B$13/100))-(Inputs!$B$12*(1+Inputs!$B$13/100)))+0.25*(Inputs!$B$14-Inputs!$B$14))*(1+Inputs!$B$7/100))*(F198/100)</f>
        <v/>
      </c>
      <c r="K198">
        <f>J198*(1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205-Calc!F18),(Inputs!$B$23+(IF(ArtifactsInput!$M$15,CHOOSE(ArtifactsInput!$N$15+1,25,30,35,40,45,50)/100*(Inputs!$B$11-Inputs!$B$11),0))))/100+(Inputs!$B$23+(IF(ArtifactsInput!$M$15,CHOOSE(ArtifactsInput!$N$15+1,25,30,35,40,45,50)/100*(Inputs!$B$11-Inputs!$B$11),0)))/100)/2</f>
        <v/>
      </c>
      <c r="M198">
        <f>L198*(1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IF(B223=0,0,O198/B223)</f>
        <v/>
      </c>
      <c r="Q198">
        <f>IFERROR(1/IF(Inputs!$B$38="pvp",15,MAX(0.1,Skills!D11-IF(Skills!E11=TRUE,Inputs!$B$32,0))),0)</f>
        <v/>
      </c>
      <c r="R198">
        <f>IF(AND(Inputs!$B$38&lt;&gt;"pvp",Inputs!$B$43&gt;0),IF(MAX(0,Inputs!$B$43-B220)&lt;=0,0,(INT(MAX(0,Inputs!$B$43-B220)/IF(Inputs!$B$38="pvp",15,MAX(0.1,Skills!D11-IF(Skills!E11=TRUE,Inputs!$B$32,0))))+1)),0)</f>
        <v/>
      </c>
      <c r="S198">
        <f>IF(C198,H198*N198*IF(AND(Inputs!$B$38&lt;&gt;"pvp",Inputs!$B$43&gt;0),((Skills!F11*((R198-1)*IF(Skills!G11&gt;0,Skills!H11/Skills!G11,1)+IF(Skills!G11&gt;0,MIN(Skills!H11,MAX(0,MAX(0,Inputs!$B$43-B220)-((R198-1)*IF(Inputs!$B$38="pvp",15,MAX(0.1,Skills!D11-IF(Skills!E11=TRUE,Inputs!$B$32,0))))))/Skills!G11,1)))/Inputs!$B$43),G198*Q198)*0.5*IF(Inputs!$B$38="pvp",1,1+(Inputs!$B$20+Skills!O11+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11*((R198-1)*IF(Skills!G11&gt;0,Skills!H11/Skills!G11,1)+IF(Skills!G11&gt;0,MIN(Skills!H11,MAX(0,MAX(0,Inputs!$B$43-B220)-((R198-1)*IF(Inputs!$B$38="pvp",15,MAX(0.1,Skills!D11-IF(Skills!E11=TRUE,Inputs!$B$32,0))))))/Skills!G11,1)))/Inputs!$B$43),G198*Q198)*1*IF(Inputs!$B$38="pvp",1,(1+(Inputs!$B$21+Skills!P11+B214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Skills!A12</f>
        <v/>
      </c>
      <c r="B199">
        <f>Skills!B12</f>
        <v/>
      </c>
      <c r="C199">
        <f>Inputs!$B$3&gt;=115</f>
        <v/>
      </c>
      <c r="D199">
        <f>IF(Skills!C12=1,60+Inputs!$B$25+Inputs!$B$29,IF(Skills!C12=2,90+Inputs!$B$26+Inputs!$B$29,IF(Skills!C12=3,120+Inputs!$B$27+Inputs!$B$29,MAX(0,(Inputs!$B$3-100)*3)+Inputs!$B$28+Inputs!$B$29)))</f>
        <v/>
      </c>
      <c r="E199">
        <f>INDEX(FactorTable!$B$2:$Y$301, MATCH(ROUND(MIN(300,MAX(1,D199)),0), FactorTable!$A$2:$A$301,0), Skills!L12+1)</f>
        <v/>
      </c>
      <c r="F199">
        <f>IF(Skills!M12=TRUE,(Skills!K12/10)*(E199/1000),Skills!K12/10)+Skills!N12</f>
        <v/>
      </c>
      <c r="G199">
        <f>Calc!G12</f>
        <v/>
      </c>
      <c r="H199">
        <f>Calc!H12</f>
        <v/>
      </c>
      <c r="I199">
        <f>IF(Skills!T12&lt;&gt;"",1+(Skills!T12/10)*(Z190/1000)/100,1)</f>
        <v/>
      </c>
      <c r="J199">
        <f>((Inputs!$B$6*(1+Inputs!$B$7/100))+(((Inputs!$B$12*(1+Inputs!$B$13/100))-(Inputs!$B$12*(1+Inputs!$B$13/100)))+0.25*(Inputs!$B$14-Inputs!$B$14))*(1+Inputs!$B$7/100))*(F199/100)</f>
        <v/>
      </c>
      <c r="K199">
        <f>J199*(1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205-Calc!F18),(Inputs!$B$23+(IF(ArtifactsInput!$M$15,CHOOSE(ArtifactsInput!$N$15+1,25,30,35,40,45,50)/100*(Inputs!$B$11-Inputs!$B$11),0))))/100+(Inputs!$B$23+(IF(ArtifactsInput!$M$15,CHOOSE(ArtifactsInput!$N$15+1,25,30,35,40,45,50)/100*(Inputs!$B$11-Inputs!$B$11),0)))/100)/2</f>
        <v/>
      </c>
      <c r="M199">
        <f>L199*(1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IF(B223=0,0,O199/B223)</f>
        <v/>
      </c>
      <c r="Q199">
        <f>IFERROR(1/IF(Inputs!$B$38="pvp",15,MAX(0.1,Skills!D12-IF(Skills!E12=TRUE,Inputs!$B$32,0))),0)</f>
        <v/>
      </c>
      <c r="R199">
        <f>IF(AND(Inputs!$B$38&lt;&gt;"pvp",Inputs!$B$43&gt;0),IF(MAX(0,Inputs!$B$43-B220)&lt;=0,0,(INT(MAX(0,Inputs!$B$43-B220)/IF(Inputs!$B$38="pvp",15,MAX(0.1,Skills!D12-IF(Skills!E12=TRUE,Inputs!$B$32,0))))+1)),0)</f>
        <v/>
      </c>
      <c r="S199">
        <f>IF(C199,(H199*N199*IF(AND(Inputs!$B$38&lt;&gt;"pvp",Inputs!$B$43&gt;0),((Skills!F12*((R199-1)*IF(Skills!G12&gt;0,Skills!H12/Skills!G12,1)+IF(Skills!G12&gt;0,MIN(Skills!H12,MAX(0,MAX(0,Inputs!$B$43-B220)-((R199-1)*IF(Inputs!$B$38="pvp",15,MAX(0.1,Skills!D12-IF(Skills!E12=TRUE,Inputs!$B$32,0))))))/Skills!G12,1)))/Inputs!$B$43),G199*Q199))*IF(Inputs!$B$38="pvp",1,1+(Inputs!$B$20+Skills!O12+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12*((R199-1)*IF(Skills!G12&gt;0,Skills!H12/Skills!G12,1)+IF(Skills!G12&gt;0,MIN(Skills!H12,MAX(0,MAX(0,Inputs!$B$43-B220)-((R199-1)*IF(Inputs!$B$38="pvp",15,MAX(0.1,Skills!D12-IF(Skills!E12=TRUE,Inputs!$B$32,0))))))/Skills!G12,1)))/Inputs!$B$43),G199*Q199))*IF(Inputs!$B$38="pvp",1,(1+(Inputs!$B$21+Skills!P12+B214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Skills!A13</f>
        <v/>
      </c>
      <c r="B200">
        <f>Skills!B13</f>
        <v/>
      </c>
      <c r="C200">
        <f>Inputs!$B$3&gt;=49</f>
        <v/>
      </c>
      <c r="D200">
        <f>IF(Skills!C13=1,60+Inputs!$B$25+Inputs!$B$29,IF(Skills!C13=2,90+Inputs!$B$26+Inputs!$B$29,IF(Skills!C13=3,120+Inputs!$B$27+Inputs!$B$29,MAX(0,(Inputs!$B$3-100)*3)+Inputs!$B$28+Inputs!$B$29)))</f>
        <v/>
      </c>
      <c r="E200">
        <f>INDEX(FactorTable!$B$2:$Y$301, MATCH(ROUND(MIN(300,MAX(1,D200)),0), FactorTable!$A$2:$A$301,0), Skills!L13+1)</f>
        <v/>
      </c>
      <c r="F200">
        <f>IF(Skills!M13=TRUE,(Skills!K13/10)*(E200/1000),Skills!K13/10)+Skills!N13</f>
        <v/>
      </c>
      <c r="G200">
        <f>Calc!G13</f>
        <v/>
      </c>
      <c r="H200">
        <f>Calc!H13</f>
        <v/>
      </c>
      <c r="I200">
        <f>IF(Skills!T13&lt;&gt;"",1+(Skills!T13/10)*(Z190/1000)/100,1)</f>
        <v/>
      </c>
      <c r="J200" t="inlineStr"/>
      <c r="K200" t="inlineStr"/>
      <c r="L200" t="inlineStr"/>
      <c r="M200" t="inlineStr"/>
      <c r="N200" t="inlineStr"/>
      <c r="O200">
        <f>(1-Summary!$B$11)*S200+Summary!$B$11*U200</f>
        <v/>
      </c>
      <c r="P200">
        <f>IF(B223=0,0,O200/B223)</f>
        <v/>
      </c>
      <c r="Q200">
        <f>IFERROR(1/IF(Inputs!$B$38="pvp",15,MAX(0.1,Skills!D13-IF(Skills!E13=TRUE,Inputs!$B$32,0))),0)</f>
        <v/>
      </c>
      <c r="R200" t="n">
        <v>0</v>
      </c>
      <c r="S200" t="n">
        <v>0</v>
      </c>
      <c r="U200" t="n">
        <v>0</v>
      </c>
    </row>
    <row r="201">
      <c r="A201">
        <f>Skills!A14</f>
        <v/>
      </c>
      <c r="B201">
        <f>Skills!B14</f>
        <v/>
      </c>
      <c r="C201">
        <f>Inputs!$B$3&gt;=72</f>
        <v/>
      </c>
      <c r="D201">
        <f>IF(Skills!C14=1,60+Inputs!$B$25+Inputs!$B$29,IF(Skills!C14=2,90+Inputs!$B$26+Inputs!$B$29,IF(Skills!C14=3,120+Inputs!$B$27+Inputs!$B$29,MAX(0,(Inputs!$B$3-100)*3)+Inputs!$B$28+Inputs!$B$29)))</f>
        <v/>
      </c>
      <c r="E201">
        <f>INDEX(FactorTable!$B$2:$Y$301, MATCH(ROUND(MIN(300,MAX(1,D201)),0), FactorTable!$A$2:$A$301,0), Skills!L14+1)</f>
        <v/>
      </c>
      <c r="F201">
        <f>IF(Skills!M14=TRUE,(Skills!K14/10)*(E201/1000),Skills!K14/10)+Skills!N14</f>
        <v/>
      </c>
      <c r="G201">
        <f>Calc!G14</f>
        <v/>
      </c>
      <c r="H201">
        <f>Calc!H14</f>
        <v/>
      </c>
      <c r="I201">
        <f>IF(Skills!T14&lt;&gt;"",1+(Skills!T14/10)*(Z190/1000)/100,1)</f>
        <v/>
      </c>
      <c r="J201" t="inlineStr"/>
      <c r="K201" t="inlineStr"/>
      <c r="L201" t="inlineStr"/>
      <c r="M201" t="inlineStr"/>
      <c r="N201" t="inlineStr"/>
      <c r="O201">
        <f>(1-Summary!$B$11)*S201+Summary!$B$11*U201</f>
        <v/>
      </c>
      <c r="P201">
        <f>IF(B223=0,0,O201/B223)</f>
        <v/>
      </c>
      <c r="Q201">
        <f>IFERROR(1/IF(Inputs!$B$38="pvp",15,MAX(0.1,Skills!D14-IF(Skills!E14=TRUE,Inputs!$B$32,0))),0)</f>
        <v/>
      </c>
      <c r="R201" t="n">
        <v>0</v>
      </c>
      <c r="S201" t="n">
        <v>0</v>
      </c>
      <c r="U201" t="n">
        <v>0</v>
      </c>
    </row>
    <row r="202">
      <c r="A202">
        <f>Skills!A15</f>
        <v/>
      </c>
      <c r="B202">
        <f>Skills!B15</f>
        <v/>
      </c>
      <c r="C202">
        <f>Inputs!$B$3&gt;=75</f>
        <v/>
      </c>
      <c r="D202">
        <f>IF(Skills!C15=1,60+Inputs!$B$25+Inputs!$B$29,IF(Skills!C15=2,90+Inputs!$B$26+Inputs!$B$29,IF(Skills!C15=3,120+Inputs!$B$27+Inputs!$B$29,MAX(0,(Inputs!$B$3-100)*3)+Inputs!$B$28+Inputs!$B$29)))</f>
        <v/>
      </c>
      <c r="E202">
        <f>INDEX(FactorTable!$B$2:$Y$301, MATCH(ROUND(MIN(300,MAX(1,D202)),0), FactorTable!$A$2:$A$301,0), Skills!L15+1)</f>
        <v/>
      </c>
      <c r="F202">
        <f>IF(Skills!M15=TRUE,(Skills!K15/10)*(E202/1000),Skills!K15/10)+Skills!N15</f>
        <v/>
      </c>
      <c r="G202">
        <f>Calc!G15</f>
        <v/>
      </c>
      <c r="H202">
        <f>Calc!H15</f>
        <v/>
      </c>
      <c r="I202">
        <f>IF(Skills!T15&lt;&gt;"",1+(Skills!T15/10)*(Z190/1000)/100,1)</f>
        <v/>
      </c>
      <c r="J202" t="inlineStr"/>
      <c r="K202" t="inlineStr"/>
      <c r="L202" t="inlineStr"/>
      <c r="M202" t="inlineStr"/>
      <c r="N202" t="inlineStr"/>
      <c r="O202">
        <f>(1-Summary!$B$11)*S202+Summary!$B$11*U202</f>
        <v/>
      </c>
      <c r="P202">
        <f>IF(B223=0,0,O202/B223)</f>
        <v/>
      </c>
      <c r="Q202">
        <f>IFERROR(1/IF(Inputs!$B$38="pvp",15,MAX(0.1,Skills!D15-IF(Skills!E15=TRUE,Inputs!$B$32,0))),0)</f>
        <v/>
      </c>
      <c r="R202" t="n">
        <v>0</v>
      </c>
      <c r="S202" t="n">
        <v>0</v>
      </c>
      <c r="U202" t="n">
        <v>0</v>
      </c>
    </row>
    <row r="203">
      <c r="A203">
        <f>Skills!A16</f>
        <v/>
      </c>
      <c r="B203">
        <f>Skills!B16</f>
        <v/>
      </c>
      <c r="C203">
        <f>Inputs!$B$3&gt;=110</f>
        <v/>
      </c>
      <c r="D203">
        <f>IF(Skills!C16=1,60+Inputs!$B$25+Inputs!$B$29,IF(Skills!C16=2,90+Inputs!$B$26+Inputs!$B$29,IF(Skills!C16=3,120+Inputs!$B$27+Inputs!$B$29,MAX(0,(Inputs!$B$3-100)*3)+Inputs!$B$28+Inputs!$B$29)))</f>
        <v/>
      </c>
      <c r="E203">
        <f>INDEX(FactorTable!$B$2:$Y$301, MATCH(ROUND(MIN(300,MAX(1,D203)),0), FactorTable!$A$2:$A$301,0), Skills!L16+1)</f>
        <v/>
      </c>
      <c r="F203">
        <f>(Skills!K16/10)*(E203/1000)*64/45+Skills!N16</f>
        <v/>
      </c>
      <c r="G203">
        <f>Calc!G16</f>
        <v/>
      </c>
      <c r="H203">
        <f>Calc!H16</f>
        <v/>
      </c>
      <c r="I203">
        <f>IF(Skills!T16&lt;&gt;"",1+(Skills!T16/10)*(Z190/1000)/100,1)</f>
        <v/>
      </c>
      <c r="J203" t="inlineStr"/>
      <c r="K203" t="inlineStr"/>
      <c r="L203" t="inlineStr"/>
      <c r="M203" t="inlineStr"/>
      <c r="N203" t="inlineStr"/>
      <c r="O203">
        <f>(1-Summary!$B$11)*S203+Summary!$B$11*U203</f>
        <v/>
      </c>
      <c r="P203">
        <f>IF(B223=0,0,O203/B223)</f>
        <v/>
      </c>
      <c r="Q203">
        <f>IFERROR(1/IF(Inputs!$B$38="pvp",15,MAX(0.1,Skills!D16-IF(Skills!E16=TRUE,Inputs!$B$32,0))),0)</f>
        <v/>
      </c>
      <c r="R203">
        <f>IF(AND(Inputs!$B$38&lt;&gt;"pvp",Inputs!$B$43&gt;0),IF(Inputs!$B$43&lt;=0,0,(INT(Inputs!$B$43/IF(Inputs!$B$38="pvp",15,MAX(0.1,Skills!D16-IF(Skills!E16=TRUE,Inputs!$B$32,0))))+1)),0)</f>
        <v/>
      </c>
      <c r="S203" t="n">
        <v>0</v>
      </c>
      <c r="U203" t="n">
        <v>0</v>
      </c>
    </row>
    <row r="204">
      <c r="A204">
        <f>Skills!A17</f>
        <v/>
      </c>
      <c r="B204">
        <f>Skills!B17</f>
        <v/>
      </c>
      <c r="C204">
        <f>Inputs!$B$3&gt;=33</f>
        <v/>
      </c>
      <c r="D204">
        <f>IF(Skills!C17=1,60+Inputs!$B$25+Inputs!$B$29,IF(Skills!C17=2,90+Inputs!$B$26+Inputs!$B$29,IF(Skills!C17=3,120+Inputs!$B$27+Inputs!$B$29,MAX(0,(Inputs!$B$3-100)*3)+Inputs!$B$28+Inputs!$B$29)))</f>
        <v/>
      </c>
      <c r="E204">
        <f>INDEX(FactorTable!$B$2:$Y$301, MATCH(ROUND(MIN(300,MAX(1,D204)),0), FactorTable!$A$2:$A$301,0), Skills!L17+1)</f>
        <v/>
      </c>
      <c r="F204">
        <f>IF(Skills!M17=TRUE,(Skills!K17/10)*(E204/1000),Skills!K17/10)+Skills!N17</f>
        <v/>
      </c>
      <c r="G204">
        <f>Calc!G17</f>
        <v/>
      </c>
      <c r="H204">
        <f>Calc!H17</f>
        <v/>
      </c>
      <c r="I204">
        <f>IF(Skills!T17&lt;&gt;"",1+(Skills!T17/10)*(Z190/1000)/100,1)</f>
        <v/>
      </c>
      <c r="J204" t="inlineStr"/>
      <c r="K204" t="inlineStr"/>
      <c r="L204" t="inlineStr"/>
      <c r="M204" t="inlineStr"/>
      <c r="N204" t="inlineStr"/>
      <c r="O204">
        <f>(1-Summary!$B$11)*S204+Summary!$B$11*U204</f>
        <v/>
      </c>
      <c r="P204">
        <f>IF(B223=0,0,O204/B223)</f>
        <v/>
      </c>
      <c r="Q204">
        <f>IFERROR(1/IF(Inputs!$B$38="pvp",15,MAX(0.1,Skills!D17-IF(Skills!E17=TRUE,Inputs!$B$32,0))),0)</f>
        <v/>
      </c>
      <c r="R204" t="n">
        <v>0</v>
      </c>
      <c r="S204" t="n">
        <v>0</v>
      </c>
      <c r="U204" t="n">
        <v>0</v>
      </c>
    </row>
    <row r="205">
      <c r="A205">
        <f>Skills!A18</f>
        <v/>
      </c>
      <c r="B205">
        <f>Skills!B18</f>
        <v/>
      </c>
      <c r="C205">
        <f>Inputs!$B$3&gt;=43</f>
        <v/>
      </c>
      <c r="D205">
        <f>IF(Skills!C18=1,60+Inputs!$B$25+Inputs!$B$29,IF(Skills!C18=2,90+Inputs!$B$26+Inputs!$B$29,IF(Skills!C18=3,120+Inputs!$B$27+Inputs!$B$29,MAX(0,(Inputs!$B$3-100)*3)+Inputs!$B$28+Inputs!$B$29)))</f>
        <v/>
      </c>
      <c r="E205">
        <f>INDEX(FactorTable!$B$2:$Y$301, MATCH(ROUND(MIN(300,MAX(1,D205)),0), FactorTable!$A$2:$A$301,0), Skills!L18+1)</f>
        <v/>
      </c>
      <c r="F205">
        <f>IF(Skills!M18=TRUE,(Skills!K18/10)*(E205/1000),Skills!K18/10)+Skills!N18</f>
        <v/>
      </c>
      <c r="G205">
        <f>Calc!G18</f>
        <v/>
      </c>
      <c r="H205">
        <f>Calc!H18</f>
        <v/>
      </c>
      <c r="I205">
        <f>IF(Skills!T18&lt;&gt;"",1+(Skills!T18/10)*(Z190/1000)/100,1)</f>
        <v/>
      </c>
      <c r="J205" t="inlineStr"/>
      <c r="K205" t="inlineStr"/>
      <c r="L205" t="inlineStr"/>
      <c r="M205" t="inlineStr"/>
      <c r="N205" t="inlineStr"/>
      <c r="O205">
        <f>(1-Summary!$B$11)*S205+Summary!$B$11*U205</f>
        <v/>
      </c>
      <c r="P205">
        <f>IF(B223=0,0,O205/B223)</f>
        <v/>
      </c>
      <c r="Q205">
        <f>IFERROR(1/IF(Inputs!$B$38="pvp",15,MAX(0.1,Skills!D18-IF(Skills!E18=TRUE,Inputs!$B$32,0))),0)</f>
        <v/>
      </c>
      <c r="R205" t="n">
        <v>0</v>
      </c>
      <c r="S205" t="n">
        <v>0</v>
      </c>
      <c r="U205" t="n">
        <v>0</v>
      </c>
    </row>
    <row r="206">
      <c r="A206">
        <f>Skills!A19</f>
        <v/>
      </c>
      <c r="B206">
        <f>Skills!B19</f>
        <v/>
      </c>
      <c r="C206">
        <f>Inputs!$B$3&gt;=50</f>
        <v/>
      </c>
      <c r="D206">
        <f>IF(Skills!C19=1,60+Inputs!$B$25+Inputs!$B$29,IF(Skills!C19=2,90+Inputs!$B$26+Inputs!$B$29,IF(Skills!C19=3,120+Inputs!$B$27+Inputs!$B$29,MAX(0,(Inputs!$B$3-100)*3)+Inputs!$B$28+Inputs!$B$29)))</f>
        <v/>
      </c>
      <c r="E206">
        <f>INDEX(FactorTable!$B$2:$Y$301, MATCH(ROUND(MIN(300,MAX(1,D206)),0), FactorTable!$A$2:$A$301,0), Skills!L19+1)</f>
        <v/>
      </c>
      <c r="F206">
        <f>IF(Skills!M19=TRUE,(Skills!K19/10)*(E206/1000),Skills!K19/10)+Skills!N19</f>
        <v/>
      </c>
      <c r="G206">
        <f>Calc!G19</f>
        <v/>
      </c>
      <c r="H206">
        <f>Calc!H19</f>
        <v/>
      </c>
      <c r="I206">
        <f>IF(Skills!T19&lt;&gt;"",1+(Skills!T19/10)*(Z190/1000)/100,1)</f>
        <v/>
      </c>
      <c r="J206" t="inlineStr"/>
      <c r="K206" t="inlineStr"/>
      <c r="L206" t="inlineStr"/>
      <c r="M206" t="inlineStr"/>
      <c r="N206" t="inlineStr"/>
      <c r="O206">
        <f>(1-Summary!$B$11)*S206+Summary!$B$11*U206</f>
        <v/>
      </c>
      <c r="P206">
        <f>IF(B223=0,0,O206/B223)</f>
        <v/>
      </c>
      <c r="Q206">
        <f>IFERROR(1/IF(Inputs!$B$38="pvp",15,MAX(0.1,Skills!D19-IF(Skills!E19=TRUE,Inputs!$B$32,0))),0)</f>
        <v/>
      </c>
      <c r="R206" t="n">
        <v>0</v>
      </c>
      <c r="S206" t="n">
        <v>0</v>
      </c>
      <c r="U206" t="n">
        <v>0</v>
      </c>
    </row>
    <row r="207">
      <c r="A207">
        <f>Skills!A20</f>
        <v/>
      </c>
      <c r="B207">
        <f>Skills!B20</f>
        <v/>
      </c>
      <c r="C207">
        <f>Inputs!$B$3&gt;=74</f>
        <v/>
      </c>
      <c r="D207">
        <f>IF(Skills!C20=1,60+Inputs!$B$25+Inputs!$B$29,IF(Skills!C20=2,90+Inputs!$B$26+Inputs!$B$29,IF(Skills!C20=3,120+Inputs!$B$27+Inputs!$B$29,MAX(0,(Inputs!$B$3-100)*3)+Inputs!$B$28+Inputs!$B$29)))</f>
        <v/>
      </c>
      <c r="E207">
        <f>INDEX(FactorTable!$B$2:$Y$301, MATCH(ROUND(MIN(300,MAX(1,D207)),0), FactorTable!$A$2:$A$301,0), Skills!L20+1)</f>
        <v/>
      </c>
      <c r="F207">
        <f>IF(Skills!M20=TRUE,(Skills!K20/10)*(E207/1000),Skills!K20/10)+Skills!N20</f>
        <v/>
      </c>
      <c r="G207">
        <f>Calc!G20</f>
        <v/>
      </c>
      <c r="H207">
        <f>Calc!H20</f>
        <v/>
      </c>
      <c r="I207">
        <f>IF(Skills!T20&lt;&gt;"",1+(Skills!T20/10)*(Z190/1000)/100,1)</f>
        <v/>
      </c>
      <c r="J207" t="inlineStr"/>
      <c r="K207" t="inlineStr"/>
      <c r="L207" t="inlineStr"/>
      <c r="M207" t="inlineStr"/>
      <c r="N207" t="inlineStr"/>
      <c r="O207">
        <f>(1-Summary!$B$11)*S207+Summary!$B$11*U207</f>
        <v/>
      </c>
      <c r="P207">
        <f>IF(B223=0,0,O207/B223)</f>
        <v/>
      </c>
      <c r="Q207">
        <f>IFERROR(1/IF(Inputs!$B$38="pvp",15,MAX(0.1,Skills!D20-IF(Skills!E20=TRUE,Inputs!$B$32,0))),0)</f>
        <v/>
      </c>
      <c r="R207" t="n">
        <v>0</v>
      </c>
      <c r="S207" t="n">
        <v>0</v>
      </c>
      <c r="U207" t="n">
        <v>0</v>
      </c>
    </row>
    <row r="208">
      <c r="A208">
        <f>Skills!A21</f>
        <v/>
      </c>
      <c r="B208">
        <f>Skills!B21</f>
        <v/>
      </c>
      <c r="C208">
        <f>Inputs!$B$3&gt;=74</f>
        <v/>
      </c>
      <c r="D208">
        <f>IF(Skills!C21=1,60+Inputs!$B$25+Inputs!$B$29,IF(Skills!C21=2,90+Inputs!$B$26+Inputs!$B$29,IF(Skills!C21=3,120+Inputs!$B$27+Inputs!$B$29,MAX(0,(Inputs!$B$3-100)*3)+Inputs!$B$28+Inputs!$B$29)))</f>
        <v/>
      </c>
      <c r="E208">
        <f>INDEX(FactorTable!$B$2:$Y$301, MATCH(ROUND(MIN(300,MAX(1,D208)),0), FactorTable!$A$2:$A$301,0), Skills!L21+1)</f>
        <v/>
      </c>
      <c r="F208">
        <f>IF(Skills!M21=TRUE,(Skills!K21/10)*(E208/1000),Skills!K21/10)+Skills!N21</f>
        <v/>
      </c>
      <c r="G208">
        <f>Calc!G21</f>
        <v/>
      </c>
      <c r="H208">
        <f>Calc!H21</f>
        <v/>
      </c>
      <c r="I208">
        <f>IF(Skills!T21&lt;&gt;"",1+(Skills!T21/10)*(Z190/1000)/100,1)</f>
        <v/>
      </c>
      <c r="J208" t="inlineStr"/>
      <c r="K208" t="inlineStr"/>
      <c r="L208" t="inlineStr"/>
      <c r="M208" t="inlineStr"/>
      <c r="N208" t="inlineStr"/>
      <c r="O208">
        <f>(1-Summary!$B$11)*S208+Summary!$B$11*U208</f>
        <v/>
      </c>
      <c r="P208">
        <f>IF(B223=0,0,O208/B223)</f>
        <v/>
      </c>
      <c r="Q208">
        <f>IFERROR(1/IF(Inputs!$B$38="pvp",15,MAX(0.1,Skills!D21-IF(Skills!E21=TRUE,Inputs!$B$32,0))),0)</f>
        <v/>
      </c>
      <c r="R208" t="n">
        <v>0</v>
      </c>
      <c r="S208" t="n">
        <v>0</v>
      </c>
      <c r="U208" t="n">
        <v>0</v>
      </c>
    </row>
    <row r="209">
      <c r="A209">
        <f>Skills!A22</f>
        <v/>
      </c>
      <c r="B209">
        <f>Skills!B22</f>
        <v/>
      </c>
      <c r="C209">
        <f>Inputs!$B$3&gt;=117</f>
        <v/>
      </c>
      <c r="D209">
        <f>IF(Skills!C22=1,60+Inputs!$B$25+Inputs!$B$29,IF(Skills!C22=2,90+Inputs!$B$26+Inputs!$B$29,IF(Skills!C22=3,120+Inputs!$B$27+Inputs!$B$29,MAX(0,(Inputs!$B$3-100)*3)+Inputs!$B$28+Inputs!$B$29)))</f>
        <v/>
      </c>
      <c r="E209">
        <f>INDEX(FactorTable!$B$2:$Y$301, MATCH(ROUND(MIN(300,MAX(1,D209)),0), FactorTable!$A$2:$A$301,0), Skills!L22+1)</f>
        <v/>
      </c>
      <c r="F209">
        <f>IF(Skills!M22=TRUE,(Skills!K22/10)*(E209/1000),Skills!K22/10)+Skills!N22</f>
        <v/>
      </c>
      <c r="G209">
        <f>Calc!G22</f>
        <v/>
      </c>
      <c r="H209">
        <f>Calc!H22</f>
        <v/>
      </c>
      <c r="I209">
        <f>IF(Skills!T22&lt;&gt;"",1+(Skills!T22/10)*(Z190/1000)/100,1)</f>
        <v/>
      </c>
      <c r="J209" t="inlineStr"/>
      <c r="K209" t="inlineStr"/>
      <c r="L209" t="inlineStr"/>
      <c r="M209" t="inlineStr"/>
      <c r="N209" t="inlineStr"/>
      <c r="O209">
        <f>(1-Summary!$B$11)*S209+Summary!$B$11*U209</f>
        <v/>
      </c>
      <c r="P209">
        <f>IF(B223=0,0,O209/B223)</f>
        <v/>
      </c>
      <c r="Q209">
        <f>IFERROR(1/IF(Inputs!$B$38="pvp",15,MAX(0.1,Skills!D22-IF(Skills!E22=TRUE,Inputs!$B$32,0))),0)</f>
        <v/>
      </c>
      <c r="R209" t="n">
        <v>0</v>
      </c>
      <c r="S209" t="n">
        <v>0</v>
      </c>
      <c r="U209" t="n">
        <v>0</v>
      </c>
    </row>
    <row r="210">
      <c r="A210">
        <f>Skills!A23</f>
        <v/>
      </c>
      <c r="B210">
        <f>Skills!B23</f>
        <v/>
      </c>
      <c r="C210">
        <f>Inputs!$B$3&gt;=120</f>
        <v/>
      </c>
      <c r="D210">
        <f>IF(Skills!C23=1,60+Inputs!$B$25+Inputs!$B$29,IF(Skills!C23=2,90+Inputs!$B$26+Inputs!$B$29,IF(Skills!C23=3,120+Inputs!$B$27+Inputs!$B$29,MAX(0,(Inputs!$B$3-100)*3)+Inputs!$B$28+Inputs!$B$29)))</f>
        <v/>
      </c>
      <c r="E210">
        <f>INDEX(FactorTable!$B$2:$Y$301, MATCH(ROUND(MIN(300,MAX(1,D210)),0), FactorTable!$A$2:$A$301,0), Skills!L23+1)</f>
        <v/>
      </c>
      <c r="F210">
        <f>IF(Skills!M23=TRUE,(Skills!K23/10)*(E210/1000),Skills!K23/10)+Skills!N23</f>
        <v/>
      </c>
      <c r="G210">
        <f>Calc!G23</f>
        <v/>
      </c>
      <c r="H210">
        <f>Calc!H23</f>
        <v/>
      </c>
      <c r="I210">
        <f>IF(Skills!T23&lt;&gt;"",1+(Skills!T23/10)*(Z190/1000)/100,1)</f>
        <v/>
      </c>
      <c r="J210" t="inlineStr"/>
      <c r="K210" t="inlineStr"/>
      <c r="L210" t="inlineStr"/>
      <c r="M210" t="inlineStr"/>
      <c r="N210" t="inlineStr"/>
      <c r="O210">
        <f>(1-Summary!$B$11)*S210+Summary!$B$11*U210</f>
        <v/>
      </c>
      <c r="P210">
        <f>IF(B223=0,0,O210/B223)</f>
        <v/>
      </c>
      <c r="Q210">
        <f>IFERROR(1/IF(Inputs!$B$38="pvp",15,MAX(0.1,Skills!D23-IF(Skills!E23=TRUE,Inputs!$B$32,0))),0)</f>
        <v/>
      </c>
      <c r="R210" t="n">
        <v>0</v>
      </c>
      <c r="S210" t="n">
        <v>0</v>
      </c>
      <c r="U210" t="n">
        <v>0</v>
      </c>
    </row>
    <row r="213">
      <c r="A213" t="inlineStr">
        <is>
          <t>Average Buff Multiplier (Magic Guard + Meditation + Artifact Attack%, summed; then Infinity)</t>
        </is>
      </c>
      <c r="B213">
        <f>(1+(IF(C190=TRUE,F190*IF(AND(Inputs!$B$38&lt;&gt;"pvp",Inputs!$B$43&gt;0),(((R190-1)*(Skills!S3*(1+(Inputs!$B$34+IF(Inputs!$B$3&gt;=117,F209,0))/100))+MIN((Skills!S3*(1+(Inputs!$B$34+IF(Inputs!$B$3&gt;=117,F209,0))/100)),MAX(0,Inputs!$B$43-((R190-1)*Skills!D3))))/Inputs!$B$43),IF(Inputs!$B$38="pvp",MIN((Skills!S3*(1+(Inputs!$B$34+IF(Inputs!$B$3&gt;=117,F209,0))/100)),15)/15,(Skills!S3*(1+(Inputs!$B$34+IF(Inputs!$B$3&gt;=117,F209,0))/100))/Skills!D3)),0)+IF(C191=TRUE,F191*IF(AND(Inputs!$B$38&lt;&gt;"pvp",Inputs!$B$43&gt;0),(((R191-1)*(Skills!S4*(1+(Inputs!$B$34+IF(Inputs!$B$3&gt;=117,F209,0))/100))+MIN((Skills!S4*(1+(Inputs!$B$34+IF(Inputs!$B$3&gt;=117,F209,0))/100)),MAX(0,Inputs!$B$43-((R191-1)*Skills!D4))))/Inputs!$B$43),IF(Inputs!$B$38="pvp",MIN((Skills!S4*(1+(Inputs!$B$34+IF(Inputs!$B$3&gt;=117,F209,0))/100)),15)/15,(Skills!S4*(1+(Inputs!$B$34+IF(Inputs!$B$3&gt;=117,F209,0)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203=TRUE,(1+F203*IF(AND(Inputs!$B$38&lt;&gt;"pvp",Inputs!$B$43&gt;0),(((R203-1)*(Skills!S16*(1+(Inputs!$B$34+IF(Inputs!$B$3&gt;=117,F209,0))/100))+MIN((Skills!S16*(1+(Inputs!$B$34+IF(Inputs!$B$3&gt;=117,F209,0))/100)),MAX(0,Inputs!$B$43-((R203-1)*Skills!D16))))/Inputs!$B$43),IF(Inputs!$B$38="pvp",MIN((Skills!S16*(1+(Inputs!$B$34+IF(Inputs!$B$3&gt;=117,F209,0))/100)),15)/15,(Skills!S16*(1+(Inputs!$B$34+IF(Inputs!$B$3&gt;=117,F209,0))/100))/Skills!D16))/100),1)</f>
        <v/>
      </c>
    </row>
    <row r="214">
      <c r="A214" t="inlineStr">
        <is>
          <t>Monster Damage Taken Bonus % (Freezing Breath - Weaken + Elemental Reset + Artifact Enemy Damage Taken, summed)</t>
        </is>
      </c>
      <c r="B214">
        <f>IF(Inputs!$B$3&gt;=118,15*IF(Inputs!$B$38="pvp",MIN((30*(1+(Inputs!$B$34+IF(Inputs!$B$3&gt;=117,F209,0))/100)),15)/15,(30*(1+(Inputs!$B$34+IF(Inputs!$B$3&gt;=117,F209,0))/100))/Skills!D8),0)+IF(C201=TRUE,F201,0)+(IF(AND(ArtifactsInput!$M$35,Inputs!$B$4&lt;&gt;"Chapter Hunt"),CHOOSE(ArtifactsInput!$N$35+1,15,18,21,24,27,30)*(1-EXP(-(0.2*B217)*5)),0)+IF(AND(ArtifactsInput!$M$22,Inputs!$B$4&lt;&gt;"Chapter Hunt"),CHOOSE(ArtifactsInput!$N$22+1,10,12,14,16,18,20)*((0*(((0.15*B217*5))^0/1)+1*(((0.15*B217*5))^1/1)+2*(((0.15*B217*5))^2/2)+3*(((0.15*B217*5))^3/6)+4*(((0.15*B217*5))^4/24)+5*(((0.15*B217*5))^5/120))/((((0.15*B217*5))^0/1)+(((0.15*B217*5))^1/1)+(((0.15*B217*5))^2/2)+(((0.15*B217*5))^3/6)+(((0.15*B217*5))^4/24)+(((0.15*B217*5))^5/120))),0))</f>
        <v/>
      </c>
    </row>
    <row r="215">
      <c r="A215" t="inlineStr">
        <is>
          <t>Damage % Bonus (Frozen Break + Frost Clutch, flat)</t>
        </is>
      </c>
      <c r="B215">
        <f>IF(Inputs!$B$3&gt;=66,15,0)+IF(Inputs!$B$3&gt;=98,10,0)+IF(Inputs!$B$3&gt;=125,20,0)</f>
        <v/>
      </c>
    </row>
    <row r="216">
      <c r="A216" t="inlineStr">
        <is>
          <t>Attack Speed Bonus % (MP Eater - MP Boost, always-on once unlocked)</t>
        </is>
      </c>
      <c r="B216">
        <f>IF(C200=TRUE,F200+(F204-Calc!F17),0)</f>
        <v/>
      </c>
    </row>
    <row r="217">
      <c r="A217" t="inlineStr">
        <is>
          <t>Actions Per Second</t>
        </is>
      </c>
      <c r="B217">
        <f>1+MIN(150,150*(1-(1-(Inputs!$B$11+(ArtifactsInput!$M$15-ArtifactsInput!$M$15)*CHOOSE(ArtifactsInput!$N$15+1,8,9.6,11.2,12.8,14.4,16))/150)*(1-B216/150)))/100</f>
        <v/>
      </c>
    </row>
    <row r="218">
      <c r="A218" t="inlineStr">
        <is>
          <t>Skill + Buff Cast Rate</t>
        </is>
      </c>
      <c r="B218">
        <f>IF(AND(Inputs!$B$38&lt;&gt;"pvp",Inputs!$B$43&gt;0),SUMPRODUCT((Skills!E2:E23=TRUE)*(C189:C210=TRUE)*R189:R210)/Inputs!$B$43,SUMPRODUCT((Skills!E2:E23=TRUE)*(C189:C210=TRUE)*Q189:Q210))</f>
        <v/>
      </c>
    </row>
    <row r="219">
      <c r="A219" t="inlineStr">
        <is>
          <t>Chain Lightning Casts Per Second</t>
        </is>
      </c>
      <c r="B219">
        <f>MAX(0,B217-B218)</f>
        <v/>
      </c>
    </row>
    <row r="220">
      <c r="A220" t="inlineStr">
        <is>
          <t>Buff-Casting Startup Delay (s, fixed-duration only)</t>
        </is>
      </c>
      <c r="B220">
        <f>IF(AND(Inputs!$B$38&lt;&gt;"pvp",Inputs!$B$43&gt;0),SUMPRODUCT((Skills!S2:S23&gt;0)*(Skills!E2:E23=TRUE)*(C189:C210=TRUE))/B217,0)</f>
        <v/>
      </c>
    </row>
    <row r="221">
      <c r="A221" t="inlineStr">
        <is>
          <t>Boss-Only Total DPS (this block's swept value)</t>
        </is>
      </c>
      <c r="B221">
        <f>SUM(S189:S210)</f>
        <v/>
      </c>
    </row>
    <row r="222">
      <c r="A222" t="inlineStr">
        <is>
          <t>Normal-Only Total DPS (this block's swept value)</t>
        </is>
      </c>
      <c r="B222">
        <f>SUM(U189:U210)</f>
        <v/>
      </c>
    </row>
    <row r="223">
      <c r="A223" s="6" t="inlineStr">
        <is>
          <t>TOTAL DPS</t>
        </is>
      </c>
      <c r="B223" s="6">
        <f>SUM(O189:O210)</f>
        <v/>
      </c>
    </row>
    <row r="226">
      <c r="A226" s="6" t="inlineStr">
        <is>
          <t>Stat: BOSS_DAMAGE %</t>
        </is>
      </c>
    </row>
    <row r="227">
      <c r="A227" s="5" t="inlineStr">
        <is>
          <t>Key</t>
        </is>
      </c>
      <c r="B227" s="5" t="inlineStr">
        <is>
          <t>Name</t>
        </is>
      </c>
      <c r="C227" s="5" t="inlineStr">
        <is>
          <t>Unlocked</t>
        </is>
      </c>
      <c r="D227" s="5" t="inlineStr">
        <is>
          <t>InputLevel</t>
        </is>
      </c>
      <c r="E227" s="5" t="inlineStr">
        <is>
          <t>Factor</t>
        </is>
      </c>
      <c r="F227" s="5" t="inlineStr">
        <is>
          <t>CoefficientPercent</t>
        </is>
      </c>
      <c r="G227" s="5" t="inlineStr">
        <is>
          <t>EffectiveHits</t>
        </is>
      </c>
      <c r="H227" s="5" t="inlineStr">
        <is>
          <t>ProcProbability</t>
        </is>
      </c>
      <c r="I227" s="5" t="inlineStr">
        <is>
          <t>MapleHeroMultiplier</t>
        </is>
      </c>
      <c r="J227" s="5" t="inlineStr">
        <is>
          <t>BaseDamage</t>
        </is>
      </c>
      <c r="K227" s="5" t="inlineStr">
        <is>
          <t>BaseHitDamage</t>
        </is>
      </c>
      <c r="L227" s="5" t="inlineStr">
        <is>
          <t>NonCritAvg</t>
        </is>
      </c>
      <c r="M227" s="5" t="inlineStr">
        <is>
          <t>CritAvg</t>
        </is>
      </c>
      <c r="N227" s="5" t="inlineStr">
        <is>
          <t>ExpectedDamage(perHit)</t>
        </is>
      </c>
      <c r="O227" s="5" t="inlineStr">
        <is>
          <t>DPS</t>
        </is>
      </c>
      <c r="P227" s="5" t="inlineStr">
        <is>
          <t>% of Total</t>
        </is>
      </c>
      <c r="R227" t="inlineStr">
        <is>
          <t>helpers</t>
        </is>
      </c>
    </row>
    <row r="228">
      <c r="A228">
        <f>Skills!A2</f>
        <v/>
      </c>
      <c r="B228">
        <f>Skills!B2</f>
        <v/>
      </c>
      <c r="C228">
        <f>Inputs!$B$3&gt;=100</f>
        <v/>
      </c>
      <c r="D228" t="inlineStr"/>
      <c r="E228" t="inlineStr"/>
      <c r="F228">
        <f>T230+Skills!N2</f>
        <v/>
      </c>
      <c r="G228">
        <f>Calc!G2</f>
        <v/>
      </c>
      <c r="H228">
        <f>Calc!H2</f>
        <v/>
      </c>
      <c r="I228">
        <f>IF(Skills!T2&lt;&gt;"",1+(Skills!T2/10)*(Z229/1000)/100,1)</f>
        <v/>
      </c>
      <c r="J228">
        <f>((Inputs!$B$6*(1+Inputs!$B$7/100))+(((Inputs!$B$12*(1+Inputs!$B$13/100))-(Inputs!$B$12*(1+Inputs!$B$13/100)))+0.25*(Inputs!$B$14-Inputs!$B$14))*(1+Inputs!$B$7/100))*(F228/100)</f>
        <v/>
      </c>
      <c r="K228">
        <f>J228*(1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f>
        <v/>
      </c>
      <c r="L228">
        <f>K228*(MIN(Inputs!$B$22+(F244-Calc!F18),(Inputs!$B$23+(IF(ArtifactsInput!$M$15,CHOOSE(ArtifactsInput!$N$15+1,25,30,35,40,45,50)/100*(Inputs!$B$11-Inputs!$B$11),0))))/100+(Inputs!$B$23+(IF(ArtifactsInput!$M$15,CHOOSE(ArtifactsInput!$N$15+1,25,30,35,40,45,50)/100*(Inputs!$B$11-Inputs!$B$11),0)))/100)/2</f>
        <v/>
      </c>
      <c r="M228">
        <f>L228*(1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
        <f>L228*(1-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
        <f>(1-Summary!$B$11)*S228+Summary!$B$11*U228</f>
        <v/>
      </c>
      <c r="P228">
        <f>IF(B262=0,0,O228/B262)</f>
        <v/>
      </c>
      <c r="Q228">
        <f>IFERROR(1/IF(Inputs!$B$38="pvp",15,MAX(0.1,Skills!D2-IF(Skills!E2=TRUE,Inputs!$B$32,0))),0)</f>
        <v/>
      </c>
      <c r="R228" t="n">
        <v>0</v>
      </c>
      <c r="S228">
        <f>IF(C228,(Skills!F2*N228*B258)*IF(Inputs!$B$38="pvp",1,1+((Inputs!$B$20+1)+Skills!O2+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8">
        <f>MAX(0,(Inputs!$B$3-100)*3)+Inputs!$B$28+Inputs!$B$29</f>
        <v/>
      </c>
      <c r="U228">
        <f>IF(C228,(Skills!F2*N228*B258)*IF(Inputs!$B$38="pvp",1,(1+(Inputs!$B$21+Skills!P2+B253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8">
        <f>MAX(0,(Inputs!$B$3-100)*3)+Inputs!$B$28+Inputs!$B$29</f>
        <v/>
      </c>
    </row>
    <row r="229">
      <c r="A229">
        <f>Skills!A3</f>
        <v/>
      </c>
      <c r="B229">
        <f>Skills!B3</f>
        <v/>
      </c>
      <c r="C229">
        <f>Inputs!$B$3&gt;=15</f>
        <v/>
      </c>
      <c r="D229">
        <f>IF(Skills!C3=1,60+Inputs!$B$25+Inputs!$B$29,IF(Skills!C3=2,90+Inputs!$B$26+Inputs!$B$29,IF(Skills!C3=3,120+Inputs!$B$27+Inputs!$B$29,MAX(0,(Inputs!$B$3-100)*3)+Inputs!$B$28+Inputs!$B$29)))</f>
        <v/>
      </c>
      <c r="E229">
        <f>INDEX(FactorTable!$B$2:$Y$301, MATCH(ROUND(MIN(300,MAX(1,D229)),0), FactorTable!$A$2:$A$301,0), Skills!L3+1)</f>
        <v/>
      </c>
      <c r="F229">
        <f>IF(Skills!M3=TRUE,(Skills!K3/10)*(E229/1000),Skills!K3/10)+Skills!N3</f>
        <v/>
      </c>
      <c r="G229">
        <f>Calc!G3</f>
        <v/>
      </c>
      <c r="H229">
        <f>Calc!H3</f>
        <v/>
      </c>
      <c r="I229">
        <f>IF(Skills!T3&lt;&gt;"",1+(Skills!T3/10)*(Z229/1000)/100,1)</f>
        <v/>
      </c>
      <c r="J229" t="inlineStr"/>
      <c r="K229" t="inlineStr"/>
      <c r="L229" t="inlineStr"/>
      <c r="M229" t="inlineStr"/>
      <c r="N229" t="inlineStr"/>
      <c r="O229">
        <f>(1-Summary!$B$11)*S229+Summary!$B$11*U229</f>
        <v/>
      </c>
      <c r="P229">
        <f>IF(B262=0,0,O229/B262)</f>
        <v/>
      </c>
      <c r="Q229">
        <f>IFERROR(1/IF(Inputs!$B$38="pvp",15,MAX(0.1,Skills!D3-IF(Skills!E3=TRUE,Inputs!$B$32,0))),0)</f>
        <v/>
      </c>
      <c r="R229">
        <f>IF(AND(Inputs!$B$38&lt;&gt;"pvp",Inputs!$B$43&gt;0),IF(Inputs!$B$43&lt;=0,0,(INT(Inputs!$B$43/IF(Inputs!$B$38="pvp",15,MAX(0.1,Skills!D3-IF(Skills!E3=TRUE,Inputs!$B$32,0))))+1)),0)</f>
        <v/>
      </c>
      <c r="S229" t="n">
        <v>0</v>
      </c>
      <c r="T229">
        <f>INDEX(FactorTable!$B$2:$Y$301, MATCH(ROUND(MIN(300,MAX(1,T228)),0), FactorTable!$A$2:$A$301,0), 22)</f>
        <v/>
      </c>
      <c r="U229" t="n">
        <v>0</v>
      </c>
      <c r="Z229">
        <f>INDEX(FactorTable!$B$2:$Y$301, MATCH(ROUND(MIN(300,MAX(1,Z228)),0), FactorTable!$A$2:$A$301,0), 24)</f>
        <v/>
      </c>
    </row>
    <row r="230">
      <c r="A230">
        <f>Skills!A4</f>
        <v/>
      </c>
      <c r="B230">
        <f>Skills!B4</f>
        <v/>
      </c>
      <c r="C230">
        <f>Inputs!$B$3&gt;=40</f>
        <v/>
      </c>
      <c r="D230">
        <f>IF(Skills!C4=1,60+Inputs!$B$25+Inputs!$B$29,IF(Skills!C4=2,90+Inputs!$B$26+Inputs!$B$29,IF(Skills!C4=3,120+Inputs!$B$27+Inputs!$B$29,MAX(0,(Inputs!$B$3-100)*3)+Inputs!$B$28+Inputs!$B$29)))</f>
        <v/>
      </c>
      <c r="E230">
        <f>INDEX(FactorTable!$B$2:$Y$301, MATCH(ROUND(MIN(300,MAX(1,D230)),0), FactorTable!$A$2:$A$301,0), Skills!L4+1)</f>
        <v/>
      </c>
      <c r="F230">
        <f>IF(Skills!M4=TRUE,(Skills!K4/10)*(E230/1000),Skills!K4/10)+Skills!N4</f>
        <v/>
      </c>
      <c r="G230">
        <f>Calc!G4</f>
        <v/>
      </c>
      <c r="H230">
        <f>Calc!H4</f>
        <v/>
      </c>
      <c r="I230">
        <f>IF(Skills!T4&lt;&gt;"",1+(Skills!T4/10)*(Z229/1000)/100,1)</f>
        <v/>
      </c>
      <c r="J230" t="inlineStr"/>
      <c r="K230" t="inlineStr"/>
      <c r="L230" t="inlineStr"/>
      <c r="M230" t="inlineStr"/>
      <c r="N230" t="inlineStr"/>
      <c r="O230">
        <f>(1-Summary!$B$11)*S230+Summary!$B$11*U230</f>
        <v/>
      </c>
      <c r="P230">
        <f>IF(B262=0,0,O230/B262)</f>
        <v/>
      </c>
      <c r="Q230">
        <f>IFERROR(1/IF(Inputs!$B$38="pvp",15,MAX(0.1,Skills!D4-IF(Skills!E4=TRUE,Inputs!$B$32,0))),0)</f>
        <v/>
      </c>
      <c r="R230">
        <f>IF(AND(Inputs!$B$38&lt;&gt;"pvp",Inputs!$B$43&gt;0),IF(Inputs!$B$43&lt;=0,0,(INT(Inputs!$B$43/IF(Inputs!$B$38="pvp",15,MAX(0.1,Skills!D4-IF(Skills!E4=TRUE,Inputs!$B$32,0))))+1)),0)</f>
        <v/>
      </c>
      <c r="S230" t="n">
        <v>0</v>
      </c>
      <c r="T230">
        <f>290*T229/1000</f>
        <v/>
      </c>
      <c r="U230" t="n">
        <v>0</v>
      </c>
    </row>
    <row r="231">
      <c r="A231">
        <f>Skills!A5</f>
        <v/>
      </c>
      <c r="B231">
        <f>Skills!B5</f>
        <v/>
      </c>
      <c r="C231">
        <f>Inputs!$B$3&gt;=38</f>
        <v/>
      </c>
      <c r="D231">
        <f>IF(Skills!C5=1,60+Inputs!$B$25+Inputs!$B$29,IF(Skills!C5=2,90+Inputs!$B$26+Inputs!$B$29,IF(Skills!C5=3,120+Inputs!$B$27+Inputs!$B$29,MAX(0,(Inputs!$B$3-100)*3)+Inputs!$B$28+Inputs!$B$29)))</f>
        <v/>
      </c>
      <c r="E231">
        <f>INDEX(FactorTable!$B$2:$Y$301, MATCH(ROUND(MIN(300,MAX(1,D231)),0), FactorTable!$A$2:$A$301,0), Skills!L5+1)</f>
        <v/>
      </c>
      <c r="F231">
        <f>IF(Skills!M5=TRUE,(Skills!K5/10)*(E231/1000),Skills!K5/10)+Skills!N5</f>
        <v/>
      </c>
      <c r="G231">
        <f>Calc!G5</f>
        <v/>
      </c>
      <c r="H231">
        <f>Calc!H5</f>
        <v/>
      </c>
      <c r="I231">
        <f>IF(Skills!T5&lt;&gt;"",1+(Skills!T5/10)*(Z229/1000)/100,1)</f>
        <v/>
      </c>
      <c r="J231">
        <f>((Inputs!$B$6*(1+Inputs!$B$7/100))+(((Inputs!$B$12*(1+Inputs!$B$13/100))-(Inputs!$B$12*(1+Inputs!$B$13/100)))+0.25*(Inputs!$B$14-Inputs!$B$14))*(1+Inputs!$B$7/100))*(F231/100)</f>
        <v/>
      </c>
      <c r="K231">
        <f>J231*(1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F244-Calc!F18),(Inputs!$B$23+(IF(ArtifactsInput!$M$15,CHOOSE(ArtifactsInput!$N$15+1,25,30,35,40,45,50)/100*(Inputs!$B$11-Inputs!$B$11),0))))/100+(Inputs!$B$23+(IF(ArtifactsInput!$M$15,CHOOSE(ArtifactsInput!$N$15+1,25,30,35,40,45,50)/100*(Inputs!$B$11-Inputs!$B$11),0)))/100)/2</f>
        <v/>
      </c>
      <c r="M231">
        <f>L231*(1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(1-Summary!$B$11)*S231+Summary!$B$11*U231</f>
        <v/>
      </c>
      <c r="P231">
        <f>IF(B262=0,0,O231/B262)</f>
        <v/>
      </c>
      <c r="Q231">
        <f>IFERROR(1/IF(Inputs!$B$38="pvp",15,MAX(0.1,Skills!D5-IF(Skills!E5=TRUE,Inputs!$B$32,0))),0)</f>
        <v/>
      </c>
      <c r="R231">
        <f>IF(AND(Inputs!$B$38&lt;&gt;"pvp",Inputs!$B$43&gt;0),IF(MAX(0,Inputs!$B$43-B259)&lt;=0,0,(INT(MAX(0,Inputs!$B$43-B259)/IF(Inputs!$B$38="pvp",15,MAX(0.1,Skills!D5-IF(Skills!E5=TRUE,Inputs!$B$32,0))))+1)),0)</f>
        <v/>
      </c>
      <c r="S231">
        <f>IF(C231,(H231*N231*IF(AND(Inputs!$B$38&lt;&gt;"pvp",Inputs!$B$43&gt;0),((Skills!F5*((R231-1)*IF(Skills!G5&gt;0,Skills!H5/Skills!G5,1)+IF(Skills!G5&gt;0,MIN(Skills!H5,MAX(0,MAX(0,Inputs!$B$43-B259)-((R231-1)*IF(Inputs!$B$38="pvp",15,MAX(0.1,Skills!D5-IF(Skills!E5=TRUE,Inputs!$B$32,0))))))/Skills!G5,1)))/Inputs!$B$43),G231*Q231))*IF(Inputs!$B$38="pvp",1,1+((Inputs!$B$20+1)+Skills!O5+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
        <f>IF(C231,(H231*N231*IF(AND(Inputs!$B$38&lt;&gt;"pvp",Inputs!$B$43&gt;0),((Skills!F5*((R231-1)*IF(Skills!G5&gt;0,Skills!H5/Skills!G5,1)+IF(Skills!G5&gt;0,MIN(Skills!H5,MAX(0,MAX(0,Inputs!$B$43-B259)-((R231-1)*IF(Inputs!$B$38="pvp",15,MAX(0.1,Skills!D5-IF(Skills!E5=TRUE,Inputs!$B$32,0))))))/Skills!G5,1)))/Inputs!$B$43),G231*Q231))*IF(Inputs!$B$38="pvp",1,(1+(Inputs!$B$21+Skills!P5+B253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Skills!A6</f>
        <v/>
      </c>
      <c r="B232">
        <f>Skills!B6</f>
        <v/>
      </c>
      <c r="C232">
        <f>Inputs!$B$3&gt;=63</f>
        <v/>
      </c>
      <c r="D232">
        <f>IF(Skills!C6=1,60+Inputs!$B$25+Inputs!$B$29,IF(Skills!C6=2,90+Inputs!$B$26+Inputs!$B$29,IF(Skills!C6=3,120+Inputs!$B$27+Inputs!$B$29,MAX(0,(Inputs!$B$3-100)*3)+Inputs!$B$28+Inputs!$B$29)))</f>
        <v/>
      </c>
      <c r="E232">
        <f>INDEX(FactorTable!$B$2:$Y$301, MATCH(ROUND(MIN(300,MAX(1,D232)),0), FactorTable!$A$2:$A$301,0), Skills!L6+1)</f>
        <v/>
      </c>
      <c r="F232">
        <f>IF(Skills!M6=TRUE,(Skills!K6/10)*(E232/1000),Skills!K6/10)+Skills!N6</f>
        <v/>
      </c>
      <c r="G232">
        <f>Calc!G6</f>
        <v/>
      </c>
      <c r="H232">
        <f>Calc!H6</f>
        <v/>
      </c>
      <c r="I232">
        <f>IF(Skills!T6&lt;&gt;"",1+(Skills!T6/10)*(Z229/1000)/100,1)</f>
        <v/>
      </c>
      <c r="J232">
        <f>((Inputs!$B$6*(1+Inputs!$B$7/100))+(((Inputs!$B$12*(1+Inputs!$B$13/100))-(Inputs!$B$12*(1+Inputs!$B$13/100)))+0.25*(Inputs!$B$14-Inputs!$B$14))*(1+Inputs!$B$7/100))*(F232/100)</f>
        <v/>
      </c>
      <c r="K232">
        <f>J232*(1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F244-Calc!F18),(Inputs!$B$23+(IF(ArtifactsInput!$M$15,CHOOSE(ArtifactsInput!$N$15+1,25,30,35,40,45,50)/100*(Inputs!$B$11-Inputs!$B$11),0))))/100+(Inputs!$B$23+(IF(ArtifactsInput!$M$15,CHOOSE(ArtifactsInput!$N$15+1,25,30,35,40,45,50)/100*(Inputs!$B$11-Inputs!$B$11),0)))/100)/2</f>
        <v/>
      </c>
      <c r="M232">
        <f>L232*(1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(1-Summary!$B$11)*S232+Summary!$B$11*U232</f>
        <v/>
      </c>
      <c r="P232">
        <f>IF(B262=0,0,O232/B262)</f>
        <v/>
      </c>
      <c r="Q232">
        <f>IFERROR(1/IF(Inputs!$B$38="pvp",15,MAX(0.1,Skills!D6-IF(Skills!E6=TRUE,Inputs!$B$32,0))),0)</f>
        <v/>
      </c>
      <c r="R232">
        <f>IF(AND(Inputs!$B$38&lt;&gt;"pvp",Inputs!$B$43&gt;0),IF(MAX(0,Inputs!$B$43-B259)&lt;=0,0,(INT(MAX(0,Inputs!$B$43-B259)/IF(Inputs!$B$38="pvp",15,MAX(0.1,Skills!D6-IF(Skills!E6=TRUE,Inputs!$B$32,0))))+1)),0)</f>
        <v/>
      </c>
      <c r="S232">
        <f>IF(C232,(H232*N232*IF(AND(Inputs!$B$38&lt;&gt;"pvp",Inputs!$B$43&gt;0),((Skills!F6*((R232-1)*IF(Skills!G6&gt;0,Skills!H6/Skills!G6,1)+IF(Skills!G6&gt;0,MIN(Skills!H6,MAX(0,MAX(0,Inputs!$B$43-B259)-((R232-1)*IF(Inputs!$B$38="pvp",15,MAX(0.1,Skills!D6-IF(Skills!E6=TRUE,Inputs!$B$32,0))))))/Skills!G6,1)))/Inputs!$B$43),G232*Q232))*IF(Inputs!$B$38="pvp",1,1+((Inputs!$B$20+1)+Skills!O6+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
        <f>IF(C232,(H232*N232*IF(AND(Inputs!$B$38&lt;&gt;"pvp",Inputs!$B$43&gt;0),((Skills!F6*((R232-1)*IF(Skills!G6&gt;0,Skills!H6/Skills!G6,1)+IF(Skills!G6&gt;0,MIN(Skills!H6,MAX(0,MAX(0,Inputs!$B$43-B259)-((R232-1)*IF(Inputs!$B$38="pvp",15,MAX(0.1,Skills!D6-IF(Skills!E6=TRUE,Inputs!$B$32,0))))))/Skills!G6,1)))/Inputs!$B$43),G232*Q232))*IF(Inputs!$B$38="pvp",1,(1+(Inputs!$B$21+Skills!P6+B253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
      <c r="A233">
        <f>Skills!A7</f>
        <v/>
      </c>
      <c r="B233">
        <f>Skills!B7</f>
        <v/>
      </c>
      <c r="C233">
        <f>Inputs!$B$3&gt;=69</f>
        <v/>
      </c>
      <c r="D233">
        <f>IF(Skills!C7=1,60+Inputs!$B$25+Inputs!$B$29,IF(Skills!C7=2,90+Inputs!$B$26+Inputs!$B$29,IF(Skills!C7=3,120+Inputs!$B$27+Inputs!$B$29,MAX(0,(Inputs!$B$3-100)*3)+Inputs!$B$28+Inputs!$B$29)))</f>
        <v/>
      </c>
      <c r="E233">
        <f>INDEX(FactorTable!$B$2:$Y$301, MATCH(ROUND(MIN(300,MAX(1,D233)),0), FactorTable!$A$2:$A$301,0), Skills!L7+1)</f>
        <v/>
      </c>
      <c r="F233">
        <f>IF(Skills!M7=TRUE,(Skills!K7/10)*(E233/1000),Skills!K7/10)+Skills!N7</f>
        <v/>
      </c>
      <c r="G233">
        <f>Calc!G7</f>
        <v/>
      </c>
      <c r="H233">
        <f>Calc!H7</f>
        <v/>
      </c>
      <c r="I233">
        <f>IF(Skills!T7&lt;&gt;"",1+(Skills!T7/10)*(Z229/1000)/100,1)</f>
        <v/>
      </c>
      <c r="J233">
        <f>((Inputs!$B$6*(1+Inputs!$B$7/100))+(((Inputs!$B$12*(1+Inputs!$B$13/100))-(Inputs!$B$12*(1+Inputs!$B$13/100)))+0.25*(Inputs!$B$14-Inputs!$B$14))*(1+Inputs!$B$7/100))*(F233/100)</f>
        <v/>
      </c>
      <c r="K233">
        <f>J233*(1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F244-Calc!F18),(Inputs!$B$23+(IF(ArtifactsInput!$M$15,CHOOSE(ArtifactsInput!$N$15+1,25,30,35,40,45,50)/100*(Inputs!$B$11-Inputs!$B$11),0))))/100+(Inputs!$B$23+(IF(ArtifactsInput!$M$15,CHOOSE(ArtifactsInput!$N$15+1,25,30,35,40,45,50)/100*(Inputs!$B$11-Inputs!$B$11),0)))/100)/2</f>
        <v/>
      </c>
      <c r="M233">
        <f>L233*(1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(1-Summary!$B$11)*S233+Summary!$B$11*U233</f>
        <v/>
      </c>
      <c r="P233">
        <f>IF(B262=0,0,O233/B262)</f>
        <v/>
      </c>
      <c r="Q233">
        <f>IFERROR(1/IF(Inputs!$B$38="pvp",15,MAX(0.1,Skills!D7-IF(Skills!E7=TRUE,Inputs!$B$32,0))),0)</f>
        <v/>
      </c>
      <c r="R233">
        <f>IF(AND(Inputs!$B$38&lt;&gt;"pvp",Inputs!$B$43&gt;0),IF(MAX(0,Inputs!$B$43-B259)&lt;=0,0,(INT(MAX(0,Inputs!$B$43-B259)/IF(Inputs!$B$38="pvp",15,MAX(0.1,Skills!D7-IF(Skills!E7=TRUE,Inputs!$B$32,0))))+1)),0)</f>
        <v/>
      </c>
      <c r="S233">
        <f>IF(C233,(H233*N233*IF(AND(Inputs!$B$38&lt;&gt;"pvp",Inputs!$B$43&gt;0),((Skills!F7*((R233-1)*IF(Skills!G7&gt;0,Skills!H7/Skills!G7,1)+IF(Skills!G7&gt;0,MIN(Skills!H7,MAX(0,MAX(0,Inputs!$B$43-B259)-((R233-1)*IF(Inputs!$B$38="pvp",15,MAX(0.1,Skills!D7-IF(Skills!E7=TRUE,Inputs!$B$32,0))))))/Skills!G7,1)))/Inputs!$B$43),G233*Q233))*IF(Inputs!$B$38="pvp",1,1+((Inputs!$B$20+1)+Skills!O7+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IF(C233,(H233*N233*IF(AND(Inputs!$B$38&lt;&gt;"pvp",Inputs!$B$43&gt;0),((Skills!F7*((R233-1)*IF(Skills!G7&gt;0,Skills!H7/Skills!G7,1)+IF(Skills!G7&gt;0,MIN(Skills!H7,MAX(0,MAX(0,Inputs!$B$43-B259)-((R233-1)*IF(Inputs!$B$38="pvp",15,MAX(0.1,Skills!D7-IF(Skills!E7=TRUE,Inputs!$B$32,0))))))/Skills!G7,1)))/Inputs!$B$43),G233*Q233))*IF(Inputs!$B$38="pvp",1,(1+(Inputs!$B$21+Skills!P7+B253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Skills!A8</f>
        <v/>
      </c>
      <c r="B234">
        <f>Skills!B8</f>
        <v/>
      </c>
      <c r="C234">
        <f>Inputs!$B$3&gt;=103</f>
        <v/>
      </c>
      <c r="D234">
        <f>IF(Skills!C8=1,60+Inputs!$B$25+Inputs!$B$29,IF(Skills!C8=2,90+Inputs!$B$26+Inputs!$B$29,IF(Skills!C8=3,120+Inputs!$B$27+Inputs!$B$29,MAX(0,(Inputs!$B$3-100)*3)+Inputs!$B$28+Inputs!$B$29)))</f>
        <v/>
      </c>
      <c r="E234">
        <f>INDEX(FactorTable!$B$2:$Y$301, MATCH(ROUND(MIN(300,MAX(1,D234)),0), FactorTable!$A$2:$A$301,0), Skills!L8+1)</f>
        <v/>
      </c>
      <c r="F234">
        <f>IF(Skills!M8=TRUE,(Skills!K8/10)*(E234/1000),Skills!K8/10)+Skills!N8</f>
        <v/>
      </c>
      <c r="G234">
        <f>Calc!G8</f>
        <v/>
      </c>
      <c r="H234">
        <f>Calc!H8</f>
        <v/>
      </c>
      <c r="I234">
        <f>IF(Skills!T8&lt;&gt;"",1+(Skills!T8/10)*(Z229/1000)/100,1)</f>
        <v/>
      </c>
      <c r="J234">
        <f>((Inputs!$B$6*(1+Inputs!$B$7/100))+(((Inputs!$B$12*(1+Inputs!$B$13/100))-(Inputs!$B$12*(1+Inputs!$B$13/100)))+0.25*(Inputs!$B$14-Inputs!$B$14))*(1+Inputs!$B$7/100))*(F234/100)</f>
        <v/>
      </c>
      <c r="K234">
        <f>J234*(1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F244-Calc!F18),(Inputs!$B$23+(IF(ArtifactsInput!$M$15,CHOOSE(ArtifactsInput!$N$15+1,25,30,35,40,45,50)/100*(Inputs!$B$11-Inputs!$B$11),0))))/100+(Inputs!$B$23+(IF(ArtifactsInput!$M$15,CHOOSE(ArtifactsInput!$N$15+1,25,30,35,40,45,50)/100*(Inputs!$B$11-Inputs!$B$11),0)))/100)/2</f>
        <v/>
      </c>
      <c r="M234">
        <f>L234*(1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(1-Summary!$B$11)*S234+Summary!$B$11*U234</f>
        <v/>
      </c>
      <c r="P234">
        <f>IF(B262=0,0,O234/B262)</f>
        <v/>
      </c>
      <c r="Q234">
        <f>IFERROR(1/IF(Inputs!$B$38="pvp",15,MAX(0.1,Skills!D8-IF(Skills!E8=TRUE,Inputs!$B$32,0))),0)</f>
        <v/>
      </c>
      <c r="R234">
        <f>IF(AND(Inputs!$B$38&lt;&gt;"pvp",Inputs!$B$43&gt;0),IF(MAX(0,Inputs!$B$43-B259)&lt;=0,0,(INT(MAX(0,Inputs!$B$43-B259)/IF(Inputs!$B$38="pvp",15,MAX(0.1,Skills!D8-IF(Skills!E8=TRUE,Inputs!$B$32,0))))+1)),0)</f>
        <v/>
      </c>
      <c r="S234">
        <f>IF(C234,(H234*N234*IF(AND(Inputs!$B$38&lt;&gt;"pvp",Inputs!$B$43&gt;0),((Skills!F8*((R234-1)*IF(Skills!G8&gt;0,Skills!H8/Skills!G8,1)+IF(Skills!G8&gt;0,MIN(Skills!H8,MAX(0,MAX(0,Inputs!$B$43-B259)-((R234-1)*IF(Inputs!$B$38="pvp",15,MAX(0.1,Skills!D8-IF(Skills!E8=TRUE,Inputs!$B$32,0))))))/Skills!G8,1)))/Inputs!$B$43),G234*Q234))*IF(Inputs!$B$38="pvp",1,1+((Inputs!$B$20+1)+Skills!O8+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
        <f>IF(C234,(H234*N234*IF(AND(Inputs!$B$38&lt;&gt;"pvp",Inputs!$B$43&gt;0),((Skills!F8*((R234-1)*IF(Skills!G8&gt;0,Skills!H8/Skills!G8,1)+IF(Skills!G8&gt;0,MIN(Skills!H8,MAX(0,MAX(0,Inputs!$B$43-B259)-((R234-1)*IF(Inputs!$B$38="pvp",15,MAX(0.1,Skills!D8-IF(Skills!E8=TRUE,Inputs!$B$32,0))))))/Skills!G8,1)))/Inputs!$B$43),G234*Q234))*IF(Inputs!$B$38="pvp",1,(1+(Inputs!$B$21+Skills!P8+B253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Skills!A9</f>
        <v/>
      </c>
      <c r="B235">
        <f>Skills!B9</f>
        <v/>
      </c>
      <c r="C235">
        <f>Inputs!$B$3&gt;=105</f>
        <v/>
      </c>
      <c r="D235">
        <f>IF(Skills!C9=1,60+Inputs!$B$25+Inputs!$B$29,IF(Skills!C9=2,90+Inputs!$B$26+Inputs!$B$29,IF(Skills!C9=3,120+Inputs!$B$27+Inputs!$B$29,MAX(0,(Inputs!$B$3-100)*3)+Inputs!$B$28+Inputs!$B$29)))</f>
        <v/>
      </c>
      <c r="E235">
        <f>INDEX(FactorTable!$B$2:$Y$301, MATCH(ROUND(MIN(300,MAX(1,D235)),0), FactorTable!$A$2:$A$301,0), Skills!L9+1)</f>
        <v/>
      </c>
      <c r="F235">
        <f>IF(Skills!M9=TRUE,(Skills!K9/10)*(E235/1000),Skills!K9/10)+Skills!N9</f>
        <v/>
      </c>
      <c r="G235">
        <f>Calc!G9</f>
        <v/>
      </c>
      <c r="H235">
        <f>Calc!H9</f>
        <v/>
      </c>
      <c r="I235">
        <f>IF(Skills!T9&lt;&gt;"",1+(Skills!T9/10)*(Z229/1000)/100,1)</f>
        <v/>
      </c>
      <c r="J235">
        <f>((Inputs!$B$6*(1+Inputs!$B$7/100))+(((Inputs!$B$12*(1+Inputs!$B$13/100))-(Inputs!$B$12*(1+Inputs!$B$13/100)))+0.25*(Inputs!$B$14-Inputs!$B$14))*(1+Inputs!$B$7/100))*(F235/100)</f>
        <v/>
      </c>
      <c r="K235">
        <f>J235*(1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F244-Calc!F18),(Inputs!$B$23+(IF(ArtifactsInput!$M$15,CHOOSE(ArtifactsInput!$N$15+1,25,30,35,40,45,50)/100*(Inputs!$B$11-Inputs!$B$11),0))))/100+(Inputs!$B$23+(IF(ArtifactsInput!$M$15,CHOOSE(ArtifactsInput!$N$15+1,25,30,35,40,45,50)/100*(Inputs!$B$11-Inputs!$B$11),0)))/100)/2</f>
        <v/>
      </c>
      <c r="M235">
        <f>L235*(1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(1-Summary!$B$11)*S235+Summary!$B$11*U235</f>
        <v/>
      </c>
      <c r="P235">
        <f>IF(B262=0,0,O235/B262)</f>
        <v/>
      </c>
      <c r="Q235">
        <f>IFERROR(1/IF(Inputs!$B$38="pvp",15,MAX(0.1,Skills!D9-IF(Skills!E9=TRUE,Inputs!$B$32,0))),0)</f>
        <v/>
      </c>
      <c r="R235">
        <f>IF(AND(Inputs!$B$38&lt;&gt;"pvp",Inputs!$B$43&gt;0),IF(MAX(0,Inputs!$B$43-B259)&lt;=0,0,(INT(MAX(0,Inputs!$B$43-B259)/IF(Inputs!$B$38="pvp",15,MAX(0.1,Skills!D9-IF(Skills!E9=TRUE,Inputs!$B$32,0))))+1)),0)</f>
        <v/>
      </c>
      <c r="S235">
        <f>IF(C235,(H235*N235*IF(AND(Inputs!$B$38&lt;&gt;"pvp",Inputs!$B$43&gt;0),((Skills!F9*((R235-1)*IF(Skills!G9&gt;0,Skills!H9/Skills!G9,1)+IF(Skills!G9&gt;0,MIN(Skills!H9,MAX(0,MAX(0,Inputs!$B$43-B259)-((R235-1)*IF(Inputs!$B$38="pvp",15,MAX(0.1,Skills!D9-IF(Skills!E9=TRUE,Inputs!$B$32,0))))))/Skills!G9,1)))/Inputs!$B$43),G235*Q235))*IF(Inputs!$B$38="pvp",1,1+((Inputs!$B$20+1)+Skills!O9+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IF(C235,(H235*N235*IF(AND(Inputs!$B$38&lt;&gt;"pvp",Inputs!$B$43&gt;0),((Skills!F9*((R235-1)*IF(Skills!G9&gt;0,Skills!H9/Skills!G9,1)+IF(Skills!G9&gt;0,MIN(Skills!H9,MAX(0,MAX(0,Inputs!$B$43-B259)-((R235-1)*IF(Inputs!$B$38="pvp",15,MAX(0.1,Skills!D9-IF(Skills!E9=TRUE,Inputs!$B$32,0))))))/Skills!G9,1)))/Inputs!$B$43),G235*Q235))*IF(Inputs!$B$38="pvp",1,(1+(Inputs!$B$21+Skills!P9+B253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Skills!A10</f>
        <v/>
      </c>
      <c r="B236">
        <f>Skills!B10</f>
        <v/>
      </c>
      <c r="C236">
        <f>Inputs!$B$3&gt;=113</f>
        <v/>
      </c>
      <c r="D236">
        <f>IF(Skills!C10=1,60+Inputs!$B$25+Inputs!$B$29,IF(Skills!C10=2,90+Inputs!$B$26+Inputs!$B$29,IF(Skills!C10=3,120+Inputs!$B$27+Inputs!$B$29,MAX(0,(Inputs!$B$3-100)*3)+Inputs!$B$28+Inputs!$B$29)))</f>
        <v/>
      </c>
      <c r="E236">
        <f>INDEX(FactorTable!$B$2:$Y$301, MATCH(ROUND(MIN(300,MAX(1,D236)),0), FactorTable!$A$2:$A$301,0), Skills!L10+1)</f>
        <v/>
      </c>
      <c r="F236">
        <f>IF(Skills!M10=TRUE,(Skills!K10/10)*(E236/1000),Skills!K10/10)+Skills!N10</f>
        <v/>
      </c>
      <c r="G236">
        <f>Calc!G10</f>
        <v/>
      </c>
      <c r="H236">
        <f>Calc!H10</f>
        <v/>
      </c>
      <c r="I236">
        <f>IF(Skills!T10&lt;&gt;"",1+(Skills!T10/10)*(Z229/1000)/100,1)</f>
        <v/>
      </c>
      <c r="J236">
        <f>((Inputs!$B$6*(1+Inputs!$B$7/100))+(((Inputs!$B$12*(1+Inputs!$B$13/100))-(Inputs!$B$12*(1+Inputs!$B$13/100)))+0.25*(Inputs!$B$14-Inputs!$B$14))*(1+Inputs!$B$7/100))*(F236/100)</f>
        <v/>
      </c>
      <c r="K236">
        <f>J236*(1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244-Calc!F18),(Inputs!$B$23+(IF(ArtifactsInput!$M$15,CHOOSE(ArtifactsInput!$N$15+1,25,30,35,40,45,50)/100*(Inputs!$B$11-Inputs!$B$11),0))))/100+(Inputs!$B$23+(IF(ArtifactsInput!$M$15,CHOOSE(ArtifactsInput!$N$15+1,25,30,35,40,45,50)/100*(Inputs!$B$11-Inputs!$B$11),0)))/100)/2</f>
        <v/>
      </c>
      <c r="M236">
        <f>L236*(1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IF(B262=0,0,O236/B262)</f>
        <v/>
      </c>
      <c r="Q236">
        <f>IFERROR(1/IF(Inputs!$B$38="pvp",15,MAX(0.1,Skills!D10-IF(Skills!E9=TRUE,Inputs!$B$32,0))),0)</f>
        <v/>
      </c>
      <c r="R236">
        <f>IF(AND(Inputs!$B$38&lt;&gt;"pvp",Inputs!$B$43&gt;0),IF(MAX(0,Inputs!$B$43-B259)&lt;=0,0,(INT(MAX(0,Inputs!$B$43-B259)/IF(Inputs!$B$38="pvp",15,MAX(0.1,Skills!D10-IF(Skills!E9=TRUE,Inputs!$B$32,0))))+1)),0)</f>
        <v/>
      </c>
      <c r="S236">
        <f>IF(C236,(H236*N236*IF(AND(Inputs!$B$38&lt;&gt;"pvp",Inputs!$B$43&gt;0),((Skills!F10*((R236-1)*IF(Skills!G10&gt;0,Skills!H10/Skills!G10,1)+IF(Skills!G10&gt;0,MIN(Skills!H10,MAX(0,MAX(0,Inputs!$B$43-B259)-((R236-1)*IF(Inputs!$B$38="pvp",15,MAX(0.1,Skills!D10-IF(Skills!E9=TRUE,Inputs!$B$32,0))))))/Skills!G10,1)))/Inputs!$B$43),G236*Q236))*IF(Inputs!$B$38="pvp",1,1+((Inputs!$B$20+1)+Skills!O10+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
        <f>IF(C236,(H236*N236*IF(AND(Inputs!$B$38&lt;&gt;"pvp",Inputs!$B$43&gt;0),((Skills!F10*((R236-1)*IF(Skills!G10&gt;0,Skills!H10/Skills!G10,1)+IF(Skills!G10&gt;0,MIN(Skills!H10,MAX(0,MAX(0,Inputs!$B$43-B259)-((R236-1)*IF(Inputs!$B$38="pvp",15,MAX(0.1,Skills!D10-IF(Skills!E9=TRUE,Inputs!$B$32,0))))))/Skills!G10,1)))/Inputs!$B$43),G236*Q236))*IF(Inputs!$B$38="pvp",1,(1+(Inputs!$B$21+Skills!P10+B253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Skills!A11</f>
        <v/>
      </c>
      <c r="B237">
        <f>Skills!B11</f>
        <v/>
      </c>
      <c r="C237">
        <f>Inputs!$B$3&gt;=107</f>
        <v/>
      </c>
      <c r="D237">
        <f>IF(Skills!C11=1,60+Inputs!$B$25+Inputs!$B$29,IF(Skills!C11=2,90+Inputs!$B$26+Inputs!$B$29,IF(Skills!C11=3,120+Inputs!$B$27+Inputs!$B$29,MAX(0,(Inputs!$B$3-100)*3)+Inputs!$B$28+Inputs!$B$29)))</f>
        <v/>
      </c>
      <c r="E237">
        <f>INDEX(FactorTable!$B$2:$Y$301, MATCH(ROUND(MIN(300,MAX(1,D237)),0), FactorTable!$A$2:$A$301,0), Skills!L11+1)</f>
        <v/>
      </c>
      <c r="F237">
        <f>IF(Skills!M11=TRUE,(Skills!K11/10)*(E237/1000),Skills!K11/10)+Skills!N11</f>
        <v/>
      </c>
      <c r="G237">
        <f>Calc!G11</f>
        <v/>
      </c>
      <c r="H237">
        <f>Calc!H11</f>
        <v/>
      </c>
      <c r="I237">
        <f>IF(Skills!T11&lt;&gt;"",1+(Skills!T11/10)*(Z229/1000)/100,1)</f>
        <v/>
      </c>
      <c r="J237">
        <f>((Inputs!$B$6*(1+Inputs!$B$7/100))+(((Inputs!$B$12*(1+Inputs!$B$13/100))-(Inputs!$B$12*(1+Inputs!$B$13/100)))+0.25*(Inputs!$B$14-Inputs!$B$14))*(1+Inputs!$B$7/100))*(F237/100)</f>
        <v/>
      </c>
      <c r="K237">
        <f>J237*(1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F244-Calc!F18),(Inputs!$B$23+(IF(ArtifactsInput!$M$15,CHOOSE(ArtifactsInput!$N$15+1,25,30,35,40,45,50)/100*(Inputs!$B$11-Inputs!$B$11),0))))/100+(Inputs!$B$23+(IF(ArtifactsInput!$M$15,CHOOSE(ArtifactsInput!$N$15+1,25,30,35,40,45,50)/100*(Inputs!$B$11-Inputs!$B$11),0)))/100)/2</f>
        <v/>
      </c>
      <c r="M237">
        <f>L237*(1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(1-Summary!$B$11)*S237+Summary!$B$11*U237</f>
        <v/>
      </c>
      <c r="P237">
        <f>IF(B262=0,0,O237/B262)</f>
        <v/>
      </c>
      <c r="Q237">
        <f>IFERROR(1/IF(Inputs!$B$38="pvp",15,MAX(0.1,Skills!D11-IF(Skills!E11=TRUE,Inputs!$B$32,0))),0)</f>
        <v/>
      </c>
      <c r="R237">
        <f>IF(AND(Inputs!$B$38&lt;&gt;"pvp",Inputs!$B$43&gt;0),IF(MAX(0,Inputs!$B$43-B259)&lt;=0,0,(INT(MAX(0,Inputs!$B$43-B259)/IF(Inputs!$B$38="pvp",15,MAX(0.1,Skills!D11-IF(Skills!E11=TRUE,Inputs!$B$32,0))))+1)),0)</f>
        <v/>
      </c>
      <c r="S237">
        <f>IF(C237,H237*N237*IF(AND(Inputs!$B$38&lt;&gt;"pvp",Inputs!$B$43&gt;0),((Skills!F11*((R237-1)*IF(Skills!G11&gt;0,Skills!H11/Skills!G11,1)+IF(Skills!G11&gt;0,MIN(Skills!H11,MAX(0,MAX(0,Inputs!$B$43-B259)-((R237-1)*IF(Inputs!$B$38="pvp",15,MAX(0.1,Skills!D11-IF(Skills!E11=TRUE,Inputs!$B$32,0))))))/Skills!G11,1)))/Inputs!$B$43),G237*Q237)*0.5*IF(Inputs!$B$38="pvp",1,1+((Inputs!$B$20+1)+Skills!O11+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
        <f>IF(C237,H237*N237*IF(AND(Inputs!$B$38&lt;&gt;"pvp",Inputs!$B$43&gt;0),((Skills!F11*((R237-1)*IF(Skills!G11&gt;0,Skills!H11/Skills!G11,1)+IF(Skills!G11&gt;0,MIN(Skills!H11,MAX(0,MAX(0,Inputs!$B$43-B259)-((R237-1)*IF(Inputs!$B$38="pvp",15,MAX(0.1,Skills!D11-IF(Skills!E11=TRUE,Inputs!$B$32,0))))))/Skills!G11,1)))/Inputs!$B$43),G237*Q237)*1*IF(Inputs!$B$38="pvp",1,(1+(Inputs!$B$21+Skills!P11+B253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Skills!A12</f>
        <v/>
      </c>
      <c r="B238">
        <f>Skills!B12</f>
        <v/>
      </c>
      <c r="C238">
        <f>Inputs!$B$3&gt;=115</f>
        <v/>
      </c>
      <c r="D238">
        <f>IF(Skills!C12=1,60+Inputs!$B$25+Inputs!$B$29,IF(Skills!C12=2,90+Inputs!$B$26+Inputs!$B$29,IF(Skills!C12=3,120+Inputs!$B$27+Inputs!$B$29,MAX(0,(Inputs!$B$3-100)*3)+Inputs!$B$28+Inputs!$B$29)))</f>
        <v/>
      </c>
      <c r="E238">
        <f>INDEX(FactorTable!$B$2:$Y$301, MATCH(ROUND(MIN(300,MAX(1,D238)),0), FactorTable!$A$2:$A$301,0), Skills!L12+1)</f>
        <v/>
      </c>
      <c r="F238">
        <f>IF(Skills!M12=TRUE,(Skills!K12/10)*(E238/1000),Skills!K12/10)+Skills!N12</f>
        <v/>
      </c>
      <c r="G238">
        <f>Calc!G12</f>
        <v/>
      </c>
      <c r="H238">
        <f>Calc!H12</f>
        <v/>
      </c>
      <c r="I238">
        <f>IF(Skills!T12&lt;&gt;"",1+(Skills!T12/10)*(Z229/1000)/100,1)</f>
        <v/>
      </c>
      <c r="J238">
        <f>((Inputs!$B$6*(1+Inputs!$B$7/100))+(((Inputs!$B$12*(1+Inputs!$B$13/100))-(Inputs!$B$12*(1+Inputs!$B$13/100)))+0.25*(Inputs!$B$14-Inputs!$B$14))*(1+Inputs!$B$7/100))*(F238/100)</f>
        <v/>
      </c>
      <c r="K238">
        <f>J238*(1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F244-Calc!F18),(Inputs!$B$23+(IF(ArtifactsInput!$M$15,CHOOSE(ArtifactsInput!$N$15+1,25,30,35,40,45,50)/100*(Inputs!$B$11-Inputs!$B$11),0))))/100+(Inputs!$B$23+(IF(ArtifactsInput!$M$15,CHOOSE(ArtifactsInput!$N$15+1,25,30,35,40,45,50)/100*(Inputs!$B$11-Inputs!$B$11),0)))/100)/2</f>
        <v/>
      </c>
      <c r="M238">
        <f>L238*(1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(1-Summary!$B$11)*S238+Summary!$B$11*U238</f>
        <v/>
      </c>
      <c r="P238">
        <f>IF(B262=0,0,O238/B262)</f>
        <v/>
      </c>
      <c r="Q238">
        <f>IFERROR(1/IF(Inputs!$B$38="pvp",15,MAX(0.1,Skills!D12-IF(Skills!E12=TRUE,Inputs!$B$32,0))),0)</f>
        <v/>
      </c>
      <c r="R238">
        <f>IF(AND(Inputs!$B$38&lt;&gt;"pvp",Inputs!$B$43&gt;0),IF(MAX(0,Inputs!$B$43-B259)&lt;=0,0,(INT(MAX(0,Inputs!$B$43-B259)/IF(Inputs!$B$38="pvp",15,MAX(0.1,Skills!D12-IF(Skills!E12=TRUE,Inputs!$B$32,0))))+1)),0)</f>
        <v/>
      </c>
      <c r="S238">
        <f>IF(C238,(H238*N238*IF(AND(Inputs!$B$38&lt;&gt;"pvp",Inputs!$B$43&gt;0),((Skills!F12*((R238-1)*IF(Skills!G12&gt;0,Skills!H12/Skills!G12,1)+IF(Skills!G12&gt;0,MIN(Skills!H12,MAX(0,MAX(0,Inputs!$B$43-B259)-((R238-1)*IF(Inputs!$B$38="pvp",15,MAX(0.1,Skills!D12-IF(Skills!E12=TRUE,Inputs!$B$32,0))))))/Skills!G12,1)))/Inputs!$B$43),G238*Q238))*IF(Inputs!$B$38="pvp",1,1+((Inputs!$B$20+1)+Skills!O12+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
        <f>IF(C238,(H238*N238*IF(AND(Inputs!$B$38&lt;&gt;"pvp",Inputs!$B$43&gt;0),((Skills!F12*((R238-1)*IF(Skills!G12&gt;0,Skills!H12/Skills!G12,1)+IF(Skills!G12&gt;0,MIN(Skills!H12,MAX(0,MAX(0,Inputs!$B$43-B259)-((R238-1)*IF(Inputs!$B$38="pvp",15,MAX(0.1,Skills!D12-IF(Skills!E12=TRUE,Inputs!$B$32,0))))))/Skills!G12,1)))/Inputs!$B$43),G238*Q238))*IF(Inputs!$B$38="pvp",1,(1+(Inputs!$B$21+Skills!P12+B253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Skills!A13</f>
        <v/>
      </c>
      <c r="B239">
        <f>Skills!B13</f>
        <v/>
      </c>
      <c r="C239">
        <f>Inputs!$B$3&gt;=49</f>
        <v/>
      </c>
      <c r="D239">
        <f>IF(Skills!C13=1,60+Inputs!$B$25+Inputs!$B$29,IF(Skills!C13=2,90+Inputs!$B$26+Inputs!$B$29,IF(Skills!C13=3,120+Inputs!$B$27+Inputs!$B$29,MAX(0,(Inputs!$B$3-100)*3)+Inputs!$B$28+Inputs!$B$29)))</f>
        <v/>
      </c>
      <c r="E239">
        <f>INDEX(FactorTable!$B$2:$Y$301, MATCH(ROUND(MIN(300,MAX(1,D239)),0), FactorTable!$A$2:$A$301,0), Skills!L13+1)</f>
        <v/>
      </c>
      <c r="F239">
        <f>IF(Skills!M13=TRUE,(Skills!K13/10)*(E239/1000),Skills!K13/10)+Skills!N13</f>
        <v/>
      </c>
      <c r="G239">
        <f>Calc!G13</f>
        <v/>
      </c>
      <c r="H239">
        <f>Calc!H13</f>
        <v/>
      </c>
      <c r="I239">
        <f>IF(Skills!T13&lt;&gt;"",1+(Skills!T13/10)*(Z229/1000)/100,1)</f>
        <v/>
      </c>
      <c r="J239" t="inlineStr"/>
      <c r="K239" t="inlineStr"/>
      <c r="L239" t="inlineStr"/>
      <c r="M239" t="inlineStr"/>
      <c r="N239" t="inlineStr"/>
      <c r="O239">
        <f>(1-Summary!$B$11)*S239+Summary!$B$11*U239</f>
        <v/>
      </c>
      <c r="P239">
        <f>IF(B262=0,0,O239/B262)</f>
        <v/>
      </c>
      <c r="Q239">
        <f>IFERROR(1/IF(Inputs!$B$38="pvp",15,MAX(0.1,Skills!D13-IF(Skills!E13=TRUE,Inputs!$B$32,0))),0)</f>
        <v/>
      </c>
      <c r="R239" t="n">
        <v>0</v>
      </c>
      <c r="S239" t="n">
        <v>0</v>
      </c>
      <c r="U239" t="n">
        <v>0</v>
      </c>
    </row>
    <row r="240">
      <c r="A240">
        <f>Skills!A14</f>
        <v/>
      </c>
      <c r="B240">
        <f>Skills!B14</f>
        <v/>
      </c>
      <c r="C240">
        <f>Inputs!$B$3&gt;=72</f>
        <v/>
      </c>
      <c r="D240">
        <f>IF(Skills!C14=1,60+Inputs!$B$25+Inputs!$B$29,IF(Skills!C14=2,90+Inputs!$B$26+Inputs!$B$29,IF(Skills!C14=3,120+Inputs!$B$27+Inputs!$B$29,MAX(0,(Inputs!$B$3-100)*3)+Inputs!$B$28+Inputs!$B$29)))</f>
        <v/>
      </c>
      <c r="E240">
        <f>INDEX(FactorTable!$B$2:$Y$301, MATCH(ROUND(MIN(300,MAX(1,D240)),0), FactorTable!$A$2:$A$301,0), Skills!L14+1)</f>
        <v/>
      </c>
      <c r="F240">
        <f>IF(Skills!M14=TRUE,(Skills!K14/10)*(E240/1000),Skills!K14/10)+Skills!N14</f>
        <v/>
      </c>
      <c r="G240">
        <f>Calc!G14</f>
        <v/>
      </c>
      <c r="H240">
        <f>Calc!H14</f>
        <v/>
      </c>
      <c r="I240">
        <f>IF(Skills!T14&lt;&gt;"",1+(Skills!T14/10)*(Z229/1000)/100,1)</f>
        <v/>
      </c>
      <c r="J240" t="inlineStr"/>
      <c r="K240" t="inlineStr"/>
      <c r="L240" t="inlineStr"/>
      <c r="M240" t="inlineStr"/>
      <c r="N240" t="inlineStr"/>
      <c r="O240">
        <f>(1-Summary!$B$11)*S240+Summary!$B$11*U240</f>
        <v/>
      </c>
      <c r="P240">
        <f>IF(B262=0,0,O240/B262)</f>
        <v/>
      </c>
      <c r="Q240">
        <f>IFERROR(1/IF(Inputs!$B$38="pvp",15,MAX(0.1,Skills!D14-IF(Skills!E14=TRUE,Inputs!$B$32,0))),0)</f>
        <v/>
      </c>
      <c r="R240" t="n">
        <v>0</v>
      </c>
      <c r="S240" t="n">
        <v>0</v>
      </c>
      <c r="U240" t="n">
        <v>0</v>
      </c>
    </row>
    <row r="241">
      <c r="A241">
        <f>Skills!A15</f>
        <v/>
      </c>
      <c r="B241">
        <f>Skills!B15</f>
        <v/>
      </c>
      <c r="C241">
        <f>Inputs!$B$3&gt;=75</f>
        <v/>
      </c>
      <c r="D241">
        <f>IF(Skills!C15=1,60+Inputs!$B$25+Inputs!$B$29,IF(Skills!C15=2,90+Inputs!$B$26+Inputs!$B$29,IF(Skills!C15=3,120+Inputs!$B$27+Inputs!$B$29,MAX(0,(Inputs!$B$3-100)*3)+Inputs!$B$28+Inputs!$B$29)))</f>
        <v/>
      </c>
      <c r="E241">
        <f>INDEX(FactorTable!$B$2:$Y$301, MATCH(ROUND(MIN(300,MAX(1,D241)),0), FactorTable!$A$2:$A$301,0), Skills!L15+1)</f>
        <v/>
      </c>
      <c r="F241">
        <f>IF(Skills!M15=TRUE,(Skills!K15/10)*(E241/1000),Skills!K15/10)+Skills!N15</f>
        <v/>
      </c>
      <c r="G241">
        <f>Calc!G15</f>
        <v/>
      </c>
      <c r="H241">
        <f>Calc!H15</f>
        <v/>
      </c>
      <c r="I241">
        <f>IF(Skills!T15&lt;&gt;"",1+(Skills!T15/10)*(Z229/1000)/100,1)</f>
        <v/>
      </c>
      <c r="J241" t="inlineStr"/>
      <c r="K241" t="inlineStr"/>
      <c r="L241" t="inlineStr"/>
      <c r="M241" t="inlineStr"/>
      <c r="N241" t="inlineStr"/>
      <c r="O241">
        <f>(1-Summary!$B$11)*S241+Summary!$B$11*U241</f>
        <v/>
      </c>
      <c r="P241">
        <f>IF(B262=0,0,O241/B262)</f>
        <v/>
      </c>
      <c r="Q241">
        <f>IFERROR(1/IF(Inputs!$B$38="pvp",15,MAX(0.1,Skills!D15-IF(Skills!E15=TRUE,Inputs!$B$32,0))),0)</f>
        <v/>
      </c>
      <c r="R241" t="n">
        <v>0</v>
      </c>
      <c r="S241" t="n">
        <v>0</v>
      </c>
      <c r="U241" t="n">
        <v>0</v>
      </c>
    </row>
    <row r="242">
      <c r="A242">
        <f>Skills!A16</f>
        <v/>
      </c>
      <c r="B242">
        <f>Skills!B16</f>
        <v/>
      </c>
      <c r="C242">
        <f>Inputs!$B$3&gt;=110</f>
        <v/>
      </c>
      <c r="D242">
        <f>IF(Skills!C16=1,60+Inputs!$B$25+Inputs!$B$29,IF(Skills!C16=2,90+Inputs!$B$26+Inputs!$B$29,IF(Skills!C16=3,120+Inputs!$B$27+Inputs!$B$29,MAX(0,(Inputs!$B$3-100)*3)+Inputs!$B$28+Inputs!$B$29)))</f>
        <v/>
      </c>
      <c r="E242">
        <f>INDEX(FactorTable!$B$2:$Y$301, MATCH(ROUND(MIN(300,MAX(1,D242)),0), FactorTable!$A$2:$A$301,0), Skills!L16+1)</f>
        <v/>
      </c>
      <c r="F242">
        <f>(Skills!K16/10)*(E242/1000)*64/45+Skills!N16</f>
        <v/>
      </c>
      <c r="G242">
        <f>Calc!G16</f>
        <v/>
      </c>
      <c r="H242">
        <f>Calc!H16</f>
        <v/>
      </c>
      <c r="I242">
        <f>IF(Skills!T16&lt;&gt;"",1+(Skills!T16/10)*(Z229/1000)/100,1)</f>
        <v/>
      </c>
      <c r="J242" t="inlineStr"/>
      <c r="K242" t="inlineStr"/>
      <c r="L242" t="inlineStr"/>
      <c r="M242" t="inlineStr"/>
      <c r="N242" t="inlineStr"/>
      <c r="O242">
        <f>(1-Summary!$B$11)*S242+Summary!$B$11*U242</f>
        <v/>
      </c>
      <c r="P242">
        <f>IF(B262=0,0,O242/B262)</f>
        <v/>
      </c>
      <c r="Q242">
        <f>IFERROR(1/IF(Inputs!$B$38="pvp",15,MAX(0.1,Skills!D16-IF(Skills!E16=TRUE,Inputs!$B$32,0))),0)</f>
        <v/>
      </c>
      <c r="R242">
        <f>IF(AND(Inputs!$B$38&lt;&gt;"pvp",Inputs!$B$43&gt;0),IF(Inputs!$B$43&lt;=0,0,(INT(Inputs!$B$43/IF(Inputs!$B$38="pvp",15,MAX(0.1,Skills!D16-IF(Skills!E16=TRUE,Inputs!$B$32,0))))+1)),0)</f>
        <v/>
      </c>
      <c r="S242" t="n">
        <v>0</v>
      </c>
      <c r="U242" t="n">
        <v>0</v>
      </c>
    </row>
    <row r="243">
      <c r="A243">
        <f>Skills!A17</f>
        <v/>
      </c>
      <c r="B243">
        <f>Skills!B17</f>
        <v/>
      </c>
      <c r="C243">
        <f>Inputs!$B$3&gt;=33</f>
        <v/>
      </c>
      <c r="D243">
        <f>IF(Skills!C17=1,60+Inputs!$B$25+Inputs!$B$29,IF(Skills!C17=2,90+Inputs!$B$26+Inputs!$B$29,IF(Skills!C17=3,120+Inputs!$B$27+Inputs!$B$29,MAX(0,(Inputs!$B$3-100)*3)+Inputs!$B$28+Inputs!$B$29)))</f>
        <v/>
      </c>
      <c r="E243">
        <f>INDEX(FactorTable!$B$2:$Y$301, MATCH(ROUND(MIN(300,MAX(1,D243)),0), FactorTable!$A$2:$A$301,0), Skills!L17+1)</f>
        <v/>
      </c>
      <c r="F243">
        <f>IF(Skills!M17=TRUE,(Skills!K17/10)*(E243/1000),Skills!K17/10)+Skills!N17</f>
        <v/>
      </c>
      <c r="G243">
        <f>Calc!G17</f>
        <v/>
      </c>
      <c r="H243">
        <f>Calc!H17</f>
        <v/>
      </c>
      <c r="I243">
        <f>IF(Skills!T17&lt;&gt;"",1+(Skills!T17/10)*(Z229/1000)/100,1)</f>
        <v/>
      </c>
      <c r="J243" t="inlineStr"/>
      <c r="K243" t="inlineStr"/>
      <c r="L243" t="inlineStr"/>
      <c r="M243" t="inlineStr"/>
      <c r="N243" t="inlineStr"/>
      <c r="O243">
        <f>(1-Summary!$B$11)*S243+Summary!$B$11*U243</f>
        <v/>
      </c>
      <c r="P243">
        <f>IF(B262=0,0,O243/B262)</f>
        <v/>
      </c>
      <c r="Q243">
        <f>IFERROR(1/IF(Inputs!$B$38="pvp",15,MAX(0.1,Skills!D17-IF(Skills!E17=TRUE,Inputs!$B$32,0))),0)</f>
        <v/>
      </c>
      <c r="R243" t="n">
        <v>0</v>
      </c>
      <c r="S243" t="n">
        <v>0</v>
      </c>
      <c r="U243" t="n">
        <v>0</v>
      </c>
    </row>
    <row r="244">
      <c r="A244">
        <f>Skills!A18</f>
        <v/>
      </c>
      <c r="B244">
        <f>Skills!B18</f>
        <v/>
      </c>
      <c r="C244">
        <f>Inputs!$B$3&gt;=43</f>
        <v/>
      </c>
      <c r="D244">
        <f>IF(Skills!C18=1,60+Inputs!$B$25+Inputs!$B$29,IF(Skills!C18=2,90+Inputs!$B$26+Inputs!$B$29,IF(Skills!C18=3,120+Inputs!$B$27+Inputs!$B$29,MAX(0,(Inputs!$B$3-100)*3)+Inputs!$B$28+Inputs!$B$29)))</f>
        <v/>
      </c>
      <c r="E244">
        <f>INDEX(FactorTable!$B$2:$Y$301, MATCH(ROUND(MIN(300,MAX(1,D244)),0), FactorTable!$A$2:$A$301,0), Skills!L18+1)</f>
        <v/>
      </c>
      <c r="F244">
        <f>IF(Skills!M18=TRUE,(Skills!K18/10)*(E244/1000),Skills!K18/10)+Skills!N18</f>
        <v/>
      </c>
      <c r="G244">
        <f>Calc!G18</f>
        <v/>
      </c>
      <c r="H244">
        <f>Calc!H18</f>
        <v/>
      </c>
      <c r="I244">
        <f>IF(Skills!T18&lt;&gt;"",1+(Skills!T18/10)*(Z229/1000)/100,1)</f>
        <v/>
      </c>
      <c r="J244" t="inlineStr"/>
      <c r="K244" t="inlineStr"/>
      <c r="L244" t="inlineStr"/>
      <c r="M244" t="inlineStr"/>
      <c r="N244" t="inlineStr"/>
      <c r="O244">
        <f>(1-Summary!$B$11)*S244+Summary!$B$11*U244</f>
        <v/>
      </c>
      <c r="P244">
        <f>IF(B262=0,0,O244/B262)</f>
        <v/>
      </c>
      <c r="Q244">
        <f>IFERROR(1/IF(Inputs!$B$38="pvp",15,MAX(0.1,Skills!D18-IF(Skills!E18=TRUE,Inputs!$B$32,0))),0)</f>
        <v/>
      </c>
      <c r="R244" t="n">
        <v>0</v>
      </c>
      <c r="S244" t="n">
        <v>0</v>
      </c>
      <c r="U244" t="n">
        <v>0</v>
      </c>
    </row>
    <row r="245">
      <c r="A245">
        <f>Skills!A19</f>
        <v/>
      </c>
      <c r="B245">
        <f>Skills!B19</f>
        <v/>
      </c>
      <c r="C245">
        <f>Inputs!$B$3&gt;=50</f>
        <v/>
      </c>
      <c r="D245">
        <f>IF(Skills!C19=1,60+Inputs!$B$25+Inputs!$B$29,IF(Skills!C19=2,90+Inputs!$B$26+Inputs!$B$29,IF(Skills!C19=3,120+Inputs!$B$27+Inputs!$B$29,MAX(0,(Inputs!$B$3-100)*3)+Inputs!$B$28+Inputs!$B$29)))</f>
        <v/>
      </c>
      <c r="E245">
        <f>INDEX(FactorTable!$B$2:$Y$301, MATCH(ROUND(MIN(300,MAX(1,D245)),0), FactorTable!$A$2:$A$301,0), Skills!L19+1)</f>
        <v/>
      </c>
      <c r="F245">
        <f>IF(Skills!M19=TRUE,(Skills!K19/10)*(E245/1000),Skills!K19/10)+Skills!N19</f>
        <v/>
      </c>
      <c r="G245">
        <f>Calc!G19</f>
        <v/>
      </c>
      <c r="H245">
        <f>Calc!H19</f>
        <v/>
      </c>
      <c r="I245">
        <f>IF(Skills!T19&lt;&gt;"",1+(Skills!T19/10)*(Z229/1000)/100,1)</f>
        <v/>
      </c>
      <c r="J245" t="inlineStr"/>
      <c r="K245" t="inlineStr"/>
      <c r="L245" t="inlineStr"/>
      <c r="M245" t="inlineStr"/>
      <c r="N245" t="inlineStr"/>
      <c r="O245">
        <f>(1-Summary!$B$11)*S245+Summary!$B$11*U245</f>
        <v/>
      </c>
      <c r="P245">
        <f>IF(B262=0,0,O245/B262)</f>
        <v/>
      </c>
      <c r="Q245">
        <f>IFERROR(1/IF(Inputs!$B$38="pvp",15,MAX(0.1,Skills!D19-IF(Skills!E19=TRUE,Inputs!$B$32,0))),0)</f>
        <v/>
      </c>
      <c r="R245" t="n">
        <v>0</v>
      </c>
      <c r="S245" t="n">
        <v>0</v>
      </c>
      <c r="U245" t="n">
        <v>0</v>
      </c>
    </row>
    <row r="246">
      <c r="A246">
        <f>Skills!A20</f>
        <v/>
      </c>
      <c r="B246">
        <f>Skills!B20</f>
        <v/>
      </c>
      <c r="C246">
        <f>Inputs!$B$3&gt;=74</f>
        <v/>
      </c>
      <c r="D246">
        <f>IF(Skills!C20=1,60+Inputs!$B$25+Inputs!$B$29,IF(Skills!C20=2,90+Inputs!$B$26+Inputs!$B$29,IF(Skills!C20=3,120+Inputs!$B$27+Inputs!$B$29,MAX(0,(Inputs!$B$3-100)*3)+Inputs!$B$28+Inputs!$B$29)))</f>
        <v/>
      </c>
      <c r="E246">
        <f>INDEX(FactorTable!$B$2:$Y$301, MATCH(ROUND(MIN(300,MAX(1,D246)),0), FactorTable!$A$2:$A$301,0), Skills!L20+1)</f>
        <v/>
      </c>
      <c r="F246">
        <f>IF(Skills!M20=TRUE,(Skills!K20/10)*(E246/1000),Skills!K20/10)+Skills!N20</f>
        <v/>
      </c>
      <c r="G246">
        <f>Calc!G20</f>
        <v/>
      </c>
      <c r="H246">
        <f>Calc!H20</f>
        <v/>
      </c>
      <c r="I246">
        <f>IF(Skills!T20&lt;&gt;"",1+(Skills!T20/10)*(Z229/1000)/100,1)</f>
        <v/>
      </c>
      <c r="J246" t="inlineStr"/>
      <c r="K246" t="inlineStr"/>
      <c r="L246" t="inlineStr"/>
      <c r="M246" t="inlineStr"/>
      <c r="N246" t="inlineStr"/>
      <c r="O246">
        <f>(1-Summary!$B$11)*S246+Summary!$B$11*U246</f>
        <v/>
      </c>
      <c r="P246">
        <f>IF(B262=0,0,O246/B262)</f>
        <v/>
      </c>
      <c r="Q246">
        <f>IFERROR(1/IF(Inputs!$B$38="pvp",15,MAX(0.1,Skills!D20-IF(Skills!E20=TRUE,Inputs!$B$32,0))),0)</f>
        <v/>
      </c>
      <c r="R246" t="n">
        <v>0</v>
      </c>
      <c r="S246" t="n">
        <v>0</v>
      </c>
      <c r="U246" t="n">
        <v>0</v>
      </c>
    </row>
    <row r="247">
      <c r="A247">
        <f>Skills!A21</f>
        <v/>
      </c>
      <c r="B247">
        <f>Skills!B21</f>
        <v/>
      </c>
      <c r="C247">
        <f>Inputs!$B$3&gt;=74</f>
        <v/>
      </c>
      <c r="D247">
        <f>IF(Skills!C21=1,60+Inputs!$B$25+Inputs!$B$29,IF(Skills!C21=2,90+Inputs!$B$26+Inputs!$B$29,IF(Skills!C21=3,120+Inputs!$B$27+Inputs!$B$29,MAX(0,(Inputs!$B$3-100)*3)+Inputs!$B$28+Inputs!$B$29)))</f>
        <v/>
      </c>
      <c r="E247">
        <f>INDEX(FactorTable!$B$2:$Y$301, MATCH(ROUND(MIN(300,MAX(1,D247)),0), FactorTable!$A$2:$A$301,0), Skills!L21+1)</f>
        <v/>
      </c>
      <c r="F247">
        <f>IF(Skills!M21=TRUE,(Skills!K21/10)*(E247/1000),Skills!K21/10)+Skills!N21</f>
        <v/>
      </c>
      <c r="G247">
        <f>Calc!G21</f>
        <v/>
      </c>
      <c r="H247">
        <f>Calc!H21</f>
        <v/>
      </c>
      <c r="I247">
        <f>IF(Skills!T21&lt;&gt;"",1+(Skills!T21/10)*(Z229/1000)/100,1)</f>
        <v/>
      </c>
      <c r="J247" t="inlineStr"/>
      <c r="K247" t="inlineStr"/>
      <c r="L247" t="inlineStr"/>
      <c r="M247" t="inlineStr"/>
      <c r="N247" t="inlineStr"/>
      <c r="O247">
        <f>(1-Summary!$B$11)*S247+Summary!$B$11*U247</f>
        <v/>
      </c>
      <c r="P247">
        <f>IF(B262=0,0,O247/B262)</f>
        <v/>
      </c>
      <c r="Q247">
        <f>IFERROR(1/IF(Inputs!$B$38="pvp",15,MAX(0.1,Skills!D21-IF(Skills!E21=TRUE,Inputs!$B$32,0))),0)</f>
        <v/>
      </c>
      <c r="R247" t="n">
        <v>0</v>
      </c>
      <c r="S247" t="n">
        <v>0</v>
      </c>
      <c r="U247" t="n">
        <v>0</v>
      </c>
    </row>
    <row r="248">
      <c r="A248">
        <f>Skills!A22</f>
        <v/>
      </c>
      <c r="B248">
        <f>Skills!B22</f>
        <v/>
      </c>
      <c r="C248">
        <f>Inputs!$B$3&gt;=117</f>
        <v/>
      </c>
      <c r="D248">
        <f>IF(Skills!C22=1,60+Inputs!$B$25+Inputs!$B$29,IF(Skills!C22=2,90+Inputs!$B$26+Inputs!$B$29,IF(Skills!C22=3,120+Inputs!$B$27+Inputs!$B$29,MAX(0,(Inputs!$B$3-100)*3)+Inputs!$B$28+Inputs!$B$29)))</f>
        <v/>
      </c>
      <c r="E248">
        <f>INDEX(FactorTable!$B$2:$Y$301, MATCH(ROUND(MIN(300,MAX(1,D248)),0), FactorTable!$A$2:$A$301,0), Skills!L22+1)</f>
        <v/>
      </c>
      <c r="F248">
        <f>IF(Skills!M22=TRUE,(Skills!K22/10)*(E248/1000),Skills!K22/10)+Skills!N22</f>
        <v/>
      </c>
      <c r="G248">
        <f>Calc!G22</f>
        <v/>
      </c>
      <c r="H248">
        <f>Calc!H22</f>
        <v/>
      </c>
      <c r="I248">
        <f>IF(Skills!T22&lt;&gt;"",1+(Skills!T22/10)*(Z229/1000)/100,1)</f>
        <v/>
      </c>
      <c r="J248" t="inlineStr"/>
      <c r="K248" t="inlineStr"/>
      <c r="L248" t="inlineStr"/>
      <c r="M248" t="inlineStr"/>
      <c r="N248" t="inlineStr"/>
      <c r="O248">
        <f>(1-Summary!$B$11)*S248+Summary!$B$11*U248</f>
        <v/>
      </c>
      <c r="P248">
        <f>IF(B262=0,0,O248/B262)</f>
        <v/>
      </c>
      <c r="Q248">
        <f>IFERROR(1/IF(Inputs!$B$38="pvp",15,MAX(0.1,Skills!D22-IF(Skills!E22=TRUE,Inputs!$B$32,0))),0)</f>
        <v/>
      </c>
      <c r="R248" t="n">
        <v>0</v>
      </c>
      <c r="S248" t="n">
        <v>0</v>
      </c>
      <c r="U248" t="n">
        <v>0</v>
      </c>
    </row>
    <row r="249">
      <c r="A249">
        <f>Skills!A23</f>
        <v/>
      </c>
      <c r="B249">
        <f>Skills!B23</f>
        <v/>
      </c>
      <c r="C249">
        <f>Inputs!$B$3&gt;=120</f>
        <v/>
      </c>
      <c r="D249">
        <f>IF(Skills!C23=1,60+Inputs!$B$25+Inputs!$B$29,IF(Skills!C23=2,90+Inputs!$B$26+Inputs!$B$29,IF(Skills!C23=3,120+Inputs!$B$27+Inputs!$B$29,MAX(0,(Inputs!$B$3-100)*3)+Inputs!$B$28+Inputs!$B$29)))</f>
        <v/>
      </c>
      <c r="E249">
        <f>INDEX(FactorTable!$B$2:$Y$301, MATCH(ROUND(MIN(300,MAX(1,D249)),0), FactorTable!$A$2:$A$301,0), Skills!L23+1)</f>
        <v/>
      </c>
      <c r="F249">
        <f>IF(Skills!M23=TRUE,(Skills!K23/10)*(E249/1000),Skills!K23/10)+Skills!N23</f>
        <v/>
      </c>
      <c r="G249">
        <f>Calc!G23</f>
        <v/>
      </c>
      <c r="H249">
        <f>Calc!H23</f>
        <v/>
      </c>
      <c r="I249">
        <f>IF(Skills!T23&lt;&gt;"",1+(Skills!T23/10)*(Z229/1000)/100,1)</f>
        <v/>
      </c>
      <c r="J249" t="inlineStr"/>
      <c r="K249" t="inlineStr"/>
      <c r="L249" t="inlineStr"/>
      <c r="M249" t="inlineStr"/>
      <c r="N249" t="inlineStr"/>
      <c r="O249">
        <f>(1-Summary!$B$11)*S249+Summary!$B$11*U249</f>
        <v/>
      </c>
      <c r="P249">
        <f>IF(B262=0,0,O249/B262)</f>
        <v/>
      </c>
      <c r="Q249">
        <f>IFERROR(1/IF(Inputs!$B$38="pvp",15,MAX(0.1,Skills!D23-IF(Skills!E23=TRUE,Inputs!$B$32,0))),0)</f>
        <v/>
      </c>
      <c r="R249" t="n">
        <v>0</v>
      </c>
      <c r="S249" t="n">
        <v>0</v>
      </c>
      <c r="U249" t="n">
        <v>0</v>
      </c>
    </row>
    <row r="252">
      <c r="A252" t="inlineStr">
        <is>
          <t>Average Buff Multiplier (Magic Guard + Meditation + Artifact Attack%, summed; then Infinity)</t>
        </is>
      </c>
      <c r="B252">
        <f>(1+(IF(C229=TRUE,F229*IF(AND(Inputs!$B$38&lt;&gt;"pvp",Inputs!$B$43&gt;0),(((R229-1)*(Skills!S3*(1+(Inputs!$B$34+IF(Inputs!$B$3&gt;=117,F248,0))/100))+MIN((Skills!S3*(1+(Inputs!$B$34+IF(Inputs!$B$3&gt;=117,F248,0))/100)),MAX(0,Inputs!$B$43-((R229-1)*Skills!D3))))/Inputs!$B$43),IF(Inputs!$B$38="pvp",MIN((Skills!S3*(1+(Inputs!$B$34+IF(Inputs!$B$3&gt;=117,F248,0))/100)),15)/15,(Skills!S3*(1+(Inputs!$B$34+IF(Inputs!$B$3&gt;=117,F248,0))/100))/Skills!D3)),0)+IF(C230=TRUE,F230*IF(AND(Inputs!$B$38&lt;&gt;"pvp",Inputs!$B$43&gt;0),(((R230-1)*(Skills!S4*(1+(Inputs!$B$34+IF(Inputs!$B$3&gt;=117,F248,0))/100))+MIN((Skills!S4*(1+(Inputs!$B$34+IF(Inputs!$B$3&gt;=117,F248,0))/100)),MAX(0,Inputs!$B$43-((R230-1)*Skills!D4))))/Inputs!$B$43),IF(Inputs!$B$38="pvp",MIN((Skills!S4*(1+(Inputs!$B$34+IF(Inputs!$B$3&gt;=117,F248,0))/100)),15)/15,(Skills!S4*(1+(Inputs!$B$34+IF(Inputs!$B$3&gt;=117,F248,0)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TRUE,(1+F242*IF(AND(Inputs!$B$38&lt;&gt;"pvp",Inputs!$B$43&gt;0),(((R242-1)*(Skills!S16*(1+(Inputs!$B$34+IF(Inputs!$B$3&gt;=117,F248,0))/100))+MIN((Skills!S16*(1+(Inputs!$B$34+IF(Inputs!$B$3&gt;=117,F248,0))/100)),MAX(0,Inputs!$B$43-((R242-1)*Skills!D16))))/Inputs!$B$43),IF(Inputs!$B$38="pvp",MIN((Skills!S16*(1+(Inputs!$B$34+IF(Inputs!$B$3&gt;=117,F248,0))/100)),15)/15,(Skills!S16*(1+(Inputs!$B$34+IF(Inputs!$B$3&gt;=117,F248,0))/100))/Skills!D16))/100),1)</f>
        <v/>
      </c>
    </row>
    <row r="253">
      <c r="A253" t="inlineStr">
        <is>
          <t>Monster Damage Taken Bonus % (Freezing Breath - Weaken + Elemental Reset + Artifact Enemy Damage Taken, summed)</t>
        </is>
      </c>
      <c r="B253">
        <f>IF(Inputs!$B$3&gt;=118,15*IF(Inputs!$B$38="pvp",MIN((30*(1+(Inputs!$B$34+IF(Inputs!$B$3&gt;=117,F248,0))/100)),15)/15,(30*(1+(Inputs!$B$34+IF(Inputs!$B$3&gt;=117,F248,0))/100))/Skills!D8),0)+IF(C240=TRUE,F240,0)+(IF(AND(ArtifactsInput!$M$35,Inputs!$B$4&lt;&gt;"Chapter Hunt"),CHOOSE(ArtifactsInput!$N$35+1,15,18,21,24,27,30)*(1-EXP(-(0.2*B256)*5)),0)+IF(AND(ArtifactsInput!$M$22,Inputs!$B$4&lt;&gt;"Chapter Hunt"),CHOOSE(ArtifactsInput!$N$22+1,10,12,14,16,18,20)*((0*(((0.15*B256*5))^0/1)+1*(((0.15*B256*5))^1/1)+2*(((0.15*B256*5))^2/2)+3*(((0.15*B256*5))^3/6)+4*(((0.15*B256*5))^4/24)+5*(((0.15*B256*5))^5/120))/((((0.15*B256*5))^0/1)+(((0.15*B256*5))^1/1)+(((0.15*B256*5))^2/2)+(((0.15*B256*5))^3/6)+(((0.15*B256*5))^4/24)+(((0.15*B256*5))^5/120))),0))</f>
        <v/>
      </c>
    </row>
    <row r="254">
      <c r="A254" t="inlineStr">
        <is>
          <t>Damage % Bonus (Frozen Break + Frost Clutch, flat)</t>
        </is>
      </c>
      <c r="B254">
        <f>IF(Inputs!$B$3&gt;=66,15,0)+IF(Inputs!$B$3&gt;=98,10,0)+IF(Inputs!$B$3&gt;=125,20,0)</f>
        <v/>
      </c>
    </row>
    <row r="255">
      <c r="A255" t="inlineStr">
        <is>
          <t>Attack Speed Bonus % (MP Eater - MP Boost, always-on once unlocked)</t>
        </is>
      </c>
      <c r="B255">
        <f>IF(C239=TRUE,F239+(F243-Calc!F17),0)</f>
        <v/>
      </c>
    </row>
    <row r="256">
      <c r="A256" t="inlineStr">
        <is>
          <t>Actions Per Second</t>
        </is>
      </c>
      <c r="B256">
        <f>1+MIN(150,150*(1-(1-(Inputs!$B$11+(ArtifactsInput!$M$15-ArtifactsInput!$M$15)*CHOOSE(ArtifactsInput!$N$15+1,8,9.6,11.2,12.8,14.4,16))/150)*(1-B255/150)))/100</f>
        <v/>
      </c>
    </row>
    <row r="257">
      <c r="A257" t="inlineStr">
        <is>
          <t>Skill + Buff Cast Rate</t>
        </is>
      </c>
      <c r="B257">
        <f>IF(AND(Inputs!$B$38&lt;&gt;"pvp",Inputs!$B$43&gt;0),SUMPRODUCT((Skills!E2:E23=TRUE)*(C228:C249=TRUE)*R228:R249)/Inputs!$B$43,SUMPRODUCT((Skills!E2:E23=TRUE)*(C228:C249=TRUE)*Q228:Q249))</f>
        <v/>
      </c>
    </row>
    <row r="258">
      <c r="A258" t="inlineStr">
        <is>
          <t>Chain Lightning Casts Per Second</t>
        </is>
      </c>
      <c r="B258">
        <f>MAX(0,B256-B257)</f>
        <v/>
      </c>
    </row>
    <row r="259">
      <c r="A259" t="inlineStr">
        <is>
          <t>Buff-Casting Startup Delay (s, fixed-duration only)</t>
        </is>
      </c>
      <c r="B259">
        <f>IF(AND(Inputs!$B$38&lt;&gt;"pvp",Inputs!$B$43&gt;0),SUMPRODUCT((Skills!S2:S23&gt;0)*(Skills!E2:E23=TRUE)*(C228:C249=TRUE))/B256,0)</f>
        <v/>
      </c>
    </row>
    <row r="260">
      <c r="A260" t="inlineStr">
        <is>
          <t>Boss-Only Total DPS (this block's swept value)</t>
        </is>
      </c>
      <c r="B260">
        <f>SUM(S228:S249)</f>
        <v/>
      </c>
    </row>
    <row r="261">
      <c r="A261" t="inlineStr">
        <is>
          <t>Normal-Only Total DPS (this block's swept value)</t>
        </is>
      </c>
      <c r="B261">
        <f>SUM(U228:U249)</f>
        <v/>
      </c>
    </row>
    <row r="262">
      <c r="A262" s="6" t="inlineStr">
        <is>
          <t>TOTAL DPS</t>
        </is>
      </c>
      <c r="B262" s="6">
        <f>SUM(O228:O249)</f>
        <v/>
      </c>
    </row>
    <row r="265">
      <c r="A265" s="6" t="inlineStr">
        <is>
          <t>Stat: NORMAL_DAMAGE %</t>
        </is>
      </c>
    </row>
    <row r="266">
      <c r="A266" s="5" t="inlineStr">
        <is>
          <t>Key</t>
        </is>
      </c>
      <c r="B266" s="5" t="inlineStr">
        <is>
          <t>Name</t>
        </is>
      </c>
      <c r="C266" s="5" t="inlineStr">
        <is>
          <t>Unlocked</t>
        </is>
      </c>
      <c r="D266" s="5" t="inlineStr">
        <is>
          <t>InputLevel</t>
        </is>
      </c>
      <c r="E266" s="5" t="inlineStr">
        <is>
          <t>Factor</t>
        </is>
      </c>
      <c r="F266" s="5" t="inlineStr">
        <is>
          <t>CoefficientPercent</t>
        </is>
      </c>
      <c r="G266" s="5" t="inlineStr">
        <is>
          <t>EffectiveHits</t>
        </is>
      </c>
      <c r="H266" s="5" t="inlineStr">
        <is>
          <t>ProcProbability</t>
        </is>
      </c>
      <c r="I266" s="5" t="inlineStr">
        <is>
          <t>MapleHeroMultiplier</t>
        </is>
      </c>
      <c r="J266" s="5" t="inlineStr">
        <is>
          <t>BaseDamage</t>
        </is>
      </c>
      <c r="K266" s="5" t="inlineStr">
        <is>
          <t>BaseHitDamage</t>
        </is>
      </c>
      <c r="L266" s="5" t="inlineStr">
        <is>
          <t>NonCritAvg</t>
        </is>
      </c>
      <c r="M266" s="5" t="inlineStr">
        <is>
          <t>CritAvg</t>
        </is>
      </c>
      <c r="N266" s="5" t="inlineStr">
        <is>
          <t>ExpectedDamage(perHit)</t>
        </is>
      </c>
      <c r="O266" s="5" t="inlineStr">
        <is>
          <t>DPS</t>
        </is>
      </c>
      <c r="P266" s="5" t="inlineStr">
        <is>
          <t>% of Total</t>
        </is>
      </c>
      <c r="R266" t="inlineStr">
        <is>
          <t>helpers</t>
        </is>
      </c>
    </row>
    <row r="267">
      <c r="A267">
        <f>Skills!A2</f>
        <v/>
      </c>
      <c r="B267">
        <f>Skills!B2</f>
        <v/>
      </c>
      <c r="C267">
        <f>Inputs!$B$3&gt;=100</f>
        <v/>
      </c>
      <c r="D267" t="inlineStr"/>
      <c r="E267" t="inlineStr"/>
      <c r="F267">
        <f>T269+Skills!N2</f>
        <v/>
      </c>
      <c r="G267">
        <f>Calc!G2</f>
        <v/>
      </c>
      <c r="H267">
        <f>Calc!H2</f>
        <v/>
      </c>
      <c r="I267">
        <f>IF(Skills!T2&lt;&gt;"",1+(Skills!T2/10)*(Z268/1000)/100,1)</f>
        <v/>
      </c>
      <c r="J267">
        <f>((Inputs!$B$6*(1+Inputs!$B$7/100))+(((Inputs!$B$12*(1+Inputs!$B$13/100))-(Inputs!$B$12*(1+Inputs!$B$13/100)))+0.25*(Inputs!$B$14-Inputs!$B$14))*(1+Inputs!$B$7/100))*(F267/100)</f>
        <v/>
      </c>
      <c r="K267">
        <f>J267*(1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F283-Calc!F18),(Inputs!$B$23+(IF(ArtifactsInput!$M$15,CHOOSE(ArtifactsInput!$N$15+1,25,30,35,40,45,50)/100*(Inputs!$B$11-Inputs!$B$11),0))))/100+(Inputs!$B$23+(IF(ArtifactsInput!$M$15,CHOOSE(ArtifactsInput!$N$15+1,25,30,35,40,45,50)/100*(Inputs!$B$11-Inputs!$B$11),0)))/100)/2</f>
        <v/>
      </c>
      <c r="M267">
        <f>L267*(1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(1-Summary!$B$11)*S267+Summary!$B$11*U267</f>
        <v/>
      </c>
      <c r="P267">
        <f>IF(B301=0,0,O267/B301)</f>
        <v/>
      </c>
      <c r="Q267">
        <f>IFERROR(1/IF(Inputs!$B$38="pvp",15,MAX(0.1,Skills!D2-IF(Skills!E2=TRUE,Inputs!$B$32,0))),0)</f>
        <v/>
      </c>
      <c r="R267" t="n">
        <v>0</v>
      </c>
      <c r="S267">
        <f>IF(C267,(Skills!F2*N267*B297)*IF(Inputs!$B$38="pvp",1,1+(Inputs!$B$20+Skills!O2+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
        <f>MAX(0,(Inputs!$B$3-100)*3)+Inputs!$B$28+Inputs!$B$29</f>
        <v/>
      </c>
      <c r="U267">
        <f>IF(C267,(Skills!F2*N267*B297)*IF(Inputs!$B$38="pvp",1,(1+((Inputs!$B$21+1)+Skills!P2+B292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7">
        <f>MAX(0,(Inputs!$B$3-100)*3)+Inputs!$B$28+Inputs!$B$29</f>
        <v/>
      </c>
    </row>
    <row r="268">
      <c r="A268">
        <f>Skills!A3</f>
        <v/>
      </c>
      <c r="B268">
        <f>Skills!B3</f>
        <v/>
      </c>
      <c r="C268">
        <f>Inputs!$B$3&gt;=15</f>
        <v/>
      </c>
      <c r="D268">
        <f>IF(Skills!C3=1,60+Inputs!$B$25+Inputs!$B$29,IF(Skills!C3=2,90+Inputs!$B$26+Inputs!$B$29,IF(Skills!C3=3,120+Inputs!$B$27+Inputs!$B$29,MAX(0,(Inputs!$B$3-100)*3)+Inputs!$B$28+Inputs!$B$29)))</f>
        <v/>
      </c>
      <c r="E268">
        <f>INDEX(FactorTable!$B$2:$Y$301, MATCH(ROUND(MIN(300,MAX(1,D268)),0), FactorTable!$A$2:$A$301,0), Skills!L3+1)</f>
        <v/>
      </c>
      <c r="F268">
        <f>IF(Skills!M3=TRUE,(Skills!K3/10)*(E268/1000),Skills!K3/10)+Skills!N3</f>
        <v/>
      </c>
      <c r="G268">
        <f>Calc!G3</f>
        <v/>
      </c>
      <c r="H268">
        <f>Calc!H3</f>
        <v/>
      </c>
      <c r="I268">
        <f>IF(Skills!T3&lt;&gt;"",1+(Skills!T3/10)*(Z268/1000)/100,1)</f>
        <v/>
      </c>
      <c r="J268" t="inlineStr"/>
      <c r="K268" t="inlineStr"/>
      <c r="L268" t="inlineStr"/>
      <c r="M268" t="inlineStr"/>
      <c r="N268" t="inlineStr"/>
      <c r="O268">
        <f>(1-Summary!$B$11)*S268+Summary!$B$11*U268</f>
        <v/>
      </c>
      <c r="P268">
        <f>IF(B301=0,0,O268/B301)</f>
        <v/>
      </c>
      <c r="Q268">
        <f>IFERROR(1/IF(Inputs!$B$38="pvp",15,MAX(0.1,Skills!D3-IF(Skills!E3=TRUE,Inputs!$B$32,0))),0)</f>
        <v/>
      </c>
      <c r="R268">
        <f>IF(AND(Inputs!$B$38&lt;&gt;"pvp",Inputs!$B$43&gt;0),IF(Inputs!$B$43&lt;=0,0,(INT(Inputs!$B$43/IF(Inputs!$B$38="pvp",15,MAX(0.1,Skills!D3-IF(Skills!E3=TRUE,Inputs!$B$32,0))))+1)),0)</f>
        <v/>
      </c>
      <c r="S268" t="n">
        <v>0</v>
      </c>
      <c r="T268">
        <f>INDEX(FactorTable!$B$2:$Y$301, MATCH(ROUND(MIN(300,MAX(1,T267)),0), FactorTable!$A$2:$A$301,0), 22)</f>
        <v/>
      </c>
      <c r="U268" t="n">
        <v>0</v>
      </c>
      <c r="Z268">
        <f>INDEX(FactorTable!$B$2:$Y$301, MATCH(ROUND(MIN(300,MAX(1,Z267)),0), FactorTable!$A$2:$A$301,0), 24)</f>
        <v/>
      </c>
    </row>
    <row r="269">
      <c r="A269">
        <f>Skills!A4</f>
        <v/>
      </c>
      <c r="B269">
        <f>Skills!B4</f>
        <v/>
      </c>
      <c r="C269">
        <f>Inputs!$B$3&gt;=40</f>
        <v/>
      </c>
      <c r="D269">
        <f>IF(Skills!C4=1,60+Inputs!$B$25+Inputs!$B$29,IF(Skills!C4=2,90+Inputs!$B$26+Inputs!$B$29,IF(Skills!C4=3,120+Inputs!$B$27+Inputs!$B$29,MAX(0,(Inputs!$B$3-100)*3)+Inputs!$B$28+Inputs!$B$29)))</f>
        <v/>
      </c>
      <c r="E269">
        <f>INDEX(FactorTable!$B$2:$Y$301, MATCH(ROUND(MIN(300,MAX(1,D269)),0), FactorTable!$A$2:$A$301,0), Skills!L4+1)</f>
        <v/>
      </c>
      <c r="F269">
        <f>IF(Skills!M4=TRUE,(Skills!K4/10)*(E269/1000),Skills!K4/10)+Skills!N4</f>
        <v/>
      </c>
      <c r="G269">
        <f>Calc!G4</f>
        <v/>
      </c>
      <c r="H269">
        <f>Calc!H4</f>
        <v/>
      </c>
      <c r="I269">
        <f>IF(Skills!T4&lt;&gt;"",1+(Skills!T4/10)*(Z268/1000)/100,1)</f>
        <v/>
      </c>
      <c r="J269" t="inlineStr"/>
      <c r="K269" t="inlineStr"/>
      <c r="L269" t="inlineStr"/>
      <c r="M269" t="inlineStr"/>
      <c r="N269" t="inlineStr"/>
      <c r="O269">
        <f>(1-Summary!$B$11)*S269+Summary!$B$11*U269</f>
        <v/>
      </c>
      <c r="P269">
        <f>IF(B301=0,0,O269/B301)</f>
        <v/>
      </c>
      <c r="Q269">
        <f>IFERROR(1/IF(Inputs!$B$38="pvp",15,MAX(0.1,Skills!D4-IF(Skills!E4=TRUE,Inputs!$B$32,0))),0)</f>
        <v/>
      </c>
      <c r="R269">
        <f>IF(AND(Inputs!$B$38&lt;&gt;"pvp",Inputs!$B$43&gt;0),IF(Inputs!$B$43&lt;=0,0,(INT(Inputs!$B$43/IF(Inputs!$B$38="pvp",15,MAX(0.1,Skills!D4-IF(Skills!E4=TRUE,Inputs!$B$32,0))))+1)),0)</f>
        <v/>
      </c>
      <c r="S269" t="n">
        <v>0</v>
      </c>
      <c r="T269">
        <f>290*T268/1000</f>
        <v/>
      </c>
      <c r="U269" t="n">
        <v>0</v>
      </c>
    </row>
    <row r="270">
      <c r="A270">
        <f>Skills!A5</f>
        <v/>
      </c>
      <c r="B270">
        <f>Skills!B5</f>
        <v/>
      </c>
      <c r="C270">
        <f>Inputs!$B$3&gt;=38</f>
        <v/>
      </c>
      <c r="D270">
        <f>IF(Skills!C5=1,60+Inputs!$B$25+Inputs!$B$29,IF(Skills!C5=2,90+Inputs!$B$26+Inputs!$B$29,IF(Skills!C5=3,120+Inputs!$B$27+Inputs!$B$29,MAX(0,(Inputs!$B$3-100)*3)+Inputs!$B$28+Inputs!$B$29)))</f>
        <v/>
      </c>
      <c r="E270">
        <f>INDEX(FactorTable!$B$2:$Y$301, MATCH(ROUND(MIN(300,MAX(1,D270)),0), FactorTable!$A$2:$A$301,0), Skills!L5+1)</f>
        <v/>
      </c>
      <c r="F270">
        <f>IF(Skills!M5=TRUE,(Skills!K5/10)*(E270/1000),Skills!K5/10)+Skills!N5</f>
        <v/>
      </c>
      <c r="G270">
        <f>Calc!G5</f>
        <v/>
      </c>
      <c r="H270">
        <f>Calc!H5</f>
        <v/>
      </c>
      <c r="I270">
        <f>IF(Skills!T5&lt;&gt;"",1+(Skills!T5/10)*(Z268/1000)/100,1)</f>
        <v/>
      </c>
      <c r="J270">
        <f>((Inputs!$B$6*(1+Inputs!$B$7/100))+(((Inputs!$B$12*(1+Inputs!$B$13/100))-(Inputs!$B$12*(1+Inputs!$B$13/100)))+0.25*(Inputs!$B$14-Inputs!$B$14))*(1+Inputs!$B$7/100))*(F270/100)</f>
        <v/>
      </c>
      <c r="K270">
        <f>J270*(1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283-Calc!F18),(Inputs!$B$23+(IF(ArtifactsInput!$M$15,CHOOSE(ArtifactsInput!$N$15+1,25,30,35,40,45,50)/100*(Inputs!$B$11-Inputs!$B$11),0))))/100+(Inputs!$B$23+(IF(ArtifactsInput!$M$15,CHOOSE(ArtifactsInput!$N$15+1,25,30,35,40,45,50)/100*(Inputs!$B$11-Inputs!$B$11),0)))/100)/2</f>
        <v/>
      </c>
      <c r="M270">
        <f>L270*(1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IF(B301=0,0,O270/B301)</f>
        <v/>
      </c>
      <c r="Q270">
        <f>IFERROR(1/IF(Inputs!$B$38="pvp",15,MAX(0.1,Skills!D5-IF(Skills!E5=TRUE,Inputs!$B$32,0))),0)</f>
        <v/>
      </c>
      <c r="R270">
        <f>IF(AND(Inputs!$B$38&lt;&gt;"pvp",Inputs!$B$43&gt;0),IF(MAX(0,Inputs!$B$43-B298)&lt;=0,0,(INT(MAX(0,Inputs!$B$43-B298)/IF(Inputs!$B$38="pvp",15,MAX(0.1,Skills!D5-IF(Skills!E5=TRUE,Inputs!$B$32,0))))+1)),0)</f>
        <v/>
      </c>
      <c r="S270">
        <f>IF(C270,(H270*N270*IF(AND(Inputs!$B$38&lt;&gt;"pvp",Inputs!$B$43&gt;0),((Skills!F5*((R270-1)*IF(Skills!G5&gt;0,Skills!H5/Skills!G5,1)+IF(Skills!G5&gt;0,MIN(Skills!H5,MAX(0,MAX(0,Inputs!$B$43-B298)-((R270-1)*IF(Inputs!$B$38="pvp",15,MAX(0.1,Skills!D5-IF(Skills!E5=TRUE,Inputs!$B$32,0))))))/Skills!G5,1)))/Inputs!$B$43),G270*Q270))*IF(Inputs!$B$38="pvp",1,1+(Inputs!$B$20+Skills!O5+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F5*((R270-1)*IF(Skills!G5&gt;0,Skills!H5/Skills!G5,1)+IF(Skills!G5&gt;0,MIN(Skills!H5,MAX(0,MAX(0,Inputs!$B$43-B298)-((R270-1)*IF(Inputs!$B$38="pvp",15,MAX(0.1,Skills!D5-IF(Skills!E5=TRUE,Inputs!$B$32,0))))))/Skills!G5,1)))/Inputs!$B$43),G270*Q270))*IF(Inputs!$B$38="pvp",1,(1+((Inputs!$B$21+1)+Skills!P5+B292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Skills!A6</f>
        <v/>
      </c>
      <c r="B271">
        <f>Skills!B6</f>
        <v/>
      </c>
      <c r="C271">
        <f>Inputs!$B$3&gt;=63</f>
        <v/>
      </c>
      <c r="D271">
        <f>IF(Skills!C6=1,60+Inputs!$B$25+Inputs!$B$29,IF(Skills!C6=2,90+Inputs!$B$26+Inputs!$B$29,IF(Skills!C6=3,120+Inputs!$B$27+Inputs!$B$29,MAX(0,(Inputs!$B$3-100)*3)+Inputs!$B$28+Inputs!$B$29)))</f>
        <v/>
      </c>
      <c r="E271">
        <f>INDEX(FactorTable!$B$2:$Y$301, MATCH(ROUND(MIN(300,MAX(1,D271)),0), FactorTable!$A$2:$A$301,0), Skills!L6+1)</f>
        <v/>
      </c>
      <c r="F271">
        <f>IF(Skills!M6=TRUE,(Skills!K6/10)*(E271/1000),Skills!K6/10)+Skills!N6</f>
        <v/>
      </c>
      <c r="G271">
        <f>Calc!G6</f>
        <v/>
      </c>
      <c r="H271">
        <f>Calc!H6</f>
        <v/>
      </c>
      <c r="I271">
        <f>IF(Skills!T6&lt;&gt;"",1+(Skills!T6/10)*(Z268/1000)/100,1)</f>
        <v/>
      </c>
      <c r="J271">
        <f>((Inputs!$B$6*(1+Inputs!$B$7/100))+(((Inputs!$B$12*(1+Inputs!$B$13/100))-(Inputs!$B$12*(1+Inputs!$B$13/100)))+0.25*(Inputs!$B$14-Inputs!$B$14))*(1+Inputs!$B$7/100))*(F271/100)</f>
        <v/>
      </c>
      <c r="K271">
        <f>J271*(1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F283-Calc!F18),(Inputs!$B$23+(IF(ArtifactsInput!$M$15,CHOOSE(ArtifactsInput!$N$15+1,25,30,35,40,45,50)/100*(Inputs!$B$11-Inputs!$B$11),0))))/100+(Inputs!$B$23+(IF(ArtifactsInput!$M$15,CHOOSE(ArtifactsInput!$N$15+1,25,30,35,40,45,50)/100*(Inputs!$B$11-Inputs!$B$11),0)))/100)/2</f>
        <v/>
      </c>
      <c r="M271">
        <f>L271*(1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(1-Summary!$B$11)*S271+Summary!$B$11*U271</f>
        <v/>
      </c>
      <c r="P271">
        <f>IF(B301=0,0,O271/B301)</f>
        <v/>
      </c>
      <c r="Q271">
        <f>IFERROR(1/IF(Inputs!$B$38="pvp",15,MAX(0.1,Skills!D6-IF(Skills!E6=TRUE,Inputs!$B$32,0))),0)</f>
        <v/>
      </c>
      <c r="R271">
        <f>IF(AND(Inputs!$B$38&lt;&gt;"pvp",Inputs!$B$43&gt;0),IF(MAX(0,Inputs!$B$43-B298)&lt;=0,0,(INT(MAX(0,Inputs!$B$43-B298)/IF(Inputs!$B$38="pvp",15,MAX(0.1,Skills!D6-IF(Skills!E6=TRUE,Inputs!$B$32,0))))+1)),0)</f>
        <v/>
      </c>
      <c r="S271">
        <f>IF(C271,(H271*N271*IF(AND(Inputs!$B$38&lt;&gt;"pvp",Inputs!$B$43&gt;0),((Skills!F6*((R271-1)*IF(Skills!G6&gt;0,Skills!H6/Skills!G6,1)+IF(Skills!G6&gt;0,MIN(Skills!H6,MAX(0,MAX(0,Inputs!$B$43-B298)-((R271-1)*IF(Inputs!$B$38="pvp",15,MAX(0.1,Skills!D6-IF(Skills!E6=TRUE,Inputs!$B$32,0))))))/Skills!G6,1)))/Inputs!$B$43),G271*Q271))*IF(Inputs!$B$38="pvp",1,1+(Inputs!$B$20+Skills!O6+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
        <f>IF(C271,(H271*N271*IF(AND(Inputs!$B$38&lt;&gt;"pvp",Inputs!$B$43&gt;0),((Skills!F6*((R271-1)*IF(Skills!G6&gt;0,Skills!H6/Skills!G6,1)+IF(Skills!G6&gt;0,MIN(Skills!H6,MAX(0,MAX(0,Inputs!$B$43-B298)-((R271-1)*IF(Inputs!$B$38="pvp",15,MAX(0.1,Skills!D6-IF(Skills!E6=TRUE,Inputs!$B$32,0))))))/Skills!G6,1)))/Inputs!$B$43),G271*Q271))*IF(Inputs!$B$38="pvp",1,(1+((Inputs!$B$21+1)+Skills!P6+B292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Skills!A7</f>
        <v/>
      </c>
      <c r="B272">
        <f>Skills!B7</f>
        <v/>
      </c>
      <c r="C272">
        <f>Inputs!$B$3&gt;=69</f>
        <v/>
      </c>
      <c r="D272">
        <f>IF(Skills!C7=1,60+Inputs!$B$25+Inputs!$B$29,IF(Skills!C7=2,90+Inputs!$B$26+Inputs!$B$29,IF(Skills!C7=3,120+Inputs!$B$27+Inputs!$B$29,MAX(0,(Inputs!$B$3-100)*3)+Inputs!$B$28+Inputs!$B$29)))</f>
        <v/>
      </c>
      <c r="E272">
        <f>INDEX(FactorTable!$B$2:$Y$301, MATCH(ROUND(MIN(300,MAX(1,D272)),0), FactorTable!$A$2:$A$301,0), Skills!L7+1)</f>
        <v/>
      </c>
      <c r="F272">
        <f>IF(Skills!M7=TRUE,(Skills!K7/10)*(E272/1000),Skills!K7/10)+Skills!N7</f>
        <v/>
      </c>
      <c r="G272">
        <f>Calc!G7</f>
        <v/>
      </c>
      <c r="H272">
        <f>Calc!H7</f>
        <v/>
      </c>
      <c r="I272">
        <f>IF(Skills!T7&lt;&gt;"",1+(Skills!T7/10)*(Z268/1000)/100,1)</f>
        <v/>
      </c>
      <c r="J272">
        <f>((Inputs!$B$6*(1+Inputs!$B$7/100))+(((Inputs!$B$12*(1+Inputs!$B$13/100))-(Inputs!$B$12*(1+Inputs!$B$13/100)))+0.25*(Inputs!$B$14-Inputs!$B$14))*(1+Inputs!$B$7/100))*(F272/100)</f>
        <v/>
      </c>
      <c r="K272">
        <f>J272*(1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F283-Calc!F18),(Inputs!$B$23+(IF(ArtifactsInput!$M$15,CHOOSE(ArtifactsInput!$N$15+1,25,30,35,40,45,50)/100*(Inputs!$B$11-Inputs!$B$11),0))))/100+(Inputs!$B$23+(IF(ArtifactsInput!$M$15,CHOOSE(ArtifactsInput!$N$15+1,25,30,35,40,45,50)/100*(Inputs!$B$11-Inputs!$B$11),0)))/100)/2</f>
        <v/>
      </c>
      <c r="M272">
        <f>L272*(1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(1-Summary!$B$11)*S272+Summary!$B$11*U272</f>
        <v/>
      </c>
      <c r="P272">
        <f>IF(B301=0,0,O272/B301)</f>
        <v/>
      </c>
      <c r="Q272">
        <f>IFERROR(1/IF(Inputs!$B$38="pvp",15,MAX(0.1,Skills!D7-IF(Skills!E7=TRUE,Inputs!$B$32,0))),0)</f>
        <v/>
      </c>
      <c r="R272">
        <f>IF(AND(Inputs!$B$38&lt;&gt;"pvp",Inputs!$B$43&gt;0),IF(MAX(0,Inputs!$B$43-B298)&lt;=0,0,(INT(MAX(0,Inputs!$B$43-B298)/IF(Inputs!$B$38="pvp",15,MAX(0.1,Skills!D7-IF(Skills!E7=TRUE,Inputs!$B$32,0))))+1)),0)</f>
        <v/>
      </c>
      <c r="S272">
        <f>IF(C272,(H272*N272*IF(AND(Inputs!$B$38&lt;&gt;"pvp",Inputs!$B$43&gt;0),((Skills!F7*((R272-1)*IF(Skills!G7&gt;0,Skills!H7/Skills!G7,1)+IF(Skills!G7&gt;0,MIN(Skills!H7,MAX(0,MAX(0,Inputs!$B$43-B298)-((R272-1)*IF(Inputs!$B$38="pvp",15,MAX(0.1,Skills!D7-IF(Skills!E7=TRUE,Inputs!$B$32,0))))))/Skills!G7,1)))/Inputs!$B$43),G272*Q272))*IF(Inputs!$B$38="pvp",1,1+(Inputs!$B$20+Skills!O7+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
        <f>IF(C272,(H272*N272*IF(AND(Inputs!$B$38&lt;&gt;"pvp",Inputs!$B$43&gt;0),((Skills!F7*((R272-1)*IF(Skills!G7&gt;0,Skills!H7/Skills!G7,1)+IF(Skills!G7&gt;0,MIN(Skills!H7,MAX(0,MAX(0,Inputs!$B$43-B298)-((R272-1)*IF(Inputs!$B$38="pvp",15,MAX(0.1,Skills!D7-IF(Skills!E7=TRUE,Inputs!$B$32,0))))))/Skills!G7,1)))/Inputs!$B$43),G272*Q272))*IF(Inputs!$B$38="pvp",1,(1+((Inputs!$B$21+1)+Skills!P7+B292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Skills!A8</f>
        <v/>
      </c>
      <c r="B273">
        <f>Skills!B8</f>
        <v/>
      </c>
      <c r="C273">
        <f>Inputs!$B$3&gt;=103</f>
        <v/>
      </c>
      <c r="D273">
        <f>IF(Skills!C8=1,60+Inputs!$B$25+Inputs!$B$29,IF(Skills!C8=2,90+Inputs!$B$26+Inputs!$B$29,IF(Skills!C8=3,120+Inputs!$B$27+Inputs!$B$29,MAX(0,(Inputs!$B$3-100)*3)+Inputs!$B$28+Inputs!$B$29)))</f>
        <v/>
      </c>
      <c r="E273">
        <f>INDEX(FactorTable!$B$2:$Y$301, MATCH(ROUND(MIN(300,MAX(1,D273)),0), FactorTable!$A$2:$A$301,0), Skills!L8+1)</f>
        <v/>
      </c>
      <c r="F273">
        <f>IF(Skills!M8=TRUE,(Skills!K8/10)*(E273/1000),Skills!K8/10)+Skills!N8</f>
        <v/>
      </c>
      <c r="G273">
        <f>Calc!G8</f>
        <v/>
      </c>
      <c r="H273">
        <f>Calc!H8</f>
        <v/>
      </c>
      <c r="I273">
        <f>IF(Skills!T8&lt;&gt;"",1+(Skills!T8/10)*(Z268/1000)/100,1)</f>
        <v/>
      </c>
      <c r="J273">
        <f>((Inputs!$B$6*(1+Inputs!$B$7/100))+(((Inputs!$B$12*(1+Inputs!$B$13/100))-(Inputs!$B$12*(1+Inputs!$B$13/100)))+0.25*(Inputs!$B$14-Inputs!$B$14))*(1+Inputs!$B$7/100))*(F273/100)</f>
        <v/>
      </c>
      <c r="K273">
        <f>J273*(1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F283-Calc!F18),(Inputs!$B$23+(IF(ArtifactsInput!$M$15,CHOOSE(ArtifactsInput!$N$15+1,25,30,35,40,45,50)/100*(Inputs!$B$11-Inputs!$B$11),0))))/100+(Inputs!$B$23+(IF(ArtifactsInput!$M$15,CHOOSE(ArtifactsInput!$N$15+1,25,30,35,40,45,50)/100*(Inputs!$B$11-Inputs!$B$11),0)))/100)/2</f>
        <v/>
      </c>
      <c r="M273">
        <f>L273*(1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(1-Summary!$B$11)*S273+Summary!$B$11*U273</f>
        <v/>
      </c>
      <c r="P273">
        <f>IF(B301=0,0,O273/B301)</f>
        <v/>
      </c>
      <c r="Q273">
        <f>IFERROR(1/IF(Inputs!$B$38="pvp",15,MAX(0.1,Skills!D8-IF(Skills!E8=TRUE,Inputs!$B$32,0))),0)</f>
        <v/>
      </c>
      <c r="R273">
        <f>IF(AND(Inputs!$B$38&lt;&gt;"pvp",Inputs!$B$43&gt;0),IF(MAX(0,Inputs!$B$43-B298)&lt;=0,0,(INT(MAX(0,Inputs!$B$43-B298)/IF(Inputs!$B$38="pvp",15,MAX(0.1,Skills!D8-IF(Skills!E8=TRUE,Inputs!$B$32,0))))+1)),0)</f>
        <v/>
      </c>
      <c r="S273">
        <f>IF(C273,(H273*N273*IF(AND(Inputs!$B$38&lt;&gt;"pvp",Inputs!$B$43&gt;0),((Skills!F8*((R273-1)*IF(Skills!G8&gt;0,Skills!H8/Skills!G8,1)+IF(Skills!G8&gt;0,MIN(Skills!H8,MAX(0,MAX(0,Inputs!$B$43-B298)-((R273-1)*IF(Inputs!$B$38="pvp",15,MAX(0.1,Skills!D8-IF(Skills!E8=TRUE,Inputs!$B$32,0))))))/Skills!G8,1)))/Inputs!$B$43),G273*Q273))*IF(Inputs!$B$38="pvp",1,1+(Inputs!$B$20+Skills!O8+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IF(C273,(H273*N273*IF(AND(Inputs!$B$38&lt;&gt;"pvp",Inputs!$B$43&gt;0),((Skills!F8*((R273-1)*IF(Skills!G8&gt;0,Skills!H8/Skills!G8,1)+IF(Skills!G8&gt;0,MIN(Skills!H8,MAX(0,MAX(0,Inputs!$B$43-B298)-((R273-1)*IF(Inputs!$B$38="pvp",15,MAX(0.1,Skills!D8-IF(Skills!E8=TRUE,Inputs!$B$32,0))))))/Skills!G8,1)))/Inputs!$B$43),G273*Q273))*IF(Inputs!$B$38="pvp",1,(1+((Inputs!$B$21+1)+Skills!P8+B292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Skills!A9</f>
        <v/>
      </c>
      <c r="B274">
        <f>Skills!B9</f>
        <v/>
      </c>
      <c r="C274">
        <f>Inputs!$B$3&gt;=105</f>
        <v/>
      </c>
      <c r="D274">
        <f>IF(Skills!C9=1,60+Inputs!$B$25+Inputs!$B$29,IF(Skills!C9=2,90+Inputs!$B$26+Inputs!$B$29,IF(Skills!C9=3,120+Inputs!$B$27+Inputs!$B$29,MAX(0,(Inputs!$B$3-100)*3)+Inputs!$B$28+Inputs!$B$29)))</f>
        <v/>
      </c>
      <c r="E274">
        <f>INDEX(FactorTable!$B$2:$Y$301, MATCH(ROUND(MIN(300,MAX(1,D274)),0), FactorTable!$A$2:$A$301,0), Skills!L9+1)</f>
        <v/>
      </c>
      <c r="F274">
        <f>IF(Skills!M9=TRUE,(Skills!K9/10)*(E274/1000),Skills!K9/10)+Skills!N9</f>
        <v/>
      </c>
      <c r="G274">
        <f>Calc!G9</f>
        <v/>
      </c>
      <c r="H274">
        <f>Calc!H9</f>
        <v/>
      </c>
      <c r="I274">
        <f>IF(Skills!T9&lt;&gt;"",1+(Skills!T9/10)*(Z268/1000)/100,1)</f>
        <v/>
      </c>
      <c r="J274">
        <f>((Inputs!$B$6*(1+Inputs!$B$7/100))+(((Inputs!$B$12*(1+Inputs!$B$13/100))-(Inputs!$B$12*(1+Inputs!$B$13/100)))+0.25*(Inputs!$B$14-Inputs!$B$14))*(1+Inputs!$B$7/100))*(F274/100)</f>
        <v/>
      </c>
      <c r="K274">
        <f>J274*(1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283-Calc!F18),(Inputs!$B$23+(IF(ArtifactsInput!$M$15,CHOOSE(ArtifactsInput!$N$15+1,25,30,35,40,45,50)/100*(Inputs!$B$11-Inputs!$B$11),0))))/100+(Inputs!$B$23+(IF(ArtifactsInput!$M$15,CHOOSE(ArtifactsInput!$N$15+1,25,30,35,40,45,50)/100*(Inputs!$B$11-Inputs!$B$11),0)))/100)/2</f>
        <v/>
      </c>
      <c r="M274">
        <f>L274*(1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IF(B301=0,0,O274/B301)</f>
        <v/>
      </c>
      <c r="Q274">
        <f>IFERROR(1/IF(Inputs!$B$38="pvp",15,MAX(0.1,Skills!D9-IF(Skills!E9=TRUE,Inputs!$B$32,0))),0)</f>
        <v/>
      </c>
      <c r="R274">
        <f>IF(AND(Inputs!$B$38&lt;&gt;"pvp",Inputs!$B$43&gt;0),IF(MAX(0,Inputs!$B$43-B298)&lt;=0,0,(INT(MAX(0,Inputs!$B$43-B298)/IF(Inputs!$B$38="pvp",15,MAX(0.1,Skills!D9-IF(Skills!E9=TRUE,Inputs!$B$32,0))))+1)),0)</f>
        <v/>
      </c>
      <c r="S274">
        <f>IF(C274,(H274*N274*IF(AND(Inputs!$B$38&lt;&gt;"pvp",Inputs!$B$43&gt;0),((Skills!F9*((R274-1)*IF(Skills!G9&gt;0,Skills!H9/Skills!G9,1)+IF(Skills!G9&gt;0,MIN(Skills!H9,MAX(0,MAX(0,Inputs!$B$43-B298)-((R274-1)*IF(Inputs!$B$38="pvp",15,MAX(0.1,Skills!D9-IF(Skills!E9=TRUE,Inputs!$B$32,0))))))/Skills!G9,1)))/Inputs!$B$43),G274*Q274))*IF(Inputs!$B$38="pvp",1,1+(Inputs!$B$20+Skills!O9+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F9*((R274-1)*IF(Skills!G9&gt;0,Skills!H9/Skills!G9,1)+IF(Skills!G9&gt;0,MIN(Skills!H9,MAX(0,MAX(0,Inputs!$B$43-B298)-((R274-1)*IF(Inputs!$B$38="pvp",15,MAX(0.1,Skills!D9-IF(Skills!E9=TRUE,Inputs!$B$32,0))))))/Skills!G9,1)))/Inputs!$B$43),G274*Q274))*IF(Inputs!$B$38="pvp",1,(1+((Inputs!$B$21+1)+Skills!P9+B292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Skills!A10</f>
        <v/>
      </c>
      <c r="B275">
        <f>Skills!B10</f>
        <v/>
      </c>
      <c r="C275">
        <f>Inputs!$B$3&gt;=113</f>
        <v/>
      </c>
      <c r="D275">
        <f>IF(Skills!C10=1,60+Inputs!$B$25+Inputs!$B$29,IF(Skills!C10=2,90+Inputs!$B$26+Inputs!$B$29,IF(Skills!C10=3,120+Inputs!$B$27+Inputs!$B$29,MAX(0,(Inputs!$B$3-100)*3)+Inputs!$B$28+Inputs!$B$29)))</f>
        <v/>
      </c>
      <c r="E275">
        <f>INDEX(FactorTable!$B$2:$Y$301, MATCH(ROUND(MIN(300,MAX(1,D275)),0), FactorTable!$A$2:$A$301,0), Skills!L10+1)</f>
        <v/>
      </c>
      <c r="F275">
        <f>IF(Skills!M10=TRUE,(Skills!K10/10)*(E275/1000),Skills!K10/10)+Skills!N10</f>
        <v/>
      </c>
      <c r="G275">
        <f>Calc!G10</f>
        <v/>
      </c>
      <c r="H275">
        <f>Calc!H10</f>
        <v/>
      </c>
      <c r="I275">
        <f>IF(Skills!T10&lt;&gt;"",1+(Skills!T10/10)*(Z268/1000)/100,1)</f>
        <v/>
      </c>
      <c r="J275">
        <f>((Inputs!$B$6*(1+Inputs!$B$7/100))+(((Inputs!$B$12*(1+Inputs!$B$13/100))-(Inputs!$B$12*(1+Inputs!$B$13/100)))+0.25*(Inputs!$B$14-Inputs!$B$14))*(1+Inputs!$B$7/100))*(F275/100)</f>
        <v/>
      </c>
      <c r="K275">
        <f>J275*(1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F283-Calc!F18),(Inputs!$B$23+(IF(ArtifactsInput!$M$15,CHOOSE(ArtifactsInput!$N$15+1,25,30,35,40,45,50)/100*(Inputs!$B$11-Inputs!$B$11),0))))/100+(Inputs!$B$23+(IF(ArtifactsInput!$M$15,CHOOSE(ArtifactsInput!$N$15+1,25,30,35,40,45,50)/100*(Inputs!$B$11-Inputs!$B$11),0)))/100)/2</f>
        <v/>
      </c>
      <c r="M275">
        <f>L275*(1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(1-Summary!$B$11)*S275+Summary!$B$11*U275</f>
        <v/>
      </c>
      <c r="P275">
        <f>IF(B301=0,0,O275/B301)</f>
        <v/>
      </c>
      <c r="Q275">
        <f>IFERROR(1/IF(Inputs!$B$38="pvp",15,MAX(0.1,Skills!D10-IF(Skills!E9=TRUE,Inputs!$B$32,0))),0)</f>
        <v/>
      </c>
      <c r="R275">
        <f>IF(AND(Inputs!$B$38&lt;&gt;"pvp",Inputs!$B$43&gt;0),IF(MAX(0,Inputs!$B$43-B298)&lt;=0,0,(INT(MAX(0,Inputs!$B$43-B298)/IF(Inputs!$B$38="pvp",15,MAX(0.1,Skills!D10-IF(Skills!E9=TRUE,Inputs!$B$32,0))))+1)),0)</f>
        <v/>
      </c>
      <c r="S275">
        <f>IF(C275,(H275*N275*IF(AND(Inputs!$B$38&lt;&gt;"pvp",Inputs!$B$43&gt;0),((Skills!F10*((R275-1)*IF(Skills!G10&gt;0,Skills!H10/Skills!G10,1)+IF(Skills!G10&gt;0,MIN(Skills!H10,MAX(0,MAX(0,Inputs!$B$43-B298)-((R275-1)*IF(Inputs!$B$38="pvp",15,MAX(0.1,Skills!D10-IF(Skills!E9=TRUE,Inputs!$B$32,0))))))/Skills!G10,1)))/Inputs!$B$43),G275*Q275))*IF(Inputs!$B$38="pvp",1,1+(Inputs!$B$20+Skills!O10+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IF(C275,(H275*N275*IF(AND(Inputs!$B$38&lt;&gt;"pvp",Inputs!$B$43&gt;0),((Skills!F10*((R275-1)*IF(Skills!G10&gt;0,Skills!H10/Skills!G10,1)+IF(Skills!G10&gt;0,MIN(Skills!H10,MAX(0,MAX(0,Inputs!$B$43-B298)-((R275-1)*IF(Inputs!$B$38="pvp",15,MAX(0.1,Skills!D10-IF(Skills!E9=TRUE,Inputs!$B$32,0))))))/Skills!G10,1)))/Inputs!$B$43),G275*Q275))*IF(Inputs!$B$38="pvp",1,(1+((Inputs!$B$21+1)+Skills!P10+B292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Skills!A11</f>
        <v/>
      </c>
      <c r="B276">
        <f>Skills!B11</f>
        <v/>
      </c>
      <c r="C276">
        <f>Inputs!$B$3&gt;=107</f>
        <v/>
      </c>
      <c r="D276">
        <f>IF(Skills!C11=1,60+Inputs!$B$25+Inputs!$B$29,IF(Skills!C11=2,90+Inputs!$B$26+Inputs!$B$29,IF(Skills!C11=3,120+Inputs!$B$27+Inputs!$B$29,MAX(0,(Inputs!$B$3-100)*3)+Inputs!$B$28+Inputs!$B$29)))</f>
        <v/>
      </c>
      <c r="E276">
        <f>INDEX(FactorTable!$B$2:$Y$301, MATCH(ROUND(MIN(300,MAX(1,D276)),0), FactorTable!$A$2:$A$301,0), Skills!L11+1)</f>
        <v/>
      </c>
      <c r="F276">
        <f>IF(Skills!M11=TRUE,(Skills!K11/10)*(E276/1000),Skills!K11/10)+Skills!N11</f>
        <v/>
      </c>
      <c r="G276">
        <f>Calc!G11</f>
        <v/>
      </c>
      <c r="H276">
        <f>Calc!H11</f>
        <v/>
      </c>
      <c r="I276">
        <f>IF(Skills!T11&lt;&gt;"",1+(Skills!T11/10)*(Z268/1000)/100,1)</f>
        <v/>
      </c>
      <c r="J276">
        <f>((Inputs!$B$6*(1+Inputs!$B$7/100))+(((Inputs!$B$12*(1+Inputs!$B$13/100))-(Inputs!$B$12*(1+Inputs!$B$13/100)))+0.25*(Inputs!$B$14-Inputs!$B$14))*(1+Inputs!$B$7/100))*(F276/100)</f>
        <v/>
      </c>
      <c r="K276">
        <f>J276*(1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F283-Calc!F18),(Inputs!$B$23+(IF(ArtifactsInput!$M$15,CHOOSE(ArtifactsInput!$N$15+1,25,30,35,40,45,50)/100*(Inputs!$B$11-Inputs!$B$11),0))))/100+(Inputs!$B$23+(IF(ArtifactsInput!$M$15,CHOOSE(ArtifactsInput!$N$15+1,25,30,35,40,45,50)/100*(Inputs!$B$11-Inputs!$B$11),0)))/100)/2</f>
        <v/>
      </c>
      <c r="M276">
        <f>L276*(1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(1-Summary!$B$11)*S276+Summary!$B$11*U276</f>
        <v/>
      </c>
      <c r="P276">
        <f>IF(B301=0,0,O276/B301)</f>
        <v/>
      </c>
      <c r="Q276">
        <f>IFERROR(1/IF(Inputs!$B$38="pvp",15,MAX(0.1,Skills!D11-IF(Skills!E11=TRUE,Inputs!$B$32,0))),0)</f>
        <v/>
      </c>
      <c r="R276">
        <f>IF(AND(Inputs!$B$38&lt;&gt;"pvp",Inputs!$B$43&gt;0),IF(MAX(0,Inputs!$B$43-B298)&lt;=0,0,(INT(MAX(0,Inputs!$B$43-B298)/IF(Inputs!$B$38="pvp",15,MAX(0.1,Skills!D11-IF(Skills!E11=TRUE,Inputs!$B$32,0))))+1)),0)</f>
        <v/>
      </c>
      <c r="S276">
        <f>IF(C276,H276*N276*IF(AND(Inputs!$B$38&lt;&gt;"pvp",Inputs!$B$43&gt;0),((Skills!F11*((R276-1)*IF(Skills!G11&gt;0,Skills!H11/Skills!G11,1)+IF(Skills!G11&gt;0,MIN(Skills!H11,MAX(0,MAX(0,Inputs!$B$43-B298)-((R276-1)*IF(Inputs!$B$38="pvp",15,MAX(0.1,Skills!D11-IF(Skills!E11=TRUE,Inputs!$B$32,0))))))/Skills!G11,1)))/Inputs!$B$43),G276*Q276)*0.5*IF(Inputs!$B$38="pvp",1,1+(Inputs!$B$20+Skills!O11+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
        <f>IF(C276,H276*N276*IF(AND(Inputs!$B$38&lt;&gt;"pvp",Inputs!$B$43&gt;0),((Skills!F11*((R276-1)*IF(Skills!G11&gt;0,Skills!H11/Skills!G11,1)+IF(Skills!G11&gt;0,MIN(Skills!H11,MAX(0,MAX(0,Inputs!$B$43-B298)-((R276-1)*IF(Inputs!$B$38="pvp",15,MAX(0.1,Skills!D11-IF(Skills!E11=TRUE,Inputs!$B$32,0))))))/Skills!G11,1)))/Inputs!$B$43),G276*Q276)*1*IF(Inputs!$B$38="pvp",1,(1+((Inputs!$B$21+1)+Skills!P11+B292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Skills!A12</f>
        <v/>
      </c>
      <c r="B277">
        <f>Skills!B12</f>
        <v/>
      </c>
      <c r="C277">
        <f>Inputs!$B$3&gt;=115</f>
        <v/>
      </c>
      <c r="D277">
        <f>IF(Skills!C12=1,60+Inputs!$B$25+Inputs!$B$29,IF(Skills!C12=2,90+Inputs!$B$26+Inputs!$B$29,IF(Skills!C12=3,120+Inputs!$B$27+Inputs!$B$29,MAX(0,(Inputs!$B$3-100)*3)+Inputs!$B$28+Inputs!$B$29)))</f>
        <v/>
      </c>
      <c r="E277">
        <f>INDEX(FactorTable!$B$2:$Y$301, MATCH(ROUND(MIN(300,MAX(1,D277)),0), FactorTable!$A$2:$A$301,0), Skills!L12+1)</f>
        <v/>
      </c>
      <c r="F277">
        <f>IF(Skills!M12=TRUE,(Skills!K12/10)*(E277/1000),Skills!K12/10)+Skills!N12</f>
        <v/>
      </c>
      <c r="G277">
        <f>Calc!G12</f>
        <v/>
      </c>
      <c r="H277">
        <f>Calc!H12</f>
        <v/>
      </c>
      <c r="I277">
        <f>IF(Skills!T12&lt;&gt;"",1+(Skills!T12/10)*(Z268/1000)/100,1)</f>
        <v/>
      </c>
      <c r="J277">
        <f>((Inputs!$B$6*(1+Inputs!$B$7/100))+(((Inputs!$B$12*(1+Inputs!$B$13/100))-(Inputs!$B$12*(1+Inputs!$B$13/100)))+0.25*(Inputs!$B$14-Inputs!$B$14))*(1+Inputs!$B$7/100))*(F277/100)</f>
        <v/>
      </c>
      <c r="K277">
        <f>J277*(1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283-Calc!F18),(Inputs!$B$23+(IF(ArtifactsInput!$M$15,CHOOSE(ArtifactsInput!$N$15+1,25,30,35,40,45,50)/100*(Inputs!$B$11-Inputs!$B$11),0))))/100+(Inputs!$B$23+(IF(ArtifactsInput!$M$15,CHOOSE(ArtifactsInput!$N$15+1,25,30,35,40,45,50)/100*(Inputs!$B$11-Inputs!$B$11),0)))/100)/2</f>
        <v/>
      </c>
      <c r="M277">
        <f>L277*(1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IF(B301=0,0,O277/B301)</f>
        <v/>
      </c>
      <c r="Q277">
        <f>IFERROR(1/IF(Inputs!$B$38="pvp",15,MAX(0.1,Skills!D12-IF(Skills!E12=TRUE,Inputs!$B$32,0))),0)</f>
        <v/>
      </c>
      <c r="R277">
        <f>IF(AND(Inputs!$B$38&lt;&gt;"pvp",Inputs!$B$43&gt;0),IF(MAX(0,Inputs!$B$43-B298)&lt;=0,0,(INT(MAX(0,Inputs!$B$43-B298)/IF(Inputs!$B$38="pvp",15,MAX(0.1,Skills!D12-IF(Skills!E12=TRUE,Inputs!$B$32,0))))+1)),0)</f>
        <v/>
      </c>
      <c r="S277">
        <f>IF(C277,(H277*N277*IF(AND(Inputs!$B$38&lt;&gt;"pvp",Inputs!$B$43&gt;0),((Skills!F12*((R277-1)*IF(Skills!G12&gt;0,Skills!H12/Skills!G12,1)+IF(Skills!G12&gt;0,MIN(Skills!H12,MAX(0,MAX(0,Inputs!$B$43-B298)-((R277-1)*IF(Inputs!$B$38="pvp",15,MAX(0.1,Skills!D12-IF(Skills!E12=TRUE,Inputs!$B$32,0))))))/Skills!G12,1)))/Inputs!$B$43),G277*Q277))*IF(Inputs!$B$38="pvp",1,1+(Inputs!$B$20+Skills!O12+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
        <f>IF(C277,(H277*N277*IF(AND(Inputs!$B$38&lt;&gt;"pvp",Inputs!$B$43&gt;0),((Skills!F12*((R277-1)*IF(Skills!G12&gt;0,Skills!H12/Skills!G12,1)+IF(Skills!G12&gt;0,MIN(Skills!H12,MAX(0,MAX(0,Inputs!$B$43-B298)-((R277-1)*IF(Inputs!$B$38="pvp",15,MAX(0.1,Skills!D12-IF(Skills!E12=TRUE,Inputs!$B$32,0))))))/Skills!G12,1)))/Inputs!$B$43),G277*Q277))*IF(Inputs!$B$38="pvp",1,(1+((Inputs!$B$21+1)+Skills!P12+B292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Skills!A13</f>
        <v/>
      </c>
      <c r="B278">
        <f>Skills!B13</f>
        <v/>
      </c>
      <c r="C278">
        <f>Inputs!$B$3&gt;=49</f>
        <v/>
      </c>
      <c r="D278">
        <f>IF(Skills!C13=1,60+Inputs!$B$25+Inputs!$B$29,IF(Skills!C13=2,90+Inputs!$B$26+Inputs!$B$29,IF(Skills!C13=3,120+Inputs!$B$27+Inputs!$B$29,MAX(0,(Inputs!$B$3-100)*3)+Inputs!$B$28+Inputs!$B$29)))</f>
        <v/>
      </c>
      <c r="E278">
        <f>INDEX(FactorTable!$B$2:$Y$301, MATCH(ROUND(MIN(300,MAX(1,D278)),0), FactorTable!$A$2:$A$301,0), Skills!L13+1)</f>
        <v/>
      </c>
      <c r="F278">
        <f>IF(Skills!M13=TRUE,(Skills!K13/10)*(E278/1000),Skills!K13/10)+Skills!N13</f>
        <v/>
      </c>
      <c r="G278">
        <f>Calc!G13</f>
        <v/>
      </c>
      <c r="H278">
        <f>Calc!H13</f>
        <v/>
      </c>
      <c r="I278">
        <f>IF(Skills!T13&lt;&gt;"",1+(Skills!T13/10)*(Z268/1000)/100,1)</f>
        <v/>
      </c>
      <c r="J278" t="inlineStr"/>
      <c r="K278" t="inlineStr"/>
      <c r="L278" t="inlineStr"/>
      <c r="M278" t="inlineStr"/>
      <c r="N278" t="inlineStr"/>
      <c r="O278">
        <f>(1-Summary!$B$11)*S278+Summary!$B$11*U278</f>
        <v/>
      </c>
      <c r="P278">
        <f>IF(B301=0,0,O278/B301)</f>
        <v/>
      </c>
      <c r="Q278">
        <f>IFERROR(1/IF(Inputs!$B$38="pvp",15,MAX(0.1,Skills!D13-IF(Skills!E13=TRUE,Inputs!$B$32,0))),0)</f>
        <v/>
      </c>
      <c r="R278" t="n">
        <v>0</v>
      </c>
      <c r="S278" t="n">
        <v>0</v>
      </c>
      <c r="U278" t="n">
        <v>0</v>
      </c>
    </row>
    <row r="279">
      <c r="A279">
        <f>Skills!A14</f>
        <v/>
      </c>
      <c r="B279">
        <f>Skills!B14</f>
        <v/>
      </c>
      <c r="C279">
        <f>Inputs!$B$3&gt;=72</f>
        <v/>
      </c>
      <c r="D279">
        <f>IF(Skills!C14=1,60+Inputs!$B$25+Inputs!$B$29,IF(Skills!C14=2,90+Inputs!$B$26+Inputs!$B$29,IF(Skills!C14=3,120+Inputs!$B$27+Inputs!$B$29,MAX(0,(Inputs!$B$3-100)*3)+Inputs!$B$28+Inputs!$B$29)))</f>
        <v/>
      </c>
      <c r="E279">
        <f>INDEX(FactorTable!$B$2:$Y$301, MATCH(ROUND(MIN(300,MAX(1,D279)),0), FactorTable!$A$2:$A$301,0), Skills!L14+1)</f>
        <v/>
      </c>
      <c r="F279">
        <f>IF(Skills!M14=TRUE,(Skills!K14/10)*(E279/1000),Skills!K14/10)+Skills!N14</f>
        <v/>
      </c>
      <c r="G279">
        <f>Calc!G14</f>
        <v/>
      </c>
      <c r="H279">
        <f>Calc!H14</f>
        <v/>
      </c>
      <c r="I279">
        <f>IF(Skills!T14&lt;&gt;"",1+(Skills!T14/10)*(Z268/1000)/100,1)</f>
        <v/>
      </c>
      <c r="J279" t="inlineStr"/>
      <c r="K279" t="inlineStr"/>
      <c r="L279" t="inlineStr"/>
      <c r="M279" t="inlineStr"/>
      <c r="N279" t="inlineStr"/>
      <c r="O279">
        <f>(1-Summary!$B$11)*S279+Summary!$B$11*U279</f>
        <v/>
      </c>
      <c r="P279">
        <f>IF(B301=0,0,O279/B301)</f>
        <v/>
      </c>
      <c r="Q279">
        <f>IFERROR(1/IF(Inputs!$B$38="pvp",15,MAX(0.1,Skills!D14-IF(Skills!E14=TRUE,Inputs!$B$32,0))),0)</f>
        <v/>
      </c>
      <c r="R279" t="n">
        <v>0</v>
      </c>
      <c r="S279" t="n">
        <v>0</v>
      </c>
      <c r="U279" t="n">
        <v>0</v>
      </c>
    </row>
    <row r="280">
      <c r="A280">
        <f>Skills!A15</f>
        <v/>
      </c>
      <c r="B280">
        <f>Skills!B15</f>
        <v/>
      </c>
      <c r="C280">
        <f>Inputs!$B$3&gt;=75</f>
        <v/>
      </c>
      <c r="D280">
        <f>IF(Skills!C15=1,60+Inputs!$B$25+Inputs!$B$29,IF(Skills!C15=2,90+Inputs!$B$26+Inputs!$B$29,IF(Skills!C15=3,120+Inputs!$B$27+Inputs!$B$29,MAX(0,(Inputs!$B$3-100)*3)+Inputs!$B$28+Inputs!$B$29)))</f>
        <v/>
      </c>
      <c r="E280">
        <f>INDEX(FactorTable!$B$2:$Y$301, MATCH(ROUND(MIN(300,MAX(1,D280)),0), FactorTable!$A$2:$A$301,0), Skills!L15+1)</f>
        <v/>
      </c>
      <c r="F280">
        <f>IF(Skills!M15=TRUE,(Skills!K15/10)*(E280/1000),Skills!K15/10)+Skills!N15</f>
        <v/>
      </c>
      <c r="G280">
        <f>Calc!G15</f>
        <v/>
      </c>
      <c r="H280">
        <f>Calc!H15</f>
        <v/>
      </c>
      <c r="I280">
        <f>IF(Skills!T15&lt;&gt;"",1+(Skills!T15/10)*(Z268/1000)/100,1)</f>
        <v/>
      </c>
      <c r="J280" t="inlineStr"/>
      <c r="K280" t="inlineStr"/>
      <c r="L280" t="inlineStr"/>
      <c r="M280" t="inlineStr"/>
      <c r="N280" t="inlineStr"/>
      <c r="O280">
        <f>(1-Summary!$B$11)*S280+Summary!$B$11*U280</f>
        <v/>
      </c>
      <c r="P280">
        <f>IF(B301=0,0,O280/B301)</f>
        <v/>
      </c>
      <c r="Q280">
        <f>IFERROR(1/IF(Inputs!$B$38="pvp",15,MAX(0.1,Skills!D15-IF(Skills!E15=TRUE,Inputs!$B$32,0))),0)</f>
        <v/>
      </c>
      <c r="R280" t="n">
        <v>0</v>
      </c>
      <c r="S280" t="n">
        <v>0</v>
      </c>
      <c r="U280" t="n">
        <v>0</v>
      </c>
    </row>
    <row r="281">
      <c r="A281">
        <f>Skills!A16</f>
        <v/>
      </c>
      <c r="B281">
        <f>Skills!B16</f>
        <v/>
      </c>
      <c r="C281">
        <f>Inputs!$B$3&gt;=110</f>
        <v/>
      </c>
      <c r="D281">
        <f>IF(Skills!C16=1,60+Inputs!$B$25+Inputs!$B$29,IF(Skills!C16=2,90+Inputs!$B$26+Inputs!$B$29,IF(Skills!C16=3,120+Inputs!$B$27+Inputs!$B$29,MAX(0,(Inputs!$B$3-100)*3)+Inputs!$B$28+Inputs!$B$29)))</f>
        <v/>
      </c>
      <c r="E281">
        <f>INDEX(FactorTable!$B$2:$Y$301, MATCH(ROUND(MIN(300,MAX(1,D281)),0), FactorTable!$A$2:$A$301,0), Skills!L16+1)</f>
        <v/>
      </c>
      <c r="F281">
        <f>(Skills!K16/10)*(E281/1000)*64/45+Skills!N16</f>
        <v/>
      </c>
      <c r="G281">
        <f>Calc!G16</f>
        <v/>
      </c>
      <c r="H281">
        <f>Calc!H16</f>
        <v/>
      </c>
      <c r="I281">
        <f>IF(Skills!T16&lt;&gt;"",1+(Skills!T16/10)*(Z268/1000)/100,1)</f>
        <v/>
      </c>
      <c r="J281" t="inlineStr"/>
      <c r="K281" t="inlineStr"/>
      <c r="L281" t="inlineStr"/>
      <c r="M281" t="inlineStr"/>
      <c r="N281" t="inlineStr"/>
      <c r="O281">
        <f>(1-Summary!$B$11)*S281+Summary!$B$11*U281</f>
        <v/>
      </c>
      <c r="P281">
        <f>IF(B301=0,0,O281/B301)</f>
        <v/>
      </c>
      <c r="Q281">
        <f>IFERROR(1/IF(Inputs!$B$38="pvp",15,MAX(0.1,Skills!D16-IF(Skills!E16=TRUE,Inputs!$B$32,0))),0)</f>
        <v/>
      </c>
      <c r="R281">
        <f>IF(AND(Inputs!$B$38&lt;&gt;"pvp",Inputs!$B$43&gt;0),IF(Inputs!$B$43&lt;=0,0,(INT(Inputs!$B$43/IF(Inputs!$B$38="pvp",15,MAX(0.1,Skills!D16-IF(Skills!E16=TRUE,Inputs!$B$32,0))))+1)),0)</f>
        <v/>
      </c>
      <c r="S281" t="n">
        <v>0</v>
      </c>
      <c r="U281" t="n">
        <v>0</v>
      </c>
    </row>
    <row r="282">
      <c r="A282">
        <f>Skills!A17</f>
        <v/>
      </c>
      <c r="B282">
        <f>Skills!B17</f>
        <v/>
      </c>
      <c r="C282">
        <f>Inputs!$B$3&gt;=33</f>
        <v/>
      </c>
      <c r="D282">
        <f>IF(Skills!C17=1,60+Inputs!$B$25+Inputs!$B$29,IF(Skills!C17=2,90+Inputs!$B$26+Inputs!$B$29,IF(Skills!C17=3,120+Inputs!$B$27+Inputs!$B$29,MAX(0,(Inputs!$B$3-100)*3)+Inputs!$B$28+Inputs!$B$29)))</f>
        <v/>
      </c>
      <c r="E282">
        <f>INDEX(FactorTable!$B$2:$Y$301, MATCH(ROUND(MIN(300,MAX(1,D282)),0), FactorTable!$A$2:$A$301,0), Skills!L17+1)</f>
        <v/>
      </c>
      <c r="F282">
        <f>IF(Skills!M17=TRUE,(Skills!K17/10)*(E282/1000),Skills!K17/10)+Skills!N17</f>
        <v/>
      </c>
      <c r="G282">
        <f>Calc!G17</f>
        <v/>
      </c>
      <c r="H282">
        <f>Calc!H17</f>
        <v/>
      </c>
      <c r="I282">
        <f>IF(Skills!T17&lt;&gt;"",1+(Skills!T17/10)*(Z268/1000)/100,1)</f>
        <v/>
      </c>
      <c r="J282" t="inlineStr"/>
      <c r="K282" t="inlineStr"/>
      <c r="L282" t="inlineStr"/>
      <c r="M282" t="inlineStr"/>
      <c r="N282" t="inlineStr"/>
      <c r="O282">
        <f>(1-Summary!$B$11)*S282+Summary!$B$11*U282</f>
        <v/>
      </c>
      <c r="P282">
        <f>IF(B301=0,0,O282/B301)</f>
        <v/>
      </c>
      <c r="Q282">
        <f>IFERROR(1/IF(Inputs!$B$38="pvp",15,MAX(0.1,Skills!D17-IF(Skills!E17=TRUE,Inputs!$B$32,0))),0)</f>
        <v/>
      </c>
      <c r="R282" t="n">
        <v>0</v>
      </c>
      <c r="S282" t="n">
        <v>0</v>
      </c>
      <c r="U282" t="n">
        <v>0</v>
      </c>
    </row>
    <row r="283">
      <c r="A283">
        <f>Skills!A18</f>
        <v/>
      </c>
      <c r="B283">
        <f>Skills!B18</f>
        <v/>
      </c>
      <c r="C283">
        <f>Inputs!$B$3&gt;=43</f>
        <v/>
      </c>
      <c r="D283">
        <f>IF(Skills!C18=1,60+Inputs!$B$25+Inputs!$B$29,IF(Skills!C18=2,90+Inputs!$B$26+Inputs!$B$29,IF(Skills!C18=3,120+Inputs!$B$27+Inputs!$B$29,MAX(0,(Inputs!$B$3-100)*3)+Inputs!$B$28+Inputs!$B$29)))</f>
        <v/>
      </c>
      <c r="E283">
        <f>INDEX(FactorTable!$B$2:$Y$301, MATCH(ROUND(MIN(300,MAX(1,D283)),0), FactorTable!$A$2:$A$301,0), Skills!L18+1)</f>
        <v/>
      </c>
      <c r="F283">
        <f>IF(Skills!M18=TRUE,(Skills!K18/10)*(E283/1000),Skills!K18/10)+Skills!N18</f>
        <v/>
      </c>
      <c r="G283">
        <f>Calc!G18</f>
        <v/>
      </c>
      <c r="H283">
        <f>Calc!H18</f>
        <v/>
      </c>
      <c r="I283">
        <f>IF(Skills!T18&lt;&gt;"",1+(Skills!T18/10)*(Z268/1000)/100,1)</f>
        <v/>
      </c>
      <c r="J283" t="inlineStr"/>
      <c r="K283" t="inlineStr"/>
      <c r="L283" t="inlineStr"/>
      <c r="M283" t="inlineStr"/>
      <c r="N283" t="inlineStr"/>
      <c r="O283">
        <f>(1-Summary!$B$11)*S283+Summary!$B$11*U283</f>
        <v/>
      </c>
      <c r="P283">
        <f>IF(B301=0,0,O283/B301)</f>
        <v/>
      </c>
      <c r="Q283">
        <f>IFERROR(1/IF(Inputs!$B$38="pvp",15,MAX(0.1,Skills!D18-IF(Skills!E18=TRUE,Inputs!$B$32,0))),0)</f>
        <v/>
      </c>
      <c r="R283" t="n">
        <v>0</v>
      </c>
      <c r="S283" t="n">
        <v>0</v>
      </c>
      <c r="U283" t="n">
        <v>0</v>
      </c>
    </row>
    <row r="284">
      <c r="A284">
        <f>Skills!A19</f>
        <v/>
      </c>
      <c r="B284">
        <f>Skills!B19</f>
        <v/>
      </c>
      <c r="C284">
        <f>Inputs!$B$3&gt;=50</f>
        <v/>
      </c>
      <c r="D284">
        <f>IF(Skills!C19=1,60+Inputs!$B$25+Inputs!$B$29,IF(Skills!C19=2,90+Inputs!$B$26+Inputs!$B$29,IF(Skills!C19=3,120+Inputs!$B$27+Inputs!$B$29,MAX(0,(Inputs!$B$3-100)*3)+Inputs!$B$28+Inputs!$B$29)))</f>
        <v/>
      </c>
      <c r="E284">
        <f>INDEX(FactorTable!$B$2:$Y$301, MATCH(ROUND(MIN(300,MAX(1,D284)),0), FactorTable!$A$2:$A$301,0), Skills!L19+1)</f>
        <v/>
      </c>
      <c r="F284">
        <f>IF(Skills!M19=TRUE,(Skills!K19/10)*(E284/1000),Skills!K19/10)+Skills!N19</f>
        <v/>
      </c>
      <c r="G284">
        <f>Calc!G19</f>
        <v/>
      </c>
      <c r="H284">
        <f>Calc!H19</f>
        <v/>
      </c>
      <c r="I284">
        <f>IF(Skills!T19&lt;&gt;"",1+(Skills!T19/10)*(Z268/1000)/100,1)</f>
        <v/>
      </c>
      <c r="J284" t="inlineStr"/>
      <c r="K284" t="inlineStr"/>
      <c r="L284" t="inlineStr"/>
      <c r="M284" t="inlineStr"/>
      <c r="N284" t="inlineStr"/>
      <c r="O284">
        <f>(1-Summary!$B$11)*S284+Summary!$B$11*U284</f>
        <v/>
      </c>
      <c r="P284">
        <f>IF(B301=0,0,O284/B301)</f>
        <v/>
      </c>
      <c r="Q284">
        <f>IFERROR(1/IF(Inputs!$B$38="pvp",15,MAX(0.1,Skills!D19-IF(Skills!E19=TRUE,Inputs!$B$32,0))),0)</f>
        <v/>
      </c>
      <c r="R284" t="n">
        <v>0</v>
      </c>
      <c r="S284" t="n">
        <v>0</v>
      </c>
      <c r="U284" t="n">
        <v>0</v>
      </c>
    </row>
    <row r="285">
      <c r="A285">
        <f>Skills!A20</f>
        <v/>
      </c>
      <c r="B285">
        <f>Skills!B20</f>
        <v/>
      </c>
      <c r="C285">
        <f>Inputs!$B$3&gt;=74</f>
        <v/>
      </c>
      <c r="D285">
        <f>IF(Skills!C20=1,60+Inputs!$B$25+Inputs!$B$29,IF(Skills!C20=2,90+Inputs!$B$26+Inputs!$B$29,IF(Skills!C20=3,120+Inputs!$B$27+Inputs!$B$29,MAX(0,(Inputs!$B$3-100)*3)+Inputs!$B$28+Inputs!$B$29)))</f>
        <v/>
      </c>
      <c r="E285">
        <f>INDEX(FactorTable!$B$2:$Y$301, MATCH(ROUND(MIN(300,MAX(1,D285)),0), FactorTable!$A$2:$A$301,0), Skills!L20+1)</f>
        <v/>
      </c>
      <c r="F285">
        <f>IF(Skills!M20=TRUE,(Skills!K20/10)*(E285/1000),Skills!K20/10)+Skills!N20</f>
        <v/>
      </c>
      <c r="G285">
        <f>Calc!G20</f>
        <v/>
      </c>
      <c r="H285">
        <f>Calc!H20</f>
        <v/>
      </c>
      <c r="I285">
        <f>IF(Skills!T20&lt;&gt;"",1+(Skills!T20/10)*(Z268/1000)/100,1)</f>
        <v/>
      </c>
      <c r="J285" t="inlineStr"/>
      <c r="K285" t="inlineStr"/>
      <c r="L285" t="inlineStr"/>
      <c r="M285" t="inlineStr"/>
      <c r="N285" t="inlineStr"/>
      <c r="O285">
        <f>(1-Summary!$B$11)*S285+Summary!$B$11*U285</f>
        <v/>
      </c>
      <c r="P285">
        <f>IF(B301=0,0,O285/B301)</f>
        <v/>
      </c>
      <c r="Q285">
        <f>IFERROR(1/IF(Inputs!$B$38="pvp",15,MAX(0.1,Skills!D20-IF(Skills!E20=TRUE,Inputs!$B$32,0))),0)</f>
        <v/>
      </c>
      <c r="R285" t="n">
        <v>0</v>
      </c>
      <c r="S285" t="n">
        <v>0</v>
      </c>
      <c r="U285" t="n">
        <v>0</v>
      </c>
    </row>
    <row r="286">
      <c r="A286">
        <f>Skills!A21</f>
        <v/>
      </c>
      <c r="B286">
        <f>Skills!B21</f>
        <v/>
      </c>
      <c r="C286">
        <f>Inputs!$B$3&gt;=74</f>
        <v/>
      </c>
      <c r="D286">
        <f>IF(Skills!C21=1,60+Inputs!$B$25+Inputs!$B$29,IF(Skills!C21=2,90+Inputs!$B$26+Inputs!$B$29,IF(Skills!C21=3,120+Inputs!$B$27+Inputs!$B$29,MAX(0,(Inputs!$B$3-100)*3)+Inputs!$B$28+Inputs!$B$29)))</f>
        <v/>
      </c>
      <c r="E286">
        <f>INDEX(FactorTable!$B$2:$Y$301, MATCH(ROUND(MIN(300,MAX(1,D286)),0), FactorTable!$A$2:$A$301,0), Skills!L21+1)</f>
        <v/>
      </c>
      <c r="F286">
        <f>IF(Skills!M21=TRUE,(Skills!K21/10)*(E286/1000),Skills!K21/10)+Skills!N21</f>
        <v/>
      </c>
      <c r="G286">
        <f>Calc!G21</f>
        <v/>
      </c>
      <c r="H286">
        <f>Calc!H21</f>
        <v/>
      </c>
      <c r="I286">
        <f>IF(Skills!T21&lt;&gt;"",1+(Skills!T21/10)*(Z268/1000)/100,1)</f>
        <v/>
      </c>
      <c r="J286" t="inlineStr"/>
      <c r="K286" t="inlineStr"/>
      <c r="L286" t="inlineStr"/>
      <c r="M286" t="inlineStr"/>
      <c r="N286" t="inlineStr"/>
      <c r="O286">
        <f>(1-Summary!$B$11)*S286+Summary!$B$11*U286</f>
        <v/>
      </c>
      <c r="P286">
        <f>IF(B301=0,0,O286/B301)</f>
        <v/>
      </c>
      <c r="Q286">
        <f>IFERROR(1/IF(Inputs!$B$38="pvp",15,MAX(0.1,Skills!D21-IF(Skills!E21=TRUE,Inputs!$B$32,0))),0)</f>
        <v/>
      </c>
      <c r="R286" t="n">
        <v>0</v>
      </c>
      <c r="S286" t="n">
        <v>0</v>
      </c>
      <c r="U286" t="n">
        <v>0</v>
      </c>
    </row>
    <row r="287">
      <c r="A287">
        <f>Skills!A22</f>
        <v/>
      </c>
      <c r="B287">
        <f>Skills!B22</f>
        <v/>
      </c>
      <c r="C287">
        <f>Inputs!$B$3&gt;=117</f>
        <v/>
      </c>
      <c r="D287">
        <f>IF(Skills!C22=1,60+Inputs!$B$25+Inputs!$B$29,IF(Skills!C22=2,90+Inputs!$B$26+Inputs!$B$29,IF(Skills!C22=3,120+Inputs!$B$27+Inputs!$B$29,MAX(0,(Inputs!$B$3-100)*3)+Inputs!$B$28+Inputs!$B$29)))</f>
        <v/>
      </c>
      <c r="E287">
        <f>INDEX(FactorTable!$B$2:$Y$301, MATCH(ROUND(MIN(300,MAX(1,D287)),0), FactorTable!$A$2:$A$301,0), Skills!L22+1)</f>
        <v/>
      </c>
      <c r="F287">
        <f>IF(Skills!M22=TRUE,(Skills!K22/10)*(E287/1000),Skills!K22/10)+Skills!N22</f>
        <v/>
      </c>
      <c r="G287">
        <f>Calc!G22</f>
        <v/>
      </c>
      <c r="H287">
        <f>Calc!H22</f>
        <v/>
      </c>
      <c r="I287">
        <f>IF(Skills!T22&lt;&gt;"",1+(Skills!T22/10)*(Z268/1000)/100,1)</f>
        <v/>
      </c>
      <c r="J287" t="inlineStr"/>
      <c r="K287" t="inlineStr"/>
      <c r="L287" t="inlineStr"/>
      <c r="M287" t="inlineStr"/>
      <c r="N287" t="inlineStr"/>
      <c r="O287">
        <f>(1-Summary!$B$11)*S287+Summary!$B$11*U287</f>
        <v/>
      </c>
      <c r="P287">
        <f>IF(B301=0,0,O287/B301)</f>
        <v/>
      </c>
      <c r="Q287">
        <f>IFERROR(1/IF(Inputs!$B$38="pvp",15,MAX(0.1,Skills!D22-IF(Skills!E22=TRUE,Inputs!$B$32,0))),0)</f>
        <v/>
      </c>
      <c r="R287" t="n">
        <v>0</v>
      </c>
      <c r="S287" t="n">
        <v>0</v>
      </c>
      <c r="U287" t="n">
        <v>0</v>
      </c>
    </row>
    <row r="288">
      <c r="A288">
        <f>Skills!A23</f>
        <v/>
      </c>
      <c r="B288">
        <f>Skills!B23</f>
        <v/>
      </c>
      <c r="C288">
        <f>Inputs!$B$3&gt;=120</f>
        <v/>
      </c>
      <c r="D288">
        <f>IF(Skills!C23=1,60+Inputs!$B$25+Inputs!$B$29,IF(Skills!C23=2,90+Inputs!$B$26+Inputs!$B$29,IF(Skills!C23=3,120+Inputs!$B$27+Inputs!$B$29,MAX(0,(Inputs!$B$3-100)*3)+Inputs!$B$28+Inputs!$B$29)))</f>
        <v/>
      </c>
      <c r="E288">
        <f>INDEX(FactorTable!$B$2:$Y$301, MATCH(ROUND(MIN(300,MAX(1,D288)),0), FactorTable!$A$2:$A$301,0), Skills!L23+1)</f>
        <v/>
      </c>
      <c r="F288">
        <f>IF(Skills!M23=TRUE,(Skills!K23/10)*(E288/1000),Skills!K23/10)+Skills!N23</f>
        <v/>
      </c>
      <c r="G288">
        <f>Calc!G23</f>
        <v/>
      </c>
      <c r="H288">
        <f>Calc!H23</f>
        <v/>
      </c>
      <c r="I288">
        <f>IF(Skills!T23&lt;&gt;"",1+(Skills!T23/10)*(Z268/1000)/100,1)</f>
        <v/>
      </c>
      <c r="J288" t="inlineStr"/>
      <c r="K288" t="inlineStr"/>
      <c r="L288" t="inlineStr"/>
      <c r="M288" t="inlineStr"/>
      <c r="N288" t="inlineStr"/>
      <c r="O288">
        <f>(1-Summary!$B$11)*S288+Summary!$B$11*U288</f>
        <v/>
      </c>
      <c r="P288">
        <f>IF(B301=0,0,O288/B301)</f>
        <v/>
      </c>
      <c r="Q288">
        <f>IFERROR(1/IF(Inputs!$B$38="pvp",15,MAX(0.1,Skills!D23-IF(Skills!E23=TRUE,Inputs!$B$32,0))),0)</f>
        <v/>
      </c>
      <c r="R288" t="n">
        <v>0</v>
      </c>
      <c r="S288" t="n">
        <v>0</v>
      </c>
      <c r="U288" t="n">
        <v>0</v>
      </c>
    </row>
    <row r="291">
      <c r="A291" t="inlineStr">
        <is>
          <t>Average Buff Multiplier (Magic Guard + Meditation + Artifact Attack%, summed; then Infinity)</t>
        </is>
      </c>
      <c r="B291">
        <f>(1+(IF(C268=TRUE,F268*IF(AND(Inputs!$B$38&lt;&gt;"pvp",Inputs!$B$43&gt;0),(((R268-1)*(Skills!S3*(1+(Inputs!$B$34+IF(Inputs!$B$3&gt;=117,F287,0))/100))+MIN((Skills!S3*(1+(Inputs!$B$34+IF(Inputs!$B$3&gt;=117,F287,0))/100)),MAX(0,Inputs!$B$43-((R268-1)*Skills!D3))))/Inputs!$B$43),IF(Inputs!$B$38="pvp",MIN((Skills!S3*(1+(Inputs!$B$34+IF(Inputs!$B$3&gt;=117,F287,0))/100)),15)/15,(Skills!S3*(1+(Inputs!$B$34+IF(Inputs!$B$3&gt;=117,F287,0))/100))/Skills!D3)),0)+IF(C269=TRUE,F269*IF(AND(Inputs!$B$38&lt;&gt;"pvp",Inputs!$B$43&gt;0),(((R269-1)*(Skills!S4*(1+(Inputs!$B$34+IF(Inputs!$B$3&gt;=117,F287,0))/100))+MIN((Skills!S4*(1+(Inputs!$B$34+IF(Inputs!$B$3&gt;=117,F287,0))/100)),MAX(0,Inputs!$B$43-((R269-1)*Skills!D4))))/Inputs!$B$43),IF(Inputs!$B$38="pvp",MIN((Skills!S4*(1+(Inputs!$B$34+IF(Inputs!$B$3&gt;=117,F287,0))/100)),15)/15,(Skills!S4*(1+(Inputs!$B$34+IF(Inputs!$B$3&gt;=117,F287,0)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281=TRUE,(1+F281*IF(AND(Inputs!$B$38&lt;&gt;"pvp",Inputs!$B$43&gt;0),(((R281-1)*(Skills!S16*(1+(Inputs!$B$34+IF(Inputs!$B$3&gt;=117,F287,0))/100))+MIN((Skills!S16*(1+(Inputs!$B$34+IF(Inputs!$B$3&gt;=117,F287,0))/100)),MAX(0,Inputs!$B$43-((R281-1)*Skills!D16))))/Inputs!$B$43),IF(Inputs!$B$38="pvp",MIN((Skills!S16*(1+(Inputs!$B$34+IF(Inputs!$B$3&gt;=117,F287,0))/100)),15)/15,(Skills!S16*(1+(Inputs!$B$34+IF(Inputs!$B$3&gt;=117,F287,0))/100))/Skills!D16))/100),1)</f>
        <v/>
      </c>
    </row>
    <row r="292">
      <c r="A292" t="inlineStr">
        <is>
          <t>Monster Damage Taken Bonus % (Freezing Breath - Weaken + Elemental Reset + Artifact Enemy Damage Taken, summed)</t>
        </is>
      </c>
      <c r="B292">
        <f>IF(Inputs!$B$3&gt;=118,15*IF(Inputs!$B$38="pvp",MIN((30*(1+(Inputs!$B$34+IF(Inputs!$B$3&gt;=117,F287,0))/100)),15)/15,(30*(1+(Inputs!$B$34+IF(Inputs!$B$3&gt;=117,F287,0))/100))/Skills!D8),0)+IF(C279=TRUE,F279,0)+(IF(AND(ArtifactsInput!$M$35,Inputs!$B$4&lt;&gt;"Chapter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f>
        <v/>
      </c>
    </row>
    <row r="293">
      <c r="A293" t="inlineStr">
        <is>
          <t>Damage % Bonus (Frozen Break + Frost Clutch, flat)</t>
        </is>
      </c>
      <c r="B293">
        <f>IF(Inputs!$B$3&gt;=66,15,0)+IF(Inputs!$B$3&gt;=98,10,0)+IF(Inputs!$B$3&gt;=125,20,0)</f>
        <v/>
      </c>
    </row>
    <row r="294">
      <c r="A294" t="inlineStr">
        <is>
          <t>Attack Speed Bonus % (MP Eater - MP Boost, always-on once unlocked)</t>
        </is>
      </c>
      <c r="B294">
        <f>IF(C278=TRUE,F278+(F282-Calc!F17),0)</f>
        <v/>
      </c>
    </row>
    <row r="295">
      <c r="A295" t="inlineStr">
        <is>
          <t>Actions Per Second</t>
        </is>
      </c>
      <c r="B295">
        <f>1+MIN(150,150*(1-(1-(Inputs!$B$11+(ArtifactsInput!$M$15-ArtifactsInput!$M$15)*CHOOSE(ArtifactsInput!$N$15+1,8,9.6,11.2,12.8,14.4,16))/150)*(1-B294/150)))/100</f>
        <v/>
      </c>
    </row>
    <row r="296">
      <c r="A296" t="inlineStr">
        <is>
          <t>Skill + Buff Cast Rate</t>
        </is>
      </c>
      <c r="B296">
        <f>IF(AND(Inputs!$B$38&lt;&gt;"pvp",Inputs!$B$43&gt;0),SUMPRODUCT((Skills!E2:E23=TRUE)*(C267:C288=TRUE)*R267:R288)/Inputs!$B$43,SUMPRODUCT((Skills!E2:E23=TRUE)*(C267:C288=TRUE)*Q267:Q288))</f>
        <v/>
      </c>
    </row>
    <row r="297">
      <c r="A297" t="inlineStr">
        <is>
          <t>Chain Lightning Casts Per Second</t>
        </is>
      </c>
      <c r="B297">
        <f>MAX(0,B295-B296)</f>
        <v/>
      </c>
    </row>
    <row r="298">
      <c r="A298" t="inlineStr">
        <is>
          <t>Buff-Casting Startup Delay (s, fixed-duration only)</t>
        </is>
      </c>
      <c r="B298">
        <f>IF(AND(Inputs!$B$38&lt;&gt;"pvp",Inputs!$B$43&gt;0),SUMPRODUCT((Skills!S2:S23&gt;0)*(Skills!E2:E23=TRUE)*(C267:C288=TRUE))/B295,0)</f>
        <v/>
      </c>
    </row>
    <row r="299">
      <c r="A299" t="inlineStr">
        <is>
          <t>Boss-Only Total DPS (this block's swept value)</t>
        </is>
      </c>
      <c r="B299">
        <f>SUM(S267:S288)</f>
        <v/>
      </c>
    </row>
    <row r="300">
      <c r="A300" t="inlineStr">
        <is>
          <t>Normal-Only Total DPS (this block's swept value)</t>
        </is>
      </c>
      <c r="B300">
        <f>SUM(U267:U288)</f>
        <v/>
      </c>
    </row>
    <row r="301">
      <c r="A301" s="6" t="inlineStr">
        <is>
          <t>TOTAL DPS</t>
        </is>
      </c>
      <c r="B301" s="6">
        <f>SUM(O267:O288)</f>
        <v/>
      </c>
    </row>
    <row r="304">
      <c r="A304" s="6" t="inlineStr">
        <is>
          <t>Stat: FINAL_DAMAGE % (multiplicative source)</t>
        </is>
      </c>
    </row>
    <row r="305">
      <c r="A305" s="5" t="inlineStr">
        <is>
          <t>Key</t>
        </is>
      </c>
      <c r="B305" s="5" t="inlineStr">
        <is>
          <t>Name</t>
        </is>
      </c>
      <c r="C305" s="5" t="inlineStr">
        <is>
          <t>Unlocked</t>
        </is>
      </c>
      <c r="D305" s="5" t="inlineStr">
        <is>
          <t>InputLevel</t>
        </is>
      </c>
      <c r="E305" s="5" t="inlineStr">
        <is>
          <t>Factor</t>
        </is>
      </c>
      <c r="F305" s="5" t="inlineStr">
        <is>
          <t>CoefficientPercent</t>
        </is>
      </c>
      <c r="G305" s="5" t="inlineStr">
        <is>
          <t>EffectiveHits</t>
        </is>
      </c>
      <c r="H305" s="5" t="inlineStr">
        <is>
          <t>ProcProbability</t>
        </is>
      </c>
      <c r="I305" s="5" t="inlineStr">
        <is>
          <t>MapleHeroMultiplier</t>
        </is>
      </c>
      <c r="J305" s="5" t="inlineStr">
        <is>
          <t>BaseDamage</t>
        </is>
      </c>
      <c r="K305" s="5" t="inlineStr">
        <is>
          <t>BaseHitDamage</t>
        </is>
      </c>
      <c r="L305" s="5" t="inlineStr">
        <is>
          <t>NonCritAvg</t>
        </is>
      </c>
      <c r="M305" s="5" t="inlineStr">
        <is>
          <t>CritAvg</t>
        </is>
      </c>
      <c r="N305" s="5" t="inlineStr">
        <is>
          <t>ExpectedDamage(perHit)</t>
        </is>
      </c>
      <c r="O305" s="5" t="inlineStr">
        <is>
          <t>DPS</t>
        </is>
      </c>
      <c r="P305" s="5" t="inlineStr">
        <is>
          <t>% of Total</t>
        </is>
      </c>
      <c r="R305" t="inlineStr">
        <is>
          <t>helpers</t>
        </is>
      </c>
    </row>
    <row r="306">
      <c r="A306">
        <f>Skills!A2</f>
        <v/>
      </c>
      <c r="B306">
        <f>Skills!B2</f>
        <v/>
      </c>
      <c r="C306">
        <f>Inputs!$B$3&gt;=100</f>
        <v/>
      </c>
      <c r="D306" t="inlineStr"/>
      <c r="E306" t="inlineStr"/>
      <c r="F306">
        <f>T308+Skills!N2</f>
        <v/>
      </c>
      <c r="G306">
        <f>Calc!G2</f>
        <v/>
      </c>
      <c r="H306">
        <f>Calc!H2</f>
        <v/>
      </c>
      <c r="I306">
        <f>IF(Skills!T2&lt;&gt;"",1+(Skills!T2/10)*(Z307/1000)/100,1)</f>
        <v/>
      </c>
      <c r="J306">
        <f>((Inputs!$B$6*(1+Inputs!$B$7/100))+(((Inputs!$B$12*(1+Inputs!$B$13/100))-(Inputs!$B$12*(1+Inputs!$B$13/100)))+0.25*(Inputs!$B$14-Inputs!$B$14))*(1+Inputs!$B$7/100))*(F306/100)</f>
        <v/>
      </c>
      <c r="K306">
        <f>J306*(1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322-Calc!F18),(Inputs!$B$23+(IF(ArtifactsInput!$M$15,CHOOSE(ArtifactsInput!$N$15+1,25,30,35,40,45,50)/100*(Inputs!$B$11-Inputs!$B$11),0))))/100+(Inputs!$B$23+(IF(ArtifactsInput!$M$15,CHOOSE(ArtifactsInput!$N$15+1,25,30,35,40,45,50)/100*(Inputs!$B$11-Inputs!$B$11),0)))/100)/2</f>
        <v/>
      </c>
      <c r="M306">
        <f>L306*(1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IF(B340=0,0,O306/B340)</f>
        <v/>
      </c>
      <c r="Q306">
        <f>IFERROR(1/IF(Inputs!$B$38="pvp",15,MAX(0.1,Skills!D2-IF(Skills!E2=TRUE,Inputs!$B$32,0))),0)</f>
        <v/>
      </c>
      <c r="R306" t="n">
        <v>0</v>
      </c>
      <c r="S306">
        <f>IF(C306,(Skills!F2*N306*B336)*IF(Inputs!$B$38="pvp",1,1+(Inputs!$B$20+Skills!O2+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6">
        <f>MAX(0,(Inputs!$B$3-100)*3)+Inputs!$B$28+Inputs!$B$29</f>
        <v/>
      </c>
      <c r="U306">
        <f>IF(C306,(Skills!F2*N306*B336)*IF(Inputs!$B$38="pvp",1,(1+(Inputs!$B$21+Skills!P2+B331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6">
        <f>MAX(0,(Inputs!$B$3-100)*3)+Inputs!$B$28+Inputs!$B$29</f>
        <v/>
      </c>
    </row>
    <row r="307">
      <c r="A307">
        <f>Skills!A3</f>
        <v/>
      </c>
      <c r="B307">
        <f>Skills!B3</f>
        <v/>
      </c>
      <c r="C307">
        <f>Inputs!$B$3&gt;=15</f>
        <v/>
      </c>
      <c r="D307">
        <f>IF(Skills!C3=1,60+Inputs!$B$25+Inputs!$B$29,IF(Skills!C3=2,90+Inputs!$B$26+Inputs!$B$29,IF(Skills!C3=3,120+Inputs!$B$27+Inputs!$B$29,MAX(0,(Inputs!$B$3-100)*3)+Inputs!$B$28+Inputs!$B$29)))</f>
        <v/>
      </c>
      <c r="E307">
        <f>INDEX(FactorTable!$B$2:$Y$301, MATCH(ROUND(MIN(300,MAX(1,D307)),0), FactorTable!$A$2:$A$301,0), Skills!L3+1)</f>
        <v/>
      </c>
      <c r="F307">
        <f>IF(Skills!M3=TRUE,(Skills!K3/10)*(E307/1000),Skills!K3/10)+Skills!N3</f>
        <v/>
      </c>
      <c r="G307">
        <f>Calc!G3</f>
        <v/>
      </c>
      <c r="H307">
        <f>Calc!H3</f>
        <v/>
      </c>
      <c r="I307">
        <f>IF(Skills!T3&lt;&gt;"",1+(Skills!T3/10)*(Z307/1000)/100,1)</f>
        <v/>
      </c>
      <c r="J307" t="inlineStr"/>
      <c r="K307" t="inlineStr"/>
      <c r="L307" t="inlineStr"/>
      <c r="M307" t="inlineStr"/>
      <c r="N307" t="inlineStr"/>
      <c r="O307">
        <f>(1-Summary!$B$11)*S307+Summary!$B$11*U307</f>
        <v/>
      </c>
      <c r="P307">
        <f>IF(B340=0,0,O307/B340)</f>
        <v/>
      </c>
      <c r="Q307">
        <f>IFERROR(1/IF(Inputs!$B$38="pvp",15,MAX(0.1,Skills!D3-IF(Skills!E3=TRUE,Inputs!$B$32,0))),0)</f>
        <v/>
      </c>
      <c r="R307">
        <f>IF(AND(Inputs!$B$38&lt;&gt;"pvp",Inputs!$B$43&gt;0),IF(Inputs!$B$43&lt;=0,0,(INT(Inputs!$B$43/IF(Inputs!$B$38="pvp",15,MAX(0.1,Skills!D3-IF(Skills!E3=TRUE,Inputs!$B$32,0))))+1)),0)</f>
        <v/>
      </c>
      <c r="S307" t="n">
        <v>0</v>
      </c>
      <c r="T307">
        <f>INDEX(FactorTable!$B$2:$Y$301, MATCH(ROUND(MIN(300,MAX(1,T306)),0), FactorTable!$A$2:$A$301,0), 22)</f>
        <v/>
      </c>
      <c r="U307" t="n">
        <v>0</v>
      </c>
      <c r="Z307">
        <f>INDEX(FactorTable!$B$2:$Y$301, MATCH(ROUND(MIN(300,MAX(1,Z306)),0), FactorTable!$A$2:$A$301,0), 24)</f>
        <v/>
      </c>
    </row>
    <row r="308">
      <c r="A308">
        <f>Skills!A4</f>
        <v/>
      </c>
      <c r="B308">
        <f>Skills!B4</f>
        <v/>
      </c>
      <c r="C308">
        <f>Inputs!$B$3&gt;=40</f>
        <v/>
      </c>
      <c r="D308">
        <f>IF(Skills!C4=1,60+Inputs!$B$25+Inputs!$B$29,IF(Skills!C4=2,90+Inputs!$B$26+Inputs!$B$29,IF(Skills!C4=3,120+Inputs!$B$27+Inputs!$B$29,MAX(0,(Inputs!$B$3-100)*3)+Inputs!$B$28+Inputs!$B$29)))</f>
        <v/>
      </c>
      <c r="E308">
        <f>INDEX(FactorTable!$B$2:$Y$301, MATCH(ROUND(MIN(300,MAX(1,D308)),0), FactorTable!$A$2:$A$301,0), Skills!L4+1)</f>
        <v/>
      </c>
      <c r="F308">
        <f>IF(Skills!M4=TRUE,(Skills!K4/10)*(E308/1000),Skills!K4/10)+Skills!N4</f>
        <v/>
      </c>
      <c r="G308">
        <f>Calc!G4</f>
        <v/>
      </c>
      <c r="H308">
        <f>Calc!H4</f>
        <v/>
      </c>
      <c r="I308">
        <f>IF(Skills!T4&lt;&gt;"",1+(Skills!T4/10)*(Z307/1000)/100,1)</f>
        <v/>
      </c>
      <c r="J308" t="inlineStr"/>
      <c r="K308" t="inlineStr"/>
      <c r="L308" t="inlineStr"/>
      <c r="M308" t="inlineStr"/>
      <c r="N308" t="inlineStr"/>
      <c r="O308">
        <f>(1-Summary!$B$11)*S308+Summary!$B$11*U308</f>
        <v/>
      </c>
      <c r="P308">
        <f>IF(B340=0,0,O308/B340)</f>
        <v/>
      </c>
      <c r="Q308">
        <f>IFERROR(1/IF(Inputs!$B$38="pvp",15,MAX(0.1,Skills!D4-IF(Skills!E4=TRUE,Inputs!$B$32,0))),0)</f>
        <v/>
      </c>
      <c r="R308">
        <f>IF(AND(Inputs!$B$38&lt;&gt;"pvp",Inputs!$B$43&gt;0),IF(Inputs!$B$43&lt;=0,0,(INT(Inputs!$B$43/IF(Inputs!$B$38="pvp",15,MAX(0.1,Skills!D4-IF(Skills!E4=TRUE,Inputs!$B$32,0))))+1)),0)</f>
        <v/>
      </c>
      <c r="S308" t="n">
        <v>0</v>
      </c>
      <c r="T308">
        <f>290*T307/1000</f>
        <v/>
      </c>
      <c r="U308" t="n">
        <v>0</v>
      </c>
    </row>
    <row r="309">
      <c r="A309">
        <f>Skills!A5</f>
        <v/>
      </c>
      <c r="B309">
        <f>Skills!B5</f>
        <v/>
      </c>
      <c r="C309">
        <f>Inputs!$B$3&gt;=38</f>
        <v/>
      </c>
      <c r="D309">
        <f>IF(Skills!C5=1,60+Inputs!$B$25+Inputs!$B$29,IF(Skills!C5=2,90+Inputs!$B$26+Inputs!$B$29,IF(Skills!C5=3,120+Inputs!$B$27+Inputs!$B$29,MAX(0,(Inputs!$B$3-100)*3)+Inputs!$B$28+Inputs!$B$29)))</f>
        <v/>
      </c>
      <c r="E309">
        <f>INDEX(FactorTable!$B$2:$Y$301, MATCH(ROUND(MIN(300,MAX(1,D309)),0), FactorTable!$A$2:$A$301,0), Skills!L5+1)</f>
        <v/>
      </c>
      <c r="F309">
        <f>IF(Skills!M5=TRUE,(Skills!K5/10)*(E309/1000),Skills!K5/10)+Skills!N5</f>
        <v/>
      </c>
      <c r="G309">
        <f>Calc!G5</f>
        <v/>
      </c>
      <c r="H309">
        <f>Calc!H5</f>
        <v/>
      </c>
      <c r="I309">
        <f>IF(Skills!T5&lt;&gt;"",1+(Skills!T5/10)*(Z307/1000)/100,1)</f>
        <v/>
      </c>
      <c r="J309">
        <f>((Inputs!$B$6*(1+Inputs!$B$7/100))+(((Inputs!$B$12*(1+Inputs!$B$13/100))-(Inputs!$B$12*(1+Inputs!$B$13/100)))+0.25*(Inputs!$B$14-Inputs!$B$14))*(1+Inputs!$B$7/100))*(F309/100)</f>
        <v/>
      </c>
      <c r="K309">
        <f>J309*(1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F322-Calc!F18),(Inputs!$B$23+(IF(ArtifactsInput!$M$15,CHOOSE(ArtifactsInput!$N$15+1,25,30,35,40,45,50)/100*(Inputs!$B$11-Inputs!$B$11),0))))/100+(Inputs!$B$23+(IF(ArtifactsInput!$M$15,CHOOSE(ArtifactsInput!$N$15+1,25,30,35,40,45,50)/100*(Inputs!$B$11-Inputs!$B$11),0)))/100)/2</f>
        <v/>
      </c>
      <c r="M309">
        <f>L309*(1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(1-Summary!$B$11)*S309+Summary!$B$11*U309</f>
        <v/>
      </c>
      <c r="P309">
        <f>IF(B340=0,0,O309/B340)</f>
        <v/>
      </c>
      <c r="Q309">
        <f>IFERROR(1/IF(Inputs!$B$38="pvp",15,MAX(0.1,Skills!D5-IF(Skills!E5=TRUE,Inputs!$B$32,0))),0)</f>
        <v/>
      </c>
      <c r="R309">
        <f>IF(AND(Inputs!$B$38&lt;&gt;"pvp",Inputs!$B$43&gt;0),IF(MAX(0,Inputs!$B$43-B337)&lt;=0,0,(INT(MAX(0,Inputs!$B$43-B337)/IF(Inputs!$B$38="pvp",15,MAX(0.1,Skills!D5-IF(Skills!E5=TRUE,Inputs!$B$32,0))))+1)),0)</f>
        <v/>
      </c>
      <c r="S309">
        <f>IF(C309,(H309*N309*IF(AND(Inputs!$B$38&lt;&gt;"pvp",Inputs!$B$43&gt;0),((Skills!F5*((R309-1)*IF(Skills!G5&gt;0,Skills!H5/Skills!G5,1)+IF(Skills!G5&gt;0,MIN(Skills!H5,MAX(0,MAX(0,Inputs!$B$43-B337)-((R309-1)*IF(Inputs!$B$38="pvp",15,MAX(0.1,Skills!D5-IF(Skills!E5=TRUE,Inputs!$B$32,0))))))/Skills!G5,1)))/Inputs!$B$43),G309*Q309))*IF(Inputs!$B$38="pvp",1,1+(Inputs!$B$20+Skills!O5+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IF(C309,(H309*N309*IF(AND(Inputs!$B$38&lt;&gt;"pvp",Inputs!$B$43&gt;0),((Skills!F5*((R309-1)*IF(Skills!G5&gt;0,Skills!H5/Skills!G5,1)+IF(Skills!G5&gt;0,MIN(Skills!H5,MAX(0,MAX(0,Inputs!$B$43-B337)-((R309-1)*IF(Inputs!$B$38="pvp",15,MAX(0.1,Skills!D5-IF(Skills!E5=TRUE,Inputs!$B$32,0))))))/Skills!G5,1)))/Inputs!$B$43),G309*Q309))*IF(Inputs!$B$38="pvp",1,(1+(Inputs!$B$21+Skills!P5+B331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Skills!A6</f>
        <v/>
      </c>
      <c r="B310">
        <f>Skills!B6</f>
        <v/>
      </c>
      <c r="C310">
        <f>Inputs!$B$3&gt;=63</f>
        <v/>
      </c>
      <c r="D310">
        <f>IF(Skills!C6=1,60+Inputs!$B$25+Inputs!$B$29,IF(Skills!C6=2,90+Inputs!$B$26+Inputs!$B$29,IF(Skills!C6=3,120+Inputs!$B$27+Inputs!$B$29,MAX(0,(Inputs!$B$3-100)*3)+Inputs!$B$28+Inputs!$B$29)))</f>
        <v/>
      </c>
      <c r="E310">
        <f>INDEX(FactorTable!$B$2:$Y$301, MATCH(ROUND(MIN(300,MAX(1,D310)),0), FactorTable!$A$2:$A$301,0), Skills!L6+1)</f>
        <v/>
      </c>
      <c r="F310">
        <f>IF(Skills!M6=TRUE,(Skills!K6/10)*(E310/1000),Skills!K6/10)+Skills!N6</f>
        <v/>
      </c>
      <c r="G310">
        <f>Calc!G6</f>
        <v/>
      </c>
      <c r="H310">
        <f>Calc!H6</f>
        <v/>
      </c>
      <c r="I310">
        <f>IF(Skills!T6&lt;&gt;"",1+(Skills!T6/10)*(Z307/1000)/100,1)</f>
        <v/>
      </c>
      <c r="J310">
        <f>((Inputs!$B$6*(1+Inputs!$B$7/100))+(((Inputs!$B$12*(1+Inputs!$B$13/100))-(Inputs!$B$12*(1+Inputs!$B$13/100)))+0.25*(Inputs!$B$14-Inputs!$B$14))*(1+Inputs!$B$7/100))*(F310/100)</f>
        <v/>
      </c>
      <c r="K310">
        <f>J310*(1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F322-Calc!F18),(Inputs!$B$23+(IF(ArtifactsInput!$M$15,CHOOSE(ArtifactsInput!$N$15+1,25,30,35,40,45,50)/100*(Inputs!$B$11-Inputs!$B$11),0))))/100+(Inputs!$B$23+(IF(ArtifactsInput!$M$15,CHOOSE(ArtifactsInput!$N$15+1,25,30,35,40,45,50)/100*(Inputs!$B$11-Inputs!$B$11),0)))/100)/2</f>
        <v/>
      </c>
      <c r="M310">
        <f>L310*(1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(1-Summary!$B$11)*S310+Summary!$B$11*U310</f>
        <v/>
      </c>
      <c r="P310">
        <f>IF(B340=0,0,O310/B340)</f>
        <v/>
      </c>
      <c r="Q310">
        <f>IFERROR(1/IF(Inputs!$B$38="pvp",15,MAX(0.1,Skills!D6-IF(Skills!E6=TRUE,Inputs!$B$32,0))),0)</f>
        <v/>
      </c>
      <c r="R310">
        <f>IF(AND(Inputs!$B$38&lt;&gt;"pvp",Inputs!$B$43&gt;0),IF(MAX(0,Inputs!$B$43-B337)&lt;=0,0,(INT(MAX(0,Inputs!$B$43-B337)/IF(Inputs!$B$38="pvp",15,MAX(0.1,Skills!D6-IF(Skills!E6=TRUE,Inputs!$B$32,0))))+1)),0)</f>
        <v/>
      </c>
      <c r="S310">
        <f>IF(C310,(H310*N310*IF(AND(Inputs!$B$38&lt;&gt;"pvp",Inputs!$B$43&gt;0),((Skills!F6*((R310-1)*IF(Skills!G6&gt;0,Skills!H6/Skills!G6,1)+IF(Skills!G6&gt;0,MIN(Skills!H6,MAX(0,MAX(0,Inputs!$B$43-B337)-((R310-1)*IF(Inputs!$B$38="pvp",15,MAX(0.1,Skills!D6-IF(Skills!E6=TRUE,Inputs!$B$32,0))))))/Skills!G6,1)))/Inputs!$B$43),G310*Q310))*IF(Inputs!$B$38="pvp",1,1+(Inputs!$B$20+Skills!O6+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
        <f>IF(C310,(H310*N310*IF(AND(Inputs!$B$38&lt;&gt;"pvp",Inputs!$B$43&gt;0),((Skills!F6*((R310-1)*IF(Skills!G6&gt;0,Skills!H6/Skills!G6,1)+IF(Skills!G6&gt;0,MIN(Skills!H6,MAX(0,MAX(0,Inputs!$B$43-B337)-((R310-1)*IF(Inputs!$B$38="pvp",15,MAX(0.1,Skills!D6-IF(Skills!E6=TRUE,Inputs!$B$32,0))))))/Skills!G6,1)))/Inputs!$B$43),G310*Q310))*IF(Inputs!$B$38="pvp",1,(1+(Inputs!$B$21+Skills!P6+B331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Skills!A7</f>
        <v/>
      </c>
      <c r="B311">
        <f>Skills!B7</f>
        <v/>
      </c>
      <c r="C311">
        <f>Inputs!$B$3&gt;=69</f>
        <v/>
      </c>
      <c r="D311">
        <f>IF(Skills!C7=1,60+Inputs!$B$25+Inputs!$B$29,IF(Skills!C7=2,90+Inputs!$B$26+Inputs!$B$29,IF(Skills!C7=3,120+Inputs!$B$27+Inputs!$B$29,MAX(0,(Inputs!$B$3-100)*3)+Inputs!$B$28+Inputs!$B$29)))</f>
        <v/>
      </c>
      <c r="E311">
        <f>INDEX(FactorTable!$B$2:$Y$301, MATCH(ROUND(MIN(300,MAX(1,D311)),0), FactorTable!$A$2:$A$301,0), Skills!L7+1)</f>
        <v/>
      </c>
      <c r="F311">
        <f>IF(Skills!M7=TRUE,(Skills!K7/10)*(E311/1000),Skills!K7/10)+Skills!N7</f>
        <v/>
      </c>
      <c r="G311">
        <f>Calc!G7</f>
        <v/>
      </c>
      <c r="H311">
        <f>Calc!H7</f>
        <v/>
      </c>
      <c r="I311">
        <f>IF(Skills!T7&lt;&gt;"",1+(Skills!T7/10)*(Z307/1000)/100,1)</f>
        <v/>
      </c>
      <c r="J311">
        <f>((Inputs!$B$6*(1+Inputs!$B$7/100))+(((Inputs!$B$12*(1+Inputs!$B$13/100))-(Inputs!$B$12*(1+Inputs!$B$13/100)))+0.25*(Inputs!$B$14-Inputs!$B$14))*(1+Inputs!$B$7/100))*(F311/100)</f>
        <v/>
      </c>
      <c r="K311">
        <f>J311*(1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F322-Calc!F18),(Inputs!$B$23+(IF(ArtifactsInput!$M$15,CHOOSE(ArtifactsInput!$N$15+1,25,30,35,40,45,50)/100*(Inputs!$B$11-Inputs!$B$11),0))))/100+(Inputs!$B$23+(IF(ArtifactsInput!$M$15,CHOOSE(ArtifactsInput!$N$15+1,25,30,35,40,45,50)/100*(Inputs!$B$11-Inputs!$B$11),0)))/100)/2</f>
        <v/>
      </c>
      <c r="M311">
        <f>L311*(1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(1-Summary!$B$11)*S311+Summary!$B$11*U311</f>
        <v/>
      </c>
      <c r="P311">
        <f>IF(B340=0,0,O311/B340)</f>
        <v/>
      </c>
      <c r="Q311">
        <f>IFERROR(1/IF(Inputs!$B$38="pvp",15,MAX(0.1,Skills!D7-IF(Skills!E7=TRUE,Inputs!$B$32,0))),0)</f>
        <v/>
      </c>
      <c r="R311">
        <f>IF(AND(Inputs!$B$38&lt;&gt;"pvp",Inputs!$B$43&gt;0),IF(MAX(0,Inputs!$B$43-B337)&lt;=0,0,(INT(MAX(0,Inputs!$B$43-B337)/IF(Inputs!$B$38="pvp",15,MAX(0.1,Skills!D7-IF(Skills!E7=TRUE,Inputs!$B$32,0))))+1)),0)</f>
        <v/>
      </c>
      <c r="S311">
        <f>IF(C311,(H311*N311*IF(AND(Inputs!$B$38&lt;&gt;"pvp",Inputs!$B$43&gt;0),((Skills!F7*((R311-1)*IF(Skills!G7&gt;0,Skills!H7/Skills!G7,1)+IF(Skills!G7&gt;0,MIN(Skills!H7,MAX(0,MAX(0,Inputs!$B$43-B337)-((R311-1)*IF(Inputs!$B$38="pvp",15,MAX(0.1,Skills!D7-IF(Skills!E7=TRUE,Inputs!$B$32,0))))))/Skills!G7,1)))/Inputs!$B$43),G311*Q311))*IF(Inputs!$B$38="pvp",1,1+(Inputs!$B$20+Skills!O7+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
        <f>IF(C311,(H311*N311*IF(AND(Inputs!$B$38&lt;&gt;"pvp",Inputs!$B$43&gt;0),((Skills!F7*((R311-1)*IF(Skills!G7&gt;0,Skills!H7/Skills!G7,1)+IF(Skills!G7&gt;0,MIN(Skills!H7,MAX(0,MAX(0,Inputs!$B$43-B337)-((R311-1)*IF(Inputs!$B$38="pvp",15,MAX(0.1,Skills!D7-IF(Skills!E7=TRUE,Inputs!$B$32,0))))))/Skills!G7,1)))/Inputs!$B$43),G311*Q311))*IF(Inputs!$B$38="pvp",1,(1+(Inputs!$B$21+Skills!P7+B331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Skills!A8</f>
        <v/>
      </c>
      <c r="B312">
        <f>Skills!B8</f>
        <v/>
      </c>
      <c r="C312">
        <f>Inputs!$B$3&gt;=103</f>
        <v/>
      </c>
      <c r="D312">
        <f>IF(Skills!C8=1,60+Inputs!$B$25+Inputs!$B$29,IF(Skills!C8=2,90+Inputs!$B$26+Inputs!$B$29,IF(Skills!C8=3,120+Inputs!$B$27+Inputs!$B$29,MAX(0,(Inputs!$B$3-100)*3)+Inputs!$B$28+Inputs!$B$29)))</f>
        <v/>
      </c>
      <c r="E312">
        <f>INDEX(FactorTable!$B$2:$Y$301, MATCH(ROUND(MIN(300,MAX(1,D312)),0), FactorTable!$A$2:$A$301,0), Skills!L8+1)</f>
        <v/>
      </c>
      <c r="F312">
        <f>IF(Skills!M8=TRUE,(Skills!K8/10)*(E312/1000),Skills!K8/10)+Skills!N8</f>
        <v/>
      </c>
      <c r="G312">
        <f>Calc!G8</f>
        <v/>
      </c>
      <c r="H312">
        <f>Calc!H8</f>
        <v/>
      </c>
      <c r="I312">
        <f>IF(Skills!T8&lt;&gt;"",1+(Skills!T8/10)*(Z307/1000)/100,1)</f>
        <v/>
      </c>
      <c r="J312">
        <f>((Inputs!$B$6*(1+Inputs!$B$7/100))+(((Inputs!$B$12*(1+Inputs!$B$13/100))-(Inputs!$B$12*(1+Inputs!$B$13/100)))+0.25*(Inputs!$B$14-Inputs!$B$14))*(1+Inputs!$B$7/100))*(F312/100)</f>
        <v/>
      </c>
      <c r="K312">
        <f>J312*(1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F322-Calc!F18),(Inputs!$B$23+(IF(ArtifactsInput!$M$15,CHOOSE(ArtifactsInput!$N$15+1,25,30,35,40,45,50)/100*(Inputs!$B$11-Inputs!$B$11),0))))/100+(Inputs!$B$23+(IF(ArtifactsInput!$M$15,CHOOSE(ArtifactsInput!$N$15+1,25,30,35,40,45,50)/100*(Inputs!$B$11-Inputs!$B$11),0)))/100)/2</f>
        <v/>
      </c>
      <c r="M312">
        <f>L312*(1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(1-Summary!$B$11)*S312+Summary!$B$11*U312</f>
        <v/>
      </c>
      <c r="P312">
        <f>IF(B340=0,0,O312/B340)</f>
        <v/>
      </c>
      <c r="Q312">
        <f>IFERROR(1/IF(Inputs!$B$38="pvp",15,MAX(0.1,Skills!D8-IF(Skills!E8=TRUE,Inputs!$B$32,0))),0)</f>
        <v/>
      </c>
      <c r="R312">
        <f>IF(AND(Inputs!$B$38&lt;&gt;"pvp",Inputs!$B$43&gt;0),IF(MAX(0,Inputs!$B$43-B337)&lt;=0,0,(INT(MAX(0,Inputs!$B$43-B337)/IF(Inputs!$B$38="pvp",15,MAX(0.1,Skills!D8-IF(Skills!E8=TRUE,Inputs!$B$32,0))))+1)),0)</f>
        <v/>
      </c>
      <c r="S312">
        <f>IF(C312,(H312*N312*IF(AND(Inputs!$B$38&lt;&gt;"pvp",Inputs!$B$43&gt;0),((Skills!F8*((R312-1)*IF(Skills!G8&gt;0,Skills!H8/Skills!G8,1)+IF(Skills!G8&gt;0,MIN(Skills!H8,MAX(0,MAX(0,Inputs!$B$43-B337)-((R312-1)*IF(Inputs!$B$38="pvp",15,MAX(0.1,Skills!D8-IF(Skills!E8=TRUE,Inputs!$B$32,0))))))/Skills!G8,1)))/Inputs!$B$43),G312*Q312))*IF(Inputs!$B$38="pvp",1,1+(Inputs!$B$20+Skills!O8+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
        <f>IF(C312,(H312*N312*IF(AND(Inputs!$B$38&lt;&gt;"pvp",Inputs!$B$43&gt;0),((Skills!F8*((R312-1)*IF(Skills!G8&gt;0,Skills!H8/Skills!G8,1)+IF(Skills!G8&gt;0,MIN(Skills!H8,MAX(0,MAX(0,Inputs!$B$43-B337)-((R312-1)*IF(Inputs!$B$38="pvp",15,MAX(0.1,Skills!D8-IF(Skills!E8=TRUE,Inputs!$B$32,0))))))/Skills!G8,1)))/Inputs!$B$43),G312*Q312))*IF(Inputs!$B$38="pvp",1,(1+(Inputs!$B$21+Skills!P8+B331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Skills!A9</f>
        <v/>
      </c>
      <c r="B313">
        <f>Skills!B9</f>
        <v/>
      </c>
      <c r="C313">
        <f>Inputs!$B$3&gt;=105</f>
        <v/>
      </c>
      <c r="D313">
        <f>IF(Skills!C9=1,60+Inputs!$B$25+Inputs!$B$29,IF(Skills!C9=2,90+Inputs!$B$26+Inputs!$B$29,IF(Skills!C9=3,120+Inputs!$B$27+Inputs!$B$29,MAX(0,(Inputs!$B$3-100)*3)+Inputs!$B$28+Inputs!$B$29)))</f>
        <v/>
      </c>
      <c r="E313">
        <f>INDEX(FactorTable!$B$2:$Y$301, MATCH(ROUND(MIN(300,MAX(1,D313)),0), FactorTable!$A$2:$A$301,0), Skills!L9+1)</f>
        <v/>
      </c>
      <c r="F313">
        <f>IF(Skills!M9=TRUE,(Skills!K9/10)*(E313/1000),Skills!K9/10)+Skills!N9</f>
        <v/>
      </c>
      <c r="G313">
        <f>Calc!G9</f>
        <v/>
      </c>
      <c r="H313">
        <f>Calc!H9</f>
        <v/>
      </c>
      <c r="I313">
        <f>IF(Skills!T9&lt;&gt;"",1+(Skills!T9/10)*(Z307/1000)/100,1)</f>
        <v/>
      </c>
      <c r="J313">
        <f>((Inputs!$B$6*(1+Inputs!$B$7/100))+(((Inputs!$B$12*(1+Inputs!$B$13/100))-(Inputs!$B$12*(1+Inputs!$B$13/100)))+0.25*(Inputs!$B$14-Inputs!$B$14))*(1+Inputs!$B$7/100))*(F313/100)</f>
        <v/>
      </c>
      <c r="K313">
        <f>J313*(1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F322-Calc!F18),(Inputs!$B$23+(IF(ArtifactsInput!$M$15,CHOOSE(ArtifactsInput!$N$15+1,25,30,35,40,45,50)/100*(Inputs!$B$11-Inputs!$B$11),0))))/100+(Inputs!$B$23+(IF(ArtifactsInput!$M$15,CHOOSE(ArtifactsInput!$N$15+1,25,30,35,40,45,50)/100*(Inputs!$B$11-Inputs!$B$11),0)))/100)/2</f>
        <v/>
      </c>
      <c r="M313">
        <f>L313*(1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(1-Summary!$B$11)*S313+Summary!$B$11*U313</f>
        <v/>
      </c>
      <c r="P313">
        <f>IF(B340=0,0,O313/B340)</f>
        <v/>
      </c>
      <c r="Q313">
        <f>IFERROR(1/IF(Inputs!$B$38="pvp",15,MAX(0.1,Skills!D9-IF(Skills!E9=TRUE,Inputs!$B$32,0))),0)</f>
        <v/>
      </c>
      <c r="R313">
        <f>IF(AND(Inputs!$B$38&lt;&gt;"pvp",Inputs!$B$43&gt;0),IF(MAX(0,Inputs!$B$43-B337)&lt;=0,0,(INT(MAX(0,Inputs!$B$43-B337)/IF(Inputs!$B$38="pvp",15,MAX(0.1,Skills!D9-IF(Skills!E9=TRUE,Inputs!$B$32,0))))+1)),0)</f>
        <v/>
      </c>
      <c r="S313">
        <f>IF(C313,(H313*N313*IF(AND(Inputs!$B$38&lt;&gt;"pvp",Inputs!$B$43&gt;0),((Skills!F9*((R313-1)*IF(Skills!G9&gt;0,Skills!H9/Skills!G9,1)+IF(Skills!G9&gt;0,MIN(Skills!H9,MAX(0,MAX(0,Inputs!$B$43-B337)-((R313-1)*IF(Inputs!$B$38="pvp",15,MAX(0.1,Skills!D9-IF(Skills!E9=TRUE,Inputs!$B$32,0))))))/Skills!G9,1)))/Inputs!$B$43),G313*Q313))*IF(Inputs!$B$38="pvp",1,1+(Inputs!$B$20+Skills!O9+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IF(C313,(H313*N313*IF(AND(Inputs!$B$38&lt;&gt;"pvp",Inputs!$B$43&gt;0),((Skills!F9*((R313-1)*IF(Skills!G9&gt;0,Skills!H9/Skills!G9,1)+IF(Skills!G9&gt;0,MIN(Skills!H9,MAX(0,MAX(0,Inputs!$B$43-B337)-((R313-1)*IF(Inputs!$B$38="pvp",15,MAX(0.1,Skills!D9-IF(Skills!E9=TRUE,Inputs!$B$32,0))))))/Skills!G9,1)))/Inputs!$B$43),G313*Q313))*IF(Inputs!$B$38="pvp",1,(1+(Inputs!$B$21+Skills!P9+B331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Skills!A10</f>
        <v/>
      </c>
      <c r="B314">
        <f>Skills!B10</f>
        <v/>
      </c>
      <c r="C314">
        <f>Inputs!$B$3&gt;=113</f>
        <v/>
      </c>
      <c r="D314">
        <f>IF(Skills!C10=1,60+Inputs!$B$25+Inputs!$B$29,IF(Skills!C10=2,90+Inputs!$B$26+Inputs!$B$29,IF(Skills!C10=3,120+Inputs!$B$27+Inputs!$B$29,MAX(0,(Inputs!$B$3-100)*3)+Inputs!$B$28+Inputs!$B$29)))</f>
        <v/>
      </c>
      <c r="E314">
        <f>INDEX(FactorTable!$B$2:$Y$301, MATCH(ROUND(MIN(300,MAX(1,D314)),0), FactorTable!$A$2:$A$301,0), Skills!L10+1)</f>
        <v/>
      </c>
      <c r="F314">
        <f>IF(Skills!M10=TRUE,(Skills!K10/10)*(E314/1000),Skills!K10/10)+Skills!N10</f>
        <v/>
      </c>
      <c r="G314">
        <f>Calc!G10</f>
        <v/>
      </c>
      <c r="H314">
        <f>Calc!H10</f>
        <v/>
      </c>
      <c r="I314">
        <f>IF(Skills!T10&lt;&gt;"",1+(Skills!T10/10)*(Z307/1000)/100,1)</f>
        <v/>
      </c>
      <c r="J314">
        <f>((Inputs!$B$6*(1+Inputs!$B$7/100))+(((Inputs!$B$12*(1+Inputs!$B$13/100))-(Inputs!$B$12*(1+Inputs!$B$13/100)))+0.25*(Inputs!$B$14-Inputs!$B$14))*(1+Inputs!$B$7/100))*(F314/100)</f>
        <v/>
      </c>
      <c r="K314">
        <f>J314*(1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322-Calc!F18),(Inputs!$B$23+(IF(ArtifactsInput!$M$15,CHOOSE(ArtifactsInput!$N$15+1,25,30,35,40,45,50)/100*(Inputs!$B$11-Inputs!$B$11),0))))/100+(Inputs!$B$23+(IF(ArtifactsInput!$M$15,CHOOSE(ArtifactsInput!$N$15+1,25,30,35,40,45,50)/100*(Inputs!$B$11-Inputs!$B$11),0)))/100)/2</f>
        <v/>
      </c>
      <c r="M314">
        <f>L314*(1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IF(B340=0,0,O314/B340)</f>
        <v/>
      </c>
      <c r="Q314">
        <f>IFERROR(1/IF(Inputs!$B$38="pvp",15,MAX(0.1,Skills!D10-IF(Skills!E9=TRUE,Inputs!$B$32,0))),0)</f>
        <v/>
      </c>
      <c r="R314">
        <f>IF(AND(Inputs!$B$38&lt;&gt;"pvp",Inputs!$B$43&gt;0),IF(MAX(0,Inputs!$B$43-B337)&lt;=0,0,(INT(MAX(0,Inputs!$B$43-B337)/IF(Inputs!$B$38="pvp",15,MAX(0.1,Skills!D10-IF(Skills!E9=TRUE,Inputs!$B$32,0))))+1)),0)</f>
        <v/>
      </c>
      <c r="S314">
        <f>IF(C314,(H314*N314*IF(AND(Inputs!$B$38&lt;&gt;"pvp",Inputs!$B$43&gt;0),((Skills!F10*((R314-1)*IF(Skills!G10&gt;0,Skills!H10/Skills!G10,1)+IF(Skills!G10&gt;0,MIN(Skills!H10,MAX(0,MAX(0,Inputs!$B$43-B337)-((R314-1)*IF(Inputs!$B$38="pvp",15,MAX(0.1,Skills!D10-IF(Skills!E9=TRUE,Inputs!$B$32,0))))))/Skills!G10,1)))/Inputs!$B$43),G314*Q314))*IF(Inputs!$B$38="pvp",1,1+(Inputs!$B$20+Skills!O10+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F10*((R314-1)*IF(Skills!G10&gt;0,Skills!H10/Skills!G10,1)+IF(Skills!G10&gt;0,MIN(Skills!H10,MAX(0,MAX(0,Inputs!$B$43-B337)-((R314-1)*IF(Inputs!$B$38="pvp",15,MAX(0.1,Skills!D10-IF(Skills!E9=TRUE,Inputs!$B$32,0))))))/Skills!G10,1)))/Inputs!$B$43),G314*Q314))*IF(Inputs!$B$38="pvp",1,(1+(Inputs!$B$21+Skills!P10+B331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Skills!A11</f>
        <v/>
      </c>
      <c r="B315">
        <f>Skills!B11</f>
        <v/>
      </c>
      <c r="C315">
        <f>Inputs!$B$3&gt;=107</f>
        <v/>
      </c>
      <c r="D315">
        <f>IF(Skills!C11=1,60+Inputs!$B$25+Inputs!$B$29,IF(Skills!C11=2,90+Inputs!$B$26+Inputs!$B$29,IF(Skills!C11=3,120+Inputs!$B$27+Inputs!$B$29,MAX(0,(Inputs!$B$3-100)*3)+Inputs!$B$28+Inputs!$B$29)))</f>
        <v/>
      </c>
      <c r="E315">
        <f>INDEX(FactorTable!$B$2:$Y$301, MATCH(ROUND(MIN(300,MAX(1,D315)),0), FactorTable!$A$2:$A$301,0), Skills!L11+1)</f>
        <v/>
      </c>
      <c r="F315">
        <f>IF(Skills!M11=TRUE,(Skills!K11/10)*(E315/1000),Skills!K11/10)+Skills!N11</f>
        <v/>
      </c>
      <c r="G315">
        <f>Calc!G11</f>
        <v/>
      </c>
      <c r="H315">
        <f>Calc!H11</f>
        <v/>
      </c>
      <c r="I315">
        <f>IF(Skills!T11&lt;&gt;"",1+(Skills!T11/10)*(Z307/1000)/100,1)</f>
        <v/>
      </c>
      <c r="J315">
        <f>((Inputs!$B$6*(1+Inputs!$B$7/100))+(((Inputs!$B$12*(1+Inputs!$B$13/100))-(Inputs!$B$12*(1+Inputs!$B$13/100)))+0.25*(Inputs!$B$14-Inputs!$B$14))*(1+Inputs!$B$7/100))*(F315/100)</f>
        <v/>
      </c>
      <c r="K315">
        <f>J315*(1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F322-Calc!F18),(Inputs!$B$23+(IF(ArtifactsInput!$M$15,CHOOSE(ArtifactsInput!$N$15+1,25,30,35,40,45,50)/100*(Inputs!$B$11-Inputs!$B$11),0))))/100+(Inputs!$B$23+(IF(ArtifactsInput!$M$15,CHOOSE(ArtifactsInput!$N$15+1,25,30,35,40,45,50)/100*(Inputs!$B$11-Inputs!$B$11),0)))/100)/2</f>
        <v/>
      </c>
      <c r="M315">
        <f>L315*(1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(1-Summary!$B$11)*S315+Summary!$B$11*U315</f>
        <v/>
      </c>
      <c r="P315">
        <f>IF(B340=0,0,O315/B340)</f>
        <v/>
      </c>
      <c r="Q315">
        <f>IFERROR(1/IF(Inputs!$B$38="pvp",15,MAX(0.1,Skills!D11-IF(Skills!E11=TRUE,Inputs!$B$32,0))),0)</f>
        <v/>
      </c>
      <c r="R315">
        <f>IF(AND(Inputs!$B$38&lt;&gt;"pvp",Inputs!$B$43&gt;0),IF(MAX(0,Inputs!$B$43-B337)&lt;=0,0,(INT(MAX(0,Inputs!$B$43-B337)/IF(Inputs!$B$38="pvp",15,MAX(0.1,Skills!D11-IF(Skills!E11=TRUE,Inputs!$B$32,0))))+1)),0)</f>
        <v/>
      </c>
      <c r="S315">
        <f>IF(C315,H315*N315*IF(AND(Inputs!$B$38&lt;&gt;"pvp",Inputs!$B$43&gt;0),((Skills!F11*((R315-1)*IF(Skills!G11&gt;0,Skills!H11/Skills!G11,1)+IF(Skills!G11&gt;0,MIN(Skills!H11,MAX(0,MAX(0,Inputs!$B$43-B337)-((R315-1)*IF(Inputs!$B$38="pvp",15,MAX(0.1,Skills!D11-IF(Skills!E11=TRUE,Inputs!$B$32,0))))))/Skills!G11,1)))/Inputs!$B$43),G315*Q315)*0.5*IF(Inputs!$B$38="pvp",1,1+(Inputs!$B$20+Skills!O11+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315*(1-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IF(C315,H315*N315*IF(AND(Inputs!$B$38&lt;&gt;"pvp",Inputs!$B$43&gt;0),((Skills!F11*((R315-1)*IF(Skills!G11&gt;0,Skills!H11/Skills!G11,1)+IF(Skills!G11&gt;0,MIN(Skills!H11,MAX(0,MAX(0,Inputs!$B$43-B337)-((R315-1)*IF(Inputs!$B$38="pvp",15,MAX(0.1,Skills!D11-IF(Skills!E11=TRUE,Inputs!$B$32,0))))))/Skills!G11,1)))/Inputs!$B$43),G315*Q315)*1*IF(Inputs!$B$38="pvp",1,(1+(Inputs!$B$21+Skills!P11+B331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Skills!A12</f>
        <v/>
      </c>
      <c r="B316">
        <f>Skills!B12</f>
        <v/>
      </c>
      <c r="C316">
        <f>Inputs!$B$3&gt;=115</f>
        <v/>
      </c>
      <c r="D316">
        <f>IF(Skills!C12=1,60+Inputs!$B$25+Inputs!$B$29,IF(Skills!C12=2,90+Inputs!$B$26+Inputs!$B$29,IF(Skills!C12=3,120+Inputs!$B$27+Inputs!$B$29,MAX(0,(Inputs!$B$3-100)*3)+Inputs!$B$28+Inputs!$B$29)))</f>
        <v/>
      </c>
      <c r="E316">
        <f>INDEX(FactorTable!$B$2:$Y$301, MATCH(ROUND(MIN(300,MAX(1,D316)),0), FactorTable!$A$2:$A$301,0), Skills!L12+1)</f>
        <v/>
      </c>
      <c r="F316">
        <f>IF(Skills!M12=TRUE,(Skills!K12/10)*(E316/1000),Skills!K12/10)+Skills!N12</f>
        <v/>
      </c>
      <c r="G316">
        <f>Calc!G12</f>
        <v/>
      </c>
      <c r="H316">
        <f>Calc!H12</f>
        <v/>
      </c>
      <c r="I316">
        <f>IF(Skills!T12&lt;&gt;"",1+(Skills!T12/10)*(Z307/1000)/100,1)</f>
        <v/>
      </c>
      <c r="J316">
        <f>((Inputs!$B$6*(1+Inputs!$B$7/100))+(((Inputs!$B$12*(1+Inputs!$B$13/100))-(Inputs!$B$12*(1+Inputs!$B$13/100)))+0.25*(Inputs!$B$14-Inputs!$B$14))*(1+Inputs!$B$7/100))*(F316/100)</f>
        <v/>
      </c>
      <c r="K316">
        <f>J316*(1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F322-Calc!F18),(Inputs!$B$23+(IF(ArtifactsInput!$M$15,CHOOSE(ArtifactsInput!$N$15+1,25,30,35,40,45,50)/100*(Inputs!$B$11-Inputs!$B$11),0))))/100+(Inputs!$B$23+(IF(ArtifactsInput!$M$15,CHOOSE(ArtifactsInput!$N$15+1,25,30,35,40,45,50)/100*(Inputs!$B$11-Inputs!$B$11),0)))/100)/2</f>
        <v/>
      </c>
      <c r="M316">
        <f>L316*(1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(1-Summary!$B$11)*S316+Summary!$B$11*U316</f>
        <v/>
      </c>
      <c r="P316">
        <f>IF(B340=0,0,O316/B340)</f>
        <v/>
      </c>
      <c r="Q316">
        <f>IFERROR(1/IF(Inputs!$B$38="pvp",15,MAX(0.1,Skills!D12-IF(Skills!E12=TRUE,Inputs!$B$32,0))),0)</f>
        <v/>
      </c>
      <c r="R316">
        <f>IF(AND(Inputs!$B$38&lt;&gt;"pvp",Inputs!$B$43&gt;0),IF(MAX(0,Inputs!$B$43-B337)&lt;=0,0,(INT(MAX(0,Inputs!$B$43-B337)/IF(Inputs!$B$38="pvp",15,MAX(0.1,Skills!D12-IF(Skills!E12=TRUE,Inputs!$B$32,0))))+1)),0)</f>
        <v/>
      </c>
      <c r="S316">
        <f>IF(C316,(H316*N316*IF(AND(Inputs!$B$38&lt;&gt;"pvp",Inputs!$B$43&gt;0),((Skills!F12*((R316-1)*IF(Skills!G12&gt;0,Skills!H12/Skills!G12,1)+IF(Skills!G12&gt;0,MIN(Skills!H12,MAX(0,MAX(0,Inputs!$B$43-B337)-((R316-1)*IF(Inputs!$B$38="pvp",15,MAX(0.1,Skills!D12-IF(Skills!E12=TRUE,Inputs!$B$32,0))))))/Skills!G12,1)))/Inputs!$B$43),G316*Q316))*IF(Inputs!$B$38="pvp",1,1+(Inputs!$B$20+Skills!O12+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
        <f>IF(C316,(H316*N316*IF(AND(Inputs!$B$38&lt;&gt;"pvp",Inputs!$B$43&gt;0),((Skills!F12*((R316-1)*IF(Skills!G12&gt;0,Skills!H12/Skills!G12,1)+IF(Skills!G12&gt;0,MIN(Skills!H12,MAX(0,MAX(0,Inputs!$B$43-B337)-((R316-1)*IF(Inputs!$B$38="pvp",15,MAX(0.1,Skills!D12-IF(Skills!E12=TRUE,Inputs!$B$32,0))))))/Skills!G12,1)))/Inputs!$B$43),G316*Q316))*IF(Inputs!$B$38="pvp",1,(1+(Inputs!$B$21+Skills!P12+B331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Skills!A13</f>
        <v/>
      </c>
      <c r="B317">
        <f>Skills!B13</f>
        <v/>
      </c>
      <c r="C317">
        <f>Inputs!$B$3&gt;=49</f>
        <v/>
      </c>
      <c r="D317">
        <f>IF(Skills!C13=1,60+Inputs!$B$25+Inputs!$B$29,IF(Skills!C13=2,90+Inputs!$B$26+Inputs!$B$29,IF(Skills!C13=3,120+Inputs!$B$27+Inputs!$B$29,MAX(0,(Inputs!$B$3-100)*3)+Inputs!$B$28+Inputs!$B$29)))</f>
        <v/>
      </c>
      <c r="E317">
        <f>INDEX(FactorTable!$B$2:$Y$301, MATCH(ROUND(MIN(300,MAX(1,D317)),0), FactorTable!$A$2:$A$301,0), Skills!L13+1)</f>
        <v/>
      </c>
      <c r="F317">
        <f>IF(Skills!M13=TRUE,(Skills!K13/10)*(E317/1000),Skills!K13/10)+Skills!N13</f>
        <v/>
      </c>
      <c r="G317">
        <f>Calc!G13</f>
        <v/>
      </c>
      <c r="H317">
        <f>Calc!H13</f>
        <v/>
      </c>
      <c r="I317">
        <f>IF(Skills!T13&lt;&gt;"",1+(Skills!T13/10)*(Z307/1000)/100,1)</f>
        <v/>
      </c>
      <c r="J317" t="inlineStr"/>
      <c r="K317" t="inlineStr"/>
      <c r="L317" t="inlineStr"/>
      <c r="M317" t="inlineStr"/>
      <c r="N317" t="inlineStr"/>
      <c r="O317">
        <f>(1-Summary!$B$11)*S317+Summary!$B$11*U317</f>
        <v/>
      </c>
      <c r="P317">
        <f>IF(B340=0,0,O317/B340)</f>
        <v/>
      </c>
      <c r="Q317">
        <f>IFERROR(1/IF(Inputs!$B$38="pvp",15,MAX(0.1,Skills!D13-IF(Skills!E13=TRUE,Inputs!$B$32,0))),0)</f>
        <v/>
      </c>
      <c r="R317" t="n">
        <v>0</v>
      </c>
      <c r="S317" t="n">
        <v>0</v>
      </c>
      <c r="U317" t="n">
        <v>0</v>
      </c>
    </row>
    <row r="318">
      <c r="A318">
        <f>Skills!A14</f>
        <v/>
      </c>
      <c r="B318">
        <f>Skills!B14</f>
        <v/>
      </c>
      <c r="C318">
        <f>Inputs!$B$3&gt;=72</f>
        <v/>
      </c>
      <c r="D318">
        <f>IF(Skills!C14=1,60+Inputs!$B$25+Inputs!$B$29,IF(Skills!C14=2,90+Inputs!$B$26+Inputs!$B$29,IF(Skills!C14=3,120+Inputs!$B$27+Inputs!$B$29,MAX(0,(Inputs!$B$3-100)*3)+Inputs!$B$28+Inputs!$B$29)))</f>
        <v/>
      </c>
      <c r="E318">
        <f>INDEX(FactorTable!$B$2:$Y$301, MATCH(ROUND(MIN(300,MAX(1,D318)),0), FactorTable!$A$2:$A$301,0), Skills!L14+1)</f>
        <v/>
      </c>
      <c r="F318">
        <f>IF(Skills!M14=TRUE,(Skills!K14/10)*(E318/1000),Skills!K14/10)+Skills!N14</f>
        <v/>
      </c>
      <c r="G318">
        <f>Calc!G14</f>
        <v/>
      </c>
      <c r="H318">
        <f>Calc!H14</f>
        <v/>
      </c>
      <c r="I318">
        <f>IF(Skills!T14&lt;&gt;"",1+(Skills!T14/10)*(Z307/1000)/100,1)</f>
        <v/>
      </c>
      <c r="J318" t="inlineStr"/>
      <c r="K318" t="inlineStr"/>
      <c r="L318" t="inlineStr"/>
      <c r="M318" t="inlineStr"/>
      <c r="N318" t="inlineStr"/>
      <c r="O318">
        <f>(1-Summary!$B$11)*S318+Summary!$B$11*U318</f>
        <v/>
      </c>
      <c r="P318">
        <f>IF(B340=0,0,O318/B340)</f>
        <v/>
      </c>
      <c r="Q318">
        <f>IFERROR(1/IF(Inputs!$B$38="pvp",15,MAX(0.1,Skills!D14-IF(Skills!E14=TRUE,Inputs!$B$32,0))),0)</f>
        <v/>
      </c>
      <c r="R318" t="n">
        <v>0</v>
      </c>
      <c r="S318" t="n">
        <v>0</v>
      </c>
      <c r="U318" t="n">
        <v>0</v>
      </c>
    </row>
    <row r="319">
      <c r="A319">
        <f>Skills!A15</f>
        <v/>
      </c>
      <c r="B319">
        <f>Skills!B15</f>
        <v/>
      </c>
      <c r="C319">
        <f>Inputs!$B$3&gt;=75</f>
        <v/>
      </c>
      <c r="D319">
        <f>IF(Skills!C15=1,60+Inputs!$B$25+Inputs!$B$29,IF(Skills!C15=2,90+Inputs!$B$26+Inputs!$B$29,IF(Skills!C15=3,120+Inputs!$B$27+Inputs!$B$29,MAX(0,(Inputs!$B$3-100)*3)+Inputs!$B$28+Inputs!$B$29)))</f>
        <v/>
      </c>
      <c r="E319">
        <f>INDEX(FactorTable!$B$2:$Y$301, MATCH(ROUND(MIN(300,MAX(1,D319)),0), FactorTable!$A$2:$A$301,0), Skills!L15+1)</f>
        <v/>
      </c>
      <c r="F319">
        <f>IF(Skills!M15=TRUE,(Skills!K15/10)*(E319/1000),Skills!K15/10)+Skills!N15</f>
        <v/>
      </c>
      <c r="G319">
        <f>Calc!G15</f>
        <v/>
      </c>
      <c r="H319">
        <f>Calc!H15</f>
        <v/>
      </c>
      <c r="I319">
        <f>IF(Skills!T15&lt;&gt;"",1+(Skills!T15/10)*(Z307/1000)/100,1)</f>
        <v/>
      </c>
      <c r="J319" t="inlineStr"/>
      <c r="K319" t="inlineStr"/>
      <c r="L319" t="inlineStr"/>
      <c r="M319" t="inlineStr"/>
      <c r="N319" t="inlineStr"/>
      <c r="O319">
        <f>(1-Summary!$B$11)*S319+Summary!$B$11*U319</f>
        <v/>
      </c>
      <c r="P319">
        <f>IF(B340=0,0,O319/B340)</f>
        <v/>
      </c>
      <c r="Q319">
        <f>IFERROR(1/IF(Inputs!$B$38="pvp",15,MAX(0.1,Skills!D15-IF(Skills!E15=TRUE,Inputs!$B$32,0))),0)</f>
        <v/>
      </c>
      <c r="R319" t="n">
        <v>0</v>
      </c>
      <c r="S319" t="n">
        <v>0</v>
      </c>
      <c r="U319" t="n">
        <v>0</v>
      </c>
    </row>
    <row r="320">
      <c r="A320">
        <f>Skills!A16</f>
        <v/>
      </c>
      <c r="B320">
        <f>Skills!B16</f>
        <v/>
      </c>
      <c r="C320">
        <f>Inputs!$B$3&gt;=110</f>
        <v/>
      </c>
      <c r="D320">
        <f>IF(Skills!C16=1,60+Inputs!$B$25+Inputs!$B$29,IF(Skills!C16=2,90+Inputs!$B$26+Inputs!$B$29,IF(Skills!C16=3,120+Inputs!$B$27+Inputs!$B$29,MAX(0,(Inputs!$B$3-100)*3)+Inputs!$B$28+Inputs!$B$29)))</f>
        <v/>
      </c>
      <c r="E320">
        <f>INDEX(FactorTable!$B$2:$Y$301, MATCH(ROUND(MIN(300,MAX(1,D320)),0), FactorTable!$A$2:$A$301,0), Skills!L16+1)</f>
        <v/>
      </c>
      <c r="F320">
        <f>(Skills!K16/10)*(E320/1000)*64/45+Skills!N16</f>
        <v/>
      </c>
      <c r="G320">
        <f>Calc!G16</f>
        <v/>
      </c>
      <c r="H320">
        <f>Calc!H16</f>
        <v/>
      </c>
      <c r="I320">
        <f>IF(Skills!T16&lt;&gt;"",1+(Skills!T16/10)*(Z307/1000)/100,1)</f>
        <v/>
      </c>
      <c r="J320" t="inlineStr"/>
      <c r="K320" t="inlineStr"/>
      <c r="L320" t="inlineStr"/>
      <c r="M320" t="inlineStr"/>
      <c r="N320" t="inlineStr"/>
      <c r="O320">
        <f>(1-Summary!$B$11)*S320+Summary!$B$11*U320</f>
        <v/>
      </c>
      <c r="P320">
        <f>IF(B340=0,0,O320/B340)</f>
        <v/>
      </c>
      <c r="Q320">
        <f>IFERROR(1/IF(Inputs!$B$38="pvp",15,MAX(0.1,Skills!D16-IF(Skills!E16=TRUE,Inputs!$B$32,0))),0)</f>
        <v/>
      </c>
      <c r="R320">
        <f>IF(AND(Inputs!$B$38&lt;&gt;"pvp",Inputs!$B$43&gt;0),IF(Inputs!$B$43&lt;=0,0,(INT(Inputs!$B$43/IF(Inputs!$B$38="pvp",15,MAX(0.1,Skills!D16-IF(Skills!E16=TRUE,Inputs!$B$32,0))))+1)),0)</f>
        <v/>
      </c>
      <c r="S320" t="n">
        <v>0</v>
      </c>
      <c r="U320" t="n">
        <v>0</v>
      </c>
    </row>
    <row r="321">
      <c r="A321">
        <f>Skills!A17</f>
        <v/>
      </c>
      <c r="B321">
        <f>Skills!B17</f>
        <v/>
      </c>
      <c r="C321">
        <f>Inputs!$B$3&gt;=33</f>
        <v/>
      </c>
      <c r="D321">
        <f>IF(Skills!C17=1,60+Inputs!$B$25+Inputs!$B$29,IF(Skills!C17=2,90+Inputs!$B$26+Inputs!$B$29,IF(Skills!C17=3,120+Inputs!$B$27+Inputs!$B$29,MAX(0,(Inputs!$B$3-100)*3)+Inputs!$B$28+Inputs!$B$29)))</f>
        <v/>
      </c>
      <c r="E321">
        <f>INDEX(FactorTable!$B$2:$Y$301, MATCH(ROUND(MIN(300,MAX(1,D321)),0), FactorTable!$A$2:$A$301,0), Skills!L17+1)</f>
        <v/>
      </c>
      <c r="F321">
        <f>IF(Skills!M17=TRUE,(Skills!K17/10)*(E321/1000),Skills!K17/10)+Skills!N17</f>
        <v/>
      </c>
      <c r="G321">
        <f>Calc!G17</f>
        <v/>
      </c>
      <c r="H321">
        <f>Calc!H17</f>
        <v/>
      </c>
      <c r="I321">
        <f>IF(Skills!T17&lt;&gt;"",1+(Skills!T17/10)*(Z307/1000)/100,1)</f>
        <v/>
      </c>
      <c r="J321" t="inlineStr"/>
      <c r="K321" t="inlineStr"/>
      <c r="L321" t="inlineStr"/>
      <c r="M321" t="inlineStr"/>
      <c r="N321" t="inlineStr"/>
      <c r="O321">
        <f>(1-Summary!$B$11)*S321+Summary!$B$11*U321</f>
        <v/>
      </c>
      <c r="P321">
        <f>IF(B340=0,0,O321/B340)</f>
        <v/>
      </c>
      <c r="Q321">
        <f>IFERROR(1/IF(Inputs!$B$38="pvp",15,MAX(0.1,Skills!D17-IF(Skills!E17=TRUE,Inputs!$B$32,0))),0)</f>
        <v/>
      </c>
      <c r="R321" t="n">
        <v>0</v>
      </c>
      <c r="S321" t="n">
        <v>0</v>
      </c>
      <c r="U321" t="n">
        <v>0</v>
      </c>
    </row>
    <row r="322">
      <c r="A322">
        <f>Skills!A18</f>
        <v/>
      </c>
      <c r="B322">
        <f>Skills!B18</f>
        <v/>
      </c>
      <c r="C322">
        <f>Inputs!$B$3&gt;=43</f>
        <v/>
      </c>
      <c r="D322">
        <f>IF(Skills!C18=1,60+Inputs!$B$25+Inputs!$B$29,IF(Skills!C18=2,90+Inputs!$B$26+Inputs!$B$29,IF(Skills!C18=3,120+Inputs!$B$27+Inputs!$B$29,MAX(0,(Inputs!$B$3-100)*3)+Inputs!$B$28+Inputs!$B$29)))</f>
        <v/>
      </c>
      <c r="E322">
        <f>INDEX(FactorTable!$B$2:$Y$301, MATCH(ROUND(MIN(300,MAX(1,D322)),0), FactorTable!$A$2:$A$301,0), Skills!L18+1)</f>
        <v/>
      </c>
      <c r="F322">
        <f>IF(Skills!M18=TRUE,(Skills!K18/10)*(E322/1000),Skills!K18/10)+Skills!N18</f>
        <v/>
      </c>
      <c r="G322">
        <f>Calc!G18</f>
        <v/>
      </c>
      <c r="H322">
        <f>Calc!H18</f>
        <v/>
      </c>
      <c r="I322">
        <f>IF(Skills!T18&lt;&gt;"",1+(Skills!T18/10)*(Z307/1000)/100,1)</f>
        <v/>
      </c>
      <c r="J322" t="inlineStr"/>
      <c r="K322" t="inlineStr"/>
      <c r="L322" t="inlineStr"/>
      <c r="M322" t="inlineStr"/>
      <c r="N322" t="inlineStr"/>
      <c r="O322">
        <f>(1-Summary!$B$11)*S322+Summary!$B$11*U322</f>
        <v/>
      </c>
      <c r="P322">
        <f>IF(B340=0,0,O322/B340)</f>
        <v/>
      </c>
      <c r="Q322">
        <f>IFERROR(1/IF(Inputs!$B$38="pvp",15,MAX(0.1,Skills!D18-IF(Skills!E18=TRUE,Inputs!$B$32,0))),0)</f>
        <v/>
      </c>
      <c r="R322" t="n">
        <v>0</v>
      </c>
      <c r="S322" t="n">
        <v>0</v>
      </c>
      <c r="U322" t="n">
        <v>0</v>
      </c>
    </row>
    <row r="323">
      <c r="A323">
        <f>Skills!A19</f>
        <v/>
      </c>
      <c r="B323">
        <f>Skills!B19</f>
        <v/>
      </c>
      <c r="C323">
        <f>Inputs!$B$3&gt;=50</f>
        <v/>
      </c>
      <c r="D323">
        <f>IF(Skills!C19=1,60+Inputs!$B$25+Inputs!$B$29,IF(Skills!C19=2,90+Inputs!$B$26+Inputs!$B$29,IF(Skills!C19=3,120+Inputs!$B$27+Inputs!$B$29,MAX(0,(Inputs!$B$3-100)*3)+Inputs!$B$28+Inputs!$B$29)))</f>
        <v/>
      </c>
      <c r="E323">
        <f>INDEX(FactorTable!$B$2:$Y$301, MATCH(ROUND(MIN(300,MAX(1,D323)),0), FactorTable!$A$2:$A$301,0), Skills!L19+1)</f>
        <v/>
      </c>
      <c r="F323">
        <f>IF(Skills!M19=TRUE,(Skills!K19/10)*(E323/1000),Skills!K19/10)+Skills!N19</f>
        <v/>
      </c>
      <c r="G323">
        <f>Calc!G19</f>
        <v/>
      </c>
      <c r="H323">
        <f>Calc!H19</f>
        <v/>
      </c>
      <c r="I323">
        <f>IF(Skills!T19&lt;&gt;"",1+(Skills!T19/10)*(Z307/1000)/100,1)</f>
        <v/>
      </c>
      <c r="J323" t="inlineStr"/>
      <c r="K323" t="inlineStr"/>
      <c r="L323" t="inlineStr"/>
      <c r="M323" t="inlineStr"/>
      <c r="N323" t="inlineStr"/>
      <c r="O323">
        <f>(1-Summary!$B$11)*S323+Summary!$B$11*U323</f>
        <v/>
      </c>
      <c r="P323">
        <f>IF(B340=0,0,O323/B340)</f>
        <v/>
      </c>
      <c r="Q323">
        <f>IFERROR(1/IF(Inputs!$B$38="pvp",15,MAX(0.1,Skills!D19-IF(Skills!E19=TRUE,Inputs!$B$32,0))),0)</f>
        <v/>
      </c>
      <c r="R323" t="n">
        <v>0</v>
      </c>
      <c r="S323" t="n">
        <v>0</v>
      </c>
      <c r="U323" t="n">
        <v>0</v>
      </c>
    </row>
    <row r="324">
      <c r="A324">
        <f>Skills!A20</f>
        <v/>
      </c>
      <c r="B324">
        <f>Skills!B20</f>
        <v/>
      </c>
      <c r="C324">
        <f>Inputs!$B$3&gt;=74</f>
        <v/>
      </c>
      <c r="D324">
        <f>IF(Skills!C20=1,60+Inputs!$B$25+Inputs!$B$29,IF(Skills!C20=2,90+Inputs!$B$26+Inputs!$B$29,IF(Skills!C20=3,120+Inputs!$B$27+Inputs!$B$29,MAX(0,(Inputs!$B$3-100)*3)+Inputs!$B$28+Inputs!$B$29)))</f>
        <v/>
      </c>
      <c r="E324">
        <f>INDEX(FactorTable!$B$2:$Y$301, MATCH(ROUND(MIN(300,MAX(1,D324)),0), FactorTable!$A$2:$A$301,0), Skills!L20+1)</f>
        <v/>
      </c>
      <c r="F324">
        <f>IF(Skills!M20=TRUE,(Skills!K20/10)*(E324/1000),Skills!K20/10)+Skills!N20</f>
        <v/>
      </c>
      <c r="G324">
        <f>Calc!G20</f>
        <v/>
      </c>
      <c r="H324">
        <f>Calc!H20</f>
        <v/>
      </c>
      <c r="I324">
        <f>IF(Skills!T20&lt;&gt;"",1+(Skills!T20/10)*(Z307/1000)/100,1)</f>
        <v/>
      </c>
      <c r="J324" t="inlineStr"/>
      <c r="K324" t="inlineStr"/>
      <c r="L324" t="inlineStr"/>
      <c r="M324" t="inlineStr"/>
      <c r="N324" t="inlineStr"/>
      <c r="O324">
        <f>(1-Summary!$B$11)*S324+Summary!$B$11*U324</f>
        <v/>
      </c>
      <c r="P324">
        <f>IF(B340=0,0,O324/B340)</f>
        <v/>
      </c>
      <c r="Q324">
        <f>IFERROR(1/IF(Inputs!$B$38="pvp",15,MAX(0.1,Skills!D20-IF(Skills!E20=TRUE,Inputs!$B$32,0))),0)</f>
        <v/>
      </c>
      <c r="R324" t="n">
        <v>0</v>
      </c>
      <c r="S324" t="n">
        <v>0</v>
      </c>
      <c r="U324" t="n">
        <v>0</v>
      </c>
    </row>
    <row r="325">
      <c r="A325">
        <f>Skills!A21</f>
        <v/>
      </c>
      <c r="B325">
        <f>Skills!B21</f>
        <v/>
      </c>
      <c r="C325">
        <f>Inputs!$B$3&gt;=74</f>
        <v/>
      </c>
      <c r="D325">
        <f>IF(Skills!C21=1,60+Inputs!$B$25+Inputs!$B$29,IF(Skills!C21=2,90+Inputs!$B$26+Inputs!$B$29,IF(Skills!C21=3,120+Inputs!$B$27+Inputs!$B$29,MAX(0,(Inputs!$B$3-100)*3)+Inputs!$B$28+Inputs!$B$29)))</f>
        <v/>
      </c>
      <c r="E325">
        <f>INDEX(FactorTable!$B$2:$Y$301, MATCH(ROUND(MIN(300,MAX(1,D325)),0), FactorTable!$A$2:$A$301,0), Skills!L21+1)</f>
        <v/>
      </c>
      <c r="F325">
        <f>IF(Skills!M21=TRUE,(Skills!K21/10)*(E325/1000),Skills!K21/10)+Skills!N21</f>
        <v/>
      </c>
      <c r="G325">
        <f>Calc!G21</f>
        <v/>
      </c>
      <c r="H325">
        <f>Calc!H21</f>
        <v/>
      </c>
      <c r="I325">
        <f>IF(Skills!T21&lt;&gt;"",1+(Skills!T21/10)*(Z307/1000)/100,1)</f>
        <v/>
      </c>
      <c r="J325" t="inlineStr"/>
      <c r="K325" t="inlineStr"/>
      <c r="L325" t="inlineStr"/>
      <c r="M325" t="inlineStr"/>
      <c r="N325" t="inlineStr"/>
      <c r="O325">
        <f>(1-Summary!$B$11)*S325+Summary!$B$11*U325</f>
        <v/>
      </c>
      <c r="P325">
        <f>IF(B340=0,0,O325/B340)</f>
        <v/>
      </c>
      <c r="Q325">
        <f>IFERROR(1/IF(Inputs!$B$38="pvp",15,MAX(0.1,Skills!D21-IF(Skills!E21=TRUE,Inputs!$B$32,0))),0)</f>
        <v/>
      </c>
      <c r="R325" t="n">
        <v>0</v>
      </c>
      <c r="S325" t="n">
        <v>0</v>
      </c>
      <c r="U325" t="n">
        <v>0</v>
      </c>
    </row>
    <row r="326">
      <c r="A326">
        <f>Skills!A22</f>
        <v/>
      </c>
      <c r="B326">
        <f>Skills!B22</f>
        <v/>
      </c>
      <c r="C326">
        <f>Inputs!$B$3&gt;=117</f>
        <v/>
      </c>
      <c r="D326">
        <f>IF(Skills!C22=1,60+Inputs!$B$25+Inputs!$B$29,IF(Skills!C22=2,90+Inputs!$B$26+Inputs!$B$29,IF(Skills!C22=3,120+Inputs!$B$27+Inputs!$B$29,MAX(0,(Inputs!$B$3-100)*3)+Inputs!$B$28+Inputs!$B$29)))</f>
        <v/>
      </c>
      <c r="E326">
        <f>INDEX(FactorTable!$B$2:$Y$301, MATCH(ROUND(MIN(300,MAX(1,D326)),0), FactorTable!$A$2:$A$301,0), Skills!L22+1)</f>
        <v/>
      </c>
      <c r="F326">
        <f>IF(Skills!M22=TRUE,(Skills!K22/10)*(E326/1000),Skills!K22/10)+Skills!N22</f>
        <v/>
      </c>
      <c r="G326">
        <f>Calc!G22</f>
        <v/>
      </c>
      <c r="H326">
        <f>Calc!H22</f>
        <v/>
      </c>
      <c r="I326">
        <f>IF(Skills!T22&lt;&gt;"",1+(Skills!T22/10)*(Z307/1000)/100,1)</f>
        <v/>
      </c>
      <c r="J326" t="inlineStr"/>
      <c r="K326" t="inlineStr"/>
      <c r="L326" t="inlineStr"/>
      <c r="M326" t="inlineStr"/>
      <c r="N326" t="inlineStr"/>
      <c r="O326">
        <f>(1-Summary!$B$11)*S326+Summary!$B$11*U326</f>
        <v/>
      </c>
      <c r="P326">
        <f>IF(B340=0,0,O326/B340)</f>
        <v/>
      </c>
      <c r="Q326">
        <f>IFERROR(1/IF(Inputs!$B$38="pvp",15,MAX(0.1,Skills!D22-IF(Skills!E22=TRUE,Inputs!$B$32,0))),0)</f>
        <v/>
      </c>
      <c r="R326" t="n">
        <v>0</v>
      </c>
      <c r="S326" t="n">
        <v>0</v>
      </c>
      <c r="U326" t="n">
        <v>0</v>
      </c>
    </row>
    <row r="327">
      <c r="A327">
        <f>Skills!A23</f>
        <v/>
      </c>
      <c r="B327">
        <f>Skills!B23</f>
        <v/>
      </c>
      <c r="C327">
        <f>Inputs!$B$3&gt;=120</f>
        <v/>
      </c>
      <c r="D327">
        <f>IF(Skills!C23=1,60+Inputs!$B$25+Inputs!$B$29,IF(Skills!C23=2,90+Inputs!$B$26+Inputs!$B$29,IF(Skills!C23=3,120+Inputs!$B$27+Inputs!$B$29,MAX(0,(Inputs!$B$3-100)*3)+Inputs!$B$28+Inputs!$B$29)))</f>
        <v/>
      </c>
      <c r="E327">
        <f>INDEX(FactorTable!$B$2:$Y$301, MATCH(ROUND(MIN(300,MAX(1,D327)),0), FactorTable!$A$2:$A$301,0), Skills!L23+1)</f>
        <v/>
      </c>
      <c r="F327">
        <f>IF(Skills!M23=TRUE,(Skills!K23/10)*(E327/1000),Skills!K23/10)+Skills!N23</f>
        <v/>
      </c>
      <c r="G327">
        <f>Calc!G23</f>
        <v/>
      </c>
      <c r="H327">
        <f>Calc!H23</f>
        <v/>
      </c>
      <c r="I327">
        <f>IF(Skills!T23&lt;&gt;"",1+(Skills!T23/10)*(Z307/1000)/100,1)</f>
        <v/>
      </c>
      <c r="J327" t="inlineStr"/>
      <c r="K327" t="inlineStr"/>
      <c r="L327" t="inlineStr"/>
      <c r="M327" t="inlineStr"/>
      <c r="N327" t="inlineStr"/>
      <c r="O327">
        <f>(1-Summary!$B$11)*S327+Summary!$B$11*U327</f>
        <v/>
      </c>
      <c r="P327">
        <f>IF(B340=0,0,O327/B340)</f>
        <v/>
      </c>
      <c r="Q327">
        <f>IFERROR(1/IF(Inputs!$B$38="pvp",15,MAX(0.1,Skills!D23-IF(Skills!E23=TRUE,Inputs!$B$32,0))),0)</f>
        <v/>
      </c>
      <c r="R327" t="n">
        <v>0</v>
      </c>
      <c r="S327" t="n">
        <v>0</v>
      </c>
      <c r="U327" t="n">
        <v>0</v>
      </c>
    </row>
    <row r="330">
      <c r="A330" t="inlineStr">
        <is>
          <t>Average Buff Multiplier (Magic Guard + Meditation + Artifact Attack%, summed; then Infinity)</t>
        </is>
      </c>
      <c r="B330">
        <f>(1+(IF(C307=TRUE,F307*IF(AND(Inputs!$B$38&lt;&gt;"pvp",Inputs!$B$43&gt;0),(((R307-1)*(Skills!S3*(1+(Inputs!$B$34+IF(Inputs!$B$3&gt;=117,F326,0))/100))+MIN((Skills!S3*(1+(Inputs!$B$34+IF(Inputs!$B$3&gt;=117,F326,0))/100)),MAX(0,Inputs!$B$43-((R307-1)*Skills!D3))))/Inputs!$B$43),IF(Inputs!$B$38="pvp",MIN((Skills!S3*(1+(Inputs!$B$34+IF(Inputs!$B$3&gt;=117,F326,0))/100)),15)/15,(Skills!S3*(1+(Inputs!$B$34+IF(Inputs!$B$3&gt;=117,F326,0))/100))/Skills!D3)),0)+IF(C308=TRUE,F308*IF(AND(Inputs!$B$38&lt;&gt;"pvp",Inputs!$B$43&gt;0),(((R308-1)*(Skills!S4*(1+(Inputs!$B$34+IF(Inputs!$B$3&gt;=117,F326,0))/100))+MIN((Skills!S4*(1+(Inputs!$B$34+IF(Inputs!$B$3&gt;=117,F326,0))/100)),MAX(0,Inputs!$B$43-((R308-1)*Skills!D4))))/Inputs!$B$43),IF(Inputs!$B$38="pvp",MIN((Skills!S4*(1+(Inputs!$B$34+IF(Inputs!$B$3&gt;=117,F326,0))/100)),15)/15,(Skills!S4*(1+(Inputs!$B$34+IF(Inputs!$B$3&gt;=117,F326,0)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320=TRUE,(1+F320*IF(AND(Inputs!$B$38&lt;&gt;"pvp",Inputs!$B$43&gt;0),(((R320-1)*(Skills!S16*(1+(Inputs!$B$34+IF(Inputs!$B$3&gt;=117,F326,0))/100))+MIN((Skills!S16*(1+(Inputs!$B$34+IF(Inputs!$B$3&gt;=117,F326,0))/100)),MAX(0,Inputs!$B$43-((R320-1)*Skills!D16))))/Inputs!$B$43),IF(Inputs!$B$38="pvp",MIN((Skills!S16*(1+(Inputs!$B$34+IF(Inputs!$B$3&gt;=117,F326,0))/100)),15)/15,(Skills!S16*(1+(Inputs!$B$34+IF(Inputs!$B$3&gt;=117,F326,0))/100))/Skills!D16))/100),1)</f>
        <v/>
      </c>
    </row>
    <row r="331">
      <c r="A331" t="inlineStr">
        <is>
          <t>Monster Damage Taken Bonus % (Freezing Breath - Weaken + Elemental Reset + Artifact Enemy Damage Taken, summed)</t>
        </is>
      </c>
      <c r="B331">
        <f>IF(Inputs!$B$3&gt;=118,15*IF(Inputs!$B$38="pvp",MIN((30*(1+(Inputs!$B$34+IF(Inputs!$B$3&gt;=117,F326,0))/100)),15)/15,(30*(1+(Inputs!$B$34+IF(Inputs!$B$3&gt;=117,F326,0))/100))/Skills!D8),0)+IF(C318=TRUE,F318,0)+(IF(AND(ArtifactsInput!$M$35,Inputs!$B$4&lt;&gt;"Chapter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f>
        <v/>
      </c>
    </row>
    <row r="332">
      <c r="A332" t="inlineStr">
        <is>
          <t>Damage % Bonus (Frozen Break + Frost Clutch, flat)</t>
        </is>
      </c>
      <c r="B332">
        <f>IF(Inputs!$B$3&gt;=66,15,0)+IF(Inputs!$B$3&gt;=98,10,0)+IF(Inputs!$B$3&gt;=125,20,0)</f>
        <v/>
      </c>
    </row>
    <row r="333">
      <c r="A333" t="inlineStr">
        <is>
          <t>Attack Speed Bonus % (MP Eater - MP Boost, always-on once unlocked)</t>
        </is>
      </c>
      <c r="B333">
        <f>IF(C317=TRUE,F317+(F321-Calc!F17),0)</f>
        <v/>
      </c>
    </row>
    <row r="334">
      <c r="A334" t="inlineStr">
        <is>
          <t>Actions Per Second</t>
        </is>
      </c>
      <c r="B334">
        <f>1+MIN(150,150*(1-(1-(Inputs!$B$11+(ArtifactsInput!$M$15-ArtifactsInput!$M$15)*CHOOSE(ArtifactsInput!$N$15+1,8,9.6,11.2,12.8,14.4,16))/150)*(1-B333/150)))/100</f>
        <v/>
      </c>
    </row>
    <row r="335">
      <c r="A335" t="inlineStr">
        <is>
          <t>Skill + Buff Cast Rate</t>
        </is>
      </c>
      <c r="B335">
        <f>IF(AND(Inputs!$B$38&lt;&gt;"pvp",Inputs!$B$43&gt;0),SUMPRODUCT((Skills!E2:E23=TRUE)*(C306:C327=TRUE)*R306:R327)/Inputs!$B$43,SUMPRODUCT((Skills!E2:E23=TRUE)*(C306:C327=TRUE)*Q306:Q327))</f>
        <v/>
      </c>
    </row>
    <row r="336">
      <c r="A336" t="inlineStr">
        <is>
          <t>Chain Lightning Casts Per Second</t>
        </is>
      </c>
      <c r="B336">
        <f>MAX(0,B334-B335)</f>
        <v/>
      </c>
    </row>
    <row r="337">
      <c r="A337" t="inlineStr">
        <is>
          <t>Buff-Casting Startup Delay (s, fixed-duration only)</t>
        </is>
      </c>
      <c r="B337">
        <f>IF(AND(Inputs!$B$38&lt;&gt;"pvp",Inputs!$B$43&gt;0),SUMPRODUCT((Skills!S2:S23&gt;0)*(Skills!E2:E23=TRUE)*(C306:C327=TRUE))/B334,0)</f>
        <v/>
      </c>
    </row>
    <row r="338">
      <c r="A338" t="inlineStr">
        <is>
          <t>Boss-Only Total DPS (this block's swept value)</t>
        </is>
      </c>
      <c r="B338">
        <f>SUM(S306:S327)</f>
        <v/>
      </c>
    </row>
    <row r="339">
      <c r="A339" t="inlineStr">
        <is>
          <t>Normal-Only Total DPS (this block's swept value)</t>
        </is>
      </c>
      <c r="B339">
        <f>SUM(U306:U327)</f>
        <v/>
      </c>
    </row>
    <row r="340">
      <c r="A340" s="6" t="inlineStr">
        <is>
          <t>TOTAL DPS</t>
        </is>
      </c>
      <c r="B340" s="6">
        <f>SUM(O306:O327)</f>
        <v/>
      </c>
    </row>
    <row r="343">
      <c r="A343" s="6" t="inlineStr">
        <is>
          <t>Stat: MIN_DAMAGE %</t>
        </is>
      </c>
    </row>
    <row r="344">
      <c r="A344" s="5" t="inlineStr">
        <is>
          <t>Key</t>
        </is>
      </c>
      <c r="B344" s="5" t="inlineStr">
        <is>
          <t>Name</t>
        </is>
      </c>
      <c r="C344" s="5" t="inlineStr">
        <is>
          <t>Unlocked</t>
        </is>
      </c>
      <c r="D344" s="5" t="inlineStr">
        <is>
          <t>InputLevel</t>
        </is>
      </c>
      <c r="E344" s="5" t="inlineStr">
        <is>
          <t>Factor</t>
        </is>
      </c>
      <c r="F344" s="5" t="inlineStr">
        <is>
          <t>CoefficientPercent</t>
        </is>
      </c>
      <c r="G344" s="5" t="inlineStr">
        <is>
          <t>EffectiveHits</t>
        </is>
      </c>
      <c r="H344" s="5" t="inlineStr">
        <is>
          <t>ProcProbability</t>
        </is>
      </c>
      <c r="I344" s="5" t="inlineStr">
        <is>
          <t>MapleHeroMultiplier</t>
        </is>
      </c>
      <c r="J344" s="5" t="inlineStr">
        <is>
          <t>BaseDamage</t>
        </is>
      </c>
      <c r="K344" s="5" t="inlineStr">
        <is>
          <t>BaseHitDamage</t>
        </is>
      </c>
      <c r="L344" s="5" t="inlineStr">
        <is>
          <t>NonCritAvg</t>
        </is>
      </c>
      <c r="M344" s="5" t="inlineStr">
        <is>
          <t>CritAvg</t>
        </is>
      </c>
      <c r="N344" s="5" t="inlineStr">
        <is>
          <t>ExpectedDamage(perHit)</t>
        </is>
      </c>
      <c r="O344" s="5" t="inlineStr">
        <is>
          <t>DPS</t>
        </is>
      </c>
      <c r="P344" s="5" t="inlineStr">
        <is>
          <t>% of Total</t>
        </is>
      </c>
      <c r="R344" t="inlineStr">
        <is>
          <t>helpers</t>
        </is>
      </c>
    </row>
    <row r="345">
      <c r="A345">
        <f>Skills!A2</f>
        <v/>
      </c>
      <c r="B345">
        <f>Skills!B2</f>
        <v/>
      </c>
      <c r="C345">
        <f>Inputs!$B$3&gt;=100</f>
        <v/>
      </c>
      <c r="D345" t="inlineStr"/>
      <c r="E345" t="inlineStr"/>
      <c r="F345">
        <f>T347+Skills!N2</f>
        <v/>
      </c>
      <c r="G345">
        <f>Calc!G2</f>
        <v/>
      </c>
      <c r="H345">
        <f>Calc!H2</f>
        <v/>
      </c>
      <c r="I345">
        <f>IF(Skills!T2&lt;&gt;"",1+(Skills!T2/10)*(Z346/1000)/100,1)</f>
        <v/>
      </c>
      <c r="J345">
        <f>((Inputs!$B$6*(1+Inputs!$B$7/100))+(((Inputs!$B$12*(1+Inputs!$B$13/100))-(Inputs!$B$12*(1+Inputs!$B$13/100)))+0.25*(Inputs!$B$14-Inputs!$B$14))*(1+Inputs!$B$7/100))*(F345/100)</f>
        <v/>
      </c>
      <c r="K345">
        <f>J345*(1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+1)+(F361-Calc!F18),(Inputs!$B$23+(IF(ArtifactsInput!$M$15,CHOOSE(ArtifactsInput!$N$15+1,25,30,35,40,45,50)/100*(Inputs!$B$11-Inputs!$B$11),0))))/100+(Inputs!$B$23+(IF(ArtifactsInput!$M$15,CHOOSE(ArtifactsInput!$N$15+1,25,30,35,40,45,50)/100*(Inputs!$B$11-Inputs!$B$11),0)))/100)/2</f>
        <v/>
      </c>
      <c r="M345">
        <f>L345*(1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(1-Summary!$B$11)*S345+Summary!$B$11*U345</f>
        <v/>
      </c>
      <c r="P345">
        <f>IF(B379=0,0,O345/B379)</f>
        <v/>
      </c>
      <c r="Q345">
        <f>IFERROR(1/IF(Inputs!$B$38="pvp",15,MAX(0.1,Skills!D2-IF(Skills!E2=TRUE,Inputs!$B$32,0))),0)</f>
        <v/>
      </c>
      <c r="R345" t="n">
        <v>0</v>
      </c>
      <c r="S345">
        <f>IF(C345,(Skills!F2*N345*B375)*IF(Inputs!$B$38="pvp",1,1+(Inputs!$B$20+Skills!O2+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45">
        <f>MAX(0,(Inputs!$B$3-100)*3)+Inputs!$B$28+Inputs!$B$29</f>
        <v/>
      </c>
      <c r="U345">
        <f>IF(C345,(Skills!F2*N345*B375)*IF(Inputs!$B$38="pvp",1,(1+(Inputs!$B$21+Skills!P2+B370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45">
        <f>MAX(0,(Inputs!$B$3-100)*3)+Inputs!$B$28+Inputs!$B$29</f>
        <v/>
      </c>
    </row>
    <row r="346">
      <c r="A346">
        <f>Skills!A3</f>
        <v/>
      </c>
      <c r="B346">
        <f>Skills!B3</f>
        <v/>
      </c>
      <c r="C346">
        <f>Inputs!$B$3&gt;=15</f>
        <v/>
      </c>
      <c r="D346">
        <f>IF(Skills!C3=1,60+Inputs!$B$25+Inputs!$B$29,IF(Skills!C3=2,90+Inputs!$B$26+Inputs!$B$29,IF(Skills!C3=3,120+Inputs!$B$27+Inputs!$B$29,MAX(0,(Inputs!$B$3-100)*3)+Inputs!$B$28+Inputs!$B$29)))</f>
        <v/>
      </c>
      <c r="E346">
        <f>INDEX(FactorTable!$B$2:$Y$301, MATCH(ROUND(MIN(300,MAX(1,D346)),0), FactorTable!$A$2:$A$301,0), Skills!L3+1)</f>
        <v/>
      </c>
      <c r="F346">
        <f>IF(Skills!M3=TRUE,(Skills!K3/10)*(E346/1000),Skills!K3/10)+Skills!N3</f>
        <v/>
      </c>
      <c r="G346">
        <f>Calc!G3</f>
        <v/>
      </c>
      <c r="H346">
        <f>Calc!H3</f>
        <v/>
      </c>
      <c r="I346">
        <f>IF(Skills!T3&lt;&gt;"",1+(Skills!T3/10)*(Z346/1000)/100,1)</f>
        <v/>
      </c>
      <c r="J346" t="inlineStr"/>
      <c r="K346" t="inlineStr"/>
      <c r="L346" t="inlineStr"/>
      <c r="M346" t="inlineStr"/>
      <c r="N346" t="inlineStr"/>
      <c r="O346">
        <f>(1-Summary!$B$11)*S346+Summary!$B$11*U346</f>
        <v/>
      </c>
      <c r="P346">
        <f>IF(B379=0,0,O346/B379)</f>
        <v/>
      </c>
      <c r="Q346">
        <f>IFERROR(1/IF(Inputs!$B$38="pvp",15,MAX(0.1,Skills!D3-IF(Skills!E3=TRUE,Inputs!$B$32,0))),0)</f>
        <v/>
      </c>
      <c r="R346">
        <f>IF(AND(Inputs!$B$38&lt;&gt;"pvp",Inputs!$B$43&gt;0),IF(Inputs!$B$43&lt;=0,0,(INT(Inputs!$B$43/IF(Inputs!$B$38="pvp",15,MAX(0.1,Skills!D3-IF(Skills!E3=TRUE,Inputs!$B$32,0))))+1)),0)</f>
        <v/>
      </c>
      <c r="S346" t="n">
        <v>0</v>
      </c>
      <c r="T346">
        <f>INDEX(FactorTable!$B$2:$Y$301, MATCH(ROUND(MIN(300,MAX(1,T345)),0), FactorTable!$A$2:$A$301,0), 22)</f>
        <v/>
      </c>
      <c r="U346" t="n">
        <v>0</v>
      </c>
      <c r="Z346">
        <f>INDEX(FactorTable!$B$2:$Y$301, MATCH(ROUND(MIN(300,MAX(1,Z345)),0), FactorTable!$A$2:$A$301,0), 24)</f>
        <v/>
      </c>
    </row>
    <row r="347">
      <c r="A347">
        <f>Skills!A4</f>
        <v/>
      </c>
      <c r="B347">
        <f>Skills!B4</f>
        <v/>
      </c>
      <c r="C347">
        <f>Inputs!$B$3&gt;=40</f>
        <v/>
      </c>
      <c r="D347">
        <f>IF(Skills!C4=1,60+Inputs!$B$25+Inputs!$B$29,IF(Skills!C4=2,90+Inputs!$B$26+Inputs!$B$29,IF(Skills!C4=3,120+Inputs!$B$27+Inputs!$B$29,MAX(0,(Inputs!$B$3-100)*3)+Inputs!$B$28+Inputs!$B$29)))</f>
        <v/>
      </c>
      <c r="E347">
        <f>INDEX(FactorTable!$B$2:$Y$301, MATCH(ROUND(MIN(300,MAX(1,D347)),0), FactorTable!$A$2:$A$301,0), Skills!L4+1)</f>
        <v/>
      </c>
      <c r="F347">
        <f>IF(Skills!M4=TRUE,(Skills!K4/10)*(E347/1000),Skills!K4/10)+Skills!N4</f>
        <v/>
      </c>
      <c r="G347">
        <f>Calc!G4</f>
        <v/>
      </c>
      <c r="H347">
        <f>Calc!H4</f>
        <v/>
      </c>
      <c r="I347">
        <f>IF(Skills!T4&lt;&gt;"",1+(Skills!T4/10)*(Z346/1000)/100,1)</f>
        <v/>
      </c>
      <c r="J347" t="inlineStr"/>
      <c r="K347" t="inlineStr"/>
      <c r="L347" t="inlineStr"/>
      <c r="M347" t="inlineStr"/>
      <c r="N347" t="inlineStr"/>
      <c r="O347">
        <f>(1-Summary!$B$11)*S347+Summary!$B$11*U347</f>
        <v/>
      </c>
      <c r="P347">
        <f>IF(B379=0,0,O347/B379)</f>
        <v/>
      </c>
      <c r="Q347">
        <f>IFERROR(1/IF(Inputs!$B$38="pvp",15,MAX(0.1,Skills!D4-IF(Skills!E4=TRUE,Inputs!$B$32,0))),0)</f>
        <v/>
      </c>
      <c r="R347">
        <f>IF(AND(Inputs!$B$38&lt;&gt;"pvp",Inputs!$B$43&gt;0),IF(Inputs!$B$43&lt;=0,0,(INT(Inputs!$B$43/IF(Inputs!$B$38="pvp",15,MAX(0.1,Skills!D4-IF(Skills!E4=TRUE,Inputs!$B$32,0))))+1)),0)</f>
        <v/>
      </c>
      <c r="S347" t="n">
        <v>0</v>
      </c>
      <c r="T347">
        <f>290*T346/1000</f>
        <v/>
      </c>
      <c r="U347" t="n">
        <v>0</v>
      </c>
    </row>
    <row r="348">
      <c r="A348">
        <f>Skills!A5</f>
        <v/>
      </c>
      <c r="B348">
        <f>Skills!B5</f>
        <v/>
      </c>
      <c r="C348">
        <f>Inputs!$B$3&gt;=38</f>
        <v/>
      </c>
      <c r="D348">
        <f>IF(Skills!C5=1,60+Inputs!$B$25+Inputs!$B$29,IF(Skills!C5=2,90+Inputs!$B$26+Inputs!$B$29,IF(Skills!C5=3,120+Inputs!$B$27+Inputs!$B$29,MAX(0,(Inputs!$B$3-100)*3)+Inputs!$B$28+Inputs!$B$29)))</f>
        <v/>
      </c>
      <c r="E348">
        <f>INDEX(FactorTable!$B$2:$Y$301, MATCH(ROUND(MIN(300,MAX(1,D348)),0), FactorTable!$A$2:$A$301,0), Skills!L5+1)</f>
        <v/>
      </c>
      <c r="F348">
        <f>IF(Skills!M5=TRUE,(Skills!K5/10)*(E348/1000),Skills!K5/10)+Skills!N5</f>
        <v/>
      </c>
      <c r="G348">
        <f>Calc!G5</f>
        <v/>
      </c>
      <c r="H348">
        <f>Calc!H5</f>
        <v/>
      </c>
      <c r="I348">
        <f>IF(Skills!T5&lt;&gt;"",1+(Skills!T5/10)*(Z346/1000)/100,1)</f>
        <v/>
      </c>
      <c r="J348">
        <f>((Inputs!$B$6*(1+Inputs!$B$7/100))+(((Inputs!$B$12*(1+Inputs!$B$13/100))-(Inputs!$B$12*(1+Inputs!$B$13/100)))+0.25*(Inputs!$B$14-Inputs!$B$14))*(1+Inputs!$B$7/100))*(F348/100)</f>
        <v/>
      </c>
      <c r="K348">
        <f>J348*(1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+1)+(F361-Calc!F18),(Inputs!$B$23+(IF(ArtifactsInput!$M$15,CHOOSE(ArtifactsInput!$N$15+1,25,30,35,40,45,50)/100*(Inputs!$B$11-Inputs!$B$11),0))))/100+(Inputs!$B$23+(IF(ArtifactsInput!$M$15,CHOOSE(ArtifactsInput!$N$15+1,25,30,35,40,45,50)/100*(Inputs!$B$11-Inputs!$B$11),0)))/100)/2</f>
        <v/>
      </c>
      <c r="M348">
        <f>L348*(1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IF(B379=0,0,O348/B379)</f>
        <v/>
      </c>
      <c r="Q348">
        <f>IFERROR(1/IF(Inputs!$B$38="pvp",15,MAX(0.1,Skills!D5-IF(Skills!E5=TRUE,Inputs!$B$32,0))),0)</f>
        <v/>
      </c>
      <c r="R348">
        <f>IF(AND(Inputs!$B$38&lt;&gt;"pvp",Inputs!$B$43&gt;0),IF(MAX(0,Inputs!$B$43-B376)&lt;=0,0,(INT(MAX(0,Inputs!$B$43-B376)/IF(Inputs!$B$38="pvp",15,MAX(0.1,Skills!D5-IF(Skills!E5=TRUE,Inputs!$B$32,0))))+1)),0)</f>
        <v/>
      </c>
      <c r="S348">
        <f>IF(C348,(H348*N348*IF(AND(Inputs!$B$38&lt;&gt;"pvp",Inputs!$B$43&gt;0),((Skills!F5*((R348-1)*IF(Skills!G5&gt;0,Skills!H5/Skills!G5,1)+IF(Skills!G5&gt;0,MIN(Skills!H5,MAX(0,MAX(0,Inputs!$B$43-B376)-((R348-1)*IF(Inputs!$B$38="pvp",15,MAX(0.1,Skills!D5-IF(Skills!E5=TRUE,Inputs!$B$32,0))))))/Skills!G5,1)))/Inputs!$B$43),G348*Q348))*IF(Inputs!$B$38="pvp",1,1+(Inputs!$B$20+Skills!O5+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N348*IF(AND(Inputs!$B$38&lt;&gt;"pvp",Inputs!$B$43&gt;0),((Skills!F5*((R348-1)*IF(Skills!G5&gt;0,Skills!H5/Skills!G5,1)+IF(Skills!G5&gt;0,MIN(Skills!H5,MAX(0,MAX(0,Inputs!$B$43-B376)-((R348-1)*IF(Inputs!$B$38="pvp",15,MAX(0.1,Skills!D5-IF(Skills!E5=TRUE,Inputs!$B$32,0))))))/Skills!G5,1)))/Inputs!$B$43),G348*Q348))*IF(Inputs!$B$38="pvp",1,(1+(Inputs!$B$21+Skills!P5+B370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Skills!A6</f>
        <v/>
      </c>
      <c r="B349">
        <f>Skills!B6</f>
        <v/>
      </c>
      <c r="C349">
        <f>Inputs!$B$3&gt;=63</f>
        <v/>
      </c>
      <c r="D349">
        <f>IF(Skills!C6=1,60+Inputs!$B$25+Inputs!$B$29,IF(Skills!C6=2,90+Inputs!$B$26+Inputs!$B$29,IF(Skills!C6=3,120+Inputs!$B$27+Inputs!$B$29,MAX(0,(Inputs!$B$3-100)*3)+Inputs!$B$28+Inputs!$B$29)))</f>
        <v/>
      </c>
      <c r="E349">
        <f>INDEX(FactorTable!$B$2:$Y$301, MATCH(ROUND(MIN(300,MAX(1,D349)),0), FactorTable!$A$2:$A$301,0), Skills!L6+1)</f>
        <v/>
      </c>
      <c r="F349">
        <f>IF(Skills!M6=TRUE,(Skills!K6/10)*(E349/1000),Skills!K6/10)+Skills!N6</f>
        <v/>
      </c>
      <c r="G349">
        <f>Calc!G6</f>
        <v/>
      </c>
      <c r="H349">
        <f>Calc!H6</f>
        <v/>
      </c>
      <c r="I349">
        <f>IF(Skills!T6&lt;&gt;"",1+(Skills!T6/10)*(Z346/1000)/100,1)</f>
        <v/>
      </c>
      <c r="J349">
        <f>((Inputs!$B$6*(1+Inputs!$B$7/100))+(((Inputs!$B$12*(1+Inputs!$B$13/100))-(Inputs!$B$12*(1+Inputs!$B$13/100)))+0.25*(Inputs!$B$14-Inputs!$B$14))*(1+Inputs!$B$7/100))*(F349/100)</f>
        <v/>
      </c>
      <c r="K349">
        <f>J349*(1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+1)+(F361-Calc!F18),(Inputs!$B$23+(IF(ArtifactsInput!$M$15,CHOOSE(ArtifactsInput!$N$15+1,25,30,35,40,45,50)/100*(Inputs!$B$11-Inputs!$B$11),0))))/100+(Inputs!$B$23+(IF(ArtifactsInput!$M$15,CHOOSE(ArtifactsInput!$N$15+1,25,30,35,40,45,50)/100*(Inputs!$B$11-Inputs!$B$11),0)))/100)/2</f>
        <v/>
      </c>
      <c r="M349">
        <f>L349*(1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IF(B379=0,0,O349/B379)</f>
        <v/>
      </c>
      <c r="Q349">
        <f>IFERROR(1/IF(Inputs!$B$38="pvp",15,MAX(0.1,Skills!D6-IF(Skills!E6=TRUE,Inputs!$B$32,0))),0)</f>
        <v/>
      </c>
      <c r="R349">
        <f>IF(AND(Inputs!$B$38&lt;&gt;"pvp",Inputs!$B$43&gt;0),IF(MAX(0,Inputs!$B$43-B376)&lt;=0,0,(INT(MAX(0,Inputs!$B$43-B376)/IF(Inputs!$B$38="pvp",15,MAX(0.1,Skills!D6-IF(Skills!E6=TRUE,Inputs!$B$32,0))))+1)),0)</f>
        <v/>
      </c>
      <c r="S349">
        <f>IF(C349,(H349*N349*IF(AND(Inputs!$B$38&lt;&gt;"pvp",Inputs!$B$43&gt;0),((Skills!F6*((R349-1)*IF(Skills!G6&gt;0,Skills!H6/Skills!G6,1)+IF(Skills!G6&gt;0,MIN(Skills!H6,MAX(0,MAX(0,Inputs!$B$43-B376)-((R349-1)*IF(Inputs!$B$38="pvp",15,MAX(0.1,Skills!D6-IF(Skills!E6=TRUE,Inputs!$B$32,0))))))/Skills!G6,1)))/Inputs!$B$43),G349*Q349))*IF(Inputs!$B$38="pvp",1,1+(Inputs!$B$20+Skills!O6+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F6*((R349-1)*IF(Skills!G6&gt;0,Skills!H6/Skills!G6,1)+IF(Skills!G6&gt;0,MIN(Skills!H6,MAX(0,MAX(0,Inputs!$B$43-B376)-((R349-1)*IF(Inputs!$B$38="pvp",15,MAX(0.1,Skills!D6-IF(Skills!E6=TRUE,Inputs!$B$32,0))))))/Skills!G6,1)))/Inputs!$B$43),G349*Q349))*IF(Inputs!$B$38="pvp",1,(1+(Inputs!$B$21+Skills!P6+B370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Skills!A7</f>
        <v/>
      </c>
      <c r="B350">
        <f>Skills!B7</f>
        <v/>
      </c>
      <c r="C350">
        <f>Inputs!$B$3&gt;=69</f>
        <v/>
      </c>
      <c r="D350">
        <f>IF(Skills!C7=1,60+Inputs!$B$25+Inputs!$B$29,IF(Skills!C7=2,90+Inputs!$B$26+Inputs!$B$29,IF(Skills!C7=3,120+Inputs!$B$27+Inputs!$B$29,MAX(0,(Inputs!$B$3-100)*3)+Inputs!$B$28+Inputs!$B$29)))</f>
        <v/>
      </c>
      <c r="E350">
        <f>INDEX(FactorTable!$B$2:$Y$301, MATCH(ROUND(MIN(300,MAX(1,D350)),0), FactorTable!$A$2:$A$301,0), Skills!L7+1)</f>
        <v/>
      </c>
      <c r="F350">
        <f>IF(Skills!M7=TRUE,(Skills!K7/10)*(E350/1000),Skills!K7/10)+Skills!N7</f>
        <v/>
      </c>
      <c r="G350">
        <f>Calc!G7</f>
        <v/>
      </c>
      <c r="H350">
        <f>Calc!H7</f>
        <v/>
      </c>
      <c r="I350">
        <f>IF(Skills!T7&lt;&gt;"",1+(Skills!T7/10)*(Z346/1000)/100,1)</f>
        <v/>
      </c>
      <c r="J350">
        <f>((Inputs!$B$6*(1+Inputs!$B$7/100))+(((Inputs!$B$12*(1+Inputs!$B$13/100))-(Inputs!$B$12*(1+Inputs!$B$13/100)))+0.25*(Inputs!$B$14-Inputs!$B$14))*(1+Inputs!$B$7/100))*(F350/100)</f>
        <v/>
      </c>
      <c r="K350">
        <f>J350*(1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+1)+(F361-Calc!F18),(Inputs!$B$23+(IF(ArtifactsInput!$M$15,CHOOSE(ArtifactsInput!$N$15+1,25,30,35,40,45,50)/100*(Inputs!$B$11-Inputs!$B$11),0))))/100+(Inputs!$B$23+(IF(ArtifactsInput!$M$15,CHOOSE(ArtifactsInput!$N$15+1,25,30,35,40,45,50)/100*(Inputs!$B$11-Inputs!$B$11),0)))/100)/2</f>
        <v/>
      </c>
      <c r="M350">
        <f>L350*(1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IF(B379=0,0,O350/B379)</f>
        <v/>
      </c>
      <c r="Q350">
        <f>IFERROR(1/IF(Inputs!$B$38="pvp",15,MAX(0.1,Skills!D7-IF(Skills!E7=TRUE,Inputs!$B$32,0))),0)</f>
        <v/>
      </c>
      <c r="R350">
        <f>IF(AND(Inputs!$B$38&lt;&gt;"pvp",Inputs!$B$43&gt;0),IF(MAX(0,Inputs!$B$43-B376)&lt;=0,0,(INT(MAX(0,Inputs!$B$43-B376)/IF(Inputs!$B$38="pvp",15,MAX(0.1,Skills!D7-IF(Skills!E7=TRUE,Inputs!$B$32,0))))+1)),0)</f>
        <v/>
      </c>
      <c r="S350">
        <f>IF(C350,(H350*N350*IF(AND(Inputs!$B$38&lt;&gt;"pvp",Inputs!$B$43&gt;0),((Skills!F7*((R350-1)*IF(Skills!G7&gt;0,Skills!H7/Skills!G7,1)+IF(Skills!G7&gt;0,MIN(Skills!H7,MAX(0,MAX(0,Inputs!$B$43-B376)-((R350-1)*IF(Inputs!$B$38="pvp",15,MAX(0.1,Skills!D7-IF(Skills!E7=TRUE,Inputs!$B$32,0))))))/Skills!G7,1)))/Inputs!$B$43),G350*Q350))*IF(Inputs!$B$38="pvp",1,1+(Inputs!$B$20+Skills!O7+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F7*((R350-1)*IF(Skills!G7&gt;0,Skills!H7/Skills!G7,1)+IF(Skills!G7&gt;0,MIN(Skills!H7,MAX(0,MAX(0,Inputs!$B$43-B376)-((R350-1)*IF(Inputs!$B$38="pvp",15,MAX(0.1,Skills!D7-IF(Skills!E7=TRUE,Inputs!$B$32,0))))))/Skills!G7,1)))/Inputs!$B$43),G350*Q350))*IF(Inputs!$B$38="pvp",1,(1+(Inputs!$B$21+Skills!P7+B370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Skills!A8</f>
        <v/>
      </c>
      <c r="B351">
        <f>Skills!B8</f>
        <v/>
      </c>
      <c r="C351">
        <f>Inputs!$B$3&gt;=103</f>
        <v/>
      </c>
      <c r="D351">
        <f>IF(Skills!C8=1,60+Inputs!$B$25+Inputs!$B$29,IF(Skills!C8=2,90+Inputs!$B$26+Inputs!$B$29,IF(Skills!C8=3,120+Inputs!$B$27+Inputs!$B$29,MAX(0,(Inputs!$B$3-100)*3)+Inputs!$B$28+Inputs!$B$29)))</f>
        <v/>
      </c>
      <c r="E351">
        <f>INDEX(FactorTable!$B$2:$Y$301, MATCH(ROUND(MIN(300,MAX(1,D351)),0), FactorTable!$A$2:$A$301,0), Skills!L8+1)</f>
        <v/>
      </c>
      <c r="F351">
        <f>IF(Skills!M8=TRUE,(Skills!K8/10)*(E351/1000),Skills!K8/10)+Skills!N8</f>
        <v/>
      </c>
      <c r="G351">
        <f>Calc!G8</f>
        <v/>
      </c>
      <c r="H351">
        <f>Calc!H8</f>
        <v/>
      </c>
      <c r="I351">
        <f>IF(Skills!T8&lt;&gt;"",1+(Skills!T8/10)*(Z346/1000)/100,1)</f>
        <v/>
      </c>
      <c r="J351">
        <f>((Inputs!$B$6*(1+Inputs!$B$7/100))+(((Inputs!$B$12*(1+Inputs!$B$13/100))-(Inputs!$B$12*(1+Inputs!$B$13/100)))+0.25*(Inputs!$B$14-Inputs!$B$14))*(1+Inputs!$B$7/100))*(F351/100)</f>
        <v/>
      </c>
      <c r="K351">
        <f>J351*(1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+1)+(F361-Calc!F18),(Inputs!$B$23+(IF(ArtifactsInput!$M$15,CHOOSE(ArtifactsInput!$N$15+1,25,30,35,40,45,50)/100*(Inputs!$B$11-Inputs!$B$11),0))))/100+(Inputs!$B$23+(IF(ArtifactsInput!$M$15,CHOOSE(ArtifactsInput!$N$15+1,25,30,35,40,45,50)/100*(Inputs!$B$11-Inputs!$B$11),0)))/100)/2</f>
        <v/>
      </c>
      <c r="M351">
        <f>L351*(1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(1-Summary!$B$11)*S351+Summary!$B$11*U351</f>
        <v/>
      </c>
      <c r="P351">
        <f>IF(B379=0,0,O351/B379)</f>
        <v/>
      </c>
      <c r="Q351">
        <f>IFERROR(1/IF(Inputs!$B$38="pvp",15,MAX(0.1,Skills!D8-IF(Skills!E8=TRUE,Inputs!$B$32,0))),0)</f>
        <v/>
      </c>
      <c r="R351">
        <f>IF(AND(Inputs!$B$38&lt;&gt;"pvp",Inputs!$B$43&gt;0),IF(MAX(0,Inputs!$B$43-B376)&lt;=0,0,(INT(MAX(0,Inputs!$B$43-B376)/IF(Inputs!$B$38="pvp",15,MAX(0.1,Skills!D8-IF(Skills!E8=TRUE,Inputs!$B$32,0))))+1)),0)</f>
        <v/>
      </c>
      <c r="S351">
        <f>IF(C351,(H351*N351*IF(AND(Inputs!$B$38&lt;&gt;"pvp",Inputs!$B$43&gt;0),((Skills!F8*((R351-1)*IF(Skills!G8&gt;0,Skills!H8/Skills!G8,1)+IF(Skills!G8&gt;0,MIN(Skills!H8,MAX(0,MAX(0,Inputs!$B$43-B376)-((R351-1)*IF(Inputs!$B$38="pvp",15,MAX(0.1,Skills!D8-IF(Skills!E8=TRUE,Inputs!$B$32,0))))))/Skills!G8,1)))/Inputs!$B$43),G351*Q351))*IF(Inputs!$B$38="pvp",1,1+(Inputs!$B$20+Skills!O8+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351*(1-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1">
        <f>IF(C351,(H351*N351*IF(AND(Inputs!$B$38&lt;&gt;"pvp",Inputs!$B$43&gt;0),((Skills!F8*((R351-1)*IF(Skills!G8&gt;0,Skills!H8/Skills!G8,1)+IF(Skills!G8&gt;0,MIN(Skills!H8,MAX(0,MAX(0,Inputs!$B$43-B376)-((R351-1)*IF(Inputs!$B$38="pvp",15,MAX(0.1,Skills!D8-IF(Skills!E8=TRUE,Inputs!$B$32,0))))))/Skills!G8,1)))/Inputs!$B$43),G351*Q351))*IF(Inputs!$B$38="pvp",1,(1+(Inputs!$B$21+Skills!P8+B370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Skills!A9</f>
        <v/>
      </c>
      <c r="B352">
        <f>Skills!B9</f>
        <v/>
      </c>
      <c r="C352">
        <f>Inputs!$B$3&gt;=105</f>
        <v/>
      </c>
      <c r="D352">
        <f>IF(Skills!C9=1,60+Inputs!$B$25+Inputs!$B$29,IF(Skills!C9=2,90+Inputs!$B$26+Inputs!$B$29,IF(Skills!C9=3,120+Inputs!$B$27+Inputs!$B$29,MAX(0,(Inputs!$B$3-100)*3)+Inputs!$B$28+Inputs!$B$29)))</f>
        <v/>
      </c>
      <c r="E352">
        <f>INDEX(FactorTable!$B$2:$Y$301, MATCH(ROUND(MIN(300,MAX(1,D352)),0), FactorTable!$A$2:$A$301,0), Skills!L9+1)</f>
        <v/>
      </c>
      <c r="F352">
        <f>IF(Skills!M9=TRUE,(Skills!K9/10)*(E352/1000),Skills!K9/10)+Skills!N9</f>
        <v/>
      </c>
      <c r="G352">
        <f>Calc!G9</f>
        <v/>
      </c>
      <c r="H352">
        <f>Calc!H9</f>
        <v/>
      </c>
      <c r="I352">
        <f>IF(Skills!T9&lt;&gt;"",1+(Skills!T9/10)*(Z346/1000)/100,1)</f>
        <v/>
      </c>
      <c r="J352">
        <f>((Inputs!$B$6*(1+Inputs!$B$7/100))+(((Inputs!$B$12*(1+Inputs!$B$13/100))-(Inputs!$B$12*(1+Inputs!$B$13/100)))+0.25*(Inputs!$B$14-Inputs!$B$14))*(1+Inputs!$B$7/100))*(F352/100)</f>
        <v/>
      </c>
      <c r="K352">
        <f>J352*(1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+1)+(F361-Calc!F18),(Inputs!$B$23+(IF(ArtifactsInput!$M$15,CHOOSE(ArtifactsInput!$N$15+1,25,30,35,40,45,50)/100*(Inputs!$B$11-Inputs!$B$11),0))))/100+(Inputs!$B$23+(IF(ArtifactsInput!$M$15,CHOOSE(ArtifactsInput!$N$15+1,25,30,35,40,45,50)/100*(Inputs!$B$11-Inputs!$B$11),0)))/100)/2</f>
        <v/>
      </c>
      <c r="M352">
        <f>L352*(1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(1-Summary!$B$11)*S352+Summary!$B$11*U352</f>
        <v/>
      </c>
      <c r="P352">
        <f>IF(B379=0,0,O352/B379)</f>
        <v/>
      </c>
      <c r="Q352">
        <f>IFERROR(1/IF(Inputs!$B$38="pvp",15,MAX(0.1,Skills!D9-IF(Skills!E9=TRUE,Inputs!$B$32,0))),0)</f>
        <v/>
      </c>
      <c r="R352">
        <f>IF(AND(Inputs!$B$38&lt;&gt;"pvp",Inputs!$B$43&gt;0),IF(MAX(0,Inputs!$B$43-B376)&lt;=0,0,(INT(MAX(0,Inputs!$B$43-B376)/IF(Inputs!$B$38="pvp",15,MAX(0.1,Skills!D9-IF(Skills!E9=TRUE,Inputs!$B$32,0))))+1)),0)</f>
        <v/>
      </c>
      <c r="S352">
        <f>IF(C352,(H352*N352*IF(AND(Inputs!$B$38&lt;&gt;"pvp",Inputs!$B$43&gt;0),((Skills!F9*((R352-1)*IF(Skills!G9&gt;0,Skills!H9/Skills!G9,1)+IF(Skills!G9&gt;0,MIN(Skills!H9,MAX(0,MAX(0,Inputs!$B$43-B376)-((R352-1)*IF(Inputs!$B$38="pvp",15,MAX(0.1,Skills!D9-IF(Skills!E9=TRUE,Inputs!$B$32,0))))))/Skills!G9,1)))/Inputs!$B$43),G352*Q352))*IF(Inputs!$B$38="pvp",1,1+(Inputs!$B$20+Skills!O9+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352*(1-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2">
        <f>IF(C352,(H352*N352*IF(AND(Inputs!$B$38&lt;&gt;"pvp",Inputs!$B$43&gt;0),((Skills!F9*((R352-1)*IF(Skills!G9&gt;0,Skills!H9/Skills!G9,1)+IF(Skills!G9&gt;0,MIN(Skills!H9,MAX(0,MAX(0,Inputs!$B$43-B376)-((R352-1)*IF(Inputs!$B$38="pvp",15,MAX(0.1,Skills!D9-IF(Skills!E9=TRUE,Inputs!$B$32,0))))))/Skills!G9,1)))/Inputs!$B$43),G352*Q352))*IF(Inputs!$B$38="pvp",1,(1+(Inputs!$B$21+Skills!P9+B370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Skills!A10</f>
        <v/>
      </c>
      <c r="B353">
        <f>Skills!B10</f>
        <v/>
      </c>
      <c r="C353">
        <f>Inputs!$B$3&gt;=113</f>
        <v/>
      </c>
      <c r="D353">
        <f>IF(Skills!C10=1,60+Inputs!$B$25+Inputs!$B$29,IF(Skills!C10=2,90+Inputs!$B$26+Inputs!$B$29,IF(Skills!C10=3,120+Inputs!$B$27+Inputs!$B$29,MAX(0,(Inputs!$B$3-100)*3)+Inputs!$B$28+Inputs!$B$29)))</f>
        <v/>
      </c>
      <c r="E353">
        <f>INDEX(FactorTable!$B$2:$Y$301, MATCH(ROUND(MIN(300,MAX(1,D353)),0), FactorTable!$A$2:$A$301,0), Skills!L10+1)</f>
        <v/>
      </c>
      <c r="F353">
        <f>IF(Skills!M10=TRUE,(Skills!K10/10)*(E353/1000),Skills!K10/10)+Skills!N10</f>
        <v/>
      </c>
      <c r="G353">
        <f>Calc!G10</f>
        <v/>
      </c>
      <c r="H353">
        <f>Calc!H10</f>
        <v/>
      </c>
      <c r="I353">
        <f>IF(Skills!T10&lt;&gt;"",1+(Skills!T10/10)*(Z346/1000)/100,1)</f>
        <v/>
      </c>
      <c r="J353">
        <f>((Inputs!$B$6*(1+Inputs!$B$7/100))+(((Inputs!$B$12*(1+Inputs!$B$13/100))-(Inputs!$B$12*(1+Inputs!$B$13/100)))+0.25*(Inputs!$B$14-Inputs!$B$14))*(1+Inputs!$B$7/100))*(F353/100)</f>
        <v/>
      </c>
      <c r="K353">
        <f>J353*(1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+1)+(F361-Calc!F18),(Inputs!$B$23+(IF(ArtifactsInput!$M$15,CHOOSE(ArtifactsInput!$N$15+1,25,30,35,40,45,50)/100*(Inputs!$B$11-Inputs!$B$11),0))))/100+(Inputs!$B$23+(IF(ArtifactsInput!$M$15,CHOOSE(ArtifactsInput!$N$15+1,25,30,35,40,45,50)/100*(Inputs!$B$11-Inputs!$B$11),0)))/100)/2</f>
        <v/>
      </c>
      <c r="M353">
        <f>L353*(1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(1-Summary!$B$11)*S353+Summary!$B$11*U353</f>
        <v/>
      </c>
      <c r="P353">
        <f>IF(B379=0,0,O353/B379)</f>
        <v/>
      </c>
      <c r="Q353">
        <f>IFERROR(1/IF(Inputs!$B$38="pvp",15,MAX(0.1,Skills!D10-IF(Skills!E9=TRUE,Inputs!$B$32,0))),0)</f>
        <v/>
      </c>
      <c r="R353">
        <f>IF(AND(Inputs!$B$38&lt;&gt;"pvp",Inputs!$B$43&gt;0),IF(MAX(0,Inputs!$B$43-B376)&lt;=0,0,(INT(MAX(0,Inputs!$B$43-B376)/IF(Inputs!$B$38="pvp",15,MAX(0.1,Skills!D10-IF(Skills!E9=TRUE,Inputs!$B$32,0))))+1)),0)</f>
        <v/>
      </c>
      <c r="S353">
        <f>IF(C353,(H353*N353*IF(AND(Inputs!$B$38&lt;&gt;"pvp",Inputs!$B$43&gt;0),((Skills!F10*((R353-1)*IF(Skills!G10&gt;0,Skills!H10/Skills!G10,1)+IF(Skills!G10&gt;0,MIN(Skills!H10,MAX(0,MAX(0,Inputs!$B$43-B376)-((R353-1)*IF(Inputs!$B$38="pvp",15,MAX(0.1,Skills!D10-IF(Skills!E9=TRUE,Inputs!$B$32,0))))))/Skills!G10,1)))/Inputs!$B$43),G353*Q353))*IF(Inputs!$B$38="pvp",1,1+(Inputs!$B$20+Skills!O10+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353*(1-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IF(C353,(H353*N353*IF(AND(Inputs!$B$38&lt;&gt;"pvp",Inputs!$B$43&gt;0),((Skills!F10*((R353-1)*IF(Skills!G10&gt;0,Skills!H10/Skills!G10,1)+IF(Skills!G10&gt;0,MIN(Skills!H10,MAX(0,MAX(0,Inputs!$B$43-B376)-((R353-1)*IF(Inputs!$B$38="pvp",15,MAX(0.1,Skills!D10-IF(Skills!E9=TRUE,Inputs!$B$32,0))))))/Skills!G10,1)))/Inputs!$B$43),G353*Q353))*IF(Inputs!$B$38="pvp",1,(1+(Inputs!$B$21+Skills!P10+B370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Skills!A11</f>
        <v/>
      </c>
      <c r="B354">
        <f>Skills!B11</f>
        <v/>
      </c>
      <c r="C354">
        <f>Inputs!$B$3&gt;=107</f>
        <v/>
      </c>
      <c r="D354">
        <f>IF(Skills!C11=1,60+Inputs!$B$25+Inputs!$B$29,IF(Skills!C11=2,90+Inputs!$B$26+Inputs!$B$29,IF(Skills!C11=3,120+Inputs!$B$27+Inputs!$B$29,MAX(0,(Inputs!$B$3-100)*3)+Inputs!$B$28+Inputs!$B$29)))</f>
        <v/>
      </c>
      <c r="E354">
        <f>INDEX(FactorTable!$B$2:$Y$301, MATCH(ROUND(MIN(300,MAX(1,D354)),0), FactorTable!$A$2:$A$301,0), Skills!L11+1)</f>
        <v/>
      </c>
      <c r="F354">
        <f>IF(Skills!M11=TRUE,(Skills!K11/10)*(E354/1000),Skills!K11/10)+Skills!N11</f>
        <v/>
      </c>
      <c r="G354">
        <f>Calc!G11</f>
        <v/>
      </c>
      <c r="H354">
        <f>Calc!H11</f>
        <v/>
      </c>
      <c r="I354">
        <f>IF(Skills!T11&lt;&gt;"",1+(Skills!T11/10)*(Z346/1000)/100,1)</f>
        <v/>
      </c>
      <c r="J354">
        <f>((Inputs!$B$6*(1+Inputs!$B$7/100))+(((Inputs!$B$12*(1+Inputs!$B$13/100))-(Inputs!$B$12*(1+Inputs!$B$13/100)))+0.25*(Inputs!$B$14-Inputs!$B$14))*(1+Inputs!$B$7/100))*(F354/100)</f>
        <v/>
      </c>
      <c r="K354">
        <f>J354*(1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+1)+(F361-Calc!F18),(Inputs!$B$23+(IF(ArtifactsInput!$M$15,CHOOSE(ArtifactsInput!$N$15+1,25,30,35,40,45,50)/100*(Inputs!$B$11-Inputs!$B$11),0))))/100+(Inputs!$B$23+(IF(ArtifactsInput!$M$15,CHOOSE(ArtifactsInput!$N$15+1,25,30,35,40,45,50)/100*(Inputs!$B$11-Inputs!$B$11),0)))/100)/2</f>
        <v/>
      </c>
      <c r="M354">
        <f>L354*(1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(1-Summary!$B$11)*S354+Summary!$B$11*U354</f>
        <v/>
      </c>
      <c r="P354">
        <f>IF(B379=0,0,O354/B379)</f>
        <v/>
      </c>
      <c r="Q354">
        <f>IFERROR(1/IF(Inputs!$B$38="pvp",15,MAX(0.1,Skills!D11-IF(Skills!E11=TRUE,Inputs!$B$32,0))),0)</f>
        <v/>
      </c>
      <c r="R354">
        <f>IF(AND(Inputs!$B$38&lt;&gt;"pvp",Inputs!$B$43&gt;0),IF(MAX(0,Inputs!$B$43-B376)&lt;=0,0,(INT(MAX(0,Inputs!$B$43-B376)/IF(Inputs!$B$38="pvp",15,MAX(0.1,Skills!D11-IF(Skills!E11=TRUE,Inputs!$B$32,0))))+1)),0)</f>
        <v/>
      </c>
      <c r="S354">
        <f>IF(C354,H354*N354*IF(AND(Inputs!$B$38&lt;&gt;"pvp",Inputs!$B$43&gt;0),((Skills!F11*((R354-1)*IF(Skills!G11&gt;0,Skills!H11/Skills!G11,1)+IF(Skills!G11&gt;0,MIN(Skills!H11,MAX(0,MAX(0,Inputs!$B$43-B376)-((R354-1)*IF(Inputs!$B$38="pvp",15,MAX(0.1,Skills!D11-IF(Skills!E11=TRUE,Inputs!$B$32,0))))))/Skills!G11,1)))/Inputs!$B$43),G354*Q354)*0.5*IF(Inputs!$B$38="pvp",1,1+(Inputs!$B$20+Skills!O11+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354*(1-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4">
        <f>IF(C354,H354*N354*IF(AND(Inputs!$B$38&lt;&gt;"pvp",Inputs!$B$43&gt;0),((Skills!F11*((R354-1)*IF(Skills!G11&gt;0,Skills!H11/Skills!G11,1)+IF(Skills!G11&gt;0,MIN(Skills!H11,MAX(0,MAX(0,Inputs!$B$43-B376)-((R354-1)*IF(Inputs!$B$38="pvp",15,MAX(0.1,Skills!D11-IF(Skills!E11=TRUE,Inputs!$B$32,0))))))/Skills!G11,1)))/Inputs!$B$43),G354*Q354)*1*IF(Inputs!$B$38="pvp",1,(1+(Inputs!$B$21+Skills!P11+B370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Skills!A12</f>
        <v/>
      </c>
      <c r="B355">
        <f>Skills!B12</f>
        <v/>
      </c>
      <c r="C355">
        <f>Inputs!$B$3&gt;=115</f>
        <v/>
      </c>
      <c r="D355">
        <f>IF(Skills!C12=1,60+Inputs!$B$25+Inputs!$B$29,IF(Skills!C12=2,90+Inputs!$B$26+Inputs!$B$29,IF(Skills!C12=3,120+Inputs!$B$27+Inputs!$B$29,MAX(0,(Inputs!$B$3-100)*3)+Inputs!$B$28+Inputs!$B$29)))</f>
        <v/>
      </c>
      <c r="E355">
        <f>INDEX(FactorTable!$B$2:$Y$301, MATCH(ROUND(MIN(300,MAX(1,D355)),0), FactorTable!$A$2:$A$301,0), Skills!L12+1)</f>
        <v/>
      </c>
      <c r="F355">
        <f>IF(Skills!M12=TRUE,(Skills!K12/10)*(E355/1000),Skills!K12/10)+Skills!N12</f>
        <v/>
      </c>
      <c r="G355">
        <f>Calc!G12</f>
        <v/>
      </c>
      <c r="H355">
        <f>Calc!H12</f>
        <v/>
      </c>
      <c r="I355">
        <f>IF(Skills!T12&lt;&gt;"",1+(Skills!T12/10)*(Z346/1000)/100,1)</f>
        <v/>
      </c>
      <c r="J355">
        <f>((Inputs!$B$6*(1+Inputs!$B$7/100))+(((Inputs!$B$12*(1+Inputs!$B$13/100))-(Inputs!$B$12*(1+Inputs!$B$13/100)))+0.25*(Inputs!$B$14-Inputs!$B$14))*(1+Inputs!$B$7/100))*(F355/100)</f>
        <v/>
      </c>
      <c r="K355">
        <f>J355*(1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+1)+(F361-Calc!F18),(Inputs!$B$23+(IF(ArtifactsInput!$M$15,CHOOSE(ArtifactsInput!$N$15+1,25,30,35,40,45,50)/100*(Inputs!$B$11-Inputs!$B$11),0))))/100+(Inputs!$B$23+(IF(ArtifactsInput!$M$15,CHOOSE(ArtifactsInput!$N$15+1,25,30,35,40,45,50)/100*(Inputs!$B$11-Inputs!$B$11),0)))/100)/2</f>
        <v/>
      </c>
      <c r="M355">
        <f>L355*(1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(1-Summary!$B$11)*S355+Summary!$B$11*U355</f>
        <v/>
      </c>
      <c r="P355">
        <f>IF(B379=0,0,O355/B379)</f>
        <v/>
      </c>
      <c r="Q355">
        <f>IFERROR(1/IF(Inputs!$B$38="pvp",15,MAX(0.1,Skills!D12-IF(Skills!E12=TRUE,Inputs!$B$32,0))),0)</f>
        <v/>
      </c>
      <c r="R355">
        <f>IF(AND(Inputs!$B$38&lt;&gt;"pvp",Inputs!$B$43&gt;0),IF(MAX(0,Inputs!$B$43-B376)&lt;=0,0,(INT(MAX(0,Inputs!$B$43-B376)/IF(Inputs!$B$38="pvp",15,MAX(0.1,Skills!D12-IF(Skills!E12=TRUE,Inputs!$B$32,0))))+1)),0)</f>
        <v/>
      </c>
      <c r="S355">
        <f>IF(C355,(H355*N355*IF(AND(Inputs!$B$38&lt;&gt;"pvp",Inputs!$B$43&gt;0),((Skills!F12*((R355-1)*IF(Skills!G12&gt;0,Skills!H12/Skills!G12,1)+IF(Skills!G12&gt;0,MIN(Skills!H12,MAX(0,MAX(0,Inputs!$B$43-B376)-((R355-1)*IF(Inputs!$B$38="pvp",15,MAX(0.1,Skills!D12-IF(Skills!E12=TRUE,Inputs!$B$32,0))))))/Skills!G12,1)))/Inputs!$B$43),G355*Q355))*IF(Inputs!$B$38="pvp",1,1+(Inputs!$B$20+Skills!O12+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IF(C355,(H355*N355*IF(AND(Inputs!$B$38&lt;&gt;"pvp",Inputs!$B$43&gt;0),((Skills!F12*((R355-1)*IF(Skills!G12&gt;0,Skills!H12/Skills!G12,1)+IF(Skills!G12&gt;0,MIN(Skills!H12,MAX(0,MAX(0,Inputs!$B$43-B376)-((R355-1)*IF(Inputs!$B$38="pvp",15,MAX(0.1,Skills!D12-IF(Skills!E12=TRUE,Inputs!$B$32,0))))))/Skills!G12,1)))/Inputs!$B$43),G355*Q355))*IF(Inputs!$B$38="pvp",1,(1+(Inputs!$B$21+Skills!P12+B370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Skills!A13</f>
        <v/>
      </c>
      <c r="B356">
        <f>Skills!B13</f>
        <v/>
      </c>
      <c r="C356">
        <f>Inputs!$B$3&gt;=49</f>
        <v/>
      </c>
      <c r="D356">
        <f>IF(Skills!C13=1,60+Inputs!$B$25+Inputs!$B$29,IF(Skills!C13=2,90+Inputs!$B$26+Inputs!$B$29,IF(Skills!C13=3,120+Inputs!$B$27+Inputs!$B$29,MAX(0,(Inputs!$B$3-100)*3)+Inputs!$B$28+Inputs!$B$29)))</f>
        <v/>
      </c>
      <c r="E356">
        <f>INDEX(FactorTable!$B$2:$Y$301, MATCH(ROUND(MIN(300,MAX(1,D356)),0), FactorTable!$A$2:$A$301,0), Skills!L13+1)</f>
        <v/>
      </c>
      <c r="F356">
        <f>IF(Skills!M13=TRUE,(Skills!K13/10)*(E356/1000),Skills!K13/10)+Skills!N13</f>
        <v/>
      </c>
      <c r="G356">
        <f>Calc!G13</f>
        <v/>
      </c>
      <c r="H356">
        <f>Calc!H13</f>
        <v/>
      </c>
      <c r="I356">
        <f>IF(Skills!T13&lt;&gt;"",1+(Skills!T13/10)*(Z346/1000)/100,1)</f>
        <v/>
      </c>
      <c r="J356" t="inlineStr"/>
      <c r="K356" t="inlineStr"/>
      <c r="L356" t="inlineStr"/>
      <c r="M356" t="inlineStr"/>
      <c r="N356" t="inlineStr"/>
      <c r="O356">
        <f>(1-Summary!$B$11)*S356+Summary!$B$11*U356</f>
        <v/>
      </c>
      <c r="P356">
        <f>IF(B379=0,0,O356/B379)</f>
        <v/>
      </c>
      <c r="Q356">
        <f>IFERROR(1/IF(Inputs!$B$38="pvp",15,MAX(0.1,Skills!D13-IF(Skills!E13=TRUE,Inputs!$B$32,0))),0)</f>
        <v/>
      </c>
      <c r="R356" t="n">
        <v>0</v>
      </c>
      <c r="S356" t="n">
        <v>0</v>
      </c>
      <c r="U356" t="n">
        <v>0</v>
      </c>
    </row>
    <row r="357">
      <c r="A357">
        <f>Skills!A14</f>
        <v/>
      </c>
      <c r="B357">
        <f>Skills!B14</f>
        <v/>
      </c>
      <c r="C357">
        <f>Inputs!$B$3&gt;=72</f>
        <v/>
      </c>
      <c r="D357">
        <f>IF(Skills!C14=1,60+Inputs!$B$25+Inputs!$B$29,IF(Skills!C14=2,90+Inputs!$B$26+Inputs!$B$29,IF(Skills!C14=3,120+Inputs!$B$27+Inputs!$B$29,MAX(0,(Inputs!$B$3-100)*3)+Inputs!$B$28+Inputs!$B$29)))</f>
        <v/>
      </c>
      <c r="E357">
        <f>INDEX(FactorTable!$B$2:$Y$301, MATCH(ROUND(MIN(300,MAX(1,D357)),0), FactorTable!$A$2:$A$301,0), Skills!L14+1)</f>
        <v/>
      </c>
      <c r="F357">
        <f>IF(Skills!M14=TRUE,(Skills!K14/10)*(E357/1000),Skills!K14/10)+Skills!N14</f>
        <v/>
      </c>
      <c r="G357">
        <f>Calc!G14</f>
        <v/>
      </c>
      <c r="H357">
        <f>Calc!H14</f>
        <v/>
      </c>
      <c r="I357">
        <f>IF(Skills!T14&lt;&gt;"",1+(Skills!T14/10)*(Z346/1000)/100,1)</f>
        <v/>
      </c>
      <c r="J357" t="inlineStr"/>
      <c r="K357" t="inlineStr"/>
      <c r="L357" t="inlineStr"/>
      <c r="M357" t="inlineStr"/>
      <c r="N357" t="inlineStr"/>
      <c r="O357">
        <f>(1-Summary!$B$11)*S357+Summary!$B$11*U357</f>
        <v/>
      </c>
      <c r="P357">
        <f>IF(B379=0,0,O357/B379)</f>
        <v/>
      </c>
      <c r="Q357">
        <f>IFERROR(1/IF(Inputs!$B$38="pvp",15,MAX(0.1,Skills!D14-IF(Skills!E14=TRUE,Inputs!$B$32,0))),0)</f>
        <v/>
      </c>
      <c r="R357" t="n">
        <v>0</v>
      </c>
      <c r="S357" t="n">
        <v>0</v>
      </c>
      <c r="U357" t="n">
        <v>0</v>
      </c>
    </row>
    <row r="358">
      <c r="A358">
        <f>Skills!A15</f>
        <v/>
      </c>
      <c r="B358">
        <f>Skills!B15</f>
        <v/>
      </c>
      <c r="C358">
        <f>Inputs!$B$3&gt;=75</f>
        <v/>
      </c>
      <c r="D358">
        <f>IF(Skills!C15=1,60+Inputs!$B$25+Inputs!$B$29,IF(Skills!C15=2,90+Inputs!$B$26+Inputs!$B$29,IF(Skills!C15=3,120+Inputs!$B$27+Inputs!$B$29,MAX(0,(Inputs!$B$3-100)*3)+Inputs!$B$28+Inputs!$B$29)))</f>
        <v/>
      </c>
      <c r="E358">
        <f>INDEX(FactorTable!$B$2:$Y$301, MATCH(ROUND(MIN(300,MAX(1,D358)),0), FactorTable!$A$2:$A$301,0), Skills!L15+1)</f>
        <v/>
      </c>
      <c r="F358">
        <f>IF(Skills!M15=TRUE,(Skills!K15/10)*(E358/1000),Skills!K15/10)+Skills!N15</f>
        <v/>
      </c>
      <c r="G358">
        <f>Calc!G15</f>
        <v/>
      </c>
      <c r="H358">
        <f>Calc!H15</f>
        <v/>
      </c>
      <c r="I358">
        <f>IF(Skills!T15&lt;&gt;"",1+(Skills!T15/10)*(Z346/1000)/100,1)</f>
        <v/>
      </c>
      <c r="J358" t="inlineStr"/>
      <c r="K358" t="inlineStr"/>
      <c r="L358" t="inlineStr"/>
      <c r="M358" t="inlineStr"/>
      <c r="N358" t="inlineStr"/>
      <c r="O358">
        <f>(1-Summary!$B$11)*S358+Summary!$B$11*U358</f>
        <v/>
      </c>
      <c r="P358">
        <f>IF(B379=0,0,O358/B379)</f>
        <v/>
      </c>
      <c r="Q358">
        <f>IFERROR(1/IF(Inputs!$B$38="pvp",15,MAX(0.1,Skills!D15-IF(Skills!E15=TRUE,Inputs!$B$32,0))),0)</f>
        <v/>
      </c>
      <c r="R358" t="n">
        <v>0</v>
      </c>
      <c r="S358" t="n">
        <v>0</v>
      </c>
      <c r="U358" t="n">
        <v>0</v>
      </c>
    </row>
    <row r="359">
      <c r="A359">
        <f>Skills!A16</f>
        <v/>
      </c>
      <c r="B359">
        <f>Skills!B16</f>
        <v/>
      </c>
      <c r="C359">
        <f>Inputs!$B$3&gt;=110</f>
        <v/>
      </c>
      <c r="D359">
        <f>IF(Skills!C16=1,60+Inputs!$B$25+Inputs!$B$29,IF(Skills!C16=2,90+Inputs!$B$26+Inputs!$B$29,IF(Skills!C16=3,120+Inputs!$B$27+Inputs!$B$29,MAX(0,(Inputs!$B$3-100)*3)+Inputs!$B$28+Inputs!$B$29)))</f>
        <v/>
      </c>
      <c r="E359">
        <f>INDEX(FactorTable!$B$2:$Y$301, MATCH(ROUND(MIN(300,MAX(1,D359)),0), FactorTable!$A$2:$A$301,0), Skills!L16+1)</f>
        <v/>
      </c>
      <c r="F359">
        <f>(Skills!K16/10)*(E359/1000)*64/45+Skills!N16</f>
        <v/>
      </c>
      <c r="G359">
        <f>Calc!G16</f>
        <v/>
      </c>
      <c r="H359">
        <f>Calc!H16</f>
        <v/>
      </c>
      <c r="I359">
        <f>IF(Skills!T16&lt;&gt;"",1+(Skills!T16/10)*(Z346/1000)/100,1)</f>
        <v/>
      </c>
      <c r="J359" t="inlineStr"/>
      <c r="K359" t="inlineStr"/>
      <c r="L359" t="inlineStr"/>
      <c r="M359" t="inlineStr"/>
      <c r="N359" t="inlineStr"/>
      <c r="O359">
        <f>(1-Summary!$B$11)*S359+Summary!$B$11*U359</f>
        <v/>
      </c>
      <c r="P359">
        <f>IF(B379=0,0,O359/B379)</f>
        <v/>
      </c>
      <c r="Q359">
        <f>IFERROR(1/IF(Inputs!$B$38="pvp",15,MAX(0.1,Skills!D16-IF(Skills!E16=TRUE,Inputs!$B$32,0))),0)</f>
        <v/>
      </c>
      <c r="R359">
        <f>IF(AND(Inputs!$B$38&lt;&gt;"pvp",Inputs!$B$43&gt;0),IF(Inputs!$B$43&lt;=0,0,(INT(Inputs!$B$43/IF(Inputs!$B$38="pvp",15,MAX(0.1,Skills!D16-IF(Skills!E16=TRUE,Inputs!$B$32,0))))+1)),0)</f>
        <v/>
      </c>
      <c r="S359" t="n">
        <v>0</v>
      </c>
      <c r="U359" t="n">
        <v>0</v>
      </c>
    </row>
    <row r="360">
      <c r="A360">
        <f>Skills!A17</f>
        <v/>
      </c>
      <c r="B360">
        <f>Skills!B17</f>
        <v/>
      </c>
      <c r="C360">
        <f>Inputs!$B$3&gt;=33</f>
        <v/>
      </c>
      <c r="D360">
        <f>IF(Skills!C17=1,60+Inputs!$B$25+Inputs!$B$29,IF(Skills!C17=2,90+Inputs!$B$26+Inputs!$B$29,IF(Skills!C17=3,120+Inputs!$B$27+Inputs!$B$29,MAX(0,(Inputs!$B$3-100)*3)+Inputs!$B$28+Inputs!$B$29)))</f>
        <v/>
      </c>
      <c r="E360">
        <f>INDEX(FactorTable!$B$2:$Y$301, MATCH(ROUND(MIN(300,MAX(1,D360)),0), FactorTable!$A$2:$A$301,0), Skills!L17+1)</f>
        <v/>
      </c>
      <c r="F360">
        <f>IF(Skills!M17=TRUE,(Skills!K17/10)*(E360/1000),Skills!K17/10)+Skills!N17</f>
        <v/>
      </c>
      <c r="G360">
        <f>Calc!G17</f>
        <v/>
      </c>
      <c r="H360">
        <f>Calc!H17</f>
        <v/>
      </c>
      <c r="I360">
        <f>IF(Skills!T17&lt;&gt;"",1+(Skills!T17/10)*(Z346/1000)/100,1)</f>
        <v/>
      </c>
      <c r="J360" t="inlineStr"/>
      <c r="K360" t="inlineStr"/>
      <c r="L360" t="inlineStr"/>
      <c r="M360" t="inlineStr"/>
      <c r="N360" t="inlineStr"/>
      <c r="O360">
        <f>(1-Summary!$B$11)*S360+Summary!$B$11*U360</f>
        <v/>
      </c>
      <c r="P360">
        <f>IF(B379=0,0,O360/B379)</f>
        <v/>
      </c>
      <c r="Q360">
        <f>IFERROR(1/IF(Inputs!$B$38="pvp",15,MAX(0.1,Skills!D17-IF(Skills!E17=TRUE,Inputs!$B$32,0))),0)</f>
        <v/>
      </c>
      <c r="R360" t="n">
        <v>0</v>
      </c>
      <c r="S360" t="n">
        <v>0</v>
      </c>
      <c r="U360" t="n">
        <v>0</v>
      </c>
    </row>
    <row r="361">
      <c r="A361">
        <f>Skills!A18</f>
        <v/>
      </c>
      <c r="B361">
        <f>Skills!B18</f>
        <v/>
      </c>
      <c r="C361">
        <f>Inputs!$B$3&gt;=43</f>
        <v/>
      </c>
      <c r="D361">
        <f>IF(Skills!C18=1,60+Inputs!$B$25+Inputs!$B$29,IF(Skills!C18=2,90+Inputs!$B$26+Inputs!$B$29,IF(Skills!C18=3,120+Inputs!$B$27+Inputs!$B$29,MAX(0,(Inputs!$B$3-100)*3)+Inputs!$B$28+Inputs!$B$29)))</f>
        <v/>
      </c>
      <c r="E361">
        <f>INDEX(FactorTable!$B$2:$Y$301, MATCH(ROUND(MIN(300,MAX(1,D361)),0), FactorTable!$A$2:$A$301,0), Skills!L18+1)</f>
        <v/>
      </c>
      <c r="F361">
        <f>IF(Skills!M18=TRUE,(Skills!K18/10)*(E361/1000),Skills!K18/10)+Skills!N18</f>
        <v/>
      </c>
      <c r="G361">
        <f>Calc!G18</f>
        <v/>
      </c>
      <c r="H361">
        <f>Calc!H18</f>
        <v/>
      </c>
      <c r="I361">
        <f>IF(Skills!T18&lt;&gt;"",1+(Skills!T18/10)*(Z346/1000)/100,1)</f>
        <v/>
      </c>
      <c r="J361" t="inlineStr"/>
      <c r="K361" t="inlineStr"/>
      <c r="L361" t="inlineStr"/>
      <c r="M361" t="inlineStr"/>
      <c r="N361" t="inlineStr"/>
      <c r="O361">
        <f>(1-Summary!$B$11)*S361+Summary!$B$11*U361</f>
        <v/>
      </c>
      <c r="P361">
        <f>IF(B379=0,0,O361/B379)</f>
        <v/>
      </c>
      <c r="Q361">
        <f>IFERROR(1/IF(Inputs!$B$38="pvp",15,MAX(0.1,Skills!D18-IF(Skills!E18=TRUE,Inputs!$B$32,0))),0)</f>
        <v/>
      </c>
      <c r="R361" t="n">
        <v>0</v>
      </c>
      <c r="S361" t="n">
        <v>0</v>
      </c>
      <c r="U361" t="n">
        <v>0</v>
      </c>
    </row>
    <row r="362">
      <c r="A362">
        <f>Skills!A19</f>
        <v/>
      </c>
      <c r="B362">
        <f>Skills!B19</f>
        <v/>
      </c>
      <c r="C362">
        <f>Inputs!$B$3&gt;=50</f>
        <v/>
      </c>
      <c r="D362">
        <f>IF(Skills!C19=1,60+Inputs!$B$25+Inputs!$B$29,IF(Skills!C19=2,90+Inputs!$B$26+Inputs!$B$29,IF(Skills!C19=3,120+Inputs!$B$27+Inputs!$B$29,MAX(0,(Inputs!$B$3-100)*3)+Inputs!$B$28+Inputs!$B$29)))</f>
        <v/>
      </c>
      <c r="E362">
        <f>INDEX(FactorTable!$B$2:$Y$301, MATCH(ROUND(MIN(300,MAX(1,D362)),0), FactorTable!$A$2:$A$301,0), Skills!L19+1)</f>
        <v/>
      </c>
      <c r="F362">
        <f>IF(Skills!M19=TRUE,(Skills!K19/10)*(E362/1000),Skills!K19/10)+Skills!N19</f>
        <v/>
      </c>
      <c r="G362">
        <f>Calc!G19</f>
        <v/>
      </c>
      <c r="H362">
        <f>Calc!H19</f>
        <v/>
      </c>
      <c r="I362">
        <f>IF(Skills!T19&lt;&gt;"",1+(Skills!T19/10)*(Z346/1000)/100,1)</f>
        <v/>
      </c>
      <c r="J362" t="inlineStr"/>
      <c r="K362" t="inlineStr"/>
      <c r="L362" t="inlineStr"/>
      <c r="M362" t="inlineStr"/>
      <c r="N362" t="inlineStr"/>
      <c r="O362">
        <f>(1-Summary!$B$11)*S362+Summary!$B$11*U362</f>
        <v/>
      </c>
      <c r="P362">
        <f>IF(B379=0,0,O362/B379)</f>
        <v/>
      </c>
      <c r="Q362">
        <f>IFERROR(1/IF(Inputs!$B$38="pvp",15,MAX(0.1,Skills!D19-IF(Skills!E19=TRUE,Inputs!$B$32,0))),0)</f>
        <v/>
      </c>
      <c r="R362" t="n">
        <v>0</v>
      </c>
      <c r="S362" t="n">
        <v>0</v>
      </c>
      <c r="U362" t="n">
        <v>0</v>
      </c>
    </row>
    <row r="363">
      <c r="A363">
        <f>Skills!A20</f>
        <v/>
      </c>
      <c r="B363">
        <f>Skills!B20</f>
        <v/>
      </c>
      <c r="C363">
        <f>Inputs!$B$3&gt;=74</f>
        <v/>
      </c>
      <c r="D363">
        <f>IF(Skills!C20=1,60+Inputs!$B$25+Inputs!$B$29,IF(Skills!C20=2,90+Inputs!$B$26+Inputs!$B$29,IF(Skills!C20=3,120+Inputs!$B$27+Inputs!$B$29,MAX(0,(Inputs!$B$3-100)*3)+Inputs!$B$28+Inputs!$B$29)))</f>
        <v/>
      </c>
      <c r="E363">
        <f>INDEX(FactorTable!$B$2:$Y$301, MATCH(ROUND(MIN(300,MAX(1,D363)),0), FactorTable!$A$2:$A$301,0), Skills!L20+1)</f>
        <v/>
      </c>
      <c r="F363">
        <f>IF(Skills!M20=TRUE,(Skills!K20/10)*(E363/1000),Skills!K20/10)+Skills!N20</f>
        <v/>
      </c>
      <c r="G363">
        <f>Calc!G20</f>
        <v/>
      </c>
      <c r="H363">
        <f>Calc!H20</f>
        <v/>
      </c>
      <c r="I363">
        <f>IF(Skills!T20&lt;&gt;"",1+(Skills!T20/10)*(Z346/1000)/100,1)</f>
        <v/>
      </c>
      <c r="J363" t="inlineStr"/>
      <c r="K363" t="inlineStr"/>
      <c r="L363" t="inlineStr"/>
      <c r="M363" t="inlineStr"/>
      <c r="N363" t="inlineStr"/>
      <c r="O363">
        <f>(1-Summary!$B$11)*S363+Summary!$B$11*U363</f>
        <v/>
      </c>
      <c r="P363">
        <f>IF(B379=0,0,O363/B379)</f>
        <v/>
      </c>
      <c r="Q363">
        <f>IFERROR(1/IF(Inputs!$B$38="pvp",15,MAX(0.1,Skills!D20-IF(Skills!E20=TRUE,Inputs!$B$32,0))),0)</f>
        <v/>
      </c>
      <c r="R363" t="n">
        <v>0</v>
      </c>
      <c r="S363" t="n">
        <v>0</v>
      </c>
      <c r="U363" t="n">
        <v>0</v>
      </c>
    </row>
    <row r="364">
      <c r="A364">
        <f>Skills!A21</f>
        <v/>
      </c>
      <c r="B364">
        <f>Skills!B21</f>
        <v/>
      </c>
      <c r="C364">
        <f>Inputs!$B$3&gt;=74</f>
        <v/>
      </c>
      <c r="D364">
        <f>IF(Skills!C21=1,60+Inputs!$B$25+Inputs!$B$29,IF(Skills!C21=2,90+Inputs!$B$26+Inputs!$B$29,IF(Skills!C21=3,120+Inputs!$B$27+Inputs!$B$29,MAX(0,(Inputs!$B$3-100)*3)+Inputs!$B$28+Inputs!$B$29)))</f>
        <v/>
      </c>
      <c r="E364">
        <f>INDEX(FactorTable!$B$2:$Y$301, MATCH(ROUND(MIN(300,MAX(1,D364)),0), FactorTable!$A$2:$A$301,0), Skills!L21+1)</f>
        <v/>
      </c>
      <c r="F364">
        <f>IF(Skills!M21=TRUE,(Skills!K21/10)*(E364/1000),Skills!K21/10)+Skills!N21</f>
        <v/>
      </c>
      <c r="G364">
        <f>Calc!G21</f>
        <v/>
      </c>
      <c r="H364">
        <f>Calc!H21</f>
        <v/>
      </c>
      <c r="I364">
        <f>IF(Skills!T21&lt;&gt;"",1+(Skills!T21/10)*(Z346/1000)/100,1)</f>
        <v/>
      </c>
      <c r="J364" t="inlineStr"/>
      <c r="K364" t="inlineStr"/>
      <c r="L364" t="inlineStr"/>
      <c r="M364" t="inlineStr"/>
      <c r="N364" t="inlineStr"/>
      <c r="O364">
        <f>(1-Summary!$B$11)*S364+Summary!$B$11*U364</f>
        <v/>
      </c>
      <c r="P364">
        <f>IF(B379=0,0,O364/B379)</f>
        <v/>
      </c>
      <c r="Q364">
        <f>IFERROR(1/IF(Inputs!$B$38="pvp",15,MAX(0.1,Skills!D21-IF(Skills!E21=TRUE,Inputs!$B$32,0))),0)</f>
        <v/>
      </c>
      <c r="R364" t="n">
        <v>0</v>
      </c>
      <c r="S364" t="n">
        <v>0</v>
      </c>
      <c r="U364" t="n">
        <v>0</v>
      </c>
    </row>
    <row r="365">
      <c r="A365">
        <f>Skills!A22</f>
        <v/>
      </c>
      <c r="B365">
        <f>Skills!B22</f>
        <v/>
      </c>
      <c r="C365">
        <f>Inputs!$B$3&gt;=117</f>
        <v/>
      </c>
      <c r="D365">
        <f>IF(Skills!C22=1,60+Inputs!$B$25+Inputs!$B$29,IF(Skills!C22=2,90+Inputs!$B$26+Inputs!$B$29,IF(Skills!C22=3,120+Inputs!$B$27+Inputs!$B$29,MAX(0,(Inputs!$B$3-100)*3)+Inputs!$B$28+Inputs!$B$29)))</f>
        <v/>
      </c>
      <c r="E365">
        <f>INDEX(FactorTable!$B$2:$Y$301, MATCH(ROUND(MIN(300,MAX(1,D365)),0), FactorTable!$A$2:$A$301,0), Skills!L22+1)</f>
        <v/>
      </c>
      <c r="F365">
        <f>IF(Skills!M22=TRUE,(Skills!K22/10)*(E365/1000),Skills!K22/10)+Skills!N22</f>
        <v/>
      </c>
      <c r="G365">
        <f>Calc!G22</f>
        <v/>
      </c>
      <c r="H365">
        <f>Calc!H22</f>
        <v/>
      </c>
      <c r="I365">
        <f>IF(Skills!T22&lt;&gt;"",1+(Skills!T22/10)*(Z346/1000)/100,1)</f>
        <v/>
      </c>
      <c r="J365" t="inlineStr"/>
      <c r="K365" t="inlineStr"/>
      <c r="L365" t="inlineStr"/>
      <c r="M365" t="inlineStr"/>
      <c r="N365" t="inlineStr"/>
      <c r="O365">
        <f>(1-Summary!$B$11)*S365+Summary!$B$11*U365</f>
        <v/>
      </c>
      <c r="P365">
        <f>IF(B379=0,0,O365/B379)</f>
        <v/>
      </c>
      <c r="Q365">
        <f>IFERROR(1/IF(Inputs!$B$38="pvp",15,MAX(0.1,Skills!D22-IF(Skills!E22=TRUE,Inputs!$B$32,0))),0)</f>
        <v/>
      </c>
      <c r="R365" t="n">
        <v>0</v>
      </c>
      <c r="S365" t="n">
        <v>0</v>
      </c>
      <c r="U365" t="n">
        <v>0</v>
      </c>
    </row>
    <row r="366">
      <c r="A366">
        <f>Skills!A23</f>
        <v/>
      </c>
      <c r="B366">
        <f>Skills!B23</f>
        <v/>
      </c>
      <c r="C366">
        <f>Inputs!$B$3&gt;=120</f>
        <v/>
      </c>
      <c r="D366">
        <f>IF(Skills!C23=1,60+Inputs!$B$25+Inputs!$B$29,IF(Skills!C23=2,90+Inputs!$B$26+Inputs!$B$29,IF(Skills!C23=3,120+Inputs!$B$27+Inputs!$B$29,MAX(0,(Inputs!$B$3-100)*3)+Inputs!$B$28+Inputs!$B$29)))</f>
        <v/>
      </c>
      <c r="E366">
        <f>INDEX(FactorTable!$B$2:$Y$301, MATCH(ROUND(MIN(300,MAX(1,D366)),0), FactorTable!$A$2:$A$301,0), Skills!L23+1)</f>
        <v/>
      </c>
      <c r="F366">
        <f>IF(Skills!M23=TRUE,(Skills!K23/10)*(E366/1000),Skills!K23/10)+Skills!N23</f>
        <v/>
      </c>
      <c r="G366">
        <f>Calc!G23</f>
        <v/>
      </c>
      <c r="H366">
        <f>Calc!H23</f>
        <v/>
      </c>
      <c r="I366">
        <f>IF(Skills!T23&lt;&gt;"",1+(Skills!T23/10)*(Z346/1000)/100,1)</f>
        <v/>
      </c>
      <c r="J366" t="inlineStr"/>
      <c r="K366" t="inlineStr"/>
      <c r="L366" t="inlineStr"/>
      <c r="M366" t="inlineStr"/>
      <c r="N366" t="inlineStr"/>
      <c r="O366">
        <f>(1-Summary!$B$11)*S366+Summary!$B$11*U366</f>
        <v/>
      </c>
      <c r="P366">
        <f>IF(B379=0,0,O366/B379)</f>
        <v/>
      </c>
      <c r="Q366">
        <f>IFERROR(1/IF(Inputs!$B$38="pvp",15,MAX(0.1,Skills!D23-IF(Skills!E23=TRUE,Inputs!$B$32,0))),0)</f>
        <v/>
      </c>
      <c r="R366" t="n">
        <v>0</v>
      </c>
      <c r="S366" t="n">
        <v>0</v>
      </c>
      <c r="U366" t="n">
        <v>0</v>
      </c>
    </row>
    <row r="369">
      <c r="A369" t="inlineStr">
        <is>
          <t>Average Buff Multiplier (Magic Guard + Meditation + Artifact Attack%, summed; then Infinity)</t>
        </is>
      </c>
      <c r="B369">
        <f>(1+(IF(C346=TRUE,F346*IF(AND(Inputs!$B$38&lt;&gt;"pvp",Inputs!$B$43&gt;0),(((R346-1)*(Skills!S3*(1+(Inputs!$B$34+IF(Inputs!$B$3&gt;=117,F365,0))/100))+MIN((Skills!S3*(1+(Inputs!$B$34+IF(Inputs!$B$3&gt;=117,F365,0))/100)),MAX(0,Inputs!$B$43-((R346-1)*Skills!D3))))/Inputs!$B$43),IF(Inputs!$B$38="pvp",MIN((Skills!S3*(1+(Inputs!$B$34+IF(Inputs!$B$3&gt;=117,F365,0))/100)),15)/15,(Skills!S3*(1+(Inputs!$B$34+IF(Inputs!$B$3&gt;=117,F365,0))/100))/Skills!D3)),0)+IF(C347=TRUE,F347*IF(AND(Inputs!$B$38&lt;&gt;"pvp",Inputs!$B$43&gt;0),(((R347-1)*(Skills!S4*(1+(Inputs!$B$34+IF(Inputs!$B$3&gt;=117,F365,0))/100))+MIN((Skills!S4*(1+(Inputs!$B$34+IF(Inputs!$B$3&gt;=117,F365,0))/100)),MAX(0,Inputs!$B$43-((R347-1)*Skills!D4))))/Inputs!$B$43),IF(Inputs!$B$38="pvp",MIN((Skills!S4*(1+(Inputs!$B$34+IF(Inputs!$B$3&gt;=117,F365,0))/100)),15)/15,(Skills!S4*(1+(Inputs!$B$34+IF(Inputs!$B$3&gt;=117,F365,0)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359=TRUE,(1+F359*IF(AND(Inputs!$B$38&lt;&gt;"pvp",Inputs!$B$43&gt;0),(((R359-1)*(Skills!S16*(1+(Inputs!$B$34+IF(Inputs!$B$3&gt;=117,F365,0))/100))+MIN((Skills!S16*(1+(Inputs!$B$34+IF(Inputs!$B$3&gt;=117,F365,0))/100)),MAX(0,Inputs!$B$43-((R359-1)*Skills!D16))))/Inputs!$B$43),IF(Inputs!$B$38="pvp",MIN((Skills!S16*(1+(Inputs!$B$34+IF(Inputs!$B$3&gt;=117,F365,0))/100)),15)/15,(Skills!S16*(1+(Inputs!$B$34+IF(Inputs!$B$3&gt;=117,F365,0))/100))/Skills!D16))/100),1)</f>
        <v/>
      </c>
    </row>
    <row r="370">
      <c r="A370" t="inlineStr">
        <is>
          <t>Monster Damage Taken Bonus % (Freezing Breath - Weaken + Elemental Reset + Artifact Enemy Damage Taken, summed)</t>
        </is>
      </c>
      <c r="B370">
        <f>IF(Inputs!$B$3&gt;=118,15*IF(Inputs!$B$38="pvp",MIN((30*(1+(Inputs!$B$34+IF(Inputs!$B$3&gt;=117,F365,0))/100)),15)/15,(30*(1+(Inputs!$B$34+IF(Inputs!$B$3&gt;=117,F365,0))/100))/Skills!D8),0)+IF(C357=TRUE,F357,0)+(IF(AND(ArtifactsInput!$M$35,Inputs!$B$4&lt;&gt;"Chapter Hunt"),CHOOSE(ArtifactsInput!$N$35+1,15,18,21,24,27,30)*(1-EXP(-(0.2*B373)*5)),0)+IF(AND(ArtifactsInput!$M$22,Inputs!$B$4&lt;&gt;"Chapter Hunt"),CHOOSE(ArtifactsInput!$N$22+1,10,12,14,16,18,20)*((0*(((0.15*B373*5))^0/1)+1*(((0.15*B373*5))^1/1)+2*(((0.15*B373*5))^2/2)+3*(((0.15*B373*5))^3/6)+4*(((0.15*B373*5))^4/24)+5*(((0.15*B373*5))^5/120))/((((0.15*B373*5))^0/1)+(((0.15*B373*5))^1/1)+(((0.15*B373*5))^2/2)+(((0.15*B373*5))^3/6)+(((0.15*B373*5))^4/24)+(((0.15*B373*5))^5/120))),0))</f>
        <v/>
      </c>
    </row>
    <row r="371">
      <c r="A371" t="inlineStr">
        <is>
          <t>Damage % Bonus (Frozen Break + Frost Clutch, flat)</t>
        </is>
      </c>
      <c r="B371">
        <f>IF(Inputs!$B$3&gt;=66,15,0)+IF(Inputs!$B$3&gt;=98,10,0)+IF(Inputs!$B$3&gt;=125,20,0)</f>
        <v/>
      </c>
    </row>
    <row r="372">
      <c r="A372" t="inlineStr">
        <is>
          <t>Attack Speed Bonus % (MP Eater - MP Boost, always-on once unlocked)</t>
        </is>
      </c>
      <c r="B372">
        <f>IF(C356=TRUE,F356+(F360-Calc!F17),0)</f>
        <v/>
      </c>
    </row>
    <row r="373">
      <c r="A373" t="inlineStr">
        <is>
          <t>Actions Per Second</t>
        </is>
      </c>
      <c r="B373">
        <f>1+MIN(150,150*(1-(1-(Inputs!$B$11+(ArtifactsInput!$M$15-ArtifactsInput!$M$15)*CHOOSE(ArtifactsInput!$N$15+1,8,9.6,11.2,12.8,14.4,16))/150)*(1-B372/150)))/100</f>
        <v/>
      </c>
    </row>
    <row r="374">
      <c r="A374" t="inlineStr">
        <is>
          <t>Skill + Buff Cast Rate</t>
        </is>
      </c>
      <c r="B374">
        <f>IF(AND(Inputs!$B$38&lt;&gt;"pvp",Inputs!$B$43&gt;0),SUMPRODUCT((Skills!E2:E23=TRUE)*(C345:C366=TRUE)*R345:R366)/Inputs!$B$43,SUMPRODUCT((Skills!E2:E23=TRUE)*(C345:C366=TRUE)*Q345:Q366))</f>
        <v/>
      </c>
    </row>
    <row r="375">
      <c r="A375" t="inlineStr">
        <is>
          <t>Chain Lightning Casts Per Second</t>
        </is>
      </c>
      <c r="B375">
        <f>MAX(0,B373-B374)</f>
        <v/>
      </c>
    </row>
    <row r="376">
      <c r="A376" t="inlineStr">
        <is>
          <t>Buff-Casting Startup Delay (s, fixed-duration only)</t>
        </is>
      </c>
      <c r="B376">
        <f>IF(AND(Inputs!$B$38&lt;&gt;"pvp",Inputs!$B$43&gt;0),SUMPRODUCT((Skills!S2:S23&gt;0)*(Skills!E2:E23=TRUE)*(C345:C366=TRUE))/B373,0)</f>
        <v/>
      </c>
    </row>
    <row r="377">
      <c r="A377" t="inlineStr">
        <is>
          <t>Boss-Only Total DPS (this block's swept value)</t>
        </is>
      </c>
      <c r="B377">
        <f>SUM(S345:S366)</f>
        <v/>
      </c>
    </row>
    <row r="378">
      <c r="A378" t="inlineStr">
        <is>
          <t>Normal-Only Total DPS (this block's swept value)</t>
        </is>
      </c>
      <c r="B378">
        <f>SUM(U345:U366)</f>
        <v/>
      </c>
    </row>
    <row r="379">
      <c r="A379" s="6" t="inlineStr">
        <is>
          <t>TOTAL DPS</t>
        </is>
      </c>
      <c r="B379" s="6">
        <f>SUM(O345:O366)</f>
        <v/>
      </c>
    </row>
    <row r="382">
      <c r="A382" s="6" t="inlineStr">
        <is>
          <t>Stat: MAX_DAMAGE %</t>
        </is>
      </c>
    </row>
    <row r="383">
      <c r="A383" s="5" t="inlineStr">
        <is>
          <t>Key</t>
        </is>
      </c>
      <c r="B383" s="5" t="inlineStr">
        <is>
          <t>Name</t>
        </is>
      </c>
      <c r="C383" s="5" t="inlineStr">
        <is>
          <t>Unlocked</t>
        </is>
      </c>
      <c r="D383" s="5" t="inlineStr">
        <is>
          <t>InputLevel</t>
        </is>
      </c>
      <c r="E383" s="5" t="inlineStr">
        <is>
          <t>Factor</t>
        </is>
      </c>
      <c r="F383" s="5" t="inlineStr">
        <is>
          <t>CoefficientPercent</t>
        </is>
      </c>
      <c r="G383" s="5" t="inlineStr">
        <is>
          <t>EffectiveHits</t>
        </is>
      </c>
      <c r="H383" s="5" t="inlineStr">
        <is>
          <t>ProcProbability</t>
        </is>
      </c>
      <c r="I383" s="5" t="inlineStr">
        <is>
          <t>MapleHeroMultiplier</t>
        </is>
      </c>
      <c r="J383" s="5" t="inlineStr">
        <is>
          <t>BaseDamage</t>
        </is>
      </c>
      <c r="K383" s="5" t="inlineStr">
        <is>
          <t>BaseHitDamage</t>
        </is>
      </c>
      <c r="L383" s="5" t="inlineStr">
        <is>
          <t>NonCritAvg</t>
        </is>
      </c>
      <c r="M383" s="5" t="inlineStr">
        <is>
          <t>CritAvg</t>
        </is>
      </c>
      <c r="N383" s="5" t="inlineStr">
        <is>
          <t>ExpectedDamage(perHit)</t>
        </is>
      </c>
      <c r="O383" s="5" t="inlineStr">
        <is>
          <t>DPS</t>
        </is>
      </c>
      <c r="P383" s="5" t="inlineStr">
        <is>
          <t>% of Total</t>
        </is>
      </c>
      <c r="R383" t="inlineStr">
        <is>
          <t>helpers</t>
        </is>
      </c>
    </row>
    <row r="384">
      <c r="A384">
        <f>Skills!A2</f>
        <v/>
      </c>
      <c r="B384">
        <f>Skills!B2</f>
        <v/>
      </c>
      <c r="C384">
        <f>Inputs!$B$3&gt;=100</f>
        <v/>
      </c>
      <c r="D384" t="inlineStr"/>
      <c r="E384" t="inlineStr"/>
      <c r="F384">
        <f>T386+Skills!N2</f>
        <v/>
      </c>
      <c r="G384">
        <f>Calc!G2</f>
        <v/>
      </c>
      <c r="H384">
        <f>Calc!H2</f>
        <v/>
      </c>
      <c r="I384">
        <f>IF(Skills!T2&lt;&gt;"",1+(Skills!T2/10)*(Z385/1000)/100,1)</f>
        <v/>
      </c>
      <c r="J384">
        <f>((Inputs!$B$6*(1+Inputs!$B$7/100))+(((Inputs!$B$12*(1+Inputs!$B$13/100))-(Inputs!$B$12*(1+Inputs!$B$13/100)))+0.25*(Inputs!$B$14-Inputs!$B$14))*(1+Inputs!$B$7/100))*(F384/100)</f>
        <v/>
      </c>
      <c r="K384">
        <f>J384*(1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F400-Calc!F18),((Inputs!$B$23+1)+(IF(ArtifactsInput!$M$15,CHOOSE(ArtifactsInput!$N$15+1,25,30,35,40,45,50)/100*(Inputs!$B$11-Inputs!$B$11),0))))/100+((Inputs!$B$23+1)+(IF(ArtifactsInput!$M$15,CHOOSE(ArtifactsInput!$N$15+1,25,30,35,40,45,50)/100*(Inputs!$B$11-Inputs!$B$11),0)))/100)/2</f>
        <v/>
      </c>
      <c r="M384">
        <f>L384*(1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(1-Summary!$B$11)*S384+Summary!$B$11*U384</f>
        <v/>
      </c>
      <c r="P384">
        <f>IF(B418=0,0,O384/B418)</f>
        <v/>
      </c>
      <c r="Q384">
        <f>IFERROR(1/IF(Inputs!$B$38="pvp",15,MAX(0.1,Skills!D2-IF(Skills!E2=TRUE,Inputs!$B$32,0))),0)</f>
        <v/>
      </c>
      <c r="R384" t="n">
        <v>0</v>
      </c>
      <c r="S384">
        <f>IF(C384,(Skills!F2*N384*B414)*IF(Inputs!$B$38="pvp",1,1+(Inputs!$B$20+Skills!O2+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4">
        <f>MAX(0,(Inputs!$B$3-100)*3)+Inputs!$B$28+Inputs!$B$29</f>
        <v/>
      </c>
      <c r="U384">
        <f>IF(C384,(Skills!F2*N384*B414)*IF(Inputs!$B$38="pvp",1,(1+(Inputs!$B$21+Skills!P2+B409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4">
        <f>MAX(0,(Inputs!$B$3-100)*3)+Inputs!$B$28+Inputs!$B$29</f>
        <v/>
      </c>
    </row>
    <row r="385">
      <c r="A385">
        <f>Skills!A3</f>
        <v/>
      </c>
      <c r="B385">
        <f>Skills!B3</f>
        <v/>
      </c>
      <c r="C385">
        <f>Inputs!$B$3&gt;=15</f>
        <v/>
      </c>
      <c r="D385">
        <f>IF(Skills!C3=1,60+Inputs!$B$25+Inputs!$B$29,IF(Skills!C3=2,90+Inputs!$B$26+Inputs!$B$29,IF(Skills!C3=3,120+Inputs!$B$27+Inputs!$B$29,MAX(0,(Inputs!$B$3-100)*3)+Inputs!$B$28+Inputs!$B$29)))</f>
        <v/>
      </c>
      <c r="E385">
        <f>INDEX(FactorTable!$B$2:$Y$301, MATCH(ROUND(MIN(300,MAX(1,D385)),0), FactorTable!$A$2:$A$301,0), Skills!L3+1)</f>
        <v/>
      </c>
      <c r="F385">
        <f>IF(Skills!M3=TRUE,(Skills!K3/10)*(E385/1000),Skills!K3/10)+Skills!N3</f>
        <v/>
      </c>
      <c r="G385">
        <f>Calc!G3</f>
        <v/>
      </c>
      <c r="H385">
        <f>Calc!H3</f>
        <v/>
      </c>
      <c r="I385">
        <f>IF(Skills!T3&lt;&gt;"",1+(Skills!T3/10)*(Z385/1000)/100,1)</f>
        <v/>
      </c>
      <c r="J385" t="inlineStr"/>
      <c r="K385" t="inlineStr"/>
      <c r="L385" t="inlineStr"/>
      <c r="M385" t="inlineStr"/>
      <c r="N385" t="inlineStr"/>
      <c r="O385">
        <f>(1-Summary!$B$11)*S385+Summary!$B$11*U385</f>
        <v/>
      </c>
      <c r="P385">
        <f>IF(B418=0,0,O385/B418)</f>
        <v/>
      </c>
      <c r="Q385">
        <f>IFERROR(1/IF(Inputs!$B$38="pvp",15,MAX(0.1,Skills!D3-IF(Skills!E3=TRUE,Inputs!$B$32,0))),0)</f>
        <v/>
      </c>
      <c r="R385">
        <f>IF(AND(Inputs!$B$38&lt;&gt;"pvp",Inputs!$B$43&gt;0),IF(Inputs!$B$43&lt;=0,0,(INT(Inputs!$B$43/IF(Inputs!$B$38="pvp",15,MAX(0.1,Skills!D3-IF(Skills!E3=TRUE,Inputs!$B$32,0))))+1)),0)</f>
        <v/>
      </c>
      <c r="S385" t="n">
        <v>0</v>
      </c>
      <c r="T385">
        <f>INDEX(FactorTable!$B$2:$Y$301, MATCH(ROUND(MIN(300,MAX(1,T384)),0), FactorTable!$A$2:$A$301,0), 22)</f>
        <v/>
      </c>
      <c r="U385" t="n">
        <v>0</v>
      </c>
      <c r="Z385">
        <f>INDEX(FactorTable!$B$2:$Y$301, MATCH(ROUND(MIN(300,MAX(1,Z384)),0), FactorTable!$A$2:$A$301,0), 24)</f>
        <v/>
      </c>
    </row>
    <row r="386">
      <c r="A386">
        <f>Skills!A4</f>
        <v/>
      </c>
      <c r="B386">
        <f>Skills!B4</f>
        <v/>
      </c>
      <c r="C386">
        <f>Inputs!$B$3&gt;=40</f>
        <v/>
      </c>
      <c r="D386">
        <f>IF(Skills!C4=1,60+Inputs!$B$25+Inputs!$B$29,IF(Skills!C4=2,90+Inputs!$B$26+Inputs!$B$29,IF(Skills!C4=3,120+Inputs!$B$27+Inputs!$B$29,MAX(0,(Inputs!$B$3-100)*3)+Inputs!$B$28+Inputs!$B$29)))</f>
        <v/>
      </c>
      <c r="E386">
        <f>INDEX(FactorTable!$B$2:$Y$301, MATCH(ROUND(MIN(300,MAX(1,D386)),0), FactorTable!$A$2:$A$301,0), Skills!L4+1)</f>
        <v/>
      </c>
      <c r="F386">
        <f>IF(Skills!M4=TRUE,(Skills!K4/10)*(E386/1000),Skills!K4/10)+Skills!N4</f>
        <v/>
      </c>
      <c r="G386">
        <f>Calc!G4</f>
        <v/>
      </c>
      <c r="H386">
        <f>Calc!H4</f>
        <v/>
      </c>
      <c r="I386">
        <f>IF(Skills!T4&lt;&gt;"",1+(Skills!T4/10)*(Z385/1000)/100,1)</f>
        <v/>
      </c>
      <c r="J386" t="inlineStr"/>
      <c r="K386" t="inlineStr"/>
      <c r="L386" t="inlineStr"/>
      <c r="M386" t="inlineStr"/>
      <c r="N386" t="inlineStr"/>
      <c r="O386">
        <f>(1-Summary!$B$11)*S386+Summary!$B$11*U386</f>
        <v/>
      </c>
      <c r="P386">
        <f>IF(B418=0,0,O386/B418)</f>
        <v/>
      </c>
      <c r="Q386">
        <f>IFERROR(1/IF(Inputs!$B$38="pvp",15,MAX(0.1,Skills!D4-IF(Skills!E4=TRUE,Inputs!$B$32,0))),0)</f>
        <v/>
      </c>
      <c r="R386">
        <f>IF(AND(Inputs!$B$38&lt;&gt;"pvp",Inputs!$B$43&gt;0),IF(Inputs!$B$43&lt;=0,0,(INT(Inputs!$B$43/IF(Inputs!$B$38="pvp",15,MAX(0.1,Skills!D4-IF(Skills!E4=TRUE,Inputs!$B$32,0))))+1)),0)</f>
        <v/>
      </c>
      <c r="S386" t="n">
        <v>0</v>
      </c>
      <c r="T386">
        <f>290*T385/1000</f>
        <v/>
      </c>
      <c r="U386" t="n">
        <v>0</v>
      </c>
    </row>
    <row r="387">
      <c r="A387">
        <f>Skills!A5</f>
        <v/>
      </c>
      <c r="B387">
        <f>Skills!B5</f>
        <v/>
      </c>
      <c r="C387">
        <f>Inputs!$B$3&gt;=38</f>
        <v/>
      </c>
      <c r="D387">
        <f>IF(Skills!C5=1,60+Inputs!$B$25+Inputs!$B$29,IF(Skills!C5=2,90+Inputs!$B$26+Inputs!$B$29,IF(Skills!C5=3,120+Inputs!$B$27+Inputs!$B$29,MAX(0,(Inputs!$B$3-100)*3)+Inputs!$B$28+Inputs!$B$29)))</f>
        <v/>
      </c>
      <c r="E387">
        <f>INDEX(FactorTable!$B$2:$Y$301, MATCH(ROUND(MIN(300,MAX(1,D387)),0), FactorTable!$A$2:$A$301,0), Skills!L5+1)</f>
        <v/>
      </c>
      <c r="F387">
        <f>IF(Skills!M5=TRUE,(Skills!K5/10)*(E387/1000),Skills!K5/10)+Skills!N5</f>
        <v/>
      </c>
      <c r="G387">
        <f>Calc!G5</f>
        <v/>
      </c>
      <c r="H387">
        <f>Calc!H5</f>
        <v/>
      </c>
      <c r="I387">
        <f>IF(Skills!T5&lt;&gt;"",1+(Skills!T5/10)*(Z385/1000)/100,1)</f>
        <v/>
      </c>
      <c r="J387">
        <f>((Inputs!$B$6*(1+Inputs!$B$7/100))+(((Inputs!$B$12*(1+Inputs!$B$13/100))-(Inputs!$B$12*(1+Inputs!$B$13/100)))+0.25*(Inputs!$B$14-Inputs!$B$14))*(1+Inputs!$B$7/100))*(F387/100)</f>
        <v/>
      </c>
      <c r="K387">
        <f>J387*(1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F400-Calc!F18),((Inputs!$B$23+1)+(IF(ArtifactsInput!$M$15,CHOOSE(ArtifactsInput!$N$15+1,25,30,35,40,45,50)/100*(Inputs!$B$11-Inputs!$B$11),0))))/100+((Inputs!$B$23+1)+(IF(ArtifactsInput!$M$15,CHOOSE(ArtifactsInput!$N$15+1,25,30,35,40,45,50)/100*(Inputs!$B$11-Inputs!$B$11),0)))/100)/2</f>
        <v/>
      </c>
      <c r="M387">
        <f>L387*(1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IF(B418=0,0,O387/B418)</f>
        <v/>
      </c>
      <c r="Q387">
        <f>IFERROR(1/IF(Inputs!$B$38="pvp",15,MAX(0.1,Skills!D5-IF(Skills!E5=TRUE,Inputs!$B$32,0))),0)</f>
        <v/>
      </c>
      <c r="R387">
        <f>IF(AND(Inputs!$B$38&lt;&gt;"pvp",Inputs!$B$43&gt;0),IF(MAX(0,Inputs!$B$43-B415)&lt;=0,0,(INT(MAX(0,Inputs!$B$43-B415)/IF(Inputs!$B$38="pvp",15,MAX(0.1,Skills!D5-IF(Skills!E5=TRUE,Inputs!$B$32,0))))+1)),0)</f>
        <v/>
      </c>
      <c r="S387">
        <f>IF(C387,(H387*N387*IF(AND(Inputs!$B$38&lt;&gt;"pvp",Inputs!$B$43&gt;0),((Skills!F5*((R387-1)*IF(Skills!G5&gt;0,Skills!H5/Skills!G5,1)+IF(Skills!G5&gt;0,MIN(Skills!H5,MAX(0,MAX(0,Inputs!$B$43-B415)-((R387-1)*IF(Inputs!$B$38="pvp",15,MAX(0.1,Skills!D5-IF(Skills!E5=TRUE,Inputs!$B$32,0))))))/Skills!G5,1)))/Inputs!$B$43),G387*Q387))*IF(Inputs!$B$38="pvp",1,1+(Inputs!$B$20+Skills!O5+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F5*((R387-1)*IF(Skills!G5&gt;0,Skills!H5/Skills!G5,1)+IF(Skills!G5&gt;0,MIN(Skills!H5,MAX(0,MAX(0,Inputs!$B$43-B415)-((R387-1)*IF(Inputs!$B$38="pvp",15,MAX(0.1,Skills!D5-IF(Skills!E5=TRUE,Inputs!$B$32,0))))))/Skills!G5,1)))/Inputs!$B$43),G387*Q387))*IF(Inputs!$B$38="pvp",1,(1+(Inputs!$B$21+Skills!P5+B409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Skills!A6</f>
        <v/>
      </c>
      <c r="B388">
        <f>Skills!B6</f>
        <v/>
      </c>
      <c r="C388">
        <f>Inputs!$B$3&gt;=63</f>
        <v/>
      </c>
      <c r="D388">
        <f>IF(Skills!C6=1,60+Inputs!$B$25+Inputs!$B$29,IF(Skills!C6=2,90+Inputs!$B$26+Inputs!$B$29,IF(Skills!C6=3,120+Inputs!$B$27+Inputs!$B$29,MAX(0,(Inputs!$B$3-100)*3)+Inputs!$B$28+Inputs!$B$29)))</f>
        <v/>
      </c>
      <c r="E388">
        <f>INDEX(FactorTable!$B$2:$Y$301, MATCH(ROUND(MIN(300,MAX(1,D388)),0), FactorTable!$A$2:$A$301,0), Skills!L6+1)</f>
        <v/>
      </c>
      <c r="F388">
        <f>IF(Skills!M6=TRUE,(Skills!K6/10)*(E388/1000),Skills!K6/10)+Skills!N6</f>
        <v/>
      </c>
      <c r="G388">
        <f>Calc!G6</f>
        <v/>
      </c>
      <c r="H388">
        <f>Calc!H6</f>
        <v/>
      </c>
      <c r="I388">
        <f>IF(Skills!T6&lt;&gt;"",1+(Skills!T6/10)*(Z385/1000)/100,1)</f>
        <v/>
      </c>
      <c r="J388">
        <f>((Inputs!$B$6*(1+Inputs!$B$7/100))+(((Inputs!$B$12*(1+Inputs!$B$13/100))-(Inputs!$B$12*(1+Inputs!$B$13/100)))+0.25*(Inputs!$B$14-Inputs!$B$14))*(1+Inputs!$B$7/100))*(F388/100)</f>
        <v/>
      </c>
      <c r="K388">
        <f>J388*(1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F400-Calc!F18),((Inputs!$B$23+1)+(IF(ArtifactsInput!$M$15,CHOOSE(ArtifactsInput!$N$15+1,25,30,35,40,45,50)/100*(Inputs!$B$11-Inputs!$B$11),0))))/100+((Inputs!$B$23+1)+(IF(ArtifactsInput!$M$15,CHOOSE(ArtifactsInput!$N$15+1,25,30,35,40,45,50)/100*(Inputs!$B$11-Inputs!$B$11),0)))/100)/2</f>
        <v/>
      </c>
      <c r="M388">
        <f>L388*(1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IF(B418=0,0,O388/B418)</f>
        <v/>
      </c>
      <c r="Q388">
        <f>IFERROR(1/IF(Inputs!$B$38="pvp",15,MAX(0.1,Skills!D6-IF(Skills!E6=TRUE,Inputs!$B$32,0))),0)</f>
        <v/>
      </c>
      <c r="R388">
        <f>IF(AND(Inputs!$B$38&lt;&gt;"pvp",Inputs!$B$43&gt;0),IF(MAX(0,Inputs!$B$43-B415)&lt;=0,0,(INT(MAX(0,Inputs!$B$43-B415)/IF(Inputs!$B$38="pvp",15,MAX(0.1,Skills!D6-IF(Skills!E6=TRUE,Inputs!$B$32,0))))+1)),0)</f>
        <v/>
      </c>
      <c r="S388">
        <f>IF(C388,(H388*N388*IF(AND(Inputs!$B$38&lt;&gt;"pvp",Inputs!$B$43&gt;0),((Skills!F6*((R388-1)*IF(Skills!G6&gt;0,Skills!H6/Skills!G6,1)+IF(Skills!G6&gt;0,MIN(Skills!H6,MAX(0,MAX(0,Inputs!$B$43-B415)-((R388-1)*IF(Inputs!$B$38="pvp",15,MAX(0.1,Skills!D6-IF(Skills!E6=TRUE,Inputs!$B$32,0))))))/Skills!G6,1)))/Inputs!$B$43),G388*Q388))*IF(Inputs!$B$38="pvp",1,1+(Inputs!$B$20+Skills!O6+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F6*((R388-1)*IF(Skills!G6&gt;0,Skills!H6/Skills!G6,1)+IF(Skills!G6&gt;0,MIN(Skills!H6,MAX(0,MAX(0,Inputs!$B$43-B415)-((R388-1)*IF(Inputs!$B$38="pvp",15,MAX(0.1,Skills!D6-IF(Skills!E6=TRUE,Inputs!$B$32,0))))))/Skills!G6,1)))/Inputs!$B$43),G388*Q388))*IF(Inputs!$B$38="pvp",1,(1+(Inputs!$B$21+Skills!P6+B409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Skills!A7</f>
        <v/>
      </c>
      <c r="B389">
        <f>Skills!B7</f>
        <v/>
      </c>
      <c r="C389">
        <f>Inputs!$B$3&gt;=69</f>
        <v/>
      </c>
      <c r="D389">
        <f>IF(Skills!C7=1,60+Inputs!$B$25+Inputs!$B$29,IF(Skills!C7=2,90+Inputs!$B$26+Inputs!$B$29,IF(Skills!C7=3,120+Inputs!$B$27+Inputs!$B$29,MAX(0,(Inputs!$B$3-100)*3)+Inputs!$B$28+Inputs!$B$29)))</f>
        <v/>
      </c>
      <c r="E389">
        <f>INDEX(FactorTable!$B$2:$Y$301, MATCH(ROUND(MIN(300,MAX(1,D389)),0), FactorTable!$A$2:$A$301,0), Skills!L7+1)</f>
        <v/>
      </c>
      <c r="F389">
        <f>IF(Skills!M7=TRUE,(Skills!K7/10)*(E389/1000),Skills!K7/10)+Skills!N7</f>
        <v/>
      </c>
      <c r="G389">
        <f>Calc!G7</f>
        <v/>
      </c>
      <c r="H389">
        <f>Calc!H7</f>
        <v/>
      </c>
      <c r="I389">
        <f>IF(Skills!T7&lt;&gt;"",1+(Skills!T7/10)*(Z385/1000)/100,1)</f>
        <v/>
      </c>
      <c r="J389">
        <f>((Inputs!$B$6*(1+Inputs!$B$7/100))+(((Inputs!$B$12*(1+Inputs!$B$13/100))-(Inputs!$B$12*(1+Inputs!$B$13/100)))+0.25*(Inputs!$B$14-Inputs!$B$14))*(1+Inputs!$B$7/100))*(F389/100)</f>
        <v/>
      </c>
      <c r="K389">
        <f>J389*(1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F400-Calc!F18),((Inputs!$B$23+1)+(IF(ArtifactsInput!$M$15,CHOOSE(ArtifactsInput!$N$15+1,25,30,35,40,45,50)/100*(Inputs!$B$11-Inputs!$B$11),0))))/100+((Inputs!$B$23+1)+(IF(ArtifactsInput!$M$15,CHOOSE(ArtifactsInput!$N$15+1,25,30,35,40,45,50)/100*(Inputs!$B$11-Inputs!$B$11),0)))/100)/2</f>
        <v/>
      </c>
      <c r="M389">
        <f>L389*(1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(1-Summary!$B$11)*S389+Summary!$B$11*U389</f>
        <v/>
      </c>
      <c r="P389">
        <f>IF(B418=0,0,O389/B418)</f>
        <v/>
      </c>
      <c r="Q389">
        <f>IFERROR(1/IF(Inputs!$B$38="pvp",15,MAX(0.1,Skills!D7-IF(Skills!E7=TRUE,Inputs!$B$32,0))),0)</f>
        <v/>
      </c>
      <c r="R389">
        <f>IF(AND(Inputs!$B$38&lt;&gt;"pvp",Inputs!$B$43&gt;0),IF(MAX(0,Inputs!$B$43-B415)&lt;=0,0,(INT(MAX(0,Inputs!$B$43-B415)/IF(Inputs!$B$38="pvp",15,MAX(0.1,Skills!D7-IF(Skills!E7=TRUE,Inputs!$B$32,0))))+1)),0)</f>
        <v/>
      </c>
      <c r="S389">
        <f>IF(C389,(H389*N389*IF(AND(Inputs!$B$38&lt;&gt;"pvp",Inputs!$B$43&gt;0),((Skills!F7*((R389-1)*IF(Skills!G7&gt;0,Skills!H7/Skills!G7,1)+IF(Skills!G7&gt;0,MIN(Skills!H7,MAX(0,MAX(0,Inputs!$B$43-B415)-((R389-1)*IF(Inputs!$B$38="pvp",15,MAX(0.1,Skills!D7-IF(Skills!E7=TRUE,Inputs!$B$32,0))))))/Skills!G7,1)))/Inputs!$B$43),G389*Q389))*IF(Inputs!$B$38="pvp",1,1+(Inputs!$B$20+Skills!O7+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9">
        <f>IF(C389,(H389*N389*IF(AND(Inputs!$B$38&lt;&gt;"pvp",Inputs!$B$43&gt;0),((Skills!F7*((R389-1)*IF(Skills!G7&gt;0,Skills!H7/Skills!G7,1)+IF(Skills!G7&gt;0,MIN(Skills!H7,MAX(0,MAX(0,Inputs!$B$43-B415)-((R389-1)*IF(Inputs!$B$38="pvp",15,MAX(0.1,Skills!D7-IF(Skills!E7=TRUE,Inputs!$B$32,0))))))/Skills!G7,1)))/Inputs!$B$43),G389*Q389))*IF(Inputs!$B$38="pvp",1,(1+(Inputs!$B$21+Skills!P7+B409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Skills!A8</f>
        <v/>
      </c>
      <c r="B390">
        <f>Skills!B8</f>
        <v/>
      </c>
      <c r="C390">
        <f>Inputs!$B$3&gt;=103</f>
        <v/>
      </c>
      <c r="D390">
        <f>IF(Skills!C8=1,60+Inputs!$B$25+Inputs!$B$29,IF(Skills!C8=2,90+Inputs!$B$26+Inputs!$B$29,IF(Skills!C8=3,120+Inputs!$B$27+Inputs!$B$29,MAX(0,(Inputs!$B$3-100)*3)+Inputs!$B$28+Inputs!$B$29)))</f>
        <v/>
      </c>
      <c r="E390">
        <f>INDEX(FactorTable!$B$2:$Y$301, MATCH(ROUND(MIN(300,MAX(1,D390)),0), FactorTable!$A$2:$A$301,0), Skills!L8+1)</f>
        <v/>
      </c>
      <c r="F390">
        <f>IF(Skills!M8=TRUE,(Skills!K8/10)*(E390/1000),Skills!K8/10)+Skills!N8</f>
        <v/>
      </c>
      <c r="G390">
        <f>Calc!G8</f>
        <v/>
      </c>
      <c r="H390">
        <f>Calc!H8</f>
        <v/>
      </c>
      <c r="I390">
        <f>IF(Skills!T8&lt;&gt;"",1+(Skills!T8/10)*(Z385/1000)/100,1)</f>
        <v/>
      </c>
      <c r="J390">
        <f>((Inputs!$B$6*(1+Inputs!$B$7/100))+(((Inputs!$B$12*(1+Inputs!$B$13/100))-(Inputs!$B$12*(1+Inputs!$B$13/100)))+0.25*(Inputs!$B$14-Inputs!$B$14))*(1+Inputs!$B$7/100))*(F390/100)</f>
        <v/>
      </c>
      <c r="K390">
        <f>J390*(1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F400-Calc!F18),((Inputs!$B$23+1)+(IF(ArtifactsInput!$M$15,CHOOSE(ArtifactsInput!$N$15+1,25,30,35,40,45,50)/100*(Inputs!$B$11-Inputs!$B$11),0))))/100+((Inputs!$B$23+1)+(IF(ArtifactsInput!$M$15,CHOOSE(ArtifactsInput!$N$15+1,25,30,35,40,45,50)/100*(Inputs!$B$11-Inputs!$B$11),0)))/100)/2</f>
        <v/>
      </c>
      <c r="M390">
        <f>L390*(1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(1-Summary!$B$11)*S390+Summary!$B$11*U390</f>
        <v/>
      </c>
      <c r="P390">
        <f>IF(B418=0,0,O390/B418)</f>
        <v/>
      </c>
      <c r="Q390">
        <f>IFERROR(1/IF(Inputs!$B$38="pvp",15,MAX(0.1,Skills!D8-IF(Skills!E8=TRUE,Inputs!$B$32,0))),0)</f>
        <v/>
      </c>
      <c r="R390">
        <f>IF(AND(Inputs!$B$38&lt;&gt;"pvp",Inputs!$B$43&gt;0),IF(MAX(0,Inputs!$B$43-B415)&lt;=0,0,(INT(MAX(0,Inputs!$B$43-B415)/IF(Inputs!$B$38="pvp",15,MAX(0.1,Skills!D8-IF(Skills!E8=TRUE,Inputs!$B$32,0))))+1)),0)</f>
        <v/>
      </c>
      <c r="S390">
        <f>IF(C390,(H390*N390*IF(AND(Inputs!$B$38&lt;&gt;"pvp",Inputs!$B$43&gt;0),((Skills!F8*((R390-1)*IF(Skills!G8&gt;0,Skills!H8/Skills!G8,1)+IF(Skills!G8&gt;0,MIN(Skills!H8,MAX(0,MAX(0,Inputs!$B$43-B415)-((R390-1)*IF(Inputs!$B$38="pvp",15,MAX(0.1,Skills!D8-IF(Skills!E8=TRUE,Inputs!$B$32,0))))))/Skills!G8,1)))/Inputs!$B$43),G390*Q390))*IF(Inputs!$B$38="pvp",1,1+(Inputs!$B$20+Skills!O8+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390*(1-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0">
        <f>IF(C390,(H390*N390*IF(AND(Inputs!$B$38&lt;&gt;"pvp",Inputs!$B$43&gt;0),((Skills!F8*((R390-1)*IF(Skills!G8&gt;0,Skills!H8/Skills!G8,1)+IF(Skills!G8&gt;0,MIN(Skills!H8,MAX(0,MAX(0,Inputs!$B$43-B415)-((R390-1)*IF(Inputs!$B$38="pvp",15,MAX(0.1,Skills!D8-IF(Skills!E8=TRUE,Inputs!$B$32,0))))))/Skills!G8,1)))/Inputs!$B$43),G390*Q390))*IF(Inputs!$B$38="pvp",1,(1+(Inputs!$B$21+Skills!P8+B409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Skills!A9</f>
        <v/>
      </c>
      <c r="B391">
        <f>Skills!B9</f>
        <v/>
      </c>
      <c r="C391">
        <f>Inputs!$B$3&gt;=105</f>
        <v/>
      </c>
      <c r="D391">
        <f>IF(Skills!C9=1,60+Inputs!$B$25+Inputs!$B$29,IF(Skills!C9=2,90+Inputs!$B$26+Inputs!$B$29,IF(Skills!C9=3,120+Inputs!$B$27+Inputs!$B$29,MAX(0,(Inputs!$B$3-100)*3)+Inputs!$B$28+Inputs!$B$29)))</f>
        <v/>
      </c>
      <c r="E391">
        <f>INDEX(FactorTable!$B$2:$Y$301, MATCH(ROUND(MIN(300,MAX(1,D391)),0), FactorTable!$A$2:$A$301,0), Skills!L9+1)</f>
        <v/>
      </c>
      <c r="F391">
        <f>IF(Skills!M9=TRUE,(Skills!K9/10)*(E391/1000),Skills!K9/10)+Skills!N9</f>
        <v/>
      </c>
      <c r="G391">
        <f>Calc!G9</f>
        <v/>
      </c>
      <c r="H391">
        <f>Calc!H9</f>
        <v/>
      </c>
      <c r="I391">
        <f>IF(Skills!T9&lt;&gt;"",1+(Skills!T9/10)*(Z385/1000)/100,1)</f>
        <v/>
      </c>
      <c r="J391">
        <f>((Inputs!$B$6*(1+Inputs!$B$7/100))+(((Inputs!$B$12*(1+Inputs!$B$13/100))-(Inputs!$B$12*(1+Inputs!$B$13/100)))+0.25*(Inputs!$B$14-Inputs!$B$14))*(1+Inputs!$B$7/100))*(F391/100)</f>
        <v/>
      </c>
      <c r="K391">
        <f>J391*(1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F400-Calc!F18),((Inputs!$B$23+1)+(IF(ArtifactsInput!$M$15,CHOOSE(ArtifactsInput!$N$15+1,25,30,35,40,45,50)/100*(Inputs!$B$11-Inputs!$B$11),0))))/100+((Inputs!$B$23+1)+(IF(ArtifactsInput!$M$15,CHOOSE(ArtifactsInput!$N$15+1,25,30,35,40,45,50)/100*(Inputs!$B$11-Inputs!$B$11),0)))/100)/2</f>
        <v/>
      </c>
      <c r="M391">
        <f>L391*(1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IF(B418=0,0,O391/B418)</f>
        <v/>
      </c>
      <c r="Q391">
        <f>IFERROR(1/IF(Inputs!$B$38="pvp",15,MAX(0.1,Skills!D9-IF(Skills!E9=TRUE,Inputs!$B$32,0))),0)</f>
        <v/>
      </c>
      <c r="R391">
        <f>IF(AND(Inputs!$B$38&lt;&gt;"pvp",Inputs!$B$43&gt;0),IF(MAX(0,Inputs!$B$43-B415)&lt;=0,0,(INT(MAX(0,Inputs!$B$43-B415)/IF(Inputs!$B$38="pvp",15,MAX(0.1,Skills!D9-IF(Skills!E9=TRUE,Inputs!$B$32,0))))+1)),0)</f>
        <v/>
      </c>
      <c r="S391">
        <f>IF(C391,(H391*N391*IF(AND(Inputs!$B$38&lt;&gt;"pvp",Inputs!$B$43&gt;0),((Skills!F9*((R391-1)*IF(Skills!G9&gt;0,Skills!H9/Skills!G9,1)+IF(Skills!G9&gt;0,MIN(Skills!H9,MAX(0,MAX(0,Inputs!$B$43-B415)-((R391-1)*IF(Inputs!$B$38="pvp",15,MAX(0.1,Skills!D9-IF(Skills!E9=TRUE,Inputs!$B$32,0))))))/Skills!G9,1)))/Inputs!$B$43),G391*Q391))*IF(Inputs!$B$38="pvp",1,1+(Inputs!$B$20+Skills!O9+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F9*((R391-1)*IF(Skills!G9&gt;0,Skills!H9/Skills!G9,1)+IF(Skills!G9&gt;0,MIN(Skills!H9,MAX(0,MAX(0,Inputs!$B$43-B415)-((R391-1)*IF(Inputs!$B$38="pvp",15,MAX(0.1,Skills!D9-IF(Skills!E9=TRUE,Inputs!$B$32,0))))))/Skills!G9,1)))/Inputs!$B$43),G391*Q391))*IF(Inputs!$B$38="pvp",1,(1+(Inputs!$B$21+Skills!P9+B409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Skills!A10</f>
        <v/>
      </c>
      <c r="B392">
        <f>Skills!B10</f>
        <v/>
      </c>
      <c r="C392">
        <f>Inputs!$B$3&gt;=113</f>
        <v/>
      </c>
      <c r="D392">
        <f>IF(Skills!C10=1,60+Inputs!$B$25+Inputs!$B$29,IF(Skills!C10=2,90+Inputs!$B$26+Inputs!$B$29,IF(Skills!C10=3,120+Inputs!$B$27+Inputs!$B$29,MAX(0,(Inputs!$B$3-100)*3)+Inputs!$B$28+Inputs!$B$29)))</f>
        <v/>
      </c>
      <c r="E392">
        <f>INDEX(FactorTable!$B$2:$Y$301, MATCH(ROUND(MIN(300,MAX(1,D392)),0), FactorTable!$A$2:$A$301,0), Skills!L10+1)</f>
        <v/>
      </c>
      <c r="F392">
        <f>IF(Skills!M10=TRUE,(Skills!K10/10)*(E392/1000),Skills!K10/10)+Skills!N10</f>
        <v/>
      </c>
      <c r="G392">
        <f>Calc!G10</f>
        <v/>
      </c>
      <c r="H392">
        <f>Calc!H10</f>
        <v/>
      </c>
      <c r="I392">
        <f>IF(Skills!T10&lt;&gt;"",1+(Skills!T10/10)*(Z385/1000)/100,1)</f>
        <v/>
      </c>
      <c r="J392">
        <f>((Inputs!$B$6*(1+Inputs!$B$7/100))+(((Inputs!$B$12*(1+Inputs!$B$13/100))-(Inputs!$B$12*(1+Inputs!$B$13/100)))+0.25*(Inputs!$B$14-Inputs!$B$14))*(1+Inputs!$B$7/100))*(F392/100)</f>
        <v/>
      </c>
      <c r="K392">
        <f>J392*(1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F400-Calc!F18),((Inputs!$B$23+1)+(IF(ArtifactsInput!$M$15,CHOOSE(ArtifactsInput!$N$15+1,25,30,35,40,45,50)/100*(Inputs!$B$11-Inputs!$B$11),0))))/100+((Inputs!$B$23+1)+(IF(ArtifactsInput!$M$15,CHOOSE(ArtifactsInput!$N$15+1,25,30,35,40,45,50)/100*(Inputs!$B$11-Inputs!$B$11),0)))/100)/2</f>
        <v/>
      </c>
      <c r="M392">
        <f>L392*(1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IF(B418=0,0,O392/B418)</f>
        <v/>
      </c>
      <c r="Q392">
        <f>IFERROR(1/IF(Inputs!$B$38="pvp",15,MAX(0.1,Skills!D10-IF(Skills!E9=TRUE,Inputs!$B$32,0))),0)</f>
        <v/>
      </c>
      <c r="R392">
        <f>IF(AND(Inputs!$B$38&lt;&gt;"pvp",Inputs!$B$43&gt;0),IF(MAX(0,Inputs!$B$43-B415)&lt;=0,0,(INT(MAX(0,Inputs!$B$43-B415)/IF(Inputs!$B$38="pvp",15,MAX(0.1,Skills!D10-IF(Skills!E9=TRUE,Inputs!$B$32,0))))+1)),0)</f>
        <v/>
      </c>
      <c r="S392">
        <f>IF(C392,(H392*N392*IF(AND(Inputs!$B$38&lt;&gt;"pvp",Inputs!$B$43&gt;0),((Skills!F10*((R392-1)*IF(Skills!G10&gt;0,Skills!H10/Skills!G10,1)+IF(Skills!G10&gt;0,MIN(Skills!H10,MAX(0,MAX(0,Inputs!$B$43-B415)-((R392-1)*IF(Inputs!$B$38="pvp",15,MAX(0.1,Skills!D10-IF(Skills!E9=TRUE,Inputs!$B$32,0))))))/Skills!G10,1)))/Inputs!$B$43),G392*Q392))*IF(Inputs!$B$38="pvp",1,1+(Inputs!$B$20+Skills!O10+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N392*IF(AND(Inputs!$B$38&lt;&gt;"pvp",Inputs!$B$43&gt;0),((Skills!F10*((R392-1)*IF(Skills!G10&gt;0,Skills!H10/Skills!G10,1)+IF(Skills!G10&gt;0,MIN(Skills!H10,MAX(0,MAX(0,Inputs!$B$43-B415)-((R392-1)*IF(Inputs!$B$38="pvp",15,MAX(0.1,Skills!D10-IF(Skills!E9=TRUE,Inputs!$B$32,0))))))/Skills!G10,1)))/Inputs!$B$43),G392*Q392))*IF(Inputs!$B$38="pvp",1,(1+(Inputs!$B$21+Skills!P10+B409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Skills!A11</f>
        <v/>
      </c>
      <c r="B393">
        <f>Skills!B11</f>
        <v/>
      </c>
      <c r="C393">
        <f>Inputs!$B$3&gt;=107</f>
        <v/>
      </c>
      <c r="D393">
        <f>IF(Skills!C11=1,60+Inputs!$B$25+Inputs!$B$29,IF(Skills!C11=2,90+Inputs!$B$26+Inputs!$B$29,IF(Skills!C11=3,120+Inputs!$B$27+Inputs!$B$29,MAX(0,(Inputs!$B$3-100)*3)+Inputs!$B$28+Inputs!$B$29)))</f>
        <v/>
      </c>
      <c r="E393">
        <f>INDEX(FactorTable!$B$2:$Y$301, MATCH(ROUND(MIN(300,MAX(1,D393)),0), FactorTable!$A$2:$A$301,0), Skills!L11+1)</f>
        <v/>
      </c>
      <c r="F393">
        <f>IF(Skills!M11=TRUE,(Skills!K11/10)*(E393/1000),Skills!K11/10)+Skills!N11</f>
        <v/>
      </c>
      <c r="G393">
        <f>Calc!G11</f>
        <v/>
      </c>
      <c r="H393">
        <f>Calc!H11</f>
        <v/>
      </c>
      <c r="I393">
        <f>IF(Skills!T11&lt;&gt;"",1+(Skills!T11/10)*(Z385/1000)/100,1)</f>
        <v/>
      </c>
      <c r="J393">
        <f>((Inputs!$B$6*(1+Inputs!$B$7/100))+(((Inputs!$B$12*(1+Inputs!$B$13/100))-(Inputs!$B$12*(1+Inputs!$B$13/100)))+0.25*(Inputs!$B$14-Inputs!$B$14))*(1+Inputs!$B$7/100))*(F393/100)</f>
        <v/>
      </c>
      <c r="K393">
        <f>J393*(1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F400-Calc!F18),((Inputs!$B$23+1)+(IF(ArtifactsInput!$M$15,CHOOSE(ArtifactsInput!$N$15+1,25,30,35,40,45,50)/100*(Inputs!$B$11-Inputs!$B$11),0))))/100+((Inputs!$B$23+1)+(IF(ArtifactsInput!$M$15,CHOOSE(ArtifactsInput!$N$15+1,25,30,35,40,45,50)/100*(Inputs!$B$11-Inputs!$B$11),0)))/100)/2</f>
        <v/>
      </c>
      <c r="M393">
        <f>L393*(1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IF(B418=0,0,O393/B418)</f>
        <v/>
      </c>
      <c r="Q393">
        <f>IFERROR(1/IF(Inputs!$B$38="pvp",15,MAX(0.1,Skills!D11-IF(Skills!E11=TRUE,Inputs!$B$32,0))),0)</f>
        <v/>
      </c>
      <c r="R393">
        <f>IF(AND(Inputs!$B$38&lt;&gt;"pvp",Inputs!$B$43&gt;0),IF(MAX(0,Inputs!$B$43-B415)&lt;=0,0,(INT(MAX(0,Inputs!$B$43-B415)/IF(Inputs!$B$38="pvp",15,MAX(0.1,Skills!D11-IF(Skills!E11=TRUE,Inputs!$B$32,0))))+1)),0)</f>
        <v/>
      </c>
      <c r="S393">
        <f>IF(C393,H393*N393*IF(AND(Inputs!$B$38&lt;&gt;"pvp",Inputs!$B$43&gt;0),((Skills!F11*((R393-1)*IF(Skills!G11&gt;0,Skills!H11/Skills!G11,1)+IF(Skills!G11&gt;0,MIN(Skills!H11,MAX(0,MAX(0,Inputs!$B$43-B415)-((R393-1)*IF(Inputs!$B$38="pvp",15,MAX(0.1,Skills!D11-IF(Skills!E11=TRUE,Inputs!$B$32,0))))))/Skills!G11,1)))/Inputs!$B$43),G393*Q393)*0.5*IF(Inputs!$B$38="pvp",1,1+(Inputs!$B$20+Skills!O11+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F11*((R393-1)*IF(Skills!G11&gt;0,Skills!H11/Skills!G11,1)+IF(Skills!G11&gt;0,MIN(Skills!H11,MAX(0,MAX(0,Inputs!$B$43-B415)-((R393-1)*IF(Inputs!$B$38="pvp",15,MAX(0.1,Skills!D11-IF(Skills!E11=TRUE,Inputs!$B$32,0))))))/Skills!G11,1)))/Inputs!$B$43),G393*Q393)*1*IF(Inputs!$B$38="pvp",1,(1+(Inputs!$B$21+Skills!P11+B409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Skills!A12</f>
        <v/>
      </c>
      <c r="B394">
        <f>Skills!B12</f>
        <v/>
      </c>
      <c r="C394">
        <f>Inputs!$B$3&gt;=115</f>
        <v/>
      </c>
      <c r="D394">
        <f>IF(Skills!C12=1,60+Inputs!$B$25+Inputs!$B$29,IF(Skills!C12=2,90+Inputs!$B$26+Inputs!$B$29,IF(Skills!C12=3,120+Inputs!$B$27+Inputs!$B$29,MAX(0,(Inputs!$B$3-100)*3)+Inputs!$B$28+Inputs!$B$29)))</f>
        <v/>
      </c>
      <c r="E394">
        <f>INDEX(FactorTable!$B$2:$Y$301, MATCH(ROUND(MIN(300,MAX(1,D394)),0), FactorTable!$A$2:$A$301,0), Skills!L12+1)</f>
        <v/>
      </c>
      <c r="F394">
        <f>IF(Skills!M12=TRUE,(Skills!K12/10)*(E394/1000),Skills!K12/10)+Skills!N12</f>
        <v/>
      </c>
      <c r="G394">
        <f>Calc!G12</f>
        <v/>
      </c>
      <c r="H394">
        <f>Calc!H12</f>
        <v/>
      </c>
      <c r="I394">
        <f>IF(Skills!T12&lt;&gt;"",1+(Skills!T12/10)*(Z385/1000)/100,1)</f>
        <v/>
      </c>
      <c r="J394">
        <f>((Inputs!$B$6*(1+Inputs!$B$7/100))+(((Inputs!$B$12*(1+Inputs!$B$13/100))-(Inputs!$B$12*(1+Inputs!$B$13/100)))+0.25*(Inputs!$B$14-Inputs!$B$14))*(1+Inputs!$B$7/100))*(F394/100)</f>
        <v/>
      </c>
      <c r="K394">
        <f>J394*(1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F400-Calc!F18),((Inputs!$B$23+1)+(IF(ArtifactsInput!$M$15,CHOOSE(ArtifactsInput!$N$15+1,25,30,35,40,45,50)/100*(Inputs!$B$11-Inputs!$B$11),0))))/100+((Inputs!$B$23+1)+(IF(ArtifactsInput!$M$15,CHOOSE(ArtifactsInput!$N$15+1,25,30,35,40,45,50)/100*(Inputs!$B$11-Inputs!$B$11),0)))/100)/2</f>
        <v/>
      </c>
      <c r="M394">
        <f>L394*(1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IF(B418=0,0,O394/B418)</f>
        <v/>
      </c>
      <c r="Q394">
        <f>IFERROR(1/IF(Inputs!$B$38="pvp",15,MAX(0.1,Skills!D12-IF(Skills!E12=TRUE,Inputs!$B$32,0))),0)</f>
        <v/>
      </c>
      <c r="R394">
        <f>IF(AND(Inputs!$B$38&lt;&gt;"pvp",Inputs!$B$43&gt;0),IF(MAX(0,Inputs!$B$43-B415)&lt;=0,0,(INT(MAX(0,Inputs!$B$43-B415)/IF(Inputs!$B$38="pvp",15,MAX(0.1,Skills!D12-IF(Skills!E12=TRUE,Inputs!$B$32,0))))+1)),0)</f>
        <v/>
      </c>
      <c r="S394">
        <f>IF(C394,(H394*N394*IF(AND(Inputs!$B$38&lt;&gt;"pvp",Inputs!$B$43&gt;0),((Skills!F12*((R394-1)*IF(Skills!G12&gt;0,Skills!H12/Skills!G12,1)+IF(Skills!G12&gt;0,MIN(Skills!H12,MAX(0,MAX(0,Inputs!$B$43-B415)-((R394-1)*IF(Inputs!$B$38="pvp",15,MAX(0.1,Skills!D12-IF(Skills!E12=TRUE,Inputs!$B$32,0))))))/Skills!G12,1)))/Inputs!$B$43),G394*Q394))*IF(Inputs!$B$38="pvp",1,1+(Inputs!$B$20+Skills!O12+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F12*((R394-1)*IF(Skills!G12&gt;0,Skills!H12/Skills!G12,1)+IF(Skills!G12&gt;0,MIN(Skills!H12,MAX(0,MAX(0,Inputs!$B$43-B415)-((R394-1)*IF(Inputs!$B$38="pvp",15,MAX(0.1,Skills!D12-IF(Skills!E12=TRUE,Inputs!$B$32,0))))))/Skills!G12,1)))/Inputs!$B$43),G394*Q394))*IF(Inputs!$B$38="pvp",1,(1+(Inputs!$B$21+Skills!P12+B409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Skills!A13</f>
        <v/>
      </c>
      <c r="B395">
        <f>Skills!B13</f>
        <v/>
      </c>
      <c r="C395">
        <f>Inputs!$B$3&gt;=49</f>
        <v/>
      </c>
      <c r="D395">
        <f>IF(Skills!C13=1,60+Inputs!$B$25+Inputs!$B$29,IF(Skills!C13=2,90+Inputs!$B$26+Inputs!$B$29,IF(Skills!C13=3,120+Inputs!$B$27+Inputs!$B$29,MAX(0,(Inputs!$B$3-100)*3)+Inputs!$B$28+Inputs!$B$29)))</f>
        <v/>
      </c>
      <c r="E395">
        <f>INDEX(FactorTable!$B$2:$Y$301, MATCH(ROUND(MIN(300,MAX(1,D395)),0), FactorTable!$A$2:$A$301,0), Skills!L13+1)</f>
        <v/>
      </c>
      <c r="F395">
        <f>IF(Skills!M13=TRUE,(Skills!K13/10)*(E395/1000),Skills!K13/10)+Skills!N13</f>
        <v/>
      </c>
      <c r="G395">
        <f>Calc!G13</f>
        <v/>
      </c>
      <c r="H395">
        <f>Calc!H13</f>
        <v/>
      </c>
      <c r="I395">
        <f>IF(Skills!T13&lt;&gt;"",1+(Skills!T13/10)*(Z385/1000)/100,1)</f>
        <v/>
      </c>
      <c r="J395" t="inlineStr"/>
      <c r="K395" t="inlineStr"/>
      <c r="L395" t="inlineStr"/>
      <c r="M395" t="inlineStr"/>
      <c r="N395" t="inlineStr"/>
      <c r="O395">
        <f>(1-Summary!$B$11)*S395+Summary!$B$11*U395</f>
        <v/>
      </c>
      <c r="P395">
        <f>IF(B418=0,0,O395/B418)</f>
        <v/>
      </c>
      <c r="Q395">
        <f>IFERROR(1/IF(Inputs!$B$38="pvp",15,MAX(0.1,Skills!D13-IF(Skills!E13=TRUE,Inputs!$B$32,0))),0)</f>
        <v/>
      </c>
      <c r="R395" t="n">
        <v>0</v>
      </c>
      <c r="S395" t="n">
        <v>0</v>
      </c>
      <c r="U395" t="n">
        <v>0</v>
      </c>
    </row>
    <row r="396">
      <c r="A396">
        <f>Skills!A14</f>
        <v/>
      </c>
      <c r="B396">
        <f>Skills!B14</f>
        <v/>
      </c>
      <c r="C396">
        <f>Inputs!$B$3&gt;=72</f>
        <v/>
      </c>
      <c r="D396">
        <f>IF(Skills!C14=1,60+Inputs!$B$25+Inputs!$B$29,IF(Skills!C14=2,90+Inputs!$B$26+Inputs!$B$29,IF(Skills!C14=3,120+Inputs!$B$27+Inputs!$B$29,MAX(0,(Inputs!$B$3-100)*3)+Inputs!$B$28+Inputs!$B$29)))</f>
        <v/>
      </c>
      <c r="E396">
        <f>INDEX(FactorTable!$B$2:$Y$301, MATCH(ROUND(MIN(300,MAX(1,D396)),0), FactorTable!$A$2:$A$301,0), Skills!L14+1)</f>
        <v/>
      </c>
      <c r="F396">
        <f>IF(Skills!M14=TRUE,(Skills!K14/10)*(E396/1000),Skills!K14/10)+Skills!N14</f>
        <v/>
      </c>
      <c r="G396">
        <f>Calc!G14</f>
        <v/>
      </c>
      <c r="H396">
        <f>Calc!H14</f>
        <v/>
      </c>
      <c r="I396">
        <f>IF(Skills!T14&lt;&gt;"",1+(Skills!T14/10)*(Z385/1000)/100,1)</f>
        <v/>
      </c>
      <c r="J396" t="inlineStr"/>
      <c r="K396" t="inlineStr"/>
      <c r="L396" t="inlineStr"/>
      <c r="M396" t="inlineStr"/>
      <c r="N396" t="inlineStr"/>
      <c r="O396">
        <f>(1-Summary!$B$11)*S396+Summary!$B$11*U396</f>
        <v/>
      </c>
      <c r="P396">
        <f>IF(B418=0,0,O396/B418)</f>
        <v/>
      </c>
      <c r="Q396">
        <f>IFERROR(1/IF(Inputs!$B$38="pvp",15,MAX(0.1,Skills!D14-IF(Skills!E14=TRUE,Inputs!$B$32,0))),0)</f>
        <v/>
      </c>
      <c r="R396" t="n">
        <v>0</v>
      </c>
      <c r="S396" t="n">
        <v>0</v>
      </c>
      <c r="U396" t="n">
        <v>0</v>
      </c>
    </row>
    <row r="397">
      <c r="A397">
        <f>Skills!A15</f>
        <v/>
      </c>
      <c r="B397">
        <f>Skills!B15</f>
        <v/>
      </c>
      <c r="C397">
        <f>Inputs!$B$3&gt;=75</f>
        <v/>
      </c>
      <c r="D397">
        <f>IF(Skills!C15=1,60+Inputs!$B$25+Inputs!$B$29,IF(Skills!C15=2,90+Inputs!$B$26+Inputs!$B$29,IF(Skills!C15=3,120+Inputs!$B$27+Inputs!$B$29,MAX(0,(Inputs!$B$3-100)*3)+Inputs!$B$28+Inputs!$B$29)))</f>
        <v/>
      </c>
      <c r="E397">
        <f>INDEX(FactorTable!$B$2:$Y$301, MATCH(ROUND(MIN(300,MAX(1,D397)),0), FactorTable!$A$2:$A$301,0), Skills!L15+1)</f>
        <v/>
      </c>
      <c r="F397">
        <f>IF(Skills!M15=TRUE,(Skills!K15/10)*(E397/1000),Skills!K15/10)+Skills!N15</f>
        <v/>
      </c>
      <c r="G397">
        <f>Calc!G15</f>
        <v/>
      </c>
      <c r="H397">
        <f>Calc!H15</f>
        <v/>
      </c>
      <c r="I397">
        <f>IF(Skills!T15&lt;&gt;"",1+(Skills!T15/10)*(Z385/1000)/100,1)</f>
        <v/>
      </c>
      <c r="J397" t="inlineStr"/>
      <c r="K397" t="inlineStr"/>
      <c r="L397" t="inlineStr"/>
      <c r="M397" t="inlineStr"/>
      <c r="N397" t="inlineStr"/>
      <c r="O397">
        <f>(1-Summary!$B$11)*S397+Summary!$B$11*U397</f>
        <v/>
      </c>
      <c r="P397">
        <f>IF(B418=0,0,O397/B418)</f>
        <v/>
      </c>
      <c r="Q397">
        <f>IFERROR(1/IF(Inputs!$B$38="pvp",15,MAX(0.1,Skills!D15-IF(Skills!E15=TRUE,Inputs!$B$32,0))),0)</f>
        <v/>
      </c>
      <c r="R397" t="n">
        <v>0</v>
      </c>
      <c r="S397" t="n">
        <v>0</v>
      </c>
      <c r="U397" t="n">
        <v>0</v>
      </c>
    </row>
    <row r="398">
      <c r="A398">
        <f>Skills!A16</f>
        <v/>
      </c>
      <c r="B398">
        <f>Skills!B16</f>
        <v/>
      </c>
      <c r="C398">
        <f>Inputs!$B$3&gt;=110</f>
        <v/>
      </c>
      <c r="D398">
        <f>IF(Skills!C16=1,60+Inputs!$B$25+Inputs!$B$29,IF(Skills!C16=2,90+Inputs!$B$26+Inputs!$B$29,IF(Skills!C16=3,120+Inputs!$B$27+Inputs!$B$29,MAX(0,(Inputs!$B$3-100)*3)+Inputs!$B$28+Inputs!$B$29)))</f>
        <v/>
      </c>
      <c r="E398">
        <f>INDEX(FactorTable!$B$2:$Y$301, MATCH(ROUND(MIN(300,MAX(1,D398)),0), FactorTable!$A$2:$A$301,0), Skills!L16+1)</f>
        <v/>
      </c>
      <c r="F398">
        <f>(Skills!K16/10)*(E398/1000)*64/45+Skills!N16</f>
        <v/>
      </c>
      <c r="G398">
        <f>Calc!G16</f>
        <v/>
      </c>
      <c r="H398">
        <f>Calc!H16</f>
        <v/>
      </c>
      <c r="I398">
        <f>IF(Skills!T16&lt;&gt;"",1+(Skills!T16/10)*(Z385/1000)/100,1)</f>
        <v/>
      </c>
      <c r="J398" t="inlineStr"/>
      <c r="K398" t="inlineStr"/>
      <c r="L398" t="inlineStr"/>
      <c r="M398" t="inlineStr"/>
      <c r="N398" t="inlineStr"/>
      <c r="O398">
        <f>(1-Summary!$B$11)*S398+Summary!$B$11*U398</f>
        <v/>
      </c>
      <c r="P398">
        <f>IF(B418=0,0,O398/B418)</f>
        <v/>
      </c>
      <c r="Q398">
        <f>IFERROR(1/IF(Inputs!$B$38="pvp",15,MAX(0.1,Skills!D16-IF(Skills!E16=TRUE,Inputs!$B$32,0))),0)</f>
        <v/>
      </c>
      <c r="R398">
        <f>IF(AND(Inputs!$B$38&lt;&gt;"pvp",Inputs!$B$43&gt;0),IF(Inputs!$B$43&lt;=0,0,(INT(Inputs!$B$43/IF(Inputs!$B$38="pvp",15,MAX(0.1,Skills!D16-IF(Skills!E16=TRUE,Inputs!$B$32,0))))+1)),0)</f>
        <v/>
      </c>
      <c r="S398" t="n">
        <v>0</v>
      </c>
      <c r="U398" t="n">
        <v>0</v>
      </c>
    </row>
    <row r="399">
      <c r="A399">
        <f>Skills!A17</f>
        <v/>
      </c>
      <c r="B399">
        <f>Skills!B17</f>
        <v/>
      </c>
      <c r="C399">
        <f>Inputs!$B$3&gt;=33</f>
        <v/>
      </c>
      <c r="D399">
        <f>IF(Skills!C17=1,60+Inputs!$B$25+Inputs!$B$29,IF(Skills!C17=2,90+Inputs!$B$26+Inputs!$B$29,IF(Skills!C17=3,120+Inputs!$B$27+Inputs!$B$29,MAX(0,(Inputs!$B$3-100)*3)+Inputs!$B$28+Inputs!$B$29)))</f>
        <v/>
      </c>
      <c r="E399">
        <f>INDEX(FactorTable!$B$2:$Y$301, MATCH(ROUND(MIN(300,MAX(1,D399)),0), FactorTable!$A$2:$A$301,0), Skills!L17+1)</f>
        <v/>
      </c>
      <c r="F399">
        <f>IF(Skills!M17=TRUE,(Skills!K17/10)*(E399/1000),Skills!K17/10)+Skills!N17</f>
        <v/>
      </c>
      <c r="G399">
        <f>Calc!G17</f>
        <v/>
      </c>
      <c r="H399">
        <f>Calc!H17</f>
        <v/>
      </c>
      <c r="I399">
        <f>IF(Skills!T17&lt;&gt;"",1+(Skills!T17/10)*(Z385/1000)/100,1)</f>
        <v/>
      </c>
      <c r="J399" t="inlineStr"/>
      <c r="K399" t="inlineStr"/>
      <c r="L399" t="inlineStr"/>
      <c r="M399" t="inlineStr"/>
      <c r="N399" t="inlineStr"/>
      <c r="O399">
        <f>(1-Summary!$B$11)*S399+Summary!$B$11*U399</f>
        <v/>
      </c>
      <c r="P399">
        <f>IF(B418=0,0,O399/B418)</f>
        <v/>
      </c>
      <c r="Q399">
        <f>IFERROR(1/IF(Inputs!$B$38="pvp",15,MAX(0.1,Skills!D17-IF(Skills!E17=TRUE,Inputs!$B$32,0))),0)</f>
        <v/>
      </c>
      <c r="R399" t="n">
        <v>0</v>
      </c>
      <c r="S399" t="n">
        <v>0</v>
      </c>
      <c r="U399" t="n">
        <v>0</v>
      </c>
    </row>
    <row r="400">
      <c r="A400">
        <f>Skills!A18</f>
        <v/>
      </c>
      <c r="B400">
        <f>Skills!B18</f>
        <v/>
      </c>
      <c r="C400">
        <f>Inputs!$B$3&gt;=43</f>
        <v/>
      </c>
      <c r="D400">
        <f>IF(Skills!C18=1,60+Inputs!$B$25+Inputs!$B$29,IF(Skills!C18=2,90+Inputs!$B$26+Inputs!$B$29,IF(Skills!C18=3,120+Inputs!$B$27+Inputs!$B$29,MAX(0,(Inputs!$B$3-100)*3)+Inputs!$B$28+Inputs!$B$29)))</f>
        <v/>
      </c>
      <c r="E400">
        <f>INDEX(FactorTable!$B$2:$Y$301, MATCH(ROUND(MIN(300,MAX(1,D400)),0), FactorTable!$A$2:$A$301,0), Skills!L18+1)</f>
        <v/>
      </c>
      <c r="F400">
        <f>IF(Skills!M18=TRUE,(Skills!K18/10)*(E400/1000),Skills!K18/10)+Skills!N18</f>
        <v/>
      </c>
      <c r="G400">
        <f>Calc!G18</f>
        <v/>
      </c>
      <c r="H400">
        <f>Calc!H18</f>
        <v/>
      </c>
      <c r="I400">
        <f>IF(Skills!T18&lt;&gt;"",1+(Skills!T18/10)*(Z385/1000)/100,1)</f>
        <v/>
      </c>
      <c r="J400" t="inlineStr"/>
      <c r="K400" t="inlineStr"/>
      <c r="L400" t="inlineStr"/>
      <c r="M400" t="inlineStr"/>
      <c r="N400" t="inlineStr"/>
      <c r="O400">
        <f>(1-Summary!$B$11)*S400+Summary!$B$11*U400</f>
        <v/>
      </c>
      <c r="P400">
        <f>IF(B418=0,0,O400/B418)</f>
        <v/>
      </c>
      <c r="Q400">
        <f>IFERROR(1/IF(Inputs!$B$38="pvp",15,MAX(0.1,Skills!D18-IF(Skills!E18=TRUE,Inputs!$B$32,0))),0)</f>
        <v/>
      </c>
      <c r="R400" t="n">
        <v>0</v>
      </c>
      <c r="S400" t="n">
        <v>0</v>
      </c>
      <c r="U400" t="n">
        <v>0</v>
      </c>
    </row>
    <row r="401">
      <c r="A401">
        <f>Skills!A19</f>
        <v/>
      </c>
      <c r="B401">
        <f>Skills!B19</f>
        <v/>
      </c>
      <c r="C401">
        <f>Inputs!$B$3&gt;=50</f>
        <v/>
      </c>
      <c r="D401">
        <f>IF(Skills!C19=1,60+Inputs!$B$25+Inputs!$B$29,IF(Skills!C19=2,90+Inputs!$B$26+Inputs!$B$29,IF(Skills!C19=3,120+Inputs!$B$27+Inputs!$B$29,MAX(0,(Inputs!$B$3-100)*3)+Inputs!$B$28+Inputs!$B$29)))</f>
        <v/>
      </c>
      <c r="E401">
        <f>INDEX(FactorTable!$B$2:$Y$301, MATCH(ROUND(MIN(300,MAX(1,D401)),0), FactorTable!$A$2:$A$301,0), Skills!L19+1)</f>
        <v/>
      </c>
      <c r="F401">
        <f>IF(Skills!M19=TRUE,(Skills!K19/10)*(E401/1000),Skills!K19/10)+Skills!N19</f>
        <v/>
      </c>
      <c r="G401">
        <f>Calc!G19</f>
        <v/>
      </c>
      <c r="H401">
        <f>Calc!H19</f>
        <v/>
      </c>
      <c r="I401">
        <f>IF(Skills!T19&lt;&gt;"",1+(Skills!T19/10)*(Z385/1000)/100,1)</f>
        <v/>
      </c>
      <c r="J401" t="inlineStr"/>
      <c r="K401" t="inlineStr"/>
      <c r="L401" t="inlineStr"/>
      <c r="M401" t="inlineStr"/>
      <c r="N401" t="inlineStr"/>
      <c r="O401">
        <f>(1-Summary!$B$11)*S401+Summary!$B$11*U401</f>
        <v/>
      </c>
      <c r="P401">
        <f>IF(B418=0,0,O401/B418)</f>
        <v/>
      </c>
      <c r="Q401">
        <f>IFERROR(1/IF(Inputs!$B$38="pvp",15,MAX(0.1,Skills!D19-IF(Skills!E19=TRUE,Inputs!$B$32,0))),0)</f>
        <v/>
      </c>
      <c r="R401" t="n">
        <v>0</v>
      </c>
      <c r="S401" t="n">
        <v>0</v>
      </c>
      <c r="U401" t="n">
        <v>0</v>
      </c>
    </row>
    <row r="402">
      <c r="A402">
        <f>Skills!A20</f>
        <v/>
      </c>
      <c r="B402">
        <f>Skills!B20</f>
        <v/>
      </c>
      <c r="C402">
        <f>Inputs!$B$3&gt;=74</f>
        <v/>
      </c>
      <c r="D402">
        <f>IF(Skills!C20=1,60+Inputs!$B$25+Inputs!$B$29,IF(Skills!C20=2,90+Inputs!$B$26+Inputs!$B$29,IF(Skills!C20=3,120+Inputs!$B$27+Inputs!$B$29,MAX(0,(Inputs!$B$3-100)*3)+Inputs!$B$28+Inputs!$B$29)))</f>
        <v/>
      </c>
      <c r="E402">
        <f>INDEX(FactorTable!$B$2:$Y$301, MATCH(ROUND(MIN(300,MAX(1,D402)),0), FactorTable!$A$2:$A$301,0), Skills!L20+1)</f>
        <v/>
      </c>
      <c r="F402">
        <f>IF(Skills!M20=TRUE,(Skills!K20/10)*(E402/1000),Skills!K20/10)+Skills!N20</f>
        <v/>
      </c>
      <c r="G402">
        <f>Calc!G20</f>
        <v/>
      </c>
      <c r="H402">
        <f>Calc!H20</f>
        <v/>
      </c>
      <c r="I402">
        <f>IF(Skills!T20&lt;&gt;"",1+(Skills!T20/10)*(Z385/1000)/100,1)</f>
        <v/>
      </c>
      <c r="J402" t="inlineStr"/>
      <c r="K402" t="inlineStr"/>
      <c r="L402" t="inlineStr"/>
      <c r="M402" t="inlineStr"/>
      <c r="N402" t="inlineStr"/>
      <c r="O402">
        <f>(1-Summary!$B$11)*S402+Summary!$B$11*U402</f>
        <v/>
      </c>
      <c r="P402">
        <f>IF(B418=0,0,O402/B418)</f>
        <v/>
      </c>
      <c r="Q402">
        <f>IFERROR(1/IF(Inputs!$B$38="pvp",15,MAX(0.1,Skills!D20-IF(Skills!E20=TRUE,Inputs!$B$32,0))),0)</f>
        <v/>
      </c>
      <c r="R402" t="n">
        <v>0</v>
      </c>
      <c r="S402" t="n">
        <v>0</v>
      </c>
      <c r="U402" t="n">
        <v>0</v>
      </c>
    </row>
    <row r="403">
      <c r="A403">
        <f>Skills!A21</f>
        <v/>
      </c>
      <c r="B403">
        <f>Skills!B21</f>
        <v/>
      </c>
      <c r="C403">
        <f>Inputs!$B$3&gt;=74</f>
        <v/>
      </c>
      <c r="D403">
        <f>IF(Skills!C21=1,60+Inputs!$B$25+Inputs!$B$29,IF(Skills!C21=2,90+Inputs!$B$26+Inputs!$B$29,IF(Skills!C21=3,120+Inputs!$B$27+Inputs!$B$29,MAX(0,(Inputs!$B$3-100)*3)+Inputs!$B$28+Inputs!$B$29)))</f>
        <v/>
      </c>
      <c r="E403">
        <f>INDEX(FactorTable!$B$2:$Y$301, MATCH(ROUND(MIN(300,MAX(1,D403)),0), FactorTable!$A$2:$A$301,0), Skills!L21+1)</f>
        <v/>
      </c>
      <c r="F403">
        <f>IF(Skills!M21=TRUE,(Skills!K21/10)*(E403/1000),Skills!K21/10)+Skills!N21</f>
        <v/>
      </c>
      <c r="G403">
        <f>Calc!G21</f>
        <v/>
      </c>
      <c r="H403">
        <f>Calc!H21</f>
        <v/>
      </c>
      <c r="I403">
        <f>IF(Skills!T21&lt;&gt;"",1+(Skills!T21/10)*(Z385/1000)/100,1)</f>
        <v/>
      </c>
      <c r="J403" t="inlineStr"/>
      <c r="K403" t="inlineStr"/>
      <c r="L403" t="inlineStr"/>
      <c r="M403" t="inlineStr"/>
      <c r="N403" t="inlineStr"/>
      <c r="O403">
        <f>(1-Summary!$B$11)*S403+Summary!$B$11*U403</f>
        <v/>
      </c>
      <c r="P403">
        <f>IF(B418=0,0,O403/B418)</f>
        <v/>
      </c>
      <c r="Q403">
        <f>IFERROR(1/IF(Inputs!$B$38="pvp",15,MAX(0.1,Skills!D21-IF(Skills!E21=TRUE,Inputs!$B$32,0))),0)</f>
        <v/>
      </c>
      <c r="R403" t="n">
        <v>0</v>
      </c>
      <c r="S403" t="n">
        <v>0</v>
      </c>
      <c r="U403" t="n">
        <v>0</v>
      </c>
    </row>
    <row r="404">
      <c r="A404">
        <f>Skills!A22</f>
        <v/>
      </c>
      <c r="B404">
        <f>Skills!B22</f>
        <v/>
      </c>
      <c r="C404">
        <f>Inputs!$B$3&gt;=117</f>
        <v/>
      </c>
      <c r="D404">
        <f>IF(Skills!C22=1,60+Inputs!$B$25+Inputs!$B$29,IF(Skills!C22=2,90+Inputs!$B$26+Inputs!$B$29,IF(Skills!C22=3,120+Inputs!$B$27+Inputs!$B$29,MAX(0,(Inputs!$B$3-100)*3)+Inputs!$B$28+Inputs!$B$29)))</f>
        <v/>
      </c>
      <c r="E404">
        <f>INDEX(FactorTable!$B$2:$Y$301, MATCH(ROUND(MIN(300,MAX(1,D404)),0), FactorTable!$A$2:$A$301,0), Skills!L22+1)</f>
        <v/>
      </c>
      <c r="F404">
        <f>IF(Skills!M22=TRUE,(Skills!K22/10)*(E404/1000),Skills!K22/10)+Skills!N22</f>
        <v/>
      </c>
      <c r="G404">
        <f>Calc!G22</f>
        <v/>
      </c>
      <c r="H404">
        <f>Calc!H22</f>
        <v/>
      </c>
      <c r="I404">
        <f>IF(Skills!T22&lt;&gt;"",1+(Skills!T22/10)*(Z385/1000)/100,1)</f>
        <v/>
      </c>
      <c r="J404" t="inlineStr"/>
      <c r="K404" t="inlineStr"/>
      <c r="L404" t="inlineStr"/>
      <c r="M404" t="inlineStr"/>
      <c r="N404" t="inlineStr"/>
      <c r="O404">
        <f>(1-Summary!$B$11)*S404+Summary!$B$11*U404</f>
        <v/>
      </c>
      <c r="P404">
        <f>IF(B418=0,0,O404/B418)</f>
        <v/>
      </c>
      <c r="Q404">
        <f>IFERROR(1/IF(Inputs!$B$38="pvp",15,MAX(0.1,Skills!D22-IF(Skills!E22=TRUE,Inputs!$B$32,0))),0)</f>
        <v/>
      </c>
      <c r="R404" t="n">
        <v>0</v>
      </c>
      <c r="S404" t="n">
        <v>0</v>
      </c>
      <c r="U404" t="n">
        <v>0</v>
      </c>
    </row>
    <row r="405">
      <c r="A405">
        <f>Skills!A23</f>
        <v/>
      </c>
      <c r="B405">
        <f>Skills!B23</f>
        <v/>
      </c>
      <c r="C405">
        <f>Inputs!$B$3&gt;=120</f>
        <v/>
      </c>
      <c r="D405">
        <f>IF(Skills!C23=1,60+Inputs!$B$25+Inputs!$B$29,IF(Skills!C23=2,90+Inputs!$B$26+Inputs!$B$29,IF(Skills!C23=3,120+Inputs!$B$27+Inputs!$B$29,MAX(0,(Inputs!$B$3-100)*3)+Inputs!$B$28+Inputs!$B$29)))</f>
        <v/>
      </c>
      <c r="E405">
        <f>INDEX(FactorTable!$B$2:$Y$301, MATCH(ROUND(MIN(300,MAX(1,D405)),0), FactorTable!$A$2:$A$301,0), Skills!L23+1)</f>
        <v/>
      </c>
      <c r="F405">
        <f>IF(Skills!M23=TRUE,(Skills!K23/10)*(E405/1000),Skills!K23/10)+Skills!N23</f>
        <v/>
      </c>
      <c r="G405">
        <f>Calc!G23</f>
        <v/>
      </c>
      <c r="H405">
        <f>Calc!H23</f>
        <v/>
      </c>
      <c r="I405">
        <f>IF(Skills!T23&lt;&gt;"",1+(Skills!T23/10)*(Z385/1000)/100,1)</f>
        <v/>
      </c>
      <c r="J405" t="inlineStr"/>
      <c r="K405" t="inlineStr"/>
      <c r="L405" t="inlineStr"/>
      <c r="M405" t="inlineStr"/>
      <c r="N405" t="inlineStr"/>
      <c r="O405">
        <f>(1-Summary!$B$11)*S405+Summary!$B$11*U405</f>
        <v/>
      </c>
      <c r="P405">
        <f>IF(B418=0,0,O405/B418)</f>
        <v/>
      </c>
      <c r="Q405">
        <f>IFERROR(1/IF(Inputs!$B$38="pvp",15,MAX(0.1,Skills!D23-IF(Skills!E23=TRUE,Inputs!$B$32,0))),0)</f>
        <v/>
      </c>
      <c r="R405" t="n">
        <v>0</v>
      </c>
      <c r="S405" t="n">
        <v>0</v>
      </c>
      <c r="U405" t="n">
        <v>0</v>
      </c>
    </row>
    <row r="408">
      <c r="A408" t="inlineStr">
        <is>
          <t>Average Buff Multiplier (Magic Guard + Meditation + Artifact Attack%, summed; then Infinity)</t>
        </is>
      </c>
      <c r="B408">
        <f>(1+(IF(C385=TRUE,F385*IF(AND(Inputs!$B$38&lt;&gt;"pvp",Inputs!$B$43&gt;0),(((R385-1)*(Skills!S3*(1+(Inputs!$B$34+IF(Inputs!$B$3&gt;=117,F404,0))/100))+MIN((Skills!S3*(1+(Inputs!$B$34+IF(Inputs!$B$3&gt;=117,F404,0))/100)),MAX(0,Inputs!$B$43-((R385-1)*Skills!D3))))/Inputs!$B$43),IF(Inputs!$B$38="pvp",MIN((Skills!S3*(1+(Inputs!$B$34+IF(Inputs!$B$3&gt;=117,F404,0))/100)),15)/15,(Skills!S3*(1+(Inputs!$B$34+IF(Inputs!$B$3&gt;=117,F404,0))/100))/Skills!D3)),0)+IF(C386=TRUE,F386*IF(AND(Inputs!$B$38&lt;&gt;"pvp",Inputs!$B$43&gt;0),(((R386-1)*(Skills!S4*(1+(Inputs!$B$34+IF(Inputs!$B$3&gt;=117,F404,0))/100))+MIN((Skills!S4*(1+(Inputs!$B$34+IF(Inputs!$B$3&gt;=117,F404,0))/100)),MAX(0,Inputs!$B$43-((R386-1)*Skills!D4))))/Inputs!$B$43),IF(Inputs!$B$38="pvp",MIN((Skills!S4*(1+(Inputs!$B$34+IF(Inputs!$B$3&gt;=117,F404,0))/100)),15)/15,(Skills!S4*(1+(Inputs!$B$34+IF(Inputs!$B$3&gt;=117,F404,0)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398=TRUE,(1+F398*IF(AND(Inputs!$B$38&lt;&gt;"pvp",Inputs!$B$43&gt;0),(((R398-1)*(Skills!S16*(1+(Inputs!$B$34+IF(Inputs!$B$3&gt;=117,F404,0))/100))+MIN((Skills!S16*(1+(Inputs!$B$34+IF(Inputs!$B$3&gt;=117,F404,0))/100)),MAX(0,Inputs!$B$43-((R398-1)*Skills!D16))))/Inputs!$B$43),IF(Inputs!$B$38="pvp",MIN((Skills!S16*(1+(Inputs!$B$34+IF(Inputs!$B$3&gt;=117,F404,0))/100)),15)/15,(Skills!S16*(1+(Inputs!$B$34+IF(Inputs!$B$3&gt;=117,F404,0))/100))/Skills!D16))/100),1)</f>
        <v/>
      </c>
    </row>
    <row r="409">
      <c r="A409" t="inlineStr">
        <is>
          <t>Monster Damage Taken Bonus % (Freezing Breath - Weaken + Elemental Reset + Artifact Enemy Damage Taken, summed)</t>
        </is>
      </c>
      <c r="B409">
        <f>IF(Inputs!$B$3&gt;=118,15*IF(Inputs!$B$38="pvp",MIN((30*(1+(Inputs!$B$34+IF(Inputs!$B$3&gt;=117,F404,0))/100)),15)/15,(30*(1+(Inputs!$B$34+IF(Inputs!$B$3&gt;=117,F404,0))/100))/Skills!D8),0)+IF(C396=TRUE,F396,0)+(IF(AND(ArtifactsInput!$M$35,Inputs!$B$4&lt;&gt;"Chapter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f>
        <v/>
      </c>
    </row>
    <row r="410">
      <c r="A410" t="inlineStr">
        <is>
          <t>Damage % Bonus (Frozen Break + Frost Clutch, flat)</t>
        </is>
      </c>
      <c r="B410">
        <f>IF(Inputs!$B$3&gt;=66,15,0)+IF(Inputs!$B$3&gt;=98,10,0)+IF(Inputs!$B$3&gt;=125,20,0)</f>
        <v/>
      </c>
    </row>
    <row r="411">
      <c r="A411" t="inlineStr">
        <is>
          <t>Attack Speed Bonus % (MP Eater - MP Boost, always-on once unlocked)</t>
        </is>
      </c>
      <c r="B411">
        <f>IF(C395=TRUE,F395+(F399-Calc!F17),0)</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IF(AND(Inputs!$B$38&lt;&gt;"pvp",Inputs!$B$43&gt;0),SUMPRODUCT((Skills!E2:E23=TRUE)*(C384:C405=TRUE)*R384:R405)/Inputs!$B$43,SUMPRODUCT((Skills!E2:E23=TRUE)*(C384:C405=TRUE)*Q384:Q405))</f>
        <v/>
      </c>
    </row>
    <row r="414">
      <c r="A414" t="inlineStr">
        <is>
          <t>Chain Lightning Casts Per Second</t>
        </is>
      </c>
      <c r="B414">
        <f>MAX(0,B412-B413)</f>
        <v/>
      </c>
    </row>
    <row r="415">
      <c r="A415" t="inlineStr">
        <is>
          <t>Buff-Casting Startup Delay (s, fixed-duration only)</t>
        </is>
      </c>
      <c r="B415">
        <f>IF(AND(Inputs!$B$38&lt;&gt;"pvp",Inputs!$B$43&gt;0),SUMPRODUCT((Skills!S2:S23&gt;0)*(Skills!E2:E23=TRUE)*(C384:C405=TRUE))/B412,0)</f>
        <v/>
      </c>
    </row>
    <row r="416">
      <c r="A416" t="inlineStr">
        <is>
          <t>Boss-Only Total DPS (this block's swept value)</t>
        </is>
      </c>
      <c r="B416">
        <f>SUM(S384:S405)</f>
        <v/>
      </c>
    </row>
    <row r="417">
      <c r="A417" t="inlineStr">
        <is>
          <t>Normal-Only Total DPS (this block's swept value)</t>
        </is>
      </c>
      <c r="B417">
        <f>SUM(U384:U405)</f>
        <v/>
      </c>
    </row>
    <row r="418">
      <c r="A418" s="6" t="inlineStr">
        <is>
          <t>TOTAL DPS</t>
        </is>
      </c>
      <c r="B418" s="6">
        <f>SUM(O384:O405)</f>
        <v/>
      </c>
    </row>
    <row r="421">
      <c r="A421" s="6" t="inlineStr">
        <is>
          <t>Stat: CRIT_RATE %</t>
        </is>
      </c>
    </row>
    <row r="422">
      <c r="A422" s="5" t="inlineStr">
        <is>
          <t>Key</t>
        </is>
      </c>
      <c r="B422" s="5" t="inlineStr">
        <is>
          <t>Name</t>
        </is>
      </c>
      <c r="C422" s="5" t="inlineStr">
        <is>
          <t>Unlocked</t>
        </is>
      </c>
      <c r="D422" s="5" t="inlineStr">
        <is>
          <t>InputLevel</t>
        </is>
      </c>
      <c r="E422" s="5" t="inlineStr">
        <is>
          <t>Factor</t>
        </is>
      </c>
      <c r="F422" s="5" t="inlineStr">
        <is>
          <t>CoefficientPercent</t>
        </is>
      </c>
      <c r="G422" s="5" t="inlineStr">
        <is>
          <t>EffectiveHits</t>
        </is>
      </c>
      <c r="H422" s="5" t="inlineStr">
        <is>
          <t>ProcProbability</t>
        </is>
      </c>
      <c r="I422" s="5" t="inlineStr">
        <is>
          <t>MapleHeroMultiplier</t>
        </is>
      </c>
      <c r="J422" s="5" t="inlineStr">
        <is>
          <t>BaseDamage</t>
        </is>
      </c>
      <c r="K422" s="5" t="inlineStr">
        <is>
          <t>BaseHitDamage</t>
        </is>
      </c>
      <c r="L422" s="5" t="inlineStr">
        <is>
          <t>NonCritAvg</t>
        </is>
      </c>
      <c r="M422" s="5" t="inlineStr">
        <is>
          <t>CritAvg</t>
        </is>
      </c>
      <c r="N422" s="5" t="inlineStr">
        <is>
          <t>ExpectedDamage(perHit)</t>
        </is>
      </c>
      <c r="O422" s="5" t="inlineStr">
        <is>
          <t>DPS</t>
        </is>
      </c>
      <c r="P422" s="5" t="inlineStr">
        <is>
          <t>% of Total</t>
        </is>
      </c>
      <c r="R422" t="inlineStr">
        <is>
          <t>helpers</t>
        </is>
      </c>
    </row>
    <row r="423">
      <c r="A423">
        <f>Skills!A2</f>
        <v/>
      </c>
      <c r="B423">
        <f>Skills!B2</f>
        <v/>
      </c>
      <c r="C423">
        <f>Inputs!$B$3&gt;=100</f>
        <v/>
      </c>
      <c r="D423" t="inlineStr"/>
      <c r="E423" t="inlineStr"/>
      <c r="F423">
        <f>T425+Skills!N2</f>
        <v/>
      </c>
      <c r="G423">
        <f>Calc!G2</f>
        <v/>
      </c>
      <c r="H423">
        <f>Calc!H2</f>
        <v/>
      </c>
      <c r="I423">
        <f>IF(Skills!T2&lt;&gt;"",1+(Skills!T2/10)*(Z424/1000)/100,1)</f>
        <v/>
      </c>
      <c r="J423">
        <f>((Inputs!$B$6*(1+Inputs!$B$7/100))+(((Inputs!$B$12*(1+Inputs!$B$13/100))-(Inputs!$B$12*(1+Inputs!$B$13/100)))+0.25*(Inputs!$B$14-Inputs!$B$14))*(1+Inputs!$B$7/100))*(F423/100)</f>
        <v/>
      </c>
      <c r="K423">
        <f>J423*(1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F439-Calc!F18),(Inputs!$B$23+(IF(ArtifactsInput!$M$15,CHOOSE(ArtifactsInput!$N$15+1,25,30,35,40,45,50)/100*(Inputs!$B$11-Inputs!$B$11),0))))/100+(Inputs!$B$23+(IF(ArtifactsInput!$M$15,CHOOSE(ArtifactsInput!$N$15+1,25,30,35,40,45,50)/100*(Inputs!$B$11-Inputs!$B$11),0)))/100)/2</f>
        <v/>
      </c>
      <c r="M423">
        <f>L423*(1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3">
        <f>L423*(1-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(1-Summary!$B$11)*S423+Summary!$B$11*U423</f>
        <v/>
      </c>
      <c r="P423">
        <f>IF(B457=0,0,O423/B457)</f>
        <v/>
      </c>
      <c r="Q423">
        <f>IFERROR(1/IF(Inputs!$B$38="pvp",15,MAX(0.1,Skills!D2-IF(Skills!E2=TRUE,Inputs!$B$32,0))),0)</f>
        <v/>
      </c>
      <c r="R423" t="n">
        <v>0</v>
      </c>
      <c r="S423">
        <f>IF(C423,(Skills!F2*N423*B453)*IF(Inputs!$B$38="pvp",1,1+(Inputs!$B$20+Skills!O2+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3">
        <f>MAX(0,(Inputs!$B$3-100)*3)+Inputs!$B$28+Inputs!$B$29</f>
        <v/>
      </c>
      <c r="U423">
        <f>IF(C423,(Skills!F2*N423*B453)*IF(Inputs!$B$38="pvp",1,(1+(Inputs!$B$21+Skills!P2+B448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3">
        <f>MAX(0,(Inputs!$B$3-100)*3)+Inputs!$B$28+Inputs!$B$29</f>
        <v/>
      </c>
    </row>
    <row r="424">
      <c r="A424">
        <f>Skills!A3</f>
        <v/>
      </c>
      <c r="B424">
        <f>Skills!B3</f>
        <v/>
      </c>
      <c r="C424">
        <f>Inputs!$B$3&gt;=15</f>
        <v/>
      </c>
      <c r="D424">
        <f>IF(Skills!C3=1,60+Inputs!$B$25+Inputs!$B$29,IF(Skills!C3=2,90+Inputs!$B$26+Inputs!$B$29,IF(Skills!C3=3,120+Inputs!$B$27+Inputs!$B$29,MAX(0,(Inputs!$B$3-100)*3)+Inputs!$B$28+Inputs!$B$29)))</f>
        <v/>
      </c>
      <c r="E424">
        <f>INDEX(FactorTable!$B$2:$Y$301, MATCH(ROUND(MIN(300,MAX(1,D424)),0), FactorTable!$A$2:$A$301,0), Skills!L3+1)</f>
        <v/>
      </c>
      <c r="F424">
        <f>IF(Skills!M3=TRUE,(Skills!K3/10)*(E424/1000),Skills!K3/10)+Skills!N3</f>
        <v/>
      </c>
      <c r="G424">
        <f>Calc!G3</f>
        <v/>
      </c>
      <c r="H424">
        <f>Calc!H3</f>
        <v/>
      </c>
      <c r="I424">
        <f>IF(Skills!T3&lt;&gt;"",1+(Skills!T3/10)*(Z424/1000)/100,1)</f>
        <v/>
      </c>
      <c r="J424" t="inlineStr"/>
      <c r="K424" t="inlineStr"/>
      <c r="L424" t="inlineStr"/>
      <c r="M424" t="inlineStr"/>
      <c r="N424" t="inlineStr"/>
      <c r="O424">
        <f>(1-Summary!$B$11)*S424+Summary!$B$11*U424</f>
        <v/>
      </c>
      <c r="P424">
        <f>IF(B457=0,0,O424/B457)</f>
        <v/>
      </c>
      <c r="Q424">
        <f>IFERROR(1/IF(Inputs!$B$38="pvp",15,MAX(0.1,Skills!D3-IF(Skills!E3=TRUE,Inputs!$B$32,0))),0)</f>
        <v/>
      </c>
      <c r="R424">
        <f>IF(AND(Inputs!$B$38&lt;&gt;"pvp",Inputs!$B$43&gt;0),IF(Inputs!$B$43&lt;=0,0,(INT(Inputs!$B$43/IF(Inputs!$B$38="pvp",15,MAX(0.1,Skills!D3-IF(Skills!E3=TRUE,Inputs!$B$32,0))))+1)),0)</f>
        <v/>
      </c>
      <c r="S424" t="n">
        <v>0</v>
      </c>
      <c r="T424">
        <f>INDEX(FactorTable!$B$2:$Y$301, MATCH(ROUND(MIN(300,MAX(1,T423)),0), FactorTable!$A$2:$A$301,0), 22)</f>
        <v/>
      </c>
      <c r="U424" t="n">
        <v>0</v>
      </c>
      <c r="Z424">
        <f>INDEX(FactorTable!$B$2:$Y$301, MATCH(ROUND(MIN(300,MAX(1,Z423)),0), FactorTable!$A$2:$A$301,0), 24)</f>
        <v/>
      </c>
    </row>
    <row r="425">
      <c r="A425">
        <f>Skills!A4</f>
        <v/>
      </c>
      <c r="B425">
        <f>Skills!B4</f>
        <v/>
      </c>
      <c r="C425">
        <f>Inputs!$B$3&gt;=40</f>
        <v/>
      </c>
      <c r="D425">
        <f>IF(Skills!C4=1,60+Inputs!$B$25+Inputs!$B$29,IF(Skills!C4=2,90+Inputs!$B$26+Inputs!$B$29,IF(Skills!C4=3,120+Inputs!$B$27+Inputs!$B$29,MAX(0,(Inputs!$B$3-100)*3)+Inputs!$B$28+Inputs!$B$29)))</f>
        <v/>
      </c>
      <c r="E425">
        <f>INDEX(FactorTable!$B$2:$Y$301, MATCH(ROUND(MIN(300,MAX(1,D425)),0), FactorTable!$A$2:$A$301,0), Skills!L4+1)</f>
        <v/>
      </c>
      <c r="F425">
        <f>IF(Skills!M4=TRUE,(Skills!K4/10)*(E425/1000),Skills!K4/10)+Skills!N4</f>
        <v/>
      </c>
      <c r="G425">
        <f>Calc!G4</f>
        <v/>
      </c>
      <c r="H425">
        <f>Calc!H4</f>
        <v/>
      </c>
      <c r="I425">
        <f>IF(Skills!T4&lt;&gt;"",1+(Skills!T4/10)*(Z424/1000)/100,1)</f>
        <v/>
      </c>
      <c r="J425" t="inlineStr"/>
      <c r="K425" t="inlineStr"/>
      <c r="L425" t="inlineStr"/>
      <c r="M425" t="inlineStr"/>
      <c r="N425" t="inlineStr"/>
      <c r="O425">
        <f>(1-Summary!$B$11)*S425+Summary!$B$11*U425</f>
        <v/>
      </c>
      <c r="P425">
        <f>IF(B457=0,0,O425/B457)</f>
        <v/>
      </c>
      <c r="Q425">
        <f>IFERROR(1/IF(Inputs!$B$38="pvp",15,MAX(0.1,Skills!D4-IF(Skills!E4=TRUE,Inputs!$B$32,0))),0)</f>
        <v/>
      </c>
      <c r="R425">
        <f>IF(AND(Inputs!$B$38&lt;&gt;"pvp",Inputs!$B$43&gt;0),IF(Inputs!$B$43&lt;=0,0,(INT(Inputs!$B$43/IF(Inputs!$B$38="pvp",15,MAX(0.1,Skills!D4-IF(Skills!E4=TRUE,Inputs!$B$32,0))))+1)),0)</f>
        <v/>
      </c>
      <c r="S425" t="n">
        <v>0</v>
      </c>
      <c r="T425">
        <f>290*T424/1000</f>
        <v/>
      </c>
      <c r="U425" t="n">
        <v>0</v>
      </c>
    </row>
    <row r="426">
      <c r="A426">
        <f>Skills!A5</f>
        <v/>
      </c>
      <c r="B426">
        <f>Skills!B5</f>
        <v/>
      </c>
      <c r="C426">
        <f>Inputs!$B$3&gt;=38</f>
        <v/>
      </c>
      <c r="D426">
        <f>IF(Skills!C5=1,60+Inputs!$B$25+Inputs!$B$29,IF(Skills!C5=2,90+Inputs!$B$26+Inputs!$B$29,IF(Skills!C5=3,120+Inputs!$B$27+Inputs!$B$29,MAX(0,(Inputs!$B$3-100)*3)+Inputs!$B$28+Inputs!$B$29)))</f>
        <v/>
      </c>
      <c r="E426">
        <f>INDEX(FactorTable!$B$2:$Y$301, MATCH(ROUND(MIN(300,MAX(1,D426)),0), FactorTable!$A$2:$A$301,0), Skills!L5+1)</f>
        <v/>
      </c>
      <c r="F426">
        <f>IF(Skills!M5=TRUE,(Skills!K5/10)*(E426/1000),Skills!K5/10)+Skills!N5</f>
        <v/>
      </c>
      <c r="G426">
        <f>Calc!G5</f>
        <v/>
      </c>
      <c r="H426">
        <f>Calc!H5</f>
        <v/>
      </c>
      <c r="I426">
        <f>IF(Skills!T5&lt;&gt;"",1+(Skills!T5/10)*(Z424/1000)/100,1)</f>
        <v/>
      </c>
      <c r="J426">
        <f>((Inputs!$B$6*(1+Inputs!$B$7/100))+(((Inputs!$B$12*(1+Inputs!$B$13/100))-(Inputs!$B$12*(1+Inputs!$B$13/100)))+0.25*(Inputs!$B$14-Inputs!$B$14))*(1+Inputs!$B$7/100))*(F426/100)</f>
        <v/>
      </c>
      <c r="K426">
        <f>J426*(1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5="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439-Calc!F18),(Inputs!$B$23+(IF(ArtifactsInput!$M$15,CHOOSE(ArtifactsInput!$N$15+1,25,30,35,40,45,50)/100*(Inputs!$B$11-Inputs!$B$11),0))))/100+(Inputs!$B$23+(IF(ArtifactsInput!$M$15,CHOOSE(ArtifactsInput!$N$15+1,25,30,35,40,45,50)/100*(Inputs!$B$11-Inputs!$B$11),0)))/100)/2</f>
        <v/>
      </c>
      <c r="M426">
        <f>L426*(1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6">
        <f>L426*(1-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IF(B457=0,0,O426/B457)</f>
        <v/>
      </c>
      <c r="Q426">
        <f>IFERROR(1/IF(Inputs!$B$38="pvp",15,MAX(0.1,Skills!D5-IF(Skills!E5=TRUE,Inputs!$B$32,0))),0)</f>
        <v/>
      </c>
      <c r="R426">
        <f>IF(AND(Inputs!$B$38&lt;&gt;"pvp",Inputs!$B$43&gt;0),IF(MAX(0,Inputs!$B$43-B454)&lt;=0,0,(INT(MAX(0,Inputs!$B$43-B454)/IF(Inputs!$B$38="pvp",15,MAX(0.1,Skills!D5-IF(Skills!E5=TRUE,Inputs!$B$32,0))))+1)),0)</f>
        <v/>
      </c>
      <c r="S426">
        <f>IF(C426,(H426*N426*IF(AND(Inputs!$B$38&lt;&gt;"pvp",Inputs!$B$43&gt;0),((Skills!F5*((R426-1)*IF(Skills!G5&gt;0,Skills!H5/Skills!G5,1)+IF(Skills!G5&gt;0,MIN(Skills!H5,MAX(0,MAX(0,Inputs!$B$43-B454)-((R426-1)*IF(Inputs!$B$38="pvp",15,MAX(0.1,Skills!D5-IF(Skills!E5=TRUE,Inputs!$B$32,0))))))/Skills!G5,1)))/Inputs!$B$43),G426*Q426))*IF(Inputs!$B$38="pvp",1,1+(Inputs!$B$20+Skills!O5+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IF(C426,(H426*N426*IF(AND(Inputs!$B$38&lt;&gt;"pvp",Inputs!$B$43&gt;0),((Skills!F5*((R426-1)*IF(Skills!G5&gt;0,Skills!H5/Skills!G5,1)+IF(Skills!G5&gt;0,MIN(Skills!H5,MAX(0,MAX(0,Inputs!$B$43-B454)-((R426-1)*IF(Inputs!$B$38="pvp",15,MAX(0.1,Skills!D5-IF(Skills!E5=TRUE,Inputs!$B$32,0))))))/Skills!G5,1)))/Inputs!$B$43),G426*Q426))*IF(Inputs!$B$38="pvp",1,(1+(Inputs!$B$21+Skills!P5+B448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Skills!A6</f>
        <v/>
      </c>
      <c r="B427">
        <f>Skills!B6</f>
        <v/>
      </c>
      <c r="C427">
        <f>Inputs!$B$3&gt;=63</f>
        <v/>
      </c>
      <c r="D427">
        <f>IF(Skills!C6=1,60+Inputs!$B$25+Inputs!$B$29,IF(Skills!C6=2,90+Inputs!$B$26+Inputs!$B$29,IF(Skills!C6=3,120+Inputs!$B$27+Inputs!$B$29,MAX(0,(Inputs!$B$3-100)*3)+Inputs!$B$28+Inputs!$B$29)))</f>
        <v/>
      </c>
      <c r="E427">
        <f>INDEX(FactorTable!$B$2:$Y$301, MATCH(ROUND(MIN(300,MAX(1,D427)),0), FactorTable!$A$2:$A$301,0), Skills!L6+1)</f>
        <v/>
      </c>
      <c r="F427">
        <f>IF(Skills!M6=TRUE,(Skills!K6/10)*(E427/1000),Skills!K6/10)+Skills!N6</f>
        <v/>
      </c>
      <c r="G427">
        <f>Calc!G6</f>
        <v/>
      </c>
      <c r="H427">
        <f>Calc!H6</f>
        <v/>
      </c>
      <c r="I427">
        <f>IF(Skills!T6&lt;&gt;"",1+(Skills!T6/10)*(Z424/1000)/100,1)</f>
        <v/>
      </c>
      <c r="J427">
        <f>((Inputs!$B$6*(1+Inputs!$B$7/100))+(((Inputs!$B$12*(1+Inputs!$B$13/100))-(Inputs!$B$12*(1+Inputs!$B$13/100)))+0.25*(Inputs!$B$14-Inputs!$B$14))*(1+Inputs!$B$7/100))*(F427/100)</f>
        <v/>
      </c>
      <c r="K427">
        <f>J427*(1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6="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439-Calc!F18),(Inputs!$B$23+(IF(ArtifactsInput!$M$15,CHOOSE(ArtifactsInput!$N$15+1,25,30,35,40,45,50)/100*(Inputs!$B$11-Inputs!$B$11),0))))/100+(Inputs!$B$23+(IF(ArtifactsInput!$M$15,CHOOSE(ArtifactsInput!$N$15+1,25,30,35,40,45,50)/100*(Inputs!$B$11-Inputs!$B$11),0)))/100)/2</f>
        <v/>
      </c>
      <c r="M427">
        <f>L427*(1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7">
        <f>L427*(1-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IF(B457=0,0,O427/B457)</f>
        <v/>
      </c>
      <c r="Q427">
        <f>IFERROR(1/IF(Inputs!$B$38="pvp",15,MAX(0.1,Skills!D6-IF(Skills!E6=TRUE,Inputs!$B$32,0))),0)</f>
        <v/>
      </c>
      <c r="R427">
        <f>IF(AND(Inputs!$B$38&lt;&gt;"pvp",Inputs!$B$43&gt;0),IF(MAX(0,Inputs!$B$43-B454)&lt;=0,0,(INT(MAX(0,Inputs!$B$43-B454)/IF(Inputs!$B$38="pvp",15,MAX(0.1,Skills!D6-IF(Skills!E6=TRUE,Inputs!$B$32,0))))+1)),0)</f>
        <v/>
      </c>
      <c r="S427">
        <f>IF(C427,(H427*N427*IF(AND(Inputs!$B$38&lt;&gt;"pvp",Inputs!$B$43&gt;0),((Skills!F6*((R427-1)*IF(Skills!G6&gt;0,Skills!H6/Skills!G6,1)+IF(Skills!G6&gt;0,MIN(Skills!H6,MAX(0,MAX(0,Inputs!$B$43-B454)-((R427-1)*IF(Inputs!$B$38="pvp",15,MAX(0.1,Skills!D6-IF(Skills!E6=TRUE,Inputs!$B$32,0))))))/Skills!G6,1)))/Inputs!$B$43),G427*Q427))*IF(Inputs!$B$38="pvp",1,1+(Inputs!$B$20+Skills!O6+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F6*((R427-1)*IF(Skills!G6&gt;0,Skills!H6/Skills!G6,1)+IF(Skills!G6&gt;0,MIN(Skills!H6,MAX(0,MAX(0,Inputs!$B$43-B454)-((R427-1)*IF(Inputs!$B$38="pvp",15,MAX(0.1,Skills!D6-IF(Skills!E6=TRUE,Inputs!$B$32,0))))))/Skills!G6,1)))/Inputs!$B$43),G427*Q427))*IF(Inputs!$B$38="pvp",1,(1+(Inputs!$B$21+Skills!P6+B448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Skills!A7</f>
        <v/>
      </c>
      <c r="B428">
        <f>Skills!B7</f>
        <v/>
      </c>
      <c r="C428">
        <f>Inputs!$B$3&gt;=69</f>
        <v/>
      </c>
      <c r="D428">
        <f>IF(Skills!C7=1,60+Inputs!$B$25+Inputs!$B$29,IF(Skills!C7=2,90+Inputs!$B$26+Inputs!$B$29,IF(Skills!C7=3,120+Inputs!$B$27+Inputs!$B$29,MAX(0,(Inputs!$B$3-100)*3)+Inputs!$B$28+Inputs!$B$29)))</f>
        <v/>
      </c>
      <c r="E428">
        <f>INDEX(FactorTable!$B$2:$Y$301, MATCH(ROUND(MIN(300,MAX(1,D428)),0), FactorTable!$A$2:$A$301,0), Skills!L7+1)</f>
        <v/>
      </c>
      <c r="F428">
        <f>IF(Skills!M7=TRUE,(Skills!K7/10)*(E428/1000),Skills!K7/10)+Skills!N7</f>
        <v/>
      </c>
      <c r="G428">
        <f>Calc!G7</f>
        <v/>
      </c>
      <c r="H428">
        <f>Calc!H7</f>
        <v/>
      </c>
      <c r="I428">
        <f>IF(Skills!T7&lt;&gt;"",1+(Skills!T7/10)*(Z424/1000)/100,1)</f>
        <v/>
      </c>
      <c r="J428">
        <f>((Inputs!$B$6*(1+Inputs!$B$7/100))+(((Inputs!$B$12*(1+Inputs!$B$13/100))-(Inputs!$B$12*(1+Inputs!$B$13/100)))+0.25*(Inputs!$B$14-Inputs!$B$14))*(1+Inputs!$B$7/100))*(F428/100)</f>
        <v/>
      </c>
      <c r="K428">
        <f>J428*(1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7="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F439-Calc!F18),(Inputs!$B$23+(IF(ArtifactsInput!$M$15,CHOOSE(ArtifactsInput!$N$15+1,25,30,35,40,45,50)/100*(Inputs!$B$11-Inputs!$B$11),0))))/100+(Inputs!$B$23+(IF(ArtifactsInput!$M$15,CHOOSE(ArtifactsInput!$N$15+1,25,30,35,40,45,50)/100*(Inputs!$B$11-Inputs!$B$11),0)))/100)/2</f>
        <v/>
      </c>
      <c r="M428">
        <f>L428*(1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8">
        <f>L428*(1-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(1-Summary!$B$11)*S428+Summary!$B$11*U428</f>
        <v/>
      </c>
      <c r="P428">
        <f>IF(B457=0,0,O428/B457)</f>
        <v/>
      </c>
      <c r="Q428">
        <f>IFERROR(1/IF(Inputs!$B$38="pvp",15,MAX(0.1,Skills!D7-IF(Skills!E7=TRUE,Inputs!$B$32,0))),0)</f>
        <v/>
      </c>
      <c r="R428">
        <f>IF(AND(Inputs!$B$38&lt;&gt;"pvp",Inputs!$B$43&gt;0),IF(MAX(0,Inputs!$B$43-B454)&lt;=0,0,(INT(MAX(0,Inputs!$B$43-B454)/IF(Inputs!$B$38="pvp",15,MAX(0.1,Skills!D7-IF(Skills!E7=TRUE,Inputs!$B$32,0))))+1)),0)</f>
        <v/>
      </c>
      <c r="S428">
        <f>IF(C428,(H428*N428*IF(AND(Inputs!$B$38&lt;&gt;"pvp",Inputs!$B$43&gt;0),((Skills!F7*((R428-1)*IF(Skills!G7&gt;0,Skills!H7/Skills!G7,1)+IF(Skills!G7&gt;0,MIN(Skills!H7,MAX(0,MAX(0,Inputs!$B$43-B454)-((R428-1)*IF(Inputs!$B$38="pvp",15,MAX(0.1,Skills!D7-IF(Skills!E7=TRUE,Inputs!$B$32,0))))))/Skills!G7,1)))/Inputs!$B$43),G428*Q428))*IF(Inputs!$B$38="pvp",1,1+(Inputs!$B$20+Skills!O7+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428*(1-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8">
        <f>IF(C428,(H428*N428*IF(AND(Inputs!$B$38&lt;&gt;"pvp",Inputs!$B$43&gt;0),((Skills!F7*((R428-1)*IF(Skills!G7&gt;0,Skills!H7/Skills!G7,1)+IF(Skills!G7&gt;0,MIN(Skills!H7,MAX(0,MAX(0,Inputs!$B$43-B454)-((R428-1)*IF(Inputs!$B$38="pvp",15,MAX(0.1,Skills!D7-IF(Skills!E7=TRUE,Inputs!$B$32,0))))))/Skills!G7,1)))/Inputs!$B$43),G428*Q428))*IF(Inputs!$B$38="pvp",1,(1+(Inputs!$B$21+Skills!P7+B448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Skills!A8</f>
        <v/>
      </c>
      <c r="B429">
        <f>Skills!B8</f>
        <v/>
      </c>
      <c r="C429">
        <f>Inputs!$B$3&gt;=103</f>
        <v/>
      </c>
      <c r="D429">
        <f>IF(Skills!C8=1,60+Inputs!$B$25+Inputs!$B$29,IF(Skills!C8=2,90+Inputs!$B$26+Inputs!$B$29,IF(Skills!C8=3,120+Inputs!$B$27+Inputs!$B$29,MAX(0,(Inputs!$B$3-100)*3)+Inputs!$B$28+Inputs!$B$29)))</f>
        <v/>
      </c>
      <c r="E429">
        <f>INDEX(FactorTable!$B$2:$Y$301, MATCH(ROUND(MIN(300,MAX(1,D429)),0), FactorTable!$A$2:$A$301,0), Skills!L8+1)</f>
        <v/>
      </c>
      <c r="F429">
        <f>IF(Skills!M8=TRUE,(Skills!K8/10)*(E429/1000),Skills!K8/10)+Skills!N8</f>
        <v/>
      </c>
      <c r="G429">
        <f>Calc!G8</f>
        <v/>
      </c>
      <c r="H429">
        <f>Calc!H8</f>
        <v/>
      </c>
      <c r="I429">
        <f>IF(Skills!T8&lt;&gt;"",1+(Skills!T8/10)*(Z424/1000)/100,1)</f>
        <v/>
      </c>
      <c r="J429">
        <f>((Inputs!$B$6*(1+Inputs!$B$7/100))+(((Inputs!$B$12*(1+Inputs!$B$13/100))-(Inputs!$B$12*(1+Inputs!$B$13/100)))+0.25*(Inputs!$B$14-Inputs!$B$14))*(1+Inputs!$B$7/100))*(F429/100)</f>
        <v/>
      </c>
      <c r="K429">
        <f>J429*(1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8="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439-Calc!F18),(Inputs!$B$23+(IF(ArtifactsInput!$M$15,CHOOSE(ArtifactsInput!$N$15+1,25,30,35,40,45,50)/100*(Inputs!$B$11-Inputs!$B$11),0))))/100+(Inputs!$B$23+(IF(ArtifactsInput!$M$15,CHOOSE(ArtifactsInput!$N$15+1,25,30,35,40,45,50)/100*(Inputs!$B$11-Inputs!$B$11),0)))/100)/2</f>
        <v/>
      </c>
      <c r="M429">
        <f>L429*(1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9">
        <f>L429*(1-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IF(B457=0,0,O429/B457)</f>
        <v/>
      </c>
      <c r="Q429">
        <f>IFERROR(1/IF(Inputs!$B$38="pvp",15,MAX(0.1,Skills!D8-IF(Skills!E8=TRUE,Inputs!$B$32,0))),0)</f>
        <v/>
      </c>
      <c r="R429">
        <f>IF(AND(Inputs!$B$38&lt;&gt;"pvp",Inputs!$B$43&gt;0),IF(MAX(0,Inputs!$B$43-B454)&lt;=0,0,(INT(MAX(0,Inputs!$B$43-B454)/IF(Inputs!$B$38="pvp",15,MAX(0.1,Skills!D8-IF(Skills!E8=TRUE,Inputs!$B$32,0))))+1)),0)</f>
        <v/>
      </c>
      <c r="S429">
        <f>IF(C429,(H429*N429*IF(AND(Inputs!$B$38&lt;&gt;"pvp",Inputs!$B$43&gt;0),((Skills!F8*((R429-1)*IF(Skills!G8&gt;0,Skills!H8/Skills!G8,1)+IF(Skills!G8&gt;0,MIN(Skills!H8,MAX(0,MAX(0,Inputs!$B$43-B454)-((R429-1)*IF(Inputs!$B$38="pvp",15,MAX(0.1,Skills!D8-IF(Skills!E8=TRUE,Inputs!$B$32,0))))))/Skills!G8,1)))/Inputs!$B$43),G429*Q429))*IF(Inputs!$B$38="pvp",1,1+(Inputs!$B$20+Skills!O8+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F8*((R429-1)*IF(Skills!G8&gt;0,Skills!H8/Skills!G8,1)+IF(Skills!G8&gt;0,MIN(Skills!H8,MAX(0,MAX(0,Inputs!$B$43-B454)-((R429-1)*IF(Inputs!$B$38="pvp",15,MAX(0.1,Skills!D8-IF(Skills!E8=TRUE,Inputs!$B$32,0))))))/Skills!G8,1)))/Inputs!$B$43),G429*Q429))*IF(Inputs!$B$38="pvp",1,(1+(Inputs!$B$21+Skills!P8+B448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Skills!A9</f>
        <v/>
      </c>
      <c r="B430">
        <f>Skills!B9</f>
        <v/>
      </c>
      <c r="C430">
        <f>Inputs!$B$3&gt;=105</f>
        <v/>
      </c>
      <c r="D430">
        <f>IF(Skills!C9=1,60+Inputs!$B$25+Inputs!$B$29,IF(Skills!C9=2,90+Inputs!$B$26+Inputs!$B$29,IF(Skills!C9=3,120+Inputs!$B$27+Inputs!$B$29,MAX(0,(Inputs!$B$3-100)*3)+Inputs!$B$28+Inputs!$B$29)))</f>
        <v/>
      </c>
      <c r="E430">
        <f>INDEX(FactorTable!$B$2:$Y$301, MATCH(ROUND(MIN(300,MAX(1,D430)),0), FactorTable!$A$2:$A$301,0), Skills!L9+1)</f>
        <v/>
      </c>
      <c r="F430">
        <f>IF(Skills!M9=TRUE,(Skills!K9/10)*(E430/1000),Skills!K9/10)+Skills!N9</f>
        <v/>
      </c>
      <c r="G430">
        <f>Calc!G9</f>
        <v/>
      </c>
      <c r="H430">
        <f>Calc!H9</f>
        <v/>
      </c>
      <c r="I430">
        <f>IF(Skills!T9&lt;&gt;"",1+(Skills!T9/10)*(Z424/1000)/100,1)</f>
        <v/>
      </c>
      <c r="J430">
        <f>((Inputs!$B$6*(1+Inputs!$B$7/100))+(((Inputs!$B$12*(1+Inputs!$B$13/100))-(Inputs!$B$12*(1+Inputs!$B$13/100)))+0.25*(Inputs!$B$14-Inputs!$B$14))*(1+Inputs!$B$7/100))*(F430/100)</f>
        <v/>
      </c>
      <c r="K430">
        <f>J430*(1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9="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439-Calc!F18),(Inputs!$B$23+(IF(ArtifactsInput!$M$15,CHOOSE(ArtifactsInput!$N$15+1,25,30,35,40,45,50)/100*(Inputs!$B$11-Inputs!$B$11),0))))/100+(Inputs!$B$23+(IF(ArtifactsInput!$M$15,CHOOSE(ArtifactsInput!$N$15+1,25,30,35,40,45,50)/100*(Inputs!$B$11-Inputs!$B$11),0)))/100)/2</f>
        <v/>
      </c>
      <c r="M430">
        <f>L430*(1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0">
        <f>L430*(1-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IF(B457=0,0,O430/B457)</f>
        <v/>
      </c>
      <c r="Q430">
        <f>IFERROR(1/IF(Inputs!$B$38="pvp",15,MAX(0.1,Skills!D9-IF(Skills!E9=TRUE,Inputs!$B$32,0))),0)</f>
        <v/>
      </c>
      <c r="R430">
        <f>IF(AND(Inputs!$B$38&lt;&gt;"pvp",Inputs!$B$43&gt;0),IF(MAX(0,Inputs!$B$43-B454)&lt;=0,0,(INT(MAX(0,Inputs!$B$43-B454)/IF(Inputs!$B$38="pvp",15,MAX(0.1,Skills!D9-IF(Skills!E9=TRUE,Inputs!$B$32,0))))+1)),0)</f>
        <v/>
      </c>
      <c r="S430">
        <f>IF(C430,(H430*N430*IF(AND(Inputs!$B$38&lt;&gt;"pvp",Inputs!$B$43&gt;0),((Skills!F9*((R430-1)*IF(Skills!G9&gt;0,Skills!H9/Skills!G9,1)+IF(Skills!G9&gt;0,MIN(Skills!H9,MAX(0,MAX(0,Inputs!$B$43-B454)-((R430-1)*IF(Inputs!$B$38="pvp",15,MAX(0.1,Skills!D9-IF(Skills!E9=TRUE,Inputs!$B$32,0))))))/Skills!G9,1)))/Inputs!$B$43),G430*Q430))*IF(Inputs!$B$38="pvp",1,1+(Inputs!$B$20+Skills!O9+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F9*((R430-1)*IF(Skills!G9&gt;0,Skills!H9/Skills!G9,1)+IF(Skills!G9&gt;0,MIN(Skills!H9,MAX(0,MAX(0,Inputs!$B$43-B454)-((R430-1)*IF(Inputs!$B$38="pvp",15,MAX(0.1,Skills!D9-IF(Skills!E9=TRUE,Inputs!$B$32,0))))))/Skills!G9,1)))/Inputs!$B$43),G430*Q430))*IF(Inputs!$B$38="pvp",1,(1+(Inputs!$B$21+Skills!P9+B448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Skills!A10</f>
        <v/>
      </c>
      <c r="B431">
        <f>Skills!B10</f>
        <v/>
      </c>
      <c r="C431">
        <f>Inputs!$B$3&gt;=113</f>
        <v/>
      </c>
      <c r="D431">
        <f>IF(Skills!C10=1,60+Inputs!$B$25+Inputs!$B$29,IF(Skills!C10=2,90+Inputs!$B$26+Inputs!$B$29,IF(Skills!C10=3,120+Inputs!$B$27+Inputs!$B$29,MAX(0,(Inputs!$B$3-100)*3)+Inputs!$B$28+Inputs!$B$29)))</f>
        <v/>
      </c>
      <c r="E431">
        <f>INDEX(FactorTable!$B$2:$Y$301, MATCH(ROUND(MIN(300,MAX(1,D431)),0), FactorTable!$A$2:$A$301,0), Skills!L10+1)</f>
        <v/>
      </c>
      <c r="F431">
        <f>IF(Skills!M10=TRUE,(Skills!K10/10)*(E431/1000),Skills!K10/10)+Skills!N10</f>
        <v/>
      </c>
      <c r="G431">
        <f>Calc!G10</f>
        <v/>
      </c>
      <c r="H431">
        <f>Calc!H10</f>
        <v/>
      </c>
      <c r="I431">
        <f>IF(Skills!T10&lt;&gt;"",1+(Skills!T10/10)*(Z424/1000)/100,1)</f>
        <v/>
      </c>
      <c r="J431">
        <f>((Inputs!$B$6*(1+Inputs!$B$7/100))+(((Inputs!$B$12*(1+Inputs!$B$13/100))-(Inputs!$B$12*(1+Inputs!$B$13/100)))+0.25*(Inputs!$B$14-Inputs!$B$14))*(1+Inputs!$B$7/100))*(F431/100)</f>
        <v/>
      </c>
      <c r="K431">
        <f>J431*(1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10="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439-Calc!F18),(Inputs!$B$23+(IF(ArtifactsInput!$M$15,CHOOSE(ArtifactsInput!$N$15+1,25,30,35,40,45,50)/100*(Inputs!$B$11-Inputs!$B$11),0))))/100+(Inputs!$B$23+(IF(ArtifactsInput!$M$15,CHOOSE(ArtifactsInput!$N$15+1,25,30,35,40,45,50)/100*(Inputs!$B$11-Inputs!$B$11),0)))/100)/2</f>
        <v/>
      </c>
      <c r="M431">
        <f>L431*(1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1">
        <f>L431*(1-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IF(B457=0,0,O431/B457)</f>
        <v/>
      </c>
      <c r="Q431">
        <f>IFERROR(1/IF(Inputs!$B$38="pvp",15,MAX(0.1,Skills!D10-IF(Skills!E9=TRUE,Inputs!$B$32,0))),0)</f>
        <v/>
      </c>
      <c r="R431">
        <f>IF(AND(Inputs!$B$38&lt;&gt;"pvp",Inputs!$B$43&gt;0),IF(MAX(0,Inputs!$B$43-B454)&lt;=0,0,(INT(MAX(0,Inputs!$B$43-B454)/IF(Inputs!$B$38="pvp",15,MAX(0.1,Skills!D10-IF(Skills!E9=TRUE,Inputs!$B$32,0))))+1)),0)</f>
        <v/>
      </c>
      <c r="S431">
        <f>IF(C431,(H431*N431*IF(AND(Inputs!$B$38&lt;&gt;"pvp",Inputs!$B$43&gt;0),((Skills!F10*((R431-1)*IF(Skills!G10&gt;0,Skills!H10/Skills!G10,1)+IF(Skills!G10&gt;0,MIN(Skills!H10,MAX(0,MAX(0,Inputs!$B$43-B454)-((R431-1)*IF(Inputs!$B$38="pvp",15,MAX(0.1,Skills!D10-IF(Skills!E9=TRUE,Inputs!$B$32,0))))))/Skills!G10,1)))/Inputs!$B$43),G431*Q431))*IF(Inputs!$B$38="pvp",1,1+(Inputs!$B$20+Skills!O10+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F10*((R431-1)*IF(Skills!G10&gt;0,Skills!H10/Skills!G10,1)+IF(Skills!G10&gt;0,MIN(Skills!H10,MAX(0,MAX(0,Inputs!$B$43-B454)-((R431-1)*IF(Inputs!$B$38="pvp",15,MAX(0.1,Skills!D10-IF(Skills!E9=TRUE,Inputs!$B$32,0))))))/Skills!G10,1)))/Inputs!$B$43),G431*Q431))*IF(Inputs!$B$38="pvp",1,(1+(Inputs!$B$21+Skills!P10+B448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Skills!A11</f>
        <v/>
      </c>
      <c r="B432">
        <f>Skills!B11</f>
        <v/>
      </c>
      <c r="C432">
        <f>Inputs!$B$3&gt;=107</f>
        <v/>
      </c>
      <c r="D432">
        <f>IF(Skills!C11=1,60+Inputs!$B$25+Inputs!$B$29,IF(Skills!C11=2,90+Inputs!$B$26+Inputs!$B$29,IF(Skills!C11=3,120+Inputs!$B$27+Inputs!$B$29,MAX(0,(Inputs!$B$3-100)*3)+Inputs!$B$28+Inputs!$B$29)))</f>
        <v/>
      </c>
      <c r="E432">
        <f>INDEX(FactorTable!$B$2:$Y$301, MATCH(ROUND(MIN(300,MAX(1,D432)),0), FactorTable!$A$2:$A$301,0), Skills!L11+1)</f>
        <v/>
      </c>
      <c r="F432">
        <f>IF(Skills!M11=TRUE,(Skills!K11/10)*(E432/1000),Skills!K11/10)+Skills!N11</f>
        <v/>
      </c>
      <c r="G432">
        <f>Calc!G11</f>
        <v/>
      </c>
      <c r="H432">
        <f>Calc!H11</f>
        <v/>
      </c>
      <c r="I432">
        <f>IF(Skills!T11&lt;&gt;"",1+(Skills!T11/10)*(Z424/1000)/100,1)</f>
        <v/>
      </c>
      <c r="J432">
        <f>((Inputs!$B$6*(1+Inputs!$B$7/100))+(((Inputs!$B$12*(1+Inputs!$B$13/100))-(Inputs!$B$12*(1+Inputs!$B$13/100)))+0.25*(Inputs!$B$14-Inputs!$B$14))*(1+Inputs!$B$7/100))*(F432/100)</f>
        <v/>
      </c>
      <c r="K432">
        <f>J432*(1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11="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439-Calc!F18),(Inputs!$B$23+(IF(ArtifactsInput!$M$15,CHOOSE(ArtifactsInput!$N$15+1,25,30,35,40,45,50)/100*(Inputs!$B$11-Inputs!$B$11),0))))/100+(Inputs!$B$23+(IF(ArtifactsInput!$M$15,CHOOSE(ArtifactsInput!$N$15+1,25,30,35,40,45,50)/100*(Inputs!$B$11-Inputs!$B$11),0)))/100)/2</f>
        <v/>
      </c>
      <c r="M432">
        <f>L432*(1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2">
        <f>L432*(1-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IF(B457=0,0,O432/B457)</f>
        <v/>
      </c>
      <c r="Q432">
        <f>IFERROR(1/IF(Inputs!$B$38="pvp",15,MAX(0.1,Skills!D11-IF(Skills!E11=TRUE,Inputs!$B$32,0))),0)</f>
        <v/>
      </c>
      <c r="R432">
        <f>IF(AND(Inputs!$B$38&lt;&gt;"pvp",Inputs!$B$43&gt;0),IF(MAX(0,Inputs!$B$43-B454)&lt;=0,0,(INT(MAX(0,Inputs!$B$43-B454)/IF(Inputs!$B$38="pvp",15,MAX(0.1,Skills!D11-IF(Skills!E11=TRUE,Inputs!$B$32,0))))+1)),0)</f>
        <v/>
      </c>
      <c r="S432">
        <f>IF(C432,H432*N432*IF(AND(Inputs!$B$38&lt;&gt;"pvp",Inputs!$B$43&gt;0),((Skills!F11*((R432-1)*IF(Skills!G11&gt;0,Skills!H11/Skills!G11,1)+IF(Skills!G11&gt;0,MIN(Skills!H11,MAX(0,MAX(0,Inputs!$B$43-B454)-((R432-1)*IF(Inputs!$B$38="pvp",15,MAX(0.1,Skills!D11-IF(Skills!E11=TRUE,Inputs!$B$32,0))))))/Skills!G11,1)))/Inputs!$B$43),G432*Q432)*0.5*IF(Inputs!$B$38="pvp",1,1+(Inputs!$B$20+Skills!O11+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F11*((R432-1)*IF(Skills!G11&gt;0,Skills!H11/Skills!G11,1)+IF(Skills!G11&gt;0,MIN(Skills!H11,MAX(0,MAX(0,Inputs!$B$43-B454)-((R432-1)*IF(Inputs!$B$38="pvp",15,MAX(0.1,Skills!D11-IF(Skills!E11=TRUE,Inputs!$B$32,0))))))/Skills!G11,1)))/Inputs!$B$43),G432*Q432)*1*IF(Inputs!$B$38="pvp",1,(1+(Inputs!$B$21+Skills!P11+B448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Skills!A12</f>
        <v/>
      </c>
      <c r="B433">
        <f>Skills!B12</f>
        <v/>
      </c>
      <c r="C433">
        <f>Inputs!$B$3&gt;=115</f>
        <v/>
      </c>
      <c r="D433">
        <f>IF(Skills!C12=1,60+Inputs!$B$25+Inputs!$B$29,IF(Skills!C12=2,90+Inputs!$B$26+Inputs!$B$29,IF(Skills!C12=3,120+Inputs!$B$27+Inputs!$B$29,MAX(0,(Inputs!$B$3-100)*3)+Inputs!$B$28+Inputs!$B$29)))</f>
        <v/>
      </c>
      <c r="E433">
        <f>INDEX(FactorTable!$B$2:$Y$301, MATCH(ROUND(MIN(300,MAX(1,D433)),0), FactorTable!$A$2:$A$301,0), Skills!L12+1)</f>
        <v/>
      </c>
      <c r="F433">
        <f>IF(Skills!M12=TRUE,(Skills!K12/10)*(E433/1000),Skills!K12/10)+Skills!N12</f>
        <v/>
      </c>
      <c r="G433">
        <f>Calc!G12</f>
        <v/>
      </c>
      <c r="H433">
        <f>Calc!H12</f>
        <v/>
      </c>
      <c r="I433">
        <f>IF(Skills!T12&lt;&gt;"",1+(Skills!T12/10)*(Z424/1000)/100,1)</f>
        <v/>
      </c>
      <c r="J433">
        <f>((Inputs!$B$6*(1+Inputs!$B$7/100))+(((Inputs!$B$12*(1+Inputs!$B$13/100))-(Inputs!$B$12*(1+Inputs!$B$13/100)))+0.25*(Inputs!$B$14-Inputs!$B$14))*(1+Inputs!$B$7/100))*(F433/100)</f>
        <v/>
      </c>
      <c r="K433">
        <f>J433*(1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12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F439-Calc!F18),(Inputs!$B$23+(IF(ArtifactsInput!$M$15,CHOOSE(ArtifactsInput!$N$15+1,25,30,35,40,45,50)/100*(Inputs!$B$11-Inputs!$B$11),0))))/100+(Inputs!$B$23+(IF(ArtifactsInput!$M$15,CHOOSE(ArtifactsInput!$N$15+1,25,30,35,40,45,50)/100*(Inputs!$B$11-Inputs!$B$11),0)))/100)/2</f>
        <v/>
      </c>
      <c r="M433">
        <f>L433*(1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3">
        <f>L433*(1-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(1-Summary!$B$11)*S433+Summary!$B$11*U433</f>
        <v/>
      </c>
      <c r="P433">
        <f>IF(B457=0,0,O433/B457)</f>
        <v/>
      </c>
      <c r="Q433">
        <f>IFERROR(1/IF(Inputs!$B$38="pvp",15,MAX(0.1,Skills!D12-IF(Skills!E12=TRUE,Inputs!$B$32,0))),0)</f>
        <v/>
      </c>
      <c r="R433">
        <f>IF(AND(Inputs!$B$38&lt;&gt;"pvp",Inputs!$B$43&gt;0),IF(MAX(0,Inputs!$B$43-B454)&lt;=0,0,(INT(MAX(0,Inputs!$B$43-B454)/IF(Inputs!$B$38="pvp",15,MAX(0.1,Skills!D12-IF(Skills!E12=TRUE,Inputs!$B$32,0))))+1)),0)</f>
        <v/>
      </c>
      <c r="S433">
        <f>IF(C433,(H433*N433*IF(AND(Inputs!$B$38&lt;&gt;"pvp",Inputs!$B$43&gt;0),((Skills!F12*((R433-1)*IF(Skills!G12&gt;0,Skills!H12/Skills!G12,1)+IF(Skills!G12&gt;0,MIN(Skills!H12,MAX(0,MAX(0,Inputs!$B$43-B454)-((R433-1)*IF(Inputs!$B$38="pvp",15,MAX(0.1,Skills!D12-IF(Skills!E12=TRUE,Inputs!$B$32,0))))))/Skills!G12,1)))/Inputs!$B$43),G433*Q433))*IF(Inputs!$B$38="pvp",1,1+(Inputs!$B$20+Skills!O12+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IF(C433,(H433*N433*IF(AND(Inputs!$B$38&lt;&gt;"pvp",Inputs!$B$43&gt;0),((Skills!F12*((R433-1)*IF(Skills!G12&gt;0,Skills!H12/Skills!G12,1)+IF(Skills!G12&gt;0,MIN(Skills!H12,MAX(0,MAX(0,Inputs!$B$43-B454)-((R433-1)*IF(Inputs!$B$38="pvp",15,MAX(0.1,Skills!D12-IF(Skills!E12=TRUE,Inputs!$B$32,0))))))/Skills!G12,1)))/Inputs!$B$43),G433*Q433))*IF(Inputs!$B$38="pvp",1,(1+(Inputs!$B$21+Skills!P12+B448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Skills!A13</f>
        <v/>
      </c>
      <c r="B434">
        <f>Skills!B13</f>
        <v/>
      </c>
      <c r="C434">
        <f>Inputs!$B$3&gt;=49</f>
        <v/>
      </c>
      <c r="D434">
        <f>IF(Skills!C13=1,60+Inputs!$B$25+Inputs!$B$29,IF(Skills!C13=2,90+Inputs!$B$26+Inputs!$B$29,IF(Skills!C13=3,120+Inputs!$B$27+Inputs!$B$29,MAX(0,(Inputs!$B$3-100)*3)+Inputs!$B$28+Inputs!$B$29)))</f>
        <v/>
      </c>
      <c r="E434">
        <f>INDEX(FactorTable!$B$2:$Y$301, MATCH(ROUND(MIN(300,MAX(1,D434)),0), FactorTable!$A$2:$A$301,0), Skills!L13+1)</f>
        <v/>
      </c>
      <c r="F434">
        <f>IF(Skills!M13=TRUE,(Skills!K13/10)*(E434/1000),Skills!K13/10)+Skills!N13</f>
        <v/>
      </c>
      <c r="G434">
        <f>Calc!G13</f>
        <v/>
      </c>
      <c r="H434">
        <f>Calc!H13</f>
        <v/>
      </c>
      <c r="I434">
        <f>IF(Skills!T13&lt;&gt;"",1+(Skills!T13/10)*(Z424/1000)/100,1)</f>
        <v/>
      </c>
      <c r="J434" t="inlineStr"/>
      <c r="K434" t="inlineStr"/>
      <c r="L434" t="inlineStr"/>
      <c r="M434" t="inlineStr"/>
      <c r="N434" t="inlineStr"/>
      <c r="O434">
        <f>(1-Summary!$B$11)*S434+Summary!$B$11*U434</f>
        <v/>
      </c>
      <c r="P434">
        <f>IF(B457=0,0,O434/B457)</f>
        <v/>
      </c>
      <c r="Q434">
        <f>IFERROR(1/IF(Inputs!$B$38="pvp",15,MAX(0.1,Skills!D13-IF(Skills!E13=TRUE,Inputs!$B$32,0))),0)</f>
        <v/>
      </c>
      <c r="R434" t="n">
        <v>0</v>
      </c>
      <c r="S434" t="n">
        <v>0</v>
      </c>
      <c r="U434" t="n">
        <v>0</v>
      </c>
    </row>
    <row r="435">
      <c r="A435">
        <f>Skills!A14</f>
        <v/>
      </c>
      <c r="B435">
        <f>Skills!B14</f>
        <v/>
      </c>
      <c r="C435">
        <f>Inputs!$B$3&gt;=72</f>
        <v/>
      </c>
      <c r="D435">
        <f>IF(Skills!C14=1,60+Inputs!$B$25+Inputs!$B$29,IF(Skills!C14=2,90+Inputs!$B$26+Inputs!$B$29,IF(Skills!C14=3,120+Inputs!$B$27+Inputs!$B$29,MAX(0,(Inputs!$B$3-100)*3)+Inputs!$B$28+Inputs!$B$29)))</f>
        <v/>
      </c>
      <c r="E435">
        <f>INDEX(FactorTable!$B$2:$Y$301, MATCH(ROUND(MIN(300,MAX(1,D435)),0), FactorTable!$A$2:$A$301,0), Skills!L14+1)</f>
        <v/>
      </c>
      <c r="F435">
        <f>IF(Skills!M14=TRUE,(Skills!K14/10)*(E435/1000),Skills!K14/10)+Skills!N14</f>
        <v/>
      </c>
      <c r="G435">
        <f>Calc!G14</f>
        <v/>
      </c>
      <c r="H435">
        <f>Calc!H14</f>
        <v/>
      </c>
      <c r="I435">
        <f>IF(Skills!T14&lt;&gt;"",1+(Skills!T14/10)*(Z424/1000)/100,1)</f>
        <v/>
      </c>
      <c r="J435" t="inlineStr"/>
      <c r="K435" t="inlineStr"/>
      <c r="L435" t="inlineStr"/>
      <c r="M435" t="inlineStr"/>
      <c r="N435" t="inlineStr"/>
      <c r="O435">
        <f>(1-Summary!$B$11)*S435+Summary!$B$11*U435</f>
        <v/>
      </c>
      <c r="P435">
        <f>IF(B457=0,0,O435/B457)</f>
        <v/>
      </c>
      <c r="Q435">
        <f>IFERROR(1/IF(Inputs!$B$38="pvp",15,MAX(0.1,Skills!D14-IF(Skills!E14=TRUE,Inputs!$B$32,0))),0)</f>
        <v/>
      </c>
      <c r="R435" t="n">
        <v>0</v>
      </c>
      <c r="S435" t="n">
        <v>0</v>
      </c>
      <c r="U435" t="n">
        <v>0</v>
      </c>
    </row>
    <row r="436">
      <c r="A436">
        <f>Skills!A15</f>
        <v/>
      </c>
      <c r="B436">
        <f>Skills!B15</f>
        <v/>
      </c>
      <c r="C436">
        <f>Inputs!$B$3&gt;=75</f>
        <v/>
      </c>
      <c r="D436">
        <f>IF(Skills!C15=1,60+Inputs!$B$25+Inputs!$B$29,IF(Skills!C15=2,90+Inputs!$B$26+Inputs!$B$29,IF(Skills!C15=3,120+Inputs!$B$27+Inputs!$B$29,MAX(0,(Inputs!$B$3-100)*3)+Inputs!$B$28+Inputs!$B$29)))</f>
        <v/>
      </c>
      <c r="E436">
        <f>INDEX(FactorTable!$B$2:$Y$301, MATCH(ROUND(MIN(300,MAX(1,D436)),0), FactorTable!$A$2:$A$301,0), Skills!L15+1)</f>
        <v/>
      </c>
      <c r="F436">
        <f>IF(Skills!M15=TRUE,(Skills!K15/10)*(E436/1000),Skills!K15/10)+Skills!N15</f>
        <v/>
      </c>
      <c r="G436">
        <f>Calc!G15</f>
        <v/>
      </c>
      <c r="H436">
        <f>Calc!H15</f>
        <v/>
      </c>
      <c r="I436">
        <f>IF(Skills!T15&lt;&gt;"",1+(Skills!T15/10)*(Z424/1000)/100,1)</f>
        <v/>
      </c>
      <c r="J436" t="inlineStr"/>
      <c r="K436" t="inlineStr"/>
      <c r="L436" t="inlineStr"/>
      <c r="M436" t="inlineStr"/>
      <c r="N436" t="inlineStr"/>
      <c r="O436">
        <f>(1-Summary!$B$11)*S436+Summary!$B$11*U436</f>
        <v/>
      </c>
      <c r="P436">
        <f>IF(B457=0,0,O436/B457)</f>
        <v/>
      </c>
      <c r="Q436">
        <f>IFERROR(1/IF(Inputs!$B$38="pvp",15,MAX(0.1,Skills!D15-IF(Skills!E15=TRUE,Inputs!$B$32,0))),0)</f>
        <v/>
      </c>
      <c r="R436" t="n">
        <v>0</v>
      </c>
      <c r="S436" t="n">
        <v>0</v>
      </c>
      <c r="U436" t="n">
        <v>0</v>
      </c>
    </row>
    <row r="437">
      <c r="A437">
        <f>Skills!A16</f>
        <v/>
      </c>
      <c r="B437">
        <f>Skills!B16</f>
        <v/>
      </c>
      <c r="C437">
        <f>Inputs!$B$3&gt;=110</f>
        <v/>
      </c>
      <c r="D437">
        <f>IF(Skills!C16=1,60+Inputs!$B$25+Inputs!$B$29,IF(Skills!C16=2,90+Inputs!$B$26+Inputs!$B$29,IF(Skills!C16=3,120+Inputs!$B$27+Inputs!$B$29,MAX(0,(Inputs!$B$3-100)*3)+Inputs!$B$28+Inputs!$B$29)))</f>
        <v/>
      </c>
      <c r="E437">
        <f>INDEX(FactorTable!$B$2:$Y$301, MATCH(ROUND(MIN(300,MAX(1,D437)),0), FactorTable!$A$2:$A$301,0), Skills!L16+1)</f>
        <v/>
      </c>
      <c r="F437">
        <f>(Skills!K16/10)*(E437/1000)*64/45+Skills!N16</f>
        <v/>
      </c>
      <c r="G437">
        <f>Calc!G16</f>
        <v/>
      </c>
      <c r="H437">
        <f>Calc!H16</f>
        <v/>
      </c>
      <c r="I437">
        <f>IF(Skills!T16&lt;&gt;"",1+(Skills!T16/10)*(Z424/1000)/100,1)</f>
        <v/>
      </c>
      <c r="J437" t="inlineStr"/>
      <c r="K437" t="inlineStr"/>
      <c r="L437" t="inlineStr"/>
      <c r="M437" t="inlineStr"/>
      <c r="N437" t="inlineStr"/>
      <c r="O437">
        <f>(1-Summary!$B$11)*S437+Summary!$B$11*U437</f>
        <v/>
      </c>
      <c r="P437">
        <f>IF(B457=0,0,O437/B457)</f>
        <v/>
      </c>
      <c r="Q437">
        <f>IFERROR(1/IF(Inputs!$B$38="pvp",15,MAX(0.1,Skills!D16-IF(Skills!E16=TRUE,Inputs!$B$32,0))),0)</f>
        <v/>
      </c>
      <c r="R437">
        <f>IF(AND(Inputs!$B$38&lt;&gt;"pvp",Inputs!$B$43&gt;0),IF(Inputs!$B$43&lt;=0,0,(INT(Inputs!$B$43/IF(Inputs!$B$38="pvp",15,MAX(0.1,Skills!D16-IF(Skills!E16=TRUE,Inputs!$B$32,0))))+1)),0)</f>
        <v/>
      </c>
      <c r="S437" t="n">
        <v>0</v>
      </c>
      <c r="U437" t="n">
        <v>0</v>
      </c>
    </row>
    <row r="438">
      <c r="A438">
        <f>Skills!A17</f>
        <v/>
      </c>
      <c r="B438">
        <f>Skills!B17</f>
        <v/>
      </c>
      <c r="C438">
        <f>Inputs!$B$3&gt;=33</f>
        <v/>
      </c>
      <c r="D438">
        <f>IF(Skills!C17=1,60+Inputs!$B$25+Inputs!$B$29,IF(Skills!C17=2,90+Inputs!$B$26+Inputs!$B$29,IF(Skills!C17=3,120+Inputs!$B$27+Inputs!$B$29,MAX(0,(Inputs!$B$3-100)*3)+Inputs!$B$28+Inputs!$B$29)))</f>
        <v/>
      </c>
      <c r="E438">
        <f>INDEX(FactorTable!$B$2:$Y$301, MATCH(ROUND(MIN(300,MAX(1,D438)),0), FactorTable!$A$2:$A$301,0), Skills!L17+1)</f>
        <v/>
      </c>
      <c r="F438">
        <f>IF(Skills!M17=TRUE,(Skills!K17/10)*(E438/1000),Skills!K17/10)+Skills!N17</f>
        <v/>
      </c>
      <c r="G438">
        <f>Calc!G17</f>
        <v/>
      </c>
      <c r="H438">
        <f>Calc!H17</f>
        <v/>
      </c>
      <c r="I438">
        <f>IF(Skills!T17&lt;&gt;"",1+(Skills!T17/10)*(Z424/1000)/100,1)</f>
        <v/>
      </c>
      <c r="J438" t="inlineStr"/>
      <c r="K438" t="inlineStr"/>
      <c r="L438" t="inlineStr"/>
      <c r="M438" t="inlineStr"/>
      <c r="N438" t="inlineStr"/>
      <c r="O438">
        <f>(1-Summary!$B$11)*S438+Summary!$B$11*U438</f>
        <v/>
      </c>
      <c r="P438">
        <f>IF(B457=0,0,O438/B457)</f>
        <v/>
      </c>
      <c r="Q438">
        <f>IFERROR(1/IF(Inputs!$B$38="pvp",15,MAX(0.1,Skills!D17-IF(Skills!E17=TRUE,Inputs!$B$32,0))),0)</f>
        <v/>
      </c>
      <c r="R438" t="n">
        <v>0</v>
      </c>
      <c r="S438" t="n">
        <v>0</v>
      </c>
      <c r="U438" t="n">
        <v>0</v>
      </c>
    </row>
    <row r="439">
      <c r="A439">
        <f>Skills!A18</f>
        <v/>
      </c>
      <c r="B439">
        <f>Skills!B18</f>
        <v/>
      </c>
      <c r="C439">
        <f>Inputs!$B$3&gt;=43</f>
        <v/>
      </c>
      <c r="D439">
        <f>IF(Skills!C18=1,60+Inputs!$B$25+Inputs!$B$29,IF(Skills!C18=2,90+Inputs!$B$26+Inputs!$B$29,IF(Skills!C18=3,120+Inputs!$B$27+Inputs!$B$29,MAX(0,(Inputs!$B$3-100)*3)+Inputs!$B$28+Inputs!$B$29)))</f>
        <v/>
      </c>
      <c r="E439">
        <f>INDEX(FactorTable!$B$2:$Y$301, MATCH(ROUND(MIN(300,MAX(1,D439)),0), FactorTable!$A$2:$A$301,0), Skills!L18+1)</f>
        <v/>
      </c>
      <c r="F439">
        <f>IF(Skills!M18=TRUE,(Skills!K18/10)*(E439/1000),Skills!K18/10)+Skills!N18</f>
        <v/>
      </c>
      <c r="G439">
        <f>Calc!G18</f>
        <v/>
      </c>
      <c r="H439">
        <f>Calc!H18</f>
        <v/>
      </c>
      <c r="I439">
        <f>IF(Skills!T18&lt;&gt;"",1+(Skills!T18/10)*(Z424/1000)/100,1)</f>
        <v/>
      </c>
      <c r="J439" t="inlineStr"/>
      <c r="K439" t="inlineStr"/>
      <c r="L439" t="inlineStr"/>
      <c r="M439" t="inlineStr"/>
      <c r="N439" t="inlineStr"/>
      <c r="O439">
        <f>(1-Summary!$B$11)*S439+Summary!$B$11*U439</f>
        <v/>
      </c>
      <c r="P439">
        <f>IF(B457=0,0,O439/B457)</f>
        <v/>
      </c>
      <c r="Q439">
        <f>IFERROR(1/IF(Inputs!$B$38="pvp",15,MAX(0.1,Skills!D18-IF(Skills!E18=TRUE,Inputs!$B$32,0))),0)</f>
        <v/>
      </c>
      <c r="R439" t="n">
        <v>0</v>
      </c>
      <c r="S439" t="n">
        <v>0</v>
      </c>
      <c r="U439" t="n">
        <v>0</v>
      </c>
    </row>
    <row r="440">
      <c r="A440">
        <f>Skills!A19</f>
        <v/>
      </c>
      <c r="B440">
        <f>Skills!B19</f>
        <v/>
      </c>
      <c r="C440">
        <f>Inputs!$B$3&gt;=50</f>
        <v/>
      </c>
      <c r="D440">
        <f>IF(Skills!C19=1,60+Inputs!$B$25+Inputs!$B$29,IF(Skills!C19=2,90+Inputs!$B$26+Inputs!$B$29,IF(Skills!C19=3,120+Inputs!$B$27+Inputs!$B$29,MAX(0,(Inputs!$B$3-100)*3)+Inputs!$B$28+Inputs!$B$29)))</f>
        <v/>
      </c>
      <c r="E440">
        <f>INDEX(FactorTable!$B$2:$Y$301, MATCH(ROUND(MIN(300,MAX(1,D440)),0), FactorTable!$A$2:$A$301,0), Skills!L19+1)</f>
        <v/>
      </c>
      <c r="F440">
        <f>IF(Skills!M19=TRUE,(Skills!K19/10)*(E440/1000),Skills!K19/10)+Skills!N19</f>
        <v/>
      </c>
      <c r="G440">
        <f>Calc!G19</f>
        <v/>
      </c>
      <c r="H440">
        <f>Calc!H19</f>
        <v/>
      </c>
      <c r="I440">
        <f>IF(Skills!T19&lt;&gt;"",1+(Skills!T19/10)*(Z424/1000)/100,1)</f>
        <v/>
      </c>
      <c r="J440" t="inlineStr"/>
      <c r="K440" t="inlineStr"/>
      <c r="L440" t="inlineStr"/>
      <c r="M440" t="inlineStr"/>
      <c r="N440" t="inlineStr"/>
      <c r="O440">
        <f>(1-Summary!$B$11)*S440+Summary!$B$11*U440</f>
        <v/>
      </c>
      <c r="P440">
        <f>IF(B457=0,0,O440/B457)</f>
        <v/>
      </c>
      <c r="Q440">
        <f>IFERROR(1/IF(Inputs!$B$38="pvp",15,MAX(0.1,Skills!D19-IF(Skills!E19=TRUE,Inputs!$B$32,0))),0)</f>
        <v/>
      </c>
      <c r="R440" t="n">
        <v>0</v>
      </c>
      <c r="S440" t="n">
        <v>0</v>
      </c>
      <c r="U440" t="n">
        <v>0</v>
      </c>
    </row>
    <row r="441">
      <c r="A441">
        <f>Skills!A20</f>
        <v/>
      </c>
      <c r="B441">
        <f>Skills!B20</f>
        <v/>
      </c>
      <c r="C441">
        <f>Inputs!$B$3&gt;=74</f>
        <v/>
      </c>
      <c r="D441">
        <f>IF(Skills!C20=1,60+Inputs!$B$25+Inputs!$B$29,IF(Skills!C20=2,90+Inputs!$B$26+Inputs!$B$29,IF(Skills!C20=3,120+Inputs!$B$27+Inputs!$B$29,MAX(0,(Inputs!$B$3-100)*3)+Inputs!$B$28+Inputs!$B$29)))</f>
        <v/>
      </c>
      <c r="E441">
        <f>INDEX(FactorTable!$B$2:$Y$301, MATCH(ROUND(MIN(300,MAX(1,D441)),0), FactorTable!$A$2:$A$301,0), Skills!L20+1)</f>
        <v/>
      </c>
      <c r="F441">
        <f>IF(Skills!M20=TRUE,(Skills!K20/10)*(E441/1000),Skills!K20/10)+Skills!N20</f>
        <v/>
      </c>
      <c r="G441">
        <f>Calc!G20</f>
        <v/>
      </c>
      <c r="H441">
        <f>Calc!H20</f>
        <v/>
      </c>
      <c r="I441">
        <f>IF(Skills!T20&lt;&gt;"",1+(Skills!T20/10)*(Z424/1000)/100,1)</f>
        <v/>
      </c>
      <c r="J441" t="inlineStr"/>
      <c r="K441" t="inlineStr"/>
      <c r="L441" t="inlineStr"/>
      <c r="M441" t="inlineStr"/>
      <c r="N441" t="inlineStr"/>
      <c r="O441">
        <f>(1-Summary!$B$11)*S441+Summary!$B$11*U441</f>
        <v/>
      </c>
      <c r="P441">
        <f>IF(B457=0,0,O441/B457)</f>
        <v/>
      </c>
      <c r="Q441">
        <f>IFERROR(1/IF(Inputs!$B$38="pvp",15,MAX(0.1,Skills!D20-IF(Skills!E20=TRUE,Inputs!$B$32,0))),0)</f>
        <v/>
      </c>
      <c r="R441" t="n">
        <v>0</v>
      </c>
      <c r="S441" t="n">
        <v>0</v>
      </c>
      <c r="U441" t="n">
        <v>0</v>
      </c>
    </row>
    <row r="442">
      <c r="A442">
        <f>Skills!A21</f>
        <v/>
      </c>
      <c r="B442">
        <f>Skills!B21</f>
        <v/>
      </c>
      <c r="C442">
        <f>Inputs!$B$3&gt;=74</f>
        <v/>
      </c>
      <c r="D442">
        <f>IF(Skills!C21=1,60+Inputs!$B$25+Inputs!$B$29,IF(Skills!C21=2,90+Inputs!$B$26+Inputs!$B$29,IF(Skills!C21=3,120+Inputs!$B$27+Inputs!$B$29,MAX(0,(Inputs!$B$3-100)*3)+Inputs!$B$28+Inputs!$B$29)))</f>
        <v/>
      </c>
      <c r="E442">
        <f>INDEX(FactorTable!$B$2:$Y$301, MATCH(ROUND(MIN(300,MAX(1,D442)),0), FactorTable!$A$2:$A$301,0), Skills!L21+1)</f>
        <v/>
      </c>
      <c r="F442">
        <f>IF(Skills!M21=TRUE,(Skills!K21/10)*(E442/1000),Skills!K21/10)+Skills!N21</f>
        <v/>
      </c>
      <c r="G442">
        <f>Calc!G21</f>
        <v/>
      </c>
      <c r="H442">
        <f>Calc!H21</f>
        <v/>
      </c>
      <c r="I442">
        <f>IF(Skills!T21&lt;&gt;"",1+(Skills!T21/10)*(Z424/1000)/100,1)</f>
        <v/>
      </c>
      <c r="J442" t="inlineStr"/>
      <c r="K442" t="inlineStr"/>
      <c r="L442" t="inlineStr"/>
      <c r="M442" t="inlineStr"/>
      <c r="N442" t="inlineStr"/>
      <c r="O442">
        <f>(1-Summary!$B$11)*S442+Summary!$B$11*U442</f>
        <v/>
      </c>
      <c r="P442">
        <f>IF(B457=0,0,O442/B457)</f>
        <v/>
      </c>
      <c r="Q442">
        <f>IFERROR(1/IF(Inputs!$B$38="pvp",15,MAX(0.1,Skills!D21-IF(Skills!E21=TRUE,Inputs!$B$32,0))),0)</f>
        <v/>
      </c>
      <c r="R442" t="n">
        <v>0</v>
      </c>
      <c r="S442" t="n">
        <v>0</v>
      </c>
      <c r="U442" t="n">
        <v>0</v>
      </c>
    </row>
    <row r="443">
      <c r="A443">
        <f>Skills!A22</f>
        <v/>
      </c>
      <c r="B443">
        <f>Skills!B22</f>
        <v/>
      </c>
      <c r="C443">
        <f>Inputs!$B$3&gt;=117</f>
        <v/>
      </c>
      <c r="D443">
        <f>IF(Skills!C22=1,60+Inputs!$B$25+Inputs!$B$29,IF(Skills!C22=2,90+Inputs!$B$26+Inputs!$B$29,IF(Skills!C22=3,120+Inputs!$B$27+Inputs!$B$29,MAX(0,(Inputs!$B$3-100)*3)+Inputs!$B$28+Inputs!$B$29)))</f>
        <v/>
      </c>
      <c r="E443">
        <f>INDEX(FactorTable!$B$2:$Y$301, MATCH(ROUND(MIN(300,MAX(1,D443)),0), FactorTable!$A$2:$A$301,0), Skills!L22+1)</f>
        <v/>
      </c>
      <c r="F443">
        <f>IF(Skills!M22=TRUE,(Skills!K22/10)*(E443/1000),Skills!K22/10)+Skills!N22</f>
        <v/>
      </c>
      <c r="G443">
        <f>Calc!G22</f>
        <v/>
      </c>
      <c r="H443">
        <f>Calc!H22</f>
        <v/>
      </c>
      <c r="I443">
        <f>IF(Skills!T22&lt;&gt;"",1+(Skills!T22/10)*(Z424/1000)/100,1)</f>
        <v/>
      </c>
      <c r="J443" t="inlineStr"/>
      <c r="K443" t="inlineStr"/>
      <c r="L443" t="inlineStr"/>
      <c r="M443" t="inlineStr"/>
      <c r="N443" t="inlineStr"/>
      <c r="O443">
        <f>(1-Summary!$B$11)*S443+Summary!$B$11*U443</f>
        <v/>
      </c>
      <c r="P443">
        <f>IF(B457=0,0,O443/B457)</f>
        <v/>
      </c>
      <c r="Q443">
        <f>IFERROR(1/IF(Inputs!$B$38="pvp",15,MAX(0.1,Skills!D22-IF(Skills!E22=TRUE,Inputs!$B$32,0))),0)</f>
        <v/>
      </c>
      <c r="R443" t="n">
        <v>0</v>
      </c>
      <c r="S443" t="n">
        <v>0</v>
      </c>
      <c r="U443" t="n">
        <v>0</v>
      </c>
    </row>
    <row r="444">
      <c r="A444">
        <f>Skills!A23</f>
        <v/>
      </c>
      <c r="B444">
        <f>Skills!B23</f>
        <v/>
      </c>
      <c r="C444">
        <f>Inputs!$B$3&gt;=120</f>
        <v/>
      </c>
      <c r="D444">
        <f>IF(Skills!C23=1,60+Inputs!$B$25+Inputs!$B$29,IF(Skills!C23=2,90+Inputs!$B$26+Inputs!$B$29,IF(Skills!C23=3,120+Inputs!$B$27+Inputs!$B$29,MAX(0,(Inputs!$B$3-100)*3)+Inputs!$B$28+Inputs!$B$29)))</f>
        <v/>
      </c>
      <c r="E444">
        <f>INDEX(FactorTable!$B$2:$Y$301, MATCH(ROUND(MIN(300,MAX(1,D444)),0), FactorTable!$A$2:$A$301,0), Skills!L23+1)</f>
        <v/>
      </c>
      <c r="F444">
        <f>IF(Skills!M23=TRUE,(Skills!K23/10)*(E444/1000),Skills!K23/10)+Skills!N23</f>
        <v/>
      </c>
      <c r="G444">
        <f>Calc!G23</f>
        <v/>
      </c>
      <c r="H444">
        <f>Calc!H23</f>
        <v/>
      </c>
      <c r="I444">
        <f>IF(Skills!T23&lt;&gt;"",1+(Skills!T23/10)*(Z424/1000)/100,1)</f>
        <v/>
      </c>
      <c r="J444" t="inlineStr"/>
      <c r="K444" t="inlineStr"/>
      <c r="L444" t="inlineStr"/>
      <c r="M444" t="inlineStr"/>
      <c r="N444" t="inlineStr"/>
      <c r="O444">
        <f>(1-Summary!$B$11)*S444+Summary!$B$11*U444</f>
        <v/>
      </c>
      <c r="P444">
        <f>IF(B457=0,0,O444/B457)</f>
        <v/>
      </c>
      <c r="Q444">
        <f>IFERROR(1/IF(Inputs!$B$38="pvp",15,MAX(0.1,Skills!D23-IF(Skills!E23=TRUE,Inputs!$B$32,0))),0)</f>
        <v/>
      </c>
      <c r="R444" t="n">
        <v>0</v>
      </c>
      <c r="S444" t="n">
        <v>0</v>
      </c>
      <c r="U444" t="n">
        <v>0</v>
      </c>
    </row>
    <row r="447">
      <c r="A447" t="inlineStr">
        <is>
          <t>Average Buff Multiplier (Magic Guard + Meditation + Artifact Attack%, summed; then Infinity)</t>
        </is>
      </c>
      <c r="B447">
        <f>(1+(IF(C424=TRUE,F424*IF(AND(Inputs!$B$38&lt;&gt;"pvp",Inputs!$B$43&gt;0),(((R424-1)*(Skills!S3*(1+(Inputs!$B$34+IF(Inputs!$B$3&gt;=117,F443,0))/100))+MIN((Skills!S3*(1+(Inputs!$B$34+IF(Inputs!$B$3&gt;=117,F443,0))/100)),MAX(0,Inputs!$B$43-((R424-1)*Skills!D3))))/Inputs!$B$43),IF(Inputs!$B$38="pvp",MIN((Skills!S3*(1+(Inputs!$B$34+IF(Inputs!$B$3&gt;=117,F443,0))/100)),15)/15,(Skills!S3*(1+(Inputs!$B$34+IF(Inputs!$B$3&gt;=117,F443,0))/100))/Skills!D3)),0)+IF(C425=TRUE,F425*IF(AND(Inputs!$B$38&lt;&gt;"pvp",Inputs!$B$43&gt;0),(((R425-1)*(Skills!S4*(1+(Inputs!$B$34+IF(Inputs!$B$3&gt;=117,F443,0))/100))+MIN((Skills!S4*(1+(Inputs!$B$34+IF(Inputs!$B$3&gt;=117,F443,0))/100)),MAX(0,Inputs!$B$43-((R425-1)*Skills!D4))))/Inputs!$B$43),IF(Inputs!$B$38="pvp",MIN((Skills!S4*(1+(Inputs!$B$34+IF(Inputs!$B$3&gt;=117,F443,0))/100)),15)/15,(Skills!S4*(1+(Inputs!$B$34+IF(Inputs!$B$3&gt;=117,F443,0)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437=TRUE,(1+F437*IF(AND(Inputs!$B$38&lt;&gt;"pvp",Inputs!$B$43&gt;0),(((R437-1)*(Skills!S16*(1+(Inputs!$B$34+IF(Inputs!$B$3&gt;=117,F443,0))/100))+MIN((Skills!S16*(1+(Inputs!$B$34+IF(Inputs!$B$3&gt;=117,F443,0))/100)),MAX(0,Inputs!$B$43-((R437-1)*Skills!D16))))/Inputs!$B$43),IF(Inputs!$B$38="pvp",MIN((Skills!S16*(1+(Inputs!$B$34+IF(Inputs!$B$3&gt;=117,F443,0))/100)),15)/15,(Skills!S16*(1+(Inputs!$B$34+IF(Inputs!$B$3&gt;=117,F443,0))/100))/Skills!D16))/100),1)</f>
        <v/>
      </c>
    </row>
    <row r="448">
      <c r="A448" t="inlineStr">
        <is>
          <t>Monster Damage Taken Bonus % (Freezing Breath - Weaken + Elemental Reset + Artifact Enemy Damage Taken, summed)</t>
        </is>
      </c>
      <c r="B448">
        <f>IF(Inputs!$B$3&gt;=118,15*IF(Inputs!$B$38="pvp",MIN((30*(1+(Inputs!$B$34+IF(Inputs!$B$3&gt;=117,F443,0))/100)),15)/15,(30*(1+(Inputs!$B$34+IF(Inputs!$B$3&gt;=117,F443,0))/100))/Skills!D8),0)+IF(C435=TRUE,F435,0)+(IF(AND(ArtifactsInput!$M$35,Inputs!$B$4&lt;&gt;"Chapter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f>
        <v/>
      </c>
    </row>
    <row r="449">
      <c r="A449" t="inlineStr">
        <is>
          <t>Damage % Bonus (Frozen Break + Frost Clutch, flat)</t>
        </is>
      </c>
      <c r="B449">
        <f>IF(Inputs!$B$3&gt;=66,15,0)+IF(Inputs!$B$3&gt;=98,10,0)+IF(Inputs!$B$3&gt;=125,20,0)</f>
        <v/>
      </c>
    </row>
    <row r="450">
      <c r="A450" t="inlineStr">
        <is>
          <t>Attack Speed Bonus % (MP Eater - MP Boost, always-on once unlocked)</t>
        </is>
      </c>
      <c r="B450">
        <f>IF(C434=TRUE,F434+(F438-Calc!F17),0)</f>
        <v/>
      </c>
    </row>
    <row r="451">
      <c r="A451" t="inlineStr">
        <is>
          <t>Actions Per Second</t>
        </is>
      </c>
      <c r="B451">
        <f>1+MIN(150,150*(1-(1-(Inputs!$B$11+(ArtifactsInput!$M$15-ArtifactsInput!$M$15)*CHOOSE(ArtifactsInput!$N$15+1,8,9.6,11.2,12.8,14.4,16))/150)*(1-B450/150)))/100</f>
        <v/>
      </c>
    </row>
    <row r="452">
      <c r="A452" t="inlineStr">
        <is>
          <t>Skill + Buff Cast Rate</t>
        </is>
      </c>
      <c r="B452">
        <f>IF(AND(Inputs!$B$38&lt;&gt;"pvp",Inputs!$B$43&gt;0),SUMPRODUCT((Skills!E2:E23=TRUE)*(C423:C444=TRUE)*R423:R444)/Inputs!$B$43,SUMPRODUCT((Skills!E2:E23=TRUE)*(C423:C444=TRUE)*Q423:Q444))</f>
        <v/>
      </c>
    </row>
    <row r="453">
      <c r="A453" t="inlineStr">
        <is>
          <t>Chain Lightning Casts Per Second</t>
        </is>
      </c>
      <c r="B453">
        <f>MAX(0,B451-B452)</f>
        <v/>
      </c>
    </row>
    <row r="454">
      <c r="A454" t="inlineStr">
        <is>
          <t>Buff-Casting Startup Delay (s, fixed-duration only)</t>
        </is>
      </c>
      <c r="B454">
        <f>IF(AND(Inputs!$B$38&lt;&gt;"pvp",Inputs!$B$43&gt;0),SUMPRODUCT((Skills!S2:S23&gt;0)*(Skills!E2:E23=TRUE)*(C423:C444=TRUE))/B451,0)</f>
        <v/>
      </c>
    </row>
    <row r="455">
      <c r="A455" t="inlineStr">
        <is>
          <t>Boss-Only Total DPS (this block's swept value)</t>
        </is>
      </c>
      <c r="B455">
        <f>SUM(S423:S444)</f>
        <v/>
      </c>
    </row>
    <row r="456">
      <c r="A456" t="inlineStr">
        <is>
          <t>Normal-Only Total DPS (this block's swept value)</t>
        </is>
      </c>
      <c r="B456">
        <f>SUM(U423:U444)</f>
        <v/>
      </c>
    </row>
    <row r="457">
      <c r="A457" s="6" t="inlineStr">
        <is>
          <t>TOTAL DPS</t>
        </is>
      </c>
      <c r="B457" s="6">
        <f>SUM(O423:O444)</f>
        <v/>
      </c>
    </row>
    <row r="460">
      <c r="A460" s="6" t="inlineStr">
        <is>
          <t>Stat: CRIT_DAMAGE %</t>
        </is>
      </c>
    </row>
    <row r="461">
      <c r="A461" s="5" t="inlineStr">
        <is>
          <t>Key</t>
        </is>
      </c>
      <c r="B461" s="5" t="inlineStr">
        <is>
          <t>Name</t>
        </is>
      </c>
      <c r="C461" s="5" t="inlineStr">
        <is>
          <t>Unlocked</t>
        </is>
      </c>
      <c r="D461" s="5" t="inlineStr">
        <is>
          <t>InputLevel</t>
        </is>
      </c>
      <c r="E461" s="5" t="inlineStr">
        <is>
          <t>Factor</t>
        </is>
      </c>
      <c r="F461" s="5" t="inlineStr">
        <is>
          <t>CoefficientPercent</t>
        </is>
      </c>
      <c r="G461" s="5" t="inlineStr">
        <is>
          <t>EffectiveHits</t>
        </is>
      </c>
      <c r="H461" s="5" t="inlineStr">
        <is>
          <t>ProcProbability</t>
        </is>
      </c>
      <c r="I461" s="5" t="inlineStr">
        <is>
          <t>MapleHeroMultiplier</t>
        </is>
      </c>
      <c r="J461" s="5" t="inlineStr">
        <is>
          <t>BaseDamage</t>
        </is>
      </c>
      <c r="K461" s="5" t="inlineStr">
        <is>
          <t>BaseHitDamage</t>
        </is>
      </c>
      <c r="L461" s="5" t="inlineStr">
        <is>
          <t>NonCritAvg</t>
        </is>
      </c>
      <c r="M461" s="5" t="inlineStr">
        <is>
          <t>CritAvg</t>
        </is>
      </c>
      <c r="N461" s="5" t="inlineStr">
        <is>
          <t>ExpectedDamage(perHit)</t>
        </is>
      </c>
      <c r="O461" s="5" t="inlineStr">
        <is>
          <t>DPS</t>
        </is>
      </c>
      <c r="P461" s="5" t="inlineStr">
        <is>
          <t>% of Total</t>
        </is>
      </c>
      <c r="R461" t="inlineStr">
        <is>
          <t>helpers</t>
        </is>
      </c>
    </row>
    <row r="462">
      <c r="A462">
        <f>Skills!A2</f>
        <v/>
      </c>
      <c r="B462">
        <f>Skills!B2</f>
        <v/>
      </c>
      <c r="C462">
        <f>Inputs!$B$3&gt;=100</f>
        <v/>
      </c>
      <c r="D462" t="inlineStr"/>
      <c r="E462" t="inlineStr"/>
      <c r="F462">
        <f>T464+Skills!N2</f>
        <v/>
      </c>
      <c r="G462">
        <f>Calc!G2</f>
        <v/>
      </c>
      <c r="H462">
        <f>Calc!H2</f>
        <v/>
      </c>
      <c r="I462">
        <f>IF(Skills!T2&lt;&gt;"",1+(Skills!T2/10)*(Z463/1000)/100,1)</f>
        <v/>
      </c>
      <c r="J462">
        <f>((Inputs!$B$6*(1+Inputs!$B$7/100))+(((Inputs!$B$12*(1+Inputs!$B$13/100))-(Inputs!$B$12*(1+Inputs!$B$13/100)))+0.25*(Inputs!$B$14-Inputs!$B$14))*(1+Inputs!$B$7/100))*(F462/100)</f>
        <v/>
      </c>
      <c r="K462">
        <f>J462*(1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F478-Calc!F18),(Inputs!$B$23+(IF(ArtifactsInput!$M$15,CHOOSE(ArtifactsInput!$N$15+1,25,30,35,40,45,50)/100*(Inputs!$B$11-Inputs!$B$11),0))))/100+(Inputs!$B$23+(IF(ArtifactsInput!$M$15,CHOOSE(ArtifactsInput!$N$15+1,25,30,35,40,45,50)/100*(Inputs!$B$11-Inputs!$B$11),0)))/100)/2</f>
        <v/>
      </c>
      <c r="M462">
        <f>L462*(1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2">
        <f>L462*(1-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(1-Summary!$B$11)*S462+Summary!$B$11*U462</f>
        <v/>
      </c>
      <c r="P462">
        <f>IF(B496=0,0,O462/B496)</f>
        <v/>
      </c>
      <c r="Q462">
        <f>IFERROR(1/IF(Inputs!$B$38="pvp",15,MAX(0.1,Skills!D2-IF(Skills!E2=TRUE,Inputs!$B$32,0))),0)</f>
        <v/>
      </c>
      <c r="R462" t="n">
        <v>0</v>
      </c>
      <c r="S462">
        <f>IF(C462,(Skills!F2*N462*B492)*IF(Inputs!$B$38="pvp",1,1+(Inputs!$B$20+Skills!O2+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2">
        <f>MAX(0,(Inputs!$B$3-100)*3)+Inputs!$B$28+Inputs!$B$29</f>
        <v/>
      </c>
      <c r="U462">
        <f>IF(C462,(Skills!F2*N462*B492)*IF(Inputs!$B$38="pvp",1,(1+(Inputs!$B$21+Skills!P2+B487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2">
        <f>MAX(0,(Inputs!$B$3-100)*3)+Inputs!$B$28+Inputs!$B$29</f>
        <v/>
      </c>
    </row>
    <row r="463">
      <c r="A463">
        <f>Skills!A3</f>
        <v/>
      </c>
      <c r="B463">
        <f>Skills!B3</f>
        <v/>
      </c>
      <c r="C463">
        <f>Inputs!$B$3&gt;=15</f>
        <v/>
      </c>
      <c r="D463">
        <f>IF(Skills!C3=1,60+Inputs!$B$25+Inputs!$B$29,IF(Skills!C3=2,90+Inputs!$B$26+Inputs!$B$29,IF(Skills!C3=3,120+Inputs!$B$27+Inputs!$B$29,MAX(0,(Inputs!$B$3-100)*3)+Inputs!$B$28+Inputs!$B$29)))</f>
        <v/>
      </c>
      <c r="E463">
        <f>INDEX(FactorTable!$B$2:$Y$301, MATCH(ROUND(MIN(300,MAX(1,D463)),0), FactorTable!$A$2:$A$301,0), Skills!L3+1)</f>
        <v/>
      </c>
      <c r="F463">
        <f>IF(Skills!M3=TRUE,(Skills!K3/10)*(E463/1000),Skills!K3/10)+Skills!N3</f>
        <v/>
      </c>
      <c r="G463">
        <f>Calc!G3</f>
        <v/>
      </c>
      <c r="H463">
        <f>Calc!H3</f>
        <v/>
      </c>
      <c r="I463">
        <f>IF(Skills!T3&lt;&gt;"",1+(Skills!T3/10)*(Z463/1000)/100,1)</f>
        <v/>
      </c>
      <c r="J463" t="inlineStr"/>
      <c r="K463" t="inlineStr"/>
      <c r="L463" t="inlineStr"/>
      <c r="M463" t="inlineStr"/>
      <c r="N463" t="inlineStr"/>
      <c r="O463">
        <f>(1-Summary!$B$11)*S463+Summary!$B$11*U463</f>
        <v/>
      </c>
      <c r="P463">
        <f>IF(B496=0,0,O463/B496)</f>
        <v/>
      </c>
      <c r="Q463">
        <f>IFERROR(1/IF(Inputs!$B$38="pvp",15,MAX(0.1,Skills!D3-IF(Skills!E3=TRUE,Inputs!$B$32,0))),0)</f>
        <v/>
      </c>
      <c r="R463">
        <f>IF(AND(Inputs!$B$38&lt;&gt;"pvp",Inputs!$B$43&gt;0),IF(Inputs!$B$43&lt;=0,0,(INT(Inputs!$B$43/IF(Inputs!$B$38="pvp",15,MAX(0.1,Skills!D3-IF(Skills!E3=TRUE,Inputs!$B$32,0))))+1)),0)</f>
        <v/>
      </c>
      <c r="S463" t="n">
        <v>0</v>
      </c>
      <c r="T463">
        <f>INDEX(FactorTable!$B$2:$Y$301, MATCH(ROUND(MIN(300,MAX(1,T462)),0), FactorTable!$A$2:$A$301,0), 22)</f>
        <v/>
      </c>
      <c r="U463" t="n">
        <v>0</v>
      </c>
      <c r="Z463">
        <f>INDEX(FactorTable!$B$2:$Y$301, MATCH(ROUND(MIN(300,MAX(1,Z462)),0), FactorTable!$A$2:$A$301,0), 24)</f>
        <v/>
      </c>
    </row>
    <row r="464">
      <c r="A464">
        <f>Skills!A4</f>
        <v/>
      </c>
      <c r="B464">
        <f>Skills!B4</f>
        <v/>
      </c>
      <c r="C464">
        <f>Inputs!$B$3&gt;=40</f>
        <v/>
      </c>
      <c r="D464">
        <f>IF(Skills!C4=1,60+Inputs!$B$25+Inputs!$B$29,IF(Skills!C4=2,90+Inputs!$B$26+Inputs!$B$29,IF(Skills!C4=3,120+Inputs!$B$27+Inputs!$B$29,MAX(0,(Inputs!$B$3-100)*3)+Inputs!$B$28+Inputs!$B$29)))</f>
        <v/>
      </c>
      <c r="E464">
        <f>INDEX(FactorTable!$B$2:$Y$301, MATCH(ROUND(MIN(300,MAX(1,D464)),0), FactorTable!$A$2:$A$301,0), Skills!L4+1)</f>
        <v/>
      </c>
      <c r="F464">
        <f>IF(Skills!M4=TRUE,(Skills!K4/10)*(E464/1000),Skills!K4/10)+Skills!N4</f>
        <v/>
      </c>
      <c r="G464">
        <f>Calc!G4</f>
        <v/>
      </c>
      <c r="H464">
        <f>Calc!H4</f>
        <v/>
      </c>
      <c r="I464">
        <f>IF(Skills!T4&lt;&gt;"",1+(Skills!T4/10)*(Z463/1000)/100,1)</f>
        <v/>
      </c>
      <c r="J464" t="inlineStr"/>
      <c r="K464" t="inlineStr"/>
      <c r="L464" t="inlineStr"/>
      <c r="M464" t="inlineStr"/>
      <c r="N464" t="inlineStr"/>
      <c r="O464">
        <f>(1-Summary!$B$11)*S464+Summary!$B$11*U464</f>
        <v/>
      </c>
      <c r="P464">
        <f>IF(B496=0,0,O464/B496)</f>
        <v/>
      </c>
      <c r="Q464">
        <f>IFERROR(1/IF(Inputs!$B$38="pvp",15,MAX(0.1,Skills!D4-IF(Skills!E4=TRUE,Inputs!$B$32,0))),0)</f>
        <v/>
      </c>
      <c r="R464">
        <f>IF(AND(Inputs!$B$38&lt;&gt;"pvp",Inputs!$B$43&gt;0),IF(Inputs!$B$43&lt;=0,0,(INT(Inputs!$B$43/IF(Inputs!$B$38="pvp",15,MAX(0.1,Skills!D4-IF(Skills!E4=TRUE,Inputs!$B$32,0))))+1)),0)</f>
        <v/>
      </c>
      <c r="S464" t="n">
        <v>0</v>
      </c>
      <c r="T464">
        <f>290*T463/1000</f>
        <v/>
      </c>
      <c r="U464" t="n">
        <v>0</v>
      </c>
    </row>
    <row r="465">
      <c r="A465">
        <f>Skills!A5</f>
        <v/>
      </c>
      <c r="B465">
        <f>Skills!B5</f>
        <v/>
      </c>
      <c r="C465">
        <f>Inputs!$B$3&gt;=38</f>
        <v/>
      </c>
      <c r="D465">
        <f>IF(Skills!C5=1,60+Inputs!$B$25+Inputs!$B$29,IF(Skills!C5=2,90+Inputs!$B$26+Inputs!$B$29,IF(Skills!C5=3,120+Inputs!$B$27+Inputs!$B$29,MAX(0,(Inputs!$B$3-100)*3)+Inputs!$B$28+Inputs!$B$29)))</f>
        <v/>
      </c>
      <c r="E465">
        <f>INDEX(FactorTable!$B$2:$Y$301, MATCH(ROUND(MIN(300,MAX(1,D465)),0), FactorTable!$A$2:$A$301,0), Skills!L5+1)</f>
        <v/>
      </c>
      <c r="F465">
        <f>IF(Skills!M5=TRUE,(Skills!K5/10)*(E465/1000),Skills!K5/10)+Skills!N5</f>
        <v/>
      </c>
      <c r="G465">
        <f>Calc!G5</f>
        <v/>
      </c>
      <c r="H465">
        <f>Calc!H5</f>
        <v/>
      </c>
      <c r="I465">
        <f>IF(Skills!T5&lt;&gt;"",1+(Skills!T5/10)*(Z463/1000)/100,1)</f>
        <v/>
      </c>
      <c r="J465">
        <f>((Inputs!$B$6*(1+Inputs!$B$7/100))+(((Inputs!$B$12*(1+Inputs!$B$13/100))-(Inputs!$B$12*(1+Inputs!$B$13/100)))+0.25*(Inputs!$B$14-Inputs!$B$14))*(1+Inputs!$B$7/100))*(F465/100)</f>
        <v/>
      </c>
      <c r="K465">
        <f>J465*(1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F478-Calc!F18),(Inputs!$B$23+(IF(ArtifactsInput!$M$15,CHOOSE(ArtifactsInput!$N$15+1,25,30,35,40,45,50)/100*(Inputs!$B$11-Inputs!$B$11),0))))/100+(Inputs!$B$23+(IF(ArtifactsInput!$M$15,CHOOSE(ArtifactsInput!$N$15+1,25,30,35,40,45,50)/100*(Inputs!$B$11-Inputs!$B$11),0)))/100)/2</f>
        <v/>
      </c>
      <c r="M465">
        <f>L465*(1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(1-Summary!$B$11)*S465+Summary!$B$11*U465</f>
        <v/>
      </c>
      <c r="P465">
        <f>IF(B496=0,0,O465/B496)</f>
        <v/>
      </c>
      <c r="Q465">
        <f>IFERROR(1/IF(Inputs!$B$38="pvp",15,MAX(0.1,Skills!D5-IF(Skills!E5=TRUE,Inputs!$B$32,0))),0)</f>
        <v/>
      </c>
      <c r="R465">
        <f>IF(AND(Inputs!$B$38&lt;&gt;"pvp",Inputs!$B$43&gt;0),IF(MAX(0,Inputs!$B$43-B493)&lt;=0,0,(INT(MAX(0,Inputs!$B$43-B493)/IF(Inputs!$B$38="pvp",15,MAX(0.1,Skills!D5-IF(Skills!E5=TRUE,Inputs!$B$32,0))))+1)),0)</f>
        <v/>
      </c>
      <c r="S465">
        <f>IF(C465,(H465*N465*IF(AND(Inputs!$B$38&lt;&gt;"pvp",Inputs!$B$43&gt;0),((Skills!F5*((R465-1)*IF(Skills!G5&gt;0,Skills!H5/Skills!G5,1)+IF(Skills!G5&gt;0,MIN(Skills!H5,MAX(0,MAX(0,Inputs!$B$43-B493)-((R465-1)*IF(Inputs!$B$38="pvp",15,MAX(0.1,Skills!D5-IF(Skills!E5=TRUE,Inputs!$B$32,0))))))/Skills!G5,1)))/Inputs!$B$43),G465*Q465))*IF(Inputs!$B$38="pvp",1,1+(Inputs!$B$20+Skills!O5+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465*(1-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5">
        <f>IF(C465,(H465*N465*IF(AND(Inputs!$B$38&lt;&gt;"pvp",Inputs!$B$43&gt;0),((Skills!F5*((R465-1)*IF(Skills!G5&gt;0,Skills!H5/Skills!G5,1)+IF(Skills!G5&gt;0,MIN(Skills!H5,MAX(0,MAX(0,Inputs!$B$43-B493)-((R465-1)*IF(Inputs!$B$38="pvp",15,MAX(0.1,Skills!D5-IF(Skills!E5=TRUE,Inputs!$B$32,0))))))/Skills!G5,1)))/Inputs!$B$43),G465*Q465))*IF(Inputs!$B$38="pvp",1,(1+(Inputs!$B$21+Skills!P5+B487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Skills!A6</f>
        <v/>
      </c>
      <c r="B466">
        <f>Skills!B6</f>
        <v/>
      </c>
      <c r="C466">
        <f>Inputs!$B$3&gt;=63</f>
        <v/>
      </c>
      <c r="D466">
        <f>IF(Skills!C6=1,60+Inputs!$B$25+Inputs!$B$29,IF(Skills!C6=2,90+Inputs!$B$26+Inputs!$B$29,IF(Skills!C6=3,120+Inputs!$B$27+Inputs!$B$29,MAX(0,(Inputs!$B$3-100)*3)+Inputs!$B$28+Inputs!$B$29)))</f>
        <v/>
      </c>
      <c r="E466">
        <f>INDEX(FactorTable!$B$2:$Y$301, MATCH(ROUND(MIN(300,MAX(1,D466)),0), FactorTable!$A$2:$A$301,0), Skills!L6+1)</f>
        <v/>
      </c>
      <c r="F466">
        <f>IF(Skills!M6=TRUE,(Skills!K6/10)*(E466/1000),Skills!K6/10)+Skills!N6</f>
        <v/>
      </c>
      <c r="G466">
        <f>Calc!G6</f>
        <v/>
      </c>
      <c r="H466">
        <f>Calc!H6</f>
        <v/>
      </c>
      <c r="I466">
        <f>IF(Skills!T6&lt;&gt;"",1+(Skills!T6/10)*(Z463/1000)/100,1)</f>
        <v/>
      </c>
      <c r="J466">
        <f>((Inputs!$B$6*(1+Inputs!$B$7/100))+(((Inputs!$B$12*(1+Inputs!$B$13/100))-(Inputs!$B$12*(1+Inputs!$B$13/100)))+0.25*(Inputs!$B$14-Inputs!$B$14))*(1+Inputs!$B$7/100))*(F466/100)</f>
        <v/>
      </c>
      <c r="K466">
        <f>J466*(1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F478-Calc!F18),(Inputs!$B$23+(IF(ArtifactsInput!$M$15,CHOOSE(ArtifactsInput!$N$15+1,25,30,35,40,45,50)/100*(Inputs!$B$11-Inputs!$B$11),0))))/100+(Inputs!$B$23+(IF(ArtifactsInput!$M$15,CHOOSE(ArtifactsInput!$N$15+1,25,30,35,40,45,50)/100*(Inputs!$B$11-Inputs!$B$11),0)))/100)/2</f>
        <v/>
      </c>
      <c r="M466">
        <f>L466*(1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(1-Summary!$B$11)*S466+Summary!$B$11*U466</f>
        <v/>
      </c>
      <c r="P466">
        <f>IF(B496=0,0,O466/B496)</f>
        <v/>
      </c>
      <c r="Q466">
        <f>IFERROR(1/IF(Inputs!$B$38="pvp",15,MAX(0.1,Skills!D6-IF(Skills!E6=TRUE,Inputs!$B$32,0))),0)</f>
        <v/>
      </c>
      <c r="R466">
        <f>IF(AND(Inputs!$B$38&lt;&gt;"pvp",Inputs!$B$43&gt;0),IF(MAX(0,Inputs!$B$43-B493)&lt;=0,0,(INT(MAX(0,Inputs!$B$43-B493)/IF(Inputs!$B$38="pvp",15,MAX(0.1,Skills!D6-IF(Skills!E6=TRUE,Inputs!$B$32,0))))+1)),0)</f>
        <v/>
      </c>
      <c r="S466">
        <f>IF(C466,(H466*N466*IF(AND(Inputs!$B$38&lt;&gt;"pvp",Inputs!$B$43&gt;0),((Skills!F6*((R466-1)*IF(Skills!G6&gt;0,Skills!H6/Skills!G6,1)+IF(Skills!G6&gt;0,MIN(Skills!H6,MAX(0,MAX(0,Inputs!$B$43-B493)-((R466-1)*IF(Inputs!$B$38="pvp",15,MAX(0.1,Skills!D6-IF(Skills!E6=TRUE,Inputs!$B$32,0))))))/Skills!G6,1)))/Inputs!$B$43),G466*Q466))*IF(Inputs!$B$38="pvp",1,1+(Inputs!$B$20+Skills!O6+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466*(1-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6">
        <f>IF(C466,(H466*N466*IF(AND(Inputs!$B$38&lt;&gt;"pvp",Inputs!$B$43&gt;0),((Skills!F6*((R466-1)*IF(Skills!G6&gt;0,Skills!H6/Skills!G6,1)+IF(Skills!G6&gt;0,MIN(Skills!H6,MAX(0,MAX(0,Inputs!$B$43-B493)-((R466-1)*IF(Inputs!$B$38="pvp",15,MAX(0.1,Skills!D6-IF(Skills!E6=TRUE,Inputs!$B$32,0))))))/Skills!G6,1)))/Inputs!$B$43),G466*Q466))*IF(Inputs!$B$38="pvp",1,(1+(Inputs!$B$21+Skills!P6+B487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Skills!A7</f>
        <v/>
      </c>
      <c r="B467">
        <f>Skills!B7</f>
        <v/>
      </c>
      <c r="C467">
        <f>Inputs!$B$3&gt;=69</f>
        <v/>
      </c>
      <c r="D467">
        <f>IF(Skills!C7=1,60+Inputs!$B$25+Inputs!$B$29,IF(Skills!C7=2,90+Inputs!$B$26+Inputs!$B$29,IF(Skills!C7=3,120+Inputs!$B$27+Inputs!$B$29,MAX(0,(Inputs!$B$3-100)*3)+Inputs!$B$28+Inputs!$B$29)))</f>
        <v/>
      </c>
      <c r="E467">
        <f>INDEX(FactorTable!$B$2:$Y$301, MATCH(ROUND(MIN(300,MAX(1,D467)),0), FactorTable!$A$2:$A$301,0), Skills!L7+1)</f>
        <v/>
      </c>
      <c r="F467">
        <f>IF(Skills!M7=TRUE,(Skills!K7/10)*(E467/1000),Skills!K7/10)+Skills!N7</f>
        <v/>
      </c>
      <c r="G467">
        <f>Calc!G7</f>
        <v/>
      </c>
      <c r="H467">
        <f>Calc!H7</f>
        <v/>
      </c>
      <c r="I467">
        <f>IF(Skills!T7&lt;&gt;"",1+(Skills!T7/10)*(Z463/1000)/100,1)</f>
        <v/>
      </c>
      <c r="J467">
        <f>((Inputs!$B$6*(1+Inputs!$B$7/100))+(((Inputs!$B$12*(1+Inputs!$B$13/100))-(Inputs!$B$12*(1+Inputs!$B$13/100)))+0.25*(Inputs!$B$14-Inputs!$B$14))*(1+Inputs!$B$7/100))*(F467/100)</f>
        <v/>
      </c>
      <c r="K467">
        <f>J467*(1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F478-Calc!F18),(Inputs!$B$23+(IF(ArtifactsInput!$M$15,CHOOSE(ArtifactsInput!$N$15+1,25,30,35,40,45,50)/100*(Inputs!$B$11-Inputs!$B$11),0))))/100+(Inputs!$B$23+(IF(ArtifactsInput!$M$15,CHOOSE(ArtifactsInput!$N$15+1,25,30,35,40,45,50)/100*(Inputs!$B$11-Inputs!$B$11),0)))/100)/2</f>
        <v/>
      </c>
      <c r="M467">
        <f>L467*(1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7">
        <f>L467*(1-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(1-Summary!$B$11)*S467+Summary!$B$11*U467</f>
        <v/>
      </c>
      <c r="P467">
        <f>IF(B496=0,0,O467/B496)</f>
        <v/>
      </c>
      <c r="Q467">
        <f>IFERROR(1/IF(Inputs!$B$38="pvp",15,MAX(0.1,Skills!D7-IF(Skills!E7=TRUE,Inputs!$B$32,0))),0)</f>
        <v/>
      </c>
      <c r="R467">
        <f>IF(AND(Inputs!$B$38&lt;&gt;"pvp",Inputs!$B$43&gt;0),IF(MAX(0,Inputs!$B$43-B493)&lt;=0,0,(INT(MAX(0,Inputs!$B$43-B493)/IF(Inputs!$B$38="pvp",15,MAX(0.1,Skills!D7-IF(Skills!E7=TRUE,Inputs!$B$32,0))))+1)),0)</f>
        <v/>
      </c>
      <c r="S467">
        <f>IF(C467,(H467*N467*IF(AND(Inputs!$B$38&lt;&gt;"pvp",Inputs!$B$43&gt;0),((Skills!F7*((R467-1)*IF(Skills!G7&gt;0,Skills!H7/Skills!G7,1)+IF(Skills!G7&gt;0,MIN(Skills!H7,MAX(0,MAX(0,Inputs!$B$43-B493)-((R467-1)*IF(Inputs!$B$38="pvp",15,MAX(0.1,Skills!D7-IF(Skills!E7=TRUE,Inputs!$B$32,0))))))/Skills!G7,1)))/Inputs!$B$43),G467*Q467))*IF(Inputs!$B$38="pvp",1,1+(Inputs!$B$20+Skills!O7+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7">
        <f>IF(C467,(H467*N467*IF(AND(Inputs!$B$38&lt;&gt;"pvp",Inputs!$B$43&gt;0),((Skills!F7*((R467-1)*IF(Skills!G7&gt;0,Skills!H7/Skills!G7,1)+IF(Skills!G7&gt;0,MIN(Skills!H7,MAX(0,MAX(0,Inputs!$B$43-B493)-((R467-1)*IF(Inputs!$B$38="pvp",15,MAX(0.1,Skills!D7-IF(Skills!E7=TRUE,Inputs!$B$32,0))))))/Skills!G7,1)))/Inputs!$B$43),G467*Q467))*IF(Inputs!$B$38="pvp",1,(1+(Inputs!$B$21+Skills!P7+B487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Skills!A8</f>
        <v/>
      </c>
      <c r="B468">
        <f>Skills!B8</f>
        <v/>
      </c>
      <c r="C468">
        <f>Inputs!$B$3&gt;=103</f>
        <v/>
      </c>
      <c r="D468">
        <f>IF(Skills!C8=1,60+Inputs!$B$25+Inputs!$B$29,IF(Skills!C8=2,90+Inputs!$B$26+Inputs!$B$29,IF(Skills!C8=3,120+Inputs!$B$27+Inputs!$B$29,MAX(0,(Inputs!$B$3-100)*3)+Inputs!$B$28+Inputs!$B$29)))</f>
        <v/>
      </c>
      <c r="E468">
        <f>INDEX(FactorTable!$B$2:$Y$301, MATCH(ROUND(MIN(300,MAX(1,D468)),0), FactorTable!$A$2:$A$301,0), Skills!L8+1)</f>
        <v/>
      </c>
      <c r="F468">
        <f>IF(Skills!M8=TRUE,(Skills!K8/10)*(E468/1000),Skills!K8/10)+Skills!N8</f>
        <v/>
      </c>
      <c r="G468">
        <f>Calc!G8</f>
        <v/>
      </c>
      <c r="H468">
        <f>Calc!H8</f>
        <v/>
      </c>
      <c r="I468">
        <f>IF(Skills!T8&lt;&gt;"",1+(Skills!T8/10)*(Z463/1000)/100,1)</f>
        <v/>
      </c>
      <c r="J468">
        <f>((Inputs!$B$6*(1+Inputs!$B$7/100))+(((Inputs!$B$12*(1+Inputs!$B$13/100))-(Inputs!$B$12*(1+Inputs!$B$13/100)))+0.25*(Inputs!$B$14-Inputs!$B$14))*(1+Inputs!$B$7/100))*(F468/100)</f>
        <v/>
      </c>
      <c r="K468">
        <f>J468*(1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478-Calc!F18),(Inputs!$B$23+(IF(ArtifactsInput!$M$15,CHOOSE(ArtifactsInput!$N$15+1,25,30,35,40,45,50)/100*(Inputs!$B$11-Inputs!$B$11),0))))/100+(Inputs!$B$23+(IF(ArtifactsInput!$M$15,CHOOSE(ArtifactsInput!$N$15+1,25,30,35,40,45,50)/100*(Inputs!$B$11-Inputs!$B$11),0)))/100)/2</f>
        <v/>
      </c>
      <c r="M468">
        <f>L468*(1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IF(B496=0,0,O468/B496)</f>
        <v/>
      </c>
      <c r="Q468">
        <f>IFERROR(1/IF(Inputs!$B$38="pvp",15,MAX(0.1,Skills!D8-IF(Skills!E8=TRUE,Inputs!$B$32,0))),0)</f>
        <v/>
      </c>
      <c r="R468">
        <f>IF(AND(Inputs!$B$38&lt;&gt;"pvp",Inputs!$B$43&gt;0),IF(MAX(0,Inputs!$B$43-B493)&lt;=0,0,(INT(MAX(0,Inputs!$B$43-B493)/IF(Inputs!$B$38="pvp",15,MAX(0.1,Skills!D8-IF(Skills!E8=TRUE,Inputs!$B$32,0))))+1)),0)</f>
        <v/>
      </c>
      <c r="S468">
        <f>IF(C468,(H468*N468*IF(AND(Inputs!$B$38&lt;&gt;"pvp",Inputs!$B$43&gt;0),((Skills!F8*((R468-1)*IF(Skills!G8&gt;0,Skills!H8/Skills!G8,1)+IF(Skills!G8&gt;0,MIN(Skills!H8,MAX(0,MAX(0,Inputs!$B$43-B493)-((R468-1)*IF(Inputs!$B$38="pvp",15,MAX(0.1,Skills!D8-IF(Skills!E8=TRUE,Inputs!$B$32,0))))))/Skills!G8,1)))/Inputs!$B$43),G468*Q468))*IF(Inputs!$B$38="pvp",1,1+(Inputs!$B$20+Skills!O8+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8">
        <f>IF(C468,(H468*N468*IF(AND(Inputs!$B$38&lt;&gt;"pvp",Inputs!$B$43&gt;0),((Skills!F8*((R468-1)*IF(Skills!G8&gt;0,Skills!H8/Skills!G8,1)+IF(Skills!G8&gt;0,MIN(Skills!H8,MAX(0,MAX(0,Inputs!$B$43-B493)-((R468-1)*IF(Inputs!$B$38="pvp",15,MAX(0.1,Skills!D8-IF(Skills!E8=TRUE,Inputs!$B$32,0))))))/Skills!G8,1)))/Inputs!$B$43),G468*Q468))*IF(Inputs!$B$38="pvp",1,(1+(Inputs!$B$21+Skills!P8+B487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Skills!A9</f>
        <v/>
      </c>
      <c r="B469">
        <f>Skills!B9</f>
        <v/>
      </c>
      <c r="C469">
        <f>Inputs!$B$3&gt;=105</f>
        <v/>
      </c>
      <c r="D469">
        <f>IF(Skills!C9=1,60+Inputs!$B$25+Inputs!$B$29,IF(Skills!C9=2,90+Inputs!$B$26+Inputs!$B$29,IF(Skills!C9=3,120+Inputs!$B$27+Inputs!$B$29,MAX(0,(Inputs!$B$3-100)*3)+Inputs!$B$28+Inputs!$B$29)))</f>
        <v/>
      </c>
      <c r="E469">
        <f>INDEX(FactorTable!$B$2:$Y$301, MATCH(ROUND(MIN(300,MAX(1,D469)),0), FactorTable!$A$2:$A$301,0), Skills!L9+1)</f>
        <v/>
      </c>
      <c r="F469">
        <f>IF(Skills!M9=TRUE,(Skills!K9/10)*(E469/1000),Skills!K9/10)+Skills!N9</f>
        <v/>
      </c>
      <c r="G469">
        <f>Calc!G9</f>
        <v/>
      </c>
      <c r="H469">
        <f>Calc!H9</f>
        <v/>
      </c>
      <c r="I469">
        <f>IF(Skills!T9&lt;&gt;"",1+(Skills!T9/10)*(Z463/1000)/100,1)</f>
        <v/>
      </c>
      <c r="J469">
        <f>((Inputs!$B$6*(1+Inputs!$B$7/100))+(((Inputs!$B$12*(1+Inputs!$B$13/100))-(Inputs!$B$12*(1+Inputs!$B$13/100)))+0.25*(Inputs!$B$14-Inputs!$B$14))*(1+Inputs!$B$7/100))*(F469/100)</f>
        <v/>
      </c>
      <c r="K469">
        <f>J469*(1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478-Calc!F18),(Inputs!$B$23+(IF(ArtifactsInput!$M$15,CHOOSE(ArtifactsInput!$N$15+1,25,30,35,40,45,50)/100*(Inputs!$B$11-Inputs!$B$11),0))))/100+(Inputs!$B$23+(IF(ArtifactsInput!$M$15,CHOOSE(ArtifactsInput!$N$15+1,25,30,35,40,45,50)/100*(Inputs!$B$11-Inputs!$B$11),0)))/100)/2</f>
        <v/>
      </c>
      <c r="M469">
        <f>L469*(1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IF(B496=0,0,O469/B496)</f>
        <v/>
      </c>
      <c r="Q469">
        <f>IFERROR(1/IF(Inputs!$B$38="pvp",15,MAX(0.1,Skills!D9-IF(Skills!E9=TRUE,Inputs!$B$32,0))),0)</f>
        <v/>
      </c>
      <c r="R469">
        <f>IF(AND(Inputs!$B$38&lt;&gt;"pvp",Inputs!$B$43&gt;0),IF(MAX(0,Inputs!$B$43-B493)&lt;=0,0,(INT(MAX(0,Inputs!$B$43-B493)/IF(Inputs!$B$38="pvp",15,MAX(0.1,Skills!D9-IF(Skills!E9=TRUE,Inputs!$B$32,0))))+1)),0)</f>
        <v/>
      </c>
      <c r="S469">
        <f>IF(C469,(H469*N469*IF(AND(Inputs!$B$38&lt;&gt;"pvp",Inputs!$B$43&gt;0),((Skills!F9*((R469-1)*IF(Skills!G9&gt;0,Skills!H9/Skills!G9,1)+IF(Skills!G9&gt;0,MIN(Skills!H9,MAX(0,MAX(0,Inputs!$B$43-B493)-((R469-1)*IF(Inputs!$B$38="pvp",15,MAX(0.1,Skills!D9-IF(Skills!E9=TRUE,Inputs!$B$32,0))))))/Skills!G9,1)))/Inputs!$B$43),G469*Q469))*IF(Inputs!$B$38="pvp",1,1+(Inputs!$B$20+Skills!O9+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9">
        <f>IF(C469,(H469*N469*IF(AND(Inputs!$B$38&lt;&gt;"pvp",Inputs!$B$43&gt;0),((Skills!F9*((R469-1)*IF(Skills!G9&gt;0,Skills!H9/Skills!G9,1)+IF(Skills!G9&gt;0,MIN(Skills!H9,MAX(0,MAX(0,Inputs!$B$43-B493)-((R469-1)*IF(Inputs!$B$38="pvp",15,MAX(0.1,Skills!D9-IF(Skills!E9=TRUE,Inputs!$B$32,0))))))/Skills!G9,1)))/Inputs!$B$43),G469*Q469))*IF(Inputs!$B$38="pvp",1,(1+(Inputs!$B$21+Skills!P9+B487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Skills!A10</f>
        <v/>
      </c>
      <c r="B470">
        <f>Skills!B10</f>
        <v/>
      </c>
      <c r="C470">
        <f>Inputs!$B$3&gt;=113</f>
        <v/>
      </c>
      <c r="D470">
        <f>IF(Skills!C10=1,60+Inputs!$B$25+Inputs!$B$29,IF(Skills!C10=2,90+Inputs!$B$26+Inputs!$B$29,IF(Skills!C10=3,120+Inputs!$B$27+Inputs!$B$29,MAX(0,(Inputs!$B$3-100)*3)+Inputs!$B$28+Inputs!$B$29)))</f>
        <v/>
      </c>
      <c r="E470">
        <f>INDEX(FactorTable!$B$2:$Y$301, MATCH(ROUND(MIN(300,MAX(1,D470)),0), FactorTable!$A$2:$A$301,0), Skills!L10+1)</f>
        <v/>
      </c>
      <c r="F470">
        <f>IF(Skills!M10=TRUE,(Skills!K10/10)*(E470/1000),Skills!K10/10)+Skills!N10</f>
        <v/>
      </c>
      <c r="G470">
        <f>Calc!G10</f>
        <v/>
      </c>
      <c r="H470">
        <f>Calc!H10</f>
        <v/>
      </c>
      <c r="I470">
        <f>IF(Skills!T10&lt;&gt;"",1+(Skills!T10/10)*(Z463/1000)/100,1)</f>
        <v/>
      </c>
      <c r="J470">
        <f>((Inputs!$B$6*(1+Inputs!$B$7/100))+(((Inputs!$B$12*(1+Inputs!$B$13/100))-(Inputs!$B$12*(1+Inputs!$B$13/100)))+0.25*(Inputs!$B$14-Inputs!$B$14))*(1+Inputs!$B$7/100))*(F470/100)</f>
        <v/>
      </c>
      <c r="K470">
        <f>J470*(1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478-Calc!F18),(Inputs!$B$23+(IF(ArtifactsInput!$M$15,CHOOSE(ArtifactsInput!$N$15+1,25,30,35,40,45,50)/100*(Inputs!$B$11-Inputs!$B$11),0))))/100+(Inputs!$B$23+(IF(ArtifactsInput!$M$15,CHOOSE(ArtifactsInput!$N$15+1,25,30,35,40,45,50)/100*(Inputs!$B$11-Inputs!$B$11),0)))/100)/2</f>
        <v/>
      </c>
      <c r="M470">
        <f>L470*(1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IF(B496=0,0,O470/B496)</f>
        <v/>
      </c>
      <c r="Q470">
        <f>IFERROR(1/IF(Inputs!$B$38="pvp",15,MAX(0.1,Skills!D10-IF(Skills!E9=TRUE,Inputs!$B$32,0))),0)</f>
        <v/>
      </c>
      <c r="R470">
        <f>IF(AND(Inputs!$B$38&lt;&gt;"pvp",Inputs!$B$43&gt;0),IF(MAX(0,Inputs!$B$43-B493)&lt;=0,0,(INT(MAX(0,Inputs!$B$43-B493)/IF(Inputs!$B$38="pvp",15,MAX(0.1,Skills!D10-IF(Skills!E9=TRUE,Inputs!$B$32,0))))+1)),0)</f>
        <v/>
      </c>
      <c r="S470">
        <f>IF(C470,(H470*N470*IF(AND(Inputs!$B$38&lt;&gt;"pvp",Inputs!$B$43&gt;0),((Skills!F10*((R470-1)*IF(Skills!G10&gt;0,Skills!H10/Skills!G10,1)+IF(Skills!G10&gt;0,MIN(Skills!H10,MAX(0,MAX(0,Inputs!$B$43-B493)-((R470-1)*IF(Inputs!$B$38="pvp",15,MAX(0.1,Skills!D10-IF(Skills!E9=TRUE,Inputs!$B$32,0))))))/Skills!G10,1)))/Inputs!$B$43),G470*Q470))*IF(Inputs!$B$38="pvp",1,1+(Inputs!$B$20+Skills!O10+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0">
        <f>IF(C470,(H470*N470*IF(AND(Inputs!$B$38&lt;&gt;"pvp",Inputs!$B$43&gt;0),((Skills!F10*((R470-1)*IF(Skills!G10&gt;0,Skills!H10/Skills!G10,1)+IF(Skills!G10&gt;0,MIN(Skills!H10,MAX(0,MAX(0,Inputs!$B$43-B493)-((R470-1)*IF(Inputs!$B$38="pvp",15,MAX(0.1,Skills!D10-IF(Skills!E9=TRUE,Inputs!$B$32,0))))))/Skills!G10,1)))/Inputs!$B$43),G470*Q470))*IF(Inputs!$B$38="pvp",1,(1+(Inputs!$B$21+Skills!P10+B487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Skills!A11</f>
        <v/>
      </c>
      <c r="B471">
        <f>Skills!B11</f>
        <v/>
      </c>
      <c r="C471">
        <f>Inputs!$B$3&gt;=107</f>
        <v/>
      </c>
      <c r="D471">
        <f>IF(Skills!C11=1,60+Inputs!$B$25+Inputs!$B$29,IF(Skills!C11=2,90+Inputs!$B$26+Inputs!$B$29,IF(Skills!C11=3,120+Inputs!$B$27+Inputs!$B$29,MAX(0,(Inputs!$B$3-100)*3)+Inputs!$B$28+Inputs!$B$29)))</f>
        <v/>
      </c>
      <c r="E471">
        <f>INDEX(FactorTable!$B$2:$Y$301, MATCH(ROUND(MIN(300,MAX(1,D471)),0), FactorTable!$A$2:$A$301,0), Skills!L11+1)</f>
        <v/>
      </c>
      <c r="F471">
        <f>IF(Skills!M11=TRUE,(Skills!K11/10)*(E471/1000),Skills!K11/10)+Skills!N11</f>
        <v/>
      </c>
      <c r="G471">
        <f>Calc!G11</f>
        <v/>
      </c>
      <c r="H471">
        <f>Calc!H11</f>
        <v/>
      </c>
      <c r="I471">
        <f>IF(Skills!T11&lt;&gt;"",1+(Skills!T11/10)*(Z463/1000)/100,1)</f>
        <v/>
      </c>
      <c r="J471">
        <f>((Inputs!$B$6*(1+Inputs!$B$7/100))+(((Inputs!$B$12*(1+Inputs!$B$13/100))-(Inputs!$B$12*(1+Inputs!$B$13/100)))+0.25*(Inputs!$B$14-Inputs!$B$14))*(1+Inputs!$B$7/100))*(F471/100)</f>
        <v/>
      </c>
      <c r="K471">
        <f>J471*(1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478-Calc!F18),(Inputs!$B$23+(IF(ArtifactsInput!$M$15,CHOOSE(ArtifactsInput!$N$15+1,25,30,35,40,45,50)/100*(Inputs!$B$11-Inputs!$B$11),0))))/100+(Inputs!$B$23+(IF(ArtifactsInput!$M$15,CHOOSE(ArtifactsInput!$N$15+1,25,30,35,40,45,50)/100*(Inputs!$B$11-Inputs!$B$11),0)))/100)/2</f>
        <v/>
      </c>
      <c r="M471">
        <f>L471*(1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IF(B496=0,0,O471/B496)</f>
        <v/>
      </c>
      <c r="Q471">
        <f>IFERROR(1/IF(Inputs!$B$38="pvp",15,MAX(0.1,Skills!D11-IF(Skills!E11=TRUE,Inputs!$B$32,0))),0)</f>
        <v/>
      </c>
      <c r="R471">
        <f>IF(AND(Inputs!$B$38&lt;&gt;"pvp",Inputs!$B$43&gt;0),IF(MAX(0,Inputs!$B$43-B493)&lt;=0,0,(INT(MAX(0,Inputs!$B$43-B493)/IF(Inputs!$B$38="pvp",15,MAX(0.1,Skills!D11-IF(Skills!E11=TRUE,Inputs!$B$32,0))))+1)),0)</f>
        <v/>
      </c>
      <c r="S471">
        <f>IF(C471,H471*N471*IF(AND(Inputs!$B$38&lt;&gt;"pvp",Inputs!$B$43&gt;0),((Skills!F11*((R471-1)*IF(Skills!G11&gt;0,Skills!H11/Skills!G11,1)+IF(Skills!G11&gt;0,MIN(Skills!H11,MAX(0,MAX(0,Inputs!$B$43-B493)-((R471-1)*IF(Inputs!$B$38="pvp",15,MAX(0.1,Skills!D11-IF(Skills!E11=TRUE,Inputs!$B$32,0))))))/Skills!G11,1)))/Inputs!$B$43),G471*Q471)*0.5*IF(Inputs!$B$38="pvp",1,1+(Inputs!$B$20+Skills!O11+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F11*((R471-1)*IF(Skills!G11&gt;0,Skills!H11/Skills!G11,1)+IF(Skills!G11&gt;0,MIN(Skills!H11,MAX(0,MAX(0,Inputs!$B$43-B493)-((R471-1)*IF(Inputs!$B$38="pvp",15,MAX(0.1,Skills!D11-IF(Skills!E11=TRUE,Inputs!$B$32,0))))))/Skills!G11,1)))/Inputs!$B$43),G471*Q471)*1*IF(Inputs!$B$38="pvp",1,(1+(Inputs!$B$21+Skills!P11+B487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Skills!A12</f>
        <v/>
      </c>
      <c r="B472">
        <f>Skills!B12</f>
        <v/>
      </c>
      <c r="C472">
        <f>Inputs!$B$3&gt;=115</f>
        <v/>
      </c>
      <c r="D472">
        <f>IF(Skills!C12=1,60+Inputs!$B$25+Inputs!$B$29,IF(Skills!C12=2,90+Inputs!$B$26+Inputs!$B$29,IF(Skills!C12=3,120+Inputs!$B$27+Inputs!$B$29,MAX(0,(Inputs!$B$3-100)*3)+Inputs!$B$28+Inputs!$B$29)))</f>
        <v/>
      </c>
      <c r="E472">
        <f>INDEX(FactorTable!$B$2:$Y$301, MATCH(ROUND(MIN(300,MAX(1,D472)),0), FactorTable!$A$2:$A$301,0), Skills!L12+1)</f>
        <v/>
      </c>
      <c r="F472">
        <f>IF(Skills!M12=TRUE,(Skills!K12/10)*(E472/1000),Skills!K12/10)+Skills!N12</f>
        <v/>
      </c>
      <c r="G472">
        <f>Calc!G12</f>
        <v/>
      </c>
      <c r="H472">
        <f>Calc!H12</f>
        <v/>
      </c>
      <c r="I472">
        <f>IF(Skills!T12&lt;&gt;"",1+(Skills!T12/10)*(Z463/1000)/100,1)</f>
        <v/>
      </c>
      <c r="J472">
        <f>((Inputs!$B$6*(1+Inputs!$B$7/100))+(((Inputs!$B$12*(1+Inputs!$B$13/100))-(Inputs!$B$12*(1+Inputs!$B$13/100)))+0.25*(Inputs!$B$14-Inputs!$B$14))*(1+Inputs!$B$7/100))*(F472/100)</f>
        <v/>
      </c>
      <c r="K472">
        <f>J472*(1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F478-Calc!F18),(Inputs!$B$23+(IF(ArtifactsInput!$M$15,CHOOSE(ArtifactsInput!$N$15+1,25,30,35,40,45,50)/100*(Inputs!$B$11-Inputs!$B$11),0))))/100+(Inputs!$B$23+(IF(ArtifactsInput!$M$15,CHOOSE(ArtifactsInput!$N$15+1,25,30,35,40,45,50)/100*(Inputs!$B$11-Inputs!$B$11),0)))/100)/2</f>
        <v/>
      </c>
      <c r="M472">
        <f>L472*(1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(1-Summary!$B$11)*S472+Summary!$B$11*U472</f>
        <v/>
      </c>
      <c r="P472">
        <f>IF(B496=0,0,O472/B496)</f>
        <v/>
      </c>
      <c r="Q472">
        <f>IFERROR(1/IF(Inputs!$B$38="pvp",15,MAX(0.1,Skills!D12-IF(Skills!E12=TRUE,Inputs!$B$32,0))),0)</f>
        <v/>
      </c>
      <c r="R472">
        <f>IF(AND(Inputs!$B$38&lt;&gt;"pvp",Inputs!$B$43&gt;0),IF(MAX(0,Inputs!$B$43-B493)&lt;=0,0,(INT(MAX(0,Inputs!$B$43-B493)/IF(Inputs!$B$38="pvp",15,MAX(0.1,Skills!D12-IF(Skills!E12=TRUE,Inputs!$B$32,0))))+1)),0)</f>
        <v/>
      </c>
      <c r="S472">
        <f>IF(C472,(H472*N472*IF(AND(Inputs!$B$38&lt;&gt;"pvp",Inputs!$B$43&gt;0),((Skills!F12*((R472-1)*IF(Skills!G12&gt;0,Skills!H12/Skills!G12,1)+IF(Skills!G12&gt;0,MIN(Skills!H12,MAX(0,MAX(0,Inputs!$B$43-B493)-((R472-1)*IF(Inputs!$B$38="pvp",15,MAX(0.1,Skills!D12-IF(Skills!E12=TRUE,Inputs!$B$32,0))))))/Skills!G12,1)))/Inputs!$B$43),G472*Q472))*IF(Inputs!$B$38="pvp",1,1+(Inputs!$B$20+Skills!O12+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2">
        <f>IF(C472,(H472*N472*IF(AND(Inputs!$B$38&lt;&gt;"pvp",Inputs!$B$43&gt;0),((Skills!F12*((R472-1)*IF(Skills!G12&gt;0,Skills!H12/Skills!G12,1)+IF(Skills!G12&gt;0,MIN(Skills!H12,MAX(0,MAX(0,Inputs!$B$43-B493)-((R472-1)*IF(Inputs!$B$38="pvp",15,MAX(0.1,Skills!D12-IF(Skills!E12=TRUE,Inputs!$B$32,0))))))/Skills!G12,1)))/Inputs!$B$43),G472*Q472))*IF(Inputs!$B$38="pvp",1,(1+(Inputs!$B$21+Skills!P12+B487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Skills!A13</f>
        <v/>
      </c>
      <c r="B473">
        <f>Skills!B13</f>
        <v/>
      </c>
      <c r="C473">
        <f>Inputs!$B$3&gt;=49</f>
        <v/>
      </c>
      <c r="D473">
        <f>IF(Skills!C13=1,60+Inputs!$B$25+Inputs!$B$29,IF(Skills!C13=2,90+Inputs!$B$26+Inputs!$B$29,IF(Skills!C13=3,120+Inputs!$B$27+Inputs!$B$29,MAX(0,(Inputs!$B$3-100)*3)+Inputs!$B$28+Inputs!$B$29)))</f>
        <v/>
      </c>
      <c r="E473">
        <f>INDEX(FactorTable!$B$2:$Y$301, MATCH(ROUND(MIN(300,MAX(1,D473)),0), FactorTable!$A$2:$A$301,0), Skills!L13+1)</f>
        <v/>
      </c>
      <c r="F473">
        <f>IF(Skills!M13=TRUE,(Skills!K13/10)*(E473/1000),Skills!K13/10)+Skills!N13</f>
        <v/>
      </c>
      <c r="G473">
        <f>Calc!G13</f>
        <v/>
      </c>
      <c r="H473">
        <f>Calc!H13</f>
        <v/>
      </c>
      <c r="I473">
        <f>IF(Skills!T13&lt;&gt;"",1+(Skills!T13/10)*(Z463/1000)/100,1)</f>
        <v/>
      </c>
      <c r="J473" t="inlineStr"/>
      <c r="K473" t="inlineStr"/>
      <c r="L473" t="inlineStr"/>
      <c r="M473" t="inlineStr"/>
      <c r="N473" t="inlineStr"/>
      <c r="O473">
        <f>(1-Summary!$B$11)*S473+Summary!$B$11*U473</f>
        <v/>
      </c>
      <c r="P473">
        <f>IF(B496=0,0,O473/B496)</f>
        <v/>
      </c>
      <c r="Q473">
        <f>IFERROR(1/IF(Inputs!$B$38="pvp",15,MAX(0.1,Skills!D13-IF(Skills!E13=TRUE,Inputs!$B$32,0))),0)</f>
        <v/>
      </c>
      <c r="R473" t="n">
        <v>0</v>
      </c>
      <c r="S473" t="n">
        <v>0</v>
      </c>
      <c r="U473" t="n">
        <v>0</v>
      </c>
    </row>
    <row r="474">
      <c r="A474">
        <f>Skills!A14</f>
        <v/>
      </c>
      <c r="B474">
        <f>Skills!B14</f>
        <v/>
      </c>
      <c r="C474">
        <f>Inputs!$B$3&gt;=72</f>
        <v/>
      </c>
      <c r="D474">
        <f>IF(Skills!C14=1,60+Inputs!$B$25+Inputs!$B$29,IF(Skills!C14=2,90+Inputs!$B$26+Inputs!$B$29,IF(Skills!C14=3,120+Inputs!$B$27+Inputs!$B$29,MAX(0,(Inputs!$B$3-100)*3)+Inputs!$B$28+Inputs!$B$29)))</f>
        <v/>
      </c>
      <c r="E474">
        <f>INDEX(FactorTable!$B$2:$Y$301, MATCH(ROUND(MIN(300,MAX(1,D474)),0), FactorTable!$A$2:$A$301,0), Skills!L14+1)</f>
        <v/>
      </c>
      <c r="F474">
        <f>IF(Skills!M14=TRUE,(Skills!K14/10)*(E474/1000),Skills!K14/10)+Skills!N14</f>
        <v/>
      </c>
      <c r="G474">
        <f>Calc!G14</f>
        <v/>
      </c>
      <c r="H474">
        <f>Calc!H14</f>
        <v/>
      </c>
      <c r="I474">
        <f>IF(Skills!T14&lt;&gt;"",1+(Skills!T14/10)*(Z463/1000)/100,1)</f>
        <v/>
      </c>
      <c r="J474" t="inlineStr"/>
      <c r="K474" t="inlineStr"/>
      <c r="L474" t="inlineStr"/>
      <c r="M474" t="inlineStr"/>
      <c r="N474" t="inlineStr"/>
      <c r="O474">
        <f>(1-Summary!$B$11)*S474+Summary!$B$11*U474</f>
        <v/>
      </c>
      <c r="P474">
        <f>IF(B496=0,0,O474/B496)</f>
        <v/>
      </c>
      <c r="Q474">
        <f>IFERROR(1/IF(Inputs!$B$38="pvp",15,MAX(0.1,Skills!D14-IF(Skills!E14=TRUE,Inputs!$B$32,0))),0)</f>
        <v/>
      </c>
      <c r="R474" t="n">
        <v>0</v>
      </c>
      <c r="S474" t="n">
        <v>0</v>
      </c>
      <c r="U474" t="n">
        <v>0</v>
      </c>
    </row>
    <row r="475">
      <c r="A475">
        <f>Skills!A15</f>
        <v/>
      </c>
      <c r="B475">
        <f>Skills!B15</f>
        <v/>
      </c>
      <c r="C475">
        <f>Inputs!$B$3&gt;=75</f>
        <v/>
      </c>
      <c r="D475">
        <f>IF(Skills!C15=1,60+Inputs!$B$25+Inputs!$B$29,IF(Skills!C15=2,90+Inputs!$B$26+Inputs!$B$29,IF(Skills!C15=3,120+Inputs!$B$27+Inputs!$B$29,MAX(0,(Inputs!$B$3-100)*3)+Inputs!$B$28+Inputs!$B$29)))</f>
        <v/>
      </c>
      <c r="E475">
        <f>INDEX(FactorTable!$B$2:$Y$301, MATCH(ROUND(MIN(300,MAX(1,D475)),0), FactorTable!$A$2:$A$301,0), Skills!L15+1)</f>
        <v/>
      </c>
      <c r="F475">
        <f>IF(Skills!M15=TRUE,(Skills!K15/10)*(E475/1000),Skills!K15/10)+Skills!N15</f>
        <v/>
      </c>
      <c r="G475">
        <f>Calc!G15</f>
        <v/>
      </c>
      <c r="H475">
        <f>Calc!H15</f>
        <v/>
      </c>
      <c r="I475">
        <f>IF(Skills!T15&lt;&gt;"",1+(Skills!T15/10)*(Z463/1000)/100,1)</f>
        <v/>
      </c>
      <c r="J475" t="inlineStr"/>
      <c r="K475" t="inlineStr"/>
      <c r="L475" t="inlineStr"/>
      <c r="M475" t="inlineStr"/>
      <c r="N475" t="inlineStr"/>
      <c r="O475">
        <f>(1-Summary!$B$11)*S475+Summary!$B$11*U475</f>
        <v/>
      </c>
      <c r="P475">
        <f>IF(B496=0,0,O475/B496)</f>
        <v/>
      </c>
      <c r="Q475">
        <f>IFERROR(1/IF(Inputs!$B$38="pvp",15,MAX(0.1,Skills!D15-IF(Skills!E15=TRUE,Inputs!$B$32,0))),0)</f>
        <v/>
      </c>
      <c r="R475" t="n">
        <v>0</v>
      </c>
      <c r="S475" t="n">
        <v>0</v>
      </c>
      <c r="U475" t="n">
        <v>0</v>
      </c>
    </row>
    <row r="476">
      <c r="A476">
        <f>Skills!A16</f>
        <v/>
      </c>
      <c r="B476">
        <f>Skills!B16</f>
        <v/>
      </c>
      <c r="C476">
        <f>Inputs!$B$3&gt;=110</f>
        <v/>
      </c>
      <c r="D476">
        <f>IF(Skills!C16=1,60+Inputs!$B$25+Inputs!$B$29,IF(Skills!C16=2,90+Inputs!$B$26+Inputs!$B$29,IF(Skills!C16=3,120+Inputs!$B$27+Inputs!$B$29,MAX(0,(Inputs!$B$3-100)*3)+Inputs!$B$28+Inputs!$B$29)))</f>
        <v/>
      </c>
      <c r="E476">
        <f>INDEX(FactorTable!$B$2:$Y$301, MATCH(ROUND(MIN(300,MAX(1,D476)),0), FactorTable!$A$2:$A$301,0), Skills!L16+1)</f>
        <v/>
      </c>
      <c r="F476">
        <f>(Skills!K16/10)*(E476/1000)*64/45+Skills!N16</f>
        <v/>
      </c>
      <c r="G476">
        <f>Calc!G16</f>
        <v/>
      </c>
      <c r="H476">
        <f>Calc!H16</f>
        <v/>
      </c>
      <c r="I476">
        <f>IF(Skills!T16&lt;&gt;"",1+(Skills!T16/10)*(Z463/1000)/100,1)</f>
        <v/>
      </c>
      <c r="J476" t="inlineStr"/>
      <c r="K476" t="inlineStr"/>
      <c r="L476" t="inlineStr"/>
      <c r="M476" t="inlineStr"/>
      <c r="N476" t="inlineStr"/>
      <c r="O476">
        <f>(1-Summary!$B$11)*S476+Summary!$B$11*U476</f>
        <v/>
      </c>
      <c r="P476">
        <f>IF(B496=0,0,O476/B496)</f>
        <v/>
      </c>
      <c r="Q476">
        <f>IFERROR(1/IF(Inputs!$B$38="pvp",15,MAX(0.1,Skills!D16-IF(Skills!E16=TRUE,Inputs!$B$32,0))),0)</f>
        <v/>
      </c>
      <c r="R476">
        <f>IF(AND(Inputs!$B$38&lt;&gt;"pvp",Inputs!$B$43&gt;0),IF(Inputs!$B$43&lt;=0,0,(INT(Inputs!$B$43/IF(Inputs!$B$38="pvp",15,MAX(0.1,Skills!D16-IF(Skills!E16=TRUE,Inputs!$B$32,0))))+1)),0)</f>
        <v/>
      </c>
      <c r="S476" t="n">
        <v>0</v>
      </c>
      <c r="U476" t="n">
        <v>0</v>
      </c>
    </row>
    <row r="477">
      <c r="A477">
        <f>Skills!A17</f>
        <v/>
      </c>
      <c r="B477">
        <f>Skills!B17</f>
        <v/>
      </c>
      <c r="C477">
        <f>Inputs!$B$3&gt;=33</f>
        <v/>
      </c>
      <c r="D477">
        <f>IF(Skills!C17=1,60+Inputs!$B$25+Inputs!$B$29,IF(Skills!C17=2,90+Inputs!$B$26+Inputs!$B$29,IF(Skills!C17=3,120+Inputs!$B$27+Inputs!$B$29,MAX(0,(Inputs!$B$3-100)*3)+Inputs!$B$28+Inputs!$B$29)))</f>
        <v/>
      </c>
      <c r="E477">
        <f>INDEX(FactorTable!$B$2:$Y$301, MATCH(ROUND(MIN(300,MAX(1,D477)),0), FactorTable!$A$2:$A$301,0), Skills!L17+1)</f>
        <v/>
      </c>
      <c r="F477">
        <f>IF(Skills!M17=TRUE,(Skills!K17/10)*(E477/1000),Skills!K17/10)+Skills!N17</f>
        <v/>
      </c>
      <c r="G477">
        <f>Calc!G17</f>
        <v/>
      </c>
      <c r="H477">
        <f>Calc!H17</f>
        <v/>
      </c>
      <c r="I477">
        <f>IF(Skills!T17&lt;&gt;"",1+(Skills!T17/10)*(Z463/1000)/100,1)</f>
        <v/>
      </c>
      <c r="J477" t="inlineStr"/>
      <c r="K477" t="inlineStr"/>
      <c r="L477" t="inlineStr"/>
      <c r="M477" t="inlineStr"/>
      <c r="N477" t="inlineStr"/>
      <c r="O477">
        <f>(1-Summary!$B$11)*S477+Summary!$B$11*U477</f>
        <v/>
      </c>
      <c r="P477">
        <f>IF(B496=0,0,O477/B496)</f>
        <v/>
      </c>
      <c r="Q477">
        <f>IFERROR(1/IF(Inputs!$B$38="pvp",15,MAX(0.1,Skills!D17-IF(Skills!E17=TRUE,Inputs!$B$32,0))),0)</f>
        <v/>
      </c>
      <c r="R477" t="n">
        <v>0</v>
      </c>
      <c r="S477" t="n">
        <v>0</v>
      </c>
      <c r="U477" t="n">
        <v>0</v>
      </c>
    </row>
    <row r="478">
      <c r="A478">
        <f>Skills!A18</f>
        <v/>
      </c>
      <c r="B478">
        <f>Skills!B18</f>
        <v/>
      </c>
      <c r="C478">
        <f>Inputs!$B$3&gt;=43</f>
        <v/>
      </c>
      <c r="D478">
        <f>IF(Skills!C18=1,60+Inputs!$B$25+Inputs!$B$29,IF(Skills!C18=2,90+Inputs!$B$26+Inputs!$B$29,IF(Skills!C18=3,120+Inputs!$B$27+Inputs!$B$29,MAX(0,(Inputs!$B$3-100)*3)+Inputs!$B$28+Inputs!$B$29)))</f>
        <v/>
      </c>
      <c r="E478">
        <f>INDEX(FactorTable!$B$2:$Y$301, MATCH(ROUND(MIN(300,MAX(1,D478)),0), FactorTable!$A$2:$A$301,0), Skills!L18+1)</f>
        <v/>
      </c>
      <c r="F478">
        <f>IF(Skills!M18=TRUE,(Skills!K18/10)*(E478/1000),Skills!K18/10)+Skills!N18</f>
        <v/>
      </c>
      <c r="G478">
        <f>Calc!G18</f>
        <v/>
      </c>
      <c r="H478">
        <f>Calc!H18</f>
        <v/>
      </c>
      <c r="I478">
        <f>IF(Skills!T18&lt;&gt;"",1+(Skills!T18/10)*(Z463/1000)/100,1)</f>
        <v/>
      </c>
      <c r="J478" t="inlineStr"/>
      <c r="K478" t="inlineStr"/>
      <c r="L478" t="inlineStr"/>
      <c r="M478" t="inlineStr"/>
      <c r="N478" t="inlineStr"/>
      <c r="O478">
        <f>(1-Summary!$B$11)*S478+Summary!$B$11*U478</f>
        <v/>
      </c>
      <c r="P478">
        <f>IF(B496=0,0,O478/B496)</f>
        <v/>
      </c>
      <c r="Q478">
        <f>IFERROR(1/IF(Inputs!$B$38="pvp",15,MAX(0.1,Skills!D18-IF(Skills!E18=TRUE,Inputs!$B$32,0))),0)</f>
        <v/>
      </c>
      <c r="R478" t="n">
        <v>0</v>
      </c>
      <c r="S478" t="n">
        <v>0</v>
      </c>
      <c r="U478" t="n">
        <v>0</v>
      </c>
    </row>
    <row r="479">
      <c r="A479">
        <f>Skills!A19</f>
        <v/>
      </c>
      <c r="B479">
        <f>Skills!B19</f>
        <v/>
      </c>
      <c r="C479">
        <f>Inputs!$B$3&gt;=50</f>
        <v/>
      </c>
      <c r="D479">
        <f>IF(Skills!C19=1,60+Inputs!$B$25+Inputs!$B$29,IF(Skills!C19=2,90+Inputs!$B$26+Inputs!$B$29,IF(Skills!C19=3,120+Inputs!$B$27+Inputs!$B$29,MAX(0,(Inputs!$B$3-100)*3)+Inputs!$B$28+Inputs!$B$29)))</f>
        <v/>
      </c>
      <c r="E479">
        <f>INDEX(FactorTable!$B$2:$Y$301, MATCH(ROUND(MIN(300,MAX(1,D479)),0), FactorTable!$A$2:$A$301,0), Skills!L19+1)</f>
        <v/>
      </c>
      <c r="F479">
        <f>IF(Skills!M19=TRUE,(Skills!K19/10)*(E479/1000),Skills!K19/10)+Skills!N19</f>
        <v/>
      </c>
      <c r="G479">
        <f>Calc!G19</f>
        <v/>
      </c>
      <c r="H479">
        <f>Calc!H19</f>
        <v/>
      </c>
      <c r="I479">
        <f>IF(Skills!T19&lt;&gt;"",1+(Skills!T19/10)*(Z463/1000)/100,1)</f>
        <v/>
      </c>
      <c r="J479" t="inlineStr"/>
      <c r="K479" t="inlineStr"/>
      <c r="L479" t="inlineStr"/>
      <c r="M479" t="inlineStr"/>
      <c r="N479" t="inlineStr"/>
      <c r="O479">
        <f>(1-Summary!$B$11)*S479+Summary!$B$11*U479</f>
        <v/>
      </c>
      <c r="P479">
        <f>IF(B496=0,0,O479/B496)</f>
        <v/>
      </c>
      <c r="Q479">
        <f>IFERROR(1/IF(Inputs!$B$38="pvp",15,MAX(0.1,Skills!D19-IF(Skills!E19=TRUE,Inputs!$B$32,0))),0)</f>
        <v/>
      </c>
      <c r="R479" t="n">
        <v>0</v>
      </c>
      <c r="S479" t="n">
        <v>0</v>
      </c>
      <c r="U479" t="n">
        <v>0</v>
      </c>
    </row>
    <row r="480">
      <c r="A480">
        <f>Skills!A20</f>
        <v/>
      </c>
      <c r="B480">
        <f>Skills!B20</f>
        <v/>
      </c>
      <c r="C480">
        <f>Inputs!$B$3&gt;=74</f>
        <v/>
      </c>
      <c r="D480">
        <f>IF(Skills!C20=1,60+Inputs!$B$25+Inputs!$B$29,IF(Skills!C20=2,90+Inputs!$B$26+Inputs!$B$29,IF(Skills!C20=3,120+Inputs!$B$27+Inputs!$B$29,MAX(0,(Inputs!$B$3-100)*3)+Inputs!$B$28+Inputs!$B$29)))</f>
        <v/>
      </c>
      <c r="E480">
        <f>INDEX(FactorTable!$B$2:$Y$301, MATCH(ROUND(MIN(300,MAX(1,D480)),0), FactorTable!$A$2:$A$301,0), Skills!L20+1)</f>
        <v/>
      </c>
      <c r="F480">
        <f>IF(Skills!M20=TRUE,(Skills!K20/10)*(E480/1000),Skills!K20/10)+Skills!N20</f>
        <v/>
      </c>
      <c r="G480">
        <f>Calc!G20</f>
        <v/>
      </c>
      <c r="H480">
        <f>Calc!H20</f>
        <v/>
      </c>
      <c r="I480">
        <f>IF(Skills!T20&lt;&gt;"",1+(Skills!T20/10)*(Z463/1000)/100,1)</f>
        <v/>
      </c>
      <c r="J480" t="inlineStr"/>
      <c r="K480" t="inlineStr"/>
      <c r="L480" t="inlineStr"/>
      <c r="M480" t="inlineStr"/>
      <c r="N480" t="inlineStr"/>
      <c r="O480">
        <f>(1-Summary!$B$11)*S480+Summary!$B$11*U480</f>
        <v/>
      </c>
      <c r="P480">
        <f>IF(B496=0,0,O480/B496)</f>
        <v/>
      </c>
      <c r="Q480">
        <f>IFERROR(1/IF(Inputs!$B$38="pvp",15,MAX(0.1,Skills!D20-IF(Skills!E20=TRUE,Inputs!$B$32,0))),0)</f>
        <v/>
      </c>
      <c r="R480" t="n">
        <v>0</v>
      </c>
      <c r="S480" t="n">
        <v>0</v>
      </c>
      <c r="U480" t="n">
        <v>0</v>
      </c>
    </row>
    <row r="481">
      <c r="A481">
        <f>Skills!A21</f>
        <v/>
      </c>
      <c r="B481">
        <f>Skills!B21</f>
        <v/>
      </c>
      <c r="C481">
        <f>Inputs!$B$3&gt;=74</f>
        <v/>
      </c>
      <c r="D481">
        <f>IF(Skills!C21=1,60+Inputs!$B$25+Inputs!$B$29,IF(Skills!C21=2,90+Inputs!$B$26+Inputs!$B$29,IF(Skills!C21=3,120+Inputs!$B$27+Inputs!$B$29,MAX(0,(Inputs!$B$3-100)*3)+Inputs!$B$28+Inputs!$B$29)))</f>
        <v/>
      </c>
      <c r="E481">
        <f>INDEX(FactorTable!$B$2:$Y$301, MATCH(ROUND(MIN(300,MAX(1,D481)),0), FactorTable!$A$2:$A$301,0), Skills!L21+1)</f>
        <v/>
      </c>
      <c r="F481">
        <f>IF(Skills!M21=TRUE,(Skills!K21/10)*(E481/1000),Skills!K21/10)+Skills!N21</f>
        <v/>
      </c>
      <c r="G481">
        <f>Calc!G21</f>
        <v/>
      </c>
      <c r="H481">
        <f>Calc!H21</f>
        <v/>
      </c>
      <c r="I481">
        <f>IF(Skills!T21&lt;&gt;"",1+(Skills!T21/10)*(Z463/1000)/100,1)</f>
        <v/>
      </c>
      <c r="J481" t="inlineStr"/>
      <c r="K481" t="inlineStr"/>
      <c r="L481" t="inlineStr"/>
      <c r="M481" t="inlineStr"/>
      <c r="N481" t="inlineStr"/>
      <c r="O481">
        <f>(1-Summary!$B$11)*S481+Summary!$B$11*U481</f>
        <v/>
      </c>
      <c r="P481">
        <f>IF(B496=0,0,O481/B496)</f>
        <v/>
      </c>
      <c r="Q481">
        <f>IFERROR(1/IF(Inputs!$B$38="pvp",15,MAX(0.1,Skills!D21-IF(Skills!E21=TRUE,Inputs!$B$32,0))),0)</f>
        <v/>
      </c>
      <c r="R481" t="n">
        <v>0</v>
      </c>
      <c r="S481" t="n">
        <v>0</v>
      </c>
      <c r="U481" t="n">
        <v>0</v>
      </c>
    </row>
    <row r="482">
      <c r="A482">
        <f>Skills!A22</f>
        <v/>
      </c>
      <c r="B482">
        <f>Skills!B22</f>
        <v/>
      </c>
      <c r="C482">
        <f>Inputs!$B$3&gt;=117</f>
        <v/>
      </c>
      <c r="D482">
        <f>IF(Skills!C22=1,60+Inputs!$B$25+Inputs!$B$29,IF(Skills!C22=2,90+Inputs!$B$26+Inputs!$B$29,IF(Skills!C22=3,120+Inputs!$B$27+Inputs!$B$29,MAX(0,(Inputs!$B$3-100)*3)+Inputs!$B$28+Inputs!$B$29)))</f>
        <v/>
      </c>
      <c r="E482">
        <f>INDEX(FactorTable!$B$2:$Y$301, MATCH(ROUND(MIN(300,MAX(1,D482)),0), FactorTable!$A$2:$A$301,0), Skills!L22+1)</f>
        <v/>
      </c>
      <c r="F482">
        <f>IF(Skills!M22=TRUE,(Skills!K22/10)*(E482/1000),Skills!K22/10)+Skills!N22</f>
        <v/>
      </c>
      <c r="G482">
        <f>Calc!G22</f>
        <v/>
      </c>
      <c r="H482">
        <f>Calc!H22</f>
        <v/>
      </c>
      <c r="I482">
        <f>IF(Skills!T22&lt;&gt;"",1+(Skills!T22/10)*(Z463/1000)/100,1)</f>
        <v/>
      </c>
      <c r="J482" t="inlineStr"/>
      <c r="K482" t="inlineStr"/>
      <c r="L482" t="inlineStr"/>
      <c r="M482" t="inlineStr"/>
      <c r="N482" t="inlineStr"/>
      <c r="O482">
        <f>(1-Summary!$B$11)*S482+Summary!$B$11*U482</f>
        <v/>
      </c>
      <c r="P482">
        <f>IF(B496=0,0,O482/B496)</f>
        <v/>
      </c>
      <c r="Q482">
        <f>IFERROR(1/IF(Inputs!$B$38="pvp",15,MAX(0.1,Skills!D22-IF(Skills!E22=TRUE,Inputs!$B$32,0))),0)</f>
        <v/>
      </c>
      <c r="R482" t="n">
        <v>0</v>
      </c>
      <c r="S482" t="n">
        <v>0</v>
      </c>
      <c r="U482" t="n">
        <v>0</v>
      </c>
    </row>
    <row r="483">
      <c r="A483">
        <f>Skills!A23</f>
        <v/>
      </c>
      <c r="B483">
        <f>Skills!B23</f>
        <v/>
      </c>
      <c r="C483">
        <f>Inputs!$B$3&gt;=120</f>
        <v/>
      </c>
      <c r="D483">
        <f>IF(Skills!C23=1,60+Inputs!$B$25+Inputs!$B$29,IF(Skills!C23=2,90+Inputs!$B$26+Inputs!$B$29,IF(Skills!C23=3,120+Inputs!$B$27+Inputs!$B$29,MAX(0,(Inputs!$B$3-100)*3)+Inputs!$B$28+Inputs!$B$29)))</f>
        <v/>
      </c>
      <c r="E483">
        <f>INDEX(FactorTable!$B$2:$Y$301, MATCH(ROUND(MIN(300,MAX(1,D483)),0), FactorTable!$A$2:$A$301,0), Skills!L23+1)</f>
        <v/>
      </c>
      <c r="F483">
        <f>IF(Skills!M23=TRUE,(Skills!K23/10)*(E483/1000),Skills!K23/10)+Skills!N23</f>
        <v/>
      </c>
      <c r="G483">
        <f>Calc!G23</f>
        <v/>
      </c>
      <c r="H483">
        <f>Calc!H23</f>
        <v/>
      </c>
      <c r="I483">
        <f>IF(Skills!T23&lt;&gt;"",1+(Skills!T23/10)*(Z463/1000)/100,1)</f>
        <v/>
      </c>
      <c r="J483" t="inlineStr"/>
      <c r="K483" t="inlineStr"/>
      <c r="L483" t="inlineStr"/>
      <c r="M483" t="inlineStr"/>
      <c r="N483" t="inlineStr"/>
      <c r="O483">
        <f>(1-Summary!$B$11)*S483+Summary!$B$11*U483</f>
        <v/>
      </c>
      <c r="P483">
        <f>IF(B496=0,0,O483/B496)</f>
        <v/>
      </c>
      <c r="Q483">
        <f>IFERROR(1/IF(Inputs!$B$38="pvp",15,MAX(0.1,Skills!D23-IF(Skills!E23=TRUE,Inputs!$B$32,0))),0)</f>
        <v/>
      </c>
      <c r="R483" t="n">
        <v>0</v>
      </c>
      <c r="S483" t="n">
        <v>0</v>
      </c>
      <c r="U483" t="n">
        <v>0</v>
      </c>
    </row>
    <row r="486">
      <c r="A486" t="inlineStr">
        <is>
          <t>Average Buff Multiplier (Magic Guard + Meditation + Artifact Attack%, summed; then Infinity)</t>
        </is>
      </c>
      <c r="B486">
        <f>(1+(IF(C463=TRUE,F463*IF(AND(Inputs!$B$38&lt;&gt;"pvp",Inputs!$B$43&gt;0),(((R463-1)*(Skills!S3*(1+(Inputs!$B$34+IF(Inputs!$B$3&gt;=117,F482,0))/100))+MIN((Skills!S3*(1+(Inputs!$B$34+IF(Inputs!$B$3&gt;=117,F482,0))/100)),MAX(0,Inputs!$B$43-((R463-1)*Skills!D3))))/Inputs!$B$43),IF(Inputs!$B$38="pvp",MIN((Skills!S3*(1+(Inputs!$B$34+IF(Inputs!$B$3&gt;=117,F482,0))/100)),15)/15,(Skills!S3*(1+(Inputs!$B$34+IF(Inputs!$B$3&gt;=117,F482,0))/100))/Skills!D3)),0)+IF(C464=TRUE,F464*IF(AND(Inputs!$B$38&lt;&gt;"pvp",Inputs!$B$43&gt;0),(((R464-1)*(Skills!S4*(1+(Inputs!$B$34+IF(Inputs!$B$3&gt;=117,F482,0))/100))+MIN((Skills!S4*(1+(Inputs!$B$34+IF(Inputs!$B$3&gt;=117,F482,0))/100)),MAX(0,Inputs!$B$43-((R464-1)*Skills!D4))))/Inputs!$B$43),IF(Inputs!$B$38="pvp",MIN((Skills!S4*(1+(Inputs!$B$34+IF(Inputs!$B$3&gt;=117,F482,0))/100)),15)/15,(Skills!S4*(1+(Inputs!$B$34+IF(Inputs!$B$3&gt;=117,F482,0)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476=TRUE,(1+F476*IF(AND(Inputs!$B$38&lt;&gt;"pvp",Inputs!$B$43&gt;0),(((R476-1)*(Skills!S16*(1+(Inputs!$B$34+IF(Inputs!$B$3&gt;=117,F482,0))/100))+MIN((Skills!S16*(1+(Inputs!$B$34+IF(Inputs!$B$3&gt;=117,F482,0))/100)),MAX(0,Inputs!$B$43-((R476-1)*Skills!D16))))/Inputs!$B$43),IF(Inputs!$B$38="pvp",MIN((Skills!S16*(1+(Inputs!$B$34+IF(Inputs!$B$3&gt;=117,F482,0))/100)),15)/15,(Skills!S16*(1+(Inputs!$B$34+IF(Inputs!$B$3&gt;=117,F482,0))/100))/Skills!D16))/100),1)</f>
        <v/>
      </c>
    </row>
    <row r="487">
      <c r="A487" t="inlineStr">
        <is>
          <t>Monster Damage Taken Bonus % (Freezing Breath - Weaken + Elemental Reset + Artifact Enemy Damage Taken, summed)</t>
        </is>
      </c>
      <c r="B487">
        <f>IF(Inputs!$B$3&gt;=118,15*IF(Inputs!$B$38="pvp",MIN((30*(1+(Inputs!$B$34+IF(Inputs!$B$3&gt;=117,F482,0))/100)),15)/15,(30*(1+(Inputs!$B$34+IF(Inputs!$B$3&gt;=117,F482,0))/100))/Skills!D8),0)+IF(C474=TRUE,F474,0)+(IF(AND(ArtifactsInput!$M$35,Inputs!$B$4&lt;&gt;"Chapter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f>
        <v/>
      </c>
    </row>
    <row r="488">
      <c r="A488" t="inlineStr">
        <is>
          <t>Damage % Bonus (Frozen Break + Frost Clutch, flat)</t>
        </is>
      </c>
      <c r="B488">
        <f>IF(Inputs!$B$3&gt;=66,15,0)+IF(Inputs!$B$3&gt;=98,10,0)+IF(Inputs!$B$3&gt;=125,20,0)</f>
        <v/>
      </c>
    </row>
    <row r="489">
      <c r="A489" t="inlineStr">
        <is>
          <t>Attack Speed Bonus % (MP Eater - MP Boost, always-on once unlocked)</t>
        </is>
      </c>
      <c r="B489">
        <f>IF(C473=TRUE,F473+(F477-Calc!F17),0)</f>
        <v/>
      </c>
    </row>
    <row r="490">
      <c r="A490" t="inlineStr">
        <is>
          <t>Actions Per Second</t>
        </is>
      </c>
      <c r="B490">
        <f>1+MIN(150,150*(1-(1-(Inputs!$B$11+(ArtifactsInput!$M$15-ArtifactsInput!$M$15)*CHOOSE(ArtifactsInput!$N$15+1,8,9.6,11.2,12.8,14.4,16))/150)*(1-B489/150)))/100</f>
        <v/>
      </c>
    </row>
    <row r="491">
      <c r="A491" t="inlineStr">
        <is>
          <t>Skill + Buff Cast Rate</t>
        </is>
      </c>
      <c r="B491">
        <f>IF(AND(Inputs!$B$38&lt;&gt;"pvp",Inputs!$B$43&gt;0),SUMPRODUCT((Skills!E2:E23=TRUE)*(C462:C483=TRUE)*R462:R483)/Inputs!$B$43,SUMPRODUCT((Skills!E2:E23=TRUE)*(C462:C483=TRUE)*Q462:Q483))</f>
        <v/>
      </c>
    </row>
    <row r="492">
      <c r="A492" t="inlineStr">
        <is>
          <t>Chain Lightning Casts Per Second</t>
        </is>
      </c>
      <c r="B492">
        <f>MAX(0,B490-B491)</f>
        <v/>
      </c>
    </row>
    <row r="493">
      <c r="A493" t="inlineStr">
        <is>
          <t>Buff-Casting Startup Delay (s, fixed-duration only)</t>
        </is>
      </c>
      <c r="B493">
        <f>IF(AND(Inputs!$B$38&lt;&gt;"pvp",Inputs!$B$43&gt;0),SUMPRODUCT((Skills!S2:S23&gt;0)*(Skills!E2:E23=TRUE)*(C462:C483=TRUE))/B490,0)</f>
        <v/>
      </c>
    </row>
    <row r="494">
      <c r="A494" t="inlineStr">
        <is>
          <t>Boss-Only Total DPS (this block's swept value)</t>
        </is>
      </c>
      <c r="B494">
        <f>SUM(S462:S483)</f>
        <v/>
      </c>
    </row>
    <row r="495">
      <c r="A495" t="inlineStr">
        <is>
          <t>Normal-Only Total DPS (this block's swept value)</t>
        </is>
      </c>
      <c r="B495">
        <f>SUM(U462:U483)</f>
        <v/>
      </c>
    </row>
    <row r="496">
      <c r="A496" s="6" t="inlineStr">
        <is>
          <t>TOTAL DPS</t>
        </is>
      </c>
      <c r="B496" s="6">
        <f>SUM(O462:O483)</f>
        <v/>
      </c>
    </row>
    <row r="499">
      <c r="A499" s="6" t="inlineStr">
        <is>
          <t>Stat: ATTACK_SPEED % (diminishing returns, factor 150)</t>
        </is>
      </c>
    </row>
    <row r="500">
      <c r="A500" s="5" t="inlineStr">
        <is>
          <t>Key</t>
        </is>
      </c>
      <c r="B500" s="5" t="inlineStr">
        <is>
          <t>Name</t>
        </is>
      </c>
      <c r="C500" s="5" t="inlineStr">
        <is>
          <t>Unlocked</t>
        </is>
      </c>
      <c r="D500" s="5" t="inlineStr">
        <is>
          <t>InputLevel</t>
        </is>
      </c>
      <c r="E500" s="5" t="inlineStr">
        <is>
          <t>Factor</t>
        </is>
      </c>
      <c r="F500" s="5" t="inlineStr">
        <is>
          <t>CoefficientPercent</t>
        </is>
      </c>
      <c r="G500" s="5" t="inlineStr">
        <is>
          <t>EffectiveHits</t>
        </is>
      </c>
      <c r="H500" s="5" t="inlineStr">
        <is>
          <t>ProcProbability</t>
        </is>
      </c>
      <c r="I500" s="5" t="inlineStr">
        <is>
          <t>MapleHeroMultiplier</t>
        </is>
      </c>
      <c r="J500" s="5" t="inlineStr">
        <is>
          <t>BaseDamage</t>
        </is>
      </c>
      <c r="K500" s="5" t="inlineStr">
        <is>
          <t>BaseHitDamage</t>
        </is>
      </c>
      <c r="L500" s="5" t="inlineStr">
        <is>
          <t>NonCritAvg</t>
        </is>
      </c>
      <c r="M500" s="5" t="inlineStr">
        <is>
          <t>CritAvg</t>
        </is>
      </c>
      <c r="N500" s="5" t="inlineStr">
        <is>
          <t>ExpectedDamage(perHit)</t>
        </is>
      </c>
      <c r="O500" s="5" t="inlineStr">
        <is>
          <t>DPS</t>
        </is>
      </c>
      <c r="P500" s="5" t="inlineStr">
        <is>
          <t>% of Total</t>
        </is>
      </c>
      <c r="R500" t="inlineStr">
        <is>
          <t>helpers</t>
        </is>
      </c>
    </row>
    <row r="501">
      <c r="A501">
        <f>Skills!A2</f>
        <v/>
      </c>
      <c r="B501">
        <f>Skills!B2</f>
        <v/>
      </c>
      <c r="C501">
        <f>Inputs!$B$3&gt;=100</f>
        <v/>
      </c>
      <c r="D501" t="inlineStr"/>
      <c r="E501" t="inlineStr"/>
      <c r="F501">
        <f>T503+Skills!N2</f>
        <v/>
      </c>
      <c r="G501">
        <f>Calc!G2</f>
        <v/>
      </c>
      <c r="H501">
        <f>Calc!H2</f>
        <v/>
      </c>
      <c r="I501">
        <f>IF(Skills!T2&lt;&gt;"",1+(Skills!T2/10)*(Z502/1000)/100,1)</f>
        <v/>
      </c>
      <c r="J501">
        <f>((Inputs!$B$6*(1+Inputs!$B$7/100))+(((Inputs!$B$12*(1+Inputs!$B$13/100))-(Inputs!$B$12*(1+Inputs!$B$13/100)))+0.25*(Inputs!$B$14-Inputs!$B$14))*(1+Inputs!$B$7/100))*(F501/100)</f>
        <v/>
      </c>
      <c r="K501">
        <f>J501*(1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501)</f>
        <v/>
      </c>
      <c r="L501">
        <f>K501*(MIN(Inputs!$B$22+(F517-Calc!F18),(Inputs!$B$23+(IF(ArtifactsInput!$M$15,CHOOSE(ArtifactsInput!$N$15+1,25,30,35,40,45,50)/100*(((1-(1-Inputs!$B$11/150)*(1-1/150))*150)-Inputs!$B$11),0))))/100+(Inputs!$B$23+(IF(ArtifactsInput!$M$15,CHOOSE(ArtifactsInput!$N$15+1,25,30,35,40,45,50)/100*(((1-(1-Inputs!$B$11/150)*(1-1/150))*150)-Inputs!$B$11),0)))/100)/2</f>
        <v/>
      </c>
      <c r="M501">
        <f>L501*(1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1">
        <f>L501*(1-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(1-Summary!$B$11)*S501+Summary!$B$11*U501</f>
        <v/>
      </c>
      <c r="P501">
        <f>IF(B535=0,0,O501/B535)</f>
        <v/>
      </c>
      <c r="Q501">
        <f>IFERROR(1/IF(Inputs!$B$38="pvp",15,MAX(0.1,Skills!D2-IF(Skills!E2=TRUE,Inputs!$B$32,0))),0)</f>
        <v/>
      </c>
      <c r="R501" t="n">
        <v>0</v>
      </c>
      <c r="S501">
        <f>IF(C501,(Skills!F2*N501*B531)*IF(Inputs!$B$38="pvp",1,1+(Inputs!$B$20+Skills!O2+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01">
        <f>MAX(0,(Inputs!$B$3-100)*3)+Inputs!$B$28+Inputs!$B$29</f>
        <v/>
      </c>
      <c r="U501">
        <f>IF(C501,(Skills!F2*N501*B531)*IF(Inputs!$B$38="pvp",1,(1+(Inputs!$B$21+Skills!P2+B526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01">
        <f>MAX(0,(Inputs!$B$3-100)*3)+Inputs!$B$28+Inputs!$B$29</f>
        <v/>
      </c>
    </row>
    <row r="502">
      <c r="A502">
        <f>Skills!A3</f>
        <v/>
      </c>
      <c r="B502">
        <f>Skills!B3</f>
        <v/>
      </c>
      <c r="C502">
        <f>Inputs!$B$3&gt;=15</f>
        <v/>
      </c>
      <c r="D502">
        <f>IF(Skills!C3=1,60+Inputs!$B$25+Inputs!$B$29,IF(Skills!C3=2,90+Inputs!$B$26+Inputs!$B$29,IF(Skills!C3=3,120+Inputs!$B$27+Inputs!$B$29,MAX(0,(Inputs!$B$3-100)*3)+Inputs!$B$28+Inputs!$B$29)))</f>
        <v/>
      </c>
      <c r="E502">
        <f>INDEX(FactorTable!$B$2:$Y$301, MATCH(ROUND(MIN(300,MAX(1,D502)),0), FactorTable!$A$2:$A$301,0), Skills!L3+1)</f>
        <v/>
      </c>
      <c r="F502">
        <f>IF(Skills!M3=TRUE,(Skills!K3/10)*(E502/1000),Skills!K3/10)+Skills!N3</f>
        <v/>
      </c>
      <c r="G502">
        <f>Calc!G3</f>
        <v/>
      </c>
      <c r="H502">
        <f>Calc!H3</f>
        <v/>
      </c>
      <c r="I502">
        <f>IF(Skills!T3&lt;&gt;"",1+(Skills!T3/10)*(Z502/1000)/100,1)</f>
        <v/>
      </c>
      <c r="J502" t="inlineStr"/>
      <c r="K502" t="inlineStr"/>
      <c r="L502" t="inlineStr"/>
      <c r="M502" t="inlineStr"/>
      <c r="N502" t="inlineStr"/>
      <c r="O502">
        <f>(1-Summary!$B$11)*S502+Summary!$B$11*U502</f>
        <v/>
      </c>
      <c r="P502">
        <f>IF(B535=0,0,O502/B535)</f>
        <v/>
      </c>
      <c r="Q502">
        <f>IFERROR(1/IF(Inputs!$B$38="pvp",15,MAX(0.1,Skills!D3-IF(Skills!E3=TRUE,Inputs!$B$32,0))),0)</f>
        <v/>
      </c>
      <c r="R502">
        <f>IF(AND(Inputs!$B$38&lt;&gt;"pvp",Inputs!$B$43&gt;0),IF(Inputs!$B$43&lt;=0,0,(INT(Inputs!$B$43/IF(Inputs!$B$38="pvp",15,MAX(0.1,Skills!D3-IF(Skills!E3=TRUE,Inputs!$B$32,0))))+1)),0)</f>
        <v/>
      </c>
      <c r="S502" t="n">
        <v>0</v>
      </c>
      <c r="T502">
        <f>INDEX(FactorTable!$B$2:$Y$301, MATCH(ROUND(MIN(300,MAX(1,T501)),0), FactorTable!$A$2:$A$301,0), 22)</f>
        <v/>
      </c>
      <c r="U502" t="n">
        <v>0</v>
      </c>
      <c r="Z502">
        <f>INDEX(FactorTable!$B$2:$Y$301, MATCH(ROUND(MIN(300,MAX(1,Z501)),0), FactorTable!$A$2:$A$301,0), 24)</f>
        <v/>
      </c>
    </row>
    <row r="503">
      <c r="A503">
        <f>Skills!A4</f>
        <v/>
      </c>
      <c r="B503">
        <f>Skills!B4</f>
        <v/>
      </c>
      <c r="C503">
        <f>Inputs!$B$3&gt;=40</f>
        <v/>
      </c>
      <c r="D503">
        <f>IF(Skills!C4=1,60+Inputs!$B$25+Inputs!$B$29,IF(Skills!C4=2,90+Inputs!$B$26+Inputs!$B$29,IF(Skills!C4=3,120+Inputs!$B$27+Inputs!$B$29,MAX(0,(Inputs!$B$3-100)*3)+Inputs!$B$28+Inputs!$B$29)))</f>
        <v/>
      </c>
      <c r="E503">
        <f>INDEX(FactorTable!$B$2:$Y$301, MATCH(ROUND(MIN(300,MAX(1,D503)),0), FactorTable!$A$2:$A$301,0), Skills!L4+1)</f>
        <v/>
      </c>
      <c r="F503">
        <f>IF(Skills!M4=TRUE,(Skills!K4/10)*(E503/1000),Skills!K4/10)+Skills!N4</f>
        <v/>
      </c>
      <c r="G503">
        <f>Calc!G4</f>
        <v/>
      </c>
      <c r="H503">
        <f>Calc!H4</f>
        <v/>
      </c>
      <c r="I503">
        <f>IF(Skills!T4&lt;&gt;"",1+(Skills!T4/10)*(Z502/1000)/100,1)</f>
        <v/>
      </c>
      <c r="J503" t="inlineStr"/>
      <c r="K503" t="inlineStr"/>
      <c r="L503" t="inlineStr"/>
      <c r="M503" t="inlineStr"/>
      <c r="N503" t="inlineStr"/>
      <c r="O503">
        <f>(1-Summary!$B$11)*S503+Summary!$B$11*U503</f>
        <v/>
      </c>
      <c r="P503">
        <f>IF(B535=0,0,O503/B535)</f>
        <v/>
      </c>
      <c r="Q503">
        <f>IFERROR(1/IF(Inputs!$B$38="pvp",15,MAX(0.1,Skills!D4-IF(Skills!E4=TRUE,Inputs!$B$32,0))),0)</f>
        <v/>
      </c>
      <c r="R503">
        <f>IF(AND(Inputs!$B$38&lt;&gt;"pvp",Inputs!$B$43&gt;0),IF(Inputs!$B$43&lt;=0,0,(INT(Inputs!$B$43/IF(Inputs!$B$38="pvp",15,MAX(0.1,Skills!D4-IF(Skills!E4=TRUE,Inputs!$B$32,0))))+1)),0)</f>
        <v/>
      </c>
      <c r="S503" t="n">
        <v>0</v>
      </c>
      <c r="T503">
        <f>290*T502/1000</f>
        <v/>
      </c>
      <c r="U503" t="n">
        <v>0</v>
      </c>
    </row>
    <row r="504">
      <c r="A504">
        <f>Skills!A5</f>
        <v/>
      </c>
      <c r="B504">
        <f>Skills!B5</f>
        <v/>
      </c>
      <c r="C504">
        <f>Inputs!$B$3&gt;=38</f>
        <v/>
      </c>
      <c r="D504">
        <f>IF(Skills!C5=1,60+Inputs!$B$25+Inputs!$B$29,IF(Skills!C5=2,90+Inputs!$B$26+Inputs!$B$29,IF(Skills!C5=3,120+Inputs!$B$27+Inputs!$B$29,MAX(0,(Inputs!$B$3-100)*3)+Inputs!$B$28+Inputs!$B$29)))</f>
        <v/>
      </c>
      <c r="E504">
        <f>INDEX(FactorTable!$B$2:$Y$301, MATCH(ROUND(MIN(300,MAX(1,D504)),0), FactorTable!$A$2:$A$301,0), Skills!L5+1)</f>
        <v/>
      </c>
      <c r="F504">
        <f>IF(Skills!M5=TRUE,(Skills!K5/10)*(E504/1000),Skills!K5/10)+Skills!N5</f>
        <v/>
      </c>
      <c r="G504">
        <f>Calc!G5</f>
        <v/>
      </c>
      <c r="H504">
        <f>Calc!H5</f>
        <v/>
      </c>
      <c r="I504">
        <f>IF(Skills!T5&lt;&gt;"",1+(Skills!T5/10)*(Z502/1000)/100,1)</f>
        <v/>
      </c>
      <c r="J504">
        <f>((Inputs!$B$6*(1+Inputs!$B$7/100))+(((Inputs!$B$12*(1+Inputs!$B$13/100))-(Inputs!$B$12*(1+Inputs!$B$13/100)))+0.25*(Inputs!$B$14-Inputs!$B$14))*(1+Inputs!$B$7/100))*(F504/100)</f>
        <v/>
      </c>
      <c r="K504">
        <f>J504*(1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F517-Calc!F18),(Inputs!$B$23+(IF(ArtifactsInput!$M$15,CHOOSE(ArtifactsInput!$N$15+1,25,30,35,40,45,50)/100*(((1-(1-Inputs!$B$11/150)*(1-1/150))*150)-Inputs!$B$11),0))))/100+(Inputs!$B$23+(IF(ArtifactsInput!$M$15,CHOOSE(ArtifactsInput!$N$15+1,25,30,35,40,45,50)/100*(((1-(1-Inputs!$B$11/150)*(1-1/150))*150)-Inputs!$B$11),0)))/100)/2</f>
        <v/>
      </c>
      <c r="M504">
        <f>L504*(1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(1-Summary!$B$11)*S504+Summary!$B$11*U504</f>
        <v/>
      </c>
      <c r="P504">
        <f>IF(B535=0,0,O504/B535)</f>
        <v/>
      </c>
      <c r="Q504">
        <f>IFERROR(1/IF(Inputs!$B$38="pvp",15,MAX(0.1,Skills!D5-IF(Skills!E5=TRUE,Inputs!$B$32,0))),0)</f>
        <v/>
      </c>
      <c r="R504">
        <f>IF(AND(Inputs!$B$38&lt;&gt;"pvp",Inputs!$B$43&gt;0),IF(MAX(0,Inputs!$B$43-B532)&lt;=0,0,(INT(MAX(0,Inputs!$B$43-B532)/IF(Inputs!$B$38="pvp",15,MAX(0.1,Skills!D5-IF(Skills!E5=TRUE,Inputs!$B$32,0))))+1)),0)</f>
        <v/>
      </c>
      <c r="S504">
        <f>IF(C504,(H504*N504*IF(AND(Inputs!$B$38&lt;&gt;"pvp",Inputs!$B$43&gt;0),((Skills!F5*((R504-1)*IF(Skills!G5&gt;0,Skills!H5/Skills!G5,1)+IF(Skills!G5&gt;0,MIN(Skills!H5,MAX(0,MAX(0,Inputs!$B$43-B532)-((R504-1)*IF(Inputs!$B$38="pvp",15,MAX(0.1,Skills!D5-IF(Skills!E5=TRUE,Inputs!$B$32,0))))))/Skills!G5,1)))/Inputs!$B$43),G504*Q504))*IF(Inputs!$B$38="pvp",1,1+(Inputs!$B$20+Skills!O5+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504*(1-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IF(C504,(H504*N504*IF(AND(Inputs!$B$38&lt;&gt;"pvp",Inputs!$B$43&gt;0),((Skills!F5*((R504-1)*IF(Skills!G5&gt;0,Skills!H5/Skills!G5,1)+IF(Skills!G5&gt;0,MIN(Skills!H5,MAX(0,MAX(0,Inputs!$B$43-B532)-((R504-1)*IF(Inputs!$B$38="pvp",15,MAX(0.1,Skills!D5-IF(Skills!E5=TRUE,Inputs!$B$32,0))))))/Skills!G5,1)))/Inputs!$B$43),G504*Q504))*IF(Inputs!$B$38="pvp",1,(1+(Inputs!$B$21+Skills!P5+B526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Skills!A6</f>
        <v/>
      </c>
      <c r="B505">
        <f>Skills!B6</f>
        <v/>
      </c>
      <c r="C505">
        <f>Inputs!$B$3&gt;=63</f>
        <v/>
      </c>
      <c r="D505">
        <f>IF(Skills!C6=1,60+Inputs!$B$25+Inputs!$B$29,IF(Skills!C6=2,90+Inputs!$B$26+Inputs!$B$29,IF(Skills!C6=3,120+Inputs!$B$27+Inputs!$B$29,MAX(0,(Inputs!$B$3-100)*3)+Inputs!$B$28+Inputs!$B$29)))</f>
        <v/>
      </c>
      <c r="E505">
        <f>INDEX(FactorTable!$B$2:$Y$301, MATCH(ROUND(MIN(300,MAX(1,D505)),0), FactorTable!$A$2:$A$301,0), Skills!L6+1)</f>
        <v/>
      </c>
      <c r="F505">
        <f>IF(Skills!M6=TRUE,(Skills!K6/10)*(E505/1000),Skills!K6/10)+Skills!N6</f>
        <v/>
      </c>
      <c r="G505">
        <f>Calc!G6</f>
        <v/>
      </c>
      <c r="H505">
        <f>Calc!H6</f>
        <v/>
      </c>
      <c r="I505">
        <f>IF(Skills!T6&lt;&gt;"",1+(Skills!T6/10)*(Z502/1000)/100,1)</f>
        <v/>
      </c>
      <c r="J505">
        <f>((Inputs!$B$6*(1+Inputs!$B$7/100))+(((Inputs!$B$12*(1+Inputs!$B$13/100))-(Inputs!$B$12*(1+Inputs!$B$13/100)))+0.25*(Inputs!$B$14-Inputs!$B$14))*(1+Inputs!$B$7/100))*(F505/100)</f>
        <v/>
      </c>
      <c r="K505">
        <f>J505*(1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F517-Calc!F18),(Inputs!$B$23+(IF(ArtifactsInput!$M$15,CHOOSE(ArtifactsInput!$N$15+1,25,30,35,40,45,50)/100*(((1-(1-Inputs!$B$11/150)*(1-1/150))*150)-Inputs!$B$11),0))))/100+(Inputs!$B$23+(IF(ArtifactsInput!$M$15,CHOOSE(ArtifactsInput!$N$15+1,25,30,35,40,45,50)/100*(((1-(1-Inputs!$B$11/150)*(1-1/150))*150)-Inputs!$B$11),0)))/100)/2</f>
        <v/>
      </c>
      <c r="M505">
        <f>L505*(1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5">
        <f>L505*(1-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(1-Summary!$B$11)*S505+Summary!$B$11*U505</f>
        <v/>
      </c>
      <c r="P505">
        <f>IF(B535=0,0,O505/B535)</f>
        <v/>
      </c>
      <c r="Q505">
        <f>IFERROR(1/IF(Inputs!$B$38="pvp",15,MAX(0.1,Skills!D6-IF(Skills!E6=TRUE,Inputs!$B$32,0))),0)</f>
        <v/>
      </c>
      <c r="R505">
        <f>IF(AND(Inputs!$B$38&lt;&gt;"pvp",Inputs!$B$43&gt;0),IF(MAX(0,Inputs!$B$43-B532)&lt;=0,0,(INT(MAX(0,Inputs!$B$43-B532)/IF(Inputs!$B$38="pvp",15,MAX(0.1,Skills!D6-IF(Skills!E6=TRUE,Inputs!$B$32,0))))+1)),0)</f>
        <v/>
      </c>
      <c r="S505">
        <f>IF(C505,(H505*N505*IF(AND(Inputs!$B$38&lt;&gt;"pvp",Inputs!$B$43&gt;0),((Skills!F6*((R505-1)*IF(Skills!G6&gt;0,Skills!H6/Skills!G6,1)+IF(Skills!G6&gt;0,MIN(Skills!H6,MAX(0,MAX(0,Inputs!$B$43-B532)-((R505-1)*IF(Inputs!$B$38="pvp",15,MAX(0.1,Skills!D6-IF(Skills!E6=TRUE,Inputs!$B$32,0))))))/Skills!G6,1)))/Inputs!$B$43),G505*Q505))*IF(Inputs!$B$38="pvp",1,1+(Inputs!$B$20+Skills!O6+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505*(1-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IF(C505,(H505*N505*IF(AND(Inputs!$B$38&lt;&gt;"pvp",Inputs!$B$43&gt;0),((Skills!F6*((R505-1)*IF(Skills!G6&gt;0,Skills!H6/Skills!G6,1)+IF(Skills!G6&gt;0,MIN(Skills!H6,MAX(0,MAX(0,Inputs!$B$43-B532)-((R505-1)*IF(Inputs!$B$38="pvp",15,MAX(0.1,Skills!D6-IF(Skills!E6=TRUE,Inputs!$B$32,0))))))/Skills!G6,1)))/Inputs!$B$43),G505*Q505))*IF(Inputs!$B$38="pvp",1,(1+(Inputs!$B$21+Skills!P6+B526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Skills!A7</f>
        <v/>
      </c>
      <c r="B506">
        <f>Skills!B7</f>
        <v/>
      </c>
      <c r="C506">
        <f>Inputs!$B$3&gt;=69</f>
        <v/>
      </c>
      <c r="D506">
        <f>IF(Skills!C7=1,60+Inputs!$B$25+Inputs!$B$29,IF(Skills!C7=2,90+Inputs!$B$26+Inputs!$B$29,IF(Skills!C7=3,120+Inputs!$B$27+Inputs!$B$29,MAX(0,(Inputs!$B$3-100)*3)+Inputs!$B$28+Inputs!$B$29)))</f>
        <v/>
      </c>
      <c r="E506">
        <f>INDEX(FactorTable!$B$2:$Y$301, MATCH(ROUND(MIN(300,MAX(1,D506)),0), FactorTable!$A$2:$A$301,0), Skills!L7+1)</f>
        <v/>
      </c>
      <c r="F506">
        <f>IF(Skills!M7=TRUE,(Skills!K7/10)*(E506/1000),Skills!K7/10)+Skills!N7</f>
        <v/>
      </c>
      <c r="G506">
        <f>Calc!G7</f>
        <v/>
      </c>
      <c r="H506">
        <f>Calc!H7</f>
        <v/>
      </c>
      <c r="I506">
        <f>IF(Skills!T7&lt;&gt;"",1+(Skills!T7/10)*(Z502/1000)/100,1)</f>
        <v/>
      </c>
      <c r="J506">
        <f>((Inputs!$B$6*(1+Inputs!$B$7/100))+(((Inputs!$B$12*(1+Inputs!$B$13/100))-(Inputs!$B$12*(1+Inputs!$B$13/100)))+0.25*(Inputs!$B$14-Inputs!$B$14))*(1+Inputs!$B$7/100))*(F506/100)</f>
        <v/>
      </c>
      <c r="K506">
        <f>J506*(1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F517-Calc!F18),(Inputs!$B$23+(IF(ArtifactsInput!$M$15,CHOOSE(ArtifactsInput!$N$15+1,25,30,35,40,45,50)/100*(((1-(1-Inputs!$B$11/150)*(1-1/150))*150)-Inputs!$B$11),0))))/100+(Inputs!$B$23+(IF(ArtifactsInput!$M$15,CHOOSE(ArtifactsInput!$N$15+1,25,30,35,40,45,50)/100*(((1-(1-Inputs!$B$11/150)*(1-1/150))*150)-Inputs!$B$11),0)))/100)/2</f>
        <v/>
      </c>
      <c r="M506">
        <f>L506*(1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(1-Summary!$B$11)*S506+Summary!$B$11*U506</f>
        <v/>
      </c>
      <c r="P506">
        <f>IF(B535=0,0,O506/B535)</f>
        <v/>
      </c>
      <c r="Q506">
        <f>IFERROR(1/IF(Inputs!$B$38="pvp",15,MAX(0.1,Skills!D7-IF(Skills!E7=TRUE,Inputs!$B$32,0))),0)</f>
        <v/>
      </c>
      <c r="R506">
        <f>IF(AND(Inputs!$B$38&lt;&gt;"pvp",Inputs!$B$43&gt;0),IF(MAX(0,Inputs!$B$43-B532)&lt;=0,0,(INT(MAX(0,Inputs!$B$43-B532)/IF(Inputs!$B$38="pvp",15,MAX(0.1,Skills!D7-IF(Skills!E7=TRUE,Inputs!$B$32,0))))+1)),0)</f>
        <v/>
      </c>
      <c r="S506">
        <f>IF(C506,(H506*N506*IF(AND(Inputs!$B$38&lt;&gt;"pvp",Inputs!$B$43&gt;0),((Skills!F7*((R506-1)*IF(Skills!G7&gt;0,Skills!H7/Skills!G7,1)+IF(Skills!G7&gt;0,MIN(Skills!H7,MAX(0,MAX(0,Inputs!$B$43-B532)-((R506-1)*IF(Inputs!$B$38="pvp",15,MAX(0.1,Skills!D7-IF(Skills!E7=TRUE,Inputs!$B$32,0))))))/Skills!G7,1)))/Inputs!$B$43),G506*Q506))*IF(Inputs!$B$38="pvp",1,1+(Inputs!$B$20+Skills!O7+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506*(1-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6">
        <f>IF(C506,(H506*N506*IF(AND(Inputs!$B$38&lt;&gt;"pvp",Inputs!$B$43&gt;0),((Skills!F7*((R506-1)*IF(Skills!G7&gt;0,Skills!H7/Skills!G7,1)+IF(Skills!G7&gt;0,MIN(Skills!H7,MAX(0,MAX(0,Inputs!$B$43-B532)-((R506-1)*IF(Inputs!$B$38="pvp",15,MAX(0.1,Skills!D7-IF(Skills!E7=TRUE,Inputs!$B$32,0))))))/Skills!G7,1)))/Inputs!$B$43),G506*Q506))*IF(Inputs!$B$38="pvp",1,(1+(Inputs!$B$21+Skills!P7+B526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Skills!A8</f>
        <v/>
      </c>
      <c r="B507">
        <f>Skills!B8</f>
        <v/>
      </c>
      <c r="C507">
        <f>Inputs!$B$3&gt;=103</f>
        <v/>
      </c>
      <c r="D507">
        <f>IF(Skills!C8=1,60+Inputs!$B$25+Inputs!$B$29,IF(Skills!C8=2,90+Inputs!$B$26+Inputs!$B$29,IF(Skills!C8=3,120+Inputs!$B$27+Inputs!$B$29,MAX(0,(Inputs!$B$3-100)*3)+Inputs!$B$28+Inputs!$B$29)))</f>
        <v/>
      </c>
      <c r="E507">
        <f>INDEX(FactorTable!$B$2:$Y$301, MATCH(ROUND(MIN(300,MAX(1,D507)),0), FactorTable!$A$2:$A$301,0), Skills!L8+1)</f>
        <v/>
      </c>
      <c r="F507">
        <f>IF(Skills!M8=TRUE,(Skills!K8/10)*(E507/1000),Skills!K8/10)+Skills!N8</f>
        <v/>
      </c>
      <c r="G507">
        <f>Calc!G8</f>
        <v/>
      </c>
      <c r="H507">
        <f>Calc!H8</f>
        <v/>
      </c>
      <c r="I507">
        <f>IF(Skills!T8&lt;&gt;"",1+(Skills!T8/10)*(Z502/1000)/100,1)</f>
        <v/>
      </c>
      <c r="J507">
        <f>((Inputs!$B$6*(1+Inputs!$B$7/100))+(((Inputs!$B$12*(1+Inputs!$B$13/100))-(Inputs!$B$12*(1+Inputs!$B$13/100)))+0.25*(Inputs!$B$14-Inputs!$B$14))*(1+Inputs!$B$7/100))*(F507/100)</f>
        <v/>
      </c>
      <c r="K507">
        <f>J507*(1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F517-Calc!F18),(Inputs!$B$23+(IF(ArtifactsInput!$M$15,CHOOSE(ArtifactsInput!$N$15+1,25,30,35,40,45,50)/100*(((1-(1-Inputs!$B$11/150)*(1-1/150))*150)-Inputs!$B$11),0))))/100+(Inputs!$B$23+(IF(ArtifactsInput!$M$15,CHOOSE(ArtifactsInput!$N$15+1,25,30,35,40,45,50)/100*(((1-(1-Inputs!$B$11/150)*(1-1/150))*150)-Inputs!$B$11),0)))/100)/2</f>
        <v/>
      </c>
      <c r="M507">
        <f>L507*(1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7">
        <f>L507*(1-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(1-Summary!$B$11)*S507+Summary!$B$11*U507</f>
        <v/>
      </c>
      <c r="P507">
        <f>IF(B535=0,0,O507/B535)</f>
        <v/>
      </c>
      <c r="Q507">
        <f>IFERROR(1/IF(Inputs!$B$38="pvp",15,MAX(0.1,Skills!D8-IF(Skills!E8=TRUE,Inputs!$B$32,0))),0)</f>
        <v/>
      </c>
      <c r="R507">
        <f>IF(AND(Inputs!$B$38&lt;&gt;"pvp",Inputs!$B$43&gt;0),IF(MAX(0,Inputs!$B$43-B532)&lt;=0,0,(INT(MAX(0,Inputs!$B$43-B532)/IF(Inputs!$B$38="pvp",15,MAX(0.1,Skills!D8-IF(Skills!E8=TRUE,Inputs!$B$32,0))))+1)),0)</f>
        <v/>
      </c>
      <c r="S507">
        <f>IF(C507,(H507*N507*IF(AND(Inputs!$B$38&lt;&gt;"pvp",Inputs!$B$43&gt;0),((Skills!F8*((R507-1)*IF(Skills!G8&gt;0,Skills!H8/Skills!G8,1)+IF(Skills!G8&gt;0,MIN(Skills!H8,MAX(0,MAX(0,Inputs!$B$43-B532)-((R507-1)*IF(Inputs!$B$38="pvp",15,MAX(0.1,Skills!D8-IF(Skills!E8=TRUE,Inputs!$B$32,0))))))/Skills!G8,1)))/Inputs!$B$43),G507*Q507))*IF(Inputs!$B$38="pvp",1,1+(Inputs!$B$20+Skills!O8+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507*(1-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7">
        <f>IF(C507,(H507*N507*IF(AND(Inputs!$B$38&lt;&gt;"pvp",Inputs!$B$43&gt;0),((Skills!F8*((R507-1)*IF(Skills!G8&gt;0,Skills!H8/Skills!G8,1)+IF(Skills!G8&gt;0,MIN(Skills!H8,MAX(0,MAX(0,Inputs!$B$43-B532)-((R507-1)*IF(Inputs!$B$38="pvp",15,MAX(0.1,Skills!D8-IF(Skills!E8=TRUE,Inputs!$B$32,0))))))/Skills!G8,1)))/Inputs!$B$43),G507*Q507))*IF(Inputs!$B$38="pvp",1,(1+(Inputs!$B$21+Skills!P8+B526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Skills!A9</f>
        <v/>
      </c>
      <c r="B508">
        <f>Skills!B9</f>
        <v/>
      </c>
      <c r="C508">
        <f>Inputs!$B$3&gt;=105</f>
        <v/>
      </c>
      <c r="D508">
        <f>IF(Skills!C9=1,60+Inputs!$B$25+Inputs!$B$29,IF(Skills!C9=2,90+Inputs!$B$26+Inputs!$B$29,IF(Skills!C9=3,120+Inputs!$B$27+Inputs!$B$29,MAX(0,(Inputs!$B$3-100)*3)+Inputs!$B$28+Inputs!$B$29)))</f>
        <v/>
      </c>
      <c r="E508">
        <f>INDEX(FactorTable!$B$2:$Y$301, MATCH(ROUND(MIN(300,MAX(1,D508)),0), FactorTable!$A$2:$A$301,0), Skills!L9+1)</f>
        <v/>
      </c>
      <c r="F508">
        <f>IF(Skills!M9=TRUE,(Skills!K9/10)*(E508/1000),Skills!K9/10)+Skills!N9</f>
        <v/>
      </c>
      <c r="G508">
        <f>Calc!G9</f>
        <v/>
      </c>
      <c r="H508">
        <f>Calc!H9</f>
        <v/>
      </c>
      <c r="I508">
        <f>IF(Skills!T9&lt;&gt;"",1+(Skills!T9/10)*(Z502/1000)/100,1)</f>
        <v/>
      </c>
      <c r="J508">
        <f>((Inputs!$B$6*(1+Inputs!$B$7/100))+(((Inputs!$B$12*(1+Inputs!$B$13/100))-(Inputs!$B$12*(1+Inputs!$B$13/100)))+0.25*(Inputs!$B$14-Inputs!$B$14))*(1+Inputs!$B$7/100))*(F508/100)</f>
        <v/>
      </c>
      <c r="K508">
        <f>J508*(1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F517-Calc!F18),(Inputs!$B$23+(IF(ArtifactsInput!$M$15,CHOOSE(ArtifactsInput!$N$15+1,25,30,35,40,45,50)/100*(((1-(1-Inputs!$B$11/150)*(1-1/150))*150)-Inputs!$B$11),0))))/100+(Inputs!$B$23+(IF(ArtifactsInput!$M$15,CHOOSE(ArtifactsInput!$N$15+1,25,30,35,40,45,50)/100*(((1-(1-Inputs!$B$11/150)*(1-1/150))*150)-Inputs!$B$11),0)))/100)/2</f>
        <v/>
      </c>
      <c r="M508">
        <f>L508*(1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(1-Summary!$B$11)*S508+Summary!$B$11*U508</f>
        <v/>
      </c>
      <c r="P508">
        <f>IF(B535=0,0,O508/B535)</f>
        <v/>
      </c>
      <c r="Q508">
        <f>IFERROR(1/IF(Inputs!$B$38="pvp",15,MAX(0.1,Skills!D9-IF(Skills!E9=TRUE,Inputs!$B$32,0))),0)</f>
        <v/>
      </c>
      <c r="R508">
        <f>IF(AND(Inputs!$B$38&lt;&gt;"pvp",Inputs!$B$43&gt;0),IF(MAX(0,Inputs!$B$43-B532)&lt;=0,0,(INT(MAX(0,Inputs!$B$43-B532)/IF(Inputs!$B$38="pvp",15,MAX(0.1,Skills!D9-IF(Skills!E9=TRUE,Inputs!$B$32,0))))+1)),0)</f>
        <v/>
      </c>
      <c r="S508">
        <f>IF(C508,(H508*N508*IF(AND(Inputs!$B$38&lt;&gt;"pvp",Inputs!$B$43&gt;0),((Skills!F9*((R508-1)*IF(Skills!G9&gt;0,Skills!H9/Skills!G9,1)+IF(Skills!G9&gt;0,MIN(Skills!H9,MAX(0,MAX(0,Inputs!$B$43-B532)-((R508-1)*IF(Inputs!$B$38="pvp",15,MAX(0.1,Skills!D9-IF(Skills!E9=TRUE,Inputs!$B$32,0))))))/Skills!G9,1)))/Inputs!$B$43),G508*Q508))*IF(Inputs!$B$38="pvp",1,1+(Inputs!$B$20+Skills!O9+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508*(1-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8">
        <f>IF(C508,(H508*N508*IF(AND(Inputs!$B$38&lt;&gt;"pvp",Inputs!$B$43&gt;0),((Skills!F9*((R508-1)*IF(Skills!G9&gt;0,Skills!H9/Skills!G9,1)+IF(Skills!G9&gt;0,MIN(Skills!H9,MAX(0,MAX(0,Inputs!$B$43-B532)-((R508-1)*IF(Inputs!$B$38="pvp",15,MAX(0.1,Skills!D9-IF(Skills!E9=TRUE,Inputs!$B$32,0))))))/Skills!G9,1)))/Inputs!$B$43),G508*Q508))*IF(Inputs!$B$38="pvp",1,(1+(Inputs!$B$21+Skills!P9+B526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Skills!A10</f>
        <v/>
      </c>
      <c r="B509">
        <f>Skills!B10</f>
        <v/>
      </c>
      <c r="C509">
        <f>Inputs!$B$3&gt;=113</f>
        <v/>
      </c>
      <c r="D509">
        <f>IF(Skills!C10=1,60+Inputs!$B$25+Inputs!$B$29,IF(Skills!C10=2,90+Inputs!$B$26+Inputs!$B$29,IF(Skills!C10=3,120+Inputs!$B$27+Inputs!$B$29,MAX(0,(Inputs!$B$3-100)*3)+Inputs!$B$28+Inputs!$B$29)))</f>
        <v/>
      </c>
      <c r="E509">
        <f>INDEX(FactorTable!$B$2:$Y$301, MATCH(ROUND(MIN(300,MAX(1,D509)),0), FactorTable!$A$2:$A$301,0), Skills!L10+1)</f>
        <v/>
      </c>
      <c r="F509">
        <f>IF(Skills!M10=TRUE,(Skills!K10/10)*(E509/1000),Skills!K10/10)+Skills!N10</f>
        <v/>
      </c>
      <c r="G509">
        <f>Calc!G10</f>
        <v/>
      </c>
      <c r="H509">
        <f>Calc!H10</f>
        <v/>
      </c>
      <c r="I509">
        <f>IF(Skills!T10&lt;&gt;"",1+(Skills!T10/10)*(Z502/1000)/100,1)</f>
        <v/>
      </c>
      <c r="J509">
        <f>((Inputs!$B$6*(1+Inputs!$B$7/100))+(((Inputs!$B$12*(1+Inputs!$B$13/100))-(Inputs!$B$12*(1+Inputs!$B$13/100)))+0.25*(Inputs!$B$14-Inputs!$B$14))*(1+Inputs!$B$7/100))*(F509/100)</f>
        <v/>
      </c>
      <c r="K509">
        <f>J509*(1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F517-Calc!F18),(Inputs!$B$23+(IF(ArtifactsInput!$M$15,CHOOSE(ArtifactsInput!$N$15+1,25,30,35,40,45,50)/100*(((1-(1-Inputs!$B$11/150)*(1-1/150))*150)-Inputs!$B$11),0))))/100+(Inputs!$B$23+(IF(ArtifactsInput!$M$15,CHOOSE(ArtifactsInput!$N$15+1,25,30,35,40,45,50)/100*(((1-(1-Inputs!$B$11/150)*(1-1/150))*150)-Inputs!$B$11),0)))/100)/2</f>
        <v/>
      </c>
      <c r="M509">
        <f>L509*(1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(1-Summary!$B$11)*S509+Summary!$B$11*U509</f>
        <v/>
      </c>
      <c r="P509">
        <f>IF(B535=0,0,O509/B535)</f>
        <v/>
      </c>
      <c r="Q509">
        <f>IFERROR(1/IF(Inputs!$B$38="pvp",15,MAX(0.1,Skills!D10-IF(Skills!E9=TRUE,Inputs!$B$32,0))),0)</f>
        <v/>
      </c>
      <c r="R509">
        <f>IF(AND(Inputs!$B$38&lt;&gt;"pvp",Inputs!$B$43&gt;0),IF(MAX(0,Inputs!$B$43-B532)&lt;=0,0,(INT(MAX(0,Inputs!$B$43-B532)/IF(Inputs!$B$38="pvp",15,MAX(0.1,Skills!D10-IF(Skills!E9=TRUE,Inputs!$B$32,0))))+1)),0)</f>
        <v/>
      </c>
      <c r="S509">
        <f>IF(C509,(H509*N509*IF(AND(Inputs!$B$38&lt;&gt;"pvp",Inputs!$B$43&gt;0),((Skills!F10*((R509-1)*IF(Skills!G10&gt;0,Skills!H10/Skills!G10,1)+IF(Skills!G10&gt;0,MIN(Skills!H10,MAX(0,MAX(0,Inputs!$B$43-B532)-((R509-1)*IF(Inputs!$B$38="pvp",15,MAX(0.1,Skills!D10-IF(Skills!E9=TRUE,Inputs!$B$32,0))))))/Skills!G10,1)))/Inputs!$B$43),G509*Q509))*IF(Inputs!$B$38="pvp",1,1+(Inputs!$B$20+Skills!O10+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509*(1-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9">
        <f>IF(C509,(H509*N509*IF(AND(Inputs!$B$38&lt;&gt;"pvp",Inputs!$B$43&gt;0),((Skills!F10*((R509-1)*IF(Skills!G10&gt;0,Skills!H10/Skills!G10,1)+IF(Skills!G10&gt;0,MIN(Skills!H10,MAX(0,MAX(0,Inputs!$B$43-B532)-((R509-1)*IF(Inputs!$B$38="pvp",15,MAX(0.1,Skills!D10-IF(Skills!E9=TRUE,Inputs!$B$32,0))))))/Skills!G10,1)))/Inputs!$B$43),G509*Q509))*IF(Inputs!$B$38="pvp",1,(1+(Inputs!$B$21+Skills!P10+B526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Skills!A11</f>
        <v/>
      </c>
      <c r="B510">
        <f>Skills!B11</f>
        <v/>
      </c>
      <c r="C510">
        <f>Inputs!$B$3&gt;=107</f>
        <v/>
      </c>
      <c r="D510">
        <f>IF(Skills!C11=1,60+Inputs!$B$25+Inputs!$B$29,IF(Skills!C11=2,90+Inputs!$B$26+Inputs!$B$29,IF(Skills!C11=3,120+Inputs!$B$27+Inputs!$B$29,MAX(0,(Inputs!$B$3-100)*3)+Inputs!$B$28+Inputs!$B$29)))</f>
        <v/>
      </c>
      <c r="E510">
        <f>INDEX(FactorTable!$B$2:$Y$301, MATCH(ROUND(MIN(300,MAX(1,D510)),0), FactorTable!$A$2:$A$301,0), Skills!L11+1)</f>
        <v/>
      </c>
      <c r="F510">
        <f>IF(Skills!M11=TRUE,(Skills!K11/10)*(E510/1000),Skills!K11/10)+Skills!N11</f>
        <v/>
      </c>
      <c r="G510">
        <f>Calc!G11</f>
        <v/>
      </c>
      <c r="H510">
        <f>Calc!H11</f>
        <v/>
      </c>
      <c r="I510">
        <f>IF(Skills!T11&lt;&gt;"",1+(Skills!T11/10)*(Z502/1000)/100,1)</f>
        <v/>
      </c>
      <c r="J510">
        <f>((Inputs!$B$6*(1+Inputs!$B$7/100))+(((Inputs!$B$12*(1+Inputs!$B$13/100))-(Inputs!$B$12*(1+Inputs!$B$13/100)))+0.25*(Inputs!$B$14-Inputs!$B$14))*(1+Inputs!$B$7/100))*(F510/100)</f>
        <v/>
      </c>
      <c r="K510">
        <f>J510*(1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F517-Calc!F18),(Inputs!$B$23+(IF(ArtifactsInput!$M$15,CHOOSE(ArtifactsInput!$N$15+1,25,30,35,40,45,50)/100*(((1-(1-Inputs!$B$11/150)*(1-1/150))*150)-Inputs!$B$11),0))))/100+(Inputs!$B$23+(IF(ArtifactsInput!$M$15,CHOOSE(ArtifactsInput!$N$15+1,25,30,35,40,45,50)/100*(((1-(1-Inputs!$B$11/150)*(1-1/150))*150)-Inputs!$B$11),0)))/100)/2</f>
        <v/>
      </c>
      <c r="M510">
        <f>L510*(1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0">
        <f>L510*(1-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(1-Summary!$B$11)*S510+Summary!$B$11*U510</f>
        <v/>
      </c>
      <c r="P510">
        <f>IF(B535=0,0,O510/B535)</f>
        <v/>
      </c>
      <c r="Q510">
        <f>IFERROR(1/IF(Inputs!$B$38="pvp",15,MAX(0.1,Skills!D11-IF(Skills!E11=TRUE,Inputs!$B$32,0))),0)</f>
        <v/>
      </c>
      <c r="R510">
        <f>IF(AND(Inputs!$B$38&lt;&gt;"pvp",Inputs!$B$43&gt;0),IF(MAX(0,Inputs!$B$43-B532)&lt;=0,0,(INT(MAX(0,Inputs!$B$43-B532)/IF(Inputs!$B$38="pvp",15,MAX(0.1,Skills!D11-IF(Skills!E11=TRUE,Inputs!$B$32,0))))+1)),0)</f>
        <v/>
      </c>
      <c r="S510">
        <f>IF(C510,H510*N510*IF(AND(Inputs!$B$38&lt;&gt;"pvp",Inputs!$B$43&gt;0),((Skills!F11*((R510-1)*IF(Skills!G11&gt;0,Skills!H11/Skills!G11,1)+IF(Skills!G11&gt;0,MIN(Skills!H11,MAX(0,MAX(0,Inputs!$B$43-B532)-((R510-1)*IF(Inputs!$B$38="pvp",15,MAX(0.1,Skills!D11-IF(Skills!E11=TRUE,Inputs!$B$32,0))))))/Skills!G11,1)))/Inputs!$B$43),G510*Q510)*0.5*IF(Inputs!$B$38="pvp",1,1+(Inputs!$B$20+Skills!O11+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0">
        <f>IF(C510,H510*N510*IF(AND(Inputs!$B$38&lt;&gt;"pvp",Inputs!$B$43&gt;0),((Skills!F11*((R510-1)*IF(Skills!G11&gt;0,Skills!H11/Skills!G11,1)+IF(Skills!G11&gt;0,MIN(Skills!H11,MAX(0,MAX(0,Inputs!$B$43-B532)-((R510-1)*IF(Inputs!$B$38="pvp",15,MAX(0.1,Skills!D11-IF(Skills!E11=TRUE,Inputs!$B$32,0))))))/Skills!G11,1)))/Inputs!$B$43),G510*Q510)*1*IF(Inputs!$B$38="pvp",1,(1+(Inputs!$B$21+Skills!P11+B526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Skills!A12</f>
        <v/>
      </c>
      <c r="B511">
        <f>Skills!B12</f>
        <v/>
      </c>
      <c r="C511">
        <f>Inputs!$B$3&gt;=115</f>
        <v/>
      </c>
      <c r="D511">
        <f>IF(Skills!C12=1,60+Inputs!$B$25+Inputs!$B$29,IF(Skills!C12=2,90+Inputs!$B$26+Inputs!$B$29,IF(Skills!C12=3,120+Inputs!$B$27+Inputs!$B$29,MAX(0,(Inputs!$B$3-100)*3)+Inputs!$B$28+Inputs!$B$29)))</f>
        <v/>
      </c>
      <c r="E511">
        <f>INDEX(FactorTable!$B$2:$Y$301, MATCH(ROUND(MIN(300,MAX(1,D511)),0), FactorTable!$A$2:$A$301,0), Skills!L12+1)</f>
        <v/>
      </c>
      <c r="F511">
        <f>IF(Skills!M12=TRUE,(Skills!K12/10)*(E511/1000),Skills!K12/10)+Skills!N12</f>
        <v/>
      </c>
      <c r="G511">
        <f>Calc!G12</f>
        <v/>
      </c>
      <c r="H511">
        <f>Calc!H12</f>
        <v/>
      </c>
      <c r="I511">
        <f>IF(Skills!T12&lt;&gt;"",1+(Skills!T12/10)*(Z502/1000)/100,1)</f>
        <v/>
      </c>
      <c r="J511">
        <f>((Inputs!$B$6*(1+Inputs!$B$7/100))+(((Inputs!$B$12*(1+Inputs!$B$13/100))-(Inputs!$B$12*(1+Inputs!$B$13/100)))+0.25*(Inputs!$B$14-Inputs!$B$14))*(1+Inputs!$B$7/100))*(F511/100)</f>
        <v/>
      </c>
      <c r="K511">
        <f>J511*(1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F517-Calc!F18),(Inputs!$B$23+(IF(ArtifactsInput!$M$15,CHOOSE(ArtifactsInput!$N$15+1,25,30,35,40,45,50)/100*(((1-(1-Inputs!$B$11/150)*(1-1/150))*150)-Inputs!$B$11),0))))/100+(Inputs!$B$23+(IF(ArtifactsInput!$M$15,CHOOSE(ArtifactsInput!$N$15+1,25,30,35,40,45,50)/100*(((1-(1-Inputs!$B$11/150)*(1-1/150))*150)-Inputs!$B$11),0)))/100)/2</f>
        <v/>
      </c>
      <c r="M511">
        <f>L511*(1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(1-Summary!$B$11)*S511+Summary!$B$11*U511</f>
        <v/>
      </c>
      <c r="P511">
        <f>IF(B535=0,0,O511/B535)</f>
        <v/>
      </c>
      <c r="Q511">
        <f>IFERROR(1/IF(Inputs!$B$38="pvp",15,MAX(0.1,Skills!D12-IF(Skills!E12=TRUE,Inputs!$B$32,0))),0)</f>
        <v/>
      </c>
      <c r="R511">
        <f>IF(AND(Inputs!$B$38&lt;&gt;"pvp",Inputs!$B$43&gt;0),IF(MAX(0,Inputs!$B$43-B532)&lt;=0,0,(INT(MAX(0,Inputs!$B$43-B532)/IF(Inputs!$B$38="pvp",15,MAX(0.1,Skills!D12-IF(Skills!E12=TRUE,Inputs!$B$32,0))))+1)),0)</f>
        <v/>
      </c>
      <c r="S511">
        <f>IF(C511,(H511*N511*IF(AND(Inputs!$B$38&lt;&gt;"pvp",Inputs!$B$43&gt;0),((Skills!F12*((R511-1)*IF(Skills!G12&gt;0,Skills!H12/Skills!G12,1)+IF(Skills!G12&gt;0,MIN(Skills!H12,MAX(0,MAX(0,Inputs!$B$43-B532)-((R511-1)*IF(Inputs!$B$38="pvp",15,MAX(0.1,Skills!D12-IF(Skills!E12=TRUE,Inputs!$B$32,0))))))/Skills!G12,1)))/Inputs!$B$43),G511*Q511))*IF(Inputs!$B$38="pvp",1,1+(Inputs!$B$20+Skills!O12+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1">
        <f>IF(C511,(H511*N511*IF(AND(Inputs!$B$38&lt;&gt;"pvp",Inputs!$B$43&gt;0),((Skills!F12*((R511-1)*IF(Skills!G12&gt;0,Skills!H12/Skills!G12,1)+IF(Skills!G12&gt;0,MIN(Skills!H12,MAX(0,MAX(0,Inputs!$B$43-B532)-((R511-1)*IF(Inputs!$B$38="pvp",15,MAX(0.1,Skills!D12-IF(Skills!E12=TRUE,Inputs!$B$32,0))))))/Skills!G12,1)))/Inputs!$B$43),G511*Q511))*IF(Inputs!$B$38="pvp",1,(1+(Inputs!$B$21+Skills!P12+B526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Skills!A13</f>
        <v/>
      </c>
      <c r="B512">
        <f>Skills!B13</f>
        <v/>
      </c>
      <c r="C512">
        <f>Inputs!$B$3&gt;=49</f>
        <v/>
      </c>
      <c r="D512">
        <f>IF(Skills!C13=1,60+Inputs!$B$25+Inputs!$B$29,IF(Skills!C13=2,90+Inputs!$B$26+Inputs!$B$29,IF(Skills!C13=3,120+Inputs!$B$27+Inputs!$B$29,MAX(0,(Inputs!$B$3-100)*3)+Inputs!$B$28+Inputs!$B$29)))</f>
        <v/>
      </c>
      <c r="E512">
        <f>INDEX(FactorTable!$B$2:$Y$301, MATCH(ROUND(MIN(300,MAX(1,D512)),0), FactorTable!$A$2:$A$301,0), Skills!L13+1)</f>
        <v/>
      </c>
      <c r="F512">
        <f>IF(Skills!M13=TRUE,(Skills!K13/10)*(E512/1000),Skills!K13/10)+Skills!N13</f>
        <v/>
      </c>
      <c r="G512">
        <f>Calc!G13</f>
        <v/>
      </c>
      <c r="H512">
        <f>Calc!H13</f>
        <v/>
      </c>
      <c r="I512">
        <f>IF(Skills!T13&lt;&gt;"",1+(Skills!T13/10)*(Z502/1000)/100,1)</f>
        <v/>
      </c>
      <c r="J512" t="inlineStr"/>
      <c r="K512" t="inlineStr"/>
      <c r="L512" t="inlineStr"/>
      <c r="M512" t="inlineStr"/>
      <c r="N512" t="inlineStr"/>
      <c r="O512">
        <f>(1-Summary!$B$11)*S512+Summary!$B$11*U512</f>
        <v/>
      </c>
      <c r="P512">
        <f>IF(B535=0,0,O512/B535)</f>
        <v/>
      </c>
      <c r="Q512">
        <f>IFERROR(1/IF(Inputs!$B$38="pvp",15,MAX(0.1,Skills!D13-IF(Skills!E13=TRUE,Inputs!$B$32,0))),0)</f>
        <v/>
      </c>
      <c r="R512" t="n">
        <v>0</v>
      </c>
      <c r="S512" t="n">
        <v>0</v>
      </c>
      <c r="U512" t="n">
        <v>0</v>
      </c>
    </row>
    <row r="513">
      <c r="A513">
        <f>Skills!A14</f>
        <v/>
      </c>
      <c r="B513">
        <f>Skills!B14</f>
        <v/>
      </c>
      <c r="C513">
        <f>Inputs!$B$3&gt;=72</f>
        <v/>
      </c>
      <c r="D513">
        <f>IF(Skills!C14=1,60+Inputs!$B$25+Inputs!$B$29,IF(Skills!C14=2,90+Inputs!$B$26+Inputs!$B$29,IF(Skills!C14=3,120+Inputs!$B$27+Inputs!$B$29,MAX(0,(Inputs!$B$3-100)*3)+Inputs!$B$28+Inputs!$B$29)))</f>
        <v/>
      </c>
      <c r="E513">
        <f>INDEX(FactorTable!$B$2:$Y$301, MATCH(ROUND(MIN(300,MAX(1,D513)),0), FactorTable!$A$2:$A$301,0), Skills!L14+1)</f>
        <v/>
      </c>
      <c r="F513">
        <f>IF(Skills!M14=TRUE,(Skills!K14/10)*(E513/1000),Skills!K14/10)+Skills!N14</f>
        <v/>
      </c>
      <c r="G513">
        <f>Calc!G14</f>
        <v/>
      </c>
      <c r="H513">
        <f>Calc!H14</f>
        <v/>
      </c>
      <c r="I513">
        <f>IF(Skills!T14&lt;&gt;"",1+(Skills!T14/10)*(Z502/1000)/100,1)</f>
        <v/>
      </c>
      <c r="J513" t="inlineStr"/>
      <c r="K513" t="inlineStr"/>
      <c r="L513" t="inlineStr"/>
      <c r="M513" t="inlineStr"/>
      <c r="N513" t="inlineStr"/>
      <c r="O513">
        <f>(1-Summary!$B$11)*S513+Summary!$B$11*U513</f>
        <v/>
      </c>
      <c r="P513">
        <f>IF(B535=0,0,O513/B535)</f>
        <v/>
      </c>
      <c r="Q513">
        <f>IFERROR(1/IF(Inputs!$B$38="pvp",15,MAX(0.1,Skills!D14-IF(Skills!E14=TRUE,Inputs!$B$32,0))),0)</f>
        <v/>
      </c>
      <c r="R513" t="n">
        <v>0</v>
      </c>
      <c r="S513" t="n">
        <v>0</v>
      </c>
      <c r="U513" t="n">
        <v>0</v>
      </c>
    </row>
    <row r="514">
      <c r="A514">
        <f>Skills!A15</f>
        <v/>
      </c>
      <c r="B514">
        <f>Skills!B15</f>
        <v/>
      </c>
      <c r="C514">
        <f>Inputs!$B$3&gt;=75</f>
        <v/>
      </c>
      <c r="D514">
        <f>IF(Skills!C15=1,60+Inputs!$B$25+Inputs!$B$29,IF(Skills!C15=2,90+Inputs!$B$26+Inputs!$B$29,IF(Skills!C15=3,120+Inputs!$B$27+Inputs!$B$29,MAX(0,(Inputs!$B$3-100)*3)+Inputs!$B$28+Inputs!$B$29)))</f>
        <v/>
      </c>
      <c r="E514">
        <f>INDEX(FactorTable!$B$2:$Y$301, MATCH(ROUND(MIN(300,MAX(1,D514)),0), FactorTable!$A$2:$A$301,0), Skills!L15+1)</f>
        <v/>
      </c>
      <c r="F514">
        <f>IF(Skills!M15=TRUE,(Skills!K15/10)*(E514/1000),Skills!K15/10)+Skills!N15</f>
        <v/>
      </c>
      <c r="G514">
        <f>Calc!G15</f>
        <v/>
      </c>
      <c r="H514">
        <f>Calc!H15</f>
        <v/>
      </c>
      <c r="I514">
        <f>IF(Skills!T15&lt;&gt;"",1+(Skills!T15/10)*(Z502/1000)/100,1)</f>
        <v/>
      </c>
      <c r="J514" t="inlineStr"/>
      <c r="K514" t="inlineStr"/>
      <c r="L514" t="inlineStr"/>
      <c r="M514" t="inlineStr"/>
      <c r="N514" t="inlineStr"/>
      <c r="O514">
        <f>(1-Summary!$B$11)*S514+Summary!$B$11*U514</f>
        <v/>
      </c>
      <c r="P514">
        <f>IF(B535=0,0,O514/B535)</f>
        <v/>
      </c>
      <c r="Q514">
        <f>IFERROR(1/IF(Inputs!$B$38="pvp",15,MAX(0.1,Skills!D15-IF(Skills!E15=TRUE,Inputs!$B$32,0))),0)</f>
        <v/>
      </c>
      <c r="R514" t="n">
        <v>0</v>
      </c>
      <c r="S514" t="n">
        <v>0</v>
      </c>
      <c r="U514" t="n">
        <v>0</v>
      </c>
    </row>
    <row r="515">
      <c r="A515">
        <f>Skills!A16</f>
        <v/>
      </c>
      <c r="B515">
        <f>Skills!B16</f>
        <v/>
      </c>
      <c r="C515">
        <f>Inputs!$B$3&gt;=110</f>
        <v/>
      </c>
      <c r="D515">
        <f>IF(Skills!C16=1,60+Inputs!$B$25+Inputs!$B$29,IF(Skills!C16=2,90+Inputs!$B$26+Inputs!$B$29,IF(Skills!C16=3,120+Inputs!$B$27+Inputs!$B$29,MAX(0,(Inputs!$B$3-100)*3)+Inputs!$B$28+Inputs!$B$29)))</f>
        <v/>
      </c>
      <c r="E515">
        <f>INDEX(FactorTable!$B$2:$Y$301, MATCH(ROUND(MIN(300,MAX(1,D515)),0), FactorTable!$A$2:$A$301,0), Skills!L16+1)</f>
        <v/>
      </c>
      <c r="F515">
        <f>(Skills!K16/10)*(E515/1000)*64/45+Skills!N16</f>
        <v/>
      </c>
      <c r="G515">
        <f>Calc!G16</f>
        <v/>
      </c>
      <c r="H515">
        <f>Calc!H16</f>
        <v/>
      </c>
      <c r="I515">
        <f>IF(Skills!T16&lt;&gt;"",1+(Skills!T16/10)*(Z502/1000)/100,1)</f>
        <v/>
      </c>
      <c r="J515" t="inlineStr"/>
      <c r="K515" t="inlineStr"/>
      <c r="L515" t="inlineStr"/>
      <c r="M515" t="inlineStr"/>
      <c r="N515" t="inlineStr"/>
      <c r="O515">
        <f>(1-Summary!$B$11)*S515+Summary!$B$11*U515</f>
        <v/>
      </c>
      <c r="P515">
        <f>IF(B535=0,0,O515/B535)</f>
        <v/>
      </c>
      <c r="Q515">
        <f>IFERROR(1/IF(Inputs!$B$38="pvp",15,MAX(0.1,Skills!D16-IF(Skills!E16=TRUE,Inputs!$B$32,0))),0)</f>
        <v/>
      </c>
      <c r="R515">
        <f>IF(AND(Inputs!$B$38&lt;&gt;"pvp",Inputs!$B$43&gt;0),IF(Inputs!$B$43&lt;=0,0,(INT(Inputs!$B$43/IF(Inputs!$B$38="pvp",15,MAX(0.1,Skills!D16-IF(Skills!E16=TRUE,Inputs!$B$32,0))))+1)),0)</f>
        <v/>
      </c>
      <c r="S515" t="n">
        <v>0</v>
      </c>
      <c r="U515" t="n">
        <v>0</v>
      </c>
    </row>
    <row r="516">
      <c r="A516">
        <f>Skills!A17</f>
        <v/>
      </c>
      <c r="B516">
        <f>Skills!B17</f>
        <v/>
      </c>
      <c r="C516">
        <f>Inputs!$B$3&gt;=33</f>
        <v/>
      </c>
      <c r="D516">
        <f>IF(Skills!C17=1,60+Inputs!$B$25+Inputs!$B$29,IF(Skills!C17=2,90+Inputs!$B$26+Inputs!$B$29,IF(Skills!C17=3,120+Inputs!$B$27+Inputs!$B$29,MAX(0,(Inputs!$B$3-100)*3)+Inputs!$B$28+Inputs!$B$29)))</f>
        <v/>
      </c>
      <c r="E516">
        <f>INDEX(FactorTable!$B$2:$Y$301, MATCH(ROUND(MIN(300,MAX(1,D516)),0), FactorTable!$A$2:$A$301,0), Skills!L17+1)</f>
        <v/>
      </c>
      <c r="F516">
        <f>IF(Skills!M17=TRUE,(Skills!K17/10)*(E516/1000),Skills!K17/10)+Skills!N17</f>
        <v/>
      </c>
      <c r="G516">
        <f>Calc!G17</f>
        <v/>
      </c>
      <c r="H516">
        <f>Calc!H17</f>
        <v/>
      </c>
      <c r="I516">
        <f>IF(Skills!T17&lt;&gt;"",1+(Skills!T17/10)*(Z502/1000)/100,1)</f>
        <v/>
      </c>
      <c r="J516" t="inlineStr"/>
      <c r="K516" t="inlineStr"/>
      <c r="L516" t="inlineStr"/>
      <c r="M516" t="inlineStr"/>
      <c r="N516" t="inlineStr"/>
      <c r="O516">
        <f>(1-Summary!$B$11)*S516+Summary!$B$11*U516</f>
        <v/>
      </c>
      <c r="P516">
        <f>IF(B535=0,0,O516/B535)</f>
        <v/>
      </c>
      <c r="Q516">
        <f>IFERROR(1/IF(Inputs!$B$38="pvp",15,MAX(0.1,Skills!D17-IF(Skills!E17=TRUE,Inputs!$B$32,0))),0)</f>
        <v/>
      </c>
      <c r="R516" t="n">
        <v>0</v>
      </c>
      <c r="S516" t="n">
        <v>0</v>
      </c>
      <c r="U516" t="n">
        <v>0</v>
      </c>
    </row>
    <row r="517">
      <c r="A517">
        <f>Skills!A18</f>
        <v/>
      </c>
      <c r="B517">
        <f>Skills!B18</f>
        <v/>
      </c>
      <c r="C517">
        <f>Inputs!$B$3&gt;=43</f>
        <v/>
      </c>
      <c r="D517">
        <f>IF(Skills!C18=1,60+Inputs!$B$25+Inputs!$B$29,IF(Skills!C18=2,90+Inputs!$B$26+Inputs!$B$29,IF(Skills!C18=3,120+Inputs!$B$27+Inputs!$B$29,MAX(0,(Inputs!$B$3-100)*3)+Inputs!$B$28+Inputs!$B$29)))</f>
        <v/>
      </c>
      <c r="E517">
        <f>INDEX(FactorTable!$B$2:$Y$301, MATCH(ROUND(MIN(300,MAX(1,D517)),0), FactorTable!$A$2:$A$301,0), Skills!L18+1)</f>
        <v/>
      </c>
      <c r="F517">
        <f>IF(Skills!M18=TRUE,(Skills!K18/10)*(E517/1000),Skills!K18/10)+Skills!N18</f>
        <v/>
      </c>
      <c r="G517">
        <f>Calc!G18</f>
        <v/>
      </c>
      <c r="H517">
        <f>Calc!H18</f>
        <v/>
      </c>
      <c r="I517">
        <f>IF(Skills!T18&lt;&gt;"",1+(Skills!T18/10)*(Z502/1000)/100,1)</f>
        <v/>
      </c>
      <c r="J517" t="inlineStr"/>
      <c r="K517" t="inlineStr"/>
      <c r="L517" t="inlineStr"/>
      <c r="M517" t="inlineStr"/>
      <c r="N517" t="inlineStr"/>
      <c r="O517">
        <f>(1-Summary!$B$11)*S517+Summary!$B$11*U517</f>
        <v/>
      </c>
      <c r="P517">
        <f>IF(B535=0,0,O517/B535)</f>
        <v/>
      </c>
      <c r="Q517">
        <f>IFERROR(1/IF(Inputs!$B$38="pvp",15,MAX(0.1,Skills!D18-IF(Skills!E18=TRUE,Inputs!$B$32,0))),0)</f>
        <v/>
      </c>
      <c r="R517" t="n">
        <v>0</v>
      </c>
      <c r="S517" t="n">
        <v>0</v>
      </c>
      <c r="U517" t="n">
        <v>0</v>
      </c>
    </row>
    <row r="518">
      <c r="A518">
        <f>Skills!A19</f>
        <v/>
      </c>
      <c r="B518">
        <f>Skills!B19</f>
        <v/>
      </c>
      <c r="C518">
        <f>Inputs!$B$3&gt;=50</f>
        <v/>
      </c>
      <c r="D518">
        <f>IF(Skills!C19=1,60+Inputs!$B$25+Inputs!$B$29,IF(Skills!C19=2,90+Inputs!$B$26+Inputs!$B$29,IF(Skills!C19=3,120+Inputs!$B$27+Inputs!$B$29,MAX(0,(Inputs!$B$3-100)*3)+Inputs!$B$28+Inputs!$B$29)))</f>
        <v/>
      </c>
      <c r="E518">
        <f>INDEX(FactorTable!$B$2:$Y$301, MATCH(ROUND(MIN(300,MAX(1,D518)),0), FactorTable!$A$2:$A$301,0), Skills!L19+1)</f>
        <v/>
      </c>
      <c r="F518">
        <f>IF(Skills!M19=TRUE,(Skills!K19/10)*(E518/1000),Skills!K19/10)+Skills!N19</f>
        <v/>
      </c>
      <c r="G518">
        <f>Calc!G19</f>
        <v/>
      </c>
      <c r="H518">
        <f>Calc!H19</f>
        <v/>
      </c>
      <c r="I518">
        <f>IF(Skills!T19&lt;&gt;"",1+(Skills!T19/10)*(Z502/1000)/100,1)</f>
        <v/>
      </c>
      <c r="J518" t="inlineStr"/>
      <c r="K518" t="inlineStr"/>
      <c r="L518" t="inlineStr"/>
      <c r="M518" t="inlineStr"/>
      <c r="N518" t="inlineStr"/>
      <c r="O518">
        <f>(1-Summary!$B$11)*S518+Summary!$B$11*U518</f>
        <v/>
      </c>
      <c r="P518">
        <f>IF(B535=0,0,O518/B535)</f>
        <v/>
      </c>
      <c r="Q518">
        <f>IFERROR(1/IF(Inputs!$B$38="pvp",15,MAX(0.1,Skills!D19-IF(Skills!E19=TRUE,Inputs!$B$32,0))),0)</f>
        <v/>
      </c>
      <c r="R518" t="n">
        <v>0</v>
      </c>
      <c r="S518" t="n">
        <v>0</v>
      </c>
      <c r="U518" t="n">
        <v>0</v>
      </c>
    </row>
    <row r="519">
      <c r="A519">
        <f>Skills!A20</f>
        <v/>
      </c>
      <c r="B519">
        <f>Skills!B20</f>
        <v/>
      </c>
      <c r="C519">
        <f>Inputs!$B$3&gt;=74</f>
        <v/>
      </c>
      <c r="D519">
        <f>IF(Skills!C20=1,60+Inputs!$B$25+Inputs!$B$29,IF(Skills!C20=2,90+Inputs!$B$26+Inputs!$B$29,IF(Skills!C20=3,120+Inputs!$B$27+Inputs!$B$29,MAX(0,(Inputs!$B$3-100)*3)+Inputs!$B$28+Inputs!$B$29)))</f>
        <v/>
      </c>
      <c r="E519">
        <f>INDEX(FactorTable!$B$2:$Y$301, MATCH(ROUND(MIN(300,MAX(1,D519)),0), FactorTable!$A$2:$A$301,0), Skills!L20+1)</f>
        <v/>
      </c>
      <c r="F519">
        <f>IF(Skills!M20=TRUE,(Skills!K20/10)*(E519/1000),Skills!K20/10)+Skills!N20</f>
        <v/>
      </c>
      <c r="G519">
        <f>Calc!G20</f>
        <v/>
      </c>
      <c r="H519">
        <f>Calc!H20</f>
        <v/>
      </c>
      <c r="I519">
        <f>IF(Skills!T20&lt;&gt;"",1+(Skills!T20/10)*(Z502/1000)/100,1)</f>
        <v/>
      </c>
      <c r="J519" t="inlineStr"/>
      <c r="K519" t="inlineStr"/>
      <c r="L519" t="inlineStr"/>
      <c r="M519" t="inlineStr"/>
      <c r="N519" t="inlineStr"/>
      <c r="O519">
        <f>(1-Summary!$B$11)*S519+Summary!$B$11*U519</f>
        <v/>
      </c>
      <c r="P519">
        <f>IF(B535=0,0,O519/B535)</f>
        <v/>
      </c>
      <c r="Q519">
        <f>IFERROR(1/IF(Inputs!$B$38="pvp",15,MAX(0.1,Skills!D20-IF(Skills!E20=TRUE,Inputs!$B$32,0))),0)</f>
        <v/>
      </c>
      <c r="R519" t="n">
        <v>0</v>
      </c>
      <c r="S519" t="n">
        <v>0</v>
      </c>
      <c r="U519" t="n">
        <v>0</v>
      </c>
    </row>
    <row r="520">
      <c r="A520">
        <f>Skills!A21</f>
        <v/>
      </c>
      <c r="B520">
        <f>Skills!B21</f>
        <v/>
      </c>
      <c r="C520">
        <f>Inputs!$B$3&gt;=74</f>
        <v/>
      </c>
      <c r="D520">
        <f>IF(Skills!C21=1,60+Inputs!$B$25+Inputs!$B$29,IF(Skills!C21=2,90+Inputs!$B$26+Inputs!$B$29,IF(Skills!C21=3,120+Inputs!$B$27+Inputs!$B$29,MAX(0,(Inputs!$B$3-100)*3)+Inputs!$B$28+Inputs!$B$29)))</f>
        <v/>
      </c>
      <c r="E520">
        <f>INDEX(FactorTable!$B$2:$Y$301, MATCH(ROUND(MIN(300,MAX(1,D520)),0), FactorTable!$A$2:$A$301,0), Skills!L21+1)</f>
        <v/>
      </c>
      <c r="F520">
        <f>IF(Skills!M21=TRUE,(Skills!K21/10)*(E520/1000),Skills!K21/10)+Skills!N21</f>
        <v/>
      </c>
      <c r="G520">
        <f>Calc!G21</f>
        <v/>
      </c>
      <c r="H520">
        <f>Calc!H21</f>
        <v/>
      </c>
      <c r="I520">
        <f>IF(Skills!T21&lt;&gt;"",1+(Skills!T21/10)*(Z502/1000)/100,1)</f>
        <v/>
      </c>
      <c r="J520" t="inlineStr"/>
      <c r="K520" t="inlineStr"/>
      <c r="L520" t="inlineStr"/>
      <c r="M520" t="inlineStr"/>
      <c r="N520" t="inlineStr"/>
      <c r="O520">
        <f>(1-Summary!$B$11)*S520+Summary!$B$11*U520</f>
        <v/>
      </c>
      <c r="P520">
        <f>IF(B535=0,0,O520/B535)</f>
        <v/>
      </c>
      <c r="Q520">
        <f>IFERROR(1/IF(Inputs!$B$38="pvp",15,MAX(0.1,Skills!D21-IF(Skills!E21=TRUE,Inputs!$B$32,0))),0)</f>
        <v/>
      </c>
      <c r="R520" t="n">
        <v>0</v>
      </c>
      <c r="S520" t="n">
        <v>0</v>
      </c>
      <c r="U520" t="n">
        <v>0</v>
      </c>
    </row>
    <row r="521">
      <c r="A521">
        <f>Skills!A22</f>
        <v/>
      </c>
      <c r="B521">
        <f>Skills!B22</f>
        <v/>
      </c>
      <c r="C521">
        <f>Inputs!$B$3&gt;=117</f>
        <v/>
      </c>
      <c r="D521">
        <f>IF(Skills!C22=1,60+Inputs!$B$25+Inputs!$B$29,IF(Skills!C22=2,90+Inputs!$B$26+Inputs!$B$29,IF(Skills!C22=3,120+Inputs!$B$27+Inputs!$B$29,MAX(0,(Inputs!$B$3-100)*3)+Inputs!$B$28+Inputs!$B$29)))</f>
        <v/>
      </c>
      <c r="E521">
        <f>INDEX(FactorTable!$B$2:$Y$301, MATCH(ROUND(MIN(300,MAX(1,D521)),0), FactorTable!$A$2:$A$301,0), Skills!L22+1)</f>
        <v/>
      </c>
      <c r="F521">
        <f>IF(Skills!M22=TRUE,(Skills!K22/10)*(E521/1000),Skills!K22/10)+Skills!N22</f>
        <v/>
      </c>
      <c r="G521">
        <f>Calc!G22</f>
        <v/>
      </c>
      <c r="H521">
        <f>Calc!H22</f>
        <v/>
      </c>
      <c r="I521">
        <f>IF(Skills!T22&lt;&gt;"",1+(Skills!T22/10)*(Z502/1000)/100,1)</f>
        <v/>
      </c>
      <c r="J521" t="inlineStr"/>
      <c r="K521" t="inlineStr"/>
      <c r="L521" t="inlineStr"/>
      <c r="M521" t="inlineStr"/>
      <c r="N521" t="inlineStr"/>
      <c r="O521">
        <f>(1-Summary!$B$11)*S521+Summary!$B$11*U521</f>
        <v/>
      </c>
      <c r="P521">
        <f>IF(B535=0,0,O521/B535)</f>
        <v/>
      </c>
      <c r="Q521">
        <f>IFERROR(1/IF(Inputs!$B$38="pvp",15,MAX(0.1,Skills!D22-IF(Skills!E22=TRUE,Inputs!$B$32,0))),0)</f>
        <v/>
      </c>
      <c r="R521" t="n">
        <v>0</v>
      </c>
      <c r="S521" t="n">
        <v>0</v>
      </c>
      <c r="U521" t="n">
        <v>0</v>
      </c>
    </row>
    <row r="522">
      <c r="A522">
        <f>Skills!A23</f>
        <v/>
      </c>
      <c r="B522">
        <f>Skills!B23</f>
        <v/>
      </c>
      <c r="C522">
        <f>Inputs!$B$3&gt;=120</f>
        <v/>
      </c>
      <c r="D522">
        <f>IF(Skills!C23=1,60+Inputs!$B$25+Inputs!$B$29,IF(Skills!C23=2,90+Inputs!$B$26+Inputs!$B$29,IF(Skills!C23=3,120+Inputs!$B$27+Inputs!$B$29,MAX(0,(Inputs!$B$3-100)*3)+Inputs!$B$28+Inputs!$B$29)))</f>
        <v/>
      </c>
      <c r="E522">
        <f>INDEX(FactorTable!$B$2:$Y$301, MATCH(ROUND(MIN(300,MAX(1,D522)),0), FactorTable!$A$2:$A$301,0), Skills!L23+1)</f>
        <v/>
      </c>
      <c r="F522">
        <f>IF(Skills!M23=TRUE,(Skills!K23/10)*(E522/1000),Skills!K23/10)+Skills!N23</f>
        <v/>
      </c>
      <c r="G522">
        <f>Calc!G23</f>
        <v/>
      </c>
      <c r="H522">
        <f>Calc!H23</f>
        <v/>
      </c>
      <c r="I522">
        <f>IF(Skills!T23&lt;&gt;"",1+(Skills!T23/10)*(Z502/1000)/100,1)</f>
        <v/>
      </c>
      <c r="J522" t="inlineStr"/>
      <c r="K522" t="inlineStr"/>
      <c r="L522" t="inlineStr"/>
      <c r="M522" t="inlineStr"/>
      <c r="N522" t="inlineStr"/>
      <c r="O522">
        <f>(1-Summary!$B$11)*S522+Summary!$B$11*U522</f>
        <v/>
      </c>
      <c r="P522">
        <f>IF(B535=0,0,O522/B535)</f>
        <v/>
      </c>
      <c r="Q522">
        <f>IFERROR(1/IF(Inputs!$B$38="pvp",15,MAX(0.1,Skills!D23-IF(Skills!E23=TRUE,Inputs!$B$32,0))),0)</f>
        <v/>
      </c>
      <c r="R522" t="n">
        <v>0</v>
      </c>
      <c r="S522" t="n">
        <v>0</v>
      </c>
      <c r="U522" t="n">
        <v>0</v>
      </c>
    </row>
    <row r="525">
      <c r="A525" t="inlineStr">
        <is>
          <t>Average Buff Multiplier (Magic Guard + Meditation + Artifact Attack%, summed; then Infinity)</t>
        </is>
      </c>
      <c r="B525">
        <f>(1+(IF(C502=TRUE,F502*IF(AND(Inputs!$B$38&lt;&gt;"pvp",Inputs!$B$43&gt;0),(((R502-1)*(Skills!S3*(1+(Inputs!$B$34+IF(Inputs!$B$3&gt;=117,F521,0))/100))+MIN((Skills!S3*(1+(Inputs!$B$34+IF(Inputs!$B$3&gt;=117,F521,0))/100)),MAX(0,Inputs!$B$43-((R502-1)*Skills!D3))))/Inputs!$B$43),IF(Inputs!$B$38="pvp",MIN((Skills!S3*(1+(Inputs!$B$34+IF(Inputs!$B$3&gt;=117,F521,0))/100)),15)/15,(Skills!S3*(1+(Inputs!$B$34+IF(Inputs!$B$3&gt;=117,F521,0))/100))/Skills!D3)),0)+IF(C503=TRUE,F503*IF(AND(Inputs!$B$38&lt;&gt;"pvp",Inputs!$B$43&gt;0),(((R503-1)*(Skills!S4*(1+(Inputs!$B$34+IF(Inputs!$B$3&gt;=117,F521,0))/100))+MIN((Skills!S4*(1+(Inputs!$B$34+IF(Inputs!$B$3&gt;=117,F521,0))/100)),MAX(0,Inputs!$B$43-((R503-1)*Skills!D4))))/Inputs!$B$43),IF(Inputs!$B$38="pvp",MIN((Skills!S4*(1+(Inputs!$B$34+IF(Inputs!$B$3&gt;=117,F521,0))/100)),15)/15,(Skills!S4*(1+(Inputs!$B$34+IF(Inputs!$B$3&gt;=117,F521,0)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515=TRUE,(1+F515*IF(AND(Inputs!$B$38&lt;&gt;"pvp",Inputs!$B$43&gt;0),(((R515-1)*(Skills!S16*(1+(Inputs!$B$34+IF(Inputs!$B$3&gt;=117,F521,0))/100))+MIN((Skills!S16*(1+(Inputs!$B$34+IF(Inputs!$B$3&gt;=117,F521,0))/100)),MAX(0,Inputs!$B$43-((R515-1)*Skills!D16))))/Inputs!$B$43),IF(Inputs!$B$38="pvp",MIN((Skills!S16*(1+(Inputs!$B$34+IF(Inputs!$B$3&gt;=117,F521,0))/100)),15)/15,(Skills!S16*(1+(Inputs!$B$34+IF(Inputs!$B$3&gt;=117,F521,0))/100))/Skills!D16))/100),1)</f>
        <v/>
      </c>
    </row>
    <row r="526">
      <c r="A526" t="inlineStr">
        <is>
          <t>Monster Damage Taken Bonus % (Freezing Breath - Weaken + Elemental Reset + Artifact Enemy Damage Taken, summed)</t>
        </is>
      </c>
      <c r="B526">
        <f>IF(Inputs!$B$3&gt;=118,15*IF(Inputs!$B$38="pvp",MIN((30*(1+(Inputs!$B$34+IF(Inputs!$B$3&gt;=117,F521,0))/100)),15)/15,(30*(1+(Inputs!$B$34+IF(Inputs!$B$3&gt;=117,F521,0))/100))/Skills!D8),0)+IF(C513=TRUE,F513,0)+(IF(AND(ArtifactsInput!$M$35,Inputs!$B$4&lt;&gt;"Chapter Hunt"),CHOOSE(ArtifactsInput!$N$35+1,15,18,21,24,27,30)*(1-EXP(-(0.2*B529)*5)),0)+IF(AND(ArtifactsInput!$M$22,Inputs!$B$4&lt;&gt;"Chapter Hunt"),CHOOSE(ArtifactsInput!$N$22+1,10,12,14,16,18,20)*((0*(((0.15*B529*5))^0/1)+1*(((0.15*B529*5))^1/1)+2*(((0.15*B529*5))^2/2)+3*(((0.15*B529*5))^3/6)+4*(((0.15*B529*5))^4/24)+5*(((0.15*B529*5))^5/120))/((((0.15*B529*5))^0/1)+(((0.15*B529*5))^1/1)+(((0.15*B529*5))^2/2)+(((0.15*B529*5))^3/6)+(((0.15*B529*5))^4/24)+(((0.15*B529*5))^5/120))),0))</f>
        <v/>
      </c>
    </row>
    <row r="527">
      <c r="A527" t="inlineStr">
        <is>
          <t>Damage % Bonus (Frozen Break + Frost Clutch, flat)</t>
        </is>
      </c>
      <c r="B527">
        <f>IF(Inputs!$B$3&gt;=66,15,0)+IF(Inputs!$B$3&gt;=98,10,0)+IF(Inputs!$B$3&gt;=125,20,0)</f>
        <v/>
      </c>
    </row>
    <row r="528">
      <c r="A528" t="inlineStr">
        <is>
          <t>Attack Speed Bonus % (MP Eater - MP Boost, always-on once unlocked)</t>
        </is>
      </c>
      <c r="B528">
        <f>IF(C512=TRUE,F512+(F516-Calc!F17),0)</f>
        <v/>
      </c>
    </row>
    <row r="529">
      <c r="A529" t="inlineStr">
        <is>
          <t>Actions Per Second</t>
        </is>
      </c>
      <c r="B529">
        <f>1+MIN(150,150*(1-(1-(((1-(1-Inputs!$B$11/150)*(1-1/150))*150)+(ArtifactsInput!$M$15-ArtifactsInput!$M$15)*CHOOSE(ArtifactsInput!$N$15+1,8,9.6,11.2,12.8,14.4,16))/150)*(1-B528/150)))/100</f>
        <v/>
      </c>
    </row>
    <row r="530">
      <c r="A530" t="inlineStr">
        <is>
          <t>Skill + Buff Cast Rate</t>
        </is>
      </c>
      <c r="B530">
        <f>IF(AND(Inputs!$B$38&lt;&gt;"pvp",Inputs!$B$43&gt;0),SUMPRODUCT((Skills!E2:E23=TRUE)*(C501:C522=TRUE)*R501:R522)/Inputs!$B$43,SUMPRODUCT((Skills!E2:E23=TRUE)*(C501:C522=TRUE)*Q501:Q522))</f>
        <v/>
      </c>
    </row>
    <row r="531">
      <c r="A531" t="inlineStr">
        <is>
          <t>Chain Lightning Casts Per Second</t>
        </is>
      </c>
      <c r="B531">
        <f>MAX(0,B529-B530)</f>
        <v/>
      </c>
    </row>
    <row r="532">
      <c r="A532" t="inlineStr">
        <is>
          <t>Buff-Casting Startup Delay (s, fixed-duration only)</t>
        </is>
      </c>
      <c r="B532">
        <f>IF(AND(Inputs!$B$38&lt;&gt;"pvp",Inputs!$B$43&gt;0),SUMPRODUCT((Skills!S2:S23&gt;0)*(Skills!E2:E23=TRUE)*(C501:C522=TRUE))/B529,0)</f>
        <v/>
      </c>
    </row>
    <row r="533">
      <c r="A533" t="inlineStr">
        <is>
          <t>Boss-Only Total DPS (this block's swept value)</t>
        </is>
      </c>
      <c r="B533">
        <f>SUM(S501:S522)</f>
        <v/>
      </c>
    </row>
    <row r="534">
      <c r="A534" t="inlineStr">
        <is>
          <t>Normal-Only Total DPS (this block's swept value)</t>
        </is>
      </c>
      <c r="B534">
        <f>SUM(U501:U522)</f>
        <v/>
      </c>
    </row>
    <row r="535">
      <c r="A535" s="6" t="inlineStr">
        <is>
          <t>TOTAL DPS</t>
        </is>
      </c>
      <c r="B535" s="6">
        <f>SUM(O501:O522)</f>
        <v/>
      </c>
    </row>
    <row r="538">
      <c r="A538" s="6" t="inlineStr">
        <is>
          <t>Stat: DEF_PEN % (diminishing returns, factor 100)</t>
        </is>
      </c>
    </row>
    <row r="539">
      <c r="A539" s="5" t="inlineStr">
        <is>
          <t>Key</t>
        </is>
      </c>
      <c r="B539" s="5" t="inlineStr">
        <is>
          <t>Name</t>
        </is>
      </c>
      <c r="C539" s="5" t="inlineStr">
        <is>
          <t>Unlocked</t>
        </is>
      </c>
      <c r="D539" s="5" t="inlineStr">
        <is>
          <t>InputLevel</t>
        </is>
      </c>
      <c r="E539" s="5" t="inlineStr">
        <is>
          <t>Factor</t>
        </is>
      </c>
      <c r="F539" s="5" t="inlineStr">
        <is>
          <t>CoefficientPercent</t>
        </is>
      </c>
      <c r="G539" s="5" t="inlineStr">
        <is>
          <t>EffectiveHits</t>
        </is>
      </c>
      <c r="H539" s="5" t="inlineStr">
        <is>
          <t>ProcProbability</t>
        </is>
      </c>
      <c r="I539" s="5" t="inlineStr">
        <is>
          <t>MapleHeroMultiplier</t>
        </is>
      </c>
      <c r="J539" s="5" t="inlineStr">
        <is>
          <t>BaseDamage</t>
        </is>
      </c>
      <c r="K539" s="5" t="inlineStr">
        <is>
          <t>BaseHitDamage</t>
        </is>
      </c>
      <c r="L539" s="5" t="inlineStr">
        <is>
          <t>NonCritAvg</t>
        </is>
      </c>
      <c r="M539" s="5" t="inlineStr">
        <is>
          <t>CritAvg</t>
        </is>
      </c>
      <c r="N539" s="5" t="inlineStr">
        <is>
          <t>ExpectedDamage(perHit)</t>
        </is>
      </c>
      <c r="O539" s="5" t="inlineStr">
        <is>
          <t>DPS</t>
        </is>
      </c>
      <c r="P539" s="5" t="inlineStr">
        <is>
          <t>% of Total</t>
        </is>
      </c>
      <c r="R539" t="inlineStr">
        <is>
          <t>helpers</t>
        </is>
      </c>
    </row>
    <row r="540">
      <c r="A540">
        <f>Skills!A2</f>
        <v/>
      </c>
      <c r="B540">
        <f>Skills!B2</f>
        <v/>
      </c>
      <c r="C540">
        <f>Inputs!$B$3&gt;=100</f>
        <v/>
      </c>
      <c r="D540" t="inlineStr"/>
      <c r="E540" t="inlineStr"/>
      <c r="F540">
        <f>T542+Skills!N2</f>
        <v/>
      </c>
      <c r="G540">
        <f>Calc!G2</f>
        <v/>
      </c>
      <c r="H540">
        <f>Calc!H2</f>
        <v/>
      </c>
      <c r="I540">
        <f>IF(Skills!T2&lt;&gt;"",1+(Skills!T2/10)*(Z541/1000)/100,1)</f>
        <v/>
      </c>
      <c r="J540">
        <f>((Inputs!$B$6*(1+Inputs!$B$7/100))+(((Inputs!$B$12*(1+Inputs!$B$13/100))-(Inputs!$B$12*(1+Inputs!$B$13/100)))+0.25*(Inputs!$B$14-Inputs!$B$14))*(1+Inputs!$B$7/100))*(F540/100)</f>
        <v/>
      </c>
      <c r="K540">
        <f>J540*(1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F556-Calc!F18),(Inputs!$B$23+(IF(ArtifactsInput!$M$15,CHOOSE(ArtifactsInput!$N$15+1,25,30,35,40,45,50)/100*(Inputs!$B$11-Inputs!$B$11),0))))/100+(Inputs!$B$23+(IF(ArtifactsInput!$M$15,CHOOSE(ArtifactsInput!$N$15+1,25,30,35,40,45,50)/100*(Inputs!$B$11-Inputs!$B$11),0)))/100)/2</f>
        <v/>
      </c>
      <c r="M540">
        <f>L540*(1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(1-Summary!$B$11)*S540+Summary!$B$11*U540</f>
        <v/>
      </c>
      <c r="P540">
        <f>IF(B574=0,0,O540/B574)</f>
        <v/>
      </c>
      <c r="Q540">
        <f>IFERROR(1/IF(Inputs!$B$38="pvp",15,MAX(0.1,Skills!D2-IF(Skills!E2=TRUE,Inputs!$B$32,0))),0)</f>
        <v/>
      </c>
      <c r="R540" t="n">
        <v>0</v>
      </c>
      <c r="S540">
        <f>IF(C540,(Skills!F2*N540*B570)*IF(Inputs!$B$38="pvp",1,1+(Inputs!$B$20+Skills!O2+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40">
        <f>MAX(0,(Inputs!$B$3-100)*3)+Inputs!$B$28+Inputs!$B$29</f>
        <v/>
      </c>
      <c r="U540">
        <f>IF(C540,(Skills!F2*N540*B570)*IF(Inputs!$B$38="pvp",1,(1+(Inputs!$B$21+Skills!P2+B565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40">
        <f>MAX(0,(Inputs!$B$3-100)*3)+Inputs!$B$28+Inputs!$B$29</f>
        <v/>
      </c>
    </row>
    <row r="541">
      <c r="A541">
        <f>Skills!A3</f>
        <v/>
      </c>
      <c r="B541">
        <f>Skills!B3</f>
        <v/>
      </c>
      <c r="C541">
        <f>Inputs!$B$3&gt;=15</f>
        <v/>
      </c>
      <c r="D541">
        <f>IF(Skills!C3=1,60+Inputs!$B$25+Inputs!$B$29,IF(Skills!C3=2,90+Inputs!$B$26+Inputs!$B$29,IF(Skills!C3=3,120+Inputs!$B$27+Inputs!$B$29,MAX(0,(Inputs!$B$3-100)*3)+Inputs!$B$28+Inputs!$B$29)))</f>
        <v/>
      </c>
      <c r="E541">
        <f>INDEX(FactorTable!$B$2:$Y$301, MATCH(ROUND(MIN(300,MAX(1,D541)),0), FactorTable!$A$2:$A$301,0), Skills!L3+1)</f>
        <v/>
      </c>
      <c r="F541">
        <f>IF(Skills!M3=TRUE,(Skills!K3/10)*(E541/1000),Skills!K3/10)+Skills!N3</f>
        <v/>
      </c>
      <c r="G541">
        <f>Calc!G3</f>
        <v/>
      </c>
      <c r="H541">
        <f>Calc!H3</f>
        <v/>
      </c>
      <c r="I541">
        <f>IF(Skills!T3&lt;&gt;"",1+(Skills!T3/10)*(Z541/1000)/100,1)</f>
        <v/>
      </c>
      <c r="J541" t="inlineStr"/>
      <c r="K541" t="inlineStr"/>
      <c r="L541" t="inlineStr"/>
      <c r="M541" t="inlineStr"/>
      <c r="N541" t="inlineStr"/>
      <c r="O541">
        <f>(1-Summary!$B$11)*S541+Summary!$B$11*U541</f>
        <v/>
      </c>
      <c r="P541">
        <f>IF(B574=0,0,O541/B574)</f>
        <v/>
      </c>
      <c r="Q541">
        <f>IFERROR(1/IF(Inputs!$B$38="pvp",15,MAX(0.1,Skills!D3-IF(Skills!E3=TRUE,Inputs!$B$32,0))),0)</f>
        <v/>
      </c>
      <c r="R541">
        <f>IF(AND(Inputs!$B$38&lt;&gt;"pvp",Inputs!$B$43&gt;0),IF(Inputs!$B$43&lt;=0,0,(INT(Inputs!$B$43/IF(Inputs!$B$38="pvp",15,MAX(0.1,Skills!D3-IF(Skills!E3=TRUE,Inputs!$B$32,0))))+1)),0)</f>
        <v/>
      </c>
      <c r="S541" t="n">
        <v>0</v>
      </c>
      <c r="T541">
        <f>INDEX(FactorTable!$B$2:$Y$301, MATCH(ROUND(MIN(300,MAX(1,T540)),0), FactorTable!$A$2:$A$301,0), 22)</f>
        <v/>
      </c>
      <c r="U541" t="n">
        <v>0</v>
      </c>
      <c r="Z541">
        <f>INDEX(FactorTable!$B$2:$Y$301, MATCH(ROUND(MIN(300,MAX(1,Z540)),0), FactorTable!$A$2:$A$301,0), 24)</f>
        <v/>
      </c>
    </row>
    <row r="542">
      <c r="A542">
        <f>Skills!A4</f>
        <v/>
      </c>
      <c r="B542">
        <f>Skills!B4</f>
        <v/>
      </c>
      <c r="C542">
        <f>Inputs!$B$3&gt;=40</f>
        <v/>
      </c>
      <c r="D542">
        <f>IF(Skills!C4=1,60+Inputs!$B$25+Inputs!$B$29,IF(Skills!C4=2,90+Inputs!$B$26+Inputs!$B$29,IF(Skills!C4=3,120+Inputs!$B$27+Inputs!$B$29,MAX(0,(Inputs!$B$3-100)*3)+Inputs!$B$28+Inputs!$B$29)))</f>
        <v/>
      </c>
      <c r="E542">
        <f>INDEX(FactorTable!$B$2:$Y$301, MATCH(ROUND(MIN(300,MAX(1,D542)),0), FactorTable!$A$2:$A$301,0), Skills!L4+1)</f>
        <v/>
      </c>
      <c r="F542">
        <f>IF(Skills!M4=TRUE,(Skills!K4/10)*(E542/1000),Skills!K4/10)+Skills!N4</f>
        <v/>
      </c>
      <c r="G542">
        <f>Calc!G4</f>
        <v/>
      </c>
      <c r="H542">
        <f>Calc!H4</f>
        <v/>
      </c>
      <c r="I542">
        <f>IF(Skills!T4&lt;&gt;"",1+(Skills!T4/10)*(Z541/1000)/100,1)</f>
        <v/>
      </c>
      <c r="J542" t="inlineStr"/>
      <c r="K542" t="inlineStr"/>
      <c r="L542" t="inlineStr"/>
      <c r="M542" t="inlineStr"/>
      <c r="N542" t="inlineStr"/>
      <c r="O542">
        <f>(1-Summary!$B$11)*S542+Summary!$B$11*U542</f>
        <v/>
      </c>
      <c r="P542">
        <f>IF(B574=0,0,O542/B574)</f>
        <v/>
      </c>
      <c r="Q542">
        <f>IFERROR(1/IF(Inputs!$B$38="pvp",15,MAX(0.1,Skills!D4-IF(Skills!E4=TRUE,Inputs!$B$32,0))),0)</f>
        <v/>
      </c>
      <c r="R542">
        <f>IF(AND(Inputs!$B$38&lt;&gt;"pvp",Inputs!$B$43&gt;0),IF(Inputs!$B$43&lt;=0,0,(INT(Inputs!$B$43/IF(Inputs!$B$38="pvp",15,MAX(0.1,Skills!D4-IF(Skills!E4=TRUE,Inputs!$B$32,0))))+1)),0)</f>
        <v/>
      </c>
      <c r="S542" t="n">
        <v>0</v>
      </c>
      <c r="T542">
        <f>290*T541/1000</f>
        <v/>
      </c>
      <c r="U542" t="n">
        <v>0</v>
      </c>
    </row>
    <row r="543">
      <c r="A543">
        <f>Skills!A5</f>
        <v/>
      </c>
      <c r="B543">
        <f>Skills!B5</f>
        <v/>
      </c>
      <c r="C543">
        <f>Inputs!$B$3&gt;=38</f>
        <v/>
      </c>
      <c r="D543">
        <f>IF(Skills!C5=1,60+Inputs!$B$25+Inputs!$B$29,IF(Skills!C5=2,90+Inputs!$B$26+Inputs!$B$29,IF(Skills!C5=3,120+Inputs!$B$27+Inputs!$B$29,MAX(0,(Inputs!$B$3-100)*3)+Inputs!$B$28+Inputs!$B$29)))</f>
        <v/>
      </c>
      <c r="E543">
        <f>INDEX(FactorTable!$B$2:$Y$301, MATCH(ROUND(MIN(300,MAX(1,D543)),0), FactorTable!$A$2:$A$301,0), Skills!L5+1)</f>
        <v/>
      </c>
      <c r="F543">
        <f>IF(Skills!M5=TRUE,(Skills!K5/10)*(E543/1000),Skills!K5/10)+Skills!N5</f>
        <v/>
      </c>
      <c r="G543">
        <f>Calc!G5</f>
        <v/>
      </c>
      <c r="H543">
        <f>Calc!H5</f>
        <v/>
      </c>
      <c r="I543">
        <f>IF(Skills!T5&lt;&gt;"",1+(Skills!T5/10)*(Z541/1000)/100,1)</f>
        <v/>
      </c>
      <c r="J543">
        <f>((Inputs!$B$6*(1+Inputs!$B$7/100))+(((Inputs!$B$12*(1+Inputs!$B$13/100))-(Inputs!$B$12*(1+Inputs!$B$13/100)))+0.25*(Inputs!$B$14-Inputs!$B$14))*(1+Inputs!$B$7/100))*(F543/100)</f>
        <v/>
      </c>
      <c r="K543">
        <f>J543*(1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F556-Calc!F18),(Inputs!$B$23+(IF(ArtifactsInput!$M$15,CHOOSE(ArtifactsInput!$N$15+1,25,30,35,40,45,50)/100*(Inputs!$B$11-Inputs!$B$11),0))))/100+(Inputs!$B$23+(IF(ArtifactsInput!$M$15,CHOOSE(ArtifactsInput!$N$15+1,25,30,35,40,45,50)/100*(Inputs!$B$11-Inputs!$B$11),0)))/100)/2</f>
        <v/>
      </c>
      <c r="M543">
        <f>L543*(1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(1-Summary!$B$11)*S543+Summary!$B$11*U543</f>
        <v/>
      </c>
      <c r="P543">
        <f>IF(B574=0,0,O543/B574)</f>
        <v/>
      </c>
      <c r="Q543">
        <f>IFERROR(1/IF(Inputs!$B$38="pvp",15,MAX(0.1,Skills!D5-IF(Skills!E5=TRUE,Inputs!$B$32,0))),0)</f>
        <v/>
      </c>
      <c r="R543">
        <f>IF(AND(Inputs!$B$38&lt;&gt;"pvp",Inputs!$B$43&gt;0),IF(MAX(0,Inputs!$B$43-B571)&lt;=0,0,(INT(MAX(0,Inputs!$B$43-B571)/IF(Inputs!$B$38="pvp",15,MAX(0.1,Skills!D5-IF(Skills!E5=TRUE,Inputs!$B$32,0))))+1)),0)</f>
        <v/>
      </c>
      <c r="S543">
        <f>IF(C543,(H543*N543*IF(AND(Inputs!$B$38&lt;&gt;"pvp",Inputs!$B$43&gt;0),((Skills!F5*((R543-1)*IF(Skills!G5&gt;0,Skills!H5/Skills!G5,1)+IF(Skills!G5&gt;0,MIN(Skills!H5,MAX(0,MAX(0,Inputs!$B$43-B571)-((R543-1)*IF(Inputs!$B$38="pvp",15,MAX(0.1,Skills!D5-IF(Skills!E5=TRUE,Inputs!$B$32,0))))))/Skills!G5,1)))/Inputs!$B$43),G543*Q543))*IF(Inputs!$B$38="pvp",1,1+(Inputs!$B$20+Skills!O5+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543*(1-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IF(C543,(H543*N543*IF(AND(Inputs!$B$38&lt;&gt;"pvp",Inputs!$B$43&gt;0),((Skills!F5*((R543-1)*IF(Skills!G5&gt;0,Skills!H5/Skills!G5,1)+IF(Skills!G5&gt;0,MIN(Skills!H5,MAX(0,MAX(0,Inputs!$B$43-B571)-((R543-1)*IF(Inputs!$B$38="pvp",15,MAX(0.1,Skills!D5-IF(Skills!E5=TRUE,Inputs!$B$32,0))))))/Skills!G5,1)))/Inputs!$B$43),G543*Q543))*IF(Inputs!$B$38="pvp",1,(1+(Inputs!$B$21+Skills!P5+B565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Skills!A6</f>
        <v/>
      </c>
      <c r="B544">
        <f>Skills!B6</f>
        <v/>
      </c>
      <c r="C544">
        <f>Inputs!$B$3&gt;=63</f>
        <v/>
      </c>
      <c r="D544">
        <f>IF(Skills!C6=1,60+Inputs!$B$25+Inputs!$B$29,IF(Skills!C6=2,90+Inputs!$B$26+Inputs!$B$29,IF(Skills!C6=3,120+Inputs!$B$27+Inputs!$B$29,MAX(0,(Inputs!$B$3-100)*3)+Inputs!$B$28+Inputs!$B$29)))</f>
        <v/>
      </c>
      <c r="E544">
        <f>INDEX(FactorTable!$B$2:$Y$301, MATCH(ROUND(MIN(300,MAX(1,D544)),0), FactorTable!$A$2:$A$301,0), Skills!L6+1)</f>
        <v/>
      </c>
      <c r="F544">
        <f>IF(Skills!M6=TRUE,(Skills!K6/10)*(E544/1000),Skills!K6/10)+Skills!N6</f>
        <v/>
      </c>
      <c r="G544">
        <f>Calc!G6</f>
        <v/>
      </c>
      <c r="H544">
        <f>Calc!H6</f>
        <v/>
      </c>
      <c r="I544">
        <f>IF(Skills!T6&lt;&gt;"",1+(Skills!T6/10)*(Z541/1000)/100,1)</f>
        <v/>
      </c>
      <c r="J544">
        <f>((Inputs!$B$6*(1+Inputs!$B$7/100))+(((Inputs!$B$12*(1+Inputs!$B$13/100))-(Inputs!$B$12*(1+Inputs!$B$13/100)))+0.25*(Inputs!$B$14-Inputs!$B$14))*(1+Inputs!$B$7/100))*(F544/100)</f>
        <v/>
      </c>
      <c r="K544">
        <f>J544*(1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F556-Calc!F18),(Inputs!$B$23+(IF(ArtifactsInput!$M$15,CHOOSE(ArtifactsInput!$N$15+1,25,30,35,40,45,50)/100*(Inputs!$B$11-Inputs!$B$11),0))))/100+(Inputs!$B$23+(IF(ArtifactsInput!$M$15,CHOOSE(ArtifactsInput!$N$15+1,25,30,35,40,45,50)/100*(Inputs!$B$11-Inputs!$B$11),0)))/100)/2</f>
        <v/>
      </c>
      <c r="M544">
        <f>L544*(1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(1-Summary!$B$11)*S544+Summary!$B$11*U544</f>
        <v/>
      </c>
      <c r="P544">
        <f>IF(B574=0,0,O544/B574)</f>
        <v/>
      </c>
      <c r="Q544">
        <f>IFERROR(1/IF(Inputs!$B$38="pvp",15,MAX(0.1,Skills!D6-IF(Skills!E6=TRUE,Inputs!$B$32,0))),0)</f>
        <v/>
      </c>
      <c r="R544">
        <f>IF(AND(Inputs!$B$38&lt;&gt;"pvp",Inputs!$B$43&gt;0),IF(MAX(0,Inputs!$B$43-B571)&lt;=0,0,(INT(MAX(0,Inputs!$B$43-B571)/IF(Inputs!$B$38="pvp",15,MAX(0.1,Skills!D6-IF(Skills!E6=TRUE,Inputs!$B$32,0))))+1)),0)</f>
        <v/>
      </c>
      <c r="S544">
        <f>IF(C544,(H544*N544*IF(AND(Inputs!$B$38&lt;&gt;"pvp",Inputs!$B$43&gt;0),((Skills!F6*((R544-1)*IF(Skills!G6&gt;0,Skills!H6/Skills!G6,1)+IF(Skills!G6&gt;0,MIN(Skills!H6,MAX(0,MAX(0,Inputs!$B$43-B571)-((R544-1)*IF(Inputs!$B$38="pvp",15,MAX(0.1,Skills!D6-IF(Skills!E6=TRUE,Inputs!$B$32,0))))))/Skills!G6,1)))/Inputs!$B$43),G544*Q544))*IF(Inputs!$B$38="pvp",1,1+(Inputs!$B$20+Skills!O6+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544*(1-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4">
        <f>IF(C544,(H544*N544*IF(AND(Inputs!$B$38&lt;&gt;"pvp",Inputs!$B$43&gt;0),((Skills!F6*((R544-1)*IF(Skills!G6&gt;0,Skills!H6/Skills!G6,1)+IF(Skills!G6&gt;0,MIN(Skills!H6,MAX(0,MAX(0,Inputs!$B$43-B571)-((R544-1)*IF(Inputs!$B$38="pvp",15,MAX(0.1,Skills!D6-IF(Skills!E6=TRUE,Inputs!$B$32,0))))))/Skills!G6,1)))/Inputs!$B$43),G544*Q544))*IF(Inputs!$B$38="pvp",1,(1+(Inputs!$B$21+Skills!P6+B565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Skills!A7</f>
        <v/>
      </c>
      <c r="B545">
        <f>Skills!B7</f>
        <v/>
      </c>
      <c r="C545">
        <f>Inputs!$B$3&gt;=69</f>
        <v/>
      </c>
      <c r="D545">
        <f>IF(Skills!C7=1,60+Inputs!$B$25+Inputs!$B$29,IF(Skills!C7=2,90+Inputs!$B$26+Inputs!$B$29,IF(Skills!C7=3,120+Inputs!$B$27+Inputs!$B$29,MAX(0,(Inputs!$B$3-100)*3)+Inputs!$B$28+Inputs!$B$29)))</f>
        <v/>
      </c>
      <c r="E545">
        <f>INDEX(FactorTable!$B$2:$Y$301, MATCH(ROUND(MIN(300,MAX(1,D545)),0), FactorTable!$A$2:$A$301,0), Skills!L7+1)</f>
        <v/>
      </c>
      <c r="F545">
        <f>IF(Skills!M7=TRUE,(Skills!K7/10)*(E545/1000),Skills!K7/10)+Skills!N7</f>
        <v/>
      </c>
      <c r="G545">
        <f>Calc!G7</f>
        <v/>
      </c>
      <c r="H545">
        <f>Calc!H7</f>
        <v/>
      </c>
      <c r="I545">
        <f>IF(Skills!T7&lt;&gt;"",1+(Skills!T7/10)*(Z541/1000)/100,1)</f>
        <v/>
      </c>
      <c r="J545">
        <f>((Inputs!$B$6*(1+Inputs!$B$7/100))+(((Inputs!$B$12*(1+Inputs!$B$13/100))-(Inputs!$B$12*(1+Inputs!$B$13/100)))+0.25*(Inputs!$B$14-Inputs!$B$14))*(1+Inputs!$B$7/100))*(F545/100)</f>
        <v/>
      </c>
      <c r="K545">
        <f>J545*(1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F556-Calc!F18),(Inputs!$B$23+(IF(ArtifactsInput!$M$15,CHOOSE(ArtifactsInput!$N$15+1,25,30,35,40,45,50)/100*(Inputs!$B$11-Inputs!$B$11),0))))/100+(Inputs!$B$23+(IF(ArtifactsInput!$M$15,CHOOSE(ArtifactsInput!$N$15+1,25,30,35,40,45,50)/100*(Inputs!$B$11-Inputs!$B$11),0)))/100)/2</f>
        <v/>
      </c>
      <c r="M545">
        <f>L545*(1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5">
        <f>L545*(1-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(1-Summary!$B$11)*S545+Summary!$B$11*U545</f>
        <v/>
      </c>
      <c r="P545">
        <f>IF(B574=0,0,O545/B574)</f>
        <v/>
      </c>
      <c r="Q545">
        <f>IFERROR(1/IF(Inputs!$B$38="pvp",15,MAX(0.1,Skills!D7-IF(Skills!E7=TRUE,Inputs!$B$32,0))),0)</f>
        <v/>
      </c>
      <c r="R545">
        <f>IF(AND(Inputs!$B$38&lt;&gt;"pvp",Inputs!$B$43&gt;0),IF(MAX(0,Inputs!$B$43-B571)&lt;=0,0,(INT(MAX(0,Inputs!$B$43-B571)/IF(Inputs!$B$38="pvp",15,MAX(0.1,Skills!D7-IF(Skills!E7=TRUE,Inputs!$B$32,0))))+1)),0)</f>
        <v/>
      </c>
      <c r="S545">
        <f>IF(C545,(H545*N545*IF(AND(Inputs!$B$38&lt;&gt;"pvp",Inputs!$B$43&gt;0),((Skills!F7*((R545-1)*IF(Skills!G7&gt;0,Skills!H7/Skills!G7,1)+IF(Skills!G7&gt;0,MIN(Skills!H7,MAX(0,MAX(0,Inputs!$B$43-B571)-((R545-1)*IF(Inputs!$B$38="pvp",15,MAX(0.1,Skills!D7-IF(Skills!E7=TRUE,Inputs!$B$32,0))))))/Skills!G7,1)))/Inputs!$B$43),G545*Q545))*IF(Inputs!$B$38="pvp",1,1+(Inputs!$B$20+Skills!O7+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545*(1-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5">
        <f>IF(C545,(H545*N545*IF(AND(Inputs!$B$38&lt;&gt;"pvp",Inputs!$B$43&gt;0),((Skills!F7*((R545-1)*IF(Skills!G7&gt;0,Skills!H7/Skills!G7,1)+IF(Skills!G7&gt;0,MIN(Skills!H7,MAX(0,MAX(0,Inputs!$B$43-B571)-((R545-1)*IF(Inputs!$B$38="pvp",15,MAX(0.1,Skills!D7-IF(Skills!E7=TRUE,Inputs!$B$32,0))))))/Skills!G7,1)))/Inputs!$B$43),G545*Q545))*IF(Inputs!$B$38="pvp",1,(1+(Inputs!$B$21+Skills!P7+B565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Skills!A8</f>
        <v/>
      </c>
      <c r="B546">
        <f>Skills!B8</f>
        <v/>
      </c>
      <c r="C546">
        <f>Inputs!$B$3&gt;=103</f>
        <v/>
      </c>
      <c r="D546">
        <f>IF(Skills!C8=1,60+Inputs!$B$25+Inputs!$B$29,IF(Skills!C8=2,90+Inputs!$B$26+Inputs!$B$29,IF(Skills!C8=3,120+Inputs!$B$27+Inputs!$B$29,MAX(0,(Inputs!$B$3-100)*3)+Inputs!$B$28+Inputs!$B$29)))</f>
        <v/>
      </c>
      <c r="E546">
        <f>INDEX(FactorTable!$B$2:$Y$301, MATCH(ROUND(MIN(300,MAX(1,D546)),0), FactorTable!$A$2:$A$301,0), Skills!L8+1)</f>
        <v/>
      </c>
      <c r="F546">
        <f>IF(Skills!M8=TRUE,(Skills!K8/10)*(E546/1000),Skills!K8/10)+Skills!N8</f>
        <v/>
      </c>
      <c r="G546">
        <f>Calc!G8</f>
        <v/>
      </c>
      <c r="H546">
        <f>Calc!H8</f>
        <v/>
      </c>
      <c r="I546">
        <f>IF(Skills!T8&lt;&gt;"",1+(Skills!T8/10)*(Z541/1000)/100,1)</f>
        <v/>
      </c>
      <c r="J546">
        <f>((Inputs!$B$6*(1+Inputs!$B$7/100))+(((Inputs!$B$12*(1+Inputs!$B$13/100))-(Inputs!$B$12*(1+Inputs!$B$13/100)))+0.25*(Inputs!$B$14-Inputs!$B$14))*(1+Inputs!$B$7/100))*(F546/100)</f>
        <v/>
      </c>
      <c r="K546">
        <f>J546*(1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F556-Calc!F18),(Inputs!$B$23+(IF(ArtifactsInput!$M$15,CHOOSE(ArtifactsInput!$N$15+1,25,30,35,40,45,50)/100*(Inputs!$B$11-Inputs!$B$11),0))))/100+(Inputs!$B$23+(IF(ArtifactsInput!$M$15,CHOOSE(ArtifactsInput!$N$15+1,25,30,35,40,45,50)/100*(Inputs!$B$11-Inputs!$B$11),0)))/100)/2</f>
        <v/>
      </c>
      <c r="M546">
        <f>L546*(1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(1-Summary!$B$11)*S546+Summary!$B$11*U546</f>
        <v/>
      </c>
      <c r="P546">
        <f>IF(B574=0,0,O546/B574)</f>
        <v/>
      </c>
      <c r="Q546">
        <f>IFERROR(1/IF(Inputs!$B$38="pvp",15,MAX(0.1,Skills!D8-IF(Skills!E8=TRUE,Inputs!$B$32,0))),0)</f>
        <v/>
      </c>
      <c r="R546">
        <f>IF(AND(Inputs!$B$38&lt;&gt;"pvp",Inputs!$B$43&gt;0),IF(MAX(0,Inputs!$B$43-B571)&lt;=0,0,(INT(MAX(0,Inputs!$B$43-B571)/IF(Inputs!$B$38="pvp",15,MAX(0.1,Skills!D8-IF(Skills!E8=TRUE,Inputs!$B$32,0))))+1)),0)</f>
        <v/>
      </c>
      <c r="S546">
        <f>IF(C546,(H546*N546*IF(AND(Inputs!$B$38&lt;&gt;"pvp",Inputs!$B$43&gt;0),((Skills!F8*((R546-1)*IF(Skills!G8&gt;0,Skills!H8/Skills!G8,1)+IF(Skills!G8&gt;0,MIN(Skills!H8,MAX(0,MAX(0,Inputs!$B$43-B571)-((R546-1)*IF(Inputs!$B$38="pvp",15,MAX(0.1,Skills!D8-IF(Skills!E8=TRUE,Inputs!$B$32,0))))))/Skills!G8,1)))/Inputs!$B$43),G546*Q546))*IF(Inputs!$B$38="pvp",1,1+(Inputs!$B$20+Skills!O8+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546*(1-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6">
        <f>IF(C546,(H546*N546*IF(AND(Inputs!$B$38&lt;&gt;"pvp",Inputs!$B$43&gt;0),((Skills!F8*((R546-1)*IF(Skills!G8&gt;0,Skills!H8/Skills!G8,1)+IF(Skills!G8&gt;0,MIN(Skills!H8,MAX(0,MAX(0,Inputs!$B$43-B571)-((R546-1)*IF(Inputs!$B$38="pvp",15,MAX(0.1,Skills!D8-IF(Skills!E8=TRUE,Inputs!$B$32,0))))))/Skills!G8,1)))/Inputs!$B$43),G546*Q546))*IF(Inputs!$B$38="pvp",1,(1+(Inputs!$B$21+Skills!P8+B565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Skills!A9</f>
        <v/>
      </c>
      <c r="B547">
        <f>Skills!B9</f>
        <v/>
      </c>
      <c r="C547">
        <f>Inputs!$B$3&gt;=105</f>
        <v/>
      </c>
      <c r="D547">
        <f>IF(Skills!C9=1,60+Inputs!$B$25+Inputs!$B$29,IF(Skills!C9=2,90+Inputs!$B$26+Inputs!$B$29,IF(Skills!C9=3,120+Inputs!$B$27+Inputs!$B$29,MAX(0,(Inputs!$B$3-100)*3)+Inputs!$B$28+Inputs!$B$29)))</f>
        <v/>
      </c>
      <c r="E547">
        <f>INDEX(FactorTable!$B$2:$Y$301, MATCH(ROUND(MIN(300,MAX(1,D547)),0), FactorTable!$A$2:$A$301,0), Skills!L9+1)</f>
        <v/>
      </c>
      <c r="F547">
        <f>IF(Skills!M9=TRUE,(Skills!K9/10)*(E547/1000),Skills!K9/10)+Skills!N9</f>
        <v/>
      </c>
      <c r="G547">
        <f>Calc!G9</f>
        <v/>
      </c>
      <c r="H547">
        <f>Calc!H9</f>
        <v/>
      </c>
      <c r="I547">
        <f>IF(Skills!T9&lt;&gt;"",1+(Skills!T9/10)*(Z541/1000)/100,1)</f>
        <v/>
      </c>
      <c r="J547">
        <f>((Inputs!$B$6*(1+Inputs!$B$7/100))+(((Inputs!$B$12*(1+Inputs!$B$13/100))-(Inputs!$B$12*(1+Inputs!$B$13/100)))+0.25*(Inputs!$B$14-Inputs!$B$14))*(1+Inputs!$B$7/100))*(F547/100)</f>
        <v/>
      </c>
      <c r="K547">
        <f>J547*(1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F556-Calc!F18),(Inputs!$B$23+(IF(ArtifactsInput!$M$15,CHOOSE(ArtifactsInput!$N$15+1,25,30,35,40,45,50)/100*(Inputs!$B$11-Inputs!$B$11),0))))/100+(Inputs!$B$23+(IF(ArtifactsInput!$M$15,CHOOSE(ArtifactsInput!$N$15+1,25,30,35,40,45,50)/100*(Inputs!$B$11-Inputs!$B$11),0)))/100)/2</f>
        <v/>
      </c>
      <c r="M547">
        <f>L547*(1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(1-Summary!$B$11)*S547+Summary!$B$11*U547</f>
        <v/>
      </c>
      <c r="P547">
        <f>IF(B574=0,0,O547/B574)</f>
        <v/>
      </c>
      <c r="Q547">
        <f>IFERROR(1/IF(Inputs!$B$38="pvp",15,MAX(0.1,Skills!D9-IF(Skills!E9=TRUE,Inputs!$B$32,0))),0)</f>
        <v/>
      </c>
      <c r="R547">
        <f>IF(AND(Inputs!$B$38&lt;&gt;"pvp",Inputs!$B$43&gt;0),IF(MAX(0,Inputs!$B$43-B571)&lt;=0,0,(INT(MAX(0,Inputs!$B$43-B571)/IF(Inputs!$B$38="pvp",15,MAX(0.1,Skills!D9-IF(Skills!E9=TRUE,Inputs!$B$32,0))))+1)),0)</f>
        <v/>
      </c>
      <c r="S547">
        <f>IF(C547,(H547*N547*IF(AND(Inputs!$B$38&lt;&gt;"pvp",Inputs!$B$43&gt;0),((Skills!F9*((R547-1)*IF(Skills!G9&gt;0,Skills!H9/Skills!G9,1)+IF(Skills!G9&gt;0,MIN(Skills!H9,MAX(0,MAX(0,Inputs!$B$43-B571)-((R547-1)*IF(Inputs!$B$38="pvp",15,MAX(0.1,Skills!D9-IF(Skills!E9=TRUE,Inputs!$B$32,0))))))/Skills!G9,1)))/Inputs!$B$43),G547*Q547))*IF(Inputs!$B$38="pvp",1,1+(Inputs!$B$20+Skills!O9+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547*(1-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7">
        <f>IF(C547,(H547*N547*IF(AND(Inputs!$B$38&lt;&gt;"pvp",Inputs!$B$43&gt;0),((Skills!F9*((R547-1)*IF(Skills!G9&gt;0,Skills!H9/Skills!G9,1)+IF(Skills!G9&gt;0,MIN(Skills!H9,MAX(0,MAX(0,Inputs!$B$43-B571)-((R547-1)*IF(Inputs!$B$38="pvp",15,MAX(0.1,Skills!D9-IF(Skills!E9=TRUE,Inputs!$B$32,0))))))/Skills!G9,1)))/Inputs!$B$43),G547*Q547))*IF(Inputs!$B$38="pvp",1,(1+(Inputs!$B$21+Skills!P9+B565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Skills!A10</f>
        <v/>
      </c>
      <c r="B548">
        <f>Skills!B10</f>
        <v/>
      </c>
      <c r="C548">
        <f>Inputs!$B$3&gt;=113</f>
        <v/>
      </c>
      <c r="D548">
        <f>IF(Skills!C10=1,60+Inputs!$B$25+Inputs!$B$29,IF(Skills!C10=2,90+Inputs!$B$26+Inputs!$B$29,IF(Skills!C10=3,120+Inputs!$B$27+Inputs!$B$29,MAX(0,(Inputs!$B$3-100)*3)+Inputs!$B$28+Inputs!$B$29)))</f>
        <v/>
      </c>
      <c r="E548">
        <f>INDEX(FactorTable!$B$2:$Y$301, MATCH(ROUND(MIN(300,MAX(1,D548)),0), FactorTable!$A$2:$A$301,0), Skills!L10+1)</f>
        <v/>
      </c>
      <c r="F548">
        <f>IF(Skills!M10=TRUE,(Skills!K10/10)*(E548/1000),Skills!K10/10)+Skills!N10</f>
        <v/>
      </c>
      <c r="G548">
        <f>Calc!G10</f>
        <v/>
      </c>
      <c r="H548">
        <f>Calc!H10</f>
        <v/>
      </c>
      <c r="I548">
        <f>IF(Skills!T10&lt;&gt;"",1+(Skills!T10/10)*(Z541/1000)/100,1)</f>
        <v/>
      </c>
      <c r="J548">
        <f>((Inputs!$B$6*(1+Inputs!$B$7/100))+(((Inputs!$B$12*(1+Inputs!$B$13/100))-(Inputs!$B$12*(1+Inputs!$B$13/100)))+0.25*(Inputs!$B$14-Inputs!$B$14))*(1+Inputs!$B$7/100))*(F548/100)</f>
        <v/>
      </c>
      <c r="K548">
        <f>J548*(1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F556-Calc!F18),(Inputs!$B$23+(IF(ArtifactsInput!$M$15,CHOOSE(ArtifactsInput!$N$15+1,25,30,35,40,45,50)/100*(Inputs!$B$11-Inputs!$B$11),0))))/100+(Inputs!$B$23+(IF(ArtifactsInput!$M$15,CHOOSE(ArtifactsInput!$N$15+1,25,30,35,40,45,50)/100*(Inputs!$B$11-Inputs!$B$11),0)))/100)/2</f>
        <v/>
      </c>
      <c r="M548">
        <f>L548*(1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(1-Summary!$B$11)*S548+Summary!$B$11*U548</f>
        <v/>
      </c>
      <c r="P548">
        <f>IF(B574=0,0,O548/B574)</f>
        <v/>
      </c>
      <c r="Q548">
        <f>IFERROR(1/IF(Inputs!$B$38="pvp",15,MAX(0.1,Skills!D10-IF(Skills!E9=TRUE,Inputs!$B$32,0))),0)</f>
        <v/>
      </c>
      <c r="R548">
        <f>IF(AND(Inputs!$B$38&lt;&gt;"pvp",Inputs!$B$43&gt;0),IF(MAX(0,Inputs!$B$43-B571)&lt;=0,0,(INT(MAX(0,Inputs!$B$43-B571)/IF(Inputs!$B$38="pvp",15,MAX(0.1,Skills!D10-IF(Skills!E9=TRUE,Inputs!$B$32,0))))+1)),0)</f>
        <v/>
      </c>
      <c r="S548">
        <f>IF(C548,(H548*N548*IF(AND(Inputs!$B$38&lt;&gt;"pvp",Inputs!$B$43&gt;0),((Skills!F10*((R548-1)*IF(Skills!G10&gt;0,Skills!H10/Skills!G10,1)+IF(Skills!G10&gt;0,MIN(Skills!H10,MAX(0,MAX(0,Inputs!$B$43-B571)-((R548-1)*IF(Inputs!$B$38="pvp",15,MAX(0.1,Skills!D10-IF(Skills!E9=TRUE,Inputs!$B$32,0))))))/Skills!G10,1)))/Inputs!$B$43),G548*Q548))*IF(Inputs!$B$38="pvp",1,1+(Inputs!$B$20+Skills!O10+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548*(1-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8">
        <f>IF(C548,(H548*N548*IF(AND(Inputs!$B$38&lt;&gt;"pvp",Inputs!$B$43&gt;0),((Skills!F10*((R548-1)*IF(Skills!G10&gt;0,Skills!H10/Skills!G10,1)+IF(Skills!G10&gt;0,MIN(Skills!H10,MAX(0,MAX(0,Inputs!$B$43-B571)-((R548-1)*IF(Inputs!$B$38="pvp",15,MAX(0.1,Skills!D10-IF(Skills!E9=TRUE,Inputs!$B$32,0))))))/Skills!G10,1)))/Inputs!$B$43),G548*Q548))*IF(Inputs!$B$38="pvp",1,(1+(Inputs!$B$21+Skills!P10+B565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Skills!A11</f>
        <v/>
      </c>
      <c r="B549">
        <f>Skills!B11</f>
        <v/>
      </c>
      <c r="C549">
        <f>Inputs!$B$3&gt;=107</f>
        <v/>
      </c>
      <c r="D549">
        <f>IF(Skills!C11=1,60+Inputs!$B$25+Inputs!$B$29,IF(Skills!C11=2,90+Inputs!$B$26+Inputs!$B$29,IF(Skills!C11=3,120+Inputs!$B$27+Inputs!$B$29,MAX(0,(Inputs!$B$3-100)*3)+Inputs!$B$28+Inputs!$B$29)))</f>
        <v/>
      </c>
      <c r="E549">
        <f>INDEX(FactorTable!$B$2:$Y$301, MATCH(ROUND(MIN(300,MAX(1,D549)),0), FactorTable!$A$2:$A$301,0), Skills!L11+1)</f>
        <v/>
      </c>
      <c r="F549">
        <f>IF(Skills!M11=TRUE,(Skills!K11/10)*(E549/1000),Skills!K11/10)+Skills!N11</f>
        <v/>
      </c>
      <c r="G549">
        <f>Calc!G11</f>
        <v/>
      </c>
      <c r="H549">
        <f>Calc!H11</f>
        <v/>
      </c>
      <c r="I549">
        <f>IF(Skills!T11&lt;&gt;"",1+(Skills!T11/10)*(Z541/1000)/100,1)</f>
        <v/>
      </c>
      <c r="J549">
        <f>((Inputs!$B$6*(1+Inputs!$B$7/100))+(((Inputs!$B$12*(1+Inputs!$B$13/100))-(Inputs!$B$12*(1+Inputs!$B$13/100)))+0.25*(Inputs!$B$14-Inputs!$B$14))*(1+Inputs!$B$7/100))*(F549/100)</f>
        <v/>
      </c>
      <c r="K549">
        <f>J549*(1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F556-Calc!F18),(Inputs!$B$23+(IF(ArtifactsInput!$M$15,CHOOSE(ArtifactsInput!$N$15+1,25,30,35,40,45,50)/100*(Inputs!$B$11-Inputs!$B$11),0))))/100+(Inputs!$B$23+(IF(ArtifactsInput!$M$15,CHOOSE(ArtifactsInput!$N$15+1,25,30,35,40,45,50)/100*(Inputs!$B$11-Inputs!$B$11),0)))/100)/2</f>
        <v/>
      </c>
      <c r="M549">
        <f>L549*(1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(1-Summary!$B$11)*S549+Summary!$B$11*U549</f>
        <v/>
      </c>
      <c r="P549">
        <f>IF(B574=0,0,O549/B574)</f>
        <v/>
      </c>
      <c r="Q549">
        <f>IFERROR(1/IF(Inputs!$B$38="pvp",15,MAX(0.1,Skills!D11-IF(Skills!E11=TRUE,Inputs!$B$32,0))),0)</f>
        <v/>
      </c>
      <c r="R549">
        <f>IF(AND(Inputs!$B$38&lt;&gt;"pvp",Inputs!$B$43&gt;0),IF(MAX(0,Inputs!$B$43-B571)&lt;=0,0,(INT(MAX(0,Inputs!$B$43-B571)/IF(Inputs!$B$38="pvp",15,MAX(0.1,Skills!D11-IF(Skills!E11=TRUE,Inputs!$B$32,0))))+1)),0)</f>
        <v/>
      </c>
      <c r="S549">
        <f>IF(C549,H549*N549*IF(AND(Inputs!$B$38&lt;&gt;"pvp",Inputs!$B$43&gt;0),((Skills!F11*((R549-1)*IF(Skills!G11&gt;0,Skills!H11/Skills!G11,1)+IF(Skills!G11&gt;0,MIN(Skills!H11,MAX(0,MAX(0,Inputs!$B$43-B571)-((R549-1)*IF(Inputs!$B$38="pvp",15,MAX(0.1,Skills!D11-IF(Skills!E11=TRUE,Inputs!$B$32,0))))))/Skills!G11,1)))/Inputs!$B$43),G549*Q549)*0.5*IF(Inputs!$B$38="pvp",1,1+(Inputs!$B$20+Skills!O11+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549*(1-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9">
        <f>IF(C549,H549*N549*IF(AND(Inputs!$B$38&lt;&gt;"pvp",Inputs!$B$43&gt;0),((Skills!F11*((R549-1)*IF(Skills!G11&gt;0,Skills!H11/Skills!G11,1)+IF(Skills!G11&gt;0,MIN(Skills!H11,MAX(0,MAX(0,Inputs!$B$43-B571)-((R549-1)*IF(Inputs!$B$38="pvp",15,MAX(0.1,Skills!D11-IF(Skills!E11=TRUE,Inputs!$B$32,0))))))/Skills!G11,1)))/Inputs!$B$43),G549*Q549)*1*IF(Inputs!$B$38="pvp",1,(1+(Inputs!$B$21+Skills!P11+B565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Skills!A12</f>
        <v/>
      </c>
      <c r="B550">
        <f>Skills!B12</f>
        <v/>
      </c>
      <c r="C550">
        <f>Inputs!$B$3&gt;=115</f>
        <v/>
      </c>
      <c r="D550">
        <f>IF(Skills!C12=1,60+Inputs!$B$25+Inputs!$B$29,IF(Skills!C12=2,90+Inputs!$B$26+Inputs!$B$29,IF(Skills!C12=3,120+Inputs!$B$27+Inputs!$B$29,MAX(0,(Inputs!$B$3-100)*3)+Inputs!$B$28+Inputs!$B$29)))</f>
        <v/>
      </c>
      <c r="E550">
        <f>INDEX(FactorTable!$B$2:$Y$301, MATCH(ROUND(MIN(300,MAX(1,D550)),0), FactorTable!$A$2:$A$301,0), Skills!L12+1)</f>
        <v/>
      </c>
      <c r="F550">
        <f>IF(Skills!M12=TRUE,(Skills!K12/10)*(E550/1000),Skills!K12/10)+Skills!N12</f>
        <v/>
      </c>
      <c r="G550">
        <f>Calc!G12</f>
        <v/>
      </c>
      <c r="H550">
        <f>Calc!H12</f>
        <v/>
      </c>
      <c r="I550">
        <f>IF(Skills!T12&lt;&gt;"",1+(Skills!T12/10)*(Z541/1000)/100,1)</f>
        <v/>
      </c>
      <c r="J550">
        <f>((Inputs!$B$6*(1+Inputs!$B$7/100))+(((Inputs!$B$12*(1+Inputs!$B$13/100))-(Inputs!$B$12*(1+Inputs!$B$13/100)))+0.25*(Inputs!$B$14-Inputs!$B$14))*(1+Inputs!$B$7/100))*(F550/100)</f>
        <v/>
      </c>
      <c r="K550">
        <f>J550*(1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F556-Calc!F18),(Inputs!$B$23+(IF(ArtifactsInput!$M$15,CHOOSE(ArtifactsInput!$N$15+1,25,30,35,40,45,50)/100*(Inputs!$B$11-Inputs!$B$11),0))))/100+(Inputs!$B$23+(IF(ArtifactsInput!$M$15,CHOOSE(ArtifactsInput!$N$15+1,25,30,35,40,45,50)/100*(Inputs!$B$11-Inputs!$B$11),0)))/100)/2</f>
        <v/>
      </c>
      <c r="M550">
        <f>L550*(1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(1-Summary!$B$11)*S550+Summary!$B$11*U550</f>
        <v/>
      </c>
      <c r="P550">
        <f>IF(B574=0,0,O550/B574)</f>
        <v/>
      </c>
      <c r="Q550">
        <f>IFERROR(1/IF(Inputs!$B$38="pvp",15,MAX(0.1,Skills!D12-IF(Skills!E12=TRUE,Inputs!$B$32,0))),0)</f>
        <v/>
      </c>
      <c r="R550">
        <f>IF(AND(Inputs!$B$38&lt;&gt;"pvp",Inputs!$B$43&gt;0),IF(MAX(0,Inputs!$B$43-B571)&lt;=0,0,(INT(MAX(0,Inputs!$B$43-B571)/IF(Inputs!$B$38="pvp",15,MAX(0.1,Skills!D12-IF(Skills!E12=TRUE,Inputs!$B$32,0))))+1)),0)</f>
        <v/>
      </c>
      <c r="S550">
        <f>IF(C550,(H550*N550*IF(AND(Inputs!$B$38&lt;&gt;"pvp",Inputs!$B$43&gt;0),((Skills!F12*((R550-1)*IF(Skills!G12&gt;0,Skills!H12/Skills!G12,1)+IF(Skills!G12&gt;0,MIN(Skills!H12,MAX(0,MAX(0,Inputs!$B$43-B571)-((R550-1)*IF(Inputs!$B$38="pvp",15,MAX(0.1,Skills!D12-IF(Skills!E12=TRUE,Inputs!$B$32,0))))))/Skills!G12,1)))/Inputs!$B$43),G550*Q550))*IF(Inputs!$B$38="pvp",1,1+(Inputs!$B$20+Skills!O12+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0">
        <f>IF(C550,(H550*N550*IF(AND(Inputs!$B$38&lt;&gt;"pvp",Inputs!$B$43&gt;0),((Skills!F12*((R550-1)*IF(Skills!G12&gt;0,Skills!H12/Skills!G12,1)+IF(Skills!G12&gt;0,MIN(Skills!H12,MAX(0,MAX(0,Inputs!$B$43-B571)-((R550-1)*IF(Inputs!$B$38="pvp",15,MAX(0.1,Skills!D12-IF(Skills!E12=TRUE,Inputs!$B$32,0))))))/Skills!G12,1)))/Inputs!$B$43),G550*Q550))*IF(Inputs!$B$38="pvp",1,(1+(Inputs!$B$21+Skills!P12+B565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Skills!A13</f>
        <v/>
      </c>
      <c r="B551">
        <f>Skills!B13</f>
        <v/>
      </c>
      <c r="C551">
        <f>Inputs!$B$3&gt;=49</f>
        <v/>
      </c>
      <c r="D551">
        <f>IF(Skills!C13=1,60+Inputs!$B$25+Inputs!$B$29,IF(Skills!C13=2,90+Inputs!$B$26+Inputs!$B$29,IF(Skills!C13=3,120+Inputs!$B$27+Inputs!$B$29,MAX(0,(Inputs!$B$3-100)*3)+Inputs!$B$28+Inputs!$B$29)))</f>
        <v/>
      </c>
      <c r="E551">
        <f>INDEX(FactorTable!$B$2:$Y$301, MATCH(ROUND(MIN(300,MAX(1,D551)),0), FactorTable!$A$2:$A$301,0), Skills!L13+1)</f>
        <v/>
      </c>
      <c r="F551">
        <f>IF(Skills!M13=TRUE,(Skills!K13/10)*(E551/1000),Skills!K13/10)+Skills!N13</f>
        <v/>
      </c>
      <c r="G551">
        <f>Calc!G13</f>
        <v/>
      </c>
      <c r="H551">
        <f>Calc!H13</f>
        <v/>
      </c>
      <c r="I551">
        <f>IF(Skills!T13&lt;&gt;"",1+(Skills!T13/10)*(Z541/1000)/100,1)</f>
        <v/>
      </c>
      <c r="J551" t="inlineStr"/>
      <c r="K551" t="inlineStr"/>
      <c r="L551" t="inlineStr"/>
      <c r="M551" t="inlineStr"/>
      <c r="N551" t="inlineStr"/>
      <c r="O551">
        <f>(1-Summary!$B$11)*S551+Summary!$B$11*U551</f>
        <v/>
      </c>
      <c r="P551">
        <f>IF(B574=0,0,O551/B574)</f>
        <v/>
      </c>
      <c r="Q551">
        <f>IFERROR(1/IF(Inputs!$B$38="pvp",15,MAX(0.1,Skills!D13-IF(Skills!E13=TRUE,Inputs!$B$32,0))),0)</f>
        <v/>
      </c>
      <c r="R551" t="n">
        <v>0</v>
      </c>
      <c r="S551" t="n">
        <v>0</v>
      </c>
      <c r="U551" t="n">
        <v>0</v>
      </c>
    </row>
    <row r="552">
      <c r="A552">
        <f>Skills!A14</f>
        <v/>
      </c>
      <c r="B552">
        <f>Skills!B14</f>
        <v/>
      </c>
      <c r="C552">
        <f>Inputs!$B$3&gt;=72</f>
        <v/>
      </c>
      <c r="D552">
        <f>IF(Skills!C14=1,60+Inputs!$B$25+Inputs!$B$29,IF(Skills!C14=2,90+Inputs!$B$26+Inputs!$B$29,IF(Skills!C14=3,120+Inputs!$B$27+Inputs!$B$29,MAX(0,(Inputs!$B$3-100)*3)+Inputs!$B$28+Inputs!$B$29)))</f>
        <v/>
      </c>
      <c r="E552">
        <f>INDEX(FactorTable!$B$2:$Y$301, MATCH(ROUND(MIN(300,MAX(1,D552)),0), FactorTable!$A$2:$A$301,0), Skills!L14+1)</f>
        <v/>
      </c>
      <c r="F552">
        <f>IF(Skills!M14=TRUE,(Skills!K14/10)*(E552/1000),Skills!K14/10)+Skills!N14</f>
        <v/>
      </c>
      <c r="G552">
        <f>Calc!G14</f>
        <v/>
      </c>
      <c r="H552">
        <f>Calc!H14</f>
        <v/>
      </c>
      <c r="I552">
        <f>IF(Skills!T14&lt;&gt;"",1+(Skills!T14/10)*(Z541/1000)/100,1)</f>
        <v/>
      </c>
      <c r="J552" t="inlineStr"/>
      <c r="K552" t="inlineStr"/>
      <c r="L552" t="inlineStr"/>
      <c r="M552" t="inlineStr"/>
      <c r="N552" t="inlineStr"/>
      <c r="O552">
        <f>(1-Summary!$B$11)*S552+Summary!$B$11*U552</f>
        <v/>
      </c>
      <c r="P552">
        <f>IF(B574=0,0,O552/B574)</f>
        <v/>
      </c>
      <c r="Q552">
        <f>IFERROR(1/IF(Inputs!$B$38="pvp",15,MAX(0.1,Skills!D14-IF(Skills!E14=TRUE,Inputs!$B$32,0))),0)</f>
        <v/>
      </c>
      <c r="R552" t="n">
        <v>0</v>
      </c>
      <c r="S552" t="n">
        <v>0</v>
      </c>
      <c r="U552" t="n">
        <v>0</v>
      </c>
    </row>
    <row r="553">
      <c r="A553">
        <f>Skills!A15</f>
        <v/>
      </c>
      <c r="B553">
        <f>Skills!B15</f>
        <v/>
      </c>
      <c r="C553">
        <f>Inputs!$B$3&gt;=75</f>
        <v/>
      </c>
      <c r="D553">
        <f>IF(Skills!C15=1,60+Inputs!$B$25+Inputs!$B$29,IF(Skills!C15=2,90+Inputs!$B$26+Inputs!$B$29,IF(Skills!C15=3,120+Inputs!$B$27+Inputs!$B$29,MAX(0,(Inputs!$B$3-100)*3)+Inputs!$B$28+Inputs!$B$29)))</f>
        <v/>
      </c>
      <c r="E553">
        <f>INDEX(FactorTable!$B$2:$Y$301, MATCH(ROUND(MIN(300,MAX(1,D553)),0), FactorTable!$A$2:$A$301,0), Skills!L15+1)</f>
        <v/>
      </c>
      <c r="F553">
        <f>IF(Skills!M15=TRUE,(Skills!K15/10)*(E553/1000),Skills!K15/10)+Skills!N15</f>
        <v/>
      </c>
      <c r="G553">
        <f>Calc!G15</f>
        <v/>
      </c>
      <c r="H553">
        <f>Calc!H15</f>
        <v/>
      </c>
      <c r="I553">
        <f>IF(Skills!T15&lt;&gt;"",1+(Skills!T15/10)*(Z541/1000)/100,1)</f>
        <v/>
      </c>
      <c r="J553" t="inlineStr"/>
      <c r="K553" t="inlineStr"/>
      <c r="L553" t="inlineStr"/>
      <c r="M553" t="inlineStr"/>
      <c r="N553" t="inlineStr"/>
      <c r="O553">
        <f>(1-Summary!$B$11)*S553+Summary!$B$11*U553</f>
        <v/>
      </c>
      <c r="P553">
        <f>IF(B574=0,0,O553/B574)</f>
        <v/>
      </c>
      <c r="Q553">
        <f>IFERROR(1/IF(Inputs!$B$38="pvp",15,MAX(0.1,Skills!D15-IF(Skills!E15=TRUE,Inputs!$B$32,0))),0)</f>
        <v/>
      </c>
      <c r="R553" t="n">
        <v>0</v>
      </c>
      <c r="S553" t="n">
        <v>0</v>
      </c>
      <c r="U553" t="n">
        <v>0</v>
      </c>
    </row>
    <row r="554">
      <c r="A554">
        <f>Skills!A16</f>
        <v/>
      </c>
      <c r="B554">
        <f>Skills!B16</f>
        <v/>
      </c>
      <c r="C554">
        <f>Inputs!$B$3&gt;=110</f>
        <v/>
      </c>
      <c r="D554">
        <f>IF(Skills!C16=1,60+Inputs!$B$25+Inputs!$B$29,IF(Skills!C16=2,90+Inputs!$B$26+Inputs!$B$29,IF(Skills!C16=3,120+Inputs!$B$27+Inputs!$B$29,MAX(0,(Inputs!$B$3-100)*3)+Inputs!$B$28+Inputs!$B$29)))</f>
        <v/>
      </c>
      <c r="E554">
        <f>INDEX(FactorTable!$B$2:$Y$301, MATCH(ROUND(MIN(300,MAX(1,D554)),0), FactorTable!$A$2:$A$301,0), Skills!L16+1)</f>
        <v/>
      </c>
      <c r="F554">
        <f>(Skills!K16/10)*(E554/1000)*64/45+Skills!N16</f>
        <v/>
      </c>
      <c r="G554">
        <f>Calc!G16</f>
        <v/>
      </c>
      <c r="H554">
        <f>Calc!H16</f>
        <v/>
      </c>
      <c r="I554">
        <f>IF(Skills!T16&lt;&gt;"",1+(Skills!T16/10)*(Z541/1000)/100,1)</f>
        <v/>
      </c>
      <c r="J554" t="inlineStr"/>
      <c r="K554" t="inlineStr"/>
      <c r="L554" t="inlineStr"/>
      <c r="M554" t="inlineStr"/>
      <c r="N554" t="inlineStr"/>
      <c r="O554">
        <f>(1-Summary!$B$11)*S554+Summary!$B$11*U554</f>
        <v/>
      </c>
      <c r="P554">
        <f>IF(B574=0,0,O554/B574)</f>
        <v/>
      </c>
      <c r="Q554">
        <f>IFERROR(1/IF(Inputs!$B$38="pvp",15,MAX(0.1,Skills!D16-IF(Skills!E16=TRUE,Inputs!$B$32,0))),0)</f>
        <v/>
      </c>
      <c r="R554">
        <f>IF(AND(Inputs!$B$38&lt;&gt;"pvp",Inputs!$B$43&gt;0),IF(Inputs!$B$43&lt;=0,0,(INT(Inputs!$B$43/IF(Inputs!$B$38="pvp",15,MAX(0.1,Skills!D16-IF(Skills!E16=TRUE,Inputs!$B$32,0))))+1)),0)</f>
        <v/>
      </c>
      <c r="S554" t="n">
        <v>0</v>
      </c>
      <c r="U554" t="n">
        <v>0</v>
      </c>
    </row>
    <row r="555">
      <c r="A555">
        <f>Skills!A17</f>
        <v/>
      </c>
      <c r="B555">
        <f>Skills!B17</f>
        <v/>
      </c>
      <c r="C555">
        <f>Inputs!$B$3&gt;=33</f>
        <v/>
      </c>
      <c r="D555">
        <f>IF(Skills!C17=1,60+Inputs!$B$25+Inputs!$B$29,IF(Skills!C17=2,90+Inputs!$B$26+Inputs!$B$29,IF(Skills!C17=3,120+Inputs!$B$27+Inputs!$B$29,MAX(0,(Inputs!$B$3-100)*3)+Inputs!$B$28+Inputs!$B$29)))</f>
        <v/>
      </c>
      <c r="E555">
        <f>INDEX(FactorTable!$B$2:$Y$301, MATCH(ROUND(MIN(300,MAX(1,D555)),0), FactorTable!$A$2:$A$301,0), Skills!L17+1)</f>
        <v/>
      </c>
      <c r="F555">
        <f>IF(Skills!M17=TRUE,(Skills!K17/10)*(E555/1000),Skills!K17/10)+Skills!N17</f>
        <v/>
      </c>
      <c r="G555">
        <f>Calc!G17</f>
        <v/>
      </c>
      <c r="H555">
        <f>Calc!H17</f>
        <v/>
      </c>
      <c r="I555">
        <f>IF(Skills!T17&lt;&gt;"",1+(Skills!T17/10)*(Z541/1000)/100,1)</f>
        <v/>
      </c>
      <c r="J555" t="inlineStr"/>
      <c r="K555" t="inlineStr"/>
      <c r="L555" t="inlineStr"/>
      <c r="M555" t="inlineStr"/>
      <c r="N555" t="inlineStr"/>
      <c r="O555">
        <f>(1-Summary!$B$11)*S555+Summary!$B$11*U555</f>
        <v/>
      </c>
      <c r="P555">
        <f>IF(B574=0,0,O555/B574)</f>
        <v/>
      </c>
      <c r="Q555">
        <f>IFERROR(1/IF(Inputs!$B$38="pvp",15,MAX(0.1,Skills!D17-IF(Skills!E17=TRUE,Inputs!$B$32,0))),0)</f>
        <v/>
      </c>
      <c r="R555" t="n">
        <v>0</v>
      </c>
      <c r="S555" t="n">
        <v>0</v>
      </c>
      <c r="U555" t="n">
        <v>0</v>
      </c>
    </row>
    <row r="556">
      <c r="A556">
        <f>Skills!A18</f>
        <v/>
      </c>
      <c r="B556">
        <f>Skills!B18</f>
        <v/>
      </c>
      <c r="C556">
        <f>Inputs!$B$3&gt;=43</f>
        <v/>
      </c>
      <c r="D556">
        <f>IF(Skills!C18=1,60+Inputs!$B$25+Inputs!$B$29,IF(Skills!C18=2,90+Inputs!$B$26+Inputs!$B$29,IF(Skills!C18=3,120+Inputs!$B$27+Inputs!$B$29,MAX(0,(Inputs!$B$3-100)*3)+Inputs!$B$28+Inputs!$B$29)))</f>
        <v/>
      </c>
      <c r="E556">
        <f>INDEX(FactorTable!$B$2:$Y$301, MATCH(ROUND(MIN(300,MAX(1,D556)),0), FactorTable!$A$2:$A$301,0), Skills!L18+1)</f>
        <v/>
      </c>
      <c r="F556">
        <f>IF(Skills!M18=TRUE,(Skills!K18/10)*(E556/1000),Skills!K18/10)+Skills!N18</f>
        <v/>
      </c>
      <c r="G556">
        <f>Calc!G18</f>
        <v/>
      </c>
      <c r="H556">
        <f>Calc!H18</f>
        <v/>
      </c>
      <c r="I556">
        <f>IF(Skills!T18&lt;&gt;"",1+(Skills!T18/10)*(Z541/1000)/100,1)</f>
        <v/>
      </c>
      <c r="J556" t="inlineStr"/>
      <c r="K556" t="inlineStr"/>
      <c r="L556" t="inlineStr"/>
      <c r="M556" t="inlineStr"/>
      <c r="N556" t="inlineStr"/>
      <c r="O556">
        <f>(1-Summary!$B$11)*S556+Summary!$B$11*U556</f>
        <v/>
      </c>
      <c r="P556">
        <f>IF(B574=0,0,O556/B574)</f>
        <v/>
      </c>
      <c r="Q556">
        <f>IFERROR(1/IF(Inputs!$B$38="pvp",15,MAX(0.1,Skills!D18-IF(Skills!E18=TRUE,Inputs!$B$32,0))),0)</f>
        <v/>
      </c>
      <c r="R556" t="n">
        <v>0</v>
      </c>
      <c r="S556" t="n">
        <v>0</v>
      </c>
      <c r="U556" t="n">
        <v>0</v>
      </c>
    </row>
    <row r="557">
      <c r="A557">
        <f>Skills!A19</f>
        <v/>
      </c>
      <c r="B557">
        <f>Skills!B19</f>
        <v/>
      </c>
      <c r="C557">
        <f>Inputs!$B$3&gt;=50</f>
        <v/>
      </c>
      <c r="D557">
        <f>IF(Skills!C19=1,60+Inputs!$B$25+Inputs!$B$29,IF(Skills!C19=2,90+Inputs!$B$26+Inputs!$B$29,IF(Skills!C19=3,120+Inputs!$B$27+Inputs!$B$29,MAX(0,(Inputs!$B$3-100)*3)+Inputs!$B$28+Inputs!$B$29)))</f>
        <v/>
      </c>
      <c r="E557">
        <f>INDEX(FactorTable!$B$2:$Y$301, MATCH(ROUND(MIN(300,MAX(1,D557)),0), FactorTable!$A$2:$A$301,0), Skills!L19+1)</f>
        <v/>
      </c>
      <c r="F557">
        <f>IF(Skills!M19=TRUE,(Skills!K19/10)*(E557/1000),Skills!K19/10)+Skills!N19</f>
        <v/>
      </c>
      <c r="G557">
        <f>Calc!G19</f>
        <v/>
      </c>
      <c r="H557">
        <f>Calc!H19</f>
        <v/>
      </c>
      <c r="I557">
        <f>IF(Skills!T19&lt;&gt;"",1+(Skills!T19/10)*(Z541/1000)/100,1)</f>
        <v/>
      </c>
      <c r="J557" t="inlineStr"/>
      <c r="K557" t="inlineStr"/>
      <c r="L557" t="inlineStr"/>
      <c r="M557" t="inlineStr"/>
      <c r="N557" t="inlineStr"/>
      <c r="O557">
        <f>(1-Summary!$B$11)*S557+Summary!$B$11*U557</f>
        <v/>
      </c>
      <c r="P557">
        <f>IF(B574=0,0,O557/B574)</f>
        <v/>
      </c>
      <c r="Q557">
        <f>IFERROR(1/IF(Inputs!$B$38="pvp",15,MAX(0.1,Skills!D19-IF(Skills!E19=TRUE,Inputs!$B$32,0))),0)</f>
        <v/>
      </c>
      <c r="R557" t="n">
        <v>0</v>
      </c>
      <c r="S557" t="n">
        <v>0</v>
      </c>
      <c r="U557" t="n">
        <v>0</v>
      </c>
    </row>
    <row r="558">
      <c r="A558">
        <f>Skills!A20</f>
        <v/>
      </c>
      <c r="B558">
        <f>Skills!B20</f>
        <v/>
      </c>
      <c r="C558">
        <f>Inputs!$B$3&gt;=74</f>
        <v/>
      </c>
      <c r="D558">
        <f>IF(Skills!C20=1,60+Inputs!$B$25+Inputs!$B$29,IF(Skills!C20=2,90+Inputs!$B$26+Inputs!$B$29,IF(Skills!C20=3,120+Inputs!$B$27+Inputs!$B$29,MAX(0,(Inputs!$B$3-100)*3)+Inputs!$B$28+Inputs!$B$29)))</f>
        <v/>
      </c>
      <c r="E558">
        <f>INDEX(FactorTable!$B$2:$Y$301, MATCH(ROUND(MIN(300,MAX(1,D558)),0), FactorTable!$A$2:$A$301,0), Skills!L20+1)</f>
        <v/>
      </c>
      <c r="F558">
        <f>IF(Skills!M20=TRUE,(Skills!K20/10)*(E558/1000),Skills!K20/10)+Skills!N20</f>
        <v/>
      </c>
      <c r="G558">
        <f>Calc!G20</f>
        <v/>
      </c>
      <c r="H558">
        <f>Calc!H20</f>
        <v/>
      </c>
      <c r="I558">
        <f>IF(Skills!T20&lt;&gt;"",1+(Skills!T20/10)*(Z541/1000)/100,1)</f>
        <v/>
      </c>
      <c r="J558" t="inlineStr"/>
      <c r="K558" t="inlineStr"/>
      <c r="L558" t="inlineStr"/>
      <c r="M558" t="inlineStr"/>
      <c r="N558" t="inlineStr"/>
      <c r="O558">
        <f>(1-Summary!$B$11)*S558+Summary!$B$11*U558</f>
        <v/>
      </c>
      <c r="P558">
        <f>IF(B574=0,0,O558/B574)</f>
        <v/>
      </c>
      <c r="Q558">
        <f>IFERROR(1/IF(Inputs!$B$38="pvp",15,MAX(0.1,Skills!D20-IF(Skills!E20=TRUE,Inputs!$B$32,0))),0)</f>
        <v/>
      </c>
      <c r="R558" t="n">
        <v>0</v>
      </c>
      <c r="S558" t="n">
        <v>0</v>
      </c>
      <c r="U558" t="n">
        <v>0</v>
      </c>
    </row>
    <row r="559">
      <c r="A559">
        <f>Skills!A21</f>
        <v/>
      </c>
      <c r="B559">
        <f>Skills!B21</f>
        <v/>
      </c>
      <c r="C559">
        <f>Inputs!$B$3&gt;=74</f>
        <v/>
      </c>
      <c r="D559">
        <f>IF(Skills!C21=1,60+Inputs!$B$25+Inputs!$B$29,IF(Skills!C21=2,90+Inputs!$B$26+Inputs!$B$29,IF(Skills!C21=3,120+Inputs!$B$27+Inputs!$B$29,MAX(0,(Inputs!$B$3-100)*3)+Inputs!$B$28+Inputs!$B$29)))</f>
        <v/>
      </c>
      <c r="E559">
        <f>INDEX(FactorTable!$B$2:$Y$301, MATCH(ROUND(MIN(300,MAX(1,D559)),0), FactorTable!$A$2:$A$301,0), Skills!L21+1)</f>
        <v/>
      </c>
      <c r="F559">
        <f>IF(Skills!M21=TRUE,(Skills!K21/10)*(E559/1000),Skills!K21/10)+Skills!N21</f>
        <v/>
      </c>
      <c r="G559">
        <f>Calc!G21</f>
        <v/>
      </c>
      <c r="H559">
        <f>Calc!H21</f>
        <v/>
      </c>
      <c r="I559">
        <f>IF(Skills!T21&lt;&gt;"",1+(Skills!T21/10)*(Z541/1000)/100,1)</f>
        <v/>
      </c>
      <c r="J559" t="inlineStr"/>
      <c r="K559" t="inlineStr"/>
      <c r="L559" t="inlineStr"/>
      <c r="M559" t="inlineStr"/>
      <c r="N559" t="inlineStr"/>
      <c r="O559">
        <f>(1-Summary!$B$11)*S559+Summary!$B$11*U559</f>
        <v/>
      </c>
      <c r="P559">
        <f>IF(B574=0,0,O559/B574)</f>
        <v/>
      </c>
      <c r="Q559">
        <f>IFERROR(1/IF(Inputs!$B$38="pvp",15,MAX(0.1,Skills!D21-IF(Skills!E21=TRUE,Inputs!$B$32,0))),0)</f>
        <v/>
      </c>
      <c r="R559" t="n">
        <v>0</v>
      </c>
      <c r="S559" t="n">
        <v>0</v>
      </c>
      <c r="U559" t="n">
        <v>0</v>
      </c>
    </row>
    <row r="560">
      <c r="A560">
        <f>Skills!A22</f>
        <v/>
      </c>
      <c r="B560">
        <f>Skills!B22</f>
        <v/>
      </c>
      <c r="C560">
        <f>Inputs!$B$3&gt;=117</f>
        <v/>
      </c>
      <c r="D560">
        <f>IF(Skills!C22=1,60+Inputs!$B$25+Inputs!$B$29,IF(Skills!C22=2,90+Inputs!$B$26+Inputs!$B$29,IF(Skills!C22=3,120+Inputs!$B$27+Inputs!$B$29,MAX(0,(Inputs!$B$3-100)*3)+Inputs!$B$28+Inputs!$B$29)))</f>
        <v/>
      </c>
      <c r="E560">
        <f>INDEX(FactorTable!$B$2:$Y$301, MATCH(ROUND(MIN(300,MAX(1,D560)),0), FactorTable!$A$2:$A$301,0), Skills!L22+1)</f>
        <v/>
      </c>
      <c r="F560">
        <f>IF(Skills!M22=TRUE,(Skills!K22/10)*(E560/1000),Skills!K22/10)+Skills!N22</f>
        <v/>
      </c>
      <c r="G560">
        <f>Calc!G22</f>
        <v/>
      </c>
      <c r="H560">
        <f>Calc!H22</f>
        <v/>
      </c>
      <c r="I560">
        <f>IF(Skills!T22&lt;&gt;"",1+(Skills!T22/10)*(Z541/1000)/100,1)</f>
        <v/>
      </c>
      <c r="J560" t="inlineStr"/>
      <c r="K560" t="inlineStr"/>
      <c r="L560" t="inlineStr"/>
      <c r="M560" t="inlineStr"/>
      <c r="N560" t="inlineStr"/>
      <c r="O560">
        <f>(1-Summary!$B$11)*S560+Summary!$B$11*U560</f>
        <v/>
      </c>
      <c r="P560">
        <f>IF(B574=0,0,O560/B574)</f>
        <v/>
      </c>
      <c r="Q560">
        <f>IFERROR(1/IF(Inputs!$B$38="pvp",15,MAX(0.1,Skills!D22-IF(Skills!E22=TRUE,Inputs!$B$32,0))),0)</f>
        <v/>
      </c>
      <c r="R560" t="n">
        <v>0</v>
      </c>
      <c r="S560" t="n">
        <v>0</v>
      </c>
      <c r="U560" t="n">
        <v>0</v>
      </c>
    </row>
    <row r="561">
      <c r="A561">
        <f>Skills!A23</f>
        <v/>
      </c>
      <c r="B561">
        <f>Skills!B23</f>
        <v/>
      </c>
      <c r="C561">
        <f>Inputs!$B$3&gt;=120</f>
        <v/>
      </c>
      <c r="D561">
        <f>IF(Skills!C23=1,60+Inputs!$B$25+Inputs!$B$29,IF(Skills!C23=2,90+Inputs!$B$26+Inputs!$B$29,IF(Skills!C23=3,120+Inputs!$B$27+Inputs!$B$29,MAX(0,(Inputs!$B$3-100)*3)+Inputs!$B$28+Inputs!$B$29)))</f>
        <v/>
      </c>
      <c r="E561">
        <f>INDEX(FactorTable!$B$2:$Y$301, MATCH(ROUND(MIN(300,MAX(1,D561)),0), FactorTable!$A$2:$A$301,0), Skills!L23+1)</f>
        <v/>
      </c>
      <c r="F561">
        <f>IF(Skills!M23=TRUE,(Skills!K23/10)*(E561/1000),Skills!K23/10)+Skills!N23</f>
        <v/>
      </c>
      <c r="G561">
        <f>Calc!G23</f>
        <v/>
      </c>
      <c r="H561">
        <f>Calc!H23</f>
        <v/>
      </c>
      <c r="I561">
        <f>IF(Skills!T23&lt;&gt;"",1+(Skills!T23/10)*(Z541/1000)/100,1)</f>
        <v/>
      </c>
      <c r="J561" t="inlineStr"/>
      <c r="K561" t="inlineStr"/>
      <c r="L561" t="inlineStr"/>
      <c r="M561" t="inlineStr"/>
      <c r="N561" t="inlineStr"/>
      <c r="O561">
        <f>(1-Summary!$B$11)*S561+Summary!$B$11*U561</f>
        <v/>
      </c>
      <c r="P561">
        <f>IF(B574=0,0,O561/B574)</f>
        <v/>
      </c>
      <c r="Q561">
        <f>IFERROR(1/IF(Inputs!$B$38="pvp",15,MAX(0.1,Skills!D23-IF(Skills!E23=TRUE,Inputs!$B$32,0))),0)</f>
        <v/>
      </c>
      <c r="R561" t="n">
        <v>0</v>
      </c>
      <c r="S561" t="n">
        <v>0</v>
      </c>
      <c r="U561" t="n">
        <v>0</v>
      </c>
    </row>
    <row r="564">
      <c r="A564" t="inlineStr">
        <is>
          <t>Average Buff Multiplier (Magic Guard + Meditation + Artifact Attack%, summed; then Infinity)</t>
        </is>
      </c>
      <c r="B564">
        <f>(1+(IF(C541=TRUE,F541*IF(AND(Inputs!$B$38&lt;&gt;"pvp",Inputs!$B$43&gt;0),(((R541-1)*(Skills!S3*(1+(Inputs!$B$34+IF(Inputs!$B$3&gt;=117,F560,0))/100))+MIN((Skills!S3*(1+(Inputs!$B$34+IF(Inputs!$B$3&gt;=117,F560,0))/100)),MAX(0,Inputs!$B$43-((R541-1)*Skills!D3))))/Inputs!$B$43),IF(Inputs!$B$38="pvp",MIN((Skills!S3*(1+(Inputs!$B$34+IF(Inputs!$B$3&gt;=117,F560,0))/100)),15)/15,(Skills!S3*(1+(Inputs!$B$34+IF(Inputs!$B$3&gt;=117,F560,0))/100))/Skills!D3)),0)+IF(C542=TRUE,F542*IF(AND(Inputs!$B$38&lt;&gt;"pvp",Inputs!$B$43&gt;0),(((R542-1)*(Skills!S4*(1+(Inputs!$B$34+IF(Inputs!$B$3&gt;=117,F560,0))/100))+MIN((Skills!S4*(1+(Inputs!$B$34+IF(Inputs!$B$3&gt;=117,F560,0))/100)),MAX(0,Inputs!$B$43-((R542-1)*Skills!D4))))/Inputs!$B$43),IF(Inputs!$B$38="pvp",MIN((Skills!S4*(1+(Inputs!$B$34+IF(Inputs!$B$3&gt;=117,F560,0))/100)),15)/15,(Skills!S4*(1+(Inputs!$B$34+IF(Inputs!$B$3&gt;=117,F560,0)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554=TRUE,(1+F554*IF(AND(Inputs!$B$38&lt;&gt;"pvp",Inputs!$B$43&gt;0),(((R554-1)*(Skills!S16*(1+(Inputs!$B$34+IF(Inputs!$B$3&gt;=117,F560,0))/100))+MIN((Skills!S16*(1+(Inputs!$B$34+IF(Inputs!$B$3&gt;=117,F560,0))/100)),MAX(0,Inputs!$B$43-((R554-1)*Skills!D16))))/Inputs!$B$43),IF(Inputs!$B$38="pvp",MIN((Skills!S16*(1+(Inputs!$B$34+IF(Inputs!$B$3&gt;=117,F560,0))/100)),15)/15,(Skills!S16*(1+(Inputs!$B$34+IF(Inputs!$B$3&gt;=117,F560,0))/100))/Skills!D16))/100),1)</f>
        <v/>
      </c>
    </row>
    <row r="565">
      <c r="A565" t="inlineStr">
        <is>
          <t>Monster Damage Taken Bonus % (Freezing Breath - Weaken + Elemental Reset + Artifact Enemy Damage Taken, summed)</t>
        </is>
      </c>
      <c r="B565">
        <f>IF(Inputs!$B$3&gt;=118,15*IF(Inputs!$B$38="pvp",MIN((30*(1+(Inputs!$B$34+IF(Inputs!$B$3&gt;=117,F560,0))/100)),15)/15,(30*(1+(Inputs!$B$34+IF(Inputs!$B$3&gt;=117,F560,0))/100))/Skills!D8),0)+IF(C552=TRUE,F552,0)+(IF(AND(ArtifactsInput!$M$35,Inputs!$B$4&lt;&gt;"Chapter Hunt"),CHOOSE(ArtifactsInput!$N$35+1,15,18,21,24,27,30)*(1-EXP(-(0.2*B568)*5)),0)+IF(AND(ArtifactsInput!$M$22,Inputs!$B$4&lt;&gt;"Chapter Hunt"),CHOOSE(ArtifactsInput!$N$22+1,10,12,14,16,18,20)*((0*(((0.15*B568*5))^0/1)+1*(((0.15*B568*5))^1/1)+2*(((0.15*B568*5))^2/2)+3*(((0.15*B568*5))^3/6)+4*(((0.15*B568*5))^4/24)+5*(((0.15*B568*5))^5/120))/((((0.15*B568*5))^0/1)+(((0.15*B568*5))^1/1)+(((0.15*B568*5))^2/2)+(((0.15*B568*5))^3/6)+(((0.15*B568*5))^4/24)+(((0.15*B568*5))^5/120))),0))</f>
        <v/>
      </c>
    </row>
    <row r="566">
      <c r="A566" t="inlineStr">
        <is>
          <t>Damage % Bonus (Frozen Break + Frost Clutch, flat)</t>
        </is>
      </c>
      <c r="B566">
        <f>IF(Inputs!$B$3&gt;=66,15,0)+IF(Inputs!$B$3&gt;=98,10,0)+IF(Inputs!$B$3&gt;=125,20,0)</f>
        <v/>
      </c>
    </row>
    <row r="567">
      <c r="A567" t="inlineStr">
        <is>
          <t>Attack Speed Bonus % (MP Eater - MP Boost, always-on once unlocked)</t>
        </is>
      </c>
      <c r="B567">
        <f>IF(C551=TRUE,F551+(F555-Calc!F17),0)</f>
        <v/>
      </c>
    </row>
    <row r="568">
      <c r="A568" t="inlineStr">
        <is>
          <t>Actions Per Second</t>
        </is>
      </c>
      <c r="B568">
        <f>1+MIN(150,150*(1-(1-(Inputs!$B$11+(ArtifactsInput!$M$15-ArtifactsInput!$M$15)*CHOOSE(ArtifactsInput!$N$15+1,8,9.6,11.2,12.8,14.4,16))/150)*(1-B567/150)))/100</f>
        <v/>
      </c>
    </row>
    <row r="569">
      <c r="A569" t="inlineStr">
        <is>
          <t>Skill + Buff Cast Rate</t>
        </is>
      </c>
      <c r="B569">
        <f>IF(AND(Inputs!$B$38&lt;&gt;"pvp",Inputs!$B$43&gt;0),SUMPRODUCT((Skills!E2:E23=TRUE)*(C540:C561=TRUE)*R540:R561)/Inputs!$B$43,SUMPRODUCT((Skills!E2:E23=TRUE)*(C540:C561=TRUE)*Q540:Q561))</f>
        <v/>
      </c>
    </row>
    <row r="570">
      <c r="A570" t="inlineStr">
        <is>
          <t>Chain Lightning Casts Per Second</t>
        </is>
      </c>
      <c r="B570">
        <f>MAX(0,B568-B569)</f>
        <v/>
      </c>
    </row>
    <row r="571">
      <c r="A571" t="inlineStr">
        <is>
          <t>Buff-Casting Startup Delay (s, fixed-duration only)</t>
        </is>
      </c>
      <c r="B571">
        <f>IF(AND(Inputs!$B$38&lt;&gt;"pvp",Inputs!$B$43&gt;0),SUMPRODUCT((Skills!S2:S23&gt;0)*(Skills!E2:E23=TRUE)*(C540:C561=TRUE))/B568,0)</f>
        <v/>
      </c>
    </row>
    <row r="572">
      <c r="A572" t="inlineStr">
        <is>
          <t>Boss-Only Total DPS (this block's swept value)</t>
        </is>
      </c>
      <c r="B572">
        <f>SUM(S540:S561)</f>
        <v/>
      </c>
    </row>
    <row r="573">
      <c r="A573" t="inlineStr">
        <is>
          <t>Normal-Only Total DPS (this block's swept value)</t>
        </is>
      </c>
      <c r="B573">
        <f>SUM(U540:U561)</f>
        <v/>
      </c>
    </row>
    <row r="574">
      <c r="A574" s="6" t="inlineStr">
        <is>
          <t>TOTAL DPS</t>
        </is>
      </c>
      <c r="B574" s="6">
        <f>SUM(O540:O561)</f>
        <v/>
      </c>
    </row>
    <row r="577">
      <c r="A577" s="6" t="inlineStr">
        <is>
          <t>Stat: BASIC_ATTACK_DAMAGE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R578" t="inlineStr">
        <is>
          <t>helpers</t>
        </is>
      </c>
    </row>
    <row r="579">
      <c r="A579">
        <f>Skills!A2</f>
        <v/>
      </c>
      <c r="B579">
        <f>Skills!B2</f>
        <v/>
      </c>
      <c r="C579">
        <f>Inputs!$B$3&gt;=100</f>
        <v/>
      </c>
      <c r="D579" t="inlineStr"/>
      <c r="E579" t="inlineStr"/>
      <c r="F579">
        <f>T581+Skills!N2</f>
        <v/>
      </c>
      <c r="G579">
        <f>Calc!G2</f>
        <v/>
      </c>
      <c r="H579">
        <f>Calc!H2</f>
        <v/>
      </c>
      <c r="I579">
        <f>IF(Skills!T2&lt;&gt;"",1+(Skills!T2/10)*(Z580/1000)/100,1)</f>
        <v/>
      </c>
      <c r="J579">
        <f>((Inputs!$B$6*(1+Inputs!$B$7/100))+(((Inputs!$B$12*(1+Inputs!$B$13/100))-(Inputs!$B$12*(1+Inputs!$B$13/100)))+0.25*(Inputs!$B$14-Inputs!$B$14))*(1+Inputs!$B$7/100))*(F579/100)</f>
        <v/>
      </c>
      <c r="K579">
        <f>J579*(1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F595-Calc!F18),(Inputs!$B$23+(IF(ArtifactsInput!$M$15,CHOOSE(ArtifactsInput!$N$15+1,25,30,35,40,45,50)/100*(Inputs!$B$11-Inputs!$B$11),0))))/100+(Inputs!$B$23+(IF(ArtifactsInput!$M$15,CHOOSE(ArtifactsInput!$N$15+1,25,30,35,40,45,50)/100*(Inputs!$B$11-Inputs!$B$11),0)))/100)/2</f>
        <v/>
      </c>
      <c r="M579">
        <f>L579*(1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(1-Summary!$B$11)*S579+Summary!$B$11*U579</f>
        <v/>
      </c>
      <c r="P579">
        <f>IF(B613=0,0,O579/B613)</f>
        <v/>
      </c>
      <c r="Q579">
        <f>IFERROR(1/IF(Inputs!$B$38="pvp",15,MAX(0.1,Skills!D2-IF(Skills!E2=TRUE,Inputs!$B$32,0))),0)</f>
        <v/>
      </c>
      <c r="R579" t="n">
        <v>0</v>
      </c>
      <c r="S579">
        <f>IF(C579,(Skills!F2*N579*B609)*IF(Inputs!$B$38="pvp",1,1+(Inputs!$B$20+Skills!O2+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79">
        <f>MAX(0,(Inputs!$B$3-100)*3)+Inputs!$B$28+Inputs!$B$29</f>
        <v/>
      </c>
      <c r="U579">
        <f>IF(C579,(Skills!F2*N579*B609)*IF(Inputs!$B$38="pvp",1,(1+(Inputs!$B$21+Skills!P2+B604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79">
        <f>MAX(0,(Inputs!$B$3-100)*3)+Inputs!$B$28+Inputs!$B$29</f>
        <v/>
      </c>
    </row>
    <row r="580">
      <c r="A580">
        <f>Skills!A3</f>
        <v/>
      </c>
      <c r="B580">
        <f>Skills!B3</f>
        <v/>
      </c>
      <c r="C580">
        <f>Inputs!$B$3&gt;=15</f>
        <v/>
      </c>
      <c r="D580">
        <f>IF(Skills!C3=1,60+Inputs!$B$25+Inputs!$B$29,IF(Skills!C3=2,90+Inputs!$B$26+Inputs!$B$29,IF(Skills!C3=3,120+Inputs!$B$27+Inputs!$B$29,MAX(0,(Inputs!$B$3-100)*3)+Inputs!$B$28+Inputs!$B$29)))</f>
        <v/>
      </c>
      <c r="E580">
        <f>INDEX(FactorTable!$B$2:$Y$301, MATCH(ROUND(MIN(300,MAX(1,D580)),0), FactorTable!$A$2:$A$301,0), Skills!L3+1)</f>
        <v/>
      </c>
      <c r="F580">
        <f>IF(Skills!M3=TRUE,(Skills!K3/10)*(E580/1000),Skills!K3/10)+Skills!N3</f>
        <v/>
      </c>
      <c r="G580">
        <f>Calc!G3</f>
        <v/>
      </c>
      <c r="H580">
        <f>Calc!H3</f>
        <v/>
      </c>
      <c r="I580">
        <f>IF(Skills!T3&lt;&gt;"",1+(Skills!T3/10)*(Z580/1000)/100,1)</f>
        <v/>
      </c>
      <c r="J580" t="inlineStr"/>
      <c r="K580" t="inlineStr"/>
      <c r="L580" t="inlineStr"/>
      <c r="M580" t="inlineStr"/>
      <c r="N580" t="inlineStr"/>
      <c r="O580">
        <f>(1-Summary!$B$11)*S580+Summary!$B$11*U580</f>
        <v/>
      </c>
      <c r="P580">
        <f>IF(B613=0,0,O580/B613)</f>
        <v/>
      </c>
      <c r="Q580">
        <f>IFERROR(1/IF(Inputs!$B$38="pvp",15,MAX(0.1,Skills!D3-IF(Skills!E3=TRUE,Inputs!$B$32,0))),0)</f>
        <v/>
      </c>
      <c r="R580">
        <f>IF(AND(Inputs!$B$38&lt;&gt;"pvp",Inputs!$B$43&gt;0),IF(Inputs!$B$43&lt;=0,0,(INT(Inputs!$B$43/IF(Inputs!$B$38="pvp",15,MAX(0.1,Skills!D3-IF(Skills!E3=TRUE,Inputs!$B$32,0))))+1)),0)</f>
        <v/>
      </c>
      <c r="S580" t="n">
        <v>0</v>
      </c>
      <c r="T580">
        <f>INDEX(FactorTable!$B$2:$Y$301, MATCH(ROUND(MIN(300,MAX(1,T579)),0), FactorTable!$A$2:$A$301,0), 22)</f>
        <v/>
      </c>
      <c r="U580" t="n">
        <v>0</v>
      </c>
      <c r="Z580">
        <f>INDEX(FactorTable!$B$2:$Y$301, MATCH(ROUND(MIN(300,MAX(1,Z579)),0), FactorTable!$A$2:$A$301,0), 24)</f>
        <v/>
      </c>
    </row>
    <row r="581">
      <c r="A581">
        <f>Skills!A4</f>
        <v/>
      </c>
      <c r="B581">
        <f>Skills!B4</f>
        <v/>
      </c>
      <c r="C581">
        <f>Inputs!$B$3&gt;=40</f>
        <v/>
      </c>
      <c r="D581">
        <f>IF(Skills!C4=1,60+Inputs!$B$25+Inputs!$B$29,IF(Skills!C4=2,90+Inputs!$B$26+Inputs!$B$29,IF(Skills!C4=3,120+Inputs!$B$27+Inputs!$B$29,MAX(0,(Inputs!$B$3-100)*3)+Inputs!$B$28+Inputs!$B$29)))</f>
        <v/>
      </c>
      <c r="E581">
        <f>INDEX(FactorTable!$B$2:$Y$301, MATCH(ROUND(MIN(300,MAX(1,D581)),0), FactorTable!$A$2:$A$301,0), Skills!L4+1)</f>
        <v/>
      </c>
      <c r="F581">
        <f>IF(Skills!M4=TRUE,(Skills!K4/10)*(E581/1000),Skills!K4/10)+Skills!N4</f>
        <v/>
      </c>
      <c r="G581">
        <f>Calc!G4</f>
        <v/>
      </c>
      <c r="H581">
        <f>Calc!H4</f>
        <v/>
      </c>
      <c r="I581">
        <f>IF(Skills!T4&lt;&gt;"",1+(Skills!T4/10)*(Z580/1000)/100,1)</f>
        <v/>
      </c>
      <c r="J581" t="inlineStr"/>
      <c r="K581" t="inlineStr"/>
      <c r="L581" t="inlineStr"/>
      <c r="M581" t="inlineStr"/>
      <c r="N581" t="inlineStr"/>
      <c r="O581">
        <f>(1-Summary!$B$11)*S581+Summary!$B$11*U581</f>
        <v/>
      </c>
      <c r="P581">
        <f>IF(B613=0,0,O581/B613)</f>
        <v/>
      </c>
      <c r="Q581">
        <f>IFERROR(1/IF(Inputs!$B$38="pvp",15,MAX(0.1,Skills!D4-IF(Skills!E4=TRUE,Inputs!$B$32,0))),0)</f>
        <v/>
      </c>
      <c r="R581">
        <f>IF(AND(Inputs!$B$38&lt;&gt;"pvp",Inputs!$B$43&gt;0),IF(Inputs!$B$43&lt;=0,0,(INT(Inputs!$B$43/IF(Inputs!$B$38="pvp",15,MAX(0.1,Skills!D4-IF(Skills!E4=TRUE,Inputs!$B$32,0))))+1)),0)</f>
        <v/>
      </c>
      <c r="S581" t="n">
        <v>0</v>
      </c>
      <c r="T581">
        <f>290*T580/1000</f>
        <v/>
      </c>
      <c r="U581" t="n">
        <v>0</v>
      </c>
    </row>
    <row r="582">
      <c r="A582">
        <f>Skills!A5</f>
        <v/>
      </c>
      <c r="B582">
        <f>Skills!B5</f>
        <v/>
      </c>
      <c r="C582">
        <f>Inputs!$B$3&gt;=38</f>
        <v/>
      </c>
      <c r="D582">
        <f>IF(Skills!C5=1,60+Inputs!$B$25+Inputs!$B$29,IF(Skills!C5=2,90+Inputs!$B$26+Inputs!$B$29,IF(Skills!C5=3,120+Inputs!$B$27+Inputs!$B$29,MAX(0,(Inputs!$B$3-100)*3)+Inputs!$B$28+Inputs!$B$29)))</f>
        <v/>
      </c>
      <c r="E582">
        <f>INDEX(FactorTable!$B$2:$Y$301, MATCH(ROUND(MIN(300,MAX(1,D582)),0), FactorTable!$A$2:$A$301,0), Skills!L5+1)</f>
        <v/>
      </c>
      <c r="F582">
        <f>IF(Skills!M5=TRUE,(Skills!K5/10)*(E582/1000),Skills!K5/10)+Skills!N5</f>
        <v/>
      </c>
      <c r="G582">
        <f>Calc!G5</f>
        <v/>
      </c>
      <c r="H582">
        <f>Calc!H5</f>
        <v/>
      </c>
      <c r="I582">
        <f>IF(Skills!T5&lt;&gt;"",1+(Skills!T5/10)*(Z580/1000)/100,1)</f>
        <v/>
      </c>
      <c r="J582">
        <f>((Inputs!$B$6*(1+Inputs!$B$7/100))+(((Inputs!$B$12*(1+Inputs!$B$13/100))-(Inputs!$B$12*(1+Inputs!$B$13/100)))+0.25*(Inputs!$B$14-Inputs!$B$14))*(1+Inputs!$B$7/100))*(F582/100)</f>
        <v/>
      </c>
      <c r="K582">
        <f>J582*(1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5="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595-Calc!F18),(Inputs!$B$23+(IF(ArtifactsInput!$M$15,CHOOSE(ArtifactsInput!$N$15+1,25,30,35,40,45,50)/100*(Inputs!$B$11-Inputs!$B$11),0))))/100+(Inputs!$B$23+(IF(ArtifactsInput!$M$15,CHOOSE(ArtifactsInput!$N$15+1,25,30,35,40,45,50)/100*(Inputs!$B$11-Inputs!$B$11),0)))/100)/2</f>
        <v/>
      </c>
      <c r="M582">
        <f>L582*(1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IF(B613=0,0,O582/B613)</f>
        <v/>
      </c>
      <c r="Q582">
        <f>IFERROR(1/IF(Inputs!$B$38="pvp",15,MAX(0.1,Skills!D5-IF(Skills!E5=TRUE,Inputs!$B$32,0))),0)</f>
        <v/>
      </c>
      <c r="R582">
        <f>IF(AND(Inputs!$B$38&lt;&gt;"pvp",Inputs!$B$43&gt;0),IF(MAX(0,Inputs!$B$43-B610)&lt;=0,0,(INT(MAX(0,Inputs!$B$43-B610)/IF(Inputs!$B$38="pvp",15,MAX(0.1,Skills!D5-IF(Skills!E5=TRUE,Inputs!$B$32,0))))+1)),0)</f>
        <v/>
      </c>
      <c r="S582">
        <f>IF(C582,(H582*N582*IF(AND(Inputs!$B$38&lt;&gt;"pvp",Inputs!$B$43&gt;0),((Skills!F5*((R582-1)*IF(Skills!G5&gt;0,Skills!H5/Skills!G5,1)+IF(Skills!G5&gt;0,MIN(Skills!H5,MAX(0,MAX(0,Inputs!$B$43-B610)-((R582-1)*IF(Inputs!$B$38="pvp",15,MAX(0.1,Skills!D5-IF(Skills!E5=TRUE,Inputs!$B$32,0))))))/Skills!G5,1)))/Inputs!$B$43),G582*Q582))*IF(Inputs!$B$38="pvp",1,1+(Inputs!$B$20+Skills!O5+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F5*((R582-1)*IF(Skills!G5&gt;0,Skills!H5/Skills!G5,1)+IF(Skills!G5&gt;0,MIN(Skills!H5,MAX(0,MAX(0,Inputs!$B$43-B610)-((R582-1)*IF(Inputs!$B$38="pvp",15,MAX(0.1,Skills!D5-IF(Skills!E5=TRUE,Inputs!$B$32,0))))))/Skills!G5,1)))/Inputs!$B$43),G582*Q582))*IF(Inputs!$B$38="pvp",1,(1+(Inputs!$B$21+Skills!P5+B604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Skills!A6</f>
        <v/>
      </c>
      <c r="B583">
        <f>Skills!B6</f>
        <v/>
      </c>
      <c r="C583">
        <f>Inputs!$B$3&gt;=63</f>
        <v/>
      </c>
      <c r="D583">
        <f>IF(Skills!C6=1,60+Inputs!$B$25+Inputs!$B$29,IF(Skills!C6=2,90+Inputs!$B$26+Inputs!$B$29,IF(Skills!C6=3,120+Inputs!$B$27+Inputs!$B$29,MAX(0,(Inputs!$B$3-100)*3)+Inputs!$B$28+Inputs!$B$29)))</f>
        <v/>
      </c>
      <c r="E583">
        <f>INDEX(FactorTable!$B$2:$Y$301, MATCH(ROUND(MIN(300,MAX(1,D583)),0), FactorTable!$A$2:$A$301,0), Skills!L6+1)</f>
        <v/>
      </c>
      <c r="F583">
        <f>IF(Skills!M6=TRUE,(Skills!K6/10)*(E583/1000),Skills!K6/10)+Skills!N6</f>
        <v/>
      </c>
      <c r="G583">
        <f>Calc!G6</f>
        <v/>
      </c>
      <c r="H583">
        <f>Calc!H6</f>
        <v/>
      </c>
      <c r="I583">
        <f>IF(Skills!T6&lt;&gt;"",1+(Skills!T6/10)*(Z580/1000)/100,1)</f>
        <v/>
      </c>
      <c r="J583">
        <f>((Inputs!$B$6*(1+Inputs!$B$7/100))+(((Inputs!$B$12*(1+Inputs!$B$13/100))-(Inputs!$B$12*(1+Inputs!$B$13/100)))+0.25*(Inputs!$B$14-Inputs!$B$14))*(1+Inputs!$B$7/100))*(F583/100)</f>
        <v/>
      </c>
      <c r="K583">
        <f>J583*(1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6="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F595-Calc!F18),(Inputs!$B$23+(IF(ArtifactsInput!$M$15,CHOOSE(ArtifactsInput!$N$15+1,25,30,35,40,45,50)/100*(Inputs!$B$11-Inputs!$B$11),0))))/100+(Inputs!$B$23+(IF(ArtifactsInput!$M$15,CHOOSE(ArtifactsInput!$N$15+1,25,30,35,40,45,50)/100*(Inputs!$B$11-Inputs!$B$11),0)))/100)/2</f>
        <v/>
      </c>
      <c r="M583">
        <f>L583*(1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(1-Summary!$B$11)*S583+Summary!$B$11*U583</f>
        <v/>
      </c>
      <c r="P583">
        <f>IF(B613=0,0,O583/B613)</f>
        <v/>
      </c>
      <c r="Q583">
        <f>IFERROR(1/IF(Inputs!$B$38="pvp",15,MAX(0.1,Skills!D6-IF(Skills!E6=TRUE,Inputs!$B$32,0))),0)</f>
        <v/>
      </c>
      <c r="R583">
        <f>IF(AND(Inputs!$B$38&lt;&gt;"pvp",Inputs!$B$43&gt;0),IF(MAX(0,Inputs!$B$43-B610)&lt;=0,0,(INT(MAX(0,Inputs!$B$43-B610)/IF(Inputs!$B$38="pvp",15,MAX(0.1,Skills!D6-IF(Skills!E6=TRUE,Inputs!$B$32,0))))+1)),0)</f>
        <v/>
      </c>
      <c r="S583">
        <f>IF(C583,(H583*N583*IF(AND(Inputs!$B$38&lt;&gt;"pvp",Inputs!$B$43&gt;0),((Skills!F6*((R583-1)*IF(Skills!G6&gt;0,Skills!H6/Skills!G6,1)+IF(Skills!G6&gt;0,MIN(Skills!H6,MAX(0,MAX(0,Inputs!$B$43-B610)-((R583-1)*IF(Inputs!$B$38="pvp",15,MAX(0.1,Skills!D6-IF(Skills!E6=TRUE,Inputs!$B$32,0))))))/Skills!G6,1)))/Inputs!$B$43),G583*Q583))*IF(Inputs!$B$38="pvp",1,1+(Inputs!$B$20+Skills!O6+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583*(1-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3">
        <f>IF(C583,(H583*N583*IF(AND(Inputs!$B$38&lt;&gt;"pvp",Inputs!$B$43&gt;0),((Skills!F6*((R583-1)*IF(Skills!G6&gt;0,Skills!H6/Skills!G6,1)+IF(Skills!G6&gt;0,MIN(Skills!H6,MAX(0,MAX(0,Inputs!$B$43-B610)-((R583-1)*IF(Inputs!$B$38="pvp",15,MAX(0.1,Skills!D6-IF(Skills!E6=TRUE,Inputs!$B$32,0))))))/Skills!G6,1)))/Inputs!$B$43),G583*Q583))*IF(Inputs!$B$38="pvp",1,(1+(Inputs!$B$21+Skills!P6+B604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Skills!A7</f>
        <v/>
      </c>
      <c r="B584">
        <f>Skills!B7</f>
        <v/>
      </c>
      <c r="C584">
        <f>Inputs!$B$3&gt;=69</f>
        <v/>
      </c>
      <c r="D584">
        <f>IF(Skills!C7=1,60+Inputs!$B$25+Inputs!$B$29,IF(Skills!C7=2,90+Inputs!$B$26+Inputs!$B$29,IF(Skills!C7=3,120+Inputs!$B$27+Inputs!$B$29,MAX(0,(Inputs!$B$3-100)*3)+Inputs!$B$28+Inputs!$B$29)))</f>
        <v/>
      </c>
      <c r="E584">
        <f>INDEX(FactorTable!$B$2:$Y$301, MATCH(ROUND(MIN(300,MAX(1,D584)),0), FactorTable!$A$2:$A$301,0), Skills!L7+1)</f>
        <v/>
      </c>
      <c r="F584">
        <f>IF(Skills!M7=TRUE,(Skills!K7/10)*(E584/1000),Skills!K7/10)+Skills!N7</f>
        <v/>
      </c>
      <c r="G584">
        <f>Calc!G7</f>
        <v/>
      </c>
      <c r="H584">
        <f>Calc!H7</f>
        <v/>
      </c>
      <c r="I584">
        <f>IF(Skills!T7&lt;&gt;"",1+(Skills!T7/10)*(Z580/1000)/100,1)</f>
        <v/>
      </c>
      <c r="J584">
        <f>((Inputs!$B$6*(1+Inputs!$B$7/100))+(((Inputs!$B$12*(1+Inputs!$B$13/100))-(Inputs!$B$12*(1+Inputs!$B$13/100)))+0.25*(Inputs!$B$14-Inputs!$B$14))*(1+Inputs!$B$7/100))*(F584/100)</f>
        <v/>
      </c>
      <c r="K584">
        <f>J584*(1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7="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F595-Calc!F18),(Inputs!$B$23+(IF(ArtifactsInput!$M$15,CHOOSE(ArtifactsInput!$N$15+1,25,30,35,40,45,50)/100*(Inputs!$B$11-Inputs!$B$11),0))))/100+(Inputs!$B$23+(IF(ArtifactsInput!$M$15,CHOOSE(ArtifactsInput!$N$15+1,25,30,35,40,45,50)/100*(Inputs!$B$11-Inputs!$B$11),0)))/100)/2</f>
        <v/>
      </c>
      <c r="M584">
        <f>L584*(1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(1-Summary!$B$11)*S584+Summary!$B$11*U584</f>
        <v/>
      </c>
      <c r="P584">
        <f>IF(B613=0,0,O584/B613)</f>
        <v/>
      </c>
      <c r="Q584">
        <f>IFERROR(1/IF(Inputs!$B$38="pvp",15,MAX(0.1,Skills!D7-IF(Skills!E7=TRUE,Inputs!$B$32,0))),0)</f>
        <v/>
      </c>
      <c r="R584">
        <f>IF(AND(Inputs!$B$38&lt;&gt;"pvp",Inputs!$B$43&gt;0),IF(MAX(0,Inputs!$B$43-B610)&lt;=0,0,(INT(MAX(0,Inputs!$B$43-B610)/IF(Inputs!$B$38="pvp",15,MAX(0.1,Skills!D7-IF(Skills!E7=TRUE,Inputs!$B$32,0))))+1)),0)</f>
        <v/>
      </c>
      <c r="S584">
        <f>IF(C584,(H584*N584*IF(AND(Inputs!$B$38&lt;&gt;"pvp",Inputs!$B$43&gt;0),((Skills!F7*((R584-1)*IF(Skills!G7&gt;0,Skills!H7/Skills!G7,1)+IF(Skills!G7&gt;0,MIN(Skills!H7,MAX(0,MAX(0,Inputs!$B$43-B610)-((R584-1)*IF(Inputs!$B$38="pvp",15,MAX(0.1,Skills!D7-IF(Skills!E7=TRUE,Inputs!$B$32,0))))))/Skills!G7,1)))/Inputs!$B$43),G584*Q584))*IF(Inputs!$B$38="pvp",1,1+(Inputs!$B$20+Skills!O7+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584*(1-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4">
        <f>IF(C584,(H584*N584*IF(AND(Inputs!$B$38&lt;&gt;"pvp",Inputs!$B$43&gt;0),((Skills!F7*((R584-1)*IF(Skills!G7&gt;0,Skills!H7/Skills!G7,1)+IF(Skills!G7&gt;0,MIN(Skills!H7,MAX(0,MAX(0,Inputs!$B$43-B610)-((R584-1)*IF(Inputs!$B$38="pvp",15,MAX(0.1,Skills!D7-IF(Skills!E7=TRUE,Inputs!$B$32,0))))))/Skills!G7,1)))/Inputs!$B$43),G584*Q584))*IF(Inputs!$B$38="pvp",1,(1+(Inputs!$B$21+Skills!P7+B604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Skills!A8</f>
        <v/>
      </c>
      <c r="B585">
        <f>Skills!B8</f>
        <v/>
      </c>
      <c r="C585">
        <f>Inputs!$B$3&gt;=103</f>
        <v/>
      </c>
      <c r="D585">
        <f>IF(Skills!C8=1,60+Inputs!$B$25+Inputs!$B$29,IF(Skills!C8=2,90+Inputs!$B$26+Inputs!$B$29,IF(Skills!C8=3,120+Inputs!$B$27+Inputs!$B$29,MAX(0,(Inputs!$B$3-100)*3)+Inputs!$B$28+Inputs!$B$29)))</f>
        <v/>
      </c>
      <c r="E585">
        <f>INDEX(FactorTable!$B$2:$Y$301, MATCH(ROUND(MIN(300,MAX(1,D585)),0), FactorTable!$A$2:$A$301,0), Skills!L8+1)</f>
        <v/>
      </c>
      <c r="F585">
        <f>IF(Skills!M8=TRUE,(Skills!K8/10)*(E585/1000),Skills!K8/10)+Skills!N8</f>
        <v/>
      </c>
      <c r="G585">
        <f>Calc!G8</f>
        <v/>
      </c>
      <c r="H585">
        <f>Calc!H8</f>
        <v/>
      </c>
      <c r="I585">
        <f>IF(Skills!T8&lt;&gt;"",1+(Skills!T8/10)*(Z580/1000)/100,1)</f>
        <v/>
      </c>
      <c r="J585">
        <f>((Inputs!$B$6*(1+Inputs!$B$7/100))+(((Inputs!$B$12*(1+Inputs!$B$13/100))-(Inputs!$B$12*(1+Inputs!$B$13/100)))+0.25*(Inputs!$B$14-Inputs!$B$14))*(1+Inputs!$B$7/100))*(F585/100)</f>
        <v/>
      </c>
      <c r="K585">
        <f>J585*(1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8="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F595-Calc!F18),(Inputs!$B$23+(IF(ArtifactsInput!$M$15,CHOOSE(ArtifactsInput!$N$15+1,25,30,35,40,45,50)/100*(Inputs!$B$11-Inputs!$B$11),0))))/100+(Inputs!$B$23+(IF(ArtifactsInput!$M$15,CHOOSE(ArtifactsInput!$N$15+1,25,30,35,40,45,50)/100*(Inputs!$B$11-Inputs!$B$11),0)))/100)/2</f>
        <v/>
      </c>
      <c r="M585">
        <f>L585*(1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(1-Summary!$B$11)*S585+Summary!$B$11*U585</f>
        <v/>
      </c>
      <c r="P585">
        <f>IF(B613=0,0,O585/B613)</f>
        <v/>
      </c>
      <c r="Q585">
        <f>IFERROR(1/IF(Inputs!$B$38="pvp",15,MAX(0.1,Skills!D8-IF(Skills!E8=TRUE,Inputs!$B$32,0))),0)</f>
        <v/>
      </c>
      <c r="R585">
        <f>IF(AND(Inputs!$B$38&lt;&gt;"pvp",Inputs!$B$43&gt;0),IF(MAX(0,Inputs!$B$43-B610)&lt;=0,0,(INT(MAX(0,Inputs!$B$43-B610)/IF(Inputs!$B$38="pvp",15,MAX(0.1,Skills!D8-IF(Skills!E8=TRUE,Inputs!$B$32,0))))+1)),0)</f>
        <v/>
      </c>
      <c r="S585">
        <f>IF(C585,(H585*N585*IF(AND(Inputs!$B$38&lt;&gt;"pvp",Inputs!$B$43&gt;0),((Skills!F8*((R585-1)*IF(Skills!G8&gt;0,Skills!H8/Skills!G8,1)+IF(Skills!G8&gt;0,MIN(Skills!H8,MAX(0,MAX(0,Inputs!$B$43-B610)-((R585-1)*IF(Inputs!$B$38="pvp",15,MAX(0.1,Skills!D8-IF(Skills!E8=TRUE,Inputs!$B$32,0))))))/Skills!G8,1)))/Inputs!$B$43),G585*Q585))*IF(Inputs!$B$38="pvp",1,1+(Inputs!$B$20+Skills!O8+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585*(1-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5">
        <f>IF(C585,(H585*N585*IF(AND(Inputs!$B$38&lt;&gt;"pvp",Inputs!$B$43&gt;0),((Skills!F8*((R585-1)*IF(Skills!G8&gt;0,Skills!H8/Skills!G8,1)+IF(Skills!G8&gt;0,MIN(Skills!H8,MAX(0,MAX(0,Inputs!$B$43-B610)-((R585-1)*IF(Inputs!$B$38="pvp",15,MAX(0.1,Skills!D8-IF(Skills!E8=TRUE,Inputs!$B$32,0))))))/Skills!G8,1)))/Inputs!$B$43),G585*Q585))*IF(Inputs!$B$38="pvp",1,(1+(Inputs!$B$21+Skills!P8+B604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Skills!A9</f>
        <v/>
      </c>
      <c r="B586">
        <f>Skills!B9</f>
        <v/>
      </c>
      <c r="C586">
        <f>Inputs!$B$3&gt;=105</f>
        <v/>
      </c>
      <c r="D586">
        <f>IF(Skills!C9=1,60+Inputs!$B$25+Inputs!$B$29,IF(Skills!C9=2,90+Inputs!$B$26+Inputs!$B$29,IF(Skills!C9=3,120+Inputs!$B$27+Inputs!$B$29,MAX(0,(Inputs!$B$3-100)*3)+Inputs!$B$28+Inputs!$B$29)))</f>
        <v/>
      </c>
      <c r="E586">
        <f>INDEX(FactorTable!$B$2:$Y$301, MATCH(ROUND(MIN(300,MAX(1,D586)),0), FactorTable!$A$2:$A$301,0), Skills!L9+1)</f>
        <v/>
      </c>
      <c r="F586">
        <f>IF(Skills!M9=TRUE,(Skills!K9/10)*(E586/1000),Skills!K9/10)+Skills!N9</f>
        <v/>
      </c>
      <c r="G586">
        <f>Calc!G9</f>
        <v/>
      </c>
      <c r="H586">
        <f>Calc!H9</f>
        <v/>
      </c>
      <c r="I586">
        <f>IF(Skills!T9&lt;&gt;"",1+(Skills!T9/10)*(Z580/1000)/100,1)</f>
        <v/>
      </c>
      <c r="J586">
        <f>((Inputs!$B$6*(1+Inputs!$B$7/100))+(((Inputs!$B$12*(1+Inputs!$B$13/100))-(Inputs!$B$12*(1+Inputs!$B$13/100)))+0.25*(Inputs!$B$14-Inputs!$B$14))*(1+Inputs!$B$7/100))*(F586/100)</f>
        <v/>
      </c>
      <c r="K586">
        <f>J586*(1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9="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F595-Calc!F18),(Inputs!$B$23+(IF(ArtifactsInput!$M$15,CHOOSE(ArtifactsInput!$N$15+1,25,30,35,40,45,50)/100*(Inputs!$B$11-Inputs!$B$11),0))))/100+(Inputs!$B$23+(IF(ArtifactsInput!$M$15,CHOOSE(ArtifactsInput!$N$15+1,25,30,35,40,45,50)/100*(Inputs!$B$11-Inputs!$B$11),0)))/100)/2</f>
        <v/>
      </c>
      <c r="M586">
        <f>L586*(1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(1-Summary!$B$11)*S586+Summary!$B$11*U586</f>
        <v/>
      </c>
      <c r="P586">
        <f>IF(B613=0,0,O586/B613)</f>
        <v/>
      </c>
      <c r="Q586">
        <f>IFERROR(1/IF(Inputs!$B$38="pvp",15,MAX(0.1,Skills!D9-IF(Skills!E9=TRUE,Inputs!$B$32,0))),0)</f>
        <v/>
      </c>
      <c r="R586">
        <f>IF(AND(Inputs!$B$38&lt;&gt;"pvp",Inputs!$B$43&gt;0),IF(MAX(0,Inputs!$B$43-B610)&lt;=0,0,(INT(MAX(0,Inputs!$B$43-B610)/IF(Inputs!$B$38="pvp",15,MAX(0.1,Skills!D9-IF(Skills!E9=TRUE,Inputs!$B$32,0))))+1)),0)</f>
        <v/>
      </c>
      <c r="S586">
        <f>IF(C586,(H586*N586*IF(AND(Inputs!$B$38&lt;&gt;"pvp",Inputs!$B$43&gt;0),((Skills!F9*((R586-1)*IF(Skills!G9&gt;0,Skills!H9/Skills!G9,1)+IF(Skills!G9&gt;0,MIN(Skills!H9,MAX(0,MAX(0,Inputs!$B$43-B610)-((R586-1)*IF(Inputs!$B$38="pvp",15,MAX(0.1,Skills!D9-IF(Skills!E9=TRUE,Inputs!$B$32,0))))))/Skills!G9,1)))/Inputs!$B$43),G586*Q586))*IF(Inputs!$B$38="pvp",1,1+(Inputs!$B$20+Skills!O9+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586*(1-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6">
        <f>IF(C586,(H586*N586*IF(AND(Inputs!$B$38&lt;&gt;"pvp",Inputs!$B$43&gt;0),((Skills!F9*((R586-1)*IF(Skills!G9&gt;0,Skills!H9/Skills!G9,1)+IF(Skills!G9&gt;0,MIN(Skills!H9,MAX(0,MAX(0,Inputs!$B$43-B610)-((R586-1)*IF(Inputs!$B$38="pvp",15,MAX(0.1,Skills!D9-IF(Skills!E9=TRUE,Inputs!$B$32,0))))))/Skills!G9,1)))/Inputs!$B$43),G586*Q586))*IF(Inputs!$B$38="pvp",1,(1+(Inputs!$B$21+Skills!P9+B604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Skills!A10</f>
        <v/>
      </c>
      <c r="B587">
        <f>Skills!B10</f>
        <v/>
      </c>
      <c r="C587">
        <f>Inputs!$B$3&gt;=113</f>
        <v/>
      </c>
      <c r="D587">
        <f>IF(Skills!C10=1,60+Inputs!$B$25+Inputs!$B$29,IF(Skills!C10=2,90+Inputs!$B$26+Inputs!$B$29,IF(Skills!C10=3,120+Inputs!$B$27+Inputs!$B$29,MAX(0,(Inputs!$B$3-100)*3)+Inputs!$B$28+Inputs!$B$29)))</f>
        <v/>
      </c>
      <c r="E587">
        <f>INDEX(FactorTable!$B$2:$Y$301, MATCH(ROUND(MIN(300,MAX(1,D587)),0), FactorTable!$A$2:$A$301,0), Skills!L10+1)</f>
        <v/>
      </c>
      <c r="F587">
        <f>IF(Skills!M10=TRUE,(Skills!K10/10)*(E587/1000),Skills!K10/10)+Skills!N10</f>
        <v/>
      </c>
      <c r="G587">
        <f>Calc!G10</f>
        <v/>
      </c>
      <c r="H587">
        <f>Calc!H10</f>
        <v/>
      </c>
      <c r="I587">
        <f>IF(Skills!T10&lt;&gt;"",1+(Skills!T10/10)*(Z580/1000)/100,1)</f>
        <v/>
      </c>
      <c r="J587">
        <f>((Inputs!$B$6*(1+Inputs!$B$7/100))+(((Inputs!$B$12*(1+Inputs!$B$13/100))-(Inputs!$B$12*(1+Inputs!$B$13/100)))+0.25*(Inputs!$B$14-Inputs!$B$14))*(1+Inputs!$B$7/100))*(F587/100)</f>
        <v/>
      </c>
      <c r="K587">
        <f>J587*(1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10="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F595-Calc!F18),(Inputs!$B$23+(IF(ArtifactsInput!$M$15,CHOOSE(ArtifactsInput!$N$15+1,25,30,35,40,45,50)/100*(Inputs!$B$11-Inputs!$B$11),0))))/100+(Inputs!$B$23+(IF(ArtifactsInput!$M$15,CHOOSE(ArtifactsInput!$N$15+1,25,30,35,40,45,50)/100*(Inputs!$B$11-Inputs!$B$11),0)))/100)/2</f>
        <v/>
      </c>
      <c r="M587">
        <f>L587*(1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(1-Summary!$B$11)*S587+Summary!$B$11*U587</f>
        <v/>
      </c>
      <c r="P587">
        <f>IF(B613=0,0,O587/B613)</f>
        <v/>
      </c>
      <c r="Q587">
        <f>IFERROR(1/IF(Inputs!$B$38="pvp",15,MAX(0.1,Skills!D10-IF(Skills!E9=TRUE,Inputs!$B$32,0))),0)</f>
        <v/>
      </c>
      <c r="R587">
        <f>IF(AND(Inputs!$B$38&lt;&gt;"pvp",Inputs!$B$43&gt;0),IF(MAX(0,Inputs!$B$43-B610)&lt;=0,0,(INT(MAX(0,Inputs!$B$43-B610)/IF(Inputs!$B$38="pvp",15,MAX(0.1,Skills!D10-IF(Skills!E9=TRUE,Inputs!$B$32,0))))+1)),0)</f>
        <v/>
      </c>
      <c r="S587">
        <f>IF(C587,(H587*N587*IF(AND(Inputs!$B$38&lt;&gt;"pvp",Inputs!$B$43&gt;0),((Skills!F10*((R587-1)*IF(Skills!G10&gt;0,Skills!H10/Skills!G10,1)+IF(Skills!G10&gt;0,MIN(Skills!H10,MAX(0,MAX(0,Inputs!$B$43-B610)-((R587-1)*IF(Inputs!$B$38="pvp",15,MAX(0.1,Skills!D10-IF(Skills!E9=TRUE,Inputs!$B$32,0))))))/Skills!G10,1)))/Inputs!$B$43),G587*Q587))*IF(Inputs!$B$38="pvp",1,1+(Inputs!$B$20+Skills!O10+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587*(1-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7">
        <f>IF(C587,(H587*N587*IF(AND(Inputs!$B$38&lt;&gt;"pvp",Inputs!$B$43&gt;0),((Skills!F10*((R587-1)*IF(Skills!G10&gt;0,Skills!H10/Skills!G10,1)+IF(Skills!G10&gt;0,MIN(Skills!H10,MAX(0,MAX(0,Inputs!$B$43-B610)-((R587-1)*IF(Inputs!$B$38="pvp",15,MAX(0.1,Skills!D10-IF(Skills!E9=TRUE,Inputs!$B$32,0))))))/Skills!G10,1)))/Inputs!$B$43),G587*Q587))*IF(Inputs!$B$38="pvp",1,(1+(Inputs!$B$21+Skills!P10+B604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Skills!A11</f>
        <v/>
      </c>
      <c r="B588">
        <f>Skills!B11</f>
        <v/>
      </c>
      <c r="C588">
        <f>Inputs!$B$3&gt;=107</f>
        <v/>
      </c>
      <c r="D588">
        <f>IF(Skills!C11=1,60+Inputs!$B$25+Inputs!$B$29,IF(Skills!C11=2,90+Inputs!$B$26+Inputs!$B$29,IF(Skills!C11=3,120+Inputs!$B$27+Inputs!$B$29,MAX(0,(Inputs!$B$3-100)*3)+Inputs!$B$28+Inputs!$B$29)))</f>
        <v/>
      </c>
      <c r="E588">
        <f>INDEX(FactorTable!$B$2:$Y$301, MATCH(ROUND(MIN(300,MAX(1,D588)),0), FactorTable!$A$2:$A$301,0), Skills!L11+1)</f>
        <v/>
      </c>
      <c r="F588">
        <f>IF(Skills!M11=TRUE,(Skills!K11/10)*(E588/1000),Skills!K11/10)+Skills!N11</f>
        <v/>
      </c>
      <c r="G588">
        <f>Calc!G11</f>
        <v/>
      </c>
      <c r="H588">
        <f>Calc!H11</f>
        <v/>
      </c>
      <c r="I588">
        <f>IF(Skills!T11&lt;&gt;"",1+(Skills!T11/10)*(Z580/1000)/100,1)</f>
        <v/>
      </c>
      <c r="J588">
        <f>((Inputs!$B$6*(1+Inputs!$B$7/100))+(((Inputs!$B$12*(1+Inputs!$B$13/100))-(Inputs!$B$12*(1+Inputs!$B$13/100)))+0.25*(Inputs!$B$14-Inputs!$B$14))*(1+Inputs!$B$7/100))*(F588/100)</f>
        <v/>
      </c>
      <c r="K588">
        <f>J588*(1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11="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F595-Calc!F18),(Inputs!$B$23+(IF(ArtifactsInput!$M$15,CHOOSE(ArtifactsInput!$N$15+1,25,30,35,40,45,50)/100*(Inputs!$B$11-Inputs!$B$11),0))))/100+(Inputs!$B$23+(IF(ArtifactsInput!$M$15,CHOOSE(ArtifactsInput!$N$15+1,25,30,35,40,45,50)/100*(Inputs!$B$11-Inputs!$B$11),0)))/100)/2</f>
        <v/>
      </c>
      <c r="M588">
        <f>L588*(1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(1-Summary!$B$11)*S588+Summary!$B$11*U588</f>
        <v/>
      </c>
      <c r="P588">
        <f>IF(B613=0,0,O588/B613)</f>
        <v/>
      </c>
      <c r="Q588">
        <f>IFERROR(1/IF(Inputs!$B$38="pvp",15,MAX(0.1,Skills!D11-IF(Skills!E11=TRUE,Inputs!$B$32,0))),0)</f>
        <v/>
      </c>
      <c r="R588">
        <f>IF(AND(Inputs!$B$38&lt;&gt;"pvp",Inputs!$B$43&gt;0),IF(MAX(0,Inputs!$B$43-B610)&lt;=0,0,(INT(MAX(0,Inputs!$B$43-B610)/IF(Inputs!$B$38="pvp",15,MAX(0.1,Skills!D11-IF(Skills!E11=TRUE,Inputs!$B$32,0))))+1)),0)</f>
        <v/>
      </c>
      <c r="S588">
        <f>IF(C588,H588*N588*IF(AND(Inputs!$B$38&lt;&gt;"pvp",Inputs!$B$43&gt;0),((Skills!F11*((R588-1)*IF(Skills!G11&gt;0,Skills!H11/Skills!G11,1)+IF(Skills!G11&gt;0,MIN(Skills!H11,MAX(0,MAX(0,Inputs!$B$43-B610)-((R588-1)*IF(Inputs!$B$38="pvp",15,MAX(0.1,Skills!D11-IF(Skills!E11=TRUE,Inputs!$B$32,0))))))/Skills!G11,1)))/Inputs!$B$43),G588*Q588)*0.5*IF(Inputs!$B$38="pvp",1,1+(Inputs!$B$20+Skills!O11+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588*(1-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8">
        <f>IF(C588,H588*N588*IF(AND(Inputs!$B$38&lt;&gt;"pvp",Inputs!$B$43&gt;0),((Skills!F11*((R588-1)*IF(Skills!G11&gt;0,Skills!H11/Skills!G11,1)+IF(Skills!G11&gt;0,MIN(Skills!H11,MAX(0,MAX(0,Inputs!$B$43-B610)-((R588-1)*IF(Inputs!$B$38="pvp",15,MAX(0.1,Skills!D11-IF(Skills!E11=TRUE,Inputs!$B$32,0))))))/Skills!G11,1)))/Inputs!$B$43),G588*Q588)*1*IF(Inputs!$B$38="pvp",1,(1+(Inputs!$B$21+Skills!P11+B604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Skills!A12</f>
        <v/>
      </c>
      <c r="B589">
        <f>Skills!B12</f>
        <v/>
      </c>
      <c r="C589">
        <f>Inputs!$B$3&gt;=115</f>
        <v/>
      </c>
      <c r="D589">
        <f>IF(Skills!C12=1,60+Inputs!$B$25+Inputs!$B$29,IF(Skills!C12=2,90+Inputs!$B$26+Inputs!$B$29,IF(Skills!C12=3,120+Inputs!$B$27+Inputs!$B$29,MAX(0,(Inputs!$B$3-100)*3)+Inputs!$B$28+Inputs!$B$29)))</f>
        <v/>
      </c>
      <c r="E589">
        <f>INDEX(FactorTable!$B$2:$Y$301, MATCH(ROUND(MIN(300,MAX(1,D589)),0), FactorTable!$A$2:$A$301,0), Skills!L12+1)</f>
        <v/>
      </c>
      <c r="F589">
        <f>IF(Skills!M12=TRUE,(Skills!K12/10)*(E589/1000),Skills!K12/10)+Skills!N12</f>
        <v/>
      </c>
      <c r="G589">
        <f>Calc!G12</f>
        <v/>
      </c>
      <c r="H589">
        <f>Calc!H12</f>
        <v/>
      </c>
      <c r="I589">
        <f>IF(Skills!T12&lt;&gt;"",1+(Skills!T12/10)*(Z580/1000)/100,1)</f>
        <v/>
      </c>
      <c r="J589">
        <f>((Inputs!$B$6*(1+Inputs!$B$7/100))+(((Inputs!$B$12*(1+Inputs!$B$13/100))-(Inputs!$B$12*(1+Inputs!$B$13/100)))+0.25*(Inputs!$B$14-Inputs!$B$14))*(1+Inputs!$B$7/100))*(F589/100)</f>
        <v/>
      </c>
      <c r="K589">
        <f>J589*(1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12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F595-Calc!F18),(Inputs!$B$23+(IF(ArtifactsInput!$M$15,CHOOSE(ArtifactsInput!$N$15+1,25,30,35,40,45,50)/100*(Inputs!$B$11-Inputs!$B$11),0))))/100+(Inputs!$B$23+(IF(ArtifactsInput!$M$15,CHOOSE(ArtifactsInput!$N$15+1,25,30,35,40,45,50)/100*(Inputs!$B$11-Inputs!$B$11),0)))/100)/2</f>
        <v/>
      </c>
      <c r="M589">
        <f>L589*(1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(1-Summary!$B$11)*S589+Summary!$B$11*U589</f>
        <v/>
      </c>
      <c r="P589">
        <f>IF(B613=0,0,O589/B613)</f>
        <v/>
      </c>
      <c r="Q589">
        <f>IFERROR(1/IF(Inputs!$B$38="pvp",15,MAX(0.1,Skills!D12-IF(Skills!E12=TRUE,Inputs!$B$32,0))),0)</f>
        <v/>
      </c>
      <c r="R589">
        <f>IF(AND(Inputs!$B$38&lt;&gt;"pvp",Inputs!$B$43&gt;0),IF(MAX(0,Inputs!$B$43-B610)&lt;=0,0,(INT(MAX(0,Inputs!$B$43-B610)/IF(Inputs!$B$38="pvp",15,MAX(0.1,Skills!D12-IF(Skills!E12=TRUE,Inputs!$B$32,0))))+1)),0)</f>
        <v/>
      </c>
      <c r="S589">
        <f>IF(C589,(H589*N589*IF(AND(Inputs!$B$38&lt;&gt;"pvp",Inputs!$B$43&gt;0),((Skills!F12*((R589-1)*IF(Skills!G12&gt;0,Skills!H12/Skills!G12,1)+IF(Skills!G12&gt;0,MIN(Skills!H12,MAX(0,MAX(0,Inputs!$B$43-B610)-((R589-1)*IF(Inputs!$B$38="pvp",15,MAX(0.1,Skills!D12-IF(Skills!E12=TRUE,Inputs!$B$32,0))))))/Skills!G12,1)))/Inputs!$B$43),G589*Q589))*IF(Inputs!$B$38="pvp",1,1+(Inputs!$B$20+Skills!O12+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9">
        <f>IF(C589,(H589*N589*IF(AND(Inputs!$B$38&lt;&gt;"pvp",Inputs!$B$43&gt;0),((Skills!F12*((R589-1)*IF(Skills!G12&gt;0,Skills!H12/Skills!G12,1)+IF(Skills!G12&gt;0,MIN(Skills!H12,MAX(0,MAX(0,Inputs!$B$43-B610)-((R589-1)*IF(Inputs!$B$38="pvp",15,MAX(0.1,Skills!D12-IF(Skills!E12=TRUE,Inputs!$B$32,0))))))/Skills!G12,1)))/Inputs!$B$43),G589*Q589))*IF(Inputs!$B$38="pvp",1,(1+(Inputs!$B$21+Skills!P12+B604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Skills!A13</f>
        <v/>
      </c>
      <c r="B590">
        <f>Skills!B13</f>
        <v/>
      </c>
      <c r="C590">
        <f>Inputs!$B$3&gt;=49</f>
        <v/>
      </c>
      <c r="D590">
        <f>IF(Skills!C13=1,60+Inputs!$B$25+Inputs!$B$29,IF(Skills!C13=2,90+Inputs!$B$26+Inputs!$B$29,IF(Skills!C13=3,120+Inputs!$B$27+Inputs!$B$29,MAX(0,(Inputs!$B$3-100)*3)+Inputs!$B$28+Inputs!$B$29)))</f>
        <v/>
      </c>
      <c r="E590">
        <f>INDEX(FactorTable!$B$2:$Y$301, MATCH(ROUND(MIN(300,MAX(1,D590)),0), FactorTable!$A$2:$A$301,0), Skills!L13+1)</f>
        <v/>
      </c>
      <c r="F590">
        <f>IF(Skills!M13=TRUE,(Skills!K13/10)*(E590/1000),Skills!K13/10)+Skills!N13</f>
        <v/>
      </c>
      <c r="G590">
        <f>Calc!G13</f>
        <v/>
      </c>
      <c r="H590">
        <f>Calc!H13</f>
        <v/>
      </c>
      <c r="I590">
        <f>IF(Skills!T13&lt;&gt;"",1+(Skills!T13/10)*(Z580/1000)/100,1)</f>
        <v/>
      </c>
      <c r="J590" t="inlineStr"/>
      <c r="K590" t="inlineStr"/>
      <c r="L590" t="inlineStr"/>
      <c r="M590" t="inlineStr"/>
      <c r="N590" t="inlineStr"/>
      <c r="O590">
        <f>(1-Summary!$B$11)*S590+Summary!$B$11*U590</f>
        <v/>
      </c>
      <c r="P590">
        <f>IF(B613=0,0,O590/B613)</f>
        <v/>
      </c>
      <c r="Q590">
        <f>IFERROR(1/IF(Inputs!$B$38="pvp",15,MAX(0.1,Skills!D13-IF(Skills!E13=TRUE,Inputs!$B$32,0))),0)</f>
        <v/>
      </c>
      <c r="R590" t="n">
        <v>0</v>
      </c>
      <c r="S590" t="n">
        <v>0</v>
      </c>
      <c r="U590" t="n">
        <v>0</v>
      </c>
    </row>
    <row r="591">
      <c r="A591">
        <f>Skills!A14</f>
        <v/>
      </c>
      <c r="B591">
        <f>Skills!B14</f>
        <v/>
      </c>
      <c r="C591">
        <f>Inputs!$B$3&gt;=72</f>
        <v/>
      </c>
      <c r="D591">
        <f>IF(Skills!C14=1,60+Inputs!$B$25+Inputs!$B$29,IF(Skills!C14=2,90+Inputs!$B$26+Inputs!$B$29,IF(Skills!C14=3,120+Inputs!$B$27+Inputs!$B$29,MAX(0,(Inputs!$B$3-100)*3)+Inputs!$B$28+Inputs!$B$29)))</f>
        <v/>
      </c>
      <c r="E591">
        <f>INDEX(FactorTable!$B$2:$Y$301, MATCH(ROUND(MIN(300,MAX(1,D591)),0), FactorTable!$A$2:$A$301,0), Skills!L14+1)</f>
        <v/>
      </c>
      <c r="F591">
        <f>IF(Skills!M14=TRUE,(Skills!K14/10)*(E591/1000),Skills!K14/10)+Skills!N14</f>
        <v/>
      </c>
      <c r="G591">
        <f>Calc!G14</f>
        <v/>
      </c>
      <c r="H591">
        <f>Calc!H14</f>
        <v/>
      </c>
      <c r="I591">
        <f>IF(Skills!T14&lt;&gt;"",1+(Skills!T14/10)*(Z580/1000)/100,1)</f>
        <v/>
      </c>
      <c r="J591" t="inlineStr"/>
      <c r="K591" t="inlineStr"/>
      <c r="L591" t="inlineStr"/>
      <c r="M591" t="inlineStr"/>
      <c r="N591" t="inlineStr"/>
      <c r="O591">
        <f>(1-Summary!$B$11)*S591+Summary!$B$11*U591</f>
        <v/>
      </c>
      <c r="P591">
        <f>IF(B613=0,0,O591/B613)</f>
        <v/>
      </c>
      <c r="Q591">
        <f>IFERROR(1/IF(Inputs!$B$38="pvp",15,MAX(0.1,Skills!D14-IF(Skills!E14=TRUE,Inputs!$B$32,0))),0)</f>
        <v/>
      </c>
      <c r="R591" t="n">
        <v>0</v>
      </c>
      <c r="S591" t="n">
        <v>0</v>
      </c>
      <c r="U591" t="n">
        <v>0</v>
      </c>
    </row>
    <row r="592">
      <c r="A592">
        <f>Skills!A15</f>
        <v/>
      </c>
      <c r="B592">
        <f>Skills!B15</f>
        <v/>
      </c>
      <c r="C592">
        <f>Inputs!$B$3&gt;=75</f>
        <v/>
      </c>
      <c r="D592">
        <f>IF(Skills!C15=1,60+Inputs!$B$25+Inputs!$B$29,IF(Skills!C15=2,90+Inputs!$B$26+Inputs!$B$29,IF(Skills!C15=3,120+Inputs!$B$27+Inputs!$B$29,MAX(0,(Inputs!$B$3-100)*3)+Inputs!$B$28+Inputs!$B$29)))</f>
        <v/>
      </c>
      <c r="E592">
        <f>INDEX(FactorTable!$B$2:$Y$301, MATCH(ROUND(MIN(300,MAX(1,D592)),0), FactorTable!$A$2:$A$301,0), Skills!L15+1)</f>
        <v/>
      </c>
      <c r="F592">
        <f>IF(Skills!M15=TRUE,(Skills!K15/10)*(E592/1000),Skills!K15/10)+Skills!N15</f>
        <v/>
      </c>
      <c r="G592">
        <f>Calc!G15</f>
        <v/>
      </c>
      <c r="H592">
        <f>Calc!H15</f>
        <v/>
      </c>
      <c r="I592">
        <f>IF(Skills!T15&lt;&gt;"",1+(Skills!T15/10)*(Z580/1000)/100,1)</f>
        <v/>
      </c>
      <c r="J592" t="inlineStr"/>
      <c r="K592" t="inlineStr"/>
      <c r="L592" t="inlineStr"/>
      <c r="M592" t="inlineStr"/>
      <c r="N592" t="inlineStr"/>
      <c r="O592">
        <f>(1-Summary!$B$11)*S592+Summary!$B$11*U592</f>
        <v/>
      </c>
      <c r="P592">
        <f>IF(B613=0,0,O592/B613)</f>
        <v/>
      </c>
      <c r="Q592">
        <f>IFERROR(1/IF(Inputs!$B$38="pvp",15,MAX(0.1,Skills!D15-IF(Skills!E15=TRUE,Inputs!$B$32,0))),0)</f>
        <v/>
      </c>
      <c r="R592" t="n">
        <v>0</v>
      </c>
      <c r="S592" t="n">
        <v>0</v>
      </c>
      <c r="U592" t="n">
        <v>0</v>
      </c>
    </row>
    <row r="593">
      <c r="A593">
        <f>Skills!A16</f>
        <v/>
      </c>
      <c r="B593">
        <f>Skills!B16</f>
        <v/>
      </c>
      <c r="C593">
        <f>Inputs!$B$3&gt;=110</f>
        <v/>
      </c>
      <c r="D593">
        <f>IF(Skills!C16=1,60+Inputs!$B$25+Inputs!$B$29,IF(Skills!C16=2,90+Inputs!$B$26+Inputs!$B$29,IF(Skills!C16=3,120+Inputs!$B$27+Inputs!$B$29,MAX(0,(Inputs!$B$3-100)*3)+Inputs!$B$28+Inputs!$B$29)))</f>
        <v/>
      </c>
      <c r="E593">
        <f>INDEX(FactorTable!$B$2:$Y$301, MATCH(ROUND(MIN(300,MAX(1,D593)),0), FactorTable!$A$2:$A$301,0), Skills!L16+1)</f>
        <v/>
      </c>
      <c r="F593">
        <f>(Skills!K16/10)*(E593/1000)*64/45+Skills!N16</f>
        <v/>
      </c>
      <c r="G593">
        <f>Calc!G16</f>
        <v/>
      </c>
      <c r="H593">
        <f>Calc!H16</f>
        <v/>
      </c>
      <c r="I593">
        <f>IF(Skills!T16&lt;&gt;"",1+(Skills!T16/10)*(Z580/1000)/100,1)</f>
        <v/>
      </c>
      <c r="J593" t="inlineStr"/>
      <c r="K593" t="inlineStr"/>
      <c r="L593" t="inlineStr"/>
      <c r="M593" t="inlineStr"/>
      <c r="N593" t="inlineStr"/>
      <c r="O593">
        <f>(1-Summary!$B$11)*S593+Summary!$B$11*U593</f>
        <v/>
      </c>
      <c r="P593">
        <f>IF(B613=0,0,O593/B613)</f>
        <v/>
      </c>
      <c r="Q593">
        <f>IFERROR(1/IF(Inputs!$B$38="pvp",15,MAX(0.1,Skills!D16-IF(Skills!E16=TRUE,Inputs!$B$32,0))),0)</f>
        <v/>
      </c>
      <c r="R593">
        <f>IF(AND(Inputs!$B$38&lt;&gt;"pvp",Inputs!$B$43&gt;0),IF(Inputs!$B$43&lt;=0,0,(INT(Inputs!$B$43/IF(Inputs!$B$38="pvp",15,MAX(0.1,Skills!D16-IF(Skills!E16=TRUE,Inputs!$B$32,0))))+1)),0)</f>
        <v/>
      </c>
      <c r="S593" t="n">
        <v>0</v>
      </c>
      <c r="U593" t="n">
        <v>0</v>
      </c>
    </row>
    <row r="594">
      <c r="A594">
        <f>Skills!A17</f>
        <v/>
      </c>
      <c r="B594">
        <f>Skills!B17</f>
        <v/>
      </c>
      <c r="C594">
        <f>Inputs!$B$3&gt;=33</f>
        <v/>
      </c>
      <c r="D594">
        <f>IF(Skills!C17=1,60+Inputs!$B$25+Inputs!$B$29,IF(Skills!C17=2,90+Inputs!$B$26+Inputs!$B$29,IF(Skills!C17=3,120+Inputs!$B$27+Inputs!$B$29,MAX(0,(Inputs!$B$3-100)*3)+Inputs!$B$28+Inputs!$B$29)))</f>
        <v/>
      </c>
      <c r="E594">
        <f>INDEX(FactorTable!$B$2:$Y$301, MATCH(ROUND(MIN(300,MAX(1,D594)),0), FactorTable!$A$2:$A$301,0), Skills!L17+1)</f>
        <v/>
      </c>
      <c r="F594">
        <f>IF(Skills!M17=TRUE,(Skills!K17/10)*(E594/1000),Skills!K17/10)+Skills!N17</f>
        <v/>
      </c>
      <c r="G594">
        <f>Calc!G17</f>
        <v/>
      </c>
      <c r="H594">
        <f>Calc!H17</f>
        <v/>
      </c>
      <c r="I594">
        <f>IF(Skills!T17&lt;&gt;"",1+(Skills!T17/10)*(Z580/1000)/100,1)</f>
        <v/>
      </c>
      <c r="J594" t="inlineStr"/>
      <c r="K594" t="inlineStr"/>
      <c r="L594" t="inlineStr"/>
      <c r="M594" t="inlineStr"/>
      <c r="N594" t="inlineStr"/>
      <c r="O594">
        <f>(1-Summary!$B$11)*S594+Summary!$B$11*U594</f>
        <v/>
      </c>
      <c r="P594">
        <f>IF(B613=0,0,O594/B613)</f>
        <v/>
      </c>
      <c r="Q594">
        <f>IFERROR(1/IF(Inputs!$B$38="pvp",15,MAX(0.1,Skills!D17-IF(Skills!E17=TRUE,Inputs!$B$32,0))),0)</f>
        <v/>
      </c>
      <c r="R594" t="n">
        <v>0</v>
      </c>
      <c r="S594" t="n">
        <v>0</v>
      </c>
      <c r="U594" t="n">
        <v>0</v>
      </c>
    </row>
    <row r="595">
      <c r="A595">
        <f>Skills!A18</f>
        <v/>
      </c>
      <c r="B595">
        <f>Skills!B18</f>
        <v/>
      </c>
      <c r="C595">
        <f>Inputs!$B$3&gt;=43</f>
        <v/>
      </c>
      <c r="D595">
        <f>IF(Skills!C18=1,60+Inputs!$B$25+Inputs!$B$29,IF(Skills!C18=2,90+Inputs!$B$26+Inputs!$B$29,IF(Skills!C18=3,120+Inputs!$B$27+Inputs!$B$29,MAX(0,(Inputs!$B$3-100)*3)+Inputs!$B$28+Inputs!$B$29)))</f>
        <v/>
      </c>
      <c r="E595">
        <f>INDEX(FactorTable!$B$2:$Y$301, MATCH(ROUND(MIN(300,MAX(1,D595)),0), FactorTable!$A$2:$A$301,0), Skills!L18+1)</f>
        <v/>
      </c>
      <c r="F595">
        <f>IF(Skills!M18=TRUE,(Skills!K18/10)*(E595/1000),Skills!K18/10)+Skills!N18</f>
        <v/>
      </c>
      <c r="G595">
        <f>Calc!G18</f>
        <v/>
      </c>
      <c r="H595">
        <f>Calc!H18</f>
        <v/>
      </c>
      <c r="I595">
        <f>IF(Skills!T18&lt;&gt;"",1+(Skills!T18/10)*(Z580/1000)/100,1)</f>
        <v/>
      </c>
      <c r="J595" t="inlineStr"/>
      <c r="K595" t="inlineStr"/>
      <c r="L595" t="inlineStr"/>
      <c r="M595" t="inlineStr"/>
      <c r="N595" t="inlineStr"/>
      <c r="O595">
        <f>(1-Summary!$B$11)*S595+Summary!$B$11*U595</f>
        <v/>
      </c>
      <c r="P595">
        <f>IF(B613=0,0,O595/B613)</f>
        <v/>
      </c>
      <c r="Q595">
        <f>IFERROR(1/IF(Inputs!$B$38="pvp",15,MAX(0.1,Skills!D18-IF(Skills!E18=TRUE,Inputs!$B$32,0))),0)</f>
        <v/>
      </c>
      <c r="R595" t="n">
        <v>0</v>
      </c>
      <c r="S595" t="n">
        <v>0</v>
      </c>
      <c r="U595" t="n">
        <v>0</v>
      </c>
    </row>
    <row r="596">
      <c r="A596">
        <f>Skills!A19</f>
        <v/>
      </c>
      <c r="B596">
        <f>Skills!B19</f>
        <v/>
      </c>
      <c r="C596">
        <f>Inputs!$B$3&gt;=50</f>
        <v/>
      </c>
      <c r="D596">
        <f>IF(Skills!C19=1,60+Inputs!$B$25+Inputs!$B$29,IF(Skills!C19=2,90+Inputs!$B$26+Inputs!$B$29,IF(Skills!C19=3,120+Inputs!$B$27+Inputs!$B$29,MAX(0,(Inputs!$B$3-100)*3)+Inputs!$B$28+Inputs!$B$29)))</f>
        <v/>
      </c>
      <c r="E596">
        <f>INDEX(FactorTable!$B$2:$Y$301, MATCH(ROUND(MIN(300,MAX(1,D596)),0), FactorTable!$A$2:$A$301,0), Skills!L19+1)</f>
        <v/>
      </c>
      <c r="F596">
        <f>IF(Skills!M19=TRUE,(Skills!K19/10)*(E596/1000),Skills!K19/10)+Skills!N19</f>
        <v/>
      </c>
      <c r="G596">
        <f>Calc!G19</f>
        <v/>
      </c>
      <c r="H596">
        <f>Calc!H19</f>
        <v/>
      </c>
      <c r="I596">
        <f>IF(Skills!T19&lt;&gt;"",1+(Skills!T19/10)*(Z580/1000)/100,1)</f>
        <v/>
      </c>
      <c r="J596" t="inlineStr"/>
      <c r="K596" t="inlineStr"/>
      <c r="L596" t="inlineStr"/>
      <c r="M596" t="inlineStr"/>
      <c r="N596" t="inlineStr"/>
      <c r="O596">
        <f>(1-Summary!$B$11)*S596+Summary!$B$11*U596</f>
        <v/>
      </c>
      <c r="P596">
        <f>IF(B613=0,0,O596/B613)</f>
        <v/>
      </c>
      <c r="Q596">
        <f>IFERROR(1/IF(Inputs!$B$38="pvp",15,MAX(0.1,Skills!D19-IF(Skills!E19=TRUE,Inputs!$B$32,0))),0)</f>
        <v/>
      </c>
      <c r="R596" t="n">
        <v>0</v>
      </c>
      <c r="S596" t="n">
        <v>0</v>
      </c>
      <c r="U596" t="n">
        <v>0</v>
      </c>
    </row>
    <row r="597">
      <c r="A597">
        <f>Skills!A20</f>
        <v/>
      </c>
      <c r="B597">
        <f>Skills!B20</f>
        <v/>
      </c>
      <c r="C597">
        <f>Inputs!$B$3&gt;=74</f>
        <v/>
      </c>
      <c r="D597">
        <f>IF(Skills!C20=1,60+Inputs!$B$25+Inputs!$B$29,IF(Skills!C20=2,90+Inputs!$B$26+Inputs!$B$29,IF(Skills!C20=3,120+Inputs!$B$27+Inputs!$B$29,MAX(0,(Inputs!$B$3-100)*3)+Inputs!$B$28+Inputs!$B$29)))</f>
        <v/>
      </c>
      <c r="E597">
        <f>INDEX(FactorTable!$B$2:$Y$301, MATCH(ROUND(MIN(300,MAX(1,D597)),0), FactorTable!$A$2:$A$301,0), Skills!L20+1)</f>
        <v/>
      </c>
      <c r="F597">
        <f>IF(Skills!M20=TRUE,(Skills!K20/10)*(E597/1000),Skills!K20/10)+Skills!N20</f>
        <v/>
      </c>
      <c r="G597">
        <f>Calc!G20</f>
        <v/>
      </c>
      <c r="H597">
        <f>Calc!H20</f>
        <v/>
      </c>
      <c r="I597">
        <f>IF(Skills!T20&lt;&gt;"",1+(Skills!T20/10)*(Z580/1000)/100,1)</f>
        <v/>
      </c>
      <c r="J597" t="inlineStr"/>
      <c r="K597" t="inlineStr"/>
      <c r="L597" t="inlineStr"/>
      <c r="M597" t="inlineStr"/>
      <c r="N597" t="inlineStr"/>
      <c r="O597">
        <f>(1-Summary!$B$11)*S597+Summary!$B$11*U597</f>
        <v/>
      </c>
      <c r="P597">
        <f>IF(B613=0,0,O597/B613)</f>
        <v/>
      </c>
      <c r="Q597">
        <f>IFERROR(1/IF(Inputs!$B$38="pvp",15,MAX(0.1,Skills!D20-IF(Skills!E20=TRUE,Inputs!$B$32,0))),0)</f>
        <v/>
      </c>
      <c r="R597" t="n">
        <v>0</v>
      </c>
      <c r="S597" t="n">
        <v>0</v>
      </c>
      <c r="U597" t="n">
        <v>0</v>
      </c>
    </row>
    <row r="598">
      <c r="A598">
        <f>Skills!A21</f>
        <v/>
      </c>
      <c r="B598">
        <f>Skills!B21</f>
        <v/>
      </c>
      <c r="C598">
        <f>Inputs!$B$3&gt;=74</f>
        <v/>
      </c>
      <c r="D598">
        <f>IF(Skills!C21=1,60+Inputs!$B$25+Inputs!$B$29,IF(Skills!C21=2,90+Inputs!$B$26+Inputs!$B$29,IF(Skills!C21=3,120+Inputs!$B$27+Inputs!$B$29,MAX(0,(Inputs!$B$3-100)*3)+Inputs!$B$28+Inputs!$B$29)))</f>
        <v/>
      </c>
      <c r="E598">
        <f>INDEX(FactorTable!$B$2:$Y$301, MATCH(ROUND(MIN(300,MAX(1,D598)),0), FactorTable!$A$2:$A$301,0), Skills!L21+1)</f>
        <v/>
      </c>
      <c r="F598">
        <f>IF(Skills!M21=TRUE,(Skills!K21/10)*(E598/1000),Skills!K21/10)+Skills!N21</f>
        <v/>
      </c>
      <c r="G598">
        <f>Calc!G21</f>
        <v/>
      </c>
      <c r="H598">
        <f>Calc!H21</f>
        <v/>
      </c>
      <c r="I598">
        <f>IF(Skills!T21&lt;&gt;"",1+(Skills!T21/10)*(Z580/1000)/100,1)</f>
        <v/>
      </c>
      <c r="J598" t="inlineStr"/>
      <c r="K598" t="inlineStr"/>
      <c r="L598" t="inlineStr"/>
      <c r="M598" t="inlineStr"/>
      <c r="N598" t="inlineStr"/>
      <c r="O598">
        <f>(1-Summary!$B$11)*S598+Summary!$B$11*U598</f>
        <v/>
      </c>
      <c r="P598">
        <f>IF(B613=0,0,O598/B613)</f>
        <v/>
      </c>
      <c r="Q598">
        <f>IFERROR(1/IF(Inputs!$B$38="pvp",15,MAX(0.1,Skills!D21-IF(Skills!E21=TRUE,Inputs!$B$32,0))),0)</f>
        <v/>
      </c>
      <c r="R598" t="n">
        <v>0</v>
      </c>
      <c r="S598" t="n">
        <v>0</v>
      </c>
      <c r="U598" t="n">
        <v>0</v>
      </c>
    </row>
    <row r="599">
      <c r="A599">
        <f>Skills!A22</f>
        <v/>
      </c>
      <c r="B599">
        <f>Skills!B22</f>
        <v/>
      </c>
      <c r="C599">
        <f>Inputs!$B$3&gt;=117</f>
        <v/>
      </c>
      <c r="D599">
        <f>IF(Skills!C22=1,60+Inputs!$B$25+Inputs!$B$29,IF(Skills!C22=2,90+Inputs!$B$26+Inputs!$B$29,IF(Skills!C22=3,120+Inputs!$B$27+Inputs!$B$29,MAX(0,(Inputs!$B$3-100)*3)+Inputs!$B$28+Inputs!$B$29)))</f>
        <v/>
      </c>
      <c r="E599">
        <f>INDEX(FactorTable!$B$2:$Y$301, MATCH(ROUND(MIN(300,MAX(1,D599)),0), FactorTable!$A$2:$A$301,0), Skills!L22+1)</f>
        <v/>
      </c>
      <c r="F599">
        <f>IF(Skills!M22=TRUE,(Skills!K22/10)*(E599/1000),Skills!K22/10)+Skills!N22</f>
        <v/>
      </c>
      <c r="G599">
        <f>Calc!G22</f>
        <v/>
      </c>
      <c r="H599">
        <f>Calc!H22</f>
        <v/>
      </c>
      <c r="I599">
        <f>IF(Skills!T22&lt;&gt;"",1+(Skills!T22/10)*(Z580/1000)/100,1)</f>
        <v/>
      </c>
      <c r="J599" t="inlineStr"/>
      <c r="K599" t="inlineStr"/>
      <c r="L599" t="inlineStr"/>
      <c r="M599" t="inlineStr"/>
      <c r="N599" t="inlineStr"/>
      <c r="O599">
        <f>(1-Summary!$B$11)*S599+Summary!$B$11*U599</f>
        <v/>
      </c>
      <c r="P599">
        <f>IF(B613=0,0,O599/B613)</f>
        <v/>
      </c>
      <c r="Q599">
        <f>IFERROR(1/IF(Inputs!$B$38="pvp",15,MAX(0.1,Skills!D22-IF(Skills!E22=TRUE,Inputs!$B$32,0))),0)</f>
        <v/>
      </c>
      <c r="R599" t="n">
        <v>0</v>
      </c>
      <c r="S599" t="n">
        <v>0</v>
      </c>
      <c r="U599" t="n">
        <v>0</v>
      </c>
    </row>
    <row r="600">
      <c r="A600">
        <f>Skills!A23</f>
        <v/>
      </c>
      <c r="B600">
        <f>Skills!B23</f>
        <v/>
      </c>
      <c r="C600">
        <f>Inputs!$B$3&gt;=120</f>
        <v/>
      </c>
      <c r="D600">
        <f>IF(Skills!C23=1,60+Inputs!$B$25+Inputs!$B$29,IF(Skills!C23=2,90+Inputs!$B$26+Inputs!$B$29,IF(Skills!C23=3,120+Inputs!$B$27+Inputs!$B$29,MAX(0,(Inputs!$B$3-100)*3)+Inputs!$B$28+Inputs!$B$29)))</f>
        <v/>
      </c>
      <c r="E600">
        <f>INDEX(FactorTable!$B$2:$Y$301, MATCH(ROUND(MIN(300,MAX(1,D600)),0), FactorTable!$A$2:$A$301,0), Skills!L23+1)</f>
        <v/>
      </c>
      <c r="F600">
        <f>IF(Skills!M23=TRUE,(Skills!K23/10)*(E600/1000),Skills!K23/10)+Skills!N23</f>
        <v/>
      </c>
      <c r="G600">
        <f>Calc!G23</f>
        <v/>
      </c>
      <c r="H600">
        <f>Calc!H23</f>
        <v/>
      </c>
      <c r="I600">
        <f>IF(Skills!T23&lt;&gt;"",1+(Skills!T23/10)*(Z580/1000)/100,1)</f>
        <v/>
      </c>
      <c r="J600" t="inlineStr"/>
      <c r="K600" t="inlineStr"/>
      <c r="L600" t="inlineStr"/>
      <c r="M600" t="inlineStr"/>
      <c r="N600" t="inlineStr"/>
      <c r="O600">
        <f>(1-Summary!$B$11)*S600+Summary!$B$11*U600</f>
        <v/>
      </c>
      <c r="P600">
        <f>IF(B613=0,0,O600/B613)</f>
        <v/>
      </c>
      <c r="Q600">
        <f>IFERROR(1/IF(Inputs!$B$38="pvp",15,MAX(0.1,Skills!D23-IF(Skills!E23=TRUE,Inputs!$B$32,0))),0)</f>
        <v/>
      </c>
      <c r="R600" t="n">
        <v>0</v>
      </c>
      <c r="S600" t="n">
        <v>0</v>
      </c>
      <c r="U600" t="n">
        <v>0</v>
      </c>
    </row>
    <row r="603">
      <c r="A603" t="inlineStr">
        <is>
          <t>Average Buff Multiplier (Magic Guard + Meditation + Artifact Attack%, summed; then Infinity)</t>
        </is>
      </c>
      <c r="B603">
        <f>(1+(IF(C580=TRUE,F580*IF(AND(Inputs!$B$38&lt;&gt;"pvp",Inputs!$B$43&gt;0),(((R580-1)*(Skills!S3*(1+(Inputs!$B$34+IF(Inputs!$B$3&gt;=117,F599,0))/100))+MIN((Skills!S3*(1+(Inputs!$B$34+IF(Inputs!$B$3&gt;=117,F599,0))/100)),MAX(0,Inputs!$B$43-((R580-1)*Skills!D3))))/Inputs!$B$43),IF(Inputs!$B$38="pvp",MIN((Skills!S3*(1+(Inputs!$B$34+IF(Inputs!$B$3&gt;=117,F599,0))/100)),15)/15,(Skills!S3*(1+(Inputs!$B$34+IF(Inputs!$B$3&gt;=117,F599,0))/100))/Skills!D3)),0)+IF(C581=TRUE,F581*IF(AND(Inputs!$B$38&lt;&gt;"pvp",Inputs!$B$43&gt;0),(((R581-1)*(Skills!S4*(1+(Inputs!$B$34+IF(Inputs!$B$3&gt;=117,F599,0))/100))+MIN((Skills!S4*(1+(Inputs!$B$34+IF(Inputs!$B$3&gt;=117,F599,0))/100)),MAX(0,Inputs!$B$43-((R581-1)*Skills!D4))))/Inputs!$B$43),IF(Inputs!$B$38="pvp",MIN((Skills!S4*(1+(Inputs!$B$34+IF(Inputs!$B$3&gt;=117,F599,0))/100)),15)/15,(Skills!S4*(1+(Inputs!$B$34+IF(Inputs!$B$3&gt;=117,F599,0)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593=TRUE,(1+F593*IF(AND(Inputs!$B$38&lt;&gt;"pvp",Inputs!$B$43&gt;0),(((R593-1)*(Skills!S16*(1+(Inputs!$B$34+IF(Inputs!$B$3&gt;=117,F599,0))/100))+MIN((Skills!S16*(1+(Inputs!$B$34+IF(Inputs!$B$3&gt;=117,F599,0))/100)),MAX(0,Inputs!$B$43-((R593-1)*Skills!D16))))/Inputs!$B$43),IF(Inputs!$B$38="pvp",MIN((Skills!S16*(1+(Inputs!$B$34+IF(Inputs!$B$3&gt;=117,F599,0))/100)),15)/15,(Skills!S16*(1+(Inputs!$B$34+IF(Inputs!$B$3&gt;=117,F599,0))/100))/Skills!D16))/100),1)</f>
        <v/>
      </c>
    </row>
    <row r="604">
      <c r="A604" t="inlineStr">
        <is>
          <t>Monster Damage Taken Bonus % (Freezing Breath - Weaken + Elemental Reset + Artifact Enemy Damage Taken, summed)</t>
        </is>
      </c>
      <c r="B604">
        <f>IF(Inputs!$B$3&gt;=118,15*IF(Inputs!$B$38="pvp",MIN((30*(1+(Inputs!$B$34+IF(Inputs!$B$3&gt;=117,F599,0))/100)),15)/15,(30*(1+(Inputs!$B$34+IF(Inputs!$B$3&gt;=117,F599,0))/100))/Skills!D8),0)+IF(C591=TRUE,F591,0)+(IF(AND(ArtifactsInput!$M$35,Inputs!$B$4&lt;&gt;"Chapter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f>
        <v/>
      </c>
    </row>
    <row r="605">
      <c r="A605" t="inlineStr">
        <is>
          <t>Damage % Bonus (Frozen Break + Frost Clutch, flat)</t>
        </is>
      </c>
      <c r="B605">
        <f>IF(Inputs!$B$3&gt;=66,15,0)+IF(Inputs!$B$3&gt;=98,10,0)+IF(Inputs!$B$3&gt;=125,20,0)</f>
        <v/>
      </c>
    </row>
    <row r="606">
      <c r="A606" t="inlineStr">
        <is>
          <t>Attack Speed Bonus % (MP Eater - MP Boost, always-on once unlocked)</t>
        </is>
      </c>
      <c r="B606">
        <f>IF(C590=TRUE,F590+(F594-Calc!F17),0)</f>
        <v/>
      </c>
    </row>
    <row r="607">
      <c r="A607" t="inlineStr">
        <is>
          <t>Actions Per Second</t>
        </is>
      </c>
      <c r="B607">
        <f>1+MIN(150,150*(1-(1-(Inputs!$B$11+(ArtifactsInput!$M$15-ArtifactsInput!$M$15)*CHOOSE(ArtifactsInput!$N$15+1,8,9.6,11.2,12.8,14.4,16))/150)*(1-B606/150)))/100</f>
        <v/>
      </c>
    </row>
    <row r="608">
      <c r="A608" t="inlineStr">
        <is>
          <t>Skill + Buff Cast Rate</t>
        </is>
      </c>
      <c r="B608">
        <f>IF(AND(Inputs!$B$38&lt;&gt;"pvp",Inputs!$B$43&gt;0),SUMPRODUCT((Skills!E2:E23=TRUE)*(C579:C600=TRUE)*R579:R600)/Inputs!$B$43,SUMPRODUCT((Skills!E2:E23=TRUE)*(C579:C600=TRUE)*Q579:Q600))</f>
        <v/>
      </c>
    </row>
    <row r="609">
      <c r="A609" t="inlineStr">
        <is>
          <t>Chain Lightning Casts Per Second</t>
        </is>
      </c>
      <c r="B609">
        <f>MAX(0,B607-B608)</f>
        <v/>
      </c>
    </row>
    <row r="610">
      <c r="A610" t="inlineStr">
        <is>
          <t>Buff-Casting Startup Delay (s, fixed-duration only)</t>
        </is>
      </c>
      <c r="B610">
        <f>IF(AND(Inputs!$B$38&lt;&gt;"pvp",Inputs!$B$43&gt;0),SUMPRODUCT((Skills!S2:S23&gt;0)*(Skills!E2:E23=TRUE)*(C579:C600=TRUE))/B607,0)</f>
        <v/>
      </c>
    </row>
    <row r="611">
      <c r="A611" t="inlineStr">
        <is>
          <t>Boss-Only Total DPS (this block's swept value)</t>
        </is>
      </c>
      <c r="B611">
        <f>SUM(S579:S600)</f>
        <v/>
      </c>
    </row>
    <row r="612">
      <c r="A612" t="inlineStr">
        <is>
          <t>Normal-Only Total DPS (this block's swept value)</t>
        </is>
      </c>
      <c r="B612">
        <f>SUM(U579:U600)</f>
        <v/>
      </c>
    </row>
    <row r="613">
      <c r="A613" s="6" t="inlineStr">
        <is>
          <t>TOTAL DPS</t>
        </is>
      </c>
      <c r="B613" s="6">
        <f>SUM(O579:O600)</f>
        <v/>
      </c>
    </row>
    <row r="616">
      <c r="A616" s="6" t="inlineStr">
        <is>
          <t>Stat: SKILL_DAMAGE %</t>
        </is>
      </c>
    </row>
    <row r="617">
      <c r="A617" s="5" t="inlineStr">
        <is>
          <t>Key</t>
        </is>
      </c>
      <c r="B617" s="5" t="inlineStr">
        <is>
          <t>Name</t>
        </is>
      </c>
      <c r="C617" s="5" t="inlineStr">
        <is>
          <t>Unlocked</t>
        </is>
      </c>
      <c r="D617" s="5" t="inlineStr">
        <is>
          <t>InputLevel</t>
        </is>
      </c>
      <c r="E617" s="5" t="inlineStr">
        <is>
          <t>Factor</t>
        </is>
      </c>
      <c r="F617" s="5" t="inlineStr">
        <is>
          <t>CoefficientPercent</t>
        </is>
      </c>
      <c r="G617" s="5" t="inlineStr">
        <is>
          <t>EffectiveHits</t>
        </is>
      </c>
      <c r="H617" s="5" t="inlineStr">
        <is>
          <t>ProcProbability</t>
        </is>
      </c>
      <c r="I617" s="5" t="inlineStr">
        <is>
          <t>MapleHeroMultiplier</t>
        </is>
      </c>
      <c r="J617" s="5" t="inlineStr">
        <is>
          <t>BaseDamage</t>
        </is>
      </c>
      <c r="K617" s="5" t="inlineStr">
        <is>
          <t>BaseHitDamage</t>
        </is>
      </c>
      <c r="L617" s="5" t="inlineStr">
        <is>
          <t>NonCritAvg</t>
        </is>
      </c>
      <c r="M617" s="5" t="inlineStr">
        <is>
          <t>CritAvg</t>
        </is>
      </c>
      <c r="N617" s="5" t="inlineStr">
        <is>
          <t>ExpectedDamage(perHit)</t>
        </is>
      </c>
      <c r="O617" s="5" t="inlineStr">
        <is>
          <t>DPS</t>
        </is>
      </c>
      <c r="P617" s="5" t="inlineStr">
        <is>
          <t>% of Total</t>
        </is>
      </c>
      <c r="R617" t="inlineStr">
        <is>
          <t>helpers</t>
        </is>
      </c>
    </row>
    <row r="618">
      <c r="A618">
        <f>Skills!A2</f>
        <v/>
      </c>
      <c r="B618">
        <f>Skills!B2</f>
        <v/>
      </c>
      <c r="C618">
        <f>Inputs!$B$3&gt;=100</f>
        <v/>
      </c>
      <c r="D618" t="inlineStr"/>
      <c r="E618" t="inlineStr"/>
      <c r="F618">
        <f>T620+Skills!N2</f>
        <v/>
      </c>
      <c r="G618">
        <f>Calc!G2</f>
        <v/>
      </c>
      <c r="H618">
        <f>Calc!H2</f>
        <v/>
      </c>
      <c r="I618">
        <f>IF(Skills!T2&lt;&gt;"",1+(Skills!T2/10)*(Z619/1000)/100,1)</f>
        <v/>
      </c>
      <c r="J618">
        <f>((Inputs!$B$6*(1+Inputs!$B$7/100))+(((Inputs!$B$12*(1+Inputs!$B$13/100))-(Inputs!$B$12*(1+Inputs!$B$13/100)))+0.25*(Inputs!$B$14-Inputs!$B$14))*(1+Inputs!$B$7/100))*(F618/100)</f>
        <v/>
      </c>
      <c r="K618">
        <f>J618*(1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F634-Calc!F18),(Inputs!$B$23+(IF(ArtifactsInput!$M$15,CHOOSE(ArtifactsInput!$N$15+1,25,30,35,40,45,50)/100*(Inputs!$B$11-Inputs!$B$11),0))))/100+(Inputs!$B$23+(IF(ArtifactsInput!$M$15,CHOOSE(ArtifactsInput!$N$15+1,25,30,35,40,45,50)/100*(Inputs!$B$11-Inputs!$B$11),0)))/100)/2</f>
        <v/>
      </c>
      <c r="M618">
        <f>L618*(1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(1-Summary!$B$11)*S618+Summary!$B$11*U618</f>
        <v/>
      </c>
      <c r="P618">
        <f>IF(B652=0,0,O618/B652)</f>
        <v/>
      </c>
      <c r="Q618">
        <f>IFERROR(1/IF(Inputs!$B$38="pvp",15,MAX(0.1,Skills!D2-IF(Skills!E2=TRUE,Inputs!$B$32,0))),0)</f>
        <v/>
      </c>
      <c r="R618" t="n">
        <v>0</v>
      </c>
      <c r="S618">
        <f>IF(C618,(Skills!F2*N618*B648)*IF(Inputs!$B$38="pvp",1,1+(Inputs!$B$20+Skills!O2+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18">
        <f>MAX(0,(Inputs!$B$3-100)*3)+Inputs!$B$28+Inputs!$B$29</f>
        <v/>
      </c>
      <c r="U618">
        <f>IF(C618,(Skills!F2*N618*B648)*IF(Inputs!$B$38="pvp",1,(1+(Inputs!$B$21+Skills!P2+B643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18">
        <f>MAX(0,(Inputs!$B$3-100)*3)+Inputs!$B$28+Inputs!$B$29</f>
        <v/>
      </c>
    </row>
    <row r="619">
      <c r="A619">
        <f>Skills!A3</f>
        <v/>
      </c>
      <c r="B619">
        <f>Skills!B3</f>
        <v/>
      </c>
      <c r="C619">
        <f>Inputs!$B$3&gt;=15</f>
        <v/>
      </c>
      <c r="D619">
        <f>IF(Skills!C3=1,60+Inputs!$B$25+Inputs!$B$29,IF(Skills!C3=2,90+Inputs!$B$26+Inputs!$B$29,IF(Skills!C3=3,120+Inputs!$B$27+Inputs!$B$29,MAX(0,(Inputs!$B$3-100)*3)+Inputs!$B$28+Inputs!$B$29)))</f>
        <v/>
      </c>
      <c r="E619">
        <f>INDEX(FactorTable!$B$2:$Y$301, MATCH(ROUND(MIN(300,MAX(1,D619)),0), FactorTable!$A$2:$A$301,0), Skills!L3+1)</f>
        <v/>
      </c>
      <c r="F619">
        <f>IF(Skills!M3=TRUE,(Skills!K3/10)*(E619/1000),Skills!K3/10)+Skills!N3</f>
        <v/>
      </c>
      <c r="G619">
        <f>Calc!G3</f>
        <v/>
      </c>
      <c r="H619">
        <f>Calc!H3</f>
        <v/>
      </c>
      <c r="I619">
        <f>IF(Skills!T3&lt;&gt;"",1+(Skills!T3/10)*(Z619/1000)/100,1)</f>
        <v/>
      </c>
      <c r="J619" t="inlineStr"/>
      <c r="K619" t="inlineStr"/>
      <c r="L619" t="inlineStr"/>
      <c r="M619" t="inlineStr"/>
      <c r="N619" t="inlineStr"/>
      <c r="O619">
        <f>(1-Summary!$B$11)*S619+Summary!$B$11*U619</f>
        <v/>
      </c>
      <c r="P619">
        <f>IF(B652=0,0,O619/B652)</f>
        <v/>
      </c>
      <c r="Q619">
        <f>IFERROR(1/IF(Inputs!$B$38="pvp",15,MAX(0.1,Skills!D3-IF(Skills!E3=TRUE,Inputs!$B$32,0))),0)</f>
        <v/>
      </c>
      <c r="R619">
        <f>IF(AND(Inputs!$B$38&lt;&gt;"pvp",Inputs!$B$43&gt;0),IF(Inputs!$B$43&lt;=0,0,(INT(Inputs!$B$43/IF(Inputs!$B$38="pvp",15,MAX(0.1,Skills!D3-IF(Skills!E3=TRUE,Inputs!$B$32,0))))+1)),0)</f>
        <v/>
      </c>
      <c r="S619" t="n">
        <v>0</v>
      </c>
      <c r="T619">
        <f>INDEX(FactorTable!$B$2:$Y$301, MATCH(ROUND(MIN(300,MAX(1,T618)),0), FactorTable!$A$2:$A$301,0), 22)</f>
        <v/>
      </c>
      <c r="U619" t="n">
        <v>0</v>
      </c>
      <c r="Z619">
        <f>INDEX(FactorTable!$B$2:$Y$301, MATCH(ROUND(MIN(300,MAX(1,Z618)),0), FactorTable!$A$2:$A$301,0), 24)</f>
        <v/>
      </c>
    </row>
    <row r="620">
      <c r="A620">
        <f>Skills!A4</f>
        <v/>
      </c>
      <c r="B620">
        <f>Skills!B4</f>
        <v/>
      </c>
      <c r="C620">
        <f>Inputs!$B$3&gt;=40</f>
        <v/>
      </c>
      <c r="D620">
        <f>IF(Skills!C4=1,60+Inputs!$B$25+Inputs!$B$29,IF(Skills!C4=2,90+Inputs!$B$26+Inputs!$B$29,IF(Skills!C4=3,120+Inputs!$B$27+Inputs!$B$29,MAX(0,(Inputs!$B$3-100)*3)+Inputs!$B$28+Inputs!$B$29)))</f>
        <v/>
      </c>
      <c r="E620">
        <f>INDEX(FactorTable!$B$2:$Y$301, MATCH(ROUND(MIN(300,MAX(1,D620)),0), FactorTable!$A$2:$A$301,0), Skills!L4+1)</f>
        <v/>
      </c>
      <c r="F620">
        <f>IF(Skills!M4=TRUE,(Skills!K4/10)*(E620/1000),Skills!K4/10)+Skills!N4</f>
        <v/>
      </c>
      <c r="G620">
        <f>Calc!G4</f>
        <v/>
      </c>
      <c r="H620">
        <f>Calc!H4</f>
        <v/>
      </c>
      <c r="I620">
        <f>IF(Skills!T4&lt;&gt;"",1+(Skills!T4/10)*(Z619/1000)/100,1)</f>
        <v/>
      </c>
      <c r="J620" t="inlineStr"/>
      <c r="K620" t="inlineStr"/>
      <c r="L620" t="inlineStr"/>
      <c r="M620" t="inlineStr"/>
      <c r="N620" t="inlineStr"/>
      <c r="O620">
        <f>(1-Summary!$B$11)*S620+Summary!$B$11*U620</f>
        <v/>
      </c>
      <c r="P620">
        <f>IF(B652=0,0,O620/B652)</f>
        <v/>
      </c>
      <c r="Q620">
        <f>IFERROR(1/IF(Inputs!$B$38="pvp",15,MAX(0.1,Skills!D4-IF(Skills!E4=TRUE,Inputs!$B$32,0))),0)</f>
        <v/>
      </c>
      <c r="R620">
        <f>IF(AND(Inputs!$B$38&lt;&gt;"pvp",Inputs!$B$43&gt;0),IF(Inputs!$B$43&lt;=0,0,(INT(Inputs!$B$43/IF(Inputs!$B$38="pvp",15,MAX(0.1,Skills!D4-IF(Skills!E4=TRUE,Inputs!$B$32,0))))+1)),0)</f>
        <v/>
      </c>
      <c r="S620" t="n">
        <v>0</v>
      </c>
      <c r="T620">
        <f>290*T619/1000</f>
        <v/>
      </c>
      <c r="U620" t="n">
        <v>0</v>
      </c>
    </row>
    <row r="621">
      <c r="A621">
        <f>Skills!A5</f>
        <v/>
      </c>
      <c r="B621">
        <f>Skills!B5</f>
        <v/>
      </c>
      <c r="C621">
        <f>Inputs!$B$3&gt;=38</f>
        <v/>
      </c>
      <c r="D621">
        <f>IF(Skills!C5=1,60+Inputs!$B$25+Inputs!$B$29,IF(Skills!C5=2,90+Inputs!$B$26+Inputs!$B$29,IF(Skills!C5=3,120+Inputs!$B$27+Inputs!$B$29,MAX(0,(Inputs!$B$3-100)*3)+Inputs!$B$28+Inputs!$B$29)))</f>
        <v/>
      </c>
      <c r="E621">
        <f>INDEX(FactorTable!$B$2:$Y$301, MATCH(ROUND(MIN(300,MAX(1,D621)),0), FactorTable!$A$2:$A$301,0), Skills!L5+1)</f>
        <v/>
      </c>
      <c r="F621">
        <f>IF(Skills!M5=TRUE,(Skills!K5/10)*(E621/1000),Skills!K5/10)+Skills!N5</f>
        <v/>
      </c>
      <c r="G621">
        <f>Calc!G5</f>
        <v/>
      </c>
      <c r="H621">
        <f>Calc!H5</f>
        <v/>
      </c>
      <c r="I621">
        <f>IF(Skills!T5&lt;&gt;"",1+(Skills!T5/10)*(Z619/1000)/100,1)</f>
        <v/>
      </c>
      <c r="J621">
        <f>((Inputs!$B$6*(1+Inputs!$B$7/100))+(((Inputs!$B$12*(1+Inputs!$B$13/100))-(Inputs!$B$12*(1+Inputs!$B$13/100)))+0.25*(Inputs!$B$14-Inputs!$B$14))*(1+Inputs!$B$7/100))*(F621/100)</f>
        <v/>
      </c>
      <c r="K621">
        <f>J621*(1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F634-Calc!F18),(Inputs!$B$23+(IF(ArtifactsInput!$M$15,CHOOSE(ArtifactsInput!$N$15+1,25,30,35,40,45,50)/100*(Inputs!$B$11-Inputs!$B$11),0))))/100+(Inputs!$B$23+(IF(ArtifactsInput!$M$15,CHOOSE(ArtifactsInput!$N$15+1,25,30,35,40,45,50)/100*(Inputs!$B$11-Inputs!$B$11),0)))/100)/2</f>
        <v/>
      </c>
      <c r="M621">
        <f>L621*(1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(1-Summary!$B$11)*S621+Summary!$B$11*U621</f>
        <v/>
      </c>
      <c r="P621">
        <f>IF(B652=0,0,O621/B652)</f>
        <v/>
      </c>
      <c r="Q621">
        <f>IFERROR(1/IF(Inputs!$B$38="pvp",15,MAX(0.1,Skills!D5-IF(Skills!E5=TRUE,Inputs!$B$32,0))),0)</f>
        <v/>
      </c>
      <c r="R621">
        <f>IF(AND(Inputs!$B$38&lt;&gt;"pvp",Inputs!$B$43&gt;0),IF(MAX(0,Inputs!$B$43-B649)&lt;=0,0,(INT(MAX(0,Inputs!$B$43-B649)/IF(Inputs!$B$38="pvp",15,MAX(0.1,Skills!D5-IF(Skills!E5=TRUE,Inputs!$B$32,0))))+1)),0)</f>
        <v/>
      </c>
      <c r="S621">
        <f>IF(C621,(H621*N621*IF(AND(Inputs!$B$38&lt;&gt;"pvp",Inputs!$B$43&gt;0),((Skills!F5*((R621-1)*IF(Skills!G5&gt;0,Skills!H5/Skills!G5,1)+IF(Skills!G5&gt;0,MIN(Skills!H5,MAX(0,MAX(0,Inputs!$B$43-B649)-((R621-1)*IF(Inputs!$B$38="pvp",15,MAX(0.1,Skills!D5-IF(Skills!E5=TRUE,Inputs!$B$32,0))))))/Skills!G5,1)))/Inputs!$B$43),G621*Q621))*IF(Inputs!$B$38="pvp",1,1+(Inputs!$B$20+Skills!O5+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621*(1-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IF(C621,(H621*N621*IF(AND(Inputs!$B$38&lt;&gt;"pvp",Inputs!$B$43&gt;0),((Skills!F5*((R621-1)*IF(Skills!G5&gt;0,Skills!H5/Skills!G5,1)+IF(Skills!G5&gt;0,MIN(Skills!H5,MAX(0,MAX(0,Inputs!$B$43-B649)-((R621-1)*IF(Inputs!$B$38="pvp",15,MAX(0.1,Skills!D5-IF(Skills!E5=TRUE,Inputs!$B$32,0))))))/Skills!G5,1)))/Inputs!$B$43),G621*Q621))*IF(Inputs!$B$38="pvp",1,(1+(Inputs!$B$21+Skills!P5+B643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Skills!A6</f>
        <v/>
      </c>
      <c r="B622">
        <f>Skills!B6</f>
        <v/>
      </c>
      <c r="C622">
        <f>Inputs!$B$3&gt;=63</f>
        <v/>
      </c>
      <c r="D622">
        <f>IF(Skills!C6=1,60+Inputs!$B$25+Inputs!$B$29,IF(Skills!C6=2,90+Inputs!$B$26+Inputs!$B$29,IF(Skills!C6=3,120+Inputs!$B$27+Inputs!$B$29,MAX(0,(Inputs!$B$3-100)*3)+Inputs!$B$28+Inputs!$B$29)))</f>
        <v/>
      </c>
      <c r="E622">
        <f>INDEX(FactorTable!$B$2:$Y$301, MATCH(ROUND(MIN(300,MAX(1,D622)),0), FactorTable!$A$2:$A$301,0), Skills!L6+1)</f>
        <v/>
      </c>
      <c r="F622">
        <f>IF(Skills!M6=TRUE,(Skills!K6/10)*(E622/1000),Skills!K6/10)+Skills!N6</f>
        <v/>
      </c>
      <c r="G622">
        <f>Calc!G6</f>
        <v/>
      </c>
      <c r="H622">
        <f>Calc!H6</f>
        <v/>
      </c>
      <c r="I622">
        <f>IF(Skills!T6&lt;&gt;"",1+(Skills!T6/10)*(Z619/1000)/100,1)</f>
        <v/>
      </c>
      <c r="J622">
        <f>((Inputs!$B$6*(1+Inputs!$B$7/100))+(((Inputs!$B$12*(1+Inputs!$B$13/100))-(Inputs!$B$12*(1+Inputs!$B$13/100)))+0.25*(Inputs!$B$14-Inputs!$B$14))*(1+Inputs!$B$7/100))*(F622/100)</f>
        <v/>
      </c>
      <c r="K622">
        <f>J622*(1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634-Calc!F18),(Inputs!$B$23+(IF(ArtifactsInput!$M$15,CHOOSE(ArtifactsInput!$N$15+1,25,30,35,40,45,50)/100*(Inputs!$B$11-Inputs!$B$11),0))))/100+(Inputs!$B$23+(IF(ArtifactsInput!$M$15,CHOOSE(ArtifactsInput!$N$15+1,25,30,35,40,45,50)/100*(Inputs!$B$11-Inputs!$B$11),0)))/100)/2</f>
        <v/>
      </c>
      <c r="M622">
        <f>L622*(1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IF(B652=0,0,O622/B652)</f>
        <v/>
      </c>
      <c r="Q622">
        <f>IFERROR(1/IF(Inputs!$B$38="pvp",15,MAX(0.1,Skills!D6-IF(Skills!E6=TRUE,Inputs!$B$32,0))),0)</f>
        <v/>
      </c>
      <c r="R622">
        <f>IF(AND(Inputs!$B$38&lt;&gt;"pvp",Inputs!$B$43&gt;0),IF(MAX(0,Inputs!$B$43-B649)&lt;=0,0,(INT(MAX(0,Inputs!$B$43-B649)/IF(Inputs!$B$38="pvp",15,MAX(0.1,Skills!D6-IF(Skills!E6=TRUE,Inputs!$B$32,0))))+1)),0)</f>
        <v/>
      </c>
      <c r="S622">
        <f>IF(C622,(H622*N622*IF(AND(Inputs!$B$38&lt;&gt;"pvp",Inputs!$B$43&gt;0),((Skills!F6*((R622-1)*IF(Skills!G6&gt;0,Skills!H6/Skills!G6,1)+IF(Skills!G6&gt;0,MIN(Skills!H6,MAX(0,MAX(0,Inputs!$B$43-B649)-((R622-1)*IF(Inputs!$B$38="pvp",15,MAX(0.1,Skills!D6-IF(Skills!E6=TRUE,Inputs!$B$32,0))))))/Skills!G6,1)))/Inputs!$B$43),G622*Q622))*IF(Inputs!$B$38="pvp",1,1+(Inputs!$B$20+Skills!O6+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F6*((R622-1)*IF(Skills!G6&gt;0,Skills!H6/Skills!G6,1)+IF(Skills!G6&gt;0,MIN(Skills!H6,MAX(0,MAX(0,Inputs!$B$43-B649)-((R622-1)*IF(Inputs!$B$38="pvp",15,MAX(0.1,Skills!D6-IF(Skills!E6=TRUE,Inputs!$B$32,0))))))/Skills!G6,1)))/Inputs!$B$43),G622*Q622))*IF(Inputs!$B$38="pvp",1,(1+(Inputs!$B$21+Skills!P6+B643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Skills!A7</f>
        <v/>
      </c>
      <c r="B623">
        <f>Skills!B7</f>
        <v/>
      </c>
      <c r="C623">
        <f>Inputs!$B$3&gt;=69</f>
        <v/>
      </c>
      <c r="D623">
        <f>IF(Skills!C7=1,60+Inputs!$B$25+Inputs!$B$29,IF(Skills!C7=2,90+Inputs!$B$26+Inputs!$B$29,IF(Skills!C7=3,120+Inputs!$B$27+Inputs!$B$29,MAX(0,(Inputs!$B$3-100)*3)+Inputs!$B$28+Inputs!$B$29)))</f>
        <v/>
      </c>
      <c r="E623">
        <f>INDEX(FactorTable!$B$2:$Y$301, MATCH(ROUND(MIN(300,MAX(1,D623)),0), FactorTable!$A$2:$A$301,0), Skills!L7+1)</f>
        <v/>
      </c>
      <c r="F623">
        <f>IF(Skills!M7=TRUE,(Skills!K7/10)*(E623/1000),Skills!K7/10)+Skills!N7</f>
        <v/>
      </c>
      <c r="G623">
        <f>Calc!G7</f>
        <v/>
      </c>
      <c r="H623">
        <f>Calc!H7</f>
        <v/>
      </c>
      <c r="I623">
        <f>IF(Skills!T7&lt;&gt;"",1+(Skills!T7/10)*(Z619/1000)/100,1)</f>
        <v/>
      </c>
      <c r="J623">
        <f>((Inputs!$B$6*(1+Inputs!$B$7/100))+(((Inputs!$B$12*(1+Inputs!$B$13/100))-(Inputs!$B$12*(1+Inputs!$B$13/100)))+0.25*(Inputs!$B$14-Inputs!$B$14))*(1+Inputs!$B$7/100))*(F623/100)</f>
        <v/>
      </c>
      <c r="K623">
        <f>J623*(1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F634-Calc!F18),(Inputs!$B$23+(IF(ArtifactsInput!$M$15,CHOOSE(ArtifactsInput!$N$15+1,25,30,35,40,45,50)/100*(Inputs!$B$11-Inputs!$B$11),0))))/100+(Inputs!$B$23+(IF(ArtifactsInput!$M$15,CHOOSE(ArtifactsInput!$N$15+1,25,30,35,40,45,50)/100*(Inputs!$B$11-Inputs!$B$11),0)))/100)/2</f>
        <v/>
      </c>
      <c r="M623">
        <f>L623*(1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(1-Summary!$B$11)*S623+Summary!$B$11*U623</f>
        <v/>
      </c>
      <c r="P623">
        <f>IF(B652=0,0,O623/B652)</f>
        <v/>
      </c>
      <c r="Q623">
        <f>IFERROR(1/IF(Inputs!$B$38="pvp",15,MAX(0.1,Skills!D7-IF(Skills!E7=TRUE,Inputs!$B$32,0))),0)</f>
        <v/>
      </c>
      <c r="R623">
        <f>IF(AND(Inputs!$B$38&lt;&gt;"pvp",Inputs!$B$43&gt;0),IF(MAX(0,Inputs!$B$43-B649)&lt;=0,0,(INT(MAX(0,Inputs!$B$43-B649)/IF(Inputs!$B$38="pvp",15,MAX(0.1,Skills!D7-IF(Skills!E7=TRUE,Inputs!$B$32,0))))+1)),0)</f>
        <v/>
      </c>
      <c r="S623">
        <f>IF(C623,(H623*N623*IF(AND(Inputs!$B$38&lt;&gt;"pvp",Inputs!$B$43&gt;0),((Skills!F7*((R623-1)*IF(Skills!G7&gt;0,Skills!H7/Skills!G7,1)+IF(Skills!G7&gt;0,MIN(Skills!H7,MAX(0,MAX(0,Inputs!$B$43-B649)-((R623-1)*IF(Inputs!$B$38="pvp",15,MAX(0.1,Skills!D7-IF(Skills!E7=TRUE,Inputs!$B$32,0))))))/Skills!G7,1)))/Inputs!$B$43),G623*Q623))*IF(Inputs!$B$38="pvp",1,1+(Inputs!$B$20+Skills!O7+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623*(1-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3">
        <f>IF(C623,(H623*N623*IF(AND(Inputs!$B$38&lt;&gt;"pvp",Inputs!$B$43&gt;0),((Skills!F7*((R623-1)*IF(Skills!G7&gt;0,Skills!H7/Skills!G7,1)+IF(Skills!G7&gt;0,MIN(Skills!H7,MAX(0,MAX(0,Inputs!$B$43-B649)-((R623-1)*IF(Inputs!$B$38="pvp",15,MAX(0.1,Skills!D7-IF(Skills!E7=TRUE,Inputs!$B$32,0))))))/Skills!G7,1)))/Inputs!$B$43),G623*Q623))*IF(Inputs!$B$38="pvp",1,(1+(Inputs!$B$21+Skills!P7+B643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Skills!A8</f>
        <v/>
      </c>
      <c r="B624">
        <f>Skills!B8</f>
        <v/>
      </c>
      <c r="C624">
        <f>Inputs!$B$3&gt;=103</f>
        <v/>
      </c>
      <c r="D624">
        <f>IF(Skills!C8=1,60+Inputs!$B$25+Inputs!$B$29,IF(Skills!C8=2,90+Inputs!$B$26+Inputs!$B$29,IF(Skills!C8=3,120+Inputs!$B$27+Inputs!$B$29,MAX(0,(Inputs!$B$3-100)*3)+Inputs!$B$28+Inputs!$B$29)))</f>
        <v/>
      </c>
      <c r="E624">
        <f>INDEX(FactorTable!$B$2:$Y$301, MATCH(ROUND(MIN(300,MAX(1,D624)),0), FactorTable!$A$2:$A$301,0), Skills!L8+1)</f>
        <v/>
      </c>
      <c r="F624">
        <f>IF(Skills!M8=TRUE,(Skills!K8/10)*(E624/1000),Skills!K8/10)+Skills!N8</f>
        <v/>
      </c>
      <c r="G624">
        <f>Calc!G8</f>
        <v/>
      </c>
      <c r="H624">
        <f>Calc!H8</f>
        <v/>
      </c>
      <c r="I624">
        <f>IF(Skills!T8&lt;&gt;"",1+(Skills!T8/10)*(Z619/1000)/100,1)</f>
        <v/>
      </c>
      <c r="J624">
        <f>((Inputs!$B$6*(1+Inputs!$B$7/100))+(((Inputs!$B$12*(1+Inputs!$B$13/100))-(Inputs!$B$12*(1+Inputs!$B$13/100)))+0.25*(Inputs!$B$14-Inputs!$B$14))*(1+Inputs!$B$7/100))*(F624/100)</f>
        <v/>
      </c>
      <c r="K624">
        <f>J624*(1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F634-Calc!F18),(Inputs!$B$23+(IF(ArtifactsInput!$M$15,CHOOSE(ArtifactsInput!$N$15+1,25,30,35,40,45,50)/100*(Inputs!$B$11-Inputs!$B$11),0))))/100+(Inputs!$B$23+(IF(ArtifactsInput!$M$15,CHOOSE(ArtifactsInput!$N$15+1,25,30,35,40,45,50)/100*(Inputs!$B$11-Inputs!$B$11),0)))/100)/2</f>
        <v/>
      </c>
      <c r="M624">
        <f>L624*(1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(1-Summary!$B$11)*S624+Summary!$B$11*U624</f>
        <v/>
      </c>
      <c r="P624">
        <f>IF(B652=0,0,O624/B652)</f>
        <v/>
      </c>
      <c r="Q624">
        <f>IFERROR(1/IF(Inputs!$B$38="pvp",15,MAX(0.1,Skills!D8-IF(Skills!E8=TRUE,Inputs!$B$32,0))),0)</f>
        <v/>
      </c>
      <c r="R624">
        <f>IF(AND(Inputs!$B$38&lt;&gt;"pvp",Inputs!$B$43&gt;0),IF(MAX(0,Inputs!$B$43-B649)&lt;=0,0,(INT(MAX(0,Inputs!$B$43-B649)/IF(Inputs!$B$38="pvp",15,MAX(0.1,Skills!D8-IF(Skills!E8=TRUE,Inputs!$B$32,0))))+1)),0)</f>
        <v/>
      </c>
      <c r="S624">
        <f>IF(C624,(H624*N624*IF(AND(Inputs!$B$38&lt;&gt;"pvp",Inputs!$B$43&gt;0),((Skills!F8*((R624-1)*IF(Skills!G8&gt;0,Skills!H8/Skills!G8,1)+IF(Skills!G8&gt;0,MIN(Skills!H8,MAX(0,MAX(0,Inputs!$B$43-B649)-((R624-1)*IF(Inputs!$B$38="pvp",15,MAX(0.1,Skills!D8-IF(Skills!E8=TRUE,Inputs!$B$32,0))))))/Skills!G8,1)))/Inputs!$B$43),G624*Q624))*IF(Inputs!$B$38="pvp",1,1+(Inputs!$B$20+Skills!O8+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624*(1-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4">
        <f>IF(C624,(H624*N624*IF(AND(Inputs!$B$38&lt;&gt;"pvp",Inputs!$B$43&gt;0),((Skills!F8*((R624-1)*IF(Skills!G8&gt;0,Skills!H8/Skills!G8,1)+IF(Skills!G8&gt;0,MIN(Skills!H8,MAX(0,MAX(0,Inputs!$B$43-B649)-((R624-1)*IF(Inputs!$B$38="pvp",15,MAX(0.1,Skills!D8-IF(Skills!E8=TRUE,Inputs!$B$32,0))))))/Skills!G8,1)))/Inputs!$B$43),G624*Q624))*IF(Inputs!$B$38="pvp",1,(1+(Inputs!$B$21+Skills!P8+B643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Skills!A9</f>
        <v/>
      </c>
      <c r="B625">
        <f>Skills!B9</f>
        <v/>
      </c>
      <c r="C625">
        <f>Inputs!$B$3&gt;=105</f>
        <v/>
      </c>
      <c r="D625">
        <f>IF(Skills!C9=1,60+Inputs!$B$25+Inputs!$B$29,IF(Skills!C9=2,90+Inputs!$B$26+Inputs!$B$29,IF(Skills!C9=3,120+Inputs!$B$27+Inputs!$B$29,MAX(0,(Inputs!$B$3-100)*3)+Inputs!$B$28+Inputs!$B$29)))</f>
        <v/>
      </c>
      <c r="E625">
        <f>INDEX(FactorTable!$B$2:$Y$301, MATCH(ROUND(MIN(300,MAX(1,D625)),0), FactorTable!$A$2:$A$301,0), Skills!L9+1)</f>
        <v/>
      </c>
      <c r="F625">
        <f>IF(Skills!M9=TRUE,(Skills!K9/10)*(E625/1000),Skills!K9/10)+Skills!N9</f>
        <v/>
      </c>
      <c r="G625">
        <f>Calc!G9</f>
        <v/>
      </c>
      <c r="H625">
        <f>Calc!H9</f>
        <v/>
      </c>
      <c r="I625">
        <f>IF(Skills!T9&lt;&gt;"",1+(Skills!T9/10)*(Z619/1000)/100,1)</f>
        <v/>
      </c>
      <c r="J625">
        <f>((Inputs!$B$6*(1+Inputs!$B$7/100))+(((Inputs!$B$12*(1+Inputs!$B$13/100))-(Inputs!$B$12*(1+Inputs!$B$13/100)))+0.25*(Inputs!$B$14-Inputs!$B$14))*(1+Inputs!$B$7/100))*(F625/100)</f>
        <v/>
      </c>
      <c r="K625">
        <f>J625*(1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F634-Calc!F18),(Inputs!$B$23+(IF(ArtifactsInput!$M$15,CHOOSE(ArtifactsInput!$N$15+1,25,30,35,40,45,50)/100*(Inputs!$B$11-Inputs!$B$11),0))))/100+(Inputs!$B$23+(IF(ArtifactsInput!$M$15,CHOOSE(ArtifactsInput!$N$15+1,25,30,35,40,45,50)/100*(Inputs!$B$11-Inputs!$B$11),0)))/100)/2</f>
        <v/>
      </c>
      <c r="M625">
        <f>L625*(1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(1-Summary!$B$11)*S625+Summary!$B$11*U625</f>
        <v/>
      </c>
      <c r="P625">
        <f>IF(B652=0,0,O625/B652)</f>
        <v/>
      </c>
      <c r="Q625">
        <f>IFERROR(1/IF(Inputs!$B$38="pvp",15,MAX(0.1,Skills!D9-IF(Skills!E9=TRUE,Inputs!$B$32,0))),0)</f>
        <v/>
      </c>
      <c r="R625">
        <f>IF(AND(Inputs!$B$38&lt;&gt;"pvp",Inputs!$B$43&gt;0),IF(MAX(0,Inputs!$B$43-B649)&lt;=0,0,(INT(MAX(0,Inputs!$B$43-B649)/IF(Inputs!$B$38="pvp",15,MAX(0.1,Skills!D9-IF(Skills!E9=TRUE,Inputs!$B$32,0))))+1)),0)</f>
        <v/>
      </c>
      <c r="S625">
        <f>IF(C625,(H625*N625*IF(AND(Inputs!$B$38&lt;&gt;"pvp",Inputs!$B$43&gt;0),((Skills!F9*((R625-1)*IF(Skills!G9&gt;0,Skills!H9/Skills!G9,1)+IF(Skills!G9&gt;0,MIN(Skills!H9,MAX(0,MAX(0,Inputs!$B$43-B649)-((R625-1)*IF(Inputs!$B$38="pvp",15,MAX(0.1,Skills!D9-IF(Skills!E9=TRUE,Inputs!$B$32,0))))))/Skills!G9,1)))/Inputs!$B$43),G625*Q625))*IF(Inputs!$B$38="pvp",1,1+(Inputs!$B$20+Skills!O9+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625*(1-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5">
        <f>IF(C625,(H625*N625*IF(AND(Inputs!$B$38&lt;&gt;"pvp",Inputs!$B$43&gt;0),((Skills!F9*((R625-1)*IF(Skills!G9&gt;0,Skills!H9/Skills!G9,1)+IF(Skills!G9&gt;0,MIN(Skills!H9,MAX(0,MAX(0,Inputs!$B$43-B649)-((R625-1)*IF(Inputs!$B$38="pvp",15,MAX(0.1,Skills!D9-IF(Skills!E9=TRUE,Inputs!$B$32,0))))))/Skills!G9,1)))/Inputs!$B$43),G625*Q625))*IF(Inputs!$B$38="pvp",1,(1+(Inputs!$B$21+Skills!P9+B643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Skills!A10</f>
        <v/>
      </c>
      <c r="B626">
        <f>Skills!B10</f>
        <v/>
      </c>
      <c r="C626">
        <f>Inputs!$B$3&gt;=113</f>
        <v/>
      </c>
      <c r="D626">
        <f>IF(Skills!C10=1,60+Inputs!$B$25+Inputs!$B$29,IF(Skills!C10=2,90+Inputs!$B$26+Inputs!$B$29,IF(Skills!C10=3,120+Inputs!$B$27+Inputs!$B$29,MAX(0,(Inputs!$B$3-100)*3)+Inputs!$B$28+Inputs!$B$29)))</f>
        <v/>
      </c>
      <c r="E626">
        <f>INDEX(FactorTable!$B$2:$Y$301, MATCH(ROUND(MIN(300,MAX(1,D626)),0), FactorTable!$A$2:$A$301,0), Skills!L10+1)</f>
        <v/>
      </c>
      <c r="F626">
        <f>IF(Skills!M10=TRUE,(Skills!K10/10)*(E626/1000),Skills!K10/10)+Skills!N10</f>
        <v/>
      </c>
      <c r="G626">
        <f>Calc!G10</f>
        <v/>
      </c>
      <c r="H626">
        <f>Calc!H10</f>
        <v/>
      </c>
      <c r="I626">
        <f>IF(Skills!T10&lt;&gt;"",1+(Skills!T10/10)*(Z619/1000)/100,1)</f>
        <v/>
      </c>
      <c r="J626">
        <f>((Inputs!$B$6*(1+Inputs!$B$7/100))+(((Inputs!$B$12*(1+Inputs!$B$13/100))-(Inputs!$B$12*(1+Inputs!$B$13/100)))+0.25*(Inputs!$B$14-Inputs!$B$14))*(1+Inputs!$B$7/100))*(F626/100)</f>
        <v/>
      </c>
      <c r="K626">
        <f>J626*(1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634-Calc!F18),(Inputs!$B$23+(IF(ArtifactsInput!$M$15,CHOOSE(ArtifactsInput!$N$15+1,25,30,35,40,45,50)/100*(Inputs!$B$11-Inputs!$B$11),0))))/100+(Inputs!$B$23+(IF(ArtifactsInput!$M$15,CHOOSE(ArtifactsInput!$N$15+1,25,30,35,40,45,50)/100*(Inputs!$B$11-Inputs!$B$11),0)))/100)/2</f>
        <v/>
      </c>
      <c r="M626">
        <f>L626*(1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IF(B652=0,0,O626/B652)</f>
        <v/>
      </c>
      <c r="Q626">
        <f>IFERROR(1/IF(Inputs!$B$38="pvp",15,MAX(0.1,Skills!D10-IF(Skills!E9=TRUE,Inputs!$B$32,0))),0)</f>
        <v/>
      </c>
      <c r="R626">
        <f>IF(AND(Inputs!$B$38&lt;&gt;"pvp",Inputs!$B$43&gt;0),IF(MAX(0,Inputs!$B$43-B649)&lt;=0,0,(INT(MAX(0,Inputs!$B$43-B649)/IF(Inputs!$B$38="pvp",15,MAX(0.1,Skills!D10-IF(Skills!E9=TRUE,Inputs!$B$32,0))))+1)),0)</f>
        <v/>
      </c>
      <c r="S626">
        <f>IF(C626,(H626*N626*IF(AND(Inputs!$B$38&lt;&gt;"pvp",Inputs!$B$43&gt;0),((Skills!F10*((R626-1)*IF(Skills!G10&gt;0,Skills!H10/Skills!G10,1)+IF(Skills!G10&gt;0,MIN(Skills!H10,MAX(0,MAX(0,Inputs!$B$43-B649)-((R626-1)*IF(Inputs!$B$38="pvp",15,MAX(0.1,Skills!D10-IF(Skills!E9=TRUE,Inputs!$B$32,0))))))/Skills!G10,1)))/Inputs!$B$43),G626*Q626))*IF(Inputs!$B$38="pvp",1,1+(Inputs!$B$20+Skills!O10+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626*(1-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F10*((R626-1)*IF(Skills!G10&gt;0,Skills!H10/Skills!G10,1)+IF(Skills!G10&gt;0,MIN(Skills!H10,MAX(0,MAX(0,Inputs!$B$43-B649)-((R626-1)*IF(Inputs!$B$38="pvp",15,MAX(0.1,Skills!D10-IF(Skills!E9=TRUE,Inputs!$B$32,0))))))/Skills!G10,1)))/Inputs!$B$43),G626*Q626))*IF(Inputs!$B$38="pvp",1,(1+(Inputs!$B$21+Skills!P10+B643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Skills!A11</f>
        <v/>
      </c>
      <c r="B627">
        <f>Skills!B11</f>
        <v/>
      </c>
      <c r="C627">
        <f>Inputs!$B$3&gt;=107</f>
        <v/>
      </c>
      <c r="D627">
        <f>IF(Skills!C11=1,60+Inputs!$B$25+Inputs!$B$29,IF(Skills!C11=2,90+Inputs!$B$26+Inputs!$B$29,IF(Skills!C11=3,120+Inputs!$B$27+Inputs!$B$29,MAX(0,(Inputs!$B$3-100)*3)+Inputs!$B$28+Inputs!$B$29)))</f>
        <v/>
      </c>
      <c r="E627">
        <f>INDEX(FactorTable!$B$2:$Y$301, MATCH(ROUND(MIN(300,MAX(1,D627)),0), FactorTable!$A$2:$A$301,0), Skills!L11+1)</f>
        <v/>
      </c>
      <c r="F627">
        <f>IF(Skills!M11=TRUE,(Skills!K11/10)*(E627/1000),Skills!K11/10)+Skills!N11</f>
        <v/>
      </c>
      <c r="G627">
        <f>Calc!G11</f>
        <v/>
      </c>
      <c r="H627">
        <f>Calc!H11</f>
        <v/>
      </c>
      <c r="I627">
        <f>IF(Skills!T11&lt;&gt;"",1+(Skills!T11/10)*(Z619/1000)/100,1)</f>
        <v/>
      </c>
      <c r="J627">
        <f>((Inputs!$B$6*(1+Inputs!$B$7/100))+(((Inputs!$B$12*(1+Inputs!$B$13/100))-(Inputs!$B$12*(1+Inputs!$B$13/100)))+0.25*(Inputs!$B$14-Inputs!$B$14))*(1+Inputs!$B$7/100))*(F627/100)</f>
        <v/>
      </c>
      <c r="K627">
        <f>J627*(1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F634-Calc!F18),(Inputs!$B$23+(IF(ArtifactsInput!$M$15,CHOOSE(ArtifactsInput!$N$15+1,25,30,35,40,45,50)/100*(Inputs!$B$11-Inputs!$B$11),0))))/100+(Inputs!$B$23+(IF(ArtifactsInput!$M$15,CHOOSE(ArtifactsInput!$N$15+1,25,30,35,40,45,50)/100*(Inputs!$B$11-Inputs!$B$11),0)))/100)/2</f>
        <v/>
      </c>
      <c r="M627">
        <f>L627*(1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(1-Summary!$B$11)*S627+Summary!$B$11*U627</f>
        <v/>
      </c>
      <c r="P627">
        <f>IF(B652=0,0,O627/B652)</f>
        <v/>
      </c>
      <c r="Q627">
        <f>IFERROR(1/IF(Inputs!$B$38="pvp",15,MAX(0.1,Skills!D11-IF(Skills!E11=TRUE,Inputs!$B$32,0))),0)</f>
        <v/>
      </c>
      <c r="R627">
        <f>IF(AND(Inputs!$B$38&lt;&gt;"pvp",Inputs!$B$43&gt;0),IF(MAX(0,Inputs!$B$43-B649)&lt;=0,0,(INT(MAX(0,Inputs!$B$43-B649)/IF(Inputs!$B$38="pvp",15,MAX(0.1,Skills!D11-IF(Skills!E11=TRUE,Inputs!$B$32,0))))+1)),0)</f>
        <v/>
      </c>
      <c r="S627">
        <f>IF(C627,H627*N627*IF(AND(Inputs!$B$38&lt;&gt;"pvp",Inputs!$B$43&gt;0),((Skills!F11*((R627-1)*IF(Skills!G11&gt;0,Skills!H11/Skills!G11,1)+IF(Skills!G11&gt;0,MIN(Skills!H11,MAX(0,MAX(0,Inputs!$B$43-B649)-((R627-1)*IF(Inputs!$B$38="pvp",15,MAX(0.1,Skills!D11-IF(Skills!E11=TRUE,Inputs!$B$32,0))))))/Skills!G11,1)))/Inputs!$B$43),G627*Q627)*0.5*IF(Inputs!$B$38="pvp",1,1+(Inputs!$B$20+Skills!O11+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627*(1-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7">
        <f>IF(C627,H627*N627*IF(AND(Inputs!$B$38&lt;&gt;"pvp",Inputs!$B$43&gt;0),((Skills!F11*((R627-1)*IF(Skills!G11&gt;0,Skills!H11/Skills!G11,1)+IF(Skills!G11&gt;0,MIN(Skills!H11,MAX(0,MAX(0,Inputs!$B$43-B649)-((R627-1)*IF(Inputs!$B$38="pvp",15,MAX(0.1,Skills!D11-IF(Skills!E11=TRUE,Inputs!$B$32,0))))))/Skills!G11,1)))/Inputs!$B$43),G627*Q627)*1*IF(Inputs!$B$38="pvp",1,(1+(Inputs!$B$21+Skills!P11+B643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Skills!A12</f>
        <v/>
      </c>
      <c r="B628">
        <f>Skills!B12</f>
        <v/>
      </c>
      <c r="C628">
        <f>Inputs!$B$3&gt;=115</f>
        <v/>
      </c>
      <c r="D628">
        <f>IF(Skills!C12=1,60+Inputs!$B$25+Inputs!$B$29,IF(Skills!C12=2,90+Inputs!$B$26+Inputs!$B$29,IF(Skills!C12=3,120+Inputs!$B$27+Inputs!$B$29,MAX(0,(Inputs!$B$3-100)*3)+Inputs!$B$28+Inputs!$B$29)))</f>
        <v/>
      </c>
      <c r="E628">
        <f>INDEX(FactorTable!$B$2:$Y$301, MATCH(ROUND(MIN(300,MAX(1,D628)),0), FactorTable!$A$2:$A$301,0), Skills!L12+1)</f>
        <v/>
      </c>
      <c r="F628">
        <f>IF(Skills!M12=TRUE,(Skills!K12/10)*(E628/1000),Skills!K12/10)+Skills!N12</f>
        <v/>
      </c>
      <c r="G628">
        <f>Calc!G12</f>
        <v/>
      </c>
      <c r="H628">
        <f>Calc!H12</f>
        <v/>
      </c>
      <c r="I628">
        <f>IF(Skills!T12&lt;&gt;"",1+(Skills!T12/10)*(Z619/1000)/100,1)</f>
        <v/>
      </c>
      <c r="J628">
        <f>((Inputs!$B$6*(1+Inputs!$B$7/100))+(((Inputs!$B$12*(1+Inputs!$B$13/100))-(Inputs!$B$12*(1+Inputs!$B$13/100)))+0.25*(Inputs!$B$14-Inputs!$B$14))*(1+Inputs!$B$7/100))*(F628/100)</f>
        <v/>
      </c>
      <c r="K628">
        <f>J628*(1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F634-Calc!F18),(Inputs!$B$23+(IF(ArtifactsInput!$M$15,CHOOSE(ArtifactsInput!$N$15+1,25,30,35,40,45,50)/100*(Inputs!$B$11-Inputs!$B$11),0))))/100+(Inputs!$B$23+(IF(ArtifactsInput!$M$15,CHOOSE(ArtifactsInput!$N$15+1,25,30,35,40,45,50)/100*(Inputs!$B$11-Inputs!$B$11),0)))/100)/2</f>
        <v/>
      </c>
      <c r="M628">
        <f>L628*(1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(1-Summary!$B$11)*S628+Summary!$B$11*U628</f>
        <v/>
      </c>
      <c r="P628">
        <f>IF(B652=0,0,O628/B652)</f>
        <v/>
      </c>
      <c r="Q628">
        <f>IFERROR(1/IF(Inputs!$B$38="pvp",15,MAX(0.1,Skills!D12-IF(Skills!E12=TRUE,Inputs!$B$32,0))),0)</f>
        <v/>
      </c>
      <c r="R628">
        <f>IF(AND(Inputs!$B$38&lt;&gt;"pvp",Inputs!$B$43&gt;0),IF(MAX(0,Inputs!$B$43-B649)&lt;=0,0,(INT(MAX(0,Inputs!$B$43-B649)/IF(Inputs!$B$38="pvp",15,MAX(0.1,Skills!D12-IF(Skills!E12=TRUE,Inputs!$B$32,0))))+1)),0)</f>
        <v/>
      </c>
      <c r="S628">
        <f>IF(C628,(H628*N628*IF(AND(Inputs!$B$38&lt;&gt;"pvp",Inputs!$B$43&gt;0),((Skills!F12*((R628-1)*IF(Skills!G12&gt;0,Skills!H12/Skills!G12,1)+IF(Skills!G12&gt;0,MIN(Skills!H12,MAX(0,MAX(0,Inputs!$B$43-B649)-((R628-1)*IF(Inputs!$B$38="pvp",15,MAX(0.1,Skills!D12-IF(Skills!E12=TRUE,Inputs!$B$32,0))))))/Skills!G12,1)))/Inputs!$B$43),G628*Q628))*IF(Inputs!$B$38="pvp",1,1+(Inputs!$B$20+Skills!O12+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8">
        <f>IF(C628,(H628*N628*IF(AND(Inputs!$B$38&lt;&gt;"pvp",Inputs!$B$43&gt;0),((Skills!F12*((R628-1)*IF(Skills!G12&gt;0,Skills!H12/Skills!G12,1)+IF(Skills!G12&gt;0,MIN(Skills!H12,MAX(0,MAX(0,Inputs!$B$43-B649)-((R628-1)*IF(Inputs!$B$38="pvp",15,MAX(0.1,Skills!D12-IF(Skills!E12=TRUE,Inputs!$B$32,0))))))/Skills!G12,1)))/Inputs!$B$43),G628*Q628))*IF(Inputs!$B$38="pvp",1,(1+(Inputs!$B$21+Skills!P12+B643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Skills!A13</f>
        <v/>
      </c>
      <c r="B629">
        <f>Skills!B13</f>
        <v/>
      </c>
      <c r="C629">
        <f>Inputs!$B$3&gt;=49</f>
        <v/>
      </c>
      <c r="D629">
        <f>IF(Skills!C13=1,60+Inputs!$B$25+Inputs!$B$29,IF(Skills!C13=2,90+Inputs!$B$26+Inputs!$B$29,IF(Skills!C13=3,120+Inputs!$B$27+Inputs!$B$29,MAX(0,(Inputs!$B$3-100)*3)+Inputs!$B$28+Inputs!$B$29)))</f>
        <v/>
      </c>
      <c r="E629">
        <f>INDEX(FactorTable!$B$2:$Y$301, MATCH(ROUND(MIN(300,MAX(1,D629)),0), FactorTable!$A$2:$A$301,0), Skills!L13+1)</f>
        <v/>
      </c>
      <c r="F629">
        <f>IF(Skills!M13=TRUE,(Skills!K13/10)*(E629/1000),Skills!K13/10)+Skills!N13</f>
        <v/>
      </c>
      <c r="G629">
        <f>Calc!G13</f>
        <v/>
      </c>
      <c r="H629">
        <f>Calc!H13</f>
        <v/>
      </c>
      <c r="I629">
        <f>IF(Skills!T13&lt;&gt;"",1+(Skills!T13/10)*(Z619/1000)/100,1)</f>
        <v/>
      </c>
      <c r="J629" t="inlineStr"/>
      <c r="K629" t="inlineStr"/>
      <c r="L629" t="inlineStr"/>
      <c r="M629" t="inlineStr"/>
      <c r="N629" t="inlineStr"/>
      <c r="O629">
        <f>(1-Summary!$B$11)*S629+Summary!$B$11*U629</f>
        <v/>
      </c>
      <c r="P629">
        <f>IF(B652=0,0,O629/B652)</f>
        <v/>
      </c>
      <c r="Q629">
        <f>IFERROR(1/IF(Inputs!$B$38="pvp",15,MAX(0.1,Skills!D13-IF(Skills!E13=TRUE,Inputs!$B$32,0))),0)</f>
        <v/>
      </c>
      <c r="R629" t="n">
        <v>0</v>
      </c>
      <c r="S629" t="n">
        <v>0</v>
      </c>
      <c r="U629" t="n">
        <v>0</v>
      </c>
    </row>
    <row r="630">
      <c r="A630">
        <f>Skills!A14</f>
        <v/>
      </c>
      <c r="B630">
        <f>Skills!B14</f>
        <v/>
      </c>
      <c r="C630">
        <f>Inputs!$B$3&gt;=72</f>
        <v/>
      </c>
      <c r="D630">
        <f>IF(Skills!C14=1,60+Inputs!$B$25+Inputs!$B$29,IF(Skills!C14=2,90+Inputs!$B$26+Inputs!$B$29,IF(Skills!C14=3,120+Inputs!$B$27+Inputs!$B$29,MAX(0,(Inputs!$B$3-100)*3)+Inputs!$B$28+Inputs!$B$29)))</f>
        <v/>
      </c>
      <c r="E630">
        <f>INDEX(FactorTable!$B$2:$Y$301, MATCH(ROUND(MIN(300,MAX(1,D630)),0), FactorTable!$A$2:$A$301,0), Skills!L14+1)</f>
        <v/>
      </c>
      <c r="F630">
        <f>IF(Skills!M14=TRUE,(Skills!K14/10)*(E630/1000),Skills!K14/10)+Skills!N14</f>
        <v/>
      </c>
      <c r="G630">
        <f>Calc!G14</f>
        <v/>
      </c>
      <c r="H630">
        <f>Calc!H14</f>
        <v/>
      </c>
      <c r="I630">
        <f>IF(Skills!T14&lt;&gt;"",1+(Skills!T14/10)*(Z619/1000)/100,1)</f>
        <v/>
      </c>
      <c r="J630" t="inlineStr"/>
      <c r="K630" t="inlineStr"/>
      <c r="L630" t="inlineStr"/>
      <c r="M630" t="inlineStr"/>
      <c r="N630" t="inlineStr"/>
      <c r="O630">
        <f>(1-Summary!$B$11)*S630+Summary!$B$11*U630</f>
        <v/>
      </c>
      <c r="P630">
        <f>IF(B652=0,0,O630/B652)</f>
        <v/>
      </c>
      <c r="Q630">
        <f>IFERROR(1/IF(Inputs!$B$38="pvp",15,MAX(0.1,Skills!D14-IF(Skills!E14=TRUE,Inputs!$B$32,0))),0)</f>
        <v/>
      </c>
      <c r="R630" t="n">
        <v>0</v>
      </c>
      <c r="S630" t="n">
        <v>0</v>
      </c>
      <c r="U630" t="n">
        <v>0</v>
      </c>
    </row>
    <row r="631">
      <c r="A631">
        <f>Skills!A15</f>
        <v/>
      </c>
      <c r="B631">
        <f>Skills!B15</f>
        <v/>
      </c>
      <c r="C631">
        <f>Inputs!$B$3&gt;=75</f>
        <v/>
      </c>
      <c r="D631">
        <f>IF(Skills!C15=1,60+Inputs!$B$25+Inputs!$B$29,IF(Skills!C15=2,90+Inputs!$B$26+Inputs!$B$29,IF(Skills!C15=3,120+Inputs!$B$27+Inputs!$B$29,MAX(0,(Inputs!$B$3-100)*3)+Inputs!$B$28+Inputs!$B$29)))</f>
        <v/>
      </c>
      <c r="E631">
        <f>INDEX(FactorTable!$B$2:$Y$301, MATCH(ROUND(MIN(300,MAX(1,D631)),0), FactorTable!$A$2:$A$301,0), Skills!L15+1)</f>
        <v/>
      </c>
      <c r="F631">
        <f>IF(Skills!M15=TRUE,(Skills!K15/10)*(E631/1000),Skills!K15/10)+Skills!N15</f>
        <v/>
      </c>
      <c r="G631">
        <f>Calc!G15</f>
        <v/>
      </c>
      <c r="H631">
        <f>Calc!H15</f>
        <v/>
      </c>
      <c r="I631">
        <f>IF(Skills!T15&lt;&gt;"",1+(Skills!T15/10)*(Z619/1000)/100,1)</f>
        <v/>
      </c>
      <c r="J631" t="inlineStr"/>
      <c r="K631" t="inlineStr"/>
      <c r="L631" t="inlineStr"/>
      <c r="M631" t="inlineStr"/>
      <c r="N631" t="inlineStr"/>
      <c r="O631">
        <f>(1-Summary!$B$11)*S631+Summary!$B$11*U631</f>
        <v/>
      </c>
      <c r="P631">
        <f>IF(B652=0,0,O631/B652)</f>
        <v/>
      </c>
      <c r="Q631">
        <f>IFERROR(1/IF(Inputs!$B$38="pvp",15,MAX(0.1,Skills!D15-IF(Skills!E15=TRUE,Inputs!$B$32,0))),0)</f>
        <v/>
      </c>
      <c r="R631" t="n">
        <v>0</v>
      </c>
      <c r="S631" t="n">
        <v>0</v>
      </c>
      <c r="U631" t="n">
        <v>0</v>
      </c>
    </row>
    <row r="632">
      <c r="A632">
        <f>Skills!A16</f>
        <v/>
      </c>
      <c r="B632">
        <f>Skills!B16</f>
        <v/>
      </c>
      <c r="C632">
        <f>Inputs!$B$3&gt;=110</f>
        <v/>
      </c>
      <c r="D632">
        <f>IF(Skills!C16=1,60+Inputs!$B$25+Inputs!$B$29,IF(Skills!C16=2,90+Inputs!$B$26+Inputs!$B$29,IF(Skills!C16=3,120+Inputs!$B$27+Inputs!$B$29,MAX(0,(Inputs!$B$3-100)*3)+Inputs!$B$28+Inputs!$B$29)))</f>
        <v/>
      </c>
      <c r="E632">
        <f>INDEX(FactorTable!$B$2:$Y$301, MATCH(ROUND(MIN(300,MAX(1,D632)),0), FactorTable!$A$2:$A$301,0), Skills!L16+1)</f>
        <v/>
      </c>
      <c r="F632">
        <f>(Skills!K16/10)*(E632/1000)*64/45+Skills!N16</f>
        <v/>
      </c>
      <c r="G632">
        <f>Calc!G16</f>
        <v/>
      </c>
      <c r="H632">
        <f>Calc!H16</f>
        <v/>
      </c>
      <c r="I632">
        <f>IF(Skills!T16&lt;&gt;"",1+(Skills!T16/10)*(Z619/1000)/100,1)</f>
        <v/>
      </c>
      <c r="J632" t="inlineStr"/>
      <c r="K632" t="inlineStr"/>
      <c r="L632" t="inlineStr"/>
      <c r="M632" t="inlineStr"/>
      <c r="N632" t="inlineStr"/>
      <c r="O632">
        <f>(1-Summary!$B$11)*S632+Summary!$B$11*U632</f>
        <v/>
      </c>
      <c r="P632">
        <f>IF(B652=0,0,O632/B652)</f>
        <v/>
      </c>
      <c r="Q632">
        <f>IFERROR(1/IF(Inputs!$B$38="pvp",15,MAX(0.1,Skills!D16-IF(Skills!E16=TRUE,Inputs!$B$32,0))),0)</f>
        <v/>
      </c>
      <c r="R632">
        <f>IF(AND(Inputs!$B$38&lt;&gt;"pvp",Inputs!$B$43&gt;0),IF(Inputs!$B$43&lt;=0,0,(INT(Inputs!$B$43/IF(Inputs!$B$38="pvp",15,MAX(0.1,Skills!D16-IF(Skills!E16=TRUE,Inputs!$B$32,0))))+1)),0)</f>
        <v/>
      </c>
      <c r="S632" t="n">
        <v>0</v>
      </c>
      <c r="U632" t="n">
        <v>0</v>
      </c>
    </row>
    <row r="633">
      <c r="A633">
        <f>Skills!A17</f>
        <v/>
      </c>
      <c r="B633">
        <f>Skills!B17</f>
        <v/>
      </c>
      <c r="C633">
        <f>Inputs!$B$3&gt;=33</f>
        <v/>
      </c>
      <c r="D633">
        <f>IF(Skills!C17=1,60+Inputs!$B$25+Inputs!$B$29,IF(Skills!C17=2,90+Inputs!$B$26+Inputs!$B$29,IF(Skills!C17=3,120+Inputs!$B$27+Inputs!$B$29,MAX(0,(Inputs!$B$3-100)*3)+Inputs!$B$28+Inputs!$B$29)))</f>
        <v/>
      </c>
      <c r="E633">
        <f>INDEX(FactorTable!$B$2:$Y$301, MATCH(ROUND(MIN(300,MAX(1,D633)),0), FactorTable!$A$2:$A$301,0), Skills!L17+1)</f>
        <v/>
      </c>
      <c r="F633">
        <f>IF(Skills!M17=TRUE,(Skills!K17/10)*(E633/1000),Skills!K17/10)+Skills!N17</f>
        <v/>
      </c>
      <c r="G633">
        <f>Calc!G17</f>
        <v/>
      </c>
      <c r="H633">
        <f>Calc!H17</f>
        <v/>
      </c>
      <c r="I633">
        <f>IF(Skills!T17&lt;&gt;"",1+(Skills!T17/10)*(Z619/1000)/100,1)</f>
        <v/>
      </c>
      <c r="J633" t="inlineStr"/>
      <c r="K633" t="inlineStr"/>
      <c r="L633" t="inlineStr"/>
      <c r="M633" t="inlineStr"/>
      <c r="N633" t="inlineStr"/>
      <c r="O633">
        <f>(1-Summary!$B$11)*S633+Summary!$B$11*U633</f>
        <v/>
      </c>
      <c r="P633">
        <f>IF(B652=0,0,O633/B652)</f>
        <v/>
      </c>
      <c r="Q633">
        <f>IFERROR(1/IF(Inputs!$B$38="pvp",15,MAX(0.1,Skills!D17-IF(Skills!E17=TRUE,Inputs!$B$32,0))),0)</f>
        <v/>
      </c>
      <c r="R633" t="n">
        <v>0</v>
      </c>
      <c r="S633" t="n">
        <v>0</v>
      </c>
      <c r="U633" t="n">
        <v>0</v>
      </c>
    </row>
    <row r="634">
      <c r="A634">
        <f>Skills!A18</f>
        <v/>
      </c>
      <c r="B634">
        <f>Skills!B18</f>
        <v/>
      </c>
      <c r="C634">
        <f>Inputs!$B$3&gt;=43</f>
        <v/>
      </c>
      <c r="D634">
        <f>IF(Skills!C18=1,60+Inputs!$B$25+Inputs!$B$29,IF(Skills!C18=2,90+Inputs!$B$26+Inputs!$B$29,IF(Skills!C18=3,120+Inputs!$B$27+Inputs!$B$29,MAX(0,(Inputs!$B$3-100)*3)+Inputs!$B$28+Inputs!$B$29)))</f>
        <v/>
      </c>
      <c r="E634">
        <f>INDEX(FactorTable!$B$2:$Y$301, MATCH(ROUND(MIN(300,MAX(1,D634)),0), FactorTable!$A$2:$A$301,0), Skills!L18+1)</f>
        <v/>
      </c>
      <c r="F634">
        <f>IF(Skills!M18=TRUE,(Skills!K18/10)*(E634/1000),Skills!K18/10)+Skills!N18</f>
        <v/>
      </c>
      <c r="G634">
        <f>Calc!G18</f>
        <v/>
      </c>
      <c r="H634">
        <f>Calc!H18</f>
        <v/>
      </c>
      <c r="I634">
        <f>IF(Skills!T18&lt;&gt;"",1+(Skills!T18/10)*(Z619/1000)/100,1)</f>
        <v/>
      </c>
      <c r="J634" t="inlineStr"/>
      <c r="K634" t="inlineStr"/>
      <c r="L634" t="inlineStr"/>
      <c r="M634" t="inlineStr"/>
      <c r="N634" t="inlineStr"/>
      <c r="O634">
        <f>(1-Summary!$B$11)*S634+Summary!$B$11*U634</f>
        <v/>
      </c>
      <c r="P634">
        <f>IF(B652=0,0,O634/B652)</f>
        <v/>
      </c>
      <c r="Q634">
        <f>IFERROR(1/IF(Inputs!$B$38="pvp",15,MAX(0.1,Skills!D18-IF(Skills!E18=TRUE,Inputs!$B$32,0))),0)</f>
        <v/>
      </c>
      <c r="R634" t="n">
        <v>0</v>
      </c>
      <c r="S634" t="n">
        <v>0</v>
      </c>
      <c r="U634" t="n">
        <v>0</v>
      </c>
    </row>
    <row r="635">
      <c r="A635">
        <f>Skills!A19</f>
        <v/>
      </c>
      <c r="B635">
        <f>Skills!B19</f>
        <v/>
      </c>
      <c r="C635">
        <f>Inputs!$B$3&gt;=50</f>
        <v/>
      </c>
      <c r="D635">
        <f>IF(Skills!C19=1,60+Inputs!$B$25+Inputs!$B$29,IF(Skills!C19=2,90+Inputs!$B$26+Inputs!$B$29,IF(Skills!C19=3,120+Inputs!$B$27+Inputs!$B$29,MAX(0,(Inputs!$B$3-100)*3)+Inputs!$B$28+Inputs!$B$29)))</f>
        <v/>
      </c>
      <c r="E635">
        <f>INDEX(FactorTable!$B$2:$Y$301, MATCH(ROUND(MIN(300,MAX(1,D635)),0), FactorTable!$A$2:$A$301,0), Skills!L19+1)</f>
        <v/>
      </c>
      <c r="F635">
        <f>IF(Skills!M19=TRUE,(Skills!K19/10)*(E635/1000),Skills!K19/10)+Skills!N19</f>
        <v/>
      </c>
      <c r="G635">
        <f>Calc!G19</f>
        <v/>
      </c>
      <c r="H635">
        <f>Calc!H19</f>
        <v/>
      </c>
      <c r="I635">
        <f>IF(Skills!T19&lt;&gt;"",1+(Skills!T19/10)*(Z619/1000)/100,1)</f>
        <v/>
      </c>
      <c r="J635" t="inlineStr"/>
      <c r="K635" t="inlineStr"/>
      <c r="L635" t="inlineStr"/>
      <c r="M635" t="inlineStr"/>
      <c r="N635" t="inlineStr"/>
      <c r="O635">
        <f>(1-Summary!$B$11)*S635+Summary!$B$11*U635</f>
        <v/>
      </c>
      <c r="P635">
        <f>IF(B652=0,0,O635/B652)</f>
        <v/>
      </c>
      <c r="Q635">
        <f>IFERROR(1/IF(Inputs!$B$38="pvp",15,MAX(0.1,Skills!D19-IF(Skills!E19=TRUE,Inputs!$B$32,0))),0)</f>
        <v/>
      </c>
      <c r="R635" t="n">
        <v>0</v>
      </c>
      <c r="S635" t="n">
        <v>0</v>
      </c>
      <c r="U635" t="n">
        <v>0</v>
      </c>
    </row>
    <row r="636">
      <c r="A636">
        <f>Skills!A20</f>
        <v/>
      </c>
      <c r="B636">
        <f>Skills!B20</f>
        <v/>
      </c>
      <c r="C636">
        <f>Inputs!$B$3&gt;=74</f>
        <v/>
      </c>
      <c r="D636">
        <f>IF(Skills!C20=1,60+Inputs!$B$25+Inputs!$B$29,IF(Skills!C20=2,90+Inputs!$B$26+Inputs!$B$29,IF(Skills!C20=3,120+Inputs!$B$27+Inputs!$B$29,MAX(0,(Inputs!$B$3-100)*3)+Inputs!$B$28+Inputs!$B$29)))</f>
        <v/>
      </c>
      <c r="E636">
        <f>INDEX(FactorTable!$B$2:$Y$301, MATCH(ROUND(MIN(300,MAX(1,D636)),0), FactorTable!$A$2:$A$301,0), Skills!L20+1)</f>
        <v/>
      </c>
      <c r="F636">
        <f>IF(Skills!M20=TRUE,(Skills!K20/10)*(E636/1000),Skills!K20/10)+Skills!N20</f>
        <v/>
      </c>
      <c r="G636">
        <f>Calc!G20</f>
        <v/>
      </c>
      <c r="H636">
        <f>Calc!H20</f>
        <v/>
      </c>
      <c r="I636">
        <f>IF(Skills!T20&lt;&gt;"",1+(Skills!T20/10)*(Z619/1000)/100,1)</f>
        <v/>
      </c>
      <c r="J636" t="inlineStr"/>
      <c r="K636" t="inlineStr"/>
      <c r="L636" t="inlineStr"/>
      <c r="M636" t="inlineStr"/>
      <c r="N636" t="inlineStr"/>
      <c r="O636">
        <f>(1-Summary!$B$11)*S636+Summary!$B$11*U636</f>
        <v/>
      </c>
      <c r="P636">
        <f>IF(B652=0,0,O636/B652)</f>
        <v/>
      </c>
      <c r="Q636">
        <f>IFERROR(1/IF(Inputs!$B$38="pvp",15,MAX(0.1,Skills!D20-IF(Skills!E20=TRUE,Inputs!$B$32,0))),0)</f>
        <v/>
      </c>
      <c r="R636" t="n">
        <v>0</v>
      </c>
      <c r="S636" t="n">
        <v>0</v>
      </c>
      <c r="U636" t="n">
        <v>0</v>
      </c>
    </row>
    <row r="637">
      <c r="A637">
        <f>Skills!A21</f>
        <v/>
      </c>
      <c r="B637">
        <f>Skills!B21</f>
        <v/>
      </c>
      <c r="C637">
        <f>Inputs!$B$3&gt;=74</f>
        <v/>
      </c>
      <c r="D637">
        <f>IF(Skills!C21=1,60+Inputs!$B$25+Inputs!$B$29,IF(Skills!C21=2,90+Inputs!$B$26+Inputs!$B$29,IF(Skills!C21=3,120+Inputs!$B$27+Inputs!$B$29,MAX(0,(Inputs!$B$3-100)*3)+Inputs!$B$28+Inputs!$B$29)))</f>
        <v/>
      </c>
      <c r="E637">
        <f>INDEX(FactorTable!$B$2:$Y$301, MATCH(ROUND(MIN(300,MAX(1,D637)),0), FactorTable!$A$2:$A$301,0), Skills!L21+1)</f>
        <v/>
      </c>
      <c r="F637">
        <f>IF(Skills!M21=TRUE,(Skills!K21/10)*(E637/1000),Skills!K21/10)+Skills!N21</f>
        <v/>
      </c>
      <c r="G637">
        <f>Calc!G21</f>
        <v/>
      </c>
      <c r="H637">
        <f>Calc!H21</f>
        <v/>
      </c>
      <c r="I637">
        <f>IF(Skills!T21&lt;&gt;"",1+(Skills!T21/10)*(Z619/1000)/100,1)</f>
        <v/>
      </c>
      <c r="J637" t="inlineStr"/>
      <c r="K637" t="inlineStr"/>
      <c r="L637" t="inlineStr"/>
      <c r="M637" t="inlineStr"/>
      <c r="N637" t="inlineStr"/>
      <c r="O637">
        <f>(1-Summary!$B$11)*S637+Summary!$B$11*U637</f>
        <v/>
      </c>
      <c r="P637">
        <f>IF(B652=0,0,O637/B652)</f>
        <v/>
      </c>
      <c r="Q637">
        <f>IFERROR(1/IF(Inputs!$B$38="pvp",15,MAX(0.1,Skills!D21-IF(Skills!E21=TRUE,Inputs!$B$32,0))),0)</f>
        <v/>
      </c>
      <c r="R637" t="n">
        <v>0</v>
      </c>
      <c r="S637" t="n">
        <v>0</v>
      </c>
      <c r="U637" t="n">
        <v>0</v>
      </c>
    </row>
    <row r="638">
      <c r="A638">
        <f>Skills!A22</f>
        <v/>
      </c>
      <c r="B638">
        <f>Skills!B22</f>
        <v/>
      </c>
      <c r="C638">
        <f>Inputs!$B$3&gt;=117</f>
        <v/>
      </c>
      <c r="D638">
        <f>IF(Skills!C22=1,60+Inputs!$B$25+Inputs!$B$29,IF(Skills!C22=2,90+Inputs!$B$26+Inputs!$B$29,IF(Skills!C22=3,120+Inputs!$B$27+Inputs!$B$29,MAX(0,(Inputs!$B$3-100)*3)+Inputs!$B$28+Inputs!$B$29)))</f>
        <v/>
      </c>
      <c r="E638">
        <f>INDEX(FactorTable!$B$2:$Y$301, MATCH(ROUND(MIN(300,MAX(1,D638)),0), FactorTable!$A$2:$A$301,0), Skills!L22+1)</f>
        <v/>
      </c>
      <c r="F638">
        <f>IF(Skills!M22=TRUE,(Skills!K22/10)*(E638/1000),Skills!K22/10)+Skills!N22</f>
        <v/>
      </c>
      <c r="G638">
        <f>Calc!G22</f>
        <v/>
      </c>
      <c r="H638">
        <f>Calc!H22</f>
        <v/>
      </c>
      <c r="I638">
        <f>IF(Skills!T22&lt;&gt;"",1+(Skills!T22/10)*(Z619/1000)/100,1)</f>
        <v/>
      </c>
      <c r="J638" t="inlineStr"/>
      <c r="K638" t="inlineStr"/>
      <c r="L638" t="inlineStr"/>
      <c r="M638" t="inlineStr"/>
      <c r="N638" t="inlineStr"/>
      <c r="O638">
        <f>(1-Summary!$B$11)*S638+Summary!$B$11*U638</f>
        <v/>
      </c>
      <c r="P638">
        <f>IF(B652=0,0,O638/B652)</f>
        <v/>
      </c>
      <c r="Q638">
        <f>IFERROR(1/IF(Inputs!$B$38="pvp",15,MAX(0.1,Skills!D22-IF(Skills!E22=TRUE,Inputs!$B$32,0))),0)</f>
        <v/>
      </c>
      <c r="R638" t="n">
        <v>0</v>
      </c>
      <c r="S638" t="n">
        <v>0</v>
      </c>
      <c r="U638" t="n">
        <v>0</v>
      </c>
    </row>
    <row r="639">
      <c r="A639">
        <f>Skills!A23</f>
        <v/>
      </c>
      <c r="B639">
        <f>Skills!B23</f>
        <v/>
      </c>
      <c r="C639">
        <f>Inputs!$B$3&gt;=120</f>
        <v/>
      </c>
      <c r="D639">
        <f>IF(Skills!C23=1,60+Inputs!$B$25+Inputs!$B$29,IF(Skills!C23=2,90+Inputs!$B$26+Inputs!$B$29,IF(Skills!C23=3,120+Inputs!$B$27+Inputs!$B$29,MAX(0,(Inputs!$B$3-100)*3)+Inputs!$B$28+Inputs!$B$29)))</f>
        <v/>
      </c>
      <c r="E639">
        <f>INDEX(FactorTable!$B$2:$Y$301, MATCH(ROUND(MIN(300,MAX(1,D639)),0), FactorTable!$A$2:$A$301,0), Skills!L23+1)</f>
        <v/>
      </c>
      <c r="F639">
        <f>IF(Skills!M23=TRUE,(Skills!K23/10)*(E639/1000),Skills!K23/10)+Skills!N23</f>
        <v/>
      </c>
      <c r="G639">
        <f>Calc!G23</f>
        <v/>
      </c>
      <c r="H639">
        <f>Calc!H23</f>
        <v/>
      </c>
      <c r="I639">
        <f>IF(Skills!T23&lt;&gt;"",1+(Skills!T23/10)*(Z619/1000)/100,1)</f>
        <v/>
      </c>
      <c r="J639" t="inlineStr"/>
      <c r="K639" t="inlineStr"/>
      <c r="L639" t="inlineStr"/>
      <c r="M639" t="inlineStr"/>
      <c r="N639" t="inlineStr"/>
      <c r="O639">
        <f>(1-Summary!$B$11)*S639+Summary!$B$11*U639</f>
        <v/>
      </c>
      <c r="P639">
        <f>IF(B652=0,0,O639/B652)</f>
        <v/>
      </c>
      <c r="Q639">
        <f>IFERROR(1/IF(Inputs!$B$38="pvp",15,MAX(0.1,Skills!D23-IF(Skills!E23=TRUE,Inputs!$B$32,0))),0)</f>
        <v/>
      </c>
      <c r="R639" t="n">
        <v>0</v>
      </c>
      <c r="S639" t="n">
        <v>0</v>
      </c>
      <c r="U639" t="n">
        <v>0</v>
      </c>
    </row>
    <row r="642">
      <c r="A642" t="inlineStr">
        <is>
          <t>Average Buff Multiplier (Magic Guard + Meditation + Artifact Attack%, summed; then Infinity)</t>
        </is>
      </c>
      <c r="B642">
        <f>(1+(IF(C619=TRUE,F619*IF(AND(Inputs!$B$38&lt;&gt;"pvp",Inputs!$B$43&gt;0),(((R619-1)*(Skills!S3*(1+(Inputs!$B$34+IF(Inputs!$B$3&gt;=117,F638,0))/100))+MIN((Skills!S3*(1+(Inputs!$B$34+IF(Inputs!$B$3&gt;=117,F638,0))/100)),MAX(0,Inputs!$B$43-((R619-1)*Skills!D3))))/Inputs!$B$43),IF(Inputs!$B$38="pvp",MIN((Skills!S3*(1+(Inputs!$B$34+IF(Inputs!$B$3&gt;=117,F638,0))/100)),15)/15,(Skills!S3*(1+(Inputs!$B$34+IF(Inputs!$B$3&gt;=117,F638,0))/100))/Skills!D3)),0)+IF(C620=TRUE,F620*IF(AND(Inputs!$B$38&lt;&gt;"pvp",Inputs!$B$43&gt;0),(((R620-1)*(Skills!S4*(1+(Inputs!$B$34+IF(Inputs!$B$3&gt;=117,F638,0))/100))+MIN((Skills!S4*(1+(Inputs!$B$34+IF(Inputs!$B$3&gt;=117,F638,0))/100)),MAX(0,Inputs!$B$43-((R620-1)*Skills!D4))))/Inputs!$B$43),IF(Inputs!$B$38="pvp",MIN((Skills!S4*(1+(Inputs!$B$34+IF(Inputs!$B$3&gt;=117,F638,0))/100)),15)/15,(Skills!S4*(1+(Inputs!$B$34+IF(Inputs!$B$3&gt;=117,F638,0)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632=TRUE,(1+F632*IF(AND(Inputs!$B$38&lt;&gt;"pvp",Inputs!$B$43&gt;0),(((R632-1)*(Skills!S16*(1+(Inputs!$B$34+IF(Inputs!$B$3&gt;=117,F638,0))/100))+MIN((Skills!S16*(1+(Inputs!$B$34+IF(Inputs!$B$3&gt;=117,F638,0))/100)),MAX(0,Inputs!$B$43-((R632-1)*Skills!D16))))/Inputs!$B$43),IF(Inputs!$B$38="pvp",MIN((Skills!S16*(1+(Inputs!$B$34+IF(Inputs!$B$3&gt;=117,F638,0))/100)),15)/15,(Skills!S16*(1+(Inputs!$B$34+IF(Inputs!$B$3&gt;=117,F638,0))/100))/Skills!D16))/100),1)</f>
        <v/>
      </c>
    </row>
    <row r="643">
      <c r="A643" t="inlineStr">
        <is>
          <t>Monster Damage Taken Bonus % (Freezing Breath - Weaken + Elemental Reset + Artifact Enemy Damage Taken, summed)</t>
        </is>
      </c>
      <c r="B643">
        <f>IF(Inputs!$B$3&gt;=118,15*IF(Inputs!$B$38="pvp",MIN((30*(1+(Inputs!$B$34+IF(Inputs!$B$3&gt;=117,F638,0))/100)),15)/15,(30*(1+(Inputs!$B$34+IF(Inputs!$B$3&gt;=117,F638,0))/100))/Skills!D8),0)+IF(C630=TRUE,F630,0)+(IF(AND(ArtifactsInput!$M$35,Inputs!$B$4&lt;&gt;"Chapter Hunt"),CHOOSE(ArtifactsInput!$N$35+1,15,18,21,24,27,30)*(1-EXP(-(0.2*B646)*5)),0)+IF(AND(ArtifactsInput!$M$22,Inputs!$B$4&lt;&gt;"Chapter Hunt"),CHOOSE(ArtifactsInput!$N$22+1,10,12,14,16,18,20)*((0*(((0.15*B646*5))^0/1)+1*(((0.15*B646*5))^1/1)+2*(((0.15*B646*5))^2/2)+3*(((0.15*B646*5))^3/6)+4*(((0.15*B646*5))^4/24)+5*(((0.15*B646*5))^5/120))/((((0.15*B646*5))^0/1)+(((0.15*B646*5))^1/1)+(((0.15*B646*5))^2/2)+(((0.15*B646*5))^3/6)+(((0.15*B646*5))^4/24)+(((0.15*B646*5))^5/120))),0))</f>
        <v/>
      </c>
    </row>
    <row r="644">
      <c r="A644" t="inlineStr">
        <is>
          <t>Damage % Bonus (Frozen Break + Frost Clutch, flat)</t>
        </is>
      </c>
      <c r="B644">
        <f>IF(Inputs!$B$3&gt;=66,15,0)+IF(Inputs!$B$3&gt;=98,10,0)+IF(Inputs!$B$3&gt;=125,20,0)</f>
        <v/>
      </c>
    </row>
    <row r="645">
      <c r="A645" t="inlineStr">
        <is>
          <t>Attack Speed Bonus % (MP Eater - MP Boost, always-on once unlocked)</t>
        </is>
      </c>
      <c r="B645">
        <f>IF(C629=TRUE,F629+(F633-Calc!F17),0)</f>
        <v/>
      </c>
    </row>
    <row r="646">
      <c r="A646" t="inlineStr">
        <is>
          <t>Actions Per Second</t>
        </is>
      </c>
      <c r="B646">
        <f>1+MIN(150,150*(1-(1-(Inputs!$B$11+(ArtifactsInput!$M$15-ArtifactsInput!$M$15)*CHOOSE(ArtifactsInput!$N$15+1,8,9.6,11.2,12.8,14.4,16))/150)*(1-B645/150)))/100</f>
        <v/>
      </c>
    </row>
    <row r="647">
      <c r="A647" t="inlineStr">
        <is>
          <t>Skill + Buff Cast Rate</t>
        </is>
      </c>
      <c r="B647">
        <f>IF(AND(Inputs!$B$38&lt;&gt;"pvp",Inputs!$B$43&gt;0),SUMPRODUCT((Skills!E2:E23=TRUE)*(C618:C639=TRUE)*R618:R639)/Inputs!$B$43,SUMPRODUCT((Skills!E2:E23=TRUE)*(C618:C639=TRUE)*Q618:Q639))</f>
        <v/>
      </c>
    </row>
    <row r="648">
      <c r="A648" t="inlineStr">
        <is>
          <t>Chain Lightning Casts Per Second</t>
        </is>
      </c>
      <c r="B648">
        <f>MAX(0,B646-B647)</f>
        <v/>
      </c>
    </row>
    <row r="649">
      <c r="A649" t="inlineStr">
        <is>
          <t>Buff-Casting Startup Delay (s, fixed-duration only)</t>
        </is>
      </c>
      <c r="B649">
        <f>IF(AND(Inputs!$B$38&lt;&gt;"pvp",Inputs!$B$43&gt;0),SUMPRODUCT((Skills!S2:S23&gt;0)*(Skills!E2:E23=TRUE)*(C618:C639=TRUE))/B646,0)</f>
        <v/>
      </c>
    </row>
    <row r="650">
      <c r="A650" t="inlineStr">
        <is>
          <t>Boss-Only Total DPS (this block's swept value)</t>
        </is>
      </c>
      <c r="B650">
        <f>SUM(S618:S639)</f>
        <v/>
      </c>
    </row>
    <row r="651">
      <c r="A651" t="inlineStr">
        <is>
          <t>Normal-Only Total DPS (this block's swept value)</t>
        </is>
      </c>
      <c r="B651">
        <f>SUM(U618:U639)</f>
        <v/>
      </c>
    </row>
    <row r="652">
      <c r="A652" s="6" t="inlineStr">
        <is>
          <t>TOTAL DPS</t>
        </is>
      </c>
      <c r="B652" s="6">
        <f>SUM(O618:O639)</f>
        <v/>
      </c>
    </row>
    <row r="655">
      <c r="A655" s="6" t="inlineStr">
        <is>
          <t>Stat: Skill Level Bonus — 1st Job</t>
        </is>
      </c>
    </row>
    <row r="656">
      <c r="A656" s="5" t="inlineStr">
        <is>
          <t>Key</t>
        </is>
      </c>
      <c r="B656" s="5" t="inlineStr">
        <is>
          <t>Name</t>
        </is>
      </c>
      <c r="C656" s="5" t="inlineStr">
        <is>
          <t>Unlocked</t>
        </is>
      </c>
      <c r="D656" s="5" t="inlineStr">
        <is>
          <t>InputLevel</t>
        </is>
      </c>
      <c r="E656" s="5" t="inlineStr">
        <is>
          <t>Factor</t>
        </is>
      </c>
      <c r="F656" s="5" t="inlineStr">
        <is>
          <t>CoefficientPercent</t>
        </is>
      </c>
      <c r="G656" s="5" t="inlineStr">
        <is>
          <t>EffectiveHits</t>
        </is>
      </c>
      <c r="H656" s="5" t="inlineStr">
        <is>
          <t>ProcProbability</t>
        </is>
      </c>
      <c r="I656" s="5" t="inlineStr">
        <is>
          <t>MapleHeroMultiplier</t>
        </is>
      </c>
      <c r="J656" s="5" t="inlineStr">
        <is>
          <t>BaseDamage</t>
        </is>
      </c>
      <c r="K656" s="5" t="inlineStr">
        <is>
          <t>BaseHitDamage</t>
        </is>
      </c>
      <c r="L656" s="5" t="inlineStr">
        <is>
          <t>NonCritAvg</t>
        </is>
      </c>
      <c r="M656" s="5" t="inlineStr">
        <is>
          <t>CritAvg</t>
        </is>
      </c>
      <c r="N656" s="5" t="inlineStr">
        <is>
          <t>ExpectedDamage(perHit)</t>
        </is>
      </c>
      <c r="O656" s="5" t="inlineStr">
        <is>
          <t>DPS</t>
        </is>
      </c>
      <c r="P656" s="5" t="inlineStr">
        <is>
          <t>% of Total</t>
        </is>
      </c>
      <c r="R656" t="inlineStr">
        <is>
          <t>helpers</t>
        </is>
      </c>
    </row>
    <row r="657">
      <c r="A657">
        <f>Skills!A2</f>
        <v/>
      </c>
      <c r="B657">
        <f>Skills!B2</f>
        <v/>
      </c>
      <c r="C657">
        <f>Inputs!$B$3&gt;=100</f>
        <v/>
      </c>
      <c r="D657" t="inlineStr"/>
      <c r="E657" t="inlineStr"/>
      <c r="F657">
        <f>T659+Skills!N2</f>
        <v/>
      </c>
      <c r="G657">
        <f>Calc!G2</f>
        <v/>
      </c>
      <c r="H657">
        <f>Calc!H2</f>
        <v/>
      </c>
      <c r="I657">
        <f>IF(Skills!T2&lt;&gt;"",1+(Skills!T2/10)*(Z658/1000)/100,1)</f>
        <v/>
      </c>
      <c r="J657">
        <f>((Inputs!$B$6*(1+Inputs!$B$7/100))+(((Inputs!$B$12*(1+Inputs!$B$13/100))-(Inputs!$B$12*(1+Inputs!$B$13/100)))+0.25*(Inputs!$B$14-Inputs!$B$14))*(1+Inputs!$B$7/100))*(F657/100)</f>
        <v/>
      </c>
      <c r="K657">
        <f>J657*(1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673-Calc!F18),(Inputs!$B$23+(IF(ArtifactsInput!$M$15,CHOOSE(ArtifactsInput!$N$15+1,25,30,35,40,45,50)/100*(Inputs!$B$11-Inputs!$B$11),0))))/100+(Inputs!$B$23+(IF(ArtifactsInput!$M$15,CHOOSE(ArtifactsInput!$N$15+1,25,30,35,40,45,50)/100*(Inputs!$B$11-Inputs!$B$11),0)))/100)/2</f>
        <v/>
      </c>
      <c r="M657">
        <f>L657*(1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IF(B691=0,0,O657/B691)</f>
        <v/>
      </c>
      <c r="Q657">
        <f>IFERROR(1/IF(Inputs!$B$38="pvp",15,MAX(0.1,Skills!D2-IF(Skills!E2=TRUE,Inputs!$B$32,0))),0)</f>
        <v/>
      </c>
      <c r="R657" t="n">
        <v>0</v>
      </c>
      <c r="S657">
        <f>IF(C657,(Skills!F2*N657*B687)*IF(Inputs!$B$38="pvp",1,1+(Inputs!$B$20+Skills!O2+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57">
        <f>MAX(0,(Inputs!$B$3-100)*3)+Inputs!$B$28+Inputs!$B$29</f>
        <v/>
      </c>
      <c r="U657">
        <f>IF(C657,(Skills!F2*N657*B687)*IF(Inputs!$B$38="pvp",1,(1+(Inputs!$B$21+Skills!P2+B682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57">
        <f>MAX(0,(Inputs!$B$3-100)*3)+Inputs!$B$28+Inputs!$B$29</f>
        <v/>
      </c>
    </row>
    <row r="658">
      <c r="A658">
        <f>Skills!A3</f>
        <v/>
      </c>
      <c r="B658">
        <f>Skills!B3</f>
        <v/>
      </c>
      <c r="C658">
        <f>Inputs!$B$3&gt;=15</f>
        <v/>
      </c>
      <c r="D658">
        <f>IF(Skills!C3=1,60+(Inputs!$B$25+1)+Inputs!$B$29,IF(Skills!C3=2,90+Inputs!$B$26+Inputs!$B$29,IF(Skills!C3=3,120+Inputs!$B$27+Inputs!$B$29,MAX(0,(Inputs!$B$3-100)*3)+Inputs!$B$28+Inputs!$B$29)))</f>
        <v/>
      </c>
      <c r="E658">
        <f>INDEX(FactorTable!$B$2:$Y$301, MATCH(ROUND(MIN(300,MAX(1,D658)),0), FactorTable!$A$2:$A$301,0), Skills!L3+1)</f>
        <v/>
      </c>
      <c r="F658">
        <f>IF(Skills!M3=TRUE,(Skills!K3/10)*(E658/1000),Skills!K3/10)+Skills!N3</f>
        <v/>
      </c>
      <c r="G658">
        <f>Calc!G3</f>
        <v/>
      </c>
      <c r="H658">
        <f>Calc!H3</f>
        <v/>
      </c>
      <c r="I658">
        <f>IF(Skills!T3&lt;&gt;"",1+(Skills!T3/10)*(Z658/1000)/100,1)</f>
        <v/>
      </c>
      <c r="J658" t="inlineStr"/>
      <c r="K658" t="inlineStr"/>
      <c r="L658" t="inlineStr"/>
      <c r="M658" t="inlineStr"/>
      <c r="N658" t="inlineStr"/>
      <c r="O658">
        <f>(1-Summary!$B$11)*S658+Summary!$B$11*U658</f>
        <v/>
      </c>
      <c r="P658">
        <f>IF(B691=0,0,O658/B691)</f>
        <v/>
      </c>
      <c r="Q658">
        <f>IFERROR(1/IF(Inputs!$B$38="pvp",15,MAX(0.1,Skills!D3-IF(Skills!E3=TRUE,Inputs!$B$32,0))),0)</f>
        <v/>
      </c>
      <c r="R658">
        <f>IF(AND(Inputs!$B$38&lt;&gt;"pvp",Inputs!$B$43&gt;0),IF(Inputs!$B$43&lt;=0,0,(INT(Inputs!$B$43/IF(Inputs!$B$38="pvp",15,MAX(0.1,Skills!D3-IF(Skills!E3=TRUE,Inputs!$B$32,0))))+1)),0)</f>
        <v/>
      </c>
      <c r="S658" t="n">
        <v>0</v>
      </c>
      <c r="T658">
        <f>INDEX(FactorTable!$B$2:$Y$301, MATCH(ROUND(MIN(300,MAX(1,T657)),0), FactorTable!$A$2:$A$301,0), 22)</f>
        <v/>
      </c>
      <c r="U658" t="n">
        <v>0</v>
      </c>
      <c r="Z658">
        <f>INDEX(FactorTable!$B$2:$Y$301, MATCH(ROUND(MIN(300,MAX(1,Z657)),0), FactorTable!$A$2:$A$301,0), 24)</f>
        <v/>
      </c>
    </row>
    <row r="659">
      <c r="A659">
        <f>Skills!A4</f>
        <v/>
      </c>
      <c r="B659">
        <f>Skills!B4</f>
        <v/>
      </c>
      <c r="C659">
        <f>Inputs!$B$3&gt;=40</f>
        <v/>
      </c>
      <c r="D659">
        <f>IF(Skills!C4=1,60+(Inputs!$B$25+1)+Inputs!$B$29,IF(Skills!C4=2,90+Inputs!$B$26+Inputs!$B$29,IF(Skills!C4=3,120+Inputs!$B$27+Inputs!$B$29,MAX(0,(Inputs!$B$3-100)*3)+Inputs!$B$28+Inputs!$B$29)))</f>
        <v/>
      </c>
      <c r="E659">
        <f>INDEX(FactorTable!$B$2:$Y$301, MATCH(ROUND(MIN(300,MAX(1,D659)),0), FactorTable!$A$2:$A$301,0), Skills!L4+1)</f>
        <v/>
      </c>
      <c r="F659">
        <f>IF(Skills!M4=TRUE,(Skills!K4/10)*(E659/1000),Skills!K4/10)+Skills!N4</f>
        <v/>
      </c>
      <c r="G659">
        <f>Calc!G4</f>
        <v/>
      </c>
      <c r="H659">
        <f>Calc!H4</f>
        <v/>
      </c>
      <c r="I659">
        <f>IF(Skills!T4&lt;&gt;"",1+(Skills!T4/10)*(Z658/1000)/100,1)</f>
        <v/>
      </c>
      <c r="J659" t="inlineStr"/>
      <c r="K659" t="inlineStr"/>
      <c r="L659" t="inlineStr"/>
      <c r="M659" t="inlineStr"/>
      <c r="N659" t="inlineStr"/>
      <c r="O659">
        <f>(1-Summary!$B$11)*S659+Summary!$B$11*U659</f>
        <v/>
      </c>
      <c r="P659">
        <f>IF(B691=0,0,O659/B691)</f>
        <v/>
      </c>
      <c r="Q659">
        <f>IFERROR(1/IF(Inputs!$B$38="pvp",15,MAX(0.1,Skills!D4-IF(Skills!E4=TRUE,Inputs!$B$32,0))),0)</f>
        <v/>
      </c>
      <c r="R659">
        <f>IF(AND(Inputs!$B$38&lt;&gt;"pvp",Inputs!$B$43&gt;0),IF(Inputs!$B$43&lt;=0,0,(INT(Inputs!$B$43/IF(Inputs!$B$38="pvp",15,MAX(0.1,Skills!D4-IF(Skills!E4=TRUE,Inputs!$B$32,0))))+1)),0)</f>
        <v/>
      </c>
      <c r="S659" t="n">
        <v>0</v>
      </c>
      <c r="T659">
        <f>290*T658/1000</f>
        <v/>
      </c>
      <c r="U659" t="n">
        <v>0</v>
      </c>
    </row>
    <row r="660">
      <c r="A660">
        <f>Skills!A5</f>
        <v/>
      </c>
      <c r="B660">
        <f>Skills!B5</f>
        <v/>
      </c>
      <c r="C660">
        <f>Inputs!$B$3&gt;=38</f>
        <v/>
      </c>
      <c r="D660">
        <f>IF(Skills!C5=1,60+(Inputs!$B$25+1)+Inputs!$B$29,IF(Skills!C5=2,90+Inputs!$B$26+Inputs!$B$29,IF(Skills!C5=3,120+Inputs!$B$27+Inputs!$B$29,MAX(0,(Inputs!$B$3-100)*3)+Inputs!$B$28+Inputs!$B$29)))</f>
        <v/>
      </c>
      <c r="E660">
        <f>INDEX(FactorTable!$B$2:$Y$301, MATCH(ROUND(MIN(300,MAX(1,D660)),0), FactorTable!$A$2:$A$301,0), Skills!L5+1)</f>
        <v/>
      </c>
      <c r="F660">
        <f>IF(Skills!M5=TRUE,(Skills!K5/10)*(E660/1000),Skills!K5/10)+Skills!N5</f>
        <v/>
      </c>
      <c r="G660">
        <f>Calc!G5</f>
        <v/>
      </c>
      <c r="H660">
        <f>Calc!H5</f>
        <v/>
      </c>
      <c r="I660">
        <f>IF(Skills!T5&lt;&gt;"",1+(Skills!T5/10)*(Z658/1000)/100,1)</f>
        <v/>
      </c>
      <c r="J660">
        <f>((Inputs!$B$6*(1+Inputs!$B$7/100))+(((Inputs!$B$12*(1+Inputs!$B$13/100))-(Inputs!$B$12*(1+Inputs!$B$13/100)))+0.25*(Inputs!$B$14-Inputs!$B$14))*(1+Inputs!$B$7/100))*(F660/100)</f>
        <v/>
      </c>
      <c r="K660">
        <f>J660*(1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F673-Calc!F18),(Inputs!$B$23+(IF(ArtifactsInput!$M$15,CHOOSE(ArtifactsInput!$N$15+1,25,30,35,40,45,50)/100*(Inputs!$B$11-Inputs!$B$11),0))))/100+(Inputs!$B$23+(IF(ArtifactsInput!$M$15,CHOOSE(ArtifactsInput!$N$15+1,25,30,35,40,45,50)/100*(Inputs!$B$11-Inputs!$B$11),0)))/100)/2</f>
        <v/>
      </c>
      <c r="M660">
        <f>L660*(1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(1-Summary!$B$11)*S660+Summary!$B$11*U660</f>
        <v/>
      </c>
      <c r="P660">
        <f>IF(B691=0,0,O660/B691)</f>
        <v/>
      </c>
      <c r="Q660">
        <f>IFERROR(1/IF(Inputs!$B$38="pvp",15,MAX(0.1,Skills!D5-IF(Skills!E5=TRUE,Inputs!$B$32,0))),0)</f>
        <v/>
      </c>
      <c r="R660">
        <f>IF(AND(Inputs!$B$38&lt;&gt;"pvp",Inputs!$B$43&gt;0),IF(MAX(0,Inputs!$B$43-B688)&lt;=0,0,(INT(MAX(0,Inputs!$B$43-B688)/IF(Inputs!$B$38="pvp",15,MAX(0.1,Skills!D5-IF(Skills!E5=TRUE,Inputs!$B$32,0))))+1)),0)</f>
        <v/>
      </c>
      <c r="S660">
        <f>IF(C660,(H660*N660*IF(AND(Inputs!$B$38&lt;&gt;"pvp",Inputs!$B$43&gt;0),((Skills!F5*((R660-1)*IF(Skills!G5&gt;0,Skills!H5/Skills!G5,1)+IF(Skills!G5&gt;0,MIN(Skills!H5,MAX(0,MAX(0,Inputs!$B$43-B688)-((R660-1)*IF(Inputs!$B$38="pvp",15,MAX(0.1,Skills!D5-IF(Skills!E5=TRUE,Inputs!$B$32,0))))))/Skills!G5,1)))/Inputs!$B$43),G660*Q660))*IF(Inputs!$B$38="pvp",1,1+(Inputs!$B$20+Skills!O5+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660*(1-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IF(C660,(H660*N660*IF(AND(Inputs!$B$38&lt;&gt;"pvp",Inputs!$B$43&gt;0),((Skills!F5*((R660-1)*IF(Skills!G5&gt;0,Skills!H5/Skills!G5,1)+IF(Skills!G5&gt;0,MIN(Skills!H5,MAX(0,MAX(0,Inputs!$B$43-B688)-((R660-1)*IF(Inputs!$B$38="pvp",15,MAX(0.1,Skills!D5-IF(Skills!E5=TRUE,Inputs!$B$32,0))))))/Skills!G5,1)))/Inputs!$B$43),G660*Q660))*IF(Inputs!$B$38="pvp",1,(1+(Inputs!$B$21+Skills!P5+B682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Skills!A6</f>
        <v/>
      </c>
      <c r="B661">
        <f>Skills!B6</f>
        <v/>
      </c>
      <c r="C661">
        <f>Inputs!$B$3&gt;=63</f>
        <v/>
      </c>
      <c r="D661">
        <f>IF(Skills!C6=1,60+(Inputs!$B$25+1)+Inputs!$B$29,IF(Skills!C6=2,90+Inputs!$B$26+Inputs!$B$29,IF(Skills!C6=3,120+Inputs!$B$27+Inputs!$B$29,MAX(0,(Inputs!$B$3-100)*3)+Inputs!$B$28+Inputs!$B$29)))</f>
        <v/>
      </c>
      <c r="E661">
        <f>INDEX(FactorTable!$B$2:$Y$301, MATCH(ROUND(MIN(300,MAX(1,D661)),0), FactorTable!$A$2:$A$301,0), Skills!L6+1)</f>
        <v/>
      </c>
      <c r="F661">
        <f>IF(Skills!M6=TRUE,(Skills!K6/10)*(E661/1000),Skills!K6/10)+Skills!N6</f>
        <v/>
      </c>
      <c r="G661">
        <f>Calc!G6</f>
        <v/>
      </c>
      <c r="H661">
        <f>Calc!H6</f>
        <v/>
      </c>
      <c r="I661">
        <f>IF(Skills!T6&lt;&gt;"",1+(Skills!T6/10)*(Z658/1000)/100,1)</f>
        <v/>
      </c>
      <c r="J661">
        <f>((Inputs!$B$6*(1+Inputs!$B$7/100))+(((Inputs!$B$12*(1+Inputs!$B$13/100))-(Inputs!$B$12*(1+Inputs!$B$13/100)))+0.25*(Inputs!$B$14-Inputs!$B$14))*(1+Inputs!$B$7/100))*(F661/100)</f>
        <v/>
      </c>
      <c r="K661">
        <f>J661*(1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F673-Calc!F18),(Inputs!$B$23+(IF(ArtifactsInput!$M$15,CHOOSE(ArtifactsInput!$N$15+1,25,30,35,40,45,50)/100*(Inputs!$B$11-Inputs!$B$11),0))))/100+(Inputs!$B$23+(IF(ArtifactsInput!$M$15,CHOOSE(ArtifactsInput!$N$15+1,25,30,35,40,45,50)/100*(Inputs!$B$11-Inputs!$B$11),0)))/100)/2</f>
        <v/>
      </c>
      <c r="M661">
        <f>L661*(1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(1-Summary!$B$11)*S661+Summary!$B$11*U661</f>
        <v/>
      </c>
      <c r="P661">
        <f>IF(B691=0,0,O661/B691)</f>
        <v/>
      </c>
      <c r="Q661">
        <f>IFERROR(1/IF(Inputs!$B$38="pvp",15,MAX(0.1,Skills!D6-IF(Skills!E6=TRUE,Inputs!$B$32,0))),0)</f>
        <v/>
      </c>
      <c r="R661">
        <f>IF(AND(Inputs!$B$38&lt;&gt;"pvp",Inputs!$B$43&gt;0),IF(MAX(0,Inputs!$B$43-B688)&lt;=0,0,(INT(MAX(0,Inputs!$B$43-B688)/IF(Inputs!$B$38="pvp",15,MAX(0.1,Skills!D6-IF(Skills!E6=TRUE,Inputs!$B$32,0))))+1)),0)</f>
        <v/>
      </c>
      <c r="S661">
        <f>IF(C661,(H661*N661*IF(AND(Inputs!$B$38&lt;&gt;"pvp",Inputs!$B$43&gt;0),((Skills!F6*((R661-1)*IF(Skills!G6&gt;0,Skills!H6/Skills!G6,1)+IF(Skills!G6&gt;0,MIN(Skills!H6,MAX(0,MAX(0,Inputs!$B$43-B688)-((R661-1)*IF(Inputs!$B$38="pvp",15,MAX(0.1,Skills!D6-IF(Skills!E6=TRUE,Inputs!$B$32,0))))))/Skills!G6,1)))/Inputs!$B$43),G661*Q661))*IF(Inputs!$B$38="pvp",1,1+(Inputs!$B$20+Skills!O6+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661*(1-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IF(C661,(H661*N661*IF(AND(Inputs!$B$38&lt;&gt;"pvp",Inputs!$B$43&gt;0),((Skills!F6*((R661-1)*IF(Skills!G6&gt;0,Skills!H6/Skills!G6,1)+IF(Skills!G6&gt;0,MIN(Skills!H6,MAX(0,MAX(0,Inputs!$B$43-B688)-((R661-1)*IF(Inputs!$B$38="pvp",15,MAX(0.1,Skills!D6-IF(Skills!E6=TRUE,Inputs!$B$32,0))))))/Skills!G6,1)))/Inputs!$B$43),G661*Q661))*IF(Inputs!$B$38="pvp",1,(1+(Inputs!$B$21+Skills!P6+B682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Skills!A7</f>
        <v/>
      </c>
      <c r="B662">
        <f>Skills!B7</f>
        <v/>
      </c>
      <c r="C662">
        <f>Inputs!$B$3&gt;=69</f>
        <v/>
      </c>
      <c r="D662">
        <f>IF(Skills!C7=1,60+(Inputs!$B$25+1)+Inputs!$B$29,IF(Skills!C7=2,90+Inputs!$B$26+Inputs!$B$29,IF(Skills!C7=3,120+Inputs!$B$27+Inputs!$B$29,MAX(0,(Inputs!$B$3-100)*3)+Inputs!$B$28+Inputs!$B$29)))</f>
        <v/>
      </c>
      <c r="E662">
        <f>INDEX(FactorTable!$B$2:$Y$301, MATCH(ROUND(MIN(300,MAX(1,D662)),0), FactorTable!$A$2:$A$301,0), Skills!L7+1)</f>
        <v/>
      </c>
      <c r="F662">
        <f>IF(Skills!M7=TRUE,(Skills!K7/10)*(E662/1000),Skills!K7/10)+Skills!N7</f>
        <v/>
      </c>
      <c r="G662">
        <f>Calc!G7</f>
        <v/>
      </c>
      <c r="H662">
        <f>Calc!H7</f>
        <v/>
      </c>
      <c r="I662">
        <f>IF(Skills!T7&lt;&gt;"",1+(Skills!T7/10)*(Z658/1000)/100,1)</f>
        <v/>
      </c>
      <c r="J662">
        <f>((Inputs!$B$6*(1+Inputs!$B$7/100))+(((Inputs!$B$12*(1+Inputs!$B$13/100))-(Inputs!$B$12*(1+Inputs!$B$13/100)))+0.25*(Inputs!$B$14-Inputs!$B$14))*(1+Inputs!$B$7/100))*(F662/100)</f>
        <v/>
      </c>
      <c r="K662">
        <f>J662*(1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F673-Calc!F18),(Inputs!$B$23+(IF(ArtifactsInput!$M$15,CHOOSE(ArtifactsInput!$N$15+1,25,30,35,40,45,50)/100*(Inputs!$B$11-Inputs!$B$11),0))))/100+(Inputs!$B$23+(IF(ArtifactsInput!$M$15,CHOOSE(ArtifactsInput!$N$15+1,25,30,35,40,45,50)/100*(Inputs!$B$11-Inputs!$B$11),0)))/100)/2</f>
        <v/>
      </c>
      <c r="M662">
        <f>L662*(1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(1-Summary!$B$11)*S662+Summary!$B$11*U662</f>
        <v/>
      </c>
      <c r="P662">
        <f>IF(B691=0,0,O662/B691)</f>
        <v/>
      </c>
      <c r="Q662">
        <f>IFERROR(1/IF(Inputs!$B$38="pvp",15,MAX(0.1,Skills!D7-IF(Skills!E7=TRUE,Inputs!$B$32,0))),0)</f>
        <v/>
      </c>
      <c r="R662">
        <f>IF(AND(Inputs!$B$38&lt;&gt;"pvp",Inputs!$B$43&gt;0),IF(MAX(0,Inputs!$B$43-B688)&lt;=0,0,(INT(MAX(0,Inputs!$B$43-B688)/IF(Inputs!$B$38="pvp",15,MAX(0.1,Skills!D7-IF(Skills!E7=TRUE,Inputs!$B$32,0))))+1)),0)</f>
        <v/>
      </c>
      <c r="S662">
        <f>IF(C662,(H662*N662*IF(AND(Inputs!$B$38&lt;&gt;"pvp",Inputs!$B$43&gt;0),((Skills!F7*((R662-1)*IF(Skills!G7&gt;0,Skills!H7/Skills!G7,1)+IF(Skills!G7&gt;0,MIN(Skills!H7,MAX(0,MAX(0,Inputs!$B$43-B688)-((R662-1)*IF(Inputs!$B$38="pvp",15,MAX(0.1,Skills!D7-IF(Skills!E7=TRUE,Inputs!$B$32,0))))))/Skills!G7,1)))/Inputs!$B$43),G662*Q662))*IF(Inputs!$B$38="pvp",1,1+(Inputs!$B$20+Skills!O7+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662*(1-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2">
        <f>IF(C662,(H662*N662*IF(AND(Inputs!$B$38&lt;&gt;"pvp",Inputs!$B$43&gt;0),((Skills!F7*((R662-1)*IF(Skills!G7&gt;0,Skills!H7/Skills!G7,1)+IF(Skills!G7&gt;0,MIN(Skills!H7,MAX(0,MAX(0,Inputs!$B$43-B688)-((R662-1)*IF(Inputs!$B$38="pvp",15,MAX(0.1,Skills!D7-IF(Skills!E7=TRUE,Inputs!$B$32,0))))))/Skills!G7,1)))/Inputs!$B$43),G662*Q662))*IF(Inputs!$B$38="pvp",1,(1+(Inputs!$B$21+Skills!P7+B682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Skills!A8</f>
        <v/>
      </c>
      <c r="B663">
        <f>Skills!B8</f>
        <v/>
      </c>
      <c r="C663">
        <f>Inputs!$B$3&gt;=103</f>
        <v/>
      </c>
      <c r="D663">
        <f>IF(Skills!C8=1,60+(Inputs!$B$25+1)+Inputs!$B$29,IF(Skills!C8=2,90+Inputs!$B$26+Inputs!$B$29,IF(Skills!C8=3,120+Inputs!$B$27+Inputs!$B$29,MAX(0,(Inputs!$B$3-100)*3)+Inputs!$B$28+Inputs!$B$29)))</f>
        <v/>
      </c>
      <c r="E663">
        <f>INDEX(FactorTable!$B$2:$Y$301, MATCH(ROUND(MIN(300,MAX(1,D663)),0), FactorTable!$A$2:$A$301,0), Skills!L8+1)</f>
        <v/>
      </c>
      <c r="F663">
        <f>IF(Skills!M8=TRUE,(Skills!K8/10)*(E663/1000),Skills!K8/10)+Skills!N8</f>
        <v/>
      </c>
      <c r="G663">
        <f>Calc!G8</f>
        <v/>
      </c>
      <c r="H663">
        <f>Calc!H8</f>
        <v/>
      </c>
      <c r="I663">
        <f>IF(Skills!T8&lt;&gt;"",1+(Skills!T8/10)*(Z658/1000)/100,1)</f>
        <v/>
      </c>
      <c r="J663">
        <f>((Inputs!$B$6*(1+Inputs!$B$7/100))+(((Inputs!$B$12*(1+Inputs!$B$13/100))-(Inputs!$B$12*(1+Inputs!$B$13/100)))+0.25*(Inputs!$B$14-Inputs!$B$14))*(1+Inputs!$B$7/100))*(F663/100)</f>
        <v/>
      </c>
      <c r="K663">
        <f>J663*(1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F673-Calc!F18),(Inputs!$B$23+(IF(ArtifactsInput!$M$15,CHOOSE(ArtifactsInput!$N$15+1,25,30,35,40,45,50)/100*(Inputs!$B$11-Inputs!$B$11),0))))/100+(Inputs!$B$23+(IF(ArtifactsInput!$M$15,CHOOSE(ArtifactsInput!$N$15+1,25,30,35,40,45,50)/100*(Inputs!$B$11-Inputs!$B$11),0)))/100)/2</f>
        <v/>
      </c>
      <c r="M663">
        <f>L663*(1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(1-Summary!$B$11)*S663+Summary!$B$11*U663</f>
        <v/>
      </c>
      <c r="P663">
        <f>IF(B691=0,0,O663/B691)</f>
        <v/>
      </c>
      <c r="Q663">
        <f>IFERROR(1/IF(Inputs!$B$38="pvp",15,MAX(0.1,Skills!D8-IF(Skills!E8=TRUE,Inputs!$B$32,0))),0)</f>
        <v/>
      </c>
      <c r="R663">
        <f>IF(AND(Inputs!$B$38&lt;&gt;"pvp",Inputs!$B$43&gt;0),IF(MAX(0,Inputs!$B$43-B688)&lt;=0,0,(INT(MAX(0,Inputs!$B$43-B688)/IF(Inputs!$B$38="pvp",15,MAX(0.1,Skills!D8-IF(Skills!E8=TRUE,Inputs!$B$32,0))))+1)),0)</f>
        <v/>
      </c>
      <c r="S663">
        <f>IF(C663,(H663*N663*IF(AND(Inputs!$B$38&lt;&gt;"pvp",Inputs!$B$43&gt;0),((Skills!F8*((R663-1)*IF(Skills!G8&gt;0,Skills!H8/Skills!G8,1)+IF(Skills!G8&gt;0,MIN(Skills!H8,MAX(0,MAX(0,Inputs!$B$43-B688)-((R663-1)*IF(Inputs!$B$38="pvp",15,MAX(0.1,Skills!D8-IF(Skills!E8=TRUE,Inputs!$B$32,0))))))/Skills!G8,1)))/Inputs!$B$43),G663*Q663))*IF(Inputs!$B$38="pvp",1,1+(Inputs!$B$20+Skills!O8+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663*(1-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3">
        <f>IF(C663,(H663*N663*IF(AND(Inputs!$B$38&lt;&gt;"pvp",Inputs!$B$43&gt;0),((Skills!F8*((R663-1)*IF(Skills!G8&gt;0,Skills!H8/Skills!G8,1)+IF(Skills!G8&gt;0,MIN(Skills!H8,MAX(0,MAX(0,Inputs!$B$43-B688)-((R663-1)*IF(Inputs!$B$38="pvp",15,MAX(0.1,Skills!D8-IF(Skills!E8=TRUE,Inputs!$B$32,0))))))/Skills!G8,1)))/Inputs!$B$43),G663*Q663))*IF(Inputs!$B$38="pvp",1,(1+(Inputs!$B$21+Skills!P8+B682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Skills!A9</f>
        <v/>
      </c>
      <c r="B664">
        <f>Skills!B9</f>
        <v/>
      </c>
      <c r="C664">
        <f>Inputs!$B$3&gt;=105</f>
        <v/>
      </c>
      <c r="D664">
        <f>IF(Skills!C9=1,60+(Inputs!$B$25+1)+Inputs!$B$29,IF(Skills!C9=2,90+Inputs!$B$26+Inputs!$B$29,IF(Skills!C9=3,120+Inputs!$B$27+Inputs!$B$29,MAX(0,(Inputs!$B$3-100)*3)+Inputs!$B$28+Inputs!$B$29)))</f>
        <v/>
      </c>
      <c r="E664">
        <f>INDEX(FactorTable!$B$2:$Y$301, MATCH(ROUND(MIN(300,MAX(1,D664)),0), FactorTable!$A$2:$A$301,0), Skills!L9+1)</f>
        <v/>
      </c>
      <c r="F664">
        <f>IF(Skills!M9=TRUE,(Skills!K9/10)*(E664/1000),Skills!K9/10)+Skills!N9</f>
        <v/>
      </c>
      <c r="G664">
        <f>Calc!G9</f>
        <v/>
      </c>
      <c r="H664">
        <f>Calc!H9</f>
        <v/>
      </c>
      <c r="I664">
        <f>IF(Skills!T9&lt;&gt;"",1+(Skills!T9/10)*(Z658/1000)/100,1)</f>
        <v/>
      </c>
      <c r="J664">
        <f>((Inputs!$B$6*(1+Inputs!$B$7/100))+(((Inputs!$B$12*(1+Inputs!$B$13/100))-(Inputs!$B$12*(1+Inputs!$B$13/100)))+0.25*(Inputs!$B$14-Inputs!$B$14))*(1+Inputs!$B$7/100))*(F664/100)</f>
        <v/>
      </c>
      <c r="K664">
        <f>J664*(1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F673-Calc!F18),(Inputs!$B$23+(IF(ArtifactsInput!$M$15,CHOOSE(ArtifactsInput!$N$15+1,25,30,35,40,45,50)/100*(Inputs!$B$11-Inputs!$B$11),0))))/100+(Inputs!$B$23+(IF(ArtifactsInput!$M$15,CHOOSE(ArtifactsInput!$N$15+1,25,30,35,40,45,50)/100*(Inputs!$B$11-Inputs!$B$11),0)))/100)/2</f>
        <v/>
      </c>
      <c r="M664">
        <f>L664*(1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(1-Summary!$B$11)*S664+Summary!$B$11*U664</f>
        <v/>
      </c>
      <c r="P664">
        <f>IF(B691=0,0,O664/B691)</f>
        <v/>
      </c>
      <c r="Q664">
        <f>IFERROR(1/IF(Inputs!$B$38="pvp",15,MAX(0.1,Skills!D9-IF(Skills!E9=TRUE,Inputs!$B$32,0))),0)</f>
        <v/>
      </c>
      <c r="R664">
        <f>IF(AND(Inputs!$B$38&lt;&gt;"pvp",Inputs!$B$43&gt;0),IF(MAX(0,Inputs!$B$43-B688)&lt;=0,0,(INT(MAX(0,Inputs!$B$43-B688)/IF(Inputs!$B$38="pvp",15,MAX(0.1,Skills!D9-IF(Skills!E9=TRUE,Inputs!$B$32,0))))+1)),0)</f>
        <v/>
      </c>
      <c r="S664">
        <f>IF(C664,(H664*N664*IF(AND(Inputs!$B$38&lt;&gt;"pvp",Inputs!$B$43&gt;0),((Skills!F9*((R664-1)*IF(Skills!G9&gt;0,Skills!H9/Skills!G9,1)+IF(Skills!G9&gt;0,MIN(Skills!H9,MAX(0,MAX(0,Inputs!$B$43-B688)-((R664-1)*IF(Inputs!$B$38="pvp",15,MAX(0.1,Skills!D9-IF(Skills!E9=TRUE,Inputs!$B$32,0))))))/Skills!G9,1)))/Inputs!$B$43),G664*Q664))*IF(Inputs!$B$38="pvp",1,1+(Inputs!$B$20+Skills!O9+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664*(1-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4">
        <f>IF(C664,(H664*N664*IF(AND(Inputs!$B$38&lt;&gt;"pvp",Inputs!$B$43&gt;0),((Skills!F9*((R664-1)*IF(Skills!G9&gt;0,Skills!H9/Skills!G9,1)+IF(Skills!G9&gt;0,MIN(Skills!H9,MAX(0,MAX(0,Inputs!$B$43-B688)-((R664-1)*IF(Inputs!$B$38="pvp",15,MAX(0.1,Skills!D9-IF(Skills!E9=TRUE,Inputs!$B$32,0))))))/Skills!G9,1)))/Inputs!$B$43),G664*Q664))*IF(Inputs!$B$38="pvp",1,(1+(Inputs!$B$21+Skills!P9+B682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Skills!A10</f>
        <v/>
      </c>
      <c r="B665">
        <f>Skills!B10</f>
        <v/>
      </c>
      <c r="C665">
        <f>Inputs!$B$3&gt;=113</f>
        <v/>
      </c>
      <c r="D665">
        <f>IF(Skills!C10=1,60+(Inputs!$B$25+1)+Inputs!$B$29,IF(Skills!C10=2,90+Inputs!$B$26+Inputs!$B$29,IF(Skills!C10=3,120+Inputs!$B$27+Inputs!$B$29,MAX(0,(Inputs!$B$3-100)*3)+Inputs!$B$28+Inputs!$B$29)))</f>
        <v/>
      </c>
      <c r="E665">
        <f>INDEX(FactorTable!$B$2:$Y$301, MATCH(ROUND(MIN(300,MAX(1,D665)),0), FactorTable!$A$2:$A$301,0), Skills!L10+1)</f>
        <v/>
      </c>
      <c r="F665">
        <f>IF(Skills!M10=TRUE,(Skills!K10/10)*(E665/1000),Skills!K10/10)+Skills!N10</f>
        <v/>
      </c>
      <c r="G665">
        <f>Calc!G10</f>
        <v/>
      </c>
      <c r="H665">
        <f>Calc!H10</f>
        <v/>
      </c>
      <c r="I665">
        <f>IF(Skills!T10&lt;&gt;"",1+(Skills!T10/10)*(Z658/1000)/100,1)</f>
        <v/>
      </c>
      <c r="J665">
        <f>((Inputs!$B$6*(1+Inputs!$B$7/100))+(((Inputs!$B$12*(1+Inputs!$B$13/100))-(Inputs!$B$12*(1+Inputs!$B$13/100)))+0.25*(Inputs!$B$14-Inputs!$B$14))*(1+Inputs!$B$7/100))*(F665/100)</f>
        <v/>
      </c>
      <c r="K665">
        <f>J665*(1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F673-Calc!F18),(Inputs!$B$23+(IF(ArtifactsInput!$M$15,CHOOSE(ArtifactsInput!$N$15+1,25,30,35,40,45,50)/100*(Inputs!$B$11-Inputs!$B$11),0))))/100+(Inputs!$B$23+(IF(ArtifactsInput!$M$15,CHOOSE(ArtifactsInput!$N$15+1,25,30,35,40,45,50)/100*(Inputs!$B$11-Inputs!$B$11),0)))/100)/2</f>
        <v/>
      </c>
      <c r="M665">
        <f>L665*(1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(1-Summary!$B$11)*S665+Summary!$B$11*U665</f>
        <v/>
      </c>
      <c r="P665">
        <f>IF(B691=0,0,O665/B691)</f>
        <v/>
      </c>
      <c r="Q665">
        <f>IFERROR(1/IF(Inputs!$B$38="pvp",15,MAX(0.1,Skills!D10-IF(Skills!E9=TRUE,Inputs!$B$32,0))),0)</f>
        <v/>
      </c>
      <c r="R665">
        <f>IF(AND(Inputs!$B$38&lt;&gt;"pvp",Inputs!$B$43&gt;0),IF(MAX(0,Inputs!$B$43-B688)&lt;=0,0,(INT(MAX(0,Inputs!$B$43-B688)/IF(Inputs!$B$38="pvp",15,MAX(0.1,Skills!D10-IF(Skills!E9=TRUE,Inputs!$B$32,0))))+1)),0)</f>
        <v/>
      </c>
      <c r="S665">
        <f>IF(C665,(H665*N665*IF(AND(Inputs!$B$38&lt;&gt;"pvp",Inputs!$B$43&gt;0),((Skills!F10*((R665-1)*IF(Skills!G10&gt;0,Skills!H10/Skills!G10,1)+IF(Skills!G10&gt;0,MIN(Skills!H10,MAX(0,MAX(0,Inputs!$B$43-B688)-((R665-1)*IF(Inputs!$B$38="pvp",15,MAX(0.1,Skills!D10-IF(Skills!E9=TRUE,Inputs!$B$32,0))))))/Skills!G10,1)))/Inputs!$B$43),G665*Q665))*IF(Inputs!$B$38="pvp",1,1+(Inputs!$B$20+Skills!O10+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665*(1-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5">
        <f>IF(C665,(H665*N665*IF(AND(Inputs!$B$38&lt;&gt;"pvp",Inputs!$B$43&gt;0),((Skills!F10*((R665-1)*IF(Skills!G10&gt;0,Skills!H10/Skills!G10,1)+IF(Skills!G10&gt;0,MIN(Skills!H10,MAX(0,MAX(0,Inputs!$B$43-B688)-((R665-1)*IF(Inputs!$B$38="pvp",15,MAX(0.1,Skills!D10-IF(Skills!E9=TRUE,Inputs!$B$32,0))))))/Skills!G10,1)))/Inputs!$B$43),G665*Q665))*IF(Inputs!$B$38="pvp",1,(1+(Inputs!$B$21+Skills!P10+B682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Skills!A11</f>
        <v/>
      </c>
      <c r="B666">
        <f>Skills!B11</f>
        <v/>
      </c>
      <c r="C666">
        <f>Inputs!$B$3&gt;=107</f>
        <v/>
      </c>
      <c r="D666">
        <f>IF(Skills!C11=1,60+(Inputs!$B$25+1)+Inputs!$B$29,IF(Skills!C11=2,90+Inputs!$B$26+Inputs!$B$29,IF(Skills!C11=3,120+Inputs!$B$27+Inputs!$B$29,MAX(0,(Inputs!$B$3-100)*3)+Inputs!$B$28+Inputs!$B$29)))</f>
        <v/>
      </c>
      <c r="E666">
        <f>INDEX(FactorTable!$B$2:$Y$301, MATCH(ROUND(MIN(300,MAX(1,D666)),0), FactorTable!$A$2:$A$301,0), Skills!L11+1)</f>
        <v/>
      </c>
      <c r="F666">
        <f>IF(Skills!M11=TRUE,(Skills!K11/10)*(E666/1000),Skills!K11/10)+Skills!N11</f>
        <v/>
      </c>
      <c r="G666">
        <f>Calc!G11</f>
        <v/>
      </c>
      <c r="H666">
        <f>Calc!H11</f>
        <v/>
      </c>
      <c r="I666">
        <f>IF(Skills!T11&lt;&gt;"",1+(Skills!T11/10)*(Z658/1000)/100,1)</f>
        <v/>
      </c>
      <c r="J666">
        <f>((Inputs!$B$6*(1+Inputs!$B$7/100))+(((Inputs!$B$12*(1+Inputs!$B$13/100))-(Inputs!$B$12*(1+Inputs!$B$13/100)))+0.25*(Inputs!$B$14-Inputs!$B$14))*(1+Inputs!$B$7/100))*(F666/100)</f>
        <v/>
      </c>
      <c r="K666">
        <f>J666*(1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673-Calc!F18),(Inputs!$B$23+(IF(ArtifactsInput!$M$15,CHOOSE(ArtifactsInput!$N$15+1,25,30,35,40,45,50)/100*(Inputs!$B$11-Inputs!$B$11),0))))/100+(Inputs!$B$23+(IF(ArtifactsInput!$M$15,CHOOSE(ArtifactsInput!$N$15+1,25,30,35,40,45,50)/100*(Inputs!$B$11-Inputs!$B$11),0)))/100)/2</f>
        <v/>
      </c>
      <c r="M666">
        <f>L666*(1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IF(B691=0,0,O666/B691)</f>
        <v/>
      </c>
      <c r="Q666">
        <f>IFERROR(1/IF(Inputs!$B$38="pvp",15,MAX(0.1,Skills!D11-IF(Skills!E11=TRUE,Inputs!$B$32,0))),0)</f>
        <v/>
      </c>
      <c r="R666">
        <f>IF(AND(Inputs!$B$38&lt;&gt;"pvp",Inputs!$B$43&gt;0),IF(MAX(0,Inputs!$B$43-B688)&lt;=0,0,(INT(MAX(0,Inputs!$B$43-B688)/IF(Inputs!$B$38="pvp",15,MAX(0.1,Skills!D11-IF(Skills!E11=TRUE,Inputs!$B$32,0))))+1)),0)</f>
        <v/>
      </c>
      <c r="S666">
        <f>IF(C666,H666*N666*IF(AND(Inputs!$B$38&lt;&gt;"pvp",Inputs!$B$43&gt;0),((Skills!F11*((R666-1)*IF(Skills!G11&gt;0,Skills!H11/Skills!G11,1)+IF(Skills!G11&gt;0,MIN(Skills!H11,MAX(0,MAX(0,Inputs!$B$43-B688)-((R666-1)*IF(Inputs!$B$38="pvp",15,MAX(0.1,Skills!D11-IF(Skills!E11=TRUE,Inputs!$B$32,0))))))/Skills!G11,1)))/Inputs!$B$43),G666*Q666)*0.5*IF(Inputs!$B$38="pvp",1,1+(Inputs!$B$20+Skills!O11+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F11*((R666-1)*IF(Skills!G11&gt;0,Skills!H11/Skills!G11,1)+IF(Skills!G11&gt;0,MIN(Skills!H11,MAX(0,MAX(0,Inputs!$B$43-B688)-((R666-1)*IF(Inputs!$B$38="pvp",15,MAX(0.1,Skills!D11-IF(Skills!E11=TRUE,Inputs!$B$32,0))))))/Skills!G11,1)))/Inputs!$B$43),G666*Q666)*1*IF(Inputs!$B$38="pvp",1,(1+(Inputs!$B$21+Skills!P11+B682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Skills!A12</f>
        <v/>
      </c>
      <c r="B667">
        <f>Skills!B12</f>
        <v/>
      </c>
      <c r="C667">
        <f>Inputs!$B$3&gt;=115</f>
        <v/>
      </c>
      <c r="D667">
        <f>IF(Skills!C12=1,60+(Inputs!$B$25+1)+Inputs!$B$29,IF(Skills!C12=2,90+Inputs!$B$26+Inputs!$B$29,IF(Skills!C12=3,120+Inputs!$B$27+Inputs!$B$29,MAX(0,(Inputs!$B$3-100)*3)+Inputs!$B$28+Inputs!$B$29)))</f>
        <v/>
      </c>
      <c r="E667">
        <f>INDEX(FactorTable!$B$2:$Y$301, MATCH(ROUND(MIN(300,MAX(1,D667)),0), FactorTable!$A$2:$A$301,0), Skills!L12+1)</f>
        <v/>
      </c>
      <c r="F667">
        <f>IF(Skills!M12=TRUE,(Skills!K12/10)*(E667/1000),Skills!K12/10)+Skills!N12</f>
        <v/>
      </c>
      <c r="G667">
        <f>Calc!G12</f>
        <v/>
      </c>
      <c r="H667">
        <f>Calc!H12</f>
        <v/>
      </c>
      <c r="I667">
        <f>IF(Skills!T12&lt;&gt;"",1+(Skills!T12/10)*(Z658/1000)/100,1)</f>
        <v/>
      </c>
      <c r="J667">
        <f>((Inputs!$B$6*(1+Inputs!$B$7/100))+(((Inputs!$B$12*(1+Inputs!$B$13/100))-(Inputs!$B$12*(1+Inputs!$B$13/100)))+0.25*(Inputs!$B$14-Inputs!$B$14))*(1+Inputs!$B$7/100))*(F667/100)</f>
        <v/>
      </c>
      <c r="K667">
        <f>J667*(1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F673-Calc!F18),(Inputs!$B$23+(IF(ArtifactsInput!$M$15,CHOOSE(ArtifactsInput!$N$15+1,25,30,35,40,45,50)/100*(Inputs!$B$11-Inputs!$B$11),0))))/100+(Inputs!$B$23+(IF(ArtifactsInput!$M$15,CHOOSE(ArtifactsInput!$N$15+1,25,30,35,40,45,50)/100*(Inputs!$B$11-Inputs!$B$11),0)))/100)/2</f>
        <v/>
      </c>
      <c r="M667">
        <f>L667*(1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(1-Summary!$B$11)*S667+Summary!$B$11*U667</f>
        <v/>
      </c>
      <c r="P667">
        <f>IF(B691=0,0,O667/B691)</f>
        <v/>
      </c>
      <c r="Q667">
        <f>IFERROR(1/IF(Inputs!$B$38="pvp",15,MAX(0.1,Skills!D12-IF(Skills!E12=TRUE,Inputs!$B$32,0))),0)</f>
        <v/>
      </c>
      <c r="R667">
        <f>IF(AND(Inputs!$B$38&lt;&gt;"pvp",Inputs!$B$43&gt;0),IF(MAX(0,Inputs!$B$43-B688)&lt;=0,0,(INT(MAX(0,Inputs!$B$43-B688)/IF(Inputs!$B$38="pvp",15,MAX(0.1,Skills!D12-IF(Skills!E12=TRUE,Inputs!$B$32,0))))+1)),0)</f>
        <v/>
      </c>
      <c r="S667">
        <f>IF(C667,(H667*N667*IF(AND(Inputs!$B$38&lt;&gt;"pvp",Inputs!$B$43&gt;0),((Skills!F12*((R667-1)*IF(Skills!G12&gt;0,Skills!H12/Skills!G12,1)+IF(Skills!G12&gt;0,MIN(Skills!H12,MAX(0,MAX(0,Inputs!$B$43-B688)-((R667-1)*IF(Inputs!$B$38="pvp",15,MAX(0.1,Skills!D12-IF(Skills!E12=TRUE,Inputs!$B$32,0))))))/Skills!G12,1)))/Inputs!$B$43),G667*Q667))*IF(Inputs!$B$38="pvp",1,1+(Inputs!$B$20+Skills!O12+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7">
        <f>IF(C667,(H667*N667*IF(AND(Inputs!$B$38&lt;&gt;"pvp",Inputs!$B$43&gt;0),((Skills!F12*((R667-1)*IF(Skills!G12&gt;0,Skills!H12/Skills!G12,1)+IF(Skills!G12&gt;0,MIN(Skills!H12,MAX(0,MAX(0,Inputs!$B$43-B688)-((R667-1)*IF(Inputs!$B$38="pvp",15,MAX(0.1,Skills!D12-IF(Skills!E12=TRUE,Inputs!$B$32,0))))))/Skills!G12,1)))/Inputs!$B$43),G667*Q667))*IF(Inputs!$B$38="pvp",1,(1+(Inputs!$B$21+Skills!P12+B682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Skills!A13</f>
        <v/>
      </c>
      <c r="B668">
        <f>Skills!B13</f>
        <v/>
      </c>
      <c r="C668">
        <f>Inputs!$B$3&gt;=49</f>
        <v/>
      </c>
      <c r="D668">
        <f>IF(Skills!C13=1,60+(Inputs!$B$25+1)+Inputs!$B$29,IF(Skills!C13=2,90+Inputs!$B$26+Inputs!$B$29,IF(Skills!C13=3,120+Inputs!$B$27+Inputs!$B$29,MAX(0,(Inputs!$B$3-100)*3)+Inputs!$B$28+Inputs!$B$29)))</f>
        <v/>
      </c>
      <c r="E668">
        <f>INDEX(FactorTable!$B$2:$Y$301, MATCH(ROUND(MIN(300,MAX(1,D668)),0), FactorTable!$A$2:$A$301,0), Skills!L13+1)</f>
        <v/>
      </c>
      <c r="F668">
        <f>IF(Skills!M13=TRUE,(Skills!K13/10)*(E668/1000),Skills!K13/10)+Skills!N13</f>
        <v/>
      </c>
      <c r="G668">
        <f>Calc!G13</f>
        <v/>
      </c>
      <c r="H668">
        <f>Calc!H13</f>
        <v/>
      </c>
      <c r="I668">
        <f>IF(Skills!T13&lt;&gt;"",1+(Skills!T13/10)*(Z658/1000)/100,1)</f>
        <v/>
      </c>
      <c r="J668" t="inlineStr"/>
      <c r="K668" t="inlineStr"/>
      <c r="L668" t="inlineStr"/>
      <c r="M668" t="inlineStr"/>
      <c r="N668" t="inlineStr"/>
      <c r="O668">
        <f>(1-Summary!$B$11)*S668+Summary!$B$11*U668</f>
        <v/>
      </c>
      <c r="P668">
        <f>IF(B691=0,0,O668/B691)</f>
        <v/>
      </c>
      <c r="Q668">
        <f>IFERROR(1/IF(Inputs!$B$38="pvp",15,MAX(0.1,Skills!D13-IF(Skills!E13=TRUE,Inputs!$B$32,0))),0)</f>
        <v/>
      </c>
      <c r="R668" t="n">
        <v>0</v>
      </c>
      <c r="S668" t="n">
        <v>0</v>
      </c>
      <c r="U668" t="n">
        <v>0</v>
      </c>
    </row>
    <row r="669">
      <c r="A669">
        <f>Skills!A14</f>
        <v/>
      </c>
      <c r="B669">
        <f>Skills!B14</f>
        <v/>
      </c>
      <c r="C669">
        <f>Inputs!$B$3&gt;=72</f>
        <v/>
      </c>
      <c r="D669">
        <f>IF(Skills!C14=1,60+(Inputs!$B$25+1)+Inputs!$B$29,IF(Skills!C14=2,90+Inputs!$B$26+Inputs!$B$29,IF(Skills!C14=3,120+Inputs!$B$27+Inputs!$B$29,MAX(0,(Inputs!$B$3-100)*3)+Inputs!$B$28+Inputs!$B$29)))</f>
        <v/>
      </c>
      <c r="E669">
        <f>INDEX(FactorTable!$B$2:$Y$301, MATCH(ROUND(MIN(300,MAX(1,D669)),0), FactorTable!$A$2:$A$301,0), Skills!L14+1)</f>
        <v/>
      </c>
      <c r="F669">
        <f>IF(Skills!M14=TRUE,(Skills!K14/10)*(E669/1000),Skills!K14/10)+Skills!N14</f>
        <v/>
      </c>
      <c r="G669">
        <f>Calc!G14</f>
        <v/>
      </c>
      <c r="H669">
        <f>Calc!H14</f>
        <v/>
      </c>
      <c r="I669">
        <f>IF(Skills!T14&lt;&gt;"",1+(Skills!T14/10)*(Z658/1000)/100,1)</f>
        <v/>
      </c>
      <c r="J669" t="inlineStr"/>
      <c r="K669" t="inlineStr"/>
      <c r="L669" t="inlineStr"/>
      <c r="M669" t="inlineStr"/>
      <c r="N669" t="inlineStr"/>
      <c r="O669">
        <f>(1-Summary!$B$11)*S669+Summary!$B$11*U669</f>
        <v/>
      </c>
      <c r="P669">
        <f>IF(B691=0,0,O669/B691)</f>
        <v/>
      </c>
      <c r="Q669">
        <f>IFERROR(1/IF(Inputs!$B$38="pvp",15,MAX(0.1,Skills!D14-IF(Skills!E14=TRUE,Inputs!$B$32,0))),0)</f>
        <v/>
      </c>
      <c r="R669" t="n">
        <v>0</v>
      </c>
      <c r="S669" t="n">
        <v>0</v>
      </c>
      <c r="U669" t="n">
        <v>0</v>
      </c>
    </row>
    <row r="670">
      <c r="A670">
        <f>Skills!A15</f>
        <v/>
      </c>
      <c r="B670">
        <f>Skills!B15</f>
        <v/>
      </c>
      <c r="C670">
        <f>Inputs!$B$3&gt;=75</f>
        <v/>
      </c>
      <c r="D670">
        <f>IF(Skills!C15=1,60+(Inputs!$B$25+1)+Inputs!$B$29,IF(Skills!C15=2,90+Inputs!$B$26+Inputs!$B$29,IF(Skills!C15=3,120+Inputs!$B$27+Inputs!$B$29,MAX(0,(Inputs!$B$3-100)*3)+Inputs!$B$28+Inputs!$B$29)))</f>
        <v/>
      </c>
      <c r="E670">
        <f>INDEX(FactorTable!$B$2:$Y$301, MATCH(ROUND(MIN(300,MAX(1,D670)),0), FactorTable!$A$2:$A$301,0), Skills!L15+1)</f>
        <v/>
      </c>
      <c r="F670">
        <f>IF(Skills!M15=TRUE,(Skills!K15/10)*(E670/1000),Skills!K15/10)+Skills!N15</f>
        <v/>
      </c>
      <c r="G670">
        <f>Calc!G15</f>
        <v/>
      </c>
      <c r="H670">
        <f>Calc!H15</f>
        <v/>
      </c>
      <c r="I670">
        <f>IF(Skills!T15&lt;&gt;"",1+(Skills!T15/10)*(Z658/1000)/100,1)</f>
        <v/>
      </c>
      <c r="J670" t="inlineStr"/>
      <c r="K670" t="inlineStr"/>
      <c r="L670" t="inlineStr"/>
      <c r="M670" t="inlineStr"/>
      <c r="N670" t="inlineStr"/>
      <c r="O670">
        <f>(1-Summary!$B$11)*S670+Summary!$B$11*U670</f>
        <v/>
      </c>
      <c r="P670">
        <f>IF(B691=0,0,O670/B691)</f>
        <v/>
      </c>
      <c r="Q670">
        <f>IFERROR(1/IF(Inputs!$B$38="pvp",15,MAX(0.1,Skills!D15-IF(Skills!E15=TRUE,Inputs!$B$32,0))),0)</f>
        <v/>
      </c>
      <c r="R670" t="n">
        <v>0</v>
      </c>
      <c r="S670" t="n">
        <v>0</v>
      </c>
      <c r="U670" t="n">
        <v>0</v>
      </c>
    </row>
    <row r="671">
      <c r="A671">
        <f>Skills!A16</f>
        <v/>
      </c>
      <c r="B671">
        <f>Skills!B16</f>
        <v/>
      </c>
      <c r="C671">
        <f>Inputs!$B$3&gt;=110</f>
        <v/>
      </c>
      <c r="D671">
        <f>IF(Skills!C16=1,60+(Inputs!$B$25+1)+Inputs!$B$29,IF(Skills!C16=2,90+Inputs!$B$26+Inputs!$B$29,IF(Skills!C16=3,120+Inputs!$B$27+Inputs!$B$29,MAX(0,(Inputs!$B$3-100)*3)+Inputs!$B$28+Inputs!$B$29)))</f>
        <v/>
      </c>
      <c r="E671">
        <f>INDEX(FactorTable!$B$2:$Y$301, MATCH(ROUND(MIN(300,MAX(1,D671)),0), FactorTable!$A$2:$A$301,0), Skills!L16+1)</f>
        <v/>
      </c>
      <c r="F671">
        <f>(Skills!K16/10)*(E671/1000)*64/45+Skills!N16</f>
        <v/>
      </c>
      <c r="G671">
        <f>Calc!G16</f>
        <v/>
      </c>
      <c r="H671">
        <f>Calc!H16</f>
        <v/>
      </c>
      <c r="I671">
        <f>IF(Skills!T16&lt;&gt;"",1+(Skills!T16/10)*(Z658/1000)/100,1)</f>
        <v/>
      </c>
      <c r="J671" t="inlineStr"/>
      <c r="K671" t="inlineStr"/>
      <c r="L671" t="inlineStr"/>
      <c r="M671" t="inlineStr"/>
      <c r="N671" t="inlineStr"/>
      <c r="O671">
        <f>(1-Summary!$B$11)*S671+Summary!$B$11*U671</f>
        <v/>
      </c>
      <c r="P671">
        <f>IF(B691=0,0,O671/B691)</f>
        <v/>
      </c>
      <c r="Q671">
        <f>IFERROR(1/IF(Inputs!$B$38="pvp",15,MAX(0.1,Skills!D16-IF(Skills!E16=TRUE,Inputs!$B$32,0))),0)</f>
        <v/>
      </c>
      <c r="R671">
        <f>IF(AND(Inputs!$B$38&lt;&gt;"pvp",Inputs!$B$43&gt;0),IF(Inputs!$B$43&lt;=0,0,(INT(Inputs!$B$43/IF(Inputs!$B$38="pvp",15,MAX(0.1,Skills!D16-IF(Skills!E16=TRUE,Inputs!$B$32,0))))+1)),0)</f>
        <v/>
      </c>
      <c r="S671" t="n">
        <v>0</v>
      </c>
      <c r="U671" t="n">
        <v>0</v>
      </c>
    </row>
    <row r="672">
      <c r="A672">
        <f>Skills!A17</f>
        <v/>
      </c>
      <c r="B672">
        <f>Skills!B17</f>
        <v/>
      </c>
      <c r="C672">
        <f>Inputs!$B$3&gt;=33</f>
        <v/>
      </c>
      <c r="D672">
        <f>IF(Skills!C17=1,60+(Inputs!$B$25+1)+Inputs!$B$29,IF(Skills!C17=2,90+Inputs!$B$26+Inputs!$B$29,IF(Skills!C17=3,120+Inputs!$B$27+Inputs!$B$29,MAX(0,(Inputs!$B$3-100)*3)+Inputs!$B$28+Inputs!$B$29)))</f>
        <v/>
      </c>
      <c r="E672">
        <f>INDEX(FactorTable!$B$2:$Y$301, MATCH(ROUND(MIN(300,MAX(1,D672)),0), FactorTable!$A$2:$A$301,0), Skills!L17+1)</f>
        <v/>
      </c>
      <c r="F672">
        <f>IF(Skills!M17=TRUE,(Skills!K17/10)*(E672/1000),Skills!K17/10)+Skills!N17</f>
        <v/>
      </c>
      <c r="G672">
        <f>Calc!G17</f>
        <v/>
      </c>
      <c r="H672">
        <f>Calc!H17</f>
        <v/>
      </c>
      <c r="I672">
        <f>IF(Skills!T17&lt;&gt;"",1+(Skills!T17/10)*(Z658/1000)/100,1)</f>
        <v/>
      </c>
      <c r="J672" t="inlineStr"/>
      <c r="K672" t="inlineStr"/>
      <c r="L672" t="inlineStr"/>
      <c r="M672" t="inlineStr"/>
      <c r="N672" t="inlineStr"/>
      <c r="O672">
        <f>(1-Summary!$B$11)*S672+Summary!$B$11*U672</f>
        <v/>
      </c>
      <c r="P672">
        <f>IF(B691=0,0,O672/B691)</f>
        <v/>
      </c>
      <c r="Q672">
        <f>IFERROR(1/IF(Inputs!$B$38="pvp",15,MAX(0.1,Skills!D17-IF(Skills!E17=TRUE,Inputs!$B$32,0))),0)</f>
        <v/>
      </c>
      <c r="R672" t="n">
        <v>0</v>
      </c>
      <c r="S672" t="n">
        <v>0</v>
      </c>
      <c r="U672" t="n">
        <v>0</v>
      </c>
    </row>
    <row r="673">
      <c r="A673">
        <f>Skills!A18</f>
        <v/>
      </c>
      <c r="B673">
        <f>Skills!B18</f>
        <v/>
      </c>
      <c r="C673">
        <f>Inputs!$B$3&gt;=43</f>
        <v/>
      </c>
      <c r="D673">
        <f>IF(Skills!C18=1,60+(Inputs!$B$25+1)+Inputs!$B$29,IF(Skills!C18=2,90+Inputs!$B$26+Inputs!$B$29,IF(Skills!C18=3,120+Inputs!$B$27+Inputs!$B$29,MAX(0,(Inputs!$B$3-100)*3)+Inputs!$B$28+Inputs!$B$29)))</f>
        <v/>
      </c>
      <c r="E673">
        <f>INDEX(FactorTable!$B$2:$Y$301, MATCH(ROUND(MIN(300,MAX(1,D673)),0), FactorTable!$A$2:$A$301,0), Skills!L18+1)</f>
        <v/>
      </c>
      <c r="F673">
        <f>IF(Skills!M18=TRUE,(Skills!K18/10)*(E673/1000),Skills!K18/10)+Skills!N18</f>
        <v/>
      </c>
      <c r="G673">
        <f>Calc!G18</f>
        <v/>
      </c>
      <c r="H673">
        <f>Calc!H18</f>
        <v/>
      </c>
      <c r="I673">
        <f>IF(Skills!T18&lt;&gt;"",1+(Skills!T18/10)*(Z658/1000)/100,1)</f>
        <v/>
      </c>
      <c r="J673" t="inlineStr"/>
      <c r="K673" t="inlineStr"/>
      <c r="L673" t="inlineStr"/>
      <c r="M673" t="inlineStr"/>
      <c r="N673" t="inlineStr"/>
      <c r="O673">
        <f>(1-Summary!$B$11)*S673+Summary!$B$11*U673</f>
        <v/>
      </c>
      <c r="P673">
        <f>IF(B691=0,0,O673/B691)</f>
        <v/>
      </c>
      <c r="Q673">
        <f>IFERROR(1/IF(Inputs!$B$38="pvp",15,MAX(0.1,Skills!D18-IF(Skills!E18=TRUE,Inputs!$B$32,0))),0)</f>
        <v/>
      </c>
      <c r="R673" t="n">
        <v>0</v>
      </c>
      <c r="S673" t="n">
        <v>0</v>
      </c>
      <c r="U673" t="n">
        <v>0</v>
      </c>
    </row>
    <row r="674">
      <c r="A674">
        <f>Skills!A19</f>
        <v/>
      </c>
      <c r="B674">
        <f>Skills!B19</f>
        <v/>
      </c>
      <c r="C674">
        <f>Inputs!$B$3&gt;=50</f>
        <v/>
      </c>
      <c r="D674">
        <f>IF(Skills!C19=1,60+(Inputs!$B$25+1)+Inputs!$B$29,IF(Skills!C19=2,90+Inputs!$B$26+Inputs!$B$29,IF(Skills!C19=3,120+Inputs!$B$27+Inputs!$B$29,MAX(0,(Inputs!$B$3-100)*3)+Inputs!$B$28+Inputs!$B$29)))</f>
        <v/>
      </c>
      <c r="E674">
        <f>INDEX(FactorTable!$B$2:$Y$301, MATCH(ROUND(MIN(300,MAX(1,D674)),0), FactorTable!$A$2:$A$301,0), Skills!L19+1)</f>
        <v/>
      </c>
      <c r="F674">
        <f>IF(Skills!M19=TRUE,(Skills!K19/10)*(E674/1000),Skills!K19/10)+Skills!N19</f>
        <v/>
      </c>
      <c r="G674">
        <f>Calc!G19</f>
        <v/>
      </c>
      <c r="H674">
        <f>Calc!H19</f>
        <v/>
      </c>
      <c r="I674">
        <f>IF(Skills!T19&lt;&gt;"",1+(Skills!T19/10)*(Z658/1000)/100,1)</f>
        <v/>
      </c>
      <c r="J674" t="inlineStr"/>
      <c r="K674" t="inlineStr"/>
      <c r="L674" t="inlineStr"/>
      <c r="M674" t="inlineStr"/>
      <c r="N674" t="inlineStr"/>
      <c r="O674">
        <f>(1-Summary!$B$11)*S674+Summary!$B$11*U674</f>
        <v/>
      </c>
      <c r="P674">
        <f>IF(B691=0,0,O674/B691)</f>
        <v/>
      </c>
      <c r="Q674">
        <f>IFERROR(1/IF(Inputs!$B$38="pvp",15,MAX(0.1,Skills!D19-IF(Skills!E19=TRUE,Inputs!$B$32,0))),0)</f>
        <v/>
      </c>
      <c r="R674" t="n">
        <v>0</v>
      </c>
      <c r="S674" t="n">
        <v>0</v>
      </c>
      <c r="U674" t="n">
        <v>0</v>
      </c>
    </row>
    <row r="675">
      <c r="A675">
        <f>Skills!A20</f>
        <v/>
      </c>
      <c r="B675">
        <f>Skills!B20</f>
        <v/>
      </c>
      <c r="C675">
        <f>Inputs!$B$3&gt;=74</f>
        <v/>
      </c>
      <c r="D675">
        <f>IF(Skills!C20=1,60+(Inputs!$B$25+1)+Inputs!$B$29,IF(Skills!C20=2,90+Inputs!$B$26+Inputs!$B$29,IF(Skills!C20=3,120+Inputs!$B$27+Inputs!$B$29,MAX(0,(Inputs!$B$3-100)*3)+Inputs!$B$28+Inputs!$B$29)))</f>
        <v/>
      </c>
      <c r="E675">
        <f>INDEX(FactorTable!$B$2:$Y$301, MATCH(ROUND(MIN(300,MAX(1,D675)),0), FactorTable!$A$2:$A$301,0), Skills!L20+1)</f>
        <v/>
      </c>
      <c r="F675">
        <f>IF(Skills!M20=TRUE,(Skills!K20/10)*(E675/1000),Skills!K20/10)+Skills!N20</f>
        <v/>
      </c>
      <c r="G675">
        <f>Calc!G20</f>
        <v/>
      </c>
      <c r="H675">
        <f>Calc!H20</f>
        <v/>
      </c>
      <c r="I675">
        <f>IF(Skills!T20&lt;&gt;"",1+(Skills!T20/10)*(Z658/1000)/100,1)</f>
        <v/>
      </c>
      <c r="J675" t="inlineStr"/>
      <c r="K675" t="inlineStr"/>
      <c r="L675" t="inlineStr"/>
      <c r="M675" t="inlineStr"/>
      <c r="N675" t="inlineStr"/>
      <c r="O675">
        <f>(1-Summary!$B$11)*S675+Summary!$B$11*U675</f>
        <v/>
      </c>
      <c r="P675">
        <f>IF(B691=0,0,O675/B691)</f>
        <v/>
      </c>
      <c r="Q675">
        <f>IFERROR(1/IF(Inputs!$B$38="pvp",15,MAX(0.1,Skills!D20-IF(Skills!E20=TRUE,Inputs!$B$32,0))),0)</f>
        <v/>
      </c>
      <c r="R675" t="n">
        <v>0</v>
      </c>
      <c r="S675" t="n">
        <v>0</v>
      </c>
      <c r="U675" t="n">
        <v>0</v>
      </c>
    </row>
    <row r="676">
      <c r="A676">
        <f>Skills!A21</f>
        <v/>
      </c>
      <c r="B676">
        <f>Skills!B21</f>
        <v/>
      </c>
      <c r="C676">
        <f>Inputs!$B$3&gt;=74</f>
        <v/>
      </c>
      <c r="D676">
        <f>IF(Skills!C21=1,60+(Inputs!$B$25+1)+Inputs!$B$29,IF(Skills!C21=2,90+Inputs!$B$26+Inputs!$B$29,IF(Skills!C21=3,120+Inputs!$B$27+Inputs!$B$29,MAX(0,(Inputs!$B$3-100)*3)+Inputs!$B$28+Inputs!$B$29)))</f>
        <v/>
      </c>
      <c r="E676">
        <f>INDEX(FactorTable!$B$2:$Y$301, MATCH(ROUND(MIN(300,MAX(1,D676)),0), FactorTable!$A$2:$A$301,0), Skills!L21+1)</f>
        <v/>
      </c>
      <c r="F676">
        <f>IF(Skills!M21=TRUE,(Skills!K21/10)*(E676/1000),Skills!K21/10)+Skills!N21</f>
        <v/>
      </c>
      <c r="G676">
        <f>Calc!G21</f>
        <v/>
      </c>
      <c r="H676">
        <f>Calc!H21</f>
        <v/>
      </c>
      <c r="I676">
        <f>IF(Skills!T21&lt;&gt;"",1+(Skills!T21/10)*(Z658/1000)/100,1)</f>
        <v/>
      </c>
      <c r="J676" t="inlineStr"/>
      <c r="K676" t="inlineStr"/>
      <c r="L676" t="inlineStr"/>
      <c r="M676" t="inlineStr"/>
      <c r="N676" t="inlineStr"/>
      <c r="O676">
        <f>(1-Summary!$B$11)*S676+Summary!$B$11*U676</f>
        <v/>
      </c>
      <c r="P676">
        <f>IF(B691=0,0,O676/B691)</f>
        <v/>
      </c>
      <c r="Q676">
        <f>IFERROR(1/IF(Inputs!$B$38="pvp",15,MAX(0.1,Skills!D21-IF(Skills!E21=TRUE,Inputs!$B$32,0))),0)</f>
        <v/>
      </c>
      <c r="R676" t="n">
        <v>0</v>
      </c>
      <c r="S676" t="n">
        <v>0</v>
      </c>
      <c r="U676" t="n">
        <v>0</v>
      </c>
    </row>
    <row r="677">
      <c r="A677">
        <f>Skills!A22</f>
        <v/>
      </c>
      <c r="B677">
        <f>Skills!B22</f>
        <v/>
      </c>
      <c r="C677">
        <f>Inputs!$B$3&gt;=117</f>
        <v/>
      </c>
      <c r="D677">
        <f>IF(Skills!C22=1,60+(Inputs!$B$25+1)+Inputs!$B$29,IF(Skills!C22=2,90+Inputs!$B$26+Inputs!$B$29,IF(Skills!C22=3,120+Inputs!$B$27+Inputs!$B$29,MAX(0,(Inputs!$B$3-100)*3)+Inputs!$B$28+Inputs!$B$29)))</f>
        <v/>
      </c>
      <c r="E677">
        <f>INDEX(FactorTable!$B$2:$Y$301, MATCH(ROUND(MIN(300,MAX(1,D677)),0), FactorTable!$A$2:$A$301,0), Skills!L22+1)</f>
        <v/>
      </c>
      <c r="F677">
        <f>IF(Skills!M22=TRUE,(Skills!K22/10)*(E677/1000),Skills!K22/10)+Skills!N22</f>
        <v/>
      </c>
      <c r="G677">
        <f>Calc!G22</f>
        <v/>
      </c>
      <c r="H677">
        <f>Calc!H22</f>
        <v/>
      </c>
      <c r="I677">
        <f>IF(Skills!T22&lt;&gt;"",1+(Skills!T22/10)*(Z658/1000)/100,1)</f>
        <v/>
      </c>
      <c r="J677" t="inlineStr"/>
      <c r="K677" t="inlineStr"/>
      <c r="L677" t="inlineStr"/>
      <c r="M677" t="inlineStr"/>
      <c r="N677" t="inlineStr"/>
      <c r="O677">
        <f>(1-Summary!$B$11)*S677+Summary!$B$11*U677</f>
        <v/>
      </c>
      <c r="P677">
        <f>IF(B691=0,0,O677/B691)</f>
        <v/>
      </c>
      <c r="Q677">
        <f>IFERROR(1/IF(Inputs!$B$38="pvp",15,MAX(0.1,Skills!D22-IF(Skills!E22=TRUE,Inputs!$B$32,0))),0)</f>
        <v/>
      </c>
      <c r="R677" t="n">
        <v>0</v>
      </c>
      <c r="S677" t="n">
        <v>0</v>
      </c>
      <c r="U677" t="n">
        <v>0</v>
      </c>
    </row>
    <row r="678">
      <c r="A678">
        <f>Skills!A23</f>
        <v/>
      </c>
      <c r="B678">
        <f>Skills!B23</f>
        <v/>
      </c>
      <c r="C678">
        <f>Inputs!$B$3&gt;=120</f>
        <v/>
      </c>
      <c r="D678">
        <f>IF(Skills!C23=1,60+(Inputs!$B$25+1)+Inputs!$B$29,IF(Skills!C23=2,90+Inputs!$B$26+Inputs!$B$29,IF(Skills!C23=3,120+Inputs!$B$27+Inputs!$B$29,MAX(0,(Inputs!$B$3-100)*3)+Inputs!$B$28+Inputs!$B$29)))</f>
        <v/>
      </c>
      <c r="E678">
        <f>INDEX(FactorTable!$B$2:$Y$301, MATCH(ROUND(MIN(300,MAX(1,D678)),0), FactorTable!$A$2:$A$301,0), Skills!L23+1)</f>
        <v/>
      </c>
      <c r="F678">
        <f>IF(Skills!M23=TRUE,(Skills!K23/10)*(E678/1000),Skills!K23/10)+Skills!N23</f>
        <v/>
      </c>
      <c r="G678">
        <f>Calc!G23</f>
        <v/>
      </c>
      <c r="H678">
        <f>Calc!H23</f>
        <v/>
      </c>
      <c r="I678">
        <f>IF(Skills!T23&lt;&gt;"",1+(Skills!T23/10)*(Z658/1000)/100,1)</f>
        <v/>
      </c>
      <c r="J678" t="inlineStr"/>
      <c r="K678" t="inlineStr"/>
      <c r="L678" t="inlineStr"/>
      <c r="M678" t="inlineStr"/>
      <c r="N678" t="inlineStr"/>
      <c r="O678">
        <f>(1-Summary!$B$11)*S678+Summary!$B$11*U678</f>
        <v/>
      </c>
      <c r="P678">
        <f>IF(B691=0,0,O678/B691)</f>
        <v/>
      </c>
      <c r="Q678">
        <f>IFERROR(1/IF(Inputs!$B$38="pvp",15,MAX(0.1,Skills!D23-IF(Skills!E23=TRUE,Inputs!$B$32,0))),0)</f>
        <v/>
      </c>
      <c r="R678" t="n">
        <v>0</v>
      </c>
      <c r="S678" t="n">
        <v>0</v>
      </c>
      <c r="U678" t="n">
        <v>0</v>
      </c>
    </row>
    <row r="681">
      <c r="A681" t="inlineStr">
        <is>
          <t>Average Buff Multiplier (Magic Guard + Meditation + Artifact Attack%, summed; then Infinity)</t>
        </is>
      </c>
      <c r="B681">
        <f>(1+(IF(C658=TRUE,F658*IF(AND(Inputs!$B$38&lt;&gt;"pvp",Inputs!$B$43&gt;0),(((R658-1)*(Skills!S3*(1+(Inputs!$B$34+IF(Inputs!$B$3&gt;=117,F677,0))/100))+MIN((Skills!S3*(1+(Inputs!$B$34+IF(Inputs!$B$3&gt;=117,F677,0))/100)),MAX(0,Inputs!$B$43-((R658-1)*Skills!D3))))/Inputs!$B$43),IF(Inputs!$B$38="pvp",MIN((Skills!S3*(1+(Inputs!$B$34+IF(Inputs!$B$3&gt;=117,F677,0))/100)),15)/15,(Skills!S3*(1+(Inputs!$B$34+IF(Inputs!$B$3&gt;=117,F677,0))/100))/Skills!D3)),0)+IF(C659=TRUE,F659*IF(AND(Inputs!$B$38&lt;&gt;"pvp",Inputs!$B$43&gt;0),(((R659-1)*(Skills!S4*(1+(Inputs!$B$34+IF(Inputs!$B$3&gt;=117,F677,0))/100))+MIN((Skills!S4*(1+(Inputs!$B$34+IF(Inputs!$B$3&gt;=117,F677,0))/100)),MAX(0,Inputs!$B$43-((R659-1)*Skills!D4))))/Inputs!$B$43),IF(Inputs!$B$38="pvp",MIN((Skills!S4*(1+(Inputs!$B$34+IF(Inputs!$B$3&gt;=117,F677,0))/100)),15)/15,(Skills!S4*(1+(Inputs!$B$34+IF(Inputs!$B$3&gt;=117,F677,0)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671=TRUE,(1+F671*IF(AND(Inputs!$B$38&lt;&gt;"pvp",Inputs!$B$43&gt;0),(((R671-1)*(Skills!S16*(1+(Inputs!$B$34+IF(Inputs!$B$3&gt;=117,F677,0))/100))+MIN((Skills!S16*(1+(Inputs!$B$34+IF(Inputs!$B$3&gt;=117,F677,0))/100)),MAX(0,Inputs!$B$43-((R671-1)*Skills!D16))))/Inputs!$B$43),IF(Inputs!$B$38="pvp",MIN((Skills!S16*(1+(Inputs!$B$34+IF(Inputs!$B$3&gt;=117,F677,0))/100)),15)/15,(Skills!S16*(1+(Inputs!$B$34+IF(Inputs!$B$3&gt;=117,F677,0))/100))/Skills!D16))/100),1)</f>
        <v/>
      </c>
    </row>
    <row r="682">
      <c r="A682" t="inlineStr">
        <is>
          <t>Monster Damage Taken Bonus % (Freezing Breath - Weaken + Elemental Reset + Artifact Enemy Damage Taken, summed)</t>
        </is>
      </c>
      <c r="B682">
        <f>IF(Inputs!$B$3&gt;=118,15*IF(Inputs!$B$38="pvp",MIN((30*(1+(Inputs!$B$34+IF(Inputs!$B$3&gt;=117,F677,0))/100)),15)/15,(30*(1+(Inputs!$B$34+IF(Inputs!$B$3&gt;=117,F677,0))/100))/Skills!D8),0)+IF(C669=TRUE,F669,0)+(IF(AND(ArtifactsInput!$M$35,Inputs!$B$4&lt;&gt;"Chapter Hunt"),CHOOSE(ArtifactsInput!$N$35+1,15,18,21,24,27,30)*(1-EXP(-(0.2*B685)*5)),0)+IF(AND(ArtifactsInput!$M$22,Inputs!$B$4&lt;&gt;"Chapter Hunt"),CHOOSE(ArtifactsInput!$N$22+1,10,12,14,16,18,20)*((0*(((0.15*B685*5))^0/1)+1*(((0.15*B685*5))^1/1)+2*(((0.15*B685*5))^2/2)+3*(((0.15*B685*5))^3/6)+4*(((0.15*B685*5))^4/24)+5*(((0.15*B685*5))^5/120))/((((0.15*B685*5))^0/1)+(((0.15*B685*5))^1/1)+(((0.15*B685*5))^2/2)+(((0.15*B685*5))^3/6)+(((0.15*B685*5))^4/24)+(((0.15*B685*5))^5/120))),0))</f>
        <v/>
      </c>
    </row>
    <row r="683">
      <c r="A683" t="inlineStr">
        <is>
          <t>Damage % Bonus (Frozen Break + Frost Clutch, flat)</t>
        </is>
      </c>
      <c r="B683">
        <f>IF(Inputs!$B$3&gt;=66,15,0)+IF(Inputs!$B$3&gt;=98,10,0)+IF(Inputs!$B$3&gt;=125,20,0)</f>
        <v/>
      </c>
    </row>
    <row r="684">
      <c r="A684" t="inlineStr">
        <is>
          <t>Attack Speed Bonus % (MP Eater - MP Boost, always-on once unlocked)</t>
        </is>
      </c>
      <c r="B684">
        <f>IF(C668=TRUE,F668+(F672-Calc!F17),0)</f>
        <v/>
      </c>
    </row>
    <row r="685">
      <c r="A685" t="inlineStr">
        <is>
          <t>Actions Per Second</t>
        </is>
      </c>
      <c r="B685">
        <f>1+MIN(150,150*(1-(1-(Inputs!$B$11+(ArtifactsInput!$M$15-ArtifactsInput!$M$15)*CHOOSE(ArtifactsInput!$N$15+1,8,9.6,11.2,12.8,14.4,16))/150)*(1-B684/150)))/100</f>
        <v/>
      </c>
    </row>
    <row r="686">
      <c r="A686" t="inlineStr">
        <is>
          <t>Skill + Buff Cast Rate</t>
        </is>
      </c>
      <c r="B686">
        <f>IF(AND(Inputs!$B$38&lt;&gt;"pvp",Inputs!$B$43&gt;0),SUMPRODUCT((Skills!E2:E23=TRUE)*(C657:C678=TRUE)*R657:R678)/Inputs!$B$43,SUMPRODUCT((Skills!E2:E23=TRUE)*(C657:C678=TRUE)*Q657:Q678))</f>
        <v/>
      </c>
    </row>
    <row r="687">
      <c r="A687" t="inlineStr">
        <is>
          <t>Chain Lightning Casts Per Second</t>
        </is>
      </c>
      <c r="B687">
        <f>MAX(0,B685-B686)</f>
        <v/>
      </c>
    </row>
    <row r="688">
      <c r="A688" t="inlineStr">
        <is>
          <t>Buff-Casting Startup Delay (s, fixed-duration only)</t>
        </is>
      </c>
      <c r="B688">
        <f>IF(AND(Inputs!$B$38&lt;&gt;"pvp",Inputs!$B$43&gt;0),SUMPRODUCT((Skills!S2:S23&gt;0)*(Skills!E2:E23=TRUE)*(C657:C678=TRUE))/B685,0)</f>
        <v/>
      </c>
    </row>
    <row r="689">
      <c r="A689" t="inlineStr">
        <is>
          <t>Boss-Only Total DPS (this block's swept value)</t>
        </is>
      </c>
      <c r="B689">
        <f>SUM(S657:S678)</f>
        <v/>
      </c>
    </row>
    <row r="690">
      <c r="A690" t="inlineStr">
        <is>
          <t>Normal-Only Total DPS (this block's swept value)</t>
        </is>
      </c>
      <c r="B690">
        <f>SUM(U657:U678)</f>
        <v/>
      </c>
    </row>
    <row r="691">
      <c r="A691" s="6" t="inlineStr">
        <is>
          <t>TOTAL DPS</t>
        </is>
      </c>
      <c r="B691" s="6">
        <f>SUM(O657:O678)</f>
        <v/>
      </c>
    </row>
    <row r="694">
      <c r="A694" s="6" t="inlineStr">
        <is>
          <t>Stat: Skill Level Bonus — 2nd Job</t>
        </is>
      </c>
    </row>
    <row r="695">
      <c r="A695" s="5" t="inlineStr">
        <is>
          <t>Key</t>
        </is>
      </c>
      <c r="B695" s="5" t="inlineStr">
        <is>
          <t>Name</t>
        </is>
      </c>
      <c r="C695" s="5" t="inlineStr">
        <is>
          <t>Unlocked</t>
        </is>
      </c>
      <c r="D695" s="5" t="inlineStr">
        <is>
          <t>InputLevel</t>
        </is>
      </c>
      <c r="E695" s="5" t="inlineStr">
        <is>
          <t>Factor</t>
        </is>
      </c>
      <c r="F695" s="5" t="inlineStr">
        <is>
          <t>CoefficientPercent</t>
        </is>
      </c>
      <c r="G695" s="5" t="inlineStr">
        <is>
          <t>EffectiveHits</t>
        </is>
      </c>
      <c r="H695" s="5" t="inlineStr">
        <is>
          <t>ProcProbability</t>
        </is>
      </c>
      <c r="I695" s="5" t="inlineStr">
        <is>
          <t>MapleHeroMultiplier</t>
        </is>
      </c>
      <c r="J695" s="5" t="inlineStr">
        <is>
          <t>BaseDamage</t>
        </is>
      </c>
      <c r="K695" s="5" t="inlineStr">
        <is>
          <t>BaseHitDamage</t>
        </is>
      </c>
      <c r="L695" s="5" t="inlineStr">
        <is>
          <t>NonCritAvg</t>
        </is>
      </c>
      <c r="M695" s="5" t="inlineStr">
        <is>
          <t>CritAvg</t>
        </is>
      </c>
      <c r="N695" s="5" t="inlineStr">
        <is>
          <t>ExpectedDamage(perHit)</t>
        </is>
      </c>
      <c r="O695" s="5" t="inlineStr">
        <is>
          <t>DPS</t>
        </is>
      </c>
      <c r="P695" s="5" t="inlineStr">
        <is>
          <t>% of Total</t>
        </is>
      </c>
      <c r="R695" t="inlineStr">
        <is>
          <t>helpers</t>
        </is>
      </c>
    </row>
    <row r="696">
      <c r="A696">
        <f>Skills!A2</f>
        <v/>
      </c>
      <c r="B696">
        <f>Skills!B2</f>
        <v/>
      </c>
      <c r="C696">
        <f>Inputs!$B$3&gt;=100</f>
        <v/>
      </c>
      <c r="D696" t="inlineStr"/>
      <c r="E696" t="inlineStr"/>
      <c r="F696">
        <f>T698+Skills!N2</f>
        <v/>
      </c>
      <c r="G696">
        <f>Calc!G2</f>
        <v/>
      </c>
      <c r="H696">
        <f>Calc!H2</f>
        <v/>
      </c>
      <c r="I696">
        <f>IF(Skills!T2&lt;&gt;"",1+(Skills!T2/10)*(Z697/1000)/100,1)</f>
        <v/>
      </c>
      <c r="J696">
        <f>((Inputs!$B$6*(1+Inputs!$B$7/100))+(((Inputs!$B$12*(1+Inputs!$B$13/100))-(Inputs!$B$12*(1+Inputs!$B$13/100)))+0.25*(Inputs!$B$14-Inputs!$B$14))*(1+Inputs!$B$7/100))*(F696/100)</f>
        <v/>
      </c>
      <c r="K696">
        <f>J696*(1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712-Calc!F18),(Inputs!$B$23+(IF(ArtifactsInput!$M$15,CHOOSE(ArtifactsInput!$N$15+1,25,30,35,40,45,50)/100*(Inputs!$B$11-Inputs!$B$11),0))))/100+(Inputs!$B$23+(IF(ArtifactsInput!$M$15,CHOOSE(ArtifactsInput!$N$15+1,25,30,35,40,45,50)/100*(Inputs!$B$11-Inputs!$B$11),0)))/100)/2</f>
        <v/>
      </c>
      <c r="M696">
        <f>L696*(1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IF(B730=0,0,O696/B730)</f>
        <v/>
      </c>
      <c r="Q696">
        <f>IFERROR(1/IF(Inputs!$B$38="pvp",15,MAX(0.1,Skills!D2-IF(Skills!E2=TRUE,Inputs!$B$32,0))),0)</f>
        <v/>
      </c>
      <c r="R696" t="n">
        <v>0</v>
      </c>
      <c r="S696">
        <f>IF(C696,(Skills!F2*N696*B726)*IF(Inputs!$B$38="pvp",1,1+(Inputs!$B$20+Skills!O2+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6">
        <f>MAX(0,(Inputs!$B$3-100)*3)+Inputs!$B$28+Inputs!$B$29</f>
        <v/>
      </c>
      <c r="U696">
        <f>IF(C696,(Skills!F2*N696*B726)*IF(Inputs!$B$38="pvp",1,(1+(Inputs!$B$21+Skills!P2+B721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96">
        <f>MAX(0,(Inputs!$B$3-100)*3)+Inputs!$B$28+Inputs!$B$29</f>
        <v/>
      </c>
    </row>
    <row r="697">
      <c r="A697">
        <f>Skills!A3</f>
        <v/>
      </c>
      <c r="B697">
        <f>Skills!B3</f>
        <v/>
      </c>
      <c r="C697">
        <f>Inputs!$B$3&gt;=15</f>
        <v/>
      </c>
      <c r="D697">
        <f>IF(Skills!C3=1,60+Inputs!$B$25+Inputs!$B$29,IF(Skills!C3=2,90+(Inputs!$B$26+1)+Inputs!$B$29,IF(Skills!C3=3,120+Inputs!$B$27+Inputs!$B$29,MAX(0,(Inputs!$B$3-100)*3)+Inputs!$B$28+Inputs!$B$29)))</f>
        <v/>
      </c>
      <c r="E697">
        <f>INDEX(FactorTable!$B$2:$Y$301, MATCH(ROUND(MIN(300,MAX(1,D697)),0), FactorTable!$A$2:$A$301,0), Skills!L3+1)</f>
        <v/>
      </c>
      <c r="F697">
        <f>IF(Skills!M3=TRUE,(Skills!K3/10)*(E697/1000),Skills!K3/10)+Skills!N3</f>
        <v/>
      </c>
      <c r="G697">
        <f>Calc!G3</f>
        <v/>
      </c>
      <c r="H697">
        <f>Calc!H3</f>
        <v/>
      </c>
      <c r="I697">
        <f>IF(Skills!T3&lt;&gt;"",1+(Skills!T3/10)*(Z697/1000)/100,1)</f>
        <v/>
      </c>
      <c r="J697" t="inlineStr"/>
      <c r="K697" t="inlineStr"/>
      <c r="L697" t="inlineStr"/>
      <c r="M697" t="inlineStr"/>
      <c r="N697" t="inlineStr"/>
      <c r="O697">
        <f>(1-Summary!$B$11)*S697+Summary!$B$11*U697</f>
        <v/>
      </c>
      <c r="P697">
        <f>IF(B730=0,0,O697/B730)</f>
        <v/>
      </c>
      <c r="Q697">
        <f>IFERROR(1/IF(Inputs!$B$38="pvp",15,MAX(0.1,Skills!D3-IF(Skills!E3=TRUE,Inputs!$B$32,0))),0)</f>
        <v/>
      </c>
      <c r="R697">
        <f>IF(AND(Inputs!$B$38&lt;&gt;"pvp",Inputs!$B$43&gt;0),IF(Inputs!$B$43&lt;=0,0,(INT(Inputs!$B$43/IF(Inputs!$B$38="pvp",15,MAX(0.1,Skills!D3-IF(Skills!E3=TRUE,Inputs!$B$32,0))))+1)),0)</f>
        <v/>
      </c>
      <c r="S697" t="n">
        <v>0</v>
      </c>
      <c r="T697">
        <f>INDEX(FactorTable!$B$2:$Y$301, MATCH(ROUND(MIN(300,MAX(1,T696)),0), FactorTable!$A$2:$A$301,0), 22)</f>
        <v/>
      </c>
      <c r="U697" t="n">
        <v>0</v>
      </c>
      <c r="Z697">
        <f>INDEX(FactorTable!$B$2:$Y$301, MATCH(ROUND(MIN(300,MAX(1,Z696)),0), FactorTable!$A$2:$A$301,0), 24)</f>
        <v/>
      </c>
    </row>
    <row r="698">
      <c r="A698">
        <f>Skills!A4</f>
        <v/>
      </c>
      <c r="B698">
        <f>Skills!B4</f>
        <v/>
      </c>
      <c r="C698">
        <f>Inputs!$B$3&gt;=40</f>
        <v/>
      </c>
      <c r="D698">
        <f>IF(Skills!C4=1,60+Inputs!$B$25+Inputs!$B$29,IF(Skills!C4=2,90+(Inputs!$B$26+1)+Inputs!$B$29,IF(Skills!C4=3,120+Inputs!$B$27+Inputs!$B$29,MAX(0,(Inputs!$B$3-100)*3)+Inputs!$B$28+Inputs!$B$29)))</f>
        <v/>
      </c>
      <c r="E698">
        <f>INDEX(FactorTable!$B$2:$Y$301, MATCH(ROUND(MIN(300,MAX(1,D698)),0), FactorTable!$A$2:$A$301,0), Skills!L4+1)</f>
        <v/>
      </c>
      <c r="F698">
        <f>IF(Skills!M4=TRUE,(Skills!K4/10)*(E698/1000),Skills!K4/10)+Skills!N4</f>
        <v/>
      </c>
      <c r="G698">
        <f>Calc!G4</f>
        <v/>
      </c>
      <c r="H698">
        <f>Calc!H4</f>
        <v/>
      </c>
      <c r="I698">
        <f>IF(Skills!T4&lt;&gt;"",1+(Skills!T4/10)*(Z697/1000)/100,1)</f>
        <v/>
      </c>
      <c r="J698" t="inlineStr"/>
      <c r="K698" t="inlineStr"/>
      <c r="L698" t="inlineStr"/>
      <c r="M698" t="inlineStr"/>
      <c r="N698" t="inlineStr"/>
      <c r="O698">
        <f>(1-Summary!$B$11)*S698+Summary!$B$11*U698</f>
        <v/>
      </c>
      <c r="P698">
        <f>IF(B730=0,0,O698/B730)</f>
        <v/>
      </c>
      <c r="Q698">
        <f>IFERROR(1/IF(Inputs!$B$38="pvp",15,MAX(0.1,Skills!D4-IF(Skills!E4=TRUE,Inputs!$B$32,0))),0)</f>
        <v/>
      </c>
      <c r="R698">
        <f>IF(AND(Inputs!$B$38&lt;&gt;"pvp",Inputs!$B$43&gt;0),IF(Inputs!$B$43&lt;=0,0,(INT(Inputs!$B$43/IF(Inputs!$B$38="pvp",15,MAX(0.1,Skills!D4-IF(Skills!E4=TRUE,Inputs!$B$32,0))))+1)),0)</f>
        <v/>
      </c>
      <c r="S698" t="n">
        <v>0</v>
      </c>
      <c r="T698">
        <f>290*T697/1000</f>
        <v/>
      </c>
      <c r="U698" t="n">
        <v>0</v>
      </c>
    </row>
    <row r="699">
      <c r="A699">
        <f>Skills!A5</f>
        <v/>
      </c>
      <c r="B699">
        <f>Skills!B5</f>
        <v/>
      </c>
      <c r="C699">
        <f>Inputs!$B$3&gt;=38</f>
        <v/>
      </c>
      <c r="D699">
        <f>IF(Skills!C5=1,60+Inputs!$B$25+Inputs!$B$29,IF(Skills!C5=2,90+(Inputs!$B$26+1)+Inputs!$B$29,IF(Skills!C5=3,120+Inputs!$B$27+Inputs!$B$29,MAX(0,(Inputs!$B$3-100)*3)+Inputs!$B$28+Inputs!$B$29)))</f>
        <v/>
      </c>
      <c r="E699">
        <f>INDEX(FactorTable!$B$2:$Y$301, MATCH(ROUND(MIN(300,MAX(1,D699)),0), FactorTable!$A$2:$A$301,0), Skills!L5+1)</f>
        <v/>
      </c>
      <c r="F699">
        <f>IF(Skills!M5=TRUE,(Skills!K5/10)*(E699/1000),Skills!K5/10)+Skills!N5</f>
        <v/>
      </c>
      <c r="G699">
        <f>Calc!G5</f>
        <v/>
      </c>
      <c r="H699">
        <f>Calc!H5</f>
        <v/>
      </c>
      <c r="I699">
        <f>IF(Skills!T5&lt;&gt;"",1+(Skills!T5/10)*(Z697/1000)/100,1)</f>
        <v/>
      </c>
      <c r="J699">
        <f>((Inputs!$B$6*(1+Inputs!$B$7/100))+(((Inputs!$B$12*(1+Inputs!$B$13/100))-(Inputs!$B$12*(1+Inputs!$B$13/100)))+0.25*(Inputs!$B$14-Inputs!$B$14))*(1+Inputs!$B$7/100))*(F699/100)</f>
        <v/>
      </c>
      <c r="K699">
        <f>J699*(1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712-Calc!F18),(Inputs!$B$23+(IF(ArtifactsInput!$M$15,CHOOSE(ArtifactsInput!$N$15+1,25,30,35,40,45,50)/100*(Inputs!$B$11-Inputs!$B$11),0))))/100+(Inputs!$B$23+(IF(ArtifactsInput!$M$15,CHOOSE(ArtifactsInput!$N$15+1,25,30,35,40,45,50)/100*(Inputs!$B$11-Inputs!$B$11),0)))/100)/2</f>
        <v/>
      </c>
      <c r="M699">
        <f>L699*(1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IF(B730=0,0,O699/B730)</f>
        <v/>
      </c>
      <c r="Q699">
        <f>IFERROR(1/IF(Inputs!$B$38="pvp",15,MAX(0.1,Skills!D5-IF(Skills!E5=TRUE,Inputs!$B$32,0))),0)</f>
        <v/>
      </c>
      <c r="R699">
        <f>IF(AND(Inputs!$B$38&lt;&gt;"pvp",Inputs!$B$43&gt;0),IF(MAX(0,Inputs!$B$43-B727)&lt;=0,0,(INT(MAX(0,Inputs!$B$43-B727)/IF(Inputs!$B$38="pvp",15,MAX(0.1,Skills!D5-IF(Skills!E5=TRUE,Inputs!$B$32,0))))+1)),0)</f>
        <v/>
      </c>
      <c r="S699">
        <f>IF(C699,(H699*N699*IF(AND(Inputs!$B$38&lt;&gt;"pvp",Inputs!$B$43&gt;0),((Skills!F5*((R699-1)*IF(Skills!G5&gt;0,Skills!H5/Skills!G5,1)+IF(Skills!G5&gt;0,MIN(Skills!H5,MAX(0,MAX(0,Inputs!$B$43-B727)-((R699-1)*IF(Inputs!$B$38="pvp",15,MAX(0.1,Skills!D5-IF(Skills!E5=TRUE,Inputs!$B$32,0))))))/Skills!G5,1)))/Inputs!$B$43),G699*Q699))*IF(Inputs!$B$38="pvp",1,1+(Inputs!$B$20+Skills!O5+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F5*((R699-1)*IF(Skills!G5&gt;0,Skills!H5/Skills!G5,1)+IF(Skills!G5&gt;0,MIN(Skills!H5,MAX(0,MAX(0,Inputs!$B$43-B727)-((R699-1)*IF(Inputs!$B$38="pvp",15,MAX(0.1,Skills!D5-IF(Skills!E5=TRUE,Inputs!$B$32,0))))))/Skills!G5,1)))/Inputs!$B$43),G699*Q699))*IF(Inputs!$B$38="pvp",1,(1+(Inputs!$B$21+Skills!P5+B721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Skills!A6</f>
        <v/>
      </c>
      <c r="B700">
        <f>Skills!B6</f>
        <v/>
      </c>
      <c r="C700">
        <f>Inputs!$B$3&gt;=63</f>
        <v/>
      </c>
      <c r="D700">
        <f>IF(Skills!C6=1,60+Inputs!$B$25+Inputs!$B$29,IF(Skills!C6=2,90+(Inputs!$B$26+1)+Inputs!$B$29,IF(Skills!C6=3,120+Inputs!$B$27+Inputs!$B$29,MAX(0,(Inputs!$B$3-100)*3)+Inputs!$B$28+Inputs!$B$29)))</f>
        <v/>
      </c>
      <c r="E700">
        <f>INDEX(FactorTable!$B$2:$Y$301, MATCH(ROUND(MIN(300,MAX(1,D700)),0), FactorTable!$A$2:$A$301,0), Skills!L6+1)</f>
        <v/>
      </c>
      <c r="F700">
        <f>IF(Skills!M6=TRUE,(Skills!K6/10)*(E700/1000),Skills!K6/10)+Skills!N6</f>
        <v/>
      </c>
      <c r="G700">
        <f>Calc!G6</f>
        <v/>
      </c>
      <c r="H700">
        <f>Calc!H6</f>
        <v/>
      </c>
      <c r="I700">
        <f>IF(Skills!T6&lt;&gt;"",1+(Skills!T6/10)*(Z697/1000)/100,1)</f>
        <v/>
      </c>
      <c r="J700">
        <f>((Inputs!$B$6*(1+Inputs!$B$7/100))+(((Inputs!$B$12*(1+Inputs!$B$13/100))-(Inputs!$B$12*(1+Inputs!$B$13/100)))+0.25*(Inputs!$B$14-Inputs!$B$14))*(1+Inputs!$B$7/100))*(F700/100)</f>
        <v/>
      </c>
      <c r="K700">
        <f>J700*(1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712-Calc!F18),(Inputs!$B$23+(IF(ArtifactsInput!$M$15,CHOOSE(ArtifactsInput!$N$15+1,25,30,35,40,45,50)/100*(Inputs!$B$11-Inputs!$B$11),0))))/100+(Inputs!$B$23+(IF(ArtifactsInput!$M$15,CHOOSE(ArtifactsInput!$N$15+1,25,30,35,40,45,50)/100*(Inputs!$B$11-Inputs!$B$11),0)))/100)/2</f>
        <v/>
      </c>
      <c r="M700">
        <f>L700*(1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IF(B730=0,0,O700/B730)</f>
        <v/>
      </c>
      <c r="Q700">
        <f>IFERROR(1/IF(Inputs!$B$38="pvp",15,MAX(0.1,Skills!D6-IF(Skills!E6=TRUE,Inputs!$B$32,0))),0)</f>
        <v/>
      </c>
      <c r="R700">
        <f>IF(AND(Inputs!$B$38&lt;&gt;"pvp",Inputs!$B$43&gt;0),IF(MAX(0,Inputs!$B$43-B727)&lt;=0,0,(INT(MAX(0,Inputs!$B$43-B727)/IF(Inputs!$B$38="pvp",15,MAX(0.1,Skills!D6-IF(Skills!E6=TRUE,Inputs!$B$32,0))))+1)),0)</f>
        <v/>
      </c>
      <c r="S700">
        <f>IF(C700,(H700*N700*IF(AND(Inputs!$B$38&lt;&gt;"pvp",Inputs!$B$43&gt;0),((Skills!F6*((R700-1)*IF(Skills!G6&gt;0,Skills!H6/Skills!G6,1)+IF(Skills!G6&gt;0,MIN(Skills!H6,MAX(0,MAX(0,Inputs!$B$43-B727)-((R700-1)*IF(Inputs!$B$38="pvp",15,MAX(0.1,Skills!D6-IF(Skills!E6=TRUE,Inputs!$B$32,0))))))/Skills!G6,1)))/Inputs!$B$43),G700*Q700))*IF(Inputs!$B$38="pvp",1,1+(Inputs!$B$20+Skills!O6+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N700*IF(AND(Inputs!$B$38&lt;&gt;"pvp",Inputs!$B$43&gt;0),((Skills!F6*((R700-1)*IF(Skills!G6&gt;0,Skills!H6/Skills!G6,1)+IF(Skills!G6&gt;0,MIN(Skills!H6,MAX(0,MAX(0,Inputs!$B$43-B727)-((R700-1)*IF(Inputs!$B$38="pvp",15,MAX(0.1,Skills!D6-IF(Skills!E6=TRUE,Inputs!$B$32,0))))))/Skills!G6,1)))/Inputs!$B$43),G700*Q700))*IF(Inputs!$B$38="pvp",1,(1+(Inputs!$B$21+Skills!P6+B721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Skills!A7</f>
        <v/>
      </c>
      <c r="B701">
        <f>Skills!B7</f>
        <v/>
      </c>
      <c r="C701">
        <f>Inputs!$B$3&gt;=69</f>
        <v/>
      </c>
      <c r="D701">
        <f>IF(Skills!C7=1,60+Inputs!$B$25+Inputs!$B$29,IF(Skills!C7=2,90+(Inputs!$B$26+1)+Inputs!$B$29,IF(Skills!C7=3,120+Inputs!$B$27+Inputs!$B$29,MAX(0,(Inputs!$B$3-100)*3)+Inputs!$B$28+Inputs!$B$29)))</f>
        <v/>
      </c>
      <c r="E701">
        <f>INDEX(FactorTable!$B$2:$Y$301, MATCH(ROUND(MIN(300,MAX(1,D701)),0), FactorTable!$A$2:$A$301,0), Skills!L7+1)</f>
        <v/>
      </c>
      <c r="F701">
        <f>IF(Skills!M7=TRUE,(Skills!K7/10)*(E701/1000),Skills!K7/10)+Skills!N7</f>
        <v/>
      </c>
      <c r="G701">
        <f>Calc!G7</f>
        <v/>
      </c>
      <c r="H701">
        <f>Calc!H7</f>
        <v/>
      </c>
      <c r="I701">
        <f>IF(Skills!T7&lt;&gt;"",1+(Skills!T7/10)*(Z697/1000)/100,1)</f>
        <v/>
      </c>
      <c r="J701">
        <f>((Inputs!$B$6*(1+Inputs!$B$7/100))+(((Inputs!$B$12*(1+Inputs!$B$13/100))-(Inputs!$B$12*(1+Inputs!$B$13/100)))+0.25*(Inputs!$B$14-Inputs!$B$14))*(1+Inputs!$B$7/100))*(F701/100)</f>
        <v/>
      </c>
      <c r="K701">
        <f>J701*(1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712-Calc!F18),(Inputs!$B$23+(IF(ArtifactsInput!$M$15,CHOOSE(ArtifactsInput!$N$15+1,25,30,35,40,45,50)/100*(Inputs!$B$11-Inputs!$B$11),0))))/100+(Inputs!$B$23+(IF(ArtifactsInput!$M$15,CHOOSE(ArtifactsInput!$N$15+1,25,30,35,40,45,50)/100*(Inputs!$B$11-Inputs!$B$11),0)))/100)/2</f>
        <v/>
      </c>
      <c r="M701">
        <f>L701*(1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IF(B730=0,0,O701/B730)</f>
        <v/>
      </c>
      <c r="Q701">
        <f>IFERROR(1/IF(Inputs!$B$38="pvp",15,MAX(0.1,Skills!D7-IF(Skills!E7=TRUE,Inputs!$B$32,0))),0)</f>
        <v/>
      </c>
      <c r="R701">
        <f>IF(AND(Inputs!$B$38&lt;&gt;"pvp",Inputs!$B$43&gt;0),IF(MAX(0,Inputs!$B$43-B727)&lt;=0,0,(INT(MAX(0,Inputs!$B$43-B727)/IF(Inputs!$B$38="pvp",15,MAX(0.1,Skills!D7-IF(Skills!E7=TRUE,Inputs!$B$32,0))))+1)),0)</f>
        <v/>
      </c>
      <c r="S701">
        <f>IF(C701,(H701*N701*IF(AND(Inputs!$B$38&lt;&gt;"pvp",Inputs!$B$43&gt;0),((Skills!F7*((R701-1)*IF(Skills!G7&gt;0,Skills!H7/Skills!G7,1)+IF(Skills!G7&gt;0,MIN(Skills!H7,MAX(0,MAX(0,Inputs!$B$43-B727)-((R701-1)*IF(Inputs!$B$38="pvp",15,MAX(0.1,Skills!D7-IF(Skills!E7=TRUE,Inputs!$B$32,0))))))/Skills!G7,1)))/Inputs!$B$43),G701*Q701))*IF(Inputs!$B$38="pvp",1,1+(Inputs!$B$20+Skills!O7+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F7*((R701-1)*IF(Skills!G7&gt;0,Skills!H7/Skills!G7,1)+IF(Skills!G7&gt;0,MIN(Skills!H7,MAX(0,MAX(0,Inputs!$B$43-B727)-((R701-1)*IF(Inputs!$B$38="pvp",15,MAX(0.1,Skills!D7-IF(Skills!E7=TRUE,Inputs!$B$32,0))))))/Skills!G7,1)))/Inputs!$B$43),G701*Q701))*IF(Inputs!$B$38="pvp",1,(1+(Inputs!$B$21+Skills!P7+B721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Skills!A8</f>
        <v/>
      </c>
      <c r="B702">
        <f>Skills!B8</f>
        <v/>
      </c>
      <c r="C702">
        <f>Inputs!$B$3&gt;=103</f>
        <v/>
      </c>
      <c r="D702">
        <f>IF(Skills!C8=1,60+Inputs!$B$25+Inputs!$B$29,IF(Skills!C8=2,90+(Inputs!$B$26+1)+Inputs!$B$29,IF(Skills!C8=3,120+Inputs!$B$27+Inputs!$B$29,MAX(0,(Inputs!$B$3-100)*3)+Inputs!$B$28+Inputs!$B$29)))</f>
        <v/>
      </c>
      <c r="E702">
        <f>INDEX(FactorTable!$B$2:$Y$301, MATCH(ROUND(MIN(300,MAX(1,D702)),0), FactorTable!$A$2:$A$301,0), Skills!L8+1)</f>
        <v/>
      </c>
      <c r="F702">
        <f>IF(Skills!M8=TRUE,(Skills!K8/10)*(E702/1000),Skills!K8/10)+Skills!N8</f>
        <v/>
      </c>
      <c r="G702">
        <f>Calc!G8</f>
        <v/>
      </c>
      <c r="H702">
        <f>Calc!H8</f>
        <v/>
      </c>
      <c r="I702">
        <f>IF(Skills!T8&lt;&gt;"",1+(Skills!T8/10)*(Z697/1000)/100,1)</f>
        <v/>
      </c>
      <c r="J702">
        <f>((Inputs!$B$6*(1+Inputs!$B$7/100))+(((Inputs!$B$12*(1+Inputs!$B$13/100))-(Inputs!$B$12*(1+Inputs!$B$13/100)))+0.25*(Inputs!$B$14-Inputs!$B$14))*(1+Inputs!$B$7/100))*(F702/100)</f>
        <v/>
      </c>
      <c r="K702">
        <f>J702*(1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712-Calc!F18),(Inputs!$B$23+(IF(ArtifactsInput!$M$15,CHOOSE(ArtifactsInput!$N$15+1,25,30,35,40,45,50)/100*(Inputs!$B$11-Inputs!$B$11),0))))/100+(Inputs!$B$23+(IF(ArtifactsInput!$M$15,CHOOSE(ArtifactsInput!$N$15+1,25,30,35,40,45,50)/100*(Inputs!$B$11-Inputs!$B$11),0)))/100)/2</f>
        <v/>
      </c>
      <c r="M702">
        <f>L702*(1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IF(B730=0,0,O702/B730)</f>
        <v/>
      </c>
      <c r="Q702">
        <f>IFERROR(1/IF(Inputs!$B$38="pvp",15,MAX(0.1,Skills!D8-IF(Skills!E8=TRUE,Inputs!$B$32,0))),0)</f>
        <v/>
      </c>
      <c r="R702">
        <f>IF(AND(Inputs!$B$38&lt;&gt;"pvp",Inputs!$B$43&gt;0),IF(MAX(0,Inputs!$B$43-B727)&lt;=0,0,(INT(MAX(0,Inputs!$B$43-B727)/IF(Inputs!$B$38="pvp",15,MAX(0.1,Skills!D8-IF(Skills!E8=TRUE,Inputs!$B$32,0))))+1)),0)</f>
        <v/>
      </c>
      <c r="S702">
        <f>IF(C702,(H702*N702*IF(AND(Inputs!$B$38&lt;&gt;"pvp",Inputs!$B$43&gt;0),((Skills!F8*((R702-1)*IF(Skills!G8&gt;0,Skills!H8/Skills!G8,1)+IF(Skills!G8&gt;0,MIN(Skills!H8,MAX(0,MAX(0,Inputs!$B$43-B727)-((R702-1)*IF(Inputs!$B$38="pvp",15,MAX(0.1,Skills!D8-IF(Skills!E8=TRUE,Inputs!$B$32,0))))))/Skills!G8,1)))/Inputs!$B$43),G702*Q702))*IF(Inputs!$B$38="pvp",1,1+(Inputs!$B$20+Skills!O8+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F8*((R702-1)*IF(Skills!G8&gt;0,Skills!H8/Skills!G8,1)+IF(Skills!G8&gt;0,MIN(Skills!H8,MAX(0,MAX(0,Inputs!$B$43-B727)-((R702-1)*IF(Inputs!$B$38="pvp",15,MAX(0.1,Skills!D8-IF(Skills!E8=TRUE,Inputs!$B$32,0))))))/Skills!G8,1)))/Inputs!$B$43),G702*Q702))*IF(Inputs!$B$38="pvp",1,(1+(Inputs!$B$21+Skills!P8+B721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Skills!A9</f>
        <v/>
      </c>
      <c r="B703">
        <f>Skills!B9</f>
        <v/>
      </c>
      <c r="C703">
        <f>Inputs!$B$3&gt;=105</f>
        <v/>
      </c>
      <c r="D703">
        <f>IF(Skills!C9=1,60+Inputs!$B$25+Inputs!$B$29,IF(Skills!C9=2,90+(Inputs!$B$26+1)+Inputs!$B$29,IF(Skills!C9=3,120+Inputs!$B$27+Inputs!$B$29,MAX(0,(Inputs!$B$3-100)*3)+Inputs!$B$28+Inputs!$B$29)))</f>
        <v/>
      </c>
      <c r="E703">
        <f>INDEX(FactorTable!$B$2:$Y$301, MATCH(ROUND(MIN(300,MAX(1,D703)),0), FactorTable!$A$2:$A$301,0), Skills!L9+1)</f>
        <v/>
      </c>
      <c r="F703">
        <f>IF(Skills!M9=TRUE,(Skills!K9/10)*(E703/1000),Skills!K9/10)+Skills!N9</f>
        <v/>
      </c>
      <c r="G703">
        <f>Calc!G9</f>
        <v/>
      </c>
      <c r="H703">
        <f>Calc!H9</f>
        <v/>
      </c>
      <c r="I703">
        <f>IF(Skills!T9&lt;&gt;"",1+(Skills!T9/10)*(Z697/1000)/100,1)</f>
        <v/>
      </c>
      <c r="J703">
        <f>((Inputs!$B$6*(1+Inputs!$B$7/100))+(((Inputs!$B$12*(1+Inputs!$B$13/100))-(Inputs!$B$12*(1+Inputs!$B$13/100)))+0.25*(Inputs!$B$14-Inputs!$B$14))*(1+Inputs!$B$7/100))*(F703/100)</f>
        <v/>
      </c>
      <c r="K703">
        <f>J703*(1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F712-Calc!F18),(Inputs!$B$23+(IF(ArtifactsInput!$M$15,CHOOSE(ArtifactsInput!$N$15+1,25,30,35,40,45,50)/100*(Inputs!$B$11-Inputs!$B$11),0))))/100+(Inputs!$B$23+(IF(ArtifactsInput!$M$15,CHOOSE(ArtifactsInput!$N$15+1,25,30,35,40,45,50)/100*(Inputs!$B$11-Inputs!$B$11),0)))/100)/2</f>
        <v/>
      </c>
      <c r="M703">
        <f>L703*(1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(1-Summary!$B$11)*S703+Summary!$B$11*U703</f>
        <v/>
      </c>
      <c r="P703">
        <f>IF(B730=0,0,O703/B730)</f>
        <v/>
      </c>
      <c r="Q703">
        <f>IFERROR(1/IF(Inputs!$B$38="pvp",15,MAX(0.1,Skills!D9-IF(Skills!E9=TRUE,Inputs!$B$32,0))),0)</f>
        <v/>
      </c>
      <c r="R703">
        <f>IF(AND(Inputs!$B$38&lt;&gt;"pvp",Inputs!$B$43&gt;0),IF(MAX(0,Inputs!$B$43-B727)&lt;=0,0,(INT(MAX(0,Inputs!$B$43-B727)/IF(Inputs!$B$38="pvp",15,MAX(0.1,Skills!D9-IF(Skills!E9=TRUE,Inputs!$B$32,0))))+1)),0)</f>
        <v/>
      </c>
      <c r="S703">
        <f>IF(C703,(H703*N703*IF(AND(Inputs!$B$38&lt;&gt;"pvp",Inputs!$B$43&gt;0),((Skills!F9*((R703-1)*IF(Skills!G9&gt;0,Skills!H9/Skills!G9,1)+IF(Skills!G9&gt;0,MIN(Skills!H9,MAX(0,MAX(0,Inputs!$B$43-B727)-((R703-1)*IF(Inputs!$B$38="pvp",15,MAX(0.1,Skills!D9-IF(Skills!E9=TRUE,Inputs!$B$32,0))))))/Skills!G9,1)))/Inputs!$B$43),G703*Q703))*IF(Inputs!$B$38="pvp",1,1+(Inputs!$B$20+Skills!O9+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703*(1-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IF(C703,(H703*N703*IF(AND(Inputs!$B$38&lt;&gt;"pvp",Inputs!$B$43&gt;0),((Skills!F9*((R703-1)*IF(Skills!G9&gt;0,Skills!H9/Skills!G9,1)+IF(Skills!G9&gt;0,MIN(Skills!H9,MAX(0,MAX(0,Inputs!$B$43-B727)-((R703-1)*IF(Inputs!$B$38="pvp",15,MAX(0.1,Skills!D9-IF(Skills!E9=TRUE,Inputs!$B$32,0))))))/Skills!G9,1)))/Inputs!$B$43),G703*Q703))*IF(Inputs!$B$38="pvp",1,(1+(Inputs!$B$21+Skills!P9+B721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Skills!A10</f>
        <v/>
      </c>
      <c r="B704">
        <f>Skills!B10</f>
        <v/>
      </c>
      <c r="C704">
        <f>Inputs!$B$3&gt;=113</f>
        <v/>
      </c>
      <c r="D704">
        <f>IF(Skills!C10=1,60+Inputs!$B$25+Inputs!$B$29,IF(Skills!C10=2,90+(Inputs!$B$26+1)+Inputs!$B$29,IF(Skills!C10=3,120+Inputs!$B$27+Inputs!$B$29,MAX(0,(Inputs!$B$3-100)*3)+Inputs!$B$28+Inputs!$B$29)))</f>
        <v/>
      </c>
      <c r="E704">
        <f>INDEX(FactorTable!$B$2:$Y$301, MATCH(ROUND(MIN(300,MAX(1,D704)),0), FactorTable!$A$2:$A$301,0), Skills!L10+1)</f>
        <v/>
      </c>
      <c r="F704">
        <f>IF(Skills!M10=TRUE,(Skills!K10/10)*(E704/1000),Skills!K10/10)+Skills!N10</f>
        <v/>
      </c>
      <c r="G704">
        <f>Calc!G10</f>
        <v/>
      </c>
      <c r="H704">
        <f>Calc!H10</f>
        <v/>
      </c>
      <c r="I704">
        <f>IF(Skills!T10&lt;&gt;"",1+(Skills!T10/10)*(Z697/1000)/100,1)</f>
        <v/>
      </c>
      <c r="J704">
        <f>((Inputs!$B$6*(1+Inputs!$B$7/100))+(((Inputs!$B$12*(1+Inputs!$B$13/100))-(Inputs!$B$12*(1+Inputs!$B$13/100)))+0.25*(Inputs!$B$14-Inputs!$B$14))*(1+Inputs!$B$7/100))*(F704/100)</f>
        <v/>
      </c>
      <c r="K704">
        <f>J704*(1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F712-Calc!F18),(Inputs!$B$23+(IF(ArtifactsInput!$M$15,CHOOSE(ArtifactsInput!$N$15+1,25,30,35,40,45,50)/100*(Inputs!$B$11-Inputs!$B$11),0))))/100+(Inputs!$B$23+(IF(ArtifactsInput!$M$15,CHOOSE(ArtifactsInput!$N$15+1,25,30,35,40,45,50)/100*(Inputs!$B$11-Inputs!$B$11),0)))/100)/2</f>
        <v/>
      </c>
      <c r="M704">
        <f>L704*(1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(1-Summary!$B$11)*S704+Summary!$B$11*U704</f>
        <v/>
      </c>
      <c r="P704">
        <f>IF(B730=0,0,O704/B730)</f>
        <v/>
      </c>
      <c r="Q704">
        <f>IFERROR(1/IF(Inputs!$B$38="pvp",15,MAX(0.1,Skills!D10-IF(Skills!E9=TRUE,Inputs!$B$32,0))),0)</f>
        <v/>
      </c>
      <c r="R704">
        <f>IF(AND(Inputs!$B$38&lt;&gt;"pvp",Inputs!$B$43&gt;0),IF(MAX(0,Inputs!$B$43-B727)&lt;=0,0,(INT(MAX(0,Inputs!$B$43-B727)/IF(Inputs!$B$38="pvp",15,MAX(0.1,Skills!D10-IF(Skills!E9=TRUE,Inputs!$B$32,0))))+1)),0)</f>
        <v/>
      </c>
      <c r="S704">
        <f>IF(C704,(H704*N704*IF(AND(Inputs!$B$38&lt;&gt;"pvp",Inputs!$B$43&gt;0),((Skills!F10*((R704-1)*IF(Skills!G10&gt;0,Skills!H10/Skills!G10,1)+IF(Skills!G10&gt;0,MIN(Skills!H10,MAX(0,MAX(0,Inputs!$B$43-B727)-((R704-1)*IF(Inputs!$B$38="pvp",15,MAX(0.1,Skills!D10-IF(Skills!E9=TRUE,Inputs!$B$32,0))))))/Skills!G10,1)))/Inputs!$B$43),G704*Q704))*IF(Inputs!$B$38="pvp",1,1+(Inputs!$B$20+Skills!O10+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704*(1-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4">
        <f>IF(C704,(H704*N704*IF(AND(Inputs!$B$38&lt;&gt;"pvp",Inputs!$B$43&gt;0),((Skills!F10*((R704-1)*IF(Skills!G10&gt;0,Skills!H10/Skills!G10,1)+IF(Skills!G10&gt;0,MIN(Skills!H10,MAX(0,MAX(0,Inputs!$B$43-B727)-((R704-1)*IF(Inputs!$B$38="pvp",15,MAX(0.1,Skills!D10-IF(Skills!E9=TRUE,Inputs!$B$32,0))))))/Skills!G10,1)))/Inputs!$B$43),G704*Q704))*IF(Inputs!$B$38="pvp",1,(1+(Inputs!$B$21+Skills!P10+B721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Skills!A11</f>
        <v/>
      </c>
      <c r="B705">
        <f>Skills!B11</f>
        <v/>
      </c>
      <c r="C705">
        <f>Inputs!$B$3&gt;=107</f>
        <v/>
      </c>
      <c r="D705">
        <f>IF(Skills!C11=1,60+Inputs!$B$25+Inputs!$B$29,IF(Skills!C11=2,90+(Inputs!$B$26+1)+Inputs!$B$29,IF(Skills!C11=3,120+Inputs!$B$27+Inputs!$B$29,MAX(0,(Inputs!$B$3-100)*3)+Inputs!$B$28+Inputs!$B$29)))</f>
        <v/>
      </c>
      <c r="E705">
        <f>INDEX(FactorTable!$B$2:$Y$301, MATCH(ROUND(MIN(300,MAX(1,D705)),0), FactorTable!$A$2:$A$301,0), Skills!L11+1)</f>
        <v/>
      </c>
      <c r="F705">
        <f>IF(Skills!M11=TRUE,(Skills!K11/10)*(E705/1000),Skills!K11/10)+Skills!N11</f>
        <v/>
      </c>
      <c r="G705">
        <f>Calc!G11</f>
        <v/>
      </c>
      <c r="H705">
        <f>Calc!H11</f>
        <v/>
      </c>
      <c r="I705">
        <f>IF(Skills!T11&lt;&gt;"",1+(Skills!T11/10)*(Z697/1000)/100,1)</f>
        <v/>
      </c>
      <c r="J705">
        <f>((Inputs!$B$6*(1+Inputs!$B$7/100))+(((Inputs!$B$12*(1+Inputs!$B$13/100))-(Inputs!$B$12*(1+Inputs!$B$13/100)))+0.25*(Inputs!$B$14-Inputs!$B$14))*(1+Inputs!$B$7/100))*(F705/100)</f>
        <v/>
      </c>
      <c r="K705">
        <f>J705*(1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F712-Calc!F18),(Inputs!$B$23+(IF(ArtifactsInput!$M$15,CHOOSE(ArtifactsInput!$N$15+1,25,30,35,40,45,50)/100*(Inputs!$B$11-Inputs!$B$11),0))))/100+(Inputs!$B$23+(IF(ArtifactsInput!$M$15,CHOOSE(ArtifactsInput!$N$15+1,25,30,35,40,45,50)/100*(Inputs!$B$11-Inputs!$B$11),0)))/100)/2</f>
        <v/>
      </c>
      <c r="M705">
        <f>L705*(1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(1-Summary!$B$11)*S705+Summary!$B$11*U705</f>
        <v/>
      </c>
      <c r="P705">
        <f>IF(B730=0,0,O705/B730)</f>
        <v/>
      </c>
      <c r="Q705">
        <f>IFERROR(1/IF(Inputs!$B$38="pvp",15,MAX(0.1,Skills!D11-IF(Skills!E11=TRUE,Inputs!$B$32,0))),0)</f>
        <v/>
      </c>
      <c r="R705">
        <f>IF(AND(Inputs!$B$38&lt;&gt;"pvp",Inputs!$B$43&gt;0),IF(MAX(0,Inputs!$B$43-B727)&lt;=0,0,(INT(MAX(0,Inputs!$B$43-B727)/IF(Inputs!$B$38="pvp",15,MAX(0.1,Skills!D11-IF(Skills!E11=TRUE,Inputs!$B$32,0))))+1)),0)</f>
        <v/>
      </c>
      <c r="S705">
        <f>IF(C705,H705*N705*IF(AND(Inputs!$B$38&lt;&gt;"pvp",Inputs!$B$43&gt;0),((Skills!F11*((R705-1)*IF(Skills!G11&gt;0,Skills!H11/Skills!G11,1)+IF(Skills!G11&gt;0,MIN(Skills!H11,MAX(0,MAX(0,Inputs!$B$43-B727)-((R705-1)*IF(Inputs!$B$38="pvp",15,MAX(0.1,Skills!D11-IF(Skills!E11=TRUE,Inputs!$B$32,0))))))/Skills!G11,1)))/Inputs!$B$43),G705*Q705)*0.5*IF(Inputs!$B$38="pvp",1,1+(Inputs!$B$20+Skills!O11+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705*(1-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5">
        <f>IF(C705,H705*N705*IF(AND(Inputs!$B$38&lt;&gt;"pvp",Inputs!$B$43&gt;0),((Skills!F11*((R705-1)*IF(Skills!G11&gt;0,Skills!H11/Skills!G11,1)+IF(Skills!G11&gt;0,MIN(Skills!H11,MAX(0,MAX(0,Inputs!$B$43-B727)-((R705-1)*IF(Inputs!$B$38="pvp",15,MAX(0.1,Skills!D11-IF(Skills!E11=TRUE,Inputs!$B$32,0))))))/Skills!G11,1)))/Inputs!$B$43),G705*Q705)*1*IF(Inputs!$B$38="pvp",1,(1+(Inputs!$B$21+Skills!P11+B721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Skills!A12</f>
        <v/>
      </c>
      <c r="B706">
        <f>Skills!B12</f>
        <v/>
      </c>
      <c r="C706">
        <f>Inputs!$B$3&gt;=115</f>
        <v/>
      </c>
      <c r="D706">
        <f>IF(Skills!C12=1,60+Inputs!$B$25+Inputs!$B$29,IF(Skills!C12=2,90+(Inputs!$B$26+1)+Inputs!$B$29,IF(Skills!C12=3,120+Inputs!$B$27+Inputs!$B$29,MAX(0,(Inputs!$B$3-100)*3)+Inputs!$B$28+Inputs!$B$29)))</f>
        <v/>
      </c>
      <c r="E706">
        <f>INDEX(FactorTable!$B$2:$Y$301, MATCH(ROUND(MIN(300,MAX(1,D706)),0), FactorTable!$A$2:$A$301,0), Skills!L12+1)</f>
        <v/>
      </c>
      <c r="F706">
        <f>IF(Skills!M12=TRUE,(Skills!K12/10)*(E706/1000),Skills!K12/10)+Skills!N12</f>
        <v/>
      </c>
      <c r="G706">
        <f>Calc!G12</f>
        <v/>
      </c>
      <c r="H706">
        <f>Calc!H12</f>
        <v/>
      </c>
      <c r="I706">
        <f>IF(Skills!T12&lt;&gt;"",1+(Skills!T12/10)*(Z697/1000)/100,1)</f>
        <v/>
      </c>
      <c r="J706">
        <f>((Inputs!$B$6*(1+Inputs!$B$7/100))+(((Inputs!$B$12*(1+Inputs!$B$13/100))-(Inputs!$B$12*(1+Inputs!$B$13/100)))+0.25*(Inputs!$B$14-Inputs!$B$14))*(1+Inputs!$B$7/100))*(F706/100)</f>
        <v/>
      </c>
      <c r="K706">
        <f>J706*(1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F712-Calc!F18),(Inputs!$B$23+(IF(ArtifactsInput!$M$15,CHOOSE(ArtifactsInput!$N$15+1,25,30,35,40,45,50)/100*(Inputs!$B$11-Inputs!$B$11),0))))/100+(Inputs!$B$23+(IF(ArtifactsInput!$M$15,CHOOSE(ArtifactsInput!$N$15+1,25,30,35,40,45,50)/100*(Inputs!$B$11-Inputs!$B$11),0)))/100)/2</f>
        <v/>
      </c>
      <c r="M706">
        <f>L706*(1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(1-Summary!$B$11)*S706+Summary!$B$11*U706</f>
        <v/>
      </c>
      <c r="P706">
        <f>IF(B730=0,0,O706/B730)</f>
        <v/>
      </c>
      <c r="Q706">
        <f>IFERROR(1/IF(Inputs!$B$38="pvp",15,MAX(0.1,Skills!D12-IF(Skills!E12=TRUE,Inputs!$B$32,0))),0)</f>
        <v/>
      </c>
      <c r="R706">
        <f>IF(AND(Inputs!$B$38&lt;&gt;"pvp",Inputs!$B$43&gt;0),IF(MAX(0,Inputs!$B$43-B727)&lt;=0,0,(INT(MAX(0,Inputs!$B$43-B727)/IF(Inputs!$B$38="pvp",15,MAX(0.1,Skills!D12-IF(Skills!E12=TRUE,Inputs!$B$32,0))))+1)),0)</f>
        <v/>
      </c>
      <c r="S706">
        <f>IF(C706,(H706*N706*IF(AND(Inputs!$B$38&lt;&gt;"pvp",Inputs!$B$43&gt;0),((Skills!F12*((R706-1)*IF(Skills!G12&gt;0,Skills!H12/Skills!G12,1)+IF(Skills!G12&gt;0,MIN(Skills!H12,MAX(0,MAX(0,Inputs!$B$43-B727)-((R706-1)*IF(Inputs!$B$38="pvp",15,MAX(0.1,Skills!D12-IF(Skills!E12=TRUE,Inputs!$B$32,0))))))/Skills!G12,1)))/Inputs!$B$43),G706*Q706))*IF(Inputs!$B$38="pvp",1,1+(Inputs!$B$20+Skills!O12+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6">
        <f>IF(C706,(H706*N706*IF(AND(Inputs!$B$38&lt;&gt;"pvp",Inputs!$B$43&gt;0),((Skills!F12*((R706-1)*IF(Skills!G12&gt;0,Skills!H12/Skills!G12,1)+IF(Skills!G12&gt;0,MIN(Skills!H12,MAX(0,MAX(0,Inputs!$B$43-B727)-((R706-1)*IF(Inputs!$B$38="pvp",15,MAX(0.1,Skills!D12-IF(Skills!E12=TRUE,Inputs!$B$32,0))))))/Skills!G12,1)))/Inputs!$B$43),G706*Q706))*IF(Inputs!$B$38="pvp",1,(1+(Inputs!$B$21+Skills!P12+B721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Skills!A13</f>
        <v/>
      </c>
      <c r="B707">
        <f>Skills!B13</f>
        <v/>
      </c>
      <c r="C707">
        <f>Inputs!$B$3&gt;=49</f>
        <v/>
      </c>
      <c r="D707">
        <f>IF(Skills!C13=1,60+Inputs!$B$25+Inputs!$B$29,IF(Skills!C13=2,90+(Inputs!$B$26+1)+Inputs!$B$29,IF(Skills!C13=3,120+Inputs!$B$27+Inputs!$B$29,MAX(0,(Inputs!$B$3-100)*3)+Inputs!$B$28+Inputs!$B$29)))</f>
        <v/>
      </c>
      <c r="E707">
        <f>INDEX(FactorTable!$B$2:$Y$301, MATCH(ROUND(MIN(300,MAX(1,D707)),0), FactorTable!$A$2:$A$301,0), Skills!L13+1)</f>
        <v/>
      </c>
      <c r="F707">
        <f>IF(Skills!M13=TRUE,(Skills!K13/10)*(E707/1000),Skills!K13/10)+Skills!N13</f>
        <v/>
      </c>
      <c r="G707">
        <f>Calc!G13</f>
        <v/>
      </c>
      <c r="H707">
        <f>Calc!H13</f>
        <v/>
      </c>
      <c r="I707">
        <f>IF(Skills!T13&lt;&gt;"",1+(Skills!T13/10)*(Z697/1000)/100,1)</f>
        <v/>
      </c>
      <c r="J707" t="inlineStr"/>
      <c r="K707" t="inlineStr"/>
      <c r="L707" t="inlineStr"/>
      <c r="M707" t="inlineStr"/>
      <c r="N707" t="inlineStr"/>
      <c r="O707">
        <f>(1-Summary!$B$11)*S707+Summary!$B$11*U707</f>
        <v/>
      </c>
      <c r="P707">
        <f>IF(B730=0,0,O707/B730)</f>
        <v/>
      </c>
      <c r="Q707">
        <f>IFERROR(1/IF(Inputs!$B$38="pvp",15,MAX(0.1,Skills!D13-IF(Skills!E13=TRUE,Inputs!$B$32,0))),0)</f>
        <v/>
      </c>
      <c r="R707" t="n">
        <v>0</v>
      </c>
      <c r="S707" t="n">
        <v>0</v>
      </c>
      <c r="U707" t="n">
        <v>0</v>
      </c>
    </row>
    <row r="708">
      <c r="A708">
        <f>Skills!A14</f>
        <v/>
      </c>
      <c r="B708">
        <f>Skills!B14</f>
        <v/>
      </c>
      <c r="C708">
        <f>Inputs!$B$3&gt;=72</f>
        <v/>
      </c>
      <c r="D708">
        <f>IF(Skills!C14=1,60+Inputs!$B$25+Inputs!$B$29,IF(Skills!C14=2,90+(Inputs!$B$26+1)+Inputs!$B$29,IF(Skills!C14=3,120+Inputs!$B$27+Inputs!$B$29,MAX(0,(Inputs!$B$3-100)*3)+Inputs!$B$28+Inputs!$B$29)))</f>
        <v/>
      </c>
      <c r="E708">
        <f>INDEX(FactorTable!$B$2:$Y$301, MATCH(ROUND(MIN(300,MAX(1,D708)),0), FactorTable!$A$2:$A$301,0), Skills!L14+1)</f>
        <v/>
      </c>
      <c r="F708">
        <f>IF(Skills!M14=TRUE,(Skills!K14/10)*(E708/1000),Skills!K14/10)+Skills!N14</f>
        <v/>
      </c>
      <c r="G708">
        <f>Calc!G14</f>
        <v/>
      </c>
      <c r="H708">
        <f>Calc!H14</f>
        <v/>
      </c>
      <c r="I708">
        <f>IF(Skills!T14&lt;&gt;"",1+(Skills!T14/10)*(Z697/1000)/100,1)</f>
        <v/>
      </c>
      <c r="J708" t="inlineStr"/>
      <c r="K708" t="inlineStr"/>
      <c r="L708" t="inlineStr"/>
      <c r="M708" t="inlineStr"/>
      <c r="N708" t="inlineStr"/>
      <c r="O708">
        <f>(1-Summary!$B$11)*S708+Summary!$B$11*U708</f>
        <v/>
      </c>
      <c r="P708">
        <f>IF(B730=0,0,O708/B730)</f>
        <v/>
      </c>
      <c r="Q708">
        <f>IFERROR(1/IF(Inputs!$B$38="pvp",15,MAX(0.1,Skills!D14-IF(Skills!E14=TRUE,Inputs!$B$32,0))),0)</f>
        <v/>
      </c>
      <c r="R708" t="n">
        <v>0</v>
      </c>
      <c r="S708" t="n">
        <v>0</v>
      </c>
      <c r="U708" t="n">
        <v>0</v>
      </c>
    </row>
    <row r="709">
      <c r="A709">
        <f>Skills!A15</f>
        <v/>
      </c>
      <c r="B709">
        <f>Skills!B15</f>
        <v/>
      </c>
      <c r="C709">
        <f>Inputs!$B$3&gt;=75</f>
        <v/>
      </c>
      <c r="D709">
        <f>IF(Skills!C15=1,60+Inputs!$B$25+Inputs!$B$29,IF(Skills!C15=2,90+(Inputs!$B$26+1)+Inputs!$B$29,IF(Skills!C15=3,120+Inputs!$B$27+Inputs!$B$29,MAX(0,(Inputs!$B$3-100)*3)+Inputs!$B$28+Inputs!$B$29)))</f>
        <v/>
      </c>
      <c r="E709">
        <f>INDEX(FactorTable!$B$2:$Y$301, MATCH(ROUND(MIN(300,MAX(1,D709)),0), FactorTable!$A$2:$A$301,0), Skills!L15+1)</f>
        <v/>
      </c>
      <c r="F709">
        <f>IF(Skills!M15=TRUE,(Skills!K15/10)*(E709/1000),Skills!K15/10)+Skills!N15</f>
        <v/>
      </c>
      <c r="G709">
        <f>Calc!G15</f>
        <v/>
      </c>
      <c r="H709">
        <f>Calc!H15</f>
        <v/>
      </c>
      <c r="I709">
        <f>IF(Skills!T15&lt;&gt;"",1+(Skills!T15/10)*(Z697/1000)/100,1)</f>
        <v/>
      </c>
      <c r="J709" t="inlineStr"/>
      <c r="K709" t="inlineStr"/>
      <c r="L709" t="inlineStr"/>
      <c r="M709" t="inlineStr"/>
      <c r="N709" t="inlineStr"/>
      <c r="O709">
        <f>(1-Summary!$B$11)*S709+Summary!$B$11*U709</f>
        <v/>
      </c>
      <c r="P709">
        <f>IF(B730=0,0,O709/B730)</f>
        <v/>
      </c>
      <c r="Q709">
        <f>IFERROR(1/IF(Inputs!$B$38="pvp",15,MAX(0.1,Skills!D15-IF(Skills!E15=TRUE,Inputs!$B$32,0))),0)</f>
        <v/>
      </c>
      <c r="R709" t="n">
        <v>0</v>
      </c>
      <c r="S709" t="n">
        <v>0</v>
      </c>
      <c r="U709" t="n">
        <v>0</v>
      </c>
    </row>
    <row r="710">
      <c r="A710">
        <f>Skills!A16</f>
        <v/>
      </c>
      <c r="B710">
        <f>Skills!B16</f>
        <v/>
      </c>
      <c r="C710">
        <f>Inputs!$B$3&gt;=110</f>
        <v/>
      </c>
      <c r="D710">
        <f>IF(Skills!C16=1,60+Inputs!$B$25+Inputs!$B$29,IF(Skills!C16=2,90+(Inputs!$B$26+1)+Inputs!$B$29,IF(Skills!C16=3,120+Inputs!$B$27+Inputs!$B$29,MAX(0,(Inputs!$B$3-100)*3)+Inputs!$B$28+Inputs!$B$29)))</f>
        <v/>
      </c>
      <c r="E710">
        <f>INDEX(FactorTable!$B$2:$Y$301, MATCH(ROUND(MIN(300,MAX(1,D710)),0), FactorTable!$A$2:$A$301,0), Skills!L16+1)</f>
        <v/>
      </c>
      <c r="F710">
        <f>(Skills!K16/10)*(E710/1000)*64/45+Skills!N16</f>
        <v/>
      </c>
      <c r="G710">
        <f>Calc!G16</f>
        <v/>
      </c>
      <c r="H710">
        <f>Calc!H16</f>
        <v/>
      </c>
      <c r="I710">
        <f>IF(Skills!T16&lt;&gt;"",1+(Skills!T16/10)*(Z697/1000)/100,1)</f>
        <v/>
      </c>
      <c r="J710" t="inlineStr"/>
      <c r="K710" t="inlineStr"/>
      <c r="L710" t="inlineStr"/>
      <c r="M710" t="inlineStr"/>
      <c r="N710" t="inlineStr"/>
      <c r="O710">
        <f>(1-Summary!$B$11)*S710+Summary!$B$11*U710</f>
        <v/>
      </c>
      <c r="P710">
        <f>IF(B730=0,0,O710/B730)</f>
        <v/>
      </c>
      <c r="Q710">
        <f>IFERROR(1/IF(Inputs!$B$38="pvp",15,MAX(0.1,Skills!D16-IF(Skills!E16=TRUE,Inputs!$B$32,0))),0)</f>
        <v/>
      </c>
      <c r="R710">
        <f>IF(AND(Inputs!$B$38&lt;&gt;"pvp",Inputs!$B$43&gt;0),IF(Inputs!$B$43&lt;=0,0,(INT(Inputs!$B$43/IF(Inputs!$B$38="pvp",15,MAX(0.1,Skills!D16-IF(Skills!E16=TRUE,Inputs!$B$32,0))))+1)),0)</f>
        <v/>
      </c>
      <c r="S710" t="n">
        <v>0</v>
      </c>
      <c r="U710" t="n">
        <v>0</v>
      </c>
    </row>
    <row r="711">
      <c r="A711">
        <f>Skills!A17</f>
        <v/>
      </c>
      <c r="B711">
        <f>Skills!B17</f>
        <v/>
      </c>
      <c r="C711">
        <f>Inputs!$B$3&gt;=33</f>
        <v/>
      </c>
      <c r="D711">
        <f>IF(Skills!C17=1,60+Inputs!$B$25+Inputs!$B$29,IF(Skills!C17=2,90+(Inputs!$B$26+1)+Inputs!$B$29,IF(Skills!C17=3,120+Inputs!$B$27+Inputs!$B$29,MAX(0,(Inputs!$B$3-100)*3)+Inputs!$B$28+Inputs!$B$29)))</f>
        <v/>
      </c>
      <c r="E711">
        <f>INDEX(FactorTable!$B$2:$Y$301, MATCH(ROUND(MIN(300,MAX(1,D711)),0), FactorTable!$A$2:$A$301,0), Skills!L17+1)</f>
        <v/>
      </c>
      <c r="F711">
        <f>IF(Skills!M17=TRUE,(Skills!K17/10)*(E711/1000),Skills!K17/10)+Skills!N17</f>
        <v/>
      </c>
      <c r="G711">
        <f>Calc!G17</f>
        <v/>
      </c>
      <c r="H711">
        <f>Calc!H17</f>
        <v/>
      </c>
      <c r="I711">
        <f>IF(Skills!T17&lt;&gt;"",1+(Skills!T17/10)*(Z697/1000)/100,1)</f>
        <v/>
      </c>
      <c r="J711" t="inlineStr"/>
      <c r="K711" t="inlineStr"/>
      <c r="L711" t="inlineStr"/>
      <c r="M711" t="inlineStr"/>
      <c r="N711" t="inlineStr"/>
      <c r="O711">
        <f>(1-Summary!$B$11)*S711+Summary!$B$11*U711</f>
        <v/>
      </c>
      <c r="P711">
        <f>IF(B730=0,0,O711/B730)</f>
        <v/>
      </c>
      <c r="Q711">
        <f>IFERROR(1/IF(Inputs!$B$38="pvp",15,MAX(0.1,Skills!D17-IF(Skills!E17=TRUE,Inputs!$B$32,0))),0)</f>
        <v/>
      </c>
      <c r="R711" t="n">
        <v>0</v>
      </c>
      <c r="S711" t="n">
        <v>0</v>
      </c>
      <c r="U711" t="n">
        <v>0</v>
      </c>
    </row>
    <row r="712">
      <c r="A712">
        <f>Skills!A18</f>
        <v/>
      </c>
      <c r="B712">
        <f>Skills!B18</f>
        <v/>
      </c>
      <c r="C712">
        <f>Inputs!$B$3&gt;=43</f>
        <v/>
      </c>
      <c r="D712">
        <f>IF(Skills!C18=1,60+Inputs!$B$25+Inputs!$B$29,IF(Skills!C18=2,90+(Inputs!$B$26+1)+Inputs!$B$29,IF(Skills!C18=3,120+Inputs!$B$27+Inputs!$B$29,MAX(0,(Inputs!$B$3-100)*3)+Inputs!$B$28+Inputs!$B$29)))</f>
        <v/>
      </c>
      <c r="E712">
        <f>INDEX(FactorTable!$B$2:$Y$301, MATCH(ROUND(MIN(300,MAX(1,D712)),0), FactorTable!$A$2:$A$301,0), Skills!L18+1)</f>
        <v/>
      </c>
      <c r="F712">
        <f>IF(Skills!M18=TRUE,(Skills!K18/10)*(E712/1000),Skills!K18/10)+Skills!N18</f>
        <v/>
      </c>
      <c r="G712">
        <f>Calc!G18</f>
        <v/>
      </c>
      <c r="H712">
        <f>Calc!H18</f>
        <v/>
      </c>
      <c r="I712">
        <f>IF(Skills!T18&lt;&gt;"",1+(Skills!T18/10)*(Z697/1000)/100,1)</f>
        <v/>
      </c>
      <c r="J712" t="inlineStr"/>
      <c r="K712" t="inlineStr"/>
      <c r="L712" t="inlineStr"/>
      <c r="M712" t="inlineStr"/>
      <c r="N712" t="inlineStr"/>
      <c r="O712">
        <f>(1-Summary!$B$11)*S712+Summary!$B$11*U712</f>
        <v/>
      </c>
      <c r="P712">
        <f>IF(B730=0,0,O712/B730)</f>
        <v/>
      </c>
      <c r="Q712">
        <f>IFERROR(1/IF(Inputs!$B$38="pvp",15,MAX(0.1,Skills!D18-IF(Skills!E18=TRUE,Inputs!$B$32,0))),0)</f>
        <v/>
      </c>
      <c r="R712" t="n">
        <v>0</v>
      </c>
      <c r="S712" t="n">
        <v>0</v>
      </c>
      <c r="U712" t="n">
        <v>0</v>
      </c>
    </row>
    <row r="713">
      <c r="A713">
        <f>Skills!A19</f>
        <v/>
      </c>
      <c r="B713">
        <f>Skills!B19</f>
        <v/>
      </c>
      <c r="C713">
        <f>Inputs!$B$3&gt;=50</f>
        <v/>
      </c>
      <c r="D713">
        <f>IF(Skills!C19=1,60+Inputs!$B$25+Inputs!$B$29,IF(Skills!C19=2,90+(Inputs!$B$26+1)+Inputs!$B$29,IF(Skills!C19=3,120+Inputs!$B$27+Inputs!$B$29,MAX(0,(Inputs!$B$3-100)*3)+Inputs!$B$28+Inputs!$B$29)))</f>
        <v/>
      </c>
      <c r="E713">
        <f>INDEX(FactorTable!$B$2:$Y$301, MATCH(ROUND(MIN(300,MAX(1,D713)),0), FactorTable!$A$2:$A$301,0), Skills!L19+1)</f>
        <v/>
      </c>
      <c r="F713">
        <f>IF(Skills!M19=TRUE,(Skills!K19/10)*(E713/1000),Skills!K19/10)+Skills!N19</f>
        <v/>
      </c>
      <c r="G713">
        <f>Calc!G19</f>
        <v/>
      </c>
      <c r="H713">
        <f>Calc!H19</f>
        <v/>
      </c>
      <c r="I713">
        <f>IF(Skills!T19&lt;&gt;"",1+(Skills!T19/10)*(Z697/1000)/100,1)</f>
        <v/>
      </c>
      <c r="J713" t="inlineStr"/>
      <c r="K713" t="inlineStr"/>
      <c r="L713" t="inlineStr"/>
      <c r="M713" t="inlineStr"/>
      <c r="N713" t="inlineStr"/>
      <c r="O713">
        <f>(1-Summary!$B$11)*S713+Summary!$B$11*U713</f>
        <v/>
      </c>
      <c r="P713">
        <f>IF(B730=0,0,O713/B730)</f>
        <v/>
      </c>
      <c r="Q713">
        <f>IFERROR(1/IF(Inputs!$B$38="pvp",15,MAX(0.1,Skills!D19-IF(Skills!E19=TRUE,Inputs!$B$32,0))),0)</f>
        <v/>
      </c>
      <c r="R713" t="n">
        <v>0</v>
      </c>
      <c r="S713" t="n">
        <v>0</v>
      </c>
      <c r="U713" t="n">
        <v>0</v>
      </c>
    </row>
    <row r="714">
      <c r="A714">
        <f>Skills!A20</f>
        <v/>
      </c>
      <c r="B714">
        <f>Skills!B20</f>
        <v/>
      </c>
      <c r="C714">
        <f>Inputs!$B$3&gt;=74</f>
        <v/>
      </c>
      <c r="D714">
        <f>IF(Skills!C20=1,60+Inputs!$B$25+Inputs!$B$29,IF(Skills!C20=2,90+(Inputs!$B$26+1)+Inputs!$B$29,IF(Skills!C20=3,120+Inputs!$B$27+Inputs!$B$29,MAX(0,(Inputs!$B$3-100)*3)+Inputs!$B$28+Inputs!$B$29)))</f>
        <v/>
      </c>
      <c r="E714">
        <f>INDEX(FactorTable!$B$2:$Y$301, MATCH(ROUND(MIN(300,MAX(1,D714)),0), FactorTable!$A$2:$A$301,0), Skills!L20+1)</f>
        <v/>
      </c>
      <c r="F714">
        <f>IF(Skills!M20=TRUE,(Skills!K20/10)*(E714/1000),Skills!K20/10)+Skills!N20</f>
        <v/>
      </c>
      <c r="G714">
        <f>Calc!G20</f>
        <v/>
      </c>
      <c r="H714">
        <f>Calc!H20</f>
        <v/>
      </c>
      <c r="I714">
        <f>IF(Skills!T20&lt;&gt;"",1+(Skills!T20/10)*(Z697/1000)/100,1)</f>
        <v/>
      </c>
      <c r="J714" t="inlineStr"/>
      <c r="K714" t="inlineStr"/>
      <c r="L714" t="inlineStr"/>
      <c r="M714" t="inlineStr"/>
      <c r="N714" t="inlineStr"/>
      <c r="O714">
        <f>(1-Summary!$B$11)*S714+Summary!$B$11*U714</f>
        <v/>
      </c>
      <c r="P714">
        <f>IF(B730=0,0,O714/B730)</f>
        <v/>
      </c>
      <c r="Q714">
        <f>IFERROR(1/IF(Inputs!$B$38="pvp",15,MAX(0.1,Skills!D20-IF(Skills!E20=TRUE,Inputs!$B$32,0))),0)</f>
        <v/>
      </c>
      <c r="R714" t="n">
        <v>0</v>
      </c>
      <c r="S714" t="n">
        <v>0</v>
      </c>
      <c r="U714" t="n">
        <v>0</v>
      </c>
    </row>
    <row r="715">
      <c r="A715">
        <f>Skills!A21</f>
        <v/>
      </c>
      <c r="B715">
        <f>Skills!B21</f>
        <v/>
      </c>
      <c r="C715">
        <f>Inputs!$B$3&gt;=74</f>
        <v/>
      </c>
      <c r="D715">
        <f>IF(Skills!C21=1,60+Inputs!$B$25+Inputs!$B$29,IF(Skills!C21=2,90+(Inputs!$B$26+1)+Inputs!$B$29,IF(Skills!C21=3,120+Inputs!$B$27+Inputs!$B$29,MAX(0,(Inputs!$B$3-100)*3)+Inputs!$B$28+Inputs!$B$29)))</f>
        <v/>
      </c>
      <c r="E715">
        <f>INDEX(FactorTable!$B$2:$Y$301, MATCH(ROUND(MIN(300,MAX(1,D715)),0), FactorTable!$A$2:$A$301,0), Skills!L21+1)</f>
        <v/>
      </c>
      <c r="F715">
        <f>IF(Skills!M21=TRUE,(Skills!K21/10)*(E715/1000),Skills!K21/10)+Skills!N21</f>
        <v/>
      </c>
      <c r="G715">
        <f>Calc!G21</f>
        <v/>
      </c>
      <c r="H715">
        <f>Calc!H21</f>
        <v/>
      </c>
      <c r="I715">
        <f>IF(Skills!T21&lt;&gt;"",1+(Skills!T21/10)*(Z697/1000)/100,1)</f>
        <v/>
      </c>
      <c r="J715" t="inlineStr"/>
      <c r="K715" t="inlineStr"/>
      <c r="L715" t="inlineStr"/>
      <c r="M715" t="inlineStr"/>
      <c r="N715" t="inlineStr"/>
      <c r="O715">
        <f>(1-Summary!$B$11)*S715+Summary!$B$11*U715</f>
        <v/>
      </c>
      <c r="P715">
        <f>IF(B730=0,0,O715/B730)</f>
        <v/>
      </c>
      <c r="Q715">
        <f>IFERROR(1/IF(Inputs!$B$38="pvp",15,MAX(0.1,Skills!D21-IF(Skills!E21=TRUE,Inputs!$B$32,0))),0)</f>
        <v/>
      </c>
      <c r="R715" t="n">
        <v>0</v>
      </c>
      <c r="S715" t="n">
        <v>0</v>
      </c>
      <c r="U715" t="n">
        <v>0</v>
      </c>
    </row>
    <row r="716">
      <c r="A716">
        <f>Skills!A22</f>
        <v/>
      </c>
      <c r="B716">
        <f>Skills!B22</f>
        <v/>
      </c>
      <c r="C716">
        <f>Inputs!$B$3&gt;=117</f>
        <v/>
      </c>
      <c r="D716">
        <f>IF(Skills!C22=1,60+Inputs!$B$25+Inputs!$B$29,IF(Skills!C22=2,90+(Inputs!$B$26+1)+Inputs!$B$29,IF(Skills!C22=3,120+Inputs!$B$27+Inputs!$B$29,MAX(0,(Inputs!$B$3-100)*3)+Inputs!$B$28+Inputs!$B$29)))</f>
        <v/>
      </c>
      <c r="E716">
        <f>INDEX(FactorTable!$B$2:$Y$301, MATCH(ROUND(MIN(300,MAX(1,D716)),0), FactorTable!$A$2:$A$301,0), Skills!L22+1)</f>
        <v/>
      </c>
      <c r="F716">
        <f>IF(Skills!M22=TRUE,(Skills!K22/10)*(E716/1000),Skills!K22/10)+Skills!N22</f>
        <v/>
      </c>
      <c r="G716">
        <f>Calc!G22</f>
        <v/>
      </c>
      <c r="H716">
        <f>Calc!H22</f>
        <v/>
      </c>
      <c r="I716">
        <f>IF(Skills!T22&lt;&gt;"",1+(Skills!T22/10)*(Z697/1000)/100,1)</f>
        <v/>
      </c>
      <c r="J716" t="inlineStr"/>
      <c r="K716" t="inlineStr"/>
      <c r="L716" t="inlineStr"/>
      <c r="M716" t="inlineStr"/>
      <c r="N716" t="inlineStr"/>
      <c r="O716">
        <f>(1-Summary!$B$11)*S716+Summary!$B$11*U716</f>
        <v/>
      </c>
      <c r="P716">
        <f>IF(B730=0,0,O716/B730)</f>
        <v/>
      </c>
      <c r="Q716">
        <f>IFERROR(1/IF(Inputs!$B$38="pvp",15,MAX(0.1,Skills!D22-IF(Skills!E22=TRUE,Inputs!$B$32,0))),0)</f>
        <v/>
      </c>
      <c r="R716" t="n">
        <v>0</v>
      </c>
      <c r="S716" t="n">
        <v>0</v>
      </c>
      <c r="U716" t="n">
        <v>0</v>
      </c>
    </row>
    <row r="717">
      <c r="A717">
        <f>Skills!A23</f>
        <v/>
      </c>
      <c r="B717">
        <f>Skills!B23</f>
        <v/>
      </c>
      <c r="C717">
        <f>Inputs!$B$3&gt;=120</f>
        <v/>
      </c>
      <c r="D717">
        <f>IF(Skills!C23=1,60+Inputs!$B$25+Inputs!$B$29,IF(Skills!C23=2,90+(Inputs!$B$26+1)+Inputs!$B$29,IF(Skills!C23=3,120+Inputs!$B$27+Inputs!$B$29,MAX(0,(Inputs!$B$3-100)*3)+Inputs!$B$28+Inputs!$B$29)))</f>
        <v/>
      </c>
      <c r="E717">
        <f>INDEX(FactorTable!$B$2:$Y$301, MATCH(ROUND(MIN(300,MAX(1,D717)),0), FactorTable!$A$2:$A$301,0), Skills!L23+1)</f>
        <v/>
      </c>
      <c r="F717">
        <f>IF(Skills!M23=TRUE,(Skills!K23/10)*(E717/1000),Skills!K23/10)+Skills!N23</f>
        <v/>
      </c>
      <c r="G717">
        <f>Calc!G23</f>
        <v/>
      </c>
      <c r="H717">
        <f>Calc!H23</f>
        <v/>
      </c>
      <c r="I717">
        <f>IF(Skills!T23&lt;&gt;"",1+(Skills!T23/10)*(Z697/1000)/100,1)</f>
        <v/>
      </c>
      <c r="J717" t="inlineStr"/>
      <c r="K717" t="inlineStr"/>
      <c r="L717" t="inlineStr"/>
      <c r="M717" t="inlineStr"/>
      <c r="N717" t="inlineStr"/>
      <c r="O717">
        <f>(1-Summary!$B$11)*S717+Summary!$B$11*U717</f>
        <v/>
      </c>
      <c r="P717">
        <f>IF(B730=0,0,O717/B730)</f>
        <v/>
      </c>
      <c r="Q717">
        <f>IFERROR(1/IF(Inputs!$B$38="pvp",15,MAX(0.1,Skills!D23-IF(Skills!E23=TRUE,Inputs!$B$32,0))),0)</f>
        <v/>
      </c>
      <c r="R717" t="n">
        <v>0</v>
      </c>
      <c r="S717" t="n">
        <v>0</v>
      </c>
      <c r="U717" t="n">
        <v>0</v>
      </c>
    </row>
    <row r="720">
      <c r="A720" t="inlineStr">
        <is>
          <t>Average Buff Multiplier (Magic Guard + Meditation + Artifact Attack%, summed; then Infinity)</t>
        </is>
      </c>
      <c r="B720">
        <f>(1+(IF(C697=TRUE,F697*IF(AND(Inputs!$B$38&lt;&gt;"pvp",Inputs!$B$43&gt;0),(((R697-1)*(Skills!S3*(1+(Inputs!$B$34+IF(Inputs!$B$3&gt;=117,F716,0))/100))+MIN((Skills!S3*(1+(Inputs!$B$34+IF(Inputs!$B$3&gt;=117,F716,0))/100)),MAX(0,Inputs!$B$43-((R697-1)*Skills!D3))))/Inputs!$B$43),IF(Inputs!$B$38="pvp",MIN((Skills!S3*(1+(Inputs!$B$34+IF(Inputs!$B$3&gt;=117,F716,0))/100)),15)/15,(Skills!S3*(1+(Inputs!$B$34+IF(Inputs!$B$3&gt;=117,F716,0))/100))/Skills!D3)),0)+IF(C698=TRUE,F698*IF(AND(Inputs!$B$38&lt;&gt;"pvp",Inputs!$B$43&gt;0),(((R698-1)*(Skills!S4*(1+(Inputs!$B$34+IF(Inputs!$B$3&gt;=117,F716,0))/100))+MIN((Skills!S4*(1+(Inputs!$B$34+IF(Inputs!$B$3&gt;=117,F716,0))/100)),MAX(0,Inputs!$B$43-((R698-1)*Skills!D4))))/Inputs!$B$43),IF(Inputs!$B$38="pvp",MIN((Skills!S4*(1+(Inputs!$B$34+IF(Inputs!$B$3&gt;=117,F716,0))/100)),15)/15,(Skills!S4*(1+(Inputs!$B$34+IF(Inputs!$B$3&gt;=117,F716,0)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710=TRUE,(1+F710*IF(AND(Inputs!$B$38&lt;&gt;"pvp",Inputs!$B$43&gt;0),(((R710-1)*(Skills!S16*(1+(Inputs!$B$34+IF(Inputs!$B$3&gt;=117,F716,0))/100))+MIN((Skills!S16*(1+(Inputs!$B$34+IF(Inputs!$B$3&gt;=117,F716,0))/100)),MAX(0,Inputs!$B$43-((R710-1)*Skills!D16))))/Inputs!$B$43),IF(Inputs!$B$38="pvp",MIN((Skills!S16*(1+(Inputs!$B$34+IF(Inputs!$B$3&gt;=117,F716,0))/100)),15)/15,(Skills!S16*(1+(Inputs!$B$34+IF(Inputs!$B$3&gt;=117,F716,0))/100))/Skills!D16))/100),1)</f>
        <v/>
      </c>
    </row>
    <row r="721">
      <c r="A721" t="inlineStr">
        <is>
          <t>Monster Damage Taken Bonus % (Freezing Breath - Weaken + Elemental Reset + Artifact Enemy Damage Taken, summed)</t>
        </is>
      </c>
      <c r="B721">
        <f>IF(Inputs!$B$3&gt;=118,15*IF(Inputs!$B$38="pvp",MIN((30*(1+(Inputs!$B$34+IF(Inputs!$B$3&gt;=117,F716,0))/100)),15)/15,(30*(1+(Inputs!$B$34+IF(Inputs!$B$3&gt;=117,F716,0))/100))/Skills!D8),0)+IF(C708=TRUE,F708,0)+(IF(AND(ArtifactsInput!$M$35,Inputs!$B$4&lt;&gt;"Chapter Hunt"),CHOOSE(ArtifactsInput!$N$35+1,15,18,21,24,27,30)*(1-EXP(-(0.2*B724)*5)),0)+IF(AND(ArtifactsInput!$M$22,Inputs!$B$4&lt;&gt;"Chapter Hunt"),CHOOSE(ArtifactsInput!$N$22+1,10,12,14,16,18,20)*((0*(((0.15*B724*5))^0/1)+1*(((0.15*B724*5))^1/1)+2*(((0.15*B724*5))^2/2)+3*(((0.15*B724*5))^3/6)+4*(((0.15*B724*5))^4/24)+5*(((0.15*B724*5))^5/120))/((((0.15*B724*5))^0/1)+(((0.15*B724*5))^1/1)+(((0.15*B724*5))^2/2)+(((0.15*B724*5))^3/6)+(((0.15*B724*5))^4/24)+(((0.15*B724*5))^5/120))),0))</f>
        <v/>
      </c>
    </row>
    <row r="722">
      <c r="A722" t="inlineStr">
        <is>
          <t>Damage % Bonus (Frozen Break + Frost Clutch, flat)</t>
        </is>
      </c>
      <c r="B722">
        <f>IF(Inputs!$B$3&gt;=66,15,0)+IF(Inputs!$B$3&gt;=98,10,0)+IF(Inputs!$B$3&gt;=125,20,0)</f>
        <v/>
      </c>
    </row>
    <row r="723">
      <c r="A723" t="inlineStr">
        <is>
          <t>Attack Speed Bonus % (MP Eater - MP Boost, always-on once unlocked)</t>
        </is>
      </c>
      <c r="B723">
        <f>IF(C707=TRUE,F707+(F711-Calc!F17),0)</f>
        <v/>
      </c>
    </row>
    <row r="724">
      <c r="A724" t="inlineStr">
        <is>
          <t>Actions Per Second</t>
        </is>
      </c>
      <c r="B724">
        <f>1+MIN(150,150*(1-(1-(Inputs!$B$11+(ArtifactsInput!$M$15-ArtifactsInput!$M$15)*CHOOSE(ArtifactsInput!$N$15+1,8,9.6,11.2,12.8,14.4,16))/150)*(1-B723/150)))/100</f>
        <v/>
      </c>
    </row>
    <row r="725">
      <c r="A725" t="inlineStr">
        <is>
          <t>Skill + Buff Cast Rate</t>
        </is>
      </c>
      <c r="B725">
        <f>IF(AND(Inputs!$B$38&lt;&gt;"pvp",Inputs!$B$43&gt;0),SUMPRODUCT((Skills!E2:E23=TRUE)*(C696:C717=TRUE)*R696:R717)/Inputs!$B$43,SUMPRODUCT((Skills!E2:E23=TRUE)*(C696:C717=TRUE)*Q696:Q717))</f>
        <v/>
      </c>
    </row>
    <row r="726">
      <c r="A726" t="inlineStr">
        <is>
          <t>Chain Lightning Casts Per Second</t>
        </is>
      </c>
      <c r="B726">
        <f>MAX(0,B724-B725)</f>
        <v/>
      </c>
    </row>
    <row r="727">
      <c r="A727" t="inlineStr">
        <is>
          <t>Buff-Casting Startup Delay (s, fixed-duration only)</t>
        </is>
      </c>
      <c r="B727">
        <f>IF(AND(Inputs!$B$38&lt;&gt;"pvp",Inputs!$B$43&gt;0),SUMPRODUCT((Skills!S2:S23&gt;0)*(Skills!E2:E23=TRUE)*(C696:C717=TRUE))/B724,0)</f>
        <v/>
      </c>
    </row>
    <row r="728">
      <c r="A728" t="inlineStr">
        <is>
          <t>Boss-Only Total DPS (this block's swept value)</t>
        </is>
      </c>
      <c r="B728">
        <f>SUM(S696:S717)</f>
        <v/>
      </c>
    </row>
    <row r="729">
      <c r="A729" t="inlineStr">
        <is>
          <t>Normal-Only Total DPS (this block's swept value)</t>
        </is>
      </c>
      <c r="B729">
        <f>SUM(U696:U717)</f>
        <v/>
      </c>
    </row>
    <row r="730">
      <c r="A730" s="6" t="inlineStr">
        <is>
          <t>TOTAL DPS</t>
        </is>
      </c>
      <c r="B730" s="6">
        <f>SUM(O696:O717)</f>
        <v/>
      </c>
    </row>
    <row r="733">
      <c r="A733" s="6" t="inlineStr">
        <is>
          <t>Stat: Skill Level Bonus — 3rd Job</t>
        </is>
      </c>
    </row>
    <row r="734">
      <c r="A734" s="5" t="inlineStr">
        <is>
          <t>Key</t>
        </is>
      </c>
      <c r="B734" s="5" t="inlineStr">
        <is>
          <t>Name</t>
        </is>
      </c>
      <c r="C734" s="5" t="inlineStr">
        <is>
          <t>Unlocked</t>
        </is>
      </c>
      <c r="D734" s="5" t="inlineStr">
        <is>
          <t>InputLevel</t>
        </is>
      </c>
      <c r="E734" s="5" t="inlineStr">
        <is>
          <t>Factor</t>
        </is>
      </c>
      <c r="F734" s="5" t="inlineStr">
        <is>
          <t>CoefficientPercent</t>
        </is>
      </c>
      <c r="G734" s="5" t="inlineStr">
        <is>
          <t>EffectiveHits</t>
        </is>
      </c>
      <c r="H734" s="5" t="inlineStr">
        <is>
          <t>ProcProbability</t>
        </is>
      </c>
      <c r="I734" s="5" t="inlineStr">
        <is>
          <t>MapleHeroMultiplier</t>
        </is>
      </c>
      <c r="J734" s="5" t="inlineStr">
        <is>
          <t>BaseDamage</t>
        </is>
      </c>
      <c r="K734" s="5" t="inlineStr">
        <is>
          <t>BaseHitDamage</t>
        </is>
      </c>
      <c r="L734" s="5" t="inlineStr">
        <is>
          <t>NonCritAvg</t>
        </is>
      </c>
      <c r="M734" s="5" t="inlineStr">
        <is>
          <t>CritAvg</t>
        </is>
      </c>
      <c r="N734" s="5" t="inlineStr">
        <is>
          <t>ExpectedDamage(perHit)</t>
        </is>
      </c>
      <c r="O734" s="5" t="inlineStr">
        <is>
          <t>DPS</t>
        </is>
      </c>
      <c r="P734" s="5" t="inlineStr">
        <is>
          <t>% of Total</t>
        </is>
      </c>
      <c r="R734" t="inlineStr">
        <is>
          <t>helpers</t>
        </is>
      </c>
    </row>
    <row r="735">
      <c r="A735">
        <f>Skills!A2</f>
        <v/>
      </c>
      <c r="B735">
        <f>Skills!B2</f>
        <v/>
      </c>
      <c r="C735">
        <f>Inputs!$B$3&gt;=100</f>
        <v/>
      </c>
      <c r="D735" t="inlineStr"/>
      <c r="E735" t="inlineStr"/>
      <c r="F735">
        <f>T737+Skills!N2</f>
        <v/>
      </c>
      <c r="G735">
        <f>Calc!G2</f>
        <v/>
      </c>
      <c r="H735">
        <f>Calc!H2</f>
        <v/>
      </c>
      <c r="I735">
        <f>IF(Skills!T2&lt;&gt;"",1+(Skills!T2/10)*(Z736/1000)/100,1)</f>
        <v/>
      </c>
      <c r="J735">
        <f>((Inputs!$B$6*(1+Inputs!$B$7/100))+(((Inputs!$B$12*(1+Inputs!$B$13/100))-(Inputs!$B$12*(1+Inputs!$B$13/100)))+0.25*(Inputs!$B$14-Inputs!$B$14))*(1+Inputs!$B$7/100))*(F735/100)</f>
        <v/>
      </c>
      <c r="K735">
        <f>J735*(1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751-Calc!F18),(Inputs!$B$23+(IF(ArtifactsInput!$M$15,CHOOSE(ArtifactsInput!$N$15+1,25,30,35,40,45,50)/100*(Inputs!$B$11-Inputs!$B$11),0))))/100+(Inputs!$B$23+(IF(ArtifactsInput!$M$15,CHOOSE(ArtifactsInput!$N$15+1,25,30,35,40,45,50)/100*(Inputs!$B$11-Inputs!$B$11),0)))/100)/2</f>
        <v/>
      </c>
      <c r="M735">
        <f>L735*(1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IF(B769=0,0,O735/B769)</f>
        <v/>
      </c>
      <c r="Q735">
        <f>IFERROR(1/IF(Inputs!$B$38="pvp",15,MAX(0.1,Skills!D2-IF(Skills!E2=TRUE,Inputs!$B$32,0))),0)</f>
        <v/>
      </c>
      <c r="R735" t="n">
        <v>0</v>
      </c>
      <c r="S735">
        <f>IF(C735,(Skills!F2*N735*B765)*IF(Inputs!$B$38="pvp",1,1+(Inputs!$B$20+Skills!O2+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5">
        <f>MAX(0,(Inputs!$B$3-100)*3)+Inputs!$B$28+Inputs!$B$29</f>
        <v/>
      </c>
      <c r="U735">
        <f>IF(C735,(Skills!F2*N735*B765)*IF(Inputs!$B$38="pvp",1,(1+(Inputs!$B$21+Skills!P2+B760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5">
        <f>MAX(0,(Inputs!$B$3-100)*3)+Inputs!$B$28+Inputs!$B$29</f>
        <v/>
      </c>
    </row>
    <row r="736">
      <c r="A736">
        <f>Skills!A3</f>
        <v/>
      </c>
      <c r="B736">
        <f>Skills!B3</f>
        <v/>
      </c>
      <c r="C736">
        <f>Inputs!$B$3&gt;=15</f>
        <v/>
      </c>
      <c r="D736">
        <f>IF(Skills!C3=1,60+Inputs!$B$25+Inputs!$B$29,IF(Skills!C3=2,90+Inputs!$B$26+Inputs!$B$29,IF(Skills!C3=3,120+(Inputs!$B$27+1)+Inputs!$B$29,MAX(0,(Inputs!$B$3-100)*3)+Inputs!$B$28+Inputs!$B$29)))</f>
        <v/>
      </c>
      <c r="E736">
        <f>INDEX(FactorTable!$B$2:$Y$301, MATCH(ROUND(MIN(300,MAX(1,D736)),0), FactorTable!$A$2:$A$301,0), Skills!L3+1)</f>
        <v/>
      </c>
      <c r="F736">
        <f>IF(Skills!M3=TRUE,(Skills!K3/10)*(E736/1000),Skills!K3/10)+Skills!N3</f>
        <v/>
      </c>
      <c r="G736">
        <f>Calc!G3</f>
        <v/>
      </c>
      <c r="H736">
        <f>Calc!H3</f>
        <v/>
      </c>
      <c r="I736">
        <f>IF(Skills!T3&lt;&gt;"",1+(Skills!T3/10)*(Z736/1000)/100,1)</f>
        <v/>
      </c>
      <c r="J736" t="inlineStr"/>
      <c r="K736" t="inlineStr"/>
      <c r="L736" t="inlineStr"/>
      <c r="M736" t="inlineStr"/>
      <c r="N736" t="inlineStr"/>
      <c r="O736">
        <f>(1-Summary!$B$11)*S736+Summary!$B$11*U736</f>
        <v/>
      </c>
      <c r="P736">
        <f>IF(B769=0,0,O736/B769)</f>
        <v/>
      </c>
      <c r="Q736">
        <f>IFERROR(1/IF(Inputs!$B$38="pvp",15,MAX(0.1,Skills!D3-IF(Skills!E3=TRUE,Inputs!$B$32,0))),0)</f>
        <v/>
      </c>
      <c r="R736">
        <f>IF(AND(Inputs!$B$38&lt;&gt;"pvp",Inputs!$B$43&gt;0),IF(Inputs!$B$43&lt;=0,0,(INT(Inputs!$B$43/IF(Inputs!$B$38="pvp",15,MAX(0.1,Skills!D3-IF(Skills!E3=TRUE,Inputs!$B$32,0))))+1)),0)</f>
        <v/>
      </c>
      <c r="S736" t="n">
        <v>0</v>
      </c>
      <c r="T736">
        <f>INDEX(FactorTable!$B$2:$Y$301, MATCH(ROUND(MIN(300,MAX(1,T735)),0), FactorTable!$A$2:$A$301,0), 22)</f>
        <v/>
      </c>
      <c r="U736" t="n">
        <v>0</v>
      </c>
      <c r="Z736">
        <f>INDEX(FactorTable!$B$2:$Y$301, MATCH(ROUND(MIN(300,MAX(1,Z735)),0), FactorTable!$A$2:$A$301,0), 24)</f>
        <v/>
      </c>
    </row>
    <row r="737">
      <c r="A737">
        <f>Skills!A4</f>
        <v/>
      </c>
      <c r="B737">
        <f>Skills!B4</f>
        <v/>
      </c>
      <c r="C737">
        <f>Inputs!$B$3&gt;=40</f>
        <v/>
      </c>
      <c r="D737">
        <f>IF(Skills!C4=1,60+Inputs!$B$25+Inputs!$B$29,IF(Skills!C4=2,90+Inputs!$B$26+Inputs!$B$29,IF(Skills!C4=3,120+(Inputs!$B$27+1)+Inputs!$B$29,MAX(0,(Inputs!$B$3-100)*3)+Inputs!$B$28+Inputs!$B$29)))</f>
        <v/>
      </c>
      <c r="E737">
        <f>INDEX(FactorTable!$B$2:$Y$301, MATCH(ROUND(MIN(300,MAX(1,D737)),0), FactorTable!$A$2:$A$301,0), Skills!L4+1)</f>
        <v/>
      </c>
      <c r="F737">
        <f>IF(Skills!M4=TRUE,(Skills!K4/10)*(E737/1000),Skills!K4/10)+Skills!N4</f>
        <v/>
      </c>
      <c r="G737">
        <f>Calc!G4</f>
        <v/>
      </c>
      <c r="H737">
        <f>Calc!H4</f>
        <v/>
      </c>
      <c r="I737">
        <f>IF(Skills!T4&lt;&gt;"",1+(Skills!T4/10)*(Z736/1000)/100,1)</f>
        <v/>
      </c>
      <c r="J737" t="inlineStr"/>
      <c r="K737" t="inlineStr"/>
      <c r="L737" t="inlineStr"/>
      <c r="M737" t="inlineStr"/>
      <c r="N737" t="inlineStr"/>
      <c r="O737">
        <f>(1-Summary!$B$11)*S737+Summary!$B$11*U737</f>
        <v/>
      </c>
      <c r="P737">
        <f>IF(B769=0,0,O737/B769)</f>
        <v/>
      </c>
      <c r="Q737">
        <f>IFERROR(1/IF(Inputs!$B$38="pvp",15,MAX(0.1,Skills!D4-IF(Skills!E4=TRUE,Inputs!$B$32,0))),0)</f>
        <v/>
      </c>
      <c r="R737">
        <f>IF(AND(Inputs!$B$38&lt;&gt;"pvp",Inputs!$B$43&gt;0),IF(Inputs!$B$43&lt;=0,0,(INT(Inputs!$B$43/IF(Inputs!$B$38="pvp",15,MAX(0.1,Skills!D4-IF(Skills!E4=TRUE,Inputs!$B$32,0))))+1)),0)</f>
        <v/>
      </c>
      <c r="S737" t="n">
        <v>0</v>
      </c>
      <c r="T737">
        <f>290*T736/1000</f>
        <v/>
      </c>
      <c r="U737" t="n">
        <v>0</v>
      </c>
    </row>
    <row r="738">
      <c r="A738">
        <f>Skills!A5</f>
        <v/>
      </c>
      <c r="B738">
        <f>Skills!B5</f>
        <v/>
      </c>
      <c r="C738">
        <f>Inputs!$B$3&gt;=38</f>
        <v/>
      </c>
      <c r="D738">
        <f>IF(Skills!C5=1,60+Inputs!$B$25+Inputs!$B$29,IF(Skills!C5=2,90+Inputs!$B$26+Inputs!$B$29,IF(Skills!C5=3,120+(Inputs!$B$27+1)+Inputs!$B$29,MAX(0,(Inputs!$B$3-100)*3)+Inputs!$B$28+Inputs!$B$29)))</f>
        <v/>
      </c>
      <c r="E738">
        <f>INDEX(FactorTable!$B$2:$Y$301, MATCH(ROUND(MIN(300,MAX(1,D738)),0), FactorTable!$A$2:$A$301,0), Skills!L5+1)</f>
        <v/>
      </c>
      <c r="F738">
        <f>IF(Skills!M5=TRUE,(Skills!K5/10)*(E738/1000),Skills!K5/10)+Skills!N5</f>
        <v/>
      </c>
      <c r="G738">
        <f>Calc!G5</f>
        <v/>
      </c>
      <c r="H738">
        <f>Calc!H5</f>
        <v/>
      </c>
      <c r="I738">
        <f>IF(Skills!T5&lt;&gt;"",1+(Skills!T5/10)*(Z736/1000)/100,1)</f>
        <v/>
      </c>
      <c r="J738">
        <f>((Inputs!$B$6*(1+Inputs!$B$7/100))+(((Inputs!$B$12*(1+Inputs!$B$13/100))-(Inputs!$B$12*(1+Inputs!$B$13/100)))+0.25*(Inputs!$B$14-Inputs!$B$14))*(1+Inputs!$B$7/100))*(F738/100)</f>
        <v/>
      </c>
      <c r="K738">
        <f>J738*(1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751-Calc!F18),(Inputs!$B$23+(IF(ArtifactsInput!$M$15,CHOOSE(ArtifactsInput!$N$15+1,25,30,35,40,45,50)/100*(Inputs!$B$11-Inputs!$B$11),0))))/100+(Inputs!$B$23+(IF(ArtifactsInput!$M$15,CHOOSE(ArtifactsInput!$N$15+1,25,30,35,40,45,50)/100*(Inputs!$B$11-Inputs!$B$11),0)))/100)/2</f>
        <v/>
      </c>
      <c r="M738">
        <f>L738*(1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IF(B769=0,0,O738/B769)</f>
        <v/>
      </c>
      <c r="Q738">
        <f>IFERROR(1/IF(Inputs!$B$38="pvp",15,MAX(0.1,Skills!D5-IF(Skills!E5=TRUE,Inputs!$B$32,0))),0)</f>
        <v/>
      </c>
      <c r="R738">
        <f>IF(AND(Inputs!$B$38&lt;&gt;"pvp",Inputs!$B$43&gt;0),IF(MAX(0,Inputs!$B$43-B766)&lt;=0,0,(INT(MAX(0,Inputs!$B$43-B766)/IF(Inputs!$B$38="pvp",15,MAX(0.1,Skills!D5-IF(Skills!E5=TRUE,Inputs!$B$32,0))))+1)),0)</f>
        <v/>
      </c>
      <c r="S738">
        <f>IF(C738,(H738*N738*IF(AND(Inputs!$B$38&lt;&gt;"pvp",Inputs!$B$43&gt;0),((Skills!F5*((R738-1)*IF(Skills!G5&gt;0,Skills!H5/Skills!G5,1)+IF(Skills!G5&gt;0,MIN(Skills!H5,MAX(0,MAX(0,Inputs!$B$43-B766)-((R738-1)*IF(Inputs!$B$38="pvp",15,MAX(0.1,Skills!D5-IF(Skills!E5=TRUE,Inputs!$B$32,0))))))/Skills!G5,1)))/Inputs!$B$43),G738*Q738))*IF(Inputs!$B$38="pvp",1,1+(Inputs!$B$20+Skills!O5+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F5*((R738-1)*IF(Skills!G5&gt;0,Skills!H5/Skills!G5,1)+IF(Skills!G5&gt;0,MIN(Skills!H5,MAX(0,MAX(0,Inputs!$B$43-B766)-((R738-1)*IF(Inputs!$B$38="pvp",15,MAX(0.1,Skills!D5-IF(Skills!E5=TRUE,Inputs!$B$32,0))))))/Skills!G5,1)))/Inputs!$B$43),G738*Q738))*IF(Inputs!$B$38="pvp",1,(1+(Inputs!$B$21+Skills!P5+B760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Skills!A6</f>
        <v/>
      </c>
      <c r="B739">
        <f>Skills!B6</f>
        <v/>
      </c>
      <c r="C739">
        <f>Inputs!$B$3&gt;=63</f>
        <v/>
      </c>
      <c r="D739">
        <f>IF(Skills!C6=1,60+Inputs!$B$25+Inputs!$B$29,IF(Skills!C6=2,90+Inputs!$B$26+Inputs!$B$29,IF(Skills!C6=3,120+(Inputs!$B$27+1)+Inputs!$B$29,MAX(0,(Inputs!$B$3-100)*3)+Inputs!$B$28+Inputs!$B$29)))</f>
        <v/>
      </c>
      <c r="E739">
        <f>INDEX(FactorTable!$B$2:$Y$301, MATCH(ROUND(MIN(300,MAX(1,D739)),0), FactorTable!$A$2:$A$301,0), Skills!L6+1)</f>
        <v/>
      </c>
      <c r="F739">
        <f>IF(Skills!M6=TRUE,(Skills!K6/10)*(E739/1000),Skills!K6/10)+Skills!N6</f>
        <v/>
      </c>
      <c r="G739">
        <f>Calc!G6</f>
        <v/>
      </c>
      <c r="H739">
        <f>Calc!H6</f>
        <v/>
      </c>
      <c r="I739">
        <f>IF(Skills!T6&lt;&gt;"",1+(Skills!T6/10)*(Z736/1000)/100,1)</f>
        <v/>
      </c>
      <c r="J739">
        <f>((Inputs!$B$6*(1+Inputs!$B$7/100))+(((Inputs!$B$12*(1+Inputs!$B$13/100))-(Inputs!$B$12*(1+Inputs!$B$13/100)))+0.25*(Inputs!$B$14-Inputs!$B$14))*(1+Inputs!$B$7/100))*(F739/100)</f>
        <v/>
      </c>
      <c r="K739">
        <f>J739*(1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751-Calc!F18),(Inputs!$B$23+(IF(ArtifactsInput!$M$15,CHOOSE(ArtifactsInput!$N$15+1,25,30,35,40,45,50)/100*(Inputs!$B$11-Inputs!$B$11),0))))/100+(Inputs!$B$23+(IF(ArtifactsInput!$M$15,CHOOSE(ArtifactsInput!$N$15+1,25,30,35,40,45,50)/100*(Inputs!$B$11-Inputs!$B$11),0)))/100)/2</f>
        <v/>
      </c>
      <c r="M739">
        <f>L739*(1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IF(B769=0,0,O739/B769)</f>
        <v/>
      </c>
      <c r="Q739">
        <f>IFERROR(1/IF(Inputs!$B$38="pvp",15,MAX(0.1,Skills!D6-IF(Skills!E6=TRUE,Inputs!$B$32,0))),0)</f>
        <v/>
      </c>
      <c r="R739">
        <f>IF(AND(Inputs!$B$38&lt;&gt;"pvp",Inputs!$B$43&gt;0),IF(MAX(0,Inputs!$B$43-B766)&lt;=0,0,(INT(MAX(0,Inputs!$B$43-B766)/IF(Inputs!$B$38="pvp",15,MAX(0.1,Skills!D6-IF(Skills!E6=TRUE,Inputs!$B$32,0))))+1)),0)</f>
        <v/>
      </c>
      <c r="S739">
        <f>IF(C739,(H739*N739*IF(AND(Inputs!$B$38&lt;&gt;"pvp",Inputs!$B$43&gt;0),((Skills!F6*((R739-1)*IF(Skills!G6&gt;0,Skills!H6/Skills!G6,1)+IF(Skills!G6&gt;0,MIN(Skills!H6,MAX(0,MAX(0,Inputs!$B$43-B766)-((R739-1)*IF(Inputs!$B$38="pvp",15,MAX(0.1,Skills!D6-IF(Skills!E6=TRUE,Inputs!$B$32,0))))))/Skills!G6,1)))/Inputs!$B$43),G739*Q739))*IF(Inputs!$B$38="pvp",1,1+(Inputs!$B$20+Skills!O6+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F6*((R739-1)*IF(Skills!G6&gt;0,Skills!H6/Skills!G6,1)+IF(Skills!G6&gt;0,MIN(Skills!H6,MAX(0,MAX(0,Inputs!$B$43-B766)-((R739-1)*IF(Inputs!$B$38="pvp",15,MAX(0.1,Skills!D6-IF(Skills!E6=TRUE,Inputs!$B$32,0))))))/Skills!G6,1)))/Inputs!$B$43),G739*Q739))*IF(Inputs!$B$38="pvp",1,(1+(Inputs!$B$21+Skills!P6+B760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Skills!A7</f>
        <v/>
      </c>
      <c r="B740">
        <f>Skills!B7</f>
        <v/>
      </c>
      <c r="C740">
        <f>Inputs!$B$3&gt;=69</f>
        <v/>
      </c>
      <c r="D740">
        <f>IF(Skills!C7=1,60+Inputs!$B$25+Inputs!$B$29,IF(Skills!C7=2,90+Inputs!$B$26+Inputs!$B$29,IF(Skills!C7=3,120+(Inputs!$B$27+1)+Inputs!$B$29,MAX(0,(Inputs!$B$3-100)*3)+Inputs!$B$28+Inputs!$B$29)))</f>
        <v/>
      </c>
      <c r="E740">
        <f>INDEX(FactorTable!$B$2:$Y$301, MATCH(ROUND(MIN(300,MAX(1,D740)),0), FactorTable!$A$2:$A$301,0), Skills!L7+1)</f>
        <v/>
      </c>
      <c r="F740">
        <f>IF(Skills!M7=TRUE,(Skills!K7/10)*(E740/1000),Skills!K7/10)+Skills!N7</f>
        <v/>
      </c>
      <c r="G740">
        <f>Calc!G7</f>
        <v/>
      </c>
      <c r="H740">
        <f>Calc!H7</f>
        <v/>
      </c>
      <c r="I740">
        <f>IF(Skills!T7&lt;&gt;"",1+(Skills!T7/10)*(Z736/1000)/100,1)</f>
        <v/>
      </c>
      <c r="J740">
        <f>((Inputs!$B$6*(1+Inputs!$B$7/100))+(((Inputs!$B$12*(1+Inputs!$B$13/100))-(Inputs!$B$12*(1+Inputs!$B$13/100)))+0.25*(Inputs!$B$14-Inputs!$B$14))*(1+Inputs!$B$7/100))*(F740/100)</f>
        <v/>
      </c>
      <c r="K740">
        <f>J740*(1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751-Calc!F18),(Inputs!$B$23+(IF(ArtifactsInput!$M$15,CHOOSE(ArtifactsInput!$N$15+1,25,30,35,40,45,50)/100*(Inputs!$B$11-Inputs!$B$11),0))))/100+(Inputs!$B$23+(IF(ArtifactsInput!$M$15,CHOOSE(ArtifactsInput!$N$15+1,25,30,35,40,45,50)/100*(Inputs!$B$11-Inputs!$B$11),0)))/100)/2</f>
        <v/>
      </c>
      <c r="M740">
        <f>L740*(1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IF(B769=0,0,O740/B769)</f>
        <v/>
      </c>
      <c r="Q740">
        <f>IFERROR(1/IF(Inputs!$B$38="pvp",15,MAX(0.1,Skills!D7-IF(Skills!E7=TRUE,Inputs!$B$32,0))),0)</f>
        <v/>
      </c>
      <c r="R740">
        <f>IF(AND(Inputs!$B$38&lt;&gt;"pvp",Inputs!$B$43&gt;0),IF(MAX(0,Inputs!$B$43-B766)&lt;=0,0,(INT(MAX(0,Inputs!$B$43-B766)/IF(Inputs!$B$38="pvp",15,MAX(0.1,Skills!D7-IF(Skills!E7=TRUE,Inputs!$B$32,0))))+1)),0)</f>
        <v/>
      </c>
      <c r="S740">
        <f>IF(C740,(H740*N740*IF(AND(Inputs!$B$38&lt;&gt;"pvp",Inputs!$B$43&gt;0),((Skills!F7*((R740-1)*IF(Skills!G7&gt;0,Skills!H7/Skills!G7,1)+IF(Skills!G7&gt;0,MIN(Skills!H7,MAX(0,MAX(0,Inputs!$B$43-B766)-((R740-1)*IF(Inputs!$B$38="pvp",15,MAX(0.1,Skills!D7-IF(Skills!E7=TRUE,Inputs!$B$32,0))))))/Skills!G7,1)))/Inputs!$B$43),G740*Q740))*IF(Inputs!$B$38="pvp",1,1+(Inputs!$B$20+Skills!O7+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F7*((R740-1)*IF(Skills!G7&gt;0,Skills!H7/Skills!G7,1)+IF(Skills!G7&gt;0,MIN(Skills!H7,MAX(0,MAX(0,Inputs!$B$43-B766)-((R740-1)*IF(Inputs!$B$38="pvp",15,MAX(0.1,Skills!D7-IF(Skills!E7=TRUE,Inputs!$B$32,0))))))/Skills!G7,1)))/Inputs!$B$43),G740*Q740))*IF(Inputs!$B$38="pvp",1,(1+(Inputs!$B$21+Skills!P7+B760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Skills!A8</f>
        <v/>
      </c>
      <c r="B741">
        <f>Skills!B8</f>
        <v/>
      </c>
      <c r="C741">
        <f>Inputs!$B$3&gt;=103</f>
        <v/>
      </c>
      <c r="D741">
        <f>IF(Skills!C8=1,60+Inputs!$B$25+Inputs!$B$29,IF(Skills!C8=2,90+Inputs!$B$26+Inputs!$B$29,IF(Skills!C8=3,120+(Inputs!$B$27+1)+Inputs!$B$29,MAX(0,(Inputs!$B$3-100)*3)+Inputs!$B$28+Inputs!$B$29)))</f>
        <v/>
      </c>
      <c r="E741">
        <f>INDEX(FactorTable!$B$2:$Y$301, MATCH(ROUND(MIN(300,MAX(1,D741)),0), FactorTable!$A$2:$A$301,0), Skills!L8+1)</f>
        <v/>
      </c>
      <c r="F741">
        <f>IF(Skills!M8=TRUE,(Skills!K8/10)*(E741/1000),Skills!K8/10)+Skills!N8</f>
        <v/>
      </c>
      <c r="G741">
        <f>Calc!G8</f>
        <v/>
      </c>
      <c r="H741">
        <f>Calc!H8</f>
        <v/>
      </c>
      <c r="I741">
        <f>IF(Skills!T8&lt;&gt;"",1+(Skills!T8/10)*(Z736/1000)/100,1)</f>
        <v/>
      </c>
      <c r="J741">
        <f>((Inputs!$B$6*(1+Inputs!$B$7/100))+(((Inputs!$B$12*(1+Inputs!$B$13/100))-(Inputs!$B$12*(1+Inputs!$B$13/100)))+0.25*(Inputs!$B$14-Inputs!$B$14))*(1+Inputs!$B$7/100))*(F741/100)</f>
        <v/>
      </c>
      <c r="K741">
        <f>J741*(1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F751-Calc!F18),(Inputs!$B$23+(IF(ArtifactsInput!$M$15,CHOOSE(ArtifactsInput!$N$15+1,25,30,35,40,45,50)/100*(Inputs!$B$11-Inputs!$B$11),0))))/100+(Inputs!$B$23+(IF(ArtifactsInput!$M$15,CHOOSE(ArtifactsInput!$N$15+1,25,30,35,40,45,50)/100*(Inputs!$B$11-Inputs!$B$11),0)))/100)/2</f>
        <v/>
      </c>
      <c r="M741">
        <f>L741*(1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(1-Summary!$B$11)*S741+Summary!$B$11*U741</f>
        <v/>
      </c>
      <c r="P741">
        <f>IF(B769=0,0,O741/B769)</f>
        <v/>
      </c>
      <c r="Q741">
        <f>IFERROR(1/IF(Inputs!$B$38="pvp",15,MAX(0.1,Skills!D8-IF(Skills!E8=TRUE,Inputs!$B$32,0))),0)</f>
        <v/>
      </c>
      <c r="R741">
        <f>IF(AND(Inputs!$B$38&lt;&gt;"pvp",Inputs!$B$43&gt;0),IF(MAX(0,Inputs!$B$43-B766)&lt;=0,0,(INT(MAX(0,Inputs!$B$43-B766)/IF(Inputs!$B$38="pvp",15,MAX(0.1,Skills!D8-IF(Skills!E8=TRUE,Inputs!$B$32,0))))+1)),0)</f>
        <v/>
      </c>
      <c r="S741">
        <f>IF(C741,(H741*N741*IF(AND(Inputs!$B$38&lt;&gt;"pvp",Inputs!$B$43&gt;0),((Skills!F8*((R741-1)*IF(Skills!G8&gt;0,Skills!H8/Skills!G8,1)+IF(Skills!G8&gt;0,MIN(Skills!H8,MAX(0,MAX(0,Inputs!$B$43-B766)-((R741-1)*IF(Inputs!$B$38="pvp",15,MAX(0.1,Skills!D8-IF(Skills!E8=TRUE,Inputs!$B$32,0))))))/Skills!G8,1)))/Inputs!$B$43),G741*Q741))*IF(Inputs!$B$38="pvp",1,1+(Inputs!$B$20+Skills!O8+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1">
        <f>IF(C741,(H741*N741*IF(AND(Inputs!$B$38&lt;&gt;"pvp",Inputs!$B$43&gt;0),((Skills!F8*((R741-1)*IF(Skills!G8&gt;0,Skills!H8/Skills!G8,1)+IF(Skills!G8&gt;0,MIN(Skills!H8,MAX(0,MAX(0,Inputs!$B$43-B766)-((R741-1)*IF(Inputs!$B$38="pvp",15,MAX(0.1,Skills!D8-IF(Skills!E8=TRUE,Inputs!$B$32,0))))))/Skills!G8,1)))/Inputs!$B$43),G741*Q741))*IF(Inputs!$B$38="pvp",1,(1+(Inputs!$B$21+Skills!P8+B760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Skills!A9</f>
        <v/>
      </c>
      <c r="B742">
        <f>Skills!B9</f>
        <v/>
      </c>
      <c r="C742">
        <f>Inputs!$B$3&gt;=105</f>
        <v/>
      </c>
      <c r="D742">
        <f>IF(Skills!C9=1,60+Inputs!$B$25+Inputs!$B$29,IF(Skills!C9=2,90+Inputs!$B$26+Inputs!$B$29,IF(Skills!C9=3,120+(Inputs!$B$27+1)+Inputs!$B$29,MAX(0,(Inputs!$B$3-100)*3)+Inputs!$B$28+Inputs!$B$29)))</f>
        <v/>
      </c>
      <c r="E742">
        <f>INDEX(FactorTable!$B$2:$Y$301, MATCH(ROUND(MIN(300,MAX(1,D742)),0), FactorTable!$A$2:$A$301,0), Skills!L9+1)</f>
        <v/>
      </c>
      <c r="F742">
        <f>IF(Skills!M9=TRUE,(Skills!K9/10)*(E742/1000),Skills!K9/10)+Skills!N9</f>
        <v/>
      </c>
      <c r="G742">
        <f>Calc!G9</f>
        <v/>
      </c>
      <c r="H742">
        <f>Calc!H9</f>
        <v/>
      </c>
      <c r="I742">
        <f>IF(Skills!T9&lt;&gt;"",1+(Skills!T9/10)*(Z736/1000)/100,1)</f>
        <v/>
      </c>
      <c r="J742">
        <f>((Inputs!$B$6*(1+Inputs!$B$7/100))+(((Inputs!$B$12*(1+Inputs!$B$13/100))-(Inputs!$B$12*(1+Inputs!$B$13/100)))+0.25*(Inputs!$B$14-Inputs!$B$14))*(1+Inputs!$B$7/100))*(F742/100)</f>
        <v/>
      </c>
      <c r="K742">
        <f>J742*(1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F751-Calc!F18),(Inputs!$B$23+(IF(ArtifactsInput!$M$15,CHOOSE(ArtifactsInput!$N$15+1,25,30,35,40,45,50)/100*(Inputs!$B$11-Inputs!$B$11),0))))/100+(Inputs!$B$23+(IF(ArtifactsInput!$M$15,CHOOSE(ArtifactsInput!$N$15+1,25,30,35,40,45,50)/100*(Inputs!$B$11-Inputs!$B$11),0)))/100)/2</f>
        <v/>
      </c>
      <c r="M742">
        <f>L742*(1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(1-Summary!$B$11)*S742+Summary!$B$11*U742</f>
        <v/>
      </c>
      <c r="P742">
        <f>IF(B769=0,0,O742/B769)</f>
        <v/>
      </c>
      <c r="Q742">
        <f>IFERROR(1/IF(Inputs!$B$38="pvp",15,MAX(0.1,Skills!D9-IF(Skills!E9=TRUE,Inputs!$B$32,0))),0)</f>
        <v/>
      </c>
      <c r="R742">
        <f>IF(AND(Inputs!$B$38&lt;&gt;"pvp",Inputs!$B$43&gt;0),IF(MAX(0,Inputs!$B$43-B766)&lt;=0,0,(INT(MAX(0,Inputs!$B$43-B766)/IF(Inputs!$B$38="pvp",15,MAX(0.1,Skills!D9-IF(Skills!E9=TRUE,Inputs!$B$32,0))))+1)),0)</f>
        <v/>
      </c>
      <c r="S742">
        <f>IF(C742,(H742*N742*IF(AND(Inputs!$B$38&lt;&gt;"pvp",Inputs!$B$43&gt;0),((Skills!F9*((R742-1)*IF(Skills!G9&gt;0,Skills!H9/Skills!G9,1)+IF(Skills!G9&gt;0,MIN(Skills!H9,MAX(0,MAX(0,Inputs!$B$43-B766)-((R742-1)*IF(Inputs!$B$38="pvp",15,MAX(0.1,Skills!D9-IF(Skills!E9=TRUE,Inputs!$B$32,0))))))/Skills!G9,1)))/Inputs!$B$43),G742*Q742))*IF(Inputs!$B$38="pvp",1,1+(Inputs!$B$20+Skills!O9+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742*(1-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2">
        <f>IF(C742,(H742*N742*IF(AND(Inputs!$B$38&lt;&gt;"pvp",Inputs!$B$43&gt;0),((Skills!F9*((R742-1)*IF(Skills!G9&gt;0,Skills!H9/Skills!G9,1)+IF(Skills!G9&gt;0,MIN(Skills!H9,MAX(0,MAX(0,Inputs!$B$43-B766)-((R742-1)*IF(Inputs!$B$38="pvp",15,MAX(0.1,Skills!D9-IF(Skills!E9=TRUE,Inputs!$B$32,0))))))/Skills!G9,1)))/Inputs!$B$43),G742*Q742))*IF(Inputs!$B$38="pvp",1,(1+(Inputs!$B$21+Skills!P9+B760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Skills!A10</f>
        <v/>
      </c>
      <c r="B743">
        <f>Skills!B10</f>
        <v/>
      </c>
      <c r="C743">
        <f>Inputs!$B$3&gt;=113</f>
        <v/>
      </c>
      <c r="D743">
        <f>IF(Skills!C10=1,60+Inputs!$B$25+Inputs!$B$29,IF(Skills!C10=2,90+Inputs!$B$26+Inputs!$B$29,IF(Skills!C10=3,120+(Inputs!$B$27+1)+Inputs!$B$29,MAX(0,(Inputs!$B$3-100)*3)+Inputs!$B$28+Inputs!$B$29)))</f>
        <v/>
      </c>
      <c r="E743">
        <f>INDEX(FactorTable!$B$2:$Y$301, MATCH(ROUND(MIN(300,MAX(1,D743)),0), FactorTable!$A$2:$A$301,0), Skills!L10+1)</f>
        <v/>
      </c>
      <c r="F743">
        <f>IF(Skills!M10=TRUE,(Skills!K10/10)*(E743/1000),Skills!K10/10)+Skills!N10</f>
        <v/>
      </c>
      <c r="G743">
        <f>Calc!G10</f>
        <v/>
      </c>
      <c r="H743">
        <f>Calc!H10</f>
        <v/>
      </c>
      <c r="I743">
        <f>IF(Skills!T10&lt;&gt;"",1+(Skills!T10/10)*(Z736/1000)/100,1)</f>
        <v/>
      </c>
      <c r="J743">
        <f>((Inputs!$B$6*(1+Inputs!$B$7/100))+(((Inputs!$B$12*(1+Inputs!$B$13/100))-(Inputs!$B$12*(1+Inputs!$B$13/100)))+0.25*(Inputs!$B$14-Inputs!$B$14))*(1+Inputs!$B$7/100))*(F743/100)</f>
        <v/>
      </c>
      <c r="K743">
        <f>J743*(1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751-Calc!F18),(Inputs!$B$23+(IF(ArtifactsInput!$M$15,CHOOSE(ArtifactsInput!$N$15+1,25,30,35,40,45,50)/100*(Inputs!$B$11-Inputs!$B$11),0))))/100+(Inputs!$B$23+(IF(ArtifactsInput!$M$15,CHOOSE(ArtifactsInput!$N$15+1,25,30,35,40,45,50)/100*(Inputs!$B$11-Inputs!$B$11),0)))/100)/2</f>
        <v/>
      </c>
      <c r="M743">
        <f>L743*(1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IF(B769=0,0,O743/B769)</f>
        <v/>
      </c>
      <c r="Q743">
        <f>IFERROR(1/IF(Inputs!$B$38="pvp",15,MAX(0.1,Skills!D10-IF(Skills!E9=TRUE,Inputs!$B$32,0))),0)</f>
        <v/>
      </c>
      <c r="R743">
        <f>IF(AND(Inputs!$B$38&lt;&gt;"pvp",Inputs!$B$43&gt;0),IF(MAX(0,Inputs!$B$43-B766)&lt;=0,0,(INT(MAX(0,Inputs!$B$43-B766)/IF(Inputs!$B$38="pvp",15,MAX(0.1,Skills!D10-IF(Skills!E9=TRUE,Inputs!$B$32,0))))+1)),0)</f>
        <v/>
      </c>
      <c r="S743">
        <f>IF(C743,(H743*N743*IF(AND(Inputs!$B$38&lt;&gt;"pvp",Inputs!$B$43&gt;0),((Skills!F10*((R743-1)*IF(Skills!G10&gt;0,Skills!H10/Skills!G10,1)+IF(Skills!G10&gt;0,MIN(Skills!H10,MAX(0,MAX(0,Inputs!$B$43-B766)-((R743-1)*IF(Inputs!$B$38="pvp",15,MAX(0.1,Skills!D10-IF(Skills!E9=TRUE,Inputs!$B$32,0))))))/Skills!G10,1)))/Inputs!$B$43),G743*Q743))*IF(Inputs!$B$38="pvp",1,1+(Inputs!$B$20+Skills!O10+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F10*((R743-1)*IF(Skills!G10&gt;0,Skills!H10/Skills!G10,1)+IF(Skills!G10&gt;0,MIN(Skills!H10,MAX(0,MAX(0,Inputs!$B$43-B766)-((R743-1)*IF(Inputs!$B$38="pvp",15,MAX(0.1,Skills!D10-IF(Skills!E9=TRUE,Inputs!$B$32,0))))))/Skills!G10,1)))/Inputs!$B$43),G743*Q743))*IF(Inputs!$B$38="pvp",1,(1+(Inputs!$B$21+Skills!P10+B760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Skills!A11</f>
        <v/>
      </c>
      <c r="B744">
        <f>Skills!B11</f>
        <v/>
      </c>
      <c r="C744">
        <f>Inputs!$B$3&gt;=107</f>
        <v/>
      </c>
      <c r="D744">
        <f>IF(Skills!C11=1,60+Inputs!$B$25+Inputs!$B$29,IF(Skills!C11=2,90+Inputs!$B$26+Inputs!$B$29,IF(Skills!C11=3,120+(Inputs!$B$27+1)+Inputs!$B$29,MAX(0,(Inputs!$B$3-100)*3)+Inputs!$B$28+Inputs!$B$29)))</f>
        <v/>
      </c>
      <c r="E744">
        <f>INDEX(FactorTable!$B$2:$Y$301, MATCH(ROUND(MIN(300,MAX(1,D744)),0), FactorTable!$A$2:$A$301,0), Skills!L11+1)</f>
        <v/>
      </c>
      <c r="F744">
        <f>IF(Skills!M11=TRUE,(Skills!K11/10)*(E744/1000),Skills!K11/10)+Skills!N11</f>
        <v/>
      </c>
      <c r="G744">
        <f>Calc!G11</f>
        <v/>
      </c>
      <c r="H744">
        <f>Calc!H11</f>
        <v/>
      </c>
      <c r="I744">
        <f>IF(Skills!T11&lt;&gt;"",1+(Skills!T11/10)*(Z736/1000)/100,1)</f>
        <v/>
      </c>
      <c r="J744">
        <f>((Inputs!$B$6*(1+Inputs!$B$7/100))+(((Inputs!$B$12*(1+Inputs!$B$13/100))-(Inputs!$B$12*(1+Inputs!$B$13/100)))+0.25*(Inputs!$B$14-Inputs!$B$14))*(1+Inputs!$B$7/100))*(F744/100)</f>
        <v/>
      </c>
      <c r="K744">
        <f>J744*(1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751-Calc!F18),(Inputs!$B$23+(IF(ArtifactsInput!$M$15,CHOOSE(ArtifactsInput!$N$15+1,25,30,35,40,45,50)/100*(Inputs!$B$11-Inputs!$B$11),0))))/100+(Inputs!$B$23+(IF(ArtifactsInput!$M$15,CHOOSE(ArtifactsInput!$N$15+1,25,30,35,40,45,50)/100*(Inputs!$B$11-Inputs!$B$11),0)))/100)/2</f>
        <v/>
      </c>
      <c r="M744">
        <f>L744*(1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IF(B769=0,0,O744/B769)</f>
        <v/>
      </c>
      <c r="Q744">
        <f>IFERROR(1/IF(Inputs!$B$38="pvp",15,MAX(0.1,Skills!D11-IF(Skills!E11=TRUE,Inputs!$B$32,0))),0)</f>
        <v/>
      </c>
      <c r="R744">
        <f>IF(AND(Inputs!$B$38&lt;&gt;"pvp",Inputs!$B$43&gt;0),IF(MAX(0,Inputs!$B$43-B766)&lt;=0,0,(INT(MAX(0,Inputs!$B$43-B766)/IF(Inputs!$B$38="pvp",15,MAX(0.1,Skills!D11-IF(Skills!E11=TRUE,Inputs!$B$32,0))))+1)),0)</f>
        <v/>
      </c>
      <c r="S744">
        <f>IF(C744,H744*N744*IF(AND(Inputs!$B$38&lt;&gt;"pvp",Inputs!$B$43&gt;0),((Skills!F11*((R744-1)*IF(Skills!G11&gt;0,Skills!H11/Skills!G11,1)+IF(Skills!G11&gt;0,MIN(Skills!H11,MAX(0,MAX(0,Inputs!$B$43-B766)-((R744-1)*IF(Inputs!$B$38="pvp",15,MAX(0.1,Skills!D11-IF(Skills!E11=TRUE,Inputs!$B$32,0))))))/Skills!G11,1)))/Inputs!$B$43),G744*Q744)*0.5*IF(Inputs!$B$38="pvp",1,1+(Inputs!$B$20+Skills!O11+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N744*IF(AND(Inputs!$B$38&lt;&gt;"pvp",Inputs!$B$43&gt;0),((Skills!F11*((R744-1)*IF(Skills!G11&gt;0,Skills!H11/Skills!G11,1)+IF(Skills!G11&gt;0,MIN(Skills!H11,MAX(0,MAX(0,Inputs!$B$43-B766)-((R744-1)*IF(Inputs!$B$38="pvp",15,MAX(0.1,Skills!D11-IF(Skills!E11=TRUE,Inputs!$B$32,0))))))/Skills!G11,1)))/Inputs!$B$43),G744*Q744)*1*IF(Inputs!$B$38="pvp",1,(1+(Inputs!$B$21+Skills!P11+B760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Skills!A12</f>
        <v/>
      </c>
      <c r="B745">
        <f>Skills!B12</f>
        <v/>
      </c>
      <c r="C745">
        <f>Inputs!$B$3&gt;=115</f>
        <v/>
      </c>
      <c r="D745">
        <f>IF(Skills!C12=1,60+Inputs!$B$25+Inputs!$B$29,IF(Skills!C12=2,90+Inputs!$B$26+Inputs!$B$29,IF(Skills!C12=3,120+(Inputs!$B$27+1)+Inputs!$B$29,MAX(0,(Inputs!$B$3-100)*3)+Inputs!$B$28+Inputs!$B$29)))</f>
        <v/>
      </c>
      <c r="E745">
        <f>INDEX(FactorTable!$B$2:$Y$301, MATCH(ROUND(MIN(300,MAX(1,D745)),0), FactorTable!$A$2:$A$301,0), Skills!L12+1)</f>
        <v/>
      </c>
      <c r="F745">
        <f>IF(Skills!M12=TRUE,(Skills!K12/10)*(E745/1000),Skills!K12/10)+Skills!N12</f>
        <v/>
      </c>
      <c r="G745">
        <f>Calc!G12</f>
        <v/>
      </c>
      <c r="H745">
        <f>Calc!H12</f>
        <v/>
      </c>
      <c r="I745">
        <f>IF(Skills!T12&lt;&gt;"",1+(Skills!T12/10)*(Z736/1000)/100,1)</f>
        <v/>
      </c>
      <c r="J745">
        <f>((Inputs!$B$6*(1+Inputs!$B$7/100))+(((Inputs!$B$12*(1+Inputs!$B$13/100))-(Inputs!$B$12*(1+Inputs!$B$13/100)))+0.25*(Inputs!$B$14-Inputs!$B$14))*(1+Inputs!$B$7/100))*(F745/100)</f>
        <v/>
      </c>
      <c r="K745">
        <f>J745*(1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751-Calc!F18),(Inputs!$B$23+(IF(ArtifactsInput!$M$15,CHOOSE(ArtifactsInput!$N$15+1,25,30,35,40,45,50)/100*(Inputs!$B$11-Inputs!$B$11),0))))/100+(Inputs!$B$23+(IF(ArtifactsInput!$M$15,CHOOSE(ArtifactsInput!$N$15+1,25,30,35,40,45,50)/100*(Inputs!$B$11-Inputs!$B$11),0)))/100)/2</f>
        <v/>
      </c>
      <c r="M745">
        <f>L745*(1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IF(B769=0,0,O745/B769)</f>
        <v/>
      </c>
      <c r="Q745">
        <f>IFERROR(1/IF(Inputs!$B$38="pvp",15,MAX(0.1,Skills!D12-IF(Skills!E12=TRUE,Inputs!$B$32,0))),0)</f>
        <v/>
      </c>
      <c r="R745">
        <f>IF(AND(Inputs!$B$38&lt;&gt;"pvp",Inputs!$B$43&gt;0),IF(MAX(0,Inputs!$B$43-B766)&lt;=0,0,(INT(MAX(0,Inputs!$B$43-B766)/IF(Inputs!$B$38="pvp",15,MAX(0.1,Skills!D12-IF(Skills!E12=TRUE,Inputs!$B$32,0))))+1)),0)</f>
        <v/>
      </c>
      <c r="S745">
        <f>IF(C745,(H745*N745*IF(AND(Inputs!$B$38&lt;&gt;"pvp",Inputs!$B$43&gt;0),((Skills!F12*((R745-1)*IF(Skills!G12&gt;0,Skills!H12/Skills!G12,1)+IF(Skills!G12&gt;0,MIN(Skills!H12,MAX(0,MAX(0,Inputs!$B$43-B766)-((R745-1)*IF(Inputs!$B$38="pvp",15,MAX(0.1,Skills!D12-IF(Skills!E12=TRUE,Inputs!$B$32,0))))))/Skills!G12,1)))/Inputs!$B$43),G745*Q745))*IF(Inputs!$B$38="pvp",1,1+(Inputs!$B$20+Skills!O12+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F12*((R745-1)*IF(Skills!G12&gt;0,Skills!H12/Skills!G12,1)+IF(Skills!G12&gt;0,MIN(Skills!H12,MAX(0,MAX(0,Inputs!$B$43-B766)-((R745-1)*IF(Inputs!$B$38="pvp",15,MAX(0.1,Skills!D12-IF(Skills!E12=TRUE,Inputs!$B$32,0))))))/Skills!G12,1)))/Inputs!$B$43),G745*Q745))*IF(Inputs!$B$38="pvp",1,(1+(Inputs!$B$21+Skills!P12+B760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Skills!A13</f>
        <v/>
      </c>
      <c r="B746">
        <f>Skills!B13</f>
        <v/>
      </c>
      <c r="C746">
        <f>Inputs!$B$3&gt;=49</f>
        <v/>
      </c>
      <c r="D746">
        <f>IF(Skills!C13=1,60+Inputs!$B$25+Inputs!$B$29,IF(Skills!C13=2,90+Inputs!$B$26+Inputs!$B$29,IF(Skills!C13=3,120+(Inputs!$B$27+1)+Inputs!$B$29,MAX(0,(Inputs!$B$3-100)*3)+Inputs!$B$28+Inputs!$B$29)))</f>
        <v/>
      </c>
      <c r="E746">
        <f>INDEX(FactorTable!$B$2:$Y$301, MATCH(ROUND(MIN(300,MAX(1,D746)),0), FactorTable!$A$2:$A$301,0), Skills!L13+1)</f>
        <v/>
      </c>
      <c r="F746">
        <f>IF(Skills!M13=TRUE,(Skills!K13/10)*(E746/1000),Skills!K13/10)+Skills!N13</f>
        <v/>
      </c>
      <c r="G746">
        <f>Calc!G13</f>
        <v/>
      </c>
      <c r="H746">
        <f>Calc!H13</f>
        <v/>
      </c>
      <c r="I746">
        <f>IF(Skills!T13&lt;&gt;"",1+(Skills!T13/10)*(Z736/1000)/100,1)</f>
        <v/>
      </c>
      <c r="J746" t="inlineStr"/>
      <c r="K746" t="inlineStr"/>
      <c r="L746" t="inlineStr"/>
      <c r="M746" t="inlineStr"/>
      <c r="N746" t="inlineStr"/>
      <c r="O746">
        <f>(1-Summary!$B$11)*S746+Summary!$B$11*U746</f>
        <v/>
      </c>
      <c r="P746">
        <f>IF(B769=0,0,O746/B769)</f>
        <v/>
      </c>
      <c r="Q746">
        <f>IFERROR(1/IF(Inputs!$B$38="pvp",15,MAX(0.1,Skills!D13-IF(Skills!E13=TRUE,Inputs!$B$32,0))),0)</f>
        <v/>
      </c>
      <c r="R746" t="n">
        <v>0</v>
      </c>
      <c r="S746" t="n">
        <v>0</v>
      </c>
      <c r="U746" t="n">
        <v>0</v>
      </c>
    </row>
    <row r="747">
      <c r="A747">
        <f>Skills!A14</f>
        <v/>
      </c>
      <c r="B747">
        <f>Skills!B14</f>
        <v/>
      </c>
      <c r="C747">
        <f>Inputs!$B$3&gt;=72</f>
        <v/>
      </c>
      <c r="D747">
        <f>IF(Skills!C14=1,60+Inputs!$B$25+Inputs!$B$29,IF(Skills!C14=2,90+Inputs!$B$26+Inputs!$B$29,IF(Skills!C14=3,120+(Inputs!$B$27+1)+Inputs!$B$29,MAX(0,(Inputs!$B$3-100)*3)+Inputs!$B$28+Inputs!$B$29)))</f>
        <v/>
      </c>
      <c r="E747">
        <f>INDEX(FactorTable!$B$2:$Y$301, MATCH(ROUND(MIN(300,MAX(1,D747)),0), FactorTable!$A$2:$A$301,0), Skills!L14+1)</f>
        <v/>
      </c>
      <c r="F747">
        <f>IF(Skills!M14=TRUE,(Skills!K14/10)*(E747/1000),Skills!K14/10)+Skills!N14</f>
        <v/>
      </c>
      <c r="G747">
        <f>Calc!G14</f>
        <v/>
      </c>
      <c r="H747">
        <f>Calc!H14</f>
        <v/>
      </c>
      <c r="I747">
        <f>IF(Skills!T14&lt;&gt;"",1+(Skills!T14/10)*(Z736/1000)/100,1)</f>
        <v/>
      </c>
      <c r="J747" t="inlineStr"/>
      <c r="K747" t="inlineStr"/>
      <c r="L747" t="inlineStr"/>
      <c r="M747" t="inlineStr"/>
      <c r="N747" t="inlineStr"/>
      <c r="O747">
        <f>(1-Summary!$B$11)*S747+Summary!$B$11*U747</f>
        <v/>
      </c>
      <c r="P747">
        <f>IF(B769=0,0,O747/B769)</f>
        <v/>
      </c>
      <c r="Q747">
        <f>IFERROR(1/IF(Inputs!$B$38="pvp",15,MAX(0.1,Skills!D14-IF(Skills!E14=TRUE,Inputs!$B$32,0))),0)</f>
        <v/>
      </c>
      <c r="R747" t="n">
        <v>0</v>
      </c>
      <c r="S747" t="n">
        <v>0</v>
      </c>
      <c r="U747" t="n">
        <v>0</v>
      </c>
    </row>
    <row r="748">
      <c r="A748">
        <f>Skills!A15</f>
        <v/>
      </c>
      <c r="B748">
        <f>Skills!B15</f>
        <v/>
      </c>
      <c r="C748">
        <f>Inputs!$B$3&gt;=75</f>
        <v/>
      </c>
      <c r="D748">
        <f>IF(Skills!C15=1,60+Inputs!$B$25+Inputs!$B$29,IF(Skills!C15=2,90+Inputs!$B$26+Inputs!$B$29,IF(Skills!C15=3,120+(Inputs!$B$27+1)+Inputs!$B$29,MAX(0,(Inputs!$B$3-100)*3)+Inputs!$B$28+Inputs!$B$29)))</f>
        <v/>
      </c>
      <c r="E748">
        <f>INDEX(FactorTable!$B$2:$Y$301, MATCH(ROUND(MIN(300,MAX(1,D748)),0), FactorTable!$A$2:$A$301,0), Skills!L15+1)</f>
        <v/>
      </c>
      <c r="F748">
        <f>IF(Skills!M15=TRUE,(Skills!K15/10)*(E748/1000),Skills!K15/10)+Skills!N15</f>
        <v/>
      </c>
      <c r="G748">
        <f>Calc!G15</f>
        <v/>
      </c>
      <c r="H748">
        <f>Calc!H15</f>
        <v/>
      </c>
      <c r="I748">
        <f>IF(Skills!T15&lt;&gt;"",1+(Skills!T15/10)*(Z736/1000)/100,1)</f>
        <v/>
      </c>
      <c r="J748" t="inlineStr"/>
      <c r="K748" t="inlineStr"/>
      <c r="L748" t="inlineStr"/>
      <c r="M748" t="inlineStr"/>
      <c r="N748" t="inlineStr"/>
      <c r="O748">
        <f>(1-Summary!$B$11)*S748+Summary!$B$11*U748</f>
        <v/>
      </c>
      <c r="P748">
        <f>IF(B769=0,0,O748/B769)</f>
        <v/>
      </c>
      <c r="Q748">
        <f>IFERROR(1/IF(Inputs!$B$38="pvp",15,MAX(0.1,Skills!D15-IF(Skills!E15=TRUE,Inputs!$B$32,0))),0)</f>
        <v/>
      </c>
      <c r="R748" t="n">
        <v>0</v>
      </c>
      <c r="S748" t="n">
        <v>0</v>
      </c>
      <c r="U748" t="n">
        <v>0</v>
      </c>
    </row>
    <row r="749">
      <c r="A749">
        <f>Skills!A16</f>
        <v/>
      </c>
      <c r="B749">
        <f>Skills!B16</f>
        <v/>
      </c>
      <c r="C749">
        <f>Inputs!$B$3&gt;=110</f>
        <v/>
      </c>
      <c r="D749">
        <f>IF(Skills!C16=1,60+Inputs!$B$25+Inputs!$B$29,IF(Skills!C16=2,90+Inputs!$B$26+Inputs!$B$29,IF(Skills!C16=3,120+(Inputs!$B$27+1)+Inputs!$B$29,MAX(0,(Inputs!$B$3-100)*3)+Inputs!$B$28+Inputs!$B$29)))</f>
        <v/>
      </c>
      <c r="E749">
        <f>INDEX(FactorTable!$B$2:$Y$301, MATCH(ROUND(MIN(300,MAX(1,D749)),0), FactorTable!$A$2:$A$301,0), Skills!L16+1)</f>
        <v/>
      </c>
      <c r="F749">
        <f>(Skills!K16/10)*(E749/1000)*64/45+Skills!N16</f>
        <v/>
      </c>
      <c r="G749">
        <f>Calc!G16</f>
        <v/>
      </c>
      <c r="H749">
        <f>Calc!H16</f>
        <v/>
      </c>
      <c r="I749">
        <f>IF(Skills!T16&lt;&gt;"",1+(Skills!T16/10)*(Z736/1000)/100,1)</f>
        <v/>
      </c>
      <c r="J749" t="inlineStr"/>
      <c r="K749" t="inlineStr"/>
      <c r="L749" t="inlineStr"/>
      <c r="M749" t="inlineStr"/>
      <c r="N749" t="inlineStr"/>
      <c r="O749">
        <f>(1-Summary!$B$11)*S749+Summary!$B$11*U749</f>
        <v/>
      </c>
      <c r="P749">
        <f>IF(B769=0,0,O749/B769)</f>
        <v/>
      </c>
      <c r="Q749">
        <f>IFERROR(1/IF(Inputs!$B$38="pvp",15,MAX(0.1,Skills!D16-IF(Skills!E16=TRUE,Inputs!$B$32,0))),0)</f>
        <v/>
      </c>
      <c r="R749">
        <f>IF(AND(Inputs!$B$38&lt;&gt;"pvp",Inputs!$B$43&gt;0),IF(Inputs!$B$43&lt;=0,0,(INT(Inputs!$B$43/IF(Inputs!$B$38="pvp",15,MAX(0.1,Skills!D16-IF(Skills!E16=TRUE,Inputs!$B$32,0))))+1)),0)</f>
        <v/>
      </c>
      <c r="S749" t="n">
        <v>0</v>
      </c>
      <c r="U749" t="n">
        <v>0</v>
      </c>
    </row>
    <row r="750">
      <c r="A750">
        <f>Skills!A17</f>
        <v/>
      </c>
      <c r="B750">
        <f>Skills!B17</f>
        <v/>
      </c>
      <c r="C750">
        <f>Inputs!$B$3&gt;=33</f>
        <v/>
      </c>
      <c r="D750">
        <f>IF(Skills!C17=1,60+Inputs!$B$25+Inputs!$B$29,IF(Skills!C17=2,90+Inputs!$B$26+Inputs!$B$29,IF(Skills!C17=3,120+(Inputs!$B$27+1)+Inputs!$B$29,MAX(0,(Inputs!$B$3-100)*3)+Inputs!$B$28+Inputs!$B$29)))</f>
        <v/>
      </c>
      <c r="E750">
        <f>INDEX(FactorTable!$B$2:$Y$301, MATCH(ROUND(MIN(300,MAX(1,D750)),0), FactorTable!$A$2:$A$301,0), Skills!L17+1)</f>
        <v/>
      </c>
      <c r="F750">
        <f>IF(Skills!M17=TRUE,(Skills!K17/10)*(E750/1000),Skills!K17/10)+Skills!N17</f>
        <v/>
      </c>
      <c r="G750">
        <f>Calc!G17</f>
        <v/>
      </c>
      <c r="H750">
        <f>Calc!H17</f>
        <v/>
      </c>
      <c r="I750">
        <f>IF(Skills!T17&lt;&gt;"",1+(Skills!T17/10)*(Z736/1000)/100,1)</f>
        <v/>
      </c>
      <c r="J750" t="inlineStr"/>
      <c r="K750" t="inlineStr"/>
      <c r="L750" t="inlineStr"/>
      <c r="M750" t="inlineStr"/>
      <c r="N750" t="inlineStr"/>
      <c r="O750">
        <f>(1-Summary!$B$11)*S750+Summary!$B$11*U750</f>
        <v/>
      </c>
      <c r="P750">
        <f>IF(B769=0,0,O750/B769)</f>
        <v/>
      </c>
      <c r="Q750">
        <f>IFERROR(1/IF(Inputs!$B$38="pvp",15,MAX(0.1,Skills!D17-IF(Skills!E17=TRUE,Inputs!$B$32,0))),0)</f>
        <v/>
      </c>
      <c r="R750" t="n">
        <v>0</v>
      </c>
      <c r="S750" t="n">
        <v>0</v>
      </c>
      <c r="U750" t="n">
        <v>0</v>
      </c>
    </row>
    <row r="751">
      <c r="A751">
        <f>Skills!A18</f>
        <v/>
      </c>
      <c r="B751">
        <f>Skills!B18</f>
        <v/>
      </c>
      <c r="C751">
        <f>Inputs!$B$3&gt;=43</f>
        <v/>
      </c>
      <c r="D751">
        <f>IF(Skills!C18=1,60+Inputs!$B$25+Inputs!$B$29,IF(Skills!C18=2,90+Inputs!$B$26+Inputs!$B$29,IF(Skills!C18=3,120+(Inputs!$B$27+1)+Inputs!$B$29,MAX(0,(Inputs!$B$3-100)*3)+Inputs!$B$28+Inputs!$B$29)))</f>
        <v/>
      </c>
      <c r="E751">
        <f>INDEX(FactorTable!$B$2:$Y$301, MATCH(ROUND(MIN(300,MAX(1,D751)),0), FactorTable!$A$2:$A$301,0), Skills!L18+1)</f>
        <v/>
      </c>
      <c r="F751">
        <f>IF(Skills!M18=TRUE,(Skills!K18/10)*(E751/1000),Skills!K18/10)+Skills!N18</f>
        <v/>
      </c>
      <c r="G751">
        <f>Calc!G18</f>
        <v/>
      </c>
      <c r="H751">
        <f>Calc!H18</f>
        <v/>
      </c>
      <c r="I751">
        <f>IF(Skills!T18&lt;&gt;"",1+(Skills!T18/10)*(Z736/1000)/100,1)</f>
        <v/>
      </c>
      <c r="J751" t="inlineStr"/>
      <c r="K751" t="inlineStr"/>
      <c r="L751" t="inlineStr"/>
      <c r="M751" t="inlineStr"/>
      <c r="N751" t="inlineStr"/>
      <c r="O751">
        <f>(1-Summary!$B$11)*S751+Summary!$B$11*U751</f>
        <v/>
      </c>
      <c r="P751">
        <f>IF(B769=0,0,O751/B769)</f>
        <v/>
      </c>
      <c r="Q751">
        <f>IFERROR(1/IF(Inputs!$B$38="pvp",15,MAX(0.1,Skills!D18-IF(Skills!E18=TRUE,Inputs!$B$32,0))),0)</f>
        <v/>
      </c>
      <c r="R751" t="n">
        <v>0</v>
      </c>
      <c r="S751" t="n">
        <v>0</v>
      </c>
      <c r="U751" t="n">
        <v>0</v>
      </c>
    </row>
    <row r="752">
      <c r="A752">
        <f>Skills!A19</f>
        <v/>
      </c>
      <c r="B752">
        <f>Skills!B19</f>
        <v/>
      </c>
      <c r="C752">
        <f>Inputs!$B$3&gt;=50</f>
        <v/>
      </c>
      <c r="D752">
        <f>IF(Skills!C19=1,60+Inputs!$B$25+Inputs!$B$29,IF(Skills!C19=2,90+Inputs!$B$26+Inputs!$B$29,IF(Skills!C19=3,120+(Inputs!$B$27+1)+Inputs!$B$29,MAX(0,(Inputs!$B$3-100)*3)+Inputs!$B$28+Inputs!$B$29)))</f>
        <v/>
      </c>
      <c r="E752">
        <f>INDEX(FactorTable!$B$2:$Y$301, MATCH(ROUND(MIN(300,MAX(1,D752)),0), FactorTable!$A$2:$A$301,0), Skills!L19+1)</f>
        <v/>
      </c>
      <c r="F752">
        <f>IF(Skills!M19=TRUE,(Skills!K19/10)*(E752/1000),Skills!K19/10)+Skills!N19</f>
        <v/>
      </c>
      <c r="G752">
        <f>Calc!G19</f>
        <v/>
      </c>
      <c r="H752">
        <f>Calc!H19</f>
        <v/>
      </c>
      <c r="I752">
        <f>IF(Skills!T19&lt;&gt;"",1+(Skills!T19/10)*(Z736/1000)/100,1)</f>
        <v/>
      </c>
      <c r="J752" t="inlineStr"/>
      <c r="K752" t="inlineStr"/>
      <c r="L752" t="inlineStr"/>
      <c r="M752" t="inlineStr"/>
      <c r="N752" t="inlineStr"/>
      <c r="O752">
        <f>(1-Summary!$B$11)*S752+Summary!$B$11*U752</f>
        <v/>
      </c>
      <c r="P752">
        <f>IF(B769=0,0,O752/B769)</f>
        <v/>
      </c>
      <c r="Q752">
        <f>IFERROR(1/IF(Inputs!$B$38="pvp",15,MAX(0.1,Skills!D19-IF(Skills!E19=TRUE,Inputs!$B$32,0))),0)</f>
        <v/>
      </c>
      <c r="R752" t="n">
        <v>0</v>
      </c>
      <c r="S752" t="n">
        <v>0</v>
      </c>
      <c r="U752" t="n">
        <v>0</v>
      </c>
    </row>
    <row r="753">
      <c r="A753">
        <f>Skills!A20</f>
        <v/>
      </c>
      <c r="B753">
        <f>Skills!B20</f>
        <v/>
      </c>
      <c r="C753">
        <f>Inputs!$B$3&gt;=74</f>
        <v/>
      </c>
      <c r="D753">
        <f>IF(Skills!C20=1,60+Inputs!$B$25+Inputs!$B$29,IF(Skills!C20=2,90+Inputs!$B$26+Inputs!$B$29,IF(Skills!C20=3,120+(Inputs!$B$27+1)+Inputs!$B$29,MAX(0,(Inputs!$B$3-100)*3)+Inputs!$B$28+Inputs!$B$29)))</f>
        <v/>
      </c>
      <c r="E753">
        <f>INDEX(FactorTable!$B$2:$Y$301, MATCH(ROUND(MIN(300,MAX(1,D753)),0), FactorTable!$A$2:$A$301,0), Skills!L20+1)</f>
        <v/>
      </c>
      <c r="F753">
        <f>IF(Skills!M20=TRUE,(Skills!K20/10)*(E753/1000),Skills!K20/10)+Skills!N20</f>
        <v/>
      </c>
      <c r="G753">
        <f>Calc!G20</f>
        <v/>
      </c>
      <c r="H753">
        <f>Calc!H20</f>
        <v/>
      </c>
      <c r="I753">
        <f>IF(Skills!T20&lt;&gt;"",1+(Skills!T20/10)*(Z736/1000)/100,1)</f>
        <v/>
      </c>
      <c r="J753" t="inlineStr"/>
      <c r="K753" t="inlineStr"/>
      <c r="L753" t="inlineStr"/>
      <c r="M753" t="inlineStr"/>
      <c r="N753" t="inlineStr"/>
      <c r="O753">
        <f>(1-Summary!$B$11)*S753+Summary!$B$11*U753</f>
        <v/>
      </c>
      <c r="P753">
        <f>IF(B769=0,0,O753/B769)</f>
        <v/>
      </c>
      <c r="Q753">
        <f>IFERROR(1/IF(Inputs!$B$38="pvp",15,MAX(0.1,Skills!D20-IF(Skills!E20=TRUE,Inputs!$B$32,0))),0)</f>
        <v/>
      </c>
      <c r="R753" t="n">
        <v>0</v>
      </c>
      <c r="S753" t="n">
        <v>0</v>
      </c>
      <c r="U753" t="n">
        <v>0</v>
      </c>
    </row>
    <row r="754">
      <c r="A754">
        <f>Skills!A21</f>
        <v/>
      </c>
      <c r="B754">
        <f>Skills!B21</f>
        <v/>
      </c>
      <c r="C754">
        <f>Inputs!$B$3&gt;=74</f>
        <v/>
      </c>
      <c r="D754">
        <f>IF(Skills!C21=1,60+Inputs!$B$25+Inputs!$B$29,IF(Skills!C21=2,90+Inputs!$B$26+Inputs!$B$29,IF(Skills!C21=3,120+(Inputs!$B$27+1)+Inputs!$B$29,MAX(0,(Inputs!$B$3-100)*3)+Inputs!$B$28+Inputs!$B$29)))</f>
        <v/>
      </c>
      <c r="E754">
        <f>INDEX(FactorTable!$B$2:$Y$301, MATCH(ROUND(MIN(300,MAX(1,D754)),0), FactorTable!$A$2:$A$301,0), Skills!L21+1)</f>
        <v/>
      </c>
      <c r="F754">
        <f>IF(Skills!M21=TRUE,(Skills!K21/10)*(E754/1000),Skills!K21/10)+Skills!N21</f>
        <v/>
      </c>
      <c r="G754">
        <f>Calc!G21</f>
        <v/>
      </c>
      <c r="H754">
        <f>Calc!H21</f>
        <v/>
      </c>
      <c r="I754">
        <f>IF(Skills!T21&lt;&gt;"",1+(Skills!T21/10)*(Z736/1000)/100,1)</f>
        <v/>
      </c>
      <c r="J754" t="inlineStr"/>
      <c r="K754" t="inlineStr"/>
      <c r="L754" t="inlineStr"/>
      <c r="M754" t="inlineStr"/>
      <c r="N754" t="inlineStr"/>
      <c r="O754">
        <f>(1-Summary!$B$11)*S754+Summary!$B$11*U754</f>
        <v/>
      </c>
      <c r="P754">
        <f>IF(B769=0,0,O754/B769)</f>
        <v/>
      </c>
      <c r="Q754">
        <f>IFERROR(1/IF(Inputs!$B$38="pvp",15,MAX(0.1,Skills!D21-IF(Skills!E21=TRUE,Inputs!$B$32,0))),0)</f>
        <v/>
      </c>
      <c r="R754" t="n">
        <v>0</v>
      </c>
      <c r="S754" t="n">
        <v>0</v>
      </c>
      <c r="U754" t="n">
        <v>0</v>
      </c>
    </row>
    <row r="755">
      <c r="A755">
        <f>Skills!A22</f>
        <v/>
      </c>
      <c r="B755">
        <f>Skills!B22</f>
        <v/>
      </c>
      <c r="C755">
        <f>Inputs!$B$3&gt;=117</f>
        <v/>
      </c>
      <c r="D755">
        <f>IF(Skills!C22=1,60+Inputs!$B$25+Inputs!$B$29,IF(Skills!C22=2,90+Inputs!$B$26+Inputs!$B$29,IF(Skills!C22=3,120+(Inputs!$B$27+1)+Inputs!$B$29,MAX(0,(Inputs!$B$3-100)*3)+Inputs!$B$28+Inputs!$B$29)))</f>
        <v/>
      </c>
      <c r="E755">
        <f>INDEX(FactorTable!$B$2:$Y$301, MATCH(ROUND(MIN(300,MAX(1,D755)),0), FactorTable!$A$2:$A$301,0), Skills!L22+1)</f>
        <v/>
      </c>
      <c r="F755">
        <f>IF(Skills!M22=TRUE,(Skills!K22/10)*(E755/1000),Skills!K22/10)+Skills!N22</f>
        <v/>
      </c>
      <c r="G755">
        <f>Calc!G22</f>
        <v/>
      </c>
      <c r="H755">
        <f>Calc!H22</f>
        <v/>
      </c>
      <c r="I755">
        <f>IF(Skills!T22&lt;&gt;"",1+(Skills!T22/10)*(Z736/1000)/100,1)</f>
        <v/>
      </c>
      <c r="J755" t="inlineStr"/>
      <c r="K755" t="inlineStr"/>
      <c r="L755" t="inlineStr"/>
      <c r="M755" t="inlineStr"/>
      <c r="N755" t="inlineStr"/>
      <c r="O755">
        <f>(1-Summary!$B$11)*S755+Summary!$B$11*U755</f>
        <v/>
      </c>
      <c r="P755">
        <f>IF(B769=0,0,O755/B769)</f>
        <v/>
      </c>
      <c r="Q755">
        <f>IFERROR(1/IF(Inputs!$B$38="pvp",15,MAX(0.1,Skills!D22-IF(Skills!E22=TRUE,Inputs!$B$32,0))),0)</f>
        <v/>
      </c>
      <c r="R755" t="n">
        <v>0</v>
      </c>
      <c r="S755" t="n">
        <v>0</v>
      </c>
      <c r="U755" t="n">
        <v>0</v>
      </c>
    </row>
    <row r="756">
      <c r="A756">
        <f>Skills!A23</f>
        <v/>
      </c>
      <c r="B756">
        <f>Skills!B23</f>
        <v/>
      </c>
      <c r="C756">
        <f>Inputs!$B$3&gt;=120</f>
        <v/>
      </c>
      <c r="D756">
        <f>IF(Skills!C23=1,60+Inputs!$B$25+Inputs!$B$29,IF(Skills!C23=2,90+Inputs!$B$26+Inputs!$B$29,IF(Skills!C23=3,120+(Inputs!$B$27+1)+Inputs!$B$29,MAX(0,(Inputs!$B$3-100)*3)+Inputs!$B$28+Inputs!$B$29)))</f>
        <v/>
      </c>
      <c r="E756">
        <f>INDEX(FactorTable!$B$2:$Y$301, MATCH(ROUND(MIN(300,MAX(1,D756)),0), FactorTable!$A$2:$A$301,0), Skills!L23+1)</f>
        <v/>
      </c>
      <c r="F756">
        <f>IF(Skills!M23=TRUE,(Skills!K23/10)*(E756/1000),Skills!K23/10)+Skills!N23</f>
        <v/>
      </c>
      <c r="G756">
        <f>Calc!G23</f>
        <v/>
      </c>
      <c r="H756">
        <f>Calc!H23</f>
        <v/>
      </c>
      <c r="I756">
        <f>IF(Skills!T23&lt;&gt;"",1+(Skills!T23/10)*(Z736/1000)/100,1)</f>
        <v/>
      </c>
      <c r="J756" t="inlineStr"/>
      <c r="K756" t="inlineStr"/>
      <c r="L756" t="inlineStr"/>
      <c r="M756" t="inlineStr"/>
      <c r="N756" t="inlineStr"/>
      <c r="O756">
        <f>(1-Summary!$B$11)*S756+Summary!$B$11*U756</f>
        <v/>
      </c>
      <c r="P756">
        <f>IF(B769=0,0,O756/B769)</f>
        <v/>
      </c>
      <c r="Q756">
        <f>IFERROR(1/IF(Inputs!$B$38="pvp",15,MAX(0.1,Skills!D23-IF(Skills!E23=TRUE,Inputs!$B$32,0))),0)</f>
        <v/>
      </c>
      <c r="R756" t="n">
        <v>0</v>
      </c>
      <c r="S756" t="n">
        <v>0</v>
      </c>
      <c r="U756" t="n">
        <v>0</v>
      </c>
    </row>
    <row r="759">
      <c r="A759" t="inlineStr">
        <is>
          <t>Average Buff Multiplier (Magic Guard + Meditation + Artifact Attack%, summed; then Infinity)</t>
        </is>
      </c>
      <c r="B759">
        <f>(1+(IF(C736=TRUE,F736*IF(AND(Inputs!$B$38&lt;&gt;"pvp",Inputs!$B$43&gt;0),(((R736-1)*(Skills!S3*(1+(Inputs!$B$34+IF(Inputs!$B$3&gt;=117,F755,0))/100))+MIN((Skills!S3*(1+(Inputs!$B$34+IF(Inputs!$B$3&gt;=117,F755,0))/100)),MAX(0,Inputs!$B$43-((R736-1)*Skills!D3))))/Inputs!$B$43),IF(Inputs!$B$38="pvp",MIN((Skills!S3*(1+(Inputs!$B$34+IF(Inputs!$B$3&gt;=117,F755,0))/100)),15)/15,(Skills!S3*(1+(Inputs!$B$34+IF(Inputs!$B$3&gt;=117,F755,0))/100))/Skills!D3)),0)+IF(C737=TRUE,F737*IF(AND(Inputs!$B$38&lt;&gt;"pvp",Inputs!$B$43&gt;0),(((R737-1)*(Skills!S4*(1+(Inputs!$B$34+IF(Inputs!$B$3&gt;=117,F755,0))/100))+MIN((Skills!S4*(1+(Inputs!$B$34+IF(Inputs!$B$3&gt;=117,F755,0))/100)),MAX(0,Inputs!$B$43-((R737-1)*Skills!D4))))/Inputs!$B$43),IF(Inputs!$B$38="pvp",MIN((Skills!S4*(1+(Inputs!$B$34+IF(Inputs!$B$3&gt;=117,F755,0))/100)),15)/15,(Skills!S4*(1+(Inputs!$B$34+IF(Inputs!$B$3&gt;=117,F755,0)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Skills!S16*(1+(Inputs!$B$34+IF(Inputs!$B$3&gt;=117,F755,0))/100))+MIN((Skills!S16*(1+(Inputs!$B$34+IF(Inputs!$B$3&gt;=117,F755,0))/100)),MAX(0,Inputs!$B$43-((R749-1)*Skills!D16))))/Inputs!$B$43),IF(Inputs!$B$38="pvp",MIN((Skills!S16*(1+(Inputs!$B$34+IF(Inputs!$B$3&gt;=117,F755,0))/100)),15)/15,(Skills!S16*(1+(Inputs!$B$34+IF(Inputs!$B$3&gt;=117,F755,0))/100))/Skills!D16))/100),1)</f>
        <v/>
      </c>
    </row>
    <row r="760">
      <c r="A760" t="inlineStr">
        <is>
          <t>Monster Damage Taken Bonus % (Freezing Breath - Weaken + Elemental Reset + Artifact Enemy Damage Taken, summed)</t>
        </is>
      </c>
      <c r="B760">
        <f>IF(Inputs!$B$3&gt;=118,15*IF(Inputs!$B$38="pvp",MIN((30*(1+(Inputs!$B$34+IF(Inputs!$B$3&gt;=117,F755,0))/100)),15)/15,(30*(1+(Inputs!$B$34+IF(Inputs!$B$3&gt;=117,F755,0))/100))/Skills!D8),0)+IF(C747=TRUE,F747,0)+(IF(AND(ArtifactsInput!$M$35,Inputs!$B$4&lt;&gt;"Chapter Hunt"),CHOOSE(ArtifactsInput!$N$35+1,15,18,21,24,27,30)*(1-EXP(-(0.2*B763)*5)),0)+IF(AND(ArtifactsInput!$M$22,Inputs!$B$4&lt;&gt;"Chapter Hunt"),CHOOSE(ArtifactsInput!$N$22+1,10,12,14,16,18,20)*((0*(((0.15*B763*5))^0/1)+1*(((0.15*B763*5))^1/1)+2*(((0.15*B763*5))^2/2)+3*(((0.15*B763*5))^3/6)+4*(((0.15*B763*5))^4/24)+5*(((0.15*B763*5))^5/120))/((((0.15*B763*5))^0/1)+(((0.15*B763*5))^1/1)+(((0.15*B763*5))^2/2)+(((0.15*B763*5))^3/6)+(((0.15*B763*5))^4/24)+(((0.15*B763*5))^5/120))),0))</f>
        <v/>
      </c>
    </row>
    <row r="761">
      <c r="A761" t="inlineStr">
        <is>
          <t>Damage % Bonus (Frozen Break + Frost Clutch, flat)</t>
        </is>
      </c>
      <c r="B761">
        <f>IF(Inputs!$B$3&gt;=66,15,0)+IF(Inputs!$B$3&gt;=98,10,0)+IF(Inputs!$B$3&gt;=125,20,0)</f>
        <v/>
      </c>
    </row>
    <row r="762">
      <c r="A762" t="inlineStr">
        <is>
          <t>Attack Speed Bonus % (MP Eater - MP Boost, always-on once unlocked)</t>
        </is>
      </c>
      <c r="B762">
        <f>IF(C746=TRUE,F746+(F750-Calc!F17),0)</f>
        <v/>
      </c>
    </row>
    <row r="763">
      <c r="A763" t="inlineStr">
        <is>
          <t>Actions Per Second</t>
        </is>
      </c>
      <c r="B763">
        <f>1+MIN(150,150*(1-(1-(Inputs!$B$11+(ArtifactsInput!$M$15-ArtifactsInput!$M$15)*CHOOSE(ArtifactsInput!$N$15+1,8,9.6,11.2,12.8,14.4,16))/150)*(1-B762/150)))/100</f>
        <v/>
      </c>
    </row>
    <row r="764">
      <c r="A764" t="inlineStr">
        <is>
          <t>Skill + Buff Cast Rate</t>
        </is>
      </c>
      <c r="B764">
        <f>IF(AND(Inputs!$B$38&lt;&gt;"pvp",Inputs!$B$43&gt;0),SUMPRODUCT((Skills!E2:E23=TRUE)*(C735:C756=TRUE)*R735:R756)/Inputs!$B$43,SUMPRODUCT((Skills!E2:E23=TRUE)*(C735:C756=TRUE)*Q735:Q756))</f>
        <v/>
      </c>
    </row>
    <row r="765">
      <c r="A765" t="inlineStr">
        <is>
          <t>Chain Lightning Casts Per Second</t>
        </is>
      </c>
      <c r="B765">
        <f>MAX(0,B763-B764)</f>
        <v/>
      </c>
    </row>
    <row r="766">
      <c r="A766" t="inlineStr">
        <is>
          <t>Buff-Casting Startup Delay (s, fixed-duration only)</t>
        </is>
      </c>
      <c r="B766">
        <f>IF(AND(Inputs!$B$38&lt;&gt;"pvp",Inputs!$B$43&gt;0),SUMPRODUCT((Skills!S2:S23&gt;0)*(Skills!E2:E23=TRUE)*(C735:C756=TRUE))/B763,0)</f>
        <v/>
      </c>
    </row>
    <row r="767">
      <c r="A767" t="inlineStr">
        <is>
          <t>Boss-Only Total DPS (this block's swept value)</t>
        </is>
      </c>
      <c r="B767">
        <f>SUM(S735:S756)</f>
        <v/>
      </c>
    </row>
    <row r="768">
      <c r="A768" t="inlineStr">
        <is>
          <t>Normal-Only Total DPS (this block's swept value)</t>
        </is>
      </c>
      <c r="B768">
        <f>SUM(U735:U756)</f>
        <v/>
      </c>
    </row>
    <row r="769">
      <c r="A769" s="6" t="inlineStr">
        <is>
          <t>TOTAL DPS</t>
        </is>
      </c>
      <c r="B769" s="6">
        <f>SUM(O735:O756)</f>
        <v/>
      </c>
    </row>
    <row r="772">
      <c r="A772" s="6" t="inlineStr">
        <is>
          <t>Stat: Skill Level Bonus — 4th Job</t>
        </is>
      </c>
    </row>
    <row r="773">
      <c r="A773" s="5" t="inlineStr">
        <is>
          <t>Key</t>
        </is>
      </c>
      <c r="B773" s="5" t="inlineStr">
        <is>
          <t>Name</t>
        </is>
      </c>
      <c r="C773" s="5" t="inlineStr">
        <is>
          <t>Unlocked</t>
        </is>
      </c>
      <c r="D773" s="5" t="inlineStr">
        <is>
          <t>InputLevel</t>
        </is>
      </c>
      <c r="E773" s="5" t="inlineStr">
        <is>
          <t>Factor</t>
        </is>
      </c>
      <c r="F773" s="5" t="inlineStr">
        <is>
          <t>CoefficientPercent</t>
        </is>
      </c>
      <c r="G773" s="5" t="inlineStr">
        <is>
          <t>EffectiveHits</t>
        </is>
      </c>
      <c r="H773" s="5" t="inlineStr">
        <is>
          <t>ProcProbability</t>
        </is>
      </c>
      <c r="I773" s="5" t="inlineStr">
        <is>
          <t>MapleHeroMultiplier</t>
        </is>
      </c>
      <c r="J773" s="5" t="inlineStr">
        <is>
          <t>BaseDamage</t>
        </is>
      </c>
      <c r="K773" s="5" t="inlineStr">
        <is>
          <t>BaseHitDamage</t>
        </is>
      </c>
      <c r="L773" s="5" t="inlineStr">
        <is>
          <t>NonCritAvg</t>
        </is>
      </c>
      <c r="M773" s="5" t="inlineStr">
        <is>
          <t>CritAvg</t>
        </is>
      </c>
      <c r="N773" s="5" t="inlineStr">
        <is>
          <t>ExpectedDamage(perHit)</t>
        </is>
      </c>
      <c r="O773" s="5" t="inlineStr">
        <is>
          <t>DPS</t>
        </is>
      </c>
      <c r="P773" s="5"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IF(Skills!T2&lt;&gt;"",1+(Skills!T2/10)*(Z775/1000)/100,1)</f>
        <v/>
      </c>
      <c r="J774">
        <f>((Inputs!$B$6*(1+Inputs!$B$7/100))+(((Inputs!$B$12*(1+Inputs!$B$13/100))-(Inputs!$B$12*(1+Inputs!$B$13/100)))+0.25*(Inputs!$B$14-Inputs!$B$14))*(1+Inputs!$B$7/100))*(F774/100)</f>
        <v/>
      </c>
      <c r="K774">
        <f>J774*(1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774)</f>
        <v/>
      </c>
      <c r="L774">
        <f>K774*(MIN(Inputs!$B$22+(F790-Calc!F18),(Inputs!$B$23+(IF(ArtifactsInput!$M$15,CHOOSE(ArtifactsInput!$N$15+1,25,30,35,40,45,50)/100*(Inputs!$B$11-Inputs!$B$11),0))))/100+(Inputs!$B$23+(IF(ArtifactsInput!$M$15,CHOOSE(ArtifactsInput!$N$15+1,25,30,35,40,45,50)/100*(Inputs!$B$11-Inputs!$B$11),0)))/100)/2</f>
        <v/>
      </c>
      <c r="M774">
        <f>L774*(1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4">
        <f>L774*(1-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774*(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4">
        <f>(1-Summary!$B$11)*S774+Summary!$B$11*U774</f>
        <v/>
      </c>
      <c r="P774">
        <f>IF(B808=0,0,O774/B808)</f>
        <v/>
      </c>
      <c r="Q774">
        <f>IFERROR(1/IF(Inputs!$B$38="pvp",15,MAX(0.1,Skills!D2-IF(Skills!E2=TRUE,Inputs!$B$32,0))),0)</f>
        <v/>
      </c>
      <c r="R774" t="n">
        <v>0</v>
      </c>
      <c r="S774">
        <f>IF(C774,(Skills!F2*N774*B804)*IF(Inputs!$B$38="pvp",1,1+(Inputs!$B$20+Skills!O2+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4">
        <f>MAX(0,(Inputs!$B$3-100)*3)+(Inputs!$B$28+1)+Inputs!$B$29</f>
        <v/>
      </c>
      <c r="U774">
        <f>IF(C774,(Skills!F2*N774*B804)*IF(Inputs!$B$38="pvp",1,(1+(Inputs!$B$21+Skills!P2+B799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4">
        <f>MAX(0,(Inputs!$B$3-100)*3)+(Inputs!$B$28+1)+Inputs!$B$29</f>
        <v/>
      </c>
    </row>
    <row r="775">
      <c r="A775">
        <f>Skills!A3</f>
        <v/>
      </c>
      <c r="B775">
        <f>Skills!B3</f>
        <v/>
      </c>
      <c r="C775">
        <f>Inputs!$B$3&gt;=15</f>
        <v/>
      </c>
      <c r="D775">
        <f>IF(Skills!C3=1,60+Inputs!$B$25+Inputs!$B$29,IF(Skills!C3=2,90+Inputs!$B$26+Inputs!$B$29,IF(Skills!C3=3,120+Inputs!$B$27+Inputs!$B$29,MAX(0,(Inputs!$B$3-100)*3)+(Inputs!$B$28+1)+Inputs!$B$29)))</f>
        <v/>
      </c>
      <c r="E775">
        <f>INDEX(FactorTable!$B$2:$Y$301, MATCH(ROUND(MIN(300,MAX(1,D775)),0), FactorTable!$A$2:$A$301,0), Skills!L3+1)</f>
        <v/>
      </c>
      <c r="F775">
        <f>IF(Skills!M3=TRUE,(Skills!K3/10)*(E775/1000),Skills!K3/10)+Skills!N3</f>
        <v/>
      </c>
      <c r="G775">
        <f>Calc!G3</f>
        <v/>
      </c>
      <c r="H775">
        <f>Calc!H3</f>
        <v/>
      </c>
      <c r="I775">
        <f>IF(Skills!T3&lt;&gt;"",1+(Skills!T3/10)*(Z775/1000)/100,1)</f>
        <v/>
      </c>
      <c r="J775" t="inlineStr"/>
      <c r="K775" t="inlineStr"/>
      <c r="L775" t="inlineStr"/>
      <c r="M775" t="inlineStr"/>
      <c r="N775" t="inlineStr"/>
      <c r="O775">
        <f>(1-Summary!$B$11)*S775+Summary!$B$11*U775</f>
        <v/>
      </c>
      <c r="P775">
        <f>IF(B808=0,0,O775/B808)</f>
        <v/>
      </c>
      <c r="Q775">
        <f>IFERROR(1/IF(Inputs!$B$38="pvp",15,MAX(0.1,Skills!D3-IF(Skills!E3=TRUE,Inputs!$B$32,0))),0)</f>
        <v/>
      </c>
      <c r="R775">
        <f>IF(AND(Inputs!$B$38&lt;&gt;"pvp",Inputs!$B$43&gt;0),IF(Inputs!$B$43&lt;=0,0,(INT(Inputs!$B$43/IF(Inputs!$B$38="pvp",15,MAX(0.1,Skills!D3-IF(Skills!E3=TRUE,Inputs!$B$32,0))))+1)),0)</f>
        <v/>
      </c>
      <c r="S775" t="n">
        <v>0</v>
      </c>
      <c r="T775">
        <f>INDEX(FactorTable!$B$2:$Y$301, MATCH(ROUND(MIN(300,MAX(1,T774)),0), FactorTable!$A$2:$A$301,0), 22)</f>
        <v/>
      </c>
      <c r="U775" t="n">
        <v>0</v>
      </c>
      <c r="Z775">
        <f>INDEX(FactorTable!$B$2:$Y$301, MATCH(ROUND(MIN(300,MAX(1,Z774)),0), FactorTable!$A$2:$A$301,0), 24)</f>
        <v/>
      </c>
    </row>
    <row r="776">
      <c r="A776">
        <f>Skills!A4</f>
        <v/>
      </c>
      <c r="B776">
        <f>Skills!B4</f>
        <v/>
      </c>
      <c r="C776">
        <f>Inputs!$B$3&gt;=40</f>
        <v/>
      </c>
      <c r="D776">
        <f>IF(Skills!C4=1,60+Inputs!$B$25+Inputs!$B$29,IF(Skills!C4=2,90+Inputs!$B$26+Inputs!$B$29,IF(Skills!C4=3,120+Inputs!$B$27+Inputs!$B$29,MAX(0,(Inputs!$B$3-100)*3)+(Inputs!$B$28+1)+Inputs!$B$29)))</f>
        <v/>
      </c>
      <c r="E776">
        <f>INDEX(FactorTable!$B$2:$Y$301, MATCH(ROUND(MIN(300,MAX(1,D776)),0), FactorTable!$A$2:$A$301,0), Skills!L4+1)</f>
        <v/>
      </c>
      <c r="F776">
        <f>IF(Skills!M4=TRUE,(Skills!K4/10)*(E776/1000),Skills!K4/10)+Skills!N4</f>
        <v/>
      </c>
      <c r="G776">
        <f>Calc!G4</f>
        <v/>
      </c>
      <c r="H776">
        <f>Calc!H4</f>
        <v/>
      </c>
      <c r="I776">
        <f>IF(Skills!T4&lt;&gt;"",1+(Skills!T4/10)*(Z775/1000)/100,1)</f>
        <v/>
      </c>
      <c r="J776" t="inlineStr"/>
      <c r="K776" t="inlineStr"/>
      <c r="L776" t="inlineStr"/>
      <c r="M776" t="inlineStr"/>
      <c r="N776" t="inlineStr"/>
      <c r="O776">
        <f>(1-Summary!$B$11)*S776+Summary!$B$11*U776</f>
        <v/>
      </c>
      <c r="P776">
        <f>IF(B808=0,0,O776/B808)</f>
        <v/>
      </c>
      <c r="Q776">
        <f>IFERROR(1/IF(Inputs!$B$38="pvp",15,MAX(0.1,Skills!D4-IF(Skills!E4=TRUE,Inputs!$B$32,0))),0)</f>
        <v/>
      </c>
      <c r="R776">
        <f>IF(AND(Inputs!$B$38&lt;&gt;"pvp",Inputs!$B$43&gt;0),IF(Inputs!$B$43&lt;=0,0,(INT(Inputs!$B$43/IF(Inputs!$B$38="pvp",15,MAX(0.1,Skills!D4-IF(Skills!E4=TRUE,Inputs!$B$32,0))))+1)),0)</f>
        <v/>
      </c>
      <c r="S776" t="n">
        <v>0</v>
      </c>
      <c r="T776">
        <f>290*T775/1000</f>
        <v/>
      </c>
      <c r="U776" t="n">
        <v>0</v>
      </c>
    </row>
    <row r="777">
      <c r="A777">
        <f>Skills!A5</f>
        <v/>
      </c>
      <c r="B777">
        <f>Skills!B5</f>
        <v/>
      </c>
      <c r="C777">
        <f>Inputs!$B$3&gt;=38</f>
        <v/>
      </c>
      <c r="D777">
        <f>IF(Skills!C5=1,60+Inputs!$B$25+Inputs!$B$29,IF(Skills!C5=2,90+Inputs!$B$26+Inputs!$B$29,IF(Skills!C5=3,120+Inputs!$B$27+Inputs!$B$29,MAX(0,(Inputs!$B$3-100)*3)+(Inputs!$B$28+1)+Inputs!$B$29)))</f>
        <v/>
      </c>
      <c r="E777">
        <f>INDEX(FactorTable!$B$2:$Y$301, MATCH(ROUND(MIN(300,MAX(1,D777)),0), FactorTable!$A$2:$A$301,0), Skills!L5+1)</f>
        <v/>
      </c>
      <c r="F777">
        <f>IF(Skills!M5=TRUE,(Skills!K5/10)*(E777/1000),Skills!K5/10)+Skills!N5</f>
        <v/>
      </c>
      <c r="G777">
        <f>Calc!G5</f>
        <v/>
      </c>
      <c r="H777">
        <f>Calc!H5</f>
        <v/>
      </c>
      <c r="I777">
        <f>IF(Skills!T5&lt;&gt;"",1+(Skills!T5/10)*(Z775/1000)/100,1)</f>
        <v/>
      </c>
      <c r="J777">
        <f>((Inputs!$B$6*(1+Inputs!$B$7/100))+(((Inputs!$B$12*(1+Inputs!$B$13/100))-(Inputs!$B$12*(1+Inputs!$B$13/100)))+0.25*(Inputs!$B$14-Inputs!$B$14))*(1+Inputs!$B$7/100))*(F777/100)</f>
        <v/>
      </c>
      <c r="K777">
        <f>J777*(1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790-Calc!F18),(Inputs!$B$23+(IF(ArtifactsInput!$M$15,CHOOSE(ArtifactsInput!$N$15+1,25,30,35,40,45,50)/100*(Inputs!$B$11-Inputs!$B$11),0))))/100+(Inputs!$B$23+(IF(ArtifactsInput!$M$15,CHOOSE(ArtifactsInput!$N$15+1,25,30,35,40,45,50)/100*(Inputs!$B$11-Inputs!$B$11),0)))/100)/2</f>
        <v/>
      </c>
      <c r="M777">
        <f>L777*(1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IF(B808=0,0,O777/B808)</f>
        <v/>
      </c>
      <c r="Q777">
        <f>IFERROR(1/IF(Inputs!$B$38="pvp",15,MAX(0.1,Skills!D5-IF(Skills!E5=TRUE,Inputs!$B$32,0))),0)</f>
        <v/>
      </c>
      <c r="R777">
        <f>IF(AND(Inputs!$B$38&lt;&gt;"pvp",Inputs!$B$43&gt;0),IF(MAX(0,Inputs!$B$43-B805)&lt;=0,0,(INT(MAX(0,Inputs!$B$43-B805)/IF(Inputs!$B$38="pvp",15,MAX(0.1,Skills!D5-IF(Skills!E5=TRUE,Inputs!$B$32,0))))+1)),0)</f>
        <v/>
      </c>
      <c r="S777">
        <f>IF(C777,(H777*N777*IF(AND(Inputs!$B$38&lt;&gt;"pvp",Inputs!$B$43&gt;0),((Skills!F5*((R777-1)*IF(Skills!G5&gt;0,Skills!H5/Skills!G5,1)+IF(Skills!G5&gt;0,MIN(Skills!H5,MAX(0,MAX(0,Inputs!$B$43-B805)-((R777-1)*IF(Inputs!$B$38="pvp",15,MAX(0.1,Skills!D5-IF(Skills!E5=TRUE,Inputs!$B$32,0))))))/Skills!G5,1)))/Inputs!$B$43),G777*Q777))*IF(Inputs!$B$38="pvp",1,1+(Inputs!$B$20+Skills!O5+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IF(C777,(H777*N777*IF(AND(Inputs!$B$38&lt;&gt;"pvp",Inputs!$B$43&gt;0),((Skills!F5*((R777-1)*IF(Skills!G5&gt;0,Skills!H5/Skills!G5,1)+IF(Skills!G5&gt;0,MIN(Skills!H5,MAX(0,MAX(0,Inputs!$B$43-B805)-((R777-1)*IF(Inputs!$B$38="pvp",15,MAX(0.1,Skills!D5-IF(Skills!E5=TRUE,Inputs!$B$32,0))))))/Skills!G5,1)))/Inputs!$B$43),G777*Q777))*IF(Inputs!$B$38="pvp",1,(1+(Inputs!$B$21+Skills!P5+B799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Skills!A6</f>
        <v/>
      </c>
      <c r="B778">
        <f>Skills!B6</f>
        <v/>
      </c>
      <c r="C778">
        <f>Inputs!$B$3&gt;=63</f>
        <v/>
      </c>
      <c r="D778">
        <f>IF(Skills!C6=1,60+Inputs!$B$25+Inputs!$B$29,IF(Skills!C6=2,90+Inputs!$B$26+Inputs!$B$29,IF(Skills!C6=3,120+Inputs!$B$27+Inputs!$B$29,MAX(0,(Inputs!$B$3-100)*3)+(Inputs!$B$28+1)+Inputs!$B$29)))</f>
        <v/>
      </c>
      <c r="E778">
        <f>INDEX(FactorTable!$B$2:$Y$301, MATCH(ROUND(MIN(300,MAX(1,D778)),0), FactorTable!$A$2:$A$301,0), Skills!L6+1)</f>
        <v/>
      </c>
      <c r="F778">
        <f>IF(Skills!M6=TRUE,(Skills!K6/10)*(E778/1000),Skills!K6/10)+Skills!N6</f>
        <v/>
      </c>
      <c r="G778">
        <f>Calc!G6</f>
        <v/>
      </c>
      <c r="H778">
        <f>Calc!H6</f>
        <v/>
      </c>
      <c r="I778">
        <f>IF(Skills!T6&lt;&gt;"",1+(Skills!T6/10)*(Z775/1000)/100,1)</f>
        <v/>
      </c>
      <c r="J778">
        <f>((Inputs!$B$6*(1+Inputs!$B$7/100))+(((Inputs!$B$12*(1+Inputs!$B$13/100))-(Inputs!$B$12*(1+Inputs!$B$13/100)))+0.25*(Inputs!$B$14-Inputs!$B$14))*(1+Inputs!$B$7/100))*(F778/100)</f>
        <v/>
      </c>
      <c r="K778">
        <f>J778*(1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790-Calc!F18),(Inputs!$B$23+(IF(ArtifactsInput!$M$15,CHOOSE(ArtifactsInput!$N$15+1,25,30,35,40,45,50)/100*(Inputs!$B$11-Inputs!$B$11),0))))/100+(Inputs!$B$23+(IF(ArtifactsInput!$M$15,CHOOSE(ArtifactsInput!$N$15+1,25,30,35,40,45,50)/100*(Inputs!$B$11-Inputs!$B$11),0)))/100)/2</f>
        <v/>
      </c>
      <c r="M778">
        <f>L778*(1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IF(B808=0,0,O778/B808)</f>
        <v/>
      </c>
      <c r="Q778">
        <f>IFERROR(1/IF(Inputs!$B$38="pvp",15,MAX(0.1,Skills!D6-IF(Skills!E6=TRUE,Inputs!$B$32,0))),0)</f>
        <v/>
      </c>
      <c r="R778">
        <f>IF(AND(Inputs!$B$38&lt;&gt;"pvp",Inputs!$B$43&gt;0),IF(MAX(0,Inputs!$B$43-B805)&lt;=0,0,(INT(MAX(0,Inputs!$B$43-B805)/IF(Inputs!$B$38="pvp",15,MAX(0.1,Skills!D6-IF(Skills!E6=TRUE,Inputs!$B$32,0))))+1)),0)</f>
        <v/>
      </c>
      <c r="S778">
        <f>IF(C778,(H778*N778*IF(AND(Inputs!$B$38&lt;&gt;"pvp",Inputs!$B$43&gt;0),((Skills!F6*((R778-1)*IF(Skills!G6&gt;0,Skills!H6/Skills!G6,1)+IF(Skills!G6&gt;0,MIN(Skills!H6,MAX(0,MAX(0,Inputs!$B$43-B805)-((R778-1)*IF(Inputs!$B$38="pvp",15,MAX(0.1,Skills!D6-IF(Skills!E6=TRUE,Inputs!$B$32,0))))))/Skills!G6,1)))/Inputs!$B$43),G778*Q778))*IF(Inputs!$B$38="pvp",1,1+(Inputs!$B$20+Skills!O6+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F(C778,(H778*N778*IF(AND(Inputs!$B$38&lt;&gt;"pvp",Inputs!$B$43&gt;0),((Skills!F6*((R778-1)*IF(Skills!G6&gt;0,Skills!H6/Skills!G6,1)+IF(Skills!G6&gt;0,MIN(Skills!H6,MAX(0,MAX(0,Inputs!$B$43-B805)-((R778-1)*IF(Inputs!$B$38="pvp",15,MAX(0.1,Skills!D6-IF(Skills!E6=TRUE,Inputs!$B$32,0))))))/Skills!G6,1)))/Inputs!$B$43),G778*Q778))*IF(Inputs!$B$38="pvp",1,(1+(Inputs!$B$21+Skills!P6+B799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Skills!A7</f>
        <v/>
      </c>
      <c r="B779">
        <f>Skills!B7</f>
        <v/>
      </c>
      <c r="C779">
        <f>Inputs!$B$3&gt;=69</f>
        <v/>
      </c>
      <c r="D779">
        <f>IF(Skills!C7=1,60+Inputs!$B$25+Inputs!$B$29,IF(Skills!C7=2,90+Inputs!$B$26+Inputs!$B$29,IF(Skills!C7=3,120+Inputs!$B$27+Inputs!$B$29,MAX(0,(Inputs!$B$3-100)*3)+(Inputs!$B$28+1)+Inputs!$B$29)))</f>
        <v/>
      </c>
      <c r="E779">
        <f>INDEX(FactorTable!$B$2:$Y$301, MATCH(ROUND(MIN(300,MAX(1,D779)),0), FactorTable!$A$2:$A$301,0), Skills!L7+1)</f>
        <v/>
      </c>
      <c r="F779">
        <f>IF(Skills!M7=TRUE,(Skills!K7/10)*(E779/1000),Skills!K7/10)+Skills!N7</f>
        <v/>
      </c>
      <c r="G779">
        <f>Calc!G7</f>
        <v/>
      </c>
      <c r="H779">
        <f>Calc!H7</f>
        <v/>
      </c>
      <c r="I779">
        <f>IF(Skills!T7&lt;&gt;"",1+(Skills!T7/10)*(Z775/1000)/100,1)</f>
        <v/>
      </c>
      <c r="J779">
        <f>((Inputs!$B$6*(1+Inputs!$B$7/100))+(((Inputs!$B$12*(1+Inputs!$B$13/100))-(Inputs!$B$12*(1+Inputs!$B$13/100)))+0.25*(Inputs!$B$14-Inputs!$B$14))*(1+Inputs!$B$7/100))*(F779/100)</f>
        <v/>
      </c>
      <c r="K779">
        <f>J779*(1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790-Calc!F18),(Inputs!$B$23+(IF(ArtifactsInput!$M$15,CHOOSE(ArtifactsInput!$N$15+1,25,30,35,40,45,50)/100*(Inputs!$B$11-Inputs!$B$11),0))))/100+(Inputs!$B$23+(IF(ArtifactsInput!$M$15,CHOOSE(ArtifactsInput!$N$15+1,25,30,35,40,45,50)/100*(Inputs!$B$11-Inputs!$B$11),0)))/100)/2</f>
        <v/>
      </c>
      <c r="M779">
        <f>L779*(1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IF(B808=0,0,O779/B808)</f>
        <v/>
      </c>
      <c r="Q779">
        <f>IFERROR(1/IF(Inputs!$B$38="pvp",15,MAX(0.1,Skills!D7-IF(Skills!E7=TRUE,Inputs!$B$32,0))),0)</f>
        <v/>
      </c>
      <c r="R779">
        <f>IF(AND(Inputs!$B$38&lt;&gt;"pvp",Inputs!$B$43&gt;0),IF(MAX(0,Inputs!$B$43-B805)&lt;=0,0,(INT(MAX(0,Inputs!$B$43-B805)/IF(Inputs!$B$38="pvp",15,MAX(0.1,Skills!D7-IF(Skills!E7=TRUE,Inputs!$B$32,0))))+1)),0)</f>
        <v/>
      </c>
      <c r="S779">
        <f>IF(C779,(H779*N779*IF(AND(Inputs!$B$38&lt;&gt;"pvp",Inputs!$B$43&gt;0),((Skills!F7*((R779-1)*IF(Skills!G7&gt;0,Skills!H7/Skills!G7,1)+IF(Skills!G7&gt;0,MIN(Skills!H7,MAX(0,MAX(0,Inputs!$B$43-B805)-((R779-1)*IF(Inputs!$B$38="pvp",15,MAX(0.1,Skills!D7-IF(Skills!E7=TRUE,Inputs!$B$32,0))))))/Skills!G7,1)))/Inputs!$B$43),G779*Q779))*IF(Inputs!$B$38="pvp",1,1+(Inputs!$B$20+Skills!O7+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F7*((R779-1)*IF(Skills!G7&gt;0,Skills!H7/Skills!G7,1)+IF(Skills!G7&gt;0,MIN(Skills!H7,MAX(0,MAX(0,Inputs!$B$43-B805)-((R779-1)*IF(Inputs!$B$38="pvp",15,MAX(0.1,Skills!D7-IF(Skills!E7=TRUE,Inputs!$B$32,0))))))/Skills!G7,1)))/Inputs!$B$43),G779*Q779))*IF(Inputs!$B$38="pvp",1,(1+(Inputs!$B$21+Skills!P7+B799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Skills!A8</f>
        <v/>
      </c>
      <c r="B780">
        <f>Skills!B8</f>
        <v/>
      </c>
      <c r="C780">
        <f>Inputs!$B$3&gt;=103</f>
        <v/>
      </c>
      <c r="D780">
        <f>IF(Skills!C8=1,60+Inputs!$B$25+Inputs!$B$29,IF(Skills!C8=2,90+Inputs!$B$26+Inputs!$B$29,IF(Skills!C8=3,120+Inputs!$B$27+Inputs!$B$29,MAX(0,(Inputs!$B$3-100)*3)+(Inputs!$B$28+1)+Inputs!$B$29)))</f>
        <v/>
      </c>
      <c r="E780">
        <f>INDEX(FactorTable!$B$2:$Y$301, MATCH(ROUND(MIN(300,MAX(1,D780)),0), FactorTable!$A$2:$A$301,0), Skills!L8+1)</f>
        <v/>
      </c>
      <c r="F780">
        <f>IF(Skills!M8=TRUE,(Skills!K8/10)*(E780/1000),Skills!K8/10)+Skills!N8</f>
        <v/>
      </c>
      <c r="G780">
        <f>Calc!G8</f>
        <v/>
      </c>
      <c r="H780">
        <f>Calc!H8</f>
        <v/>
      </c>
      <c r="I780">
        <f>IF(Skills!T8&lt;&gt;"",1+(Skills!T8/10)*(Z775/1000)/100,1)</f>
        <v/>
      </c>
      <c r="J780">
        <f>((Inputs!$B$6*(1+Inputs!$B$7/100))+(((Inputs!$B$12*(1+Inputs!$B$13/100))-(Inputs!$B$12*(1+Inputs!$B$13/100)))+0.25*(Inputs!$B$14-Inputs!$B$14))*(1+Inputs!$B$7/100))*(F780/100)</f>
        <v/>
      </c>
      <c r="K780">
        <f>J780*(1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F790-Calc!F18),(Inputs!$B$23+(IF(ArtifactsInput!$M$15,CHOOSE(ArtifactsInput!$N$15+1,25,30,35,40,45,50)/100*(Inputs!$B$11-Inputs!$B$11),0))))/100+(Inputs!$B$23+(IF(ArtifactsInput!$M$15,CHOOSE(ArtifactsInput!$N$15+1,25,30,35,40,45,50)/100*(Inputs!$B$11-Inputs!$B$11),0)))/100)/2</f>
        <v/>
      </c>
      <c r="M780">
        <f>L780*(1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(1-Summary!$B$11)*S780+Summary!$B$11*U780</f>
        <v/>
      </c>
      <c r="P780">
        <f>IF(B808=0,0,O780/B808)</f>
        <v/>
      </c>
      <c r="Q780">
        <f>IFERROR(1/IF(Inputs!$B$38="pvp",15,MAX(0.1,Skills!D8-IF(Skills!E8=TRUE,Inputs!$B$32,0))),0)</f>
        <v/>
      </c>
      <c r="R780">
        <f>IF(AND(Inputs!$B$38&lt;&gt;"pvp",Inputs!$B$43&gt;0),IF(MAX(0,Inputs!$B$43-B805)&lt;=0,0,(INT(MAX(0,Inputs!$B$43-B805)/IF(Inputs!$B$38="pvp",15,MAX(0.1,Skills!D8-IF(Skills!E8=TRUE,Inputs!$B$32,0))))+1)),0)</f>
        <v/>
      </c>
      <c r="S780">
        <f>IF(C780,(H780*N780*IF(AND(Inputs!$B$38&lt;&gt;"pvp",Inputs!$B$43&gt;0),((Skills!F8*((R780-1)*IF(Skills!G8&gt;0,Skills!H8/Skills!G8,1)+IF(Skills!G8&gt;0,MIN(Skills!H8,MAX(0,MAX(0,Inputs!$B$43-B805)-((R780-1)*IF(Inputs!$B$38="pvp",15,MAX(0.1,Skills!D8-IF(Skills!E8=TRUE,Inputs!$B$32,0))))))/Skills!G8,1)))/Inputs!$B$43),G780*Q780))*IF(Inputs!$B$38="pvp",1,1+(Inputs!$B$20+Skills!O8+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780*(1-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0">
        <f>IF(C780,(H780*N780*IF(AND(Inputs!$B$38&lt;&gt;"pvp",Inputs!$B$43&gt;0),((Skills!F8*((R780-1)*IF(Skills!G8&gt;0,Skills!H8/Skills!G8,1)+IF(Skills!G8&gt;0,MIN(Skills!H8,MAX(0,MAX(0,Inputs!$B$43-B805)-((R780-1)*IF(Inputs!$B$38="pvp",15,MAX(0.1,Skills!D8-IF(Skills!E8=TRUE,Inputs!$B$32,0))))))/Skills!G8,1)))/Inputs!$B$43),G780*Q780))*IF(Inputs!$B$38="pvp",1,(1+(Inputs!$B$21+Skills!P8+B799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Skills!A9</f>
        <v/>
      </c>
      <c r="B781">
        <f>Skills!B9</f>
        <v/>
      </c>
      <c r="C781">
        <f>Inputs!$B$3&gt;=105</f>
        <v/>
      </c>
      <c r="D781">
        <f>IF(Skills!C9=1,60+Inputs!$B$25+Inputs!$B$29,IF(Skills!C9=2,90+Inputs!$B$26+Inputs!$B$29,IF(Skills!C9=3,120+Inputs!$B$27+Inputs!$B$29,MAX(0,(Inputs!$B$3-100)*3)+(Inputs!$B$28+1)+Inputs!$B$29)))</f>
        <v/>
      </c>
      <c r="E781">
        <f>INDEX(FactorTable!$B$2:$Y$301, MATCH(ROUND(MIN(300,MAX(1,D781)),0), FactorTable!$A$2:$A$301,0), Skills!L9+1)</f>
        <v/>
      </c>
      <c r="F781">
        <f>IF(Skills!M9=TRUE,(Skills!K9/10)*(E781/1000),Skills!K9/10)+Skills!N9</f>
        <v/>
      </c>
      <c r="G781">
        <f>Calc!G9</f>
        <v/>
      </c>
      <c r="H781">
        <f>Calc!H9</f>
        <v/>
      </c>
      <c r="I781">
        <f>IF(Skills!T9&lt;&gt;"",1+(Skills!T9/10)*(Z775/1000)/100,1)</f>
        <v/>
      </c>
      <c r="J781">
        <f>((Inputs!$B$6*(1+Inputs!$B$7/100))+(((Inputs!$B$12*(1+Inputs!$B$13/100))-(Inputs!$B$12*(1+Inputs!$B$13/100)))+0.25*(Inputs!$B$14-Inputs!$B$14))*(1+Inputs!$B$7/100))*(F781/100)</f>
        <v/>
      </c>
      <c r="K781">
        <f>J781*(1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790-Calc!F18),(Inputs!$B$23+(IF(ArtifactsInput!$M$15,CHOOSE(ArtifactsInput!$N$15+1,25,30,35,40,45,50)/100*(Inputs!$B$11-Inputs!$B$11),0))))/100+(Inputs!$B$23+(IF(ArtifactsInput!$M$15,CHOOSE(ArtifactsInput!$N$15+1,25,30,35,40,45,50)/100*(Inputs!$B$11-Inputs!$B$11),0)))/100)/2</f>
        <v/>
      </c>
      <c r="M781">
        <f>L781*(1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IF(B808=0,0,O781/B808)</f>
        <v/>
      </c>
      <c r="Q781">
        <f>IFERROR(1/IF(Inputs!$B$38="pvp",15,MAX(0.1,Skills!D9-IF(Skills!E9=TRUE,Inputs!$B$32,0))),0)</f>
        <v/>
      </c>
      <c r="R781">
        <f>IF(AND(Inputs!$B$38&lt;&gt;"pvp",Inputs!$B$43&gt;0),IF(MAX(0,Inputs!$B$43-B805)&lt;=0,0,(INT(MAX(0,Inputs!$B$43-B805)/IF(Inputs!$B$38="pvp",15,MAX(0.1,Skills!D9-IF(Skills!E9=TRUE,Inputs!$B$32,0))))+1)),0)</f>
        <v/>
      </c>
      <c r="S781">
        <f>IF(C781,(H781*N781*IF(AND(Inputs!$B$38&lt;&gt;"pvp",Inputs!$B$43&gt;0),((Skills!F9*((R781-1)*IF(Skills!G9&gt;0,Skills!H9/Skills!G9,1)+IF(Skills!G9&gt;0,MIN(Skills!H9,MAX(0,MAX(0,Inputs!$B$43-B805)-((R781-1)*IF(Inputs!$B$38="pvp",15,MAX(0.1,Skills!D9-IF(Skills!E9=TRUE,Inputs!$B$32,0))))))/Skills!G9,1)))/Inputs!$B$43),G781*Q781))*IF(Inputs!$B$38="pvp",1,1+(Inputs!$B$20+Skills!O9+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F9*((R781-1)*IF(Skills!G9&gt;0,Skills!H9/Skills!G9,1)+IF(Skills!G9&gt;0,MIN(Skills!H9,MAX(0,MAX(0,Inputs!$B$43-B805)-((R781-1)*IF(Inputs!$B$38="pvp",15,MAX(0.1,Skills!D9-IF(Skills!E9=TRUE,Inputs!$B$32,0))))))/Skills!G9,1)))/Inputs!$B$43),G781*Q781))*IF(Inputs!$B$38="pvp",1,(1+(Inputs!$B$21+Skills!P9+B799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Skills!A10</f>
        <v/>
      </c>
      <c r="B782">
        <f>Skills!B10</f>
        <v/>
      </c>
      <c r="C782">
        <f>Inputs!$B$3&gt;=113</f>
        <v/>
      </c>
      <c r="D782">
        <f>IF(Skills!C10=1,60+Inputs!$B$25+Inputs!$B$29,IF(Skills!C10=2,90+Inputs!$B$26+Inputs!$B$29,IF(Skills!C10=3,120+Inputs!$B$27+Inputs!$B$29,MAX(0,(Inputs!$B$3-100)*3)+(Inputs!$B$28+1)+Inputs!$B$29)))</f>
        <v/>
      </c>
      <c r="E782">
        <f>INDEX(FactorTable!$B$2:$Y$301, MATCH(ROUND(MIN(300,MAX(1,D782)),0), FactorTable!$A$2:$A$301,0), Skills!L10+1)</f>
        <v/>
      </c>
      <c r="F782">
        <f>IF(Skills!M10=TRUE,(Skills!K10/10)*(E782/1000),Skills!K10/10)+Skills!N10</f>
        <v/>
      </c>
      <c r="G782">
        <f>Calc!G10</f>
        <v/>
      </c>
      <c r="H782">
        <f>Calc!H10</f>
        <v/>
      </c>
      <c r="I782">
        <f>IF(Skills!T10&lt;&gt;"",1+(Skills!T10/10)*(Z775/1000)/100,1)</f>
        <v/>
      </c>
      <c r="J782">
        <f>((Inputs!$B$6*(1+Inputs!$B$7/100))+(((Inputs!$B$12*(1+Inputs!$B$13/100))-(Inputs!$B$12*(1+Inputs!$B$13/100)))+0.25*(Inputs!$B$14-Inputs!$B$14))*(1+Inputs!$B$7/100))*(F782/100)</f>
        <v/>
      </c>
      <c r="K782">
        <f>J782*(1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790-Calc!F18),(Inputs!$B$23+(IF(ArtifactsInput!$M$15,CHOOSE(ArtifactsInput!$N$15+1,25,30,35,40,45,50)/100*(Inputs!$B$11-Inputs!$B$11),0))))/100+(Inputs!$B$23+(IF(ArtifactsInput!$M$15,CHOOSE(ArtifactsInput!$N$15+1,25,30,35,40,45,50)/100*(Inputs!$B$11-Inputs!$B$11),0)))/100)/2</f>
        <v/>
      </c>
      <c r="M782">
        <f>L782*(1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IF(B808=0,0,O782/B808)</f>
        <v/>
      </c>
      <c r="Q782">
        <f>IFERROR(1/IF(Inputs!$B$38="pvp",15,MAX(0.1,Skills!D10-IF(Skills!E9=TRUE,Inputs!$B$32,0))),0)</f>
        <v/>
      </c>
      <c r="R782">
        <f>IF(AND(Inputs!$B$38&lt;&gt;"pvp",Inputs!$B$43&gt;0),IF(MAX(0,Inputs!$B$43-B805)&lt;=0,0,(INT(MAX(0,Inputs!$B$43-B805)/IF(Inputs!$B$38="pvp",15,MAX(0.1,Skills!D10-IF(Skills!E9=TRUE,Inputs!$B$32,0))))+1)),0)</f>
        <v/>
      </c>
      <c r="S782">
        <f>IF(C782,(H782*N782*IF(AND(Inputs!$B$38&lt;&gt;"pvp",Inputs!$B$43&gt;0),((Skills!F10*((R782-1)*IF(Skills!G10&gt;0,Skills!H10/Skills!G10,1)+IF(Skills!G10&gt;0,MIN(Skills!H10,MAX(0,MAX(0,Inputs!$B$43-B805)-((R782-1)*IF(Inputs!$B$38="pvp",15,MAX(0.1,Skills!D10-IF(Skills!E9=TRUE,Inputs!$B$32,0))))))/Skills!G10,1)))/Inputs!$B$43),G782*Q782))*IF(Inputs!$B$38="pvp",1,1+(Inputs!$B$20+Skills!O10+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F10*((R782-1)*IF(Skills!G10&gt;0,Skills!H10/Skills!G10,1)+IF(Skills!G10&gt;0,MIN(Skills!H10,MAX(0,MAX(0,Inputs!$B$43-B805)-((R782-1)*IF(Inputs!$B$38="pvp",15,MAX(0.1,Skills!D10-IF(Skills!E9=TRUE,Inputs!$B$32,0))))))/Skills!G10,1)))/Inputs!$B$43),G782*Q782))*IF(Inputs!$B$38="pvp",1,(1+(Inputs!$B$21+Skills!P10+B799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Skills!A11</f>
        <v/>
      </c>
      <c r="B783">
        <f>Skills!B11</f>
        <v/>
      </c>
      <c r="C783">
        <f>Inputs!$B$3&gt;=107</f>
        <v/>
      </c>
      <c r="D783">
        <f>IF(Skills!C11=1,60+Inputs!$B$25+Inputs!$B$29,IF(Skills!C11=2,90+Inputs!$B$26+Inputs!$B$29,IF(Skills!C11=3,120+Inputs!$B$27+Inputs!$B$29,MAX(0,(Inputs!$B$3-100)*3)+(Inputs!$B$28+1)+Inputs!$B$29)))</f>
        <v/>
      </c>
      <c r="E783">
        <f>INDEX(FactorTable!$B$2:$Y$301, MATCH(ROUND(MIN(300,MAX(1,D783)),0), FactorTable!$A$2:$A$301,0), Skills!L11+1)</f>
        <v/>
      </c>
      <c r="F783">
        <f>IF(Skills!M11=TRUE,(Skills!K11/10)*(E783/1000),Skills!K11/10)+Skills!N11</f>
        <v/>
      </c>
      <c r="G783">
        <f>Calc!G11</f>
        <v/>
      </c>
      <c r="H783">
        <f>Calc!H11</f>
        <v/>
      </c>
      <c r="I783">
        <f>IF(Skills!T11&lt;&gt;"",1+(Skills!T11/10)*(Z775/1000)/100,1)</f>
        <v/>
      </c>
      <c r="J783">
        <f>((Inputs!$B$6*(1+Inputs!$B$7/100))+(((Inputs!$B$12*(1+Inputs!$B$13/100))-(Inputs!$B$12*(1+Inputs!$B$13/100)))+0.25*(Inputs!$B$14-Inputs!$B$14))*(1+Inputs!$B$7/100))*(F783/100)</f>
        <v/>
      </c>
      <c r="K783">
        <f>J783*(1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790-Calc!F18),(Inputs!$B$23+(IF(ArtifactsInput!$M$15,CHOOSE(ArtifactsInput!$N$15+1,25,30,35,40,45,50)/100*(Inputs!$B$11-Inputs!$B$11),0))))/100+(Inputs!$B$23+(IF(ArtifactsInput!$M$15,CHOOSE(ArtifactsInput!$N$15+1,25,30,35,40,45,50)/100*(Inputs!$B$11-Inputs!$B$11),0)))/100)/2</f>
        <v/>
      </c>
      <c r="M783">
        <f>L783*(1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IF(B808=0,0,O783/B808)</f>
        <v/>
      </c>
      <c r="Q783">
        <f>IFERROR(1/IF(Inputs!$B$38="pvp",15,MAX(0.1,Skills!D11-IF(Skills!E11=TRUE,Inputs!$B$32,0))),0)</f>
        <v/>
      </c>
      <c r="R783">
        <f>IF(AND(Inputs!$B$38&lt;&gt;"pvp",Inputs!$B$43&gt;0),IF(MAX(0,Inputs!$B$43-B805)&lt;=0,0,(INT(MAX(0,Inputs!$B$43-B805)/IF(Inputs!$B$38="pvp",15,MAX(0.1,Skills!D11-IF(Skills!E11=TRUE,Inputs!$B$32,0))))+1)),0)</f>
        <v/>
      </c>
      <c r="S783">
        <f>IF(C783,H783*N783*IF(AND(Inputs!$B$38&lt;&gt;"pvp",Inputs!$B$43&gt;0),((Skills!F11*((R783-1)*IF(Skills!G11&gt;0,Skills!H11/Skills!G11,1)+IF(Skills!G11&gt;0,MIN(Skills!H11,MAX(0,MAX(0,Inputs!$B$43-B805)-((R783-1)*IF(Inputs!$B$38="pvp",15,MAX(0.1,Skills!D11-IF(Skills!E11=TRUE,Inputs!$B$32,0))))))/Skills!G11,1)))/Inputs!$B$43),G783*Q783)*0.5*IF(Inputs!$B$38="pvp",1,1+(Inputs!$B$20+Skills!O11+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F11*((R783-1)*IF(Skills!G11&gt;0,Skills!H11/Skills!G11,1)+IF(Skills!G11&gt;0,MIN(Skills!H11,MAX(0,MAX(0,Inputs!$B$43-B805)-((R783-1)*IF(Inputs!$B$38="pvp",15,MAX(0.1,Skills!D11-IF(Skills!E11=TRUE,Inputs!$B$32,0))))))/Skills!G11,1)))/Inputs!$B$43),G783*Q783)*1*IF(Inputs!$B$38="pvp",1,(1+(Inputs!$B$21+Skills!P11+B799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Skills!A12</f>
        <v/>
      </c>
      <c r="B784">
        <f>Skills!B12</f>
        <v/>
      </c>
      <c r="C784">
        <f>Inputs!$B$3&gt;=115</f>
        <v/>
      </c>
      <c r="D784">
        <f>IF(Skills!C12=1,60+Inputs!$B$25+Inputs!$B$29,IF(Skills!C12=2,90+Inputs!$B$26+Inputs!$B$29,IF(Skills!C12=3,120+Inputs!$B$27+Inputs!$B$29,MAX(0,(Inputs!$B$3-100)*3)+(Inputs!$B$28+1)+Inputs!$B$29)))</f>
        <v/>
      </c>
      <c r="E784">
        <f>INDEX(FactorTable!$B$2:$Y$301, MATCH(ROUND(MIN(300,MAX(1,D784)),0), FactorTable!$A$2:$A$301,0), Skills!L12+1)</f>
        <v/>
      </c>
      <c r="F784">
        <f>IF(Skills!M12=TRUE,(Skills!K12/10)*(E784/1000),Skills!K12/10)+Skills!N12</f>
        <v/>
      </c>
      <c r="G784">
        <f>Calc!G12</f>
        <v/>
      </c>
      <c r="H784">
        <f>Calc!H12</f>
        <v/>
      </c>
      <c r="I784">
        <f>IF(Skills!T12&lt;&gt;"",1+(Skills!T12/10)*(Z775/1000)/100,1)</f>
        <v/>
      </c>
      <c r="J784">
        <f>((Inputs!$B$6*(1+Inputs!$B$7/100))+(((Inputs!$B$12*(1+Inputs!$B$13/100))-(Inputs!$B$12*(1+Inputs!$B$13/100)))+0.25*(Inputs!$B$14-Inputs!$B$14))*(1+Inputs!$B$7/100))*(F784/100)</f>
        <v/>
      </c>
      <c r="K784">
        <f>J784*(1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790-Calc!F18),(Inputs!$B$23+(IF(ArtifactsInput!$M$15,CHOOSE(ArtifactsInput!$N$15+1,25,30,35,40,45,50)/100*(Inputs!$B$11-Inputs!$B$11),0))))/100+(Inputs!$B$23+(IF(ArtifactsInput!$M$15,CHOOSE(ArtifactsInput!$N$15+1,25,30,35,40,45,50)/100*(Inputs!$B$11-Inputs!$B$11),0)))/100)/2</f>
        <v/>
      </c>
      <c r="M784">
        <f>L784*(1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IF(B808=0,0,O784/B808)</f>
        <v/>
      </c>
      <c r="Q784">
        <f>IFERROR(1/IF(Inputs!$B$38="pvp",15,MAX(0.1,Skills!D12-IF(Skills!E12=TRUE,Inputs!$B$32,0))),0)</f>
        <v/>
      </c>
      <c r="R784">
        <f>IF(AND(Inputs!$B$38&lt;&gt;"pvp",Inputs!$B$43&gt;0),IF(MAX(0,Inputs!$B$43-B805)&lt;=0,0,(INT(MAX(0,Inputs!$B$43-B805)/IF(Inputs!$B$38="pvp",15,MAX(0.1,Skills!D12-IF(Skills!E12=TRUE,Inputs!$B$32,0))))+1)),0)</f>
        <v/>
      </c>
      <c r="S784">
        <f>IF(C784,(H784*N784*IF(AND(Inputs!$B$38&lt;&gt;"pvp",Inputs!$B$43&gt;0),((Skills!F12*((R784-1)*IF(Skills!G12&gt;0,Skills!H12/Skills!G12,1)+IF(Skills!G12&gt;0,MIN(Skills!H12,MAX(0,MAX(0,Inputs!$B$43-B805)-((R784-1)*IF(Inputs!$B$38="pvp",15,MAX(0.1,Skills!D12-IF(Skills!E12=TRUE,Inputs!$B$32,0))))))/Skills!G12,1)))/Inputs!$B$43),G784*Q784))*IF(Inputs!$B$38="pvp",1,1+(Inputs!$B$20+Skills!O12+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F12*((R784-1)*IF(Skills!G12&gt;0,Skills!H12/Skills!G12,1)+IF(Skills!G12&gt;0,MIN(Skills!H12,MAX(0,MAX(0,Inputs!$B$43-B805)-((R784-1)*IF(Inputs!$B$38="pvp",15,MAX(0.1,Skills!D12-IF(Skills!E12=TRUE,Inputs!$B$32,0))))))/Skills!G12,1)))/Inputs!$B$43),G784*Q784))*IF(Inputs!$B$38="pvp",1,(1+(Inputs!$B$21+Skills!P12+B799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Skills!A13</f>
        <v/>
      </c>
      <c r="B785">
        <f>Skills!B13</f>
        <v/>
      </c>
      <c r="C785">
        <f>Inputs!$B$3&gt;=49</f>
        <v/>
      </c>
      <c r="D785">
        <f>IF(Skills!C13=1,60+Inputs!$B$25+Inputs!$B$29,IF(Skills!C13=2,90+Inputs!$B$26+Inputs!$B$29,IF(Skills!C13=3,120+Inputs!$B$27+Inputs!$B$29,MAX(0,(Inputs!$B$3-100)*3)+(Inputs!$B$28+1)+Inputs!$B$29)))</f>
        <v/>
      </c>
      <c r="E785">
        <f>INDEX(FactorTable!$B$2:$Y$301, MATCH(ROUND(MIN(300,MAX(1,D785)),0), FactorTable!$A$2:$A$301,0), Skills!L13+1)</f>
        <v/>
      </c>
      <c r="F785">
        <f>IF(Skills!M13=TRUE,(Skills!K13/10)*(E785/1000),Skills!K13/10)+Skills!N13</f>
        <v/>
      </c>
      <c r="G785">
        <f>Calc!G13</f>
        <v/>
      </c>
      <c r="H785">
        <f>Calc!H13</f>
        <v/>
      </c>
      <c r="I785">
        <f>IF(Skills!T13&lt;&gt;"",1+(Skills!T13/10)*(Z775/1000)/100,1)</f>
        <v/>
      </c>
      <c r="J785" t="inlineStr"/>
      <c r="K785" t="inlineStr"/>
      <c r="L785" t="inlineStr"/>
      <c r="M785" t="inlineStr"/>
      <c r="N785" t="inlineStr"/>
      <c r="O785">
        <f>(1-Summary!$B$11)*S785+Summary!$B$11*U785</f>
        <v/>
      </c>
      <c r="P785">
        <f>IF(B808=0,0,O785/B808)</f>
        <v/>
      </c>
      <c r="Q785">
        <f>IFERROR(1/IF(Inputs!$B$38="pvp",15,MAX(0.1,Skills!D13-IF(Skills!E13=TRUE,Inputs!$B$32,0))),0)</f>
        <v/>
      </c>
      <c r="R785" t="n">
        <v>0</v>
      </c>
      <c r="S785" t="n">
        <v>0</v>
      </c>
      <c r="U785" t="n">
        <v>0</v>
      </c>
    </row>
    <row r="786">
      <c r="A786">
        <f>Skills!A14</f>
        <v/>
      </c>
      <c r="B786">
        <f>Skills!B14</f>
        <v/>
      </c>
      <c r="C786">
        <f>Inputs!$B$3&gt;=72</f>
        <v/>
      </c>
      <c r="D786">
        <f>IF(Skills!C14=1,60+Inputs!$B$25+Inputs!$B$29,IF(Skills!C14=2,90+Inputs!$B$26+Inputs!$B$29,IF(Skills!C14=3,120+Inputs!$B$27+Inputs!$B$29,MAX(0,(Inputs!$B$3-100)*3)+(Inputs!$B$28+1)+Inputs!$B$29)))</f>
        <v/>
      </c>
      <c r="E786">
        <f>INDEX(FactorTable!$B$2:$Y$301, MATCH(ROUND(MIN(300,MAX(1,D786)),0), FactorTable!$A$2:$A$301,0), Skills!L14+1)</f>
        <v/>
      </c>
      <c r="F786">
        <f>IF(Skills!M14=TRUE,(Skills!K14/10)*(E786/1000),Skills!K14/10)+Skills!N14</f>
        <v/>
      </c>
      <c r="G786">
        <f>Calc!G14</f>
        <v/>
      </c>
      <c r="H786">
        <f>Calc!H14</f>
        <v/>
      </c>
      <c r="I786">
        <f>IF(Skills!T14&lt;&gt;"",1+(Skills!T14/10)*(Z775/1000)/100,1)</f>
        <v/>
      </c>
      <c r="J786" t="inlineStr"/>
      <c r="K786" t="inlineStr"/>
      <c r="L786" t="inlineStr"/>
      <c r="M786" t="inlineStr"/>
      <c r="N786" t="inlineStr"/>
      <c r="O786">
        <f>(1-Summary!$B$11)*S786+Summary!$B$11*U786</f>
        <v/>
      </c>
      <c r="P786">
        <f>IF(B808=0,0,O786/B808)</f>
        <v/>
      </c>
      <c r="Q786">
        <f>IFERROR(1/IF(Inputs!$B$38="pvp",15,MAX(0.1,Skills!D14-IF(Skills!E14=TRUE,Inputs!$B$32,0))),0)</f>
        <v/>
      </c>
      <c r="R786" t="n">
        <v>0</v>
      </c>
      <c r="S786" t="n">
        <v>0</v>
      </c>
      <c r="U786" t="n">
        <v>0</v>
      </c>
    </row>
    <row r="787">
      <c r="A787">
        <f>Skills!A15</f>
        <v/>
      </c>
      <c r="B787">
        <f>Skills!B15</f>
        <v/>
      </c>
      <c r="C787">
        <f>Inputs!$B$3&gt;=75</f>
        <v/>
      </c>
      <c r="D787">
        <f>IF(Skills!C15=1,60+Inputs!$B$25+Inputs!$B$29,IF(Skills!C15=2,90+Inputs!$B$26+Inputs!$B$29,IF(Skills!C15=3,120+Inputs!$B$27+Inputs!$B$29,MAX(0,(Inputs!$B$3-100)*3)+(Inputs!$B$28+1)+Inputs!$B$29)))</f>
        <v/>
      </c>
      <c r="E787">
        <f>INDEX(FactorTable!$B$2:$Y$301, MATCH(ROUND(MIN(300,MAX(1,D787)),0), FactorTable!$A$2:$A$301,0), Skills!L15+1)</f>
        <v/>
      </c>
      <c r="F787">
        <f>IF(Skills!M15=TRUE,(Skills!K15/10)*(E787/1000),Skills!K15/10)+Skills!N15</f>
        <v/>
      </c>
      <c r="G787">
        <f>Calc!G15</f>
        <v/>
      </c>
      <c r="H787">
        <f>Calc!H15</f>
        <v/>
      </c>
      <c r="I787">
        <f>IF(Skills!T15&lt;&gt;"",1+(Skills!T15/10)*(Z775/1000)/100,1)</f>
        <v/>
      </c>
      <c r="J787" t="inlineStr"/>
      <c r="K787" t="inlineStr"/>
      <c r="L787" t="inlineStr"/>
      <c r="M787" t="inlineStr"/>
      <c r="N787" t="inlineStr"/>
      <c r="O787">
        <f>(1-Summary!$B$11)*S787+Summary!$B$11*U787</f>
        <v/>
      </c>
      <c r="P787">
        <f>IF(B808=0,0,O787/B808)</f>
        <v/>
      </c>
      <c r="Q787">
        <f>IFERROR(1/IF(Inputs!$B$38="pvp",15,MAX(0.1,Skills!D15-IF(Skills!E15=TRUE,Inputs!$B$32,0))),0)</f>
        <v/>
      </c>
      <c r="R787" t="n">
        <v>0</v>
      </c>
      <c r="S787" t="n">
        <v>0</v>
      </c>
      <c r="U787" t="n">
        <v>0</v>
      </c>
    </row>
    <row r="788">
      <c r="A788">
        <f>Skills!A16</f>
        <v/>
      </c>
      <c r="B788">
        <f>Skills!B16</f>
        <v/>
      </c>
      <c r="C788">
        <f>Inputs!$B$3&gt;=110</f>
        <v/>
      </c>
      <c r="D788">
        <f>IF(Skills!C16=1,60+Inputs!$B$25+Inputs!$B$29,IF(Skills!C16=2,90+Inputs!$B$26+Inputs!$B$29,IF(Skills!C16=3,120+Inputs!$B$27+Inputs!$B$29,MAX(0,(Inputs!$B$3-100)*3)+(Inputs!$B$28+1)+Inputs!$B$29)))</f>
        <v/>
      </c>
      <c r="E788">
        <f>INDEX(FactorTable!$B$2:$Y$301, MATCH(ROUND(MIN(300,MAX(1,D788)),0), FactorTable!$A$2:$A$301,0), Skills!L16+1)</f>
        <v/>
      </c>
      <c r="F788">
        <f>(Skills!K16/10)*(E788/1000)*64/45+Skills!N16</f>
        <v/>
      </c>
      <c r="G788">
        <f>Calc!G16</f>
        <v/>
      </c>
      <c r="H788">
        <f>Calc!H16</f>
        <v/>
      </c>
      <c r="I788">
        <f>IF(Skills!T16&lt;&gt;"",1+(Skills!T16/10)*(Z775/1000)/100,1)</f>
        <v/>
      </c>
      <c r="J788" t="inlineStr"/>
      <c r="K788" t="inlineStr"/>
      <c r="L788" t="inlineStr"/>
      <c r="M788" t="inlineStr"/>
      <c r="N788" t="inlineStr"/>
      <c r="O788">
        <f>(1-Summary!$B$11)*S788+Summary!$B$11*U788</f>
        <v/>
      </c>
      <c r="P788">
        <f>IF(B808=0,0,O788/B808)</f>
        <v/>
      </c>
      <c r="Q788">
        <f>IFERROR(1/IF(Inputs!$B$38="pvp",15,MAX(0.1,Skills!D16-IF(Skills!E16=TRUE,Inputs!$B$32,0))),0)</f>
        <v/>
      </c>
      <c r="R788">
        <f>IF(AND(Inputs!$B$38&lt;&gt;"pvp",Inputs!$B$43&gt;0),IF(Inputs!$B$43&lt;=0,0,(INT(Inputs!$B$43/IF(Inputs!$B$38="pvp",15,MAX(0.1,Skills!D16-IF(Skills!E16=TRUE,Inputs!$B$32,0))))+1)),0)</f>
        <v/>
      </c>
      <c r="S788" t="n">
        <v>0</v>
      </c>
      <c r="U788" t="n">
        <v>0</v>
      </c>
    </row>
    <row r="789">
      <c r="A789">
        <f>Skills!A17</f>
        <v/>
      </c>
      <c r="B789">
        <f>Skills!B17</f>
        <v/>
      </c>
      <c r="C789">
        <f>Inputs!$B$3&gt;=33</f>
        <v/>
      </c>
      <c r="D789">
        <f>IF(Skills!C17=1,60+Inputs!$B$25+Inputs!$B$29,IF(Skills!C17=2,90+Inputs!$B$26+Inputs!$B$29,IF(Skills!C17=3,120+Inputs!$B$27+Inputs!$B$29,MAX(0,(Inputs!$B$3-100)*3)+(Inputs!$B$28+1)+Inputs!$B$29)))</f>
        <v/>
      </c>
      <c r="E789">
        <f>INDEX(FactorTable!$B$2:$Y$301, MATCH(ROUND(MIN(300,MAX(1,D789)),0), FactorTable!$A$2:$A$301,0), Skills!L17+1)</f>
        <v/>
      </c>
      <c r="F789">
        <f>IF(Skills!M17=TRUE,(Skills!K17/10)*(E789/1000),Skills!K17/10)+Skills!N17</f>
        <v/>
      </c>
      <c r="G789">
        <f>Calc!G17</f>
        <v/>
      </c>
      <c r="H789">
        <f>Calc!H17</f>
        <v/>
      </c>
      <c r="I789">
        <f>IF(Skills!T17&lt;&gt;"",1+(Skills!T17/10)*(Z775/1000)/100,1)</f>
        <v/>
      </c>
      <c r="J789" t="inlineStr"/>
      <c r="K789" t="inlineStr"/>
      <c r="L789" t="inlineStr"/>
      <c r="M789" t="inlineStr"/>
      <c r="N789" t="inlineStr"/>
      <c r="O789">
        <f>(1-Summary!$B$11)*S789+Summary!$B$11*U789</f>
        <v/>
      </c>
      <c r="P789">
        <f>IF(B808=0,0,O789/B808)</f>
        <v/>
      </c>
      <c r="Q789">
        <f>IFERROR(1/IF(Inputs!$B$38="pvp",15,MAX(0.1,Skills!D17-IF(Skills!E17=TRUE,Inputs!$B$32,0))),0)</f>
        <v/>
      </c>
      <c r="R789" t="n">
        <v>0</v>
      </c>
      <c r="S789" t="n">
        <v>0</v>
      </c>
      <c r="U789" t="n">
        <v>0</v>
      </c>
    </row>
    <row r="790">
      <c r="A790">
        <f>Skills!A18</f>
        <v/>
      </c>
      <c r="B790">
        <f>Skills!B18</f>
        <v/>
      </c>
      <c r="C790">
        <f>Inputs!$B$3&gt;=43</f>
        <v/>
      </c>
      <c r="D790">
        <f>IF(Skills!C18=1,60+Inputs!$B$25+Inputs!$B$29,IF(Skills!C18=2,90+Inputs!$B$26+Inputs!$B$29,IF(Skills!C18=3,120+Inputs!$B$27+Inputs!$B$29,MAX(0,(Inputs!$B$3-100)*3)+(Inputs!$B$28+1)+Inputs!$B$29)))</f>
        <v/>
      </c>
      <c r="E790">
        <f>INDEX(FactorTable!$B$2:$Y$301, MATCH(ROUND(MIN(300,MAX(1,D790)),0), FactorTable!$A$2:$A$301,0), Skills!L18+1)</f>
        <v/>
      </c>
      <c r="F790">
        <f>IF(Skills!M18=TRUE,(Skills!K18/10)*(E790/1000),Skills!K18/10)+Skills!N18</f>
        <v/>
      </c>
      <c r="G790">
        <f>Calc!G18</f>
        <v/>
      </c>
      <c r="H790">
        <f>Calc!H18</f>
        <v/>
      </c>
      <c r="I790">
        <f>IF(Skills!T18&lt;&gt;"",1+(Skills!T18/10)*(Z775/1000)/100,1)</f>
        <v/>
      </c>
      <c r="J790" t="inlineStr"/>
      <c r="K790" t="inlineStr"/>
      <c r="L790" t="inlineStr"/>
      <c r="M790" t="inlineStr"/>
      <c r="N790" t="inlineStr"/>
      <c r="O790">
        <f>(1-Summary!$B$11)*S790+Summary!$B$11*U790</f>
        <v/>
      </c>
      <c r="P790">
        <f>IF(B808=0,0,O790/B808)</f>
        <v/>
      </c>
      <c r="Q790">
        <f>IFERROR(1/IF(Inputs!$B$38="pvp",15,MAX(0.1,Skills!D18-IF(Skills!E18=TRUE,Inputs!$B$32,0))),0)</f>
        <v/>
      </c>
      <c r="R790" t="n">
        <v>0</v>
      </c>
      <c r="S790" t="n">
        <v>0</v>
      </c>
      <c r="U790" t="n">
        <v>0</v>
      </c>
    </row>
    <row r="791">
      <c r="A791">
        <f>Skills!A19</f>
        <v/>
      </c>
      <c r="B791">
        <f>Skills!B19</f>
        <v/>
      </c>
      <c r="C791">
        <f>Inputs!$B$3&gt;=50</f>
        <v/>
      </c>
      <c r="D791">
        <f>IF(Skills!C19=1,60+Inputs!$B$25+Inputs!$B$29,IF(Skills!C19=2,90+Inputs!$B$26+Inputs!$B$29,IF(Skills!C19=3,120+Inputs!$B$27+Inputs!$B$29,MAX(0,(Inputs!$B$3-100)*3)+(Inputs!$B$28+1)+Inputs!$B$29)))</f>
        <v/>
      </c>
      <c r="E791">
        <f>INDEX(FactorTable!$B$2:$Y$301, MATCH(ROUND(MIN(300,MAX(1,D791)),0), FactorTable!$A$2:$A$301,0), Skills!L19+1)</f>
        <v/>
      </c>
      <c r="F791">
        <f>IF(Skills!M19=TRUE,(Skills!K19/10)*(E791/1000),Skills!K19/10)+Skills!N19</f>
        <v/>
      </c>
      <c r="G791">
        <f>Calc!G19</f>
        <v/>
      </c>
      <c r="H791">
        <f>Calc!H19</f>
        <v/>
      </c>
      <c r="I791">
        <f>IF(Skills!T19&lt;&gt;"",1+(Skills!T19/10)*(Z775/1000)/100,1)</f>
        <v/>
      </c>
      <c r="J791" t="inlineStr"/>
      <c r="K791" t="inlineStr"/>
      <c r="L791" t="inlineStr"/>
      <c r="M791" t="inlineStr"/>
      <c r="N791" t="inlineStr"/>
      <c r="O791">
        <f>(1-Summary!$B$11)*S791+Summary!$B$11*U791</f>
        <v/>
      </c>
      <c r="P791">
        <f>IF(B808=0,0,O791/B808)</f>
        <v/>
      </c>
      <c r="Q791">
        <f>IFERROR(1/IF(Inputs!$B$38="pvp",15,MAX(0.1,Skills!D19-IF(Skills!E19=TRUE,Inputs!$B$32,0))),0)</f>
        <v/>
      </c>
      <c r="R791" t="n">
        <v>0</v>
      </c>
      <c r="S791" t="n">
        <v>0</v>
      </c>
      <c r="U791" t="n">
        <v>0</v>
      </c>
    </row>
    <row r="792">
      <c r="A792">
        <f>Skills!A20</f>
        <v/>
      </c>
      <c r="B792">
        <f>Skills!B20</f>
        <v/>
      </c>
      <c r="C792">
        <f>Inputs!$B$3&gt;=74</f>
        <v/>
      </c>
      <c r="D792">
        <f>IF(Skills!C20=1,60+Inputs!$B$25+Inputs!$B$29,IF(Skills!C20=2,90+Inputs!$B$26+Inputs!$B$29,IF(Skills!C20=3,120+Inputs!$B$27+Inputs!$B$29,MAX(0,(Inputs!$B$3-100)*3)+(Inputs!$B$28+1)+Inputs!$B$29)))</f>
        <v/>
      </c>
      <c r="E792">
        <f>INDEX(FactorTable!$B$2:$Y$301, MATCH(ROUND(MIN(300,MAX(1,D792)),0), FactorTable!$A$2:$A$301,0), Skills!L20+1)</f>
        <v/>
      </c>
      <c r="F792">
        <f>IF(Skills!M20=TRUE,(Skills!K20/10)*(E792/1000),Skills!K20/10)+Skills!N20</f>
        <v/>
      </c>
      <c r="G792">
        <f>Calc!G20</f>
        <v/>
      </c>
      <c r="H792">
        <f>Calc!H20</f>
        <v/>
      </c>
      <c r="I792">
        <f>IF(Skills!T20&lt;&gt;"",1+(Skills!T20/10)*(Z775/1000)/100,1)</f>
        <v/>
      </c>
      <c r="J792" t="inlineStr"/>
      <c r="K792" t="inlineStr"/>
      <c r="L792" t="inlineStr"/>
      <c r="M792" t="inlineStr"/>
      <c r="N792" t="inlineStr"/>
      <c r="O792">
        <f>(1-Summary!$B$11)*S792+Summary!$B$11*U792</f>
        <v/>
      </c>
      <c r="P792">
        <f>IF(B808=0,0,O792/B808)</f>
        <v/>
      </c>
      <c r="Q792">
        <f>IFERROR(1/IF(Inputs!$B$38="pvp",15,MAX(0.1,Skills!D20-IF(Skills!E20=TRUE,Inputs!$B$32,0))),0)</f>
        <v/>
      </c>
      <c r="R792" t="n">
        <v>0</v>
      </c>
      <c r="S792" t="n">
        <v>0</v>
      </c>
      <c r="U792" t="n">
        <v>0</v>
      </c>
    </row>
    <row r="793">
      <c r="A793">
        <f>Skills!A21</f>
        <v/>
      </c>
      <c r="B793">
        <f>Skills!B21</f>
        <v/>
      </c>
      <c r="C793">
        <f>Inputs!$B$3&gt;=74</f>
        <v/>
      </c>
      <c r="D793">
        <f>IF(Skills!C21=1,60+Inputs!$B$25+Inputs!$B$29,IF(Skills!C21=2,90+Inputs!$B$26+Inputs!$B$29,IF(Skills!C21=3,120+Inputs!$B$27+Inputs!$B$29,MAX(0,(Inputs!$B$3-100)*3)+(Inputs!$B$28+1)+Inputs!$B$29)))</f>
        <v/>
      </c>
      <c r="E793">
        <f>INDEX(FactorTable!$B$2:$Y$301, MATCH(ROUND(MIN(300,MAX(1,D793)),0), FactorTable!$A$2:$A$301,0), Skills!L21+1)</f>
        <v/>
      </c>
      <c r="F793">
        <f>IF(Skills!M21=TRUE,(Skills!K21/10)*(E793/1000),Skills!K21/10)+Skills!N21</f>
        <v/>
      </c>
      <c r="G793">
        <f>Calc!G21</f>
        <v/>
      </c>
      <c r="H793">
        <f>Calc!H21</f>
        <v/>
      </c>
      <c r="I793">
        <f>IF(Skills!T21&lt;&gt;"",1+(Skills!T21/10)*(Z775/1000)/100,1)</f>
        <v/>
      </c>
      <c r="J793" t="inlineStr"/>
      <c r="K793" t="inlineStr"/>
      <c r="L793" t="inlineStr"/>
      <c r="M793" t="inlineStr"/>
      <c r="N793" t="inlineStr"/>
      <c r="O793">
        <f>(1-Summary!$B$11)*S793+Summary!$B$11*U793</f>
        <v/>
      </c>
      <c r="P793">
        <f>IF(B808=0,0,O793/B808)</f>
        <v/>
      </c>
      <c r="Q793">
        <f>IFERROR(1/IF(Inputs!$B$38="pvp",15,MAX(0.1,Skills!D21-IF(Skills!E21=TRUE,Inputs!$B$32,0))),0)</f>
        <v/>
      </c>
      <c r="R793" t="n">
        <v>0</v>
      </c>
      <c r="S793" t="n">
        <v>0</v>
      </c>
      <c r="U793" t="n">
        <v>0</v>
      </c>
    </row>
    <row r="794">
      <c r="A794">
        <f>Skills!A22</f>
        <v/>
      </c>
      <c r="B794">
        <f>Skills!B22</f>
        <v/>
      </c>
      <c r="C794">
        <f>Inputs!$B$3&gt;=117</f>
        <v/>
      </c>
      <c r="D794">
        <f>IF(Skills!C22=1,60+Inputs!$B$25+Inputs!$B$29,IF(Skills!C22=2,90+Inputs!$B$26+Inputs!$B$29,IF(Skills!C22=3,120+Inputs!$B$27+Inputs!$B$29,MAX(0,(Inputs!$B$3-100)*3)+(Inputs!$B$28+1)+Inputs!$B$29)))</f>
        <v/>
      </c>
      <c r="E794">
        <f>INDEX(FactorTable!$B$2:$Y$301, MATCH(ROUND(MIN(300,MAX(1,D794)),0), FactorTable!$A$2:$A$301,0), Skills!L22+1)</f>
        <v/>
      </c>
      <c r="F794">
        <f>IF(Skills!M22=TRUE,(Skills!K22/10)*(E794/1000),Skills!K22/10)+Skills!N22</f>
        <v/>
      </c>
      <c r="G794">
        <f>Calc!G22</f>
        <v/>
      </c>
      <c r="H794">
        <f>Calc!H22</f>
        <v/>
      </c>
      <c r="I794">
        <f>IF(Skills!T22&lt;&gt;"",1+(Skills!T22/10)*(Z775/1000)/100,1)</f>
        <v/>
      </c>
      <c r="J794" t="inlineStr"/>
      <c r="K794" t="inlineStr"/>
      <c r="L794" t="inlineStr"/>
      <c r="M794" t="inlineStr"/>
      <c r="N794" t="inlineStr"/>
      <c r="O794">
        <f>(1-Summary!$B$11)*S794+Summary!$B$11*U794</f>
        <v/>
      </c>
      <c r="P794">
        <f>IF(B808=0,0,O794/B808)</f>
        <v/>
      </c>
      <c r="Q794">
        <f>IFERROR(1/IF(Inputs!$B$38="pvp",15,MAX(0.1,Skills!D22-IF(Skills!E22=TRUE,Inputs!$B$32,0))),0)</f>
        <v/>
      </c>
      <c r="R794" t="n">
        <v>0</v>
      </c>
      <c r="S794" t="n">
        <v>0</v>
      </c>
      <c r="U794" t="n">
        <v>0</v>
      </c>
    </row>
    <row r="795">
      <c r="A795">
        <f>Skills!A23</f>
        <v/>
      </c>
      <c r="B795">
        <f>Skills!B23</f>
        <v/>
      </c>
      <c r="C795">
        <f>Inputs!$B$3&gt;=120</f>
        <v/>
      </c>
      <c r="D795">
        <f>IF(Skills!C23=1,60+Inputs!$B$25+Inputs!$B$29,IF(Skills!C23=2,90+Inputs!$B$26+Inputs!$B$29,IF(Skills!C23=3,120+Inputs!$B$27+Inputs!$B$29,MAX(0,(Inputs!$B$3-100)*3)+(Inputs!$B$28+1)+Inputs!$B$29)))</f>
        <v/>
      </c>
      <c r="E795">
        <f>INDEX(FactorTable!$B$2:$Y$301, MATCH(ROUND(MIN(300,MAX(1,D795)),0), FactorTable!$A$2:$A$301,0), Skills!L23+1)</f>
        <v/>
      </c>
      <c r="F795">
        <f>IF(Skills!M23=TRUE,(Skills!K23/10)*(E795/1000),Skills!K23/10)+Skills!N23</f>
        <v/>
      </c>
      <c r="G795">
        <f>Calc!G23</f>
        <v/>
      </c>
      <c r="H795">
        <f>Calc!H23</f>
        <v/>
      </c>
      <c r="I795">
        <f>IF(Skills!T23&lt;&gt;"",1+(Skills!T23/10)*(Z775/1000)/100,1)</f>
        <v/>
      </c>
      <c r="J795" t="inlineStr"/>
      <c r="K795" t="inlineStr"/>
      <c r="L795" t="inlineStr"/>
      <c r="M795" t="inlineStr"/>
      <c r="N795" t="inlineStr"/>
      <c r="O795">
        <f>(1-Summary!$B$11)*S795+Summary!$B$11*U795</f>
        <v/>
      </c>
      <c r="P795">
        <f>IF(B808=0,0,O795/B808)</f>
        <v/>
      </c>
      <c r="Q795">
        <f>IFERROR(1/IF(Inputs!$B$38="pvp",15,MAX(0.1,Skills!D23-IF(Skills!E23=TRUE,Inputs!$B$32,0))),0)</f>
        <v/>
      </c>
      <c r="R795" t="n">
        <v>0</v>
      </c>
      <c r="S795" t="n">
        <v>0</v>
      </c>
      <c r="U795" t="n">
        <v>0</v>
      </c>
    </row>
    <row r="798">
      <c r="A798" t="inlineStr">
        <is>
          <t>Average Buff Multiplier (Magic Guard + Meditation + Artifact Attack%, summed; then Infinity)</t>
        </is>
      </c>
      <c r="B798">
        <f>(1+(IF(C775=TRUE,F775*IF(AND(Inputs!$B$38&lt;&gt;"pvp",Inputs!$B$43&gt;0),(((R775-1)*(Skills!S3*(1+(Inputs!$B$34+IF(Inputs!$B$3&gt;=117,F794,0))/100))+MIN((Skills!S3*(1+(Inputs!$B$34+IF(Inputs!$B$3&gt;=117,F794,0))/100)),MAX(0,Inputs!$B$43-((R775-1)*Skills!D3))))/Inputs!$B$43),IF(Inputs!$B$38="pvp",MIN((Skills!S3*(1+(Inputs!$B$34+IF(Inputs!$B$3&gt;=117,F794,0))/100)),15)/15,(Skills!S3*(1+(Inputs!$B$34+IF(Inputs!$B$3&gt;=117,F794,0))/100))/Skills!D3)),0)+IF(C776=TRUE,F776*IF(AND(Inputs!$B$38&lt;&gt;"pvp",Inputs!$B$43&gt;0),(((R776-1)*(Skills!S4*(1+(Inputs!$B$34+IF(Inputs!$B$3&gt;=117,F794,0))/100))+MIN((Skills!S4*(1+(Inputs!$B$34+IF(Inputs!$B$3&gt;=117,F794,0))/100)),MAX(0,Inputs!$B$43-((R776-1)*Skills!D4))))/Inputs!$B$43),IF(Inputs!$B$38="pvp",MIN((Skills!S4*(1+(Inputs!$B$34+IF(Inputs!$B$3&gt;=117,F794,0))/100)),15)/15,(Skills!S4*(1+(Inputs!$B$34+IF(Inputs!$B$3&gt;=117,F794,0)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788=TRUE,(1+F788*IF(AND(Inputs!$B$38&lt;&gt;"pvp",Inputs!$B$43&gt;0),(((R788-1)*(Skills!S16*(1+(Inputs!$B$34+IF(Inputs!$B$3&gt;=117,F794,0))/100))+MIN((Skills!S16*(1+(Inputs!$B$34+IF(Inputs!$B$3&gt;=117,F794,0))/100)),MAX(0,Inputs!$B$43-((R788-1)*Skills!D16))))/Inputs!$B$43),IF(Inputs!$B$38="pvp",MIN((Skills!S16*(1+(Inputs!$B$34+IF(Inputs!$B$3&gt;=117,F794,0))/100)),15)/15,(Skills!S16*(1+(Inputs!$B$34+IF(Inputs!$B$3&gt;=117,F794,0))/100))/Skills!D16))/100),1)</f>
        <v/>
      </c>
    </row>
    <row r="799">
      <c r="A799" t="inlineStr">
        <is>
          <t>Monster Damage Taken Bonus % (Freezing Breath - Weaken + Elemental Reset + Artifact Enemy Damage Taken, summed)</t>
        </is>
      </c>
      <c r="B799">
        <f>IF(Inputs!$B$3&gt;=118,15*IF(Inputs!$B$38="pvp",MIN((30*(1+(Inputs!$B$34+IF(Inputs!$B$3&gt;=117,F794,0))/100)),15)/15,(30*(1+(Inputs!$B$34+IF(Inputs!$B$3&gt;=117,F794,0))/100))/Skills!D8),0)+IF(C786=TRUE,F786,0)+(IF(AND(ArtifactsInput!$M$35,Inputs!$B$4&lt;&gt;"Chapter Hunt"),CHOOSE(ArtifactsInput!$N$35+1,15,18,21,24,27,30)*(1-EXP(-(0.2*B802)*5)),0)+IF(AND(ArtifactsInput!$M$22,Inputs!$B$4&lt;&gt;"Chapter Hunt"),CHOOSE(ArtifactsInput!$N$22+1,10,12,14,16,18,20)*((0*(((0.15*B802*5))^0/1)+1*(((0.15*B802*5))^1/1)+2*(((0.15*B802*5))^2/2)+3*(((0.15*B802*5))^3/6)+4*(((0.15*B802*5))^4/24)+5*(((0.15*B802*5))^5/120))/((((0.15*B802*5))^0/1)+(((0.15*B802*5))^1/1)+(((0.15*B802*5))^2/2)+(((0.15*B802*5))^3/6)+(((0.15*B802*5))^4/24)+(((0.15*B802*5))^5/120))),0))</f>
        <v/>
      </c>
    </row>
    <row r="800">
      <c r="A800" t="inlineStr">
        <is>
          <t>Damage % Bonus (Frozen Break + Frost Clutch, flat)</t>
        </is>
      </c>
      <c r="B800">
        <f>IF(Inputs!$B$3&gt;=66,15,0)+IF(Inputs!$B$3&gt;=98,10,0)+IF(Inputs!$B$3&gt;=125,20,0)</f>
        <v/>
      </c>
    </row>
    <row r="801">
      <c r="A801" t="inlineStr">
        <is>
          <t>Attack Speed Bonus % (MP Eater - MP Boost, always-on once unlocked)</t>
        </is>
      </c>
      <c r="B801">
        <f>IF(C785=TRUE,F785+(F789-Calc!F17),0)</f>
        <v/>
      </c>
    </row>
    <row r="802">
      <c r="A802" t="inlineStr">
        <is>
          <t>Actions Per Second</t>
        </is>
      </c>
      <c r="B802">
        <f>1+MIN(150,150*(1-(1-(Inputs!$B$11+(ArtifactsInput!$M$15-ArtifactsInput!$M$15)*CHOOSE(ArtifactsInput!$N$15+1,8,9.6,11.2,12.8,14.4,16))/150)*(1-B801/150)))/100</f>
        <v/>
      </c>
    </row>
    <row r="803">
      <c r="A803" t="inlineStr">
        <is>
          <t>Skill + Buff Cast Rate</t>
        </is>
      </c>
      <c r="B803">
        <f>IF(AND(Inputs!$B$38&lt;&gt;"pvp",Inputs!$B$43&gt;0),SUMPRODUCT((Skills!E2:E23=TRUE)*(C774:C795=TRUE)*R774:R795)/Inputs!$B$43,SUMPRODUCT((Skills!E2:E23=TRUE)*(C774:C795=TRUE)*Q774:Q795))</f>
        <v/>
      </c>
    </row>
    <row r="804">
      <c r="A804" t="inlineStr">
        <is>
          <t>Chain Lightning Casts Per Second</t>
        </is>
      </c>
      <c r="B804">
        <f>MAX(0,B802-B803)</f>
        <v/>
      </c>
    </row>
    <row r="805">
      <c r="A805" t="inlineStr">
        <is>
          <t>Buff-Casting Startup Delay (s, fixed-duration only)</t>
        </is>
      </c>
      <c r="B805">
        <f>IF(AND(Inputs!$B$38&lt;&gt;"pvp",Inputs!$B$43&gt;0),SUMPRODUCT((Skills!S2:S23&gt;0)*(Skills!E2:E23=TRUE)*(C774:C795=TRUE))/B802,0)</f>
        <v/>
      </c>
    </row>
    <row r="806">
      <c r="A806" t="inlineStr">
        <is>
          <t>Boss-Only Total DPS (this block's swept value)</t>
        </is>
      </c>
      <c r="B806">
        <f>SUM(S774:S795)</f>
        <v/>
      </c>
    </row>
    <row r="807">
      <c r="A807" t="inlineStr">
        <is>
          <t>Normal-Only Total DPS (this block's swept value)</t>
        </is>
      </c>
      <c r="B807">
        <f>SUM(U774:U795)</f>
        <v/>
      </c>
    </row>
    <row r="808">
      <c r="A808" s="6" t="inlineStr">
        <is>
          <t>TOTAL DPS</t>
        </is>
      </c>
      <c r="B808" s="6">
        <f>SUM(O774:O795)</f>
        <v/>
      </c>
    </row>
    <row r="811">
      <c r="A811" s="6" t="inlineStr">
        <is>
          <t>Stat: Skill Level Bonus — All Skills</t>
        </is>
      </c>
    </row>
    <row r="812">
      <c r="A812" s="5" t="inlineStr">
        <is>
          <t>Key</t>
        </is>
      </c>
      <c r="B812" s="5" t="inlineStr">
        <is>
          <t>Name</t>
        </is>
      </c>
      <c r="C812" s="5" t="inlineStr">
        <is>
          <t>Unlocked</t>
        </is>
      </c>
      <c r="D812" s="5" t="inlineStr">
        <is>
          <t>InputLevel</t>
        </is>
      </c>
      <c r="E812" s="5" t="inlineStr">
        <is>
          <t>Factor</t>
        </is>
      </c>
      <c r="F812" s="5" t="inlineStr">
        <is>
          <t>CoefficientPercent</t>
        </is>
      </c>
      <c r="G812" s="5" t="inlineStr">
        <is>
          <t>EffectiveHits</t>
        </is>
      </c>
      <c r="H812" s="5" t="inlineStr">
        <is>
          <t>ProcProbability</t>
        </is>
      </c>
      <c r="I812" s="5" t="inlineStr">
        <is>
          <t>MapleHeroMultiplier</t>
        </is>
      </c>
      <c r="J812" s="5" t="inlineStr">
        <is>
          <t>BaseDamage</t>
        </is>
      </c>
      <c r="K812" s="5" t="inlineStr">
        <is>
          <t>BaseHitDamage</t>
        </is>
      </c>
      <c r="L812" s="5" t="inlineStr">
        <is>
          <t>NonCritAvg</t>
        </is>
      </c>
      <c r="M812" s="5" t="inlineStr">
        <is>
          <t>CritAvg</t>
        </is>
      </c>
      <c r="N812" s="5" t="inlineStr">
        <is>
          <t>ExpectedDamage(perHit)</t>
        </is>
      </c>
      <c r="O812" s="5" t="inlineStr">
        <is>
          <t>DPS</t>
        </is>
      </c>
      <c r="P812" s="5" t="inlineStr">
        <is>
          <t>% of Total</t>
        </is>
      </c>
      <c r="R812" t="inlineStr">
        <is>
          <t>helpers</t>
        </is>
      </c>
    </row>
    <row r="813">
      <c r="A813">
        <f>Skills!A2</f>
        <v/>
      </c>
      <c r="B813">
        <f>Skills!B2</f>
        <v/>
      </c>
      <c r="C813">
        <f>Inputs!$B$3&gt;=100</f>
        <v/>
      </c>
      <c r="D813" t="inlineStr"/>
      <c r="E813" t="inlineStr"/>
      <c r="F813">
        <f>T815+Skills!N2</f>
        <v/>
      </c>
      <c r="G813">
        <f>Calc!G2</f>
        <v/>
      </c>
      <c r="H813">
        <f>Calc!H2</f>
        <v/>
      </c>
      <c r="I813">
        <f>IF(Skills!T2&lt;&gt;"",1+(Skills!T2/10)*(Z814/1000)/100,1)</f>
        <v/>
      </c>
      <c r="J813">
        <f>((Inputs!$B$6*(1+Inputs!$B$7/100))+(((Inputs!$B$12*(1+Inputs!$B$13/100))-(Inputs!$B$12*(1+Inputs!$B$13/100)))+0.25*(Inputs!$B$14-Inputs!$B$14))*(1+Inputs!$B$7/100))*(F813/100)</f>
        <v/>
      </c>
      <c r="K813">
        <f>J813*(1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F829-Calc!F18),(Inputs!$B$23+(IF(ArtifactsInput!$M$15,CHOOSE(ArtifactsInput!$N$15+1,25,30,35,40,45,50)/100*(Inputs!$B$11-Inputs!$B$11),0))))/100+(Inputs!$B$23+(IF(ArtifactsInput!$M$15,CHOOSE(ArtifactsInput!$N$15+1,25,30,35,40,45,50)/100*(Inputs!$B$11-Inputs!$B$11),0)))/100)/2</f>
        <v/>
      </c>
      <c r="M813">
        <f>L813*(1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(1-Summary!$B$11)*S813+Summary!$B$11*U813</f>
        <v/>
      </c>
      <c r="P813">
        <f>IF(B847=0,0,O813/B847)</f>
        <v/>
      </c>
      <c r="Q813">
        <f>IFERROR(1/IF(Inputs!$B$38="pvp",15,MAX(0.1,Skills!D2-IF(Skills!E2=TRUE,Inputs!$B$32,0))),0)</f>
        <v/>
      </c>
      <c r="R813" t="n">
        <v>0</v>
      </c>
      <c r="S813">
        <f>IF(C813,(Skills!F2*N813*B843)*IF(Inputs!$B$38="pvp",1,1+(Inputs!$B$20+Skills!O2+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13">
        <f>MAX(0,(Inputs!$B$3-100)*3)+Inputs!$B$28+(Inputs!$B$29+1)</f>
        <v/>
      </c>
      <c r="U813">
        <f>IF(C813,(Skills!F2*N813*B843)*IF(Inputs!$B$38="pvp",1,(1+(Inputs!$B$21+Skills!P2+B838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13">
        <f>MAX(0,(Inputs!$B$3-100)*3)+Inputs!$B$28+(Inputs!$B$29+1)</f>
        <v/>
      </c>
    </row>
    <row r="814">
      <c r="A814">
        <f>Skills!A3</f>
        <v/>
      </c>
      <c r="B814">
        <f>Skills!B3</f>
        <v/>
      </c>
      <c r="C814">
        <f>Inputs!$B$3&gt;=15</f>
        <v/>
      </c>
      <c r="D814">
        <f>IF(Skills!C3=1,60+Inputs!$B$25+(Inputs!$B$29+1),IF(Skills!C3=2,90+Inputs!$B$26+(Inputs!$B$29+1),IF(Skills!C3=3,120+Inputs!$B$27+(Inputs!$B$29+1),MAX(0,(Inputs!$B$3-100)*3)+Inputs!$B$28+(Inputs!$B$29+1))))</f>
        <v/>
      </c>
      <c r="E814">
        <f>INDEX(FactorTable!$B$2:$Y$301, MATCH(ROUND(MIN(300,MAX(1,D814)),0), FactorTable!$A$2:$A$301,0), Skills!L3+1)</f>
        <v/>
      </c>
      <c r="F814">
        <f>IF(Skills!M3=TRUE,(Skills!K3/10)*(E814/1000),Skills!K3/10)+Skills!N3</f>
        <v/>
      </c>
      <c r="G814">
        <f>Calc!G3</f>
        <v/>
      </c>
      <c r="H814">
        <f>Calc!H3</f>
        <v/>
      </c>
      <c r="I814">
        <f>IF(Skills!T3&lt;&gt;"",1+(Skills!T3/10)*(Z814/1000)/100,1)</f>
        <v/>
      </c>
      <c r="J814" t="inlineStr"/>
      <c r="K814" t="inlineStr"/>
      <c r="L814" t="inlineStr"/>
      <c r="M814" t="inlineStr"/>
      <c r="N814" t="inlineStr"/>
      <c r="O814">
        <f>(1-Summary!$B$11)*S814+Summary!$B$11*U814</f>
        <v/>
      </c>
      <c r="P814">
        <f>IF(B847=0,0,O814/B847)</f>
        <v/>
      </c>
      <c r="Q814">
        <f>IFERROR(1/IF(Inputs!$B$38="pvp",15,MAX(0.1,Skills!D3-IF(Skills!E3=TRUE,Inputs!$B$32,0))),0)</f>
        <v/>
      </c>
      <c r="R814">
        <f>IF(AND(Inputs!$B$38&lt;&gt;"pvp",Inputs!$B$43&gt;0),IF(Inputs!$B$43&lt;=0,0,(INT(Inputs!$B$43/IF(Inputs!$B$38="pvp",15,MAX(0.1,Skills!D3-IF(Skills!E3=TRUE,Inputs!$B$32,0))))+1)),0)</f>
        <v/>
      </c>
      <c r="S814" t="n">
        <v>0</v>
      </c>
      <c r="T814">
        <f>INDEX(FactorTable!$B$2:$Y$301, MATCH(ROUND(MIN(300,MAX(1,T813)),0), FactorTable!$A$2:$A$301,0), 22)</f>
        <v/>
      </c>
      <c r="U814" t="n">
        <v>0</v>
      </c>
      <c r="Z814">
        <f>INDEX(FactorTable!$B$2:$Y$301, MATCH(ROUND(MIN(300,MAX(1,Z813)),0), FactorTable!$A$2:$A$301,0), 24)</f>
        <v/>
      </c>
    </row>
    <row r="815">
      <c r="A815">
        <f>Skills!A4</f>
        <v/>
      </c>
      <c r="B815">
        <f>Skills!B4</f>
        <v/>
      </c>
      <c r="C815">
        <f>Inputs!$B$3&gt;=40</f>
        <v/>
      </c>
      <c r="D815">
        <f>IF(Skills!C4=1,60+Inputs!$B$25+(Inputs!$B$29+1),IF(Skills!C4=2,90+Inputs!$B$26+(Inputs!$B$29+1),IF(Skills!C4=3,120+Inputs!$B$27+(Inputs!$B$29+1),MAX(0,(Inputs!$B$3-100)*3)+Inputs!$B$28+(Inputs!$B$29+1))))</f>
        <v/>
      </c>
      <c r="E815">
        <f>INDEX(FactorTable!$B$2:$Y$301, MATCH(ROUND(MIN(300,MAX(1,D815)),0), FactorTable!$A$2:$A$301,0), Skills!L4+1)</f>
        <v/>
      </c>
      <c r="F815">
        <f>IF(Skills!M4=TRUE,(Skills!K4/10)*(E815/1000),Skills!K4/10)+Skills!N4</f>
        <v/>
      </c>
      <c r="G815">
        <f>Calc!G4</f>
        <v/>
      </c>
      <c r="H815">
        <f>Calc!H4</f>
        <v/>
      </c>
      <c r="I815">
        <f>IF(Skills!T4&lt;&gt;"",1+(Skills!T4/10)*(Z814/1000)/100,1)</f>
        <v/>
      </c>
      <c r="J815" t="inlineStr"/>
      <c r="K815" t="inlineStr"/>
      <c r="L815" t="inlineStr"/>
      <c r="M815" t="inlineStr"/>
      <c r="N815" t="inlineStr"/>
      <c r="O815">
        <f>(1-Summary!$B$11)*S815+Summary!$B$11*U815</f>
        <v/>
      </c>
      <c r="P815">
        <f>IF(B847=0,0,O815/B847)</f>
        <v/>
      </c>
      <c r="Q815">
        <f>IFERROR(1/IF(Inputs!$B$38="pvp",15,MAX(0.1,Skills!D4-IF(Skills!E4=TRUE,Inputs!$B$32,0))),0)</f>
        <v/>
      </c>
      <c r="R815">
        <f>IF(AND(Inputs!$B$38&lt;&gt;"pvp",Inputs!$B$43&gt;0),IF(Inputs!$B$43&lt;=0,0,(INT(Inputs!$B$43/IF(Inputs!$B$38="pvp",15,MAX(0.1,Skills!D4-IF(Skills!E4=TRUE,Inputs!$B$32,0))))+1)),0)</f>
        <v/>
      </c>
      <c r="S815" t="n">
        <v>0</v>
      </c>
      <c r="T815">
        <f>290*T814/1000</f>
        <v/>
      </c>
      <c r="U815" t="n">
        <v>0</v>
      </c>
    </row>
    <row r="816">
      <c r="A816">
        <f>Skills!A5</f>
        <v/>
      </c>
      <c r="B816">
        <f>Skills!B5</f>
        <v/>
      </c>
      <c r="C816">
        <f>Inputs!$B$3&gt;=38</f>
        <v/>
      </c>
      <c r="D816">
        <f>IF(Skills!C5=1,60+Inputs!$B$25+(Inputs!$B$29+1),IF(Skills!C5=2,90+Inputs!$B$26+(Inputs!$B$29+1),IF(Skills!C5=3,120+Inputs!$B$27+(Inputs!$B$29+1),MAX(0,(Inputs!$B$3-100)*3)+Inputs!$B$28+(Inputs!$B$29+1))))</f>
        <v/>
      </c>
      <c r="E816">
        <f>INDEX(FactorTable!$B$2:$Y$301, MATCH(ROUND(MIN(300,MAX(1,D816)),0), FactorTable!$A$2:$A$301,0), Skills!L5+1)</f>
        <v/>
      </c>
      <c r="F816">
        <f>IF(Skills!M5=TRUE,(Skills!K5/10)*(E816/1000),Skills!K5/10)+Skills!N5</f>
        <v/>
      </c>
      <c r="G816">
        <f>Calc!G5</f>
        <v/>
      </c>
      <c r="H816">
        <f>Calc!H5</f>
        <v/>
      </c>
      <c r="I816">
        <f>IF(Skills!T5&lt;&gt;"",1+(Skills!T5/10)*(Z814/1000)/100,1)</f>
        <v/>
      </c>
      <c r="J816">
        <f>((Inputs!$B$6*(1+Inputs!$B$7/100))+(((Inputs!$B$12*(1+Inputs!$B$13/100))-(Inputs!$B$12*(1+Inputs!$B$13/100)))+0.25*(Inputs!$B$14-Inputs!$B$14))*(1+Inputs!$B$7/100))*(F816/100)</f>
        <v/>
      </c>
      <c r="K816">
        <f>J816*(1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F829-Calc!F18),(Inputs!$B$23+(IF(ArtifactsInput!$M$15,CHOOSE(ArtifactsInput!$N$15+1,25,30,35,40,45,50)/100*(Inputs!$B$11-Inputs!$B$11),0))))/100+(Inputs!$B$23+(IF(ArtifactsInput!$M$15,CHOOSE(ArtifactsInput!$N$15+1,25,30,35,40,45,50)/100*(Inputs!$B$11-Inputs!$B$11),0)))/100)/2</f>
        <v/>
      </c>
      <c r="M816">
        <f>L816*(1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(1-Summary!$B$11)*S816+Summary!$B$11*U816</f>
        <v/>
      </c>
      <c r="P816">
        <f>IF(B847=0,0,O816/B847)</f>
        <v/>
      </c>
      <c r="Q816">
        <f>IFERROR(1/IF(Inputs!$B$38="pvp",15,MAX(0.1,Skills!D5-IF(Skills!E5=TRUE,Inputs!$B$32,0))),0)</f>
        <v/>
      </c>
      <c r="R816">
        <f>IF(AND(Inputs!$B$38&lt;&gt;"pvp",Inputs!$B$43&gt;0),IF(MAX(0,Inputs!$B$43-B844)&lt;=0,0,(INT(MAX(0,Inputs!$B$43-B844)/IF(Inputs!$B$38="pvp",15,MAX(0.1,Skills!D5-IF(Skills!E5=TRUE,Inputs!$B$32,0))))+1)),0)</f>
        <v/>
      </c>
      <c r="S816">
        <f>IF(C816,(H816*N816*IF(AND(Inputs!$B$38&lt;&gt;"pvp",Inputs!$B$43&gt;0),((Skills!F5*((R816-1)*IF(Skills!G5&gt;0,Skills!H5/Skills!G5,1)+IF(Skills!G5&gt;0,MIN(Skills!H5,MAX(0,MAX(0,Inputs!$B$43-B844)-((R816-1)*IF(Inputs!$B$38="pvp",15,MAX(0.1,Skills!D5-IF(Skills!E5=TRUE,Inputs!$B$32,0))))))/Skills!G5,1)))/Inputs!$B$43),G816*Q816))*IF(Inputs!$B$38="pvp",1,1+(Inputs!$B$20+Skills!O5+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816*(1-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IF(C816,(H816*N816*IF(AND(Inputs!$B$38&lt;&gt;"pvp",Inputs!$B$43&gt;0),((Skills!F5*((R816-1)*IF(Skills!G5&gt;0,Skills!H5/Skills!G5,1)+IF(Skills!G5&gt;0,MIN(Skills!H5,MAX(0,MAX(0,Inputs!$B$43-B844)-((R816-1)*IF(Inputs!$B$38="pvp",15,MAX(0.1,Skills!D5-IF(Skills!E5=TRUE,Inputs!$B$32,0))))))/Skills!G5,1)))/Inputs!$B$43),G816*Q816))*IF(Inputs!$B$38="pvp",1,(1+(Inputs!$B$21+Skills!P5+B838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Skills!A6</f>
        <v/>
      </c>
      <c r="B817">
        <f>Skills!B6</f>
        <v/>
      </c>
      <c r="C817">
        <f>Inputs!$B$3&gt;=63</f>
        <v/>
      </c>
      <c r="D817">
        <f>IF(Skills!C6=1,60+Inputs!$B$25+(Inputs!$B$29+1),IF(Skills!C6=2,90+Inputs!$B$26+(Inputs!$B$29+1),IF(Skills!C6=3,120+Inputs!$B$27+(Inputs!$B$29+1),MAX(0,(Inputs!$B$3-100)*3)+Inputs!$B$28+(Inputs!$B$29+1))))</f>
        <v/>
      </c>
      <c r="E817">
        <f>INDEX(FactorTable!$B$2:$Y$301, MATCH(ROUND(MIN(300,MAX(1,D817)),0), FactorTable!$A$2:$A$301,0), Skills!L6+1)</f>
        <v/>
      </c>
      <c r="F817">
        <f>IF(Skills!M6=TRUE,(Skills!K6/10)*(E817/1000),Skills!K6/10)+Skills!N6</f>
        <v/>
      </c>
      <c r="G817">
        <f>Calc!G6</f>
        <v/>
      </c>
      <c r="H817">
        <f>Calc!H6</f>
        <v/>
      </c>
      <c r="I817">
        <f>IF(Skills!T6&lt;&gt;"",1+(Skills!T6/10)*(Z814/1000)/100,1)</f>
        <v/>
      </c>
      <c r="J817">
        <f>((Inputs!$B$6*(1+Inputs!$B$7/100))+(((Inputs!$B$12*(1+Inputs!$B$13/100))-(Inputs!$B$12*(1+Inputs!$B$13/100)))+0.25*(Inputs!$B$14-Inputs!$B$14))*(1+Inputs!$B$7/100))*(F817/100)</f>
        <v/>
      </c>
      <c r="K817">
        <f>J817*(1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817)</f>
        <v/>
      </c>
      <c r="L817">
        <f>K817*(MIN(Inputs!$B$22+(F829-Calc!F18),(Inputs!$B$23+(IF(ArtifactsInput!$M$15,CHOOSE(ArtifactsInput!$N$15+1,25,30,35,40,45,50)/100*(Inputs!$B$11-Inputs!$B$11),0))))/100+(Inputs!$B$23+(IF(ArtifactsInput!$M$15,CHOOSE(ArtifactsInput!$N$15+1,25,30,35,40,45,50)/100*(Inputs!$B$11-Inputs!$B$11),0)))/100)/2</f>
        <v/>
      </c>
      <c r="M817">
        <f>L817*(1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7">
        <f>L817*(1-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817*(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7">
        <f>(1-Summary!$B$11)*S817+Summary!$B$11*U817</f>
        <v/>
      </c>
      <c r="P817">
        <f>IF(B847=0,0,O817/B847)</f>
        <v/>
      </c>
      <c r="Q817">
        <f>IFERROR(1/IF(Inputs!$B$38="pvp",15,MAX(0.1,Skills!D6-IF(Skills!E6=TRUE,Inputs!$B$32,0))),0)</f>
        <v/>
      </c>
      <c r="R817">
        <f>IF(AND(Inputs!$B$38&lt;&gt;"pvp",Inputs!$B$43&gt;0),IF(MAX(0,Inputs!$B$43-B844)&lt;=0,0,(INT(MAX(0,Inputs!$B$43-B844)/IF(Inputs!$B$38="pvp",15,MAX(0.1,Skills!D6-IF(Skills!E6=TRUE,Inputs!$B$32,0))))+1)),0)</f>
        <v/>
      </c>
      <c r="S817">
        <f>IF(C817,(H817*N817*IF(AND(Inputs!$B$38&lt;&gt;"pvp",Inputs!$B$43&gt;0),((Skills!F6*((R817-1)*IF(Skills!G6&gt;0,Skills!H6/Skills!G6,1)+IF(Skills!G6&gt;0,MIN(Skills!H6,MAX(0,MAX(0,Inputs!$B$43-B844)-((R817-1)*IF(Inputs!$B$38="pvp",15,MAX(0.1,Skills!D6-IF(Skills!E6=TRUE,Inputs!$B$32,0))))))/Skills!G6,1)))/Inputs!$B$43),G817*Q817))*IF(Inputs!$B$38="pvp",1,1+(Inputs!$B$20+Skills!O6+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817*(1-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817*(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817*(1-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817*(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7">
        <f>IF(C817,(H817*N817*IF(AND(Inputs!$B$38&lt;&gt;"pvp",Inputs!$B$43&gt;0),((Skills!F6*((R817-1)*IF(Skills!G6&gt;0,Skills!H6/Skills!G6,1)+IF(Skills!G6&gt;0,MIN(Skills!H6,MAX(0,MAX(0,Inputs!$B$43-B844)-((R817-1)*IF(Inputs!$B$38="pvp",15,MAX(0.1,Skills!D6-IF(Skills!E6=TRUE,Inputs!$B$32,0))))))/Skills!G6,1)))/Inputs!$B$43),G817*Q817))*IF(Inputs!$B$38="pvp",1,(1+(Inputs!$B$21+Skills!P6+B838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8">
      <c r="A818">
        <f>Skills!A7</f>
        <v/>
      </c>
      <c r="B818">
        <f>Skills!B7</f>
        <v/>
      </c>
      <c r="C818">
        <f>Inputs!$B$3&gt;=69</f>
        <v/>
      </c>
      <c r="D818">
        <f>IF(Skills!C7=1,60+Inputs!$B$25+(Inputs!$B$29+1),IF(Skills!C7=2,90+Inputs!$B$26+(Inputs!$B$29+1),IF(Skills!C7=3,120+Inputs!$B$27+(Inputs!$B$29+1),MAX(0,(Inputs!$B$3-100)*3)+Inputs!$B$28+(Inputs!$B$29+1))))</f>
        <v/>
      </c>
      <c r="E818">
        <f>INDEX(FactorTable!$B$2:$Y$301, MATCH(ROUND(MIN(300,MAX(1,D818)),0), FactorTable!$A$2:$A$301,0), Skills!L7+1)</f>
        <v/>
      </c>
      <c r="F818">
        <f>IF(Skills!M7=TRUE,(Skills!K7/10)*(E818/1000),Skills!K7/10)+Skills!N7</f>
        <v/>
      </c>
      <c r="G818">
        <f>Calc!G7</f>
        <v/>
      </c>
      <c r="H818">
        <f>Calc!H7</f>
        <v/>
      </c>
      <c r="I818">
        <f>IF(Skills!T7&lt;&gt;"",1+(Skills!T7/10)*(Z814/1000)/100,1)</f>
        <v/>
      </c>
      <c r="J818">
        <f>((Inputs!$B$6*(1+Inputs!$B$7/100))+(((Inputs!$B$12*(1+Inputs!$B$13/100))-(Inputs!$B$12*(1+Inputs!$B$13/100)))+0.25*(Inputs!$B$14-Inputs!$B$14))*(1+Inputs!$B$7/100))*(F818/100)</f>
        <v/>
      </c>
      <c r="K818">
        <f>J818*(1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F829-Calc!F18),(Inputs!$B$23+(IF(ArtifactsInput!$M$15,CHOOSE(ArtifactsInput!$N$15+1,25,30,35,40,45,50)/100*(Inputs!$B$11-Inputs!$B$11),0))))/100+(Inputs!$B$23+(IF(ArtifactsInput!$M$15,CHOOSE(ArtifactsInput!$N$15+1,25,30,35,40,45,50)/100*(Inputs!$B$11-Inputs!$B$11),0)))/100)/2</f>
        <v/>
      </c>
      <c r="M818">
        <f>L818*(1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(1-Summary!$B$11)*S818+Summary!$B$11*U818</f>
        <v/>
      </c>
      <c r="P818">
        <f>IF(B847=0,0,O818/B847)</f>
        <v/>
      </c>
      <c r="Q818">
        <f>IFERROR(1/IF(Inputs!$B$38="pvp",15,MAX(0.1,Skills!D7-IF(Skills!E7=TRUE,Inputs!$B$32,0))),0)</f>
        <v/>
      </c>
      <c r="R818">
        <f>IF(AND(Inputs!$B$38&lt;&gt;"pvp",Inputs!$B$43&gt;0),IF(MAX(0,Inputs!$B$43-B844)&lt;=0,0,(INT(MAX(0,Inputs!$B$43-B844)/IF(Inputs!$B$38="pvp",15,MAX(0.1,Skills!D7-IF(Skills!E7=TRUE,Inputs!$B$32,0))))+1)),0)</f>
        <v/>
      </c>
      <c r="S818">
        <f>IF(C818,(H818*N818*IF(AND(Inputs!$B$38&lt;&gt;"pvp",Inputs!$B$43&gt;0),((Skills!F7*((R818-1)*IF(Skills!G7&gt;0,Skills!H7/Skills!G7,1)+IF(Skills!G7&gt;0,MIN(Skills!H7,MAX(0,MAX(0,Inputs!$B$43-B844)-((R818-1)*IF(Inputs!$B$38="pvp",15,MAX(0.1,Skills!D7-IF(Skills!E7=TRUE,Inputs!$B$32,0))))))/Skills!G7,1)))/Inputs!$B$43),G818*Q818))*IF(Inputs!$B$38="pvp",1,1+(Inputs!$B$20+Skills!O7+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818*(1-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8">
        <f>IF(C818,(H818*N818*IF(AND(Inputs!$B$38&lt;&gt;"pvp",Inputs!$B$43&gt;0),((Skills!F7*((R818-1)*IF(Skills!G7&gt;0,Skills!H7/Skills!G7,1)+IF(Skills!G7&gt;0,MIN(Skills!H7,MAX(0,MAX(0,Inputs!$B$43-B844)-((R818-1)*IF(Inputs!$B$38="pvp",15,MAX(0.1,Skills!D7-IF(Skills!E7=TRUE,Inputs!$B$32,0))))))/Skills!G7,1)))/Inputs!$B$43),G818*Q818))*IF(Inputs!$B$38="pvp",1,(1+(Inputs!$B$21+Skills!P7+B838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Skills!A8</f>
        <v/>
      </c>
      <c r="B819">
        <f>Skills!B8</f>
        <v/>
      </c>
      <c r="C819">
        <f>Inputs!$B$3&gt;=103</f>
        <v/>
      </c>
      <c r="D819">
        <f>IF(Skills!C8=1,60+Inputs!$B$25+(Inputs!$B$29+1),IF(Skills!C8=2,90+Inputs!$B$26+(Inputs!$B$29+1),IF(Skills!C8=3,120+Inputs!$B$27+(Inputs!$B$29+1),MAX(0,(Inputs!$B$3-100)*3)+Inputs!$B$28+(Inputs!$B$29+1))))</f>
        <v/>
      </c>
      <c r="E819">
        <f>INDEX(FactorTable!$B$2:$Y$301, MATCH(ROUND(MIN(300,MAX(1,D819)),0), FactorTable!$A$2:$A$301,0), Skills!L8+1)</f>
        <v/>
      </c>
      <c r="F819">
        <f>IF(Skills!M8=TRUE,(Skills!K8/10)*(E819/1000),Skills!K8/10)+Skills!N8</f>
        <v/>
      </c>
      <c r="G819">
        <f>Calc!G8</f>
        <v/>
      </c>
      <c r="H819">
        <f>Calc!H8</f>
        <v/>
      </c>
      <c r="I819">
        <f>IF(Skills!T8&lt;&gt;"",1+(Skills!T8/10)*(Z814/1000)/100,1)</f>
        <v/>
      </c>
      <c r="J819">
        <f>((Inputs!$B$6*(1+Inputs!$B$7/100))+(((Inputs!$B$12*(1+Inputs!$B$13/100))-(Inputs!$B$12*(1+Inputs!$B$13/100)))+0.25*(Inputs!$B$14-Inputs!$B$14))*(1+Inputs!$B$7/100))*(F819/100)</f>
        <v/>
      </c>
      <c r="K819">
        <f>J819*(1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F829-Calc!F18),(Inputs!$B$23+(IF(ArtifactsInput!$M$15,CHOOSE(ArtifactsInput!$N$15+1,25,30,35,40,45,50)/100*(Inputs!$B$11-Inputs!$B$11),0))))/100+(Inputs!$B$23+(IF(ArtifactsInput!$M$15,CHOOSE(ArtifactsInput!$N$15+1,25,30,35,40,45,50)/100*(Inputs!$B$11-Inputs!$B$11),0)))/100)/2</f>
        <v/>
      </c>
      <c r="M819">
        <f>L819*(1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(1-Summary!$B$11)*S819+Summary!$B$11*U819</f>
        <v/>
      </c>
      <c r="P819">
        <f>IF(B847=0,0,O819/B847)</f>
        <v/>
      </c>
      <c r="Q819">
        <f>IFERROR(1/IF(Inputs!$B$38="pvp",15,MAX(0.1,Skills!D8-IF(Skills!E8=TRUE,Inputs!$B$32,0))),0)</f>
        <v/>
      </c>
      <c r="R819">
        <f>IF(AND(Inputs!$B$38&lt;&gt;"pvp",Inputs!$B$43&gt;0),IF(MAX(0,Inputs!$B$43-B844)&lt;=0,0,(INT(MAX(0,Inputs!$B$43-B844)/IF(Inputs!$B$38="pvp",15,MAX(0.1,Skills!D8-IF(Skills!E8=TRUE,Inputs!$B$32,0))))+1)),0)</f>
        <v/>
      </c>
      <c r="S819">
        <f>IF(C819,(H819*N819*IF(AND(Inputs!$B$38&lt;&gt;"pvp",Inputs!$B$43&gt;0),((Skills!F8*((R819-1)*IF(Skills!G8&gt;0,Skills!H8/Skills!G8,1)+IF(Skills!G8&gt;0,MIN(Skills!H8,MAX(0,MAX(0,Inputs!$B$43-B844)-((R819-1)*IF(Inputs!$B$38="pvp",15,MAX(0.1,Skills!D8-IF(Skills!E8=TRUE,Inputs!$B$32,0))))))/Skills!G8,1)))/Inputs!$B$43),G819*Q819))*IF(Inputs!$B$38="pvp",1,1+(Inputs!$B$20+Skills!O8+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819*(1-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9">
        <f>IF(C819,(H819*N819*IF(AND(Inputs!$B$38&lt;&gt;"pvp",Inputs!$B$43&gt;0),((Skills!F8*((R819-1)*IF(Skills!G8&gt;0,Skills!H8/Skills!G8,1)+IF(Skills!G8&gt;0,MIN(Skills!H8,MAX(0,MAX(0,Inputs!$B$43-B844)-((R819-1)*IF(Inputs!$B$38="pvp",15,MAX(0.1,Skills!D8-IF(Skills!E8=TRUE,Inputs!$B$32,0))))))/Skills!G8,1)))/Inputs!$B$43),G819*Q819))*IF(Inputs!$B$38="pvp",1,(1+(Inputs!$B$21+Skills!P8+B838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Skills!A9</f>
        <v/>
      </c>
      <c r="B820">
        <f>Skills!B9</f>
        <v/>
      </c>
      <c r="C820">
        <f>Inputs!$B$3&gt;=105</f>
        <v/>
      </c>
      <c r="D820">
        <f>IF(Skills!C9=1,60+Inputs!$B$25+(Inputs!$B$29+1),IF(Skills!C9=2,90+Inputs!$B$26+(Inputs!$B$29+1),IF(Skills!C9=3,120+Inputs!$B$27+(Inputs!$B$29+1),MAX(0,(Inputs!$B$3-100)*3)+Inputs!$B$28+(Inputs!$B$29+1))))</f>
        <v/>
      </c>
      <c r="E820">
        <f>INDEX(FactorTable!$B$2:$Y$301, MATCH(ROUND(MIN(300,MAX(1,D820)),0), FactorTable!$A$2:$A$301,0), Skills!L9+1)</f>
        <v/>
      </c>
      <c r="F820">
        <f>IF(Skills!M9=TRUE,(Skills!K9/10)*(E820/1000),Skills!K9/10)+Skills!N9</f>
        <v/>
      </c>
      <c r="G820">
        <f>Calc!G9</f>
        <v/>
      </c>
      <c r="H820">
        <f>Calc!H9</f>
        <v/>
      </c>
      <c r="I820">
        <f>IF(Skills!T9&lt;&gt;"",1+(Skills!T9/10)*(Z814/1000)/100,1)</f>
        <v/>
      </c>
      <c r="J820">
        <f>((Inputs!$B$6*(1+Inputs!$B$7/100))+(((Inputs!$B$12*(1+Inputs!$B$13/100))-(Inputs!$B$12*(1+Inputs!$B$13/100)))+0.25*(Inputs!$B$14-Inputs!$B$14))*(1+Inputs!$B$7/100))*(F820/100)</f>
        <v/>
      </c>
      <c r="K820">
        <f>J820*(1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829-Calc!F18),(Inputs!$B$23+(IF(ArtifactsInput!$M$15,CHOOSE(ArtifactsInput!$N$15+1,25,30,35,40,45,50)/100*(Inputs!$B$11-Inputs!$B$11),0))))/100+(Inputs!$B$23+(IF(ArtifactsInput!$M$15,CHOOSE(ArtifactsInput!$N$15+1,25,30,35,40,45,50)/100*(Inputs!$B$11-Inputs!$B$11),0)))/100)/2</f>
        <v/>
      </c>
      <c r="M820">
        <f>L820*(1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IF(B847=0,0,O820/B847)</f>
        <v/>
      </c>
      <c r="Q820">
        <f>IFERROR(1/IF(Inputs!$B$38="pvp",15,MAX(0.1,Skills!D9-IF(Skills!E9=TRUE,Inputs!$B$32,0))),0)</f>
        <v/>
      </c>
      <c r="R820">
        <f>IF(AND(Inputs!$B$38&lt;&gt;"pvp",Inputs!$B$43&gt;0),IF(MAX(0,Inputs!$B$43-B844)&lt;=0,0,(INT(MAX(0,Inputs!$B$43-B844)/IF(Inputs!$B$38="pvp",15,MAX(0.1,Skills!D9-IF(Skills!E9=TRUE,Inputs!$B$32,0))))+1)),0)</f>
        <v/>
      </c>
      <c r="S820">
        <f>IF(C820,(H820*N820*IF(AND(Inputs!$B$38&lt;&gt;"pvp",Inputs!$B$43&gt;0),((Skills!F9*((R820-1)*IF(Skills!G9&gt;0,Skills!H9/Skills!G9,1)+IF(Skills!G9&gt;0,MIN(Skills!H9,MAX(0,MAX(0,Inputs!$B$43-B844)-((R820-1)*IF(Inputs!$B$38="pvp",15,MAX(0.1,Skills!D9-IF(Skills!E9=TRUE,Inputs!$B$32,0))))))/Skills!G9,1)))/Inputs!$B$43),G820*Q820))*IF(Inputs!$B$38="pvp",1,1+(Inputs!$B$20+Skills!O9+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0">
        <f>IF(C820,(H820*N820*IF(AND(Inputs!$B$38&lt;&gt;"pvp",Inputs!$B$43&gt;0),((Skills!F9*((R820-1)*IF(Skills!G9&gt;0,Skills!H9/Skills!G9,1)+IF(Skills!G9&gt;0,MIN(Skills!H9,MAX(0,MAX(0,Inputs!$B$43-B844)-((R820-1)*IF(Inputs!$B$38="pvp",15,MAX(0.1,Skills!D9-IF(Skills!E9=TRUE,Inputs!$B$32,0))))))/Skills!G9,1)))/Inputs!$B$43),G820*Q820))*IF(Inputs!$B$38="pvp",1,(1+(Inputs!$B$21+Skills!P9+B838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Skills!A10</f>
        <v/>
      </c>
      <c r="B821">
        <f>Skills!B10</f>
        <v/>
      </c>
      <c r="C821">
        <f>Inputs!$B$3&gt;=113</f>
        <v/>
      </c>
      <c r="D821">
        <f>IF(Skills!C10=1,60+Inputs!$B$25+(Inputs!$B$29+1),IF(Skills!C10=2,90+Inputs!$B$26+(Inputs!$B$29+1),IF(Skills!C10=3,120+Inputs!$B$27+(Inputs!$B$29+1),MAX(0,(Inputs!$B$3-100)*3)+Inputs!$B$28+(Inputs!$B$29+1))))</f>
        <v/>
      </c>
      <c r="E821">
        <f>INDEX(FactorTable!$B$2:$Y$301, MATCH(ROUND(MIN(300,MAX(1,D821)),0), FactorTable!$A$2:$A$301,0), Skills!L10+1)</f>
        <v/>
      </c>
      <c r="F821">
        <f>IF(Skills!M10=TRUE,(Skills!K10/10)*(E821/1000),Skills!K10/10)+Skills!N10</f>
        <v/>
      </c>
      <c r="G821">
        <f>Calc!G10</f>
        <v/>
      </c>
      <c r="H821">
        <f>Calc!H10</f>
        <v/>
      </c>
      <c r="I821">
        <f>IF(Skills!T10&lt;&gt;"",1+(Skills!T10/10)*(Z814/1000)/100,1)</f>
        <v/>
      </c>
      <c r="J821">
        <f>((Inputs!$B$6*(1+Inputs!$B$7/100))+(((Inputs!$B$12*(1+Inputs!$B$13/100))-(Inputs!$B$12*(1+Inputs!$B$13/100)))+0.25*(Inputs!$B$14-Inputs!$B$14))*(1+Inputs!$B$7/100))*(F821/100)</f>
        <v/>
      </c>
      <c r="K821">
        <f>J821*(1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829-Calc!F18),(Inputs!$B$23+(IF(ArtifactsInput!$M$15,CHOOSE(ArtifactsInput!$N$15+1,25,30,35,40,45,50)/100*(Inputs!$B$11-Inputs!$B$11),0))))/100+(Inputs!$B$23+(IF(ArtifactsInput!$M$15,CHOOSE(ArtifactsInput!$N$15+1,25,30,35,40,45,50)/100*(Inputs!$B$11-Inputs!$B$11),0)))/100)/2</f>
        <v/>
      </c>
      <c r="M821">
        <f>L821*(1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IF(B847=0,0,O821/B847)</f>
        <v/>
      </c>
      <c r="Q821">
        <f>IFERROR(1/IF(Inputs!$B$38="pvp",15,MAX(0.1,Skills!D10-IF(Skills!E9=TRUE,Inputs!$B$32,0))),0)</f>
        <v/>
      </c>
      <c r="R821">
        <f>IF(AND(Inputs!$B$38&lt;&gt;"pvp",Inputs!$B$43&gt;0),IF(MAX(0,Inputs!$B$43-B844)&lt;=0,0,(INT(MAX(0,Inputs!$B$43-B844)/IF(Inputs!$B$38="pvp",15,MAX(0.1,Skills!D10-IF(Skills!E9=TRUE,Inputs!$B$32,0))))+1)),0)</f>
        <v/>
      </c>
      <c r="S821">
        <f>IF(C821,(H821*N821*IF(AND(Inputs!$B$38&lt;&gt;"pvp",Inputs!$B$43&gt;0),((Skills!F10*((R821-1)*IF(Skills!G10&gt;0,Skills!H10/Skills!G10,1)+IF(Skills!G10&gt;0,MIN(Skills!H10,MAX(0,MAX(0,Inputs!$B$43-B844)-((R821-1)*IF(Inputs!$B$38="pvp",15,MAX(0.1,Skills!D10-IF(Skills!E9=TRUE,Inputs!$B$32,0))))))/Skills!G10,1)))/Inputs!$B$43),G821*Q821))*IF(Inputs!$B$38="pvp",1,1+(Inputs!$B$20+Skills!O10+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1">
        <f>IF(C821,(H821*N821*IF(AND(Inputs!$B$38&lt;&gt;"pvp",Inputs!$B$43&gt;0),((Skills!F10*((R821-1)*IF(Skills!G10&gt;0,Skills!H10/Skills!G10,1)+IF(Skills!G10&gt;0,MIN(Skills!H10,MAX(0,MAX(0,Inputs!$B$43-B844)-((R821-1)*IF(Inputs!$B$38="pvp",15,MAX(0.1,Skills!D10-IF(Skills!E9=TRUE,Inputs!$B$32,0))))))/Skills!G10,1)))/Inputs!$B$43),G821*Q821))*IF(Inputs!$B$38="pvp",1,(1+(Inputs!$B$21+Skills!P10+B838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Skills!A11</f>
        <v/>
      </c>
      <c r="B822">
        <f>Skills!B11</f>
        <v/>
      </c>
      <c r="C822">
        <f>Inputs!$B$3&gt;=107</f>
        <v/>
      </c>
      <c r="D822">
        <f>IF(Skills!C11=1,60+Inputs!$B$25+(Inputs!$B$29+1),IF(Skills!C11=2,90+Inputs!$B$26+(Inputs!$B$29+1),IF(Skills!C11=3,120+Inputs!$B$27+(Inputs!$B$29+1),MAX(0,(Inputs!$B$3-100)*3)+Inputs!$B$28+(Inputs!$B$29+1))))</f>
        <v/>
      </c>
      <c r="E822">
        <f>INDEX(FactorTable!$B$2:$Y$301, MATCH(ROUND(MIN(300,MAX(1,D822)),0), FactorTable!$A$2:$A$301,0), Skills!L11+1)</f>
        <v/>
      </c>
      <c r="F822">
        <f>IF(Skills!M11=TRUE,(Skills!K11/10)*(E822/1000),Skills!K11/10)+Skills!N11</f>
        <v/>
      </c>
      <c r="G822">
        <f>Calc!G11</f>
        <v/>
      </c>
      <c r="H822">
        <f>Calc!H11</f>
        <v/>
      </c>
      <c r="I822">
        <f>IF(Skills!T11&lt;&gt;"",1+(Skills!T11/10)*(Z814/1000)/100,1)</f>
        <v/>
      </c>
      <c r="J822">
        <f>((Inputs!$B$6*(1+Inputs!$B$7/100))+(((Inputs!$B$12*(1+Inputs!$B$13/100))-(Inputs!$B$12*(1+Inputs!$B$13/100)))+0.25*(Inputs!$B$14-Inputs!$B$14))*(1+Inputs!$B$7/100))*(F822/100)</f>
        <v/>
      </c>
      <c r="K822">
        <f>J822*(1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829-Calc!F18),(Inputs!$B$23+(IF(ArtifactsInput!$M$15,CHOOSE(ArtifactsInput!$N$15+1,25,30,35,40,45,50)/100*(Inputs!$B$11-Inputs!$B$11),0))))/100+(Inputs!$B$23+(IF(ArtifactsInput!$M$15,CHOOSE(ArtifactsInput!$N$15+1,25,30,35,40,45,50)/100*(Inputs!$B$11-Inputs!$B$11),0)))/100)/2</f>
        <v/>
      </c>
      <c r="M822">
        <f>L822*(1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IF(B847=0,0,O822/B847)</f>
        <v/>
      </c>
      <c r="Q822">
        <f>IFERROR(1/IF(Inputs!$B$38="pvp",15,MAX(0.1,Skills!D11-IF(Skills!E11=TRUE,Inputs!$B$32,0))),0)</f>
        <v/>
      </c>
      <c r="R822">
        <f>IF(AND(Inputs!$B$38&lt;&gt;"pvp",Inputs!$B$43&gt;0),IF(MAX(0,Inputs!$B$43-B844)&lt;=0,0,(INT(MAX(0,Inputs!$B$43-B844)/IF(Inputs!$B$38="pvp",15,MAX(0.1,Skills!D11-IF(Skills!E11=TRUE,Inputs!$B$32,0))))+1)),0)</f>
        <v/>
      </c>
      <c r="S822">
        <f>IF(C822,H822*N822*IF(AND(Inputs!$B$38&lt;&gt;"pvp",Inputs!$B$43&gt;0),((Skills!F11*((R822-1)*IF(Skills!G11&gt;0,Skills!H11/Skills!G11,1)+IF(Skills!G11&gt;0,MIN(Skills!H11,MAX(0,MAX(0,Inputs!$B$43-B844)-((R822-1)*IF(Inputs!$B$38="pvp",15,MAX(0.1,Skills!D11-IF(Skills!E11=TRUE,Inputs!$B$32,0))))))/Skills!G11,1)))/Inputs!$B$43),G822*Q822)*0.5*IF(Inputs!$B$38="pvp",1,1+(Inputs!$B$20+Skills!O11+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2">
        <f>IF(C822,H822*N822*IF(AND(Inputs!$B$38&lt;&gt;"pvp",Inputs!$B$43&gt;0),((Skills!F11*((R822-1)*IF(Skills!G11&gt;0,Skills!H11/Skills!G11,1)+IF(Skills!G11&gt;0,MIN(Skills!H11,MAX(0,MAX(0,Inputs!$B$43-B844)-((R822-1)*IF(Inputs!$B$38="pvp",15,MAX(0.1,Skills!D11-IF(Skills!E11=TRUE,Inputs!$B$32,0))))))/Skills!G11,1)))/Inputs!$B$43),G822*Q822)*1*IF(Inputs!$B$38="pvp",1,(1+(Inputs!$B$21+Skills!P11+B838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Skills!A12</f>
        <v/>
      </c>
      <c r="B823">
        <f>Skills!B12</f>
        <v/>
      </c>
      <c r="C823">
        <f>Inputs!$B$3&gt;=115</f>
        <v/>
      </c>
      <c r="D823">
        <f>IF(Skills!C12=1,60+Inputs!$B$25+(Inputs!$B$29+1),IF(Skills!C12=2,90+Inputs!$B$26+(Inputs!$B$29+1),IF(Skills!C12=3,120+Inputs!$B$27+(Inputs!$B$29+1),MAX(0,(Inputs!$B$3-100)*3)+Inputs!$B$28+(Inputs!$B$29+1))))</f>
        <v/>
      </c>
      <c r="E823">
        <f>INDEX(FactorTable!$B$2:$Y$301, MATCH(ROUND(MIN(300,MAX(1,D823)),0), FactorTable!$A$2:$A$301,0), Skills!L12+1)</f>
        <v/>
      </c>
      <c r="F823">
        <f>IF(Skills!M12=TRUE,(Skills!K12/10)*(E823/1000),Skills!K12/10)+Skills!N12</f>
        <v/>
      </c>
      <c r="G823">
        <f>Calc!G12</f>
        <v/>
      </c>
      <c r="H823">
        <f>Calc!H12</f>
        <v/>
      </c>
      <c r="I823">
        <f>IF(Skills!T12&lt;&gt;"",1+(Skills!T12/10)*(Z814/1000)/100,1)</f>
        <v/>
      </c>
      <c r="J823">
        <f>((Inputs!$B$6*(1+Inputs!$B$7/100))+(((Inputs!$B$12*(1+Inputs!$B$13/100))-(Inputs!$B$12*(1+Inputs!$B$13/100)))+0.25*(Inputs!$B$14-Inputs!$B$14))*(1+Inputs!$B$7/100))*(F823/100)</f>
        <v/>
      </c>
      <c r="K823">
        <f>J823*(1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829-Calc!F18),(Inputs!$B$23+(IF(ArtifactsInput!$M$15,CHOOSE(ArtifactsInput!$N$15+1,25,30,35,40,45,50)/100*(Inputs!$B$11-Inputs!$B$11),0))))/100+(Inputs!$B$23+(IF(ArtifactsInput!$M$15,CHOOSE(ArtifactsInput!$N$15+1,25,30,35,40,45,50)/100*(Inputs!$B$11-Inputs!$B$11),0)))/100)/2</f>
        <v/>
      </c>
      <c r="M823">
        <f>L823*(1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IF(B847=0,0,O823/B847)</f>
        <v/>
      </c>
      <c r="Q823">
        <f>IFERROR(1/IF(Inputs!$B$38="pvp",15,MAX(0.1,Skills!D12-IF(Skills!E12=TRUE,Inputs!$B$32,0))),0)</f>
        <v/>
      </c>
      <c r="R823">
        <f>IF(AND(Inputs!$B$38&lt;&gt;"pvp",Inputs!$B$43&gt;0),IF(MAX(0,Inputs!$B$43-B844)&lt;=0,0,(INT(MAX(0,Inputs!$B$43-B844)/IF(Inputs!$B$38="pvp",15,MAX(0.1,Skills!D12-IF(Skills!E12=TRUE,Inputs!$B$32,0))))+1)),0)</f>
        <v/>
      </c>
      <c r="S823">
        <f>IF(C823,(H823*N823*IF(AND(Inputs!$B$38&lt;&gt;"pvp",Inputs!$B$43&gt;0),((Skills!F12*((R823-1)*IF(Skills!G12&gt;0,Skills!H12/Skills!G12,1)+IF(Skills!G12&gt;0,MIN(Skills!H12,MAX(0,MAX(0,Inputs!$B$43-B844)-((R823-1)*IF(Inputs!$B$38="pvp",15,MAX(0.1,Skills!D12-IF(Skills!E12=TRUE,Inputs!$B$32,0))))))/Skills!G12,1)))/Inputs!$B$43),G823*Q823))*IF(Inputs!$B$38="pvp",1,1+(Inputs!$B$20+Skills!O12+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F12*((R823-1)*IF(Skills!G12&gt;0,Skills!H12/Skills!G12,1)+IF(Skills!G12&gt;0,MIN(Skills!H12,MAX(0,MAX(0,Inputs!$B$43-B844)-((R823-1)*IF(Inputs!$B$38="pvp",15,MAX(0.1,Skills!D12-IF(Skills!E12=TRUE,Inputs!$B$32,0))))))/Skills!G12,1)))/Inputs!$B$43),G823*Q823))*IF(Inputs!$B$38="pvp",1,(1+(Inputs!$B$21+Skills!P12+B838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Skills!A13</f>
        <v/>
      </c>
      <c r="B824">
        <f>Skills!B13</f>
        <v/>
      </c>
      <c r="C824">
        <f>Inputs!$B$3&gt;=49</f>
        <v/>
      </c>
      <c r="D824">
        <f>IF(Skills!C13=1,60+Inputs!$B$25+(Inputs!$B$29+1),IF(Skills!C13=2,90+Inputs!$B$26+(Inputs!$B$29+1),IF(Skills!C13=3,120+Inputs!$B$27+(Inputs!$B$29+1),MAX(0,(Inputs!$B$3-100)*3)+Inputs!$B$28+(Inputs!$B$29+1))))</f>
        <v/>
      </c>
      <c r="E824">
        <f>INDEX(FactorTable!$B$2:$Y$301, MATCH(ROUND(MIN(300,MAX(1,D824)),0), FactorTable!$A$2:$A$301,0), Skills!L13+1)</f>
        <v/>
      </c>
      <c r="F824">
        <f>IF(Skills!M13=TRUE,(Skills!K13/10)*(E824/1000),Skills!K13/10)+Skills!N13</f>
        <v/>
      </c>
      <c r="G824">
        <f>Calc!G13</f>
        <v/>
      </c>
      <c r="H824">
        <f>Calc!H13</f>
        <v/>
      </c>
      <c r="I824">
        <f>IF(Skills!T13&lt;&gt;"",1+(Skills!T13/10)*(Z814/1000)/100,1)</f>
        <v/>
      </c>
      <c r="J824" t="inlineStr"/>
      <c r="K824" t="inlineStr"/>
      <c r="L824" t="inlineStr"/>
      <c r="M824" t="inlineStr"/>
      <c r="N824" t="inlineStr"/>
      <c r="O824">
        <f>(1-Summary!$B$11)*S824+Summary!$B$11*U824</f>
        <v/>
      </c>
      <c r="P824">
        <f>IF(B847=0,0,O824/B847)</f>
        <v/>
      </c>
      <c r="Q824">
        <f>IFERROR(1/IF(Inputs!$B$38="pvp",15,MAX(0.1,Skills!D13-IF(Skills!E13=TRUE,Inputs!$B$32,0))),0)</f>
        <v/>
      </c>
      <c r="R824" t="n">
        <v>0</v>
      </c>
      <c r="S824" t="n">
        <v>0</v>
      </c>
      <c r="U824" t="n">
        <v>0</v>
      </c>
    </row>
    <row r="825">
      <c r="A825">
        <f>Skills!A14</f>
        <v/>
      </c>
      <c r="B825">
        <f>Skills!B14</f>
        <v/>
      </c>
      <c r="C825">
        <f>Inputs!$B$3&gt;=72</f>
        <v/>
      </c>
      <c r="D825">
        <f>IF(Skills!C14=1,60+Inputs!$B$25+(Inputs!$B$29+1),IF(Skills!C14=2,90+Inputs!$B$26+(Inputs!$B$29+1),IF(Skills!C14=3,120+Inputs!$B$27+(Inputs!$B$29+1),MAX(0,(Inputs!$B$3-100)*3)+Inputs!$B$28+(Inputs!$B$29+1))))</f>
        <v/>
      </c>
      <c r="E825">
        <f>INDEX(FactorTable!$B$2:$Y$301, MATCH(ROUND(MIN(300,MAX(1,D825)),0), FactorTable!$A$2:$A$301,0), Skills!L14+1)</f>
        <v/>
      </c>
      <c r="F825">
        <f>IF(Skills!M14=TRUE,(Skills!K14/10)*(E825/1000),Skills!K14/10)+Skills!N14</f>
        <v/>
      </c>
      <c r="G825">
        <f>Calc!G14</f>
        <v/>
      </c>
      <c r="H825">
        <f>Calc!H14</f>
        <v/>
      </c>
      <c r="I825">
        <f>IF(Skills!T14&lt;&gt;"",1+(Skills!T14/10)*(Z814/1000)/100,1)</f>
        <v/>
      </c>
      <c r="J825" t="inlineStr"/>
      <c r="K825" t="inlineStr"/>
      <c r="L825" t="inlineStr"/>
      <c r="M825" t="inlineStr"/>
      <c r="N825" t="inlineStr"/>
      <c r="O825">
        <f>(1-Summary!$B$11)*S825+Summary!$B$11*U825</f>
        <v/>
      </c>
      <c r="P825">
        <f>IF(B847=0,0,O825/B847)</f>
        <v/>
      </c>
      <c r="Q825">
        <f>IFERROR(1/IF(Inputs!$B$38="pvp",15,MAX(0.1,Skills!D14-IF(Skills!E14=TRUE,Inputs!$B$32,0))),0)</f>
        <v/>
      </c>
      <c r="R825" t="n">
        <v>0</v>
      </c>
      <c r="S825" t="n">
        <v>0</v>
      </c>
      <c r="U825" t="n">
        <v>0</v>
      </c>
    </row>
    <row r="826">
      <c r="A826">
        <f>Skills!A15</f>
        <v/>
      </c>
      <c r="B826">
        <f>Skills!B15</f>
        <v/>
      </c>
      <c r="C826">
        <f>Inputs!$B$3&gt;=75</f>
        <v/>
      </c>
      <c r="D826">
        <f>IF(Skills!C15=1,60+Inputs!$B$25+(Inputs!$B$29+1),IF(Skills!C15=2,90+Inputs!$B$26+(Inputs!$B$29+1),IF(Skills!C15=3,120+Inputs!$B$27+(Inputs!$B$29+1),MAX(0,(Inputs!$B$3-100)*3)+Inputs!$B$28+(Inputs!$B$29+1))))</f>
        <v/>
      </c>
      <c r="E826">
        <f>INDEX(FactorTable!$B$2:$Y$301, MATCH(ROUND(MIN(300,MAX(1,D826)),0), FactorTable!$A$2:$A$301,0), Skills!L15+1)</f>
        <v/>
      </c>
      <c r="F826">
        <f>IF(Skills!M15=TRUE,(Skills!K15/10)*(E826/1000),Skills!K15/10)+Skills!N15</f>
        <v/>
      </c>
      <c r="G826">
        <f>Calc!G15</f>
        <v/>
      </c>
      <c r="H826">
        <f>Calc!H15</f>
        <v/>
      </c>
      <c r="I826">
        <f>IF(Skills!T15&lt;&gt;"",1+(Skills!T15/10)*(Z814/1000)/100,1)</f>
        <v/>
      </c>
      <c r="J826" t="inlineStr"/>
      <c r="K826" t="inlineStr"/>
      <c r="L826" t="inlineStr"/>
      <c r="M826" t="inlineStr"/>
      <c r="N826" t="inlineStr"/>
      <c r="O826">
        <f>(1-Summary!$B$11)*S826+Summary!$B$11*U826</f>
        <v/>
      </c>
      <c r="P826">
        <f>IF(B847=0,0,O826/B847)</f>
        <v/>
      </c>
      <c r="Q826">
        <f>IFERROR(1/IF(Inputs!$B$38="pvp",15,MAX(0.1,Skills!D15-IF(Skills!E15=TRUE,Inputs!$B$32,0))),0)</f>
        <v/>
      </c>
      <c r="R826" t="n">
        <v>0</v>
      </c>
      <c r="S826" t="n">
        <v>0</v>
      </c>
      <c r="U826" t="n">
        <v>0</v>
      </c>
    </row>
    <row r="827">
      <c r="A827">
        <f>Skills!A16</f>
        <v/>
      </c>
      <c r="B827">
        <f>Skills!B16</f>
        <v/>
      </c>
      <c r="C827">
        <f>Inputs!$B$3&gt;=110</f>
        <v/>
      </c>
      <c r="D827">
        <f>IF(Skills!C16=1,60+Inputs!$B$25+(Inputs!$B$29+1),IF(Skills!C16=2,90+Inputs!$B$26+(Inputs!$B$29+1),IF(Skills!C16=3,120+Inputs!$B$27+(Inputs!$B$29+1),MAX(0,(Inputs!$B$3-100)*3)+Inputs!$B$28+(Inputs!$B$29+1))))</f>
        <v/>
      </c>
      <c r="E827">
        <f>INDEX(FactorTable!$B$2:$Y$301, MATCH(ROUND(MIN(300,MAX(1,D827)),0), FactorTable!$A$2:$A$301,0), Skills!L16+1)</f>
        <v/>
      </c>
      <c r="F827">
        <f>(Skills!K16/10)*(E827/1000)*64/45+Skills!N16</f>
        <v/>
      </c>
      <c r="G827">
        <f>Calc!G16</f>
        <v/>
      </c>
      <c r="H827">
        <f>Calc!H16</f>
        <v/>
      </c>
      <c r="I827">
        <f>IF(Skills!T16&lt;&gt;"",1+(Skills!T16/10)*(Z814/1000)/100,1)</f>
        <v/>
      </c>
      <c r="J827" t="inlineStr"/>
      <c r="K827" t="inlineStr"/>
      <c r="L827" t="inlineStr"/>
      <c r="M827" t="inlineStr"/>
      <c r="N827" t="inlineStr"/>
      <c r="O827">
        <f>(1-Summary!$B$11)*S827+Summary!$B$11*U827</f>
        <v/>
      </c>
      <c r="P827">
        <f>IF(B847=0,0,O827/B847)</f>
        <v/>
      </c>
      <c r="Q827">
        <f>IFERROR(1/IF(Inputs!$B$38="pvp",15,MAX(0.1,Skills!D16-IF(Skills!E16=TRUE,Inputs!$B$32,0))),0)</f>
        <v/>
      </c>
      <c r="R827">
        <f>IF(AND(Inputs!$B$38&lt;&gt;"pvp",Inputs!$B$43&gt;0),IF(Inputs!$B$43&lt;=0,0,(INT(Inputs!$B$43/IF(Inputs!$B$38="pvp",15,MAX(0.1,Skills!D16-IF(Skills!E16=TRUE,Inputs!$B$32,0))))+1)),0)</f>
        <v/>
      </c>
      <c r="S827" t="n">
        <v>0</v>
      </c>
      <c r="U827" t="n">
        <v>0</v>
      </c>
    </row>
    <row r="828">
      <c r="A828">
        <f>Skills!A17</f>
        <v/>
      </c>
      <c r="B828">
        <f>Skills!B17</f>
        <v/>
      </c>
      <c r="C828">
        <f>Inputs!$B$3&gt;=33</f>
        <v/>
      </c>
      <c r="D828">
        <f>IF(Skills!C17=1,60+Inputs!$B$25+(Inputs!$B$29+1),IF(Skills!C17=2,90+Inputs!$B$26+(Inputs!$B$29+1),IF(Skills!C17=3,120+Inputs!$B$27+(Inputs!$B$29+1),MAX(0,(Inputs!$B$3-100)*3)+Inputs!$B$28+(Inputs!$B$29+1))))</f>
        <v/>
      </c>
      <c r="E828">
        <f>INDEX(FactorTable!$B$2:$Y$301, MATCH(ROUND(MIN(300,MAX(1,D828)),0), FactorTable!$A$2:$A$301,0), Skills!L17+1)</f>
        <v/>
      </c>
      <c r="F828">
        <f>IF(Skills!M17=TRUE,(Skills!K17/10)*(E828/1000),Skills!K17/10)+Skills!N17</f>
        <v/>
      </c>
      <c r="G828">
        <f>Calc!G17</f>
        <v/>
      </c>
      <c r="H828">
        <f>Calc!H17</f>
        <v/>
      </c>
      <c r="I828">
        <f>IF(Skills!T17&lt;&gt;"",1+(Skills!T17/10)*(Z814/1000)/100,1)</f>
        <v/>
      </c>
      <c r="J828" t="inlineStr"/>
      <c r="K828" t="inlineStr"/>
      <c r="L828" t="inlineStr"/>
      <c r="M828" t="inlineStr"/>
      <c r="N828" t="inlineStr"/>
      <c r="O828">
        <f>(1-Summary!$B$11)*S828+Summary!$B$11*U828</f>
        <v/>
      </c>
      <c r="P828">
        <f>IF(B847=0,0,O828/B847)</f>
        <v/>
      </c>
      <c r="Q828">
        <f>IFERROR(1/IF(Inputs!$B$38="pvp",15,MAX(0.1,Skills!D17-IF(Skills!E17=TRUE,Inputs!$B$32,0))),0)</f>
        <v/>
      </c>
      <c r="R828" t="n">
        <v>0</v>
      </c>
      <c r="S828" t="n">
        <v>0</v>
      </c>
      <c r="U828" t="n">
        <v>0</v>
      </c>
    </row>
    <row r="829">
      <c r="A829">
        <f>Skills!A18</f>
        <v/>
      </c>
      <c r="B829">
        <f>Skills!B18</f>
        <v/>
      </c>
      <c r="C829">
        <f>Inputs!$B$3&gt;=43</f>
        <v/>
      </c>
      <c r="D829">
        <f>IF(Skills!C18=1,60+Inputs!$B$25+(Inputs!$B$29+1),IF(Skills!C18=2,90+Inputs!$B$26+(Inputs!$B$29+1),IF(Skills!C18=3,120+Inputs!$B$27+(Inputs!$B$29+1),MAX(0,(Inputs!$B$3-100)*3)+Inputs!$B$28+(Inputs!$B$29+1))))</f>
        <v/>
      </c>
      <c r="E829">
        <f>INDEX(FactorTable!$B$2:$Y$301, MATCH(ROUND(MIN(300,MAX(1,D829)),0), FactorTable!$A$2:$A$301,0), Skills!L18+1)</f>
        <v/>
      </c>
      <c r="F829">
        <f>IF(Skills!M18=TRUE,(Skills!K18/10)*(E829/1000),Skills!K18/10)+Skills!N18</f>
        <v/>
      </c>
      <c r="G829">
        <f>Calc!G18</f>
        <v/>
      </c>
      <c r="H829">
        <f>Calc!H18</f>
        <v/>
      </c>
      <c r="I829">
        <f>IF(Skills!T18&lt;&gt;"",1+(Skills!T18/10)*(Z814/1000)/100,1)</f>
        <v/>
      </c>
      <c r="J829" t="inlineStr"/>
      <c r="K829" t="inlineStr"/>
      <c r="L829" t="inlineStr"/>
      <c r="M829" t="inlineStr"/>
      <c r="N829" t="inlineStr"/>
      <c r="O829">
        <f>(1-Summary!$B$11)*S829+Summary!$B$11*U829</f>
        <v/>
      </c>
      <c r="P829">
        <f>IF(B847=0,0,O829/B847)</f>
        <v/>
      </c>
      <c r="Q829">
        <f>IFERROR(1/IF(Inputs!$B$38="pvp",15,MAX(0.1,Skills!D18-IF(Skills!E18=TRUE,Inputs!$B$32,0))),0)</f>
        <v/>
      </c>
      <c r="R829" t="n">
        <v>0</v>
      </c>
      <c r="S829" t="n">
        <v>0</v>
      </c>
      <c r="U829" t="n">
        <v>0</v>
      </c>
    </row>
    <row r="830">
      <c r="A830">
        <f>Skills!A19</f>
        <v/>
      </c>
      <c r="B830">
        <f>Skills!B19</f>
        <v/>
      </c>
      <c r="C830">
        <f>Inputs!$B$3&gt;=50</f>
        <v/>
      </c>
      <c r="D830">
        <f>IF(Skills!C19=1,60+Inputs!$B$25+(Inputs!$B$29+1),IF(Skills!C19=2,90+Inputs!$B$26+(Inputs!$B$29+1),IF(Skills!C19=3,120+Inputs!$B$27+(Inputs!$B$29+1),MAX(0,(Inputs!$B$3-100)*3)+Inputs!$B$28+(Inputs!$B$29+1))))</f>
        <v/>
      </c>
      <c r="E830">
        <f>INDEX(FactorTable!$B$2:$Y$301, MATCH(ROUND(MIN(300,MAX(1,D830)),0), FactorTable!$A$2:$A$301,0), Skills!L19+1)</f>
        <v/>
      </c>
      <c r="F830">
        <f>IF(Skills!M19=TRUE,(Skills!K19/10)*(E830/1000),Skills!K19/10)+Skills!N19</f>
        <v/>
      </c>
      <c r="G830">
        <f>Calc!G19</f>
        <v/>
      </c>
      <c r="H830">
        <f>Calc!H19</f>
        <v/>
      </c>
      <c r="I830">
        <f>IF(Skills!T19&lt;&gt;"",1+(Skills!T19/10)*(Z814/1000)/100,1)</f>
        <v/>
      </c>
      <c r="J830" t="inlineStr"/>
      <c r="K830" t="inlineStr"/>
      <c r="L830" t="inlineStr"/>
      <c r="M830" t="inlineStr"/>
      <c r="N830" t="inlineStr"/>
      <c r="O830">
        <f>(1-Summary!$B$11)*S830+Summary!$B$11*U830</f>
        <v/>
      </c>
      <c r="P830">
        <f>IF(B847=0,0,O830/B847)</f>
        <v/>
      </c>
      <c r="Q830">
        <f>IFERROR(1/IF(Inputs!$B$38="pvp",15,MAX(0.1,Skills!D19-IF(Skills!E19=TRUE,Inputs!$B$32,0))),0)</f>
        <v/>
      </c>
      <c r="R830" t="n">
        <v>0</v>
      </c>
      <c r="S830" t="n">
        <v>0</v>
      </c>
      <c r="U830" t="n">
        <v>0</v>
      </c>
    </row>
    <row r="831">
      <c r="A831">
        <f>Skills!A20</f>
        <v/>
      </c>
      <c r="B831">
        <f>Skills!B20</f>
        <v/>
      </c>
      <c r="C831">
        <f>Inputs!$B$3&gt;=74</f>
        <v/>
      </c>
      <c r="D831">
        <f>IF(Skills!C20=1,60+Inputs!$B$25+(Inputs!$B$29+1),IF(Skills!C20=2,90+Inputs!$B$26+(Inputs!$B$29+1),IF(Skills!C20=3,120+Inputs!$B$27+(Inputs!$B$29+1),MAX(0,(Inputs!$B$3-100)*3)+Inputs!$B$28+(Inputs!$B$29+1))))</f>
        <v/>
      </c>
      <c r="E831">
        <f>INDEX(FactorTable!$B$2:$Y$301, MATCH(ROUND(MIN(300,MAX(1,D831)),0), FactorTable!$A$2:$A$301,0), Skills!L20+1)</f>
        <v/>
      </c>
      <c r="F831">
        <f>IF(Skills!M20=TRUE,(Skills!K20/10)*(E831/1000),Skills!K20/10)+Skills!N20</f>
        <v/>
      </c>
      <c r="G831">
        <f>Calc!G20</f>
        <v/>
      </c>
      <c r="H831">
        <f>Calc!H20</f>
        <v/>
      </c>
      <c r="I831">
        <f>IF(Skills!T20&lt;&gt;"",1+(Skills!T20/10)*(Z814/1000)/100,1)</f>
        <v/>
      </c>
      <c r="J831" t="inlineStr"/>
      <c r="K831" t="inlineStr"/>
      <c r="L831" t="inlineStr"/>
      <c r="M831" t="inlineStr"/>
      <c r="N831" t="inlineStr"/>
      <c r="O831">
        <f>(1-Summary!$B$11)*S831+Summary!$B$11*U831</f>
        <v/>
      </c>
      <c r="P831">
        <f>IF(B847=0,0,O831/B847)</f>
        <v/>
      </c>
      <c r="Q831">
        <f>IFERROR(1/IF(Inputs!$B$38="pvp",15,MAX(0.1,Skills!D20-IF(Skills!E20=TRUE,Inputs!$B$32,0))),0)</f>
        <v/>
      </c>
      <c r="R831" t="n">
        <v>0</v>
      </c>
      <c r="S831" t="n">
        <v>0</v>
      </c>
      <c r="U831" t="n">
        <v>0</v>
      </c>
    </row>
    <row r="832">
      <c r="A832">
        <f>Skills!A21</f>
        <v/>
      </c>
      <c r="B832">
        <f>Skills!B21</f>
        <v/>
      </c>
      <c r="C832">
        <f>Inputs!$B$3&gt;=74</f>
        <v/>
      </c>
      <c r="D832">
        <f>IF(Skills!C21=1,60+Inputs!$B$25+(Inputs!$B$29+1),IF(Skills!C21=2,90+Inputs!$B$26+(Inputs!$B$29+1),IF(Skills!C21=3,120+Inputs!$B$27+(Inputs!$B$29+1),MAX(0,(Inputs!$B$3-100)*3)+Inputs!$B$28+(Inputs!$B$29+1))))</f>
        <v/>
      </c>
      <c r="E832">
        <f>INDEX(FactorTable!$B$2:$Y$301, MATCH(ROUND(MIN(300,MAX(1,D832)),0), FactorTable!$A$2:$A$301,0), Skills!L21+1)</f>
        <v/>
      </c>
      <c r="F832">
        <f>IF(Skills!M21=TRUE,(Skills!K21/10)*(E832/1000),Skills!K21/10)+Skills!N21</f>
        <v/>
      </c>
      <c r="G832">
        <f>Calc!G21</f>
        <v/>
      </c>
      <c r="H832">
        <f>Calc!H21</f>
        <v/>
      </c>
      <c r="I832">
        <f>IF(Skills!T21&lt;&gt;"",1+(Skills!T21/10)*(Z814/1000)/100,1)</f>
        <v/>
      </c>
      <c r="J832" t="inlineStr"/>
      <c r="K832" t="inlineStr"/>
      <c r="L832" t="inlineStr"/>
      <c r="M832" t="inlineStr"/>
      <c r="N832" t="inlineStr"/>
      <c r="O832">
        <f>(1-Summary!$B$11)*S832+Summary!$B$11*U832</f>
        <v/>
      </c>
      <c r="P832">
        <f>IF(B847=0,0,O832/B847)</f>
        <v/>
      </c>
      <c r="Q832">
        <f>IFERROR(1/IF(Inputs!$B$38="pvp",15,MAX(0.1,Skills!D21-IF(Skills!E21=TRUE,Inputs!$B$32,0))),0)</f>
        <v/>
      </c>
      <c r="R832" t="n">
        <v>0</v>
      </c>
      <c r="S832" t="n">
        <v>0</v>
      </c>
      <c r="U832" t="n">
        <v>0</v>
      </c>
    </row>
    <row r="833">
      <c r="A833">
        <f>Skills!A22</f>
        <v/>
      </c>
      <c r="B833">
        <f>Skills!B22</f>
        <v/>
      </c>
      <c r="C833">
        <f>Inputs!$B$3&gt;=117</f>
        <v/>
      </c>
      <c r="D833">
        <f>IF(Skills!C22=1,60+Inputs!$B$25+(Inputs!$B$29+1),IF(Skills!C22=2,90+Inputs!$B$26+(Inputs!$B$29+1),IF(Skills!C22=3,120+Inputs!$B$27+(Inputs!$B$29+1),MAX(0,(Inputs!$B$3-100)*3)+Inputs!$B$28+(Inputs!$B$29+1))))</f>
        <v/>
      </c>
      <c r="E833">
        <f>INDEX(FactorTable!$B$2:$Y$301, MATCH(ROUND(MIN(300,MAX(1,D833)),0), FactorTable!$A$2:$A$301,0), Skills!L22+1)</f>
        <v/>
      </c>
      <c r="F833">
        <f>IF(Skills!M22=TRUE,(Skills!K22/10)*(E833/1000),Skills!K22/10)+Skills!N22</f>
        <v/>
      </c>
      <c r="G833">
        <f>Calc!G22</f>
        <v/>
      </c>
      <c r="H833">
        <f>Calc!H22</f>
        <v/>
      </c>
      <c r="I833">
        <f>IF(Skills!T22&lt;&gt;"",1+(Skills!T22/10)*(Z814/1000)/100,1)</f>
        <v/>
      </c>
      <c r="J833" t="inlineStr"/>
      <c r="K833" t="inlineStr"/>
      <c r="L833" t="inlineStr"/>
      <c r="M833" t="inlineStr"/>
      <c r="N833" t="inlineStr"/>
      <c r="O833">
        <f>(1-Summary!$B$11)*S833+Summary!$B$11*U833</f>
        <v/>
      </c>
      <c r="P833">
        <f>IF(B847=0,0,O833/B847)</f>
        <v/>
      </c>
      <c r="Q833">
        <f>IFERROR(1/IF(Inputs!$B$38="pvp",15,MAX(0.1,Skills!D22-IF(Skills!E22=TRUE,Inputs!$B$32,0))),0)</f>
        <v/>
      </c>
      <c r="R833" t="n">
        <v>0</v>
      </c>
      <c r="S833" t="n">
        <v>0</v>
      </c>
      <c r="U833" t="n">
        <v>0</v>
      </c>
    </row>
    <row r="834">
      <c r="A834">
        <f>Skills!A23</f>
        <v/>
      </c>
      <c r="B834">
        <f>Skills!B23</f>
        <v/>
      </c>
      <c r="C834">
        <f>Inputs!$B$3&gt;=120</f>
        <v/>
      </c>
      <c r="D834">
        <f>IF(Skills!C23=1,60+Inputs!$B$25+(Inputs!$B$29+1),IF(Skills!C23=2,90+Inputs!$B$26+(Inputs!$B$29+1),IF(Skills!C23=3,120+Inputs!$B$27+(Inputs!$B$29+1),MAX(0,(Inputs!$B$3-100)*3)+Inputs!$B$28+(Inputs!$B$29+1))))</f>
        <v/>
      </c>
      <c r="E834">
        <f>INDEX(FactorTable!$B$2:$Y$301, MATCH(ROUND(MIN(300,MAX(1,D834)),0), FactorTable!$A$2:$A$301,0), Skills!L23+1)</f>
        <v/>
      </c>
      <c r="F834">
        <f>IF(Skills!M23=TRUE,(Skills!K23/10)*(E834/1000),Skills!K23/10)+Skills!N23</f>
        <v/>
      </c>
      <c r="G834">
        <f>Calc!G23</f>
        <v/>
      </c>
      <c r="H834">
        <f>Calc!H23</f>
        <v/>
      </c>
      <c r="I834">
        <f>IF(Skills!T23&lt;&gt;"",1+(Skills!T23/10)*(Z814/1000)/100,1)</f>
        <v/>
      </c>
      <c r="J834" t="inlineStr"/>
      <c r="K834" t="inlineStr"/>
      <c r="L834" t="inlineStr"/>
      <c r="M834" t="inlineStr"/>
      <c r="N834" t="inlineStr"/>
      <c r="O834">
        <f>(1-Summary!$B$11)*S834+Summary!$B$11*U834</f>
        <v/>
      </c>
      <c r="P834">
        <f>IF(B847=0,0,O834/B847)</f>
        <v/>
      </c>
      <c r="Q834">
        <f>IFERROR(1/IF(Inputs!$B$38="pvp",15,MAX(0.1,Skills!D23-IF(Skills!E23=TRUE,Inputs!$B$32,0))),0)</f>
        <v/>
      </c>
      <c r="R834" t="n">
        <v>0</v>
      </c>
      <c r="S834" t="n">
        <v>0</v>
      </c>
      <c r="U834" t="n">
        <v>0</v>
      </c>
    </row>
    <row r="837">
      <c r="A837" t="inlineStr">
        <is>
          <t>Average Buff Multiplier (Magic Guard + Meditation + Artifact Attack%, summed; then Infinity)</t>
        </is>
      </c>
      <c r="B837">
        <f>(1+(IF(C814=TRUE,F814*IF(AND(Inputs!$B$38&lt;&gt;"pvp",Inputs!$B$43&gt;0),(((R814-1)*(Skills!S3*(1+(Inputs!$B$34+IF(Inputs!$B$3&gt;=117,F833,0))/100))+MIN((Skills!S3*(1+(Inputs!$B$34+IF(Inputs!$B$3&gt;=117,F833,0))/100)),MAX(0,Inputs!$B$43-((R814-1)*Skills!D3))))/Inputs!$B$43),IF(Inputs!$B$38="pvp",MIN((Skills!S3*(1+(Inputs!$B$34+IF(Inputs!$B$3&gt;=117,F833,0))/100)),15)/15,(Skills!S3*(1+(Inputs!$B$34+IF(Inputs!$B$3&gt;=117,F833,0))/100))/Skills!D3)),0)+IF(C815=TRUE,F815*IF(AND(Inputs!$B$38&lt;&gt;"pvp",Inputs!$B$43&gt;0),(((R815-1)*(Skills!S4*(1+(Inputs!$B$34+IF(Inputs!$B$3&gt;=117,F833,0))/100))+MIN((Skills!S4*(1+(Inputs!$B$34+IF(Inputs!$B$3&gt;=117,F833,0))/100)),MAX(0,Inputs!$B$43-((R815-1)*Skills!D4))))/Inputs!$B$43),IF(Inputs!$B$38="pvp",MIN((Skills!S4*(1+(Inputs!$B$34+IF(Inputs!$B$3&gt;=117,F833,0))/100)),15)/15,(Skills!S4*(1+(Inputs!$B$34+IF(Inputs!$B$3&gt;=117,F833,0)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827=TRUE,(1+F827*IF(AND(Inputs!$B$38&lt;&gt;"pvp",Inputs!$B$43&gt;0),(((R827-1)*(Skills!S16*(1+(Inputs!$B$34+IF(Inputs!$B$3&gt;=117,F833,0))/100))+MIN((Skills!S16*(1+(Inputs!$B$34+IF(Inputs!$B$3&gt;=117,F833,0))/100)),MAX(0,Inputs!$B$43-((R827-1)*Skills!D16))))/Inputs!$B$43),IF(Inputs!$B$38="pvp",MIN((Skills!S16*(1+(Inputs!$B$34+IF(Inputs!$B$3&gt;=117,F833,0))/100)),15)/15,(Skills!S16*(1+(Inputs!$B$34+IF(Inputs!$B$3&gt;=117,F833,0))/100))/Skills!D16))/100),1)</f>
        <v/>
      </c>
    </row>
    <row r="838">
      <c r="A838" t="inlineStr">
        <is>
          <t>Monster Damage Taken Bonus % (Freezing Breath - Weaken + Elemental Reset + Artifact Enemy Damage Taken, summed)</t>
        </is>
      </c>
      <c r="B838">
        <f>IF(Inputs!$B$3&gt;=118,15*IF(Inputs!$B$38="pvp",MIN((30*(1+(Inputs!$B$34+IF(Inputs!$B$3&gt;=117,F833,0))/100)),15)/15,(30*(1+(Inputs!$B$34+IF(Inputs!$B$3&gt;=117,F833,0))/100))/Skills!D8),0)+IF(C825=TRUE,F825,0)+(IF(AND(ArtifactsInput!$M$35,Inputs!$B$4&lt;&gt;"Chapter Hunt"),CHOOSE(ArtifactsInput!$N$35+1,15,18,21,24,27,30)*(1-EXP(-(0.2*B841)*5)),0)+IF(AND(ArtifactsInput!$M$22,Inputs!$B$4&lt;&gt;"Chapter Hunt"),CHOOSE(ArtifactsInput!$N$22+1,10,12,14,16,18,20)*((0*(((0.15*B841*5))^0/1)+1*(((0.15*B841*5))^1/1)+2*(((0.15*B841*5))^2/2)+3*(((0.15*B841*5))^3/6)+4*(((0.15*B841*5))^4/24)+5*(((0.15*B841*5))^5/120))/((((0.15*B841*5))^0/1)+(((0.15*B841*5))^1/1)+(((0.15*B841*5))^2/2)+(((0.15*B841*5))^3/6)+(((0.15*B841*5))^4/24)+(((0.15*B841*5))^5/120))),0))</f>
        <v/>
      </c>
    </row>
    <row r="839">
      <c r="A839" t="inlineStr">
        <is>
          <t>Damage % Bonus (Frozen Break + Frost Clutch, flat)</t>
        </is>
      </c>
      <c r="B839">
        <f>IF(Inputs!$B$3&gt;=66,15,0)+IF(Inputs!$B$3&gt;=98,10,0)+IF(Inputs!$B$3&gt;=125,20,0)</f>
        <v/>
      </c>
    </row>
    <row r="840">
      <c r="A840" t="inlineStr">
        <is>
          <t>Attack Speed Bonus % (MP Eater - MP Boost, always-on once unlocked)</t>
        </is>
      </c>
      <c r="B840">
        <f>IF(C824=TRUE,F824+(F828-Calc!F17),0)</f>
        <v/>
      </c>
    </row>
    <row r="841">
      <c r="A841" t="inlineStr">
        <is>
          <t>Actions Per Second</t>
        </is>
      </c>
      <c r="B841">
        <f>1+MIN(150,150*(1-(1-(Inputs!$B$11+(ArtifactsInput!$M$15-ArtifactsInput!$M$15)*CHOOSE(ArtifactsInput!$N$15+1,8,9.6,11.2,12.8,14.4,16))/150)*(1-B840/150)))/100</f>
        <v/>
      </c>
    </row>
    <row r="842">
      <c r="A842" t="inlineStr">
        <is>
          <t>Skill + Buff Cast Rate</t>
        </is>
      </c>
      <c r="B842">
        <f>IF(AND(Inputs!$B$38&lt;&gt;"pvp",Inputs!$B$43&gt;0),SUMPRODUCT((Skills!E2:E23=TRUE)*(C813:C834=TRUE)*R813:R834)/Inputs!$B$43,SUMPRODUCT((Skills!E2:E23=TRUE)*(C813:C834=TRUE)*Q813:Q834))</f>
        <v/>
      </c>
    </row>
    <row r="843">
      <c r="A843" t="inlineStr">
        <is>
          <t>Chain Lightning Casts Per Second</t>
        </is>
      </c>
      <c r="B843">
        <f>MAX(0,B841-B842)</f>
        <v/>
      </c>
    </row>
    <row r="844">
      <c r="A844" t="inlineStr">
        <is>
          <t>Buff-Casting Startup Delay (s, fixed-duration only)</t>
        </is>
      </c>
      <c r="B844">
        <f>IF(AND(Inputs!$B$38&lt;&gt;"pvp",Inputs!$B$43&gt;0),SUMPRODUCT((Skills!S2:S23&gt;0)*(Skills!E2:E23=TRUE)*(C813:C834=TRUE))/B841,0)</f>
        <v/>
      </c>
    </row>
    <row r="845">
      <c r="A845" t="inlineStr">
        <is>
          <t>Boss-Only Total DPS (this block's swept value)</t>
        </is>
      </c>
      <c r="B845">
        <f>SUM(S813:S834)</f>
        <v/>
      </c>
    </row>
    <row r="846">
      <c r="A846" t="inlineStr">
        <is>
          <t>Normal-Only Total DPS (this block's swept value)</t>
        </is>
      </c>
      <c r="B846">
        <f>SUM(U813:U834)</f>
        <v/>
      </c>
    </row>
    <row r="847">
      <c r="A847" s="6" t="inlineStr">
        <is>
          <t>TOTAL DPS</t>
        </is>
      </c>
      <c r="B847" s="6">
        <f>SUM(O813:O834)</f>
        <v/>
      </c>
    </row>
    <row r="850">
      <c r="A850" s="6" t="inlineStr">
        <is>
          <t>Stat: Flat ATTACK</t>
        </is>
      </c>
    </row>
    <row r="851">
      <c r="A851" s="5" t="inlineStr">
        <is>
          <t>Key</t>
        </is>
      </c>
      <c r="B851" s="5" t="inlineStr">
        <is>
          <t>Name</t>
        </is>
      </c>
      <c r="C851" s="5" t="inlineStr">
        <is>
          <t>Unlocked</t>
        </is>
      </c>
      <c r="D851" s="5" t="inlineStr">
        <is>
          <t>InputLevel</t>
        </is>
      </c>
      <c r="E851" s="5" t="inlineStr">
        <is>
          <t>Factor</t>
        </is>
      </c>
      <c r="F851" s="5" t="inlineStr">
        <is>
          <t>CoefficientPercent</t>
        </is>
      </c>
      <c r="G851" s="5" t="inlineStr">
        <is>
          <t>EffectiveHits</t>
        </is>
      </c>
      <c r="H851" s="5" t="inlineStr">
        <is>
          <t>ProcProbability</t>
        </is>
      </c>
      <c r="I851" s="5" t="inlineStr">
        <is>
          <t>MapleHeroMultiplier</t>
        </is>
      </c>
      <c r="J851" s="5" t="inlineStr">
        <is>
          <t>BaseDamage</t>
        </is>
      </c>
      <c r="K851" s="5" t="inlineStr">
        <is>
          <t>BaseHitDamage</t>
        </is>
      </c>
      <c r="L851" s="5" t="inlineStr">
        <is>
          <t>NonCritAvg</t>
        </is>
      </c>
      <c r="M851" s="5" t="inlineStr">
        <is>
          <t>CritAvg</t>
        </is>
      </c>
      <c r="N851" s="5" t="inlineStr">
        <is>
          <t>ExpectedDamage(perHit)</t>
        </is>
      </c>
      <c r="O851" s="5" t="inlineStr">
        <is>
          <t>DPS</t>
        </is>
      </c>
      <c r="P851" s="5" t="inlineStr">
        <is>
          <t>% of Total</t>
        </is>
      </c>
      <c r="R851" t="inlineStr">
        <is>
          <t>helpers</t>
        </is>
      </c>
    </row>
    <row r="852">
      <c r="A852">
        <f>Skills!A2</f>
        <v/>
      </c>
      <c r="B852">
        <f>Skills!B2</f>
        <v/>
      </c>
      <c r="C852">
        <f>Inputs!$B$3&gt;=100</f>
        <v/>
      </c>
      <c r="D852" t="inlineStr"/>
      <c r="E852" t="inlineStr"/>
      <c r="F852">
        <f>T854+Skills!N2</f>
        <v/>
      </c>
      <c r="G852">
        <f>Calc!G2</f>
        <v/>
      </c>
      <c r="H852">
        <f>Calc!H2</f>
        <v/>
      </c>
      <c r="I852">
        <f>IF(Skills!T2&lt;&gt;"",1+(Skills!T2/10)*(Z853/1000)/100,1)</f>
        <v/>
      </c>
      <c r="J852">
        <f>(((Inputs!$B$6+1)*(1+Inputs!$B$7/100))+(((Inputs!$B$12*(1+Inputs!$B$13/100))-(Inputs!$B$12*(1+Inputs!$B$13/100)))+0.25*(Inputs!$B$14-Inputs!$B$14))*(1+Inputs!$B$7/100))*(F852/100)</f>
        <v/>
      </c>
      <c r="K852">
        <f>J852*(1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F868-Calc!F18),(Inputs!$B$23+(IF(ArtifactsInput!$M$15,CHOOSE(ArtifactsInput!$N$15+1,25,30,35,40,45,50)/100*(Inputs!$B$11-Inputs!$B$11),0))))/100+(Inputs!$B$23+(IF(ArtifactsInput!$M$15,CHOOSE(ArtifactsInput!$N$15+1,25,30,35,40,45,50)/100*(Inputs!$B$11-Inputs!$B$11),0)))/100)/2</f>
        <v/>
      </c>
      <c r="M852">
        <f>L852*(1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(1-Summary!$B$11)*S852+Summary!$B$11*U852</f>
        <v/>
      </c>
      <c r="P852">
        <f>IF(B886=0,0,O852/B886)</f>
        <v/>
      </c>
      <c r="Q852">
        <f>IFERROR(1/IF(Inputs!$B$38="pvp",15,MAX(0.1,Skills!D2-IF(Skills!E2=TRUE,Inputs!$B$32,0))),0)</f>
        <v/>
      </c>
      <c r="R852" t="n">
        <v>0</v>
      </c>
      <c r="S852">
        <f>IF(C852,(Skills!F2*N852*B882)*IF(Inputs!$B$38="pvp",1,1+(Inputs!$B$20+Skills!O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52">
        <f>MAX(0,(Inputs!$B$3-100)*3)+Inputs!$B$28+Inputs!$B$29</f>
        <v/>
      </c>
      <c r="U852">
        <f>IF(C852,(Skills!F2*N852*B882)*IF(Inputs!$B$38="pvp",1,(1+(Inputs!$B$21+Skills!P2+B877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52">
        <f>MAX(0,(Inputs!$B$3-100)*3)+Inputs!$B$28+Inputs!$B$29</f>
        <v/>
      </c>
    </row>
    <row r="853">
      <c r="A853">
        <f>Skills!A3</f>
        <v/>
      </c>
      <c r="B853">
        <f>Skills!B3</f>
        <v/>
      </c>
      <c r="C853">
        <f>Inputs!$B$3&gt;=15</f>
        <v/>
      </c>
      <c r="D853">
        <f>IF(Skills!C3=1,60+Inputs!$B$25+Inputs!$B$29,IF(Skills!C3=2,90+Inputs!$B$26+Inputs!$B$29,IF(Skills!C3=3,120+Inputs!$B$27+Inputs!$B$29,MAX(0,(Inputs!$B$3-100)*3)+Inputs!$B$28+Inputs!$B$29)))</f>
        <v/>
      </c>
      <c r="E853">
        <f>INDEX(FactorTable!$B$2:$Y$301, MATCH(ROUND(MIN(300,MAX(1,D853)),0), FactorTable!$A$2:$A$301,0), Skills!L3+1)</f>
        <v/>
      </c>
      <c r="F853">
        <f>IF(Skills!M3=TRUE,(Skills!K3/10)*(E853/1000),Skills!K3/10)+Skills!N3</f>
        <v/>
      </c>
      <c r="G853">
        <f>Calc!G3</f>
        <v/>
      </c>
      <c r="H853">
        <f>Calc!H3</f>
        <v/>
      </c>
      <c r="I853">
        <f>IF(Skills!T3&lt;&gt;"",1+(Skills!T3/10)*(Z853/1000)/100,1)</f>
        <v/>
      </c>
      <c r="J853" t="inlineStr"/>
      <c r="K853" t="inlineStr"/>
      <c r="L853" t="inlineStr"/>
      <c r="M853" t="inlineStr"/>
      <c r="N853" t="inlineStr"/>
      <c r="O853">
        <f>(1-Summary!$B$11)*S853+Summary!$B$11*U853</f>
        <v/>
      </c>
      <c r="P853">
        <f>IF(B886=0,0,O853/B886)</f>
        <v/>
      </c>
      <c r="Q853">
        <f>IFERROR(1/IF(Inputs!$B$38="pvp",15,MAX(0.1,Skills!D3-IF(Skills!E3=TRUE,Inputs!$B$32,0))),0)</f>
        <v/>
      </c>
      <c r="R853">
        <f>IF(AND(Inputs!$B$38&lt;&gt;"pvp",Inputs!$B$43&gt;0),IF(Inputs!$B$43&lt;=0,0,(INT(Inputs!$B$43/IF(Inputs!$B$38="pvp",15,MAX(0.1,Skills!D3-IF(Skills!E3=TRUE,Inputs!$B$32,0))))+1)),0)</f>
        <v/>
      </c>
      <c r="S853" t="n">
        <v>0</v>
      </c>
      <c r="T853">
        <f>INDEX(FactorTable!$B$2:$Y$301, MATCH(ROUND(MIN(300,MAX(1,T852)),0), FactorTable!$A$2:$A$301,0), 22)</f>
        <v/>
      </c>
      <c r="U853" t="n">
        <v>0</v>
      </c>
      <c r="Z853">
        <f>INDEX(FactorTable!$B$2:$Y$301, MATCH(ROUND(MIN(300,MAX(1,Z852)),0), FactorTable!$A$2:$A$301,0), 24)</f>
        <v/>
      </c>
    </row>
    <row r="854">
      <c r="A854">
        <f>Skills!A4</f>
        <v/>
      </c>
      <c r="B854">
        <f>Skills!B4</f>
        <v/>
      </c>
      <c r="C854">
        <f>Inputs!$B$3&gt;=40</f>
        <v/>
      </c>
      <c r="D854">
        <f>IF(Skills!C4=1,60+Inputs!$B$25+Inputs!$B$29,IF(Skills!C4=2,90+Inputs!$B$26+Inputs!$B$29,IF(Skills!C4=3,120+Inputs!$B$27+Inputs!$B$29,MAX(0,(Inputs!$B$3-100)*3)+Inputs!$B$28+Inputs!$B$29)))</f>
        <v/>
      </c>
      <c r="E854">
        <f>INDEX(FactorTable!$B$2:$Y$301, MATCH(ROUND(MIN(300,MAX(1,D854)),0), FactorTable!$A$2:$A$301,0), Skills!L4+1)</f>
        <v/>
      </c>
      <c r="F854">
        <f>IF(Skills!M4=TRUE,(Skills!K4/10)*(E854/1000),Skills!K4/10)+Skills!N4</f>
        <v/>
      </c>
      <c r="G854">
        <f>Calc!G4</f>
        <v/>
      </c>
      <c r="H854">
        <f>Calc!H4</f>
        <v/>
      </c>
      <c r="I854">
        <f>IF(Skills!T4&lt;&gt;"",1+(Skills!T4/10)*(Z853/1000)/100,1)</f>
        <v/>
      </c>
      <c r="J854" t="inlineStr"/>
      <c r="K854" t="inlineStr"/>
      <c r="L854" t="inlineStr"/>
      <c r="M854" t="inlineStr"/>
      <c r="N854" t="inlineStr"/>
      <c r="O854">
        <f>(1-Summary!$B$11)*S854+Summary!$B$11*U854</f>
        <v/>
      </c>
      <c r="P854">
        <f>IF(B886=0,0,O854/B886)</f>
        <v/>
      </c>
      <c r="Q854">
        <f>IFERROR(1/IF(Inputs!$B$38="pvp",15,MAX(0.1,Skills!D4-IF(Skills!E4=TRUE,Inputs!$B$32,0))),0)</f>
        <v/>
      </c>
      <c r="R854">
        <f>IF(AND(Inputs!$B$38&lt;&gt;"pvp",Inputs!$B$43&gt;0),IF(Inputs!$B$43&lt;=0,0,(INT(Inputs!$B$43/IF(Inputs!$B$38="pvp",15,MAX(0.1,Skills!D4-IF(Skills!E4=TRUE,Inputs!$B$32,0))))+1)),0)</f>
        <v/>
      </c>
      <c r="S854" t="n">
        <v>0</v>
      </c>
      <c r="T854">
        <f>290*T853/1000</f>
        <v/>
      </c>
      <c r="U854" t="n">
        <v>0</v>
      </c>
    </row>
    <row r="855">
      <c r="A855">
        <f>Skills!A5</f>
        <v/>
      </c>
      <c r="B855">
        <f>Skills!B5</f>
        <v/>
      </c>
      <c r="C855">
        <f>Inputs!$B$3&gt;=38</f>
        <v/>
      </c>
      <c r="D855">
        <f>IF(Skills!C5=1,60+Inputs!$B$25+Inputs!$B$29,IF(Skills!C5=2,90+Inputs!$B$26+Inputs!$B$29,IF(Skills!C5=3,120+Inputs!$B$27+Inputs!$B$29,MAX(0,(Inputs!$B$3-100)*3)+Inputs!$B$28+Inputs!$B$29)))</f>
        <v/>
      </c>
      <c r="E855">
        <f>INDEX(FactorTable!$B$2:$Y$301, MATCH(ROUND(MIN(300,MAX(1,D855)),0), FactorTable!$A$2:$A$301,0), Skills!L5+1)</f>
        <v/>
      </c>
      <c r="F855">
        <f>IF(Skills!M5=TRUE,(Skills!K5/10)*(E855/1000),Skills!K5/10)+Skills!N5</f>
        <v/>
      </c>
      <c r="G855">
        <f>Calc!G5</f>
        <v/>
      </c>
      <c r="H855">
        <f>Calc!H5</f>
        <v/>
      </c>
      <c r="I855">
        <f>IF(Skills!T5&lt;&gt;"",1+(Skills!T5/10)*(Z853/1000)/100,1)</f>
        <v/>
      </c>
      <c r="J855">
        <f>(((Inputs!$B$6+1)*(1+Inputs!$B$7/100))+(((Inputs!$B$12*(1+Inputs!$B$13/100))-(Inputs!$B$12*(1+Inputs!$B$13/100)))+0.25*(Inputs!$B$14-Inputs!$B$14))*(1+Inputs!$B$7/100))*(F855/100)</f>
        <v/>
      </c>
      <c r="K855">
        <f>J855*(1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F868-Calc!F18),(Inputs!$B$23+(IF(ArtifactsInput!$M$15,CHOOSE(ArtifactsInput!$N$15+1,25,30,35,40,45,50)/100*(Inputs!$B$11-Inputs!$B$11),0))))/100+(Inputs!$B$23+(IF(ArtifactsInput!$M$15,CHOOSE(ArtifactsInput!$N$15+1,25,30,35,40,45,50)/100*(Inputs!$B$11-Inputs!$B$11),0)))/100)/2</f>
        <v/>
      </c>
      <c r="M855">
        <f>L855*(1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(1-Summary!$B$11)*S855+Summary!$B$11*U855</f>
        <v/>
      </c>
      <c r="P855">
        <f>IF(B886=0,0,O855/B886)</f>
        <v/>
      </c>
      <c r="Q855">
        <f>IFERROR(1/IF(Inputs!$B$38="pvp",15,MAX(0.1,Skills!D5-IF(Skills!E5=TRUE,Inputs!$B$32,0))),0)</f>
        <v/>
      </c>
      <c r="R855">
        <f>IF(AND(Inputs!$B$38&lt;&gt;"pvp",Inputs!$B$43&gt;0),IF(MAX(0,Inputs!$B$43-B883)&lt;=0,0,(INT(MAX(0,Inputs!$B$43-B883)/IF(Inputs!$B$38="pvp",15,MAX(0.1,Skills!D5-IF(Skills!E5=TRUE,Inputs!$B$32,0))))+1)),0)</f>
        <v/>
      </c>
      <c r="S855">
        <f>IF(C855,(H855*N855*IF(AND(Inputs!$B$38&lt;&gt;"pvp",Inputs!$B$43&gt;0),((Skills!F5*((R855-1)*IF(Skills!G5&gt;0,Skills!H5/Skills!G5,1)+IF(Skills!G5&gt;0,MIN(Skills!H5,MAX(0,MAX(0,Inputs!$B$43-B883)-((R855-1)*IF(Inputs!$B$38="pvp",15,MAX(0.1,Skills!D5-IF(Skills!E5=TRUE,Inputs!$B$32,0))))))/Skills!G5,1)))/Inputs!$B$43),G855*Q855))*IF(Inputs!$B$38="pvp",1,1+(Inputs!$B$20+Skills!O5+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855*(1-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IF(C855,(H855*N855*IF(AND(Inputs!$B$38&lt;&gt;"pvp",Inputs!$B$43&gt;0),((Skills!F5*((R855-1)*IF(Skills!G5&gt;0,Skills!H5/Skills!G5,1)+IF(Skills!G5&gt;0,MIN(Skills!H5,MAX(0,MAX(0,Inputs!$B$43-B883)-((R855-1)*IF(Inputs!$B$38="pvp",15,MAX(0.1,Skills!D5-IF(Skills!E5=TRUE,Inputs!$B$32,0))))))/Skills!G5,1)))/Inputs!$B$43),G855*Q855))*IF(Inputs!$B$38="pvp",1,(1+(Inputs!$B$21+Skills!P5+B877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Skills!A6</f>
        <v/>
      </c>
      <c r="B856">
        <f>Skills!B6</f>
        <v/>
      </c>
      <c r="C856">
        <f>Inputs!$B$3&gt;=63</f>
        <v/>
      </c>
      <c r="D856">
        <f>IF(Skills!C6=1,60+Inputs!$B$25+Inputs!$B$29,IF(Skills!C6=2,90+Inputs!$B$26+Inputs!$B$29,IF(Skills!C6=3,120+Inputs!$B$27+Inputs!$B$29,MAX(0,(Inputs!$B$3-100)*3)+Inputs!$B$28+Inputs!$B$29)))</f>
        <v/>
      </c>
      <c r="E856">
        <f>INDEX(FactorTable!$B$2:$Y$301, MATCH(ROUND(MIN(300,MAX(1,D856)),0), FactorTable!$A$2:$A$301,0), Skills!L6+1)</f>
        <v/>
      </c>
      <c r="F856">
        <f>IF(Skills!M6=TRUE,(Skills!K6/10)*(E856/1000),Skills!K6/10)+Skills!N6</f>
        <v/>
      </c>
      <c r="G856">
        <f>Calc!G6</f>
        <v/>
      </c>
      <c r="H856">
        <f>Calc!H6</f>
        <v/>
      </c>
      <c r="I856">
        <f>IF(Skills!T6&lt;&gt;"",1+(Skills!T6/10)*(Z853/1000)/100,1)</f>
        <v/>
      </c>
      <c r="J856">
        <f>(((Inputs!$B$6+1)*(1+Inputs!$B$7/100))+(((Inputs!$B$12*(1+Inputs!$B$13/100))-(Inputs!$B$12*(1+Inputs!$B$13/100)))+0.25*(Inputs!$B$14-Inputs!$B$14))*(1+Inputs!$B$7/100))*(F856/100)</f>
        <v/>
      </c>
      <c r="K856">
        <f>J856*(1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F868-Calc!F18),(Inputs!$B$23+(IF(ArtifactsInput!$M$15,CHOOSE(ArtifactsInput!$N$15+1,25,30,35,40,45,50)/100*(Inputs!$B$11-Inputs!$B$11),0))))/100+(Inputs!$B$23+(IF(ArtifactsInput!$M$15,CHOOSE(ArtifactsInput!$N$15+1,25,30,35,40,45,50)/100*(Inputs!$B$11-Inputs!$B$11),0)))/100)/2</f>
        <v/>
      </c>
      <c r="M856">
        <f>L856*(1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(1-Summary!$B$11)*S856+Summary!$B$11*U856</f>
        <v/>
      </c>
      <c r="P856">
        <f>IF(B886=0,0,O856/B886)</f>
        <v/>
      </c>
      <c r="Q856">
        <f>IFERROR(1/IF(Inputs!$B$38="pvp",15,MAX(0.1,Skills!D6-IF(Skills!E6=TRUE,Inputs!$B$32,0))),0)</f>
        <v/>
      </c>
      <c r="R856">
        <f>IF(AND(Inputs!$B$38&lt;&gt;"pvp",Inputs!$B$43&gt;0),IF(MAX(0,Inputs!$B$43-B883)&lt;=0,0,(INT(MAX(0,Inputs!$B$43-B883)/IF(Inputs!$B$38="pvp",15,MAX(0.1,Skills!D6-IF(Skills!E6=TRUE,Inputs!$B$32,0))))+1)),0)</f>
        <v/>
      </c>
      <c r="S856">
        <f>IF(C856,(H856*N856*IF(AND(Inputs!$B$38&lt;&gt;"pvp",Inputs!$B$43&gt;0),((Skills!F6*((R856-1)*IF(Skills!G6&gt;0,Skills!H6/Skills!G6,1)+IF(Skills!G6&gt;0,MIN(Skills!H6,MAX(0,MAX(0,Inputs!$B$43-B883)-((R856-1)*IF(Inputs!$B$38="pvp",15,MAX(0.1,Skills!D6-IF(Skills!E6=TRUE,Inputs!$B$32,0))))))/Skills!G6,1)))/Inputs!$B$43),G856*Q856))*IF(Inputs!$B$38="pvp",1,1+(Inputs!$B$20+Skills!O6+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6">
        <f>IF(C856,(H856*N856*IF(AND(Inputs!$B$38&lt;&gt;"pvp",Inputs!$B$43&gt;0),((Skills!F6*((R856-1)*IF(Skills!G6&gt;0,Skills!H6/Skills!G6,1)+IF(Skills!G6&gt;0,MIN(Skills!H6,MAX(0,MAX(0,Inputs!$B$43-B883)-((R856-1)*IF(Inputs!$B$38="pvp",15,MAX(0.1,Skills!D6-IF(Skills!E6=TRUE,Inputs!$B$32,0))))))/Skills!G6,1)))/Inputs!$B$43),G856*Q856))*IF(Inputs!$B$38="pvp",1,(1+(Inputs!$B$21+Skills!P6+B877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Skills!A7</f>
        <v/>
      </c>
      <c r="B857">
        <f>Skills!B7</f>
        <v/>
      </c>
      <c r="C857">
        <f>Inputs!$B$3&gt;=69</f>
        <v/>
      </c>
      <c r="D857">
        <f>IF(Skills!C7=1,60+Inputs!$B$25+Inputs!$B$29,IF(Skills!C7=2,90+Inputs!$B$26+Inputs!$B$29,IF(Skills!C7=3,120+Inputs!$B$27+Inputs!$B$29,MAX(0,(Inputs!$B$3-100)*3)+Inputs!$B$28+Inputs!$B$29)))</f>
        <v/>
      </c>
      <c r="E857">
        <f>INDEX(FactorTable!$B$2:$Y$301, MATCH(ROUND(MIN(300,MAX(1,D857)),0), FactorTable!$A$2:$A$301,0), Skills!L7+1)</f>
        <v/>
      </c>
      <c r="F857">
        <f>IF(Skills!M7=TRUE,(Skills!K7/10)*(E857/1000),Skills!K7/10)+Skills!N7</f>
        <v/>
      </c>
      <c r="G857">
        <f>Calc!G7</f>
        <v/>
      </c>
      <c r="H857">
        <f>Calc!H7</f>
        <v/>
      </c>
      <c r="I857">
        <f>IF(Skills!T7&lt;&gt;"",1+(Skills!T7/10)*(Z853/1000)/100,1)</f>
        <v/>
      </c>
      <c r="J857">
        <f>(((Inputs!$B$6+1)*(1+Inputs!$B$7/100))+(((Inputs!$B$12*(1+Inputs!$B$13/100))-(Inputs!$B$12*(1+Inputs!$B$13/100)))+0.25*(Inputs!$B$14-Inputs!$B$14))*(1+Inputs!$B$7/100))*(F857/100)</f>
        <v/>
      </c>
      <c r="K857">
        <f>J857*(1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F868-Calc!F18),(Inputs!$B$23+(IF(ArtifactsInput!$M$15,CHOOSE(ArtifactsInput!$N$15+1,25,30,35,40,45,50)/100*(Inputs!$B$11-Inputs!$B$11),0))))/100+(Inputs!$B$23+(IF(ArtifactsInput!$M$15,CHOOSE(ArtifactsInput!$N$15+1,25,30,35,40,45,50)/100*(Inputs!$B$11-Inputs!$B$11),0)))/100)/2</f>
        <v/>
      </c>
      <c r="M857">
        <f>L857*(1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(1-Summary!$B$11)*S857+Summary!$B$11*U857</f>
        <v/>
      </c>
      <c r="P857">
        <f>IF(B886=0,0,O857/B886)</f>
        <v/>
      </c>
      <c r="Q857">
        <f>IFERROR(1/IF(Inputs!$B$38="pvp",15,MAX(0.1,Skills!D7-IF(Skills!E7=TRUE,Inputs!$B$32,0))),0)</f>
        <v/>
      </c>
      <c r="R857">
        <f>IF(AND(Inputs!$B$38&lt;&gt;"pvp",Inputs!$B$43&gt;0),IF(MAX(0,Inputs!$B$43-B883)&lt;=0,0,(INT(MAX(0,Inputs!$B$43-B883)/IF(Inputs!$B$38="pvp",15,MAX(0.1,Skills!D7-IF(Skills!E7=TRUE,Inputs!$B$32,0))))+1)),0)</f>
        <v/>
      </c>
      <c r="S857">
        <f>IF(C857,(H857*N857*IF(AND(Inputs!$B$38&lt;&gt;"pvp",Inputs!$B$43&gt;0),((Skills!F7*((R857-1)*IF(Skills!G7&gt;0,Skills!H7/Skills!G7,1)+IF(Skills!G7&gt;0,MIN(Skills!H7,MAX(0,MAX(0,Inputs!$B$43-B883)-((R857-1)*IF(Inputs!$B$38="pvp",15,MAX(0.1,Skills!D7-IF(Skills!E7=TRUE,Inputs!$B$32,0))))))/Skills!G7,1)))/Inputs!$B$43),G857*Q857))*IF(Inputs!$B$38="pvp",1,1+(Inputs!$B$20+Skills!O7+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857*(1-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7">
        <f>IF(C857,(H857*N857*IF(AND(Inputs!$B$38&lt;&gt;"pvp",Inputs!$B$43&gt;0),((Skills!F7*((R857-1)*IF(Skills!G7&gt;0,Skills!H7/Skills!G7,1)+IF(Skills!G7&gt;0,MIN(Skills!H7,MAX(0,MAX(0,Inputs!$B$43-B883)-((R857-1)*IF(Inputs!$B$38="pvp",15,MAX(0.1,Skills!D7-IF(Skills!E7=TRUE,Inputs!$B$32,0))))))/Skills!G7,1)))/Inputs!$B$43),G857*Q857))*IF(Inputs!$B$38="pvp",1,(1+(Inputs!$B$21+Skills!P7+B877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Skills!A8</f>
        <v/>
      </c>
      <c r="B858">
        <f>Skills!B8</f>
        <v/>
      </c>
      <c r="C858">
        <f>Inputs!$B$3&gt;=103</f>
        <v/>
      </c>
      <c r="D858">
        <f>IF(Skills!C8=1,60+Inputs!$B$25+Inputs!$B$29,IF(Skills!C8=2,90+Inputs!$B$26+Inputs!$B$29,IF(Skills!C8=3,120+Inputs!$B$27+Inputs!$B$29,MAX(0,(Inputs!$B$3-100)*3)+Inputs!$B$28+Inputs!$B$29)))</f>
        <v/>
      </c>
      <c r="E858">
        <f>INDEX(FactorTable!$B$2:$Y$301, MATCH(ROUND(MIN(300,MAX(1,D858)),0), FactorTable!$A$2:$A$301,0), Skills!L8+1)</f>
        <v/>
      </c>
      <c r="F858">
        <f>IF(Skills!M8=TRUE,(Skills!K8/10)*(E858/1000),Skills!K8/10)+Skills!N8</f>
        <v/>
      </c>
      <c r="G858">
        <f>Calc!G8</f>
        <v/>
      </c>
      <c r="H858">
        <f>Calc!H8</f>
        <v/>
      </c>
      <c r="I858">
        <f>IF(Skills!T8&lt;&gt;"",1+(Skills!T8/10)*(Z853/1000)/100,1)</f>
        <v/>
      </c>
      <c r="J858">
        <f>(((Inputs!$B$6+1)*(1+Inputs!$B$7/100))+(((Inputs!$B$12*(1+Inputs!$B$13/100))-(Inputs!$B$12*(1+Inputs!$B$13/100)))+0.25*(Inputs!$B$14-Inputs!$B$14))*(1+Inputs!$B$7/100))*(F858/100)</f>
        <v/>
      </c>
      <c r="K858">
        <f>J858*(1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F868-Calc!F18),(Inputs!$B$23+(IF(ArtifactsInput!$M$15,CHOOSE(ArtifactsInput!$N$15+1,25,30,35,40,45,50)/100*(Inputs!$B$11-Inputs!$B$11),0))))/100+(Inputs!$B$23+(IF(ArtifactsInput!$M$15,CHOOSE(ArtifactsInput!$N$15+1,25,30,35,40,45,50)/100*(Inputs!$B$11-Inputs!$B$11),0)))/100)/2</f>
        <v/>
      </c>
      <c r="M858">
        <f>L858*(1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(1-Summary!$B$11)*S858+Summary!$B$11*U858</f>
        <v/>
      </c>
      <c r="P858">
        <f>IF(B886=0,0,O858/B886)</f>
        <v/>
      </c>
      <c r="Q858">
        <f>IFERROR(1/IF(Inputs!$B$38="pvp",15,MAX(0.1,Skills!D8-IF(Skills!E8=TRUE,Inputs!$B$32,0))),0)</f>
        <v/>
      </c>
      <c r="R858">
        <f>IF(AND(Inputs!$B$38&lt;&gt;"pvp",Inputs!$B$43&gt;0),IF(MAX(0,Inputs!$B$43-B883)&lt;=0,0,(INT(MAX(0,Inputs!$B$43-B883)/IF(Inputs!$B$38="pvp",15,MAX(0.1,Skills!D8-IF(Skills!E8=TRUE,Inputs!$B$32,0))))+1)),0)</f>
        <v/>
      </c>
      <c r="S858">
        <f>IF(C858,(H858*N858*IF(AND(Inputs!$B$38&lt;&gt;"pvp",Inputs!$B$43&gt;0),((Skills!F8*((R858-1)*IF(Skills!G8&gt;0,Skills!H8/Skills!G8,1)+IF(Skills!G8&gt;0,MIN(Skills!H8,MAX(0,MAX(0,Inputs!$B$43-B883)-((R858-1)*IF(Inputs!$B$38="pvp",15,MAX(0.1,Skills!D8-IF(Skills!E8=TRUE,Inputs!$B$32,0))))))/Skills!G8,1)))/Inputs!$B$43),G858*Q858))*IF(Inputs!$B$38="pvp",1,1+(Inputs!$B$20+Skills!O8+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858*(1-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8">
        <f>IF(C858,(H858*N858*IF(AND(Inputs!$B$38&lt;&gt;"pvp",Inputs!$B$43&gt;0),((Skills!F8*((R858-1)*IF(Skills!G8&gt;0,Skills!H8/Skills!G8,1)+IF(Skills!G8&gt;0,MIN(Skills!H8,MAX(0,MAX(0,Inputs!$B$43-B883)-((R858-1)*IF(Inputs!$B$38="pvp",15,MAX(0.1,Skills!D8-IF(Skills!E8=TRUE,Inputs!$B$32,0))))))/Skills!G8,1)))/Inputs!$B$43),G858*Q858))*IF(Inputs!$B$38="pvp",1,(1+(Inputs!$B$21+Skills!P8+B877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Skills!A9</f>
        <v/>
      </c>
      <c r="B859">
        <f>Skills!B9</f>
        <v/>
      </c>
      <c r="C859">
        <f>Inputs!$B$3&gt;=105</f>
        <v/>
      </c>
      <c r="D859">
        <f>IF(Skills!C9=1,60+Inputs!$B$25+Inputs!$B$29,IF(Skills!C9=2,90+Inputs!$B$26+Inputs!$B$29,IF(Skills!C9=3,120+Inputs!$B$27+Inputs!$B$29,MAX(0,(Inputs!$B$3-100)*3)+Inputs!$B$28+Inputs!$B$29)))</f>
        <v/>
      </c>
      <c r="E859">
        <f>INDEX(FactorTable!$B$2:$Y$301, MATCH(ROUND(MIN(300,MAX(1,D859)),0), FactorTable!$A$2:$A$301,0), Skills!L9+1)</f>
        <v/>
      </c>
      <c r="F859">
        <f>IF(Skills!M9=TRUE,(Skills!K9/10)*(E859/1000),Skills!K9/10)+Skills!N9</f>
        <v/>
      </c>
      <c r="G859">
        <f>Calc!G9</f>
        <v/>
      </c>
      <c r="H859">
        <f>Calc!H9</f>
        <v/>
      </c>
      <c r="I859">
        <f>IF(Skills!T9&lt;&gt;"",1+(Skills!T9/10)*(Z853/1000)/100,1)</f>
        <v/>
      </c>
      <c r="J859">
        <f>(((Inputs!$B$6+1)*(1+Inputs!$B$7/100))+(((Inputs!$B$12*(1+Inputs!$B$13/100))-(Inputs!$B$12*(1+Inputs!$B$13/100)))+0.25*(Inputs!$B$14-Inputs!$B$14))*(1+Inputs!$B$7/100))*(F859/100)</f>
        <v/>
      </c>
      <c r="K859">
        <f>J859*(1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F868-Calc!F18),(Inputs!$B$23+(IF(ArtifactsInput!$M$15,CHOOSE(ArtifactsInput!$N$15+1,25,30,35,40,45,50)/100*(Inputs!$B$11-Inputs!$B$11),0))))/100+(Inputs!$B$23+(IF(ArtifactsInput!$M$15,CHOOSE(ArtifactsInput!$N$15+1,25,30,35,40,45,50)/100*(Inputs!$B$11-Inputs!$B$11),0)))/100)/2</f>
        <v/>
      </c>
      <c r="M859">
        <f>L859*(1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(1-Summary!$B$11)*S859+Summary!$B$11*U859</f>
        <v/>
      </c>
      <c r="P859">
        <f>IF(B886=0,0,O859/B886)</f>
        <v/>
      </c>
      <c r="Q859">
        <f>IFERROR(1/IF(Inputs!$B$38="pvp",15,MAX(0.1,Skills!D9-IF(Skills!E9=TRUE,Inputs!$B$32,0))),0)</f>
        <v/>
      </c>
      <c r="R859">
        <f>IF(AND(Inputs!$B$38&lt;&gt;"pvp",Inputs!$B$43&gt;0),IF(MAX(0,Inputs!$B$43-B883)&lt;=0,0,(INT(MAX(0,Inputs!$B$43-B883)/IF(Inputs!$B$38="pvp",15,MAX(0.1,Skills!D9-IF(Skills!E9=TRUE,Inputs!$B$32,0))))+1)),0)</f>
        <v/>
      </c>
      <c r="S859">
        <f>IF(C859,(H859*N859*IF(AND(Inputs!$B$38&lt;&gt;"pvp",Inputs!$B$43&gt;0),((Skills!F9*((R859-1)*IF(Skills!G9&gt;0,Skills!H9/Skills!G9,1)+IF(Skills!G9&gt;0,MIN(Skills!H9,MAX(0,MAX(0,Inputs!$B$43-B883)-((R859-1)*IF(Inputs!$B$38="pvp",15,MAX(0.1,Skills!D9-IF(Skills!E9=TRUE,Inputs!$B$32,0))))))/Skills!G9,1)))/Inputs!$B$43),G859*Q859))*IF(Inputs!$B$38="pvp",1,1+(Inputs!$B$20+Skills!O9+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859*(1-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9">
        <f>IF(C859,(H859*N859*IF(AND(Inputs!$B$38&lt;&gt;"pvp",Inputs!$B$43&gt;0),((Skills!F9*((R859-1)*IF(Skills!G9&gt;0,Skills!H9/Skills!G9,1)+IF(Skills!G9&gt;0,MIN(Skills!H9,MAX(0,MAX(0,Inputs!$B$43-B883)-((R859-1)*IF(Inputs!$B$38="pvp",15,MAX(0.1,Skills!D9-IF(Skills!E9=TRUE,Inputs!$B$32,0))))))/Skills!G9,1)))/Inputs!$B$43),G859*Q859))*IF(Inputs!$B$38="pvp",1,(1+(Inputs!$B$21+Skills!P9+B877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Skills!A10</f>
        <v/>
      </c>
      <c r="B860">
        <f>Skills!B10</f>
        <v/>
      </c>
      <c r="C860">
        <f>Inputs!$B$3&gt;=113</f>
        <v/>
      </c>
      <c r="D860">
        <f>IF(Skills!C10=1,60+Inputs!$B$25+Inputs!$B$29,IF(Skills!C10=2,90+Inputs!$B$26+Inputs!$B$29,IF(Skills!C10=3,120+Inputs!$B$27+Inputs!$B$29,MAX(0,(Inputs!$B$3-100)*3)+Inputs!$B$28+Inputs!$B$29)))</f>
        <v/>
      </c>
      <c r="E860">
        <f>INDEX(FactorTable!$B$2:$Y$301, MATCH(ROUND(MIN(300,MAX(1,D860)),0), FactorTable!$A$2:$A$301,0), Skills!L10+1)</f>
        <v/>
      </c>
      <c r="F860">
        <f>IF(Skills!M10=TRUE,(Skills!K10/10)*(E860/1000),Skills!K10/10)+Skills!N10</f>
        <v/>
      </c>
      <c r="G860">
        <f>Calc!G10</f>
        <v/>
      </c>
      <c r="H860">
        <f>Calc!H10</f>
        <v/>
      </c>
      <c r="I860">
        <f>IF(Skills!T10&lt;&gt;"",1+(Skills!T10/10)*(Z853/1000)/100,1)</f>
        <v/>
      </c>
      <c r="J860">
        <f>(((Inputs!$B$6+1)*(1+Inputs!$B$7/100))+(((Inputs!$B$12*(1+Inputs!$B$13/100))-(Inputs!$B$12*(1+Inputs!$B$13/100)))+0.25*(Inputs!$B$14-Inputs!$B$14))*(1+Inputs!$B$7/100))*(F860/100)</f>
        <v/>
      </c>
      <c r="K860">
        <f>J860*(1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F868-Calc!F18),(Inputs!$B$23+(IF(ArtifactsInput!$M$15,CHOOSE(ArtifactsInput!$N$15+1,25,30,35,40,45,50)/100*(Inputs!$B$11-Inputs!$B$11),0))))/100+(Inputs!$B$23+(IF(ArtifactsInput!$M$15,CHOOSE(ArtifactsInput!$N$15+1,25,30,35,40,45,50)/100*(Inputs!$B$11-Inputs!$B$11),0)))/100)/2</f>
        <v/>
      </c>
      <c r="M860">
        <f>L860*(1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(1-Summary!$B$11)*S860+Summary!$B$11*U860</f>
        <v/>
      </c>
      <c r="P860">
        <f>IF(B886=0,0,O860/B886)</f>
        <v/>
      </c>
      <c r="Q860">
        <f>IFERROR(1/IF(Inputs!$B$38="pvp",15,MAX(0.1,Skills!D10-IF(Skills!E9=TRUE,Inputs!$B$32,0))),0)</f>
        <v/>
      </c>
      <c r="R860">
        <f>IF(AND(Inputs!$B$38&lt;&gt;"pvp",Inputs!$B$43&gt;0),IF(MAX(0,Inputs!$B$43-B883)&lt;=0,0,(INT(MAX(0,Inputs!$B$43-B883)/IF(Inputs!$B$38="pvp",15,MAX(0.1,Skills!D10-IF(Skills!E9=TRUE,Inputs!$B$32,0))))+1)),0)</f>
        <v/>
      </c>
      <c r="S860">
        <f>IF(C860,(H860*N860*IF(AND(Inputs!$B$38&lt;&gt;"pvp",Inputs!$B$43&gt;0),((Skills!F10*((R860-1)*IF(Skills!G10&gt;0,Skills!H10/Skills!G10,1)+IF(Skills!G10&gt;0,MIN(Skills!H10,MAX(0,MAX(0,Inputs!$B$43-B883)-((R860-1)*IF(Inputs!$B$38="pvp",15,MAX(0.1,Skills!D10-IF(Skills!E9=TRUE,Inputs!$B$32,0))))))/Skills!G10,1)))/Inputs!$B$43),G860*Q860))*IF(Inputs!$B$38="pvp",1,1+(Inputs!$B$20+Skills!O10+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860*(1-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0">
        <f>IF(C860,(H860*N860*IF(AND(Inputs!$B$38&lt;&gt;"pvp",Inputs!$B$43&gt;0),((Skills!F10*((R860-1)*IF(Skills!G10&gt;0,Skills!H10/Skills!G10,1)+IF(Skills!G10&gt;0,MIN(Skills!H10,MAX(0,MAX(0,Inputs!$B$43-B883)-((R860-1)*IF(Inputs!$B$38="pvp",15,MAX(0.1,Skills!D10-IF(Skills!E9=TRUE,Inputs!$B$32,0))))))/Skills!G10,1)))/Inputs!$B$43),G860*Q860))*IF(Inputs!$B$38="pvp",1,(1+(Inputs!$B$21+Skills!P10+B877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Skills!A11</f>
        <v/>
      </c>
      <c r="B861">
        <f>Skills!B11</f>
        <v/>
      </c>
      <c r="C861">
        <f>Inputs!$B$3&gt;=107</f>
        <v/>
      </c>
      <c r="D861">
        <f>IF(Skills!C11=1,60+Inputs!$B$25+Inputs!$B$29,IF(Skills!C11=2,90+Inputs!$B$26+Inputs!$B$29,IF(Skills!C11=3,120+Inputs!$B$27+Inputs!$B$29,MAX(0,(Inputs!$B$3-100)*3)+Inputs!$B$28+Inputs!$B$29)))</f>
        <v/>
      </c>
      <c r="E861">
        <f>INDEX(FactorTable!$B$2:$Y$301, MATCH(ROUND(MIN(300,MAX(1,D861)),0), FactorTable!$A$2:$A$301,0), Skills!L11+1)</f>
        <v/>
      </c>
      <c r="F861">
        <f>IF(Skills!M11=TRUE,(Skills!K11/10)*(E861/1000),Skills!K11/10)+Skills!N11</f>
        <v/>
      </c>
      <c r="G861">
        <f>Calc!G11</f>
        <v/>
      </c>
      <c r="H861">
        <f>Calc!H11</f>
        <v/>
      </c>
      <c r="I861">
        <f>IF(Skills!T11&lt;&gt;"",1+(Skills!T11/10)*(Z853/1000)/100,1)</f>
        <v/>
      </c>
      <c r="J861">
        <f>(((Inputs!$B$6+1)*(1+Inputs!$B$7/100))+(((Inputs!$B$12*(1+Inputs!$B$13/100))-(Inputs!$B$12*(1+Inputs!$B$13/100)))+0.25*(Inputs!$B$14-Inputs!$B$14))*(1+Inputs!$B$7/100))*(F861/100)</f>
        <v/>
      </c>
      <c r="K861">
        <f>J861*(1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F868-Calc!F18),(Inputs!$B$23+(IF(ArtifactsInput!$M$15,CHOOSE(ArtifactsInput!$N$15+1,25,30,35,40,45,50)/100*(Inputs!$B$11-Inputs!$B$11),0))))/100+(Inputs!$B$23+(IF(ArtifactsInput!$M$15,CHOOSE(ArtifactsInput!$N$15+1,25,30,35,40,45,50)/100*(Inputs!$B$11-Inputs!$B$11),0)))/100)/2</f>
        <v/>
      </c>
      <c r="M861">
        <f>L861*(1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(1-Summary!$B$11)*S861+Summary!$B$11*U861</f>
        <v/>
      </c>
      <c r="P861">
        <f>IF(B886=0,0,O861/B886)</f>
        <v/>
      </c>
      <c r="Q861">
        <f>IFERROR(1/IF(Inputs!$B$38="pvp",15,MAX(0.1,Skills!D11-IF(Skills!E11=TRUE,Inputs!$B$32,0))),0)</f>
        <v/>
      </c>
      <c r="R861">
        <f>IF(AND(Inputs!$B$38&lt;&gt;"pvp",Inputs!$B$43&gt;0),IF(MAX(0,Inputs!$B$43-B883)&lt;=0,0,(INT(MAX(0,Inputs!$B$43-B883)/IF(Inputs!$B$38="pvp",15,MAX(0.1,Skills!D11-IF(Skills!E11=TRUE,Inputs!$B$32,0))))+1)),0)</f>
        <v/>
      </c>
      <c r="S861">
        <f>IF(C861,H861*N861*IF(AND(Inputs!$B$38&lt;&gt;"pvp",Inputs!$B$43&gt;0),((Skills!F11*((R861-1)*IF(Skills!G11&gt;0,Skills!H11/Skills!G11,1)+IF(Skills!G11&gt;0,MIN(Skills!H11,MAX(0,MAX(0,Inputs!$B$43-B883)-((R861-1)*IF(Inputs!$B$38="pvp",15,MAX(0.1,Skills!D11-IF(Skills!E11=TRUE,Inputs!$B$32,0))))))/Skills!G11,1)))/Inputs!$B$43),G861*Q861)*0.5*IF(Inputs!$B$38="pvp",1,1+(Inputs!$B$20+Skills!O11+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1">
        <f>IF(C861,H861*N861*IF(AND(Inputs!$B$38&lt;&gt;"pvp",Inputs!$B$43&gt;0),((Skills!F11*((R861-1)*IF(Skills!G11&gt;0,Skills!H11/Skills!G11,1)+IF(Skills!G11&gt;0,MIN(Skills!H11,MAX(0,MAX(0,Inputs!$B$43-B883)-((R861-1)*IF(Inputs!$B$38="pvp",15,MAX(0.1,Skills!D11-IF(Skills!E11=TRUE,Inputs!$B$32,0))))))/Skills!G11,1)))/Inputs!$B$43),G861*Q861)*1*IF(Inputs!$B$38="pvp",1,(1+(Inputs!$B$21+Skills!P11+B877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Skills!A12</f>
        <v/>
      </c>
      <c r="B862">
        <f>Skills!B12</f>
        <v/>
      </c>
      <c r="C862">
        <f>Inputs!$B$3&gt;=115</f>
        <v/>
      </c>
      <c r="D862">
        <f>IF(Skills!C12=1,60+Inputs!$B$25+Inputs!$B$29,IF(Skills!C12=2,90+Inputs!$B$26+Inputs!$B$29,IF(Skills!C12=3,120+Inputs!$B$27+Inputs!$B$29,MAX(0,(Inputs!$B$3-100)*3)+Inputs!$B$28+Inputs!$B$29)))</f>
        <v/>
      </c>
      <c r="E862">
        <f>INDEX(FactorTable!$B$2:$Y$301, MATCH(ROUND(MIN(300,MAX(1,D862)),0), FactorTable!$A$2:$A$301,0), Skills!L12+1)</f>
        <v/>
      </c>
      <c r="F862">
        <f>IF(Skills!M12=TRUE,(Skills!K12/10)*(E862/1000),Skills!K12/10)+Skills!N12</f>
        <v/>
      </c>
      <c r="G862">
        <f>Calc!G12</f>
        <v/>
      </c>
      <c r="H862">
        <f>Calc!H12</f>
        <v/>
      </c>
      <c r="I862">
        <f>IF(Skills!T12&lt;&gt;"",1+(Skills!T12/10)*(Z853/1000)/100,1)</f>
        <v/>
      </c>
      <c r="J862">
        <f>(((Inputs!$B$6+1)*(1+Inputs!$B$7/100))+(((Inputs!$B$12*(1+Inputs!$B$13/100))-(Inputs!$B$12*(1+Inputs!$B$13/100)))+0.25*(Inputs!$B$14-Inputs!$B$14))*(1+Inputs!$B$7/100))*(F862/100)</f>
        <v/>
      </c>
      <c r="K862">
        <f>J862*(1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F868-Calc!F18),(Inputs!$B$23+(IF(ArtifactsInput!$M$15,CHOOSE(ArtifactsInput!$N$15+1,25,30,35,40,45,50)/100*(Inputs!$B$11-Inputs!$B$11),0))))/100+(Inputs!$B$23+(IF(ArtifactsInput!$M$15,CHOOSE(ArtifactsInput!$N$15+1,25,30,35,40,45,50)/100*(Inputs!$B$11-Inputs!$B$11),0)))/100)/2</f>
        <v/>
      </c>
      <c r="M862">
        <f>L862*(1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(1-Summary!$B$11)*S862+Summary!$B$11*U862</f>
        <v/>
      </c>
      <c r="P862">
        <f>IF(B886=0,0,O862/B886)</f>
        <v/>
      </c>
      <c r="Q862">
        <f>IFERROR(1/IF(Inputs!$B$38="pvp",15,MAX(0.1,Skills!D12-IF(Skills!E12=TRUE,Inputs!$B$32,0))),0)</f>
        <v/>
      </c>
      <c r="R862">
        <f>IF(AND(Inputs!$B$38&lt;&gt;"pvp",Inputs!$B$43&gt;0),IF(MAX(0,Inputs!$B$43-B883)&lt;=0,0,(INT(MAX(0,Inputs!$B$43-B883)/IF(Inputs!$B$38="pvp",15,MAX(0.1,Skills!D12-IF(Skills!E12=TRUE,Inputs!$B$32,0))))+1)),0)</f>
        <v/>
      </c>
      <c r="S862">
        <f>IF(C862,(H862*N862*IF(AND(Inputs!$B$38&lt;&gt;"pvp",Inputs!$B$43&gt;0),((Skills!F12*((R862-1)*IF(Skills!G12&gt;0,Skills!H12/Skills!G12,1)+IF(Skills!G12&gt;0,MIN(Skills!H12,MAX(0,MAX(0,Inputs!$B$43-B883)-((R862-1)*IF(Inputs!$B$38="pvp",15,MAX(0.1,Skills!D12-IF(Skills!E12=TRUE,Inputs!$B$32,0))))))/Skills!G12,1)))/Inputs!$B$43),G862*Q862))*IF(Inputs!$B$38="pvp",1,1+(Inputs!$B$20+Skills!O12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2">
        <f>IF(C862,(H862*N862*IF(AND(Inputs!$B$38&lt;&gt;"pvp",Inputs!$B$43&gt;0),((Skills!F12*((R862-1)*IF(Skills!G12&gt;0,Skills!H12/Skills!G12,1)+IF(Skills!G12&gt;0,MIN(Skills!H12,MAX(0,MAX(0,Inputs!$B$43-B883)-((R862-1)*IF(Inputs!$B$38="pvp",15,MAX(0.1,Skills!D12-IF(Skills!E12=TRUE,Inputs!$B$32,0))))))/Skills!G12,1)))/Inputs!$B$43),G862*Q862))*IF(Inputs!$B$38="pvp",1,(1+(Inputs!$B$21+Skills!P12+B877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Skills!A13</f>
        <v/>
      </c>
      <c r="B863">
        <f>Skills!B13</f>
        <v/>
      </c>
      <c r="C863">
        <f>Inputs!$B$3&gt;=49</f>
        <v/>
      </c>
      <c r="D863">
        <f>IF(Skills!C13=1,60+Inputs!$B$25+Inputs!$B$29,IF(Skills!C13=2,90+Inputs!$B$26+Inputs!$B$29,IF(Skills!C13=3,120+Inputs!$B$27+Inputs!$B$29,MAX(0,(Inputs!$B$3-100)*3)+Inputs!$B$28+Inputs!$B$29)))</f>
        <v/>
      </c>
      <c r="E863">
        <f>INDEX(FactorTable!$B$2:$Y$301, MATCH(ROUND(MIN(300,MAX(1,D863)),0), FactorTable!$A$2:$A$301,0), Skills!L13+1)</f>
        <v/>
      </c>
      <c r="F863">
        <f>IF(Skills!M13=TRUE,(Skills!K13/10)*(E863/1000),Skills!K13/10)+Skills!N13</f>
        <v/>
      </c>
      <c r="G863">
        <f>Calc!G13</f>
        <v/>
      </c>
      <c r="H863">
        <f>Calc!H13</f>
        <v/>
      </c>
      <c r="I863">
        <f>IF(Skills!T13&lt;&gt;"",1+(Skills!T13/10)*(Z853/1000)/100,1)</f>
        <v/>
      </c>
      <c r="J863" t="inlineStr"/>
      <c r="K863" t="inlineStr"/>
      <c r="L863" t="inlineStr"/>
      <c r="M863" t="inlineStr"/>
      <c r="N863" t="inlineStr"/>
      <c r="O863">
        <f>(1-Summary!$B$11)*S863+Summary!$B$11*U863</f>
        <v/>
      </c>
      <c r="P863">
        <f>IF(B886=0,0,O863/B886)</f>
        <v/>
      </c>
      <c r="Q863">
        <f>IFERROR(1/IF(Inputs!$B$38="pvp",15,MAX(0.1,Skills!D13-IF(Skills!E13=TRUE,Inputs!$B$32,0))),0)</f>
        <v/>
      </c>
      <c r="R863" t="n">
        <v>0</v>
      </c>
      <c r="S863" t="n">
        <v>0</v>
      </c>
      <c r="U863" t="n">
        <v>0</v>
      </c>
    </row>
    <row r="864">
      <c r="A864">
        <f>Skills!A14</f>
        <v/>
      </c>
      <c r="B864">
        <f>Skills!B14</f>
        <v/>
      </c>
      <c r="C864">
        <f>Inputs!$B$3&gt;=72</f>
        <v/>
      </c>
      <c r="D864">
        <f>IF(Skills!C14=1,60+Inputs!$B$25+Inputs!$B$29,IF(Skills!C14=2,90+Inputs!$B$26+Inputs!$B$29,IF(Skills!C14=3,120+Inputs!$B$27+Inputs!$B$29,MAX(0,(Inputs!$B$3-100)*3)+Inputs!$B$28+Inputs!$B$29)))</f>
        <v/>
      </c>
      <c r="E864">
        <f>INDEX(FactorTable!$B$2:$Y$301, MATCH(ROUND(MIN(300,MAX(1,D864)),0), FactorTable!$A$2:$A$301,0), Skills!L14+1)</f>
        <v/>
      </c>
      <c r="F864">
        <f>IF(Skills!M14=TRUE,(Skills!K14/10)*(E864/1000),Skills!K14/10)+Skills!N14</f>
        <v/>
      </c>
      <c r="G864">
        <f>Calc!G14</f>
        <v/>
      </c>
      <c r="H864">
        <f>Calc!H14</f>
        <v/>
      </c>
      <c r="I864">
        <f>IF(Skills!T14&lt;&gt;"",1+(Skills!T14/10)*(Z853/1000)/100,1)</f>
        <v/>
      </c>
      <c r="J864" t="inlineStr"/>
      <c r="K864" t="inlineStr"/>
      <c r="L864" t="inlineStr"/>
      <c r="M864" t="inlineStr"/>
      <c r="N864" t="inlineStr"/>
      <c r="O864">
        <f>(1-Summary!$B$11)*S864+Summary!$B$11*U864</f>
        <v/>
      </c>
      <c r="P864">
        <f>IF(B886=0,0,O864/B886)</f>
        <v/>
      </c>
      <c r="Q864">
        <f>IFERROR(1/IF(Inputs!$B$38="pvp",15,MAX(0.1,Skills!D14-IF(Skills!E14=TRUE,Inputs!$B$32,0))),0)</f>
        <v/>
      </c>
      <c r="R864" t="n">
        <v>0</v>
      </c>
      <c r="S864" t="n">
        <v>0</v>
      </c>
      <c r="U864" t="n">
        <v>0</v>
      </c>
    </row>
    <row r="865">
      <c r="A865">
        <f>Skills!A15</f>
        <v/>
      </c>
      <c r="B865">
        <f>Skills!B15</f>
        <v/>
      </c>
      <c r="C865">
        <f>Inputs!$B$3&gt;=75</f>
        <v/>
      </c>
      <c r="D865">
        <f>IF(Skills!C15=1,60+Inputs!$B$25+Inputs!$B$29,IF(Skills!C15=2,90+Inputs!$B$26+Inputs!$B$29,IF(Skills!C15=3,120+Inputs!$B$27+Inputs!$B$29,MAX(0,(Inputs!$B$3-100)*3)+Inputs!$B$28+Inputs!$B$29)))</f>
        <v/>
      </c>
      <c r="E865">
        <f>INDEX(FactorTable!$B$2:$Y$301, MATCH(ROUND(MIN(300,MAX(1,D865)),0), FactorTable!$A$2:$A$301,0), Skills!L15+1)</f>
        <v/>
      </c>
      <c r="F865">
        <f>IF(Skills!M15=TRUE,(Skills!K15/10)*(E865/1000),Skills!K15/10)+Skills!N15</f>
        <v/>
      </c>
      <c r="G865">
        <f>Calc!G15</f>
        <v/>
      </c>
      <c r="H865">
        <f>Calc!H15</f>
        <v/>
      </c>
      <c r="I865">
        <f>IF(Skills!T15&lt;&gt;"",1+(Skills!T15/10)*(Z853/1000)/100,1)</f>
        <v/>
      </c>
      <c r="J865" t="inlineStr"/>
      <c r="K865" t="inlineStr"/>
      <c r="L865" t="inlineStr"/>
      <c r="M865" t="inlineStr"/>
      <c r="N865" t="inlineStr"/>
      <c r="O865">
        <f>(1-Summary!$B$11)*S865+Summary!$B$11*U865</f>
        <v/>
      </c>
      <c r="P865">
        <f>IF(B886=0,0,O865/B886)</f>
        <v/>
      </c>
      <c r="Q865">
        <f>IFERROR(1/IF(Inputs!$B$38="pvp",15,MAX(0.1,Skills!D15-IF(Skills!E15=TRUE,Inputs!$B$32,0))),0)</f>
        <v/>
      </c>
      <c r="R865" t="n">
        <v>0</v>
      </c>
      <c r="S865" t="n">
        <v>0</v>
      </c>
      <c r="U865" t="n">
        <v>0</v>
      </c>
    </row>
    <row r="866">
      <c r="A866">
        <f>Skills!A16</f>
        <v/>
      </c>
      <c r="B866">
        <f>Skills!B16</f>
        <v/>
      </c>
      <c r="C866">
        <f>Inputs!$B$3&gt;=110</f>
        <v/>
      </c>
      <c r="D866">
        <f>IF(Skills!C16=1,60+Inputs!$B$25+Inputs!$B$29,IF(Skills!C16=2,90+Inputs!$B$26+Inputs!$B$29,IF(Skills!C16=3,120+Inputs!$B$27+Inputs!$B$29,MAX(0,(Inputs!$B$3-100)*3)+Inputs!$B$28+Inputs!$B$29)))</f>
        <v/>
      </c>
      <c r="E866">
        <f>INDEX(FactorTable!$B$2:$Y$301, MATCH(ROUND(MIN(300,MAX(1,D866)),0), FactorTable!$A$2:$A$301,0), Skills!L16+1)</f>
        <v/>
      </c>
      <c r="F866">
        <f>(Skills!K16/10)*(E866/1000)*64/45+Skills!N16</f>
        <v/>
      </c>
      <c r="G866">
        <f>Calc!G16</f>
        <v/>
      </c>
      <c r="H866">
        <f>Calc!H16</f>
        <v/>
      </c>
      <c r="I866">
        <f>IF(Skills!T16&lt;&gt;"",1+(Skills!T16/10)*(Z853/1000)/100,1)</f>
        <v/>
      </c>
      <c r="J866" t="inlineStr"/>
      <c r="K866" t="inlineStr"/>
      <c r="L866" t="inlineStr"/>
      <c r="M866" t="inlineStr"/>
      <c r="N866" t="inlineStr"/>
      <c r="O866">
        <f>(1-Summary!$B$11)*S866+Summary!$B$11*U866</f>
        <v/>
      </c>
      <c r="P866">
        <f>IF(B886=0,0,O866/B886)</f>
        <v/>
      </c>
      <c r="Q866">
        <f>IFERROR(1/IF(Inputs!$B$38="pvp",15,MAX(0.1,Skills!D16-IF(Skills!E16=TRUE,Inputs!$B$32,0))),0)</f>
        <v/>
      </c>
      <c r="R866">
        <f>IF(AND(Inputs!$B$38&lt;&gt;"pvp",Inputs!$B$43&gt;0),IF(Inputs!$B$43&lt;=0,0,(INT(Inputs!$B$43/IF(Inputs!$B$38="pvp",15,MAX(0.1,Skills!D16-IF(Skills!E16=TRUE,Inputs!$B$32,0))))+1)),0)</f>
        <v/>
      </c>
      <c r="S866" t="n">
        <v>0</v>
      </c>
      <c r="U866" t="n">
        <v>0</v>
      </c>
    </row>
    <row r="867">
      <c r="A867">
        <f>Skills!A17</f>
        <v/>
      </c>
      <c r="B867">
        <f>Skills!B17</f>
        <v/>
      </c>
      <c r="C867">
        <f>Inputs!$B$3&gt;=33</f>
        <v/>
      </c>
      <c r="D867">
        <f>IF(Skills!C17=1,60+Inputs!$B$25+Inputs!$B$29,IF(Skills!C17=2,90+Inputs!$B$26+Inputs!$B$29,IF(Skills!C17=3,120+Inputs!$B$27+Inputs!$B$29,MAX(0,(Inputs!$B$3-100)*3)+Inputs!$B$28+Inputs!$B$29)))</f>
        <v/>
      </c>
      <c r="E867">
        <f>INDEX(FactorTable!$B$2:$Y$301, MATCH(ROUND(MIN(300,MAX(1,D867)),0), FactorTable!$A$2:$A$301,0), Skills!L17+1)</f>
        <v/>
      </c>
      <c r="F867">
        <f>IF(Skills!M17=TRUE,(Skills!K17/10)*(E867/1000),Skills!K17/10)+Skills!N17</f>
        <v/>
      </c>
      <c r="G867">
        <f>Calc!G17</f>
        <v/>
      </c>
      <c r="H867">
        <f>Calc!H17</f>
        <v/>
      </c>
      <c r="I867">
        <f>IF(Skills!T17&lt;&gt;"",1+(Skills!T17/10)*(Z853/1000)/100,1)</f>
        <v/>
      </c>
      <c r="J867" t="inlineStr"/>
      <c r="K867" t="inlineStr"/>
      <c r="L867" t="inlineStr"/>
      <c r="M867" t="inlineStr"/>
      <c r="N867" t="inlineStr"/>
      <c r="O867">
        <f>(1-Summary!$B$11)*S867+Summary!$B$11*U867</f>
        <v/>
      </c>
      <c r="P867">
        <f>IF(B886=0,0,O867/B886)</f>
        <v/>
      </c>
      <c r="Q867">
        <f>IFERROR(1/IF(Inputs!$B$38="pvp",15,MAX(0.1,Skills!D17-IF(Skills!E17=TRUE,Inputs!$B$32,0))),0)</f>
        <v/>
      </c>
      <c r="R867" t="n">
        <v>0</v>
      </c>
      <c r="S867" t="n">
        <v>0</v>
      </c>
      <c r="U867" t="n">
        <v>0</v>
      </c>
    </row>
    <row r="868">
      <c r="A868">
        <f>Skills!A18</f>
        <v/>
      </c>
      <c r="B868">
        <f>Skills!B18</f>
        <v/>
      </c>
      <c r="C868">
        <f>Inputs!$B$3&gt;=43</f>
        <v/>
      </c>
      <c r="D868">
        <f>IF(Skills!C18=1,60+Inputs!$B$25+Inputs!$B$29,IF(Skills!C18=2,90+Inputs!$B$26+Inputs!$B$29,IF(Skills!C18=3,120+Inputs!$B$27+Inputs!$B$29,MAX(0,(Inputs!$B$3-100)*3)+Inputs!$B$28+Inputs!$B$29)))</f>
        <v/>
      </c>
      <c r="E868">
        <f>INDEX(FactorTable!$B$2:$Y$301, MATCH(ROUND(MIN(300,MAX(1,D868)),0), FactorTable!$A$2:$A$301,0), Skills!L18+1)</f>
        <v/>
      </c>
      <c r="F868">
        <f>IF(Skills!M18=TRUE,(Skills!K18/10)*(E868/1000),Skills!K18/10)+Skills!N18</f>
        <v/>
      </c>
      <c r="G868">
        <f>Calc!G18</f>
        <v/>
      </c>
      <c r="H868">
        <f>Calc!H18</f>
        <v/>
      </c>
      <c r="I868">
        <f>IF(Skills!T18&lt;&gt;"",1+(Skills!T18/10)*(Z853/1000)/100,1)</f>
        <v/>
      </c>
      <c r="J868" t="inlineStr"/>
      <c r="K868" t="inlineStr"/>
      <c r="L868" t="inlineStr"/>
      <c r="M868" t="inlineStr"/>
      <c r="N868" t="inlineStr"/>
      <c r="O868">
        <f>(1-Summary!$B$11)*S868+Summary!$B$11*U868</f>
        <v/>
      </c>
      <c r="P868">
        <f>IF(B886=0,0,O868/B886)</f>
        <v/>
      </c>
      <c r="Q868">
        <f>IFERROR(1/IF(Inputs!$B$38="pvp",15,MAX(0.1,Skills!D18-IF(Skills!E18=TRUE,Inputs!$B$32,0))),0)</f>
        <v/>
      </c>
      <c r="R868" t="n">
        <v>0</v>
      </c>
      <c r="S868" t="n">
        <v>0</v>
      </c>
      <c r="U868" t="n">
        <v>0</v>
      </c>
    </row>
    <row r="869">
      <c r="A869">
        <f>Skills!A19</f>
        <v/>
      </c>
      <c r="B869">
        <f>Skills!B19</f>
        <v/>
      </c>
      <c r="C869">
        <f>Inputs!$B$3&gt;=50</f>
        <v/>
      </c>
      <c r="D869">
        <f>IF(Skills!C19=1,60+Inputs!$B$25+Inputs!$B$29,IF(Skills!C19=2,90+Inputs!$B$26+Inputs!$B$29,IF(Skills!C19=3,120+Inputs!$B$27+Inputs!$B$29,MAX(0,(Inputs!$B$3-100)*3)+Inputs!$B$28+Inputs!$B$29)))</f>
        <v/>
      </c>
      <c r="E869">
        <f>INDEX(FactorTable!$B$2:$Y$301, MATCH(ROUND(MIN(300,MAX(1,D869)),0), FactorTable!$A$2:$A$301,0), Skills!L19+1)</f>
        <v/>
      </c>
      <c r="F869">
        <f>IF(Skills!M19=TRUE,(Skills!K19/10)*(E869/1000),Skills!K19/10)+Skills!N19</f>
        <v/>
      </c>
      <c r="G869">
        <f>Calc!G19</f>
        <v/>
      </c>
      <c r="H869">
        <f>Calc!H19</f>
        <v/>
      </c>
      <c r="I869">
        <f>IF(Skills!T19&lt;&gt;"",1+(Skills!T19/10)*(Z853/1000)/100,1)</f>
        <v/>
      </c>
      <c r="J869" t="inlineStr"/>
      <c r="K869" t="inlineStr"/>
      <c r="L869" t="inlineStr"/>
      <c r="M869" t="inlineStr"/>
      <c r="N869" t="inlineStr"/>
      <c r="O869">
        <f>(1-Summary!$B$11)*S869+Summary!$B$11*U869</f>
        <v/>
      </c>
      <c r="P869">
        <f>IF(B886=0,0,O869/B886)</f>
        <v/>
      </c>
      <c r="Q869">
        <f>IFERROR(1/IF(Inputs!$B$38="pvp",15,MAX(0.1,Skills!D19-IF(Skills!E19=TRUE,Inputs!$B$32,0))),0)</f>
        <v/>
      </c>
      <c r="R869" t="n">
        <v>0</v>
      </c>
      <c r="S869" t="n">
        <v>0</v>
      </c>
      <c r="U869" t="n">
        <v>0</v>
      </c>
    </row>
    <row r="870">
      <c r="A870">
        <f>Skills!A20</f>
        <v/>
      </c>
      <c r="B870">
        <f>Skills!B20</f>
        <v/>
      </c>
      <c r="C870">
        <f>Inputs!$B$3&gt;=74</f>
        <v/>
      </c>
      <c r="D870">
        <f>IF(Skills!C20=1,60+Inputs!$B$25+Inputs!$B$29,IF(Skills!C20=2,90+Inputs!$B$26+Inputs!$B$29,IF(Skills!C20=3,120+Inputs!$B$27+Inputs!$B$29,MAX(0,(Inputs!$B$3-100)*3)+Inputs!$B$28+Inputs!$B$29)))</f>
        <v/>
      </c>
      <c r="E870">
        <f>INDEX(FactorTable!$B$2:$Y$301, MATCH(ROUND(MIN(300,MAX(1,D870)),0), FactorTable!$A$2:$A$301,0), Skills!L20+1)</f>
        <v/>
      </c>
      <c r="F870">
        <f>IF(Skills!M20=TRUE,(Skills!K20/10)*(E870/1000),Skills!K20/10)+Skills!N20</f>
        <v/>
      </c>
      <c r="G870">
        <f>Calc!G20</f>
        <v/>
      </c>
      <c r="H870">
        <f>Calc!H20</f>
        <v/>
      </c>
      <c r="I870">
        <f>IF(Skills!T20&lt;&gt;"",1+(Skills!T20/10)*(Z853/1000)/100,1)</f>
        <v/>
      </c>
      <c r="J870" t="inlineStr"/>
      <c r="K870" t="inlineStr"/>
      <c r="L870" t="inlineStr"/>
      <c r="M870" t="inlineStr"/>
      <c r="N870" t="inlineStr"/>
      <c r="O870">
        <f>(1-Summary!$B$11)*S870+Summary!$B$11*U870</f>
        <v/>
      </c>
      <c r="P870">
        <f>IF(B886=0,0,O870/B886)</f>
        <v/>
      </c>
      <c r="Q870">
        <f>IFERROR(1/IF(Inputs!$B$38="pvp",15,MAX(0.1,Skills!D20-IF(Skills!E20=TRUE,Inputs!$B$32,0))),0)</f>
        <v/>
      </c>
      <c r="R870" t="n">
        <v>0</v>
      </c>
      <c r="S870" t="n">
        <v>0</v>
      </c>
      <c r="U870" t="n">
        <v>0</v>
      </c>
    </row>
    <row r="871">
      <c r="A871">
        <f>Skills!A21</f>
        <v/>
      </c>
      <c r="B871">
        <f>Skills!B21</f>
        <v/>
      </c>
      <c r="C871">
        <f>Inputs!$B$3&gt;=74</f>
        <v/>
      </c>
      <c r="D871">
        <f>IF(Skills!C21=1,60+Inputs!$B$25+Inputs!$B$29,IF(Skills!C21=2,90+Inputs!$B$26+Inputs!$B$29,IF(Skills!C21=3,120+Inputs!$B$27+Inputs!$B$29,MAX(0,(Inputs!$B$3-100)*3)+Inputs!$B$28+Inputs!$B$29)))</f>
        <v/>
      </c>
      <c r="E871">
        <f>INDEX(FactorTable!$B$2:$Y$301, MATCH(ROUND(MIN(300,MAX(1,D871)),0), FactorTable!$A$2:$A$301,0), Skills!L21+1)</f>
        <v/>
      </c>
      <c r="F871">
        <f>IF(Skills!M21=TRUE,(Skills!K21/10)*(E871/1000),Skills!K21/10)+Skills!N21</f>
        <v/>
      </c>
      <c r="G871">
        <f>Calc!G21</f>
        <v/>
      </c>
      <c r="H871">
        <f>Calc!H21</f>
        <v/>
      </c>
      <c r="I871">
        <f>IF(Skills!T21&lt;&gt;"",1+(Skills!T21/10)*(Z853/1000)/100,1)</f>
        <v/>
      </c>
      <c r="J871" t="inlineStr"/>
      <c r="K871" t="inlineStr"/>
      <c r="L871" t="inlineStr"/>
      <c r="M871" t="inlineStr"/>
      <c r="N871" t="inlineStr"/>
      <c r="O871">
        <f>(1-Summary!$B$11)*S871+Summary!$B$11*U871</f>
        <v/>
      </c>
      <c r="P871">
        <f>IF(B886=0,0,O871/B886)</f>
        <v/>
      </c>
      <c r="Q871">
        <f>IFERROR(1/IF(Inputs!$B$38="pvp",15,MAX(0.1,Skills!D21-IF(Skills!E21=TRUE,Inputs!$B$32,0))),0)</f>
        <v/>
      </c>
      <c r="R871" t="n">
        <v>0</v>
      </c>
      <c r="S871" t="n">
        <v>0</v>
      </c>
      <c r="U871" t="n">
        <v>0</v>
      </c>
    </row>
    <row r="872">
      <c r="A872">
        <f>Skills!A22</f>
        <v/>
      </c>
      <c r="B872">
        <f>Skills!B22</f>
        <v/>
      </c>
      <c r="C872">
        <f>Inputs!$B$3&gt;=117</f>
        <v/>
      </c>
      <c r="D872">
        <f>IF(Skills!C22=1,60+Inputs!$B$25+Inputs!$B$29,IF(Skills!C22=2,90+Inputs!$B$26+Inputs!$B$29,IF(Skills!C22=3,120+Inputs!$B$27+Inputs!$B$29,MAX(0,(Inputs!$B$3-100)*3)+Inputs!$B$28+Inputs!$B$29)))</f>
        <v/>
      </c>
      <c r="E872">
        <f>INDEX(FactorTable!$B$2:$Y$301, MATCH(ROUND(MIN(300,MAX(1,D872)),0), FactorTable!$A$2:$A$301,0), Skills!L22+1)</f>
        <v/>
      </c>
      <c r="F872">
        <f>IF(Skills!M22=TRUE,(Skills!K22/10)*(E872/1000),Skills!K22/10)+Skills!N22</f>
        <v/>
      </c>
      <c r="G872">
        <f>Calc!G22</f>
        <v/>
      </c>
      <c r="H872">
        <f>Calc!H22</f>
        <v/>
      </c>
      <c r="I872">
        <f>IF(Skills!T22&lt;&gt;"",1+(Skills!T22/10)*(Z853/1000)/100,1)</f>
        <v/>
      </c>
      <c r="J872" t="inlineStr"/>
      <c r="K872" t="inlineStr"/>
      <c r="L872" t="inlineStr"/>
      <c r="M872" t="inlineStr"/>
      <c r="N872" t="inlineStr"/>
      <c r="O872">
        <f>(1-Summary!$B$11)*S872+Summary!$B$11*U872</f>
        <v/>
      </c>
      <c r="P872">
        <f>IF(B886=0,0,O872/B886)</f>
        <v/>
      </c>
      <c r="Q872">
        <f>IFERROR(1/IF(Inputs!$B$38="pvp",15,MAX(0.1,Skills!D22-IF(Skills!E22=TRUE,Inputs!$B$32,0))),0)</f>
        <v/>
      </c>
      <c r="R872" t="n">
        <v>0</v>
      </c>
      <c r="S872" t="n">
        <v>0</v>
      </c>
      <c r="U872" t="n">
        <v>0</v>
      </c>
    </row>
    <row r="873">
      <c r="A873">
        <f>Skills!A23</f>
        <v/>
      </c>
      <c r="B873">
        <f>Skills!B23</f>
        <v/>
      </c>
      <c r="C873">
        <f>Inputs!$B$3&gt;=120</f>
        <v/>
      </c>
      <c r="D873">
        <f>IF(Skills!C23=1,60+Inputs!$B$25+Inputs!$B$29,IF(Skills!C23=2,90+Inputs!$B$26+Inputs!$B$29,IF(Skills!C23=3,120+Inputs!$B$27+Inputs!$B$29,MAX(0,(Inputs!$B$3-100)*3)+Inputs!$B$28+Inputs!$B$29)))</f>
        <v/>
      </c>
      <c r="E873">
        <f>INDEX(FactorTable!$B$2:$Y$301, MATCH(ROUND(MIN(300,MAX(1,D873)),0), FactorTable!$A$2:$A$301,0), Skills!L23+1)</f>
        <v/>
      </c>
      <c r="F873">
        <f>IF(Skills!M23=TRUE,(Skills!K23/10)*(E873/1000),Skills!K23/10)+Skills!N23</f>
        <v/>
      </c>
      <c r="G873">
        <f>Calc!G23</f>
        <v/>
      </c>
      <c r="H873">
        <f>Calc!H23</f>
        <v/>
      </c>
      <c r="I873">
        <f>IF(Skills!T23&lt;&gt;"",1+(Skills!T23/10)*(Z853/1000)/100,1)</f>
        <v/>
      </c>
      <c r="J873" t="inlineStr"/>
      <c r="K873" t="inlineStr"/>
      <c r="L873" t="inlineStr"/>
      <c r="M873" t="inlineStr"/>
      <c r="N873" t="inlineStr"/>
      <c r="O873">
        <f>(1-Summary!$B$11)*S873+Summary!$B$11*U873</f>
        <v/>
      </c>
      <c r="P873">
        <f>IF(B886=0,0,O873/B886)</f>
        <v/>
      </c>
      <c r="Q873">
        <f>IFERROR(1/IF(Inputs!$B$38="pvp",15,MAX(0.1,Skills!D23-IF(Skills!E23=TRUE,Inputs!$B$32,0))),0)</f>
        <v/>
      </c>
      <c r="R873" t="n">
        <v>0</v>
      </c>
      <c r="S873" t="n">
        <v>0</v>
      </c>
      <c r="U873" t="n">
        <v>0</v>
      </c>
    </row>
    <row r="876">
      <c r="A876" t="inlineStr">
        <is>
          <t>Average Buff Multiplier (Magic Guard + Meditation + Artifact Attack%, summed; then Infinity)</t>
        </is>
      </c>
      <c r="B876">
        <f>(1+(IF(C853=TRUE,F853*IF(AND(Inputs!$B$38&lt;&gt;"pvp",Inputs!$B$43&gt;0),(((R853-1)*(Skills!S3*(1+(Inputs!$B$34+IF(Inputs!$B$3&gt;=117,F872,0))/100))+MIN((Skills!S3*(1+(Inputs!$B$34+IF(Inputs!$B$3&gt;=117,F872,0))/100)),MAX(0,Inputs!$B$43-((R853-1)*Skills!D3))))/Inputs!$B$43),IF(Inputs!$B$38="pvp",MIN((Skills!S3*(1+(Inputs!$B$34+IF(Inputs!$B$3&gt;=117,F872,0))/100)),15)/15,(Skills!S3*(1+(Inputs!$B$34+IF(Inputs!$B$3&gt;=117,F872,0))/100))/Skills!D3)),0)+IF(C854=TRUE,F854*IF(AND(Inputs!$B$38&lt;&gt;"pvp",Inputs!$B$43&gt;0),(((R854-1)*(Skills!S4*(1+(Inputs!$B$34+IF(Inputs!$B$3&gt;=117,F872,0))/100))+MIN((Skills!S4*(1+(Inputs!$B$34+IF(Inputs!$B$3&gt;=117,F872,0))/100)),MAX(0,Inputs!$B$43-((R854-1)*Skills!D4))))/Inputs!$B$43),IF(Inputs!$B$38="pvp",MIN((Skills!S4*(1+(Inputs!$B$34+IF(Inputs!$B$3&gt;=117,F872,0))/100)),15)/15,(Skills!S4*(1+(Inputs!$B$34+IF(Inputs!$B$3&gt;=117,F872,0)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866=TRUE,(1+F866*IF(AND(Inputs!$B$38&lt;&gt;"pvp",Inputs!$B$43&gt;0),(((R866-1)*(Skills!S16*(1+(Inputs!$B$34+IF(Inputs!$B$3&gt;=117,F872,0))/100))+MIN((Skills!S16*(1+(Inputs!$B$34+IF(Inputs!$B$3&gt;=117,F872,0))/100)),MAX(0,Inputs!$B$43-((R866-1)*Skills!D16))))/Inputs!$B$43),IF(Inputs!$B$38="pvp",MIN((Skills!S16*(1+(Inputs!$B$34+IF(Inputs!$B$3&gt;=117,F872,0))/100)),15)/15,(Skills!S16*(1+(Inputs!$B$34+IF(Inputs!$B$3&gt;=117,F872,0))/100))/Skills!D16))/100),1)</f>
        <v/>
      </c>
    </row>
    <row r="877">
      <c r="A877" t="inlineStr">
        <is>
          <t>Monster Damage Taken Bonus % (Freezing Breath - Weaken + Elemental Reset + Artifact Enemy Damage Taken, summed)</t>
        </is>
      </c>
      <c r="B877">
        <f>IF(Inputs!$B$3&gt;=118,15*IF(Inputs!$B$38="pvp",MIN((30*(1+(Inputs!$B$34+IF(Inputs!$B$3&gt;=117,F872,0))/100)),15)/15,(30*(1+(Inputs!$B$34+IF(Inputs!$B$3&gt;=117,F872,0))/100))/Skills!D8),0)+IF(C864=TRUE,F864,0)+(IF(AND(ArtifactsInput!$M$35,Inputs!$B$4&lt;&gt;"Chapter Hunt"),CHOOSE(ArtifactsInput!$N$35+1,15,18,21,24,27,30)*(1-EXP(-(0.2*B880)*5)),0)+IF(AND(ArtifactsInput!$M$22,Inputs!$B$4&lt;&gt;"Chapter Hunt"),CHOOSE(ArtifactsInput!$N$22+1,10,12,14,16,18,20)*((0*(((0.15*B880*5))^0/1)+1*(((0.15*B880*5))^1/1)+2*(((0.15*B880*5))^2/2)+3*(((0.15*B880*5))^3/6)+4*(((0.15*B880*5))^4/24)+5*(((0.15*B880*5))^5/120))/((((0.15*B880*5))^0/1)+(((0.15*B880*5))^1/1)+(((0.15*B880*5))^2/2)+(((0.15*B880*5))^3/6)+(((0.15*B880*5))^4/24)+(((0.15*B880*5))^5/120))),0))</f>
        <v/>
      </c>
    </row>
    <row r="878">
      <c r="A878" t="inlineStr">
        <is>
          <t>Damage % Bonus (Frozen Break + Frost Clutch, flat)</t>
        </is>
      </c>
      <c r="B878">
        <f>IF(Inputs!$B$3&gt;=66,15,0)+IF(Inputs!$B$3&gt;=98,10,0)+IF(Inputs!$B$3&gt;=125,20,0)</f>
        <v/>
      </c>
    </row>
    <row r="879">
      <c r="A879" t="inlineStr">
        <is>
          <t>Attack Speed Bonus % (MP Eater - MP Boost, always-on once unlocked)</t>
        </is>
      </c>
      <c r="B879">
        <f>IF(C863=TRUE,F863+(F867-Calc!F17),0)</f>
        <v/>
      </c>
    </row>
    <row r="880">
      <c r="A880" t="inlineStr">
        <is>
          <t>Actions Per Second</t>
        </is>
      </c>
      <c r="B880">
        <f>1+MIN(150,150*(1-(1-(Inputs!$B$11+(ArtifactsInput!$M$15-ArtifactsInput!$M$15)*CHOOSE(ArtifactsInput!$N$15+1,8,9.6,11.2,12.8,14.4,16))/150)*(1-B879/150)))/100</f>
        <v/>
      </c>
    </row>
    <row r="881">
      <c r="A881" t="inlineStr">
        <is>
          <t>Skill + Buff Cast Rate</t>
        </is>
      </c>
      <c r="B881">
        <f>IF(AND(Inputs!$B$38&lt;&gt;"pvp",Inputs!$B$43&gt;0),SUMPRODUCT((Skills!E2:E23=TRUE)*(C852:C873=TRUE)*R852:R873)/Inputs!$B$43,SUMPRODUCT((Skills!E2:E23=TRUE)*(C852:C873=TRUE)*Q852:Q873))</f>
        <v/>
      </c>
    </row>
    <row r="882">
      <c r="A882" t="inlineStr">
        <is>
          <t>Chain Lightning Casts Per Second</t>
        </is>
      </c>
      <c r="B882">
        <f>MAX(0,B880-B881)</f>
        <v/>
      </c>
    </row>
    <row r="883">
      <c r="A883" t="inlineStr">
        <is>
          <t>Buff-Casting Startup Delay (s, fixed-duration only)</t>
        </is>
      </c>
      <c r="B883">
        <f>IF(AND(Inputs!$B$38&lt;&gt;"pvp",Inputs!$B$43&gt;0),SUMPRODUCT((Skills!S2:S23&gt;0)*(Skills!E2:E23=TRUE)*(C852:C873=TRUE))/B880,0)</f>
        <v/>
      </c>
    </row>
    <row r="884">
      <c r="A884" t="inlineStr">
        <is>
          <t>Boss-Only Total DPS (this block's swept value)</t>
        </is>
      </c>
      <c r="B884">
        <f>SUM(S852:S873)</f>
        <v/>
      </c>
    </row>
    <row r="885">
      <c r="A885" t="inlineStr">
        <is>
          <t>Normal-Only Total DPS (this block's swept value)</t>
        </is>
      </c>
      <c r="B885">
        <f>SUM(U852:U873)</f>
        <v/>
      </c>
    </row>
    <row r="886">
      <c r="A886" s="6" t="inlineStr">
        <is>
          <t>TOTAL DPS</t>
        </is>
      </c>
      <c r="B886" s="6">
        <f>SUM(O852:O873)</f>
        <v/>
      </c>
    </row>
    <row r="889">
      <c r="A889" s="6" t="inlineStr">
        <is>
          <t>Stat: ATTACK %</t>
        </is>
      </c>
    </row>
    <row r="890">
      <c r="A890" s="5" t="inlineStr">
        <is>
          <t>Key</t>
        </is>
      </c>
      <c r="B890" s="5" t="inlineStr">
        <is>
          <t>Name</t>
        </is>
      </c>
      <c r="C890" s="5" t="inlineStr">
        <is>
          <t>Unlocked</t>
        </is>
      </c>
      <c r="D890" s="5" t="inlineStr">
        <is>
          <t>InputLevel</t>
        </is>
      </c>
      <c r="E890" s="5" t="inlineStr">
        <is>
          <t>Factor</t>
        </is>
      </c>
      <c r="F890" s="5" t="inlineStr">
        <is>
          <t>CoefficientPercent</t>
        </is>
      </c>
      <c r="G890" s="5" t="inlineStr">
        <is>
          <t>EffectiveHits</t>
        </is>
      </c>
      <c r="H890" s="5" t="inlineStr">
        <is>
          <t>ProcProbability</t>
        </is>
      </c>
      <c r="I890" s="5" t="inlineStr">
        <is>
          <t>MapleHeroMultiplier</t>
        </is>
      </c>
      <c r="J890" s="5" t="inlineStr">
        <is>
          <t>BaseDamage</t>
        </is>
      </c>
      <c r="K890" s="5" t="inlineStr">
        <is>
          <t>BaseHitDamage</t>
        </is>
      </c>
      <c r="L890" s="5" t="inlineStr">
        <is>
          <t>NonCritAvg</t>
        </is>
      </c>
      <c r="M890" s="5" t="inlineStr">
        <is>
          <t>CritAvg</t>
        </is>
      </c>
      <c r="N890" s="5" t="inlineStr">
        <is>
          <t>ExpectedDamage(perHit)</t>
        </is>
      </c>
      <c r="O890" s="5" t="inlineStr">
        <is>
          <t>DPS</t>
        </is>
      </c>
      <c r="P890" s="5" t="inlineStr">
        <is>
          <t>% of Total</t>
        </is>
      </c>
      <c r="R890" t="inlineStr">
        <is>
          <t>helpers</t>
        </is>
      </c>
    </row>
    <row r="891">
      <c r="A891">
        <f>Skills!A2</f>
        <v/>
      </c>
      <c r="B891">
        <f>Skills!B2</f>
        <v/>
      </c>
      <c r="C891">
        <f>Inputs!$B$3&gt;=100</f>
        <v/>
      </c>
      <c r="D891" t="inlineStr"/>
      <c r="E891" t="inlineStr"/>
      <c r="F891">
        <f>T893+Skills!N2</f>
        <v/>
      </c>
      <c r="G891">
        <f>Calc!G2</f>
        <v/>
      </c>
      <c r="H891">
        <f>Calc!H2</f>
        <v/>
      </c>
      <c r="I891">
        <f>IF(Skills!T2&lt;&gt;"",1+(Skills!T2/10)*(Z892/1000)/100,1)</f>
        <v/>
      </c>
      <c r="J891">
        <f>((Inputs!$B$6*(1+(Inputs!$B$7+1)/100))+(((Inputs!$B$12*(1+Inputs!$B$13/100))-(Inputs!$B$12*(1+Inputs!$B$13/100)))+0.25*(Inputs!$B$14-Inputs!$B$14))*(1+(Inputs!$B$7+1)/100))*(F891/100)</f>
        <v/>
      </c>
      <c r="K891">
        <f>J891*(1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F907-Calc!F18),(Inputs!$B$23+(IF(ArtifactsInput!$M$15,CHOOSE(ArtifactsInput!$N$15+1,25,30,35,40,45,50)/100*(Inputs!$B$11-Inputs!$B$11),0))))/100+(Inputs!$B$23+(IF(ArtifactsInput!$M$15,CHOOSE(ArtifactsInput!$N$15+1,25,30,35,40,45,50)/100*(Inputs!$B$11-Inputs!$B$11),0)))/100)/2</f>
        <v/>
      </c>
      <c r="M891">
        <f>L891*(1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(1-Summary!$B$11)*S891+Summary!$B$11*U891</f>
        <v/>
      </c>
      <c r="P891">
        <f>IF(B925=0,0,O891/B925)</f>
        <v/>
      </c>
      <c r="Q891">
        <f>IFERROR(1/IF(Inputs!$B$38="pvp",15,MAX(0.1,Skills!D2-IF(Skills!E2=TRUE,Inputs!$B$32,0))),0)</f>
        <v/>
      </c>
      <c r="R891" t="n">
        <v>0</v>
      </c>
      <c r="S891">
        <f>IF(C891,(Skills!F2*N891*B921)*IF(Inputs!$B$38="pvp",1,1+(Inputs!$B$20+Skills!O2+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91">
        <f>MAX(0,(Inputs!$B$3-100)*3)+Inputs!$B$28+Inputs!$B$29</f>
        <v/>
      </c>
      <c r="U891">
        <f>IF(C891,(Skills!F2*N891*B921)*IF(Inputs!$B$38="pvp",1,(1+(Inputs!$B$21+Skills!P2+B916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91">
        <f>MAX(0,(Inputs!$B$3-100)*3)+Inputs!$B$28+Inputs!$B$29</f>
        <v/>
      </c>
    </row>
    <row r="892">
      <c r="A892">
        <f>Skills!A3</f>
        <v/>
      </c>
      <c r="B892">
        <f>Skills!B3</f>
        <v/>
      </c>
      <c r="C892">
        <f>Inputs!$B$3&gt;=15</f>
        <v/>
      </c>
      <c r="D892">
        <f>IF(Skills!C3=1,60+Inputs!$B$25+Inputs!$B$29,IF(Skills!C3=2,90+Inputs!$B$26+Inputs!$B$29,IF(Skills!C3=3,120+Inputs!$B$27+Inputs!$B$29,MAX(0,(Inputs!$B$3-100)*3)+Inputs!$B$28+Inputs!$B$29)))</f>
        <v/>
      </c>
      <c r="E892">
        <f>INDEX(FactorTable!$B$2:$Y$301, MATCH(ROUND(MIN(300,MAX(1,D892)),0), FactorTable!$A$2:$A$301,0), Skills!L3+1)</f>
        <v/>
      </c>
      <c r="F892">
        <f>IF(Skills!M3=TRUE,(Skills!K3/10)*(E892/1000),Skills!K3/10)+Skills!N3</f>
        <v/>
      </c>
      <c r="G892">
        <f>Calc!G3</f>
        <v/>
      </c>
      <c r="H892">
        <f>Calc!H3</f>
        <v/>
      </c>
      <c r="I892">
        <f>IF(Skills!T3&lt;&gt;"",1+(Skills!T3/10)*(Z892/1000)/100,1)</f>
        <v/>
      </c>
      <c r="J892" t="inlineStr"/>
      <c r="K892" t="inlineStr"/>
      <c r="L892" t="inlineStr"/>
      <c r="M892" t="inlineStr"/>
      <c r="N892" t="inlineStr"/>
      <c r="O892">
        <f>(1-Summary!$B$11)*S892+Summary!$B$11*U892</f>
        <v/>
      </c>
      <c r="P892">
        <f>IF(B925=0,0,O892/B925)</f>
        <v/>
      </c>
      <c r="Q892">
        <f>IFERROR(1/IF(Inputs!$B$38="pvp",15,MAX(0.1,Skills!D3-IF(Skills!E3=TRUE,Inputs!$B$32,0))),0)</f>
        <v/>
      </c>
      <c r="R892">
        <f>IF(AND(Inputs!$B$38&lt;&gt;"pvp",Inputs!$B$43&gt;0),IF(Inputs!$B$43&lt;=0,0,(INT(Inputs!$B$43/IF(Inputs!$B$38="pvp",15,MAX(0.1,Skills!D3-IF(Skills!E3=TRUE,Inputs!$B$32,0))))+1)),0)</f>
        <v/>
      </c>
      <c r="S892" t="n">
        <v>0</v>
      </c>
      <c r="T892">
        <f>INDEX(FactorTable!$B$2:$Y$301, MATCH(ROUND(MIN(300,MAX(1,T891)),0), FactorTable!$A$2:$A$301,0), 22)</f>
        <v/>
      </c>
      <c r="U892" t="n">
        <v>0</v>
      </c>
      <c r="Z892">
        <f>INDEX(FactorTable!$B$2:$Y$301, MATCH(ROUND(MIN(300,MAX(1,Z891)),0), FactorTable!$A$2:$A$301,0), 24)</f>
        <v/>
      </c>
    </row>
    <row r="893">
      <c r="A893">
        <f>Skills!A4</f>
        <v/>
      </c>
      <c r="B893">
        <f>Skills!B4</f>
        <v/>
      </c>
      <c r="C893">
        <f>Inputs!$B$3&gt;=40</f>
        <v/>
      </c>
      <c r="D893">
        <f>IF(Skills!C4=1,60+Inputs!$B$25+Inputs!$B$29,IF(Skills!C4=2,90+Inputs!$B$26+Inputs!$B$29,IF(Skills!C4=3,120+Inputs!$B$27+Inputs!$B$29,MAX(0,(Inputs!$B$3-100)*3)+Inputs!$B$28+Inputs!$B$29)))</f>
        <v/>
      </c>
      <c r="E893">
        <f>INDEX(FactorTable!$B$2:$Y$301, MATCH(ROUND(MIN(300,MAX(1,D893)),0), FactorTable!$A$2:$A$301,0), Skills!L4+1)</f>
        <v/>
      </c>
      <c r="F893">
        <f>IF(Skills!M4=TRUE,(Skills!K4/10)*(E893/1000),Skills!K4/10)+Skills!N4</f>
        <v/>
      </c>
      <c r="G893">
        <f>Calc!G4</f>
        <v/>
      </c>
      <c r="H893">
        <f>Calc!H4</f>
        <v/>
      </c>
      <c r="I893">
        <f>IF(Skills!T4&lt;&gt;"",1+(Skills!T4/10)*(Z892/1000)/100,1)</f>
        <v/>
      </c>
      <c r="J893" t="inlineStr"/>
      <c r="K893" t="inlineStr"/>
      <c r="L893" t="inlineStr"/>
      <c r="M893" t="inlineStr"/>
      <c r="N893" t="inlineStr"/>
      <c r="O893">
        <f>(1-Summary!$B$11)*S893+Summary!$B$11*U893</f>
        <v/>
      </c>
      <c r="P893">
        <f>IF(B925=0,0,O893/B925)</f>
        <v/>
      </c>
      <c r="Q893">
        <f>IFERROR(1/IF(Inputs!$B$38="pvp",15,MAX(0.1,Skills!D4-IF(Skills!E4=TRUE,Inputs!$B$32,0))),0)</f>
        <v/>
      </c>
      <c r="R893">
        <f>IF(AND(Inputs!$B$38&lt;&gt;"pvp",Inputs!$B$43&gt;0),IF(Inputs!$B$43&lt;=0,0,(INT(Inputs!$B$43/IF(Inputs!$B$38="pvp",15,MAX(0.1,Skills!D4-IF(Skills!E4=TRUE,Inputs!$B$32,0))))+1)),0)</f>
        <v/>
      </c>
      <c r="S893" t="n">
        <v>0</v>
      </c>
      <c r="T893">
        <f>290*T892/1000</f>
        <v/>
      </c>
      <c r="U893" t="n">
        <v>0</v>
      </c>
    </row>
    <row r="894">
      <c r="A894">
        <f>Skills!A5</f>
        <v/>
      </c>
      <c r="B894">
        <f>Skills!B5</f>
        <v/>
      </c>
      <c r="C894">
        <f>Inputs!$B$3&gt;=38</f>
        <v/>
      </c>
      <c r="D894">
        <f>IF(Skills!C5=1,60+Inputs!$B$25+Inputs!$B$29,IF(Skills!C5=2,90+Inputs!$B$26+Inputs!$B$29,IF(Skills!C5=3,120+Inputs!$B$27+Inputs!$B$29,MAX(0,(Inputs!$B$3-100)*3)+Inputs!$B$28+Inputs!$B$29)))</f>
        <v/>
      </c>
      <c r="E894">
        <f>INDEX(FactorTable!$B$2:$Y$301, MATCH(ROUND(MIN(300,MAX(1,D894)),0), FactorTable!$A$2:$A$301,0), Skills!L5+1)</f>
        <v/>
      </c>
      <c r="F894">
        <f>IF(Skills!M5=TRUE,(Skills!K5/10)*(E894/1000),Skills!K5/10)+Skills!N5</f>
        <v/>
      </c>
      <c r="G894">
        <f>Calc!G5</f>
        <v/>
      </c>
      <c r="H894">
        <f>Calc!H5</f>
        <v/>
      </c>
      <c r="I894">
        <f>IF(Skills!T5&lt;&gt;"",1+(Skills!T5/10)*(Z892/1000)/100,1)</f>
        <v/>
      </c>
      <c r="J894">
        <f>((Inputs!$B$6*(1+(Inputs!$B$7+1)/100))+(((Inputs!$B$12*(1+Inputs!$B$13/100))-(Inputs!$B$12*(1+Inputs!$B$13/100)))+0.25*(Inputs!$B$14-Inputs!$B$14))*(1+(Inputs!$B$7+1)/100))*(F894/100)</f>
        <v/>
      </c>
      <c r="K894">
        <f>J894*(1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F907-Calc!F18),(Inputs!$B$23+(IF(ArtifactsInput!$M$15,CHOOSE(ArtifactsInput!$N$15+1,25,30,35,40,45,50)/100*(Inputs!$B$11-Inputs!$B$11),0))))/100+(Inputs!$B$23+(IF(ArtifactsInput!$M$15,CHOOSE(ArtifactsInput!$N$15+1,25,30,35,40,45,50)/100*(Inputs!$B$11-Inputs!$B$11),0)))/100)/2</f>
        <v/>
      </c>
      <c r="M894">
        <f>L894*(1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(1-Summary!$B$11)*S894+Summary!$B$11*U894</f>
        <v/>
      </c>
      <c r="P894">
        <f>IF(B925=0,0,O894/B925)</f>
        <v/>
      </c>
      <c r="Q894">
        <f>IFERROR(1/IF(Inputs!$B$38="pvp",15,MAX(0.1,Skills!D5-IF(Skills!E5=TRUE,Inputs!$B$32,0))),0)</f>
        <v/>
      </c>
      <c r="R894">
        <f>IF(AND(Inputs!$B$38&lt;&gt;"pvp",Inputs!$B$43&gt;0),IF(MAX(0,Inputs!$B$43-B922)&lt;=0,0,(INT(MAX(0,Inputs!$B$43-B922)/IF(Inputs!$B$38="pvp",15,MAX(0.1,Skills!D5-IF(Skills!E5=TRUE,Inputs!$B$32,0))))+1)),0)</f>
        <v/>
      </c>
      <c r="S894">
        <f>IF(C894,(H894*N894*IF(AND(Inputs!$B$38&lt;&gt;"pvp",Inputs!$B$43&gt;0),((Skills!F5*((R894-1)*IF(Skills!G5&gt;0,Skills!H5/Skills!G5,1)+IF(Skills!G5&gt;0,MIN(Skills!H5,MAX(0,MAX(0,Inputs!$B$43-B922)-((R894-1)*IF(Inputs!$B$38="pvp",15,MAX(0.1,Skills!D5-IF(Skills!E5=TRUE,Inputs!$B$32,0))))))/Skills!G5,1)))/Inputs!$B$43),G894*Q894))*IF(Inputs!$B$38="pvp",1,1+(Inputs!$B$20+Skills!O5+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894*(1-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4">
        <f>IF(C894,(H894*N894*IF(AND(Inputs!$B$38&lt;&gt;"pvp",Inputs!$B$43&gt;0),((Skills!F5*((R894-1)*IF(Skills!G5&gt;0,Skills!H5/Skills!G5,1)+IF(Skills!G5&gt;0,MIN(Skills!H5,MAX(0,MAX(0,Inputs!$B$43-B922)-((R894-1)*IF(Inputs!$B$38="pvp",15,MAX(0.1,Skills!D5-IF(Skills!E5=TRUE,Inputs!$B$32,0))))))/Skills!G5,1)))/Inputs!$B$43),G894*Q894))*IF(Inputs!$B$38="pvp",1,(1+(Inputs!$B$21+Skills!P5+B916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Skills!A6</f>
        <v/>
      </c>
      <c r="B895">
        <f>Skills!B6</f>
        <v/>
      </c>
      <c r="C895">
        <f>Inputs!$B$3&gt;=63</f>
        <v/>
      </c>
      <c r="D895">
        <f>IF(Skills!C6=1,60+Inputs!$B$25+Inputs!$B$29,IF(Skills!C6=2,90+Inputs!$B$26+Inputs!$B$29,IF(Skills!C6=3,120+Inputs!$B$27+Inputs!$B$29,MAX(0,(Inputs!$B$3-100)*3)+Inputs!$B$28+Inputs!$B$29)))</f>
        <v/>
      </c>
      <c r="E895">
        <f>INDEX(FactorTable!$B$2:$Y$301, MATCH(ROUND(MIN(300,MAX(1,D895)),0), FactorTable!$A$2:$A$301,0), Skills!L6+1)</f>
        <v/>
      </c>
      <c r="F895">
        <f>IF(Skills!M6=TRUE,(Skills!K6/10)*(E895/1000),Skills!K6/10)+Skills!N6</f>
        <v/>
      </c>
      <c r="G895">
        <f>Calc!G6</f>
        <v/>
      </c>
      <c r="H895">
        <f>Calc!H6</f>
        <v/>
      </c>
      <c r="I895">
        <f>IF(Skills!T6&lt;&gt;"",1+(Skills!T6/10)*(Z892/1000)/100,1)</f>
        <v/>
      </c>
      <c r="J895">
        <f>((Inputs!$B$6*(1+(Inputs!$B$7+1)/100))+(((Inputs!$B$12*(1+Inputs!$B$13/100))-(Inputs!$B$12*(1+Inputs!$B$13/100)))+0.25*(Inputs!$B$14-Inputs!$B$14))*(1+(Inputs!$B$7+1)/100))*(F895/100)</f>
        <v/>
      </c>
      <c r="K895">
        <f>J895*(1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F907-Calc!F18),(Inputs!$B$23+(IF(ArtifactsInput!$M$15,CHOOSE(ArtifactsInput!$N$15+1,25,30,35,40,45,50)/100*(Inputs!$B$11-Inputs!$B$11),0))))/100+(Inputs!$B$23+(IF(ArtifactsInput!$M$15,CHOOSE(ArtifactsInput!$N$15+1,25,30,35,40,45,50)/100*(Inputs!$B$11-Inputs!$B$11),0)))/100)/2</f>
        <v/>
      </c>
      <c r="M895">
        <f>L895*(1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(1-Summary!$B$11)*S895+Summary!$B$11*U895</f>
        <v/>
      </c>
      <c r="P895">
        <f>IF(B925=0,0,O895/B925)</f>
        <v/>
      </c>
      <c r="Q895">
        <f>IFERROR(1/IF(Inputs!$B$38="pvp",15,MAX(0.1,Skills!D6-IF(Skills!E6=TRUE,Inputs!$B$32,0))),0)</f>
        <v/>
      </c>
      <c r="R895">
        <f>IF(AND(Inputs!$B$38&lt;&gt;"pvp",Inputs!$B$43&gt;0),IF(MAX(0,Inputs!$B$43-B922)&lt;=0,0,(INT(MAX(0,Inputs!$B$43-B922)/IF(Inputs!$B$38="pvp",15,MAX(0.1,Skills!D6-IF(Skills!E6=TRUE,Inputs!$B$32,0))))+1)),0)</f>
        <v/>
      </c>
      <c r="S895">
        <f>IF(C895,(H895*N895*IF(AND(Inputs!$B$38&lt;&gt;"pvp",Inputs!$B$43&gt;0),((Skills!F6*((R895-1)*IF(Skills!G6&gt;0,Skills!H6/Skills!G6,1)+IF(Skills!G6&gt;0,MIN(Skills!H6,MAX(0,MAX(0,Inputs!$B$43-B922)-((R895-1)*IF(Inputs!$B$38="pvp",15,MAX(0.1,Skills!D6-IF(Skills!E6=TRUE,Inputs!$B$32,0))))))/Skills!G6,1)))/Inputs!$B$43),G895*Q895))*IF(Inputs!$B$38="pvp",1,1+(Inputs!$B$20+Skills!O6+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895*(1-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5">
        <f>IF(C895,(H895*N895*IF(AND(Inputs!$B$38&lt;&gt;"pvp",Inputs!$B$43&gt;0),((Skills!F6*((R895-1)*IF(Skills!G6&gt;0,Skills!H6/Skills!G6,1)+IF(Skills!G6&gt;0,MIN(Skills!H6,MAX(0,MAX(0,Inputs!$B$43-B922)-((R895-1)*IF(Inputs!$B$38="pvp",15,MAX(0.1,Skills!D6-IF(Skills!E6=TRUE,Inputs!$B$32,0))))))/Skills!G6,1)))/Inputs!$B$43),G895*Q895))*IF(Inputs!$B$38="pvp",1,(1+(Inputs!$B$21+Skills!P6+B916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Skills!A7</f>
        <v/>
      </c>
      <c r="B896">
        <f>Skills!B7</f>
        <v/>
      </c>
      <c r="C896">
        <f>Inputs!$B$3&gt;=69</f>
        <v/>
      </c>
      <c r="D896">
        <f>IF(Skills!C7=1,60+Inputs!$B$25+Inputs!$B$29,IF(Skills!C7=2,90+Inputs!$B$26+Inputs!$B$29,IF(Skills!C7=3,120+Inputs!$B$27+Inputs!$B$29,MAX(0,(Inputs!$B$3-100)*3)+Inputs!$B$28+Inputs!$B$29)))</f>
        <v/>
      </c>
      <c r="E896">
        <f>INDEX(FactorTable!$B$2:$Y$301, MATCH(ROUND(MIN(300,MAX(1,D896)),0), FactorTable!$A$2:$A$301,0), Skills!L7+1)</f>
        <v/>
      </c>
      <c r="F896">
        <f>IF(Skills!M7=TRUE,(Skills!K7/10)*(E896/1000),Skills!K7/10)+Skills!N7</f>
        <v/>
      </c>
      <c r="G896">
        <f>Calc!G7</f>
        <v/>
      </c>
      <c r="H896">
        <f>Calc!H7</f>
        <v/>
      </c>
      <c r="I896">
        <f>IF(Skills!T7&lt;&gt;"",1+(Skills!T7/10)*(Z892/1000)/100,1)</f>
        <v/>
      </c>
      <c r="J896">
        <f>((Inputs!$B$6*(1+(Inputs!$B$7+1)/100))+(((Inputs!$B$12*(1+Inputs!$B$13/100))-(Inputs!$B$12*(1+Inputs!$B$13/100)))+0.25*(Inputs!$B$14-Inputs!$B$14))*(1+(Inputs!$B$7+1)/100))*(F896/100)</f>
        <v/>
      </c>
      <c r="K896">
        <f>J896*(1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F907-Calc!F18),(Inputs!$B$23+(IF(ArtifactsInput!$M$15,CHOOSE(ArtifactsInput!$N$15+1,25,30,35,40,45,50)/100*(Inputs!$B$11-Inputs!$B$11),0))))/100+(Inputs!$B$23+(IF(ArtifactsInput!$M$15,CHOOSE(ArtifactsInput!$N$15+1,25,30,35,40,45,50)/100*(Inputs!$B$11-Inputs!$B$11),0)))/100)/2</f>
        <v/>
      </c>
      <c r="M896">
        <f>L896*(1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(1-Summary!$B$11)*S896+Summary!$B$11*U896</f>
        <v/>
      </c>
      <c r="P896">
        <f>IF(B925=0,0,O896/B925)</f>
        <v/>
      </c>
      <c r="Q896">
        <f>IFERROR(1/IF(Inputs!$B$38="pvp",15,MAX(0.1,Skills!D7-IF(Skills!E7=TRUE,Inputs!$B$32,0))),0)</f>
        <v/>
      </c>
      <c r="R896">
        <f>IF(AND(Inputs!$B$38&lt;&gt;"pvp",Inputs!$B$43&gt;0),IF(MAX(0,Inputs!$B$43-B922)&lt;=0,0,(INT(MAX(0,Inputs!$B$43-B922)/IF(Inputs!$B$38="pvp",15,MAX(0.1,Skills!D7-IF(Skills!E7=TRUE,Inputs!$B$32,0))))+1)),0)</f>
        <v/>
      </c>
      <c r="S896">
        <f>IF(C896,(H896*N896*IF(AND(Inputs!$B$38&lt;&gt;"pvp",Inputs!$B$43&gt;0),((Skills!F7*((R896-1)*IF(Skills!G7&gt;0,Skills!H7/Skills!G7,1)+IF(Skills!G7&gt;0,MIN(Skills!H7,MAX(0,MAX(0,Inputs!$B$43-B922)-((R896-1)*IF(Inputs!$B$38="pvp",15,MAX(0.1,Skills!D7-IF(Skills!E7=TRUE,Inputs!$B$32,0))))))/Skills!G7,1)))/Inputs!$B$43),G896*Q896))*IF(Inputs!$B$38="pvp",1,1+(Inputs!$B$20+Skills!O7+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896*(1-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6">
        <f>IF(C896,(H896*N896*IF(AND(Inputs!$B$38&lt;&gt;"pvp",Inputs!$B$43&gt;0),((Skills!F7*((R896-1)*IF(Skills!G7&gt;0,Skills!H7/Skills!G7,1)+IF(Skills!G7&gt;0,MIN(Skills!H7,MAX(0,MAX(0,Inputs!$B$43-B922)-((R896-1)*IF(Inputs!$B$38="pvp",15,MAX(0.1,Skills!D7-IF(Skills!E7=TRUE,Inputs!$B$32,0))))))/Skills!G7,1)))/Inputs!$B$43),G896*Q896))*IF(Inputs!$B$38="pvp",1,(1+(Inputs!$B$21+Skills!P7+B916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Skills!A8</f>
        <v/>
      </c>
      <c r="B897">
        <f>Skills!B8</f>
        <v/>
      </c>
      <c r="C897">
        <f>Inputs!$B$3&gt;=103</f>
        <v/>
      </c>
      <c r="D897">
        <f>IF(Skills!C8=1,60+Inputs!$B$25+Inputs!$B$29,IF(Skills!C8=2,90+Inputs!$B$26+Inputs!$B$29,IF(Skills!C8=3,120+Inputs!$B$27+Inputs!$B$29,MAX(0,(Inputs!$B$3-100)*3)+Inputs!$B$28+Inputs!$B$29)))</f>
        <v/>
      </c>
      <c r="E897">
        <f>INDEX(FactorTable!$B$2:$Y$301, MATCH(ROUND(MIN(300,MAX(1,D897)),0), FactorTable!$A$2:$A$301,0), Skills!L8+1)</f>
        <v/>
      </c>
      <c r="F897">
        <f>IF(Skills!M8=TRUE,(Skills!K8/10)*(E897/1000),Skills!K8/10)+Skills!N8</f>
        <v/>
      </c>
      <c r="G897">
        <f>Calc!G8</f>
        <v/>
      </c>
      <c r="H897">
        <f>Calc!H8</f>
        <v/>
      </c>
      <c r="I897">
        <f>IF(Skills!T8&lt;&gt;"",1+(Skills!T8/10)*(Z892/1000)/100,1)</f>
        <v/>
      </c>
      <c r="J897">
        <f>((Inputs!$B$6*(1+(Inputs!$B$7+1)/100))+(((Inputs!$B$12*(1+Inputs!$B$13/100))-(Inputs!$B$12*(1+Inputs!$B$13/100)))+0.25*(Inputs!$B$14-Inputs!$B$14))*(1+(Inputs!$B$7+1)/100))*(F897/100)</f>
        <v/>
      </c>
      <c r="K897">
        <f>J897*(1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F907-Calc!F18),(Inputs!$B$23+(IF(ArtifactsInput!$M$15,CHOOSE(ArtifactsInput!$N$15+1,25,30,35,40,45,50)/100*(Inputs!$B$11-Inputs!$B$11),0))))/100+(Inputs!$B$23+(IF(ArtifactsInput!$M$15,CHOOSE(ArtifactsInput!$N$15+1,25,30,35,40,45,50)/100*(Inputs!$B$11-Inputs!$B$11),0)))/100)/2</f>
        <v/>
      </c>
      <c r="M897">
        <f>L897*(1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(1-Summary!$B$11)*S897+Summary!$B$11*U897</f>
        <v/>
      </c>
      <c r="P897">
        <f>IF(B925=0,0,O897/B925)</f>
        <v/>
      </c>
      <c r="Q897">
        <f>IFERROR(1/IF(Inputs!$B$38="pvp",15,MAX(0.1,Skills!D8-IF(Skills!E8=TRUE,Inputs!$B$32,0))),0)</f>
        <v/>
      </c>
      <c r="R897">
        <f>IF(AND(Inputs!$B$38&lt;&gt;"pvp",Inputs!$B$43&gt;0),IF(MAX(0,Inputs!$B$43-B922)&lt;=0,0,(INT(MAX(0,Inputs!$B$43-B922)/IF(Inputs!$B$38="pvp",15,MAX(0.1,Skills!D8-IF(Skills!E8=TRUE,Inputs!$B$32,0))))+1)),0)</f>
        <v/>
      </c>
      <c r="S897">
        <f>IF(C897,(H897*N897*IF(AND(Inputs!$B$38&lt;&gt;"pvp",Inputs!$B$43&gt;0),((Skills!F8*((R897-1)*IF(Skills!G8&gt;0,Skills!H8/Skills!G8,1)+IF(Skills!G8&gt;0,MIN(Skills!H8,MAX(0,MAX(0,Inputs!$B$43-B922)-((R897-1)*IF(Inputs!$B$38="pvp",15,MAX(0.1,Skills!D8-IF(Skills!E8=TRUE,Inputs!$B$32,0))))))/Skills!G8,1)))/Inputs!$B$43),G897*Q897))*IF(Inputs!$B$38="pvp",1,1+(Inputs!$B$20+Skills!O8+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897*(1-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7">
        <f>IF(C897,(H897*N897*IF(AND(Inputs!$B$38&lt;&gt;"pvp",Inputs!$B$43&gt;0),((Skills!F8*((R897-1)*IF(Skills!G8&gt;0,Skills!H8/Skills!G8,1)+IF(Skills!G8&gt;0,MIN(Skills!H8,MAX(0,MAX(0,Inputs!$B$43-B922)-((R897-1)*IF(Inputs!$B$38="pvp",15,MAX(0.1,Skills!D8-IF(Skills!E8=TRUE,Inputs!$B$32,0))))))/Skills!G8,1)))/Inputs!$B$43),G897*Q897))*IF(Inputs!$B$38="pvp",1,(1+(Inputs!$B$21+Skills!P8+B916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Skills!A9</f>
        <v/>
      </c>
      <c r="B898">
        <f>Skills!B9</f>
        <v/>
      </c>
      <c r="C898">
        <f>Inputs!$B$3&gt;=105</f>
        <v/>
      </c>
      <c r="D898">
        <f>IF(Skills!C9=1,60+Inputs!$B$25+Inputs!$B$29,IF(Skills!C9=2,90+Inputs!$B$26+Inputs!$B$29,IF(Skills!C9=3,120+Inputs!$B$27+Inputs!$B$29,MAX(0,(Inputs!$B$3-100)*3)+Inputs!$B$28+Inputs!$B$29)))</f>
        <v/>
      </c>
      <c r="E898">
        <f>INDEX(FactorTable!$B$2:$Y$301, MATCH(ROUND(MIN(300,MAX(1,D898)),0), FactorTable!$A$2:$A$301,0), Skills!L9+1)</f>
        <v/>
      </c>
      <c r="F898">
        <f>IF(Skills!M9=TRUE,(Skills!K9/10)*(E898/1000),Skills!K9/10)+Skills!N9</f>
        <v/>
      </c>
      <c r="G898">
        <f>Calc!G9</f>
        <v/>
      </c>
      <c r="H898">
        <f>Calc!H9</f>
        <v/>
      </c>
      <c r="I898">
        <f>IF(Skills!T9&lt;&gt;"",1+(Skills!T9/10)*(Z892/1000)/100,1)</f>
        <v/>
      </c>
      <c r="J898">
        <f>((Inputs!$B$6*(1+(Inputs!$B$7+1)/100))+(((Inputs!$B$12*(1+Inputs!$B$13/100))-(Inputs!$B$12*(1+Inputs!$B$13/100)))+0.25*(Inputs!$B$14-Inputs!$B$14))*(1+(Inputs!$B$7+1)/100))*(F898/100)</f>
        <v/>
      </c>
      <c r="K898">
        <f>J898*(1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F907-Calc!F18),(Inputs!$B$23+(IF(ArtifactsInput!$M$15,CHOOSE(ArtifactsInput!$N$15+1,25,30,35,40,45,50)/100*(Inputs!$B$11-Inputs!$B$11),0))))/100+(Inputs!$B$23+(IF(ArtifactsInput!$M$15,CHOOSE(ArtifactsInput!$N$15+1,25,30,35,40,45,50)/100*(Inputs!$B$11-Inputs!$B$11),0)))/100)/2</f>
        <v/>
      </c>
      <c r="M898">
        <f>L898*(1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(1-Summary!$B$11)*S898+Summary!$B$11*U898</f>
        <v/>
      </c>
      <c r="P898">
        <f>IF(B925=0,0,O898/B925)</f>
        <v/>
      </c>
      <c r="Q898">
        <f>IFERROR(1/IF(Inputs!$B$38="pvp",15,MAX(0.1,Skills!D9-IF(Skills!E9=TRUE,Inputs!$B$32,0))),0)</f>
        <v/>
      </c>
      <c r="R898">
        <f>IF(AND(Inputs!$B$38&lt;&gt;"pvp",Inputs!$B$43&gt;0),IF(MAX(0,Inputs!$B$43-B922)&lt;=0,0,(INT(MAX(0,Inputs!$B$43-B922)/IF(Inputs!$B$38="pvp",15,MAX(0.1,Skills!D9-IF(Skills!E9=TRUE,Inputs!$B$32,0))))+1)),0)</f>
        <v/>
      </c>
      <c r="S898">
        <f>IF(C898,(H898*N898*IF(AND(Inputs!$B$38&lt;&gt;"pvp",Inputs!$B$43&gt;0),((Skills!F9*((R898-1)*IF(Skills!G9&gt;0,Skills!H9/Skills!G9,1)+IF(Skills!G9&gt;0,MIN(Skills!H9,MAX(0,MAX(0,Inputs!$B$43-B922)-((R898-1)*IF(Inputs!$B$38="pvp",15,MAX(0.1,Skills!D9-IF(Skills!E9=TRUE,Inputs!$B$32,0))))))/Skills!G9,1)))/Inputs!$B$43),G898*Q898))*IF(Inputs!$B$38="pvp",1,1+(Inputs!$B$20+Skills!O9+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898*(1-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8">
        <f>IF(C898,(H898*N898*IF(AND(Inputs!$B$38&lt;&gt;"pvp",Inputs!$B$43&gt;0),((Skills!F9*((R898-1)*IF(Skills!G9&gt;0,Skills!H9/Skills!G9,1)+IF(Skills!G9&gt;0,MIN(Skills!H9,MAX(0,MAX(0,Inputs!$B$43-B922)-((R898-1)*IF(Inputs!$B$38="pvp",15,MAX(0.1,Skills!D9-IF(Skills!E9=TRUE,Inputs!$B$32,0))))))/Skills!G9,1)))/Inputs!$B$43),G898*Q898))*IF(Inputs!$B$38="pvp",1,(1+(Inputs!$B$21+Skills!P9+B916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Skills!A10</f>
        <v/>
      </c>
      <c r="B899">
        <f>Skills!B10</f>
        <v/>
      </c>
      <c r="C899">
        <f>Inputs!$B$3&gt;=113</f>
        <v/>
      </c>
      <c r="D899">
        <f>IF(Skills!C10=1,60+Inputs!$B$25+Inputs!$B$29,IF(Skills!C10=2,90+Inputs!$B$26+Inputs!$B$29,IF(Skills!C10=3,120+Inputs!$B$27+Inputs!$B$29,MAX(0,(Inputs!$B$3-100)*3)+Inputs!$B$28+Inputs!$B$29)))</f>
        <v/>
      </c>
      <c r="E899">
        <f>INDEX(FactorTable!$B$2:$Y$301, MATCH(ROUND(MIN(300,MAX(1,D899)),0), FactorTable!$A$2:$A$301,0), Skills!L10+1)</f>
        <v/>
      </c>
      <c r="F899">
        <f>IF(Skills!M10=TRUE,(Skills!K10/10)*(E899/1000),Skills!K10/10)+Skills!N10</f>
        <v/>
      </c>
      <c r="G899">
        <f>Calc!G10</f>
        <v/>
      </c>
      <c r="H899">
        <f>Calc!H10</f>
        <v/>
      </c>
      <c r="I899">
        <f>IF(Skills!T10&lt;&gt;"",1+(Skills!T10/10)*(Z892/1000)/100,1)</f>
        <v/>
      </c>
      <c r="J899">
        <f>((Inputs!$B$6*(1+(Inputs!$B$7+1)/100))+(((Inputs!$B$12*(1+Inputs!$B$13/100))-(Inputs!$B$12*(1+Inputs!$B$13/100)))+0.25*(Inputs!$B$14-Inputs!$B$14))*(1+(Inputs!$B$7+1)/100))*(F899/100)</f>
        <v/>
      </c>
      <c r="K899">
        <f>J899*(1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F907-Calc!F18),(Inputs!$B$23+(IF(ArtifactsInput!$M$15,CHOOSE(ArtifactsInput!$N$15+1,25,30,35,40,45,50)/100*(Inputs!$B$11-Inputs!$B$11),0))))/100+(Inputs!$B$23+(IF(ArtifactsInput!$M$15,CHOOSE(ArtifactsInput!$N$15+1,25,30,35,40,45,50)/100*(Inputs!$B$11-Inputs!$B$11),0)))/100)/2</f>
        <v/>
      </c>
      <c r="M899">
        <f>L899*(1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(1-Summary!$B$11)*S899+Summary!$B$11*U899</f>
        <v/>
      </c>
      <c r="P899">
        <f>IF(B925=0,0,O899/B925)</f>
        <v/>
      </c>
      <c r="Q899">
        <f>IFERROR(1/IF(Inputs!$B$38="pvp",15,MAX(0.1,Skills!D10-IF(Skills!E9=TRUE,Inputs!$B$32,0))),0)</f>
        <v/>
      </c>
      <c r="R899">
        <f>IF(AND(Inputs!$B$38&lt;&gt;"pvp",Inputs!$B$43&gt;0),IF(MAX(0,Inputs!$B$43-B922)&lt;=0,0,(INT(MAX(0,Inputs!$B$43-B922)/IF(Inputs!$B$38="pvp",15,MAX(0.1,Skills!D10-IF(Skills!E9=TRUE,Inputs!$B$32,0))))+1)),0)</f>
        <v/>
      </c>
      <c r="S899">
        <f>IF(C899,(H899*N899*IF(AND(Inputs!$B$38&lt;&gt;"pvp",Inputs!$B$43&gt;0),((Skills!F10*((R899-1)*IF(Skills!G10&gt;0,Skills!H10/Skills!G10,1)+IF(Skills!G10&gt;0,MIN(Skills!H10,MAX(0,MAX(0,Inputs!$B$43-B922)-((R899-1)*IF(Inputs!$B$38="pvp",15,MAX(0.1,Skills!D10-IF(Skills!E9=TRUE,Inputs!$B$32,0))))))/Skills!G10,1)))/Inputs!$B$43),G899*Q899))*IF(Inputs!$B$38="pvp",1,1+(Inputs!$B$20+Skills!O10+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9">
        <f>IF(C899,(H899*N899*IF(AND(Inputs!$B$38&lt;&gt;"pvp",Inputs!$B$43&gt;0),((Skills!F10*((R899-1)*IF(Skills!G10&gt;0,Skills!H10/Skills!G10,1)+IF(Skills!G10&gt;0,MIN(Skills!H10,MAX(0,MAX(0,Inputs!$B$43-B922)-((R899-1)*IF(Inputs!$B$38="pvp",15,MAX(0.1,Skills!D10-IF(Skills!E9=TRUE,Inputs!$B$32,0))))))/Skills!G10,1)))/Inputs!$B$43),G899*Q899))*IF(Inputs!$B$38="pvp",1,(1+(Inputs!$B$21+Skills!P10+B916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Skills!A11</f>
        <v/>
      </c>
      <c r="B900">
        <f>Skills!B11</f>
        <v/>
      </c>
      <c r="C900">
        <f>Inputs!$B$3&gt;=107</f>
        <v/>
      </c>
      <c r="D900">
        <f>IF(Skills!C11=1,60+Inputs!$B$25+Inputs!$B$29,IF(Skills!C11=2,90+Inputs!$B$26+Inputs!$B$29,IF(Skills!C11=3,120+Inputs!$B$27+Inputs!$B$29,MAX(0,(Inputs!$B$3-100)*3)+Inputs!$B$28+Inputs!$B$29)))</f>
        <v/>
      </c>
      <c r="E900">
        <f>INDEX(FactorTable!$B$2:$Y$301, MATCH(ROUND(MIN(300,MAX(1,D900)),0), FactorTable!$A$2:$A$301,0), Skills!L11+1)</f>
        <v/>
      </c>
      <c r="F900">
        <f>IF(Skills!M11=TRUE,(Skills!K11/10)*(E900/1000),Skills!K11/10)+Skills!N11</f>
        <v/>
      </c>
      <c r="G900">
        <f>Calc!G11</f>
        <v/>
      </c>
      <c r="H900">
        <f>Calc!H11</f>
        <v/>
      </c>
      <c r="I900">
        <f>IF(Skills!T11&lt;&gt;"",1+(Skills!T11/10)*(Z892/1000)/100,1)</f>
        <v/>
      </c>
      <c r="J900">
        <f>((Inputs!$B$6*(1+(Inputs!$B$7+1)/100))+(((Inputs!$B$12*(1+Inputs!$B$13/100))-(Inputs!$B$12*(1+Inputs!$B$13/100)))+0.25*(Inputs!$B$14-Inputs!$B$14))*(1+(Inputs!$B$7+1)/100))*(F900/100)</f>
        <v/>
      </c>
      <c r="K900">
        <f>J900*(1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F907-Calc!F18),(Inputs!$B$23+(IF(ArtifactsInput!$M$15,CHOOSE(ArtifactsInput!$N$15+1,25,30,35,40,45,50)/100*(Inputs!$B$11-Inputs!$B$11),0))))/100+(Inputs!$B$23+(IF(ArtifactsInput!$M$15,CHOOSE(ArtifactsInput!$N$15+1,25,30,35,40,45,50)/100*(Inputs!$B$11-Inputs!$B$11),0)))/100)/2</f>
        <v/>
      </c>
      <c r="M900">
        <f>L900*(1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(1-Summary!$B$11)*S900+Summary!$B$11*U900</f>
        <v/>
      </c>
      <c r="P900">
        <f>IF(B925=0,0,O900/B925)</f>
        <v/>
      </c>
      <c r="Q900">
        <f>IFERROR(1/IF(Inputs!$B$38="pvp",15,MAX(0.1,Skills!D11-IF(Skills!E11=TRUE,Inputs!$B$32,0))),0)</f>
        <v/>
      </c>
      <c r="R900">
        <f>IF(AND(Inputs!$B$38&lt;&gt;"pvp",Inputs!$B$43&gt;0),IF(MAX(0,Inputs!$B$43-B922)&lt;=0,0,(INT(MAX(0,Inputs!$B$43-B922)/IF(Inputs!$B$38="pvp",15,MAX(0.1,Skills!D11-IF(Skills!E11=TRUE,Inputs!$B$32,0))))+1)),0)</f>
        <v/>
      </c>
      <c r="S900">
        <f>IF(C900,H900*N900*IF(AND(Inputs!$B$38&lt;&gt;"pvp",Inputs!$B$43&gt;0),((Skills!F11*((R900-1)*IF(Skills!G11&gt;0,Skills!H11/Skills!G11,1)+IF(Skills!G11&gt;0,MIN(Skills!H11,MAX(0,MAX(0,Inputs!$B$43-B922)-((R900-1)*IF(Inputs!$B$38="pvp",15,MAX(0.1,Skills!D11-IF(Skills!E11=TRUE,Inputs!$B$32,0))))))/Skills!G11,1)))/Inputs!$B$43),G900*Q900)*0.5*IF(Inputs!$B$38="pvp",1,1+(Inputs!$B$20+Skills!O11+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0">
        <f>IF(C900,H900*N900*IF(AND(Inputs!$B$38&lt;&gt;"pvp",Inputs!$B$43&gt;0),((Skills!F11*((R900-1)*IF(Skills!G11&gt;0,Skills!H11/Skills!G11,1)+IF(Skills!G11&gt;0,MIN(Skills!H11,MAX(0,MAX(0,Inputs!$B$43-B922)-((R900-1)*IF(Inputs!$B$38="pvp",15,MAX(0.1,Skills!D11-IF(Skills!E11=TRUE,Inputs!$B$32,0))))))/Skills!G11,1)))/Inputs!$B$43),G900*Q900)*1*IF(Inputs!$B$38="pvp",1,(1+(Inputs!$B$21+Skills!P11+B916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Skills!A12</f>
        <v/>
      </c>
      <c r="B901">
        <f>Skills!B12</f>
        <v/>
      </c>
      <c r="C901">
        <f>Inputs!$B$3&gt;=115</f>
        <v/>
      </c>
      <c r="D901">
        <f>IF(Skills!C12=1,60+Inputs!$B$25+Inputs!$B$29,IF(Skills!C12=2,90+Inputs!$B$26+Inputs!$B$29,IF(Skills!C12=3,120+Inputs!$B$27+Inputs!$B$29,MAX(0,(Inputs!$B$3-100)*3)+Inputs!$B$28+Inputs!$B$29)))</f>
        <v/>
      </c>
      <c r="E901">
        <f>INDEX(FactorTable!$B$2:$Y$301, MATCH(ROUND(MIN(300,MAX(1,D901)),0), FactorTable!$A$2:$A$301,0), Skills!L12+1)</f>
        <v/>
      </c>
      <c r="F901">
        <f>IF(Skills!M12=TRUE,(Skills!K12/10)*(E901/1000),Skills!K12/10)+Skills!N12</f>
        <v/>
      </c>
      <c r="G901">
        <f>Calc!G12</f>
        <v/>
      </c>
      <c r="H901">
        <f>Calc!H12</f>
        <v/>
      </c>
      <c r="I901">
        <f>IF(Skills!T12&lt;&gt;"",1+(Skills!T12/10)*(Z892/1000)/100,1)</f>
        <v/>
      </c>
      <c r="J901">
        <f>((Inputs!$B$6*(1+(Inputs!$B$7+1)/100))+(((Inputs!$B$12*(1+Inputs!$B$13/100))-(Inputs!$B$12*(1+Inputs!$B$13/100)))+0.25*(Inputs!$B$14-Inputs!$B$14))*(1+(Inputs!$B$7+1)/100))*(F901/100)</f>
        <v/>
      </c>
      <c r="K901">
        <f>J901*(1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F907-Calc!F18),(Inputs!$B$23+(IF(ArtifactsInput!$M$15,CHOOSE(ArtifactsInput!$N$15+1,25,30,35,40,45,50)/100*(Inputs!$B$11-Inputs!$B$11),0))))/100+(Inputs!$B$23+(IF(ArtifactsInput!$M$15,CHOOSE(ArtifactsInput!$N$15+1,25,30,35,40,45,50)/100*(Inputs!$B$11-Inputs!$B$11),0)))/100)/2</f>
        <v/>
      </c>
      <c r="M901">
        <f>L901*(1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(1-Summary!$B$11)*S901+Summary!$B$11*U901</f>
        <v/>
      </c>
      <c r="P901">
        <f>IF(B925=0,0,O901/B925)</f>
        <v/>
      </c>
      <c r="Q901">
        <f>IFERROR(1/IF(Inputs!$B$38="pvp",15,MAX(0.1,Skills!D12-IF(Skills!E12=TRUE,Inputs!$B$32,0))),0)</f>
        <v/>
      </c>
      <c r="R901">
        <f>IF(AND(Inputs!$B$38&lt;&gt;"pvp",Inputs!$B$43&gt;0),IF(MAX(0,Inputs!$B$43-B922)&lt;=0,0,(INT(MAX(0,Inputs!$B$43-B922)/IF(Inputs!$B$38="pvp",15,MAX(0.1,Skills!D12-IF(Skills!E12=TRUE,Inputs!$B$32,0))))+1)),0)</f>
        <v/>
      </c>
      <c r="S901">
        <f>IF(C901,(H901*N901*IF(AND(Inputs!$B$38&lt;&gt;"pvp",Inputs!$B$43&gt;0),((Skills!F12*((R901-1)*IF(Skills!G12&gt;0,Skills!H12/Skills!G12,1)+IF(Skills!G12&gt;0,MIN(Skills!H12,MAX(0,MAX(0,Inputs!$B$43-B922)-((R901-1)*IF(Inputs!$B$38="pvp",15,MAX(0.1,Skills!D12-IF(Skills!E12=TRUE,Inputs!$B$32,0))))))/Skills!G12,1)))/Inputs!$B$43),G901*Q901))*IF(Inputs!$B$38="pvp",1,1+(Inputs!$B$20+Skills!O12+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IF(C901,(H901*N901*IF(AND(Inputs!$B$38&lt;&gt;"pvp",Inputs!$B$43&gt;0),((Skills!F12*((R901-1)*IF(Skills!G12&gt;0,Skills!H12/Skills!G12,1)+IF(Skills!G12&gt;0,MIN(Skills!H12,MAX(0,MAX(0,Inputs!$B$43-B922)-((R901-1)*IF(Inputs!$B$38="pvp",15,MAX(0.1,Skills!D12-IF(Skills!E12=TRUE,Inputs!$B$32,0))))))/Skills!G12,1)))/Inputs!$B$43),G901*Q901))*IF(Inputs!$B$38="pvp",1,(1+(Inputs!$B$21+Skills!P12+B916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Skills!A13</f>
        <v/>
      </c>
      <c r="B902">
        <f>Skills!B13</f>
        <v/>
      </c>
      <c r="C902">
        <f>Inputs!$B$3&gt;=49</f>
        <v/>
      </c>
      <c r="D902">
        <f>IF(Skills!C13=1,60+Inputs!$B$25+Inputs!$B$29,IF(Skills!C13=2,90+Inputs!$B$26+Inputs!$B$29,IF(Skills!C13=3,120+Inputs!$B$27+Inputs!$B$29,MAX(0,(Inputs!$B$3-100)*3)+Inputs!$B$28+Inputs!$B$29)))</f>
        <v/>
      </c>
      <c r="E902">
        <f>INDEX(FactorTable!$B$2:$Y$301, MATCH(ROUND(MIN(300,MAX(1,D902)),0), FactorTable!$A$2:$A$301,0), Skills!L13+1)</f>
        <v/>
      </c>
      <c r="F902">
        <f>IF(Skills!M13=TRUE,(Skills!K13/10)*(E902/1000),Skills!K13/10)+Skills!N13</f>
        <v/>
      </c>
      <c r="G902">
        <f>Calc!G13</f>
        <v/>
      </c>
      <c r="H902">
        <f>Calc!H13</f>
        <v/>
      </c>
      <c r="I902">
        <f>IF(Skills!T13&lt;&gt;"",1+(Skills!T13/10)*(Z892/1000)/100,1)</f>
        <v/>
      </c>
      <c r="J902" t="inlineStr"/>
      <c r="K902" t="inlineStr"/>
      <c r="L902" t="inlineStr"/>
      <c r="M902" t="inlineStr"/>
      <c r="N902" t="inlineStr"/>
      <c r="O902">
        <f>(1-Summary!$B$11)*S902+Summary!$B$11*U902</f>
        <v/>
      </c>
      <c r="P902">
        <f>IF(B925=0,0,O902/B925)</f>
        <v/>
      </c>
      <c r="Q902">
        <f>IFERROR(1/IF(Inputs!$B$38="pvp",15,MAX(0.1,Skills!D13-IF(Skills!E13=TRUE,Inputs!$B$32,0))),0)</f>
        <v/>
      </c>
      <c r="R902" t="n">
        <v>0</v>
      </c>
      <c r="S902" t="n">
        <v>0</v>
      </c>
      <c r="U902" t="n">
        <v>0</v>
      </c>
    </row>
    <row r="903">
      <c r="A903">
        <f>Skills!A14</f>
        <v/>
      </c>
      <c r="B903">
        <f>Skills!B14</f>
        <v/>
      </c>
      <c r="C903">
        <f>Inputs!$B$3&gt;=72</f>
        <v/>
      </c>
      <c r="D903">
        <f>IF(Skills!C14=1,60+Inputs!$B$25+Inputs!$B$29,IF(Skills!C14=2,90+Inputs!$B$26+Inputs!$B$29,IF(Skills!C14=3,120+Inputs!$B$27+Inputs!$B$29,MAX(0,(Inputs!$B$3-100)*3)+Inputs!$B$28+Inputs!$B$29)))</f>
        <v/>
      </c>
      <c r="E903">
        <f>INDEX(FactorTable!$B$2:$Y$301, MATCH(ROUND(MIN(300,MAX(1,D903)),0), FactorTable!$A$2:$A$301,0), Skills!L14+1)</f>
        <v/>
      </c>
      <c r="F903">
        <f>IF(Skills!M14=TRUE,(Skills!K14/10)*(E903/1000),Skills!K14/10)+Skills!N14</f>
        <v/>
      </c>
      <c r="G903">
        <f>Calc!G14</f>
        <v/>
      </c>
      <c r="H903">
        <f>Calc!H14</f>
        <v/>
      </c>
      <c r="I903">
        <f>IF(Skills!T14&lt;&gt;"",1+(Skills!T14/10)*(Z892/1000)/100,1)</f>
        <v/>
      </c>
      <c r="J903" t="inlineStr"/>
      <c r="K903" t="inlineStr"/>
      <c r="L903" t="inlineStr"/>
      <c r="M903" t="inlineStr"/>
      <c r="N903" t="inlineStr"/>
      <c r="O903">
        <f>(1-Summary!$B$11)*S903+Summary!$B$11*U903</f>
        <v/>
      </c>
      <c r="P903">
        <f>IF(B925=0,0,O903/B925)</f>
        <v/>
      </c>
      <c r="Q903">
        <f>IFERROR(1/IF(Inputs!$B$38="pvp",15,MAX(0.1,Skills!D14-IF(Skills!E14=TRUE,Inputs!$B$32,0))),0)</f>
        <v/>
      </c>
      <c r="R903" t="n">
        <v>0</v>
      </c>
      <c r="S903" t="n">
        <v>0</v>
      </c>
      <c r="U903" t="n">
        <v>0</v>
      </c>
    </row>
    <row r="904">
      <c r="A904">
        <f>Skills!A15</f>
        <v/>
      </c>
      <c r="B904">
        <f>Skills!B15</f>
        <v/>
      </c>
      <c r="C904">
        <f>Inputs!$B$3&gt;=75</f>
        <v/>
      </c>
      <c r="D904">
        <f>IF(Skills!C15=1,60+Inputs!$B$25+Inputs!$B$29,IF(Skills!C15=2,90+Inputs!$B$26+Inputs!$B$29,IF(Skills!C15=3,120+Inputs!$B$27+Inputs!$B$29,MAX(0,(Inputs!$B$3-100)*3)+Inputs!$B$28+Inputs!$B$29)))</f>
        <v/>
      </c>
      <c r="E904">
        <f>INDEX(FactorTable!$B$2:$Y$301, MATCH(ROUND(MIN(300,MAX(1,D904)),0), FactorTable!$A$2:$A$301,0), Skills!L15+1)</f>
        <v/>
      </c>
      <c r="F904">
        <f>IF(Skills!M15=TRUE,(Skills!K15/10)*(E904/1000),Skills!K15/10)+Skills!N15</f>
        <v/>
      </c>
      <c r="G904">
        <f>Calc!G15</f>
        <v/>
      </c>
      <c r="H904">
        <f>Calc!H15</f>
        <v/>
      </c>
      <c r="I904">
        <f>IF(Skills!T15&lt;&gt;"",1+(Skills!T15/10)*(Z892/1000)/100,1)</f>
        <v/>
      </c>
      <c r="J904" t="inlineStr"/>
      <c r="K904" t="inlineStr"/>
      <c r="L904" t="inlineStr"/>
      <c r="M904" t="inlineStr"/>
      <c r="N904" t="inlineStr"/>
      <c r="O904">
        <f>(1-Summary!$B$11)*S904+Summary!$B$11*U904</f>
        <v/>
      </c>
      <c r="P904">
        <f>IF(B925=0,0,O904/B925)</f>
        <v/>
      </c>
      <c r="Q904">
        <f>IFERROR(1/IF(Inputs!$B$38="pvp",15,MAX(0.1,Skills!D15-IF(Skills!E15=TRUE,Inputs!$B$32,0))),0)</f>
        <v/>
      </c>
      <c r="R904" t="n">
        <v>0</v>
      </c>
      <c r="S904" t="n">
        <v>0</v>
      </c>
      <c r="U904" t="n">
        <v>0</v>
      </c>
    </row>
    <row r="905">
      <c r="A905">
        <f>Skills!A16</f>
        <v/>
      </c>
      <c r="B905">
        <f>Skills!B16</f>
        <v/>
      </c>
      <c r="C905">
        <f>Inputs!$B$3&gt;=110</f>
        <v/>
      </c>
      <c r="D905">
        <f>IF(Skills!C16=1,60+Inputs!$B$25+Inputs!$B$29,IF(Skills!C16=2,90+Inputs!$B$26+Inputs!$B$29,IF(Skills!C16=3,120+Inputs!$B$27+Inputs!$B$29,MAX(0,(Inputs!$B$3-100)*3)+Inputs!$B$28+Inputs!$B$29)))</f>
        <v/>
      </c>
      <c r="E905">
        <f>INDEX(FactorTable!$B$2:$Y$301, MATCH(ROUND(MIN(300,MAX(1,D905)),0), FactorTable!$A$2:$A$301,0), Skills!L16+1)</f>
        <v/>
      </c>
      <c r="F905">
        <f>(Skills!K16/10)*(E905/1000)*64/45+Skills!N16</f>
        <v/>
      </c>
      <c r="G905">
        <f>Calc!G16</f>
        <v/>
      </c>
      <c r="H905">
        <f>Calc!H16</f>
        <v/>
      </c>
      <c r="I905">
        <f>IF(Skills!T16&lt;&gt;"",1+(Skills!T16/10)*(Z892/1000)/100,1)</f>
        <v/>
      </c>
      <c r="J905" t="inlineStr"/>
      <c r="K905" t="inlineStr"/>
      <c r="L905" t="inlineStr"/>
      <c r="M905" t="inlineStr"/>
      <c r="N905" t="inlineStr"/>
      <c r="O905">
        <f>(1-Summary!$B$11)*S905+Summary!$B$11*U905</f>
        <v/>
      </c>
      <c r="P905">
        <f>IF(B925=0,0,O905/B925)</f>
        <v/>
      </c>
      <c r="Q905">
        <f>IFERROR(1/IF(Inputs!$B$38="pvp",15,MAX(0.1,Skills!D16-IF(Skills!E16=TRUE,Inputs!$B$32,0))),0)</f>
        <v/>
      </c>
      <c r="R905">
        <f>IF(AND(Inputs!$B$38&lt;&gt;"pvp",Inputs!$B$43&gt;0),IF(Inputs!$B$43&lt;=0,0,(INT(Inputs!$B$43/IF(Inputs!$B$38="pvp",15,MAX(0.1,Skills!D16-IF(Skills!E16=TRUE,Inputs!$B$32,0))))+1)),0)</f>
        <v/>
      </c>
      <c r="S905" t="n">
        <v>0</v>
      </c>
      <c r="U905" t="n">
        <v>0</v>
      </c>
    </row>
    <row r="906">
      <c r="A906">
        <f>Skills!A17</f>
        <v/>
      </c>
      <c r="B906">
        <f>Skills!B17</f>
        <v/>
      </c>
      <c r="C906">
        <f>Inputs!$B$3&gt;=33</f>
        <v/>
      </c>
      <c r="D906">
        <f>IF(Skills!C17=1,60+Inputs!$B$25+Inputs!$B$29,IF(Skills!C17=2,90+Inputs!$B$26+Inputs!$B$29,IF(Skills!C17=3,120+Inputs!$B$27+Inputs!$B$29,MAX(0,(Inputs!$B$3-100)*3)+Inputs!$B$28+Inputs!$B$29)))</f>
        <v/>
      </c>
      <c r="E906">
        <f>INDEX(FactorTable!$B$2:$Y$301, MATCH(ROUND(MIN(300,MAX(1,D906)),0), FactorTable!$A$2:$A$301,0), Skills!L17+1)</f>
        <v/>
      </c>
      <c r="F906">
        <f>IF(Skills!M17=TRUE,(Skills!K17/10)*(E906/1000),Skills!K17/10)+Skills!N17</f>
        <v/>
      </c>
      <c r="G906">
        <f>Calc!G17</f>
        <v/>
      </c>
      <c r="H906">
        <f>Calc!H17</f>
        <v/>
      </c>
      <c r="I906">
        <f>IF(Skills!T17&lt;&gt;"",1+(Skills!T17/10)*(Z892/1000)/100,1)</f>
        <v/>
      </c>
      <c r="J906" t="inlineStr"/>
      <c r="K906" t="inlineStr"/>
      <c r="L906" t="inlineStr"/>
      <c r="M906" t="inlineStr"/>
      <c r="N906" t="inlineStr"/>
      <c r="O906">
        <f>(1-Summary!$B$11)*S906+Summary!$B$11*U906</f>
        <v/>
      </c>
      <c r="P906">
        <f>IF(B925=0,0,O906/B925)</f>
        <v/>
      </c>
      <c r="Q906">
        <f>IFERROR(1/IF(Inputs!$B$38="pvp",15,MAX(0.1,Skills!D17-IF(Skills!E17=TRUE,Inputs!$B$32,0))),0)</f>
        <v/>
      </c>
      <c r="R906" t="n">
        <v>0</v>
      </c>
      <c r="S906" t="n">
        <v>0</v>
      </c>
      <c r="U906" t="n">
        <v>0</v>
      </c>
    </row>
    <row r="907">
      <c r="A907">
        <f>Skills!A18</f>
        <v/>
      </c>
      <c r="B907">
        <f>Skills!B18</f>
        <v/>
      </c>
      <c r="C907">
        <f>Inputs!$B$3&gt;=43</f>
        <v/>
      </c>
      <c r="D907">
        <f>IF(Skills!C18=1,60+Inputs!$B$25+Inputs!$B$29,IF(Skills!C18=2,90+Inputs!$B$26+Inputs!$B$29,IF(Skills!C18=3,120+Inputs!$B$27+Inputs!$B$29,MAX(0,(Inputs!$B$3-100)*3)+Inputs!$B$28+Inputs!$B$29)))</f>
        <v/>
      </c>
      <c r="E907">
        <f>INDEX(FactorTable!$B$2:$Y$301, MATCH(ROUND(MIN(300,MAX(1,D907)),0), FactorTable!$A$2:$A$301,0), Skills!L18+1)</f>
        <v/>
      </c>
      <c r="F907">
        <f>IF(Skills!M18=TRUE,(Skills!K18/10)*(E907/1000),Skills!K18/10)+Skills!N18</f>
        <v/>
      </c>
      <c r="G907">
        <f>Calc!G18</f>
        <v/>
      </c>
      <c r="H907">
        <f>Calc!H18</f>
        <v/>
      </c>
      <c r="I907">
        <f>IF(Skills!T18&lt;&gt;"",1+(Skills!T18/10)*(Z892/1000)/100,1)</f>
        <v/>
      </c>
      <c r="J907" t="inlineStr"/>
      <c r="K907" t="inlineStr"/>
      <c r="L907" t="inlineStr"/>
      <c r="M907" t="inlineStr"/>
      <c r="N907" t="inlineStr"/>
      <c r="O907">
        <f>(1-Summary!$B$11)*S907+Summary!$B$11*U907</f>
        <v/>
      </c>
      <c r="P907">
        <f>IF(B925=0,0,O907/B925)</f>
        <v/>
      </c>
      <c r="Q907">
        <f>IFERROR(1/IF(Inputs!$B$38="pvp",15,MAX(0.1,Skills!D18-IF(Skills!E18=TRUE,Inputs!$B$32,0))),0)</f>
        <v/>
      </c>
      <c r="R907" t="n">
        <v>0</v>
      </c>
      <c r="S907" t="n">
        <v>0</v>
      </c>
      <c r="U907" t="n">
        <v>0</v>
      </c>
    </row>
    <row r="908">
      <c r="A908">
        <f>Skills!A19</f>
        <v/>
      </c>
      <c r="B908">
        <f>Skills!B19</f>
        <v/>
      </c>
      <c r="C908">
        <f>Inputs!$B$3&gt;=50</f>
        <v/>
      </c>
      <c r="D908">
        <f>IF(Skills!C19=1,60+Inputs!$B$25+Inputs!$B$29,IF(Skills!C19=2,90+Inputs!$B$26+Inputs!$B$29,IF(Skills!C19=3,120+Inputs!$B$27+Inputs!$B$29,MAX(0,(Inputs!$B$3-100)*3)+Inputs!$B$28+Inputs!$B$29)))</f>
        <v/>
      </c>
      <c r="E908">
        <f>INDEX(FactorTable!$B$2:$Y$301, MATCH(ROUND(MIN(300,MAX(1,D908)),0), FactorTable!$A$2:$A$301,0), Skills!L19+1)</f>
        <v/>
      </c>
      <c r="F908">
        <f>IF(Skills!M19=TRUE,(Skills!K19/10)*(E908/1000),Skills!K19/10)+Skills!N19</f>
        <v/>
      </c>
      <c r="G908">
        <f>Calc!G19</f>
        <v/>
      </c>
      <c r="H908">
        <f>Calc!H19</f>
        <v/>
      </c>
      <c r="I908">
        <f>IF(Skills!T19&lt;&gt;"",1+(Skills!T19/10)*(Z892/1000)/100,1)</f>
        <v/>
      </c>
      <c r="J908" t="inlineStr"/>
      <c r="K908" t="inlineStr"/>
      <c r="L908" t="inlineStr"/>
      <c r="M908" t="inlineStr"/>
      <c r="N908" t="inlineStr"/>
      <c r="O908">
        <f>(1-Summary!$B$11)*S908+Summary!$B$11*U908</f>
        <v/>
      </c>
      <c r="P908">
        <f>IF(B925=0,0,O908/B925)</f>
        <v/>
      </c>
      <c r="Q908">
        <f>IFERROR(1/IF(Inputs!$B$38="pvp",15,MAX(0.1,Skills!D19-IF(Skills!E19=TRUE,Inputs!$B$32,0))),0)</f>
        <v/>
      </c>
      <c r="R908" t="n">
        <v>0</v>
      </c>
      <c r="S908" t="n">
        <v>0</v>
      </c>
      <c r="U908" t="n">
        <v>0</v>
      </c>
    </row>
    <row r="909">
      <c r="A909">
        <f>Skills!A20</f>
        <v/>
      </c>
      <c r="B909">
        <f>Skills!B20</f>
        <v/>
      </c>
      <c r="C909">
        <f>Inputs!$B$3&gt;=74</f>
        <v/>
      </c>
      <c r="D909">
        <f>IF(Skills!C20=1,60+Inputs!$B$25+Inputs!$B$29,IF(Skills!C20=2,90+Inputs!$B$26+Inputs!$B$29,IF(Skills!C20=3,120+Inputs!$B$27+Inputs!$B$29,MAX(0,(Inputs!$B$3-100)*3)+Inputs!$B$28+Inputs!$B$29)))</f>
        <v/>
      </c>
      <c r="E909">
        <f>INDEX(FactorTable!$B$2:$Y$301, MATCH(ROUND(MIN(300,MAX(1,D909)),0), FactorTable!$A$2:$A$301,0), Skills!L20+1)</f>
        <v/>
      </c>
      <c r="F909">
        <f>IF(Skills!M20=TRUE,(Skills!K20/10)*(E909/1000),Skills!K20/10)+Skills!N20</f>
        <v/>
      </c>
      <c r="G909">
        <f>Calc!G20</f>
        <v/>
      </c>
      <c r="H909">
        <f>Calc!H20</f>
        <v/>
      </c>
      <c r="I909">
        <f>IF(Skills!T20&lt;&gt;"",1+(Skills!T20/10)*(Z892/1000)/100,1)</f>
        <v/>
      </c>
      <c r="J909" t="inlineStr"/>
      <c r="K909" t="inlineStr"/>
      <c r="L909" t="inlineStr"/>
      <c r="M909" t="inlineStr"/>
      <c r="N909" t="inlineStr"/>
      <c r="O909">
        <f>(1-Summary!$B$11)*S909+Summary!$B$11*U909</f>
        <v/>
      </c>
      <c r="P909">
        <f>IF(B925=0,0,O909/B925)</f>
        <v/>
      </c>
      <c r="Q909">
        <f>IFERROR(1/IF(Inputs!$B$38="pvp",15,MAX(0.1,Skills!D20-IF(Skills!E20=TRUE,Inputs!$B$32,0))),0)</f>
        <v/>
      </c>
      <c r="R909" t="n">
        <v>0</v>
      </c>
      <c r="S909" t="n">
        <v>0</v>
      </c>
      <c r="U909" t="n">
        <v>0</v>
      </c>
    </row>
    <row r="910">
      <c r="A910">
        <f>Skills!A21</f>
        <v/>
      </c>
      <c r="B910">
        <f>Skills!B21</f>
        <v/>
      </c>
      <c r="C910">
        <f>Inputs!$B$3&gt;=74</f>
        <v/>
      </c>
      <c r="D910">
        <f>IF(Skills!C21=1,60+Inputs!$B$25+Inputs!$B$29,IF(Skills!C21=2,90+Inputs!$B$26+Inputs!$B$29,IF(Skills!C21=3,120+Inputs!$B$27+Inputs!$B$29,MAX(0,(Inputs!$B$3-100)*3)+Inputs!$B$28+Inputs!$B$29)))</f>
        <v/>
      </c>
      <c r="E910">
        <f>INDEX(FactorTable!$B$2:$Y$301, MATCH(ROUND(MIN(300,MAX(1,D910)),0), FactorTable!$A$2:$A$301,0), Skills!L21+1)</f>
        <v/>
      </c>
      <c r="F910">
        <f>IF(Skills!M21=TRUE,(Skills!K21/10)*(E910/1000),Skills!K21/10)+Skills!N21</f>
        <v/>
      </c>
      <c r="G910">
        <f>Calc!G21</f>
        <v/>
      </c>
      <c r="H910">
        <f>Calc!H21</f>
        <v/>
      </c>
      <c r="I910">
        <f>IF(Skills!T21&lt;&gt;"",1+(Skills!T21/10)*(Z892/1000)/100,1)</f>
        <v/>
      </c>
      <c r="J910" t="inlineStr"/>
      <c r="K910" t="inlineStr"/>
      <c r="L910" t="inlineStr"/>
      <c r="M910" t="inlineStr"/>
      <c r="N910" t="inlineStr"/>
      <c r="O910">
        <f>(1-Summary!$B$11)*S910+Summary!$B$11*U910</f>
        <v/>
      </c>
      <c r="P910">
        <f>IF(B925=0,0,O910/B925)</f>
        <v/>
      </c>
      <c r="Q910">
        <f>IFERROR(1/IF(Inputs!$B$38="pvp",15,MAX(0.1,Skills!D21-IF(Skills!E21=TRUE,Inputs!$B$32,0))),0)</f>
        <v/>
      </c>
      <c r="R910" t="n">
        <v>0</v>
      </c>
      <c r="S910" t="n">
        <v>0</v>
      </c>
      <c r="U910" t="n">
        <v>0</v>
      </c>
    </row>
    <row r="911">
      <c r="A911">
        <f>Skills!A22</f>
        <v/>
      </c>
      <c r="B911">
        <f>Skills!B22</f>
        <v/>
      </c>
      <c r="C911">
        <f>Inputs!$B$3&gt;=117</f>
        <v/>
      </c>
      <c r="D911">
        <f>IF(Skills!C22=1,60+Inputs!$B$25+Inputs!$B$29,IF(Skills!C22=2,90+Inputs!$B$26+Inputs!$B$29,IF(Skills!C22=3,120+Inputs!$B$27+Inputs!$B$29,MAX(0,(Inputs!$B$3-100)*3)+Inputs!$B$28+Inputs!$B$29)))</f>
        <v/>
      </c>
      <c r="E911">
        <f>INDEX(FactorTable!$B$2:$Y$301, MATCH(ROUND(MIN(300,MAX(1,D911)),0), FactorTable!$A$2:$A$301,0), Skills!L22+1)</f>
        <v/>
      </c>
      <c r="F911">
        <f>IF(Skills!M22=TRUE,(Skills!K22/10)*(E911/1000),Skills!K22/10)+Skills!N22</f>
        <v/>
      </c>
      <c r="G911">
        <f>Calc!G22</f>
        <v/>
      </c>
      <c r="H911">
        <f>Calc!H22</f>
        <v/>
      </c>
      <c r="I911">
        <f>IF(Skills!T22&lt;&gt;"",1+(Skills!T22/10)*(Z892/1000)/100,1)</f>
        <v/>
      </c>
      <c r="J911" t="inlineStr"/>
      <c r="K911" t="inlineStr"/>
      <c r="L911" t="inlineStr"/>
      <c r="M911" t="inlineStr"/>
      <c r="N911" t="inlineStr"/>
      <c r="O911">
        <f>(1-Summary!$B$11)*S911+Summary!$B$11*U911</f>
        <v/>
      </c>
      <c r="P911">
        <f>IF(B925=0,0,O911/B925)</f>
        <v/>
      </c>
      <c r="Q911">
        <f>IFERROR(1/IF(Inputs!$B$38="pvp",15,MAX(0.1,Skills!D22-IF(Skills!E22=TRUE,Inputs!$B$32,0))),0)</f>
        <v/>
      </c>
      <c r="R911" t="n">
        <v>0</v>
      </c>
      <c r="S911" t="n">
        <v>0</v>
      </c>
      <c r="U911" t="n">
        <v>0</v>
      </c>
    </row>
    <row r="912">
      <c r="A912">
        <f>Skills!A23</f>
        <v/>
      </c>
      <c r="B912">
        <f>Skills!B23</f>
        <v/>
      </c>
      <c r="C912">
        <f>Inputs!$B$3&gt;=120</f>
        <v/>
      </c>
      <c r="D912">
        <f>IF(Skills!C23=1,60+Inputs!$B$25+Inputs!$B$29,IF(Skills!C23=2,90+Inputs!$B$26+Inputs!$B$29,IF(Skills!C23=3,120+Inputs!$B$27+Inputs!$B$29,MAX(0,(Inputs!$B$3-100)*3)+Inputs!$B$28+Inputs!$B$29)))</f>
        <v/>
      </c>
      <c r="E912">
        <f>INDEX(FactorTable!$B$2:$Y$301, MATCH(ROUND(MIN(300,MAX(1,D912)),0), FactorTable!$A$2:$A$301,0), Skills!L23+1)</f>
        <v/>
      </c>
      <c r="F912">
        <f>IF(Skills!M23=TRUE,(Skills!K23/10)*(E912/1000),Skills!K23/10)+Skills!N23</f>
        <v/>
      </c>
      <c r="G912">
        <f>Calc!G23</f>
        <v/>
      </c>
      <c r="H912">
        <f>Calc!H23</f>
        <v/>
      </c>
      <c r="I912">
        <f>IF(Skills!T23&lt;&gt;"",1+(Skills!T23/10)*(Z892/1000)/100,1)</f>
        <v/>
      </c>
      <c r="J912" t="inlineStr"/>
      <c r="K912" t="inlineStr"/>
      <c r="L912" t="inlineStr"/>
      <c r="M912" t="inlineStr"/>
      <c r="N912" t="inlineStr"/>
      <c r="O912">
        <f>(1-Summary!$B$11)*S912+Summary!$B$11*U912</f>
        <v/>
      </c>
      <c r="P912">
        <f>IF(B925=0,0,O912/B925)</f>
        <v/>
      </c>
      <c r="Q912">
        <f>IFERROR(1/IF(Inputs!$B$38="pvp",15,MAX(0.1,Skills!D23-IF(Skills!E23=TRUE,Inputs!$B$32,0))),0)</f>
        <v/>
      </c>
      <c r="R912" t="n">
        <v>0</v>
      </c>
      <c r="S912" t="n">
        <v>0</v>
      </c>
      <c r="U912" t="n">
        <v>0</v>
      </c>
    </row>
    <row r="915">
      <c r="A915" t="inlineStr">
        <is>
          <t>Average Buff Multiplier (Magic Guard + Meditation + Artifact Attack%, summed; then Infinity)</t>
        </is>
      </c>
      <c r="B915">
        <f>(1+(IF(C892=TRUE,F892*IF(AND(Inputs!$B$38&lt;&gt;"pvp",Inputs!$B$43&gt;0),(((R892-1)*(Skills!S3*(1+(Inputs!$B$34+IF(Inputs!$B$3&gt;=117,F911,0))/100))+MIN((Skills!S3*(1+(Inputs!$B$34+IF(Inputs!$B$3&gt;=117,F911,0))/100)),MAX(0,Inputs!$B$43-((R892-1)*Skills!D3))))/Inputs!$B$43),IF(Inputs!$B$38="pvp",MIN((Skills!S3*(1+(Inputs!$B$34+IF(Inputs!$B$3&gt;=117,F911,0))/100)),15)/15,(Skills!S3*(1+(Inputs!$B$34+IF(Inputs!$B$3&gt;=117,F911,0))/100))/Skills!D3)),0)+IF(C893=TRUE,F893*IF(AND(Inputs!$B$38&lt;&gt;"pvp",Inputs!$B$43&gt;0),(((R893-1)*(Skills!S4*(1+(Inputs!$B$34+IF(Inputs!$B$3&gt;=117,F911,0))/100))+MIN((Skills!S4*(1+(Inputs!$B$34+IF(Inputs!$B$3&gt;=117,F911,0))/100)),MAX(0,Inputs!$B$43-((R893-1)*Skills!D4))))/Inputs!$B$43),IF(Inputs!$B$38="pvp",MIN((Skills!S4*(1+(Inputs!$B$34+IF(Inputs!$B$3&gt;=117,F911,0))/100)),15)/15,(Skills!S4*(1+(Inputs!$B$34+IF(Inputs!$B$3&gt;=117,F911,0)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905=TRUE,(1+F905*IF(AND(Inputs!$B$38&lt;&gt;"pvp",Inputs!$B$43&gt;0),(((R905-1)*(Skills!S16*(1+(Inputs!$B$34+IF(Inputs!$B$3&gt;=117,F911,0))/100))+MIN((Skills!S16*(1+(Inputs!$B$34+IF(Inputs!$B$3&gt;=117,F911,0))/100)),MAX(0,Inputs!$B$43-((R905-1)*Skills!D16))))/Inputs!$B$43),IF(Inputs!$B$38="pvp",MIN((Skills!S16*(1+(Inputs!$B$34+IF(Inputs!$B$3&gt;=117,F911,0))/100)),15)/15,(Skills!S16*(1+(Inputs!$B$34+IF(Inputs!$B$3&gt;=117,F911,0))/100))/Skills!D16))/100),1)</f>
        <v/>
      </c>
    </row>
    <row r="916">
      <c r="A916" t="inlineStr">
        <is>
          <t>Monster Damage Taken Bonus % (Freezing Breath - Weaken + Elemental Reset + Artifact Enemy Damage Taken, summed)</t>
        </is>
      </c>
      <c r="B916">
        <f>IF(Inputs!$B$3&gt;=118,15*IF(Inputs!$B$38="pvp",MIN((30*(1+(Inputs!$B$34+IF(Inputs!$B$3&gt;=117,F911,0))/100)),15)/15,(30*(1+(Inputs!$B$34+IF(Inputs!$B$3&gt;=117,F911,0))/100))/Skills!D8),0)+IF(C903=TRUE,F903,0)+(IF(AND(ArtifactsInput!$M$35,Inputs!$B$4&lt;&gt;"Chapter Hunt"),CHOOSE(ArtifactsInput!$N$35+1,15,18,21,24,27,30)*(1-EXP(-(0.2*B919)*5)),0)+IF(AND(ArtifactsInput!$M$22,Inputs!$B$4&lt;&gt;"Chapter Hunt"),CHOOSE(ArtifactsInput!$N$22+1,10,12,14,16,18,20)*((0*(((0.15*B919*5))^0/1)+1*(((0.15*B919*5))^1/1)+2*(((0.15*B919*5))^2/2)+3*(((0.15*B919*5))^3/6)+4*(((0.15*B919*5))^4/24)+5*(((0.15*B919*5))^5/120))/((((0.15*B919*5))^0/1)+(((0.15*B919*5))^1/1)+(((0.15*B919*5))^2/2)+(((0.15*B919*5))^3/6)+(((0.15*B919*5))^4/24)+(((0.15*B919*5))^5/120))),0))</f>
        <v/>
      </c>
    </row>
    <row r="917">
      <c r="A917" t="inlineStr">
        <is>
          <t>Damage % Bonus (Frozen Break + Frost Clutch, flat)</t>
        </is>
      </c>
      <c r="B917">
        <f>IF(Inputs!$B$3&gt;=66,15,0)+IF(Inputs!$B$3&gt;=98,10,0)+IF(Inputs!$B$3&gt;=125,20,0)</f>
        <v/>
      </c>
    </row>
    <row r="918">
      <c r="A918" t="inlineStr">
        <is>
          <t>Attack Speed Bonus % (MP Eater - MP Boost, always-on once unlocked)</t>
        </is>
      </c>
      <c r="B918">
        <f>IF(C902=TRUE,F902+(F906-Calc!F17),0)</f>
        <v/>
      </c>
    </row>
    <row r="919">
      <c r="A919" t="inlineStr">
        <is>
          <t>Actions Per Second</t>
        </is>
      </c>
      <c r="B919">
        <f>1+MIN(150,150*(1-(1-(Inputs!$B$11+(ArtifactsInput!$M$15-ArtifactsInput!$M$15)*CHOOSE(ArtifactsInput!$N$15+1,8,9.6,11.2,12.8,14.4,16))/150)*(1-B918/150)))/100</f>
        <v/>
      </c>
    </row>
    <row r="920">
      <c r="A920" t="inlineStr">
        <is>
          <t>Skill + Buff Cast Rate</t>
        </is>
      </c>
      <c r="B920">
        <f>IF(AND(Inputs!$B$38&lt;&gt;"pvp",Inputs!$B$43&gt;0),SUMPRODUCT((Skills!E2:E23=TRUE)*(C891:C912=TRUE)*R891:R912)/Inputs!$B$43,SUMPRODUCT((Skills!E2:E23=TRUE)*(C891:C912=TRUE)*Q891:Q912))</f>
        <v/>
      </c>
    </row>
    <row r="921">
      <c r="A921" t="inlineStr">
        <is>
          <t>Chain Lightning Casts Per Second</t>
        </is>
      </c>
      <c r="B921">
        <f>MAX(0,B919-B920)</f>
        <v/>
      </c>
    </row>
    <row r="922">
      <c r="A922" t="inlineStr">
        <is>
          <t>Buff-Casting Startup Delay (s, fixed-duration only)</t>
        </is>
      </c>
      <c r="B922">
        <f>IF(AND(Inputs!$B$38&lt;&gt;"pvp",Inputs!$B$43&gt;0),SUMPRODUCT((Skills!S2:S23&gt;0)*(Skills!E2:E23=TRUE)*(C891:C912=TRUE))/B919,0)</f>
        <v/>
      </c>
    </row>
    <row r="923">
      <c r="A923" t="inlineStr">
        <is>
          <t>Boss-Only Total DPS (this block's swept value)</t>
        </is>
      </c>
      <c r="B923">
        <f>SUM(S891:S912)</f>
        <v/>
      </c>
    </row>
    <row r="924">
      <c r="A924" t="inlineStr">
        <is>
          <t>Normal-Only Total DPS (this block's swept value)</t>
        </is>
      </c>
      <c r="B924">
        <f>SUM(U891:U912)</f>
        <v/>
      </c>
    </row>
    <row r="925">
      <c r="A925" s="6" t="inlineStr">
        <is>
          <t>TOTAL DPS</t>
        </is>
      </c>
      <c r="B925" s="6">
        <f>SUM(O891:O912)</f>
        <v/>
      </c>
    </row>
    <row r="928">
      <c r="A928" s="6" t="inlineStr">
        <is>
          <t>Stat: Skill Cooldown Decrease (seconds)</t>
        </is>
      </c>
    </row>
    <row r="929">
      <c r="A929" s="5" t="inlineStr">
        <is>
          <t>Key</t>
        </is>
      </c>
      <c r="B929" s="5" t="inlineStr">
        <is>
          <t>Name</t>
        </is>
      </c>
      <c r="C929" s="5" t="inlineStr">
        <is>
          <t>Unlocked</t>
        </is>
      </c>
      <c r="D929" s="5" t="inlineStr">
        <is>
          <t>InputLevel</t>
        </is>
      </c>
      <c r="E929" s="5" t="inlineStr">
        <is>
          <t>Factor</t>
        </is>
      </c>
      <c r="F929" s="5" t="inlineStr">
        <is>
          <t>CoefficientPercent</t>
        </is>
      </c>
      <c r="G929" s="5" t="inlineStr">
        <is>
          <t>EffectiveHits</t>
        </is>
      </c>
      <c r="H929" s="5" t="inlineStr">
        <is>
          <t>ProcProbability</t>
        </is>
      </c>
      <c r="I929" s="5" t="inlineStr">
        <is>
          <t>MapleHeroMultiplier</t>
        </is>
      </c>
      <c r="J929" s="5" t="inlineStr">
        <is>
          <t>BaseDamage</t>
        </is>
      </c>
      <c r="K929" s="5" t="inlineStr">
        <is>
          <t>BaseHitDamage</t>
        </is>
      </c>
      <c r="L929" s="5" t="inlineStr">
        <is>
          <t>NonCritAvg</t>
        </is>
      </c>
      <c r="M929" s="5" t="inlineStr">
        <is>
          <t>CritAvg</t>
        </is>
      </c>
      <c r="N929" s="5" t="inlineStr">
        <is>
          <t>ExpectedDamage(perHit)</t>
        </is>
      </c>
      <c r="O929" s="5" t="inlineStr">
        <is>
          <t>DPS</t>
        </is>
      </c>
      <c r="P929" s="5" t="inlineStr">
        <is>
          <t>% of Total</t>
        </is>
      </c>
      <c r="R929" t="inlineStr">
        <is>
          <t>helpers</t>
        </is>
      </c>
    </row>
    <row r="930">
      <c r="A930">
        <f>Skills!A2</f>
        <v/>
      </c>
      <c r="B930">
        <f>Skills!B2</f>
        <v/>
      </c>
      <c r="C930">
        <f>Inputs!$B$3&gt;=100</f>
        <v/>
      </c>
      <c r="D930" t="inlineStr"/>
      <c r="E930" t="inlineStr"/>
      <c r="F930">
        <f>T932+Skills!N2</f>
        <v/>
      </c>
      <c r="G930">
        <f>Calc!G2</f>
        <v/>
      </c>
      <c r="H930">
        <f>Calc!H2</f>
        <v/>
      </c>
      <c r="I930">
        <f>IF(Skills!T2&lt;&gt;"",1+(Skills!T2/10)*(Z931/1000)/100,1)</f>
        <v/>
      </c>
      <c r="J930">
        <f>((Inputs!$B$6*(1+Inputs!$B$7/100))+(((Inputs!$B$12*(1+Inputs!$B$13/100))-(Inputs!$B$12*(1+Inputs!$B$13/100)))+0.25*(Inputs!$B$14-Inputs!$B$14))*(1+Inputs!$B$7/100))*(F930/100)</f>
        <v/>
      </c>
      <c r="K930">
        <f>J930*(1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946-Calc!F18),(Inputs!$B$23+(IF(ArtifactsInput!$M$15,CHOOSE(ArtifactsInput!$N$15+1,25,30,35,40,45,50)/100*(Inputs!$B$11-Inputs!$B$11),0))))/100+(Inputs!$B$23+(IF(ArtifactsInput!$M$15,CHOOSE(ArtifactsInput!$N$15+1,25,30,35,40,45,50)/100*(Inputs!$B$11-Inputs!$B$11),0)))/100)/2</f>
        <v/>
      </c>
      <c r="M930">
        <f>L930*(1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IF(B964=0,0,O930/B964)</f>
        <v/>
      </c>
      <c r="Q930">
        <f>IFERROR(1/IF(Inputs!$B$38="pvp",15,MAX(0.1,Skills!D2-IF(Skills!E2=TRUE,(Inputs!$B$32+1),0))),0)</f>
        <v/>
      </c>
      <c r="R930" t="n">
        <v>0</v>
      </c>
      <c r="S930">
        <f>IF(C930,(Skills!F2*N930*B960)*IF(Inputs!$B$38="pvp",1,1+(Inputs!$B$20+Skills!O2+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30">
        <f>MAX(0,(Inputs!$B$3-100)*3)+Inputs!$B$28+Inputs!$B$29</f>
        <v/>
      </c>
      <c r="U930">
        <f>IF(C930,(Skills!F2*N930*B960)*IF(Inputs!$B$38="pvp",1,(1+(Inputs!$B$21+Skills!P2+B955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30">
        <f>MAX(0,(Inputs!$B$3-100)*3)+Inputs!$B$28+Inputs!$B$29</f>
        <v/>
      </c>
    </row>
    <row r="931">
      <c r="A931">
        <f>Skills!A3</f>
        <v/>
      </c>
      <c r="B931">
        <f>Skills!B3</f>
        <v/>
      </c>
      <c r="C931">
        <f>Inputs!$B$3&gt;=15</f>
        <v/>
      </c>
      <c r="D931">
        <f>IF(Skills!C3=1,60+Inputs!$B$25+Inputs!$B$29,IF(Skills!C3=2,90+Inputs!$B$26+Inputs!$B$29,IF(Skills!C3=3,120+Inputs!$B$27+Inputs!$B$29,MAX(0,(Inputs!$B$3-100)*3)+Inputs!$B$28+Inputs!$B$29)))</f>
        <v/>
      </c>
      <c r="E931">
        <f>INDEX(FactorTable!$B$2:$Y$301, MATCH(ROUND(MIN(300,MAX(1,D931)),0), FactorTable!$A$2:$A$301,0), Skills!L3+1)</f>
        <v/>
      </c>
      <c r="F931">
        <f>IF(Skills!M3=TRUE,(Skills!K3/10)*(E931/1000),Skills!K3/10)+Skills!N3</f>
        <v/>
      </c>
      <c r="G931">
        <f>Calc!G3</f>
        <v/>
      </c>
      <c r="H931">
        <f>Calc!H3</f>
        <v/>
      </c>
      <c r="I931">
        <f>IF(Skills!T3&lt;&gt;"",1+(Skills!T3/10)*(Z931/1000)/100,1)</f>
        <v/>
      </c>
      <c r="J931" t="inlineStr"/>
      <c r="K931" t="inlineStr"/>
      <c r="L931" t="inlineStr"/>
      <c r="M931" t="inlineStr"/>
      <c r="N931" t="inlineStr"/>
      <c r="O931">
        <f>(1-Summary!$B$11)*S931+Summary!$B$11*U931</f>
        <v/>
      </c>
      <c r="P931">
        <f>IF(B964=0,0,O931/B964)</f>
        <v/>
      </c>
      <c r="Q931">
        <f>IFERROR(1/IF(Inputs!$B$38="pvp",15,MAX(0.1,Skills!D3-IF(Skills!E3=TRUE,(Inputs!$B$32+1),0))),0)</f>
        <v/>
      </c>
      <c r="R931">
        <f>IF(AND(Inputs!$B$38&lt;&gt;"pvp",Inputs!$B$43&gt;0),IF(Inputs!$B$43&lt;=0,0,(INT(Inputs!$B$43/IF(Inputs!$B$38="pvp",15,MAX(0.1,Skills!D3-IF(Skills!E3=TRUE,(Inputs!$B$32+1),0))))+1)),0)</f>
        <v/>
      </c>
      <c r="S931" t="n">
        <v>0</v>
      </c>
      <c r="T931">
        <f>INDEX(FactorTable!$B$2:$Y$301, MATCH(ROUND(MIN(300,MAX(1,T930)),0), FactorTable!$A$2:$A$301,0), 22)</f>
        <v/>
      </c>
      <c r="U931" t="n">
        <v>0</v>
      </c>
      <c r="Z931">
        <f>INDEX(FactorTable!$B$2:$Y$301, MATCH(ROUND(MIN(300,MAX(1,Z930)),0), FactorTable!$A$2:$A$301,0), 24)</f>
        <v/>
      </c>
    </row>
    <row r="932">
      <c r="A932">
        <f>Skills!A4</f>
        <v/>
      </c>
      <c r="B932">
        <f>Skills!B4</f>
        <v/>
      </c>
      <c r="C932">
        <f>Inputs!$B$3&gt;=40</f>
        <v/>
      </c>
      <c r="D932">
        <f>IF(Skills!C4=1,60+Inputs!$B$25+Inputs!$B$29,IF(Skills!C4=2,90+Inputs!$B$26+Inputs!$B$29,IF(Skills!C4=3,120+Inputs!$B$27+Inputs!$B$29,MAX(0,(Inputs!$B$3-100)*3)+Inputs!$B$28+Inputs!$B$29)))</f>
        <v/>
      </c>
      <c r="E932">
        <f>INDEX(FactorTable!$B$2:$Y$301, MATCH(ROUND(MIN(300,MAX(1,D932)),0), FactorTable!$A$2:$A$301,0), Skills!L4+1)</f>
        <v/>
      </c>
      <c r="F932">
        <f>IF(Skills!M4=TRUE,(Skills!K4/10)*(E932/1000),Skills!K4/10)+Skills!N4</f>
        <v/>
      </c>
      <c r="G932">
        <f>Calc!G4</f>
        <v/>
      </c>
      <c r="H932">
        <f>Calc!H4</f>
        <v/>
      </c>
      <c r="I932">
        <f>IF(Skills!T4&lt;&gt;"",1+(Skills!T4/10)*(Z931/1000)/100,1)</f>
        <v/>
      </c>
      <c r="J932" t="inlineStr"/>
      <c r="K932" t="inlineStr"/>
      <c r="L932" t="inlineStr"/>
      <c r="M932" t="inlineStr"/>
      <c r="N932" t="inlineStr"/>
      <c r="O932">
        <f>(1-Summary!$B$11)*S932+Summary!$B$11*U932</f>
        <v/>
      </c>
      <c r="P932">
        <f>IF(B964=0,0,O932/B964)</f>
        <v/>
      </c>
      <c r="Q932">
        <f>IFERROR(1/IF(Inputs!$B$38="pvp",15,MAX(0.1,Skills!D4-IF(Skills!E4=TRUE,(Inputs!$B$32+1),0))),0)</f>
        <v/>
      </c>
      <c r="R932">
        <f>IF(AND(Inputs!$B$38&lt;&gt;"pvp",Inputs!$B$43&gt;0),IF(Inputs!$B$43&lt;=0,0,(INT(Inputs!$B$43/IF(Inputs!$B$38="pvp",15,MAX(0.1,Skills!D4-IF(Skills!E4=TRUE,(Inputs!$B$32+1),0))))+1)),0)</f>
        <v/>
      </c>
      <c r="S932" t="n">
        <v>0</v>
      </c>
      <c r="T932">
        <f>290*T931/1000</f>
        <v/>
      </c>
      <c r="U932" t="n">
        <v>0</v>
      </c>
    </row>
    <row r="933">
      <c r="A933">
        <f>Skills!A5</f>
        <v/>
      </c>
      <c r="B933">
        <f>Skills!B5</f>
        <v/>
      </c>
      <c r="C933">
        <f>Inputs!$B$3&gt;=38</f>
        <v/>
      </c>
      <c r="D933">
        <f>IF(Skills!C5=1,60+Inputs!$B$25+Inputs!$B$29,IF(Skills!C5=2,90+Inputs!$B$26+Inputs!$B$29,IF(Skills!C5=3,120+Inputs!$B$27+Inputs!$B$29,MAX(0,(Inputs!$B$3-100)*3)+Inputs!$B$28+Inputs!$B$29)))</f>
        <v/>
      </c>
      <c r="E933">
        <f>INDEX(FactorTable!$B$2:$Y$301, MATCH(ROUND(MIN(300,MAX(1,D933)),0), FactorTable!$A$2:$A$301,0), Skills!L5+1)</f>
        <v/>
      </c>
      <c r="F933">
        <f>IF(Skills!M5=TRUE,(Skills!K5/10)*(E933/1000),Skills!K5/10)+Skills!N5</f>
        <v/>
      </c>
      <c r="G933">
        <f>Calc!G5</f>
        <v/>
      </c>
      <c r="H933">
        <f>Calc!H5</f>
        <v/>
      </c>
      <c r="I933">
        <f>IF(Skills!T5&lt;&gt;"",1+(Skills!T5/10)*(Z931/1000)/100,1)</f>
        <v/>
      </c>
      <c r="J933">
        <f>((Inputs!$B$6*(1+Inputs!$B$7/100))+(((Inputs!$B$12*(1+Inputs!$B$13/100))-(Inputs!$B$12*(1+Inputs!$B$13/100)))+0.25*(Inputs!$B$14-Inputs!$B$14))*(1+Inputs!$B$7/100))*(F933/100)</f>
        <v/>
      </c>
      <c r="K933">
        <f>J933*(1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F946-Calc!F18),(Inputs!$B$23+(IF(ArtifactsInput!$M$15,CHOOSE(ArtifactsInput!$N$15+1,25,30,35,40,45,50)/100*(Inputs!$B$11-Inputs!$B$11),0))))/100+(Inputs!$B$23+(IF(ArtifactsInput!$M$15,CHOOSE(ArtifactsInput!$N$15+1,25,30,35,40,45,50)/100*(Inputs!$B$11-Inputs!$B$11),0)))/100)/2</f>
        <v/>
      </c>
      <c r="M933">
        <f>L933*(1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(1-Summary!$B$11)*S933+Summary!$B$11*U933</f>
        <v/>
      </c>
      <c r="P933">
        <f>IF(B964=0,0,O933/B964)</f>
        <v/>
      </c>
      <c r="Q933">
        <f>IFERROR(1/IF(Inputs!$B$38="pvp",15,MAX(0.1,Skills!D5-IF(Skills!E5=TRUE,(Inputs!$B$32+1),0))),0)</f>
        <v/>
      </c>
      <c r="R933">
        <f>IF(AND(Inputs!$B$38&lt;&gt;"pvp",Inputs!$B$43&gt;0),IF(MAX(0,Inputs!$B$43-B961)&lt;=0,0,(INT(MAX(0,Inputs!$B$43-B961)/IF(Inputs!$B$38="pvp",15,MAX(0.1,Skills!D5-IF(Skills!E5=TRUE,(Inputs!$B$32+1),0))))+1)),0)</f>
        <v/>
      </c>
      <c r="S933">
        <f>IF(C933,(H933*N933*IF(AND(Inputs!$B$38&lt;&gt;"pvp",Inputs!$B$43&gt;0),((Skills!F5*((R933-1)*IF(Skills!G5&gt;0,Skills!H5/Skills!G5,1)+IF(Skills!G5&gt;0,MIN(Skills!H5,MAX(0,MAX(0,Inputs!$B$43-B961)-((R933-1)*IF(Inputs!$B$38="pvp",15,MAX(0.1,Skills!D5-IF(Skills!E5=TRUE,(Inputs!$B$32+1),0))))))/Skills!G5,1)))/Inputs!$B$43),G933*Q933))*IF(Inputs!$B$38="pvp",1,1+(Inputs!$B$20+Skills!O5+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933*(1-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IF(C933,(H933*N933*IF(AND(Inputs!$B$38&lt;&gt;"pvp",Inputs!$B$43&gt;0),((Skills!F5*((R933-1)*IF(Skills!G5&gt;0,Skills!H5/Skills!G5,1)+IF(Skills!G5&gt;0,MIN(Skills!H5,MAX(0,MAX(0,Inputs!$B$43-B961)-((R933-1)*IF(Inputs!$B$38="pvp",15,MAX(0.1,Skills!D5-IF(Skills!E5=TRUE,(Inputs!$B$32+1),0))))))/Skills!G5,1)))/Inputs!$B$43),G933*Q933))*IF(Inputs!$B$38="pvp",1,(1+(Inputs!$B$21+Skills!P5+B955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Skills!A6</f>
        <v/>
      </c>
      <c r="B934">
        <f>Skills!B6</f>
        <v/>
      </c>
      <c r="C934">
        <f>Inputs!$B$3&gt;=63</f>
        <v/>
      </c>
      <c r="D934">
        <f>IF(Skills!C6=1,60+Inputs!$B$25+Inputs!$B$29,IF(Skills!C6=2,90+Inputs!$B$26+Inputs!$B$29,IF(Skills!C6=3,120+Inputs!$B$27+Inputs!$B$29,MAX(0,(Inputs!$B$3-100)*3)+Inputs!$B$28+Inputs!$B$29)))</f>
        <v/>
      </c>
      <c r="E934">
        <f>INDEX(FactorTable!$B$2:$Y$301, MATCH(ROUND(MIN(300,MAX(1,D934)),0), FactorTable!$A$2:$A$301,0), Skills!L6+1)</f>
        <v/>
      </c>
      <c r="F934">
        <f>IF(Skills!M6=TRUE,(Skills!K6/10)*(E934/1000),Skills!K6/10)+Skills!N6</f>
        <v/>
      </c>
      <c r="G934">
        <f>Calc!G6</f>
        <v/>
      </c>
      <c r="H934">
        <f>Calc!H6</f>
        <v/>
      </c>
      <c r="I934">
        <f>IF(Skills!T6&lt;&gt;"",1+(Skills!T6/10)*(Z931/1000)/100,1)</f>
        <v/>
      </c>
      <c r="J934">
        <f>((Inputs!$B$6*(1+Inputs!$B$7/100))+(((Inputs!$B$12*(1+Inputs!$B$13/100))-(Inputs!$B$12*(1+Inputs!$B$13/100)))+0.25*(Inputs!$B$14-Inputs!$B$14))*(1+Inputs!$B$7/100))*(F934/100)</f>
        <v/>
      </c>
      <c r="K934">
        <f>J934*(1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946-Calc!F18),(Inputs!$B$23+(IF(ArtifactsInput!$M$15,CHOOSE(ArtifactsInput!$N$15+1,25,30,35,40,45,50)/100*(Inputs!$B$11-Inputs!$B$11),0))))/100+(Inputs!$B$23+(IF(ArtifactsInput!$M$15,CHOOSE(ArtifactsInput!$N$15+1,25,30,35,40,45,50)/100*(Inputs!$B$11-Inputs!$B$11),0)))/100)/2</f>
        <v/>
      </c>
      <c r="M934">
        <f>L934*(1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IF(B964=0,0,O934/B964)</f>
        <v/>
      </c>
      <c r="Q934">
        <f>IFERROR(1/IF(Inputs!$B$38="pvp",15,MAX(0.1,Skills!D6-IF(Skills!E6=TRUE,(Inputs!$B$32+1),0))),0)</f>
        <v/>
      </c>
      <c r="R934">
        <f>IF(AND(Inputs!$B$38&lt;&gt;"pvp",Inputs!$B$43&gt;0),IF(MAX(0,Inputs!$B$43-B961)&lt;=0,0,(INT(MAX(0,Inputs!$B$43-B961)/IF(Inputs!$B$38="pvp",15,MAX(0.1,Skills!D6-IF(Skills!E6=TRUE,(Inputs!$B$32+1),0))))+1)),0)</f>
        <v/>
      </c>
      <c r="S934">
        <f>IF(C934,(H934*N934*IF(AND(Inputs!$B$38&lt;&gt;"pvp",Inputs!$B$43&gt;0),((Skills!F6*((R934-1)*IF(Skills!G6&gt;0,Skills!H6/Skills!G6,1)+IF(Skills!G6&gt;0,MIN(Skills!H6,MAX(0,MAX(0,Inputs!$B$43-B961)-((R934-1)*IF(Inputs!$B$38="pvp",15,MAX(0.1,Skills!D6-IF(Skills!E6=TRUE,(Inputs!$B$32+1),0))))))/Skills!G6,1)))/Inputs!$B$43),G934*Q934))*IF(Inputs!$B$38="pvp",1,1+(Inputs!$B$20+Skills!O6+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F6*((R934-1)*IF(Skills!G6&gt;0,Skills!H6/Skills!G6,1)+IF(Skills!G6&gt;0,MIN(Skills!H6,MAX(0,MAX(0,Inputs!$B$43-B961)-((R934-1)*IF(Inputs!$B$38="pvp",15,MAX(0.1,Skills!D6-IF(Skills!E6=TRUE,(Inputs!$B$32+1),0))))))/Skills!G6,1)))/Inputs!$B$43),G934*Q934))*IF(Inputs!$B$38="pvp",1,(1+(Inputs!$B$21+Skills!P6+B955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5">
      <c r="A935">
        <f>Skills!A7</f>
        <v/>
      </c>
      <c r="B935">
        <f>Skills!B7</f>
        <v/>
      </c>
      <c r="C935">
        <f>Inputs!$B$3&gt;=69</f>
        <v/>
      </c>
      <c r="D935">
        <f>IF(Skills!C7=1,60+Inputs!$B$25+Inputs!$B$29,IF(Skills!C7=2,90+Inputs!$B$26+Inputs!$B$29,IF(Skills!C7=3,120+Inputs!$B$27+Inputs!$B$29,MAX(0,(Inputs!$B$3-100)*3)+Inputs!$B$28+Inputs!$B$29)))</f>
        <v/>
      </c>
      <c r="E935">
        <f>INDEX(FactorTable!$B$2:$Y$301, MATCH(ROUND(MIN(300,MAX(1,D935)),0), FactorTable!$A$2:$A$301,0), Skills!L7+1)</f>
        <v/>
      </c>
      <c r="F935">
        <f>IF(Skills!M7=TRUE,(Skills!K7/10)*(E935/1000),Skills!K7/10)+Skills!N7</f>
        <v/>
      </c>
      <c r="G935">
        <f>Calc!G7</f>
        <v/>
      </c>
      <c r="H935">
        <f>Calc!H7</f>
        <v/>
      </c>
      <c r="I935">
        <f>IF(Skills!T7&lt;&gt;"",1+(Skills!T7/10)*(Z931/1000)/100,1)</f>
        <v/>
      </c>
      <c r="J935">
        <f>((Inputs!$B$6*(1+Inputs!$B$7/100))+(((Inputs!$B$12*(1+Inputs!$B$13/100))-(Inputs!$B$12*(1+Inputs!$B$13/100)))+0.25*(Inputs!$B$14-Inputs!$B$14))*(1+Inputs!$B$7/100))*(F935/100)</f>
        <v/>
      </c>
      <c r="K935">
        <f>J935*(1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F946-Calc!F18),(Inputs!$B$23+(IF(ArtifactsInput!$M$15,CHOOSE(ArtifactsInput!$N$15+1,25,30,35,40,45,50)/100*(Inputs!$B$11-Inputs!$B$11),0))))/100+(Inputs!$B$23+(IF(ArtifactsInput!$M$15,CHOOSE(ArtifactsInput!$N$15+1,25,30,35,40,45,50)/100*(Inputs!$B$11-Inputs!$B$11),0)))/100)/2</f>
        <v/>
      </c>
      <c r="M935">
        <f>L935*(1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(1-Summary!$B$11)*S935+Summary!$B$11*U935</f>
        <v/>
      </c>
      <c r="P935">
        <f>IF(B964=0,0,O935/B964)</f>
        <v/>
      </c>
      <c r="Q935">
        <f>IFERROR(1/IF(Inputs!$B$38="pvp",15,MAX(0.1,Skills!D7-IF(Skills!E7=TRUE,(Inputs!$B$32+1),0))),0)</f>
        <v/>
      </c>
      <c r="R935">
        <f>IF(AND(Inputs!$B$38&lt;&gt;"pvp",Inputs!$B$43&gt;0),IF(MAX(0,Inputs!$B$43-B961)&lt;=0,0,(INT(MAX(0,Inputs!$B$43-B961)/IF(Inputs!$B$38="pvp",15,MAX(0.1,Skills!D7-IF(Skills!E7=TRUE,(Inputs!$B$32+1),0))))+1)),0)</f>
        <v/>
      </c>
      <c r="S935">
        <f>IF(C935,(H935*N935*IF(AND(Inputs!$B$38&lt;&gt;"pvp",Inputs!$B$43&gt;0),((Skills!F7*((R935-1)*IF(Skills!G7&gt;0,Skills!H7/Skills!G7,1)+IF(Skills!G7&gt;0,MIN(Skills!H7,MAX(0,MAX(0,Inputs!$B$43-B961)-((R935-1)*IF(Inputs!$B$38="pvp",15,MAX(0.1,Skills!D7-IF(Skills!E7=TRUE,(Inputs!$B$32+1),0))))))/Skills!G7,1)))/Inputs!$B$43),G935*Q935))*IF(Inputs!$B$38="pvp",1,1+(Inputs!$B$20+Skills!O7+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935*(1-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5">
        <f>IF(C935,(H935*N935*IF(AND(Inputs!$B$38&lt;&gt;"pvp",Inputs!$B$43&gt;0),((Skills!F7*((R935-1)*IF(Skills!G7&gt;0,Skills!H7/Skills!G7,1)+IF(Skills!G7&gt;0,MIN(Skills!H7,MAX(0,MAX(0,Inputs!$B$43-B961)-((R935-1)*IF(Inputs!$B$38="pvp",15,MAX(0.1,Skills!D7-IF(Skills!E7=TRUE,(Inputs!$B$32+1),0))))))/Skills!G7,1)))/Inputs!$B$43),G935*Q935))*IF(Inputs!$B$38="pvp",1,(1+(Inputs!$B$21+Skills!P7+B955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Skills!A8</f>
        <v/>
      </c>
      <c r="B936">
        <f>Skills!B8</f>
        <v/>
      </c>
      <c r="C936">
        <f>Inputs!$B$3&gt;=103</f>
        <v/>
      </c>
      <c r="D936">
        <f>IF(Skills!C8=1,60+Inputs!$B$25+Inputs!$B$29,IF(Skills!C8=2,90+Inputs!$B$26+Inputs!$B$29,IF(Skills!C8=3,120+Inputs!$B$27+Inputs!$B$29,MAX(0,(Inputs!$B$3-100)*3)+Inputs!$B$28+Inputs!$B$29)))</f>
        <v/>
      </c>
      <c r="E936">
        <f>INDEX(FactorTable!$B$2:$Y$301, MATCH(ROUND(MIN(300,MAX(1,D936)),0), FactorTable!$A$2:$A$301,0), Skills!L8+1)</f>
        <v/>
      </c>
      <c r="F936">
        <f>IF(Skills!M8=TRUE,(Skills!K8/10)*(E936/1000),Skills!K8/10)+Skills!N8</f>
        <v/>
      </c>
      <c r="G936">
        <f>Calc!G8</f>
        <v/>
      </c>
      <c r="H936">
        <f>Calc!H8</f>
        <v/>
      </c>
      <c r="I936">
        <f>IF(Skills!T8&lt;&gt;"",1+(Skills!T8/10)*(Z931/1000)/100,1)</f>
        <v/>
      </c>
      <c r="J936">
        <f>((Inputs!$B$6*(1+Inputs!$B$7/100))+(((Inputs!$B$12*(1+Inputs!$B$13/100))-(Inputs!$B$12*(1+Inputs!$B$13/100)))+0.25*(Inputs!$B$14-Inputs!$B$14))*(1+Inputs!$B$7/100))*(F936/100)</f>
        <v/>
      </c>
      <c r="K936">
        <f>J936*(1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F946-Calc!F18),(Inputs!$B$23+(IF(ArtifactsInput!$M$15,CHOOSE(ArtifactsInput!$N$15+1,25,30,35,40,45,50)/100*(Inputs!$B$11-Inputs!$B$11),0))))/100+(Inputs!$B$23+(IF(ArtifactsInput!$M$15,CHOOSE(ArtifactsInput!$N$15+1,25,30,35,40,45,50)/100*(Inputs!$B$11-Inputs!$B$11),0)))/100)/2</f>
        <v/>
      </c>
      <c r="M936">
        <f>L936*(1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(1-Summary!$B$11)*S936+Summary!$B$11*U936</f>
        <v/>
      </c>
      <c r="P936">
        <f>IF(B964=0,0,O936/B964)</f>
        <v/>
      </c>
      <c r="Q936">
        <f>IFERROR(1/IF(Inputs!$B$38="pvp",15,MAX(0.1,Skills!D8-IF(Skills!E8=TRUE,(Inputs!$B$32+1),0))),0)</f>
        <v/>
      </c>
      <c r="R936">
        <f>IF(AND(Inputs!$B$38&lt;&gt;"pvp",Inputs!$B$43&gt;0),IF(MAX(0,Inputs!$B$43-B961)&lt;=0,0,(INT(MAX(0,Inputs!$B$43-B961)/IF(Inputs!$B$38="pvp",15,MAX(0.1,Skills!D8-IF(Skills!E8=TRUE,(Inputs!$B$32+1),0))))+1)),0)</f>
        <v/>
      </c>
      <c r="S936">
        <f>IF(C936,(H936*N936*IF(AND(Inputs!$B$38&lt;&gt;"pvp",Inputs!$B$43&gt;0),((Skills!F8*((R936-1)*IF(Skills!G8&gt;0,Skills!H8/Skills!G8,1)+IF(Skills!G8&gt;0,MIN(Skills!H8,MAX(0,MAX(0,Inputs!$B$43-B961)-((R936-1)*IF(Inputs!$B$38="pvp",15,MAX(0.1,Skills!D8-IF(Skills!E8=TRUE,(Inputs!$B$32+1),0))))))/Skills!G8,1)))/Inputs!$B$43),G936*Q936))*IF(Inputs!$B$38="pvp",1,1+(Inputs!$B$20+Skills!O8+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936*(1-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6">
        <f>IF(C936,(H936*N936*IF(AND(Inputs!$B$38&lt;&gt;"pvp",Inputs!$B$43&gt;0),((Skills!F8*((R936-1)*IF(Skills!G8&gt;0,Skills!H8/Skills!G8,1)+IF(Skills!G8&gt;0,MIN(Skills!H8,MAX(0,MAX(0,Inputs!$B$43-B961)-((R936-1)*IF(Inputs!$B$38="pvp",15,MAX(0.1,Skills!D8-IF(Skills!E8=TRUE,(Inputs!$B$32+1),0))))))/Skills!G8,1)))/Inputs!$B$43),G936*Q936))*IF(Inputs!$B$38="pvp",1,(1+(Inputs!$B$21+Skills!P8+B955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Skills!A9</f>
        <v/>
      </c>
      <c r="B937">
        <f>Skills!B9</f>
        <v/>
      </c>
      <c r="C937">
        <f>Inputs!$B$3&gt;=105</f>
        <v/>
      </c>
      <c r="D937">
        <f>IF(Skills!C9=1,60+Inputs!$B$25+Inputs!$B$29,IF(Skills!C9=2,90+Inputs!$B$26+Inputs!$B$29,IF(Skills!C9=3,120+Inputs!$B$27+Inputs!$B$29,MAX(0,(Inputs!$B$3-100)*3)+Inputs!$B$28+Inputs!$B$29)))</f>
        <v/>
      </c>
      <c r="E937">
        <f>INDEX(FactorTable!$B$2:$Y$301, MATCH(ROUND(MIN(300,MAX(1,D937)),0), FactorTable!$A$2:$A$301,0), Skills!L9+1)</f>
        <v/>
      </c>
      <c r="F937">
        <f>IF(Skills!M9=TRUE,(Skills!K9/10)*(E937/1000),Skills!K9/10)+Skills!N9</f>
        <v/>
      </c>
      <c r="G937">
        <f>Calc!G9</f>
        <v/>
      </c>
      <c r="H937">
        <f>Calc!H9</f>
        <v/>
      </c>
      <c r="I937">
        <f>IF(Skills!T9&lt;&gt;"",1+(Skills!T9/10)*(Z931/1000)/100,1)</f>
        <v/>
      </c>
      <c r="J937">
        <f>((Inputs!$B$6*(1+Inputs!$B$7/100))+(((Inputs!$B$12*(1+Inputs!$B$13/100))-(Inputs!$B$12*(1+Inputs!$B$13/100)))+0.25*(Inputs!$B$14-Inputs!$B$14))*(1+Inputs!$B$7/100))*(F937/100)</f>
        <v/>
      </c>
      <c r="K937">
        <f>J937*(1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F946-Calc!F18),(Inputs!$B$23+(IF(ArtifactsInput!$M$15,CHOOSE(ArtifactsInput!$N$15+1,25,30,35,40,45,50)/100*(Inputs!$B$11-Inputs!$B$11),0))))/100+(Inputs!$B$23+(IF(ArtifactsInput!$M$15,CHOOSE(ArtifactsInput!$N$15+1,25,30,35,40,45,50)/100*(Inputs!$B$11-Inputs!$B$11),0)))/100)/2</f>
        <v/>
      </c>
      <c r="M937">
        <f>L937*(1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(1-Summary!$B$11)*S937+Summary!$B$11*U937</f>
        <v/>
      </c>
      <c r="P937">
        <f>IF(B964=0,0,O937/B964)</f>
        <v/>
      </c>
      <c r="Q937">
        <f>IFERROR(1/IF(Inputs!$B$38="pvp",15,MAX(0.1,Skills!D9-IF(Skills!E9=TRUE,(Inputs!$B$32+1),0))),0)</f>
        <v/>
      </c>
      <c r="R937">
        <f>IF(AND(Inputs!$B$38&lt;&gt;"pvp",Inputs!$B$43&gt;0),IF(MAX(0,Inputs!$B$43-B961)&lt;=0,0,(INT(MAX(0,Inputs!$B$43-B961)/IF(Inputs!$B$38="pvp",15,MAX(0.1,Skills!D9-IF(Skills!E9=TRUE,(Inputs!$B$32+1),0))))+1)),0)</f>
        <v/>
      </c>
      <c r="S937">
        <f>IF(C937,(H937*N937*IF(AND(Inputs!$B$38&lt;&gt;"pvp",Inputs!$B$43&gt;0),((Skills!F9*((R937-1)*IF(Skills!G9&gt;0,Skills!H9/Skills!G9,1)+IF(Skills!G9&gt;0,MIN(Skills!H9,MAX(0,MAX(0,Inputs!$B$43-B961)-((R937-1)*IF(Inputs!$B$38="pvp",15,MAX(0.1,Skills!D9-IF(Skills!E9=TRUE,(Inputs!$B$32+1),0))))))/Skills!G9,1)))/Inputs!$B$43),G937*Q937))*IF(Inputs!$B$38="pvp",1,1+(Inputs!$B$20+Skills!O9+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937*(1-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7">
        <f>IF(C937,(H937*N937*IF(AND(Inputs!$B$38&lt;&gt;"pvp",Inputs!$B$43&gt;0),((Skills!F9*((R937-1)*IF(Skills!G9&gt;0,Skills!H9/Skills!G9,1)+IF(Skills!G9&gt;0,MIN(Skills!H9,MAX(0,MAX(0,Inputs!$B$43-B961)-((R937-1)*IF(Inputs!$B$38="pvp",15,MAX(0.1,Skills!D9-IF(Skills!E9=TRUE,(Inputs!$B$32+1),0))))))/Skills!G9,1)))/Inputs!$B$43),G937*Q937))*IF(Inputs!$B$38="pvp",1,(1+(Inputs!$B$21+Skills!P9+B955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Skills!A10</f>
        <v/>
      </c>
      <c r="B938">
        <f>Skills!B10</f>
        <v/>
      </c>
      <c r="C938">
        <f>Inputs!$B$3&gt;=113</f>
        <v/>
      </c>
      <c r="D938">
        <f>IF(Skills!C10=1,60+Inputs!$B$25+Inputs!$B$29,IF(Skills!C10=2,90+Inputs!$B$26+Inputs!$B$29,IF(Skills!C10=3,120+Inputs!$B$27+Inputs!$B$29,MAX(0,(Inputs!$B$3-100)*3)+Inputs!$B$28+Inputs!$B$29)))</f>
        <v/>
      </c>
      <c r="E938">
        <f>INDEX(FactorTable!$B$2:$Y$301, MATCH(ROUND(MIN(300,MAX(1,D938)),0), FactorTable!$A$2:$A$301,0), Skills!L10+1)</f>
        <v/>
      </c>
      <c r="F938">
        <f>IF(Skills!M10=TRUE,(Skills!K10/10)*(E938/1000),Skills!K10/10)+Skills!N10</f>
        <v/>
      </c>
      <c r="G938">
        <f>Calc!G10</f>
        <v/>
      </c>
      <c r="H938">
        <f>Calc!H10</f>
        <v/>
      </c>
      <c r="I938">
        <f>IF(Skills!T10&lt;&gt;"",1+(Skills!T10/10)*(Z931/1000)/100,1)</f>
        <v/>
      </c>
      <c r="J938">
        <f>((Inputs!$B$6*(1+Inputs!$B$7/100))+(((Inputs!$B$12*(1+Inputs!$B$13/100))-(Inputs!$B$12*(1+Inputs!$B$13/100)))+0.25*(Inputs!$B$14-Inputs!$B$14))*(1+Inputs!$B$7/100))*(F938/100)</f>
        <v/>
      </c>
      <c r="K938">
        <f>J938*(1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F946-Calc!F18),(Inputs!$B$23+(IF(ArtifactsInput!$M$15,CHOOSE(ArtifactsInput!$N$15+1,25,30,35,40,45,50)/100*(Inputs!$B$11-Inputs!$B$11),0))))/100+(Inputs!$B$23+(IF(ArtifactsInput!$M$15,CHOOSE(ArtifactsInput!$N$15+1,25,30,35,40,45,50)/100*(Inputs!$B$11-Inputs!$B$11),0)))/100)/2</f>
        <v/>
      </c>
      <c r="M938">
        <f>L938*(1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(1-Summary!$B$11)*S938+Summary!$B$11*U938</f>
        <v/>
      </c>
      <c r="P938">
        <f>IF(B964=0,0,O938/B964)</f>
        <v/>
      </c>
      <c r="Q938">
        <f>IFERROR(1/IF(Inputs!$B$38="pvp",15,MAX(0.1,Skills!D10-IF(Skills!E9=TRUE,(Inputs!$B$32+1),0))),0)</f>
        <v/>
      </c>
      <c r="R938">
        <f>IF(AND(Inputs!$B$38&lt;&gt;"pvp",Inputs!$B$43&gt;0),IF(MAX(0,Inputs!$B$43-B961)&lt;=0,0,(INT(MAX(0,Inputs!$B$43-B961)/IF(Inputs!$B$38="pvp",15,MAX(0.1,Skills!D10-IF(Skills!E9=TRUE,(Inputs!$B$32+1),0))))+1)),0)</f>
        <v/>
      </c>
      <c r="S938">
        <f>IF(C938,(H938*N938*IF(AND(Inputs!$B$38&lt;&gt;"pvp",Inputs!$B$43&gt;0),((Skills!F10*((R938-1)*IF(Skills!G10&gt;0,Skills!H10/Skills!G10,1)+IF(Skills!G10&gt;0,MIN(Skills!H10,MAX(0,MAX(0,Inputs!$B$43-B961)-((R938-1)*IF(Inputs!$B$38="pvp",15,MAX(0.1,Skills!D10-IF(Skills!E9=TRUE,(Inputs!$B$32+1),0))))))/Skills!G10,1)))/Inputs!$B$43),G938*Q938))*IF(Inputs!$B$38="pvp",1,1+(Inputs!$B$20+Skills!O10+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938*(1-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8">
        <f>IF(C938,(H938*N938*IF(AND(Inputs!$B$38&lt;&gt;"pvp",Inputs!$B$43&gt;0),((Skills!F10*((R938-1)*IF(Skills!G10&gt;0,Skills!H10/Skills!G10,1)+IF(Skills!G10&gt;0,MIN(Skills!H10,MAX(0,MAX(0,Inputs!$B$43-B961)-((R938-1)*IF(Inputs!$B$38="pvp",15,MAX(0.1,Skills!D10-IF(Skills!E9=TRUE,(Inputs!$B$32+1),0))))))/Skills!G10,1)))/Inputs!$B$43),G938*Q938))*IF(Inputs!$B$38="pvp",1,(1+(Inputs!$B$21+Skills!P10+B955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Skills!A11</f>
        <v/>
      </c>
      <c r="B939">
        <f>Skills!B11</f>
        <v/>
      </c>
      <c r="C939">
        <f>Inputs!$B$3&gt;=107</f>
        <v/>
      </c>
      <c r="D939">
        <f>IF(Skills!C11=1,60+Inputs!$B$25+Inputs!$B$29,IF(Skills!C11=2,90+Inputs!$B$26+Inputs!$B$29,IF(Skills!C11=3,120+Inputs!$B$27+Inputs!$B$29,MAX(0,(Inputs!$B$3-100)*3)+Inputs!$B$28+Inputs!$B$29)))</f>
        <v/>
      </c>
      <c r="E939">
        <f>INDEX(FactorTable!$B$2:$Y$301, MATCH(ROUND(MIN(300,MAX(1,D939)),0), FactorTable!$A$2:$A$301,0), Skills!L11+1)</f>
        <v/>
      </c>
      <c r="F939">
        <f>IF(Skills!M11=TRUE,(Skills!K11/10)*(E939/1000),Skills!K11/10)+Skills!N11</f>
        <v/>
      </c>
      <c r="G939">
        <f>Calc!G11</f>
        <v/>
      </c>
      <c r="H939">
        <f>Calc!H11</f>
        <v/>
      </c>
      <c r="I939">
        <f>IF(Skills!T11&lt;&gt;"",1+(Skills!T11/10)*(Z931/1000)/100,1)</f>
        <v/>
      </c>
      <c r="J939">
        <f>((Inputs!$B$6*(1+Inputs!$B$7/100))+(((Inputs!$B$12*(1+Inputs!$B$13/100))-(Inputs!$B$12*(1+Inputs!$B$13/100)))+0.25*(Inputs!$B$14-Inputs!$B$14))*(1+Inputs!$B$7/100))*(F939/100)</f>
        <v/>
      </c>
      <c r="K939">
        <f>J939*(1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F946-Calc!F18),(Inputs!$B$23+(IF(ArtifactsInput!$M$15,CHOOSE(ArtifactsInput!$N$15+1,25,30,35,40,45,50)/100*(Inputs!$B$11-Inputs!$B$11),0))))/100+(Inputs!$B$23+(IF(ArtifactsInput!$M$15,CHOOSE(ArtifactsInput!$N$15+1,25,30,35,40,45,50)/100*(Inputs!$B$11-Inputs!$B$11),0)))/100)/2</f>
        <v/>
      </c>
      <c r="M939">
        <f>L939*(1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(1-Summary!$B$11)*S939+Summary!$B$11*U939</f>
        <v/>
      </c>
      <c r="P939">
        <f>IF(B964=0,0,O939/B964)</f>
        <v/>
      </c>
      <c r="Q939">
        <f>IFERROR(1/IF(Inputs!$B$38="pvp",15,MAX(0.1,Skills!D11-IF(Skills!E11=TRUE,(Inputs!$B$32+1),0))),0)</f>
        <v/>
      </c>
      <c r="R939">
        <f>IF(AND(Inputs!$B$38&lt;&gt;"pvp",Inputs!$B$43&gt;0),IF(MAX(0,Inputs!$B$43-B961)&lt;=0,0,(INT(MAX(0,Inputs!$B$43-B961)/IF(Inputs!$B$38="pvp",15,MAX(0.1,Skills!D11-IF(Skills!E11=TRUE,(Inputs!$B$32+1),0))))+1)),0)</f>
        <v/>
      </c>
      <c r="S939">
        <f>IF(C939,H939*N939*IF(AND(Inputs!$B$38&lt;&gt;"pvp",Inputs!$B$43&gt;0),((Skills!F11*((R939-1)*IF(Skills!G11&gt;0,Skills!H11/Skills!G11,1)+IF(Skills!G11&gt;0,MIN(Skills!H11,MAX(0,MAX(0,Inputs!$B$43-B961)-((R939-1)*IF(Inputs!$B$38="pvp",15,MAX(0.1,Skills!D11-IF(Skills!E11=TRUE,(Inputs!$B$32+1),0))))))/Skills!G11,1)))/Inputs!$B$43),G939*Q939)*0.5*IF(Inputs!$B$38="pvp",1,1+(Inputs!$B$20+Skills!O11+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939*(1-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9">
        <f>IF(C939,H939*N939*IF(AND(Inputs!$B$38&lt;&gt;"pvp",Inputs!$B$43&gt;0),((Skills!F11*((R939-1)*IF(Skills!G11&gt;0,Skills!H11/Skills!G11,1)+IF(Skills!G11&gt;0,MIN(Skills!H11,MAX(0,MAX(0,Inputs!$B$43-B961)-((R939-1)*IF(Inputs!$B$38="pvp",15,MAX(0.1,Skills!D11-IF(Skills!E11=TRUE,(Inputs!$B$32+1),0))))))/Skills!G11,1)))/Inputs!$B$43),G939*Q939)*1*IF(Inputs!$B$38="pvp",1,(1+(Inputs!$B$21+Skills!P11+B955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Skills!A12</f>
        <v/>
      </c>
      <c r="B940">
        <f>Skills!B12</f>
        <v/>
      </c>
      <c r="C940">
        <f>Inputs!$B$3&gt;=115</f>
        <v/>
      </c>
      <c r="D940">
        <f>IF(Skills!C12=1,60+Inputs!$B$25+Inputs!$B$29,IF(Skills!C12=2,90+Inputs!$B$26+Inputs!$B$29,IF(Skills!C12=3,120+Inputs!$B$27+Inputs!$B$29,MAX(0,(Inputs!$B$3-100)*3)+Inputs!$B$28+Inputs!$B$29)))</f>
        <v/>
      </c>
      <c r="E940">
        <f>INDEX(FactorTable!$B$2:$Y$301, MATCH(ROUND(MIN(300,MAX(1,D940)),0), FactorTable!$A$2:$A$301,0), Skills!L12+1)</f>
        <v/>
      </c>
      <c r="F940">
        <f>IF(Skills!M12=TRUE,(Skills!K12/10)*(E940/1000),Skills!K12/10)+Skills!N12</f>
        <v/>
      </c>
      <c r="G940">
        <f>Calc!G12</f>
        <v/>
      </c>
      <c r="H940">
        <f>Calc!H12</f>
        <v/>
      </c>
      <c r="I940">
        <f>IF(Skills!T12&lt;&gt;"",1+(Skills!T12/10)*(Z931/1000)/100,1)</f>
        <v/>
      </c>
      <c r="J940">
        <f>((Inputs!$B$6*(1+Inputs!$B$7/100))+(((Inputs!$B$12*(1+Inputs!$B$13/100))-(Inputs!$B$12*(1+Inputs!$B$13/100)))+0.25*(Inputs!$B$14-Inputs!$B$14))*(1+Inputs!$B$7/100))*(F940/100)</f>
        <v/>
      </c>
      <c r="K940">
        <f>J940*(1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F946-Calc!F18),(Inputs!$B$23+(IF(ArtifactsInput!$M$15,CHOOSE(ArtifactsInput!$N$15+1,25,30,35,40,45,50)/100*(Inputs!$B$11-Inputs!$B$11),0))))/100+(Inputs!$B$23+(IF(ArtifactsInput!$M$15,CHOOSE(ArtifactsInput!$N$15+1,25,30,35,40,45,50)/100*(Inputs!$B$11-Inputs!$B$11),0)))/100)/2</f>
        <v/>
      </c>
      <c r="M940">
        <f>L940*(1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(1-Summary!$B$11)*S940+Summary!$B$11*U940</f>
        <v/>
      </c>
      <c r="P940">
        <f>IF(B964=0,0,O940/B964)</f>
        <v/>
      </c>
      <c r="Q940">
        <f>IFERROR(1/IF(Inputs!$B$38="pvp",15,MAX(0.1,Skills!D12-IF(Skills!E12=TRUE,(Inputs!$B$32+1),0))),0)</f>
        <v/>
      </c>
      <c r="R940">
        <f>IF(AND(Inputs!$B$38&lt;&gt;"pvp",Inputs!$B$43&gt;0),IF(MAX(0,Inputs!$B$43-B961)&lt;=0,0,(INT(MAX(0,Inputs!$B$43-B961)/IF(Inputs!$B$38="pvp",15,MAX(0.1,Skills!D12-IF(Skills!E12=TRUE,(Inputs!$B$32+1),0))))+1)),0)</f>
        <v/>
      </c>
      <c r="S940">
        <f>IF(C940,(H940*N940*IF(AND(Inputs!$B$38&lt;&gt;"pvp",Inputs!$B$43&gt;0),((Skills!F12*((R940-1)*IF(Skills!G12&gt;0,Skills!H12/Skills!G12,1)+IF(Skills!G12&gt;0,MIN(Skills!H12,MAX(0,MAX(0,Inputs!$B$43-B961)-((R940-1)*IF(Inputs!$B$38="pvp",15,MAX(0.1,Skills!D12-IF(Skills!E12=TRUE,(Inputs!$B$32+1),0))))))/Skills!G12,1)))/Inputs!$B$43),G940*Q940))*IF(Inputs!$B$38="pvp",1,1+(Inputs!$B$20+Skills!O12+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0">
        <f>IF(C940,(H940*N940*IF(AND(Inputs!$B$38&lt;&gt;"pvp",Inputs!$B$43&gt;0),((Skills!F12*((R940-1)*IF(Skills!G12&gt;0,Skills!H12/Skills!G12,1)+IF(Skills!G12&gt;0,MIN(Skills!H12,MAX(0,MAX(0,Inputs!$B$43-B961)-((R940-1)*IF(Inputs!$B$38="pvp",15,MAX(0.1,Skills!D12-IF(Skills!E12=TRUE,(Inputs!$B$32+1),0))))))/Skills!G12,1)))/Inputs!$B$43),G940*Q940))*IF(Inputs!$B$38="pvp",1,(1+(Inputs!$B$21+Skills!P12+B955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Skills!A13</f>
        <v/>
      </c>
      <c r="B941">
        <f>Skills!B13</f>
        <v/>
      </c>
      <c r="C941">
        <f>Inputs!$B$3&gt;=49</f>
        <v/>
      </c>
      <c r="D941">
        <f>IF(Skills!C13=1,60+Inputs!$B$25+Inputs!$B$29,IF(Skills!C13=2,90+Inputs!$B$26+Inputs!$B$29,IF(Skills!C13=3,120+Inputs!$B$27+Inputs!$B$29,MAX(0,(Inputs!$B$3-100)*3)+Inputs!$B$28+Inputs!$B$29)))</f>
        <v/>
      </c>
      <c r="E941">
        <f>INDEX(FactorTable!$B$2:$Y$301, MATCH(ROUND(MIN(300,MAX(1,D941)),0), FactorTable!$A$2:$A$301,0), Skills!L13+1)</f>
        <v/>
      </c>
      <c r="F941">
        <f>IF(Skills!M13=TRUE,(Skills!K13/10)*(E941/1000),Skills!K13/10)+Skills!N13</f>
        <v/>
      </c>
      <c r="G941">
        <f>Calc!G13</f>
        <v/>
      </c>
      <c r="H941">
        <f>Calc!H13</f>
        <v/>
      </c>
      <c r="I941">
        <f>IF(Skills!T13&lt;&gt;"",1+(Skills!T13/10)*(Z931/1000)/100,1)</f>
        <v/>
      </c>
      <c r="J941" t="inlineStr"/>
      <c r="K941" t="inlineStr"/>
      <c r="L941" t="inlineStr"/>
      <c r="M941" t="inlineStr"/>
      <c r="N941" t="inlineStr"/>
      <c r="O941">
        <f>(1-Summary!$B$11)*S941+Summary!$B$11*U941</f>
        <v/>
      </c>
      <c r="P941">
        <f>IF(B964=0,0,O941/B964)</f>
        <v/>
      </c>
      <c r="Q941">
        <f>IFERROR(1/IF(Inputs!$B$38="pvp",15,MAX(0.1,Skills!D13-IF(Skills!E13=TRUE,(Inputs!$B$32+1),0))),0)</f>
        <v/>
      </c>
      <c r="R941" t="n">
        <v>0</v>
      </c>
      <c r="S941" t="n">
        <v>0</v>
      </c>
      <c r="U941" t="n">
        <v>0</v>
      </c>
    </row>
    <row r="942">
      <c r="A942">
        <f>Skills!A14</f>
        <v/>
      </c>
      <c r="B942">
        <f>Skills!B14</f>
        <v/>
      </c>
      <c r="C942">
        <f>Inputs!$B$3&gt;=72</f>
        <v/>
      </c>
      <c r="D942">
        <f>IF(Skills!C14=1,60+Inputs!$B$25+Inputs!$B$29,IF(Skills!C14=2,90+Inputs!$B$26+Inputs!$B$29,IF(Skills!C14=3,120+Inputs!$B$27+Inputs!$B$29,MAX(0,(Inputs!$B$3-100)*3)+Inputs!$B$28+Inputs!$B$29)))</f>
        <v/>
      </c>
      <c r="E942">
        <f>INDEX(FactorTable!$B$2:$Y$301, MATCH(ROUND(MIN(300,MAX(1,D942)),0), FactorTable!$A$2:$A$301,0), Skills!L14+1)</f>
        <v/>
      </c>
      <c r="F942">
        <f>IF(Skills!M14=TRUE,(Skills!K14/10)*(E942/1000),Skills!K14/10)+Skills!N14</f>
        <v/>
      </c>
      <c r="G942">
        <f>Calc!G14</f>
        <v/>
      </c>
      <c r="H942">
        <f>Calc!H14</f>
        <v/>
      </c>
      <c r="I942">
        <f>IF(Skills!T14&lt;&gt;"",1+(Skills!T14/10)*(Z931/1000)/100,1)</f>
        <v/>
      </c>
      <c r="J942" t="inlineStr"/>
      <c r="K942" t="inlineStr"/>
      <c r="L942" t="inlineStr"/>
      <c r="M942" t="inlineStr"/>
      <c r="N942" t="inlineStr"/>
      <c r="O942">
        <f>(1-Summary!$B$11)*S942+Summary!$B$11*U942</f>
        <v/>
      </c>
      <c r="P942">
        <f>IF(B964=0,0,O942/B964)</f>
        <v/>
      </c>
      <c r="Q942">
        <f>IFERROR(1/IF(Inputs!$B$38="pvp",15,MAX(0.1,Skills!D14-IF(Skills!E14=TRUE,(Inputs!$B$32+1),0))),0)</f>
        <v/>
      </c>
      <c r="R942" t="n">
        <v>0</v>
      </c>
      <c r="S942" t="n">
        <v>0</v>
      </c>
      <c r="U942" t="n">
        <v>0</v>
      </c>
    </row>
    <row r="943">
      <c r="A943">
        <f>Skills!A15</f>
        <v/>
      </c>
      <c r="B943">
        <f>Skills!B15</f>
        <v/>
      </c>
      <c r="C943">
        <f>Inputs!$B$3&gt;=75</f>
        <v/>
      </c>
      <c r="D943">
        <f>IF(Skills!C15=1,60+Inputs!$B$25+Inputs!$B$29,IF(Skills!C15=2,90+Inputs!$B$26+Inputs!$B$29,IF(Skills!C15=3,120+Inputs!$B$27+Inputs!$B$29,MAX(0,(Inputs!$B$3-100)*3)+Inputs!$B$28+Inputs!$B$29)))</f>
        <v/>
      </c>
      <c r="E943">
        <f>INDEX(FactorTable!$B$2:$Y$301, MATCH(ROUND(MIN(300,MAX(1,D943)),0), FactorTable!$A$2:$A$301,0), Skills!L15+1)</f>
        <v/>
      </c>
      <c r="F943">
        <f>IF(Skills!M15=TRUE,(Skills!K15/10)*(E943/1000),Skills!K15/10)+Skills!N15</f>
        <v/>
      </c>
      <c r="G943">
        <f>Calc!G15</f>
        <v/>
      </c>
      <c r="H943">
        <f>Calc!H15</f>
        <v/>
      </c>
      <c r="I943">
        <f>IF(Skills!T15&lt;&gt;"",1+(Skills!T15/10)*(Z931/1000)/100,1)</f>
        <v/>
      </c>
      <c r="J943" t="inlineStr"/>
      <c r="K943" t="inlineStr"/>
      <c r="L943" t="inlineStr"/>
      <c r="M943" t="inlineStr"/>
      <c r="N943" t="inlineStr"/>
      <c r="O943">
        <f>(1-Summary!$B$11)*S943+Summary!$B$11*U943</f>
        <v/>
      </c>
      <c r="P943">
        <f>IF(B964=0,0,O943/B964)</f>
        <v/>
      </c>
      <c r="Q943">
        <f>IFERROR(1/IF(Inputs!$B$38="pvp",15,MAX(0.1,Skills!D15-IF(Skills!E15=TRUE,(Inputs!$B$32+1),0))),0)</f>
        <v/>
      </c>
      <c r="R943" t="n">
        <v>0</v>
      </c>
      <c r="S943" t="n">
        <v>0</v>
      </c>
      <c r="U943" t="n">
        <v>0</v>
      </c>
    </row>
    <row r="944">
      <c r="A944">
        <f>Skills!A16</f>
        <v/>
      </c>
      <c r="B944">
        <f>Skills!B16</f>
        <v/>
      </c>
      <c r="C944">
        <f>Inputs!$B$3&gt;=110</f>
        <v/>
      </c>
      <c r="D944">
        <f>IF(Skills!C16=1,60+Inputs!$B$25+Inputs!$B$29,IF(Skills!C16=2,90+Inputs!$B$26+Inputs!$B$29,IF(Skills!C16=3,120+Inputs!$B$27+Inputs!$B$29,MAX(0,(Inputs!$B$3-100)*3)+Inputs!$B$28+Inputs!$B$29)))</f>
        <v/>
      </c>
      <c r="E944">
        <f>INDEX(FactorTable!$B$2:$Y$301, MATCH(ROUND(MIN(300,MAX(1,D944)),0), FactorTable!$A$2:$A$301,0), Skills!L16+1)</f>
        <v/>
      </c>
      <c r="F944">
        <f>(Skills!K16/10)*(E944/1000)*64/45+Skills!N16</f>
        <v/>
      </c>
      <c r="G944">
        <f>Calc!G16</f>
        <v/>
      </c>
      <c r="H944">
        <f>Calc!H16</f>
        <v/>
      </c>
      <c r="I944">
        <f>IF(Skills!T16&lt;&gt;"",1+(Skills!T16/10)*(Z931/1000)/100,1)</f>
        <v/>
      </c>
      <c r="J944" t="inlineStr"/>
      <c r="K944" t="inlineStr"/>
      <c r="L944" t="inlineStr"/>
      <c r="M944" t="inlineStr"/>
      <c r="N944" t="inlineStr"/>
      <c r="O944">
        <f>(1-Summary!$B$11)*S944+Summary!$B$11*U944</f>
        <v/>
      </c>
      <c r="P944">
        <f>IF(B964=0,0,O944/B964)</f>
        <v/>
      </c>
      <c r="Q944">
        <f>IFERROR(1/IF(Inputs!$B$38="pvp",15,MAX(0.1,Skills!D16-IF(Skills!E16=TRUE,(Inputs!$B$32+1),0))),0)</f>
        <v/>
      </c>
      <c r="R944">
        <f>IF(AND(Inputs!$B$38&lt;&gt;"pvp",Inputs!$B$43&gt;0),IF(Inputs!$B$43&lt;=0,0,(INT(Inputs!$B$43/IF(Inputs!$B$38="pvp",15,MAX(0.1,Skills!D16-IF(Skills!E16=TRUE,(Inputs!$B$32+1),0))))+1)),0)</f>
        <v/>
      </c>
      <c r="S944" t="n">
        <v>0</v>
      </c>
      <c r="U944" t="n">
        <v>0</v>
      </c>
    </row>
    <row r="945">
      <c r="A945">
        <f>Skills!A17</f>
        <v/>
      </c>
      <c r="B945">
        <f>Skills!B17</f>
        <v/>
      </c>
      <c r="C945">
        <f>Inputs!$B$3&gt;=33</f>
        <v/>
      </c>
      <c r="D945">
        <f>IF(Skills!C17=1,60+Inputs!$B$25+Inputs!$B$29,IF(Skills!C17=2,90+Inputs!$B$26+Inputs!$B$29,IF(Skills!C17=3,120+Inputs!$B$27+Inputs!$B$29,MAX(0,(Inputs!$B$3-100)*3)+Inputs!$B$28+Inputs!$B$29)))</f>
        <v/>
      </c>
      <c r="E945">
        <f>INDEX(FactorTable!$B$2:$Y$301, MATCH(ROUND(MIN(300,MAX(1,D945)),0), FactorTable!$A$2:$A$301,0), Skills!L17+1)</f>
        <v/>
      </c>
      <c r="F945">
        <f>IF(Skills!M17=TRUE,(Skills!K17/10)*(E945/1000),Skills!K17/10)+Skills!N17</f>
        <v/>
      </c>
      <c r="G945">
        <f>Calc!G17</f>
        <v/>
      </c>
      <c r="H945">
        <f>Calc!H17</f>
        <v/>
      </c>
      <c r="I945">
        <f>IF(Skills!T17&lt;&gt;"",1+(Skills!T17/10)*(Z931/1000)/100,1)</f>
        <v/>
      </c>
      <c r="J945" t="inlineStr"/>
      <c r="K945" t="inlineStr"/>
      <c r="L945" t="inlineStr"/>
      <c r="M945" t="inlineStr"/>
      <c r="N945" t="inlineStr"/>
      <c r="O945">
        <f>(1-Summary!$B$11)*S945+Summary!$B$11*U945</f>
        <v/>
      </c>
      <c r="P945">
        <f>IF(B964=0,0,O945/B964)</f>
        <v/>
      </c>
      <c r="Q945">
        <f>IFERROR(1/IF(Inputs!$B$38="pvp",15,MAX(0.1,Skills!D17-IF(Skills!E17=TRUE,(Inputs!$B$32+1),0))),0)</f>
        <v/>
      </c>
      <c r="R945" t="n">
        <v>0</v>
      </c>
      <c r="S945" t="n">
        <v>0</v>
      </c>
      <c r="U945" t="n">
        <v>0</v>
      </c>
    </row>
    <row r="946">
      <c r="A946">
        <f>Skills!A18</f>
        <v/>
      </c>
      <c r="B946">
        <f>Skills!B18</f>
        <v/>
      </c>
      <c r="C946">
        <f>Inputs!$B$3&gt;=43</f>
        <v/>
      </c>
      <c r="D946">
        <f>IF(Skills!C18=1,60+Inputs!$B$25+Inputs!$B$29,IF(Skills!C18=2,90+Inputs!$B$26+Inputs!$B$29,IF(Skills!C18=3,120+Inputs!$B$27+Inputs!$B$29,MAX(0,(Inputs!$B$3-100)*3)+Inputs!$B$28+Inputs!$B$29)))</f>
        <v/>
      </c>
      <c r="E946">
        <f>INDEX(FactorTable!$B$2:$Y$301, MATCH(ROUND(MIN(300,MAX(1,D946)),0), FactorTable!$A$2:$A$301,0), Skills!L18+1)</f>
        <v/>
      </c>
      <c r="F946">
        <f>IF(Skills!M18=TRUE,(Skills!K18/10)*(E946/1000),Skills!K18/10)+Skills!N18</f>
        <v/>
      </c>
      <c r="G946">
        <f>Calc!G18</f>
        <v/>
      </c>
      <c r="H946">
        <f>Calc!H18</f>
        <v/>
      </c>
      <c r="I946">
        <f>IF(Skills!T18&lt;&gt;"",1+(Skills!T18/10)*(Z931/1000)/100,1)</f>
        <v/>
      </c>
      <c r="J946" t="inlineStr"/>
      <c r="K946" t="inlineStr"/>
      <c r="L946" t="inlineStr"/>
      <c r="M946" t="inlineStr"/>
      <c r="N946" t="inlineStr"/>
      <c r="O946">
        <f>(1-Summary!$B$11)*S946+Summary!$B$11*U946</f>
        <v/>
      </c>
      <c r="P946">
        <f>IF(B964=0,0,O946/B964)</f>
        <v/>
      </c>
      <c r="Q946">
        <f>IFERROR(1/IF(Inputs!$B$38="pvp",15,MAX(0.1,Skills!D18-IF(Skills!E18=TRUE,(Inputs!$B$32+1),0))),0)</f>
        <v/>
      </c>
      <c r="R946" t="n">
        <v>0</v>
      </c>
      <c r="S946" t="n">
        <v>0</v>
      </c>
      <c r="U946" t="n">
        <v>0</v>
      </c>
    </row>
    <row r="947">
      <c r="A947">
        <f>Skills!A19</f>
        <v/>
      </c>
      <c r="B947">
        <f>Skills!B19</f>
        <v/>
      </c>
      <c r="C947">
        <f>Inputs!$B$3&gt;=50</f>
        <v/>
      </c>
      <c r="D947">
        <f>IF(Skills!C19=1,60+Inputs!$B$25+Inputs!$B$29,IF(Skills!C19=2,90+Inputs!$B$26+Inputs!$B$29,IF(Skills!C19=3,120+Inputs!$B$27+Inputs!$B$29,MAX(0,(Inputs!$B$3-100)*3)+Inputs!$B$28+Inputs!$B$29)))</f>
        <v/>
      </c>
      <c r="E947">
        <f>INDEX(FactorTable!$B$2:$Y$301, MATCH(ROUND(MIN(300,MAX(1,D947)),0), FactorTable!$A$2:$A$301,0), Skills!L19+1)</f>
        <v/>
      </c>
      <c r="F947">
        <f>IF(Skills!M19=TRUE,(Skills!K19/10)*(E947/1000),Skills!K19/10)+Skills!N19</f>
        <v/>
      </c>
      <c r="G947">
        <f>Calc!G19</f>
        <v/>
      </c>
      <c r="H947">
        <f>Calc!H19</f>
        <v/>
      </c>
      <c r="I947">
        <f>IF(Skills!T19&lt;&gt;"",1+(Skills!T19/10)*(Z931/1000)/100,1)</f>
        <v/>
      </c>
      <c r="J947" t="inlineStr"/>
      <c r="K947" t="inlineStr"/>
      <c r="L947" t="inlineStr"/>
      <c r="M947" t="inlineStr"/>
      <c r="N947" t="inlineStr"/>
      <c r="O947">
        <f>(1-Summary!$B$11)*S947+Summary!$B$11*U947</f>
        <v/>
      </c>
      <c r="P947">
        <f>IF(B964=0,0,O947/B964)</f>
        <v/>
      </c>
      <c r="Q947">
        <f>IFERROR(1/IF(Inputs!$B$38="pvp",15,MAX(0.1,Skills!D19-IF(Skills!E19=TRUE,(Inputs!$B$32+1),0))),0)</f>
        <v/>
      </c>
      <c r="R947" t="n">
        <v>0</v>
      </c>
      <c r="S947" t="n">
        <v>0</v>
      </c>
      <c r="U947" t="n">
        <v>0</v>
      </c>
    </row>
    <row r="948">
      <c r="A948">
        <f>Skills!A20</f>
        <v/>
      </c>
      <c r="B948">
        <f>Skills!B20</f>
        <v/>
      </c>
      <c r="C948">
        <f>Inputs!$B$3&gt;=74</f>
        <v/>
      </c>
      <c r="D948">
        <f>IF(Skills!C20=1,60+Inputs!$B$25+Inputs!$B$29,IF(Skills!C20=2,90+Inputs!$B$26+Inputs!$B$29,IF(Skills!C20=3,120+Inputs!$B$27+Inputs!$B$29,MAX(0,(Inputs!$B$3-100)*3)+Inputs!$B$28+Inputs!$B$29)))</f>
        <v/>
      </c>
      <c r="E948">
        <f>INDEX(FactorTable!$B$2:$Y$301, MATCH(ROUND(MIN(300,MAX(1,D948)),0), FactorTable!$A$2:$A$301,0), Skills!L20+1)</f>
        <v/>
      </c>
      <c r="F948">
        <f>IF(Skills!M20=TRUE,(Skills!K20/10)*(E948/1000),Skills!K20/10)+Skills!N20</f>
        <v/>
      </c>
      <c r="G948">
        <f>Calc!G20</f>
        <v/>
      </c>
      <c r="H948">
        <f>Calc!H20</f>
        <v/>
      </c>
      <c r="I948">
        <f>IF(Skills!T20&lt;&gt;"",1+(Skills!T20/10)*(Z931/1000)/100,1)</f>
        <v/>
      </c>
      <c r="J948" t="inlineStr"/>
      <c r="K948" t="inlineStr"/>
      <c r="L948" t="inlineStr"/>
      <c r="M948" t="inlineStr"/>
      <c r="N948" t="inlineStr"/>
      <c r="O948">
        <f>(1-Summary!$B$11)*S948+Summary!$B$11*U948</f>
        <v/>
      </c>
      <c r="P948">
        <f>IF(B964=0,0,O948/B964)</f>
        <v/>
      </c>
      <c r="Q948">
        <f>IFERROR(1/IF(Inputs!$B$38="pvp",15,MAX(0.1,Skills!D20-IF(Skills!E20=TRUE,(Inputs!$B$32+1),0))),0)</f>
        <v/>
      </c>
      <c r="R948" t="n">
        <v>0</v>
      </c>
      <c r="S948" t="n">
        <v>0</v>
      </c>
      <c r="U948" t="n">
        <v>0</v>
      </c>
    </row>
    <row r="949">
      <c r="A949">
        <f>Skills!A21</f>
        <v/>
      </c>
      <c r="B949">
        <f>Skills!B21</f>
        <v/>
      </c>
      <c r="C949">
        <f>Inputs!$B$3&gt;=74</f>
        <v/>
      </c>
      <c r="D949">
        <f>IF(Skills!C21=1,60+Inputs!$B$25+Inputs!$B$29,IF(Skills!C21=2,90+Inputs!$B$26+Inputs!$B$29,IF(Skills!C21=3,120+Inputs!$B$27+Inputs!$B$29,MAX(0,(Inputs!$B$3-100)*3)+Inputs!$B$28+Inputs!$B$29)))</f>
        <v/>
      </c>
      <c r="E949">
        <f>INDEX(FactorTable!$B$2:$Y$301, MATCH(ROUND(MIN(300,MAX(1,D949)),0), FactorTable!$A$2:$A$301,0), Skills!L21+1)</f>
        <v/>
      </c>
      <c r="F949">
        <f>IF(Skills!M21=TRUE,(Skills!K21/10)*(E949/1000),Skills!K21/10)+Skills!N21</f>
        <v/>
      </c>
      <c r="G949">
        <f>Calc!G21</f>
        <v/>
      </c>
      <c r="H949">
        <f>Calc!H21</f>
        <v/>
      </c>
      <c r="I949">
        <f>IF(Skills!T21&lt;&gt;"",1+(Skills!T21/10)*(Z931/1000)/100,1)</f>
        <v/>
      </c>
      <c r="J949" t="inlineStr"/>
      <c r="K949" t="inlineStr"/>
      <c r="L949" t="inlineStr"/>
      <c r="M949" t="inlineStr"/>
      <c r="N949" t="inlineStr"/>
      <c r="O949">
        <f>(1-Summary!$B$11)*S949+Summary!$B$11*U949</f>
        <v/>
      </c>
      <c r="P949">
        <f>IF(B964=0,0,O949/B964)</f>
        <v/>
      </c>
      <c r="Q949">
        <f>IFERROR(1/IF(Inputs!$B$38="pvp",15,MAX(0.1,Skills!D21-IF(Skills!E21=TRUE,(Inputs!$B$32+1),0))),0)</f>
        <v/>
      </c>
      <c r="R949" t="n">
        <v>0</v>
      </c>
      <c r="S949" t="n">
        <v>0</v>
      </c>
      <c r="U949" t="n">
        <v>0</v>
      </c>
    </row>
    <row r="950">
      <c r="A950">
        <f>Skills!A22</f>
        <v/>
      </c>
      <c r="B950">
        <f>Skills!B22</f>
        <v/>
      </c>
      <c r="C950">
        <f>Inputs!$B$3&gt;=117</f>
        <v/>
      </c>
      <c r="D950">
        <f>IF(Skills!C22=1,60+Inputs!$B$25+Inputs!$B$29,IF(Skills!C22=2,90+Inputs!$B$26+Inputs!$B$29,IF(Skills!C22=3,120+Inputs!$B$27+Inputs!$B$29,MAX(0,(Inputs!$B$3-100)*3)+Inputs!$B$28+Inputs!$B$29)))</f>
        <v/>
      </c>
      <c r="E950">
        <f>INDEX(FactorTable!$B$2:$Y$301, MATCH(ROUND(MIN(300,MAX(1,D950)),0), FactorTable!$A$2:$A$301,0), Skills!L22+1)</f>
        <v/>
      </c>
      <c r="F950">
        <f>IF(Skills!M22=TRUE,(Skills!K22/10)*(E950/1000),Skills!K22/10)+Skills!N22</f>
        <v/>
      </c>
      <c r="G950">
        <f>Calc!G22</f>
        <v/>
      </c>
      <c r="H950">
        <f>Calc!H22</f>
        <v/>
      </c>
      <c r="I950">
        <f>IF(Skills!T22&lt;&gt;"",1+(Skills!T22/10)*(Z931/1000)/100,1)</f>
        <v/>
      </c>
      <c r="J950" t="inlineStr"/>
      <c r="K950" t="inlineStr"/>
      <c r="L950" t="inlineStr"/>
      <c r="M950" t="inlineStr"/>
      <c r="N950" t="inlineStr"/>
      <c r="O950">
        <f>(1-Summary!$B$11)*S950+Summary!$B$11*U950</f>
        <v/>
      </c>
      <c r="P950">
        <f>IF(B964=0,0,O950/B964)</f>
        <v/>
      </c>
      <c r="Q950">
        <f>IFERROR(1/IF(Inputs!$B$38="pvp",15,MAX(0.1,Skills!D22-IF(Skills!E22=TRUE,(Inputs!$B$32+1),0))),0)</f>
        <v/>
      </c>
      <c r="R950" t="n">
        <v>0</v>
      </c>
      <c r="S950" t="n">
        <v>0</v>
      </c>
      <c r="U950" t="n">
        <v>0</v>
      </c>
    </row>
    <row r="951">
      <c r="A951">
        <f>Skills!A23</f>
        <v/>
      </c>
      <c r="B951">
        <f>Skills!B23</f>
        <v/>
      </c>
      <c r="C951">
        <f>Inputs!$B$3&gt;=120</f>
        <v/>
      </c>
      <c r="D951">
        <f>IF(Skills!C23=1,60+Inputs!$B$25+Inputs!$B$29,IF(Skills!C23=2,90+Inputs!$B$26+Inputs!$B$29,IF(Skills!C23=3,120+Inputs!$B$27+Inputs!$B$29,MAX(0,(Inputs!$B$3-100)*3)+Inputs!$B$28+Inputs!$B$29)))</f>
        <v/>
      </c>
      <c r="E951">
        <f>INDEX(FactorTable!$B$2:$Y$301, MATCH(ROUND(MIN(300,MAX(1,D951)),0), FactorTable!$A$2:$A$301,0), Skills!L23+1)</f>
        <v/>
      </c>
      <c r="F951">
        <f>IF(Skills!M23=TRUE,(Skills!K23/10)*(E951/1000),Skills!K23/10)+Skills!N23</f>
        <v/>
      </c>
      <c r="G951">
        <f>Calc!G23</f>
        <v/>
      </c>
      <c r="H951">
        <f>Calc!H23</f>
        <v/>
      </c>
      <c r="I951">
        <f>IF(Skills!T23&lt;&gt;"",1+(Skills!T23/10)*(Z931/1000)/100,1)</f>
        <v/>
      </c>
      <c r="J951" t="inlineStr"/>
      <c r="K951" t="inlineStr"/>
      <c r="L951" t="inlineStr"/>
      <c r="M951" t="inlineStr"/>
      <c r="N951" t="inlineStr"/>
      <c r="O951">
        <f>(1-Summary!$B$11)*S951+Summary!$B$11*U951</f>
        <v/>
      </c>
      <c r="P951">
        <f>IF(B964=0,0,O951/B964)</f>
        <v/>
      </c>
      <c r="Q951">
        <f>IFERROR(1/IF(Inputs!$B$38="pvp",15,MAX(0.1,Skills!D23-IF(Skills!E23=TRUE,(Inputs!$B$32+1),0))),0)</f>
        <v/>
      </c>
      <c r="R951" t="n">
        <v>0</v>
      </c>
      <c r="S951" t="n">
        <v>0</v>
      </c>
      <c r="U951" t="n">
        <v>0</v>
      </c>
    </row>
    <row r="954">
      <c r="A954" t="inlineStr">
        <is>
          <t>Average Buff Multiplier (Magic Guard + Meditation + Artifact Attack%, summed; then Infinity)</t>
        </is>
      </c>
      <c r="B954">
        <f>(1+(IF(C931=TRUE,F931*IF(AND(Inputs!$B$38&lt;&gt;"pvp",Inputs!$B$43&gt;0),(((R931-1)*(Skills!S3*(1+(Inputs!$B$34+IF(Inputs!$B$3&gt;=117,F950,0))/100))+MIN((Skills!S3*(1+(Inputs!$B$34+IF(Inputs!$B$3&gt;=117,F950,0))/100)),MAX(0,Inputs!$B$43-((R931-1)*Skills!D3))))/Inputs!$B$43),IF(Inputs!$B$38="pvp",MIN((Skills!S3*(1+(Inputs!$B$34+IF(Inputs!$B$3&gt;=117,F950,0))/100)),15)/15,(Skills!S3*(1+(Inputs!$B$34+IF(Inputs!$B$3&gt;=117,F950,0))/100))/Skills!D3)),0)+IF(C932=TRUE,F932*IF(AND(Inputs!$B$38&lt;&gt;"pvp",Inputs!$B$43&gt;0),(((R932-1)*(Skills!S4*(1+(Inputs!$B$34+IF(Inputs!$B$3&gt;=117,F950,0))/100))+MIN((Skills!S4*(1+(Inputs!$B$34+IF(Inputs!$B$3&gt;=117,F950,0))/100)),MAX(0,Inputs!$B$43-((R932-1)*Skills!D4))))/Inputs!$B$43),IF(Inputs!$B$38="pvp",MIN((Skills!S4*(1+(Inputs!$B$34+IF(Inputs!$B$3&gt;=117,F950,0))/100)),15)/15,(Skills!S4*(1+(Inputs!$B$34+IF(Inputs!$B$3&gt;=117,F950,0)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944=TRUE,(1+F944*IF(AND(Inputs!$B$38&lt;&gt;"pvp",Inputs!$B$43&gt;0),(((R944-1)*(Skills!S16*(1+(Inputs!$B$34+IF(Inputs!$B$3&gt;=117,F950,0))/100))+MIN((Skills!S16*(1+(Inputs!$B$34+IF(Inputs!$B$3&gt;=117,F950,0))/100)),MAX(0,Inputs!$B$43-((R944-1)*Skills!D16))))/Inputs!$B$43),IF(Inputs!$B$38="pvp",MIN((Skills!S16*(1+(Inputs!$B$34+IF(Inputs!$B$3&gt;=117,F950,0))/100)),15)/15,(Skills!S16*(1+(Inputs!$B$34+IF(Inputs!$B$3&gt;=117,F950,0))/100))/Skills!D16))/100),1)</f>
        <v/>
      </c>
    </row>
    <row r="955">
      <c r="A955" t="inlineStr">
        <is>
          <t>Monster Damage Taken Bonus % (Freezing Breath - Weaken + Elemental Reset + Artifact Enemy Damage Taken, summed)</t>
        </is>
      </c>
      <c r="B955">
        <f>IF(Inputs!$B$3&gt;=118,15*IF(Inputs!$B$38="pvp",MIN((30*(1+(Inputs!$B$34+IF(Inputs!$B$3&gt;=117,F950,0))/100)),15)/15,(30*(1+(Inputs!$B$34+IF(Inputs!$B$3&gt;=117,F950,0))/100))/Skills!D8),0)+IF(C942=TRUE,F942,0)+(IF(AND(ArtifactsInput!$M$35,Inputs!$B$4&lt;&gt;"Chapter Hunt"),CHOOSE(ArtifactsInput!$N$35+1,15,18,21,24,27,30)*(1-EXP(-(0.2*B958)*5)),0)+IF(AND(ArtifactsInput!$M$22,Inputs!$B$4&lt;&gt;"Chapter Hunt"),CHOOSE(ArtifactsInput!$N$22+1,10,12,14,16,18,20)*((0*(((0.15*B958*5))^0/1)+1*(((0.15*B958*5))^1/1)+2*(((0.15*B958*5))^2/2)+3*(((0.15*B958*5))^3/6)+4*(((0.15*B958*5))^4/24)+5*(((0.15*B958*5))^5/120))/((((0.15*B958*5))^0/1)+(((0.15*B958*5))^1/1)+(((0.15*B958*5))^2/2)+(((0.15*B958*5))^3/6)+(((0.15*B958*5))^4/24)+(((0.15*B958*5))^5/120))),0))</f>
        <v/>
      </c>
    </row>
    <row r="956">
      <c r="A956" t="inlineStr">
        <is>
          <t>Damage % Bonus (Frozen Break + Frost Clutch, flat)</t>
        </is>
      </c>
      <c r="B956">
        <f>IF(Inputs!$B$3&gt;=66,15,0)+IF(Inputs!$B$3&gt;=98,10,0)+IF(Inputs!$B$3&gt;=125,20,0)</f>
        <v/>
      </c>
    </row>
    <row r="957">
      <c r="A957" t="inlineStr">
        <is>
          <t>Attack Speed Bonus % (MP Eater - MP Boost, always-on once unlocked)</t>
        </is>
      </c>
      <c r="B957">
        <f>IF(C941=TRUE,F941+(F945-Calc!F17),0)</f>
        <v/>
      </c>
    </row>
    <row r="958">
      <c r="A958" t="inlineStr">
        <is>
          <t>Actions Per Second</t>
        </is>
      </c>
      <c r="B958">
        <f>1+MIN(150,150*(1-(1-(Inputs!$B$11+(ArtifactsInput!$M$15-ArtifactsInput!$M$15)*CHOOSE(ArtifactsInput!$N$15+1,8,9.6,11.2,12.8,14.4,16))/150)*(1-B957/150)))/100</f>
        <v/>
      </c>
    </row>
    <row r="959">
      <c r="A959" t="inlineStr">
        <is>
          <t>Skill + Buff Cast Rate</t>
        </is>
      </c>
      <c r="B959">
        <f>IF(AND(Inputs!$B$38&lt;&gt;"pvp",Inputs!$B$43&gt;0),SUMPRODUCT((Skills!E2:E23=TRUE)*(C930:C951=TRUE)*R930:R951)/Inputs!$B$43,SUMPRODUCT((Skills!E2:E23=TRUE)*(C930:C951=TRUE)*Q930:Q951))</f>
        <v/>
      </c>
    </row>
    <row r="960">
      <c r="A960" t="inlineStr">
        <is>
          <t>Chain Lightning Casts Per Second</t>
        </is>
      </c>
      <c r="B960">
        <f>MAX(0,B958-B959)</f>
        <v/>
      </c>
    </row>
    <row r="961">
      <c r="A961" t="inlineStr">
        <is>
          <t>Buff-Casting Startup Delay (s, fixed-duration only)</t>
        </is>
      </c>
      <c r="B961">
        <f>IF(AND(Inputs!$B$38&lt;&gt;"pvp",Inputs!$B$43&gt;0),SUMPRODUCT((Skills!S2:S23&gt;0)*(Skills!E2:E23=TRUE)*(C930:C951=TRUE))/B958,0)</f>
        <v/>
      </c>
    </row>
    <row r="962">
      <c r="A962" t="inlineStr">
        <is>
          <t>Boss-Only Total DPS (this block's swept value)</t>
        </is>
      </c>
      <c r="B962">
        <f>SUM(S930:S951)</f>
        <v/>
      </c>
    </row>
    <row r="963">
      <c r="A963" t="inlineStr">
        <is>
          <t>Normal-Only Total DPS (this block's swept value)</t>
        </is>
      </c>
      <c r="B963">
        <f>SUM(U930:U951)</f>
        <v/>
      </c>
    </row>
    <row r="964">
      <c r="A964" s="6" t="inlineStr">
        <is>
          <t>TOTAL DPS</t>
        </is>
      </c>
      <c r="B964" s="6">
        <f>SUM(O930:O951)</f>
        <v/>
      </c>
    </row>
    <row r="967">
      <c r="A967" s="6" t="inlineStr">
        <is>
          <t>Stat: Basic Attack Target Increase (flat)</t>
        </is>
      </c>
    </row>
    <row r="968">
      <c r="A968" s="5" t="inlineStr">
        <is>
          <t>Key</t>
        </is>
      </c>
      <c r="B968" s="5" t="inlineStr">
        <is>
          <t>Name</t>
        </is>
      </c>
      <c r="C968" s="5" t="inlineStr">
        <is>
          <t>Unlocked</t>
        </is>
      </c>
      <c r="D968" s="5" t="inlineStr">
        <is>
          <t>InputLevel</t>
        </is>
      </c>
      <c r="E968" s="5" t="inlineStr">
        <is>
          <t>Factor</t>
        </is>
      </c>
      <c r="F968" s="5" t="inlineStr">
        <is>
          <t>CoefficientPercent</t>
        </is>
      </c>
      <c r="G968" s="5" t="inlineStr">
        <is>
          <t>EffectiveHits</t>
        </is>
      </c>
      <c r="H968" s="5" t="inlineStr">
        <is>
          <t>ProcProbability</t>
        </is>
      </c>
      <c r="I968" s="5" t="inlineStr">
        <is>
          <t>MapleHeroMultiplier</t>
        </is>
      </c>
      <c r="J968" s="5" t="inlineStr">
        <is>
          <t>BaseDamage</t>
        </is>
      </c>
      <c r="K968" s="5" t="inlineStr">
        <is>
          <t>BaseHitDamage</t>
        </is>
      </c>
      <c r="L968" s="5" t="inlineStr">
        <is>
          <t>NonCritAvg</t>
        </is>
      </c>
      <c r="M968" s="5" t="inlineStr">
        <is>
          <t>CritAvg</t>
        </is>
      </c>
      <c r="N968" s="5" t="inlineStr">
        <is>
          <t>ExpectedDamage(perHit)</t>
        </is>
      </c>
      <c r="O968" s="5" t="inlineStr">
        <is>
          <t>DPS</t>
        </is>
      </c>
      <c r="P968" s="5" t="inlineStr">
        <is>
          <t>% of Total</t>
        </is>
      </c>
      <c r="R968" t="inlineStr">
        <is>
          <t>helpers</t>
        </is>
      </c>
    </row>
    <row r="969">
      <c r="A969">
        <f>Skills!A2</f>
        <v/>
      </c>
      <c r="B969">
        <f>Skills!B2</f>
        <v/>
      </c>
      <c r="C969">
        <f>Inputs!$B$3&gt;=100</f>
        <v/>
      </c>
      <c r="D969" t="inlineStr"/>
      <c r="E969" t="inlineStr"/>
      <c r="F969">
        <f>T971+Skills!N2</f>
        <v/>
      </c>
      <c r="G969">
        <f>Calc!G2</f>
        <v/>
      </c>
      <c r="H969">
        <f>Calc!H2</f>
        <v/>
      </c>
      <c r="I969">
        <f>IF(Skills!T2&lt;&gt;"",1+(Skills!T2/10)*(Z970/1000)/100,1)</f>
        <v/>
      </c>
      <c r="J969">
        <f>((Inputs!$B$6*(1+Inputs!$B$7/100))+(((Inputs!$B$12*(1+Inputs!$B$13/100))-(Inputs!$B$12*(1+Inputs!$B$13/100)))+0.25*(Inputs!$B$14-Inputs!$B$14))*(1+Inputs!$B$7/100))*(F969/100)</f>
        <v/>
      </c>
      <c r="K969">
        <f>J969*(1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969)</f>
        <v/>
      </c>
      <c r="L969">
        <f>K969*(MIN(Inputs!$B$22+(F985-Calc!F18),(Inputs!$B$23+(IF(ArtifactsInput!$M$15,CHOOSE(ArtifactsInput!$N$15+1,25,30,35,40,45,50)/100*(Inputs!$B$11-Inputs!$B$11),0))))/100+(Inputs!$B$23+(IF(ArtifactsInput!$M$15,CHOOSE(ArtifactsInput!$N$15+1,25,30,35,40,45,50)/100*(Inputs!$B$11-Inputs!$B$11),0)))/100)/2</f>
        <v/>
      </c>
      <c r="M969">
        <f>L969*(1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9">
        <f>L969*(1-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969*(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9">
        <f>(1-Summary!$B$11)*S969+Summary!$B$11*U969</f>
        <v/>
      </c>
      <c r="P969">
        <f>IF(B1003=0,0,O969/B1003)</f>
        <v/>
      </c>
      <c r="Q969">
        <f>IFERROR(1/IF(Inputs!$B$38="pvp",15,MAX(0.1,Skills!D2-IF(Skills!E2=TRUE,Inputs!$B$32,0))),0)</f>
        <v/>
      </c>
      <c r="R969" t="n">
        <v>0</v>
      </c>
      <c r="S969">
        <f>IF(C969,(Skills!F2*N969*B999)*IF(Inputs!$B$38="pvp",1,1+(Inputs!$B$20+Skills!O2+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69">
        <f>MAX(0,(Inputs!$B$3-100)*3)+Inputs!$B$28+Inputs!$B$29</f>
        <v/>
      </c>
      <c r="U969">
        <f>IF(C969,(Skills!F2*N969*B999)*IF(Inputs!$B$38="pvp",1,(1+(Inputs!$B$21+Skills!P2+B994+(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69">
        <f>MAX(0,(Inputs!$B$3-100)*3)+Inputs!$B$28+Inputs!$B$29</f>
        <v/>
      </c>
    </row>
    <row r="970">
      <c r="A970">
        <f>Skills!A3</f>
        <v/>
      </c>
      <c r="B970">
        <f>Skills!B3</f>
        <v/>
      </c>
      <c r="C970">
        <f>Inputs!$B$3&gt;=15</f>
        <v/>
      </c>
      <c r="D970">
        <f>IF(Skills!C3=1,60+Inputs!$B$25+Inputs!$B$29,IF(Skills!C3=2,90+Inputs!$B$26+Inputs!$B$29,IF(Skills!C3=3,120+Inputs!$B$27+Inputs!$B$29,MAX(0,(Inputs!$B$3-100)*3)+Inputs!$B$28+Inputs!$B$29)))</f>
        <v/>
      </c>
      <c r="E970">
        <f>INDEX(FactorTable!$B$2:$Y$301, MATCH(ROUND(MIN(300,MAX(1,D970)),0), FactorTable!$A$2:$A$301,0), Skills!L3+1)</f>
        <v/>
      </c>
      <c r="F970">
        <f>IF(Skills!M3=TRUE,(Skills!K3/10)*(E970/1000),Skills!K3/10)+Skills!N3</f>
        <v/>
      </c>
      <c r="G970">
        <f>Calc!G3</f>
        <v/>
      </c>
      <c r="H970">
        <f>Calc!H3</f>
        <v/>
      </c>
      <c r="I970">
        <f>IF(Skills!T3&lt;&gt;"",1+(Skills!T3/10)*(Z970/1000)/100,1)</f>
        <v/>
      </c>
      <c r="J970" t="inlineStr"/>
      <c r="K970" t="inlineStr"/>
      <c r="L970" t="inlineStr"/>
      <c r="M970" t="inlineStr"/>
      <c r="N970" t="inlineStr"/>
      <c r="O970">
        <f>(1-Summary!$B$11)*S970+Summary!$B$11*U970</f>
        <v/>
      </c>
      <c r="P970">
        <f>IF(B1003=0,0,O970/B1003)</f>
        <v/>
      </c>
      <c r="Q970">
        <f>IFERROR(1/IF(Inputs!$B$38="pvp",15,MAX(0.1,Skills!D3-IF(Skills!E3=TRUE,Inputs!$B$32,0))),0)</f>
        <v/>
      </c>
      <c r="R970">
        <f>IF(AND(Inputs!$B$38&lt;&gt;"pvp",Inputs!$B$43&gt;0),IF(Inputs!$B$43&lt;=0,0,(INT(Inputs!$B$43/IF(Inputs!$B$38="pvp",15,MAX(0.1,Skills!D3-IF(Skills!E3=TRUE,Inputs!$B$32,0))))+1)),0)</f>
        <v/>
      </c>
      <c r="S970" t="n">
        <v>0</v>
      </c>
      <c r="T970">
        <f>INDEX(FactorTable!$B$2:$Y$301, MATCH(ROUND(MIN(300,MAX(1,T969)),0), FactorTable!$A$2:$A$301,0), 22)</f>
        <v/>
      </c>
      <c r="U970" t="n">
        <v>0</v>
      </c>
      <c r="Z970">
        <f>INDEX(FactorTable!$B$2:$Y$301, MATCH(ROUND(MIN(300,MAX(1,Z969)),0), FactorTable!$A$2:$A$301,0), 24)</f>
        <v/>
      </c>
    </row>
    <row r="971">
      <c r="A971">
        <f>Skills!A4</f>
        <v/>
      </c>
      <c r="B971">
        <f>Skills!B4</f>
        <v/>
      </c>
      <c r="C971">
        <f>Inputs!$B$3&gt;=40</f>
        <v/>
      </c>
      <c r="D971">
        <f>IF(Skills!C4=1,60+Inputs!$B$25+Inputs!$B$29,IF(Skills!C4=2,90+Inputs!$B$26+Inputs!$B$29,IF(Skills!C4=3,120+Inputs!$B$27+Inputs!$B$29,MAX(0,(Inputs!$B$3-100)*3)+Inputs!$B$28+Inputs!$B$29)))</f>
        <v/>
      </c>
      <c r="E971">
        <f>INDEX(FactorTable!$B$2:$Y$301, MATCH(ROUND(MIN(300,MAX(1,D971)),0), FactorTable!$A$2:$A$301,0), Skills!L4+1)</f>
        <v/>
      </c>
      <c r="F971">
        <f>IF(Skills!M4=TRUE,(Skills!K4/10)*(E971/1000),Skills!K4/10)+Skills!N4</f>
        <v/>
      </c>
      <c r="G971">
        <f>Calc!G4</f>
        <v/>
      </c>
      <c r="H971">
        <f>Calc!H4</f>
        <v/>
      </c>
      <c r="I971">
        <f>IF(Skills!T4&lt;&gt;"",1+(Skills!T4/10)*(Z970/1000)/100,1)</f>
        <v/>
      </c>
      <c r="J971" t="inlineStr"/>
      <c r="K971" t="inlineStr"/>
      <c r="L971" t="inlineStr"/>
      <c r="M971" t="inlineStr"/>
      <c r="N971" t="inlineStr"/>
      <c r="O971">
        <f>(1-Summary!$B$11)*S971+Summary!$B$11*U971</f>
        <v/>
      </c>
      <c r="P971">
        <f>IF(B1003=0,0,O971/B1003)</f>
        <v/>
      </c>
      <c r="Q971">
        <f>IFERROR(1/IF(Inputs!$B$38="pvp",15,MAX(0.1,Skills!D4-IF(Skills!E4=TRUE,Inputs!$B$32,0))),0)</f>
        <v/>
      </c>
      <c r="R971">
        <f>IF(AND(Inputs!$B$38&lt;&gt;"pvp",Inputs!$B$43&gt;0),IF(Inputs!$B$43&lt;=0,0,(INT(Inputs!$B$43/IF(Inputs!$B$38="pvp",15,MAX(0.1,Skills!D4-IF(Skills!E4=TRUE,Inputs!$B$32,0))))+1)),0)</f>
        <v/>
      </c>
      <c r="S971" t="n">
        <v>0</v>
      </c>
      <c r="T971">
        <f>290*T970/1000</f>
        <v/>
      </c>
      <c r="U971" t="n">
        <v>0</v>
      </c>
    </row>
    <row r="972">
      <c r="A972">
        <f>Skills!A5</f>
        <v/>
      </c>
      <c r="B972">
        <f>Skills!B5</f>
        <v/>
      </c>
      <c r="C972">
        <f>Inputs!$B$3&gt;=38</f>
        <v/>
      </c>
      <c r="D972">
        <f>IF(Skills!C5=1,60+Inputs!$B$25+Inputs!$B$29,IF(Skills!C5=2,90+Inputs!$B$26+Inputs!$B$29,IF(Skills!C5=3,120+Inputs!$B$27+Inputs!$B$29,MAX(0,(Inputs!$B$3-100)*3)+Inputs!$B$28+Inputs!$B$29)))</f>
        <v/>
      </c>
      <c r="E972">
        <f>INDEX(FactorTable!$B$2:$Y$301, MATCH(ROUND(MIN(300,MAX(1,D972)),0), FactorTable!$A$2:$A$301,0), Skills!L5+1)</f>
        <v/>
      </c>
      <c r="F972">
        <f>IF(Skills!M5=TRUE,(Skills!K5/10)*(E972/1000),Skills!K5/10)+Skills!N5</f>
        <v/>
      </c>
      <c r="G972">
        <f>Calc!G5</f>
        <v/>
      </c>
      <c r="H972">
        <f>Calc!H5</f>
        <v/>
      </c>
      <c r="I972">
        <f>IF(Skills!T5&lt;&gt;"",1+(Skills!T5/10)*(Z970/1000)/100,1)</f>
        <v/>
      </c>
      <c r="J972">
        <f>((Inputs!$B$6*(1+Inputs!$B$7/100))+(((Inputs!$B$12*(1+Inputs!$B$13/100))-(Inputs!$B$12*(1+Inputs!$B$13/100)))+0.25*(Inputs!$B$14-Inputs!$B$14))*(1+Inputs!$B$7/100))*(F972/100)</f>
        <v/>
      </c>
      <c r="K972">
        <f>J972*(1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F985-Calc!F18),(Inputs!$B$23+(IF(ArtifactsInput!$M$15,CHOOSE(ArtifactsInput!$N$15+1,25,30,35,40,45,50)/100*(Inputs!$B$11-Inputs!$B$11),0))))/100+(Inputs!$B$23+(IF(ArtifactsInput!$M$15,CHOOSE(ArtifactsInput!$N$15+1,25,30,35,40,45,50)/100*(Inputs!$B$11-Inputs!$B$11),0)))/100)/2</f>
        <v/>
      </c>
      <c r="M972">
        <f>L972*(1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(1-Summary!$B$11)*S972+Summary!$B$11*U972</f>
        <v/>
      </c>
      <c r="P972">
        <f>IF(B1003=0,0,O972/B1003)</f>
        <v/>
      </c>
      <c r="Q972">
        <f>IFERROR(1/IF(Inputs!$B$38="pvp",15,MAX(0.1,Skills!D5-IF(Skills!E5=TRUE,Inputs!$B$32,0))),0)</f>
        <v/>
      </c>
      <c r="R972">
        <f>IF(AND(Inputs!$B$38&lt;&gt;"pvp",Inputs!$B$43&gt;0),IF(MAX(0,Inputs!$B$43-B1000)&lt;=0,0,(INT(MAX(0,Inputs!$B$43-B1000)/IF(Inputs!$B$38="pvp",15,MAX(0.1,Skills!D5-IF(Skills!E5=TRUE,Inputs!$B$32,0))))+1)),0)</f>
        <v/>
      </c>
      <c r="S972">
        <f>IF(C972,(H972*N972*IF(AND(Inputs!$B$38&lt;&gt;"pvp",Inputs!$B$43&gt;0),((Skills!F5*((R972-1)*IF(Skills!G5&gt;0,Skills!H5/Skills!G5,1)+IF(Skills!G5&gt;0,MIN(Skills!H5,MAX(0,MAX(0,Inputs!$B$43-B1000)-((R972-1)*IF(Inputs!$B$38="pvp",15,MAX(0.1,Skills!D5-IF(Skills!E5=TRUE,Inputs!$B$32,0))))))/Skills!G5,1)))/Inputs!$B$43),G972*Q972))*IF(Inputs!$B$38="pvp",1,1+(Inputs!$B$20+Skills!O5+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972*(1-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2">
        <f>IF(C972,(H972*N972*IF(AND(Inputs!$B$38&lt;&gt;"pvp",Inputs!$B$43&gt;0),((Skills!F5*((R972-1)*IF(Skills!G5&gt;0,Skills!H5/Skills!G5,1)+IF(Skills!G5&gt;0,MIN(Skills!H5,MAX(0,MAX(0,Inputs!$B$43-B1000)-((R972-1)*IF(Inputs!$B$38="pvp",15,MAX(0.1,Skills!D5-IF(Skills!E5=TRUE,Inputs!$B$32,0))))))/Skills!G5,1)))/Inputs!$B$43),G972*Q972))*IF(Inputs!$B$38="pvp",1,(1+(Inputs!$B$21+Skills!P5+B994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Skills!A6</f>
        <v/>
      </c>
      <c r="B973">
        <f>Skills!B6</f>
        <v/>
      </c>
      <c r="C973">
        <f>Inputs!$B$3&gt;=63</f>
        <v/>
      </c>
      <c r="D973">
        <f>IF(Skills!C6=1,60+Inputs!$B$25+Inputs!$B$29,IF(Skills!C6=2,90+Inputs!$B$26+Inputs!$B$29,IF(Skills!C6=3,120+Inputs!$B$27+Inputs!$B$29,MAX(0,(Inputs!$B$3-100)*3)+Inputs!$B$28+Inputs!$B$29)))</f>
        <v/>
      </c>
      <c r="E973">
        <f>INDEX(FactorTable!$B$2:$Y$301, MATCH(ROUND(MIN(300,MAX(1,D973)),0), FactorTable!$A$2:$A$301,0), Skills!L6+1)</f>
        <v/>
      </c>
      <c r="F973">
        <f>IF(Skills!M6=TRUE,(Skills!K6/10)*(E973/1000),Skills!K6/10)+Skills!N6</f>
        <v/>
      </c>
      <c r="G973">
        <f>Calc!G6</f>
        <v/>
      </c>
      <c r="H973">
        <f>Calc!H6</f>
        <v/>
      </c>
      <c r="I973">
        <f>IF(Skills!T6&lt;&gt;"",1+(Skills!T6/10)*(Z970/1000)/100,1)</f>
        <v/>
      </c>
      <c r="J973">
        <f>((Inputs!$B$6*(1+Inputs!$B$7/100))+(((Inputs!$B$12*(1+Inputs!$B$13/100))-(Inputs!$B$12*(1+Inputs!$B$13/100)))+0.25*(Inputs!$B$14-Inputs!$B$14))*(1+Inputs!$B$7/100))*(F973/100)</f>
        <v/>
      </c>
      <c r="K973">
        <f>J973*(1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F985-Calc!F18),(Inputs!$B$23+(IF(ArtifactsInput!$M$15,CHOOSE(ArtifactsInput!$N$15+1,25,30,35,40,45,50)/100*(Inputs!$B$11-Inputs!$B$11),0))))/100+(Inputs!$B$23+(IF(ArtifactsInput!$M$15,CHOOSE(ArtifactsInput!$N$15+1,25,30,35,40,45,50)/100*(Inputs!$B$11-Inputs!$B$11),0)))/100)/2</f>
        <v/>
      </c>
      <c r="M973">
        <f>L973*(1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(1-Summary!$B$11)*S973+Summary!$B$11*U973</f>
        <v/>
      </c>
      <c r="P973">
        <f>IF(B1003=0,0,O973/B1003)</f>
        <v/>
      </c>
      <c r="Q973">
        <f>IFERROR(1/IF(Inputs!$B$38="pvp",15,MAX(0.1,Skills!D6-IF(Skills!E6=TRUE,Inputs!$B$32,0))),0)</f>
        <v/>
      </c>
      <c r="R973">
        <f>IF(AND(Inputs!$B$38&lt;&gt;"pvp",Inputs!$B$43&gt;0),IF(MAX(0,Inputs!$B$43-B1000)&lt;=0,0,(INT(MAX(0,Inputs!$B$43-B1000)/IF(Inputs!$B$38="pvp",15,MAX(0.1,Skills!D6-IF(Skills!E6=TRUE,Inputs!$B$32,0))))+1)),0)</f>
        <v/>
      </c>
      <c r="S973">
        <f>IF(C973,(H973*N973*IF(AND(Inputs!$B$38&lt;&gt;"pvp",Inputs!$B$43&gt;0),((Skills!F6*((R973-1)*IF(Skills!G6&gt;0,Skills!H6/Skills!G6,1)+IF(Skills!G6&gt;0,MIN(Skills!H6,MAX(0,MAX(0,Inputs!$B$43-B1000)-((R973-1)*IF(Inputs!$B$38="pvp",15,MAX(0.1,Skills!D6-IF(Skills!E6=TRUE,Inputs!$B$32,0))))))/Skills!G6,1)))/Inputs!$B$43),G973*Q973))*IF(Inputs!$B$38="pvp",1,1+(Inputs!$B$20+Skills!O6+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973*(1-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IF(C973,(H973*N973*IF(AND(Inputs!$B$38&lt;&gt;"pvp",Inputs!$B$43&gt;0),((Skills!F6*((R973-1)*IF(Skills!G6&gt;0,Skills!H6/Skills!G6,1)+IF(Skills!G6&gt;0,MIN(Skills!H6,MAX(0,MAX(0,Inputs!$B$43-B1000)-((R973-1)*IF(Inputs!$B$38="pvp",15,MAX(0.1,Skills!D6-IF(Skills!E6=TRUE,Inputs!$B$32,0))))))/Skills!G6,1)))/Inputs!$B$43),G973*Q973))*IF(Inputs!$B$38="pvp",1,(1+(Inputs!$B$21+Skills!P6+B994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Skills!A7</f>
        <v/>
      </c>
      <c r="B974">
        <f>Skills!B7</f>
        <v/>
      </c>
      <c r="C974">
        <f>Inputs!$B$3&gt;=69</f>
        <v/>
      </c>
      <c r="D974">
        <f>IF(Skills!C7=1,60+Inputs!$B$25+Inputs!$B$29,IF(Skills!C7=2,90+Inputs!$B$26+Inputs!$B$29,IF(Skills!C7=3,120+Inputs!$B$27+Inputs!$B$29,MAX(0,(Inputs!$B$3-100)*3)+Inputs!$B$28+Inputs!$B$29)))</f>
        <v/>
      </c>
      <c r="E974">
        <f>INDEX(FactorTable!$B$2:$Y$301, MATCH(ROUND(MIN(300,MAX(1,D974)),0), FactorTable!$A$2:$A$301,0), Skills!L7+1)</f>
        <v/>
      </c>
      <c r="F974">
        <f>IF(Skills!M7=TRUE,(Skills!K7/10)*(E974/1000),Skills!K7/10)+Skills!N7</f>
        <v/>
      </c>
      <c r="G974">
        <f>Calc!G7</f>
        <v/>
      </c>
      <c r="H974">
        <f>Calc!H7</f>
        <v/>
      </c>
      <c r="I974">
        <f>IF(Skills!T7&lt;&gt;"",1+(Skills!T7/10)*(Z970/1000)/100,1)</f>
        <v/>
      </c>
      <c r="J974">
        <f>((Inputs!$B$6*(1+Inputs!$B$7/100))+(((Inputs!$B$12*(1+Inputs!$B$13/100))-(Inputs!$B$12*(1+Inputs!$B$13/100)))+0.25*(Inputs!$B$14-Inputs!$B$14))*(1+Inputs!$B$7/100))*(F974/100)</f>
        <v/>
      </c>
      <c r="K974">
        <f>J974*(1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985-Calc!F18),(Inputs!$B$23+(IF(ArtifactsInput!$M$15,CHOOSE(ArtifactsInput!$N$15+1,25,30,35,40,45,50)/100*(Inputs!$B$11-Inputs!$B$11),0))))/100+(Inputs!$B$23+(IF(ArtifactsInput!$M$15,CHOOSE(ArtifactsInput!$N$15+1,25,30,35,40,45,50)/100*(Inputs!$B$11-Inputs!$B$11),0)))/100)/2</f>
        <v/>
      </c>
      <c r="M974">
        <f>L974*(1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IF(B1003=0,0,O974/B1003)</f>
        <v/>
      </c>
      <c r="Q974">
        <f>IFERROR(1/IF(Inputs!$B$38="pvp",15,MAX(0.1,Skills!D7-IF(Skills!E7=TRUE,Inputs!$B$32,0))),0)</f>
        <v/>
      </c>
      <c r="R974">
        <f>IF(AND(Inputs!$B$38&lt;&gt;"pvp",Inputs!$B$43&gt;0),IF(MAX(0,Inputs!$B$43-B1000)&lt;=0,0,(INT(MAX(0,Inputs!$B$43-B1000)/IF(Inputs!$B$38="pvp",15,MAX(0.1,Skills!D7-IF(Skills!E7=TRUE,Inputs!$B$32,0))))+1)),0)</f>
        <v/>
      </c>
      <c r="S974">
        <f>IF(C974,(H974*N974*IF(AND(Inputs!$B$38&lt;&gt;"pvp",Inputs!$B$43&gt;0),((Skills!F7*((R974-1)*IF(Skills!G7&gt;0,Skills!H7/Skills!G7,1)+IF(Skills!G7&gt;0,MIN(Skills!H7,MAX(0,MAX(0,Inputs!$B$43-B1000)-((R974-1)*IF(Inputs!$B$38="pvp",15,MAX(0.1,Skills!D7-IF(Skills!E7=TRUE,Inputs!$B$32,0))))))/Skills!G7,1)))/Inputs!$B$43),G974*Q974))*IF(Inputs!$B$38="pvp",1,1+(Inputs!$B$20+Skills!O7+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F7*((R974-1)*IF(Skills!G7&gt;0,Skills!H7/Skills!G7,1)+IF(Skills!G7&gt;0,MIN(Skills!H7,MAX(0,MAX(0,Inputs!$B$43-B1000)-((R974-1)*IF(Inputs!$B$38="pvp",15,MAX(0.1,Skills!D7-IF(Skills!E7=TRUE,Inputs!$B$32,0))))))/Skills!G7,1)))/Inputs!$B$43),G974*Q974))*IF(Inputs!$B$38="pvp",1,(1+(Inputs!$B$21+Skills!P7+B994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Skills!A8</f>
        <v/>
      </c>
      <c r="B975">
        <f>Skills!B8</f>
        <v/>
      </c>
      <c r="C975">
        <f>Inputs!$B$3&gt;=103</f>
        <v/>
      </c>
      <c r="D975">
        <f>IF(Skills!C8=1,60+Inputs!$B$25+Inputs!$B$29,IF(Skills!C8=2,90+Inputs!$B$26+Inputs!$B$29,IF(Skills!C8=3,120+Inputs!$B$27+Inputs!$B$29,MAX(0,(Inputs!$B$3-100)*3)+Inputs!$B$28+Inputs!$B$29)))</f>
        <v/>
      </c>
      <c r="E975">
        <f>INDEX(FactorTable!$B$2:$Y$301, MATCH(ROUND(MIN(300,MAX(1,D975)),0), FactorTable!$A$2:$A$301,0), Skills!L8+1)</f>
        <v/>
      </c>
      <c r="F975">
        <f>IF(Skills!M8=TRUE,(Skills!K8/10)*(E975/1000),Skills!K8/10)+Skills!N8</f>
        <v/>
      </c>
      <c r="G975">
        <f>Calc!G8</f>
        <v/>
      </c>
      <c r="H975">
        <f>Calc!H8</f>
        <v/>
      </c>
      <c r="I975">
        <f>IF(Skills!T8&lt;&gt;"",1+(Skills!T8/10)*(Z970/1000)/100,1)</f>
        <v/>
      </c>
      <c r="J975">
        <f>((Inputs!$B$6*(1+Inputs!$B$7/100))+(((Inputs!$B$12*(1+Inputs!$B$13/100))-(Inputs!$B$12*(1+Inputs!$B$13/100)))+0.25*(Inputs!$B$14-Inputs!$B$14))*(1+Inputs!$B$7/100))*(F975/100)</f>
        <v/>
      </c>
      <c r="K975">
        <f>J975*(1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F985-Calc!F18),(Inputs!$B$23+(IF(ArtifactsInput!$M$15,CHOOSE(ArtifactsInput!$N$15+1,25,30,35,40,45,50)/100*(Inputs!$B$11-Inputs!$B$11),0))))/100+(Inputs!$B$23+(IF(ArtifactsInput!$M$15,CHOOSE(ArtifactsInput!$N$15+1,25,30,35,40,45,50)/100*(Inputs!$B$11-Inputs!$B$11),0)))/100)/2</f>
        <v/>
      </c>
      <c r="M975">
        <f>L975*(1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(1-Summary!$B$11)*S975+Summary!$B$11*U975</f>
        <v/>
      </c>
      <c r="P975">
        <f>IF(B1003=0,0,O975/B1003)</f>
        <v/>
      </c>
      <c r="Q975">
        <f>IFERROR(1/IF(Inputs!$B$38="pvp",15,MAX(0.1,Skills!D8-IF(Skills!E8=TRUE,Inputs!$B$32,0))),0)</f>
        <v/>
      </c>
      <c r="R975">
        <f>IF(AND(Inputs!$B$38&lt;&gt;"pvp",Inputs!$B$43&gt;0),IF(MAX(0,Inputs!$B$43-B1000)&lt;=0,0,(INT(MAX(0,Inputs!$B$43-B1000)/IF(Inputs!$B$38="pvp",15,MAX(0.1,Skills!D8-IF(Skills!E8=TRUE,Inputs!$B$32,0))))+1)),0)</f>
        <v/>
      </c>
      <c r="S975">
        <f>IF(C975,(H975*N975*IF(AND(Inputs!$B$38&lt;&gt;"pvp",Inputs!$B$43&gt;0),((Skills!F8*((R975-1)*IF(Skills!G8&gt;0,Skills!H8/Skills!G8,1)+IF(Skills!G8&gt;0,MIN(Skills!H8,MAX(0,MAX(0,Inputs!$B$43-B1000)-((R975-1)*IF(Inputs!$B$38="pvp",15,MAX(0.1,Skills!D8-IF(Skills!E8=TRUE,Inputs!$B$32,0))))))/Skills!G8,1)))/Inputs!$B$43),G975*Q975))*IF(Inputs!$B$38="pvp",1,1+(Inputs!$B$20+Skills!O8+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975*(1-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5">
        <f>IF(C975,(H975*N975*IF(AND(Inputs!$B$38&lt;&gt;"pvp",Inputs!$B$43&gt;0),((Skills!F8*((R975-1)*IF(Skills!G8&gt;0,Skills!H8/Skills!G8,1)+IF(Skills!G8&gt;0,MIN(Skills!H8,MAX(0,MAX(0,Inputs!$B$43-B1000)-((R975-1)*IF(Inputs!$B$38="pvp",15,MAX(0.1,Skills!D8-IF(Skills!E8=TRUE,Inputs!$B$32,0))))))/Skills!G8,1)))/Inputs!$B$43),G975*Q975))*IF(Inputs!$B$38="pvp",1,(1+(Inputs!$B$21+Skills!P8+B994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Skills!A9</f>
        <v/>
      </c>
      <c r="B976">
        <f>Skills!B9</f>
        <v/>
      </c>
      <c r="C976">
        <f>Inputs!$B$3&gt;=105</f>
        <v/>
      </c>
      <c r="D976">
        <f>IF(Skills!C9=1,60+Inputs!$B$25+Inputs!$B$29,IF(Skills!C9=2,90+Inputs!$B$26+Inputs!$B$29,IF(Skills!C9=3,120+Inputs!$B$27+Inputs!$B$29,MAX(0,(Inputs!$B$3-100)*3)+Inputs!$B$28+Inputs!$B$29)))</f>
        <v/>
      </c>
      <c r="E976">
        <f>INDEX(FactorTable!$B$2:$Y$301, MATCH(ROUND(MIN(300,MAX(1,D976)),0), FactorTable!$A$2:$A$301,0), Skills!L9+1)</f>
        <v/>
      </c>
      <c r="F976">
        <f>IF(Skills!M9=TRUE,(Skills!K9/10)*(E976/1000),Skills!K9/10)+Skills!N9</f>
        <v/>
      </c>
      <c r="G976">
        <f>Calc!G9</f>
        <v/>
      </c>
      <c r="H976">
        <f>Calc!H9</f>
        <v/>
      </c>
      <c r="I976">
        <f>IF(Skills!T9&lt;&gt;"",1+(Skills!T9/10)*(Z970/1000)/100,1)</f>
        <v/>
      </c>
      <c r="J976">
        <f>((Inputs!$B$6*(1+Inputs!$B$7/100))+(((Inputs!$B$12*(1+Inputs!$B$13/100))-(Inputs!$B$12*(1+Inputs!$B$13/100)))+0.25*(Inputs!$B$14-Inputs!$B$14))*(1+Inputs!$B$7/100))*(F976/100)</f>
        <v/>
      </c>
      <c r="K976">
        <f>J976*(1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F985-Calc!F18),(Inputs!$B$23+(IF(ArtifactsInput!$M$15,CHOOSE(ArtifactsInput!$N$15+1,25,30,35,40,45,50)/100*(Inputs!$B$11-Inputs!$B$11),0))))/100+(Inputs!$B$23+(IF(ArtifactsInput!$M$15,CHOOSE(ArtifactsInput!$N$15+1,25,30,35,40,45,50)/100*(Inputs!$B$11-Inputs!$B$11),0)))/100)/2</f>
        <v/>
      </c>
      <c r="M976">
        <f>L976*(1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(1-Summary!$B$11)*S976+Summary!$B$11*U976</f>
        <v/>
      </c>
      <c r="P976">
        <f>IF(B1003=0,0,O976/B1003)</f>
        <v/>
      </c>
      <c r="Q976">
        <f>IFERROR(1/IF(Inputs!$B$38="pvp",15,MAX(0.1,Skills!D9-IF(Skills!E9=TRUE,Inputs!$B$32,0))),0)</f>
        <v/>
      </c>
      <c r="R976">
        <f>IF(AND(Inputs!$B$38&lt;&gt;"pvp",Inputs!$B$43&gt;0),IF(MAX(0,Inputs!$B$43-B1000)&lt;=0,0,(INT(MAX(0,Inputs!$B$43-B1000)/IF(Inputs!$B$38="pvp",15,MAX(0.1,Skills!D9-IF(Skills!E9=TRUE,Inputs!$B$32,0))))+1)),0)</f>
        <v/>
      </c>
      <c r="S976">
        <f>IF(C976,(H976*N976*IF(AND(Inputs!$B$38&lt;&gt;"pvp",Inputs!$B$43&gt;0),((Skills!F9*((R976-1)*IF(Skills!G9&gt;0,Skills!H9/Skills!G9,1)+IF(Skills!G9&gt;0,MIN(Skills!H9,MAX(0,MAX(0,Inputs!$B$43-B1000)-((R976-1)*IF(Inputs!$B$38="pvp",15,MAX(0.1,Skills!D9-IF(Skills!E9=TRUE,Inputs!$B$32,0))))))/Skills!G9,1)))/Inputs!$B$43),G976*Q976))*IF(Inputs!$B$38="pvp",1,1+(Inputs!$B$20+Skills!O9+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976*(1-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6">
        <f>IF(C976,(H976*N976*IF(AND(Inputs!$B$38&lt;&gt;"pvp",Inputs!$B$43&gt;0),((Skills!F9*((R976-1)*IF(Skills!G9&gt;0,Skills!H9/Skills!G9,1)+IF(Skills!G9&gt;0,MIN(Skills!H9,MAX(0,MAX(0,Inputs!$B$43-B1000)-((R976-1)*IF(Inputs!$B$38="pvp",15,MAX(0.1,Skills!D9-IF(Skills!E9=TRUE,Inputs!$B$32,0))))))/Skills!G9,1)))/Inputs!$B$43),G976*Q976))*IF(Inputs!$B$38="pvp",1,(1+(Inputs!$B$21+Skills!P9+B994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Skills!A10</f>
        <v/>
      </c>
      <c r="B977">
        <f>Skills!B10</f>
        <v/>
      </c>
      <c r="C977">
        <f>Inputs!$B$3&gt;=113</f>
        <v/>
      </c>
      <c r="D977">
        <f>IF(Skills!C10=1,60+Inputs!$B$25+Inputs!$B$29,IF(Skills!C10=2,90+Inputs!$B$26+Inputs!$B$29,IF(Skills!C10=3,120+Inputs!$B$27+Inputs!$B$29,MAX(0,(Inputs!$B$3-100)*3)+Inputs!$B$28+Inputs!$B$29)))</f>
        <v/>
      </c>
      <c r="E977">
        <f>INDEX(FactorTable!$B$2:$Y$301, MATCH(ROUND(MIN(300,MAX(1,D977)),0), FactorTable!$A$2:$A$301,0), Skills!L10+1)</f>
        <v/>
      </c>
      <c r="F977">
        <f>IF(Skills!M10=TRUE,(Skills!K10/10)*(E977/1000),Skills!K10/10)+Skills!N10</f>
        <v/>
      </c>
      <c r="G977">
        <f>Calc!G10</f>
        <v/>
      </c>
      <c r="H977">
        <f>Calc!H10</f>
        <v/>
      </c>
      <c r="I977">
        <f>IF(Skills!T10&lt;&gt;"",1+(Skills!T10/10)*(Z970/1000)/100,1)</f>
        <v/>
      </c>
      <c r="J977">
        <f>((Inputs!$B$6*(1+Inputs!$B$7/100))+(((Inputs!$B$12*(1+Inputs!$B$13/100))-(Inputs!$B$12*(1+Inputs!$B$13/100)))+0.25*(Inputs!$B$14-Inputs!$B$14))*(1+Inputs!$B$7/100))*(F977/100)</f>
        <v/>
      </c>
      <c r="K977">
        <f>J977*(1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F985-Calc!F18),(Inputs!$B$23+(IF(ArtifactsInput!$M$15,CHOOSE(ArtifactsInput!$N$15+1,25,30,35,40,45,50)/100*(Inputs!$B$11-Inputs!$B$11),0))))/100+(Inputs!$B$23+(IF(ArtifactsInput!$M$15,CHOOSE(ArtifactsInput!$N$15+1,25,30,35,40,45,50)/100*(Inputs!$B$11-Inputs!$B$11),0)))/100)/2</f>
        <v/>
      </c>
      <c r="M977">
        <f>L977*(1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(1-Summary!$B$11)*S977+Summary!$B$11*U977</f>
        <v/>
      </c>
      <c r="P977">
        <f>IF(B1003=0,0,O977/B1003)</f>
        <v/>
      </c>
      <c r="Q977">
        <f>IFERROR(1/IF(Inputs!$B$38="pvp",15,MAX(0.1,Skills!D10-IF(Skills!E9=TRUE,Inputs!$B$32,0))),0)</f>
        <v/>
      </c>
      <c r="R977">
        <f>IF(AND(Inputs!$B$38&lt;&gt;"pvp",Inputs!$B$43&gt;0),IF(MAX(0,Inputs!$B$43-B1000)&lt;=0,0,(INT(MAX(0,Inputs!$B$43-B1000)/IF(Inputs!$B$38="pvp",15,MAX(0.1,Skills!D10-IF(Skills!E9=TRUE,Inputs!$B$32,0))))+1)),0)</f>
        <v/>
      </c>
      <c r="S977">
        <f>IF(C977,(H977*N977*IF(AND(Inputs!$B$38&lt;&gt;"pvp",Inputs!$B$43&gt;0),((Skills!F10*((R977-1)*IF(Skills!G10&gt;0,Skills!H10/Skills!G10,1)+IF(Skills!G10&gt;0,MIN(Skills!H10,MAX(0,MAX(0,Inputs!$B$43-B1000)-((R977-1)*IF(Inputs!$B$38="pvp",15,MAX(0.1,Skills!D10-IF(Skills!E9=TRUE,Inputs!$B$32,0))))))/Skills!G10,1)))/Inputs!$B$43),G977*Q977))*IF(Inputs!$B$38="pvp",1,1+(Inputs!$B$20+Skills!O10+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977*(1-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7">
        <f>IF(C977,(H977*N977*IF(AND(Inputs!$B$38&lt;&gt;"pvp",Inputs!$B$43&gt;0),((Skills!F10*((R977-1)*IF(Skills!G10&gt;0,Skills!H10/Skills!G10,1)+IF(Skills!G10&gt;0,MIN(Skills!H10,MAX(0,MAX(0,Inputs!$B$43-B1000)-((R977-1)*IF(Inputs!$B$38="pvp",15,MAX(0.1,Skills!D10-IF(Skills!E9=TRUE,Inputs!$B$32,0))))))/Skills!G10,1)))/Inputs!$B$43),G977*Q977))*IF(Inputs!$B$38="pvp",1,(1+(Inputs!$B$21+Skills!P10+B994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Skills!A11</f>
        <v/>
      </c>
      <c r="B978">
        <f>Skills!B11</f>
        <v/>
      </c>
      <c r="C978">
        <f>Inputs!$B$3&gt;=107</f>
        <v/>
      </c>
      <c r="D978">
        <f>IF(Skills!C11=1,60+Inputs!$B$25+Inputs!$B$29,IF(Skills!C11=2,90+Inputs!$B$26+Inputs!$B$29,IF(Skills!C11=3,120+Inputs!$B$27+Inputs!$B$29,MAX(0,(Inputs!$B$3-100)*3)+Inputs!$B$28+Inputs!$B$29)))</f>
        <v/>
      </c>
      <c r="E978">
        <f>INDEX(FactorTable!$B$2:$Y$301, MATCH(ROUND(MIN(300,MAX(1,D978)),0), FactorTable!$A$2:$A$301,0), Skills!L11+1)</f>
        <v/>
      </c>
      <c r="F978">
        <f>IF(Skills!M11=TRUE,(Skills!K11/10)*(E978/1000),Skills!K11/10)+Skills!N11</f>
        <v/>
      </c>
      <c r="G978">
        <f>Calc!G11</f>
        <v/>
      </c>
      <c r="H978">
        <f>Calc!H11</f>
        <v/>
      </c>
      <c r="I978">
        <f>IF(Skills!T11&lt;&gt;"",1+(Skills!T11/10)*(Z970/1000)/100,1)</f>
        <v/>
      </c>
      <c r="J978">
        <f>((Inputs!$B$6*(1+Inputs!$B$7/100))+(((Inputs!$B$12*(1+Inputs!$B$13/100))-(Inputs!$B$12*(1+Inputs!$B$13/100)))+0.25*(Inputs!$B$14-Inputs!$B$14))*(1+Inputs!$B$7/100))*(F978/100)</f>
        <v/>
      </c>
      <c r="K978">
        <f>J978*(1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985-Calc!F18),(Inputs!$B$23+(IF(ArtifactsInput!$M$15,CHOOSE(ArtifactsInput!$N$15+1,25,30,35,40,45,50)/100*(Inputs!$B$11-Inputs!$B$11),0))))/100+(Inputs!$B$23+(IF(ArtifactsInput!$M$15,CHOOSE(ArtifactsInput!$N$15+1,25,30,35,40,45,50)/100*(Inputs!$B$11-Inputs!$B$11),0)))/100)/2</f>
        <v/>
      </c>
      <c r="M978">
        <f>L978*(1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IF(B1003=0,0,O978/B1003)</f>
        <v/>
      </c>
      <c r="Q978">
        <f>IFERROR(1/IF(Inputs!$B$38="pvp",15,MAX(0.1,Skills!D11-IF(Skills!E11=TRUE,Inputs!$B$32,0))),0)</f>
        <v/>
      </c>
      <c r="R978">
        <f>IF(AND(Inputs!$B$38&lt;&gt;"pvp",Inputs!$B$43&gt;0),IF(MAX(0,Inputs!$B$43-B1000)&lt;=0,0,(INT(MAX(0,Inputs!$B$43-B1000)/IF(Inputs!$B$38="pvp",15,MAX(0.1,Skills!D11-IF(Skills!E11=TRUE,Inputs!$B$32,0))))+1)),0)</f>
        <v/>
      </c>
      <c r="S978">
        <f>IF(C978,H978*N978*IF(AND(Inputs!$B$38&lt;&gt;"pvp",Inputs!$B$43&gt;0),((Skills!F11*((R978-1)*IF(Skills!G11&gt;0,Skills!H11/Skills!G11,1)+IF(Skills!G11&gt;0,MIN(Skills!H11,MAX(0,MAX(0,Inputs!$B$43-B1000)-((R978-1)*IF(Inputs!$B$38="pvp",15,MAX(0.1,Skills!D11-IF(Skills!E11=TRUE,Inputs!$B$32,0))))))/Skills!G11,1)))/Inputs!$B$43),G978*Q978)*0.5*IF(Inputs!$B$38="pvp",1,1+(Inputs!$B$20+Skills!O11+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F11*((R978-1)*IF(Skills!G11&gt;0,Skills!H11/Skills!G11,1)+IF(Skills!G11&gt;0,MIN(Skills!H11,MAX(0,MAX(0,Inputs!$B$43-B1000)-((R978-1)*IF(Inputs!$B$38="pvp",15,MAX(0.1,Skills!D11-IF(Skills!E11=TRUE,Inputs!$B$32,0))))))/Skills!G11,1)))/Inputs!$B$43),G978*Q978)*1*IF(Inputs!$B$38="pvp",1,(1+(Inputs!$B$21+Skills!P11+B994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Skills!A12</f>
        <v/>
      </c>
      <c r="B979">
        <f>Skills!B12</f>
        <v/>
      </c>
      <c r="C979">
        <f>Inputs!$B$3&gt;=115</f>
        <v/>
      </c>
      <c r="D979">
        <f>IF(Skills!C12=1,60+Inputs!$B$25+Inputs!$B$29,IF(Skills!C12=2,90+Inputs!$B$26+Inputs!$B$29,IF(Skills!C12=3,120+Inputs!$B$27+Inputs!$B$29,MAX(0,(Inputs!$B$3-100)*3)+Inputs!$B$28+Inputs!$B$29)))</f>
        <v/>
      </c>
      <c r="E979">
        <f>INDEX(FactorTable!$B$2:$Y$301, MATCH(ROUND(MIN(300,MAX(1,D979)),0), FactorTable!$A$2:$A$301,0), Skills!L12+1)</f>
        <v/>
      </c>
      <c r="F979">
        <f>IF(Skills!M12=TRUE,(Skills!K12/10)*(E979/1000),Skills!K12/10)+Skills!N12</f>
        <v/>
      </c>
      <c r="G979">
        <f>Calc!G12</f>
        <v/>
      </c>
      <c r="H979">
        <f>Calc!H12</f>
        <v/>
      </c>
      <c r="I979">
        <f>IF(Skills!T12&lt;&gt;"",1+(Skills!T12/10)*(Z970/1000)/100,1)</f>
        <v/>
      </c>
      <c r="J979">
        <f>((Inputs!$B$6*(1+Inputs!$B$7/100))+(((Inputs!$B$12*(1+Inputs!$B$13/100))-(Inputs!$B$12*(1+Inputs!$B$13/100)))+0.25*(Inputs!$B$14-Inputs!$B$14))*(1+Inputs!$B$7/100))*(F979/100)</f>
        <v/>
      </c>
      <c r="K979">
        <f>J979*(1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F985-Calc!F18),(Inputs!$B$23+(IF(ArtifactsInput!$M$15,CHOOSE(ArtifactsInput!$N$15+1,25,30,35,40,45,50)/100*(Inputs!$B$11-Inputs!$B$11),0))))/100+(Inputs!$B$23+(IF(ArtifactsInput!$M$15,CHOOSE(ArtifactsInput!$N$15+1,25,30,35,40,45,50)/100*(Inputs!$B$11-Inputs!$B$11),0)))/100)/2</f>
        <v/>
      </c>
      <c r="M979">
        <f>L979*(1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(1-Summary!$B$11)*S979+Summary!$B$11*U979</f>
        <v/>
      </c>
      <c r="P979">
        <f>IF(B1003=0,0,O979/B1003)</f>
        <v/>
      </c>
      <c r="Q979">
        <f>IFERROR(1/IF(Inputs!$B$38="pvp",15,MAX(0.1,Skills!D12-IF(Skills!E12=TRUE,Inputs!$B$32,0))),0)</f>
        <v/>
      </c>
      <c r="R979">
        <f>IF(AND(Inputs!$B$38&lt;&gt;"pvp",Inputs!$B$43&gt;0),IF(MAX(0,Inputs!$B$43-B1000)&lt;=0,0,(INT(MAX(0,Inputs!$B$43-B1000)/IF(Inputs!$B$38="pvp",15,MAX(0.1,Skills!D12-IF(Skills!E12=TRUE,Inputs!$B$32,0))))+1)),0)</f>
        <v/>
      </c>
      <c r="S979">
        <f>IF(C979,(H979*N979*IF(AND(Inputs!$B$38&lt;&gt;"pvp",Inputs!$B$43&gt;0),((Skills!F12*((R979-1)*IF(Skills!G12&gt;0,Skills!H12/Skills!G12,1)+IF(Skills!G12&gt;0,MIN(Skills!H12,MAX(0,MAX(0,Inputs!$B$43-B1000)-((R979-1)*IF(Inputs!$B$38="pvp",15,MAX(0.1,Skills!D12-IF(Skills!E12=TRUE,Inputs!$B$32,0))))))/Skills!G12,1)))/Inputs!$B$43),G979*Q979))*IF(Inputs!$B$38="pvp",1,1+(Inputs!$B$20+Skills!O12+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9">
        <f>IF(C979,(H979*N979*IF(AND(Inputs!$B$38&lt;&gt;"pvp",Inputs!$B$43&gt;0),((Skills!F12*((R979-1)*IF(Skills!G12&gt;0,Skills!H12/Skills!G12,1)+IF(Skills!G12&gt;0,MIN(Skills!H12,MAX(0,MAX(0,Inputs!$B$43-B1000)-((R979-1)*IF(Inputs!$B$38="pvp",15,MAX(0.1,Skills!D12-IF(Skills!E12=TRUE,Inputs!$B$32,0))))))/Skills!G12,1)))/Inputs!$B$43),G979*Q979))*IF(Inputs!$B$38="pvp",1,(1+(Inputs!$B$21+Skills!P12+B994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Skills!A13</f>
        <v/>
      </c>
      <c r="B980">
        <f>Skills!B13</f>
        <v/>
      </c>
      <c r="C980">
        <f>Inputs!$B$3&gt;=49</f>
        <v/>
      </c>
      <c r="D980">
        <f>IF(Skills!C13=1,60+Inputs!$B$25+Inputs!$B$29,IF(Skills!C13=2,90+Inputs!$B$26+Inputs!$B$29,IF(Skills!C13=3,120+Inputs!$B$27+Inputs!$B$29,MAX(0,(Inputs!$B$3-100)*3)+Inputs!$B$28+Inputs!$B$29)))</f>
        <v/>
      </c>
      <c r="E980">
        <f>INDEX(FactorTable!$B$2:$Y$301, MATCH(ROUND(MIN(300,MAX(1,D980)),0), FactorTable!$A$2:$A$301,0), Skills!L13+1)</f>
        <v/>
      </c>
      <c r="F980">
        <f>IF(Skills!M13=TRUE,(Skills!K13/10)*(E980/1000),Skills!K13/10)+Skills!N13</f>
        <v/>
      </c>
      <c r="G980">
        <f>Calc!G13</f>
        <v/>
      </c>
      <c r="H980">
        <f>Calc!H13</f>
        <v/>
      </c>
      <c r="I980">
        <f>IF(Skills!T13&lt;&gt;"",1+(Skills!T13/10)*(Z970/1000)/100,1)</f>
        <v/>
      </c>
      <c r="J980" t="inlineStr"/>
      <c r="K980" t="inlineStr"/>
      <c r="L980" t="inlineStr"/>
      <c r="M980" t="inlineStr"/>
      <c r="N980" t="inlineStr"/>
      <c r="O980">
        <f>(1-Summary!$B$11)*S980+Summary!$B$11*U980</f>
        <v/>
      </c>
      <c r="P980">
        <f>IF(B1003=0,0,O980/B1003)</f>
        <v/>
      </c>
      <c r="Q980">
        <f>IFERROR(1/IF(Inputs!$B$38="pvp",15,MAX(0.1,Skills!D13-IF(Skills!E13=TRUE,Inputs!$B$32,0))),0)</f>
        <v/>
      </c>
      <c r="R980" t="n">
        <v>0</v>
      </c>
      <c r="S980" t="n">
        <v>0</v>
      </c>
      <c r="U980" t="n">
        <v>0</v>
      </c>
    </row>
    <row r="981">
      <c r="A981">
        <f>Skills!A14</f>
        <v/>
      </c>
      <c r="B981">
        <f>Skills!B14</f>
        <v/>
      </c>
      <c r="C981">
        <f>Inputs!$B$3&gt;=72</f>
        <v/>
      </c>
      <c r="D981">
        <f>IF(Skills!C14=1,60+Inputs!$B$25+Inputs!$B$29,IF(Skills!C14=2,90+Inputs!$B$26+Inputs!$B$29,IF(Skills!C14=3,120+Inputs!$B$27+Inputs!$B$29,MAX(0,(Inputs!$B$3-100)*3)+Inputs!$B$28+Inputs!$B$29)))</f>
        <v/>
      </c>
      <c r="E981">
        <f>INDEX(FactorTable!$B$2:$Y$301, MATCH(ROUND(MIN(300,MAX(1,D981)),0), FactorTable!$A$2:$A$301,0), Skills!L14+1)</f>
        <v/>
      </c>
      <c r="F981">
        <f>IF(Skills!M14=TRUE,(Skills!K14/10)*(E981/1000),Skills!K14/10)+Skills!N14</f>
        <v/>
      </c>
      <c r="G981">
        <f>Calc!G14</f>
        <v/>
      </c>
      <c r="H981">
        <f>Calc!H14</f>
        <v/>
      </c>
      <c r="I981">
        <f>IF(Skills!T14&lt;&gt;"",1+(Skills!T14/10)*(Z970/1000)/100,1)</f>
        <v/>
      </c>
      <c r="J981" t="inlineStr"/>
      <c r="K981" t="inlineStr"/>
      <c r="L981" t="inlineStr"/>
      <c r="M981" t="inlineStr"/>
      <c r="N981" t="inlineStr"/>
      <c r="O981">
        <f>(1-Summary!$B$11)*S981+Summary!$B$11*U981</f>
        <v/>
      </c>
      <c r="P981">
        <f>IF(B1003=0,0,O981/B1003)</f>
        <v/>
      </c>
      <c r="Q981">
        <f>IFERROR(1/IF(Inputs!$B$38="pvp",15,MAX(0.1,Skills!D14-IF(Skills!E14=TRUE,Inputs!$B$32,0))),0)</f>
        <v/>
      </c>
      <c r="R981" t="n">
        <v>0</v>
      </c>
      <c r="S981" t="n">
        <v>0</v>
      </c>
      <c r="U981" t="n">
        <v>0</v>
      </c>
    </row>
    <row r="982">
      <c r="A982">
        <f>Skills!A15</f>
        <v/>
      </c>
      <c r="B982">
        <f>Skills!B15</f>
        <v/>
      </c>
      <c r="C982">
        <f>Inputs!$B$3&gt;=75</f>
        <v/>
      </c>
      <c r="D982">
        <f>IF(Skills!C15=1,60+Inputs!$B$25+Inputs!$B$29,IF(Skills!C15=2,90+Inputs!$B$26+Inputs!$B$29,IF(Skills!C15=3,120+Inputs!$B$27+Inputs!$B$29,MAX(0,(Inputs!$B$3-100)*3)+Inputs!$B$28+Inputs!$B$29)))</f>
        <v/>
      </c>
      <c r="E982">
        <f>INDEX(FactorTable!$B$2:$Y$301, MATCH(ROUND(MIN(300,MAX(1,D982)),0), FactorTable!$A$2:$A$301,0), Skills!L15+1)</f>
        <v/>
      </c>
      <c r="F982">
        <f>IF(Skills!M15=TRUE,(Skills!K15/10)*(E982/1000),Skills!K15/10)+Skills!N15</f>
        <v/>
      </c>
      <c r="G982">
        <f>Calc!G15</f>
        <v/>
      </c>
      <c r="H982">
        <f>Calc!H15</f>
        <v/>
      </c>
      <c r="I982">
        <f>IF(Skills!T15&lt;&gt;"",1+(Skills!T15/10)*(Z970/1000)/100,1)</f>
        <v/>
      </c>
      <c r="J982" t="inlineStr"/>
      <c r="K982" t="inlineStr"/>
      <c r="L982" t="inlineStr"/>
      <c r="M982" t="inlineStr"/>
      <c r="N982" t="inlineStr"/>
      <c r="O982">
        <f>(1-Summary!$B$11)*S982+Summary!$B$11*U982</f>
        <v/>
      </c>
      <c r="P982">
        <f>IF(B1003=0,0,O982/B1003)</f>
        <v/>
      </c>
      <c r="Q982">
        <f>IFERROR(1/IF(Inputs!$B$38="pvp",15,MAX(0.1,Skills!D15-IF(Skills!E15=TRUE,Inputs!$B$32,0))),0)</f>
        <v/>
      </c>
      <c r="R982" t="n">
        <v>0</v>
      </c>
      <c r="S982" t="n">
        <v>0</v>
      </c>
      <c r="U982" t="n">
        <v>0</v>
      </c>
    </row>
    <row r="983">
      <c r="A983">
        <f>Skills!A16</f>
        <v/>
      </c>
      <c r="B983">
        <f>Skills!B16</f>
        <v/>
      </c>
      <c r="C983">
        <f>Inputs!$B$3&gt;=110</f>
        <v/>
      </c>
      <c r="D983">
        <f>IF(Skills!C16=1,60+Inputs!$B$25+Inputs!$B$29,IF(Skills!C16=2,90+Inputs!$B$26+Inputs!$B$29,IF(Skills!C16=3,120+Inputs!$B$27+Inputs!$B$29,MAX(0,(Inputs!$B$3-100)*3)+Inputs!$B$28+Inputs!$B$29)))</f>
        <v/>
      </c>
      <c r="E983">
        <f>INDEX(FactorTable!$B$2:$Y$301, MATCH(ROUND(MIN(300,MAX(1,D983)),0), FactorTable!$A$2:$A$301,0), Skills!L16+1)</f>
        <v/>
      </c>
      <c r="F983">
        <f>(Skills!K16/10)*(E983/1000)*64/45+Skills!N16</f>
        <v/>
      </c>
      <c r="G983">
        <f>Calc!G16</f>
        <v/>
      </c>
      <c r="H983">
        <f>Calc!H16</f>
        <v/>
      </c>
      <c r="I983">
        <f>IF(Skills!T16&lt;&gt;"",1+(Skills!T16/10)*(Z970/1000)/100,1)</f>
        <v/>
      </c>
      <c r="J983" t="inlineStr"/>
      <c r="K983" t="inlineStr"/>
      <c r="L983" t="inlineStr"/>
      <c r="M983" t="inlineStr"/>
      <c r="N983" t="inlineStr"/>
      <c r="O983">
        <f>(1-Summary!$B$11)*S983+Summary!$B$11*U983</f>
        <v/>
      </c>
      <c r="P983">
        <f>IF(B1003=0,0,O983/B1003)</f>
        <v/>
      </c>
      <c r="Q983">
        <f>IFERROR(1/IF(Inputs!$B$38="pvp",15,MAX(0.1,Skills!D16-IF(Skills!E16=TRUE,Inputs!$B$32,0))),0)</f>
        <v/>
      </c>
      <c r="R983">
        <f>IF(AND(Inputs!$B$38&lt;&gt;"pvp",Inputs!$B$43&gt;0),IF(Inputs!$B$43&lt;=0,0,(INT(Inputs!$B$43/IF(Inputs!$B$38="pvp",15,MAX(0.1,Skills!D16-IF(Skills!E16=TRUE,Inputs!$B$32,0))))+1)),0)</f>
        <v/>
      </c>
      <c r="S983" t="n">
        <v>0</v>
      </c>
      <c r="U983" t="n">
        <v>0</v>
      </c>
    </row>
    <row r="984">
      <c r="A984">
        <f>Skills!A17</f>
        <v/>
      </c>
      <c r="B984">
        <f>Skills!B17</f>
        <v/>
      </c>
      <c r="C984">
        <f>Inputs!$B$3&gt;=33</f>
        <v/>
      </c>
      <c r="D984">
        <f>IF(Skills!C17=1,60+Inputs!$B$25+Inputs!$B$29,IF(Skills!C17=2,90+Inputs!$B$26+Inputs!$B$29,IF(Skills!C17=3,120+Inputs!$B$27+Inputs!$B$29,MAX(0,(Inputs!$B$3-100)*3)+Inputs!$B$28+Inputs!$B$29)))</f>
        <v/>
      </c>
      <c r="E984">
        <f>INDEX(FactorTable!$B$2:$Y$301, MATCH(ROUND(MIN(300,MAX(1,D984)),0), FactorTable!$A$2:$A$301,0), Skills!L17+1)</f>
        <v/>
      </c>
      <c r="F984">
        <f>IF(Skills!M17=TRUE,(Skills!K17/10)*(E984/1000),Skills!K17/10)+Skills!N17</f>
        <v/>
      </c>
      <c r="G984">
        <f>Calc!G17</f>
        <v/>
      </c>
      <c r="H984">
        <f>Calc!H17</f>
        <v/>
      </c>
      <c r="I984">
        <f>IF(Skills!T17&lt;&gt;"",1+(Skills!T17/10)*(Z970/1000)/100,1)</f>
        <v/>
      </c>
      <c r="J984" t="inlineStr"/>
      <c r="K984" t="inlineStr"/>
      <c r="L984" t="inlineStr"/>
      <c r="M984" t="inlineStr"/>
      <c r="N984" t="inlineStr"/>
      <c r="O984">
        <f>(1-Summary!$B$11)*S984+Summary!$B$11*U984</f>
        <v/>
      </c>
      <c r="P984">
        <f>IF(B1003=0,0,O984/B1003)</f>
        <v/>
      </c>
      <c r="Q984">
        <f>IFERROR(1/IF(Inputs!$B$38="pvp",15,MAX(0.1,Skills!D17-IF(Skills!E17=TRUE,Inputs!$B$32,0))),0)</f>
        <v/>
      </c>
      <c r="R984" t="n">
        <v>0</v>
      </c>
      <c r="S984" t="n">
        <v>0</v>
      </c>
      <c r="U984" t="n">
        <v>0</v>
      </c>
    </row>
    <row r="985">
      <c r="A985">
        <f>Skills!A18</f>
        <v/>
      </c>
      <c r="B985">
        <f>Skills!B18</f>
        <v/>
      </c>
      <c r="C985">
        <f>Inputs!$B$3&gt;=43</f>
        <v/>
      </c>
      <c r="D985">
        <f>IF(Skills!C18=1,60+Inputs!$B$25+Inputs!$B$29,IF(Skills!C18=2,90+Inputs!$B$26+Inputs!$B$29,IF(Skills!C18=3,120+Inputs!$B$27+Inputs!$B$29,MAX(0,(Inputs!$B$3-100)*3)+Inputs!$B$28+Inputs!$B$29)))</f>
        <v/>
      </c>
      <c r="E985">
        <f>INDEX(FactorTable!$B$2:$Y$301, MATCH(ROUND(MIN(300,MAX(1,D985)),0), FactorTable!$A$2:$A$301,0), Skills!L18+1)</f>
        <v/>
      </c>
      <c r="F985">
        <f>IF(Skills!M18=TRUE,(Skills!K18/10)*(E985/1000),Skills!K18/10)+Skills!N18</f>
        <v/>
      </c>
      <c r="G985">
        <f>Calc!G18</f>
        <v/>
      </c>
      <c r="H985">
        <f>Calc!H18</f>
        <v/>
      </c>
      <c r="I985">
        <f>IF(Skills!T18&lt;&gt;"",1+(Skills!T18/10)*(Z970/1000)/100,1)</f>
        <v/>
      </c>
      <c r="J985" t="inlineStr"/>
      <c r="K985" t="inlineStr"/>
      <c r="L985" t="inlineStr"/>
      <c r="M985" t="inlineStr"/>
      <c r="N985" t="inlineStr"/>
      <c r="O985">
        <f>(1-Summary!$B$11)*S985+Summary!$B$11*U985</f>
        <v/>
      </c>
      <c r="P985">
        <f>IF(B1003=0,0,O985/B1003)</f>
        <v/>
      </c>
      <c r="Q985">
        <f>IFERROR(1/IF(Inputs!$B$38="pvp",15,MAX(0.1,Skills!D18-IF(Skills!E18=TRUE,Inputs!$B$32,0))),0)</f>
        <v/>
      </c>
      <c r="R985" t="n">
        <v>0</v>
      </c>
      <c r="S985" t="n">
        <v>0</v>
      </c>
      <c r="U985" t="n">
        <v>0</v>
      </c>
    </row>
    <row r="986">
      <c r="A986">
        <f>Skills!A19</f>
        <v/>
      </c>
      <c r="B986">
        <f>Skills!B19</f>
        <v/>
      </c>
      <c r="C986">
        <f>Inputs!$B$3&gt;=50</f>
        <v/>
      </c>
      <c r="D986">
        <f>IF(Skills!C19=1,60+Inputs!$B$25+Inputs!$B$29,IF(Skills!C19=2,90+Inputs!$B$26+Inputs!$B$29,IF(Skills!C19=3,120+Inputs!$B$27+Inputs!$B$29,MAX(0,(Inputs!$B$3-100)*3)+Inputs!$B$28+Inputs!$B$29)))</f>
        <v/>
      </c>
      <c r="E986">
        <f>INDEX(FactorTable!$B$2:$Y$301, MATCH(ROUND(MIN(300,MAX(1,D986)),0), FactorTable!$A$2:$A$301,0), Skills!L19+1)</f>
        <v/>
      </c>
      <c r="F986">
        <f>IF(Skills!M19=TRUE,(Skills!K19/10)*(E986/1000),Skills!K19/10)+Skills!N19</f>
        <v/>
      </c>
      <c r="G986">
        <f>Calc!G19</f>
        <v/>
      </c>
      <c r="H986">
        <f>Calc!H19</f>
        <v/>
      </c>
      <c r="I986">
        <f>IF(Skills!T19&lt;&gt;"",1+(Skills!T19/10)*(Z970/1000)/100,1)</f>
        <v/>
      </c>
      <c r="J986" t="inlineStr"/>
      <c r="K986" t="inlineStr"/>
      <c r="L986" t="inlineStr"/>
      <c r="M986" t="inlineStr"/>
      <c r="N986" t="inlineStr"/>
      <c r="O986">
        <f>(1-Summary!$B$11)*S986+Summary!$B$11*U986</f>
        <v/>
      </c>
      <c r="P986">
        <f>IF(B1003=0,0,O986/B1003)</f>
        <v/>
      </c>
      <c r="Q986">
        <f>IFERROR(1/IF(Inputs!$B$38="pvp",15,MAX(0.1,Skills!D19-IF(Skills!E19=TRUE,Inputs!$B$32,0))),0)</f>
        <v/>
      </c>
      <c r="R986" t="n">
        <v>0</v>
      </c>
      <c r="S986" t="n">
        <v>0</v>
      </c>
      <c r="U986" t="n">
        <v>0</v>
      </c>
    </row>
    <row r="987">
      <c r="A987">
        <f>Skills!A20</f>
        <v/>
      </c>
      <c r="B987">
        <f>Skills!B20</f>
        <v/>
      </c>
      <c r="C987">
        <f>Inputs!$B$3&gt;=74</f>
        <v/>
      </c>
      <c r="D987">
        <f>IF(Skills!C20=1,60+Inputs!$B$25+Inputs!$B$29,IF(Skills!C20=2,90+Inputs!$B$26+Inputs!$B$29,IF(Skills!C20=3,120+Inputs!$B$27+Inputs!$B$29,MAX(0,(Inputs!$B$3-100)*3)+Inputs!$B$28+Inputs!$B$29)))</f>
        <v/>
      </c>
      <c r="E987">
        <f>INDEX(FactorTable!$B$2:$Y$301, MATCH(ROUND(MIN(300,MAX(1,D987)),0), FactorTable!$A$2:$A$301,0), Skills!L20+1)</f>
        <v/>
      </c>
      <c r="F987">
        <f>IF(Skills!M20=TRUE,(Skills!K20/10)*(E987/1000),Skills!K20/10)+Skills!N20</f>
        <v/>
      </c>
      <c r="G987">
        <f>Calc!G20</f>
        <v/>
      </c>
      <c r="H987">
        <f>Calc!H20</f>
        <v/>
      </c>
      <c r="I987">
        <f>IF(Skills!T20&lt;&gt;"",1+(Skills!T20/10)*(Z970/1000)/100,1)</f>
        <v/>
      </c>
      <c r="J987" t="inlineStr"/>
      <c r="K987" t="inlineStr"/>
      <c r="L987" t="inlineStr"/>
      <c r="M987" t="inlineStr"/>
      <c r="N987" t="inlineStr"/>
      <c r="O987">
        <f>(1-Summary!$B$11)*S987+Summary!$B$11*U987</f>
        <v/>
      </c>
      <c r="P987">
        <f>IF(B1003=0,0,O987/B1003)</f>
        <v/>
      </c>
      <c r="Q987">
        <f>IFERROR(1/IF(Inputs!$B$38="pvp",15,MAX(0.1,Skills!D20-IF(Skills!E20=TRUE,Inputs!$B$32,0))),0)</f>
        <v/>
      </c>
      <c r="R987" t="n">
        <v>0</v>
      </c>
      <c r="S987" t="n">
        <v>0</v>
      </c>
      <c r="U987" t="n">
        <v>0</v>
      </c>
    </row>
    <row r="988">
      <c r="A988">
        <f>Skills!A21</f>
        <v/>
      </c>
      <c r="B988">
        <f>Skills!B21</f>
        <v/>
      </c>
      <c r="C988">
        <f>Inputs!$B$3&gt;=74</f>
        <v/>
      </c>
      <c r="D988">
        <f>IF(Skills!C21=1,60+Inputs!$B$25+Inputs!$B$29,IF(Skills!C21=2,90+Inputs!$B$26+Inputs!$B$29,IF(Skills!C21=3,120+Inputs!$B$27+Inputs!$B$29,MAX(0,(Inputs!$B$3-100)*3)+Inputs!$B$28+Inputs!$B$29)))</f>
        <v/>
      </c>
      <c r="E988">
        <f>INDEX(FactorTable!$B$2:$Y$301, MATCH(ROUND(MIN(300,MAX(1,D988)),0), FactorTable!$A$2:$A$301,0), Skills!L21+1)</f>
        <v/>
      </c>
      <c r="F988">
        <f>IF(Skills!M21=TRUE,(Skills!K21/10)*(E988/1000),Skills!K21/10)+Skills!N21</f>
        <v/>
      </c>
      <c r="G988">
        <f>Calc!G21</f>
        <v/>
      </c>
      <c r="H988">
        <f>Calc!H21</f>
        <v/>
      </c>
      <c r="I988">
        <f>IF(Skills!T21&lt;&gt;"",1+(Skills!T21/10)*(Z970/1000)/100,1)</f>
        <v/>
      </c>
      <c r="J988" t="inlineStr"/>
      <c r="K988" t="inlineStr"/>
      <c r="L988" t="inlineStr"/>
      <c r="M988" t="inlineStr"/>
      <c r="N988" t="inlineStr"/>
      <c r="O988">
        <f>(1-Summary!$B$11)*S988+Summary!$B$11*U988</f>
        <v/>
      </c>
      <c r="P988">
        <f>IF(B1003=0,0,O988/B1003)</f>
        <v/>
      </c>
      <c r="Q988">
        <f>IFERROR(1/IF(Inputs!$B$38="pvp",15,MAX(0.1,Skills!D21-IF(Skills!E21=TRUE,Inputs!$B$32,0))),0)</f>
        <v/>
      </c>
      <c r="R988" t="n">
        <v>0</v>
      </c>
      <c r="S988" t="n">
        <v>0</v>
      </c>
      <c r="U988" t="n">
        <v>0</v>
      </c>
    </row>
    <row r="989">
      <c r="A989">
        <f>Skills!A22</f>
        <v/>
      </c>
      <c r="B989">
        <f>Skills!B22</f>
        <v/>
      </c>
      <c r="C989">
        <f>Inputs!$B$3&gt;=117</f>
        <v/>
      </c>
      <c r="D989">
        <f>IF(Skills!C22=1,60+Inputs!$B$25+Inputs!$B$29,IF(Skills!C22=2,90+Inputs!$B$26+Inputs!$B$29,IF(Skills!C22=3,120+Inputs!$B$27+Inputs!$B$29,MAX(0,(Inputs!$B$3-100)*3)+Inputs!$B$28+Inputs!$B$29)))</f>
        <v/>
      </c>
      <c r="E989">
        <f>INDEX(FactorTable!$B$2:$Y$301, MATCH(ROUND(MIN(300,MAX(1,D989)),0), FactorTable!$A$2:$A$301,0), Skills!L22+1)</f>
        <v/>
      </c>
      <c r="F989">
        <f>IF(Skills!M22=TRUE,(Skills!K22/10)*(E989/1000),Skills!K22/10)+Skills!N22</f>
        <v/>
      </c>
      <c r="G989">
        <f>Calc!G22</f>
        <v/>
      </c>
      <c r="H989">
        <f>Calc!H22</f>
        <v/>
      </c>
      <c r="I989">
        <f>IF(Skills!T22&lt;&gt;"",1+(Skills!T22/10)*(Z970/1000)/100,1)</f>
        <v/>
      </c>
      <c r="J989" t="inlineStr"/>
      <c r="K989" t="inlineStr"/>
      <c r="L989" t="inlineStr"/>
      <c r="M989" t="inlineStr"/>
      <c r="N989" t="inlineStr"/>
      <c r="O989">
        <f>(1-Summary!$B$11)*S989+Summary!$B$11*U989</f>
        <v/>
      </c>
      <c r="P989">
        <f>IF(B1003=0,0,O989/B1003)</f>
        <v/>
      </c>
      <c r="Q989">
        <f>IFERROR(1/IF(Inputs!$B$38="pvp",15,MAX(0.1,Skills!D22-IF(Skills!E22=TRUE,Inputs!$B$32,0))),0)</f>
        <v/>
      </c>
      <c r="R989" t="n">
        <v>0</v>
      </c>
      <c r="S989" t="n">
        <v>0</v>
      </c>
      <c r="U989" t="n">
        <v>0</v>
      </c>
    </row>
    <row r="990">
      <c r="A990">
        <f>Skills!A23</f>
        <v/>
      </c>
      <c r="B990">
        <f>Skills!B23</f>
        <v/>
      </c>
      <c r="C990">
        <f>Inputs!$B$3&gt;=120</f>
        <v/>
      </c>
      <c r="D990">
        <f>IF(Skills!C23=1,60+Inputs!$B$25+Inputs!$B$29,IF(Skills!C23=2,90+Inputs!$B$26+Inputs!$B$29,IF(Skills!C23=3,120+Inputs!$B$27+Inputs!$B$29,MAX(0,(Inputs!$B$3-100)*3)+Inputs!$B$28+Inputs!$B$29)))</f>
        <v/>
      </c>
      <c r="E990">
        <f>INDEX(FactorTable!$B$2:$Y$301, MATCH(ROUND(MIN(300,MAX(1,D990)),0), FactorTable!$A$2:$A$301,0), Skills!L23+1)</f>
        <v/>
      </c>
      <c r="F990">
        <f>IF(Skills!M23=TRUE,(Skills!K23/10)*(E990/1000),Skills!K23/10)+Skills!N23</f>
        <v/>
      </c>
      <c r="G990">
        <f>Calc!G23</f>
        <v/>
      </c>
      <c r="H990">
        <f>Calc!H23</f>
        <v/>
      </c>
      <c r="I990">
        <f>IF(Skills!T23&lt;&gt;"",1+(Skills!T23/10)*(Z970/1000)/100,1)</f>
        <v/>
      </c>
      <c r="J990" t="inlineStr"/>
      <c r="K990" t="inlineStr"/>
      <c r="L990" t="inlineStr"/>
      <c r="M990" t="inlineStr"/>
      <c r="N990" t="inlineStr"/>
      <c r="O990">
        <f>(1-Summary!$B$11)*S990+Summary!$B$11*U990</f>
        <v/>
      </c>
      <c r="P990">
        <f>IF(B1003=0,0,O990/B1003)</f>
        <v/>
      </c>
      <c r="Q990">
        <f>IFERROR(1/IF(Inputs!$B$38="pvp",15,MAX(0.1,Skills!D23-IF(Skills!E23=TRUE,Inputs!$B$32,0))),0)</f>
        <v/>
      </c>
      <c r="R990" t="n">
        <v>0</v>
      </c>
      <c r="S990" t="n">
        <v>0</v>
      </c>
      <c r="U990" t="n">
        <v>0</v>
      </c>
    </row>
    <row r="993">
      <c r="A993" t="inlineStr">
        <is>
          <t>Average Buff Multiplier (Magic Guard + Meditation + Artifact Attack%, summed; then Infinity)</t>
        </is>
      </c>
      <c r="B993">
        <f>(1+(IF(C970=TRUE,F970*IF(AND(Inputs!$B$38&lt;&gt;"pvp",Inputs!$B$43&gt;0),(((R970-1)*(Skills!S3*(1+(Inputs!$B$34+IF(Inputs!$B$3&gt;=117,F989,0))/100))+MIN((Skills!S3*(1+(Inputs!$B$34+IF(Inputs!$B$3&gt;=117,F989,0))/100)),MAX(0,Inputs!$B$43-((R970-1)*Skills!D3))))/Inputs!$B$43),IF(Inputs!$B$38="pvp",MIN((Skills!S3*(1+(Inputs!$B$34+IF(Inputs!$B$3&gt;=117,F989,0))/100)),15)/15,(Skills!S3*(1+(Inputs!$B$34+IF(Inputs!$B$3&gt;=117,F989,0))/100))/Skills!D3)),0)+IF(C971=TRUE,F971*IF(AND(Inputs!$B$38&lt;&gt;"pvp",Inputs!$B$43&gt;0),(((R971-1)*(Skills!S4*(1+(Inputs!$B$34+IF(Inputs!$B$3&gt;=117,F989,0))/100))+MIN((Skills!S4*(1+(Inputs!$B$34+IF(Inputs!$B$3&gt;=117,F989,0))/100)),MAX(0,Inputs!$B$43-((R971-1)*Skills!D4))))/Inputs!$B$43),IF(Inputs!$B$38="pvp",MIN((Skills!S4*(1+(Inputs!$B$34+IF(Inputs!$B$3&gt;=117,F989,0))/100)),15)/15,(Skills!S4*(1+(Inputs!$B$34+IF(Inputs!$B$3&gt;=117,F989,0)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983=TRUE,(1+F983*IF(AND(Inputs!$B$38&lt;&gt;"pvp",Inputs!$B$43&gt;0),(((R983-1)*(Skills!S16*(1+(Inputs!$B$34+IF(Inputs!$B$3&gt;=117,F989,0))/100))+MIN((Skills!S16*(1+(Inputs!$B$34+IF(Inputs!$B$3&gt;=117,F989,0))/100)),MAX(0,Inputs!$B$43-((R983-1)*Skills!D16))))/Inputs!$B$43),IF(Inputs!$B$38="pvp",MIN((Skills!S16*(1+(Inputs!$B$34+IF(Inputs!$B$3&gt;=117,F989,0))/100)),15)/15,(Skills!S16*(1+(Inputs!$B$34+IF(Inputs!$B$3&gt;=117,F989,0))/100))/Skills!D16))/100),1)</f>
        <v/>
      </c>
    </row>
    <row r="994">
      <c r="A994" t="inlineStr">
        <is>
          <t>Monster Damage Taken Bonus % (Freezing Breath - Weaken + Elemental Reset + Artifact Enemy Damage Taken, summed)</t>
        </is>
      </c>
      <c r="B994">
        <f>IF(Inputs!$B$3&gt;=118,15*IF(Inputs!$B$38="pvp",MIN((30*(1+(Inputs!$B$34+IF(Inputs!$B$3&gt;=117,F989,0))/100)),15)/15,(30*(1+(Inputs!$B$34+IF(Inputs!$B$3&gt;=117,F989,0))/100))/Skills!D8),0)+IF(C981=TRUE,F981,0)+(IF(AND(ArtifactsInput!$M$35,Inputs!$B$4&lt;&gt;"Chapter Hunt"),CHOOSE(ArtifactsInput!$N$35+1,15,18,21,24,27,30)*(1-EXP(-(0.2*B997)*5)),0)+IF(AND(ArtifactsInput!$M$22,Inputs!$B$4&lt;&gt;"Chapter Hunt"),CHOOSE(ArtifactsInput!$N$22+1,10,12,14,16,18,20)*((0*(((0.15*B997*5))^0/1)+1*(((0.15*B997*5))^1/1)+2*(((0.15*B997*5))^2/2)+3*(((0.15*B997*5))^3/6)+4*(((0.15*B997*5))^4/24)+5*(((0.15*B997*5))^5/120))/((((0.15*B997*5))^0/1)+(((0.15*B997*5))^1/1)+(((0.15*B997*5))^2/2)+(((0.15*B997*5))^3/6)+(((0.15*B997*5))^4/24)+(((0.15*B997*5))^5/120))),0))</f>
        <v/>
      </c>
    </row>
    <row r="995">
      <c r="A995" t="inlineStr">
        <is>
          <t>Damage % Bonus (Frozen Break + Frost Clutch, flat)</t>
        </is>
      </c>
      <c r="B995">
        <f>IF(Inputs!$B$3&gt;=66,15,0)+IF(Inputs!$B$3&gt;=98,10,0)+IF(Inputs!$B$3&gt;=125,20,0)</f>
        <v/>
      </c>
    </row>
    <row r="996">
      <c r="A996" t="inlineStr">
        <is>
          <t>Attack Speed Bonus % (MP Eater - MP Boost, always-on once unlocked)</t>
        </is>
      </c>
      <c r="B996">
        <f>IF(C980=TRUE,F980+(F984-Calc!F17),0)</f>
        <v/>
      </c>
    </row>
    <row r="997">
      <c r="A997" t="inlineStr">
        <is>
          <t>Actions Per Second</t>
        </is>
      </c>
      <c r="B997">
        <f>1+MIN(150,150*(1-(1-(Inputs!$B$11+(ArtifactsInput!$M$15-ArtifactsInput!$M$15)*CHOOSE(ArtifactsInput!$N$15+1,8,9.6,11.2,12.8,14.4,16))/150)*(1-B996/150)))/100</f>
        <v/>
      </c>
    </row>
    <row r="998">
      <c r="A998" t="inlineStr">
        <is>
          <t>Skill + Buff Cast Rate</t>
        </is>
      </c>
      <c r="B998">
        <f>IF(AND(Inputs!$B$38&lt;&gt;"pvp",Inputs!$B$43&gt;0),SUMPRODUCT((Skills!E2:E23=TRUE)*(C969:C990=TRUE)*R969:R990)/Inputs!$B$43,SUMPRODUCT((Skills!E2:E23=TRUE)*(C969:C990=TRUE)*Q969:Q990))</f>
        <v/>
      </c>
    </row>
    <row r="999">
      <c r="A999" t="inlineStr">
        <is>
          <t>Chain Lightning Casts Per Second</t>
        </is>
      </c>
      <c r="B999">
        <f>MAX(0,B997-B998)</f>
        <v/>
      </c>
    </row>
    <row r="1000">
      <c r="A1000" t="inlineStr">
        <is>
          <t>Buff-Casting Startup Delay (s, fixed-duration only)</t>
        </is>
      </c>
      <c r="B1000">
        <f>IF(AND(Inputs!$B$38&lt;&gt;"pvp",Inputs!$B$43&gt;0),SUMPRODUCT((Skills!S2:S23&gt;0)*(Skills!E2:E23=TRUE)*(C969:C990=TRUE))/B997,0)</f>
        <v/>
      </c>
    </row>
    <row r="1001">
      <c r="A1001" t="inlineStr">
        <is>
          <t>Boss-Only Total DPS (this block's swept value)</t>
        </is>
      </c>
      <c r="B1001">
        <f>SUM(S969:S990)</f>
        <v/>
      </c>
    </row>
    <row r="1002">
      <c r="A1002" t="inlineStr">
        <is>
          <t>Normal-Only Total DPS (this block's swept value)</t>
        </is>
      </c>
      <c r="B1002">
        <f>SUM(U969:U990)</f>
        <v/>
      </c>
    </row>
    <row r="1003">
      <c r="A1003" s="6" t="inlineStr">
        <is>
          <t>TOTAL DPS</t>
        </is>
      </c>
      <c r="B1003" s="6">
        <f>SUM(O969:O990)</f>
        <v/>
      </c>
    </row>
    <row r="1006">
      <c r="A1006" s="6" t="inlineStr">
        <is>
          <t>Stat: Buff Duration Increase %</t>
        </is>
      </c>
    </row>
    <row r="1007">
      <c r="A1007" s="5" t="inlineStr">
        <is>
          <t>Key</t>
        </is>
      </c>
      <c r="B1007" s="5" t="inlineStr">
        <is>
          <t>Name</t>
        </is>
      </c>
      <c r="C1007" s="5" t="inlineStr">
        <is>
          <t>Unlocked</t>
        </is>
      </c>
      <c r="D1007" s="5" t="inlineStr">
        <is>
          <t>InputLevel</t>
        </is>
      </c>
      <c r="E1007" s="5" t="inlineStr">
        <is>
          <t>Factor</t>
        </is>
      </c>
      <c r="F1007" s="5" t="inlineStr">
        <is>
          <t>CoefficientPercent</t>
        </is>
      </c>
      <c r="G1007" s="5" t="inlineStr">
        <is>
          <t>EffectiveHits</t>
        </is>
      </c>
      <c r="H1007" s="5" t="inlineStr">
        <is>
          <t>ProcProbability</t>
        </is>
      </c>
      <c r="I1007" s="5" t="inlineStr">
        <is>
          <t>MapleHeroMultiplier</t>
        </is>
      </c>
      <c r="J1007" s="5" t="inlineStr">
        <is>
          <t>BaseDamage</t>
        </is>
      </c>
      <c r="K1007" s="5" t="inlineStr">
        <is>
          <t>BaseHitDamage</t>
        </is>
      </c>
      <c r="L1007" s="5" t="inlineStr">
        <is>
          <t>NonCritAvg</t>
        </is>
      </c>
      <c r="M1007" s="5" t="inlineStr">
        <is>
          <t>CritAvg</t>
        </is>
      </c>
      <c r="N1007" s="5" t="inlineStr">
        <is>
          <t>ExpectedDamage(perHit)</t>
        </is>
      </c>
      <c r="O1007" s="5" t="inlineStr">
        <is>
          <t>DPS</t>
        </is>
      </c>
      <c r="P1007" s="5" t="inlineStr">
        <is>
          <t>% of Total</t>
        </is>
      </c>
      <c r="R1007" t="inlineStr">
        <is>
          <t>helpers</t>
        </is>
      </c>
    </row>
    <row r="1008">
      <c r="A1008">
        <f>Skills!A2</f>
        <v/>
      </c>
      <c r="B1008">
        <f>Skills!B2</f>
        <v/>
      </c>
      <c r="C1008">
        <f>Inputs!$B$3&gt;=100</f>
        <v/>
      </c>
      <c r="D1008" t="inlineStr"/>
      <c r="E1008" t="inlineStr"/>
      <c r="F1008">
        <f>T1010+Skills!N2</f>
        <v/>
      </c>
      <c r="G1008">
        <f>Calc!G2</f>
        <v/>
      </c>
      <c r="H1008">
        <f>Calc!H2</f>
        <v/>
      </c>
      <c r="I1008">
        <f>IF(Skills!T2&lt;&gt;"",1+(Skills!T2/10)*(Z1009/1000)/100,1)</f>
        <v/>
      </c>
      <c r="J1008">
        <f>((Inputs!$B$6*(1+Inputs!$B$7/100))+(((Inputs!$B$12*(1+Inputs!$B$13/100))-(Inputs!$B$12*(1+Inputs!$B$13/100)))+0.25*(Inputs!$B$14-Inputs!$B$14))*(1+Inputs!$B$7/100))*(F1008/100)</f>
        <v/>
      </c>
      <c r="K1008">
        <f>J1008*(1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1024-Calc!F18),(Inputs!$B$23+(IF(ArtifactsInput!$M$15,CHOOSE(ArtifactsInput!$N$15+1,25,30,35,40,45,50)/100*(Inputs!$B$11-Inputs!$B$11),0))))/100+(Inputs!$B$23+(IF(ArtifactsInput!$M$15,CHOOSE(ArtifactsInput!$N$15+1,25,30,35,40,45,50)/100*(Inputs!$B$11-Inputs!$B$11),0)))/100)/2</f>
        <v/>
      </c>
      <c r="M1008">
        <f>L1008*(1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IF(B1042=0,0,O1008/B1042)</f>
        <v/>
      </c>
      <c r="Q1008">
        <f>IFERROR(1/IF(Inputs!$B$38="pvp",15,MAX(0.1,Skills!D2-IF(Skills!E2=TRUE,Inputs!$B$32,0))),0)</f>
        <v/>
      </c>
      <c r="R1008" t="n">
        <v>0</v>
      </c>
      <c r="S1008">
        <f>IF(C1008,(Skills!F2*N1008*B1038)*IF(Inputs!$B$38="pvp",1,1+(Inputs!$B$20+Skills!O2+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08">
        <f>MAX(0,(Inputs!$B$3-100)*3)+Inputs!$B$28+Inputs!$B$29</f>
        <v/>
      </c>
      <c r="U1008">
        <f>IF(C1008,(Skills!F2*N1008*B1038)*IF(Inputs!$B$38="pvp",1,(1+(Inputs!$B$21+Skills!P2+B1033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08">
        <f>MAX(0,(Inputs!$B$3-100)*3)+Inputs!$B$28+Inputs!$B$29</f>
        <v/>
      </c>
    </row>
    <row r="1009">
      <c r="A1009">
        <f>Skills!A3</f>
        <v/>
      </c>
      <c r="B1009">
        <f>Skills!B3</f>
        <v/>
      </c>
      <c r="C1009">
        <f>Inputs!$B$3&gt;=15</f>
        <v/>
      </c>
      <c r="D1009">
        <f>IF(Skills!C3=1,60+Inputs!$B$25+Inputs!$B$29,IF(Skills!C3=2,90+Inputs!$B$26+Inputs!$B$29,IF(Skills!C3=3,120+Inputs!$B$27+Inputs!$B$29,MAX(0,(Inputs!$B$3-100)*3)+Inputs!$B$28+Inputs!$B$29)))</f>
        <v/>
      </c>
      <c r="E1009">
        <f>INDEX(FactorTable!$B$2:$Y$301, MATCH(ROUND(MIN(300,MAX(1,D1009)),0), FactorTable!$A$2:$A$301,0), Skills!L3+1)</f>
        <v/>
      </c>
      <c r="F1009">
        <f>IF(Skills!M3=TRUE,(Skills!K3/10)*(E1009/1000),Skills!K3/10)+Skills!N3</f>
        <v/>
      </c>
      <c r="G1009">
        <f>Calc!G3</f>
        <v/>
      </c>
      <c r="H1009">
        <f>Calc!H3</f>
        <v/>
      </c>
      <c r="I1009">
        <f>IF(Skills!T3&lt;&gt;"",1+(Skills!T3/10)*(Z1009/1000)/100,1)</f>
        <v/>
      </c>
      <c r="J1009" t="inlineStr"/>
      <c r="K1009" t="inlineStr"/>
      <c r="L1009" t="inlineStr"/>
      <c r="M1009" t="inlineStr"/>
      <c r="N1009" t="inlineStr"/>
      <c r="O1009">
        <f>(1-Summary!$B$11)*S1009+Summary!$B$11*U1009</f>
        <v/>
      </c>
      <c r="P1009">
        <f>IF(B1042=0,0,O1009/B1042)</f>
        <v/>
      </c>
      <c r="Q1009">
        <f>IFERROR(1/IF(Inputs!$B$38="pvp",15,MAX(0.1,Skills!D3-IF(Skills!E3=TRUE,Inputs!$B$32,0))),0)</f>
        <v/>
      </c>
      <c r="R1009">
        <f>IF(AND(Inputs!$B$38&lt;&gt;"pvp",Inputs!$B$43&gt;0),IF(Inputs!$B$43&lt;=0,0,(INT(Inputs!$B$43/IF(Inputs!$B$38="pvp",15,MAX(0.1,Skills!D3-IF(Skills!E3=TRUE,Inputs!$B$32,0))))+1)),0)</f>
        <v/>
      </c>
      <c r="S1009" t="n">
        <v>0</v>
      </c>
      <c r="T1009">
        <f>INDEX(FactorTable!$B$2:$Y$301, MATCH(ROUND(MIN(300,MAX(1,T1008)),0), FactorTable!$A$2:$A$301,0), 22)</f>
        <v/>
      </c>
      <c r="U1009" t="n">
        <v>0</v>
      </c>
      <c r="Z1009">
        <f>INDEX(FactorTable!$B$2:$Y$301, MATCH(ROUND(MIN(300,MAX(1,Z1008)),0), FactorTable!$A$2:$A$301,0), 24)</f>
        <v/>
      </c>
    </row>
    <row r="1010">
      <c r="A1010">
        <f>Skills!A4</f>
        <v/>
      </c>
      <c r="B1010">
        <f>Skills!B4</f>
        <v/>
      </c>
      <c r="C1010">
        <f>Inputs!$B$3&gt;=40</f>
        <v/>
      </c>
      <c r="D1010">
        <f>IF(Skills!C4=1,60+Inputs!$B$25+Inputs!$B$29,IF(Skills!C4=2,90+Inputs!$B$26+Inputs!$B$29,IF(Skills!C4=3,120+Inputs!$B$27+Inputs!$B$29,MAX(0,(Inputs!$B$3-100)*3)+Inputs!$B$28+Inputs!$B$29)))</f>
        <v/>
      </c>
      <c r="E1010">
        <f>INDEX(FactorTable!$B$2:$Y$301, MATCH(ROUND(MIN(300,MAX(1,D1010)),0), FactorTable!$A$2:$A$301,0), Skills!L4+1)</f>
        <v/>
      </c>
      <c r="F1010">
        <f>IF(Skills!M4=TRUE,(Skills!K4/10)*(E1010/1000),Skills!K4/10)+Skills!N4</f>
        <v/>
      </c>
      <c r="G1010">
        <f>Calc!G4</f>
        <v/>
      </c>
      <c r="H1010">
        <f>Calc!H4</f>
        <v/>
      </c>
      <c r="I1010">
        <f>IF(Skills!T4&lt;&gt;"",1+(Skills!T4/10)*(Z1009/1000)/100,1)</f>
        <v/>
      </c>
      <c r="J1010" t="inlineStr"/>
      <c r="K1010" t="inlineStr"/>
      <c r="L1010" t="inlineStr"/>
      <c r="M1010" t="inlineStr"/>
      <c r="N1010" t="inlineStr"/>
      <c r="O1010">
        <f>(1-Summary!$B$11)*S1010+Summary!$B$11*U1010</f>
        <v/>
      </c>
      <c r="P1010">
        <f>IF(B1042=0,0,O1010/B1042)</f>
        <v/>
      </c>
      <c r="Q1010">
        <f>IFERROR(1/IF(Inputs!$B$38="pvp",15,MAX(0.1,Skills!D4-IF(Skills!E4=TRUE,Inputs!$B$32,0))),0)</f>
        <v/>
      </c>
      <c r="R1010">
        <f>IF(AND(Inputs!$B$38&lt;&gt;"pvp",Inputs!$B$43&gt;0),IF(Inputs!$B$43&lt;=0,0,(INT(Inputs!$B$43/IF(Inputs!$B$38="pvp",15,MAX(0.1,Skills!D4-IF(Skills!E4=TRUE,Inputs!$B$32,0))))+1)),0)</f>
        <v/>
      </c>
      <c r="S1010" t="n">
        <v>0</v>
      </c>
      <c r="T1010">
        <f>290*T1009/1000</f>
        <v/>
      </c>
      <c r="U1010" t="n">
        <v>0</v>
      </c>
    </row>
    <row r="1011">
      <c r="A1011">
        <f>Skills!A5</f>
        <v/>
      </c>
      <c r="B1011">
        <f>Skills!B5</f>
        <v/>
      </c>
      <c r="C1011">
        <f>Inputs!$B$3&gt;=38</f>
        <v/>
      </c>
      <c r="D1011">
        <f>IF(Skills!C5=1,60+Inputs!$B$25+Inputs!$B$29,IF(Skills!C5=2,90+Inputs!$B$26+Inputs!$B$29,IF(Skills!C5=3,120+Inputs!$B$27+Inputs!$B$29,MAX(0,(Inputs!$B$3-100)*3)+Inputs!$B$28+Inputs!$B$29)))</f>
        <v/>
      </c>
      <c r="E1011">
        <f>INDEX(FactorTable!$B$2:$Y$301, MATCH(ROUND(MIN(300,MAX(1,D1011)),0), FactorTable!$A$2:$A$301,0), Skills!L5+1)</f>
        <v/>
      </c>
      <c r="F1011">
        <f>IF(Skills!M5=TRUE,(Skills!K5/10)*(E1011/1000),Skills!K5/10)+Skills!N5</f>
        <v/>
      </c>
      <c r="G1011">
        <f>Calc!G5</f>
        <v/>
      </c>
      <c r="H1011">
        <f>Calc!H5</f>
        <v/>
      </c>
      <c r="I1011">
        <f>IF(Skills!T5&lt;&gt;"",1+(Skills!T5/10)*(Z1009/1000)/100,1)</f>
        <v/>
      </c>
      <c r="J1011">
        <f>((Inputs!$B$6*(1+Inputs!$B$7/100))+(((Inputs!$B$12*(1+Inputs!$B$13/100))-(Inputs!$B$12*(1+Inputs!$B$13/100)))+0.25*(Inputs!$B$14-Inputs!$B$14))*(1+Inputs!$B$7/100))*(F1011/100)</f>
        <v/>
      </c>
      <c r="K1011">
        <f>J1011*(1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1011)</f>
        <v/>
      </c>
      <c r="L1011">
        <f>K1011*(MIN(Inputs!$B$22+(F1024-Calc!F18),(Inputs!$B$23+(IF(ArtifactsInput!$M$15,CHOOSE(ArtifactsInput!$N$15+1,25,30,35,40,45,50)/100*(Inputs!$B$11-Inputs!$B$11),0))))/100+(Inputs!$B$23+(IF(ArtifactsInput!$M$15,CHOOSE(ArtifactsInput!$N$15+1,25,30,35,40,45,50)/100*(Inputs!$B$11-Inputs!$B$11),0)))/100)/2</f>
        <v/>
      </c>
      <c r="M1011">
        <f>L1011*(1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1">
        <f>L1011*(1-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1">
        <f>(1-Summary!$B$11)*S1011+Summary!$B$11*U1011</f>
        <v/>
      </c>
      <c r="P1011">
        <f>IF(B1042=0,0,O1011/B1042)</f>
        <v/>
      </c>
      <c r="Q1011">
        <f>IFERROR(1/IF(Inputs!$B$38="pvp",15,MAX(0.1,Skills!D5-IF(Skills!E5=TRUE,Inputs!$B$32,0))),0)</f>
        <v/>
      </c>
      <c r="R1011">
        <f>IF(AND(Inputs!$B$38&lt;&gt;"pvp",Inputs!$B$43&gt;0),IF(MAX(0,Inputs!$B$43-B1039)&lt;=0,0,(INT(MAX(0,Inputs!$B$43-B1039)/IF(Inputs!$B$38="pvp",15,MAX(0.1,Skills!D5-IF(Skills!E5=TRUE,Inputs!$B$32,0))))+1)),0)</f>
        <v/>
      </c>
      <c r="S1011">
        <f>IF(C1011,(H1011*N1011*IF(AND(Inputs!$B$38&lt;&gt;"pvp",Inputs!$B$43&gt;0),((Skills!F5*((R1011-1)*IF(Skills!G5&gt;0,Skills!H5/Skills!G5,1)+IF(Skills!G5&gt;0,MIN(Skills!H5,MAX(0,MAX(0,Inputs!$B$43-B1039)-((R1011-1)*IF(Inputs!$B$38="pvp",15,MAX(0.1,Skills!D5-IF(Skills!E5=TRUE,Inputs!$B$32,0))))))/Skills!G5,1)))/Inputs!$B$43),G1011*Q1011))*IF(Inputs!$B$38="pvp",1,1+(Inputs!$B$20+Skills!O5+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1">
        <f>IF(C1011,(H1011*N1011*IF(AND(Inputs!$B$38&lt;&gt;"pvp",Inputs!$B$43&gt;0),((Skills!F5*((R1011-1)*IF(Skills!G5&gt;0,Skills!H5/Skills!G5,1)+IF(Skills!G5&gt;0,MIN(Skills!H5,MAX(0,MAX(0,Inputs!$B$43-B1039)-((R1011-1)*IF(Inputs!$B$38="pvp",15,MAX(0.1,Skills!D5-IF(Skills!E5=TRUE,Inputs!$B$32,0))))))/Skills!G5,1)))/Inputs!$B$43),G1011*Q1011))*IF(Inputs!$B$38="pvp",1,(1+(Inputs!$B$21+Skills!P5+B1033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2">
      <c r="A1012">
        <f>Skills!A6</f>
        <v/>
      </c>
      <c r="B1012">
        <f>Skills!B6</f>
        <v/>
      </c>
      <c r="C1012">
        <f>Inputs!$B$3&gt;=63</f>
        <v/>
      </c>
      <c r="D1012">
        <f>IF(Skills!C6=1,60+Inputs!$B$25+Inputs!$B$29,IF(Skills!C6=2,90+Inputs!$B$26+Inputs!$B$29,IF(Skills!C6=3,120+Inputs!$B$27+Inputs!$B$29,MAX(0,(Inputs!$B$3-100)*3)+Inputs!$B$28+Inputs!$B$29)))</f>
        <v/>
      </c>
      <c r="E1012">
        <f>INDEX(FactorTable!$B$2:$Y$301, MATCH(ROUND(MIN(300,MAX(1,D1012)),0), FactorTable!$A$2:$A$301,0), Skills!L6+1)</f>
        <v/>
      </c>
      <c r="F1012">
        <f>IF(Skills!M6=TRUE,(Skills!K6/10)*(E1012/1000),Skills!K6/10)+Skills!N6</f>
        <v/>
      </c>
      <c r="G1012">
        <f>Calc!G6</f>
        <v/>
      </c>
      <c r="H1012">
        <f>Calc!H6</f>
        <v/>
      </c>
      <c r="I1012">
        <f>IF(Skills!T6&lt;&gt;"",1+(Skills!T6/10)*(Z1009/1000)/100,1)</f>
        <v/>
      </c>
      <c r="J1012">
        <f>((Inputs!$B$6*(1+Inputs!$B$7/100))+(((Inputs!$B$12*(1+Inputs!$B$13/100))-(Inputs!$B$12*(1+Inputs!$B$13/100)))+0.25*(Inputs!$B$14-Inputs!$B$14))*(1+Inputs!$B$7/100))*(F1012/100)</f>
        <v/>
      </c>
      <c r="K1012">
        <f>J1012*(1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1012)</f>
        <v/>
      </c>
      <c r="L1012">
        <f>K1012*(MIN(Inputs!$B$22+(F1024-Calc!F18),(Inputs!$B$23+(IF(ArtifactsInput!$M$15,CHOOSE(ArtifactsInput!$N$15+1,25,30,35,40,45,50)/100*(Inputs!$B$11-Inputs!$B$11),0))))/100+(Inputs!$B$23+(IF(ArtifactsInput!$M$15,CHOOSE(ArtifactsInput!$N$15+1,25,30,35,40,45,50)/100*(Inputs!$B$11-Inputs!$B$11),0)))/100)/2</f>
        <v/>
      </c>
      <c r="M1012">
        <f>L1012*(1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2">
        <f>L1012*(1-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1012*(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2">
        <f>(1-Summary!$B$11)*S1012+Summary!$B$11*U1012</f>
        <v/>
      </c>
      <c r="P1012">
        <f>IF(B1042=0,0,O1012/B1042)</f>
        <v/>
      </c>
      <c r="Q1012">
        <f>IFERROR(1/IF(Inputs!$B$38="pvp",15,MAX(0.1,Skills!D6-IF(Skills!E6=TRUE,Inputs!$B$32,0))),0)</f>
        <v/>
      </c>
      <c r="R1012">
        <f>IF(AND(Inputs!$B$38&lt;&gt;"pvp",Inputs!$B$43&gt;0),IF(MAX(0,Inputs!$B$43-B1039)&lt;=0,0,(INT(MAX(0,Inputs!$B$43-B1039)/IF(Inputs!$B$38="pvp",15,MAX(0.1,Skills!D6-IF(Skills!E6=TRUE,Inputs!$B$32,0))))+1)),0)</f>
        <v/>
      </c>
      <c r="S1012">
        <f>IF(C1012,(H1012*N1012*IF(AND(Inputs!$B$38&lt;&gt;"pvp",Inputs!$B$43&gt;0),((Skills!F6*((R1012-1)*IF(Skills!G6&gt;0,Skills!H6/Skills!G6,1)+IF(Skills!G6&gt;0,MIN(Skills!H6,MAX(0,MAX(0,Inputs!$B$43-B1039)-((R1012-1)*IF(Inputs!$B$38="pvp",15,MAX(0.1,Skills!D6-IF(Skills!E6=TRUE,Inputs!$B$32,0))))))/Skills!G6,1)))/Inputs!$B$43),G1012*Q1012))*IF(Inputs!$B$38="pvp",1,1+(Inputs!$B$20+Skills!O6+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1012*(1-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1012*(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1012*(1-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1012*(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2">
        <f>IF(C1012,(H1012*N1012*IF(AND(Inputs!$B$38&lt;&gt;"pvp",Inputs!$B$43&gt;0),((Skills!F6*((R1012-1)*IF(Skills!G6&gt;0,Skills!H6/Skills!G6,1)+IF(Skills!G6&gt;0,MIN(Skills!H6,MAX(0,MAX(0,Inputs!$B$43-B1039)-((R1012-1)*IF(Inputs!$B$38="pvp",15,MAX(0.1,Skills!D6-IF(Skills!E6=TRUE,Inputs!$B$32,0))))))/Skills!G6,1)))/Inputs!$B$43),G1012*Q1012))*IF(Inputs!$B$38="pvp",1,(1+(Inputs!$B$21+Skills!P6+B1033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3">
      <c r="A1013">
        <f>Skills!A7</f>
        <v/>
      </c>
      <c r="B1013">
        <f>Skills!B7</f>
        <v/>
      </c>
      <c r="C1013">
        <f>Inputs!$B$3&gt;=69</f>
        <v/>
      </c>
      <c r="D1013">
        <f>IF(Skills!C7=1,60+Inputs!$B$25+Inputs!$B$29,IF(Skills!C7=2,90+Inputs!$B$26+Inputs!$B$29,IF(Skills!C7=3,120+Inputs!$B$27+Inputs!$B$29,MAX(0,(Inputs!$B$3-100)*3)+Inputs!$B$28+Inputs!$B$29)))</f>
        <v/>
      </c>
      <c r="E1013">
        <f>INDEX(FactorTable!$B$2:$Y$301, MATCH(ROUND(MIN(300,MAX(1,D1013)),0), FactorTable!$A$2:$A$301,0), Skills!L7+1)</f>
        <v/>
      </c>
      <c r="F1013">
        <f>IF(Skills!M7=TRUE,(Skills!K7/10)*(E1013/1000),Skills!K7/10)+Skills!N7</f>
        <v/>
      </c>
      <c r="G1013">
        <f>Calc!G7</f>
        <v/>
      </c>
      <c r="H1013">
        <f>Calc!H7</f>
        <v/>
      </c>
      <c r="I1013">
        <f>IF(Skills!T7&lt;&gt;"",1+(Skills!T7/10)*(Z1009/1000)/100,1)</f>
        <v/>
      </c>
      <c r="J1013">
        <f>((Inputs!$B$6*(1+Inputs!$B$7/100))+(((Inputs!$B$12*(1+Inputs!$B$13/100))-(Inputs!$B$12*(1+Inputs!$B$13/100)))+0.25*(Inputs!$B$14-Inputs!$B$14))*(1+Inputs!$B$7/100))*(F1013/100)</f>
        <v/>
      </c>
      <c r="K1013">
        <f>J1013*(1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F1024-Calc!F18),(Inputs!$B$23+(IF(ArtifactsInput!$M$15,CHOOSE(ArtifactsInput!$N$15+1,25,30,35,40,45,50)/100*(Inputs!$B$11-Inputs!$B$11),0))))/100+(Inputs!$B$23+(IF(ArtifactsInput!$M$15,CHOOSE(ArtifactsInput!$N$15+1,25,30,35,40,45,50)/100*(Inputs!$B$11-Inputs!$B$11),0)))/100)/2</f>
        <v/>
      </c>
      <c r="M1013">
        <f>L1013*(1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(1-Summary!$B$11)*S1013+Summary!$B$11*U1013</f>
        <v/>
      </c>
      <c r="P1013">
        <f>IF(B1042=0,0,O1013/B1042)</f>
        <v/>
      </c>
      <c r="Q1013">
        <f>IFERROR(1/IF(Inputs!$B$38="pvp",15,MAX(0.1,Skills!D7-IF(Skills!E7=TRUE,Inputs!$B$32,0))),0)</f>
        <v/>
      </c>
      <c r="R1013">
        <f>IF(AND(Inputs!$B$38&lt;&gt;"pvp",Inputs!$B$43&gt;0),IF(MAX(0,Inputs!$B$43-B1039)&lt;=0,0,(INT(MAX(0,Inputs!$B$43-B1039)/IF(Inputs!$B$38="pvp",15,MAX(0.1,Skills!D7-IF(Skills!E7=TRUE,Inputs!$B$32,0))))+1)),0)</f>
        <v/>
      </c>
      <c r="S1013">
        <f>IF(C1013,(H1013*N1013*IF(AND(Inputs!$B$38&lt;&gt;"pvp",Inputs!$B$43&gt;0),((Skills!F7*((R1013-1)*IF(Skills!G7&gt;0,Skills!H7/Skills!G7,1)+IF(Skills!G7&gt;0,MIN(Skills!H7,MAX(0,MAX(0,Inputs!$B$43-B1039)-((R1013-1)*IF(Inputs!$B$38="pvp",15,MAX(0.1,Skills!D7-IF(Skills!E7=TRUE,Inputs!$B$32,0))))))/Skills!G7,1)))/Inputs!$B$43),G1013*Q1013))*IF(Inputs!$B$38="pvp",1,1+(Inputs!$B$20+Skills!O7+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1013*(1-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3">
        <f>IF(C1013,(H1013*N1013*IF(AND(Inputs!$B$38&lt;&gt;"pvp",Inputs!$B$43&gt;0),((Skills!F7*((R1013-1)*IF(Skills!G7&gt;0,Skills!H7/Skills!G7,1)+IF(Skills!G7&gt;0,MIN(Skills!H7,MAX(0,MAX(0,Inputs!$B$43-B1039)-((R1013-1)*IF(Inputs!$B$38="pvp",15,MAX(0.1,Skills!D7-IF(Skills!E7=TRUE,Inputs!$B$32,0))))))/Skills!G7,1)))/Inputs!$B$43),G1013*Q1013))*IF(Inputs!$B$38="pvp",1,(1+(Inputs!$B$21+Skills!P7+B1033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Skills!A8</f>
        <v/>
      </c>
      <c r="B1014">
        <f>Skills!B8</f>
        <v/>
      </c>
      <c r="C1014">
        <f>Inputs!$B$3&gt;=103</f>
        <v/>
      </c>
      <c r="D1014">
        <f>IF(Skills!C8=1,60+Inputs!$B$25+Inputs!$B$29,IF(Skills!C8=2,90+Inputs!$B$26+Inputs!$B$29,IF(Skills!C8=3,120+Inputs!$B$27+Inputs!$B$29,MAX(0,(Inputs!$B$3-100)*3)+Inputs!$B$28+Inputs!$B$29)))</f>
        <v/>
      </c>
      <c r="E1014">
        <f>INDEX(FactorTable!$B$2:$Y$301, MATCH(ROUND(MIN(300,MAX(1,D1014)),0), FactorTable!$A$2:$A$301,0), Skills!L8+1)</f>
        <v/>
      </c>
      <c r="F1014">
        <f>IF(Skills!M8=TRUE,(Skills!K8/10)*(E1014/1000),Skills!K8/10)+Skills!N8</f>
        <v/>
      </c>
      <c r="G1014">
        <f>Calc!G8</f>
        <v/>
      </c>
      <c r="H1014">
        <f>Calc!H8</f>
        <v/>
      </c>
      <c r="I1014">
        <f>IF(Skills!T8&lt;&gt;"",1+(Skills!T8/10)*(Z1009/1000)/100,1)</f>
        <v/>
      </c>
      <c r="J1014">
        <f>((Inputs!$B$6*(1+Inputs!$B$7/100))+(((Inputs!$B$12*(1+Inputs!$B$13/100))-(Inputs!$B$12*(1+Inputs!$B$13/100)))+0.25*(Inputs!$B$14-Inputs!$B$14))*(1+Inputs!$B$7/100))*(F1014/100)</f>
        <v/>
      </c>
      <c r="K1014">
        <f>J1014*(1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F1024-Calc!F18),(Inputs!$B$23+(IF(ArtifactsInput!$M$15,CHOOSE(ArtifactsInput!$N$15+1,25,30,35,40,45,50)/100*(Inputs!$B$11-Inputs!$B$11),0))))/100+(Inputs!$B$23+(IF(ArtifactsInput!$M$15,CHOOSE(ArtifactsInput!$N$15+1,25,30,35,40,45,50)/100*(Inputs!$B$11-Inputs!$B$11),0)))/100)/2</f>
        <v/>
      </c>
      <c r="M1014">
        <f>L1014*(1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(1-Summary!$B$11)*S1014+Summary!$B$11*U1014</f>
        <v/>
      </c>
      <c r="P1014">
        <f>IF(B1042=0,0,O1014/B1042)</f>
        <v/>
      </c>
      <c r="Q1014">
        <f>IFERROR(1/IF(Inputs!$B$38="pvp",15,MAX(0.1,Skills!D8-IF(Skills!E8=TRUE,Inputs!$B$32,0))),0)</f>
        <v/>
      </c>
      <c r="R1014">
        <f>IF(AND(Inputs!$B$38&lt;&gt;"pvp",Inputs!$B$43&gt;0),IF(MAX(0,Inputs!$B$43-B1039)&lt;=0,0,(INT(MAX(0,Inputs!$B$43-B1039)/IF(Inputs!$B$38="pvp",15,MAX(0.1,Skills!D8-IF(Skills!E8=TRUE,Inputs!$B$32,0))))+1)),0)</f>
        <v/>
      </c>
      <c r="S1014">
        <f>IF(C1014,(H1014*N1014*IF(AND(Inputs!$B$38&lt;&gt;"pvp",Inputs!$B$43&gt;0),((Skills!F8*((R1014-1)*IF(Skills!G8&gt;0,Skills!H8/Skills!G8,1)+IF(Skills!G8&gt;0,MIN(Skills!H8,MAX(0,MAX(0,Inputs!$B$43-B1039)-((R1014-1)*IF(Inputs!$B$38="pvp",15,MAX(0.1,Skills!D8-IF(Skills!E8=TRUE,Inputs!$B$32,0))))))/Skills!G8,1)))/Inputs!$B$43),G1014*Q1014))*IF(Inputs!$B$38="pvp",1,1+(Inputs!$B$20+Skills!O8+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1014*(1-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4">
        <f>IF(C1014,(H1014*N1014*IF(AND(Inputs!$B$38&lt;&gt;"pvp",Inputs!$B$43&gt;0),((Skills!F8*((R1014-1)*IF(Skills!G8&gt;0,Skills!H8/Skills!G8,1)+IF(Skills!G8&gt;0,MIN(Skills!H8,MAX(0,MAX(0,Inputs!$B$43-B1039)-((R1014-1)*IF(Inputs!$B$38="pvp",15,MAX(0.1,Skills!D8-IF(Skills!E8=TRUE,Inputs!$B$32,0))))))/Skills!G8,1)))/Inputs!$B$43),G1014*Q1014))*IF(Inputs!$B$38="pvp",1,(1+(Inputs!$B$21+Skills!P8+B1033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Skills!A9</f>
        <v/>
      </c>
      <c r="B1015">
        <f>Skills!B9</f>
        <v/>
      </c>
      <c r="C1015">
        <f>Inputs!$B$3&gt;=105</f>
        <v/>
      </c>
      <c r="D1015">
        <f>IF(Skills!C9=1,60+Inputs!$B$25+Inputs!$B$29,IF(Skills!C9=2,90+Inputs!$B$26+Inputs!$B$29,IF(Skills!C9=3,120+Inputs!$B$27+Inputs!$B$29,MAX(0,(Inputs!$B$3-100)*3)+Inputs!$B$28+Inputs!$B$29)))</f>
        <v/>
      </c>
      <c r="E1015">
        <f>INDEX(FactorTable!$B$2:$Y$301, MATCH(ROUND(MIN(300,MAX(1,D1015)),0), FactorTable!$A$2:$A$301,0), Skills!L9+1)</f>
        <v/>
      </c>
      <c r="F1015">
        <f>IF(Skills!M9=TRUE,(Skills!K9/10)*(E1015/1000),Skills!K9/10)+Skills!N9</f>
        <v/>
      </c>
      <c r="G1015">
        <f>Calc!G9</f>
        <v/>
      </c>
      <c r="H1015">
        <f>Calc!H9</f>
        <v/>
      </c>
      <c r="I1015">
        <f>IF(Skills!T9&lt;&gt;"",1+(Skills!T9/10)*(Z1009/1000)/100,1)</f>
        <v/>
      </c>
      <c r="J1015">
        <f>((Inputs!$B$6*(1+Inputs!$B$7/100))+(((Inputs!$B$12*(1+Inputs!$B$13/100))-(Inputs!$B$12*(1+Inputs!$B$13/100)))+0.25*(Inputs!$B$14-Inputs!$B$14))*(1+Inputs!$B$7/100))*(F1015/100)</f>
        <v/>
      </c>
      <c r="K1015">
        <f>J1015*(1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F1024-Calc!F18),(Inputs!$B$23+(IF(ArtifactsInput!$M$15,CHOOSE(ArtifactsInput!$N$15+1,25,30,35,40,45,50)/100*(Inputs!$B$11-Inputs!$B$11),0))))/100+(Inputs!$B$23+(IF(ArtifactsInput!$M$15,CHOOSE(ArtifactsInput!$N$15+1,25,30,35,40,45,50)/100*(Inputs!$B$11-Inputs!$B$11),0)))/100)/2</f>
        <v/>
      </c>
      <c r="M1015">
        <f>L1015*(1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(1-Summary!$B$11)*S1015+Summary!$B$11*U1015</f>
        <v/>
      </c>
      <c r="P1015">
        <f>IF(B1042=0,0,O1015/B1042)</f>
        <v/>
      </c>
      <c r="Q1015">
        <f>IFERROR(1/IF(Inputs!$B$38="pvp",15,MAX(0.1,Skills!D9-IF(Skills!E9=TRUE,Inputs!$B$32,0))),0)</f>
        <v/>
      </c>
      <c r="R1015">
        <f>IF(AND(Inputs!$B$38&lt;&gt;"pvp",Inputs!$B$43&gt;0),IF(MAX(0,Inputs!$B$43-B1039)&lt;=0,0,(INT(MAX(0,Inputs!$B$43-B1039)/IF(Inputs!$B$38="pvp",15,MAX(0.1,Skills!D9-IF(Skills!E9=TRUE,Inputs!$B$32,0))))+1)),0)</f>
        <v/>
      </c>
      <c r="S1015">
        <f>IF(C1015,(H1015*N1015*IF(AND(Inputs!$B$38&lt;&gt;"pvp",Inputs!$B$43&gt;0),((Skills!F9*((R1015-1)*IF(Skills!G9&gt;0,Skills!H9/Skills!G9,1)+IF(Skills!G9&gt;0,MIN(Skills!H9,MAX(0,MAX(0,Inputs!$B$43-B1039)-((R1015-1)*IF(Inputs!$B$38="pvp",15,MAX(0.1,Skills!D9-IF(Skills!E9=TRUE,Inputs!$B$32,0))))))/Skills!G9,1)))/Inputs!$B$43),G1015*Q1015))*IF(Inputs!$B$38="pvp",1,1+(Inputs!$B$20+Skills!O9+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1015*(1-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5">
        <f>IF(C1015,(H1015*N1015*IF(AND(Inputs!$B$38&lt;&gt;"pvp",Inputs!$B$43&gt;0),((Skills!F9*((R1015-1)*IF(Skills!G9&gt;0,Skills!H9/Skills!G9,1)+IF(Skills!G9&gt;0,MIN(Skills!H9,MAX(0,MAX(0,Inputs!$B$43-B1039)-((R1015-1)*IF(Inputs!$B$38="pvp",15,MAX(0.1,Skills!D9-IF(Skills!E9=TRUE,Inputs!$B$32,0))))))/Skills!G9,1)))/Inputs!$B$43),G1015*Q1015))*IF(Inputs!$B$38="pvp",1,(1+(Inputs!$B$21+Skills!P9+B1033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6">
      <c r="A1016">
        <f>Skills!A10</f>
        <v/>
      </c>
      <c r="B1016">
        <f>Skills!B10</f>
        <v/>
      </c>
      <c r="C1016">
        <f>Inputs!$B$3&gt;=113</f>
        <v/>
      </c>
      <c r="D1016">
        <f>IF(Skills!C10=1,60+Inputs!$B$25+Inputs!$B$29,IF(Skills!C10=2,90+Inputs!$B$26+Inputs!$B$29,IF(Skills!C10=3,120+Inputs!$B$27+Inputs!$B$29,MAX(0,(Inputs!$B$3-100)*3)+Inputs!$B$28+Inputs!$B$29)))</f>
        <v/>
      </c>
      <c r="E1016">
        <f>INDEX(FactorTable!$B$2:$Y$301, MATCH(ROUND(MIN(300,MAX(1,D1016)),0), FactorTable!$A$2:$A$301,0), Skills!L10+1)</f>
        <v/>
      </c>
      <c r="F1016">
        <f>IF(Skills!M10=TRUE,(Skills!K10/10)*(E1016/1000),Skills!K10/10)+Skills!N10</f>
        <v/>
      </c>
      <c r="G1016">
        <f>Calc!G10</f>
        <v/>
      </c>
      <c r="H1016">
        <f>Calc!H10</f>
        <v/>
      </c>
      <c r="I1016">
        <f>IF(Skills!T10&lt;&gt;"",1+(Skills!T10/10)*(Z1009/1000)/100,1)</f>
        <v/>
      </c>
      <c r="J1016">
        <f>((Inputs!$B$6*(1+Inputs!$B$7/100))+(((Inputs!$B$12*(1+Inputs!$B$13/100))-(Inputs!$B$12*(1+Inputs!$B$13/100)))+0.25*(Inputs!$B$14-Inputs!$B$14))*(1+Inputs!$B$7/100))*(F1016/100)</f>
        <v/>
      </c>
      <c r="K1016">
        <f>J1016*(1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F1024-Calc!F18),(Inputs!$B$23+(IF(ArtifactsInput!$M$15,CHOOSE(ArtifactsInput!$N$15+1,25,30,35,40,45,50)/100*(Inputs!$B$11-Inputs!$B$11),0))))/100+(Inputs!$B$23+(IF(ArtifactsInput!$M$15,CHOOSE(ArtifactsInput!$N$15+1,25,30,35,40,45,50)/100*(Inputs!$B$11-Inputs!$B$11),0)))/100)/2</f>
        <v/>
      </c>
      <c r="M1016">
        <f>L1016*(1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(1-Summary!$B$11)*S1016+Summary!$B$11*U1016</f>
        <v/>
      </c>
      <c r="P1016">
        <f>IF(B1042=0,0,O1016/B1042)</f>
        <v/>
      </c>
      <c r="Q1016">
        <f>IFERROR(1/IF(Inputs!$B$38="pvp",15,MAX(0.1,Skills!D10-IF(Skills!E9=TRUE,Inputs!$B$32,0))),0)</f>
        <v/>
      </c>
      <c r="R1016">
        <f>IF(AND(Inputs!$B$38&lt;&gt;"pvp",Inputs!$B$43&gt;0),IF(MAX(0,Inputs!$B$43-B1039)&lt;=0,0,(INT(MAX(0,Inputs!$B$43-B1039)/IF(Inputs!$B$38="pvp",15,MAX(0.1,Skills!D10-IF(Skills!E9=TRUE,Inputs!$B$32,0))))+1)),0)</f>
        <v/>
      </c>
      <c r="S1016">
        <f>IF(C1016,(H1016*N1016*IF(AND(Inputs!$B$38&lt;&gt;"pvp",Inputs!$B$43&gt;0),((Skills!F10*((R1016-1)*IF(Skills!G10&gt;0,Skills!H10/Skills!G10,1)+IF(Skills!G10&gt;0,MIN(Skills!H10,MAX(0,MAX(0,Inputs!$B$43-B1039)-((R1016-1)*IF(Inputs!$B$38="pvp",15,MAX(0.1,Skills!D10-IF(Skills!E9=TRUE,Inputs!$B$32,0))))))/Skills!G10,1)))/Inputs!$B$43),G1016*Q1016))*IF(Inputs!$B$38="pvp",1,1+(Inputs!$B$20+Skills!O10+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1016*(1-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6">
        <f>IF(C1016,(H1016*N1016*IF(AND(Inputs!$B$38&lt;&gt;"pvp",Inputs!$B$43&gt;0),((Skills!F10*((R1016-1)*IF(Skills!G10&gt;0,Skills!H10/Skills!G10,1)+IF(Skills!G10&gt;0,MIN(Skills!H10,MAX(0,MAX(0,Inputs!$B$43-B1039)-((R1016-1)*IF(Inputs!$B$38="pvp",15,MAX(0.1,Skills!D10-IF(Skills!E9=TRUE,Inputs!$B$32,0))))))/Skills!G10,1)))/Inputs!$B$43),G1016*Q1016))*IF(Inputs!$B$38="pvp",1,(1+(Inputs!$B$21+Skills!P10+B1033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Skills!A11</f>
        <v/>
      </c>
      <c r="B1017">
        <f>Skills!B11</f>
        <v/>
      </c>
      <c r="C1017">
        <f>Inputs!$B$3&gt;=107</f>
        <v/>
      </c>
      <c r="D1017">
        <f>IF(Skills!C11=1,60+Inputs!$B$25+Inputs!$B$29,IF(Skills!C11=2,90+Inputs!$B$26+Inputs!$B$29,IF(Skills!C11=3,120+Inputs!$B$27+Inputs!$B$29,MAX(0,(Inputs!$B$3-100)*3)+Inputs!$B$28+Inputs!$B$29)))</f>
        <v/>
      </c>
      <c r="E1017">
        <f>INDEX(FactorTable!$B$2:$Y$301, MATCH(ROUND(MIN(300,MAX(1,D1017)),0), FactorTable!$A$2:$A$301,0), Skills!L11+1)</f>
        <v/>
      </c>
      <c r="F1017">
        <f>IF(Skills!M11=TRUE,(Skills!K11/10)*(E1017/1000),Skills!K11/10)+Skills!N11</f>
        <v/>
      </c>
      <c r="G1017">
        <f>Calc!G11</f>
        <v/>
      </c>
      <c r="H1017">
        <f>Calc!H11</f>
        <v/>
      </c>
      <c r="I1017">
        <f>IF(Skills!T11&lt;&gt;"",1+(Skills!T11/10)*(Z1009/1000)/100,1)</f>
        <v/>
      </c>
      <c r="J1017">
        <f>((Inputs!$B$6*(1+Inputs!$B$7/100))+(((Inputs!$B$12*(1+Inputs!$B$13/100))-(Inputs!$B$12*(1+Inputs!$B$13/100)))+0.25*(Inputs!$B$14-Inputs!$B$14))*(1+Inputs!$B$7/100))*(F1017/100)</f>
        <v/>
      </c>
      <c r="K1017">
        <f>J1017*(1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F1024-Calc!F18),(Inputs!$B$23+(IF(ArtifactsInput!$M$15,CHOOSE(ArtifactsInput!$N$15+1,25,30,35,40,45,50)/100*(Inputs!$B$11-Inputs!$B$11),0))))/100+(Inputs!$B$23+(IF(ArtifactsInput!$M$15,CHOOSE(ArtifactsInput!$N$15+1,25,30,35,40,45,50)/100*(Inputs!$B$11-Inputs!$B$11),0)))/100)/2</f>
        <v/>
      </c>
      <c r="M1017">
        <f>L1017*(1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(1-Summary!$B$11)*S1017+Summary!$B$11*U1017</f>
        <v/>
      </c>
      <c r="P1017">
        <f>IF(B1042=0,0,O1017/B1042)</f>
        <v/>
      </c>
      <c r="Q1017">
        <f>IFERROR(1/IF(Inputs!$B$38="pvp",15,MAX(0.1,Skills!D11-IF(Skills!E11=TRUE,Inputs!$B$32,0))),0)</f>
        <v/>
      </c>
      <c r="R1017">
        <f>IF(AND(Inputs!$B$38&lt;&gt;"pvp",Inputs!$B$43&gt;0),IF(MAX(0,Inputs!$B$43-B1039)&lt;=0,0,(INT(MAX(0,Inputs!$B$43-B1039)/IF(Inputs!$B$38="pvp",15,MAX(0.1,Skills!D11-IF(Skills!E11=TRUE,Inputs!$B$32,0))))+1)),0)</f>
        <v/>
      </c>
      <c r="S1017">
        <f>IF(C1017,H1017*N1017*IF(AND(Inputs!$B$38&lt;&gt;"pvp",Inputs!$B$43&gt;0),((Skills!F11*((R1017-1)*IF(Skills!G11&gt;0,Skills!H11/Skills!G11,1)+IF(Skills!G11&gt;0,MIN(Skills!H11,MAX(0,MAX(0,Inputs!$B$43-B1039)-((R1017-1)*IF(Inputs!$B$38="pvp",15,MAX(0.1,Skills!D11-IF(Skills!E11=TRUE,Inputs!$B$32,0))))))/Skills!G11,1)))/Inputs!$B$43),G1017*Q1017)*0.5*IF(Inputs!$B$38="pvp",1,1+(Inputs!$B$20+Skills!O11+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1017*(1-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7">
        <f>IF(C1017,H1017*N1017*IF(AND(Inputs!$B$38&lt;&gt;"pvp",Inputs!$B$43&gt;0),((Skills!F11*((R1017-1)*IF(Skills!G11&gt;0,Skills!H11/Skills!G11,1)+IF(Skills!G11&gt;0,MIN(Skills!H11,MAX(0,MAX(0,Inputs!$B$43-B1039)-((R1017-1)*IF(Inputs!$B$38="pvp",15,MAX(0.1,Skills!D11-IF(Skills!E11=TRUE,Inputs!$B$32,0))))))/Skills!G11,1)))/Inputs!$B$43),G1017*Q1017)*1*IF(Inputs!$B$38="pvp",1,(1+(Inputs!$B$21+Skills!P11+B1033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Skills!A12</f>
        <v/>
      </c>
      <c r="B1018">
        <f>Skills!B12</f>
        <v/>
      </c>
      <c r="C1018">
        <f>Inputs!$B$3&gt;=115</f>
        <v/>
      </c>
      <c r="D1018">
        <f>IF(Skills!C12=1,60+Inputs!$B$25+Inputs!$B$29,IF(Skills!C12=2,90+Inputs!$B$26+Inputs!$B$29,IF(Skills!C12=3,120+Inputs!$B$27+Inputs!$B$29,MAX(0,(Inputs!$B$3-100)*3)+Inputs!$B$28+Inputs!$B$29)))</f>
        <v/>
      </c>
      <c r="E1018">
        <f>INDEX(FactorTable!$B$2:$Y$301, MATCH(ROUND(MIN(300,MAX(1,D1018)),0), FactorTable!$A$2:$A$301,0), Skills!L12+1)</f>
        <v/>
      </c>
      <c r="F1018">
        <f>IF(Skills!M12=TRUE,(Skills!K12/10)*(E1018/1000),Skills!K12/10)+Skills!N12</f>
        <v/>
      </c>
      <c r="G1018">
        <f>Calc!G12</f>
        <v/>
      </c>
      <c r="H1018">
        <f>Calc!H12</f>
        <v/>
      </c>
      <c r="I1018">
        <f>IF(Skills!T12&lt;&gt;"",1+(Skills!T12/10)*(Z1009/1000)/100,1)</f>
        <v/>
      </c>
      <c r="J1018">
        <f>((Inputs!$B$6*(1+Inputs!$B$7/100))+(((Inputs!$B$12*(1+Inputs!$B$13/100))-(Inputs!$B$12*(1+Inputs!$B$13/100)))+0.25*(Inputs!$B$14-Inputs!$B$14))*(1+Inputs!$B$7/100))*(F1018/100)</f>
        <v/>
      </c>
      <c r="K1018">
        <f>J1018*(1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1024-Calc!F18),(Inputs!$B$23+(IF(ArtifactsInput!$M$15,CHOOSE(ArtifactsInput!$N$15+1,25,30,35,40,45,50)/100*(Inputs!$B$11-Inputs!$B$11),0))))/100+(Inputs!$B$23+(IF(ArtifactsInput!$M$15,CHOOSE(ArtifactsInput!$N$15+1,25,30,35,40,45,50)/100*(Inputs!$B$11-Inputs!$B$11),0)))/100)/2</f>
        <v/>
      </c>
      <c r="M1018">
        <f>L1018*(1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IF(B1042=0,0,O1018/B1042)</f>
        <v/>
      </c>
      <c r="Q1018">
        <f>IFERROR(1/IF(Inputs!$B$38="pvp",15,MAX(0.1,Skills!D12-IF(Skills!E12=TRUE,Inputs!$B$32,0))),0)</f>
        <v/>
      </c>
      <c r="R1018">
        <f>IF(AND(Inputs!$B$38&lt;&gt;"pvp",Inputs!$B$43&gt;0),IF(MAX(0,Inputs!$B$43-B1039)&lt;=0,0,(INT(MAX(0,Inputs!$B$43-B1039)/IF(Inputs!$B$38="pvp",15,MAX(0.1,Skills!D12-IF(Skills!E12=TRUE,Inputs!$B$32,0))))+1)),0)</f>
        <v/>
      </c>
      <c r="S1018">
        <f>IF(C1018,(H1018*N1018*IF(AND(Inputs!$B$38&lt;&gt;"pvp",Inputs!$B$43&gt;0),((Skills!F12*((R1018-1)*IF(Skills!G12&gt;0,Skills!H12/Skills!G12,1)+IF(Skills!G12&gt;0,MIN(Skills!H12,MAX(0,MAX(0,Inputs!$B$43-B1039)-((R1018-1)*IF(Inputs!$B$38="pvp",15,MAX(0.1,Skills!D12-IF(Skills!E12=TRUE,Inputs!$B$32,0))))))/Skills!G12,1)))/Inputs!$B$43),G1018*Q1018))*IF(Inputs!$B$38="pvp",1,1+(Inputs!$B$20+Skills!O12+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F12*((R1018-1)*IF(Skills!G12&gt;0,Skills!H12/Skills!G12,1)+IF(Skills!G12&gt;0,MIN(Skills!H12,MAX(0,MAX(0,Inputs!$B$43-B1039)-((R1018-1)*IF(Inputs!$B$38="pvp",15,MAX(0.1,Skills!D12-IF(Skills!E12=TRUE,Inputs!$B$32,0))))))/Skills!G12,1)))/Inputs!$B$43),G1018*Q1018))*IF(Inputs!$B$38="pvp",1,(1+(Inputs!$B$21+Skills!P12+B1033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Skills!A13</f>
        <v/>
      </c>
      <c r="B1019">
        <f>Skills!B13</f>
        <v/>
      </c>
      <c r="C1019">
        <f>Inputs!$B$3&gt;=49</f>
        <v/>
      </c>
      <c r="D1019">
        <f>IF(Skills!C13=1,60+Inputs!$B$25+Inputs!$B$29,IF(Skills!C13=2,90+Inputs!$B$26+Inputs!$B$29,IF(Skills!C13=3,120+Inputs!$B$27+Inputs!$B$29,MAX(0,(Inputs!$B$3-100)*3)+Inputs!$B$28+Inputs!$B$29)))</f>
        <v/>
      </c>
      <c r="E1019">
        <f>INDEX(FactorTable!$B$2:$Y$301, MATCH(ROUND(MIN(300,MAX(1,D1019)),0), FactorTable!$A$2:$A$301,0), Skills!L13+1)</f>
        <v/>
      </c>
      <c r="F1019">
        <f>IF(Skills!M13=TRUE,(Skills!K13/10)*(E1019/1000),Skills!K13/10)+Skills!N13</f>
        <v/>
      </c>
      <c r="G1019">
        <f>Calc!G13</f>
        <v/>
      </c>
      <c r="H1019">
        <f>Calc!H13</f>
        <v/>
      </c>
      <c r="I1019">
        <f>IF(Skills!T13&lt;&gt;"",1+(Skills!T13/10)*(Z1009/1000)/100,1)</f>
        <v/>
      </c>
      <c r="J1019" t="inlineStr"/>
      <c r="K1019" t="inlineStr"/>
      <c r="L1019" t="inlineStr"/>
      <c r="M1019" t="inlineStr"/>
      <c r="N1019" t="inlineStr"/>
      <c r="O1019">
        <f>(1-Summary!$B$11)*S1019+Summary!$B$11*U1019</f>
        <v/>
      </c>
      <c r="P1019">
        <f>IF(B1042=0,0,O1019/B1042)</f>
        <v/>
      </c>
      <c r="Q1019">
        <f>IFERROR(1/IF(Inputs!$B$38="pvp",15,MAX(0.1,Skills!D13-IF(Skills!E13=TRUE,Inputs!$B$32,0))),0)</f>
        <v/>
      </c>
      <c r="R1019" t="n">
        <v>0</v>
      </c>
      <c r="S1019" t="n">
        <v>0</v>
      </c>
      <c r="U1019" t="n">
        <v>0</v>
      </c>
    </row>
    <row r="1020">
      <c r="A1020">
        <f>Skills!A14</f>
        <v/>
      </c>
      <c r="B1020">
        <f>Skills!B14</f>
        <v/>
      </c>
      <c r="C1020">
        <f>Inputs!$B$3&gt;=72</f>
        <v/>
      </c>
      <c r="D1020">
        <f>IF(Skills!C14=1,60+Inputs!$B$25+Inputs!$B$29,IF(Skills!C14=2,90+Inputs!$B$26+Inputs!$B$29,IF(Skills!C14=3,120+Inputs!$B$27+Inputs!$B$29,MAX(0,(Inputs!$B$3-100)*3)+Inputs!$B$28+Inputs!$B$29)))</f>
        <v/>
      </c>
      <c r="E1020">
        <f>INDEX(FactorTable!$B$2:$Y$301, MATCH(ROUND(MIN(300,MAX(1,D1020)),0), FactorTable!$A$2:$A$301,0), Skills!L14+1)</f>
        <v/>
      </c>
      <c r="F1020">
        <f>IF(Skills!M14=TRUE,(Skills!K14/10)*(E1020/1000),Skills!K14/10)+Skills!N14</f>
        <v/>
      </c>
      <c r="G1020">
        <f>Calc!G14</f>
        <v/>
      </c>
      <c r="H1020">
        <f>Calc!H14</f>
        <v/>
      </c>
      <c r="I1020">
        <f>IF(Skills!T14&lt;&gt;"",1+(Skills!T14/10)*(Z1009/1000)/100,1)</f>
        <v/>
      </c>
      <c r="J1020" t="inlineStr"/>
      <c r="K1020" t="inlineStr"/>
      <c r="L1020" t="inlineStr"/>
      <c r="M1020" t="inlineStr"/>
      <c r="N1020" t="inlineStr"/>
      <c r="O1020">
        <f>(1-Summary!$B$11)*S1020+Summary!$B$11*U1020</f>
        <v/>
      </c>
      <c r="P1020">
        <f>IF(B1042=0,0,O1020/B1042)</f>
        <v/>
      </c>
      <c r="Q1020">
        <f>IFERROR(1/IF(Inputs!$B$38="pvp",15,MAX(0.1,Skills!D14-IF(Skills!E14=TRUE,Inputs!$B$32,0))),0)</f>
        <v/>
      </c>
      <c r="R1020" t="n">
        <v>0</v>
      </c>
      <c r="S1020" t="n">
        <v>0</v>
      </c>
      <c r="U1020" t="n">
        <v>0</v>
      </c>
    </row>
    <row r="1021">
      <c r="A1021">
        <f>Skills!A15</f>
        <v/>
      </c>
      <c r="B1021">
        <f>Skills!B15</f>
        <v/>
      </c>
      <c r="C1021">
        <f>Inputs!$B$3&gt;=75</f>
        <v/>
      </c>
      <c r="D1021">
        <f>IF(Skills!C15=1,60+Inputs!$B$25+Inputs!$B$29,IF(Skills!C15=2,90+Inputs!$B$26+Inputs!$B$29,IF(Skills!C15=3,120+Inputs!$B$27+Inputs!$B$29,MAX(0,(Inputs!$B$3-100)*3)+Inputs!$B$28+Inputs!$B$29)))</f>
        <v/>
      </c>
      <c r="E1021">
        <f>INDEX(FactorTable!$B$2:$Y$301, MATCH(ROUND(MIN(300,MAX(1,D1021)),0), FactorTable!$A$2:$A$301,0), Skills!L15+1)</f>
        <v/>
      </c>
      <c r="F1021">
        <f>IF(Skills!M15=TRUE,(Skills!K15/10)*(E1021/1000),Skills!K15/10)+Skills!N15</f>
        <v/>
      </c>
      <c r="G1021">
        <f>Calc!G15</f>
        <v/>
      </c>
      <c r="H1021">
        <f>Calc!H15</f>
        <v/>
      </c>
      <c r="I1021">
        <f>IF(Skills!T15&lt;&gt;"",1+(Skills!T15/10)*(Z1009/1000)/100,1)</f>
        <v/>
      </c>
      <c r="J1021" t="inlineStr"/>
      <c r="K1021" t="inlineStr"/>
      <c r="L1021" t="inlineStr"/>
      <c r="M1021" t="inlineStr"/>
      <c r="N1021" t="inlineStr"/>
      <c r="O1021">
        <f>(1-Summary!$B$11)*S1021+Summary!$B$11*U1021</f>
        <v/>
      </c>
      <c r="P1021">
        <f>IF(B1042=0,0,O1021/B1042)</f>
        <v/>
      </c>
      <c r="Q1021">
        <f>IFERROR(1/IF(Inputs!$B$38="pvp",15,MAX(0.1,Skills!D15-IF(Skills!E15=TRUE,Inputs!$B$32,0))),0)</f>
        <v/>
      </c>
      <c r="R1021" t="n">
        <v>0</v>
      </c>
      <c r="S1021" t="n">
        <v>0</v>
      </c>
      <c r="U1021" t="n">
        <v>0</v>
      </c>
    </row>
    <row r="1022">
      <c r="A1022">
        <f>Skills!A16</f>
        <v/>
      </c>
      <c r="B1022">
        <f>Skills!B16</f>
        <v/>
      </c>
      <c r="C1022">
        <f>Inputs!$B$3&gt;=110</f>
        <v/>
      </c>
      <c r="D1022">
        <f>IF(Skills!C16=1,60+Inputs!$B$25+Inputs!$B$29,IF(Skills!C16=2,90+Inputs!$B$26+Inputs!$B$29,IF(Skills!C16=3,120+Inputs!$B$27+Inputs!$B$29,MAX(0,(Inputs!$B$3-100)*3)+Inputs!$B$28+Inputs!$B$29)))</f>
        <v/>
      </c>
      <c r="E1022">
        <f>INDEX(FactorTable!$B$2:$Y$301, MATCH(ROUND(MIN(300,MAX(1,D1022)),0), FactorTable!$A$2:$A$301,0), Skills!L16+1)</f>
        <v/>
      </c>
      <c r="F1022">
        <f>(Skills!K16/10)*(E1022/1000)*64/45+Skills!N16</f>
        <v/>
      </c>
      <c r="G1022">
        <f>Calc!G16</f>
        <v/>
      </c>
      <c r="H1022">
        <f>Calc!H16</f>
        <v/>
      </c>
      <c r="I1022">
        <f>IF(Skills!T16&lt;&gt;"",1+(Skills!T16/10)*(Z1009/1000)/100,1)</f>
        <v/>
      </c>
      <c r="J1022" t="inlineStr"/>
      <c r="K1022" t="inlineStr"/>
      <c r="L1022" t="inlineStr"/>
      <c r="M1022" t="inlineStr"/>
      <c r="N1022" t="inlineStr"/>
      <c r="O1022">
        <f>(1-Summary!$B$11)*S1022+Summary!$B$11*U1022</f>
        <v/>
      </c>
      <c r="P1022">
        <f>IF(B1042=0,0,O1022/B1042)</f>
        <v/>
      </c>
      <c r="Q1022">
        <f>IFERROR(1/IF(Inputs!$B$38="pvp",15,MAX(0.1,Skills!D16-IF(Skills!E16=TRUE,Inputs!$B$32,0))),0)</f>
        <v/>
      </c>
      <c r="R1022">
        <f>IF(AND(Inputs!$B$38&lt;&gt;"pvp",Inputs!$B$43&gt;0),IF(Inputs!$B$43&lt;=0,0,(INT(Inputs!$B$43/IF(Inputs!$B$38="pvp",15,MAX(0.1,Skills!D16-IF(Skills!E16=TRUE,Inputs!$B$32,0))))+1)),0)</f>
        <v/>
      </c>
      <c r="S1022" t="n">
        <v>0</v>
      </c>
      <c r="U1022" t="n">
        <v>0</v>
      </c>
    </row>
    <row r="1023">
      <c r="A1023">
        <f>Skills!A17</f>
        <v/>
      </c>
      <c r="B1023">
        <f>Skills!B17</f>
        <v/>
      </c>
      <c r="C1023">
        <f>Inputs!$B$3&gt;=33</f>
        <v/>
      </c>
      <c r="D1023">
        <f>IF(Skills!C17=1,60+Inputs!$B$25+Inputs!$B$29,IF(Skills!C17=2,90+Inputs!$B$26+Inputs!$B$29,IF(Skills!C17=3,120+Inputs!$B$27+Inputs!$B$29,MAX(0,(Inputs!$B$3-100)*3)+Inputs!$B$28+Inputs!$B$29)))</f>
        <v/>
      </c>
      <c r="E1023">
        <f>INDEX(FactorTable!$B$2:$Y$301, MATCH(ROUND(MIN(300,MAX(1,D1023)),0), FactorTable!$A$2:$A$301,0), Skills!L17+1)</f>
        <v/>
      </c>
      <c r="F1023">
        <f>IF(Skills!M17=TRUE,(Skills!K17/10)*(E1023/1000),Skills!K17/10)+Skills!N17</f>
        <v/>
      </c>
      <c r="G1023">
        <f>Calc!G17</f>
        <v/>
      </c>
      <c r="H1023">
        <f>Calc!H17</f>
        <v/>
      </c>
      <c r="I1023">
        <f>IF(Skills!T17&lt;&gt;"",1+(Skills!T17/10)*(Z1009/1000)/100,1)</f>
        <v/>
      </c>
      <c r="J1023" t="inlineStr"/>
      <c r="K1023" t="inlineStr"/>
      <c r="L1023" t="inlineStr"/>
      <c r="M1023" t="inlineStr"/>
      <c r="N1023" t="inlineStr"/>
      <c r="O1023">
        <f>(1-Summary!$B$11)*S1023+Summary!$B$11*U1023</f>
        <v/>
      </c>
      <c r="P1023">
        <f>IF(B1042=0,0,O1023/B1042)</f>
        <v/>
      </c>
      <c r="Q1023">
        <f>IFERROR(1/IF(Inputs!$B$38="pvp",15,MAX(0.1,Skills!D17-IF(Skills!E17=TRUE,Inputs!$B$32,0))),0)</f>
        <v/>
      </c>
      <c r="R1023" t="n">
        <v>0</v>
      </c>
      <c r="S1023" t="n">
        <v>0</v>
      </c>
      <c r="U1023" t="n">
        <v>0</v>
      </c>
    </row>
    <row r="1024">
      <c r="A1024">
        <f>Skills!A18</f>
        <v/>
      </c>
      <c r="B1024">
        <f>Skills!B18</f>
        <v/>
      </c>
      <c r="C1024">
        <f>Inputs!$B$3&gt;=43</f>
        <v/>
      </c>
      <c r="D1024">
        <f>IF(Skills!C18=1,60+Inputs!$B$25+Inputs!$B$29,IF(Skills!C18=2,90+Inputs!$B$26+Inputs!$B$29,IF(Skills!C18=3,120+Inputs!$B$27+Inputs!$B$29,MAX(0,(Inputs!$B$3-100)*3)+Inputs!$B$28+Inputs!$B$29)))</f>
        <v/>
      </c>
      <c r="E1024">
        <f>INDEX(FactorTable!$B$2:$Y$301, MATCH(ROUND(MIN(300,MAX(1,D1024)),0), FactorTable!$A$2:$A$301,0), Skills!L18+1)</f>
        <v/>
      </c>
      <c r="F1024">
        <f>IF(Skills!M18=TRUE,(Skills!K18/10)*(E1024/1000),Skills!K18/10)+Skills!N18</f>
        <v/>
      </c>
      <c r="G1024">
        <f>Calc!G18</f>
        <v/>
      </c>
      <c r="H1024">
        <f>Calc!H18</f>
        <v/>
      </c>
      <c r="I1024">
        <f>IF(Skills!T18&lt;&gt;"",1+(Skills!T18/10)*(Z1009/1000)/100,1)</f>
        <v/>
      </c>
      <c r="J1024" t="inlineStr"/>
      <c r="K1024" t="inlineStr"/>
      <c r="L1024" t="inlineStr"/>
      <c r="M1024" t="inlineStr"/>
      <c r="N1024" t="inlineStr"/>
      <c r="O1024">
        <f>(1-Summary!$B$11)*S1024+Summary!$B$11*U1024</f>
        <v/>
      </c>
      <c r="P1024">
        <f>IF(B1042=0,0,O1024/B1042)</f>
        <v/>
      </c>
      <c r="Q1024">
        <f>IFERROR(1/IF(Inputs!$B$38="pvp",15,MAX(0.1,Skills!D18-IF(Skills!E18=TRUE,Inputs!$B$32,0))),0)</f>
        <v/>
      </c>
      <c r="R1024" t="n">
        <v>0</v>
      </c>
      <c r="S1024" t="n">
        <v>0</v>
      </c>
      <c r="U1024" t="n">
        <v>0</v>
      </c>
    </row>
    <row r="1025">
      <c r="A1025">
        <f>Skills!A19</f>
        <v/>
      </c>
      <c r="B1025">
        <f>Skills!B19</f>
        <v/>
      </c>
      <c r="C1025">
        <f>Inputs!$B$3&gt;=50</f>
        <v/>
      </c>
      <c r="D1025">
        <f>IF(Skills!C19=1,60+Inputs!$B$25+Inputs!$B$29,IF(Skills!C19=2,90+Inputs!$B$26+Inputs!$B$29,IF(Skills!C19=3,120+Inputs!$B$27+Inputs!$B$29,MAX(0,(Inputs!$B$3-100)*3)+Inputs!$B$28+Inputs!$B$29)))</f>
        <v/>
      </c>
      <c r="E1025">
        <f>INDEX(FactorTable!$B$2:$Y$301, MATCH(ROUND(MIN(300,MAX(1,D1025)),0), FactorTable!$A$2:$A$301,0), Skills!L19+1)</f>
        <v/>
      </c>
      <c r="F1025">
        <f>IF(Skills!M19=TRUE,(Skills!K19/10)*(E1025/1000),Skills!K19/10)+Skills!N19</f>
        <v/>
      </c>
      <c r="G1025">
        <f>Calc!G19</f>
        <v/>
      </c>
      <c r="H1025">
        <f>Calc!H19</f>
        <v/>
      </c>
      <c r="I1025">
        <f>IF(Skills!T19&lt;&gt;"",1+(Skills!T19/10)*(Z1009/1000)/100,1)</f>
        <v/>
      </c>
      <c r="J1025" t="inlineStr"/>
      <c r="K1025" t="inlineStr"/>
      <c r="L1025" t="inlineStr"/>
      <c r="M1025" t="inlineStr"/>
      <c r="N1025" t="inlineStr"/>
      <c r="O1025">
        <f>(1-Summary!$B$11)*S1025+Summary!$B$11*U1025</f>
        <v/>
      </c>
      <c r="P1025">
        <f>IF(B1042=0,0,O1025/B1042)</f>
        <v/>
      </c>
      <c r="Q1025">
        <f>IFERROR(1/IF(Inputs!$B$38="pvp",15,MAX(0.1,Skills!D19-IF(Skills!E19=TRUE,Inputs!$B$32,0))),0)</f>
        <v/>
      </c>
      <c r="R1025" t="n">
        <v>0</v>
      </c>
      <c r="S1025" t="n">
        <v>0</v>
      </c>
      <c r="U1025" t="n">
        <v>0</v>
      </c>
    </row>
    <row r="1026">
      <c r="A1026">
        <f>Skills!A20</f>
        <v/>
      </c>
      <c r="B1026">
        <f>Skills!B20</f>
        <v/>
      </c>
      <c r="C1026">
        <f>Inputs!$B$3&gt;=74</f>
        <v/>
      </c>
      <c r="D1026">
        <f>IF(Skills!C20=1,60+Inputs!$B$25+Inputs!$B$29,IF(Skills!C20=2,90+Inputs!$B$26+Inputs!$B$29,IF(Skills!C20=3,120+Inputs!$B$27+Inputs!$B$29,MAX(0,(Inputs!$B$3-100)*3)+Inputs!$B$28+Inputs!$B$29)))</f>
        <v/>
      </c>
      <c r="E1026">
        <f>INDEX(FactorTable!$B$2:$Y$301, MATCH(ROUND(MIN(300,MAX(1,D1026)),0), FactorTable!$A$2:$A$301,0), Skills!L20+1)</f>
        <v/>
      </c>
      <c r="F1026">
        <f>IF(Skills!M20=TRUE,(Skills!K20/10)*(E1026/1000),Skills!K20/10)+Skills!N20</f>
        <v/>
      </c>
      <c r="G1026">
        <f>Calc!G20</f>
        <v/>
      </c>
      <c r="H1026">
        <f>Calc!H20</f>
        <v/>
      </c>
      <c r="I1026">
        <f>IF(Skills!T20&lt;&gt;"",1+(Skills!T20/10)*(Z1009/1000)/100,1)</f>
        <v/>
      </c>
      <c r="J1026" t="inlineStr"/>
      <c r="K1026" t="inlineStr"/>
      <c r="L1026" t="inlineStr"/>
      <c r="M1026" t="inlineStr"/>
      <c r="N1026" t="inlineStr"/>
      <c r="O1026">
        <f>(1-Summary!$B$11)*S1026+Summary!$B$11*U1026</f>
        <v/>
      </c>
      <c r="P1026">
        <f>IF(B1042=0,0,O1026/B1042)</f>
        <v/>
      </c>
      <c r="Q1026">
        <f>IFERROR(1/IF(Inputs!$B$38="pvp",15,MAX(0.1,Skills!D20-IF(Skills!E20=TRUE,Inputs!$B$32,0))),0)</f>
        <v/>
      </c>
      <c r="R1026" t="n">
        <v>0</v>
      </c>
      <c r="S1026" t="n">
        <v>0</v>
      </c>
      <c r="U1026" t="n">
        <v>0</v>
      </c>
    </row>
    <row r="1027">
      <c r="A1027">
        <f>Skills!A21</f>
        <v/>
      </c>
      <c r="B1027">
        <f>Skills!B21</f>
        <v/>
      </c>
      <c r="C1027">
        <f>Inputs!$B$3&gt;=74</f>
        <v/>
      </c>
      <c r="D1027">
        <f>IF(Skills!C21=1,60+Inputs!$B$25+Inputs!$B$29,IF(Skills!C21=2,90+Inputs!$B$26+Inputs!$B$29,IF(Skills!C21=3,120+Inputs!$B$27+Inputs!$B$29,MAX(0,(Inputs!$B$3-100)*3)+Inputs!$B$28+Inputs!$B$29)))</f>
        <v/>
      </c>
      <c r="E1027">
        <f>INDEX(FactorTable!$B$2:$Y$301, MATCH(ROUND(MIN(300,MAX(1,D1027)),0), FactorTable!$A$2:$A$301,0), Skills!L21+1)</f>
        <v/>
      </c>
      <c r="F1027">
        <f>IF(Skills!M21=TRUE,(Skills!K21/10)*(E1027/1000),Skills!K21/10)+Skills!N21</f>
        <v/>
      </c>
      <c r="G1027">
        <f>Calc!G21</f>
        <v/>
      </c>
      <c r="H1027">
        <f>Calc!H21</f>
        <v/>
      </c>
      <c r="I1027">
        <f>IF(Skills!T21&lt;&gt;"",1+(Skills!T21/10)*(Z1009/1000)/100,1)</f>
        <v/>
      </c>
      <c r="J1027" t="inlineStr"/>
      <c r="K1027" t="inlineStr"/>
      <c r="L1027" t="inlineStr"/>
      <c r="M1027" t="inlineStr"/>
      <c r="N1027" t="inlineStr"/>
      <c r="O1027">
        <f>(1-Summary!$B$11)*S1027+Summary!$B$11*U1027</f>
        <v/>
      </c>
      <c r="P1027">
        <f>IF(B1042=0,0,O1027/B1042)</f>
        <v/>
      </c>
      <c r="Q1027">
        <f>IFERROR(1/IF(Inputs!$B$38="pvp",15,MAX(0.1,Skills!D21-IF(Skills!E21=TRUE,Inputs!$B$32,0))),0)</f>
        <v/>
      </c>
      <c r="R1027" t="n">
        <v>0</v>
      </c>
      <c r="S1027" t="n">
        <v>0</v>
      </c>
      <c r="U1027" t="n">
        <v>0</v>
      </c>
    </row>
    <row r="1028">
      <c r="A1028">
        <f>Skills!A22</f>
        <v/>
      </c>
      <c r="B1028">
        <f>Skills!B22</f>
        <v/>
      </c>
      <c r="C1028">
        <f>Inputs!$B$3&gt;=117</f>
        <v/>
      </c>
      <c r="D1028">
        <f>IF(Skills!C22=1,60+Inputs!$B$25+Inputs!$B$29,IF(Skills!C22=2,90+Inputs!$B$26+Inputs!$B$29,IF(Skills!C22=3,120+Inputs!$B$27+Inputs!$B$29,MAX(0,(Inputs!$B$3-100)*3)+Inputs!$B$28+Inputs!$B$29)))</f>
        <v/>
      </c>
      <c r="E1028">
        <f>INDEX(FactorTable!$B$2:$Y$301, MATCH(ROUND(MIN(300,MAX(1,D1028)),0), FactorTable!$A$2:$A$301,0), Skills!L22+1)</f>
        <v/>
      </c>
      <c r="F1028">
        <f>IF(Skills!M22=TRUE,(Skills!K22/10)*(E1028/1000),Skills!K22/10)+Skills!N22</f>
        <v/>
      </c>
      <c r="G1028">
        <f>Calc!G22</f>
        <v/>
      </c>
      <c r="H1028">
        <f>Calc!H22</f>
        <v/>
      </c>
      <c r="I1028">
        <f>IF(Skills!T22&lt;&gt;"",1+(Skills!T22/10)*(Z1009/1000)/100,1)</f>
        <v/>
      </c>
      <c r="J1028" t="inlineStr"/>
      <c r="K1028" t="inlineStr"/>
      <c r="L1028" t="inlineStr"/>
      <c r="M1028" t="inlineStr"/>
      <c r="N1028" t="inlineStr"/>
      <c r="O1028">
        <f>(1-Summary!$B$11)*S1028+Summary!$B$11*U1028</f>
        <v/>
      </c>
      <c r="P1028">
        <f>IF(B1042=0,0,O1028/B1042)</f>
        <v/>
      </c>
      <c r="Q1028">
        <f>IFERROR(1/IF(Inputs!$B$38="pvp",15,MAX(0.1,Skills!D22-IF(Skills!E22=TRUE,Inputs!$B$32,0))),0)</f>
        <v/>
      </c>
      <c r="R1028" t="n">
        <v>0</v>
      </c>
      <c r="S1028" t="n">
        <v>0</v>
      </c>
      <c r="U1028" t="n">
        <v>0</v>
      </c>
    </row>
    <row r="1029">
      <c r="A1029">
        <f>Skills!A23</f>
        <v/>
      </c>
      <c r="B1029">
        <f>Skills!B23</f>
        <v/>
      </c>
      <c r="C1029">
        <f>Inputs!$B$3&gt;=120</f>
        <v/>
      </c>
      <c r="D1029">
        <f>IF(Skills!C23=1,60+Inputs!$B$25+Inputs!$B$29,IF(Skills!C23=2,90+Inputs!$B$26+Inputs!$B$29,IF(Skills!C23=3,120+Inputs!$B$27+Inputs!$B$29,MAX(0,(Inputs!$B$3-100)*3)+Inputs!$B$28+Inputs!$B$29)))</f>
        <v/>
      </c>
      <c r="E1029">
        <f>INDEX(FactorTable!$B$2:$Y$301, MATCH(ROUND(MIN(300,MAX(1,D1029)),0), FactorTable!$A$2:$A$301,0), Skills!L23+1)</f>
        <v/>
      </c>
      <c r="F1029">
        <f>IF(Skills!M23=TRUE,(Skills!K23/10)*(E1029/1000),Skills!K23/10)+Skills!N23</f>
        <v/>
      </c>
      <c r="G1029">
        <f>Calc!G23</f>
        <v/>
      </c>
      <c r="H1029">
        <f>Calc!H23</f>
        <v/>
      </c>
      <c r="I1029">
        <f>IF(Skills!T23&lt;&gt;"",1+(Skills!T23/10)*(Z1009/1000)/100,1)</f>
        <v/>
      </c>
      <c r="J1029" t="inlineStr"/>
      <c r="K1029" t="inlineStr"/>
      <c r="L1029" t="inlineStr"/>
      <c r="M1029" t="inlineStr"/>
      <c r="N1029" t="inlineStr"/>
      <c r="O1029">
        <f>(1-Summary!$B$11)*S1029+Summary!$B$11*U1029</f>
        <v/>
      </c>
      <c r="P1029">
        <f>IF(B1042=0,0,O1029/B1042)</f>
        <v/>
      </c>
      <c r="Q1029">
        <f>IFERROR(1/IF(Inputs!$B$38="pvp",15,MAX(0.1,Skills!D23-IF(Skills!E23=TRUE,Inputs!$B$32,0))),0)</f>
        <v/>
      </c>
      <c r="R1029" t="n">
        <v>0</v>
      </c>
      <c r="S1029" t="n">
        <v>0</v>
      </c>
      <c r="U1029" t="n">
        <v>0</v>
      </c>
    </row>
    <row r="1032">
      <c r="A1032" t="inlineStr">
        <is>
          <t>Average Buff Multiplier (Magic Guard + Meditation + Artifact Attack%, summed; then Infinity)</t>
        </is>
      </c>
      <c r="B1032">
        <f>(1+(IF(C1009=TRUE,F1009*IF(AND(Inputs!$B$38&lt;&gt;"pvp",Inputs!$B$43&gt;0),(((R1009-1)*(Skills!S3*(1+((Inputs!$B$34+1)+IF(Inputs!$B$3&gt;=117,F1028,0))/100))+MIN((Skills!S3*(1+((Inputs!$B$34+1)+IF(Inputs!$B$3&gt;=117,F1028,0))/100)),MAX(0,Inputs!$B$43-((R1009-1)*Skills!D3))))/Inputs!$B$43),IF(Inputs!$B$38="pvp",MIN((Skills!S3*(1+((Inputs!$B$34+1)+IF(Inputs!$B$3&gt;=117,F1028,0))/100)),15)/15,(Skills!S3*(1+((Inputs!$B$34+1)+IF(Inputs!$B$3&gt;=117,F1028,0))/100))/Skills!D3)),0)+IF(C1010=TRUE,F1010*IF(AND(Inputs!$B$38&lt;&gt;"pvp",Inputs!$B$43&gt;0),(((R1010-1)*(Skills!S4*(1+((Inputs!$B$34+1)+IF(Inputs!$B$3&gt;=117,F1028,0))/100))+MIN((Skills!S4*(1+((Inputs!$B$34+1)+IF(Inputs!$B$3&gt;=117,F1028,0))/100)),MAX(0,Inputs!$B$43-((R1010-1)*Skills!D4))))/Inputs!$B$43),IF(Inputs!$B$38="pvp",MIN((Skills!S4*(1+((Inputs!$B$34+1)+IF(Inputs!$B$3&gt;=117,F1028,0))/100)),15)/15,(Skills!S4*(1+((Inputs!$B$34+1)+IF(Inputs!$B$3&gt;=117,F1028,0)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1022=TRUE,(1+F1022*IF(AND(Inputs!$B$38&lt;&gt;"pvp",Inputs!$B$43&gt;0),(((R1022-1)*(Skills!S16*(1+((Inputs!$B$34+1)+IF(Inputs!$B$3&gt;=117,F1028,0))/100))+MIN((Skills!S16*(1+((Inputs!$B$34+1)+IF(Inputs!$B$3&gt;=117,F1028,0))/100)),MAX(0,Inputs!$B$43-((R1022-1)*Skills!D16))))/Inputs!$B$43),IF(Inputs!$B$38="pvp",MIN((Skills!S16*(1+((Inputs!$B$34+1)+IF(Inputs!$B$3&gt;=117,F1028,0))/100)),15)/15,(Skills!S16*(1+((Inputs!$B$34+1)+IF(Inputs!$B$3&gt;=117,F1028,0))/100))/Skills!D16))/100),1)</f>
        <v/>
      </c>
    </row>
    <row r="1033">
      <c r="A1033" t="inlineStr">
        <is>
          <t>Monster Damage Taken Bonus % (Freezing Breath - Weaken + Elemental Reset + Artifact Enemy Damage Taken, summed)</t>
        </is>
      </c>
      <c r="B1033">
        <f>IF(Inputs!$B$3&gt;=118,15*IF(Inputs!$B$38="pvp",MIN((30*(1+((Inputs!$B$34+1)+IF(Inputs!$B$3&gt;=117,F1028,0))/100)),15)/15,(30*(1+((Inputs!$B$34+1)+IF(Inputs!$B$3&gt;=117,F1028,0))/100))/Skills!D8),0)+IF(C1020=TRUE,F1020,0)+(IF(AND(ArtifactsInput!$M$35,Inputs!$B$4&lt;&gt;"Chapter Hunt"),CHOOSE(ArtifactsInput!$N$35+1,15,18,21,24,27,30)*(1-EXP(-(0.2*B1036)*5)),0)+IF(AND(ArtifactsInput!$M$22,Inputs!$B$4&lt;&gt;"Chapter Hunt"),CHOOSE(ArtifactsInput!$N$22+1,10,12,14,16,18,20)*((0*(((0.15*B1036*5))^0/1)+1*(((0.15*B1036*5))^1/1)+2*(((0.15*B1036*5))^2/2)+3*(((0.15*B1036*5))^3/6)+4*(((0.15*B1036*5))^4/24)+5*(((0.15*B1036*5))^5/120))/((((0.15*B1036*5))^0/1)+(((0.15*B1036*5))^1/1)+(((0.15*B1036*5))^2/2)+(((0.15*B1036*5))^3/6)+(((0.15*B1036*5))^4/24)+(((0.15*B1036*5))^5/120))),0))</f>
        <v/>
      </c>
    </row>
    <row r="1034">
      <c r="A1034" t="inlineStr">
        <is>
          <t>Damage % Bonus (Frozen Break + Frost Clutch, flat)</t>
        </is>
      </c>
      <c r="B1034">
        <f>IF(Inputs!$B$3&gt;=66,15,0)+IF(Inputs!$B$3&gt;=98,10,0)+IF(Inputs!$B$3&gt;=125,20,0)</f>
        <v/>
      </c>
    </row>
    <row r="1035">
      <c r="A1035" t="inlineStr">
        <is>
          <t>Attack Speed Bonus % (MP Eater - MP Boost, always-on once unlocked)</t>
        </is>
      </c>
      <c r="B1035">
        <f>IF(C1019=TRUE,F1019+(F1023-Calc!F17),0)</f>
        <v/>
      </c>
    </row>
    <row r="1036">
      <c r="A1036" t="inlineStr">
        <is>
          <t>Actions Per Second</t>
        </is>
      </c>
      <c r="B1036">
        <f>1+MIN(150,150*(1-(1-(Inputs!$B$11+(ArtifactsInput!$M$15-ArtifactsInput!$M$15)*CHOOSE(ArtifactsInput!$N$15+1,8,9.6,11.2,12.8,14.4,16))/150)*(1-B1035/150)))/100</f>
        <v/>
      </c>
    </row>
    <row r="1037">
      <c r="A1037" t="inlineStr">
        <is>
          <t>Skill + Buff Cast Rate</t>
        </is>
      </c>
      <c r="B1037">
        <f>IF(AND(Inputs!$B$38&lt;&gt;"pvp",Inputs!$B$43&gt;0),SUMPRODUCT((Skills!E2:E23=TRUE)*(C1008:C1029=TRUE)*R1008:R1029)/Inputs!$B$43,SUMPRODUCT((Skills!E2:E23=TRUE)*(C1008:C1029=TRUE)*Q1008:Q1029))</f>
        <v/>
      </c>
    </row>
    <row r="1038">
      <c r="A1038" t="inlineStr">
        <is>
          <t>Chain Lightning Casts Per Second</t>
        </is>
      </c>
      <c r="B1038">
        <f>MAX(0,B1036-B1037)</f>
        <v/>
      </c>
    </row>
    <row r="1039">
      <c r="A1039" t="inlineStr">
        <is>
          <t>Buff-Casting Startup Delay (s, fixed-duration only)</t>
        </is>
      </c>
      <c r="B1039">
        <f>IF(AND(Inputs!$B$38&lt;&gt;"pvp",Inputs!$B$43&gt;0),SUMPRODUCT((Skills!S2:S23&gt;0)*(Skills!E2:E23=TRUE)*(C1008:C1029=TRUE))/B1036,0)</f>
        <v/>
      </c>
    </row>
    <row r="1040">
      <c r="A1040" t="inlineStr">
        <is>
          <t>Boss-Only Total DPS (this block's swept value)</t>
        </is>
      </c>
      <c r="B1040">
        <f>SUM(S1008:S1029)</f>
        <v/>
      </c>
    </row>
    <row r="1041">
      <c r="A1041" t="inlineStr">
        <is>
          <t>Normal-Only Total DPS (this block's swept value)</t>
        </is>
      </c>
      <c r="B1041">
        <f>SUM(U1008:U1029)</f>
        <v/>
      </c>
    </row>
    <row r="1042">
      <c r="A1042" s="6" t="inlineStr">
        <is>
          <t>TOTAL DPS</t>
        </is>
      </c>
      <c r="B1042" s="6">
        <f>SUM(O1008:O1029)</f>
        <v/>
      </c>
    </row>
    <row r="1045">
      <c r="A1045" s="6" t="inlineStr">
        <is>
          <t>Stat: Charm of the Undead (Equip)</t>
        </is>
      </c>
    </row>
    <row r="1046">
      <c r="A1046" s="5" t="inlineStr">
        <is>
          <t>Key</t>
        </is>
      </c>
      <c r="B1046" s="5" t="inlineStr">
        <is>
          <t>Name</t>
        </is>
      </c>
      <c r="C1046" s="5" t="inlineStr">
        <is>
          <t>Unlocked</t>
        </is>
      </c>
      <c r="D1046" s="5" t="inlineStr">
        <is>
          <t>InputLevel</t>
        </is>
      </c>
      <c r="E1046" s="5" t="inlineStr">
        <is>
          <t>Factor</t>
        </is>
      </c>
      <c r="F1046" s="5" t="inlineStr">
        <is>
          <t>CoefficientPercent</t>
        </is>
      </c>
      <c r="G1046" s="5" t="inlineStr">
        <is>
          <t>EffectiveHits</t>
        </is>
      </c>
      <c r="H1046" s="5" t="inlineStr">
        <is>
          <t>ProcProbability</t>
        </is>
      </c>
      <c r="I1046" s="5" t="inlineStr">
        <is>
          <t>MapleHeroMultiplier</t>
        </is>
      </c>
      <c r="J1046" s="5" t="inlineStr">
        <is>
          <t>BaseDamage</t>
        </is>
      </c>
      <c r="K1046" s="5" t="inlineStr">
        <is>
          <t>BaseHitDamage</t>
        </is>
      </c>
      <c r="L1046" s="5" t="inlineStr">
        <is>
          <t>NonCritAvg</t>
        </is>
      </c>
      <c r="M1046" s="5" t="inlineStr">
        <is>
          <t>CritAvg</t>
        </is>
      </c>
      <c r="N1046" s="5" t="inlineStr">
        <is>
          <t>ExpectedDamage(perHit)</t>
        </is>
      </c>
      <c r="O1046" s="5" t="inlineStr">
        <is>
          <t>DPS</t>
        </is>
      </c>
      <c r="P1046" s="5" t="inlineStr">
        <is>
          <t>% of Total</t>
        </is>
      </c>
      <c r="R1046" t="inlineStr">
        <is>
          <t>helpers</t>
        </is>
      </c>
    </row>
    <row r="1047">
      <c r="A1047">
        <f>Skills!A2</f>
        <v/>
      </c>
      <c r="B1047">
        <f>Skills!B2</f>
        <v/>
      </c>
      <c r="C1047">
        <f>Inputs!$B$3&gt;=100</f>
        <v/>
      </c>
      <c r="D1047" t="inlineStr"/>
      <c r="E1047" t="inlineStr"/>
      <c r="F1047">
        <f>T1049+Skills!N2</f>
        <v/>
      </c>
      <c r="G1047">
        <f>Calc!G2</f>
        <v/>
      </c>
      <c r="H1047">
        <f>Calc!H2</f>
        <v/>
      </c>
      <c r="I1047">
        <f>IF(Skills!T2&lt;&gt;"",1+(Skills!T2/10)*(Z1048/1000)/100,1)</f>
        <v/>
      </c>
      <c r="J1047">
        <f>((Inputs!$B$6*(1+Inputs!$B$7/100))+(((Inputs!$B$12*(1+Inputs!$B$13/100))-(Inputs!$B$12*(1+Inputs!$B$13/100)))+0.25*(Inputs!$B$14-Inputs!$B$14))*(1+Inputs!$B$7/100))*(F1047/100)</f>
        <v/>
      </c>
      <c r="K1047">
        <f>J1047*(1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1063-Calc!F18),(Inputs!$B$23+(IF(ArtifactsInput!$M$15,CHOOSE(ArtifactsInput!$N$15+1,25,30,35,40,45,50)/100*(Inputs!$B$11-Inputs!$B$11),0))))/100+(Inputs!$B$23+(IF(ArtifactsInput!$M$15,CHOOSE(ArtifactsInput!$N$15+1,25,30,35,40,45,50)/100*(Inputs!$B$11-Inputs!$B$11),0)))/100)/2</f>
        <v/>
      </c>
      <c r="M1047">
        <f>L1047*(1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IF(B1081=0,0,O1047/B1081)</f>
        <v/>
      </c>
      <c r="Q1047">
        <f>IFERROR(1/IF(Inputs!$B$38="pvp",15,MAX(0.1,Skills!D2-IF(Skills!E2=TRUE,Inputs!$B$32,0))),0)</f>
        <v/>
      </c>
      <c r="R1047" t="n">
        <v>0</v>
      </c>
      <c r="S1047">
        <f>IF(C1047,(Skills!F2*N1047*B1077)*IF(Inputs!$B$38="pvp",1,1+(Inputs!$B$20+Skills!O2+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7">
        <f>MAX(0,(Inputs!$B$3-100)*3)+Inputs!$B$28+Inputs!$B$29</f>
        <v/>
      </c>
      <c r="U1047">
        <f>IF(C1047,(Skills!F2*N1047*B1077)*IF(Inputs!$B$38="pvp",1,(1+(Inputs!$B$21+Skills!P2+B1072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7">
        <f>MAX(0,(Inputs!$B$3-100)*3)+Inputs!$B$28+Inputs!$B$29</f>
        <v/>
      </c>
    </row>
    <row r="1048">
      <c r="A1048">
        <f>Skills!A3</f>
        <v/>
      </c>
      <c r="B1048">
        <f>Skills!B3</f>
        <v/>
      </c>
      <c r="C1048">
        <f>Inputs!$B$3&gt;=15</f>
        <v/>
      </c>
      <c r="D1048">
        <f>IF(Skills!C3=1,60+Inputs!$B$25+Inputs!$B$29,IF(Skills!C3=2,90+Inputs!$B$26+Inputs!$B$29,IF(Skills!C3=3,120+Inputs!$B$27+Inputs!$B$29,MAX(0,(Inputs!$B$3-100)*3)+Inputs!$B$28+Inputs!$B$29)))</f>
        <v/>
      </c>
      <c r="E1048">
        <f>INDEX(FactorTable!$B$2:$Y$301, MATCH(ROUND(MIN(300,MAX(1,D1048)),0), FactorTable!$A$2:$A$301,0), Skills!L3+1)</f>
        <v/>
      </c>
      <c r="F1048">
        <f>IF(Skills!M3=TRUE,(Skills!K3/10)*(E1048/1000),Skills!K3/10)+Skills!N3</f>
        <v/>
      </c>
      <c r="G1048">
        <f>Calc!G3</f>
        <v/>
      </c>
      <c r="H1048">
        <f>Calc!H3</f>
        <v/>
      </c>
      <c r="I1048">
        <f>IF(Skills!T3&lt;&gt;"",1+(Skills!T3/10)*(Z1048/1000)/100,1)</f>
        <v/>
      </c>
      <c r="J1048" t="inlineStr"/>
      <c r="K1048" t="inlineStr"/>
      <c r="L1048" t="inlineStr"/>
      <c r="M1048" t="inlineStr"/>
      <c r="N1048" t="inlineStr"/>
      <c r="O1048">
        <f>(1-Summary!$B$11)*S1048+Summary!$B$11*U1048</f>
        <v/>
      </c>
      <c r="P1048">
        <f>IF(B1081=0,0,O1048/B1081)</f>
        <v/>
      </c>
      <c r="Q1048">
        <f>IFERROR(1/IF(Inputs!$B$38="pvp",15,MAX(0.1,Skills!D3-IF(Skills!E3=TRUE,Inputs!$B$32,0))),0)</f>
        <v/>
      </c>
      <c r="R1048">
        <f>IF(AND(Inputs!$B$38&lt;&gt;"pvp",Inputs!$B$43&gt;0),IF(Inputs!$B$43&lt;=0,0,(INT(Inputs!$B$43/IF(Inputs!$B$38="pvp",15,MAX(0.1,Skills!D3-IF(Skills!E3=TRUE,Inputs!$B$32,0))))+1)),0)</f>
        <v/>
      </c>
      <c r="S1048" t="n">
        <v>0</v>
      </c>
      <c r="T1048">
        <f>INDEX(FactorTable!$B$2:$Y$301, MATCH(ROUND(MIN(300,MAX(1,T1047)),0), FactorTable!$A$2:$A$301,0), 22)</f>
        <v/>
      </c>
      <c r="U1048" t="n">
        <v>0</v>
      </c>
      <c r="Z1048">
        <f>INDEX(FactorTable!$B$2:$Y$301, MATCH(ROUND(MIN(300,MAX(1,Z1047)),0), FactorTable!$A$2:$A$301,0), 24)</f>
        <v/>
      </c>
    </row>
    <row r="1049">
      <c r="A1049">
        <f>Skills!A4</f>
        <v/>
      </c>
      <c r="B1049">
        <f>Skills!B4</f>
        <v/>
      </c>
      <c r="C1049">
        <f>Inputs!$B$3&gt;=40</f>
        <v/>
      </c>
      <c r="D1049">
        <f>IF(Skills!C4=1,60+Inputs!$B$25+Inputs!$B$29,IF(Skills!C4=2,90+Inputs!$B$26+Inputs!$B$29,IF(Skills!C4=3,120+Inputs!$B$27+Inputs!$B$29,MAX(0,(Inputs!$B$3-100)*3)+Inputs!$B$28+Inputs!$B$29)))</f>
        <v/>
      </c>
      <c r="E1049">
        <f>INDEX(FactorTable!$B$2:$Y$301, MATCH(ROUND(MIN(300,MAX(1,D1049)),0), FactorTable!$A$2:$A$301,0), Skills!L4+1)</f>
        <v/>
      </c>
      <c r="F1049">
        <f>IF(Skills!M4=TRUE,(Skills!K4/10)*(E1049/1000),Skills!K4/10)+Skills!N4</f>
        <v/>
      </c>
      <c r="G1049">
        <f>Calc!G4</f>
        <v/>
      </c>
      <c r="H1049">
        <f>Calc!H4</f>
        <v/>
      </c>
      <c r="I1049">
        <f>IF(Skills!T4&lt;&gt;"",1+(Skills!T4/10)*(Z1048/1000)/100,1)</f>
        <v/>
      </c>
      <c r="J1049" t="inlineStr"/>
      <c r="K1049" t="inlineStr"/>
      <c r="L1049" t="inlineStr"/>
      <c r="M1049" t="inlineStr"/>
      <c r="N1049" t="inlineStr"/>
      <c r="O1049">
        <f>(1-Summary!$B$11)*S1049+Summary!$B$11*U1049</f>
        <v/>
      </c>
      <c r="P1049">
        <f>IF(B1081=0,0,O1049/B1081)</f>
        <v/>
      </c>
      <c r="Q1049">
        <f>IFERROR(1/IF(Inputs!$B$38="pvp",15,MAX(0.1,Skills!D4-IF(Skills!E4=TRUE,Inputs!$B$32,0))),0)</f>
        <v/>
      </c>
      <c r="R1049">
        <f>IF(AND(Inputs!$B$38&lt;&gt;"pvp",Inputs!$B$43&gt;0),IF(Inputs!$B$43&lt;=0,0,(INT(Inputs!$B$43/IF(Inputs!$B$38="pvp",15,MAX(0.1,Skills!D4-IF(Skills!E4=TRUE,Inputs!$B$32,0))))+1)),0)</f>
        <v/>
      </c>
      <c r="S1049" t="n">
        <v>0</v>
      </c>
      <c r="T1049">
        <f>290*T1048/1000</f>
        <v/>
      </c>
      <c r="U1049" t="n">
        <v>0</v>
      </c>
    </row>
    <row r="1050">
      <c r="A1050">
        <f>Skills!A5</f>
        <v/>
      </c>
      <c r="B1050">
        <f>Skills!B5</f>
        <v/>
      </c>
      <c r="C1050">
        <f>Inputs!$B$3&gt;=38</f>
        <v/>
      </c>
      <c r="D1050">
        <f>IF(Skills!C5=1,60+Inputs!$B$25+Inputs!$B$29,IF(Skills!C5=2,90+Inputs!$B$26+Inputs!$B$29,IF(Skills!C5=3,120+Inputs!$B$27+Inputs!$B$29,MAX(0,(Inputs!$B$3-100)*3)+Inputs!$B$28+Inputs!$B$29)))</f>
        <v/>
      </c>
      <c r="E1050">
        <f>INDEX(FactorTable!$B$2:$Y$301, MATCH(ROUND(MIN(300,MAX(1,D1050)),0), FactorTable!$A$2:$A$301,0), Skills!L5+1)</f>
        <v/>
      </c>
      <c r="F1050">
        <f>IF(Skills!M5=TRUE,(Skills!K5/10)*(E1050/1000),Skills!K5/10)+Skills!N5</f>
        <v/>
      </c>
      <c r="G1050">
        <f>Calc!G5</f>
        <v/>
      </c>
      <c r="H1050">
        <f>Calc!H5</f>
        <v/>
      </c>
      <c r="I1050">
        <f>IF(Skills!T5&lt;&gt;"",1+(Skills!T5/10)*(Z1048/1000)/100,1)</f>
        <v/>
      </c>
      <c r="J1050">
        <f>((Inputs!$B$6*(1+Inputs!$B$7/100))+(((Inputs!$B$12*(1+Inputs!$B$13/100))-(Inputs!$B$12*(1+Inputs!$B$13/100)))+0.25*(Inputs!$B$14-Inputs!$B$14))*(1+Inputs!$B$7/100))*(F1050/100)</f>
        <v/>
      </c>
      <c r="K1050">
        <f>J1050*(1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F1063-Calc!F18),(Inputs!$B$23+(IF(ArtifactsInput!$M$15,CHOOSE(ArtifactsInput!$N$15+1,25,30,35,40,45,50)/100*(Inputs!$B$11-Inputs!$B$11),0))))/100+(Inputs!$B$23+(IF(ArtifactsInput!$M$15,CHOOSE(ArtifactsInput!$N$15+1,25,30,35,40,45,50)/100*(Inputs!$B$11-Inputs!$B$11),0)))/100)/2</f>
        <v/>
      </c>
      <c r="M1050">
        <f>L1050*(1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(1-Summary!$B$11)*S1050+Summary!$B$11*U1050</f>
        <v/>
      </c>
      <c r="P1050">
        <f>IF(B1081=0,0,O1050/B1081)</f>
        <v/>
      </c>
      <c r="Q1050">
        <f>IFERROR(1/IF(Inputs!$B$38="pvp",15,MAX(0.1,Skills!D5-IF(Skills!E5=TRUE,Inputs!$B$32,0))),0)</f>
        <v/>
      </c>
      <c r="R1050">
        <f>IF(AND(Inputs!$B$38&lt;&gt;"pvp",Inputs!$B$43&gt;0),IF(MAX(0,Inputs!$B$43-B1078)&lt;=0,0,(INT(MAX(0,Inputs!$B$43-B1078)/IF(Inputs!$B$38="pvp",15,MAX(0.1,Skills!D5-IF(Skills!E5=TRUE,Inputs!$B$32,0))))+1)),0)</f>
        <v/>
      </c>
      <c r="S1050">
        <f>IF(C1050,(H1050*N1050*IF(AND(Inputs!$B$38&lt;&gt;"pvp",Inputs!$B$43&gt;0),((Skills!F5*((R1050-1)*IF(Skills!G5&gt;0,Skills!H5/Skills!G5,1)+IF(Skills!G5&gt;0,MIN(Skills!H5,MAX(0,MAX(0,Inputs!$B$43-B1078)-((R1050-1)*IF(Inputs!$B$38="pvp",15,MAX(0.1,Skills!D5-IF(Skills!E5=TRUE,Inputs!$B$32,0))))))/Skills!G5,1)))/Inputs!$B$43),G1050*Q1050))*IF(Inputs!$B$38="pvp",1,1+(Inputs!$B$20+Skills!O5+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1050*(1-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0">
        <f>IF(C1050,(H1050*N1050*IF(AND(Inputs!$B$38&lt;&gt;"pvp",Inputs!$B$43&gt;0),((Skills!F5*((R1050-1)*IF(Skills!G5&gt;0,Skills!H5/Skills!G5,1)+IF(Skills!G5&gt;0,MIN(Skills!H5,MAX(0,MAX(0,Inputs!$B$43-B1078)-((R1050-1)*IF(Inputs!$B$38="pvp",15,MAX(0.1,Skills!D5-IF(Skills!E5=TRUE,Inputs!$B$32,0))))))/Skills!G5,1)))/Inputs!$B$43),G1050*Q1050))*IF(Inputs!$B$38="pvp",1,(1+(Inputs!$B$21+Skills!P5+B1072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Skills!A6</f>
        <v/>
      </c>
      <c r="B1051">
        <f>Skills!B6</f>
        <v/>
      </c>
      <c r="C1051">
        <f>Inputs!$B$3&gt;=63</f>
        <v/>
      </c>
      <c r="D1051">
        <f>IF(Skills!C6=1,60+Inputs!$B$25+Inputs!$B$29,IF(Skills!C6=2,90+Inputs!$B$26+Inputs!$B$29,IF(Skills!C6=3,120+Inputs!$B$27+Inputs!$B$29,MAX(0,(Inputs!$B$3-100)*3)+Inputs!$B$28+Inputs!$B$29)))</f>
        <v/>
      </c>
      <c r="E1051">
        <f>INDEX(FactorTable!$B$2:$Y$301, MATCH(ROUND(MIN(300,MAX(1,D1051)),0), FactorTable!$A$2:$A$301,0), Skills!L6+1)</f>
        <v/>
      </c>
      <c r="F1051">
        <f>IF(Skills!M6=TRUE,(Skills!K6/10)*(E1051/1000),Skills!K6/10)+Skills!N6</f>
        <v/>
      </c>
      <c r="G1051">
        <f>Calc!G6</f>
        <v/>
      </c>
      <c r="H1051">
        <f>Calc!H6</f>
        <v/>
      </c>
      <c r="I1051">
        <f>IF(Skills!T6&lt;&gt;"",1+(Skills!T6/10)*(Z1048/1000)/100,1)</f>
        <v/>
      </c>
      <c r="J1051">
        <f>((Inputs!$B$6*(1+Inputs!$B$7/100))+(((Inputs!$B$12*(1+Inputs!$B$13/100))-(Inputs!$B$12*(1+Inputs!$B$13/100)))+0.25*(Inputs!$B$14-Inputs!$B$14))*(1+Inputs!$B$7/100))*(F1051/100)</f>
        <v/>
      </c>
      <c r="K1051">
        <f>J1051*(1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1063-Calc!F18),(Inputs!$B$23+(IF(ArtifactsInput!$M$15,CHOOSE(ArtifactsInput!$N$15+1,25,30,35,40,45,50)/100*(Inputs!$B$11-Inputs!$B$11),0))))/100+(Inputs!$B$23+(IF(ArtifactsInput!$M$15,CHOOSE(ArtifactsInput!$N$15+1,25,30,35,40,45,50)/100*(Inputs!$B$11-Inputs!$B$11),0)))/100)/2</f>
        <v/>
      </c>
      <c r="M1051">
        <f>L1051*(1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IF(B1081=0,0,O1051/B1081)</f>
        <v/>
      </c>
      <c r="Q1051">
        <f>IFERROR(1/IF(Inputs!$B$38="pvp",15,MAX(0.1,Skills!D6-IF(Skills!E6=TRUE,Inputs!$B$32,0))),0)</f>
        <v/>
      </c>
      <c r="R1051">
        <f>IF(AND(Inputs!$B$38&lt;&gt;"pvp",Inputs!$B$43&gt;0),IF(MAX(0,Inputs!$B$43-B1078)&lt;=0,0,(INT(MAX(0,Inputs!$B$43-B1078)/IF(Inputs!$B$38="pvp",15,MAX(0.1,Skills!D6-IF(Skills!E6=TRUE,Inputs!$B$32,0))))+1)),0)</f>
        <v/>
      </c>
      <c r="S1051">
        <f>IF(C1051,(H1051*N1051*IF(AND(Inputs!$B$38&lt;&gt;"pvp",Inputs!$B$43&gt;0),((Skills!F6*((R1051-1)*IF(Skills!G6&gt;0,Skills!H6/Skills!G6,1)+IF(Skills!G6&gt;0,MIN(Skills!H6,MAX(0,MAX(0,Inputs!$B$43-B1078)-((R1051-1)*IF(Inputs!$B$38="pvp",15,MAX(0.1,Skills!D6-IF(Skills!E6=TRUE,Inputs!$B$32,0))))))/Skills!G6,1)))/Inputs!$B$43),G1051*Q1051))*IF(Inputs!$B$38="pvp",1,1+(Inputs!$B$20+Skills!O6+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F6*((R1051-1)*IF(Skills!G6&gt;0,Skills!H6/Skills!G6,1)+IF(Skills!G6&gt;0,MIN(Skills!H6,MAX(0,MAX(0,Inputs!$B$43-B1078)-((R1051-1)*IF(Inputs!$B$38="pvp",15,MAX(0.1,Skills!D6-IF(Skills!E6=TRUE,Inputs!$B$32,0))))))/Skills!G6,1)))/Inputs!$B$43),G1051*Q1051))*IF(Inputs!$B$38="pvp",1,(1+(Inputs!$B$21+Skills!P6+B1072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Skills!A7</f>
        <v/>
      </c>
      <c r="B1052">
        <f>Skills!B7</f>
        <v/>
      </c>
      <c r="C1052">
        <f>Inputs!$B$3&gt;=69</f>
        <v/>
      </c>
      <c r="D1052">
        <f>IF(Skills!C7=1,60+Inputs!$B$25+Inputs!$B$29,IF(Skills!C7=2,90+Inputs!$B$26+Inputs!$B$29,IF(Skills!C7=3,120+Inputs!$B$27+Inputs!$B$29,MAX(0,(Inputs!$B$3-100)*3)+Inputs!$B$28+Inputs!$B$29)))</f>
        <v/>
      </c>
      <c r="E1052">
        <f>INDEX(FactorTable!$B$2:$Y$301, MATCH(ROUND(MIN(300,MAX(1,D1052)),0), FactorTable!$A$2:$A$301,0), Skills!L7+1)</f>
        <v/>
      </c>
      <c r="F1052">
        <f>IF(Skills!M7=TRUE,(Skills!K7/10)*(E1052/1000),Skills!K7/10)+Skills!N7</f>
        <v/>
      </c>
      <c r="G1052">
        <f>Calc!G7</f>
        <v/>
      </c>
      <c r="H1052">
        <f>Calc!H7</f>
        <v/>
      </c>
      <c r="I1052">
        <f>IF(Skills!T7&lt;&gt;"",1+(Skills!T7/10)*(Z1048/1000)/100,1)</f>
        <v/>
      </c>
      <c r="J1052">
        <f>((Inputs!$B$6*(1+Inputs!$B$7/100))+(((Inputs!$B$12*(1+Inputs!$B$13/100))-(Inputs!$B$12*(1+Inputs!$B$13/100)))+0.25*(Inputs!$B$14-Inputs!$B$14))*(1+Inputs!$B$7/100))*(F1052/100)</f>
        <v/>
      </c>
      <c r="K1052">
        <f>J1052*(1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1063-Calc!F18),(Inputs!$B$23+(IF(ArtifactsInput!$M$15,CHOOSE(ArtifactsInput!$N$15+1,25,30,35,40,45,50)/100*(Inputs!$B$11-Inputs!$B$11),0))))/100+(Inputs!$B$23+(IF(ArtifactsInput!$M$15,CHOOSE(ArtifactsInput!$N$15+1,25,30,35,40,45,50)/100*(Inputs!$B$11-Inputs!$B$11),0)))/100)/2</f>
        <v/>
      </c>
      <c r="M1052">
        <f>L1052*(1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IF(B1081=0,0,O1052/B1081)</f>
        <v/>
      </c>
      <c r="Q1052">
        <f>IFERROR(1/IF(Inputs!$B$38="pvp",15,MAX(0.1,Skills!D7-IF(Skills!E7=TRUE,Inputs!$B$32,0))),0)</f>
        <v/>
      </c>
      <c r="R1052">
        <f>IF(AND(Inputs!$B$38&lt;&gt;"pvp",Inputs!$B$43&gt;0),IF(MAX(0,Inputs!$B$43-B1078)&lt;=0,0,(INT(MAX(0,Inputs!$B$43-B1078)/IF(Inputs!$B$38="pvp",15,MAX(0.1,Skills!D7-IF(Skills!E7=TRUE,Inputs!$B$32,0))))+1)),0)</f>
        <v/>
      </c>
      <c r="S1052">
        <f>IF(C1052,(H1052*N1052*IF(AND(Inputs!$B$38&lt;&gt;"pvp",Inputs!$B$43&gt;0),((Skills!F7*((R1052-1)*IF(Skills!G7&gt;0,Skills!H7/Skills!G7,1)+IF(Skills!G7&gt;0,MIN(Skills!H7,MAX(0,MAX(0,Inputs!$B$43-B1078)-((R1052-1)*IF(Inputs!$B$38="pvp",15,MAX(0.1,Skills!D7-IF(Skills!E7=TRUE,Inputs!$B$32,0))))))/Skills!G7,1)))/Inputs!$B$43),G1052*Q1052))*IF(Inputs!$B$38="pvp",1,1+(Inputs!$B$20+Skills!O7+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N1052*IF(AND(Inputs!$B$38&lt;&gt;"pvp",Inputs!$B$43&gt;0),((Skills!F7*((R1052-1)*IF(Skills!G7&gt;0,Skills!H7/Skills!G7,1)+IF(Skills!G7&gt;0,MIN(Skills!H7,MAX(0,MAX(0,Inputs!$B$43-B1078)-((R1052-1)*IF(Inputs!$B$38="pvp",15,MAX(0.1,Skills!D7-IF(Skills!E7=TRUE,Inputs!$B$32,0))))))/Skills!G7,1)))/Inputs!$B$43),G1052*Q1052))*IF(Inputs!$B$38="pvp",1,(1+(Inputs!$B$21+Skills!P7+B1072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Skills!A8</f>
        <v/>
      </c>
      <c r="B1053">
        <f>Skills!B8</f>
        <v/>
      </c>
      <c r="C1053">
        <f>Inputs!$B$3&gt;=103</f>
        <v/>
      </c>
      <c r="D1053">
        <f>IF(Skills!C8=1,60+Inputs!$B$25+Inputs!$B$29,IF(Skills!C8=2,90+Inputs!$B$26+Inputs!$B$29,IF(Skills!C8=3,120+Inputs!$B$27+Inputs!$B$29,MAX(0,(Inputs!$B$3-100)*3)+Inputs!$B$28+Inputs!$B$29)))</f>
        <v/>
      </c>
      <c r="E1053">
        <f>INDEX(FactorTable!$B$2:$Y$301, MATCH(ROUND(MIN(300,MAX(1,D1053)),0), FactorTable!$A$2:$A$301,0), Skills!L8+1)</f>
        <v/>
      </c>
      <c r="F1053">
        <f>IF(Skills!M8=TRUE,(Skills!K8/10)*(E1053/1000),Skills!K8/10)+Skills!N8</f>
        <v/>
      </c>
      <c r="G1053">
        <f>Calc!G8</f>
        <v/>
      </c>
      <c r="H1053">
        <f>Calc!H8</f>
        <v/>
      </c>
      <c r="I1053">
        <f>IF(Skills!T8&lt;&gt;"",1+(Skills!T8/10)*(Z1048/1000)/100,1)</f>
        <v/>
      </c>
      <c r="J1053">
        <f>((Inputs!$B$6*(1+Inputs!$B$7/100))+(((Inputs!$B$12*(1+Inputs!$B$13/100))-(Inputs!$B$12*(1+Inputs!$B$13/100)))+0.25*(Inputs!$B$14-Inputs!$B$14))*(1+Inputs!$B$7/100))*(F1053/100)</f>
        <v/>
      </c>
      <c r="K1053">
        <f>J1053*(1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1063-Calc!F18),(Inputs!$B$23+(IF(ArtifactsInput!$M$15,CHOOSE(ArtifactsInput!$N$15+1,25,30,35,40,45,50)/100*(Inputs!$B$11-Inputs!$B$11),0))))/100+(Inputs!$B$23+(IF(ArtifactsInput!$M$15,CHOOSE(ArtifactsInput!$N$15+1,25,30,35,40,45,50)/100*(Inputs!$B$11-Inputs!$B$11),0)))/100)/2</f>
        <v/>
      </c>
      <c r="M1053">
        <f>L1053*(1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IF(B1081=0,0,O1053/B1081)</f>
        <v/>
      </c>
      <c r="Q1053">
        <f>IFERROR(1/IF(Inputs!$B$38="pvp",15,MAX(0.1,Skills!D8-IF(Skills!E8=TRUE,Inputs!$B$32,0))),0)</f>
        <v/>
      </c>
      <c r="R1053">
        <f>IF(AND(Inputs!$B$38&lt;&gt;"pvp",Inputs!$B$43&gt;0),IF(MAX(0,Inputs!$B$43-B1078)&lt;=0,0,(INT(MAX(0,Inputs!$B$43-B1078)/IF(Inputs!$B$38="pvp",15,MAX(0.1,Skills!D8-IF(Skills!E8=TRUE,Inputs!$B$32,0))))+1)),0)</f>
        <v/>
      </c>
      <c r="S1053">
        <f>IF(C1053,(H1053*N1053*IF(AND(Inputs!$B$38&lt;&gt;"pvp",Inputs!$B$43&gt;0),((Skills!F8*((R1053-1)*IF(Skills!G8&gt;0,Skills!H8/Skills!G8,1)+IF(Skills!G8&gt;0,MIN(Skills!H8,MAX(0,MAX(0,Inputs!$B$43-B1078)-((R1053-1)*IF(Inputs!$B$38="pvp",15,MAX(0.1,Skills!D8-IF(Skills!E8=TRUE,Inputs!$B$32,0))))))/Skills!G8,1)))/Inputs!$B$43),G1053*Q1053))*IF(Inputs!$B$38="pvp",1,1+(Inputs!$B$20+Skills!O8+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F8*((R1053-1)*IF(Skills!G8&gt;0,Skills!H8/Skills!G8,1)+IF(Skills!G8&gt;0,MIN(Skills!H8,MAX(0,MAX(0,Inputs!$B$43-B1078)-((R1053-1)*IF(Inputs!$B$38="pvp",15,MAX(0.1,Skills!D8-IF(Skills!E8=TRUE,Inputs!$B$32,0))))))/Skills!G8,1)))/Inputs!$B$43),G1053*Q1053))*IF(Inputs!$B$38="pvp",1,(1+(Inputs!$B$21+Skills!P8+B1072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Skills!A9</f>
        <v/>
      </c>
      <c r="B1054">
        <f>Skills!B9</f>
        <v/>
      </c>
      <c r="C1054">
        <f>Inputs!$B$3&gt;=105</f>
        <v/>
      </c>
      <c r="D1054">
        <f>IF(Skills!C9=1,60+Inputs!$B$25+Inputs!$B$29,IF(Skills!C9=2,90+Inputs!$B$26+Inputs!$B$29,IF(Skills!C9=3,120+Inputs!$B$27+Inputs!$B$29,MAX(0,(Inputs!$B$3-100)*3)+Inputs!$B$28+Inputs!$B$29)))</f>
        <v/>
      </c>
      <c r="E1054">
        <f>INDEX(FactorTable!$B$2:$Y$301, MATCH(ROUND(MIN(300,MAX(1,D1054)),0), FactorTable!$A$2:$A$301,0), Skills!L9+1)</f>
        <v/>
      </c>
      <c r="F1054">
        <f>IF(Skills!M9=TRUE,(Skills!K9/10)*(E1054/1000),Skills!K9/10)+Skills!N9</f>
        <v/>
      </c>
      <c r="G1054">
        <f>Calc!G9</f>
        <v/>
      </c>
      <c r="H1054">
        <f>Calc!H9</f>
        <v/>
      </c>
      <c r="I1054">
        <f>IF(Skills!T9&lt;&gt;"",1+(Skills!T9/10)*(Z1048/1000)/100,1)</f>
        <v/>
      </c>
      <c r="J1054">
        <f>((Inputs!$B$6*(1+Inputs!$B$7/100))+(((Inputs!$B$12*(1+Inputs!$B$13/100))-(Inputs!$B$12*(1+Inputs!$B$13/100)))+0.25*(Inputs!$B$14-Inputs!$B$14))*(1+Inputs!$B$7/100))*(F1054/100)</f>
        <v/>
      </c>
      <c r="K1054">
        <f>J1054*(1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1063-Calc!F18),(Inputs!$B$23+(IF(ArtifactsInput!$M$15,CHOOSE(ArtifactsInput!$N$15+1,25,30,35,40,45,50)/100*(Inputs!$B$11-Inputs!$B$11),0))))/100+(Inputs!$B$23+(IF(ArtifactsInput!$M$15,CHOOSE(ArtifactsInput!$N$15+1,25,30,35,40,45,50)/100*(Inputs!$B$11-Inputs!$B$11),0)))/100)/2</f>
        <v/>
      </c>
      <c r="M1054">
        <f>L1054*(1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IF(B1081=0,0,O1054/B1081)</f>
        <v/>
      </c>
      <c r="Q1054">
        <f>IFERROR(1/IF(Inputs!$B$38="pvp",15,MAX(0.1,Skills!D9-IF(Skills!E9=TRUE,Inputs!$B$32,0))),0)</f>
        <v/>
      </c>
      <c r="R1054">
        <f>IF(AND(Inputs!$B$38&lt;&gt;"pvp",Inputs!$B$43&gt;0),IF(MAX(0,Inputs!$B$43-B1078)&lt;=0,0,(INT(MAX(0,Inputs!$B$43-B1078)/IF(Inputs!$B$38="pvp",15,MAX(0.1,Skills!D9-IF(Skills!E9=TRUE,Inputs!$B$32,0))))+1)),0)</f>
        <v/>
      </c>
      <c r="S1054">
        <f>IF(C1054,(H1054*N1054*IF(AND(Inputs!$B$38&lt;&gt;"pvp",Inputs!$B$43&gt;0),((Skills!F9*((R1054-1)*IF(Skills!G9&gt;0,Skills!H9/Skills!G9,1)+IF(Skills!G9&gt;0,MIN(Skills!H9,MAX(0,MAX(0,Inputs!$B$43-B1078)-((R1054-1)*IF(Inputs!$B$38="pvp",15,MAX(0.1,Skills!D9-IF(Skills!E9=TRUE,Inputs!$B$32,0))))))/Skills!G9,1)))/Inputs!$B$43),G1054*Q1054))*IF(Inputs!$B$38="pvp",1,1+(Inputs!$B$20+Skills!O9+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F9*((R1054-1)*IF(Skills!G9&gt;0,Skills!H9/Skills!G9,1)+IF(Skills!G9&gt;0,MIN(Skills!H9,MAX(0,MAX(0,Inputs!$B$43-B1078)-((R1054-1)*IF(Inputs!$B$38="pvp",15,MAX(0.1,Skills!D9-IF(Skills!E9=TRUE,Inputs!$B$32,0))))))/Skills!G9,1)))/Inputs!$B$43),G1054*Q1054))*IF(Inputs!$B$38="pvp",1,(1+(Inputs!$B$21+Skills!P9+B1072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Skills!A10</f>
        <v/>
      </c>
      <c r="B1055">
        <f>Skills!B10</f>
        <v/>
      </c>
      <c r="C1055">
        <f>Inputs!$B$3&gt;=113</f>
        <v/>
      </c>
      <c r="D1055">
        <f>IF(Skills!C10=1,60+Inputs!$B$25+Inputs!$B$29,IF(Skills!C10=2,90+Inputs!$B$26+Inputs!$B$29,IF(Skills!C10=3,120+Inputs!$B$27+Inputs!$B$29,MAX(0,(Inputs!$B$3-100)*3)+Inputs!$B$28+Inputs!$B$29)))</f>
        <v/>
      </c>
      <c r="E1055">
        <f>INDEX(FactorTable!$B$2:$Y$301, MATCH(ROUND(MIN(300,MAX(1,D1055)),0), FactorTable!$A$2:$A$301,0), Skills!L10+1)</f>
        <v/>
      </c>
      <c r="F1055">
        <f>IF(Skills!M10=TRUE,(Skills!K10/10)*(E1055/1000),Skills!K10/10)+Skills!N10</f>
        <v/>
      </c>
      <c r="G1055">
        <f>Calc!G10</f>
        <v/>
      </c>
      <c r="H1055">
        <f>Calc!H10</f>
        <v/>
      </c>
      <c r="I1055">
        <f>IF(Skills!T10&lt;&gt;"",1+(Skills!T10/10)*(Z1048/1000)/100,1)</f>
        <v/>
      </c>
      <c r="J1055">
        <f>((Inputs!$B$6*(1+Inputs!$B$7/100))+(((Inputs!$B$12*(1+Inputs!$B$13/100))-(Inputs!$B$12*(1+Inputs!$B$13/100)))+0.25*(Inputs!$B$14-Inputs!$B$14))*(1+Inputs!$B$7/100))*(F1055/100)</f>
        <v/>
      </c>
      <c r="K1055">
        <f>J1055*(1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1055)</f>
        <v/>
      </c>
      <c r="L1055">
        <f>K1055*(MIN(Inputs!$B$22+(F1063-Calc!F18),(Inputs!$B$23+(IF(ArtifactsInput!$M$15,CHOOSE(ArtifactsInput!$N$15+1,25,30,35,40,45,50)/100*(Inputs!$B$11-Inputs!$B$11),0))))/100+(Inputs!$B$23+(IF(ArtifactsInput!$M$15,CHOOSE(ArtifactsInput!$N$15+1,25,30,35,40,45,50)/100*(Inputs!$B$11-Inputs!$B$11),0)))/100)/2</f>
        <v/>
      </c>
      <c r="M1055">
        <f>L1055*(1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5">
        <f>L1055*(1-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1055*(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5">
        <f>(1-Summary!$B$11)*S1055+Summary!$B$11*U1055</f>
        <v/>
      </c>
      <c r="P1055">
        <f>IF(B1081=0,0,O1055/B1081)</f>
        <v/>
      </c>
      <c r="Q1055">
        <f>IFERROR(1/IF(Inputs!$B$38="pvp",15,MAX(0.1,Skills!D10-IF(Skills!E9=TRUE,Inputs!$B$32,0))),0)</f>
        <v/>
      </c>
      <c r="R1055">
        <f>IF(AND(Inputs!$B$38&lt;&gt;"pvp",Inputs!$B$43&gt;0),IF(MAX(0,Inputs!$B$43-B1078)&lt;=0,0,(INT(MAX(0,Inputs!$B$43-B1078)/IF(Inputs!$B$38="pvp",15,MAX(0.1,Skills!D10-IF(Skills!E9=TRUE,Inputs!$B$32,0))))+1)),0)</f>
        <v/>
      </c>
      <c r="S1055">
        <f>IF(C1055,(H1055*N1055*IF(AND(Inputs!$B$38&lt;&gt;"pvp",Inputs!$B$43&gt;0),((Skills!F10*((R1055-1)*IF(Skills!G10&gt;0,Skills!H10/Skills!G10,1)+IF(Skills!G10&gt;0,MIN(Skills!H10,MAX(0,MAX(0,Inputs!$B$43-B1078)-((R1055-1)*IF(Inputs!$B$38="pvp",15,MAX(0.1,Skills!D10-IF(Skills!E9=TRUE,Inputs!$B$32,0))))))/Skills!G10,1)))/Inputs!$B$43),G1055*Q1055))*IF(Inputs!$B$38="pvp",1,1+(Inputs!$B$20+Skills!O10+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1055*(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1055*(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5">
        <f>IF(C1055,(H1055*N1055*IF(AND(Inputs!$B$38&lt;&gt;"pvp",Inputs!$B$43&gt;0),((Skills!F10*((R1055-1)*IF(Skills!G10&gt;0,Skills!H10/Skills!G10,1)+IF(Skills!G10&gt;0,MIN(Skills!H10,MAX(0,MAX(0,Inputs!$B$43-B1078)-((R1055-1)*IF(Inputs!$B$38="pvp",15,MAX(0.1,Skills!D10-IF(Skills!E9=TRUE,Inputs!$B$32,0))))))/Skills!G10,1)))/Inputs!$B$43),G1055*Q1055))*IF(Inputs!$B$38="pvp",1,(1+(Inputs!$B$21+Skills!P10+B1072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6">
      <c r="A1056">
        <f>Skills!A11</f>
        <v/>
      </c>
      <c r="B1056">
        <f>Skills!B11</f>
        <v/>
      </c>
      <c r="C1056">
        <f>Inputs!$B$3&gt;=107</f>
        <v/>
      </c>
      <c r="D1056">
        <f>IF(Skills!C11=1,60+Inputs!$B$25+Inputs!$B$29,IF(Skills!C11=2,90+Inputs!$B$26+Inputs!$B$29,IF(Skills!C11=3,120+Inputs!$B$27+Inputs!$B$29,MAX(0,(Inputs!$B$3-100)*3)+Inputs!$B$28+Inputs!$B$29)))</f>
        <v/>
      </c>
      <c r="E1056">
        <f>INDEX(FactorTable!$B$2:$Y$301, MATCH(ROUND(MIN(300,MAX(1,D1056)),0), FactorTable!$A$2:$A$301,0), Skills!L11+1)</f>
        <v/>
      </c>
      <c r="F1056">
        <f>IF(Skills!M11=TRUE,(Skills!K11/10)*(E1056/1000),Skills!K11/10)+Skills!N11</f>
        <v/>
      </c>
      <c r="G1056">
        <f>Calc!G11</f>
        <v/>
      </c>
      <c r="H1056">
        <f>Calc!H11</f>
        <v/>
      </c>
      <c r="I1056">
        <f>IF(Skills!T11&lt;&gt;"",1+(Skills!T11/10)*(Z1048/1000)/100,1)</f>
        <v/>
      </c>
      <c r="J1056">
        <f>((Inputs!$B$6*(1+Inputs!$B$7/100))+(((Inputs!$B$12*(1+Inputs!$B$13/100))-(Inputs!$B$12*(1+Inputs!$B$13/100)))+0.25*(Inputs!$B$14-Inputs!$B$14))*(1+Inputs!$B$7/100))*(F1056/100)</f>
        <v/>
      </c>
      <c r="K1056">
        <f>J1056*(1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F1063-Calc!F18),(Inputs!$B$23+(IF(ArtifactsInput!$M$15,CHOOSE(ArtifactsInput!$N$15+1,25,30,35,40,45,50)/100*(Inputs!$B$11-Inputs!$B$11),0))))/100+(Inputs!$B$23+(IF(ArtifactsInput!$M$15,CHOOSE(ArtifactsInput!$N$15+1,25,30,35,40,45,50)/100*(Inputs!$B$11-Inputs!$B$11),0)))/100)/2</f>
        <v/>
      </c>
      <c r="M1056">
        <f>L1056*(1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(1-Summary!$B$11)*S1056+Summary!$B$11*U1056</f>
        <v/>
      </c>
      <c r="P1056">
        <f>IF(B1081=0,0,O1056/B1081)</f>
        <v/>
      </c>
      <c r="Q1056">
        <f>IFERROR(1/IF(Inputs!$B$38="pvp",15,MAX(0.1,Skills!D11-IF(Skills!E11=TRUE,Inputs!$B$32,0))),0)</f>
        <v/>
      </c>
      <c r="R1056">
        <f>IF(AND(Inputs!$B$38&lt;&gt;"pvp",Inputs!$B$43&gt;0),IF(MAX(0,Inputs!$B$43-B1078)&lt;=0,0,(INT(MAX(0,Inputs!$B$43-B1078)/IF(Inputs!$B$38="pvp",15,MAX(0.1,Skills!D11-IF(Skills!E11=TRUE,Inputs!$B$32,0))))+1)),0)</f>
        <v/>
      </c>
      <c r="S1056">
        <f>IF(C1056,H1056*N1056*IF(AND(Inputs!$B$38&lt;&gt;"pvp",Inputs!$B$43&gt;0),((Skills!F11*((R1056-1)*IF(Skills!G11&gt;0,Skills!H11/Skills!G11,1)+IF(Skills!G11&gt;0,MIN(Skills!H11,MAX(0,MAX(0,Inputs!$B$43-B1078)-((R1056-1)*IF(Inputs!$B$38="pvp",15,MAX(0.1,Skills!D11-IF(Skills!E11=TRUE,Inputs!$B$32,0))))))/Skills!G11,1)))/Inputs!$B$43),G1056*Q1056)*0.5*IF(Inputs!$B$38="pvp",1,1+(Inputs!$B$20+Skills!O11+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1056*(1-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6">
        <f>IF(C1056,H1056*N1056*IF(AND(Inputs!$B$38&lt;&gt;"pvp",Inputs!$B$43&gt;0),((Skills!F11*((R1056-1)*IF(Skills!G11&gt;0,Skills!H11/Skills!G11,1)+IF(Skills!G11&gt;0,MIN(Skills!H11,MAX(0,MAX(0,Inputs!$B$43-B1078)-((R1056-1)*IF(Inputs!$B$38="pvp",15,MAX(0.1,Skills!D11-IF(Skills!E11=TRUE,Inputs!$B$32,0))))))/Skills!G11,1)))/Inputs!$B$43),G1056*Q1056)*1*IF(Inputs!$B$38="pvp",1,(1+(Inputs!$B$21+Skills!P11+B1072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7">
      <c r="A1057">
        <f>Skills!A12</f>
        <v/>
      </c>
      <c r="B1057">
        <f>Skills!B12</f>
        <v/>
      </c>
      <c r="C1057">
        <f>Inputs!$B$3&gt;=115</f>
        <v/>
      </c>
      <c r="D1057">
        <f>IF(Skills!C12=1,60+Inputs!$B$25+Inputs!$B$29,IF(Skills!C12=2,90+Inputs!$B$26+Inputs!$B$29,IF(Skills!C12=3,120+Inputs!$B$27+Inputs!$B$29,MAX(0,(Inputs!$B$3-100)*3)+Inputs!$B$28+Inputs!$B$29)))</f>
        <v/>
      </c>
      <c r="E1057">
        <f>INDEX(FactorTable!$B$2:$Y$301, MATCH(ROUND(MIN(300,MAX(1,D1057)),0), FactorTable!$A$2:$A$301,0), Skills!L12+1)</f>
        <v/>
      </c>
      <c r="F1057">
        <f>IF(Skills!M12=TRUE,(Skills!K12/10)*(E1057/1000),Skills!K12/10)+Skills!N12</f>
        <v/>
      </c>
      <c r="G1057">
        <f>Calc!G12</f>
        <v/>
      </c>
      <c r="H1057">
        <f>Calc!H12</f>
        <v/>
      </c>
      <c r="I1057">
        <f>IF(Skills!T12&lt;&gt;"",1+(Skills!T12/10)*(Z1048/1000)/100,1)</f>
        <v/>
      </c>
      <c r="J1057">
        <f>((Inputs!$B$6*(1+Inputs!$B$7/100))+(((Inputs!$B$12*(1+Inputs!$B$13/100))-(Inputs!$B$12*(1+Inputs!$B$13/100)))+0.25*(Inputs!$B$14-Inputs!$B$14))*(1+Inputs!$B$7/100))*(F1057/100)</f>
        <v/>
      </c>
      <c r="K1057">
        <f>J1057*(1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1057)</f>
        <v/>
      </c>
      <c r="L1057">
        <f>K1057*(MIN(Inputs!$B$22+(F1063-Calc!F18),(Inputs!$B$23+(IF(ArtifactsInput!$M$15,CHOOSE(ArtifactsInput!$N$15+1,25,30,35,40,45,50)/100*(Inputs!$B$11-Inputs!$B$11),0))))/100+(Inputs!$B$23+(IF(ArtifactsInput!$M$15,CHOOSE(ArtifactsInput!$N$15+1,25,30,35,40,45,50)/100*(Inputs!$B$11-Inputs!$B$11),0)))/100)/2</f>
        <v/>
      </c>
      <c r="M1057">
        <f>L1057*(1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7">
        <f>L1057*(1-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1057*(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7">
        <f>(1-Summary!$B$11)*S1057+Summary!$B$11*U1057</f>
        <v/>
      </c>
      <c r="P1057">
        <f>IF(B1081=0,0,O1057/B1081)</f>
        <v/>
      </c>
      <c r="Q1057">
        <f>IFERROR(1/IF(Inputs!$B$38="pvp",15,MAX(0.1,Skills!D12-IF(Skills!E12=TRUE,Inputs!$B$32,0))),0)</f>
        <v/>
      </c>
      <c r="R1057">
        <f>IF(AND(Inputs!$B$38&lt;&gt;"pvp",Inputs!$B$43&gt;0),IF(MAX(0,Inputs!$B$43-B1078)&lt;=0,0,(INT(MAX(0,Inputs!$B$43-B1078)/IF(Inputs!$B$38="pvp",15,MAX(0.1,Skills!D12-IF(Skills!E12=TRUE,Inputs!$B$32,0))))+1)),0)</f>
        <v/>
      </c>
      <c r="S1057">
        <f>IF(C1057,(H1057*N1057*IF(AND(Inputs!$B$38&lt;&gt;"pvp",Inputs!$B$43&gt;0),((Skills!F12*((R1057-1)*IF(Skills!G12&gt;0,Skills!H12/Skills!G12,1)+IF(Skills!G12&gt;0,MIN(Skills!H12,MAX(0,MAX(0,Inputs!$B$43-B1078)-((R1057-1)*IF(Inputs!$B$38="pvp",15,MAX(0.1,Skills!D12-IF(Skills!E12=TRUE,Inputs!$B$32,0))))))/Skills!G12,1)))/Inputs!$B$43),G1057*Q1057))*IF(Inputs!$B$38="pvp",1,1+(Inputs!$B$20+Skills!O12+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7">
        <f>IF(C1057,(H1057*N1057*IF(AND(Inputs!$B$38&lt;&gt;"pvp",Inputs!$B$43&gt;0),((Skills!F12*((R1057-1)*IF(Skills!G12&gt;0,Skills!H12/Skills!G12,1)+IF(Skills!G12&gt;0,MIN(Skills!H12,MAX(0,MAX(0,Inputs!$B$43-B1078)-((R1057-1)*IF(Inputs!$B$38="pvp",15,MAX(0.1,Skills!D12-IF(Skills!E12=TRUE,Inputs!$B$32,0))))))/Skills!G12,1)))/Inputs!$B$43),G1057*Q1057))*IF(Inputs!$B$38="pvp",1,(1+(Inputs!$B$21+Skills!P12+B1072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8">
      <c r="A1058">
        <f>Skills!A13</f>
        <v/>
      </c>
      <c r="B1058">
        <f>Skills!B13</f>
        <v/>
      </c>
      <c r="C1058">
        <f>Inputs!$B$3&gt;=49</f>
        <v/>
      </c>
      <c r="D1058">
        <f>IF(Skills!C13=1,60+Inputs!$B$25+Inputs!$B$29,IF(Skills!C13=2,90+Inputs!$B$26+Inputs!$B$29,IF(Skills!C13=3,120+Inputs!$B$27+Inputs!$B$29,MAX(0,(Inputs!$B$3-100)*3)+Inputs!$B$28+Inputs!$B$29)))</f>
        <v/>
      </c>
      <c r="E1058">
        <f>INDEX(FactorTable!$B$2:$Y$301, MATCH(ROUND(MIN(300,MAX(1,D1058)),0), FactorTable!$A$2:$A$301,0), Skills!L13+1)</f>
        <v/>
      </c>
      <c r="F1058">
        <f>IF(Skills!M13=TRUE,(Skills!K13/10)*(E1058/1000),Skills!K13/10)+Skills!N13</f>
        <v/>
      </c>
      <c r="G1058">
        <f>Calc!G13</f>
        <v/>
      </c>
      <c r="H1058">
        <f>Calc!H13</f>
        <v/>
      </c>
      <c r="I1058">
        <f>IF(Skills!T13&lt;&gt;"",1+(Skills!T13/10)*(Z1048/1000)/100,1)</f>
        <v/>
      </c>
      <c r="J1058" t="inlineStr"/>
      <c r="K1058" t="inlineStr"/>
      <c r="L1058" t="inlineStr"/>
      <c r="M1058" t="inlineStr"/>
      <c r="N1058" t="inlineStr"/>
      <c r="O1058">
        <f>(1-Summary!$B$11)*S1058+Summary!$B$11*U1058</f>
        <v/>
      </c>
      <c r="P1058">
        <f>IF(B1081=0,0,O1058/B1081)</f>
        <v/>
      </c>
      <c r="Q1058">
        <f>IFERROR(1/IF(Inputs!$B$38="pvp",15,MAX(0.1,Skills!D13-IF(Skills!E13=TRUE,Inputs!$B$32,0))),0)</f>
        <v/>
      </c>
      <c r="R1058" t="n">
        <v>0</v>
      </c>
      <c r="S1058" t="n">
        <v>0</v>
      </c>
      <c r="U1058" t="n">
        <v>0</v>
      </c>
    </row>
    <row r="1059">
      <c r="A1059">
        <f>Skills!A14</f>
        <v/>
      </c>
      <c r="B1059">
        <f>Skills!B14</f>
        <v/>
      </c>
      <c r="C1059">
        <f>Inputs!$B$3&gt;=72</f>
        <v/>
      </c>
      <c r="D1059">
        <f>IF(Skills!C14=1,60+Inputs!$B$25+Inputs!$B$29,IF(Skills!C14=2,90+Inputs!$B$26+Inputs!$B$29,IF(Skills!C14=3,120+Inputs!$B$27+Inputs!$B$29,MAX(0,(Inputs!$B$3-100)*3)+Inputs!$B$28+Inputs!$B$29)))</f>
        <v/>
      </c>
      <c r="E1059">
        <f>INDEX(FactorTable!$B$2:$Y$301, MATCH(ROUND(MIN(300,MAX(1,D1059)),0), FactorTable!$A$2:$A$301,0), Skills!L14+1)</f>
        <v/>
      </c>
      <c r="F1059">
        <f>IF(Skills!M14=TRUE,(Skills!K14/10)*(E1059/1000),Skills!K14/10)+Skills!N14</f>
        <v/>
      </c>
      <c r="G1059">
        <f>Calc!G14</f>
        <v/>
      </c>
      <c r="H1059">
        <f>Calc!H14</f>
        <v/>
      </c>
      <c r="I1059">
        <f>IF(Skills!T14&lt;&gt;"",1+(Skills!T14/10)*(Z1048/1000)/100,1)</f>
        <v/>
      </c>
      <c r="J1059" t="inlineStr"/>
      <c r="K1059" t="inlineStr"/>
      <c r="L1059" t="inlineStr"/>
      <c r="M1059" t="inlineStr"/>
      <c r="N1059" t="inlineStr"/>
      <c r="O1059">
        <f>(1-Summary!$B$11)*S1059+Summary!$B$11*U1059</f>
        <v/>
      </c>
      <c r="P1059">
        <f>IF(B1081=0,0,O1059/B1081)</f>
        <v/>
      </c>
      <c r="Q1059">
        <f>IFERROR(1/IF(Inputs!$B$38="pvp",15,MAX(0.1,Skills!D14-IF(Skills!E14=TRUE,Inputs!$B$32,0))),0)</f>
        <v/>
      </c>
      <c r="R1059" t="n">
        <v>0</v>
      </c>
      <c r="S1059" t="n">
        <v>0</v>
      </c>
      <c r="U1059" t="n">
        <v>0</v>
      </c>
    </row>
    <row r="1060">
      <c r="A1060">
        <f>Skills!A15</f>
        <v/>
      </c>
      <c r="B1060">
        <f>Skills!B15</f>
        <v/>
      </c>
      <c r="C1060">
        <f>Inputs!$B$3&gt;=75</f>
        <v/>
      </c>
      <c r="D1060">
        <f>IF(Skills!C15=1,60+Inputs!$B$25+Inputs!$B$29,IF(Skills!C15=2,90+Inputs!$B$26+Inputs!$B$29,IF(Skills!C15=3,120+Inputs!$B$27+Inputs!$B$29,MAX(0,(Inputs!$B$3-100)*3)+Inputs!$B$28+Inputs!$B$29)))</f>
        <v/>
      </c>
      <c r="E1060">
        <f>INDEX(FactorTable!$B$2:$Y$301, MATCH(ROUND(MIN(300,MAX(1,D1060)),0), FactorTable!$A$2:$A$301,0), Skills!L15+1)</f>
        <v/>
      </c>
      <c r="F1060">
        <f>IF(Skills!M15=TRUE,(Skills!K15/10)*(E1060/1000),Skills!K15/10)+Skills!N15</f>
        <v/>
      </c>
      <c r="G1060">
        <f>Calc!G15</f>
        <v/>
      </c>
      <c r="H1060">
        <f>Calc!H15</f>
        <v/>
      </c>
      <c r="I1060">
        <f>IF(Skills!T15&lt;&gt;"",1+(Skills!T15/10)*(Z1048/1000)/100,1)</f>
        <v/>
      </c>
      <c r="J1060" t="inlineStr"/>
      <c r="K1060" t="inlineStr"/>
      <c r="L1060" t="inlineStr"/>
      <c r="M1060" t="inlineStr"/>
      <c r="N1060" t="inlineStr"/>
      <c r="O1060">
        <f>(1-Summary!$B$11)*S1060+Summary!$B$11*U1060</f>
        <v/>
      </c>
      <c r="P1060">
        <f>IF(B1081=0,0,O1060/B1081)</f>
        <v/>
      </c>
      <c r="Q1060">
        <f>IFERROR(1/IF(Inputs!$B$38="pvp",15,MAX(0.1,Skills!D15-IF(Skills!E15=TRUE,Inputs!$B$32,0))),0)</f>
        <v/>
      </c>
      <c r="R1060" t="n">
        <v>0</v>
      </c>
      <c r="S1060" t="n">
        <v>0</v>
      </c>
      <c r="U1060" t="n">
        <v>0</v>
      </c>
    </row>
    <row r="1061">
      <c r="A1061">
        <f>Skills!A16</f>
        <v/>
      </c>
      <c r="B1061">
        <f>Skills!B16</f>
        <v/>
      </c>
      <c r="C1061">
        <f>Inputs!$B$3&gt;=110</f>
        <v/>
      </c>
      <c r="D1061">
        <f>IF(Skills!C16=1,60+Inputs!$B$25+Inputs!$B$29,IF(Skills!C16=2,90+Inputs!$B$26+Inputs!$B$29,IF(Skills!C16=3,120+Inputs!$B$27+Inputs!$B$29,MAX(0,(Inputs!$B$3-100)*3)+Inputs!$B$28+Inputs!$B$29)))</f>
        <v/>
      </c>
      <c r="E1061">
        <f>INDEX(FactorTable!$B$2:$Y$301, MATCH(ROUND(MIN(300,MAX(1,D1061)),0), FactorTable!$A$2:$A$301,0), Skills!L16+1)</f>
        <v/>
      </c>
      <c r="F1061">
        <f>(Skills!K16/10)*(E1061/1000)*64/45+Skills!N16</f>
        <v/>
      </c>
      <c r="G1061">
        <f>Calc!G16</f>
        <v/>
      </c>
      <c r="H1061">
        <f>Calc!H16</f>
        <v/>
      </c>
      <c r="I1061">
        <f>IF(Skills!T16&lt;&gt;"",1+(Skills!T16/10)*(Z1048/1000)/100,1)</f>
        <v/>
      </c>
      <c r="J1061" t="inlineStr"/>
      <c r="K1061" t="inlineStr"/>
      <c r="L1061" t="inlineStr"/>
      <c r="M1061" t="inlineStr"/>
      <c r="N1061" t="inlineStr"/>
      <c r="O1061">
        <f>(1-Summary!$B$11)*S1061+Summary!$B$11*U1061</f>
        <v/>
      </c>
      <c r="P1061">
        <f>IF(B1081=0,0,O1061/B1081)</f>
        <v/>
      </c>
      <c r="Q1061">
        <f>IFERROR(1/IF(Inputs!$B$38="pvp",15,MAX(0.1,Skills!D16-IF(Skills!E16=TRUE,Inputs!$B$32,0))),0)</f>
        <v/>
      </c>
      <c r="R1061">
        <f>IF(AND(Inputs!$B$38&lt;&gt;"pvp",Inputs!$B$43&gt;0),IF(Inputs!$B$43&lt;=0,0,(INT(Inputs!$B$43/IF(Inputs!$B$38="pvp",15,MAX(0.1,Skills!D16-IF(Skills!E16=TRUE,Inputs!$B$32,0))))+1)),0)</f>
        <v/>
      </c>
      <c r="S1061" t="n">
        <v>0</v>
      </c>
      <c r="U1061" t="n">
        <v>0</v>
      </c>
    </row>
    <row r="1062">
      <c r="A1062">
        <f>Skills!A17</f>
        <v/>
      </c>
      <c r="B1062">
        <f>Skills!B17</f>
        <v/>
      </c>
      <c r="C1062">
        <f>Inputs!$B$3&gt;=33</f>
        <v/>
      </c>
      <c r="D1062">
        <f>IF(Skills!C17=1,60+Inputs!$B$25+Inputs!$B$29,IF(Skills!C17=2,90+Inputs!$B$26+Inputs!$B$29,IF(Skills!C17=3,120+Inputs!$B$27+Inputs!$B$29,MAX(0,(Inputs!$B$3-100)*3)+Inputs!$B$28+Inputs!$B$29)))</f>
        <v/>
      </c>
      <c r="E1062">
        <f>INDEX(FactorTable!$B$2:$Y$301, MATCH(ROUND(MIN(300,MAX(1,D1062)),0), FactorTable!$A$2:$A$301,0), Skills!L17+1)</f>
        <v/>
      </c>
      <c r="F1062">
        <f>IF(Skills!M17=TRUE,(Skills!K17/10)*(E1062/1000),Skills!K17/10)+Skills!N17</f>
        <v/>
      </c>
      <c r="G1062">
        <f>Calc!G17</f>
        <v/>
      </c>
      <c r="H1062">
        <f>Calc!H17</f>
        <v/>
      </c>
      <c r="I1062">
        <f>IF(Skills!T17&lt;&gt;"",1+(Skills!T17/10)*(Z1048/1000)/100,1)</f>
        <v/>
      </c>
      <c r="J1062" t="inlineStr"/>
      <c r="K1062" t="inlineStr"/>
      <c r="L1062" t="inlineStr"/>
      <c r="M1062" t="inlineStr"/>
      <c r="N1062" t="inlineStr"/>
      <c r="O1062">
        <f>(1-Summary!$B$11)*S1062+Summary!$B$11*U1062</f>
        <v/>
      </c>
      <c r="P1062">
        <f>IF(B1081=0,0,O1062/B1081)</f>
        <v/>
      </c>
      <c r="Q1062">
        <f>IFERROR(1/IF(Inputs!$B$38="pvp",15,MAX(0.1,Skills!D17-IF(Skills!E17=TRUE,Inputs!$B$32,0))),0)</f>
        <v/>
      </c>
      <c r="R1062" t="n">
        <v>0</v>
      </c>
      <c r="S1062" t="n">
        <v>0</v>
      </c>
      <c r="U1062" t="n">
        <v>0</v>
      </c>
    </row>
    <row r="1063">
      <c r="A1063">
        <f>Skills!A18</f>
        <v/>
      </c>
      <c r="B1063">
        <f>Skills!B18</f>
        <v/>
      </c>
      <c r="C1063">
        <f>Inputs!$B$3&gt;=43</f>
        <v/>
      </c>
      <c r="D1063">
        <f>IF(Skills!C18=1,60+Inputs!$B$25+Inputs!$B$29,IF(Skills!C18=2,90+Inputs!$B$26+Inputs!$B$29,IF(Skills!C18=3,120+Inputs!$B$27+Inputs!$B$29,MAX(0,(Inputs!$B$3-100)*3)+Inputs!$B$28+Inputs!$B$29)))</f>
        <v/>
      </c>
      <c r="E1063">
        <f>INDEX(FactorTable!$B$2:$Y$301, MATCH(ROUND(MIN(300,MAX(1,D1063)),0), FactorTable!$A$2:$A$301,0), Skills!L18+1)</f>
        <v/>
      </c>
      <c r="F1063">
        <f>IF(Skills!M18=TRUE,(Skills!K18/10)*(E1063/1000),Skills!K18/10)+Skills!N18</f>
        <v/>
      </c>
      <c r="G1063">
        <f>Calc!G18</f>
        <v/>
      </c>
      <c r="H1063">
        <f>Calc!H18</f>
        <v/>
      </c>
      <c r="I1063">
        <f>IF(Skills!T18&lt;&gt;"",1+(Skills!T18/10)*(Z1048/1000)/100,1)</f>
        <v/>
      </c>
      <c r="J1063" t="inlineStr"/>
      <c r="K1063" t="inlineStr"/>
      <c r="L1063" t="inlineStr"/>
      <c r="M1063" t="inlineStr"/>
      <c r="N1063" t="inlineStr"/>
      <c r="O1063">
        <f>(1-Summary!$B$11)*S1063+Summary!$B$11*U1063</f>
        <v/>
      </c>
      <c r="P1063">
        <f>IF(B1081=0,0,O1063/B1081)</f>
        <v/>
      </c>
      <c r="Q1063">
        <f>IFERROR(1/IF(Inputs!$B$38="pvp",15,MAX(0.1,Skills!D18-IF(Skills!E18=TRUE,Inputs!$B$32,0))),0)</f>
        <v/>
      </c>
      <c r="R1063" t="n">
        <v>0</v>
      </c>
      <c r="S1063" t="n">
        <v>0</v>
      </c>
      <c r="U1063" t="n">
        <v>0</v>
      </c>
    </row>
    <row r="1064">
      <c r="A1064">
        <f>Skills!A19</f>
        <v/>
      </c>
      <c r="B1064">
        <f>Skills!B19</f>
        <v/>
      </c>
      <c r="C1064">
        <f>Inputs!$B$3&gt;=50</f>
        <v/>
      </c>
      <c r="D1064">
        <f>IF(Skills!C19=1,60+Inputs!$B$25+Inputs!$B$29,IF(Skills!C19=2,90+Inputs!$B$26+Inputs!$B$29,IF(Skills!C19=3,120+Inputs!$B$27+Inputs!$B$29,MAX(0,(Inputs!$B$3-100)*3)+Inputs!$B$28+Inputs!$B$29)))</f>
        <v/>
      </c>
      <c r="E1064">
        <f>INDEX(FactorTable!$B$2:$Y$301, MATCH(ROUND(MIN(300,MAX(1,D1064)),0), FactorTable!$A$2:$A$301,0), Skills!L19+1)</f>
        <v/>
      </c>
      <c r="F1064">
        <f>IF(Skills!M19=TRUE,(Skills!K19/10)*(E1064/1000),Skills!K19/10)+Skills!N19</f>
        <v/>
      </c>
      <c r="G1064">
        <f>Calc!G19</f>
        <v/>
      </c>
      <c r="H1064">
        <f>Calc!H19</f>
        <v/>
      </c>
      <c r="I1064">
        <f>IF(Skills!T19&lt;&gt;"",1+(Skills!T19/10)*(Z1048/1000)/100,1)</f>
        <v/>
      </c>
      <c r="J1064" t="inlineStr"/>
      <c r="K1064" t="inlineStr"/>
      <c r="L1064" t="inlineStr"/>
      <c r="M1064" t="inlineStr"/>
      <c r="N1064" t="inlineStr"/>
      <c r="O1064">
        <f>(1-Summary!$B$11)*S1064+Summary!$B$11*U1064</f>
        <v/>
      </c>
      <c r="P1064">
        <f>IF(B1081=0,0,O1064/B1081)</f>
        <v/>
      </c>
      <c r="Q1064">
        <f>IFERROR(1/IF(Inputs!$B$38="pvp",15,MAX(0.1,Skills!D19-IF(Skills!E19=TRUE,Inputs!$B$32,0))),0)</f>
        <v/>
      </c>
      <c r="R1064" t="n">
        <v>0</v>
      </c>
      <c r="S1064" t="n">
        <v>0</v>
      </c>
      <c r="U1064" t="n">
        <v>0</v>
      </c>
    </row>
    <row r="1065">
      <c r="A1065">
        <f>Skills!A20</f>
        <v/>
      </c>
      <c r="B1065">
        <f>Skills!B20</f>
        <v/>
      </c>
      <c r="C1065">
        <f>Inputs!$B$3&gt;=74</f>
        <v/>
      </c>
      <c r="D1065">
        <f>IF(Skills!C20=1,60+Inputs!$B$25+Inputs!$B$29,IF(Skills!C20=2,90+Inputs!$B$26+Inputs!$B$29,IF(Skills!C20=3,120+Inputs!$B$27+Inputs!$B$29,MAX(0,(Inputs!$B$3-100)*3)+Inputs!$B$28+Inputs!$B$29)))</f>
        <v/>
      </c>
      <c r="E1065">
        <f>INDEX(FactorTable!$B$2:$Y$301, MATCH(ROUND(MIN(300,MAX(1,D1065)),0), FactorTable!$A$2:$A$301,0), Skills!L20+1)</f>
        <v/>
      </c>
      <c r="F1065">
        <f>IF(Skills!M20=TRUE,(Skills!K20/10)*(E1065/1000),Skills!K20/10)+Skills!N20</f>
        <v/>
      </c>
      <c r="G1065">
        <f>Calc!G20</f>
        <v/>
      </c>
      <c r="H1065">
        <f>Calc!H20</f>
        <v/>
      </c>
      <c r="I1065">
        <f>IF(Skills!T20&lt;&gt;"",1+(Skills!T20/10)*(Z1048/1000)/100,1)</f>
        <v/>
      </c>
      <c r="J1065" t="inlineStr"/>
      <c r="K1065" t="inlineStr"/>
      <c r="L1065" t="inlineStr"/>
      <c r="M1065" t="inlineStr"/>
      <c r="N1065" t="inlineStr"/>
      <c r="O1065">
        <f>(1-Summary!$B$11)*S1065+Summary!$B$11*U1065</f>
        <v/>
      </c>
      <c r="P1065">
        <f>IF(B1081=0,0,O1065/B1081)</f>
        <v/>
      </c>
      <c r="Q1065">
        <f>IFERROR(1/IF(Inputs!$B$38="pvp",15,MAX(0.1,Skills!D20-IF(Skills!E20=TRUE,Inputs!$B$32,0))),0)</f>
        <v/>
      </c>
      <c r="R1065" t="n">
        <v>0</v>
      </c>
      <c r="S1065" t="n">
        <v>0</v>
      </c>
      <c r="U1065" t="n">
        <v>0</v>
      </c>
    </row>
    <row r="1066">
      <c r="A1066">
        <f>Skills!A21</f>
        <v/>
      </c>
      <c r="B1066">
        <f>Skills!B21</f>
        <v/>
      </c>
      <c r="C1066">
        <f>Inputs!$B$3&gt;=74</f>
        <v/>
      </c>
      <c r="D1066">
        <f>IF(Skills!C21=1,60+Inputs!$B$25+Inputs!$B$29,IF(Skills!C21=2,90+Inputs!$B$26+Inputs!$B$29,IF(Skills!C21=3,120+Inputs!$B$27+Inputs!$B$29,MAX(0,(Inputs!$B$3-100)*3)+Inputs!$B$28+Inputs!$B$29)))</f>
        <v/>
      </c>
      <c r="E1066">
        <f>INDEX(FactorTable!$B$2:$Y$301, MATCH(ROUND(MIN(300,MAX(1,D1066)),0), FactorTable!$A$2:$A$301,0), Skills!L21+1)</f>
        <v/>
      </c>
      <c r="F1066">
        <f>IF(Skills!M21=TRUE,(Skills!K21/10)*(E1066/1000),Skills!K21/10)+Skills!N21</f>
        <v/>
      </c>
      <c r="G1066">
        <f>Calc!G21</f>
        <v/>
      </c>
      <c r="H1066">
        <f>Calc!H21</f>
        <v/>
      </c>
      <c r="I1066">
        <f>IF(Skills!T21&lt;&gt;"",1+(Skills!T21/10)*(Z1048/1000)/100,1)</f>
        <v/>
      </c>
      <c r="J1066" t="inlineStr"/>
      <c r="K1066" t="inlineStr"/>
      <c r="L1066" t="inlineStr"/>
      <c r="M1066" t="inlineStr"/>
      <c r="N1066" t="inlineStr"/>
      <c r="O1066">
        <f>(1-Summary!$B$11)*S1066+Summary!$B$11*U1066</f>
        <v/>
      </c>
      <c r="P1066">
        <f>IF(B1081=0,0,O1066/B1081)</f>
        <v/>
      </c>
      <c r="Q1066">
        <f>IFERROR(1/IF(Inputs!$B$38="pvp",15,MAX(0.1,Skills!D21-IF(Skills!E21=TRUE,Inputs!$B$32,0))),0)</f>
        <v/>
      </c>
      <c r="R1066" t="n">
        <v>0</v>
      </c>
      <c r="S1066" t="n">
        <v>0</v>
      </c>
      <c r="U1066" t="n">
        <v>0</v>
      </c>
    </row>
    <row r="1067">
      <c r="A1067">
        <f>Skills!A22</f>
        <v/>
      </c>
      <c r="B1067">
        <f>Skills!B22</f>
        <v/>
      </c>
      <c r="C1067">
        <f>Inputs!$B$3&gt;=117</f>
        <v/>
      </c>
      <c r="D1067">
        <f>IF(Skills!C22=1,60+Inputs!$B$25+Inputs!$B$29,IF(Skills!C22=2,90+Inputs!$B$26+Inputs!$B$29,IF(Skills!C22=3,120+Inputs!$B$27+Inputs!$B$29,MAX(0,(Inputs!$B$3-100)*3)+Inputs!$B$28+Inputs!$B$29)))</f>
        <v/>
      </c>
      <c r="E1067">
        <f>INDEX(FactorTable!$B$2:$Y$301, MATCH(ROUND(MIN(300,MAX(1,D1067)),0), FactorTable!$A$2:$A$301,0), Skills!L22+1)</f>
        <v/>
      </c>
      <c r="F1067">
        <f>IF(Skills!M22=TRUE,(Skills!K22/10)*(E1067/1000),Skills!K22/10)+Skills!N22</f>
        <v/>
      </c>
      <c r="G1067">
        <f>Calc!G22</f>
        <v/>
      </c>
      <c r="H1067">
        <f>Calc!H22</f>
        <v/>
      </c>
      <c r="I1067">
        <f>IF(Skills!T22&lt;&gt;"",1+(Skills!T22/10)*(Z1048/1000)/100,1)</f>
        <v/>
      </c>
      <c r="J1067" t="inlineStr"/>
      <c r="K1067" t="inlineStr"/>
      <c r="L1067" t="inlineStr"/>
      <c r="M1067" t="inlineStr"/>
      <c r="N1067" t="inlineStr"/>
      <c r="O1067">
        <f>(1-Summary!$B$11)*S1067+Summary!$B$11*U1067</f>
        <v/>
      </c>
      <c r="P1067">
        <f>IF(B1081=0,0,O1067/B1081)</f>
        <v/>
      </c>
      <c r="Q1067">
        <f>IFERROR(1/IF(Inputs!$B$38="pvp",15,MAX(0.1,Skills!D22-IF(Skills!E22=TRUE,Inputs!$B$32,0))),0)</f>
        <v/>
      </c>
      <c r="R1067" t="n">
        <v>0</v>
      </c>
      <c r="S1067" t="n">
        <v>0</v>
      </c>
      <c r="U1067" t="n">
        <v>0</v>
      </c>
    </row>
    <row r="1068">
      <c r="A1068">
        <f>Skills!A23</f>
        <v/>
      </c>
      <c r="B1068">
        <f>Skills!B23</f>
        <v/>
      </c>
      <c r="C1068">
        <f>Inputs!$B$3&gt;=120</f>
        <v/>
      </c>
      <c r="D1068">
        <f>IF(Skills!C23=1,60+Inputs!$B$25+Inputs!$B$29,IF(Skills!C23=2,90+Inputs!$B$26+Inputs!$B$29,IF(Skills!C23=3,120+Inputs!$B$27+Inputs!$B$29,MAX(0,(Inputs!$B$3-100)*3)+Inputs!$B$28+Inputs!$B$29)))</f>
        <v/>
      </c>
      <c r="E1068">
        <f>INDEX(FactorTable!$B$2:$Y$301, MATCH(ROUND(MIN(300,MAX(1,D1068)),0), FactorTable!$A$2:$A$301,0), Skills!L23+1)</f>
        <v/>
      </c>
      <c r="F1068">
        <f>IF(Skills!M23=TRUE,(Skills!K23/10)*(E1068/1000),Skills!K23/10)+Skills!N23</f>
        <v/>
      </c>
      <c r="G1068">
        <f>Calc!G23</f>
        <v/>
      </c>
      <c r="H1068">
        <f>Calc!H23</f>
        <v/>
      </c>
      <c r="I1068">
        <f>IF(Skills!T23&lt;&gt;"",1+(Skills!T23/10)*(Z1048/1000)/100,1)</f>
        <v/>
      </c>
      <c r="J1068" t="inlineStr"/>
      <c r="K1068" t="inlineStr"/>
      <c r="L1068" t="inlineStr"/>
      <c r="M1068" t="inlineStr"/>
      <c r="N1068" t="inlineStr"/>
      <c r="O1068">
        <f>(1-Summary!$B$11)*S1068+Summary!$B$11*U1068</f>
        <v/>
      </c>
      <c r="P1068">
        <f>IF(B1081=0,0,O1068/B1081)</f>
        <v/>
      </c>
      <c r="Q1068">
        <f>IFERROR(1/IF(Inputs!$B$38="pvp",15,MAX(0.1,Skills!D23-IF(Skills!E23=TRUE,Inputs!$B$32,0))),0)</f>
        <v/>
      </c>
      <c r="R1068" t="n">
        <v>0</v>
      </c>
      <c r="S1068" t="n">
        <v>0</v>
      </c>
      <c r="U1068" t="n">
        <v>0</v>
      </c>
    </row>
    <row r="1071">
      <c r="A1071" t="inlineStr">
        <is>
          <t>Average Buff Multiplier (Magic Guard + Meditation + Artifact Attack%, summed; then Infinity)</t>
        </is>
      </c>
      <c r="B1071">
        <f>(1+(IF(C1048=TRUE,F1048*IF(AND(Inputs!$B$38&lt;&gt;"pvp",Inputs!$B$43&gt;0),(((R1048-1)*(Skills!S3*(1+(Inputs!$B$34+IF(Inputs!$B$3&gt;=117,F1067,0))/100))+MIN((Skills!S3*(1+(Inputs!$B$34+IF(Inputs!$B$3&gt;=117,F1067,0))/100)),MAX(0,Inputs!$B$43-((R1048-1)*Skills!D3))))/Inputs!$B$43),IF(Inputs!$B$38="pvp",MIN((Skills!S3*(1+(Inputs!$B$34+IF(Inputs!$B$3&gt;=117,F1067,0))/100)),15)/15,(Skills!S3*(1+(Inputs!$B$34+IF(Inputs!$B$3&gt;=117,F1067,0))/100))/Skills!D3)),0)+IF(C1049=TRUE,F1049*IF(AND(Inputs!$B$38&lt;&gt;"pvp",Inputs!$B$43&gt;0),(((R1049-1)*(Skills!S4*(1+(Inputs!$B$34+IF(Inputs!$B$3&gt;=117,F1067,0))/100))+MIN((Skills!S4*(1+(Inputs!$B$34+IF(Inputs!$B$3&gt;=117,F1067,0))/100)),MAX(0,Inputs!$B$43-((R1049-1)*Skills!D4))))/Inputs!$B$43),IF(Inputs!$B$38="pvp",MIN((Skills!S4*(1+(Inputs!$B$34+IF(Inputs!$B$3&gt;=117,F1067,0))/100)),15)/15,(Skills!S4*(1+(Inputs!$B$34+IF(Inputs!$B$3&gt;=117,F1067,0)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1061=TRUE,(1+F1061*IF(AND(Inputs!$B$38&lt;&gt;"pvp",Inputs!$B$43&gt;0),(((R1061-1)*(Skills!S16*(1+(Inputs!$B$34+IF(Inputs!$B$3&gt;=117,F1067,0))/100))+MIN((Skills!S16*(1+(Inputs!$B$34+IF(Inputs!$B$3&gt;=117,F1067,0))/100)),MAX(0,Inputs!$B$43-((R1061-1)*Skills!D16))))/Inputs!$B$43),IF(Inputs!$B$38="pvp",MIN((Skills!S16*(1+(Inputs!$B$34+IF(Inputs!$B$3&gt;=117,F1067,0))/100)),15)/15,(Skills!S16*(1+(Inputs!$B$34+IF(Inputs!$B$3&gt;=117,F1067,0))/100))/Skills!D16))/100),1)</f>
        <v/>
      </c>
    </row>
    <row r="1072">
      <c r="A1072" t="inlineStr">
        <is>
          <t>Monster Damage Taken Bonus % (Freezing Breath - Weaken + Elemental Reset + Artifact Enemy Damage Taken, summed)</t>
        </is>
      </c>
      <c r="B1072">
        <f>IF(Inputs!$B$3&gt;=118,15*IF(Inputs!$B$38="pvp",MIN((30*(1+(Inputs!$B$34+IF(Inputs!$B$3&gt;=117,F1067,0))/100)),15)/15,(30*(1+(Inputs!$B$34+IF(Inputs!$B$3&gt;=117,F1067,0))/100))/Skills!D8),0)+IF(C1059=TRUE,F1059,0)+(IF(AND(ArtifactsInput!$M$35,Inputs!$B$4&lt;&gt;"Chapter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f>
        <v/>
      </c>
    </row>
    <row r="1073">
      <c r="A1073" t="inlineStr">
        <is>
          <t>Damage % Bonus (Frozen Break + Frost Clutch, flat)</t>
        </is>
      </c>
      <c r="B1073">
        <f>IF(Inputs!$B$3&gt;=66,15,0)+IF(Inputs!$B$3&gt;=98,10,0)+IF(Inputs!$B$3&gt;=125,20,0)</f>
        <v/>
      </c>
    </row>
    <row r="1074">
      <c r="A1074" t="inlineStr">
        <is>
          <t>Attack Speed Bonus % (MP Eater - MP Boost, always-on once unlocked)</t>
        </is>
      </c>
      <c r="B1074">
        <f>IF(C1058=TRUE,F1058+(F1062-Calc!F17),0)</f>
        <v/>
      </c>
    </row>
    <row r="1075">
      <c r="A1075" t="inlineStr">
        <is>
          <t>Actions Per Second</t>
        </is>
      </c>
      <c r="B1075">
        <f>1+MIN(150,150*(1-(1-(Inputs!$B$11+(ArtifactsInput!$M$15-ArtifactsInput!$M$15)*CHOOSE(ArtifactsInput!$N$15+1,8,9.6,11.2,12.8,14.4,16))/150)*(1-B1074/150)))/100</f>
        <v/>
      </c>
    </row>
    <row r="1076">
      <c r="A1076" t="inlineStr">
        <is>
          <t>Skill + Buff Cast Rate</t>
        </is>
      </c>
      <c r="B1076">
        <f>IF(AND(Inputs!$B$38&lt;&gt;"pvp",Inputs!$B$43&gt;0),SUMPRODUCT((Skills!E2:E23=TRUE)*(C1047:C1068=TRUE)*R1047:R1068)/Inputs!$B$43,SUMPRODUCT((Skills!E2:E23=TRUE)*(C1047:C1068=TRUE)*Q1047:Q1068))</f>
        <v/>
      </c>
    </row>
    <row r="1077">
      <c r="A1077" t="inlineStr">
        <is>
          <t>Chain Lightning Casts Per Second</t>
        </is>
      </c>
      <c r="B1077">
        <f>MAX(0,B1075-B1076)</f>
        <v/>
      </c>
    </row>
    <row r="1078">
      <c r="A1078" t="inlineStr">
        <is>
          <t>Buff-Casting Startup Delay (s, fixed-duration only)</t>
        </is>
      </c>
      <c r="B1078">
        <f>IF(AND(Inputs!$B$38&lt;&gt;"pvp",Inputs!$B$43&gt;0),SUMPRODUCT((Skills!S2:S23&gt;0)*(Skills!E2:E23=TRUE)*(C1047:C1068=TRUE))/B1075,0)</f>
        <v/>
      </c>
    </row>
    <row r="1079">
      <c r="A1079" t="inlineStr">
        <is>
          <t>Boss-Only Total DPS (this block's swept value)</t>
        </is>
      </c>
      <c r="B1079">
        <f>SUM(S1047:S1068)</f>
        <v/>
      </c>
    </row>
    <row r="1080">
      <c r="A1080" t="inlineStr">
        <is>
          <t>Normal-Only Total DPS (this block's swept value)</t>
        </is>
      </c>
      <c r="B1080">
        <f>SUM(U1047:U1068)</f>
        <v/>
      </c>
    </row>
    <row r="1081">
      <c r="A1081" s="6" t="inlineStr">
        <is>
          <t>TOTAL DPS</t>
        </is>
      </c>
      <c r="B1081" s="6">
        <f>SUM(O1047:O1068)</f>
        <v/>
      </c>
    </row>
    <row r="1084">
      <c r="A1084" s="6" t="inlineStr">
        <is>
          <t>Stat: Pig's Ribbon (Equip)</t>
        </is>
      </c>
    </row>
    <row r="1085">
      <c r="A1085" s="5" t="inlineStr">
        <is>
          <t>Key</t>
        </is>
      </c>
      <c r="B1085" s="5" t="inlineStr">
        <is>
          <t>Name</t>
        </is>
      </c>
      <c r="C1085" s="5" t="inlineStr">
        <is>
          <t>Unlocked</t>
        </is>
      </c>
      <c r="D1085" s="5" t="inlineStr">
        <is>
          <t>InputLevel</t>
        </is>
      </c>
      <c r="E1085" s="5" t="inlineStr">
        <is>
          <t>Factor</t>
        </is>
      </c>
      <c r="F1085" s="5" t="inlineStr">
        <is>
          <t>CoefficientPercent</t>
        </is>
      </c>
      <c r="G1085" s="5" t="inlineStr">
        <is>
          <t>EffectiveHits</t>
        </is>
      </c>
      <c r="H1085" s="5" t="inlineStr">
        <is>
          <t>ProcProbability</t>
        </is>
      </c>
      <c r="I1085" s="5" t="inlineStr">
        <is>
          <t>MapleHeroMultiplier</t>
        </is>
      </c>
      <c r="J1085" s="5" t="inlineStr">
        <is>
          <t>BaseDamage</t>
        </is>
      </c>
      <c r="K1085" s="5" t="inlineStr">
        <is>
          <t>BaseHitDamage</t>
        </is>
      </c>
      <c r="L1085" s="5" t="inlineStr">
        <is>
          <t>NonCritAvg</t>
        </is>
      </c>
      <c r="M1085" s="5" t="inlineStr">
        <is>
          <t>CritAvg</t>
        </is>
      </c>
      <c r="N1085" s="5" t="inlineStr">
        <is>
          <t>ExpectedDamage(perHit)</t>
        </is>
      </c>
      <c r="O1085" s="5" t="inlineStr">
        <is>
          <t>DPS</t>
        </is>
      </c>
      <c r="P1085" s="5" t="inlineStr">
        <is>
          <t>% of Total</t>
        </is>
      </c>
      <c r="R1085" t="inlineStr">
        <is>
          <t>helpers</t>
        </is>
      </c>
    </row>
    <row r="1086">
      <c r="A1086">
        <f>Skills!A2</f>
        <v/>
      </c>
      <c r="B1086">
        <f>Skills!B2</f>
        <v/>
      </c>
      <c r="C1086">
        <f>Inputs!$B$3&gt;=100</f>
        <v/>
      </c>
      <c r="D1086" t="inlineStr"/>
      <c r="E1086" t="inlineStr"/>
      <c r="F1086">
        <f>T1088+Skills!N2</f>
        <v/>
      </c>
      <c r="G1086">
        <f>Calc!G2</f>
        <v/>
      </c>
      <c r="H1086">
        <f>Calc!H2</f>
        <v/>
      </c>
      <c r="I1086">
        <f>IF(Skills!T2&lt;&gt;"",1+(Skills!T2/10)*(Z1087/1000)/100,1)</f>
        <v/>
      </c>
      <c r="J1086">
        <f>((Inputs!$B$6*(1+Inputs!$B$7/100))+(((Inputs!$B$12*(1+Inputs!$B$13/100))-(Inputs!$B$12*(1+Inputs!$B$13/100)))+0.25*(Inputs!$B$14-Inputs!$B$14))*(1+Inputs!$B$7/100))*(F1086/100)</f>
        <v/>
      </c>
      <c r="K1086">
        <f>J1086*(1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1102-Calc!F18),(Inputs!$B$23+(IF(ArtifactsInput!$M$15,CHOOSE(ArtifactsInput!$N$15+1,25,30,35,40,45,50)/100*(Inputs!$B$11-Inputs!$B$11),0))))/100+(Inputs!$B$23+(IF(ArtifactsInput!$M$15,CHOOSE(ArtifactsInput!$N$15+1,25,30,35,40,45,50)/100*(Inputs!$B$11-Inputs!$B$11),0)))/100)/2</f>
        <v/>
      </c>
      <c r="M1086">
        <f>L1086*(1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IF(B1120=0,0,O1086/B1120)</f>
        <v/>
      </c>
      <c r="Q1086">
        <f>IFERROR(1/IF(Inputs!$B$38="pvp",15,MAX(0.1,Skills!D2-IF(Skills!E2=TRUE,Inputs!$B$32,0))),0)</f>
        <v/>
      </c>
      <c r="R1086" t="n">
        <v>0</v>
      </c>
      <c r="S1086">
        <f>IF(C1086,(Skills!F2*N1086*B1116)*IF(Inputs!$B$38="pvp",1,1+(Inputs!$B$20+Skills!O2+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MAX(0,(Inputs!$B$3-100)*3)+Inputs!$B$28+Inputs!$B$29</f>
        <v/>
      </c>
      <c r="U1086">
        <f>IF(C1086,(Skills!F2*N1086*B1116)*IF(Inputs!$B$38="pvp",1,(1+(Inputs!$B$21+Skills!P2+B1111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6">
        <f>MAX(0,(Inputs!$B$3-100)*3)+Inputs!$B$28+Inputs!$B$29</f>
        <v/>
      </c>
    </row>
    <row r="1087">
      <c r="A1087">
        <f>Skills!A3</f>
        <v/>
      </c>
      <c r="B1087">
        <f>Skills!B3</f>
        <v/>
      </c>
      <c r="C1087">
        <f>Inputs!$B$3&gt;=15</f>
        <v/>
      </c>
      <c r="D1087">
        <f>IF(Skills!C3=1,60+Inputs!$B$25+Inputs!$B$29,IF(Skills!C3=2,90+Inputs!$B$26+Inputs!$B$29,IF(Skills!C3=3,120+Inputs!$B$27+Inputs!$B$29,MAX(0,(Inputs!$B$3-100)*3)+Inputs!$B$28+Inputs!$B$29)))</f>
        <v/>
      </c>
      <c r="E1087">
        <f>INDEX(FactorTable!$B$2:$Y$301, MATCH(ROUND(MIN(300,MAX(1,D1087)),0), FactorTable!$A$2:$A$301,0), Skills!L3+1)</f>
        <v/>
      </c>
      <c r="F1087">
        <f>IF(Skills!M3=TRUE,(Skills!K3/10)*(E1087/1000),Skills!K3/10)+Skills!N3</f>
        <v/>
      </c>
      <c r="G1087">
        <f>Calc!G3</f>
        <v/>
      </c>
      <c r="H1087">
        <f>Calc!H3</f>
        <v/>
      </c>
      <c r="I1087">
        <f>IF(Skills!T3&lt;&gt;"",1+(Skills!T3/10)*(Z1087/1000)/100,1)</f>
        <v/>
      </c>
      <c r="J1087" t="inlineStr"/>
      <c r="K1087" t="inlineStr"/>
      <c r="L1087" t="inlineStr"/>
      <c r="M1087" t="inlineStr"/>
      <c r="N1087" t="inlineStr"/>
      <c r="O1087">
        <f>(1-Summary!$B$11)*S1087+Summary!$B$11*U1087</f>
        <v/>
      </c>
      <c r="P1087">
        <f>IF(B1120=0,0,O1087/B1120)</f>
        <v/>
      </c>
      <c r="Q1087">
        <f>IFERROR(1/IF(Inputs!$B$38="pvp",15,MAX(0.1,Skills!D3-IF(Skills!E3=TRUE,Inputs!$B$32,0))),0)</f>
        <v/>
      </c>
      <c r="R1087">
        <f>IF(AND(Inputs!$B$38&lt;&gt;"pvp",Inputs!$B$43&gt;0),IF(Inputs!$B$43&lt;=0,0,(INT(Inputs!$B$43/IF(Inputs!$B$38="pvp",15,MAX(0.1,Skills!D3-IF(Skills!E3=TRUE,Inputs!$B$32,0))))+1)),0)</f>
        <v/>
      </c>
      <c r="S1087" t="n">
        <v>0</v>
      </c>
      <c r="T1087">
        <f>INDEX(FactorTable!$B$2:$Y$301, MATCH(ROUND(MIN(300,MAX(1,T1086)),0), FactorTable!$A$2:$A$301,0), 22)</f>
        <v/>
      </c>
      <c r="U1087" t="n">
        <v>0</v>
      </c>
      <c r="Z1087">
        <f>INDEX(FactorTable!$B$2:$Y$301, MATCH(ROUND(MIN(300,MAX(1,Z1086)),0), FactorTable!$A$2:$A$301,0), 24)</f>
        <v/>
      </c>
    </row>
    <row r="1088">
      <c r="A1088">
        <f>Skills!A4</f>
        <v/>
      </c>
      <c r="B1088">
        <f>Skills!B4</f>
        <v/>
      </c>
      <c r="C1088">
        <f>Inputs!$B$3&gt;=40</f>
        <v/>
      </c>
      <c r="D1088">
        <f>IF(Skills!C4=1,60+Inputs!$B$25+Inputs!$B$29,IF(Skills!C4=2,90+Inputs!$B$26+Inputs!$B$29,IF(Skills!C4=3,120+Inputs!$B$27+Inputs!$B$29,MAX(0,(Inputs!$B$3-100)*3)+Inputs!$B$28+Inputs!$B$29)))</f>
        <v/>
      </c>
      <c r="E1088">
        <f>INDEX(FactorTable!$B$2:$Y$301, MATCH(ROUND(MIN(300,MAX(1,D1088)),0), FactorTable!$A$2:$A$301,0), Skills!L4+1)</f>
        <v/>
      </c>
      <c r="F1088">
        <f>IF(Skills!M4=TRUE,(Skills!K4/10)*(E1088/1000),Skills!K4/10)+Skills!N4</f>
        <v/>
      </c>
      <c r="G1088">
        <f>Calc!G4</f>
        <v/>
      </c>
      <c r="H1088">
        <f>Calc!H4</f>
        <v/>
      </c>
      <c r="I1088">
        <f>IF(Skills!T4&lt;&gt;"",1+(Skills!T4/10)*(Z1087/1000)/100,1)</f>
        <v/>
      </c>
      <c r="J1088" t="inlineStr"/>
      <c r="K1088" t="inlineStr"/>
      <c r="L1088" t="inlineStr"/>
      <c r="M1088" t="inlineStr"/>
      <c r="N1088" t="inlineStr"/>
      <c r="O1088">
        <f>(1-Summary!$B$11)*S1088+Summary!$B$11*U1088</f>
        <v/>
      </c>
      <c r="P1088">
        <f>IF(B1120=0,0,O1088/B1120)</f>
        <v/>
      </c>
      <c r="Q1088">
        <f>IFERROR(1/IF(Inputs!$B$38="pvp",15,MAX(0.1,Skills!D4-IF(Skills!E4=TRUE,Inputs!$B$32,0))),0)</f>
        <v/>
      </c>
      <c r="R1088">
        <f>IF(AND(Inputs!$B$38&lt;&gt;"pvp",Inputs!$B$43&gt;0),IF(Inputs!$B$43&lt;=0,0,(INT(Inputs!$B$43/IF(Inputs!$B$38="pvp",15,MAX(0.1,Skills!D4-IF(Skills!E4=TRUE,Inputs!$B$32,0))))+1)),0)</f>
        <v/>
      </c>
      <c r="S1088" t="n">
        <v>0</v>
      </c>
      <c r="T1088">
        <f>290*T1087/1000</f>
        <v/>
      </c>
      <c r="U1088" t="n">
        <v>0</v>
      </c>
    </row>
    <row r="1089">
      <c r="A1089">
        <f>Skills!A5</f>
        <v/>
      </c>
      <c r="B1089">
        <f>Skills!B5</f>
        <v/>
      </c>
      <c r="C1089">
        <f>Inputs!$B$3&gt;=38</f>
        <v/>
      </c>
      <c r="D1089">
        <f>IF(Skills!C5=1,60+Inputs!$B$25+Inputs!$B$29,IF(Skills!C5=2,90+Inputs!$B$26+Inputs!$B$29,IF(Skills!C5=3,120+Inputs!$B$27+Inputs!$B$29,MAX(0,(Inputs!$B$3-100)*3)+Inputs!$B$28+Inputs!$B$29)))</f>
        <v/>
      </c>
      <c r="E1089">
        <f>INDEX(FactorTable!$B$2:$Y$301, MATCH(ROUND(MIN(300,MAX(1,D1089)),0), FactorTable!$A$2:$A$301,0), Skills!L5+1)</f>
        <v/>
      </c>
      <c r="F1089">
        <f>IF(Skills!M5=TRUE,(Skills!K5/10)*(E1089/1000),Skills!K5/10)+Skills!N5</f>
        <v/>
      </c>
      <c r="G1089">
        <f>Calc!G5</f>
        <v/>
      </c>
      <c r="H1089">
        <f>Calc!H5</f>
        <v/>
      </c>
      <c r="I1089">
        <f>IF(Skills!T5&lt;&gt;"",1+(Skills!T5/10)*(Z1087/1000)/100,1)</f>
        <v/>
      </c>
      <c r="J1089">
        <f>((Inputs!$B$6*(1+Inputs!$B$7/100))+(((Inputs!$B$12*(1+Inputs!$B$13/100))-(Inputs!$B$12*(1+Inputs!$B$13/100)))+0.25*(Inputs!$B$14-Inputs!$B$14))*(1+Inputs!$B$7/100))*(F1089/100)</f>
        <v/>
      </c>
      <c r="K1089">
        <f>J1089*(1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1102-Calc!F18),(Inputs!$B$23+(IF(ArtifactsInput!$M$15,CHOOSE(ArtifactsInput!$N$15+1,25,30,35,40,45,50)/100*(Inputs!$B$11-Inputs!$B$11),0))))/100+(Inputs!$B$23+(IF(ArtifactsInput!$M$15,CHOOSE(ArtifactsInput!$N$15+1,25,30,35,40,45,50)/100*(Inputs!$B$11-Inputs!$B$11),0)))/100)/2</f>
        <v/>
      </c>
      <c r="M1089">
        <f>L1089*(1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IF(B1120=0,0,O1089/B1120)</f>
        <v/>
      </c>
      <c r="Q1089">
        <f>IFERROR(1/IF(Inputs!$B$38="pvp",15,MAX(0.1,Skills!D5-IF(Skills!E5=TRUE,Inputs!$B$32,0))),0)</f>
        <v/>
      </c>
      <c r="R1089">
        <f>IF(AND(Inputs!$B$38&lt;&gt;"pvp",Inputs!$B$43&gt;0),IF(MAX(0,Inputs!$B$43-B1117)&lt;=0,0,(INT(MAX(0,Inputs!$B$43-B1117)/IF(Inputs!$B$38="pvp",15,MAX(0.1,Skills!D5-IF(Skills!E5=TRUE,Inputs!$B$32,0))))+1)),0)</f>
        <v/>
      </c>
      <c r="S1089">
        <f>IF(C1089,(H1089*N1089*IF(AND(Inputs!$B$38&lt;&gt;"pvp",Inputs!$B$43&gt;0),((Skills!F5*((R1089-1)*IF(Skills!G5&gt;0,Skills!H5/Skills!G5,1)+IF(Skills!G5&gt;0,MIN(Skills!H5,MAX(0,MAX(0,Inputs!$B$43-B1117)-((R1089-1)*IF(Inputs!$B$38="pvp",15,MAX(0.1,Skills!D5-IF(Skills!E5=TRUE,Inputs!$B$32,0))))))/Skills!G5,1)))/Inputs!$B$43),G1089*Q1089))*IF(Inputs!$B$38="pvp",1,1+(Inputs!$B$20+Skills!O5+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F5*((R1089-1)*IF(Skills!G5&gt;0,Skills!H5/Skills!G5,1)+IF(Skills!G5&gt;0,MIN(Skills!H5,MAX(0,MAX(0,Inputs!$B$43-B1117)-((R1089-1)*IF(Inputs!$B$38="pvp",15,MAX(0.1,Skills!D5-IF(Skills!E5=TRUE,Inputs!$B$32,0))))))/Skills!G5,1)))/Inputs!$B$43),G1089*Q1089))*IF(Inputs!$B$38="pvp",1,(1+(Inputs!$B$21+Skills!P5+B1111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Skills!A6</f>
        <v/>
      </c>
      <c r="B1090">
        <f>Skills!B6</f>
        <v/>
      </c>
      <c r="C1090">
        <f>Inputs!$B$3&gt;=63</f>
        <v/>
      </c>
      <c r="D1090">
        <f>IF(Skills!C6=1,60+Inputs!$B$25+Inputs!$B$29,IF(Skills!C6=2,90+Inputs!$B$26+Inputs!$B$29,IF(Skills!C6=3,120+Inputs!$B$27+Inputs!$B$29,MAX(0,(Inputs!$B$3-100)*3)+Inputs!$B$28+Inputs!$B$29)))</f>
        <v/>
      </c>
      <c r="E1090">
        <f>INDEX(FactorTable!$B$2:$Y$301, MATCH(ROUND(MIN(300,MAX(1,D1090)),0), FactorTable!$A$2:$A$301,0), Skills!L6+1)</f>
        <v/>
      </c>
      <c r="F1090">
        <f>IF(Skills!M6=TRUE,(Skills!K6/10)*(E1090/1000),Skills!K6/10)+Skills!N6</f>
        <v/>
      </c>
      <c r="G1090">
        <f>Calc!G6</f>
        <v/>
      </c>
      <c r="H1090">
        <f>Calc!H6</f>
        <v/>
      </c>
      <c r="I1090">
        <f>IF(Skills!T6&lt;&gt;"",1+(Skills!T6/10)*(Z1087/1000)/100,1)</f>
        <v/>
      </c>
      <c r="J1090">
        <f>((Inputs!$B$6*(1+Inputs!$B$7/100))+(((Inputs!$B$12*(1+Inputs!$B$13/100))-(Inputs!$B$12*(1+Inputs!$B$13/100)))+0.25*(Inputs!$B$14-Inputs!$B$14))*(1+Inputs!$B$7/100))*(F1090/100)</f>
        <v/>
      </c>
      <c r="K1090">
        <f>J1090*(1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1102-Calc!F18),(Inputs!$B$23+(IF(ArtifactsInput!$M$15,CHOOSE(ArtifactsInput!$N$15+1,25,30,35,40,45,50)/100*(Inputs!$B$11-Inputs!$B$11),0))))/100+(Inputs!$B$23+(IF(ArtifactsInput!$M$15,CHOOSE(ArtifactsInput!$N$15+1,25,30,35,40,45,50)/100*(Inputs!$B$11-Inputs!$B$11),0)))/100)/2</f>
        <v/>
      </c>
      <c r="M1090">
        <f>L1090*(1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IF(B1120=0,0,O1090/B1120)</f>
        <v/>
      </c>
      <c r="Q1090">
        <f>IFERROR(1/IF(Inputs!$B$38="pvp",15,MAX(0.1,Skills!D6-IF(Skills!E6=TRUE,Inputs!$B$32,0))),0)</f>
        <v/>
      </c>
      <c r="R1090">
        <f>IF(AND(Inputs!$B$38&lt;&gt;"pvp",Inputs!$B$43&gt;0),IF(MAX(0,Inputs!$B$43-B1117)&lt;=0,0,(INT(MAX(0,Inputs!$B$43-B1117)/IF(Inputs!$B$38="pvp",15,MAX(0.1,Skills!D6-IF(Skills!E6=TRUE,Inputs!$B$32,0))))+1)),0)</f>
        <v/>
      </c>
      <c r="S1090">
        <f>IF(C1090,(H1090*N1090*IF(AND(Inputs!$B$38&lt;&gt;"pvp",Inputs!$B$43&gt;0),((Skills!F6*((R1090-1)*IF(Skills!G6&gt;0,Skills!H6/Skills!G6,1)+IF(Skills!G6&gt;0,MIN(Skills!H6,MAX(0,MAX(0,Inputs!$B$43-B1117)-((R1090-1)*IF(Inputs!$B$38="pvp",15,MAX(0.1,Skills!D6-IF(Skills!E6=TRUE,Inputs!$B$32,0))))))/Skills!G6,1)))/Inputs!$B$43),G1090*Q1090))*IF(Inputs!$B$38="pvp",1,1+(Inputs!$B$20+Skills!O6+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F6*((R1090-1)*IF(Skills!G6&gt;0,Skills!H6/Skills!G6,1)+IF(Skills!G6&gt;0,MIN(Skills!H6,MAX(0,MAX(0,Inputs!$B$43-B1117)-((R1090-1)*IF(Inputs!$B$38="pvp",15,MAX(0.1,Skills!D6-IF(Skills!E6=TRUE,Inputs!$B$32,0))))))/Skills!G6,1)))/Inputs!$B$43),G1090*Q1090))*IF(Inputs!$B$38="pvp",1,(1+(Inputs!$B$21+Skills!P6+B1111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Skills!A7</f>
        <v/>
      </c>
      <c r="B1091">
        <f>Skills!B7</f>
        <v/>
      </c>
      <c r="C1091">
        <f>Inputs!$B$3&gt;=69</f>
        <v/>
      </c>
      <c r="D1091">
        <f>IF(Skills!C7=1,60+Inputs!$B$25+Inputs!$B$29,IF(Skills!C7=2,90+Inputs!$B$26+Inputs!$B$29,IF(Skills!C7=3,120+Inputs!$B$27+Inputs!$B$29,MAX(0,(Inputs!$B$3-100)*3)+Inputs!$B$28+Inputs!$B$29)))</f>
        <v/>
      </c>
      <c r="E1091">
        <f>INDEX(FactorTable!$B$2:$Y$301, MATCH(ROUND(MIN(300,MAX(1,D1091)),0), FactorTable!$A$2:$A$301,0), Skills!L7+1)</f>
        <v/>
      </c>
      <c r="F1091">
        <f>IF(Skills!M7=TRUE,(Skills!K7/10)*(E1091/1000),Skills!K7/10)+Skills!N7</f>
        <v/>
      </c>
      <c r="G1091">
        <f>Calc!G7</f>
        <v/>
      </c>
      <c r="H1091">
        <f>Calc!H7</f>
        <v/>
      </c>
      <c r="I1091">
        <f>IF(Skills!T7&lt;&gt;"",1+(Skills!T7/10)*(Z1087/1000)/100,1)</f>
        <v/>
      </c>
      <c r="J1091">
        <f>((Inputs!$B$6*(1+Inputs!$B$7/100))+(((Inputs!$B$12*(1+Inputs!$B$13/100))-(Inputs!$B$12*(1+Inputs!$B$13/100)))+0.25*(Inputs!$B$14-Inputs!$B$14))*(1+Inputs!$B$7/100))*(F1091/100)</f>
        <v/>
      </c>
      <c r="K1091">
        <f>J1091*(1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1102-Calc!F18),(Inputs!$B$23+(IF(ArtifactsInput!$M$15,CHOOSE(ArtifactsInput!$N$15+1,25,30,35,40,45,50)/100*(Inputs!$B$11-Inputs!$B$11),0))))/100+(Inputs!$B$23+(IF(ArtifactsInput!$M$15,CHOOSE(ArtifactsInput!$N$15+1,25,30,35,40,45,50)/100*(Inputs!$B$11-Inputs!$B$11),0)))/100)/2</f>
        <v/>
      </c>
      <c r="M1091">
        <f>L1091*(1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IF(B1120=0,0,O1091/B1120)</f>
        <v/>
      </c>
      <c r="Q1091">
        <f>IFERROR(1/IF(Inputs!$B$38="pvp",15,MAX(0.1,Skills!D7-IF(Skills!E7=TRUE,Inputs!$B$32,0))),0)</f>
        <v/>
      </c>
      <c r="R1091">
        <f>IF(AND(Inputs!$B$38&lt;&gt;"pvp",Inputs!$B$43&gt;0),IF(MAX(0,Inputs!$B$43-B1117)&lt;=0,0,(INT(MAX(0,Inputs!$B$43-B1117)/IF(Inputs!$B$38="pvp",15,MAX(0.1,Skills!D7-IF(Skills!E7=TRUE,Inputs!$B$32,0))))+1)),0)</f>
        <v/>
      </c>
      <c r="S1091">
        <f>IF(C1091,(H1091*N1091*IF(AND(Inputs!$B$38&lt;&gt;"pvp",Inputs!$B$43&gt;0),((Skills!F7*((R1091-1)*IF(Skills!G7&gt;0,Skills!H7/Skills!G7,1)+IF(Skills!G7&gt;0,MIN(Skills!H7,MAX(0,MAX(0,Inputs!$B$43-B1117)-((R1091-1)*IF(Inputs!$B$38="pvp",15,MAX(0.1,Skills!D7-IF(Skills!E7=TRUE,Inputs!$B$32,0))))))/Skills!G7,1)))/Inputs!$B$43),G1091*Q1091))*IF(Inputs!$B$38="pvp",1,1+(Inputs!$B$20+Skills!O7+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F7*((R1091-1)*IF(Skills!G7&gt;0,Skills!H7/Skills!G7,1)+IF(Skills!G7&gt;0,MIN(Skills!H7,MAX(0,MAX(0,Inputs!$B$43-B1117)-((R1091-1)*IF(Inputs!$B$38="pvp",15,MAX(0.1,Skills!D7-IF(Skills!E7=TRUE,Inputs!$B$32,0))))))/Skills!G7,1)))/Inputs!$B$43),G1091*Q1091))*IF(Inputs!$B$38="pvp",1,(1+(Inputs!$B$21+Skills!P7+B1111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Skills!A8</f>
        <v/>
      </c>
      <c r="B1092">
        <f>Skills!B8</f>
        <v/>
      </c>
      <c r="C1092">
        <f>Inputs!$B$3&gt;=103</f>
        <v/>
      </c>
      <c r="D1092">
        <f>IF(Skills!C8=1,60+Inputs!$B$25+Inputs!$B$29,IF(Skills!C8=2,90+Inputs!$B$26+Inputs!$B$29,IF(Skills!C8=3,120+Inputs!$B$27+Inputs!$B$29,MAX(0,(Inputs!$B$3-100)*3)+Inputs!$B$28+Inputs!$B$29)))</f>
        <v/>
      </c>
      <c r="E1092">
        <f>INDEX(FactorTable!$B$2:$Y$301, MATCH(ROUND(MIN(300,MAX(1,D1092)),0), FactorTable!$A$2:$A$301,0), Skills!L8+1)</f>
        <v/>
      </c>
      <c r="F1092">
        <f>IF(Skills!M8=TRUE,(Skills!K8/10)*(E1092/1000),Skills!K8/10)+Skills!N8</f>
        <v/>
      </c>
      <c r="G1092">
        <f>Calc!G8</f>
        <v/>
      </c>
      <c r="H1092">
        <f>Calc!H8</f>
        <v/>
      </c>
      <c r="I1092">
        <f>IF(Skills!T8&lt;&gt;"",1+(Skills!T8/10)*(Z1087/1000)/100,1)</f>
        <v/>
      </c>
      <c r="J1092">
        <f>((Inputs!$B$6*(1+Inputs!$B$7/100))+(((Inputs!$B$12*(1+Inputs!$B$13/100))-(Inputs!$B$12*(1+Inputs!$B$13/100)))+0.25*(Inputs!$B$14-Inputs!$B$14))*(1+Inputs!$B$7/100))*(F1092/100)</f>
        <v/>
      </c>
      <c r="K1092">
        <f>J1092*(1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1102-Calc!F18),(Inputs!$B$23+(IF(ArtifactsInput!$M$15,CHOOSE(ArtifactsInput!$N$15+1,25,30,35,40,45,50)/100*(Inputs!$B$11-Inputs!$B$11),0))))/100+(Inputs!$B$23+(IF(ArtifactsInput!$M$15,CHOOSE(ArtifactsInput!$N$15+1,25,30,35,40,45,50)/100*(Inputs!$B$11-Inputs!$B$11),0)))/100)/2</f>
        <v/>
      </c>
      <c r="M1092">
        <f>L1092*(1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IF(B1120=0,0,O1092/B1120)</f>
        <v/>
      </c>
      <c r="Q1092">
        <f>IFERROR(1/IF(Inputs!$B$38="pvp",15,MAX(0.1,Skills!D8-IF(Skills!E8=TRUE,Inputs!$B$32,0))),0)</f>
        <v/>
      </c>
      <c r="R1092">
        <f>IF(AND(Inputs!$B$38&lt;&gt;"pvp",Inputs!$B$43&gt;0),IF(MAX(0,Inputs!$B$43-B1117)&lt;=0,0,(INT(MAX(0,Inputs!$B$43-B1117)/IF(Inputs!$B$38="pvp",15,MAX(0.1,Skills!D8-IF(Skills!E8=TRUE,Inputs!$B$32,0))))+1)),0)</f>
        <v/>
      </c>
      <c r="S1092">
        <f>IF(C1092,(H1092*N1092*IF(AND(Inputs!$B$38&lt;&gt;"pvp",Inputs!$B$43&gt;0),((Skills!F8*((R1092-1)*IF(Skills!G8&gt;0,Skills!H8/Skills!G8,1)+IF(Skills!G8&gt;0,MIN(Skills!H8,MAX(0,MAX(0,Inputs!$B$43-B1117)-((R1092-1)*IF(Inputs!$B$38="pvp",15,MAX(0.1,Skills!D8-IF(Skills!E8=TRUE,Inputs!$B$32,0))))))/Skills!G8,1)))/Inputs!$B$43),G1092*Q1092))*IF(Inputs!$B$38="pvp",1,1+(Inputs!$B$20+Skills!O8+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F8*((R1092-1)*IF(Skills!G8&gt;0,Skills!H8/Skills!G8,1)+IF(Skills!G8&gt;0,MIN(Skills!H8,MAX(0,MAX(0,Inputs!$B$43-B1117)-((R1092-1)*IF(Inputs!$B$38="pvp",15,MAX(0.1,Skills!D8-IF(Skills!E8=TRUE,Inputs!$B$32,0))))))/Skills!G8,1)))/Inputs!$B$43),G1092*Q1092))*IF(Inputs!$B$38="pvp",1,(1+(Inputs!$B$21+Skills!P8+B1111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Skills!A9</f>
        <v/>
      </c>
      <c r="B1093">
        <f>Skills!B9</f>
        <v/>
      </c>
      <c r="C1093">
        <f>Inputs!$B$3&gt;=105</f>
        <v/>
      </c>
      <c r="D1093">
        <f>IF(Skills!C9=1,60+Inputs!$B$25+Inputs!$B$29,IF(Skills!C9=2,90+Inputs!$B$26+Inputs!$B$29,IF(Skills!C9=3,120+Inputs!$B$27+Inputs!$B$29,MAX(0,(Inputs!$B$3-100)*3)+Inputs!$B$28+Inputs!$B$29)))</f>
        <v/>
      </c>
      <c r="E1093">
        <f>INDEX(FactorTable!$B$2:$Y$301, MATCH(ROUND(MIN(300,MAX(1,D1093)),0), FactorTable!$A$2:$A$301,0), Skills!L9+1)</f>
        <v/>
      </c>
      <c r="F1093">
        <f>IF(Skills!M9=TRUE,(Skills!K9/10)*(E1093/1000),Skills!K9/10)+Skills!N9</f>
        <v/>
      </c>
      <c r="G1093">
        <f>Calc!G9</f>
        <v/>
      </c>
      <c r="H1093">
        <f>Calc!H9</f>
        <v/>
      </c>
      <c r="I1093">
        <f>IF(Skills!T9&lt;&gt;"",1+(Skills!T9/10)*(Z1087/1000)/100,1)</f>
        <v/>
      </c>
      <c r="J1093">
        <f>((Inputs!$B$6*(1+Inputs!$B$7/100))+(((Inputs!$B$12*(1+Inputs!$B$13/100))-(Inputs!$B$12*(1+Inputs!$B$13/100)))+0.25*(Inputs!$B$14-Inputs!$B$14))*(1+Inputs!$B$7/100))*(F1093/100)</f>
        <v/>
      </c>
      <c r="K1093">
        <f>J1093*(1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F1102-Calc!F18),(Inputs!$B$23+(IF(ArtifactsInput!$M$15,CHOOSE(ArtifactsInput!$N$15+1,25,30,35,40,45,50)/100*(Inputs!$B$11-Inputs!$B$11),0))))/100+(Inputs!$B$23+(IF(ArtifactsInput!$M$15,CHOOSE(ArtifactsInput!$N$15+1,25,30,35,40,45,50)/100*(Inputs!$B$11-Inputs!$B$11),0)))/100)/2</f>
        <v/>
      </c>
      <c r="M1093">
        <f>L1093*(1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(1-Summary!$B$11)*S1093+Summary!$B$11*U1093</f>
        <v/>
      </c>
      <c r="P1093">
        <f>IF(B1120=0,0,O1093/B1120)</f>
        <v/>
      </c>
      <c r="Q1093">
        <f>IFERROR(1/IF(Inputs!$B$38="pvp",15,MAX(0.1,Skills!D9-IF(Skills!E9=TRUE,Inputs!$B$32,0))),0)</f>
        <v/>
      </c>
      <c r="R1093">
        <f>IF(AND(Inputs!$B$38&lt;&gt;"pvp",Inputs!$B$43&gt;0),IF(MAX(0,Inputs!$B$43-B1117)&lt;=0,0,(INT(MAX(0,Inputs!$B$43-B1117)/IF(Inputs!$B$38="pvp",15,MAX(0.1,Skills!D9-IF(Skills!E9=TRUE,Inputs!$B$32,0))))+1)),0)</f>
        <v/>
      </c>
      <c r="S1093">
        <f>IF(C1093,(H1093*N1093*IF(AND(Inputs!$B$38&lt;&gt;"pvp",Inputs!$B$43&gt;0),((Skills!F9*((R1093-1)*IF(Skills!G9&gt;0,Skills!H9/Skills!G9,1)+IF(Skills!G9&gt;0,MIN(Skills!H9,MAX(0,MAX(0,Inputs!$B$43-B1117)-((R1093-1)*IF(Inputs!$B$38="pvp",15,MAX(0.1,Skills!D9-IF(Skills!E9=TRUE,Inputs!$B$32,0))))))/Skills!G9,1)))/Inputs!$B$43),G1093*Q1093))*IF(Inputs!$B$38="pvp",1,1+(Inputs!$B$20+Skills!O9+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1093*(1-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3">
        <f>IF(C1093,(H1093*N1093*IF(AND(Inputs!$B$38&lt;&gt;"pvp",Inputs!$B$43&gt;0),((Skills!F9*((R1093-1)*IF(Skills!G9&gt;0,Skills!H9/Skills!G9,1)+IF(Skills!G9&gt;0,MIN(Skills!H9,MAX(0,MAX(0,Inputs!$B$43-B1117)-((R1093-1)*IF(Inputs!$B$38="pvp",15,MAX(0.1,Skills!D9-IF(Skills!E9=TRUE,Inputs!$B$32,0))))))/Skills!G9,1)))/Inputs!$B$43),G1093*Q1093))*IF(Inputs!$B$38="pvp",1,(1+(Inputs!$B$21+Skills!P9+B1111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Skills!A10</f>
        <v/>
      </c>
      <c r="B1094">
        <f>Skills!B10</f>
        <v/>
      </c>
      <c r="C1094">
        <f>Inputs!$B$3&gt;=113</f>
        <v/>
      </c>
      <c r="D1094">
        <f>IF(Skills!C10=1,60+Inputs!$B$25+Inputs!$B$29,IF(Skills!C10=2,90+Inputs!$B$26+Inputs!$B$29,IF(Skills!C10=3,120+Inputs!$B$27+Inputs!$B$29,MAX(0,(Inputs!$B$3-100)*3)+Inputs!$B$28+Inputs!$B$29)))</f>
        <v/>
      </c>
      <c r="E1094">
        <f>INDEX(FactorTable!$B$2:$Y$301, MATCH(ROUND(MIN(300,MAX(1,D1094)),0), FactorTable!$A$2:$A$301,0), Skills!L10+1)</f>
        <v/>
      </c>
      <c r="F1094">
        <f>IF(Skills!M10=TRUE,(Skills!K10/10)*(E1094/1000),Skills!K10/10)+Skills!N10</f>
        <v/>
      </c>
      <c r="G1094">
        <f>Calc!G10</f>
        <v/>
      </c>
      <c r="H1094">
        <f>Calc!H10</f>
        <v/>
      </c>
      <c r="I1094">
        <f>IF(Skills!T10&lt;&gt;"",1+(Skills!T10/10)*(Z1087/1000)/100,1)</f>
        <v/>
      </c>
      <c r="J1094">
        <f>((Inputs!$B$6*(1+Inputs!$B$7/100))+(((Inputs!$B$12*(1+Inputs!$B$13/100))-(Inputs!$B$12*(1+Inputs!$B$13/100)))+0.25*(Inputs!$B$14-Inputs!$B$14))*(1+Inputs!$B$7/100))*(F1094/100)</f>
        <v/>
      </c>
      <c r="K1094">
        <f>J1094*(1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F1102-Calc!F18),(Inputs!$B$23+(IF(ArtifactsInput!$M$15,CHOOSE(ArtifactsInput!$N$15+1,25,30,35,40,45,50)/100*(Inputs!$B$11-Inputs!$B$11),0))))/100+(Inputs!$B$23+(IF(ArtifactsInput!$M$15,CHOOSE(ArtifactsInput!$N$15+1,25,30,35,40,45,50)/100*(Inputs!$B$11-Inputs!$B$11),0)))/100)/2</f>
        <v/>
      </c>
      <c r="M1094">
        <f>L1094*(1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(1-Summary!$B$11)*S1094+Summary!$B$11*U1094</f>
        <v/>
      </c>
      <c r="P1094">
        <f>IF(B1120=0,0,O1094/B1120)</f>
        <v/>
      </c>
      <c r="Q1094">
        <f>IFERROR(1/IF(Inputs!$B$38="pvp",15,MAX(0.1,Skills!D10-IF(Skills!E9=TRUE,Inputs!$B$32,0))),0)</f>
        <v/>
      </c>
      <c r="R1094">
        <f>IF(AND(Inputs!$B$38&lt;&gt;"pvp",Inputs!$B$43&gt;0),IF(MAX(0,Inputs!$B$43-B1117)&lt;=0,0,(INT(MAX(0,Inputs!$B$43-B1117)/IF(Inputs!$B$38="pvp",15,MAX(0.1,Skills!D10-IF(Skills!E9=TRUE,Inputs!$B$32,0))))+1)),0)</f>
        <v/>
      </c>
      <c r="S1094">
        <f>IF(C1094,(H1094*N1094*IF(AND(Inputs!$B$38&lt;&gt;"pvp",Inputs!$B$43&gt;0),((Skills!F10*((R1094-1)*IF(Skills!G10&gt;0,Skills!H10/Skills!G10,1)+IF(Skills!G10&gt;0,MIN(Skills!H10,MAX(0,MAX(0,Inputs!$B$43-B1117)-((R1094-1)*IF(Inputs!$B$38="pvp",15,MAX(0.1,Skills!D10-IF(Skills!E9=TRUE,Inputs!$B$32,0))))))/Skills!G10,1)))/Inputs!$B$43),G1094*Q1094))*IF(Inputs!$B$38="pvp",1,1+(Inputs!$B$20+Skills!O10+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1094*(1-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4">
        <f>IF(C1094,(H1094*N1094*IF(AND(Inputs!$B$38&lt;&gt;"pvp",Inputs!$B$43&gt;0),((Skills!F10*((R1094-1)*IF(Skills!G10&gt;0,Skills!H10/Skills!G10,1)+IF(Skills!G10&gt;0,MIN(Skills!H10,MAX(0,MAX(0,Inputs!$B$43-B1117)-((R1094-1)*IF(Inputs!$B$38="pvp",15,MAX(0.1,Skills!D10-IF(Skills!E9=TRUE,Inputs!$B$32,0))))))/Skills!G10,1)))/Inputs!$B$43),G1094*Q1094))*IF(Inputs!$B$38="pvp",1,(1+(Inputs!$B$21+Skills!P10+B1111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Skills!A11</f>
        <v/>
      </c>
      <c r="B1095">
        <f>Skills!B11</f>
        <v/>
      </c>
      <c r="C1095">
        <f>Inputs!$B$3&gt;=107</f>
        <v/>
      </c>
      <c r="D1095">
        <f>IF(Skills!C11=1,60+Inputs!$B$25+Inputs!$B$29,IF(Skills!C11=2,90+Inputs!$B$26+Inputs!$B$29,IF(Skills!C11=3,120+Inputs!$B$27+Inputs!$B$29,MAX(0,(Inputs!$B$3-100)*3)+Inputs!$B$28+Inputs!$B$29)))</f>
        <v/>
      </c>
      <c r="E1095">
        <f>INDEX(FactorTable!$B$2:$Y$301, MATCH(ROUND(MIN(300,MAX(1,D1095)),0), FactorTable!$A$2:$A$301,0), Skills!L11+1)</f>
        <v/>
      </c>
      <c r="F1095">
        <f>IF(Skills!M11=TRUE,(Skills!K11/10)*(E1095/1000),Skills!K11/10)+Skills!N11</f>
        <v/>
      </c>
      <c r="G1095">
        <f>Calc!G11</f>
        <v/>
      </c>
      <c r="H1095">
        <f>Calc!H11</f>
        <v/>
      </c>
      <c r="I1095">
        <f>IF(Skills!T11&lt;&gt;"",1+(Skills!T11/10)*(Z1087/1000)/100,1)</f>
        <v/>
      </c>
      <c r="J1095">
        <f>((Inputs!$B$6*(1+Inputs!$B$7/100))+(((Inputs!$B$12*(1+Inputs!$B$13/100))-(Inputs!$B$12*(1+Inputs!$B$13/100)))+0.25*(Inputs!$B$14-Inputs!$B$14))*(1+Inputs!$B$7/100))*(F1095/100)</f>
        <v/>
      </c>
      <c r="K1095">
        <f>J1095*(1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1102-Calc!F18),(Inputs!$B$23+(IF(ArtifactsInput!$M$15,CHOOSE(ArtifactsInput!$N$15+1,25,30,35,40,45,50)/100*(Inputs!$B$11-Inputs!$B$11),0))))/100+(Inputs!$B$23+(IF(ArtifactsInput!$M$15,CHOOSE(ArtifactsInput!$N$15+1,25,30,35,40,45,50)/100*(Inputs!$B$11-Inputs!$B$11),0)))/100)/2</f>
        <v/>
      </c>
      <c r="M1095">
        <f>L1095*(1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IF(B1120=0,0,O1095/B1120)</f>
        <v/>
      </c>
      <c r="Q1095">
        <f>IFERROR(1/IF(Inputs!$B$38="pvp",15,MAX(0.1,Skills!D11-IF(Skills!E11=TRUE,Inputs!$B$32,0))),0)</f>
        <v/>
      </c>
      <c r="R1095">
        <f>IF(AND(Inputs!$B$38&lt;&gt;"pvp",Inputs!$B$43&gt;0),IF(MAX(0,Inputs!$B$43-B1117)&lt;=0,0,(INT(MAX(0,Inputs!$B$43-B1117)/IF(Inputs!$B$38="pvp",15,MAX(0.1,Skills!D11-IF(Skills!E11=TRUE,Inputs!$B$32,0))))+1)),0)</f>
        <v/>
      </c>
      <c r="S1095">
        <f>IF(C1095,H1095*N1095*IF(AND(Inputs!$B$38&lt;&gt;"pvp",Inputs!$B$43&gt;0),((Skills!F11*((R1095-1)*IF(Skills!G11&gt;0,Skills!H11/Skills!G11,1)+IF(Skills!G11&gt;0,MIN(Skills!H11,MAX(0,MAX(0,Inputs!$B$43-B1117)-((R1095-1)*IF(Inputs!$B$38="pvp",15,MAX(0.1,Skills!D11-IF(Skills!E11=TRUE,Inputs!$B$32,0))))))/Skills!G11,1)))/Inputs!$B$43),G1095*Q1095)*0.5*IF(Inputs!$B$38="pvp",1,1+(Inputs!$B$20+Skills!O11+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F11*((R1095-1)*IF(Skills!G11&gt;0,Skills!H11/Skills!G11,1)+IF(Skills!G11&gt;0,MIN(Skills!H11,MAX(0,MAX(0,Inputs!$B$43-B1117)-((R1095-1)*IF(Inputs!$B$38="pvp",15,MAX(0.1,Skills!D11-IF(Skills!E11=TRUE,Inputs!$B$32,0))))))/Skills!G11,1)))/Inputs!$B$43),G1095*Q1095)*1*IF(Inputs!$B$38="pvp",1,(1+(Inputs!$B$21+Skills!P11+B1111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Skills!A12</f>
        <v/>
      </c>
      <c r="B1096">
        <f>Skills!B12</f>
        <v/>
      </c>
      <c r="C1096">
        <f>Inputs!$B$3&gt;=115</f>
        <v/>
      </c>
      <c r="D1096">
        <f>IF(Skills!C12=1,60+Inputs!$B$25+Inputs!$B$29,IF(Skills!C12=2,90+Inputs!$B$26+Inputs!$B$29,IF(Skills!C12=3,120+Inputs!$B$27+Inputs!$B$29,MAX(0,(Inputs!$B$3-100)*3)+Inputs!$B$28+Inputs!$B$29)))</f>
        <v/>
      </c>
      <c r="E1096">
        <f>INDEX(FactorTable!$B$2:$Y$301, MATCH(ROUND(MIN(300,MAX(1,D1096)),0), FactorTable!$A$2:$A$301,0), Skills!L12+1)</f>
        <v/>
      </c>
      <c r="F1096">
        <f>IF(Skills!M12=TRUE,(Skills!K12/10)*(E1096/1000),Skills!K12/10)+Skills!N12</f>
        <v/>
      </c>
      <c r="G1096">
        <f>Calc!G12</f>
        <v/>
      </c>
      <c r="H1096">
        <f>Calc!H12</f>
        <v/>
      </c>
      <c r="I1096">
        <f>IF(Skills!T12&lt;&gt;"",1+(Skills!T12/10)*(Z1087/1000)/100,1)</f>
        <v/>
      </c>
      <c r="J1096">
        <f>((Inputs!$B$6*(1+Inputs!$B$7/100))+(((Inputs!$B$12*(1+Inputs!$B$13/100))-(Inputs!$B$12*(1+Inputs!$B$13/100)))+0.25*(Inputs!$B$14-Inputs!$B$14))*(1+Inputs!$B$7/100))*(F1096/100)</f>
        <v/>
      </c>
      <c r="K1096">
        <f>J1096*(1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1102-Calc!F18),(Inputs!$B$23+(IF(ArtifactsInput!$M$15,CHOOSE(ArtifactsInput!$N$15+1,25,30,35,40,45,50)/100*(Inputs!$B$11-Inputs!$B$11),0))))/100+(Inputs!$B$23+(IF(ArtifactsInput!$M$15,CHOOSE(ArtifactsInput!$N$15+1,25,30,35,40,45,50)/100*(Inputs!$B$11-Inputs!$B$11),0)))/100)/2</f>
        <v/>
      </c>
      <c r="M1096">
        <f>L1096*(1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IF(B1120=0,0,O1096/B1120)</f>
        <v/>
      </c>
      <c r="Q1096">
        <f>IFERROR(1/IF(Inputs!$B$38="pvp",15,MAX(0.1,Skills!D12-IF(Skills!E12=TRUE,Inputs!$B$32,0))),0)</f>
        <v/>
      </c>
      <c r="R1096">
        <f>IF(AND(Inputs!$B$38&lt;&gt;"pvp",Inputs!$B$43&gt;0),IF(MAX(0,Inputs!$B$43-B1117)&lt;=0,0,(INT(MAX(0,Inputs!$B$43-B1117)/IF(Inputs!$B$38="pvp",15,MAX(0.1,Skills!D12-IF(Skills!E12=TRUE,Inputs!$B$32,0))))+1)),0)</f>
        <v/>
      </c>
      <c r="S1096">
        <f>IF(C1096,(H1096*N1096*IF(AND(Inputs!$B$38&lt;&gt;"pvp",Inputs!$B$43&gt;0),((Skills!F12*((R1096-1)*IF(Skills!G12&gt;0,Skills!H12/Skills!G12,1)+IF(Skills!G12&gt;0,MIN(Skills!H12,MAX(0,MAX(0,Inputs!$B$43-B1117)-((R1096-1)*IF(Inputs!$B$38="pvp",15,MAX(0.1,Skills!D12-IF(Skills!E12=TRUE,Inputs!$B$32,0))))))/Skills!G12,1)))/Inputs!$B$43),G1096*Q1096))*IF(Inputs!$B$38="pvp",1,1+(Inputs!$B$20+Skills!O12+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N1096*IF(AND(Inputs!$B$38&lt;&gt;"pvp",Inputs!$B$43&gt;0),((Skills!F12*((R1096-1)*IF(Skills!G12&gt;0,Skills!H12/Skills!G12,1)+IF(Skills!G12&gt;0,MIN(Skills!H12,MAX(0,MAX(0,Inputs!$B$43-B1117)-((R1096-1)*IF(Inputs!$B$38="pvp",15,MAX(0.1,Skills!D12-IF(Skills!E12=TRUE,Inputs!$B$32,0))))))/Skills!G12,1)))/Inputs!$B$43),G1096*Q1096))*IF(Inputs!$B$38="pvp",1,(1+(Inputs!$B$21+Skills!P12+B1111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Skills!A13</f>
        <v/>
      </c>
      <c r="B1097">
        <f>Skills!B13</f>
        <v/>
      </c>
      <c r="C1097">
        <f>Inputs!$B$3&gt;=49</f>
        <v/>
      </c>
      <c r="D1097">
        <f>IF(Skills!C13=1,60+Inputs!$B$25+Inputs!$B$29,IF(Skills!C13=2,90+Inputs!$B$26+Inputs!$B$29,IF(Skills!C13=3,120+Inputs!$B$27+Inputs!$B$29,MAX(0,(Inputs!$B$3-100)*3)+Inputs!$B$28+Inputs!$B$29)))</f>
        <v/>
      </c>
      <c r="E1097">
        <f>INDEX(FactorTable!$B$2:$Y$301, MATCH(ROUND(MIN(300,MAX(1,D1097)),0), FactorTable!$A$2:$A$301,0), Skills!L13+1)</f>
        <v/>
      </c>
      <c r="F1097">
        <f>IF(Skills!M13=TRUE,(Skills!K13/10)*(E1097/1000),Skills!K13/10)+Skills!N13</f>
        <v/>
      </c>
      <c r="G1097">
        <f>Calc!G13</f>
        <v/>
      </c>
      <c r="H1097">
        <f>Calc!H13</f>
        <v/>
      </c>
      <c r="I1097">
        <f>IF(Skills!T13&lt;&gt;"",1+(Skills!T13/10)*(Z1087/1000)/100,1)</f>
        <v/>
      </c>
      <c r="J1097" t="inlineStr"/>
      <c r="K1097" t="inlineStr"/>
      <c r="L1097" t="inlineStr"/>
      <c r="M1097" t="inlineStr"/>
      <c r="N1097" t="inlineStr"/>
      <c r="O1097">
        <f>(1-Summary!$B$11)*S1097+Summary!$B$11*U1097</f>
        <v/>
      </c>
      <c r="P1097">
        <f>IF(B1120=0,0,O1097/B1120)</f>
        <v/>
      </c>
      <c r="Q1097">
        <f>IFERROR(1/IF(Inputs!$B$38="pvp",15,MAX(0.1,Skills!D13-IF(Skills!E13=TRUE,Inputs!$B$32,0))),0)</f>
        <v/>
      </c>
      <c r="R1097" t="n">
        <v>0</v>
      </c>
      <c r="S1097" t="n">
        <v>0</v>
      </c>
      <c r="U1097" t="n">
        <v>0</v>
      </c>
    </row>
    <row r="1098">
      <c r="A1098">
        <f>Skills!A14</f>
        <v/>
      </c>
      <c r="B1098">
        <f>Skills!B14</f>
        <v/>
      </c>
      <c r="C1098">
        <f>Inputs!$B$3&gt;=72</f>
        <v/>
      </c>
      <c r="D1098">
        <f>IF(Skills!C14=1,60+Inputs!$B$25+Inputs!$B$29,IF(Skills!C14=2,90+Inputs!$B$26+Inputs!$B$29,IF(Skills!C14=3,120+Inputs!$B$27+Inputs!$B$29,MAX(0,(Inputs!$B$3-100)*3)+Inputs!$B$28+Inputs!$B$29)))</f>
        <v/>
      </c>
      <c r="E1098">
        <f>INDEX(FactorTable!$B$2:$Y$301, MATCH(ROUND(MIN(300,MAX(1,D1098)),0), FactorTable!$A$2:$A$301,0), Skills!L14+1)</f>
        <v/>
      </c>
      <c r="F1098">
        <f>IF(Skills!M14=TRUE,(Skills!K14/10)*(E1098/1000),Skills!K14/10)+Skills!N14</f>
        <v/>
      </c>
      <c r="G1098">
        <f>Calc!G14</f>
        <v/>
      </c>
      <c r="H1098">
        <f>Calc!H14</f>
        <v/>
      </c>
      <c r="I1098">
        <f>IF(Skills!T14&lt;&gt;"",1+(Skills!T14/10)*(Z1087/1000)/100,1)</f>
        <v/>
      </c>
      <c r="J1098" t="inlineStr"/>
      <c r="K1098" t="inlineStr"/>
      <c r="L1098" t="inlineStr"/>
      <c r="M1098" t="inlineStr"/>
      <c r="N1098" t="inlineStr"/>
      <c r="O1098">
        <f>(1-Summary!$B$11)*S1098+Summary!$B$11*U1098</f>
        <v/>
      </c>
      <c r="P1098">
        <f>IF(B1120=0,0,O1098/B1120)</f>
        <v/>
      </c>
      <c r="Q1098">
        <f>IFERROR(1/IF(Inputs!$B$38="pvp",15,MAX(0.1,Skills!D14-IF(Skills!E14=TRUE,Inputs!$B$32,0))),0)</f>
        <v/>
      </c>
      <c r="R1098" t="n">
        <v>0</v>
      </c>
      <c r="S1098" t="n">
        <v>0</v>
      </c>
      <c r="U1098" t="n">
        <v>0</v>
      </c>
    </row>
    <row r="1099">
      <c r="A1099">
        <f>Skills!A15</f>
        <v/>
      </c>
      <c r="B1099">
        <f>Skills!B15</f>
        <v/>
      </c>
      <c r="C1099">
        <f>Inputs!$B$3&gt;=75</f>
        <v/>
      </c>
      <c r="D1099">
        <f>IF(Skills!C15=1,60+Inputs!$B$25+Inputs!$B$29,IF(Skills!C15=2,90+Inputs!$B$26+Inputs!$B$29,IF(Skills!C15=3,120+Inputs!$B$27+Inputs!$B$29,MAX(0,(Inputs!$B$3-100)*3)+Inputs!$B$28+Inputs!$B$29)))</f>
        <v/>
      </c>
      <c r="E1099">
        <f>INDEX(FactorTable!$B$2:$Y$301, MATCH(ROUND(MIN(300,MAX(1,D1099)),0), FactorTable!$A$2:$A$301,0), Skills!L15+1)</f>
        <v/>
      </c>
      <c r="F1099">
        <f>IF(Skills!M15=TRUE,(Skills!K15/10)*(E1099/1000),Skills!K15/10)+Skills!N15</f>
        <v/>
      </c>
      <c r="G1099">
        <f>Calc!G15</f>
        <v/>
      </c>
      <c r="H1099">
        <f>Calc!H15</f>
        <v/>
      </c>
      <c r="I1099">
        <f>IF(Skills!T15&lt;&gt;"",1+(Skills!T15/10)*(Z1087/1000)/100,1)</f>
        <v/>
      </c>
      <c r="J1099" t="inlineStr"/>
      <c r="K1099" t="inlineStr"/>
      <c r="L1099" t="inlineStr"/>
      <c r="M1099" t="inlineStr"/>
      <c r="N1099" t="inlineStr"/>
      <c r="O1099">
        <f>(1-Summary!$B$11)*S1099+Summary!$B$11*U1099</f>
        <v/>
      </c>
      <c r="P1099">
        <f>IF(B1120=0,0,O1099/B1120)</f>
        <v/>
      </c>
      <c r="Q1099">
        <f>IFERROR(1/IF(Inputs!$B$38="pvp",15,MAX(0.1,Skills!D15-IF(Skills!E15=TRUE,Inputs!$B$32,0))),0)</f>
        <v/>
      </c>
      <c r="R1099" t="n">
        <v>0</v>
      </c>
      <c r="S1099" t="n">
        <v>0</v>
      </c>
      <c r="U1099" t="n">
        <v>0</v>
      </c>
    </row>
    <row r="1100">
      <c r="A1100">
        <f>Skills!A16</f>
        <v/>
      </c>
      <c r="B1100">
        <f>Skills!B16</f>
        <v/>
      </c>
      <c r="C1100">
        <f>Inputs!$B$3&gt;=110</f>
        <v/>
      </c>
      <c r="D1100">
        <f>IF(Skills!C16=1,60+Inputs!$B$25+Inputs!$B$29,IF(Skills!C16=2,90+Inputs!$B$26+Inputs!$B$29,IF(Skills!C16=3,120+Inputs!$B$27+Inputs!$B$29,MAX(0,(Inputs!$B$3-100)*3)+Inputs!$B$28+Inputs!$B$29)))</f>
        <v/>
      </c>
      <c r="E1100">
        <f>INDEX(FactorTable!$B$2:$Y$301, MATCH(ROUND(MIN(300,MAX(1,D1100)),0), FactorTable!$A$2:$A$301,0), Skills!L16+1)</f>
        <v/>
      </c>
      <c r="F1100">
        <f>(Skills!K16/10)*(E1100/1000)*64/45+Skills!N16</f>
        <v/>
      </c>
      <c r="G1100">
        <f>Calc!G16</f>
        <v/>
      </c>
      <c r="H1100">
        <f>Calc!H16</f>
        <v/>
      </c>
      <c r="I1100">
        <f>IF(Skills!T16&lt;&gt;"",1+(Skills!T16/10)*(Z1087/1000)/100,1)</f>
        <v/>
      </c>
      <c r="J1100" t="inlineStr"/>
      <c r="K1100" t="inlineStr"/>
      <c r="L1100" t="inlineStr"/>
      <c r="M1100" t="inlineStr"/>
      <c r="N1100" t="inlineStr"/>
      <c r="O1100">
        <f>(1-Summary!$B$11)*S1100+Summary!$B$11*U1100</f>
        <v/>
      </c>
      <c r="P1100">
        <f>IF(B1120=0,0,O1100/B1120)</f>
        <v/>
      </c>
      <c r="Q1100">
        <f>IFERROR(1/IF(Inputs!$B$38="pvp",15,MAX(0.1,Skills!D16-IF(Skills!E16=TRUE,Inputs!$B$32,0))),0)</f>
        <v/>
      </c>
      <c r="R1100">
        <f>IF(AND(Inputs!$B$38&lt;&gt;"pvp",Inputs!$B$43&gt;0),IF(Inputs!$B$43&lt;=0,0,(INT(Inputs!$B$43/IF(Inputs!$B$38="pvp",15,MAX(0.1,Skills!D16-IF(Skills!E16=TRUE,Inputs!$B$32,0))))+1)),0)</f>
        <v/>
      </c>
      <c r="S1100" t="n">
        <v>0</v>
      </c>
      <c r="U1100" t="n">
        <v>0</v>
      </c>
    </row>
    <row r="1101">
      <c r="A1101">
        <f>Skills!A17</f>
        <v/>
      </c>
      <c r="B1101">
        <f>Skills!B17</f>
        <v/>
      </c>
      <c r="C1101">
        <f>Inputs!$B$3&gt;=33</f>
        <v/>
      </c>
      <c r="D1101">
        <f>IF(Skills!C17=1,60+Inputs!$B$25+Inputs!$B$29,IF(Skills!C17=2,90+Inputs!$B$26+Inputs!$B$29,IF(Skills!C17=3,120+Inputs!$B$27+Inputs!$B$29,MAX(0,(Inputs!$B$3-100)*3)+Inputs!$B$28+Inputs!$B$29)))</f>
        <v/>
      </c>
      <c r="E1101">
        <f>INDEX(FactorTable!$B$2:$Y$301, MATCH(ROUND(MIN(300,MAX(1,D1101)),0), FactorTable!$A$2:$A$301,0), Skills!L17+1)</f>
        <v/>
      </c>
      <c r="F1101">
        <f>IF(Skills!M17=TRUE,(Skills!K17/10)*(E1101/1000),Skills!K17/10)+Skills!N17</f>
        <v/>
      </c>
      <c r="G1101">
        <f>Calc!G17</f>
        <v/>
      </c>
      <c r="H1101">
        <f>Calc!H17</f>
        <v/>
      </c>
      <c r="I1101">
        <f>IF(Skills!T17&lt;&gt;"",1+(Skills!T17/10)*(Z1087/1000)/100,1)</f>
        <v/>
      </c>
      <c r="J1101" t="inlineStr"/>
      <c r="K1101" t="inlineStr"/>
      <c r="L1101" t="inlineStr"/>
      <c r="M1101" t="inlineStr"/>
      <c r="N1101" t="inlineStr"/>
      <c r="O1101">
        <f>(1-Summary!$B$11)*S1101+Summary!$B$11*U1101</f>
        <v/>
      </c>
      <c r="P1101">
        <f>IF(B1120=0,0,O1101/B1120)</f>
        <v/>
      </c>
      <c r="Q1101">
        <f>IFERROR(1/IF(Inputs!$B$38="pvp",15,MAX(0.1,Skills!D17-IF(Skills!E17=TRUE,Inputs!$B$32,0))),0)</f>
        <v/>
      </c>
      <c r="R1101" t="n">
        <v>0</v>
      </c>
      <c r="S1101" t="n">
        <v>0</v>
      </c>
      <c r="U1101" t="n">
        <v>0</v>
      </c>
    </row>
    <row r="1102">
      <c r="A1102">
        <f>Skills!A18</f>
        <v/>
      </c>
      <c r="B1102">
        <f>Skills!B18</f>
        <v/>
      </c>
      <c r="C1102">
        <f>Inputs!$B$3&gt;=43</f>
        <v/>
      </c>
      <c r="D1102">
        <f>IF(Skills!C18=1,60+Inputs!$B$25+Inputs!$B$29,IF(Skills!C18=2,90+Inputs!$B$26+Inputs!$B$29,IF(Skills!C18=3,120+Inputs!$B$27+Inputs!$B$29,MAX(0,(Inputs!$B$3-100)*3)+Inputs!$B$28+Inputs!$B$29)))</f>
        <v/>
      </c>
      <c r="E1102">
        <f>INDEX(FactorTable!$B$2:$Y$301, MATCH(ROUND(MIN(300,MAX(1,D1102)),0), FactorTable!$A$2:$A$301,0), Skills!L18+1)</f>
        <v/>
      </c>
      <c r="F1102">
        <f>IF(Skills!M18=TRUE,(Skills!K18/10)*(E1102/1000),Skills!K18/10)+Skills!N18</f>
        <v/>
      </c>
      <c r="G1102">
        <f>Calc!G18</f>
        <v/>
      </c>
      <c r="H1102">
        <f>Calc!H18</f>
        <v/>
      </c>
      <c r="I1102">
        <f>IF(Skills!T18&lt;&gt;"",1+(Skills!T18/10)*(Z1087/1000)/100,1)</f>
        <v/>
      </c>
      <c r="J1102" t="inlineStr"/>
      <c r="K1102" t="inlineStr"/>
      <c r="L1102" t="inlineStr"/>
      <c r="M1102" t="inlineStr"/>
      <c r="N1102" t="inlineStr"/>
      <c r="O1102">
        <f>(1-Summary!$B$11)*S1102+Summary!$B$11*U1102</f>
        <v/>
      </c>
      <c r="P1102">
        <f>IF(B1120=0,0,O1102/B1120)</f>
        <v/>
      </c>
      <c r="Q1102">
        <f>IFERROR(1/IF(Inputs!$B$38="pvp",15,MAX(0.1,Skills!D18-IF(Skills!E18=TRUE,Inputs!$B$32,0))),0)</f>
        <v/>
      </c>
      <c r="R1102" t="n">
        <v>0</v>
      </c>
      <c r="S1102" t="n">
        <v>0</v>
      </c>
      <c r="U1102" t="n">
        <v>0</v>
      </c>
    </row>
    <row r="1103">
      <c r="A1103">
        <f>Skills!A19</f>
        <v/>
      </c>
      <c r="B1103">
        <f>Skills!B19</f>
        <v/>
      </c>
      <c r="C1103">
        <f>Inputs!$B$3&gt;=50</f>
        <v/>
      </c>
      <c r="D1103">
        <f>IF(Skills!C19=1,60+Inputs!$B$25+Inputs!$B$29,IF(Skills!C19=2,90+Inputs!$B$26+Inputs!$B$29,IF(Skills!C19=3,120+Inputs!$B$27+Inputs!$B$29,MAX(0,(Inputs!$B$3-100)*3)+Inputs!$B$28+Inputs!$B$29)))</f>
        <v/>
      </c>
      <c r="E1103">
        <f>INDEX(FactorTable!$B$2:$Y$301, MATCH(ROUND(MIN(300,MAX(1,D1103)),0), FactorTable!$A$2:$A$301,0), Skills!L19+1)</f>
        <v/>
      </c>
      <c r="F1103">
        <f>IF(Skills!M19=TRUE,(Skills!K19/10)*(E1103/1000),Skills!K19/10)+Skills!N19</f>
        <v/>
      </c>
      <c r="G1103">
        <f>Calc!G19</f>
        <v/>
      </c>
      <c r="H1103">
        <f>Calc!H19</f>
        <v/>
      </c>
      <c r="I1103">
        <f>IF(Skills!T19&lt;&gt;"",1+(Skills!T19/10)*(Z1087/1000)/100,1)</f>
        <v/>
      </c>
      <c r="J1103" t="inlineStr"/>
      <c r="K1103" t="inlineStr"/>
      <c r="L1103" t="inlineStr"/>
      <c r="M1103" t="inlineStr"/>
      <c r="N1103" t="inlineStr"/>
      <c r="O1103">
        <f>(1-Summary!$B$11)*S1103+Summary!$B$11*U1103</f>
        <v/>
      </c>
      <c r="P1103">
        <f>IF(B1120=0,0,O1103/B1120)</f>
        <v/>
      </c>
      <c r="Q1103">
        <f>IFERROR(1/IF(Inputs!$B$38="pvp",15,MAX(0.1,Skills!D19-IF(Skills!E19=TRUE,Inputs!$B$32,0))),0)</f>
        <v/>
      </c>
      <c r="R1103" t="n">
        <v>0</v>
      </c>
      <c r="S1103" t="n">
        <v>0</v>
      </c>
      <c r="U1103" t="n">
        <v>0</v>
      </c>
    </row>
    <row r="1104">
      <c r="A1104">
        <f>Skills!A20</f>
        <v/>
      </c>
      <c r="B1104">
        <f>Skills!B20</f>
        <v/>
      </c>
      <c r="C1104">
        <f>Inputs!$B$3&gt;=74</f>
        <v/>
      </c>
      <c r="D1104">
        <f>IF(Skills!C20=1,60+Inputs!$B$25+Inputs!$B$29,IF(Skills!C20=2,90+Inputs!$B$26+Inputs!$B$29,IF(Skills!C20=3,120+Inputs!$B$27+Inputs!$B$29,MAX(0,(Inputs!$B$3-100)*3)+Inputs!$B$28+Inputs!$B$29)))</f>
        <v/>
      </c>
      <c r="E1104">
        <f>INDEX(FactorTable!$B$2:$Y$301, MATCH(ROUND(MIN(300,MAX(1,D1104)),0), FactorTable!$A$2:$A$301,0), Skills!L20+1)</f>
        <v/>
      </c>
      <c r="F1104">
        <f>IF(Skills!M20=TRUE,(Skills!K20/10)*(E1104/1000),Skills!K20/10)+Skills!N20</f>
        <v/>
      </c>
      <c r="G1104">
        <f>Calc!G20</f>
        <v/>
      </c>
      <c r="H1104">
        <f>Calc!H20</f>
        <v/>
      </c>
      <c r="I1104">
        <f>IF(Skills!T20&lt;&gt;"",1+(Skills!T20/10)*(Z1087/1000)/100,1)</f>
        <v/>
      </c>
      <c r="J1104" t="inlineStr"/>
      <c r="K1104" t="inlineStr"/>
      <c r="L1104" t="inlineStr"/>
      <c r="M1104" t="inlineStr"/>
      <c r="N1104" t="inlineStr"/>
      <c r="O1104">
        <f>(1-Summary!$B$11)*S1104+Summary!$B$11*U1104</f>
        <v/>
      </c>
      <c r="P1104">
        <f>IF(B1120=0,0,O1104/B1120)</f>
        <v/>
      </c>
      <c r="Q1104">
        <f>IFERROR(1/IF(Inputs!$B$38="pvp",15,MAX(0.1,Skills!D20-IF(Skills!E20=TRUE,Inputs!$B$32,0))),0)</f>
        <v/>
      </c>
      <c r="R1104" t="n">
        <v>0</v>
      </c>
      <c r="S1104" t="n">
        <v>0</v>
      </c>
      <c r="U1104" t="n">
        <v>0</v>
      </c>
    </row>
    <row r="1105">
      <c r="A1105">
        <f>Skills!A21</f>
        <v/>
      </c>
      <c r="B1105">
        <f>Skills!B21</f>
        <v/>
      </c>
      <c r="C1105">
        <f>Inputs!$B$3&gt;=74</f>
        <v/>
      </c>
      <c r="D1105">
        <f>IF(Skills!C21=1,60+Inputs!$B$25+Inputs!$B$29,IF(Skills!C21=2,90+Inputs!$B$26+Inputs!$B$29,IF(Skills!C21=3,120+Inputs!$B$27+Inputs!$B$29,MAX(0,(Inputs!$B$3-100)*3)+Inputs!$B$28+Inputs!$B$29)))</f>
        <v/>
      </c>
      <c r="E1105">
        <f>INDEX(FactorTable!$B$2:$Y$301, MATCH(ROUND(MIN(300,MAX(1,D1105)),0), FactorTable!$A$2:$A$301,0), Skills!L21+1)</f>
        <v/>
      </c>
      <c r="F1105">
        <f>IF(Skills!M21=TRUE,(Skills!K21/10)*(E1105/1000),Skills!K21/10)+Skills!N21</f>
        <v/>
      </c>
      <c r="G1105">
        <f>Calc!G21</f>
        <v/>
      </c>
      <c r="H1105">
        <f>Calc!H21</f>
        <v/>
      </c>
      <c r="I1105">
        <f>IF(Skills!T21&lt;&gt;"",1+(Skills!T21/10)*(Z1087/1000)/100,1)</f>
        <v/>
      </c>
      <c r="J1105" t="inlineStr"/>
      <c r="K1105" t="inlineStr"/>
      <c r="L1105" t="inlineStr"/>
      <c r="M1105" t="inlineStr"/>
      <c r="N1105" t="inlineStr"/>
      <c r="O1105">
        <f>(1-Summary!$B$11)*S1105+Summary!$B$11*U1105</f>
        <v/>
      </c>
      <c r="P1105">
        <f>IF(B1120=0,0,O1105/B1120)</f>
        <v/>
      </c>
      <c r="Q1105">
        <f>IFERROR(1/IF(Inputs!$B$38="pvp",15,MAX(0.1,Skills!D21-IF(Skills!E21=TRUE,Inputs!$B$32,0))),0)</f>
        <v/>
      </c>
      <c r="R1105" t="n">
        <v>0</v>
      </c>
      <c r="S1105" t="n">
        <v>0</v>
      </c>
      <c r="U1105" t="n">
        <v>0</v>
      </c>
    </row>
    <row r="1106">
      <c r="A1106">
        <f>Skills!A22</f>
        <v/>
      </c>
      <c r="B1106">
        <f>Skills!B22</f>
        <v/>
      </c>
      <c r="C1106">
        <f>Inputs!$B$3&gt;=117</f>
        <v/>
      </c>
      <c r="D1106">
        <f>IF(Skills!C22=1,60+Inputs!$B$25+Inputs!$B$29,IF(Skills!C22=2,90+Inputs!$B$26+Inputs!$B$29,IF(Skills!C22=3,120+Inputs!$B$27+Inputs!$B$29,MAX(0,(Inputs!$B$3-100)*3)+Inputs!$B$28+Inputs!$B$29)))</f>
        <v/>
      </c>
      <c r="E1106">
        <f>INDEX(FactorTable!$B$2:$Y$301, MATCH(ROUND(MIN(300,MAX(1,D1106)),0), FactorTable!$A$2:$A$301,0), Skills!L22+1)</f>
        <v/>
      </c>
      <c r="F1106">
        <f>IF(Skills!M22=TRUE,(Skills!K22/10)*(E1106/1000),Skills!K22/10)+Skills!N22</f>
        <v/>
      </c>
      <c r="G1106">
        <f>Calc!G22</f>
        <v/>
      </c>
      <c r="H1106">
        <f>Calc!H22</f>
        <v/>
      </c>
      <c r="I1106">
        <f>IF(Skills!T22&lt;&gt;"",1+(Skills!T22/10)*(Z1087/1000)/100,1)</f>
        <v/>
      </c>
      <c r="J1106" t="inlineStr"/>
      <c r="K1106" t="inlineStr"/>
      <c r="L1106" t="inlineStr"/>
      <c r="M1106" t="inlineStr"/>
      <c r="N1106" t="inlineStr"/>
      <c r="O1106">
        <f>(1-Summary!$B$11)*S1106+Summary!$B$11*U1106</f>
        <v/>
      </c>
      <c r="P1106">
        <f>IF(B1120=0,0,O1106/B1120)</f>
        <v/>
      </c>
      <c r="Q1106">
        <f>IFERROR(1/IF(Inputs!$B$38="pvp",15,MAX(0.1,Skills!D22-IF(Skills!E22=TRUE,Inputs!$B$32,0))),0)</f>
        <v/>
      </c>
      <c r="R1106" t="n">
        <v>0</v>
      </c>
      <c r="S1106" t="n">
        <v>0</v>
      </c>
      <c r="U1106" t="n">
        <v>0</v>
      </c>
    </row>
    <row r="1107">
      <c r="A1107">
        <f>Skills!A23</f>
        <v/>
      </c>
      <c r="B1107">
        <f>Skills!B23</f>
        <v/>
      </c>
      <c r="C1107">
        <f>Inputs!$B$3&gt;=120</f>
        <v/>
      </c>
      <c r="D1107">
        <f>IF(Skills!C23=1,60+Inputs!$B$25+Inputs!$B$29,IF(Skills!C23=2,90+Inputs!$B$26+Inputs!$B$29,IF(Skills!C23=3,120+Inputs!$B$27+Inputs!$B$29,MAX(0,(Inputs!$B$3-100)*3)+Inputs!$B$28+Inputs!$B$29)))</f>
        <v/>
      </c>
      <c r="E1107">
        <f>INDEX(FactorTable!$B$2:$Y$301, MATCH(ROUND(MIN(300,MAX(1,D1107)),0), FactorTable!$A$2:$A$301,0), Skills!L23+1)</f>
        <v/>
      </c>
      <c r="F1107">
        <f>IF(Skills!M23=TRUE,(Skills!K23/10)*(E1107/1000),Skills!K23/10)+Skills!N23</f>
        <v/>
      </c>
      <c r="G1107">
        <f>Calc!G23</f>
        <v/>
      </c>
      <c r="H1107">
        <f>Calc!H23</f>
        <v/>
      </c>
      <c r="I1107">
        <f>IF(Skills!T23&lt;&gt;"",1+(Skills!T23/10)*(Z1087/1000)/100,1)</f>
        <v/>
      </c>
      <c r="J1107" t="inlineStr"/>
      <c r="K1107" t="inlineStr"/>
      <c r="L1107" t="inlineStr"/>
      <c r="M1107" t="inlineStr"/>
      <c r="N1107" t="inlineStr"/>
      <c r="O1107">
        <f>(1-Summary!$B$11)*S1107+Summary!$B$11*U1107</f>
        <v/>
      </c>
      <c r="P1107">
        <f>IF(B1120=0,0,O1107/B1120)</f>
        <v/>
      </c>
      <c r="Q1107">
        <f>IFERROR(1/IF(Inputs!$B$38="pvp",15,MAX(0.1,Skills!D23-IF(Skills!E23=TRUE,Inputs!$B$32,0))),0)</f>
        <v/>
      </c>
      <c r="R1107" t="n">
        <v>0</v>
      </c>
      <c r="S1107" t="n">
        <v>0</v>
      </c>
      <c r="U1107" t="n">
        <v>0</v>
      </c>
    </row>
    <row r="1110">
      <c r="A1110" t="inlineStr">
        <is>
          <t>Average Buff Multiplier (Magic Guard + Meditation + Artifact Attack%, summed; then Infinity)</t>
        </is>
      </c>
      <c r="B1110">
        <f>(1+(IF(C1087=TRUE,F1087*IF(AND(Inputs!$B$38&lt;&gt;"pvp",Inputs!$B$43&gt;0),(((R1087-1)*(Skills!S3*(1+(Inputs!$B$34+IF(Inputs!$B$3&gt;=117,F1106,0))/100))+MIN((Skills!S3*(1+(Inputs!$B$34+IF(Inputs!$B$3&gt;=117,F1106,0))/100)),MAX(0,Inputs!$B$43-((R1087-1)*Skills!D3))))/Inputs!$B$43),IF(Inputs!$B$38="pvp",MIN((Skills!S3*(1+(Inputs!$B$34+IF(Inputs!$B$3&gt;=117,F1106,0))/100)),15)/15,(Skills!S3*(1+(Inputs!$B$34+IF(Inputs!$B$3&gt;=117,F1106,0))/100))/Skills!D3)),0)+IF(C1088=TRUE,F1088*IF(AND(Inputs!$B$38&lt;&gt;"pvp",Inputs!$B$43&gt;0),(((R1088-1)*(Skills!S4*(1+(Inputs!$B$34+IF(Inputs!$B$3&gt;=117,F1106,0))/100))+MIN((Skills!S4*(1+(Inputs!$B$34+IF(Inputs!$B$3&gt;=117,F1106,0))/100)),MAX(0,Inputs!$B$43-((R1088-1)*Skills!D4))))/Inputs!$B$43),IF(Inputs!$B$38="pvp",MIN((Skills!S4*(1+(Inputs!$B$34+IF(Inputs!$B$3&gt;=117,F1106,0))/100)),15)/15,(Skills!S4*(1+(Inputs!$B$34+IF(Inputs!$B$3&gt;=117,F1106,0)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1100=TRUE,(1+F1100*IF(AND(Inputs!$B$38&lt;&gt;"pvp",Inputs!$B$43&gt;0),(((R1100-1)*(Skills!S16*(1+(Inputs!$B$34+IF(Inputs!$B$3&gt;=117,F1106,0))/100))+MIN((Skills!S16*(1+(Inputs!$B$34+IF(Inputs!$B$3&gt;=117,F1106,0))/100)),MAX(0,Inputs!$B$43-((R1100-1)*Skills!D16))))/Inputs!$B$43),IF(Inputs!$B$38="pvp",MIN((Skills!S16*(1+(Inputs!$B$34+IF(Inputs!$B$3&gt;=117,F1106,0))/100)),15)/15,(Skills!S16*(1+(Inputs!$B$34+IF(Inputs!$B$3&gt;=117,F1106,0))/100))/Skills!D16))/100),1)</f>
        <v/>
      </c>
    </row>
    <row r="1111">
      <c r="A1111" t="inlineStr">
        <is>
          <t>Monster Damage Taken Bonus % (Freezing Breath - Weaken + Elemental Reset + Artifact Enemy Damage Taken, summed)</t>
        </is>
      </c>
      <c r="B1111">
        <f>IF(Inputs!$B$3&gt;=118,15*IF(Inputs!$B$38="pvp",MIN((30*(1+(Inputs!$B$34+IF(Inputs!$B$3&gt;=117,F1106,0))/100)),15)/15,(30*(1+(Inputs!$B$34+IF(Inputs!$B$3&gt;=117,F1106,0))/100))/Skills!D8),0)+IF(C1098=TRUE,F1098,0)+(IF(AND(ArtifactsInput!$M$35,Inputs!$B$4&lt;&gt;"Chapter Hunt"),CHOOSE(ArtifactsInput!$N$35+1,15,18,21,24,27,30)*(1-EXP(-(0.2*B1114)*5)),0)+IF(AND(ArtifactsInput!$M$22,Inputs!$B$4&lt;&gt;"Chapter Hunt"),CHOOSE(ArtifactsInput!$N$22+1,10,12,14,16,18,20)*((0*(((0.15*B1114*5))^0/1)+1*(((0.15*B1114*5))^1/1)+2*(((0.15*B1114*5))^2/2)+3*(((0.15*B1114*5))^3/6)+4*(((0.15*B1114*5))^4/24)+5*(((0.15*B1114*5))^5/120))/((((0.15*B1114*5))^0/1)+(((0.15*B1114*5))^1/1)+(((0.15*B1114*5))^2/2)+(((0.15*B1114*5))^3/6)+(((0.15*B1114*5))^4/24)+(((0.15*B1114*5))^5/120))),0))</f>
        <v/>
      </c>
    </row>
    <row r="1112">
      <c r="A1112" t="inlineStr">
        <is>
          <t>Damage % Bonus (Frozen Break + Frost Clutch, flat)</t>
        </is>
      </c>
      <c r="B1112">
        <f>IF(Inputs!$B$3&gt;=66,15,0)+IF(Inputs!$B$3&gt;=98,10,0)+IF(Inputs!$B$3&gt;=125,20,0)</f>
        <v/>
      </c>
    </row>
    <row r="1113">
      <c r="A1113" t="inlineStr">
        <is>
          <t>Attack Speed Bonus % (MP Eater - MP Boost, always-on once unlocked)</t>
        </is>
      </c>
      <c r="B1113">
        <f>IF(C1097=TRUE,F1097+(F1101-Calc!F17),0)</f>
        <v/>
      </c>
    </row>
    <row r="1114">
      <c r="A1114" t="inlineStr">
        <is>
          <t>Actions Per Second</t>
        </is>
      </c>
      <c r="B1114">
        <f>1+MIN(150,150*(1-(1-(Inputs!$B$11+(ArtifactsInput!$M$15-ArtifactsInput!$M$15)*CHOOSE(ArtifactsInput!$N$15+1,8,9.6,11.2,12.8,14.4,16))/150)*(1-B1113/150)))/100</f>
        <v/>
      </c>
    </row>
    <row r="1115">
      <c r="A1115" t="inlineStr">
        <is>
          <t>Skill + Buff Cast Rate</t>
        </is>
      </c>
      <c r="B1115">
        <f>IF(AND(Inputs!$B$38&lt;&gt;"pvp",Inputs!$B$43&gt;0),SUMPRODUCT((Skills!E2:E23=TRUE)*(C1086:C1107=TRUE)*R1086:R1107)/Inputs!$B$43,SUMPRODUCT((Skills!E2:E23=TRUE)*(C1086:C1107=TRUE)*Q1086:Q1107))</f>
        <v/>
      </c>
    </row>
    <row r="1116">
      <c r="A1116" t="inlineStr">
        <is>
          <t>Chain Lightning Casts Per Second</t>
        </is>
      </c>
      <c r="B1116">
        <f>MAX(0,B1114-B1115)</f>
        <v/>
      </c>
    </row>
    <row r="1117">
      <c r="A1117" t="inlineStr">
        <is>
          <t>Buff-Casting Startup Delay (s, fixed-duration only)</t>
        </is>
      </c>
      <c r="B1117">
        <f>IF(AND(Inputs!$B$38&lt;&gt;"pvp",Inputs!$B$43&gt;0),SUMPRODUCT((Skills!S2:S23&gt;0)*(Skills!E2:E23=TRUE)*(C1086:C1107=TRUE))/B1114,0)</f>
        <v/>
      </c>
    </row>
    <row r="1118">
      <c r="A1118" t="inlineStr">
        <is>
          <t>Boss-Only Total DPS (this block's swept value)</t>
        </is>
      </c>
      <c r="B1118">
        <f>SUM(S1086:S1107)</f>
        <v/>
      </c>
    </row>
    <row r="1119">
      <c r="A1119" t="inlineStr">
        <is>
          <t>Normal-Only Total DPS (this block's swept value)</t>
        </is>
      </c>
      <c r="B1119">
        <f>SUM(U1086:U1107)</f>
        <v/>
      </c>
    </row>
    <row r="1120">
      <c r="A1120" s="6" t="inlineStr">
        <is>
          <t>TOTAL DPS</t>
        </is>
      </c>
      <c r="B1120" s="6">
        <f>SUM(O1086:O1107)</f>
        <v/>
      </c>
    </row>
    <row r="1123">
      <c r="A1123" s="6" t="inlineStr">
        <is>
          <t>Stat: Shamaness Marble (Equip)</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R1124" t="inlineStr">
        <is>
          <t>helpers</t>
        </is>
      </c>
    </row>
    <row r="1125">
      <c r="A1125">
        <f>Skills!A2</f>
        <v/>
      </c>
      <c r="B1125">
        <f>Skills!B2</f>
        <v/>
      </c>
      <c r="C1125">
        <f>Inputs!$B$3&gt;=100</f>
        <v/>
      </c>
      <c r="D1125" t="inlineStr"/>
      <c r="E1125" t="inlineStr"/>
      <c r="F1125">
        <f>T1127+Skills!N2</f>
        <v/>
      </c>
      <c r="G1125">
        <f>Calc!G2</f>
        <v/>
      </c>
      <c r="H1125">
        <f>Calc!H2</f>
        <v/>
      </c>
      <c r="I1125">
        <f>IF(Skills!T2&lt;&gt;"",1+(Skills!T2/10)*(Z1126/1000)/100,1)</f>
        <v/>
      </c>
      <c r="J1125">
        <f>((Inputs!$B$6*(1+Inputs!$B$7/100))+(((Inputs!$B$12*(1+Inputs!$B$13/100))-(Inputs!$B$12*(1+Inputs!$B$13/100)))+0.25*(Inputs!$B$14-Inputs!$B$14))*(1+Inputs!$B$7/100))*(F1125/100)</f>
        <v/>
      </c>
      <c r="K1125">
        <f>J1125*(1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1125)</f>
        <v/>
      </c>
      <c r="L1125">
        <f>K1125*(MIN(Inputs!$B$22+(F1141-Calc!F18),(Inputs!$B$23+(IF(ArtifactsInput!$M$15,CHOOSE(ArtifactsInput!$N$15+1,25,30,35,40,45,50)/100*(Inputs!$B$11-Inputs!$B$11),0))))/100+(Inputs!$B$23+(IF(ArtifactsInput!$M$15,CHOOSE(ArtifactsInput!$N$15+1,25,30,35,40,45,50)/100*(Inputs!$B$11-Inputs!$B$11),0)))/100)/2</f>
        <v/>
      </c>
      <c r="M1125">
        <f>L1125*(1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5">
        <f>L1125*(1-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1125*(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5">
        <f>(1-Summary!$B$11)*S1125+Summary!$B$11*U1125</f>
        <v/>
      </c>
      <c r="P1125">
        <f>IF(B1159=0,0,O1125/B1159)</f>
        <v/>
      </c>
      <c r="Q1125">
        <f>IFERROR(1/IF(Inputs!$B$38="pvp",15,MAX(0.1,Skills!D2-IF(Skills!E2=TRUE,Inputs!$B$32,0))),0)</f>
        <v/>
      </c>
      <c r="R1125" t="n">
        <v>0</v>
      </c>
      <c r="S1125">
        <f>IF(C1125,(Skills!F2*N1125*B1155)*IF(Inputs!$B$38="pvp",1,1+(Inputs!$B$20+Skills!O2+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5">
        <f>MAX(0,(Inputs!$B$3-100)*3)+Inputs!$B$28+Inputs!$B$29</f>
        <v/>
      </c>
      <c r="U1125">
        <f>IF(C1125,(Skills!F2*N1125*B1155)*IF(Inputs!$B$38="pvp",1,(1+(Inputs!$B$21+Skills!P2+B1150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5">
        <f>MAX(0,(Inputs!$B$3-100)*3)+Inputs!$B$28+Inputs!$B$29</f>
        <v/>
      </c>
    </row>
    <row r="1126">
      <c r="A1126">
        <f>Skills!A3</f>
        <v/>
      </c>
      <c r="B1126">
        <f>Skills!B3</f>
        <v/>
      </c>
      <c r="C1126">
        <f>Inputs!$B$3&gt;=15</f>
        <v/>
      </c>
      <c r="D1126">
        <f>IF(Skills!C3=1,60+Inputs!$B$25+Inputs!$B$29,IF(Skills!C3=2,90+Inputs!$B$26+Inputs!$B$29,IF(Skills!C3=3,120+Inputs!$B$27+Inputs!$B$29,MAX(0,(Inputs!$B$3-100)*3)+Inputs!$B$28+Inputs!$B$29)))</f>
        <v/>
      </c>
      <c r="E1126">
        <f>INDEX(FactorTable!$B$2:$Y$301, MATCH(ROUND(MIN(300,MAX(1,D1126)),0), FactorTable!$A$2:$A$301,0), Skills!L3+1)</f>
        <v/>
      </c>
      <c r="F1126">
        <f>IF(Skills!M3=TRUE,(Skills!K3/10)*(E1126/1000),Skills!K3/10)+Skills!N3</f>
        <v/>
      </c>
      <c r="G1126">
        <f>Calc!G3</f>
        <v/>
      </c>
      <c r="H1126">
        <f>Calc!H3</f>
        <v/>
      </c>
      <c r="I1126">
        <f>IF(Skills!T3&lt;&gt;"",1+(Skills!T3/10)*(Z1126/1000)/100,1)</f>
        <v/>
      </c>
      <c r="J1126" t="inlineStr"/>
      <c r="K1126" t="inlineStr"/>
      <c r="L1126" t="inlineStr"/>
      <c r="M1126" t="inlineStr"/>
      <c r="N1126" t="inlineStr"/>
      <c r="O1126">
        <f>(1-Summary!$B$11)*S1126+Summary!$B$11*U1126</f>
        <v/>
      </c>
      <c r="P1126">
        <f>IF(B1159=0,0,O1126/B1159)</f>
        <v/>
      </c>
      <c r="Q1126">
        <f>IFERROR(1/IF(Inputs!$B$38="pvp",15,MAX(0.1,Skills!D3-IF(Skills!E3=TRUE,Inputs!$B$32,0))),0)</f>
        <v/>
      </c>
      <c r="R1126">
        <f>IF(AND(Inputs!$B$38&lt;&gt;"pvp",Inputs!$B$43&gt;0),IF(Inputs!$B$43&lt;=0,0,(INT(Inputs!$B$43/IF(Inputs!$B$38="pvp",15,MAX(0.1,Skills!D3-IF(Skills!E3=TRUE,Inputs!$B$32,0))))+1)),0)</f>
        <v/>
      </c>
      <c r="S1126" t="n">
        <v>0</v>
      </c>
      <c r="T1126">
        <f>INDEX(FactorTable!$B$2:$Y$301, MATCH(ROUND(MIN(300,MAX(1,T1125)),0), FactorTable!$A$2:$A$301,0), 22)</f>
        <v/>
      </c>
      <c r="U1126" t="n">
        <v>0</v>
      </c>
      <c r="Z1126">
        <f>INDEX(FactorTable!$B$2:$Y$301, MATCH(ROUND(MIN(300,MAX(1,Z1125)),0), FactorTable!$A$2:$A$301,0), 24)</f>
        <v/>
      </c>
    </row>
    <row r="1127">
      <c r="A1127">
        <f>Skills!A4</f>
        <v/>
      </c>
      <c r="B1127">
        <f>Skills!B4</f>
        <v/>
      </c>
      <c r="C1127">
        <f>Inputs!$B$3&gt;=40</f>
        <v/>
      </c>
      <c r="D1127">
        <f>IF(Skills!C4=1,60+Inputs!$B$25+Inputs!$B$29,IF(Skills!C4=2,90+Inputs!$B$26+Inputs!$B$29,IF(Skills!C4=3,120+Inputs!$B$27+Inputs!$B$29,MAX(0,(Inputs!$B$3-100)*3)+Inputs!$B$28+Inputs!$B$29)))</f>
        <v/>
      </c>
      <c r="E1127">
        <f>INDEX(FactorTable!$B$2:$Y$301, MATCH(ROUND(MIN(300,MAX(1,D1127)),0), FactorTable!$A$2:$A$301,0), Skills!L4+1)</f>
        <v/>
      </c>
      <c r="F1127">
        <f>IF(Skills!M4=TRUE,(Skills!K4/10)*(E1127/1000),Skills!K4/10)+Skills!N4</f>
        <v/>
      </c>
      <c r="G1127">
        <f>Calc!G4</f>
        <v/>
      </c>
      <c r="H1127">
        <f>Calc!H4</f>
        <v/>
      </c>
      <c r="I1127">
        <f>IF(Skills!T4&lt;&gt;"",1+(Skills!T4/10)*(Z1126/1000)/100,1)</f>
        <v/>
      </c>
      <c r="J1127" t="inlineStr"/>
      <c r="K1127" t="inlineStr"/>
      <c r="L1127" t="inlineStr"/>
      <c r="M1127" t="inlineStr"/>
      <c r="N1127" t="inlineStr"/>
      <c r="O1127">
        <f>(1-Summary!$B$11)*S1127+Summary!$B$11*U1127</f>
        <v/>
      </c>
      <c r="P1127">
        <f>IF(B1159=0,0,O1127/B1159)</f>
        <v/>
      </c>
      <c r="Q1127">
        <f>IFERROR(1/IF(Inputs!$B$38="pvp",15,MAX(0.1,Skills!D4-IF(Skills!E4=TRUE,Inputs!$B$32,0))),0)</f>
        <v/>
      </c>
      <c r="R1127">
        <f>IF(AND(Inputs!$B$38&lt;&gt;"pvp",Inputs!$B$43&gt;0),IF(Inputs!$B$43&lt;=0,0,(INT(Inputs!$B$43/IF(Inputs!$B$38="pvp",15,MAX(0.1,Skills!D4-IF(Skills!E4=TRUE,Inputs!$B$32,0))))+1)),0)</f>
        <v/>
      </c>
      <c r="S1127" t="n">
        <v>0</v>
      </c>
      <c r="T1127">
        <f>290*T1126/1000</f>
        <v/>
      </c>
      <c r="U1127" t="n">
        <v>0</v>
      </c>
    </row>
    <row r="1128">
      <c r="A1128">
        <f>Skills!A5</f>
        <v/>
      </c>
      <c r="B1128">
        <f>Skills!B5</f>
        <v/>
      </c>
      <c r="C1128">
        <f>Inputs!$B$3&gt;=38</f>
        <v/>
      </c>
      <c r="D1128">
        <f>IF(Skills!C5=1,60+Inputs!$B$25+Inputs!$B$29,IF(Skills!C5=2,90+Inputs!$B$26+Inputs!$B$29,IF(Skills!C5=3,120+Inputs!$B$27+Inputs!$B$29,MAX(0,(Inputs!$B$3-100)*3)+Inputs!$B$28+Inputs!$B$29)))</f>
        <v/>
      </c>
      <c r="E1128">
        <f>INDEX(FactorTable!$B$2:$Y$301, MATCH(ROUND(MIN(300,MAX(1,D1128)),0), FactorTable!$A$2:$A$301,0), Skills!L5+1)</f>
        <v/>
      </c>
      <c r="F1128">
        <f>IF(Skills!M5=TRUE,(Skills!K5/10)*(E1128/1000),Skills!K5/10)+Skills!N5</f>
        <v/>
      </c>
      <c r="G1128">
        <f>Calc!G5</f>
        <v/>
      </c>
      <c r="H1128">
        <f>Calc!H5</f>
        <v/>
      </c>
      <c r="I1128">
        <f>IF(Skills!T5&lt;&gt;"",1+(Skills!T5/10)*(Z1126/1000)/100,1)</f>
        <v/>
      </c>
      <c r="J1128">
        <f>((Inputs!$B$6*(1+Inputs!$B$7/100))+(((Inputs!$B$12*(1+Inputs!$B$13/100))-(Inputs!$B$12*(1+Inputs!$B$13/100)))+0.25*(Inputs!$B$14-Inputs!$B$14))*(1+Inputs!$B$7/100))*(F1128/100)</f>
        <v/>
      </c>
      <c r="K1128">
        <f>J1128*(1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1141-Calc!F18),(Inputs!$B$23+(IF(ArtifactsInput!$M$15,CHOOSE(ArtifactsInput!$N$15+1,25,30,35,40,45,50)/100*(Inputs!$B$11-Inputs!$B$11),0))))/100+(Inputs!$B$23+(IF(ArtifactsInput!$M$15,CHOOSE(ArtifactsInput!$N$15+1,25,30,35,40,45,50)/100*(Inputs!$B$11-Inputs!$B$11),0)))/100)/2</f>
        <v/>
      </c>
      <c r="M1128">
        <f>L1128*(1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IF(B1159=0,0,O1128/B1159)</f>
        <v/>
      </c>
      <c r="Q1128">
        <f>IFERROR(1/IF(Inputs!$B$38="pvp",15,MAX(0.1,Skills!D5-IF(Skills!E5=TRUE,Inputs!$B$32,0))),0)</f>
        <v/>
      </c>
      <c r="R1128">
        <f>IF(AND(Inputs!$B$38&lt;&gt;"pvp",Inputs!$B$43&gt;0),IF(MAX(0,Inputs!$B$43-B1156)&lt;=0,0,(INT(MAX(0,Inputs!$B$43-B1156)/IF(Inputs!$B$38="pvp",15,MAX(0.1,Skills!D5-IF(Skills!E5=TRUE,Inputs!$B$32,0))))+1)),0)</f>
        <v/>
      </c>
      <c r="S1128">
        <f>IF(C1128,(H1128*N1128*IF(AND(Inputs!$B$38&lt;&gt;"pvp",Inputs!$B$43&gt;0),((Skills!F5*((R1128-1)*IF(Skills!G5&gt;0,Skills!H5/Skills!G5,1)+IF(Skills!G5&gt;0,MIN(Skills!H5,MAX(0,MAX(0,Inputs!$B$43-B1156)-((R1128-1)*IF(Inputs!$B$38="pvp",15,MAX(0.1,Skills!D5-IF(Skills!E5=TRUE,Inputs!$B$32,0))))))/Skills!G5,1)))/Inputs!$B$43),G1128*Q1128))*IF(Inputs!$B$38="pvp",1,1+(Inputs!$B$20+Skills!O5+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8">
        <f>IF(C1128,(H1128*N1128*IF(AND(Inputs!$B$38&lt;&gt;"pvp",Inputs!$B$43&gt;0),((Skills!F5*((R1128-1)*IF(Skills!G5&gt;0,Skills!H5/Skills!G5,1)+IF(Skills!G5&gt;0,MIN(Skills!H5,MAX(0,MAX(0,Inputs!$B$43-B1156)-((R1128-1)*IF(Inputs!$B$38="pvp",15,MAX(0.1,Skills!D5-IF(Skills!E5=TRUE,Inputs!$B$32,0))))))/Skills!G5,1)))/Inputs!$B$43),G1128*Q1128))*IF(Inputs!$B$38="pvp",1,(1+(Inputs!$B$21+Skills!P5+B1150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Skills!A6</f>
        <v/>
      </c>
      <c r="B1129">
        <f>Skills!B6</f>
        <v/>
      </c>
      <c r="C1129">
        <f>Inputs!$B$3&gt;=63</f>
        <v/>
      </c>
      <c r="D1129">
        <f>IF(Skills!C6=1,60+Inputs!$B$25+Inputs!$B$29,IF(Skills!C6=2,90+Inputs!$B$26+Inputs!$B$29,IF(Skills!C6=3,120+Inputs!$B$27+Inputs!$B$29,MAX(0,(Inputs!$B$3-100)*3)+Inputs!$B$28+Inputs!$B$29)))</f>
        <v/>
      </c>
      <c r="E1129">
        <f>INDEX(FactorTable!$B$2:$Y$301, MATCH(ROUND(MIN(300,MAX(1,D1129)),0), FactorTable!$A$2:$A$301,0), Skills!L6+1)</f>
        <v/>
      </c>
      <c r="F1129">
        <f>IF(Skills!M6=TRUE,(Skills!K6/10)*(E1129/1000),Skills!K6/10)+Skills!N6</f>
        <v/>
      </c>
      <c r="G1129">
        <f>Calc!G6</f>
        <v/>
      </c>
      <c r="H1129">
        <f>Calc!H6</f>
        <v/>
      </c>
      <c r="I1129">
        <f>IF(Skills!T6&lt;&gt;"",1+(Skills!T6/10)*(Z1126/1000)/100,1)</f>
        <v/>
      </c>
      <c r="J1129">
        <f>((Inputs!$B$6*(1+Inputs!$B$7/100))+(((Inputs!$B$12*(1+Inputs!$B$13/100))-(Inputs!$B$12*(1+Inputs!$B$13/100)))+0.25*(Inputs!$B$14-Inputs!$B$14))*(1+Inputs!$B$7/100))*(F1129/100)</f>
        <v/>
      </c>
      <c r="K1129">
        <f>J1129*(1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1141-Calc!F18),(Inputs!$B$23+(IF(ArtifactsInput!$M$15,CHOOSE(ArtifactsInput!$N$15+1,25,30,35,40,45,50)/100*(Inputs!$B$11-Inputs!$B$11),0))))/100+(Inputs!$B$23+(IF(ArtifactsInput!$M$15,CHOOSE(ArtifactsInput!$N$15+1,25,30,35,40,45,50)/100*(Inputs!$B$11-Inputs!$B$11),0)))/100)/2</f>
        <v/>
      </c>
      <c r="M1129">
        <f>L1129*(1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IF(B1159=0,0,O1129/B1159)</f>
        <v/>
      </c>
      <c r="Q1129">
        <f>IFERROR(1/IF(Inputs!$B$38="pvp",15,MAX(0.1,Skills!D6-IF(Skills!E6=TRUE,Inputs!$B$32,0))),0)</f>
        <v/>
      </c>
      <c r="R1129">
        <f>IF(AND(Inputs!$B$38&lt;&gt;"pvp",Inputs!$B$43&gt;0),IF(MAX(0,Inputs!$B$43-B1156)&lt;=0,0,(INT(MAX(0,Inputs!$B$43-B1156)/IF(Inputs!$B$38="pvp",15,MAX(0.1,Skills!D6-IF(Skills!E6=TRUE,Inputs!$B$32,0))))+1)),0)</f>
        <v/>
      </c>
      <c r="S1129">
        <f>IF(C1129,(H1129*N1129*IF(AND(Inputs!$B$38&lt;&gt;"pvp",Inputs!$B$43&gt;0),((Skills!F6*((R1129-1)*IF(Skills!G6&gt;0,Skills!H6/Skills!G6,1)+IF(Skills!G6&gt;0,MIN(Skills!H6,MAX(0,MAX(0,Inputs!$B$43-B1156)-((R1129-1)*IF(Inputs!$B$38="pvp",15,MAX(0.1,Skills!D6-IF(Skills!E6=TRUE,Inputs!$B$32,0))))))/Skills!G6,1)))/Inputs!$B$43),G1129*Q1129))*IF(Inputs!$B$38="pvp",1,1+(Inputs!$B$20+Skills!O6+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IF(C1129,(H1129*N1129*IF(AND(Inputs!$B$38&lt;&gt;"pvp",Inputs!$B$43&gt;0),((Skills!F6*((R1129-1)*IF(Skills!G6&gt;0,Skills!H6/Skills!G6,1)+IF(Skills!G6&gt;0,MIN(Skills!H6,MAX(0,MAX(0,Inputs!$B$43-B1156)-((R1129-1)*IF(Inputs!$B$38="pvp",15,MAX(0.1,Skills!D6-IF(Skills!E6=TRUE,Inputs!$B$32,0))))))/Skills!G6,1)))/Inputs!$B$43),G1129*Q1129))*IF(Inputs!$B$38="pvp",1,(1+(Inputs!$B$21+Skills!P6+B1150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Skills!A7</f>
        <v/>
      </c>
      <c r="B1130">
        <f>Skills!B7</f>
        <v/>
      </c>
      <c r="C1130">
        <f>Inputs!$B$3&gt;=69</f>
        <v/>
      </c>
      <c r="D1130">
        <f>IF(Skills!C7=1,60+Inputs!$B$25+Inputs!$B$29,IF(Skills!C7=2,90+Inputs!$B$26+Inputs!$B$29,IF(Skills!C7=3,120+Inputs!$B$27+Inputs!$B$29,MAX(0,(Inputs!$B$3-100)*3)+Inputs!$B$28+Inputs!$B$29)))</f>
        <v/>
      </c>
      <c r="E1130">
        <f>INDEX(FactorTable!$B$2:$Y$301, MATCH(ROUND(MIN(300,MAX(1,D1130)),0), FactorTable!$A$2:$A$301,0), Skills!L7+1)</f>
        <v/>
      </c>
      <c r="F1130">
        <f>IF(Skills!M7=TRUE,(Skills!K7/10)*(E1130/1000),Skills!K7/10)+Skills!N7</f>
        <v/>
      </c>
      <c r="G1130">
        <f>Calc!G7</f>
        <v/>
      </c>
      <c r="H1130">
        <f>Calc!H7</f>
        <v/>
      </c>
      <c r="I1130">
        <f>IF(Skills!T7&lt;&gt;"",1+(Skills!T7/10)*(Z1126/1000)/100,1)</f>
        <v/>
      </c>
      <c r="J1130">
        <f>((Inputs!$B$6*(1+Inputs!$B$7/100))+(((Inputs!$B$12*(1+Inputs!$B$13/100))-(Inputs!$B$12*(1+Inputs!$B$13/100)))+0.25*(Inputs!$B$14-Inputs!$B$14))*(1+Inputs!$B$7/100))*(F1130/100)</f>
        <v/>
      </c>
      <c r="K1130">
        <f>J1130*(1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1141-Calc!F18),(Inputs!$B$23+(IF(ArtifactsInput!$M$15,CHOOSE(ArtifactsInput!$N$15+1,25,30,35,40,45,50)/100*(Inputs!$B$11-Inputs!$B$11),0))))/100+(Inputs!$B$23+(IF(ArtifactsInput!$M$15,CHOOSE(ArtifactsInput!$N$15+1,25,30,35,40,45,50)/100*(Inputs!$B$11-Inputs!$B$11),0)))/100)/2</f>
        <v/>
      </c>
      <c r="M1130">
        <f>L1130*(1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IF(B1159=0,0,O1130/B1159)</f>
        <v/>
      </c>
      <c r="Q1130">
        <f>IFERROR(1/IF(Inputs!$B$38="pvp",15,MAX(0.1,Skills!D7-IF(Skills!E7=TRUE,Inputs!$B$32,0))),0)</f>
        <v/>
      </c>
      <c r="R1130">
        <f>IF(AND(Inputs!$B$38&lt;&gt;"pvp",Inputs!$B$43&gt;0),IF(MAX(0,Inputs!$B$43-B1156)&lt;=0,0,(INT(MAX(0,Inputs!$B$43-B1156)/IF(Inputs!$B$38="pvp",15,MAX(0.1,Skills!D7-IF(Skills!E7=TRUE,Inputs!$B$32,0))))+1)),0)</f>
        <v/>
      </c>
      <c r="S1130">
        <f>IF(C1130,(H1130*N1130*IF(AND(Inputs!$B$38&lt;&gt;"pvp",Inputs!$B$43&gt;0),((Skills!F7*((R1130-1)*IF(Skills!G7&gt;0,Skills!H7/Skills!G7,1)+IF(Skills!G7&gt;0,MIN(Skills!H7,MAX(0,MAX(0,Inputs!$B$43-B1156)-((R1130-1)*IF(Inputs!$B$38="pvp",15,MAX(0.1,Skills!D7-IF(Skills!E7=TRUE,Inputs!$B$32,0))))))/Skills!G7,1)))/Inputs!$B$43),G1130*Q1130))*IF(Inputs!$B$38="pvp",1,1+(Inputs!$B$20+Skills!O7+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F(C1130,(H1130*N1130*IF(AND(Inputs!$B$38&lt;&gt;"pvp",Inputs!$B$43&gt;0),((Skills!F7*((R1130-1)*IF(Skills!G7&gt;0,Skills!H7/Skills!G7,1)+IF(Skills!G7&gt;0,MIN(Skills!H7,MAX(0,MAX(0,Inputs!$B$43-B1156)-((R1130-1)*IF(Inputs!$B$38="pvp",15,MAX(0.1,Skills!D7-IF(Skills!E7=TRUE,Inputs!$B$32,0))))))/Skills!G7,1)))/Inputs!$B$43),G1130*Q1130))*IF(Inputs!$B$38="pvp",1,(1+(Inputs!$B$21+Skills!P7+B1150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Skills!A8</f>
        <v/>
      </c>
      <c r="B1131">
        <f>Skills!B8</f>
        <v/>
      </c>
      <c r="C1131">
        <f>Inputs!$B$3&gt;=103</f>
        <v/>
      </c>
      <c r="D1131">
        <f>IF(Skills!C8=1,60+Inputs!$B$25+Inputs!$B$29,IF(Skills!C8=2,90+Inputs!$B$26+Inputs!$B$29,IF(Skills!C8=3,120+Inputs!$B$27+Inputs!$B$29,MAX(0,(Inputs!$B$3-100)*3)+Inputs!$B$28+Inputs!$B$29)))</f>
        <v/>
      </c>
      <c r="E1131">
        <f>INDEX(FactorTable!$B$2:$Y$301, MATCH(ROUND(MIN(300,MAX(1,D1131)),0), FactorTable!$A$2:$A$301,0), Skills!L8+1)</f>
        <v/>
      </c>
      <c r="F1131">
        <f>IF(Skills!M8=TRUE,(Skills!K8/10)*(E1131/1000),Skills!K8/10)+Skills!N8</f>
        <v/>
      </c>
      <c r="G1131">
        <f>Calc!G8</f>
        <v/>
      </c>
      <c r="H1131">
        <f>Calc!H8</f>
        <v/>
      </c>
      <c r="I1131">
        <f>IF(Skills!T8&lt;&gt;"",1+(Skills!T8/10)*(Z1126/1000)/100,1)</f>
        <v/>
      </c>
      <c r="J1131">
        <f>((Inputs!$B$6*(1+Inputs!$B$7/100))+(((Inputs!$B$12*(1+Inputs!$B$13/100))-(Inputs!$B$12*(1+Inputs!$B$13/100)))+0.25*(Inputs!$B$14-Inputs!$B$14))*(1+Inputs!$B$7/100))*(F1131/100)</f>
        <v/>
      </c>
      <c r="K1131">
        <f>J1131*(1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1141-Calc!F18),(Inputs!$B$23+(IF(ArtifactsInput!$M$15,CHOOSE(ArtifactsInput!$N$15+1,25,30,35,40,45,50)/100*(Inputs!$B$11-Inputs!$B$11),0))))/100+(Inputs!$B$23+(IF(ArtifactsInput!$M$15,CHOOSE(ArtifactsInput!$N$15+1,25,30,35,40,45,50)/100*(Inputs!$B$11-Inputs!$B$11),0)))/100)/2</f>
        <v/>
      </c>
      <c r="M1131">
        <f>L1131*(1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IF(B1159=0,0,O1131/B1159)</f>
        <v/>
      </c>
      <c r="Q1131">
        <f>IFERROR(1/IF(Inputs!$B$38="pvp",15,MAX(0.1,Skills!D8-IF(Skills!E8=TRUE,Inputs!$B$32,0))),0)</f>
        <v/>
      </c>
      <c r="R1131">
        <f>IF(AND(Inputs!$B$38&lt;&gt;"pvp",Inputs!$B$43&gt;0),IF(MAX(0,Inputs!$B$43-B1156)&lt;=0,0,(INT(MAX(0,Inputs!$B$43-B1156)/IF(Inputs!$B$38="pvp",15,MAX(0.1,Skills!D8-IF(Skills!E8=TRUE,Inputs!$B$32,0))))+1)),0)</f>
        <v/>
      </c>
      <c r="S1131">
        <f>IF(C1131,(H1131*N1131*IF(AND(Inputs!$B$38&lt;&gt;"pvp",Inputs!$B$43&gt;0),((Skills!F8*((R1131-1)*IF(Skills!G8&gt;0,Skills!H8/Skills!G8,1)+IF(Skills!G8&gt;0,MIN(Skills!H8,MAX(0,MAX(0,Inputs!$B$43-B1156)-((R1131-1)*IF(Inputs!$B$38="pvp",15,MAX(0.1,Skills!D8-IF(Skills!E8=TRUE,Inputs!$B$32,0))))))/Skills!G8,1)))/Inputs!$B$43),G1131*Q1131))*IF(Inputs!$B$38="pvp",1,1+(Inputs!$B$20+Skills!O8+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F8*((R1131-1)*IF(Skills!G8&gt;0,Skills!H8/Skills!G8,1)+IF(Skills!G8&gt;0,MIN(Skills!H8,MAX(0,MAX(0,Inputs!$B$43-B1156)-((R1131-1)*IF(Inputs!$B$38="pvp",15,MAX(0.1,Skills!D8-IF(Skills!E8=TRUE,Inputs!$B$32,0))))))/Skills!G8,1)))/Inputs!$B$43),G1131*Q1131))*IF(Inputs!$B$38="pvp",1,(1+(Inputs!$B$21+Skills!P8+B1150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Skills!A9</f>
        <v/>
      </c>
      <c r="B1132">
        <f>Skills!B9</f>
        <v/>
      </c>
      <c r="C1132">
        <f>Inputs!$B$3&gt;=105</f>
        <v/>
      </c>
      <c r="D1132">
        <f>IF(Skills!C9=1,60+Inputs!$B$25+Inputs!$B$29,IF(Skills!C9=2,90+Inputs!$B$26+Inputs!$B$29,IF(Skills!C9=3,120+Inputs!$B$27+Inputs!$B$29,MAX(0,(Inputs!$B$3-100)*3)+Inputs!$B$28+Inputs!$B$29)))</f>
        <v/>
      </c>
      <c r="E1132">
        <f>INDEX(FactorTable!$B$2:$Y$301, MATCH(ROUND(MIN(300,MAX(1,D1132)),0), FactorTable!$A$2:$A$301,0), Skills!L9+1)</f>
        <v/>
      </c>
      <c r="F1132">
        <f>IF(Skills!M9=TRUE,(Skills!K9/10)*(E1132/1000),Skills!K9/10)+Skills!N9</f>
        <v/>
      </c>
      <c r="G1132">
        <f>Calc!G9</f>
        <v/>
      </c>
      <c r="H1132">
        <f>Calc!H9</f>
        <v/>
      </c>
      <c r="I1132">
        <f>IF(Skills!T9&lt;&gt;"",1+(Skills!T9/10)*(Z1126/1000)/100,1)</f>
        <v/>
      </c>
      <c r="J1132">
        <f>((Inputs!$B$6*(1+Inputs!$B$7/100))+(((Inputs!$B$12*(1+Inputs!$B$13/100))-(Inputs!$B$12*(1+Inputs!$B$13/100)))+0.25*(Inputs!$B$14-Inputs!$B$14))*(1+Inputs!$B$7/100))*(F1132/100)</f>
        <v/>
      </c>
      <c r="K1132">
        <f>J1132*(1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F1141-Calc!F18),(Inputs!$B$23+(IF(ArtifactsInput!$M$15,CHOOSE(ArtifactsInput!$N$15+1,25,30,35,40,45,50)/100*(Inputs!$B$11-Inputs!$B$11),0))))/100+(Inputs!$B$23+(IF(ArtifactsInput!$M$15,CHOOSE(ArtifactsInput!$N$15+1,25,30,35,40,45,50)/100*(Inputs!$B$11-Inputs!$B$11),0)))/100)/2</f>
        <v/>
      </c>
      <c r="M1132">
        <f>L1132*(1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(1-Summary!$B$11)*S1132+Summary!$B$11*U1132</f>
        <v/>
      </c>
      <c r="P1132">
        <f>IF(B1159=0,0,O1132/B1159)</f>
        <v/>
      </c>
      <c r="Q1132">
        <f>IFERROR(1/IF(Inputs!$B$38="pvp",15,MAX(0.1,Skills!D9-IF(Skills!E9=TRUE,Inputs!$B$32,0))),0)</f>
        <v/>
      </c>
      <c r="R1132">
        <f>IF(AND(Inputs!$B$38&lt;&gt;"pvp",Inputs!$B$43&gt;0),IF(MAX(0,Inputs!$B$43-B1156)&lt;=0,0,(INT(MAX(0,Inputs!$B$43-B1156)/IF(Inputs!$B$38="pvp",15,MAX(0.1,Skills!D9-IF(Skills!E9=TRUE,Inputs!$B$32,0))))+1)),0)</f>
        <v/>
      </c>
      <c r="S1132">
        <f>IF(C1132,(H1132*N1132*IF(AND(Inputs!$B$38&lt;&gt;"pvp",Inputs!$B$43&gt;0),((Skills!F9*((R1132-1)*IF(Skills!G9&gt;0,Skills!H9/Skills!G9,1)+IF(Skills!G9&gt;0,MIN(Skills!H9,MAX(0,MAX(0,Inputs!$B$43-B1156)-((R1132-1)*IF(Inputs!$B$38="pvp",15,MAX(0.1,Skills!D9-IF(Skills!E9=TRUE,Inputs!$B$32,0))))))/Skills!G9,1)))/Inputs!$B$43),G1132*Q1132))*IF(Inputs!$B$38="pvp",1,1+(Inputs!$B$20+Skills!O9+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1132*(1-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2">
        <f>IF(C1132,(H1132*N1132*IF(AND(Inputs!$B$38&lt;&gt;"pvp",Inputs!$B$43&gt;0),((Skills!F9*((R1132-1)*IF(Skills!G9&gt;0,Skills!H9/Skills!G9,1)+IF(Skills!G9&gt;0,MIN(Skills!H9,MAX(0,MAX(0,Inputs!$B$43-B1156)-((R1132-1)*IF(Inputs!$B$38="pvp",15,MAX(0.1,Skills!D9-IF(Skills!E9=TRUE,Inputs!$B$32,0))))))/Skills!G9,1)))/Inputs!$B$43),G1132*Q1132))*IF(Inputs!$B$38="pvp",1,(1+(Inputs!$B$21+Skills!P9+B1150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Skills!A10</f>
        <v/>
      </c>
      <c r="B1133">
        <f>Skills!B10</f>
        <v/>
      </c>
      <c r="C1133">
        <f>Inputs!$B$3&gt;=113</f>
        <v/>
      </c>
      <c r="D1133">
        <f>IF(Skills!C10=1,60+Inputs!$B$25+Inputs!$B$29,IF(Skills!C10=2,90+Inputs!$B$26+Inputs!$B$29,IF(Skills!C10=3,120+Inputs!$B$27+Inputs!$B$29,MAX(0,(Inputs!$B$3-100)*3)+Inputs!$B$28+Inputs!$B$29)))</f>
        <v/>
      </c>
      <c r="E1133">
        <f>INDEX(FactorTable!$B$2:$Y$301, MATCH(ROUND(MIN(300,MAX(1,D1133)),0), FactorTable!$A$2:$A$301,0), Skills!L10+1)</f>
        <v/>
      </c>
      <c r="F1133">
        <f>IF(Skills!M10=TRUE,(Skills!K10/10)*(E1133/1000),Skills!K10/10)+Skills!N10</f>
        <v/>
      </c>
      <c r="G1133">
        <f>Calc!G10</f>
        <v/>
      </c>
      <c r="H1133">
        <f>Calc!H10</f>
        <v/>
      </c>
      <c r="I1133">
        <f>IF(Skills!T10&lt;&gt;"",1+(Skills!T10/10)*(Z1126/1000)/100,1)</f>
        <v/>
      </c>
      <c r="J1133">
        <f>((Inputs!$B$6*(1+Inputs!$B$7/100))+(((Inputs!$B$12*(1+Inputs!$B$13/100))-(Inputs!$B$12*(1+Inputs!$B$13/100)))+0.25*(Inputs!$B$14-Inputs!$B$14))*(1+Inputs!$B$7/100))*(F1133/100)</f>
        <v/>
      </c>
      <c r="K1133">
        <f>J1133*(1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1141-Calc!F18),(Inputs!$B$23+(IF(ArtifactsInput!$M$15,CHOOSE(ArtifactsInput!$N$15+1,25,30,35,40,45,50)/100*(Inputs!$B$11-Inputs!$B$11),0))))/100+(Inputs!$B$23+(IF(ArtifactsInput!$M$15,CHOOSE(ArtifactsInput!$N$15+1,25,30,35,40,45,50)/100*(Inputs!$B$11-Inputs!$B$11),0)))/100)/2</f>
        <v/>
      </c>
      <c r="M1133">
        <f>L1133*(1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IF(B1159=0,0,O1133/B1159)</f>
        <v/>
      </c>
      <c r="Q1133">
        <f>IFERROR(1/IF(Inputs!$B$38="pvp",15,MAX(0.1,Skills!D10-IF(Skills!E9=TRUE,Inputs!$B$32,0))),0)</f>
        <v/>
      </c>
      <c r="R1133">
        <f>IF(AND(Inputs!$B$38&lt;&gt;"pvp",Inputs!$B$43&gt;0),IF(MAX(0,Inputs!$B$43-B1156)&lt;=0,0,(INT(MAX(0,Inputs!$B$43-B1156)/IF(Inputs!$B$38="pvp",15,MAX(0.1,Skills!D10-IF(Skills!E9=TRUE,Inputs!$B$32,0))))+1)),0)</f>
        <v/>
      </c>
      <c r="S1133">
        <f>IF(C1133,(H1133*N1133*IF(AND(Inputs!$B$38&lt;&gt;"pvp",Inputs!$B$43&gt;0),((Skills!F10*((R1133-1)*IF(Skills!G10&gt;0,Skills!H10/Skills!G10,1)+IF(Skills!G10&gt;0,MIN(Skills!H10,MAX(0,MAX(0,Inputs!$B$43-B1156)-((R1133-1)*IF(Inputs!$B$38="pvp",15,MAX(0.1,Skills!D10-IF(Skills!E9=TRUE,Inputs!$B$32,0))))))/Skills!G10,1)))/Inputs!$B$43),G1133*Q1133))*IF(Inputs!$B$38="pvp",1,1+(Inputs!$B$20+Skills!O10+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F10*((R1133-1)*IF(Skills!G10&gt;0,Skills!H10/Skills!G10,1)+IF(Skills!G10&gt;0,MIN(Skills!H10,MAX(0,MAX(0,Inputs!$B$43-B1156)-((R1133-1)*IF(Inputs!$B$38="pvp",15,MAX(0.1,Skills!D10-IF(Skills!E9=TRUE,Inputs!$B$32,0))))))/Skills!G10,1)))/Inputs!$B$43),G1133*Q1133))*IF(Inputs!$B$38="pvp",1,(1+(Inputs!$B$21+Skills!P10+B1150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Skills!A11</f>
        <v/>
      </c>
      <c r="B1134">
        <f>Skills!B11</f>
        <v/>
      </c>
      <c r="C1134">
        <f>Inputs!$B$3&gt;=107</f>
        <v/>
      </c>
      <c r="D1134">
        <f>IF(Skills!C11=1,60+Inputs!$B$25+Inputs!$B$29,IF(Skills!C11=2,90+Inputs!$B$26+Inputs!$B$29,IF(Skills!C11=3,120+Inputs!$B$27+Inputs!$B$29,MAX(0,(Inputs!$B$3-100)*3)+Inputs!$B$28+Inputs!$B$29)))</f>
        <v/>
      </c>
      <c r="E1134">
        <f>INDEX(FactorTable!$B$2:$Y$301, MATCH(ROUND(MIN(300,MAX(1,D1134)),0), FactorTable!$A$2:$A$301,0), Skills!L11+1)</f>
        <v/>
      </c>
      <c r="F1134">
        <f>IF(Skills!M11=TRUE,(Skills!K11/10)*(E1134/1000),Skills!K11/10)+Skills!N11</f>
        <v/>
      </c>
      <c r="G1134">
        <f>Calc!G11</f>
        <v/>
      </c>
      <c r="H1134">
        <f>Calc!H11</f>
        <v/>
      </c>
      <c r="I1134">
        <f>IF(Skills!T11&lt;&gt;"",1+(Skills!T11/10)*(Z1126/1000)/100,1)</f>
        <v/>
      </c>
      <c r="J1134">
        <f>((Inputs!$B$6*(1+Inputs!$B$7/100))+(((Inputs!$B$12*(1+Inputs!$B$13/100))-(Inputs!$B$12*(1+Inputs!$B$13/100)))+0.25*(Inputs!$B$14-Inputs!$B$14))*(1+Inputs!$B$7/100))*(F1134/100)</f>
        <v/>
      </c>
      <c r="K1134">
        <f>J1134*(1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1141-Calc!F18),(Inputs!$B$23+(IF(ArtifactsInput!$M$15,CHOOSE(ArtifactsInput!$N$15+1,25,30,35,40,45,50)/100*(Inputs!$B$11-Inputs!$B$11),0))))/100+(Inputs!$B$23+(IF(ArtifactsInput!$M$15,CHOOSE(ArtifactsInput!$N$15+1,25,30,35,40,45,50)/100*(Inputs!$B$11-Inputs!$B$11),0)))/100)/2</f>
        <v/>
      </c>
      <c r="M1134">
        <f>L1134*(1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IF(B1159=0,0,O1134/B1159)</f>
        <v/>
      </c>
      <c r="Q1134">
        <f>IFERROR(1/IF(Inputs!$B$38="pvp",15,MAX(0.1,Skills!D11-IF(Skills!E11=TRUE,Inputs!$B$32,0))),0)</f>
        <v/>
      </c>
      <c r="R1134">
        <f>IF(AND(Inputs!$B$38&lt;&gt;"pvp",Inputs!$B$43&gt;0),IF(MAX(0,Inputs!$B$43-B1156)&lt;=0,0,(INT(MAX(0,Inputs!$B$43-B1156)/IF(Inputs!$B$38="pvp",15,MAX(0.1,Skills!D11-IF(Skills!E11=TRUE,Inputs!$B$32,0))))+1)),0)</f>
        <v/>
      </c>
      <c r="S1134">
        <f>IF(C1134,H1134*N1134*IF(AND(Inputs!$B$38&lt;&gt;"pvp",Inputs!$B$43&gt;0),((Skills!F11*((R1134-1)*IF(Skills!G11&gt;0,Skills!H11/Skills!G11,1)+IF(Skills!G11&gt;0,MIN(Skills!H11,MAX(0,MAX(0,Inputs!$B$43-B1156)-((R1134-1)*IF(Inputs!$B$38="pvp",15,MAX(0.1,Skills!D11-IF(Skills!E11=TRUE,Inputs!$B$32,0))))))/Skills!G11,1)))/Inputs!$B$43),G1134*Q1134)*0.5*IF(Inputs!$B$38="pvp",1,1+(Inputs!$B$20+Skills!O11+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F11*((R1134-1)*IF(Skills!G11&gt;0,Skills!H11/Skills!G11,1)+IF(Skills!G11&gt;0,MIN(Skills!H11,MAX(0,MAX(0,Inputs!$B$43-B1156)-((R1134-1)*IF(Inputs!$B$38="pvp",15,MAX(0.1,Skills!D11-IF(Skills!E11=TRUE,Inputs!$B$32,0))))))/Skills!G11,1)))/Inputs!$B$43),G1134*Q1134)*1*IF(Inputs!$B$38="pvp",1,(1+(Inputs!$B$21+Skills!P11+B1150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Skills!A12</f>
        <v/>
      </c>
      <c r="B1135">
        <f>Skills!B12</f>
        <v/>
      </c>
      <c r="C1135">
        <f>Inputs!$B$3&gt;=115</f>
        <v/>
      </c>
      <c r="D1135">
        <f>IF(Skills!C12=1,60+Inputs!$B$25+Inputs!$B$29,IF(Skills!C12=2,90+Inputs!$B$26+Inputs!$B$29,IF(Skills!C12=3,120+Inputs!$B$27+Inputs!$B$29,MAX(0,(Inputs!$B$3-100)*3)+Inputs!$B$28+Inputs!$B$29)))</f>
        <v/>
      </c>
      <c r="E1135">
        <f>INDEX(FactorTable!$B$2:$Y$301, MATCH(ROUND(MIN(300,MAX(1,D1135)),0), FactorTable!$A$2:$A$301,0), Skills!L12+1)</f>
        <v/>
      </c>
      <c r="F1135">
        <f>IF(Skills!M12=TRUE,(Skills!K12/10)*(E1135/1000),Skills!K12/10)+Skills!N12</f>
        <v/>
      </c>
      <c r="G1135">
        <f>Calc!G12</f>
        <v/>
      </c>
      <c r="H1135">
        <f>Calc!H12</f>
        <v/>
      </c>
      <c r="I1135">
        <f>IF(Skills!T12&lt;&gt;"",1+(Skills!T12/10)*(Z1126/1000)/100,1)</f>
        <v/>
      </c>
      <c r="J1135">
        <f>((Inputs!$B$6*(1+Inputs!$B$7/100))+(((Inputs!$B$12*(1+Inputs!$B$13/100))-(Inputs!$B$12*(1+Inputs!$B$13/100)))+0.25*(Inputs!$B$14-Inputs!$B$14))*(1+Inputs!$B$7/100))*(F1135/100)</f>
        <v/>
      </c>
      <c r="K1135">
        <f>J1135*(1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1141-Calc!F18),(Inputs!$B$23+(IF(ArtifactsInput!$M$15,CHOOSE(ArtifactsInput!$N$15+1,25,30,35,40,45,50)/100*(Inputs!$B$11-Inputs!$B$11),0))))/100+(Inputs!$B$23+(IF(ArtifactsInput!$M$15,CHOOSE(ArtifactsInput!$N$15+1,25,30,35,40,45,50)/100*(Inputs!$B$11-Inputs!$B$11),0)))/100)/2</f>
        <v/>
      </c>
      <c r="M1135">
        <f>L1135*(1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IF(B1159=0,0,O1135/B1159)</f>
        <v/>
      </c>
      <c r="Q1135">
        <f>IFERROR(1/IF(Inputs!$B$38="pvp",15,MAX(0.1,Skills!D12-IF(Skills!E12=TRUE,Inputs!$B$32,0))),0)</f>
        <v/>
      </c>
      <c r="R1135">
        <f>IF(AND(Inputs!$B$38&lt;&gt;"pvp",Inputs!$B$43&gt;0),IF(MAX(0,Inputs!$B$43-B1156)&lt;=0,0,(INT(MAX(0,Inputs!$B$43-B1156)/IF(Inputs!$B$38="pvp",15,MAX(0.1,Skills!D12-IF(Skills!E12=TRUE,Inputs!$B$32,0))))+1)),0)</f>
        <v/>
      </c>
      <c r="S1135">
        <f>IF(C1135,(H1135*N1135*IF(AND(Inputs!$B$38&lt;&gt;"pvp",Inputs!$B$43&gt;0),((Skills!F12*((R1135-1)*IF(Skills!G12&gt;0,Skills!H12/Skills!G12,1)+IF(Skills!G12&gt;0,MIN(Skills!H12,MAX(0,MAX(0,Inputs!$B$43-B1156)-((R1135-1)*IF(Inputs!$B$38="pvp",15,MAX(0.1,Skills!D12-IF(Skills!E12=TRUE,Inputs!$B$32,0))))))/Skills!G12,1)))/Inputs!$B$43),G1135*Q1135))*IF(Inputs!$B$38="pvp",1,1+(Inputs!$B$20+Skills!O12+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F12*((R1135-1)*IF(Skills!G12&gt;0,Skills!H12/Skills!G12,1)+IF(Skills!G12&gt;0,MIN(Skills!H12,MAX(0,MAX(0,Inputs!$B$43-B1156)-((R1135-1)*IF(Inputs!$B$38="pvp",15,MAX(0.1,Skills!D12-IF(Skills!E12=TRUE,Inputs!$B$32,0))))))/Skills!G12,1)))/Inputs!$B$43),G1135*Q1135))*IF(Inputs!$B$38="pvp",1,(1+(Inputs!$B$21+Skills!P12+B1150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Skills!A13</f>
        <v/>
      </c>
      <c r="B1136">
        <f>Skills!B13</f>
        <v/>
      </c>
      <c r="C1136">
        <f>Inputs!$B$3&gt;=49</f>
        <v/>
      </c>
      <c r="D1136">
        <f>IF(Skills!C13=1,60+Inputs!$B$25+Inputs!$B$29,IF(Skills!C13=2,90+Inputs!$B$26+Inputs!$B$29,IF(Skills!C13=3,120+Inputs!$B$27+Inputs!$B$29,MAX(0,(Inputs!$B$3-100)*3)+Inputs!$B$28+Inputs!$B$29)))</f>
        <v/>
      </c>
      <c r="E1136">
        <f>INDEX(FactorTable!$B$2:$Y$301, MATCH(ROUND(MIN(300,MAX(1,D1136)),0), FactorTable!$A$2:$A$301,0), Skills!L13+1)</f>
        <v/>
      </c>
      <c r="F1136">
        <f>IF(Skills!M13=TRUE,(Skills!K13/10)*(E1136/1000),Skills!K13/10)+Skills!N13</f>
        <v/>
      </c>
      <c r="G1136">
        <f>Calc!G13</f>
        <v/>
      </c>
      <c r="H1136">
        <f>Calc!H13</f>
        <v/>
      </c>
      <c r="I1136">
        <f>IF(Skills!T13&lt;&gt;"",1+(Skills!T13/10)*(Z1126/1000)/100,1)</f>
        <v/>
      </c>
      <c r="J1136" t="inlineStr"/>
      <c r="K1136" t="inlineStr"/>
      <c r="L1136" t="inlineStr"/>
      <c r="M1136" t="inlineStr"/>
      <c r="N1136" t="inlineStr"/>
      <c r="O1136">
        <f>(1-Summary!$B$11)*S1136+Summary!$B$11*U1136</f>
        <v/>
      </c>
      <c r="P1136">
        <f>IF(B1159=0,0,O1136/B1159)</f>
        <v/>
      </c>
      <c r="Q1136">
        <f>IFERROR(1/IF(Inputs!$B$38="pvp",15,MAX(0.1,Skills!D13-IF(Skills!E13=TRUE,Inputs!$B$32,0))),0)</f>
        <v/>
      </c>
      <c r="R1136" t="n">
        <v>0</v>
      </c>
      <c r="S1136" t="n">
        <v>0</v>
      </c>
      <c r="U1136" t="n">
        <v>0</v>
      </c>
    </row>
    <row r="1137">
      <c r="A1137">
        <f>Skills!A14</f>
        <v/>
      </c>
      <c r="B1137">
        <f>Skills!B14</f>
        <v/>
      </c>
      <c r="C1137">
        <f>Inputs!$B$3&gt;=72</f>
        <v/>
      </c>
      <c r="D1137">
        <f>IF(Skills!C14=1,60+Inputs!$B$25+Inputs!$B$29,IF(Skills!C14=2,90+Inputs!$B$26+Inputs!$B$29,IF(Skills!C14=3,120+Inputs!$B$27+Inputs!$B$29,MAX(0,(Inputs!$B$3-100)*3)+Inputs!$B$28+Inputs!$B$29)))</f>
        <v/>
      </c>
      <c r="E1137">
        <f>INDEX(FactorTable!$B$2:$Y$301, MATCH(ROUND(MIN(300,MAX(1,D1137)),0), FactorTable!$A$2:$A$301,0), Skills!L14+1)</f>
        <v/>
      </c>
      <c r="F1137">
        <f>IF(Skills!M14=TRUE,(Skills!K14/10)*(E1137/1000),Skills!K14/10)+Skills!N14</f>
        <v/>
      </c>
      <c r="G1137">
        <f>Calc!G14</f>
        <v/>
      </c>
      <c r="H1137">
        <f>Calc!H14</f>
        <v/>
      </c>
      <c r="I1137">
        <f>IF(Skills!T14&lt;&gt;"",1+(Skills!T14/10)*(Z1126/1000)/100,1)</f>
        <v/>
      </c>
      <c r="J1137" t="inlineStr"/>
      <c r="K1137" t="inlineStr"/>
      <c r="L1137" t="inlineStr"/>
      <c r="M1137" t="inlineStr"/>
      <c r="N1137" t="inlineStr"/>
      <c r="O1137">
        <f>(1-Summary!$B$11)*S1137+Summary!$B$11*U1137</f>
        <v/>
      </c>
      <c r="P1137">
        <f>IF(B1159=0,0,O1137/B1159)</f>
        <v/>
      </c>
      <c r="Q1137">
        <f>IFERROR(1/IF(Inputs!$B$38="pvp",15,MAX(0.1,Skills!D14-IF(Skills!E14=TRUE,Inputs!$B$32,0))),0)</f>
        <v/>
      </c>
      <c r="R1137" t="n">
        <v>0</v>
      </c>
      <c r="S1137" t="n">
        <v>0</v>
      </c>
      <c r="U1137" t="n">
        <v>0</v>
      </c>
    </row>
    <row r="1138">
      <c r="A1138">
        <f>Skills!A15</f>
        <v/>
      </c>
      <c r="B1138">
        <f>Skills!B15</f>
        <v/>
      </c>
      <c r="C1138">
        <f>Inputs!$B$3&gt;=75</f>
        <v/>
      </c>
      <c r="D1138">
        <f>IF(Skills!C15=1,60+Inputs!$B$25+Inputs!$B$29,IF(Skills!C15=2,90+Inputs!$B$26+Inputs!$B$29,IF(Skills!C15=3,120+Inputs!$B$27+Inputs!$B$29,MAX(0,(Inputs!$B$3-100)*3)+Inputs!$B$28+Inputs!$B$29)))</f>
        <v/>
      </c>
      <c r="E1138">
        <f>INDEX(FactorTable!$B$2:$Y$301, MATCH(ROUND(MIN(300,MAX(1,D1138)),0), FactorTable!$A$2:$A$301,0), Skills!L15+1)</f>
        <v/>
      </c>
      <c r="F1138">
        <f>IF(Skills!M15=TRUE,(Skills!K15/10)*(E1138/1000),Skills!K15/10)+Skills!N15</f>
        <v/>
      </c>
      <c r="G1138">
        <f>Calc!G15</f>
        <v/>
      </c>
      <c r="H1138">
        <f>Calc!H15</f>
        <v/>
      </c>
      <c r="I1138">
        <f>IF(Skills!T15&lt;&gt;"",1+(Skills!T15/10)*(Z1126/1000)/100,1)</f>
        <v/>
      </c>
      <c r="J1138" t="inlineStr"/>
      <c r="K1138" t="inlineStr"/>
      <c r="L1138" t="inlineStr"/>
      <c r="M1138" t="inlineStr"/>
      <c r="N1138" t="inlineStr"/>
      <c r="O1138">
        <f>(1-Summary!$B$11)*S1138+Summary!$B$11*U1138</f>
        <v/>
      </c>
      <c r="P1138">
        <f>IF(B1159=0,0,O1138/B1159)</f>
        <v/>
      </c>
      <c r="Q1138">
        <f>IFERROR(1/IF(Inputs!$B$38="pvp",15,MAX(0.1,Skills!D15-IF(Skills!E15=TRUE,Inputs!$B$32,0))),0)</f>
        <v/>
      </c>
      <c r="R1138" t="n">
        <v>0</v>
      </c>
      <c r="S1138" t="n">
        <v>0</v>
      </c>
      <c r="U1138" t="n">
        <v>0</v>
      </c>
    </row>
    <row r="1139">
      <c r="A1139">
        <f>Skills!A16</f>
        <v/>
      </c>
      <c r="B1139">
        <f>Skills!B16</f>
        <v/>
      </c>
      <c r="C1139">
        <f>Inputs!$B$3&gt;=110</f>
        <v/>
      </c>
      <c r="D1139">
        <f>IF(Skills!C16=1,60+Inputs!$B$25+Inputs!$B$29,IF(Skills!C16=2,90+Inputs!$B$26+Inputs!$B$29,IF(Skills!C16=3,120+Inputs!$B$27+Inputs!$B$29,MAX(0,(Inputs!$B$3-100)*3)+Inputs!$B$28+Inputs!$B$29)))</f>
        <v/>
      </c>
      <c r="E1139">
        <f>INDEX(FactorTable!$B$2:$Y$301, MATCH(ROUND(MIN(300,MAX(1,D1139)),0), FactorTable!$A$2:$A$301,0), Skills!L16+1)</f>
        <v/>
      </c>
      <c r="F1139">
        <f>(Skills!K16/10)*(E1139/1000)*64/45+Skills!N16</f>
        <v/>
      </c>
      <c r="G1139">
        <f>Calc!G16</f>
        <v/>
      </c>
      <c r="H1139">
        <f>Calc!H16</f>
        <v/>
      </c>
      <c r="I1139">
        <f>IF(Skills!T16&lt;&gt;"",1+(Skills!T16/10)*(Z1126/1000)/100,1)</f>
        <v/>
      </c>
      <c r="J1139" t="inlineStr"/>
      <c r="K1139" t="inlineStr"/>
      <c r="L1139" t="inlineStr"/>
      <c r="M1139" t="inlineStr"/>
      <c r="N1139" t="inlineStr"/>
      <c r="O1139">
        <f>(1-Summary!$B$11)*S1139+Summary!$B$11*U1139</f>
        <v/>
      </c>
      <c r="P1139">
        <f>IF(B1159=0,0,O1139/B1159)</f>
        <v/>
      </c>
      <c r="Q1139">
        <f>IFERROR(1/IF(Inputs!$B$38="pvp",15,MAX(0.1,Skills!D16-IF(Skills!E16=TRUE,Inputs!$B$32,0))),0)</f>
        <v/>
      </c>
      <c r="R1139">
        <f>IF(AND(Inputs!$B$38&lt;&gt;"pvp",Inputs!$B$43&gt;0),IF(Inputs!$B$43&lt;=0,0,(INT(Inputs!$B$43/IF(Inputs!$B$38="pvp",15,MAX(0.1,Skills!D16-IF(Skills!E16=TRUE,Inputs!$B$32,0))))+1)),0)</f>
        <v/>
      </c>
      <c r="S1139" t="n">
        <v>0</v>
      </c>
      <c r="U1139" t="n">
        <v>0</v>
      </c>
    </row>
    <row r="1140">
      <c r="A1140">
        <f>Skills!A17</f>
        <v/>
      </c>
      <c r="B1140">
        <f>Skills!B17</f>
        <v/>
      </c>
      <c r="C1140">
        <f>Inputs!$B$3&gt;=33</f>
        <v/>
      </c>
      <c r="D1140">
        <f>IF(Skills!C17=1,60+Inputs!$B$25+Inputs!$B$29,IF(Skills!C17=2,90+Inputs!$B$26+Inputs!$B$29,IF(Skills!C17=3,120+Inputs!$B$27+Inputs!$B$29,MAX(0,(Inputs!$B$3-100)*3)+Inputs!$B$28+Inputs!$B$29)))</f>
        <v/>
      </c>
      <c r="E1140">
        <f>INDEX(FactorTable!$B$2:$Y$301, MATCH(ROUND(MIN(300,MAX(1,D1140)),0), FactorTable!$A$2:$A$301,0), Skills!L17+1)</f>
        <v/>
      </c>
      <c r="F1140">
        <f>IF(Skills!M17=TRUE,(Skills!K17/10)*(E1140/1000),Skills!K17/10)+Skills!N17</f>
        <v/>
      </c>
      <c r="G1140">
        <f>Calc!G17</f>
        <v/>
      </c>
      <c r="H1140">
        <f>Calc!H17</f>
        <v/>
      </c>
      <c r="I1140">
        <f>IF(Skills!T17&lt;&gt;"",1+(Skills!T17/10)*(Z1126/1000)/100,1)</f>
        <v/>
      </c>
      <c r="J1140" t="inlineStr"/>
      <c r="K1140" t="inlineStr"/>
      <c r="L1140" t="inlineStr"/>
      <c r="M1140" t="inlineStr"/>
      <c r="N1140" t="inlineStr"/>
      <c r="O1140">
        <f>(1-Summary!$B$11)*S1140+Summary!$B$11*U1140</f>
        <v/>
      </c>
      <c r="P1140">
        <f>IF(B1159=0,0,O1140/B1159)</f>
        <v/>
      </c>
      <c r="Q1140">
        <f>IFERROR(1/IF(Inputs!$B$38="pvp",15,MAX(0.1,Skills!D17-IF(Skills!E17=TRUE,Inputs!$B$32,0))),0)</f>
        <v/>
      </c>
      <c r="R1140" t="n">
        <v>0</v>
      </c>
      <c r="S1140" t="n">
        <v>0</v>
      </c>
      <c r="U1140" t="n">
        <v>0</v>
      </c>
    </row>
    <row r="1141">
      <c r="A1141">
        <f>Skills!A18</f>
        <v/>
      </c>
      <c r="B1141">
        <f>Skills!B18</f>
        <v/>
      </c>
      <c r="C1141">
        <f>Inputs!$B$3&gt;=43</f>
        <v/>
      </c>
      <c r="D1141">
        <f>IF(Skills!C18=1,60+Inputs!$B$25+Inputs!$B$29,IF(Skills!C18=2,90+Inputs!$B$26+Inputs!$B$29,IF(Skills!C18=3,120+Inputs!$B$27+Inputs!$B$29,MAX(0,(Inputs!$B$3-100)*3)+Inputs!$B$28+Inputs!$B$29)))</f>
        <v/>
      </c>
      <c r="E1141">
        <f>INDEX(FactorTable!$B$2:$Y$301, MATCH(ROUND(MIN(300,MAX(1,D1141)),0), FactorTable!$A$2:$A$301,0), Skills!L18+1)</f>
        <v/>
      </c>
      <c r="F1141">
        <f>IF(Skills!M18=TRUE,(Skills!K18/10)*(E1141/1000),Skills!K18/10)+Skills!N18</f>
        <v/>
      </c>
      <c r="G1141">
        <f>Calc!G18</f>
        <v/>
      </c>
      <c r="H1141">
        <f>Calc!H18</f>
        <v/>
      </c>
      <c r="I1141">
        <f>IF(Skills!T18&lt;&gt;"",1+(Skills!T18/10)*(Z1126/1000)/100,1)</f>
        <v/>
      </c>
      <c r="J1141" t="inlineStr"/>
      <c r="K1141" t="inlineStr"/>
      <c r="L1141" t="inlineStr"/>
      <c r="M1141" t="inlineStr"/>
      <c r="N1141" t="inlineStr"/>
      <c r="O1141">
        <f>(1-Summary!$B$11)*S1141+Summary!$B$11*U1141</f>
        <v/>
      </c>
      <c r="P1141">
        <f>IF(B1159=0,0,O1141/B1159)</f>
        <v/>
      </c>
      <c r="Q1141">
        <f>IFERROR(1/IF(Inputs!$B$38="pvp",15,MAX(0.1,Skills!D18-IF(Skills!E18=TRUE,Inputs!$B$32,0))),0)</f>
        <v/>
      </c>
      <c r="R1141" t="n">
        <v>0</v>
      </c>
      <c r="S1141" t="n">
        <v>0</v>
      </c>
      <c r="U1141" t="n">
        <v>0</v>
      </c>
    </row>
    <row r="1142">
      <c r="A1142">
        <f>Skills!A19</f>
        <v/>
      </c>
      <c r="B1142">
        <f>Skills!B19</f>
        <v/>
      </c>
      <c r="C1142">
        <f>Inputs!$B$3&gt;=50</f>
        <v/>
      </c>
      <c r="D1142">
        <f>IF(Skills!C19=1,60+Inputs!$B$25+Inputs!$B$29,IF(Skills!C19=2,90+Inputs!$B$26+Inputs!$B$29,IF(Skills!C19=3,120+Inputs!$B$27+Inputs!$B$29,MAX(0,(Inputs!$B$3-100)*3)+Inputs!$B$28+Inputs!$B$29)))</f>
        <v/>
      </c>
      <c r="E1142">
        <f>INDEX(FactorTable!$B$2:$Y$301, MATCH(ROUND(MIN(300,MAX(1,D1142)),0), FactorTable!$A$2:$A$301,0), Skills!L19+1)</f>
        <v/>
      </c>
      <c r="F1142">
        <f>IF(Skills!M19=TRUE,(Skills!K19/10)*(E1142/1000),Skills!K19/10)+Skills!N19</f>
        <v/>
      </c>
      <c r="G1142">
        <f>Calc!G19</f>
        <v/>
      </c>
      <c r="H1142">
        <f>Calc!H19</f>
        <v/>
      </c>
      <c r="I1142">
        <f>IF(Skills!T19&lt;&gt;"",1+(Skills!T19/10)*(Z1126/1000)/100,1)</f>
        <v/>
      </c>
      <c r="J1142" t="inlineStr"/>
      <c r="K1142" t="inlineStr"/>
      <c r="L1142" t="inlineStr"/>
      <c r="M1142" t="inlineStr"/>
      <c r="N1142" t="inlineStr"/>
      <c r="O1142">
        <f>(1-Summary!$B$11)*S1142+Summary!$B$11*U1142</f>
        <v/>
      </c>
      <c r="P1142">
        <f>IF(B1159=0,0,O1142/B1159)</f>
        <v/>
      </c>
      <c r="Q1142">
        <f>IFERROR(1/IF(Inputs!$B$38="pvp",15,MAX(0.1,Skills!D19-IF(Skills!E19=TRUE,Inputs!$B$32,0))),0)</f>
        <v/>
      </c>
      <c r="R1142" t="n">
        <v>0</v>
      </c>
      <c r="S1142" t="n">
        <v>0</v>
      </c>
      <c r="U1142" t="n">
        <v>0</v>
      </c>
    </row>
    <row r="1143">
      <c r="A1143">
        <f>Skills!A20</f>
        <v/>
      </c>
      <c r="B1143">
        <f>Skills!B20</f>
        <v/>
      </c>
      <c r="C1143">
        <f>Inputs!$B$3&gt;=74</f>
        <v/>
      </c>
      <c r="D1143">
        <f>IF(Skills!C20=1,60+Inputs!$B$25+Inputs!$B$29,IF(Skills!C20=2,90+Inputs!$B$26+Inputs!$B$29,IF(Skills!C20=3,120+Inputs!$B$27+Inputs!$B$29,MAX(0,(Inputs!$B$3-100)*3)+Inputs!$B$28+Inputs!$B$29)))</f>
        <v/>
      </c>
      <c r="E1143">
        <f>INDEX(FactorTable!$B$2:$Y$301, MATCH(ROUND(MIN(300,MAX(1,D1143)),0), FactorTable!$A$2:$A$301,0), Skills!L20+1)</f>
        <v/>
      </c>
      <c r="F1143">
        <f>IF(Skills!M20=TRUE,(Skills!K20/10)*(E1143/1000),Skills!K20/10)+Skills!N20</f>
        <v/>
      </c>
      <c r="G1143">
        <f>Calc!G20</f>
        <v/>
      </c>
      <c r="H1143">
        <f>Calc!H20</f>
        <v/>
      </c>
      <c r="I1143">
        <f>IF(Skills!T20&lt;&gt;"",1+(Skills!T20/10)*(Z1126/1000)/100,1)</f>
        <v/>
      </c>
      <c r="J1143" t="inlineStr"/>
      <c r="K1143" t="inlineStr"/>
      <c r="L1143" t="inlineStr"/>
      <c r="M1143" t="inlineStr"/>
      <c r="N1143" t="inlineStr"/>
      <c r="O1143">
        <f>(1-Summary!$B$11)*S1143+Summary!$B$11*U1143</f>
        <v/>
      </c>
      <c r="P1143">
        <f>IF(B1159=0,0,O1143/B1159)</f>
        <v/>
      </c>
      <c r="Q1143">
        <f>IFERROR(1/IF(Inputs!$B$38="pvp",15,MAX(0.1,Skills!D20-IF(Skills!E20=TRUE,Inputs!$B$32,0))),0)</f>
        <v/>
      </c>
      <c r="R1143" t="n">
        <v>0</v>
      </c>
      <c r="S1143" t="n">
        <v>0</v>
      </c>
      <c r="U1143" t="n">
        <v>0</v>
      </c>
    </row>
    <row r="1144">
      <c r="A1144">
        <f>Skills!A21</f>
        <v/>
      </c>
      <c r="B1144">
        <f>Skills!B21</f>
        <v/>
      </c>
      <c r="C1144">
        <f>Inputs!$B$3&gt;=74</f>
        <v/>
      </c>
      <c r="D1144">
        <f>IF(Skills!C21=1,60+Inputs!$B$25+Inputs!$B$29,IF(Skills!C21=2,90+Inputs!$B$26+Inputs!$B$29,IF(Skills!C21=3,120+Inputs!$B$27+Inputs!$B$29,MAX(0,(Inputs!$B$3-100)*3)+Inputs!$B$28+Inputs!$B$29)))</f>
        <v/>
      </c>
      <c r="E1144">
        <f>INDEX(FactorTable!$B$2:$Y$301, MATCH(ROUND(MIN(300,MAX(1,D1144)),0), FactorTable!$A$2:$A$301,0), Skills!L21+1)</f>
        <v/>
      </c>
      <c r="F1144">
        <f>IF(Skills!M21=TRUE,(Skills!K21/10)*(E1144/1000),Skills!K21/10)+Skills!N21</f>
        <v/>
      </c>
      <c r="G1144">
        <f>Calc!G21</f>
        <v/>
      </c>
      <c r="H1144">
        <f>Calc!H21</f>
        <v/>
      </c>
      <c r="I1144">
        <f>IF(Skills!T21&lt;&gt;"",1+(Skills!T21/10)*(Z1126/1000)/100,1)</f>
        <v/>
      </c>
      <c r="J1144" t="inlineStr"/>
      <c r="K1144" t="inlineStr"/>
      <c r="L1144" t="inlineStr"/>
      <c r="M1144" t="inlineStr"/>
      <c r="N1144" t="inlineStr"/>
      <c r="O1144">
        <f>(1-Summary!$B$11)*S1144+Summary!$B$11*U1144</f>
        <v/>
      </c>
      <c r="P1144">
        <f>IF(B1159=0,0,O1144/B1159)</f>
        <v/>
      </c>
      <c r="Q1144">
        <f>IFERROR(1/IF(Inputs!$B$38="pvp",15,MAX(0.1,Skills!D21-IF(Skills!E21=TRUE,Inputs!$B$32,0))),0)</f>
        <v/>
      </c>
      <c r="R1144" t="n">
        <v>0</v>
      </c>
      <c r="S1144" t="n">
        <v>0</v>
      </c>
      <c r="U1144" t="n">
        <v>0</v>
      </c>
    </row>
    <row r="1145">
      <c r="A1145">
        <f>Skills!A22</f>
        <v/>
      </c>
      <c r="B1145">
        <f>Skills!B22</f>
        <v/>
      </c>
      <c r="C1145">
        <f>Inputs!$B$3&gt;=117</f>
        <v/>
      </c>
      <c r="D1145">
        <f>IF(Skills!C22=1,60+Inputs!$B$25+Inputs!$B$29,IF(Skills!C22=2,90+Inputs!$B$26+Inputs!$B$29,IF(Skills!C22=3,120+Inputs!$B$27+Inputs!$B$29,MAX(0,(Inputs!$B$3-100)*3)+Inputs!$B$28+Inputs!$B$29)))</f>
        <v/>
      </c>
      <c r="E1145">
        <f>INDEX(FactorTable!$B$2:$Y$301, MATCH(ROUND(MIN(300,MAX(1,D1145)),0), FactorTable!$A$2:$A$301,0), Skills!L22+1)</f>
        <v/>
      </c>
      <c r="F1145">
        <f>IF(Skills!M22=TRUE,(Skills!K22/10)*(E1145/1000),Skills!K22/10)+Skills!N22</f>
        <v/>
      </c>
      <c r="G1145">
        <f>Calc!G22</f>
        <v/>
      </c>
      <c r="H1145">
        <f>Calc!H22</f>
        <v/>
      </c>
      <c r="I1145">
        <f>IF(Skills!T22&lt;&gt;"",1+(Skills!T22/10)*(Z1126/1000)/100,1)</f>
        <v/>
      </c>
      <c r="J1145" t="inlineStr"/>
      <c r="K1145" t="inlineStr"/>
      <c r="L1145" t="inlineStr"/>
      <c r="M1145" t="inlineStr"/>
      <c r="N1145" t="inlineStr"/>
      <c r="O1145">
        <f>(1-Summary!$B$11)*S1145+Summary!$B$11*U1145</f>
        <v/>
      </c>
      <c r="P1145">
        <f>IF(B1159=0,0,O1145/B1159)</f>
        <v/>
      </c>
      <c r="Q1145">
        <f>IFERROR(1/IF(Inputs!$B$38="pvp",15,MAX(0.1,Skills!D22-IF(Skills!E22=TRUE,Inputs!$B$32,0))),0)</f>
        <v/>
      </c>
      <c r="R1145" t="n">
        <v>0</v>
      </c>
      <c r="S1145" t="n">
        <v>0</v>
      </c>
      <c r="U1145" t="n">
        <v>0</v>
      </c>
    </row>
    <row r="1146">
      <c r="A1146">
        <f>Skills!A23</f>
        <v/>
      </c>
      <c r="B1146">
        <f>Skills!B23</f>
        <v/>
      </c>
      <c r="C1146">
        <f>Inputs!$B$3&gt;=120</f>
        <v/>
      </c>
      <c r="D1146">
        <f>IF(Skills!C23=1,60+Inputs!$B$25+Inputs!$B$29,IF(Skills!C23=2,90+Inputs!$B$26+Inputs!$B$29,IF(Skills!C23=3,120+Inputs!$B$27+Inputs!$B$29,MAX(0,(Inputs!$B$3-100)*3)+Inputs!$B$28+Inputs!$B$29)))</f>
        <v/>
      </c>
      <c r="E1146">
        <f>INDEX(FactorTable!$B$2:$Y$301, MATCH(ROUND(MIN(300,MAX(1,D1146)),0), FactorTable!$A$2:$A$301,0), Skills!L23+1)</f>
        <v/>
      </c>
      <c r="F1146">
        <f>IF(Skills!M23=TRUE,(Skills!K23/10)*(E1146/1000),Skills!K23/10)+Skills!N23</f>
        <v/>
      </c>
      <c r="G1146">
        <f>Calc!G23</f>
        <v/>
      </c>
      <c r="H1146">
        <f>Calc!H23</f>
        <v/>
      </c>
      <c r="I1146">
        <f>IF(Skills!T23&lt;&gt;"",1+(Skills!T23/10)*(Z1126/1000)/100,1)</f>
        <v/>
      </c>
      <c r="J1146" t="inlineStr"/>
      <c r="K1146" t="inlineStr"/>
      <c r="L1146" t="inlineStr"/>
      <c r="M1146" t="inlineStr"/>
      <c r="N1146" t="inlineStr"/>
      <c r="O1146">
        <f>(1-Summary!$B$11)*S1146+Summary!$B$11*U1146</f>
        <v/>
      </c>
      <c r="P1146">
        <f>IF(B1159=0,0,O1146/B1159)</f>
        <v/>
      </c>
      <c r="Q1146">
        <f>IFERROR(1/IF(Inputs!$B$38="pvp",15,MAX(0.1,Skills!D23-IF(Skills!E23=TRUE,Inputs!$B$32,0))),0)</f>
        <v/>
      </c>
      <c r="R1146" t="n">
        <v>0</v>
      </c>
      <c r="S1146" t="n">
        <v>0</v>
      </c>
      <c r="U1146" t="n">
        <v>0</v>
      </c>
    </row>
    <row r="1149">
      <c r="A1149" t="inlineStr">
        <is>
          <t>Average Buff Multiplier (Magic Guard + Meditation + Artifact Attack%, summed; then Infinity)</t>
        </is>
      </c>
      <c r="B1149">
        <f>(1+(IF(C1126=TRUE,F1126*IF(AND(Inputs!$B$38&lt;&gt;"pvp",Inputs!$B$43&gt;0),(((R1126-1)*(Skills!S3*(1+(Inputs!$B$34+IF(Inputs!$B$3&gt;=117,F1145,0))/100))+MIN((Skills!S3*(1+(Inputs!$B$34+IF(Inputs!$B$3&gt;=117,F1145,0))/100)),MAX(0,Inputs!$B$43-((R1126-1)*Skills!D3))))/Inputs!$B$43),IF(Inputs!$B$38="pvp",MIN((Skills!S3*(1+(Inputs!$B$34+IF(Inputs!$B$3&gt;=117,F1145,0))/100)),15)/15,(Skills!S3*(1+(Inputs!$B$34+IF(Inputs!$B$3&gt;=117,F1145,0))/100))/Skills!D3)),0)+IF(C1127=TRUE,F1127*IF(AND(Inputs!$B$38&lt;&gt;"pvp",Inputs!$B$43&gt;0),(((R1127-1)*(Skills!S4*(1+(Inputs!$B$34+IF(Inputs!$B$3&gt;=117,F1145,0))/100))+MIN((Skills!S4*(1+(Inputs!$B$34+IF(Inputs!$B$3&gt;=117,F1145,0))/100)),MAX(0,Inputs!$B$43-((R1127-1)*Skills!D4))))/Inputs!$B$43),IF(Inputs!$B$38="pvp",MIN((Skills!S4*(1+(Inputs!$B$34+IF(Inputs!$B$3&gt;=117,F1145,0))/100)),15)/15,(Skills!S4*(1+(Inputs!$B$34+IF(Inputs!$B$3&gt;=117,F1145,0)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1139=TRUE,(1+F1139*IF(AND(Inputs!$B$38&lt;&gt;"pvp",Inputs!$B$43&gt;0),(((R1139-1)*(Skills!S16*(1+(Inputs!$B$34+IF(Inputs!$B$3&gt;=117,F1145,0))/100))+MIN((Skills!S16*(1+(Inputs!$B$34+IF(Inputs!$B$3&gt;=117,F1145,0))/100)),MAX(0,Inputs!$B$43-((R1139-1)*Skills!D16))))/Inputs!$B$43),IF(Inputs!$B$38="pvp",MIN((Skills!S16*(1+(Inputs!$B$34+IF(Inputs!$B$3&gt;=117,F1145,0))/100)),15)/15,(Skills!S16*(1+(Inputs!$B$34+IF(Inputs!$B$3&gt;=117,F1145,0))/100))/Skills!D16))/100),1)</f>
        <v/>
      </c>
    </row>
    <row r="1150">
      <c r="A1150" t="inlineStr">
        <is>
          <t>Monster Damage Taken Bonus % (Freezing Breath - Weaken + Elemental Reset + Artifact Enemy Damage Taken, summed)</t>
        </is>
      </c>
      <c r="B1150">
        <f>IF(Inputs!$B$3&gt;=118,15*IF(Inputs!$B$38="pvp",MIN((30*(1+(Inputs!$B$34+IF(Inputs!$B$3&gt;=117,F1145,0))/100)),15)/15,(30*(1+(Inputs!$B$34+IF(Inputs!$B$3&gt;=117,F1145,0))/100))/Skills!D8),0)+IF(C1137=TRUE,F1137,0)+(IF(AND(ArtifactsInput!$M$35,Inputs!$B$4&lt;&gt;"Chapter Hunt"),CHOOSE(ArtifactsInput!$N$35+1,15,18,21,24,27,30)*(1-EXP(-(0.2*B1153)*5)),0)+IF(AND(ArtifactsInput!$M$22,Inputs!$B$4&lt;&gt;"Chapter Hunt"),CHOOSE(ArtifactsInput!$N$22+1,10,12,14,16,18,20)*((0*(((0.15*B1153*5))^0/1)+1*(((0.15*B1153*5))^1/1)+2*(((0.15*B1153*5))^2/2)+3*(((0.15*B1153*5))^3/6)+4*(((0.15*B1153*5))^4/24)+5*(((0.15*B1153*5))^5/120))/((((0.15*B1153*5))^0/1)+(((0.15*B1153*5))^1/1)+(((0.15*B1153*5))^2/2)+(((0.15*B1153*5))^3/6)+(((0.15*B1153*5))^4/24)+(((0.15*B1153*5))^5/120))),0))</f>
        <v/>
      </c>
    </row>
    <row r="1151">
      <c r="A1151" t="inlineStr">
        <is>
          <t>Damage % Bonus (Frozen Break + Frost Clutch, flat)</t>
        </is>
      </c>
      <c r="B1151">
        <f>IF(Inputs!$B$3&gt;=66,15,0)+IF(Inputs!$B$3&gt;=98,10,0)+IF(Inputs!$B$3&gt;=125,20,0)</f>
        <v/>
      </c>
    </row>
    <row r="1152">
      <c r="A1152" t="inlineStr">
        <is>
          <t>Attack Speed Bonus % (MP Eater - MP Boost, always-on once unlocked)</t>
        </is>
      </c>
      <c r="B1152">
        <f>IF(C1136=TRUE,F1136+(F1140-Calc!F17),0)</f>
        <v/>
      </c>
    </row>
    <row r="1153">
      <c r="A1153" t="inlineStr">
        <is>
          <t>Actions Per Second</t>
        </is>
      </c>
      <c r="B1153">
        <f>1+MIN(150,150*(1-(1-(Inputs!$B$11+(ArtifactsInput!$M$15-ArtifactsInput!$M$15)*CHOOSE(ArtifactsInput!$N$15+1,8,9.6,11.2,12.8,14.4,16))/150)*(1-B1152/150)))/100</f>
        <v/>
      </c>
    </row>
    <row r="1154">
      <c r="A1154" t="inlineStr">
        <is>
          <t>Skill + Buff Cast Rate</t>
        </is>
      </c>
      <c r="B1154">
        <f>IF(AND(Inputs!$B$38&lt;&gt;"pvp",Inputs!$B$43&gt;0),SUMPRODUCT((Skills!E2:E23=TRUE)*(C1125:C1146=TRUE)*R1125:R1146)/Inputs!$B$43,SUMPRODUCT((Skills!E2:E23=TRUE)*(C1125:C1146=TRUE)*Q1125:Q1146))</f>
        <v/>
      </c>
    </row>
    <row r="1155">
      <c r="A1155" t="inlineStr">
        <is>
          <t>Chain Lightning Casts Per Second</t>
        </is>
      </c>
      <c r="B1155">
        <f>MAX(0,B1153-B1154)</f>
        <v/>
      </c>
    </row>
    <row r="1156">
      <c r="A1156" t="inlineStr">
        <is>
          <t>Buff-Casting Startup Delay (s, fixed-duration only)</t>
        </is>
      </c>
      <c r="B1156">
        <f>IF(AND(Inputs!$B$38&lt;&gt;"pvp",Inputs!$B$43&gt;0),SUMPRODUCT((Skills!S2:S23&gt;0)*(Skills!E2:E23=TRUE)*(C1125:C1146=TRUE))/B1153,0)</f>
        <v/>
      </c>
    </row>
    <row r="1157">
      <c r="A1157" t="inlineStr">
        <is>
          <t>Boss-Only Total DPS (this block's swept value)</t>
        </is>
      </c>
      <c r="B1157">
        <f>SUM(S1125:S1146)</f>
        <v/>
      </c>
    </row>
    <row r="1158">
      <c r="A1158" t="inlineStr">
        <is>
          <t>Normal-Only Total DPS (this block's swept value)</t>
        </is>
      </c>
      <c r="B1158">
        <f>SUM(U1125:U1146)</f>
        <v/>
      </c>
    </row>
    <row r="1159">
      <c r="A1159" s="6" t="inlineStr">
        <is>
          <t>TOTAL DPS</t>
        </is>
      </c>
      <c r="B1159" s="6">
        <f>SUM(O1125:O1146)</f>
        <v/>
      </c>
    </row>
    <row r="1162">
      <c r="A1162" s="6" t="inlineStr">
        <is>
          <t>Stat: The Contract of Darkness (Equip)</t>
        </is>
      </c>
    </row>
    <row r="1163">
      <c r="A1163" s="5" t="inlineStr">
        <is>
          <t>Key</t>
        </is>
      </c>
      <c r="B1163" s="5" t="inlineStr">
        <is>
          <t>Name</t>
        </is>
      </c>
      <c r="C1163" s="5" t="inlineStr">
        <is>
          <t>Unlocked</t>
        </is>
      </c>
      <c r="D1163" s="5" t="inlineStr">
        <is>
          <t>InputLevel</t>
        </is>
      </c>
      <c r="E1163" s="5" t="inlineStr">
        <is>
          <t>Factor</t>
        </is>
      </c>
      <c r="F1163" s="5" t="inlineStr">
        <is>
          <t>CoefficientPercent</t>
        </is>
      </c>
      <c r="G1163" s="5" t="inlineStr">
        <is>
          <t>EffectiveHits</t>
        </is>
      </c>
      <c r="H1163" s="5" t="inlineStr">
        <is>
          <t>ProcProbability</t>
        </is>
      </c>
      <c r="I1163" s="5" t="inlineStr">
        <is>
          <t>MapleHeroMultiplier</t>
        </is>
      </c>
      <c r="J1163" s="5" t="inlineStr">
        <is>
          <t>BaseDamage</t>
        </is>
      </c>
      <c r="K1163" s="5" t="inlineStr">
        <is>
          <t>BaseHitDamage</t>
        </is>
      </c>
      <c r="L1163" s="5" t="inlineStr">
        <is>
          <t>NonCritAvg</t>
        </is>
      </c>
      <c r="M1163" s="5" t="inlineStr">
        <is>
          <t>CritAvg</t>
        </is>
      </c>
      <c r="N1163" s="5" t="inlineStr">
        <is>
          <t>ExpectedDamage(perHit)</t>
        </is>
      </c>
      <c r="O1163" s="5" t="inlineStr">
        <is>
          <t>DPS</t>
        </is>
      </c>
      <c r="P1163" s="5" t="inlineStr">
        <is>
          <t>% of Total</t>
        </is>
      </c>
      <c r="R1163" t="inlineStr">
        <is>
          <t>helpers</t>
        </is>
      </c>
    </row>
    <row r="1164">
      <c r="A1164">
        <f>Skills!A2</f>
        <v/>
      </c>
      <c r="B1164">
        <f>Skills!B2</f>
        <v/>
      </c>
      <c r="C1164">
        <f>Inputs!$B$3&gt;=100</f>
        <v/>
      </c>
      <c r="D1164" t="inlineStr"/>
      <c r="E1164" t="inlineStr"/>
      <c r="F1164">
        <f>T1166+Skills!N2</f>
        <v/>
      </c>
      <c r="G1164">
        <f>Calc!G2</f>
        <v/>
      </c>
      <c r="H1164">
        <f>Calc!H2</f>
        <v/>
      </c>
      <c r="I1164">
        <f>IF(Skills!T2&lt;&gt;"",1+(Skills!T2/10)*(Z1165/1000)/100,1)</f>
        <v/>
      </c>
      <c r="J1164">
        <f>((Inputs!$B$6*(1+Inputs!$B$7/100))+(((Inputs!$B$12*(1+Inputs!$B$13/100))-(Inputs!$B$12*(1+Inputs!$B$13/100)))+0.25*(Inputs!$B$14-Inputs!$B$14))*(1+Inputs!$B$7/100))*(F1164/100)</f>
        <v/>
      </c>
      <c r="K1164">
        <f>J1164*(1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1164)</f>
        <v/>
      </c>
      <c r="L1164">
        <f>K1164*(MIN(Inputs!$B$22+(F1180-Calc!F18),(Inputs!$B$23+(IF(ArtifactsInput!$M$15,CHOOSE(ArtifactsInput!$N$15+1,25,30,35,40,45,50)/100*(Inputs!$B$11-Inputs!$B$11),0))))/100+(Inputs!$B$23+(IF(ArtifactsInput!$M$15,CHOOSE(ArtifactsInput!$N$15+1,25,30,35,40,45,50)/100*(Inputs!$B$11-Inputs!$B$11),0)))/100)/2</f>
        <v/>
      </c>
      <c r="M1164">
        <f>L1164*(1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4">
        <f>L1164*(1-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1164*(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4">
        <f>(1-Summary!$B$11)*S1164+Summary!$B$11*U1164</f>
        <v/>
      </c>
      <c r="P1164">
        <f>IF(B1198=0,0,O1164/B1198)</f>
        <v/>
      </c>
      <c r="Q1164">
        <f>IFERROR(1/IF(Inputs!$B$38="pvp",15,MAX(0.1,Skills!D2-IF(Skills!E2=TRUE,Inputs!$B$32,0))),0)</f>
        <v/>
      </c>
      <c r="R1164" t="n">
        <v>0</v>
      </c>
      <c r="S1164">
        <f>IF(C1164,(Skills!F2*N1164*B1194)*IF(Inputs!$B$38="pvp",1,1+(Inputs!$B$20+Skills!O2+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64">
        <f>MAX(0,(Inputs!$B$3-100)*3)+Inputs!$B$28+Inputs!$B$29</f>
        <v/>
      </c>
      <c r="U1164">
        <f>IF(C1164,(Skills!F2*N1164*B1194)*IF(Inputs!$B$38="pvp",1,(1+(Inputs!$B$21+Skills!P2+B1189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64">
        <f>MAX(0,(Inputs!$B$3-100)*3)+Inputs!$B$28+Inputs!$B$29</f>
        <v/>
      </c>
    </row>
    <row r="1165">
      <c r="A1165">
        <f>Skills!A3</f>
        <v/>
      </c>
      <c r="B1165">
        <f>Skills!B3</f>
        <v/>
      </c>
      <c r="C1165">
        <f>Inputs!$B$3&gt;=15</f>
        <v/>
      </c>
      <c r="D1165">
        <f>IF(Skills!C3=1,60+Inputs!$B$25+Inputs!$B$29,IF(Skills!C3=2,90+Inputs!$B$26+Inputs!$B$29,IF(Skills!C3=3,120+Inputs!$B$27+Inputs!$B$29,MAX(0,(Inputs!$B$3-100)*3)+Inputs!$B$28+Inputs!$B$29)))</f>
        <v/>
      </c>
      <c r="E1165">
        <f>INDEX(FactorTable!$B$2:$Y$301, MATCH(ROUND(MIN(300,MAX(1,D1165)),0), FactorTable!$A$2:$A$301,0), Skills!L3+1)</f>
        <v/>
      </c>
      <c r="F1165">
        <f>IF(Skills!M3=TRUE,(Skills!K3/10)*(E1165/1000),Skills!K3/10)+Skills!N3</f>
        <v/>
      </c>
      <c r="G1165">
        <f>Calc!G3</f>
        <v/>
      </c>
      <c r="H1165">
        <f>Calc!H3</f>
        <v/>
      </c>
      <c r="I1165">
        <f>IF(Skills!T3&lt;&gt;"",1+(Skills!T3/10)*(Z1165/1000)/100,1)</f>
        <v/>
      </c>
      <c r="J1165" t="inlineStr"/>
      <c r="K1165" t="inlineStr"/>
      <c r="L1165" t="inlineStr"/>
      <c r="M1165" t="inlineStr"/>
      <c r="N1165" t="inlineStr"/>
      <c r="O1165">
        <f>(1-Summary!$B$11)*S1165+Summary!$B$11*U1165</f>
        <v/>
      </c>
      <c r="P1165">
        <f>IF(B1198=0,0,O1165/B1198)</f>
        <v/>
      </c>
      <c r="Q1165">
        <f>IFERROR(1/IF(Inputs!$B$38="pvp",15,MAX(0.1,Skills!D3-IF(Skills!E3=TRUE,Inputs!$B$32,0))),0)</f>
        <v/>
      </c>
      <c r="R1165">
        <f>IF(AND(Inputs!$B$38&lt;&gt;"pvp",Inputs!$B$43&gt;0),IF(Inputs!$B$43&lt;=0,0,(INT(Inputs!$B$43/IF(Inputs!$B$38="pvp",15,MAX(0.1,Skills!D3-IF(Skills!E3=TRUE,Inputs!$B$32,0))))+1)),0)</f>
        <v/>
      </c>
      <c r="S1165" t="n">
        <v>0</v>
      </c>
      <c r="T1165">
        <f>INDEX(FactorTable!$B$2:$Y$301, MATCH(ROUND(MIN(300,MAX(1,T1164)),0), FactorTable!$A$2:$A$301,0), 22)</f>
        <v/>
      </c>
      <c r="U1165" t="n">
        <v>0</v>
      </c>
      <c r="Z1165">
        <f>INDEX(FactorTable!$B$2:$Y$301, MATCH(ROUND(MIN(300,MAX(1,Z1164)),0), FactorTable!$A$2:$A$301,0), 24)</f>
        <v/>
      </c>
    </row>
    <row r="1166">
      <c r="A1166">
        <f>Skills!A4</f>
        <v/>
      </c>
      <c r="B1166">
        <f>Skills!B4</f>
        <v/>
      </c>
      <c r="C1166">
        <f>Inputs!$B$3&gt;=40</f>
        <v/>
      </c>
      <c r="D1166">
        <f>IF(Skills!C4=1,60+Inputs!$B$25+Inputs!$B$29,IF(Skills!C4=2,90+Inputs!$B$26+Inputs!$B$29,IF(Skills!C4=3,120+Inputs!$B$27+Inputs!$B$29,MAX(0,(Inputs!$B$3-100)*3)+Inputs!$B$28+Inputs!$B$29)))</f>
        <v/>
      </c>
      <c r="E1166">
        <f>INDEX(FactorTable!$B$2:$Y$301, MATCH(ROUND(MIN(300,MAX(1,D1166)),0), FactorTable!$A$2:$A$301,0), Skills!L4+1)</f>
        <v/>
      </c>
      <c r="F1166">
        <f>IF(Skills!M4=TRUE,(Skills!K4/10)*(E1166/1000),Skills!K4/10)+Skills!N4</f>
        <v/>
      </c>
      <c r="G1166">
        <f>Calc!G4</f>
        <v/>
      </c>
      <c r="H1166">
        <f>Calc!H4</f>
        <v/>
      </c>
      <c r="I1166">
        <f>IF(Skills!T4&lt;&gt;"",1+(Skills!T4/10)*(Z1165/1000)/100,1)</f>
        <v/>
      </c>
      <c r="J1166" t="inlineStr"/>
      <c r="K1166" t="inlineStr"/>
      <c r="L1166" t="inlineStr"/>
      <c r="M1166" t="inlineStr"/>
      <c r="N1166" t="inlineStr"/>
      <c r="O1166">
        <f>(1-Summary!$B$11)*S1166+Summary!$B$11*U1166</f>
        <v/>
      </c>
      <c r="P1166">
        <f>IF(B1198=0,0,O1166/B1198)</f>
        <v/>
      </c>
      <c r="Q1166">
        <f>IFERROR(1/IF(Inputs!$B$38="pvp",15,MAX(0.1,Skills!D4-IF(Skills!E4=TRUE,Inputs!$B$32,0))),0)</f>
        <v/>
      </c>
      <c r="R1166">
        <f>IF(AND(Inputs!$B$38&lt;&gt;"pvp",Inputs!$B$43&gt;0),IF(Inputs!$B$43&lt;=0,0,(INT(Inputs!$B$43/IF(Inputs!$B$38="pvp",15,MAX(0.1,Skills!D4-IF(Skills!E4=TRUE,Inputs!$B$32,0))))+1)),0)</f>
        <v/>
      </c>
      <c r="S1166" t="n">
        <v>0</v>
      </c>
      <c r="T1166">
        <f>290*T1165/1000</f>
        <v/>
      </c>
      <c r="U1166" t="n">
        <v>0</v>
      </c>
    </row>
    <row r="1167">
      <c r="A1167">
        <f>Skills!A5</f>
        <v/>
      </c>
      <c r="B1167">
        <f>Skills!B5</f>
        <v/>
      </c>
      <c r="C1167">
        <f>Inputs!$B$3&gt;=38</f>
        <v/>
      </c>
      <c r="D1167">
        <f>IF(Skills!C5=1,60+Inputs!$B$25+Inputs!$B$29,IF(Skills!C5=2,90+Inputs!$B$26+Inputs!$B$29,IF(Skills!C5=3,120+Inputs!$B$27+Inputs!$B$29,MAX(0,(Inputs!$B$3-100)*3)+Inputs!$B$28+Inputs!$B$29)))</f>
        <v/>
      </c>
      <c r="E1167">
        <f>INDEX(FactorTable!$B$2:$Y$301, MATCH(ROUND(MIN(300,MAX(1,D1167)),0), FactorTable!$A$2:$A$301,0), Skills!L5+1)</f>
        <v/>
      </c>
      <c r="F1167">
        <f>IF(Skills!M5=TRUE,(Skills!K5/10)*(E1167/1000),Skills!K5/10)+Skills!N5</f>
        <v/>
      </c>
      <c r="G1167">
        <f>Calc!G5</f>
        <v/>
      </c>
      <c r="H1167">
        <f>Calc!H5</f>
        <v/>
      </c>
      <c r="I1167">
        <f>IF(Skills!T5&lt;&gt;"",1+(Skills!T5/10)*(Z1165/1000)/100,1)</f>
        <v/>
      </c>
      <c r="J1167">
        <f>((Inputs!$B$6*(1+Inputs!$B$7/100))+(((Inputs!$B$12*(1+Inputs!$B$13/100))-(Inputs!$B$12*(1+Inputs!$B$13/100)))+0.25*(Inputs!$B$14-Inputs!$B$14))*(1+Inputs!$B$7/100))*(F1167/100)</f>
        <v/>
      </c>
      <c r="K1167">
        <f>J1167*(1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F1180-Calc!F18),(Inputs!$B$23+(IF(ArtifactsInput!$M$15,CHOOSE(ArtifactsInput!$N$15+1,25,30,35,40,45,50)/100*(Inputs!$B$11-Inputs!$B$11),0))))/100+(Inputs!$B$23+(IF(ArtifactsInput!$M$15,CHOOSE(ArtifactsInput!$N$15+1,25,30,35,40,45,50)/100*(Inputs!$B$11-Inputs!$B$11),0)))/100)/2</f>
        <v/>
      </c>
      <c r="M1167">
        <f>L1167*(1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(1-Summary!$B$11)*S1167+Summary!$B$11*U1167</f>
        <v/>
      </c>
      <c r="P1167">
        <f>IF(B1198=0,0,O1167/B1198)</f>
        <v/>
      </c>
      <c r="Q1167">
        <f>IFERROR(1/IF(Inputs!$B$38="pvp",15,MAX(0.1,Skills!D5-IF(Skills!E5=TRUE,Inputs!$B$32,0))),0)</f>
        <v/>
      </c>
      <c r="R1167">
        <f>IF(AND(Inputs!$B$38&lt;&gt;"pvp",Inputs!$B$43&gt;0),IF(MAX(0,Inputs!$B$43-B1195)&lt;=0,0,(INT(MAX(0,Inputs!$B$43-B1195)/IF(Inputs!$B$38="pvp",15,MAX(0.1,Skills!D5-IF(Skills!E5=TRUE,Inputs!$B$32,0))))+1)),0)</f>
        <v/>
      </c>
      <c r="S1167">
        <f>IF(C1167,(H1167*N1167*IF(AND(Inputs!$B$38&lt;&gt;"pvp",Inputs!$B$43&gt;0),((Skills!F5*((R1167-1)*IF(Skills!G5&gt;0,Skills!H5/Skills!G5,1)+IF(Skills!G5&gt;0,MIN(Skills!H5,MAX(0,MAX(0,Inputs!$B$43-B1195)-((R1167-1)*IF(Inputs!$B$38="pvp",15,MAX(0.1,Skills!D5-IF(Skills!E5=TRUE,Inputs!$B$32,0))))))/Skills!G5,1)))/Inputs!$B$43),G1167*Q1167))*IF(Inputs!$B$38="pvp",1,1+(Inputs!$B$20+Skills!O5+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1167*(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IF(C1167,(H1167*N1167*IF(AND(Inputs!$B$38&lt;&gt;"pvp",Inputs!$B$43&gt;0),((Skills!F5*((R1167-1)*IF(Skills!G5&gt;0,Skills!H5/Skills!G5,1)+IF(Skills!G5&gt;0,MIN(Skills!H5,MAX(0,MAX(0,Inputs!$B$43-B1195)-((R1167-1)*IF(Inputs!$B$38="pvp",15,MAX(0.1,Skills!D5-IF(Skills!E5=TRUE,Inputs!$B$32,0))))))/Skills!G5,1)))/Inputs!$B$43),G1167*Q1167))*IF(Inputs!$B$38="pvp",1,(1+(Inputs!$B$21+Skills!P5+B1189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Skills!A6</f>
        <v/>
      </c>
      <c r="B1168">
        <f>Skills!B6</f>
        <v/>
      </c>
      <c r="C1168">
        <f>Inputs!$B$3&gt;=63</f>
        <v/>
      </c>
      <c r="D1168">
        <f>IF(Skills!C6=1,60+Inputs!$B$25+Inputs!$B$29,IF(Skills!C6=2,90+Inputs!$B$26+Inputs!$B$29,IF(Skills!C6=3,120+Inputs!$B$27+Inputs!$B$29,MAX(0,(Inputs!$B$3-100)*3)+Inputs!$B$28+Inputs!$B$29)))</f>
        <v/>
      </c>
      <c r="E1168">
        <f>INDEX(FactorTable!$B$2:$Y$301, MATCH(ROUND(MIN(300,MAX(1,D1168)),0), FactorTable!$A$2:$A$301,0), Skills!L6+1)</f>
        <v/>
      </c>
      <c r="F1168">
        <f>IF(Skills!M6=TRUE,(Skills!K6/10)*(E1168/1000),Skills!K6/10)+Skills!N6</f>
        <v/>
      </c>
      <c r="G1168">
        <f>Calc!G6</f>
        <v/>
      </c>
      <c r="H1168">
        <f>Calc!H6</f>
        <v/>
      </c>
      <c r="I1168">
        <f>IF(Skills!T6&lt;&gt;"",1+(Skills!T6/10)*(Z1165/1000)/100,1)</f>
        <v/>
      </c>
      <c r="J1168">
        <f>((Inputs!$B$6*(1+Inputs!$B$7/100))+(((Inputs!$B$12*(1+Inputs!$B$13/100))-(Inputs!$B$12*(1+Inputs!$B$13/100)))+0.25*(Inputs!$B$14-Inputs!$B$14))*(1+Inputs!$B$7/100))*(F1168/100)</f>
        <v/>
      </c>
      <c r="K1168">
        <f>J1168*(1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1168)</f>
        <v/>
      </c>
      <c r="L1168">
        <f>K1168*(MIN(Inputs!$B$22+(F1180-Calc!F18),(Inputs!$B$23+(IF(ArtifactsInput!$M$15,CHOOSE(ArtifactsInput!$N$15+1,25,30,35,40,45,50)/100*(Inputs!$B$11-Inputs!$B$11),0))))/100+(Inputs!$B$23+(IF(ArtifactsInput!$M$15,CHOOSE(ArtifactsInput!$N$15+1,25,30,35,40,45,50)/100*(Inputs!$B$11-Inputs!$B$11),0)))/100)/2</f>
        <v/>
      </c>
      <c r="M1168">
        <f>L1168*(1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(1-Summary!$B$11)*S1168+Summary!$B$11*U1168</f>
        <v/>
      </c>
      <c r="P1168">
        <f>IF(B1198=0,0,O1168/B1198)</f>
        <v/>
      </c>
      <c r="Q1168">
        <f>IFERROR(1/IF(Inputs!$B$38="pvp",15,MAX(0.1,Skills!D6-IF(Skills!E6=TRUE,Inputs!$B$32,0))),0)</f>
        <v/>
      </c>
      <c r="R1168">
        <f>IF(AND(Inputs!$B$38&lt;&gt;"pvp",Inputs!$B$43&gt;0),IF(MAX(0,Inputs!$B$43-B1195)&lt;=0,0,(INT(MAX(0,Inputs!$B$43-B1195)/IF(Inputs!$B$38="pvp",15,MAX(0.1,Skills!D6-IF(Skills!E6=TRUE,Inputs!$B$32,0))))+1)),0)</f>
        <v/>
      </c>
      <c r="S1168">
        <f>IF(C1168,(H1168*N1168*IF(AND(Inputs!$B$38&lt;&gt;"pvp",Inputs!$B$43&gt;0),((Skills!F6*((R1168-1)*IF(Skills!G6&gt;0,Skills!H6/Skills!G6,1)+IF(Skills!G6&gt;0,MIN(Skills!H6,MAX(0,MAX(0,Inputs!$B$43-B1195)-((R1168-1)*IF(Inputs!$B$38="pvp",15,MAX(0.1,Skills!D6-IF(Skills!E6=TRUE,Inputs!$B$32,0))))))/Skills!G6,1)))/Inputs!$B$43),G1168*Q1168))*IF(Inputs!$B$38="pvp",1,1+(Inputs!$B$20+Skills!O6+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1168*(1-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1168*(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1168*(1-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8">
        <f>IF(C1168,(H1168*N1168*IF(AND(Inputs!$B$38&lt;&gt;"pvp",Inputs!$B$43&gt;0),((Skills!F6*((R1168-1)*IF(Skills!G6&gt;0,Skills!H6/Skills!G6,1)+IF(Skills!G6&gt;0,MIN(Skills!H6,MAX(0,MAX(0,Inputs!$B$43-B1195)-((R1168-1)*IF(Inputs!$B$38="pvp",15,MAX(0.1,Skills!D6-IF(Skills!E6=TRUE,Inputs!$B$32,0))))))/Skills!G6,1)))/Inputs!$B$43),G1168*Q1168))*IF(Inputs!$B$38="pvp",1,(1+(Inputs!$B$21+Skills!P6+B1189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Skills!A7</f>
        <v/>
      </c>
      <c r="B1169">
        <f>Skills!B7</f>
        <v/>
      </c>
      <c r="C1169">
        <f>Inputs!$B$3&gt;=69</f>
        <v/>
      </c>
      <c r="D1169">
        <f>IF(Skills!C7=1,60+Inputs!$B$25+Inputs!$B$29,IF(Skills!C7=2,90+Inputs!$B$26+Inputs!$B$29,IF(Skills!C7=3,120+Inputs!$B$27+Inputs!$B$29,MAX(0,(Inputs!$B$3-100)*3)+Inputs!$B$28+Inputs!$B$29)))</f>
        <v/>
      </c>
      <c r="E1169">
        <f>INDEX(FactorTable!$B$2:$Y$301, MATCH(ROUND(MIN(300,MAX(1,D1169)),0), FactorTable!$A$2:$A$301,0), Skills!L7+1)</f>
        <v/>
      </c>
      <c r="F1169">
        <f>IF(Skills!M7=TRUE,(Skills!K7/10)*(E1169/1000),Skills!K7/10)+Skills!N7</f>
        <v/>
      </c>
      <c r="G1169">
        <f>Calc!G7</f>
        <v/>
      </c>
      <c r="H1169">
        <f>Calc!H7</f>
        <v/>
      </c>
      <c r="I1169">
        <f>IF(Skills!T7&lt;&gt;"",1+(Skills!T7/10)*(Z1165/1000)/100,1)</f>
        <v/>
      </c>
      <c r="J1169">
        <f>((Inputs!$B$6*(1+Inputs!$B$7/100))+(((Inputs!$B$12*(1+Inputs!$B$13/100))-(Inputs!$B$12*(1+Inputs!$B$13/100)))+0.25*(Inputs!$B$14-Inputs!$B$14))*(1+Inputs!$B$7/100))*(F1169/100)</f>
        <v/>
      </c>
      <c r="K1169">
        <f>J1169*(1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F1180-Calc!F18),(Inputs!$B$23+(IF(ArtifactsInput!$M$15,CHOOSE(ArtifactsInput!$N$15+1,25,30,35,40,45,50)/100*(Inputs!$B$11-Inputs!$B$11),0))))/100+(Inputs!$B$23+(IF(ArtifactsInput!$M$15,CHOOSE(ArtifactsInput!$N$15+1,25,30,35,40,45,50)/100*(Inputs!$B$11-Inputs!$B$11),0)))/100)/2</f>
        <v/>
      </c>
      <c r="M1169">
        <f>L1169*(1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(1-Summary!$B$11)*S1169+Summary!$B$11*U1169</f>
        <v/>
      </c>
      <c r="P1169">
        <f>IF(B1198=0,0,O1169/B1198)</f>
        <v/>
      </c>
      <c r="Q1169">
        <f>IFERROR(1/IF(Inputs!$B$38="pvp",15,MAX(0.1,Skills!D7-IF(Skills!E7=TRUE,Inputs!$B$32,0))),0)</f>
        <v/>
      </c>
      <c r="R1169">
        <f>IF(AND(Inputs!$B$38&lt;&gt;"pvp",Inputs!$B$43&gt;0),IF(MAX(0,Inputs!$B$43-B1195)&lt;=0,0,(INT(MAX(0,Inputs!$B$43-B1195)/IF(Inputs!$B$38="pvp",15,MAX(0.1,Skills!D7-IF(Skills!E7=TRUE,Inputs!$B$32,0))))+1)),0)</f>
        <v/>
      </c>
      <c r="S1169">
        <f>IF(C1169,(H1169*N1169*IF(AND(Inputs!$B$38&lt;&gt;"pvp",Inputs!$B$43&gt;0),((Skills!F7*((R1169-1)*IF(Skills!G7&gt;0,Skills!H7/Skills!G7,1)+IF(Skills!G7&gt;0,MIN(Skills!H7,MAX(0,MAX(0,Inputs!$B$43-B1195)-((R1169-1)*IF(Inputs!$B$38="pvp",15,MAX(0.1,Skills!D7-IF(Skills!E7=TRUE,Inputs!$B$32,0))))))/Skills!G7,1)))/Inputs!$B$43),G1169*Q1169))*IF(Inputs!$B$38="pvp",1,1+(Inputs!$B$20+Skills!O7+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1169*(1-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1169*(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1169*(1-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9">
        <f>IF(C1169,(H1169*N1169*IF(AND(Inputs!$B$38&lt;&gt;"pvp",Inputs!$B$43&gt;0),((Skills!F7*((R1169-1)*IF(Skills!G7&gt;0,Skills!H7/Skills!G7,1)+IF(Skills!G7&gt;0,MIN(Skills!H7,MAX(0,MAX(0,Inputs!$B$43-B1195)-((R1169-1)*IF(Inputs!$B$38="pvp",15,MAX(0.1,Skills!D7-IF(Skills!E7=TRUE,Inputs!$B$32,0))))))/Skills!G7,1)))/Inputs!$B$43),G1169*Q1169))*IF(Inputs!$B$38="pvp",1,(1+(Inputs!$B$21+Skills!P7+B1189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Skills!A8</f>
        <v/>
      </c>
      <c r="B1170">
        <f>Skills!B8</f>
        <v/>
      </c>
      <c r="C1170">
        <f>Inputs!$B$3&gt;=103</f>
        <v/>
      </c>
      <c r="D1170">
        <f>IF(Skills!C8=1,60+Inputs!$B$25+Inputs!$B$29,IF(Skills!C8=2,90+Inputs!$B$26+Inputs!$B$29,IF(Skills!C8=3,120+Inputs!$B$27+Inputs!$B$29,MAX(0,(Inputs!$B$3-100)*3)+Inputs!$B$28+Inputs!$B$29)))</f>
        <v/>
      </c>
      <c r="E1170">
        <f>INDEX(FactorTable!$B$2:$Y$301, MATCH(ROUND(MIN(300,MAX(1,D1170)),0), FactorTable!$A$2:$A$301,0), Skills!L8+1)</f>
        <v/>
      </c>
      <c r="F1170">
        <f>IF(Skills!M8=TRUE,(Skills!K8/10)*(E1170/1000),Skills!K8/10)+Skills!N8</f>
        <v/>
      </c>
      <c r="G1170">
        <f>Calc!G8</f>
        <v/>
      </c>
      <c r="H1170">
        <f>Calc!H8</f>
        <v/>
      </c>
      <c r="I1170">
        <f>IF(Skills!T8&lt;&gt;"",1+(Skills!T8/10)*(Z1165/1000)/100,1)</f>
        <v/>
      </c>
      <c r="J1170">
        <f>((Inputs!$B$6*(1+Inputs!$B$7/100))+(((Inputs!$B$12*(1+Inputs!$B$13/100))-(Inputs!$B$12*(1+Inputs!$B$13/100)))+0.25*(Inputs!$B$14-Inputs!$B$14))*(1+Inputs!$B$7/100))*(F1170/100)</f>
        <v/>
      </c>
      <c r="K1170">
        <f>J1170*(1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F1180-Calc!F18),(Inputs!$B$23+(IF(ArtifactsInput!$M$15,CHOOSE(ArtifactsInput!$N$15+1,25,30,35,40,45,50)/100*(Inputs!$B$11-Inputs!$B$11),0))))/100+(Inputs!$B$23+(IF(ArtifactsInput!$M$15,CHOOSE(ArtifactsInput!$N$15+1,25,30,35,40,45,50)/100*(Inputs!$B$11-Inputs!$B$11),0)))/100)/2</f>
        <v/>
      </c>
      <c r="M1170">
        <f>L1170*(1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(1-Summary!$B$11)*S1170+Summary!$B$11*U1170</f>
        <v/>
      </c>
      <c r="P1170">
        <f>IF(B1198=0,0,O1170/B1198)</f>
        <v/>
      </c>
      <c r="Q1170">
        <f>IFERROR(1/IF(Inputs!$B$38="pvp",15,MAX(0.1,Skills!D8-IF(Skills!E8=TRUE,Inputs!$B$32,0))),0)</f>
        <v/>
      </c>
      <c r="R1170">
        <f>IF(AND(Inputs!$B$38&lt;&gt;"pvp",Inputs!$B$43&gt;0),IF(MAX(0,Inputs!$B$43-B1195)&lt;=0,0,(INT(MAX(0,Inputs!$B$43-B1195)/IF(Inputs!$B$38="pvp",15,MAX(0.1,Skills!D8-IF(Skills!E8=TRUE,Inputs!$B$32,0))))+1)),0)</f>
        <v/>
      </c>
      <c r="S1170">
        <f>IF(C1170,(H1170*N1170*IF(AND(Inputs!$B$38&lt;&gt;"pvp",Inputs!$B$43&gt;0),((Skills!F8*((R1170-1)*IF(Skills!G8&gt;0,Skills!H8/Skills!G8,1)+IF(Skills!G8&gt;0,MIN(Skills!H8,MAX(0,MAX(0,Inputs!$B$43-B1195)-((R1170-1)*IF(Inputs!$B$38="pvp",15,MAX(0.1,Skills!D8-IF(Skills!E8=TRUE,Inputs!$B$32,0))))))/Skills!G8,1)))/Inputs!$B$43),G1170*Q1170))*IF(Inputs!$B$38="pvp",1,1+(Inputs!$B$20+Skills!O8+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1170*(1-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1170*(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1170*(1-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0">
        <f>IF(C1170,(H1170*N1170*IF(AND(Inputs!$B$38&lt;&gt;"pvp",Inputs!$B$43&gt;0),((Skills!F8*((R1170-1)*IF(Skills!G8&gt;0,Skills!H8/Skills!G8,1)+IF(Skills!G8&gt;0,MIN(Skills!H8,MAX(0,MAX(0,Inputs!$B$43-B1195)-((R1170-1)*IF(Inputs!$B$38="pvp",15,MAX(0.1,Skills!D8-IF(Skills!E8=TRUE,Inputs!$B$32,0))))))/Skills!G8,1)))/Inputs!$B$43),G1170*Q1170))*IF(Inputs!$B$38="pvp",1,(1+(Inputs!$B$21+Skills!P8+B1189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Skills!A9</f>
        <v/>
      </c>
      <c r="B1171">
        <f>Skills!B9</f>
        <v/>
      </c>
      <c r="C1171">
        <f>Inputs!$B$3&gt;=105</f>
        <v/>
      </c>
      <c r="D1171">
        <f>IF(Skills!C9=1,60+Inputs!$B$25+Inputs!$B$29,IF(Skills!C9=2,90+Inputs!$B$26+Inputs!$B$29,IF(Skills!C9=3,120+Inputs!$B$27+Inputs!$B$29,MAX(0,(Inputs!$B$3-100)*3)+Inputs!$B$28+Inputs!$B$29)))</f>
        <v/>
      </c>
      <c r="E1171">
        <f>INDEX(FactorTable!$B$2:$Y$301, MATCH(ROUND(MIN(300,MAX(1,D1171)),0), FactorTable!$A$2:$A$301,0), Skills!L9+1)</f>
        <v/>
      </c>
      <c r="F1171">
        <f>IF(Skills!M9=TRUE,(Skills!K9/10)*(E1171/1000),Skills!K9/10)+Skills!N9</f>
        <v/>
      </c>
      <c r="G1171">
        <f>Calc!G9</f>
        <v/>
      </c>
      <c r="H1171">
        <f>Calc!H9</f>
        <v/>
      </c>
      <c r="I1171">
        <f>IF(Skills!T9&lt;&gt;"",1+(Skills!T9/10)*(Z1165/1000)/100,1)</f>
        <v/>
      </c>
      <c r="J1171">
        <f>((Inputs!$B$6*(1+Inputs!$B$7/100))+(((Inputs!$B$12*(1+Inputs!$B$13/100))-(Inputs!$B$12*(1+Inputs!$B$13/100)))+0.25*(Inputs!$B$14-Inputs!$B$14))*(1+Inputs!$B$7/100))*(F1171/100)</f>
        <v/>
      </c>
      <c r="K1171">
        <f>J1171*(1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F1180-Calc!F18),(Inputs!$B$23+(IF(ArtifactsInput!$M$15,CHOOSE(ArtifactsInput!$N$15+1,25,30,35,40,45,50)/100*(Inputs!$B$11-Inputs!$B$11),0))))/100+(Inputs!$B$23+(IF(ArtifactsInput!$M$15,CHOOSE(ArtifactsInput!$N$15+1,25,30,35,40,45,50)/100*(Inputs!$B$11-Inputs!$B$11),0)))/100)/2</f>
        <v/>
      </c>
      <c r="M1171">
        <f>L1171*(1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(1-Summary!$B$11)*S1171+Summary!$B$11*U1171</f>
        <v/>
      </c>
      <c r="P1171">
        <f>IF(B1198=0,0,O1171/B1198)</f>
        <v/>
      </c>
      <c r="Q1171">
        <f>IFERROR(1/IF(Inputs!$B$38="pvp",15,MAX(0.1,Skills!D9-IF(Skills!E9=TRUE,Inputs!$B$32,0))),0)</f>
        <v/>
      </c>
      <c r="R1171">
        <f>IF(AND(Inputs!$B$38&lt;&gt;"pvp",Inputs!$B$43&gt;0),IF(MAX(0,Inputs!$B$43-B1195)&lt;=0,0,(INT(MAX(0,Inputs!$B$43-B1195)/IF(Inputs!$B$38="pvp",15,MAX(0.1,Skills!D9-IF(Skills!E9=TRUE,Inputs!$B$32,0))))+1)),0)</f>
        <v/>
      </c>
      <c r="S1171">
        <f>IF(C1171,(H1171*N1171*IF(AND(Inputs!$B$38&lt;&gt;"pvp",Inputs!$B$43&gt;0),((Skills!F9*((R1171-1)*IF(Skills!G9&gt;0,Skills!H9/Skills!G9,1)+IF(Skills!G9&gt;0,MIN(Skills!H9,MAX(0,MAX(0,Inputs!$B$43-B1195)-((R1171-1)*IF(Inputs!$B$38="pvp",15,MAX(0.1,Skills!D9-IF(Skills!E9=TRUE,Inputs!$B$32,0))))))/Skills!G9,1)))/Inputs!$B$43),G1171*Q1171))*IF(Inputs!$B$38="pvp",1,1+(Inputs!$B$20+Skills!O9+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1171*(1-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1">
        <f>IF(C1171,(H1171*N1171*IF(AND(Inputs!$B$38&lt;&gt;"pvp",Inputs!$B$43&gt;0),((Skills!F9*((R1171-1)*IF(Skills!G9&gt;0,Skills!H9/Skills!G9,1)+IF(Skills!G9&gt;0,MIN(Skills!H9,MAX(0,MAX(0,Inputs!$B$43-B1195)-((R1171-1)*IF(Inputs!$B$38="pvp",15,MAX(0.1,Skills!D9-IF(Skills!E9=TRUE,Inputs!$B$32,0))))))/Skills!G9,1)))/Inputs!$B$43),G1171*Q1171))*IF(Inputs!$B$38="pvp",1,(1+(Inputs!$B$21+Skills!P9+B1189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Skills!A10</f>
        <v/>
      </c>
      <c r="B1172">
        <f>Skills!B10</f>
        <v/>
      </c>
      <c r="C1172">
        <f>Inputs!$B$3&gt;=113</f>
        <v/>
      </c>
      <c r="D1172">
        <f>IF(Skills!C10=1,60+Inputs!$B$25+Inputs!$B$29,IF(Skills!C10=2,90+Inputs!$B$26+Inputs!$B$29,IF(Skills!C10=3,120+Inputs!$B$27+Inputs!$B$29,MAX(0,(Inputs!$B$3-100)*3)+Inputs!$B$28+Inputs!$B$29)))</f>
        <v/>
      </c>
      <c r="E1172">
        <f>INDEX(FactorTable!$B$2:$Y$301, MATCH(ROUND(MIN(300,MAX(1,D1172)),0), FactorTable!$A$2:$A$301,0), Skills!L10+1)</f>
        <v/>
      </c>
      <c r="F1172">
        <f>IF(Skills!M10=TRUE,(Skills!K10/10)*(E1172/1000),Skills!K10/10)+Skills!N10</f>
        <v/>
      </c>
      <c r="G1172">
        <f>Calc!G10</f>
        <v/>
      </c>
      <c r="H1172">
        <f>Calc!H10</f>
        <v/>
      </c>
      <c r="I1172">
        <f>IF(Skills!T10&lt;&gt;"",1+(Skills!T10/10)*(Z1165/1000)/100,1)</f>
        <v/>
      </c>
      <c r="J1172">
        <f>((Inputs!$B$6*(1+Inputs!$B$7/100))+(((Inputs!$B$12*(1+Inputs!$B$13/100))-(Inputs!$B$12*(1+Inputs!$B$13/100)))+0.25*(Inputs!$B$14-Inputs!$B$14))*(1+Inputs!$B$7/100))*(F1172/100)</f>
        <v/>
      </c>
      <c r="K1172">
        <f>J1172*(1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1180-Calc!F18),(Inputs!$B$23+(IF(ArtifactsInput!$M$15,CHOOSE(ArtifactsInput!$N$15+1,25,30,35,40,45,50)/100*(Inputs!$B$11-Inputs!$B$11),0))))/100+(Inputs!$B$23+(IF(ArtifactsInput!$M$15,CHOOSE(ArtifactsInput!$N$15+1,25,30,35,40,45,50)/100*(Inputs!$B$11-Inputs!$B$11),0)))/100)/2</f>
        <v/>
      </c>
      <c r="M1172">
        <f>L1172*(1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IF(B1198=0,0,O1172/B1198)</f>
        <v/>
      </c>
      <c r="Q1172">
        <f>IFERROR(1/IF(Inputs!$B$38="pvp",15,MAX(0.1,Skills!D10-IF(Skills!E9=TRUE,Inputs!$B$32,0))),0)</f>
        <v/>
      </c>
      <c r="R1172">
        <f>IF(AND(Inputs!$B$38&lt;&gt;"pvp",Inputs!$B$43&gt;0),IF(MAX(0,Inputs!$B$43-B1195)&lt;=0,0,(INT(MAX(0,Inputs!$B$43-B1195)/IF(Inputs!$B$38="pvp",15,MAX(0.1,Skills!D10-IF(Skills!E9=TRUE,Inputs!$B$32,0))))+1)),0)</f>
        <v/>
      </c>
      <c r="S1172">
        <f>IF(C1172,(H1172*N1172*IF(AND(Inputs!$B$38&lt;&gt;"pvp",Inputs!$B$43&gt;0),((Skills!F10*((R1172-1)*IF(Skills!G10&gt;0,Skills!H10/Skills!G10,1)+IF(Skills!G10&gt;0,MIN(Skills!H10,MAX(0,MAX(0,Inputs!$B$43-B1195)-((R1172-1)*IF(Inputs!$B$38="pvp",15,MAX(0.1,Skills!D10-IF(Skills!E9=TRUE,Inputs!$B$32,0))))))/Skills!G10,1)))/Inputs!$B$43),G1172*Q1172))*IF(Inputs!$B$38="pvp",1,1+(Inputs!$B$20+Skills!O10+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1172*(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1172*(1-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2">
        <f>IF(C1172,(H1172*N1172*IF(AND(Inputs!$B$38&lt;&gt;"pvp",Inputs!$B$43&gt;0),((Skills!F10*((R1172-1)*IF(Skills!G10&gt;0,Skills!H10/Skills!G10,1)+IF(Skills!G10&gt;0,MIN(Skills!H10,MAX(0,MAX(0,Inputs!$B$43-B1195)-((R1172-1)*IF(Inputs!$B$38="pvp",15,MAX(0.1,Skills!D10-IF(Skills!E9=TRUE,Inputs!$B$32,0))))))/Skills!G10,1)))/Inputs!$B$43),G1172*Q1172))*IF(Inputs!$B$38="pvp",1,(1+(Inputs!$B$21+Skills!P10+B1189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Skills!A11</f>
        <v/>
      </c>
      <c r="B1173">
        <f>Skills!B11</f>
        <v/>
      </c>
      <c r="C1173">
        <f>Inputs!$B$3&gt;=107</f>
        <v/>
      </c>
      <c r="D1173">
        <f>IF(Skills!C11=1,60+Inputs!$B$25+Inputs!$B$29,IF(Skills!C11=2,90+Inputs!$B$26+Inputs!$B$29,IF(Skills!C11=3,120+Inputs!$B$27+Inputs!$B$29,MAX(0,(Inputs!$B$3-100)*3)+Inputs!$B$28+Inputs!$B$29)))</f>
        <v/>
      </c>
      <c r="E1173">
        <f>INDEX(FactorTable!$B$2:$Y$301, MATCH(ROUND(MIN(300,MAX(1,D1173)),0), FactorTable!$A$2:$A$301,0), Skills!L11+1)</f>
        <v/>
      </c>
      <c r="F1173">
        <f>IF(Skills!M11=TRUE,(Skills!K11/10)*(E1173/1000),Skills!K11/10)+Skills!N11</f>
        <v/>
      </c>
      <c r="G1173">
        <f>Calc!G11</f>
        <v/>
      </c>
      <c r="H1173">
        <f>Calc!H11</f>
        <v/>
      </c>
      <c r="I1173">
        <f>IF(Skills!T11&lt;&gt;"",1+(Skills!T11/10)*(Z1165/1000)/100,1)</f>
        <v/>
      </c>
      <c r="J1173">
        <f>((Inputs!$B$6*(1+Inputs!$B$7/100))+(((Inputs!$B$12*(1+Inputs!$B$13/100))-(Inputs!$B$12*(1+Inputs!$B$13/100)))+0.25*(Inputs!$B$14-Inputs!$B$14))*(1+Inputs!$B$7/100))*(F1173/100)</f>
        <v/>
      </c>
      <c r="K1173">
        <f>J1173*(1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1180-Calc!F18),(Inputs!$B$23+(IF(ArtifactsInput!$M$15,CHOOSE(ArtifactsInput!$N$15+1,25,30,35,40,45,50)/100*(Inputs!$B$11-Inputs!$B$11),0))))/100+(Inputs!$B$23+(IF(ArtifactsInput!$M$15,CHOOSE(ArtifactsInput!$N$15+1,25,30,35,40,45,50)/100*(Inputs!$B$11-Inputs!$B$11),0)))/100)/2</f>
        <v/>
      </c>
      <c r="M1173">
        <f>L1173*(1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IF(B1198=0,0,O1173/B1198)</f>
        <v/>
      </c>
      <c r="Q1173">
        <f>IFERROR(1/IF(Inputs!$B$38="pvp",15,MAX(0.1,Skills!D11-IF(Skills!E11=TRUE,Inputs!$B$32,0))),0)</f>
        <v/>
      </c>
      <c r="R1173">
        <f>IF(AND(Inputs!$B$38&lt;&gt;"pvp",Inputs!$B$43&gt;0),IF(MAX(0,Inputs!$B$43-B1195)&lt;=0,0,(INT(MAX(0,Inputs!$B$43-B1195)/IF(Inputs!$B$38="pvp",15,MAX(0.1,Skills!D11-IF(Skills!E11=TRUE,Inputs!$B$32,0))))+1)),0)</f>
        <v/>
      </c>
      <c r="S1173">
        <f>IF(C1173,H1173*N1173*IF(AND(Inputs!$B$38&lt;&gt;"pvp",Inputs!$B$43&gt;0),((Skills!F11*((R1173-1)*IF(Skills!G11&gt;0,Skills!H11/Skills!G11,1)+IF(Skills!G11&gt;0,MIN(Skills!H11,MAX(0,MAX(0,Inputs!$B$43-B1195)-((R1173-1)*IF(Inputs!$B$38="pvp",15,MAX(0.1,Skills!D11-IF(Skills!E11=TRUE,Inputs!$B$32,0))))))/Skills!G11,1)))/Inputs!$B$43),G1173*Q1173)*0.5*IF(Inputs!$B$38="pvp",1,1+(Inputs!$B$20+Skills!O11+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1173*(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1173*(1-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3">
        <f>IF(C1173,H1173*N1173*IF(AND(Inputs!$B$38&lt;&gt;"pvp",Inputs!$B$43&gt;0),((Skills!F11*((R1173-1)*IF(Skills!G11&gt;0,Skills!H11/Skills!G11,1)+IF(Skills!G11&gt;0,MIN(Skills!H11,MAX(0,MAX(0,Inputs!$B$43-B1195)-((R1173-1)*IF(Inputs!$B$38="pvp",15,MAX(0.1,Skills!D11-IF(Skills!E11=TRUE,Inputs!$B$32,0))))))/Skills!G11,1)))/Inputs!$B$43),G1173*Q1173)*1*IF(Inputs!$B$38="pvp",1,(1+(Inputs!$B$21+Skills!P11+B1189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Skills!A12</f>
        <v/>
      </c>
      <c r="B1174">
        <f>Skills!B12</f>
        <v/>
      </c>
      <c r="C1174">
        <f>Inputs!$B$3&gt;=115</f>
        <v/>
      </c>
      <c r="D1174">
        <f>IF(Skills!C12=1,60+Inputs!$B$25+Inputs!$B$29,IF(Skills!C12=2,90+Inputs!$B$26+Inputs!$B$29,IF(Skills!C12=3,120+Inputs!$B$27+Inputs!$B$29,MAX(0,(Inputs!$B$3-100)*3)+Inputs!$B$28+Inputs!$B$29)))</f>
        <v/>
      </c>
      <c r="E1174">
        <f>INDEX(FactorTable!$B$2:$Y$301, MATCH(ROUND(MIN(300,MAX(1,D1174)),0), FactorTable!$A$2:$A$301,0), Skills!L12+1)</f>
        <v/>
      </c>
      <c r="F1174">
        <f>IF(Skills!M12=TRUE,(Skills!K12/10)*(E1174/1000),Skills!K12/10)+Skills!N12</f>
        <v/>
      </c>
      <c r="G1174">
        <f>Calc!G12</f>
        <v/>
      </c>
      <c r="H1174">
        <f>Calc!H12</f>
        <v/>
      </c>
      <c r="I1174">
        <f>IF(Skills!T12&lt;&gt;"",1+(Skills!T12/10)*(Z1165/1000)/100,1)</f>
        <v/>
      </c>
      <c r="J1174">
        <f>((Inputs!$B$6*(1+Inputs!$B$7/100))+(((Inputs!$B$12*(1+Inputs!$B$13/100))-(Inputs!$B$12*(1+Inputs!$B$13/100)))+0.25*(Inputs!$B$14-Inputs!$B$14))*(1+Inputs!$B$7/100))*(F1174/100)</f>
        <v/>
      </c>
      <c r="K1174">
        <f>J1174*(1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1180-Calc!F18),(Inputs!$B$23+(IF(ArtifactsInput!$M$15,CHOOSE(ArtifactsInput!$N$15+1,25,30,35,40,45,50)/100*(Inputs!$B$11-Inputs!$B$11),0))))/100+(Inputs!$B$23+(IF(ArtifactsInput!$M$15,CHOOSE(ArtifactsInput!$N$15+1,25,30,35,40,45,50)/100*(Inputs!$B$11-Inputs!$B$11),0)))/100)/2</f>
        <v/>
      </c>
      <c r="M1174">
        <f>L1174*(1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IF(B1198=0,0,O1174/B1198)</f>
        <v/>
      </c>
      <c r="Q1174">
        <f>IFERROR(1/IF(Inputs!$B$38="pvp",15,MAX(0.1,Skills!D12-IF(Skills!E12=TRUE,Inputs!$B$32,0))),0)</f>
        <v/>
      </c>
      <c r="R1174">
        <f>IF(AND(Inputs!$B$38&lt;&gt;"pvp",Inputs!$B$43&gt;0),IF(MAX(0,Inputs!$B$43-B1195)&lt;=0,0,(INT(MAX(0,Inputs!$B$43-B1195)/IF(Inputs!$B$38="pvp",15,MAX(0.1,Skills!D12-IF(Skills!E12=TRUE,Inputs!$B$32,0))))+1)),0)</f>
        <v/>
      </c>
      <c r="S1174">
        <f>IF(C1174,(H1174*N1174*IF(AND(Inputs!$B$38&lt;&gt;"pvp",Inputs!$B$43&gt;0),((Skills!F12*((R1174-1)*IF(Skills!G12&gt;0,Skills!H12/Skills!G12,1)+IF(Skills!G12&gt;0,MIN(Skills!H12,MAX(0,MAX(0,Inputs!$B$43-B1195)-((R1174-1)*IF(Inputs!$B$38="pvp",15,MAX(0.1,Skills!D12-IF(Skills!E12=TRUE,Inputs!$B$32,0))))))/Skills!G12,1)))/Inputs!$B$43),G1174*Q1174))*IF(Inputs!$B$38="pvp",1,1+(Inputs!$B$20+Skills!O12+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4">
        <f>IF(C1174,(H1174*N1174*IF(AND(Inputs!$B$38&lt;&gt;"pvp",Inputs!$B$43&gt;0),((Skills!F12*((R1174-1)*IF(Skills!G12&gt;0,Skills!H12/Skills!G12,1)+IF(Skills!G12&gt;0,MIN(Skills!H12,MAX(0,MAX(0,Inputs!$B$43-B1195)-((R1174-1)*IF(Inputs!$B$38="pvp",15,MAX(0.1,Skills!D12-IF(Skills!E12=TRUE,Inputs!$B$32,0))))))/Skills!G12,1)))/Inputs!$B$43),G1174*Q1174))*IF(Inputs!$B$38="pvp",1,(1+(Inputs!$B$21+Skills!P12+B1189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Skills!A13</f>
        <v/>
      </c>
      <c r="B1175">
        <f>Skills!B13</f>
        <v/>
      </c>
      <c r="C1175">
        <f>Inputs!$B$3&gt;=49</f>
        <v/>
      </c>
      <c r="D1175">
        <f>IF(Skills!C13=1,60+Inputs!$B$25+Inputs!$B$29,IF(Skills!C13=2,90+Inputs!$B$26+Inputs!$B$29,IF(Skills!C13=3,120+Inputs!$B$27+Inputs!$B$29,MAX(0,(Inputs!$B$3-100)*3)+Inputs!$B$28+Inputs!$B$29)))</f>
        <v/>
      </c>
      <c r="E1175">
        <f>INDEX(FactorTable!$B$2:$Y$301, MATCH(ROUND(MIN(300,MAX(1,D1175)),0), FactorTable!$A$2:$A$301,0), Skills!L13+1)</f>
        <v/>
      </c>
      <c r="F1175">
        <f>IF(Skills!M13=TRUE,(Skills!K13/10)*(E1175/1000),Skills!K13/10)+Skills!N13</f>
        <v/>
      </c>
      <c r="G1175">
        <f>Calc!G13</f>
        <v/>
      </c>
      <c r="H1175">
        <f>Calc!H13</f>
        <v/>
      </c>
      <c r="I1175">
        <f>IF(Skills!T13&lt;&gt;"",1+(Skills!T13/10)*(Z1165/1000)/100,1)</f>
        <v/>
      </c>
      <c r="J1175" t="inlineStr"/>
      <c r="K1175" t="inlineStr"/>
      <c r="L1175" t="inlineStr"/>
      <c r="M1175" t="inlineStr"/>
      <c r="N1175" t="inlineStr"/>
      <c r="O1175">
        <f>(1-Summary!$B$11)*S1175+Summary!$B$11*U1175</f>
        <v/>
      </c>
      <c r="P1175">
        <f>IF(B1198=0,0,O1175/B1198)</f>
        <v/>
      </c>
      <c r="Q1175">
        <f>IFERROR(1/IF(Inputs!$B$38="pvp",15,MAX(0.1,Skills!D13-IF(Skills!E13=TRUE,Inputs!$B$32,0))),0)</f>
        <v/>
      </c>
      <c r="R1175" t="n">
        <v>0</v>
      </c>
      <c r="S1175" t="n">
        <v>0</v>
      </c>
      <c r="U1175" t="n">
        <v>0</v>
      </c>
    </row>
    <row r="1176">
      <c r="A1176">
        <f>Skills!A14</f>
        <v/>
      </c>
      <c r="B1176">
        <f>Skills!B14</f>
        <v/>
      </c>
      <c r="C1176">
        <f>Inputs!$B$3&gt;=72</f>
        <v/>
      </c>
      <c r="D1176">
        <f>IF(Skills!C14=1,60+Inputs!$B$25+Inputs!$B$29,IF(Skills!C14=2,90+Inputs!$B$26+Inputs!$B$29,IF(Skills!C14=3,120+Inputs!$B$27+Inputs!$B$29,MAX(0,(Inputs!$B$3-100)*3)+Inputs!$B$28+Inputs!$B$29)))</f>
        <v/>
      </c>
      <c r="E1176">
        <f>INDEX(FactorTable!$B$2:$Y$301, MATCH(ROUND(MIN(300,MAX(1,D1176)),0), FactorTable!$A$2:$A$301,0), Skills!L14+1)</f>
        <v/>
      </c>
      <c r="F1176">
        <f>IF(Skills!M14=TRUE,(Skills!K14/10)*(E1176/1000),Skills!K14/10)+Skills!N14</f>
        <v/>
      </c>
      <c r="G1176">
        <f>Calc!G14</f>
        <v/>
      </c>
      <c r="H1176">
        <f>Calc!H14</f>
        <v/>
      </c>
      <c r="I1176">
        <f>IF(Skills!T14&lt;&gt;"",1+(Skills!T14/10)*(Z1165/1000)/100,1)</f>
        <v/>
      </c>
      <c r="J1176" t="inlineStr"/>
      <c r="K1176" t="inlineStr"/>
      <c r="L1176" t="inlineStr"/>
      <c r="M1176" t="inlineStr"/>
      <c r="N1176" t="inlineStr"/>
      <c r="O1176">
        <f>(1-Summary!$B$11)*S1176+Summary!$B$11*U1176</f>
        <v/>
      </c>
      <c r="P1176">
        <f>IF(B1198=0,0,O1176/B1198)</f>
        <v/>
      </c>
      <c r="Q1176">
        <f>IFERROR(1/IF(Inputs!$B$38="pvp",15,MAX(0.1,Skills!D14-IF(Skills!E14=TRUE,Inputs!$B$32,0))),0)</f>
        <v/>
      </c>
      <c r="R1176" t="n">
        <v>0</v>
      </c>
      <c r="S1176" t="n">
        <v>0</v>
      </c>
      <c r="U1176" t="n">
        <v>0</v>
      </c>
    </row>
    <row r="1177">
      <c r="A1177">
        <f>Skills!A15</f>
        <v/>
      </c>
      <c r="B1177">
        <f>Skills!B15</f>
        <v/>
      </c>
      <c r="C1177">
        <f>Inputs!$B$3&gt;=75</f>
        <v/>
      </c>
      <c r="D1177">
        <f>IF(Skills!C15=1,60+Inputs!$B$25+Inputs!$B$29,IF(Skills!C15=2,90+Inputs!$B$26+Inputs!$B$29,IF(Skills!C15=3,120+Inputs!$B$27+Inputs!$B$29,MAX(0,(Inputs!$B$3-100)*3)+Inputs!$B$28+Inputs!$B$29)))</f>
        <v/>
      </c>
      <c r="E1177">
        <f>INDEX(FactorTable!$B$2:$Y$301, MATCH(ROUND(MIN(300,MAX(1,D1177)),0), FactorTable!$A$2:$A$301,0), Skills!L15+1)</f>
        <v/>
      </c>
      <c r="F1177">
        <f>IF(Skills!M15=TRUE,(Skills!K15/10)*(E1177/1000),Skills!K15/10)+Skills!N15</f>
        <v/>
      </c>
      <c r="G1177">
        <f>Calc!G15</f>
        <v/>
      </c>
      <c r="H1177">
        <f>Calc!H15</f>
        <v/>
      </c>
      <c r="I1177">
        <f>IF(Skills!T15&lt;&gt;"",1+(Skills!T15/10)*(Z1165/1000)/100,1)</f>
        <v/>
      </c>
      <c r="J1177" t="inlineStr"/>
      <c r="K1177" t="inlineStr"/>
      <c r="L1177" t="inlineStr"/>
      <c r="M1177" t="inlineStr"/>
      <c r="N1177" t="inlineStr"/>
      <c r="O1177">
        <f>(1-Summary!$B$11)*S1177+Summary!$B$11*U1177</f>
        <v/>
      </c>
      <c r="P1177">
        <f>IF(B1198=0,0,O1177/B1198)</f>
        <v/>
      </c>
      <c r="Q1177">
        <f>IFERROR(1/IF(Inputs!$B$38="pvp",15,MAX(0.1,Skills!D15-IF(Skills!E15=TRUE,Inputs!$B$32,0))),0)</f>
        <v/>
      </c>
      <c r="R1177" t="n">
        <v>0</v>
      </c>
      <c r="S1177" t="n">
        <v>0</v>
      </c>
      <c r="U1177" t="n">
        <v>0</v>
      </c>
    </row>
    <row r="1178">
      <c r="A1178">
        <f>Skills!A16</f>
        <v/>
      </c>
      <c r="B1178">
        <f>Skills!B16</f>
        <v/>
      </c>
      <c r="C1178">
        <f>Inputs!$B$3&gt;=110</f>
        <v/>
      </c>
      <c r="D1178">
        <f>IF(Skills!C16=1,60+Inputs!$B$25+Inputs!$B$29,IF(Skills!C16=2,90+Inputs!$B$26+Inputs!$B$29,IF(Skills!C16=3,120+Inputs!$B$27+Inputs!$B$29,MAX(0,(Inputs!$B$3-100)*3)+Inputs!$B$28+Inputs!$B$29)))</f>
        <v/>
      </c>
      <c r="E1178">
        <f>INDEX(FactorTable!$B$2:$Y$301, MATCH(ROUND(MIN(300,MAX(1,D1178)),0), FactorTable!$A$2:$A$301,0), Skills!L16+1)</f>
        <v/>
      </c>
      <c r="F1178">
        <f>(Skills!K16/10)*(E1178/1000)*64/45+Skills!N16</f>
        <v/>
      </c>
      <c r="G1178">
        <f>Calc!G16</f>
        <v/>
      </c>
      <c r="H1178">
        <f>Calc!H16</f>
        <v/>
      </c>
      <c r="I1178">
        <f>IF(Skills!T16&lt;&gt;"",1+(Skills!T16/10)*(Z1165/1000)/100,1)</f>
        <v/>
      </c>
      <c r="J1178" t="inlineStr"/>
      <c r="K1178" t="inlineStr"/>
      <c r="L1178" t="inlineStr"/>
      <c r="M1178" t="inlineStr"/>
      <c r="N1178" t="inlineStr"/>
      <c r="O1178">
        <f>(1-Summary!$B$11)*S1178+Summary!$B$11*U1178</f>
        <v/>
      </c>
      <c r="P1178">
        <f>IF(B1198=0,0,O1178/B1198)</f>
        <v/>
      </c>
      <c r="Q1178">
        <f>IFERROR(1/IF(Inputs!$B$38="pvp",15,MAX(0.1,Skills!D16-IF(Skills!E16=TRUE,Inputs!$B$32,0))),0)</f>
        <v/>
      </c>
      <c r="R1178">
        <f>IF(AND(Inputs!$B$38&lt;&gt;"pvp",Inputs!$B$43&gt;0),IF(Inputs!$B$43&lt;=0,0,(INT(Inputs!$B$43/IF(Inputs!$B$38="pvp",15,MAX(0.1,Skills!D16-IF(Skills!E16=TRUE,Inputs!$B$32,0))))+1)),0)</f>
        <v/>
      </c>
      <c r="S1178" t="n">
        <v>0</v>
      </c>
      <c r="U1178" t="n">
        <v>0</v>
      </c>
    </row>
    <row r="1179">
      <c r="A1179">
        <f>Skills!A17</f>
        <v/>
      </c>
      <c r="B1179">
        <f>Skills!B17</f>
        <v/>
      </c>
      <c r="C1179">
        <f>Inputs!$B$3&gt;=33</f>
        <v/>
      </c>
      <c r="D1179">
        <f>IF(Skills!C17=1,60+Inputs!$B$25+Inputs!$B$29,IF(Skills!C17=2,90+Inputs!$B$26+Inputs!$B$29,IF(Skills!C17=3,120+Inputs!$B$27+Inputs!$B$29,MAX(0,(Inputs!$B$3-100)*3)+Inputs!$B$28+Inputs!$B$29)))</f>
        <v/>
      </c>
      <c r="E1179">
        <f>INDEX(FactorTable!$B$2:$Y$301, MATCH(ROUND(MIN(300,MAX(1,D1179)),0), FactorTable!$A$2:$A$301,0), Skills!L17+1)</f>
        <v/>
      </c>
      <c r="F1179">
        <f>IF(Skills!M17=TRUE,(Skills!K17/10)*(E1179/1000),Skills!K17/10)+Skills!N17</f>
        <v/>
      </c>
      <c r="G1179">
        <f>Calc!G17</f>
        <v/>
      </c>
      <c r="H1179">
        <f>Calc!H17</f>
        <v/>
      </c>
      <c r="I1179">
        <f>IF(Skills!T17&lt;&gt;"",1+(Skills!T17/10)*(Z1165/1000)/100,1)</f>
        <v/>
      </c>
      <c r="J1179" t="inlineStr"/>
      <c r="K1179" t="inlineStr"/>
      <c r="L1179" t="inlineStr"/>
      <c r="M1179" t="inlineStr"/>
      <c r="N1179" t="inlineStr"/>
      <c r="O1179">
        <f>(1-Summary!$B$11)*S1179+Summary!$B$11*U1179</f>
        <v/>
      </c>
      <c r="P1179">
        <f>IF(B1198=0,0,O1179/B1198)</f>
        <v/>
      </c>
      <c r="Q1179">
        <f>IFERROR(1/IF(Inputs!$B$38="pvp",15,MAX(0.1,Skills!D17-IF(Skills!E17=TRUE,Inputs!$B$32,0))),0)</f>
        <v/>
      </c>
      <c r="R1179" t="n">
        <v>0</v>
      </c>
      <c r="S1179" t="n">
        <v>0</v>
      </c>
      <c r="U1179" t="n">
        <v>0</v>
      </c>
    </row>
    <row r="1180">
      <c r="A1180">
        <f>Skills!A18</f>
        <v/>
      </c>
      <c r="B1180">
        <f>Skills!B18</f>
        <v/>
      </c>
      <c r="C1180">
        <f>Inputs!$B$3&gt;=43</f>
        <v/>
      </c>
      <c r="D1180">
        <f>IF(Skills!C18=1,60+Inputs!$B$25+Inputs!$B$29,IF(Skills!C18=2,90+Inputs!$B$26+Inputs!$B$29,IF(Skills!C18=3,120+Inputs!$B$27+Inputs!$B$29,MAX(0,(Inputs!$B$3-100)*3)+Inputs!$B$28+Inputs!$B$29)))</f>
        <v/>
      </c>
      <c r="E1180">
        <f>INDEX(FactorTable!$B$2:$Y$301, MATCH(ROUND(MIN(300,MAX(1,D1180)),0), FactorTable!$A$2:$A$301,0), Skills!L18+1)</f>
        <v/>
      </c>
      <c r="F1180">
        <f>IF(Skills!M18=TRUE,(Skills!K18/10)*(E1180/1000),Skills!K18/10)+Skills!N18</f>
        <v/>
      </c>
      <c r="G1180">
        <f>Calc!G18</f>
        <v/>
      </c>
      <c r="H1180">
        <f>Calc!H18</f>
        <v/>
      </c>
      <c r="I1180">
        <f>IF(Skills!T18&lt;&gt;"",1+(Skills!T18/10)*(Z1165/1000)/100,1)</f>
        <v/>
      </c>
      <c r="J1180" t="inlineStr"/>
      <c r="K1180" t="inlineStr"/>
      <c r="L1180" t="inlineStr"/>
      <c r="M1180" t="inlineStr"/>
      <c r="N1180" t="inlineStr"/>
      <c r="O1180">
        <f>(1-Summary!$B$11)*S1180+Summary!$B$11*U1180</f>
        <v/>
      </c>
      <c r="P1180">
        <f>IF(B1198=0,0,O1180/B1198)</f>
        <v/>
      </c>
      <c r="Q1180">
        <f>IFERROR(1/IF(Inputs!$B$38="pvp",15,MAX(0.1,Skills!D18-IF(Skills!E18=TRUE,Inputs!$B$32,0))),0)</f>
        <v/>
      </c>
      <c r="R1180" t="n">
        <v>0</v>
      </c>
      <c r="S1180" t="n">
        <v>0</v>
      </c>
      <c r="U1180" t="n">
        <v>0</v>
      </c>
    </row>
    <row r="1181">
      <c r="A1181">
        <f>Skills!A19</f>
        <v/>
      </c>
      <c r="B1181">
        <f>Skills!B19</f>
        <v/>
      </c>
      <c r="C1181">
        <f>Inputs!$B$3&gt;=50</f>
        <v/>
      </c>
      <c r="D1181">
        <f>IF(Skills!C19=1,60+Inputs!$B$25+Inputs!$B$29,IF(Skills!C19=2,90+Inputs!$B$26+Inputs!$B$29,IF(Skills!C19=3,120+Inputs!$B$27+Inputs!$B$29,MAX(0,(Inputs!$B$3-100)*3)+Inputs!$B$28+Inputs!$B$29)))</f>
        <v/>
      </c>
      <c r="E1181">
        <f>INDEX(FactorTable!$B$2:$Y$301, MATCH(ROUND(MIN(300,MAX(1,D1181)),0), FactorTable!$A$2:$A$301,0), Skills!L19+1)</f>
        <v/>
      </c>
      <c r="F1181">
        <f>IF(Skills!M19=TRUE,(Skills!K19/10)*(E1181/1000),Skills!K19/10)+Skills!N19</f>
        <v/>
      </c>
      <c r="G1181">
        <f>Calc!G19</f>
        <v/>
      </c>
      <c r="H1181">
        <f>Calc!H19</f>
        <v/>
      </c>
      <c r="I1181">
        <f>IF(Skills!T19&lt;&gt;"",1+(Skills!T19/10)*(Z1165/1000)/100,1)</f>
        <v/>
      </c>
      <c r="J1181" t="inlineStr"/>
      <c r="K1181" t="inlineStr"/>
      <c r="L1181" t="inlineStr"/>
      <c r="M1181" t="inlineStr"/>
      <c r="N1181" t="inlineStr"/>
      <c r="O1181">
        <f>(1-Summary!$B$11)*S1181+Summary!$B$11*U1181</f>
        <v/>
      </c>
      <c r="P1181">
        <f>IF(B1198=0,0,O1181/B1198)</f>
        <v/>
      </c>
      <c r="Q1181">
        <f>IFERROR(1/IF(Inputs!$B$38="pvp",15,MAX(0.1,Skills!D19-IF(Skills!E19=TRUE,Inputs!$B$32,0))),0)</f>
        <v/>
      </c>
      <c r="R1181" t="n">
        <v>0</v>
      </c>
      <c r="S1181" t="n">
        <v>0</v>
      </c>
      <c r="U1181" t="n">
        <v>0</v>
      </c>
    </row>
    <row r="1182">
      <c r="A1182">
        <f>Skills!A20</f>
        <v/>
      </c>
      <c r="B1182">
        <f>Skills!B20</f>
        <v/>
      </c>
      <c r="C1182">
        <f>Inputs!$B$3&gt;=74</f>
        <v/>
      </c>
      <c r="D1182">
        <f>IF(Skills!C20=1,60+Inputs!$B$25+Inputs!$B$29,IF(Skills!C20=2,90+Inputs!$B$26+Inputs!$B$29,IF(Skills!C20=3,120+Inputs!$B$27+Inputs!$B$29,MAX(0,(Inputs!$B$3-100)*3)+Inputs!$B$28+Inputs!$B$29)))</f>
        <v/>
      </c>
      <c r="E1182">
        <f>INDEX(FactorTable!$B$2:$Y$301, MATCH(ROUND(MIN(300,MAX(1,D1182)),0), FactorTable!$A$2:$A$301,0), Skills!L20+1)</f>
        <v/>
      </c>
      <c r="F1182">
        <f>IF(Skills!M20=TRUE,(Skills!K20/10)*(E1182/1000),Skills!K20/10)+Skills!N20</f>
        <v/>
      </c>
      <c r="G1182">
        <f>Calc!G20</f>
        <v/>
      </c>
      <c r="H1182">
        <f>Calc!H20</f>
        <v/>
      </c>
      <c r="I1182">
        <f>IF(Skills!T20&lt;&gt;"",1+(Skills!T20/10)*(Z1165/1000)/100,1)</f>
        <v/>
      </c>
      <c r="J1182" t="inlineStr"/>
      <c r="K1182" t="inlineStr"/>
      <c r="L1182" t="inlineStr"/>
      <c r="M1182" t="inlineStr"/>
      <c r="N1182" t="inlineStr"/>
      <c r="O1182">
        <f>(1-Summary!$B$11)*S1182+Summary!$B$11*U1182</f>
        <v/>
      </c>
      <c r="P1182">
        <f>IF(B1198=0,0,O1182/B1198)</f>
        <v/>
      </c>
      <c r="Q1182">
        <f>IFERROR(1/IF(Inputs!$B$38="pvp",15,MAX(0.1,Skills!D20-IF(Skills!E20=TRUE,Inputs!$B$32,0))),0)</f>
        <v/>
      </c>
      <c r="R1182" t="n">
        <v>0</v>
      </c>
      <c r="S1182" t="n">
        <v>0</v>
      </c>
      <c r="U1182" t="n">
        <v>0</v>
      </c>
    </row>
    <row r="1183">
      <c r="A1183">
        <f>Skills!A21</f>
        <v/>
      </c>
      <c r="B1183">
        <f>Skills!B21</f>
        <v/>
      </c>
      <c r="C1183">
        <f>Inputs!$B$3&gt;=74</f>
        <v/>
      </c>
      <c r="D1183">
        <f>IF(Skills!C21=1,60+Inputs!$B$25+Inputs!$B$29,IF(Skills!C21=2,90+Inputs!$B$26+Inputs!$B$29,IF(Skills!C21=3,120+Inputs!$B$27+Inputs!$B$29,MAX(0,(Inputs!$B$3-100)*3)+Inputs!$B$28+Inputs!$B$29)))</f>
        <v/>
      </c>
      <c r="E1183">
        <f>INDEX(FactorTable!$B$2:$Y$301, MATCH(ROUND(MIN(300,MAX(1,D1183)),0), FactorTable!$A$2:$A$301,0), Skills!L21+1)</f>
        <v/>
      </c>
      <c r="F1183">
        <f>IF(Skills!M21=TRUE,(Skills!K21/10)*(E1183/1000),Skills!K21/10)+Skills!N21</f>
        <v/>
      </c>
      <c r="G1183">
        <f>Calc!G21</f>
        <v/>
      </c>
      <c r="H1183">
        <f>Calc!H21</f>
        <v/>
      </c>
      <c r="I1183">
        <f>IF(Skills!T21&lt;&gt;"",1+(Skills!T21/10)*(Z1165/1000)/100,1)</f>
        <v/>
      </c>
      <c r="J1183" t="inlineStr"/>
      <c r="K1183" t="inlineStr"/>
      <c r="L1183" t="inlineStr"/>
      <c r="M1183" t="inlineStr"/>
      <c r="N1183" t="inlineStr"/>
      <c r="O1183">
        <f>(1-Summary!$B$11)*S1183+Summary!$B$11*U1183</f>
        <v/>
      </c>
      <c r="P1183">
        <f>IF(B1198=0,0,O1183/B1198)</f>
        <v/>
      </c>
      <c r="Q1183">
        <f>IFERROR(1/IF(Inputs!$B$38="pvp",15,MAX(0.1,Skills!D21-IF(Skills!E21=TRUE,Inputs!$B$32,0))),0)</f>
        <v/>
      </c>
      <c r="R1183" t="n">
        <v>0</v>
      </c>
      <c r="S1183" t="n">
        <v>0</v>
      </c>
      <c r="U1183" t="n">
        <v>0</v>
      </c>
    </row>
    <row r="1184">
      <c r="A1184">
        <f>Skills!A22</f>
        <v/>
      </c>
      <c r="B1184">
        <f>Skills!B22</f>
        <v/>
      </c>
      <c r="C1184">
        <f>Inputs!$B$3&gt;=117</f>
        <v/>
      </c>
      <c r="D1184">
        <f>IF(Skills!C22=1,60+Inputs!$B$25+Inputs!$B$29,IF(Skills!C22=2,90+Inputs!$B$26+Inputs!$B$29,IF(Skills!C22=3,120+Inputs!$B$27+Inputs!$B$29,MAX(0,(Inputs!$B$3-100)*3)+Inputs!$B$28+Inputs!$B$29)))</f>
        <v/>
      </c>
      <c r="E1184">
        <f>INDEX(FactorTable!$B$2:$Y$301, MATCH(ROUND(MIN(300,MAX(1,D1184)),0), FactorTable!$A$2:$A$301,0), Skills!L22+1)</f>
        <v/>
      </c>
      <c r="F1184">
        <f>IF(Skills!M22=TRUE,(Skills!K22/10)*(E1184/1000),Skills!K22/10)+Skills!N22</f>
        <v/>
      </c>
      <c r="G1184">
        <f>Calc!G22</f>
        <v/>
      </c>
      <c r="H1184">
        <f>Calc!H22</f>
        <v/>
      </c>
      <c r="I1184">
        <f>IF(Skills!T22&lt;&gt;"",1+(Skills!T22/10)*(Z1165/1000)/100,1)</f>
        <v/>
      </c>
      <c r="J1184" t="inlineStr"/>
      <c r="K1184" t="inlineStr"/>
      <c r="L1184" t="inlineStr"/>
      <c r="M1184" t="inlineStr"/>
      <c r="N1184" t="inlineStr"/>
      <c r="O1184">
        <f>(1-Summary!$B$11)*S1184+Summary!$B$11*U1184</f>
        <v/>
      </c>
      <c r="P1184">
        <f>IF(B1198=0,0,O1184/B1198)</f>
        <v/>
      </c>
      <c r="Q1184">
        <f>IFERROR(1/IF(Inputs!$B$38="pvp",15,MAX(0.1,Skills!D22-IF(Skills!E22=TRUE,Inputs!$B$32,0))),0)</f>
        <v/>
      </c>
      <c r="R1184" t="n">
        <v>0</v>
      </c>
      <c r="S1184" t="n">
        <v>0</v>
      </c>
      <c r="U1184" t="n">
        <v>0</v>
      </c>
    </row>
    <row r="1185">
      <c r="A1185">
        <f>Skills!A23</f>
        <v/>
      </c>
      <c r="B1185">
        <f>Skills!B23</f>
        <v/>
      </c>
      <c r="C1185">
        <f>Inputs!$B$3&gt;=120</f>
        <v/>
      </c>
      <c r="D1185">
        <f>IF(Skills!C23=1,60+Inputs!$B$25+Inputs!$B$29,IF(Skills!C23=2,90+Inputs!$B$26+Inputs!$B$29,IF(Skills!C23=3,120+Inputs!$B$27+Inputs!$B$29,MAX(0,(Inputs!$B$3-100)*3)+Inputs!$B$28+Inputs!$B$29)))</f>
        <v/>
      </c>
      <c r="E1185">
        <f>INDEX(FactorTable!$B$2:$Y$301, MATCH(ROUND(MIN(300,MAX(1,D1185)),0), FactorTable!$A$2:$A$301,0), Skills!L23+1)</f>
        <v/>
      </c>
      <c r="F1185">
        <f>IF(Skills!M23=TRUE,(Skills!K23/10)*(E1185/1000),Skills!K23/10)+Skills!N23</f>
        <v/>
      </c>
      <c r="G1185">
        <f>Calc!G23</f>
        <v/>
      </c>
      <c r="H1185">
        <f>Calc!H23</f>
        <v/>
      </c>
      <c r="I1185">
        <f>IF(Skills!T23&lt;&gt;"",1+(Skills!T23/10)*(Z1165/1000)/100,1)</f>
        <v/>
      </c>
      <c r="J1185" t="inlineStr"/>
      <c r="K1185" t="inlineStr"/>
      <c r="L1185" t="inlineStr"/>
      <c r="M1185" t="inlineStr"/>
      <c r="N1185" t="inlineStr"/>
      <c r="O1185">
        <f>(1-Summary!$B$11)*S1185+Summary!$B$11*U1185</f>
        <v/>
      </c>
      <c r="P1185">
        <f>IF(B1198=0,0,O1185/B1198)</f>
        <v/>
      </c>
      <c r="Q1185">
        <f>IFERROR(1/IF(Inputs!$B$38="pvp",15,MAX(0.1,Skills!D23-IF(Skills!E23=TRUE,Inputs!$B$32,0))),0)</f>
        <v/>
      </c>
      <c r="R1185" t="n">
        <v>0</v>
      </c>
      <c r="S1185" t="n">
        <v>0</v>
      </c>
      <c r="U1185" t="n">
        <v>0</v>
      </c>
    </row>
    <row r="1188">
      <c r="A1188" t="inlineStr">
        <is>
          <t>Average Buff Multiplier (Magic Guard + Meditation + Artifact Attack%, summed; then Infinity)</t>
        </is>
      </c>
      <c r="B1188">
        <f>(1+(IF(C1165=TRUE,F1165*IF(AND(Inputs!$B$38&lt;&gt;"pvp",Inputs!$B$43&gt;0),(((R1165-1)*(Skills!S3*(1+(Inputs!$B$34+IF(Inputs!$B$3&gt;=117,F1184,0))/100))+MIN((Skills!S3*(1+(Inputs!$B$34+IF(Inputs!$B$3&gt;=117,F1184,0))/100)),MAX(0,Inputs!$B$43-((R1165-1)*Skills!D3))))/Inputs!$B$43),IF(Inputs!$B$38="pvp",MIN((Skills!S3*(1+(Inputs!$B$34+IF(Inputs!$B$3&gt;=117,F1184,0))/100)),15)/15,(Skills!S3*(1+(Inputs!$B$34+IF(Inputs!$B$3&gt;=117,F1184,0))/100))/Skills!D3)),0)+IF(C1166=TRUE,F1166*IF(AND(Inputs!$B$38&lt;&gt;"pvp",Inputs!$B$43&gt;0),(((R1166-1)*(Skills!S4*(1+(Inputs!$B$34+IF(Inputs!$B$3&gt;=117,F1184,0))/100))+MIN((Skills!S4*(1+(Inputs!$B$34+IF(Inputs!$B$3&gt;=117,F1184,0))/100)),MAX(0,Inputs!$B$43-((R1166-1)*Skills!D4))))/Inputs!$B$43),IF(Inputs!$B$38="pvp",MIN((Skills!S4*(1+(Inputs!$B$34+IF(Inputs!$B$3&gt;=117,F1184,0))/100)),15)/15,(Skills!S4*(1+(Inputs!$B$34+IF(Inputs!$B$3&gt;=117,F1184,0)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1178=TRUE,(1+F1178*IF(AND(Inputs!$B$38&lt;&gt;"pvp",Inputs!$B$43&gt;0),(((R1178-1)*(Skills!S16*(1+(Inputs!$B$34+IF(Inputs!$B$3&gt;=117,F1184,0))/100))+MIN((Skills!S16*(1+(Inputs!$B$34+IF(Inputs!$B$3&gt;=117,F1184,0))/100)),MAX(0,Inputs!$B$43-((R1178-1)*Skills!D16))))/Inputs!$B$43),IF(Inputs!$B$38="pvp",MIN((Skills!S16*(1+(Inputs!$B$34+IF(Inputs!$B$3&gt;=117,F1184,0))/100)),15)/15,(Skills!S16*(1+(Inputs!$B$34+IF(Inputs!$B$3&gt;=117,F1184,0))/100))/Skills!D16))/100),1)</f>
        <v/>
      </c>
    </row>
    <row r="1189">
      <c r="A1189" t="inlineStr">
        <is>
          <t>Monster Damage Taken Bonus % (Freezing Breath - Weaken + Elemental Reset + Artifact Enemy Damage Taken, summed)</t>
        </is>
      </c>
      <c r="B1189">
        <f>IF(Inputs!$B$3&gt;=118,15*IF(Inputs!$B$38="pvp",MIN((30*(1+(Inputs!$B$34+IF(Inputs!$B$3&gt;=117,F1184,0))/100)),15)/15,(30*(1+(Inputs!$B$34+IF(Inputs!$B$3&gt;=117,F1184,0))/100))/Skills!D8),0)+IF(C1176=TRUE,F1176,0)+(IF(AND(ArtifactsInput!$M$35,Inputs!$B$4&lt;&gt;"Chapter Hunt"),CHOOSE(ArtifactsInput!$N$35+1,15,18,21,24,27,30)*(1-EXP(-(0.2*B1192)*5)),0)+IF(AND(ArtifactsInput!$M$22,Inputs!$B$4&lt;&gt;"Chapter Hunt"),CHOOSE(ArtifactsInput!$N$22+1,10,12,14,16,18,20)*((0*(((0.15*B1192*5))^0/1)+1*(((0.15*B1192*5))^1/1)+2*(((0.15*B1192*5))^2/2)+3*(((0.15*B1192*5))^3/6)+4*(((0.15*B1192*5))^4/24)+5*(((0.15*B1192*5))^5/120))/((((0.15*B1192*5))^0/1)+(((0.15*B1192*5))^1/1)+(((0.15*B1192*5))^2/2)+(((0.15*B1192*5))^3/6)+(((0.15*B1192*5))^4/24)+(((0.15*B1192*5))^5/120))),0))</f>
        <v/>
      </c>
    </row>
    <row r="1190">
      <c r="A1190" t="inlineStr">
        <is>
          <t>Damage % Bonus (Frozen Break + Frost Clutch, flat)</t>
        </is>
      </c>
      <c r="B1190">
        <f>IF(Inputs!$B$3&gt;=66,15,0)+IF(Inputs!$B$3&gt;=98,10,0)+IF(Inputs!$B$3&gt;=125,20,0)</f>
        <v/>
      </c>
    </row>
    <row r="1191">
      <c r="A1191" t="inlineStr">
        <is>
          <t>Attack Speed Bonus % (MP Eater - MP Boost, always-on once unlocked)</t>
        </is>
      </c>
      <c r="B1191">
        <f>IF(C1175=TRUE,F1175+(F1179-Calc!F17),0)</f>
        <v/>
      </c>
    </row>
    <row r="1192">
      <c r="A1192" t="inlineStr">
        <is>
          <t>Actions Per Second</t>
        </is>
      </c>
      <c r="B1192">
        <f>1+MIN(150,150*(1-(1-(Inputs!$B$11+(ArtifactsInput!$M$15-ArtifactsInput!$M$15)*CHOOSE(ArtifactsInput!$N$15+1,8,9.6,11.2,12.8,14.4,16))/150)*(1-B1191/150)))/100</f>
        <v/>
      </c>
    </row>
    <row r="1193">
      <c r="A1193" t="inlineStr">
        <is>
          <t>Skill + Buff Cast Rate</t>
        </is>
      </c>
      <c r="B1193">
        <f>IF(AND(Inputs!$B$38&lt;&gt;"pvp",Inputs!$B$43&gt;0),SUMPRODUCT((Skills!E2:E23=TRUE)*(C1164:C1185=TRUE)*R1164:R1185)/Inputs!$B$43,SUMPRODUCT((Skills!E2:E23=TRUE)*(C1164:C1185=TRUE)*Q1164:Q1185))</f>
        <v/>
      </c>
    </row>
    <row r="1194">
      <c r="A1194" t="inlineStr">
        <is>
          <t>Chain Lightning Casts Per Second</t>
        </is>
      </c>
      <c r="B1194">
        <f>MAX(0,B1192-B1193)</f>
        <v/>
      </c>
    </row>
    <row r="1195">
      <c r="A1195" t="inlineStr">
        <is>
          <t>Buff-Casting Startup Delay (s, fixed-duration only)</t>
        </is>
      </c>
      <c r="B1195">
        <f>IF(AND(Inputs!$B$38&lt;&gt;"pvp",Inputs!$B$43&gt;0),SUMPRODUCT((Skills!S2:S23&gt;0)*(Skills!E2:E23=TRUE)*(C1164:C1185=TRUE))/B1192,0)</f>
        <v/>
      </c>
    </row>
    <row r="1196">
      <c r="A1196" t="inlineStr">
        <is>
          <t>Boss-Only Total DPS (this block's swept value)</t>
        </is>
      </c>
      <c r="B1196">
        <f>SUM(S1164:S1185)</f>
        <v/>
      </c>
    </row>
    <row r="1197">
      <c r="A1197" t="inlineStr">
        <is>
          <t>Normal-Only Total DPS (this block's swept value)</t>
        </is>
      </c>
      <c r="B1197">
        <f>SUM(U1164:U1185)</f>
        <v/>
      </c>
    </row>
    <row r="1198">
      <c r="A1198" s="6" t="inlineStr">
        <is>
          <t>TOTAL DPS</t>
        </is>
      </c>
      <c r="B1198" s="6">
        <f>SUM(O1164:O1185)</f>
        <v/>
      </c>
    </row>
    <row r="1201">
      <c r="A1201" s="6" t="inlineStr">
        <is>
          <t>Stat: Rainbow-colored Snail Shell (Equip)</t>
        </is>
      </c>
    </row>
    <row r="1202">
      <c r="A1202" s="5" t="inlineStr">
        <is>
          <t>Key</t>
        </is>
      </c>
      <c r="B1202" s="5" t="inlineStr">
        <is>
          <t>Name</t>
        </is>
      </c>
      <c r="C1202" s="5" t="inlineStr">
        <is>
          <t>Unlocked</t>
        </is>
      </c>
      <c r="D1202" s="5" t="inlineStr">
        <is>
          <t>InputLevel</t>
        </is>
      </c>
      <c r="E1202" s="5" t="inlineStr">
        <is>
          <t>Factor</t>
        </is>
      </c>
      <c r="F1202" s="5" t="inlineStr">
        <is>
          <t>CoefficientPercent</t>
        </is>
      </c>
      <c r="G1202" s="5" t="inlineStr">
        <is>
          <t>EffectiveHits</t>
        </is>
      </c>
      <c r="H1202" s="5" t="inlineStr">
        <is>
          <t>ProcProbability</t>
        </is>
      </c>
      <c r="I1202" s="5" t="inlineStr">
        <is>
          <t>MapleHeroMultiplier</t>
        </is>
      </c>
      <c r="J1202" s="5" t="inlineStr">
        <is>
          <t>BaseDamage</t>
        </is>
      </c>
      <c r="K1202" s="5" t="inlineStr">
        <is>
          <t>BaseHitDamage</t>
        </is>
      </c>
      <c r="L1202" s="5" t="inlineStr">
        <is>
          <t>NonCritAvg</t>
        </is>
      </c>
      <c r="M1202" s="5" t="inlineStr">
        <is>
          <t>CritAvg</t>
        </is>
      </c>
      <c r="N1202" s="5" t="inlineStr">
        <is>
          <t>ExpectedDamage(perHit)</t>
        </is>
      </c>
      <c r="O1202" s="5" t="inlineStr">
        <is>
          <t>DPS</t>
        </is>
      </c>
      <c r="P1202" s="5" t="inlineStr">
        <is>
          <t>% of Total</t>
        </is>
      </c>
      <c r="R1202" t="inlineStr">
        <is>
          <t>helpers</t>
        </is>
      </c>
    </row>
    <row r="1203">
      <c r="A1203">
        <f>Skills!A2</f>
        <v/>
      </c>
      <c r="B1203">
        <f>Skills!B2</f>
        <v/>
      </c>
      <c r="C1203">
        <f>Inputs!$B$3&gt;=100</f>
        <v/>
      </c>
      <c r="D1203" t="inlineStr"/>
      <c r="E1203" t="inlineStr"/>
      <c r="F1203">
        <f>T1205+Skills!N2</f>
        <v/>
      </c>
      <c r="G1203">
        <f>Calc!G2</f>
        <v/>
      </c>
      <c r="H1203">
        <f>Calc!H2</f>
        <v/>
      </c>
      <c r="I1203">
        <f>IF(Skills!T2&lt;&gt;"",1+(Skills!T2/10)*(Z1204/1000)/100,1)</f>
        <v/>
      </c>
      <c r="J1203">
        <f>((Inputs!$B$6*(1+Inputs!$B$7/100))+(((Inputs!$B$12*(1+Inputs!$B$13/100))-(Inputs!$B$12*(1+Inputs!$B$13/100)))+0.25*(Inputs!$B$14-Inputs!$B$14))*(1+Inputs!$B$7/100))*(F1203/100)</f>
        <v/>
      </c>
      <c r="K1203">
        <f>J1203*(1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F1219-Calc!F18),(Inputs!$B$23+(IF(ArtifactsInput!$M$15,CHOOSE(ArtifactsInput!$N$15+1,25,30,35,40,45,50)/100*(Inputs!$B$11-Inputs!$B$11),0))))/100+(Inputs!$B$23+(IF(ArtifactsInput!$M$15,CHOOSE(ArtifactsInput!$N$15+1,25,30,35,40,45,50)/100*(Inputs!$B$11-Inputs!$B$11),0)))/100)/2</f>
        <v/>
      </c>
      <c r="M1203">
        <f>L1203*(1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3">
        <f>L1203*(1-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1203*(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3">
        <f>(1-Summary!$B$11)*S1203+Summary!$B$11*U1203</f>
        <v/>
      </c>
      <c r="P1203">
        <f>IF(B1237=0,0,O1203/B1237)</f>
        <v/>
      </c>
      <c r="Q1203">
        <f>IFERROR(1/IF(Inputs!$B$38="pvp",15,MAX(0.1,Skills!D2-IF(Skills!E2=TRUE,Inputs!$B$32,0))),0)</f>
        <v/>
      </c>
      <c r="R1203" t="n">
        <v>0</v>
      </c>
      <c r="S1203">
        <f>IF(C1203,(Skills!F2*N1203*B1233)*IF(Inputs!$B$38="pvp",1,1+(Inputs!$B$20+Skills!O2+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03">
        <f>MAX(0,(Inputs!$B$3-100)*3)+Inputs!$B$28+Inputs!$B$29</f>
        <v/>
      </c>
      <c r="U1203">
        <f>IF(C1203,(Skills!F2*N1203*B1233)*IF(Inputs!$B$38="pvp",1,(1+(Inputs!$B$21+Skills!P2+B1228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03">
        <f>MAX(0,(Inputs!$B$3-100)*3)+Inputs!$B$28+Inputs!$B$29</f>
        <v/>
      </c>
    </row>
    <row r="1204">
      <c r="A1204">
        <f>Skills!A3</f>
        <v/>
      </c>
      <c r="B1204">
        <f>Skills!B3</f>
        <v/>
      </c>
      <c r="C1204">
        <f>Inputs!$B$3&gt;=15</f>
        <v/>
      </c>
      <c r="D1204">
        <f>IF(Skills!C3=1,60+Inputs!$B$25+Inputs!$B$29,IF(Skills!C3=2,90+Inputs!$B$26+Inputs!$B$29,IF(Skills!C3=3,120+Inputs!$B$27+Inputs!$B$29,MAX(0,(Inputs!$B$3-100)*3)+Inputs!$B$28+Inputs!$B$29)))</f>
        <v/>
      </c>
      <c r="E1204">
        <f>INDEX(FactorTable!$B$2:$Y$301, MATCH(ROUND(MIN(300,MAX(1,D1204)),0), FactorTable!$A$2:$A$301,0), Skills!L3+1)</f>
        <v/>
      </c>
      <c r="F1204">
        <f>IF(Skills!M3=TRUE,(Skills!K3/10)*(E1204/1000),Skills!K3/10)+Skills!N3</f>
        <v/>
      </c>
      <c r="G1204">
        <f>Calc!G3</f>
        <v/>
      </c>
      <c r="H1204">
        <f>Calc!H3</f>
        <v/>
      </c>
      <c r="I1204">
        <f>IF(Skills!T3&lt;&gt;"",1+(Skills!T3/10)*(Z1204/1000)/100,1)</f>
        <v/>
      </c>
      <c r="J1204" t="inlineStr"/>
      <c r="K1204" t="inlineStr"/>
      <c r="L1204" t="inlineStr"/>
      <c r="M1204" t="inlineStr"/>
      <c r="N1204" t="inlineStr"/>
      <c r="O1204">
        <f>(1-Summary!$B$11)*S1204+Summary!$B$11*U1204</f>
        <v/>
      </c>
      <c r="P1204">
        <f>IF(B1237=0,0,O1204/B1237)</f>
        <v/>
      </c>
      <c r="Q1204">
        <f>IFERROR(1/IF(Inputs!$B$38="pvp",15,MAX(0.1,Skills!D3-IF(Skills!E3=TRUE,Inputs!$B$32,0))),0)</f>
        <v/>
      </c>
      <c r="R1204">
        <f>IF(AND(Inputs!$B$38&lt;&gt;"pvp",Inputs!$B$43&gt;0),IF(Inputs!$B$43&lt;=0,0,(INT(Inputs!$B$43/IF(Inputs!$B$38="pvp",15,MAX(0.1,Skills!D3-IF(Skills!E3=TRUE,Inputs!$B$32,0))))+1)),0)</f>
        <v/>
      </c>
      <c r="S1204" t="n">
        <v>0</v>
      </c>
      <c r="T1204">
        <f>INDEX(FactorTable!$B$2:$Y$301, MATCH(ROUND(MIN(300,MAX(1,T1203)),0), FactorTable!$A$2:$A$301,0), 22)</f>
        <v/>
      </c>
      <c r="U1204" t="n">
        <v>0</v>
      </c>
      <c r="Z1204">
        <f>INDEX(FactorTable!$B$2:$Y$301, MATCH(ROUND(MIN(300,MAX(1,Z1203)),0), FactorTable!$A$2:$A$301,0), 24)</f>
        <v/>
      </c>
    </row>
    <row r="1205">
      <c r="A1205">
        <f>Skills!A4</f>
        <v/>
      </c>
      <c r="B1205">
        <f>Skills!B4</f>
        <v/>
      </c>
      <c r="C1205">
        <f>Inputs!$B$3&gt;=40</f>
        <v/>
      </c>
      <c r="D1205">
        <f>IF(Skills!C4=1,60+Inputs!$B$25+Inputs!$B$29,IF(Skills!C4=2,90+Inputs!$B$26+Inputs!$B$29,IF(Skills!C4=3,120+Inputs!$B$27+Inputs!$B$29,MAX(0,(Inputs!$B$3-100)*3)+Inputs!$B$28+Inputs!$B$29)))</f>
        <v/>
      </c>
      <c r="E1205">
        <f>INDEX(FactorTable!$B$2:$Y$301, MATCH(ROUND(MIN(300,MAX(1,D1205)),0), FactorTable!$A$2:$A$301,0), Skills!L4+1)</f>
        <v/>
      </c>
      <c r="F1205">
        <f>IF(Skills!M4=TRUE,(Skills!K4/10)*(E1205/1000),Skills!K4/10)+Skills!N4</f>
        <v/>
      </c>
      <c r="G1205">
        <f>Calc!G4</f>
        <v/>
      </c>
      <c r="H1205">
        <f>Calc!H4</f>
        <v/>
      </c>
      <c r="I1205">
        <f>IF(Skills!T4&lt;&gt;"",1+(Skills!T4/10)*(Z1204/1000)/100,1)</f>
        <v/>
      </c>
      <c r="J1205" t="inlineStr"/>
      <c r="K1205" t="inlineStr"/>
      <c r="L1205" t="inlineStr"/>
      <c r="M1205" t="inlineStr"/>
      <c r="N1205" t="inlineStr"/>
      <c r="O1205">
        <f>(1-Summary!$B$11)*S1205+Summary!$B$11*U1205</f>
        <v/>
      </c>
      <c r="P1205">
        <f>IF(B1237=0,0,O1205/B1237)</f>
        <v/>
      </c>
      <c r="Q1205">
        <f>IFERROR(1/IF(Inputs!$B$38="pvp",15,MAX(0.1,Skills!D4-IF(Skills!E4=TRUE,Inputs!$B$32,0))),0)</f>
        <v/>
      </c>
      <c r="R1205">
        <f>IF(AND(Inputs!$B$38&lt;&gt;"pvp",Inputs!$B$43&gt;0),IF(Inputs!$B$43&lt;=0,0,(INT(Inputs!$B$43/IF(Inputs!$B$38="pvp",15,MAX(0.1,Skills!D4-IF(Skills!E4=TRUE,Inputs!$B$32,0))))+1)),0)</f>
        <v/>
      </c>
      <c r="S1205" t="n">
        <v>0</v>
      </c>
      <c r="T1205">
        <f>290*T1204/1000</f>
        <v/>
      </c>
      <c r="U1205" t="n">
        <v>0</v>
      </c>
    </row>
    <row r="1206">
      <c r="A1206">
        <f>Skills!A5</f>
        <v/>
      </c>
      <c r="B1206">
        <f>Skills!B5</f>
        <v/>
      </c>
      <c r="C1206">
        <f>Inputs!$B$3&gt;=38</f>
        <v/>
      </c>
      <c r="D1206">
        <f>IF(Skills!C5=1,60+Inputs!$B$25+Inputs!$B$29,IF(Skills!C5=2,90+Inputs!$B$26+Inputs!$B$29,IF(Skills!C5=3,120+Inputs!$B$27+Inputs!$B$29,MAX(0,(Inputs!$B$3-100)*3)+Inputs!$B$28+Inputs!$B$29)))</f>
        <v/>
      </c>
      <c r="E1206">
        <f>INDEX(FactorTable!$B$2:$Y$301, MATCH(ROUND(MIN(300,MAX(1,D1206)),0), FactorTable!$A$2:$A$301,0), Skills!L5+1)</f>
        <v/>
      </c>
      <c r="F1206">
        <f>IF(Skills!M5=TRUE,(Skills!K5/10)*(E1206/1000),Skills!K5/10)+Skills!N5</f>
        <v/>
      </c>
      <c r="G1206">
        <f>Calc!G5</f>
        <v/>
      </c>
      <c r="H1206">
        <f>Calc!H5</f>
        <v/>
      </c>
      <c r="I1206">
        <f>IF(Skills!T5&lt;&gt;"",1+(Skills!T5/10)*(Z1204/1000)/100,1)</f>
        <v/>
      </c>
      <c r="J1206">
        <f>((Inputs!$B$6*(1+Inputs!$B$7/100))+(((Inputs!$B$12*(1+Inputs!$B$13/100))-(Inputs!$B$12*(1+Inputs!$B$13/100)))+0.25*(Inputs!$B$14-Inputs!$B$14))*(1+Inputs!$B$7/100))*(F1206/100)</f>
        <v/>
      </c>
      <c r="K1206">
        <f>J1206*(1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5="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F1219-Calc!F18),(Inputs!$B$23+(IF(ArtifactsInput!$M$15,CHOOSE(ArtifactsInput!$N$15+1,25,30,35,40,45,50)/100*(Inputs!$B$11-Inputs!$B$11),0))))/100+(Inputs!$B$23+(IF(ArtifactsInput!$M$15,CHOOSE(ArtifactsInput!$N$15+1,25,30,35,40,45,50)/100*(Inputs!$B$11-Inputs!$B$11),0)))/100)/2</f>
        <v/>
      </c>
      <c r="M1206">
        <f>L1206*(1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6">
        <f>L1206*(1-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1206*(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6">
        <f>(1-Summary!$B$11)*S1206+Summary!$B$11*U1206</f>
        <v/>
      </c>
      <c r="P1206">
        <f>IF(B1237=0,0,O1206/B1237)</f>
        <v/>
      </c>
      <c r="Q1206">
        <f>IFERROR(1/IF(Inputs!$B$38="pvp",15,MAX(0.1,Skills!D5-IF(Skills!E5=TRUE,Inputs!$B$32,0))),0)</f>
        <v/>
      </c>
      <c r="R1206">
        <f>IF(AND(Inputs!$B$38&lt;&gt;"pvp",Inputs!$B$43&gt;0),IF(MAX(0,Inputs!$B$43-B1234)&lt;=0,0,(INT(MAX(0,Inputs!$B$43-B1234)/IF(Inputs!$B$38="pvp",15,MAX(0.1,Skills!D5-IF(Skills!E5=TRUE,Inputs!$B$32,0))))+1)),0)</f>
        <v/>
      </c>
      <c r="S1206">
        <f>IF(C1206,(H1206*N1206*IF(AND(Inputs!$B$38&lt;&gt;"pvp",Inputs!$B$43&gt;0),((Skills!F5*((R1206-1)*IF(Skills!G5&gt;0,Skills!H5/Skills!G5,1)+IF(Skills!G5&gt;0,MIN(Skills!H5,MAX(0,MAX(0,Inputs!$B$43-B1234)-((R1206-1)*IF(Inputs!$B$38="pvp",15,MAX(0.1,Skills!D5-IF(Skills!E5=TRUE,Inputs!$B$32,0))))))/Skills!G5,1)))/Inputs!$B$43),G1206*Q1206))*IF(Inputs!$B$38="pvp",1,1+(Inputs!$B$20+Skills!O5+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1206*(1-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1206*(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1206*(1-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1206*(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6">
        <f>IF(C1206,(H1206*N1206*IF(AND(Inputs!$B$38&lt;&gt;"pvp",Inputs!$B$43&gt;0),((Skills!F5*((R1206-1)*IF(Skills!G5&gt;0,Skills!H5/Skills!G5,1)+IF(Skills!G5&gt;0,MIN(Skills!H5,MAX(0,MAX(0,Inputs!$B$43-B1234)-((R1206-1)*IF(Inputs!$B$38="pvp",15,MAX(0.1,Skills!D5-IF(Skills!E5=TRUE,Inputs!$B$32,0))))))/Skills!G5,1)))/Inputs!$B$43),G1206*Q1206))*IF(Inputs!$B$38="pvp",1,(1+(Inputs!$B$21+Skills!P5+B1228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Skills!A6</f>
        <v/>
      </c>
      <c r="B1207">
        <f>Skills!B6</f>
        <v/>
      </c>
      <c r="C1207">
        <f>Inputs!$B$3&gt;=63</f>
        <v/>
      </c>
      <c r="D1207">
        <f>IF(Skills!C6=1,60+Inputs!$B$25+Inputs!$B$29,IF(Skills!C6=2,90+Inputs!$B$26+Inputs!$B$29,IF(Skills!C6=3,120+Inputs!$B$27+Inputs!$B$29,MAX(0,(Inputs!$B$3-100)*3)+Inputs!$B$28+Inputs!$B$29)))</f>
        <v/>
      </c>
      <c r="E1207">
        <f>INDEX(FactorTable!$B$2:$Y$301, MATCH(ROUND(MIN(300,MAX(1,D1207)),0), FactorTable!$A$2:$A$301,0), Skills!L6+1)</f>
        <v/>
      </c>
      <c r="F1207">
        <f>IF(Skills!M6=TRUE,(Skills!K6/10)*(E1207/1000),Skills!K6/10)+Skills!N6</f>
        <v/>
      </c>
      <c r="G1207">
        <f>Calc!G6</f>
        <v/>
      </c>
      <c r="H1207">
        <f>Calc!H6</f>
        <v/>
      </c>
      <c r="I1207">
        <f>IF(Skills!T6&lt;&gt;"",1+(Skills!T6/10)*(Z1204/1000)/100,1)</f>
        <v/>
      </c>
      <c r="J1207">
        <f>((Inputs!$B$6*(1+Inputs!$B$7/100))+(((Inputs!$B$12*(1+Inputs!$B$13/100))-(Inputs!$B$12*(1+Inputs!$B$13/100)))+0.25*(Inputs!$B$14-Inputs!$B$14))*(1+Inputs!$B$7/100))*(F1207/100)</f>
        <v/>
      </c>
      <c r="K1207">
        <f>J1207*(1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6="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F1219-Calc!F18),(Inputs!$B$23+(IF(ArtifactsInput!$M$15,CHOOSE(ArtifactsInput!$N$15+1,25,30,35,40,45,50)/100*(Inputs!$B$11-Inputs!$B$11),0))))/100+(Inputs!$B$23+(IF(ArtifactsInput!$M$15,CHOOSE(ArtifactsInput!$N$15+1,25,30,35,40,45,50)/100*(Inputs!$B$11-Inputs!$B$11),0)))/100)/2</f>
        <v/>
      </c>
      <c r="M1207">
        <f>L1207*(1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7">
        <f>L1207*(1-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1207*(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7">
        <f>(1-Summary!$B$11)*S1207+Summary!$B$11*U1207</f>
        <v/>
      </c>
      <c r="P1207">
        <f>IF(B1237=0,0,O1207/B1237)</f>
        <v/>
      </c>
      <c r="Q1207">
        <f>IFERROR(1/IF(Inputs!$B$38="pvp",15,MAX(0.1,Skills!D6-IF(Skills!E6=TRUE,Inputs!$B$32,0))),0)</f>
        <v/>
      </c>
      <c r="R1207">
        <f>IF(AND(Inputs!$B$38&lt;&gt;"pvp",Inputs!$B$43&gt;0),IF(MAX(0,Inputs!$B$43-B1234)&lt;=0,0,(INT(MAX(0,Inputs!$B$43-B1234)/IF(Inputs!$B$38="pvp",15,MAX(0.1,Skills!D6-IF(Skills!E6=TRUE,Inputs!$B$32,0))))+1)),0)</f>
        <v/>
      </c>
      <c r="S1207">
        <f>IF(C1207,(H1207*N1207*IF(AND(Inputs!$B$38&lt;&gt;"pvp",Inputs!$B$43&gt;0),((Skills!F6*((R1207-1)*IF(Skills!G6&gt;0,Skills!H6/Skills!G6,1)+IF(Skills!G6&gt;0,MIN(Skills!H6,MAX(0,MAX(0,Inputs!$B$43-B1234)-((R1207-1)*IF(Inputs!$B$38="pvp",15,MAX(0.1,Skills!D6-IF(Skills!E6=TRUE,Inputs!$B$32,0))))))/Skills!G6,1)))/Inputs!$B$43),G1207*Q1207))*IF(Inputs!$B$38="pvp",1,1+(Inputs!$B$20+Skills!O6+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1207*(1-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1207*(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1207*(1-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1207*(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IF(C1207,(H1207*N1207*IF(AND(Inputs!$B$38&lt;&gt;"pvp",Inputs!$B$43&gt;0),((Skills!F6*((R1207-1)*IF(Skills!G6&gt;0,Skills!H6/Skills!G6,1)+IF(Skills!G6&gt;0,MIN(Skills!H6,MAX(0,MAX(0,Inputs!$B$43-B1234)-((R1207-1)*IF(Inputs!$B$38="pvp",15,MAX(0.1,Skills!D6-IF(Skills!E6=TRUE,Inputs!$B$32,0))))))/Skills!G6,1)))/Inputs!$B$43),G1207*Q1207))*IF(Inputs!$B$38="pvp",1,(1+(Inputs!$B$21+Skills!P6+B1228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Skills!A7</f>
        <v/>
      </c>
      <c r="B1208">
        <f>Skills!B7</f>
        <v/>
      </c>
      <c r="C1208">
        <f>Inputs!$B$3&gt;=69</f>
        <v/>
      </c>
      <c r="D1208">
        <f>IF(Skills!C7=1,60+Inputs!$B$25+Inputs!$B$29,IF(Skills!C7=2,90+Inputs!$B$26+Inputs!$B$29,IF(Skills!C7=3,120+Inputs!$B$27+Inputs!$B$29,MAX(0,(Inputs!$B$3-100)*3)+Inputs!$B$28+Inputs!$B$29)))</f>
        <v/>
      </c>
      <c r="E1208">
        <f>INDEX(FactorTable!$B$2:$Y$301, MATCH(ROUND(MIN(300,MAX(1,D1208)),0), FactorTable!$A$2:$A$301,0), Skills!L7+1)</f>
        <v/>
      </c>
      <c r="F1208">
        <f>IF(Skills!M7=TRUE,(Skills!K7/10)*(E1208/1000),Skills!K7/10)+Skills!N7</f>
        <v/>
      </c>
      <c r="G1208">
        <f>Calc!G7</f>
        <v/>
      </c>
      <c r="H1208">
        <f>Calc!H7</f>
        <v/>
      </c>
      <c r="I1208">
        <f>IF(Skills!T7&lt;&gt;"",1+(Skills!T7/10)*(Z1204/1000)/100,1)</f>
        <v/>
      </c>
      <c r="J1208">
        <f>((Inputs!$B$6*(1+Inputs!$B$7/100))+(((Inputs!$B$12*(1+Inputs!$B$13/100))-(Inputs!$B$12*(1+Inputs!$B$13/100)))+0.25*(Inputs!$B$14-Inputs!$B$14))*(1+Inputs!$B$7/100))*(F1208/100)</f>
        <v/>
      </c>
      <c r="K1208">
        <f>J1208*(1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7="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F1219-Calc!F18),(Inputs!$B$23+(IF(ArtifactsInput!$M$15,CHOOSE(ArtifactsInput!$N$15+1,25,30,35,40,45,50)/100*(Inputs!$B$11-Inputs!$B$11),0))))/100+(Inputs!$B$23+(IF(ArtifactsInput!$M$15,CHOOSE(ArtifactsInput!$N$15+1,25,30,35,40,45,50)/100*(Inputs!$B$11-Inputs!$B$11),0)))/100)/2</f>
        <v/>
      </c>
      <c r="M1208">
        <f>L1208*(1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8">
        <f>L1208*(1-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1208*(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8">
        <f>(1-Summary!$B$11)*S1208+Summary!$B$11*U1208</f>
        <v/>
      </c>
      <c r="P1208">
        <f>IF(B1237=0,0,O1208/B1237)</f>
        <v/>
      </c>
      <c r="Q1208">
        <f>IFERROR(1/IF(Inputs!$B$38="pvp",15,MAX(0.1,Skills!D7-IF(Skills!E7=TRUE,Inputs!$B$32,0))),0)</f>
        <v/>
      </c>
      <c r="R1208">
        <f>IF(AND(Inputs!$B$38&lt;&gt;"pvp",Inputs!$B$43&gt;0),IF(MAX(0,Inputs!$B$43-B1234)&lt;=0,0,(INT(MAX(0,Inputs!$B$43-B1234)/IF(Inputs!$B$38="pvp",15,MAX(0.1,Skills!D7-IF(Skills!E7=TRUE,Inputs!$B$32,0))))+1)),0)</f>
        <v/>
      </c>
      <c r="S1208">
        <f>IF(C1208,(H1208*N1208*IF(AND(Inputs!$B$38&lt;&gt;"pvp",Inputs!$B$43&gt;0),((Skills!F7*((R1208-1)*IF(Skills!G7&gt;0,Skills!H7/Skills!G7,1)+IF(Skills!G7&gt;0,MIN(Skills!H7,MAX(0,MAX(0,Inputs!$B$43-B1234)-((R1208-1)*IF(Inputs!$B$38="pvp",15,MAX(0.1,Skills!D7-IF(Skills!E7=TRUE,Inputs!$B$32,0))))))/Skills!G7,1)))/Inputs!$B$43),G1208*Q1208))*IF(Inputs!$B$38="pvp",1,1+(Inputs!$B$20+Skills!O7+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1208*(1-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1208*(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1208*(1-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1208*(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8">
        <f>IF(C1208,(H1208*N1208*IF(AND(Inputs!$B$38&lt;&gt;"pvp",Inputs!$B$43&gt;0),((Skills!F7*((R1208-1)*IF(Skills!G7&gt;0,Skills!H7/Skills!G7,1)+IF(Skills!G7&gt;0,MIN(Skills!H7,MAX(0,MAX(0,Inputs!$B$43-B1234)-((R1208-1)*IF(Inputs!$B$38="pvp",15,MAX(0.1,Skills!D7-IF(Skills!E7=TRUE,Inputs!$B$32,0))))))/Skills!G7,1)))/Inputs!$B$43),G1208*Q1208))*IF(Inputs!$B$38="pvp",1,(1+(Inputs!$B$21+Skills!P7+B1228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Skills!A8</f>
        <v/>
      </c>
      <c r="B1209">
        <f>Skills!B8</f>
        <v/>
      </c>
      <c r="C1209">
        <f>Inputs!$B$3&gt;=103</f>
        <v/>
      </c>
      <c r="D1209">
        <f>IF(Skills!C8=1,60+Inputs!$B$25+Inputs!$B$29,IF(Skills!C8=2,90+Inputs!$B$26+Inputs!$B$29,IF(Skills!C8=3,120+Inputs!$B$27+Inputs!$B$29,MAX(0,(Inputs!$B$3-100)*3)+Inputs!$B$28+Inputs!$B$29)))</f>
        <v/>
      </c>
      <c r="E1209">
        <f>INDEX(FactorTable!$B$2:$Y$301, MATCH(ROUND(MIN(300,MAX(1,D1209)),0), FactorTable!$A$2:$A$301,0), Skills!L8+1)</f>
        <v/>
      </c>
      <c r="F1209">
        <f>IF(Skills!M8=TRUE,(Skills!K8/10)*(E1209/1000),Skills!K8/10)+Skills!N8</f>
        <v/>
      </c>
      <c r="G1209">
        <f>Calc!G8</f>
        <v/>
      </c>
      <c r="H1209">
        <f>Calc!H8</f>
        <v/>
      </c>
      <c r="I1209">
        <f>IF(Skills!T8&lt;&gt;"",1+(Skills!T8/10)*(Z1204/1000)/100,1)</f>
        <v/>
      </c>
      <c r="J1209">
        <f>((Inputs!$B$6*(1+Inputs!$B$7/100))+(((Inputs!$B$12*(1+Inputs!$B$13/100))-(Inputs!$B$12*(1+Inputs!$B$13/100)))+0.25*(Inputs!$B$14-Inputs!$B$14))*(1+Inputs!$B$7/100))*(F1209/100)</f>
        <v/>
      </c>
      <c r="K1209">
        <f>J1209*(1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8="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F1219-Calc!F18),(Inputs!$B$23+(IF(ArtifactsInput!$M$15,CHOOSE(ArtifactsInput!$N$15+1,25,30,35,40,45,50)/100*(Inputs!$B$11-Inputs!$B$11),0))))/100+(Inputs!$B$23+(IF(ArtifactsInput!$M$15,CHOOSE(ArtifactsInput!$N$15+1,25,30,35,40,45,50)/100*(Inputs!$B$11-Inputs!$B$11),0)))/100)/2</f>
        <v/>
      </c>
      <c r="M1209">
        <f>L1209*(1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9">
        <f>L1209*(1-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1209*(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9">
        <f>(1-Summary!$B$11)*S1209+Summary!$B$11*U1209</f>
        <v/>
      </c>
      <c r="P1209">
        <f>IF(B1237=0,0,O1209/B1237)</f>
        <v/>
      </c>
      <c r="Q1209">
        <f>IFERROR(1/IF(Inputs!$B$38="pvp",15,MAX(0.1,Skills!D8-IF(Skills!E8=TRUE,Inputs!$B$32,0))),0)</f>
        <v/>
      </c>
      <c r="R1209">
        <f>IF(AND(Inputs!$B$38&lt;&gt;"pvp",Inputs!$B$43&gt;0),IF(MAX(0,Inputs!$B$43-B1234)&lt;=0,0,(INT(MAX(0,Inputs!$B$43-B1234)/IF(Inputs!$B$38="pvp",15,MAX(0.1,Skills!D8-IF(Skills!E8=TRUE,Inputs!$B$32,0))))+1)),0)</f>
        <v/>
      </c>
      <c r="S1209">
        <f>IF(C1209,(H1209*N1209*IF(AND(Inputs!$B$38&lt;&gt;"pvp",Inputs!$B$43&gt;0),((Skills!F8*((R1209-1)*IF(Skills!G8&gt;0,Skills!H8/Skills!G8,1)+IF(Skills!G8&gt;0,MIN(Skills!H8,MAX(0,MAX(0,Inputs!$B$43-B1234)-((R1209-1)*IF(Inputs!$B$38="pvp",15,MAX(0.1,Skills!D8-IF(Skills!E8=TRUE,Inputs!$B$32,0))))))/Skills!G8,1)))/Inputs!$B$43),G1209*Q1209))*IF(Inputs!$B$38="pvp",1,1+(Inputs!$B$20+Skills!O8+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1209*(1-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1209*(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1209*(1-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1209*(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9">
        <f>IF(C1209,(H1209*N1209*IF(AND(Inputs!$B$38&lt;&gt;"pvp",Inputs!$B$43&gt;0),((Skills!F8*((R1209-1)*IF(Skills!G8&gt;0,Skills!H8/Skills!G8,1)+IF(Skills!G8&gt;0,MIN(Skills!H8,MAX(0,MAX(0,Inputs!$B$43-B1234)-((R1209-1)*IF(Inputs!$B$38="pvp",15,MAX(0.1,Skills!D8-IF(Skills!E8=TRUE,Inputs!$B$32,0))))))/Skills!G8,1)))/Inputs!$B$43),G1209*Q1209))*IF(Inputs!$B$38="pvp",1,(1+(Inputs!$B$21+Skills!P8+B1228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Skills!A9</f>
        <v/>
      </c>
      <c r="B1210">
        <f>Skills!B9</f>
        <v/>
      </c>
      <c r="C1210">
        <f>Inputs!$B$3&gt;=105</f>
        <v/>
      </c>
      <c r="D1210">
        <f>IF(Skills!C9=1,60+Inputs!$B$25+Inputs!$B$29,IF(Skills!C9=2,90+Inputs!$B$26+Inputs!$B$29,IF(Skills!C9=3,120+Inputs!$B$27+Inputs!$B$29,MAX(0,(Inputs!$B$3-100)*3)+Inputs!$B$28+Inputs!$B$29)))</f>
        <v/>
      </c>
      <c r="E1210">
        <f>INDEX(FactorTable!$B$2:$Y$301, MATCH(ROUND(MIN(300,MAX(1,D1210)),0), FactorTable!$A$2:$A$301,0), Skills!L9+1)</f>
        <v/>
      </c>
      <c r="F1210">
        <f>IF(Skills!M9=TRUE,(Skills!K9/10)*(E1210/1000),Skills!K9/10)+Skills!N9</f>
        <v/>
      </c>
      <c r="G1210">
        <f>Calc!G9</f>
        <v/>
      </c>
      <c r="H1210">
        <f>Calc!H9</f>
        <v/>
      </c>
      <c r="I1210">
        <f>IF(Skills!T9&lt;&gt;"",1+(Skills!T9/10)*(Z1204/1000)/100,1)</f>
        <v/>
      </c>
      <c r="J1210">
        <f>((Inputs!$B$6*(1+Inputs!$B$7/100))+(((Inputs!$B$12*(1+Inputs!$B$13/100))-(Inputs!$B$12*(1+Inputs!$B$13/100)))+0.25*(Inputs!$B$14-Inputs!$B$14))*(1+Inputs!$B$7/100))*(F1210/100)</f>
        <v/>
      </c>
      <c r="K1210">
        <f>J1210*(1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9="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F1219-Calc!F18),(Inputs!$B$23+(IF(ArtifactsInput!$M$15,CHOOSE(ArtifactsInput!$N$15+1,25,30,35,40,45,50)/100*(Inputs!$B$11-Inputs!$B$11),0))))/100+(Inputs!$B$23+(IF(ArtifactsInput!$M$15,CHOOSE(ArtifactsInput!$N$15+1,25,30,35,40,45,50)/100*(Inputs!$B$11-Inputs!$B$11),0)))/100)/2</f>
        <v/>
      </c>
      <c r="M1210">
        <f>L1210*(1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0">
        <f>L1210*(1-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1210*(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0">
        <f>(1-Summary!$B$11)*S1210+Summary!$B$11*U1210</f>
        <v/>
      </c>
      <c r="P1210">
        <f>IF(B1237=0,0,O1210/B1237)</f>
        <v/>
      </c>
      <c r="Q1210">
        <f>IFERROR(1/IF(Inputs!$B$38="pvp",15,MAX(0.1,Skills!D9-IF(Skills!E9=TRUE,Inputs!$B$32,0))),0)</f>
        <v/>
      </c>
      <c r="R1210">
        <f>IF(AND(Inputs!$B$38&lt;&gt;"pvp",Inputs!$B$43&gt;0),IF(MAX(0,Inputs!$B$43-B1234)&lt;=0,0,(INT(MAX(0,Inputs!$B$43-B1234)/IF(Inputs!$B$38="pvp",15,MAX(0.1,Skills!D9-IF(Skills!E9=TRUE,Inputs!$B$32,0))))+1)),0)</f>
        <v/>
      </c>
      <c r="S1210">
        <f>IF(C1210,(H1210*N1210*IF(AND(Inputs!$B$38&lt;&gt;"pvp",Inputs!$B$43&gt;0),((Skills!F9*((R1210-1)*IF(Skills!G9&gt;0,Skills!H9/Skills!G9,1)+IF(Skills!G9&gt;0,MIN(Skills!H9,MAX(0,MAX(0,Inputs!$B$43-B1234)-((R1210-1)*IF(Inputs!$B$38="pvp",15,MAX(0.1,Skills!D9-IF(Skills!E9=TRUE,Inputs!$B$32,0))))))/Skills!G9,1)))/Inputs!$B$43),G1210*Q1210))*IF(Inputs!$B$38="pvp",1,1+(Inputs!$B$20+Skills!O9+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1210*(1-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1210*(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1210*(1-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1210*(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0">
        <f>IF(C1210,(H1210*N1210*IF(AND(Inputs!$B$38&lt;&gt;"pvp",Inputs!$B$43&gt;0),((Skills!F9*((R1210-1)*IF(Skills!G9&gt;0,Skills!H9/Skills!G9,1)+IF(Skills!G9&gt;0,MIN(Skills!H9,MAX(0,MAX(0,Inputs!$B$43-B1234)-((R1210-1)*IF(Inputs!$B$38="pvp",15,MAX(0.1,Skills!D9-IF(Skills!E9=TRUE,Inputs!$B$32,0))))))/Skills!G9,1)))/Inputs!$B$43),G1210*Q1210))*IF(Inputs!$B$38="pvp",1,(1+(Inputs!$B$21+Skills!P9+B1228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Skills!A10</f>
        <v/>
      </c>
      <c r="B1211">
        <f>Skills!B10</f>
        <v/>
      </c>
      <c r="C1211">
        <f>Inputs!$B$3&gt;=113</f>
        <v/>
      </c>
      <c r="D1211">
        <f>IF(Skills!C10=1,60+Inputs!$B$25+Inputs!$B$29,IF(Skills!C10=2,90+Inputs!$B$26+Inputs!$B$29,IF(Skills!C10=3,120+Inputs!$B$27+Inputs!$B$29,MAX(0,(Inputs!$B$3-100)*3)+Inputs!$B$28+Inputs!$B$29)))</f>
        <v/>
      </c>
      <c r="E1211">
        <f>INDEX(FactorTable!$B$2:$Y$301, MATCH(ROUND(MIN(300,MAX(1,D1211)),0), FactorTable!$A$2:$A$301,0), Skills!L10+1)</f>
        <v/>
      </c>
      <c r="F1211">
        <f>IF(Skills!M10=TRUE,(Skills!K10/10)*(E1211/1000),Skills!K10/10)+Skills!N10</f>
        <v/>
      </c>
      <c r="G1211">
        <f>Calc!G10</f>
        <v/>
      </c>
      <c r="H1211">
        <f>Calc!H10</f>
        <v/>
      </c>
      <c r="I1211">
        <f>IF(Skills!T10&lt;&gt;"",1+(Skills!T10/10)*(Z1204/1000)/100,1)</f>
        <v/>
      </c>
      <c r="J1211">
        <f>((Inputs!$B$6*(1+Inputs!$B$7/100))+(((Inputs!$B$12*(1+Inputs!$B$13/100))-(Inputs!$B$12*(1+Inputs!$B$13/100)))+0.25*(Inputs!$B$14-Inputs!$B$14))*(1+Inputs!$B$7/100))*(F1211/100)</f>
        <v/>
      </c>
      <c r="K1211">
        <f>J1211*(1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10="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F1219-Calc!F18),(Inputs!$B$23+(IF(ArtifactsInput!$M$15,CHOOSE(ArtifactsInput!$N$15+1,25,30,35,40,45,50)/100*(Inputs!$B$11-Inputs!$B$11),0))))/100+(Inputs!$B$23+(IF(ArtifactsInput!$M$15,CHOOSE(ArtifactsInput!$N$15+1,25,30,35,40,45,50)/100*(Inputs!$B$11-Inputs!$B$11),0)))/100)/2</f>
        <v/>
      </c>
      <c r="M1211">
        <f>L1211*(1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1">
        <f>L1211*(1-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1">
        <f>(1-Summary!$B$11)*S1211+Summary!$B$11*U1211</f>
        <v/>
      </c>
      <c r="P1211">
        <f>IF(B1237=0,0,O1211/B1237)</f>
        <v/>
      </c>
      <c r="Q1211">
        <f>IFERROR(1/IF(Inputs!$B$38="pvp",15,MAX(0.1,Skills!D10-IF(Skills!E9=TRUE,Inputs!$B$32,0))),0)</f>
        <v/>
      </c>
      <c r="R1211">
        <f>IF(AND(Inputs!$B$38&lt;&gt;"pvp",Inputs!$B$43&gt;0),IF(MAX(0,Inputs!$B$43-B1234)&lt;=0,0,(INT(MAX(0,Inputs!$B$43-B1234)/IF(Inputs!$B$38="pvp",15,MAX(0.1,Skills!D10-IF(Skills!E9=TRUE,Inputs!$B$32,0))))+1)),0)</f>
        <v/>
      </c>
      <c r="S1211">
        <f>IF(C1211,(H1211*N1211*IF(AND(Inputs!$B$38&lt;&gt;"pvp",Inputs!$B$43&gt;0),((Skills!F10*((R1211-1)*IF(Skills!G10&gt;0,Skills!H10/Skills!G10,1)+IF(Skills!G10&gt;0,MIN(Skills!H10,MAX(0,MAX(0,Inputs!$B$43-B1234)-((R1211-1)*IF(Inputs!$B$38="pvp",15,MAX(0.1,Skills!D10-IF(Skills!E9=TRUE,Inputs!$B$32,0))))))/Skills!G10,1)))/Inputs!$B$43),G1211*Q1211))*IF(Inputs!$B$38="pvp",1,1+(Inputs!$B$20+Skills!O10+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1">
        <f>IF(C1211,(H1211*N1211*IF(AND(Inputs!$B$38&lt;&gt;"pvp",Inputs!$B$43&gt;0),((Skills!F10*((R1211-1)*IF(Skills!G10&gt;0,Skills!H10/Skills!G10,1)+IF(Skills!G10&gt;0,MIN(Skills!H10,MAX(0,MAX(0,Inputs!$B$43-B1234)-((R1211-1)*IF(Inputs!$B$38="pvp",15,MAX(0.1,Skills!D10-IF(Skills!E9=TRUE,Inputs!$B$32,0))))))/Skills!G10,1)))/Inputs!$B$43),G1211*Q1211))*IF(Inputs!$B$38="pvp",1,(1+(Inputs!$B$21+Skills!P10+B1228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Skills!A11</f>
        <v/>
      </c>
      <c r="B1212">
        <f>Skills!B11</f>
        <v/>
      </c>
      <c r="C1212">
        <f>Inputs!$B$3&gt;=107</f>
        <v/>
      </c>
      <c r="D1212">
        <f>IF(Skills!C11=1,60+Inputs!$B$25+Inputs!$B$29,IF(Skills!C11=2,90+Inputs!$B$26+Inputs!$B$29,IF(Skills!C11=3,120+Inputs!$B$27+Inputs!$B$29,MAX(0,(Inputs!$B$3-100)*3)+Inputs!$B$28+Inputs!$B$29)))</f>
        <v/>
      </c>
      <c r="E1212">
        <f>INDEX(FactorTable!$B$2:$Y$301, MATCH(ROUND(MIN(300,MAX(1,D1212)),0), FactorTable!$A$2:$A$301,0), Skills!L11+1)</f>
        <v/>
      </c>
      <c r="F1212">
        <f>IF(Skills!M11=TRUE,(Skills!K11/10)*(E1212/1000),Skills!K11/10)+Skills!N11</f>
        <v/>
      </c>
      <c r="G1212">
        <f>Calc!G11</f>
        <v/>
      </c>
      <c r="H1212">
        <f>Calc!H11</f>
        <v/>
      </c>
      <c r="I1212">
        <f>IF(Skills!T11&lt;&gt;"",1+(Skills!T11/10)*(Z1204/1000)/100,1)</f>
        <v/>
      </c>
      <c r="J1212">
        <f>((Inputs!$B$6*(1+Inputs!$B$7/100))+(((Inputs!$B$12*(1+Inputs!$B$13/100))-(Inputs!$B$12*(1+Inputs!$B$13/100)))+0.25*(Inputs!$B$14-Inputs!$B$14))*(1+Inputs!$B$7/100))*(F1212/100)</f>
        <v/>
      </c>
      <c r="K1212">
        <f>J1212*(1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11="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F1219-Calc!F18),(Inputs!$B$23+(IF(ArtifactsInput!$M$15,CHOOSE(ArtifactsInput!$N$15+1,25,30,35,40,45,50)/100*(Inputs!$B$11-Inputs!$B$11),0))))/100+(Inputs!$B$23+(IF(ArtifactsInput!$M$15,CHOOSE(ArtifactsInput!$N$15+1,25,30,35,40,45,50)/100*(Inputs!$B$11-Inputs!$B$11),0)))/100)/2</f>
        <v/>
      </c>
      <c r="M1212">
        <f>L1212*(1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2">
        <f>L1212*(1-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1212*(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2">
        <f>(1-Summary!$B$11)*S1212+Summary!$B$11*U1212</f>
        <v/>
      </c>
      <c r="P1212">
        <f>IF(B1237=0,0,O1212/B1237)</f>
        <v/>
      </c>
      <c r="Q1212">
        <f>IFERROR(1/IF(Inputs!$B$38="pvp",15,MAX(0.1,Skills!D11-IF(Skills!E11=TRUE,Inputs!$B$32,0))),0)</f>
        <v/>
      </c>
      <c r="R1212">
        <f>IF(AND(Inputs!$B$38&lt;&gt;"pvp",Inputs!$B$43&gt;0),IF(MAX(0,Inputs!$B$43-B1234)&lt;=0,0,(INT(MAX(0,Inputs!$B$43-B1234)/IF(Inputs!$B$38="pvp",15,MAX(0.1,Skills!D11-IF(Skills!E11=TRUE,Inputs!$B$32,0))))+1)),0)</f>
        <v/>
      </c>
      <c r="S1212">
        <f>IF(C1212,H1212*N1212*IF(AND(Inputs!$B$38&lt;&gt;"pvp",Inputs!$B$43&gt;0),((Skills!F11*((R1212-1)*IF(Skills!G11&gt;0,Skills!H11/Skills!G11,1)+IF(Skills!G11&gt;0,MIN(Skills!H11,MAX(0,MAX(0,Inputs!$B$43-B1234)-((R1212-1)*IF(Inputs!$B$38="pvp",15,MAX(0.1,Skills!D11-IF(Skills!E11=TRUE,Inputs!$B$32,0))))))/Skills!G11,1)))/Inputs!$B$43),G1212*Q1212)*0.5*IF(Inputs!$B$38="pvp",1,1+(Inputs!$B$20+Skills!O11+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1212*(1-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1212*(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1212*(1-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1212*(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2">
        <f>IF(C1212,H1212*N1212*IF(AND(Inputs!$B$38&lt;&gt;"pvp",Inputs!$B$43&gt;0),((Skills!F11*((R1212-1)*IF(Skills!G11&gt;0,Skills!H11/Skills!G11,1)+IF(Skills!G11&gt;0,MIN(Skills!H11,MAX(0,MAX(0,Inputs!$B$43-B1234)-((R1212-1)*IF(Inputs!$B$38="pvp",15,MAX(0.1,Skills!D11-IF(Skills!E11=TRUE,Inputs!$B$32,0))))))/Skills!G11,1)))/Inputs!$B$43),G1212*Q1212)*1*IF(Inputs!$B$38="pvp",1,(1+(Inputs!$B$21+Skills!P11+B1228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Skills!A12</f>
        <v/>
      </c>
      <c r="B1213">
        <f>Skills!B12</f>
        <v/>
      </c>
      <c r="C1213">
        <f>Inputs!$B$3&gt;=115</f>
        <v/>
      </c>
      <c r="D1213">
        <f>IF(Skills!C12=1,60+Inputs!$B$25+Inputs!$B$29,IF(Skills!C12=2,90+Inputs!$B$26+Inputs!$B$29,IF(Skills!C12=3,120+Inputs!$B$27+Inputs!$B$29,MAX(0,(Inputs!$B$3-100)*3)+Inputs!$B$28+Inputs!$B$29)))</f>
        <v/>
      </c>
      <c r="E1213">
        <f>INDEX(FactorTable!$B$2:$Y$301, MATCH(ROUND(MIN(300,MAX(1,D1213)),0), FactorTable!$A$2:$A$301,0), Skills!L12+1)</f>
        <v/>
      </c>
      <c r="F1213">
        <f>IF(Skills!M12=TRUE,(Skills!K12/10)*(E1213/1000),Skills!K12/10)+Skills!N12</f>
        <v/>
      </c>
      <c r="G1213">
        <f>Calc!G12</f>
        <v/>
      </c>
      <c r="H1213">
        <f>Calc!H12</f>
        <v/>
      </c>
      <c r="I1213">
        <f>IF(Skills!T12&lt;&gt;"",1+(Skills!T12/10)*(Z1204/1000)/100,1)</f>
        <v/>
      </c>
      <c r="J1213">
        <f>((Inputs!$B$6*(1+Inputs!$B$7/100))+(((Inputs!$B$12*(1+Inputs!$B$13/100))-(Inputs!$B$12*(1+Inputs!$B$13/100)))+0.25*(Inputs!$B$14-Inputs!$B$14))*(1+Inputs!$B$7/100))*(F1213/100)</f>
        <v/>
      </c>
      <c r="K1213">
        <f>J1213*(1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12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F1219-Calc!F18),(Inputs!$B$23+(IF(ArtifactsInput!$M$15,CHOOSE(ArtifactsInput!$N$15+1,25,30,35,40,45,50)/100*(Inputs!$B$11-Inputs!$B$11),0))))/100+(Inputs!$B$23+(IF(ArtifactsInput!$M$15,CHOOSE(ArtifactsInput!$N$15+1,25,30,35,40,45,50)/100*(Inputs!$B$11-Inputs!$B$11),0)))/100)/2</f>
        <v/>
      </c>
      <c r="M1213">
        <f>L1213*(1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3">
        <f>L1213*(1-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1213*(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3">
        <f>(1-Summary!$B$11)*S1213+Summary!$B$11*U1213</f>
        <v/>
      </c>
      <c r="P1213">
        <f>IF(B1237=0,0,O1213/B1237)</f>
        <v/>
      </c>
      <c r="Q1213">
        <f>IFERROR(1/IF(Inputs!$B$38="pvp",15,MAX(0.1,Skills!D12-IF(Skills!E12=TRUE,Inputs!$B$32,0))),0)</f>
        <v/>
      </c>
      <c r="R1213">
        <f>IF(AND(Inputs!$B$38&lt;&gt;"pvp",Inputs!$B$43&gt;0),IF(MAX(0,Inputs!$B$43-B1234)&lt;=0,0,(INT(MAX(0,Inputs!$B$43-B1234)/IF(Inputs!$B$38="pvp",15,MAX(0.1,Skills!D12-IF(Skills!E12=TRUE,Inputs!$B$32,0))))+1)),0)</f>
        <v/>
      </c>
      <c r="S1213">
        <f>IF(C1213,(H1213*N1213*IF(AND(Inputs!$B$38&lt;&gt;"pvp",Inputs!$B$43&gt;0),((Skills!F12*((R1213-1)*IF(Skills!G12&gt;0,Skills!H12/Skills!G12,1)+IF(Skills!G12&gt;0,MIN(Skills!H12,MAX(0,MAX(0,Inputs!$B$43-B1234)-((R1213-1)*IF(Inputs!$B$38="pvp",15,MAX(0.1,Skills!D12-IF(Skills!E12=TRUE,Inputs!$B$32,0))))))/Skills!G12,1)))/Inputs!$B$43),G1213*Q1213))*IF(Inputs!$B$38="pvp",1,1+(Inputs!$B$20+Skills!O12+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3">
        <f>IF(C1213,(H1213*N1213*IF(AND(Inputs!$B$38&lt;&gt;"pvp",Inputs!$B$43&gt;0),((Skills!F12*((R1213-1)*IF(Skills!G12&gt;0,Skills!H12/Skills!G12,1)+IF(Skills!G12&gt;0,MIN(Skills!H12,MAX(0,MAX(0,Inputs!$B$43-B1234)-((R1213-1)*IF(Inputs!$B$38="pvp",15,MAX(0.1,Skills!D12-IF(Skills!E12=TRUE,Inputs!$B$32,0))))))/Skills!G12,1)))/Inputs!$B$43),G1213*Q1213))*IF(Inputs!$B$38="pvp",1,(1+(Inputs!$B$21+Skills!P12+B1228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Skills!A13</f>
        <v/>
      </c>
      <c r="B1214">
        <f>Skills!B13</f>
        <v/>
      </c>
      <c r="C1214">
        <f>Inputs!$B$3&gt;=49</f>
        <v/>
      </c>
      <c r="D1214">
        <f>IF(Skills!C13=1,60+Inputs!$B$25+Inputs!$B$29,IF(Skills!C13=2,90+Inputs!$B$26+Inputs!$B$29,IF(Skills!C13=3,120+Inputs!$B$27+Inputs!$B$29,MAX(0,(Inputs!$B$3-100)*3)+Inputs!$B$28+Inputs!$B$29)))</f>
        <v/>
      </c>
      <c r="E1214">
        <f>INDEX(FactorTable!$B$2:$Y$301, MATCH(ROUND(MIN(300,MAX(1,D1214)),0), FactorTable!$A$2:$A$301,0), Skills!L13+1)</f>
        <v/>
      </c>
      <c r="F1214">
        <f>IF(Skills!M13=TRUE,(Skills!K13/10)*(E1214/1000),Skills!K13/10)+Skills!N13</f>
        <v/>
      </c>
      <c r="G1214">
        <f>Calc!G13</f>
        <v/>
      </c>
      <c r="H1214">
        <f>Calc!H13</f>
        <v/>
      </c>
      <c r="I1214">
        <f>IF(Skills!T13&lt;&gt;"",1+(Skills!T13/10)*(Z1204/1000)/100,1)</f>
        <v/>
      </c>
      <c r="J1214" t="inlineStr"/>
      <c r="K1214" t="inlineStr"/>
      <c r="L1214" t="inlineStr"/>
      <c r="M1214" t="inlineStr"/>
      <c r="N1214" t="inlineStr"/>
      <c r="O1214">
        <f>(1-Summary!$B$11)*S1214+Summary!$B$11*U1214</f>
        <v/>
      </c>
      <c r="P1214">
        <f>IF(B1237=0,0,O1214/B1237)</f>
        <v/>
      </c>
      <c r="Q1214">
        <f>IFERROR(1/IF(Inputs!$B$38="pvp",15,MAX(0.1,Skills!D13-IF(Skills!E13=TRUE,Inputs!$B$32,0))),0)</f>
        <v/>
      </c>
      <c r="R1214" t="n">
        <v>0</v>
      </c>
      <c r="S1214" t="n">
        <v>0</v>
      </c>
      <c r="U1214" t="n">
        <v>0</v>
      </c>
    </row>
    <row r="1215">
      <c r="A1215">
        <f>Skills!A14</f>
        <v/>
      </c>
      <c r="B1215">
        <f>Skills!B14</f>
        <v/>
      </c>
      <c r="C1215">
        <f>Inputs!$B$3&gt;=72</f>
        <v/>
      </c>
      <c r="D1215">
        <f>IF(Skills!C14=1,60+Inputs!$B$25+Inputs!$B$29,IF(Skills!C14=2,90+Inputs!$B$26+Inputs!$B$29,IF(Skills!C14=3,120+Inputs!$B$27+Inputs!$B$29,MAX(0,(Inputs!$B$3-100)*3)+Inputs!$B$28+Inputs!$B$29)))</f>
        <v/>
      </c>
      <c r="E1215">
        <f>INDEX(FactorTable!$B$2:$Y$301, MATCH(ROUND(MIN(300,MAX(1,D1215)),0), FactorTable!$A$2:$A$301,0), Skills!L14+1)</f>
        <v/>
      </c>
      <c r="F1215">
        <f>IF(Skills!M14=TRUE,(Skills!K14/10)*(E1215/1000),Skills!K14/10)+Skills!N14</f>
        <v/>
      </c>
      <c r="G1215">
        <f>Calc!G14</f>
        <v/>
      </c>
      <c r="H1215">
        <f>Calc!H14</f>
        <v/>
      </c>
      <c r="I1215">
        <f>IF(Skills!T14&lt;&gt;"",1+(Skills!T14/10)*(Z1204/1000)/100,1)</f>
        <v/>
      </c>
      <c r="J1215" t="inlineStr"/>
      <c r="K1215" t="inlineStr"/>
      <c r="L1215" t="inlineStr"/>
      <c r="M1215" t="inlineStr"/>
      <c r="N1215" t="inlineStr"/>
      <c r="O1215">
        <f>(1-Summary!$B$11)*S1215+Summary!$B$11*U1215</f>
        <v/>
      </c>
      <c r="P1215">
        <f>IF(B1237=0,0,O1215/B1237)</f>
        <v/>
      </c>
      <c r="Q1215">
        <f>IFERROR(1/IF(Inputs!$B$38="pvp",15,MAX(0.1,Skills!D14-IF(Skills!E14=TRUE,Inputs!$B$32,0))),0)</f>
        <v/>
      </c>
      <c r="R1215" t="n">
        <v>0</v>
      </c>
      <c r="S1215" t="n">
        <v>0</v>
      </c>
      <c r="U1215" t="n">
        <v>0</v>
      </c>
    </row>
    <row r="1216">
      <c r="A1216">
        <f>Skills!A15</f>
        <v/>
      </c>
      <c r="B1216">
        <f>Skills!B15</f>
        <v/>
      </c>
      <c r="C1216">
        <f>Inputs!$B$3&gt;=75</f>
        <v/>
      </c>
      <c r="D1216">
        <f>IF(Skills!C15=1,60+Inputs!$B$25+Inputs!$B$29,IF(Skills!C15=2,90+Inputs!$B$26+Inputs!$B$29,IF(Skills!C15=3,120+Inputs!$B$27+Inputs!$B$29,MAX(0,(Inputs!$B$3-100)*3)+Inputs!$B$28+Inputs!$B$29)))</f>
        <v/>
      </c>
      <c r="E1216">
        <f>INDEX(FactorTable!$B$2:$Y$301, MATCH(ROUND(MIN(300,MAX(1,D1216)),0), FactorTable!$A$2:$A$301,0), Skills!L15+1)</f>
        <v/>
      </c>
      <c r="F1216">
        <f>IF(Skills!M15=TRUE,(Skills!K15/10)*(E1216/1000),Skills!K15/10)+Skills!N15</f>
        <v/>
      </c>
      <c r="G1216">
        <f>Calc!G15</f>
        <v/>
      </c>
      <c r="H1216">
        <f>Calc!H15</f>
        <v/>
      </c>
      <c r="I1216">
        <f>IF(Skills!T15&lt;&gt;"",1+(Skills!T15/10)*(Z1204/1000)/100,1)</f>
        <v/>
      </c>
      <c r="J1216" t="inlineStr"/>
      <c r="K1216" t="inlineStr"/>
      <c r="L1216" t="inlineStr"/>
      <c r="M1216" t="inlineStr"/>
      <c r="N1216" t="inlineStr"/>
      <c r="O1216">
        <f>(1-Summary!$B$11)*S1216+Summary!$B$11*U1216</f>
        <v/>
      </c>
      <c r="P1216">
        <f>IF(B1237=0,0,O1216/B1237)</f>
        <v/>
      </c>
      <c r="Q1216">
        <f>IFERROR(1/IF(Inputs!$B$38="pvp",15,MAX(0.1,Skills!D15-IF(Skills!E15=TRUE,Inputs!$B$32,0))),0)</f>
        <v/>
      </c>
      <c r="R1216" t="n">
        <v>0</v>
      </c>
      <c r="S1216" t="n">
        <v>0</v>
      </c>
      <c r="U1216" t="n">
        <v>0</v>
      </c>
    </row>
    <row r="1217">
      <c r="A1217">
        <f>Skills!A16</f>
        <v/>
      </c>
      <c r="B1217">
        <f>Skills!B16</f>
        <v/>
      </c>
      <c r="C1217">
        <f>Inputs!$B$3&gt;=110</f>
        <v/>
      </c>
      <c r="D1217">
        <f>IF(Skills!C16=1,60+Inputs!$B$25+Inputs!$B$29,IF(Skills!C16=2,90+Inputs!$B$26+Inputs!$B$29,IF(Skills!C16=3,120+Inputs!$B$27+Inputs!$B$29,MAX(0,(Inputs!$B$3-100)*3)+Inputs!$B$28+Inputs!$B$29)))</f>
        <v/>
      </c>
      <c r="E1217">
        <f>INDEX(FactorTable!$B$2:$Y$301, MATCH(ROUND(MIN(300,MAX(1,D1217)),0), FactorTable!$A$2:$A$301,0), Skills!L16+1)</f>
        <v/>
      </c>
      <c r="F1217">
        <f>(Skills!K16/10)*(E1217/1000)*64/45+Skills!N16</f>
        <v/>
      </c>
      <c r="G1217">
        <f>Calc!G16</f>
        <v/>
      </c>
      <c r="H1217">
        <f>Calc!H16</f>
        <v/>
      </c>
      <c r="I1217">
        <f>IF(Skills!T16&lt;&gt;"",1+(Skills!T16/10)*(Z1204/1000)/100,1)</f>
        <v/>
      </c>
      <c r="J1217" t="inlineStr"/>
      <c r="K1217" t="inlineStr"/>
      <c r="L1217" t="inlineStr"/>
      <c r="M1217" t="inlineStr"/>
      <c r="N1217" t="inlineStr"/>
      <c r="O1217">
        <f>(1-Summary!$B$11)*S1217+Summary!$B$11*U1217</f>
        <v/>
      </c>
      <c r="P1217">
        <f>IF(B1237=0,0,O1217/B1237)</f>
        <v/>
      </c>
      <c r="Q1217">
        <f>IFERROR(1/IF(Inputs!$B$38="pvp",15,MAX(0.1,Skills!D16-IF(Skills!E16=TRUE,Inputs!$B$32,0))),0)</f>
        <v/>
      </c>
      <c r="R1217">
        <f>IF(AND(Inputs!$B$38&lt;&gt;"pvp",Inputs!$B$43&gt;0),IF(Inputs!$B$43&lt;=0,0,(INT(Inputs!$B$43/IF(Inputs!$B$38="pvp",15,MAX(0.1,Skills!D16-IF(Skills!E16=TRUE,Inputs!$B$32,0))))+1)),0)</f>
        <v/>
      </c>
      <c r="S1217" t="n">
        <v>0</v>
      </c>
      <c r="U1217" t="n">
        <v>0</v>
      </c>
    </row>
    <row r="1218">
      <c r="A1218">
        <f>Skills!A17</f>
        <v/>
      </c>
      <c r="B1218">
        <f>Skills!B17</f>
        <v/>
      </c>
      <c r="C1218">
        <f>Inputs!$B$3&gt;=33</f>
        <v/>
      </c>
      <c r="D1218">
        <f>IF(Skills!C17=1,60+Inputs!$B$25+Inputs!$B$29,IF(Skills!C17=2,90+Inputs!$B$26+Inputs!$B$29,IF(Skills!C17=3,120+Inputs!$B$27+Inputs!$B$29,MAX(0,(Inputs!$B$3-100)*3)+Inputs!$B$28+Inputs!$B$29)))</f>
        <v/>
      </c>
      <c r="E1218">
        <f>INDEX(FactorTable!$B$2:$Y$301, MATCH(ROUND(MIN(300,MAX(1,D1218)),0), FactorTable!$A$2:$A$301,0), Skills!L17+1)</f>
        <v/>
      </c>
      <c r="F1218">
        <f>IF(Skills!M17=TRUE,(Skills!K17/10)*(E1218/1000),Skills!K17/10)+Skills!N17</f>
        <v/>
      </c>
      <c r="G1218">
        <f>Calc!G17</f>
        <v/>
      </c>
      <c r="H1218">
        <f>Calc!H17</f>
        <v/>
      </c>
      <c r="I1218">
        <f>IF(Skills!T17&lt;&gt;"",1+(Skills!T17/10)*(Z1204/1000)/100,1)</f>
        <v/>
      </c>
      <c r="J1218" t="inlineStr"/>
      <c r="K1218" t="inlineStr"/>
      <c r="L1218" t="inlineStr"/>
      <c r="M1218" t="inlineStr"/>
      <c r="N1218" t="inlineStr"/>
      <c r="O1218">
        <f>(1-Summary!$B$11)*S1218+Summary!$B$11*U1218</f>
        <v/>
      </c>
      <c r="P1218">
        <f>IF(B1237=0,0,O1218/B1237)</f>
        <v/>
      </c>
      <c r="Q1218">
        <f>IFERROR(1/IF(Inputs!$B$38="pvp",15,MAX(0.1,Skills!D17-IF(Skills!E17=TRUE,Inputs!$B$32,0))),0)</f>
        <v/>
      </c>
      <c r="R1218" t="n">
        <v>0</v>
      </c>
      <c r="S1218" t="n">
        <v>0</v>
      </c>
      <c r="U1218" t="n">
        <v>0</v>
      </c>
    </row>
    <row r="1219">
      <c r="A1219">
        <f>Skills!A18</f>
        <v/>
      </c>
      <c r="B1219">
        <f>Skills!B18</f>
        <v/>
      </c>
      <c r="C1219">
        <f>Inputs!$B$3&gt;=43</f>
        <v/>
      </c>
      <c r="D1219">
        <f>IF(Skills!C18=1,60+Inputs!$B$25+Inputs!$B$29,IF(Skills!C18=2,90+Inputs!$B$26+Inputs!$B$29,IF(Skills!C18=3,120+Inputs!$B$27+Inputs!$B$29,MAX(0,(Inputs!$B$3-100)*3)+Inputs!$B$28+Inputs!$B$29)))</f>
        <v/>
      </c>
      <c r="E1219">
        <f>INDEX(FactorTable!$B$2:$Y$301, MATCH(ROUND(MIN(300,MAX(1,D1219)),0), FactorTable!$A$2:$A$301,0), Skills!L18+1)</f>
        <v/>
      </c>
      <c r="F1219">
        <f>IF(Skills!M18=TRUE,(Skills!K18/10)*(E1219/1000),Skills!K18/10)+Skills!N18</f>
        <v/>
      </c>
      <c r="G1219">
        <f>Calc!G18</f>
        <v/>
      </c>
      <c r="H1219">
        <f>Calc!H18</f>
        <v/>
      </c>
      <c r="I1219">
        <f>IF(Skills!T18&lt;&gt;"",1+(Skills!T18/10)*(Z1204/1000)/100,1)</f>
        <v/>
      </c>
      <c r="J1219" t="inlineStr"/>
      <c r="K1219" t="inlineStr"/>
      <c r="L1219" t="inlineStr"/>
      <c r="M1219" t="inlineStr"/>
      <c r="N1219" t="inlineStr"/>
      <c r="O1219">
        <f>(1-Summary!$B$11)*S1219+Summary!$B$11*U1219</f>
        <v/>
      </c>
      <c r="P1219">
        <f>IF(B1237=0,0,O1219/B1237)</f>
        <v/>
      </c>
      <c r="Q1219">
        <f>IFERROR(1/IF(Inputs!$B$38="pvp",15,MAX(0.1,Skills!D18-IF(Skills!E18=TRUE,Inputs!$B$32,0))),0)</f>
        <v/>
      </c>
      <c r="R1219" t="n">
        <v>0</v>
      </c>
      <c r="S1219" t="n">
        <v>0</v>
      </c>
      <c r="U1219" t="n">
        <v>0</v>
      </c>
    </row>
    <row r="1220">
      <c r="A1220">
        <f>Skills!A19</f>
        <v/>
      </c>
      <c r="B1220">
        <f>Skills!B19</f>
        <v/>
      </c>
      <c r="C1220">
        <f>Inputs!$B$3&gt;=50</f>
        <v/>
      </c>
      <c r="D1220">
        <f>IF(Skills!C19=1,60+Inputs!$B$25+Inputs!$B$29,IF(Skills!C19=2,90+Inputs!$B$26+Inputs!$B$29,IF(Skills!C19=3,120+Inputs!$B$27+Inputs!$B$29,MAX(0,(Inputs!$B$3-100)*3)+Inputs!$B$28+Inputs!$B$29)))</f>
        <v/>
      </c>
      <c r="E1220">
        <f>INDEX(FactorTable!$B$2:$Y$301, MATCH(ROUND(MIN(300,MAX(1,D1220)),0), FactorTable!$A$2:$A$301,0), Skills!L19+1)</f>
        <v/>
      </c>
      <c r="F1220">
        <f>IF(Skills!M19=TRUE,(Skills!K19/10)*(E1220/1000),Skills!K19/10)+Skills!N19</f>
        <v/>
      </c>
      <c r="G1220">
        <f>Calc!G19</f>
        <v/>
      </c>
      <c r="H1220">
        <f>Calc!H19</f>
        <v/>
      </c>
      <c r="I1220">
        <f>IF(Skills!T19&lt;&gt;"",1+(Skills!T19/10)*(Z1204/1000)/100,1)</f>
        <v/>
      </c>
      <c r="J1220" t="inlineStr"/>
      <c r="K1220" t="inlineStr"/>
      <c r="L1220" t="inlineStr"/>
      <c r="M1220" t="inlineStr"/>
      <c r="N1220" t="inlineStr"/>
      <c r="O1220">
        <f>(1-Summary!$B$11)*S1220+Summary!$B$11*U1220</f>
        <v/>
      </c>
      <c r="P1220">
        <f>IF(B1237=0,0,O1220/B1237)</f>
        <v/>
      </c>
      <c r="Q1220">
        <f>IFERROR(1/IF(Inputs!$B$38="pvp",15,MAX(0.1,Skills!D19-IF(Skills!E19=TRUE,Inputs!$B$32,0))),0)</f>
        <v/>
      </c>
      <c r="R1220" t="n">
        <v>0</v>
      </c>
      <c r="S1220" t="n">
        <v>0</v>
      </c>
      <c r="U1220" t="n">
        <v>0</v>
      </c>
    </row>
    <row r="1221">
      <c r="A1221">
        <f>Skills!A20</f>
        <v/>
      </c>
      <c r="B1221">
        <f>Skills!B20</f>
        <v/>
      </c>
      <c r="C1221">
        <f>Inputs!$B$3&gt;=74</f>
        <v/>
      </c>
      <c r="D1221">
        <f>IF(Skills!C20=1,60+Inputs!$B$25+Inputs!$B$29,IF(Skills!C20=2,90+Inputs!$B$26+Inputs!$B$29,IF(Skills!C20=3,120+Inputs!$B$27+Inputs!$B$29,MAX(0,(Inputs!$B$3-100)*3)+Inputs!$B$28+Inputs!$B$29)))</f>
        <v/>
      </c>
      <c r="E1221">
        <f>INDEX(FactorTable!$B$2:$Y$301, MATCH(ROUND(MIN(300,MAX(1,D1221)),0), FactorTable!$A$2:$A$301,0), Skills!L20+1)</f>
        <v/>
      </c>
      <c r="F1221">
        <f>IF(Skills!M20=TRUE,(Skills!K20/10)*(E1221/1000),Skills!K20/10)+Skills!N20</f>
        <v/>
      </c>
      <c r="G1221">
        <f>Calc!G20</f>
        <v/>
      </c>
      <c r="H1221">
        <f>Calc!H20</f>
        <v/>
      </c>
      <c r="I1221">
        <f>IF(Skills!T20&lt;&gt;"",1+(Skills!T20/10)*(Z1204/1000)/100,1)</f>
        <v/>
      </c>
      <c r="J1221" t="inlineStr"/>
      <c r="K1221" t="inlineStr"/>
      <c r="L1221" t="inlineStr"/>
      <c r="M1221" t="inlineStr"/>
      <c r="N1221" t="inlineStr"/>
      <c r="O1221">
        <f>(1-Summary!$B$11)*S1221+Summary!$B$11*U1221</f>
        <v/>
      </c>
      <c r="P1221">
        <f>IF(B1237=0,0,O1221/B1237)</f>
        <v/>
      </c>
      <c r="Q1221">
        <f>IFERROR(1/IF(Inputs!$B$38="pvp",15,MAX(0.1,Skills!D20-IF(Skills!E20=TRUE,Inputs!$B$32,0))),0)</f>
        <v/>
      </c>
      <c r="R1221" t="n">
        <v>0</v>
      </c>
      <c r="S1221" t="n">
        <v>0</v>
      </c>
      <c r="U1221" t="n">
        <v>0</v>
      </c>
    </row>
    <row r="1222">
      <c r="A1222">
        <f>Skills!A21</f>
        <v/>
      </c>
      <c r="B1222">
        <f>Skills!B21</f>
        <v/>
      </c>
      <c r="C1222">
        <f>Inputs!$B$3&gt;=74</f>
        <v/>
      </c>
      <c r="D1222">
        <f>IF(Skills!C21=1,60+Inputs!$B$25+Inputs!$B$29,IF(Skills!C21=2,90+Inputs!$B$26+Inputs!$B$29,IF(Skills!C21=3,120+Inputs!$B$27+Inputs!$B$29,MAX(0,(Inputs!$B$3-100)*3)+Inputs!$B$28+Inputs!$B$29)))</f>
        <v/>
      </c>
      <c r="E1222">
        <f>INDEX(FactorTable!$B$2:$Y$301, MATCH(ROUND(MIN(300,MAX(1,D1222)),0), FactorTable!$A$2:$A$301,0), Skills!L21+1)</f>
        <v/>
      </c>
      <c r="F1222">
        <f>IF(Skills!M21=TRUE,(Skills!K21/10)*(E1222/1000),Skills!K21/10)+Skills!N21</f>
        <v/>
      </c>
      <c r="G1222">
        <f>Calc!G21</f>
        <v/>
      </c>
      <c r="H1222">
        <f>Calc!H21</f>
        <v/>
      </c>
      <c r="I1222">
        <f>IF(Skills!T21&lt;&gt;"",1+(Skills!T21/10)*(Z1204/1000)/100,1)</f>
        <v/>
      </c>
      <c r="J1222" t="inlineStr"/>
      <c r="K1222" t="inlineStr"/>
      <c r="L1222" t="inlineStr"/>
      <c r="M1222" t="inlineStr"/>
      <c r="N1222" t="inlineStr"/>
      <c r="O1222">
        <f>(1-Summary!$B$11)*S1222+Summary!$B$11*U1222</f>
        <v/>
      </c>
      <c r="P1222">
        <f>IF(B1237=0,0,O1222/B1237)</f>
        <v/>
      </c>
      <c r="Q1222">
        <f>IFERROR(1/IF(Inputs!$B$38="pvp",15,MAX(0.1,Skills!D21-IF(Skills!E21=TRUE,Inputs!$B$32,0))),0)</f>
        <v/>
      </c>
      <c r="R1222" t="n">
        <v>0</v>
      </c>
      <c r="S1222" t="n">
        <v>0</v>
      </c>
      <c r="U1222" t="n">
        <v>0</v>
      </c>
    </row>
    <row r="1223">
      <c r="A1223">
        <f>Skills!A22</f>
        <v/>
      </c>
      <c r="B1223">
        <f>Skills!B22</f>
        <v/>
      </c>
      <c r="C1223">
        <f>Inputs!$B$3&gt;=117</f>
        <v/>
      </c>
      <c r="D1223">
        <f>IF(Skills!C22=1,60+Inputs!$B$25+Inputs!$B$29,IF(Skills!C22=2,90+Inputs!$B$26+Inputs!$B$29,IF(Skills!C22=3,120+Inputs!$B$27+Inputs!$B$29,MAX(0,(Inputs!$B$3-100)*3)+Inputs!$B$28+Inputs!$B$29)))</f>
        <v/>
      </c>
      <c r="E1223">
        <f>INDEX(FactorTable!$B$2:$Y$301, MATCH(ROUND(MIN(300,MAX(1,D1223)),0), FactorTable!$A$2:$A$301,0), Skills!L22+1)</f>
        <v/>
      </c>
      <c r="F1223">
        <f>IF(Skills!M22=TRUE,(Skills!K22/10)*(E1223/1000),Skills!K22/10)+Skills!N22</f>
        <v/>
      </c>
      <c r="G1223">
        <f>Calc!G22</f>
        <v/>
      </c>
      <c r="H1223">
        <f>Calc!H22</f>
        <v/>
      </c>
      <c r="I1223">
        <f>IF(Skills!T22&lt;&gt;"",1+(Skills!T22/10)*(Z1204/1000)/100,1)</f>
        <v/>
      </c>
      <c r="J1223" t="inlineStr"/>
      <c r="K1223" t="inlineStr"/>
      <c r="L1223" t="inlineStr"/>
      <c r="M1223" t="inlineStr"/>
      <c r="N1223" t="inlineStr"/>
      <c r="O1223">
        <f>(1-Summary!$B$11)*S1223+Summary!$B$11*U1223</f>
        <v/>
      </c>
      <c r="P1223">
        <f>IF(B1237=0,0,O1223/B1237)</f>
        <v/>
      </c>
      <c r="Q1223">
        <f>IFERROR(1/IF(Inputs!$B$38="pvp",15,MAX(0.1,Skills!D22-IF(Skills!E22=TRUE,Inputs!$B$32,0))),0)</f>
        <v/>
      </c>
      <c r="R1223" t="n">
        <v>0</v>
      </c>
      <c r="S1223" t="n">
        <v>0</v>
      </c>
      <c r="U1223" t="n">
        <v>0</v>
      </c>
    </row>
    <row r="1224">
      <c r="A1224">
        <f>Skills!A23</f>
        <v/>
      </c>
      <c r="B1224">
        <f>Skills!B23</f>
        <v/>
      </c>
      <c r="C1224">
        <f>Inputs!$B$3&gt;=120</f>
        <v/>
      </c>
      <c r="D1224">
        <f>IF(Skills!C23=1,60+Inputs!$B$25+Inputs!$B$29,IF(Skills!C23=2,90+Inputs!$B$26+Inputs!$B$29,IF(Skills!C23=3,120+Inputs!$B$27+Inputs!$B$29,MAX(0,(Inputs!$B$3-100)*3)+Inputs!$B$28+Inputs!$B$29)))</f>
        <v/>
      </c>
      <c r="E1224">
        <f>INDEX(FactorTable!$B$2:$Y$301, MATCH(ROUND(MIN(300,MAX(1,D1224)),0), FactorTable!$A$2:$A$301,0), Skills!L23+1)</f>
        <v/>
      </c>
      <c r="F1224">
        <f>IF(Skills!M23=TRUE,(Skills!K23/10)*(E1224/1000),Skills!K23/10)+Skills!N23</f>
        <v/>
      </c>
      <c r="G1224">
        <f>Calc!G23</f>
        <v/>
      </c>
      <c r="H1224">
        <f>Calc!H23</f>
        <v/>
      </c>
      <c r="I1224">
        <f>IF(Skills!T23&lt;&gt;"",1+(Skills!T23/10)*(Z1204/1000)/100,1)</f>
        <v/>
      </c>
      <c r="J1224" t="inlineStr"/>
      <c r="K1224" t="inlineStr"/>
      <c r="L1224" t="inlineStr"/>
      <c r="M1224" t="inlineStr"/>
      <c r="N1224" t="inlineStr"/>
      <c r="O1224">
        <f>(1-Summary!$B$11)*S1224+Summary!$B$11*U1224</f>
        <v/>
      </c>
      <c r="P1224">
        <f>IF(B1237=0,0,O1224/B1237)</f>
        <v/>
      </c>
      <c r="Q1224">
        <f>IFERROR(1/IF(Inputs!$B$38="pvp",15,MAX(0.1,Skills!D23-IF(Skills!E23=TRUE,Inputs!$B$32,0))),0)</f>
        <v/>
      </c>
      <c r="R1224" t="n">
        <v>0</v>
      </c>
      <c r="S1224" t="n">
        <v>0</v>
      </c>
      <c r="U1224" t="n">
        <v>0</v>
      </c>
    </row>
    <row r="1227">
      <c r="A1227" t="inlineStr">
        <is>
          <t>Average Buff Multiplier (Magic Guard + Meditation + Artifact Attack%, summed; then Infinity)</t>
        </is>
      </c>
      <c r="B1227">
        <f>(1+(IF(C1204=TRUE,F1204*IF(AND(Inputs!$B$38&lt;&gt;"pvp",Inputs!$B$43&gt;0),(((R1204-1)*(Skills!S3*(1+(Inputs!$B$34+IF(Inputs!$B$3&gt;=117,F1223,0))/100))+MIN((Skills!S3*(1+(Inputs!$B$34+IF(Inputs!$B$3&gt;=117,F1223,0))/100)),MAX(0,Inputs!$B$43-((R1204-1)*Skills!D3))))/Inputs!$B$43),IF(Inputs!$B$38="pvp",MIN((Skills!S3*(1+(Inputs!$B$34+IF(Inputs!$B$3&gt;=117,F1223,0))/100)),15)/15,(Skills!S3*(1+(Inputs!$B$34+IF(Inputs!$B$3&gt;=117,F1223,0))/100))/Skills!D3)),0)+IF(C1205=TRUE,F1205*IF(AND(Inputs!$B$38&lt;&gt;"pvp",Inputs!$B$43&gt;0),(((R1205-1)*(Skills!S4*(1+(Inputs!$B$34+IF(Inputs!$B$3&gt;=117,F1223,0))/100))+MIN((Skills!S4*(1+(Inputs!$B$34+IF(Inputs!$B$3&gt;=117,F1223,0))/100)),MAX(0,Inputs!$B$43-((R1205-1)*Skills!D4))))/Inputs!$B$43),IF(Inputs!$B$38="pvp",MIN((Skills!S4*(1+(Inputs!$B$34+IF(Inputs!$B$3&gt;=117,F1223,0))/100)),15)/15,(Skills!S4*(1+(Inputs!$B$34+IF(Inputs!$B$3&gt;=117,F1223,0)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1217=TRUE,(1+F1217*IF(AND(Inputs!$B$38&lt;&gt;"pvp",Inputs!$B$43&gt;0),(((R1217-1)*(Skills!S16*(1+(Inputs!$B$34+IF(Inputs!$B$3&gt;=117,F1223,0))/100))+MIN((Skills!S16*(1+(Inputs!$B$34+IF(Inputs!$B$3&gt;=117,F1223,0))/100)),MAX(0,Inputs!$B$43-((R1217-1)*Skills!D16))))/Inputs!$B$43),IF(Inputs!$B$38="pvp",MIN((Skills!S16*(1+(Inputs!$B$34+IF(Inputs!$B$3&gt;=117,F1223,0))/100)),15)/15,(Skills!S16*(1+(Inputs!$B$34+IF(Inputs!$B$3&gt;=117,F1223,0))/100))/Skills!D16))/100),1)</f>
        <v/>
      </c>
    </row>
    <row r="1228">
      <c r="A1228" t="inlineStr">
        <is>
          <t>Monster Damage Taken Bonus % (Freezing Breath - Weaken + Elemental Reset + Artifact Enemy Damage Taken, summed)</t>
        </is>
      </c>
      <c r="B1228">
        <f>IF(Inputs!$B$3&gt;=118,15*IF(Inputs!$B$38="pvp",MIN((30*(1+(Inputs!$B$34+IF(Inputs!$B$3&gt;=117,F1223,0))/100)),15)/15,(30*(1+(Inputs!$B$34+IF(Inputs!$B$3&gt;=117,F1223,0))/100))/Skills!D8),0)+IF(C1215=TRUE,F1215,0)+(IF(AND(ArtifactsInput!$M$35,Inputs!$B$4&lt;&gt;"Chapter Hunt"),CHOOSE(ArtifactsInput!$N$35+1,15,18,21,24,27,30)*(1-EXP(-(0.2*B1231)*5)),0)+IF(AND(ArtifactsInput!$M$22,Inputs!$B$4&lt;&gt;"Chapter Hunt"),CHOOSE(ArtifactsInput!$N$22+1,10,12,14,16,18,20)*((0*(((0.15*B1231*5))^0/1)+1*(((0.15*B1231*5))^1/1)+2*(((0.15*B1231*5))^2/2)+3*(((0.15*B1231*5))^3/6)+4*(((0.15*B1231*5))^4/24)+5*(((0.15*B1231*5))^5/120))/((((0.15*B1231*5))^0/1)+(((0.15*B1231*5))^1/1)+(((0.15*B1231*5))^2/2)+(((0.15*B1231*5))^3/6)+(((0.15*B1231*5))^4/24)+(((0.15*B1231*5))^5/120))),0))</f>
        <v/>
      </c>
    </row>
    <row r="1229">
      <c r="A1229" t="inlineStr">
        <is>
          <t>Damage % Bonus (Frozen Break + Frost Clutch, flat)</t>
        </is>
      </c>
      <c r="B1229">
        <f>IF(Inputs!$B$3&gt;=66,15,0)+IF(Inputs!$B$3&gt;=98,10,0)+IF(Inputs!$B$3&gt;=125,20,0)</f>
        <v/>
      </c>
    </row>
    <row r="1230">
      <c r="A1230" t="inlineStr">
        <is>
          <t>Attack Speed Bonus % (MP Eater - MP Boost, always-on once unlocked)</t>
        </is>
      </c>
      <c r="B1230">
        <f>IF(C1214=TRUE,F1214+(F1218-Calc!F17),0)</f>
        <v/>
      </c>
    </row>
    <row r="1231">
      <c r="A1231" t="inlineStr">
        <is>
          <t>Actions Per Second</t>
        </is>
      </c>
      <c r="B1231">
        <f>1+MIN(150,150*(1-(1-(Inputs!$B$11+(ArtifactsInput!$M$15-ArtifactsInput!$M$15)*CHOOSE(ArtifactsInput!$N$15+1,8,9.6,11.2,12.8,14.4,16))/150)*(1-B1230/150)))/100</f>
        <v/>
      </c>
    </row>
    <row r="1232">
      <c r="A1232" t="inlineStr">
        <is>
          <t>Skill + Buff Cast Rate</t>
        </is>
      </c>
      <c r="B1232">
        <f>IF(AND(Inputs!$B$38&lt;&gt;"pvp",Inputs!$B$43&gt;0),SUMPRODUCT((Skills!E2:E23=TRUE)*(C1203:C1224=TRUE)*R1203:R1224)/Inputs!$B$43,SUMPRODUCT((Skills!E2:E23=TRUE)*(C1203:C1224=TRUE)*Q1203:Q1224))</f>
        <v/>
      </c>
    </row>
    <row r="1233">
      <c r="A1233" t="inlineStr">
        <is>
          <t>Chain Lightning Casts Per Second</t>
        </is>
      </c>
      <c r="B1233">
        <f>MAX(0,B1231-B1232)</f>
        <v/>
      </c>
    </row>
    <row r="1234">
      <c r="A1234" t="inlineStr">
        <is>
          <t>Buff-Casting Startup Delay (s, fixed-duration only)</t>
        </is>
      </c>
      <c r="B1234">
        <f>IF(AND(Inputs!$B$38&lt;&gt;"pvp",Inputs!$B$43&gt;0),SUMPRODUCT((Skills!S2:S23&gt;0)*(Skills!E2:E23=TRUE)*(C1203:C1224=TRUE))/B1231,0)</f>
        <v/>
      </c>
    </row>
    <row r="1235">
      <c r="A1235" t="inlineStr">
        <is>
          <t>Boss-Only Total DPS (this block's swept value)</t>
        </is>
      </c>
      <c r="B1235">
        <f>SUM(S1203:S1224)</f>
        <v/>
      </c>
    </row>
    <row r="1236">
      <c r="A1236" t="inlineStr">
        <is>
          <t>Normal-Only Total DPS (this block's swept value)</t>
        </is>
      </c>
      <c r="B1236">
        <f>SUM(U1203:U1224)</f>
        <v/>
      </c>
    </row>
    <row r="1237">
      <c r="A1237" s="6" t="inlineStr">
        <is>
          <t>TOTAL DPS</t>
        </is>
      </c>
      <c r="B1237" s="6">
        <f>SUM(O1203:O1224)</f>
        <v/>
      </c>
    </row>
    <row r="1240">
      <c r="A1240" s="6" t="inlineStr">
        <is>
          <t>Stat: Hexagon Necklace (Equip)</t>
        </is>
      </c>
    </row>
    <row r="1241">
      <c r="A1241" s="5" t="inlineStr">
        <is>
          <t>Key</t>
        </is>
      </c>
      <c r="B1241" s="5" t="inlineStr">
        <is>
          <t>Name</t>
        </is>
      </c>
      <c r="C1241" s="5" t="inlineStr">
        <is>
          <t>Unlocked</t>
        </is>
      </c>
      <c r="D1241" s="5" t="inlineStr">
        <is>
          <t>InputLevel</t>
        </is>
      </c>
      <c r="E1241" s="5" t="inlineStr">
        <is>
          <t>Factor</t>
        </is>
      </c>
      <c r="F1241" s="5" t="inlineStr">
        <is>
          <t>CoefficientPercent</t>
        </is>
      </c>
      <c r="G1241" s="5" t="inlineStr">
        <is>
          <t>EffectiveHits</t>
        </is>
      </c>
      <c r="H1241" s="5" t="inlineStr">
        <is>
          <t>ProcProbability</t>
        </is>
      </c>
      <c r="I1241" s="5" t="inlineStr">
        <is>
          <t>MapleHeroMultiplier</t>
        </is>
      </c>
      <c r="J1241" s="5" t="inlineStr">
        <is>
          <t>BaseDamage</t>
        </is>
      </c>
      <c r="K1241" s="5" t="inlineStr">
        <is>
          <t>BaseHitDamage</t>
        </is>
      </c>
      <c r="L1241" s="5" t="inlineStr">
        <is>
          <t>NonCritAvg</t>
        </is>
      </c>
      <c r="M1241" s="5" t="inlineStr">
        <is>
          <t>CritAvg</t>
        </is>
      </c>
      <c r="N1241" s="5" t="inlineStr">
        <is>
          <t>ExpectedDamage(perHit)</t>
        </is>
      </c>
      <c r="O1241" s="5" t="inlineStr">
        <is>
          <t>DPS</t>
        </is>
      </c>
      <c r="P1241" s="5" t="inlineStr">
        <is>
          <t>% of Total</t>
        </is>
      </c>
      <c r="R1241" t="inlineStr">
        <is>
          <t>helpers</t>
        </is>
      </c>
    </row>
    <row r="1242">
      <c r="A1242">
        <f>Skills!A2</f>
        <v/>
      </c>
      <c r="B1242">
        <f>Skills!B2</f>
        <v/>
      </c>
      <c r="C1242">
        <f>Inputs!$B$3&gt;=100</f>
        <v/>
      </c>
      <c r="D1242" t="inlineStr"/>
      <c r="E1242" t="inlineStr"/>
      <c r="F1242">
        <f>T1244+Skills!N2</f>
        <v/>
      </c>
      <c r="G1242">
        <f>Calc!G2</f>
        <v/>
      </c>
      <c r="H1242">
        <f>Calc!H2</f>
        <v/>
      </c>
      <c r="I1242">
        <f>IF(Skills!T2&lt;&gt;"",1+(Skills!T2/10)*(Z1243/1000)/100,1)</f>
        <v/>
      </c>
      <c r="J1242">
        <f>((Inputs!$B$6*(1+Inputs!$B$7/100))+(((Inputs!$B$12*(1+Inputs!$B$13/100))-(Inputs!$B$12*(1+Inputs!$B$13/100)))+0.25*(Inputs!$B$14-Inputs!$B$14))*(1+Inputs!$B$7/100))*(F1242/100)</f>
        <v/>
      </c>
      <c r="K1242">
        <f>J1242*(1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1258-Calc!F18),(Inputs!$B$23+(IF(ArtifactsInput!$M$15,CHOOSE(ArtifactsInput!$N$15+1,25,30,35,40,45,50)/100*(Inputs!$B$11-Inputs!$B$11),0))))/100+(Inputs!$B$23+(IF(ArtifactsInput!$M$15,CHOOSE(ArtifactsInput!$N$15+1,25,30,35,40,45,50)/100*(Inputs!$B$11-Inputs!$B$11),0)))/100)/2</f>
        <v/>
      </c>
      <c r="M1242">
        <f>L1242*(1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IF(B1276=0,0,O1242/B1276)</f>
        <v/>
      </c>
      <c r="Q1242">
        <f>IFERROR(1/IF(Inputs!$B$38="pvp",15,MAX(0.1,Skills!D2-IF(Skills!E2=TRUE,Inputs!$B$32,0))),0)</f>
        <v/>
      </c>
      <c r="R1242" t="n">
        <v>0</v>
      </c>
      <c r="S1242">
        <f>IF(C1242,(Skills!F2*N1242*B1272)*IF(Inputs!$B$38="pvp",1,1+(Inputs!$B$20+Skills!O2+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42">
        <f>MAX(0,(Inputs!$B$3-100)*3)+Inputs!$B$28+Inputs!$B$29</f>
        <v/>
      </c>
      <c r="U1242">
        <f>IF(C1242,(Skills!F2*N1242*B1272)*IF(Inputs!$B$38="pvp",1,(1+(Inputs!$B$21+Skills!P2+B1267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42">
        <f>MAX(0,(Inputs!$B$3-100)*3)+Inputs!$B$28+Inputs!$B$29</f>
        <v/>
      </c>
    </row>
    <row r="1243">
      <c r="A1243">
        <f>Skills!A3</f>
        <v/>
      </c>
      <c r="B1243">
        <f>Skills!B3</f>
        <v/>
      </c>
      <c r="C1243">
        <f>Inputs!$B$3&gt;=15</f>
        <v/>
      </c>
      <c r="D1243">
        <f>IF(Skills!C3=1,60+Inputs!$B$25+Inputs!$B$29,IF(Skills!C3=2,90+Inputs!$B$26+Inputs!$B$29,IF(Skills!C3=3,120+Inputs!$B$27+Inputs!$B$29,MAX(0,(Inputs!$B$3-100)*3)+Inputs!$B$28+Inputs!$B$29)))</f>
        <v/>
      </c>
      <c r="E1243">
        <f>INDEX(FactorTable!$B$2:$Y$301, MATCH(ROUND(MIN(300,MAX(1,D1243)),0), FactorTable!$A$2:$A$301,0), Skills!L3+1)</f>
        <v/>
      </c>
      <c r="F1243">
        <f>IF(Skills!M3=TRUE,(Skills!K3/10)*(E1243/1000),Skills!K3/10)+Skills!N3</f>
        <v/>
      </c>
      <c r="G1243">
        <f>Calc!G3</f>
        <v/>
      </c>
      <c r="H1243">
        <f>Calc!H3</f>
        <v/>
      </c>
      <c r="I1243">
        <f>IF(Skills!T3&lt;&gt;"",1+(Skills!T3/10)*(Z1243/1000)/100,1)</f>
        <v/>
      </c>
      <c r="J1243" t="inlineStr"/>
      <c r="K1243" t="inlineStr"/>
      <c r="L1243" t="inlineStr"/>
      <c r="M1243" t="inlineStr"/>
      <c r="N1243" t="inlineStr"/>
      <c r="O1243">
        <f>(1-Summary!$B$11)*S1243+Summary!$B$11*U1243</f>
        <v/>
      </c>
      <c r="P1243">
        <f>IF(B1276=0,0,O1243/B1276)</f>
        <v/>
      </c>
      <c r="Q1243">
        <f>IFERROR(1/IF(Inputs!$B$38="pvp",15,MAX(0.1,Skills!D3-IF(Skills!E3=TRUE,Inputs!$B$32,0))),0)</f>
        <v/>
      </c>
      <c r="R1243">
        <f>IF(AND(Inputs!$B$38&lt;&gt;"pvp",Inputs!$B$43&gt;0),IF(Inputs!$B$43&lt;=0,0,(INT(Inputs!$B$43/IF(Inputs!$B$38="pvp",15,MAX(0.1,Skills!D3-IF(Skills!E3=TRUE,Inputs!$B$32,0))))+1)),0)</f>
        <v/>
      </c>
      <c r="S1243" t="n">
        <v>0</v>
      </c>
      <c r="T1243">
        <f>INDEX(FactorTable!$B$2:$Y$301, MATCH(ROUND(MIN(300,MAX(1,T1242)),0), FactorTable!$A$2:$A$301,0), 22)</f>
        <v/>
      </c>
      <c r="U1243" t="n">
        <v>0</v>
      </c>
      <c r="Z1243">
        <f>INDEX(FactorTable!$B$2:$Y$301, MATCH(ROUND(MIN(300,MAX(1,Z1242)),0), FactorTable!$A$2:$A$301,0), 24)</f>
        <v/>
      </c>
    </row>
    <row r="1244">
      <c r="A1244">
        <f>Skills!A4</f>
        <v/>
      </c>
      <c r="B1244">
        <f>Skills!B4</f>
        <v/>
      </c>
      <c r="C1244">
        <f>Inputs!$B$3&gt;=40</f>
        <v/>
      </c>
      <c r="D1244">
        <f>IF(Skills!C4=1,60+Inputs!$B$25+Inputs!$B$29,IF(Skills!C4=2,90+Inputs!$B$26+Inputs!$B$29,IF(Skills!C4=3,120+Inputs!$B$27+Inputs!$B$29,MAX(0,(Inputs!$B$3-100)*3)+Inputs!$B$28+Inputs!$B$29)))</f>
        <v/>
      </c>
      <c r="E1244">
        <f>INDEX(FactorTable!$B$2:$Y$301, MATCH(ROUND(MIN(300,MAX(1,D1244)),0), FactorTable!$A$2:$A$301,0), Skills!L4+1)</f>
        <v/>
      </c>
      <c r="F1244">
        <f>IF(Skills!M4=TRUE,(Skills!K4/10)*(E1244/1000),Skills!K4/10)+Skills!N4</f>
        <v/>
      </c>
      <c r="G1244">
        <f>Calc!G4</f>
        <v/>
      </c>
      <c r="H1244">
        <f>Calc!H4</f>
        <v/>
      </c>
      <c r="I1244">
        <f>IF(Skills!T4&lt;&gt;"",1+(Skills!T4/10)*(Z1243/1000)/100,1)</f>
        <v/>
      </c>
      <c r="J1244" t="inlineStr"/>
      <c r="K1244" t="inlineStr"/>
      <c r="L1244" t="inlineStr"/>
      <c r="M1244" t="inlineStr"/>
      <c r="N1244" t="inlineStr"/>
      <c r="O1244">
        <f>(1-Summary!$B$11)*S1244+Summary!$B$11*U1244</f>
        <v/>
      </c>
      <c r="P1244">
        <f>IF(B1276=0,0,O1244/B1276)</f>
        <v/>
      </c>
      <c r="Q1244">
        <f>IFERROR(1/IF(Inputs!$B$38="pvp",15,MAX(0.1,Skills!D4-IF(Skills!E4=TRUE,Inputs!$B$32,0))),0)</f>
        <v/>
      </c>
      <c r="R1244">
        <f>IF(AND(Inputs!$B$38&lt;&gt;"pvp",Inputs!$B$43&gt;0),IF(Inputs!$B$43&lt;=0,0,(INT(Inputs!$B$43/IF(Inputs!$B$38="pvp",15,MAX(0.1,Skills!D4-IF(Skills!E4=TRUE,Inputs!$B$32,0))))+1)),0)</f>
        <v/>
      </c>
      <c r="S1244" t="n">
        <v>0</v>
      </c>
      <c r="T1244">
        <f>290*T1243/1000</f>
        <v/>
      </c>
      <c r="U1244" t="n">
        <v>0</v>
      </c>
    </row>
    <row r="1245">
      <c r="A1245">
        <f>Skills!A5</f>
        <v/>
      </c>
      <c r="B1245">
        <f>Skills!B5</f>
        <v/>
      </c>
      <c r="C1245">
        <f>Inputs!$B$3&gt;=38</f>
        <v/>
      </c>
      <c r="D1245">
        <f>IF(Skills!C5=1,60+Inputs!$B$25+Inputs!$B$29,IF(Skills!C5=2,90+Inputs!$B$26+Inputs!$B$29,IF(Skills!C5=3,120+Inputs!$B$27+Inputs!$B$29,MAX(0,(Inputs!$B$3-100)*3)+Inputs!$B$28+Inputs!$B$29)))</f>
        <v/>
      </c>
      <c r="E1245">
        <f>INDEX(FactorTable!$B$2:$Y$301, MATCH(ROUND(MIN(300,MAX(1,D1245)),0), FactorTable!$A$2:$A$301,0), Skills!L5+1)</f>
        <v/>
      </c>
      <c r="F1245">
        <f>IF(Skills!M5=TRUE,(Skills!K5/10)*(E1245/1000),Skills!K5/10)+Skills!N5</f>
        <v/>
      </c>
      <c r="G1245">
        <f>Calc!G5</f>
        <v/>
      </c>
      <c r="H1245">
        <f>Calc!H5</f>
        <v/>
      </c>
      <c r="I1245">
        <f>IF(Skills!T5&lt;&gt;"",1+(Skills!T5/10)*(Z1243/1000)/100,1)</f>
        <v/>
      </c>
      <c r="J1245">
        <f>((Inputs!$B$6*(1+Inputs!$B$7/100))+(((Inputs!$B$12*(1+Inputs!$B$13/100))-(Inputs!$B$12*(1+Inputs!$B$13/100)))+0.25*(Inputs!$B$14-Inputs!$B$14))*(1+Inputs!$B$7/100))*(F1245/100)</f>
        <v/>
      </c>
      <c r="K1245">
        <f>J1245*(1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F1258-Calc!F18),(Inputs!$B$23+(IF(ArtifactsInput!$M$15,CHOOSE(ArtifactsInput!$N$15+1,25,30,35,40,45,50)/100*(Inputs!$B$11-Inputs!$B$11),0))))/100+(Inputs!$B$23+(IF(ArtifactsInput!$M$15,CHOOSE(ArtifactsInput!$N$15+1,25,30,35,40,45,50)/100*(Inputs!$B$11-Inputs!$B$11),0)))/100)/2</f>
        <v/>
      </c>
      <c r="M1245">
        <f>L1245*(1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5">
        <f>L1245*(1-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1245*(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5">
        <f>(1-Summary!$B$11)*S1245+Summary!$B$11*U1245</f>
        <v/>
      </c>
      <c r="P1245">
        <f>IF(B1276=0,0,O1245/B1276)</f>
        <v/>
      </c>
      <c r="Q1245">
        <f>IFERROR(1/IF(Inputs!$B$38="pvp",15,MAX(0.1,Skills!D5-IF(Skills!E5=TRUE,Inputs!$B$32,0))),0)</f>
        <v/>
      </c>
      <c r="R1245">
        <f>IF(AND(Inputs!$B$38&lt;&gt;"pvp",Inputs!$B$43&gt;0),IF(MAX(0,Inputs!$B$43-B1273)&lt;=0,0,(INT(MAX(0,Inputs!$B$43-B1273)/IF(Inputs!$B$38="pvp",15,MAX(0.1,Skills!D5-IF(Skills!E5=TRUE,Inputs!$B$32,0))))+1)),0)</f>
        <v/>
      </c>
      <c r="S1245">
        <f>IF(C1245,(H1245*N1245*IF(AND(Inputs!$B$38&lt;&gt;"pvp",Inputs!$B$43&gt;0),((Skills!F5*((R1245-1)*IF(Skills!G5&gt;0,Skills!H5/Skills!G5,1)+IF(Skills!G5&gt;0,MIN(Skills!H5,MAX(0,MAX(0,Inputs!$B$43-B1273)-((R1245-1)*IF(Inputs!$B$38="pvp",15,MAX(0.1,Skills!D5-IF(Skills!E5=TRUE,Inputs!$B$32,0))))))/Skills!G5,1)))/Inputs!$B$43),G1245*Q1245))*IF(Inputs!$B$38="pvp",1,1+(Inputs!$B$20+Skills!O5+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1245*(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1245*(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IF(C1245,(H1245*N1245*IF(AND(Inputs!$B$38&lt;&gt;"pvp",Inputs!$B$43&gt;0),((Skills!F5*((R1245-1)*IF(Skills!G5&gt;0,Skills!H5/Skills!G5,1)+IF(Skills!G5&gt;0,MIN(Skills!H5,MAX(0,MAX(0,Inputs!$B$43-B1273)-((R1245-1)*IF(Inputs!$B$38="pvp",15,MAX(0.1,Skills!D5-IF(Skills!E5=TRUE,Inputs!$B$32,0))))))/Skills!G5,1)))/Inputs!$B$43),G1245*Q1245))*IF(Inputs!$B$38="pvp",1,(1+(Inputs!$B$21+Skills!P5+B1267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Skills!A6</f>
        <v/>
      </c>
      <c r="B1246">
        <f>Skills!B6</f>
        <v/>
      </c>
      <c r="C1246">
        <f>Inputs!$B$3&gt;=63</f>
        <v/>
      </c>
      <c r="D1246">
        <f>IF(Skills!C6=1,60+Inputs!$B$25+Inputs!$B$29,IF(Skills!C6=2,90+Inputs!$B$26+Inputs!$B$29,IF(Skills!C6=3,120+Inputs!$B$27+Inputs!$B$29,MAX(0,(Inputs!$B$3-100)*3)+Inputs!$B$28+Inputs!$B$29)))</f>
        <v/>
      </c>
      <c r="E1246">
        <f>INDEX(FactorTable!$B$2:$Y$301, MATCH(ROUND(MIN(300,MAX(1,D1246)),0), FactorTable!$A$2:$A$301,0), Skills!L6+1)</f>
        <v/>
      </c>
      <c r="F1246">
        <f>IF(Skills!M6=TRUE,(Skills!K6/10)*(E1246/1000),Skills!K6/10)+Skills!N6</f>
        <v/>
      </c>
      <c r="G1246">
        <f>Calc!G6</f>
        <v/>
      </c>
      <c r="H1246">
        <f>Calc!H6</f>
        <v/>
      </c>
      <c r="I1246">
        <f>IF(Skills!T6&lt;&gt;"",1+(Skills!T6/10)*(Z1243/1000)/100,1)</f>
        <v/>
      </c>
      <c r="J1246">
        <f>((Inputs!$B$6*(1+Inputs!$B$7/100))+(((Inputs!$B$12*(1+Inputs!$B$13/100))-(Inputs!$B$12*(1+Inputs!$B$13/100)))+0.25*(Inputs!$B$14-Inputs!$B$14))*(1+Inputs!$B$7/100))*(F1246/100)</f>
        <v/>
      </c>
      <c r="K1246">
        <f>J1246*(1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F1258-Calc!F18),(Inputs!$B$23+(IF(ArtifactsInput!$M$15,CHOOSE(ArtifactsInput!$N$15+1,25,30,35,40,45,50)/100*(Inputs!$B$11-Inputs!$B$11),0))))/100+(Inputs!$B$23+(IF(ArtifactsInput!$M$15,CHOOSE(ArtifactsInput!$N$15+1,25,30,35,40,45,50)/100*(Inputs!$B$11-Inputs!$B$11),0)))/100)/2</f>
        <v/>
      </c>
      <c r="M1246">
        <f>L1246*(1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(1-Summary!$B$11)*S1246+Summary!$B$11*U1246</f>
        <v/>
      </c>
      <c r="P1246">
        <f>IF(B1276=0,0,O1246/B1276)</f>
        <v/>
      </c>
      <c r="Q1246">
        <f>IFERROR(1/IF(Inputs!$B$38="pvp",15,MAX(0.1,Skills!D6-IF(Skills!E6=TRUE,Inputs!$B$32,0))),0)</f>
        <v/>
      </c>
      <c r="R1246">
        <f>IF(AND(Inputs!$B$38&lt;&gt;"pvp",Inputs!$B$43&gt;0),IF(MAX(0,Inputs!$B$43-B1273)&lt;=0,0,(INT(MAX(0,Inputs!$B$43-B1273)/IF(Inputs!$B$38="pvp",15,MAX(0.1,Skills!D6-IF(Skills!E6=TRUE,Inputs!$B$32,0))))+1)),0)</f>
        <v/>
      </c>
      <c r="S1246">
        <f>IF(C1246,(H1246*N1246*IF(AND(Inputs!$B$38&lt;&gt;"pvp",Inputs!$B$43&gt;0),((Skills!F6*((R1246-1)*IF(Skills!G6&gt;0,Skills!H6/Skills!G6,1)+IF(Skills!G6&gt;0,MIN(Skills!H6,MAX(0,MAX(0,Inputs!$B$43-B1273)-((R1246-1)*IF(Inputs!$B$38="pvp",15,MAX(0.1,Skills!D6-IF(Skills!E6=TRUE,Inputs!$B$32,0))))))/Skills!G6,1)))/Inputs!$B$43),G1246*Q1246))*IF(Inputs!$B$38="pvp",1,1+(Inputs!$B$20+Skills!O6+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1246*(1-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6">
        <f>IF(C1246,(H1246*N1246*IF(AND(Inputs!$B$38&lt;&gt;"pvp",Inputs!$B$43&gt;0),((Skills!F6*((R1246-1)*IF(Skills!G6&gt;0,Skills!H6/Skills!G6,1)+IF(Skills!G6&gt;0,MIN(Skills!H6,MAX(0,MAX(0,Inputs!$B$43-B1273)-((R1246-1)*IF(Inputs!$B$38="pvp",15,MAX(0.1,Skills!D6-IF(Skills!E6=TRUE,Inputs!$B$32,0))))))/Skills!G6,1)))/Inputs!$B$43),G1246*Q1246))*IF(Inputs!$B$38="pvp",1,(1+(Inputs!$B$21+Skills!P6+B1267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Skills!A7</f>
        <v/>
      </c>
      <c r="B1247">
        <f>Skills!B7</f>
        <v/>
      </c>
      <c r="C1247">
        <f>Inputs!$B$3&gt;=69</f>
        <v/>
      </c>
      <c r="D1247">
        <f>IF(Skills!C7=1,60+Inputs!$B$25+Inputs!$B$29,IF(Skills!C7=2,90+Inputs!$B$26+Inputs!$B$29,IF(Skills!C7=3,120+Inputs!$B$27+Inputs!$B$29,MAX(0,(Inputs!$B$3-100)*3)+Inputs!$B$28+Inputs!$B$29)))</f>
        <v/>
      </c>
      <c r="E1247">
        <f>INDEX(FactorTable!$B$2:$Y$301, MATCH(ROUND(MIN(300,MAX(1,D1247)),0), FactorTable!$A$2:$A$301,0), Skills!L7+1)</f>
        <v/>
      </c>
      <c r="F1247">
        <f>IF(Skills!M7=TRUE,(Skills!K7/10)*(E1247/1000),Skills!K7/10)+Skills!N7</f>
        <v/>
      </c>
      <c r="G1247">
        <f>Calc!G7</f>
        <v/>
      </c>
      <c r="H1247">
        <f>Calc!H7</f>
        <v/>
      </c>
      <c r="I1247">
        <f>IF(Skills!T7&lt;&gt;"",1+(Skills!T7/10)*(Z1243/1000)/100,1)</f>
        <v/>
      </c>
      <c r="J1247">
        <f>((Inputs!$B$6*(1+Inputs!$B$7/100))+(((Inputs!$B$12*(1+Inputs!$B$13/100))-(Inputs!$B$12*(1+Inputs!$B$13/100)))+0.25*(Inputs!$B$14-Inputs!$B$14))*(1+Inputs!$B$7/100))*(F1247/100)</f>
        <v/>
      </c>
      <c r="K1247">
        <f>J1247*(1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F1258-Calc!F18),(Inputs!$B$23+(IF(ArtifactsInput!$M$15,CHOOSE(ArtifactsInput!$N$15+1,25,30,35,40,45,50)/100*(Inputs!$B$11-Inputs!$B$11),0))))/100+(Inputs!$B$23+(IF(ArtifactsInput!$M$15,CHOOSE(ArtifactsInput!$N$15+1,25,30,35,40,45,50)/100*(Inputs!$B$11-Inputs!$B$11),0)))/100)/2</f>
        <v/>
      </c>
      <c r="M1247">
        <f>L1247*(1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(1-Summary!$B$11)*S1247+Summary!$B$11*U1247</f>
        <v/>
      </c>
      <c r="P1247">
        <f>IF(B1276=0,0,O1247/B1276)</f>
        <v/>
      </c>
      <c r="Q1247">
        <f>IFERROR(1/IF(Inputs!$B$38="pvp",15,MAX(0.1,Skills!D7-IF(Skills!E7=TRUE,Inputs!$B$32,0))),0)</f>
        <v/>
      </c>
      <c r="R1247">
        <f>IF(AND(Inputs!$B$38&lt;&gt;"pvp",Inputs!$B$43&gt;0),IF(MAX(0,Inputs!$B$43-B1273)&lt;=0,0,(INT(MAX(0,Inputs!$B$43-B1273)/IF(Inputs!$B$38="pvp",15,MAX(0.1,Skills!D7-IF(Skills!E7=TRUE,Inputs!$B$32,0))))+1)),0)</f>
        <v/>
      </c>
      <c r="S1247">
        <f>IF(C1247,(H1247*N1247*IF(AND(Inputs!$B$38&lt;&gt;"pvp",Inputs!$B$43&gt;0),((Skills!F7*((R1247-1)*IF(Skills!G7&gt;0,Skills!H7/Skills!G7,1)+IF(Skills!G7&gt;0,MIN(Skills!H7,MAX(0,MAX(0,Inputs!$B$43-B1273)-((R1247-1)*IF(Inputs!$B$38="pvp",15,MAX(0.1,Skills!D7-IF(Skills!E7=TRUE,Inputs!$B$32,0))))))/Skills!G7,1)))/Inputs!$B$43),G1247*Q1247))*IF(Inputs!$B$38="pvp",1,1+(Inputs!$B$20+Skills!O7+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1247*(1-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7">
        <f>IF(C1247,(H1247*N1247*IF(AND(Inputs!$B$38&lt;&gt;"pvp",Inputs!$B$43&gt;0),((Skills!F7*((R1247-1)*IF(Skills!G7&gt;0,Skills!H7/Skills!G7,1)+IF(Skills!G7&gt;0,MIN(Skills!H7,MAX(0,MAX(0,Inputs!$B$43-B1273)-((R1247-1)*IF(Inputs!$B$38="pvp",15,MAX(0.1,Skills!D7-IF(Skills!E7=TRUE,Inputs!$B$32,0))))))/Skills!G7,1)))/Inputs!$B$43),G1247*Q1247))*IF(Inputs!$B$38="pvp",1,(1+(Inputs!$B$21+Skills!P7+B1267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Skills!A8</f>
        <v/>
      </c>
      <c r="B1248">
        <f>Skills!B8</f>
        <v/>
      </c>
      <c r="C1248">
        <f>Inputs!$B$3&gt;=103</f>
        <v/>
      </c>
      <c r="D1248">
        <f>IF(Skills!C8=1,60+Inputs!$B$25+Inputs!$B$29,IF(Skills!C8=2,90+Inputs!$B$26+Inputs!$B$29,IF(Skills!C8=3,120+Inputs!$B$27+Inputs!$B$29,MAX(0,(Inputs!$B$3-100)*3)+Inputs!$B$28+Inputs!$B$29)))</f>
        <v/>
      </c>
      <c r="E1248">
        <f>INDEX(FactorTable!$B$2:$Y$301, MATCH(ROUND(MIN(300,MAX(1,D1248)),0), FactorTable!$A$2:$A$301,0), Skills!L8+1)</f>
        <v/>
      </c>
      <c r="F1248">
        <f>IF(Skills!M8=TRUE,(Skills!K8/10)*(E1248/1000),Skills!K8/10)+Skills!N8</f>
        <v/>
      </c>
      <c r="G1248">
        <f>Calc!G8</f>
        <v/>
      </c>
      <c r="H1248">
        <f>Calc!H8</f>
        <v/>
      </c>
      <c r="I1248">
        <f>IF(Skills!T8&lt;&gt;"",1+(Skills!T8/10)*(Z1243/1000)/100,1)</f>
        <v/>
      </c>
      <c r="J1248">
        <f>((Inputs!$B$6*(1+Inputs!$B$7/100))+(((Inputs!$B$12*(1+Inputs!$B$13/100))-(Inputs!$B$12*(1+Inputs!$B$13/100)))+0.25*(Inputs!$B$14-Inputs!$B$14))*(1+Inputs!$B$7/100))*(F1248/100)</f>
        <v/>
      </c>
      <c r="K1248">
        <f>J1248*(1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F1258-Calc!F18),(Inputs!$B$23+(IF(ArtifactsInput!$M$15,CHOOSE(ArtifactsInput!$N$15+1,25,30,35,40,45,50)/100*(Inputs!$B$11-Inputs!$B$11),0))))/100+(Inputs!$B$23+(IF(ArtifactsInput!$M$15,CHOOSE(ArtifactsInput!$N$15+1,25,30,35,40,45,50)/100*(Inputs!$B$11-Inputs!$B$11),0)))/100)/2</f>
        <v/>
      </c>
      <c r="M1248">
        <f>L1248*(1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(1-Summary!$B$11)*S1248+Summary!$B$11*U1248</f>
        <v/>
      </c>
      <c r="P1248">
        <f>IF(B1276=0,0,O1248/B1276)</f>
        <v/>
      </c>
      <c r="Q1248">
        <f>IFERROR(1/IF(Inputs!$B$38="pvp",15,MAX(0.1,Skills!D8-IF(Skills!E8=TRUE,Inputs!$B$32,0))),0)</f>
        <v/>
      </c>
      <c r="R1248">
        <f>IF(AND(Inputs!$B$38&lt;&gt;"pvp",Inputs!$B$43&gt;0),IF(MAX(0,Inputs!$B$43-B1273)&lt;=0,0,(INT(MAX(0,Inputs!$B$43-B1273)/IF(Inputs!$B$38="pvp",15,MAX(0.1,Skills!D8-IF(Skills!E8=TRUE,Inputs!$B$32,0))))+1)),0)</f>
        <v/>
      </c>
      <c r="S1248">
        <f>IF(C1248,(H1248*N1248*IF(AND(Inputs!$B$38&lt;&gt;"pvp",Inputs!$B$43&gt;0),((Skills!F8*((R1248-1)*IF(Skills!G8&gt;0,Skills!H8/Skills!G8,1)+IF(Skills!G8&gt;0,MIN(Skills!H8,MAX(0,MAX(0,Inputs!$B$43-B1273)-((R1248-1)*IF(Inputs!$B$38="pvp",15,MAX(0.1,Skills!D8-IF(Skills!E8=TRUE,Inputs!$B$32,0))))))/Skills!G8,1)))/Inputs!$B$43),G1248*Q1248))*IF(Inputs!$B$38="pvp",1,1+(Inputs!$B$20+Skills!O8+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1248*(1-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8">
        <f>IF(C1248,(H1248*N1248*IF(AND(Inputs!$B$38&lt;&gt;"pvp",Inputs!$B$43&gt;0),((Skills!F8*((R1248-1)*IF(Skills!G8&gt;0,Skills!H8/Skills!G8,1)+IF(Skills!G8&gt;0,MIN(Skills!H8,MAX(0,MAX(0,Inputs!$B$43-B1273)-((R1248-1)*IF(Inputs!$B$38="pvp",15,MAX(0.1,Skills!D8-IF(Skills!E8=TRUE,Inputs!$B$32,0))))))/Skills!G8,1)))/Inputs!$B$43),G1248*Q1248))*IF(Inputs!$B$38="pvp",1,(1+(Inputs!$B$21+Skills!P8+B1267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Skills!A9</f>
        <v/>
      </c>
      <c r="B1249">
        <f>Skills!B9</f>
        <v/>
      </c>
      <c r="C1249">
        <f>Inputs!$B$3&gt;=105</f>
        <v/>
      </c>
      <c r="D1249">
        <f>IF(Skills!C9=1,60+Inputs!$B$25+Inputs!$B$29,IF(Skills!C9=2,90+Inputs!$B$26+Inputs!$B$29,IF(Skills!C9=3,120+Inputs!$B$27+Inputs!$B$29,MAX(0,(Inputs!$B$3-100)*3)+Inputs!$B$28+Inputs!$B$29)))</f>
        <v/>
      </c>
      <c r="E1249">
        <f>INDEX(FactorTable!$B$2:$Y$301, MATCH(ROUND(MIN(300,MAX(1,D1249)),0), FactorTable!$A$2:$A$301,0), Skills!L9+1)</f>
        <v/>
      </c>
      <c r="F1249">
        <f>IF(Skills!M9=TRUE,(Skills!K9/10)*(E1249/1000),Skills!K9/10)+Skills!N9</f>
        <v/>
      </c>
      <c r="G1249">
        <f>Calc!G9</f>
        <v/>
      </c>
      <c r="H1249">
        <f>Calc!H9</f>
        <v/>
      </c>
      <c r="I1249">
        <f>IF(Skills!T9&lt;&gt;"",1+(Skills!T9/10)*(Z1243/1000)/100,1)</f>
        <v/>
      </c>
      <c r="J1249">
        <f>((Inputs!$B$6*(1+Inputs!$B$7/100))+(((Inputs!$B$12*(1+Inputs!$B$13/100))-(Inputs!$B$12*(1+Inputs!$B$13/100)))+0.25*(Inputs!$B$14-Inputs!$B$14))*(1+Inputs!$B$7/100))*(F1249/100)</f>
        <v/>
      </c>
      <c r="K1249">
        <f>J1249*(1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F1258-Calc!F18),(Inputs!$B$23+(IF(ArtifactsInput!$M$15,CHOOSE(ArtifactsInput!$N$15+1,25,30,35,40,45,50)/100*(Inputs!$B$11-Inputs!$B$11),0))))/100+(Inputs!$B$23+(IF(ArtifactsInput!$M$15,CHOOSE(ArtifactsInput!$N$15+1,25,30,35,40,45,50)/100*(Inputs!$B$11-Inputs!$B$11),0)))/100)/2</f>
        <v/>
      </c>
      <c r="M1249">
        <f>L1249*(1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(1-Summary!$B$11)*S1249+Summary!$B$11*U1249</f>
        <v/>
      </c>
      <c r="P1249">
        <f>IF(B1276=0,0,O1249/B1276)</f>
        <v/>
      </c>
      <c r="Q1249">
        <f>IFERROR(1/IF(Inputs!$B$38="pvp",15,MAX(0.1,Skills!D9-IF(Skills!E9=TRUE,Inputs!$B$32,0))),0)</f>
        <v/>
      </c>
      <c r="R1249">
        <f>IF(AND(Inputs!$B$38&lt;&gt;"pvp",Inputs!$B$43&gt;0),IF(MAX(0,Inputs!$B$43-B1273)&lt;=0,0,(INT(MAX(0,Inputs!$B$43-B1273)/IF(Inputs!$B$38="pvp",15,MAX(0.1,Skills!D9-IF(Skills!E9=TRUE,Inputs!$B$32,0))))+1)),0)</f>
        <v/>
      </c>
      <c r="S1249">
        <f>IF(C1249,(H1249*N1249*IF(AND(Inputs!$B$38&lt;&gt;"pvp",Inputs!$B$43&gt;0),((Skills!F9*((R1249-1)*IF(Skills!G9&gt;0,Skills!H9/Skills!G9,1)+IF(Skills!G9&gt;0,MIN(Skills!H9,MAX(0,MAX(0,Inputs!$B$43-B1273)-((R1249-1)*IF(Inputs!$B$38="pvp",15,MAX(0.1,Skills!D9-IF(Skills!E9=TRUE,Inputs!$B$32,0))))))/Skills!G9,1)))/Inputs!$B$43),G1249*Q1249))*IF(Inputs!$B$38="pvp",1,1+(Inputs!$B$20+Skills!O9+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1249*(1-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IF(C1249,(H1249*N1249*IF(AND(Inputs!$B$38&lt;&gt;"pvp",Inputs!$B$43&gt;0),((Skills!F9*((R1249-1)*IF(Skills!G9&gt;0,Skills!H9/Skills!G9,1)+IF(Skills!G9&gt;0,MIN(Skills!H9,MAX(0,MAX(0,Inputs!$B$43-B1273)-((R1249-1)*IF(Inputs!$B$38="pvp",15,MAX(0.1,Skills!D9-IF(Skills!E9=TRUE,Inputs!$B$32,0))))))/Skills!G9,1)))/Inputs!$B$43),G1249*Q1249))*IF(Inputs!$B$38="pvp",1,(1+(Inputs!$B$21+Skills!P9+B1267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Skills!A10</f>
        <v/>
      </c>
      <c r="B1250">
        <f>Skills!B10</f>
        <v/>
      </c>
      <c r="C1250">
        <f>Inputs!$B$3&gt;=113</f>
        <v/>
      </c>
      <c r="D1250">
        <f>IF(Skills!C10=1,60+Inputs!$B$25+Inputs!$B$29,IF(Skills!C10=2,90+Inputs!$B$26+Inputs!$B$29,IF(Skills!C10=3,120+Inputs!$B$27+Inputs!$B$29,MAX(0,(Inputs!$B$3-100)*3)+Inputs!$B$28+Inputs!$B$29)))</f>
        <v/>
      </c>
      <c r="E1250">
        <f>INDEX(FactorTable!$B$2:$Y$301, MATCH(ROUND(MIN(300,MAX(1,D1250)),0), FactorTable!$A$2:$A$301,0), Skills!L10+1)</f>
        <v/>
      </c>
      <c r="F1250">
        <f>IF(Skills!M10=TRUE,(Skills!K10/10)*(E1250/1000),Skills!K10/10)+Skills!N10</f>
        <v/>
      </c>
      <c r="G1250">
        <f>Calc!G10</f>
        <v/>
      </c>
      <c r="H1250">
        <f>Calc!H10</f>
        <v/>
      </c>
      <c r="I1250">
        <f>IF(Skills!T10&lt;&gt;"",1+(Skills!T10/10)*(Z1243/1000)/100,1)</f>
        <v/>
      </c>
      <c r="J1250">
        <f>((Inputs!$B$6*(1+Inputs!$B$7/100))+(((Inputs!$B$12*(1+Inputs!$B$13/100))-(Inputs!$B$12*(1+Inputs!$B$13/100)))+0.25*(Inputs!$B$14-Inputs!$B$14))*(1+Inputs!$B$7/100))*(F1250/100)</f>
        <v/>
      </c>
      <c r="K1250">
        <f>J1250*(1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F1258-Calc!F18),(Inputs!$B$23+(IF(ArtifactsInput!$M$15,CHOOSE(ArtifactsInput!$N$15+1,25,30,35,40,45,50)/100*(Inputs!$B$11-Inputs!$B$11),0))))/100+(Inputs!$B$23+(IF(ArtifactsInput!$M$15,CHOOSE(ArtifactsInput!$N$15+1,25,30,35,40,45,50)/100*(Inputs!$B$11-Inputs!$B$11),0)))/100)/2</f>
        <v/>
      </c>
      <c r="M1250">
        <f>L1250*(1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(1-Summary!$B$11)*S1250+Summary!$B$11*U1250</f>
        <v/>
      </c>
      <c r="P1250">
        <f>IF(B1276=0,0,O1250/B1276)</f>
        <v/>
      </c>
      <c r="Q1250">
        <f>IFERROR(1/IF(Inputs!$B$38="pvp",15,MAX(0.1,Skills!D10-IF(Skills!E9=TRUE,Inputs!$B$32,0))),0)</f>
        <v/>
      </c>
      <c r="R1250">
        <f>IF(AND(Inputs!$B$38&lt;&gt;"pvp",Inputs!$B$43&gt;0),IF(MAX(0,Inputs!$B$43-B1273)&lt;=0,0,(INT(MAX(0,Inputs!$B$43-B1273)/IF(Inputs!$B$38="pvp",15,MAX(0.1,Skills!D10-IF(Skills!E9=TRUE,Inputs!$B$32,0))))+1)),0)</f>
        <v/>
      </c>
      <c r="S1250">
        <f>IF(C1250,(H1250*N1250*IF(AND(Inputs!$B$38&lt;&gt;"pvp",Inputs!$B$43&gt;0),((Skills!F10*((R1250-1)*IF(Skills!G10&gt;0,Skills!H10/Skills!G10,1)+IF(Skills!G10&gt;0,MIN(Skills!H10,MAX(0,MAX(0,Inputs!$B$43-B1273)-((R1250-1)*IF(Inputs!$B$38="pvp",15,MAX(0.1,Skills!D10-IF(Skills!E9=TRUE,Inputs!$B$32,0))))))/Skills!G10,1)))/Inputs!$B$43),G1250*Q1250))*IF(Inputs!$B$38="pvp",1,1+(Inputs!$B$20+Skills!O10+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1250*(1-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0">
        <f>IF(C1250,(H1250*N1250*IF(AND(Inputs!$B$38&lt;&gt;"pvp",Inputs!$B$43&gt;0),((Skills!F10*((R1250-1)*IF(Skills!G10&gt;0,Skills!H10/Skills!G10,1)+IF(Skills!G10&gt;0,MIN(Skills!H10,MAX(0,MAX(0,Inputs!$B$43-B1273)-((R1250-1)*IF(Inputs!$B$38="pvp",15,MAX(0.1,Skills!D10-IF(Skills!E9=TRUE,Inputs!$B$32,0))))))/Skills!G10,1)))/Inputs!$B$43),G1250*Q1250))*IF(Inputs!$B$38="pvp",1,(1+(Inputs!$B$21+Skills!P10+B1267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Skills!A11</f>
        <v/>
      </c>
      <c r="B1251">
        <f>Skills!B11</f>
        <v/>
      </c>
      <c r="C1251">
        <f>Inputs!$B$3&gt;=107</f>
        <v/>
      </c>
      <c r="D1251">
        <f>IF(Skills!C11=1,60+Inputs!$B$25+Inputs!$B$29,IF(Skills!C11=2,90+Inputs!$B$26+Inputs!$B$29,IF(Skills!C11=3,120+Inputs!$B$27+Inputs!$B$29,MAX(0,(Inputs!$B$3-100)*3)+Inputs!$B$28+Inputs!$B$29)))</f>
        <v/>
      </c>
      <c r="E1251">
        <f>INDEX(FactorTable!$B$2:$Y$301, MATCH(ROUND(MIN(300,MAX(1,D1251)),0), FactorTable!$A$2:$A$301,0), Skills!L11+1)</f>
        <v/>
      </c>
      <c r="F1251">
        <f>IF(Skills!M11=TRUE,(Skills!K11/10)*(E1251/1000),Skills!K11/10)+Skills!N11</f>
        <v/>
      </c>
      <c r="G1251">
        <f>Calc!G11</f>
        <v/>
      </c>
      <c r="H1251">
        <f>Calc!H11</f>
        <v/>
      </c>
      <c r="I1251">
        <f>IF(Skills!T11&lt;&gt;"",1+(Skills!T11/10)*(Z1243/1000)/100,1)</f>
        <v/>
      </c>
      <c r="J1251">
        <f>((Inputs!$B$6*(1+Inputs!$B$7/100))+(((Inputs!$B$12*(1+Inputs!$B$13/100))-(Inputs!$B$12*(1+Inputs!$B$13/100)))+0.25*(Inputs!$B$14-Inputs!$B$14))*(1+Inputs!$B$7/100))*(F1251/100)</f>
        <v/>
      </c>
      <c r="K1251">
        <f>J1251*(1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F1258-Calc!F18),(Inputs!$B$23+(IF(ArtifactsInput!$M$15,CHOOSE(ArtifactsInput!$N$15+1,25,30,35,40,45,50)/100*(Inputs!$B$11-Inputs!$B$11),0))))/100+(Inputs!$B$23+(IF(ArtifactsInput!$M$15,CHOOSE(ArtifactsInput!$N$15+1,25,30,35,40,45,50)/100*(Inputs!$B$11-Inputs!$B$11),0)))/100)/2</f>
        <v/>
      </c>
      <c r="M1251">
        <f>L1251*(1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(1-Summary!$B$11)*S1251+Summary!$B$11*U1251</f>
        <v/>
      </c>
      <c r="P1251">
        <f>IF(B1276=0,0,O1251/B1276)</f>
        <v/>
      </c>
      <c r="Q1251">
        <f>IFERROR(1/IF(Inputs!$B$38="pvp",15,MAX(0.1,Skills!D11-IF(Skills!E11=TRUE,Inputs!$B$32,0))),0)</f>
        <v/>
      </c>
      <c r="R1251">
        <f>IF(AND(Inputs!$B$38&lt;&gt;"pvp",Inputs!$B$43&gt;0),IF(MAX(0,Inputs!$B$43-B1273)&lt;=0,0,(INT(MAX(0,Inputs!$B$43-B1273)/IF(Inputs!$B$38="pvp",15,MAX(0.1,Skills!D11-IF(Skills!E11=TRUE,Inputs!$B$32,0))))+1)),0)</f>
        <v/>
      </c>
      <c r="S1251">
        <f>IF(C1251,H1251*N1251*IF(AND(Inputs!$B$38&lt;&gt;"pvp",Inputs!$B$43&gt;0),((Skills!F11*((R1251-1)*IF(Skills!G11&gt;0,Skills!H11/Skills!G11,1)+IF(Skills!G11&gt;0,MIN(Skills!H11,MAX(0,MAX(0,Inputs!$B$43-B1273)-((R1251-1)*IF(Inputs!$B$38="pvp",15,MAX(0.1,Skills!D11-IF(Skills!E11=TRUE,Inputs!$B$32,0))))))/Skills!G11,1)))/Inputs!$B$43),G1251*Q1251)*0.5*IF(Inputs!$B$38="pvp",1,1+(Inputs!$B$20+Skills!O11+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1251*(1-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IF(C1251,H1251*N1251*IF(AND(Inputs!$B$38&lt;&gt;"pvp",Inputs!$B$43&gt;0),((Skills!F11*((R1251-1)*IF(Skills!G11&gt;0,Skills!H11/Skills!G11,1)+IF(Skills!G11&gt;0,MIN(Skills!H11,MAX(0,MAX(0,Inputs!$B$43-B1273)-((R1251-1)*IF(Inputs!$B$38="pvp",15,MAX(0.1,Skills!D11-IF(Skills!E11=TRUE,Inputs!$B$32,0))))))/Skills!G11,1)))/Inputs!$B$43),G1251*Q1251)*1*IF(Inputs!$B$38="pvp",1,(1+(Inputs!$B$21+Skills!P11+B1267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Skills!A12</f>
        <v/>
      </c>
      <c r="B1252">
        <f>Skills!B12</f>
        <v/>
      </c>
      <c r="C1252">
        <f>Inputs!$B$3&gt;=115</f>
        <v/>
      </c>
      <c r="D1252">
        <f>IF(Skills!C12=1,60+Inputs!$B$25+Inputs!$B$29,IF(Skills!C12=2,90+Inputs!$B$26+Inputs!$B$29,IF(Skills!C12=3,120+Inputs!$B$27+Inputs!$B$29,MAX(0,(Inputs!$B$3-100)*3)+Inputs!$B$28+Inputs!$B$29)))</f>
        <v/>
      </c>
      <c r="E1252">
        <f>INDEX(FactorTable!$B$2:$Y$301, MATCH(ROUND(MIN(300,MAX(1,D1252)),0), FactorTable!$A$2:$A$301,0), Skills!L12+1)</f>
        <v/>
      </c>
      <c r="F1252">
        <f>IF(Skills!M12=TRUE,(Skills!K12/10)*(E1252/1000),Skills!K12/10)+Skills!N12</f>
        <v/>
      </c>
      <c r="G1252">
        <f>Calc!G12</f>
        <v/>
      </c>
      <c r="H1252">
        <f>Calc!H12</f>
        <v/>
      </c>
      <c r="I1252">
        <f>IF(Skills!T12&lt;&gt;"",1+(Skills!T12/10)*(Z1243/1000)/100,1)</f>
        <v/>
      </c>
      <c r="J1252">
        <f>((Inputs!$B$6*(1+Inputs!$B$7/100))+(((Inputs!$B$12*(1+Inputs!$B$13/100))-(Inputs!$B$12*(1+Inputs!$B$13/100)))+0.25*(Inputs!$B$14-Inputs!$B$14))*(1+Inputs!$B$7/100))*(F1252/100)</f>
        <v/>
      </c>
      <c r="K1252">
        <f>J1252*(1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F1258-Calc!F18),(Inputs!$B$23+(IF(ArtifactsInput!$M$15,CHOOSE(ArtifactsInput!$N$15+1,25,30,35,40,45,50)/100*(Inputs!$B$11-Inputs!$B$11),0))))/100+(Inputs!$B$23+(IF(ArtifactsInput!$M$15,CHOOSE(ArtifactsInput!$N$15+1,25,30,35,40,45,50)/100*(Inputs!$B$11-Inputs!$B$11),0)))/100)/2</f>
        <v/>
      </c>
      <c r="M1252">
        <f>L1252*(1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(1-Summary!$B$11)*S1252+Summary!$B$11*U1252</f>
        <v/>
      </c>
      <c r="P1252">
        <f>IF(B1276=0,0,O1252/B1276)</f>
        <v/>
      </c>
      <c r="Q1252">
        <f>IFERROR(1/IF(Inputs!$B$38="pvp",15,MAX(0.1,Skills!D12-IF(Skills!E12=TRUE,Inputs!$B$32,0))),0)</f>
        <v/>
      </c>
      <c r="R1252">
        <f>IF(AND(Inputs!$B$38&lt;&gt;"pvp",Inputs!$B$43&gt;0),IF(MAX(0,Inputs!$B$43-B1273)&lt;=0,0,(INT(MAX(0,Inputs!$B$43-B1273)/IF(Inputs!$B$38="pvp",15,MAX(0.1,Skills!D12-IF(Skills!E12=TRUE,Inputs!$B$32,0))))+1)),0)</f>
        <v/>
      </c>
      <c r="S1252">
        <f>IF(C1252,(H1252*N1252*IF(AND(Inputs!$B$38&lt;&gt;"pvp",Inputs!$B$43&gt;0),((Skills!F12*((R1252-1)*IF(Skills!G12&gt;0,Skills!H12/Skills!G12,1)+IF(Skills!G12&gt;0,MIN(Skills!H12,MAX(0,MAX(0,Inputs!$B$43-B1273)-((R1252-1)*IF(Inputs!$B$38="pvp",15,MAX(0.1,Skills!D12-IF(Skills!E12=TRUE,Inputs!$B$32,0))))))/Skills!G12,1)))/Inputs!$B$43),G1252*Q1252))*IF(Inputs!$B$38="pvp",1,1+(Inputs!$B$20+Skills!O12+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1252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2">
        <f>IF(C1252,(H1252*N1252*IF(AND(Inputs!$B$38&lt;&gt;"pvp",Inputs!$B$43&gt;0),((Skills!F12*((R1252-1)*IF(Skills!G12&gt;0,Skills!H12/Skills!G12,1)+IF(Skills!G12&gt;0,MIN(Skills!H12,MAX(0,MAX(0,Inputs!$B$43-B1273)-((R1252-1)*IF(Inputs!$B$38="pvp",15,MAX(0.1,Skills!D12-IF(Skills!E12=TRUE,Inputs!$B$32,0))))))/Skills!G12,1)))/Inputs!$B$43),G1252*Q1252))*IF(Inputs!$B$38="pvp",1,(1+(Inputs!$B$21+Skills!P12+B1267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Skills!A13</f>
        <v/>
      </c>
      <c r="B1253">
        <f>Skills!B13</f>
        <v/>
      </c>
      <c r="C1253">
        <f>Inputs!$B$3&gt;=49</f>
        <v/>
      </c>
      <c r="D1253">
        <f>IF(Skills!C13=1,60+Inputs!$B$25+Inputs!$B$29,IF(Skills!C13=2,90+Inputs!$B$26+Inputs!$B$29,IF(Skills!C13=3,120+Inputs!$B$27+Inputs!$B$29,MAX(0,(Inputs!$B$3-100)*3)+Inputs!$B$28+Inputs!$B$29)))</f>
        <v/>
      </c>
      <c r="E1253">
        <f>INDEX(FactorTable!$B$2:$Y$301, MATCH(ROUND(MIN(300,MAX(1,D1253)),0), FactorTable!$A$2:$A$301,0), Skills!L13+1)</f>
        <v/>
      </c>
      <c r="F1253">
        <f>IF(Skills!M13=TRUE,(Skills!K13/10)*(E1253/1000),Skills!K13/10)+Skills!N13</f>
        <v/>
      </c>
      <c r="G1253">
        <f>Calc!G13</f>
        <v/>
      </c>
      <c r="H1253">
        <f>Calc!H13</f>
        <v/>
      </c>
      <c r="I1253">
        <f>IF(Skills!T13&lt;&gt;"",1+(Skills!T13/10)*(Z1243/1000)/100,1)</f>
        <v/>
      </c>
      <c r="J1253" t="inlineStr"/>
      <c r="K1253" t="inlineStr"/>
      <c r="L1253" t="inlineStr"/>
      <c r="M1253" t="inlineStr"/>
      <c r="N1253" t="inlineStr"/>
      <c r="O1253">
        <f>(1-Summary!$B$11)*S1253+Summary!$B$11*U1253</f>
        <v/>
      </c>
      <c r="P1253">
        <f>IF(B1276=0,0,O1253/B1276)</f>
        <v/>
      </c>
      <c r="Q1253">
        <f>IFERROR(1/IF(Inputs!$B$38="pvp",15,MAX(0.1,Skills!D13-IF(Skills!E13=TRUE,Inputs!$B$32,0))),0)</f>
        <v/>
      </c>
      <c r="R1253" t="n">
        <v>0</v>
      </c>
      <c r="S1253" t="n">
        <v>0</v>
      </c>
      <c r="U1253" t="n">
        <v>0</v>
      </c>
    </row>
    <row r="1254">
      <c r="A1254">
        <f>Skills!A14</f>
        <v/>
      </c>
      <c r="B1254">
        <f>Skills!B14</f>
        <v/>
      </c>
      <c r="C1254">
        <f>Inputs!$B$3&gt;=72</f>
        <v/>
      </c>
      <c r="D1254">
        <f>IF(Skills!C14=1,60+Inputs!$B$25+Inputs!$B$29,IF(Skills!C14=2,90+Inputs!$B$26+Inputs!$B$29,IF(Skills!C14=3,120+Inputs!$B$27+Inputs!$B$29,MAX(0,(Inputs!$B$3-100)*3)+Inputs!$B$28+Inputs!$B$29)))</f>
        <v/>
      </c>
      <c r="E1254">
        <f>INDEX(FactorTable!$B$2:$Y$301, MATCH(ROUND(MIN(300,MAX(1,D1254)),0), FactorTable!$A$2:$A$301,0), Skills!L14+1)</f>
        <v/>
      </c>
      <c r="F1254">
        <f>IF(Skills!M14=TRUE,(Skills!K14/10)*(E1254/1000),Skills!K14/10)+Skills!N14</f>
        <v/>
      </c>
      <c r="G1254">
        <f>Calc!G14</f>
        <v/>
      </c>
      <c r="H1254">
        <f>Calc!H14</f>
        <v/>
      </c>
      <c r="I1254">
        <f>IF(Skills!T14&lt;&gt;"",1+(Skills!T14/10)*(Z1243/1000)/100,1)</f>
        <v/>
      </c>
      <c r="J1254" t="inlineStr"/>
      <c r="K1254" t="inlineStr"/>
      <c r="L1254" t="inlineStr"/>
      <c r="M1254" t="inlineStr"/>
      <c r="N1254" t="inlineStr"/>
      <c r="O1254">
        <f>(1-Summary!$B$11)*S1254+Summary!$B$11*U1254</f>
        <v/>
      </c>
      <c r="P1254">
        <f>IF(B1276=0,0,O1254/B1276)</f>
        <v/>
      </c>
      <c r="Q1254">
        <f>IFERROR(1/IF(Inputs!$B$38="pvp",15,MAX(0.1,Skills!D14-IF(Skills!E14=TRUE,Inputs!$B$32,0))),0)</f>
        <v/>
      </c>
      <c r="R1254" t="n">
        <v>0</v>
      </c>
      <c r="S1254" t="n">
        <v>0</v>
      </c>
      <c r="U1254" t="n">
        <v>0</v>
      </c>
    </row>
    <row r="1255">
      <c r="A1255">
        <f>Skills!A15</f>
        <v/>
      </c>
      <c r="B1255">
        <f>Skills!B15</f>
        <v/>
      </c>
      <c r="C1255">
        <f>Inputs!$B$3&gt;=75</f>
        <v/>
      </c>
      <c r="D1255">
        <f>IF(Skills!C15=1,60+Inputs!$B$25+Inputs!$B$29,IF(Skills!C15=2,90+Inputs!$B$26+Inputs!$B$29,IF(Skills!C15=3,120+Inputs!$B$27+Inputs!$B$29,MAX(0,(Inputs!$B$3-100)*3)+Inputs!$B$28+Inputs!$B$29)))</f>
        <v/>
      </c>
      <c r="E1255">
        <f>INDEX(FactorTable!$B$2:$Y$301, MATCH(ROUND(MIN(300,MAX(1,D1255)),0), FactorTable!$A$2:$A$301,0), Skills!L15+1)</f>
        <v/>
      </c>
      <c r="F1255">
        <f>IF(Skills!M15=TRUE,(Skills!K15/10)*(E1255/1000),Skills!K15/10)+Skills!N15</f>
        <v/>
      </c>
      <c r="G1255">
        <f>Calc!G15</f>
        <v/>
      </c>
      <c r="H1255">
        <f>Calc!H15</f>
        <v/>
      </c>
      <c r="I1255">
        <f>IF(Skills!T15&lt;&gt;"",1+(Skills!T15/10)*(Z1243/1000)/100,1)</f>
        <v/>
      </c>
      <c r="J1255" t="inlineStr"/>
      <c r="K1255" t="inlineStr"/>
      <c r="L1255" t="inlineStr"/>
      <c r="M1255" t="inlineStr"/>
      <c r="N1255" t="inlineStr"/>
      <c r="O1255">
        <f>(1-Summary!$B$11)*S1255+Summary!$B$11*U1255</f>
        <v/>
      </c>
      <c r="P1255">
        <f>IF(B1276=0,0,O1255/B1276)</f>
        <v/>
      </c>
      <c r="Q1255">
        <f>IFERROR(1/IF(Inputs!$B$38="pvp",15,MAX(0.1,Skills!D15-IF(Skills!E15=TRUE,Inputs!$B$32,0))),0)</f>
        <v/>
      </c>
      <c r="R1255" t="n">
        <v>0</v>
      </c>
      <c r="S1255" t="n">
        <v>0</v>
      </c>
      <c r="U1255" t="n">
        <v>0</v>
      </c>
    </row>
    <row r="1256">
      <c r="A1256">
        <f>Skills!A16</f>
        <v/>
      </c>
      <c r="B1256">
        <f>Skills!B16</f>
        <v/>
      </c>
      <c r="C1256">
        <f>Inputs!$B$3&gt;=110</f>
        <v/>
      </c>
      <c r="D1256">
        <f>IF(Skills!C16=1,60+Inputs!$B$25+Inputs!$B$29,IF(Skills!C16=2,90+Inputs!$B$26+Inputs!$B$29,IF(Skills!C16=3,120+Inputs!$B$27+Inputs!$B$29,MAX(0,(Inputs!$B$3-100)*3)+Inputs!$B$28+Inputs!$B$29)))</f>
        <v/>
      </c>
      <c r="E1256">
        <f>INDEX(FactorTable!$B$2:$Y$301, MATCH(ROUND(MIN(300,MAX(1,D1256)),0), FactorTable!$A$2:$A$301,0), Skills!L16+1)</f>
        <v/>
      </c>
      <c r="F1256">
        <f>(Skills!K16/10)*(E1256/1000)*64/45+Skills!N16</f>
        <v/>
      </c>
      <c r="G1256">
        <f>Calc!G16</f>
        <v/>
      </c>
      <c r="H1256">
        <f>Calc!H16</f>
        <v/>
      </c>
      <c r="I1256">
        <f>IF(Skills!T16&lt;&gt;"",1+(Skills!T16/10)*(Z1243/1000)/100,1)</f>
        <v/>
      </c>
      <c r="J1256" t="inlineStr"/>
      <c r="K1256" t="inlineStr"/>
      <c r="L1256" t="inlineStr"/>
      <c r="M1256" t="inlineStr"/>
      <c r="N1256" t="inlineStr"/>
      <c r="O1256">
        <f>(1-Summary!$B$11)*S1256+Summary!$B$11*U1256</f>
        <v/>
      </c>
      <c r="P1256">
        <f>IF(B1276=0,0,O1256/B1276)</f>
        <v/>
      </c>
      <c r="Q1256">
        <f>IFERROR(1/IF(Inputs!$B$38="pvp",15,MAX(0.1,Skills!D16-IF(Skills!E16=TRUE,Inputs!$B$32,0))),0)</f>
        <v/>
      </c>
      <c r="R1256">
        <f>IF(AND(Inputs!$B$38&lt;&gt;"pvp",Inputs!$B$43&gt;0),IF(Inputs!$B$43&lt;=0,0,(INT(Inputs!$B$43/IF(Inputs!$B$38="pvp",15,MAX(0.1,Skills!D16-IF(Skills!E16=TRUE,Inputs!$B$32,0))))+1)),0)</f>
        <v/>
      </c>
      <c r="S1256" t="n">
        <v>0</v>
      </c>
      <c r="U1256" t="n">
        <v>0</v>
      </c>
    </row>
    <row r="1257">
      <c r="A1257">
        <f>Skills!A17</f>
        <v/>
      </c>
      <c r="B1257">
        <f>Skills!B17</f>
        <v/>
      </c>
      <c r="C1257">
        <f>Inputs!$B$3&gt;=33</f>
        <v/>
      </c>
      <c r="D1257">
        <f>IF(Skills!C17=1,60+Inputs!$B$25+Inputs!$B$29,IF(Skills!C17=2,90+Inputs!$B$26+Inputs!$B$29,IF(Skills!C17=3,120+Inputs!$B$27+Inputs!$B$29,MAX(0,(Inputs!$B$3-100)*3)+Inputs!$B$28+Inputs!$B$29)))</f>
        <v/>
      </c>
      <c r="E1257">
        <f>INDEX(FactorTable!$B$2:$Y$301, MATCH(ROUND(MIN(300,MAX(1,D1257)),0), FactorTable!$A$2:$A$301,0), Skills!L17+1)</f>
        <v/>
      </c>
      <c r="F1257">
        <f>IF(Skills!M17=TRUE,(Skills!K17/10)*(E1257/1000),Skills!K17/10)+Skills!N17</f>
        <v/>
      </c>
      <c r="G1257">
        <f>Calc!G17</f>
        <v/>
      </c>
      <c r="H1257">
        <f>Calc!H17</f>
        <v/>
      </c>
      <c r="I1257">
        <f>IF(Skills!T17&lt;&gt;"",1+(Skills!T17/10)*(Z1243/1000)/100,1)</f>
        <v/>
      </c>
      <c r="J1257" t="inlineStr"/>
      <c r="K1257" t="inlineStr"/>
      <c r="L1257" t="inlineStr"/>
      <c r="M1257" t="inlineStr"/>
      <c r="N1257" t="inlineStr"/>
      <c r="O1257">
        <f>(1-Summary!$B$11)*S1257+Summary!$B$11*U1257</f>
        <v/>
      </c>
      <c r="P1257">
        <f>IF(B1276=0,0,O1257/B1276)</f>
        <v/>
      </c>
      <c r="Q1257">
        <f>IFERROR(1/IF(Inputs!$B$38="pvp",15,MAX(0.1,Skills!D17-IF(Skills!E17=TRUE,Inputs!$B$32,0))),0)</f>
        <v/>
      </c>
      <c r="R1257" t="n">
        <v>0</v>
      </c>
      <c r="S1257" t="n">
        <v>0</v>
      </c>
      <c r="U1257" t="n">
        <v>0</v>
      </c>
    </row>
    <row r="1258">
      <c r="A1258">
        <f>Skills!A18</f>
        <v/>
      </c>
      <c r="B1258">
        <f>Skills!B18</f>
        <v/>
      </c>
      <c r="C1258">
        <f>Inputs!$B$3&gt;=43</f>
        <v/>
      </c>
      <c r="D1258">
        <f>IF(Skills!C18=1,60+Inputs!$B$25+Inputs!$B$29,IF(Skills!C18=2,90+Inputs!$B$26+Inputs!$B$29,IF(Skills!C18=3,120+Inputs!$B$27+Inputs!$B$29,MAX(0,(Inputs!$B$3-100)*3)+Inputs!$B$28+Inputs!$B$29)))</f>
        <v/>
      </c>
      <c r="E1258">
        <f>INDEX(FactorTable!$B$2:$Y$301, MATCH(ROUND(MIN(300,MAX(1,D1258)),0), FactorTable!$A$2:$A$301,0), Skills!L18+1)</f>
        <v/>
      </c>
      <c r="F1258">
        <f>IF(Skills!M18=TRUE,(Skills!K18/10)*(E1258/1000),Skills!K18/10)+Skills!N18</f>
        <v/>
      </c>
      <c r="G1258">
        <f>Calc!G18</f>
        <v/>
      </c>
      <c r="H1258">
        <f>Calc!H18</f>
        <v/>
      </c>
      <c r="I1258">
        <f>IF(Skills!T18&lt;&gt;"",1+(Skills!T18/10)*(Z1243/1000)/100,1)</f>
        <v/>
      </c>
      <c r="J1258" t="inlineStr"/>
      <c r="K1258" t="inlineStr"/>
      <c r="L1258" t="inlineStr"/>
      <c r="M1258" t="inlineStr"/>
      <c r="N1258" t="inlineStr"/>
      <c r="O1258">
        <f>(1-Summary!$B$11)*S1258+Summary!$B$11*U1258</f>
        <v/>
      </c>
      <c r="P1258">
        <f>IF(B1276=0,0,O1258/B1276)</f>
        <v/>
      </c>
      <c r="Q1258">
        <f>IFERROR(1/IF(Inputs!$B$38="pvp",15,MAX(0.1,Skills!D18-IF(Skills!E18=TRUE,Inputs!$B$32,0))),0)</f>
        <v/>
      </c>
      <c r="R1258" t="n">
        <v>0</v>
      </c>
      <c r="S1258" t="n">
        <v>0</v>
      </c>
      <c r="U1258" t="n">
        <v>0</v>
      </c>
    </row>
    <row r="1259">
      <c r="A1259">
        <f>Skills!A19</f>
        <v/>
      </c>
      <c r="B1259">
        <f>Skills!B19</f>
        <v/>
      </c>
      <c r="C1259">
        <f>Inputs!$B$3&gt;=50</f>
        <v/>
      </c>
      <c r="D1259">
        <f>IF(Skills!C19=1,60+Inputs!$B$25+Inputs!$B$29,IF(Skills!C19=2,90+Inputs!$B$26+Inputs!$B$29,IF(Skills!C19=3,120+Inputs!$B$27+Inputs!$B$29,MAX(0,(Inputs!$B$3-100)*3)+Inputs!$B$28+Inputs!$B$29)))</f>
        <v/>
      </c>
      <c r="E1259">
        <f>INDEX(FactorTable!$B$2:$Y$301, MATCH(ROUND(MIN(300,MAX(1,D1259)),0), FactorTable!$A$2:$A$301,0), Skills!L19+1)</f>
        <v/>
      </c>
      <c r="F1259">
        <f>IF(Skills!M19=TRUE,(Skills!K19/10)*(E1259/1000),Skills!K19/10)+Skills!N19</f>
        <v/>
      </c>
      <c r="G1259">
        <f>Calc!G19</f>
        <v/>
      </c>
      <c r="H1259">
        <f>Calc!H19</f>
        <v/>
      </c>
      <c r="I1259">
        <f>IF(Skills!T19&lt;&gt;"",1+(Skills!T19/10)*(Z1243/1000)/100,1)</f>
        <v/>
      </c>
      <c r="J1259" t="inlineStr"/>
      <c r="K1259" t="inlineStr"/>
      <c r="L1259" t="inlineStr"/>
      <c r="M1259" t="inlineStr"/>
      <c r="N1259" t="inlineStr"/>
      <c r="O1259">
        <f>(1-Summary!$B$11)*S1259+Summary!$B$11*U1259</f>
        <v/>
      </c>
      <c r="P1259">
        <f>IF(B1276=0,0,O1259/B1276)</f>
        <v/>
      </c>
      <c r="Q1259">
        <f>IFERROR(1/IF(Inputs!$B$38="pvp",15,MAX(0.1,Skills!D19-IF(Skills!E19=TRUE,Inputs!$B$32,0))),0)</f>
        <v/>
      </c>
      <c r="R1259" t="n">
        <v>0</v>
      </c>
      <c r="S1259" t="n">
        <v>0</v>
      </c>
      <c r="U1259" t="n">
        <v>0</v>
      </c>
    </row>
    <row r="1260">
      <c r="A1260">
        <f>Skills!A20</f>
        <v/>
      </c>
      <c r="B1260">
        <f>Skills!B20</f>
        <v/>
      </c>
      <c r="C1260">
        <f>Inputs!$B$3&gt;=74</f>
        <v/>
      </c>
      <c r="D1260">
        <f>IF(Skills!C20=1,60+Inputs!$B$25+Inputs!$B$29,IF(Skills!C20=2,90+Inputs!$B$26+Inputs!$B$29,IF(Skills!C20=3,120+Inputs!$B$27+Inputs!$B$29,MAX(0,(Inputs!$B$3-100)*3)+Inputs!$B$28+Inputs!$B$29)))</f>
        <v/>
      </c>
      <c r="E1260">
        <f>INDEX(FactorTable!$B$2:$Y$301, MATCH(ROUND(MIN(300,MAX(1,D1260)),0), FactorTable!$A$2:$A$301,0), Skills!L20+1)</f>
        <v/>
      </c>
      <c r="F1260">
        <f>IF(Skills!M20=TRUE,(Skills!K20/10)*(E1260/1000),Skills!K20/10)+Skills!N20</f>
        <v/>
      </c>
      <c r="G1260">
        <f>Calc!G20</f>
        <v/>
      </c>
      <c r="H1260">
        <f>Calc!H20</f>
        <v/>
      </c>
      <c r="I1260">
        <f>IF(Skills!T20&lt;&gt;"",1+(Skills!T20/10)*(Z1243/1000)/100,1)</f>
        <v/>
      </c>
      <c r="J1260" t="inlineStr"/>
      <c r="K1260" t="inlineStr"/>
      <c r="L1260" t="inlineStr"/>
      <c r="M1260" t="inlineStr"/>
      <c r="N1260" t="inlineStr"/>
      <c r="O1260">
        <f>(1-Summary!$B$11)*S1260+Summary!$B$11*U1260</f>
        <v/>
      </c>
      <c r="P1260">
        <f>IF(B1276=0,0,O1260/B1276)</f>
        <v/>
      </c>
      <c r="Q1260">
        <f>IFERROR(1/IF(Inputs!$B$38="pvp",15,MAX(0.1,Skills!D20-IF(Skills!E20=TRUE,Inputs!$B$32,0))),0)</f>
        <v/>
      </c>
      <c r="R1260" t="n">
        <v>0</v>
      </c>
      <c r="S1260" t="n">
        <v>0</v>
      </c>
      <c r="U1260" t="n">
        <v>0</v>
      </c>
    </row>
    <row r="1261">
      <c r="A1261">
        <f>Skills!A21</f>
        <v/>
      </c>
      <c r="B1261">
        <f>Skills!B21</f>
        <v/>
      </c>
      <c r="C1261">
        <f>Inputs!$B$3&gt;=74</f>
        <v/>
      </c>
      <c r="D1261">
        <f>IF(Skills!C21=1,60+Inputs!$B$25+Inputs!$B$29,IF(Skills!C21=2,90+Inputs!$B$26+Inputs!$B$29,IF(Skills!C21=3,120+Inputs!$B$27+Inputs!$B$29,MAX(0,(Inputs!$B$3-100)*3)+Inputs!$B$28+Inputs!$B$29)))</f>
        <v/>
      </c>
      <c r="E1261">
        <f>INDEX(FactorTable!$B$2:$Y$301, MATCH(ROUND(MIN(300,MAX(1,D1261)),0), FactorTable!$A$2:$A$301,0), Skills!L21+1)</f>
        <v/>
      </c>
      <c r="F1261">
        <f>IF(Skills!M21=TRUE,(Skills!K21/10)*(E1261/1000),Skills!K21/10)+Skills!N21</f>
        <v/>
      </c>
      <c r="G1261">
        <f>Calc!G21</f>
        <v/>
      </c>
      <c r="H1261">
        <f>Calc!H21</f>
        <v/>
      </c>
      <c r="I1261">
        <f>IF(Skills!T21&lt;&gt;"",1+(Skills!T21/10)*(Z1243/1000)/100,1)</f>
        <v/>
      </c>
      <c r="J1261" t="inlineStr"/>
      <c r="K1261" t="inlineStr"/>
      <c r="L1261" t="inlineStr"/>
      <c r="M1261" t="inlineStr"/>
      <c r="N1261" t="inlineStr"/>
      <c r="O1261">
        <f>(1-Summary!$B$11)*S1261+Summary!$B$11*U1261</f>
        <v/>
      </c>
      <c r="P1261">
        <f>IF(B1276=0,0,O1261/B1276)</f>
        <v/>
      </c>
      <c r="Q1261">
        <f>IFERROR(1/IF(Inputs!$B$38="pvp",15,MAX(0.1,Skills!D21-IF(Skills!E21=TRUE,Inputs!$B$32,0))),0)</f>
        <v/>
      </c>
      <c r="R1261" t="n">
        <v>0</v>
      </c>
      <c r="S1261" t="n">
        <v>0</v>
      </c>
      <c r="U1261" t="n">
        <v>0</v>
      </c>
    </row>
    <row r="1262">
      <c r="A1262">
        <f>Skills!A22</f>
        <v/>
      </c>
      <c r="B1262">
        <f>Skills!B22</f>
        <v/>
      </c>
      <c r="C1262">
        <f>Inputs!$B$3&gt;=117</f>
        <v/>
      </c>
      <c r="D1262">
        <f>IF(Skills!C22=1,60+Inputs!$B$25+Inputs!$B$29,IF(Skills!C22=2,90+Inputs!$B$26+Inputs!$B$29,IF(Skills!C22=3,120+Inputs!$B$27+Inputs!$B$29,MAX(0,(Inputs!$B$3-100)*3)+Inputs!$B$28+Inputs!$B$29)))</f>
        <v/>
      </c>
      <c r="E1262">
        <f>INDEX(FactorTable!$B$2:$Y$301, MATCH(ROUND(MIN(300,MAX(1,D1262)),0), FactorTable!$A$2:$A$301,0), Skills!L22+1)</f>
        <v/>
      </c>
      <c r="F1262">
        <f>IF(Skills!M22=TRUE,(Skills!K22/10)*(E1262/1000),Skills!K22/10)+Skills!N22</f>
        <v/>
      </c>
      <c r="G1262">
        <f>Calc!G22</f>
        <v/>
      </c>
      <c r="H1262">
        <f>Calc!H22</f>
        <v/>
      </c>
      <c r="I1262">
        <f>IF(Skills!T22&lt;&gt;"",1+(Skills!T22/10)*(Z1243/1000)/100,1)</f>
        <v/>
      </c>
      <c r="J1262" t="inlineStr"/>
      <c r="K1262" t="inlineStr"/>
      <c r="L1262" t="inlineStr"/>
      <c r="M1262" t="inlineStr"/>
      <c r="N1262" t="inlineStr"/>
      <c r="O1262">
        <f>(1-Summary!$B$11)*S1262+Summary!$B$11*U1262</f>
        <v/>
      </c>
      <c r="P1262">
        <f>IF(B1276=0,0,O1262/B1276)</f>
        <v/>
      </c>
      <c r="Q1262">
        <f>IFERROR(1/IF(Inputs!$B$38="pvp",15,MAX(0.1,Skills!D22-IF(Skills!E22=TRUE,Inputs!$B$32,0))),0)</f>
        <v/>
      </c>
      <c r="R1262" t="n">
        <v>0</v>
      </c>
      <c r="S1262" t="n">
        <v>0</v>
      </c>
      <c r="U1262" t="n">
        <v>0</v>
      </c>
    </row>
    <row r="1263">
      <c r="A1263">
        <f>Skills!A23</f>
        <v/>
      </c>
      <c r="B1263">
        <f>Skills!B23</f>
        <v/>
      </c>
      <c r="C1263">
        <f>Inputs!$B$3&gt;=120</f>
        <v/>
      </c>
      <c r="D1263">
        <f>IF(Skills!C23=1,60+Inputs!$B$25+Inputs!$B$29,IF(Skills!C23=2,90+Inputs!$B$26+Inputs!$B$29,IF(Skills!C23=3,120+Inputs!$B$27+Inputs!$B$29,MAX(0,(Inputs!$B$3-100)*3)+Inputs!$B$28+Inputs!$B$29)))</f>
        <v/>
      </c>
      <c r="E1263">
        <f>INDEX(FactorTable!$B$2:$Y$301, MATCH(ROUND(MIN(300,MAX(1,D1263)),0), FactorTable!$A$2:$A$301,0), Skills!L23+1)</f>
        <v/>
      </c>
      <c r="F1263">
        <f>IF(Skills!M23=TRUE,(Skills!K23/10)*(E1263/1000),Skills!K23/10)+Skills!N23</f>
        <v/>
      </c>
      <c r="G1263">
        <f>Calc!G23</f>
        <v/>
      </c>
      <c r="H1263">
        <f>Calc!H23</f>
        <v/>
      </c>
      <c r="I1263">
        <f>IF(Skills!T23&lt;&gt;"",1+(Skills!T23/10)*(Z1243/1000)/100,1)</f>
        <v/>
      </c>
      <c r="J1263" t="inlineStr"/>
      <c r="K1263" t="inlineStr"/>
      <c r="L1263" t="inlineStr"/>
      <c r="M1263" t="inlineStr"/>
      <c r="N1263" t="inlineStr"/>
      <c r="O1263">
        <f>(1-Summary!$B$11)*S1263+Summary!$B$11*U1263</f>
        <v/>
      </c>
      <c r="P1263">
        <f>IF(B1276=0,0,O1263/B1276)</f>
        <v/>
      </c>
      <c r="Q1263">
        <f>IFERROR(1/IF(Inputs!$B$38="pvp",15,MAX(0.1,Skills!D23-IF(Skills!E23=TRUE,Inputs!$B$32,0))),0)</f>
        <v/>
      </c>
      <c r="R1263" t="n">
        <v>0</v>
      </c>
      <c r="S1263" t="n">
        <v>0</v>
      </c>
      <c r="U1263" t="n">
        <v>0</v>
      </c>
    </row>
    <row r="1266">
      <c r="A1266" t="inlineStr">
        <is>
          <t>Average Buff Multiplier (Magic Guard + Meditation + Artifact Attack%, summed; then Infinity)</t>
        </is>
      </c>
      <c r="B1266">
        <f>(1+(IF(C1243=TRUE,F1243*IF(AND(Inputs!$B$38&lt;&gt;"pvp",Inputs!$B$43&gt;0),(((R1243-1)*(Skills!S3*(1+(Inputs!$B$34+IF(Inputs!$B$3&gt;=117,F1262,0))/100))+MIN((Skills!S3*(1+(Inputs!$B$34+IF(Inputs!$B$3&gt;=117,F1262,0))/100)),MAX(0,Inputs!$B$43-((R1243-1)*Skills!D3))))/Inputs!$B$43),IF(Inputs!$B$38="pvp",MIN((Skills!S3*(1+(Inputs!$B$34+IF(Inputs!$B$3&gt;=117,F1262,0))/100)),15)/15,(Skills!S3*(1+(Inputs!$B$34+IF(Inputs!$B$3&gt;=117,F1262,0))/100))/Skills!D3)),0)+IF(C1244=TRUE,F1244*IF(AND(Inputs!$B$38&lt;&gt;"pvp",Inputs!$B$43&gt;0),(((R1244-1)*(Skills!S4*(1+(Inputs!$B$34+IF(Inputs!$B$3&gt;=117,F1262,0))/100))+MIN((Skills!S4*(1+(Inputs!$B$34+IF(Inputs!$B$3&gt;=117,F1262,0))/100)),MAX(0,Inputs!$B$43-((R1244-1)*Skills!D4))))/Inputs!$B$43),IF(Inputs!$B$38="pvp",MIN((Skills!S4*(1+(Inputs!$B$34+IF(Inputs!$B$3&gt;=117,F1262,0))/100)),15)/15,(Skills!S4*(1+(Inputs!$B$34+IF(Inputs!$B$3&gt;=117,F1262,0)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1256=TRUE,(1+F1256*IF(AND(Inputs!$B$38&lt;&gt;"pvp",Inputs!$B$43&gt;0),(((R1256-1)*(Skills!S16*(1+(Inputs!$B$34+IF(Inputs!$B$3&gt;=117,F1262,0))/100))+MIN((Skills!S16*(1+(Inputs!$B$34+IF(Inputs!$B$3&gt;=117,F1262,0))/100)),MAX(0,Inputs!$B$43-((R1256-1)*Skills!D16))))/Inputs!$B$43),IF(Inputs!$B$38="pvp",MIN((Skills!S16*(1+(Inputs!$B$34+IF(Inputs!$B$3&gt;=117,F1262,0))/100)),15)/15,(Skills!S16*(1+(Inputs!$B$34+IF(Inputs!$B$3&gt;=117,F1262,0))/100))/Skills!D16))/100),1)</f>
        <v/>
      </c>
    </row>
    <row r="1267">
      <c r="A1267" t="inlineStr">
        <is>
          <t>Monster Damage Taken Bonus % (Freezing Breath - Weaken + Elemental Reset + Artifact Enemy Damage Taken, summed)</t>
        </is>
      </c>
      <c r="B1267">
        <f>IF(Inputs!$B$3&gt;=118,15*IF(Inputs!$B$38="pvp",MIN((30*(1+(Inputs!$B$34+IF(Inputs!$B$3&gt;=117,F1262,0))/100)),15)/15,(30*(1+(Inputs!$B$34+IF(Inputs!$B$3&gt;=117,F1262,0))/100))/Skills!D8),0)+IF(C1254=TRUE,F1254,0)+(IF(AND(ArtifactsInput!$M$35,Inputs!$B$4&lt;&gt;"Chapter Hunt"),CHOOSE(ArtifactsInput!$N$35+1,15,18,21,24,27,30)*(1-EXP(-(0.2*B1270)*5)),0)+IF(AND(ArtifactsInput!$M$22,Inputs!$B$4&lt;&gt;"Chapter Hunt"),CHOOSE(ArtifactsInput!$N$22+1,10,12,14,16,18,20)*((0*(((0.15*B1270*5))^0/1)+1*(((0.15*B1270*5))^1/1)+2*(((0.15*B1270*5))^2/2)+3*(((0.15*B1270*5))^3/6)+4*(((0.15*B1270*5))^4/24)+5*(((0.15*B1270*5))^5/120))/((((0.15*B1270*5))^0/1)+(((0.15*B1270*5))^1/1)+(((0.15*B1270*5))^2/2)+(((0.15*B1270*5))^3/6)+(((0.15*B1270*5))^4/24)+(((0.15*B1270*5))^5/120))),0))</f>
        <v/>
      </c>
    </row>
    <row r="1268">
      <c r="A1268" t="inlineStr">
        <is>
          <t>Damage % Bonus (Frozen Break + Frost Clutch, flat)</t>
        </is>
      </c>
      <c r="B1268">
        <f>IF(Inputs!$B$3&gt;=66,15,0)+IF(Inputs!$B$3&gt;=98,10,0)+IF(Inputs!$B$3&gt;=125,20,0)</f>
        <v/>
      </c>
    </row>
    <row r="1269">
      <c r="A1269" t="inlineStr">
        <is>
          <t>Attack Speed Bonus % (MP Eater - MP Boost, always-on once unlocked)</t>
        </is>
      </c>
      <c r="B1269">
        <f>IF(C1253=TRUE,F1253+(F1257-Calc!F17),0)</f>
        <v/>
      </c>
    </row>
    <row r="1270">
      <c r="A1270" t="inlineStr">
        <is>
          <t>Actions Per Second</t>
        </is>
      </c>
      <c r="B1270">
        <f>1+MIN(150,150*(1-(1-(Inputs!$B$11+(ArtifactsInput!$M$15-ArtifactsInput!$M$15)*CHOOSE(ArtifactsInput!$N$15+1,8,9.6,11.2,12.8,14.4,16))/150)*(1-B1269/150)))/100</f>
        <v/>
      </c>
    </row>
    <row r="1271">
      <c r="A1271" t="inlineStr">
        <is>
          <t>Skill + Buff Cast Rate</t>
        </is>
      </c>
      <c r="B1271">
        <f>IF(AND(Inputs!$B$38&lt;&gt;"pvp",Inputs!$B$43&gt;0),SUMPRODUCT((Skills!E2:E23=TRUE)*(C1242:C1263=TRUE)*R1242:R1263)/Inputs!$B$43,SUMPRODUCT((Skills!E2:E23=TRUE)*(C1242:C1263=TRUE)*Q1242:Q1263))</f>
        <v/>
      </c>
    </row>
    <row r="1272">
      <c r="A1272" t="inlineStr">
        <is>
          <t>Chain Lightning Casts Per Second</t>
        </is>
      </c>
      <c r="B1272">
        <f>MAX(0,B1270-B1271)</f>
        <v/>
      </c>
    </row>
    <row r="1273">
      <c r="A1273" t="inlineStr">
        <is>
          <t>Buff-Casting Startup Delay (s, fixed-duration only)</t>
        </is>
      </c>
      <c r="B1273">
        <f>IF(AND(Inputs!$B$38&lt;&gt;"pvp",Inputs!$B$43&gt;0),SUMPRODUCT((Skills!S2:S23&gt;0)*(Skills!E2:E23=TRUE)*(C1242:C1263=TRUE))/B1270,0)</f>
        <v/>
      </c>
    </row>
    <row r="1274">
      <c r="A1274" t="inlineStr">
        <is>
          <t>Boss-Only Total DPS (this block's swept value)</t>
        </is>
      </c>
      <c r="B1274">
        <f>SUM(S1242:S1263)</f>
        <v/>
      </c>
    </row>
    <row r="1275">
      <c r="A1275" t="inlineStr">
        <is>
          <t>Normal-Only Total DPS (this block's swept value)</t>
        </is>
      </c>
      <c r="B1275">
        <f>SUM(U1242:U1263)</f>
        <v/>
      </c>
    </row>
    <row r="1276">
      <c r="A1276" s="6" t="inlineStr">
        <is>
          <t>TOTAL DPS</t>
        </is>
      </c>
      <c r="B1276" s="6">
        <f>SUM(O1242:O1263)</f>
        <v/>
      </c>
    </row>
    <row r="1279">
      <c r="A1279" s="6" t="inlineStr">
        <is>
          <t>Stat: Arwen's Glass Shoes (Equip)</t>
        </is>
      </c>
    </row>
    <row r="1280">
      <c r="A1280" s="5" t="inlineStr">
        <is>
          <t>Key</t>
        </is>
      </c>
      <c r="B1280" s="5" t="inlineStr">
        <is>
          <t>Name</t>
        </is>
      </c>
      <c r="C1280" s="5" t="inlineStr">
        <is>
          <t>Unlocked</t>
        </is>
      </c>
      <c r="D1280" s="5" t="inlineStr">
        <is>
          <t>InputLevel</t>
        </is>
      </c>
      <c r="E1280" s="5" t="inlineStr">
        <is>
          <t>Factor</t>
        </is>
      </c>
      <c r="F1280" s="5" t="inlineStr">
        <is>
          <t>CoefficientPercent</t>
        </is>
      </c>
      <c r="G1280" s="5" t="inlineStr">
        <is>
          <t>EffectiveHits</t>
        </is>
      </c>
      <c r="H1280" s="5" t="inlineStr">
        <is>
          <t>ProcProbability</t>
        </is>
      </c>
      <c r="I1280" s="5" t="inlineStr">
        <is>
          <t>MapleHeroMultiplier</t>
        </is>
      </c>
      <c r="J1280" s="5" t="inlineStr">
        <is>
          <t>BaseDamage</t>
        </is>
      </c>
      <c r="K1280" s="5" t="inlineStr">
        <is>
          <t>BaseHitDamage</t>
        </is>
      </c>
      <c r="L1280" s="5" t="inlineStr">
        <is>
          <t>NonCritAvg</t>
        </is>
      </c>
      <c r="M1280" s="5" t="inlineStr">
        <is>
          <t>CritAvg</t>
        </is>
      </c>
      <c r="N1280" s="5" t="inlineStr">
        <is>
          <t>ExpectedDamage(perHit)</t>
        </is>
      </c>
      <c r="O1280" s="5" t="inlineStr">
        <is>
          <t>DPS</t>
        </is>
      </c>
      <c r="P1280" s="5" t="inlineStr">
        <is>
          <t>% of Total</t>
        </is>
      </c>
      <c r="R1280" t="inlineStr">
        <is>
          <t>helpers</t>
        </is>
      </c>
    </row>
    <row r="1281">
      <c r="A1281">
        <f>Skills!A2</f>
        <v/>
      </c>
      <c r="B1281">
        <f>Skills!B2</f>
        <v/>
      </c>
      <c r="C1281">
        <f>Inputs!$B$3&gt;=100</f>
        <v/>
      </c>
      <c r="D1281" t="inlineStr"/>
      <c r="E1281" t="inlineStr"/>
      <c r="F1281">
        <f>T1283+Skills!N2</f>
        <v/>
      </c>
      <c r="G1281">
        <f>Calc!G2</f>
        <v/>
      </c>
      <c r="H1281">
        <f>Calc!H2</f>
        <v/>
      </c>
      <c r="I1281">
        <f>IF(Skills!T2&lt;&gt;"",1+(Skills!T2/10)*(Z1282/1000)/100,1)</f>
        <v/>
      </c>
      <c r="J1281">
        <f>((Inputs!$B$6*(1+Inputs!$B$7/100))+(((Inputs!$B$12*(1+Inputs!$B$13/100))-(Inputs!$B$12*(1+Inputs!$B$13/100)))+0.25*(Inputs!$B$14-Inputs!$B$14))*(1+Inputs!$B$7/100))*(F1281/100)</f>
        <v/>
      </c>
      <c r="K1281">
        <f>J1281*(1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F1297-Calc!F18),(Inputs!$B$23+(IF(ArtifactsInput!$M$15,CHOOSE(ArtifactsInput!$N$15+1,25,30,35,40,45,50)/100*(Inputs!$B$11-Inputs!$B$11),0))))/100+(Inputs!$B$23+(IF(ArtifactsInput!$M$15,CHOOSE(ArtifactsInput!$N$15+1,25,30,35,40,45,50)/100*(Inputs!$B$11-Inputs!$B$11),0)))/100)/2</f>
        <v/>
      </c>
      <c r="M1281">
        <f>L1281*(1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(1-Summary!$B$11)*S1281+Summary!$B$11*U1281</f>
        <v/>
      </c>
      <c r="P1281">
        <f>IF(B1315=0,0,O1281/B1315)</f>
        <v/>
      </c>
      <c r="Q1281">
        <f>IFERROR(1/IF(Inputs!$B$38="pvp",15,MAX(0.1,Skills!D2-IF(Skills!E2=TRUE,Inputs!$B$32,0))),0)</f>
        <v/>
      </c>
      <c r="R1281" t="n">
        <v>0</v>
      </c>
      <c r="S1281">
        <f>IF(C1281,(Skills!F2*N1281*B1311)*IF(Inputs!$B$38="pvp",1,1+(Inputs!$B$20+Skills!O2+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81">
        <f>MAX(0,(Inputs!$B$3-100)*3)+Inputs!$B$28+Inputs!$B$29</f>
        <v/>
      </c>
      <c r="U1281">
        <f>IF(C1281,(Skills!F2*N1281*B1311)*IF(Inputs!$B$38="pvp",1,(1+(Inputs!$B$21+Skills!P2+B1306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81">
        <f>MAX(0,(Inputs!$B$3-100)*3)+Inputs!$B$28+Inputs!$B$29</f>
        <v/>
      </c>
    </row>
    <row r="1282">
      <c r="A1282">
        <f>Skills!A3</f>
        <v/>
      </c>
      <c r="B1282">
        <f>Skills!B3</f>
        <v/>
      </c>
      <c r="C1282">
        <f>Inputs!$B$3&gt;=15</f>
        <v/>
      </c>
      <c r="D1282">
        <f>IF(Skills!C3=1,60+Inputs!$B$25+Inputs!$B$29,IF(Skills!C3=2,90+Inputs!$B$26+Inputs!$B$29,IF(Skills!C3=3,120+Inputs!$B$27+Inputs!$B$29,MAX(0,(Inputs!$B$3-100)*3)+Inputs!$B$28+Inputs!$B$29)))</f>
        <v/>
      </c>
      <c r="E1282">
        <f>INDEX(FactorTable!$B$2:$Y$301, MATCH(ROUND(MIN(300,MAX(1,D1282)),0), FactorTable!$A$2:$A$301,0), Skills!L3+1)</f>
        <v/>
      </c>
      <c r="F1282">
        <f>IF(Skills!M3=TRUE,(Skills!K3/10)*(E1282/1000),Skills!K3/10)+Skills!N3</f>
        <v/>
      </c>
      <c r="G1282">
        <f>Calc!G3</f>
        <v/>
      </c>
      <c r="H1282">
        <f>Calc!H3</f>
        <v/>
      </c>
      <c r="I1282">
        <f>IF(Skills!T3&lt;&gt;"",1+(Skills!T3/10)*(Z1282/1000)/100,1)</f>
        <v/>
      </c>
      <c r="J1282" t="inlineStr"/>
      <c r="K1282" t="inlineStr"/>
      <c r="L1282" t="inlineStr"/>
      <c r="M1282" t="inlineStr"/>
      <c r="N1282" t="inlineStr"/>
      <c r="O1282">
        <f>(1-Summary!$B$11)*S1282+Summary!$B$11*U1282</f>
        <v/>
      </c>
      <c r="P1282">
        <f>IF(B1315=0,0,O1282/B1315)</f>
        <v/>
      </c>
      <c r="Q1282">
        <f>IFERROR(1/IF(Inputs!$B$38="pvp",15,MAX(0.1,Skills!D3-IF(Skills!E3=TRUE,Inputs!$B$32,0))),0)</f>
        <v/>
      </c>
      <c r="R1282">
        <f>IF(AND(Inputs!$B$38&lt;&gt;"pvp",Inputs!$B$43&gt;0),IF(Inputs!$B$43&lt;=0,0,(INT(Inputs!$B$43/IF(Inputs!$B$38="pvp",15,MAX(0.1,Skills!D3-IF(Skills!E3=TRUE,Inputs!$B$32,0))))+1)),0)</f>
        <v/>
      </c>
      <c r="S1282" t="n">
        <v>0</v>
      </c>
      <c r="T1282">
        <f>INDEX(FactorTable!$B$2:$Y$301, MATCH(ROUND(MIN(300,MAX(1,T1281)),0), FactorTable!$A$2:$A$301,0), 22)</f>
        <v/>
      </c>
      <c r="U1282" t="n">
        <v>0</v>
      </c>
      <c r="Z1282">
        <f>INDEX(FactorTable!$B$2:$Y$301, MATCH(ROUND(MIN(300,MAX(1,Z1281)),0), FactorTable!$A$2:$A$301,0), 24)</f>
        <v/>
      </c>
    </row>
    <row r="1283">
      <c r="A1283">
        <f>Skills!A4</f>
        <v/>
      </c>
      <c r="B1283">
        <f>Skills!B4</f>
        <v/>
      </c>
      <c r="C1283">
        <f>Inputs!$B$3&gt;=40</f>
        <v/>
      </c>
      <c r="D1283">
        <f>IF(Skills!C4=1,60+Inputs!$B$25+Inputs!$B$29,IF(Skills!C4=2,90+Inputs!$B$26+Inputs!$B$29,IF(Skills!C4=3,120+Inputs!$B$27+Inputs!$B$29,MAX(0,(Inputs!$B$3-100)*3)+Inputs!$B$28+Inputs!$B$29)))</f>
        <v/>
      </c>
      <c r="E1283">
        <f>INDEX(FactorTable!$B$2:$Y$301, MATCH(ROUND(MIN(300,MAX(1,D1283)),0), FactorTable!$A$2:$A$301,0), Skills!L4+1)</f>
        <v/>
      </c>
      <c r="F1283">
        <f>IF(Skills!M4=TRUE,(Skills!K4/10)*(E1283/1000),Skills!K4/10)+Skills!N4</f>
        <v/>
      </c>
      <c r="G1283">
        <f>Calc!G4</f>
        <v/>
      </c>
      <c r="H1283">
        <f>Calc!H4</f>
        <v/>
      </c>
      <c r="I1283">
        <f>IF(Skills!T4&lt;&gt;"",1+(Skills!T4/10)*(Z1282/1000)/100,1)</f>
        <v/>
      </c>
      <c r="J1283" t="inlineStr"/>
      <c r="K1283" t="inlineStr"/>
      <c r="L1283" t="inlineStr"/>
      <c r="M1283" t="inlineStr"/>
      <c r="N1283" t="inlineStr"/>
      <c r="O1283">
        <f>(1-Summary!$B$11)*S1283+Summary!$B$11*U1283</f>
        <v/>
      </c>
      <c r="P1283">
        <f>IF(B1315=0,0,O1283/B1315)</f>
        <v/>
      </c>
      <c r="Q1283">
        <f>IFERROR(1/IF(Inputs!$B$38="pvp",15,MAX(0.1,Skills!D4-IF(Skills!E4=TRUE,Inputs!$B$32,0))),0)</f>
        <v/>
      </c>
      <c r="R1283">
        <f>IF(AND(Inputs!$B$38&lt;&gt;"pvp",Inputs!$B$43&gt;0),IF(Inputs!$B$43&lt;=0,0,(INT(Inputs!$B$43/IF(Inputs!$B$38="pvp",15,MAX(0.1,Skills!D4-IF(Skills!E4=TRUE,Inputs!$B$32,0))))+1)),0)</f>
        <v/>
      </c>
      <c r="S1283" t="n">
        <v>0</v>
      </c>
      <c r="T1283">
        <f>290*T1282/1000</f>
        <v/>
      </c>
      <c r="U1283" t="n">
        <v>0</v>
      </c>
    </row>
    <row r="1284">
      <c r="A1284">
        <f>Skills!A5</f>
        <v/>
      </c>
      <c r="B1284">
        <f>Skills!B5</f>
        <v/>
      </c>
      <c r="C1284">
        <f>Inputs!$B$3&gt;=38</f>
        <v/>
      </c>
      <c r="D1284">
        <f>IF(Skills!C5=1,60+Inputs!$B$25+Inputs!$B$29,IF(Skills!C5=2,90+Inputs!$B$26+Inputs!$B$29,IF(Skills!C5=3,120+Inputs!$B$27+Inputs!$B$29,MAX(0,(Inputs!$B$3-100)*3)+Inputs!$B$28+Inputs!$B$29)))</f>
        <v/>
      </c>
      <c r="E1284">
        <f>INDEX(FactorTable!$B$2:$Y$301, MATCH(ROUND(MIN(300,MAX(1,D1284)),0), FactorTable!$A$2:$A$301,0), Skills!L5+1)</f>
        <v/>
      </c>
      <c r="F1284">
        <f>IF(Skills!M5=TRUE,(Skills!K5/10)*(E1284/1000),Skills!K5/10)+Skills!N5</f>
        <v/>
      </c>
      <c r="G1284">
        <f>Calc!G5</f>
        <v/>
      </c>
      <c r="H1284">
        <f>Calc!H5</f>
        <v/>
      </c>
      <c r="I1284">
        <f>IF(Skills!T5&lt;&gt;"",1+(Skills!T5/10)*(Z1282/1000)/100,1)</f>
        <v/>
      </c>
      <c r="J1284">
        <f>((Inputs!$B$6*(1+Inputs!$B$7/100))+(((Inputs!$B$12*(1+Inputs!$B$13/100))-(Inputs!$B$12*(1+Inputs!$B$13/100)))+0.25*(Inputs!$B$14-Inputs!$B$14))*(1+Inputs!$B$7/100))*(F1284/100)</f>
        <v/>
      </c>
      <c r="K1284">
        <f>J1284*(1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F1297-Calc!F18),(Inputs!$B$23+(IF(ArtifactsInput!$M$15,CHOOSE(ArtifactsInput!$N$15+1,25,30,35,40,45,50)/100*(Inputs!$B$11-Inputs!$B$11),0))))/100+(Inputs!$B$23+(IF(ArtifactsInput!$M$15,CHOOSE(ArtifactsInput!$N$15+1,25,30,35,40,45,50)/100*(Inputs!$B$11-Inputs!$B$11),0)))/100)/2</f>
        <v/>
      </c>
      <c r="M1284">
        <f>L1284*(1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(1-Summary!$B$11)*S1284+Summary!$B$11*U1284</f>
        <v/>
      </c>
      <c r="P1284">
        <f>IF(B1315=0,0,O1284/B1315)</f>
        <v/>
      </c>
      <c r="Q1284">
        <f>IFERROR(1/IF(Inputs!$B$38="pvp",15,MAX(0.1,Skills!D5-IF(Skills!E5=TRUE,Inputs!$B$32,0))),0)</f>
        <v/>
      </c>
      <c r="R1284">
        <f>IF(AND(Inputs!$B$38&lt;&gt;"pvp",Inputs!$B$43&gt;0),IF(MAX(0,Inputs!$B$43-B1312)&lt;=0,0,(INT(MAX(0,Inputs!$B$43-B1312)/IF(Inputs!$B$38="pvp",15,MAX(0.1,Skills!D5-IF(Skills!E5=TRUE,Inputs!$B$32,0))))+1)),0)</f>
        <v/>
      </c>
      <c r="S1284">
        <f>IF(C1284,(H1284*N1284*IF(AND(Inputs!$B$38&lt;&gt;"pvp",Inputs!$B$43&gt;0),((Skills!F5*((R1284-1)*IF(Skills!G5&gt;0,Skills!H5/Skills!G5,1)+IF(Skills!G5&gt;0,MIN(Skills!H5,MAX(0,MAX(0,Inputs!$B$43-B1312)-((R1284-1)*IF(Inputs!$B$38="pvp",15,MAX(0.1,Skills!D5-IF(Skills!E5=TRUE,Inputs!$B$32,0))))))/Skills!G5,1)))/Inputs!$B$43),G1284*Q1284))*IF(Inputs!$B$38="pvp",1,1+(Inputs!$B$20+Skills!O5+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1284*(1-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4">
        <f>IF(C1284,(H1284*N1284*IF(AND(Inputs!$B$38&lt;&gt;"pvp",Inputs!$B$43&gt;0),((Skills!F5*((R1284-1)*IF(Skills!G5&gt;0,Skills!H5/Skills!G5,1)+IF(Skills!G5&gt;0,MIN(Skills!H5,MAX(0,MAX(0,Inputs!$B$43-B1312)-((R1284-1)*IF(Inputs!$B$38="pvp",15,MAX(0.1,Skills!D5-IF(Skills!E5=TRUE,Inputs!$B$32,0))))))/Skills!G5,1)))/Inputs!$B$43),G1284*Q1284))*IF(Inputs!$B$38="pvp",1,(1+(Inputs!$B$21+Skills!P5+B1306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Skills!A6</f>
        <v/>
      </c>
      <c r="B1285">
        <f>Skills!B6</f>
        <v/>
      </c>
      <c r="C1285">
        <f>Inputs!$B$3&gt;=63</f>
        <v/>
      </c>
      <c r="D1285">
        <f>IF(Skills!C6=1,60+Inputs!$B$25+Inputs!$B$29,IF(Skills!C6=2,90+Inputs!$B$26+Inputs!$B$29,IF(Skills!C6=3,120+Inputs!$B$27+Inputs!$B$29,MAX(0,(Inputs!$B$3-100)*3)+Inputs!$B$28+Inputs!$B$29)))</f>
        <v/>
      </c>
      <c r="E1285">
        <f>INDEX(FactorTable!$B$2:$Y$301, MATCH(ROUND(MIN(300,MAX(1,D1285)),0), FactorTable!$A$2:$A$301,0), Skills!L6+1)</f>
        <v/>
      </c>
      <c r="F1285">
        <f>IF(Skills!M6=TRUE,(Skills!K6/10)*(E1285/1000),Skills!K6/10)+Skills!N6</f>
        <v/>
      </c>
      <c r="G1285">
        <f>Calc!G6</f>
        <v/>
      </c>
      <c r="H1285">
        <f>Calc!H6</f>
        <v/>
      </c>
      <c r="I1285">
        <f>IF(Skills!T6&lt;&gt;"",1+(Skills!T6/10)*(Z1282/1000)/100,1)</f>
        <v/>
      </c>
      <c r="J1285">
        <f>((Inputs!$B$6*(1+Inputs!$B$7/100))+(((Inputs!$B$12*(1+Inputs!$B$13/100))-(Inputs!$B$12*(1+Inputs!$B$13/100)))+0.25*(Inputs!$B$14-Inputs!$B$14))*(1+Inputs!$B$7/100))*(F1285/100)</f>
        <v/>
      </c>
      <c r="K1285">
        <f>J1285*(1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1285)</f>
        <v/>
      </c>
      <c r="L1285">
        <f>K1285*(MIN(Inputs!$B$22+(F1297-Calc!F18),(Inputs!$B$23+(IF(ArtifactsInput!$M$15,CHOOSE(ArtifactsInput!$N$15+1,25,30,35,40,45,50)/100*(Inputs!$B$11-Inputs!$B$11),0))))/100+(Inputs!$B$23+(IF(ArtifactsInput!$M$15,CHOOSE(ArtifactsInput!$N$15+1,25,30,35,40,45,50)/100*(Inputs!$B$11-Inputs!$B$11),0)))/100)/2</f>
        <v/>
      </c>
      <c r="M1285">
        <f>L1285*(1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5">
        <f>L1285*(1-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1285*(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5">
        <f>(1-Summary!$B$11)*S1285+Summary!$B$11*U1285</f>
        <v/>
      </c>
      <c r="P1285">
        <f>IF(B1315=0,0,O1285/B1315)</f>
        <v/>
      </c>
      <c r="Q1285">
        <f>IFERROR(1/IF(Inputs!$B$38="pvp",15,MAX(0.1,Skills!D6-IF(Skills!E6=TRUE,Inputs!$B$32,0))),0)</f>
        <v/>
      </c>
      <c r="R1285">
        <f>IF(AND(Inputs!$B$38&lt;&gt;"pvp",Inputs!$B$43&gt;0),IF(MAX(0,Inputs!$B$43-B1312)&lt;=0,0,(INT(MAX(0,Inputs!$B$43-B1312)/IF(Inputs!$B$38="pvp",15,MAX(0.1,Skills!D6-IF(Skills!E6=TRUE,Inputs!$B$32,0))))+1)),0)</f>
        <v/>
      </c>
      <c r="S1285">
        <f>IF(C1285,(H1285*N1285*IF(AND(Inputs!$B$38&lt;&gt;"pvp",Inputs!$B$43&gt;0),((Skills!F6*((R1285-1)*IF(Skills!G6&gt;0,Skills!H6/Skills!G6,1)+IF(Skills!G6&gt;0,MIN(Skills!H6,MAX(0,MAX(0,Inputs!$B$43-B1312)-((R1285-1)*IF(Inputs!$B$38="pvp",15,MAX(0.1,Skills!D6-IF(Skills!E6=TRUE,Inputs!$B$32,0))))))/Skills!G6,1)))/Inputs!$B$43),G1285*Q1285))*IF(Inputs!$B$38="pvp",1,1+(Inputs!$B$20+Skills!O6+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1285*(1-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1285*(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1285*(1-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1285*(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5">
        <f>IF(C1285,(H1285*N1285*IF(AND(Inputs!$B$38&lt;&gt;"pvp",Inputs!$B$43&gt;0),((Skills!F6*((R1285-1)*IF(Skills!G6&gt;0,Skills!H6/Skills!G6,1)+IF(Skills!G6&gt;0,MIN(Skills!H6,MAX(0,MAX(0,Inputs!$B$43-B1312)-((R1285-1)*IF(Inputs!$B$38="pvp",15,MAX(0.1,Skills!D6-IF(Skills!E6=TRUE,Inputs!$B$32,0))))))/Skills!G6,1)))/Inputs!$B$43),G1285*Q1285))*IF(Inputs!$B$38="pvp",1,(1+(Inputs!$B$21+Skills!P6+B1306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6">
      <c r="A1286">
        <f>Skills!A7</f>
        <v/>
      </c>
      <c r="B1286">
        <f>Skills!B7</f>
        <v/>
      </c>
      <c r="C1286">
        <f>Inputs!$B$3&gt;=69</f>
        <v/>
      </c>
      <c r="D1286">
        <f>IF(Skills!C7=1,60+Inputs!$B$25+Inputs!$B$29,IF(Skills!C7=2,90+Inputs!$B$26+Inputs!$B$29,IF(Skills!C7=3,120+Inputs!$B$27+Inputs!$B$29,MAX(0,(Inputs!$B$3-100)*3)+Inputs!$B$28+Inputs!$B$29)))</f>
        <v/>
      </c>
      <c r="E1286">
        <f>INDEX(FactorTable!$B$2:$Y$301, MATCH(ROUND(MIN(300,MAX(1,D1286)),0), FactorTable!$A$2:$A$301,0), Skills!L7+1)</f>
        <v/>
      </c>
      <c r="F1286">
        <f>IF(Skills!M7=TRUE,(Skills!K7/10)*(E1286/1000),Skills!K7/10)+Skills!N7</f>
        <v/>
      </c>
      <c r="G1286">
        <f>Calc!G7</f>
        <v/>
      </c>
      <c r="H1286">
        <f>Calc!H7</f>
        <v/>
      </c>
      <c r="I1286">
        <f>IF(Skills!T7&lt;&gt;"",1+(Skills!T7/10)*(Z1282/1000)/100,1)</f>
        <v/>
      </c>
      <c r="J1286">
        <f>((Inputs!$B$6*(1+Inputs!$B$7/100))+(((Inputs!$B$12*(1+Inputs!$B$13/100))-(Inputs!$B$12*(1+Inputs!$B$13/100)))+0.25*(Inputs!$B$14-Inputs!$B$14))*(1+Inputs!$B$7/100))*(F1286/100)</f>
        <v/>
      </c>
      <c r="K1286">
        <f>J1286*(1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1297-Calc!F18),(Inputs!$B$23+(IF(ArtifactsInput!$M$15,CHOOSE(ArtifactsInput!$N$15+1,25,30,35,40,45,50)/100*(Inputs!$B$11-Inputs!$B$11),0))))/100+(Inputs!$B$23+(IF(ArtifactsInput!$M$15,CHOOSE(ArtifactsInput!$N$15+1,25,30,35,40,45,50)/100*(Inputs!$B$11-Inputs!$B$11),0)))/100)/2</f>
        <v/>
      </c>
      <c r="M1286">
        <f>L1286*(1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IF(B1315=0,0,O1286/B1315)</f>
        <v/>
      </c>
      <c r="Q1286">
        <f>IFERROR(1/IF(Inputs!$B$38="pvp",15,MAX(0.1,Skills!D7-IF(Skills!E7=TRUE,Inputs!$B$32,0))),0)</f>
        <v/>
      </c>
      <c r="R1286">
        <f>IF(AND(Inputs!$B$38&lt;&gt;"pvp",Inputs!$B$43&gt;0),IF(MAX(0,Inputs!$B$43-B1312)&lt;=0,0,(INT(MAX(0,Inputs!$B$43-B1312)/IF(Inputs!$B$38="pvp",15,MAX(0.1,Skills!D7-IF(Skills!E7=TRUE,Inputs!$B$32,0))))+1)),0)</f>
        <v/>
      </c>
      <c r="S1286">
        <f>IF(C1286,(H1286*N1286*IF(AND(Inputs!$B$38&lt;&gt;"pvp",Inputs!$B$43&gt;0),((Skills!F7*((R1286-1)*IF(Skills!G7&gt;0,Skills!H7/Skills!G7,1)+IF(Skills!G7&gt;0,MIN(Skills!H7,MAX(0,MAX(0,Inputs!$B$43-B1312)-((R1286-1)*IF(Inputs!$B$38="pvp",15,MAX(0.1,Skills!D7-IF(Skills!E7=TRUE,Inputs!$B$32,0))))))/Skills!G7,1)))/Inputs!$B$43),G1286*Q1286))*IF(Inputs!$B$38="pvp",1,1+(Inputs!$B$20+Skills!O7+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F7*((R1286-1)*IF(Skills!G7&gt;0,Skills!H7/Skills!G7,1)+IF(Skills!G7&gt;0,MIN(Skills!H7,MAX(0,MAX(0,Inputs!$B$43-B1312)-((R1286-1)*IF(Inputs!$B$38="pvp",15,MAX(0.1,Skills!D7-IF(Skills!E7=TRUE,Inputs!$B$32,0))))))/Skills!G7,1)))/Inputs!$B$43),G1286*Q1286))*IF(Inputs!$B$38="pvp",1,(1+(Inputs!$B$21+Skills!P7+B1306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Skills!A8</f>
        <v/>
      </c>
      <c r="B1287">
        <f>Skills!B8</f>
        <v/>
      </c>
      <c r="C1287">
        <f>Inputs!$B$3&gt;=103</f>
        <v/>
      </c>
      <c r="D1287">
        <f>IF(Skills!C8=1,60+Inputs!$B$25+Inputs!$B$29,IF(Skills!C8=2,90+Inputs!$B$26+Inputs!$B$29,IF(Skills!C8=3,120+Inputs!$B$27+Inputs!$B$29,MAX(0,(Inputs!$B$3-100)*3)+Inputs!$B$28+Inputs!$B$29)))</f>
        <v/>
      </c>
      <c r="E1287">
        <f>INDEX(FactorTable!$B$2:$Y$301, MATCH(ROUND(MIN(300,MAX(1,D1287)),0), FactorTable!$A$2:$A$301,0), Skills!L8+1)</f>
        <v/>
      </c>
      <c r="F1287">
        <f>IF(Skills!M8=TRUE,(Skills!K8/10)*(E1287/1000),Skills!K8/10)+Skills!N8</f>
        <v/>
      </c>
      <c r="G1287">
        <f>Calc!G8</f>
        <v/>
      </c>
      <c r="H1287">
        <f>Calc!H8</f>
        <v/>
      </c>
      <c r="I1287">
        <f>IF(Skills!T8&lt;&gt;"",1+(Skills!T8/10)*(Z1282/1000)/100,1)</f>
        <v/>
      </c>
      <c r="J1287">
        <f>((Inputs!$B$6*(1+Inputs!$B$7/100))+(((Inputs!$B$12*(1+Inputs!$B$13/100))-(Inputs!$B$12*(1+Inputs!$B$13/100)))+0.25*(Inputs!$B$14-Inputs!$B$14))*(1+Inputs!$B$7/100))*(F1287/100)</f>
        <v/>
      </c>
      <c r="K1287">
        <f>J1287*(1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F1297-Calc!F18),(Inputs!$B$23+(IF(ArtifactsInput!$M$15,CHOOSE(ArtifactsInput!$N$15+1,25,30,35,40,45,50)/100*(Inputs!$B$11-Inputs!$B$11),0))))/100+(Inputs!$B$23+(IF(ArtifactsInput!$M$15,CHOOSE(ArtifactsInput!$N$15+1,25,30,35,40,45,50)/100*(Inputs!$B$11-Inputs!$B$11),0)))/100)/2</f>
        <v/>
      </c>
      <c r="M1287">
        <f>L1287*(1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(1-Summary!$B$11)*S1287+Summary!$B$11*U1287</f>
        <v/>
      </c>
      <c r="P1287">
        <f>IF(B1315=0,0,O1287/B1315)</f>
        <v/>
      </c>
      <c r="Q1287">
        <f>IFERROR(1/IF(Inputs!$B$38="pvp",15,MAX(0.1,Skills!D8-IF(Skills!E8=TRUE,Inputs!$B$32,0))),0)</f>
        <v/>
      </c>
      <c r="R1287">
        <f>IF(AND(Inputs!$B$38&lt;&gt;"pvp",Inputs!$B$43&gt;0),IF(MAX(0,Inputs!$B$43-B1312)&lt;=0,0,(INT(MAX(0,Inputs!$B$43-B1312)/IF(Inputs!$B$38="pvp",15,MAX(0.1,Skills!D8-IF(Skills!E8=TRUE,Inputs!$B$32,0))))+1)),0)</f>
        <v/>
      </c>
      <c r="S1287">
        <f>IF(C1287,(H1287*N1287*IF(AND(Inputs!$B$38&lt;&gt;"pvp",Inputs!$B$43&gt;0),((Skills!F8*((R1287-1)*IF(Skills!G8&gt;0,Skills!H8/Skills!G8,1)+IF(Skills!G8&gt;0,MIN(Skills!H8,MAX(0,MAX(0,Inputs!$B$43-B1312)-((R1287-1)*IF(Inputs!$B$38="pvp",15,MAX(0.1,Skills!D8-IF(Skills!E8=TRUE,Inputs!$B$32,0))))))/Skills!G8,1)))/Inputs!$B$43),G1287*Q1287))*IF(Inputs!$B$38="pvp",1,1+(Inputs!$B$20+Skills!O8+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1287*(1-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7">
        <f>IF(C1287,(H1287*N1287*IF(AND(Inputs!$B$38&lt;&gt;"pvp",Inputs!$B$43&gt;0),((Skills!F8*((R1287-1)*IF(Skills!G8&gt;0,Skills!H8/Skills!G8,1)+IF(Skills!G8&gt;0,MIN(Skills!H8,MAX(0,MAX(0,Inputs!$B$43-B1312)-((R1287-1)*IF(Inputs!$B$38="pvp",15,MAX(0.1,Skills!D8-IF(Skills!E8=TRUE,Inputs!$B$32,0))))))/Skills!G8,1)))/Inputs!$B$43),G1287*Q1287))*IF(Inputs!$B$38="pvp",1,(1+(Inputs!$B$21+Skills!P8+B1306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Skills!A9</f>
        <v/>
      </c>
      <c r="B1288">
        <f>Skills!B9</f>
        <v/>
      </c>
      <c r="C1288">
        <f>Inputs!$B$3&gt;=105</f>
        <v/>
      </c>
      <c r="D1288">
        <f>IF(Skills!C9=1,60+Inputs!$B$25+Inputs!$B$29,IF(Skills!C9=2,90+Inputs!$B$26+Inputs!$B$29,IF(Skills!C9=3,120+Inputs!$B$27+Inputs!$B$29,MAX(0,(Inputs!$B$3-100)*3)+Inputs!$B$28+Inputs!$B$29)))</f>
        <v/>
      </c>
      <c r="E1288">
        <f>INDEX(FactorTable!$B$2:$Y$301, MATCH(ROUND(MIN(300,MAX(1,D1288)),0), FactorTable!$A$2:$A$301,0), Skills!L9+1)</f>
        <v/>
      </c>
      <c r="F1288">
        <f>IF(Skills!M9=TRUE,(Skills!K9/10)*(E1288/1000),Skills!K9/10)+Skills!N9</f>
        <v/>
      </c>
      <c r="G1288">
        <f>Calc!G9</f>
        <v/>
      </c>
      <c r="H1288">
        <f>Calc!H9</f>
        <v/>
      </c>
      <c r="I1288">
        <f>IF(Skills!T9&lt;&gt;"",1+(Skills!T9/10)*(Z1282/1000)/100,1)</f>
        <v/>
      </c>
      <c r="J1288">
        <f>((Inputs!$B$6*(1+Inputs!$B$7/100))+(((Inputs!$B$12*(1+Inputs!$B$13/100))-(Inputs!$B$12*(1+Inputs!$B$13/100)))+0.25*(Inputs!$B$14-Inputs!$B$14))*(1+Inputs!$B$7/100))*(F1288/100)</f>
        <v/>
      </c>
      <c r="K1288">
        <f>J1288*(1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F1297-Calc!F18),(Inputs!$B$23+(IF(ArtifactsInput!$M$15,CHOOSE(ArtifactsInput!$N$15+1,25,30,35,40,45,50)/100*(Inputs!$B$11-Inputs!$B$11),0))))/100+(Inputs!$B$23+(IF(ArtifactsInput!$M$15,CHOOSE(ArtifactsInput!$N$15+1,25,30,35,40,45,50)/100*(Inputs!$B$11-Inputs!$B$11),0)))/100)/2</f>
        <v/>
      </c>
      <c r="M1288">
        <f>L1288*(1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(1-Summary!$B$11)*S1288+Summary!$B$11*U1288</f>
        <v/>
      </c>
      <c r="P1288">
        <f>IF(B1315=0,0,O1288/B1315)</f>
        <v/>
      </c>
      <c r="Q1288">
        <f>IFERROR(1/IF(Inputs!$B$38="pvp",15,MAX(0.1,Skills!D9-IF(Skills!E9=TRUE,Inputs!$B$32,0))),0)</f>
        <v/>
      </c>
      <c r="R1288">
        <f>IF(AND(Inputs!$B$38&lt;&gt;"pvp",Inputs!$B$43&gt;0),IF(MAX(0,Inputs!$B$43-B1312)&lt;=0,0,(INT(MAX(0,Inputs!$B$43-B1312)/IF(Inputs!$B$38="pvp",15,MAX(0.1,Skills!D9-IF(Skills!E9=TRUE,Inputs!$B$32,0))))+1)),0)</f>
        <v/>
      </c>
      <c r="S1288">
        <f>IF(C1288,(H1288*N1288*IF(AND(Inputs!$B$38&lt;&gt;"pvp",Inputs!$B$43&gt;0),((Skills!F9*((R1288-1)*IF(Skills!G9&gt;0,Skills!H9/Skills!G9,1)+IF(Skills!G9&gt;0,MIN(Skills!H9,MAX(0,MAX(0,Inputs!$B$43-B1312)-((R1288-1)*IF(Inputs!$B$38="pvp",15,MAX(0.1,Skills!D9-IF(Skills!E9=TRUE,Inputs!$B$32,0))))))/Skills!G9,1)))/Inputs!$B$43),G1288*Q1288))*IF(Inputs!$B$38="pvp",1,1+(Inputs!$B$20+Skills!O9+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IF(C1288,(H1288*N1288*IF(AND(Inputs!$B$38&lt;&gt;"pvp",Inputs!$B$43&gt;0),((Skills!F9*((R1288-1)*IF(Skills!G9&gt;0,Skills!H9/Skills!G9,1)+IF(Skills!G9&gt;0,MIN(Skills!H9,MAX(0,MAX(0,Inputs!$B$43-B1312)-((R1288-1)*IF(Inputs!$B$38="pvp",15,MAX(0.1,Skills!D9-IF(Skills!E9=TRUE,Inputs!$B$32,0))))))/Skills!G9,1)))/Inputs!$B$43),G1288*Q1288))*IF(Inputs!$B$38="pvp",1,(1+(Inputs!$B$21+Skills!P9+B1306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Skills!A10</f>
        <v/>
      </c>
      <c r="B1289">
        <f>Skills!B10</f>
        <v/>
      </c>
      <c r="C1289">
        <f>Inputs!$B$3&gt;=113</f>
        <v/>
      </c>
      <c r="D1289">
        <f>IF(Skills!C10=1,60+Inputs!$B$25+Inputs!$B$29,IF(Skills!C10=2,90+Inputs!$B$26+Inputs!$B$29,IF(Skills!C10=3,120+Inputs!$B$27+Inputs!$B$29,MAX(0,(Inputs!$B$3-100)*3)+Inputs!$B$28+Inputs!$B$29)))</f>
        <v/>
      </c>
      <c r="E1289">
        <f>INDEX(FactorTable!$B$2:$Y$301, MATCH(ROUND(MIN(300,MAX(1,D1289)),0), FactorTable!$A$2:$A$301,0), Skills!L10+1)</f>
        <v/>
      </c>
      <c r="F1289">
        <f>IF(Skills!M10=TRUE,(Skills!K10/10)*(E1289/1000),Skills!K10/10)+Skills!N10</f>
        <v/>
      </c>
      <c r="G1289">
        <f>Calc!G10</f>
        <v/>
      </c>
      <c r="H1289">
        <f>Calc!H10</f>
        <v/>
      </c>
      <c r="I1289">
        <f>IF(Skills!T10&lt;&gt;"",1+(Skills!T10/10)*(Z1282/1000)/100,1)</f>
        <v/>
      </c>
      <c r="J1289">
        <f>((Inputs!$B$6*(1+Inputs!$B$7/100))+(((Inputs!$B$12*(1+Inputs!$B$13/100))-(Inputs!$B$12*(1+Inputs!$B$13/100)))+0.25*(Inputs!$B$14-Inputs!$B$14))*(1+Inputs!$B$7/100))*(F1289/100)</f>
        <v/>
      </c>
      <c r="K1289">
        <f>J1289*(1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F1297-Calc!F18),(Inputs!$B$23+(IF(ArtifactsInput!$M$15,CHOOSE(ArtifactsInput!$N$15+1,25,30,35,40,45,50)/100*(Inputs!$B$11-Inputs!$B$11),0))))/100+(Inputs!$B$23+(IF(ArtifactsInput!$M$15,CHOOSE(ArtifactsInput!$N$15+1,25,30,35,40,45,50)/100*(Inputs!$B$11-Inputs!$B$11),0)))/100)/2</f>
        <v/>
      </c>
      <c r="M1289">
        <f>L1289*(1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(1-Summary!$B$11)*S1289+Summary!$B$11*U1289</f>
        <v/>
      </c>
      <c r="P1289">
        <f>IF(B1315=0,0,O1289/B1315)</f>
        <v/>
      </c>
      <c r="Q1289">
        <f>IFERROR(1/IF(Inputs!$B$38="pvp",15,MAX(0.1,Skills!D10-IF(Skills!E9=TRUE,Inputs!$B$32,0))),0)</f>
        <v/>
      </c>
      <c r="R1289">
        <f>IF(AND(Inputs!$B$38&lt;&gt;"pvp",Inputs!$B$43&gt;0),IF(MAX(0,Inputs!$B$43-B1312)&lt;=0,0,(INT(MAX(0,Inputs!$B$43-B1312)/IF(Inputs!$B$38="pvp",15,MAX(0.1,Skills!D10-IF(Skills!E9=TRUE,Inputs!$B$32,0))))+1)),0)</f>
        <v/>
      </c>
      <c r="S1289">
        <f>IF(C1289,(H1289*N1289*IF(AND(Inputs!$B$38&lt;&gt;"pvp",Inputs!$B$43&gt;0),((Skills!F10*((R1289-1)*IF(Skills!G10&gt;0,Skills!H10/Skills!G10,1)+IF(Skills!G10&gt;0,MIN(Skills!H10,MAX(0,MAX(0,Inputs!$B$43-B1312)-((R1289-1)*IF(Inputs!$B$38="pvp",15,MAX(0.1,Skills!D10-IF(Skills!E9=TRUE,Inputs!$B$32,0))))))/Skills!G10,1)))/Inputs!$B$43),G1289*Q1289))*IF(Inputs!$B$38="pvp",1,1+(Inputs!$B$20+Skills!O10+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9">
        <f>IF(C1289,(H1289*N1289*IF(AND(Inputs!$B$38&lt;&gt;"pvp",Inputs!$B$43&gt;0),((Skills!F10*((R1289-1)*IF(Skills!G10&gt;0,Skills!H10/Skills!G10,1)+IF(Skills!G10&gt;0,MIN(Skills!H10,MAX(0,MAX(0,Inputs!$B$43-B1312)-((R1289-1)*IF(Inputs!$B$38="pvp",15,MAX(0.1,Skills!D10-IF(Skills!E9=TRUE,Inputs!$B$32,0))))))/Skills!G10,1)))/Inputs!$B$43),G1289*Q1289))*IF(Inputs!$B$38="pvp",1,(1+(Inputs!$B$21+Skills!P10+B1306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Skills!A11</f>
        <v/>
      </c>
      <c r="B1290">
        <f>Skills!B11</f>
        <v/>
      </c>
      <c r="C1290">
        <f>Inputs!$B$3&gt;=107</f>
        <v/>
      </c>
      <c r="D1290">
        <f>IF(Skills!C11=1,60+Inputs!$B$25+Inputs!$B$29,IF(Skills!C11=2,90+Inputs!$B$26+Inputs!$B$29,IF(Skills!C11=3,120+Inputs!$B$27+Inputs!$B$29,MAX(0,(Inputs!$B$3-100)*3)+Inputs!$B$28+Inputs!$B$29)))</f>
        <v/>
      </c>
      <c r="E1290">
        <f>INDEX(FactorTable!$B$2:$Y$301, MATCH(ROUND(MIN(300,MAX(1,D1290)),0), FactorTable!$A$2:$A$301,0), Skills!L11+1)</f>
        <v/>
      </c>
      <c r="F1290">
        <f>IF(Skills!M11=TRUE,(Skills!K11/10)*(E1290/1000),Skills!K11/10)+Skills!N11</f>
        <v/>
      </c>
      <c r="G1290">
        <f>Calc!G11</f>
        <v/>
      </c>
      <c r="H1290">
        <f>Calc!H11</f>
        <v/>
      </c>
      <c r="I1290">
        <f>IF(Skills!T11&lt;&gt;"",1+(Skills!T11/10)*(Z1282/1000)/100,1)</f>
        <v/>
      </c>
      <c r="J1290">
        <f>((Inputs!$B$6*(1+Inputs!$B$7/100))+(((Inputs!$B$12*(1+Inputs!$B$13/100))-(Inputs!$B$12*(1+Inputs!$B$13/100)))+0.25*(Inputs!$B$14-Inputs!$B$14))*(1+Inputs!$B$7/100))*(F1290/100)</f>
        <v/>
      </c>
      <c r="K1290">
        <f>J1290*(1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F1297-Calc!F18),(Inputs!$B$23+(IF(ArtifactsInput!$M$15,CHOOSE(ArtifactsInput!$N$15+1,25,30,35,40,45,50)/100*(Inputs!$B$11-Inputs!$B$11),0))))/100+(Inputs!$B$23+(IF(ArtifactsInput!$M$15,CHOOSE(ArtifactsInput!$N$15+1,25,30,35,40,45,50)/100*(Inputs!$B$11-Inputs!$B$11),0)))/100)/2</f>
        <v/>
      </c>
      <c r="M1290">
        <f>L1290*(1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(1-Summary!$B$11)*S1290+Summary!$B$11*U1290</f>
        <v/>
      </c>
      <c r="P1290">
        <f>IF(B1315=0,0,O1290/B1315)</f>
        <v/>
      </c>
      <c r="Q1290">
        <f>IFERROR(1/IF(Inputs!$B$38="pvp",15,MAX(0.1,Skills!D11-IF(Skills!E11=TRUE,Inputs!$B$32,0))),0)</f>
        <v/>
      </c>
      <c r="R1290">
        <f>IF(AND(Inputs!$B$38&lt;&gt;"pvp",Inputs!$B$43&gt;0),IF(MAX(0,Inputs!$B$43-B1312)&lt;=0,0,(INT(MAX(0,Inputs!$B$43-B1312)/IF(Inputs!$B$38="pvp",15,MAX(0.1,Skills!D11-IF(Skills!E11=TRUE,Inputs!$B$32,0))))+1)),0)</f>
        <v/>
      </c>
      <c r="S1290">
        <f>IF(C1290,H1290*N1290*IF(AND(Inputs!$B$38&lt;&gt;"pvp",Inputs!$B$43&gt;0),((Skills!F11*((R1290-1)*IF(Skills!G11&gt;0,Skills!H11/Skills!G11,1)+IF(Skills!G11&gt;0,MIN(Skills!H11,MAX(0,MAX(0,Inputs!$B$43-B1312)-((R1290-1)*IF(Inputs!$B$38="pvp",15,MAX(0.1,Skills!D11-IF(Skills!E11=TRUE,Inputs!$B$32,0))))))/Skills!G11,1)))/Inputs!$B$43),G1290*Q1290)*0.5*IF(Inputs!$B$38="pvp",1,1+(Inputs!$B$20+Skills!O11+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1290*(1-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0">
        <f>IF(C1290,H1290*N1290*IF(AND(Inputs!$B$38&lt;&gt;"pvp",Inputs!$B$43&gt;0),((Skills!F11*((R1290-1)*IF(Skills!G11&gt;0,Skills!H11/Skills!G11,1)+IF(Skills!G11&gt;0,MIN(Skills!H11,MAX(0,MAX(0,Inputs!$B$43-B1312)-((R1290-1)*IF(Inputs!$B$38="pvp",15,MAX(0.1,Skills!D11-IF(Skills!E11=TRUE,Inputs!$B$32,0))))))/Skills!G11,1)))/Inputs!$B$43),G1290*Q1290)*1*IF(Inputs!$B$38="pvp",1,(1+(Inputs!$B$21+Skills!P11+B1306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Skills!A12</f>
        <v/>
      </c>
      <c r="B1291">
        <f>Skills!B12</f>
        <v/>
      </c>
      <c r="C1291">
        <f>Inputs!$B$3&gt;=115</f>
        <v/>
      </c>
      <c r="D1291">
        <f>IF(Skills!C12=1,60+Inputs!$B$25+Inputs!$B$29,IF(Skills!C12=2,90+Inputs!$B$26+Inputs!$B$29,IF(Skills!C12=3,120+Inputs!$B$27+Inputs!$B$29,MAX(0,(Inputs!$B$3-100)*3)+Inputs!$B$28+Inputs!$B$29)))</f>
        <v/>
      </c>
      <c r="E1291">
        <f>INDEX(FactorTable!$B$2:$Y$301, MATCH(ROUND(MIN(300,MAX(1,D1291)),0), FactorTable!$A$2:$A$301,0), Skills!L12+1)</f>
        <v/>
      </c>
      <c r="F1291">
        <f>IF(Skills!M12=TRUE,(Skills!K12/10)*(E1291/1000),Skills!K12/10)+Skills!N12</f>
        <v/>
      </c>
      <c r="G1291">
        <f>Calc!G12</f>
        <v/>
      </c>
      <c r="H1291">
        <f>Calc!H12</f>
        <v/>
      </c>
      <c r="I1291">
        <f>IF(Skills!T12&lt;&gt;"",1+(Skills!T12/10)*(Z1282/1000)/100,1)</f>
        <v/>
      </c>
      <c r="J1291">
        <f>((Inputs!$B$6*(1+Inputs!$B$7/100))+(((Inputs!$B$12*(1+Inputs!$B$13/100))-(Inputs!$B$12*(1+Inputs!$B$13/100)))+0.25*(Inputs!$B$14-Inputs!$B$14))*(1+Inputs!$B$7/100))*(F1291/100)</f>
        <v/>
      </c>
      <c r="K1291">
        <f>J1291*(1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F1297-Calc!F18),(Inputs!$B$23+(IF(ArtifactsInput!$M$15,CHOOSE(ArtifactsInput!$N$15+1,25,30,35,40,45,50)/100*(Inputs!$B$11-Inputs!$B$11),0))))/100+(Inputs!$B$23+(IF(ArtifactsInput!$M$15,CHOOSE(ArtifactsInput!$N$15+1,25,30,35,40,45,50)/100*(Inputs!$B$11-Inputs!$B$11),0)))/100)/2</f>
        <v/>
      </c>
      <c r="M1291">
        <f>L1291*(1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(1-Summary!$B$11)*S1291+Summary!$B$11*U1291</f>
        <v/>
      </c>
      <c r="P1291">
        <f>IF(B1315=0,0,O1291/B1315)</f>
        <v/>
      </c>
      <c r="Q1291">
        <f>IFERROR(1/IF(Inputs!$B$38="pvp",15,MAX(0.1,Skills!D12-IF(Skills!E12=TRUE,Inputs!$B$32,0))),0)</f>
        <v/>
      </c>
      <c r="R1291">
        <f>IF(AND(Inputs!$B$38&lt;&gt;"pvp",Inputs!$B$43&gt;0),IF(MAX(0,Inputs!$B$43-B1312)&lt;=0,0,(INT(MAX(0,Inputs!$B$43-B1312)/IF(Inputs!$B$38="pvp",15,MAX(0.1,Skills!D12-IF(Skills!E12=TRUE,Inputs!$B$32,0))))+1)),0)</f>
        <v/>
      </c>
      <c r="S1291">
        <f>IF(C1291,(H1291*N1291*IF(AND(Inputs!$B$38&lt;&gt;"pvp",Inputs!$B$43&gt;0),((Skills!F12*((R1291-1)*IF(Skills!G12&gt;0,Skills!H12/Skills!G12,1)+IF(Skills!G12&gt;0,MIN(Skills!H12,MAX(0,MAX(0,Inputs!$B$43-B1312)-((R1291-1)*IF(Inputs!$B$38="pvp",15,MAX(0.1,Skills!D12-IF(Skills!E12=TRUE,Inputs!$B$32,0))))))/Skills!G12,1)))/Inputs!$B$43),G1291*Q1291))*IF(Inputs!$B$38="pvp",1,1+(Inputs!$B$20+Skills!O12+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IF(C1291,(H1291*N1291*IF(AND(Inputs!$B$38&lt;&gt;"pvp",Inputs!$B$43&gt;0),((Skills!F12*((R1291-1)*IF(Skills!G12&gt;0,Skills!H12/Skills!G12,1)+IF(Skills!G12&gt;0,MIN(Skills!H12,MAX(0,MAX(0,Inputs!$B$43-B1312)-((R1291-1)*IF(Inputs!$B$38="pvp",15,MAX(0.1,Skills!D12-IF(Skills!E12=TRUE,Inputs!$B$32,0))))))/Skills!G12,1)))/Inputs!$B$43),G1291*Q1291))*IF(Inputs!$B$38="pvp",1,(1+(Inputs!$B$21+Skills!P12+B1306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Skills!A13</f>
        <v/>
      </c>
      <c r="B1292">
        <f>Skills!B13</f>
        <v/>
      </c>
      <c r="C1292">
        <f>Inputs!$B$3&gt;=49</f>
        <v/>
      </c>
      <c r="D1292">
        <f>IF(Skills!C13=1,60+Inputs!$B$25+Inputs!$B$29,IF(Skills!C13=2,90+Inputs!$B$26+Inputs!$B$29,IF(Skills!C13=3,120+Inputs!$B$27+Inputs!$B$29,MAX(0,(Inputs!$B$3-100)*3)+Inputs!$B$28+Inputs!$B$29)))</f>
        <v/>
      </c>
      <c r="E1292">
        <f>INDEX(FactorTable!$B$2:$Y$301, MATCH(ROUND(MIN(300,MAX(1,D1292)),0), FactorTable!$A$2:$A$301,0), Skills!L13+1)</f>
        <v/>
      </c>
      <c r="F1292">
        <f>IF(Skills!M13=TRUE,(Skills!K13/10)*(E1292/1000),Skills!K13/10)+Skills!N13</f>
        <v/>
      </c>
      <c r="G1292">
        <f>Calc!G13</f>
        <v/>
      </c>
      <c r="H1292">
        <f>Calc!H13</f>
        <v/>
      </c>
      <c r="I1292">
        <f>IF(Skills!T13&lt;&gt;"",1+(Skills!T13/10)*(Z1282/1000)/100,1)</f>
        <v/>
      </c>
      <c r="J1292" t="inlineStr"/>
      <c r="K1292" t="inlineStr"/>
      <c r="L1292" t="inlineStr"/>
      <c r="M1292" t="inlineStr"/>
      <c r="N1292" t="inlineStr"/>
      <c r="O1292">
        <f>(1-Summary!$B$11)*S1292+Summary!$B$11*U1292</f>
        <v/>
      </c>
      <c r="P1292">
        <f>IF(B1315=0,0,O1292/B1315)</f>
        <v/>
      </c>
      <c r="Q1292">
        <f>IFERROR(1/IF(Inputs!$B$38="pvp",15,MAX(0.1,Skills!D13-IF(Skills!E13=TRUE,Inputs!$B$32,0))),0)</f>
        <v/>
      </c>
      <c r="R1292" t="n">
        <v>0</v>
      </c>
      <c r="S1292" t="n">
        <v>0</v>
      </c>
      <c r="U1292" t="n">
        <v>0</v>
      </c>
    </row>
    <row r="1293">
      <c r="A1293">
        <f>Skills!A14</f>
        <v/>
      </c>
      <c r="B1293">
        <f>Skills!B14</f>
        <v/>
      </c>
      <c r="C1293">
        <f>Inputs!$B$3&gt;=72</f>
        <v/>
      </c>
      <c r="D1293">
        <f>IF(Skills!C14=1,60+Inputs!$B$25+Inputs!$B$29,IF(Skills!C14=2,90+Inputs!$B$26+Inputs!$B$29,IF(Skills!C14=3,120+Inputs!$B$27+Inputs!$B$29,MAX(0,(Inputs!$B$3-100)*3)+Inputs!$B$28+Inputs!$B$29)))</f>
        <v/>
      </c>
      <c r="E1293">
        <f>INDEX(FactorTable!$B$2:$Y$301, MATCH(ROUND(MIN(300,MAX(1,D1293)),0), FactorTable!$A$2:$A$301,0), Skills!L14+1)</f>
        <v/>
      </c>
      <c r="F1293">
        <f>IF(Skills!M14=TRUE,(Skills!K14/10)*(E1293/1000),Skills!K14/10)+Skills!N14</f>
        <v/>
      </c>
      <c r="G1293">
        <f>Calc!G14</f>
        <v/>
      </c>
      <c r="H1293">
        <f>Calc!H14</f>
        <v/>
      </c>
      <c r="I1293">
        <f>IF(Skills!T14&lt;&gt;"",1+(Skills!T14/10)*(Z1282/1000)/100,1)</f>
        <v/>
      </c>
      <c r="J1293" t="inlineStr"/>
      <c r="K1293" t="inlineStr"/>
      <c r="L1293" t="inlineStr"/>
      <c r="M1293" t="inlineStr"/>
      <c r="N1293" t="inlineStr"/>
      <c r="O1293">
        <f>(1-Summary!$B$11)*S1293+Summary!$B$11*U1293</f>
        <v/>
      </c>
      <c r="P1293">
        <f>IF(B1315=0,0,O1293/B1315)</f>
        <v/>
      </c>
      <c r="Q1293">
        <f>IFERROR(1/IF(Inputs!$B$38="pvp",15,MAX(0.1,Skills!D14-IF(Skills!E14=TRUE,Inputs!$B$32,0))),0)</f>
        <v/>
      </c>
      <c r="R1293" t="n">
        <v>0</v>
      </c>
      <c r="S1293" t="n">
        <v>0</v>
      </c>
      <c r="U1293" t="n">
        <v>0</v>
      </c>
    </row>
    <row r="1294">
      <c r="A1294">
        <f>Skills!A15</f>
        <v/>
      </c>
      <c r="B1294">
        <f>Skills!B15</f>
        <v/>
      </c>
      <c r="C1294">
        <f>Inputs!$B$3&gt;=75</f>
        <v/>
      </c>
      <c r="D1294">
        <f>IF(Skills!C15=1,60+Inputs!$B$25+Inputs!$B$29,IF(Skills!C15=2,90+Inputs!$B$26+Inputs!$B$29,IF(Skills!C15=3,120+Inputs!$B$27+Inputs!$B$29,MAX(0,(Inputs!$B$3-100)*3)+Inputs!$B$28+Inputs!$B$29)))</f>
        <v/>
      </c>
      <c r="E1294">
        <f>INDEX(FactorTable!$B$2:$Y$301, MATCH(ROUND(MIN(300,MAX(1,D1294)),0), FactorTable!$A$2:$A$301,0), Skills!L15+1)</f>
        <v/>
      </c>
      <c r="F1294">
        <f>IF(Skills!M15=TRUE,(Skills!K15/10)*(E1294/1000),Skills!K15/10)+Skills!N15</f>
        <v/>
      </c>
      <c r="G1294">
        <f>Calc!G15</f>
        <v/>
      </c>
      <c r="H1294">
        <f>Calc!H15</f>
        <v/>
      </c>
      <c r="I1294">
        <f>IF(Skills!T15&lt;&gt;"",1+(Skills!T15/10)*(Z1282/1000)/100,1)</f>
        <v/>
      </c>
      <c r="J1294" t="inlineStr"/>
      <c r="K1294" t="inlineStr"/>
      <c r="L1294" t="inlineStr"/>
      <c r="M1294" t="inlineStr"/>
      <c r="N1294" t="inlineStr"/>
      <c r="O1294">
        <f>(1-Summary!$B$11)*S1294+Summary!$B$11*U1294</f>
        <v/>
      </c>
      <c r="P1294">
        <f>IF(B1315=0,0,O1294/B1315)</f>
        <v/>
      </c>
      <c r="Q1294">
        <f>IFERROR(1/IF(Inputs!$B$38="pvp",15,MAX(0.1,Skills!D15-IF(Skills!E15=TRUE,Inputs!$B$32,0))),0)</f>
        <v/>
      </c>
      <c r="R1294" t="n">
        <v>0</v>
      </c>
      <c r="S1294" t="n">
        <v>0</v>
      </c>
      <c r="U1294" t="n">
        <v>0</v>
      </c>
    </row>
    <row r="1295">
      <c r="A1295">
        <f>Skills!A16</f>
        <v/>
      </c>
      <c r="B1295">
        <f>Skills!B16</f>
        <v/>
      </c>
      <c r="C1295">
        <f>Inputs!$B$3&gt;=110</f>
        <v/>
      </c>
      <c r="D1295">
        <f>IF(Skills!C16=1,60+Inputs!$B$25+Inputs!$B$29,IF(Skills!C16=2,90+Inputs!$B$26+Inputs!$B$29,IF(Skills!C16=3,120+Inputs!$B$27+Inputs!$B$29,MAX(0,(Inputs!$B$3-100)*3)+Inputs!$B$28+Inputs!$B$29)))</f>
        <v/>
      </c>
      <c r="E1295">
        <f>INDEX(FactorTable!$B$2:$Y$301, MATCH(ROUND(MIN(300,MAX(1,D1295)),0), FactorTable!$A$2:$A$301,0), Skills!L16+1)</f>
        <v/>
      </c>
      <c r="F1295">
        <f>(Skills!K16/10)*(E1295/1000)*64/45+Skills!N16</f>
        <v/>
      </c>
      <c r="G1295">
        <f>Calc!G16</f>
        <v/>
      </c>
      <c r="H1295">
        <f>Calc!H16</f>
        <v/>
      </c>
      <c r="I1295">
        <f>IF(Skills!T16&lt;&gt;"",1+(Skills!T16/10)*(Z1282/1000)/100,1)</f>
        <v/>
      </c>
      <c r="J1295" t="inlineStr"/>
      <c r="K1295" t="inlineStr"/>
      <c r="L1295" t="inlineStr"/>
      <c r="M1295" t="inlineStr"/>
      <c r="N1295" t="inlineStr"/>
      <c r="O1295">
        <f>(1-Summary!$B$11)*S1295+Summary!$B$11*U1295</f>
        <v/>
      </c>
      <c r="P1295">
        <f>IF(B1315=0,0,O1295/B1315)</f>
        <v/>
      </c>
      <c r="Q1295">
        <f>IFERROR(1/IF(Inputs!$B$38="pvp",15,MAX(0.1,Skills!D16-IF(Skills!E16=TRUE,Inputs!$B$32,0))),0)</f>
        <v/>
      </c>
      <c r="R1295">
        <f>IF(AND(Inputs!$B$38&lt;&gt;"pvp",Inputs!$B$43&gt;0),IF(Inputs!$B$43&lt;=0,0,(INT(Inputs!$B$43/IF(Inputs!$B$38="pvp",15,MAX(0.1,Skills!D16-IF(Skills!E16=TRUE,Inputs!$B$32,0))))+1)),0)</f>
        <v/>
      </c>
      <c r="S1295" t="n">
        <v>0</v>
      </c>
      <c r="U1295" t="n">
        <v>0</v>
      </c>
    </row>
    <row r="1296">
      <c r="A1296">
        <f>Skills!A17</f>
        <v/>
      </c>
      <c r="B1296">
        <f>Skills!B17</f>
        <v/>
      </c>
      <c r="C1296">
        <f>Inputs!$B$3&gt;=33</f>
        <v/>
      </c>
      <c r="D1296">
        <f>IF(Skills!C17=1,60+Inputs!$B$25+Inputs!$B$29,IF(Skills!C17=2,90+Inputs!$B$26+Inputs!$B$29,IF(Skills!C17=3,120+Inputs!$B$27+Inputs!$B$29,MAX(0,(Inputs!$B$3-100)*3)+Inputs!$B$28+Inputs!$B$29)))</f>
        <v/>
      </c>
      <c r="E1296">
        <f>INDEX(FactorTable!$B$2:$Y$301, MATCH(ROUND(MIN(300,MAX(1,D1296)),0), FactorTable!$A$2:$A$301,0), Skills!L17+1)</f>
        <v/>
      </c>
      <c r="F1296">
        <f>IF(Skills!M17=TRUE,(Skills!K17/10)*(E1296/1000),Skills!K17/10)+Skills!N17</f>
        <v/>
      </c>
      <c r="G1296">
        <f>Calc!G17</f>
        <v/>
      </c>
      <c r="H1296">
        <f>Calc!H17</f>
        <v/>
      </c>
      <c r="I1296">
        <f>IF(Skills!T17&lt;&gt;"",1+(Skills!T17/10)*(Z1282/1000)/100,1)</f>
        <v/>
      </c>
      <c r="J1296" t="inlineStr"/>
      <c r="K1296" t="inlineStr"/>
      <c r="L1296" t="inlineStr"/>
      <c r="M1296" t="inlineStr"/>
      <c r="N1296" t="inlineStr"/>
      <c r="O1296">
        <f>(1-Summary!$B$11)*S1296+Summary!$B$11*U1296</f>
        <v/>
      </c>
      <c r="P1296">
        <f>IF(B1315=0,0,O1296/B1315)</f>
        <v/>
      </c>
      <c r="Q1296">
        <f>IFERROR(1/IF(Inputs!$B$38="pvp",15,MAX(0.1,Skills!D17-IF(Skills!E17=TRUE,Inputs!$B$32,0))),0)</f>
        <v/>
      </c>
      <c r="R1296" t="n">
        <v>0</v>
      </c>
      <c r="S1296" t="n">
        <v>0</v>
      </c>
      <c r="U1296" t="n">
        <v>0</v>
      </c>
    </row>
    <row r="1297">
      <c r="A1297">
        <f>Skills!A18</f>
        <v/>
      </c>
      <c r="B1297">
        <f>Skills!B18</f>
        <v/>
      </c>
      <c r="C1297">
        <f>Inputs!$B$3&gt;=43</f>
        <v/>
      </c>
      <c r="D1297">
        <f>IF(Skills!C18=1,60+Inputs!$B$25+Inputs!$B$29,IF(Skills!C18=2,90+Inputs!$B$26+Inputs!$B$29,IF(Skills!C18=3,120+Inputs!$B$27+Inputs!$B$29,MAX(0,(Inputs!$B$3-100)*3)+Inputs!$B$28+Inputs!$B$29)))</f>
        <v/>
      </c>
      <c r="E1297">
        <f>INDEX(FactorTable!$B$2:$Y$301, MATCH(ROUND(MIN(300,MAX(1,D1297)),0), FactorTable!$A$2:$A$301,0), Skills!L18+1)</f>
        <v/>
      </c>
      <c r="F1297">
        <f>IF(Skills!M18=TRUE,(Skills!K18/10)*(E1297/1000),Skills!K18/10)+Skills!N18</f>
        <v/>
      </c>
      <c r="G1297">
        <f>Calc!G18</f>
        <v/>
      </c>
      <c r="H1297">
        <f>Calc!H18</f>
        <v/>
      </c>
      <c r="I1297">
        <f>IF(Skills!T18&lt;&gt;"",1+(Skills!T18/10)*(Z1282/1000)/100,1)</f>
        <v/>
      </c>
      <c r="J1297" t="inlineStr"/>
      <c r="K1297" t="inlineStr"/>
      <c r="L1297" t="inlineStr"/>
      <c r="M1297" t="inlineStr"/>
      <c r="N1297" t="inlineStr"/>
      <c r="O1297">
        <f>(1-Summary!$B$11)*S1297+Summary!$B$11*U1297</f>
        <v/>
      </c>
      <c r="P1297">
        <f>IF(B1315=0,0,O1297/B1315)</f>
        <v/>
      </c>
      <c r="Q1297">
        <f>IFERROR(1/IF(Inputs!$B$38="pvp",15,MAX(0.1,Skills!D18-IF(Skills!E18=TRUE,Inputs!$B$32,0))),0)</f>
        <v/>
      </c>
      <c r="R1297" t="n">
        <v>0</v>
      </c>
      <c r="S1297" t="n">
        <v>0</v>
      </c>
      <c r="U1297" t="n">
        <v>0</v>
      </c>
    </row>
    <row r="1298">
      <c r="A1298">
        <f>Skills!A19</f>
        <v/>
      </c>
      <c r="B1298">
        <f>Skills!B19</f>
        <v/>
      </c>
      <c r="C1298">
        <f>Inputs!$B$3&gt;=50</f>
        <v/>
      </c>
      <c r="D1298">
        <f>IF(Skills!C19=1,60+Inputs!$B$25+Inputs!$B$29,IF(Skills!C19=2,90+Inputs!$B$26+Inputs!$B$29,IF(Skills!C19=3,120+Inputs!$B$27+Inputs!$B$29,MAX(0,(Inputs!$B$3-100)*3)+Inputs!$B$28+Inputs!$B$29)))</f>
        <v/>
      </c>
      <c r="E1298">
        <f>INDEX(FactorTable!$B$2:$Y$301, MATCH(ROUND(MIN(300,MAX(1,D1298)),0), FactorTable!$A$2:$A$301,0), Skills!L19+1)</f>
        <v/>
      </c>
      <c r="F1298">
        <f>IF(Skills!M19=TRUE,(Skills!K19/10)*(E1298/1000),Skills!K19/10)+Skills!N19</f>
        <v/>
      </c>
      <c r="G1298">
        <f>Calc!G19</f>
        <v/>
      </c>
      <c r="H1298">
        <f>Calc!H19</f>
        <v/>
      </c>
      <c r="I1298">
        <f>IF(Skills!T19&lt;&gt;"",1+(Skills!T19/10)*(Z1282/1000)/100,1)</f>
        <v/>
      </c>
      <c r="J1298" t="inlineStr"/>
      <c r="K1298" t="inlineStr"/>
      <c r="L1298" t="inlineStr"/>
      <c r="M1298" t="inlineStr"/>
      <c r="N1298" t="inlineStr"/>
      <c r="O1298">
        <f>(1-Summary!$B$11)*S1298+Summary!$B$11*U1298</f>
        <v/>
      </c>
      <c r="P1298">
        <f>IF(B1315=0,0,O1298/B1315)</f>
        <v/>
      </c>
      <c r="Q1298">
        <f>IFERROR(1/IF(Inputs!$B$38="pvp",15,MAX(0.1,Skills!D19-IF(Skills!E19=TRUE,Inputs!$B$32,0))),0)</f>
        <v/>
      </c>
      <c r="R1298" t="n">
        <v>0</v>
      </c>
      <c r="S1298" t="n">
        <v>0</v>
      </c>
      <c r="U1298" t="n">
        <v>0</v>
      </c>
    </row>
    <row r="1299">
      <c r="A1299">
        <f>Skills!A20</f>
        <v/>
      </c>
      <c r="B1299">
        <f>Skills!B20</f>
        <v/>
      </c>
      <c r="C1299">
        <f>Inputs!$B$3&gt;=74</f>
        <v/>
      </c>
      <c r="D1299">
        <f>IF(Skills!C20=1,60+Inputs!$B$25+Inputs!$B$29,IF(Skills!C20=2,90+Inputs!$B$26+Inputs!$B$29,IF(Skills!C20=3,120+Inputs!$B$27+Inputs!$B$29,MAX(0,(Inputs!$B$3-100)*3)+Inputs!$B$28+Inputs!$B$29)))</f>
        <v/>
      </c>
      <c r="E1299">
        <f>INDEX(FactorTable!$B$2:$Y$301, MATCH(ROUND(MIN(300,MAX(1,D1299)),0), FactorTable!$A$2:$A$301,0), Skills!L20+1)</f>
        <v/>
      </c>
      <c r="F1299">
        <f>IF(Skills!M20=TRUE,(Skills!K20/10)*(E1299/1000),Skills!K20/10)+Skills!N20</f>
        <v/>
      </c>
      <c r="G1299">
        <f>Calc!G20</f>
        <v/>
      </c>
      <c r="H1299">
        <f>Calc!H20</f>
        <v/>
      </c>
      <c r="I1299">
        <f>IF(Skills!T20&lt;&gt;"",1+(Skills!T20/10)*(Z1282/1000)/100,1)</f>
        <v/>
      </c>
      <c r="J1299" t="inlineStr"/>
      <c r="K1299" t="inlineStr"/>
      <c r="L1299" t="inlineStr"/>
      <c r="M1299" t="inlineStr"/>
      <c r="N1299" t="inlineStr"/>
      <c r="O1299">
        <f>(1-Summary!$B$11)*S1299+Summary!$B$11*U1299</f>
        <v/>
      </c>
      <c r="P1299">
        <f>IF(B1315=0,0,O1299/B1315)</f>
        <v/>
      </c>
      <c r="Q1299">
        <f>IFERROR(1/IF(Inputs!$B$38="pvp",15,MAX(0.1,Skills!D20-IF(Skills!E20=TRUE,Inputs!$B$32,0))),0)</f>
        <v/>
      </c>
      <c r="R1299" t="n">
        <v>0</v>
      </c>
      <c r="S1299" t="n">
        <v>0</v>
      </c>
      <c r="U1299" t="n">
        <v>0</v>
      </c>
    </row>
    <row r="1300">
      <c r="A1300">
        <f>Skills!A21</f>
        <v/>
      </c>
      <c r="B1300">
        <f>Skills!B21</f>
        <v/>
      </c>
      <c r="C1300">
        <f>Inputs!$B$3&gt;=74</f>
        <v/>
      </c>
      <c r="D1300">
        <f>IF(Skills!C21=1,60+Inputs!$B$25+Inputs!$B$29,IF(Skills!C21=2,90+Inputs!$B$26+Inputs!$B$29,IF(Skills!C21=3,120+Inputs!$B$27+Inputs!$B$29,MAX(0,(Inputs!$B$3-100)*3)+Inputs!$B$28+Inputs!$B$29)))</f>
        <v/>
      </c>
      <c r="E1300">
        <f>INDEX(FactorTable!$B$2:$Y$301, MATCH(ROUND(MIN(300,MAX(1,D1300)),0), FactorTable!$A$2:$A$301,0), Skills!L21+1)</f>
        <v/>
      </c>
      <c r="F1300">
        <f>IF(Skills!M21=TRUE,(Skills!K21/10)*(E1300/1000),Skills!K21/10)+Skills!N21</f>
        <v/>
      </c>
      <c r="G1300">
        <f>Calc!G21</f>
        <v/>
      </c>
      <c r="H1300">
        <f>Calc!H21</f>
        <v/>
      </c>
      <c r="I1300">
        <f>IF(Skills!T21&lt;&gt;"",1+(Skills!T21/10)*(Z1282/1000)/100,1)</f>
        <v/>
      </c>
      <c r="J1300" t="inlineStr"/>
      <c r="K1300" t="inlineStr"/>
      <c r="L1300" t="inlineStr"/>
      <c r="M1300" t="inlineStr"/>
      <c r="N1300" t="inlineStr"/>
      <c r="O1300">
        <f>(1-Summary!$B$11)*S1300+Summary!$B$11*U1300</f>
        <v/>
      </c>
      <c r="P1300">
        <f>IF(B1315=0,0,O1300/B1315)</f>
        <v/>
      </c>
      <c r="Q1300">
        <f>IFERROR(1/IF(Inputs!$B$38="pvp",15,MAX(0.1,Skills!D21-IF(Skills!E21=TRUE,Inputs!$B$32,0))),0)</f>
        <v/>
      </c>
      <c r="R1300" t="n">
        <v>0</v>
      </c>
      <c r="S1300" t="n">
        <v>0</v>
      </c>
      <c r="U1300" t="n">
        <v>0</v>
      </c>
    </row>
    <row r="1301">
      <c r="A1301">
        <f>Skills!A22</f>
        <v/>
      </c>
      <c r="B1301">
        <f>Skills!B22</f>
        <v/>
      </c>
      <c r="C1301">
        <f>Inputs!$B$3&gt;=117</f>
        <v/>
      </c>
      <c r="D1301">
        <f>IF(Skills!C22=1,60+Inputs!$B$25+Inputs!$B$29,IF(Skills!C22=2,90+Inputs!$B$26+Inputs!$B$29,IF(Skills!C22=3,120+Inputs!$B$27+Inputs!$B$29,MAX(0,(Inputs!$B$3-100)*3)+Inputs!$B$28+Inputs!$B$29)))</f>
        <v/>
      </c>
      <c r="E1301">
        <f>INDEX(FactorTable!$B$2:$Y$301, MATCH(ROUND(MIN(300,MAX(1,D1301)),0), FactorTable!$A$2:$A$301,0), Skills!L22+1)</f>
        <v/>
      </c>
      <c r="F1301">
        <f>IF(Skills!M22=TRUE,(Skills!K22/10)*(E1301/1000),Skills!K22/10)+Skills!N22</f>
        <v/>
      </c>
      <c r="G1301">
        <f>Calc!G22</f>
        <v/>
      </c>
      <c r="H1301">
        <f>Calc!H22</f>
        <v/>
      </c>
      <c r="I1301">
        <f>IF(Skills!T22&lt;&gt;"",1+(Skills!T22/10)*(Z1282/1000)/100,1)</f>
        <v/>
      </c>
      <c r="J1301" t="inlineStr"/>
      <c r="K1301" t="inlineStr"/>
      <c r="L1301" t="inlineStr"/>
      <c r="M1301" t="inlineStr"/>
      <c r="N1301" t="inlineStr"/>
      <c r="O1301">
        <f>(1-Summary!$B$11)*S1301+Summary!$B$11*U1301</f>
        <v/>
      </c>
      <c r="P1301">
        <f>IF(B1315=0,0,O1301/B1315)</f>
        <v/>
      </c>
      <c r="Q1301">
        <f>IFERROR(1/IF(Inputs!$B$38="pvp",15,MAX(0.1,Skills!D22-IF(Skills!E22=TRUE,Inputs!$B$32,0))),0)</f>
        <v/>
      </c>
      <c r="R1301" t="n">
        <v>0</v>
      </c>
      <c r="S1301" t="n">
        <v>0</v>
      </c>
      <c r="U1301" t="n">
        <v>0</v>
      </c>
    </row>
    <row r="1302">
      <c r="A1302">
        <f>Skills!A23</f>
        <v/>
      </c>
      <c r="B1302">
        <f>Skills!B23</f>
        <v/>
      </c>
      <c r="C1302">
        <f>Inputs!$B$3&gt;=120</f>
        <v/>
      </c>
      <c r="D1302">
        <f>IF(Skills!C23=1,60+Inputs!$B$25+Inputs!$B$29,IF(Skills!C23=2,90+Inputs!$B$26+Inputs!$B$29,IF(Skills!C23=3,120+Inputs!$B$27+Inputs!$B$29,MAX(0,(Inputs!$B$3-100)*3)+Inputs!$B$28+Inputs!$B$29)))</f>
        <v/>
      </c>
      <c r="E1302">
        <f>INDEX(FactorTable!$B$2:$Y$301, MATCH(ROUND(MIN(300,MAX(1,D1302)),0), FactorTable!$A$2:$A$301,0), Skills!L23+1)</f>
        <v/>
      </c>
      <c r="F1302">
        <f>IF(Skills!M23=TRUE,(Skills!K23/10)*(E1302/1000),Skills!K23/10)+Skills!N23</f>
        <v/>
      </c>
      <c r="G1302">
        <f>Calc!G23</f>
        <v/>
      </c>
      <c r="H1302">
        <f>Calc!H23</f>
        <v/>
      </c>
      <c r="I1302">
        <f>IF(Skills!T23&lt;&gt;"",1+(Skills!T23/10)*(Z1282/1000)/100,1)</f>
        <v/>
      </c>
      <c r="J1302" t="inlineStr"/>
      <c r="K1302" t="inlineStr"/>
      <c r="L1302" t="inlineStr"/>
      <c r="M1302" t="inlineStr"/>
      <c r="N1302" t="inlineStr"/>
      <c r="O1302">
        <f>(1-Summary!$B$11)*S1302+Summary!$B$11*U1302</f>
        <v/>
      </c>
      <c r="P1302">
        <f>IF(B1315=0,0,O1302/B1315)</f>
        <v/>
      </c>
      <c r="Q1302">
        <f>IFERROR(1/IF(Inputs!$B$38="pvp",15,MAX(0.1,Skills!D23-IF(Skills!E23=TRUE,Inputs!$B$32,0))),0)</f>
        <v/>
      </c>
      <c r="R1302" t="n">
        <v>0</v>
      </c>
      <c r="S1302" t="n">
        <v>0</v>
      </c>
      <c r="U1302" t="n">
        <v>0</v>
      </c>
    </row>
    <row r="1305">
      <c r="A1305" t="inlineStr">
        <is>
          <t>Average Buff Multiplier (Magic Guard + Meditation + Artifact Attack%, summed; then Infinity)</t>
        </is>
      </c>
      <c r="B1305">
        <f>(1+(IF(C1282=TRUE,F1282*IF(AND(Inputs!$B$38&lt;&gt;"pvp",Inputs!$B$43&gt;0),(((R1282-1)*(Skills!S3*(1+(Inputs!$B$34+IF(Inputs!$B$3&gt;=117,F1301,0))/100))+MIN((Skills!S3*(1+(Inputs!$B$34+IF(Inputs!$B$3&gt;=117,F1301,0))/100)),MAX(0,Inputs!$B$43-((R1282-1)*Skills!D3))))/Inputs!$B$43),IF(Inputs!$B$38="pvp",MIN((Skills!S3*(1+(Inputs!$B$34+IF(Inputs!$B$3&gt;=117,F1301,0))/100)),15)/15,(Skills!S3*(1+(Inputs!$B$34+IF(Inputs!$B$3&gt;=117,F1301,0))/100))/Skills!D3)),0)+IF(C1283=TRUE,F1283*IF(AND(Inputs!$B$38&lt;&gt;"pvp",Inputs!$B$43&gt;0),(((R1283-1)*(Skills!S4*(1+(Inputs!$B$34+IF(Inputs!$B$3&gt;=117,F1301,0))/100))+MIN((Skills!S4*(1+(Inputs!$B$34+IF(Inputs!$B$3&gt;=117,F1301,0))/100)),MAX(0,Inputs!$B$43-((R1283-1)*Skills!D4))))/Inputs!$B$43),IF(Inputs!$B$38="pvp",MIN((Skills!S4*(1+(Inputs!$B$34+IF(Inputs!$B$3&gt;=117,F1301,0))/100)),15)/15,(Skills!S4*(1+(Inputs!$B$34+IF(Inputs!$B$3&gt;=117,F1301,0)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1295=TRUE,(1+F1295*IF(AND(Inputs!$B$38&lt;&gt;"pvp",Inputs!$B$43&gt;0),(((R1295-1)*(Skills!S16*(1+(Inputs!$B$34+IF(Inputs!$B$3&gt;=117,F1301,0))/100))+MIN((Skills!S16*(1+(Inputs!$B$34+IF(Inputs!$B$3&gt;=117,F1301,0))/100)),MAX(0,Inputs!$B$43-((R1295-1)*Skills!D16))))/Inputs!$B$43),IF(Inputs!$B$38="pvp",MIN((Skills!S16*(1+(Inputs!$B$34+IF(Inputs!$B$3&gt;=117,F1301,0))/100)),15)/15,(Skills!S16*(1+(Inputs!$B$34+IF(Inputs!$B$3&gt;=117,F1301,0))/100))/Skills!D16))/100),1)</f>
        <v/>
      </c>
    </row>
    <row r="1306">
      <c r="A1306" t="inlineStr">
        <is>
          <t>Monster Damage Taken Bonus % (Freezing Breath - Weaken + Elemental Reset + Artifact Enemy Damage Taken, summed)</t>
        </is>
      </c>
      <c r="B1306">
        <f>IF(Inputs!$B$3&gt;=118,15*IF(Inputs!$B$38="pvp",MIN((30*(1+(Inputs!$B$34+IF(Inputs!$B$3&gt;=117,F1301,0))/100)),15)/15,(30*(1+(Inputs!$B$34+IF(Inputs!$B$3&gt;=117,F1301,0))/100))/Skills!D8),0)+IF(C1293=TRUE,F1293,0)+(IF(AND(ArtifactsInput!$M$35,Inputs!$B$4&lt;&gt;"Chapter Hunt"),CHOOSE(ArtifactsInput!$N$35+1,15,18,21,24,27,30)*(1-EXP(-(0.2*B1309)*5)),0)+IF(AND(ArtifactsInput!$M$22,Inputs!$B$4&lt;&gt;"Chapter Hunt"),CHOOSE(ArtifactsInput!$N$22+1,10,12,14,16,18,20)*((0*(((0.15*B1309*5))^0/1)+1*(((0.15*B1309*5))^1/1)+2*(((0.15*B1309*5))^2/2)+3*(((0.15*B1309*5))^3/6)+4*(((0.15*B1309*5))^4/24)+5*(((0.15*B1309*5))^5/120))/((((0.15*B1309*5))^0/1)+(((0.15*B1309*5))^1/1)+(((0.15*B1309*5))^2/2)+(((0.15*B1309*5))^3/6)+(((0.15*B1309*5))^4/24)+(((0.15*B1309*5))^5/120))),0))</f>
        <v/>
      </c>
    </row>
    <row r="1307">
      <c r="A1307" t="inlineStr">
        <is>
          <t>Damage % Bonus (Frozen Break + Frost Clutch, flat)</t>
        </is>
      </c>
      <c r="B1307">
        <f>IF(Inputs!$B$3&gt;=66,15,0)+IF(Inputs!$B$3&gt;=98,10,0)+IF(Inputs!$B$3&gt;=125,20,0)</f>
        <v/>
      </c>
    </row>
    <row r="1308">
      <c r="A1308" t="inlineStr">
        <is>
          <t>Attack Speed Bonus % (MP Eater - MP Boost, always-on once unlocked)</t>
        </is>
      </c>
      <c r="B1308">
        <f>IF(C1292=TRUE,F1292+(F1296-Calc!F17),0)</f>
        <v/>
      </c>
    </row>
    <row r="1309">
      <c r="A1309" t="inlineStr">
        <is>
          <t>Actions Per Second</t>
        </is>
      </c>
      <c r="B1309">
        <f>1+MIN(150,150*(1-(1-(Inputs!$B$11+(ArtifactsInput!$M$15-ArtifactsInput!$M$15)*CHOOSE(ArtifactsInput!$N$15+1,8,9.6,11.2,12.8,14.4,16))/150)*(1-B1308/150)))/100</f>
        <v/>
      </c>
    </row>
    <row r="1310">
      <c r="A1310" t="inlineStr">
        <is>
          <t>Skill + Buff Cast Rate</t>
        </is>
      </c>
      <c r="B1310">
        <f>IF(AND(Inputs!$B$38&lt;&gt;"pvp",Inputs!$B$43&gt;0),SUMPRODUCT((Skills!E2:E23=TRUE)*(C1281:C1302=TRUE)*R1281:R1302)/Inputs!$B$43,SUMPRODUCT((Skills!E2:E23=TRUE)*(C1281:C1302=TRUE)*Q1281:Q1302))</f>
        <v/>
      </c>
    </row>
    <row r="1311">
      <c r="A1311" t="inlineStr">
        <is>
          <t>Chain Lightning Casts Per Second</t>
        </is>
      </c>
      <c r="B1311">
        <f>MAX(0,B1309-B1310)</f>
        <v/>
      </c>
    </row>
    <row r="1312">
      <c r="A1312" t="inlineStr">
        <is>
          <t>Buff-Casting Startup Delay (s, fixed-duration only)</t>
        </is>
      </c>
      <c r="B1312">
        <f>IF(AND(Inputs!$B$38&lt;&gt;"pvp",Inputs!$B$43&gt;0),SUMPRODUCT((Skills!S2:S23&gt;0)*(Skills!E2:E23=TRUE)*(C1281:C1302=TRUE))/B1309,0)</f>
        <v/>
      </c>
    </row>
    <row r="1313">
      <c r="A1313" t="inlineStr">
        <is>
          <t>Boss-Only Total DPS (this block's swept value)</t>
        </is>
      </c>
      <c r="B1313">
        <f>SUM(S1281:S1302)</f>
        <v/>
      </c>
    </row>
    <row r="1314">
      <c r="A1314" t="inlineStr">
        <is>
          <t>Normal-Only Total DPS (this block's swept value)</t>
        </is>
      </c>
      <c r="B1314">
        <f>SUM(U1281:U1302)</f>
        <v/>
      </c>
    </row>
    <row r="1315">
      <c r="A1315" s="6" t="inlineStr">
        <is>
          <t>TOTAL DPS</t>
        </is>
      </c>
      <c r="B1315" s="6">
        <f>SUM(O1281:O1302)</f>
        <v/>
      </c>
    </row>
    <row r="1318">
      <c r="A1318" s="6" t="inlineStr">
        <is>
          <t>Stat: Mushmom's Cap (Equip)</t>
        </is>
      </c>
    </row>
    <row r="1319">
      <c r="A1319" s="5" t="inlineStr">
        <is>
          <t>Key</t>
        </is>
      </c>
      <c r="B1319" s="5" t="inlineStr">
        <is>
          <t>Name</t>
        </is>
      </c>
      <c r="C1319" s="5" t="inlineStr">
        <is>
          <t>Unlocked</t>
        </is>
      </c>
      <c r="D1319" s="5" t="inlineStr">
        <is>
          <t>InputLevel</t>
        </is>
      </c>
      <c r="E1319" s="5" t="inlineStr">
        <is>
          <t>Factor</t>
        </is>
      </c>
      <c r="F1319" s="5" t="inlineStr">
        <is>
          <t>CoefficientPercent</t>
        </is>
      </c>
      <c r="G1319" s="5" t="inlineStr">
        <is>
          <t>EffectiveHits</t>
        </is>
      </c>
      <c r="H1319" s="5" t="inlineStr">
        <is>
          <t>ProcProbability</t>
        </is>
      </c>
      <c r="I1319" s="5" t="inlineStr">
        <is>
          <t>MapleHeroMultiplier</t>
        </is>
      </c>
      <c r="J1319" s="5" t="inlineStr">
        <is>
          <t>BaseDamage</t>
        </is>
      </c>
      <c r="K1319" s="5" t="inlineStr">
        <is>
          <t>BaseHitDamage</t>
        </is>
      </c>
      <c r="L1319" s="5" t="inlineStr">
        <is>
          <t>NonCritAvg</t>
        </is>
      </c>
      <c r="M1319" s="5" t="inlineStr">
        <is>
          <t>CritAvg</t>
        </is>
      </c>
      <c r="N1319" s="5" t="inlineStr">
        <is>
          <t>ExpectedDamage(perHit)</t>
        </is>
      </c>
      <c r="O1319" s="5" t="inlineStr">
        <is>
          <t>DPS</t>
        </is>
      </c>
      <c r="P1319" s="5" t="inlineStr">
        <is>
          <t>% of Total</t>
        </is>
      </c>
      <c r="R1319" t="inlineStr">
        <is>
          <t>helpers</t>
        </is>
      </c>
    </row>
    <row r="1320">
      <c r="A1320">
        <f>Skills!A2</f>
        <v/>
      </c>
      <c r="B1320">
        <f>Skills!B2</f>
        <v/>
      </c>
      <c r="C1320">
        <f>Inputs!$B$3&gt;=100</f>
        <v/>
      </c>
      <c r="D1320" t="inlineStr"/>
      <c r="E1320" t="inlineStr"/>
      <c r="F1320">
        <f>T1322+Skills!N2</f>
        <v/>
      </c>
      <c r="G1320">
        <f>Calc!G2</f>
        <v/>
      </c>
      <c r="H1320">
        <f>Calc!H2</f>
        <v/>
      </c>
      <c r="I1320">
        <f>IF(Skills!T2&lt;&gt;"",1+(Skills!T2/10)*(Z1321/1000)/100,1)</f>
        <v/>
      </c>
      <c r="J1320">
        <f>((Inputs!$B$6*(1+Inputs!$B$7/100))+(((Inputs!$B$12*(1+Inputs!$B$13/100))-(Inputs!$B$12*(1+Inputs!$B$13/100)))+0.25*(Inputs!$B$14-Inputs!$B$14))*(1+Inputs!$B$7/100))*(F1320/100)</f>
        <v/>
      </c>
      <c r="K1320">
        <f>J1320*(1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F1336-Calc!F18),(Inputs!$B$23+(IF(ArtifactsInput!$M$15,CHOOSE(ArtifactsInput!$N$15+1,25,30,35,40,45,50)/100*(Inputs!$B$11-Inputs!$B$11),0))))/100+(Inputs!$B$23+(IF(ArtifactsInput!$M$15,CHOOSE(ArtifactsInput!$N$15+1,25,30,35,40,45,50)/100*(Inputs!$B$11-Inputs!$B$11),0)))/100)/2</f>
        <v/>
      </c>
      <c r="M1320">
        <f>L1320*(1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(1-Summary!$B$11)*S1320+Summary!$B$11*U1320</f>
        <v/>
      </c>
      <c r="P1320">
        <f>IF(B1354=0,0,O1320/B1354)</f>
        <v/>
      </c>
      <c r="Q1320">
        <f>IFERROR(1/IF(Inputs!$B$38="pvp",15,MAX(0.1,Skills!D2-IF(Skills!E2=TRUE,Inputs!$B$32,0))),0)</f>
        <v/>
      </c>
      <c r="R1320" t="n">
        <v>0</v>
      </c>
      <c r="S1320">
        <f>IF(C1320,(Skills!F2*N1320*B1350)*IF(Inputs!$B$38="pvp",1,1+(Inputs!$B$20+Skills!O2+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20">
        <f>MAX(0,(Inputs!$B$3-100)*3)+Inputs!$B$28+Inputs!$B$29</f>
        <v/>
      </c>
      <c r="U1320">
        <f>IF(C1320,(Skills!F2*N1320*B1350)*IF(Inputs!$B$38="pvp",1,(1+(Inputs!$B$21+Skills!P2+B1345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20">
        <f>MAX(0,(Inputs!$B$3-100)*3)+Inputs!$B$28+Inputs!$B$29</f>
        <v/>
      </c>
    </row>
    <row r="1321">
      <c r="A1321">
        <f>Skills!A3</f>
        <v/>
      </c>
      <c r="B1321">
        <f>Skills!B3</f>
        <v/>
      </c>
      <c r="C1321">
        <f>Inputs!$B$3&gt;=15</f>
        <v/>
      </c>
      <c r="D1321">
        <f>IF(Skills!C3=1,60+Inputs!$B$25+Inputs!$B$29,IF(Skills!C3=2,90+Inputs!$B$26+Inputs!$B$29,IF(Skills!C3=3,120+Inputs!$B$27+Inputs!$B$29,MAX(0,(Inputs!$B$3-100)*3)+Inputs!$B$28+Inputs!$B$29)))</f>
        <v/>
      </c>
      <c r="E1321">
        <f>INDEX(FactorTable!$B$2:$Y$301, MATCH(ROUND(MIN(300,MAX(1,D1321)),0), FactorTable!$A$2:$A$301,0), Skills!L3+1)</f>
        <v/>
      </c>
      <c r="F1321">
        <f>IF(Skills!M3=TRUE,(Skills!K3/10)*(E1321/1000),Skills!K3/10)+Skills!N3</f>
        <v/>
      </c>
      <c r="G1321">
        <f>Calc!G3</f>
        <v/>
      </c>
      <c r="H1321">
        <f>Calc!H3</f>
        <v/>
      </c>
      <c r="I1321">
        <f>IF(Skills!T3&lt;&gt;"",1+(Skills!T3/10)*(Z1321/1000)/100,1)</f>
        <v/>
      </c>
      <c r="J1321" t="inlineStr"/>
      <c r="K1321" t="inlineStr"/>
      <c r="L1321" t="inlineStr"/>
      <c r="M1321" t="inlineStr"/>
      <c r="N1321" t="inlineStr"/>
      <c r="O1321">
        <f>(1-Summary!$B$11)*S1321+Summary!$B$11*U1321</f>
        <v/>
      </c>
      <c r="P1321">
        <f>IF(B1354=0,0,O1321/B1354)</f>
        <v/>
      </c>
      <c r="Q1321">
        <f>IFERROR(1/IF(Inputs!$B$38="pvp",15,MAX(0.1,Skills!D3-IF(Skills!E3=TRUE,Inputs!$B$32,0))),0)</f>
        <v/>
      </c>
      <c r="R1321">
        <f>IF(AND(Inputs!$B$38&lt;&gt;"pvp",Inputs!$B$43&gt;0),IF(Inputs!$B$43&lt;=0,0,(INT(Inputs!$B$43/IF(Inputs!$B$38="pvp",15,MAX(0.1,Skills!D3-IF(Skills!E3=TRUE,Inputs!$B$32,0))))+1)),0)</f>
        <v/>
      </c>
      <c r="S1321" t="n">
        <v>0</v>
      </c>
      <c r="T1321">
        <f>INDEX(FactorTable!$B$2:$Y$301, MATCH(ROUND(MIN(300,MAX(1,T1320)),0), FactorTable!$A$2:$A$301,0), 22)</f>
        <v/>
      </c>
      <c r="U1321" t="n">
        <v>0</v>
      </c>
      <c r="Z1321">
        <f>INDEX(FactorTable!$B$2:$Y$301, MATCH(ROUND(MIN(300,MAX(1,Z1320)),0), FactorTable!$A$2:$A$301,0), 24)</f>
        <v/>
      </c>
    </row>
    <row r="1322">
      <c r="A1322">
        <f>Skills!A4</f>
        <v/>
      </c>
      <c r="B1322">
        <f>Skills!B4</f>
        <v/>
      </c>
      <c r="C1322">
        <f>Inputs!$B$3&gt;=40</f>
        <v/>
      </c>
      <c r="D1322">
        <f>IF(Skills!C4=1,60+Inputs!$B$25+Inputs!$B$29,IF(Skills!C4=2,90+Inputs!$B$26+Inputs!$B$29,IF(Skills!C4=3,120+Inputs!$B$27+Inputs!$B$29,MAX(0,(Inputs!$B$3-100)*3)+Inputs!$B$28+Inputs!$B$29)))</f>
        <v/>
      </c>
      <c r="E1322">
        <f>INDEX(FactorTable!$B$2:$Y$301, MATCH(ROUND(MIN(300,MAX(1,D1322)),0), FactorTable!$A$2:$A$301,0), Skills!L4+1)</f>
        <v/>
      </c>
      <c r="F1322">
        <f>IF(Skills!M4=TRUE,(Skills!K4/10)*(E1322/1000),Skills!K4/10)+Skills!N4</f>
        <v/>
      </c>
      <c r="G1322">
        <f>Calc!G4</f>
        <v/>
      </c>
      <c r="H1322">
        <f>Calc!H4</f>
        <v/>
      </c>
      <c r="I1322">
        <f>IF(Skills!T4&lt;&gt;"",1+(Skills!T4/10)*(Z1321/1000)/100,1)</f>
        <v/>
      </c>
      <c r="J1322" t="inlineStr"/>
      <c r="K1322" t="inlineStr"/>
      <c r="L1322" t="inlineStr"/>
      <c r="M1322" t="inlineStr"/>
      <c r="N1322" t="inlineStr"/>
      <c r="O1322">
        <f>(1-Summary!$B$11)*S1322+Summary!$B$11*U1322</f>
        <v/>
      </c>
      <c r="P1322">
        <f>IF(B1354=0,0,O1322/B1354)</f>
        <v/>
      </c>
      <c r="Q1322">
        <f>IFERROR(1/IF(Inputs!$B$38="pvp",15,MAX(0.1,Skills!D4-IF(Skills!E4=TRUE,Inputs!$B$32,0))),0)</f>
        <v/>
      </c>
      <c r="R1322">
        <f>IF(AND(Inputs!$B$38&lt;&gt;"pvp",Inputs!$B$43&gt;0),IF(Inputs!$B$43&lt;=0,0,(INT(Inputs!$B$43/IF(Inputs!$B$38="pvp",15,MAX(0.1,Skills!D4-IF(Skills!E4=TRUE,Inputs!$B$32,0))))+1)),0)</f>
        <v/>
      </c>
      <c r="S1322" t="n">
        <v>0</v>
      </c>
      <c r="T1322">
        <f>290*T1321/1000</f>
        <v/>
      </c>
      <c r="U1322" t="n">
        <v>0</v>
      </c>
    </row>
    <row r="1323">
      <c r="A1323">
        <f>Skills!A5</f>
        <v/>
      </c>
      <c r="B1323">
        <f>Skills!B5</f>
        <v/>
      </c>
      <c r="C1323">
        <f>Inputs!$B$3&gt;=38</f>
        <v/>
      </c>
      <c r="D1323">
        <f>IF(Skills!C5=1,60+Inputs!$B$25+Inputs!$B$29,IF(Skills!C5=2,90+Inputs!$B$26+Inputs!$B$29,IF(Skills!C5=3,120+Inputs!$B$27+Inputs!$B$29,MAX(0,(Inputs!$B$3-100)*3)+Inputs!$B$28+Inputs!$B$29)))</f>
        <v/>
      </c>
      <c r="E1323">
        <f>INDEX(FactorTable!$B$2:$Y$301, MATCH(ROUND(MIN(300,MAX(1,D1323)),0), FactorTable!$A$2:$A$301,0), Skills!L5+1)</f>
        <v/>
      </c>
      <c r="F1323">
        <f>IF(Skills!M5=TRUE,(Skills!K5/10)*(E1323/1000),Skills!K5/10)+Skills!N5</f>
        <v/>
      </c>
      <c r="G1323">
        <f>Calc!G5</f>
        <v/>
      </c>
      <c r="H1323">
        <f>Calc!H5</f>
        <v/>
      </c>
      <c r="I1323">
        <f>IF(Skills!T5&lt;&gt;"",1+(Skills!T5/10)*(Z1321/1000)/100,1)</f>
        <v/>
      </c>
      <c r="J1323">
        <f>((Inputs!$B$6*(1+Inputs!$B$7/100))+(((Inputs!$B$12*(1+Inputs!$B$13/100))-(Inputs!$B$12*(1+Inputs!$B$13/100)))+0.25*(Inputs!$B$14-Inputs!$B$14))*(1+Inputs!$B$7/100))*(F1323/100)</f>
        <v/>
      </c>
      <c r="K1323">
        <f>J1323*(1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F1336-Calc!F18),(Inputs!$B$23+(IF(ArtifactsInput!$M$15,CHOOSE(ArtifactsInput!$N$15+1,25,30,35,40,45,50)/100*(Inputs!$B$11-Inputs!$B$11),0))))/100+(Inputs!$B$23+(IF(ArtifactsInput!$M$15,CHOOSE(ArtifactsInput!$N$15+1,25,30,35,40,45,50)/100*(Inputs!$B$11-Inputs!$B$11),0)))/100)/2</f>
        <v/>
      </c>
      <c r="M1323">
        <f>L1323*(1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(1-Summary!$B$11)*S1323+Summary!$B$11*U1323</f>
        <v/>
      </c>
      <c r="P1323">
        <f>IF(B1354=0,0,O1323/B1354)</f>
        <v/>
      </c>
      <c r="Q1323">
        <f>IFERROR(1/IF(Inputs!$B$38="pvp",15,MAX(0.1,Skills!D5-IF(Skills!E5=TRUE,Inputs!$B$32,0))),0)</f>
        <v/>
      </c>
      <c r="R1323">
        <f>IF(AND(Inputs!$B$38&lt;&gt;"pvp",Inputs!$B$43&gt;0),IF(MAX(0,Inputs!$B$43-B1351)&lt;=0,0,(INT(MAX(0,Inputs!$B$43-B1351)/IF(Inputs!$B$38="pvp",15,MAX(0.1,Skills!D5-IF(Skills!E5=TRUE,Inputs!$B$32,0))))+1)),0)</f>
        <v/>
      </c>
      <c r="S1323">
        <f>IF(C1323,(H1323*N1323*IF(AND(Inputs!$B$38&lt;&gt;"pvp",Inputs!$B$43&gt;0),((Skills!F5*((R1323-1)*IF(Skills!G5&gt;0,Skills!H5/Skills!G5,1)+IF(Skills!G5&gt;0,MIN(Skills!H5,MAX(0,MAX(0,Inputs!$B$43-B1351)-((R1323-1)*IF(Inputs!$B$38="pvp",15,MAX(0.1,Skills!D5-IF(Skills!E5=TRUE,Inputs!$B$32,0))))))/Skills!G5,1)))/Inputs!$B$43),G1323*Q1323))*IF(Inputs!$B$38="pvp",1,1+(Inputs!$B$20+Skills!O5+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1323*(1-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3">
        <f>IF(C1323,(H1323*N1323*IF(AND(Inputs!$B$38&lt;&gt;"pvp",Inputs!$B$43&gt;0),((Skills!F5*((R1323-1)*IF(Skills!G5&gt;0,Skills!H5/Skills!G5,1)+IF(Skills!G5&gt;0,MIN(Skills!H5,MAX(0,MAX(0,Inputs!$B$43-B1351)-((R1323-1)*IF(Inputs!$B$38="pvp",15,MAX(0.1,Skills!D5-IF(Skills!E5=TRUE,Inputs!$B$32,0))))))/Skills!G5,1)))/Inputs!$B$43),G1323*Q1323))*IF(Inputs!$B$38="pvp",1,(1+(Inputs!$B$21+Skills!P5+B1345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Skills!A6</f>
        <v/>
      </c>
      <c r="B1324">
        <f>Skills!B6</f>
        <v/>
      </c>
      <c r="C1324">
        <f>Inputs!$B$3&gt;=63</f>
        <v/>
      </c>
      <c r="D1324">
        <f>IF(Skills!C6=1,60+Inputs!$B$25+Inputs!$B$29,IF(Skills!C6=2,90+Inputs!$B$26+Inputs!$B$29,IF(Skills!C6=3,120+Inputs!$B$27+Inputs!$B$29,MAX(0,(Inputs!$B$3-100)*3)+Inputs!$B$28+Inputs!$B$29)))</f>
        <v/>
      </c>
      <c r="E1324">
        <f>INDEX(FactorTable!$B$2:$Y$301, MATCH(ROUND(MIN(300,MAX(1,D1324)),0), FactorTable!$A$2:$A$301,0), Skills!L6+1)</f>
        <v/>
      </c>
      <c r="F1324">
        <f>IF(Skills!M6=TRUE,(Skills!K6/10)*(E1324/1000),Skills!K6/10)+Skills!N6</f>
        <v/>
      </c>
      <c r="G1324">
        <f>Calc!G6</f>
        <v/>
      </c>
      <c r="H1324">
        <f>Calc!H6</f>
        <v/>
      </c>
      <c r="I1324">
        <f>IF(Skills!T6&lt;&gt;"",1+(Skills!T6/10)*(Z1321/1000)/100,1)</f>
        <v/>
      </c>
      <c r="J1324">
        <f>((Inputs!$B$6*(1+Inputs!$B$7/100))+(((Inputs!$B$12*(1+Inputs!$B$13/100))-(Inputs!$B$12*(1+Inputs!$B$13/100)))+0.25*(Inputs!$B$14-Inputs!$B$14))*(1+Inputs!$B$7/100))*(F1324/100)</f>
        <v/>
      </c>
      <c r="K1324">
        <f>J1324*(1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F1336-Calc!F18),(Inputs!$B$23+(IF(ArtifactsInput!$M$15,CHOOSE(ArtifactsInput!$N$15+1,25,30,35,40,45,50)/100*(Inputs!$B$11-Inputs!$B$11),0))))/100+(Inputs!$B$23+(IF(ArtifactsInput!$M$15,CHOOSE(ArtifactsInput!$N$15+1,25,30,35,40,45,50)/100*(Inputs!$B$11-Inputs!$B$11),0)))/100)/2</f>
        <v/>
      </c>
      <c r="M1324">
        <f>L1324*(1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(1-Summary!$B$11)*S1324+Summary!$B$11*U1324</f>
        <v/>
      </c>
      <c r="P1324">
        <f>IF(B1354=0,0,O1324/B1354)</f>
        <v/>
      </c>
      <c r="Q1324">
        <f>IFERROR(1/IF(Inputs!$B$38="pvp",15,MAX(0.1,Skills!D6-IF(Skills!E6=TRUE,Inputs!$B$32,0))),0)</f>
        <v/>
      </c>
      <c r="R1324">
        <f>IF(AND(Inputs!$B$38&lt;&gt;"pvp",Inputs!$B$43&gt;0),IF(MAX(0,Inputs!$B$43-B1351)&lt;=0,0,(INT(MAX(0,Inputs!$B$43-B1351)/IF(Inputs!$B$38="pvp",15,MAX(0.1,Skills!D6-IF(Skills!E6=TRUE,Inputs!$B$32,0))))+1)),0)</f>
        <v/>
      </c>
      <c r="S1324">
        <f>IF(C1324,(H1324*N1324*IF(AND(Inputs!$B$38&lt;&gt;"pvp",Inputs!$B$43&gt;0),((Skills!F6*((R1324-1)*IF(Skills!G6&gt;0,Skills!H6/Skills!G6,1)+IF(Skills!G6&gt;0,MIN(Skills!H6,MAX(0,MAX(0,Inputs!$B$43-B1351)-((R1324-1)*IF(Inputs!$B$38="pvp",15,MAX(0.1,Skills!D6-IF(Skills!E6=TRUE,Inputs!$B$32,0))))))/Skills!G6,1)))/Inputs!$B$43),G1324*Q1324))*IF(Inputs!$B$38="pvp",1,1+(Inputs!$B$20+Skills!O6+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1324*(1-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4">
        <f>IF(C1324,(H1324*N1324*IF(AND(Inputs!$B$38&lt;&gt;"pvp",Inputs!$B$43&gt;0),((Skills!F6*((R1324-1)*IF(Skills!G6&gt;0,Skills!H6/Skills!G6,1)+IF(Skills!G6&gt;0,MIN(Skills!H6,MAX(0,MAX(0,Inputs!$B$43-B1351)-((R1324-1)*IF(Inputs!$B$38="pvp",15,MAX(0.1,Skills!D6-IF(Skills!E6=TRUE,Inputs!$B$32,0))))))/Skills!G6,1)))/Inputs!$B$43),G1324*Q1324))*IF(Inputs!$B$38="pvp",1,(1+(Inputs!$B$21+Skills!P6+B1345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Skills!A7</f>
        <v/>
      </c>
      <c r="B1325">
        <f>Skills!B7</f>
        <v/>
      </c>
      <c r="C1325">
        <f>Inputs!$B$3&gt;=69</f>
        <v/>
      </c>
      <c r="D1325">
        <f>IF(Skills!C7=1,60+Inputs!$B$25+Inputs!$B$29,IF(Skills!C7=2,90+Inputs!$B$26+Inputs!$B$29,IF(Skills!C7=3,120+Inputs!$B$27+Inputs!$B$29,MAX(0,(Inputs!$B$3-100)*3)+Inputs!$B$28+Inputs!$B$29)))</f>
        <v/>
      </c>
      <c r="E1325">
        <f>INDEX(FactorTable!$B$2:$Y$301, MATCH(ROUND(MIN(300,MAX(1,D1325)),0), FactorTable!$A$2:$A$301,0), Skills!L7+1)</f>
        <v/>
      </c>
      <c r="F1325">
        <f>IF(Skills!M7=TRUE,(Skills!K7/10)*(E1325/1000),Skills!K7/10)+Skills!N7</f>
        <v/>
      </c>
      <c r="G1325">
        <f>Calc!G7</f>
        <v/>
      </c>
      <c r="H1325">
        <f>Calc!H7</f>
        <v/>
      </c>
      <c r="I1325">
        <f>IF(Skills!T7&lt;&gt;"",1+(Skills!T7/10)*(Z1321/1000)/100,1)</f>
        <v/>
      </c>
      <c r="J1325">
        <f>((Inputs!$B$6*(1+Inputs!$B$7/100))+(((Inputs!$B$12*(1+Inputs!$B$13/100))-(Inputs!$B$12*(1+Inputs!$B$13/100)))+0.25*(Inputs!$B$14-Inputs!$B$14))*(1+Inputs!$B$7/100))*(F1325/100)</f>
        <v/>
      </c>
      <c r="K1325">
        <f>J1325*(1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F1336-Calc!F18),(Inputs!$B$23+(IF(ArtifactsInput!$M$15,CHOOSE(ArtifactsInput!$N$15+1,25,30,35,40,45,50)/100*(Inputs!$B$11-Inputs!$B$11),0))))/100+(Inputs!$B$23+(IF(ArtifactsInput!$M$15,CHOOSE(ArtifactsInput!$N$15+1,25,30,35,40,45,50)/100*(Inputs!$B$11-Inputs!$B$11),0)))/100)/2</f>
        <v/>
      </c>
      <c r="M1325">
        <f>L1325*(1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(1-Summary!$B$11)*S1325+Summary!$B$11*U1325</f>
        <v/>
      </c>
      <c r="P1325">
        <f>IF(B1354=0,0,O1325/B1354)</f>
        <v/>
      </c>
      <c r="Q1325">
        <f>IFERROR(1/IF(Inputs!$B$38="pvp",15,MAX(0.1,Skills!D7-IF(Skills!E7=TRUE,Inputs!$B$32,0))),0)</f>
        <v/>
      </c>
      <c r="R1325">
        <f>IF(AND(Inputs!$B$38&lt;&gt;"pvp",Inputs!$B$43&gt;0),IF(MAX(0,Inputs!$B$43-B1351)&lt;=0,0,(INT(MAX(0,Inputs!$B$43-B1351)/IF(Inputs!$B$38="pvp",15,MAX(0.1,Skills!D7-IF(Skills!E7=TRUE,Inputs!$B$32,0))))+1)),0)</f>
        <v/>
      </c>
      <c r="S1325">
        <f>IF(C1325,(H1325*N1325*IF(AND(Inputs!$B$38&lt;&gt;"pvp",Inputs!$B$43&gt;0),((Skills!F7*((R1325-1)*IF(Skills!G7&gt;0,Skills!H7/Skills!G7,1)+IF(Skills!G7&gt;0,MIN(Skills!H7,MAX(0,MAX(0,Inputs!$B$43-B1351)-((R1325-1)*IF(Inputs!$B$38="pvp",15,MAX(0.1,Skills!D7-IF(Skills!E7=TRUE,Inputs!$B$32,0))))))/Skills!G7,1)))/Inputs!$B$43),G1325*Q1325))*IF(Inputs!$B$38="pvp",1,1+(Inputs!$B$20+Skills!O7+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1325*(1-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5">
        <f>IF(C1325,(H1325*N1325*IF(AND(Inputs!$B$38&lt;&gt;"pvp",Inputs!$B$43&gt;0),((Skills!F7*((R1325-1)*IF(Skills!G7&gt;0,Skills!H7/Skills!G7,1)+IF(Skills!G7&gt;0,MIN(Skills!H7,MAX(0,MAX(0,Inputs!$B$43-B1351)-((R1325-1)*IF(Inputs!$B$38="pvp",15,MAX(0.1,Skills!D7-IF(Skills!E7=TRUE,Inputs!$B$32,0))))))/Skills!G7,1)))/Inputs!$B$43),G1325*Q1325))*IF(Inputs!$B$38="pvp",1,(1+(Inputs!$B$21+Skills!P7+B1345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Skills!A8</f>
        <v/>
      </c>
      <c r="B1326">
        <f>Skills!B8</f>
        <v/>
      </c>
      <c r="C1326">
        <f>Inputs!$B$3&gt;=103</f>
        <v/>
      </c>
      <c r="D1326">
        <f>IF(Skills!C8=1,60+Inputs!$B$25+Inputs!$B$29,IF(Skills!C8=2,90+Inputs!$B$26+Inputs!$B$29,IF(Skills!C8=3,120+Inputs!$B$27+Inputs!$B$29,MAX(0,(Inputs!$B$3-100)*3)+Inputs!$B$28+Inputs!$B$29)))</f>
        <v/>
      </c>
      <c r="E1326">
        <f>INDEX(FactorTable!$B$2:$Y$301, MATCH(ROUND(MIN(300,MAX(1,D1326)),0), FactorTable!$A$2:$A$301,0), Skills!L8+1)</f>
        <v/>
      </c>
      <c r="F1326">
        <f>IF(Skills!M8=TRUE,(Skills!K8/10)*(E1326/1000),Skills!K8/10)+Skills!N8</f>
        <v/>
      </c>
      <c r="G1326">
        <f>Calc!G8</f>
        <v/>
      </c>
      <c r="H1326">
        <f>Calc!H8</f>
        <v/>
      </c>
      <c r="I1326">
        <f>IF(Skills!T8&lt;&gt;"",1+(Skills!T8/10)*(Z1321/1000)/100,1)</f>
        <v/>
      </c>
      <c r="J1326">
        <f>((Inputs!$B$6*(1+Inputs!$B$7/100))+(((Inputs!$B$12*(1+Inputs!$B$13/100))-(Inputs!$B$12*(1+Inputs!$B$13/100)))+0.25*(Inputs!$B$14-Inputs!$B$14))*(1+Inputs!$B$7/100))*(F1326/100)</f>
        <v/>
      </c>
      <c r="K1326">
        <f>J1326*(1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1336-Calc!F18),(Inputs!$B$23+(IF(ArtifactsInput!$M$15,CHOOSE(ArtifactsInput!$N$15+1,25,30,35,40,45,50)/100*(Inputs!$B$11-Inputs!$B$11),0))))/100+(Inputs!$B$23+(IF(ArtifactsInput!$M$15,CHOOSE(ArtifactsInput!$N$15+1,25,30,35,40,45,50)/100*(Inputs!$B$11-Inputs!$B$11),0)))/100)/2</f>
        <v/>
      </c>
      <c r="M1326">
        <f>L1326*(1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IF(B1354=0,0,O1326/B1354)</f>
        <v/>
      </c>
      <c r="Q1326">
        <f>IFERROR(1/IF(Inputs!$B$38="pvp",15,MAX(0.1,Skills!D8-IF(Skills!E8=TRUE,Inputs!$B$32,0))),0)</f>
        <v/>
      </c>
      <c r="R1326">
        <f>IF(AND(Inputs!$B$38&lt;&gt;"pvp",Inputs!$B$43&gt;0),IF(MAX(0,Inputs!$B$43-B1351)&lt;=0,0,(INT(MAX(0,Inputs!$B$43-B1351)/IF(Inputs!$B$38="pvp",15,MAX(0.1,Skills!D8-IF(Skills!E8=TRUE,Inputs!$B$32,0))))+1)),0)</f>
        <v/>
      </c>
      <c r="S1326">
        <f>IF(C1326,(H1326*N1326*IF(AND(Inputs!$B$38&lt;&gt;"pvp",Inputs!$B$43&gt;0),((Skills!F8*((R1326-1)*IF(Skills!G8&gt;0,Skills!H8/Skills!G8,1)+IF(Skills!G8&gt;0,MIN(Skills!H8,MAX(0,MAX(0,Inputs!$B$43-B1351)-((R1326-1)*IF(Inputs!$B$38="pvp",15,MAX(0.1,Skills!D8-IF(Skills!E8=TRUE,Inputs!$B$32,0))))))/Skills!G8,1)))/Inputs!$B$43),G1326*Q1326))*IF(Inputs!$B$38="pvp",1,1+(Inputs!$B$20+Skills!O8+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F8*((R1326-1)*IF(Skills!G8&gt;0,Skills!H8/Skills!G8,1)+IF(Skills!G8&gt;0,MIN(Skills!H8,MAX(0,MAX(0,Inputs!$B$43-B1351)-((R1326-1)*IF(Inputs!$B$38="pvp",15,MAX(0.1,Skills!D8-IF(Skills!E8=TRUE,Inputs!$B$32,0))))))/Skills!G8,1)))/Inputs!$B$43),G1326*Q1326))*IF(Inputs!$B$38="pvp",1,(1+(Inputs!$B$21+Skills!P8+B1345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Skills!A9</f>
        <v/>
      </c>
      <c r="B1327">
        <f>Skills!B9</f>
        <v/>
      </c>
      <c r="C1327">
        <f>Inputs!$B$3&gt;=105</f>
        <v/>
      </c>
      <c r="D1327">
        <f>IF(Skills!C9=1,60+Inputs!$B$25+Inputs!$B$29,IF(Skills!C9=2,90+Inputs!$B$26+Inputs!$B$29,IF(Skills!C9=3,120+Inputs!$B$27+Inputs!$B$29,MAX(0,(Inputs!$B$3-100)*3)+Inputs!$B$28+Inputs!$B$29)))</f>
        <v/>
      </c>
      <c r="E1327">
        <f>INDEX(FactorTable!$B$2:$Y$301, MATCH(ROUND(MIN(300,MAX(1,D1327)),0), FactorTable!$A$2:$A$301,0), Skills!L9+1)</f>
        <v/>
      </c>
      <c r="F1327">
        <f>IF(Skills!M9=TRUE,(Skills!K9/10)*(E1327/1000),Skills!K9/10)+Skills!N9</f>
        <v/>
      </c>
      <c r="G1327">
        <f>Calc!G9</f>
        <v/>
      </c>
      <c r="H1327">
        <f>Calc!H9</f>
        <v/>
      </c>
      <c r="I1327">
        <f>IF(Skills!T9&lt;&gt;"",1+(Skills!T9/10)*(Z1321/1000)/100,1)</f>
        <v/>
      </c>
      <c r="J1327">
        <f>((Inputs!$B$6*(1+Inputs!$B$7/100))+(((Inputs!$B$12*(1+Inputs!$B$13/100))-(Inputs!$B$12*(1+Inputs!$B$13/100)))+0.25*(Inputs!$B$14-Inputs!$B$14))*(1+Inputs!$B$7/100))*(F1327/100)</f>
        <v/>
      </c>
      <c r="K1327">
        <f>J1327*(1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F1336-Calc!F18),(Inputs!$B$23+(IF(ArtifactsInput!$M$15,CHOOSE(ArtifactsInput!$N$15+1,25,30,35,40,45,50)/100*(Inputs!$B$11-Inputs!$B$11),0))))/100+(Inputs!$B$23+(IF(ArtifactsInput!$M$15,CHOOSE(ArtifactsInput!$N$15+1,25,30,35,40,45,50)/100*(Inputs!$B$11-Inputs!$B$11),0)))/100)/2</f>
        <v/>
      </c>
      <c r="M1327">
        <f>L1327*(1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(1-Summary!$B$11)*S1327+Summary!$B$11*U1327</f>
        <v/>
      </c>
      <c r="P1327">
        <f>IF(B1354=0,0,O1327/B1354)</f>
        <v/>
      </c>
      <c r="Q1327">
        <f>IFERROR(1/IF(Inputs!$B$38="pvp",15,MAX(0.1,Skills!D9-IF(Skills!E9=TRUE,Inputs!$B$32,0))),0)</f>
        <v/>
      </c>
      <c r="R1327">
        <f>IF(AND(Inputs!$B$38&lt;&gt;"pvp",Inputs!$B$43&gt;0),IF(MAX(0,Inputs!$B$43-B1351)&lt;=0,0,(INT(MAX(0,Inputs!$B$43-B1351)/IF(Inputs!$B$38="pvp",15,MAX(0.1,Skills!D9-IF(Skills!E9=TRUE,Inputs!$B$32,0))))+1)),0)</f>
        <v/>
      </c>
      <c r="S1327">
        <f>IF(C1327,(H1327*N1327*IF(AND(Inputs!$B$38&lt;&gt;"pvp",Inputs!$B$43&gt;0),((Skills!F9*((R1327-1)*IF(Skills!G9&gt;0,Skills!H9/Skills!G9,1)+IF(Skills!G9&gt;0,MIN(Skills!H9,MAX(0,MAX(0,Inputs!$B$43-B1351)-((R1327-1)*IF(Inputs!$B$38="pvp",15,MAX(0.1,Skills!D9-IF(Skills!E9=TRUE,Inputs!$B$32,0))))))/Skills!G9,1)))/Inputs!$B$43),G1327*Q1327))*IF(Inputs!$B$38="pvp",1,1+(Inputs!$B$20+Skills!O9+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1327*(1-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7">
        <f>IF(C1327,(H1327*N1327*IF(AND(Inputs!$B$38&lt;&gt;"pvp",Inputs!$B$43&gt;0),((Skills!F9*((R1327-1)*IF(Skills!G9&gt;0,Skills!H9/Skills!G9,1)+IF(Skills!G9&gt;0,MIN(Skills!H9,MAX(0,MAX(0,Inputs!$B$43-B1351)-((R1327-1)*IF(Inputs!$B$38="pvp",15,MAX(0.1,Skills!D9-IF(Skills!E9=TRUE,Inputs!$B$32,0))))))/Skills!G9,1)))/Inputs!$B$43),G1327*Q1327))*IF(Inputs!$B$38="pvp",1,(1+(Inputs!$B$21+Skills!P9+B1345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Skills!A10</f>
        <v/>
      </c>
      <c r="B1328">
        <f>Skills!B10</f>
        <v/>
      </c>
      <c r="C1328">
        <f>Inputs!$B$3&gt;=113</f>
        <v/>
      </c>
      <c r="D1328">
        <f>IF(Skills!C10=1,60+Inputs!$B$25+Inputs!$B$29,IF(Skills!C10=2,90+Inputs!$B$26+Inputs!$B$29,IF(Skills!C10=3,120+Inputs!$B$27+Inputs!$B$29,MAX(0,(Inputs!$B$3-100)*3)+Inputs!$B$28+Inputs!$B$29)))</f>
        <v/>
      </c>
      <c r="E1328">
        <f>INDEX(FactorTable!$B$2:$Y$301, MATCH(ROUND(MIN(300,MAX(1,D1328)),0), FactorTable!$A$2:$A$301,0), Skills!L10+1)</f>
        <v/>
      </c>
      <c r="F1328">
        <f>IF(Skills!M10=TRUE,(Skills!K10/10)*(E1328/1000),Skills!K10/10)+Skills!N10</f>
        <v/>
      </c>
      <c r="G1328">
        <f>Calc!G10</f>
        <v/>
      </c>
      <c r="H1328">
        <f>Calc!H10</f>
        <v/>
      </c>
      <c r="I1328">
        <f>IF(Skills!T10&lt;&gt;"",1+(Skills!T10/10)*(Z1321/1000)/100,1)</f>
        <v/>
      </c>
      <c r="J1328">
        <f>((Inputs!$B$6*(1+Inputs!$B$7/100))+(((Inputs!$B$12*(1+Inputs!$B$13/100))-(Inputs!$B$12*(1+Inputs!$B$13/100)))+0.25*(Inputs!$B$14-Inputs!$B$14))*(1+Inputs!$B$7/100))*(F1328/100)</f>
        <v/>
      </c>
      <c r="K1328">
        <f>J1328*(1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F1336-Calc!F18),(Inputs!$B$23+(IF(ArtifactsInput!$M$15,CHOOSE(ArtifactsInput!$N$15+1,25,30,35,40,45,50)/100*(Inputs!$B$11-Inputs!$B$11),0))))/100+(Inputs!$B$23+(IF(ArtifactsInput!$M$15,CHOOSE(ArtifactsInput!$N$15+1,25,30,35,40,45,50)/100*(Inputs!$B$11-Inputs!$B$11),0)))/100)/2</f>
        <v/>
      </c>
      <c r="M1328">
        <f>L1328*(1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(1-Summary!$B$11)*S1328+Summary!$B$11*U1328</f>
        <v/>
      </c>
      <c r="P1328">
        <f>IF(B1354=0,0,O1328/B1354)</f>
        <v/>
      </c>
      <c r="Q1328">
        <f>IFERROR(1/IF(Inputs!$B$38="pvp",15,MAX(0.1,Skills!D10-IF(Skills!E9=TRUE,Inputs!$B$32,0))),0)</f>
        <v/>
      </c>
      <c r="R1328">
        <f>IF(AND(Inputs!$B$38&lt;&gt;"pvp",Inputs!$B$43&gt;0),IF(MAX(0,Inputs!$B$43-B1351)&lt;=0,0,(INT(MAX(0,Inputs!$B$43-B1351)/IF(Inputs!$B$38="pvp",15,MAX(0.1,Skills!D10-IF(Skills!E9=TRUE,Inputs!$B$32,0))))+1)),0)</f>
        <v/>
      </c>
      <c r="S1328">
        <f>IF(C1328,(H1328*N1328*IF(AND(Inputs!$B$38&lt;&gt;"pvp",Inputs!$B$43&gt;0),((Skills!F10*((R1328-1)*IF(Skills!G10&gt;0,Skills!H10/Skills!G10,1)+IF(Skills!G10&gt;0,MIN(Skills!H10,MAX(0,MAX(0,Inputs!$B$43-B1351)-((R1328-1)*IF(Inputs!$B$38="pvp",15,MAX(0.1,Skills!D10-IF(Skills!E9=TRUE,Inputs!$B$32,0))))))/Skills!G10,1)))/Inputs!$B$43),G1328*Q1328))*IF(Inputs!$B$38="pvp",1,1+(Inputs!$B$20+Skills!O10+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1328*(1-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8">
        <f>IF(C1328,(H1328*N1328*IF(AND(Inputs!$B$38&lt;&gt;"pvp",Inputs!$B$43&gt;0),((Skills!F10*((R1328-1)*IF(Skills!G10&gt;0,Skills!H10/Skills!G10,1)+IF(Skills!G10&gt;0,MIN(Skills!H10,MAX(0,MAX(0,Inputs!$B$43-B1351)-((R1328-1)*IF(Inputs!$B$38="pvp",15,MAX(0.1,Skills!D10-IF(Skills!E9=TRUE,Inputs!$B$32,0))))))/Skills!G10,1)))/Inputs!$B$43),G1328*Q1328))*IF(Inputs!$B$38="pvp",1,(1+(Inputs!$B$21+Skills!P10+B1345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Skills!A11</f>
        <v/>
      </c>
      <c r="B1329">
        <f>Skills!B11</f>
        <v/>
      </c>
      <c r="C1329">
        <f>Inputs!$B$3&gt;=107</f>
        <v/>
      </c>
      <c r="D1329">
        <f>IF(Skills!C11=1,60+Inputs!$B$25+Inputs!$B$29,IF(Skills!C11=2,90+Inputs!$B$26+Inputs!$B$29,IF(Skills!C11=3,120+Inputs!$B$27+Inputs!$B$29,MAX(0,(Inputs!$B$3-100)*3)+Inputs!$B$28+Inputs!$B$29)))</f>
        <v/>
      </c>
      <c r="E1329">
        <f>INDEX(FactorTable!$B$2:$Y$301, MATCH(ROUND(MIN(300,MAX(1,D1329)),0), FactorTable!$A$2:$A$301,0), Skills!L11+1)</f>
        <v/>
      </c>
      <c r="F1329">
        <f>IF(Skills!M11=TRUE,(Skills!K11/10)*(E1329/1000),Skills!K11/10)+Skills!N11</f>
        <v/>
      </c>
      <c r="G1329">
        <f>Calc!G11</f>
        <v/>
      </c>
      <c r="H1329">
        <f>Calc!H11</f>
        <v/>
      </c>
      <c r="I1329">
        <f>IF(Skills!T11&lt;&gt;"",1+(Skills!T11/10)*(Z1321/1000)/100,1)</f>
        <v/>
      </c>
      <c r="J1329">
        <f>((Inputs!$B$6*(1+Inputs!$B$7/100))+(((Inputs!$B$12*(1+Inputs!$B$13/100))-(Inputs!$B$12*(1+Inputs!$B$13/100)))+0.25*(Inputs!$B$14-Inputs!$B$14))*(1+Inputs!$B$7/100))*(F1329/100)</f>
        <v/>
      </c>
      <c r="K1329">
        <f>J1329*(1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F1336-Calc!F18),(Inputs!$B$23+(IF(ArtifactsInput!$M$15,CHOOSE(ArtifactsInput!$N$15+1,25,30,35,40,45,50)/100*(Inputs!$B$11-Inputs!$B$11),0))))/100+(Inputs!$B$23+(IF(ArtifactsInput!$M$15,CHOOSE(ArtifactsInput!$N$15+1,25,30,35,40,45,50)/100*(Inputs!$B$11-Inputs!$B$11),0)))/100)/2</f>
        <v/>
      </c>
      <c r="M1329">
        <f>L1329*(1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(1-Summary!$B$11)*S1329+Summary!$B$11*U1329</f>
        <v/>
      </c>
      <c r="P1329">
        <f>IF(B1354=0,0,O1329/B1354)</f>
        <v/>
      </c>
      <c r="Q1329">
        <f>IFERROR(1/IF(Inputs!$B$38="pvp",15,MAX(0.1,Skills!D11-IF(Skills!E11=TRUE,Inputs!$B$32,0))),0)</f>
        <v/>
      </c>
      <c r="R1329">
        <f>IF(AND(Inputs!$B$38&lt;&gt;"pvp",Inputs!$B$43&gt;0),IF(MAX(0,Inputs!$B$43-B1351)&lt;=0,0,(INT(MAX(0,Inputs!$B$43-B1351)/IF(Inputs!$B$38="pvp",15,MAX(0.1,Skills!D11-IF(Skills!E11=TRUE,Inputs!$B$32,0))))+1)),0)</f>
        <v/>
      </c>
      <c r="S1329">
        <f>IF(C1329,H1329*N1329*IF(AND(Inputs!$B$38&lt;&gt;"pvp",Inputs!$B$43&gt;0),((Skills!F11*((R1329-1)*IF(Skills!G11&gt;0,Skills!H11/Skills!G11,1)+IF(Skills!G11&gt;0,MIN(Skills!H11,MAX(0,MAX(0,Inputs!$B$43-B1351)-((R1329-1)*IF(Inputs!$B$38="pvp",15,MAX(0.1,Skills!D11-IF(Skills!E11=TRUE,Inputs!$B$32,0))))))/Skills!G11,1)))/Inputs!$B$43),G1329*Q1329)*0.5*IF(Inputs!$B$38="pvp",1,1+(Inputs!$B$20+Skills!O11+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1329*(1-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9">
        <f>IF(C1329,H1329*N1329*IF(AND(Inputs!$B$38&lt;&gt;"pvp",Inputs!$B$43&gt;0),((Skills!F11*((R1329-1)*IF(Skills!G11&gt;0,Skills!H11/Skills!G11,1)+IF(Skills!G11&gt;0,MIN(Skills!H11,MAX(0,MAX(0,Inputs!$B$43-B1351)-((R1329-1)*IF(Inputs!$B$38="pvp",15,MAX(0.1,Skills!D11-IF(Skills!E11=TRUE,Inputs!$B$32,0))))))/Skills!G11,1)))/Inputs!$B$43),G1329*Q1329)*1*IF(Inputs!$B$38="pvp",1,(1+(Inputs!$B$21+Skills!P11+B1345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Skills!A12</f>
        <v/>
      </c>
      <c r="B1330">
        <f>Skills!B12</f>
        <v/>
      </c>
      <c r="C1330">
        <f>Inputs!$B$3&gt;=115</f>
        <v/>
      </c>
      <c r="D1330">
        <f>IF(Skills!C12=1,60+Inputs!$B$25+Inputs!$B$29,IF(Skills!C12=2,90+Inputs!$B$26+Inputs!$B$29,IF(Skills!C12=3,120+Inputs!$B$27+Inputs!$B$29,MAX(0,(Inputs!$B$3-100)*3)+Inputs!$B$28+Inputs!$B$29)))</f>
        <v/>
      </c>
      <c r="E1330">
        <f>INDEX(FactorTable!$B$2:$Y$301, MATCH(ROUND(MIN(300,MAX(1,D1330)),0), FactorTable!$A$2:$A$301,0), Skills!L12+1)</f>
        <v/>
      </c>
      <c r="F1330">
        <f>IF(Skills!M12=TRUE,(Skills!K12/10)*(E1330/1000),Skills!K12/10)+Skills!N12</f>
        <v/>
      </c>
      <c r="G1330">
        <f>Calc!G12</f>
        <v/>
      </c>
      <c r="H1330">
        <f>Calc!H12</f>
        <v/>
      </c>
      <c r="I1330">
        <f>IF(Skills!T12&lt;&gt;"",1+(Skills!T12/10)*(Z1321/1000)/100,1)</f>
        <v/>
      </c>
      <c r="J1330">
        <f>((Inputs!$B$6*(1+Inputs!$B$7/100))+(((Inputs!$B$12*(1+Inputs!$B$13/100))-(Inputs!$B$12*(1+Inputs!$B$13/100)))+0.25*(Inputs!$B$14-Inputs!$B$14))*(1+Inputs!$B$7/100))*(F1330/100)</f>
        <v/>
      </c>
      <c r="K1330">
        <f>J1330*(1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1336-Calc!F18),(Inputs!$B$23+(IF(ArtifactsInput!$M$15,CHOOSE(ArtifactsInput!$N$15+1,25,30,35,40,45,50)/100*(Inputs!$B$11-Inputs!$B$11),0))))/100+(Inputs!$B$23+(IF(ArtifactsInput!$M$15,CHOOSE(ArtifactsInput!$N$15+1,25,30,35,40,45,50)/100*(Inputs!$B$11-Inputs!$B$11),0)))/100)/2</f>
        <v/>
      </c>
      <c r="M1330">
        <f>L1330*(1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IF(B1354=0,0,O1330/B1354)</f>
        <v/>
      </c>
      <c r="Q1330">
        <f>IFERROR(1/IF(Inputs!$B$38="pvp",15,MAX(0.1,Skills!D12-IF(Skills!E12=TRUE,Inputs!$B$32,0))),0)</f>
        <v/>
      </c>
      <c r="R1330">
        <f>IF(AND(Inputs!$B$38&lt;&gt;"pvp",Inputs!$B$43&gt;0),IF(MAX(0,Inputs!$B$43-B1351)&lt;=0,0,(INT(MAX(0,Inputs!$B$43-B1351)/IF(Inputs!$B$38="pvp",15,MAX(0.1,Skills!D12-IF(Skills!E12=TRUE,Inputs!$B$32,0))))+1)),0)</f>
        <v/>
      </c>
      <c r="S1330">
        <f>IF(C1330,(H1330*N1330*IF(AND(Inputs!$B$38&lt;&gt;"pvp",Inputs!$B$43&gt;0),((Skills!F12*((R1330-1)*IF(Skills!G12&gt;0,Skills!H12/Skills!G12,1)+IF(Skills!G12&gt;0,MIN(Skills!H12,MAX(0,MAX(0,Inputs!$B$43-B1351)-((R1330-1)*IF(Inputs!$B$38="pvp",15,MAX(0.1,Skills!D12-IF(Skills!E12=TRUE,Inputs!$B$32,0))))))/Skills!G12,1)))/Inputs!$B$43),G1330*Q1330))*IF(Inputs!$B$38="pvp",1,1+(Inputs!$B$20+Skills!O12+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F12*((R1330-1)*IF(Skills!G12&gt;0,Skills!H12/Skills!G12,1)+IF(Skills!G12&gt;0,MIN(Skills!H12,MAX(0,MAX(0,Inputs!$B$43-B1351)-((R1330-1)*IF(Inputs!$B$38="pvp",15,MAX(0.1,Skills!D12-IF(Skills!E12=TRUE,Inputs!$B$32,0))))))/Skills!G12,1)))/Inputs!$B$43),G1330*Q1330))*IF(Inputs!$B$38="pvp",1,(1+(Inputs!$B$21+Skills!P12+B1345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Skills!A13</f>
        <v/>
      </c>
      <c r="B1331">
        <f>Skills!B13</f>
        <v/>
      </c>
      <c r="C1331">
        <f>Inputs!$B$3&gt;=49</f>
        <v/>
      </c>
      <c r="D1331">
        <f>IF(Skills!C13=1,60+Inputs!$B$25+Inputs!$B$29,IF(Skills!C13=2,90+Inputs!$B$26+Inputs!$B$29,IF(Skills!C13=3,120+Inputs!$B$27+Inputs!$B$29,MAX(0,(Inputs!$B$3-100)*3)+Inputs!$B$28+Inputs!$B$29)))</f>
        <v/>
      </c>
      <c r="E1331">
        <f>INDEX(FactorTable!$B$2:$Y$301, MATCH(ROUND(MIN(300,MAX(1,D1331)),0), FactorTable!$A$2:$A$301,0), Skills!L13+1)</f>
        <v/>
      </c>
      <c r="F1331">
        <f>IF(Skills!M13=TRUE,(Skills!K13/10)*(E1331/1000),Skills!K13/10)+Skills!N13</f>
        <v/>
      </c>
      <c r="G1331">
        <f>Calc!G13</f>
        <v/>
      </c>
      <c r="H1331">
        <f>Calc!H13</f>
        <v/>
      </c>
      <c r="I1331">
        <f>IF(Skills!T13&lt;&gt;"",1+(Skills!T13/10)*(Z1321/1000)/100,1)</f>
        <v/>
      </c>
      <c r="J1331" t="inlineStr"/>
      <c r="K1331" t="inlineStr"/>
      <c r="L1331" t="inlineStr"/>
      <c r="M1331" t="inlineStr"/>
      <c r="N1331" t="inlineStr"/>
      <c r="O1331">
        <f>(1-Summary!$B$11)*S1331+Summary!$B$11*U1331</f>
        <v/>
      </c>
      <c r="P1331">
        <f>IF(B1354=0,0,O1331/B1354)</f>
        <v/>
      </c>
      <c r="Q1331">
        <f>IFERROR(1/IF(Inputs!$B$38="pvp",15,MAX(0.1,Skills!D13-IF(Skills!E13=TRUE,Inputs!$B$32,0))),0)</f>
        <v/>
      </c>
      <c r="R1331" t="n">
        <v>0</v>
      </c>
      <c r="S1331" t="n">
        <v>0</v>
      </c>
      <c r="U1331" t="n">
        <v>0</v>
      </c>
    </row>
    <row r="1332">
      <c r="A1332">
        <f>Skills!A14</f>
        <v/>
      </c>
      <c r="B1332">
        <f>Skills!B14</f>
        <v/>
      </c>
      <c r="C1332">
        <f>Inputs!$B$3&gt;=72</f>
        <v/>
      </c>
      <c r="D1332">
        <f>IF(Skills!C14=1,60+Inputs!$B$25+Inputs!$B$29,IF(Skills!C14=2,90+Inputs!$B$26+Inputs!$B$29,IF(Skills!C14=3,120+Inputs!$B$27+Inputs!$B$29,MAX(0,(Inputs!$B$3-100)*3)+Inputs!$B$28+Inputs!$B$29)))</f>
        <v/>
      </c>
      <c r="E1332">
        <f>INDEX(FactorTable!$B$2:$Y$301, MATCH(ROUND(MIN(300,MAX(1,D1332)),0), FactorTable!$A$2:$A$301,0), Skills!L14+1)</f>
        <v/>
      </c>
      <c r="F1332">
        <f>IF(Skills!M14=TRUE,(Skills!K14/10)*(E1332/1000),Skills!K14/10)+Skills!N14</f>
        <v/>
      </c>
      <c r="G1332">
        <f>Calc!G14</f>
        <v/>
      </c>
      <c r="H1332">
        <f>Calc!H14</f>
        <v/>
      </c>
      <c r="I1332">
        <f>IF(Skills!T14&lt;&gt;"",1+(Skills!T14/10)*(Z1321/1000)/100,1)</f>
        <v/>
      </c>
      <c r="J1332" t="inlineStr"/>
      <c r="K1332" t="inlineStr"/>
      <c r="L1332" t="inlineStr"/>
      <c r="M1332" t="inlineStr"/>
      <c r="N1332" t="inlineStr"/>
      <c r="O1332">
        <f>(1-Summary!$B$11)*S1332+Summary!$B$11*U1332</f>
        <v/>
      </c>
      <c r="P1332">
        <f>IF(B1354=0,0,O1332/B1354)</f>
        <v/>
      </c>
      <c r="Q1332">
        <f>IFERROR(1/IF(Inputs!$B$38="pvp",15,MAX(0.1,Skills!D14-IF(Skills!E14=TRUE,Inputs!$B$32,0))),0)</f>
        <v/>
      </c>
      <c r="R1332" t="n">
        <v>0</v>
      </c>
      <c r="S1332" t="n">
        <v>0</v>
      </c>
      <c r="U1332" t="n">
        <v>0</v>
      </c>
    </row>
    <row r="1333">
      <c r="A1333">
        <f>Skills!A15</f>
        <v/>
      </c>
      <c r="B1333">
        <f>Skills!B15</f>
        <v/>
      </c>
      <c r="C1333">
        <f>Inputs!$B$3&gt;=75</f>
        <v/>
      </c>
      <c r="D1333">
        <f>IF(Skills!C15=1,60+Inputs!$B$25+Inputs!$B$29,IF(Skills!C15=2,90+Inputs!$B$26+Inputs!$B$29,IF(Skills!C15=3,120+Inputs!$B$27+Inputs!$B$29,MAX(0,(Inputs!$B$3-100)*3)+Inputs!$B$28+Inputs!$B$29)))</f>
        <v/>
      </c>
      <c r="E1333">
        <f>INDEX(FactorTable!$B$2:$Y$301, MATCH(ROUND(MIN(300,MAX(1,D1333)),0), FactorTable!$A$2:$A$301,0), Skills!L15+1)</f>
        <v/>
      </c>
      <c r="F1333">
        <f>IF(Skills!M15=TRUE,(Skills!K15/10)*(E1333/1000),Skills!K15/10)+Skills!N15</f>
        <v/>
      </c>
      <c r="G1333">
        <f>Calc!G15</f>
        <v/>
      </c>
      <c r="H1333">
        <f>Calc!H15</f>
        <v/>
      </c>
      <c r="I1333">
        <f>IF(Skills!T15&lt;&gt;"",1+(Skills!T15/10)*(Z1321/1000)/100,1)</f>
        <v/>
      </c>
      <c r="J1333" t="inlineStr"/>
      <c r="K1333" t="inlineStr"/>
      <c r="L1333" t="inlineStr"/>
      <c r="M1333" t="inlineStr"/>
      <c r="N1333" t="inlineStr"/>
      <c r="O1333">
        <f>(1-Summary!$B$11)*S1333+Summary!$B$11*U1333</f>
        <v/>
      </c>
      <c r="P1333">
        <f>IF(B1354=0,0,O1333/B1354)</f>
        <v/>
      </c>
      <c r="Q1333">
        <f>IFERROR(1/IF(Inputs!$B$38="pvp",15,MAX(0.1,Skills!D15-IF(Skills!E15=TRUE,Inputs!$B$32,0))),0)</f>
        <v/>
      </c>
      <c r="R1333" t="n">
        <v>0</v>
      </c>
      <c r="S1333" t="n">
        <v>0</v>
      </c>
      <c r="U1333" t="n">
        <v>0</v>
      </c>
    </row>
    <row r="1334">
      <c r="A1334">
        <f>Skills!A16</f>
        <v/>
      </c>
      <c r="B1334">
        <f>Skills!B16</f>
        <v/>
      </c>
      <c r="C1334">
        <f>Inputs!$B$3&gt;=110</f>
        <v/>
      </c>
      <c r="D1334">
        <f>IF(Skills!C16=1,60+Inputs!$B$25+Inputs!$B$29,IF(Skills!C16=2,90+Inputs!$B$26+Inputs!$B$29,IF(Skills!C16=3,120+Inputs!$B$27+Inputs!$B$29,MAX(0,(Inputs!$B$3-100)*3)+Inputs!$B$28+Inputs!$B$29)))</f>
        <v/>
      </c>
      <c r="E1334">
        <f>INDEX(FactorTable!$B$2:$Y$301, MATCH(ROUND(MIN(300,MAX(1,D1334)),0), FactorTable!$A$2:$A$301,0), Skills!L16+1)</f>
        <v/>
      </c>
      <c r="F1334">
        <f>(Skills!K16/10)*(E1334/1000)*64/45+Skills!N16</f>
        <v/>
      </c>
      <c r="G1334">
        <f>Calc!G16</f>
        <v/>
      </c>
      <c r="H1334">
        <f>Calc!H16</f>
        <v/>
      </c>
      <c r="I1334">
        <f>IF(Skills!T16&lt;&gt;"",1+(Skills!T16/10)*(Z1321/1000)/100,1)</f>
        <v/>
      </c>
      <c r="J1334" t="inlineStr"/>
      <c r="K1334" t="inlineStr"/>
      <c r="L1334" t="inlineStr"/>
      <c r="M1334" t="inlineStr"/>
      <c r="N1334" t="inlineStr"/>
      <c r="O1334">
        <f>(1-Summary!$B$11)*S1334+Summary!$B$11*U1334</f>
        <v/>
      </c>
      <c r="P1334">
        <f>IF(B1354=0,0,O1334/B1354)</f>
        <v/>
      </c>
      <c r="Q1334">
        <f>IFERROR(1/IF(Inputs!$B$38="pvp",15,MAX(0.1,Skills!D16-IF(Skills!E16=TRUE,Inputs!$B$32,0))),0)</f>
        <v/>
      </c>
      <c r="R1334">
        <f>IF(AND(Inputs!$B$38&lt;&gt;"pvp",Inputs!$B$43&gt;0),IF(Inputs!$B$43&lt;=0,0,(INT(Inputs!$B$43/IF(Inputs!$B$38="pvp",15,MAX(0.1,Skills!D16-IF(Skills!E16=TRUE,Inputs!$B$32,0))))+1)),0)</f>
        <v/>
      </c>
      <c r="S1334" t="n">
        <v>0</v>
      </c>
      <c r="U1334" t="n">
        <v>0</v>
      </c>
    </row>
    <row r="1335">
      <c r="A1335">
        <f>Skills!A17</f>
        <v/>
      </c>
      <c r="B1335">
        <f>Skills!B17</f>
        <v/>
      </c>
      <c r="C1335">
        <f>Inputs!$B$3&gt;=33</f>
        <v/>
      </c>
      <c r="D1335">
        <f>IF(Skills!C17=1,60+Inputs!$B$25+Inputs!$B$29,IF(Skills!C17=2,90+Inputs!$B$26+Inputs!$B$29,IF(Skills!C17=3,120+Inputs!$B$27+Inputs!$B$29,MAX(0,(Inputs!$B$3-100)*3)+Inputs!$B$28+Inputs!$B$29)))</f>
        <v/>
      </c>
      <c r="E1335">
        <f>INDEX(FactorTable!$B$2:$Y$301, MATCH(ROUND(MIN(300,MAX(1,D1335)),0), FactorTable!$A$2:$A$301,0), Skills!L17+1)</f>
        <v/>
      </c>
      <c r="F1335">
        <f>IF(Skills!M17=TRUE,(Skills!K17/10)*(E1335/1000),Skills!K17/10)+Skills!N17</f>
        <v/>
      </c>
      <c r="G1335">
        <f>Calc!G17</f>
        <v/>
      </c>
      <c r="H1335">
        <f>Calc!H17</f>
        <v/>
      </c>
      <c r="I1335">
        <f>IF(Skills!T17&lt;&gt;"",1+(Skills!T17/10)*(Z1321/1000)/100,1)</f>
        <v/>
      </c>
      <c r="J1335" t="inlineStr"/>
      <c r="K1335" t="inlineStr"/>
      <c r="L1335" t="inlineStr"/>
      <c r="M1335" t="inlineStr"/>
      <c r="N1335" t="inlineStr"/>
      <c r="O1335">
        <f>(1-Summary!$B$11)*S1335+Summary!$B$11*U1335</f>
        <v/>
      </c>
      <c r="P1335">
        <f>IF(B1354=0,0,O1335/B1354)</f>
        <v/>
      </c>
      <c r="Q1335">
        <f>IFERROR(1/IF(Inputs!$B$38="pvp",15,MAX(0.1,Skills!D17-IF(Skills!E17=TRUE,Inputs!$B$32,0))),0)</f>
        <v/>
      </c>
      <c r="R1335" t="n">
        <v>0</v>
      </c>
      <c r="S1335" t="n">
        <v>0</v>
      </c>
      <c r="U1335" t="n">
        <v>0</v>
      </c>
    </row>
    <row r="1336">
      <c r="A1336">
        <f>Skills!A18</f>
        <v/>
      </c>
      <c r="B1336">
        <f>Skills!B18</f>
        <v/>
      </c>
      <c r="C1336">
        <f>Inputs!$B$3&gt;=43</f>
        <v/>
      </c>
      <c r="D1336">
        <f>IF(Skills!C18=1,60+Inputs!$B$25+Inputs!$B$29,IF(Skills!C18=2,90+Inputs!$B$26+Inputs!$B$29,IF(Skills!C18=3,120+Inputs!$B$27+Inputs!$B$29,MAX(0,(Inputs!$B$3-100)*3)+Inputs!$B$28+Inputs!$B$29)))</f>
        <v/>
      </c>
      <c r="E1336">
        <f>INDEX(FactorTable!$B$2:$Y$301, MATCH(ROUND(MIN(300,MAX(1,D1336)),0), FactorTable!$A$2:$A$301,0), Skills!L18+1)</f>
        <v/>
      </c>
      <c r="F1336">
        <f>IF(Skills!M18=TRUE,(Skills!K18/10)*(E1336/1000),Skills!K18/10)+Skills!N18</f>
        <v/>
      </c>
      <c r="G1336">
        <f>Calc!G18</f>
        <v/>
      </c>
      <c r="H1336">
        <f>Calc!H18</f>
        <v/>
      </c>
      <c r="I1336">
        <f>IF(Skills!T18&lt;&gt;"",1+(Skills!T18/10)*(Z1321/1000)/100,1)</f>
        <v/>
      </c>
      <c r="J1336" t="inlineStr"/>
      <c r="K1336" t="inlineStr"/>
      <c r="L1336" t="inlineStr"/>
      <c r="M1336" t="inlineStr"/>
      <c r="N1336" t="inlineStr"/>
      <c r="O1336">
        <f>(1-Summary!$B$11)*S1336+Summary!$B$11*U1336</f>
        <v/>
      </c>
      <c r="P1336">
        <f>IF(B1354=0,0,O1336/B1354)</f>
        <v/>
      </c>
      <c r="Q1336">
        <f>IFERROR(1/IF(Inputs!$B$38="pvp",15,MAX(0.1,Skills!D18-IF(Skills!E18=TRUE,Inputs!$B$32,0))),0)</f>
        <v/>
      </c>
      <c r="R1336" t="n">
        <v>0</v>
      </c>
      <c r="S1336" t="n">
        <v>0</v>
      </c>
      <c r="U1336" t="n">
        <v>0</v>
      </c>
    </row>
    <row r="1337">
      <c r="A1337">
        <f>Skills!A19</f>
        <v/>
      </c>
      <c r="B1337">
        <f>Skills!B19</f>
        <v/>
      </c>
      <c r="C1337">
        <f>Inputs!$B$3&gt;=50</f>
        <v/>
      </c>
      <c r="D1337">
        <f>IF(Skills!C19=1,60+Inputs!$B$25+Inputs!$B$29,IF(Skills!C19=2,90+Inputs!$B$26+Inputs!$B$29,IF(Skills!C19=3,120+Inputs!$B$27+Inputs!$B$29,MAX(0,(Inputs!$B$3-100)*3)+Inputs!$B$28+Inputs!$B$29)))</f>
        <v/>
      </c>
      <c r="E1337">
        <f>INDEX(FactorTable!$B$2:$Y$301, MATCH(ROUND(MIN(300,MAX(1,D1337)),0), FactorTable!$A$2:$A$301,0), Skills!L19+1)</f>
        <v/>
      </c>
      <c r="F1337">
        <f>IF(Skills!M19=TRUE,(Skills!K19/10)*(E1337/1000),Skills!K19/10)+Skills!N19</f>
        <v/>
      </c>
      <c r="G1337">
        <f>Calc!G19</f>
        <v/>
      </c>
      <c r="H1337">
        <f>Calc!H19</f>
        <v/>
      </c>
      <c r="I1337">
        <f>IF(Skills!T19&lt;&gt;"",1+(Skills!T19/10)*(Z1321/1000)/100,1)</f>
        <v/>
      </c>
      <c r="J1337" t="inlineStr"/>
      <c r="K1337" t="inlineStr"/>
      <c r="L1337" t="inlineStr"/>
      <c r="M1337" t="inlineStr"/>
      <c r="N1337" t="inlineStr"/>
      <c r="O1337">
        <f>(1-Summary!$B$11)*S1337+Summary!$B$11*U1337</f>
        <v/>
      </c>
      <c r="P1337">
        <f>IF(B1354=0,0,O1337/B1354)</f>
        <v/>
      </c>
      <c r="Q1337">
        <f>IFERROR(1/IF(Inputs!$B$38="pvp",15,MAX(0.1,Skills!D19-IF(Skills!E19=TRUE,Inputs!$B$32,0))),0)</f>
        <v/>
      </c>
      <c r="R1337" t="n">
        <v>0</v>
      </c>
      <c r="S1337" t="n">
        <v>0</v>
      </c>
      <c r="U1337" t="n">
        <v>0</v>
      </c>
    </row>
    <row r="1338">
      <c r="A1338">
        <f>Skills!A20</f>
        <v/>
      </c>
      <c r="B1338">
        <f>Skills!B20</f>
        <v/>
      </c>
      <c r="C1338">
        <f>Inputs!$B$3&gt;=74</f>
        <v/>
      </c>
      <c r="D1338">
        <f>IF(Skills!C20=1,60+Inputs!$B$25+Inputs!$B$29,IF(Skills!C20=2,90+Inputs!$B$26+Inputs!$B$29,IF(Skills!C20=3,120+Inputs!$B$27+Inputs!$B$29,MAX(0,(Inputs!$B$3-100)*3)+Inputs!$B$28+Inputs!$B$29)))</f>
        <v/>
      </c>
      <c r="E1338">
        <f>INDEX(FactorTable!$B$2:$Y$301, MATCH(ROUND(MIN(300,MAX(1,D1338)),0), FactorTable!$A$2:$A$301,0), Skills!L20+1)</f>
        <v/>
      </c>
      <c r="F1338">
        <f>IF(Skills!M20=TRUE,(Skills!K20/10)*(E1338/1000),Skills!K20/10)+Skills!N20</f>
        <v/>
      </c>
      <c r="G1338">
        <f>Calc!G20</f>
        <v/>
      </c>
      <c r="H1338">
        <f>Calc!H20</f>
        <v/>
      </c>
      <c r="I1338">
        <f>IF(Skills!T20&lt;&gt;"",1+(Skills!T20/10)*(Z1321/1000)/100,1)</f>
        <v/>
      </c>
      <c r="J1338" t="inlineStr"/>
      <c r="K1338" t="inlineStr"/>
      <c r="L1338" t="inlineStr"/>
      <c r="M1338" t="inlineStr"/>
      <c r="N1338" t="inlineStr"/>
      <c r="O1338">
        <f>(1-Summary!$B$11)*S1338+Summary!$B$11*U1338</f>
        <v/>
      </c>
      <c r="P1338">
        <f>IF(B1354=0,0,O1338/B1354)</f>
        <v/>
      </c>
      <c r="Q1338">
        <f>IFERROR(1/IF(Inputs!$B$38="pvp",15,MAX(0.1,Skills!D20-IF(Skills!E20=TRUE,Inputs!$B$32,0))),0)</f>
        <v/>
      </c>
      <c r="R1338" t="n">
        <v>0</v>
      </c>
      <c r="S1338" t="n">
        <v>0</v>
      </c>
      <c r="U1338" t="n">
        <v>0</v>
      </c>
    </row>
    <row r="1339">
      <c r="A1339">
        <f>Skills!A21</f>
        <v/>
      </c>
      <c r="B1339">
        <f>Skills!B21</f>
        <v/>
      </c>
      <c r="C1339">
        <f>Inputs!$B$3&gt;=74</f>
        <v/>
      </c>
      <c r="D1339">
        <f>IF(Skills!C21=1,60+Inputs!$B$25+Inputs!$B$29,IF(Skills!C21=2,90+Inputs!$B$26+Inputs!$B$29,IF(Skills!C21=3,120+Inputs!$B$27+Inputs!$B$29,MAX(0,(Inputs!$B$3-100)*3)+Inputs!$B$28+Inputs!$B$29)))</f>
        <v/>
      </c>
      <c r="E1339">
        <f>INDEX(FactorTable!$B$2:$Y$301, MATCH(ROUND(MIN(300,MAX(1,D1339)),0), FactorTable!$A$2:$A$301,0), Skills!L21+1)</f>
        <v/>
      </c>
      <c r="F1339">
        <f>IF(Skills!M21=TRUE,(Skills!K21/10)*(E1339/1000),Skills!K21/10)+Skills!N21</f>
        <v/>
      </c>
      <c r="G1339">
        <f>Calc!G21</f>
        <v/>
      </c>
      <c r="H1339">
        <f>Calc!H21</f>
        <v/>
      </c>
      <c r="I1339">
        <f>IF(Skills!T21&lt;&gt;"",1+(Skills!T21/10)*(Z1321/1000)/100,1)</f>
        <v/>
      </c>
      <c r="J1339" t="inlineStr"/>
      <c r="K1339" t="inlineStr"/>
      <c r="L1339" t="inlineStr"/>
      <c r="M1339" t="inlineStr"/>
      <c r="N1339" t="inlineStr"/>
      <c r="O1339">
        <f>(1-Summary!$B$11)*S1339+Summary!$B$11*U1339</f>
        <v/>
      </c>
      <c r="P1339">
        <f>IF(B1354=0,0,O1339/B1354)</f>
        <v/>
      </c>
      <c r="Q1339">
        <f>IFERROR(1/IF(Inputs!$B$38="pvp",15,MAX(0.1,Skills!D21-IF(Skills!E21=TRUE,Inputs!$B$32,0))),0)</f>
        <v/>
      </c>
      <c r="R1339" t="n">
        <v>0</v>
      </c>
      <c r="S1339" t="n">
        <v>0</v>
      </c>
      <c r="U1339" t="n">
        <v>0</v>
      </c>
    </row>
    <row r="1340">
      <c r="A1340">
        <f>Skills!A22</f>
        <v/>
      </c>
      <c r="B1340">
        <f>Skills!B22</f>
        <v/>
      </c>
      <c r="C1340">
        <f>Inputs!$B$3&gt;=117</f>
        <v/>
      </c>
      <c r="D1340">
        <f>IF(Skills!C22=1,60+Inputs!$B$25+Inputs!$B$29,IF(Skills!C22=2,90+Inputs!$B$26+Inputs!$B$29,IF(Skills!C22=3,120+Inputs!$B$27+Inputs!$B$29,MAX(0,(Inputs!$B$3-100)*3)+Inputs!$B$28+Inputs!$B$29)))</f>
        <v/>
      </c>
      <c r="E1340">
        <f>INDEX(FactorTable!$B$2:$Y$301, MATCH(ROUND(MIN(300,MAX(1,D1340)),0), FactorTable!$A$2:$A$301,0), Skills!L22+1)</f>
        <v/>
      </c>
      <c r="F1340">
        <f>IF(Skills!M22=TRUE,(Skills!K22/10)*(E1340/1000),Skills!K22/10)+Skills!N22</f>
        <v/>
      </c>
      <c r="G1340">
        <f>Calc!G22</f>
        <v/>
      </c>
      <c r="H1340">
        <f>Calc!H22</f>
        <v/>
      </c>
      <c r="I1340">
        <f>IF(Skills!T22&lt;&gt;"",1+(Skills!T22/10)*(Z1321/1000)/100,1)</f>
        <v/>
      </c>
      <c r="J1340" t="inlineStr"/>
      <c r="K1340" t="inlineStr"/>
      <c r="L1340" t="inlineStr"/>
      <c r="M1340" t="inlineStr"/>
      <c r="N1340" t="inlineStr"/>
      <c r="O1340">
        <f>(1-Summary!$B$11)*S1340+Summary!$B$11*U1340</f>
        <v/>
      </c>
      <c r="P1340">
        <f>IF(B1354=0,0,O1340/B1354)</f>
        <v/>
      </c>
      <c r="Q1340">
        <f>IFERROR(1/IF(Inputs!$B$38="pvp",15,MAX(0.1,Skills!D22-IF(Skills!E22=TRUE,Inputs!$B$32,0))),0)</f>
        <v/>
      </c>
      <c r="R1340" t="n">
        <v>0</v>
      </c>
      <c r="S1340" t="n">
        <v>0</v>
      </c>
      <c r="U1340" t="n">
        <v>0</v>
      </c>
    </row>
    <row r="1341">
      <c r="A1341">
        <f>Skills!A23</f>
        <v/>
      </c>
      <c r="B1341">
        <f>Skills!B23</f>
        <v/>
      </c>
      <c r="C1341">
        <f>Inputs!$B$3&gt;=120</f>
        <v/>
      </c>
      <c r="D1341">
        <f>IF(Skills!C23=1,60+Inputs!$B$25+Inputs!$B$29,IF(Skills!C23=2,90+Inputs!$B$26+Inputs!$B$29,IF(Skills!C23=3,120+Inputs!$B$27+Inputs!$B$29,MAX(0,(Inputs!$B$3-100)*3)+Inputs!$B$28+Inputs!$B$29)))</f>
        <v/>
      </c>
      <c r="E1341">
        <f>INDEX(FactorTable!$B$2:$Y$301, MATCH(ROUND(MIN(300,MAX(1,D1341)),0), FactorTable!$A$2:$A$301,0), Skills!L23+1)</f>
        <v/>
      </c>
      <c r="F1341">
        <f>IF(Skills!M23=TRUE,(Skills!K23/10)*(E1341/1000),Skills!K23/10)+Skills!N23</f>
        <v/>
      </c>
      <c r="G1341">
        <f>Calc!G23</f>
        <v/>
      </c>
      <c r="H1341">
        <f>Calc!H23</f>
        <v/>
      </c>
      <c r="I1341">
        <f>IF(Skills!T23&lt;&gt;"",1+(Skills!T23/10)*(Z1321/1000)/100,1)</f>
        <v/>
      </c>
      <c r="J1341" t="inlineStr"/>
      <c r="K1341" t="inlineStr"/>
      <c r="L1341" t="inlineStr"/>
      <c r="M1341" t="inlineStr"/>
      <c r="N1341" t="inlineStr"/>
      <c r="O1341">
        <f>(1-Summary!$B$11)*S1341+Summary!$B$11*U1341</f>
        <v/>
      </c>
      <c r="P1341">
        <f>IF(B1354=0,0,O1341/B1354)</f>
        <v/>
      </c>
      <c r="Q1341">
        <f>IFERROR(1/IF(Inputs!$B$38="pvp",15,MAX(0.1,Skills!D23-IF(Skills!E23=TRUE,Inputs!$B$32,0))),0)</f>
        <v/>
      </c>
      <c r="R1341" t="n">
        <v>0</v>
      </c>
      <c r="S1341" t="n">
        <v>0</v>
      </c>
      <c r="U1341" t="n">
        <v>0</v>
      </c>
    </row>
    <row r="1344">
      <c r="A1344" t="inlineStr">
        <is>
          <t>Average Buff Multiplier (Magic Guard + Meditation + Artifact Attack%, summed; then Infinity)</t>
        </is>
      </c>
      <c r="B1344">
        <f>(1+(IF(C1321=TRUE,F1321*IF(AND(Inputs!$B$38&lt;&gt;"pvp",Inputs!$B$43&gt;0),(((R1321-1)*(Skills!S3*(1+(Inputs!$B$34+IF(Inputs!$B$3&gt;=117,F1340,0))/100))+MIN((Skills!S3*(1+(Inputs!$B$34+IF(Inputs!$B$3&gt;=117,F1340,0))/100)),MAX(0,Inputs!$B$43-((R1321-1)*Skills!D3))))/Inputs!$B$43),IF(Inputs!$B$38="pvp",MIN((Skills!S3*(1+(Inputs!$B$34+IF(Inputs!$B$3&gt;=117,F1340,0))/100)),15)/15,(Skills!S3*(1+(Inputs!$B$34+IF(Inputs!$B$3&gt;=117,F1340,0))/100))/Skills!D3)),0)+IF(C1322=TRUE,F1322*IF(AND(Inputs!$B$38&lt;&gt;"pvp",Inputs!$B$43&gt;0),(((R1322-1)*(Skills!S4*(1+(Inputs!$B$34+IF(Inputs!$B$3&gt;=117,F1340,0))/100))+MIN((Skills!S4*(1+(Inputs!$B$34+IF(Inputs!$B$3&gt;=117,F1340,0))/100)),MAX(0,Inputs!$B$43-((R1322-1)*Skills!D4))))/Inputs!$B$43),IF(Inputs!$B$38="pvp",MIN((Skills!S4*(1+(Inputs!$B$34+IF(Inputs!$B$3&gt;=117,F1340,0))/100)),15)/15,(Skills!S4*(1+(Inputs!$B$34+IF(Inputs!$B$3&gt;=117,F1340,0)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1334=TRUE,(1+F1334*IF(AND(Inputs!$B$38&lt;&gt;"pvp",Inputs!$B$43&gt;0),(((R1334-1)*(Skills!S16*(1+(Inputs!$B$34+IF(Inputs!$B$3&gt;=117,F1340,0))/100))+MIN((Skills!S16*(1+(Inputs!$B$34+IF(Inputs!$B$3&gt;=117,F1340,0))/100)),MAX(0,Inputs!$B$43-((R1334-1)*Skills!D16))))/Inputs!$B$43),IF(Inputs!$B$38="pvp",MIN((Skills!S16*(1+(Inputs!$B$34+IF(Inputs!$B$3&gt;=117,F1340,0))/100)),15)/15,(Skills!S16*(1+(Inputs!$B$34+IF(Inputs!$B$3&gt;=117,F1340,0))/100))/Skills!D16))/100),1)</f>
        <v/>
      </c>
    </row>
    <row r="1345">
      <c r="A1345" t="inlineStr">
        <is>
          <t>Monster Damage Taken Bonus % (Freezing Breath - Weaken + Elemental Reset + Artifact Enemy Damage Taken, summed)</t>
        </is>
      </c>
      <c r="B1345">
        <f>IF(Inputs!$B$3&gt;=118,15*IF(Inputs!$B$38="pvp",MIN((30*(1+(Inputs!$B$34+IF(Inputs!$B$3&gt;=117,F1340,0))/100)),15)/15,(30*(1+(Inputs!$B$34+IF(Inputs!$B$3&gt;=117,F1340,0))/100))/Skills!D8),0)+IF(C1332=TRUE,F1332,0)+(IF(AND(ArtifactsInput!$M$35,Inputs!$B$4&lt;&gt;"Chapter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f>
        <v/>
      </c>
    </row>
    <row r="1346">
      <c r="A1346" t="inlineStr">
        <is>
          <t>Damage % Bonus (Frozen Break + Frost Clutch, flat)</t>
        </is>
      </c>
      <c r="B1346">
        <f>IF(Inputs!$B$3&gt;=66,15,0)+IF(Inputs!$B$3&gt;=98,10,0)+IF(Inputs!$B$3&gt;=125,20,0)</f>
        <v/>
      </c>
    </row>
    <row r="1347">
      <c r="A1347" t="inlineStr">
        <is>
          <t>Attack Speed Bonus % (MP Eater - MP Boost, always-on once unlocked)</t>
        </is>
      </c>
      <c r="B1347">
        <f>IF(C1331=TRUE,F1331+(F1335-Calc!F17),0)</f>
        <v/>
      </c>
    </row>
    <row r="1348">
      <c r="A1348" t="inlineStr">
        <is>
          <t>Actions Per Second</t>
        </is>
      </c>
      <c r="B1348">
        <f>1+MIN(150,150*(1-(1-(Inputs!$B$11+(ArtifactsInput!$M$15-ArtifactsInput!$M$15)*CHOOSE(ArtifactsInput!$N$15+1,8,9.6,11.2,12.8,14.4,16))/150)*(1-B1347/150)))/100</f>
        <v/>
      </c>
    </row>
    <row r="1349">
      <c r="A1349" t="inlineStr">
        <is>
          <t>Skill + Buff Cast Rate</t>
        </is>
      </c>
      <c r="B1349">
        <f>IF(AND(Inputs!$B$38&lt;&gt;"pvp",Inputs!$B$43&gt;0),SUMPRODUCT((Skills!E2:E23=TRUE)*(C1320:C1341=TRUE)*R1320:R1341)/Inputs!$B$43,SUMPRODUCT((Skills!E2:E23=TRUE)*(C1320:C1341=TRUE)*Q1320:Q1341))</f>
        <v/>
      </c>
    </row>
    <row r="1350">
      <c r="A1350" t="inlineStr">
        <is>
          <t>Chain Lightning Casts Per Second</t>
        </is>
      </c>
      <c r="B1350">
        <f>MAX(0,B1348-B1349)</f>
        <v/>
      </c>
    </row>
    <row r="1351">
      <c r="A1351" t="inlineStr">
        <is>
          <t>Buff-Casting Startup Delay (s, fixed-duration only)</t>
        </is>
      </c>
      <c r="B1351">
        <f>IF(AND(Inputs!$B$38&lt;&gt;"pvp",Inputs!$B$43&gt;0),SUMPRODUCT((Skills!S2:S23&gt;0)*(Skills!E2:E23=TRUE)*(C1320:C1341=TRUE))/B1348,0)</f>
        <v/>
      </c>
    </row>
    <row r="1352">
      <c r="A1352" t="inlineStr">
        <is>
          <t>Boss-Only Total DPS (this block's swept value)</t>
        </is>
      </c>
      <c r="B1352">
        <f>SUM(S1320:S1341)</f>
        <v/>
      </c>
    </row>
    <row r="1353">
      <c r="A1353" t="inlineStr">
        <is>
          <t>Normal-Only Total DPS (this block's swept value)</t>
        </is>
      </c>
      <c r="B1353">
        <f>SUM(U1320:U1341)</f>
        <v/>
      </c>
    </row>
    <row r="1354">
      <c r="A1354" s="6" t="inlineStr">
        <is>
          <t>TOTAL DPS</t>
        </is>
      </c>
      <c r="B1354" s="6">
        <f>SUM(O1320:O1341)</f>
        <v/>
      </c>
    </row>
    <row r="1357">
      <c r="A1357" s="6" t="inlineStr">
        <is>
          <t>Stat: Clear Spring Water (Equip)</t>
        </is>
      </c>
    </row>
    <row r="1358">
      <c r="A1358" s="5" t="inlineStr">
        <is>
          <t>Key</t>
        </is>
      </c>
      <c r="B1358" s="5" t="inlineStr">
        <is>
          <t>Name</t>
        </is>
      </c>
      <c r="C1358" s="5" t="inlineStr">
        <is>
          <t>Unlocked</t>
        </is>
      </c>
      <c r="D1358" s="5" t="inlineStr">
        <is>
          <t>InputLevel</t>
        </is>
      </c>
      <c r="E1358" s="5" t="inlineStr">
        <is>
          <t>Factor</t>
        </is>
      </c>
      <c r="F1358" s="5" t="inlineStr">
        <is>
          <t>CoefficientPercent</t>
        </is>
      </c>
      <c r="G1358" s="5" t="inlineStr">
        <is>
          <t>EffectiveHits</t>
        </is>
      </c>
      <c r="H1358" s="5" t="inlineStr">
        <is>
          <t>ProcProbability</t>
        </is>
      </c>
      <c r="I1358" s="5" t="inlineStr">
        <is>
          <t>MapleHeroMultiplier</t>
        </is>
      </c>
      <c r="J1358" s="5" t="inlineStr">
        <is>
          <t>BaseDamage</t>
        </is>
      </c>
      <c r="K1358" s="5" t="inlineStr">
        <is>
          <t>BaseHitDamage</t>
        </is>
      </c>
      <c r="L1358" s="5" t="inlineStr">
        <is>
          <t>NonCritAvg</t>
        </is>
      </c>
      <c r="M1358" s="5" t="inlineStr">
        <is>
          <t>CritAvg</t>
        </is>
      </c>
      <c r="N1358" s="5" t="inlineStr">
        <is>
          <t>ExpectedDamage(perHit)</t>
        </is>
      </c>
      <c r="O1358" s="5" t="inlineStr">
        <is>
          <t>DPS</t>
        </is>
      </c>
      <c r="P1358" s="5" t="inlineStr">
        <is>
          <t>% of Total</t>
        </is>
      </c>
      <c r="R1358" t="inlineStr">
        <is>
          <t>helpers</t>
        </is>
      </c>
    </row>
    <row r="1359">
      <c r="A1359">
        <f>Skills!A2</f>
        <v/>
      </c>
      <c r="B1359">
        <f>Skills!B2</f>
        <v/>
      </c>
      <c r="C1359">
        <f>Inputs!$B$3&gt;=100</f>
        <v/>
      </c>
      <c r="D1359" t="inlineStr"/>
      <c r="E1359" t="inlineStr"/>
      <c r="F1359">
        <f>T1361+Skills!N2</f>
        <v/>
      </c>
      <c r="G1359">
        <f>Calc!G2</f>
        <v/>
      </c>
      <c r="H1359">
        <f>Calc!H2</f>
        <v/>
      </c>
      <c r="I1359">
        <f>IF(Skills!T2&lt;&gt;"",1+(Skills!T2/10)*(Z1360/1000)/100,1)</f>
        <v/>
      </c>
      <c r="J1359">
        <f>((Inputs!$B$6*(1+Inputs!$B$7/100))+(((Inputs!$B$12*(1+Inputs!$B$13/100))-(Inputs!$B$12*(1+Inputs!$B$13/100)))+0.25*(Inputs!$B$14-Inputs!$B$14))*(1+Inputs!$B$7/100))*(F1359/100)</f>
        <v/>
      </c>
      <c r="K1359">
        <f>J1359*(1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1375-Calc!F18),(Inputs!$B$23+(IF(ArtifactsInput!$M$15,CHOOSE(ArtifactsInput!$N$15+1,25,30,35,40,45,50)/100*(Inputs!$B$11-Inputs!$B$11),0))))/100+(Inputs!$B$23+(IF(ArtifactsInput!$M$15,CHOOSE(ArtifactsInput!$N$15+1,25,30,35,40,45,50)/100*(Inputs!$B$11-Inputs!$B$11),0)))/100)/2</f>
        <v/>
      </c>
      <c r="M1359">
        <f>L1359*(1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(1-Summary!$B$11)*S1359+Summary!$B$11*U1359</f>
        <v/>
      </c>
      <c r="P1359">
        <f>IF(B1393=0,0,O1359/B1393)</f>
        <v/>
      </c>
      <c r="Q1359">
        <f>IFERROR(1/IF(Inputs!$B$38="pvp",15,MAX(0.1,Skills!D2-IF(Skills!E2=TRUE,Inputs!$B$32,0))),0)</f>
        <v/>
      </c>
      <c r="R1359" t="n">
        <v>0</v>
      </c>
      <c r="S1359">
        <f>IF(C1359,(Skills!F2*N1359*B1389)*IF(Inputs!$B$38="pvp",1,1+(Inputs!$B$20+Skills!O2+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9">
        <f>MAX(0,(Inputs!$B$3-100)*3)+Inputs!$B$28+Inputs!$B$29</f>
        <v/>
      </c>
      <c r="U1359">
        <f>IF(C1359,(Skills!F2*N1359*B1389)*IF(Inputs!$B$38="pvp",1,(1+(Inputs!$B$21+Skills!P2+B1384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59">
        <f>MAX(0,(Inputs!$B$3-100)*3)+Inputs!$B$28+Inputs!$B$29</f>
        <v/>
      </c>
    </row>
    <row r="1360">
      <c r="A1360">
        <f>Skills!A3</f>
        <v/>
      </c>
      <c r="B1360">
        <f>Skills!B3</f>
        <v/>
      </c>
      <c r="C1360">
        <f>Inputs!$B$3&gt;=15</f>
        <v/>
      </c>
      <c r="D1360">
        <f>IF(Skills!C3=1,60+Inputs!$B$25+Inputs!$B$29,IF(Skills!C3=2,90+Inputs!$B$26+Inputs!$B$29,IF(Skills!C3=3,120+Inputs!$B$27+Inputs!$B$29,MAX(0,(Inputs!$B$3-100)*3)+Inputs!$B$28+Inputs!$B$29)))</f>
        <v/>
      </c>
      <c r="E1360">
        <f>INDEX(FactorTable!$B$2:$Y$301, MATCH(ROUND(MIN(300,MAX(1,D1360)),0), FactorTable!$A$2:$A$301,0), Skills!L3+1)</f>
        <v/>
      </c>
      <c r="F1360">
        <f>IF(Skills!M3=TRUE,(Skills!K3/10)*(E1360/1000),Skills!K3/10)+Skills!N3</f>
        <v/>
      </c>
      <c r="G1360">
        <f>Calc!G3</f>
        <v/>
      </c>
      <c r="H1360">
        <f>Calc!H3</f>
        <v/>
      </c>
      <c r="I1360">
        <f>IF(Skills!T3&lt;&gt;"",1+(Skills!T3/10)*(Z1360/1000)/100,1)</f>
        <v/>
      </c>
      <c r="J1360" t="inlineStr"/>
      <c r="K1360" t="inlineStr"/>
      <c r="L1360" t="inlineStr"/>
      <c r="M1360" t="inlineStr"/>
      <c r="N1360" t="inlineStr"/>
      <c r="O1360">
        <f>(1-Summary!$B$11)*S1360+Summary!$B$11*U1360</f>
        <v/>
      </c>
      <c r="P1360">
        <f>IF(B1393=0,0,O1360/B1393)</f>
        <v/>
      </c>
      <c r="Q1360">
        <f>IFERROR(1/IF(Inputs!$B$38="pvp",15,MAX(0.1,Skills!D3-IF(Skills!E3=TRUE,Inputs!$B$32,0))),0)</f>
        <v/>
      </c>
      <c r="R1360">
        <f>IF(AND(Inputs!$B$38&lt;&gt;"pvp",Inputs!$B$43&gt;0),IF(Inputs!$B$43&lt;=0,0,(INT(Inputs!$B$43/IF(Inputs!$B$38="pvp",15,MAX(0.1,Skills!D3-IF(Skills!E3=TRUE,Inputs!$B$32,0))))+1)),0)</f>
        <v/>
      </c>
      <c r="S1360" t="n">
        <v>0</v>
      </c>
      <c r="T1360">
        <f>INDEX(FactorTable!$B$2:$Y$301, MATCH(ROUND(MIN(300,MAX(1,T1359)),0), FactorTable!$A$2:$A$301,0), 22)</f>
        <v/>
      </c>
      <c r="U1360" t="n">
        <v>0</v>
      </c>
      <c r="Z1360">
        <f>INDEX(FactorTable!$B$2:$Y$301, MATCH(ROUND(MIN(300,MAX(1,Z1359)),0), FactorTable!$A$2:$A$301,0), 24)</f>
        <v/>
      </c>
    </row>
    <row r="1361">
      <c r="A1361">
        <f>Skills!A4</f>
        <v/>
      </c>
      <c r="B1361">
        <f>Skills!B4</f>
        <v/>
      </c>
      <c r="C1361">
        <f>Inputs!$B$3&gt;=40</f>
        <v/>
      </c>
      <c r="D1361">
        <f>IF(Skills!C4=1,60+Inputs!$B$25+Inputs!$B$29,IF(Skills!C4=2,90+Inputs!$B$26+Inputs!$B$29,IF(Skills!C4=3,120+Inputs!$B$27+Inputs!$B$29,MAX(0,(Inputs!$B$3-100)*3)+Inputs!$B$28+Inputs!$B$29)))</f>
        <v/>
      </c>
      <c r="E1361">
        <f>INDEX(FactorTable!$B$2:$Y$301, MATCH(ROUND(MIN(300,MAX(1,D1361)),0), FactorTable!$A$2:$A$301,0), Skills!L4+1)</f>
        <v/>
      </c>
      <c r="F1361">
        <f>IF(Skills!M4=TRUE,(Skills!K4/10)*(E1361/1000),Skills!K4/10)+Skills!N4</f>
        <v/>
      </c>
      <c r="G1361">
        <f>Calc!G4</f>
        <v/>
      </c>
      <c r="H1361">
        <f>Calc!H4</f>
        <v/>
      </c>
      <c r="I1361">
        <f>IF(Skills!T4&lt;&gt;"",1+(Skills!T4/10)*(Z1360/1000)/100,1)</f>
        <v/>
      </c>
      <c r="J1361" t="inlineStr"/>
      <c r="K1361" t="inlineStr"/>
      <c r="L1361" t="inlineStr"/>
      <c r="M1361" t="inlineStr"/>
      <c r="N1361" t="inlineStr"/>
      <c r="O1361">
        <f>(1-Summary!$B$11)*S1361+Summary!$B$11*U1361</f>
        <v/>
      </c>
      <c r="P1361">
        <f>IF(B1393=0,0,O1361/B1393)</f>
        <v/>
      </c>
      <c r="Q1361">
        <f>IFERROR(1/IF(Inputs!$B$38="pvp",15,MAX(0.1,Skills!D4-IF(Skills!E4=TRUE,Inputs!$B$32,0))),0)</f>
        <v/>
      </c>
      <c r="R1361">
        <f>IF(AND(Inputs!$B$38&lt;&gt;"pvp",Inputs!$B$43&gt;0),IF(Inputs!$B$43&lt;=0,0,(INT(Inputs!$B$43/IF(Inputs!$B$38="pvp",15,MAX(0.1,Skills!D4-IF(Skills!E4=TRUE,Inputs!$B$32,0))))+1)),0)</f>
        <v/>
      </c>
      <c r="S1361" t="n">
        <v>0</v>
      </c>
      <c r="T1361">
        <f>290*T1360/1000</f>
        <v/>
      </c>
      <c r="U1361" t="n">
        <v>0</v>
      </c>
    </row>
    <row r="1362">
      <c r="A1362">
        <f>Skills!A5</f>
        <v/>
      </c>
      <c r="B1362">
        <f>Skills!B5</f>
        <v/>
      </c>
      <c r="C1362">
        <f>Inputs!$B$3&gt;=38</f>
        <v/>
      </c>
      <c r="D1362">
        <f>IF(Skills!C5=1,60+Inputs!$B$25+Inputs!$B$29,IF(Skills!C5=2,90+Inputs!$B$26+Inputs!$B$29,IF(Skills!C5=3,120+Inputs!$B$27+Inputs!$B$29,MAX(0,(Inputs!$B$3-100)*3)+Inputs!$B$28+Inputs!$B$29)))</f>
        <v/>
      </c>
      <c r="E1362">
        <f>INDEX(FactorTable!$B$2:$Y$301, MATCH(ROUND(MIN(300,MAX(1,D1362)),0), FactorTable!$A$2:$A$301,0), Skills!L5+1)</f>
        <v/>
      </c>
      <c r="F1362">
        <f>IF(Skills!M5=TRUE,(Skills!K5/10)*(E1362/1000),Skills!K5/10)+Skills!N5</f>
        <v/>
      </c>
      <c r="G1362">
        <f>Calc!G5</f>
        <v/>
      </c>
      <c r="H1362">
        <f>Calc!H5</f>
        <v/>
      </c>
      <c r="I1362">
        <f>IF(Skills!T5&lt;&gt;"",1+(Skills!T5/10)*(Z1360/1000)/100,1)</f>
        <v/>
      </c>
      <c r="J1362">
        <f>((Inputs!$B$6*(1+Inputs!$B$7/100))+(((Inputs!$B$12*(1+Inputs!$B$13/100))-(Inputs!$B$12*(1+Inputs!$B$13/100)))+0.25*(Inputs!$B$14-Inputs!$B$14))*(1+Inputs!$B$7/100))*(F1362/100)</f>
        <v/>
      </c>
      <c r="K1362">
        <f>J1362*(1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1375-Calc!F18),(Inputs!$B$23+(IF(ArtifactsInput!$M$15,CHOOSE(ArtifactsInput!$N$15+1,25,30,35,40,45,50)/100*(Inputs!$B$11-Inputs!$B$11),0))))/100+(Inputs!$B$23+(IF(ArtifactsInput!$M$15,CHOOSE(ArtifactsInput!$N$15+1,25,30,35,40,45,50)/100*(Inputs!$B$11-Inputs!$B$11),0)))/100)/2</f>
        <v/>
      </c>
      <c r="M1362">
        <f>L1362*(1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(1-Summary!$B$11)*S1362+Summary!$B$11*U1362</f>
        <v/>
      </c>
      <c r="P1362">
        <f>IF(B1393=0,0,O1362/B1393)</f>
        <v/>
      </c>
      <c r="Q1362">
        <f>IFERROR(1/IF(Inputs!$B$38="pvp",15,MAX(0.1,Skills!D5-IF(Skills!E5=TRUE,Inputs!$B$32,0))),0)</f>
        <v/>
      </c>
      <c r="R1362">
        <f>IF(AND(Inputs!$B$38&lt;&gt;"pvp",Inputs!$B$43&gt;0),IF(MAX(0,Inputs!$B$43-B1390)&lt;=0,0,(INT(MAX(0,Inputs!$B$43-B1390)/IF(Inputs!$B$38="pvp",15,MAX(0.1,Skills!D5-IF(Skills!E5=TRUE,Inputs!$B$32,0))))+1)),0)</f>
        <v/>
      </c>
      <c r="S1362">
        <f>IF(C1362,(H1362*N1362*IF(AND(Inputs!$B$38&lt;&gt;"pvp",Inputs!$B$43&gt;0),((Skills!F5*((R1362-1)*IF(Skills!G5&gt;0,Skills!H5/Skills!G5,1)+IF(Skills!G5&gt;0,MIN(Skills!H5,MAX(0,MAX(0,Inputs!$B$43-B1390)-((R1362-1)*IF(Inputs!$B$38="pvp",15,MAX(0.1,Skills!D5-IF(Skills!E5=TRUE,Inputs!$B$32,0))))))/Skills!G5,1)))/Inputs!$B$43),G1362*Q1362))*IF(Inputs!$B$38="pvp",1,1+(Inputs!$B$20+Skills!O5+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F5*((R1362-1)*IF(Skills!G5&gt;0,Skills!H5/Skills!G5,1)+IF(Skills!G5&gt;0,MIN(Skills!H5,MAX(0,MAX(0,Inputs!$B$43-B1390)-((R1362-1)*IF(Inputs!$B$38="pvp",15,MAX(0.1,Skills!D5-IF(Skills!E5=TRUE,Inputs!$B$32,0))))))/Skills!G5,1)))/Inputs!$B$43),G1362*Q1362))*IF(Inputs!$B$38="pvp",1,(1+(Inputs!$B$21+Skills!P5+B1384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Skills!A6</f>
        <v/>
      </c>
      <c r="B1363">
        <f>Skills!B6</f>
        <v/>
      </c>
      <c r="C1363">
        <f>Inputs!$B$3&gt;=63</f>
        <v/>
      </c>
      <c r="D1363">
        <f>IF(Skills!C6=1,60+Inputs!$B$25+Inputs!$B$29,IF(Skills!C6=2,90+Inputs!$B$26+Inputs!$B$29,IF(Skills!C6=3,120+Inputs!$B$27+Inputs!$B$29,MAX(0,(Inputs!$B$3-100)*3)+Inputs!$B$28+Inputs!$B$29)))</f>
        <v/>
      </c>
      <c r="E1363">
        <f>INDEX(FactorTable!$B$2:$Y$301, MATCH(ROUND(MIN(300,MAX(1,D1363)),0), FactorTable!$A$2:$A$301,0), Skills!L6+1)</f>
        <v/>
      </c>
      <c r="F1363">
        <f>IF(Skills!M6=TRUE,(Skills!K6/10)*(E1363/1000),Skills!K6/10)+Skills!N6</f>
        <v/>
      </c>
      <c r="G1363">
        <f>Calc!G6</f>
        <v/>
      </c>
      <c r="H1363">
        <f>Calc!H6</f>
        <v/>
      </c>
      <c r="I1363">
        <f>IF(Skills!T6&lt;&gt;"",1+(Skills!T6/10)*(Z1360/1000)/100,1)</f>
        <v/>
      </c>
      <c r="J1363">
        <f>((Inputs!$B$6*(1+Inputs!$B$7/100))+(((Inputs!$B$12*(1+Inputs!$B$13/100))-(Inputs!$B$12*(1+Inputs!$B$13/100)))+0.25*(Inputs!$B$14-Inputs!$B$14))*(1+Inputs!$B$7/100))*(F1363/100)</f>
        <v/>
      </c>
      <c r="K1363">
        <f>J1363*(1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1363)</f>
        <v/>
      </c>
      <c r="L1363">
        <f>K1363*(MIN(Inputs!$B$22+(F1375-Calc!F18),(Inputs!$B$23+(IF(ArtifactsInput!$M$15,CHOOSE(ArtifactsInput!$N$15+1,25,30,35,40,45,50)/100*(Inputs!$B$11-Inputs!$B$11),0))))/100+(Inputs!$B$23+(IF(ArtifactsInput!$M$15,CHOOSE(ArtifactsInput!$N$15+1,25,30,35,40,45,50)/100*(Inputs!$B$11-Inputs!$B$11),0)))/100)/2</f>
        <v/>
      </c>
      <c r="M1363">
        <f>L1363*(1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3">
        <f>L1363*(1-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1363*(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3">
        <f>(1-Summary!$B$11)*S1363+Summary!$B$11*U1363</f>
        <v/>
      </c>
      <c r="P1363">
        <f>IF(B1393=0,0,O1363/B1393)</f>
        <v/>
      </c>
      <c r="Q1363">
        <f>IFERROR(1/IF(Inputs!$B$38="pvp",15,MAX(0.1,Skills!D6-IF(Skills!E6=TRUE,Inputs!$B$32,0))),0)</f>
        <v/>
      </c>
      <c r="R1363">
        <f>IF(AND(Inputs!$B$38&lt;&gt;"pvp",Inputs!$B$43&gt;0),IF(MAX(0,Inputs!$B$43-B1390)&lt;=0,0,(INT(MAX(0,Inputs!$B$43-B1390)/IF(Inputs!$B$38="pvp",15,MAX(0.1,Skills!D6-IF(Skills!E6=TRUE,Inputs!$B$32,0))))+1)),0)</f>
        <v/>
      </c>
      <c r="S1363">
        <f>IF(C1363,(H1363*N1363*IF(AND(Inputs!$B$38&lt;&gt;"pvp",Inputs!$B$43&gt;0),((Skills!F6*((R1363-1)*IF(Skills!G6&gt;0,Skills!H6/Skills!G6,1)+IF(Skills!G6&gt;0,MIN(Skills!H6,MAX(0,MAX(0,Inputs!$B$43-B1390)-((R1363-1)*IF(Inputs!$B$38="pvp",15,MAX(0.1,Skills!D6-IF(Skills!E6=TRUE,Inputs!$B$32,0))))))/Skills!G6,1)))/Inputs!$B$43),G1363*Q1363))*IF(Inputs!$B$38="pvp",1,1+(Inputs!$B$20+Skills!O6+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1363*(1-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1363*(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1363*(1-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1363*(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3">
        <f>IF(C1363,(H1363*N1363*IF(AND(Inputs!$B$38&lt;&gt;"pvp",Inputs!$B$43&gt;0),((Skills!F6*((R1363-1)*IF(Skills!G6&gt;0,Skills!H6/Skills!G6,1)+IF(Skills!G6&gt;0,MIN(Skills!H6,MAX(0,MAX(0,Inputs!$B$43-B1390)-((R1363-1)*IF(Inputs!$B$38="pvp",15,MAX(0.1,Skills!D6-IF(Skills!E6=TRUE,Inputs!$B$32,0))))))/Skills!G6,1)))/Inputs!$B$43),G1363*Q1363))*IF(Inputs!$B$38="pvp",1,(1+(Inputs!$B$21+Skills!P6+B1384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4">
      <c r="A1364">
        <f>Skills!A7</f>
        <v/>
      </c>
      <c r="B1364">
        <f>Skills!B7</f>
        <v/>
      </c>
      <c r="C1364">
        <f>Inputs!$B$3&gt;=69</f>
        <v/>
      </c>
      <c r="D1364">
        <f>IF(Skills!C7=1,60+Inputs!$B$25+Inputs!$B$29,IF(Skills!C7=2,90+Inputs!$B$26+Inputs!$B$29,IF(Skills!C7=3,120+Inputs!$B$27+Inputs!$B$29,MAX(0,(Inputs!$B$3-100)*3)+Inputs!$B$28+Inputs!$B$29)))</f>
        <v/>
      </c>
      <c r="E1364">
        <f>INDEX(FactorTable!$B$2:$Y$301, MATCH(ROUND(MIN(300,MAX(1,D1364)),0), FactorTable!$A$2:$A$301,0), Skills!L7+1)</f>
        <v/>
      </c>
      <c r="F1364">
        <f>IF(Skills!M7=TRUE,(Skills!K7/10)*(E1364/1000),Skills!K7/10)+Skills!N7</f>
        <v/>
      </c>
      <c r="G1364">
        <f>Calc!G7</f>
        <v/>
      </c>
      <c r="H1364">
        <f>Calc!H7</f>
        <v/>
      </c>
      <c r="I1364">
        <f>IF(Skills!T7&lt;&gt;"",1+(Skills!T7/10)*(Z1360/1000)/100,1)</f>
        <v/>
      </c>
      <c r="J1364">
        <f>((Inputs!$B$6*(1+Inputs!$B$7/100))+(((Inputs!$B$12*(1+Inputs!$B$13/100))-(Inputs!$B$12*(1+Inputs!$B$13/100)))+0.25*(Inputs!$B$14-Inputs!$B$14))*(1+Inputs!$B$7/100))*(F1364/100)</f>
        <v/>
      </c>
      <c r="K1364">
        <f>J1364*(1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F1375-Calc!F18),(Inputs!$B$23+(IF(ArtifactsInput!$M$15,CHOOSE(ArtifactsInput!$N$15+1,25,30,35,40,45,50)/100*(Inputs!$B$11-Inputs!$B$11),0))))/100+(Inputs!$B$23+(IF(ArtifactsInput!$M$15,CHOOSE(ArtifactsInput!$N$15+1,25,30,35,40,45,50)/100*(Inputs!$B$11-Inputs!$B$11),0)))/100)/2</f>
        <v/>
      </c>
      <c r="M1364">
        <f>L1364*(1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(1-Summary!$B$11)*S1364+Summary!$B$11*U1364</f>
        <v/>
      </c>
      <c r="P1364">
        <f>IF(B1393=0,0,O1364/B1393)</f>
        <v/>
      </c>
      <c r="Q1364">
        <f>IFERROR(1/IF(Inputs!$B$38="pvp",15,MAX(0.1,Skills!D7-IF(Skills!E7=TRUE,Inputs!$B$32,0))),0)</f>
        <v/>
      </c>
      <c r="R1364">
        <f>IF(AND(Inputs!$B$38&lt;&gt;"pvp",Inputs!$B$43&gt;0),IF(MAX(0,Inputs!$B$43-B1390)&lt;=0,0,(INT(MAX(0,Inputs!$B$43-B1390)/IF(Inputs!$B$38="pvp",15,MAX(0.1,Skills!D7-IF(Skills!E7=TRUE,Inputs!$B$32,0))))+1)),0)</f>
        <v/>
      </c>
      <c r="S1364">
        <f>IF(C1364,(H1364*N1364*IF(AND(Inputs!$B$38&lt;&gt;"pvp",Inputs!$B$43&gt;0),((Skills!F7*((R1364-1)*IF(Skills!G7&gt;0,Skills!H7/Skills!G7,1)+IF(Skills!G7&gt;0,MIN(Skills!H7,MAX(0,MAX(0,Inputs!$B$43-B1390)-((R1364-1)*IF(Inputs!$B$38="pvp",15,MAX(0.1,Skills!D7-IF(Skills!E7=TRUE,Inputs!$B$32,0))))))/Skills!G7,1)))/Inputs!$B$43),G1364*Q1364))*IF(Inputs!$B$38="pvp",1,1+(Inputs!$B$20+Skills!O7+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1364*(1-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4">
        <f>IF(C1364,(H1364*N1364*IF(AND(Inputs!$B$38&lt;&gt;"pvp",Inputs!$B$43&gt;0),((Skills!F7*((R1364-1)*IF(Skills!G7&gt;0,Skills!H7/Skills!G7,1)+IF(Skills!G7&gt;0,MIN(Skills!H7,MAX(0,MAX(0,Inputs!$B$43-B1390)-((R1364-1)*IF(Inputs!$B$38="pvp",15,MAX(0.1,Skills!D7-IF(Skills!E7=TRUE,Inputs!$B$32,0))))))/Skills!G7,1)))/Inputs!$B$43),G1364*Q1364))*IF(Inputs!$B$38="pvp",1,(1+(Inputs!$B$21+Skills!P7+B1384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Skills!A8</f>
        <v/>
      </c>
      <c r="B1365">
        <f>Skills!B8</f>
        <v/>
      </c>
      <c r="C1365">
        <f>Inputs!$B$3&gt;=103</f>
        <v/>
      </c>
      <c r="D1365">
        <f>IF(Skills!C8=1,60+Inputs!$B$25+Inputs!$B$29,IF(Skills!C8=2,90+Inputs!$B$26+Inputs!$B$29,IF(Skills!C8=3,120+Inputs!$B$27+Inputs!$B$29,MAX(0,(Inputs!$B$3-100)*3)+Inputs!$B$28+Inputs!$B$29)))</f>
        <v/>
      </c>
      <c r="E1365">
        <f>INDEX(FactorTable!$B$2:$Y$301, MATCH(ROUND(MIN(300,MAX(1,D1365)),0), FactorTable!$A$2:$A$301,0), Skills!L8+1)</f>
        <v/>
      </c>
      <c r="F1365">
        <f>IF(Skills!M8=TRUE,(Skills!K8/10)*(E1365/1000),Skills!K8/10)+Skills!N8</f>
        <v/>
      </c>
      <c r="G1365">
        <f>Calc!G8</f>
        <v/>
      </c>
      <c r="H1365">
        <f>Calc!H8</f>
        <v/>
      </c>
      <c r="I1365">
        <f>IF(Skills!T8&lt;&gt;"",1+(Skills!T8/10)*(Z1360/1000)/100,1)</f>
        <v/>
      </c>
      <c r="J1365">
        <f>((Inputs!$B$6*(1+Inputs!$B$7/100))+(((Inputs!$B$12*(1+Inputs!$B$13/100))-(Inputs!$B$12*(1+Inputs!$B$13/100)))+0.25*(Inputs!$B$14-Inputs!$B$14))*(1+Inputs!$B$7/100))*(F1365/100)</f>
        <v/>
      </c>
      <c r="K1365">
        <f>J1365*(1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F1375-Calc!F18),(Inputs!$B$23+(IF(ArtifactsInput!$M$15,CHOOSE(ArtifactsInput!$N$15+1,25,30,35,40,45,50)/100*(Inputs!$B$11-Inputs!$B$11),0))))/100+(Inputs!$B$23+(IF(ArtifactsInput!$M$15,CHOOSE(ArtifactsInput!$N$15+1,25,30,35,40,45,50)/100*(Inputs!$B$11-Inputs!$B$11),0)))/100)/2</f>
        <v/>
      </c>
      <c r="M1365">
        <f>L1365*(1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(1-Summary!$B$11)*S1365+Summary!$B$11*U1365</f>
        <v/>
      </c>
      <c r="P1365">
        <f>IF(B1393=0,0,O1365/B1393)</f>
        <v/>
      </c>
      <c r="Q1365">
        <f>IFERROR(1/IF(Inputs!$B$38="pvp",15,MAX(0.1,Skills!D8-IF(Skills!E8=TRUE,Inputs!$B$32,0))),0)</f>
        <v/>
      </c>
      <c r="R1365">
        <f>IF(AND(Inputs!$B$38&lt;&gt;"pvp",Inputs!$B$43&gt;0),IF(MAX(0,Inputs!$B$43-B1390)&lt;=0,0,(INT(MAX(0,Inputs!$B$43-B1390)/IF(Inputs!$B$38="pvp",15,MAX(0.1,Skills!D8-IF(Skills!E8=TRUE,Inputs!$B$32,0))))+1)),0)</f>
        <v/>
      </c>
      <c r="S1365">
        <f>IF(C1365,(H1365*N1365*IF(AND(Inputs!$B$38&lt;&gt;"pvp",Inputs!$B$43&gt;0),((Skills!F8*((R1365-1)*IF(Skills!G8&gt;0,Skills!H8/Skills!G8,1)+IF(Skills!G8&gt;0,MIN(Skills!H8,MAX(0,MAX(0,Inputs!$B$43-B1390)-((R1365-1)*IF(Inputs!$B$38="pvp",15,MAX(0.1,Skills!D8-IF(Skills!E8=TRUE,Inputs!$B$32,0))))))/Skills!G8,1)))/Inputs!$B$43),G1365*Q1365))*IF(Inputs!$B$38="pvp",1,1+(Inputs!$B$20+Skills!O8+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1365*(1-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IF(C1365,(H1365*N1365*IF(AND(Inputs!$B$38&lt;&gt;"pvp",Inputs!$B$43&gt;0),((Skills!F8*((R1365-1)*IF(Skills!G8&gt;0,Skills!H8/Skills!G8,1)+IF(Skills!G8&gt;0,MIN(Skills!H8,MAX(0,MAX(0,Inputs!$B$43-B1390)-((R1365-1)*IF(Inputs!$B$38="pvp",15,MAX(0.1,Skills!D8-IF(Skills!E8=TRUE,Inputs!$B$32,0))))))/Skills!G8,1)))/Inputs!$B$43),G1365*Q1365))*IF(Inputs!$B$38="pvp",1,(1+(Inputs!$B$21+Skills!P8+B1384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Skills!A9</f>
        <v/>
      </c>
      <c r="B1366">
        <f>Skills!B9</f>
        <v/>
      </c>
      <c r="C1366">
        <f>Inputs!$B$3&gt;=105</f>
        <v/>
      </c>
      <c r="D1366">
        <f>IF(Skills!C9=1,60+Inputs!$B$25+Inputs!$B$29,IF(Skills!C9=2,90+Inputs!$B$26+Inputs!$B$29,IF(Skills!C9=3,120+Inputs!$B$27+Inputs!$B$29,MAX(0,(Inputs!$B$3-100)*3)+Inputs!$B$28+Inputs!$B$29)))</f>
        <v/>
      </c>
      <c r="E1366">
        <f>INDEX(FactorTable!$B$2:$Y$301, MATCH(ROUND(MIN(300,MAX(1,D1366)),0), FactorTable!$A$2:$A$301,0), Skills!L9+1)</f>
        <v/>
      </c>
      <c r="F1366">
        <f>IF(Skills!M9=TRUE,(Skills!K9/10)*(E1366/1000),Skills!K9/10)+Skills!N9</f>
        <v/>
      </c>
      <c r="G1366">
        <f>Calc!G9</f>
        <v/>
      </c>
      <c r="H1366">
        <f>Calc!H9</f>
        <v/>
      </c>
      <c r="I1366">
        <f>IF(Skills!T9&lt;&gt;"",1+(Skills!T9/10)*(Z1360/1000)/100,1)</f>
        <v/>
      </c>
      <c r="J1366">
        <f>((Inputs!$B$6*(1+Inputs!$B$7/100))+(((Inputs!$B$12*(1+Inputs!$B$13/100))-(Inputs!$B$12*(1+Inputs!$B$13/100)))+0.25*(Inputs!$B$14-Inputs!$B$14))*(1+Inputs!$B$7/100))*(F1366/100)</f>
        <v/>
      </c>
      <c r="K1366">
        <f>J1366*(1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F1375-Calc!F18),(Inputs!$B$23+(IF(ArtifactsInput!$M$15,CHOOSE(ArtifactsInput!$N$15+1,25,30,35,40,45,50)/100*(Inputs!$B$11-Inputs!$B$11),0))))/100+(Inputs!$B$23+(IF(ArtifactsInput!$M$15,CHOOSE(ArtifactsInput!$N$15+1,25,30,35,40,45,50)/100*(Inputs!$B$11-Inputs!$B$11),0)))/100)/2</f>
        <v/>
      </c>
      <c r="M1366">
        <f>L1366*(1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(1-Summary!$B$11)*S1366+Summary!$B$11*U1366</f>
        <v/>
      </c>
      <c r="P1366">
        <f>IF(B1393=0,0,O1366/B1393)</f>
        <v/>
      </c>
      <c r="Q1366">
        <f>IFERROR(1/IF(Inputs!$B$38="pvp",15,MAX(0.1,Skills!D9-IF(Skills!E9=TRUE,Inputs!$B$32,0))),0)</f>
        <v/>
      </c>
      <c r="R1366">
        <f>IF(AND(Inputs!$B$38&lt;&gt;"pvp",Inputs!$B$43&gt;0),IF(MAX(0,Inputs!$B$43-B1390)&lt;=0,0,(INT(MAX(0,Inputs!$B$43-B1390)/IF(Inputs!$B$38="pvp",15,MAX(0.1,Skills!D9-IF(Skills!E9=TRUE,Inputs!$B$32,0))))+1)),0)</f>
        <v/>
      </c>
      <c r="S1366">
        <f>IF(C1366,(H1366*N1366*IF(AND(Inputs!$B$38&lt;&gt;"pvp",Inputs!$B$43&gt;0),((Skills!F9*((R1366-1)*IF(Skills!G9&gt;0,Skills!H9/Skills!G9,1)+IF(Skills!G9&gt;0,MIN(Skills!H9,MAX(0,MAX(0,Inputs!$B$43-B1390)-((R1366-1)*IF(Inputs!$B$38="pvp",15,MAX(0.1,Skills!D9-IF(Skills!E9=TRUE,Inputs!$B$32,0))))))/Skills!G9,1)))/Inputs!$B$43),G1366*Q1366))*IF(Inputs!$B$38="pvp",1,1+(Inputs!$B$20+Skills!O9+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1366*(1-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6">
        <f>IF(C1366,(H1366*N1366*IF(AND(Inputs!$B$38&lt;&gt;"pvp",Inputs!$B$43&gt;0),((Skills!F9*((R1366-1)*IF(Skills!G9&gt;0,Skills!H9/Skills!G9,1)+IF(Skills!G9&gt;0,MIN(Skills!H9,MAX(0,MAX(0,Inputs!$B$43-B1390)-((R1366-1)*IF(Inputs!$B$38="pvp",15,MAX(0.1,Skills!D9-IF(Skills!E9=TRUE,Inputs!$B$32,0))))))/Skills!G9,1)))/Inputs!$B$43),G1366*Q1366))*IF(Inputs!$B$38="pvp",1,(1+(Inputs!$B$21+Skills!P9+B1384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Skills!A10</f>
        <v/>
      </c>
      <c r="B1367">
        <f>Skills!B10</f>
        <v/>
      </c>
      <c r="C1367">
        <f>Inputs!$B$3&gt;=113</f>
        <v/>
      </c>
      <c r="D1367">
        <f>IF(Skills!C10=1,60+Inputs!$B$25+Inputs!$B$29,IF(Skills!C10=2,90+Inputs!$B$26+Inputs!$B$29,IF(Skills!C10=3,120+Inputs!$B$27+Inputs!$B$29,MAX(0,(Inputs!$B$3-100)*3)+Inputs!$B$28+Inputs!$B$29)))</f>
        <v/>
      </c>
      <c r="E1367">
        <f>INDEX(FactorTable!$B$2:$Y$301, MATCH(ROUND(MIN(300,MAX(1,D1367)),0), FactorTable!$A$2:$A$301,0), Skills!L10+1)</f>
        <v/>
      </c>
      <c r="F1367">
        <f>IF(Skills!M10=TRUE,(Skills!K10/10)*(E1367/1000),Skills!K10/10)+Skills!N10</f>
        <v/>
      </c>
      <c r="G1367">
        <f>Calc!G10</f>
        <v/>
      </c>
      <c r="H1367">
        <f>Calc!H10</f>
        <v/>
      </c>
      <c r="I1367">
        <f>IF(Skills!T10&lt;&gt;"",1+(Skills!T10/10)*(Z1360/1000)/100,1)</f>
        <v/>
      </c>
      <c r="J1367">
        <f>((Inputs!$B$6*(1+Inputs!$B$7/100))+(((Inputs!$B$12*(1+Inputs!$B$13/100))-(Inputs!$B$12*(1+Inputs!$B$13/100)))+0.25*(Inputs!$B$14-Inputs!$B$14))*(1+Inputs!$B$7/100))*(F1367/100)</f>
        <v/>
      </c>
      <c r="K1367">
        <f>J1367*(1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F1375-Calc!F18),(Inputs!$B$23+(IF(ArtifactsInput!$M$15,CHOOSE(ArtifactsInput!$N$15+1,25,30,35,40,45,50)/100*(Inputs!$B$11-Inputs!$B$11),0))))/100+(Inputs!$B$23+(IF(ArtifactsInput!$M$15,CHOOSE(ArtifactsInput!$N$15+1,25,30,35,40,45,50)/100*(Inputs!$B$11-Inputs!$B$11),0)))/100)/2</f>
        <v/>
      </c>
      <c r="M1367">
        <f>L1367*(1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(1-Summary!$B$11)*S1367+Summary!$B$11*U1367</f>
        <v/>
      </c>
      <c r="P1367">
        <f>IF(B1393=0,0,O1367/B1393)</f>
        <v/>
      </c>
      <c r="Q1367">
        <f>IFERROR(1/IF(Inputs!$B$38="pvp",15,MAX(0.1,Skills!D10-IF(Skills!E9=TRUE,Inputs!$B$32,0))),0)</f>
        <v/>
      </c>
      <c r="R1367">
        <f>IF(AND(Inputs!$B$38&lt;&gt;"pvp",Inputs!$B$43&gt;0),IF(MAX(0,Inputs!$B$43-B1390)&lt;=0,0,(INT(MAX(0,Inputs!$B$43-B1390)/IF(Inputs!$B$38="pvp",15,MAX(0.1,Skills!D10-IF(Skills!E9=TRUE,Inputs!$B$32,0))))+1)),0)</f>
        <v/>
      </c>
      <c r="S1367">
        <f>IF(C1367,(H1367*N1367*IF(AND(Inputs!$B$38&lt;&gt;"pvp",Inputs!$B$43&gt;0),((Skills!F10*((R1367-1)*IF(Skills!G10&gt;0,Skills!H10/Skills!G10,1)+IF(Skills!G10&gt;0,MIN(Skills!H10,MAX(0,MAX(0,Inputs!$B$43-B1390)-((R1367-1)*IF(Inputs!$B$38="pvp",15,MAX(0.1,Skills!D10-IF(Skills!E9=TRUE,Inputs!$B$32,0))))))/Skills!G10,1)))/Inputs!$B$43),G1367*Q1367))*IF(Inputs!$B$38="pvp",1,1+(Inputs!$B$20+Skills!O10+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1367*(1-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7">
        <f>IF(C1367,(H1367*N1367*IF(AND(Inputs!$B$38&lt;&gt;"pvp",Inputs!$B$43&gt;0),((Skills!F10*((R1367-1)*IF(Skills!G10&gt;0,Skills!H10/Skills!G10,1)+IF(Skills!G10&gt;0,MIN(Skills!H10,MAX(0,MAX(0,Inputs!$B$43-B1390)-((R1367-1)*IF(Inputs!$B$38="pvp",15,MAX(0.1,Skills!D10-IF(Skills!E9=TRUE,Inputs!$B$32,0))))))/Skills!G10,1)))/Inputs!$B$43),G1367*Q1367))*IF(Inputs!$B$38="pvp",1,(1+(Inputs!$B$21+Skills!P10+B1384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Skills!A11</f>
        <v/>
      </c>
      <c r="B1368">
        <f>Skills!B11</f>
        <v/>
      </c>
      <c r="C1368">
        <f>Inputs!$B$3&gt;=107</f>
        <v/>
      </c>
      <c r="D1368">
        <f>IF(Skills!C11=1,60+Inputs!$B$25+Inputs!$B$29,IF(Skills!C11=2,90+Inputs!$B$26+Inputs!$B$29,IF(Skills!C11=3,120+Inputs!$B$27+Inputs!$B$29,MAX(0,(Inputs!$B$3-100)*3)+Inputs!$B$28+Inputs!$B$29)))</f>
        <v/>
      </c>
      <c r="E1368">
        <f>INDEX(FactorTable!$B$2:$Y$301, MATCH(ROUND(MIN(300,MAX(1,D1368)),0), FactorTable!$A$2:$A$301,0), Skills!L11+1)</f>
        <v/>
      </c>
      <c r="F1368">
        <f>IF(Skills!M11=TRUE,(Skills!K11/10)*(E1368/1000),Skills!K11/10)+Skills!N11</f>
        <v/>
      </c>
      <c r="G1368">
        <f>Calc!G11</f>
        <v/>
      </c>
      <c r="H1368">
        <f>Calc!H11</f>
        <v/>
      </c>
      <c r="I1368">
        <f>IF(Skills!T11&lt;&gt;"",1+(Skills!T11/10)*(Z1360/1000)/100,1)</f>
        <v/>
      </c>
      <c r="J1368">
        <f>((Inputs!$B$6*(1+Inputs!$B$7/100))+(((Inputs!$B$12*(1+Inputs!$B$13/100))-(Inputs!$B$12*(1+Inputs!$B$13/100)))+0.25*(Inputs!$B$14-Inputs!$B$14))*(1+Inputs!$B$7/100))*(F1368/100)</f>
        <v/>
      </c>
      <c r="K1368">
        <f>J1368*(1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F1375-Calc!F18),(Inputs!$B$23+(IF(ArtifactsInput!$M$15,CHOOSE(ArtifactsInput!$N$15+1,25,30,35,40,45,50)/100*(Inputs!$B$11-Inputs!$B$11),0))))/100+(Inputs!$B$23+(IF(ArtifactsInput!$M$15,CHOOSE(ArtifactsInput!$N$15+1,25,30,35,40,45,50)/100*(Inputs!$B$11-Inputs!$B$11),0)))/100)/2</f>
        <v/>
      </c>
      <c r="M1368">
        <f>L1368*(1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(1-Summary!$B$11)*S1368+Summary!$B$11*U1368</f>
        <v/>
      </c>
      <c r="P1368">
        <f>IF(B1393=0,0,O1368/B1393)</f>
        <v/>
      </c>
      <c r="Q1368">
        <f>IFERROR(1/IF(Inputs!$B$38="pvp",15,MAX(0.1,Skills!D11-IF(Skills!E11=TRUE,Inputs!$B$32,0))),0)</f>
        <v/>
      </c>
      <c r="R1368">
        <f>IF(AND(Inputs!$B$38&lt;&gt;"pvp",Inputs!$B$43&gt;0),IF(MAX(0,Inputs!$B$43-B1390)&lt;=0,0,(INT(MAX(0,Inputs!$B$43-B1390)/IF(Inputs!$B$38="pvp",15,MAX(0.1,Skills!D11-IF(Skills!E11=TRUE,Inputs!$B$32,0))))+1)),0)</f>
        <v/>
      </c>
      <c r="S1368">
        <f>IF(C1368,H1368*N1368*IF(AND(Inputs!$B$38&lt;&gt;"pvp",Inputs!$B$43&gt;0),((Skills!F11*((R1368-1)*IF(Skills!G11&gt;0,Skills!H11/Skills!G11,1)+IF(Skills!G11&gt;0,MIN(Skills!H11,MAX(0,MAX(0,Inputs!$B$43-B1390)-((R1368-1)*IF(Inputs!$B$38="pvp",15,MAX(0.1,Skills!D11-IF(Skills!E11=TRUE,Inputs!$B$32,0))))))/Skills!G11,1)))/Inputs!$B$43),G1368*Q1368)*0.5*IF(Inputs!$B$38="pvp",1,1+(Inputs!$B$20+Skills!O11+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1368*(1-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8">
        <f>IF(C1368,H1368*N1368*IF(AND(Inputs!$B$38&lt;&gt;"pvp",Inputs!$B$43&gt;0),((Skills!F11*((R1368-1)*IF(Skills!G11&gt;0,Skills!H11/Skills!G11,1)+IF(Skills!G11&gt;0,MIN(Skills!H11,MAX(0,MAX(0,Inputs!$B$43-B1390)-((R1368-1)*IF(Inputs!$B$38="pvp",15,MAX(0.1,Skills!D11-IF(Skills!E11=TRUE,Inputs!$B$32,0))))))/Skills!G11,1)))/Inputs!$B$43),G1368*Q1368)*1*IF(Inputs!$B$38="pvp",1,(1+(Inputs!$B$21+Skills!P11+B1384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Skills!A12</f>
        <v/>
      </c>
      <c r="B1369">
        <f>Skills!B12</f>
        <v/>
      </c>
      <c r="C1369">
        <f>Inputs!$B$3&gt;=115</f>
        <v/>
      </c>
      <c r="D1369">
        <f>IF(Skills!C12=1,60+Inputs!$B$25+Inputs!$B$29,IF(Skills!C12=2,90+Inputs!$B$26+Inputs!$B$29,IF(Skills!C12=3,120+Inputs!$B$27+Inputs!$B$29,MAX(0,(Inputs!$B$3-100)*3)+Inputs!$B$28+Inputs!$B$29)))</f>
        <v/>
      </c>
      <c r="E1369">
        <f>INDEX(FactorTable!$B$2:$Y$301, MATCH(ROUND(MIN(300,MAX(1,D1369)),0), FactorTable!$A$2:$A$301,0), Skills!L12+1)</f>
        <v/>
      </c>
      <c r="F1369">
        <f>IF(Skills!M12=TRUE,(Skills!K12/10)*(E1369/1000),Skills!K12/10)+Skills!N12</f>
        <v/>
      </c>
      <c r="G1369">
        <f>Calc!G12</f>
        <v/>
      </c>
      <c r="H1369">
        <f>Calc!H12</f>
        <v/>
      </c>
      <c r="I1369">
        <f>IF(Skills!T12&lt;&gt;"",1+(Skills!T12/10)*(Z1360/1000)/100,1)</f>
        <v/>
      </c>
      <c r="J1369">
        <f>((Inputs!$B$6*(1+Inputs!$B$7/100))+(((Inputs!$B$12*(1+Inputs!$B$13/100))-(Inputs!$B$12*(1+Inputs!$B$13/100)))+0.25*(Inputs!$B$14-Inputs!$B$14))*(1+Inputs!$B$7/100))*(F1369/100)</f>
        <v/>
      </c>
      <c r="K1369">
        <f>J1369*(1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F1375-Calc!F18),(Inputs!$B$23+(IF(ArtifactsInput!$M$15,CHOOSE(ArtifactsInput!$N$15+1,25,30,35,40,45,50)/100*(Inputs!$B$11-Inputs!$B$11),0))))/100+(Inputs!$B$23+(IF(ArtifactsInput!$M$15,CHOOSE(ArtifactsInput!$N$15+1,25,30,35,40,45,50)/100*(Inputs!$B$11-Inputs!$B$11),0)))/100)/2</f>
        <v/>
      </c>
      <c r="M1369">
        <f>L1369*(1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(1-Summary!$B$11)*S1369+Summary!$B$11*U1369</f>
        <v/>
      </c>
      <c r="P1369">
        <f>IF(B1393=0,0,O1369/B1393)</f>
        <v/>
      </c>
      <c r="Q1369">
        <f>IFERROR(1/IF(Inputs!$B$38="pvp",15,MAX(0.1,Skills!D12-IF(Skills!E12=TRUE,Inputs!$B$32,0))),0)</f>
        <v/>
      </c>
      <c r="R1369">
        <f>IF(AND(Inputs!$B$38&lt;&gt;"pvp",Inputs!$B$43&gt;0),IF(MAX(0,Inputs!$B$43-B1390)&lt;=0,0,(INT(MAX(0,Inputs!$B$43-B1390)/IF(Inputs!$B$38="pvp",15,MAX(0.1,Skills!D12-IF(Skills!E12=TRUE,Inputs!$B$32,0))))+1)),0)</f>
        <v/>
      </c>
      <c r="S1369">
        <f>IF(C1369,(H1369*N1369*IF(AND(Inputs!$B$38&lt;&gt;"pvp",Inputs!$B$43&gt;0),((Skills!F12*((R1369-1)*IF(Skills!G12&gt;0,Skills!H12/Skills!G12,1)+IF(Skills!G12&gt;0,MIN(Skills!H12,MAX(0,MAX(0,Inputs!$B$43-B1390)-((R1369-1)*IF(Inputs!$B$38="pvp",15,MAX(0.1,Skills!D12-IF(Skills!E12=TRUE,Inputs!$B$32,0))))))/Skills!G12,1)))/Inputs!$B$43),G1369*Q1369))*IF(Inputs!$B$38="pvp",1,1+(Inputs!$B$20+Skills!O12+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9">
        <f>IF(C1369,(H1369*N1369*IF(AND(Inputs!$B$38&lt;&gt;"pvp",Inputs!$B$43&gt;0),((Skills!F12*((R1369-1)*IF(Skills!G12&gt;0,Skills!H12/Skills!G12,1)+IF(Skills!G12&gt;0,MIN(Skills!H12,MAX(0,MAX(0,Inputs!$B$43-B1390)-((R1369-1)*IF(Inputs!$B$38="pvp",15,MAX(0.1,Skills!D12-IF(Skills!E12=TRUE,Inputs!$B$32,0))))))/Skills!G12,1)))/Inputs!$B$43),G1369*Q1369))*IF(Inputs!$B$38="pvp",1,(1+(Inputs!$B$21+Skills!P12+B1384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Skills!A13</f>
        <v/>
      </c>
      <c r="B1370">
        <f>Skills!B13</f>
        <v/>
      </c>
      <c r="C1370">
        <f>Inputs!$B$3&gt;=49</f>
        <v/>
      </c>
      <c r="D1370">
        <f>IF(Skills!C13=1,60+Inputs!$B$25+Inputs!$B$29,IF(Skills!C13=2,90+Inputs!$B$26+Inputs!$B$29,IF(Skills!C13=3,120+Inputs!$B$27+Inputs!$B$29,MAX(0,(Inputs!$B$3-100)*3)+Inputs!$B$28+Inputs!$B$29)))</f>
        <v/>
      </c>
      <c r="E1370">
        <f>INDEX(FactorTable!$B$2:$Y$301, MATCH(ROUND(MIN(300,MAX(1,D1370)),0), FactorTable!$A$2:$A$301,0), Skills!L13+1)</f>
        <v/>
      </c>
      <c r="F1370">
        <f>IF(Skills!M13=TRUE,(Skills!K13/10)*(E1370/1000),Skills!K13/10)+Skills!N13</f>
        <v/>
      </c>
      <c r="G1370">
        <f>Calc!G13</f>
        <v/>
      </c>
      <c r="H1370">
        <f>Calc!H13</f>
        <v/>
      </c>
      <c r="I1370">
        <f>IF(Skills!T13&lt;&gt;"",1+(Skills!T13/10)*(Z1360/1000)/100,1)</f>
        <v/>
      </c>
      <c r="J1370" t="inlineStr"/>
      <c r="K1370" t="inlineStr"/>
      <c r="L1370" t="inlineStr"/>
      <c r="M1370" t="inlineStr"/>
      <c r="N1370" t="inlineStr"/>
      <c r="O1370">
        <f>(1-Summary!$B$11)*S1370+Summary!$B$11*U1370</f>
        <v/>
      </c>
      <c r="P1370">
        <f>IF(B1393=0,0,O1370/B1393)</f>
        <v/>
      </c>
      <c r="Q1370">
        <f>IFERROR(1/IF(Inputs!$B$38="pvp",15,MAX(0.1,Skills!D13-IF(Skills!E13=TRUE,Inputs!$B$32,0))),0)</f>
        <v/>
      </c>
      <c r="R1370" t="n">
        <v>0</v>
      </c>
      <c r="S1370" t="n">
        <v>0</v>
      </c>
      <c r="U1370" t="n">
        <v>0</v>
      </c>
    </row>
    <row r="1371">
      <c r="A1371">
        <f>Skills!A14</f>
        <v/>
      </c>
      <c r="B1371">
        <f>Skills!B14</f>
        <v/>
      </c>
      <c r="C1371">
        <f>Inputs!$B$3&gt;=72</f>
        <v/>
      </c>
      <c r="D1371">
        <f>IF(Skills!C14=1,60+Inputs!$B$25+Inputs!$B$29,IF(Skills!C14=2,90+Inputs!$B$26+Inputs!$B$29,IF(Skills!C14=3,120+Inputs!$B$27+Inputs!$B$29,MAX(0,(Inputs!$B$3-100)*3)+Inputs!$B$28+Inputs!$B$29)))</f>
        <v/>
      </c>
      <c r="E1371">
        <f>INDEX(FactorTable!$B$2:$Y$301, MATCH(ROUND(MIN(300,MAX(1,D1371)),0), FactorTable!$A$2:$A$301,0), Skills!L14+1)</f>
        <v/>
      </c>
      <c r="F1371">
        <f>IF(Skills!M14=TRUE,(Skills!K14/10)*(E1371/1000),Skills!K14/10)+Skills!N14</f>
        <v/>
      </c>
      <c r="G1371">
        <f>Calc!G14</f>
        <v/>
      </c>
      <c r="H1371">
        <f>Calc!H14</f>
        <v/>
      </c>
      <c r="I1371">
        <f>IF(Skills!T14&lt;&gt;"",1+(Skills!T14/10)*(Z1360/1000)/100,1)</f>
        <v/>
      </c>
      <c r="J1371" t="inlineStr"/>
      <c r="K1371" t="inlineStr"/>
      <c r="L1371" t="inlineStr"/>
      <c r="M1371" t="inlineStr"/>
      <c r="N1371" t="inlineStr"/>
      <c r="O1371">
        <f>(1-Summary!$B$11)*S1371+Summary!$B$11*U1371</f>
        <v/>
      </c>
      <c r="P1371">
        <f>IF(B1393=0,0,O1371/B1393)</f>
        <v/>
      </c>
      <c r="Q1371">
        <f>IFERROR(1/IF(Inputs!$B$38="pvp",15,MAX(0.1,Skills!D14-IF(Skills!E14=TRUE,Inputs!$B$32,0))),0)</f>
        <v/>
      </c>
      <c r="R1371" t="n">
        <v>0</v>
      </c>
      <c r="S1371" t="n">
        <v>0</v>
      </c>
      <c r="U1371" t="n">
        <v>0</v>
      </c>
    </row>
    <row r="1372">
      <c r="A1372">
        <f>Skills!A15</f>
        <v/>
      </c>
      <c r="B1372">
        <f>Skills!B15</f>
        <v/>
      </c>
      <c r="C1372">
        <f>Inputs!$B$3&gt;=75</f>
        <v/>
      </c>
      <c r="D1372">
        <f>IF(Skills!C15=1,60+Inputs!$B$25+Inputs!$B$29,IF(Skills!C15=2,90+Inputs!$B$26+Inputs!$B$29,IF(Skills!C15=3,120+Inputs!$B$27+Inputs!$B$29,MAX(0,(Inputs!$B$3-100)*3)+Inputs!$B$28+Inputs!$B$29)))</f>
        <v/>
      </c>
      <c r="E1372">
        <f>INDEX(FactorTable!$B$2:$Y$301, MATCH(ROUND(MIN(300,MAX(1,D1372)),0), FactorTable!$A$2:$A$301,0), Skills!L15+1)</f>
        <v/>
      </c>
      <c r="F1372">
        <f>IF(Skills!M15=TRUE,(Skills!K15/10)*(E1372/1000),Skills!K15/10)+Skills!N15</f>
        <v/>
      </c>
      <c r="G1372">
        <f>Calc!G15</f>
        <v/>
      </c>
      <c r="H1372">
        <f>Calc!H15</f>
        <v/>
      </c>
      <c r="I1372">
        <f>IF(Skills!T15&lt;&gt;"",1+(Skills!T15/10)*(Z1360/1000)/100,1)</f>
        <v/>
      </c>
      <c r="J1372" t="inlineStr"/>
      <c r="K1372" t="inlineStr"/>
      <c r="L1372" t="inlineStr"/>
      <c r="M1372" t="inlineStr"/>
      <c r="N1372" t="inlineStr"/>
      <c r="O1372">
        <f>(1-Summary!$B$11)*S1372+Summary!$B$11*U1372</f>
        <v/>
      </c>
      <c r="P1372">
        <f>IF(B1393=0,0,O1372/B1393)</f>
        <v/>
      </c>
      <c r="Q1372">
        <f>IFERROR(1/IF(Inputs!$B$38="pvp",15,MAX(0.1,Skills!D15-IF(Skills!E15=TRUE,Inputs!$B$32,0))),0)</f>
        <v/>
      </c>
      <c r="R1372" t="n">
        <v>0</v>
      </c>
      <c r="S1372" t="n">
        <v>0</v>
      </c>
      <c r="U1372" t="n">
        <v>0</v>
      </c>
    </row>
    <row r="1373">
      <c r="A1373">
        <f>Skills!A16</f>
        <v/>
      </c>
      <c r="B1373">
        <f>Skills!B16</f>
        <v/>
      </c>
      <c r="C1373">
        <f>Inputs!$B$3&gt;=110</f>
        <v/>
      </c>
      <c r="D1373">
        <f>IF(Skills!C16=1,60+Inputs!$B$25+Inputs!$B$29,IF(Skills!C16=2,90+Inputs!$B$26+Inputs!$B$29,IF(Skills!C16=3,120+Inputs!$B$27+Inputs!$B$29,MAX(0,(Inputs!$B$3-100)*3)+Inputs!$B$28+Inputs!$B$29)))</f>
        <v/>
      </c>
      <c r="E1373">
        <f>INDEX(FactorTable!$B$2:$Y$301, MATCH(ROUND(MIN(300,MAX(1,D1373)),0), FactorTable!$A$2:$A$301,0), Skills!L16+1)</f>
        <v/>
      </c>
      <c r="F1373">
        <f>(Skills!K16/10)*(E1373/1000)*64/45+Skills!N16</f>
        <v/>
      </c>
      <c r="G1373">
        <f>Calc!G16</f>
        <v/>
      </c>
      <c r="H1373">
        <f>Calc!H16</f>
        <v/>
      </c>
      <c r="I1373">
        <f>IF(Skills!T16&lt;&gt;"",1+(Skills!T16/10)*(Z1360/1000)/100,1)</f>
        <v/>
      </c>
      <c r="J1373" t="inlineStr"/>
      <c r="K1373" t="inlineStr"/>
      <c r="L1373" t="inlineStr"/>
      <c r="M1373" t="inlineStr"/>
      <c r="N1373" t="inlineStr"/>
      <c r="O1373">
        <f>(1-Summary!$B$11)*S1373+Summary!$B$11*U1373</f>
        <v/>
      </c>
      <c r="P1373">
        <f>IF(B1393=0,0,O1373/B1393)</f>
        <v/>
      </c>
      <c r="Q1373">
        <f>IFERROR(1/IF(Inputs!$B$38="pvp",15,MAX(0.1,Skills!D16-IF(Skills!E16=TRUE,Inputs!$B$32,0))),0)</f>
        <v/>
      </c>
      <c r="R1373">
        <f>IF(AND(Inputs!$B$38&lt;&gt;"pvp",Inputs!$B$43&gt;0),IF(Inputs!$B$43&lt;=0,0,(INT(Inputs!$B$43/IF(Inputs!$B$38="pvp",15,MAX(0.1,Skills!D16-IF(Skills!E16=TRUE,Inputs!$B$32,0))))+1)),0)</f>
        <v/>
      </c>
      <c r="S1373" t="n">
        <v>0</v>
      </c>
      <c r="U1373" t="n">
        <v>0</v>
      </c>
    </row>
    <row r="1374">
      <c r="A1374">
        <f>Skills!A17</f>
        <v/>
      </c>
      <c r="B1374">
        <f>Skills!B17</f>
        <v/>
      </c>
      <c r="C1374">
        <f>Inputs!$B$3&gt;=33</f>
        <v/>
      </c>
      <c r="D1374">
        <f>IF(Skills!C17=1,60+Inputs!$B$25+Inputs!$B$29,IF(Skills!C17=2,90+Inputs!$B$26+Inputs!$B$29,IF(Skills!C17=3,120+Inputs!$B$27+Inputs!$B$29,MAX(0,(Inputs!$B$3-100)*3)+Inputs!$B$28+Inputs!$B$29)))</f>
        <v/>
      </c>
      <c r="E1374">
        <f>INDEX(FactorTable!$B$2:$Y$301, MATCH(ROUND(MIN(300,MAX(1,D1374)),0), FactorTable!$A$2:$A$301,0), Skills!L17+1)</f>
        <v/>
      </c>
      <c r="F1374">
        <f>IF(Skills!M17=TRUE,(Skills!K17/10)*(E1374/1000),Skills!K17/10)+Skills!N17</f>
        <v/>
      </c>
      <c r="G1374">
        <f>Calc!G17</f>
        <v/>
      </c>
      <c r="H1374">
        <f>Calc!H17</f>
        <v/>
      </c>
      <c r="I1374">
        <f>IF(Skills!T17&lt;&gt;"",1+(Skills!T17/10)*(Z1360/1000)/100,1)</f>
        <v/>
      </c>
      <c r="J1374" t="inlineStr"/>
      <c r="K1374" t="inlineStr"/>
      <c r="L1374" t="inlineStr"/>
      <c r="M1374" t="inlineStr"/>
      <c r="N1374" t="inlineStr"/>
      <c r="O1374">
        <f>(1-Summary!$B$11)*S1374+Summary!$B$11*U1374</f>
        <v/>
      </c>
      <c r="P1374">
        <f>IF(B1393=0,0,O1374/B1393)</f>
        <v/>
      </c>
      <c r="Q1374">
        <f>IFERROR(1/IF(Inputs!$B$38="pvp",15,MAX(0.1,Skills!D17-IF(Skills!E17=TRUE,Inputs!$B$32,0))),0)</f>
        <v/>
      </c>
      <c r="R1374" t="n">
        <v>0</v>
      </c>
      <c r="S1374" t="n">
        <v>0</v>
      </c>
      <c r="U1374" t="n">
        <v>0</v>
      </c>
    </row>
    <row r="1375">
      <c r="A1375">
        <f>Skills!A18</f>
        <v/>
      </c>
      <c r="B1375">
        <f>Skills!B18</f>
        <v/>
      </c>
      <c r="C1375">
        <f>Inputs!$B$3&gt;=43</f>
        <v/>
      </c>
      <c r="D1375">
        <f>IF(Skills!C18=1,60+Inputs!$B$25+Inputs!$B$29,IF(Skills!C18=2,90+Inputs!$B$26+Inputs!$B$29,IF(Skills!C18=3,120+Inputs!$B$27+Inputs!$B$29,MAX(0,(Inputs!$B$3-100)*3)+Inputs!$B$28+Inputs!$B$29)))</f>
        <v/>
      </c>
      <c r="E1375">
        <f>INDEX(FactorTable!$B$2:$Y$301, MATCH(ROUND(MIN(300,MAX(1,D1375)),0), FactorTable!$A$2:$A$301,0), Skills!L18+1)</f>
        <v/>
      </c>
      <c r="F1375">
        <f>IF(Skills!M18=TRUE,(Skills!K18/10)*(E1375/1000),Skills!K18/10)+Skills!N18</f>
        <v/>
      </c>
      <c r="G1375">
        <f>Calc!G18</f>
        <v/>
      </c>
      <c r="H1375">
        <f>Calc!H18</f>
        <v/>
      </c>
      <c r="I1375">
        <f>IF(Skills!T18&lt;&gt;"",1+(Skills!T18/10)*(Z1360/1000)/100,1)</f>
        <v/>
      </c>
      <c r="J1375" t="inlineStr"/>
      <c r="K1375" t="inlineStr"/>
      <c r="L1375" t="inlineStr"/>
      <c r="M1375" t="inlineStr"/>
      <c r="N1375" t="inlineStr"/>
      <c r="O1375">
        <f>(1-Summary!$B$11)*S1375+Summary!$B$11*U1375</f>
        <v/>
      </c>
      <c r="P1375">
        <f>IF(B1393=0,0,O1375/B1393)</f>
        <v/>
      </c>
      <c r="Q1375">
        <f>IFERROR(1/IF(Inputs!$B$38="pvp",15,MAX(0.1,Skills!D18-IF(Skills!E18=TRUE,Inputs!$B$32,0))),0)</f>
        <v/>
      </c>
      <c r="R1375" t="n">
        <v>0</v>
      </c>
      <c r="S1375" t="n">
        <v>0</v>
      </c>
      <c r="U1375" t="n">
        <v>0</v>
      </c>
    </row>
    <row r="1376">
      <c r="A1376">
        <f>Skills!A19</f>
        <v/>
      </c>
      <c r="B1376">
        <f>Skills!B19</f>
        <v/>
      </c>
      <c r="C1376">
        <f>Inputs!$B$3&gt;=50</f>
        <v/>
      </c>
      <c r="D1376">
        <f>IF(Skills!C19=1,60+Inputs!$B$25+Inputs!$B$29,IF(Skills!C19=2,90+Inputs!$B$26+Inputs!$B$29,IF(Skills!C19=3,120+Inputs!$B$27+Inputs!$B$29,MAX(0,(Inputs!$B$3-100)*3)+Inputs!$B$28+Inputs!$B$29)))</f>
        <v/>
      </c>
      <c r="E1376">
        <f>INDEX(FactorTable!$B$2:$Y$301, MATCH(ROUND(MIN(300,MAX(1,D1376)),0), FactorTable!$A$2:$A$301,0), Skills!L19+1)</f>
        <v/>
      </c>
      <c r="F1376">
        <f>IF(Skills!M19=TRUE,(Skills!K19/10)*(E1376/1000),Skills!K19/10)+Skills!N19</f>
        <v/>
      </c>
      <c r="G1376">
        <f>Calc!G19</f>
        <v/>
      </c>
      <c r="H1376">
        <f>Calc!H19</f>
        <v/>
      </c>
      <c r="I1376">
        <f>IF(Skills!T19&lt;&gt;"",1+(Skills!T19/10)*(Z1360/1000)/100,1)</f>
        <v/>
      </c>
      <c r="J1376" t="inlineStr"/>
      <c r="K1376" t="inlineStr"/>
      <c r="L1376" t="inlineStr"/>
      <c r="M1376" t="inlineStr"/>
      <c r="N1376" t="inlineStr"/>
      <c r="O1376">
        <f>(1-Summary!$B$11)*S1376+Summary!$B$11*U1376</f>
        <v/>
      </c>
      <c r="P1376">
        <f>IF(B1393=0,0,O1376/B1393)</f>
        <v/>
      </c>
      <c r="Q1376">
        <f>IFERROR(1/IF(Inputs!$B$38="pvp",15,MAX(0.1,Skills!D19-IF(Skills!E19=TRUE,Inputs!$B$32,0))),0)</f>
        <v/>
      </c>
      <c r="R1376" t="n">
        <v>0</v>
      </c>
      <c r="S1376" t="n">
        <v>0</v>
      </c>
      <c r="U1376" t="n">
        <v>0</v>
      </c>
    </row>
    <row r="1377">
      <c r="A1377">
        <f>Skills!A20</f>
        <v/>
      </c>
      <c r="B1377">
        <f>Skills!B20</f>
        <v/>
      </c>
      <c r="C1377">
        <f>Inputs!$B$3&gt;=74</f>
        <v/>
      </c>
      <c r="D1377">
        <f>IF(Skills!C20=1,60+Inputs!$B$25+Inputs!$B$29,IF(Skills!C20=2,90+Inputs!$B$26+Inputs!$B$29,IF(Skills!C20=3,120+Inputs!$B$27+Inputs!$B$29,MAX(0,(Inputs!$B$3-100)*3)+Inputs!$B$28+Inputs!$B$29)))</f>
        <v/>
      </c>
      <c r="E1377">
        <f>INDEX(FactorTable!$B$2:$Y$301, MATCH(ROUND(MIN(300,MAX(1,D1377)),0), FactorTable!$A$2:$A$301,0), Skills!L20+1)</f>
        <v/>
      </c>
      <c r="F1377">
        <f>IF(Skills!M20=TRUE,(Skills!K20/10)*(E1377/1000),Skills!K20/10)+Skills!N20</f>
        <v/>
      </c>
      <c r="G1377">
        <f>Calc!G20</f>
        <v/>
      </c>
      <c r="H1377">
        <f>Calc!H20</f>
        <v/>
      </c>
      <c r="I1377">
        <f>IF(Skills!T20&lt;&gt;"",1+(Skills!T20/10)*(Z1360/1000)/100,1)</f>
        <v/>
      </c>
      <c r="J1377" t="inlineStr"/>
      <c r="K1377" t="inlineStr"/>
      <c r="L1377" t="inlineStr"/>
      <c r="M1377" t="inlineStr"/>
      <c r="N1377" t="inlineStr"/>
      <c r="O1377">
        <f>(1-Summary!$B$11)*S1377+Summary!$B$11*U1377</f>
        <v/>
      </c>
      <c r="P1377">
        <f>IF(B1393=0,0,O1377/B1393)</f>
        <v/>
      </c>
      <c r="Q1377">
        <f>IFERROR(1/IF(Inputs!$B$38="pvp",15,MAX(0.1,Skills!D20-IF(Skills!E20=TRUE,Inputs!$B$32,0))),0)</f>
        <v/>
      </c>
      <c r="R1377" t="n">
        <v>0</v>
      </c>
      <c r="S1377" t="n">
        <v>0</v>
      </c>
      <c r="U1377" t="n">
        <v>0</v>
      </c>
    </row>
    <row r="1378">
      <c r="A1378">
        <f>Skills!A21</f>
        <v/>
      </c>
      <c r="B1378">
        <f>Skills!B21</f>
        <v/>
      </c>
      <c r="C1378">
        <f>Inputs!$B$3&gt;=74</f>
        <v/>
      </c>
      <c r="D1378">
        <f>IF(Skills!C21=1,60+Inputs!$B$25+Inputs!$B$29,IF(Skills!C21=2,90+Inputs!$B$26+Inputs!$B$29,IF(Skills!C21=3,120+Inputs!$B$27+Inputs!$B$29,MAX(0,(Inputs!$B$3-100)*3)+Inputs!$B$28+Inputs!$B$29)))</f>
        <v/>
      </c>
      <c r="E1378">
        <f>INDEX(FactorTable!$B$2:$Y$301, MATCH(ROUND(MIN(300,MAX(1,D1378)),0), FactorTable!$A$2:$A$301,0), Skills!L21+1)</f>
        <v/>
      </c>
      <c r="F1378">
        <f>IF(Skills!M21=TRUE,(Skills!K21/10)*(E1378/1000),Skills!K21/10)+Skills!N21</f>
        <v/>
      </c>
      <c r="G1378">
        <f>Calc!G21</f>
        <v/>
      </c>
      <c r="H1378">
        <f>Calc!H21</f>
        <v/>
      </c>
      <c r="I1378">
        <f>IF(Skills!T21&lt;&gt;"",1+(Skills!T21/10)*(Z1360/1000)/100,1)</f>
        <v/>
      </c>
      <c r="J1378" t="inlineStr"/>
      <c r="K1378" t="inlineStr"/>
      <c r="L1378" t="inlineStr"/>
      <c r="M1378" t="inlineStr"/>
      <c r="N1378" t="inlineStr"/>
      <c r="O1378">
        <f>(1-Summary!$B$11)*S1378+Summary!$B$11*U1378</f>
        <v/>
      </c>
      <c r="P1378">
        <f>IF(B1393=0,0,O1378/B1393)</f>
        <v/>
      </c>
      <c r="Q1378">
        <f>IFERROR(1/IF(Inputs!$B$38="pvp",15,MAX(0.1,Skills!D21-IF(Skills!E21=TRUE,Inputs!$B$32,0))),0)</f>
        <v/>
      </c>
      <c r="R1378" t="n">
        <v>0</v>
      </c>
      <c r="S1378" t="n">
        <v>0</v>
      </c>
      <c r="U1378" t="n">
        <v>0</v>
      </c>
    </row>
    <row r="1379">
      <c r="A1379">
        <f>Skills!A22</f>
        <v/>
      </c>
      <c r="B1379">
        <f>Skills!B22</f>
        <v/>
      </c>
      <c r="C1379">
        <f>Inputs!$B$3&gt;=117</f>
        <v/>
      </c>
      <c r="D1379">
        <f>IF(Skills!C22=1,60+Inputs!$B$25+Inputs!$B$29,IF(Skills!C22=2,90+Inputs!$B$26+Inputs!$B$29,IF(Skills!C22=3,120+Inputs!$B$27+Inputs!$B$29,MAX(0,(Inputs!$B$3-100)*3)+Inputs!$B$28+Inputs!$B$29)))</f>
        <v/>
      </c>
      <c r="E1379">
        <f>INDEX(FactorTable!$B$2:$Y$301, MATCH(ROUND(MIN(300,MAX(1,D1379)),0), FactorTable!$A$2:$A$301,0), Skills!L22+1)</f>
        <v/>
      </c>
      <c r="F1379">
        <f>IF(Skills!M22=TRUE,(Skills!K22/10)*(E1379/1000),Skills!K22/10)+Skills!N22</f>
        <v/>
      </c>
      <c r="G1379">
        <f>Calc!G22</f>
        <v/>
      </c>
      <c r="H1379">
        <f>Calc!H22</f>
        <v/>
      </c>
      <c r="I1379">
        <f>IF(Skills!T22&lt;&gt;"",1+(Skills!T22/10)*(Z1360/1000)/100,1)</f>
        <v/>
      </c>
      <c r="J1379" t="inlineStr"/>
      <c r="K1379" t="inlineStr"/>
      <c r="L1379" t="inlineStr"/>
      <c r="M1379" t="inlineStr"/>
      <c r="N1379" t="inlineStr"/>
      <c r="O1379">
        <f>(1-Summary!$B$11)*S1379+Summary!$B$11*U1379</f>
        <v/>
      </c>
      <c r="P1379">
        <f>IF(B1393=0,0,O1379/B1393)</f>
        <v/>
      </c>
      <c r="Q1379">
        <f>IFERROR(1/IF(Inputs!$B$38="pvp",15,MAX(0.1,Skills!D22-IF(Skills!E22=TRUE,Inputs!$B$32,0))),0)</f>
        <v/>
      </c>
      <c r="R1379" t="n">
        <v>0</v>
      </c>
      <c r="S1379" t="n">
        <v>0</v>
      </c>
      <c r="U1379" t="n">
        <v>0</v>
      </c>
    </row>
    <row r="1380">
      <c r="A1380">
        <f>Skills!A23</f>
        <v/>
      </c>
      <c r="B1380">
        <f>Skills!B23</f>
        <v/>
      </c>
      <c r="C1380">
        <f>Inputs!$B$3&gt;=120</f>
        <v/>
      </c>
      <c r="D1380">
        <f>IF(Skills!C23=1,60+Inputs!$B$25+Inputs!$B$29,IF(Skills!C23=2,90+Inputs!$B$26+Inputs!$B$29,IF(Skills!C23=3,120+Inputs!$B$27+Inputs!$B$29,MAX(0,(Inputs!$B$3-100)*3)+Inputs!$B$28+Inputs!$B$29)))</f>
        <v/>
      </c>
      <c r="E1380">
        <f>INDEX(FactorTable!$B$2:$Y$301, MATCH(ROUND(MIN(300,MAX(1,D1380)),0), FactorTable!$A$2:$A$301,0), Skills!L23+1)</f>
        <v/>
      </c>
      <c r="F1380">
        <f>IF(Skills!M23=TRUE,(Skills!K23/10)*(E1380/1000),Skills!K23/10)+Skills!N23</f>
        <v/>
      </c>
      <c r="G1380">
        <f>Calc!G23</f>
        <v/>
      </c>
      <c r="H1380">
        <f>Calc!H23</f>
        <v/>
      </c>
      <c r="I1380">
        <f>IF(Skills!T23&lt;&gt;"",1+(Skills!T23/10)*(Z1360/1000)/100,1)</f>
        <v/>
      </c>
      <c r="J1380" t="inlineStr"/>
      <c r="K1380" t="inlineStr"/>
      <c r="L1380" t="inlineStr"/>
      <c r="M1380" t="inlineStr"/>
      <c r="N1380" t="inlineStr"/>
      <c r="O1380">
        <f>(1-Summary!$B$11)*S1380+Summary!$B$11*U1380</f>
        <v/>
      </c>
      <c r="P1380">
        <f>IF(B1393=0,0,O1380/B1393)</f>
        <v/>
      </c>
      <c r="Q1380">
        <f>IFERROR(1/IF(Inputs!$B$38="pvp",15,MAX(0.1,Skills!D23-IF(Skills!E23=TRUE,Inputs!$B$32,0))),0)</f>
        <v/>
      </c>
      <c r="R1380" t="n">
        <v>0</v>
      </c>
      <c r="S1380" t="n">
        <v>0</v>
      </c>
      <c r="U1380" t="n">
        <v>0</v>
      </c>
    </row>
    <row r="1383">
      <c r="A1383" t="inlineStr">
        <is>
          <t>Average Buff Multiplier (Magic Guard + Meditation + Artifact Attack%, summed; then Infinity)</t>
        </is>
      </c>
      <c r="B1383">
        <f>(1+(IF(C1360=TRUE,F1360*IF(AND(Inputs!$B$38&lt;&gt;"pvp",Inputs!$B$43&gt;0),(((R1360-1)*(Skills!S3*(1+(Inputs!$B$34+IF(Inputs!$B$3&gt;=117,F1379,0))/100))+MIN((Skills!S3*(1+(Inputs!$B$34+IF(Inputs!$B$3&gt;=117,F1379,0))/100)),MAX(0,Inputs!$B$43-((R1360-1)*Skills!D3))))/Inputs!$B$43),IF(Inputs!$B$38="pvp",MIN((Skills!S3*(1+(Inputs!$B$34+IF(Inputs!$B$3&gt;=117,F1379,0))/100)),15)/15,(Skills!S3*(1+(Inputs!$B$34+IF(Inputs!$B$3&gt;=117,F1379,0))/100))/Skills!D3)),0)+IF(C1361=TRUE,F1361*IF(AND(Inputs!$B$38&lt;&gt;"pvp",Inputs!$B$43&gt;0),(((R1361-1)*(Skills!S4*(1+(Inputs!$B$34+IF(Inputs!$B$3&gt;=117,F1379,0))/100))+MIN((Skills!S4*(1+(Inputs!$B$34+IF(Inputs!$B$3&gt;=117,F1379,0))/100)),MAX(0,Inputs!$B$43-((R1361-1)*Skills!D4))))/Inputs!$B$43),IF(Inputs!$B$38="pvp",MIN((Skills!S4*(1+(Inputs!$B$34+IF(Inputs!$B$3&gt;=117,F1379,0))/100)),15)/15,(Skills!S4*(1+(Inputs!$B$34+IF(Inputs!$B$3&gt;=117,F1379,0)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1373=TRUE,(1+F1373*IF(AND(Inputs!$B$38&lt;&gt;"pvp",Inputs!$B$43&gt;0),(((R1373-1)*(Skills!S16*(1+(Inputs!$B$34+IF(Inputs!$B$3&gt;=117,F1379,0))/100))+MIN((Skills!S16*(1+(Inputs!$B$34+IF(Inputs!$B$3&gt;=117,F1379,0))/100)),MAX(0,Inputs!$B$43-((R1373-1)*Skills!D16))))/Inputs!$B$43),IF(Inputs!$B$38="pvp",MIN((Skills!S16*(1+(Inputs!$B$34+IF(Inputs!$B$3&gt;=117,F1379,0))/100)),15)/15,(Skills!S16*(1+(Inputs!$B$34+IF(Inputs!$B$3&gt;=117,F1379,0))/100))/Skills!D16))/100),1)</f>
        <v/>
      </c>
    </row>
    <row r="1384">
      <c r="A1384" t="inlineStr">
        <is>
          <t>Monster Damage Taken Bonus % (Freezing Breath - Weaken + Elemental Reset + Artifact Enemy Damage Taken, summed)</t>
        </is>
      </c>
      <c r="B1384">
        <f>IF(Inputs!$B$3&gt;=118,15*IF(Inputs!$B$38="pvp",MIN((30*(1+(Inputs!$B$34+IF(Inputs!$B$3&gt;=117,F1379,0))/100)),15)/15,(30*(1+(Inputs!$B$34+IF(Inputs!$B$3&gt;=117,F1379,0))/100))/Skills!D8),0)+IF(C1371=TRUE,F1371,0)+(IF(AND(ArtifactsInput!$M$35,Inputs!$B$4&lt;&gt;"Chapter Hunt"),CHOOSE(ArtifactsInput!$N$35+1,15,18,21,24,27,30)*(1-EXP(-(0.2*B1387)*5)),0)+IF(AND(ArtifactsInput!$M$22,Inputs!$B$4&lt;&gt;"Chapter Hunt"),CHOOSE(ArtifactsInput!$N$22+1,10,12,14,16,18,20)*((0*(((0.15*B1387*5))^0/1)+1*(((0.15*B1387*5))^1/1)+2*(((0.15*B1387*5))^2/2)+3*(((0.15*B1387*5))^3/6)+4*(((0.15*B1387*5))^4/24)+5*(((0.15*B1387*5))^5/120))/((((0.15*B1387*5))^0/1)+(((0.15*B1387*5))^1/1)+(((0.15*B1387*5))^2/2)+(((0.15*B1387*5))^3/6)+(((0.15*B1387*5))^4/24)+(((0.15*B1387*5))^5/120))),0))</f>
        <v/>
      </c>
    </row>
    <row r="1385">
      <c r="A1385" t="inlineStr">
        <is>
          <t>Damage % Bonus (Frozen Break + Frost Clutch, flat)</t>
        </is>
      </c>
      <c r="B1385">
        <f>IF(Inputs!$B$3&gt;=66,15,0)+IF(Inputs!$B$3&gt;=98,10,0)+IF(Inputs!$B$3&gt;=125,20,0)</f>
        <v/>
      </c>
    </row>
    <row r="1386">
      <c r="A1386" t="inlineStr">
        <is>
          <t>Attack Speed Bonus % (MP Eater - MP Boost, always-on once unlocked)</t>
        </is>
      </c>
      <c r="B1386">
        <f>IF(C1370=TRUE,F1370+(F1374-Calc!F17),0)</f>
        <v/>
      </c>
    </row>
    <row r="1387">
      <c r="A1387" t="inlineStr">
        <is>
          <t>Actions Per Second</t>
        </is>
      </c>
      <c r="B1387">
        <f>1+MIN(150,150*(1-(1-(Inputs!$B$11+(ArtifactsInput!$M$15-ArtifactsInput!$M$15)*CHOOSE(ArtifactsInput!$N$15+1,8,9.6,11.2,12.8,14.4,16))/150)*(1-B1386/150)))/100</f>
        <v/>
      </c>
    </row>
    <row r="1388">
      <c r="A1388" t="inlineStr">
        <is>
          <t>Skill + Buff Cast Rate</t>
        </is>
      </c>
      <c r="B1388">
        <f>IF(AND(Inputs!$B$38&lt;&gt;"pvp",Inputs!$B$43&gt;0),SUMPRODUCT((Skills!E2:E23=TRUE)*(C1359:C1380=TRUE)*R1359:R1380)/Inputs!$B$43,SUMPRODUCT((Skills!E2:E23=TRUE)*(C1359:C1380=TRUE)*Q1359:Q1380))</f>
        <v/>
      </c>
    </row>
    <row r="1389">
      <c r="A1389" t="inlineStr">
        <is>
          <t>Chain Lightning Casts Per Second</t>
        </is>
      </c>
      <c r="B1389">
        <f>MAX(0,B1387-B1388)</f>
        <v/>
      </c>
    </row>
    <row r="1390">
      <c r="A1390" t="inlineStr">
        <is>
          <t>Buff-Casting Startup Delay (s, fixed-duration only)</t>
        </is>
      </c>
      <c r="B1390">
        <f>IF(AND(Inputs!$B$38&lt;&gt;"pvp",Inputs!$B$43&gt;0),SUMPRODUCT((Skills!S2:S23&gt;0)*(Skills!E2:E23=TRUE)*(C1359:C1380=TRUE))/B1387,0)</f>
        <v/>
      </c>
    </row>
    <row r="1391">
      <c r="A1391" t="inlineStr">
        <is>
          <t>Boss-Only Total DPS (this block's swept value)</t>
        </is>
      </c>
      <c r="B1391">
        <f>SUM(S1359:S1380)</f>
        <v/>
      </c>
    </row>
    <row r="1392">
      <c r="A1392" t="inlineStr">
        <is>
          <t>Normal-Only Total DPS (this block's swept value)</t>
        </is>
      </c>
      <c r="B1392">
        <f>SUM(U1359:U1380)</f>
        <v/>
      </c>
    </row>
    <row r="1393">
      <c r="A1393" s="6" t="inlineStr">
        <is>
          <t>TOTAL DPS</t>
        </is>
      </c>
      <c r="B1393" s="6">
        <f>SUM(O1359:O1380)</f>
        <v/>
      </c>
    </row>
    <row r="1396">
      <c r="A1396" s="6" t="inlineStr">
        <is>
          <t>Stat: Athena Pierce's Old Gloves (Equip)</t>
        </is>
      </c>
    </row>
    <row r="1397">
      <c r="A1397" s="5" t="inlineStr">
        <is>
          <t>Key</t>
        </is>
      </c>
      <c r="B1397" s="5" t="inlineStr">
        <is>
          <t>Name</t>
        </is>
      </c>
      <c r="C1397" s="5" t="inlineStr">
        <is>
          <t>Unlocked</t>
        </is>
      </c>
      <c r="D1397" s="5" t="inlineStr">
        <is>
          <t>InputLevel</t>
        </is>
      </c>
      <c r="E1397" s="5" t="inlineStr">
        <is>
          <t>Factor</t>
        </is>
      </c>
      <c r="F1397" s="5" t="inlineStr">
        <is>
          <t>CoefficientPercent</t>
        </is>
      </c>
      <c r="G1397" s="5" t="inlineStr">
        <is>
          <t>EffectiveHits</t>
        </is>
      </c>
      <c r="H1397" s="5" t="inlineStr">
        <is>
          <t>ProcProbability</t>
        </is>
      </c>
      <c r="I1397" s="5" t="inlineStr">
        <is>
          <t>MapleHeroMultiplier</t>
        </is>
      </c>
      <c r="J1397" s="5" t="inlineStr">
        <is>
          <t>BaseDamage</t>
        </is>
      </c>
      <c r="K1397" s="5" t="inlineStr">
        <is>
          <t>BaseHitDamage</t>
        </is>
      </c>
      <c r="L1397" s="5" t="inlineStr">
        <is>
          <t>NonCritAvg</t>
        </is>
      </c>
      <c r="M1397" s="5" t="inlineStr">
        <is>
          <t>CritAvg</t>
        </is>
      </c>
      <c r="N1397" s="5" t="inlineStr">
        <is>
          <t>ExpectedDamage(perHit)</t>
        </is>
      </c>
      <c r="O1397" s="5" t="inlineStr">
        <is>
          <t>DPS</t>
        </is>
      </c>
      <c r="P1397" s="5" t="inlineStr">
        <is>
          <t>% of Total</t>
        </is>
      </c>
      <c r="R1397" t="inlineStr">
        <is>
          <t>helpers</t>
        </is>
      </c>
    </row>
    <row r="1398">
      <c r="A1398">
        <f>Skills!A2</f>
        <v/>
      </c>
      <c r="B1398">
        <f>Skills!B2</f>
        <v/>
      </c>
      <c r="C1398">
        <f>Inputs!$B$3&gt;=100</f>
        <v/>
      </c>
      <c r="D1398" t="inlineStr"/>
      <c r="E1398" t="inlineStr"/>
      <c r="F1398">
        <f>T1400+Skills!N2</f>
        <v/>
      </c>
      <c r="G1398">
        <f>Calc!G2</f>
        <v/>
      </c>
      <c r="H1398">
        <f>Calc!H2</f>
        <v/>
      </c>
      <c r="I1398">
        <f>IF(Skills!T2&lt;&gt;"",1+(Skills!T2/10)*(Z1399/1000)/100,1)</f>
        <v/>
      </c>
      <c r="J1398">
        <f>((Inputs!$B$6*(1+Inputs!$B$7/100))+(((Inputs!$B$12*(1+Inputs!$B$13/100))-(Inputs!$B$12*(1+Inputs!$B$13/100)))+0.25*(Inputs!$B$14-Inputs!$B$14))*(1+Inputs!$B$7/100))*(F1398/100)</f>
        <v/>
      </c>
      <c r="K1398">
        <f>J1398*(1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398">
        <f>L1398*(1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IF(B1432=0,0,O1398/B1432)</f>
        <v/>
      </c>
      <c r="Q1398">
        <f>IFERROR(1/IF(Inputs!$B$38="pvp",15,MAX(0.1,Skills!D2-IF(Skills!E2=TRUE,Inputs!$B$32,0))),0)</f>
        <v/>
      </c>
      <c r="R1398" t="n">
        <v>0</v>
      </c>
      <c r="S1398">
        <f>IF(C1398,(Skills!F2*N1398*B1428)*IF(Inputs!$B$38="pvp",1,1+(Inputs!$B$20+Skills!O2+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8">
        <f>MAX(0,(Inputs!$B$3-100)*3)+Inputs!$B$28+Inputs!$B$29</f>
        <v/>
      </c>
      <c r="U1398">
        <f>IF(C1398,(Skills!F2*N1398*B1428)*IF(Inputs!$B$38="pvp",1,(1+(Inputs!$B$21+Skills!P2+B1423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8">
        <f>MAX(0,(Inputs!$B$3-100)*3)+Inputs!$B$28+Inputs!$B$29</f>
        <v/>
      </c>
    </row>
    <row r="1399">
      <c r="A1399">
        <f>Skills!A3</f>
        <v/>
      </c>
      <c r="B1399">
        <f>Skills!B3</f>
        <v/>
      </c>
      <c r="C1399">
        <f>Inputs!$B$3&gt;=15</f>
        <v/>
      </c>
      <c r="D1399">
        <f>IF(Skills!C3=1,60+Inputs!$B$25+Inputs!$B$29,IF(Skills!C3=2,90+Inputs!$B$26+Inputs!$B$29,IF(Skills!C3=3,120+Inputs!$B$27+Inputs!$B$29,MAX(0,(Inputs!$B$3-100)*3)+Inputs!$B$28+Inputs!$B$29)))</f>
        <v/>
      </c>
      <c r="E1399">
        <f>INDEX(FactorTable!$B$2:$Y$301, MATCH(ROUND(MIN(300,MAX(1,D1399)),0), FactorTable!$A$2:$A$301,0), Skills!L3+1)</f>
        <v/>
      </c>
      <c r="F1399">
        <f>IF(Skills!M3=TRUE,(Skills!K3/10)*(E1399/1000),Skills!K3/10)+Skills!N3</f>
        <v/>
      </c>
      <c r="G1399">
        <f>Calc!G3</f>
        <v/>
      </c>
      <c r="H1399">
        <f>Calc!H3</f>
        <v/>
      </c>
      <c r="I1399">
        <f>IF(Skills!T3&lt;&gt;"",1+(Skills!T3/10)*(Z1399/1000)/100,1)</f>
        <v/>
      </c>
      <c r="J1399" t="inlineStr"/>
      <c r="K1399" t="inlineStr"/>
      <c r="L1399" t="inlineStr"/>
      <c r="M1399" t="inlineStr"/>
      <c r="N1399" t="inlineStr"/>
      <c r="O1399">
        <f>(1-Summary!$B$11)*S1399+Summary!$B$11*U1399</f>
        <v/>
      </c>
      <c r="P1399">
        <f>IF(B1432=0,0,O1399/B1432)</f>
        <v/>
      </c>
      <c r="Q1399">
        <f>IFERROR(1/IF(Inputs!$B$38="pvp",15,MAX(0.1,Skills!D3-IF(Skills!E3=TRUE,Inputs!$B$32,0))),0)</f>
        <v/>
      </c>
      <c r="R1399">
        <f>IF(AND(Inputs!$B$38&lt;&gt;"pvp",Inputs!$B$43&gt;0),IF(Inputs!$B$43&lt;=0,0,(INT(Inputs!$B$43/IF(Inputs!$B$38="pvp",15,MAX(0.1,Skills!D3-IF(Skills!E3=TRUE,Inputs!$B$32,0))))+1)),0)</f>
        <v/>
      </c>
      <c r="S1399" t="n">
        <v>0</v>
      </c>
      <c r="T1399">
        <f>INDEX(FactorTable!$B$2:$Y$301, MATCH(ROUND(MIN(300,MAX(1,T1398)),0), FactorTable!$A$2:$A$301,0), 22)</f>
        <v/>
      </c>
      <c r="U1399" t="n">
        <v>0</v>
      </c>
      <c r="Z1399">
        <f>INDEX(FactorTable!$B$2:$Y$301, MATCH(ROUND(MIN(300,MAX(1,Z1398)),0), FactorTable!$A$2:$A$301,0), 24)</f>
        <v/>
      </c>
    </row>
    <row r="1400">
      <c r="A1400">
        <f>Skills!A4</f>
        <v/>
      </c>
      <c r="B1400">
        <f>Skills!B4</f>
        <v/>
      </c>
      <c r="C1400">
        <f>Inputs!$B$3&gt;=40</f>
        <v/>
      </c>
      <c r="D1400">
        <f>IF(Skills!C4=1,60+Inputs!$B$25+Inputs!$B$29,IF(Skills!C4=2,90+Inputs!$B$26+Inputs!$B$29,IF(Skills!C4=3,120+Inputs!$B$27+Inputs!$B$29,MAX(0,(Inputs!$B$3-100)*3)+Inputs!$B$28+Inputs!$B$29)))</f>
        <v/>
      </c>
      <c r="E1400">
        <f>INDEX(FactorTable!$B$2:$Y$301, MATCH(ROUND(MIN(300,MAX(1,D1400)),0), FactorTable!$A$2:$A$301,0), Skills!L4+1)</f>
        <v/>
      </c>
      <c r="F1400">
        <f>IF(Skills!M4=TRUE,(Skills!K4/10)*(E1400/1000),Skills!K4/10)+Skills!N4</f>
        <v/>
      </c>
      <c r="G1400">
        <f>Calc!G4</f>
        <v/>
      </c>
      <c r="H1400">
        <f>Calc!H4</f>
        <v/>
      </c>
      <c r="I1400">
        <f>IF(Skills!T4&lt;&gt;"",1+(Skills!T4/10)*(Z1399/1000)/100,1)</f>
        <v/>
      </c>
      <c r="J1400" t="inlineStr"/>
      <c r="K1400" t="inlineStr"/>
      <c r="L1400" t="inlineStr"/>
      <c r="M1400" t="inlineStr"/>
      <c r="N1400" t="inlineStr"/>
      <c r="O1400">
        <f>(1-Summary!$B$11)*S1400+Summary!$B$11*U1400</f>
        <v/>
      </c>
      <c r="P1400">
        <f>IF(B1432=0,0,O1400/B1432)</f>
        <v/>
      </c>
      <c r="Q1400">
        <f>IFERROR(1/IF(Inputs!$B$38="pvp",15,MAX(0.1,Skills!D4-IF(Skills!E4=TRUE,Inputs!$B$32,0))),0)</f>
        <v/>
      </c>
      <c r="R1400">
        <f>IF(AND(Inputs!$B$38&lt;&gt;"pvp",Inputs!$B$43&gt;0),IF(Inputs!$B$43&lt;=0,0,(INT(Inputs!$B$43/IF(Inputs!$B$38="pvp",15,MAX(0.1,Skills!D4-IF(Skills!E4=TRUE,Inputs!$B$32,0))))+1)),0)</f>
        <v/>
      </c>
      <c r="S1400" t="n">
        <v>0</v>
      </c>
      <c r="T1400">
        <f>290*T1399/1000</f>
        <v/>
      </c>
      <c r="U1400" t="n">
        <v>0</v>
      </c>
    </row>
    <row r="1401">
      <c r="A1401">
        <f>Skills!A5</f>
        <v/>
      </c>
      <c r="B1401">
        <f>Skills!B5</f>
        <v/>
      </c>
      <c r="C1401">
        <f>Inputs!$B$3&gt;=38</f>
        <v/>
      </c>
      <c r="D1401">
        <f>IF(Skills!C5=1,60+Inputs!$B$25+Inputs!$B$29,IF(Skills!C5=2,90+Inputs!$B$26+Inputs!$B$29,IF(Skills!C5=3,120+Inputs!$B$27+Inputs!$B$29,MAX(0,(Inputs!$B$3-100)*3)+Inputs!$B$28+Inputs!$B$29)))</f>
        <v/>
      </c>
      <c r="E1401">
        <f>INDEX(FactorTable!$B$2:$Y$301, MATCH(ROUND(MIN(300,MAX(1,D1401)),0), FactorTable!$A$2:$A$301,0), Skills!L5+1)</f>
        <v/>
      </c>
      <c r="F1401">
        <f>IF(Skills!M5=TRUE,(Skills!K5/10)*(E1401/1000),Skills!K5/10)+Skills!N5</f>
        <v/>
      </c>
      <c r="G1401">
        <f>Calc!G5</f>
        <v/>
      </c>
      <c r="H1401">
        <f>Calc!H5</f>
        <v/>
      </c>
      <c r="I1401">
        <f>IF(Skills!T5&lt;&gt;"",1+(Skills!T5/10)*(Z1399/1000)/100,1)</f>
        <v/>
      </c>
      <c r="J1401">
        <f>((Inputs!$B$6*(1+Inputs!$B$7/100))+(((Inputs!$B$12*(1+Inputs!$B$13/100))-(Inputs!$B$12*(1+Inputs!$B$13/100)))+0.25*(Inputs!$B$14-Inputs!$B$14))*(1+Inputs!$B$7/100))*(F1401/100)</f>
        <v/>
      </c>
      <c r="K1401">
        <f>J1401*(1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1">
        <f>L1401*(1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(1-Summary!$B$11)*S1401+Summary!$B$11*U1401</f>
        <v/>
      </c>
      <c r="P1401">
        <f>IF(B1432=0,0,O1401/B1432)</f>
        <v/>
      </c>
      <c r="Q1401">
        <f>IFERROR(1/IF(Inputs!$B$38="pvp",15,MAX(0.1,Skills!D5-IF(Skills!E5=TRUE,Inputs!$B$32,0))),0)</f>
        <v/>
      </c>
      <c r="R1401">
        <f>IF(AND(Inputs!$B$38&lt;&gt;"pvp",Inputs!$B$43&gt;0),IF(MAX(0,Inputs!$B$43-B1429)&lt;=0,0,(INT(MAX(0,Inputs!$B$43-B1429)/IF(Inputs!$B$38="pvp",15,MAX(0.1,Skills!D5-IF(Skills!E5=TRUE,Inputs!$B$32,0))))+1)),0)</f>
        <v/>
      </c>
      <c r="S1401">
        <f>IF(C1401,(H1401*N1401*IF(AND(Inputs!$B$38&lt;&gt;"pvp",Inputs!$B$43&gt;0),((Skills!F5*((R1401-1)*IF(Skills!G5&gt;0,Skills!H5/Skills!G5,1)+IF(Skills!G5&gt;0,MIN(Skills!H5,MAX(0,MAX(0,Inputs!$B$43-B1429)-((R1401-1)*IF(Inputs!$B$38="pvp",15,MAX(0.1,Skills!D5-IF(Skills!E5=TRUE,Inputs!$B$32,0))))))/Skills!G5,1)))/Inputs!$B$43),G1401*Q1401))*IF(Inputs!$B$38="pvp",1,1+(Inputs!$B$20+Skills!O5+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1401*(1-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IF(C1401,(H1401*N1401*IF(AND(Inputs!$B$38&lt;&gt;"pvp",Inputs!$B$43&gt;0),((Skills!F5*((R1401-1)*IF(Skills!G5&gt;0,Skills!H5/Skills!G5,1)+IF(Skills!G5&gt;0,MIN(Skills!H5,MAX(0,MAX(0,Inputs!$B$43-B1429)-((R1401-1)*IF(Inputs!$B$38="pvp",15,MAX(0.1,Skills!D5-IF(Skills!E5=TRUE,Inputs!$B$32,0))))))/Skills!G5,1)))/Inputs!$B$43),G1401*Q1401))*IF(Inputs!$B$38="pvp",1,(1+(Inputs!$B$21+Skills!P5+B1423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Skills!A6</f>
        <v/>
      </c>
      <c r="B1402">
        <f>Skills!B6</f>
        <v/>
      </c>
      <c r="C1402">
        <f>Inputs!$B$3&gt;=63</f>
        <v/>
      </c>
      <c r="D1402">
        <f>IF(Skills!C6=1,60+Inputs!$B$25+Inputs!$B$29,IF(Skills!C6=2,90+Inputs!$B$26+Inputs!$B$29,IF(Skills!C6=3,120+Inputs!$B$27+Inputs!$B$29,MAX(0,(Inputs!$B$3-100)*3)+Inputs!$B$28+Inputs!$B$29)))</f>
        <v/>
      </c>
      <c r="E1402">
        <f>INDEX(FactorTable!$B$2:$Y$301, MATCH(ROUND(MIN(300,MAX(1,D1402)),0), FactorTable!$A$2:$A$301,0), Skills!L6+1)</f>
        <v/>
      </c>
      <c r="F1402">
        <f>IF(Skills!M6=TRUE,(Skills!K6/10)*(E1402/1000),Skills!K6/10)+Skills!N6</f>
        <v/>
      </c>
      <c r="G1402">
        <f>Calc!G6</f>
        <v/>
      </c>
      <c r="H1402">
        <f>Calc!H6</f>
        <v/>
      </c>
      <c r="I1402">
        <f>IF(Skills!T6&lt;&gt;"",1+(Skills!T6/10)*(Z1399/1000)/100,1)</f>
        <v/>
      </c>
      <c r="J1402">
        <f>((Inputs!$B$6*(1+Inputs!$B$7/100))+(((Inputs!$B$12*(1+Inputs!$B$13/100))-(Inputs!$B$12*(1+Inputs!$B$13/100)))+0.25*(Inputs!$B$14-Inputs!$B$14))*(1+Inputs!$B$7/100))*(F1402/100)</f>
        <v/>
      </c>
      <c r="K1402">
        <f>J1402*(1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2">
        <f>L1402*(1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(1-Summary!$B$11)*S1402+Summary!$B$11*U1402</f>
        <v/>
      </c>
      <c r="P1402">
        <f>IF(B1432=0,0,O1402/B1432)</f>
        <v/>
      </c>
      <c r="Q1402">
        <f>IFERROR(1/IF(Inputs!$B$38="pvp",15,MAX(0.1,Skills!D6-IF(Skills!E6=TRUE,Inputs!$B$32,0))),0)</f>
        <v/>
      </c>
      <c r="R1402">
        <f>IF(AND(Inputs!$B$38&lt;&gt;"pvp",Inputs!$B$43&gt;0),IF(MAX(0,Inputs!$B$43-B1429)&lt;=0,0,(INT(MAX(0,Inputs!$B$43-B1429)/IF(Inputs!$B$38="pvp",15,MAX(0.1,Skills!D6-IF(Skills!E6=TRUE,Inputs!$B$32,0))))+1)),0)</f>
        <v/>
      </c>
      <c r="S1402">
        <f>IF(C1402,(H1402*N1402*IF(AND(Inputs!$B$38&lt;&gt;"pvp",Inputs!$B$43&gt;0),((Skills!F6*((R1402-1)*IF(Skills!G6&gt;0,Skills!H6/Skills!G6,1)+IF(Skills!G6&gt;0,MIN(Skills!H6,MAX(0,MAX(0,Inputs!$B$43-B1429)-((R1402-1)*IF(Inputs!$B$38="pvp",15,MAX(0.1,Skills!D6-IF(Skills!E6=TRUE,Inputs!$B$32,0))))))/Skills!G6,1)))/Inputs!$B$43),G1402*Q1402))*IF(Inputs!$B$38="pvp",1,1+(Inputs!$B$20+Skills!O6+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1402*(1-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2">
        <f>IF(C1402,(H1402*N1402*IF(AND(Inputs!$B$38&lt;&gt;"pvp",Inputs!$B$43&gt;0),((Skills!F6*((R1402-1)*IF(Skills!G6&gt;0,Skills!H6/Skills!G6,1)+IF(Skills!G6&gt;0,MIN(Skills!H6,MAX(0,MAX(0,Inputs!$B$43-B1429)-((R1402-1)*IF(Inputs!$B$38="pvp",15,MAX(0.1,Skills!D6-IF(Skills!E6=TRUE,Inputs!$B$32,0))))))/Skills!G6,1)))/Inputs!$B$43),G1402*Q1402))*IF(Inputs!$B$38="pvp",1,(1+(Inputs!$B$21+Skills!P6+B1423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Skills!A7</f>
        <v/>
      </c>
      <c r="B1403">
        <f>Skills!B7</f>
        <v/>
      </c>
      <c r="C1403">
        <f>Inputs!$B$3&gt;=69</f>
        <v/>
      </c>
      <c r="D1403">
        <f>IF(Skills!C7=1,60+Inputs!$B$25+Inputs!$B$29,IF(Skills!C7=2,90+Inputs!$B$26+Inputs!$B$29,IF(Skills!C7=3,120+Inputs!$B$27+Inputs!$B$29,MAX(0,(Inputs!$B$3-100)*3)+Inputs!$B$28+Inputs!$B$29)))</f>
        <v/>
      </c>
      <c r="E1403">
        <f>INDEX(FactorTable!$B$2:$Y$301, MATCH(ROUND(MIN(300,MAX(1,D1403)),0), FactorTable!$A$2:$A$301,0), Skills!L7+1)</f>
        <v/>
      </c>
      <c r="F1403">
        <f>IF(Skills!M7=TRUE,(Skills!K7/10)*(E1403/1000),Skills!K7/10)+Skills!N7</f>
        <v/>
      </c>
      <c r="G1403">
        <f>Calc!G7</f>
        <v/>
      </c>
      <c r="H1403">
        <f>Calc!H7</f>
        <v/>
      </c>
      <c r="I1403">
        <f>IF(Skills!T7&lt;&gt;"",1+(Skills!T7/10)*(Z1399/1000)/100,1)</f>
        <v/>
      </c>
      <c r="J1403">
        <f>((Inputs!$B$6*(1+Inputs!$B$7/100))+(((Inputs!$B$12*(1+Inputs!$B$13/100))-(Inputs!$B$12*(1+Inputs!$B$13/100)))+0.25*(Inputs!$B$14-Inputs!$B$14))*(1+Inputs!$B$7/100))*(F1403/100)</f>
        <v/>
      </c>
      <c r="K1403">
        <f>J1403*(1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3">
        <f>L1403*(1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IF(B1432=0,0,O1403/B1432)</f>
        <v/>
      </c>
      <c r="Q1403">
        <f>IFERROR(1/IF(Inputs!$B$38="pvp",15,MAX(0.1,Skills!D7-IF(Skills!E7=TRUE,Inputs!$B$32,0))),0)</f>
        <v/>
      </c>
      <c r="R1403">
        <f>IF(AND(Inputs!$B$38&lt;&gt;"pvp",Inputs!$B$43&gt;0),IF(MAX(0,Inputs!$B$43-B1429)&lt;=0,0,(INT(MAX(0,Inputs!$B$43-B1429)/IF(Inputs!$B$38="pvp",15,MAX(0.1,Skills!D7-IF(Skills!E7=TRUE,Inputs!$B$32,0))))+1)),0)</f>
        <v/>
      </c>
      <c r="S1403">
        <f>IF(C1403,(H1403*N1403*IF(AND(Inputs!$B$38&lt;&gt;"pvp",Inputs!$B$43&gt;0),((Skills!F7*((R1403-1)*IF(Skills!G7&gt;0,Skills!H7/Skills!G7,1)+IF(Skills!G7&gt;0,MIN(Skills!H7,MAX(0,MAX(0,Inputs!$B$43-B1429)-((R1403-1)*IF(Inputs!$B$38="pvp",15,MAX(0.1,Skills!D7-IF(Skills!E7=TRUE,Inputs!$B$32,0))))))/Skills!G7,1)))/Inputs!$B$43),G1403*Q1403))*IF(Inputs!$B$38="pvp",1,1+(Inputs!$B$20+Skills!O7+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F7*((R1403-1)*IF(Skills!G7&gt;0,Skills!H7/Skills!G7,1)+IF(Skills!G7&gt;0,MIN(Skills!H7,MAX(0,MAX(0,Inputs!$B$43-B1429)-((R1403-1)*IF(Inputs!$B$38="pvp",15,MAX(0.1,Skills!D7-IF(Skills!E7=TRUE,Inputs!$B$32,0))))))/Skills!G7,1)))/Inputs!$B$43),G1403*Q1403))*IF(Inputs!$B$38="pvp",1,(1+(Inputs!$B$21+Skills!P7+B1423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Skills!A8</f>
        <v/>
      </c>
      <c r="B1404">
        <f>Skills!B8</f>
        <v/>
      </c>
      <c r="C1404">
        <f>Inputs!$B$3&gt;=103</f>
        <v/>
      </c>
      <c r="D1404">
        <f>IF(Skills!C8=1,60+Inputs!$B$25+Inputs!$B$29,IF(Skills!C8=2,90+Inputs!$B$26+Inputs!$B$29,IF(Skills!C8=3,120+Inputs!$B$27+Inputs!$B$29,MAX(0,(Inputs!$B$3-100)*3)+Inputs!$B$28+Inputs!$B$29)))</f>
        <v/>
      </c>
      <c r="E1404">
        <f>INDEX(FactorTable!$B$2:$Y$301, MATCH(ROUND(MIN(300,MAX(1,D1404)),0), FactorTable!$A$2:$A$301,0), Skills!L8+1)</f>
        <v/>
      </c>
      <c r="F1404">
        <f>IF(Skills!M8=TRUE,(Skills!K8/10)*(E1404/1000),Skills!K8/10)+Skills!N8</f>
        <v/>
      </c>
      <c r="G1404">
        <f>Calc!G8</f>
        <v/>
      </c>
      <c r="H1404">
        <f>Calc!H8</f>
        <v/>
      </c>
      <c r="I1404">
        <f>IF(Skills!T8&lt;&gt;"",1+(Skills!T8/10)*(Z1399/1000)/100,1)</f>
        <v/>
      </c>
      <c r="J1404">
        <f>((Inputs!$B$6*(1+Inputs!$B$7/100))+(((Inputs!$B$12*(1+Inputs!$B$13/100))-(Inputs!$B$12*(1+Inputs!$B$13/100)))+0.25*(Inputs!$B$14-Inputs!$B$14))*(1+Inputs!$B$7/100))*(F1404/100)</f>
        <v/>
      </c>
      <c r="K1404">
        <f>J1404*(1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4">
        <f>L1404*(1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IF(B1432=0,0,O1404/B1432)</f>
        <v/>
      </c>
      <c r="Q1404">
        <f>IFERROR(1/IF(Inputs!$B$38="pvp",15,MAX(0.1,Skills!D8-IF(Skills!E8=TRUE,Inputs!$B$32,0))),0)</f>
        <v/>
      </c>
      <c r="R1404">
        <f>IF(AND(Inputs!$B$38&lt;&gt;"pvp",Inputs!$B$43&gt;0),IF(MAX(0,Inputs!$B$43-B1429)&lt;=0,0,(INT(MAX(0,Inputs!$B$43-B1429)/IF(Inputs!$B$38="pvp",15,MAX(0.1,Skills!D8-IF(Skills!E8=TRUE,Inputs!$B$32,0))))+1)),0)</f>
        <v/>
      </c>
      <c r="S1404">
        <f>IF(C1404,(H1404*N1404*IF(AND(Inputs!$B$38&lt;&gt;"pvp",Inputs!$B$43&gt;0),((Skills!F8*((R1404-1)*IF(Skills!G8&gt;0,Skills!H8/Skills!G8,1)+IF(Skills!G8&gt;0,MIN(Skills!H8,MAX(0,MAX(0,Inputs!$B$43-B1429)-((R1404-1)*IF(Inputs!$B$38="pvp",15,MAX(0.1,Skills!D8-IF(Skills!E8=TRUE,Inputs!$B$32,0))))))/Skills!G8,1)))/Inputs!$B$43),G1404*Q1404))*IF(Inputs!$B$38="pvp",1,1+(Inputs!$B$20+Skills!O8+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N1404*IF(AND(Inputs!$B$38&lt;&gt;"pvp",Inputs!$B$43&gt;0),((Skills!F8*((R1404-1)*IF(Skills!G8&gt;0,Skills!H8/Skills!G8,1)+IF(Skills!G8&gt;0,MIN(Skills!H8,MAX(0,MAX(0,Inputs!$B$43-B1429)-((R1404-1)*IF(Inputs!$B$38="pvp",15,MAX(0.1,Skills!D8-IF(Skills!E8=TRUE,Inputs!$B$32,0))))))/Skills!G8,1)))/Inputs!$B$43),G1404*Q1404))*IF(Inputs!$B$38="pvp",1,(1+(Inputs!$B$21+Skills!P8+B1423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Skills!A9</f>
        <v/>
      </c>
      <c r="B1405">
        <f>Skills!B9</f>
        <v/>
      </c>
      <c r="C1405">
        <f>Inputs!$B$3&gt;=105</f>
        <v/>
      </c>
      <c r="D1405">
        <f>IF(Skills!C9=1,60+Inputs!$B$25+Inputs!$B$29,IF(Skills!C9=2,90+Inputs!$B$26+Inputs!$B$29,IF(Skills!C9=3,120+Inputs!$B$27+Inputs!$B$29,MAX(0,(Inputs!$B$3-100)*3)+Inputs!$B$28+Inputs!$B$29)))</f>
        <v/>
      </c>
      <c r="E1405">
        <f>INDEX(FactorTable!$B$2:$Y$301, MATCH(ROUND(MIN(300,MAX(1,D1405)),0), FactorTable!$A$2:$A$301,0), Skills!L9+1)</f>
        <v/>
      </c>
      <c r="F1405">
        <f>IF(Skills!M9=TRUE,(Skills!K9/10)*(E1405/1000),Skills!K9/10)+Skills!N9</f>
        <v/>
      </c>
      <c r="G1405">
        <f>Calc!G9</f>
        <v/>
      </c>
      <c r="H1405">
        <f>Calc!H9</f>
        <v/>
      </c>
      <c r="I1405">
        <f>IF(Skills!T9&lt;&gt;"",1+(Skills!T9/10)*(Z1399/1000)/100,1)</f>
        <v/>
      </c>
      <c r="J1405">
        <f>((Inputs!$B$6*(1+Inputs!$B$7/100))+(((Inputs!$B$12*(1+Inputs!$B$13/100))-(Inputs!$B$12*(1+Inputs!$B$13/100)))+0.25*(Inputs!$B$14-Inputs!$B$14))*(1+Inputs!$B$7/100))*(F1405/100)</f>
        <v/>
      </c>
      <c r="K1405">
        <f>J1405*(1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5">
        <f>L1405*(1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IF(B1432=0,0,O1405/B1432)</f>
        <v/>
      </c>
      <c r="Q1405">
        <f>IFERROR(1/IF(Inputs!$B$38="pvp",15,MAX(0.1,Skills!D9-IF(Skills!E9=TRUE,Inputs!$B$32,0))),0)</f>
        <v/>
      </c>
      <c r="R1405">
        <f>IF(AND(Inputs!$B$38&lt;&gt;"pvp",Inputs!$B$43&gt;0),IF(MAX(0,Inputs!$B$43-B1429)&lt;=0,0,(INT(MAX(0,Inputs!$B$43-B1429)/IF(Inputs!$B$38="pvp",15,MAX(0.1,Skills!D9-IF(Skills!E9=TRUE,Inputs!$B$32,0))))+1)),0)</f>
        <v/>
      </c>
      <c r="S1405">
        <f>IF(C1405,(H1405*N1405*IF(AND(Inputs!$B$38&lt;&gt;"pvp",Inputs!$B$43&gt;0),((Skills!F9*((R1405-1)*IF(Skills!G9&gt;0,Skills!H9/Skills!G9,1)+IF(Skills!G9&gt;0,MIN(Skills!H9,MAX(0,MAX(0,Inputs!$B$43-B1429)-((R1405-1)*IF(Inputs!$B$38="pvp",15,MAX(0.1,Skills!D9-IF(Skills!E9=TRUE,Inputs!$B$32,0))))))/Skills!G9,1)))/Inputs!$B$43),G1405*Q1405))*IF(Inputs!$B$38="pvp",1,1+(Inputs!$B$20+Skills!O9+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F9*((R1405-1)*IF(Skills!G9&gt;0,Skills!H9/Skills!G9,1)+IF(Skills!G9&gt;0,MIN(Skills!H9,MAX(0,MAX(0,Inputs!$B$43-B1429)-((R1405-1)*IF(Inputs!$B$38="pvp",15,MAX(0.1,Skills!D9-IF(Skills!E9=TRUE,Inputs!$B$32,0))))))/Skills!G9,1)))/Inputs!$B$43),G1405*Q1405))*IF(Inputs!$B$38="pvp",1,(1+(Inputs!$B$21+Skills!P9+B1423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Skills!A10</f>
        <v/>
      </c>
      <c r="B1406">
        <f>Skills!B10</f>
        <v/>
      </c>
      <c r="C1406">
        <f>Inputs!$B$3&gt;=113</f>
        <v/>
      </c>
      <c r="D1406">
        <f>IF(Skills!C10=1,60+Inputs!$B$25+Inputs!$B$29,IF(Skills!C10=2,90+Inputs!$B$26+Inputs!$B$29,IF(Skills!C10=3,120+Inputs!$B$27+Inputs!$B$29,MAX(0,(Inputs!$B$3-100)*3)+Inputs!$B$28+Inputs!$B$29)))</f>
        <v/>
      </c>
      <c r="E1406">
        <f>INDEX(FactorTable!$B$2:$Y$301, MATCH(ROUND(MIN(300,MAX(1,D1406)),0), FactorTable!$A$2:$A$301,0), Skills!L10+1)</f>
        <v/>
      </c>
      <c r="F1406">
        <f>IF(Skills!M10=TRUE,(Skills!K10/10)*(E1406/1000),Skills!K10/10)+Skills!N10</f>
        <v/>
      </c>
      <c r="G1406">
        <f>Calc!G10</f>
        <v/>
      </c>
      <c r="H1406">
        <f>Calc!H10</f>
        <v/>
      </c>
      <c r="I1406">
        <f>IF(Skills!T10&lt;&gt;"",1+(Skills!T10/10)*(Z1399/1000)/100,1)</f>
        <v/>
      </c>
      <c r="J1406">
        <f>((Inputs!$B$6*(1+Inputs!$B$7/100))+(((Inputs!$B$12*(1+Inputs!$B$13/100))-(Inputs!$B$12*(1+Inputs!$B$13/100)))+0.25*(Inputs!$B$14-Inputs!$B$14))*(1+Inputs!$B$7/100))*(F1406/100)</f>
        <v/>
      </c>
      <c r="K1406">
        <f>J1406*(1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6">
        <f>L1406*(1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IF(B1432=0,0,O1406/B1432)</f>
        <v/>
      </c>
      <c r="Q1406">
        <f>IFERROR(1/IF(Inputs!$B$38="pvp",15,MAX(0.1,Skills!D10-IF(Skills!E9=TRUE,Inputs!$B$32,0))),0)</f>
        <v/>
      </c>
      <c r="R1406">
        <f>IF(AND(Inputs!$B$38&lt;&gt;"pvp",Inputs!$B$43&gt;0),IF(MAX(0,Inputs!$B$43-B1429)&lt;=0,0,(INT(MAX(0,Inputs!$B$43-B1429)/IF(Inputs!$B$38="pvp",15,MAX(0.1,Skills!D10-IF(Skills!E9=TRUE,Inputs!$B$32,0))))+1)),0)</f>
        <v/>
      </c>
      <c r="S1406">
        <f>IF(C1406,(H1406*N1406*IF(AND(Inputs!$B$38&lt;&gt;"pvp",Inputs!$B$43&gt;0),((Skills!F10*((R1406-1)*IF(Skills!G10&gt;0,Skills!H10/Skills!G10,1)+IF(Skills!G10&gt;0,MIN(Skills!H10,MAX(0,MAX(0,Inputs!$B$43-B1429)-((R1406-1)*IF(Inputs!$B$38="pvp",15,MAX(0.1,Skills!D10-IF(Skills!E9=TRUE,Inputs!$B$32,0))))))/Skills!G10,1)))/Inputs!$B$43),G1406*Q1406))*IF(Inputs!$B$38="pvp",1,1+(Inputs!$B$20+Skills!O10+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F10*((R1406-1)*IF(Skills!G10&gt;0,Skills!H10/Skills!G10,1)+IF(Skills!G10&gt;0,MIN(Skills!H10,MAX(0,MAX(0,Inputs!$B$43-B1429)-((R1406-1)*IF(Inputs!$B$38="pvp",15,MAX(0.1,Skills!D10-IF(Skills!E9=TRUE,Inputs!$B$32,0))))))/Skills!G10,1)))/Inputs!$B$43),G1406*Q1406))*IF(Inputs!$B$38="pvp",1,(1+(Inputs!$B$21+Skills!P10+B1423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Skills!A11</f>
        <v/>
      </c>
      <c r="B1407">
        <f>Skills!B11</f>
        <v/>
      </c>
      <c r="C1407">
        <f>Inputs!$B$3&gt;=107</f>
        <v/>
      </c>
      <c r="D1407">
        <f>IF(Skills!C11=1,60+Inputs!$B$25+Inputs!$B$29,IF(Skills!C11=2,90+Inputs!$B$26+Inputs!$B$29,IF(Skills!C11=3,120+Inputs!$B$27+Inputs!$B$29,MAX(0,(Inputs!$B$3-100)*3)+Inputs!$B$28+Inputs!$B$29)))</f>
        <v/>
      </c>
      <c r="E1407">
        <f>INDEX(FactorTable!$B$2:$Y$301, MATCH(ROUND(MIN(300,MAX(1,D1407)),0), FactorTable!$A$2:$A$301,0), Skills!L11+1)</f>
        <v/>
      </c>
      <c r="F1407">
        <f>IF(Skills!M11=TRUE,(Skills!K11/10)*(E1407/1000),Skills!K11/10)+Skills!N11</f>
        <v/>
      </c>
      <c r="G1407">
        <f>Calc!G11</f>
        <v/>
      </c>
      <c r="H1407">
        <f>Calc!H11</f>
        <v/>
      </c>
      <c r="I1407">
        <f>IF(Skills!T11&lt;&gt;"",1+(Skills!T11/10)*(Z1399/1000)/100,1)</f>
        <v/>
      </c>
      <c r="J1407">
        <f>((Inputs!$B$6*(1+Inputs!$B$7/100))+(((Inputs!$B$12*(1+Inputs!$B$13/100))-(Inputs!$B$12*(1+Inputs!$B$13/100)))+0.25*(Inputs!$B$14-Inputs!$B$14))*(1+Inputs!$B$7/100))*(F1407/100)</f>
        <v/>
      </c>
      <c r="K1407">
        <f>J1407*(1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7">
        <f>L1407*(1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(1-Summary!$B$11)*S1407+Summary!$B$11*U1407</f>
        <v/>
      </c>
      <c r="P1407">
        <f>IF(B1432=0,0,O1407/B1432)</f>
        <v/>
      </c>
      <c r="Q1407">
        <f>IFERROR(1/IF(Inputs!$B$38="pvp",15,MAX(0.1,Skills!D11-IF(Skills!E11=TRUE,Inputs!$B$32,0))),0)</f>
        <v/>
      </c>
      <c r="R1407">
        <f>IF(AND(Inputs!$B$38&lt;&gt;"pvp",Inputs!$B$43&gt;0),IF(MAX(0,Inputs!$B$43-B1429)&lt;=0,0,(INT(MAX(0,Inputs!$B$43-B1429)/IF(Inputs!$B$38="pvp",15,MAX(0.1,Skills!D11-IF(Skills!E11=TRUE,Inputs!$B$32,0))))+1)),0)</f>
        <v/>
      </c>
      <c r="S1407">
        <f>IF(C1407,H1407*N1407*IF(AND(Inputs!$B$38&lt;&gt;"pvp",Inputs!$B$43&gt;0),((Skills!F11*((R1407-1)*IF(Skills!G11&gt;0,Skills!H11/Skills!G11,1)+IF(Skills!G11&gt;0,MIN(Skills!H11,MAX(0,MAX(0,Inputs!$B$43-B1429)-((R1407-1)*IF(Inputs!$B$38="pvp",15,MAX(0.1,Skills!D11-IF(Skills!E11=TRUE,Inputs!$B$32,0))))))/Skills!G11,1)))/Inputs!$B$43),G1407*Q1407)*0.5*IF(Inputs!$B$38="pvp",1,1+(Inputs!$B$20+Skills!O11+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1407*(1-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IF(C1407,H1407*N1407*IF(AND(Inputs!$B$38&lt;&gt;"pvp",Inputs!$B$43&gt;0),((Skills!F11*((R1407-1)*IF(Skills!G11&gt;0,Skills!H11/Skills!G11,1)+IF(Skills!G11&gt;0,MIN(Skills!H11,MAX(0,MAX(0,Inputs!$B$43-B1429)-((R1407-1)*IF(Inputs!$B$38="pvp",15,MAX(0.1,Skills!D11-IF(Skills!E11=TRUE,Inputs!$B$32,0))))))/Skills!G11,1)))/Inputs!$B$43),G1407*Q1407)*1*IF(Inputs!$B$38="pvp",1,(1+(Inputs!$B$21+Skills!P11+B1423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Skills!A12</f>
        <v/>
      </c>
      <c r="B1408">
        <f>Skills!B12</f>
        <v/>
      </c>
      <c r="C1408">
        <f>Inputs!$B$3&gt;=115</f>
        <v/>
      </c>
      <c r="D1408">
        <f>IF(Skills!C12=1,60+Inputs!$B$25+Inputs!$B$29,IF(Skills!C12=2,90+Inputs!$B$26+Inputs!$B$29,IF(Skills!C12=3,120+Inputs!$B$27+Inputs!$B$29,MAX(0,(Inputs!$B$3-100)*3)+Inputs!$B$28+Inputs!$B$29)))</f>
        <v/>
      </c>
      <c r="E1408">
        <f>INDEX(FactorTable!$B$2:$Y$301, MATCH(ROUND(MIN(300,MAX(1,D1408)),0), FactorTable!$A$2:$A$301,0), Skills!L12+1)</f>
        <v/>
      </c>
      <c r="F1408">
        <f>IF(Skills!M12=TRUE,(Skills!K12/10)*(E1408/1000),Skills!K12/10)+Skills!N12</f>
        <v/>
      </c>
      <c r="G1408">
        <f>Calc!G12</f>
        <v/>
      </c>
      <c r="H1408">
        <f>Calc!H12</f>
        <v/>
      </c>
      <c r="I1408">
        <f>IF(Skills!T12&lt;&gt;"",1+(Skills!T12/10)*(Z1399/1000)/100,1)</f>
        <v/>
      </c>
      <c r="J1408">
        <f>((Inputs!$B$6*(1+Inputs!$B$7/100))+(((Inputs!$B$12*(1+Inputs!$B$13/100))-(Inputs!$B$12*(1+Inputs!$B$13/100)))+0.25*(Inputs!$B$14-Inputs!$B$14))*(1+Inputs!$B$7/100))*(F1408/100)</f>
        <v/>
      </c>
      <c r="K1408">
        <f>J1408*(1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8">
        <f>L1408*(1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(1-Summary!$B$11)*S1408+Summary!$B$11*U1408</f>
        <v/>
      </c>
      <c r="P1408">
        <f>IF(B1432=0,0,O1408/B1432)</f>
        <v/>
      </c>
      <c r="Q1408">
        <f>IFERROR(1/IF(Inputs!$B$38="pvp",15,MAX(0.1,Skills!D12-IF(Skills!E12=TRUE,Inputs!$B$32,0))),0)</f>
        <v/>
      </c>
      <c r="R1408">
        <f>IF(AND(Inputs!$B$38&lt;&gt;"pvp",Inputs!$B$43&gt;0),IF(MAX(0,Inputs!$B$43-B1429)&lt;=0,0,(INT(MAX(0,Inputs!$B$43-B1429)/IF(Inputs!$B$38="pvp",15,MAX(0.1,Skills!D12-IF(Skills!E12=TRUE,Inputs!$B$32,0))))+1)),0)</f>
        <v/>
      </c>
      <c r="S1408">
        <f>IF(C1408,(H1408*N1408*IF(AND(Inputs!$B$38&lt;&gt;"pvp",Inputs!$B$43&gt;0),((Skills!F12*((R1408-1)*IF(Skills!G12&gt;0,Skills!H12/Skills!G12,1)+IF(Skills!G12&gt;0,MIN(Skills!H12,MAX(0,MAX(0,Inputs!$B$43-B1429)-((R1408-1)*IF(Inputs!$B$38="pvp",15,MAX(0.1,Skills!D12-IF(Skills!E12=TRUE,Inputs!$B$32,0))))))/Skills!G12,1)))/Inputs!$B$43),G1408*Q1408))*IF(Inputs!$B$38="pvp",1,1+(Inputs!$B$20+Skills!O12+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8">
        <f>IF(C1408,(H1408*N1408*IF(AND(Inputs!$B$38&lt;&gt;"pvp",Inputs!$B$43&gt;0),((Skills!F12*((R1408-1)*IF(Skills!G12&gt;0,Skills!H12/Skills!G12,1)+IF(Skills!G12&gt;0,MIN(Skills!H12,MAX(0,MAX(0,Inputs!$B$43-B1429)-((R1408-1)*IF(Inputs!$B$38="pvp",15,MAX(0.1,Skills!D12-IF(Skills!E12=TRUE,Inputs!$B$32,0))))))/Skills!G12,1)))/Inputs!$B$43),G1408*Q1408))*IF(Inputs!$B$38="pvp",1,(1+(Inputs!$B$21+Skills!P12+B1423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Skills!A13</f>
        <v/>
      </c>
      <c r="B1409">
        <f>Skills!B13</f>
        <v/>
      </c>
      <c r="C1409">
        <f>Inputs!$B$3&gt;=49</f>
        <v/>
      </c>
      <c r="D1409">
        <f>IF(Skills!C13=1,60+Inputs!$B$25+Inputs!$B$29,IF(Skills!C13=2,90+Inputs!$B$26+Inputs!$B$29,IF(Skills!C13=3,120+Inputs!$B$27+Inputs!$B$29,MAX(0,(Inputs!$B$3-100)*3)+Inputs!$B$28+Inputs!$B$29)))</f>
        <v/>
      </c>
      <c r="E1409">
        <f>INDEX(FactorTable!$B$2:$Y$301, MATCH(ROUND(MIN(300,MAX(1,D1409)),0), FactorTable!$A$2:$A$301,0), Skills!L13+1)</f>
        <v/>
      </c>
      <c r="F1409">
        <f>IF(Skills!M13=TRUE,(Skills!K13/10)*(E1409/1000),Skills!K13/10)+Skills!N13</f>
        <v/>
      </c>
      <c r="G1409">
        <f>Calc!G13</f>
        <v/>
      </c>
      <c r="H1409">
        <f>Calc!H13</f>
        <v/>
      </c>
      <c r="I1409">
        <f>IF(Skills!T13&lt;&gt;"",1+(Skills!T13/10)*(Z1399/1000)/100,1)</f>
        <v/>
      </c>
      <c r="J1409" t="inlineStr"/>
      <c r="K1409" t="inlineStr"/>
      <c r="L1409" t="inlineStr"/>
      <c r="M1409" t="inlineStr"/>
      <c r="N1409" t="inlineStr"/>
      <c r="O1409">
        <f>(1-Summary!$B$11)*S1409+Summary!$B$11*U1409</f>
        <v/>
      </c>
      <c r="P1409">
        <f>IF(B1432=0,0,O1409/B1432)</f>
        <v/>
      </c>
      <c r="Q1409">
        <f>IFERROR(1/IF(Inputs!$B$38="pvp",15,MAX(0.1,Skills!D13-IF(Skills!E13=TRUE,Inputs!$B$32,0))),0)</f>
        <v/>
      </c>
      <c r="R1409" t="n">
        <v>0</v>
      </c>
      <c r="S1409" t="n">
        <v>0</v>
      </c>
      <c r="U1409" t="n">
        <v>0</v>
      </c>
    </row>
    <row r="1410">
      <c r="A1410">
        <f>Skills!A14</f>
        <v/>
      </c>
      <c r="B1410">
        <f>Skills!B14</f>
        <v/>
      </c>
      <c r="C1410">
        <f>Inputs!$B$3&gt;=72</f>
        <v/>
      </c>
      <c r="D1410">
        <f>IF(Skills!C14=1,60+Inputs!$B$25+Inputs!$B$29,IF(Skills!C14=2,90+Inputs!$B$26+Inputs!$B$29,IF(Skills!C14=3,120+Inputs!$B$27+Inputs!$B$29,MAX(0,(Inputs!$B$3-100)*3)+Inputs!$B$28+Inputs!$B$29)))</f>
        <v/>
      </c>
      <c r="E1410">
        <f>INDEX(FactorTable!$B$2:$Y$301, MATCH(ROUND(MIN(300,MAX(1,D1410)),0), FactorTable!$A$2:$A$301,0), Skills!L14+1)</f>
        <v/>
      </c>
      <c r="F1410">
        <f>IF(Skills!M14=TRUE,(Skills!K14/10)*(E1410/1000),Skills!K14/10)+Skills!N14</f>
        <v/>
      </c>
      <c r="G1410">
        <f>Calc!G14</f>
        <v/>
      </c>
      <c r="H1410">
        <f>Calc!H14</f>
        <v/>
      </c>
      <c r="I1410">
        <f>IF(Skills!T14&lt;&gt;"",1+(Skills!T14/10)*(Z1399/1000)/100,1)</f>
        <v/>
      </c>
      <c r="J1410" t="inlineStr"/>
      <c r="K1410" t="inlineStr"/>
      <c r="L1410" t="inlineStr"/>
      <c r="M1410" t="inlineStr"/>
      <c r="N1410" t="inlineStr"/>
      <c r="O1410">
        <f>(1-Summary!$B$11)*S1410+Summary!$B$11*U1410</f>
        <v/>
      </c>
      <c r="P1410">
        <f>IF(B1432=0,0,O1410/B1432)</f>
        <v/>
      </c>
      <c r="Q1410">
        <f>IFERROR(1/IF(Inputs!$B$38="pvp",15,MAX(0.1,Skills!D14-IF(Skills!E14=TRUE,Inputs!$B$32,0))),0)</f>
        <v/>
      </c>
      <c r="R1410" t="n">
        <v>0</v>
      </c>
      <c r="S1410" t="n">
        <v>0</v>
      </c>
      <c r="U1410" t="n">
        <v>0</v>
      </c>
    </row>
    <row r="1411">
      <c r="A1411">
        <f>Skills!A15</f>
        <v/>
      </c>
      <c r="B1411">
        <f>Skills!B15</f>
        <v/>
      </c>
      <c r="C1411">
        <f>Inputs!$B$3&gt;=75</f>
        <v/>
      </c>
      <c r="D1411">
        <f>IF(Skills!C15=1,60+Inputs!$B$25+Inputs!$B$29,IF(Skills!C15=2,90+Inputs!$B$26+Inputs!$B$29,IF(Skills!C15=3,120+Inputs!$B$27+Inputs!$B$29,MAX(0,(Inputs!$B$3-100)*3)+Inputs!$B$28+Inputs!$B$29)))</f>
        <v/>
      </c>
      <c r="E1411">
        <f>INDEX(FactorTable!$B$2:$Y$301, MATCH(ROUND(MIN(300,MAX(1,D1411)),0), FactorTable!$A$2:$A$301,0), Skills!L15+1)</f>
        <v/>
      </c>
      <c r="F1411">
        <f>IF(Skills!M15=TRUE,(Skills!K15/10)*(E1411/1000),Skills!K15/10)+Skills!N15</f>
        <v/>
      </c>
      <c r="G1411">
        <f>Calc!G15</f>
        <v/>
      </c>
      <c r="H1411">
        <f>Calc!H15</f>
        <v/>
      </c>
      <c r="I1411">
        <f>IF(Skills!T15&lt;&gt;"",1+(Skills!T15/10)*(Z1399/1000)/100,1)</f>
        <v/>
      </c>
      <c r="J1411" t="inlineStr"/>
      <c r="K1411" t="inlineStr"/>
      <c r="L1411" t="inlineStr"/>
      <c r="M1411" t="inlineStr"/>
      <c r="N1411" t="inlineStr"/>
      <c r="O1411">
        <f>(1-Summary!$B$11)*S1411+Summary!$B$11*U1411</f>
        <v/>
      </c>
      <c r="P1411">
        <f>IF(B1432=0,0,O1411/B1432)</f>
        <v/>
      </c>
      <c r="Q1411">
        <f>IFERROR(1/IF(Inputs!$B$38="pvp",15,MAX(0.1,Skills!D15-IF(Skills!E15=TRUE,Inputs!$B$32,0))),0)</f>
        <v/>
      </c>
      <c r="R1411" t="n">
        <v>0</v>
      </c>
      <c r="S1411" t="n">
        <v>0</v>
      </c>
      <c r="U1411" t="n">
        <v>0</v>
      </c>
    </row>
    <row r="1412">
      <c r="A1412">
        <f>Skills!A16</f>
        <v/>
      </c>
      <c r="B1412">
        <f>Skills!B16</f>
        <v/>
      </c>
      <c r="C1412">
        <f>Inputs!$B$3&gt;=110</f>
        <v/>
      </c>
      <c r="D1412">
        <f>IF(Skills!C16=1,60+Inputs!$B$25+Inputs!$B$29,IF(Skills!C16=2,90+Inputs!$B$26+Inputs!$B$29,IF(Skills!C16=3,120+Inputs!$B$27+Inputs!$B$29,MAX(0,(Inputs!$B$3-100)*3)+Inputs!$B$28+Inputs!$B$29)))</f>
        <v/>
      </c>
      <c r="E1412">
        <f>INDEX(FactorTable!$B$2:$Y$301, MATCH(ROUND(MIN(300,MAX(1,D1412)),0), FactorTable!$A$2:$A$301,0), Skills!L16+1)</f>
        <v/>
      </c>
      <c r="F1412">
        <f>(Skills!K16/10)*(E1412/1000)*64/45+Skills!N16</f>
        <v/>
      </c>
      <c r="G1412">
        <f>Calc!G16</f>
        <v/>
      </c>
      <c r="H1412">
        <f>Calc!H16</f>
        <v/>
      </c>
      <c r="I1412">
        <f>IF(Skills!T16&lt;&gt;"",1+(Skills!T16/10)*(Z1399/1000)/100,1)</f>
        <v/>
      </c>
      <c r="J1412" t="inlineStr"/>
      <c r="K1412" t="inlineStr"/>
      <c r="L1412" t="inlineStr"/>
      <c r="M1412" t="inlineStr"/>
      <c r="N1412" t="inlineStr"/>
      <c r="O1412">
        <f>(1-Summary!$B$11)*S1412+Summary!$B$11*U1412</f>
        <v/>
      </c>
      <c r="P1412">
        <f>IF(B1432=0,0,O1412/B1432)</f>
        <v/>
      </c>
      <c r="Q1412">
        <f>IFERROR(1/IF(Inputs!$B$38="pvp",15,MAX(0.1,Skills!D16-IF(Skills!E16=TRUE,Inputs!$B$32,0))),0)</f>
        <v/>
      </c>
      <c r="R1412">
        <f>IF(AND(Inputs!$B$38&lt;&gt;"pvp",Inputs!$B$43&gt;0),IF(Inputs!$B$43&lt;=0,0,(INT(Inputs!$B$43/IF(Inputs!$B$38="pvp",15,MAX(0.1,Skills!D16-IF(Skills!E16=TRUE,Inputs!$B$32,0))))+1)),0)</f>
        <v/>
      </c>
      <c r="S1412" t="n">
        <v>0</v>
      </c>
      <c r="U1412" t="n">
        <v>0</v>
      </c>
    </row>
    <row r="1413">
      <c r="A1413">
        <f>Skills!A17</f>
        <v/>
      </c>
      <c r="B1413">
        <f>Skills!B17</f>
        <v/>
      </c>
      <c r="C1413">
        <f>Inputs!$B$3&gt;=33</f>
        <v/>
      </c>
      <c r="D1413">
        <f>IF(Skills!C17=1,60+Inputs!$B$25+Inputs!$B$29,IF(Skills!C17=2,90+Inputs!$B$26+Inputs!$B$29,IF(Skills!C17=3,120+Inputs!$B$27+Inputs!$B$29,MAX(0,(Inputs!$B$3-100)*3)+Inputs!$B$28+Inputs!$B$29)))</f>
        <v/>
      </c>
      <c r="E1413">
        <f>INDEX(FactorTable!$B$2:$Y$301, MATCH(ROUND(MIN(300,MAX(1,D1413)),0), FactorTable!$A$2:$A$301,0), Skills!L17+1)</f>
        <v/>
      </c>
      <c r="F1413">
        <f>IF(Skills!M17=TRUE,(Skills!K17/10)*(E1413/1000),Skills!K17/10)+Skills!N17</f>
        <v/>
      </c>
      <c r="G1413">
        <f>Calc!G17</f>
        <v/>
      </c>
      <c r="H1413">
        <f>Calc!H17</f>
        <v/>
      </c>
      <c r="I1413">
        <f>IF(Skills!T17&lt;&gt;"",1+(Skills!T17/10)*(Z1399/1000)/100,1)</f>
        <v/>
      </c>
      <c r="J1413" t="inlineStr"/>
      <c r="K1413" t="inlineStr"/>
      <c r="L1413" t="inlineStr"/>
      <c r="M1413" t="inlineStr"/>
      <c r="N1413" t="inlineStr"/>
      <c r="O1413">
        <f>(1-Summary!$B$11)*S1413+Summary!$B$11*U1413</f>
        <v/>
      </c>
      <c r="P1413">
        <f>IF(B1432=0,0,O1413/B1432)</f>
        <v/>
      </c>
      <c r="Q1413">
        <f>IFERROR(1/IF(Inputs!$B$38="pvp",15,MAX(0.1,Skills!D17-IF(Skills!E17=TRUE,Inputs!$B$32,0))),0)</f>
        <v/>
      </c>
      <c r="R1413" t="n">
        <v>0</v>
      </c>
      <c r="S1413" t="n">
        <v>0</v>
      </c>
      <c r="U1413" t="n">
        <v>0</v>
      </c>
    </row>
    <row r="1414">
      <c r="A1414">
        <f>Skills!A18</f>
        <v/>
      </c>
      <c r="B1414">
        <f>Skills!B18</f>
        <v/>
      </c>
      <c r="C1414">
        <f>Inputs!$B$3&gt;=43</f>
        <v/>
      </c>
      <c r="D1414">
        <f>IF(Skills!C18=1,60+Inputs!$B$25+Inputs!$B$29,IF(Skills!C18=2,90+Inputs!$B$26+Inputs!$B$29,IF(Skills!C18=3,120+Inputs!$B$27+Inputs!$B$29,MAX(0,(Inputs!$B$3-100)*3)+Inputs!$B$28+Inputs!$B$29)))</f>
        <v/>
      </c>
      <c r="E1414">
        <f>INDEX(FactorTable!$B$2:$Y$301, MATCH(ROUND(MIN(300,MAX(1,D1414)),0), FactorTable!$A$2:$A$301,0), Skills!L18+1)</f>
        <v/>
      </c>
      <c r="F1414">
        <f>IF(Skills!M18=TRUE,(Skills!K18/10)*(E1414/1000),Skills!K18/10)+Skills!N18</f>
        <v/>
      </c>
      <c r="G1414">
        <f>Calc!G18</f>
        <v/>
      </c>
      <c r="H1414">
        <f>Calc!H18</f>
        <v/>
      </c>
      <c r="I1414">
        <f>IF(Skills!T18&lt;&gt;"",1+(Skills!T18/10)*(Z1399/1000)/100,1)</f>
        <v/>
      </c>
      <c r="J1414" t="inlineStr"/>
      <c r="K1414" t="inlineStr"/>
      <c r="L1414" t="inlineStr"/>
      <c r="M1414" t="inlineStr"/>
      <c r="N1414" t="inlineStr"/>
      <c r="O1414">
        <f>(1-Summary!$B$11)*S1414+Summary!$B$11*U1414</f>
        <v/>
      </c>
      <c r="P1414">
        <f>IF(B1432=0,0,O1414/B1432)</f>
        <v/>
      </c>
      <c r="Q1414">
        <f>IFERROR(1/IF(Inputs!$B$38="pvp",15,MAX(0.1,Skills!D18-IF(Skills!E18=TRUE,Inputs!$B$32,0))),0)</f>
        <v/>
      </c>
      <c r="R1414" t="n">
        <v>0</v>
      </c>
      <c r="S1414" t="n">
        <v>0</v>
      </c>
      <c r="U1414" t="n">
        <v>0</v>
      </c>
    </row>
    <row r="1415">
      <c r="A1415">
        <f>Skills!A19</f>
        <v/>
      </c>
      <c r="B1415">
        <f>Skills!B19</f>
        <v/>
      </c>
      <c r="C1415">
        <f>Inputs!$B$3&gt;=50</f>
        <v/>
      </c>
      <c r="D1415">
        <f>IF(Skills!C19=1,60+Inputs!$B$25+Inputs!$B$29,IF(Skills!C19=2,90+Inputs!$B$26+Inputs!$B$29,IF(Skills!C19=3,120+Inputs!$B$27+Inputs!$B$29,MAX(0,(Inputs!$B$3-100)*3)+Inputs!$B$28+Inputs!$B$29)))</f>
        <v/>
      </c>
      <c r="E1415">
        <f>INDEX(FactorTable!$B$2:$Y$301, MATCH(ROUND(MIN(300,MAX(1,D1415)),0), FactorTable!$A$2:$A$301,0), Skills!L19+1)</f>
        <v/>
      </c>
      <c r="F1415">
        <f>IF(Skills!M19=TRUE,(Skills!K19/10)*(E1415/1000),Skills!K19/10)+Skills!N19</f>
        <v/>
      </c>
      <c r="G1415">
        <f>Calc!G19</f>
        <v/>
      </c>
      <c r="H1415">
        <f>Calc!H19</f>
        <v/>
      </c>
      <c r="I1415">
        <f>IF(Skills!T19&lt;&gt;"",1+(Skills!T19/10)*(Z1399/1000)/100,1)</f>
        <v/>
      </c>
      <c r="J1415" t="inlineStr"/>
      <c r="K1415" t="inlineStr"/>
      <c r="L1415" t="inlineStr"/>
      <c r="M1415" t="inlineStr"/>
      <c r="N1415" t="inlineStr"/>
      <c r="O1415">
        <f>(1-Summary!$B$11)*S1415+Summary!$B$11*U1415</f>
        <v/>
      </c>
      <c r="P1415">
        <f>IF(B1432=0,0,O1415/B1432)</f>
        <v/>
      </c>
      <c r="Q1415">
        <f>IFERROR(1/IF(Inputs!$B$38="pvp",15,MAX(0.1,Skills!D19-IF(Skills!E19=TRUE,Inputs!$B$32,0))),0)</f>
        <v/>
      </c>
      <c r="R1415" t="n">
        <v>0</v>
      </c>
      <c r="S1415" t="n">
        <v>0</v>
      </c>
      <c r="U1415" t="n">
        <v>0</v>
      </c>
    </row>
    <row r="1416">
      <c r="A1416">
        <f>Skills!A20</f>
        <v/>
      </c>
      <c r="B1416">
        <f>Skills!B20</f>
        <v/>
      </c>
      <c r="C1416">
        <f>Inputs!$B$3&gt;=74</f>
        <v/>
      </c>
      <c r="D1416">
        <f>IF(Skills!C20=1,60+Inputs!$B$25+Inputs!$B$29,IF(Skills!C20=2,90+Inputs!$B$26+Inputs!$B$29,IF(Skills!C20=3,120+Inputs!$B$27+Inputs!$B$29,MAX(0,(Inputs!$B$3-100)*3)+Inputs!$B$28+Inputs!$B$29)))</f>
        <v/>
      </c>
      <c r="E1416">
        <f>INDEX(FactorTable!$B$2:$Y$301, MATCH(ROUND(MIN(300,MAX(1,D1416)),0), FactorTable!$A$2:$A$301,0), Skills!L20+1)</f>
        <v/>
      </c>
      <c r="F1416">
        <f>IF(Skills!M20=TRUE,(Skills!K20/10)*(E1416/1000),Skills!K20/10)+Skills!N20</f>
        <v/>
      </c>
      <c r="G1416">
        <f>Calc!G20</f>
        <v/>
      </c>
      <c r="H1416">
        <f>Calc!H20</f>
        <v/>
      </c>
      <c r="I1416">
        <f>IF(Skills!T20&lt;&gt;"",1+(Skills!T20/10)*(Z1399/1000)/100,1)</f>
        <v/>
      </c>
      <c r="J1416" t="inlineStr"/>
      <c r="K1416" t="inlineStr"/>
      <c r="L1416" t="inlineStr"/>
      <c r="M1416" t="inlineStr"/>
      <c r="N1416" t="inlineStr"/>
      <c r="O1416">
        <f>(1-Summary!$B$11)*S1416+Summary!$B$11*U1416</f>
        <v/>
      </c>
      <c r="P1416">
        <f>IF(B1432=0,0,O1416/B1432)</f>
        <v/>
      </c>
      <c r="Q1416">
        <f>IFERROR(1/IF(Inputs!$B$38="pvp",15,MAX(0.1,Skills!D20-IF(Skills!E20=TRUE,Inputs!$B$32,0))),0)</f>
        <v/>
      </c>
      <c r="R1416" t="n">
        <v>0</v>
      </c>
      <c r="S1416" t="n">
        <v>0</v>
      </c>
      <c r="U1416" t="n">
        <v>0</v>
      </c>
    </row>
    <row r="1417">
      <c r="A1417">
        <f>Skills!A21</f>
        <v/>
      </c>
      <c r="B1417">
        <f>Skills!B21</f>
        <v/>
      </c>
      <c r="C1417">
        <f>Inputs!$B$3&gt;=74</f>
        <v/>
      </c>
      <c r="D1417">
        <f>IF(Skills!C21=1,60+Inputs!$B$25+Inputs!$B$29,IF(Skills!C21=2,90+Inputs!$B$26+Inputs!$B$29,IF(Skills!C21=3,120+Inputs!$B$27+Inputs!$B$29,MAX(0,(Inputs!$B$3-100)*3)+Inputs!$B$28+Inputs!$B$29)))</f>
        <v/>
      </c>
      <c r="E1417">
        <f>INDEX(FactorTable!$B$2:$Y$301, MATCH(ROUND(MIN(300,MAX(1,D1417)),0), FactorTable!$A$2:$A$301,0), Skills!L21+1)</f>
        <v/>
      </c>
      <c r="F1417">
        <f>IF(Skills!M21=TRUE,(Skills!K21/10)*(E1417/1000),Skills!K21/10)+Skills!N21</f>
        <v/>
      </c>
      <c r="G1417">
        <f>Calc!G21</f>
        <v/>
      </c>
      <c r="H1417">
        <f>Calc!H21</f>
        <v/>
      </c>
      <c r="I1417">
        <f>IF(Skills!T21&lt;&gt;"",1+(Skills!T21/10)*(Z1399/1000)/100,1)</f>
        <v/>
      </c>
      <c r="J1417" t="inlineStr"/>
      <c r="K1417" t="inlineStr"/>
      <c r="L1417" t="inlineStr"/>
      <c r="M1417" t="inlineStr"/>
      <c r="N1417" t="inlineStr"/>
      <c r="O1417">
        <f>(1-Summary!$B$11)*S1417+Summary!$B$11*U1417</f>
        <v/>
      </c>
      <c r="P1417">
        <f>IF(B1432=0,0,O1417/B1432)</f>
        <v/>
      </c>
      <c r="Q1417">
        <f>IFERROR(1/IF(Inputs!$B$38="pvp",15,MAX(0.1,Skills!D21-IF(Skills!E21=TRUE,Inputs!$B$32,0))),0)</f>
        <v/>
      </c>
      <c r="R1417" t="n">
        <v>0</v>
      </c>
      <c r="S1417" t="n">
        <v>0</v>
      </c>
      <c r="U1417" t="n">
        <v>0</v>
      </c>
    </row>
    <row r="1418">
      <c r="A1418">
        <f>Skills!A22</f>
        <v/>
      </c>
      <c r="B1418">
        <f>Skills!B22</f>
        <v/>
      </c>
      <c r="C1418">
        <f>Inputs!$B$3&gt;=117</f>
        <v/>
      </c>
      <c r="D1418">
        <f>IF(Skills!C22=1,60+Inputs!$B$25+Inputs!$B$29,IF(Skills!C22=2,90+Inputs!$B$26+Inputs!$B$29,IF(Skills!C22=3,120+Inputs!$B$27+Inputs!$B$29,MAX(0,(Inputs!$B$3-100)*3)+Inputs!$B$28+Inputs!$B$29)))</f>
        <v/>
      </c>
      <c r="E1418">
        <f>INDEX(FactorTable!$B$2:$Y$301, MATCH(ROUND(MIN(300,MAX(1,D1418)),0), FactorTable!$A$2:$A$301,0), Skills!L22+1)</f>
        <v/>
      </c>
      <c r="F1418">
        <f>IF(Skills!M22=TRUE,(Skills!K22/10)*(E1418/1000),Skills!K22/10)+Skills!N22</f>
        <v/>
      </c>
      <c r="G1418">
        <f>Calc!G22</f>
        <v/>
      </c>
      <c r="H1418">
        <f>Calc!H22</f>
        <v/>
      </c>
      <c r="I1418">
        <f>IF(Skills!T22&lt;&gt;"",1+(Skills!T22/10)*(Z1399/1000)/100,1)</f>
        <v/>
      </c>
      <c r="J1418" t="inlineStr"/>
      <c r="K1418" t="inlineStr"/>
      <c r="L1418" t="inlineStr"/>
      <c r="M1418" t="inlineStr"/>
      <c r="N1418" t="inlineStr"/>
      <c r="O1418">
        <f>(1-Summary!$B$11)*S1418+Summary!$B$11*U1418</f>
        <v/>
      </c>
      <c r="P1418">
        <f>IF(B1432=0,0,O1418/B1432)</f>
        <v/>
      </c>
      <c r="Q1418">
        <f>IFERROR(1/IF(Inputs!$B$38="pvp",15,MAX(0.1,Skills!D22-IF(Skills!E22=TRUE,Inputs!$B$32,0))),0)</f>
        <v/>
      </c>
      <c r="R1418" t="n">
        <v>0</v>
      </c>
      <c r="S1418" t="n">
        <v>0</v>
      </c>
      <c r="U1418" t="n">
        <v>0</v>
      </c>
    </row>
    <row r="1419">
      <c r="A1419">
        <f>Skills!A23</f>
        <v/>
      </c>
      <c r="B1419">
        <f>Skills!B23</f>
        <v/>
      </c>
      <c r="C1419">
        <f>Inputs!$B$3&gt;=120</f>
        <v/>
      </c>
      <c r="D1419">
        <f>IF(Skills!C23=1,60+Inputs!$B$25+Inputs!$B$29,IF(Skills!C23=2,90+Inputs!$B$26+Inputs!$B$29,IF(Skills!C23=3,120+Inputs!$B$27+Inputs!$B$29,MAX(0,(Inputs!$B$3-100)*3)+Inputs!$B$28+Inputs!$B$29)))</f>
        <v/>
      </c>
      <c r="E1419">
        <f>INDEX(FactorTable!$B$2:$Y$301, MATCH(ROUND(MIN(300,MAX(1,D1419)),0), FactorTable!$A$2:$A$301,0), Skills!L23+1)</f>
        <v/>
      </c>
      <c r="F1419">
        <f>IF(Skills!M23=TRUE,(Skills!K23/10)*(E1419/1000),Skills!K23/10)+Skills!N23</f>
        <v/>
      </c>
      <c r="G1419">
        <f>Calc!G23</f>
        <v/>
      </c>
      <c r="H1419">
        <f>Calc!H23</f>
        <v/>
      </c>
      <c r="I1419">
        <f>IF(Skills!T23&lt;&gt;"",1+(Skills!T23/10)*(Z1399/1000)/100,1)</f>
        <v/>
      </c>
      <c r="J1419" t="inlineStr"/>
      <c r="K1419" t="inlineStr"/>
      <c r="L1419" t="inlineStr"/>
      <c r="M1419" t="inlineStr"/>
      <c r="N1419" t="inlineStr"/>
      <c r="O1419">
        <f>(1-Summary!$B$11)*S1419+Summary!$B$11*U1419</f>
        <v/>
      </c>
      <c r="P1419">
        <f>IF(B1432=0,0,O1419/B1432)</f>
        <v/>
      </c>
      <c r="Q1419">
        <f>IFERROR(1/IF(Inputs!$B$38="pvp",15,MAX(0.1,Skills!D23-IF(Skills!E23=TRUE,Inputs!$B$32,0))),0)</f>
        <v/>
      </c>
      <c r="R1419" t="n">
        <v>0</v>
      </c>
      <c r="S1419" t="n">
        <v>0</v>
      </c>
      <c r="U1419" t="n">
        <v>0</v>
      </c>
    </row>
    <row r="1422">
      <c r="A1422" t="inlineStr">
        <is>
          <t>Average Buff Multiplier (Magic Guard + Meditation + Artifact Attack%, summed; then Infinity)</t>
        </is>
      </c>
      <c r="B1422">
        <f>(1+(IF(C1399=TRUE,F1399*IF(AND(Inputs!$B$38&lt;&gt;"pvp",Inputs!$B$43&gt;0),(((R1399-1)*(Skills!S3*(1+(Inputs!$B$34+IF(Inputs!$B$3&gt;=117,F1418,0))/100))+MIN((Skills!S3*(1+(Inputs!$B$34+IF(Inputs!$B$3&gt;=117,F1418,0))/100)),MAX(0,Inputs!$B$43-((R1399-1)*Skills!D3))))/Inputs!$B$43),IF(Inputs!$B$38="pvp",MIN((Skills!S3*(1+(Inputs!$B$34+IF(Inputs!$B$3&gt;=117,F1418,0))/100)),15)/15,(Skills!S3*(1+(Inputs!$B$34+IF(Inputs!$B$3&gt;=117,F1418,0))/100))/Skills!D3)),0)+IF(C1400=TRUE,F1400*IF(AND(Inputs!$B$38&lt;&gt;"pvp",Inputs!$B$43&gt;0),(((R1400-1)*(Skills!S4*(1+(Inputs!$B$34+IF(Inputs!$B$3&gt;=117,F1418,0))/100))+MIN((Skills!S4*(1+(Inputs!$B$34+IF(Inputs!$B$3&gt;=117,F1418,0))/100)),MAX(0,Inputs!$B$43-((R1400-1)*Skills!D4))))/Inputs!$B$43),IF(Inputs!$B$38="pvp",MIN((Skills!S4*(1+(Inputs!$B$34+IF(Inputs!$B$3&gt;=117,F1418,0))/100)),15)/15,(Skills!S4*(1+(Inputs!$B$34+IF(Inputs!$B$3&gt;=117,F1418,0)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1412=TRUE,(1+F1412*IF(AND(Inputs!$B$38&lt;&gt;"pvp",Inputs!$B$43&gt;0),(((R1412-1)*(Skills!S16*(1+(Inputs!$B$34+IF(Inputs!$B$3&gt;=117,F1418,0))/100))+MIN((Skills!S16*(1+(Inputs!$B$34+IF(Inputs!$B$3&gt;=117,F1418,0))/100)),MAX(0,Inputs!$B$43-((R1412-1)*Skills!D16))))/Inputs!$B$43),IF(Inputs!$B$38="pvp",MIN((Skills!S16*(1+(Inputs!$B$34+IF(Inputs!$B$3&gt;=117,F1418,0))/100)),15)/15,(Skills!S16*(1+(Inputs!$B$34+IF(Inputs!$B$3&gt;=117,F1418,0))/100))/Skills!D16))/100),1)</f>
        <v/>
      </c>
    </row>
    <row r="1423">
      <c r="A1423" t="inlineStr">
        <is>
          <t>Monster Damage Taken Bonus % (Freezing Breath - Weaken + Elemental Reset + Artifact Enemy Damage Taken, summed)</t>
        </is>
      </c>
      <c r="B1423">
        <f>IF(Inputs!$B$3&gt;=118,15*IF(Inputs!$B$38="pvp",MIN((30*(1+(Inputs!$B$34+IF(Inputs!$B$3&gt;=117,F1418,0))/100)),15)/15,(30*(1+(Inputs!$B$34+IF(Inputs!$B$3&gt;=117,F1418,0))/100))/Skills!D8),0)+IF(C1410=TRUE,F1410,0)+(IF(AND(ArtifactsInput!$M$35,Inputs!$B$4&lt;&gt;"Chapter Hunt"),CHOOSE(ArtifactsInput!$N$35+1,15,18,21,24,27,30)*(1-EXP(-(0.2*B1426)*5)),0)+IF(AND(ArtifactsInput!$M$22,Inputs!$B$4&lt;&gt;"Chapter Hunt"),CHOOSE(ArtifactsInput!$N$22+1,10,12,14,16,18,20)*((0*(((0.15*B1426*5))^0/1)+1*(((0.15*B1426*5))^1/1)+2*(((0.15*B1426*5))^2/2)+3*(((0.15*B1426*5))^3/6)+4*(((0.15*B1426*5))^4/24)+5*(((0.15*B1426*5))^5/120))/((((0.15*B1426*5))^0/1)+(((0.15*B1426*5))^1/1)+(((0.15*B1426*5))^2/2)+(((0.15*B1426*5))^3/6)+(((0.15*B1426*5))^4/24)+(((0.15*B1426*5))^5/120))),0))</f>
        <v/>
      </c>
    </row>
    <row r="1424">
      <c r="A1424" t="inlineStr">
        <is>
          <t>Damage % Bonus (Frozen Break + Frost Clutch, flat)</t>
        </is>
      </c>
      <c r="B1424">
        <f>IF(Inputs!$B$3&gt;=66,15,0)+IF(Inputs!$B$3&gt;=98,10,0)+IF(Inputs!$B$3&gt;=125,20,0)</f>
        <v/>
      </c>
    </row>
    <row r="1425">
      <c r="A1425" t="inlineStr">
        <is>
          <t>Attack Speed Bonus % (MP Eater - MP Boost, always-on once unlocked)</t>
        </is>
      </c>
      <c r="B1425">
        <f>IF(C1409=TRUE,F1409+(F1413-Calc!F17),0)</f>
        <v/>
      </c>
    </row>
    <row r="1426">
      <c r="A1426" t="inlineStr">
        <is>
          <t>Actions Per Second</t>
        </is>
      </c>
      <c r="B1426">
        <f>1+MIN(150,150*(1-(1-(Inputs!$B$11+(IF(ArtifactsInput!$M$15,FALSE,TRUE)-ArtifactsInput!$M$15)*CHOOSE(ArtifactsInput!$N$15+1,8,9.6,11.2,12.8,14.4,16))/150)*(1-B1425/150)))/100</f>
        <v/>
      </c>
    </row>
    <row r="1427">
      <c r="A1427" t="inlineStr">
        <is>
          <t>Skill + Buff Cast Rate</t>
        </is>
      </c>
      <c r="B1427">
        <f>IF(AND(Inputs!$B$38&lt;&gt;"pvp",Inputs!$B$43&gt;0),SUMPRODUCT((Skills!E2:E23=TRUE)*(C1398:C1419=TRUE)*R1398:R1419)/Inputs!$B$43,SUMPRODUCT((Skills!E2:E23=TRUE)*(C1398:C1419=TRUE)*Q1398:Q1419))</f>
        <v/>
      </c>
    </row>
    <row r="1428">
      <c r="A1428" t="inlineStr">
        <is>
          <t>Chain Lightning Casts Per Second</t>
        </is>
      </c>
      <c r="B1428">
        <f>MAX(0,B1426-B1427)</f>
        <v/>
      </c>
    </row>
    <row r="1429">
      <c r="A1429" t="inlineStr">
        <is>
          <t>Buff-Casting Startup Delay (s, fixed-duration only)</t>
        </is>
      </c>
      <c r="B1429">
        <f>IF(AND(Inputs!$B$38&lt;&gt;"pvp",Inputs!$B$43&gt;0),SUMPRODUCT((Skills!S2:S23&gt;0)*(Skills!E2:E23=TRUE)*(C1398:C1419=TRUE))/B1426,0)</f>
        <v/>
      </c>
    </row>
    <row r="1430">
      <c r="A1430" t="inlineStr">
        <is>
          <t>Boss-Only Total DPS (this block's swept value)</t>
        </is>
      </c>
      <c r="B1430">
        <f>SUM(S1398:S1419)</f>
        <v/>
      </c>
    </row>
    <row r="1431">
      <c r="A1431" t="inlineStr">
        <is>
          <t>Normal-Only Total DPS (this block's swept value)</t>
        </is>
      </c>
      <c r="B1431">
        <f>SUM(U1398:U1419)</f>
        <v/>
      </c>
    </row>
    <row r="1432">
      <c r="A1432" s="6" t="inlineStr">
        <is>
          <t>TOTAL DPS</t>
        </is>
      </c>
      <c r="B1432" s="6">
        <f>SUM(O1398:O1419)</f>
        <v/>
      </c>
    </row>
    <row r="1435">
      <c r="A1435" s="6" t="inlineStr">
        <is>
          <t>Stat: Zakum's Stone Piece (Equip)</t>
        </is>
      </c>
    </row>
    <row r="1436">
      <c r="A1436" s="5" t="inlineStr">
        <is>
          <t>Key</t>
        </is>
      </c>
      <c r="B1436" s="5" t="inlineStr">
        <is>
          <t>Name</t>
        </is>
      </c>
      <c r="C1436" s="5" t="inlineStr">
        <is>
          <t>Unlocked</t>
        </is>
      </c>
      <c r="D1436" s="5" t="inlineStr">
        <is>
          <t>InputLevel</t>
        </is>
      </c>
      <c r="E1436" s="5" t="inlineStr">
        <is>
          <t>Factor</t>
        </is>
      </c>
      <c r="F1436" s="5" t="inlineStr">
        <is>
          <t>CoefficientPercent</t>
        </is>
      </c>
      <c r="G1436" s="5" t="inlineStr">
        <is>
          <t>EffectiveHits</t>
        </is>
      </c>
      <c r="H1436" s="5" t="inlineStr">
        <is>
          <t>ProcProbability</t>
        </is>
      </c>
      <c r="I1436" s="5" t="inlineStr">
        <is>
          <t>MapleHeroMultiplier</t>
        </is>
      </c>
      <c r="J1436" s="5" t="inlineStr">
        <is>
          <t>BaseDamage</t>
        </is>
      </c>
      <c r="K1436" s="5" t="inlineStr">
        <is>
          <t>BaseHitDamage</t>
        </is>
      </c>
      <c r="L1436" s="5" t="inlineStr">
        <is>
          <t>NonCritAvg</t>
        </is>
      </c>
      <c r="M1436" s="5" t="inlineStr">
        <is>
          <t>CritAvg</t>
        </is>
      </c>
      <c r="N1436" s="5" t="inlineStr">
        <is>
          <t>ExpectedDamage(perHit)</t>
        </is>
      </c>
      <c r="O1436" s="5" t="inlineStr">
        <is>
          <t>DPS</t>
        </is>
      </c>
      <c r="P1436" s="5" t="inlineStr">
        <is>
          <t>% of Total</t>
        </is>
      </c>
      <c r="R1436" t="inlineStr">
        <is>
          <t>helpers</t>
        </is>
      </c>
    </row>
    <row r="1437">
      <c r="A1437">
        <f>Skills!A2</f>
        <v/>
      </c>
      <c r="B1437">
        <f>Skills!B2</f>
        <v/>
      </c>
      <c r="C1437">
        <f>Inputs!$B$3&gt;=100</f>
        <v/>
      </c>
      <c r="D1437" t="inlineStr"/>
      <c r="E1437" t="inlineStr"/>
      <c r="F1437">
        <f>T1439+Skills!N2</f>
        <v/>
      </c>
      <c r="G1437">
        <f>Calc!G2</f>
        <v/>
      </c>
      <c r="H1437">
        <f>Calc!H2</f>
        <v/>
      </c>
      <c r="I1437">
        <f>IF(Skills!T2&lt;&gt;"",1+(Skills!T2/10)*(Z1438/1000)/100,1)</f>
        <v/>
      </c>
      <c r="J1437">
        <f>((Inputs!$B$6*(1+Inputs!$B$7/100))+(((Inputs!$B$12*(1+Inputs!$B$13/100))-(Inputs!$B$12*(1+Inputs!$B$13/100)))+0.25*(Inputs!$B$14-Inputs!$B$14))*(1+Inputs!$B$7/100))*(F1437/100)</f>
        <v/>
      </c>
      <c r="K1437">
        <f>J1437*(1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1453-Calc!F18),(Inputs!$B$23+(IF(ArtifactsInput!$M$15,CHOOSE(ArtifactsInput!$N$15+1,25,30,35,40,45,50)/100*(Inputs!$B$11-Inputs!$B$11),0))))/100+(Inputs!$B$23+(IF(ArtifactsInput!$M$15,CHOOSE(ArtifactsInput!$N$15+1,25,30,35,40,45,50)/100*(Inputs!$B$11-Inputs!$B$11),0)))/100)/2</f>
        <v/>
      </c>
      <c r="M1437">
        <f>L1437*(1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IF(B1471=0,0,O1437/B1471)</f>
        <v/>
      </c>
      <c r="Q1437">
        <f>IFERROR(1/IF(Inputs!$B$38="pvp",15,MAX(0.1,Skills!D2-IF(Skills!E2=TRUE,Inputs!$B$32,0))),0)</f>
        <v/>
      </c>
      <c r="R1437" t="n">
        <v>0</v>
      </c>
      <c r="S1437">
        <f>IF(C1437,(Skills!F2*N1437*B1467)*IF(Inputs!$B$38="pvp",1,1+(Inputs!$B$20+Skills!O2+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MAX(0,(Inputs!$B$3-100)*3)+Inputs!$B$28+Inputs!$B$29</f>
        <v/>
      </c>
      <c r="U1437">
        <f>IF(C1437,(Skills!F2*N1437*B1467)*IF(Inputs!$B$38="pvp",1,(1+(Inputs!$B$21+Skills!P2+B1462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MAX(0,(Inputs!$B$3-100)*3)+Inputs!$B$28+Inputs!$B$29</f>
        <v/>
      </c>
    </row>
    <row r="1438">
      <c r="A1438">
        <f>Skills!A3</f>
        <v/>
      </c>
      <c r="B1438">
        <f>Skills!B3</f>
        <v/>
      </c>
      <c r="C1438">
        <f>Inputs!$B$3&gt;=15</f>
        <v/>
      </c>
      <c r="D1438">
        <f>IF(Skills!C3=1,60+Inputs!$B$25+Inputs!$B$29,IF(Skills!C3=2,90+Inputs!$B$26+Inputs!$B$29,IF(Skills!C3=3,120+Inputs!$B$27+Inputs!$B$29,MAX(0,(Inputs!$B$3-100)*3)+Inputs!$B$28+Inputs!$B$29)))</f>
        <v/>
      </c>
      <c r="E1438">
        <f>INDEX(FactorTable!$B$2:$Y$301, MATCH(ROUND(MIN(300,MAX(1,D1438)),0), FactorTable!$A$2:$A$301,0), Skills!L3+1)</f>
        <v/>
      </c>
      <c r="F1438">
        <f>IF(Skills!M3=TRUE,(Skills!K3/10)*(E1438/1000),Skills!K3/10)+Skills!N3</f>
        <v/>
      </c>
      <c r="G1438">
        <f>Calc!G3</f>
        <v/>
      </c>
      <c r="H1438">
        <f>Calc!H3</f>
        <v/>
      </c>
      <c r="I1438">
        <f>IF(Skills!T3&lt;&gt;"",1+(Skills!T3/10)*(Z1438/1000)/100,1)</f>
        <v/>
      </c>
      <c r="J1438" t="inlineStr"/>
      <c r="K1438" t="inlineStr"/>
      <c r="L1438" t="inlineStr"/>
      <c r="M1438" t="inlineStr"/>
      <c r="N1438" t="inlineStr"/>
      <c r="O1438">
        <f>(1-Summary!$B$11)*S1438+Summary!$B$11*U1438</f>
        <v/>
      </c>
      <c r="P1438">
        <f>IF(B1471=0,0,O1438/B1471)</f>
        <v/>
      </c>
      <c r="Q1438">
        <f>IFERROR(1/IF(Inputs!$B$38="pvp",15,MAX(0.1,Skills!D3-IF(Skills!E3=TRUE,Inputs!$B$32,0))),0)</f>
        <v/>
      </c>
      <c r="R1438">
        <f>IF(AND(Inputs!$B$38&lt;&gt;"pvp",Inputs!$B$43&gt;0),IF(Inputs!$B$43&lt;=0,0,(INT(Inputs!$B$43/IF(Inputs!$B$38="pvp",15,MAX(0.1,Skills!D3-IF(Skills!E3=TRUE,Inputs!$B$32,0))))+1)),0)</f>
        <v/>
      </c>
      <c r="S1438" t="n">
        <v>0</v>
      </c>
      <c r="T1438">
        <f>INDEX(FactorTable!$B$2:$Y$301, MATCH(ROUND(MIN(300,MAX(1,T1437)),0), FactorTable!$A$2:$A$301,0), 22)</f>
        <v/>
      </c>
      <c r="U1438" t="n">
        <v>0</v>
      </c>
      <c r="Z1438">
        <f>INDEX(FactorTable!$B$2:$Y$301, MATCH(ROUND(MIN(300,MAX(1,Z1437)),0), FactorTable!$A$2:$A$301,0), 24)</f>
        <v/>
      </c>
    </row>
    <row r="1439">
      <c r="A1439">
        <f>Skills!A4</f>
        <v/>
      </c>
      <c r="B1439">
        <f>Skills!B4</f>
        <v/>
      </c>
      <c r="C1439">
        <f>Inputs!$B$3&gt;=40</f>
        <v/>
      </c>
      <c r="D1439">
        <f>IF(Skills!C4=1,60+Inputs!$B$25+Inputs!$B$29,IF(Skills!C4=2,90+Inputs!$B$26+Inputs!$B$29,IF(Skills!C4=3,120+Inputs!$B$27+Inputs!$B$29,MAX(0,(Inputs!$B$3-100)*3)+Inputs!$B$28+Inputs!$B$29)))</f>
        <v/>
      </c>
      <c r="E1439">
        <f>INDEX(FactorTable!$B$2:$Y$301, MATCH(ROUND(MIN(300,MAX(1,D1439)),0), FactorTable!$A$2:$A$301,0), Skills!L4+1)</f>
        <v/>
      </c>
      <c r="F1439">
        <f>IF(Skills!M4=TRUE,(Skills!K4/10)*(E1439/1000),Skills!K4/10)+Skills!N4</f>
        <v/>
      </c>
      <c r="G1439">
        <f>Calc!G4</f>
        <v/>
      </c>
      <c r="H1439">
        <f>Calc!H4</f>
        <v/>
      </c>
      <c r="I1439">
        <f>IF(Skills!T4&lt;&gt;"",1+(Skills!T4/10)*(Z1438/1000)/100,1)</f>
        <v/>
      </c>
      <c r="J1439" t="inlineStr"/>
      <c r="K1439" t="inlineStr"/>
      <c r="L1439" t="inlineStr"/>
      <c r="M1439" t="inlineStr"/>
      <c r="N1439" t="inlineStr"/>
      <c r="O1439">
        <f>(1-Summary!$B$11)*S1439+Summary!$B$11*U1439</f>
        <v/>
      </c>
      <c r="P1439">
        <f>IF(B1471=0,0,O1439/B1471)</f>
        <v/>
      </c>
      <c r="Q1439">
        <f>IFERROR(1/IF(Inputs!$B$38="pvp",15,MAX(0.1,Skills!D4-IF(Skills!E4=TRUE,Inputs!$B$32,0))),0)</f>
        <v/>
      </c>
      <c r="R1439">
        <f>IF(AND(Inputs!$B$38&lt;&gt;"pvp",Inputs!$B$43&gt;0),IF(Inputs!$B$43&lt;=0,0,(INT(Inputs!$B$43/IF(Inputs!$B$38="pvp",15,MAX(0.1,Skills!D4-IF(Skills!E4=TRUE,Inputs!$B$32,0))))+1)),0)</f>
        <v/>
      </c>
      <c r="S1439" t="n">
        <v>0</v>
      </c>
      <c r="T1439">
        <f>290*T1438/1000</f>
        <v/>
      </c>
      <c r="U1439" t="n">
        <v>0</v>
      </c>
    </row>
    <row r="1440">
      <c r="A1440">
        <f>Skills!A5</f>
        <v/>
      </c>
      <c r="B1440">
        <f>Skills!B5</f>
        <v/>
      </c>
      <c r="C1440">
        <f>Inputs!$B$3&gt;=38</f>
        <v/>
      </c>
      <c r="D1440">
        <f>IF(Skills!C5=1,60+Inputs!$B$25+Inputs!$B$29,IF(Skills!C5=2,90+Inputs!$B$26+Inputs!$B$29,IF(Skills!C5=3,120+Inputs!$B$27+Inputs!$B$29,MAX(0,(Inputs!$B$3-100)*3)+Inputs!$B$28+Inputs!$B$29)))</f>
        <v/>
      </c>
      <c r="E1440">
        <f>INDEX(FactorTable!$B$2:$Y$301, MATCH(ROUND(MIN(300,MAX(1,D1440)),0), FactorTable!$A$2:$A$301,0), Skills!L5+1)</f>
        <v/>
      </c>
      <c r="F1440">
        <f>IF(Skills!M5=TRUE,(Skills!K5/10)*(E1440/1000),Skills!K5/10)+Skills!N5</f>
        <v/>
      </c>
      <c r="G1440">
        <f>Calc!G5</f>
        <v/>
      </c>
      <c r="H1440">
        <f>Calc!H5</f>
        <v/>
      </c>
      <c r="I1440">
        <f>IF(Skills!T5&lt;&gt;"",1+(Skills!T5/10)*(Z1438/1000)/100,1)</f>
        <v/>
      </c>
      <c r="J1440">
        <f>((Inputs!$B$6*(1+Inputs!$B$7/100))+(((Inputs!$B$12*(1+Inputs!$B$13/100))-(Inputs!$B$12*(1+Inputs!$B$13/100)))+0.25*(Inputs!$B$14-Inputs!$B$14))*(1+Inputs!$B$7/100))*(F1440/100)</f>
        <v/>
      </c>
      <c r="K1440">
        <f>J1440*(1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F1453-Calc!F18),(Inputs!$B$23+(IF(ArtifactsInput!$M$15,CHOOSE(ArtifactsInput!$N$15+1,25,30,35,40,45,50)/100*(Inputs!$B$11-Inputs!$B$11),0))))/100+(Inputs!$B$23+(IF(ArtifactsInput!$M$15,CHOOSE(ArtifactsInput!$N$15+1,25,30,35,40,45,50)/100*(Inputs!$B$11-Inputs!$B$11),0)))/100)/2</f>
        <v/>
      </c>
      <c r="M1440">
        <f>L1440*(1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(1-Summary!$B$11)*S1440+Summary!$B$11*U1440</f>
        <v/>
      </c>
      <c r="P1440">
        <f>IF(B1471=0,0,O1440/B1471)</f>
        <v/>
      </c>
      <c r="Q1440">
        <f>IFERROR(1/IF(Inputs!$B$38="pvp",15,MAX(0.1,Skills!D5-IF(Skills!E5=TRUE,Inputs!$B$32,0))),0)</f>
        <v/>
      </c>
      <c r="R1440">
        <f>IF(AND(Inputs!$B$38&lt;&gt;"pvp",Inputs!$B$43&gt;0),IF(MAX(0,Inputs!$B$43-B1468)&lt;=0,0,(INT(MAX(0,Inputs!$B$43-B1468)/IF(Inputs!$B$38="pvp",15,MAX(0.1,Skills!D5-IF(Skills!E5=TRUE,Inputs!$B$32,0))))+1)),0)</f>
        <v/>
      </c>
      <c r="S1440">
        <f>IF(C1440,(H1440*N1440*IF(AND(Inputs!$B$38&lt;&gt;"pvp",Inputs!$B$43&gt;0),((Skills!F5*((R1440-1)*IF(Skills!G5&gt;0,Skills!H5/Skills!G5,1)+IF(Skills!G5&gt;0,MIN(Skills!H5,MAX(0,MAX(0,Inputs!$B$43-B1468)-((R1440-1)*IF(Inputs!$B$38="pvp",15,MAX(0.1,Skills!D5-IF(Skills!E5=TRUE,Inputs!$B$32,0))))))/Skills!G5,1)))/Inputs!$B$43),G1440*Q1440))*IF(Inputs!$B$38="pvp",1,1+(Inputs!$B$20+Skills!O5+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1440*(1-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IF(C1440,(H1440*N1440*IF(AND(Inputs!$B$38&lt;&gt;"pvp",Inputs!$B$43&gt;0),((Skills!F5*((R1440-1)*IF(Skills!G5&gt;0,Skills!H5/Skills!G5,1)+IF(Skills!G5&gt;0,MIN(Skills!H5,MAX(0,MAX(0,Inputs!$B$43-B1468)-((R1440-1)*IF(Inputs!$B$38="pvp",15,MAX(0.1,Skills!D5-IF(Skills!E5=TRUE,Inputs!$B$32,0))))))/Skills!G5,1)))/Inputs!$B$43),G1440*Q1440))*IF(Inputs!$B$38="pvp",1,(1+(Inputs!$B$21+Skills!P5+B1462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Skills!A6</f>
        <v/>
      </c>
      <c r="B1441">
        <f>Skills!B6</f>
        <v/>
      </c>
      <c r="C1441">
        <f>Inputs!$B$3&gt;=63</f>
        <v/>
      </c>
      <c r="D1441">
        <f>IF(Skills!C6=1,60+Inputs!$B$25+Inputs!$B$29,IF(Skills!C6=2,90+Inputs!$B$26+Inputs!$B$29,IF(Skills!C6=3,120+Inputs!$B$27+Inputs!$B$29,MAX(0,(Inputs!$B$3-100)*3)+Inputs!$B$28+Inputs!$B$29)))</f>
        <v/>
      </c>
      <c r="E1441">
        <f>INDEX(FactorTable!$B$2:$Y$301, MATCH(ROUND(MIN(300,MAX(1,D1441)),0), FactorTable!$A$2:$A$301,0), Skills!L6+1)</f>
        <v/>
      </c>
      <c r="F1441">
        <f>IF(Skills!M6=TRUE,(Skills!K6/10)*(E1441/1000),Skills!K6/10)+Skills!N6</f>
        <v/>
      </c>
      <c r="G1441">
        <f>Calc!G6</f>
        <v/>
      </c>
      <c r="H1441">
        <f>Calc!H6</f>
        <v/>
      </c>
      <c r="I1441">
        <f>IF(Skills!T6&lt;&gt;"",1+(Skills!T6/10)*(Z1438/1000)/100,1)</f>
        <v/>
      </c>
      <c r="J1441">
        <f>((Inputs!$B$6*(1+Inputs!$B$7/100))+(((Inputs!$B$12*(1+Inputs!$B$13/100))-(Inputs!$B$12*(1+Inputs!$B$13/100)))+0.25*(Inputs!$B$14-Inputs!$B$14))*(1+Inputs!$B$7/100))*(F1441/100)</f>
        <v/>
      </c>
      <c r="K1441">
        <f>J1441*(1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1453-Calc!F18),(Inputs!$B$23+(IF(ArtifactsInput!$M$15,CHOOSE(ArtifactsInput!$N$15+1,25,30,35,40,45,50)/100*(Inputs!$B$11-Inputs!$B$11),0))))/100+(Inputs!$B$23+(IF(ArtifactsInput!$M$15,CHOOSE(ArtifactsInput!$N$15+1,25,30,35,40,45,50)/100*(Inputs!$B$11-Inputs!$B$11),0)))/100)/2</f>
        <v/>
      </c>
      <c r="M1441">
        <f>L1441*(1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IF(B1471=0,0,O1441/B1471)</f>
        <v/>
      </c>
      <c r="Q1441">
        <f>IFERROR(1/IF(Inputs!$B$38="pvp",15,MAX(0.1,Skills!D6-IF(Skills!E6=TRUE,Inputs!$B$32,0))),0)</f>
        <v/>
      </c>
      <c r="R1441">
        <f>IF(AND(Inputs!$B$38&lt;&gt;"pvp",Inputs!$B$43&gt;0),IF(MAX(0,Inputs!$B$43-B1468)&lt;=0,0,(INT(MAX(0,Inputs!$B$43-B1468)/IF(Inputs!$B$38="pvp",15,MAX(0.1,Skills!D6-IF(Skills!E6=TRUE,Inputs!$B$32,0))))+1)),0)</f>
        <v/>
      </c>
      <c r="S1441">
        <f>IF(C1441,(H1441*N1441*IF(AND(Inputs!$B$38&lt;&gt;"pvp",Inputs!$B$43&gt;0),((Skills!F6*((R1441-1)*IF(Skills!G6&gt;0,Skills!H6/Skills!G6,1)+IF(Skills!G6&gt;0,MIN(Skills!H6,MAX(0,MAX(0,Inputs!$B$43-B1468)-((R1441-1)*IF(Inputs!$B$38="pvp",15,MAX(0.1,Skills!D6-IF(Skills!E6=TRUE,Inputs!$B$32,0))))))/Skills!G6,1)))/Inputs!$B$43),G1441*Q1441))*IF(Inputs!$B$38="pvp",1,1+(Inputs!$B$20+Skills!O6+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F6*((R1441-1)*IF(Skills!G6&gt;0,Skills!H6/Skills!G6,1)+IF(Skills!G6&gt;0,MIN(Skills!H6,MAX(0,MAX(0,Inputs!$B$43-B1468)-((R1441-1)*IF(Inputs!$B$38="pvp",15,MAX(0.1,Skills!D6-IF(Skills!E6=TRUE,Inputs!$B$32,0))))))/Skills!G6,1)))/Inputs!$B$43),G1441*Q1441))*IF(Inputs!$B$38="pvp",1,(1+(Inputs!$B$21+Skills!P6+B1462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Skills!A7</f>
        <v/>
      </c>
      <c r="B1442">
        <f>Skills!B7</f>
        <v/>
      </c>
      <c r="C1442">
        <f>Inputs!$B$3&gt;=69</f>
        <v/>
      </c>
      <c r="D1442">
        <f>IF(Skills!C7=1,60+Inputs!$B$25+Inputs!$B$29,IF(Skills!C7=2,90+Inputs!$B$26+Inputs!$B$29,IF(Skills!C7=3,120+Inputs!$B$27+Inputs!$B$29,MAX(0,(Inputs!$B$3-100)*3)+Inputs!$B$28+Inputs!$B$29)))</f>
        <v/>
      </c>
      <c r="E1442">
        <f>INDEX(FactorTable!$B$2:$Y$301, MATCH(ROUND(MIN(300,MAX(1,D1442)),0), FactorTable!$A$2:$A$301,0), Skills!L7+1)</f>
        <v/>
      </c>
      <c r="F1442">
        <f>IF(Skills!M7=TRUE,(Skills!K7/10)*(E1442/1000),Skills!K7/10)+Skills!N7</f>
        <v/>
      </c>
      <c r="G1442">
        <f>Calc!G7</f>
        <v/>
      </c>
      <c r="H1442">
        <f>Calc!H7</f>
        <v/>
      </c>
      <c r="I1442">
        <f>IF(Skills!T7&lt;&gt;"",1+(Skills!T7/10)*(Z1438/1000)/100,1)</f>
        <v/>
      </c>
      <c r="J1442">
        <f>((Inputs!$B$6*(1+Inputs!$B$7/100))+(((Inputs!$B$12*(1+Inputs!$B$13/100))-(Inputs!$B$12*(1+Inputs!$B$13/100)))+0.25*(Inputs!$B$14-Inputs!$B$14))*(1+Inputs!$B$7/100))*(F1442/100)</f>
        <v/>
      </c>
      <c r="K1442">
        <f>J1442*(1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1453-Calc!F18),(Inputs!$B$23+(IF(ArtifactsInput!$M$15,CHOOSE(ArtifactsInput!$N$15+1,25,30,35,40,45,50)/100*(Inputs!$B$11-Inputs!$B$11),0))))/100+(Inputs!$B$23+(IF(ArtifactsInput!$M$15,CHOOSE(ArtifactsInput!$N$15+1,25,30,35,40,45,50)/100*(Inputs!$B$11-Inputs!$B$11),0)))/100)/2</f>
        <v/>
      </c>
      <c r="M1442">
        <f>L1442*(1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IF(B1471=0,0,O1442/B1471)</f>
        <v/>
      </c>
      <c r="Q1442">
        <f>IFERROR(1/IF(Inputs!$B$38="pvp",15,MAX(0.1,Skills!D7-IF(Skills!E7=TRUE,Inputs!$B$32,0))),0)</f>
        <v/>
      </c>
      <c r="R1442">
        <f>IF(AND(Inputs!$B$38&lt;&gt;"pvp",Inputs!$B$43&gt;0),IF(MAX(0,Inputs!$B$43-B1468)&lt;=0,0,(INT(MAX(0,Inputs!$B$43-B1468)/IF(Inputs!$B$38="pvp",15,MAX(0.1,Skills!D7-IF(Skills!E7=TRUE,Inputs!$B$32,0))))+1)),0)</f>
        <v/>
      </c>
      <c r="S1442">
        <f>IF(C1442,(H1442*N1442*IF(AND(Inputs!$B$38&lt;&gt;"pvp",Inputs!$B$43&gt;0),((Skills!F7*((R1442-1)*IF(Skills!G7&gt;0,Skills!H7/Skills!G7,1)+IF(Skills!G7&gt;0,MIN(Skills!H7,MAX(0,MAX(0,Inputs!$B$43-B1468)-((R1442-1)*IF(Inputs!$B$38="pvp",15,MAX(0.1,Skills!D7-IF(Skills!E7=TRUE,Inputs!$B$32,0))))))/Skills!G7,1)))/Inputs!$B$43),G1442*Q1442))*IF(Inputs!$B$38="pvp",1,1+(Inputs!$B$20+Skills!O7+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F7*((R1442-1)*IF(Skills!G7&gt;0,Skills!H7/Skills!G7,1)+IF(Skills!G7&gt;0,MIN(Skills!H7,MAX(0,MAX(0,Inputs!$B$43-B1468)-((R1442-1)*IF(Inputs!$B$38="pvp",15,MAX(0.1,Skills!D7-IF(Skills!E7=TRUE,Inputs!$B$32,0))))))/Skills!G7,1)))/Inputs!$B$43),G1442*Q1442))*IF(Inputs!$B$38="pvp",1,(1+(Inputs!$B$21+Skills!P7+B1462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Skills!A8</f>
        <v/>
      </c>
      <c r="B1443">
        <f>Skills!B8</f>
        <v/>
      </c>
      <c r="C1443">
        <f>Inputs!$B$3&gt;=103</f>
        <v/>
      </c>
      <c r="D1443">
        <f>IF(Skills!C8=1,60+Inputs!$B$25+Inputs!$B$29,IF(Skills!C8=2,90+Inputs!$B$26+Inputs!$B$29,IF(Skills!C8=3,120+Inputs!$B$27+Inputs!$B$29,MAX(0,(Inputs!$B$3-100)*3)+Inputs!$B$28+Inputs!$B$29)))</f>
        <v/>
      </c>
      <c r="E1443">
        <f>INDEX(FactorTable!$B$2:$Y$301, MATCH(ROUND(MIN(300,MAX(1,D1443)),0), FactorTable!$A$2:$A$301,0), Skills!L8+1)</f>
        <v/>
      </c>
      <c r="F1443">
        <f>IF(Skills!M8=TRUE,(Skills!K8/10)*(E1443/1000),Skills!K8/10)+Skills!N8</f>
        <v/>
      </c>
      <c r="G1443">
        <f>Calc!G8</f>
        <v/>
      </c>
      <c r="H1443">
        <f>Calc!H8</f>
        <v/>
      </c>
      <c r="I1443">
        <f>IF(Skills!T8&lt;&gt;"",1+(Skills!T8/10)*(Z1438/1000)/100,1)</f>
        <v/>
      </c>
      <c r="J1443">
        <f>((Inputs!$B$6*(1+Inputs!$B$7/100))+(((Inputs!$B$12*(1+Inputs!$B$13/100))-(Inputs!$B$12*(1+Inputs!$B$13/100)))+0.25*(Inputs!$B$14-Inputs!$B$14))*(1+Inputs!$B$7/100))*(F1443/100)</f>
        <v/>
      </c>
      <c r="K1443">
        <f>J1443*(1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1453-Calc!F18),(Inputs!$B$23+(IF(ArtifactsInput!$M$15,CHOOSE(ArtifactsInput!$N$15+1,25,30,35,40,45,50)/100*(Inputs!$B$11-Inputs!$B$11),0))))/100+(Inputs!$B$23+(IF(ArtifactsInput!$M$15,CHOOSE(ArtifactsInput!$N$15+1,25,30,35,40,45,50)/100*(Inputs!$B$11-Inputs!$B$11),0)))/100)/2</f>
        <v/>
      </c>
      <c r="M1443">
        <f>L1443*(1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IF(B1471=0,0,O1443/B1471)</f>
        <v/>
      </c>
      <c r="Q1443">
        <f>IFERROR(1/IF(Inputs!$B$38="pvp",15,MAX(0.1,Skills!D8-IF(Skills!E8=TRUE,Inputs!$B$32,0))),0)</f>
        <v/>
      </c>
      <c r="R1443">
        <f>IF(AND(Inputs!$B$38&lt;&gt;"pvp",Inputs!$B$43&gt;0),IF(MAX(0,Inputs!$B$43-B1468)&lt;=0,0,(INT(MAX(0,Inputs!$B$43-B1468)/IF(Inputs!$B$38="pvp",15,MAX(0.1,Skills!D8-IF(Skills!E8=TRUE,Inputs!$B$32,0))))+1)),0)</f>
        <v/>
      </c>
      <c r="S1443">
        <f>IF(C1443,(H1443*N1443*IF(AND(Inputs!$B$38&lt;&gt;"pvp",Inputs!$B$43&gt;0),((Skills!F8*((R1443-1)*IF(Skills!G8&gt;0,Skills!H8/Skills!G8,1)+IF(Skills!G8&gt;0,MIN(Skills!H8,MAX(0,MAX(0,Inputs!$B$43-B1468)-((R1443-1)*IF(Inputs!$B$38="pvp",15,MAX(0.1,Skills!D8-IF(Skills!E8=TRUE,Inputs!$B$32,0))))))/Skills!G8,1)))/Inputs!$B$43),G1443*Q1443))*IF(Inputs!$B$38="pvp",1,1+(Inputs!$B$20+Skills!O8+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F8*((R1443-1)*IF(Skills!G8&gt;0,Skills!H8/Skills!G8,1)+IF(Skills!G8&gt;0,MIN(Skills!H8,MAX(0,MAX(0,Inputs!$B$43-B1468)-((R1443-1)*IF(Inputs!$B$38="pvp",15,MAX(0.1,Skills!D8-IF(Skills!E8=TRUE,Inputs!$B$32,0))))))/Skills!G8,1)))/Inputs!$B$43),G1443*Q1443))*IF(Inputs!$B$38="pvp",1,(1+(Inputs!$B$21+Skills!P8+B1462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Skills!A9</f>
        <v/>
      </c>
      <c r="B1444">
        <f>Skills!B9</f>
        <v/>
      </c>
      <c r="C1444">
        <f>Inputs!$B$3&gt;=105</f>
        <v/>
      </c>
      <c r="D1444">
        <f>IF(Skills!C9=1,60+Inputs!$B$25+Inputs!$B$29,IF(Skills!C9=2,90+Inputs!$B$26+Inputs!$B$29,IF(Skills!C9=3,120+Inputs!$B$27+Inputs!$B$29,MAX(0,(Inputs!$B$3-100)*3)+Inputs!$B$28+Inputs!$B$29)))</f>
        <v/>
      </c>
      <c r="E1444">
        <f>INDEX(FactorTable!$B$2:$Y$301, MATCH(ROUND(MIN(300,MAX(1,D1444)),0), FactorTable!$A$2:$A$301,0), Skills!L9+1)</f>
        <v/>
      </c>
      <c r="F1444">
        <f>IF(Skills!M9=TRUE,(Skills!K9/10)*(E1444/1000),Skills!K9/10)+Skills!N9</f>
        <v/>
      </c>
      <c r="G1444">
        <f>Calc!G9</f>
        <v/>
      </c>
      <c r="H1444">
        <f>Calc!H9</f>
        <v/>
      </c>
      <c r="I1444">
        <f>IF(Skills!T9&lt;&gt;"",1+(Skills!T9/10)*(Z1438/1000)/100,1)</f>
        <v/>
      </c>
      <c r="J1444">
        <f>((Inputs!$B$6*(1+Inputs!$B$7/100))+(((Inputs!$B$12*(1+Inputs!$B$13/100))-(Inputs!$B$12*(1+Inputs!$B$13/100)))+0.25*(Inputs!$B$14-Inputs!$B$14))*(1+Inputs!$B$7/100))*(F1444/100)</f>
        <v/>
      </c>
      <c r="K1444">
        <f>J1444*(1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1453-Calc!F18),(Inputs!$B$23+(IF(ArtifactsInput!$M$15,CHOOSE(ArtifactsInput!$N$15+1,25,30,35,40,45,50)/100*(Inputs!$B$11-Inputs!$B$11),0))))/100+(Inputs!$B$23+(IF(ArtifactsInput!$M$15,CHOOSE(ArtifactsInput!$N$15+1,25,30,35,40,45,50)/100*(Inputs!$B$11-Inputs!$B$11),0)))/100)/2</f>
        <v/>
      </c>
      <c r="M1444">
        <f>L1444*(1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IF(B1471=0,0,O1444/B1471)</f>
        <v/>
      </c>
      <c r="Q1444">
        <f>IFERROR(1/IF(Inputs!$B$38="pvp",15,MAX(0.1,Skills!D9-IF(Skills!E9=TRUE,Inputs!$B$32,0))),0)</f>
        <v/>
      </c>
      <c r="R1444">
        <f>IF(AND(Inputs!$B$38&lt;&gt;"pvp",Inputs!$B$43&gt;0),IF(MAX(0,Inputs!$B$43-B1468)&lt;=0,0,(INT(MAX(0,Inputs!$B$43-B1468)/IF(Inputs!$B$38="pvp",15,MAX(0.1,Skills!D9-IF(Skills!E9=TRUE,Inputs!$B$32,0))))+1)),0)</f>
        <v/>
      </c>
      <c r="S1444">
        <f>IF(C1444,(H1444*N1444*IF(AND(Inputs!$B$38&lt;&gt;"pvp",Inputs!$B$43&gt;0),((Skills!F9*((R1444-1)*IF(Skills!G9&gt;0,Skills!H9/Skills!G9,1)+IF(Skills!G9&gt;0,MIN(Skills!H9,MAX(0,MAX(0,Inputs!$B$43-B1468)-((R1444-1)*IF(Inputs!$B$38="pvp",15,MAX(0.1,Skills!D9-IF(Skills!E9=TRUE,Inputs!$B$32,0))))))/Skills!G9,1)))/Inputs!$B$43),G1444*Q1444))*IF(Inputs!$B$38="pvp",1,1+(Inputs!$B$20+Skills!O9+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F9*((R1444-1)*IF(Skills!G9&gt;0,Skills!H9/Skills!G9,1)+IF(Skills!G9&gt;0,MIN(Skills!H9,MAX(0,MAX(0,Inputs!$B$43-B1468)-((R1444-1)*IF(Inputs!$B$38="pvp",15,MAX(0.1,Skills!D9-IF(Skills!E9=TRUE,Inputs!$B$32,0))))))/Skills!G9,1)))/Inputs!$B$43),G1444*Q1444))*IF(Inputs!$B$38="pvp",1,(1+(Inputs!$B$21+Skills!P9+B1462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Skills!A10</f>
        <v/>
      </c>
      <c r="B1445">
        <f>Skills!B10</f>
        <v/>
      </c>
      <c r="C1445">
        <f>Inputs!$B$3&gt;=113</f>
        <v/>
      </c>
      <c r="D1445">
        <f>IF(Skills!C10=1,60+Inputs!$B$25+Inputs!$B$29,IF(Skills!C10=2,90+Inputs!$B$26+Inputs!$B$29,IF(Skills!C10=3,120+Inputs!$B$27+Inputs!$B$29,MAX(0,(Inputs!$B$3-100)*3)+Inputs!$B$28+Inputs!$B$29)))</f>
        <v/>
      </c>
      <c r="E1445">
        <f>INDEX(FactorTable!$B$2:$Y$301, MATCH(ROUND(MIN(300,MAX(1,D1445)),0), FactorTable!$A$2:$A$301,0), Skills!L10+1)</f>
        <v/>
      </c>
      <c r="F1445">
        <f>IF(Skills!M10=TRUE,(Skills!K10/10)*(E1445/1000),Skills!K10/10)+Skills!N10</f>
        <v/>
      </c>
      <c r="G1445">
        <f>Calc!G10</f>
        <v/>
      </c>
      <c r="H1445">
        <f>Calc!H10</f>
        <v/>
      </c>
      <c r="I1445">
        <f>IF(Skills!T10&lt;&gt;"",1+(Skills!T10/10)*(Z1438/1000)/100,1)</f>
        <v/>
      </c>
      <c r="J1445">
        <f>((Inputs!$B$6*(1+Inputs!$B$7/100))+(((Inputs!$B$12*(1+Inputs!$B$13/100))-(Inputs!$B$12*(1+Inputs!$B$13/100)))+0.25*(Inputs!$B$14-Inputs!$B$14))*(1+Inputs!$B$7/100))*(F1445/100)</f>
        <v/>
      </c>
      <c r="K1445">
        <f>J1445*(1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F1453-Calc!F18),(Inputs!$B$23+(IF(ArtifactsInput!$M$15,CHOOSE(ArtifactsInput!$N$15+1,25,30,35,40,45,50)/100*(Inputs!$B$11-Inputs!$B$11),0))))/100+(Inputs!$B$23+(IF(ArtifactsInput!$M$15,CHOOSE(ArtifactsInput!$N$15+1,25,30,35,40,45,50)/100*(Inputs!$B$11-Inputs!$B$11),0)))/100)/2</f>
        <v/>
      </c>
      <c r="M1445">
        <f>L1445*(1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(1-Summary!$B$11)*S1445+Summary!$B$11*U1445</f>
        <v/>
      </c>
      <c r="P1445">
        <f>IF(B1471=0,0,O1445/B1471)</f>
        <v/>
      </c>
      <c r="Q1445">
        <f>IFERROR(1/IF(Inputs!$B$38="pvp",15,MAX(0.1,Skills!D10-IF(Skills!E9=TRUE,Inputs!$B$32,0))),0)</f>
        <v/>
      </c>
      <c r="R1445">
        <f>IF(AND(Inputs!$B$38&lt;&gt;"pvp",Inputs!$B$43&gt;0),IF(MAX(0,Inputs!$B$43-B1468)&lt;=0,0,(INT(MAX(0,Inputs!$B$43-B1468)/IF(Inputs!$B$38="pvp",15,MAX(0.1,Skills!D10-IF(Skills!E9=TRUE,Inputs!$B$32,0))))+1)),0)</f>
        <v/>
      </c>
      <c r="S1445">
        <f>IF(C1445,(H1445*N1445*IF(AND(Inputs!$B$38&lt;&gt;"pvp",Inputs!$B$43&gt;0),((Skills!F10*((R1445-1)*IF(Skills!G10&gt;0,Skills!H10/Skills!G10,1)+IF(Skills!G10&gt;0,MIN(Skills!H10,MAX(0,MAX(0,Inputs!$B$43-B1468)-((R1445-1)*IF(Inputs!$B$38="pvp",15,MAX(0.1,Skills!D10-IF(Skills!E9=TRUE,Inputs!$B$32,0))))))/Skills!G10,1)))/Inputs!$B$43),G1445*Q1445))*IF(Inputs!$B$38="pvp",1,1+(Inputs!$B$20+Skills!O10+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1445*(1-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5">
        <f>IF(C1445,(H1445*N1445*IF(AND(Inputs!$B$38&lt;&gt;"pvp",Inputs!$B$43&gt;0),((Skills!F10*((R1445-1)*IF(Skills!G10&gt;0,Skills!H10/Skills!G10,1)+IF(Skills!G10&gt;0,MIN(Skills!H10,MAX(0,MAX(0,Inputs!$B$43-B1468)-((R1445-1)*IF(Inputs!$B$38="pvp",15,MAX(0.1,Skills!D10-IF(Skills!E9=TRUE,Inputs!$B$32,0))))))/Skills!G10,1)))/Inputs!$B$43),G1445*Q1445))*IF(Inputs!$B$38="pvp",1,(1+(Inputs!$B$21+Skills!P10+B1462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Skills!A11</f>
        <v/>
      </c>
      <c r="B1446">
        <f>Skills!B11</f>
        <v/>
      </c>
      <c r="C1446">
        <f>Inputs!$B$3&gt;=107</f>
        <v/>
      </c>
      <c r="D1446">
        <f>IF(Skills!C11=1,60+Inputs!$B$25+Inputs!$B$29,IF(Skills!C11=2,90+Inputs!$B$26+Inputs!$B$29,IF(Skills!C11=3,120+Inputs!$B$27+Inputs!$B$29,MAX(0,(Inputs!$B$3-100)*3)+Inputs!$B$28+Inputs!$B$29)))</f>
        <v/>
      </c>
      <c r="E1446">
        <f>INDEX(FactorTable!$B$2:$Y$301, MATCH(ROUND(MIN(300,MAX(1,D1446)),0), FactorTable!$A$2:$A$301,0), Skills!L11+1)</f>
        <v/>
      </c>
      <c r="F1446">
        <f>IF(Skills!M11=TRUE,(Skills!K11/10)*(E1446/1000),Skills!K11/10)+Skills!N11</f>
        <v/>
      </c>
      <c r="G1446">
        <f>Calc!G11</f>
        <v/>
      </c>
      <c r="H1446">
        <f>Calc!H11</f>
        <v/>
      </c>
      <c r="I1446">
        <f>IF(Skills!T11&lt;&gt;"",1+(Skills!T11/10)*(Z1438/1000)/100,1)</f>
        <v/>
      </c>
      <c r="J1446">
        <f>((Inputs!$B$6*(1+Inputs!$B$7/100))+(((Inputs!$B$12*(1+Inputs!$B$13/100))-(Inputs!$B$12*(1+Inputs!$B$13/100)))+0.25*(Inputs!$B$14-Inputs!$B$14))*(1+Inputs!$B$7/100))*(F1446/100)</f>
        <v/>
      </c>
      <c r="K1446">
        <f>J1446*(1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F1453-Calc!F18),(Inputs!$B$23+(IF(ArtifactsInput!$M$15,CHOOSE(ArtifactsInput!$N$15+1,25,30,35,40,45,50)/100*(Inputs!$B$11-Inputs!$B$11),0))))/100+(Inputs!$B$23+(IF(ArtifactsInput!$M$15,CHOOSE(ArtifactsInput!$N$15+1,25,30,35,40,45,50)/100*(Inputs!$B$11-Inputs!$B$11),0)))/100)/2</f>
        <v/>
      </c>
      <c r="M1446">
        <f>L1446*(1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(1-Summary!$B$11)*S1446+Summary!$B$11*U1446</f>
        <v/>
      </c>
      <c r="P1446">
        <f>IF(B1471=0,0,O1446/B1471)</f>
        <v/>
      </c>
      <c r="Q1446">
        <f>IFERROR(1/IF(Inputs!$B$38="pvp",15,MAX(0.1,Skills!D11-IF(Skills!E11=TRUE,Inputs!$B$32,0))),0)</f>
        <v/>
      </c>
      <c r="R1446">
        <f>IF(AND(Inputs!$B$38&lt;&gt;"pvp",Inputs!$B$43&gt;0),IF(MAX(0,Inputs!$B$43-B1468)&lt;=0,0,(INT(MAX(0,Inputs!$B$43-B1468)/IF(Inputs!$B$38="pvp",15,MAX(0.1,Skills!D11-IF(Skills!E11=TRUE,Inputs!$B$32,0))))+1)),0)</f>
        <v/>
      </c>
      <c r="S1446">
        <f>IF(C1446,H1446*N1446*IF(AND(Inputs!$B$38&lt;&gt;"pvp",Inputs!$B$43&gt;0),((Skills!F11*((R1446-1)*IF(Skills!G11&gt;0,Skills!H11/Skills!G11,1)+IF(Skills!G11&gt;0,MIN(Skills!H11,MAX(0,MAX(0,Inputs!$B$43-B1468)-((R1446-1)*IF(Inputs!$B$38="pvp",15,MAX(0.1,Skills!D11-IF(Skills!E11=TRUE,Inputs!$B$32,0))))))/Skills!G11,1)))/Inputs!$B$43),G1446*Q1446)*0.5*IF(Inputs!$B$38="pvp",1,1+(Inputs!$B$20+Skills!O11+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1446*(1-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6">
        <f>IF(C1446,H1446*N1446*IF(AND(Inputs!$B$38&lt;&gt;"pvp",Inputs!$B$43&gt;0),((Skills!F11*((R1446-1)*IF(Skills!G11&gt;0,Skills!H11/Skills!G11,1)+IF(Skills!G11&gt;0,MIN(Skills!H11,MAX(0,MAX(0,Inputs!$B$43-B1468)-((R1446-1)*IF(Inputs!$B$38="pvp",15,MAX(0.1,Skills!D11-IF(Skills!E11=TRUE,Inputs!$B$32,0))))))/Skills!G11,1)))/Inputs!$B$43),G1446*Q1446)*1*IF(Inputs!$B$38="pvp",1,(1+(Inputs!$B$21+Skills!P11+B1462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Skills!A12</f>
        <v/>
      </c>
      <c r="B1447">
        <f>Skills!B12</f>
        <v/>
      </c>
      <c r="C1447">
        <f>Inputs!$B$3&gt;=115</f>
        <v/>
      </c>
      <c r="D1447">
        <f>IF(Skills!C12=1,60+Inputs!$B$25+Inputs!$B$29,IF(Skills!C12=2,90+Inputs!$B$26+Inputs!$B$29,IF(Skills!C12=3,120+Inputs!$B$27+Inputs!$B$29,MAX(0,(Inputs!$B$3-100)*3)+Inputs!$B$28+Inputs!$B$29)))</f>
        <v/>
      </c>
      <c r="E1447">
        <f>INDEX(FactorTable!$B$2:$Y$301, MATCH(ROUND(MIN(300,MAX(1,D1447)),0), FactorTable!$A$2:$A$301,0), Skills!L12+1)</f>
        <v/>
      </c>
      <c r="F1447">
        <f>IF(Skills!M12=TRUE,(Skills!K12/10)*(E1447/1000),Skills!K12/10)+Skills!N12</f>
        <v/>
      </c>
      <c r="G1447">
        <f>Calc!G12</f>
        <v/>
      </c>
      <c r="H1447">
        <f>Calc!H12</f>
        <v/>
      </c>
      <c r="I1447">
        <f>IF(Skills!T12&lt;&gt;"",1+(Skills!T12/10)*(Z1438/1000)/100,1)</f>
        <v/>
      </c>
      <c r="J1447">
        <f>((Inputs!$B$6*(1+Inputs!$B$7/100))+(((Inputs!$B$12*(1+Inputs!$B$13/100))-(Inputs!$B$12*(1+Inputs!$B$13/100)))+0.25*(Inputs!$B$14-Inputs!$B$14))*(1+Inputs!$B$7/100))*(F1447/100)</f>
        <v/>
      </c>
      <c r="K1447">
        <f>J1447*(1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1453-Calc!F18),(Inputs!$B$23+(IF(ArtifactsInput!$M$15,CHOOSE(ArtifactsInput!$N$15+1,25,30,35,40,45,50)/100*(Inputs!$B$11-Inputs!$B$11),0))))/100+(Inputs!$B$23+(IF(ArtifactsInput!$M$15,CHOOSE(ArtifactsInput!$N$15+1,25,30,35,40,45,50)/100*(Inputs!$B$11-Inputs!$B$11),0)))/100)/2</f>
        <v/>
      </c>
      <c r="M1447">
        <f>L1447*(1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IF(B1471=0,0,O1447/B1471)</f>
        <v/>
      </c>
      <c r="Q1447">
        <f>IFERROR(1/IF(Inputs!$B$38="pvp",15,MAX(0.1,Skills!D12-IF(Skills!E12=TRUE,Inputs!$B$32,0))),0)</f>
        <v/>
      </c>
      <c r="R1447">
        <f>IF(AND(Inputs!$B$38&lt;&gt;"pvp",Inputs!$B$43&gt;0),IF(MAX(0,Inputs!$B$43-B1468)&lt;=0,0,(INT(MAX(0,Inputs!$B$43-B1468)/IF(Inputs!$B$38="pvp",15,MAX(0.1,Skills!D12-IF(Skills!E12=TRUE,Inputs!$B$32,0))))+1)),0)</f>
        <v/>
      </c>
      <c r="S1447">
        <f>IF(C1447,(H1447*N1447*IF(AND(Inputs!$B$38&lt;&gt;"pvp",Inputs!$B$43&gt;0),((Skills!F12*((R1447-1)*IF(Skills!G12&gt;0,Skills!H12/Skills!G12,1)+IF(Skills!G12&gt;0,MIN(Skills!H12,MAX(0,MAX(0,Inputs!$B$43-B1468)-((R1447-1)*IF(Inputs!$B$38="pvp",15,MAX(0.1,Skills!D12-IF(Skills!E12=TRUE,Inputs!$B$32,0))))))/Skills!G12,1)))/Inputs!$B$43),G1447*Q1447))*IF(Inputs!$B$38="pvp",1,1+(Inputs!$B$20+Skills!O12+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F12*((R1447-1)*IF(Skills!G12&gt;0,Skills!H12/Skills!G12,1)+IF(Skills!G12&gt;0,MIN(Skills!H12,MAX(0,MAX(0,Inputs!$B$43-B1468)-((R1447-1)*IF(Inputs!$B$38="pvp",15,MAX(0.1,Skills!D12-IF(Skills!E12=TRUE,Inputs!$B$32,0))))))/Skills!G12,1)))/Inputs!$B$43),G1447*Q1447))*IF(Inputs!$B$38="pvp",1,(1+(Inputs!$B$21+Skills!P12+B1462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Skills!A13</f>
        <v/>
      </c>
      <c r="B1448">
        <f>Skills!B13</f>
        <v/>
      </c>
      <c r="C1448">
        <f>Inputs!$B$3&gt;=49</f>
        <v/>
      </c>
      <c r="D1448">
        <f>IF(Skills!C13=1,60+Inputs!$B$25+Inputs!$B$29,IF(Skills!C13=2,90+Inputs!$B$26+Inputs!$B$29,IF(Skills!C13=3,120+Inputs!$B$27+Inputs!$B$29,MAX(0,(Inputs!$B$3-100)*3)+Inputs!$B$28+Inputs!$B$29)))</f>
        <v/>
      </c>
      <c r="E1448">
        <f>INDEX(FactorTable!$B$2:$Y$301, MATCH(ROUND(MIN(300,MAX(1,D1448)),0), FactorTable!$A$2:$A$301,0), Skills!L13+1)</f>
        <v/>
      </c>
      <c r="F1448">
        <f>IF(Skills!M13=TRUE,(Skills!K13/10)*(E1448/1000),Skills!K13/10)+Skills!N13</f>
        <v/>
      </c>
      <c r="G1448">
        <f>Calc!G13</f>
        <v/>
      </c>
      <c r="H1448">
        <f>Calc!H13</f>
        <v/>
      </c>
      <c r="I1448">
        <f>IF(Skills!T13&lt;&gt;"",1+(Skills!T13/10)*(Z1438/1000)/100,1)</f>
        <v/>
      </c>
      <c r="J1448" t="inlineStr"/>
      <c r="K1448" t="inlineStr"/>
      <c r="L1448" t="inlineStr"/>
      <c r="M1448" t="inlineStr"/>
      <c r="N1448" t="inlineStr"/>
      <c r="O1448">
        <f>(1-Summary!$B$11)*S1448+Summary!$B$11*U1448</f>
        <v/>
      </c>
      <c r="P1448">
        <f>IF(B1471=0,0,O1448/B1471)</f>
        <v/>
      </c>
      <c r="Q1448">
        <f>IFERROR(1/IF(Inputs!$B$38="pvp",15,MAX(0.1,Skills!D13-IF(Skills!E13=TRUE,Inputs!$B$32,0))),0)</f>
        <v/>
      </c>
      <c r="R1448" t="n">
        <v>0</v>
      </c>
      <c r="S1448" t="n">
        <v>0</v>
      </c>
      <c r="U1448" t="n">
        <v>0</v>
      </c>
    </row>
    <row r="1449">
      <c r="A1449">
        <f>Skills!A14</f>
        <v/>
      </c>
      <c r="B1449">
        <f>Skills!B14</f>
        <v/>
      </c>
      <c r="C1449">
        <f>Inputs!$B$3&gt;=72</f>
        <v/>
      </c>
      <c r="D1449">
        <f>IF(Skills!C14=1,60+Inputs!$B$25+Inputs!$B$29,IF(Skills!C14=2,90+Inputs!$B$26+Inputs!$B$29,IF(Skills!C14=3,120+Inputs!$B$27+Inputs!$B$29,MAX(0,(Inputs!$B$3-100)*3)+Inputs!$B$28+Inputs!$B$29)))</f>
        <v/>
      </c>
      <c r="E1449">
        <f>INDEX(FactorTable!$B$2:$Y$301, MATCH(ROUND(MIN(300,MAX(1,D1449)),0), FactorTable!$A$2:$A$301,0), Skills!L14+1)</f>
        <v/>
      </c>
      <c r="F1449">
        <f>IF(Skills!M14=TRUE,(Skills!K14/10)*(E1449/1000),Skills!K14/10)+Skills!N14</f>
        <v/>
      </c>
      <c r="G1449">
        <f>Calc!G14</f>
        <v/>
      </c>
      <c r="H1449">
        <f>Calc!H14</f>
        <v/>
      </c>
      <c r="I1449">
        <f>IF(Skills!T14&lt;&gt;"",1+(Skills!T14/10)*(Z1438/1000)/100,1)</f>
        <v/>
      </c>
      <c r="J1449" t="inlineStr"/>
      <c r="K1449" t="inlineStr"/>
      <c r="L1449" t="inlineStr"/>
      <c r="M1449" t="inlineStr"/>
      <c r="N1449" t="inlineStr"/>
      <c r="O1449">
        <f>(1-Summary!$B$11)*S1449+Summary!$B$11*U1449</f>
        <v/>
      </c>
      <c r="P1449">
        <f>IF(B1471=0,0,O1449/B1471)</f>
        <v/>
      </c>
      <c r="Q1449">
        <f>IFERROR(1/IF(Inputs!$B$38="pvp",15,MAX(0.1,Skills!D14-IF(Skills!E14=TRUE,Inputs!$B$32,0))),0)</f>
        <v/>
      </c>
      <c r="R1449" t="n">
        <v>0</v>
      </c>
      <c r="S1449" t="n">
        <v>0</v>
      </c>
      <c r="U1449" t="n">
        <v>0</v>
      </c>
    </row>
    <row r="1450">
      <c r="A1450">
        <f>Skills!A15</f>
        <v/>
      </c>
      <c r="B1450">
        <f>Skills!B15</f>
        <v/>
      </c>
      <c r="C1450">
        <f>Inputs!$B$3&gt;=75</f>
        <v/>
      </c>
      <c r="D1450">
        <f>IF(Skills!C15=1,60+Inputs!$B$25+Inputs!$B$29,IF(Skills!C15=2,90+Inputs!$B$26+Inputs!$B$29,IF(Skills!C15=3,120+Inputs!$B$27+Inputs!$B$29,MAX(0,(Inputs!$B$3-100)*3)+Inputs!$B$28+Inputs!$B$29)))</f>
        <v/>
      </c>
      <c r="E1450">
        <f>INDEX(FactorTable!$B$2:$Y$301, MATCH(ROUND(MIN(300,MAX(1,D1450)),0), FactorTable!$A$2:$A$301,0), Skills!L15+1)</f>
        <v/>
      </c>
      <c r="F1450">
        <f>IF(Skills!M15=TRUE,(Skills!K15/10)*(E1450/1000),Skills!K15/10)+Skills!N15</f>
        <v/>
      </c>
      <c r="G1450">
        <f>Calc!G15</f>
        <v/>
      </c>
      <c r="H1450">
        <f>Calc!H15</f>
        <v/>
      </c>
      <c r="I1450">
        <f>IF(Skills!T15&lt;&gt;"",1+(Skills!T15/10)*(Z1438/1000)/100,1)</f>
        <v/>
      </c>
      <c r="J1450" t="inlineStr"/>
      <c r="K1450" t="inlineStr"/>
      <c r="L1450" t="inlineStr"/>
      <c r="M1450" t="inlineStr"/>
      <c r="N1450" t="inlineStr"/>
      <c r="O1450">
        <f>(1-Summary!$B$11)*S1450+Summary!$B$11*U1450</f>
        <v/>
      </c>
      <c r="P1450">
        <f>IF(B1471=0,0,O1450/B1471)</f>
        <v/>
      </c>
      <c r="Q1450">
        <f>IFERROR(1/IF(Inputs!$B$38="pvp",15,MAX(0.1,Skills!D15-IF(Skills!E15=TRUE,Inputs!$B$32,0))),0)</f>
        <v/>
      </c>
      <c r="R1450" t="n">
        <v>0</v>
      </c>
      <c r="S1450" t="n">
        <v>0</v>
      </c>
      <c r="U1450" t="n">
        <v>0</v>
      </c>
    </row>
    <row r="1451">
      <c r="A1451">
        <f>Skills!A16</f>
        <v/>
      </c>
      <c r="B1451">
        <f>Skills!B16</f>
        <v/>
      </c>
      <c r="C1451">
        <f>Inputs!$B$3&gt;=110</f>
        <v/>
      </c>
      <c r="D1451">
        <f>IF(Skills!C16=1,60+Inputs!$B$25+Inputs!$B$29,IF(Skills!C16=2,90+Inputs!$B$26+Inputs!$B$29,IF(Skills!C16=3,120+Inputs!$B$27+Inputs!$B$29,MAX(0,(Inputs!$B$3-100)*3)+Inputs!$B$28+Inputs!$B$29)))</f>
        <v/>
      </c>
      <c r="E1451">
        <f>INDEX(FactorTable!$B$2:$Y$301, MATCH(ROUND(MIN(300,MAX(1,D1451)),0), FactorTable!$A$2:$A$301,0), Skills!L16+1)</f>
        <v/>
      </c>
      <c r="F1451">
        <f>(Skills!K16/10)*(E1451/1000)*64/45+Skills!N16</f>
        <v/>
      </c>
      <c r="G1451">
        <f>Calc!G16</f>
        <v/>
      </c>
      <c r="H1451">
        <f>Calc!H16</f>
        <v/>
      </c>
      <c r="I1451">
        <f>IF(Skills!T16&lt;&gt;"",1+(Skills!T16/10)*(Z1438/1000)/100,1)</f>
        <v/>
      </c>
      <c r="J1451" t="inlineStr"/>
      <c r="K1451" t="inlineStr"/>
      <c r="L1451" t="inlineStr"/>
      <c r="M1451" t="inlineStr"/>
      <c r="N1451" t="inlineStr"/>
      <c r="O1451">
        <f>(1-Summary!$B$11)*S1451+Summary!$B$11*U1451</f>
        <v/>
      </c>
      <c r="P1451">
        <f>IF(B1471=0,0,O1451/B1471)</f>
        <v/>
      </c>
      <c r="Q1451">
        <f>IFERROR(1/IF(Inputs!$B$38="pvp",15,MAX(0.1,Skills!D16-IF(Skills!E16=TRUE,Inputs!$B$32,0))),0)</f>
        <v/>
      </c>
      <c r="R1451">
        <f>IF(AND(Inputs!$B$38&lt;&gt;"pvp",Inputs!$B$43&gt;0),IF(Inputs!$B$43&lt;=0,0,(INT(Inputs!$B$43/IF(Inputs!$B$38="pvp",15,MAX(0.1,Skills!D16-IF(Skills!E16=TRUE,Inputs!$B$32,0))))+1)),0)</f>
        <v/>
      </c>
      <c r="S1451" t="n">
        <v>0</v>
      </c>
      <c r="U1451" t="n">
        <v>0</v>
      </c>
    </row>
    <row r="1452">
      <c r="A1452">
        <f>Skills!A17</f>
        <v/>
      </c>
      <c r="B1452">
        <f>Skills!B17</f>
        <v/>
      </c>
      <c r="C1452">
        <f>Inputs!$B$3&gt;=33</f>
        <v/>
      </c>
      <c r="D1452">
        <f>IF(Skills!C17=1,60+Inputs!$B$25+Inputs!$B$29,IF(Skills!C17=2,90+Inputs!$B$26+Inputs!$B$29,IF(Skills!C17=3,120+Inputs!$B$27+Inputs!$B$29,MAX(0,(Inputs!$B$3-100)*3)+Inputs!$B$28+Inputs!$B$29)))</f>
        <v/>
      </c>
      <c r="E1452">
        <f>INDEX(FactorTable!$B$2:$Y$301, MATCH(ROUND(MIN(300,MAX(1,D1452)),0), FactorTable!$A$2:$A$301,0), Skills!L17+1)</f>
        <v/>
      </c>
      <c r="F1452">
        <f>IF(Skills!M17=TRUE,(Skills!K17/10)*(E1452/1000),Skills!K17/10)+Skills!N17</f>
        <v/>
      </c>
      <c r="G1452">
        <f>Calc!G17</f>
        <v/>
      </c>
      <c r="H1452">
        <f>Calc!H17</f>
        <v/>
      </c>
      <c r="I1452">
        <f>IF(Skills!T17&lt;&gt;"",1+(Skills!T17/10)*(Z1438/1000)/100,1)</f>
        <v/>
      </c>
      <c r="J1452" t="inlineStr"/>
      <c r="K1452" t="inlineStr"/>
      <c r="L1452" t="inlineStr"/>
      <c r="M1452" t="inlineStr"/>
      <c r="N1452" t="inlineStr"/>
      <c r="O1452">
        <f>(1-Summary!$B$11)*S1452+Summary!$B$11*U1452</f>
        <v/>
      </c>
      <c r="P1452">
        <f>IF(B1471=0,0,O1452/B1471)</f>
        <v/>
      </c>
      <c r="Q1452">
        <f>IFERROR(1/IF(Inputs!$B$38="pvp",15,MAX(0.1,Skills!D17-IF(Skills!E17=TRUE,Inputs!$B$32,0))),0)</f>
        <v/>
      </c>
      <c r="R1452" t="n">
        <v>0</v>
      </c>
      <c r="S1452" t="n">
        <v>0</v>
      </c>
      <c r="U1452" t="n">
        <v>0</v>
      </c>
    </row>
    <row r="1453">
      <c r="A1453">
        <f>Skills!A18</f>
        <v/>
      </c>
      <c r="B1453">
        <f>Skills!B18</f>
        <v/>
      </c>
      <c r="C1453">
        <f>Inputs!$B$3&gt;=43</f>
        <v/>
      </c>
      <c r="D1453">
        <f>IF(Skills!C18=1,60+Inputs!$B$25+Inputs!$B$29,IF(Skills!C18=2,90+Inputs!$B$26+Inputs!$B$29,IF(Skills!C18=3,120+Inputs!$B$27+Inputs!$B$29,MAX(0,(Inputs!$B$3-100)*3)+Inputs!$B$28+Inputs!$B$29)))</f>
        <v/>
      </c>
      <c r="E1453">
        <f>INDEX(FactorTable!$B$2:$Y$301, MATCH(ROUND(MIN(300,MAX(1,D1453)),0), FactorTable!$A$2:$A$301,0), Skills!L18+1)</f>
        <v/>
      </c>
      <c r="F1453">
        <f>IF(Skills!M18=TRUE,(Skills!K18/10)*(E1453/1000),Skills!K18/10)+Skills!N18</f>
        <v/>
      </c>
      <c r="G1453">
        <f>Calc!G18</f>
        <v/>
      </c>
      <c r="H1453">
        <f>Calc!H18</f>
        <v/>
      </c>
      <c r="I1453">
        <f>IF(Skills!T18&lt;&gt;"",1+(Skills!T18/10)*(Z1438/1000)/100,1)</f>
        <v/>
      </c>
      <c r="J1453" t="inlineStr"/>
      <c r="K1453" t="inlineStr"/>
      <c r="L1453" t="inlineStr"/>
      <c r="M1453" t="inlineStr"/>
      <c r="N1453" t="inlineStr"/>
      <c r="O1453">
        <f>(1-Summary!$B$11)*S1453+Summary!$B$11*U1453</f>
        <v/>
      </c>
      <c r="P1453">
        <f>IF(B1471=0,0,O1453/B1471)</f>
        <v/>
      </c>
      <c r="Q1453">
        <f>IFERROR(1/IF(Inputs!$B$38="pvp",15,MAX(0.1,Skills!D18-IF(Skills!E18=TRUE,Inputs!$B$32,0))),0)</f>
        <v/>
      </c>
      <c r="R1453" t="n">
        <v>0</v>
      </c>
      <c r="S1453" t="n">
        <v>0</v>
      </c>
      <c r="U1453" t="n">
        <v>0</v>
      </c>
    </row>
    <row r="1454">
      <c r="A1454">
        <f>Skills!A19</f>
        <v/>
      </c>
      <c r="B1454">
        <f>Skills!B19</f>
        <v/>
      </c>
      <c r="C1454">
        <f>Inputs!$B$3&gt;=50</f>
        <v/>
      </c>
      <c r="D1454">
        <f>IF(Skills!C19=1,60+Inputs!$B$25+Inputs!$B$29,IF(Skills!C19=2,90+Inputs!$B$26+Inputs!$B$29,IF(Skills!C19=3,120+Inputs!$B$27+Inputs!$B$29,MAX(0,(Inputs!$B$3-100)*3)+Inputs!$B$28+Inputs!$B$29)))</f>
        <v/>
      </c>
      <c r="E1454">
        <f>INDEX(FactorTable!$B$2:$Y$301, MATCH(ROUND(MIN(300,MAX(1,D1454)),0), FactorTable!$A$2:$A$301,0), Skills!L19+1)</f>
        <v/>
      </c>
      <c r="F1454">
        <f>IF(Skills!M19=TRUE,(Skills!K19/10)*(E1454/1000),Skills!K19/10)+Skills!N19</f>
        <v/>
      </c>
      <c r="G1454">
        <f>Calc!G19</f>
        <v/>
      </c>
      <c r="H1454">
        <f>Calc!H19</f>
        <v/>
      </c>
      <c r="I1454">
        <f>IF(Skills!T19&lt;&gt;"",1+(Skills!T19/10)*(Z1438/1000)/100,1)</f>
        <v/>
      </c>
      <c r="J1454" t="inlineStr"/>
      <c r="K1454" t="inlineStr"/>
      <c r="L1454" t="inlineStr"/>
      <c r="M1454" t="inlineStr"/>
      <c r="N1454" t="inlineStr"/>
      <c r="O1454">
        <f>(1-Summary!$B$11)*S1454+Summary!$B$11*U1454</f>
        <v/>
      </c>
      <c r="P1454">
        <f>IF(B1471=0,0,O1454/B1471)</f>
        <v/>
      </c>
      <c r="Q1454">
        <f>IFERROR(1/IF(Inputs!$B$38="pvp",15,MAX(0.1,Skills!D19-IF(Skills!E19=TRUE,Inputs!$B$32,0))),0)</f>
        <v/>
      </c>
      <c r="R1454" t="n">
        <v>0</v>
      </c>
      <c r="S1454" t="n">
        <v>0</v>
      </c>
      <c r="U1454" t="n">
        <v>0</v>
      </c>
    </row>
    <row r="1455">
      <c r="A1455">
        <f>Skills!A20</f>
        <v/>
      </c>
      <c r="B1455">
        <f>Skills!B20</f>
        <v/>
      </c>
      <c r="C1455">
        <f>Inputs!$B$3&gt;=74</f>
        <v/>
      </c>
      <c r="D1455">
        <f>IF(Skills!C20=1,60+Inputs!$B$25+Inputs!$B$29,IF(Skills!C20=2,90+Inputs!$B$26+Inputs!$B$29,IF(Skills!C20=3,120+Inputs!$B$27+Inputs!$B$29,MAX(0,(Inputs!$B$3-100)*3)+Inputs!$B$28+Inputs!$B$29)))</f>
        <v/>
      </c>
      <c r="E1455">
        <f>INDEX(FactorTable!$B$2:$Y$301, MATCH(ROUND(MIN(300,MAX(1,D1455)),0), FactorTable!$A$2:$A$301,0), Skills!L20+1)</f>
        <v/>
      </c>
      <c r="F1455">
        <f>IF(Skills!M20=TRUE,(Skills!K20/10)*(E1455/1000),Skills!K20/10)+Skills!N20</f>
        <v/>
      </c>
      <c r="G1455">
        <f>Calc!G20</f>
        <v/>
      </c>
      <c r="H1455">
        <f>Calc!H20</f>
        <v/>
      </c>
      <c r="I1455">
        <f>IF(Skills!T20&lt;&gt;"",1+(Skills!T20/10)*(Z1438/1000)/100,1)</f>
        <v/>
      </c>
      <c r="J1455" t="inlineStr"/>
      <c r="K1455" t="inlineStr"/>
      <c r="L1455" t="inlineStr"/>
      <c r="M1455" t="inlineStr"/>
      <c r="N1455" t="inlineStr"/>
      <c r="O1455">
        <f>(1-Summary!$B$11)*S1455+Summary!$B$11*U1455</f>
        <v/>
      </c>
      <c r="P1455">
        <f>IF(B1471=0,0,O1455/B1471)</f>
        <v/>
      </c>
      <c r="Q1455">
        <f>IFERROR(1/IF(Inputs!$B$38="pvp",15,MAX(0.1,Skills!D20-IF(Skills!E20=TRUE,Inputs!$B$32,0))),0)</f>
        <v/>
      </c>
      <c r="R1455" t="n">
        <v>0</v>
      </c>
      <c r="S1455" t="n">
        <v>0</v>
      </c>
      <c r="U1455" t="n">
        <v>0</v>
      </c>
    </row>
    <row r="1456">
      <c r="A1456">
        <f>Skills!A21</f>
        <v/>
      </c>
      <c r="B1456">
        <f>Skills!B21</f>
        <v/>
      </c>
      <c r="C1456">
        <f>Inputs!$B$3&gt;=74</f>
        <v/>
      </c>
      <c r="D1456">
        <f>IF(Skills!C21=1,60+Inputs!$B$25+Inputs!$B$29,IF(Skills!C21=2,90+Inputs!$B$26+Inputs!$B$29,IF(Skills!C21=3,120+Inputs!$B$27+Inputs!$B$29,MAX(0,(Inputs!$B$3-100)*3)+Inputs!$B$28+Inputs!$B$29)))</f>
        <v/>
      </c>
      <c r="E1456">
        <f>INDEX(FactorTable!$B$2:$Y$301, MATCH(ROUND(MIN(300,MAX(1,D1456)),0), FactorTable!$A$2:$A$301,0), Skills!L21+1)</f>
        <v/>
      </c>
      <c r="F1456">
        <f>IF(Skills!M21=TRUE,(Skills!K21/10)*(E1456/1000),Skills!K21/10)+Skills!N21</f>
        <v/>
      </c>
      <c r="G1456">
        <f>Calc!G21</f>
        <v/>
      </c>
      <c r="H1456">
        <f>Calc!H21</f>
        <v/>
      </c>
      <c r="I1456">
        <f>IF(Skills!T21&lt;&gt;"",1+(Skills!T21/10)*(Z1438/1000)/100,1)</f>
        <v/>
      </c>
      <c r="J1456" t="inlineStr"/>
      <c r="K1456" t="inlineStr"/>
      <c r="L1456" t="inlineStr"/>
      <c r="M1456" t="inlineStr"/>
      <c r="N1456" t="inlineStr"/>
      <c r="O1456">
        <f>(1-Summary!$B$11)*S1456+Summary!$B$11*U1456</f>
        <v/>
      </c>
      <c r="P1456">
        <f>IF(B1471=0,0,O1456/B1471)</f>
        <v/>
      </c>
      <c r="Q1456">
        <f>IFERROR(1/IF(Inputs!$B$38="pvp",15,MAX(0.1,Skills!D21-IF(Skills!E21=TRUE,Inputs!$B$32,0))),0)</f>
        <v/>
      </c>
      <c r="R1456" t="n">
        <v>0</v>
      </c>
      <c r="S1456" t="n">
        <v>0</v>
      </c>
      <c r="U1456" t="n">
        <v>0</v>
      </c>
    </row>
    <row r="1457">
      <c r="A1457">
        <f>Skills!A22</f>
        <v/>
      </c>
      <c r="B1457">
        <f>Skills!B22</f>
        <v/>
      </c>
      <c r="C1457">
        <f>Inputs!$B$3&gt;=117</f>
        <v/>
      </c>
      <c r="D1457">
        <f>IF(Skills!C22=1,60+Inputs!$B$25+Inputs!$B$29,IF(Skills!C22=2,90+Inputs!$B$26+Inputs!$B$29,IF(Skills!C22=3,120+Inputs!$B$27+Inputs!$B$29,MAX(0,(Inputs!$B$3-100)*3)+Inputs!$B$28+Inputs!$B$29)))</f>
        <v/>
      </c>
      <c r="E1457">
        <f>INDEX(FactorTable!$B$2:$Y$301, MATCH(ROUND(MIN(300,MAX(1,D1457)),0), FactorTable!$A$2:$A$301,0), Skills!L22+1)</f>
        <v/>
      </c>
      <c r="F1457">
        <f>IF(Skills!M22=TRUE,(Skills!K22/10)*(E1457/1000),Skills!K22/10)+Skills!N22</f>
        <v/>
      </c>
      <c r="G1457">
        <f>Calc!G22</f>
        <v/>
      </c>
      <c r="H1457">
        <f>Calc!H22</f>
        <v/>
      </c>
      <c r="I1457">
        <f>IF(Skills!T22&lt;&gt;"",1+(Skills!T22/10)*(Z1438/1000)/100,1)</f>
        <v/>
      </c>
      <c r="J1457" t="inlineStr"/>
      <c r="K1457" t="inlineStr"/>
      <c r="L1457" t="inlineStr"/>
      <c r="M1457" t="inlineStr"/>
      <c r="N1457" t="inlineStr"/>
      <c r="O1457">
        <f>(1-Summary!$B$11)*S1457+Summary!$B$11*U1457</f>
        <v/>
      </c>
      <c r="P1457">
        <f>IF(B1471=0,0,O1457/B1471)</f>
        <v/>
      </c>
      <c r="Q1457">
        <f>IFERROR(1/IF(Inputs!$B$38="pvp",15,MAX(0.1,Skills!D22-IF(Skills!E22=TRUE,Inputs!$B$32,0))),0)</f>
        <v/>
      </c>
      <c r="R1457" t="n">
        <v>0</v>
      </c>
      <c r="S1457" t="n">
        <v>0</v>
      </c>
      <c r="U1457" t="n">
        <v>0</v>
      </c>
    </row>
    <row r="1458">
      <c r="A1458">
        <f>Skills!A23</f>
        <v/>
      </c>
      <c r="B1458">
        <f>Skills!B23</f>
        <v/>
      </c>
      <c r="C1458">
        <f>Inputs!$B$3&gt;=120</f>
        <v/>
      </c>
      <c r="D1458">
        <f>IF(Skills!C23=1,60+Inputs!$B$25+Inputs!$B$29,IF(Skills!C23=2,90+Inputs!$B$26+Inputs!$B$29,IF(Skills!C23=3,120+Inputs!$B$27+Inputs!$B$29,MAX(0,(Inputs!$B$3-100)*3)+Inputs!$B$28+Inputs!$B$29)))</f>
        <v/>
      </c>
      <c r="E1458">
        <f>INDEX(FactorTable!$B$2:$Y$301, MATCH(ROUND(MIN(300,MAX(1,D1458)),0), FactorTable!$A$2:$A$301,0), Skills!L23+1)</f>
        <v/>
      </c>
      <c r="F1458">
        <f>IF(Skills!M23=TRUE,(Skills!K23/10)*(E1458/1000),Skills!K23/10)+Skills!N23</f>
        <v/>
      </c>
      <c r="G1458">
        <f>Calc!G23</f>
        <v/>
      </c>
      <c r="H1458">
        <f>Calc!H23</f>
        <v/>
      </c>
      <c r="I1458">
        <f>IF(Skills!T23&lt;&gt;"",1+(Skills!T23/10)*(Z1438/1000)/100,1)</f>
        <v/>
      </c>
      <c r="J1458" t="inlineStr"/>
      <c r="K1458" t="inlineStr"/>
      <c r="L1458" t="inlineStr"/>
      <c r="M1458" t="inlineStr"/>
      <c r="N1458" t="inlineStr"/>
      <c r="O1458">
        <f>(1-Summary!$B$11)*S1458+Summary!$B$11*U1458</f>
        <v/>
      </c>
      <c r="P1458">
        <f>IF(B1471=0,0,O1458/B1471)</f>
        <v/>
      </c>
      <c r="Q1458">
        <f>IFERROR(1/IF(Inputs!$B$38="pvp",15,MAX(0.1,Skills!D23-IF(Skills!E23=TRUE,Inputs!$B$32,0))),0)</f>
        <v/>
      </c>
      <c r="R1458" t="n">
        <v>0</v>
      </c>
      <c r="S1458" t="n">
        <v>0</v>
      </c>
      <c r="U1458" t="n">
        <v>0</v>
      </c>
    </row>
    <row r="1461">
      <c r="A1461" t="inlineStr">
        <is>
          <t>Average Buff Multiplier (Magic Guard + Meditation + Artifact Attack%, summed; then Infinity)</t>
        </is>
      </c>
      <c r="B1461">
        <f>(1+(IF(C1438=TRUE,F1438*IF(AND(Inputs!$B$38&lt;&gt;"pvp",Inputs!$B$43&gt;0),(((R1438-1)*(Skills!S3*(1+(Inputs!$B$34+IF(Inputs!$B$3&gt;=117,F1457,0))/100))+MIN((Skills!S3*(1+(Inputs!$B$34+IF(Inputs!$B$3&gt;=117,F1457,0))/100)),MAX(0,Inputs!$B$43-((R1438-1)*Skills!D3))))/Inputs!$B$43),IF(Inputs!$B$38="pvp",MIN((Skills!S3*(1+(Inputs!$B$34+IF(Inputs!$B$3&gt;=117,F1457,0))/100)),15)/15,(Skills!S3*(1+(Inputs!$B$34+IF(Inputs!$B$3&gt;=117,F1457,0))/100))/Skills!D3)),0)+IF(C1439=TRUE,F1439*IF(AND(Inputs!$B$38&lt;&gt;"pvp",Inputs!$B$43&gt;0),(((R1439-1)*(Skills!S4*(1+(Inputs!$B$34+IF(Inputs!$B$3&gt;=117,F1457,0))/100))+MIN((Skills!S4*(1+(Inputs!$B$34+IF(Inputs!$B$3&gt;=117,F1457,0))/100)),MAX(0,Inputs!$B$43-((R1439-1)*Skills!D4))))/Inputs!$B$43),IF(Inputs!$B$38="pvp",MIN((Skills!S4*(1+(Inputs!$B$34+IF(Inputs!$B$3&gt;=117,F1457,0))/100)),15)/15,(Skills!S4*(1+(Inputs!$B$34+IF(Inputs!$B$3&gt;=117,F1457,0)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1451=TRUE,(1+F1451*IF(AND(Inputs!$B$38&lt;&gt;"pvp",Inputs!$B$43&gt;0),(((R1451-1)*(Skills!S16*(1+(Inputs!$B$34+IF(Inputs!$B$3&gt;=117,F1457,0))/100))+MIN((Skills!S16*(1+(Inputs!$B$34+IF(Inputs!$B$3&gt;=117,F1457,0))/100)),MAX(0,Inputs!$B$43-((R1451-1)*Skills!D16))))/Inputs!$B$43),IF(Inputs!$B$38="pvp",MIN((Skills!S16*(1+(Inputs!$B$34+IF(Inputs!$B$3&gt;=117,F1457,0))/100)),15)/15,(Skills!S16*(1+(Inputs!$B$34+IF(Inputs!$B$3&gt;=117,F1457,0))/100))/Skills!D16))/100),1)</f>
        <v/>
      </c>
    </row>
    <row r="1462">
      <c r="A1462" t="inlineStr">
        <is>
          <t>Monster Damage Taken Bonus % (Freezing Breath - Weaken + Elemental Reset + Artifact Enemy Damage Taken, summed)</t>
        </is>
      </c>
      <c r="B1462">
        <f>IF(Inputs!$B$3&gt;=118,15*IF(Inputs!$B$38="pvp",MIN((30*(1+(Inputs!$B$34+IF(Inputs!$B$3&gt;=117,F1457,0))/100)),15)/15,(30*(1+(Inputs!$B$34+IF(Inputs!$B$3&gt;=117,F1457,0))/100))/Skills!D8),0)+IF(C1449=TRUE,F1449,0)+(IF(AND(ArtifactsInput!$M$35,Inputs!$B$4&lt;&gt;"Chapter Hunt"),CHOOSE(ArtifactsInput!$N$35+1,15,18,21,24,27,30)*(1-EXP(-(0.2*B1465)*5)),0)+IF(AND(ArtifactsInput!$M$22,Inputs!$B$4&lt;&gt;"Chapter Hunt"),CHOOSE(ArtifactsInput!$N$22+1,10,12,14,16,18,20)*((0*(((0.15*B1465*5))^0/1)+1*(((0.15*B1465*5))^1/1)+2*(((0.15*B1465*5))^2/2)+3*(((0.15*B1465*5))^3/6)+4*(((0.15*B1465*5))^4/24)+5*(((0.15*B1465*5))^5/120))/((((0.15*B1465*5))^0/1)+(((0.15*B1465*5))^1/1)+(((0.15*B1465*5))^2/2)+(((0.15*B1465*5))^3/6)+(((0.15*B1465*5))^4/24)+(((0.15*B1465*5))^5/120))),0))</f>
        <v/>
      </c>
    </row>
    <row r="1463">
      <c r="A1463" t="inlineStr">
        <is>
          <t>Damage % Bonus (Frozen Break + Frost Clutch, flat)</t>
        </is>
      </c>
      <c r="B1463">
        <f>IF(Inputs!$B$3&gt;=66,15,0)+IF(Inputs!$B$3&gt;=98,10,0)+IF(Inputs!$B$3&gt;=125,20,0)</f>
        <v/>
      </c>
    </row>
    <row r="1464">
      <c r="A1464" t="inlineStr">
        <is>
          <t>Attack Speed Bonus % (MP Eater - MP Boost, always-on once unlocked)</t>
        </is>
      </c>
      <c r="B1464">
        <f>IF(C1448=TRUE,F1448+(F1452-Calc!F17),0)</f>
        <v/>
      </c>
    </row>
    <row r="1465">
      <c r="A1465" t="inlineStr">
        <is>
          <t>Actions Per Second</t>
        </is>
      </c>
      <c r="B1465">
        <f>1+MIN(150,150*(1-(1-(Inputs!$B$11+(ArtifactsInput!$M$15-ArtifactsInput!$M$15)*CHOOSE(ArtifactsInput!$N$15+1,8,9.6,11.2,12.8,14.4,16))/150)*(1-B1464/150)))/100</f>
        <v/>
      </c>
    </row>
    <row r="1466">
      <c r="A1466" t="inlineStr">
        <is>
          <t>Skill + Buff Cast Rate</t>
        </is>
      </c>
      <c r="B1466">
        <f>IF(AND(Inputs!$B$38&lt;&gt;"pvp",Inputs!$B$43&gt;0),SUMPRODUCT((Skills!E2:E23=TRUE)*(C1437:C1458=TRUE)*R1437:R1458)/Inputs!$B$43,SUMPRODUCT((Skills!E2:E23=TRUE)*(C1437:C1458=TRUE)*Q1437:Q1458))</f>
        <v/>
      </c>
    </row>
    <row r="1467">
      <c r="A1467" t="inlineStr">
        <is>
          <t>Chain Lightning Casts Per Second</t>
        </is>
      </c>
      <c r="B1467">
        <f>MAX(0,B1465-B1466)</f>
        <v/>
      </c>
    </row>
    <row r="1468">
      <c r="A1468" t="inlineStr">
        <is>
          <t>Buff-Casting Startup Delay (s, fixed-duration only)</t>
        </is>
      </c>
      <c r="B1468">
        <f>IF(AND(Inputs!$B$38&lt;&gt;"pvp",Inputs!$B$43&gt;0),SUMPRODUCT((Skills!S2:S23&gt;0)*(Skills!E2:E23=TRUE)*(C1437:C1458=TRUE))/B1465,0)</f>
        <v/>
      </c>
    </row>
    <row r="1469">
      <c r="A1469" t="inlineStr">
        <is>
          <t>Boss-Only Total DPS (this block's swept value)</t>
        </is>
      </c>
      <c r="B1469">
        <f>SUM(S1437:S1458)</f>
        <v/>
      </c>
    </row>
    <row r="1470">
      <c r="A1470" t="inlineStr">
        <is>
          <t>Normal-Only Total DPS (this block's swept value)</t>
        </is>
      </c>
      <c r="B1470">
        <f>SUM(U1437:U1458)</f>
        <v/>
      </c>
    </row>
    <row r="1471">
      <c r="A1471" s="6" t="inlineStr">
        <is>
          <t>TOTAL DPS</t>
        </is>
      </c>
      <c r="B1471" s="6">
        <f>SUM(O1437:O1458)</f>
        <v/>
      </c>
    </row>
    <row r="1474">
      <c r="A1474" s="6" t="inlineStr">
        <is>
          <t>Stat: Horntail's Scale (Equip)</t>
        </is>
      </c>
    </row>
    <row r="1475">
      <c r="A1475" s="5" t="inlineStr">
        <is>
          <t>Key</t>
        </is>
      </c>
      <c r="B1475" s="5" t="inlineStr">
        <is>
          <t>Name</t>
        </is>
      </c>
      <c r="C1475" s="5" t="inlineStr">
        <is>
          <t>Unlocked</t>
        </is>
      </c>
      <c r="D1475" s="5" t="inlineStr">
        <is>
          <t>InputLevel</t>
        </is>
      </c>
      <c r="E1475" s="5" t="inlineStr">
        <is>
          <t>Factor</t>
        </is>
      </c>
      <c r="F1475" s="5" t="inlineStr">
        <is>
          <t>CoefficientPercent</t>
        </is>
      </c>
      <c r="G1475" s="5" t="inlineStr">
        <is>
          <t>EffectiveHits</t>
        </is>
      </c>
      <c r="H1475" s="5" t="inlineStr">
        <is>
          <t>ProcProbability</t>
        </is>
      </c>
      <c r="I1475" s="5" t="inlineStr">
        <is>
          <t>MapleHeroMultiplier</t>
        </is>
      </c>
      <c r="J1475" s="5" t="inlineStr">
        <is>
          <t>BaseDamage</t>
        </is>
      </c>
      <c r="K1475" s="5" t="inlineStr">
        <is>
          <t>BaseHitDamage</t>
        </is>
      </c>
      <c r="L1475" s="5" t="inlineStr">
        <is>
          <t>NonCritAvg</t>
        </is>
      </c>
      <c r="M1475" s="5" t="inlineStr">
        <is>
          <t>CritAvg</t>
        </is>
      </c>
      <c r="N1475" s="5" t="inlineStr">
        <is>
          <t>ExpectedDamage(perHit)</t>
        </is>
      </c>
      <c r="O1475" s="5" t="inlineStr">
        <is>
          <t>DPS</t>
        </is>
      </c>
      <c r="P1475" s="5" t="inlineStr">
        <is>
          <t>% of Total</t>
        </is>
      </c>
      <c r="R1475" t="inlineStr">
        <is>
          <t>helpers</t>
        </is>
      </c>
    </row>
    <row r="1476">
      <c r="A1476">
        <f>Skills!A2</f>
        <v/>
      </c>
      <c r="B1476">
        <f>Skills!B2</f>
        <v/>
      </c>
      <c r="C1476">
        <f>Inputs!$B$3&gt;=100</f>
        <v/>
      </c>
      <c r="D1476" t="inlineStr"/>
      <c r="E1476" t="inlineStr"/>
      <c r="F1476">
        <f>T1478+Skills!N2</f>
        <v/>
      </c>
      <c r="G1476">
        <f>Calc!G2</f>
        <v/>
      </c>
      <c r="H1476">
        <f>Calc!H2</f>
        <v/>
      </c>
      <c r="I1476">
        <f>IF(Skills!T2&lt;&gt;"",1+(Skills!T2/10)*(Z1477/1000)/100,1)</f>
        <v/>
      </c>
      <c r="J1476">
        <f>((Inputs!$B$6*(1+Inputs!$B$7/100))+(((Inputs!$B$12*(1+Inputs!$B$13/100))-(Inputs!$B$12*(1+Inputs!$B$13/100)))+0.25*(Inputs!$B$14-Inputs!$B$14))*(1+Inputs!$B$7/100))*(F1476/100)</f>
        <v/>
      </c>
      <c r="K1476">
        <f>J1476*(1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1492-Calc!F18),(Inputs!$B$23+(IF(ArtifactsInput!$M$15,CHOOSE(ArtifactsInput!$N$15+1,25,30,35,40,45,50)/100*(Inputs!$B$11-Inputs!$B$11),0))))/100+(Inputs!$B$23+(IF(ArtifactsInput!$M$15,CHOOSE(ArtifactsInput!$N$15+1,25,30,35,40,45,50)/100*(Inputs!$B$11-Inputs!$B$11),0)))/100)/2</f>
        <v/>
      </c>
      <c r="M1476">
        <f>L1476*(1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IF(B1510=0,0,O1476/B1510)</f>
        <v/>
      </c>
      <c r="Q1476">
        <f>IFERROR(1/IF(Inputs!$B$38="pvp",15,MAX(0.1,Skills!D2-IF(Skills!E2=TRUE,Inputs!$B$32,0))),0)</f>
        <v/>
      </c>
      <c r="R1476" t="n">
        <v>0</v>
      </c>
      <c r="S1476">
        <f>IF(C1476,(Skills!F2*N1476*B1506)*IF(Inputs!$B$38="pvp",1,1+(Inputs!$B$20+Skills!O2+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76">
        <f>MAX(0,(Inputs!$B$3-100)*3)+Inputs!$B$28+Inputs!$B$29</f>
        <v/>
      </c>
      <c r="U1476">
        <f>IF(C1476,(Skills!F2*N1476*B1506)*IF(Inputs!$B$38="pvp",1,(1+(Inputs!$B$21+Skills!P2+B1501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76">
        <f>MAX(0,(Inputs!$B$3-100)*3)+Inputs!$B$28+Inputs!$B$29</f>
        <v/>
      </c>
    </row>
    <row r="1477">
      <c r="A1477">
        <f>Skills!A3</f>
        <v/>
      </c>
      <c r="B1477">
        <f>Skills!B3</f>
        <v/>
      </c>
      <c r="C1477">
        <f>Inputs!$B$3&gt;=15</f>
        <v/>
      </c>
      <c r="D1477">
        <f>IF(Skills!C3=1,60+Inputs!$B$25+Inputs!$B$29,IF(Skills!C3=2,90+Inputs!$B$26+Inputs!$B$29,IF(Skills!C3=3,120+Inputs!$B$27+Inputs!$B$29,MAX(0,(Inputs!$B$3-100)*3)+Inputs!$B$28+Inputs!$B$29)))</f>
        <v/>
      </c>
      <c r="E1477">
        <f>INDEX(FactorTable!$B$2:$Y$301, MATCH(ROUND(MIN(300,MAX(1,D1477)),0), FactorTable!$A$2:$A$301,0), Skills!L3+1)</f>
        <v/>
      </c>
      <c r="F1477">
        <f>IF(Skills!M3=TRUE,(Skills!K3/10)*(E1477/1000),Skills!K3/10)+Skills!N3</f>
        <v/>
      </c>
      <c r="G1477">
        <f>Calc!G3</f>
        <v/>
      </c>
      <c r="H1477">
        <f>Calc!H3</f>
        <v/>
      </c>
      <c r="I1477">
        <f>IF(Skills!T3&lt;&gt;"",1+(Skills!T3/10)*(Z1477/1000)/100,1)</f>
        <v/>
      </c>
      <c r="J1477" t="inlineStr"/>
      <c r="K1477" t="inlineStr"/>
      <c r="L1477" t="inlineStr"/>
      <c r="M1477" t="inlineStr"/>
      <c r="N1477" t="inlineStr"/>
      <c r="O1477">
        <f>(1-Summary!$B$11)*S1477+Summary!$B$11*U1477</f>
        <v/>
      </c>
      <c r="P1477">
        <f>IF(B1510=0,0,O1477/B1510)</f>
        <v/>
      </c>
      <c r="Q1477">
        <f>IFERROR(1/IF(Inputs!$B$38="pvp",15,MAX(0.1,Skills!D3-IF(Skills!E3=TRUE,Inputs!$B$32,0))),0)</f>
        <v/>
      </c>
      <c r="R1477">
        <f>IF(AND(Inputs!$B$38&lt;&gt;"pvp",Inputs!$B$43&gt;0),IF(Inputs!$B$43&lt;=0,0,(INT(Inputs!$B$43/IF(Inputs!$B$38="pvp",15,MAX(0.1,Skills!D3-IF(Skills!E3=TRUE,Inputs!$B$32,0))))+1)),0)</f>
        <v/>
      </c>
      <c r="S1477" t="n">
        <v>0</v>
      </c>
      <c r="T1477">
        <f>INDEX(FactorTable!$B$2:$Y$301, MATCH(ROUND(MIN(300,MAX(1,T1476)),0), FactorTable!$A$2:$A$301,0), 22)</f>
        <v/>
      </c>
      <c r="U1477" t="n">
        <v>0</v>
      </c>
      <c r="Z1477">
        <f>INDEX(FactorTable!$B$2:$Y$301, MATCH(ROUND(MIN(300,MAX(1,Z1476)),0), FactorTable!$A$2:$A$301,0), 24)</f>
        <v/>
      </c>
    </row>
    <row r="1478">
      <c r="A1478">
        <f>Skills!A4</f>
        <v/>
      </c>
      <c r="B1478">
        <f>Skills!B4</f>
        <v/>
      </c>
      <c r="C1478">
        <f>Inputs!$B$3&gt;=40</f>
        <v/>
      </c>
      <c r="D1478">
        <f>IF(Skills!C4=1,60+Inputs!$B$25+Inputs!$B$29,IF(Skills!C4=2,90+Inputs!$B$26+Inputs!$B$29,IF(Skills!C4=3,120+Inputs!$B$27+Inputs!$B$29,MAX(0,(Inputs!$B$3-100)*3)+Inputs!$B$28+Inputs!$B$29)))</f>
        <v/>
      </c>
      <c r="E1478">
        <f>INDEX(FactorTable!$B$2:$Y$301, MATCH(ROUND(MIN(300,MAX(1,D1478)),0), FactorTable!$A$2:$A$301,0), Skills!L4+1)</f>
        <v/>
      </c>
      <c r="F1478">
        <f>IF(Skills!M4=TRUE,(Skills!K4/10)*(E1478/1000),Skills!K4/10)+Skills!N4</f>
        <v/>
      </c>
      <c r="G1478">
        <f>Calc!G4</f>
        <v/>
      </c>
      <c r="H1478">
        <f>Calc!H4</f>
        <v/>
      </c>
      <c r="I1478">
        <f>IF(Skills!T4&lt;&gt;"",1+(Skills!T4/10)*(Z1477/1000)/100,1)</f>
        <v/>
      </c>
      <c r="J1478" t="inlineStr"/>
      <c r="K1478" t="inlineStr"/>
      <c r="L1478" t="inlineStr"/>
      <c r="M1478" t="inlineStr"/>
      <c r="N1478" t="inlineStr"/>
      <c r="O1478">
        <f>(1-Summary!$B$11)*S1478+Summary!$B$11*U1478</f>
        <v/>
      </c>
      <c r="P1478">
        <f>IF(B1510=0,0,O1478/B1510)</f>
        <v/>
      </c>
      <c r="Q1478">
        <f>IFERROR(1/IF(Inputs!$B$38="pvp",15,MAX(0.1,Skills!D4-IF(Skills!E4=TRUE,Inputs!$B$32,0))),0)</f>
        <v/>
      </c>
      <c r="R1478">
        <f>IF(AND(Inputs!$B$38&lt;&gt;"pvp",Inputs!$B$43&gt;0),IF(Inputs!$B$43&lt;=0,0,(INT(Inputs!$B$43/IF(Inputs!$B$38="pvp",15,MAX(0.1,Skills!D4-IF(Skills!E4=TRUE,Inputs!$B$32,0))))+1)),0)</f>
        <v/>
      </c>
      <c r="S1478" t="n">
        <v>0</v>
      </c>
      <c r="T1478">
        <f>290*T1477/1000</f>
        <v/>
      </c>
      <c r="U1478" t="n">
        <v>0</v>
      </c>
    </row>
    <row r="1479">
      <c r="A1479">
        <f>Skills!A5</f>
        <v/>
      </c>
      <c r="B1479">
        <f>Skills!B5</f>
        <v/>
      </c>
      <c r="C1479">
        <f>Inputs!$B$3&gt;=38</f>
        <v/>
      </c>
      <c r="D1479">
        <f>IF(Skills!C5=1,60+Inputs!$B$25+Inputs!$B$29,IF(Skills!C5=2,90+Inputs!$B$26+Inputs!$B$29,IF(Skills!C5=3,120+Inputs!$B$27+Inputs!$B$29,MAX(0,(Inputs!$B$3-100)*3)+Inputs!$B$28+Inputs!$B$29)))</f>
        <v/>
      </c>
      <c r="E1479">
        <f>INDEX(FactorTable!$B$2:$Y$301, MATCH(ROUND(MIN(300,MAX(1,D1479)),0), FactorTable!$A$2:$A$301,0), Skills!L5+1)</f>
        <v/>
      </c>
      <c r="F1479">
        <f>IF(Skills!M5=TRUE,(Skills!K5/10)*(E1479/1000),Skills!K5/10)+Skills!N5</f>
        <v/>
      </c>
      <c r="G1479">
        <f>Calc!G5</f>
        <v/>
      </c>
      <c r="H1479">
        <f>Calc!H5</f>
        <v/>
      </c>
      <c r="I1479">
        <f>IF(Skills!T5&lt;&gt;"",1+(Skills!T5/10)*(Z1477/1000)/100,1)</f>
        <v/>
      </c>
      <c r="J1479">
        <f>((Inputs!$B$6*(1+Inputs!$B$7/100))+(((Inputs!$B$12*(1+Inputs!$B$13/100))-(Inputs!$B$12*(1+Inputs!$B$13/100)))+0.25*(Inputs!$B$14-Inputs!$B$14))*(1+Inputs!$B$7/100))*(F1479/100)</f>
        <v/>
      </c>
      <c r="K1479">
        <f>J1479*(1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F1492-Calc!F18),(Inputs!$B$23+(IF(ArtifactsInput!$M$15,CHOOSE(ArtifactsInput!$N$15+1,25,30,35,40,45,50)/100*(Inputs!$B$11-Inputs!$B$11),0))))/100+(Inputs!$B$23+(IF(ArtifactsInput!$M$15,CHOOSE(ArtifactsInput!$N$15+1,25,30,35,40,45,50)/100*(Inputs!$B$11-Inputs!$B$11),0)))/100)/2</f>
        <v/>
      </c>
      <c r="M1479">
        <f>L1479*(1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(1-Summary!$B$11)*S1479+Summary!$B$11*U1479</f>
        <v/>
      </c>
      <c r="P1479">
        <f>IF(B1510=0,0,O1479/B1510)</f>
        <v/>
      </c>
      <c r="Q1479">
        <f>IFERROR(1/IF(Inputs!$B$38="pvp",15,MAX(0.1,Skills!D5-IF(Skills!E5=TRUE,Inputs!$B$32,0))),0)</f>
        <v/>
      </c>
      <c r="R1479">
        <f>IF(AND(Inputs!$B$38&lt;&gt;"pvp",Inputs!$B$43&gt;0),IF(MAX(0,Inputs!$B$43-B1507)&lt;=0,0,(INT(MAX(0,Inputs!$B$43-B1507)/IF(Inputs!$B$38="pvp",15,MAX(0.1,Skills!D5-IF(Skills!E5=TRUE,Inputs!$B$32,0))))+1)),0)</f>
        <v/>
      </c>
      <c r="S1479">
        <f>IF(C1479,(H1479*N1479*IF(AND(Inputs!$B$38&lt;&gt;"pvp",Inputs!$B$43&gt;0),((Skills!F5*((R1479-1)*IF(Skills!G5&gt;0,Skills!H5/Skills!G5,1)+IF(Skills!G5&gt;0,MIN(Skills!H5,MAX(0,MAX(0,Inputs!$B$43-B1507)-((R1479-1)*IF(Inputs!$B$38="pvp",15,MAX(0.1,Skills!D5-IF(Skills!E5=TRUE,Inputs!$B$32,0))))))/Skills!G5,1)))/Inputs!$B$43),G1479*Q1479))*IF(Inputs!$B$38="pvp",1,1+(Inputs!$B$20+Skills!O5+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1479*(1-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IF(C1479,(H1479*N1479*IF(AND(Inputs!$B$38&lt;&gt;"pvp",Inputs!$B$43&gt;0),((Skills!F5*((R1479-1)*IF(Skills!G5&gt;0,Skills!H5/Skills!G5,1)+IF(Skills!G5&gt;0,MIN(Skills!H5,MAX(0,MAX(0,Inputs!$B$43-B1507)-((R1479-1)*IF(Inputs!$B$38="pvp",15,MAX(0.1,Skills!D5-IF(Skills!E5=TRUE,Inputs!$B$32,0))))))/Skills!G5,1)))/Inputs!$B$43),G1479*Q1479))*IF(Inputs!$B$38="pvp",1,(1+(Inputs!$B$21+Skills!P5+B1501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Skills!A6</f>
        <v/>
      </c>
      <c r="B1480">
        <f>Skills!B6</f>
        <v/>
      </c>
      <c r="C1480">
        <f>Inputs!$B$3&gt;=63</f>
        <v/>
      </c>
      <c r="D1480">
        <f>IF(Skills!C6=1,60+Inputs!$B$25+Inputs!$B$29,IF(Skills!C6=2,90+Inputs!$B$26+Inputs!$B$29,IF(Skills!C6=3,120+Inputs!$B$27+Inputs!$B$29,MAX(0,(Inputs!$B$3-100)*3)+Inputs!$B$28+Inputs!$B$29)))</f>
        <v/>
      </c>
      <c r="E1480">
        <f>INDEX(FactorTable!$B$2:$Y$301, MATCH(ROUND(MIN(300,MAX(1,D1480)),0), FactorTable!$A$2:$A$301,0), Skills!L6+1)</f>
        <v/>
      </c>
      <c r="F1480">
        <f>IF(Skills!M6=TRUE,(Skills!K6/10)*(E1480/1000),Skills!K6/10)+Skills!N6</f>
        <v/>
      </c>
      <c r="G1480">
        <f>Calc!G6</f>
        <v/>
      </c>
      <c r="H1480">
        <f>Calc!H6</f>
        <v/>
      </c>
      <c r="I1480">
        <f>IF(Skills!T6&lt;&gt;"",1+(Skills!T6/10)*(Z1477/1000)/100,1)</f>
        <v/>
      </c>
      <c r="J1480">
        <f>((Inputs!$B$6*(1+Inputs!$B$7/100))+(((Inputs!$B$12*(1+Inputs!$B$13/100))-(Inputs!$B$12*(1+Inputs!$B$13/100)))+0.25*(Inputs!$B$14-Inputs!$B$14))*(1+Inputs!$B$7/100))*(F1480/100)</f>
        <v/>
      </c>
      <c r="K1480">
        <f>J1480*(1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1492-Calc!F18),(Inputs!$B$23+(IF(ArtifactsInput!$M$15,CHOOSE(ArtifactsInput!$N$15+1,25,30,35,40,45,50)/100*(Inputs!$B$11-Inputs!$B$11),0))))/100+(Inputs!$B$23+(IF(ArtifactsInput!$M$15,CHOOSE(ArtifactsInput!$N$15+1,25,30,35,40,45,50)/100*(Inputs!$B$11-Inputs!$B$11),0)))/100)/2</f>
        <v/>
      </c>
      <c r="M1480">
        <f>L1480*(1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IF(B1510=0,0,O1480/B1510)</f>
        <v/>
      </c>
      <c r="Q1480">
        <f>IFERROR(1/IF(Inputs!$B$38="pvp",15,MAX(0.1,Skills!D6-IF(Skills!E6=TRUE,Inputs!$B$32,0))),0)</f>
        <v/>
      </c>
      <c r="R1480">
        <f>IF(AND(Inputs!$B$38&lt;&gt;"pvp",Inputs!$B$43&gt;0),IF(MAX(0,Inputs!$B$43-B1507)&lt;=0,0,(INT(MAX(0,Inputs!$B$43-B1507)/IF(Inputs!$B$38="pvp",15,MAX(0.1,Skills!D6-IF(Skills!E6=TRUE,Inputs!$B$32,0))))+1)),0)</f>
        <v/>
      </c>
      <c r="S1480">
        <f>IF(C1480,(H1480*N1480*IF(AND(Inputs!$B$38&lt;&gt;"pvp",Inputs!$B$43&gt;0),((Skills!F6*((R1480-1)*IF(Skills!G6&gt;0,Skills!H6/Skills!G6,1)+IF(Skills!G6&gt;0,MIN(Skills!H6,MAX(0,MAX(0,Inputs!$B$43-B1507)-((R1480-1)*IF(Inputs!$B$38="pvp",15,MAX(0.1,Skills!D6-IF(Skills!E6=TRUE,Inputs!$B$32,0))))))/Skills!G6,1)))/Inputs!$B$43),G1480*Q1480))*IF(Inputs!$B$38="pvp",1,1+(Inputs!$B$20+Skills!O6+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F(C1480,(H1480*N1480*IF(AND(Inputs!$B$38&lt;&gt;"pvp",Inputs!$B$43&gt;0),((Skills!F6*((R1480-1)*IF(Skills!G6&gt;0,Skills!H6/Skills!G6,1)+IF(Skills!G6&gt;0,MIN(Skills!H6,MAX(0,MAX(0,Inputs!$B$43-B1507)-((R1480-1)*IF(Inputs!$B$38="pvp",15,MAX(0.1,Skills!D6-IF(Skills!E6=TRUE,Inputs!$B$32,0))))))/Skills!G6,1)))/Inputs!$B$43),G1480*Q1480))*IF(Inputs!$B$38="pvp",1,(1+(Inputs!$B$21+Skills!P6+B1501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Skills!A7</f>
        <v/>
      </c>
      <c r="B1481">
        <f>Skills!B7</f>
        <v/>
      </c>
      <c r="C1481">
        <f>Inputs!$B$3&gt;=69</f>
        <v/>
      </c>
      <c r="D1481">
        <f>IF(Skills!C7=1,60+Inputs!$B$25+Inputs!$B$29,IF(Skills!C7=2,90+Inputs!$B$26+Inputs!$B$29,IF(Skills!C7=3,120+Inputs!$B$27+Inputs!$B$29,MAX(0,(Inputs!$B$3-100)*3)+Inputs!$B$28+Inputs!$B$29)))</f>
        <v/>
      </c>
      <c r="E1481">
        <f>INDEX(FactorTable!$B$2:$Y$301, MATCH(ROUND(MIN(300,MAX(1,D1481)),0), FactorTable!$A$2:$A$301,0), Skills!L7+1)</f>
        <v/>
      </c>
      <c r="F1481">
        <f>IF(Skills!M7=TRUE,(Skills!K7/10)*(E1481/1000),Skills!K7/10)+Skills!N7</f>
        <v/>
      </c>
      <c r="G1481">
        <f>Calc!G7</f>
        <v/>
      </c>
      <c r="H1481">
        <f>Calc!H7</f>
        <v/>
      </c>
      <c r="I1481">
        <f>IF(Skills!T7&lt;&gt;"",1+(Skills!T7/10)*(Z1477/1000)/100,1)</f>
        <v/>
      </c>
      <c r="J1481">
        <f>((Inputs!$B$6*(1+Inputs!$B$7/100))+(((Inputs!$B$12*(1+Inputs!$B$13/100))-(Inputs!$B$12*(1+Inputs!$B$13/100)))+0.25*(Inputs!$B$14-Inputs!$B$14))*(1+Inputs!$B$7/100))*(F1481/100)</f>
        <v/>
      </c>
      <c r="K1481">
        <f>J1481*(1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1492-Calc!F18),(Inputs!$B$23+(IF(ArtifactsInput!$M$15,CHOOSE(ArtifactsInput!$N$15+1,25,30,35,40,45,50)/100*(Inputs!$B$11-Inputs!$B$11),0))))/100+(Inputs!$B$23+(IF(ArtifactsInput!$M$15,CHOOSE(ArtifactsInput!$N$15+1,25,30,35,40,45,50)/100*(Inputs!$B$11-Inputs!$B$11),0)))/100)/2</f>
        <v/>
      </c>
      <c r="M1481">
        <f>L1481*(1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IF(B1510=0,0,O1481/B1510)</f>
        <v/>
      </c>
      <c r="Q1481">
        <f>IFERROR(1/IF(Inputs!$B$38="pvp",15,MAX(0.1,Skills!D7-IF(Skills!E7=TRUE,Inputs!$B$32,0))),0)</f>
        <v/>
      </c>
      <c r="R1481">
        <f>IF(AND(Inputs!$B$38&lt;&gt;"pvp",Inputs!$B$43&gt;0),IF(MAX(0,Inputs!$B$43-B1507)&lt;=0,0,(INT(MAX(0,Inputs!$B$43-B1507)/IF(Inputs!$B$38="pvp",15,MAX(0.1,Skills!D7-IF(Skills!E7=TRUE,Inputs!$B$32,0))))+1)),0)</f>
        <v/>
      </c>
      <c r="S1481">
        <f>IF(C1481,(H1481*N1481*IF(AND(Inputs!$B$38&lt;&gt;"pvp",Inputs!$B$43&gt;0),((Skills!F7*((R1481-1)*IF(Skills!G7&gt;0,Skills!H7/Skills!G7,1)+IF(Skills!G7&gt;0,MIN(Skills!H7,MAX(0,MAX(0,Inputs!$B$43-B1507)-((R1481-1)*IF(Inputs!$B$38="pvp",15,MAX(0.1,Skills!D7-IF(Skills!E7=TRUE,Inputs!$B$32,0))))))/Skills!G7,1)))/Inputs!$B$43),G1481*Q1481))*IF(Inputs!$B$38="pvp",1,1+(Inputs!$B$20+Skills!O7+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IF(C1481,(H1481*N1481*IF(AND(Inputs!$B$38&lt;&gt;"pvp",Inputs!$B$43&gt;0),((Skills!F7*((R1481-1)*IF(Skills!G7&gt;0,Skills!H7/Skills!G7,1)+IF(Skills!G7&gt;0,MIN(Skills!H7,MAX(0,MAX(0,Inputs!$B$43-B1507)-((R1481-1)*IF(Inputs!$B$38="pvp",15,MAX(0.1,Skills!D7-IF(Skills!E7=TRUE,Inputs!$B$32,0))))))/Skills!G7,1)))/Inputs!$B$43),G1481*Q1481))*IF(Inputs!$B$38="pvp",1,(1+(Inputs!$B$21+Skills!P7+B1501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Skills!A8</f>
        <v/>
      </c>
      <c r="B1482">
        <f>Skills!B8</f>
        <v/>
      </c>
      <c r="C1482">
        <f>Inputs!$B$3&gt;=103</f>
        <v/>
      </c>
      <c r="D1482">
        <f>IF(Skills!C8=1,60+Inputs!$B$25+Inputs!$B$29,IF(Skills!C8=2,90+Inputs!$B$26+Inputs!$B$29,IF(Skills!C8=3,120+Inputs!$B$27+Inputs!$B$29,MAX(0,(Inputs!$B$3-100)*3)+Inputs!$B$28+Inputs!$B$29)))</f>
        <v/>
      </c>
      <c r="E1482">
        <f>INDEX(FactorTable!$B$2:$Y$301, MATCH(ROUND(MIN(300,MAX(1,D1482)),0), FactorTable!$A$2:$A$301,0), Skills!L8+1)</f>
        <v/>
      </c>
      <c r="F1482">
        <f>IF(Skills!M8=TRUE,(Skills!K8/10)*(E1482/1000),Skills!K8/10)+Skills!N8</f>
        <v/>
      </c>
      <c r="G1482">
        <f>Calc!G8</f>
        <v/>
      </c>
      <c r="H1482">
        <f>Calc!H8</f>
        <v/>
      </c>
      <c r="I1482">
        <f>IF(Skills!T8&lt;&gt;"",1+(Skills!T8/10)*(Z1477/1000)/100,1)</f>
        <v/>
      </c>
      <c r="J1482">
        <f>((Inputs!$B$6*(1+Inputs!$B$7/100))+(((Inputs!$B$12*(1+Inputs!$B$13/100))-(Inputs!$B$12*(1+Inputs!$B$13/100)))+0.25*(Inputs!$B$14-Inputs!$B$14))*(1+Inputs!$B$7/100))*(F1482/100)</f>
        <v/>
      </c>
      <c r="K1482">
        <f>J1482*(1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1492-Calc!F18),(Inputs!$B$23+(IF(ArtifactsInput!$M$15,CHOOSE(ArtifactsInput!$N$15+1,25,30,35,40,45,50)/100*(Inputs!$B$11-Inputs!$B$11),0))))/100+(Inputs!$B$23+(IF(ArtifactsInput!$M$15,CHOOSE(ArtifactsInput!$N$15+1,25,30,35,40,45,50)/100*(Inputs!$B$11-Inputs!$B$11),0)))/100)/2</f>
        <v/>
      </c>
      <c r="M1482">
        <f>L1482*(1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IF(B1510=0,0,O1482/B1510)</f>
        <v/>
      </c>
      <c r="Q1482">
        <f>IFERROR(1/IF(Inputs!$B$38="pvp",15,MAX(0.1,Skills!D8-IF(Skills!E8=TRUE,Inputs!$B$32,0))),0)</f>
        <v/>
      </c>
      <c r="R1482">
        <f>IF(AND(Inputs!$B$38&lt;&gt;"pvp",Inputs!$B$43&gt;0),IF(MAX(0,Inputs!$B$43-B1507)&lt;=0,0,(INT(MAX(0,Inputs!$B$43-B1507)/IF(Inputs!$B$38="pvp",15,MAX(0.1,Skills!D8-IF(Skills!E8=TRUE,Inputs!$B$32,0))))+1)),0)</f>
        <v/>
      </c>
      <c r="S1482">
        <f>IF(C1482,(H1482*N1482*IF(AND(Inputs!$B$38&lt;&gt;"pvp",Inputs!$B$43&gt;0),((Skills!F8*((R1482-1)*IF(Skills!G8&gt;0,Skills!H8/Skills!G8,1)+IF(Skills!G8&gt;0,MIN(Skills!H8,MAX(0,MAX(0,Inputs!$B$43-B1507)-((R1482-1)*IF(Inputs!$B$38="pvp",15,MAX(0.1,Skills!D8-IF(Skills!E8=TRUE,Inputs!$B$32,0))))))/Skills!G8,1)))/Inputs!$B$43),G1482*Q1482))*IF(Inputs!$B$38="pvp",1,1+(Inputs!$B$20+Skills!O8+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F(C1482,(H1482*N1482*IF(AND(Inputs!$B$38&lt;&gt;"pvp",Inputs!$B$43&gt;0),((Skills!F8*((R1482-1)*IF(Skills!G8&gt;0,Skills!H8/Skills!G8,1)+IF(Skills!G8&gt;0,MIN(Skills!H8,MAX(0,MAX(0,Inputs!$B$43-B1507)-((R1482-1)*IF(Inputs!$B$38="pvp",15,MAX(0.1,Skills!D8-IF(Skills!E8=TRUE,Inputs!$B$32,0))))))/Skills!G8,1)))/Inputs!$B$43),G1482*Q1482))*IF(Inputs!$B$38="pvp",1,(1+(Inputs!$B$21+Skills!P8+B1501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Skills!A9</f>
        <v/>
      </c>
      <c r="B1483">
        <f>Skills!B9</f>
        <v/>
      </c>
      <c r="C1483">
        <f>Inputs!$B$3&gt;=105</f>
        <v/>
      </c>
      <c r="D1483">
        <f>IF(Skills!C9=1,60+Inputs!$B$25+Inputs!$B$29,IF(Skills!C9=2,90+Inputs!$B$26+Inputs!$B$29,IF(Skills!C9=3,120+Inputs!$B$27+Inputs!$B$29,MAX(0,(Inputs!$B$3-100)*3)+Inputs!$B$28+Inputs!$B$29)))</f>
        <v/>
      </c>
      <c r="E1483">
        <f>INDEX(FactorTable!$B$2:$Y$301, MATCH(ROUND(MIN(300,MAX(1,D1483)),0), FactorTable!$A$2:$A$301,0), Skills!L9+1)</f>
        <v/>
      </c>
      <c r="F1483">
        <f>IF(Skills!M9=TRUE,(Skills!K9/10)*(E1483/1000),Skills!K9/10)+Skills!N9</f>
        <v/>
      </c>
      <c r="G1483">
        <f>Calc!G9</f>
        <v/>
      </c>
      <c r="H1483">
        <f>Calc!H9</f>
        <v/>
      </c>
      <c r="I1483">
        <f>IF(Skills!T9&lt;&gt;"",1+(Skills!T9/10)*(Z1477/1000)/100,1)</f>
        <v/>
      </c>
      <c r="J1483">
        <f>((Inputs!$B$6*(1+Inputs!$B$7/100))+(((Inputs!$B$12*(1+Inputs!$B$13/100))-(Inputs!$B$12*(1+Inputs!$B$13/100)))+0.25*(Inputs!$B$14-Inputs!$B$14))*(1+Inputs!$B$7/100))*(F1483/100)</f>
        <v/>
      </c>
      <c r="K1483">
        <f>J1483*(1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1492-Calc!F18),(Inputs!$B$23+(IF(ArtifactsInput!$M$15,CHOOSE(ArtifactsInput!$N$15+1,25,30,35,40,45,50)/100*(Inputs!$B$11-Inputs!$B$11),0))))/100+(Inputs!$B$23+(IF(ArtifactsInput!$M$15,CHOOSE(ArtifactsInput!$N$15+1,25,30,35,40,45,50)/100*(Inputs!$B$11-Inputs!$B$11),0)))/100)/2</f>
        <v/>
      </c>
      <c r="M1483">
        <f>L1483*(1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IF(B1510=0,0,O1483/B1510)</f>
        <v/>
      </c>
      <c r="Q1483">
        <f>IFERROR(1/IF(Inputs!$B$38="pvp",15,MAX(0.1,Skills!D9-IF(Skills!E9=TRUE,Inputs!$B$32,0))),0)</f>
        <v/>
      </c>
      <c r="R1483">
        <f>IF(AND(Inputs!$B$38&lt;&gt;"pvp",Inputs!$B$43&gt;0),IF(MAX(0,Inputs!$B$43-B1507)&lt;=0,0,(INT(MAX(0,Inputs!$B$43-B1507)/IF(Inputs!$B$38="pvp",15,MAX(0.1,Skills!D9-IF(Skills!E9=TRUE,Inputs!$B$32,0))))+1)),0)</f>
        <v/>
      </c>
      <c r="S1483">
        <f>IF(C1483,(H1483*N1483*IF(AND(Inputs!$B$38&lt;&gt;"pvp",Inputs!$B$43&gt;0),((Skills!F9*((R1483-1)*IF(Skills!G9&gt;0,Skills!H9/Skills!G9,1)+IF(Skills!G9&gt;0,MIN(Skills!H9,MAX(0,MAX(0,Inputs!$B$43-B1507)-((R1483-1)*IF(Inputs!$B$38="pvp",15,MAX(0.1,Skills!D9-IF(Skills!E9=TRUE,Inputs!$B$32,0))))))/Skills!G9,1)))/Inputs!$B$43),G1483*Q1483))*IF(Inputs!$B$38="pvp",1,1+(Inputs!$B$20+Skills!O9+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F9*((R1483-1)*IF(Skills!G9&gt;0,Skills!H9/Skills!G9,1)+IF(Skills!G9&gt;0,MIN(Skills!H9,MAX(0,MAX(0,Inputs!$B$43-B1507)-((R1483-1)*IF(Inputs!$B$38="pvp",15,MAX(0.1,Skills!D9-IF(Skills!E9=TRUE,Inputs!$B$32,0))))))/Skills!G9,1)))/Inputs!$B$43),G1483*Q1483))*IF(Inputs!$B$38="pvp",1,(1+(Inputs!$B$21+Skills!P9+B1501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Skills!A10</f>
        <v/>
      </c>
      <c r="B1484">
        <f>Skills!B10</f>
        <v/>
      </c>
      <c r="C1484">
        <f>Inputs!$B$3&gt;=113</f>
        <v/>
      </c>
      <c r="D1484">
        <f>IF(Skills!C10=1,60+Inputs!$B$25+Inputs!$B$29,IF(Skills!C10=2,90+Inputs!$B$26+Inputs!$B$29,IF(Skills!C10=3,120+Inputs!$B$27+Inputs!$B$29,MAX(0,(Inputs!$B$3-100)*3)+Inputs!$B$28+Inputs!$B$29)))</f>
        <v/>
      </c>
      <c r="E1484">
        <f>INDEX(FactorTable!$B$2:$Y$301, MATCH(ROUND(MIN(300,MAX(1,D1484)),0), FactorTable!$A$2:$A$301,0), Skills!L10+1)</f>
        <v/>
      </c>
      <c r="F1484">
        <f>IF(Skills!M10=TRUE,(Skills!K10/10)*(E1484/1000),Skills!K10/10)+Skills!N10</f>
        <v/>
      </c>
      <c r="G1484">
        <f>Calc!G10</f>
        <v/>
      </c>
      <c r="H1484">
        <f>Calc!H10</f>
        <v/>
      </c>
      <c r="I1484">
        <f>IF(Skills!T10&lt;&gt;"",1+(Skills!T10/10)*(Z1477/1000)/100,1)</f>
        <v/>
      </c>
      <c r="J1484">
        <f>((Inputs!$B$6*(1+Inputs!$B$7/100))+(((Inputs!$B$12*(1+Inputs!$B$13/100))-(Inputs!$B$12*(1+Inputs!$B$13/100)))+0.25*(Inputs!$B$14-Inputs!$B$14))*(1+Inputs!$B$7/100))*(F1484/100)</f>
        <v/>
      </c>
      <c r="K1484">
        <f>J1484*(1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F1492-Calc!F18),(Inputs!$B$23+(IF(ArtifactsInput!$M$15,CHOOSE(ArtifactsInput!$N$15+1,25,30,35,40,45,50)/100*(Inputs!$B$11-Inputs!$B$11),0))))/100+(Inputs!$B$23+(IF(ArtifactsInput!$M$15,CHOOSE(ArtifactsInput!$N$15+1,25,30,35,40,45,50)/100*(Inputs!$B$11-Inputs!$B$11),0)))/100)/2</f>
        <v/>
      </c>
      <c r="M1484">
        <f>L1484*(1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(1-Summary!$B$11)*S1484+Summary!$B$11*U1484</f>
        <v/>
      </c>
      <c r="P1484">
        <f>IF(B1510=0,0,O1484/B1510)</f>
        <v/>
      </c>
      <c r="Q1484">
        <f>IFERROR(1/IF(Inputs!$B$38="pvp",15,MAX(0.1,Skills!D10-IF(Skills!E9=TRUE,Inputs!$B$32,0))),0)</f>
        <v/>
      </c>
      <c r="R1484">
        <f>IF(AND(Inputs!$B$38&lt;&gt;"pvp",Inputs!$B$43&gt;0),IF(MAX(0,Inputs!$B$43-B1507)&lt;=0,0,(INT(MAX(0,Inputs!$B$43-B1507)/IF(Inputs!$B$38="pvp",15,MAX(0.1,Skills!D10-IF(Skills!E9=TRUE,Inputs!$B$32,0))))+1)),0)</f>
        <v/>
      </c>
      <c r="S1484">
        <f>IF(C1484,(H1484*N1484*IF(AND(Inputs!$B$38&lt;&gt;"pvp",Inputs!$B$43&gt;0),((Skills!F10*((R1484-1)*IF(Skills!G10&gt;0,Skills!H10/Skills!G10,1)+IF(Skills!G10&gt;0,MIN(Skills!H10,MAX(0,MAX(0,Inputs!$B$43-B1507)-((R1484-1)*IF(Inputs!$B$38="pvp",15,MAX(0.1,Skills!D10-IF(Skills!E9=TRUE,Inputs!$B$32,0))))))/Skills!G10,1)))/Inputs!$B$43),G1484*Q1484))*IF(Inputs!$B$38="pvp",1,1+(Inputs!$B$20+Skills!O10+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1484*(1-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4">
        <f>IF(C1484,(H1484*N1484*IF(AND(Inputs!$B$38&lt;&gt;"pvp",Inputs!$B$43&gt;0),((Skills!F10*((R1484-1)*IF(Skills!G10&gt;0,Skills!H10/Skills!G10,1)+IF(Skills!G10&gt;0,MIN(Skills!H10,MAX(0,MAX(0,Inputs!$B$43-B1507)-((R1484-1)*IF(Inputs!$B$38="pvp",15,MAX(0.1,Skills!D10-IF(Skills!E9=TRUE,Inputs!$B$32,0))))))/Skills!G10,1)))/Inputs!$B$43),G1484*Q1484))*IF(Inputs!$B$38="pvp",1,(1+(Inputs!$B$21+Skills!P10+B1501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Skills!A11</f>
        <v/>
      </c>
      <c r="B1485">
        <f>Skills!B11</f>
        <v/>
      </c>
      <c r="C1485">
        <f>Inputs!$B$3&gt;=107</f>
        <v/>
      </c>
      <c r="D1485">
        <f>IF(Skills!C11=1,60+Inputs!$B$25+Inputs!$B$29,IF(Skills!C11=2,90+Inputs!$B$26+Inputs!$B$29,IF(Skills!C11=3,120+Inputs!$B$27+Inputs!$B$29,MAX(0,(Inputs!$B$3-100)*3)+Inputs!$B$28+Inputs!$B$29)))</f>
        <v/>
      </c>
      <c r="E1485">
        <f>INDEX(FactorTable!$B$2:$Y$301, MATCH(ROUND(MIN(300,MAX(1,D1485)),0), FactorTable!$A$2:$A$301,0), Skills!L11+1)</f>
        <v/>
      </c>
      <c r="F1485">
        <f>IF(Skills!M11=TRUE,(Skills!K11/10)*(E1485/1000),Skills!K11/10)+Skills!N11</f>
        <v/>
      </c>
      <c r="G1485">
        <f>Calc!G11</f>
        <v/>
      </c>
      <c r="H1485">
        <f>Calc!H11</f>
        <v/>
      </c>
      <c r="I1485">
        <f>IF(Skills!T11&lt;&gt;"",1+(Skills!T11/10)*(Z1477/1000)/100,1)</f>
        <v/>
      </c>
      <c r="J1485">
        <f>((Inputs!$B$6*(1+Inputs!$B$7/100))+(((Inputs!$B$12*(1+Inputs!$B$13/100))-(Inputs!$B$12*(1+Inputs!$B$13/100)))+0.25*(Inputs!$B$14-Inputs!$B$14))*(1+Inputs!$B$7/100))*(F1485/100)</f>
        <v/>
      </c>
      <c r="K1485">
        <f>J1485*(1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1492-Calc!F18),(Inputs!$B$23+(IF(ArtifactsInput!$M$15,CHOOSE(ArtifactsInput!$N$15+1,25,30,35,40,45,50)/100*(Inputs!$B$11-Inputs!$B$11),0))))/100+(Inputs!$B$23+(IF(ArtifactsInput!$M$15,CHOOSE(ArtifactsInput!$N$15+1,25,30,35,40,45,50)/100*(Inputs!$B$11-Inputs!$B$11),0)))/100)/2</f>
        <v/>
      </c>
      <c r="M1485">
        <f>L1485*(1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IF(B1510=0,0,O1485/B1510)</f>
        <v/>
      </c>
      <c r="Q1485">
        <f>IFERROR(1/IF(Inputs!$B$38="pvp",15,MAX(0.1,Skills!D11-IF(Skills!E11=TRUE,Inputs!$B$32,0))),0)</f>
        <v/>
      </c>
      <c r="R1485">
        <f>IF(AND(Inputs!$B$38&lt;&gt;"pvp",Inputs!$B$43&gt;0),IF(MAX(0,Inputs!$B$43-B1507)&lt;=0,0,(INT(MAX(0,Inputs!$B$43-B1507)/IF(Inputs!$B$38="pvp",15,MAX(0.1,Skills!D11-IF(Skills!E11=TRUE,Inputs!$B$32,0))))+1)),0)</f>
        <v/>
      </c>
      <c r="S1485">
        <f>IF(C1485,H1485*N1485*IF(AND(Inputs!$B$38&lt;&gt;"pvp",Inputs!$B$43&gt;0),((Skills!F11*((R1485-1)*IF(Skills!G11&gt;0,Skills!H11/Skills!G11,1)+IF(Skills!G11&gt;0,MIN(Skills!H11,MAX(0,MAX(0,Inputs!$B$43-B1507)-((R1485-1)*IF(Inputs!$B$38="pvp",15,MAX(0.1,Skills!D11-IF(Skills!E11=TRUE,Inputs!$B$32,0))))))/Skills!G11,1)))/Inputs!$B$43),G1485*Q1485)*0.5*IF(Inputs!$B$38="pvp",1,1+(Inputs!$B$20+Skills!O11+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F11*((R1485-1)*IF(Skills!G11&gt;0,Skills!H11/Skills!G11,1)+IF(Skills!G11&gt;0,MIN(Skills!H11,MAX(0,MAX(0,Inputs!$B$43-B1507)-((R1485-1)*IF(Inputs!$B$38="pvp",15,MAX(0.1,Skills!D11-IF(Skills!E11=TRUE,Inputs!$B$32,0))))))/Skills!G11,1)))/Inputs!$B$43),G1485*Q1485)*1*IF(Inputs!$B$38="pvp",1,(1+(Inputs!$B$21+Skills!P11+B1501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Skills!A12</f>
        <v/>
      </c>
      <c r="B1486">
        <f>Skills!B12</f>
        <v/>
      </c>
      <c r="C1486">
        <f>Inputs!$B$3&gt;=115</f>
        <v/>
      </c>
      <c r="D1486">
        <f>IF(Skills!C12=1,60+Inputs!$B$25+Inputs!$B$29,IF(Skills!C12=2,90+Inputs!$B$26+Inputs!$B$29,IF(Skills!C12=3,120+Inputs!$B$27+Inputs!$B$29,MAX(0,(Inputs!$B$3-100)*3)+Inputs!$B$28+Inputs!$B$29)))</f>
        <v/>
      </c>
      <c r="E1486">
        <f>INDEX(FactorTable!$B$2:$Y$301, MATCH(ROUND(MIN(300,MAX(1,D1486)),0), FactorTable!$A$2:$A$301,0), Skills!L12+1)</f>
        <v/>
      </c>
      <c r="F1486">
        <f>IF(Skills!M12=TRUE,(Skills!K12/10)*(E1486/1000),Skills!K12/10)+Skills!N12</f>
        <v/>
      </c>
      <c r="G1486">
        <f>Calc!G12</f>
        <v/>
      </c>
      <c r="H1486">
        <f>Calc!H12</f>
        <v/>
      </c>
      <c r="I1486">
        <f>IF(Skills!T12&lt;&gt;"",1+(Skills!T12/10)*(Z1477/1000)/100,1)</f>
        <v/>
      </c>
      <c r="J1486">
        <f>((Inputs!$B$6*(1+Inputs!$B$7/100))+(((Inputs!$B$12*(1+Inputs!$B$13/100))-(Inputs!$B$12*(1+Inputs!$B$13/100)))+0.25*(Inputs!$B$14-Inputs!$B$14))*(1+Inputs!$B$7/100))*(F1486/100)</f>
        <v/>
      </c>
      <c r="K1486">
        <f>J1486*(1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1492-Calc!F18),(Inputs!$B$23+(IF(ArtifactsInput!$M$15,CHOOSE(ArtifactsInput!$N$15+1,25,30,35,40,45,50)/100*(Inputs!$B$11-Inputs!$B$11),0))))/100+(Inputs!$B$23+(IF(ArtifactsInput!$M$15,CHOOSE(ArtifactsInput!$N$15+1,25,30,35,40,45,50)/100*(Inputs!$B$11-Inputs!$B$11),0)))/100)/2</f>
        <v/>
      </c>
      <c r="M1486">
        <f>L1486*(1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IF(B1510=0,0,O1486/B1510)</f>
        <v/>
      </c>
      <c r="Q1486">
        <f>IFERROR(1/IF(Inputs!$B$38="pvp",15,MAX(0.1,Skills!D12-IF(Skills!E12=TRUE,Inputs!$B$32,0))),0)</f>
        <v/>
      </c>
      <c r="R1486">
        <f>IF(AND(Inputs!$B$38&lt;&gt;"pvp",Inputs!$B$43&gt;0),IF(MAX(0,Inputs!$B$43-B1507)&lt;=0,0,(INT(MAX(0,Inputs!$B$43-B1507)/IF(Inputs!$B$38="pvp",15,MAX(0.1,Skills!D12-IF(Skills!E12=TRUE,Inputs!$B$32,0))))+1)),0)</f>
        <v/>
      </c>
      <c r="S1486">
        <f>IF(C1486,(H1486*N1486*IF(AND(Inputs!$B$38&lt;&gt;"pvp",Inputs!$B$43&gt;0),((Skills!F12*((R1486-1)*IF(Skills!G12&gt;0,Skills!H12/Skills!G12,1)+IF(Skills!G12&gt;0,MIN(Skills!H12,MAX(0,MAX(0,Inputs!$B$43-B1507)-((R1486-1)*IF(Inputs!$B$38="pvp",15,MAX(0.1,Skills!D12-IF(Skills!E12=TRUE,Inputs!$B$32,0))))))/Skills!G12,1)))/Inputs!$B$43),G1486*Q1486))*IF(Inputs!$B$38="pvp",1,1+(Inputs!$B$20+Skills!O12+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F12*((R1486-1)*IF(Skills!G12&gt;0,Skills!H12/Skills!G12,1)+IF(Skills!G12&gt;0,MIN(Skills!H12,MAX(0,MAX(0,Inputs!$B$43-B1507)-((R1486-1)*IF(Inputs!$B$38="pvp",15,MAX(0.1,Skills!D12-IF(Skills!E12=TRUE,Inputs!$B$32,0))))))/Skills!G12,1)))/Inputs!$B$43),G1486*Q1486))*IF(Inputs!$B$38="pvp",1,(1+(Inputs!$B$21+Skills!P12+B1501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Skills!A13</f>
        <v/>
      </c>
      <c r="B1487">
        <f>Skills!B13</f>
        <v/>
      </c>
      <c r="C1487">
        <f>Inputs!$B$3&gt;=49</f>
        <v/>
      </c>
      <c r="D1487">
        <f>IF(Skills!C13=1,60+Inputs!$B$25+Inputs!$B$29,IF(Skills!C13=2,90+Inputs!$B$26+Inputs!$B$29,IF(Skills!C13=3,120+Inputs!$B$27+Inputs!$B$29,MAX(0,(Inputs!$B$3-100)*3)+Inputs!$B$28+Inputs!$B$29)))</f>
        <v/>
      </c>
      <c r="E1487">
        <f>INDEX(FactorTable!$B$2:$Y$301, MATCH(ROUND(MIN(300,MAX(1,D1487)),0), FactorTable!$A$2:$A$301,0), Skills!L13+1)</f>
        <v/>
      </c>
      <c r="F1487">
        <f>IF(Skills!M13=TRUE,(Skills!K13/10)*(E1487/1000),Skills!K13/10)+Skills!N13</f>
        <v/>
      </c>
      <c r="G1487">
        <f>Calc!G13</f>
        <v/>
      </c>
      <c r="H1487">
        <f>Calc!H13</f>
        <v/>
      </c>
      <c r="I1487">
        <f>IF(Skills!T13&lt;&gt;"",1+(Skills!T13/10)*(Z1477/1000)/100,1)</f>
        <v/>
      </c>
      <c r="J1487" t="inlineStr"/>
      <c r="K1487" t="inlineStr"/>
      <c r="L1487" t="inlineStr"/>
      <c r="M1487" t="inlineStr"/>
      <c r="N1487" t="inlineStr"/>
      <c r="O1487">
        <f>(1-Summary!$B$11)*S1487+Summary!$B$11*U1487</f>
        <v/>
      </c>
      <c r="P1487">
        <f>IF(B1510=0,0,O1487/B1510)</f>
        <v/>
      </c>
      <c r="Q1487">
        <f>IFERROR(1/IF(Inputs!$B$38="pvp",15,MAX(0.1,Skills!D13-IF(Skills!E13=TRUE,Inputs!$B$32,0))),0)</f>
        <v/>
      </c>
      <c r="R1487" t="n">
        <v>0</v>
      </c>
      <c r="S1487" t="n">
        <v>0</v>
      </c>
      <c r="U1487" t="n">
        <v>0</v>
      </c>
    </row>
    <row r="1488">
      <c r="A1488">
        <f>Skills!A14</f>
        <v/>
      </c>
      <c r="B1488">
        <f>Skills!B14</f>
        <v/>
      </c>
      <c r="C1488">
        <f>Inputs!$B$3&gt;=72</f>
        <v/>
      </c>
      <c r="D1488">
        <f>IF(Skills!C14=1,60+Inputs!$B$25+Inputs!$B$29,IF(Skills!C14=2,90+Inputs!$B$26+Inputs!$B$29,IF(Skills!C14=3,120+Inputs!$B$27+Inputs!$B$29,MAX(0,(Inputs!$B$3-100)*3)+Inputs!$B$28+Inputs!$B$29)))</f>
        <v/>
      </c>
      <c r="E1488">
        <f>INDEX(FactorTable!$B$2:$Y$301, MATCH(ROUND(MIN(300,MAX(1,D1488)),0), FactorTable!$A$2:$A$301,0), Skills!L14+1)</f>
        <v/>
      </c>
      <c r="F1488">
        <f>IF(Skills!M14=TRUE,(Skills!K14/10)*(E1488/1000),Skills!K14/10)+Skills!N14</f>
        <v/>
      </c>
      <c r="G1488">
        <f>Calc!G14</f>
        <v/>
      </c>
      <c r="H1488">
        <f>Calc!H14</f>
        <v/>
      </c>
      <c r="I1488">
        <f>IF(Skills!T14&lt;&gt;"",1+(Skills!T14/10)*(Z1477/1000)/100,1)</f>
        <v/>
      </c>
      <c r="J1488" t="inlineStr"/>
      <c r="K1488" t="inlineStr"/>
      <c r="L1488" t="inlineStr"/>
      <c r="M1488" t="inlineStr"/>
      <c r="N1488" t="inlineStr"/>
      <c r="O1488">
        <f>(1-Summary!$B$11)*S1488+Summary!$B$11*U1488</f>
        <v/>
      </c>
      <c r="P1488">
        <f>IF(B1510=0,0,O1488/B1510)</f>
        <v/>
      </c>
      <c r="Q1488">
        <f>IFERROR(1/IF(Inputs!$B$38="pvp",15,MAX(0.1,Skills!D14-IF(Skills!E14=TRUE,Inputs!$B$32,0))),0)</f>
        <v/>
      </c>
      <c r="R1488" t="n">
        <v>0</v>
      </c>
      <c r="S1488" t="n">
        <v>0</v>
      </c>
      <c r="U1488" t="n">
        <v>0</v>
      </c>
    </row>
    <row r="1489">
      <c r="A1489">
        <f>Skills!A15</f>
        <v/>
      </c>
      <c r="B1489">
        <f>Skills!B15</f>
        <v/>
      </c>
      <c r="C1489">
        <f>Inputs!$B$3&gt;=75</f>
        <v/>
      </c>
      <c r="D1489">
        <f>IF(Skills!C15=1,60+Inputs!$B$25+Inputs!$B$29,IF(Skills!C15=2,90+Inputs!$B$26+Inputs!$B$29,IF(Skills!C15=3,120+Inputs!$B$27+Inputs!$B$29,MAX(0,(Inputs!$B$3-100)*3)+Inputs!$B$28+Inputs!$B$29)))</f>
        <v/>
      </c>
      <c r="E1489">
        <f>INDEX(FactorTable!$B$2:$Y$301, MATCH(ROUND(MIN(300,MAX(1,D1489)),0), FactorTable!$A$2:$A$301,0), Skills!L15+1)</f>
        <v/>
      </c>
      <c r="F1489">
        <f>IF(Skills!M15=TRUE,(Skills!K15/10)*(E1489/1000),Skills!K15/10)+Skills!N15</f>
        <v/>
      </c>
      <c r="G1489">
        <f>Calc!G15</f>
        <v/>
      </c>
      <c r="H1489">
        <f>Calc!H15</f>
        <v/>
      </c>
      <c r="I1489">
        <f>IF(Skills!T15&lt;&gt;"",1+(Skills!T15/10)*(Z1477/1000)/100,1)</f>
        <v/>
      </c>
      <c r="J1489" t="inlineStr"/>
      <c r="K1489" t="inlineStr"/>
      <c r="L1489" t="inlineStr"/>
      <c r="M1489" t="inlineStr"/>
      <c r="N1489" t="inlineStr"/>
      <c r="O1489">
        <f>(1-Summary!$B$11)*S1489+Summary!$B$11*U1489</f>
        <v/>
      </c>
      <c r="P1489">
        <f>IF(B1510=0,0,O1489/B1510)</f>
        <v/>
      </c>
      <c r="Q1489">
        <f>IFERROR(1/IF(Inputs!$B$38="pvp",15,MAX(0.1,Skills!D15-IF(Skills!E15=TRUE,Inputs!$B$32,0))),0)</f>
        <v/>
      </c>
      <c r="R1489" t="n">
        <v>0</v>
      </c>
      <c r="S1489" t="n">
        <v>0</v>
      </c>
      <c r="U1489" t="n">
        <v>0</v>
      </c>
    </row>
    <row r="1490">
      <c r="A1490">
        <f>Skills!A16</f>
        <v/>
      </c>
      <c r="B1490">
        <f>Skills!B16</f>
        <v/>
      </c>
      <c r="C1490">
        <f>Inputs!$B$3&gt;=110</f>
        <v/>
      </c>
      <c r="D1490">
        <f>IF(Skills!C16=1,60+Inputs!$B$25+Inputs!$B$29,IF(Skills!C16=2,90+Inputs!$B$26+Inputs!$B$29,IF(Skills!C16=3,120+Inputs!$B$27+Inputs!$B$29,MAX(0,(Inputs!$B$3-100)*3)+Inputs!$B$28+Inputs!$B$29)))</f>
        <v/>
      </c>
      <c r="E1490">
        <f>INDEX(FactorTable!$B$2:$Y$301, MATCH(ROUND(MIN(300,MAX(1,D1490)),0), FactorTable!$A$2:$A$301,0), Skills!L16+1)</f>
        <v/>
      </c>
      <c r="F1490">
        <f>(Skills!K16/10)*(E1490/1000)*64/45+Skills!N16</f>
        <v/>
      </c>
      <c r="G1490">
        <f>Calc!G16</f>
        <v/>
      </c>
      <c r="H1490">
        <f>Calc!H16</f>
        <v/>
      </c>
      <c r="I1490">
        <f>IF(Skills!T16&lt;&gt;"",1+(Skills!T16/10)*(Z1477/1000)/100,1)</f>
        <v/>
      </c>
      <c r="J1490" t="inlineStr"/>
      <c r="K1490" t="inlineStr"/>
      <c r="L1490" t="inlineStr"/>
      <c r="M1490" t="inlineStr"/>
      <c r="N1490" t="inlineStr"/>
      <c r="O1490">
        <f>(1-Summary!$B$11)*S1490+Summary!$B$11*U1490</f>
        <v/>
      </c>
      <c r="P1490">
        <f>IF(B1510=0,0,O1490/B1510)</f>
        <v/>
      </c>
      <c r="Q1490">
        <f>IFERROR(1/IF(Inputs!$B$38="pvp",15,MAX(0.1,Skills!D16-IF(Skills!E16=TRUE,Inputs!$B$32,0))),0)</f>
        <v/>
      </c>
      <c r="R1490">
        <f>IF(AND(Inputs!$B$38&lt;&gt;"pvp",Inputs!$B$43&gt;0),IF(Inputs!$B$43&lt;=0,0,(INT(Inputs!$B$43/IF(Inputs!$B$38="pvp",15,MAX(0.1,Skills!D16-IF(Skills!E16=TRUE,Inputs!$B$32,0))))+1)),0)</f>
        <v/>
      </c>
      <c r="S1490" t="n">
        <v>0</v>
      </c>
      <c r="U1490" t="n">
        <v>0</v>
      </c>
    </row>
    <row r="1491">
      <c r="A1491">
        <f>Skills!A17</f>
        <v/>
      </c>
      <c r="B1491">
        <f>Skills!B17</f>
        <v/>
      </c>
      <c r="C1491">
        <f>Inputs!$B$3&gt;=33</f>
        <v/>
      </c>
      <c r="D1491">
        <f>IF(Skills!C17=1,60+Inputs!$B$25+Inputs!$B$29,IF(Skills!C17=2,90+Inputs!$B$26+Inputs!$B$29,IF(Skills!C17=3,120+Inputs!$B$27+Inputs!$B$29,MAX(0,(Inputs!$B$3-100)*3)+Inputs!$B$28+Inputs!$B$29)))</f>
        <v/>
      </c>
      <c r="E1491">
        <f>INDEX(FactorTable!$B$2:$Y$301, MATCH(ROUND(MIN(300,MAX(1,D1491)),0), FactorTable!$A$2:$A$301,0), Skills!L17+1)</f>
        <v/>
      </c>
      <c r="F1491">
        <f>IF(Skills!M17=TRUE,(Skills!K17/10)*(E1491/1000),Skills!K17/10)+Skills!N17</f>
        <v/>
      </c>
      <c r="G1491">
        <f>Calc!G17</f>
        <v/>
      </c>
      <c r="H1491">
        <f>Calc!H17</f>
        <v/>
      </c>
      <c r="I1491">
        <f>IF(Skills!T17&lt;&gt;"",1+(Skills!T17/10)*(Z1477/1000)/100,1)</f>
        <v/>
      </c>
      <c r="J1491" t="inlineStr"/>
      <c r="K1491" t="inlineStr"/>
      <c r="L1491" t="inlineStr"/>
      <c r="M1491" t="inlineStr"/>
      <c r="N1491" t="inlineStr"/>
      <c r="O1491">
        <f>(1-Summary!$B$11)*S1491+Summary!$B$11*U1491</f>
        <v/>
      </c>
      <c r="P1491">
        <f>IF(B1510=0,0,O1491/B1510)</f>
        <v/>
      </c>
      <c r="Q1491">
        <f>IFERROR(1/IF(Inputs!$B$38="pvp",15,MAX(0.1,Skills!D17-IF(Skills!E17=TRUE,Inputs!$B$32,0))),0)</f>
        <v/>
      </c>
      <c r="R1491" t="n">
        <v>0</v>
      </c>
      <c r="S1491" t="n">
        <v>0</v>
      </c>
      <c r="U1491" t="n">
        <v>0</v>
      </c>
    </row>
    <row r="1492">
      <c r="A1492">
        <f>Skills!A18</f>
        <v/>
      </c>
      <c r="B1492">
        <f>Skills!B18</f>
        <v/>
      </c>
      <c r="C1492">
        <f>Inputs!$B$3&gt;=43</f>
        <v/>
      </c>
      <c r="D1492">
        <f>IF(Skills!C18=1,60+Inputs!$B$25+Inputs!$B$29,IF(Skills!C18=2,90+Inputs!$B$26+Inputs!$B$29,IF(Skills!C18=3,120+Inputs!$B$27+Inputs!$B$29,MAX(0,(Inputs!$B$3-100)*3)+Inputs!$B$28+Inputs!$B$29)))</f>
        <v/>
      </c>
      <c r="E1492">
        <f>INDEX(FactorTable!$B$2:$Y$301, MATCH(ROUND(MIN(300,MAX(1,D1492)),0), FactorTable!$A$2:$A$301,0), Skills!L18+1)</f>
        <v/>
      </c>
      <c r="F1492">
        <f>IF(Skills!M18=TRUE,(Skills!K18/10)*(E1492/1000),Skills!K18/10)+Skills!N18</f>
        <v/>
      </c>
      <c r="G1492">
        <f>Calc!G18</f>
        <v/>
      </c>
      <c r="H1492">
        <f>Calc!H18</f>
        <v/>
      </c>
      <c r="I1492">
        <f>IF(Skills!T18&lt;&gt;"",1+(Skills!T18/10)*(Z1477/1000)/100,1)</f>
        <v/>
      </c>
      <c r="J1492" t="inlineStr"/>
      <c r="K1492" t="inlineStr"/>
      <c r="L1492" t="inlineStr"/>
      <c r="M1492" t="inlineStr"/>
      <c r="N1492" t="inlineStr"/>
      <c r="O1492">
        <f>(1-Summary!$B$11)*S1492+Summary!$B$11*U1492</f>
        <v/>
      </c>
      <c r="P1492">
        <f>IF(B1510=0,0,O1492/B1510)</f>
        <v/>
      </c>
      <c r="Q1492">
        <f>IFERROR(1/IF(Inputs!$B$38="pvp",15,MAX(0.1,Skills!D18-IF(Skills!E18=TRUE,Inputs!$B$32,0))),0)</f>
        <v/>
      </c>
      <c r="R1492" t="n">
        <v>0</v>
      </c>
      <c r="S1492" t="n">
        <v>0</v>
      </c>
      <c r="U1492" t="n">
        <v>0</v>
      </c>
    </row>
    <row r="1493">
      <c r="A1493">
        <f>Skills!A19</f>
        <v/>
      </c>
      <c r="B1493">
        <f>Skills!B19</f>
        <v/>
      </c>
      <c r="C1493">
        <f>Inputs!$B$3&gt;=50</f>
        <v/>
      </c>
      <c r="D1493">
        <f>IF(Skills!C19=1,60+Inputs!$B$25+Inputs!$B$29,IF(Skills!C19=2,90+Inputs!$B$26+Inputs!$B$29,IF(Skills!C19=3,120+Inputs!$B$27+Inputs!$B$29,MAX(0,(Inputs!$B$3-100)*3)+Inputs!$B$28+Inputs!$B$29)))</f>
        <v/>
      </c>
      <c r="E1493">
        <f>INDEX(FactorTable!$B$2:$Y$301, MATCH(ROUND(MIN(300,MAX(1,D1493)),0), FactorTable!$A$2:$A$301,0), Skills!L19+1)</f>
        <v/>
      </c>
      <c r="F1493">
        <f>IF(Skills!M19=TRUE,(Skills!K19/10)*(E1493/1000),Skills!K19/10)+Skills!N19</f>
        <v/>
      </c>
      <c r="G1493">
        <f>Calc!G19</f>
        <v/>
      </c>
      <c r="H1493">
        <f>Calc!H19</f>
        <v/>
      </c>
      <c r="I1493">
        <f>IF(Skills!T19&lt;&gt;"",1+(Skills!T19/10)*(Z1477/1000)/100,1)</f>
        <v/>
      </c>
      <c r="J1493" t="inlineStr"/>
      <c r="K1493" t="inlineStr"/>
      <c r="L1493" t="inlineStr"/>
      <c r="M1493" t="inlineStr"/>
      <c r="N1493" t="inlineStr"/>
      <c r="O1493">
        <f>(1-Summary!$B$11)*S1493+Summary!$B$11*U1493</f>
        <v/>
      </c>
      <c r="P1493">
        <f>IF(B1510=0,0,O1493/B1510)</f>
        <v/>
      </c>
      <c r="Q1493">
        <f>IFERROR(1/IF(Inputs!$B$38="pvp",15,MAX(0.1,Skills!D19-IF(Skills!E19=TRUE,Inputs!$B$32,0))),0)</f>
        <v/>
      </c>
      <c r="R1493" t="n">
        <v>0</v>
      </c>
      <c r="S1493" t="n">
        <v>0</v>
      </c>
      <c r="U1493" t="n">
        <v>0</v>
      </c>
    </row>
    <row r="1494">
      <c r="A1494">
        <f>Skills!A20</f>
        <v/>
      </c>
      <c r="B1494">
        <f>Skills!B20</f>
        <v/>
      </c>
      <c r="C1494">
        <f>Inputs!$B$3&gt;=74</f>
        <v/>
      </c>
      <c r="D1494">
        <f>IF(Skills!C20=1,60+Inputs!$B$25+Inputs!$B$29,IF(Skills!C20=2,90+Inputs!$B$26+Inputs!$B$29,IF(Skills!C20=3,120+Inputs!$B$27+Inputs!$B$29,MAX(0,(Inputs!$B$3-100)*3)+Inputs!$B$28+Inputs!$B$29)))</f>
        <v/>
      </c>
      <c r="E1494">
        <f>INDEX(FactorTable!$B$2:$Y$301, MATCH(ROUND(MIN(300,MAX(1,D1494)),0), FactorTable!$A$2:$A$301,0), Skills!L20+1)</f>
        <v/>
      </c>
      <c r="F1494">
        <f>IF(Skills!M20=TRUE,(Skills!K20/10)*(E1494/1000),Skills!K20/10)+Skills!N20</f>
        <v/>
      </c>
      <c r="G1494">
        <f>Calc!G20</f>
        <v/>
      </c>
      <c r="H1494">
        <f>Calc!H20</f>
        <v/>
      </c>
      <c r="I1494">
        <f>IF(Skills!T20&lt;&gt;"",1+(Skills!T20/10)*(Z1477/1000)/100,1)</f>
        <v/>
      </c>
      <c r="J1494" t="inlineStr"/>
      <c r="K1494" t="inlineStr"/>
      <c r="L1494" t="inlineStr"/>
      <c r="M1494" t="inlineStr"/>
      <c r="N1494" t="inlineStr"/>
      <c r="O1494">
        <f>(1-Summary!$B$11)*S1494+Summary!$B$11*U1494</f>
        <v/>
      </c>
      <c r="P1494">
        <f>IF(B1510=0,0,O1494/B1510)</f>
        <v/>
      </c>
      <c r="Q1494">
        <f>IFERROR(1/IF(Inputs!$B$38="pvp",15,MAX(0.1,Skills!D20-IF(Skills!E20=TRUE,Inputs!$B$32,0))),0)</f>
        <v/>
      </c>
      <c r="R1494" t="n">
        <v>0</v>
      </c>
      <c r="S1494" t="n">
        <v>0</v>
      </c>
      <c r="U1494" t="n">
        <v>0</v>
      </c>
    </row>
    <row r="1495">
      <c r="A1495">
        <f>Skills!A21</f>
        <v/>
      </c>
      <c r="B1495">
        <f>Skills!B21</f>
        <v/>
      </c>
      <c r="C1495">
        <f>Inputs!$B$3&gt;=74</f>
        <v/>
      </c>
      <c r="D1495">
        <f>IF(Skills!C21=1,60+Inputs!$B$25+Inputs!$B$29,IF(Skills!C21=2,90+Inputs!$B$26+Inputs!$B$29,IF(Skills!C21=3,120+Inputs!$B$27+Inputs!$B$29,MAX(0,(Inputs!$B$3-100)*3)+Inputs!$B$28+Inputs!$B$29)))</f>
        <v/>
      </c>
      <c r="E1495">
        <f>INDEX(FactorTable!$B$2:$Y$301, MATCH(ROUND(MIN(300,MAX(1,D1495)),0), FactorTable!$A$2:$A$301,0), Skills!L21+1)</f>
        <v/>
      </c>
      <c r="F1495">
        <f>IF(Skills!M21=TRUE,(Skills!K21/10)*(E1495/1000),Skills!K21/10)+Skills!N21</f>
        <v/>
      </c>
      <c r="G1495">
        <f>Calc!G21</f>
        <v/>
      </c>
      <c r="H1495">
        <f>Calc!H21</f>
        <v/>
      </c>
      <c r="I1495">
        <f>IF(Skills!T21&lt;&gt;"",1+(Skills!T21/10)*(Z1477/1000)/100,1)</f>
        <v/>
      </c>
      <c r="J1495" t="inlineStr"/>
      <c r="K1495" t="inlineStr"/>
      <c r="L1495" t="inlineStr"/>
      <c r="M1495" t="inlineStr"/>
      <c r="N1495" t="inlineStr"/>
      <c r="O1495">
        <f>(1-Summary!$B$11)*S1495+Summary!$B$11*U1495</f>
        <v/>
      </c>
      <c r="P1495">
        <f>IF(B1510=0,0,O1495/B1510)</f>
        <v/>
      </c>
      <c r="Q1495">
        <f>IFERROR(1/IF(Inputs!$B$38="pvp",15,MAX(0.1,Skills!D21-IF(Skills!E21=TRUE,Inputs!$B$32,0))),0)</f>
        <v/>
      </c>
      <c r="R1495" t="n">
        <v>0</v>
      </c>
      <c r="S1495" t="n">
        <v>0</v>
      </c>
      <c r="U1495" t="n">
        <v>0</v>
      </c>
    </row>
    <row r="1496">
      <c r="A1496">
        <f>Skills!A22</f>
        <v/>
      </c>
      <c r="B1496">
        <f>Skills!B22</f>
        <v/>
      </c>
      <c r="C1496">
        <f>Inputs!$B$3&gt;=117</f>
        <v/>
      </c>
      <c r="D1496">
        <f>IF(Skills!C22=1,60+Inputs!$B$25+Inputs!$B$29,IF(Skills!C22=2,90+Inputs!$B$26+Inputs!$B$29,IF(Skills!C22=3,120+Inputs!$B$27+Inputs!$B$29,MAX(0,(Inputs!$B$3-100)*3)+Inputs!$B$28+Inputs!$B$29)))</f>
        <v/>
      </c>
      <c r="E1496">
        <f>INDEX(FactorTable!$B$2:$Y$301, MATCH(ROUND(MIN(300,MAX(1,D1496)),0), FactorTable!$A$2:$A$301,0), Skills!L22+1)</f>
        <v/>
      </c>
      <c r="F1496">
        <f>IF(Skills!M22=TRUE,(Skills!K22/10)*(E1496/1000),Skills!K22/10)+Skills!N22</f>
        <v/>
      </c>
      <c r="G1496">
        <f>Calc!G22</f>
        <v/>
      </c>
      <c r="H1496">
        <f>Calc!H22</f>
        <v/>
      </c>
      <c r="I1496">
        <f>IF(Skills!T22&lt;&gt;"",1+(Skills!T22/10)*(Z1477/1000)/100,1)</f>
        <v/>
      </c>
      <c r="J1496" t="inlineStr"/>
      <c r="K1496" t="inlineStr"/>
      <c r="L1496" t="inlineStr"/>
      <c r="M1496" t="inlineStr"/>
      <c r="N1496" t="inlineStr"/>
      <c r="O1496">
        <f>(1-Summary!$B$11)*S1496+Summary!$B$11*U1496</f>
        <v/>
      </c>
      <c r="P1496">
        <f>IF(B1510=0,0,O1496/B1510)</f>
        <v/>
      </c>
      <c r="Q1496">
        <f>IFERROR(1/IF(Inputs!$B$38="pvp",15,MAX(0.1,Skills!D22-IF(Skills!E22=TRUE,Inputs!$B$32,0))),0)</f>
        <v/>
      </c>
      <c r="R1496" t="n">
        <v>0</v>
      </c>
      <c r="S1496" t="n">
        <v>0</v>
      </c>
      <c r="U1496" t="n">
        <v>0</v>
      </c>
    </row>
    <row r="1497">
      <c r="A1497">
        <f>Skills!A23</f>
        <v/>
      </c>
      <c r="B1497">
        <f>Skills!B23</f>
        <v/>
      </c>
      <c r="C1497">
        <f>Inputs!$B$3&gt;=120</f>
        <v/>
      </c>
      <c r="D1497">
        <f>IF(Skills!C23=1,60+Inputs!$B$25+Inputs!$B$29,IF(Skills!C23=2,90+Inputs!$B$26+Inputs!$B$29,IF(Skills!C23=3,120+Inputs!$B$27+Inputs!$B$29,MAX(0,(Inputs!$B$3-100)*3)+Inputs!$B$28+Inputs!$B$29)))</f>
        <v/>
      </c>
      <c r="E1497">
        <f>INDEX(FactorTable!$B$2:$Y$301, MATCH(ROUND(MIN(300,MAX(1,D1497)),0), FactorTable!$A$2:$A$301,0), Skills!L23+1)</f>
        <v/>
      </c>
      <c r="F1497">
        <f>IF(Skills!M23=TRUE,(Skills!K23/10)*(E1497/1000),Skills!K23/10)+Skills!N23</f>
        <v/>
      </c>
      <c r="G1497">
        <f>Calc!G23</f>
        <v/>
      </c>
      <c r="H1497">
        <f>Calc!H23</f>
        <v/>
      </c>
      <c r="I1497">
        <f>IF(Skills!T23&lt;&gt;"",1+(Skills!T23/10)*(Z1477/1000)/100,1)</f>
        <v/>
      </c>
      <c r="J1497" t="inlineStr"/>
      <c r="K1497" t="inlineStr"/>
      <c r="L1497" t="inlineStr"/>
      <c r="M1497" t="inlineStr"/>
      <c r="N1497" t="inlineStr"/>
      <c r="O1497">
        <f>(1-Summary!$B$11)*S1497+Summary!$B$11*U1497</f>
        <v/>
      </c>
      <c r="P1497">
        <f>IF(B1510=0,0,O1497/B1510)</f>
        <v/>
      </c>
      <c r="Q1497">
        <f>IFERROR(1/IF(Inputs!$B$38="pvp",15,MAX(0.1,Skills!D23-IF(Skills!E23=TRUE,Inputs!$B$32,0))),0)</f>
        <v/>
      </c>
      <c r="R1497" t="n">
        <v>0</v>
      </c>
      <c r="S1497" t="n">
        <v>0</v>
      </c>
      <c r="U1497" t="n">
        <v>0</v>
      </c>
    </row>
    <row r="1500">
      <c r="A1500" t="inlineStr">
        <is>
          <t>Average Buff Multiplier (Magic Guard + Meditation + Artifact Attack%, summed; then Infinity)</t>
        </is>
      </c>
      <c r="B1500">
        <f>(1+(IF(C1477=TRUE,F1477*IF(AND(Inputs!$B$38&lt;&gt;"pvp",Inputs!$B$43&gt;0),(((R1477-1)*(Skills!S3*(1+(Inputs!$B$34+IF(Inputs!$B$3&gt;=117,F1496,0))/100))+MIN((Skills!S3*(1+(Inputs!$B$34+IF(Inputs!$B$3&gt;=117,F1496,0))/100)),MAX(0,Inputs!$B$43-((R1477-1)*Skills!D3))))/Inputs!$B$43),IF(Inputs!$B$38="pvp",MIN((Skills!S3*(1+(Inputs!$B$34+IF(Inputs!$B$3&gt;=117,F1496,0))/100)),15)/15,(Skills!S3*(1+(Inputs!$B$34+IF(Inputs!$B$3&gt;=117,F1496,0))/100))/Skills!D3)),0)+IF(C1478=TRUE,F1478*IF(AND(Inputs!$B$38&lt;&gt;"pvp",Inputs!$B$43&gt;0),(((R1478-1)*(Skills!S4*(1+(Inputs!$B$34+IF(Inputs!$B$3&gt;=117,F1496,0))/100))+MIN((Skills!S4*(1+(Inputs!$B$34+IF(Inputs!$B$3&gt;=117,F1496,0))/100)),MAX(0,Inputs!$B$43-((R1478-1)*Skills!D4))))/Inputs!$B$43),IF(Inputs!$B$38="pvp",MIN((Skills!S4*(1+(Inputs!$B$34+IF(Inputs!$B$3&gt;=117,F1496,0))/100)),15)/15,(Skills!S4*(1+(Inputs!$B$34+IF(Inputs!$B$3&gt;=117,F1496,0)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1490=TRUE,(1+F1490*IF(AND(Inputs!$B$38&lt;&gt;"pvp",Inputs!$B$43&gt;0),(((R1490-1)*(Skills!S16*(1+(Inputs!$B$34+IF(Inputs!$B$3&gt;=117,F1496,0))/100))+MIN((Skills!S16*(1+(Inputs!$B$34+IF(Inputs!$B$3&gt;=117,F1496,0))/100)),MAX(0,Inputs!$B$43-((R1490-1)*Skills!D16))))/Inputs!$B$43),IF(Inputs!$B$38="pvp",MIN((Skills!S16*(1+(Inputs!$B$34+IF(Inputs!$B$3&gt;=117,F1496,0))/100)),15)/15,(Skills!S16*(1+(Inputs!$B$34+IF(Inputs!$B$3&gt;=117,F1496,0))/100))/Skills!D16))/100),1)</f>
        <v/>
      </c>
    </row>
    <row r="1501">
      <c r="A1501" t="inlineStr">
        <is>
          <t>Monster Damage Taken Bonus % (Freezing Breath - Weaken + Elemental Reset + Artifact Enemy Damage Taken, summed)</t>
        </is>
      </c>
      <c r="B1501">
        <f>IF(Inputs!$B$3&gt;=118,15*IF(Inputs!$B$38="pvp",MIN((30*(1+(Inputs!$B$34+IF(Inputs!$B$3&gt;=117,F1496,0))/100)),15)/15,(30*(1+(Inputs!$B$34+IF(Inputs!$B$3&gt;=117,F1496,0))/100))/Skills!D8),0)+IF(C1488=TRUE,F1488,0)+(IF(AND(ArtifactsInput!$M$35,Inputs!$B$4&lt;&gt;"Chapter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f>
        <v/>
      </c>
    </row>
    <row r="1502">
      <c r="A1502" t="inlineStr">
        <is>
          <t>Damage % Bonus (Frozen Break + Frost Clutch, flat)</t>
        </is>
      </c>
      <c r="B1502">
        <f>IF(Inputs!$B$3&gt;=66,15,0)+IF(Inputs!$B$3&gt;=98,10,0)+IF(Inputs!$B$3&gt;=125,20,0)</f>
        <v/>
      </c>
    </row>
    <row r="1503">
      <c r="A1503" t="inlineStr">
        <is>
          <t>Attack Speed Bonus % (MP Eater - MP Boost, always-on once unlocked)</t>
        </is>
      </c>
      <c r="B1503">
        <f>IF(C1487=TRUE,F1487+(F1491-Calc!F17),0)</f>
        <v/>
      </c>
    </row>
    <row r="1504">
      <c r="A1504" t="inlineStr">
        <is>
          <t>Actions Per Second</t>
        </is>
      </c>
      <c r="B1504">
        <f>1+MIN(150,150*(1-(1-(Inputs!$B$11+(ArtifactsInput!$M$15-ArtifactsInput!$M$15)*CHOOSE(ArtifactsInput!$N$15+1,8,9.6,11.2,12.8,14.4,16))/150)*(1-B1503/150)))/100</f>
        <v/>
      </c>
    </row>
    <row r="1505">
      <c r="A1505" t="inlineStr">
        <is>
          <t>Skill + Buff Cast Rate</t>
        </is>
      </c>
      <c r="B1505">
        <f>IF(AND(Inputs!$B$38&lt;&gt;"pvp",Inputs!$B$43&gt;0),SUMPRODUCT((Skills!E2:E23=TRUE)*(C1476:C1497=TRUE)*R1476:R1497)/Inputs!$B$43,SUMPRODUCT((Skills!E2:E23=TRUE)*(C1476:C1497=TRUE)*Q1476:Q1497))</f>
        <v/>
      </c>
    </row>
    <row r="1506">
      <c r="A1506" t="inlineStr">
        <is>
          <t>Chain Lightning Casts Per Second</t>
        </is>
      </c>
      <c r="B1506">
        <f>MAX(0,B1504-B1505)</f>
        <v/>
      </c>
    </row>
    <row r="1507">
      <c r="A1507" t="inlineStr">
        <is>
          <t>Buff-Casting Startup Delay (s, fixed-duration only)</t>
        </is>
      </c>
      <c r="B1507">
        <f>IF(AND(Inputs!$B$38&lt;&gt;"pvp",Inputs!$B$43&gt;0),SUMPRODUCT((Skills!S2:S23&gt;0)*(Skills!E2:E23=TRUE)*(C1476:C1497=TRUE))/B1504,0)</f>
        <v/>
      </c>
    </row>
    <row r="1508">
      <c r="A1508" t="inlineStr">
        <is>
          <t>Boss-Only Total DPS (this block's swept value)</t>
        </is>
      </c>
      <c r="B1508">
        <f>SUM(S1476:S1497)</f>
        <v/>
      </c>
    </row>
    <row r="1509">
      <c r="A1509" t="inlineStr">
        <is>
          <t>Normal-Only Total DPS (this block's swept value)</t>
        </is>
      </c>
      <c r="B1509">
        <f>SUM(U1476:U1497)</f>
        <v/>
      </c>
    </row>
    <row r="1510">
      <c r="A1510" s="6" t="inlineStr">
        <is>
          <t>TOTAL DPS</t>
        </is>
      </c>
      <c r="B1510" s="6">
        <f>SUM(O1476:O1497)</f>
        <v/>
      </c>
    </row>
    <row r="1513">
      <c r="A1513" s="6" t="inlineStr">
        <is>
          <t>Stat: Pink Bean's Giant Rib (Equip)</t>
        </is>
      </c>
    </row>
    <row r="1514">
      <c r="A1514" s="5" t="inlineStr">
        <is>
          <t>Key</t>
        </is>
      </c>
      <c r="B1514" s="5" t="inlineStr">
        <is>
          <t>Name</t>
        </is>
      </c>
      <c r="C1514" s="5" t="inlineStr">
        <is>
          <t>Unlocked</t>
        </is>
      </c>
      <c r="D1514" s="5" t="inlineStr">
        <is>
          <t>InputLevel</t>
        </is>
      </c>
      <c r="E1514" s="5" t="inlineStr">
        <is>
          <t>Factor</t>
        </is>
      </c>
      <c r="F1514" s="5" t="inlineStr">
        <is>
          <t>CoefficientPercent</t>
        </is>
      </c>
      <c r="G1514" s="5" t="inlineStr">
        <is>
          <t>EffectiveHits</t>
        </is>
      </c>
      <c r="H1514" s="5" t="inlineStr">
        <is>
          <t>ProcProbability</t>
        </is>
      </c>
      <c r="I1514" s="5" t="inlineStr">
        <is>
          <t>MapleHeroMultiplier</t>
        </is>
      </c>
      <c r="J1514" s="5" t="inlineStr">
        <is>
          <t>BaseDamage</t>
        </is>
      </c>
      <c r="K1514" s="5" t="inlineStr">
        <is>
          <t>BaseHitDamage</t>
        </is>
      </c>
      <c r="L1514" s="5" t="inlineStr">
        <is>
          <t>NonCritAvg</t>
        </is>
      </c>
      <c r="M1514" s="5" t="inlineStr">
        <is>
          <t>CritAvg</t>
        </is>
      </c>
      <c r="N1514" s="5" t="inlineStr">
        <is>
          <t>ExpectedDamage(perHit)</t>
        </is>
      </c>
      <c r="O1514" s="5" t="inlineStr">
        <is>
          <t>DPS</t>
        </is>
      </c>
      <c r="P1514" s="5" t="inlineStr">
        <is>
          <t>% of Total</t>
        </is>
      </c>
      <c r="R1514" t="inlineStr">
        <is>
          <t>helpers</t>
        </is>
      </c>
    </row>
    <row r="1515">
      <c r="A1515">
        <f>Skills!A2</f>
        <v/>
      </c>
      <c r="B1515">
        <f>Skills!B2</f>
        <v/>
      </c>
      <c r="C1515">
        <f>Inputs!$B$3&gt;=100</f>
        <v/>
      </c>
      <c r="D1515" t="inlineStr"/>
      <c r="E1515" t="inlineStr"/>
      <c r="F1515">
        <f>T1517+Skills!N2</f>
        <v/>
      </c>
      <c r="G1515">
        <f>Calc!G2</f>
        <v/>
      </c>
      <c r="H1515">
        <f>Calc!H2</f>
        <v/>
      </c>
      <c r="I1515">
        <f>IF(Skills!T2&lt;&gt;"",1+(Skills!T2/10)*(Z1516/1000)/100,1)</f>
        <v/>
      </c>
      <c r="J1515">
        <f>((Inputs!$B$6*(1+Inputs!$B$7/100))+(((Inputs!$B$12*(1+Inputs!$B$13/100))-(Inputs!$B$12*(1+Inputs!$B$13/100)))+0.25*(Inputs!$B$14-Inputs!$B$14))*(1+Inputs!$B$7/100))*(F1515/100)</f>
        <v/>
      </c>
      <c r="K1515">
        <f>J1515*(1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1531-Calc!F18),(Inputs!$B$23+(IF(ArtifactsInput!$M$15,CHOOSE(ArtifactsInput!$N$15+1,25,30,35,40,45,50)/100*(Inputs!$B$11-Inputs!$B$11),0))))/100+(Inputs!$B$23+(IF(ArtifactsInput!$M$15,CHOOSE(ArtifactsInput!$N$15+1,25,30,35,40,45,50)/100*(Inputs!$B$11-Inputs!$B$11),0)))/100)/2</f>
        <v/>
      </c>
      <c r="M1515">
        <f>L1515*(1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IF(B1549=0,0,O1515/B1549)</f>
        <v/>
      </c>
      <c r="Q1515">
        <f>IFERROR(1/IF(Inputs!$B$38="pvp",15,MAX(0.1,Skills!D2-IF(Skills!E2=TRUE,Inputs!$B$32,0))),0)</f>
        <v/>
      </c>
      <c r="R1515" t="n">
        <v>0</v>
      </c>
      <c r="S1515">
        <f>IF(C1515,(Skills!F2*N1515*B1545)*IF(Inputs!$B$38="pvp",1,1+(Inputs!$B$20+Skills!O2+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15">
        <f>MAX(0,(Inputs!$B$3-100)*3)+Inputs!$B$28+Inputs!$B$29</f>
        <v/>
      </c>
      <c r="U1515">
        <f>IF(C1515,(Skills!F2*N1515*B1545)*IF(Inputs!$B$38="pvp",1,(1+(Inputs!$B$21+Skills!P2+B1540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15">
        <f>MAX(0,(Inputs!$B$3-100)*3)+Inputs!$B$28+Inputs!$B$29</f>
        <v/>
      </c>
    </row>
    <row r="1516">
      <c r="A1516">
        <f>Skills!A3</f>
        <v/>
      </c>
      <c r="B1516">
        <f>Skills!B3</f>
        <v/>
      </c>
      <c r="C1516">
        <f>Inputs!$B$3&gt;=15</f>
        <v/>
      </c>
      <c r="D1516">
        <f>IF(Skills!C3=1,60+Inputs!$B$25+Inputs!$B$29,IF(Skills!C3=2,90+Inputs!$B$26+Inputs!$B$29,IF(Skills!C3=3,120+Inputs!$B$27+Inputs!$B$29,MAX(0,(Inputs!$B$3-100)*3)+Inputs!$B$28+Inputs!$B$29)))</f>
        <v/>
      </c>
      <c r="E1516">
        <f>INDEX(FactorTable!$B$2:$Y$301, MATCH(ROUND(MIN(300,MAX(1,D1516)),0), FactorTable!$A$2:$A$301,0), Skills!L3+1)</f>
        <v/>
      </c>
      <c r="F1516">
        <f>IF(Skills!M3=TRUE,(Skills!K3/10)*(E1516/1000),Skills!K3/10)+Skills!N3</f>
        <v/>
      </c>
      <c r="G1516">
        <f>Calc!G3</f>
        <v/>
      </c>
      <c r="H1516">
        <f>Calc!H3</f>
        <v/>
      </c>
      <c r="I1516">
        <f>IF(Skills!T3&lt;&gt;"",1+(Skills!T3/10)*(Z1516/1000)/100,1)</f>
        <v/>
      </c>
      <c r="J1516" t="inlineStr"/>
      <c r="K1516" t="inlineStr"/>
      <c r="L1516" t="inlineStr"/>
      <c r="M1516" t="inlineStr"/>
      <c r="N1516" t="inlineStr"/>
      <c r="O1516">
        <f>(1-Summary!$B$11)*S1516+Summary!$B$11*U1516</f>
        <v/>
      </c>
      <c r="P1516">
        <f>IF(B1549=0,0,O1516/B1549)</f>
        <v/>
      </c>
      <c r="Q1516">
        <f>IFERROR(1/IF(Inputs!$B$38="pvp",15,MAX(0.1,Skills!D3-IF(Skills!E3=TRUE,Inputs!$B$32,0))),0)</f>
        <v/>
      </c>
      <c r="R1516">
        <f>IF(AND(Inputs!$B$38&lt;&gt;"pvp",Inputs!$B$43&gt;0),IF(Inputs!$B$43&lt;=0,0,(INT(Inputs!$B$43/IF(Inputs!$B$38="pvp",15,MAX(0.1,Skills!D3-IF(Skills!E3=TRUE,Inputs!$B$32,0))))+1)),0)</f>
        <v/>
      </c>
      <c r="S1516" t="n">
        <v>0</v>
      </c>
      <c r="T1516">
        <f>INDEX(FactorTable!$B$2:$Y$301, MATCH(ROUND(MIN(300,MAX(1,T1515)),0), FactorTable!$A$2:$A$301,0), 22)</f>
        <v/>
      </c>
      <c r="U1516" t="n">
        <v>0</v>
      </c>
      <c r="Z1516">
        <f>INDEX(FactorTable!$B$2:$Y$301, MATCH(ROUND(MIN(300,MAX(1,Z1515)),0), FactorTable!$A$2:$A$301,0), 24)</f>
        <v/>
      </c>
    </row>
    <row r="1517">
      <c r="A1517">
        <f>Skills!A4</f>
        <v/>
      </c>
      <c r="B1517">
        <f>Skills!B4</f>
        <v/>
      </c>
      <c r="C1517">
        <f>Inputs!$B$3&gt;=40</f>
        <v/>
      </c>
      <c r="D1517">
        <f>IF(Skills!C4=1,60+Inputs!$B$25+Inputs!$B$29,IF(Skills!C4=2,90+Inputs!$B$26+Inputs!$B$29,IF(Skills!C4=3,120+Inputs!$B$27+Inputs!$B$29,MAX(0,(Inputs!$B$3-100)*3)+Inputs!$B$28+Inputs!$B$29)))</f>
        <v/>
      </c>
      <c r="E1517">
        <f>INDEX(FactorTable!$B$2:$Y$301, MATCH(ROUND(MIN(300,MAX(1,D1517)),0), FactorTable!$A$2:$A$301,0), Skills!L4+1)</f>
        <v/>
      </c>
      <c r="F1517">
        <f>IF(Skills!M4=TRUE,(Skills!K4/10)*(E1517/1000),Skills!K4/10)+Skills!N4</f>
        <v/>
      </c>
      <c r="G1517">
        <f>Calc!G4</f>
        <v/>
      </c>
      <c r="H1517">
        <f>Calc!H4</f>
        <v/>
      </c>
      <c r="I1517">
        <f>IF(Skills!T4&lt;&gt;"",1+(Skills!T4/10)*(Z1516/1000)/100,1)</f>
        <v/>
      </c>
      <c r="J1517" t="inlineStr"/>
      <c r="K1517" t="inlineStr"/>
      <c r="L1517" t="inlineStr"/>
      <c r="M1517" t="inlineStr"/>
      <c r="N1517" t="inlineStr"/>
      <c r="O1517">
        <f>(1-Summary!$B$11)*S1517+Summary!$B$11*U1517</f>
        <v/>
      </c>
      <c r="P1517">
        <f>IF(B1549=0,0,O1517/B1549)</f>
        <v/>
      </c>
      <c r="Q1517">
        <f>IFERROR(1/IF(Inputs!$B$38="pvp",15,MAX(0.1,Skills!D4-IF(Skills!E4=TRUE,Inputs!$B$32,0))),0)</f>
        <v/>
      </c>
      <c r="R1517">
        <f>IF(AND(Inputs!$B$38&lt;&gt;"pvp",Inputs!$B$43&gt;0),IF(Inputs!$B$43&lt;=0,0,(INT(Inputs!$B$43/IF(Inputs!$B$38="pvp",15,MAX(0.1,Skills!D4-IF(Skills!E4=TRUE,Inputs!$B$32,0))))+1)),0)</f>
        <v/>
      </c>
      <c r="S1517" t="n">
        <v>0</v>
      </c>
      <c r="T1517">
        <f>290*T1516/1000</f>
        <v/>
      </c>
      <c r="U1517" t="n">
        <v>0</v>
      </c>
    </row>
    <row r="1518">
      <c r="A1518">
        <f>Skills!A5</f>
        <v/>
      </c>
      <c r="B1518">
        <f>Skills!B5</f>
        <v/>
      </c>
      <c r="C1518">
        <f>Inputs!$B$3&gt;=38</f>
        <v/>
      </c>
      <c r="D1518">
        <f>IF(Skills!C5=1,60+Inputs!$B$25+Inputs!$B$29,IF(Skills!C5=2,90+Inputs!$B$26+Inputs!$B$29,IF(Skills!C5=3,120+Inputs!$B$27+Inputs!$B$29,MAX(0,(Inputs!$B$3-100)*3)+Inputs!$B$28+Inputs!$B$29)))</f>
        <v/>
      </c>
      <c r="E1518">
        <f>INDEX(FactorTable!$B$2:$Y$301, MATCH(ROUND(MIN(300,MAX(1,D1518)),0), FactorTable!$A$2:$A$301,0), Skills!L5+1)</f>
        <v/>
      </c>
      <c r="F1518">
        <f>IF(Skills!M5=TRUE,(Skills!K5/10)*(E1518/1000),Skills!K5/10)+Skills!N5</f>
        <v/>
      </c>
      <c r="G1518">
        <f>Calc!G5</f>
        <v/>
      </c>
      <c r="H1518">
        <f>Calc!H5</f>
        <v/>
      </c>
      <c r="I1518">
        <f>IF(Skills!T5&lt;&gt;"",1+(Skills!T5/10)*(Z1516/1000)/100,1)</f>
        <v/>
      </c>
      <c r="J1518">
        <f>((Inputs!$B$6*(1+Inputs!$B$7/100))+(((Inputs!$B$12*(1+Inputs!$B$13/100))-(Inputs!$B$12*(1+Inputs!$B$13/100)))+0.25*(Inputs!$B$14-Inputs!$B$14))*(1+Inputs!$B$7/100))*(F1518/100)</f>
        <v/>
      </c>
      <c r="K1518">
        <f>J1518*(1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F1531-Calc!F18),(Inputs!$B$23+(IF(ArtifactsInput!$M$15,CHOOSE(ArtifactsInput!$N$15+1,25,30,35,40,45,50)/100*(Inputs!$B$11-Inputs!$B$11),0))))/100+(Inputs!$B$23+(IF(ArtifactsInput!$M$15,CHOOSE(ArtifactsInput!$N$15+1,25,30,35,40,45,50)/100*(Inputs!$B$11-Inputs!$B$11),0)))/100)/2</f>
        <v/>
      </c>
      <c r="M1518">
        <f>L1518*(1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(1-Summary!$B$11)*S1518+Summary!$B$11*U1518</f>
        <v/>
      </c>
      <c r="P1518">
        <f>IF(B1549=0,0,O1518/B1549)</f>
        <v/>
      </c>
      <c r="Q1518">
        <f>IFERROR(1/IF(Inputs!$B$38="pvp",15,MAX(0.1,Skills!D5-IF(Skills!E5=TRUE,Inputs!$B$32,0))),0)</f>
        <v/>
      </c>
      <c r="R1518">
        <f>IF(AND(Inputs!$B$38&lt;&gt;"pvp",Inputs!$B$43&gt;0),IF(MAX(0,Inputs!$B$43-B1546)&lt;=0,0,(INT(MAX(0,Inputs!$B$43-B1546)/IF(Inputs!$B$38="pvp",15,MAX(0.1,Skills!D5-IF(Skills!E5=TRUE,Inputs!$B$32,0))))+1)),0)</f>
        <v/>
      </c>
      <c r="S1518">
        <f>IF(C1518,(H1518*N1518*IF(AND(Inputs!$B$38&lt;&gt;"pvp",Inputs!$B$43&gt;0),((Skills!F5*((R1518-1)*IF(Skills!G5&gt;0,Skills!H5/Skills!G5,1)+IF(Skills!G5&gt;0,MIN(Skills!H5,MAX(0,MAX(0,Inputs!$B$43-B1546)-((R1518-1)*IF(Inputs!$B$38="pvp",15,MAX(0.1,Skills!D5-IF(Skills!E5=TRUE,Inputs!$B$32,0))))))/Skills!G5,1)))/Inputs!$B$43),G1518*Q1518))*IF(Inputs!$B$38="pvp",1,1+(Inputs!$B$20+Skills!O5+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1518*(1-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F(C1518,(H1518*N1518*IF(AND(Inputs!$B$38&lt;&gt;"pvp",Inputs!$B$43&gt;0),((Skills!F5*((R1518-1)*IF(Skills!G5&gt;0,Skills!H5/Skills!G5,1)+IF(Skills!G5&gt;0,MIN(Skills!H5,MAX(0,MAX(0,Inputs!$B$43-B1546)-((R1518-1)*IF(Inputs!$B$38="pvp",15,MAX(0.1,Skills!D5-IF(Skills!E5=TRUE,Inputs!$B$32,0))))))/Skills!G5,1)))/Inputs!$B$43),G1518*Q1518))*IF(Inputs!$B$38="pvp",1,(1+(Inputs!$B$21+Skills!P5+B1540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Skills!A6</f>
        <v/>
      </c>
      <c r="B1519">
        <f>Skills!B6</f>
        <v/>
      </c>
      <c r="C1519">
        <f>Inputs!$B$3&gt;=63</f>
        <v/>
      </c>
      <c r="D1519">
        <f>IF(Skills!C6=1,60+Inputs!$B$25+Inputs!$B$29,IF(Skills!C6=2,90+Inputs!$B$26+Inputs!$B$29,IF(Skills!C6=3,120+Inputs!$B$27+Inputs!$B$29,MAX(0,(Inputs!$B$3-100)*3)+Inputs!$B$28+Inputs!$B$29)))</f>
        <v/>
      </c>
      <c r="E1519">
        <f>INDEX(FactorTable!$B$2:$Y$301, MATCH(ROUND(MIN(300,MAX(1,D1519)),0), FactorTable!$A$2:$A$301,0), Skills!L6+1)</f>
        <v/>
      </c>
      <c r="F1519">
        <f>IF(Skills!M6=TRUE,(Skills!K6/10)*(E1519/1000),Skills!K6/10)+Skills!N6</f>
        <v/>
      </c>
      <c r="G1519">
        <f>Calc!G6</f>
        <v/>
      </c>
      <c r="H1519">
        <f>Calc!H6</f>
        <v/>
      </c>
      <c r="I1519">
        <f>IF(Skills!T6&lt;&gt;"",1+(Skills!T6/10)*(Z1516/1000)/100,1)</f>
        <v/>
      </c>
      <c r="J1519">
        <f>((Inputs!$B$6*(1+Inputs!$B$7/100))+(((Inputs!$B$12*(1+Inputs!$B$13/100))-(Inputs!$B$12*(1+Inputs!$B$13/100)))+0.25*(Inputs!$B$14-Inputs!$B$14))*(1+Inputs!$B$7/100))*(F1519/100)</f>
        <v/>
      </c>
      <c r="K1519">
        <f>J1519*(1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F1531-Calc!F18),(Inputs!$B$23+(IF(ArtifactsInput!$M$15,CHOOSE(ArtifactsInput!$N$15+1,25,30,35,40,45,50)/100*(Inputs!$B$11-Inputs!$B$11),0))))/100+(Inputs!$B$23+(IF(ArtifactsInput!$M$15,CHOOSE(ArtifactsInput!$N$15+1,25,30,35,40,45,50)/100*(Inputs!$B$11-Inputs!$B$11),0)))/100)/2</f>
        <v/>
      </c>
      <c r="M1519">
        <f>L1519*(1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(1-Summary!$B$11)*S1519+Summary!$B$11*U1519</f>
        <v/>
      </c>
      <c r="P1519">
        <f>IF(B1549=0,0,O1519/B1549)</f>
        <v/>
      </c>
      <c r="Q1519">
        <f>IFERROR(1/IF(Inputs!$B$38="pvp",15,MAX(0.1,Skills!D6-IF(Skills!E6=TRUE,Inputs!$B$32,0))),0)</f>
        <v/>
      </c>
      <c r="R1519">
        <f>IF(AND(Inputs!$B$38&lt;&gt;"pvp",Inputs!$B$43&gt;0),IF(MAX(0,Inputs!$B$43-B1546)&lt;=0,0,(INT(MAX(0,Inputs!$B$43-B1546)/IF(Inputs!$B$38="pvp",15,MAX(0.1,Skills!D6-IF(Skills!E6=TRUE,Inputs!$B$32,0))))+1)),0)</f>
        <v/>
      </c>
      <c r="S1519">
        <f>IF(C1519,(H1519*N1519*IF(AND(Inputs!$B$38&lt;&gt;"pvp",Inputs!$B$43&gt;0),((Skills!F6*((R1519-1)*IF(Skills!G6&gt;0,Skills!H6/Skills!G6,1)+IF(Skills!G6&gt;0,MIN(Skills!H6,MAX(0,MAX(0,Inputs!$B$43-B1546)-((R1519-1)*IF(Inputs!$B$38="pvp",15,MAX(0.1,Skills!D6-IF(Skills!E6=TRUE,Inputs!$B$32,0))))))/Skills!G6,1)))/Inputs!$B$43),G1519*Q1519))*IF(Inputs!$B$38="pvp",1,1+(Inputs!$B$20+Skills!O6+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1519*(1-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IF(C1519,(H1519*N1519*IF(AND(Inputs!$B$38&lt;&gt;"pvp",Inputs!$B$43&gt;0),((Skills!F6*((R1519-1)*IF(Skills!G6&gt;0,Skills!H6/Skills!G6,1)+IF(Skills!G6&gt;0,MIN(Skills!H6,MAX(0,MAX(0,Inputs!$B$43-B1546)-((R1519-1)*IF(Inputs!$B$38="pvp",15,MAX(0.1,Skills!D6-IF(Skills!E6=TRUE,Inputs!$B$32,0))))))/Skills!G6,1)))/Inputs!$B$43),G1519*Q1519))*IF(Inputs!$B$38="pvp",1,(1+(Inputs!$B$21+Skills!P6+B1540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Skills!A7</f>
        <v/>
      </c>
      <c r="B1520">
        <f>Skills!B7</f>
        <v/>
      </c>
      <c r="C1520">
        <f>Inputs!$B$3&gt;=69</f>
        <v/>
      </c>
      <c r="D1520">
        <f>IF(Skills!C7=1,60+Inputs!$B$25+Inputs!$B$29,IF(Skills!C7=2,90+Inputs!$B$26+Inputs!$B$29,IF(Skills!C7=3,120+Inputs!$B$27+Inputs!$B$29,MAX(0,(Inputs!$B$3-100)*3)+Inputs!$B$28+Inputs!$B$29)))</f>
        <v/>
      </c>
      <c r="E1520">
        <f>INDEX(FactorTable!$B$2:$Y$301, MATCH(ROUND(MIN(300,MAX(1,D1520)),0), FactorTable!$A$2:$A$301,0), Skills!L7+1)</f>
        <v/>
      </c>
      <c r="F1520">
        <f>IF(Skills!M7=TRUE,(Skills!K7/10)*(E1520/1000),Skills!K7/10)+Skills!N7</f>
        <v/>
      </c>
      <c r="G1520">
        <f>Calc!G7</f>
        <v/>
      </c>
      <c r="H1520">
        <f>Calc!H7</f>
        <v/>
      </c>
      <c r="I1520">
        <f>IF(Skills!T7&lt;&gt;"",1+(Skills!T7/10)*(Z1516/1000)/100,1)</f>
        <v/>
      </c>
      <c r="J1520">
        <f>((Inputs!$B$6*(1+Inputs!$B$7/100))+(((Inputs!$B$12*(1+Inputs!$B$13/100))-(Inputs!$B$12*(1+Inputs!$B$13/100)))+0.25*(Inputs!$B$14-Inputs!$B$14))*(1+Inputs!$B$7/100))*(F1520/100)</f>
        <v/>
      </c>
      <c r="K1520">
        <f>J1520*(1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F1531-Calc!F18),(Inputs!$B$23+(IF(ArtifactsInput!$M$15,CHOOSE(ArtifactsInput!$N$15+1,25,30,35,40,45,50)/100*(Inputs!$B$11-Inputs!$B$11),0))))/100+(Inputs!$B$23+(IF(ArtifactsInput!$M$15,CHOOSE(ArtifactsInput!$N$15+1,25,30,35,40,45,50)/100*(Inputs!$B$11-Inputs!$B$11),0)))/100)/2</f>
        <v/>
      </c>
      <c r="M1520">
        <f>L1520*(1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(1-Summary!$B$11)*S1520+Summary!$B$11*U1520</f>
        <v/>
      </c>
      <c r="P1520">
        <f>IF(B1549=0,0,O1520/B1549)</f>
        <v/>
      </c>
      <c r="Q1520">
        <f>IFERROR(1/IF(Inputs!$B$38="pvp",15,MAX(0.1,Skills!D7-IF(Skills!E7=TRUE,Inputs!$B$32,0))),0)</f>
        <v/>
      </c>
      <c r="R1520">
        <f>IF(AND(Inputs!$B$38&lt;&gt;"pvp",Inputs!$B$43&gt;0),IF(MAX(0,Inputs!$B$43-B1546)&lt;=0,0,(INT(MAX(0,Inputs!$B$43-B1546)/IF(Inputs!$B$38="pvp",15,MAX(0.1,Skills!D7-IF(Skills!E7=TRUE,Inputs!$B$32,0))))+1)),0)</f>
        <v/>
      </c>
      <c r="S1520">
        <f>IF(C1520,(H1520*N1520*IF(AND(Inputs!$B$38&lt;&gt;"pvp",Inputs!$B$43&gt;0),((Skills!F7*((R1520-1)*IF(Skills!G7&gt;0,Skills!H7/Skills!G7,1)+IF(Skills!G7&gt;0,MIN(Skills!H7,MAX(0,MAX(0,Inputs!$B$43-B1546)-((R1520-1)*IF(Inputs!$B$38="pvp",15,MAX(0.1,Skills!D7-IF(Skills!E7=TRUE,Inputs!$B$32,0))))))/Skills!G7,1)))/Inputs!$B$43),G1520*Q1520))*IF(Inputs!$B$38="pvp",1,1+(Inputs!$B$20+Skills!O7+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1520*(1-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0">
        <f>IF(C1520,(H1520*N1520*IF(AND(Inputs!$B$38&lt;&gt;"pvp",Inputs!$B$43&gt;0),((Skills!F7*((R1520-1)*IF(Skills!G7&gt;0,Skills!H7/Skills!G7,1)+IF(Skills!G7&gt;0,MIN(Skills!H7,MAX(0,MAX(0,Inputs!$B$43-B1546)-((R1520-1)*IF(Inputs!$B$38="pvp",15,MAX(0.1,Skills!D7-IF(Skills!E7=TRUE,Inputs!$B$32,0))))))/Skills!G7,1)))/Inputs!$B$43),G1520*Q1520))*IF(Inputs!$B$38="pvp",1,(1+(Inputs!$B$21+Skills!P7+B1540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Skills!A8</f>
        <v/>
      </c>
      <c r="B1521">
        <f>Skills!B8</f>
        <v/>
      </c>
      <c r="C1521">
        <f>Inputs!$B$3&gt;=103</f>
        <v/>
      </c>
      <c r="D1521">
        <f>IF(Skills!C8=1,60+Inputs!$B$25+Inputs!$B$29,IF(Skills!C8=2,90+Inputs!$B$26+Inputs!$B$29,IF(Skills!C8=3,120+Inputs!$B$27+Inputs!$B$29,MAX(0,(Inputs!$B$3-100)*3)+Inputs!$B$28+Inputs!$B$29)))</f>
        <v/>
      </c>
      <c r="E1521">
        <f>INDEX(FactorTable!$B$2:$Y$301, MATCH(ROUND(MIN(300,MAX(1,D1521)),0), FactorTable!$A$2:$A$301,0), Skills!L8+1)</f>
        <v/>
      </c>
      <c r="F1521">
        <f>IF(Skills!M8=TRUE,(Skills!K8/10)*(E1521/1000),Skills!K8/10)+Skills!N8</f>
        <v/>
      </c>
      <c r="G1521">
        <f>Calc!G8</f>
        <v/>
      </c>
      <c r="H1521">
        <f>Calc!H8</f>
        <v/>
      </c>
      <c r="I1521">
        <f>IF(Skills!T8&lt;&gt;"",1+(Skills!T8/10)*(Z1516/1000)/100,1)</f>
        <v/>
      </c>
      <c r="J1521">
        <f>((Inputs!$B$6*(1+Inputs!$B$7/100))+(((Inputs!$B$12*(1+Inputs!$B$13/100))-(Inputs!$B$12*(1+Inputs!$B$13/100)))+0.25*(Inputs!$B$14-Inputs!$B$14))*(1+Inputs!$B$7/100))*(F1521/100)</f>
        <v/>
      </c>
      <c r="K1521">
        <f>J1521*(1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F1531-Calc!F18),(Inputs!$B$23+(IF(ArtifactsInput!$M$15,CHOOSE(ArtifactsInput!$N$15+1,25,30,35,40,45,50)/100*(Inputs!$B$11-Inputs!$B$11),0))))/100+(Inputs!$B$23+(IF(ArtifactsInput!$M$15,CHOOSE(ArtifactsInput!$N$15+1,25,30,35,40,45,50)/100*(Inputs!$B$11-Inputs!$B$11),0)))/100)/2</f>
        <v/>
      </c>
      <c r="M1521">
        <f>L1521*(1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(1-Summary!$B$11)*S1521+Summary!$B$11*U1521</f>
        <v/>
      </c>
      <c r="P1521">
        <f>IF(B1549=0,0,O1521/B1549)</f>
        <v/>
      </c>
      <c r="Q1521">
        <f>IFERROR(1/IF(Inputs!$B$38="pvp",15,MAX(0.1,Skills!D8-IF(Skills!E8=TRUE,Inputs!$B$32,0))),0)</f>
        <v/>
      </c>
      <c r="R1521">
        <f>IF(AND(Inputs!$B$38&lt;&gt;"pvp",Inputs!$B$43&gt;0),IF(MAX(0,Inputs!$B$43-B1546)&lt;=0,0,(INT(MAX(0,Inputs!$B$43-B1546)/IF(Inputs!$B$38="pvp",15,MAX(0.1,Skills!D8-IF(Skills!E8=TRUE,Inputs!$B$32,0))))+1)),0)</f>
        <v/>
      </c>
      <c r="S1521">
        <f>IF(C1521,(H1521*N1521*IF(AND(Inputs!$B$38&lt;&gt;"pvp",Inputs!$B$43&gt;0),((Skills!F8*((R1521-1)*IF(Skills!G8&gt;0,Skills!H8/Skills!G8,1)+IF(Skills!G8&gt;0,MIN(Skills!H8,MAX(0,MAX(0,Inputs!$B$43-B1546)-((R1521-1)*IF(Inputs!$B$38="pvp",15,MAX(0.1,Skills!D8-IF(Skills!E8=TRUE,Inputs!$B$32,0))))))/Skills!G8,1)))/Inputs!$B$43),G1521*Q1521))*IF(Inputs!$B$38="pvp",1,1+(Inputs!$B$20+Skills!O8+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1">
        <f>IF(C1521,(H1521*N1521*IF(AND(Inputs!$B$38&lt;&gt;"pvp",Inputs!$B$43&gt;0),((Skills!F8*((R1521-1)*IF(Skills!G8&gt;0,Skills!H8/Skills!G8,1)+IF(Skills!G8&gt;0,MIN(Skills!H8,MAX(0,MAX(0,Inputs!$B$43-B1546)-((R1521-1)*IF(Inputs!$B$38="pvp",15,MAX(0.1,Skills!D8-IF(Skills!E8=TRUE,Inputs!$B$32,0))))))/Skills!G8,1)))/Inputs!$B$43),G1521*Q1521))*IF(Inputs!$B$38="pvp",1,(1+(Inputs!$B$21+Skills!P8+B1540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Skills!A9</f>
        <v/>
      </c>
      <c r="B1522">
        <f>Skills!B9</f>
        <v/>
      </c>
      <c r="C1522">
        <f>Inputs!$B$3&gt;=105</f>
        <v/>
      </c>
      <c r="D1522">
        <f>IF(Skills!C9=1,60+Inputs!$B$25+Inputs!$B$29,IF(Skills!C9=2,90+Inputs!$B$26+Inputs!$B$29,IF(Skills!C9=3,120+Inputs!$B$27+Inputs!$B$29,MAX(0,(Inputs!$B$3-100)*3)+Inputs!$B$28+Inputs!$B$29)))</f>
        <v/>
      </c>
      <c r="E1522">
        <f>INDEX(FactorTable!$B$2:$Y$301, MATCH(ROUND(MIN(300,MAX(1,D1522)),0), FactorTable!$A$2:$A$301,0), Skills!L9+1)</f>
        <v/>
      </c>
      <c r="F1522">
        <f>IF(Skills!M9=TRUE,(Skills!K9/10)*(E1522/1000),Skills!K9/10)+Skills!N9</f>
        <v/>
      </c>
      <c r="G1522">
        <f>Calc!G9</f>
        <v/>
      </c>
      <c r="H1522">
        <f>Calc!H9</f>
        <v/>
      </c>
      <c r="I1522">
        <f>IF(Skills!T9&lt;&gt;"",1+(Skills!T9/10)*(Z1516/1000)/100,1)</f>
        <v/>
      </c>
      <c r="J1522">
        <f>((Inputs!$B$6*(1+Inputs!$B$7/100))+(((Inputs!$B$12*(1+Inputs!$B$13/100))-(Inputs!$B$12*(1+Inputs!$B$13/100)))+0.25*(Inputs!$B$14-Inputs!$B$14))*(1+Inputs!$B$7/100))*(F1522/100)</f>
        <v/>
      </c>
      <c r="K1522">
        <f>J1522*(1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F1531-Calc!F18),(Inputs!$B$23+(IF(ArtifactsInput!$M$15,CHOOSE(ArtifactsInput!$N$15+1,25,30,35,40,45,50)/100*(Inputs!$B$11-Inputs!$B$11),0))))/100+(Inputs!$B$23+(IF(ArtifactsInput!$M$15,CHOOSE(ArtifactsInput!$N$15+1,25,30,35,40,45,50)/100*(Inputs!$B$11-Inputs!$B$11),0)))/100)/2</f>
        <v/>
      </c>
      <c r="M1522">
        <f>L1522*(1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(1-Summary!$B$11)*S1522+Summary!$B$11*U1522</f>
        <v/>
      </c>
      <c r="P1522">
        <f>IF(B1549=0,0,O1522/B1549)</f>
        <v/>
      </c>
      <c r="Q1522">
        <f>IFERROR(1/IF(Inputs!$B$38="pvp",15,MAX(0.1,Skills!D9-IF(Skills!E9=TRUE,Inputs!$B$32,0))),0)</f>
        <v/>
      </c>
      <c r="R1522">
        <f>IF(AND(Inputs!$B$38&lt;&gt;"pvp",Inputs!$B$43&gt;0),IF(MAX(0,Inputs!$B$43-B1546)&lt;=0,0,(INT(MAX(0,Inputs!$B$43-B1546)/IF(Inputs!$B$38="pvp",15,MAX(0.1,Skills!D9-IF(Skills!E9=TRUE,Inputs!$B$32,0))))+1)),0)</f>
        <v/>
      </c>
      <c r="S1522">
        <f>IF(C1522,(H1522*N1522*IF(AND(Inputs!$B$38&lt;&gt;"pvp",Inputs!$B$43&gt;0),((Skills!F9*((R1522-1)*IF(Skills!G9&gt;0,Skills!H9/Skills!G9,1)+IF(Skills!G9&gt;0,MIN(Skills!H9,MAX(0,MAX(0,Inputs!$B$43-B1546)-((R1522-1)*IF(Inputs!$B$38="pvp",15,MAX(0.1,Skills!D9-IF(Skills!E9=TRUE,Inputs!$B$32,0))))))/Skills!G9,1)))/Inputs!$B$43),G1522*Q1522))*IF(Inputs!$B$38="pvp",1,1+(Inputs!$B$20+Skills!O9+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2">
        <f>IF(C1522,(H1522*N1522*IF(AND(Inputs!$B$38&lt;&gt;"pvp",Inputs!$B$43&gt;0),((Skills!F9*((R1522-1)*IF(Skills!G9&gt;0,Skills!H9/Skills!G9,1)+IF(Skills!G9&gt;0,MIN(Skills!H9,MAX(0,MAX(0,Inputs!$B$43-B1546)-((R1522-1)*IF(Inputs!$B$38="pvp",15,MAX(0.1,Skills!D9-IF(Skills!E9=TRUE,Inputs!$B$32,0))))))/Skills!G9,1)))/Inputs!$B$43),G1522*Q1522))*IF(Inputs!$B$38="pvp",1,(1+(Inputs!$B$21+Skills!P9+B1540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Skills!A10</f>
        <v/>
      </c>
      <c r="B1523">
        <f>Skills!B10</f>
        <v/>
      </c>
      <c r="C1523">
        <f>Inputs!$B$3&gt;=113</f>
        <v/>
      </c>
      <c r="D1523">
        <f>IF(Skills!C10=1,60+Inputs!$B$25+Inputs!$B$29,IF(Skills!C10=2,90+Inputs!$B$26+Inputs!$B$29,IF(Skills!C10=3,120+Inputs!$B$27+Inputs!$B$29,MAX(0,(Inputs!$B$3-100)*3)+Inputs!$B$28+Inputs!$B$29)))</f>
        <v/>
      </c>
      <c r="E1523">
        <f>INDEX(FactorTable!$B$2:$Y$301, MATCH(ROUND(MIN(300,MAX(1,D1523)),0), FactorTable!$A$2:$A$301,0), Skills!L10+1)</f>
        <v/>
      </c>
      <c r="F1523">
        <f>IF(Skills!M10=TRUE,(Skills!K10/10)*(E1523/1000),Skills!K10/10)+Skills!N10</f>
        <v/>
      </c>
      <c r="G1523">
        <f>Calc!G10</f>
        <v/>
      </c>
      <c r="H1523">
        <f>Calc!H10</f>
        <v/>
      </c>
      <c r="I1523">
        <f>IF(Skills!T10&lt;&gt;"",1+(Skills!T10/10)*(Z1516/1000)/100,1)</f>
        <v/>
      </c>
      <c r="J1523">
        <f>((Inputs!$B$6*(1+Inputs!$B$7/100))+(((Inputs!$B$12*(1+Inputs!$B$13/100))-(Inputs!$B$12*(1+Inputs!$B$13/100)))+0.25*(Inputs!$B$14-Inputs!$B$14))*(1+Inputs!$B$7/100))*(F1523/100)</f>
        <v/>
      </c>
      <c r="K1523">
        <f>J1523*(1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F1531-Calc!F18),(Inputs!$B$23+(IF(ArtifactsInput!$M$15,CHOOSE(ArtifactsInput!$N$15+1,25,30,35,40,45,50)/100*(Inputs!$B$11-Inputs!$B$11),0))))/100+(Inputs!$B$23+(IF(ArtifactsInput!$M$15,CHOOSE(ArtifactsInput!$N$15+1,25,30,35,40,45,50)/100*(Inputs!$B$11-Inputs!$B$11),0)))/100)/2</f>
        <v/>
      </c>
      <c r="M1523">
        <f>L1523*(1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(1-Summary!$B$11)*S1523+Summary!$B$11*U1523</f>
        <v/>
      </c>
      <c r="P1523">
        <f>IF(B1549=0,0,O1523/B1549)</f>
        <v/>
      </c>
      <c r="Q1523">
        <f>IFERROR(1/IF(Inputs!$B$38="pvp",15,MAX(0.1,Skills!D10-IF(Skills!E9=TRUE,Inputs!$B$32,0))),0)</f>
        <v/>
      </c>
      <c r="R1523">
        <f>IF(AND(Inputs!$B$38&lt;&gt;"pvp",Inputs!$B$43&gt;0),IF(MAX(0,Inputs!$B$43-B1546)&lt;=0,0,(INT(MAX(0,Inputs!$B$43-B1546)/IF(Inputs!$B$38="pvp",15,MAX(0.1,Skills!D10-IF(Skills!E9=TRUE,Inputs!$B$32,0))))+1)),0)</f>
        <v/>
      </c>
      <c r="S1523">
        <f>IF(C1523,(H1523*N1523*IF(AND(Inputs!$B$38&lt;&gt;"pvp",Inputs!$B$43&gt;0),((Skills!F10*((R1523-1)*IF(Skills!G10&gt;0,Skills!H10/Skills!G10,1)+IF(Skills!G10&gt;0,MIN(Skills!H10,MAX(0,MAX(0,Inputs!$B$43-B1546)-((R1523-1)*IF(Inputs!$B$38="pvp",15,MAX(0.1,Skills!D10-IF(Skills!E9=TRUE,Inputs!$B$32,0))))))/Skills!G10,1)))/Inputs!$B$43),G1523*Q1523))*IF(Inputs!$B$38="pvp",1,1+(Inputs!$B$20+Skills!O10+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1523*(1-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3">
        <f>IF(C1523,(H1523*N1523*IF(AND(Inputs!$B$38&lt;&gt;"pvp",Inputs!$B$43&gt;0),((Skills!F10*((R1523-1)*IF(Skills!G10&gt;0,Skills!H10/Skills!G10,1)+IF(Skills!G10&gt;0,MIN(Skills!H10,MAX(0,MAX(0,Inputs!$B$43-B1546)-((R1523-1)*IF(Inputs!$B$38="pvp",15,MAX(0.1,Skills!D10-IF(Skills!E9=TRUE,Inputs!$B$32,0))))))/Skills!G10,1)))/Inputs!$B$43),G1523*Q1523))*IF(Inputs!$B$38="pvp",1,(1+(Inputs!$B$21+Skills!P10+B1540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Skills!A11</f>
        <v/>
      </c>
      <c r="B1524">
        <f>Skills!B11</f>
        <v/>
      </c>
      <c r="C1524">
        <f>Inputs!$B$3&gt;=107</f>
        <v/>
      </c>
      <c r="D1524">
        <f>IF(Skills!C11=1,60+Inputs!$B$25+Inputs!$B$29,IF(Skills!C11=2,90+Inputs!$B$26+Inputs!$B$29,IF(Skills!C11=3,120+Inputs!$B$27+Inputs!$B$29,MAX(0,(Inputs!$B$3-100)*3)+Inputs!$B$28+Inputs!$B$29)))</f>
        <v/>
      </c>
      <c r="E1524">
        <f>INDEX(FactorTable!$B$2:$Y$301, MATCH(ROUND(MIN(300,MAX(1,D1524)),0), FactorTable!$A$2:$A$301,0), Skills!L11+1)</f>
        <v/>
      </c>
      <c r="F1524">
        <f>IF(Skills!M11=TRUE,(Skills!K11/10)*(E1524/1000),Skills!K11/10)+Skills!N11</f>
        <v/>
      </c>
      <c r="G1524">
        <f>Calc!G11</f>
        <v/>
      </c>
      <c r="H1524">
        <f>Calc!H11</f>
        <v/>
      </c>
      <c r="I1524">
        <f>IF(Skills!T11&lt;&gt;"",1+(Skills!T11/10)*(Z1516/1000)/100,1)</f>
        <v/>
      </c>
      <c r="J1524">
        <f>((Inputs!$B$6*(1+Inputs!$B$7/100))+(((Inputs!$B$12*(1+Inputs!$B$13/100))-(Inputs!$B$12*(1+Inputs!$B$13/100)))+0.25*(Inputs!$B$14-Inputs!$B$14))*(1+Inputs!$B$7/100))*(F1524/100)</f>
        <v/>
      </c>
      <c r="K1524">
        <f>J1524*(1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1531-Calc!F18),(Inputs!$B$23+(IF(ArtifactsInput!$M$15,CHOOSE(ArtifactsInput!$N$15+1,25,30,35,40,45,50)/100*(Inputs!$B$11-Inputs!$B$11),0))))/100+(Inputs!$B$23+(IF(ArtifactsInput!$M$15,CHOOSE(ArtifactsInput!$N$15+1,25,30,35,40,45,50)/100*(Inputs!$B$11-Inputs!$B$11),0)))/100)/2</f>
        <v/>
      </c>
      <c r="M1524">
        <f>L1524*(1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IF(B1549=0,0,O1524/B1549)</f>
        <v/>
      </c>
      <c r="Q1524">
        <f>IFERROR(1/IF(Inputs!$B$38="pvp",15,MAX(0.1,Skills!D11-IF(Skills!E11=TRUE,Inputs!$B$32,0))),0)</f>
        <v/>
      </c>
      <c r="R1524">
        <f>IF(AND(Inputs!$B$38&lt;&gt;"pvp",Inputs!$B$43&gt;0),IF(MAX(0,Inputs!$B$43-B1546)&lt;=0,0,(INT(MAX(0,Inputs!$B$43-B1546)/IF(Inputs!$B$38="pvp",15,MAX(0.1,Skills!D11-IF(Skills!E11=TRUE,Inputs!$B$32,0))))+1)),0)</f>
        <v/>
      </c>
      <c r="S1524">
        <f>IF(C1524,H1524*N1524*IF(AND(Inputs!$B$38&lt;&gt;"pvp",Inputs!$B$43&gt;0),((Skills!F11*((R1524-1)*IF(Skills!G11&gt;0,Skills!H11/Skills!G11,1)+IF(Skills!G11&gt;0,MIN(Skills!H11,MAX(0,MAX(0,Inputs!$B$43-B1546)-((R1524-1)*IF(Inputs!$B$38="pvp",15,MAX(0.1,Skills!D11-IF(Skills!E11=TRUE,Inputs!$B$32,0))))))/Skills!G11,1)))/Inputs!$B$43),G1524*Q1524)*0.5*IF(Inputs!$B$38="pvp",1,1+(Inputs!$B$20+Skills!O11+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4">
        <f>IF(C1524,H1524*N1524*IF(AND(Inputs!$B$38&lt;&gt;"pvp",Inputs!$B$43&gt;0),((Skills!F11*((R1524-1)*IF(Skills!G11&gt;0,Skills!H11/Skills!G11,1)+IF(Skills!G11&gt;0,MIN(Skills!H11,MAX(0,MAX(0,Inputs!$B$43-B1546)-((R1524-1)*IF(Inputs!$B$38="pvp",15,MAX(0.1,Skills!D11-IF(Skills!E11=TRUE,Inputs!$B$32,0))))))/Skills!G11,1)))/Inputs!$B$43),G1524*Q1524)*1*IF(Inputs!$B$38="pvp",1,(1+(Inputs!$B$21+Skills!P11+B1540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Skills!A12</f>
        <v/>
      </c>
      <c r="B1525">
        <f>Skills!B12</f>
        <v/>
      </c>
      <c r="C1525">
        <f>Inputs!$B$3&gt;=115</f>
        <v/>
      </c>
      <c r="D1525">
        <f>IF(Skills!C12=1,60+Inputs!$B$25+Inputs!$B$29,IF(Skills!C12=2,90+Inputs!$B$26+Inputs!$B$29,IF(Skills!C12=3,120+Inputs!$B$27+Inputs!$B$29,MAX(0,(Inputs!$B$3-100)*3)+Inputs!$B$28+Inputs!$B$29)))</f>
        <v/>
      </c>
      <c r="E1525">
        <f>INDEX(FactorTable!$B$2:$Y$301, MATCH(ROUND(MIN(300,MAX(1,D1525)),0), FactorTable!$A$2:$A$301,0), Skills!L12+1)</f>
        <v/>
      </c>
      <c r="F1525">
        <f>IF(Skills!M12=TRUE,(Skills!K12/10)*(E1525/1000),Skills!K12/10)+Skills!N12</f>
        <v/>
      </c>
      <c r="G1525">
        <f>Calc!G12</f>
        <v/>
      </c>
      <c r="H1525">
        <f>Calc!H12</f>
        <v/>
      </c>
      <c r="I1525">
        <f>IF(Skills!T12&lt;&gt;"",1+(Skills!T12/10)*(Z1516/1000)/100,1)</f>
        <v/>
      </c>
      <c r="J1525">
        <f>((Inputs!$B$6*(1+Inputs!$B$7/100))+(((Inputs!$B$12*(1+Inputs!$B$13/100))-(Inputs!$B$12*(1+Inputs!$B$13/100)))+0.25*(Inputs!$B$14-Inputs!$B$14))*(1+Inputs!$B$7/100))*(F1525/100)</f>
        <v/>
      </c>
      <c r="K1525">
        <f>J1525*(1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1531-Calc!F18),(Inputs!$B$23+(IF(ArtifactsInput!$M$15,CHOOSE(ArtifactsInput!$N$15+1,25,30,35,40,45,50)/100*(Inputs!$B$11-Inputs!$B$11),0))))/100+(Inputs!$B$23+(IF(ArtifactsInput!$M$15,CHOOSE(ArtifactsInput!$N$15+1,25,30,35,40,45,50)/100*(Inputs!$B$11-Inputs!$B$11),0)))/100)/2</f>
        <v/>
      </c>
      <c r="M1525">
        <f>L1525*(1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IF(B1549=0,0,O1525/B1549)</f>
        <v/>
      </c>
      <c r="Q1525">
        <f>IFERROR(1/IF(Inputs!$B$38="pvp",15,MAX(0.1,Skills!D12-IF(Skills!E12=TRUE,Inputs!$B$32,0))),0)</f>
        <v/>
      </c>
      <c r="R1525">
        <f>IF(AND(Inputs!$B$38&lt;&gt;"pvp",Inputs!$B$43&gt;0),IF(MAX(0,Inputs!$B$43-B1546)&lt;=0,0,(INT(MAX(0,Inputs!$B$43-B1546)/IF(Inputs!$B$38="pvp",15,MAX(0.1,Skills!D12-IF(Skills!E12=TRUE,Inputs!$B$32,0))))+1)),0)</f>
        <v/>
      </c>
      <c r="S1525">
        <f>IF(C1525,(H1525*N1525*IF(AND(Inputs!$B$38&lt;&gt;"pvp",Inputs!$B$43&gt;0),((Skills!F12*((R1525-1)*IF(Skills!G12&gt;0,Skills!H12/Skills!G12,1)+IF(Skills!G12&gt;0,MIN(Skills!H12,MAX(0,MAX(0,Inputs!$B$43-B1546)-((R1525-1)*IF(Inputs!$B$38="pvp",15,MAX(0.1,Skills!D12-IF(Skills!E12=TRUE,Inputs!$B$32,0))))))/Skills!G12,1)))/Inputs!$B$43),G1525*Q1525))*IF(Inputs!$B$38="pvp",1,1+(Inputs!$B$20+Skills!O12+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5">
        <f>IF(C1525,(H1525*N1525*IF(AND(Inputs!$B$38&lt;&gt;"pvp",Inputs!$B$43&gt;0),((Skills!F12*((R1525-1)*IF(Skills!G12&gt;0,Skills!H12/Skills!G12,1)+IF(Skills!G12&gt;0,MIN(Skills!H12,MAX(0,MAX(0,Inputs!$B$43-B1546)-((R1525-1)*IF(Inputs!$B$38="pvp",15,MAX(0.1,Skills!D12-IF(Skills!E12=TRUE,Inputs!$B$32,0))))))/Skills!G12,1)))/Inputs!$B$43),G1525*Q1525))*IF(Inputs!$B$38="pvp",1,(1+(Inputs!$B$21+Skills!P12+B1540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Skills!A13</f>
        <v/>
      </c>
      <c r="B1526">
        <f>Skills!B13</f>
        <v/>
      </c>
      <c r="C1526">
        <f>Inputs!$B$3&gt;=49</f>
        <v/>
      </c>
      <c r="D1526">
        <f>IF(Skills!C13=1,60+Inputs!$B$25+Inputs!$B$29,IF(Skills!C13=2,90+Inputs!$B$26+Inputs!$B$29,IF(Skills!C13=3,120+Inputs!$B$27+Inputs!$B$29,MAX(0,(Inputs!$B$3-100)*3)+Inputs!$B$28+Inputs!$B$29)))</f>
        <v/>
      </c>
      <c r="E1526">
        <f>INDEX(FactorTable!$B$2:$Y$301, MATCH(ROUND(MIN(300,MAX(1,D1526)),0), FactorTable!$A$2:$A$301,0), Skills!L13+1)</f>
        <v/>
      </c>
      <c r="F1526">
        <f>IF(Skills!M13=TRUE,(Skills!K13/10)*(E1526/1000),Skills!K13/10)+Skills!N13</f>
        <v/>
      </c>
      <c r="G1526">
        <f>Calc!G13</f>
        <v/>
      </c>
      <c r="H1526">
        <f>Calc!H13</f>
        <v/>
      </c>
      <c r="I1526">
        <f>IF(Skills!T13&lt;&gt;"",1+(Skills!T13/10)*(Z1516/1000)/100,1)</f>
        <v/>
      </c>
      <c r="J1526" t="inlineStr"/>
      <c r="K1526" t="inlineStr"/>
      <c r="L1526" t="inlineStr"/>
      <c r="M1526" t="inlineStr"/>
      <c r="N1526" t="inlineStr"/>
      <c r="O1526">
        <f>(1-Summary!$B$11)*S1526+Summary!$B$11*U1526</f>
        <v/>
      </c>
      <c r="P1526">
        <f>IF(B1549=0,0,O1526/B1549)</f>
        <v/>
      </c>
      <c r="Q1526">
        <f>IFERROR(1/IF(Inputs!$B$38="pvp",15,MAX(0.1,Skills!D13-IF(Skills!E13=TRUE,Inputs!$B$32,0))),0)</f>
        <v/>
      </c>
      <c r="R1526" t="n">
        <v>0</v>
      </c>
      <c r="S1526" t="n">
        <v>0</v>
      </c>
      <c r="U1526" t="n">
        <v>0</v>
      </c>
    </row>
    <row r="1527">
      <c r="A1527">
        <f>Skills!A14</f>
        <v/>
      </c>
      <c r="B1527">
        <f>Skills!B14</f>
        <v/>
      </c>
      <c r="C1527">
        <f>Inputs!$B$3&gt;=72</f>
        <v/>
      </c>
      <c r="D1527">
        <f>IF(Skills!C14=1,60+Inputs!$B$25+Inputs!$B$29,IF(Skills!C14=2,90+Inputs!$B$26+Inputs!$B$29,IF(Skills!C14=3,120+Inputs!$B$27+Inputs!$B$29,MAX(0,(Inputs!$B$3-100)*3)+Inputs!$B$28+Inputs!$B$29)))</f>
        <v/>
      </c>
      <c r="E1527">
        <f>INDEX(FactorTable!$B$2:$Y$301, MATCH(ROUND(MIN(300,MAX(1,D1527)),0), FactorTable!$A$2:$A$301,0), Skills!L14+1)</f>
        <v/>
      </c>
      <c r="F1527">
        <f>IF(Skills!M14=TRUE,(Skills!K14/10)*(E1527/1000),Skills!K14/10)+Skills!N14</f>
        <v/>
      </c>
      <c r="G1527">
        <f>Calc!G14</f>
        <v/>
      </c>
      <c r="H1527">
        <f>Calc!H14</f>
        <v/>
      </c>
      <c r="I1527">
        <f>IF(Skills!T14&lt;&gt;"",1+(Skills!T14/10)*(Z1516/1000)/100,1)</f>
        <v/>
      </c>
      <c r="J1527" t="inlineStr"/>
      <c r="K1527" t="inlineStr"/>
      <c r="L1527" t="inlineStr"/>
      <c r="M1527" t="inlineStr"/>
      <c r="N1527" t="inlineStr"/>
      <c r="O1527">
        <f>(1-Summary!$B$11)*S1527+Summary!$B$11*U1527</f>
        <v/>
      </c>
      <c r="P1527">
        <f>IF(B1549=0,0,O1527/B1549)</f>
        <v/>
      </c>
      <c r="Q1527">
        <f>IFERROR(1/IF(Inputs!$B$38="pvp",15,MAX(0.1,Skills!D14-IF(Skills!E14=TRUE,Inputs!$B$32,0))),0)</f>
        <v/>
      </c>
      <c r="R1527" t="n">
        <v>0</v>
      </c>
      <c r="S1527" t="n">
        <v>0</v>
      </c>
      <c r="U1527" t="n">
        <v>0</v>
      </c>
    </row>
    <row r="1528">
      <c r="A1528">
        <f>Skills!A15</f>
        <v/>
      </c>
      <c r="B1528">
        <f>Skills!B15</f>
        <v/>
      </c>
      <c r="C1528">
        <f>Inputs!$B$3&gt;=75</f>
        <v/>
      </c>
      <c r="D1528">
        <f>IF(Skills!C15=1,60+Inputs!$B$25+Inputs!$B$29,IF(Skills!C15=2,90+Inputs!$B$26+Inputs!$B$29,IF(Skills!C15=3,120+Inputs!$B$27+Inputs!$B$29,MAX(0,(Inputs!$B$3-100)*3)+Inputs!$B$28+Inputs!$B$29)))</f>
        <v/>
      </c>
      <c r="E1528">
        <f>INDEX(FactorTable!$B$2:$Y$301, MATCH(ROUND(MIN(300,MAX(1,D1528)),0), FactorTable!$A$2:$A$301,0), Skills!L15+1)</f>
        <v/>
      </c>
      <c r="F1528">
        <f>IF(Skills!M15=TRUE,(Skills!K15/10)*(E1528/1000),Skills!K15/10)+Skills!N15</f>
        <v/>
      </c>
      <c r="G1528">
        <f>Calc!G15</f>
        <v/>
      </c>
      <c r="H1528">
        <f>Calc!H15</f>
        <v/>
      </c>
      <c r="I1528">
        <f>IF(Skills!T15&lt;&gt;"",1+(Skills!T15/10)*(Z1516/1000)/100,1)</f>
        <v/>
      </c>
      <c r="J1528" t="inlineStr"/>
      <c r="K1528" t="inlineStr"/>
      <c r="L1528" t="inlineStr"/>
      <c r="M1528" t="inlineStr"/>
      <c r="N1528" t="inlineStr"/>
      <c r="O1528">
        <f>(1-Summary!$B$11)*S1528+Summary!$B$11*U1528</f>
        <v/>
      </c>
      <c r="P1528">
        <f>IF(B1549=0,0,O1528/B1549)</f>
        <v/>
      </c>
      <c r="Q1528">
        <f>IFERROR(1/IF(Inputs!$B$38="pvp",15,MAX(0.1,Skills!D15-IF(Skills!E15=TRUE,Inputs!$B$32,0))),0)</f>
        <v/>
      </c>
      <c r="R1528" t="n">
        <v>0</v>
      </c>
      <c r="S1528" t="n">
        <v>0</v>
      </c>
      <c r="U1528" t="n">
        <v>0</v>
      </c>
    </row>
    <row r="1529">
      <c r="A1529">
        <f>Skills!A16</f>
        <v/>
      </c>
      <c r="B1529">
        <f>Skills!B16</f>
        <v/>
      </c>
      <c r="C1529">
        <f>Inputs!$B$3&gt;=110</f>
        <v/>
      </c>
      <c r="D1529">
        <f>IF(Skills!C16=1,60+Inputs!$B$25+Inputs!$B$29,IF(Skills!C16=2,90+Inputs!$B$26+Inputs!$B$29,IF(Skills!C16=3,120+Inputs!$B$27+Inputs!$B$29,MAX(0,(Inputs!$B$3-100)*3)+Inputs!$B$28+Inputs!$B$29)))</f>
        <v/>
      </c>
      <c r="E1529">
        <f>INDEX(FactorTable!$B$2:$Y$301, MATCH(ROUND(MIN(300,MAX(1,D1529)),0), FactorTable!$A$2:$A$301,0), Skills!L16+1)</f>
        <v/>
      </c>
      <c r="F1529">
        <f>(Skills!K16/10)*(E1529/1000)*64/45+Skills!N16</f>
        <v/>
      </c>
      <c r="G1529">
        <f>Calc!G16</f>
        <v/>
      </c>
      <c r="H1529">
        <f>Calc!H16</f>
        <v/>
      </c>
      <c r="I1529">
        <f>IF(Skills!T16&lt;&gt;"",1+(Skills!T16/10)*(Z1516/1000)/100,1)</f>
        <v/>
      </c>
      <c r="J1529" t="inlineStr"/>
      <c r="K1529" t="inlineStr"/>
      <c r="L1529" t="inlineStr"/>
      <c r="M1529" t="inlineStr"/>
      <c r="N1529" t="inlineStr"/>
      <c r="O1529">
        <f>(1-Summary!$B$11)*S1529+Summary!$B$11*U1529</f>
        <v/>
      </c>
      <c r="P1529">
        <f>IF(B1549=0,0,O1529/B1549)</f>
        <v/>
      </c>
      <c r="Q1529">
        <f>IFERROR(1/IF(Inputs!$B$38="pvp",15,MAX(0.1,Skills!D16-IF(Skills!E16=TRUE,Inputs!$B$32,0))),0)</f>
        <v/>
      </c>
      <c r="R1529">
        <f>IF(AND(Inputs!$B$38&lt;&gt;"pvp",Inputs!$B$43&gt;0),IF(Inputs!$B$43&lt;=0,0,(INT(Inputs!$B$43/IF(Inputs!$B$38="pvp",15,MAX(0.1,Skills!D16-IF(Skills!E16=TRUE,Inputs!$B$32,0))))+1)),0)</f>
        <v/>
      </c>
      <c r="S1529" t="n">
        <v>0</v>
      </c>
      <c r="U1529" t="n">
        <v>0</v>
      </c>
    </row>
    <row r="1530">
      <c r="A1530">
        <f>Skills!A17</f>
        <v/>
      </c>
      <c r="B1530">
        <f>Skills!B17</f>
        <v/>
      </c>
      <c r="C1530">
        <f>Inputs!$B$3&gt;=33</f>
        <v/>
      </c>
      <c r="D1530">
        <f>IF(Skills!C17=1,60+Inputs!$B$25+Inputs!$B$29,IF(Skills!C17=2,90+Inputs!$B$26+Inputs!$B$29,IF(Skills!C17=3,120+Inputs!$B$27+Inputs!$B$29,MAX(0,(Inputs!$B$3-100)*3)+Inputs!$B$28+Inputs!$B$29)))</f>
        <v/>
      </c>
      <c r="E1530">
        <f>INDEX(FactorTable!$B$2:$Y$301, MATCH(ROUND(MIN(300,MAX(1,D1530)),0), FactorTable!$A$2:$A$301,0), Skills!L17+1)</f>
        <v/>
      </c>
      <c r="F1530">
        <f>IF(Skills!M17=TRUE,(Skills!K17/10)*(E1530/1000),Skills!K17/10)+Skills!N17</f>
        <v/>
      </c>
      <c r="G1530">
        <f>Calc!G17</f>
        <v/>
      </c>
      <c r="H1530">
        <f>Calc!H17</f>
        <v/>
      </c>
      <c r="I1530">
        <f>IF(Skills!T17&lt;&gt;"",1+(Skills!T17/10)*(Z1516/1000)/100,1)</f>
        <v/>
      </c>
      <c r="J1530" t="inlineStr"/>
      <c r="K1530" t="inlineStr"/>
      <c r="L1530" t="inlineStr"/>
      <c r="M1530" t="inlineStr"/>
      <c r="N1530" t="inlineStr"/>
      <c r="O1530">
        <f>(1-Summary!$B$11)*S1530+Summary!$B$11*U1530</f>
        <v/>
      </c>
      <c r="P1530">
        <f>IF(B1549=0,0,O1530/B1549)</f>
        <v/>
      </c>
      <c r="Q1530">
        <f>IFERROR(1/IF(Inputs!$B$38="pvp",15,MAX(0.1,Skills!D17-IF(Skills!E17=TRUE,Inputs!$B$32,0))),0)</f>
        <v/>
      </c>
      <c r="R1530" t="n">
        <v>0</v>
      </c>
      <c r="S1530" t="n">
        <v>0</v>
      </c>
      <c r="U1530" t="n">
        <v>0</v>
      </c>
    </row>
    <row r="1531">
      <c r="A1531">
        <f>Skills!A18</f>
        <v/>
      </c>
      <c r="B1531">
        <f>Skills!B18</f>
        <v/>
      </c>
      <c r="C1531">
        <f>Inputs!$B$3&gt;=43</f>
        <v/>
      </c>
      <c r="D1531">
        <f>IF(Skills!C18=1,60+Inputs!$B$25+Inputs!$B$29,IF(Skills!C18=2,90+Inputs!$B$26+Inputs!$B$29,IF(Skills!C18=3,120+Inputs!$B$27+Inputs!$B$29,MAX(0,(Inputs!$B$3-100)*3)+Inputs!$B$28+Inputs!$B$29)))</f>
        <v/>
      </c>
      <c r="E1531">
        <f>INDEX(FactorTable!$B$2:$Y$301, MATCH(ROUND(MIN(300,MAX(1,D1531)),0), FactorTable!$A$2:$A$301,0), Skills!L18+1)</f>
        <v/>
      </c>
      <c r="F1531">
        <f>IF(Skills!M18=TRUE,(Skills!K18/10)*(E1531/1000),Skills!K18/10)+Skills!N18</f>
        <v/>
      </c>
      <c r="G1531">
        <f>Calc!G18</f>
        <v/>
      </c>
      <c r="H1531">
        <f>Calc!H18</f>
        <v/>
      </c>
      <c r="I1531">
        <f>IF(Skills!T18&lt;&gt;"",1+(Skills!T18/10)*(Z1516/1000)/100,1)</f>
        <v/>
      </c>
      <c r="J1531" t="inlineStr"/>
      <c r="K1531" t="inlineStr"/>
      <c r="L1531" t="inlineStr"/>
      <c r="M1531" t="inlineStr"/>
      <c r="N1531" t="inlineStr"/>
      <c r="O1531">
        <f>(1-Summary!$B$11)*S1531+Summary!$B$11*U1531</f>
        <v/>
      </c>
      <c r="P1531">
        <f>IF(B1549=0,0,O1531/B1549)</f>
        <v/>
      </c>
      <c r="Q1531">
        <f>IFERROR(1/IF(Inputs!$B$38="pvp",15,MAX(0.1,Skills!D18-IF(Skills!E18=TRUE,Inputs!$B$32,0))),0)</f>
        <v/>
      </c>
      <c r="R1531" t="n">
        <v>0</v>
      </c>
      <c r="S1531" t="n">
        <v>0</v>
      </c>
      <c r="U1531" t="n">
        <v>0</v>
      </c>
    </row>
    <row r="1532">
      <c r="A1532">
        <f>Skills!A19</f>
        <v/>
      </c>
      <c r="B1532">
        <f>Skills!B19</f>
        <v/>
      </c>
      <c r="C1532">
        <f>Inputs!$B$3&gt;=50</f>
        <v/>
      </c>
      <c r="D1532">
        <f>IF(Skills!C19=1,60+Inputs!$B$25+Inputs!$B$29,IF(Skills!C19=2,90+Inputs!$B$26+Inputs!$B$29,IF(Skills!C19=3,120+Inputs!$B$27+Inputs!$B$29,MAX(0,(Inputs!$B$3-100)*3)+Inputs!$B$28+Inputs!$B$29)))</f>
        <v/>
      </c>
      <c r="E1532">
        <f>INDEX(FactorTable!$B$2:$Y$301, MATCH(ROUND(MIN(300,MAX(1,D1532)),0), FactorTable!$A$2:$A$301,0), Skills!L19+1)</f>
        <v/>
      </c>
      <c r="F1532">
        <f>IF(Skills!M19=TRUE,(Skills!K19/10)*(E1532/1000),Skills!K19/10)+Skills!N19</f>
        <v/>
      </c>
      <c r="G1532">
        <f>Calc!G19</f>
        <v/>
      </c>
      <c r="H1532">
        <f>Calc!H19</f>
        <v/>
      </c>
      <c r="I1532">
        <f>IF(Skills!T19&lt;&gt;"",1+(Skills!T19/10)*(Z1516/1000)/100,1)</f>
        <v/>
      </c>
      <c r="J1532" t="inlineStr"/>
      <c r="K1532" t="inlineStr"/>
      <c r="L1532" t="inlineStr"/>
      <c r="M1532" t="inlineStr"/>
      <c r="N1532" t="inlineStr"/>
      <c r="O1532">
        <f>(1-Summary!$B$11)*S1532+Summary!$B$11*U1532</f>
        <v/>
      </c>
      <c r="P1532">
        <f>IF(B1549=0,0,O1532/B1549)</f>
        <v/>
      </c>
      <c r="Q1532">
        <f>IFERROR(1/IF(Inputs!$B$38="pvp",15,MAX(0.1,Skills!D19-IF(Skills!E19=TRUE,Inputs!$B$32,0))),0)</f>
        <v/>
      </c>
      <c r="R1532" t="n">
        <v>0</v>
      </c>
      <c r="S1532" t="n">
        <v>0</v>
      </c>
      <c r="U1532" t="n">
        <v>0</v>
      </c>
    </row>
    <row r="1533">
      <c r="A1533">
        <f>Skills!A20</f>
        <v/>
      </c>
      <c r="B1533">
        <f>Skills!B20</f>
        <v/>
      </c>
      <c r="C1533">
        <f>Inputs!$B$3&gt;=74</f>
        <v/>
      </c>
      <c r="D1533">
        <f>IF(Skills!C20=1,60+Inputs!$B$25+Inputs!$B$29,IF(Skills!C20=2,90+Inputs!$B$26+Inputs!$B$29,IF(Skills!C20=3,120+Inputs!$B$27+Inputs!$B$29,MAX(0,(Inputs!$B$3-100)*3)+Inputs!$B$28+Inputs!$B$29)))</f>
        <v/>
      </c>
      <c r="E1533">
        <f>INDEX(FactorTable!$B$2:$Y$301, MATCH(ROUND(MIN(300,MAX(1,D1533)),0), FactorTable!$A$2:$A$301,0), Skills!L20+1)</f>
        <v/>
      </c>
      <c r="F1533">
        <f>IF(Skills!M20=TRUE,(Skills!K20/10)*(E1533/1000),Skills!K20/10)+Skills!N20</f>
        <v/>
      </c>
      <c r="G1533">
        <f>Calc!G20</f>
        <v/>
      </c>
      <c r="H1533">
        <f>Calc!H20</f>
        <v/>
      </c>
      <c r="I1533">
        <f>IF(Skills!T20&lt;&gt;"",1+(Skills!T20/10)*(Z1516/1000)/100,1)</f>
        <v/>
      </c>
      <c r="J1533" t="inlineStr"/>
      <c r="K1533" t="inlineStr"/>
      <c r="L1533" t="inlineStr"/>
      <c r="M1533" t="inlineStr"/>
      <c r="N1533" t="inlineStr"/>
      <c r="O1533">
        <f>(1-Summary!$B$11)*S1533+Summary!$B$11*U1533</f>
        <v/>
      </c>
      <c r="P1533">
        <f>IF(B1549=0,0,O1533/B1549)</f>
        <v/>
      </c>
      <c r="Q1533">
        <f>IFERROR(1/IF(Inputs!$B$38="pvp",15,MAX(0.1,Skills!D20-IF(Skills!E20=TRUE,Inputs!$B$32,0))),0)</f>
        <v/>
      </c>
      <c r="R1533" t="n">
        <v>0</v>
      </c>
      <c r="S1533" t="n">
        <v>0</v>
      </c>
      <c r="U1533" t="n">
        <v>0</v>
      </c>
    </row>
    <row r="1534">
      <c r="A1534">
        <f>Skills!A21</f>
        <v/>
      </c>
      <c r="B1534">
        <f>Skills!B21</f>
        <v/>
      </c>
      <c r="C1534">
        <f>Inputs!$B$3&gt;=74</f>
        <v/>
      </c>
      <c r="D1534">
        <f>IF(Skills!C21=1,60+Inputs!$B$25+Inputs!$B$29,IF(Skills!C21=2,90+Inputs!$B$26+Inputs!$B$29,IF(Skills!C21=3,120+Inputs!$B$27+Inputs!$B$29,MAX(0,(Inputs!$B$3-100)*3)+Inputs!$B$28+Inputs!$B$29)))</f>
        <v/>
      </c>
      <c r="E1534">
        <f>INDEX(FactorTable!$B$2:$Y$301, MATCH(ROUND(MIN(300,MAX(1,D1534)),0), FactorTable!$A$2:$A$301,0), Skills!L21+1)</f>
        <v/>
      </c>
      <c r="F1534">
        <f>IF(Skills!M21=TRUE,(Skills!K21/10)*(E1534/1000),Skills!K21/10)+Skills!N21</f>
        <v/>
      </c>
      <c r="G1534">
        <f>Calc!G21</f>
        <v/>
      </c>
      <c r="H1534">
        <f>Calc!H21</f>
        <v/>
      </c>
      <c r="I1534">
        <f>IF(Skills!T21&lt;&gt;"",1+(Skills!T21/10)*(Z1516/1000)/100,1)</f>
        <v/>
      </c>
      <c r="J1534" t="inlineStr"/>
      <c r="K1534" t="inlineStr"/>
      <c r="L1534" t="inlineStr"/>
      <c r="M1534" t="inlineStr"/>
      <c r="N1534" t="inlineStr"/>
      <c r="O1534">
        <f>(1-Summary!$B$11)*S1534+Summary!$B$11*U1534</f>
        <v/>
      </c>
      <c r="P1534">
        <f>IF(B1549=0,0,O1534/B1549)</f>
        <v/>
      </c>
      <c r="Q1534">
        <f>IFERROR(1/IF(Inputs!$B$38="pvp",15,MAX(0.1,Skills!D21-IF(Skills!E21=TRUE,Inputs!$B$32,0))),0)</f>
        <v/>
      </c>
      <c r="R1534" t="n">
        <v>0</v>
      </c>
      <c r="S1534" t="n">
        <v>0</v>
      </c>
      <c r="U1534" t="n">
        <v>0</v>
      </c>
    </row>
    <row r="1535">
      <c r="A1535">
        <f>Skills!A22</f>
        <v/>
      </c>
      <c r="B1535">
        <f>Skills!B22</f>
        <v/>
      </c>
      <c r="C1535">
        <f>Inputs!$B$3&gt;=117</f>
        <v/>
      </c>
      <c r="D1535">
        <f>IF(Skills!C22=1,60+Inputs!$B$25+Inputs!$B$29,IF(Skills!C22=2,90+Inputs!$B$26+Inputs!$B$29,IF(Skills!C22=3,120+Inputs!$B$27+Inputs!$B$29,MAX(0,(Inputs!$B$3-100)*3)+Inputs!$B$28+Inputs!$B$29)))</f>
        <v/>
      </c>
      <c r="E1535">
        <f>INDEX(FactorTable!$B$2:$Y$301, MATCH(ROUND(MIN(300,MAX(1,D1535)),0), FactorTable!$A$2:$A$301,0), Skills!L22+1)</f>
        <v/>
      </c>
      <c r="F1535">
        <f>IF(Skills!M22=TRUE,(Skills!K22/10)*(E1535/1000),Skills!K22/10)+Skills!N22</f>
        <v/>
      </c>
      <c r="G1535">
        <f>Calc!G22</f>
        <v/>
      </c>
      <c r="H1535">
        <f>Calc!H22</f>
        <v/>
      </c>
      <c r="I1535">
        <f>IF(Skills!T22&lt;&gt;"",1+(Skills!T22/10)*(Z1516/1000)/100,1)</f>
        <v/>
      </c>
      <c r="J1535" t="inlineStr"/>
      <c r="K1535" t="inlineStr"/>
      <c r="L1535" t="inlineStr"/>
      <c r="M1535" t="inlineStr"/>
      <c r="N1535" t="inlineStr"/>
      <c r="O1535">
        <f>(1-Summary!$B$11)*S1535+Summary!$B$11*U1535</f>
        <v/>
      </c>
      <c r="P1535">
        <f>IF(B1549=0,0,O1535/B1549)</f>
        <v/>
      </c>
      <c r="Q1535">
        <f>IFERROR(1/IF(Inputs!$B$38="pvp",15,MAX(0.1,Skills!D22-IF(Skills!E22=TRUE,Inputs!$B$32,0))),0)</f>
        <v/>
      </c>
      <c r="R1535" t="n">
        <v>0</v>
      </c>
      <c r="S1535" t="n">
        <v>0</v>
      </c>
      <c r="U1535" t="n">
        <v>0</v>
      </c>
    </row>
    <row r="1536">
      <c r="A1536">
        <f>Skills!A23</f>
        <v/>
      </c>
      <c r="B1536">
        <f>Skills!B23</f>
        <v/>
      </c>
      <c r="C1536">
        <f>Inputs!$B$3&gt;=120</f>
        <v/>
      </c>
      <c r="D1536">
        <f>IF(Skills!C23=1,60+Inputs!$B$25+Inputs!$B$29,IF(Skills!C23=2,90+Inputs!$B$26+Inputs!$B$29,IF(Skills!C23=3,120+Inputs!$B$27+Inputs!$B$29,MAX(0,(Inputs!$B$3-100)*3)+Inputs!$B$28+Inputs!$B$29)))</f>
        <v/>
      </c>
      <c r="E1536">
        <f>INDEX(FactorTable!$B$2:$Y$301, MATCH(ROUND(MIN(300,MAX(1,D1536)),0), FactorTable!$A$2:$A$301,0), Skills!L23+1)</f>
        <v/>
      </c>
      <c r="F1536">
        <f>IF(Skills!M23=TRUE,(Skills!K23/10)*(E1536/1000),Skills!K23/10)+Skills!N23</f>
        <v/>
      </c>
      <c r="G1536">
        <f>Calc!G23</f>
        <v/>
      </c>
      <c r="H1536">
        <f>Calc!H23</f>
        <v/>
      </c>
      <c r="I1536">
        <f>IF(Skills!T23&lt;&gt;"",1+(Skills!T23/10)*(Z1516/1000)/100,1)</f>
        <v/>
      </c>
      <c r="J1536" t="inlineStr"/>
      <c r="K1536" t="inlineStr"/>
      <c r="L1536" t="inlineStr"/>
      <c r="M1536" t="inlineStr"/>
      <c r="N1536" t="inlineStr"/>
      <c r="O1536">
        <f>(1-Summary!$B$11)*S1536+Summary!$B$11*U1536</f>
        <v/>
      </c>
      <c r="P1536">
        <f>IF(B1549=0,0,O1536/B1549)</f>
        <v/>
      </c>
      <c r="Q1536">
        <f>IFERROR(1/IF(Inputs!$B$38="pvp",15,MAX(0.1,Skills!D23-IF(Skills!E23=TRUE,Inputs!$B$32,0))),0)</f>
        <v/>
      </c>
      <c r="R1536" t="n">
        <v>0</v>
      </c>
      <c r="S1536" t="n">
        <v>0</v>
      </c>
      <c r="U1536" t="n">
        <v>0</v>
      </c>
    </row>
    <row r="1539">
      <c r="A1539" t="inlineStr">
        <is>
          <t>Average Buff Multiplier (Magic Guard + Meditation + Artifact Attack%, summed; then Infinity)</t>
        </is>
      </c>
      <c r="B1539">
        <f>(1+(IF(C1516=TRUE,F1516*IF(AND(Inputs!$B$38&lt;&gt;"pvp",Inputs!$B$43&gt;0),(((R1516-1)*(Skills!S3*(1+(Inputs!$B$34+IF(Inputs!$B$3&gt;=117,F1535,0))/100))+MIN((Skills!S3*(1+(Inputs!$B$34+IF(Inputs!$B$3&gt;=117,F1535,0))/100)),MAX(0,Inputs!$B$43-((R1516-1)*Skills!D3))))/Inputs!$B$43),IF(Inputs!$B$38="pvp",MIN((Skills!S3*(1+(Inputs!$B$34+IF(Inputs!$B$3&gt;=117,F1535,0))/100)),15)/15,(Skills!S3*(1+(Inputs!$B$34+IF(Inputs!$B$3&gt;=117,F1535,0))/100))/Skills!D3)),0)+IF(C1517=TRUE,F1517*IF(AND(Inputs!$B$38&lt;&gt;"pvp",Inputs!$B$43&gt;0),(((R1517-1)*(Skills!S4*(1+(Inputs!$B$34+IF(Inputs!$B$3&gt;=117,F1535,0))/100))+MIN((Skills!S4*(1+(Inputs!$B$34+IF(Inputs!$B$3&gt;=117,F1535,0))/100)),MAX(0,Inputs!$B$43-((R1517-1)*Skills!D4))))/Inputs!$B$43),IF(Inputs!$B$38="pvp",MIN((Skills!S4*(1+(Inputs!$B$34+IF(Inputs!$B$3&gt;=117,F1535,0))/100)),15)/15,(Skills!S4*(1+(Inputs!$B$34+IF(Inputs!$B$3&gt;=117,F1535,0)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1529=TRUE,(1+F1529*IF(AND(Inputs!$B$38&lt;&gt;"pvp",Inputs!$B$43&gt;0),(((R1529-1)*(Skills!S16*(1+(Inputs!$B$34+IF(Inputs!$B$3&gt;=117,F1535,0))/100))+MIN((Skills!S16*(1+(Inputs!$B$34+IF(Inputs!$B$3&gt;=117,F1535,0))/100)),MAX(0,Inputs!$B$43-((R1529-1)*Skills!D16))))/Inputs!$B$43),IF(Inputs!$B$38="pvp",MIN((Skills!S16*(1+(Inputs!$B$34+IF(Inputs!$B$3&gt;=117,F1535,0))/100)),15)/15,(Skills!S16*(1+(Inputs!$B$34+IF(Inputs!$B$3&gt;=117,F1535,0))/100))/Skills!D16))/100),1)</f>
        <v/>
      </c>
    </row>
    <row r="1540">
      <c r="A1540" t="inlineStr">
        <is>
          <t>Monster Damage Taken Bonus % (Freezing Breath - Weaken + Elemental Reset + Artifact Enemy Damage Taken, summed)</t>
        </is>
      </c>
      <c r="B1540">
        <f>IF(Inputs!$B$3&gt;=118,15*IF(Inputs!$B$38="pvp",MIN((30*(1+(Inputs!$B$34+IF(Inputs!$B$3&gt;=117,F1535,0))/100)),15)/15,(30*(1+(Inputs!$B$34+IF(Inputs!$B$3&gt;=117,F1535,0))/100))/Skills!D8),0)+IF(C1527=TRUE,F1527,0)+(IF(AND(ArtifactsInput!$M$35,Inputs!$B$4&lt;&gt;"Chapter Hunt"),CHOOSE(ArtifactsInput!$N$35+1,15,18,21,24,27,30)*(1-EXP(-(0.2*B1543)*5)),0)+IF(AND(ArtifactsInput!$M$22,Inputs!$B$4&lt;&gt;"Chapter Hunt"),CHOOSE(ArtifactsInput!$N$22+1,10,12,14,16,18,20)*((0*(((0.15*B1543*5))^0/1)+1*(((0.15*B1543*5))^1/1)+2*(((0.15*B1543*5))^2/2)+3*(((0.15*B1543*5))^3/6)+4*(((0.15*B1543*5))^4/24)+5*(((0.15*B1543*5))^5/120))/((((0.15*B1543*5))^0/1)+(((0.15*B1543*5))^1/1)+(((0.15*B1543*5))^2/2)+(((0.15*B1543*5))^3/6)+(((0.15*B1543*5))^4/24)+(((0.15*B1543*5))^5/120))),0))</f>
        <v/>
      </c>
    </row>
    <row r="1541">
      <c r="A1541" t="inlineStr">
        <is>
          <t>Damage % Bonus (Frozen Break + Frost Clutch, flat)</t>
        </is>
      </c>
      <c r="B1541">
        <f>IF(Inputs!$B$3&gt;=66,15,0)+IF(Inputs!$B$3&gt;=98,10,0)+IF(Inputs!$B$3&gt;=125,20,0)</f>
        <v/>
      </c>
    </row>
    <row r="1542">
      <c r="A1542" t="inlineStr">
        <is>
          <t>Attack Speed Bonus % (MP Eater - MP Boost, always-on once unlocked)</t>
        </is>
      </c>
      <c r="B1542">
        <f>IF(C1526=TRUE,F1526+(F1530-Calc!F17),0)</f>
        <v/>
      </c>
    </row>
    <row r="1543">
      <c r="A1543" t="inlineStr">
        <is>
          <t>Actions Per Second</t>
        </is>
      </c>
      <c r="B1543">
        <f>1+MIN(150,150*(1-(1-(Inputs!$B$11+(ArtifactsInput!$M$15-ArtifactsInput!$M$15)*CHOOSE(ArtifactsInput!$N$15+1,8,9.6,11.2,12.8,14.4,16))/150)*(1-B1542/150)))/100</f>
        <v/>
      </c>
    </row>
    <row r="1544">
      <c r="A1544" t="inlineStr">
        <is>
          <t>Skill + Buff Cast Rate</t>
        </is>
      </c>
      <c r="B1544">
        <f>IF(AND(Inputs!$B$38&lt;&gt;"pvp",Inputs!$B$43&gt;0),SUMPRODUCT((Skills!E2:E23=TRUE)*(C1515:C1536=TRUE)*R1515:R1536)/Inputs!$B$43,SUMPRODUCT((Skills!E2:E23=TRUE)*(C1515:C1536=TRUE)*Q1515:Q1536))</f>
        <v/>
      </c>
    </row>
    <row r="1545">
      <c r="A1545" t="inlineStr">
        <is>
          <t>Chain Lightning Casts Per Second</t>
        </is>
      </c>
      <c r="B1545">
        <f>MAX(0,B1543-B1544)</f>
        <v/>
      </c>
    </row>
    <row r="1546">
      <c r="A1546" t="inlineStr">
        <is>
          <t>Buff-Casting Startup Delay (s, fixed-duration only)</t>
        </is>
      </c>
      <c r="B1546">
        <f>IF(AND(Inputs!$B$38&lt;&gt;"pvp",Inputs!$B$43&gt;0),SUMPRODUCT((Skills!S2:S23&gt;0)*(Skills!E2:E23=TRUE)*(C1515:C1536=TRUE))/B1543,0)</f>
        <v/>
      </c>
    </row>
    <row r="1547">
      <c r="A1547" t="inlineStr">
        <is>
          <t>Boss-Only Total DPS (this block's swept value)</t>
        </is>
      </c>
      <c r="B1547">
        <f>SUM(S1515:S1536)</f>
        <v/>
      </c>
    </row>
    <row r="1548">
      <c r="A1548" t="inlineStr">
        <is>
          <t>Normal-Only Total DPS (this block's swept value)</t>
        </is>
      </c>
      <c r="B1548">
        <f>SUM(U1515:U1536)</f>
        <v/>
      </c>
    </row>
    <row r="1549">
      <c r="A1549" s="6" t="inlineStr">
        <is>
          <t>TOTAL DPS</t>
        </is>
      </c>
      <c r="B1549" s="6">
        <f>SUM(O1515:O1536)</f>
        <v/>
      </c>
    </row>
    <row r="1552">
      <c r="A1552" s="6" t="inlineStr">
        <is>
          <t>Stat: Chalice (Equip)</t>
        </is>
      </c>
    </row>
    <row r="1553">
      <c r="A1553" s="5" t="inlineStr">
        <is>
          <t>Key</t>
        </is>
      </c>
      <c r="B1553" s="5" t="inlineStr">
        <is>
          <t>Name</t>
        </is>
      </c>
      <c r="C1553" s="5" t="inlineStr">
        <is>
          <t>Unlocked</t>
        </is>
      </c>
      <c r="D1553" s="5" t="inlineStr">
        <is>
          <t>InputLevel</t>
        </is>
      </c>
      <c r="E1553" s="5" t="inlineStr">
        <is>
          <t>Factor</t>
        </is>
      </c>
      <c r="F1553" s="5" t="inlineStr">
        <is>
          <t>CoefficientPercent</t>
        </is>
      </c>
      <c r="G1553" s="5" t="inlineStr">
        <is>
          <t>EffectiveHits</t>
        </is>
      </c>
      <c r="H1553" s="5" t="inlineStr">
        <is>
          <t>ProcProbability</t>
        </is>
      </c>
      <c r="I1553" s="5" t="inlineStr">
        <is>
          <t>MapleHeroMultiplier</t>
        </is>
      </c>
      <c r="J1553" s="5" t="inlineStr">
        <is>
          <t>BaseDamage</t>
        </is>
      </c>
      <c r="K1553" s="5" t="inlineStr">
        <is>
          <t>BaseHitDamage</t>
        </is>
      </c>
      <c r="L1553" s="5" t="inlineStr">
        <is>
          <t>NonCritAvg</t>
        </is>
      </c>
      <c r="M1553" s="5" t="inlineStr">
        <is>
          <t>CritAvg</t>
        </is>
      </c>
      <c r="N1553" s="5" t="inlineStr">
        <is>
          <t>ExpectedDamage(perHit)</t>
        </is>
      </c>
      <c r="O1553" s="5" t="inlineStr">
        <is>
          <t>DPS</t>
        </is>
      </c>
      <c r="P1553" s="5" t="inlineStr">
        <is>
          <t>% of Total</t>
        </is>
      </c>
      <c r="R1553" t="inlineStr">
        <is>
          <t>helpers</t>
        </is>
      </c>
    </row>
    <row r="1554">
      <c r="A1554">
        <f>Skills!A2</f>
        <v/>
      </c>
      <c r="B1554">
        <f>Skills!B2</f>
        <v/>
      </c>
      <c r="C1554">
        <f>Inputs!$B$3&gt;=100</f>
        <v/>
      </c>
      <c r="D1554" t="inlineStr"/>
      <c r="E1554" t="inlineStr"/>
      <c r="F1554">
        <f>T1556+Skills!N2</f>
        <v/>
      </c>
      <c r="G1554">
        <f>Calc!G2</f>
        <v/>
      </c>
      <c r="H1554">
        <f>Calc!H2</f>
        <v/>
      </c>
      <c r="I1554">
        <f>IF(Skills!T2&lt;&gt;"",1+(Skills!T2/10)*(Z1555/1000)/100,1)</f>
        <v/>
      </c>
      <c r="J1554">
        <f>((Inputs!$B$6*(1+Inputs!$B$7/100))+(((Inputs!$B$12*(1+Inputs!$B$13/100))-(Inputs!$B$12*(1+Inputs!$B$13/100)))+0.25*(Inputs!$B$14-Inputs!$B$14))*(1+Inputs!$B$7/100))*(F1554/100)</f>
        <v/>
      </c>
      <c r="K1554">
        <f>J1554*(1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F1570-Calc!F18),(Inputs!$B$23+(IF(ArtifactsInput!$M$15,CHOOSE(ArtifactsInput!$N$15+1,25,30,35,40,45,50)/100*(Inputs!$B$11-Inputs!$B$11),0))))/100+(Inputs!$B$23+(IF(ArtifactsInput!$M$15,CHOOSE(ArtifactsInput!$N$15+1,25,30,35,40,45,50)/100*(Inputs!$B$11-Inputs!$B$11),0)))/100)/2</f>
        <v/>
      </c>
      <c r="M1554">
        <f>L1554*(1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(1-Summary!$B$11)*S1554+Summary!$B$11*U1554</f>
        <v/>
      </c>
      <c r="P1554">
        <f>IF(B1588=0,0,O1554/B1588)</f>
        <v/>
      </c>
      <c r="Q1554">
        <f>IFERROR(1/IF(Inputs!$B$38="pvp",15,MAX(0.1,Skills!D2-IF(Skills!E2=TRUE,Inputs!$B$32,0))),0)</f>
        <v/>
      </c>
      <c r="R1554" t="n">
        <v>0</v>
      </c>
      <c r="S1554">
        <f>IF(C1554,(Skills!F2*N1554*B1584)*IF(Inputs!$B$38="pvp",1,1+(Inputs!$B$20+Skills!O2+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54">
        <f>MAX(0,(Inputs!$B$3-100)*3)+Inputs!$B$28+Inputs!$B$29</f>
        <v/>
      </c>
      <c r="U1554">
        <f>IF(C1554,(Skills!F2*N1554*B1584)*IF(Inputs!$B$38="pvp",1,(1+(Inputs!$B$21+Skills!P2+B1579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54">
        <f>MAX(0,(Inputs!$B$3-100)*3)+Inputs!$B$28+Inputs!$B$29</f>
        <v/>
      </c>
    </row>
    <row r="1555">
      <c r="A1555">
        <f>Skills!A3</f>
        <v/>
      </c>
      <c r="B1555">
        <f>Skills!B3</f>
        <v/>
      </c>
      <c r="C1555">
        <f>Inputs!$B$3&gt;=15</f>
        <v/>
      </c>
      <c r="D1555">
        <f>IF(Skills!C3=1,60+Inputs!$B$25+Inputs!$B$29,IF(Skills!C3=2,90+Inputs!$B$26+Inputs!$B$29,IF(Skills!C3=3,120+Inputs!$B$27+Inputs!$B$29,MAX(0,(Inputs!$B$3-100)*3)+Inputs!$B$28+Inputs!$B$29)))</f>
        <v/>
      </c>
      <c r="E1555">
        <f>INDEX(FactorTable!$B$2:$Y$301, MATCH(ROUND(MIN(300,MAX(1,D1555)),0), FactorTable!$A$2:$A$301,0), Skills!L3+1)</f>
        <v/>
      </c>
      <c r="F1555">
        <f>IF(Skills!M3=TRUE,(Skills!K3/10)*(E1555/1000),Skills!K3/10)+Skills!N3</f>
        <v/>
      </c>
      <c r="G1555">
        <f>Calc!G3</f>
        <v/>
      </c>
      <c r="H1555">
        <f>Calc!H3</f>
        <v/>
      </c>
      <c r="I1555">
        <f>IF(Skills!T3&lt;&gt;"",1+(Skills!T3/10)*(Z1555/1000)/100,1)</f>
        <v/>
      </c>
      <c r="J1555" t="inlineStr"/>
      <c r="K1555" t="inlineStr"/>
      <c r="L1555" t="inlineStr"/>
      <c r="M1555" t="inlineStr"/>
      <c r="N1555" t="inlineStr"/>
      <c r="O1555">
        <f>(1-Summary!$B$11)*S1555+Summary!$B$11*U1555</f>
        <v/>
      </c>
      <c r="P1555">
        <f>IF(B1588=0,0,O1555/B1588)</f>
        <v/>
      </c>
      <c r="Q1555">
        <f>IFERROR(1/IF(Inputs!$B$38="pvp",15,MAX(0.1,Skills!D3-IF(Skills!E3=TRUE,Inputs!$B$32,0))),0)</f>
        <v/>
      </c>
      <c r="R1555">
        <f>IF(AND(Inputs!$B$38&lt;&gt;"pvp",Inputs!$B$43&gt;0),IF(Inputs!$B$43&lt;=0,0,(INT(Inputs!$B$43/IF(Inputs!$B$38="pvp",15,MAX(0.1,Skills!D3-IF(Skills!E3=TRUE,Inputs!$B$32,0))))+1)),0)</f>
        <v/>
      </c>
      <c r="S1555" t="n">
        <v>0</v>
      </c>
      <c r="T1555">
        <f>INDEX(FactorTable!$B$2:$Y$301, MATCH(ROUND(MIN(300,MAX(1,T1554)),0), FactorTable!$A$2:$A$301,0), 22)</f>
        <v/>
      </c>
      <c r="U1555" t="n">
        <v>0</v>
      </c>
      <c r="Z1555">
        <f>INDEX(FactorTable!$B$2:$Y$301, MATCH(ROUND(MIN(300,MAX(1,Z1554)),0), FactorTable!$A$2:$A$301,0), 24)</f>
        <v/>
      </c>
    </row>
    <row r="1556">
      <c r="A1556">
        <f>Skills!A4</f>
        <v/>
      </c>
      <c r="B1556">
        <f>Skills!B4</f>
        <v/>
      </c>
      <c r="C1556">
        <f>Inputs!$B$3&gt;=40</f>
        <v/>
      </c>
      <c r="D1556">
        <f>IF(Skills!C4=1,60+Inputs!$B$25+Inputs!$B$29,IF(Skills!C4=2,90+Inputs!$B$26+Inputs!$B$29,IF(Skills!C4=3,120+Inputs!$B$27+Inputs!$B$29,MAX(0,(Inputs!$B$3-100)*3)+Inputs!$B$28+Inputs!$B$29)))</f>
        <v/>
      </c>
      <c r="E1556">
        <f>INDEX(FactorTable!$B$2:$Y$301, MATCH(ROUND(MIN(300,MAX(1,D1556)),0), FactorTable!$A$2:$A$301,0), Skills!L4+1)</f>
        <v/>
      </c>
      <c r="F1556">
        <f>IF(Skills!M4=TRUE,(Skills!K4/10)*(E1556/1000),Skills!K4/10)+Skills!N4</f>
        <v/>
      </c>
      <c r="G1556">
        <f>Calc!G4</f>
        <v/>
      </c>
      <c r="H1556">
        <f>Calc!H4</f>
        <v/>
      </c>
      <c r="I1556">
        <f>IF(Skills!T4&lt;&gt;"",1+(Skills!T4/10)*(Z1555/1000)/100,1)</f>
        <v/>
      </c>
      <c r="J1556" t="inlineStr"/>
      <c r="K1556" t="inlineStr"/>
      <c r="L1556" t="inlineStr"/>
      <c r="M1556" t="inlineStr"/>
      <c r="N1556" t="inlineStr"/>
      <c r="O1556">
        <f>(1-Summary!$B$11)*S1556+Summary!$B$11*U1556</f>
        <v/>
      </c>
      <c r="P1556">
        <f>IF(B1588=0,0,O1556/B1588)</f>
        <v/>
      </c>
      <c r="Q1556">
        <f>IFERROR(1/IF(Inputs!$B$38="pvp",15,MAX(0.1,Skills!D4-IF(Skills!E4=TRUE,Inputs!$B$32,0))),0)</f>
        <v/>
      </c>
      <c r="R1556">
        <f>IF(AND(Inputs!$B$38&lt;&gt;"pvp",Inputs!$B$43&gt;0),IF(Inputs!$B$43&lt;=0,0,(INT(Inputs!$B$43/IF(Inputs!$B$38="pvp",15,MAX(0.1,Skills!D4-IF(Skills!E4=TRUE,Inputs!$B$32,0))))+1)),0)</f>
        <v/>
      </c>
      <c r="S1556" t="n">
        <v>0</v>
      </c>
      <c r="T1556">
        <f>290*T1555/1000</f>
        <v/>
      </c>
      <c r="U1556" t="n">
        <v>0</v>
      </c>
    </row>
    <row r="1557">
      <c r="A1557">
        <f>Skills!A5</f>
        <v/>
      </c>
      <c r="B1557">
        <f>Skills!B5</f>
        <v/>
      </c>
      <c r="C1557">
        <f>Inputs!$B$3&gt;=38</f>
        <v/>
      </c>
      <c r="D1557">
        <f>IF(Skills!C5=1,60+Inputs!$B$25+Inputs!$B$29,IF(Skills!C5=2,90+Inputs!$B$26+Inputs!$B$29,IF(Skills!C5=3,120+Inputs!$B$27+Inputs!$B$29,MAX(0,(Inputs!$B$3-100)*3)+Inputs!$B$28+Inputs!$B$29)))</f>
        <v/>
      </c>
      <c r="E1557">
        <f>INDEX(FactorTable!$B$2:$Y$301, MATCH(ROUND(MIN(300,MAX(1,D1557)),0), FactorTable!$A$2:$A$301,0), Skills!L5+1)</f>
        <v/>
      </c>
      <c r="F1557">
        <f>IF(Skills!M5=TRUE,(Skills!K5/10)*(E1557/1000),Skills!K5/10)+Skills!N5</f>
        <v/>
      </c>
      <c r="G1557">
        <f>Calc!G5</f>
        <v/>
      </c>
      <c r="H1557">
        <f>Calc!H5</f>
        <v/>
      </c>
      <c r="I1557">
        <f>IF(Skills!T5&lt;&gt;"",1+(Skills!T5/10)*(Z1555/1000)/100,1)</f>
        <v/>
      </c>
      <c r="J1557">
        <f>((Inputs!$B$6*(1+Inputs!$B$7/100))+(((Inputs!$B$12*(1+Inputs!$B$13/100))-(Inputs!$B$12*(1+Inputs!$B$13/100)))+0.25*(Inputs!$B$14-Inputs!$B$14))*(1+Inputs!$B$7/100))*(F1557/100)</f>
        <v/>
      </c>
      <c r="K1557">
        <f>J1557*(1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1570-Calc!F18),(Inputs!$B$23+(IF(ArtifactsInput!$M$15,CHOOSE(ArtifactsInput!$N$15+1,25,30,35,40,45,50)/100*(Inputs!$B$11-Inputs!$B$11),0))))/100+(Inputs!$B$23+(IF(ArtifactsInput!$M$15,CHOOSE(ArtifactsInput!$N$15+1,25,30,35,40,45,50)/100*(Inputs!$B$11-Inputs!$B$11),0)))/100)/2</f>
        <v/>
      </c>
      <c r="M1557">
        <f>L1557*(1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IF(B1588=0,0,O1557/B1588)</f>
        <v/>
      </c>
      <c r="Q1557">
        <f>IFERROR(1/IF(Inputs!$B$38="pvp",15,MAX(0.1,Skills!D5-IF(Skills!E5=TRUE,Inputs!$B$32,0))),0)</f>
        <v/>
      </c>
      <c r="R1557">
        <f>IF(AND(Inputs!$B$38&lt;&gt;"pvp",Inputs!$B$43&gt;0),IF(MAX(0,Inputs!$B$43-B1585)&lt;=0,0,(INT(MAX(0,Inputs!$B$43-B1585)/IF(Inputs!$B$38="pvp",15,MAX(0.1,Skills!D5-IF(Skills!E5=TRUE,Inputs!$B$32,0))))+1)),0)</f>
        <v/>
      </c>
      <c r="S1557">
        <f>IF(C1557,(H1557*N1557*IF(AND(Inputs!$B$38&lt;&gt;"pvp",Inputs!$B$43&gt;0),((Skills!F5*((R1557-1)*IF(Skills!G5&gt;0,Skills!H5/Skills!G5,1)+IF(Skills!G5&gt;0,MIN(Skills!H5,MAX(0,MAX(0,Inputs!$B$43-B1585)-((R1557-1)*IF(Inputs!$B$38="pvp",15,MAX(0.1,Skills!D5-IF(Skills!E5=TRUE,Inputs!$B$32,0))))))/Skills!G5,1)))/Inputs!$B$43),G1557*Q1557))*IF(Inputs!$B$38="pvp",1,1+(Inputs!$B$20+Skills!O5+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5*((R1557-1)*IF(Skills!G5&gt;0,Skills!H5/Skills!G5,1)+IF(Skills!G5&gt;0,MIN(Skills!H5,MAX(0,MAX(0,Inputs!$B$43-B1585)-((R1557-1)*IF(Inputs!$B$38="pvp",15,MAX(0.1,Skills!D5-IF(Skills!E5=TRUE,Inputs!$B$32,0))))))/Skills!G5,1)))/Inputs!$B$43),G1557*Q1557))*IF(Inputs!$B$38="pvp",1,(1+(Inputs!$B$21+Skills!P5+B1579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Skills!A6</f>
        <v/>
      </c>
      <c r="B1558">
        <f>Skills!B6</f>
        <v/>
      </c>
      <c r="C1558">
        <f>Inputs!$B$3&gt;=63</f>
        <v/>
      </c>
      <c r="D1558">
        <f>IF(Skills!C6=1,60+Inputs!$B$25+Inputs!$B$29,IF(Skills!C6=2,90+Inputs!$B$26+Inputs!$B$29,IF(Skills!C6=3,120+Inputs!$B$27+Inputs!$B$29,MAX(0,(Inputs!$B$3-100)*3)+Inputs!$B$28+Inputs!$B$29)))</f>
        <v/>
      </c>
      <c r="E1558">
        <f>INDEX(FactorTable!$B$2:$Y$301, MATCH(ROUND(MIN(300,MAX(1,D1558)),0), FactorTable!$A$2:$A$301,0), Skills!L6+1)</f>
        <v/>
      </c>
      <c r="F1558">
        <f>IF(Skills!M6=TRUE,(Skills!K6/10)*(E1558/1000),Skills!K6/10)+Skills!N6</f>
        <v/>
      </c>
      <c r="G1558">
        <f>Calc!G6</f>
        <v/>
      </c>
      <c r="H1558">
        <f>Calc!H6</f>
        <v/>
      </c>
      <c r="I1558">
        <f>IF(Skills!T6&lt;&gt;"",1+(Skills!T6/10)*(Z1555/1000)/100,1)</f>
        <v/>
      </c>
      <c r="J1558">
        <f>((Inputs!$B$6*(1+Inputs!$B$7/100))+(((Inputs!$B$12*(1+Inputs!$B$13/100))-(Inputs!$B$12*(1+Inputs!$B$13/100)))+0.25*(Inputs!$B$14-Inputs!$B$14))*(1+Inputs!$B$7/100))*(F1558/100)</f>
        <v/>
      </c>
      <c r="K1558">
        <f>J1558*(1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1570-Calc!F18),(Inputs!$B$23+(IF(ArtifactsInput!$M$15,CHOOSE(ArtifactsInput!$N$15+1,25,30,35,40,45,50)/100*(Inputs!$B$11-Inputs!$B$11),0))))/100+(Inputs!$B$23+(IF(ArtifactsInput!$M$15,CHOOSE(ArtifactsInput!$N$15+1,25,30,35,40,45,50)/100*(Inputs!$B$11-Inputs!$B$11),0)))/100)/2</f>
        <v/>
      </c>
      <c r="M1558">
        <f>L1558*(1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IF(B1588=0,0,O1558/B1588)</f>
        <v/>
      </c>
      <c r="Q1558">
        <f>IFERROR(1/IF(Inputs!$B$38="pvp",15,MAX(0.1,Skills!D6-IF(Skills!E6=TRUE,Inputs!$B$32,0))),0)</f>
        <v/>
      </c>
      <c r="R1558">
        <f>IF(AND(Inputs!$B$38&lt;&gt;"pvp",Inputs!$B$43&gt;0),IF(MAX(0,Inputs!$B$43-B1585)&lt;=0,0,(INT(MAX(0,Inputs!$B$43-B1585)/IF(Inputs!$B$38="pvp",15,MAX(0.1,Skills!D6-IF(Skills!E6=TRUE,Inputs!$B$32,0))))+1)),0)</f>
        <v/>
      </c>
      <c r="S1558">
        <f>IF(C1558,(H1558*N1558*IF(AND(Inputs!$B$38&lt;&gt;"pvp",Inputs!$B$43&gt;0),((Skills!F6*((R1558-1)*IF(Skills!G6&gt;0,Skills!H6/Skills!G6,1)+IF(Skills!G6&gt;0,MIN(Skills!H6,MAX(0,MAX(0,Inputs!$B$43-B1585)-((R1558-1)*IF(Inputs!$B$38="pvp",15,MAX(0.1,Skills!D6-IF(Skills!E6=TRUE,Inputs!$B$32,0))))))/Skills!G6,1)))/Inputs!$B$43),G1558*Q1558))*IF(Inputs!$B$38="pvp",1,1+(Inputs!$B$20+Skills!O6+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6*((R1558-1)*IF(Skills!G6&gt;0,Skills!H6/Skills!G6,1)+IF(Skills!G6&gt;0,MIN(Skills!H6,MAX(0,MAX(0,Inputs!$B$43-B1585)-((R1558-1)*IF(Inputs!$B$38="pvp",15,MAX(0.1,Skills!D6-IF(Skills!E6=TRUE,Inputs!$B$32,0))))))/Skills!G6,1)))/Inputs!$B$43),G1558*Q1558))*IF(Inputs!$B$38="pvp",1,(1+(Inputs!$B$21+Skills!P6+B1579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Skills!A7</f>
        <v/>
      </c>
      <c r="B1559">
        <f>Skills!B7</f>
        <v/>
      </c>
      <c r="C1559">
        <f>Inputs!$B$3&gt;=69</f>
        <v/>
      </c>
      <c r="D1559">
        <f>IF(Skills!C7=1,60+Inputs!$B$25+Inputs!$B$29,IF(Skills!C7=2,90+Inputs!$B$26+Inputs!$B$29,IF(Skills!C7=3,120+Inputs!$B$27+Inputs!$B$29,MAX(0,(Inputs!$B$3-100)*3)+Inputs!$B$28+Inputs!$B$29)))</f>
        <v/>
      </c>
      <c r="E1559">
        <f>INDEX(FactorTable!$B$2:$Y$301, MATCH(ROUND(MIN(300,MAX(1,D1559)),0), FactorTable!$A$2:$A$301,0), Skills!L7+1)</f>
        <v/>
      </c>
      <c r="F1559">
        <f>IF(Skills!M7=TRUE,(Skills!K7/10)*(E1559/1000),Skills!K7/10)+Skills!N7</f>
        <v/>
      </c>
      <c r="G1559">
        <f>Calc!G7</f>
        <v/>
      </c>
      <c r="H1559">
        <f>Calc!H7</f>
        <v/>
      </c>
      <c r="I1559">
        <f>IF(Skills!T7&lt;&gt;"",1+(Skills!T7/10)*(Z1555/1000)/100,1)</f>
        <v/>
      </c>
      <c r="J1559">
        <f>((Inputs!$B$6*(1+Inputs!$B$7/100))+(((Inputs!$B$12*(1+Inputs!$B$13/100))-(Inputs!$B$12*(1+Inputs!$B$13/100)))+0.25*(Inputs!$B$14-Inputs!$B$14))*(1+Inputs!$B$7/100))*(F1559/100)</f>
        <v/>
      </c>
      <c r="K1559">
        <f>J1559*(1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F1570-Calc!F18),(Inputs!$B$23+(IF(ArtifactsInput!$M$15,CHOOSE(ArtifactsInput!$N$15+1,25,30,35,40,45,50)/100*(Inputs!$B$11-Inputs!$B$11),0))))/100+(Inputs!$B$23+(IF(ArtifactsInput!$M$15,CHOOSE(ArtifactsInput!$N$15+1,25,30,35,40,45,50)/100*(Inputs!$B$11-Inputs!$B$11),0)))/100)/2</f>
        <v/>
      </c>
      <c r="M1559">
        <f>L1559*(1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(1-Summary!$B$11)*S1559+Summary!$B$11*U1559</f>
        <v/>
      </c>
      <c r="P1559">
        <f>IF(B1588=0,0,O1559/B1588)</f>
        <v/>
      </c>
      <c r="Q1559">
        <f>IFERROR(1/IF(Inputs!$B$38="pvp",15,MAX(0.1,Skills!D7-IF(Skills!E7=TRUE,Inputs!$B$32,0))),0)</f>
        <v/>
      </c>
      <c r="R1559">
        <f>IF(AND(Inputs!$B$38&lt;&gt;"pvp",Inputs!$B$43&gt;0),IF(MAX(0,Inputs!$B$43-B1585)&lt;=0,0,(INT(MAX(0,Inputs!$B$43-B1585)/IF(Inputs!$B$38="pvp",15,MAX(0.1,Skills!D7-IF(Skills!E7=TRUE,Inputs!$B$32,0))))+1)),0)</f>
        <v/>
      </c>
      <c r="S1559">
        <f>IF(C1559,(H1559*N1559*IF(AND(Inputs!$B$38&lt;&gt;"pvp",Inputs!$B$43&gt;0),((Skills!F7*((R1559-1)*IF(Skills!G7&gt;0,Skills!H7/Skills!G7,1)+IF(Skills!G7&gt;0,MIN(Skills!H7,MAX(0,MAX(0,Inputs!$B$43-B1585)-((R1559-1)*IF(Inputs!$B$38="pvp",15,MAX(0.1,Skills!D7-IF(Skills!E7=TRUE,Inputs!$B$32,0))))))/Skills!G7,1)))/Inputs!$B$43),G1559*Q1559))*IF(Inputs!$B$38="pvp",1,1+(Inputs!$B$20+Skills!O7+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1559*(1-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F(C1559,(H1559*N1559*IF(AND(Inputs!$B$38&lt;&gt;"pvp",Inputs!$B$43&gt;0),((Skills!F7*((R1559-1)*IF(Skills!G7&gt;0,Skills!H7/Skills!G7,1)+IF(Skills!G7&gt;0,MIN(Skills!H7,MAX(0,MAX(0,Inputs!$B$43-B1585)-((R1559-1)*IF(Inputs!$B$38="pvp",15,MAX(0.1,Skills!D7-IF(Skills!E7=TRUE,Inputs!$B$32,0))))))/Skills!G7,1)))/Inputs!$B$43),G1559*Q1559))*IF(Inputs!$B$38="pvp",1,(1+(Inputs!$B$21+Skills!P7+B1579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Skills!A8</f>
        <v/>
      </c>
      <c r="B1560">
        <f>Skills!B8</f>
        <v/>
      </c>
      <c r="C1560">
        <f>Inputs!$B$3&gt;=103</f>
        <v/>
      </c>
      <c r="D1560">
        <f>IF(Skills!C8=1,60+Inputs!$B$25+Inputs!$B$29,IF(Skills!C8=2,90+Inputs!$B$26+Inputs!$B$29,IF(Skills!C8=3,120+Inputs!$B$27+Inputs!$B$29,MAX(0,(Inputs!$B$3-100)*3)+Inputs!$B$28+Inputs!$B$29)))</f>
        <v/>
      </c>
      <c r="E1560">
        <f>INDEX(FactorTable!$B$2:$Y$301, MATCH(ROUND(MIN(300,MAX(1,D1560)),0), FactorTable!$A$2:$A$301,0), Skills!L8+1)</f>
        <v/>
      </c>
      <c r="F1560">
        <f>IF(Skills!M8=TRUE,(Skills!K8/10)*(E1560/1000),Skills!K8/10)+Skills!N8</f>
        <v/>
      </c>
      <c r="G1560">
        <f>Calc!G8</f>
        <v/>
      </c>
      <c r="H1560">
        <f>Calc!H8</f>
        <v/>
      </c>
      <c r="I1560">
        <f>IF(Skills!T8&lt;&gt;"",1+(Skills!T8/10)*(Z1555/1000)/100,1)</f>
        <v/>
      </c>
      <c r="J1560">
        <f>((Inputs!$B$6*(1+Inputs!$B$7/100))+(((Inputs!$B$12*(1+Inputs!$B$13/100))-(Inputs!$B$12*(1+Inputs!$B$13/100)))+0.25*(Inputs!$B$14-Inputs!$B$14))*(1+Inputs!$B$7/100))*(F1560/100)</f>
        <v/>
      </c>
      <c r="K1560">
        <f>J1560*(1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F1570-Calc!F18),(Inputs!$B$23+(IF(ArtifactsInput!$M$15,CHOOSE(ArtifactsInput!$N$15+1,25,30,35,40,45,50)/100*(Inputs!$B$11-Inputs!$B$11),0))))/100+(Inputs!$B$23+(IF(ArtifactsInput!$M$15,CHOOSE(ArtifactsInput!$N$15+1,25,30,35,40,45,50)/100*(Inputs!$B$11-Inputs!$B$11),0)))/100)/2</f>
        <v/>
      </c>
      <c r="M1560">
        <f>L1560*(1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(1-Summary!$B$11)*S1560+Summary!$B$11*U1560</f>
        <v/>
      </c>
      <c r="P1560">
        <f>IF(B1588=0,0,O1560/B1588)</f>
        <v/>
      </c>
      <c r="Q1560">
        <f>IFERROR(1/IF(Inputs!$B$38="pvp",15,MAX(0.1,Skills!D8-IF(Skills!E8=TRUE,Inputs!$B$32,0))),0)</f>
        <v/>
      </c>
      <c r="R1560">
        <f>IF(AND(Inputs!$B$38&lt;&gt;"pvp",Inputs!$B$43&gt;0),IF(MAX(0,Inputs!$B$43-B1585)&lt;=0,0,(INT(MAX(0,Inputs!$B$43-B1585)/IF(Inputs!$B$38="pvp",15,MAX(0.1,Skills!D8-IF(Skills!E8=TRUE,Inputs!$B$32,0))))+1)),0)</f>
        <v/>
      </c>
      <c r="S1560">
        <f>IF(C1560,(H1560*N1560*IF(AND(Inputs!$B$38&lt;&gt;"pvp",Inputs!$B$43&gt;0),((Skills!F8*((R1560-1)*IF(Skills!G8&gt;0,Skills!H8/Skills!G8,1)+IF(Skills!G8&gt;0,MIN(Skills!H8,MAX(0,MAX(0,Inputs!$B$43-B1585)-((R1560-1)*IF(Inputs!$B$38="pvp",15,MAX(0.1,Skills!D8-IF(Skills!E8=TRUE,Inputs!$B$32,0))))))/Skills!G8,1)))/Inputs!$B$43),G1560*Q1560))*IF(Inputs!$B$38="pvp",1,1+(Inputs!$B$20+Skills!O8+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1560*(1-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IF(C1560,(H1560*N1560*IF(AND(Inputs!$B$38&lt;&gt;"pvp",Inputs!$B$43&gt;0),((Skills!F8*((R1560-1)*IF(Skills!G8&gt;0,Skills!H8/Skills!G8,1)+IF(Skills!G8&gt;0,MIN(Skills!H8,MAX(0,MAX(0,Inputs!$B$43-B1585)-((R1560-1)*IF(Inputs!$B$38="pvp",15,MAX(0.1,Skills!D8-IF(Skills!E8=TRUE,Inputs!$B$32,0))))))/Skills!G8,1)))/Inputs!$B$43),G1560*Q1560))*IF(Inputs!$B$38="pvp",1,(1+(Inputs!$B$21+Skills!P8+B1579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Skills!A9</f>
        <v/>
      </c>
      <c r="B1561">
        <f>Skills!B9</f>
        <v/>
      </c>
      <c r="C1561">
        <f>Inputs!$B$3&gt;=105</f>
        <v/>
      </c>
      <c r="D1561">
        <f>IF(Skills!C9=1,60+Inputs!$B$25+Inputs!$B$29,IF(Skills!C9=2,90+Inputs!$B$26+Inputs!$B$29,IF(Skills!C9=3,120+Inputs!$B$27+Inputs!$B$29,MAX(0,(Inputs!$B$3-100)*3)+Inputs!$B$28+Inputs!$B$29)))</f>
        <v/>
      </c>
      <c r="E1561">
        <f>INDEX(FactorTable!$B$2:$Y$301, MATCH(ROUND(MIN(300,MAX(1,D1561)),0), FactorTable!$A$2:$A$301,0), Skills!L9+1)</f>
        <v/>
      </c>
      <c r="F1561">
        <f>IF(Skills!M9=TRUE,(Skills!K9/10)*(E1561/1000),Skills!K9/10)+Skills!N9</f>
        <v/>
      </c>
      <c r="G1561">
        <f>Calc!G9</f>
        <v/>
      </c>
      <c r="H1561">
        <f>Calc!H9</f>
        <v/>
      </c>
      <c r="I1561">
        <f>IF(Skills!T9&lt;&gt;"",1+(Skills!T9/10)*(Z1555/1000)/100,1)</f>
        <v/>
      </c>
      <c r="J1561">
        <f>((Inputs!$B$6*(1+Inputs!$B$7/100))+(((Inputs!$B$12*(1+Inputs!$B$13/100))-(Inputs!$B$12*(1+Inputs!$B$13/100)))+0.25*(Inputs!$B$14-Inputs!$B$14))*(1+Inputs!$B$7/100))*(F1561/100)</f>
        <v/>
      </c>
      <c r="K1561">
        <f>J1561*(1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F1570-Calc!F18),(Inputs!$B$23+(IF(ArtifactsInput!$M$15,CHOOSE(ArtifactsInput!$N$15+1,25,30,35,40,45,50)/100*(Inputs!$B$11-Inputs!$B$11),0))))/100+(Inputs!$B$23+(IF(ArtifactsInput!$M$15,CHOOSE(ArtifactsInput!$N$15+1,25,30,35,40,45,50)/100*(Inputs!$B$11-Inputs!$B$11),0)))/100)/2</f>
        <v/>
      </c>
      <c r="M1561">
        <f>L1561*(1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(1-Summary!$B$11)*S1561+Summary!$B$11*U1561</f>
        <v/>
      </c>
      <c r="P1561">
        <f>IF(B1588=0,0,O1561/B1588)</f>
        <v/>
      </c>
      <c r="Q1561">
        <f>IFERROR(1/IF(Inputs!$B$38="pvp",15,MAX(0.1,Skills!D9-IF(Skills!E9=TRUE,Inputs!$B$32,0))),0)</f>
        <v/>
      </c>
      <c r="R1561">
        <f>IF(AND(Inputs!$B$38&lt;&gt;"pvp",Inputs!$B$43&gt;0),IF(MAX(0,Inputs!$B$43-B1585)&lt;=0,0,(INT(MAX(0,Inputs!$B$43-B1585)/IF(Inputs!$B$38="pvp",15,MAX(0.1,Skills!D9-IF(Skills!E9=TRUE,Inputs!$B$32,0))))+1)),0)</f>
        <v/>
      </c>
      <c r="S1561">
        <f>IF(C1561,(H1561*N1561*IF(AND(Inputs!$B$38&lt;&gt;"pvp",Inputs!$B$43&gt;0),((Skills!F9*((R1561-1)*IF(Skills!G9&gt;0,Skills!H9/Skills!G9,1)+IF(Skills!G9&gt;0,MIN(Skills!H9,MAX(0,MAX(0,Inputs!$B$43-B1585)-((R1561-1)*IF(Inputs!$B$38="pvp",15,MAX(0.1,Skills!D9-IF(Skills!E9=TRUE,Inputs!$B$32,0))))))/Skills!G9,1)))/Inputs!$B$43),G1561*Q1561))*IF(Inputs!$B$38="pvp",1,1+(Inputs!$B$20+Skills!O9+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IF(C1561,(H1561*N1561*IF(AND(Inputs!$B$38&lt;&gt;"pvp",Inputs!$B$43&gt;0),((Skills!F9*((R1561-1)*IF(Skills!G9&gt;0,Skills!H9/Skills!G9,1)+IF(Skills!G9&gt;0,MIN(Skills!H9,MAX(0,MAX(0,Inputs!$B$43-B1585)-((R1561-1)*IF(Inputs!$B$38="pvp",15,MAX(0.1,Skills!D9-IF(Skills!E9=TRUE,Inputs!$B$32,0))))))/Skills!G9,1)))/Inputs!$B$43),G1561*Q1561))*IF(Inputs!$B$38="pvp",1,(1+(Inputs!$B$21+Skills!P9+B1579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Skills!A10</f>
        <v/>
      </c>
      <c r="B1562">
        <f>Skills!B10</f>
        <v/>
      </c>
      <c r="C1562">
        <f>Inputs!$B$3&gt;=113</f>
        <v/>
      </c>
      <c r="D1562">
        <f>IF(Skills!C10=1,60+Inputs!$B$25+Inputs!$B$29,IF(Skills!C10=2,90+Inputs!$B$26+Inputs!$B$29,IF(Skills!C10=3,120+Inputs!$B$27+Inputs!$B$29,MAX(0,(Inputs!$B$3-100)*3)+Inputs!$B$28+Inputs!$B$29)))</f>
        <v/>
      </c>
      <c r="E1562">
        <f>INDEX(FactorTable!$B$2:$Y$301, MATCH(ROUND(MIN(300,MAX(1,D1562)),0), FactorTable!$A$2:$A$301,0), Skills!L10+1)</f>
        <v/>
      </c>
      <c r="F1562">
        <f>IF(Skills!M10=TRUE,(Skills!K10/10)*(E1562/1000),Skills!K10/10)+Skills!N10</f>
        <v/>
      </c>
      <c r="G1562">
        <f>Calc!G10</f>
        <v/>
      </c>
      <c r="H1562">
        <f>Calc!H10</f>
        <v/>
      </c>
      <c r="I1562">
        <f>IF(Skills!T10&lt;&gt;"",1+(Skills!T10/10)*(Z1555/1000)/100,1)</f>
        <v/>
      </c>
      <c r="J1562">
        <f>((Inputs!$B$6*(1+Inputs!$B$7/100))+(((Inputs!$B$12*(1+Inputs!$B$13/100))-(Inputs!$B$12*(1+Inputs!$B$13/100)))+0.25*(Inputs!$B$14-Inputs!$B$14))*(1+Inputs!$B$7/100))*(F1562/100)</f>
        <v/>
      </c>
      <c r="K1562">
        <f>J1562*(1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F1570-Calc!F18),(Inputs!$B$23+(IF(ArtifactsInput!$M$15,CHOOSE(ArtifactsInput!$N$15+1,25,30,35,40,45,50)/100*(Inputs!$B$11-Inputs!$B$11),0))))/100+(Inputs!$B$23+(IF(ArtifactsInput!$M$15,CHOOSE(ArtifactsInput!$N$15+1,25,30,35,40,45,50)/100*(Inputs!$B$11-Inputs!$B$11),0)))/100)/2</f>
        <v/>
      </c>
      <c r="M1562">
        <f>L1562*(1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(1-Summary!$B$11)*S1562+Summary!$B$11*U1562</f>
        <v/>
      </c>
      <c r="P1562">
        <f>IF(B1588=0,0,O1562/B1588)</f>
        <v/>
      </c>
      <c r="Q1562">
        <f>IFERROR(1/IF(Inputs!$B$38="pvp",15,MAX(0.1,Skills!D10-IF(Skills!E9=TRUE,Inputs!$B$32,0))),0)</f>
        <v/>
      </c>
      <c r="R1562">
        <f>IF(AND(Inputs!$B$38&lt;&gt;"pvp",Inputs!$B$43&gt;0),IF(MAX(0,Inputs!$B$43-B1585)&lt;=0,0,(INT(MAX(0,Inputs!$B$43-B1585)/IF(Inputs!$B$38="pvp",15,MAX(0.1,Skills!D10-IF(Skills!E9=TRUE,Inputs!$B$32,0))))+1)),0)</f>
        <v/>
      </c>
      <c r="S1562">
        <f>IF(C1562,(H1562*N1562*IF(AND(Inputs!$B$38&lt;&gt;"pvp",Inputs!$B$43&gt;0),((Skills!F10*((R1562-1)*IF(Skills!G10&gt;0,Skills!H10/Skills!G10,1)+IF(Skills!G10&gt;0,MIN(Skills!H10,MAX(0,MAX(0,Inputs!$B$43-B1585)-((R1562-1)*IF(Inputs!$B$38="pvp",15,MAX(0.1,Skills!D10-IF(Skills!E9=TRUE,Inputs!$B$32,0))))))/Skills!G10,1)))/Inputs!$B$43),G1562*Q1562))*IF(Inputs!$B$38="pvp",1,1+(Inputs!$B$20+Skills!O10+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1562*(1-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F(C1562,(H1562*N1562*IF(AND(Inputs!$B$38&lt;&gt;"pvp",Inputs!$B$43&gt;0),((Skills!F10*((R1562-1)*IF(Skills!G10&gt;0,Skills!H10/Skills!G10,1)+IF(Skills!G10&gt;0,MIN(Skills!H10,MAX(0,MAX(0,Inputs!$B$43-B1585)-((R1562-1)*IF(Inputs!$B$38="pvp",15,MAX(0.1,Skills!D10-IF(Skills!E9=TRUE,Inputs!$B$32,0))))))/Skills!G10,1)))/Inputs!$B$43),G1562*Q1562))*IF(Inputs!$B$38="pvp",1,(1+(Inputs!$B$21+Skills!P10+B1579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Skills!A11</f>
        <v/>
      </c>
      <c r="B1563">
        <f>Skills!B11</f>
        <v/>
      </c>
      <c r="C1563">
        <f>Inputs!$B$3&gt;=107</f>
        <v/>
      </c>
      <c r="D1563">
        <f>IF(Skills!C11=1,60+Inputs!$B$25+Inputs!$B$29,IF(Skills!C11=2,90+Inputs!$B$26+Inputs!$B$29,IF(Skills!C11=3,120+Inputs!$B$27+Inputs!$B$29,MAX(0,(Inputs!$B$3-100)*3)+Inputs!$B$28+Inputs!$B$29)))</f>
        <v/>
      </c>
      <c r="E1563">
        <f>INDEX(FactorTable!$B$2:$Y$301, MATCH(ROUND(MIN(300,MAX(1,D1563)),0), FactorTable!$A$2:$A$301,0), Skills!L11+1)</f>
        <v/>
      </c>
      <c r="F1563">
        <f>IF(Skills!M11=TRUE,(Skills!K11/10)*(E1563/1000),Skills!K11/10)+Skills!N11</f>
        <v/>
      </c>
      <c r="G1563">
        <f>Calc!G11</f>
        <v/>
      </c>
      <c r="H1563">
        <f>Calc!H11</f>
        <v/>
      </c>
      <c r="I1563">
        <f>IF(Skills!T11&lt;&gt;"",1+(Skills!T11/10)*(Z1555/1000)/100,1)</f>
        <v/>
      </c>
      <c r="J1563">
        <f>((Inputs!$B$6*(1+Inputs!$B$7/100))+(((Inputs!$B$12*(1+Inputs!$B$13/100))-(Inputs!$B$12*(1+Inputs!$B$13/100)))+0.25*(Inputs!$B$14-Inputs!$B$14))*(1+Inputs!$B$7/100))*(F1563/100)</f>
        <v/>
      </c>
      <c r="K1563">
        <f>J1563*(1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F1570-Calc!F18),(Inputs!$B$23+(IF(ArtifactsInput!$M$15,CHOOSE(ArtifactsInput!$N$15+1,25,30,35,40,45,50)/100*(Inputs!$B$11-Inputs!$B$11),0))))/100+(Inputs!$B$23+(IF(ArtifactsInput!$M$15,CHOOSE(ArtifactsInput!$N$15+1,25,30,35,40,45,50)/100*(Inputs!$B$11-Inputs!$B$11),0)))/100)/2</f>
        <v/>
      </c>
      <c r="M1563">
        <f>L1563*(1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(1-Summary!$B$11)*S1563+Summary!$B$11*U1563</f>
        <v/>
      </c>
      <c r="P1563">
        <f>IF(B1588=0,0,O1563/B1588)</f>
        <v/>
      </c>
      <c r="Q1563">
        <f>IFERROR(1/IF(Inputs!$B$38="pvp",15,MAX(0.1,Skills!D11-IF(Skills!E11=TRUE,Inputs!$B$32,0))),0)</f>
        <v/>
      </c>
      <c r="R1563">
        <f>IF(AND(Inputs!$B$38&lt;&gt;"pvp",Inputs!$B$43&gt;0),IF(MAX(0,Inputs!$B$43-B1585)&lt;=0,0,(INT(MAX(0,Inputs!$B$43-B1585)/IF(Inputs!$B$38="pvp",15,MAX(0.1,Skills!D11-IF(Skills!E11=TRUE,Inputs!$B$32,0))))+1)),0)</f>
        <v/>
      </c>
      <c r="S1563">
        <f>IF(C1563,H1563*N1563*IF(AND(Inputs!$B$38&lt;&gt;"pvp",Inputs!$B$43&gt;0),((Skills!F11*((R1563-1)*IF(Skills!G11&gt;0,Skills!H11/Skills!G11,1)+IF(Skills!G11&gt;0,MIN(Skills!H11,MAX(0,MAX(0,Inputs!$B$43-B1585)-((R1563-1)*IF(Inputs!$B$38="pvp",15,MAX(0.1,Skills!D11-IF(Skills!E11=TRUE,Inputs!$B$32,0))))))/Skills!G11,1)))/Inputs!$B$43),G1563*Q1563)*0.5*IF(Inputs!$B$38="pvp",1,1+(Inputs!$B$20+Skills!O11+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1563*(1-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3">
        <f>IF(C1563,H1563*N1563*IF(AND(Inputs!$B$38&lt;&gt;"pvp",Inputs!$B$43&gt;0),((Skills!F11*((R1563-1)*IF(Skills!G11&gt;0,Skills!H11/Skills!G11,1)+IF(Skills!G11&gt;0,MIN(Skills!H11,MAX(0,MAX(0,Inputs!$B$43-B1585)-((R1563-1)*IF(Inputs!$B$38="pvp",15,MAX(0.1,Skills!D11-IF(Skills!E11=TRUE,Inputs!$B$32,0))))))/Skills!G11,1)))/Inputs!$B$43),G1563*Q1563)*1*IF(Inputs!$B$38="pvp",1,(1+(Inputs!$B$21+Skills!P11+B1579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Skills!A12</f>
        <v/>
      </c>
      <c r="B1564">
        <f>Skills!B12</f>
        <v/>
      </c>
      <c r="C1564">
        <f>Inputs!$B$3&gt;=115</f>
        <v/>
      </c>
      <c r="D1564">
        <f>IF(Skills!C12=1,60+Inputs!$B$25+Inputs!$B$29,IF(Skills!C12=2,90+Inputs!$B$26+Inputs!$B$29,IF(Skills!C12=3,120+Inputs!$B$27+Inputs!$B$29,MAX(0,(Inputs!$B$3-100)*3)+Inputs!$B$28+Inputs!$B$29)))</f>
        <v/>
      </c>
      <c r="E1564">
        <f>INDEX(FactorTable!$B$2:$Y$301, MATCH(ROUND(MIN(300,MAX(1,D1564)),0), FactorTable!$A$2:$A$301,0), Skills!L12+1)</f>
        <v/>
      </c>
      <c r="F1564">
        <f>IF(Skills!M12=TRUE,(Skills!K12/10)*(E1564/1000),Skills!K12/10)+Skills!N12</f>
        <v/>
      </c>
      <c r="G1564">
        <f>Calc!G12</f>
        <v/>
      </c>
      <c r="H1564">
        <f>Calc!H12</f>
        <v/>
      </c>
      <c r="I1564">
        <f>IF(Skills!T12&lt;&gt;"",1+(Skills!T12/10)*(Z1555/1000)/100,1)</f>
        <v/>
      </c>
      <c r="J1564">
        <f>((Inputs!$B$6*(1+Inputs!$B$7/100))+(((Inputs!$B$12*(1+Inputs!$B$13/100))-(Inputs!$B$12*(1+Inputs!$B$13/100)))+0.25*(Inputs!$B$14-Inputs!$B$14))*(1+Inputs!$B$7/100))*(F1564/100)</f>
        <v/>
      </c>
      <c r="K1564">
        <f>J1564*(1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F1570-Calc!F18),(Inputs!$B$23+(IF(ArtifactsInput!$M$15,CHOOSE(ArtifactsInput!$N$15+1,25,30,35,40,45,50)/100*(Inputs!$B$11-Inputs!$B$11),0))))/100+(Inputs!$B$23+(IF(ArtifactsInput!$M$15,CHOOSE(ArtifactsInput!$N$15+1,25,30,35,40,45,50)/100*(Inputs!$B$11-Inputs!$B$11),0)))/100)/2</f>
        <v/>
      </c>
      <c r="M1564">
        <f>L1564*(1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(1-Summary!$B$11)*S1564+Summary!$B$11*U1564</f>
        <v/>
      </c>
      <c r="P1564">
        <f>IF(B1588=0,0,O1564/B1588)</f>
        <v/>
      </c>
      <c r="Q1564">
        <f>IFERROR(1/IF(Inputs!$B$38="pvp",15,MAX(0.1,Skills!D12-IF(Skills!E12=TRUE,Inputs!$B$32,0))),0)</f>
        <v/>
      </c>
      <c r="R1564">
        <f>IF(AND(Inputs!$B$38&lt;&gt;"pvp",Inputs!$B$43&gt;0),IF(MAX(0,Inputs!$B$43-B1585)&lt;=0,0,(INT(MAX(0,Inputs!$B$43-B1585)/IF(Inputs!$B$38="pvp",15,MAX(0.1,Skills!D12-IF(Skills!E12=TRUE,Inputs!$B$32,0))))+1)),0)</f>
        <v/>
      </c>
      <c r="S1564">
        <f>IF(C1564,(H1564*N1564*IF(AND(Inputs!$B$38&lt;&gt;"pvp",Inputs!$B$43&gt;0),((Skills!F12*((R1564-1)*IF(Skills!G12&gt;0,Skills!H12/Skills!G12,1)+IF(Skills!G12&gt;0,MIN(Skills!H12,MAX(0,MAX(0,Inputs!$B$43-B1585)-((R1564-1)*IF(Inputs!$B$38="pvp",15,MAX(0.1,Skills!D12-IF(Skills!E12=TRUE,Inputs!$B$32,0))))))/Skills!G12,1)))/Inputs!$B$43),G1564*Q1564))*IF(Inputs!$B$38="pvp",1,1+(Inputs!$B$20+Skills!O12+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4">
        <f>IF(C1564,(H1564*N1564*IF(AND(Inputs!$B$38&lt;&gt;"pvp",Inputs!$B$43&gt;0),((Skills!F12*((R1564-1)*IF(Skills!G12&gt;0,Skills!H12/Skills!G12,1)+IF(Skills!G12&gt;0,MIN(Skills!H12,MAX(0,MAX(0,Inputs!$B$43-B1585)-((R1564-1)*IF(Inputs!$B$38="pvp",15,MAX(0.1,Skills!D12-IF(Skills!E12=TRUE,Inputs!$B$32,0))))))/Skills!G12,1)))/Inputs!$B$43),G1564*Q1564))*IF(Inputs!$B$38="pvp",1,(1+(Inputs!$B$21+Skills!P12+B1579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Skills!A13</f>
        <v/>
      </c>
      <c r="B1565">
        <f>Skills!B13</f>
        <v/>
      </c>
      <c r="C1565">
        <f>Inputs!$B$3&gt;=49</f>
        <v/>
      </c>
      <c r="D1565">
        <f>IF(Skills!C13=1,60+Inputs!$B$25+Inputs!$B$29,IF(Skills!C13=2,90+Inputs!$B$26+Inputs!$B$29,IF(Skills!C13=3,120+Inputs!$B$27+Inputs!$B$29,MAX(0,(Inputs!$B$3-100)*3)+Inputs!$B$28+Inputs!$B$29)))</f>
        <v/>
      </c>
      <c r="E1565">
        <f>INDEX(FactorTable!$B$2:$Y$301, MATCH(ROUND(MIN(300,MAX(1,D1565)),0), FactorTable!$A$2:$A$301,0), Skills!L13+1)</f>
        <v/>
      </c>
      <c r="F1565">
        <f>IF(Skills!M13=TRUE,(Skills!K13/10)*(E1565/1000),Skills!K13/10)+Skills!N13</f>
        <v/>
      </c>
      <c r="G1565">
        <f>Calc!G13</f>
        <v/>
      </c>
      <c r="H1565">
        <f>Calc!H13</f>
        <v/>
      </c>
      <c r="I1565">
        <f>IF(Skills!T13&lt;&gt;"",1+(Skills!T13/10)*(Z1555/1000)/100,1)</f>
        <v/>
      </c>
      <c r="J1565" t="inlineStr"/>
      <c r="K1565" t="inlineStr"/>
      <c r="L1565" t="inlineStr"/>
      <c r="M1565" t="inlineStr"/>
      <c r="N1565" t="inlineStr"/>
      <c r="O1565">
        <f>(1-Summary!$B$11)*S1565+Summary!$B$11*U1565</f>
        <v/>
      </c>
      <c r="P1565">
        <f>IF(B1588=0,0,O1565/B1588)</f>
        <v/>
      </c>
      <c r="Q1565">
        <f>IFERROR(1/IF(Inputs!$B$38="pvp",15,MAX(0.1,Skills!D13-IF(Skills!E13=TRUE,Inputs!$B$32,0))),0)</f>
        <v/>
      </c>
      <c r="R1565" t="n">
        <v>0</v>
      </c>
      <c r="S1565" t="n">
        <v>0</v>
      </c>
      <c r="U1565" t="n">
        <v>0</v>
      </c>
    </row>
    <row r="1566">
      <c r="A1566">
        <f>Skills!A14</f>
        <v/>
      </c>
      <c r="B1566">
        <f>Skills!B14</f>
        <v/>
      </c>
      <c r="C1566">
        <f>Inputs!$B$3&gt;=72</f>
        <v/>
      </c>
      <c r="D1566">
        <f>IF(Skills!C14=1,60+Inputs!$B$25+Inputs!$B$29,IF(Skills!C14=2,90+Inputs!$B$26+Inputs!$B$29,IF(Skills!C14=3,120+Inputs!$B$27+Inputs!$B$29,MAX(0,(Inputs!$B$3-100)*3)+Inputs!$B$28+Inputs!$B$29)))</f>
        <v/>
      </c>
      <c r="E1566">
        <f>INDEX(FactorTable!$B$2:$Y$301, MATCH(ROUND(MIN(300,MAX(1,D1566)),0), FactorTable!$A$2:$A$301,0), Skills!L14+1)</f>
        <v/>
      </c>
      <c r="F1566">
        <f>IF(Skills!M14=TRUE,(Skills!K14/10)*(E1566/1000),Skills!K14/10)+Skills!N14</f>
        <v/>
      </c>
      <c r="G1566">
        <f>Calc!G14</f>
        <v/>
      </c>
      <c r="H1566">
        <f>Calc!H14</f>
        <v/>
      </c>
      <c r="I1566">
        <f>IF(Skills!T14&lt;&gt;"",1+(Skills!T14/10)*(Z1555/1000)/100,1)</f>
        <v/>
      </c>
      <c r="J1566" t="inlineStr"/>
      <c r="K1566" t="inlineStr"/>
      <c r="L1566" t="inlineStr"/>
      <c r="M1566" t="inlineStr"/>
      <c r="N1566" t="inlineStr"/>
      <c r="O1566">
        <f>(1-Summary!$B$11)*S1566+Summary!$B$11*U1566</f>
        <v/>
      </c>
      <c r="P1566">
        <f>IF(B1588=0,0,O1566/B1588)</f>
        <v/>
      </c>
      <c r="Q1566">
        <f>IFERROR(1/IF(Inputs!$B$38="pvp",15,MAX(0.1,Skills!D14-IF(Skills!E14=TRUE,Inputs!$B$32,0))),0)</f>
        <v/>
      </c>
      <c r="R1566" t="n">
        <v>0</v>
      </c>
      <c r="S1566" t="n">
        <v>0</v>
      </c>
      <c r="U1566" t="n">
        <v>0</v>
      </c>
    </row>
    <row r="1567">
      <c r="A1567">
        <f>Skills!A15</f>
        <v/>
      </c>
      <c r="B1567">
        <f>Skills!B15</f>
        <v/>
      </c>
      <c r="C1567">
        <f>Inputs!$B$3&gt;=75</f>
        <v/>
      </c>
      <c r="D1567">
        <f>IF(Skills!C15=1,60+Inputs!$B$25+Inputs!$B$29,IF(Skills!C15=2,90+Inputs!$B$26+Inputs!$B$29,IF(Skills!C15=3,120+Inputs!$B$27+Inputs!$B$29,MAX(0,(Inputs!$B$3-100)*3)+Inputs!$B$28+Inputs!$B$29)))</f>
        <v/>
      </c>
      <c r="E1567">
        <f>INDEX(FactorTable!$B$2:$Y$301, MATCH(ROUND(MIN(300,MAX(1,D1567)),0), FactorTable!$A$2:$A$301,0), Skills!L15+1)</f>
        <v/>
      </c>
      <c r="F1567">
        <f>IF(Skills!M15=TRUE,(Skills!K15/10)*(E1567/1000),Skills!K15/10)+Skills!N15</f>
        <v/>
      </c>
      <c r="G1567">
        <f>Calc!G15</f>
        <v/>
      </c>
      <c r="H1567">
        <f>Calc!H15</f>
        <v/>
      </c>
      <c r="I1567">
        <f>IF(Skills!T15&lt;&gt;"",1+(Skills!T15/10)*(Z1555/1000)/100,1)</f>
        <v/>
      </c>
      <c r="J1567" t="inlineStr"/>
      <c r="K1567" t="inlineStr"/>
      <c r="L1567" t="inlineStr"/>
      <c r="M1567" t="inlineStr"/>
      <c r="N1567" t="inlineStr"/>
      <c r="O1567">
        <f>(1-Summary!$B$11)*S1567+Summary!$B$11*U1567</f>
        <v/>
      </c>
      <c r="P1567">
        <f>IF(B1588=0,0,O1567/B1588)</f>
        <v/>
      </c>
      <c r="Q1567">
        <f>IFERROR(1/IF(Inputs!$B$38="pvp",15,MAX(0.1,Skills!D15-IF(Skills!E15=TRUE,Inputs!$B$32,0))),0)</f>
        <v/>
      </c>
      <c r="R1567" t="n">
        <v>0</v>
      </c>
      <c r="S1567" t="n">
        <v>0</v>
      </c>
      <c r="U1567" t="n">
        <v>0</v>
      </c>
    </row>
    <row r="1568">
      <c r="A1568">
        <f>Skills!A16</f>
        <v/>
      </c>
      <c r="B1568">
        <f>Skills!B16</f>
        <v/>
      </c>
      <c r="C1568">
        <f>Inputs!$B$3&gt;=110</f>
        <v/>
      </c>
      <c r="D1568">
        <f>IF(Skills!C16=1,60+Inputs!$B$25+Inputs!$B$29,IF(Skills!C16=2,90+Inputs!$B$26+Inputs!$B$29,IF(Skills!C16=3,120+Inputs!$B$27+Inputs!$B$29,MAX(0,(Inputs!$B$3-100)*3)+Inputs!$B$28+Inputs!$B$29)))</f>
        <v/>
      </c>
      <c r="E1568">
        <f>INDEX(FactorTable!$B$2:$Y$301, MATCH(ROUND(MIN(300,MAX(1,D1568)),0), FactorTable!$A$2:$A$301,0), Skills!L16+1)</f>
        <v/>
      </c>
      <c r="F1568">
        <f>(Skills!K16/10)*(E1568/1000)*64/45+Skills!N16</f>
        <v/>
      </c>
      <c r="G1568">
        <f>Calc!G16</f>
        <v/>
      </c>
      <c r="H1568">
        <f>Calc!H16</f>
        <v/>
      </c>
      <c r="I1568">
        <f>IF(Skills!T16&lt;&gt;"",1+(Skills!T16/10)*(Z1555/1000)/100,1)</f>
        <v/>
      </c>
      <c r="J1568" t="inlineStr"/>
      <c r="K1568" t="inlineStr"/>
      <c r="L1568" t="inlineStr"/>
      <c r="M1568" t="inlineStr"/>
      <c r="N1568" t="inlineStr"/>
      <c r="O1568">
        <f>(1-Summary!$B$11)*S1568+Summary!$B$11*U1568</f>
        <v/>
      </c>
      <c r="P1568">
        <f>IF(B1588=0,0,O1568/B1588)</f>
        <v/>
      </c>
      <c r="Q1568">
        <f>IFERROR(1/IF(Inputs!$B$38="pvp",15,MAX(0.1,Skills!D16-IF(Skills!E16=TRUE,Inputs!$B$32,0))),0)</f>
        <v/>
      </c>
      <c r="R1568">
        <f>IF(AND(Inputs!$B$38&lt;&gt;"pvp",Inputs!$B$43&gt;0),IF(Inputs!$B$43&lt;=0,0,(INT(Inputs!$B$43/IF(Inputs!$B$38="pvp",15,MAX(0.1,Skills!D16-IF(Skills!E16=TRUE,Inputs!$B$32,0))))+1)),0)</f>
        <v/>
      </c>
      <c r="S1568" t="n">
        <v>0</v>
      </c>
      <c r="U1568" t="n">
        <v>0</v>
      </c>
    </row>
    <row r="1569">
      <c r="A1569">
        <f>Skills!A17</f>
        <v/>
      </c>
      <c r="B1569">
        <f>Skills!B17</f>
        <v/>
      </c>
      <c r="C1569">
        <f>Inputs!$B$3&gt;=33</f>
        <v/>
      </c>
      <c r="D1569">
        <f>IF(Skills!C17=1,60+Inputs!$B$25+Inputs!$B$29,IF(Skills!C17=2,90+Inputs!$B$26+Inputs!$B$29,IF(Skills!C17=3,120+Inputs!$B$27+Inputs!$B$29,MAX(0,(Inputs!$B$3-100)*3)+Inputs!$B$28+Inputs!$B$29)))</f>
        <v/>
      </c>
      <c r="E1569">
        <f>INDEX(FactorTable!$B$2:$Y$301, MATCH(ROUND(MIN(300,MAX(1,D1569)),0), FactorTable!$A$2:$A$301,0), Skills!L17+1)</f>
        <v/>
      </c>
      <c r="F1569">
        <f>IF(Skills!M17=TRUE,(Skills!K17/10)*(E1569/1000),Skills!K17/10)+Skills!N17</f>
        <v/>
      </c>
      <c r="G1569">
        <f>Calc!G17</f>
        <v/>
      </c>
      <c r="H1569">
        <f>Calc!H17</f>
        <v/>
      </c>
      <c r="I1569">
        <f>IF(Skills!T17&lt;&gt;"",1+(Skills!T17/10)*(Z1555/1000)/100,1)</f>
        <v/>
      </c>
      <c r="J1569" t="inlineStr"/>
      <c r="K1569" t="inlineStr"/>
      <c r="L1569" t="inlineStr"/>
      <c r="M1569" t="inlineStr"/>
      <c r="N1569" t="inlineStr"/>
      <c r="O1569">
        <f>(1-Summary!$B$11)*S1569+Summary!$B$11*U1569</f>
        <v/>
      </c>
      <c r="P1569">
        <f>IF(B1588=0,0,O1569/B1588)</f>
        <v/>
      </c>
      <c r="Q1569">
        <f>IFERROR(1/IF(Inputs!$B$38="pvp",15,MAX(0.1,Skills!D17-IF(Skills!E17=TRUE,Inputs!$B$32,0))),0)</f>
        <v/>
      </c>
      <c r="R1569" t="n">
        <v>0</v>
      </c>
      <c r="S1569" t="n">
        <v>0</v>
      </c>
      <c r="U1569" t="n">
        <v>0</v>
      </c>
    </row>
    <row r="1570">
      <c r="A1570">
        <f>Skills!A18</f>
        <v/>
      </c>
      <c r="B1570">
        <f>Skills!B18</f>
        <v/>
      </c>
      <c r="C1570">
        <f>Inputs!$B$3&gt;=43</f>
        <v/>
      </c>
      <c r="D1570">
        <f>IF(Skills!C18=1,60+Inputs!$B$25+Inputs!$B$29,IF(Skills!C18=2,90+Inputs!$B$26+Inputs!$B$29,IF(Skills!C18=3,120+Inputs!$B$27+Inputs!$B$29,MAX(0,(Inputs!$B$3-100)*3)+Inputs!$B$28+Inputs!$B$29)))</f>
        <v/>
      </c>
      <c r="E1570">
        <f>INDEX(FactorTable!$B$2:$Y$301, MATCH(ROUND(MIN(300,MAX(1,D1570)),0), FactorTable!$A$2:$A$301,0), Skills!L18+1)</f>
        <v/>
      </c>
      <c r="F1570">
        <f>IF(Skills!M18=TRUE,(Skills!K18/10)*(E1570/1000),Skills!K18/10)+Skills!N18</f>
        <v/>
      </c>
      <c r="G1570">
        <f>Calc!G18</f>
        <v/>
      </c>
      <c r="H1570">
        <f>Calc!H18</f>
        <v/>
      </c>
      <c r="I1570">
        <f>IF(Skills!T18&lt;&gt;"",1+(Skills!T18/10)*(Z1555/1000)/100,1)</f>
        <v/>
      </c>
      <c r="J1570" t="inlineStr"/>
      <c r="K1570" t="inlineStr"/>
      <c r="L1570" t="inlineStr"/>
      <c r="M1570" t="inlineStr"/>
      <c r="N1570" t="inlineStr"/>
      <c r="O1570">
        <f>(1-Summary!$B$11)*S1570+Summary!$B$11*U1570</f>
        <v/>
      </c>
      <c r="P1570">
        <f>IF(B1588=0,0,O1570/B1588)</f>
        <v/>
      </c>
      <c r="Q1570">
        <f>IFERROR(1/IF(Inputs!$B$38="pvp",15,MAX(0.1,Skills!D18-IF(Skills!E18=TRUE,Inputs!$B$32,0))),0)</f>
        <v/>
      </c>
      <c r="R1570" t="n">
        <v>0</v>
      </c>
      <c r="S1570" t="n">
        <v>0</v>
      </c>
      <c r="U1570" t="n">
        <v>0</v>
      </c>
    </row>
    <row r="1571">
      <c r="A1571">
        <f>Skills!A19</f>
        <v/>
      </c>
      <c r="B1571">
        <f>Skills!B19</f>
        <v/>
      </c>
      <c r="C1571">
        <f>Inputs!$B$3&gt;=50</f>
        <v/>
      </c>
      <c r="D1571">
        <f>IF(Skills!C19=1,60+Inputs!$B$25+Inputs!$B$29,IF(Skills!C19=2,90+Inputs!$B$26+Inputs!$B$29,IF(Skills!C19=3,120+Inputs!$B$27+Inputs!$B$29,MAX(0,(Inputs!$B$3-100)*3)+Inputs!$B$28+Inputs!$B$29)))</f>
        <v/>
      </c>
      <c r="E1571">
        <f>INDEX(FactorTable!$B$2:$Y$301, MATCH(ROUND(MIN(300,MAX(1,D1571)),0), FactorTable!$A$2:$A$301,0), Skills!L19+1)</f>
        <v/>
      </c>
      <c r="F1571">
        <f>IF(Skills!M19=TRUE,(Skills!K19/10)*(E1571/1000),Skills!K19/10)+Skills!N19</f>
        <v/>
      </c>
      <c r="G1571">
        <f>Calc!G19</f>
        <v/>
      </c>
      <c r="H1571">
        <f>Calc!H19</f>
        <v/>
      </c>
      <c r="I1571">
        <f>IF(Skills!T19&lt;&gt;"",1+(Skills!T19/10)*(Z1555/1000)/100,1)</f>
        <v/>
      </c>
      <c r="J1571" t="inlineStr"/>
      <c r="K1571" t="inlineStr"/>
      <c r="L1571" t="inlineStr"/>
      <c r="M1571" t="inlineStr"/>
      <c r="N1571" t="inlineStr"/>
      <c r="O1571">
        <f>(1-Summary!$B$11)*S1571+Summary!$B$11*U1571</f>
        <v/>
      </c>
      <c r="P1571">
        <f>IF(B1588=0,0,O1571/B1588)</f>
        <v/>
      </c>
      <c r="Q1571">
        <f>IFERROR(1/IF(Inputs!$B$38="pvp",15,MAX(0.1,Skills!D19-IF(Skills!E19=TRUE,Inputs!$B$32,0))),0)</f>
        <v/>
      </c>
      <c r="R1571" t="n">
        <v>0</v>
      </c>
      <c r="S1571" t="n">
        <v>0</v>
      </c>
      <c r="U1571" t="n">
        <v>0</v>
      </c>
    </row>
    <row r="1572">
      <c r="A1572">
        <f>Skills!A20</f>
        <v/>
      </c>
      <c r="B1572">
        <f>Skills!B20</f>
        <v/>
      </c>
      <c r="C1572">
        <f>Inputs!$B$3&gt;=74</f>
        <v/>
      </c>
      <c r="D1572">
        <f>IF(Skills!C20=1,60+Inputs!$B$25+Inputs!$B$29,IF(Skills!C20=2,90+Inputs!$B$26+Inputs!$B$29,IF(Skills!C20=3,120+Inputs!$B$27+Inputs!$B$29,MAX(0,(Inputs!$B$3-100)*3)+Inputs!$B$28+Inputs!$B$29)))</f>
        <v/>
      </c>
      <c r="E1572">
        <f>INDEX(FactorTable!$B$2:$Y$301, MATCH(ROUND(MIN(300,MAX(1,D1572)),0), FactorTable!$A$2:$A$301,0), Skills!L20+1)</f>
        <v/>
      </c>
      <c r="F1572">
        <f>IF(Skills!M20=TRUE,(Skills!K20/10)*(E1572/1000),Skills!K20/10)+Skills!N20</f>
        <v/>
      </c>
      <c r="G1572">
        <f>Calc!G20</f>
        <v/>
      </c>
      <c r="H1572">
        <f>Calc!H20</f>
        <v/>
      </c>
      <c r="I1572">
        <f>IF(Skills!T20&lt;&gt;"",1+(Skills!T20/10)*(Z1555/1000)/100,1)</f>
        <v/>
      </c>
      <c r="J1572" t="inlineStr"/>
      <c r="K1572" t="inlineStr"/>
      <c r="L1572" t="inlineStr"/>
      <c r="M1572" t="inlineStr"/>
      <c r="N1572" t="inlineStr"/>
      <c r="O1572">
        <f>(1-Summary!$B$11)*S1572+Summary!$B$11*U1572</f>
        <v/>
      </c>
      <c r="P1572">
        <f>IF(B1588=0,0,O1572/B1588)</f>
        <v/>
      </c>
      <c r="Q1572">
        <f>IFERROR(1/IF(Inputs!$B$38="pvp",15,MAX(0.1,Skills!D20-IF(Skills!E20=TRUE,Inputs!$B$32,0))),0)</f>
        <v/>
      </c>
      <c r="R1572" t="n">
        <v>0</v>
      </c>
      <c r="S1572" t="n">
        <v>0</v>
      </c>
      <c r="U1572" t="n">
        <v>0</v>
      </c>
    </row>
    <row r="1573">
      <c r="A1573">
        <f>Skills!A21</f>
        <v/>
      </c>
      <c r="B1573">
        <f>Skills!B21</f>
        <v/>
      </c>
      <c r="C1573">
        <f>Inputs!$B$3&gt;=74</f>
        <v/>
      </c>
      <c r="D1573">
        <f>IF(Skills!C21=1,60+Inputs!$B$25+Inputs!$B$29,IF(Skills!C21=2,90+Inputs!$B$26+Inputs!$B$29,IF(Skills!C21=3,120+Inputs!$B$27+Inputs!$B$29,MAX(0,(Inputs!$B$3-100)*3)+Inputs!$B$28+Inputs!$B$29)))</f>
        <v/>
      </c>
      <c r="E1573">
        <f>INDEX(FactorTable!$B$2:$Y$301, MATCH(ROUND(MIN(300,MAX(1,D1573)),0), FactorTable!$A$2:$A$301,0), Skills!L21+1)</f>
        <v/>
      </c>
      <c r="F1573">
        <f>IF(Skills!M21=TRUE,(Skills!K21/10)*(E1573/1000),Skills!K21/10)+Skills!N21</f>
        <v/>
      </c>
      <c r="G1573">
        <f>Calc!G21</f>
        <v/>
      </c>
      <c r="H1573">
        <f>Calc!H21</f>
        <v/>
      </c>
      <c r="I1573">
        <f>IF(Skills!T21&lt;&gt;"",1+(Skills!T21/10)*(Z1555/1000)/100,1)</f>
        <v/>
      </c>
      <c r="J1573" t="inlineStr"/>
      <c r="K1573" t="inlineStr"/>
      <c r="L1573" t="inlineStr"/>
      <c r="M1573" t="inlineStr"/>
      <c r="N1573" t="inlineStr"/>
      <c r="O1573">
        <f>(1-Summary!$B$11)*S1573+Summary!$B$11*U1573</f>
        <v/>
      </c>
      <c r="P1573">
        <f>IF(B1588=0,0,O1573/B1588)</f>
        <v/>
      </c>
      <c r="Q1573">
        <f>IFERROR(1/IF(Inputs!$B$38="pvp",15,MAX(0.1,Skills!D21-IF(Skills!E21=TRUE,Inputs!$B$32,0))),0)</f>
        <v/>
      </c>
      <c r="R1573" t="n">
        <v>0</v>
      </c>
      <c r="S1573" t="n">
        <v>0</v>
      </c>
      <c r="U1573" t="n">
        <v>0</v>
      </c>
    </row>
    <row r="1574">
      <c r="A1574">
        <f>Skills!A22</f>
        <v/>
      </c>
      <c r="B1574">
        <f>Skills!B22</f>
        <v/>
      </c>
      <c r="C1574">
        <f>Inputs!$B$3&gt;=117</f>
        <v/>
      </c>
      <c r="D1574">
        <f>IF(Skills!C22=1,60+Inputs!$B$25+Inputs!$B$29,IF(Skills!C22=2,90+Inputs!$B$26+Inputs!$B$29,IF(Skills!C22=3,120+Inputs!$B$27+Inputs!$B$29,MAX(0,(Inputs!$B$3-100)*3)+Inputs!$B$28+Inputs!$B$29)))</f>
        <v/>
      </c>
      <c r="E1574">
        <f>INDEX(FactorTable!$B$2:$Y$301, MATCH(ROUND(MIN(300,MAX(1,D1574)),0), FactorTable!$A$2:$A$301,0), Skills!L22+1)</f>
        <v/>
      </c>
      <c r="F1574">
        <f>IF(Skills!M22=TRUE,(Skills!K22/10)*(E1574/1000),Skills!K22/10)+Skills!N22</f>
        <v/>
      </c>
      <c r="G1574">
        <f>Calc!G22</f>
        <v/>
      </c>
      <c r="H1574">
        <f>Calc!H22</f>
        <v/>
      </c>
      <c r="I1574">
        <f>IF(Skills!T22&lt;&gt;"",1+(Skills!T22/10)*(Z1555/1000)/100,1)</f>
        <v/>
      </c>
      <c r="J1574" t="inlineStr"/>
      <c r="K1574" t="inlineStr"/>
      <c r="L1574" t="inlineStr"/>
      <c r="M1574" t="inlineStr"/>
      <c r="N1574" t="inlineStr"/>
      <c r="O1574">
        <f>(1-Summary!$B$11)*S1574+Summary!$B$11*U1574</f>
        <v/>
      </c>
      <c r="P1574">
        <f>IF(B1588=0,0,O1574/B1588)</f>
        <v/>
      </c>
      <c r="Q1574">
        <f>IFERROR(1/IF(Inputs!$B$38="pvp",15,MAX(0.1,Skills!D22-IF(Skills!E22=TRUE,Inputs!$B$32,0))),0)</f>
        <v/>
      </c>
      <c r="R1574" t="n">
        <v>0</v>
      </c>
      <c r="S1574" t="n">
        <v>0</v>
      </c>
      <c r="U1574" t="n">
        <v>0</v>
      </c>
    </row>
    <row r="1575">
      <c r="A1575">
        <f>Skills!A23</f>
        <v/>
      </c>
      <c r="B1575">
        <f>Skills!B23</f>
        <v/>
      </c>
      <c r="C1575">
        <f>Inputs!$B$3&gt;=120</f>
        <v/>
      </c>
      <c r="D1575">
        <f>IF(Skills!C23=1,60+Inputs!$B$25+Inputs!$B$29,IF(Skills!C23=2,90+Inputs!$B$26+Inputs!$B$29,IF(Skills!C23=3,120+Inputs!$B$27+Inputs!$B$29,MAX(0,(Inputs!$B$3-100)*3)+Inputs!$B$28+Inputs!$B$29)))</f>
        <v/>
      </c>
      <c r="E1575">
        <f>INDEX(FactorTable!$B$2:$Y$301, MATCH(ROUND(MIN(300,MAX(1,D1575)),0), FactorTable!$A$2:$A$301,0), Skills!L23+1)</f>
        <v/>
      </c>
      <c r="F1575">
        <f>IF(Skills!M23=TRUE,(Skills!K23/10)*(E1575/1000),Skills!K23/10)+Skills!N23</f>
        <v/>
      </c>
      <c r="G1575">
        <f>Calc!G23</f>
        <v/>
      </c>
      <c r="H1575">
        <f>Calc!H23</f>
        <v/>
      </c>
      <c r="I1575">
        <f>IF(Skills!T23&lt;&gt;"",1+(Skills!T23/10)*(Z1555/1000)/100,1)</f>
        <v/>
      </c>
      <c r="J1575" t="inlineStr"/>
      <c r="K1575" t="inlineStr"/>
      <c r="L1575" t="inlineStr"/>
      <c r="M1575" t="inlineStr"/>
      <c r="N1575" t="inlineStr"/>
      <c r="O1575">
        <f>(1-Summary!$B$11)*S1575+Summary!$B$11*U1575</f>
        <v/>
      </c>
      <c r="P1575">
        <f>IF(B1588=0,0,O1575/B1588)</f>
        <v/>
      </c>
      <c r="Q1575">
        <f>IFERROR(1/IF(Inputs!$B$38="pvp",15,MAX(0.1,Skills!D23-IF(Skills!E23=TRUE,Inputs!$B$32,0))),0)</f>
        <v/>
      </c>
      <c r="R1575" t="n">
        <v>0</v>
      </c>
      <c r="S1575" t="n">
        <v>0</v>
      </c>
      <c r="U1575" t="n">
        <v>0</v>
      </c>
    </row>
    <row r="1578">
      <c r="A1578" t="inlineStr">
        <is>
          <t>Average Buff Multiplier (Magic Guard + Meditation + Artifact Attack%, summed; then Infinity)</t>
        </is>
      </c>
      <c r="B1578">
        <f>(1+(IF(C1555=TRUE,F1555*IF(AND(Inputs!$B$38&lt;&gt;"pvp",Inputs!$B$43&gt;0),(((R1555-1)*(Skills!S3*(1+(Inputs!$B$34+IF(Inputs!$B$3&gt;=117,F1574,0))/100))+MIN((Skills!S3*(1+(Inputs!$B$34+IF(Inputs!$B$3&gt;=117,F1574,0))/100)),MAX(0,Inputs!$B$43-((R1555-1)*Skills!D3))))/Inputs!$B$43),IF(Inputs!$B$38="pvp",MIN((Skills!S3*(1+(Inputs!$B$34+IF(Inputs!$B$3&gt;=117,F1574,0))/100)),15)/15,(Skills!S3*(1+(Inputs!$B$34+IF(Inputs!$B$3&gt;=117,F1574,0))/100))/Skills!D3)),0)+IF(C1556=TRUE,F1556*IF(AND(Inputs!$B$38&lt;&gt;"pvp",Inputs!$B$43&gt;0),(((R1556-1)*(Skills!S4*(1+(Inputs!$B$34+IF(Inputs!$B$3&gt;=117,F1574,0))/100))+MIN((Skills!S4*(1+(Inputs!$B$34+IF(Inputs!$B$3&gt;=117,F1574,0))/100)),MAX(0,Inputs!$B$43-((R1556-1)*Skills!D4))))/Inputs!$B$43),IF(Inputs!$B$38="pvp",MIN((Skills!S4*(1+(Inputs!$B$34+IF(Inputs!$B$3&gt;=117,F1574,0))/100)),15)/15,(Skills!S4*(1+(Inputs!$B$34+IF(Inputs!$B$3&gt;=117,F1574,0)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1568=TRUE,(1+F1568*IF(AND(Inputs!$B$38&lt;&gt;"pvp",Inputs!$B$43&gt;0),(((R1568-1)*(Skills!S16*(1+(Inputs!$B$34+IF(Inputs!$B$3&gt;=117,F1574,0))/100))+MIN((Skills!S16*(1+(Inputs!$B$34+IF(Inputs!$B$3&gt;=117,F1574,0))/100)),MAX(0,Inputs!$B$43-((R1568-1)*Skills!D16))))/Inputs!$B$43),IF(Inputs!$B$38="pvp",MIN((Skills!S16*(1+(Inputs!$B$34+IF(Inputs!$B$3&gt;=117,F1574,0))/100)),15)/15,(Skills!S16*(1+(Inputs!$B$34+IF(Inputs!$B$3&gt;=117,F1574,0))/100))/Skills!D16))/100),1)</f>
        <v/>
      </c>
    </row>
    <row r="1579">
      <c r="A1579" t="inlineStr">
        <is>
          <t>Monster Damage Taken Bonus % (Freezing Breath - Weaken + Elemental Reset + Artifact Enemy Damage Taken, summed)</t>
        </is>
      </c>
      <c r="B1579">
        <f>IF(Inputs!$B$3&gt;=118,15*IF(Inputs!$B$38="pvp",MIN((30*(1+(Inputs!$B$34+IF(Inputs!$B$3&gt;=117,F1574,0))/100)),15)/15,(30*(1+(Inputs!$B$34+IF(Inputs!$B$3&gt;=117,F1574,0))/100))/Skills!D8),0)+IF(C1566=TRUE,F1566,0)+(IF(AND(ArtifactsInput!$M$35,Inputs!$B$4&lt;&gt;"Chapter Hunt"),CHOOSE(ArtifactsInput!$N$35+1,15,18,21,24,27,30)*(1-EXP(-(0.2*B1582)*5)),0)+IF(AND(ArtifactsInput!$M$22,Inputs!$B$4&lt;&gt;"Chapter Hunt"),CHOOSE(ArtifactsInput!$N$22+1,10,12,14,16,18,20)*((0*(((0.15*B1582*5))^0/1)+1*(((0.15*B1582*5))^1/1)+2*(((0.15*B1582*5))^2/2)+3*(((0.15*B1582*5))^3/6)+4*(((0.15*B1582*5))^4/24)+5*(((0.15*B1582*5))^5/120))/((((0.15*B1582*5))^0/1)+(((0.15*B1582*5))^1/1)+(((0.15*B1582*5))^2/2)+(((0.15*B1582*5))^3/6)+(((0.15*B1582*5))^4/24)+(((0.15*B1582*5))^5/120))),0))</f>
        <v/>
      </c>
    </row>
    <row r="1580">
      <c r="A1580" t="inlineStr">
        <is>
          <t>Damage % Bonus (Frozen Break + Frost Clutch, flat)</t>
        </is>
      </c>
      <c r="B1580">
        <f>IF(Inputs!$B$3&gt;=66,15,0)+IF(Inputs!$B$3&gt;=98,10,0)+IF(Inputs!$B$3&gt;=125,20,0)</f>
        <v/>
      </c>
    </row>
    <row r="1581">
      <c r="A1581" t="inlineStr">
        <is>
          <t>Attack Speed Bonus % (MP Eater - MP Boost, always-on once unlocked)</t>
        </is>
      </c>
      <c r="B1581">
        <f>IF(C1565=TRUE,F1565+(F1569-Calc!F17),0)</f>
        <v/>
      </c>
    </row>
    <row r="1582">
      <c r="A1582" t="inlineStr">
        <is>
          <t>Actions Per Second</t>
        </is>
      </c>
      <c r="B1582">
        <f>1+MIN(150,150*(1-(1-(Inputs!$B$11+(ArtifactsInput!$M$15-ArtifactsInput!$M$15)*CHOOSE(ArtifactsInput!$N$15+1,8,9.6,11.2,12.8,14.4,16))/150)*(1-B1581/150)))/100</f>
        <v/>
      </c>
    </row>
    <row r="1583">
      <c r="A1583" t="inlineStr">
        <is>
          <t>Skill + Buff Cast Rate</t>
        </is>
      </c>
      <c r="B1583">
        <f>IF(AND(Inputs!$B$38&lt;&gt;"pvp",Inputs!$B$43&gt;0),SUMPRODUCT((Skills!E2:E23=TRUE)*(C1554:C1575=TRUE)*R1554:R1575)/Inputs!$B$43,SUMPRODUCT((Skills!E2:E23=TRUE)*(C1554:C1575=TRUE)*Q1554:Q1575))</f>
        <v/>
      </c>
    </row>
    <row r="1584">
      <c r="A1584" t="inlineStr">
        <is>
          <t>Chain Lightning Casts Per Second</t>
        </is>
      </c>
      <c r="B1584">
        <f>MAX(0,B1582-B1583)</f>
        <v/>
      </c>
    </row>
    <row r="1585">
      <c r="A1585" t="inlineStr">
        <is>
          <t>Buff-Casting Startup Delay (s, fixed-duration only)</t>
        </is>
      </c>
      <c r="B1585">
        <f>IF(AND(Inputs!$B$38&lt;&gt;"pvp",Inputs!$B$43&gt;0),SUMPRODUCT((Skills!S2:S23&gt;0)*(Skills!E2:E23=TRUE)*(C1554:C1575=TRUE))/B1582,0)</f>
        <v/>
      </c>
    </row>
    <row r="1586">
      <c r="A1586" t="inlineStr">
        <is>
          <t>Boss-Only Total DPS (this block's swept value)</t>
        </is>
      </c>
      <c r="B1586">
        <f>SUM(S1554:S1575)</f>
        <v/>
      </c>
    </row>
    <row r="1587">
      <c r="A1587" t="inlineStr">
        <is>
          <t>Normal-Only Total DPS (this block's swept value)</t>
        </is>
      </c>
      <c r="B1587">
        <f>SUM(U1554:U1575)</f>
        <v/>
      </c>
    </row>
    <row r="1588">
      <c r="A1588" s="6" t="inlineStr">
        <is>
          <t>TOTAL DPS</t>
        </is>
      </c>
      <c r="B1588" s="6">
        <f>SUM(O1554:O1575)</f>
        <v/>
      </c>
    </row>
    <row r="1591">
      <c r="A1591" s="6" t="inlineStr">
        <is>
          <t>Stat: Old Music Box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R1592" t="inlineStr">
        <is>
          <t>helpers</t>
        </is>
      </c>
    </row>
    <row r="1593">
      <c r="A1593">
        <f>Skills!A2</f>
        <v/>
      </c>
      <c r="B1593">
        <f>Skills!B2</f>
        <v/>
      </c>
      <c r="C1593">
        <f>Inputs!$B$3&gt;=100</f>
        <v/>
      </c>
      <c r="D1593" t="inlineStr"/>
      <c r="E1593" t="inlineStr"/>
      <c r="F1593">
        <f>T1595+Skills!N2</f>
        <v/>
      </c>
      <c r="G1593">
        <f>Calc!G2</f>
        <v/>
      </c>
      <c r="H1593">
        <f>Calc!H2</f>
        <v/>
      </c>
      <c r="I1593">
        <f>IF(Skills!T2&lt;&gt;"",1+(Skills!T2/10)*(Z1594/1000)/100,1)</f>
        <v/>
      </c>
      <c r="J1593">
        <f>((Inputs!$B$6*(1+Inputs!$B$7/100))+(((Inputs!$B$12*(1+Inputs!$B$13/100))-(Inputs!$B$12*(1+Inputs!$B$13/100)))+0.25*(Inputs!$B$14-Inputs!$B$14))*(1+Inputs!$B$7/100))*(F1593/100)</f>
        <v/>
      </c>
      <c r="K1593">
        <f>J1593*(1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F1609-Calc!F18),(Inputs!$B$23+(IF(ArtifactsInput!$M$15,CHOOSE(ArtifactsInput!$N$15+1,25,30,35,40,45,50)/100*(Inputs!$B$11-Inputs!$B$11),0))))/100+(Inputs!$B$23+(IF(ArtifactsInput!$M$15,CHOOSE(ArtifactsInput!$N$15+1,25,30,35,40,45,50)/100*(Inputs!$B$11-Inputs!$B$11),0)))/100)/2</f>
        <v/>
      </c>
      <c r="M1593">
        <f>L1593*(1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(1-Summary!$B$11)*S1593+Summary!$B$11*U1593</f>
        <v/>
      </c>
      <c r="P1593">
        <f>IF(B1627=0,0,O1593/B1627)</f>
        <v/>
      </c>
      <c r="Q1593">
        <f>IFERROR(1/IF(Inputs!$B$38="pvp",15,MAX(0.1,Skills!D2-IF(Skills!E2=TRUE,Inputs!$B$32,0))),0)</f>
        <v/>
      </c>
      <c r="R1593" t="n">
        <v>0</v>
      </c>
      <c r="S1593">
        <f>IF(C1593,(Skills!F2*N1593*B1623)*IF(Inputs!$B$38="pvp",1,1+(Inputs!$B$20+Skills!O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93">
        <f>MAX(0,(Inputs!$B$3-100)*3)+Inputs!$B$28+Inputs!$B$29</f>
        <v/>
      </c>
      <c r="U1593">
        <f>IF(C1593,(Skills!F2*N1593*B1623)*IF(Inputs!$B$38="pvp",1,(1+(Inputs!$B$21+Skills!P2+B1618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93">
        <f>MAX(0,(Inputs!$B$3-100)*3)+Inputs!$B$28+Inputs!$B$29</f>
        <v/>
      </c>
    </row>
    <row r="1594">
      <c r="A1594">
        <f>Skills!A3</f>
        <v/>
      </c>
      <c r="B1594">
        <f>Skills!B3</f>
        <v/>
      </c>
      <c r="C1594">
        <f>Inputs!$B$3&gt;=15</f>
        <v/>
      </c>
      <c r="D1594">
        <f>IF(Skills!C3=1,60+Inputs!$B$25+Inputs!$B$29,IF(Skills!C3=2,90+Inputs!$B$26+Inputs!$B$29,IF(Skills!C3=3,120+Inputs!$B$27+Inputs!$B$29,MAX(0,(Inputs!$B$3-100)*3)+Inputs!$B$28+Inputs!$B$29)))</f>
        <v/>
      </c>
      <c r="E1594">
        <f>INDEX(FactorTable!$B$2:$Y$301, MATCH(ROUND(MIN(300,MAX(1,D1594)),0), FactorTable!$A$2:$A$301,0), Skills!L3+1)</f>
        <v/>
      </c>
      <c r="F1594">
        <f>IF(Skills!M3=TRUE,(Skills!K3/10)*(E1594/1000),Skills!K3/10)+Skills!N3</f>
        <v/>
      </c>
      <c r="G1594">
        <f>Calc!G3</f>
        <v/>
      </c>
      <c r="H1594">
        <f>Calc!H3</f>
        <v/>
      </c>
      <c r="I1594">
        <f>IF(Skills!T3&lt;&gt;"",1+(Skills!T3/10)*(Z1594/1000)/100,1)</f>
        <v/>
      </c>
      <c r="J1594" t="inlineStr"/>
      <c r="K1594" t="inlineStr"/>
      <c r="L1594" t="inlineStr"/>
      <c r="M1594" t="inlineStr"/>
      <c r="N1594" t="inlineStr"/>
      <c r="O1594">
        <f>(1-Summary!$B$11)*S1594+Summary!$B$11*U1594</f>
        <v/>
      </c>
      <c r="P1594">
        <f>IF(B1627=0,0,O1594/B1627)</f>
        <v/>
      </c>
      <c r="Q1594">
        <f>IFERROR(1/IF(Inputs!$B$38="pvp",15,MAX(0.1,Skills!D3-IF(Skills!E3=TRUE,Inputs!$B$32,0))),0)</f>
        <v/>
      </c>
      <c r="R1594">
        <f>IF(AND(Inputs!$B$38&lt;&gt;"pvp",Inputs!$B$43&gt;0),IF(Inputs!$B$43&lt;=0,0,(INT(Inputs!$B$43/IF(Inputs!$B$38="pvp",15,MAX(0.1,Skills!D3-IF(Skills!E3=TRUE,Inputs!$B$32,0))))+1)),0)</f>
        <v/>
      </c>
      <c r="S1594" t="n">
        <v>0</v>
      </c>
      <c r="T1594">
        <f>INDEX(FactorTable!$B$2:$Y$301, MATCH(ROUND(MIN(300,MAX(1,T1593)),0), FactorTable!$A$2:$A$301,0), 22)</f>
        <v/>
      </c>
      <c r="U1594" t="n">
        <v>0</v>
      </c>
      <c r="Z1594">
        <f>INDEX(FactorTable!$B$2:$Y$301, MATCH(ROUND(MIN(300,MAX(1,Z1593)),0), FactorTable!$A$2:$A$301,0), 24)</f>
        <v/>
      </c>
    </row>
    <row r="1595">
      <c r="A1595">
        <f>Skills!A4</f>
        <v/>
      </c>
      <c r="B1595">
        <f>Skills!B4</f>
        <v/>
      </c>
      <c r="C1595">
        <f>Inputs!$B$3&gt;=40</f>
        <v/>
      </c>
      <c r="D1595">
        <f>IF(Skills!C4=1,60+Inputs!$B$25+Inputs!$B$29,IF(Skills!C4=2,90+Inputs!$B$26+Inputs!$B$29,IF(Skills!C4=3,120+Inputs!$B$27+Inputs!$B$29,MAX(0,(Inputs!$B$3-100)*3)+Inputs!$B$28+Inputs!$B$29)))</f>
        <v/>
      </c>
      <c r="E1595">
        <f>INDEX(FactorTable!$B$2:$Y$301, MATCH(ROUND(MIN(300,MAX(1,D1595)),0), FactorTable!$A$2:$A$301,0), Skills!L4+1)</f>
        <v/>
      </c>
      <c r="F1595">
        <f>IF(Skills!M4=TRUE,(Skills!K4/10)*(E1595/1000),Skills!K4/10)+Skills!N4</f>
        <v/>
      </c>
      <c r="G1595">
        <f>Calc!G4</f>
        <v/>
      </c>
      <c r="H1595">
        <f>Calc!H4</f>
        <v/>
      </c>
      <c r="I1595">
        <f>IF(Skills!T4&lt;&gt;"",1+(Skills!T4/10)*(Z1594/1000)/100,1)</f>
        <v/>
      </c>
      <c r="J1595" t="inlineStr"/>
      <c r="K1595" t="inlineStr"/>
      <c r="L1595" t="inlineStr"/>
      <c r="M1595" t="inlineStr"/>
      <c r="N1595" t="inlineStr"/>
      <c r="O1595">
        <f>(1-Summary!$B$11)*S1595+Summary!$B$11*U1595</f>
        <v/>
      </c>
      <c r="P1595">
        <f>IF(B1627=0,0,O1595/B1627)</f>
        <v/>
      </c>
      <c r="Q1595">
        <f>IFERROR(1/IF(Inputs!$B$38="pvp",15,MAX(0.1,Skills!D4-IF(Skills!E4=TRUE,Inputs!$B$32,0))),0)</f>
        <v/>
      </c>
      <c r="R1595">
        <f>IF(AND(Inputs!$B$38&lt;&gt;"pvp",Inputs!$B$43&gt;0),IF(Inputs!$B$43&lt;=0,0,(INT(Inputs!$B$43/IF(Inputs!$B$38="pvp",15,MAX(0.1,Skills!D4-IF(Skills!E4=TRUE,Inputs!$B$32,0))))+1)),0)</f>
        <v/>
      </c>
      <c r="S1595" t="n">
        <v>0</v>
      </c>
      <c r="T1595">
        <f>290*T1594/1000</f>
        <v/>
      </c>
      <c r="U1595" t="n">
        <v>0</v>
      </c>
    </row>
    <row r="1596">
      <c r="A1596">
        <f>Skills!A5</f>
        <v/>
      </c>
      <c r="B1596">
        <f>Skills!B5</f>
        <v/>
      </c>
      <c r="C1596">
        <f>Inputs!$B$3&gt;=38</f>
        <v/>
      </c>
      <c r="D1596">
        <f>IF(Skills!C5=1,60+Inputs!$B$25+Inputs!$B$29,IF(Skills!C5=2,90+Inputs!$B$26+Inputs!$B$29,IF(Skills!C5=3,120+Inputs!$B$27+Inputs!$B$29,MAX(0,(Inputs!$B$3-100)*3)+Inputs!$B$28+Inputs!$B$29)))</f>
        <v/>
      </c>
      <c r="E1596">
        <f>INDEX(FactorTable!$B$2:$Y$301, MATCH(ROUND(MIN(300,MAX(1,D1596)),0), FactorTable!$A$2:$A$301,0), Skills!L5+1)</f>
        <v/>
      </c>
      <c r="F1596">
        <f>IF(Skills!M5=TRUE,(Skills!K5/10)*(E1596/1000),Skills!K5/10)+Skills!N5</f>
        <v/>
      </c>
      <c r="G1596">
        <f>Calc!G5</f>
        <v/>
      </c>
      <c r="H1596">
        <f>Calc!H5</f>
        <v/>
      </c>
      <c r="I1596">
        <f>IF(Skills!T5&lt;&gt;"",1+(Skills!T5/10)*(Z1594/1000)/100,1)</f>
        <v/>
      </c>
      <c r="J1596">
        <f>((Inputs!$B$6*(1+Inputs!$B$7/100))+(((Inputs!$B$12*(1+Inputs!$B$13/100))-(Inputs!$B$12*(1+Inputs!$B$13/100)))+0.25*(Inputs!$B$14-Inputs!$B$14))*(1+Inputs!$B$7/100))*(F1596/100)</f>
        <v/>
      </c>
      <c r="K1596">
        <f>J1596*(1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1609-Calc!F18),(Inputs!$B$23+(IF(ArtifactsInput!$M$15,CHOOSE(ArtifactsInput!$N$15+1,25,30,35,40,45,50)/100*(Inputs!$B$11-Inputs!$B$11),0))))/100+(Inputs!$B$23+(IF(ArtifactsInput!$M$15,CHOOSE(ArtifactsInput!$N$15+1,25,30,35,40,45,50)/100*(Inputs!$B$11-Inputs!$B$11),0)))/100)/2</f>
        <v/>
      </c>
      <c r="M1596">
        <f>L1596*(1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IF(B1627=0,0,O1596/B1627)</f>
        <v/>
      </c>
      <c r="Q1596">
        <f>IFERROR(1/IF(Inputs!$B$38="pvp",15,MAX(0.1,Skills!D5-IF(Skills!E5=TRUE,Inputs!$B$32,0))),0)</f>
        <v/>
      </c>
      <c r="R1596">
        <f>IF(AND(Inputs!$B$38&lt;&gt;"pvp",Inputs!$B$43&gt;0),IF(MAX(0,Inputs!$B$43-B1624)&lt;=0,0,(INT(MAX(0,Inputs!$B$43-B1624)/IF(Inputs!$B$38="pvp",15,MAX(0.1,Skills!D5-IF(Skills!E5=TRUE,Inputs!$B$32,0))))+1)),0)</f>
        <v/>
      </c>
      <c r="S1596">
        <f>IF(C1596,(H1596*N1596*IF(AND(Inputs!$B$38&lt;&gt;"pvp",Inputs!$B$43&gt;0),((Skills!F5*((R1596-1)*IF(Skills!G5&gt;0,Skills!H5/Skills!G5,1)+IF(Skills!G5&gt;0,MIN(Skills!H5,MAX(0,MAX(0,Inputs!$B$43-B1624)-((R1596-1)*IF(Inputs!$B$38="pvp",15,MAX(0.1,Skills!D5-IF(Skills!E5=TRUE,Inputs!$B$32,0))))))/Skills!G5,1)))/Inputs!$B$43),G1596*Q1596))*IF(Inputs!$B$38="pvp",1,1+(Inputs!$B$20+Skills!O5+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5*((R1596-1)*IF(Skills!G5&gt;0,Skills!H5/Skills!G5,1)+IF(Skills!G5&gt;0,MIN(Skills!H5,MAX(0,MAX(0,Inputs!$B$43-B1624)-((R1596-1)*IF(Inputs!$B$38="pvp",15,MAX(0.1,Skills!D5-IF(Skills!E5=TRUE,Inputs!$B$32,0))))))/Skills!G5,1)))/Inputs!$B$43),G1596*Q1596))*IF(Inputs!$B$38="pvp",1,(1+(Inputs!$B$21+Skills!P5+B1618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Inputs!$B$3&gt;=63</f>
        <v/>
      </c>
      <c r="D1597">
        <f>IF(Skills!C6=1,60+Inputs!$B$25+Inputs!$B$29,IF(Skills!C6=2,90+Inputs!$B$26+Inputs!$B$29,IF(Skills!C6=3,120+Inputs!$B$27+Inputs!$B$29,MAX(0,(Inputs!$B$3-100)*3)+Inputs!$B$28+Inputs!$B$29)))</f>
        <v/>
      </c>
      <c r="E1597">
        <f>INDEX(FactorTable!$B$2:$Y$301, MATCH(ROUND(MIN(300,MAX(1,D1597)),0), FactorTable!$A$2:$A$301,0), Skills!L6+1)</f>
        <v/>
      </c>
      <c r="F1597">
        <f>IF(Skills!M6=TRUE,(Skills!K6/10)*(E1597/1000),Skills!K6/10)+Skills!N6</f>
        <v/>
      </c>
      <c r="G1597">
        <f>Calc!G6</f>
        <v/>
      </c>
      <c r="H1597">
        <f>Calc!H6</f>
        <v/>
      </c>
      <c r="I1597">
        <f>IF(Skills!T6&lt;&gt;"",1+(Skills!T6/10)*(Z1594/1000)/100,1)</f>
        <v/>
      </c>
      <c r="J1597">
        <f>((Inputs!$B$6*(1+Inputs!$B$7/100))+(((Inputs!$B$12*(1+Inputs!$B$13/100))-(Inputs!$B$12*(1+Inputs!$B$13/100)))+0.25*(Inputs!$B$14-Inputs!$B$14))*(1+Inputs!$B$7/100))*(F1597/100)</f>
        <v/>
      </c>
      <c r="K1597">
        <f>J1597*(1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1609-Calc!F18),(Inputs!$B$23+(IF(ArtifactsInput!$M$15,CHOOSE(ArtifactsInput!$N$15+1,25,30,35,40,45,50)/100*(Inputs!$B$11-Inputs!$B$11),0))))/100+(Inputs!$B$23+(IF(ArtifactsInput!$M$15,CHOOSE(ArtifactsInput!$N$15+1,25,30,35,40,45,50)/100*(Inputs!$B$11-Inputs!$B$11),0)))/100)/2</f>
        <v/>
      </c>
      <c r="M1597">
        <f>L1597*(1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IF(B1627=0,0,O1597/B1627)</f>
        <v/>
      </c>
      <c r="Q1597">
        <f>IFERROR(1/IF(Inputs!$B$38="pvp",15,MAX(0.1,Skills!D6-IF(Skills!E6=TRUE,Inputs!$B$32,0))),0)</f>
        <v/>
      </c>
      <c r="R1597">
        <f>IF(AND(Inputs!$B$38&lt;&gt;"pvp",Inputs!$B$43&gt;0),IF(MAX(0,Inputs!$B$43-B1624)&lt;=0,0,(INT(MAX(0,Inputs!$B$43-B1624)/IF(Inputs!$B$38="pvp",15,MAX(0.1,Skills!D6-IF(Skills!E6=TRUE,Inputs!$B$32,0))))+1)),0)</f>
        <v/>
      </c>
      <c r="S1597">
        <f>IF(C1597,(H1597*N1597*IF(AND(Inputs!$B$38&lt;&gt;"pvp",Inputs!$B$43&gt;0),((Skills!F6*((R1597-1)*IF(Skills!G6&gt;0,Skills!H6/Skills!G6,1)+IF(Skills!G6&gt;0,MIN(Skills!H6,MAX(0,MAX(0,Inputs!$B$43-B1624)-((R1597-1)*IF(Inputs!$B$38="pvp",15,MAX(0.1,Skills!D6-IF(Skills!E6=TRUE,Inputs!$B$32,0))))))/Skills!G6,1)))/Inputs!$B$43),G1597*Q1597))*IF(Inputs!$B$38="pvp",1,1+(Inputs!$B$20+Skills!O6+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N1597*IF(AND(Inputs!$B$38&lt;&gt;"pvp",Inputs!$B$43&gt;0),((Skills!F6*((R1597-1)*IF(Skills!G6&gt;0,Skills!H6/Skills!G6,1)+IF(Skills!G6&gt;0,MIN(Skills!H6,MAX(0,MAX(0,Inputs!$B$43-B1624)-((R1597-1)*IF(Inputs!$B$38="pvp",15,MAX(0.1,Skills!D6-IF(Skills!E6=TRUE,Inputs!$B$32,0))))))/Skills!G6,1)))/Inputs!$B$43),G1597*Q1597))*IF(Inputs!$B$38="pvp",1,(1+(Inputs!$B$21+Skills!P6+B1618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Inputs!$B$3&gt;=69</f>
        <v/>
      </c>
      <c r="D1598">
        <f>IF(Skills!C7=1,60+Inputs!$B$25+Inputs!$B$29,IF(Skills!C7=2,90+Inputs!$B$26+Inputs!$B$29,IF(Skills!C7=3,120+Inputs!$B$27+Inputs!$B$29,MAX(0,(Inputs!$B$3-100)*3)+Inputs!$B$28+Inputs!$B$29)))</f>
        <v/>
      </c>
      <c r="E1598">
        <f>INDEX(FactorTable!$B$2:$Y$301, MATCH(ROUND(MIN(300,MAX(1,D1598)),0), FactorTable!$A$2:$A$301,0), Skills!L7+1)</f>
        <v/>
      </c>
      <c r="F1598">
        <f>IF(Skills!M7=TRUE,(Skills!K7/10)*(E1598/1000),Skills!K7/10)+Skills!N7</f>
        <v/>
      </c>
      <c r="G1598">
        <f>Calc!G7</f>
        <v/>
      </c>
      <c r="H1598">
        <f>Calc!H7</f>
        <v/>
      </c>
      <c r="I1598">
        <f>IF(Skills!T7&lt;&gt;"",1+(Skills!T7/10)*(Z1594/1000)/100,1)</f>
        <v/>
      </c>
      <c r="J1598">
        <f>((Inputs!$B$6*(1+Inputs!$B$7/100))+(((Inputs!$B$12*(1+Inputs!$B$13/100))-(Inputs!$B$12*(1+Inputs!$B$13/100)))+0.25*(Inputs!$B$14-Inputs!$B$14))*(1+Inputs!$B$7/100))*(F1598/100)</f>
        <v/>
      </c>
      <c r="K1598">
        <f>J1598*(1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1609-Calc!F18),(Inputs!$B$23+(IF(ArtifactsInput!$M$15,CHOOSE(ArtifactsInput!$N$15+1,25,30,35,40,45,50)/100*(Inputs!$B$11-Inputs!$B$11),0))))/100+(Inputs!$B$23+(IF(ArtifactsInput!$M$15,CHOOSE(ArtifactsInput!$N$15+1,25,30,35,40,45,50)/100*(Inputs!$B$11-Inputs!$B$11),0)))/100)/2</f>
        <v/>
      </c>
      <c r="M1598">
        <f>L1598*(1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IF(B1627=0,0,O1598/B1627)</f>
        <v/>
      </c>
      <c r="Q1598">
        <f>IFERROR(1/IF(Inputs!$B$38="pvp",15,MAX(0.1,Skills!D7-IF(Skills!E7=TRUE,Inputs!$B$32,0))),0)</f>
        <v/>
      </c>
      <c r="R1598">
        <f>IF(AND(Inputs!$B$38&lt;&gt;"pvp",Inputs!$B$43&gt;0),IF(MAX(0,Inputs!$B$43-B1624)&lt;=0,0,(INT(MAX(0,Inputs!$B$43-B1624)/IF(Inputs!$B$38="pvp",15,MAX(0.1,Skills!D7-IF(Skills!E7=TRUE,Inputs!$B$32,0))))+1)),0)</f>
        <v/>
      </c>
      <c r="S1598">
        <f>IF(C1598,(H1598*N1598*IF(AND(Inputs!$B$38&lt;&gt;"pvp",Inputs!$B$43&gt;0),((Skills!F7*((R1598-1)*IF(Skills!G7&gt;0,Skills!H7/Skills!G7,1)+IF(Skills!G7&gt;0,MIN(Skills!H7,MAX(0,MAX(0,Inputs!$B$43-B1624)-((R1598-1)*IF(Inputs!$B$38="pvp",15,MAX(0.1,Skills!D7-IF(Skills!E7=TRUE,Inputs!$B$32,0))))))/Skills!G7,1)))/Inputs!$B$43),G1598*Q1598))*IF(Inputs!$B$38="pvp",1,1+(Inputs!$B$20+Skills!O7+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7*((R1598-1)*IF(Skills!G7&gt;0,Skills!H7/Skills!G7,1)+IF(Skills!G7&gt;0,MIN(Skills!H7,MAX(0,MAX(0,Inputs!$B$43-B1624)-((R1598-1)*IF(Inputs!$B$38="pvp",15,MAX(0.1,Skills!D7-IF(Skills!E7=TRUE,Inputs!$B$32,0))))))/Skills!G7,1)))/Inputs!$B$43),G1598*Q1598))*IF(Inputs!$B$38="pvp",1,(1+(Inputs!$B$21+Skills!P7+B1618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Inputs!$B$3&gt;=103</f>
        <v/>
      </c>
      <c r="D1599">
        <f>IF(Skills!C8=1,60+Inputs!$B$25+Inputs!$B$29,IF(Skills!C8=2,90+Inputs!$B$26+Inputs!$B$29,IF(Skills!C8=3,120+Inputs!$B$27+Inputs!$B$29,MAX(0,(Inputs!$B$3-100)*3)+Inputs!$B$28+Inputs!$B$29)))</f>
        <v/>
      </c>
      <c r="E1599">
        <f>INDEX(FactorTable!$B$2:$Y$301, MATCH(ROUND(MIN(300,MAX(1,D1599)),0), FactorTable!$A$2:$A$301,0), Skills!L8+1)</f>
        <v/>
      </c>
      <c r="F1599">
        <f>IF(Skills!M8=TRUE,(Skills!K8/10)*(E1599/1000),Skills!K8/10)+Skills!N8</f>
        <v/>
      </c>
      <c r="G1599">
        <f>Calc!G8</f>
        <v/>
      </c>
      <c r="H1599">
        <f>Calc!H8</f>
        <v/>
      </c>
      <c r="I1599">
        <f>IF(Skills!T8&lt;&gt;"",1+(Skills!T8/10)*(Z1594/1000)/100,1)</f>
        <v/>
      </c>
      <c r="J1599">
        <f>((Inputs!$B$6*(1+Inputs!$B$7/100))+(((Inputs!$B$12*(1+Inputs!$B$13/100))-(Inputs!$B$12*(1+Inputs!$B$13/100)))+0.25*(Inputs!$B$14-Inputs!$B$14))*(1+Inputs!$B$7/100))*(F1599/100)</f>
        <v/>
      </c>
      <c r="K1599">
        <f>J1599*(1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1609-Calc!F18),(Inputs!$B$23+(IF(ArtifactsInput!$M$15,CHOOSE(ArtifactsInput!$N$15+1,25,30,35,40,45,50)/100*(Inputs!$B$11-Inputs!$B$11),0))))/100+(Inputs!$B$23+(IF(ArtifactsInput!$M$15,CHOOSE(ArtifactsInput!$N$15+1,25,30,35,40,45,50)/100*(Inputs!$B$11-Inputs!$B$11),0)))/100)/2</f>
        <v/>
      </c>
      <c r="M1599">
        <f>L1599*(1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IF(B1627=0,0,O1599/B1627)</f>
        <v/>
      </c>
      <c r="Q1599">
        <f>IFERROR(1/IF(Inputs!$B$38="pvp",15,MAX(0.1,Skills!D8-IF(Skills!E8=TRUE,Inputs!$B$32,0))),0)</f>
        <v/>
      </c>
      <c r="R1599">
        <f>IF(AND(Inputs!$B$38&lt;&gt;"pvp",Inputs!$B$43&gt;0),IF(MAX(0,Inputs!$B$43-B1624)&lt;=0,0,(INT(MAX(0,Inputs!$B$43-B1624)/IF(Inputs!$B$38="pvp",15,MAX(0.1,Skills!D8-IF(Skills!E8=TRUE,Inputs!$B$32,0))))+1)),0)</f>
        <v/>
      </c>
      <c r="S1599">
        <f>IF(C1599,(H1599*N1599*IF(AND(Inputs!$B$38&lt;&gt;"pvp",Inputs!$B$43&gt;0),((Skills!F8*((R1599-1)*IF(Skills!G8&gt;0,Skills!H8/Skills!G8,1)+IF(Skills!G8&gt;0,MIN(Skills!H8,MAX(0,MAX(0,Inputs!$B$43-B1624)-((R1599-1)*IF(Inputs!$B$38="pvp",15,MAX(0.1,Skills!D8-IF(Skills!E8=TRUE,Inputs!$B$32,0))))))/Skills!G8,1)))/Inputs!$B$43),G1599*Q1599))*IF(Inputs!$B$38="pvp",1,1+(Inputs!$B$20+Skills!O8+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8*((R1599-1)*IF(Skills!G8&gt;0,Skills!H8/Skills!G8,1)+IF(Skills!G8&gt;0,MIN(Skills!H8,MAX(0,MAX(0,Inputs!$B$43-B1624)-((R1599-1)*IF(Inputs!$B$38="pvp",15,MAX(0.1,Skills!D8-IF(Skills!E8=TRUE,Inputs!$B$32,0))))))/Skills!G8,1)))/Inputs!$B$43),G1599*Q1599))*IF(Inputs!$B$38="pvp",1,(1+(Inputs!$B$21+Skills!P8+B1618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Inputs!$B$3&gt;=105</f>
        <v/>
      </c>
      <c r="D1600">
        <f>IF(Skills!C9=1,60+Inputs!$B$25+Inputs!$B$29,IF(Skills!C9=2,90+Inputs!$B$26+Inputs!$B$29,IF(Skills!C9=3,120+Inputs!$B$27+Inputs!$B$29,MAX(0,(Inputs!$B$3-100)*3)+Inputs!$B$28+Inputs!$B$29)))</f>
        <v/>
      </c>
      <c r="E1600">
        <f>INDEX(FactorTable!$B$2:$Y$301, MATCH(ROUND(MIN(300,MAX(1,D1600)),0), FactorTable!$A$2:$A$301,0), Skills!L9+1)</f>
        <v/>
      </c>
      <c r="F1600">
        <f>IF(Skills!M9=TRUE,(Skills!K9/10)*(E1600/1000),Skills!K9/10)+Skills!N9</f>
        <v/>
      </c>
      <c r="G1600">
        <f>Calc!G9</f>
        <v/>
      </c>
      <c r="H1600">
        <f>Calc!H9</f>
        <v/>
      </c>
      <c r="I1600">
        <f>IF(Skills!T9&lt;&gt;"",1+(Skills!T9/10)*(Z1594/1000)/100,1)</f>
        <v/>
      </c>
      <c r="J1600">
        <f>((Inputs!$B$6*(1+Inputs!$B$7/100))+(((Inputs!$B$12*(1+Inputs!$B$13/100))-(Inputs!$B$12*(1+Inputs!$B$13/100)))+0.25*(Inputs!$B$14-Inputs!$B$14))*(1+Inputs!$B$7/100))*(F1600/100)</f>
        <v/>
      </c>
      <c r="K1600">
        <f>J1600*(1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F1609-Calc!F18),(Inputs!$B$23+(IF(ArtifactsInput!$M$15,CHOOSE(ArtifactsInput!$N$15+1,25,30,35,40,45,50)/100*(Inputs!$B$11-Inputs!$B$11),0))))/100+(Inputs!$B$23+(IF(ArtifactsInput!$M$15,CHOOSE(ArtifactsInput!$N$15+1,25,30,35,40,45,50)/100*(Inputs!$B$11-Inputs!$B$11),0)))/100)/2</f>
        <v/>
      </c>
      <c r="M1600">
        <f>L1600*(1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(1-Summary!$B$11)*S1600+Summary!$B$11*U1600</f>
        <v/>
      </c>
      <c r="P1600">
        <f>IF(B1627=0,0,O1600/B1627)</f>
        <v/>
      </c>
      <c r="Q1600">
        <f>IFERROR(1/IF(Inputs!$B$38="pvp",15,MAX(0.1,Skills!D9-IF(Skills!E9=TRUE,Inputs!$B$32,0))),0)</f>
        <v/>
      </c>
      <c r="R1600">
        <f>IF(AND(Inputs!$B$38&lt;&gt;"pvp",Inputs!$B$43&gt;0),IF(MAX(0,Inputs!$B$43-B1624)&lt;=0,0,(INT(MAX(0,Inputs!$B$43-B1624)/IF(Inputs!$B$38="pvp",15,MAX(0.1,Skills!D9-IF(Skills!E9=TRUE,Inputs!$B$32,0))))+1)),0)</f>
        <v/>
      </c>
      <c r="S1600">
        <f>IF(C1600,(H1600*N1600*IF(AND(Inputs!$B$38&lt;&gt;"pvp",Inputs!$B$43&gt;0),((Skills!F9*((R1600-1)*IF(Skills!G9&gt;0,Skills!H9/Skills!G9,1)+IF(Skills!G9&gt;0,MIN(Skills!H9,MAX(0,MAX(0,Inputs!$B$43-B1624)-((R1600-1)*IF(Inputs!$B$38="pvp",15,MAX(0.1,Skills!D9-IF(Skills!E9=TRUE,Inputs!$B$32,0))))))/Skills!G9,1)))/Inputs!$B$43),G1600*Q1600))*IF(Inputs!$B$38="pvp",1,1+(Inputs!$B$20+Skills!O9+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0">
        <f>IF(C1600,(H1600*N1600*IF(AND(Inputs!$B$38&lt;&gt;"pvp",Inputs!$B$43&gt;0),((Skills!F9*((R1600-1)*IF(Skills!G9&gt;0,Skills!H9/Skills!G9,1)+IF(Skills!G9&gt;0,MIN(Skills!H9,MAX(0,MAX(0,Inputs!$B$43-B1624)-((R1600-1)*IF(Inputs!$B$38="pvp",15,MAX(0.1,Skills!D9-IF(Skills!E9=TRUE,Inputs!$B$32,0))))))/Skills!G9,1)))/Inputs!$B$43),G1600*Q1600))*IF(Inputs!$B$38="pvp",1,(1+(Inputs!$B$21+Skills!P9+B1618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Inputs!$B$3&gt;=113</f>
        <v/>
      </c>
      <c r="D1601">
        <f>IF(Skills!C10=1,60+Inputs!$B$25+Inputs!$B$29,IF(Skills!C10=2,90+Inputs!$B$26+Inputs!$B$29,IF(Skills!C10=3,120+Inputs!$B$27+Inputs!$B$29,MAX(0,(Inputs!$B$3-100)*3)+Inputs!$B$28+Inputs!$B$29)))</f>
        <v/>
      </c>
      <c r="E1601">
        <f>INDEX(FactorTable!$B$2:$Y$301, MATCH(ROUND(MIN(300,MAX(1,D1601)),0), FactorTable!$A$2:$A$301,0), Skills!L10+1)</f>
        <v/>
      </c>
      <c r="F1601">
        <f>IF(Skills!M10=TRUE,(Skills!K10/10)*(E1601/1000),Skills!K10/10)+Skills!N10</f>
        <v/>
      </c>
      <c r="G1601">
        <f>Calc!G10</f>
        <v/>
      </c>
      <c r="H1601">
        <f>Calc!H10</f>
        <v/>
      </c>
      <c r="I1601">
        <f>IF(Skills!T10&lt;&gt;"",1+(Skills!T10/10)*(Z1594/1000)/100,1)</f>
        <v/>
      </c>
      <c r="J1601">
        <f>((Inputs!$B$6*(1+Inputs!$B$7/100))+(((Inputs!$B$12*(1+Inputs!$B$13/100))-(Inputs!$B$12*(1+Inputs!$B$13/100)))+0.25*(Inputs!$B$14-Inputs!$B$14))*(1+Inputs!$B$7/100))*(F1601/100)</f>
        <v/>
      </c>
      <c r="K1601">
        <f>J1601*(1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F1609-Calc!F18),(Inputs!$B$23+(IF(ArtifactsInput!$M$15,CHOOSE(ArtifactsInput!$N$15+1,25,30,35,40,45,50)/100*(Inputs!$B$11-Inputs!$B$11),0))))/100+(Inputs!$B$23+(IF(ArtifactsInput!$M$15,CHOOSE(ArtifactsInput!$N$15+1,25,30,35,40,45,50)/100*(Inputs!$B$11-Inputs!$B$11),0)))/100)/2</f>
        <v/>
      </c>
      <c r="M1601">
        <f>L1601*(1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(1-Summary!$B$11)*S1601+Summary!$B$11*U1601</f>
        <v/>
      </c>
      <c r="P1601">
        <f>IF(B1627=0,0,O1601/B1627)</f>
        <v/>
      </c>
      <c r="Q1601">
        <f>IFERROR(1/IF(Inputs!$B$38="pvp",15,MAX(0.1,Skills!D10-IF(Skills!E9=TRUE,Inputs!$B$32,0))),0)</f>
        <v/>
      </c>
      <c r="R1601">
        <f>IF(AND(Inputs!$B$38&lt;&gt;"pvp",Inputs!$B$43&gt;0),IF(MAX(0,Inputs!$B$43-B1624)&lt;=0,0,(INT(MAX(0,Inputs!$B$43-B1624)/IF(Inputs!$B$38="pvp",15,MAX(0.1,Skills!D10-IF(Skills!E9=TRUE,Inputs!$B$32,0))))+1)),0)</f>
        <v/>
      </c>
      <c r="S1601">
        <f>IF(C1601,(H1601*N1601*IF(AND(Inputs!$B$38&lt;&gt;"pvp",Inputs!$B$43&gt;0),((Skills!F10*((R1601-1)*IF(Skills!G10&gt;0,Skills!H10/Skills!G10,1)+IF(Skills!G10&gt;0,MIN(Skills!H10,MAX(0,MAX(0,Inputs!$B$43-B1624)-((R1601-1)*IF(Inputs!$B$38="pvp",15,MAX(0.1,Skills!D10-IF(Skills!E9=TRUE,Inputs!$B$32,0))))))/Skills!G10,1)))/Inputs!$B$43),G1601*Q1601))*IF(Inputs!$B$38="pvp",1,1+(Inputs!$B$20+Skills!O10+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1">
        <f>IF(C1601,(H1601*N1601*IF(AND(Inputs!$B$38&lt;&gt;"pvp",Inputs!$B$43&gt;0),((Skills!F10*((R1601-1)*IF(Skills!G10&gt;0,Skills!H10/Skills!G10,1)+IF(Skills!G10&gt;0,MIN(Skills!H10,MAX(0,MAX(0,Inputs!$B$43-B1624)-((R1601-1)*IF(Inputs!$B$38="pvp",15,MAX(0.1,Skills!D10-IF(Skills!E9=TRUE,Inputs!$B$32,0))))))/Skills!G10,1)))/Inputs!$B$43),G1601*Q1601))*IF(Inputs!$B$38="pvp",1,(1+(Inputs!$B$21+Skills!P10+B1618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Inputs!$B$3&gt;=107</f>
        <v/>
      </c>
      <c r="D1602">
        <f>IF(Skills!C11=1,60+Inputs!$B$25+Inputs!$B$29,IF(Skills!C11=2,90+Inputs!$B$26+Inputs!$B$29,IF(Skills!C11=3,120+Inputs!$B$27+Inputs!$B$29,MAX(0,(Inputs!$B$3-100)*3)+Inputs!$B$28+Inputs!$B$29)))</f>
        <v/>
      </c>
      <c r="E1602">
        <f>INDEX(FactorTable!$B$2:$Y$301, MATCH(ROUND(MIN(300,MAX(1,D1602)),0), FactorTable!$A$2:$A$301,0), Skills!L11+1)</f>
        <v/>
      </c>
      <c r="F1602">
        <f>IF(Skills!M11=TRUE,(Skills!K11/10)*(E1602/1000),Skills!K11/10)+Skills!N11</f>
        <v/>
      </c>
      <c r="G1602">
        <f>Calc!G11</f>
        <v/>
      </c>
      <c r="H1602">
        <f>Calc!H11</f>
        <v/>
      </c>
      <c r="I1602">
        <f>IF(Skills!T11&lt;&gt;"",1+(Skills!T11/10)*(Z1594/1000)/100,1)</f>
        <v/>
      </c>
      <c r="J1602">
        <f>((Inputs!$B$6*(1+Inputs!$B$7/100))+(((Inputs!$B$12*(1+Inputs!$B$13/100))-(Inputs!$B$12*(1+Inputs!$B$13/100)))+0.25*(Inputs!$B$14-Inputs!$B$14))*(1+Inputs!$B$7/100))*(F1602/100)</f>
        <v/>
      </c>
      <c r="K1602">
        <f>J1602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F1609-Calc!F18),(Inputs!$B$23+(IF(ArtifactsInput!$M$15,CHOOSE(ArtifactsInput!$N$15+1,25,30,35,40,45,50)/100*(Inputs!$B$11-Inputs!$B$11),0))))/100+(Inputs!$B$23+(IF(ArtifactsInput!$M$15,CHOOSE(ArtifactsInput!$N$15+1,25,30,35,40,45,50)/100*(Inputs!$B$11-Inputs!$B$11),0)))/100)/2</f>
        <v/>
      </c>
      <c r="M1602">
        <f>L1602*(1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(1-Summary!$B$11)*S1602+Summary!$B$11*U1602</f>
        <v/>
      </c>
      <c r="P1602">
        <f>IF(B1627=0,0,O1602/B1627)</f>
        <v/>
      </c>
      <c r="Q1602">
        <f>IFERROR(1/IF(Inputs!$B$38="pvp",15,MAX(0.1,Skills!D11-IF(Skills!E11=TRUE,Inputs!$B$32,0))),0)</f>
        <v/>
      </c>
      <c r="R1602">
        <f>IF(AND(Inputs!$B$38&lt;&gt;"pvp",Inputs!$B$43&gt;0),IF(MAX(0,Inputs!$B$43-B1624)&lt;=0,0,(INT(MAX(0,Inputs!$B$43-B1624)/IF(Inputs!$B$38="pvp",15,MAX(0.1,Skills!D11-IF(Skills!E11=TRUE,Inputs!$B$32,0))))+1)),0)</f>
        <v/>
      </c>
      <c r="S1602">
        <f>IF(C1602,H1602*N1602*IF(AND(Inputs!$B$38&lt;&gt;"pvp",Inputs!$B$43&gt;0),((Skills!F11*((R1602-1)*IF(Skills!G11&gt;0,Skills!H11/Skills!G11,1)+IF(Skills!G11&gt;0,MIN(Skills!H11,MAX(0,MAX(0,Inputs!$B$43-B1624)-((R1602-1)*IF(Inputs!$B$38="pvp",15,MAX(0.1,Skills!D11-IF(Skills!E11=TRUE,Inputs!$B$32,0))))))/Skills!G11,1)))/Inputs!$B$43),G1602*Q1602)*0.5*IF(Inputs!$B$38="pvp",1,1+(Inputs!$B$20+Skills!O11+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1602*(1-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2">
        <f>IF(C1602,H1602*N1602*IF(AND(Inputs!$B$38&lt;&gt;"pvp",Inputs!$B$43&gt;0),((Skills!F11*((R1602-1)*IF(Skills!G11&gt;0,Skills!H11/Skills!G11,1)+IF(Skills!G11&gt;0,MIN(Skills!H11,MAX(0,MAX(0,Inputs!$B$43-B1624)-((R1602-1)*IF(Inputs!$B$38="pvp",15,MAX(0.1,Skills!D11-IF(Skills!E11=TRUE,Inputs!$B$32,0))))))/Skills!G11,1)))/Inputs!$B$43),G1602*Q1602)*1*IF(Inputs!$B$38="pvp",1,(1+(Inputs!$B$21+Skills!P11+B1618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Inputs!$B$3&gt;=115</f>
        <v/>
      </c>
      <c r="D1603">
        <f>IF(Skills!C12=1,60+Inputs!$B$25+Inputs!$B$29,IF(Skills!C12=2,90+Inputs!$B$26+Inputs!$B$29,IF(Skills!C12=3,120+Inputs!$B$27+Inputs!$B$29,MAX(0,(Inputs!$B$3-100)*3)+Inputs!$B$28+Inputs!$B$29)))</f>
        <v/>
      </c>
      <c r="E1603">
        <f>INDEX(FactorTable!$B$2:$Y$301, MATCH(ROUND(MIN(300,MAX(1,D1603)),0), FactorTable!$A$2:$A$301,0), Skills!L12+1)</f>
        <v/>
      </c>
      <c r="F1603">
        <f>IF(Skills!M12=TRUE,(Skills!K12/10)*(E1603/1000),Skills!K12/10)+Skills!N12</f>
        <v/>
      </c>
      <c r="G1603">
        <f>Calc!G12</f>
        <v/>
      </c>
      <c r="H1603">
        <f>Calc!H12</f>
        <v/>
      </c>
      <c r="I1603">
        <f>IF(Skills!T12&lt;&gt;"",1+(Skills!T12/10)*(Z1594/1000)/100,1)</f>
        <v/>
      </c>
      <c r="J1603">
        <f>((Inputs!$B$6*(1+Inputs!$B$7/100))+(((Inputs!$B$12*(1+Inputs!$B$13/100))-(Inputs!$B$12*(1+Inputs!$B$13/100)))+0.25*(Inputs!$B$14-Inputs!$B$14))*(1+Inputs!$B$7/100))*(F1603/100)</f>
        <v/>
      </c>
      <c r="K1603">
        <f>J1603*(1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F1609-Calc!F18),(Inputs!$B$23+(IF(ArtifactsInput!$M$15,CHOOSE(ArtifactsInput!$N$15+1,25,30,35,40,45,50)/100*(Inputs!$B$11-Inputs!$B$11),0))))/100+(Inputs!$B$23+(IF(ArtifactsInput!$M$15,CHOOSE(ArtifactsInput!$N$15+1,25,30,35,40,45,50)/100*(Inputs!$B$11-Inputs!$B$11),0)))/100)/2</f>
        <v/>
      </c>
      <c r="M1603">
        <f>L1603*(1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(1-Summary!$B$11)*S1603+Summary!$B$11*U1603</f>
        <v/>
      </c>
      <c r="P1603">
        <f>IF(B1627=0,0,O1603/B1627)</f>
        <v/>
      </c>
      <c r="Q1603">
        <f>IFERROR(1/IF(Inputs!$B$38="pvp",15,MAX(0.1,Skills!D12-IF(Skills!E12=TRUE,Inputs!$B$32,0))),0)</f>
        <v/>
      </c>
      <c r="R1603">
        <f>IF(AND(Inputs!$B$38&lt;&gt;"pvp",Inputs!$B$43&gt;0),IF(MAX(0,Inputs!$B$43-B1624)&lt;=0,0,(INT(MAX(0,Inputs!$B$43-B1624)/IF(Inputs!$B$38="pvp",15,MAX(0.1,Skills!D12-IF(Skills!E12=TRUE,Inputs!$B$32,0))))+1)),0)</f>
        <v/>
      </c>
      <c r="S1603">
        <f>IF(C1603,(H1603*N1603*IF(AND(Inputs!$B$38&lt;&gt;"pvp",Inputs!$B$43&gt;0),((Skills!F12*((R1603-1)*IF(Skills!G12&gt;0,Skills!H12/Skills!G12,1)+IF(Skills!G12&gt;0,MIN(Skills!H12,MAX(0,MAX(0,Inputs!$B$43-B1624)-((R1603-1)*IF(Inputs!$B$38="pvp",15,MAX(0.1,Skills!D12-IF(Skills!E12=TRUE,Inputs!$B$32,0))))))/Skills!G12,1)))/Inputs!$B$43),G1603*Q1603))*IF(Inputs!$B$38="pvp",1,1+(Inputs!$B$20+Skills!O12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IF(C1603,(H1603*N1603*IF(AND(Inputs!$B$38&lt;&gt;"pvp",Inputs!$B$43&gt;0),((Skills!F12*((R1603-1)*IF(Skills!G12&gt;0,Skills!H12/Skills!G12,1)+IF(Skills!G12&gt;0,MIN(Skills!H12,MAX(0,MAX(0,Inputs!$B$43-B1624)-((R1603-1)*IF(Inputs!$B$38="pvp",15,MAX(0.1,Skills!D12-IF(Skills!E12=TRUE,Inputs!$B$32,0))))))/Skills!G12,1)))/Inputs!$B$43),G1603*Q1603))*IF(Inputs!$B$38="pvp",1,(1+(Inputs!$B$21+Skills!P12+B1618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Skills!A13</f>
        <v/>
      </c>
      <c r="B1604">
        <f>Skills!B13</f>
        <v/>
      </c>
      <c r="C1604">
        <f>Inputs!$B$3&gt;=49</f>
        <v/>
      </c>
      <c r="D1604">
        <f>IF(Skills!C13=1,60+Inputs!$B$25+Inputs!$B$29,IF(Skills!C13=2,90+Inputs!$B$26+Inputs!$B$29,IF(Skills!C13=3,120+Inputs!$B$27+Inputs!$B$29,MAX(0,(Inputs!$B$3-100)*3)+Inputs!$B$28+Inputs!$B$29)))</f>
        <v/>
      </c>
      <c r="E1604">
        <f>INDEX(FactorTable!$B$2:$Y$301, MATCH(ROUND(MIN(300,MAX(1,D1604)),0), FactorTable!$A$2:$A$301,0), Skills!L13+1)</f>
        <v/>
      </c>
      <c r="F1604">
        <f>IF(Skills!M13=TRUE,(Skills!K13/10)*(E1604/1000),Skills!K13/10)+Skills!N13</f>
        <v/>
      </c>
      <c r="G1604">
        <f>Calc!G13</f>
        <v/>
      </c>
      <c r="H1604">
        <f>Calc!H13</f>
        <v/>
      </c>
      <c r="I1604">
        <f>IF(Skills!T13&lt;&gt;"",1+(Skills!T13/10)*(Z1594/1000)/100,1)</f>
        <v/>
      </c>
      <c r="J1604" t="inlineStr"/>
      <c r="K1604" t="inlineStr"/>
      <c r="L1604" t="inlineStr"/>
      <c r="M1604" t="inlineStr"/>
      <c r="N1604" t="inlineStr"/>
      <c r="O1604">
        <f>(1-Summary!$B$11)*S1604+Summary!$B$11*U1604</f>
        <v/>
      </c>
      <c r="P1604">
        <f>IF(B1627=0,0,O1604/B1627)</f>
        <v/>
      </c>
      <c r="Q1604">
        <f>IFERROR(1/IF(Inputs!$B$38="pvp",15,MAX(0.1,Skills!D13-IF(Skills!E13=TRUE,Inputs!$B$32,0))),0)</f>
        <v/>
      </c>
      <c r="R1604" t="n">
        <v>0</v>
      </c>
      <c r="S1604" t="n">
        <v>0</v>
      </c>
      <c r="U1604" t="n">
        <v>0</v>
      </c>
    </row>
    <row r="1605">
      <c r="A1605">
        <f>Skills!A14</f>
        <v/>
      </c>
      <c r="B1605">
        <f>Skills!B14</f>
        <v/>
      </c>
      <c r="C1605">
        <f>Inputs!$B$3&gt;=72</f>
        <v/>
      </c>
      <c r="D1605">
        <f>IF(Skills!C14=1,60+Inputs!$B$25+Inputs!$B$29,IF(Skills!C14=2,90+Inputs!$B$26+Inputs!$B$29,IF(Skills!C14=3,120+Inputs!$B$27+Inputs!$B$29,MAX(0,(Inputs!$B$3-100)*3)+Inputs!$B$28+Inputs!$B$29)))</f>
        <v/>
      </c>
      <c r="E1605">
        <f>INDEX(FactorTable!$B$2:$Y$301, MATCH(ROUND(MIN(300,MAX(1,D1605)),0), FactorTable!$A$2:$A$301,0), Skills!L14+1)</f>
        <v/>
      </c>
      <c r="F1605">
        <f>IF(Skills!M14=TRUE,(Skills!K14/10)*(E1605/1000),Skills!K14/10)+Skills!N14</f>
        <v/>
      </c>
      <c r="G1605">
        <f>Calc!G14</f>
        <v/>
      </c>
      <c r="H1605">
        <f>Calc!H14</f>
        <v/>
      </c>
      <c r="I1605">
        <f>IF(Skills!T14&lt;&gt;"",1+(Skills!T14/10)*(Z1594/1000)/100,1)</f>
        <v/>
      </c>
      <c r="J1605" t="inlineStr"/>
      <c r="K1605" t="inlineStr"/>
      <c r="L1605" t="inlineStr"/>
      <c r="M1605" t="inlineStr"/>
      <c r="N1605" t="inlineStr"/>
      <c r="O1605">
        <f>(1-Summary!$B$11)*S1605+Summary!$B$11*U1605</f>
        <v/>
      </c>
      <c r="P1605">
        <f>IF(B1627=0,0,O1605/B1627)</f>
        <v/>
      </c>
      <c r="Q1605">
        <f>IFERROR(1/IF(Inputs!$B$38="pvp",15,MAX(0.1,Skills!D14-IF(Skills!E14=TRUE,Inputs!$B$32,0))),0)</f>
        <v/>
      </c>
      <c r="R1605" t="n">
        <v>0</v>
      </c>
      <c r="S1605" t="n">
        <v>0</v>
      </c>
      <c r="U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Skills!L15+1)</f>
        <v/>
      </c>
      <c r="F1606">
        <f>IF(Skills!M15=TRUE,(Skills!K15/10)*(E1606/1000),Skills!K15/10)+Skills!N15</f>
        <v/>
      </c>
      <c r="G1606">
        <f>Calc!G15</f>
        <v/>
      </c>
      <c r="H1606">
        <f>Calc!H15</f>
        <v/>
      </c>
      <c r="I1606">
        <f>IF(Skills!T15&lt;&gt;"",1+(Skills!T15/10)*(Z1594/1000)/100,1)</f>
        <v/>
      </c>
      <c r="J1606" t="inlineStr"/>
      <c r="K1606" t="inlineStr"/>
      <c r="L1606" t="inlineStr"/>
      <c r="M1606" t="inlineStr"/>
      <c r="N1606" t="inlineStr"/>
      <c r="O1606">
        <f>(1-Summary!$B$11)*S1606+Summary!$B$11*U1606</f>
        <v/>
      </c>
      <c r="P1606">
        <f>IF(B1627=0,0,O1606/B1627)</f>
        <v/>
      </c>
      <c r="Q1606">
        <f>IFERROR(1/IF(Inputs!$B$38="pvp",15,MAX(0.1,Skills!D15-IF(Skills!E15=TRUE,Inputs!$B$32,0))),0)</f>
        <v/>
      </c>
      <c r="R1606" t="n">
        <v>0</v>
      </c>
      <c r="S1606" t="n">
        <v>0</v>
      </c>
      <c r="U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Skills!L16+1)</f>
        <v/>
      </c>
      <c r="F1607">
        <f>(Skills!K16/10)*(E1607/1000)*64/45+Skills!N16</f>
        <v/>
      </c>
      <c r="G1607">
        <f>Calc!G16</f>
        <v/>
      </c>
      <c r="H1607">
        <f>Calc!H16</f>
        <v/>
      </c>
      <c r="I1607">
        <f>IF(Skills!T16&lt;&gt;"",1+(Skills!T16/10)*(Z1594/1000)/100,1)</f>
        <v/>
      </c>
      <c r="J1607" t="inlineStr"/>
      <c r="K1607" t="inlineStr"/>
      <c r="L1607" t="inlineStr"/>
      <c r="M1607" t="inlineStr"/>
      <c r="N1607" t="inlineStr"/>
      <c r="O1607">
        <f>(1-Summary!$B$11)*S1607+Summary!$B$11*U1607</f>
        <v/>
      </c>
      <c r="P1607">
        <f>IF(B1627=0,0,O1607/B1627)</f>
        <v/>
      </c>
      <c r="Q1607">
        <f>IFERROR(1/IF(Inputs!$B$38="pvp",15,MAX(0.1,Skills!D16-IF(Skills!E16=TRUE,Inputs!$B$32,0))),0)</f>
        <v/>
      </c>
      <c r="R1607">
        <f>IF(AND(Inputs!$B$38&lt;&gt;"pvp",Inputs!$B$43&gt;0),IF(Inputs!$B$43&lt;=0,0,(INT(Inputs!$B$43/IF(Inputs!$B$38="pvp",15,MAX(0.1,Skills!D16-IF(Skills!E16=TRUE,Inputs!$B$32,0))))+1)),0)</f>
        <v/>
      </c>
      <c r="S1607" t="n">
        <v>0</v>
      </c>
      <c r="U1607" t="n">
        <v>0</v>
      </c>
    </row>
    <row r="1608">
      <c r="A1608">
        <f>Skills!A17</f>
        <v/>
      </c>
      <c r="B1608">
        <f>Skills!B17</f>
        <v/>
      </c>
      <c r="C1608">
        <f>Inputs!$B$3&gt;=33</f>
        <v/>
      </c>
      <c r="D1608">
        <f>IF(Skills!C17=1,60+Inputs!$B$25+Inputs!$B$29,IF(Skills!C17=2,90+Inputs!$B$26+Inputs!$B$29,IF(Skills!C17=3,120+Inputs!$B$27+Inputs!$B$29,MAX(0,(Inputs!$B$3-100)*3)+Inputs!$B$28+Inputs!$B$29)))</f>
        <v/>
      </c>
      <c r="E1608">
        <f>INDEX(FactorTable!$B$2:$Y$301, MATCH(ROUND(MIN(300,MAX(1,D1608)),0), FactorTable!$A$2:$A$301,0), Skills!L17+1)</f>
        <v/>
      </c>
      <c r="F1608">
        <f>IF(Skills!M17=TRUE,(Skills!K17/10)*(E1608/1000),Skills!K17/10)+Skills!N17</f>
        <v/>
      </c>
      <c r="G1608">
        <f>Calc!G17</f>
        <v/>
      </c>
      <c r="H1608">
        <f>Calc!H17</f>
        <v/>
      </c>
      <c r="I1608">
        <f>IF(Skills!T17&lt;&gt;"",1+(Skills!T17/10)*(Z1594/1000)/100,1)</f>
        <v/>
      </c>
      <c r="J1608" t="inlineStr"/>
      <c r="K1608" t="inlineStr"/>
      <c r="L1608" t="inlineStr"/>
      <c r="M1608" t="inlineStr"/>
      <c r="N1608" t="inlineStr"/>
      <c r="O1608">
        <f>(1-Summary!$B$11)*S1608+Summary!$B$11*U1608</f>
        <v/>
      </c>
      <c r="P1608">
        <f>IF(B1627=0,0,O1608/B1627)</f>
        <v/>
      </c>
      <c r="Q1608">
        <f>IFERROR(1/IF(Inputs!$B$38="pvp",15,MAX(0.1,Skills!D17-IF(Skills!E17=TRUE,Inputs!$B$32,0))),0)</f>
        <v/>
      </c>
      <c r="R1608" t="n">
        <v>0</v>
      </c>
      <c r="S1608" t="n">
        <v>0</v>
      </c>
      <c r="U1608" t="n">
        <v>0</v>
      </c>
    </row>
    <row r="1609">
      <c r="A1609">
        <f>Skills!A18</f>
        <v/>
      </c>
      <c r="B1609">
        <f>Skills!B18</f>
        <v/>
      </c>
      <c r="C1609">
        <f>Inputs!$B$3&gt;=43</f>
        <v/>
      </c>
      <c r="D1609">
        <f>IF(Skills!C18=1,60+Inputs!$B$25+Inputs!$B$29,IF(Skills!C18=2,90+Inputs!$B$26+Inputs!$B$29,IF(Skills!C18=3,120+Inputs!$B$27+Inputs!$B$29,MAX(0,(Inputs!$B$3-100)*3)+Inputs!$B$28+Inputs!$B$29)))</f>
        <v/>
      </c>
      <c r="E1609">
        <f>INDEX(FactorTable!$B$2:$Y$301, MATCH(ROUND(MIN(300,MAX(1,D1609)),0), FactorTable!$A$2:$A$301,0), Skills!L18+1)</f>
        <v/>
      </c>
      <c r="F1609">
        <f>IF(Skills!M18=TRUE,(Skills!K18/10)*(E1609/1000),Skills!K18/10)+Skills!N18</f>
        <v/>
      </c>
      <c r="G1609">
        <f>Calc!G18</f>
        <v/>
      </c>
      <c r="H1609">
        <f>Calc!H18</f>
        <v/>
      </c>
      <c r="I1609">
        <f>IF(Skills!T18&lt;&gt;"",1+(Skills!T18/10)*(Z1594/1000)/100,1)</f>
        <v/>
      </c>
      <c r="J1609" t="inlineStr"/>
      <c r="K1609" t="inlineStr"/>
      <c r="L1609" t="inlineStr"/>
      <c r="M1609" t="inlineStr"/>
      <c r="N1609" t="inlineStr"/>
      <c r="O1609">
        <f>(1-Summary!$B$11)*S1609+Summary!$B$11*U1609</f>
        <v/>
      </c>
      <c r="P1609">
        <f>IF(B1627=0,0,O1609/B1627)</f>
        <v/>
      </c>
      <c r="Q1609">
        <f>IFERROR(1/IF(Inputs!$B$38="pvp",15,MAX(0.1,Skills!D18-IF(Skills!E18=TRUE,Inputs!$B$32,0))),0)</f>
        <v/>
      </c>
      <c r="R1609" t="n">
        <v>0</v>
      </c>
      <c r="S1609" t="n">
        <v>0</v>
      </c>
      <c r="U1609" t="n">
        <v>0</v>
      </c>
    </row>
    <row r="1610">
      <c r="A1610">
        <f>Skills!A19</f>
        <v/>
      </c>
      <c r="B1610">
        <f>Skills!B19</f>
        <v/>
      </c>
      <c r="C1610">
        <f>Inputs!$B$3&gt;=50</f>
        <v/>
      </c>
      <c r="D1610">
        <f>IF(Skills!C19=1,60+Inputs!$B$25+Inputs!$B$29,IF(Skills!C19=2,90+Inputs!$B$26+Inputs!$B$29,IF(Skills!C19=3,120+Inputs!$B$27+Inputs!$B$29,MAX(0,(Inputs!$B$3-100)*3)+Inputs!$B$28+Inputs!$B$29)))</f>
        <v/>
      </c>
      <c r="E1610">
        <f>INDEX(FactorTable!$B$2:$Y$301, MATCH(ROUND(MIN(300,MAX(1,D1610)),0), FactorTable!$A$2:$A$301,0), Skills!L19+1)</f>
        <v/>
      </c>
      <c r="F1610">
        <f>IF(Skills!M19=TRUE,(Skills!K19/10)*(E1610/1000),Skills!K19/10)+Skills!N19</f>
        <v/>
      </c>
      <c r="G1610">
        <f>Calc!G19</f>
        <v/>
      </c>
      <c r="H1610">
        <f>Calc!H19</f>
        <v/>
      </c>
      <c r="I1610">
        <f>IF(Skills!T19&lt;&gt;"",1+(Skills!T19/10)*(Z1594/1000)/100,1)</f>
        <v/>
      </c>
      <c r="J1610" t="inlineStr"/>
      <c r="K1610" t="inlineStr"/>
      <c r="L1610" t="inlineStr"/>
      <c r="M1610" t="inlineStr"/>
      <c r="N1610" t="inlineStr"/>
      <c r="O1610">
        <f>(1-Summary!$B$11)*S1610+Summary!$B$11*U1610</f>
        <v/>
      </c>
      <c r="P1610">
        <f>IF(B1627=0,0,O1610/B1627)</f>
        <v/>
      </c>
      <c r="Q1610">
        <f>IFERROR(1/IF(Inputs!$B$38="pvp",15,MAX(0.1,Skills!D19-IF(Skills!E19=TRUE,Inputs!$B$32,0))),0)</f>
        <v/>
      </c>
      <c r="R1610" t="n">
        <v>0</v>
      </c>
      <c r="S1610" t="n">
        <v>0</v>
      </c>
      <c r="U1610" t="n">
        <v>0</v>
      </c>
    </row>
    <row r="1611">
      <c r="A1611">
        <f>Skills!A20</f>
        <v/>
      </c>
      <c r="B1611">
        <f>Skills!B20</f>
        <v/>
      </c>
      <c r="C1611">
        <f>Inputs!$B$3&gt;=74</f>
        <v/>
      </c>
      <c r="D1611">
        <f>IF(Skills!C20=1,60+Inputs!$B$25+Inputs!$B$29,IF(Skills!C20=2,90+Inputs!$B$26+Inputs!$B$29,IF(Skills!C20=3,120+Inputs!$B$27+Inputs!$B$29,MAX(0,(Inputs!$B$3-100)*3)+Inputs!$B$28+Inputs!$B$29)))</f>
        <v/>
      </c>
      <c r="E1611">
        <f>INDEX(FactorTable!$B$2:$Y$301, MATCH(ROUND(MIN(300,MAX(1,D1611)),0), FactorTable!$A$2:$A$301,0), Skills!L20+1)</f>
        <v/>
      </c>
      <c r="F1611">
        <f>IF(Skills!M20=TRUE,(Skills!K20/10)*(E1611/1000),Skills!K20/10)+Skills!N20</f>
        <v/>
      </c>
      <c r="G1611">
        <f>Calc!G20</f>
        <v/>
      </c>
      <c r="H1611">
        <f>Calc!H20</f>
        <v/>
      </c>
      <c r="I1611">
        <f>IF(Skills!T20&lt;&gt;"",1+(Skills!T20/10)*(Z1594/1000)/100,1)</f>
        <v/>
      </c>
      <c r="J1611" t="inlineStr"/>
      <c r="K1611" t="inlineStr"/>
      <c r="L1611" t="inlineStr"/>
      <c r="M1611" t="inlineStr"/>
      <c r="N1611" t="inlineStr"/>
      <c r="O1611">
        <f>(1-Summary!$B$11)*S1611+Summary!$B$11*U1611</f>
        <v/>
      </c>
      <c r="P1611">
        <f>IF(B1627=0,0,O1611/B1627)</f>
        <v/>
      </c>
      <c r="Q1611">
        <f>IFERROR(1/IF(Inputs!$B$38="pvp",15,MAX(0.1,Skills!D20-IF(Skills!E20=TRUE,Inputs!$B$32,0))),0)</f>
        <v/>
      </c>
      <c r="R1611" t="n">
        <v>0</v>
      </c>
      <c r="S1611" t="n">
        <v>0</v>
      </c>
      <c r="U1611" t="n">
        <v>0</v>
      </c>
    </row>
    <row r="1612">
      <c r="A1612">
        <f>Skills!A21</f>
        <v/>
      </c>
      <c r="B1612">
        <f>Skills!B21</f>
        <v/>
      </c>
      <c r="C1612">
        <f>Inputs!$B$3&gt;=74</f>
        <v/>
      </c>
      <c r="D1612">
        <f>IF(Skills!C21=1,60+Inputs!$B$25+Inputs!$B$29,IF(Skills!C21=2,90+Inputs!$B$26+Inputs!$B$29,IF(Skills!C21=3,120+Inputs!$B$27+Inputs!$B$29,MAX(0,(Inputs!$B$3-100)*3)+Inputs!$B$28+Inputs!$B$29)))</f>
        <v/>
      </c>
      <c r="E1612">
        <f>INDEX(FactorTable!$B$2:$Y$301, MATCH(ROUND(MIN(300,MAX(1,D1612)),0), FactorTable!$A$2:$A$301,0), Skills!L21+1)</f>
        <v/>
      </c>
      <c r="F1612">
        <f>IF(Skills!M21=TRUE,(Skills!K21/10)*(E1612/1000),Skills!K21/10)+Skills!N21</f>
        <v/>
      </c>
      <c r="G1612">
        <f>Calc!G21</f>
        <v/>
      </c>
      <c r="H1612">
        <f>Calc!H21</f>
        <v/>
      </c>
      <c r="I1612">
        <f>IF(Skills!T21&lt;&gt;"",1+(Skills!T21/10)*(Z1594/1000)/100,1)</f>
        <v/>
      </c>
      <c r="J1612" t="inlineStr"/>
      <c r="K1612" t="inlineStr"/>
      <c r="L1612" t="inlineStr"/>
      <c r="M1612" t="inlineStr"/>
      <c r="N1612" t="inlineStr"/>
      <c r="O1612">
        <f>(1-Summary!$B$11)*S1612+Summary!$B$11*U1612</f>
        <v/>
      </c>
      <c r="P1612">
        <f>IF(B1627=0,0,O1612/B1627)</f>
        <v/>
      </c>
      <c r="Q1612">
        <f>IFERROR(1/IF(Inputs!$B$38="pvp",15,MAX(0.1,Skills!D21-IF(Skills!E21=TRUE,Inputs!$B$32,0))),0)</f>
        <v/>
      </c>
      <c r="R1612" t="n">
        <v>0</v>
      </c>
      <c r="S1612" t="n">
        <v>0</v>
      </c>
      <c r="U1612" t="n">
        <v>0</v>
      </c>
    </row>
    <row r="1613">
      <c r="A1613">
        <f>Skills!A22</f>
        <v/>
      </c>
      <c r="B1613">
        <f>Skills!B22</f>
        <v/>
      </c>
      <c r="C1613">
        <f>Inputs!$B$3&gt;=117</f>
        <v/>
      </c>
      <c r="D1613">
        <f>IF(Skills!C22=1,60+Inputs!$B$25+Inputs!$B$29,IF(Skills!C22=2,90+Inputs!$B$26+Inputs!$B$29,IF(Skills!C22=3,120+Inputs!$B$27+Inputs!$B$29,MAX(0,(Inputs!$B$3-100)*3)+Inputs!$B$28+Inputs!$B$29)))</f>
        <v/>
      </c>
      <c r="E1613">
        <f>INDEX(FactorTable!$B$2:$Y$301, MATCH(ROUND(MIN(300,MAX(1,D1613)),0), FactorTable!$A$2:$A$301,0), Skills!L22+1)</f>
        <v/>
      </c>
      <c r="F1613">
        <f>IF(Skills!M22=TRUE,(Skills!K22/10)*(E1613/1000),Skills!K22/10)+Skills!N22</f>
        <v/>
      </c>
      <c r="G1613">
        <f>Calc!G22</f>
        <v/>
      </c>
      <c r="H1613">
        <f>Calc!H22</f>
        <v/>
      </c>
      <c r="I1613">
        <f>IF(Skills!T22&lt;&gt;"",1+(Skills!T22/10)*(Z1594/1000)/100,1)</f>
        <v/>
      </c>
      <c r="J1613" t="inlineStr"/>
      <c r="K1613" t="inlineStr"/>
      <c r="L1613" t="inlineStr"/>
      <c r="M1613" t="inlineStr"/>
      <c r="N1613" t="inlineStr"/>
      <c r="O1613">
        <f>(1-Summary!$B$11)*S1613+Summary!$B$11*U1613</f>
        <v/>
      </c>
      <c r="P1613">
        <f>IF(B1627=0,0,O1613/B1627)</f>
        <v/>
      </c>
      <c r="Q1613">
        <f>IFERROR(1/IF(Inputs!$B$38="pvp",15,MAX(0.1,Skills!D22-IF(Skills!E22=TRUE,Inputs!$B$32,0))),0)</f>
        <v/>
      </c>
      <c r="R1613" t="n">
        <v>0</v>
      </c>
      <c r="S1613" t="n">
        <v>0</v>
      </c>
      <c r="U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Skills!L23+1)</f>
        <v/>
      </c>
      <c r="F1614">
        <f>IF(Skills!M23=TRUE,(Skills!K23/10)*(E1614/1000),Skills!K23/10)+Skills!N23</f>
        <v/>
      </c>
      <c r="G1614">
        <f>Calc!G23</f>
        <v/>
      </c>
      <c r="H1614">
        <f>Calc!H23</f>
        <v/>
      </c>
      <c r="I1614">
        <f>IF(Skills!T23&lt;&gt;"",1+(Skills!T23/10)*(Z1594/1000)/100,1)</f>
        <v/>
      </c>
      <c r="J1614" t="inlineStr"/>
      <c r="K1614" t="inlineStr"/>
      <c r="L1614" t="inlineStr"/>
      <c r="M1614" t="inlineStr"/>
      <c r="N1614" t="inlineStr"/>
      <c r="O1614">
        <f>(1-Summary!$B$11)*S1614+Summary!$B$11*U1614</f>
        <v/>
      </c>
      <c r="P1614">
        <f>IF(B1627=0,0,O1614/B1627)</f>
        <v/>
      </c>
      <c r="Q1614">
        <f>IFERROR(1/IF(Inputs!$B$38="pvp",15,MAX(0.1,Skills!D23-IF(Skills!E23=TRUE,Inputs!$B$32,0))),0)</f>
        <v/>
      </c>
      <c r="R1614" t="n">
        <v>0</v>
      </c>
      <c r="S1614" t="n">
        <v>0</v>
      </c>
      <c r="U1614" t="n">
        <v>0</v>
      </c>
    </row>
    <row r="1617">
      <c r="A1617" t="inlineStr">
        <is>
          <t>Average Buff Multiplier (Magic Guard + Meditation + Artifact Attack%, summed; then Infinity)</t>
        </is>
      </c>
      <c r="B1617">
        <f>(1+(IF(C1594=TRUE,F1594*IF(AND(Inputs!$B$38&lt;&gt;"pvp",Inputs!$B$43&gt;0),(((R1594-1)*(Skills!S3*(1+(Inputs!$B$34+IF(Inputs!$B$3&gt;=117,F1613,0))/100))+MIN((Skills!S3*(1+(Inputs!$B$34+IF(Inputs!$B$3&gt;=117,F1613,0))/100)),MAX(0,Inputs!$B$43-((R1594-1)*Skills!D3))))/Inputs!$B$43),IF(Inputs!$B$38="pvp",MIN((Skills!S3*(1+(Inputs!$B$34+IF(Inputs!$B$3&gt;=117,F1613,0))/100)),15)/15,(Skills!S3*(1+(Inputs!$B$34+IF(Inputs!$B$3&gt;=117,F1613,0))/100))/Skills!D3)),0)+IF(C1595=TRUE,F1595*IF(AND(Inputs!$B$38&lt;&gt;"pvp",Inputs!$B$43&gt;0),(((R1595-1)*(Skills!S4*(1+(Inputs!$B$34+IF(Inputs!$B$3&gt;=117,F1613,0))/100))+MIN((Skills!S4*(1+(Inputs!$B$34+IF(Inputs!$B$3&gt;=117,F1613,0))/100)),MAX(0,Inputs!$B$43-((R1595-1)*Skills!D4))))/Inputs!$B$43),IF(Inputs!$B$38="pvp",MIN((Skills!S4*(1+(Inputs!$B$34+IF(Inputs!$B$3&gt;=117,F1613,0))/100)),15)/15,(Skills!S4*(1+(Inputs!$B$34+IF(Inputs!$B$3&gt;=117,F1613,0))/100))/Skills!D4)),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1607=TRUE,(1+F1607*IF(AND(Inputs!$B$38&lt;&gt;"pvp",Inputs!$B$43&gt;0),(((R1607-1)*(Skills!S16*(1+(Inputs!$B$34+IF(Inputs!$B$3&gt;=117,F1613,0))/100))+MIN((Skills!S16*(1+(Inputs!$B$34+IF(Inputs!$B$3&gt;=117,F1613,0))/100)),MAX(0,Inputs!$B$43-((R1607-1)*Skills!D16))))/Inputs!$B$43),IF(Inputs!$B$38="pvp",MIN((Skills!S16*(1+(Inputs!$B$34+IF(Inputs!$B$3&gt;=117,F1613,0))/100)),15)/15,(Skills!S16*(1+(Inputs!$B$34+IF(Inputs!$B$3&gt;=117,F1613,0))/100))/Skills!D16))/100),1)</f>
        <v/>
      </c>
    </row>
    <row r="1618">
      <c r="A1618" t="inlineStr">
        <is>
          <t>Monster Damage Taken Bonus % (Freezing Breath - Weaken + Elemental Reset + Artifact Enemy Damage Taken, summed)</t>
        </is>
      </c>
      <c r="B1618">
        <f>IF(Inputs!$B$3&gt;=118,15*IF(Inputs!$B$38="pvp",MIN((30*(1+(Inputs!$B$34+IF(Inputs!$B$3&gt;=117,F1613,0))/100)),15)/15,(30*(1+(Inputs!$B$34+IF(Inputs!$B$3&gt;=117,F1613,0))/100))/Skills!D8),0)+IF(C1605=TRUE,F1605,0)+(IF(AND(ArtifactsInput!$M$35,Inputs!$B$4&lt;&gt;"Chapter Hunt"),CHOOSE(ArtifactsInput!$N$35+1,15,18,21,24,27,30)*(1-EXP(-(0.2*B1621)*5)),0)+IF(AND(ArtifactsInput!$M$22,Inputs!$B$4&lt;&gt;"Chapter Hunt"),CHOOSE(ArtifactsInput!$N$22+1,10,12,14,16,18,20)*((0*(((0.15*B1621*5))^0/1)+1*(((0.15*B1621*5))^1/1)+2*(((0.15*B1621*5))^2/2)+3*(((0.15*B1621*5))^3/6)+4*(((0.15*B1621*5))^4/24)+5*(((0.15*B1621*5))^5/120))/((((0.15*B1621*5))^0/1)+(((0.15*B1621*5))^1/1)+(((0.15*B1621*5))^2/2)+(((0.15*B1621*5))^3/6)+(((0.15*B1621*5))^4/24)+(((0.15*B1621*5))^5/120))),0))</f>
        <v/>
      </c>
    </row>
    <row r="1619">
      <c r="A1619" t="inlineStr">
        <is>
          <t>Damage % Bonus (Frozen Break + Frost Clutch, flat)</t>
        </is>
      </c>
      <c r="B1619">
        <f>IF(Inputs!$B$3&gt;=66,15,0)+IF(Inputs!$B$3&gt;=98,10,0)+IF(Inputs!$B$3&gt;=125,20,0)</f>
        <v/>
      </c>
    </row>
    <row r="1620">
      <c r="A1620" t="inlineStr">
        <is>
          <t>Attack Speed Bonus % (MP Eater - MP Boost, always-on once unlocked)</t>
        </is>
      </c>
      <c r="B1620">
        <f>IF(C1604=TRUE,F1604+(F1608-Calc!F17),0)</f>
        <v/>
      </c>
    </row>
    <row r="1621">
      <c r="A1621" t="inlineStr">
        <is>
          <t>Actions Per Second</t>
        </is>
      </c>
      <c r="B1621">
        <f>1+MIN(150,150*(1-(1-(Inputs!$B$11+(ArtifactsInput!$M$15-ArtifactsInput!$M$15)*CHOOSE(ArtifactsInput!$N$15+1,8,9.6,11.2,12.8,14.4,16))/150)*(1-B1620/150)))/100</f>
        <v/>
      </c>
    </row>
    <row r="1622">
      <c r="A1622" t="inlineStr">
        <is>
          <t>Skill + Buff Cast Rate</t>
        </is>
      </c>
      <c r="B1622">
        <f>IF(AND(Inputs!$B$38&lt;&gt;"pvp",Inputs!$B$43&gt;0),SUMPRODUCT((Skills!E2:E23=TRUE)*(C1593:C1614=TRUE)*R1593:R1614)/Inputs!$B$43,SUMPRODUCT((Skills!E2:E23=TRUE)*(C1593:C1614=TRUE)*Q1593:Q1614))</f>
        <v/>
      </c>
    </row>
    <row r="1623">
      <c r="A1623" t="inlineStr">
        <is>
          <t>Chain Lightning Casts Per Second</t>
        </is>
      </c>
      <c r="B1623">
        <f>MAX(0,B1621-B1622)</f>
        <v/>
      </c>
    </row>
    <row r="1624">
      <c r="A1624" t="inlineStr">
        <is>
          <t>Buff-Casting Startup Delay (s, fixed-duration only)</t>
        </is>
      </c>
      <c r="B1624">
        <f>IF(AND(Inputs!$B$38&lt;&gt;"pvp",Inputs!$B$43&gt;0),SUMPRODUCT((Skills!S2:S23&gt;0)*(Skills!E2:E23=TRUE)*(C1593:C1614=TRUE))/B1621,0)</f>
        <v/>
      </c>
    </row>
    <row r="1625">
      <c r="A1625" t="inlineStr">
        <is>
          <t>Boss-Only Total DPS (this block's swept value)</t>
        </is>
      </c>
      <c r="B1625">
        <f>SUM(S1593:S1614)</f>
        <v/>
      </c>
    </row>
    <row r="1626">
      <c r="A1626" t="inlineStr">
        <is>
          <t>Normal-Only Total DPS (this block's swept value)</t>
        </is>
      </c>
      <c r="B1626">
        <f>SUM(U1593:U1614)</f>
        <v/>
      </c>
    </row>
    <row r="1627">
      <c r="A1627" s="6" t="inlineStr">
        <is>
          <t>TOTAL DPS</t>
        </is>
      </c>
      <c r="B1627" s="6">
        <f>SUM(O1593:O1614)</f>
        <v/>
      </c>
    </row>
    <row r="1630">
      <c r="A1630" s="6" t="inlineStr">
        <is>
          <t>Stat: Silver Pendant (Equip)</t>
        </is>
      </c>
    </row>
    <row r="1631">
      <c r="A1631" s="5" t="inlineStr">
        <is>
          <t>Key</t>
        </is>
      </c>
      <c r="B1631" s="5" t="inlineStr">
        <is>
          <t>Name</t>
        </is>
      </c>
      <c r="C1631" s="5" t="inlineStr">
        <is>
          <t>Unlocked</t>
        </is>
      </c>
      <c r="D1631" s="5" t="inlineStr">
        <is>
          <t>InputLevel</t>
        </is>
      </c>
      <c r="E1631" s="5" t="inlineStr">
        <is>
          <t>Factor</t>
        </is>
      </c>
      <c r="F1631" s="5" t="inlineStr">
        <is>
          <t>CoefficientPercent</t>
        </is>
      </c>
      <c r="G1631" s="5" t="inlineStr">
        <is>
          <t>EffectiveHits</t>
        </is>
      </c>
      <c r="H1631" s="5" t="inlineStr">
        <is>
          <t>ProcProbability</t>
        </is>
      </c>
      <c r="I1631" s="5" t="inlineStr">
        <is>
          <t>MapleHeroMultiplier</t>
        </is>
      </c>
      <c r="J1631" s="5" t="inlineStr">
        <is>
          <t>BaseDamage</t>
        </is>
      </c>
      <c r="K1631" s="5" t="inlineStr">
        <is>
          <t>BaseHitDamage</t>
        </is>
      </c>
      <c r="L1631" s="5" t="inlineStr">
        <is>
          <t>NonCritAvg</t>
        </is>
      </c>
      <c r="M1631" s="5" t="inlineStr">
        <is>
          <t>CritAvg</t>
        </is>
      </c>
      <c r="N1631" s="5" t="inlineStr">
        <is>
          <t>ExpectedDamage(perHit)</t>
        </is>
      </c>
      <c r="O1631" s="5" t="inlineStr">
        <is>
          <t>DPS</t>
        </is>
      </c>
      <c r="P1631" s="5" t="inlineStr">
        <is>
          <t>% of Total</t>
        </is>
      </c>
      <c r="R1631" t="inlineStr">
        <is>
          <t>helpers</t>
        </is>
      </c>
    </row>
    <row r="1632">
      <c r="A1632">
        <f>Skills!A2</f>
        <v/>
      </c>
      <c r="B1632">
        <f>Skills!B2</f>
        <v/>
      </c>
      <c r="C1632">
        <f>Inputs!$B$3&gt;=100</f>
        <v/>
      </c>
      <c r="D1632" t="inlineStr"/>
      <c r="E1632" t="inlineStr"/>
      <c r="F1632">
        <f>T1634+Skills!N2</f>
        <v/>
      </c>
      <c r="G1632">
        <f>Calc!G2</f>
        <v/>
      </c>
      <c r="H1632">
        <f>Calc!H2</f>
        <v/>
      </c>
      <c r="I1632">
        <f>IF(Skills!T2&lt;&gt;"",1+(Skills!T2/10)*(Z1633/1000)/100,1)</f>
        <v/>
      </c>
      <c r="J1632">
        <f>((Inputs!$B$6*(1+Inputs!$B$7/100))+(((Inputs!$B$12*(1+Inputs!$B$13/100))-(Inputs!$B$12*(1+Inputs!$B$13/100)))+0.25*(Inputs!$B$14-Inputs!$B$14))*(1+Inputs!$B$7/100))*(F1632/100)</f>
        <v/>
      </c>
      <c r="K1632">
        <f>J1632*(1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F1648-Calc!F18),(Inputs!$B$23+(IF(ArtifactsInput!$M$15,CHOOSE(ArtifactsInput!$N$15+1,25,30,35,40,45,50)/100*(Inputs!$B$11-Inputs!$B$11),0))))/100+(Inputs!$B$23+(IF(ArtifactsInput!$M$15,CHOOSE(ArtifactsInput!$N$15+1,25,30,35,40,45,50)/100*(Inputs!$B$11-Inputs!$B$11),0)))/100)/2</f>
        <v/>
      </c>
      <c r="M1632">
        <f>L1632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(1-Summary!$B$11)*S1632+Summary!$B$11*U1632</f>
        <v/>
      </c>
      <c r="P1632">
        <f>IF(B1666=0,0,O1632/B1666)</f>
        <v/>
      </c>
      <c r="Q1632">
        <f>IFERROR(1/IF(Inputs!$B$38="pvp",15,MAX(0.1,Skills!D2-IF(Skills!E2=TRUE,Inputs!$B$32,0))),0)</f>
        <v/>
      </c>
      <c r="R1632" t="n">
        <v>0</v>
      </c>
      <c r="S1632">
        <f>IF(C1632,(Skills!F2*N1632*B1662)*IF(Inputs!$B$38="pvp",1,1+(Inputs!$B$20+Skills!O2+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2">
        <f>MAX(0,(Inputs!$B$3-100)*3)+Inputs!$B$28+Inputs!$B$29</f>
        <v/>
      </c>
      <c r="U1632">
        <f>IF(C1632,(Skills!F2*N1632*B1662)*IF(Inputs!$B$38="pvp",1,(1+(Inputs!$B$21+Skills!P2+B1657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2">
        <f>MAX(0,(Inputs!$B$3-100)*3)+Inputs!$B$28+Inputs!$B$29</f>
        <v/>
      </c>
    </row>
    <row r="1633">
      <c r="A1633">
        <f>Skills!A3</f>
        <v/>
      </c>
      <c r="B1633">
        <f>Skills!B3</f>
        <v/>
      </c>
      <c r="C1633">
        <f>Inputs!$B$3&gt;=15</f>
        <v/>
      </c>
      <c r="D1633">
        <f>IF(Skills!C3=1,60+Inputs!$B$25+Inputs!$B$29,IF(Skills!C3=2,90+Inputs!$B$26+Inputs!$B$29,IF(Skills!C3=3,120+Inputs!$B$27+Inputs!$B$29,MAX(0,(Inputs!$B$3-100)*3)+Inputs!$B$28+Inputs!$B$29)))</f>
        <v/>
      </c>
      <c r="E1633">
        <f>INDEX(FactorTable!$B$2:$Y$301, MATCH(ROUND(MIN(300,MAX(1,D1633)),0), FactorTable!$A$2:$A$301,0), Skills!L3+1)</f>
        <v/>
      </c>
      <c r="F1633">
        <f>IF(Skills!M3=TRUE,(Skills!K3/10)*(E1633/1000),Skills!K3/10)+Skills!N3</f>
        <v/>
      </c>
      <c r="G1633">
        <f>Calc!G3</f>
        <v/>
      </c>
      <c r="H1633">
        <f>Calc!H3</f>
        <v/>
      </c>
      <c r="I1633">
        <f>IF(Skills!T3&lt;&gt;"",1+(Skills!T3/10)*(Z1633/1000)/100,1)</f>
        <v/>
      </c>
      <c r="J1633" t="inlineStr"/>
      <c r="K1633" t="inlineStr"/>
      <c r="L1633" t="inlineStr"/>
      <c r="M1633" t="inlineStr"/>
      <c r="N1633" t="inlineStr"/>
      <c r="O1633">
        <f>(1-Summary!$B$11)*S1633+Summary!$B$11*U1633</f>
        <v/>
      </c>
      <c r="P1633">
        <f>IF(B1666=0,0,O1633/B1666)</f>
        <v/>
      </c>
      <c r="Q1633">
        <f>IFERROR(1/IF(Inputs!$B$38="pvp",15,MAX(0.1,Skills!D3-IF(Skills!E3=TRUE,Inputs!$B$32,0))),0)</f>
        <v/>
      </c>
      <c r="R1633">
        <f>IF(AND(Inputs!$B$38&lt;&gt;"pvp",Inputs!$B$43&gt;0),IF(Inputs!$B$43&lt;=0,0,(INT(Inputs!$B$43/IF(Inputs!$B$38="pvp",15,MAX(0.1,Skills!D3-IF(Skills!E3=TRUE,Inputs!$B$32,0))))+1)),0)</f>
        <v/>
      </c>
      <c r="S1633" t="n">
        <v>0</v>
      </c>
      <c r="T1633">
        <f>INDEX(FactorTable!$B$2:$Y$301, MATCH(ROUND(MIN(300,MAX(1,T1632)),0), FactorTable!$A$2:$A$301,0), 22)</f>
        <v/>
      </c>
      <c r="U1633" t="n">
        <v>0</v>
      </c>
      <c r="Z1633">
        <f>INDEX(FactorTable!$B$2:$Y$301, MATCH(ROUND(MIN(300,MAX(1,Z1632)),0), FactorTable!$A$2:$A$301,0), 24)</f>
        <v/>
      </c>
    </row>
    <row r="1634">
      <c r="A1634">
        <f>Skills!A4</f>
        <v/>
      </c>
      <c r="B1634">
        <f>Skills!B4</f>
        <v/>
      </c>
      <c r="C1634">
        <f>Inputs!$B$3&gt;=40</f>
        <v/>
      </c>
      <c r="D1634">
        <f>IF(Skills!C4=1,60+Inputs!$B$25+Inputs!$B$29,IF(Skills!C4=2,90+Inputs!$B$26+Inputs!$B$29,IF(Skills!C4=3,120+Inputs!$B$27+Inputs!$B$29,MAX(0,(Inputs!$B$3-100)*3)+Inputs!$B$28+Inputs!$B$29)))</f>
        <v/>
      </c>
      <c r="E1634">
        <f>INDEX(FactorTable!$B$2:$Y$301, MATCH(ROUND(MIN(300,MAX(1,D1634)),0), FactorTable!$A$2:$A$301,0), Skills!L4+1)</f>
        <v/>
      </c>
      <c r="F1634">
        <f>IF(Skills!M4=TRUE,(Skills!K4/10)*(E1634/1000),Skills!K4/10)+Skills!N4</f>
        <v/>
      </c>
      <c r="G1634">
        <f>Calc!G4</f>
        <v/>
      </c>
      <c r="H1634">
        <f>Calc!H4</f>
        <v/>
      </c>
      <c r="I1634">
        <f>IF(Skills!T4&lt;&gt;"",1+(Skills!T4/10)*(Z1633/1000)/100,1)</f>
        <v/>
      </c>
      <c r="J1634" t="inlineStr"/>
      <c r="K1634" t="inlineStr"/>
      <c r="L1634" t="inlineStr"/>
      <c r="M1634" t="inlineStr"/>
      <c r="N1634" t="inlineStr"/>
      <c r="O1634">
        <f>(1-Summary!$B$11)*S1634+Summary!$B$11*U1634</f>
        <v/>
      </c>
      <c r="P1634">
        <f>IF(B1666=0,0,O1634/B1666)</f>
        <v/>
      </c>
      <c r="Q1634">
        <f>IFERROR(1/IF(Inputs!$B$38="pvp",15,MAX(0.1,Skills!D4-IF(Skills!E4=TRUE,Inputs!$B$32,0))),0)</f>
        <v/>
      </c>
      <c r="R1634">
        <f>IF(AND(Inputs!$B$38&lt;&gt;"pvp",Inputs!$B$43&gt;0),IF(Inputs!$B$43&lt;=0,0,(INT(Inputs!$B$43/IF(Inputs!$B$38="pvp",15,MAX(0.1,Skills!D4-IF(Skills!E4=TRUE,Inputs!$B$32,0))))+1)),0)</f>
        <v/>
      </c>
      <c r="S1634" t="n">
        <v>0</v>
      </c>
      <c r="T1634">
        <f>290*T1633/1000</f>
        <v/>
      </c>
      <c r="U1634" t="n">
        <v>0</v>
      </c>
    </row>
    <row r="1635">
      <c r="A1635">
        <f>Skills!A5</f>
        <v/>
      </c>
      <c r="B1635">
        <f>Skills!B5</f>
        <v/>
      </c>
      <c r="C1635">
        <f>Inputs!$B$3&gt;=38</f>
        <v/>
      </c>
      <c r="D1635">
        <f>IF(Skills!C5=1,60+Inputs!$B$25+Inputs!$B$29,IF(Skills!C5=2,90+Inputs!$B$26+Inputs!$B$29,IF(Skills!C5=3,120+Inputs!$B$27+Inputs!$B$29,MAX(0,(Inputs!$B$3-100)*3)+Inputs!$B$28+Inputs!$B$29)))</f>
        <v/>
      </c>
      <c r="E1635">
        <f>INDEX(FactorTable!$B$2:$Y$301, MATCH(ROUND(MIN(300,MAX(1,D1635)),0), FactorTable!$A$2:$A$301,0), Skills!L5+1)</f>
        <v/>
      </c>
      <c r="F1635">
        <f>IF(Skills!M5=TRUE,(Skills!K5/10)*(E1635/1000),Skills!K5/10)+Skills!N5</f>
        <v/>
      </c>
      <c r="G1635">
        <f>Calc!G5</f>
        <v/>
      </c>
      <c r="H1635">
        <f>Calc!H5</f>
        <v/>
      </c>
      <c r="I1635">
        <f>IF(Skills!T5&lt;&gt;"",1+(Skills!T5/10)*(Z1633/1000)/100,1)</f>
        <v/>
      </c>
      <c r="J1635">
        <f>((Inputs!$B$6*(1+Inputs!$B$7/100))+(((Inputs!$B$12*(1+Inputs!$B$13/100))-(Inputs!$B$12*(1+Inputs!$B$13/100)))+0.25*(Inputs!$B$14-Inputs!$B$14))*(1+Inputs!$B$7/100))*(F1635/100)</f>
        <v/>
      </c>
      <c r="K1635">
        <f>J1635*(1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1648-Calc!F18),(Inputs!$B$23+(IF(ArtifactsInput!$M$15,CHOOSE(ArtifactsInput!$N$15+1,25,30,35,40,45,50)/100*(Inputs!$B$11-Inputs!$B$11),0))))/100+(Inputs!$B$23+(IF(ArtifactsInput!$M$15,CHOOSE(ArtifactsInput!$N$15+1,25,30,35,40,45,50)/100*(Inputs!$B$11-Inputs!$B$11),0)))/100)/2</f>
        <v/>
      </c>
      <c r="M1635">
        <f>L1635*(1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IF(B1666=0,0,O1635/B1666)</f>
        <v/>
      </c>
      <c r="Q1635">
        <f>IFERROR(1/IF(Inputs!$B$38="pvp",15,MAX(0.1,Skills!D5-IF(Skills!E5=TRUE,Inputs!$B$32,0))),0)</f>
        <v/>
      </c>
      <c r="R1635">
        <f>IF(AND(Inputs!$B$38&lt;&gt;"pvp",Inputs!$B$43&gt;0),IF(MAX(0,Inputs!$B$43-B1663)&lt;=0,0,(INT(MAX(0,Inputs!$B$43-B1663)/IF(Inputs!$B$38="pvp",15,MAX(0.1,Skills!D5-IF(Skills!E5=TRUE,Inputs!$B$32,0))))+1)),0)</f>
        <v/>
      </c>
      <c r="S1635">
        <f>IF(C1635,(H1635*N1635*IF(AND(Inputs!$B$38&lt;&gt;"pvp",Inputs!$B$43&gt;0),((Skills!F5*((R1635-1)*IF(Skills!G5&gt;0,Skills!H5/Skills!G5,1)+IF(Skills!G5&gt;0,MIN(Skills!H5,MAX(0,MAX(0,Inputs!$B$43-B1663)-((R1635-1)*IF(Inputs!$B$38="pvp",15,MAX(0.1,Skills!D5-IF(Skills!E5=TRUE,Inputs!$B$32,0))))))/Skills!G5,1)))/Inputs!$B$43),G1635*Q1635))*IF(Inputs!$B$38="pvp",1,1+(Inputs!$B$20+Skills!O5+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5*((R1635-1)*IF(Skills!G5&gt;0,Skills!H5/Skills!G5,1)+IF(Skills!G5&gt;0,MIN(Skills!H5,MAX(0,MAX(0,Inputs!$B$43-B1663)-((R1635-1)*IF(Inputs!$B$38="pvp",15,MAX(0.1,Skills!D5-IF(Skills!E5=TRUE,Inputs!$B$32,0))))))/Skills!G5,1)))/Inputs!$B$43),G1635*Q1635))*IF(Inputs!$B$38="pvp",1,(1+(Inputs!$B$21+Skills!P5+B1657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Skills!A6</f>
        <v/>
      </c>
      <c r="B1636">
        <f>Skills!B6</f>
        <v/>
      </c>
      <c r="C1636">
        <f>Inputs!$B$3&gt;=63</f>
        <v/>
      </c>
      <c r="D1636">
        <f>IF(Skills!C6=1,60+Inputs!$B$25+Inputs!$B$29,IF(Skills!C6=2,90+Inputs!$B$26+Inputs!$B$29,IF(Skills!C6=3,120+Inputs!$B$27+Inputs!$B$29,MAX(0,(Inputs!$B$3-100)*3)+Inputs!$B$28+Inputs!$B$29)))</f>
        <v/>
      </c>
      <c r="E1636">
        <f>INDEX(FactorTable!$B$2:$Y$301, MATCH(ROUND(MIN(300,MAX(1,D1636)),0), FactorTable!$A$2:$A$301,0), Skills!L6+1)</f>
        <v/>
      </c>
      <c r="F1636">
        <f>IF(Skills!M6=TRUE,(Skills!K6/10)*(E1636/1000),Skills!K6/10)+Skills!N6</f>
        <v/>
      </c>
      <c r="G1636">
        <f>Calc!G6</f>
        <v/>
      </c>
      <c r="H1636">
        <f>Calc!H6</f>
        <v/>
      </c>
      <c r="I1636">
        <f>IF(Skills!T6&lt;&gt;"",1+(Skills!T6/10)*(Z1633/1000)/100,1)</f>
        <v/>
      </c>
      <c r="J1636">
        <f>((Inputs!$B$6*(1+Inputs!$B$7/100))+(((Inputs!$B$12*(1+Inputs!$B$13/100))-(Inputs!$B$12*(1+Inputs!$B$13/100)))+0.25*(Inputs!$B$14-Inputs!$B$14))*(1+Inputs!$B$7/100))*(F1636/100)</f>
        <v/>
      </c>
      <c r="K1636">
        <f>J1636*(1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1648-Calc!F18),(Inputs!$B$23+(IF(ArtifactsInput!$M$15,CHOOSE(ArtifactsInput!$N$15+1,25,30,35,40,45,50)/100*(Inputs!$B$11-Inputs!$B$11),0))))/100+(Inputs!$B$23+(IF(ArtifactsInput!$M$15,CHOOSE(ArtifactsInput!$N$15+1,25,30,35,40,45,50)/100*(Inputs!$B$11-Inputs!$B$11),0)))/100)/2</f>
        <v/>
      </c>
      <c r="M1636">
        <f>L1636*(1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IF(B1666=0,0,O1636/B1666)</f>
        <v/>
      </c>
      <c r="Q1636">
        <f>IFERROR(1/IF(Inputs!$B$38="pvp",15,MAX(0.1,Skills!D6-IF(Skills!E6=TRUE,Inputs!$B$32,0))),0)</f>
        <v/>
      </c>
      <c r="R1636">
        <f>IF(AND(Inputs!$B$38&lt;&gt;"pvp",Inputs!$B$43&gt;0),IF(MAX(0,Inputs!$B$43-B1663)&lt;=0,0,(INT(MAX(0,Inputs!$B$43-B1663)/IF(Inputs!$B$38="pvp",15,MAX(0.1,Skills!D6-IF(Skills!E6=TRUE,Inputs!$B$32,0))))+1)),0)</f>
        <v/>
      </c>
      <c r="S1636">
        <f>IF(C1636,(H1636*N1636*IF(AND(Inputs!$B$38&lt;&gt;"pvp",Inputs!$B$43&gt;0),((Skills!F6*((R1636-1)*IF(Skills!G6&gt;0,Skills!H6/Skills!G6,1)+IF(Skills!G6&gt;0,MIN(Skills!H6,MAX(0,MAX(0,Inputs!$B$43-B1663)-((R1636-1)*IF(Inputs!$B$38="pvp",15,MAX(0.1,Skills!D6-IF(Skills!E6=TRUE,Inputs!$B$32,0))))))/Skills!G6,1)))/Inputs!$B$43),G1636*Q1636))*IF(Inputs!$B$38="pvp",1,1+(Inputs!$B$20+Skills!O6+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6*((R1636-1)*IF(Skills!G6&gt;0,Skills!H6/Skills!G6,1)+IF(Skills!G6&gt;0,MIN(Skills!H6,MAX(0,MAX(0,Inputs!$B$43-B1663)-((R1636-1)*IF(Inputs!$B$38="pvp",15,MAX(0.1,Skills!D6-IF(Skills!E6=TRUE,Inputs!$B$32,0))))))/Skills!G6,1)))/Inputs!$B$43),G1636*Q1636))*IF(Inputs!$B$38="pvp",1,(1+(Inputs!$B$21+Skills!P6+B1657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Skills!A7</f>
        <v/>
      </c>
      <c r="B1637">
        <f>Skills!B7</f>
        <v/>
      </c>
      <c r="C1637">
        <f>Inputs!$B$3&gt;=69</f>
        <v/>
      </c>
      <c r="D1637">
        <f>IF(Skills!C7=1,60+Inputs!$B$25+Inputs!$B$29,IF(Skills!C7=2,90+Inputs!$B$26+Inputs!$B$29,IF(Skills!C7=3,120+Inputs!$B$27+Inputs!$B$29,MAX(0,(Inputs!$B$3-100)*3)+Inputs!$B$28+Inputs!$B$29)))</f>
        <v/>
      </c>
      <c r="E1637">
        <f>INDEX(FactorTable!$B$2:$Y$301, MATCH(ROUND(MIN(300,MAX(1,D1637)),0), FactorTable!$A$2:$A$301,0), Skills!L7+1)</f>
        <v/>
      </c>
      <c r="F1637">
        <f>IF(Skills!M7=TRUE,(Skills!K7/10)*(E1637/1000),Skills!K7/10)+Skills!N7</f>
        <v/>
      </c>
      <c r="G1637">
        <f>Calc!G7</f>
        <v/>
      </c>
      <c r="H1637">
        <f>Calc!H7</f>
        <v/>
      </c>
      <c r="I1637">
        <f>IF(Skills!T7&lt;&gt;"",1+(Skills!T7/10)*(Z1633/1000)/100,1)</f>
        <v/>
      </c>
      <c r="J1637">
        <f>((Inputs!$B$6*(1+Inputs!$B$7/100))+(((Inputs!$B$12*(1+Inputs!$B$13/100))-(Inputs!$B$12*(1+Inputs!$B$13/100)))+0.25*(Inputs!$B$14-Inputs!$B$14))*(1+Inputs!$B$7/100))*(F1637/100)</f>
        <v/>
      </c>
      <c r="K1637">
        <f>J1637*(1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1648-Calc!F18),(Inputs!$B$23+(IF(ArtifactsInput!$M$15,CHOOSE(ArtifactsInput!$N$15+1,25,30,35,40,45,50)/100*(Inputs!$B$11-Inputs!$B$11),0))))/100+(Inputs!$B$23+(IF(ArtifactsInput!$M$15,CHOOSE(ArtifactsInput!$N$15+1,25,30,35,40,45,50)/100*(Inputs!$B$11-Inputs!$B$11),0)))/100)/2</f>
        <v/>
      </c>
      <c r="M1637">
        <f>L1637*(1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IF(B1666=0,0,O1637/B1666)</f>
        <v/>
      </c>
      <c r="Q1637">
        <f>IFERROR(1/IF(Inputs!$B$38="pvp",15,MAX(0.1,Skills!D7-IF(Skills!E7=TRUE,Inputs!$B$32,0))),0)</f>
        <v/>
      </c>
      <c r="R1637">
        <f>IF(AND(Inputs!$B$38&lt;&gt;"pvp",Inputs!$B$43&gt;0),IF(MAX(0,Inputs!$B$43-B1663)&lt;=0,0,(INT(MAX(0,Inputs!$B$43-B1663)/IF(Inputs!$B$38="pvp",15,MAX(0.1,Skills!D7-IF(Skills!E7=TRUE,Inputs!$B$32,0))))+1)),0)</f>
        <v/>
      </c>
      <c r="S1637">
        <f>IF(C1637,(H1637*N1637*IF(AND(Inputs!$B$38&lt;&gt;"pvp",Inputs!$B$43&gt;0),((Skills!F7*((R1637-1)*IF(Skills!G7&gt;0,Skills!H7/Skills!G7,1)+IF(Skills!G7&gt;0,MIN(Skills!H7,MAX(0,MAX(0,Inputs!$B$43-B1663)-((R1637-1)*IF(Inputs!$B$38="pvp",15,MAX(0.1,Skills!D7-IF(Skills!E7=TRUE,Inputs!$B$32,0))))))/Skills!G7,1)))/Inputs!$B$43),G1637*Q1637))*IF(Inputs!$B$38="pvp",1,1+(Inputs!$B$20+Skills!O7+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7*((R1637-1)*IF(Skills!G7&gt;0,Skills!H7/Skills!G7,1)+IF(Skills!G7&gt;0,MIN(Skills!H7,MAX(0,MAX(0,Inputs!$B$43-B1663)-((R1637-1)*IF(Inputs!$B$38="pvp",15,MAX(0.1,Skills!D7-IF(Skills!E7=TRUE,Inputs!$B$32,0))))))/Skills!G7,1)))/Inputs!$B$43),G1637*Q1637))*IF(Inputs!$B$38="pvp",1,(1+(Inputs!$B$21+Skills!P7+B1657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Skills!A8</f>
        <v/>
      </c>
      <c r="B1638">
        <f>Skills!B8</f>
        <v/>
      </c>
      <c r="C1638">
        <f>Inputs!$B$3&gt;=103</f>
        <v/>
      </c>
      <c r="D1638">
        <f>IF(Skills!C8=1,60+Inputs!$B$25+Inputs!$B$29,IF(Skills!C8=2,90+Inputs!$B$26+Inputs!$B$29,IF(Skills!C8=3,120+Inputs!$B$27+Inputs!$B$29,MAX(0,(Inputs!$B$3-100)*3)+Inputs!$B$28+Inputs!$B$29)))</f>
        <v/>
      </c>
      <c r="E1638">
        <f>INDEX(FactorTable!$B$2:$Y$301, MATCH(ROUND(MIN(300,MAX(1,D1638)),0), FactorTable!$A$2:$A$301,0), Skills!L8+1)</f>
        <v/>
      </c>
      <c r="F1638">
        <f>IF(Skills!M8=TRUE,(Skills!K8/10)*(E1638/1000),Skills!K8/10)+Skills!N8</f>
        <v/>
      </c>
      <c r="G1638">
        <f>Calc!G8</f>
        <v/>
      </c>
      <c r="H1638">
        <f>Calc!H8</f>
        <v/>
      </c>
      <c r="I1638">
        <f>IF(Skills!T8&lt;&gt;"",1+(Skills!T8/10)*(Z1633/1000)/100,1)</f>
        <v/>
      </c>
      <c r="J1638">
        <f>((Inputs!$B$6*(1+Inputs!$B$7/100))+(((Inputs!$B$12*(1+Inputs!$B$13/100))-(Inputs!$B$12*(1+Inputs!$B$13/100)))+0.25*(Inputs!$B$14-Inputs!$B$14))*(1+Inputs!$B$7/100))*(F1638/100)</f>
        <v/>
      </c>
      <c r="K1638">
        <f>J1638*(1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1648-Calc!F18),(Inputs!$B$23+(IF(ArtifactsInput!$M$15,CHOOSE(ArtifactsInput!$N$15+1,25,30,35,40,45,50)/100*(Inputs!$B$11-Inputs!$B$11),0))))/100+(Inputs!$B$23+(IF(ArtifactsInput!$M$15,CHOOSE(ArtifactsInput!$N$15+1,25,30,35,40,45,50)/100*(Inputs!$B$11-Inputs!$B$11),0)))/100)/2</f>
        <v/>
      </c>
      <c r="M1638">
        <f>L1638*(1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IF(B1666=0,0,O1638/B1666)</f>
        <v/>
      </c>
      <c r="Q1638">
        <f>IFERROR(1/IF(Inputs!$B$38="pvp",15,MAX(0.1,Skills!D8-IF(Skills!E8=TRUE,Inputs!$B$32,0))),0)</f>
        <v/>
      </c>
      <c r="R1638">
        <f>IF(AND(Inputs!$B$38&lt;&gt;"pvp",Inputs!$B$43&gt;0),IF(MAX(0,Inputs!$B$43-B1663)&lt;=0,0,(INT(MAX(0,Inputs!$B$43-B1663)/IF(Inputs!$B$38="pvp",15,MAX(0.1,Skills!D8-IF(Skills!E8=TRUE,Inputs!$B$32,0))))+1)),0)</f>
        <v/>
      </c>
      <c r="S1638">
        <f>IF(C1638,(H1638*N1638*IF(AND(Inputs!$B$38&lt;&gt;"pvp",Inputs!$B$43&gt;0),((Skills!F8*((R1638-1)*IF(Skills!G8&gt;0,Skills!H8/Skills!G8,1)+IF(Skills!G8&gt;0,MIN(Skills!H8,MAX(0,MAX(0,Inputs!$B$43-B1663)-((R1638-1)*IF(Inputs!$B$38="pvp",15,MAX(0.1,Skills!D8-IF(Skills!E8=TRUE,Inputs!$B$32,0))))))/Skills!G8,1)))/Inputs!$B$43),G1638*Q1638))*IF(Inputs!$B$38="pvp",1,1+(Inputs!$B$20+Skills!O8+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F8*((R1638-1)*IF(Skills!G8&gt;0,Skills!H8/Skills!G8,1)+IF(Skills!G8&gt;0,MIN(Skills!H8,MAX(0,MAX(0,Inputs!$B$43-B1663)-((R1638-1)*IF(Inputs!$B$38="pvp",15,MAX(0.1,Skills!D8-IF(Skills!E8=TRUE,Inputs!$B$32,0))))))/Skills!G8,1)))/Inputs!$B$43),G1638*Q1638))*IF(Inputs!$B$38="pvp",1,(1+(Inputs!$B$21+Skills!P8+B1657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Skills!A9</f>
        <v/>
      </c>
      <c r="B1639">
        <f>Skills!B9</f>
        <v/>
      </c>
      <c r="C1639">
        <f>Inputs!$B$3&gt;=105</f>
        <v/>
      </c>
      <c r="D1639">
        <f>IF(Skills!C9=1,60+Inputs!$B$25+Inputs!$B$29,IF(Skills!C9=2,90+Inputs!$B$26+Inputs!$B$29,IF(Skills!C9=3,120+Inputs!$B$27+Inputs!$B$29,MAX(0,(Inputs!$B$3-100)*3)+Inputs!$B$28+Inputs!$B$29)))</f>
        <v/>
      </c>
      <c r="E1639">
        <f>INDEX(FactorTable!$B$2:$Y$301, MATCH(ROUND(MIN(300,MAX(1,D1639)),0), FactorTable!$A$2:$A$301,0), Skills!L9+1)</f>
        <v/>
      </c>
      <c r="F1639">
        <f>IF(Skills!M9=TRUE,(Skills!K9/10)*(E1639/1000),Skills!K9/10)+Skills!N9</f>
        <v/>
      </c>
      <c r="G1639">
        <f>Calc!G9</f>
        <v/>
      </c>
      <c r="H1639">
        <f>Calc!H9</f>
        <v/>
      </c>
      <c r="I1639">
        <f>IF(Skills!T9&lt;&gt;"",1+(Skills!T9/10)*(Z1633/1000)/100,1)</f>
        <v/>
      </c>
      <c r="J1639">
        <f>((Inputs!$B$6*(1+Inputs!$B$7/100))+(((Inputs!$B$12*(1+Inputs!$B$13/100))-(Inputs!$B$12*(1+Inputs!$B$13/100)))+0.25*(Inputs!$B$14-Inputs!$B$14))*(1+Inputs!$B$7/100))*(F1639/100)</f>
        <v/>
      </c>
      <c r="K1639">
        <f>J1639*(1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1648-Calc!F18),(Inputs!$B$23+(IF(ArtifactsInput!$M$15,CHOOSE(ArtifactsInput!$N$15+1,25,30,35,40,45,50)/100*(Inputs!$B$11-Inputs!$B$11),0))))/100+(Inputs!$B$23+(IF(ArtifactsInput!$M$15,CHOOSE(ArtifactsInput!$N$15+1,25,30,35,40,45,50)/100*(Inputs!$B$11-Inputs!$B$11),0)))/100)/2</f>
        <v/>
      </c>
      <c r="M1639">
        <f>L1639*(1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IF(B1666=0,0,O1639/B1666)</f>
        <v/>
      </c>
      <c r="Q1639">
        <f>IFERROR(1/IF(Inputs!$B$38="pvp",15,MAX(0.1,Skills!D9-IF(Skills!E9=TRUE,Inputs!$B$32,0))),0)</f>
        <v/>
      </c>
      <c r="R1639">
        <f>IF(AND(Inputs!$B$38&lt;&gt;"pvp",Inputs!$B$43&gt;0),IF(MAX(0,Inputs!$B$43-B1663)&lt;=0,0,(INT(MAX(0,Inputs!$B$43-B1663)/IF(Inputs!$B$38="pvp",15,MAX(0.1,Skills!D9-IF(Skills!E9=TRUE,Inputs!$B$32,0))))+1)),0)</f>
        <v/>
      </c>
      <c r="S1639">
        <f>IF(C1639,(H1639*N1639*IF(AND(Inputs!$B$38&lt;&gt;"pvp",Inputs!$B$43&gt;0),((Skills!F9*((R1639-1)*IF(Skills!G9&gt;0,Skills!H9/Skills!G9,1)+IF(Skills!G9&gt;0,MIN(Skills!H9,MAX(0,MAX(0,Inputs!$B$43-B1663)-((R1639-1)*IF(Inputs!$B$38="pvp",15,MAX(0.1,Skills!D9-IF(Skills!E9=TRUE,Inputs!$B$32,0))))))/Skills!G9,1)))/Inputs!$B$43),G1639*Q1639))*IF(Inputs!$B$38="pvp",1,1+(Inputs!$B$20+Skills!O9+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9*((R1639-1)*IF(Skills!G9&gt;0,Skills!H9/Skills!G9,1)+IF(Skills!G9&gt;0,MIN(Skills!H9,MAX(0,MAX(0,Inputs!$B$43-B1663)-((R1639-1)*IF(Inputs!$B$38="pvp",15,MAX(0.1,Skills!D9-IF(Skills!E9=TRUE,Inputs!$B$32,0))))))/Skills!G9,1)))/Inputs!$B$43),G1639*Q1639))*IF(Inputs!$B$38="pvp",1,(1+(Inputs!$B$21+Skills!P9+B1657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Skills!A10</f>
        <v/>
      </c>
      <c r="B1640">
        <f>Skills!B10</f>
        <v/>
      </c>
      <c r="C1640">
        <f>Inputs!$B$3&gt;=113</f>
        <v/>
      </c>
      <c r="D1640">
        <f>IF(Skills!C10=1,60+Inputs!$B$25+Inputs!$B$29,IF(Skills!C10=2,90+Inputs!$B$26+Inputs!$B$29,IF(Skills!C10=3,120+Inputs!$B$27+Inputs!$B$29,MAX(0,(Inputs!$B$3-100)*3)+Inputs!$B$28+Inputs!$B$29)))</f>
        <v/>
      </c>
      <c r="E1640">
        <f>INDEX(FactorTable!$B$2:$Y$301, MATCH(ROUND(MIN(300,MAX(1,D1640)),0), FactorTable!$A$2:$A$301,0), Skills!L10+1)</f>
        <v/>
      </c>
      <c r="F1640">
        <f>IF(Skills!M10=TRUE,(Skills!K10/10)*(E1640/1000),Skills!K10/10)+Skills!N10</f>
        <v/>
      </c>
      <c r="G1640">
        <f>Calc!G10</f>
        <v/>
      </c>
      <c r="H1640">
        <f>Calc!H10</f>
        <v/>
      </c>
      <c r="I1640">
        <f>IF(Skills!T10&lt;&gt;"",1+(Skills!T10/10)*(Z1633/1000)/100,1)</f>
        <v/>
      </c>
      <c r="J1640">
        <f>((Inputs!$B$6*(1+Inputs!$B$7/100))+(((Inputs!$B$12*(1+Inputs!$B$13/100))-(Inputs!$B$12*(1+Inputs!$B$13/100)))+0.25*(Inputs!$B$14-Inputs!$B$14))*(1+Inputs!$B$7/100))*(F1640/100)</f>
        <v/>
      </c>
      <c r="K1640">
        <f>J1640*(1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1648-Calc!F18),(Inputs!$B$23+(IF(ArtifactsInput!$M$15,CHOOSE(ArtifactsInput!$N$15+1,25,30,35,40,45,50)/100*(Inputs!$B$11-Inputs!$B$11),0))))/100+(Inputs!$B$23+(IF(ArtifactsInput!$M$15,CHOOSE(ArtifactsInput!$N$15+1,25,30,35,40,45,50)/100*(Inputs!$B$11-Inputs!$B$11),0)))/100)/2</f>
        <v/>
      </c>
      <c r="M1640">
        <f>L1640*(1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IF(B1666=0,0,O1640/B1666)</f>
        <v/>
      </c>
      <c r="Q1640">
        <f>IFERROR(1/IF(Inputs!$B$38="pvp",15,MAX(0.1,Skills!D10-IF(Skills!E9=TRUE,Inputs!$B$32,0))),0)</f>
        <v/>
      </c>
      <c r="R1640">
        <f>IF(AND(Inputs!$B$38&lt;&gt;"pvp",Inputs!$B$43&gt;0),IF(MAX(0,Inputs!$B$43-B1663)&lt;=0,0,(INT(MAX(0,Inputs!$B$43-B1663)/IF(Inputs!$B$38="pvp",15,MAX(0.1,Skills!D10-IF(Skills!E9=TRUE,Inputs!$B$32,0))))+1)),0)</f>
        <v/>
      </c>
      <c r="S1640">
        <f>IF(C1640,(H1640*N1640*IF(AND(Inputs!$B$38&lt;&gt;"pvp",Inputs!$B$43&gt;0),((Skills!F10*((R1640-1)*IF(Skills!G10&gt;0,Skills!H10/Skills!G10,1)+IF(Skills!G10&gt;0,MIN(Skills!H10,MAX(0,MAX(0,Inputs!$B$43-B1663)-((R1640-1)*IF(Inputs!$B$38="pvp",15,MAX(0.1,Skills!D10-IF(Skills!E9=TRUE,Inputs!$B$32,0))))))/Skills!G10,1)))/Inputs!$B$43),G1640*Q1640))*IF(Inputs!$B$38="pvp",1,1+(Inputs!$B$20+Skills!O10+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10*((R1640-1)*IF(Skills!G10&gt;0,Skills!H10/Skills!G10,1)+IF(Skills!G10&gt;0,MIN(Skills!H10,MAX(0,MAX(0,Inputs!$B$43-B1663)-((R1640-1)*IF(Inputs!$B$38="pvp",15,MAX(0.1,Skills!D10-IF(Skills!E9=TRUE,Inputs!$B$32,0))))))/Skills!G10,1)))/Inputs!$B$43),G1640*Q1640))*IF(Inputs!$B$38="pvp",1,(1+(Inputs!$B$21+Skills!P10+B1657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Skills!A11</f>
        <v/>
      </c>
      <c r="B1641">
        <f>Skills!B11</f>
        <v/>
      </c>
      <c r="C1641">
        <f>Inputs!$B$3&gt;=107</f>
        <v/>
      </c>
      <c r="D1641">
        <f>IF(Skills!C11=1,60+Inputs!$B$25+Inputs!$B$29,IF(Skills!C11=2,90+Inputs!$B$26+Inputs!$B$29,IF(Skills!C11=3,120+Inputs!$B$27+Inputs!$B$29,MAX(0,(Inputs!$B$3-100)*3)+Inputs!$B$28+Inputs!$B$29)))</f>
        <v/>
      </c>
      <c r="E1641">
        <f>INDEX(FactorTable!$B$2:$Y$301, MATCH(ROUND(MIN(300,MAX(1,D1641)),0), FactorTable!$A$2:$A$301,0), Skills!L11+1)</f>
        <v/>
      </c>
      <c r="F1641">
        <f>IF(Skills!M11=TRUE,(Skills!K11/10)*(E1641/1000),Skills!K11/10)+Skills!N11</f>
        <v/>
      </c>
      <c r="G1641">
        <f>Calc!G11</f>
        <v/>
      </c>
      <c r="H1641">
        <f>Calc!H11</f>
        <v/>
      </c>
      <c r="I1641">
        <f>IF(Skills!T11&lt;&gt;"",1+(Skills!T11/10)*(Z1633/1000)/100,1)</f>
        <v/>
      </c>
      <c r="J1641">
        <f>((Inputs!$B$6*(1+Inputs!$B$7/100))+(((Inputs!$B$12*(1+Inputs!$B$13/100))-(Inputs!$B$12*(1+Inputs!$B$13/100)))+0.25*(Inputs!$B$14-Inputs!$B$14))*(1+Inputs!$B$7/100))*(F1641/100)</f>
        <v/>
      </c>
      <c r="K1641">
        <f>J1641*(1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F1648-Calc!F18),(Inputs!$B$23+(IF(ArtifactsInput!$M$15,CHOOSE(ArtifactsInput!$N$15+1,25,30,35,40,45,50)/100*(Inputs!$B$11-Inputs!$B$11),0))))/100+(Inputs!$B$23+(IF(ArtifactsInput!$M$15,CHOOSE(ArtifactsInput!$N$15+1,25,30,35,40,45,50)/100*(Inputs!$B$11-Inputs!$B$11),0)))/100)/2</f>
        <v/>
      </c>
      <c r="M1641">
        <f>L1641*(1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(1-Summary!$B$11)*S1641+Summary!$B$11*U1641</f>
        <v/>
      </c>
      <c r="P1641">
        <f>IF(B1666=0,0,O1641/B1666)</f>
        <v/>
      </c>
      <c r="Q1641">
        <f>IFERROR(1/IF(Inputs!$B$38="pvp",15,MAX(0.1,Skills!D11-IF(Skills!E11=TRUE,Inputs!$B$32,0))),0)</f>
        <v/>
      </c>
      <c r="R1641">
        <f>IF(AND(Inputs!$B$38&lt;&gt;"pvp",Inputs!$B$43&gt;0),IF(MAX(0,Inputs!$B$43-B1663)&lt;=0,0,(INT(MAX(0,Inputs!$B$43-B1663)/IF(Inputs!$B$38="pvp",15,MAX(0.1,Skills!D11-IF(Skills!E11=TRUE,Inputs!$B$32,0))))+1)),0)</f>
        <v/>
      </c>
      <c r="S1641">
        <f>IF(C1641,H1641*N1641*IF(AND(Inputs!$B$38&lt;&gt;"pvp",Inputs!$B$43&gt;0),((Skills!F11*((R1641-1)*IF(Skills!G11&gt;0,Skills!H11/Skills!G11,1)+IF(Skills!G11&gt;0,MIN(Skills!H11,MAX(0,MAX(0,Inputs!$B$43-B1663)-((R1641-1)*IF(Inputs!$B$38="pvp",15,MAX(0.1,Skills!D11-IF(Skills!E11=TRUE,Inputs!$B$32,0))))))/Skills!G11,1)))/Inputs!$B$43),G1641*Q1641)*0.5*IF(Inputs!$B$38="pvp",1,1+(Inputs!$B$20+Skills!O11+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1">
        <f>IF(C1641,H1641*N1641*IF(AND(Inputs!$B$38&lt;&gt;"pvp",Inputs!$B$43&gt;0),((Skills!F11*((R1641-1)*IF(Skills!G11&gt;0,Skills!H11/Skills!G11,1)+IF(Skills!G11&gt;0,MIN(Skills!H11,MAX(0,MAX(0,Inputs!$B$43-B1663)-((R1641-1)*IF(Inputs!$B$38="pvp",15,MAX(0.1,Skills!D11-IF(Skills!E11=TRUE,Inputs!$B$32,0))))))/Skills!G11,1)))/Inputs!$B$43),G1641*Q1641)*1*IF(Inputs!$B$38="pvp",1,(1+(Inputs!$B$21+Skills!P11+B1657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Skills!A12</f>
        <v/>
      </c>
      <c r="B1642">
        <f>Skills!B12</f>
        <v/>
      </c>
      <c r="C1642">
        <f>Inputs!$B$3&gt;=115</f>
        <v/>
      </c>
      <c r="D1642">
        <f>IF(Skills!C12=1,60+Inputs!$B$25+Inputs!$B$29,IF(Skills!C12=2,90+Inputs!$B$26+Inputs!$B$29,IF(Skills!C12=3,120+Inputs!$B$27+Inputs!$B$29,MAX(0,(Inputs!$B$3-100)*3)+Inputs!$B$28+Inputs!$B$29)))</f>
        <v/>
      </c>
      <c r="E1642">
        <f>INDEX(FactorTable!$B$2:$Y$301, MATCH(ROUND(MIN(300,MAX(1,D1642)),0), FactorTable!$A$2:$A$301,0), Skills!L12+1)</f>
        <v/>
      </c>
      <c r="F1642">
        <f>IF(Skills!M12=TRUE,(Skills!K12/10)*(E1642/1000),Skills!K12/10)+Skills!N12</f>
        <v/>
      </c>
      <c r="G1642">
        <f>Calc!G12</f>
        <v/>
      </c>
      <c r="H1642">
        <f>Calc!H12</f>
        <v/>
      </c>
      <c r="I1642">
        <f>IF(Skills!T12&lt;&gt;"",1+(Skills!T12/10)*(Z1633/1000)/100,1)</f>
        <v/>
      </c>
      <c r="J1642">
        <f>((Inputs!$B$6*(1+Inputs!$B$7/100))+(((Inputs!$B$12*(1+Inputs!$B$13/100))-(Inputs!$B$12*(1+Inputs!$B$13/100)))+0.25*(Inputs!$B$14-Inputs!$B$14))*(1+Inputs!$B$7/100))*(F1642/100)</f>
        <v/>
      </c>
      <c r="K1642">
        <f>J1642*(1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F1648-Calc!F18),(Inputs!$B$23+(IF(ArtifactsInput!$M$15,CHOOSE(ArtifactsInput!$N$15+1,25,30,35,40,45,50)/100*(Inputs!$B$11-Inputs!$B$11),0))))/100+(Inputs!$B$23+(IF(ArtifactsInput!$M$15,CHOOSE(ArtifactsInput!$N$15+1,25,30,35,40,45,50)/100*(Inputs!$B$11-Inputs!$B$11),0)))/100)/2</f>
        <v/>
      </c>
      <c r="M1642">
        <f>L1642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(1-Summary!$B$11)*S1642+Summary!$B$11*U1642</f>
        <v/>
      </c>
      <c r="P1642">
        <f>IF(B1666=0,0,O1642/B1666)</f>
        <v/>
      </c>
      <c r="Q1642">
        <f>IFERROR(1/IF(Inputs!$B$38="pvp",15,MAX(0.1,Skills!D12-IF(Skills!E12=TRUE,Inputs!$B$32,0))),0)</f>
        <v/>
      </c>
      <c r="R1642">
        <f>IF(AND(Inputs!$B$38&lt;&gt;"pvp",Inputs!$B$43&gt;0),IF(MAX(0,Inputs!$B$43-B1663)&lt;=0,0,(INT(MAX(0,Inputs!$B$43-B1663)/IF(Inputs!$B$38="pvp",15,MAX(0.1,Skills!D12-IF(Skills!E12=TRUE,Inputs!$B$32,0))))+1)),0)</f>
        <v/>
      </c>
      <c r="S1642">
        <f>IF(C1642,(H1642*N1642*IF(AND(Inputs!$B$38&lt;&gt;"pvp",Inputs!$B$43&gt;0),((Skills!F12*((R1642-1)*IF(Skills!G12&gt;0,Skills!H12/Skills!G12,1)+IF(Skills!G12&gt;0,MIN(Skills!H12,MAX(0,MAX(0,Inputs!$B$43-B1663)-((R1642-1)*IF(Inputs!$B$38="pvp",15,MAX(0.1,Skills!D12-IF(Skills!E12=TRUE,Inputs!$B$32,0))))))/Skills!G12,1)))/Inputs!$B$43),G1642*Q1642))*IF(Inputs!$B$38="pvp",1,1+(Inputs!$B$20+Skills!O12+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2">
        <f>IF(C1642,(H1642*N1642*IF(AND(Inputs!$B$38&lt;&gt;"pvp",Inputs!$B$43&gt;0),((Skills!F12*((R1642-1)*IF(Skills!G12&gt;0,Skills!H12/Skills!G12,1)+IF(Skills!G12&gt;0,MIN(Skills!H12,MAX(0,MAX(0,Inputs!$B$43-B1663)-((R1642-1)*IF(Inputs!$B$38="pvp",15,MAX(0.1,Skills!D12-IF(Skills!E12=TRUE,Inputs!$B$32,0))))))/Skills!G12,1)))/Inputs!$B$43),G1642*Q1642))*IF(Inputs!$B$38="pvp",1,(1+(Inputs!$B$21+Skills!P12+B1657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Skills!A13</f>
        <v/>
      </c>
      <c r="B1643">
        <f>Skills!B13</f>
        <v/>
      </c>
      <c r="C1643">
        <f>Inputs!$B$3&gt;=49</f>
        <v/>
      </c>
      <c r="D1643">
        <f>IF(Skills!C13=1,60+Inputs!$B$25+Inputs!$B$29,IF(Skills!C13=2,90+Inputs!$B$26+Inputs!$B$29,IF(Skills!C13=3,120+Inputs!$B$27+Inputs!$B$29,MAX(0,(Inputs!$B$3-100)*3)+Inputs!$B$28+Inputs!$B$29)))</f>
        <v/>
      </c>
      <c r="E1643">
        <f>INDEX(FactorTable!$B$2:$Y$301, MATCH(ROUND(MIN(300,MAX(1,D1643)),0), FactorTable!$A$2:$A$301,0), Skills!L13+1)</f>
        <v/>
      </c>
      <c r="F1643">
        <f>IF(Skills!M13=TRUE,(Skills!K13/10)*(E1643/1000),Skills!K13/10)+Skills!N13</f>
        <v/>
      </c>
      <c r="G1643">
        <f>Calc!G13</f>
        <v/>
      </c>
      <c r="H1643">
        <f>Calc!H13</f>
        <v/>
      </c>
      <c r="I1643">
        <f>IF(Skills!T13&lt;&gt;"",1+(Skills!T13/10)*(Z1633/1000)/100,1)</f>
        <v/>
      </c>
      <c r="J1643" t="inlineStr"/>
      <c r="K1643" t="inlineStr"/>
      <c r="L1643" t="inlineStr"/>
      <c r="M1643" t="inlineStr"/>
      <c r="N1643" t="inlineStr"/>
      <c r="O1643">
        <f>(1-Summary!$B$11)*S1643+Summary!$B$11*U1643</f>
        <v/>
      </c>
      <c r="P1643">
        <f>IF(B1666=0,0,O1643/B1666)</f>
        <v/>
      </c>
      <c r="Q1643">
        <f>IFERROR(1/IF(Inputs!$B$38="pvp",15,MAX(0.1,Skills!D13-IF(Skills!E13=TRUE,Inputs!$B$32,0))),0)</f>
        <v/>
      </c>
      <c r="R1643" t="n">
        <v>0</v>
      </c>
      <c r="S1643" t="n">
        <v>0</v>
      </c>
      <c r="U1643" t="n">
        <v>0</v>
      </c>
    </row>
    <row r="1644">
      <c r="A1644">
        <f>Skills!A14</f>
        <v/>
      </c>
      <c r="B1644">
        <f>Skills!B14</f>
        <v/>
      </c>
      <c r="C1644">
        <f>Inputs!$B$3&gt;=72</f>
        <v/>
      </c>
      <c r="D1644">
        <f>IF(Skills!C14=1,60+Inputs!$B$25+Inputs!$B$29,IF(Skills!C14=2,90+Inputs!$B$26+Inputs!$B$29,IF(Skills!C14=3,120+Inputs!$B$27+Inputs!$B$29,MAX(0,(Inputs!$B$3-100)*3)+Inputs!$B$28+Inputs!$B$29)))</f>
        <v/>
      </c>
      <c r="E1644">
        <f>INDEX(FactorTable!$B$2:$Y$301, MATCH(ROUND(MIN(300,MAX(1,D1644)),0), FactorTable!$A$2:$A$301,0), Skills!L14+1)</f>
        <v/>
      </c>
      <c r="F1644">
        <f>IF(Skills!M14=TRUE,(Skills!K14/10)*(E1644/1000),Skills!K14/10)+Skills!N14</f>
        <v/>
      </c>
      <c r="G1644">
        <f>Calc!G14</f>
        <v/>
      </c>
      <c r="H1644">
        <f>Calc!H14</f>
        <v/>
      </c>
      <c r="I1644">
        <f>IF(Skills!T14&lt;&gt;"",1+(Skills!T14/10)*(Z1633/1000)/100,1)</f>
        <v/>
      </c>
      <c r="J1644" t="inlineStr"/>
      <c r="K1644" t="inlineStr"/>
      <c r="L1644" t="inlineStr"/>
      <c r="M1644" t="inlineStr"/>
      <c r="N1644" t="inlineStr"/>
      <c r="O1644">
        <f>(1-Summary!$B$11)*S1644+Summary!$B$11*U1644</f>
        <v/>
      </c>
      <c r="P1644">
        <f>IF(B1666=0,0,O1644/B1666)</f>
        <v/>
      </c>
      <c r="Q1644">
        <f>IFERROR(1/IF(Inputs!$B$38="pvp",15,MAX(0.1,Skills!D14-IF(Skills!E14=TRUE,Inputs!$B$32,0))),0)</f>
        <v/>
      </c>
      <c r="R1644" t="n">
        <v>0</v>
      </c>
      <c r="S1644" t="n">
        <v>0</v>
      </c>
      <c r="U1644" t="n">
        <v>0</v>
      </c>
    </row>
    <row r="1645">
      <c r="A1645">
        <f>Skills!A15</f>
        <v/>
      </c>
      <c r="B1645">
        <f>Skills!B15</f>
        <v/>
      </c>
      <c r="C1645">
        <f>Inputs!$B$3&gt;=75</f>
        <v/>
      </c>
      <c r="D1645">
        <f>IF(Skills!C15=1,60+Inputs!$B$25+Inputs!$B$29,IF(Skills!C15=2,90+Inputs!$B$26+Inputs!$B$29,IF(Skills!C15=3,120+Inputs!$B$27+Inputs!$B$29,MAX(0,(Inputs!$B$3-100)*3)+Inputs!$B$28+Inputs!$B$29)))</f>
        <v/>
      </c>
      <c r="E1645">
        <f>INDEX(FactorTable!$B$2:$Y$301, MATCH(ROUND(MIN(300,MAX(1,D1645)),0), FactorTable!$A$2:$A$301,0), Skills!L15+1)</f>
        <v/>
      </c>
      <c r="F1645">
        <f>IF(Skills!M15=TRUE,(Skills!K15/10)*(E1645/1000),Skills!K15/10)+Skills!N15</f>
        <v/>
      </c>
      <c r="G1645">
        <f>Calc!G15</f>
        <v/>
      </c>
      <c r="H1645">
        <f>Calc!H15</f>
        <v/>
      </c>
      <c r="I1645">
        <f>IF(Skills!T15&lt;&gt;"",1+(Skills!T15/10)*(Z1633/1000)/100,1)</f>
        <v/>
      </c>
      <c r="J1645" t="inlineStr"/>
      <c r="K1645" t="inlineStr"/>
      <c r="L1645" t="inlineStr"/>
      <c r="M1645" t="inlineStr"/>
      <c r="N1645" t="inlineStr"/>
      <c r="O1645">
        <f>(1-Summary!$B$11)*S1645+Summary!$B$11*U1645</f>
        <v/>
      </c>
      <c r="P1645">
        <f>IF(B1666=0,0,O1645/B1666)</f>
        <v/>
      </c>
      <c r="Q1645">
        <f>IFERROR(1/IF(Inputs!$B$38="pvp",15,MAX(0.1,Skills!D15-IF(Skills!E15=TRUE,Inputs!$B$32,0))),0)</f>
        <v/>
      </c>
      <c r="R1645" t="n">
        <v>0</v>
      </c>
      <c r="S1645" t="n">
        <v>0</v>
      </c>
      <c r="U1645" t="n">
        <v>0</v>
      </c>
    </row>
    <row r="1646">
      <c r="A1646">
        <f>Skills!A16</f>
        <v/>
      </c>
      <c r="B1646">
        <f>Skills!B16</f>
        <v/>
      </c>
      <c r="C1646">
        <f>Inputs!$B$3&gt;=110</f>
        <v/>
      </c>
      <c r="D1646">
        <f>IF(Skills!C16=1,60+Inputs!$B$25+Inputs!$B$29,IF(Skills!C16=2,90+Inputs!$B$26+Inputs!$B$29,IF(Skills!C16=3,120+Inputs!$B$27+Inputs!$B$29,MAX(0,(Inputs!$B$3-100)*3)+Inputs!$B$28+Inputs!$B$29)))</f>
        <v/>
      </c>
      <c r="E1646">
        <f>INDEX(FactorTable!$B$2:$Y$301, MATCH(ROUND(MIN(300,MAX(1,D1646)),0), FactorTable!$A$2:$A$301,0), Skills!L16+1)</f>
        <v/>
      </c>
      <c r="F1646">
        <f>(Skills!K16/10)*(E1646/1000)*64/45+Skills!N16</f>
        <v/>
      </c>
      <c r="G1646">
        <f>Calc!G16</f>
        <v/>
      </c>
      <c r="H1646">
        <f>Calc!H16</f>
        <v/>
      </c>
      <c r="I1646">
        <f>IF(Skills!T16&lt;&gt;"",1+(Skills!T16/10)*(Z1633/1000)/100,1)</f>
        <v/>
      </c>
      <c r="J1646" t="inlineStr"/>
      <c r="K1646" t="inlineStr"/>
      <c r="L1646" t="inlineStr"/>
      <c r="M1646" t="inlineStr"/>
      <c r="N1646" t="inlineStr"/>
      <c r="O1646">
        <f>(1-Summary!$B$11)*S1646+Summary!$B$11*U1646</f>
        <v/>
      </c>
      <c r="P1646">
        <f>IF(B1666=0,0,O1646/B1666)</f>
        <v/>
      </c>
      <c r="Q1646">
        <f>IFERROR(1/IF(Inputs!$B$38="pvp",15,MAX(0.1,Skills!D16-IF(Skills!E16=TRUE,Inputs!$B$32,0))),0)</f>
        <v/>
      </c>
      <c r="R1646">
        <f>IF(AND(Inputs!$B$38&lt;&gt;"pvp",Inputs!$B$43&gt;0),IF(Inputs!$B$43&lt;=0,0,(INT(Inputs!$B$43/IF(Inputs!$B$38="pvp",15,MAX(0.1,Skills!D16-IF(Skills!E16=TRUE,Inputs!$B$32,0))))+1)),0)</f>
        <v/>
      </c>
      <c r="S1646" t="n">
        <v>0</v>
      </c>
      <c r="U1646" t="n">
        <v>0</v>
      </c>
    </row>
    <row r="1647">
      <c r="A1647">
        <f>Skills!A17</f>
        <v/>
      </c>
      <c r="B1647">
        <f>Skills!B17</f>
        <v/>
      </c>
      <c r="C1647">
        <f>Inputs!$B$3&gt;=33</f>
        <v/>
      </c>
      <c r="D1647">
        <f>IF(Skills!C17=1,60+Inputs!$B$25+Inputs!$B$29,IF(Skills!C17=2,90+Inputs!$B$26+Inputs!$B$29,IF(Skills!C17=3,120+Inputs!$B$27+Inputs!$B$29,MAX(0,(Inputs!$B$3-100)*3)+Inputs!$B$28+Inputs!$B$29)))</f>
        <v/>
      </c>
      <c r="E1647">
        <f>INDEX(FactorTable!$B$2:$Y$301, MATCH(ROUND(MIN(300,MAX(1,D1647)),0), FactorTable!$A$2:$A$301,0), Skills!L17+1)</f>
        <v/>
      </c>
      <c r="F1647">
        <f>IF(Skills!M17=TRUE,(Skills!K17/10)*(E1647/1000),Skills!K17/10)+Skills!N17</f>
        <v/>
      </c>
      <c r="G1647">
        <f>Calc!G17</f>
        <v/>
      </c>
      <c r="H1647">
        <f>Calc!H17</f>
        <v/>
      </c>
      <c r="I1647">
        <f>IF(Skills!T17&lt;&gt;"",1+(Skills!T17/10)*(Z1633/1000)/100,1)</f>
        <v/>
      </c>
      <c r="J1647" t="inlineStr"/>
      <c r="K1647" t="inlineStr"/>
      <c r="L1647" t="inlineStr"/>
      <c r="M1647" t="inlineStr"/>
      <c r="N1647" t="inlineStr"/>
      <c r="O1647">
        <f>(1-Summary!$B$11)*S1647+Summary!$B$11*U1647</f>
        <v/>
      </c>
      <c r="P1647">
        <f>IF(B1666=0,0,O1647/B1666)</f>
        <v/>
      </c>
      <c r="Q1647">
        <f>IFERROR(1/IF(Inputs!$B$38="pvp",15,MAX(0.1,Skills!D17-IF(Skills!E17=TRUE,Inputs!$B$32,0))),0)</f>
        <v/>
      </c>
      <c r="R1647" t="n">
        <v>0</v>
      </c>
      <c r="S1647" t="n">
        <v>0</v>
      </c>
      <c r="U1647" t="n">
        <v>0</v>
      </c>
    </row>
    <row r="1648">
      <c r="A1648">
        <f>Skills!A18</f>
        <v/>
      </c>
      <c r="B1648">
        <f>Skills!B18</f>
        <v/>
      </c>
      <c r="C1648">
        <f>Inputs!$B$3&gt;=43</f>
        <v/>
      </c>
      <c r="D1648">
        <f>IF(Skills!C18=1,60+Inputs!$B$25+Inputs!$B$29,IF(Skills!C18=2,90+Inputs!$B$26+Inputs!$B$29,IF(Skills!C18=3,120+Inputs!$B$27+Inputs!$B$29,MAX(0,(Inputs!$B$3-100)*3)+Inputs!$B$28+Inputs!$B$29)))</f>
        <v/>
      </c>
      <c r="E1648">
        <f>INDEX(FactorTable!$B$2:$Y$301, MATCH(ROUND(MIN(300,MAX(1,D1648)),0), FactorTable!$A$2:$A$301,0), Skills!L18+1)</f>
        <v/>
      </c>
      <c r="F1648">
        <f>IF(Skills!M18=TRUE,(Skills!K18/10)*(E1648/1000),Skills!K18/10)+Skills!N18</f>
        <v/>
      </c>
      <c r="G1648">
        <f>Calc!G18</f>
        <v/>
      </c>
      <c r="H1648">
        <f>Calc!H18</f>
        <v/>
      </c>
      <c r="I1648">
        <f>IF(Skills!T18&lt;&gt;"",1+(Skills!T18/10)*(Z1633/1000)/100,1)</f>
        <v/>
      </c>
      <c r="J1648" t="inlineStr"/>
      <c r="K1648" t="inlineStr"/>
      <c r="L1648" t="inlineStr"/>
      <c r="M1648" t="inlineStr"/>
      <c r="N1648" t="inlineStr"/>
      <c r="O1648">
        <f>(1-Summary!$B$11)*S1648+Summary!$B$11*U1648</f>
        <v/>
      </c>
      <c r="P1648">
        <f>IF(B1666=0,0,O1648/B1666)</f>
        <v/>
      </c>
      <c r="Q1648">
        <f>IFERROR(1/IF(Inputs!$B$38="pvp",15,MAX(0.1,Skills!D18-IF(Skills!E18=TRUE,Inputs!$B$32,0))),0)</f>
        <v/>
      </c>
      <c r="R1648" t="n">
        <v>0</v>
      </c>
      <c r="S1648" t="n">
        <v>0</v>
      </c>
      <c r="U1648" t="n">
        <v>0</v>
      </c>
    </row>
    <row r="1649">
      <c r="A1649">
        <f>Skills!A19</f>
        <v/>
      </c>
      <c r="B1649">
        <f>Skills!B19</f>
        <v/>
      </c>
      <c r="C1649">
        <f>Inputs!$B$3&gt;=50</f>
        <v/>
      </c>
      <c r="D1649">
        <f>IF(Skills!C19=1,60+Inputs!$B$25+Inputs!$B$29,IF(Skills!C19=2,90+Inputs!$B$26+Inputs!$B$29,IF(Skills!C19=3,120+Inputs!$B$27+Inputs!$B$29,MAX(0,(Inputs!$B$3-100)*3)+Inputs!$B$28+Inputs!$B$29)))</f>
        <v/>
      </c>
      <c r="E1649">
        <f>INDEX(FactorTable!$B$2:$Y$301, MATCH(ROUND(MIN(300,MAX(1,D1649)),0), FactorTable!$A$2:$A$301,0), Skills!L19+1)</f>
        <v/>
      </c>
      <c r="F1649">
        <f>IF(Skills!M19=TRUE,(Skills!K19/10)*(E1649/1000),Skills!K19/10)+Skills!N19</f>
        <v/>
      </c>
      <c r="G1649">
        <f>Calc!G19</f>
        <v/>
      </c>
      <c r="H1649">
        <f>Calc!H19</f>
        <v/>
      </c>
      <c r="I1649">
        <f>IF(Skills!T19&lt;&gt;"",1+(Skills!T19/10)*(Z1633/1000)/100,1)</f>
        <v/>
      </c>
      <c r="J1649" t="inlineStr"/>
      <c r="K1649" t="inlineStr"/>
      <c r="L1649" t="inlineStr"/>
      <c r="M1649" t="inlineStr"/>
      <c r="N1649" t="inlineStr"/>
      <c r="O1649">
        <f>(1-Summary!$B$11)*S1649+Summary!$B$11*U1649</f>
        <v/>
      </c>
      <c r="P1649">
        <f>IF(B1666=0,0,O1649/B1666)</f>
        <v/>
      </c>
      <c r="Q1649">
        <f>IFERROR(1/IF(Inputs!$B$38="pvp",15,MAX(0.1,Skills!D19-IF(Skills!E19=TRUE,Inputs!$B$32,0))),0)</f>
        <v/>
      </c>
      <c r="R1649" t="n">
        <v>0</v>
      </c>
      <c r="S1649" t="n">
        <v>0</v>
      </c>
      <c r="U1649" t="n">
        <v>0</v>
      </c>
    </row>
    <row r="1650">
      <c r="A1650">
        <f>Skills!A20</f>
        <v/>
      </c>
      <c r="B1650">
        <f>Skills!B20</f>
        <v/>
      </c>
      <c r="C1650">
        <f>Inputs!$B$3&gt;=74</f>
        <v/>
      </c>
      <c r="D1650">
        <f>IF(Skills!C20=1,60+Inputs!$B$25+Inputs!$B$29,IF(Skills!C20=2,90+Inputs!$B$26+Inputs!$B$29,IF(Skills!C20=3,120+Inputs!$B$27+Inputs!$B$29,MAX(0,(Inputs!$B$3-100)*3)+Inputs!$B$28+Inputs!$B$29)))</f>
        <v/>
      </c>
      <c r="E1650">
        <f>INDEX(FactorTable!$B$2:$Y$301, MATCH(ROUND(MIN(300,MAX(1,D1650)),0), FactorTable!$A$2:$A$301,0), Skills!L20+1)</f>
        <v/>
      </c>
      <c r="F1650">
        <f>IF(Skills!M20=TRUE,(Skills!K20/10)*(E1650/1000),Skills!K20/10)+Skills!N20</f>
        <v/>
      </c>
      <c r="G1650">
        <f>Calc!G20</f>
        <v/>
      </c>
      <c r="H1650">
        <f>Calc!H20</f>
        <v/>
      </c>
      <c r="I1650">
        <f>IF(Skills!T20&lt;&gt;"",1+(Skills!T20/10)*(Z1633/1000)/100,1)</f>
        <v/>
      </c>
      <c r="J1650" t="inlineStr"/>
      <c r="K1650" t="inlineStr"/>
      <c r="L1650" t="inlineStr"/>
      <c r="M1650" t="inlineStr"/>
      <c r="N1650" t="inlineStr"/>
      <c r="O1650">
        <f>(1-Summary!$B$11)*S1650+Summary!$B$11*U1650</f>
        <v/>
      </c>
      <c r="P1650">
        <f>IF(B1666=0,0,O1650/B1666)</f>
        <v/>
      </c>
      <c r="Q1650">
        <f>IFERROR(1/IF(Inputs!$B$38="pvp",15,MAX(0.1,Skills!D20-IF(Skills!E20=TRUE,Inputs!$B$32,0))),0)</f>
        <v/>
      </c>
      <c r="R1650" t="n">
        <v>0</v>
      </c>
      <c r="S1650" t="n">
        <v>0</v>
      </c>
      <c r="U1650" t="n">
        <v>0</v>
      </c>
    </row>
    <row r="1651">
      <c r="A1651">
        <f>Skills!A21</f>
        <v/>
      </c>
      <c r="B1651">
        <f>Skills!B21</f>
        <v/>
      </c>
      <c r="C1651">
        <f>Inputs!$B$3&gt;=74</f>
        <v/>
      </c>
      <c r="D1651">
        <f>IF(Skills!C21=1,60+Inputs!$B$25+Inputs!$B$29,IF(Skills!C21=2,90+Inputs!$B$26+Inputs!$B$29,IF(Skills!C21=3,120+Inputs!$B$27+Inputs!$B$29,MAX(0,(Inputs!$B$3-100)*3)+Inputs!$B$28+Inputs!$B$29)))</f>
        <v/>
      </c>
      <c r="E1651">
        <f>INDEX(FactorTable!$B$2:$Y$301, MATCH(ROUND(MIN(300,MAX(1,D1651)),0), FactorTable!$A$2:$A$301,0), Skills!L21+1)</f>
        <v/>
      </c>
      <c r="F1651">
        <f>IF(Skills!M21=TRUE,(Skills!K21/10)*(E1651/1000),Skills!K21/10)+Skills!N21</f>
        <v/>
      </c>
      <c r="G1651">
        <f>Calc!G21</f>
        <v/>
      </c>
      <c r="H1651">
        <f>Calc!H21</f>
        <v/>
      </c>
      <c r="I1651">
        <f>IF(Skills!T21&lt;&gt;"",1+(Skills!T21/10)*(Z1633/1000)/100,1)</f>
        <v/>
      </c>
      <c r="J1651" t="inlineStr"/>
      <c r="K1651" t="inlineStr"/>
      <c r="L1651" t="inlineStr"/>
      <c r="M1651" t="inlineStr"/>
      <c r="N1651" t="inlineStr"/>
      <c r="O1651">
        <f>(1-Summary!$B$11)*S1651+Summary!$B$11*U1651</f>
        <v/>
      </c>
      <c r="P1651">
        <f>IF(B1666=0,0,O1651/B1666)</f>
        <v/>
      </c>
      <c r="Q1651">
        <f>IFERROR(1/IF(Inputs!$B$38="pvp",15,MAX(0.1,Skills!D21-IF(Skills!E21=TRUE,Inputs!$B$32,0))),0)</f>
        <v/>
      </c>
      <c r="R1651" t="n">
        <v>0</v>
      </c>
      <c r="S1651" t="n">
        <v>0</v>
      </c>
      <c r="U1651" t="n">
        <v>0</v>
      </c>
    </row>
    <row r="1652">
      <c r="A1652">
        <f>Skills!A22</f>
        <v/>
      </c>
      <c r="B1652">
        <f>Skills!B22</f>
        <v/>
      </c>
      <c r="C1652">
        <f>Inputs!$B$3&gt;=117</f>
        <v/>
      </c>
      <c r="D1652">
        <f>IF(Skills!C22=1,60+Inputs!$B$25+Inputs!$B$29,IF(Skills!C22=2,90+Inputs!$B$26+Inputs!$B$29,IF(Skills!C22=3,120+Inputs!$B$27+Inputs!$B$29,MAX(0,(Inputs!$B$3-100)*3)+Inputs!$B$28+Inputs!$B$29)))</f>
        <v/>
      </c>
      <c r="E1652">
        <f>INDEX(FactorTable!$B$2:$Y$301, MATCH(ROUND(MIN(300,MAX(1,D1652)),0), FactorTable!$A$2:$A$301,0), Skills!L22+1)</f>
        <v/>
      </c>
      <c r="F1652">
        <f>IF(Skills!M22=TRUE,(Skills!K22/10)*(E1652/1000),Skills!K22/10)+Skills!N22</f>
        <v/>
      </c>
      <c r="G1652">
        <f>Calc!G22</f>
        <v/>
      </c>
      <c r="H1652">
        <f>Calc!H22</f>
        <v/>
      </c>
      <c r="I1652">
        <f>IF(Skills!T22&lt;&gt;"",1+(Skills!T22/10)*(Z1633/1000)/100,1)</f>
        <v/>
      </c>
      <c r="J1652" t="inlineStr"/>
      <c r="K1652" t="inlineStr"/>
      <c r="L1652" t="inlineStr"/>
      <c r="M1652" t="inlineStr"/>
      <c r="N1652" t="inlineStr"/>
      <c r="O1652">
        <f>(1-Summary!$B$11)*S1652+Summary!$B$11*U1652</f>
        <v/>
      </c>
      <c r="P1652">
        <f>IF(B1666=0,0,O1652/B1666)</f>
        <v/>
      </c>
      <c r="Q1652">
        <f>IFERROR(1/IF(Inputs!$B$38="pvp",15,MAX(0.1,Skills!D22-IF(Skills!E22=TRUE,Inputs!$B$32,0))),0)</f>
        <v/>
      </c>
      <c r="R1652" t="n">
        <v>0</v>
      </c>
      <c r="S1652" t="n">
        <v>0</v>
      </c>
      <c r="U1652" t="n">
        <v>0</v>
      </c>
    </row>
    <row r="1653">
      <c r="A1653">
        <f>Skills!A23</f>
        <v/>
      </c>
      <c r="B1653">
        <f>Skills!B23</f>
        <v/>
      </c>
      <c r="C1653">
        <f>Inputs!$B$3&gt;=120</f>
        <v/>
      </c>
      <c r="D1653">
        <f>IF(Skills!C23=1,60+Inputs!$B$25+Inputs!$B$29,IF(Skills!C23=2,90+Inputs!$B$26+Inputs!$B$29,IF(Skills!C23=3,120+Inputs!$B$27+Inputs!$B$29,MAX(0,(Inputs!$B$3-100)*3)+Inputs!$B$28+Inputs!$B$29)))</f>
        <v/>
      </c>
      <c r="E1653">
        <f>INDEX(FactorTable!$B$2:$Y$301, MATCH(ROUND(MIN(300,MAX(1,D1653)),0), FactorTable!$A$2:$A$301,0), Skills!L23+1)</f>
        <v/>
      </c>
      <c r="F1653">
        <f>IF(Skills!M23=TRUE,(Skills!K23/10)*(E1653/1000),Skills!K23/10)+Skills!N23</f>
        <v/>
      </c>
      <c r="G1653">
        <f>Calc!G23</f>
        <v/>
      </c>
      <c r="H1653">
        <f>Calc!H23</f>
        <v/>
      </c>
      <c r="I1653">
        <f>IF(Skills!T23&lt;&gt;"",1+(Skills!T23/10)*(Z1633/1000)/100,1)</f>
        <v/>
      </c>
      <c r="J1653" t="inlineStr"/>
      <c r="K1653" t="inlineStr"/>
      <c r="L1653" t="inlineStr"/>
      <c r="M1653" t="inlineStr"/>
      <c r="N1653" t="inlineStr"/>
      <c r="O1653">
        <f>(1-Summary!$B$11)*S1653+Summary!$B$11*U1653</f>
        <v/>
      </c>
      <c r="P1653">
        <f>IF(B1666=0,0,O1653/B1666)</f>
        <v/>
      </c>
      <c r="Q1653">
        <f>IFERROR(1/IF(Inputs!$B$38="pvp",15,MAX(0.1,Skills!D23-IF(Skills!E23=TRUE,Inputs!$B$32,0))),0)</f>
        <v/>
      </c>
      <c r="R1653" t="n">
        <v>0</v>
      </c>
      <c r="S1653" t="n">
        <v>0</v>
      </c>
      <c r="U1653" t="n">
        <v>0</v>
      </c>
    </row>
    <row r="1656">
      <c r="A1656" t="inlineStr">
        <is>
          <t>Average Buff Multiplier (Magic Guard + Meditation + Artifact Attack%, summed; then Infinity)</t>
        </is>
      </c>
      <c r="B1656">
        <f>(1+(IF(C1633=TRUE,F1633*IF(AND(Inputs!$B$38&lt;&gt;"pvp",Inputs!$B$43&gt;0),(((R1633-1)*(Skills!S3*(1+(Inputs!$B$34+IF(Inputs!$B$3&gt;=117,F1652,0))/100))+MIN((Skills!S3*(1+(Inputs!$B$34+IF(Inputs!$B$3&gt;=117,F1652,0))/100)),MAX(0,Inputs!$B$43-((R1633-1)*Skills!D3))))/Inputs!$B$43),IF(Inputs!$B$38="pvp",MIN((Skills!S3*(1+(Inputs!$B$34+IF(Inputs!$B$3&gt;=117,F1652,0))/100)),15)/15,(Skills!S3*(1+(Inputs!$B$34+IF(Inputs!$B$3&gt;=117,F1652,0))/100))/Skills!D3)),0)+IF(C1634=TRUE,F1634*IF(AND(Inputs!$B$38&lt;&gt;"pvp",Inputs!$B$43&gt;0),(((R1634-1)*(Skills!S4*(1+(Inputs!$B$34+IF(Inputs!$B$3&gt;=117,F1652,0))/100))+MIN((Skills!S4*(1+(Inputs!$B$34+IF(Inputs!$B$3&gt;=117,F1652,0))/100)),MAX(0,Inputs!$B$43-((R1634-1)*Skills!D4))))/Inputs!$B$43),IF(Inputs!$B$38="pvp",MIN((Skills!S4*(1+(Inputs!$B$34+IF(Inputs!$B$3&gt;=117,F1652,0))/100)),15)/15,(Skills!S4*(1+(Inputs!$B$34+IF(Inputs!$B$3&gt;=117,F1652,0)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1646=TRUE,(1+F1646*IF(AND(Inputs!$B$38&lt;&gt;"pvp",Inputs!$B$43&gt;0),(((R1646-1)*(Skills!S16*(1+(Inputs!$B$34+IF(Inputs!$B$3&gt;=117,F1652,0))/100))+MIN((Skills!S16*(1+(Inputs!$B$34+IF(Inputs!$B$3&gt;=117,F1652,0))/100)),MAX(0,Inputs!$B$43-((R1646-1)*Skills!D16))))/Inputs!$B$43),IF(Inputs!$B$38="pvp",MIN((Skills!S16*(1+(Inputs!$B$34+IF(Inputs!$B$3&gt;=117,F1652,0))/100)),15)/15,(Skills!S16*(1+(Inputs!$B$34+IF(Inputs!$B$3&gt;=117,F1652,0))/100))/Skills!D16))/100),1)</f>
        <v/>
      </c>
    </row>
    <row r="1657">
      <c r="A1657" t="inlineStr">
        <is>
          <t>Monster Damage Taken Bonus % (Freezing Breath - Weaken + Elemental Reset + Artifact Enemy Damage Taken, summed)</t>
        </is>
      </c>
      <c r="B1657">
        <f>IF(Inputs!$B$3&gt;=118,15*IF(Inputs!$B$38="pvp",MIN((30*(1+(Inputs!$B$34+IF(Inputs!$B$3&gt;=117,F1652,0))/100)),15)/15,(30*(1+(Inputs!$B$34+IF(Inputs!$B$3&gt;=117,F1652,0))/100))/Skills!D8),0)+IF(C1644=TRUE,F1644,0)+(IF(AND(ArtifactsInput!$M$35,Inputs!$B$4&lt;&gt;"Chapter Hunt"),CHOOSE(ArtifactsInput!$N$35+1,15,18,21,24,27,30)*(1-EXP(-(0.2*B1660)*5)),0)+IF(AND(IF(ArtifactsInput!$M$22,FALSE,TRUE),Inputs!$B$4&lt;&gt;"Chapter Hunt"),CHOOSE(ArtifactsInput!$N$22+1,10,12,14,16,18,20)*((0*(((0.15*B1660*5))^0/1)+1*(((0.15*B1660*5))^1/1)+2*(((0.15*B1660*5))^2/2)+3*(((0.15*B1660*5))^3/6)+4*(((0.15*B1660*5))^4/24)+5*(((0.15*B1660*5))^5/120))/((((0.15*B1660*5))^0/1)+(((0.15*B1660*5))^1/1)+(((0.15*B1660*5))^2/2)+(((0.15*B1660*5))^3/6)+(((0.15*B1660*5))^4/24)+(((0.15*B1660*5))^5/120))),0))</f>
        <v/>
      </c>
    </row>
    <row r="1658">
      <c r="A1658" t="inlineStr">
        <is>
          <t>Damage % Bonus (Frozen Break + Frost Clutch, flat)</t>
        </is>
      </c>
      <c r="B1658">
        <f>IF(Inputs!$B$3&gt;=66,15,0)+IF(Inputs!$B$3&gt;=98,10,0)+IF(Inputs!$B$3&gt;=125,20,0)</f>
        <v/>
      </c>
    </row>
    <row r="1659">
      <c r="A1659" t="inlineStr">
        <is>
          <t>Attack Speed Bonus % (MP Eater - MP Boost, always-on once unlocked)</t>
        </is>
      </c>
      <c r="B1659">
        <f>IF(C1643=TRUE,F1643+(F1647-Calc!F17),0)</f>
        <v/>
      </c>
    </row>
    <row r="1660">
      <c r="A1660" t="inlineStr">
        <is>
          <t>Actions Per Second</t>
        </is>
      </c>
      <c r="B1660">
        <f>1+MIN(150,150*(1-(1-(Inputs!$B$11+(ArtifactsInput!$M$15-ArtifactsInput!$M$15)*CHOOSE(ArtifactsInput!$N$15+1,8,9.6,11.2,12.8,14.4,16))/150)*(1-B1659/150)))/100</f>
        <v/>
      </c>
    </row>
    <row r="1661">
      <c r="A1661" t="inlineStr">
        <is>
          <t>Skill + Buff Cast Rate</t>
        </is>
      </c>
      <c r="B1661">
        <f>IF(AND(Inputs!$B$38&lt;&gt;"pvp",Inputs!$B$43&gt;0),SUMPRODUCT((Skills!E2:E23=TRUE)*(C1632:C1653=TRUE)*R1632:R1653)/Inputs!$B$43,SUMPRODUCT((Skills!E2:E23=TRUE)*(C1632:C1653=TRUE)*Q1632:Q1653))</f>
        <v/>
      </c>
    </row>
    <row r="1662">
      <c r="A1662" t="inlineStr">
        <is>
          <t>Chain Lightning Casts Per Second</t>
        </is>
      </c>
      <c r="B1662">
        <f>MAX(0,B1660-B1661)</f>
        <v/>
      </c>
    </row>
    <row r="1663">
      <c r="A1663" t="inlineStr">
        <is>
          <t>Buff-Casting Startup Delay (s, fixed-duration only)</t>
        </is>
      </c>
      <c r="B1663">
        <f>IF(AND(Inputs!$B$38&lt;&gt;"pvp",Inputs!$B$43&gt;0),SUMPRODUCT((Skills!S2:S23&gt;0)*(Skills!E2:E23=TRUE)*(C1632:C1653=TRUE))/B1660,0)</f>
        <v/>
      </c>
    </row>
    <row r="1664">
      <c r="A1664" t="inlineStr">
        <is>
          <t>Boss-Only Total DPS (this block's swept value)</t>
        </is>
      </c>
      <c r="B1664">
        <f>SUM(S1632:S1653)</f>
        <v/>
      </c>
    </row>
    <row r="1665">
      <c r="A1665" t="inlineStr">
        <is>
          <t>Normal-Only Total DPS (this block's swept value)</t>
        </is>
      </c>
      <c r="B1665">
        <f>SUM(U1632:U1653)</f>
        <v/>
      </c>
    </row>
    <row r="1666">
      <c r="A1666" s="6" t="inlineStr">
        <is>
          <t>TOTAL DPS</t>
        </is>
      </c>
      <c r="B1666" s="6">
        <f>SUM(O1632:O1653)</f>
        <v/>
      </c>
    </row>
    <row r="1669">
      <c r="A1669" s="6" t="inlineStr">
        <is>
          <t>Stat: Star Rock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R1670" t="inlineStr">
        <is>
          <t>helpers</t>
        </is>
      </c>
    </row>
    <row r="1671">
      <c r="A1671">
        <f>Skills!A2</f>
        <v/>
      </c>
      <c r="B1671">
        <f>Skills!B2</f>
        <v/>
      </c>
      <c r="C1671">
        <f>Inputs!$B$3&gt;=100</f>
        <v/>
      </c>
      <c r="D1671" t="inlineStr"/>
      <c r="E1671" t="inlineStr"/>
      <c r="F1671">
        <f>T1673+Skills!N2</f>
        <v/>
      </c>
      <c r="G1671">
        <f>Calc!G2</f>
        <v/>
      </c>
      <c r="H1671">
        <f>Calc!H2</f>
        <v/>
      </c>
      <c r="I1671">
        <f>IF(Skills!T2&lt;&gt;"",1+(Skills!T2/10)*(Z1672/1000)/100,1)</f>
        <v/>
      </c>
      <c r="J1671">
        <f>((Inputs!$B$6*(1+Inputs!$B$7/100))+(((Inputs!$B$12*(1+Inputs!$B$13/100))-(Inputs!$B$12*(1+Inputs!$B$13/100)))+0.25*(Inputs!$B$14-Inputs!$B$14))*(1+Inputs!$B$7/100))*(F1671/100)</f>
        <v/>
      </c>
      <c r="K1671">
        <f>J1671*(1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F1687-Calc!F18),(Inputs!$B$23+(IF(ArtifactsInput!$M$15,CHOOSE(ArtifactsInput!$N$15+1,25,30,35,40,45,50)/100*(Inputs!$B$11-Inputs!$B$11),0))))/100+(Inputs!$B$23+(IF(ArtifactsInput!$M$15,CHOOSE(ArtifactsInput!$N$15+1,25,30,35,40,45,50)/100*(Inputs!$B$11-Inputs!$B$11),0)))/100)/2</f>
        <v/>
      </c>
      <c r="M1671">
        <f>L1671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(1-Summary!$B$11)*S1671+Summary!$B$11*U1671</f>
        <v/>
      </c>
      <c r="P1671">
        <f>IF(B1705=0,0,O1671/B1705)</f>
        <v/>
      </c>
      <c r="Q1671">
        <f>IFERROR(1/IF(Inputs!$B$38="pvp",15,MAX(0.1,Skills!D2-IF(Skills!E2=TRUE,Inputs!$B$32,0))),0)</f>
        <v/>
      </c>
      <c r="R1671" t="n">
        <v>0</v>
      </c>
      <c r="S1671">
        <f>IF(C1671,(Skills!F2*N1671*B1701)*IF(Inputs!$B$38="pvp",1,1+(Inputs!$B$20+Skills!O2+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1">
        <f>MAX(0,(Inputs!$B$3-100)*3)+Inputs!$B$28+Inputs!$B$29</f>
        <v/>
      </c>
      <c r="U1671">
        <f>IF(C1671,(Skills!F2*N1671*B1701)*IF(Inputs!$B$38="pvp",1,(1+(Inputs!$B$21+Skills!P2+B1696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1">
        <f>MAX(0,(Inputs!$B$3-100)*3)+Inputs!$B$28+Inputs!$B$29</f>
        <v/>
      </c>
    </row>
    <row r="1672">
      <c r="A1672">
        <f>Skills!A3</f>
        <v/>
      </c>
      <c r="B1672">
        <f>Skills!B3</f>
        <v/>
      </c>
      <c r="C1672">
        <f>Inputs!$B$3&gt;=15</f>
        <v/>
      </c>
      <c r="D1672">
        <f>IF(Skills!C3=1,60+Inputs!$B$25+Inputs!$B$29,IF(Skills!C3=2,90+Inputs!$B$26+Inputs!$B$29,IF(Skills!C3=3,120+Inputs!$B$27+Inputs!$B$29,MAX(0,(Inputs!$B$3-100)*3)+Inputs!$B$28+Inputs!$B$29)))</f>
        <v/>
      </c>
      <c r="E1672">
        <f>INDEX(FactorTable!$B$2:$Y$301, MATCH(ROUND(MIN(300,MAX(1,D1672)),0), FactorTable!$A$2:$A$301,0), Skills!L3+1)</f>
        <v/>
      </c>
      <c r="F1672">
        <f>IF(Skills!M3=TRUE,(Skills!K3/10)*(E1672/1000),Skills!K3/10)+Skills!N3</f>
        <v/>
      </c>
      <c r="G1672">
        <f>Calc!G3</f>
        <v/>
      </c>
      <c r="H1672">
        <f>Calc!H3</f>
        <v/>
      </c>
      <c r="I1672">
        <f>IF(Skills!T3&lt;&gt;"",1+(Skills!T3/10)*(Z1672/1000)/100,1)</f>
        <v/>
      </c>
      <c r="J1672" t="inlineStr"/>
      <c r="K1672" t="inlineStr"/>
      <c r="L1672" t="inlineStr"/>
      <c r="M1672" t="inlineStr"/>
      <c r="N1672" t="inlineStr"/>
      <c r="O1672">
        <f>(1-Summary!$B$11)*S1672+Summary!$B$11*U1672</f>
        <v/>
      </c>
      <c r="P1672">
        <f>IF(B1705=0,0,O1672/B1705)</f>
        <v/>
      </c>
      <c r="Q1672">
        <f>IFERROR(1/IF(Inputs!$B$38="pvp",15,MAX(0.1,Skills!D3-IF(Skills!E3=TRUE,Inputs!$B$32,0))),0)</f>
        <v/>
      </c>
      <c r="R1672">
        <f>IF(AND(Inputs!$B$38&lt;&gt;"pvp",Inputs!$B$43&gt;0),IF(Inputs!$B$43&lt;=0,0,(INT(Inputs!$B$43/IF(Inputs!$B$38="pvp",15,MAX(0.1,Skills!D3-IF(Skills!E3=TRUE,Inputs!$B$32,0))))+1)),0)</f>
        <v/>
      </c>
      <c r="S1672" t="n">
        <v>0</v>
      </c>
      <c r="T1672">
        <f>INDEX(FactorTable!$B$2:$Y$301, MATCH(ROUND(MIN(300,MAX(1,T1671)),0), FactorTable!$A$2:$A$301,0), 22)</f>
        <v/>
      </c>
      <c r="U1672" t="n">
        <v>0</v>
      </c>
      <c r="Z1672">
        <f>INDEX(FactorTable!$B$2:$Y$301, MATCH(ROUND(MIN(300,MAX(1,Z1671)),0), FactorTable!$A$2:$A$301,0), 24)</f>
        <v/>
      </c>
    </row>
    <row r="1673">
      <c r="A1673">
        <f>Skills!A4</f>
        <v/>
      </c>
      <c r="B1673">
        <f>Skills!B4</f>
        <v/>
      </c>
      <c r="C1673">
        <f>Inputs!$B$3&gt;=40</f>
        <v/>
      </c>
      <c r="D1673">
        <f>IF(Skills!C4=1,60+Inputs!$B$25+Inputs!$B$29,IF(Skills!C4=2,90+Inputs!$B$26+Inputs!$B$29,IF(Skills!C4=3,120+Inputs!$B$27+Inputs!$B$29,MAX(0,(Inputs!$B$3-100)*3)+Inputs!$B$28+Inputs!$B$29)))</f>
        <v/>
      </c>
      <c r="E1673">
        <f>INDEX(FactorTable!$B$2:$Y$301, MATCH(ROUND(MIN(300,MAX(1,D1673)),0), FactorTable!$A$2:$A$301,0), Skills!L4+1)</f>
        <v/>
      </c>
      <c r="F1673">
        <f>IF(Skills!M4=TRUE,(Skills!K4/10)*(E1673/1000),Skills!K4/10)+Skills!N4</f>
        <v/>
      </c>
      <c r="G1673">
        <f>Calc!G4</f>
        <v/>
      </c>
      <c r="H1673">
        <f>Calc!H4</f>
        <v/>
      </c>
      <c r="I1673">
        <f>IF(Skills!T4&lt;&gt;"",1+(Skills!T4/10)*(Z1672/1000)/100,1)</f>
        <v/>
      </c>
      <c r="J1673" t="inlineStr"/>
      <c r="K1673" t="inlineStr"/>
      <c r="L1673" t="inlineStr"/>
      <c r="M1673" t="inlineStr"/>
      <c r="N1673" t="inlineStr"/>
      <c r="O1673">
        <f>(1-Summary!$B$11)*S1673+Summary!$B$11*U1673</f>
        <v/>
      </c>
      <c r="P1673">
        <f>IF(B1705=0,0,O1673/B1705)</f>
        <v/>
      </c>
      <c r="Q1673">
        <f>IFERROR(1/IF(Inputs!$B$38="pvp",15,MAX(0.1,Skills!D4-IF(Skills!E4=TRUE,Inputs!$B$32,0))),0)</f>
        <v/>
      </c>
      <c r="R1673">
        <f>IF(AND(Inputs!$B$38&lt;&gt;"pvp",Inputs!$B$43&gt;0),IF(Inputs!$B$43&lt;=0,0,(INT(Inputs!$B$43/IF(Inputs!$B$38="pvp",15,MAX(0.1,Skills!D4-IF(Skills!E4=TRUE,Inputs!$B$32,0))))+1)),0)</f>
        <v/>
      </c>
      <c r="S1673" t="n">
        <v>0</v>
      </c>
      <c r="T1673">
        <f>290*T1672/1000</f>
        <v/>
      </c>
      <c r="U1673" t="n">
        <v>0</v>
      </c>
    </row>
    <row r="1674">
      <c r="A1674">
        <f>Skills!A5</f>
        <v/>
      </c>
      <c r="B1674">
        <f>Skills!B5</f>
        <v/>
      </c>
      <c r="C1674">
        <f>Inputs!$B$3&gt;=38</f>
        <v/>
      </c>
      <c r="D1674">
        <f>IF(Skills!C5=1,60+Inputs!$B$25+Inputs!$B$29,IF(Skills!C5=2,90+Inputs!$B$26+Inputs!$B$29,IF(Skills!C5=3,120+Inputs!$B$27+Inputs!$B$29,MAX(0,(Inputs!$B$3-100)*3)+Inputs!$B$28+Inputs!$B$29)))</f>
        <v/>
      </c>
      <c r="E1674">
        <f>INDEX(FactorTable!$B$2:$Y$301, MATCH(ROUND(MIN(300,MAX(1,D1674)),0), FactorTable!$A$2:$A$301,0), Skills!L5+1)</f>
        <v/>
      </c>
      <c r="F1674">
        <f>IF(Skills!M5=TRUE,(Skills!K5/10)*(E1674/1000),Skills!K5/10)+Skills!N5</f>
        <v/>
      </c>
      <c r="G1674">
        <f>Calc!G5</f>
        <v/>
      </c>
      <c r="H1674">
        <f>Calc!H5</f>
        <v/>
      </c>
      <c r="I1674">
        <f>IF(Skills!T5&lt;&gt;"",1+(Skills!T5/10)*(Z1672/1000)/100,1)</f>
        <v/>
      </c>
      <c r="J1674">
        <f>((Inputs!$B$6*(1+Inputs!$B$7/100))+(((Inputs!$B$12*(1+Inputs!$B$13/100))-(Inputs!$B$12*(1+Inputs!$B$13/100)))+0.25*(Inputs!$B$14-Inputs!$B$14))*(1+Inputs!$B$7/100))*(F1674/100)</f>
        <v/>
      </c>
      <c r="K1674">
        <f>J1674*(1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F1687-Calc!F18),(Inputs!$B$23+(IF(ArtifactsInput!$M$15,CHOOSE(ArtifactsInput!$N$15+1,25,30,35,40,45,50)/100*(Inputs!$B$11-Inputs!$B$11),0))))/100+(Inputs!$B$23+(IF(ArtifactsInput!$M$15,CHOOSE(ArtifactsInput!$N$15+1,25,30,35,40,45,50)/100*(Inputs!$B$11-Inputs!$B$11),0)))/100)/2</f>
        <v/>
      </c>
      <c r="M1674">
        <f>L1674*(1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(1-Summary!$B$11)*S1674+Summary!$B$11*U1674</f>
        <v/>
      </c>
      <c r="P1674">
        <f>IF(B1705=0,0,O1674/B1705)</f>
        <v/>
      </c>
      <c r="Q1674">
        <f>IFERROR(1/IF(Inputs!$B$38="pvp",15,MAX(0.1,Skills!D5-IF(Skills!E5=TRUE,Inputs!$B$32,0))),0)</f>
        <v/>
      </c>
      <c r="R1674">
        <f>IF(AND(Inputs!$B$38&lt;&gt;"pvp",Inputs!$B$43&gt;0),IF(MAX(0,Inputs!$B$43-B1702)&lt;=0,0,(INT(MAX(0,Inputs!$B$43-B1702)/IF(Inputs!$B$38="pvp",15,MAX(0.1,Skills!D5-IF(Skills!E5=TRUE,Inputs!$B$32,0))))+1)),0)</f>
        <v/>
      </c>
      <c r="S1674">
        <f>IF(C1674,(H1674*N1674*IF(AND(Inputs!$B$38&lt;&gt;"pvp",Inputs!$B$43&gt;0),((Skills!F5*((R1674-1)*IF(Skills!G5&gt;0,Skills!H5/Skills!G5,1)+IF(Skills!G5&gt;0,MIN(Skills!H5,MAX(0,MAX(0,Inputs!$B$43-B1702)-((R1674-1)*IF(Inputs!$B$38="pvp",15,MAX(0.1,Skills!D5-IF(Skills!E5=TRUE,Inputs!$B$32,0))))))/Skills!G5,1)))/Inputs!$B$43),G1674*Q1674))*IF(Inputs!$B$38="pvp",1,1+(Inputs!$B$20+Skills!O5+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1674*(1-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IF(C1674,(H1674*N1674*IF(AND(Inputs!$B$38&lt;&gt;"pvp",Inputs!$B$43&gt;0),((Skills!F5*((R1674-1)*IF(Skills!G5&gt;0,Skills!H5/Skills!G5,1)+IF(Skills!G5&gt;0,MIN(Skills!H5,MAX(0,MAX(0,Inputs!$B$43-B1702)-((R1674-1)*IF(Inputs!$B$38="pvp",15,MAX(0.1,Skills!D5-IF(Skills!E5=TRUE,Inputs!$B$32,0))))))/Skills!G5,1)))/Inputs!$B$43),G1674*Q1674))*IF(Inputs!$B$38="pvp",1,(1+(Inputs!$B$21+Skills!P5+B1696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Inputs!$B$3&gt;=63</f>
        <v/>
      </c>
      <c r="D1675">
        <f>IF(Skills!C6=1,60+Inputs!$B$25+Inputs!$B$29,IF(Skills!C6=2,90+Inputs!$B$26+Inputs!$B$29,IF(Skills!C6=3,120+Inputs!$B$27+Inputs!$B$29,MAX(0,(Inputs!$B$3-100)*3)+Inputs!$B$28+Inputs!$B$29)))</f>
        <v/>
      </c>
      <c r="E1675">
        <f>INDEX(FactorTable!$B$2:$Y$301, MATCH(ROUND(MIN(300,MAX(1,D1675)),0), FactorTable!$A$2:$A$301,0), Skills!L6+1)</f>
        <v/>
      </c>
      <c r="F1675">
        <f>IF(Skills!M6=TRUE,(Skills!K6/10)*(E1675/1000),Skills!K6/10)+Skills!N6</f>
        <v/>
      </c>
      <c r="G1675">
        <f>Calc!G6</f>
        <v/>
      </c>
      <c r="H1675">
        <f>Calc!H6</f>
        <v/>
      </c>
      <c r="I1675">
        <f>IF(Skills!T6&lt;&gt;"",1+(Skills!T6/10)*(Z1672/1000)/100,1)</f>
        <v/>
      </c>
      <c r="J1675">
        <f>((Inputs!$B$6*(1+Inputs!$B$7/100))+(((Inputs!$B$12*(1+Inputs!$B$13/100))-(Inputs!$B$12*(1+Inputs!$B$13/100)))+0.25*(Inputs!$B$14-Inputs!$B$14))*(1+Inputs!$B$7/100))*(F1675/100)</f>
        <v/>
      </c>
      <c r="K1675">
        <f>J1675*(1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1687-Calc!F18),(Inputs!$B$23+(IF(ArtifactsInput!$M$15,CHOOSE(ArtifactsInput!$N$15+1,25,30,35,40,45,50)/100*(Inputs!$B$11-Inputs!$B$11),0))))/100+(Inputs!$B$23+(IF(ArtifactsInput!$M$15,CHOOSE(ArtifactsInput!$N$15+1,25,30,35,40,45,50)/100*(Inputs!$B$11-Inputs!$B$11),0)))/100)/2</f>
        <v/>
      </c>
      <c r="M1675">
        <f>L1675*(1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IF(B1705=0,0,O1675/B1705)</f>
        <v/>
      </c>
      <c r="Q1675">
        <f>IFERROR(1/IF(Inputs!$B$38="pvp",15,MAX(0.1,Skills!D6-IF(Skills!E6=TRUE,Inputs!$B$32,0))),0)</f>
        <v/>
      </c>
      <c r="R1675">
        <f>IF(AND(Inputs!$B$38&lt;&gt;"pvp",Inputs!$B$43&gt;0),IF(MAX(0,Inputs!$B$43-B1702)&lt;=0,0,(INT(MAX(0,Inputs!$B$43-B1702)/IF(Inputs!$B$38="pvp",15,MAX(0.1,Skills!D6-IF(Skills!E6=TRUE,Inputs!$B$32,0))))+1)),0)</f>
        <v/>
      </c>
      <c r="S1675">
        <f>IF(C1675,(H1675*N1675*IF(AND(Inputs!$B$38&lt;&gt;"pvp",Inputs!$B$43&gt;0),((Skills!F6*((R1675-1)*IF(Skills!G6&gt;0,Skills!H6/Skills!G6,1)+IF(Skills!G6&gt;0,MIN(Skills!H6,MAX(0,MAX(0,Inputs!$B$43-B1702)-((R1675-1)*IF(Inputs!$B$38="pvp",15,MAX(0.1,Skills!D6-IF(Skills!E6=TRUE,Inputs!$B$32,0))))))/Skills!G6,1)))/Inputs!$B$43),G1675*Q1675))*IF(Inputs!$B$38="pvp",1,1+(Inputs!$B$20+Skills!O6+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6*((R1675-1)*IF(Skills!G6&gt;0,Skills!H6/Skills!G6,1)+IF(Skills!G6&gt;0,MIN(Skills!H6,MAX(0,MAX(0,Inputs!$B$43-B1702)-((R1675-1)*IF(Inputs!$B$38="pvp",15,MAX(0.1,Skills!D6-IF(Skills!E6=TRUE,Inputs!$B$32,0))))))/Skills!G6,1)))/Inputs!$B$43),G1675*Q1675))*IF(Inputs!$B$38="pvp",1,(1+(Inputs!$B$21+Skills!P6+B1696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Inputs!$B$3&gt;=69</f>
        <v/>
      </c>
      <c r="D1676">
        <f>IF(Skills!C7=1,60+Inputs!$B$25+Inputs!$B$29,IF(Skills!C7=2,90+Inputs!$B$26+Inputs!$B$29,IF(Skills!C7=3,120+Inputs!$B$27+Inputs!$B$29,MAX(0,(Inputs!$B$3-100)*3)+Inputs!$B$28+Inputs!$B$29)))</f>
        <v/>
      </c>
      <c r="E1676">
        <f>INDEX(FactorTable!$B$2:$Y$301, MATCH(ROUND(MIN(300,MAX(1,D1676)),0), FactorTable!$A$2:$A$301,0), Skills!L7+1)</f>
        <v/>
      </c>
      <c r="F1676">
        <f>IF(Skills!M7=TRUE,(Skills!K7/10)*(E1676/1000),Skills!K7/10)+Skills!N7</f>
        <v/>
      </c>
      <c r="G1676">
        <f>Calc!G7</f>
        <v/>
      </c>
      <c r="H1676">
        <f>Calc!H7</f>
        <v/>
      </c>
      <c r="I1676">
        <f>IF(Skills!T7&lt;&gt;"",1+(Skills!T7/10)*(Z1672/1000)/100,1)</f>
        <v/>
      </c>
      <c r="J1676">
        <f>((Inputs!$B$6*(1+Inputs!$B$7/100))+(((Inputs!$B$12*(1+Inputs!$B$13/100))-(Inputs!$B$12*(1+Inputs!$B$13/100)))+0.25*(Inputs!$B$14-Inputs!$B$14))*(1+Inputs!$B$7/100))*(F1676/100)</f>
        <v/>
      </c>
      <c r="K1676">
        <f>J1676*(1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1687-Calc!F18),(Inputs!$B$23+(IF(ArtifactsInput!$M$15,CHOOSE(ArtifactsInput!$N$15+1,25,30,35,40,45,50)/100*(Inputs!$B$11-Inputs!$B$11),0))))/100+(Inputs!$B$23+(IF(ArtifactsInput!$M$15,CHOOSE(ArtifactsInput!$N$15+1,25,30,35,40,45,50)/100*(Inputs!$B$11-Inputs!$B$11),0)))/100)/2</f>
        <v/>
      </c>
      <c r="M1676">
        <f>L1676*(1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IF(B1705=0,0,O1676/B1705)</f>
        <v/>
      </c>
      <c r="Q1676">
        <f>IFERROR(1/IF(Inputs!$B$38="pvp",15,MAX(0.1,Skills!D7-IF(Skills!E7=TRUE,Inputs!$B$32,0))),0)</f>
        <v/>
      </c>
      <c r="R1676">
        <f>IF(AND(Inputs!$B$38&lt;&gt;"pvp",Inputs!$B$43&gt;0),IF(MAX(0,Inputs!$B$43-B1702)&lt;=0,0,(INT(MAX(0,Inputs!$B$43-B1702)/IF(Inputs!$B$38="pvp",15,MAX(0.1,Skills!D7-IF(Skills!E7=TRUE,Inputs!$B$32,0))))+1)),0)</f>
        <v/>
      </c>
      <c r="S1676">
        <f>IF(C1676,(H1676*N1676*IF(AND(Inputs!$B$38&lt;&gt;"pvp",Inputs!$B$43&gt;0),((Skills!F7*((R1676-1)*IF(Skills!G7&gt;0,Skills!H7/Skills!G7,1)+IF(Skills!G7&gt;0,MIN(Skills!H7,MAX(0,MAX(0,Inputs!$B$43-B1702)-((R1676-1)*IF(Inputs!$B$38="pvp",15,MAX(0.1,Skills!D7-IF(Skills!E7=TRUE,Inputs!$B$32,0))))))/Skills!G7,1)))/Inputs!$B$43),G1676*Q1676))*IF(Inputs!$B$38="pvp",1,1+(Inputs!$B$20+Skills!O7+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7*((R1676-1)*IF(Skills!G7&gt;0,Skills!H7/Skills!G7,1)+IF(Skills!G7&gt;0,MIN(Skills!H7,MAX(0,MAX(0,Inputs!$B$43-B1702)-((R1676-1)*IF(Inputs!$B$38="pvp",15,MAX(0.1,Skills!D7-IF(Skills!E7=TRUE,Inputs!$B$32,0))))))/Skills!G7,1)))/Inputs!$B$43),G1676*Q1676))*IF(Inputs!$B$38="pvp",1,(1+(Inputs!$B$21+Skills!P7+B1696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Skills!A8</f>
        <v/>
      </c>
      <c r="B1677">
        <f>Skills!B8</f>
        <v/>
      </c>
      <c r="C1677">
        <f>Inputs!$B$3&gt;=103</f>
        <v/>
      </c>
      <c r="D1677">
        <f>IF(Skills!C8=1,60+Inputs!$B$25+Inputs!$B$29,IF(Skills!C8=2,90+Inputs!$B$26+Inputs!$B$29,IF(Skills!C8=3,120+Inputs!$B$27+Inputs!$B$29,MAX(0,(Inputs!$B$3-100)*3)+Inputs!$B$28+Inputs!$B$29)))</f>
        <v/>
      </c>
      <c r="E1677">
        <f>INDEX(FactorTable!$B$2:$Y$301, MATCH(ROUND(MIN(300,MAX(1,D1677)),0), FactorTable!$A$2:$A$301,0), Skills!L8+1)</f>
        <v/>
      </c>
      <c r="F1677">
        <f>IF(Skills!M8=TRUE,(Skills!K8/10)*(E1677/1000),Skills!K8/10)+Skills!N8</f>
        <v/>
      </c>
      <c r="G1677">
        <f>Calc!G8</f>
        <v/>
      </c>
      <c r="H1677">
        <f>Calc!H8</f>
        <v/>
      </c>
      <c r="I1677">
        <f>IF(Skills!T8&lt;&gt;"",1+(Skills!T8/10)*(Z1672/1000)/100,1)</f>
        <v/>
      </c>
      <c r="J1677">
        <f>((Inputs!$B$6*(1+Inputs!$B$7/100))+(((Inputs!$B$12*(1+Inputs!$B$13/100))-(Inputs!$B$12*(1+Inputs!$B$13/100)))+0.25*(Inputs!$B$14-Inputs!$B$14))*(1+Inputs!$B$7/100))*(F1677/100)</f>
        <v/>
      </c>
      <c r="K1677">
        <f>J1677*(1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1687-Calc!F18),(Inputs!$B$23+(IF(ArtifactsInput!$M$15,CHOOSE(ArtifactsInput!$N$15+1,25,30,35,40,45,50)/100*(Inputs!$B$11-Inputs!$B$11),0))))/100+(Inputs!$B$23+(IF(ArtifactsInput!$M$15,CHOOSE(ArtifactsInput!$N$15+1,25,30,35,40,45,50)/100*(Inputs!$B$11-Inputs!$B$11),0)))/100)/2</f>
        <v/>
      </c>
      <c r="M1677">
        <f>L1677*(1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IF(B1705=0,0,O1677/B1705)</f>
        <v/>
      </c>
      <c r="Q1677">
        <f>IFERROR(1/IF(Inputs!$B$38="pvp",15,MAX(0.1,Skills!D8-IF(Skills!E8=TRUE,Inputs!$B$32,0))),0)</f>
        <v/>
      </c>
      <c r="R1677">
        <f>IF(AND(Inputs!$B$38&lt;&gt;"pvp",Inputs!$B$43&gt;0),IF(MAX(0,Inputs!$B$43-B1702)&lt;=0,0,(INT(MAX(0,Inputs!$B$43-B1702)/IF(Inputs!$B$38="pvp",15,MAX(0.1,Skills!D8-IF(Skills!E8=TRUE,Inputs!$B$32,0))))+1)),0)</f>
        <v/>
      </c>
      <c r="S1677">
        <f>IF(C1677,(H1677*N1677*IF(AND(Inputs!$B$38&lt;&gt;"pvp",Inputs!$B$43&gt;0),((Skills!F8*((R1677-1)*IF(Skills!G8&gt;0,Skills!H8/Skills!G8,1)+IF(Skills!G8&gt;0,MIN(Skills!H8,MAX(0,MAX(0,Inputs!$B$43-B1702)-((R1677-1)*IF(Inputs!$B$38="pvp",15,MAX(0.1,Skills!D8-IF(Skills!E8=TRUE,Inputs!$B$32,0))))))/Skills!G8,1)))/Inputs!$B$43),G1677*Q1677))*IF(Inputs!$B$38="pvp",1,1+(Inputs!$B$20+Skills!O8+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8*((R1677-1)*IF(Skills!G8&gt;0,Skills!H8/Skills!G8,1)+IF(Skills!G8&gt;0,MIN(Skills!H8,MAX(0,MAX(0,Inputs!$B$43-B1702)-((R1677-1)*IF(Inputs!$B$38="pvp",15,MAX(0.1,Skills!D8-IF(Skills!E8=TRUE,Inputs!$B$32,0))))))/Skills!G8,1)))/Inputs!$B$43),G1677*Q1677))*IF(Inputs!$B$38="pvp",1,(1+(Inputs!$B$21+Skills!P8+B1696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Inputs!$B$3&gt;=105</f>
        <v/>
      </c>
      <c r="D1678">
        <f>IF(Skills!C9=1,60+Inputs!$B$25+Inputs!$B$29,IF(Skills!C9=2,90+Inputs!$B$26+Inputs!$B$29,IF(Skills!C9=3,120+Inputs!$B$27+Inputs!$B$29,MAX(0,(Inputs!$B$3-100)*3)+Inputs!$B$28+Inputs!$B$29)))</f>
        <v/>
      </c>
      <c r="E1678">
        <f>INDEX(FactorTable!$B$2:$Y$301, MATCH(ROUND(MIN(300,MAX(1,D1678)),0), FactorTable!$A$2:$A$301,0), Skills!L9+1)</f>
        <v/>
      </c>
      <c r="F1678">
        <f>IF(Skills!M9=TRUE,(Skills!K9/10)*(E1678/1000),Skills!K9/10)+Skills!N9</f>
        <v/>
      </c>
      <c r="G1678">
        <f>Calc!G9</f>
        <v/>
      </c>
      <c r="H1678">
        <f>Calc!H9</f>
        <v/>
      </c>
      <c r="I1678">
        <f>IF(Skills!T9&lt;&gt;"",1+(Skills!T9/10)*(Z1672/1000)/100,1)</f>
        <v/>
      </c>
      <c r="J1678">
        <f>((Inputs!$B$6*(1+Inputs!$B$7/100))+(((Inputs!$B$12*(1+Inputs!$B$13/100))-(Inputs!$B$12*(1+Inputs!$B$13/100)))+0.25*(Inputs!$B$14-Inputs!$B$14))*(1+Inputs!$B$7/100))*(F1678/100)</f>
        <v/>
      </c>
      <c r="K1678">
        <f>J1678*(1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1687-Calc!F18),(Inputs!$B$23+(IF(ArtifactsInput!$M$15,CHOOSE(ArtifactsInput!$N$15+1,25,30,35,40,45,50)/100*(Inputs!$B$11-Inputs!$B$11),0))))/100+(Inputs!$B$23+(IF(ArtifactsInput!$M$15,CHOOSE(ArtifactsInput!$N$15+1,25,30,35,40,45,50)/100*(Inputs!$B$11-Inputs!$B$11),0)))/100)/2</f>
        <v/>
      </c>
      <c r="M1678">
        <f>L1678*(1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IF(B1705=0,0,O1678/B1705)</f>
        <v/>
      </c>
      <c r="Q1678">
        <f>IFERROR(1/IF(Inputs!$B$38="pvp",15,MAX(0.1,Skills!D9-IF(Skills!E9=TRUE,Inputs!$B$32,0))),0)</f>
        <v/>
      </c>
      <c r="R1678">
        <f>IF(AND(Inputs!$B$38&lt;&gt;"pvp",Inputs!$B$43&gt;0),IF(MAX(0,Inputs!$B$43-B1702)&lt;=0,0,(INT(MAX(0,Inputs!$B$43-B1702)/IF(Inputs!$B$38="pvp",15,MAX(0.1,Skills!D9-IF(Skills!E9=TRUE,Inputs!$B$32,0))))+1)),0)</f>
        <v/>
      </c>
      <c r="S1678">
        <f>IF(C1678,(H1678*N1678*IF(AND(Inputs!$B$38&lt;&gt;"pvp",Inputs!$B$43&gt;0),((Skills!F9*((R1678-1)*IF(Skills!G9&gt;0,Skills!H9/Skills!G9,1)+IF(Skills!G9&gt;0,MIN(Skills!H9,MAX(0,MAX(0,Inputs!$B$43-B1702)-((R1678-1)*IF(Inputs!$B$38="pvp",15,MAX(0.1,Skills!D9-IF(Skills!E9=TRUE,Inputs!$B$32,0))))))/Skills!G9,1)))/Inputs!$B$43),G1678*Q1678))*IF(Inputs!$B$38="pvp",1,1+(Inputs!$B$20+Skills!O9+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9*((R1678-1)*IF(Skills!G9&gt;0,Skills!H9/Skills!G9,1)+IF(Skills!G9&gt;0,MIN(Skills!H9,MAX(0,MAX(0,Inputs!$B$43-B1702)-((R1678-1)*IF(Inputs!$B$38="pvp",15,MAX(0.1,Skills!D9-IF(Skills!E9=TRUE,Inputs!$B$32,0))))))/Skills!G9,1)))/Inputs!$B$43),G1678*Q1678))*IF(Inputs!$B$38="pvp",1,(1+(Inputs!$B$21+Skills!P9+B1696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Inputs!$B$3&gt;=113</f>
        <v/>
      </c>
      <c r="D1679">
        <f>IF(Skills!C10=1,60+Inputs!$B$25+Inputs!$B$29,IF(Skills!C10=2,90+Inputs!$B$26+Inputs!$B$29,IF(Skills!C10=3,120+Inputs!$B$27+Inputs!$B$29,MAX(0,(Inputs!$B$3-100)*3)+Inputs!$B$28+Inputs!$B$29)))</f>
        <v/>
      </c>
      <c r="E1679">
        <f>INDEX(FactorTable!$B$2:$Y$301, MATCH(ROUND(MIN(300,MAX(1,D1679)),0), FactorTable!$A$2:$A$301,0), Skills!L10+1)</f>
        <v/>
      </c>
      <c r="F1679">
        <f>IF(Skills!M10=TRUE,(Skills!K10/10)*(E1679/1000),Skills!K10/10)+Skills!N10</f>
        <v/>
      </c>
      <c r="G1679">
        <f>Calc!G10</f>
        <v/>
      </c>
      <c r="H1679">
        <f>Calc!H10</f>
        <v/>
      </c>
      <c r="I1679">
        <f>IF(Skills!T10&lt;&gt;"",1+(Skills!T10/10)*(Z1672/1000)/100,1)</f>
        <v/>
      </c>
      <c r="J1679">
        <f>((Inputs!$B$6*(1+Inputs!$B$7/100))+(((Inputs!$B$12*(1+Inputs!$B$13/100))-(Inputs!$B$12*(1+Inputs!$B$13/100)))+0.25*(Inputs!$B$14-Inputs!$B$14))*(1+Inputs!$B$7/100))*(F1679/100)</f>
        <v/>
      </c>
      <c r="K1679">
        <f>J1679*(1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1687-Calc!F18),(Inputs!$B$23+(IF(ArtifactsInput!$M$15,CHOOSE(ArtifactsInput!$N$15+1,25,30,35,40,45,50)/100*(Inputs!$B$11-Inputs!$B$11),0))))/100+(Inputs!$B$23+(IF(ArtifactsInput!$M$15,CHOOSE(ArtifactsInput!$N$15+1,25,30,35,40,45,50)/100*(Inputs!$B$11-Inputs!$B$11),0)))/100)/2</f>
        <v/>
      </c>
      <c r="M1679">
        <f>L1679*(1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IF(B1705=0,0,O1679/B1705)</f>
        <v/>
      </c>
      <c r="Q1679">
        <f>IFERROR(1/IF(Inputs!$B$38="pvp",15,MAX(0.1,Skills!D10-IF(Skills!E9=TRUE,Inputs!$B$32,0))),0)</f>
        <v/>
      </c>
      <c r="R1679">
        <f>IF(AND(Inputs!$B$38&lt;&gt;"pvp",Inputs!$B$43&gt;0),IF(MAX(0,Inputs!$B$43-B1702)&lt;=0,0,(INT(MAX(0,Inputs!$B$43-B1702)/IF(Inputs!$B$38="pvp",15,MAX(0.1,Skills!D10-IF(Skills!E9=TRUE,Inputs!$B$32,0))))+1)),0)</f>
        <v/>
      </c>
      <c r="S1679">
        <f>IF(C1679,(H1679*N1679*IF(AND(Inputs!$B$38&lt;&gt;"pvp",Inputs!$B$43&gt;0),((Skills!F10*((R1679-1)*IF(Skills!G10&gt;0,Skills!H10/Skills!G10,1)+IF(Skills!G10&gt;0,MIN(Skills!H10,MAX(0,MAX(0,Inputs!$B$43-B1702)-((R1679-1)*IF(Inputs!$B$38="pvp",15,MAX(0.1,Skills!D10-IF(Skills!E9=TRUE,Inputs!$B$32,0))))))/Skills!G10,1)))/Inputs!$B$43),G1679*Q1679))*IF(Inputs!$B$38="pvp",1,1+(Inputs!$B$20+Skills!O10+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N1679*IF(AND(Inputs!$B$38&lt;&gt;"pvp",Inputs!$B$43&gt;0),((Skills!F10*((R1679-1)*IF(Skills!G10&gt;0,Skills!H10/Skills!G10,1)+IF(Skills!G10&gt;0,MIN(Skills!H10,MAX(0,MAX(0,Inputs!$B$43-B1702)-((R1679-1)*IF(Inputs!$B$38="pvp",15,MAX(0.1,Skills!D10-IF(Skills!E9=TRUE,Inputs!$B$32,0))))))/Skills!G10,1)))/Inputs!$B$43),G1679*Q1679))*IF(Inputs!$B$38="pvp",1,(1+(Inputs!$B$21+Skills!P10+B1696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Inputs!$B$3&gt;=107</f>
        <v/>
      </c>
      <c r="D1680">
        <f>IF(Skills!C11=1,60+Inputs!$B$25+Inputs!$B$29,IF(Skills!C11=2,90+Inputs!$B$26+Inputs!$B$29,IF(Skills!C11=3,120+Inputs!$B$27+Inputs!$B$29,MAX(0,(Inputs!$B$3-100)*3)+Inputs!$B$28+Inputs!$B$29)))</f>
        <v/>
      </c>
      <c r="E1680">
        <f>INDEX(FactorTable!$B$2:$Y$301, MATCH(ROUND(MIN(300,MAX(1,D1680)),0), FactorTable!$A$2:$A$301,0), Skills!L11+1)</f>
        <v/>
      </c>
      <c r="F1680">
        <f>IF(Skills!M11=TRUE,(Skills!K11/10)*(E1680/1000),Skills!K11/10)+Skills!N11</f>
        <v/>
      </c>
      <c r="G1680">
        <f>Calc!G11</f>
        <v/>
      </c>
      <c r="H1680">
        <f>Calc!H11</f>
        <v/>
      </c>
      <c r="I1680">
        <f>IF(Skills!T11&lt;&gt;"",1+(Skills!T11/10)*(Z1672/1000)/100,1)</f>
        <v/>
      </c>
      <c r="J1680">
        <f>((Inputs!$B$6*(1+Inputs!$B$7/100))+(((Inputs!$B$12*(1+Inputs!$B$13/100))-(Inputs!$B$12*(1+Inputs!$B$13/100)))+0.25*(Inputs!$B$14-Inputs!$B$14))*(1+Inputs!$B$7/100))*(F1680/100)</f>
        <v/>
      </c>
      <c r="K1680">
        <f>J1680*(1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1687-Calc!F18),(Inputs!$B$23+(IF(ArtifactsInput!$M$15,CHOOSE(ArtifactsInput!$N$15+1,25,30,35,40,45,50)/100*(Inputs!$B$11-Inputs!$B$11),0))))/100+(Inputs!$B$23+(IF(ArtifactsInput!$M$15,CHOOSE(ArtifactsInput!$N$15+1,25,30,35,40,45,50)/100*(Inputs!$B$11-Inputs!$B$11),0)))/100)/2</f>
        <v/>
      </c>
      <c r="M1680">
        <f>L1680*(1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IF(B1705=0,0,O1680/B1705)</f>
        <v/>
      </c>
      <c r="Q1680">
        <f>IFERROR(1/IF(Inputs!$B$38="pvp",15,MAX(0.1,Skills!D11-IF(Skills!E11=TRUE,Inputs!$B$32,0))),0)</f>
        <v/>
      </c>
      <c r="R1680">
        <f>IF(AND(Inputs!$B$38&lt;&gt;"pvp",Inputs!$B$43&gt;0),IF(MAX(0,Inputs!$B$43-B1702)&lt;=0,0,(INT(MAX(0,Inputs!$B$43-B1702)/IF(Inputs!$B$38="pvp",15,MAX(0.1,Skills!D11-IF(Skills!E11=TRUE,Inputs!$B$32,0))))+1)),0)</f>
        <v/>
      </c>
      <c r="S1680">
        <f>IF(C1680,H1680*N1680*IF(AND(Inputs!$B$38&lt;&gt;"pvp",Inputs!$B$43&gt;0),((Skills!F11*((R1680-1)*IF(Skills!G11&gt;0,Skills!H11/Skills!G11,1)+IF(Skills!G11&gt;0,MIN(Skills!H11,MAX(0,MAX(0,Inputs!$B$43-B1702)-((R1680-1)*IF(Inputs!$B$38="pvp",15,MAX(0.1,Skills!D11-IF(Skills!E11=TRUE,Inputs!$B$32,0))))))/Skills!G11,1)))/Inputs!$B$43),G1680*Q1680)*0.5*IF(Inputs!$B$38="pvp",1,1+(Inputs!$B$20+Skills!O11+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11*((R1680-1)*IF(Skills!G11&gt;0,Skills!H11/Skills!G11,1)+IF(Skills!G11&gt;0,MIN(Skills!H11,MAX(0,MAX(0,Inputs!$B$43-B1702)-((R1680-1)*IF(Inputs!$B$38="pvp",15,MAX(0.1,Skills!D11-IF(Skills!E11=TRUE,Inputs!$B$32,0))))))/Skills!G11,1)))/Inputs!$B$43),G1680*Q1680)*1*IF(Inputs!$B$38="pvp",1,(1+(Inputs!$B$21+Skills!P11+B1696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Skills!A12</f>
        <v/>
      </c>
      <c r="B1681">
        <f>Skills!B12</f>
        <v/>
      </c>
      <c r="C1681">
        <f>Inputs!$B$3&gt;=115</f>
        <v/>
      </c>
      <c r="D1681">
        <f>IF(Skills!C12=1,60+Inputs!$B$25+Inputs!$B$29,IF(Skills!C12=2,90+Inputs!$B$26+Inputs!$B$29,IF(Skills!C12=3,120+Inputs!$B$27+Inputs!$B$29,MAX(0,(Inputs!$B$3-100)*3)+Inputs!$B$28+Inputs!$B$29)))</f>
        <v/>
      </c>
      <c r="E1681">
        <f>INDEX(FactorTable!$B$2:$Y$301, MATCH(ROUND(MIN(300,MAX(1,D1681)),0), FactorTable!$A$2:$A$301,0), Skills!L12+1)</f>
        <v/>
      </c>
      <c r="F1681">
        <f>IF(Skills!M12=TRUE,(Skills!K12/10)*(E1681/1000),Skills!K12/10)+Skills!N12</f>
        <v/>
      </c>
      <c r="G1681">
        <f>Calc!G12</f>
        <v/>
      </c>
      <c r="H1681">
        <f>Calc!H12</f>
        <v/>
      </c>
      <c r="I1681">
        <f>IF(Skills!T12&lt;&gt;"",1+(Skills!T12/10)*(Z1672/1000)/100,1)</f>
        <v/>
      </c>
      <c r="J1681">
        <f>((Inputs!$B$6*(1+Inputs!$B$7/100))+(((Inputs!$B$12*(1+Inputs!$B$13/100))-(Inputs!$B$12*(1+Inputs!$B$13/100)))+0.25*(Inputs!$B$14-Inputs!$B$14))*(1+Inputs!$B$7/100))*(F1681/100)</f>
        <v/>
      </c>
      <c r="K1681">
        <f>J1681*(1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1687-Calc!F18),(Inputs!$B$23+(IF(ArtifactsInput!$M$15,CHOOSE(ArtifactsInput!$N$15+1,25,30,35,40,45,50)/100*(Inputs!$B$11-Inputs!$B$11),0))))/100+(Inputs!$B$23+(IF(ArtifactsInput!$M$15,CHOOSE(ArtifactsInput!$N$15+1,25,30,35,40,45,50)/100*(Inputs!$B$11-Inputs!$B$11),0)))/100)/2</f>
        <v/>
      </c>
      <c r="M1681">
        <f>L1681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IF(B1705=0,0,O1681/B1705)</f>
        <v/>
      </c>
      <c r="Q1681">
        <f>IFERROR(1/IF(Inputs!$B$38="pvp",15,MAX(0.1,Skills!D12-IF(Skills!E12=TRUE,Inputs!$B$32,0))),0)</f>
        <v/>
      </c>
      <c r="R1681">
        <f>IF(AND(Inputs!$B$38&lt;&gt;"pvp",Inputs!$B$43&gt;0),IF(MAX(0,Inputs!$B$43-B1702)&lt;=0,0,(INT(MAX(0,Inputs!$B$43-B1702)/IF(Inputs!$B$38="pvp",15,MAX(0.1,Skills!D12-IF(Skills!E12=TRUE,Inputs!$B$32,0))))+1)),0)</f>
        <v/>
      </c>
      <c r="S1681">
        <f>IF(C1681,(H1681*N1681*IF(AND(Inputs!$B$38&lt;&gt;"pvp",Inputs!$B$43&gt;0),((Skills!F12*((R1681-1)*IF(Skills!G12&gt;0,Skills!H12/Skills!G12,1)+IF(Skills!G12&gt;0,MIN(Skills!H12,MAX(0,MAX(0,Inputs!$B$43-B1702)-((R1681-1)*IF(Inputs!$B$38="pvp",15,MAX(0.1,Skills!D12-IF(Skills!E12=TRUE,Inputs!$B$32,0))))))/Skills!G12,1)))/Inputs!$B$43),G1681*Q1681))*IF(Inputs!$B$38="pvp",1,1+(Inputs!$B$20+Skills!O12+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12*((R1681-1)*IF(Skills!G12&gt;0,Skills!H12/Skills!G12,1)+IF(Skills!G12&gt;0,MIN(Skills!H12,MAX(0,MAX(0,Inputs!$B$43-B1702)-((R1681-1)*IF(Inputs!$B$38="pvp",15,MAX(0.1,Skills!D12-IF(Skills!E12=TRUE,Inputs!$B$32,0))))))/Skills!G12,1)))/Inputs!$B$43),G1681*Q1681))*IF(Inputs!$B$38="pvp",1,(1+(Inputs!$B$21+Skills!P12+B1696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Inputs!$B$3&gt;=49</f>
        <v/>
      </c>
      <c r="D1682">
        <f>IF(Skills!C13=1,60+Inputs!$B$25+Inputs!$B$29,IF(Skills!C13=2,90+Inputs!$B$26+Inputs!$B$29,IF(Skills!C13=3,120+Inputs!$B$27+Inputs!$B$29,MAX(0,(Inputs!$B$3-100)*3)+Inputs!$B$28+Inputs!$B$29)))</f>
        <v/>
      </c>
      <c r="E1682">
        <f>INDEX(FactorTable!$B$2:$Y$301, MATCH(ROUND(MIN(300,MAX(1,D1682)),0), FactorTable!$A$2:$A$301,0), Skills!L13+1)</f>
        <v/>
      </c>
      <c r="F1682">
        <f>IF(Skills!M13=TRUE,(Skills!K13/10)*(E1682/1000),Skills!K13/10)+Skills!N13</f>
        <v/>
      </c>
      <c r="G1682">
        <f>Calc!G13</f>
        <v/>
      </c>
      <c r="H1682">
        <f>Calc!H13</f>
        <v/>
      </c>
      <c r="I1682">
        <f>IF(Skills!T13&lt;&gt;"",1+(Skills!T13/10)*(Z1672/1000)/100,1)</f>
        <v/>
      </c>
      <c r="J1682" t="inlineStr"/>
      <c r="K1682" t="inlineStr"/>
      <c r="L1682" t="inlineStr"/>
      <c r="M1682" t="inlineStr"/>
      <c r="N1682" t="inlineStr"/>
      <c r="O1682">
        <f>(1-Summary!$B$11)*S1682+Summary!$B$11*U1682</f>
        <v/>
      </c>
      <c r="P1682">
        <f>IF(B1705=0,0,O1682/B1705)</f>
        <v/>
      </c>
      <c r="Q1682">
        <f>IFERROR(1/IF(Inputs!$B$38="pvp",15,MAX(0.1,Skills!D13-IF(Skills!E13=TRUE,Inputs!$B$32,0))),0)</f>
        <v/>
      </c>
      <c r="R1682" t="n">
        <v>0</v>
      </c>
      <c r="S1682" t="n">
        <v>0</v>
      </c>
      <c r="U1682" t="n">
        <v>0</v>
      </c>
    </row>
    <row r="1683">
      <c r="A1683">
        <f>Skills!A14</f>
        <v/>
      </c>
      <c r="B1683">
        <f>Skills!B14</f>
        <v/>
      </c>
      <c r="C1683">
        <f>Inputs!$B$3&gt;=72</f>
        <v/>
      </c>
      <c r="D1683">
        <f>IF(Skills!C14=1,60+Inputs!$B$25+Inputs!$B$29,IF(Skills!C14=2,90+Inputs!$B$26+Inputs!$B$29,IF(Skills!C14=3,120+Inputs!$B$27+Inputs!$B$29,MAX(0,(Inputs!$B$3-100)*3)+Inputs!$B$28+Inputs!$B$29)))</f>
        <v/>
      </c>
      <c r="E1683">
        <f>INDEX(FactorTable!$B$2:$Y$301, MATCH(ROUND(MIN(300,MAX(1,D1683)),0), FactorTable!$A$2:$A$301,0), Skills!L14+1)</f>
        <v/>
      </c>
      <c r="F1683">
        <f>IF(Skills!M14=TRUE,(Skills!K14/10)*(E1683/1000),Skills!K14/10)+Skills!N14</f>
        <v/>
      </c>
      <c r="G1683">
        <f>Calc!G14</f>
        <v/>
      </c>
      <c r="H1683">
        <f>Calc!H14</f>
        <v/>
      </c>
      <c r="I1683">
        <f>IF(Skills!T14&lt;&gt;"",1+(Skills!T14/10)*(Z1672/1000)/100,1)</f>
        <v/>
      </c>
      <c r="J1683" t="inlineStr"/>
      <c r="K1683" t="inlineStr"/>
      <c r="L1683" t="inlineStr"/>
      <c r="M1683" t="inlineStr"/>
      <c r="N1683" t="inlineStr"/>
      <c r="O1683">
        <f>(1-Summary!$B$11)*S1683+Summary!$B$11*U1683</f>
        <v/>
      </c>
      <c r="P1683">
        <f>IF(B1705=0,0,O1683/B1705)</f>
        <v/>
      </c>
      <c r="Q1683">
        <f>IFERROR(1/IF(Inputs!$B$38="pvp",15,MAX(0.1,Skills!D14-IF(Skills!E14=TRUE,Inputs!$B$32,0))),0)</f>
        <v/>
      </c>
      <c r="R1683" t="n">
        <v>0</v>
      </c>
      <c r="S1683" t="n">
        <v>0</v>
      </c>
      <c r="U1683" t="n">
        <v>0</v>
      </c>
    </row>
    <row r="1684">
      <c r="A1684">
        <f>Skills!A15</f>
        <v/>
      </c>
      <c r="B1684">
        <f>Skills!B15</f>
        <v/>
      </c>
      <c r="C1684">
        <f>Inputs!$B$3&gt;=75</f>
        <v/>
      </c>
      <c r="D1684">
        <f>IF(Skills!C15=1,60+Inputs!$B$25+Inputs!$B$29,IF(Skills!C15=2,90+Inputs!$B$26+Inputs!$B$29,IF(Skills!C15=3,120+Inputs!$B$27+Inputs!$B$29,MAX(0,(Inputs!$B$3-100)*3)+Inputs!$B$28+Inputs!$B$29)))</f>
        <v/>
      </c>
      <c r="E1684">
        <f>INDEX(FactorTable!$B$2:$Y$301, MATCH(ROUND(MIN(300,MAX(1,D1684)),0), FactorTable!$A$2:$A$301,0), Skills!L15+1)</f>
        <v/>
      </c>
      <c r="F1684">
        <f>IF(Skills!M15=TRUE,(Skills!K15/10)*(E1684/1000),Skills!K15/10)+Skills!N15</f>
        <v/>
      </c>
      <c r="G1684">
        <f>Calc!G15</f>
        <v/>
      </c>
      <c r="H1684">
        <f>Calc!H15</f>
        <v/>
      </c>
      <c r="I1684">
        <f>IF(Skills!T15&lt;&gt;"",1+(Skills!T15/10)*(Z1672/1000)/100,1)</f>
        <v/>
      </c>
      <c r="J1684" t="inlineStr"/>
      <c r="K1684" t="inlineStr"/>
      <c r="L1684" t="inlineStr"/>
      <c r="M1684" t="inlineStr"/>
      <c r="N1684" t="inlineStr"/>
      <c r="O1684">
        <f>(1-Summary!$B$11)*S1684+Summary!$B$11*U1684</f>
        <v/>
      </c>
      <c r="P1684">
        <f>IF(B1705=0,0,O1684/B1705)</f>
        <v/>
      </c>
      <c r="Q1684">
        <f>IFERROR(1/IF(Inputs!$B$38="pvp",15,MAX(0.1,Skills!D15-IF(Skills!E15=TRUE,Inputs!$B$32,0))),0)</f>
        <v/>
      </c>
      <c r="R1684" t="n">
        <v>0</v>
      </c>
      <c r="S1684" t="n">
        <v>0</v>
      </c>
      <c r="U1684" t="n">
        <v>0</v>
      </c>
    </row>
    <row r="1685">
      <c r="A1685">
        <f>Skills!A16</f>
        <v/>
      </c>
      <c r="B1685">
        <f>Skills!B16</f>
        <v/>
      </c>
      <c r="C1685">
        <f>Inputs!$B$3&gt;=110</f>
        <v/>
      </c>
      <c r="D1685">
        <f>IF(Skills!C16=1,60+Inputs!$B$25+Inputs!$B$29,IF(Skills!C16=2,90+Inputs!$B$26+Inputs!$B$29,IF(Skills!C16=3,120+Inputs!$B$27+Inputs!$B$29,MAX(0,(Inputs!$B$3-100)*3)+Inputs!$B$28+Inputs!$B$29)))</f>
        <v/>
      </c>
      <c r="E1685">
        <f>INDEX(FactorTable!$B$2:$Y$301, MATCH(ROUND(MIN(300,MAX(1,D1685)),0), FactorTable!$A$2:$A$301,0), Skills!L16+1)</f>
        <v/>
      </c>
      <c r="F1685">
        <f>(Skills!K16/10)*(E1685/1000)*64/45+Skills!N16</f>
        <v/>
      </c>
      <c r="G1685">
        <f>Calc!G16</f>
        <v/>
      </c>
      <c r="H1685">
        <f>Calc!H16</f>
        <v/>
      </c>
      <c r="I1685">
        <f>IF(Skills!T16&lt;&gt;"",1+(Skills!T16/10)*(Z1672/1000)/100,1)</f>
        <v/>
      </c>
      <c r="J1685" t="inlineStr"/>
      <c r="K1685" t="inlineStr"/>
      <c r="L1685" t="inlineStr"/>
      <c r="M1685" t="inlineStr"/>
      <c r="N1685" t="inlineStr"/>
      <c r="O1685">
        <f>(1-Summary!$B$11)*S1685+Summary!$B$11*U1685</f>
        <v/>
      </c>
      <c r="P1685">
        <f>IF(B1705=0,0,O1685/B1705)</f>
        <v/>
      </c>
      <c r="Q1685">
        <f>IFERROR(1/IF(Inputs!$B$38="pvp",15,MAX(0.1,Skills!D16-IF(Skills!E16=TRUE,Inputs!$B$32,0))),0)</f>
        <v/>
      </c>
      <c r="R1685">
        <f>IF(AND(Inputs!$B$38&lt;&gt;"pvp",Inputs!$B$43&gt;0),IF(Inputs!$B$43&lt;=0,0,(INT(Inputs!$B$43/IF(Inputs!$B$38="pvp",15,MAX(0.1,Skills!D16-IF(Skills!E16=TRUE,Inputs!$B$32,0))))+1)),0)</f>
        <v/>
      </c>
      <c r="S1685" t="n">
        <v>0</v>
      </c>
      <c r="U1685" t="n">
        <v>0</v>
      </c>
    </row>
    <row r="1686">
      <c r="A1686">
        <f>Skills!A17</f>
        <v/>
      </c>
      <c r="B1686">
        <f>Skills!B17</f>
        <v/>
      </c>
      <c r="C1686">
        <f>Inputs!$B$3&gt;=33</f>
        <v/>
      </c>
      <c r="D1686">
        <f>IF(Skills!C17=1,60+Inputs!$B$25+Inputs!$B$29,IF(Skills!C17=2,90+Inputs!$B$26+Inputs!$B$29,IF(Skills!C17=3,120+Inputs!$B$27+Inputs!$B$29,MAX(0,(Inputs!$B$3-100)*3)+Inputs!$B$28+Inputs!$B$29)))</f>
        <v/>
      </c>
      <c r="E1686">
        <f>INDEX(FactorTable!$B$2:$Y$301, MATCH(ROUND(MIN(300,MAX(1,D1686)),0), FactorTable!$A$2:$A$301,0), Skills!L17+1)</f>
        <v/>
      </c>
      <c r="F1686">
        <f>IF(Skills!M17=TRUE,(Skills!K17/10)*(E1686/1000),Skills!K17/10)+Skills!N17</f>
        <v/>
      </c>
      <c r="G1686">
        <f>Calc!G17</f>
        <v/>
      </c>
      <c r="H1686">
        <f>Calc!H17</f>
        <v/>
      </c>
      <c r="I1686">
        <f>IF(Skills!T17&lt;&gt;"",1+(Skills!T17/10)*(Z1672/1000)/100,1)</f>
        <v/>
      </c>
      <c r="J1686" t="inlineStr"/>
      <c r="K1686" t="inlineStr"/>
      <c r="L1686" t="inlineStr"/>
      <c r="M1686" t="inlineStr"/>
      <c r="N1686" t="inlineStr"/>
      <c r="O1686">
        <f>(1-Summary!$B$11)*S1686+Summary!$B$11*U1686</f>
        <v/>
      </c>
      <c r="P1686">
        <f>IF(B1705=0,0,O1686/B1705)</f>
        <v/>
      </c>
      <c r="Q1686">
        <f>IFERROR(1/IF(Inputs!$B$38="pvp",15,MAX(0.1,Skills!D17-IF(Skills!E17=TRUE,Inputs!$B$32,0))),0)</f>
        <v/>
      </c>
      <c r="R1686" t="n">
        <v>0</v>
      </c>
      <c r="S1686" t="n">
        <v>0</v>
      </c>
      <c r="U1686" t="n">
        <v>0</v>
      </c>
    </row>
    <row r="1687">
      <c r="A1687">
        <f>Skills!A18</f>
        <v/>
      </c>
      <c r="B1687">
        <f>Skills!B18</f>
        <v/>
      </c>
      <c r="C1687">
        <f>Inputs!$B$3&gt;=43</f>
        <v/>
      </c>
      <c r="D1687">
        <f>IF(Skills!C18=1,60+Inputs!$B$25+Inputs!$B$29,IF(Skills!C18=2,90+Inputs!$B$26+Inputs!$B$29,IF(Skills!C18=3,120+Inputs!$B$27+Inputs!$B$29,MAX(0,(Inputs!$B$3-100)*3)+Inputs!$B$28+Inputs!$B$29)))</f>
        <v/>
      </c>
      <c r="E1687">
        <f>INDEX(FactorTable!$B$2:$Y$301, MATCH(ROUND(MIN(300,MAX(1,D1687)),0), FactorTable!$A$2:$A$301,0), Skills!L18+1)</f>
        <v/>
      </c>
      <c r="F1687">
        <f>IF(Skills!M18=TRUE,(Skills!K18/10)*(E1687/1000),Skills!K18/10)+Skills!N18</f>
        <v/>
      </c>
      <c r="G1687">
        <f>Calc!G18</f>
        <v/>
      </c>
      <c r="H1687">
        <f>Calc!H18</f>
        <v/>
      </c>
      <c r="I1687">
        <f>IF(Skills!T18&lt;&gt;"",1+(Skills!T18/10)*(Z1672/1000)/100,1)</f>
        <v/>
      </c>
      <c r="J1687" t="inlineStr"/>
      <c r="K1687" t="inlineStr"/>
      <c r="L1687" t="inlineStr"/>
      <c r="M1687" t="inlineStr"/>
      <c r="N1687" t="inlineStr"/>
      <c r="O1687">
        <f>(1-Summary!$B$11)*S1687+Summary!$B$11*U1687</f>
        <v/>
      </c>
      <c r="P1687">
        <f>IF(B1705=0,0,O1687/B1705)</f>
        <v/>
      </c>
      <c r="Q1687">
        <f>IFERROR(1/IF(Inputs!$B$38="pvp",15,MAX(0.1,Skills!D18-IF(Skills!E18=TRUE,Inputs!$B$32,0))),0)</f>
        <v/>
      </c>
      <c r="R1687" t="n">
        <v>0</v>
      </c>
      <c r="S1687" t="n">
        <v>0</v>
      </c>
      <c r="U1687" t="n">
        <v>0</v>
      </c>
    </row>
    <row r="1688">
      <c r="A1688">
        <f>Skills!A19</f>
        <v/>
      </c>
      <c r="B1688">
        <f>Skills!B19</f>
        <v/>
      </c>
      <c r="C1688">
        <f>Inputs!$B$3&gt;=50</f>
        <v/>
      </c>
      <c r="D1688">
        <f>IF(Skills!C19=1,60+Inputs!$B$25+Inputs!$B$29,IF(Skills!C19=2,90+Inputs!$B$26+Inputs!$B$29,IF(Skills!C19=3,120+Inputs!$B$27+Inputs!$B$29,MAX(0,(Inputs!$B$3-100)*3)+Inputs!$B$28+Inputs!$B$29)))</f>
        <v/>
      </c>
      <c r="E1688">
        <f>INDEX(FactorTable!$B$2:$Y$301, MATCH(ROUND(MIN(300,MAX(1,D1688)),0), FactorTable!$A$2:$A$301,0), Skills!L19+1)</f>
        <v/>
      </c>
      <c r="F1688">
        <f>IF(Skills!M19=TRUE,(Skills!K19/10)*(E1688/1000),Skills!K19/10)+Skills!N19</f>
        <v/>
      </c>
      <c r="G1688">
        <f>Calc!G19</f>
        <v/>
      </c>
      <c r="H1688">
        <f>Calc!H19</f>
        <v/>
      </c>
      <c r="I1688">
        <f>IF(Skills!T19&lt;&gt;"",1+(Skills!T19/10)*(Z1672/1000)/100,1)</f>
        <v/>
      </c>
      <c r="J1688" t="inlineStr"/>
      <c r="K1688" t="inlineStr"/>
      <c r="L1688" t="inlineStr"/>
      <c r="M1688" t="inlineStr"/>
      <c r="N1688" t="inlineStr"/>
      <c r="O1688">
        <f>(1-Summary!$B$11)*S1688+Summary!$B$11*U1688</f>
        <v/>
      </c>
      <c r="P1688">
        <f>IF(B1705=0,0,O1688/B1705)</f>
        <v/>
      </c>
      <c r="Q1688">
        <f>IFERROR(1/IF(Inputs!$B$38="pvp",15,MAX(0.1,Skills!D19-IF(Skills!E19=TRUE,Inputs!$B$32,0))),0)</f>
        <v/>
      </c>
      <c r="R1688" t="n">
        <v>0</v>
      </c>
      <c r="S1688" t="n">
        <v>0</v>
      </c>
      <c r="U1688" t="n">
        <v>0</v>
      </c>
    </row>
    <row r="1689">
      <c r="A1689">
        <f>Skills!A20</f>
        <v/>
      </c>
      <c r="B1689">
        <f>Skills!B20</f>
        <v/>
      </c>
      <c r="C1689">
        <f>Inputs!$B$3&gt;=74</f>
        <v/>
      </c>
      <c r="D1689">
        <f>IF(Skills!C20=1,60+Inputs!$B$25+Inputs!$B$29,IF(Skills!C20=2,90+Inputs!$B$26+Inputs!$B$29,IF(Skills!C20=3,120+Inputs!$B$27+Inputs!$B$29,MAX(0,(Inputs!$B$3-100)*3)+Inputs!$B$28+Inputs!$B$29)))</f>
        <v/>
      </c>
      <c r="E1689">
        <f>INDEX(FactorTable!$B$2:$Y$301, MATCH(ROUND(MIN(300,MAX(1,D1689)),0), FactorTable!$A$2:$A$301,0), Skills!L20+1)</f>
        <v/>
      </c>
      <c r="F1689">
        <f>IF(Skills!M20=TRUE,(Skills!K20/10)*(E1689/1000),Skills!K20/10)+Skills!N20</f>
        <v/>
      </c>
      <c r="G1689">
        <f>Calc!G20</f>
        <v/>
      </c>
      <c r="H1689">
        <f>Calc!H20</f>
        <v/>
      </c>
      <c r="I1689">
        <f>IF(Skills!T20&lt;&gt;"",1+(Skills!T20/10)*(Z1672/1000)/100,1)</f>
        <v/>
      </c>
      <c r="J1689" t="inlineStr"/>
      <c r="K1689" t="inlineStr"/>
      <c r="L1689" t="inlineStr"/>
      <c r="M1689" t="inlineStr"/>
      <c r="N1689" t="inlineStr"/>
      <c r="O1689">
        <f>(1-Summary!$B$11)*S1689+Summary!$B$11*U1689</f>
        <v/>
      </c>
      <c r="P1689">
        <f>IF(B1705=0,0,O1689/B1705)</f>
        <v/>
      </c>
      <c r="Q1689">
        <f>IFERROR(1/IF(Inputs!$B$38="pvp",15,MAX(0.1,Skills!D20-IF(Skills!E20=TRUE,Inputs!$B$32,0))),0)</f>
        <v/>
      </c>
      <c r="R1689" t="n">
        <v>0</v>
      </c>
      <c r="S1689" t="n">
        <v>0</v>
      </c>
      <c r="U1689" t="n">
        <v>0</v>
      </c>
    </row>
    <row r="1690">
      <c r="A1690">
        <f>Skills!A21</f>
        <v/>
      </c>
      <c r="B1690">
        <f>Skills!B21</f>
        <v/>
      </c>
      <c r="C1690">
        <f>Inputs!$B$3&gt;=74</f>
        <v/>
      </c>
      <c r="D1690">
        <f>IF(Skills!C21=1,60+Inputs!$B$25+Inputs!$B$29,IF(Skills!C21=2,90+Inputs!$B$26+Inputs!$B$29,IF(Skills!C21=3,120+Inputs!$B$27+Inputs!$B$29,MAX(0,(Inputs!$B$3-100)*3)+Inputs!$B$28+Inputs!$B$29)))</f>
        <v/>
      </c>
      <c r="E1690">
        <f>INDEX(FactorTable!$B$2:$Y$301, MATCH(ROUND(MIN(300,MAX(1,D1690)),0), FactorTable!$A$2:$A$301,0), Skills!L21+1)</f>
        <v/>
      </c>
      <c r="F1690">
        <f>IF(Skills!M21=TRUE,(Skills!K21/10)*(E1690/1000),Skills!K21/10)+Skills!N21</f>
        <v/>
      </c>
      <c r="G1690">
        <f>Calc!G21</f>
        <v/>
      </c>
      <c r="H1690">
        <f>Calc!H21</f>
        <v/>
      </c>
      <c r="I1690">
        <f>IF(Skills!T21&lt;&gt;"",1+(Skills!T21/10)*(Z1672/1000)/100,1)</f>
        <v/>
      </c>
      <c r="J1690" t="inlineStr"/>
      <c r="K1690" t="inlineStr"/>
      <c r="L1690" t="inlineStr"/>
      <c r="M1690" t="inlineStr"/>
      <c r="N1690" t="inlineStr"/>
      <c r="O1690">
        <f>(1-Summary!$B$11)*S1690+Summary!$B$11*U1690</f>
        <v/>
      </c>
      <c r="P1690">
        <f>IF(B1705=0,0,O1690/B1705)</f>
        <v/>
      </c>
      <c r="Q1690">
        <f>IFERROR(1/IF(Inputs!$B$38="pvp",15,MAX(0.1,Skills!D21-IF(Skills!E21=TRUE,Inputs!$B$32,0))),0)</f>
        <v/>
      </c>
      <c r="R1690" t="n">
        <v>0</v>
      </c>
      <c r="S1690" t="n">
        <v>0</v>
      </c>
      <c r="U1690" t="n">
        <v>0</v>
      </c>
    </row>
    <row r="1691">
      <c r="A1691">
        <f>Skills!A22</f>
        <v/>
      </c>
      <c r="B1691">
        <f>Skills!B22</f>
        <v/>
      </c>
      <c r="C1691">
        <f>Inputs!$B$3&gt;=117</f>
        <v/>
      </c>
      <c r="D1691">
        <f>IF(Skills!C22=1,60+Inputs!$B$25+Inputs!$B$29,IF(Skills!C22=2,90+Inputs!$B$26+Inputs!$B$29,IF(Skills!C22=3,120+Inputs!$B$27+Inputs!$B$29,MAX(0,(Inputs!$B$3-100)*3)+Inputs!$B$28+Inputs!$B$29)))</f>
        <v/>
      </c>
      <c r="E1691">
        <f>INDEX(FactorTable!$B$2:$Y$301, MATCH(ROUND(MIN(300,MAX(1,D1691)),0), FactorTable!$A$2:$A$301,0), Skills!L22+1)</f>
        <v/>
      </c>
      <c r="F1691">
        <f>IF(Skills!M22=TRUE,(Skills!K22/10)*(E1691/1000),Skills!K22/10)+Skills!N22</f>
        <v/>
      </c>
      <c r="G1691">
        <f>Calc!G22</f>
        <v/>
      </c>
      <c r="H1691">
        <f>Calc!H22</f>
        <v/>
      </c>
      <c r="I1691">
        <f>IF(Skills!T22&lt;&gt;"",1+(Skills!T22/10)*(Z1672/1000)/100,1)</f>
        <v/>
      </c>
      <c r="J1691" t="inlineStr"/>
      <c r="K1691" t="inlineStr"/>
      <c r="L1691" t="inlineStr"/>
      <c r="M1691" t="inlineStr"/>
      <c r="N1691" t="inlineStr"/>
      <c r="O1691">
        <f>(1-Summary!$B$11)*S1691+Summary!$B$11*U1691</f>
        <v/>
      </c>
      <c r="P1691">
        <f>IF(B1705=0,0,O1691/B1705)</f>
        <v/>
      </c>
      <c r="Q1691">
        <f>IFERROR(1/IF(Inputs!$B$38="pvp",15,MAX(0.1,Skills!D22-IF(Skills!E22=TRUE,Inputs!$B$32,0))),0)</f>
        <v/>
      </c>
      <c r="R1691" t="n">
        <v>0</v>
      </c>
      <c r="S1691" t="n">
        <v>0</v>
      </c>
      <c r="U1691" t="n">
        <v>0</v>
      </c>
    </row>
    <row r="1692">
      <c r="A1692">
        <f>Skills!A23</f>
        <v/>
      </c>
      <c r="B1692">
        <f>Skills!B23</f>
        <v/>
      </c>
      <c r="C1692">
        <f>Inputs!$B$3&gt;=120</f>
        <v/>
      </c>
      <c r="D1692">
        <f>IF(Skills!C23=1,60+Inputs!$B$25+Inputs!$B$29,IF(Skills!C23=2,90+Inputs!$B$26+Inputs!$B$29,IF(Skills!C23=3,120+Inputs!$B$27+Inputs!$B$29,MAX(0,(Inputs!$B$3-100)*3)+Inputs!$B$28+Inputs!$B$29)))</f>
        <v/>
      </c>
      <c r="E1692">
        <f>INDEX(FactorTable!$B$2:$Y$301, MATCH(ROUND(MIN(300,MAX(1,D1692)),0), FactorTable!$A$2:$A$301,0), Skills!L23+1)</f>
        <v/>
      </c>
      <c r="F1692">
        <f>IF(Skills!M23=TRUE,(Skills!K23/10)*(E1692/1000),Skills!K23/10)+Skills!N23</f>
        <v/>
      </c>
      <c r="G1692">
        <f>Calc!G23</f>
        <v/>
      </c>
      <c r="H1692">
        <f>Calc!H23</f>
        <v/>
      </c>
      <c r="I1692">
        <f>IF(Skills!T23&lt;&gt;"",1+(Skills!T23/10)*(Z1672/1000)/100,1)</f>
        <v/>
      </c>
      <c r="J1692" t="inlineStr"/>
      <c r="K1692" t="inlineStr"/>
      <c r="L1692" t="inlineStr"/>
      <c r="M1692" t="inlineStr"/>
      <c r="N1692" t="inlineStr"/>
      <c r="O1692">
        <f>(1-Summary!$B$11)*S1692+Summary!$B$11*U1692</f>
        <v/>
      </c>
      <c r="P1692">
        <f>IF(B1705=0,0,O1692/B1705)</f>
        <v/>
      </c>
      <c r="Q1692">
        <f>IFERROR(1/IF(Inputs!$B$38="pvp",15,MAX(0.1,Skills!D23-IF(Skills!E23=TRUE,Inputs!$B$32,0))),0)</f>
        <v/>
      </c>
      <c r="R1692" t="n">
        <v>0</v>
      </c>
      <c r="S1692" t="n">
        <v>0</v>
      </c>
      <c r="U1692" t="n">
        <v>0</v>
      </c>
    </row>
    <row r="1695">
      <c r="A1695" t="inlineStr">
        <is>
          <t>Average Buff Multiplier (Magic Guard + Meditation + Artifact Attack%, summed; then Infinity)</t>
        </is>
      </c>
      <c r="B1695">
        <f>(1+(IF(C1672=TRUE,F1672*IF(AND(Inputs!$B$38&lt;&gt;"pvp",Inputs!$B$43&gt;0),(((R1672-1)*(Skills!S3*(1+(Inputs!$B$34+IF(Inputs!$B$3&gt;=117,F1691,0))/100))+MIN((Skills!S3*(1+(Inputs!$B$34+IF(Inputs!$B$3&gt;=117,F1691,0))/100)),MAX(0,Inputs!$B$43-((R1672-1)*Skills!D3))))/Inputs!$B$43),IF(Inputs!$B$38="pvp",MIN((Skills!S3*(1+(Inputs!$B$34+IF(Inputs!$B$3&gt;=117,F1691,0))/100)),15)/15,(Skills!S3*(1+(Inputs!$B$34+IF(Inputs!$B$3&gt;=117,F1691,0))/100))/Skills!D3)),0)+IF(C1673=TRUE,F1673*IF(AND(Inputs!$B$38&lt;&gt;"pvp",Inputs!$B$43&gt;0),(((R1673-1)*(Skills!S4*(1+(Inputs!$B$34+IF(Inputs!$B$3&gt;=117,F1691,0))/100))+MIN((Skills!S4*(1+(Inputs!$B$34+IF(Inputs!$B$3&gt;=117,F1691,0))/100)),MAX(0,Inputs!$B$43-((R1673-1)*Skills!D4))))/Inputs!$B$43),IF(Inputs!$B$38="pvp",MIN((Skills!S4*(1+(Inputs!$B$34+IF(Inputs!$B$3&gt;=117,F1691,0))/100)),15)/15,(Skills!S4*(1+(Inputs!$B$34+IF(Inputs!$B$3&gt;=117,F1691,0)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1685=TRUE,(1+F1685*IF(AND(Inputs!$B$38&lt;&gt;"pvp",Inputs!$B$43&gt;0),(((R1685-1)*(Skills!S16*(1+(Inputs!$B$34+IF(Inputs!$B$3&gt;=117,F1691,0))/100))+MIN((Skills!S16*(1+(Inputs!$B$34+IF(Inputs!$B$3&gt;=117,F1691,0))/100)),MAX(0,Inputs!$B$43-((R1685-1)*Skills!D16))))/Inputs!$B$43),IF(Inputs!$B$38="pvp",MIN((Skills!S16*(1+(Inputs!$B$34+IF(Inputs!$B$3&gt;=117,F1691,0))/100)),15)/15,(Skills!S16*(1+(Inputs!$B$34+IF(Inputs!$B$3&gt;=117,F1691,0))/100))/Skills!D16))/100),1)</f>
        <v/>
      </c>
    </row>
    <row r="1696">
      <c r="A1696" t="inlineStr">
        <is>
          <t>Monster Damage Taken Bonus % (Freezing Breath - Weaken + Elemental Reset + Artifact Enemy Damage Taken, summed)</t>
        </is>
      </c>
      <c r="B1696">
        <f>IF(Inputs!$B$3&gt;=118,15*IF(Inputs!$B$38="pvp",MIN((30*(1+(Inputs!$B$34+IF(Inputs!$B$3&gt;=117,F1691,0))/100)),15)/15,(30*(1+(Inputs!$B$34+IF(Inputs!$B$3&gt;=117,F1691,0))/100))/Skills!D8),0)+IF(C1683=TRUE,F1683,0)+(IF(AND(ArtifactsInput!$M$35,Inputs!$B$4&lt;&gt;"Chapter Hunt"),CHOOSE(ArtifactsInput!$N$35+1,15,18,21,24,27,30)*(1-EXP(-(0.2*B1699)*5)),0)+IF(AND(ArtifactsInput!$M$22,Inputs!$B$4&lt;&gt;"Chapter Hunt"),CHOOSE(ArtifactsInput!$N$22+1,10,12,14,16,18,20)*((0*(((0.15*B1699*5))^0/1)+1*(((0.15*B1699*5))^1/1)+2*(((0.15*B1699*5))^2/2)+3*(((0.15*B1699*5))^3/6)+4*(((0.15*B1699*5))^4/24)+5*(((0.15*B1699*5))^5/120))/((((0.15*B1699*5))^0/1)+(((0.15*B1699*5))^1/1)+(((0.15*B1699*5))^2/2)+(((0.15*B1699*5))^3/6)+(((0.15*B1699*5))^4/24)+(((0.15*B1699*5))^5/120))),0))</f>
        <v/>
      </c>
    </row>
    <row r="1697">
      <c r="A1697" t="inlineStr">
        <is>
          <t>Damage % Bonus (Frozen Break + Frost Clutch, flat)</t>
        </is>
      </c>
      <c r="B1697">
        <f>IF(Inputs!$B$3&gt;=66,15,0)+IF(Inputs!$B$3&gt;=98,10,0)+IF(Inputs!$B$3&gt;=125,20,0)</f>
        <v/>
      </c>
    </row>
    <row r="1698">
      <c r="A1698" t="inlineStr">
        <is>
          <t>Attack Speed Bonus % (MP Eater - MP Boost, always-on once unlocked)</t>
        </is>
      </c>
      <c r="B1698">
        <f>IF(C1682=TRUE,F1682+(F1686-Calc!F17),0)</f>
        <v/>
      </c>
    </row>
    <row r="1699">
      <c r="A1699" t="inlineStr">
        <is>
          <t>Actions Per Second</t>
        </is>
      </c>
      <c r="B1699">
        <f>1+MIN(150,150*(1-(1-(Inputs!$B$11+(ArtifactsInput!$M$15-ArtifactsInput!$M$15)*CHOOSE(ArtifactsInput!$N$15+1,8,9.6,11.2,12.8,14.4,16))/150)*(1-B1698/150)))/100</f>
        <v/>
      </c>
    </row>
    <row r="1700">
      <c r="A1700" t="inlineStr">
        <is>
          <t>Skill + Buff Cast Rate</t>
        </is>
      </c>
      <c r="B1700">
        <f>IF(AND(Inputs!$B$38&lt;&gt;"pvp",Inputs!$B$43&gt;0),SUMPRODUCT((Skills!E2:E23=TRUE)*(C1671:C1692=TRUE)*R1671:R1692)/Inputs!$B$43,SUMPRODUCT((Skills!E2:E23=TRUE)*(C1671:C1692=TRUE)*Q1671:Q1692))</f>
        <v/>
      </c>
    </row>
    <row r="1701">
      <c r="A1701" t="inlineStr">
        <is>
          <t>Chain Lightning Casts Per Second</t>
        </is>
      </c>
      <c r="B1701">
        <f>MAX(0,B1699-B1700)</f>
        <v/>
      </c>
    </row>
    <row r="1702">
      <c r="A1702" t="inlineStr">
        <is>
          <t>Buff-Casting Startup Delay (s, fixed-duration only)</t>
        </is>
      </c>
      <c r="B1702">
        <f>IF(AND(Inputs!$B$38&lt;&gt;"pvp",Inputs!$B$43&gt;0),SUMPRODUCT((Skills!S2:S23&gt;0)*(Skills!E2:E23=TRUE)*(C1671:C1692=TRUE))/B1699,0)</f>
        <v/>
      </c>
    </row>
    <row r="1703">
      <c r="A1703" t="inlineStr">
        <is>
          <t>Boss-Only Total DPS (this block's swept value)</t>
        </is>
      </c>
      <c r="B1703">
        <f>SUM(S1671:S1692)</f>
        <v/>
      </c>
    </row>
    <row r="1704">
      <c r="A1704" t="inlineStr">
        <is>
          <t>Normal-Only Total DPS (this block's swept value)</t>
        </is>
      </c>
      <c r="B1704">
        <f>SUM(U1671:U1692)</f>
        <v/>
      </c>
    </row>
    <row r="1705">
      <c r="A1705" s="6" t="inlineStr">
        <is>
          <t>TOTAL DPS</t>
        </is>
      </c>
      <c r="B1705" s="6">
        <f>SUM(O1671:O1692)</f>
        <v/>
      </c>
    </row>
    <row r="1708">
      <c r="A1708" s="6" t="inlineStr">
        <is>
          <t>Stat: Book of Ancient (Equip)</t>
        </is>
      </c>
    </row>
    <row r="1709">
      <c r="A1709" s="5" t="inlineStr">
        <is>
          <t>Key</t>
        </is>
      </c>
      <c r="B1709" s="5" t="inlineStr">
        <is>
          <t>Name</t>
        </is>
      </c>
      <c r="C1709" s="5" t="inlineStr">
        <is>
          <t>Unlocked</t>
        </is>
      </c>
      <c r="D1709" s="5" t="inlineStr">
        <is>
          <t>InputLevel</t>
        </is>
      </c>
      <c r="E1709" s="5" t="inlineStr">
        <is>
          <t>Factor</t>
        </is>
      </c>
      <c r="F1709" s="5" t="inlineStr">
        <is>
          <t>CoefficientPercent</t>
        </is>
      </c>
      <c r="G1709" s="5" t="inlineStr">
        <is>
          <t>EffectiveHits</t>
        </is>
      </c>
      <c r="H1709" s="5" t="inlineStr">
        <is>
          <t>ProcProbability</t>
        </is>
      </c>
      <c r="I1709" s="5" t="inlineStr">
        <is>
          <t>MapleHeroMultiplier</t>
        </is>
      </c>
      <c r="J1709" s="5" t="inlineStr">
        <is>
          <t>BaseDamage</t>
        </is>
      </c>
      <c r="K1709" s="5" t="inlineStr">
        <is>
          <t>BaseHitDamage</t>
        </is>
      </c>
      <c r="L1709" s="5" t="inlineStr">
        <is>
          <t>NonCritAvg</t>
        </is>
      </c>
      <c r="M1709" s="5" t="inlineStr">
        <is>
          <t>CritAvg</t>
        </is>
      </c>
      <c r="N1709" s="5" t="inlineStr">
        <is>
          <t>ExpectedDamage(perHit)</t>
        </is>
      </c>
      <c r="O1709" s="5" t="inlineStr">
        <is>
          <t>DPS</t>
        </is>
      </c>
      <c r="P1709" s="5" t="inlineStr">
        <is>
          <t>% of Total</t>
        </is>
      </c>
      <c r="R1709" t="inlineStr">
        <is>
          <t>helpers</t>
        </is>
      </c>
    </row>
    <row r="1710">
      <c r="A1710">
        <f>Skills!A2</f>
        <v/>
      </c>
      <c r="B1710">
        <f>Skills!B2</f>
        <v/>
      </c>
      <c r="C1710">
        <f>Inputs!$B$3&gt;=100</f>
        <v/>
      </c>
      <c r="D1710" t="inlineStr"/>
      <c r="E1710" t="inlineStr"/>
      <c r="F1710">
        <f>T1712+Skills!N2</f>
        <v/>
      </c>
      <c r="G1710">
        <f>Calc!G2</f>
        <v/>
      </c>
      <c r="H1710">
        <f>Calc!H2</f>
        <v/>
      </c>
      <c r="I1710">
        <f>IF(Skills!T2&lt;&gt;"",1+(Skills!T2/10)*(Z1711/1000)/100,1)</f>
        <v/>
      </c>
      <c r="J1710">
        <f>((Inputs!$B$6*(1+Inputs!$B$7/100))+(((Inputs!$B$12*(1+Inputs!$B$13/100))-(Inputs!$B$12*(1+Inputs!$B$13/100)))+0.25*(Inputs!$B$14-Inputs!$B$14))*(1+Inputs!$B$7/100))*(F1710/100)</f>
        <v/>
      </c>
      <c r="K1710">
        <f>J1710*(1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F1726-Calc!F18),(Inputs!$B$23+(IF(ArtifactsInput!$M$15,CHOOSE(ArtifactsInput!$N$15+1,25,30,35,40,45,50)/100*(Inputs!$B$11-Inputs!$B$11),0))))/100+(Inputs!$B$23+(IF(ArtifactsInput!$M$15,CHOOSE(ArtifactsInput!$N$15+1,25,30,35,40,45,50)/100*(Inputs!$B$11-Inputs!$B$11),0)))/100)/2</f>
        <v/>
      </c>
      <c r="M1710">
        <f>L1710*(1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0">
        <f>L1710*(1-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(1-Summary!$B$11)*S1710+Summary!$B$11*U1710</f>
        <v/>
      </c>
      <c r="P1710">
        <f>IF(B1744=0,0,O1710/B1744)</f>
        <v/>
      </c>
      <c r="Q1710">
        <f>IFERROR(1/IF(Inputs!$B$38="pvp",15,MAX(0.1,Skills!D2-IF(Skills!E2=TRUE,Inputs!$B$32,0))),0)</f>
        <v/>
      </c>
      <c r="R1710" t="n">
        <v>0</v>
      </c>
      <c r="S1710">
        <f>IF(C1710,(Skills!F2*N1710*B1740)*IF(Inputs!$B$38="pvp",1,1+(Inputs!$B$20+Skills!O2+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0">
        <f>MAX(0,(Inputs!$B$3-100)*3)+Inputs!$B$28+Inputs!$B$29</f>
        <v/>
      </c>
      <c r="U1710">
        <f>IF(C1710,(Skills!F2*N1710*B1740)*IF(Inputs!$B$38="pvp",1,(1+(Inputs!$B$21+Skills!P2+B1735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0">
        <f>MAX(0,(Inputs!$B$3-100)*3)+Inputs!$B$28+Inputs!$B$29</f>
        <v/>
      </c>
    </row>
    <row r="1711">
      <c r="A1711">
        <f>Skills!A3</f>
        <v/>
      </c>
      <c r="B1711">
        <f>Skills!B3</f>
        <v/>
      </c>
      <c r="C1711">
        <f>Inputs!$B$3&gt;=15</f>
        <v/>
      </c>
      <c r="D1711">
        <f>IF(Skills!C3=1,60+Inputs!$B$25+Inputs!$B$29,IF(Skills!C3=2,90+Inputs!$B$26+Inputs!$B$29,IF(Skills!C3=3,120+Inputs!$B$27+Inputs!$B$29,MAX(0,(Inputs!$B$3-100)*3)+Inputs!$B$28+Inputs!$B$29)))</f>
        <v/>
      </c>
      <c r="E1711">
        <f>INDEX(FactorTable!$B$2:$Y$301, MATCH(ROUND(MIN(300,MAX(1,D1711)),0), FactorTable!$A$2:$A$301,0), Skills!L3+1)</f>
        <v/>
      </c>
      <c r="F1711">
        <f>IF(Skills!M3=TRUE,(Skills!K3/10)*(E1711/1000),Skills!K3/10)+Skills!N3</f>
        <v/>
      </c>
      <c r="G1711">
        <f>Calc!G3</f>
        <v/>
      </c>
      <c r="H1711">
        <f>Calc!H3</f>
        <v/>
      </c>
      <c r="I1711">
        <f>IF(Skills!T3&lt;&gt;"",1+(Skills!T3/10)*(Z1711/1000)/100,1)</f>
        <v/>
      </c>
      <c r="J1711" t="inlineStr"/>
      <c r="K1711" t="inlineStr"/>
      <c r="L1711" t="inlineStr"/>
      <c r="M1711" t="inlineStr"/>
      <c r="N1711" t="inlineStr"/>
      <c r="O1711">
        <f>(1-Summary!$B$11)*S1711+Summary!$B$11*U1711</f>
        <v/>
      </c>
      <c r="P1711">
        <f>IF(B1744=0,0,O1711/B1744)</f>
        <v/>
      </c>
      <c r="Q1711">
        <f>IFERROR(1/IF(Inputs!$B$38="pvp",15,MAX(0.1,Skills!D3-IF(Skills!E3=TRUE,Inputs!$B$32,0))),0)</f>
        <v/>
      </c>
      <c r="R1711">
        <f>IF(AND(Inputs!$B$38&lt;&gt;"pvp",Inputs!$B$43&gt;0),IF(Inputs!$B$43&lt;=0,0,(INT(Inputs!$B$43/IF(Inputs!$B$38="pvp",15,MAX(0.1,Skills!D3-IF(Skills!E3=TRUE,Inputs!$B$32,0))))+1)),0)</f>
        <v/>
      </c>
      <c r="S1711" t="n">
        <v>0</v>
      </c>
      <c r="T1711">
        <f>INDEX(FactorTable!$B$2:$Y$301, MATCH(ROUND(MIN(300,MAX(1,T1710)),0), FactorTable!$A$2:$A$301,0), 22)</f>
        <v/>
      </c>
      <c r="U1711" t="n">
        <v>0</v>
      </c>
      <c r="Z1711">
        <f>INDEX(FactorTable!$B$2:$Y$301, MATCH(ROUND(MIN(300,MAX(1,Z1710)),0), FactorTable!$A$2:$A$301,0), 24)</f>
        <v/>
      </c>
    </row>
    <row r="1712">
      <c r="A1712">
        <f>Skills!A4</f>
        <v/>
      </c>
      <c r="B1712">
        <f>Skills!B4</f>
        <v/>
      </c>
      <c r="C1712">
        <f>Inputs!$B$3&gt;=40</f>
        <v/>
      </c>
      <c r="D1712">
        <f>IF(Skills!C4=1,60+Inputs!$B$25+Inputs!$B$29,IF(Skills!C4=2,90+Inputs!$B$26+Inputs!$B$29,IF(Skills!C4=3,120+Inputs!$B$27+Inputs!$B$29,MAX(0,(Inputs!$B$3-100)*3)+Inputs!$B$28+Inputs!$B$29)))</f>
        <v/>
      </c>
      <c r="E1712">
        <f>INDEX(FactorTable!$B$2:$Y$301, MATCH(ROUND(MIN(300,MAX(1,D1712)),0), FactorTable!$A$2:$A$301,0), Skills!L4+1)</f>
        <v/>
      </c>
      <c r="F1712">
        <f>IF(Skills!M4=TRUE,(Skills!K4/10)*(E1712/1000),Skills!K4/10)+Skills!N4</f>
        <v/>
      </c>
      <c r="G1712">
        <f>Calc!G4</f>
        <v/>
      </c>
      <c r="H1712">
        <f>Calc!H4</f>
        <v/>
      </c>
      <c r="I1712">
        <f>IF(Skills!T4&lt;&gt;"",1+(Skills!T4/10)*(Z1711/1000)/100,1)</f>
        <v/>
      </c>
      <c r="J1712" t="inlineStr"/>
      <c r="K1712" t="inlineStr"/>
      <c r="L1712" t="inlineStr"/>
      <c r="M1712" t="inlineStr"/>
      <c r="N1712" t="inlineStr"/>
      <c r="O1712">
        <f>(1-Summary!$B$11)*S1712+Summary!$B$11*U1712</f>
        <v/>
      </c>
      <c r="P1712">
        <f>IF(B1744=0,0,O1712/B1744)</f>
        <v/>
      </c>
      <c r="Q1712">
        <f>IFERROR(1/IF(Inputs!$B$38="pvp",15,MAX(0.1,Skills!D4-IF(Skills!E4=TRUE,Inputs!$B$32,0))),0)</f>
        <v/>
      </c>
      <c r="R1712">
        <f>IF(AND(Inputs!$B$38&lt;&gt;"pvp",Inputs!$B$43&gt;0),IF(Inputs!$B$43&lt;=0,0,(INT(Inputs!$B$43/IF(Inputs!$B$38="pvp",15,MAX(0.1,Skills!D4-IF(Skills!E4=TRUE,Inputs!$B$32,0))))+1)),0)</f>
        <v/>
      </c>
      <c r="S1712" t="n">
        <v>0</v>
      </c>
      <c r="T1712">
        <f>290*T1711/1000</f>
        <v/>
      </c>
      <c r="U1712" t="n">
        <v>0</v>
      </c>
    </row>
    <row r="1713">
      <c r="A1713">
        <f>Skills!A5</f>
        <v/>
      </c>
      <c r="B1713">
        <f>Skills!B5</f>
        <v/>
      </c>
      <c r="C1713">
        <f>Inputs!$B$3&gt;=38</f>
        <v/>
      </c>
      <c r="D1713">
        <f>IF(Skills!C5=1,60+Inputs!$B$25+Inputs!$B$29,IF(Skills!C5=2,90+Inputs!$B$26+Inputs!$B$29,IF(Skills!C5=3,120+Inputs!$B$27+Inputs!$B$29,MAX(0,(Inputs!$B$3-100)*3)+Inputs!$B$28+Inputs!$B$29)))</f>
        <v/>
      </c>
      <c r="E1713">
        <f>INDEX(FactorTable!$B$2:$Y$301, MATCH(ROUND(MIN(300,MAX(1,D1713)),0), FactorTable!$A$2:$A$301,0), Skills!L5+1)</f>
        <v/>
      </c>
      <c r="F1713">
        <f>IF(Skills!M5=TRUE,(Skills!K5/10)*(E1713/1000),Skills!K5/10)+Skills!N5</f>
        <v/>
      </c>
      <c r="G1713">
        <f>Calc!G5</f>
        <v/>
      </c>
      <c r="H1713">
        <f>Calc!H5</f>
        <v/>
      </c>
      <c r="I1713">
        <f>IF(Skills!T5&lt;&gt;"",1+(Skills!T5/10)*(Z1711/1000)/100,1)</f>
        <v/>
      </c>
      <c r="J1713">
        <f>((Inputs!$B$6*(1+Inputs!$B$7/100))+(((Inputs!$B$12*(1+Inputs!$B$13/100))-(Inputs!$B$12*(1+Inputs!$B$13/100)))+0.25*(Inputs!$B$14-Inputs!$B$14))*(1+Inputs!$B$7/100))*(F1713/100)</f>
        <v/>
      </c>
      <c r="K1713">
        <f>J1713*(1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5="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1726-Calc!F18),(Inputs!$B$23+(IF(ArtifactsInput!$M$15,CHOOSE(ArtifactsInput!$N$15+1,25,30,35,40,45,50)/100*(Inputs!$B$11-Inputs!$B$11),0))))/100+(Inputs!$B$23+(IF(ArtifactsInput!$M$15,CHOOSE(ArtifactsInput!$N$15+1,25,30,35,40,45,50)/100*(Inputs!$B$11-Inputs!$B$11),0)))/100)/2</f>
        <v/>
      </c>
      <c r="M1713">
        <f>L1713*(1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3">
        <f>L1713*(1-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IF(B1744=0,0,O1713/B1744)</f>
        <v/>
      </c>
      <c r="Q1713">
        <f>IFERROR(1/IF(Inputs!$B$38="pvp",15,MAX(0.1,Skills!D5-IF(Skills!E5=TRUE,Inputs!$B$32,0))),0)</f>
        <v/>
      </c>
      <c r="R1713">
        <f>IF(AND(Inputs!$B$38&lt;&gt;"pvp",Inputs!$B$43&gt;0),IF(MAX(0,Inputs!$B$43-B1741)&lt;=0,0,(INT(MAX(0,Inputs!$B$43-B1741)/IF(Inputs!$B$38="pvp",15,MAX(0.1,Skills!D5-IF(Skills!E5=TRUE,Inputs!$B$32,0))))+1)),0)</f>
        <v/>
      </c>
      <c r="S1713">
        <f>IF(C1713,(H1713*N1713*IF(AND(Inputs!$B$38&lt;&gt;"pvp",Inputs!$B$43&gt;0),((Skills!F5*((R1713-1)*IF(Skills!G5&gt;0,Skills!H5/Skills!G5,1)+IF(Skills!G5&gt;0,MIN(Skills!H5,MAX(0,MAX(0,Inputs!$B$43-B1741)-((R1713-1)*IF(Inputs!$B$38="pvp",15,MAX(0.1,Skills!D5-IF(Skills!E5=TRUE,Inputs!$B$32,0))))))/Skills!G5,1)))/Inputs!$B$43),G1713*Q1713))*IF(Inputs!$B$38="pvp",1,1+(Inputs!$B$20+Skills!O5+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F5*((R1713-1)*IF(Skills!G5&gt;0,Skills!H5/Skills!G5,1)+IF(Skills!G5&gt;0,MIN(Skills!H5,MAX(0,MAX(0,Inputs!$B$43-B1741)-((R1713-1)*IF(Inputs!$B$38="pvp",15,MAX(0.1,Skills!D5-IF(Skills!E5=TRUE,Inputs!$B$32,0))))))/Skills!G5,1)))/Inputs!$B$43),G1713*Q1713))*IF(Inputs!$B$38="pvp",1,(1+(Inputs!$B$21+Skills!P5+B1735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Skills!A6</f>
        <v/>
      </c>
      <c r="B1714">
        <f>Skills!B6</f>
        <v/>
      </c>
      <c r="C1714">
        <f>Inputs!$B$3&gt;=63</f>
        <v/>
      </c>
      <c r="D1714">
        <f>IF(Skills!C6=1,60+Inputs!$B$25+Inputs!$B$29,IF(Skills!C6=2,90+Inputs!$B$26+Inputs!$B$29,IF(Skills!C6=3,120+Inputs!$B$27+Inputs!$B$29,MAX(0,(Inputs!$B$3-100)*3)+Inputs!$B$28+Inputs!$B$29)))</f>
        <v/>
      </c>
      <c r="E1714">
        <f>INDEX(FactorTable!$B$2:$Y$301, MATCH(ROUND(MIN(300,MAX(1,D1714)),0), FactorTable!$A$2:$A$301,0), Skills!L6+1)</f>
        <v/>
      </c>
      <c r="F1714">
        <f>IF(Skills!M6=TRUE,(Skills!K6/10)*(E1714/1000),Skills!K6/10)+Skills!N6</f>
        <v/>
      </c>
      <c r="G1714">
        <f>Calc!G6</f>
        <v/>
      </c>
      <c r="H1714">
        <f>Calc!H6</f>
        <v/>
      </c>
      <c r="I1714">
        <f>IF(Skills!T6&lt;&gt;"",1+(Skills!T6/10)*(Z1711/1000)/100,1)</f>
        <v/>
      </c>
      <c r="J1714">
        <f>((Inputs!$B$6*(1+Inputs!$B$7/100))+(((Inputs!$B$12*(1+Inputs!$B$13/100))-(Inputs!$B$12*(1+Inputs!$B$13/100)))+0.25*(Inputs!$B$14-Inputs!$B$14))*(1+Inputs!$B$7/100))*(F1714/100)</f>
        <v/>
      </c>
      <c r="K1714">
        <f>J1714*(1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6="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1726-Calc!F18),(Inputs!$B$23+(IF(ArtifactsInput!$M$15,CHOOSE(ArtifactsInput!$N$15+1,25,30,35,40,45,50)/100*(Inputs!$B$11-Inputs!$B$11),0))))/100+(Inputs!$B$23+(IF(ArtifactsInput!$M$15,CHOOSE(ArtifactsInput!$N$15+1,25,30,35,40,45,50)/100*(Inputs!$B$11-Inputs!$B$11),0)))/100)/2</f>
        <v/>
      </c>
      <c r="M1714">
        <f>L1714*(1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4">
        <f>L1714*(1-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IF(B1744=0,0,O1714/B1744)</f>
        <v/>
      </c>
      <c r="Q1714">
        <f>IFERROR(1/IF(Inputs!$B$38="pvp",15,MAX(0.1,Skills!D6-IF(Skills!E6=TRUE,Inputs!$B$32,0))),0)</f>
        <v/>
      </c>
      <c r="R1714">
        <f>IF(AND(Inputs!$B$38&lt;&gt;"pvp",Inputs!$B$43&gt;0),IF(MAX(0,Inputs!$B$43-B1741)&lt;=0,0,(INT(MAX(0,Inputs!$B$43-B1741)/IF(Inputs!$B$38="pvp",15,MAX(0.1,Skills!D6-IF(Skills!E6=TRUE,Inputs!$B$32,0))))+1)),0)</f>
        <v/>
      </c>
      <c r="S1714">
        <f>IF(C1714,(H1714*N1714*IF(AND(Inputs!$B$38&lt;&gt;"pvp",Inputs!$B$43&gt;0),((Skills!F6*((R1714-1)*IF(Skills!G6&gt;0,Skills!H6/Skills!G6,1)+IF(Skills!G6&gt;0,MIN(Skills!H6,MAX(0,MAX(0,Inputs!$B$43-B1741)-((R1714-1)*IF(Inputs!$B$38="pvp",15,MAX(0.1,Skills!D6-IF(Skills!E6=TRUE,Inputs!$B$32,0))))))/Skills!G6,1)))/Inputs!$B$43),G1714*Q1714))*IF(Inputs!$B$38="pvp",1,1+(Inputs!$B$20+Skills!O6+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F6*((R1714-1)*IF(Skills!G6&gt;0,Skills!H6/Skills!G6,1)+IF(Skills!G6&gt;0,MIN(Skills!H6,MAX(0,MAX(0,Inputs!$B$43-B1741)-((R1714-1)*IF(Inputs!$B$38="pvp",15,MAX(0.1,Skills!D6-IF(Skills!E6=TRUE,Inputs!$B$32,0))))))/Skills!G6,1)))/Inputs!$B$43),G1714*Q1714))*IF(Inputs!$B$38="pvp",1,(1+(Inputs!$B$21+Skills!P6+B1735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Skills!A7</f>
        <v/>
      </c>
      <c r="B1715">
        <f>Skills!B7</f>
        <v/>
      </c>
      <c r="C1715">
        <f>Inputs!$B$3&gt;=69</f>
        <v/>
      </c>
      <c r="D1715">
        <f>IF(Skills!C7=1,60+Inputs!$B$25+Inputs!$B$29,IF(Skills!C7=2,90+Inputs!$B$26+Inputs!$B$29,IF(Skills!C7=3,120+Inputs!$B$27+Inputs!$B$29,MAX(0,(Inputs!$B$3-100)*3)+Inputs!$B$28+Inputs!$B$29)))</f>
        <v/>
      </c>
      <c r="E1715">
        <f>INDEX(FactorTable!$B$2:$Y$301, MATCH(ROUND(MIN(300,MAX(1,D1715)),0), FactorTable!$A$2:$A$301,0), Skills!L7+1)</f>
        <v/>
      </c>
      <c r="F1715">
        <f>IF(Skills!M7=TRUE,(Skills!K7/10)*(E1715/1000),Skills!K7/10)+Skills!N7</f>
        <v/>
      </c>
      <c r="G1715">
        <f>Calc!G7</f>
        <v/>
      </c>
      <c r="H1715">
        <f>Calc!H7</f>
        <v/>
      </c>
      <c r="I1715">
        <f>IF(Skills!T7&lt;&gt;"",1+(Skills!T7/10)*(Z1711/1000)/100,1)</f>
        <v/>
      </c>
      <c r="J1715">
        <f>((Inputs!$B$6*(1+Inputs!$B$7/100))+(((Inputs!$B$12*(1+Inputs!$B$13/100))-(Inputs!$B$12*(1+Inputs!$B$13/100)))+0.25*(Inputs!$B$14-Inputs!$B$14))*(1+Inputs!$B$7/100))*(F1715/100)</f>
        <v/>
      </c>
      <c r="K1715">
        <f>J1715*(1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7="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1726-Calc!F18),(Inputs!$B$23+(IF(ArtifactsInput!$M$15,CHOOSE(ArtifactsInput!$N$15+1,25,30,35,40,45,50)/100*(Inputs!$B$11-Inputs!$B$11),0))))/100+(Inputs!$B$23+(IF(ArtifactsInput!$M$15,CHOOSE(ArtifactsInput!$N$15+1,25,30,35,40,45,50)/100*(Inputs!$B$11-Inputs!$B$11),0)))/100)/2</f>
        <v/>
      </c>
      <c r="M1715">
        <f>L1715*(1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5">
        <f>L1715*(1-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IF(B1744=0,0,O1715/B1744)</f>
        <v/>
      </c>
      <c r="Q1715">
        <f>IFERROR(1/IF(Inputs!$B$38="pvp",15,MAX(0.1,Skills!D7-IF(Skills!E7=TRUE,Inputs!$B$32,0))),0)</f>
        <v/>
      </c>
      <c r="R1715">
        <f>IF(AND(Inputs!$B$38&lt;&gt;"pvp",Inputs!$B$43&gt;0),IF(MAX(0,Inputs!$B$43-B1741)&lt;=0,0,(INT(MAX(0,Inputs!$B$43-B1741)/IF(Inputs!$B$38="pvp",15,MAX(0.1,Skills!D7-IF(Skills!E7=TRUE,Inputs!$B$32,0))))+1)),0)</f>
        <v/>
      </c>
      <c r="S1715">
        <f>IF(C1715,(H1715*N1715*IF(AND(Inputs!$B$38&lt;&gt;"pvp",Inputs!$B$43&gt;0),((Skills!F7*((R1715-1)*IF(Skills!G7&gt;0,Skills!H7/Skills!G7,1)+IF(Skills!G7&gt;0,MIN(Skills!H7,MAX(0,MAX(0,Inputs!$B$43-B1741)-((R1715-1)*IF(Inputs!$B$38="pvp",15,MAX(0.1,Skills!D7-IF(Skills!E7=TRUE,Inputs!$B$32,0))))))/Skills!G7,1)))/Inputs!$B$43),G1715*Q1715))*IF(Inputs!$B$38="pvp",1,1+(Inputs!$B$20+Skills!O7+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7*((R1715-1)*IF(Skills!G7&gt;0,Skills!H7/Skills!G7,1)+IF(Skills!G7&gt;0,MIN(Skills!H7,MAX(0,MAX(0,Inputs!$B$43-B1741)-((R1715-1)*IF(Inputs!$B$38="pvp",15,MAX(0.1,Skills!D7-IF(Skills!E7=TRUE,Inputs!$B$32,0))))))/Skills!G7,1)))/Inputs!$B$43),G1715*Q1715))*IF(Inputs!$B$38="pvp",1,(1+(Inputs!$B$21+Skills!P7+B1735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Skills!A8</f>
        <v/>
      </c>
      <c r="B1716">
        <f>Skills!B8</f>
        <v/>
      </c>
      <c r="C1716">
        <f>Inputs!$B$3&gt;=103</f>
        <v/>
      </c>
      <c r="D1716">
        <f>IF(Skills!C8=1,60+Inputs!$B$25+Inputs!$B$29,IF(Skills!C8=2,90+Inputs!$B$26+Inputs!$B$29,IF(Skills!C8=3,120+Inputs!$B$27+Inputs!$B$29,MAX(0,(Inputs!$B$3-100)*3)+Inputs!$B$28+Inputs!$B$29)))</f>
        <v/>
      </c>
      <c r="E1716">
        <f>INDEX(FactorTable!$B$2:$Y$301, MATCH(ROUND(MIN(300,MAX(1,D1716)),0), FactorTable!$A$2:$A$301,0), Skills!L8+1)</f>
        <v/>
      </c>
      <c r="F1716">
        <f>IF(Skills!M8=TRUE,(Skills!K8/10)*(E1716/1000),Skills!K8/10)+Skills!N8</f>
        <v/>
      </c>
      <c r="G1716">
        <f>Calc!G8</f>
        <v/>
      </c>
      <c r="H1716">
        <f>Calc!H8</f>
        <v/>
      </c>
      <c r="I1716">
        <f>IF(Skills!T8&lt;&gt;"",1+(Skills!T8/10)*(Z1711/1000)/100,1)</f>
        <v/>
      </c>
      <c r="J1716">
        <f>((Inputs!$B$6*(1+Inputs!$B$7/100))+(((Inputs!$B$12*(1+Inputs!$B$13/100))-(Inputs!$B$12*(1+Inputs!$B$13/100)))+0.25*(Inputs!$B$14-Inputs!$B$14))*(1+Inputs!$B$7/100))*(F1716/100)</f>
        <v/>
      </c>
      <c r="K1716">
        <f>J1716*(1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8="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1726-Calc!F18),(Inputs!$B$23+(IF(ArtifactsInput!$M$15,CHOOSE(ArtifactsInput!$N$15+1,25,30,35,40,45,50)/100*(Inputs!$B$11-Inputs!$B$11),0))))/100+(Inputs!$B$23+(IF(ArtifactsInput!$M$15,CHOOSE(ArtifactsInput!$N$15+1,25,30,35,40,45,50)/100*(Inputs!$B$11-Inputs!$B$11),0)))/100)/2</f>
        <v/>
      </c>
      <c r="M1716">
        <f>L1716*(1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6">
        <f>L1716*(1-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IF(B1744=0,0,O1716/B1744)</f>
        <v/>
      </c>
      <c r="Q1716">
        <f>IFERROR(1/IF(Inputs!$B$38="pvp",15,MAX(0.1,Skills!D8-IF(Skills!E8=TRUE,Inputs!$B$32,0))),0)</f>
        <v/>
      </c>
      <c r="R1716">
        <f>IF(AND(Inputs!$B$38&lt;&gt;"pvp",Inputs!$B$43&gt;0),IF(MAX(0,Inputs!$B$43-B1741)&lt;=0,0,(INT(MAX(0,Inputs!$B$43-B1741)/IF(Inputs!$B$38="pvp",15,MAX(0.1,Skills!D8-IF(Skills!E8=TRUE,Inputs!$B$32,0))))+1)),0)</f>
        <v/>
      </c>
      <c r="S1716">
        <f>IF(C1716,(H1716*N1716*IF(AND(Inputs!$B$38&lt;&gt;"pvp",Inputs!$B$43&gt;0),((Skills!F8*((R1716-1)*IF(Skills!G8&gt;0,Skills!H8/Skills!G8,1)+IF(Skills!G8&gt;0,MIN(Skills!H8,MAX(0,MAX(0,Inputs!$B$43-B1741)-((R1716-1)*IF(Inputs!$B$38="pvp",15,MAX(0.1,Skills!D8-IF(Skills!E8=TRUE,Inputs!$B$32,0))))))/Skills!G8,1)))/Inputs!$B$43),G1716*Q1716))*IF(Inputs!$B$38="pvp",1,1+(Inputs!$B$20+Skills!O8+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8*((R1716-1)*IF(Skills!G8&gt;0,Skills!H8/Skills!G8,1)+IF(Skills!G8&gt;0,MIN(Skills!H8,MAX(0,MAX(0,Inputs!$B$43-B1741)-((R1716-1)*IF(Inputs!$B$38="pvp",15,MAX(0.1,Skills!D8-IF(Skills!E8=TRUE,Inputs!$B$32,0))))))/Skills!G8,1)))/Inputs!$B$43),G1716*Q1716))*IF(Inputs!$B$38="pvp",1,(1+(Inputs!$B$21+Skills!P8+B1735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Skills!A9</f>
        <v/>
      </c>
      <c r="B1717">
        <f>Skills!B9</f>
        <v/>
      </c>
      <c r="C1717">
        <f>Inputs!$B$3&gt;=105</f>
        <v/>
      </c>
      <c r="D1717">
        <f>IF(Skills!C9=1,60+Inputs!$B$25+Inputs!$B$29,IF(Skills!C9=2,90+Inputs!$B$26+Inputs!$B$29,IF(Skills!C9=3,120+Inputs!$B$27+Inputs!$B$29,MAX(0,(Inputs!$B$3-100)*3)+Inputs!$B$28+Inputs!$B$29)))</f>
        <v/>
      </c>
      <c r="E1717">
        <f>INDEX(FactorTable!$B$2:$Y$301, MATCH(ROUND(MIN(300,MAX(1,D1717)),0), FactorTable!$A$2:$A$301,0), Skills!L9+1)</f>
        <v/>
      </c>
      <c r="F1717">
        <f>IF(Skills!M9=TRUE,(Skills!K9/10)*(E1717/1000),Skills!K9/10)+Skills!N9</f>
        <v/>
      </c>
      <c r="G1717">
        <f>Calc!G9</f>
        <v/>
      </c>
      <c r="H1717">
        <f>Calc!H9</f>
        <v/>
      </c>
      <c r="I1717">
        <f>IF(Skills!T9&lt;&gt;"",1+(Skills!T9/10)*(Z1711/1000)/100,1)</f>
        <v/>
      </c>
      <c r="J1717">
        <f>((Inputs!$B$6*(1+Inputs!$B$7/100))+(((Inputs!$B$12*(1+Inputs!$B$13/100))-(Inputs!$B$12*(1+Inputs!$B$13/100)))+0.25*(Inputs!$B$14-Inputs!$B$14))*(1+Inputs!$B$7/100))*(F1717/100)</f>
        <v/>
      </c>
      <c r="K1717">
        <f>J1717*(1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9="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1726-Calc!F18),(Inputs!$B$23+(IF(ArtifactsInput!$M$15,CHOOSE(ArtifactsInput!$N$15+1,25,30,35,40,45,50)/100*(Inputs!$B$11-Inputs!$B$11),0))))/100+(Inputs!$B$23+(IF(ArtifactsInput!$M$15,CHOOSE(ArtifactsInput!$N$15+1,25,30,35,40,45,50)/100*(Inputs!$B$11-Inputs!$B$11),0)))/100)/2</f>
        <v/>
      </c>
      <c r="M1717">
        <f>L1717*(1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7">
        <f>L1717*(1-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IF(B1744=0,0,O1717/B1744)</f>
        <v/>
      </c>
      <c r="Q1717">
        <f>IFERROR(1/IF(Inputs!$B$38="pvp",15,MAX(0.1,Skills!D9-IF(Skills!E9=TRUE,Inputs!$B$32,0))),0)</f>
        <v/>
      </c>
      <c r="R1717">
        <f>IF(AND(Inputs!$B$38&lt;&gt;"pvp",Inputs!$B$43&gt;0),IF(MAX(0,Inputs!$B$43-B1741)&lt;=0,0,(INT(MAX(0,Inputs!$B$43-B1741)/IF(Inputs!$B$38="pvp",15,MAX(0.1,Skills!D9-IF(Skills!E9=TRUE,Inputs!$B$32,0))))+1)),0)</f>
        <v/>
      </c>
      <c r="S1717">
        <f>IF(C1717,(H1717*N1717*IF(AND(Inputs!$B$38&lt;&gt;"pvp",Inputs!$B$43&gt;0),((Skills!F9*((R1717-1)*IF(Skills!G9&gt;0,Skills!H9/Skills!G9,1)+IF(Skills!G9&gt;0,MIN(Skills!H9,MAX(0,MAX(0,Inputs!$B$43-B1741)-((R1717-1)*IF(Inputs!$B$38="pvp",15,MAX(0.1,Skills!D9-IF(Skills!E9=TRUE,Inputs!$B$32,0))))))/Skills!G9,1)))/Inputs!$B$43),G1717*Q1717))*IF(Inputs!$B$38="pvp",1,1+(Inputs!$B$20+Skills!O9+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9*((R1717-1)*IF(Skills!G9&gt;0,Skills!H9/Skills!G9,1)+IF(Skills!G9&gt;0,MIN(Skills!H9,MAX(0,MAX(0,Inputs!$B$43-B1741)-((R1717-1)*IF(Inputs!$B$38="pvp",15,MAX(0.1,Skills!D9-IF(Skills!E9=TRUE,Inputs!$B$32,0))))))/Skills!G9,1)))/Inputs!$B$43),G1717*Q1717))*IF(Inputs!$B$38="pvp",1,(1+(Inputs!$B$21+Skills!P9+B1735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Skills!A10</f>
        <v/>
      </c>
      <c r="B1718">
        <f>Skills!B10</f>
        <v/>
      </c>
      <c r="C1718">
        <f>Inputs!$B$3&gt;=113</f>
        <v/>
      </c>
      <c r="D1718">
        <f>IF(Skills!C10=1,60+Inputs!$B$25+Inputs!$B$29,IF(Skills!C10=2,90+Inputs!$B$26+Inputs!$B$29,IF(Skills!C10=3,120+Inputs!$B$27+Inputs!$B$29,MAX(0,(Inputs!$B$3-100)*3)+Inputs!$B$28+Inputs!$B$29)))</f>
        <v/>
      </c>
      <c r="E1718">
        <f>INDEX(FactorTable!$B$2:$Y$301, MATCH(ROUND(MIN(300,MAX(1,D1718)),0), FactorTable!$A$2:$A$301,0), Skills!L10+1)</f>
        <v/>
      </c>
      <c r="F1718">
        <f>IF(Skills!M10=TRUE,(Skills!K10/10)*(E1718/1000),Skills!K10/10)+Skills!N10</f>
        <v/>
      </c>
      <c r="G1718">
        <f>Calc!G10</f>
        <v/>
      </c>
      <c r="H1718">
        <f>Calc!H10</f>
        <v/>
      </c>
      <c r="I1718">
        <f>IF(Skills!T10&lt;&gt;"",1+(Skills!T10/10)*(Z1711/1000)/100,1)</f>
        <v/>
      </c>
      <c r="J1718">
        <f>((Inputs!$B$6*(1+Inputs!$B$7/100))+(((Inputs!$B$12*(1+Inputs!$B$13/100))-(Inputs!$B$12*(1+Inputs!$B$13/100)))+0.25*(Inputs!$B$14-Inputs!$B$14))*(1+Inputs!$B$7/100))*(F1718/100)</f>
        <v/>
      </c>
      <c r="K1718">
        <f>J1718*(1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10="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1726-Calc!F18),(Inputs!$B$23+(IF(ArtifactsInput!$M$15,CHOOSE(ArtifactsInput!$N$15+1,25,30,35,40,45,50)/100*(Inputs!$B$11-Inputs!$B$11),0))))/100+(Inputs!$B$23+(IF(ArtifactsInput!$M$15,CHOOSE(ArtifactsInput!$N$15+1,25,30,35,40,45,50)/100*(Inputs!$B$11-Inputs!$B$11),0)))/100)/2</f>
        <v/>
      </c>
      <c r="M1718">
        <f>L1718*(1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8">
        <f>L1718*(1-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IF(B1744=0,0,O1718/B1744)</f>
        <v/>
      </c>
      <c r="Q1718">
        <f>IFERROR(1/IF(Inputs!$B$38="pvp",15,MAX(0.1,Skills!D10-IF(Skills!E9=TRUE,Inputs!$B$32,0))),0)</f>
        <v/>
      </c>
      <c r="R1718">
        <f>IF(AND(Inputs!$B$38&lt;&gt;"pvp",Inputs!$B$43&gt;0),IF(MAX(0,Inputs!$B$43-B1741)&lt;=0,0,(INT(MAX(0,Inputs!$B$43-B1741)/IF(Inputs!$B$38="pvp",15,MAX(0.1,Skills!D10-IF(Skills!E9=TRUE,Inputs!$B$32,0))))+1)),0)</f>
        <v/>
      </c>
      <c r="S1718">
        <f>IF(C1718,(H1718*N1718*IF(AND(Inputs!$B$38&lt;&gt;"pvp",Inputs!$B$43&gt;0),((Skills!F10*((R1718-1)*IF(Skills!G10&gt;0,Skills!H10/Skills!G10,1)+IF(Skills!G10&gt;0,MIN(Skills!H10,MAX(0,MAX(0,Inputs!$B$43-B1741)-((R1718-1)*IF(Inputs!$B$38="pvp",15,MAX(0.1,Skills!D10-IF(Skills!E9=TRUE,Inputs!$B$32,0))))))/Skills!G10,1)))/Inputs!$B$43),G1718*Q1718))*IF(Inputs!$B$38="pvp",1,1+(Inputs!$B$20+Skills!O10+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10*((R1718-1)*IF(Skills!G10&gt;0,Skills!H10/Skills!G10,1)+IF(Skills!G10&gt;0,MIN(Skills!H10,MAX(0,MAX(0,Inputs!$B$43-B1741)-((R1718-1)*IF(Inputs!$B$38="pvp",15,MAX(0.1,Skills!D10-IF(Skills!E9=TRUE,Inputs!$B$32,0))))))/Skills!G10,1)))/Inputs!$B$43),G1718*Q1718))*IF(Inputs!$B$38="pvp",1,(1+(Inputs!$B$21+Skills!P10+B1735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Skills!A11</f>
        <v/>
      </c>
      <c r="B1719">
        <f>Skills!B11</f>
        <v/>
      </c>
      <c r="C1719">
        <f>Inputs!$B$3&gt;=107</f>
        <v/>
      </c>
      <c r="D1719">
        <f>IF(Skills!C11=1,60+Inputs!$B$25+Inputs!$B$29,IF(Skills!C11=2,90+Inputs!$B$26+Inputs!$B$29,IF(Skills!C11=3,120+Inputs!$B$27+Inputs!$B$29,MAX(0,(Inputs!$B$3-100)*3)+Inputs!$B$28+Inputs!$B$29)))</f>
        <v/>
      </c>
      <c r="E1719">
        <f>INDEX(FactorTable!$B$2:$Y$301, MATCH(ROUND(MIN(300,MAX(1,D1719)),0), FactorTable!$A$2:$A$301,0), Skills!L11+1)</f>
        <v/>
      </c>
      <c r="F1719">
        <f>IF(Skills!M11=TRUE,(Skills!K11/10)*(E1719/1000),Skills!K11/10)+Skills!N11</f>
        <v/>
      </c>
      <c r="G1719">
        <f>Calc!G11</f>
        <v/>
      </c>
      <c r="H1719">
        <f>Calc!H11</f>
        <v/>
      </c>
      <c r="I1719">
        <f>IF(Skills!T11&lt;&gt;"",1+(Skills!T11/10)*(Z1711/1000)/100,1)</f>
        <v/>
      </c>
      <c r="J1719">
        <f>((Inputs!$B$6*(1+Inputs!$B$7/100))+(((Inputs!$B$12*(1+Inputs!$B$13/100))-(Inputs!$B$12*(1+Inputs!$B$13/100)))+0.25*(Inputs!$B$14-Inputs!$B$14))*(1+Inputs!$B$7/100))*(F1719/100)</f>
        <v/>
      </c>
      <c r="K1719">
        <f>J1719*(1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11="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1726-Calc!F18),(Inputs!$B$23+(IF(ArtifactsInput!$M$15,CHOOSE(ArtifactsInput!$N$15+1,25,30,35,40,45,50)/100*(Inputs!$B$11-Inputs!$B$11),0))))/100+(Inputs!$B$23+(IF(ArtifactsInput!$M$15,CHOOSE(ArtifactsInput!$N$15+1,25,30,35,40,45,50)/100*(Inputs!$B$11-Inputs!$B$11),0)))/100)/2</f>
        <v/>
      </c>
      <c r="M1719">
        <f>L1719*(1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9">
        <f>L1719*(1-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IF(B1744=0,0,O1719/B1744)</f>
        <v/>
      </c>
      <c r="Q1719">
        <f>IFERROR(1/IF(Inputs!$B$38="pvp",15,MAX(0.1,Skills!D11-IF(Skills!E11=TRUE,Inputs!$B$32,0))),0)</f>
        <v/>
      </c>
      <c r="R1719">
        <f>IF(AND(Inputs!$B$38&lt;&gt;"pvp",Inputs!$B$43&gt;0),IF(MAX(0,Inputs!$B$43-B1741)&lt;=0,0,(INT(MAX(0,Inputs!$B$43-B1741)/IF(Inputs!$B$38="pvp",15,MAX(0.1,Skills!D11-IF(Skills!E11=TRUE,Inputs!$B$32,0))))+1)),0)</f>
        <v/>
      </c>
      <c r="S1719">
        <f>IF(C1719,H1719*N1719*IF(AND(Inputs!$B$38&lt;&gt;"pvp",Inputs!$B$43&gt;0),((Skills!F11*((R1719-1)*IF(Skills!G11&gt;0,Skills!H11/Skills!G11,1)+IF(Skills!G11&gt;0,MIN(Skills!H11,MAX(0,MAX(0,Inputs!$B$43-B1741)-((R1719-1)*IF(Inputs!$B$38="pvp",15,MAX(0.1,Skills!D11-IF(Skills!E11=TRUE,Inputs!$B$32,0))))))/Skills!G11,1)))/Inputs!$B$43),G1719*Q1719)*0.5*IF(Inputs!$B$38="pvp",1,1+(Inputs!$B$20+Skills!O11+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11*((R1719-1)*IF(Skills!G11&gt;0,Skills!H11/Skills!G11,1)+IF(Skills!G11&gt;0,MIN(Skills!H11,MAX(0,MAX(0,Inputs!$B$43-B1741)-((R1719-1)*IF(Inputs!$B$38="pvp",15,MAX(0.1,Skills!D11-IF(Skills!E11=TRUE,Inputs!$B$32,0))))))/Skills!G11,1)))/Inputs!$B$43),G1719*Q1719)*1*IF(Inputs!$B$38="pvp",1,(1+(Inputs!$B$21+Skills!P11+B1735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Skills!A12</f>
        <v/>
      </c>
      <c r="B1720">
        <f>Skills!B12</f>
        <v/>
      </c>
      <c r="C1720">
        <f>Inputs!$B$3&gt;=115</f>
        <v/>
      </c>
      <c r="D1720">
        <f>IF(Skills!C12=1,60+Inputs!$B$25+Inputs!$B$29,IF(Skills!C12=2,90+Inputs!$B$26+Inputs!$B$29,IF(Skills!C12=3,120+Inputs!$B$27+Inputs!$B$29,MAX(0,(Inputs!$B$3-100)*3)+Inputs!$B$28+Inputs!$B$29)))</f>
        <v/>
      </c>
      <c r="E1720">
        <f>INDEX(FactorTable!$B$2:$Y$301, MATCH(ROUND(MIN(300,MAX(1,D1720)),0), FactorTable!$A$2:$A$301,0), Skills!L12+1)</f>
        <v/>
      </c>
      <c r="F1720">
        <f>IF(Skills!M12=TRUE,(Skills!K12/10)*(E1720/1000),Skills!K12/10)+Skills!N12</f>
        <v/>
      </c>
      <c r="G1720">
        <f>Calc!G12</f>
        <v/>
      </c>
      <c r="H1720">
        <f>Calc!H12</f>
        <v/>
      </c>
      <c r="I1720">
        <f>IF(Skills!T12&lt;&gt;"",1+(Skills!T12/10)*(Z1711/1000)/100,1)</f>
        <v/>
      </c>
      <c r="J1720">
        <f>((Inputs!$B$6*(1+Inputs!$B$7/100))+(((Inputs!$B$12*(1+Inputs!$B$13/100))-(Inputs!$B$12*(1+Inputs!$B$13/100)))+0.25*(Inputs!$B$14-Inputs!$B$14))*(1+Inputs!$B$7/100))*(F1720/100)</f>
        <v/>
      </c>
      <c r="K1720">
        <f>J1720*(1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12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1726-Calc!F18),(Inputs!$B$23+(IF(ArtifactsInput!$M$15,CHOOSE(ArtifactsInput!$N$15+1,25,30,35,40,45,50)/100*(Inputs!$B$11-Inputs!$B$11),0))))/100+(Inputs!$B$23+(IF(ArtifactsInput!$M$15,CHOOSE(ArtifactsInput!$N$15+1,25,30,35,40,45,50)/100*(Inputs!$B$11-Inputs!$B$11),0)))/100)/2</f>
        <v/>
      </c>
      <c r="M1720">
        <f>L1720*(1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20">
        <f>L1720*(1-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IF(B1744=0,0,O1720/B1744)</f>
        <v/>
      </c>
      <c r="Q1720">
        <f>IFERROR(1/IF(Inputs!$B$38="pvp",15,MAX(0.1,Skills!D12-IF(Skills!E12=TRUE,Inputs!$B$32,0))),0)</f>
        <v/>
      </c>
      <c r="R1720">
        <f>IF(AND(Inputs!$B$38&lt;&gt;"pvp",Inputs!$B$43&gt;0),IF(MAX(0,Inputs!$B$43-B1741)&lt;=0,0,(INT(MAX(0,Inputs!$B$43-B1741)/IF(Inputs!$B$38="pvp",15,MAX(0.1,Skills!D12-IF(Skills!E12=TRUE,Inputs!$B$32,0))))+1)),0)</f>
        <v/>
      </c>
      <c r="S1720">
        <f>IF(C1720,(H1720*N1720*IF(AND(Inputs!$B$38&lt;&gt;"pvp",Inputs!$B$43&gt;0),((Skills!F12*((R1720-1)*IF(Skills!G12&gt;0,Skills!H12/Skills!G12,1)+IF(Skills!G12&gt;0,MIN(Skills!H12,MAX(0,MAX(0,Inputs!$B$43-B1741)-((R1720-1)*IF(Inputs!$B$38="pvp",15,MAX(0.1,Skills!D12-IF(Skills!E12=TRUE,Inputs!$B$32,0))))))/Skills!G12,1)))/Inputs!$B$43),G1720*Q1720))*IF(Inputs!$B$38="pvp",1,1+(Inputs!$B$20+Skills!O12+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N1720*IF(AND(Inputs!$B$38&lt;&gt;"pvp",Inputs!$B$43&gt;0),((Skills!F12*((R1720-1)*IF(Skills!G12&gt;0,Skills!H12/Skills!G12,1)+IF(Skills!G12&gt;0,MIN(Skills!H12,MAX(0,MAX(0,Inputs!$B$43-B1741)-((R1720-1)*IF(Inputs!$B$38="pvp",15,MAX(0.1,Skills!D12-IF(Skills!E12=TRUE,Inputs!$B$32,0))))))/Skills!G12,1)))/Inputs!$B$43),G1720*Q1720))*IF(Inputs!$B$38="pvp",1,(1+(Inputs!$B$21+Skills!P12+B1735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Skills!A13</f>
        <v/>
      </c>
      <c r="B1721">
        <f>Skills!B13</f>
        <v/>
      </c>
      <c r="C1721">
        <f>Inputs!$B$3&gt;=49</f>
        <v/>
      </c>
      <c r="D1721">
        <f>IF(Skills!C13=1,60+Inputs!$B$25+Inputs!$B$29,IF(Skills!C13=2,90+Inputs!$B$26+Inputs!$B$29,IF(Skills!C13=3,120+Inputs!$B$27+Inputs!$B$29,MAX(0,(Inputs!$B$3-100)*3)+Inputs!$B$28+Inputs!$B$29)))</f>
        <v/>
      </c>
      <c r="E1721">
        <f>INDEX(FactorTable!$B$2:$Y$301, MATCH(ROUND(MIN(300,MAX(1,D1721)),0), FactorTable!$A$2:$A$301,0), Skills!L13+1)</f>
        <v/>
      </c>
      <c r="F1721">
        <f>IF(Skills!M13=TRUE,(Skills!K13/10)*(E1721/1000),Skills!K13/10)+Skills!N13</f>
        <v/>
      </c>
      <c r="G1721">
        <f>Calc!G13</f>
        <v/>
      </c>
      <c r="H1721">
        <f>Calc!H13</f>
        <v/>
      </c>
      <c r="I1721">
        <f>IF(Skills!T13&lt;&gt;"",1+(Skills!T13/10)*(Z1711/1000)/100,1)</f>
        <v/>
      </c>
      <c r="J1721" t="inlineStr"/>
      <c r="K1721" t="inlineStr"/>
      <c r="L1721" t="inlineStr"/>
      <c r="M1721" t="inlineStr"/>
      <c r="N1721" t="inlineStr"/>
      <c r="O1721">
        <f>(1-Summary!$B$11)*S1721+Summary!$B$11*U1721</f>
        <v/>
      </c>
      <c r="P1721">
        <f>IF(B1744=0,0,O1721/B1744)</f>
        <v/>
      </c>
      <c r="Q1721">
        <f>IFERROR(1/IF(Inputs!$B$38="pvp",15,MAX(0.1,Skills!D13-IF(Skills!E13=TRUE,Inputs!$B$32,0))),0)</f>
        <v/>
      </c>
      <c r="R1721" t="n">
        <v>0</v>
      </c>
      <c r="S1721" t="n">
        <v>0</v>
      </c>
      <c r="U1721" t="n">
        <v>0</v>
      </c>
    </row>
    <row r="1722">
      <c r="A1722">
        <f>Skills!A14</f>
        <v/>
      </c>
      <c r="B1722">
        <f>Skills!B14</f>
        <v/>
      </c>
      <c r="C1722">
        <f>Inputs!$B$3&gt;=72</f>
        <v/>
      </c>
      <c r="D1722">
        <f>IF(Skills!C14=1,60+Inputs!$B$25+Inputs!$B$29,IF(Skills!C14=2,90+Inputs!$B$26+Inputs!$B$29,IF(Skills!C14=3,120+Inputs!$B$27+Inputs!$B$29,MAX(0,(Inputs!$B$3-100)*3)+Inputs!$B$28+Inputs!$B$29)))</f>
        <v/>
      </c>
      <c r="E1722">
        <f>INDEX(FactorTable!$B$2:$Y$301, MATCH(ROUND(MIN(300,MAX(1,D1722)),0), FactorTable!$A$2:$A$301,0), Skills!L14+1)</f>
        <v/>
      </c>
      <c r="F1722">
        <f>IF(Skills!M14=TRUE,(Skills!K14/10)*(E1722/1000),Skills!K14/10)+Skills!N14</f>
        <v/>
      </c>
      <c r="G1722">
        <f>Calc!G14</f>
        <v/>
      </c>
      <c r="H1722">
        <f>Calc!H14</f>
        <v/>
      </c>
      <c r="I1722">
        <f>IF(Skills!T14&lt;&gt;"",1+(Skills!T14/10)*(Z1711/1000)/100,1)</f>
        <v/>
      </c>
      <c r="J1722" t="inlineStr"/>
      <c r="K1722" t="inlineStr"/>
      <c r="L1722" t="inlineStr"/>
      <c r="M1722" t="inlineStr"/>
      <c r="N1722" t="inlineStr"/>
      <c r="O1722">
        <f>(1-Summary!$B$11)*S1722+Summary!$B$11*U1722</f>
        <v/>
      </c>
      <c r="P1722">
        <f>IF(B1744=0,0,O1722/B1744)</f>
        <v/>
      </c>
      <c r="Q1722">
        <f>IFERROR(1/IF(Inputs!$B$38="pvp",15,MAX(0.1,Skills!D14-IF(Skills!E14=TRUE,Inputs!$B$32,0))),0)</f>
        <v/>
      </c>
      <c r="R1722" t="n">
        <v>0</v>
      </c>
      <c r="S1722" t="n">
        <v>0</v>
      </c>
      <c r="U1722" t="n">
        <v>0</v>
      </c>
    </row>
    <row r="1723">
      <c r="A1723">
        <f>Skills!A15</f>
        <v/>
      </c>
      <c r="B1723">
        <f>Skills!B15</f>
        <v/>
      </c>
      <c r="C1723">
        <f>Inputs!$B$3&gt;=75</f>
        <v/>
      </c>
      <c r="D1723">
        <f>IF(Skills!C15=1,60+Inputs!$B$25+Inputs!$B$29,IF(Skills!C15=2,90+Inputs!$B$26+Inputs!$B$29,IF(Skills!C15=3,120+Inputs!$B$27+Inputs!$B$29,MAX(0,(Inputs!$B$3-100)*3)+Inputs!$B$28+Inputs!$B$29)))</f>
        <v/>
      </c>
      <c r="E1723">
        <f>INDEX(FactorTable!$B$2:$Y$301, MATCH(ROUND(MIN(300,MAX(1,D1723)),0), FactorTable!$A$2:$A$301,0), Skills!L15+1)</f>
        <v/>
      </c>
      <c r="F1723">
        <f>IF(Skills!M15=TRUE,(Skills!K15/10)*(E1723/1000),Skills!K15/10)+Skills!N15</f>
        <v/>
      </c>
      <c r="G1723">
        <f>Calc!G15</f>
        <v/>
      </c>
      <c r="H1723">
        <f>Calc!H15</f>
        <v/>
      </c>
      <c r="I1723">
        <f>IF(Skills!T15&lt;&gt;"",1+(Skills!T15/10)*(Z1711/1000)/100,1)</f>
        <v/>
      </c>
      <c r="J1723" t="inlineStr"/>
      <c r="K1723" t="inlineStr"/>
      <c r="L1723" t="inlineStr"/>
      <c r="M1723" t="inlineStr"/>
      <c r="N1723" t="inlineStr"/>
      <c r="O1723">
        <f>(1-Summary!$B$11)*S1723+Summary!$B$11*U1723</f>
        <v/>
      </c>
      <c r="P1723">
        <f>IF(B1744=0,0,O1723/B1744)</f>
        <v/>
      </c>
      <c r="Q1723">
        <f>IFERROR(1/IF(Inputs!$B$38="pvp",15,MAX(0.1,Skills!D15-IF(Skills!E15=TRUE,Inputs!$B$32,0))),0)</f>
        <v/>
      </c>
      <c r="R1723" t="n">
        <v>0</v>
      </c>
      <c r="S1723" t="n">
        <v>0</v>
      </c>
      <c r="U1723" t="n">
        <v>0</v>
      </c>
    </row>
    <row r="1724">
      <c r="A1724">
        <f>Skills!A16</f>
        <v/>
      </c>
      <c r="B1724">
        <f>Skills!B16</f>
        <v/>
      </c>
      <c r="C1724">
        <f>Inputs!$B$3&gt;=110</f>
        <v/>
      </c>
      <c r="D1724">
        <f>IF(Skills!C16=1,60+Inputs!$B$25+Inputs!$B$29,IF(Skills!C16=2,90+Inputs!$B$26+Inputs!$B$29,IF(Skills!C16=3,120+Inputs!$B$27+Inputs!$B$29,MAX(0,(Inputs!$B$3-100)*3)+Inputs!$B$28+Inputs!$B$29)))</f>
        <v/>
      </c>
      <c r="E1724">
        <f>INDEX(FactorTable!$B$2:$Y$301, MATCH(ROUND(MIN(300,MAX(1,D1724)),0), FactorTable!$A$2:$A$301,0), Skills!L16+1)</f>
        <v/>
      </c>
      <c r="F1724">
        <f>(Skills!K16/10)*(E1724/1000)*64/45+Skills!N16</f>
        <v/>
      </c>
      <c r="G1724">
        <f>Calc!G16</f>
        <v/>
      </c>
      <c r="H1724">
        <f>Calc!H16</f>
        <v/>
      </c>
      <c r="I1724">
        <f>IF(Skills!T16&lt;&gt;"",1+(Skills!T16/10)*(Z1711/1000)/100,1)</f>
        <v/>
      </c>
      <c r="J1724" t="inlineStr"/>
      <c r="K1724" t="inlineStr"/>
      <c r="L1724" t="inlineStr"/>
      <c r="M1724" t="inlineStr"/>
      <c r="N1724" t="inlineStr"/>
      <c r="O1724">
        <f>(1-Summary!$B$11)*S1724+Summary!$B$11*U1724</f>
        <v/>
      </c>
      <c r="P1724">
        <f>IF(B1744=0,0,O1724/B1744)</f>
        <v/>
      </c>
      <c r="Q1724">
        <f>IFERROR(1/IF(Inputs!$B$38="pvp",15,MAX(0.1,Skills!D16-IF(Skills!E16=TRUE,Inputs!$B$32,0))),0)</f>
        <v/>
      </c>
      <c r="R1724">
        <f>IF(AND(Inputs!$B$38&lt;&gt;"pvp",Inputs!$B$43&gt;0),IF(Inputs!$B$43&lt;=0,0,(INT(Inputs!$B$43/IF(Inputs!$B$38="pvp",15,MAX(0.1,Skills!D16-IF(Skills!E16=TRUE,Inputs!$B$32,0))))+1)),0)</f>
        <v/>
      </c>
      <c r="S1724" t="n">
        <v>0</v>
      </c>
      <c r="U1724" t="n">
        <v>0</v>
      </c>
    </row>
    <row r="1725">
      <c r="A1725">
        <f>Skills!A17</f>
        <v/>
      </c>
      <c r="B1725">
        <f>Skills!B17</f>
        <v/>
      </c>
      <c r="C1725">
        <f>Inputs!$B$3&gt;=33</f>
        <v/>
      </c>
      <c r="D1725">
        <f>IF(Skills!C17=1,60+Inputs!$B$25+Inputs!$B$29,IF(Skills!C17=2,90+Inputs!$B$26+Inputs!$B$29,IF(Skills!C17=3,120+Inputs!$B$27+Inputs!$B$29,MAX(0,(Inputs!$B$3-100)*3)+Inputs!$B$28+Inputs!$B$29)))</f>
        <v/>
      </c>
      <c r="E1725">
        <f>INDEX(FactorTable!$B$2:$Y$301, MATCH(ROUND(MIN(300,MAX(1,D1725)),0), FactorTable!$A$2:$A$301,0), Skills!L17+1)</f>
        <v/>
      </c>
      <c r="F1725">
        <f>IF(Skills!M17=TRUE,(Skills!K17/10)*(E1725/1000),Skills!K17/10)+Skills!N17</f>
        <v/>
      </c>
      <c r="G1725">
        <f>Calc!G17</f>
        <v/>
      </c>
      <c r="H1725">
        <f>Calc!H17</f>
        <v/>
      </c>
      <c r="I1725">
        <f>IF(Skills!T17&lt;&gt;"",1+(Skills!T17/10)*(Z1711/1000)/100,1)</f>
        <v/>
      </c>
      <c r="J1725" t="inlineStr"/>
      <c r="K1725" t="inlineStr"/>
      <c r="L1725" t="inlineStr"/>
      <c r="M1725" t="inlineStr"/>
      <c r="N1725" t="inlineStr"/>
      <c r="O1725">
        <f>(1-Summary!$B$11)*S1725+Summary!$B$11*U1725</f>
        <v/>
      </c>
      <c r="P1725">
        <f>IF(B1744=0,0,O1725/B1744)</f>
        <v/>
      </c>
      <c r="Q1725">
        <f>IFERROR(1/IF(Inputs!$B$38="pvp",15,MAX(0.1,Skills!D17-IF(Skills!E17=TRUE,Inputs!$B$32,0))),0)</f>
        <v/>
      </c>
      <c r="R1725" t="n">
        <v>0</v>
      </c>
      <c r="S1725" t="n">
        <v>0</v>
      </c>
      <c r="U1725" t="n">
        <v>0</v>
      </c>
    </row>
    <row r="1726">
      <c r="A1726">
        <f>Skills!A18</f>
        <v/>
      </c>
      <c r="B1726">
        <f>Skills!B18</f>
        <v/>
      </c>
      <c r="C1726">
        <f>Inputs!$B$3&gt;=43</f>
        <v/>
      </c>
      <c r="D1726">
        <f>IF(Skills!C18=1,60+Inputs!$B$25+Inputs!$B$29,IF(Skills!C18=2,90+Inputs!$B$26+Inputs!$B$29,IF(Skills!C18=3,120+Inputs!$B$27+Inputs!$B$29,MAX(0,(Inputs!$B$3-100)*3)+Inputs!$B$28+Inputs!$B$29)))</f>
        <v/>
      </c>
      <c r="E1726">
        <f>INDEX(FactorTable!$B$2:$Y$301, MATCH(ROUND(MIN(300,MAX(1,D1726)),0), FactorTable!$A$2:$A$301,0), Skills!L18+1)</f>
        <v/>
      </c>
      <c r="F1726">
        <f>IF(Skills!M18=TRUE,(Skills!K18/10)*(E1726/1000),Skills!K18/10)+Skills!N18</f>
        <v/>
      </c>
      <c r="G1726">
        <f>Calc!G18</f>
        <v/>
      </c>
      <c r="H1726">
        <f>Calc!H18</f>
        <v/>
      </c>
      <c r="I1726">
        <f>IF(Skills!T18&lt;&gt;"",1+(Skills!T18/10)*(Z1711/1000)/100,1)</f>
        <v/>
      </c>
      <c r="J1726" t="inlineStr"/>
      <c r="K1726" t="inlineStr"/>
      <c r="L1726" t="inlineStr"/>
      <c r="M1726" t="inlineStr"/>
      <c r="N1726" t="inlineStr"/>
      <c r="O1726">
        <f>(1-Summary!$B$11)*S1726+Summary!$B$11*U1726</f>
        <v/>
      </c>
      <c r="P1726">
        <f>IF(B1744=0,0,O1726/B1744)</f>
        <v/>
      </c>
      <c r="Q1726">
        <f>IFERROR(1/IF(Inputs!$B$38="pvp",15,MAX(0.1,Skills!D18-IF(Skills!E18=TRUE,Inputs!$B$32,0))),0)</f>
        <v/>
      </c>
      <c r="R1726" t="n">
        <v>0</v>
      </c>
      <c r="S1726" t="n">
        <v>0</v>
      </c>
      <c r="U1726" t="n">
        <v>0</v>
      </c>
    </row>
    <row r="1727">
      <c r="A1727">
        <f>Skills!A19</f>
        <v/>
      </c>
      <c r="B1727">
        <f>Skills!B19</f>
        <v/>
      </c>
      <c r="C1727">
        <f>Inputs!$B$3&gt;=50</f>
        <v/>
      </c>
      <c r="D1727">
        <f>IF(Skills!C19=1,60+Inputs!$B$25+Inputs!$B$29,IF(Skills!C19=2,90+Inputs!$B$26+Inputs!$B$29,IF(Skills!C19=3,120+Inputs!$B$27+Inputs!$B$29,MAX(0,(Inputs!$B$3-100)*3)+Inputs!$B$28+Inputs!$B$29)))</f>
        <v/>
      </c>
      <c r="E1727">
        <f>INDEX(FactorTable!$B$2:$Y$301, MATCH(ROUND(MIN(300,MAX(1,D1727)),0), FactorTable!$A$2:$A$301,0), Skills!L19+1)</f>
        <v/>
      </c>
      <c r="F1727">
        <f>IF(Skills!M19=TRUE,(Skills!K19/10)*(E1727/1000),Skills!K19/10)+Skills!N19</f>
        <v/>
      </c>
      <c r="G1727">
        <f>Calc!G19</f>
        <v/>
      </c>
      <c r="H1727">
        <f>Calc!H19</f>
        <v/>
      </c>
      <c r="I1727">
        <f>IF(Skills!T19&lt;&gt;"",1+(Skills!T19/10)*(Z1711/1000)/100,1)</f>
        <v/>
      </c>
      <c r="J1727" t="inlineStr"/>
      <c r="K1727" t="inlineStr"/>
      <c r="L1727" t="inlineStr"/>
      <c r="M1727" t="inlineStr"/>
      <c r="N1727" t="inlineStr"/>
      <c r="O1727">
        <f>(1-Summary!$B$11)*S1727+Summary!$B$11*U1727</f>
        <v/>
      </c>
      <c r="P1727">
        <f>IF(B1744=0,0,O1727/B1744)</f>
        <v/>
      </c>
      <c r="Q1727">
        <f>IFERROR(1/IF(Inputs!$B$38="pvp",15,MAX(0.1,Skills!D19-IF(Skills!E19=TRUE,Inputs!$B$32,0))),0)</f>
        <v/>
      </c>
      <c r="R1727" t="n">
        <v>0</v>
      </c>
      <c r="S1727" t="n">
        <v>0</v>
      </c>
      <c r="U1727" t="n">
        <v>0</v>
      </c>
    </row>
    <row r="1728">
      <c r="A1728">
        <f>Skills!A20</f>
        <v/>
      </c>
      <c r="B1728">
        <f>Skills!B20</f>
        <v/>
      </c>
      <c r="C1728">
        <f>Inputs!$B$3&gt;=74</f>
        <v/>
      </c>
      <c r="D1728">
        <f>IF(Skills!C20=1,60+Inputs!$B$25+Inputs!$B$29,IF(Skills!C20=2,90+Inputs!$B$26+Inputs!$B$29,IF(Skills!C20=3,120+Inputs!$B$27+Inputs!$B$29,MAX(0,(Inputs!$B$3-100)*3)+Inputs!$B$28+Inputs!$B$29)))</f>
        <v/>
      </c>
      <c r="E1728">
        <f>INDEX(FactorTable!$B$2:$Y$301, MATCH(ROUND(MIN(300,MAX(1,D1728)),0), FactorTable!$A$2:$A$301,0), Skills!L20+1)</f>
        <v/>
      </c>
      <c r="F1728">
        <f>IF(Skills!M20=TRUE,(Skills!K20/10)*(E1728/1000),Skills!K20/10)+Skills!N20</f>
        <v/>
      </c>
      <c r="G1728">
        <f>Calc!G20</f>
        <v/>
      </c>
      <c r="H1728">
        <f>Calc!H20</f>
        <v/>
      </c>
      <c r="I1728">
        <f>IF(Skills!T20&lt;&gt;"",1+(Skills!T20/10)*(Z1711/1000)/100,1)</f>
        <v/>
      </c>
      <c r="J1728" t="inlineStr"/>
      <c r="K1728" t="inlineStr"/>
      <c r="L1728" t="inlineStr"/>
      <c r="M1728" t="inlineStr"/>
      <c r="N1728" t="inlineStr"/>
      <c r="O1728">
        <f>(1-Summary!$B$11)*S1728+Summary!$B$11*U1728</f>
        <v/>
      </c>
      <c r="P1728">
        <f>IF(B1744=0,0,O1728/B1744)</f>
        <v/>
      </c>
      <c r="Q1728">
        <f>IFERROR(1/IF(Inputs!$B$38="pvp",15,MAX(0.1,Skills!D20-IF(Skills!E20=TRUE,Inputs!$B$32,0))),0)</f>
        <v/>
      </c>
      <c r="R1728" t="n">
        <v>0</v>
      </c>
      <c r="S1728" t="n">
        <v>0</v>
      </c>
      <c r="U1728" t="n">
        <v>0</v>
      </c>
    </row>
    <row r="1729">
      <c r="A1729">
        <f>Skills!A21</f>
        <v/>
      </c>
      <c r="B1729">
        <f>Skills!B21</f>
        <v/>
      </c>
      <c r="C1729">
        <f>Inputs!$B$3&gt;=74</f>
        <v/>
      </c>
      <c r="D1729">
        <f>IF(Skills!C21=1,60+Inputs!$B$25+Inputs!$B$29,IF(Skills!C21=2,90+Inputs!$B$26+Inputs!$B$29,IF(Skills!C21=3,120+Inputs!$B$27+Inputs!$B$29,MAX(0,(Inputs!$B$3-100)*3)+Inputs!$B$28+Inputs!$B$29)))</f>
        <v/>
      </c>
      <c r="E1729">
        <f>INDEX(FactorTable!$B$2:$Y$301, MATCH(ROUND(MIN(300,MAX(1,D1729)),0), FactorTable!$A$2:$A$301,0), Skills!L21+1)</f>
        <v/>
      </c>
      <c r="F1729">
        <f>IF(Skills!M21=TRUE,(Skills!K21/10)*(E1729/1000),Skills!K21/10)+Skills!N21</f>
        <v/>
      </c>
      <c r="G1729">
        <f>Calc!G21</f>
        <v/>
      </c>
      <c r="H1729">
        <f>Calc!H21</f>
        <v/>
      </c>
      <c r="I1729">
        <f>IF(Skills!T21&lt;&gt;"",1+(Skills!T21/10)*(Z1711/1000)/100,1)</f>
        <v/>
      </c>
      <c r="J1729" t="inlineStr"/>
      <c r="K1729" t="inlineStr"/>
      <c r="L1729" t="inlineStr"/>
      <c r="M1729" t="inlineStr"/>
      <c r="N1729" t="inlineStr"/>
      <c r="O1729">
        <f>(1-Summary!$B$11)*S1729+Summary!$B$11*U1729</f>
        <v/>
      </c>
      <c r="P1729">
        <f>IF(B1744=0,0,O1729/B1744)</f>
        <v/>
      </c>
      <c r="Q1729">
        <f>IFERROR(1/IF(Inputs!$B$38="pvp",15,MAX(0.1,Skills!D21-IF(Skills!E21=TRUE,Inputs!$B$32,0))),0)</f>
        <v/>
      </c>
      <c r="R1729" t="n">
        <v>0</v>
      </c>
      <c r="S1729" t="n">
        <v>0</v>
      </c>
      <c r="U1729" t="n">
        <v>0</v>
      </c>
    </row>
    <row r="1730">
      <c r="A1730">
        <f>Skills!A22</f>
        <v/>
      </c>
      <c r="B1730">
        <f>Skills!B22</f>
        <v/>
      </c>
      <c r="C1730">
        <f>Inputs!$B$3&gt;=117</f>
        <v/>
      </c>
      <c r="D1730">
        <f>IF(Skills!C22=1,60+Inputs!$B$25+Inputs!$B$29,IF(Skills!C22=2,90+Inputs!$B$26+Inputs!$B$29,IF(Skills!C22=3,120+Inputs!$B$27+Inputs!$B$29,MAX(0,(Inputs!$B$3-100)*3)+Inputs!$B$28+Inputs!$B$29)))</f>
        <v/>
      </c>
      <c r="E1730">
        <f>INDEX(FactorTable!$B$2:$Y$301, MATCH(ROUND(MIN(300,MAX(1,D1730)),0), FactorTable!$A$2:$A$301,0), Skills!L22+1)</f>
        <v/>
      </c>
      <c r="F1730">
        <f>IF(Skills!M22=TRUE,(Skills!K22/10)*(E1730/1000),Skills!K22/10)+Skills!N22</f>
        <v/>
      </c>
      <c r="G1730">
        <f>Calc!G22</f>
        <v/>
      </c>
      <c r="H1730">
        <f>Calc!H22</f>
        <v/>
      </c>
      <c r="I1730">
        <f>IF(Skills!T22&lt;&gt;"",1+(Skills!T22/10)*(Z1711/1000)/100,1)</f>
        <v/>
      </c>
      <c r="J1730" t="inlineStr"/>
      <c r="K1730" t="inlineStr"/>
      <c r="L1730" t="inlineStr"/>
      <c r="M1730" t="inlineStr"/>
      <c r="N1730" t="inlineStr"/>
      <c r="O1730">
        <f>(1-Summary!$B$11)*S1730+Summary!$B$11*U1730</f>
        <v/>
      </c>
      <c r="P1730">
        <f>IF(B1744=0,0,O1730/B1744)</f>
        <v/>
      </c>
      <c r="Q1730">
        <f>IFERROR(1/IF(Inputs!$B$38="pvp",15,MAX(0.1,Skills!D22-IF(Skills!E22=TRUE,Inputs!$B$32,0))),0)</f>
        <v/>
      </c>
      <c r="R1730" t="n">
        <v>0</v>
      </c>
      <c r="S1730" t="n">
        <v>0</v>
      </c>
      <c r="U1730" t="n">
        <v>0</v>
      </c>
    </row>
    <row r="1731">
      <c r="A1731">
        <f>Skills!A23</f>
        <v/>
      </c>
      <c r="B1731">
        <f>Skills!B23</f>
        <v/>
      </c>
      <c r="C1731">
        <f>Inputs!$B$3&gt;=120</f>
        <v/>
      </c>
      <c r="D1731">
        <f>IF(Skills!C23=1,60+Inputs!$B$25+Inputs!$B$29,IF(Skills!C23=2,90+Inputs!$B$26+Inputs!$B$29,IF(Skills!C23=3,120+Inputs!$B$27+Inputs!$B$29,MAX(0,(Inputs!$B$3-100)*3)+Inputs!$B$28+Inputs!$B$29)))</f>
        <v/>
      </c>
      <c r="E1731">
        <f>INDEX(FactorTable!$B$2:$Y$301, MATCH(ROUND(MIN(300,MAX(1,D1731)),0), FactorTable!$A$2:$A$301,0), Skills!L23+1)</f>
        <v/>
      </c>
      <c r="F1731">
        <f>IF(Skills!M23=TRUE,(Skills!K23/10)*(E1731/1000),Skills!K23/10)+Skills!N23</f>
        <v/>
      </c>
      <c r="G1731">
        <f>Calc!G23</f>
        <v/>
      </c>
      <c r="H1731">
        <f>Calc!H23</f>
        <v/>
      </c>
      <c r="I1731">
        <f>IF(Skills!T23&lt;&gt;"",1+(Skills!T23/10)*(Z1711/1000)/100,1)</f>
        <v/>
      </c>
      <c r="J1731" t="inlineStr"/>
      <c r="K1731" t="inlineStr"/>
      <c r="L1731" t="inlineStr"/>
      <c r="M1731" t="inlineStr"/>
      <c r="N1731" t="inlineStr"/>
      <c r="O1731">
        <f>(1-Summary!$B$11)*S1731+Summary!$B$11*U1731</f>
        <v/>
      </c>
      <c r="P1731">
        <f>IF(B1744=0,0,O1731/B1744)</f>
        <v/>
      </c>
      <c r="Q1731">
        <f>IFERROR(1/IF(Inputs!$B$38="pvp",15,MAX(0.1,Skills!D23-IF(Skills!E23=TRUE,Inputs!$B$32,0))),0)</f>
        <v/>
      </c>
      <c r="R1731" t="n">
        <v>0</v>
      </c>
      <c r="S1731" t="n">
        <v>0</v>
      </c>
      <c r="U1731" t="n">
        <v>0</v>
      </c>
    </row>
    <row r="1734">
      <c r="A1734" t="inlineStr">
        <is>
          <t>Average Buff Multiplier (Magic Guard + Meditation + Artifact Attack%, summed; then Infinity)</t>
        </is>
      </c>
      <c r="B1734">
        <f>(1+(IF(C1711=TRUE,F1711*IF(AND(Inputs!$B$38&lt;&gt;"pvp",Inputs!$B$43&gt;0),(((R1711-1)*(Skills!S3*(1+(Inputs!$B$34+IF(Inputs!$B$3&gt;=117,F1730,0))/100))+MIN((Skills!S3*(1+(Inputs!$B$34+IF(Inputs!$B$3&gt;=117,F1730,0))/100)),MAX(0,Inputs!$B$43-((R1711-1)*Skills!D3))))/Inputs!$B$43),IF(Inputs!$B$38="pvp",MIN((Skills!S3*(1+(Inputs!$B$34+IF(Inputs!$B$3&gt;=117,F1730,0))/100)),15)/15,(Skills!S3*(1+(Inputs!$B$34+IF(Inputs!$B$3&gt;=117,F1730,0))/100))/Skills!D3)),0)+IF(C1712=TRUE,F1712*IF(AND(Inputs!$B$38&lt;&gt;"pvp",Inputs!$B$43&gt;0),(((R1712-1)*(Skills!S4*(1+(Inputs!$B$34+IF(Inputs!$B$3&gt;=117,F1730,0))/100))+MIN((Skills!S4*(1+(Inputs!$B$34+IF(Inputs!$B$3&gt;=117,F1730,0))/100)),MAX(0,Inputs!$B$43-((R1712-1)*Skills!D4))))/Inputs!$B$43),IF(Inputs!$B$38="pvp",MIN((Skills!S4*(1+(Inputs!$B$34+IF(Inputs!$B$3&gt;=117,F1730,0))/100)),15)/15,(Skills!S4*(1+(Inputs!$B$34+IF(Inputs!$B$3&gt;=117,F1730,0)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1724=TRUE,(1+F1724*IF(AND(Inputs!$B$38&lt;&gt;"pvp",Inputs!$B$43&gt;0),(((R1724-1)*(Skills!S16*(1+(Inputs!$B$34+IF(Inputs!$B$3&gt;=117,F1730,0))/100))+MIN((Skills!S16*(1+(Inputs!$B$34+IF(Inputs!$B$3&gt;=117,F1730,0))/100)),MAX(0,Inputs!$B$43-((R1724-1)*Skills!D16))))/Inputs!$B$43),IF(Inputs!$B$38="pvp",MIN((Skills!S16*(1+(Inputs!$B$34+IF(Inputs!$B$3&gt;=117,F1730,0))/100)),15)/15,(Skills!S16*(1+(Inputs!$B$34+IF(Inputs!$B$3&gt;=117,F1730,0))/100))/Skills!D16))/100),1)</f>
        <v/>
      </c>
    </row>
    <row r="1735">
      <c r="A1735" t="inlineStr">
        <is>
          <t>Monster Damage Taken Bonus % (Freezing Breath - Weaken + Elemental Reset + Artifact Enemy Damage Taken, summed)</t>
        </is>
      </c>
      <c r="B1735">
        <f>IF(Inputs!$B$3&gt;=118,15*IF(Inputs!$B$38="pvp",MIN((30*(1+(Inputs!$B$34+IF(Inputs!$B$3&gt;=117,F1730,0))/100)),15)/15,(30*(1+(Inputs!$B$34+IF(Inputs!$B$3&gt;=117,F1730,0))/100))/Skills!D8),0)+IF(C1722=TRUE,F1722,0)+(IF(AND(ArtifactsInput!$M$35,Inputs!$B$4&lt;&gt;"Chapter Hunt"),CHOOSE(ArtifactsInput!$N$35+1,15,18,21,24,27,30)*(1-EXP(-(0.2*B1738)*5)),0)+IF(AND(ArtifactsInput!$M$22,Inputs!$B$4&lt;&gt;"Chapter Hunt"),CHOOSE(ArtifactsInput!$N$22+1,10,12,14,16,18,20)*((0*(((0.15*B1738*5))^0/1)+1*(((0.15*B1738*5))^1/1)+2*(((0.15*B1738*5))^2/2)+3*(((0.15*B1738*5))^3/6)+4*(((0.15*B1738*5))^4/24)+5*(((0.15*B1738*5))^5/120))/((((0.15*B1738*5))^0/1)+(((0.15*B1738*5))^1/1)+(((0.15*B1738*5))^2/2)+(((0.15*B1738*5))^3/6)+(((0.15*B1738*5))^4/24)+(((0.15*B1738*5))^5/120))),0))</f>
        <v/>
      </c>
    </row>
    <row r="1736">
      <c r="A1736" t="inlineStr">
        <is>
          <t>Damage % Bonus (Frozen Break + Frost Clutch, flat)</t>
        </is>
      </c>
      <c r="B1736">
        <f>IF(Inputs!$B$3&gt;=66,15,0)+IF(Inputs!$B$3&gt;=98,10,0)+IF(Inputs!$B$3&gt;=125,20,0)</f>
        <v/>
      </c>
    </row>
    <row r="1737">
      <c r="A1737" t="inlineStr">
        <is>
          <t>Attack Speed Bonus % (MP Eater - MP Boost, always-on once unlocked)</t>
        </is>
      </c>
      <c r="B1737">
        <f>IF(C1721=TRUE,F1721+(F1725-Calc!F17),0)</f>
        <v/>
      </c>
    </row>
    <row r="1738">
      <c r="A1738" t="inlineStr">
        <is>
          <t>Actions Per Second</t>
        </is>
      </c>
      <c r="B1738">
        <f>1+MIN(150,150*(1-(1-(Inputs!$B$11+(ArtifactsInput!$M$15-ArtifactsInput!$M$15)*CHOOSE(ArtifactsInput!$N$15+1,8,9.6,11.2,12.8,14.4,16))/150)*(1-B1737/150)))/100</f>
        <v/>
      </c>
    </row>
    <row r="1739">
      <c r="A1739" t="inlineStr">
        <is>
          <t>Skill + Buff Cast Rate</t>
        </is>
      </c>
      <c r="B1739">
        <f>IF(AND(Inputs!$B$38&lt;&gt;"pvp",Inputs!$B$43&gt;0),SUMPRODUCT((Skills!E2:E23=TRUE)*(C1710:C1731=TRUE)*R1710:R1731)/Inputs!$B$43,SUMPRODUCT((Skills!E2:E23=TRUE)*(C1710:C1731=TRUE)*Q1710:Q1731))</f>
        <v/>
      </c>
    </row>
    <row r="1740">
      <c r="A1740" t="inlineStr">
        <is>
          <t>Chain Lightning Casts Per Second</t>
        </is>
      </c>
      <c r="B1740">
        <f>MAX(0,B1738-B1739)</f>
        <v/>
      </c>
    </row>
    <row r="1741">
      <c r="A1741" t="inlineStr">
        <is>
          <t>Buff-Casting Startup Delay (s, fixed-duration only)</t>
        </is>
      </c>
      <c r="B1741">
        <f>IF(AND(Inputs!$B$38&lt;&gt;"pvp",Inputs!$B$43&gt;0),SUMPRODUCT((Skills!S2:S23&gt;0)*(Skills!E2:E23=TRUE)*(C1710:C1731=TRUE))/B1738,0)</f>
        <v/>
      </c>
    </row>
    <row r="1742">
      <c r="A1742" t="inlineStr">
        <is>
          <t>Boss-Only Total DPS (this block's swept value)</t>
        </is>
      </c>
      <c r="B1742">
        <f>SUM(S1710:S1731)</f>
        <v/>
      </c>
    </row>
    <row r="1743">
      <c r="A1743" t="inlineStr">
        <is>
          <t>Normal-Only Total DPS (this block's swept value)</t>
        </is>
      </c>
      <c r="B1743">
        <f>SUM(U1710:U1731)</f>
        <v/>
      </c>
    </row>
    <row r="1744">
      <c r="A1744" s="6" t="inlineStr">
        <is>
          <t>TOTAL DPS</t>
        </is>
      </c>
      <c r="B1744" s="6">
        <f>SUM(O1710:O1731)</f>
        <v/>
      </c>
    </row>
    <row r="1747">
      <c r="A1747" s="6" t="inlineStr">
        <is>
          <t>Stat: Lunar Dew (Equip)</t>
        </is>
      </c>
    </row>
    <row r="1748">
      <c r="A1748" s="5" t="inlineStr">
        <is>
          <t>Key</t>
        </is>
      </c>
      <c r="B1748" s="5" t="inlineStr">
        <is>
          <t>Name</t>
        </is>
      </c>
      <c r="C1748" s="5" t="inlineStr">
        <is>
          <t>Unlocked</t>
        </is>
      </c>
      <c r="D1748" s="5" t="inlineStr">
        <is>
          <t>InputLevel</t>
        </is>
      </c>
      <c r="E1748" s="5" t="inlineStr">
        <is>
          <t>Factor</t>
        </is>
      </c>
      <c r="F1748" s="5" t="inlineStr">
        <is>
          <t>CoefficientPercent</t>
        </is>
      </c>
      <c r="G1748" s="5" t="inlineStr">
        <is>
          <t>EffectiveHits</t>
        </is>
      </c>
      <c r="H1748" s="5" t="inlineStr">
        <is>
          <t>ProcProbability</t>
        </is>
      </c>
      <c r="I1748" s="5" t="inlineStr">
        <is>
          <t>MapleHeroMultiplier</t>
        </is>
      </c>
      <c r="J1748" s="5" t="inlineStr">
        <is>
          <t>BaseDamage</t>
        </is>
      </c>
      <c r="K1748" s="5" t="inlineStr">
        <is>
          <t>BaseHitDamage</t>
        </is>
      </c>
      <c r="L1748" s="5" t="inlineStr">
        <is>
          <t>NonCritAvg</t>
        </is>
      </c>
      <c r="M1748" s="5" t="inlineStr">
        <is>
          <t>CritAvg</t>
        </is>
      </c>
      <c r="N1748" s="5" t="inlineStr">
        <is>
          <t>ExpectedDamage(perHit)</t>
        </is>
      </c>
      <c r="O1748" s="5" t="inlineStr">
        <is>
          <t>DPS</t>
        </is>
      </c>
      <c r="P1748" s="5" t="inlineStr">
        <is>
          <t>% of Total</t>
        </is>
      </c>
      <c r="R1748" t="inlineStr">
        <is>
          <t>helpers</t>
        </is>
      </c>
    </row>
    <row r="1749">
      <c r="A1749">
        <f>Skills!A2</f>
        <v/>
      </c>
      <c r="B1749">
        <f>Skills!B2</f>
        <v/>
      </c>
      <c r="C1749">
        <f>Inputs!$B$3&gt;=100</f>
        <v/>
      </c>
      <c r="D1749" t="inlineStr"/>
      <c r="E1749" t="inlineStr"/>
      <c r="F1749">
        <f>T1751+Skills!N2</f>
        <v/>
      </c>
      <c r="G1749">
        <f>Calc!G2</f>
        <v/>
      </c>
      <c r="H1749">
        <f>Calc!H2</f>
        <v/>
      </c>
      <c r="I1749">
        <f>IF(Skills!T2&lt;&gt;"",1+(Skills!T2/10)*(Z1750/1000)/100,1)</f>
        <v/>
      </c>
      <c r="J1749">
        <f>((Inputs!$B$6*(1+Inputs!$B$7/100))+(((Inputs!$B$12*(1+Inputs!$B$13/100))-(Inputs!$B$12*(1+Inputs!$B$13/100)))+0.25*(Inputs!$B$14-Inputs!$B$14))*(1+Inputs!$B$7/100))*(F1749/100)</f>
        <v/>
      </c>
      <c r="K1749">
        <f>J1749*(1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1765-Calc!F18),(Inputs!$B$23+(IF(ArtifactsInput!$M$15,CHOOSE(ArtifactsInput!$N$15+1,25,30,35,40,45,50)/100*(Inputs!$B$11-Inputs!$B$11),0))))/100+(Inputs!$B$23+(IF(ArtifactsInput!$M$15,CHOOSE(ArtifactsInput!$N$15+1,25,30,35,40,45,50)/100*(Inputs!$B$11-Inputs!$B$11),0)))/100)/2</f>
        <v/>
      </c>
      <c r="M1749">
        <f>L1749*(1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IFERROR(1/IF(Inputs!$B$38="pvp",15,MAX(0.1,Skills!D2-IF(Skills!E2=TRUE,Inputs!$B$32,0))),0)</f>
        <v/>
      </c>
      <c r="R1749" t="n">
        <v>0</v>
      </c>
      <c r="S1749">
        <f>IF(C1749,(Skills!F2*N1749*B1779)*IF(Inputs!$B$38="pvp",1,1+(Inputs!$B$20+Skills!O2+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9">
        <f>MAX(0,(Inputs!$B$3-100)*3)+Inputs!$B$28+Inputs!$B$29</f>
        <v/>
      </c>
      <c r="U1749">
        <f>IF(C1749,(Skills!F2*N1749*B1779)*IF(Inputs!$B$38="pvp",1,(1+(Inputs!$B$21+Skills!P2+B1774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9">
        <f>MAX(0,(Inputs!$B$3-100)*3)+Inputs!$B$28+Inputs!$B$29</f>
        <v/>
      </c>
    </row>
    <row r="1750">
      <c r="A1750">
        <f>Skills!A3</f>
        <v/>
      </c>
      <c r="B1750">
        <f>Skills!B3</f>
        <v/>
      </c>
      <c r="C1750">
        <f>Inputs!$B$3&gt;=15</f>
        <v/>
      </c>
      <c r="D1750">
        <f>IF(Skills!C3=1,60+Inputs!$B$25+Inputs!$B$29,IF(Skills!C3=2,90+Inputs!$B$26+Inputs!$B$29,IF(Skills!C3=3,120+Inputs!$B$27+Inputs!$B$29,MAX(0,(Inputs!$B$3-100)*3)+Inputs!$B$28+Inputs!$B$29)))</f>
        <v/>
      </c>
      <c r="E1750">
        <f>INDEX(FactorTable!$B$2:$Y$301, MATCH(ROUND(MIN(300,MAX(1,D1750)),0), FactorTable!$A$2:$A$301,0), Skills!L3+1)</f>
        <v/>
      </c>
      <c r="F1750">
        <f>IF(Skills!M3=TRUE,(Skills!K3/10)*(E1750/1000),Skills!K3/10)+Skills!N3</f>
        <v/>
      </c>
      <c r="G1750">
        <f>Calc!G3</f>
        <v/>
      </c>
      <c r="H1750">
        <f>Calc!H3</f>
        <v/>
      </c>
      <c r="I1750">
        <f>IF(Skills!T3&lt;&gt;"",1+(Skills!T3/10)*(Z1750/1000)/100,1)</f>
        <v/>
      </c>
      <c r="J1750" t="inlineStr"/>
      <c r="K1750" t="inlineStr"/>
      <c r="L1750" t="inlineStr"/>
      <c r="M1750" t="inlineStr"/>
      <c r="N1750" t="inlineStr"/>
      <c r="O1750">
        <f>(1-Summary!$B$11)*S1750+Summary!$B$11*U1750</f>
        <v/>
      </c>
      <c r="P1750">
        <f>IF(B1783=0,0,O1750/B1783)</f>
        <v/>
      </c>
      <c r="Q1750">
        <f>IFERROR(1/IF(Inputs!$B$38="pvp",15,MAX(0.1,Skills!D3-IF(Skills!E3=TRUE,Inputs!$B$32,0))),0)</f>
        <v/>
      </c>
      <c r="R1750">
        <f>IF(AND(Inputs!$B$38&lt;&gt;"pvp",Inputs!$B$43&gt;0),IF(Inputs!$B$43&lt;=0,0,(INT(Inputs!$B$43/IF(Inputs!$B$38="pvp",15,MAX(0.1,Skills!D3-IF(Skills!E3=TRUE,Inputs!$B$32,0))))+1)),0)</f>
        <v/>
      </c>
      <c r="S1750" t="n">
        <v>0</v>
      </c>
      <c r="T1750">
        <f>INDEX(FactorTable!$B$2:$Y$301, MATCH(ROUND(MIN(300,MAX(1,T1749)),0), FactorTable!$A$2:$A$301,0), 22)</f>
        <v/>
      </c>
      <c r="U1750" t="n">
        <v>0</v>
      </c>
      <c r="Z1750">
        <f>INDEX(FactorTable!$B$2:$Y$301, MATCH(ROUND(MIN(300,MAX(1,Z1749)),0), FactorTable!$A$2:$A$301,0), 24)</f>
        <v/>
      </c>
    </row>
    <row r="1751">
      <c r="A1751">
        <f>Skills!A4</f>
        <v/>
      </c>
      <c r="B1751">
        <f>Skills!B4</f>
        <v/>
      </c>
      <c r="C1751">
        <f>Inputs!$B$3&gt;=40</f>
        <v/>
      </c>
      <c r="D1751">
        <f>IF(Skills!C4=1,60+Inputs!$B$25+Inputs!$B$29,IF(Skills!C4=2,90+Inputs!$B$26+Inputs!$B$29,IF(Skills!C4=3,120+Inputs!$B$27+Inputs!$B$29,MAX(0,(Inputs!$B$3-100)*3)+Inputs!$B$28+Inputs!$B$29)))</f>
        <v/>
      </c>
      <c r="E1751">
        <f>INDEX(FactorTable!$B$2:$Y$301, MATCH(ROUND(MIN(300,MAX(1,D1751)),0), FactorTable!$A$2:$A$301,0), Skills!L4+1)</f>
        <v/>
      </c>
      <c r="F1751">
        <f>IF(Skills!M4=TRUE,(Skills!K4/10)*(E1751/1000),Skills!K4/10)+Skills!N4</f>
        <v/>
      </c>
      <c r="G1751">
        <f>Calc!G4</f>
        <v/>
      </c>
      <c r="H1751">
        <f>Calc!H4</f>
        <v/>
      </c>
      <c r="I1751">
        <f>IF(Skills!T4&lt;&gt;"",1+(Skills!T4/10)*(Z1750/1000)/100,1)</f>
        <v/>
      </c>
      <c r="J1751" t="inlineStr"/>
      <c r="K1751" t="inlineStr"/>
      <c r="L1751" t="inlineStr"/>
      <c r="M1751" t="inlineStr"/>
      <c r="N1751" t="inlineStr"/>
      <c r="O1751">
        <f>(1-Summary!$B$11)*S1751+Summary!$B$11*U1751</f>
        <v/>
      </c>
      <c r="P1751">
        <f>IF(B1783=0,0,O1751/B1783)</f>
        <v/>
      </c>
      <c r="Q1751">
        <f>IFERROR(1/IF(Inputs!$B$38="pvp",15,MAX(0.1,Skills!D4-IF(Skills!E4=TRUE,Inputs!$B$32,0))),0)</f>
        <v/>
      </c>
      <c r="R1751">
        <f>IF(AND(Inputs!$B$38&lt;&gt;"pvp",Inputs!$B$43&gt;0),IF(Inputs!$B$43&lt;=0,0,(INT(Inputs!$B$43/IF(Inputs!$B$38="pvp",15,MAX(0.1,Skills!D4-IF(Skills!E4=TRUE,Inputs!$B$32,0))))+1)),0)</f>
        <v/>
      </c>
      <c r="S1751" t="n">
        <v>0</v>
      </c>
      <c r="T1751">
        <f>290*T1750/1000</f>
        <v/>
      </c>
      <c r="U1751" t="n">
        <v>0</v>
      </c>
    </row>
    <row r="1752">
      <c r="A1752">
        <f>Skills!A5</f>
        <v/>
      </c>
      <c r="B1752">
        <f>Skills!B5</f>
        <v/>
      </c>
      <c r="C1752">
        <f>Inputs!$B$3&gt;=38</f>
        <v/>
      </c>
      <c r="D1752">
        <f>IF(Skills!C5=1,60+Inputs!$B$25+Inputs!$B$29,IF(Skills!C5=2,90+Inputs!$B$26+Inputs!$B$29,IF(Skills!C5=3,120+Inputs!$B$27+Inputs!$B$29,MAX(0,(Inputs!$B$3-100)*3)+Inputs!$B$28+Inputs!$B$29)))</f>
        <v/>
      </c>
      <c r="E1752">
        <f>INDEX(FactorTable!$B$2:$Y$301, MATCH(ROUND(MIN(300,MAX(1,D1752)),0), FactorTable!$A$2:$A$301,0), Skills!L5+1)</f>
        <v/>
      </c>
      <c r="F1752">
        <f>IF(Skills!M5=TRUE,(Skills!K5/10)*(E1752/1000),Skills!K5/10)+Skills!N5</f>
        <v/>
      </c>
      <c r="G1752">
        <f>Calc!G5</f>
        <v/>
      </c>
      <c r="H1752">
        <f>Calc!H5</f>
        <v/>
      </c>
      <c r="I1752">
        <f>IF(Skills!T5&lt;&gt;"",1+(Skills!T5/10)*(Z1750/1000)/100,1)</f>
        <v/>
      </c>
      <c r="J1752">
        <f>((Inputs!$B$6*(1+Inputs!$B$7/100))+(((Inputs!$B$12*(1+Inputs!$B$13/100))-(Inputs!$B$12*(1+Inputs!$B$13/100)))+0.25*(Inputs!$B$14-Inputs!$B$14))*(1+Inputs!$B$7/100))*(F1752/100)</f>
        <v/>
      </c>
      <c r="K1752">
        <f>J1752*(1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1765-Calc!F18),(Inputs!$B$23+(IF(ArtifactsInput!$M$15,CHOOSE(ArtifactsInput!$N$15+1,25,30,35,40,45,50)/100*(Inputs!$B$11-Inputs!$B$11),0))))/100+(Inputs!$B$23+(IF(ArtifactsInput!$M$15,CHOOSE(ArtifactsInput!$N$15+1,25,30,35,40,45,50)/100*(Inputs!$B$11-Inputs!$B$11),0)))/100)/2</f>
        <v/>
      </c>
      <c r="M1752">
        <f>L1752*(1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IFERROR(1/IF(Inputs!$B$38="pvp",15,MAX(0.1,Skills!D5-IF(Skills!E5=TRUE,Inputs!$B$32,0))),0)</f>
        <v/>
      </c>
      <c r="R1752">
        <f>IF(AND(Inputs!$B$38&lt;&gt;"pvp",Inputs!$B$43&gt;0),IF(MAX(0,Inputs!$B$43-B1780)&lt;=0,0,(INT(MAX(0,Inputs!$B$43-B1780)/IF(Inputs!$B$38="pvp",15,MAX(0.1,Skills!D5-IF(Skills!E5=TRUE,Inputs!$B$32,0))))+1)),0)</f>
        <v/>
      </c>
      <c r="S1752">
        <f>IF(C1752,(H1752*N1752*IF(AND(Inputs!$B$38&lt;&gt;"pvp",Inputs!$B$43&gt;0),((Skills!F5*((R1752-1)*IF(Skills!G5&gt;0,Skills!H5/Skills!G5,1)+IF(Skills!G5&gt;0,MIN(Skills!H5,MAX(0,MAX(0,Inputs!$B$43-B1780)-((R1752-1)*IF(Inputs!$B$38="pvp",15,MAX(0.1,Skills!D5-IF(Skills!E5=TRUE,Inputs!$B$32,0))))))/Skills!G5,1)))/Inputs!$B$43),G1752*Q1752))*IF(Inputs!$B$38="pvp",1,1+(Inputs!$B$20+Skills!O5+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F5*((R1752-1)*IF(Skills!G5&gt;0,Skills!H5/Skills!G5,1)+IF(Skills!G5&gt;0,MIN(Skills!H5,MAX(0,MAX(0,Inputs!$B$43-B1780)-((R1752-1)*IF(Inputs!$B$38="pvp",15,MAX(0.1,Skills!D5-IF(Skills!E5=TRUE,Inputs!$B$32,0))))))/Skills!G5,1)))/Inputs!$B$43),G1752*Q1752))*IF(Inputs!$B$38="pvp",1,(1+(Inputs!$B$21+Skills!P5+B1774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Skills!A6</f>
        <v/>
      </c>
      <c r="B1753">
        <f>Skills!B6</f>
        <v/>
      </c>
      <c r="C1753">
        <f>Inputs!$B$3&gt;=63</f>
        <v/>
      </c>
      <c r="D1753">
        <f>IF(Skills!C6=1,60+Inputs!$B$25+Inputs!$B$29,IF(Skills!C6=2,90+Inputs!$B$26+Inputs!$B$29,IF(Skills!C6=3,120+Inputs!$B$27+Inputs!$B$29,MAX(0,(Inputs!$B$3-100)*3)+Inputs!$B$28+Inputs!$B$29)))</f>
        <v/>
      </c>
      <c r="E1753">
        <f>INDEX(FactorTable!$B$2:$Y$301, MATCH(ROUND(MIN(300,MAX(1,D1753)),0), FactorTable!$A$2:$A$301,0), Skills!L6+1)</f>
        <v/>
      </c>
      <c r="F1753">
        <f>IF(Skills!M6=TRUE,(Skills!K6/10)*(E1753/1000),Skills!K6/10)+Skills!N6</f>
        <v/>
      </c>
      <c r="G1753">
        <f>Calc!G6</f>
        <v/>
      </c>
      <c r="H1753">
        <f>Calc!H6</f>
        <v/>
      </c>
      <c r="I1753">
        <f>IF(Skills!T6&lt;&gt;"",1+(Skills!T6/10)*(Z1750/1000)/100,1)</f>
        <v/>
      </c>
      <c r="J1753">
        <f>((Inputs!$B$6*(1+Inputs!$B$7/100))+(((Inputs!$B$12*(1+Inputs!$B$13/100))-(Inputs!$B$12*(1+Inputs!$B$13/100)))+0.25*(Inputs!$B$14-Inputs!$B$14))*(1+Inputs!$B$7/100))*(F1753/100)</f>
        <v/>
      </c>
      <c r="K1753">
        <f>J1753*(1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F1765-Calc!F18),(Inputs!$B$23+(IF(ArtifactsInput!$M$15,CHOOSE(ArtifactsInput!$N$15+1,25,30,35,40,45,50)/100*(Inputs!$B$11-Inputs!$B$11),0))))/100+(Inputs!$B$23+(IF(ArtifactsInput!$M$15,CHOOSE(ArtifactsInput!$N$15+1,25,30,35,40,45,50)/100*(Inputs!$B$11-Inputs!$B$11),0)))/100)/2</f>
        <v/>
      </c>
      <c r="M1753">
        <f>L1753*(1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(1-Summary!$B$11)*S1753+Summary!$B$11*U1753</f>
        <v/>
      </c>
      <c r="P1753">
        <f>IF(B1783=0,0,O1753/B1783)</f>
        <v/>
      </c>
      <c r="Q1753">
        <f>IFERROR(1/IF(Inputs!$B$38="pvp",15,MAX(0.1,Skills!D6-IF(Skills!E6=TRUE,Inputs!$B$32,0))),0)</f>
        <v/>
      </c>
      <c r="R1753">
        <f>IF(AND(Inputs!$B$38&lt;&gt;"pvp",Inputs!$B$43&gt;0),IF(MAX(0,Inputs!$B$43-B1780)&lt;=0,0,(INT(MAX(0,Inputs!$B$43-B1780)/IF(Inputs!$B$38="pvp",15,MAX(0.1,Skills!D6-IF(Skills!E6=TRUE,Inputs!$B$32,0))))+1)),0)</f>
        <v/>
      </c>
      <c r="S1753">
        <f>IF(C1753,(H1753*N1753*IF(AND(Inputs!$B$38&lt;&gt;"pvp",Inputs!$B$43&gt;0),((Skills!F6*((R1753-1)*IF(Skills!G6&gt;0,Skills!H6/Skills!G6,1)+IF(Skills!G6&gt;0,MIN(Skills!H6,MAX(0,MAX(0,Inputs!$B$43-B1780)-((R1753-1)*IF(Inputs!$B$38="pvp",15,MAX(0.1,Skills!D6-IF(Skills!E6=TRUE,Inputs!$B$32,0))))))/Skills!G6,1)))/Inputs!$B$43),G1753*Q1753))*IF(Inputs!$B$38="pvp",1,1+(Inputs!$B$20+Skills!O6+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1753*(1-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IF(C1753,(H1753*N1753*IF(AND(Inputs!$B$38&lt;&gt;"pvp",Inputs!$B$43&gt;0),((Skills!F6*((R1753-1)*IF(Skills!G6&gt;0,Skills!H6/Skills!G6,1)+IF(Skills!G6&gt;0,MIN(Skills!H6,MAX(0,MAX(0,Inputs!$B$43-B1780)-((R1753-1)*IF(Inputs!$B$38="pvp",15,MAX(0.1,Skills!D6-IF(Skills!E6=TRUE,Inputs!$B$32,0))))))/Skills!G6,1)))/Inputs!$B$43),G1753*Q1753))*IF(Inputs!$B$38="pvp",1,(1+(Inputs!$B$21+Skills!P6+B1774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Skills!A7</f>
        <v/>
      </c>
      <c r="B1754">
        <f>Skills!B7</f>
        <v/>
      </c>
      <c r="C1754">
        <f>Inputs!$B$3&gt;=69</f>
        <v/>
      </c>
      <c r="D1754">
        <f>IF(Skills!C7=1,60+Inputs!$B$25+Inputs!$B$29,IF(Skills!C7=2,90+Inputs!$B$26+Inputs!$B$29,IF(Skills!C7=3,120+Inputs!$B$27+Inputs!$B$29,MAX(0,(Inputs!$B$3-100)*3)+Inputs!$B$28+Inputs!$B$29)))</f>
        <v/>
      </c>
      <c r="E1754">
        <f>INDEX(FactorTable!$B$2:$Y$301, MATCH(ROUND(MIN(300,MAX(1,D1754)),0), FactorTable!$A$2:$A$301,0), Skills!L7+1)</f>
        <v/>
      </c>
      <c r="F1754">
        <f>IF(Skills!M7=TRUE,(Skills!K7/10)*(E1754/1000),Skills!K7/10)+Skills!N7</f>
        <v/>
      </c>
      <c r="G1754">
        <f>Calc!G7</f>
        <v/>
      </c>
      <c r="H1754">
        <f>Calc!H7</f>
        <v/>
      </c>
      <c r="I1754">
        <f>IF(Skills!T7&lt;&gt;"",1+(Skills!T7/10)*(Z1750/1000)/100,1)</f>
        <v/>
      </c>
      <c r="J1754">
        <f>((Inputs!$B$6*(1+Inputs!$B$7/100))+(((Inputs!$B$12*(1+Inputs!$B$13/100))-(Inputs!$B$12*(1+Inputs!$B$13/100)))+0.25*(Inputs!$B$14-Inputs!$B$14))*(1+Inputs!$B$7/100))*(F1754/100)</f>
        <v/>
      </c>
      <c r="K1754">
        <f>J1754*(1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F1765-Calc!F18),(Inputs!$B$23+(IF(ArtifactsInput!$M$15,CHOOSE(ArtifactsInput!$N$15+1,25,30,35,40,45,50)/100*(Inputs!$B$11-Inputs!$B$11),0))))/100+(Inputs!$B$23+(IF(ArtifactsInput!$M$15,CHOOSE(ArtifactsInput!$N$15+1,25,30,35,40,45,50)/100*(Inputs!$B$11-Inputs!$B$11),0)))/100)/2</f>
        <v/>
      </c>
      <c r="M1754">
        <f>L1754*(1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(1-Summary!$B$11)*S1754+Summary!$B$11*U1754</f>
        <v/>
      </c>
      <c r="P1754">
        <f>IF(B1783=0,0,O1754/B1783)</f>
        <v/>
      </c>
      <c r="Q1754">
        <f>IFERROR(1/IF(Inputs!$B$38="pvp",15,MAX(0.1,Skills!D7-IF(Skills!E7=TRUE,Inputs!$B$32,0))),0)</f>
        <v/>
      </c>
      <c r="R1754">
        <f>IF(AND(Inputs!$B$38&lt;&gt;"pvp",Inputs!$B$43&gt;0),IF(MAX(0,Inputs!$B$43-B1780)&lt;=0,0,(INT(MAX(0,Inputs!$B$43-B1780)/IF(Inputs!$B$38="pvp",15,MAX(0.1,Skills!D7-IF(Skills!E7=TRUE,Inputs!$B$32,0))))+1)),0)</f>
        <v/>
      </c>
      <c r="S1754">
        <f>IF(C1754,(H1754*N1754*IF(AND(Inputs!$B$38&lt;&gt;"pvp",Inputs!$B$43&gt;0),((Skills!F7*((R1754-1)*IF(Skills!G7&gt;0,Skills!H7/Skills!G7,1)+IF(Skills!G7&gt;0,MIN(Skills!H7,MAX(0,MAX(0,Inputs!$B$43-B1780)-((R1754-1)*IF(Inputs!$B$38="pvp",15,MAX(0.1,Skills!D7-IF(Skills!E7=TRUE,Inputs!$B$32,0))))))/Skills!G7,1)))/Inputs!$B$43),G1754*Q1754))*IF(Inputs!$B$38="pvp",1,1+(Inputs!$B$20+Skills!O7+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1754*(1-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4">
        <f>IF(C1754,(H1754*N1754*IF(AND(Inputs!$B$38&lt;&gt;"pvp",Inputs!$B$43&gt;0),((Skills!F7*((R1754-1)*IF(Skills!G7&gt;0,Skills!H7/Skills!G7,1)+IF(Skills!G7&gt;0,MIN(Skills!H7,MAX(0,MAX(0,Inputs!$B$43-B1780)-((R1754-1)*IF(Inputs!$B$38="pvp",15,MAX(0.1,Skills!D7-IF(Skills!E7=TRUE,Inputs!$B$32,0))))))/Skills!G7,1)))/Inputs!$B$43),G1754*Q1754))*IF(Inputs!$B$38="pvp",1,(1+(Inputs!$B$21+Skills!P7+B1774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Skills!A8</f>
        <v/>
      </c>
      <c r="B1755">
        <f>Skills!B8</f>
        <v/>
      </c>
      <c r="C1755">
        <f>Inputs!$B$3&gt;=103</f>
        <v/>
      </c>
      <c r="D1755">
        <f>IF(Skills!C8=1,60+Inputs!$B$25+Inputs!$B$29,IF(Skills!C8=2,90+Inputs!$B$26+Inputs!$B$29,IF(Skills!C8=3,120+Inputs!$B$27+Inputs!$B$29,MAX(0,(Inputs!$B$3-100)*3)+Inputs!$B$28+Inputs!$B$29)))</f>
        <v/>
      </c>
      <c r="E1755">
        <f>INDEX(FactorTable!$B$2:$Y$301, MATCH(ROUND(MIN(300,MAX(1,D1755)),0), FactorTable!$A$2:$A$301,0), Skills!L8+1)</f>
        <v/>
      </c>
      <c r="F1755">
        <f>IF(Skills!M8=TRUE,(Skills!K8/10)*(E1755/1000),Skills!K8/10)+Skills!N8</f>
        <v/>
      </c>
      <c r="G1755">
        <f>Calc!G8</f>
        <v/>
      </c>
      <c r="H1755">
        <f>Calc!H8</f>
        <v/>
      </c>
      <c r="I1755">
        <f>IF(Skills!T8&lt;&gt;"",1+(Skills!T8/10)*(Z1750/1000)/100,1)</f>
        <v/>
      </c>
      <c r="J1755">
        <f>((Inputs!$B$6*(1+Inputs!$B$7/100))+(((Inputs!$B$12*(1+Inputs!$B$13/100))-(Inputs!$B$12*(1+Inputs!$B$13/100)))+0.25*(Inputs!$B$14-Inputs!$B$14))*(1+Inputs!$B$7/100))*(F1755/100)</f>
        <v/>
      </c>
      <c r="K1755">
        <f>J1755*(1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1765-Calc!F18),(Inputs!$B$23+(IF(ArtifactsInput!$M$15,CHOOSE(ArtifactsInput!$N$15+1,25,30,35,40,45,50)/100*(Inputs!$B$11-Inputs!$B$11),0))))/100+(Inputs!$B$23+(IF(ArtifactsInput!$M$15,CHOOSE(ArtifactsInput!$N$15+1,25,30,35,40,45,50)/100*(Inputs!$B$11-Inputs!$B$11),0)))/100)/2</f>
        <v/>
      </c>
      <c r="M1755">
        <f>L1755*(1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IFERROR(1/IF(Inputs!$B$38="pvp",15,MAX(0.1,Skills!D8-IF(Skills!E8=TRUE,Inputs!$B$32,0))),0)</f>
        <v/>
      </c>
      <c r="R1755">
        <f>IF(AND(Inputs!$B$38&lt;&gt;"pvp",Inputs!$B$43&gt;0),IF(MAX(0,Inputs!$B$43-B1780)&lt;=0,0,(INT(MAX(0,Inputs!$B$43-B1780)/IF(Inputs!$B$38="pvp",15,MAX(0.1,Skills!D8-IF(Skills!E8=TRUE,Inputs!$B$32,0))))+1)),0)</f>
        <v/>
      </c>
      <c r="S1755">
        <f>IF(C1755,(H1755*N1755*IF(AND(Inputs!$B$38&lt;&gt;"pvp",Inputs!$B$43&gt;0),((Skills!F8*((R1755-1)*IF(Skills!G8&gt;0,Skills!H8/Skills!G8,1)+IF(Skills!G8&gt;0,MIN(Skills!H8,MAX(0,MAX(0,Inputs!$B$43-B1780)-((R1755-1)*IF(Inputs!$B$38="pvp",15,MAX(0.1,Skills!D8-IF(Skills!E8=TRUE,Inputs!$B$32,0))))))/Skills!G8,1)))/Inputs!$B$43),G1755*Q1755))*IF(Inputs!$B$38="pvp",1,1+(Inputs!$B$20+Skills!O8+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F8*((R1755-1)*IF(Skills!G8&gt;0,Skills!H8/Skills!G8,1)+IF(Skills!G8&gt;0,MIN(Skills!H8,MAX(0,MAX(0,Inputs!$B$43-B1780)-((R1755-1)*IF(Inputs!$B$38="pvp",15,MAX(0.1,Skills!D8-IF(Skills!E8=TRUE,Inputs!$B$32,0))))))/Skills!G8,1)))/Inputs!$B$43),G1755*Q1755))*IF(Inputs!$B$38="pvp",1,(1+(Inputs!$B$21+Skills!P8+B1774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Skills!A9</f>
        <v/>
      </c>
      <c r="B1756">
        <f>Skills!B9</f>
        <v/>
      </c>
      <c r="C1756">
        <f>Inputs!$B$3&gt;=105</f>
        <v/>
      </c>
      <c r="D1756">
        <f>IF(Skills!C9=1,60+Inputs!$B$25+Inputs!$B$29,IF(Skills!C9=2,90+Inputs!$B$26+Inputs!$B$29,IF(Skills!C9=3,120+Inputs!$B$27+Inputs!$B$29,MAX(0,(Inputs!$B$3-100)*3)+Inputs!$B$28+Inputs!$B$29)))</f>
        <v/>
      </c>
      <c r="E1756">
        <f>INDEX(FactorTable!$B$2:$Y$301, MATCH(ROUND(MIN(300,MAX(1,D1756)),0), FactorTable!$A$2:$A$301,0), Skills!L9+1)</f>
        <v/>
      </c>
      <c r="F1756">
        <f>IF(Skills!M9=TRUE,(Skills!K9/10)*(E1756/1000),Skills!K9/10)+Skills!N9</f>
        <v/>
      </c>
      <c r="G1756">
        <f>Calc!G9</f>
        <v/>
      </c>
      <c r="H1756">
        <f>Calc!H9</f>
        <v/>
      </c>
      <c r="I1756">
        <f>IF(Skills!T9&lt;&gt;"",1+(Skills!T9/10)*(Z1750/1000)/100,1)</f>
        <v/>
      </c>
      <c r="J1756">
        <f>((Inputs!$B$6*(1+Inputs!$B$7/100))+(((Inputs!$B$12*(1+Inputs!$B$13/100))-(Inputs!$B$12*(1+Inputs!$B$13/100)))+0.25*(Inputs!$B$14-Inputs!$B$14))*(1+Inputs!$B$7/100))*(F1756/100)</f>
        <v/>
      </c>
      <c r="K1756">
        <f>J1756*(1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1765-Calc!F18),(Inputs!$B$23+(IF(ArtifactsInput!$M$15,CHOOSE(ArtifactsInput!$N$15+1,25,30,35,40,45,50)/100*(Inputs!$B$11-Inputs!$B$11),0))))/100+(Inputs!$B$23+(IF(ArtifactsInput!$M$15,CHOOSE(ArtifactsInput!$N$15+1,25,30,35,40,45,50)/100*(Inputs!$B$11-Inputs!$B$11),0)))/100)/2</f>
        <v/>
      </c>
      <c r="M1756">
        <f>L1756*(1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IFERROR(1/IF(Inputs!$B$38="pvp",15,MAX(0.1,Skills!D9-IF(Skills!E9=TRUE,Inputs!$B$32,0))),0)</f>
        <v/>
      </c>
      <c r="R1756">
        <f>IF(AND(Inputs!$B$38&lt;&gt;"pvp",Inputs!$B$43&gt;0),IF(MAX(0,Inputs!$B$43-B1780)&lt;=0,0,(INT(MAX(0,Inputs!$B$43-B1780)/IF(Inputs!$B$38="pvp",15,MAX(0.1,Skills!D9-IF(Skills!E9=TRUE,Inputs!$B$32,0))))+1)),0)</f>
        <v/>
      </c>
      <c r="S1756">
        <f>IF(C1756,(H1756*N1756*IF(AND(Inputs!$B$38&lt;&gt;"pvp",Inputs!$B$43&gt;0),((Skills!F9*((R1756-1)*IF(Skills!G9&gt;0,Skills!H9/Skills!G9,1)+IF(Skills!G9&gt;0,MIN(Skills!H9,MAX(0,MAX(0,Inputs!$B$43-B1780)-((R1756-1)*IF(Inputs!$B$38="pvp",15,MAX(0.1,Skills!D9-IF(Skills!E9=TRUE,Inputs!$B$32,0))))))/Skills!G9,1)))/Inputs!$B$43),G1756*Q1756))*IF(Inputs!$B$38="pvp",1,1+(Inputs!$B$20+Skills!O9+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9*((R1756-1)*IF(Skills!G9&gt;0,Skills!H9/Skills!G9,1)+IF(Skills!G9&gt;0,MIN(Skills!H9,MAX(0,MAX(0,Inputs!$B$43-B1780)-((R1756-1)*IF(Inputs!$B$38="pvp",15,MAX(0.1,Skills!D9-IF(Skills!E9=TRUE,Inputs!$B$32,0))))))/Skills!G9,1)))/Inputs!$B$43),G1756*Q1756))*IF(Inputs!$B$38="pvp",1,(1+(Inputs!$B$21+Skills!P9+B1774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Skills!A10</f>
        <v/>
      </c>
      <c r="B1757">
        <f>Skills!B10</f>
        <v/>
      </c>
      <c r="C1757">
        <f>Inputs!$B$3&gt;=113</f>
        <v/>
      </c>
      <c r="D1757">
        <f>IF(Skills!C10=1,60+Inputs!$B$25+Inputs!$B$29,IF(Skills!C10=2,90+Inputs!$B$26+Inputs!$B$29,IF(Skills!C10=3,120+Inputs!$B$27+Inputs!$B$29,MAX(0,(Inputs!$B$3-100)*3)+Inputs!$B$28+Inputs!$B$29)))</f>
        <v/>
      </c>
      <c r="E1757">
        <f>INDEX(FactorTable!$B$2:$Y$301, MATCH(ROUND(MIN(300,MAX(1,D1757)),0), FactorTable!$A$2:$A$301,0), Skills!L10+1)</f>
        <v/>
      </c>
      <c r="F1757">
        <f>IF(Skills!M10=TRUE,(Skills!K10/10)*(E1757/1000),Skills!K10/10)+Skills!N10</f>
        <v/>
      </c>
      <c r="G1757">
        <f>Calc!G10</f>
        <v/>
      </c>
      <c r="H1757">
        <f>Calc!H10</f>
        <v/>
      </c>
      <c r="I1757">
        <f>IF(Skills!T10&lt;&gt;"",1+(Skills!T10/10)*(Z1750/1000)/100,1)</f>
        <v/>
      </c>
      <c r="J1757">
        <f>((Inputs!$B$6*(1+Inputs!$B$7/100))+(((Inputs!$B$12*(1+Inputs!$B$13/100))-(Inputs!$B$12*(1+Inputs!$B$13/100)))+0.25*(Inputs!$B$14-Inputs!$B$14))*(1+Inputs!$B$7/100))*(F1757/100)</f>
        <v/>
      </c>
      <c r="K1757">
        <f>J1757*(1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1765-Calc!F18),(Inputs!$B$23+(IF(ArtifactsInput!$M$15,CHOOSE(ArtifactsInput!$N$15+1,25,30,35,40,45,50)/100*(Inputs!$B$11-Inputs!$B$11),0))))/100+(Inputs!$B$23+(IF(ArtifactsInput!$M$15,CHOOSE(ArtifactsInput!$N$15+1,25,30,35,40,45,50)/100*(Inputs!$B$11-Inputs!$B$11),0)))/100)/2</f>
        <v/>
      </c>
      <c r="M1757">
        <f>L1757*(1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IFERROR(1/IF(Inputs!$B$38="pvp",15,MAX(0.1,Skills!D10-IF(Skills!E9=TRUE,Inputs!$B$32,0))),0)</f>
        <v/>
      </c>
      <c r="R1757">
        <f>IF(AND(Inputs!$B$38&lt;&gt;"pvp",Inputs!$B$43&gt;0),IF(MAX(0,Inputs!$B$43-B1780)&lt;=0,0,(INT(MAX(0,Inputs!$B$43-B1780)/IF(Inputs!$B$38="pvp",15,MAX(0.1,Skills!D10-IF(Skills!E9=TRUE,Inputs!$B$32,0))))+1)),0)</f>
        <v/>
      </c>
      <c r="S1757">
        <f>IF(C1757,(H1757*N1757*IF(AND(Inputs!$B$38&lt;&gt;"pvp",Inputs!$B$43&gt;0),((Skills!F10*((R1757-1)*IF(Skills!G10&gt;0,Skills!H10/Skills!G10,1)+IF(Skills!G10&gt;0,MIN(Skills!H10,MAX(0,MAX(0,Inputs!$B$43-B1780)-((R1757-1)*IF(Inputs!$B$38="pvp",15,MAX(0.1,Skills!D10-IF(Skills!E9=TRUE,Inputs!$B$32,0))))))/Skills!G10,1)))/Inputs!$B$43),G1757*Q1757))*IF(Inputs!$B$38="pvp",1,1+(Inputs!$B$20+Skills!O10+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10*((R1757-1)*IF(Skills!G10&gt;0,Skills!H10/Skills!G10,1)+IF(Skills!G10&gt;0,MIN(Skills!H10,MAX(0,MAX(0,Inputs!$B$43-B1780)-((R1757-1)*IF(Inputs!$B$38="pvp",15,MAX(0.1,Skills!D10-IF(Skills!E9=TRUE,Inputs!$B$32,0))))))/Skills!G10,1)))/Inputs!$B$43),G1757*Q1757))*IF(Inputs!$B$38="pvp",1,(1+(Inputs!$B$21+Skills!P10+B1774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Skills!A11</f>
        <v/>
      </c>
      <c r="B1758">
        <f>Skills!B11</f>
        <v/>
      </c>
      <c r="C1758">
        <f>Inputs!$B$3&gt;=107</f>
        <v/>
      </c>
      <c r="D1758">
        <f>IF(Skills!C11=1,60+Inputs!$B$25+Inputs!$B$29,IF(Skills!C11=2,90+Inputs!$B$26+Inputs!$B$29,IF(Skills!C11=3,120+Inputs!$B$27+Inputs!$B$29,MAX(0,(Inputs!$B$3-100)*3)+Inputs!$B$28+Inputs!$B$29)))</f>
        <v/>
      </c>
      <c r="E1758">
        <f>INDEX(FactorTable!$B$2:$Y$301, MATCH(ROUND(MIN(300,MAX(1,D1758)),0), FactorTable!$A$2:$A$301,0), Skills!L11+1)</f>
        <v/>
      </c>
      <c r="F1758">
        <f>IF(Skills!M11=TRUE,(Skills!K11/10)*(E1758/1000),Skills!K11/10)+Skills!N11</f>
        <v/>
      </c>
      <c r="G1758">
        <f>Calc!G11</f>
        <v/>
      </c>
      <c r="H1758">
        <f>Calc!H11</f>
        <v/>
      </c>
      <c r="I1758">
        <f>IF(Skills!T11&lt;&gt;"",1+(Skills!T11/10)*(Z1750/1000)/100,1)</f>
        <v/>
      </c>
      <c r="J1758">
        <f>((Inputs!$B$6*(1+Inputs!$B$7/100))+(((Inputs!$B$12*(1+Inputs!$B$13/100))-(Inputs!$B$12*(1+Inputs!$B$13/100)))+0.25*(Inputs!$B$14-Inputs!$B$14))*(1+Inputs!$B$7/100))*(F1758/100)</f>
        <v/>
      </c>
      <c r="K1758">
        <f>J1758*(1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1765-Calc!F18),(Inputs!$B$23+(IF(ArtifactsInput!$M$15,CHOOSE(ArtifactsInput!$N$15+1,25,30,35,40,45,50)/100*(Inputs!$B$11-Inputs!$B$11),0))))/100+(Inputs!$B$23+(IF(ArtifactsInput!$M$15,CHOOSE(ArtifactsInput!$N$15+1,25,30,35,40,45,50)/100*(Inputs!$B$11-Inputs!$B$11),0)))/100)/2</f>
        <v/>
      </c>
      <c r="M1758">
        <f>L1758*(1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IFERROR(1/IF(Inputs!$B$38="pvp",15,MAX(0.1,Skills!D11-IF(Skills!E11=TRUE,Inputs!$B$32,0))),0)</f>
        <v/>
      </c>
      <c r="R1758">
        <f>IF(AND(Inputs!$B$38&lt;&gt;"pvp",Inputs!$B$43&gt;0),IF(MAX(0,Inputs!$B$43-B1780)&lt;=0,0,(INT(MAX(0,Inputs!$B$43-B1780)/IF(Inputs!$B$38="pvp",15,MAX(0.1,Skills!D11-IF(Skills!E11=TRUE,Inputs!$B$32,0))))+1)),0)</f>
        <v/>
      </c>
      <c r="S1758">
        <f>IF(C1758,H1758*N1758*IF(AND(Inputs!$B$38&lt;&gt;"pvp",Inputs!$B$43&gt;0),((Skills!F11*((R1758-1)*IF(Skills!G11&gt;0,Skills!H11/Skills!G11,1)+IF(Skills!G11&gt;0,MIN(Skills!H11,MAX(0,MAX(0,Inputs!$B$43-B1780)-((R1758-1)*IF(Inputs!$B$38="pvp",15,MAX(0.1,Skills!D11-IF(Skills!E11=TRUE,Inputs!$B$32,0))))))/Skills!G11,1)))/Inputs!$B$43),G1758*Q1758)*0.5*IF(Inputs!$B$38="pvp",1,1+(Inputs!$B$20+Skills!O11+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11*((R1758-1)*IF(Skills!G11&gt;0,Skills!H11/Skills!G11,1)+IF(Skills!G11&gt;0,MIN(Skills!H11,MAX(0,MAX(0,Inputs!$B$43-B1780)-((R1758-1)*IF(Inputs!$B$38="pvp",15,MAX(0.1,Skills!D11-IF(Skills!E11=TRUE,Inputs!$B$32,0))))))/Skills!G11,1)))/Inputs!$B$43),G1758*Q1758)*1*IF(Inputs!$B$38="pvp",1,(1+(Inputs!$B$21+Skills!P11+B1774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Skills!A12</f>
        <v/>
      </c>
      <c r="B1759">
        <f>Skills!B12</f>
        <v/>
      </c>
      <c r="C1759">
        <f>Inputs!$B$3&gt;=115</f>
        <v/>
      </c>
      <c r="D1759">
        <f>IF(Skills!C12=1,60+Inputs!$B$25+Inputs!$B$29,IF(Skills!C12=2,90+Inputs!$B$26+Inputs!$B$29,IF(Skills!C12=3,120+Inputs!$B$27+Inputs!$B$29,MAX(0,(Inputs!$B$3-100)*3)+Inputs!$B$28+Inputs!$B$29)))</f>
        <v/>
      </c>
      <c r="E1759">
        <f>INDEX(FactorTable!$B$2:$Y$301, MATCH(ROUND(MIN(300,MAX(1,D1759)),0), FactorTable!$A$2:$A$301,0), Skills!L12+1)</f>
        <v/>
      </c>
      <c r="F1759">
        <f>IF(Skills!M12=TRUE,(Skills!K12/10)*(E1759/1000),Skills!K12/10)+Skills!N12</f>
        <v/>
      </c>
      <c r="G1759">
        <f>Calc!G12</f>
        <v/>
      </c>
      <c r="H1759">
        <f>Calc!H12</f>
        <v/>
      </c>
      <c r="I1759">
        <f>IF(Skills!T12&lt;&gt;"",1+(Skills!T12/10)*(Z1750/1000)/100,1)</f>
        <v/>
      </c>
      <c r="J1759">
        <f>((Inputs!$B$6*(1+Inputs!$B$7/100))+(((Inputs!$B$12*(1+Inputs!$B$13/100))-(Inputs!$B$12*(1+Inputs!$B$13/100)))+0.25*(Inputs!$B$14-Inputs!$B$14))*(1+Inputs!$B$7/100))*(F1759/100)</f>
        <v/>
      </c>
      <c r="K1759">
        <f>J1759*(1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1765-Calc!F18),(Inputs!$B$23+(IF(ArtifactsInput!$M$15,CHOOSE(ArtifactsInput!$N$15+1,25,30,35,40,45,50)/100*(Inputs!$B$11-Inputs!$B$11),0))))/100+(Inputs!$B$23+(IF(ArtifactsInput!$M$15,CHOOSE(ArtifactsInput!$N$15+1,25,30,35,40,45,50)/100*(Inputs!$B$11-Inputs!$B$11),0)))/100)/2</f>
        <v/>
      </c>
      <c r="M1759">
        <f>L1759*(1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IF(B1783=0,0,O1759/B1783)</f>
        <v/>
      </c>
      <c r="Q1759">
        <f>IFERROR(1/IF(Inputs!$B$38="pvp",15,MAX(0.1,Skills!D12-IF(Skills!E12=TRUE,Inputs!$B$32,0))),0)</f>
        <v/>
      </c>
      <c r="R1759">
        <f>IF(AND(Inputs!$B$38&lt;&gt;"pvp",Inputs!$B$43&gt;0),IF(MAX(0,Inputs!$B$43-B1780)&lt;=0,0,(INT(MAX(0,Inputs!$B$43-B1780)/IF(Inputs!$B$38="pvp",15,MAX(0.1,Skills!D12-IF(Skills!E12=TRUE,Inputs!$B$32,0))))+1)),0)</f>
        <v/>
      </c>
      <c r="S1759">
        <f>IF(C1759,(H1759*N1759*IF(AND(Inputs!$B$38&lt;&gt;"pvp",Inputs!$B$43&gt;0),((Skills!F12*((R1759-1)*IF(Skills!G12&gt;0,Skills!H12/Skills!G12,1)+IF(Skills!G12&gt;0,MIN(Skills!H12,MAX(0,MAX(0,Inputs!$B$43-B1780)-((R1759-1)*IF(Inputs!$B$38="pvp",15,MAX(0.1,Skills!D12-IF(Skills!E12=TRUE,Inputs!$B$32,0))))))/Skills!G12,1)))/Inputs!$B$43),G1759*Q1759))*IF(Inputs!$B$38="pvp",1,1+(Inputs!$B$20+Skills!O12+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12*((R1759-1)*IF(Skills!G12&gt;0,Skills!H12/Skills!G12,1)+IF(Skills!G12&gt;0,MIN(Skills!H12,MAX(0,MAX(0,Inputs!$B$43-B1780)-((R1759-1)*IF(Inputs!$B$38="pvp",15,MAX(0.1,Skills!D12-IF(Skills!E12=TRUE,Inputs!$B$32,0))))))/Skills!G12,1)))/Inputs!$B$43),G1759*Q1759))*IF(Inputs!$B$38="pvp",1,(1+(Inputs!$B$21+Skills!P12+B1774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Skills!A13</f>
        <v/>
      </c>
      <c r="B1760">
        <f>Skills!B13</f>
        <v/>
      </c>
      <c r="C1760">
        <f>Inputs!$B$3&gt;=49</f>
        <v/>
      </c>
      <c r="D1760">
        <f>IF(Skills!C13=1,60+Inputs!$B$25+Inputs!$B$29,IF(Skills!C13=2,90+Inputs!$B$26+Inputs!$B$29,IF(Skills!C13=3,120+Inputs!$B$27+Inputs!$B$29,MAX(0,(Inputs!$B$3-100)*3)+Inputs!$B$28+Inputs!$B$29)))</f>
        <v/>
      </c>
      <c r="E1760">
        <f>INDEX(FactorTable!$B$2:$Y$301, MATCH(ROUND(MIN(300,MAX(1,D1760)),0), FactorTable!$A$2:$A$301,0), Skills!L13+1)</f>
        <v/>
      </c>
      <c r="F1760">
        <f>IF(Skills!M13=TRUE,(Skills!K13/10)*(E1760/1000),Skills!K13/10)+Skills!N13</f>
        <v/>
      </c>
      <c r="G1760">
        <f>Calc!G13</f>
        <v/>
      </c>
      <c r="H1760">
        <f>Calc!H13</f>
        <v/>
      </c>
      <c r="I1760">
        <f>IF(Skills!T13&lt;&gt;"",1+(Skills!T13/10)*(Z1750/1000)/100,1)</f>
        <v/>
      </c>
      <c r="J1760" t="inlineStr"/>
      <c r="K1760" t="inlineStr"/>
      <c r="L1760" t="inlineStr"/>
      <c r="M1760" t="inlineStr"/>
      <c r="N1760" t="inlineStr"/>
      <c r="O1760">
        <f>(1-Summary!$B$11)*S1760+Summary!$B$11*U1760</f>
        <v/>
      </c>
      <c r="P1760">
        <f>IF(B1783=0,0,O1760/B1783)</f>
        <v/>
      </c>
      <c r="Q1760">
        <f>IFERROR(1/IF(Inputs!$B$38="pvp",15,MAX(0.1,Skills!D13-IF(Skills!E13=TRUE,Inputs!$B$32,0))),0)</f>
        <v/>
      </c>
      <c r="R1760" t="n">
        <v>0</v>
      </c>
      <c r="S1760" t="n">
        <v>0</v>
      </c>
      <c r="U1760" t="n">
        <v>0</v>
      </c>
    </row>
    <row r="1761">
      <c r="A1761">
        <f>Skills!A14</f>
        <v/>
      </c>
      <c r="B1761">
        <f>Skills!B14</f>
        <v/>
      </c>
      <c r="C1761">
        <f>Inputs!$B$3&gt;=72</f>
        <v/>
      </c>
      <c r="D1761">
        <f>IF(Skills!C14=1,60+Inputs!$B$25+Inputs!$B$29,IF(Skills!C14=2,90+Inputs!$B$26+Inputs!$B$29,IF(Skills!C14=3,120+Inputs!$B$27+Inputs!$B$29,MAX(0,(Inputs!$B$3-100)*3)+Inputs!$B$28+Inputs!$B$29)))</f>
        <v/>
      </c>
      <c r="E1761">
        <f>INDEX(FactorTable!$B$2:$Y$301, MATCH(ROUND(MIN(300,MAX(1,D1761)),0), FactorTable!$A$2:$A$301,0), Skills!L14+1)</f>
        <v/>
      </c>
      <c r="F1761">
        <f>IF(Skills!M14=TRUE,(Skills!K14/10)*(E1761/1000),Skills!K14/10)+Skills!N14</f>
        <v/>
      </c>
      <c r="G1761">
        <f>Calc!G14</f>
        <v/>
      </c>
      <c r="H1761">
        <f>Calc!H14</f>
        <v/>
      </c>
      <c r="I1761">
        <f>IF(Skills!T14&lt;&gt;"",1+(Skills!T14/10)*(Z1750/1000)/100,1)</f>
        <v/>
      </c>
      <c r="J1761" t="inlineStr"/>
      <c r="K1761" t="inlineStr"/>
      <c r="L1761" t="inlineStr"/>
      <c r="M1761" t="inlineStr"/>
      <c r="N1761" t="inlineStr"/>
      <c r="O1761">
        <f>(1-Summary!$B$11)*S1761+Summary!$B$11*U1761</f>
        <v/>
      </c>
      <c r="P1761">
        <f>IF(B1783=0,0,O1761/B1783)</f>
        <v/>
      </c>
      <c r="Q1761">
        <f>IFERROR(1/IF(Inputs!$B$38="pvp",15,MAX(0.1,Skills!D14-IF(Skills!E14=TRUE,Inputs!$B$32,0))),0)</f>
        <v/>
      </c>
      <c r="R1761" t="n">
        <v>0</v>
      </c>
      <c r="S1761" t="n">
        <v>0</v>
      </c>
      <c r="U1761" t="n">
        <v>0</v>
      </c>
    </row>
    <row r="1762">
      <c r="A1762">
        <f>Skills!A15</f>
        <v/>
      </c>
      <c r="B1762">
        <f>Skills!B15</f>
        <v/>
      </c>
      <c r="C1762">
        <f>Inputs!$B$3&gt;=75</f>
        <v/>
      </c>
      <c r="D1762">
        <f>IF(Skills!C15=1,60+Inputs!$B$25+Inputs!$B$29,IF(Skills!C15=2,90+Inputs!$B$26+Inputs!$B$29,IF(Skills!C15=3,120+Inputs!$B$27+Inputs!$B$29,MAX(0,(Inputs!$B$3-100)*3)+Inputs!$B$28+Inputs!$B$29)))</f>
        <v/>
      </c>
      <c r="E1762">
        <f>INDEX(FactorTable!$B$2:$Y$301, MATCH(ROUND(MIN(300,MAX(1,D1762)),0), FactorTable!$A$2:$A$301,0), Skills!L15+1)</f>
        <v/>
      </c>
      <c r="F1762">
        <f>IF(Skills!M15=TRUE,(Skills!K15/10)*(E1762/1000),Skills!K15/10)+Skills!N15</f>
        <v/>
      </c>
      <c r="G1762">
        <f>Calc!G15</f>
        <v/>
      </c>
      <c r="H1762">
        <f>Calc!H15</f>
        <v/>
      </c>
      <c r="I1762">
        <f>IF(Skills!T15&lt;&gt;"",1+(Skills!T15/10)*(Z1750/1000)/100,1)</f>
        <v/>
      </c>
      <c r="J1762" t="inlineStr"/>
      <c r="K1762" t="inlineStr"/>
      <c r="L1762" t="inlineStr"/>
      <c r="M1762" t="inlineStr"/>
      <c r="N1762" t="inlineStr"/>
      <c r="O1762">
        <f>(1-Summary!$B$11)*S1762+Summary!$B$11*U1762</f>
        <v/>
      </c>
      <c r="P1762">
        <f>IF(B1783=0,0,O1762/B1783)</f>
        <v/>
      </c>
      <c r="Q1762">
        <f>IFERROR(1/IF(Inputs!$B$38="pvp",15,MAX(0.1,Skills!D15-IF(Skills!E15=TRUE,Inputs!$B$32,0))),0)</f>
        <v/>
      </c>
      <c r="R1762" t="n">
        <v>0</v>
      </c>
      <c r="S1762" t="n">
        <v>0</v>
      </c>
      <c r="U1762" t="n">
        <v>0</v>
      </c>
    </row>
    <row r="1763">
      <c r="A1763">
        <f>Skills!A16</f>
        <v/>
      </c>
      <c r="B1763">
        <f>Skills!B16</f>
        <v/>
      </c>
      <c r="C1763">
        <f>Inputs!$B$3&gt;=110</f>
        <v/>
      </c>
      <c r="D1763">
        <f>IF(Skills!C16=1,60+Inputs!$B$25+Inputs!$B$29,IF(Skills!C16=2,90+Inputs!$B$26+Inputs!$B$29,IF(Skills!C16=3,120+Inputs!$B$27+Inputs!$B$29,MAX(0,(Inputs!$B$3-100)*3)+Inputs!$B$28+Inputs!$B$29)))</f>
        <v/>
      </c>
      <c r="E1763">
        <f>INDEX(FactorTable!$B$2:$Y$301, MATCH(ROUND(MIN(300,MAX(1,D1763)),0), FactorTable!$A$2:$A$301,0), Skills!L16+1)</f>
        <v/>
      </c>
      <c r="F1763">
        <f>(Skills!K16/10)*(E1763/1000)*64/45+Skills!N16</f>
        <v/>
      </c>
      <c r="G1763">
        <f>Calc!G16</f>
        <v/>
      </c>
      <c r="H1763">
        <f>Calc!H16</f>
        <v/>
      </c>
      <c r="I1763">
        <f>IF(Skills!T16&lt;&gt;"",1+(Skills!T16/10)*(Z1750/1000)/100,1)</f>
        <v/>
      </c>
      <c r="J1763" t="inlineStr"/>
      <c r="K1763" t="inlineStr"/>
      <c r="L1763" t="inlineStr"/>
      <c r="M1763" t="inlineStr"/>
      <c r="N1763" t="inlineStr"/>
      <c r="O1763">
        <f>(1-Summary!$B$11)*S1763+Summary!$B$11*U1763</f>
        <v/>
      </c>
      <c r="P1763">
        <f>IF(B1783=0,0,O1763/B1783)</f>
        <v/>
      </c>
      <c r="Q1763">
        <f>IFERROR(1/IF(Inputs!$B$38="pvp",15,MAX(0.1,Skills!D16-IF(Skills!E16=TRUE,Inputs!$B$32,0))),0)</f>
        <v/>
      </c>
      <c r="R1763">
        <f>IF(AND(Inputs!$B$38&lt;&gt;"pvp",Inputs!$B$43&gt;0),IF(Inputs!$B$43&lt;=0,0,(INT(Inputs!$B$43/IF(Inputs!$B$38="pvp",15,MAX(0.1,Skills!D16-IF(Skills!E16=TRUE,Inputs!$B$32,0))))+1)),0)</f>
        <v/>
      </c>
      <c r="S1763" t="n">
        <v>0</v>
      </c>
      <c r="U1763" t="n">
        <v>0</v>
      </c>
    </row>
    <row r="1764">
      <c r="A1764">
        <f>Skills!A17</f>
        <v/>
      </c>
      <c r="B1764">
        <f>Skills!B17</f>
        <v/>
      </c>
      <c r="C1764">
        <f>Inputs!$B$3&gt;=33</f>
        <v/>
      </c>
      <c r="D1764">
        <f>IF(Skills!C17=1,60+Inputs!$B$25+Inputs!$B$29,IF(Skills!C17=2,90+Inputs!$B$26+Inputs!$B$29,IF(Skills!C17=3,120+Inputs!$B$27+Inputs!$B$29,MAX(0,(Inputs!$B$3-100)*3)+Inputs!$B$28+Inputs!$B$29)))</f>
        <v/>
      </c>
      <c r="E1764">
        <f>INDEX(FactorTable!$B$2:$Y$301, MATCH(ROUND(MIN(300,MAX(1,D1764)),0), FactorTable!$A$2:$A$301,0), Skills!L17+1)</f>
        <v/>
      </c>
      <c r="F1764">
        <f>IF(Skills!M17=TRUE,(Skills!K17/10)*(E1764/1000),Skills!K17/10)+Skills!N17</f>
        <v/>
      </c>
      <c r="G1764">
        <f>Calc!G17</f>
        <v/>
      </c>
      <c r="H1764">
        <f>Calc!H17</f>
        <v/>
      </c>
      <c r="I1764">
        <f>IF(Skills!T17&lt;&gt;"",1+(Skills!T17/10)*(Z1750/1000)/100,1)</f>
        <v/>
      </c>
      <c r="J1764" t="inlineStr"/>
      <c r="K1764" t="inlineStr"/>
      <c r="L1764" t="inlineStr"/>
      <c r="M1764" t="inlineStr"/>
      <c r="N1764" t="inlineStr"/>
      <c r="O1764">
        <f>(1-Summary!$B$11)*S1764+Summary!$B$11*U1764</f>
        <v/>
      </c>
      <c r="P1764">
        <f>IF(B1783=0,0,O1764/B1783)</f>
        <v/>
      </c>
      <c r="Q1764">
        <f>IFERROR(1/IF(Inputs!$B$38="pvp",15,MAX(0.1,Skills!D17-IF(Skills!E17=TRUE,Inputs!$B$32,0))),0)</f>
        <v/>
      </c>
      <c r="R1764" t="n">
        <v>0</v>
      </c>
      <c r="S1764" t="n">
        <v>0</v>
      </c>
      <c r="U1764" t="n">
        <v>0</v>
      </c>
    </row>
    <row r="1765">
      <c r="A1765">
        <f>Skills!A18</f>
        <v/>
      </c>
      <c r="B1765">
        <f>Skills!B18</f>
        <v/>
      </c>
      <c r="C1765">
        <f>Inputs!$B$3&gt;=43</f>
        <v/>
      </c>
      <c r="D1765">
        <f>IF(Skills!C18=1,60+Inputs!$B$25+Inputs!$B$29,IF(Skills!C18=2,90+Inputs!$B$26+Inputs!$B$29,IF(Skills!C18=3,120+Inputs!$B$27+Inputs!$B$29,MAX(0,(Inputs!$B$3-100)*3)+Inputs!$B$28+Inputs!$B$29)))</f>
        <v/>
      </c>
      <c r="E1765">
        <f>INDEX(FactorTable!$B$2:$Y$301, MATCH(ROUND(MIN(300,MAX(1,D1765)),0), FactorTable!$A$2:$A$301,0), Skills!L18+1)</f>
        <v/>
      </c>
      <c r="F1765">
        <f>IF(Skills!M18=TRUE,(Skills!K18/10)*(E1765/1000),Skills!K18/10)+Skills!N18</f>
        <v/>
      </c>
      <c r="G1765">
        <f>Calc!G18</f>
        <v/>
      </c>
      <c r="H1765">
        <f>Calc!H18</f>
        <v/>
      </c>
      <c r="I1765">
        <f>IF(Skills!T18&lt;&gt;"",1+(Skills!T18/10)*(Z1750/1000)/100,1)</f>
        <v/>
      </c>
      <c r="J1765" t="inlineStr"/>
      <c r="K1765" t="inlineStr"/>
      <c r="L1765" t="inlineStr"/>
      <c r="M1765" t="inlineStr"/>
      <c r="N1765" t="inlineStr"/>
      <c r="O1765">
        <f>(1-Summary!$B$11)*S1765+Summary!$B$11*U1765</f>
        <v/>
      </c>
      <c r="P1765">
        <f>IF(B1783=0,0,O1765/B1783)</f>
        <v/>
      </c>
      <c r="Q1765">
        <f>IFERROR(1/IF(Inputs!$B$38="pvp",15,MAX(0.1,Skills!D18-IF(Skills!E18=TRUE,Inputs!$B$32,0))),0)</f>
        <v/>
      </c>
      <c r="R1765" t="n">
        <v>0</v>
      </c>
      <c r="S1765" t="n">
        <v>0</v>
      </c>
      <c r="U1765" t="n">
        <v>0</v>
      </c>
    </row>
    <row r="1766">
      <c r="A1766">
        <f>Skills!A19</f>
        <v/>
      </c>
      <c r="B1766">
        <f>Skills!B19</f>
        <v/>
      </c>
      <c r="C1766">
        <f>Inputs!$B$3&gt;=50</f>
        <v/>
      </c>
      <c r="D1766">
        <f>IF(Skills!C19=1,60+Inputs!$B$25+Inputs!$B$29,IF(Skills!C19=2,90+Inputs!$B$26+Inputs!$B$29,IF(Skills!C19=3,120+Inputs!$B$27+Inputs!$B$29,MAX(0,(Inputs!$B$3-100)*3)+Inputs!$B$28+Inputs!$B$29)))</f>
        <v/>
      </c>
      <c r="E1766">
        <f>INDEX(FactorTable!$B$2:$Y$301, MATCH(ROUND(MIN(300,MAX(1,D1766)),0), FactorTable!$A$2:$A$301,0), Skills!L19+1)</f>
        <v/>
      </c>
      <c r="F1766">
        <f>IF(Skills!M19=TRUE,(Skills!K19/10)*(E1766/1000),Skills!K19/10)+Skills!N19</f>
        <v/>
      </c>
      <c r="G1766">
        <f>Calc!G19</f>
        <v/>
      </c>
      <c r="H1766">
        <f>Calc!H19</f>
        <v/>
      </c>
      <c r="I1766">
        <f>IF(Skills!T19&lt;&gt;"",1+(Skills!T19/10)*(Z1750/1000)/100,1)</f>
        <v/>
      </c>
      <c r="J1766" t="inlineStr"/>
      <c r="K1766" t="inlineStr"/>
      <c r="L1766" t="inlineStr"/>
      <c r="M1766" t="inlineStr"/>
      <c r="N1766" t="inlineStr"/>
      <c r="O1766">
        <f>(1-Summary!$B$11)*S1766+Summary!$B$11*U1766</f>
        <v/>
      </c>
      <c r="P1766">
        <f>IF(B1783=0,0,O1766/B1783)</f>
        <v/>
      </c>
      <c r="Q1766">
        <f>IFERROR(1/IF(Inputs!$B$38="pvp",15,MAX(0.1,Skills!D19-IF(Skills!E19=TRUE,Inputs!$B$32,0))),0)</f>
        <v/>
      </c>
      <c r="R1766" t="n">
        <v>0</v>
      </c>
      <c r="S1766" t="n">
        <v>0</v>
      </c>
      <c r="U1766" t="n">
        <v>0</v>
      </c>
    </row>
    <row r="1767">
      <c r="A1767">
        <f>Skills!A20</f>
        <v/>
      </c>
      <c r="B1767">
        <f>Skills!B20</f>
        <v/>
      </c>
      <c r="C1767">
        <f>Inputs!$B$3&gt;=74</f>
        <v/>
      </c>
      <c r="D1767">
        <f>IF(Skills!C20=1,60+Inputs!$B$25+Inputs!$B$29,IF(Skills!C20=2,90+Inputs!$B$26+Inputs!$B$29,IF(Skills!C20=3,120+Inputs!$B$27+Inputs!$B$29,MAX(0,(Inputs!$B$3-100)*3)+Inputs!$B$28+Inputs!$B$29)))</f>
        <v/>
      </c>
      <c r="E1767">
        <f>INDEX(FactorTable!$B$2:$Y$301, MATCH(ROUND(MIN(300,MAX(1,D1767)),0), FactorTable!$A$2:$A$301,0), Skills!L20+1)</f>
        <v/>
      </c>
      <c r="F1767">
        <f>IF(Skills!M20=TRUE,(Skills!K20/10)*(E1767/1000),Skills!K20/10)+Skills!N20</f>
        <v/>
      </c>
      <c r="G1767">
        <f>Calc!G20</f>
        <v/>
      </c>
      <c r="H1767">
        <f>Calc!H20</f>
        <v/>
      </c>
      <c r="I1767">
        <f>IF(Skills!T20&lt;&gt;"",1+(Skills!T20/10)*(Z1750/1000)/100,1)</f>
        <v/>
      </c>
      <c r="J1767" t="inlineStr"/>
      <c r="K1767" t="inlineStr"/>
      <c r="L1767" t="inlineStr"/>
      <c r="M1767" t="inlineStr"/>
      <c r="N1767" t="inlineStr"/>
      <c r="O1767">
        <f>(1-Summary!$B$11)*S1767+Summary!$B$11*U1767</f>
        <v/>
      </c>
      <c r="P1767">
        <f>IF(B1783=0,0,O1767/B1783)</f>
        <v/>
      </c>
      <c r="Q1767">
        <f>IFERROR(1/IF(Inputs!$B$38="pvp",15,MAX(0.1,Skills!D20-IF(Skills!E20=TRUE,Inputs!$B$32,0))),0)</f>
        <v/>
      </c>
      <c r="R1767" t="n">
        <v>0</v>
      </c>
      <c r="S1767" t="n">
        <v>0</v>
      </c>
      <c r="U1767" t="n">
        <v>0</v>
      </c>
    </row>
    <row r="1768">
      <c r="A1768">
        <f>Skills!A21</f>
        <v/>
      </c>
      <c r="B1768">
        <f>Skills!B21</f>
        <v/>
      </c>
      <c r="C1768">
        <f>Inputs!$B$3&gt;=74</f>
        <v/>
      </c>
      <c r="D1768">
        <f>IF(Skills!C21=1,60+Inputs!$B$25+Inputs!$B$29,IF(Skills!C21=2,90+Inputs!$B$26+Inputs!$B$29,IF(Skills!C21=3,120+Inputs!$B$27+Inputs!$B$29,MAX(0,(Inputs!$B$3-100)*3)+Inputs!$B$28+Inputs!$B$29)))</f>
        <v/>
      </c>
      <c r="E1768">
        <f>INDEX(FactorTable!$B$2:$Y$301, MATCH(ROUND(MIN(300,MAX(1,D1768)),0), FactorTable!$A$2:$A$301,0), Skills!L21+1)</f>
        <v/>
      </c>
      <c r="F1768">
        <f>IF(Skills!M21=TRUE,(Skills!K21/10)*(E1768/1000),Skills!K21/10)+Skills!N21</f>
        <v/>
      </c>
      <c r="G1768">
        <f>Calc!G21</f>
        <v/>
      </c>
      <c r="H1768">
        <f>Calc!H21</f>
        <v/>
      </c>
      <c r="I1768">
        <f>IF(Skills!T21&lt;&gt;"",1+(Skills!T21/10)*(Z1750/1000)/100,1)</f>
        <v/>
      </c>
      <c r="J1768" t="inlineStr"/>
      <c r="K1768" t="inlineStr"/>
      <c r="L1768" t="inlineStr"/>
      <c r="M1768" t="inlineStr"/>
      <c r="N1768" t="inlineStr"/>
      <c r="O1768">
        <f>(1-Summary!$B$11)*S1768+Summary!$B$11*U1768</f>
        <v/>
      </c>
      <c r="P1768">
        <f>IF(B1783=0,0,O1768/B1783)</f>
        <v/>
      </c>
      <c r="Q1768">
        <f>IFERROR(1/IF(Inputs!$B$38="pvp",15,MAX(0.1,Skills!D21-IF(Skills!E21=TRUE,Inputs!$B$32,0))),0)</f>
        <v/>
      </c>
      <c r="R1768" t="n">
        <v>0</v>
      </c>
      <c r="S1768" t="n">
        <v>0</v>
      </c>
      <c r="U1768" t="n">
        <v>0</v>
      </c>
    </row>
    <row r="1769">
      <c r="A1769">
        <f>Skills!A22</f>
        <v/>
      </c>
      <c r="B1769">
        <f>Skills!B22</f>
        <v/>
      </c>
      <c r="C1769">
        <f>Inputs!$B$3&gt;=117</f>
        <v/>
      </c>
      <c r="D1769">
        <f>IF(Skills!C22=1,60+Inputs!$B$25+Inputs!$B$29,IF(Skills!C22=2,90+Inputs!$B$26+Inputs!$B$29,IF(Skills!C22=3,120+Inputs!$B$27+Inputs!$B$29,MAX(0,(Inputs!$B$3-100)*3)+Inputs!$B$28+Inputs!$B$29)))</f>
        <v/>
      </c>
      <c r="E1769">
        <f>INDEX(FactorTable!$B$2:$Y$301, MATCH(ROUND(MIN(300,MAX(1,D1769)),0), FactorTable!$A$2:$A$301,0), Skills!L22+1)</f>
        <v/>
      </c>
      <c r="F1769">
        <f>IF(Skills!M22=TRUE,(Skills!K22/10)*(E1769/1000),Skills!K22/10)+Skills!N22</f>
        <v/>
      </c>
      <c r="G1769">
        <f>Calc!G22</f>
        <v/>
      </c>
      <c r="H1769">
        <f>Calc!H22</f>
        <v/>
      </c>
      <c r="I1769">
        <f>IF(Skills!T22&lt;&gt;"",1+(Skills!T22/10)*(Z1750/1000)/100,1)</f>
        <v/>
      </c>
      <c r="J1769" t="inlineStr"/>
      <c r="K1769" t="inlineStr"/>
      <c r="L1769" t="inlineStr"/>
      <c r="M1769" t="inlineStr"/>
      <c r="N1769" t="inlineStr"/>
      <c r="O1769">
        <f>(1-Summary!$B$11)*S1769+Summary!$B$11*U1769</f>
        <v/>
      </c>
      <c r="P1769">
        <f>IF(B1783=0,0,O1769/B1783)</f>
        <v/>
      </c>
      <c r="Q1769">
        <f>IFERROR(1/IF(Inputs!$B$38="pvp",15,MAX(0.1,Skills!D22-IF(Skills!E22=TRUE,Inputs!$B$32,0))),0)</f>
        <v/>
      </c>
      <c r="R1769" t="n">
        <v>0</v>
      </c>
      <c r="S1769" t="n">
        <v>0</v>
      </c>
      <c r="U1769" t="n">
        <v>0</v>
      </c>
    </row>
    <row r="1770">
      <c r="A1770">
        <f>Skills!A23</f>
        <v/>
      </c>
      <c r="B1770">
        <f>Skills!B23</f>
        <v/>
      </c>
      <c r="C1770">
        <f>Inputs!$B$3&gt;=120</f>
        <v/>
      </c>
      <c r="D1770">
        <f>IF(Skills!C23=1,60+Inputs!$B$25+Inputs!$B$29,IF(Skills!C23=2,90+Inputs!$B$26+Inputs!$B$29,IF(Skills!C23=3,120+Inputs!$B$27+Inputs!$B$29,MAX(0,(Inputs!$B$3-100)*3)+Inputs!$B$28+Inputs!$B$29)))</f>
        <v/>
      </c>
      <c r="E1770">
        <f>INDEX(FactorTable!$B$2:$Y$301, MATCH(ROUND(MIN(300,MAX(1,D1770)),0), FactorTable!$A$2:$A$301,0), Skills!L23+1)</f>
        <v/>
      </c>
      <c r="F1770">
        <f>IF(Skills!M23=TRUE,(Skills!K23/10)*(E1770/1000),Skills!K23/10)+Skills!N23</f>
        <v/>
      </c>
      <c r="G1770">
        <f>Calc!G23</f>
        <v/>
      </c>
      <c r="H1770">
        <f>Calc!H23</f>
        <v/>
      </c>
      <c r="I1770">
        <f>IF(Skills!T23&lt;&gt;"",1+(Skills!T23/10)*(Z1750/1000)/100,1)</f>
        <v/>
      </c>
      <c r="J1770" t="inlineStr"/>
      <c r="K1770" t="inlineStr"/>
      <c r="L1770" t="inlineStr"/>
      <c r="M1770" t="inlineStr"/>
      <c r="N1770" t="inlineStr"/>
      <c r="O1770">
        <f>(1-Summary!$B$11)*S1770+Summary!$B$11*U1770</f>
        <v/>
      </c>
      <c r="P1770">
        <f>IF(B1783=0,0,O1770/B1783)</f>
        <v/>
      </c>
      <c r="Q1770">
        <f>IFERROR(1/IF(Inputs!$B$38="pvp",15,MAX(0.1,Skills!D23-IF(Skills!E23=TRUE,Inputs!$B$32,0))),0)</f>
        <v/>
      </c>
      <c r="R1770" t="n">
        <v>0</v>
      </c>
      <c r="S1770" t="n">
        <v>0</v>
      </c>
      <c r="U1770" t="n">
        <v>0</v>
      </c>
    </row>
    <row r="1773">
      <c r="A1773" t="inlineStr">
        <is>
          <t>Average Buff Multiplier (Magic Guard + Meditation + Artifact Attack%, summed; then Infinity)</t>
        </is>
      </c>
      <c r="B1773">
        <f>(1+(IF(C1750=TRUE,F1750*IF(AND(Inputs!$B$38&lt;&gt;"pvp",Inputs!$B$43&gt;0),(((R1750-1)*(Skills!S3*(1+(Inputs!$B$34+IF(Inputs!$B$3&gt;=117,F1769,0))/100))+MIN((Skills!S3*(1+(Inputs!$B$34+IF(Inputs!$B$3&gt;=117,F1769,0))/100)),MAX(0,Inputs!$B$43-((R1750-1)*Skills!D3))))/Inputs!$B$43),IF(Inputs!$B$38="pvp",MIN((Skills!S3*(1+(Inputs!$B$34+IF(Inputs!$B$3&gt;=117,F1769,0))/100)),15)/15,(Skills!S3*(1+(Inputs!$B$34+IF(Inputs!$B$3&gt;=117,F1769,0))/100))/Skills!D3)),0)+IF(C1751=TRUE,F1751*IF(AND(Inputs!$B$38&lt;&gt;"pvp",Inputs!$B$43&gt;0),(((R1751-1)*(Skills!S4*(1+(Inputs!$B$34+IF(Inputs!$B$3&gt;=117,F1769,0))/100))+MIN((Skills!S4*(1+(Inputs!$B$34+IF(Inputs!$B$3&gt;=117,F1769,0))/100)),MAX(0,Inputs!$B$43-((R1751-1)*Skills!D4))))/Inputs!$B$43),IF(Inputs!$B$38="pvp",MIN((Skills!S4*(1+(Inputs!$B$34+IF(Inputs!$B$3&gt;=117,F1769,0))/100)),15)/15,(Skills!S4*(1+(Inputs!$B$34+IF(Inputs!$B$3&gt;=117,F1769,0)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1763=TRUE,(1+F1763*IF(AND(Inputs!$B$38&lt;&gt;"pvp",Inputs!$B$43&gt;0),(((R1763-1)*(Skills!S16*(1+(Inputs!$B$34+IF(Inputs!$B$3&gt;=117,F1769,0))/100))+MIN((Skills!S16*(1+(Inputs!$B$34+IF(Inputs!$B$3&gt;=117,F1769,0))/100)),MAX(0,Inputs!$B$43-((R1763-1)*Skills!D16))))/Inputs!$B$43),IF(Inputs!$B$38="pvp",MIN((Skills!S16*(1+(Inputs!$B$34+IF(Inputs!$B$3&gt;=117,F1769,0))/100)),15)/15,(Skills!S16*(1+(Inputs!$B$34+IF(Inputs!$B$3&gt;=117,F1769,0))/100))/Skills!D16))/100),1)</f>
        <v/>
      </c>
    </row>
    <row r="1774">
      <c r="A1774" t="inlineStr">
        <is>
          <t>Monster Damage Taken Bonus % (Freezing Breath - Weaken + Elemental Reset + Artifact Enemy Damage Taken, summed)</t>
        </is>
      </c>
      <c r="B1774">
        <f>IF(Inputs!$B$3&gt;=118,15*IF(Inputs!$B$38="pvp",MIN((30*(1+(Inputs!$B$34+IF(Inputs!$B$3&gt;=117,F1769,0))/100)),15)/15,(30*(1+(Inputs!$B$34+IF(Inputs!$B$3&gt;=117,F1769,0))/100))/Skills!D8),0)+IF(C1761=TRUE,F1761,0)+(IF(AND(ArtifactsInput!$M$35,Inputs!$B$4&lt;&gt;"Chapter Hunt"),CHOOSE(ArtifactsInput!$N$35+1,15,18,21,24,27,30)*(1-EXP(-(0.2*B1777)*5)),0)+IF(AND(ArtifactsInput!$M$22,Inputs!$B$4&lt;&gt;"Chapter Hunt"),CHOOSE(ArtifactsInput!$N$22+1,10,12,14,16,18,20)*((0*(((0.15*B1777*5))^0/1)+1*(((0.15*B1777*5))^1/1)+2*(((0.15*B1777*5))^2/2)+3*(((0.15*B1777*5))^3/6)+4*(((0.15*B1777*5))^4/24)+5*(((0.15*B1777*5))^5/120))/((((0.15*B1777*5))^0/1)+(((0.15*B1777*5))^1/1)+(((0.15*B1777*5))^2/2)+(((0.15*B1777*5))^3/6)+(((0.15*B1777*5))^4/24)+(((0.15*B1777*5))^5/120))),0))</f>
        <v/>
      </c>
    </row>
    <row r="1775">
      <c r="A1775" t="inlineStr">
        <is>
          <t>Damage % Bonus (Frozen Break + Frost Clutch, flat)</t>
        </is>
      </c>
      <c r="B1775">
        <f>IF(Inputs!$B$3&gt;=66,15,0)+IF(Inputs!$B$3&gt;=98,10,0)+IF(Inputs!$B$3&gt;=125,20,0)</f>
        <v/>
      </c>
    </row>
    <row r="1776">
      <c r="A1776" t="inlineStr">
        <is>
          <t>Attack Speed Bonus % (MP Eater - MP Boost, always-on once unlocked)</t>
        </is>
      </c>
      <c r="B1776">
        <f>IF(C1760=TRUE,F1760+(F1764-Calc!F17),0)</f>
        <v/>
      </c>
    </row>
    <row r="1777">
      <c r="A1777" t="inlineStr">
        <is>
          <t>Actions Per Second</t>
        </is>
      </c>
      <c r="B1777">
        <f>1+MIN(150,150*(1-(1-(Inputs!$B$11+(ArtifactsInput!$M$15-ArtifactsInput!$M$15)*CHOOSE(ArtifactsInput!$N$15+1,8,9.6,11.2,12.8,14.4,16))/150)*(1-B1776/150)))/100</f>
        <v/>
      </c>
    </row>
    <row r="1778">
      <c r="A1778" t="inlineStr">
        <is>
          <t>Skill + Buff Cast Rate</t>
        </is>
      </c>
      <c r="B1778">
        <f>IF(AND(Inputs!$B$38&lt;&gt;"pvp",Inputs!$B$43&gt;0),SUMPRODUCT((Skills!E2:E23=TRUE)*(C1749:C1770=TRUE)*R1749:R1770)/Inputs!$B$43,SUMPRODUCT((Skills!E2:E23=TRUE)*(C1749:C1770=TRUE)*Q1749:Q1770))</f>
        <v/>
      </c>
    </row>
    <row r="1779">
      <c r="A1779" t="inlineStr">
        <is>
          <t>Chain Lightning Casts Per Second</t>
        </is>
      </c>
      <c r="B1779">
        <f>MAX(0,B1777-B1778)</f>
        <v/>
      </c>
    </row>
    <row r="1780">
      <c r="A1780" t="inlineStr">
        <is>
          <t>Buff-Casting Startup Delay (s, fixed-duration only)</t>
        </is>
      </c>
      <c r="B1780">
        <f>IF(AND(Inputs!$B$38&lt;&gt;"pvp",Inputs!$B$43&gt;0),SUMPRODUCT((Skills!S2:S23&gt;0)*(Skills!E2:E23=TRUE)*(C1749:C1770=TRUE))/B1777,0)</f>
        <v/>
      </c>
    </row>
    <row r="1781">
      <c r="A1781" t="inlineStr">
        <is>
          <t>Boss-Only Total DPS (this block's swept value)</t>
        </is>
      </c>
      <c r="B1781">
        <f>SUM(S1749:S1770)</f>
        <v/>
      </c>
    </row>
    <row r="1782">
      <c r="A1782" t="inlineStr">
        <is>
          <t>Normal-Only Total DPS (this block's swept value)</t>
        </is>
      </c>
      <c r="B1782">
        <f>SUM(U1749:U1770)</f>
        <v/>
      </c>
    </row>
    <row r="1783">
      <c r="A1783" s="6" t="inlineStr">
        <is>
          <t>TOTAL DPS</t>
        </is>
      </c>
      <c r="B1783" s="6">
        <f>SUM(O1749:O1770)</f>
        <v/>
      </c>
    </row>
    <row r="1786">
      <c r="A1786" s="6" t="inlineStr">
        <is>
          <t>Stat: Fire Flower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Inputs!$B$3&gt;=100</f>
        <v/>
      </c>
      <c r="D1788" t="inlineStr"/>
      <c r="E1788" t="inlineStr"/>
      <c r="F1788">
        <f>T1790+Skills!N2</f>
        <v/>
      </c>
      <c r="G1788">
        <f>Calc!G2</f>
        <v/>
      </c>
      <c r="H1788">
        <f>Calc!H2</f>
        <v/>
      </c>
      <c r="I1788">
        <f>IF(Skills!T2&lt;&gt;"",1+(Skills!T2/10)*(Z1789/1000)/100,1)</f>
        <v/>
      </c>
      <c r="J1788">
        <f>((Inputs!$B$6*(1+Inputs!$B$7/100))+(((Inputs!$B$12*(1+Inputs!$B$13/100))-(Inputs!$B$12*(1+Inputs!$B$13/100)))+0.25*(Inputs!$B$14-Inputs!$B$14))*(1+Inputs!$B$7/100))*(F1788/100)</f>
        <v/>
      </c>
      <c r="K1788">
        <f>J1788*(1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1804-Calc!F18),(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IF(B1822=0,0,O1788/B1822)</f>
        <v/>
      </c>
      <c r="Q1788">
        <f>IFERROR(1/IF(Inputs!$B$38="pvp",15,MAX(0.1,Skills!D2-IF(Skills!E2=TRUE,Inputs!$B$32,0))),0)</f>
        <v/>
      </c>
      <c r="R1788" t="n">
        <v>0</v>
      </c>
      <c r="S1788">
        <f>IF(C1788,(Skills!F2*N1788*B1818)*IF(Inputs!$B$38="pvp",1,1+(Inputs!$B$20+Skills!O2+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8">
        <f>MAX(0,(Inputs!$B$3-100)*3)+Inputs!$B$28+Inputs!$B$29</f>
        <v/>
      </c>
      <c r="U1788">
        <f>IF(C1788,(Skills!F2*N1788*B1818)*IF(Inputs!$B$38="pvp",1,(1+(Inputs!$B$21+Skills!P2+B1813+(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8">
        <f>MAX(0,(Inputs!$B$3-100)*3)+Inputs!$B$28+Inputs!$B$29</f>
        <v/>
      </c>
    </row>
    <row r="1789">
      <c r="A1789">
        <f>Skills!A3</f>
        <v/>
      </c>
      <c r="B1789">
        <f>Skills!B3</f>
        <v/>
      </c>
      <c r="C1789">
        <f>Inputs!$B$3&gt;=15</f>
        <v/>
      </c>
      <c r="D1789">
        <f>IF(Skills!C3=1,60+Inputs!$B$25+Inputs!$B$29,IF(Skills!C3=2,90+Inputs!$B$26+Inputs!$B$29,IF(Skills!C3=3,120+Inputs!$B$27+Inputs!$B$29,MAX(0,(Inputs!$B$3-100)*3)+Inputs!$B$28+Inputs!$B$29)))</f>
        <v/>
      </c>
      <c r="E1789">
        <f>INDEX(FactorTable!$B$2:$Y$301, MATCH(ROUND(MIN(300,MAX(1,D1789)),0), FactorTable!$A$2:$A$301,0), Skills!L3+1)</f>
        <v/>
      </c>
      <c r="F1789">
        <f>IF(Skills!M3=TRUE,(Skills!K3/10)*(E1789/1000),Skills!K3/10)+Skills!N3</f>
        <v/>
      </c>
      <c r="G1789">
        <f>Calc!G3</f>
        <v/>
      </c>
      <c r="H1789">
        <f>Calc!H3</f>
        <v/>
      </c>
      <c r="I1789">
        <f>IF(Skills!T3&lt;&gt;"",1+(Skills!T3/10)*(Z1789/1000)/100,1)</f>
        <v/>
      </c>
      <c r="J1789" t="inlineStr"/>
      <c r="K1789" t="inlineStr"/>
      <c r="L1789" t="inlineStr"/>
      <c r="M1789" t="inlineStr"/>
      <c r="N1789" t="inlineStr"/>
      <c r="O1789">
        <f>(1-Summary!$B$11)*S1789+Summary!$B$11*U1789</f>
        <v/>
      </c>
      <c r="P1789">
        <f>IF(B1822=0,0,O1789/B1822)</f>
        <v/>
      </c>
      <c r="Q1789">
        <f>IFERROR(1/IF(Inputs!$B$38="pvp",15,MAX(0.1,Skills!D3-IF(Skills!E3=TRUE,Inputs!$B$32,0))),0)</f>
        <v/>
      </c>
      <c r="R1789">
        <f>IF(AND(Inputs!$B$38&lt;&gt;"pvp",Inputs!$B$43&gt;0),IF(Inputs!$B$43&lt;=0,0,(INT(Inputs!$B$43/IF(Inputs!$B$38="pvp",15,MAX(0.1,Skills!D3-IF(Skills!E3=TRUE,Inputs!$B$32,0))))+1)),0)</f>
        <v/>
      </c>
      <c r="S1789" t="n">
        <v>0</v>
      </c>
      <c r="T1789">
        <f>INDEX(FactorTable!$B$2:$Y$301, MATCH(ROUND(MIN(300,MAX(1,T1788)),0), FactorTable!$A$2:$A$301,0), 22)</f>
        <v/>
      </c>
      <c r="U1789" t="n">
        <v>0</v>
      </c>
      <c r="Z1789">
        <f>INDEX(FactorTable!$B$2:$Y$301, MATCH(ROUND(MIN(300,MAX(1,Z1788)),0), FactorTable!$A$2:$A$301,0), 24)</f>
        <v/>
      </c>
    </row>
    <row r="1790">
      <c r="A1790">
        <f>Skills!A4</f>
        <v/>
      </c>
      <c r="B1790">
        <f>Skills!B4</f>
        <v/>
      </c>
      <c r="C1790">
        <f>Inputs!$B$3&gt;=40</f>
        <v/>
      </c>
      <c r="D1790">
        <f>IF(Skills!C4=1,60+Inputs!$B$25+Inputs!$B$29,IF(Skills!C4=2,90+Inputs!$B$26+Inputs!$B$29,IF(Skills!C4=3,120+Inputs!$B$27+Inputs!$B$29,MAX(0,(Inputs!$B$3-100)*3)+Inputs!$B$28+Inputs!$B$29)))</f>
        <v/>
      </c>
      <c r="E1790">
        <f>INDEX(FactorTable!$B$2:$Y$301, MATCH(ROUND(MIN(300,MAX(1,D1790)),0), FactorTable!$A$2:$A$301,0), Skills!L4+1)</f>
        <v/>
      </c>
      <c r="F1790">
        <f>IF(Skills!M4=TRUE,(Skills!K4/10)*(E1790/1000),Skills!K4/10)+Skills!N4</f>
        <v/>
      </c>
      <c r="G1790">
        <f>Calc!G4</f>
        <v/>
      </c>
      <c r="H1790">
        <f>Calc!H4</f>
        <v/>
      </c>
      <c r="I1790">
        <f>IF(Skills!T4&lt;&gt;"",1+(Skills!T4/10)*(Z1789/1000)/100,1)</f>
        <v/>
      </c>
      <c r="J1790" t="inlineStr"/>
      <c r="K1790" t="inlineStr"/>
      <c r="L1790" t="inlineStr"/>
      <c r="M1790" t="inlineStr"/>
      <c r="N1790" t="inlineStr"/>
      <c r="O1790">
        <f>(1-Summary!$B$11)*S1790+Summary!$B$11*U1790</f>
        <v/>
      </c>
      <c r="P1790">
        <f>IF(B1822=0,0,O1790/B1822)</f>
        <v/>
      </c>
      <c r="Q1790">
        <f>IFERROR(1/IF(Inputs!$B$38="pvp",15,MAX(0.1,Skills!D4-IF(Skills!E4=TRUE,Inputs!$B$32,0))),0)</f>
        <v/>
      </c>
      <c r="R1790">
        <f>IF(AND(Inputs!$B$38&lt;&gt;"pvp",Inputs!$B$43&gt;0),IF(Inputs!$B$43&lt;=0,0,(INT(Inputs!$B$43/IF(Inputs!$B$38="pvp",15,MAX(0.1,Skills!D4-IF(Skills!E4=TRUE,Inputs!$B$32,0))))+1)),0)</f>
        <v/>
      </c>
      <c r="S1790" t="n">
        <v>0</v>
      </c>
      <c r="T1790">
        <f>290*T1789/1000</f>
        <v/>
      </c>
      <c r="U1790" t="n">
        <v>0</v>
      </c>
    </row>
    <row r="1791">
      <c r="A1791">
        <f>Skills!A5</f>
        <v/>
      </c>
      <c r="B1791">
        <f>Skills!B5</f>
        <v/>
      </c>
      <c r="C1791">
        <f>Inputs!$B$3&gt;=38</f>
        <v/>
      </c>
      <c r="D1791">
        <f>IF(Skills!C5=1,60+Inputs!$B$25+Inputs!$B$29,IF(Skills!C5=2,90+Inputs!$B$26+Inputs!$B$29,IF(Skills!C5=3,120+Inputs!$B$27+Inputs!$B$29,MAX(0,(Inputs!$B$3-100)*3)+Inputs!$B$28+Inputs!$B$29)))</f>
        <v/>
      </c>
      <c r="E1791">
        <f>INDEX(FactorTable!$B$2:$Y$301, MATCH(ROUND(MIN(300,MAX(1,D1791)),0), FactorTable!$A$2:$A$301,0), Skills!L5+1)</f>
        <v/>
      </c>
      <c r="F1791">
        <f>IF(Skills!M5=TRUE,(Skills!K5/10)*(E1791/1000),Skills!K5/10)+Skills!N5</f>
        <v/>
      </c>
      <c r="G1791">
        <f>Calc!G5</f>
        <v/>
      </c>
      <c r="H1791">
        <f>Calc!H5</f>
        <v/>
      </c>
      <c r="I1791">
        <f>IF(Skills!T5&lt;&gt;"",1+(Skills!T5/10)*(Z1789/1000)/100,1)</f>
        <v/>
      </c>
      <c r="J1791">
        <f>((Inputs!$B$6*(1+Inputs!$B$7/100))+(((Inputs!$B$12*(1+Inputs!$B$13/100))-(Inputs!$B$12*(1+Inputs!$B$13/100)))+0.25*(Inputs!$B$14-Inputs!$B$14))*(1+Inputs!$B$7/100))*(F1791/100)</f>
        <v/>
      </c>
      <c r="K1791">
        <f>J1791*(1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1804-Calc!F18),(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IF(B1822=0,0,O1791/B1822)</f>
        <v/>
      </c>
      <c r="Q1791">
        <f>IFERROR(1/IF(Inputs!$B$38="pvp",15,MAX(0.1,Skills!D5-IF(Skills!E5=TRUE,Inputs!$B$32,0))),0)</f>
        <v/>
      </c>
      <c r="R1791">
        <f>IF(AND(Inputs!$B$38&lt;&gt;"pvp",Inputs!$B$43&gt;0),IF(MAX(0,Inputs!$B$43-B1819)&lt;=0,0,(INT(MAX(0,Inputs!$B$43-B1819)/IF(Inputs!$B$38="pvp",15,MAX(0.1,Skills!D5-IF(Skills!E5=TRUE,Inputs!$B$32,0))))+1)),0)</f>
        <v/>
      </c>
      <c r="S1791">
        <f>IF(C1791,(H1791*N1791*IF(AND(Inputs!$B$38&lt;&gt;"pvp",Inputs!$B$43&gt;0),((Skills!F5*((R1791-1)*IF(Skills!G5&gt;0,Skills!H5/Skills!G5,1)+IF(Skills!G5&gt;0,MIN(Skills!H5,MAX(0,MAX(0,Inputs!$B$43-B1819)-((R1791-1)*IF(Inputs!$B$38="pvp",15,MAX(0.1,Skills!D5-IF(Skills!E5=TRUE,Inputs!$B$32,0))))))/Skills!G5,1)))/Inputs!$B$43),G1791*Q1791))*IF(Inputs!$B$38="pvp",1,1+(Inputs!$B$20+Skills!O5+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F5*((R1791-1)*IF(Skills!G5&gt;0,Skills!H5/Skills!G5,1)+IF(Skills!G5&gt;0,MIN(Skills!H5,MAX(0,MAX(0,Inputs!$B$43-B1819)-((R1791-1)*IF(Inputs!$B$38="pvp",15,MAX(0.1,Skills!D5-IF(Skills!E5=TRUE,Inputs!$B$32,0))))))/Skills!G5,1)))/Inputs!$B$43),G1791*Q1791))*IF(Inputs!$B$38="pvp",1,(1+(Inputs!$B$21+Skills!P5+B1813+(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Inputs!$B$3&gt;=63</f>
        <v/>
      </c>
      <c r="D1792">
        <f>IF(Skills!C6=1,60+Inputs!$B$25+Inputs!$B$29,IF(Skills!C6=2,90+Inputs!$B$26+Inputs!$B$29,IF(Skills!C6=3,120+Inputs!$B$27+Inputs!$B$29,MAX(0,(Inputs!$B$3-100)*3)+Inputs!$B$28+Inputs!$B$29)))</f>
        <v/>
      </c>
      <c r="E1792">
        <f>INDEX(FactorTable!$B$2:$Y$301, MATCH(ROUND(MIN(300,MAX(1,D1792)),0), FactorTable!$A$2:$A$301,0), Skills!L6+1)</f>
        <v/>
      </c>
      <c r="F1792">
        <f>IF(Skills!M6=TRUE,(Skills!K6/10)*(E1792/1000),Skills!K6/10)+Skills!N6</f>
        <v/>
      </c>
      <c r="G1792">
        <f>Calc!G6</f>
        <v/>
      </c>
      <c r="H1792">
        <f>Calc!H6</f>
        <v/>
      </c>
      <c r="I1792">
        <f>IF(Skills!T6&lt;&gt;"",1+(Skills!T6/10)*(Z1789/1000)/100,1)</f>
        <v/>
      </c>
      <c r="J1792">
        <f>((Inputs!$B$6*(1+Inputs!$B$7/100))+(((Inputs!$B$12*(1+Inputs!$B$13/100))-(Inputs!$B$12*(1+Inputs!$B$13/100)))+0.25*(Inputs!$B$14-Inputs!$B$14))*(1+Inputs!$B$7/100))*(F1792/100)</f>
        <v/>
      </c>
      <c r="K1792">
        <f>J1792*(1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F1804-Calc!F18),(Inputs!$B$23+(IF(ArtifactsInput!$M$15,CHOOSE(ArtifactsInput!$N$15+1,25,30,35,40,45,50)/100*(Inputs!$B$11-Inputs!$B$11),0))))/100+(Inputs!$B$23+(IF(ArtifactsInput!$M$15,CHOOSE(ArtifactsInput!$N$15+1,25,30,35,40,45,50)/100*(Inputs!$B$11-Inputs!$B$11),0)))/100)/2</f>
        <v/>
      </c>
      <c r="M1792">
        <f>L1792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(1-Summary!$B$11)*S1792+Summary!$B$11*U1792</f>
        <v/>
      </c>
      <c r="P1792">
        <f>IF(B1822=0,0,O1792/B1822)</f>
        <v/>
      </c>
      <c r="Q1792">
        <f>IFERROR(1/IF(Inputs!$B$38="pvp",15,MAX(0.1,Skills!D6-IF(Skills!E6=TRUE,Inputs!$B$32,0))),0)</f>
        <v/>
      </c>
      <c r="R1792">
        <f>IF(AND(Inputs!$B$38&lt;&gt;"pvp",Inputs!$B$43&gt;0),IF(MAX(0,Inputs!$B$43-B1819)&lt;=0,0,(INT(MAX(0,Inputs!$B$43-B1819)/IF(Inputs!$B$38="pvp",15,MAX(0.1,Skills!D6-IF(Skills!E6=TRUE,Inputs!$B$32,0))))+1)),0)</f>
        <v/>
      </c>
      <c r="S1792">
        <f>IF(C1792,(H1792*N1792*IF(AND(Inputs!$B$38&lt;&gt;"pvp",Inputs!$B$43&gt;0),((Skills!F6*((R1792-1)*IF(Skills!G6&gt;0,Skills!H6/Skills!G6,1)+IF(Skills!G6&gt;0,MIN(Skills!H6,MAX(0,MAX(0,Inputs!$B$43-B1819)-((R1792-1)*IF(Inputs!$B$38="pvp",15,MAX(0.1,Skills!D6-IF(Skills!E6=TRUE,Inputs!$B$32,0))))))/Skills!G6,1)))/Inputs!$B$43),G1792*Q1792))*IF(Inputs!$B$38="pvp",1,1+(Inputs!$B$20+Skills!O6+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1792*(1-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2">
        <f>IF(C1792,(H1792*N1792*IF(AND(Inputs!$B$38&lt;&gt;"pvp",Inputs!$B$43&gt;0),((Skills!F6*((R1792-1)*IF(Skills!G6&gt;0,Skills!H6/Skills!G6,1)+IF(Skills!G6&gt;0,MIN(Skills!H6,MAX(0,MAX(0,Inputs!$B$43-B1819)-((R1792-1)*IF(Inputs!$B$38="pvp",15,MAX(0.1,Skills!D6-IF(Skills!E6=TRUE,Inputs!$B$32,0))))))/Skills!G6,1)))/Inputs!$B$43),G1792*Q1792))*IF(Inputs!$B$38="pvp",1,(1+(Inputs!$B$21+Skills!P6+B1813+(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Skills!A7</f>
        <v/>
      </c>
      <c r="B1793">
        <f>Skills!B7</f>
        <v/>
      </c>
      <c r="C1793">
        <f>Inputs!$B$3&gt;=69</f>
        <v/>
      </c>
      <c r="D1793">
        <f>IF(Skills!C7=1,60+Inputs!$B$25+Inputs!$B$29,IF(Skills!C7=2,90+Inputs!$B$26+Inputs!$B$29,IF(Skills!C7=3,120+Inputs!$B$27+Inputs!$B$29,MAX(0,(Inputs!$B$3-100)*3)+Inputs!$B$28+Inputs!$B$29)))</f>
        <v/>
      </c>
      <c r="E1793">
        <f>INDEX(FactorTable!$B$2:$Y$301, MATCH(ROUND(MIN(300,MAX(1,D1793)),0), FactorTable!$A$2:$A$301,0), Skills!L7+1)</f>
        <v/>
      </c>
      <c r="F1793">
        <f>IF(Skills!M7=TRUE,(Skills!K7/10)*(E1793/1000),Skills!K7/10)+Skills!N7</f>
        <v/>
      </c>
      <c r="G1793">
        <f>Calc!G7</f>
        <v/>
      </c>
      <c r="H1793">
        <f>Calc!H7</f>
        <v/>
      </c>
      <c r="I1793">
        <f>IF(Skills!T7&lt;&gt;"",1+(Skills!T7/10)*(Z1789/1000)/100,1)</f>
        <v/>
      </c>
      <c r="J1793">
        <f>((Inputs!$B$6*(1+Inputs!$B$7/100))+(((Inputs!$B$12*(1+Inputs!$B$13/100))-(Inputs!$B$12*(1+Inputs!$B$13/100)))+0.25*(Inputs!$B$14-Inputs!$B$14))*(1+Inputs!$B$7/100))*(F1793/100)</f>
        <v/>
      </c>
      <c r="K1793">
        <f>J1793*(1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1804-Calc!F18),(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IF(B1822=0,0,O1793/B1822)</f>
        <v/>
      </c>
      <c r="Q1793">
        <f>IFERROR(1/IF(Inputs!$B$38="pvp",15,MAX(0.1,Skills!D7-IF(Skills!E7=TRUE,Inputs!$B$32,0))),0)</f>
        <v/>
      </c>
      <c r="R1793">
        <f>IF(AND(Inputs!$B$38&lt;&gt;"pvp",Inputs!$B$43&gt;0),IF(MAX(0,Inputs!$B$43-B1819)&lt;=0,0,(INT(MAX(0,Inputs!$B$43-B1819)/IF(Inputs!$B$38="pvp",15,MAX(0.1,Skills!D7-IF(Skills!E7=TRUE,Inputs!$B$32,0))))+1)),0)</f>
        <v/>
      </c>
      <c r="S1793">
        <f>IF(C1793,(H1793*N1793*IF(AND(Inputs!$B$38&lt;&gt;"pvp",Inputs!$B$43&gt;0),((Skills!F7*((R1793-1)*IF(Skills!G7&gt;0,Skills!H7/Skills!G7,1)+IF(Skills!G7&gt;0,MIN(Skills!H7,MAX(0,MAX(0,Inputs!$B$43-B1819)-((R1793-1)*IF(Inputs!$B$38="pvp",15,MAX(0.1,Skills!D7-IF(Skills!E7=TRUE,Inputs!$B$32,0))))))/Skills!G7,1)))/Inputs!$B$43),G1793*Q1793))*IF(Inputs!$B$38="pvp",1,1+(Inputs!$B$20+Skills!O7+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F7*((R1793-1)*IF(Skills!G7&gt;0,Skills!H7/Skills!G7,1)+IF(Skills!G7&gt;0,MIN(Skills!H7,MAX(0,MAX(0,Inputs!$B$43-B1819)-((R1793-1)*IF(Inputs!$B$38="pvp",15,MAX(0.1,Skills!D7-IF(Skills!E7=TRUE,Inputs!$B$32,0))))))/Skills!G7,1)))/Inputs!$B$43),G1793*Q1793))*IF(Inputs!$B$38="pvp",1,(1+(Inputs!$B$21+Skills!P7+B1813+(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Inputs!$B$3&gt;=103</f>
        <v/>
      </c>
      <c r="D1794">
        <f>IF(Skills!C8=1,60+Inputs!$B$25+Inputs!$B$29,IF(Skills!C8=2,90+Inputs!$B$26+Inputs!$B$29,IF(Skills!C8=3,120+Inputs!$B$27+Inputs!$B$29,MAX(0,(Inputs!$B$3-100)*3)+Inputs!$B$28+Inputs!$B$29)))</f>
        <v/>
      </c>
      <c r="E1794">
        <f>INDEX(FactorTable!$B$2:$Y$301, MATCH(ROUND(MIN(300,MAX(1,D1794)),0), FactorTable!$A$2:$A$301,0), Skills!L8+1)</f>
        <v/>
      </c>
      <c r="F1794">
        <f>IF(Skills!M8=TRUE,(Skills!K8/10)*(E1794/1000),Skills!K8/10)+Skills!N8</f>
        <v/>
      </c>
      <c r="G1794">
        <f>Calc!G8</f>
        <v/>
      </c>
      <c r="H1794">
        <f>Calc!H8</f>
        <v/>
      </c>
      <c r="I1794">
        <f>IF(Skills!T8&lt;&gt;"",1+(Skills!T8/10)*(Z1789/1000)/100,1)</f>
        <v/>
      </c>
      <c r="J1794">
        <f>((Inputs!$B$6*(1+Inputs!$B$7/100))+(((Inputs!$B$12*(1+Inputs!$B$13/100))-(Inputs!$B$12*(1+Inputs!$B$13/100)))+0.25*(Inputs!$B$14-Inputs!$B$14))*(1+Inputs!$B$7/100))*(F1794/100)</f>
        <v/>
      </c>
      <c r="K1794">
        <f>J1794*(1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1804-Calc!F18),(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IF(B1822=0,0,O1794/B1822)</f>
        <v/>
      </c>
      <c r="Q1794">
        <f>IFERROR(1/IF(Inputs!$B$38="pvp",15,MAX(0.1,Skills!D8-IF(Skills!E8=TRUE,Inputs!$B$32,0))),0)</f>
        <v/>
      </c>
      <c r="R1794">
        <f>IF(AND(Inputs!$B$38&lt;&gt;"pvp",Inputs!$B$43&gt;0),IF(MAX(0,Inputs!$B$43-B1819)&lt;=0,0,(INT(MAX(0,Inputs!$B$43-B1819)/IF(Inputs!$B$38="pvp",15,MAX(0.1,Skills!D8-IF(Skills!E8=TRUE,Inputs!$B$32,0))))+1)),0)</f>
        <v/>
      </c>
      <c r="S1794">
        <f>IF(C1794,(H1794*N1794*IF(AND(Inputs!$B$38&lt;&gt;"pvp",Inputs!$B$43&gt;0),((Skills!F8*((R1794-1)*IF(Skills!G8&gt;0,Skills!H8/Skills!G8,1)+IF(Skills!G8&gt;0,MIN(Skills!H8,MAX(0,MAX(0,Inputs!$B$43-B1819)-((R1794-1)*IF(Inputs!$B$38="pvp",15,MAX(0.1,Skills!D8-IF(Skills!E8=TRUE,Inputs!$B$32,0))))))/Skills!G8,1)))/Inputs!$B$43),G1794*Q1794))*IF(Inputs!$B$38="pvp",1,1+(Inputs!$B$20+Skills!O8+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F8*((R1794-1)*IF(Skills!G8&gt;0,Skills!H8/Skills!G8,1)+IF(Skills!G8&gt;0,MIN(Skills!H8,MAX(0,MAX(0,Inputs!$B$43-B1819)-((R1794-1)*IF(Inputs!$B$38="pvp",15,MAX(0.1,Skills!D8-IF(Skills!E8=TRUE,Inputs!$B$32,0))))))/Skills!G8,1)))/Inputs!$B$43),G1794*Q1794))*IF(Inputs!$B$38="pvp",1,(1+(Inputs!$B$21+Skills!P8+B1813+(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Inputs!$B$3&gt;=105</f>
        <v/>
      </c>
      <c r="D1795">
        <f>IF(Skills!C9=1,60+Inputs!$B$25+Inputs!$B$29,IF(Skills!C9=2,90+Inputs!$B$26+Inputs!$B$29,IF(Skills!C9=3,120+Inputs!$B$27+Inputs!$B$29,MAX(0,(Inputs!$B$3-100)*3)+Inputs!$B$28+Inputs!$B$29)))</f>
        <v/>
      </c>
      <c r="E1795">
        <f>INDEX(FactorTable!$B$2:$Y$301, MATCH(ROUND(MIN(300,MAX(1,D1795)),0), FactorTable!$A$2:$A$301,0), Skills!L9+1)</f>
        <v/>
      </c>
      <c r="F1795">
        <f>IF(Skills!M9=TRUE,(Skills!K9/10)*(E1795/1000),Skills!K9/10)+Skills!N9</f>
        <v/>
      </c>
      <c r="G1795">
        <f>Calc!G9</f>
        <v/>
      </c>
      <c r="H1795">
        <f>Calc!H9</f>
        <v/>
      </c>
      <c r="I1795">
        <f>IF(Skills!T9&lt;&gt;"",1+(Skills!T9/10)*(Z1789/1000)/100,1)</f>
        <v/>
      </c>
      <c r="J1795">
        <f>((Inputs!$B$6*(1+Inputs!$B$7/100))+(((Inputs!$B$12*(1+Inputs!$B$13/100))-(Inputs!$B$12*(1+Inputs!$B$13/100)))+0.25*(Inputs!$B$14-Inputs!$B$14))*(1+Inputs!$B$7/100))*(F1795/100)</f>
        <v/>
      </c>
      <c r="K1795">
        <f>J1795*(1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1804-Calc!F18),(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IF(B1822=0,0,O1795/B1822)</f>
        <v/>
      </c>
      <c r="Q1795">
        <f>IFERROR(1/IF(Inputs!$B$38="pvp",15,MAX(0.1,Skills!D9-IF(Skills!E9=TRUE,Inputs!$B$32,0))),0)</f>
        <v/>
      </c>
      <c r="R1795">
        <f>IF(AND(Inputs!$B$38&lt;&gt;"pvp",Inputs!$B$43&gt;0),IF(MAX(0,Inputs!$B$43-B1819)&lt;=0,0,(INT(MAX(0,Inputs!$B$43-B1819)/IF(Inputs!$B$38="pvp",15,MAX(0.1,Skills!D9-IF(Skills!E9=TRUE,Inputs!$B$32,0))))+1)),0)</f>
        <v/>
      </c>
      <c r="S1795">
        <f>IF(C1795,(H1795*N1795*IF(AND(Inputs!$B$38&lt;&gt;"pvp",Inputs!$B$43&gt;0),((Skills!F9*((R1795-1)*IF(Skills!G9&gt;0,Skills!H9/Skills!G9,1)+IF(Skills!G9&gt;0,MIN(Skills!H9,MAX(0,MAX(0,Inputs!$B$43-B1819)-((R1795-1)*IF(Inputs!$B$38="pvp",15,MAX(0.1,Skills!D9-IF(Skills!E9=TRUE,Inputs!$B$32,0))))))/Skills!G9,1)))/Inputs!$B$43),G1795*Q1795))*IF(Inputs!$B$38="pvp",1,1+(Inputs!$B$20+Skills!O9+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F9*((R1795-1)*IF(Skills!G9&gt;0,Skills!H9/Skills!G9,1)+IF(Skills!G9&gt;0,MIN(Skills!H9,MAX(0,MAX(0,Inputs!$B$43-B1819)-((R1795-1)*IF(Inputs!$B$38="pvp",15,MAX(0.1,Skills!D9-IF(Skills!E9=TRUE,Inputs!$B$32,0))))))/Skills!G9,1)))/Inputs!$B$43),G1795*Q1795))*IF(Inputs!$B$38="pvp",1,(1+(Inputs!$B$21+Skills!P9+B1813+(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Inputs!$B$3&gt;=113</f>
        <v/>
      </c>
      <c r="D1796">
        <f>IF(Skills!C10=1,60+Inputs!$B$25+Inputs!$B$29,IF(Skills!C10=2,90+Inputs!$B$26+Inputs!$B$29,IF(Skills!C10=3,120+Inputs!$B$27+Inputs!$B$29,MAX(0,(Inputs!$B$3-100)*3)+Inputs!$B$28+Inputs!$B$29)))</f>
        <v/>
      </c>
      <c r="E1796">
        <f>INDEX(FactorTable!$B$2:$Y$301, MATCH(ROUND(MIN(300,MAX(1,D1796)),0), FactorTable!$A$2:$A$301,0), Skills!L10+1)</f>
        <v/>
      </c>
      <c r="F1796">
        <f>IF(Skills!M10=TRUE,(Skills!K10/10)*(E1796/1000),Skills!K10/10)+Skills!N10</f>
        <v/>
      </c>
      <c r="G1796">
        <f>Calc!G10</f>
        <v/>
      </c>
      <c r="H1796">
        <f>Calc!H10</f>
        <v/>
      </c>
      <c r="I1796">
        <f>IF(Skills!T10&lt;&gt;"",1+(Skills!T10/10)*(Z1789/1000)/100,1)</f>
        <v/>
      </c>
      <c r="J1796">
        <f>((Inputs!$B$6*(1+Inputs!$B$7/100))+(((Inputs!$B$12*(1+Inputs!$B$13/100))-(Inputs!$B$12*(1+Inputs!$B$13/100)))+0.25*(Inputs!$B$14-Inputs!$B$14))*(1+Inputs!$B$7/100))*(F1796/100)</f>
        <v/>
      </c>
      <c r="K1796">
        <f>J1796*(1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1804-Calc!F18),(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IF(B1822=0,0,O1796/B1822)</f>
        <v/>
      </c>
      <c r="Q1796">
        <f>IFERROR(1/IF(Inputs!$B$38="pvp",15,MAX(0.1,Skills!D10-IF(Skills!E9=TRUE,Inputs!$B$32,0))),0)</f>
        <v/>
      </c>
      <c r="R1796">
        <f>IF(AND(Inputs!$B$38&lt;&gt;"pvp",Inputs!$B$43&gt;0),IF(MAX(0,Inputs!$B$43-B1819)&lt;=0,0,(INT(MAX(0,Inputs!$B$43-B1819)/IF(Inputs!$B$38="pvp",15,MAX(0.1,Skills!D10-IF(Skills!E9=TRUE,Inputs!$B$32,0))))+1)),0)</f>
        <v/>
      </c>
      <c r="S1796">
        <f>IF(C1796,(H1796*N1796*IF(AND(Inputs!$B$38&lt;&gt;"pvp",Inputs!$B$43&gt;0),((Skills!F10*((R1796-1)*IF(Skills!G10&gt;0,Skills!H10/Skills!G10,1)+IF(Skills!G10&gt;0,MIN(Skills!H10,MAX(0,MAX(0,Inputs!$B$43-B1819)-((R1796-1)*IF(Inputs!$B$38="pvp",15,MAX(0.1,Skills!D10-IF(Skills!E9=TRUE,Inputs!$B$32,0))))))/Skills!G10,1)))/Inputs!$B$43),G1796*Q1796))*IF(Inputs!$B$38="pvp",1,1+(Inputs!$B$20+Skills!O10+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F10*((R1796-1)*IF(Skills!G10&gt;0,Skills!H10/Skills!G10,1)+IF(Skills!G10&gt;0,MIN(Skills!H10,MAX(0,MAX(0,Inputs!$B$43-B1819)-((R1796-1)*IF(Inputs!$B$38="pvp",15,MAX(0.1,Skills!D10-IF(Skills!E9=TRUE,Inputs!$B$32,0))))))/Skills!G10,1)))/Inputs!$B$43),G1796*Q1796))*IF(Inputs!$B$38="pvp",1,(1+(Inputs!$B$21+Skills!P10+B1813+(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Inputs!$B$3&gt;=107</f>
        <v/>
      </c>
      <c r="D1797">
        <f>IF(Skills!C11=1,60+Inputs!$B$25+Inputs!$B$29,IF(Skills!C11=2,90+Inputs!$B$26+Inputs!$B$29,IF(Skills!C11=3,120+Inputs!$B$27+Inputs!$B$29,MAX(0,(Inputs!$B$3-100)*3)+Inputs!$B$28+Inputs!$B$29)))</f>
        <v/>
      </c>
      <c r="E1797">
        <f>INDEX(FactorTable!$B$2:$Y$301, MATCH(ROUND(MIN(300,MAX(1,D1797)),0), FactorTable!$A$2:$A$301,0), Skills!L11+1)</f>
        <v/>
      </c>
      <c r="F1797">
        <f>IF(Skills!M11=TRUE,(Skills!K11/10)*(E1797/1000),Skills!K11/10)+Skills!N11</f>
        <v/>
      </c>
      <c r="G1797">
        <f>Calc!G11</f>
        <v/>
      </c>
      <c r="H1797">
        <f>Calc!H11</f>
        <v/>
      </c>
      <c r="I1797">
        <f>IF(Skills!T11&lt;&gt;"",1+(Skills!T11/10)*(Z1789/1000)/100,1)</f>
        <v/>
      </c>
      <c r="J1797">
        <f>((Inputs!$B$6*(1+Inputs!$B$7/100))+(((Inputs!$B$12*(1+Inputs!$B$13/100))-(Inputs!$B$12*(1+Inputs!$B$13/100)))+0.25*(Inputs!$B$14-Inputs!$B$14))*(1+Inputs!$B$7/100))*(F1797/100)</f>
        <v/>
      </c>
      <c r="K1797">
        <f>J1797*(1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1804-Calc!F18),(Inputs!$B$23+(IF(ArtifactsInput!$M$15,CHOOSE(ArtifactsInput!$N$15+1,25,30,35,40,45,50)/100*(Inputs!$B$11-Inputs!$B$11),0))))/100+(Inputs!$B$23+(IF(ArtifactsInput!$M$15,CHOOSE(ArtifactsInput!$N$15+1,25,30,35,40,45,50)/100*(Inputs!$B$11-Inputs!$B$11),0)))/100)/2</f>
        <v/>
      </c>
      <c r="M1797">
        <f>L1797*(1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IF(B1822=0,0,O1797/B1822)</f>
        <v/>
      </c>
      <c r="Q1797">
        <f>IFERROR(1/IF(Inputs!$B$38="pvp",15,MAX(0.1,Skills!D11-IF(Skills!E11=TRUE,Inputs!$B$32,0))),0)</f>
        <v/>
      </c>
      <c r="R1797">
        <f>IF(AND(Inputs!$B$38&lt;&gt;"pvp",Inputs!$B$43&gt;0),IF(MAX(0,Inputs!$B$43-B1819)&lt;=0,0,(INT(MAX(0,Inputs!$B$43-B1819)/IF(Inputs!$B$38="pvp",15,MAX(0.1,Skills!D11-IF(Skills!E11=TRUE,Inputs!$B$32,0))))+1)),0)</f>
        <v/>
      </c>
      <c r="S1797">
        <f>IF(C1797,H1797*N1797*IF(AND(Inputs!$B$38&lt;&gt;"pvp",Inputs!$B$43&gt;0),((Skills!F11*((R1797-1)*IF(Skills!G11&gt;0,Skills!H11/Skills!G11,1)+IF(Skills!G11&gt;0,MIN(Skills!H11,MAX(0,MAX(0,Inputs!$B$43-B1819)-((R1797-1)*IF(Inputs!$B$38="pvp",15,MAX(0.1,Skills!D11-IF(Skills!E11=TRUE,Inputs!$B$32,0))))))/Skills!G11,1)))/Inputs!$B$43),G1797*Q1797)*0.5*IF(Inputs!$B$38="pvp",1,1+(Inputs!$B$20+Skills!O11+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11*((R1797-1)*IF(Skills!G11&gt;0,Skills!H11/Skills!G11,1)+IF(Skills!G11&gt;0,MIN(Skills!H11,MAX(0,MAX(0,Inputs!$B$43-B1819)-((R1797-1)*IF(Inputs!$B$38="pvp",15,MAX(0.1,Skills!D11-IF(Skills!E11=TRUE,Inputs!$B$32,0))))))/Skills!G11,1)))/Inputs!$B$43),G1797*Q1797)*1*IF(Inputs!$B$38="pvp",1,(1+(Inputs!$B$21+Skills!P11+B1813+(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Skills!A12</f>
        <v/>
      </c>
      <c r="B1798">
        <f>Skills!B12</f>
        <v/>
      </c>
      <c r="C1798">
        <f>Inputs!$B$3&gt;=115</f>
        <v/>
      </c>
      <c r="D1798">
        <f>IF(Skills!C12=1,60+Inputs!$B$25+Inputs!$B$29,IF(Skills!C12=2,90+Inputs!$B$26+Inputs!$B$29,IF(Skills!C12=3,120+Inputs!$B$27+Inputs!$B$29,MAX(0,(Inputs!$B$3-100)*3)+Inputs!$B$28+Inputs!$B$29)))</f>
        <v/>
      </c>
      <c r="E1798">
        <f>INDEX(FactorTable!$B$2:$Y$301, MATCH(ROUND(MIN(300,MAX(1,D1798)),0), FactorTable!$A$2:$A$301,0), Skills!L12+1)</f>
        <v/>
      </c>
      <c r="F1798">
        <f>IF(Skills!M12=TRUE,(Skills!K12/10)*(E1798/1000),Skills!K12/10)+Skills!N12</f>
        <v/>
      </c>
      <c r="G1798">
        <f>Calc!G12</f>
        <v/>
      </c>
      <c r="H1798">
        <f>Calc!H12</f>
        <v/>
      </c>
      <c r="I1798">
        <f>IF(Skills!T12&lt;&gt;"",1+(Skills!T12/10)*(Z1789/1000)/100,1)</f>
        <v/>
      </c>
      <c r="J1798">
        <f>((Inputs!$B$6*(1+Inputs!$B$7/100))+(((Inputs!$B$12*(1+Inputs!$B$13/100))-(Inputs!$B$12*(1+Inputs!$B$13/100)))+0.25*(Inputs!$B$14-Inputs!$B$14))*(1+Inputs!$B$7/100))*(F1798/100)</f>
        <v/>
      </c>
      <c r="K1798">
        <f>J1798*(1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1804-Calc!F18),(Inputs!$B$23+(IF(ArtifactsInput!$M$15,CHOOSE(ArtifactsInput!$N$15+1,25,30,35,40,45,50)/100*(Inputs!$B$11-Inputs!$B$11),0))))/100+(Inputs!$B$23+(IF(ArtifactsInput!$M$15,CHOOSE(ArtifactsInput!$N$15+1,25,30,35,40,45,50)/100*(Inputs!$B$11-Inputs!$B$11),0)))/100)/2</f>
        <v/>
      </c>
      <c r="M1798">
        <f>L1798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IF(B1822=0,0,O1798/B1822)</f>
        <v/>
      </c>
      <c r="Q1798">
        <f>IFERROR(1/IF(Inputs!$B$38="pvp",15,MAX(0.1,Skills!D12-IF(Skills!E12=TRUE,Inputs!$B$32,0))),0)</f>
        <v/>
      </c>
      <c r="R1798">
        <f>IF(AND(Inputs!$B$38&lt;&gt;"pvp",Inputs!$B$43&gt;0),IF(MAX(0,Inputs!$B$43-B1819)&lt;=0,0,(INT(MAX(0,Inputs!$B$43-B1819)/IF(Inputs!$B$38="pvp",15,MAX(0.1,Skills!D12-IF(Skills!E12=TRUE,Inputs!$B$32,0))))+1)),0)</f>
        <v/>
      </c>
      <c r="S1798">
        <f>IF(C1798,(H1798*N1798*IF(AND(Inputs!$B$38&lt;&gt;"pvp",Inputs!$B$43&gt;0),((Skills!F12*((R1798-1)*IF(Skills!G12&gt;0,Skills!H12/Skills!G12,1)+IF(Skills!G12&gt;0,MIN(Skills!H12,MAX(0,MAX(0,Inputs!$B$43-B1819)-((R1798-1)*IF(Inputs!$B$38="pvp",15,MAX(0.1,Skills!D12-IF(Skills!E12=TRUE,Inputs!$B$32,0))))))/Skills!G12,1)))/Inputs!$B$43),G1798*Q1798))*IF(Inputs!$B$38="pvp",1,1+(Inputs!$B$20+Skills!O12+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12*((R1798-1)*IF(Skills!G12&gt;0,Skills!H12/Skills!G12,1)+IF(Skills!G12&gt;0,MIN(Skills!H12,MAX(0,MAX(0,Inputs!$B$43-B1819)-((R1798-1)*IF(Inputs!$B$38="pvp",15,MAX(0.1,Skills!D12-IF(Skills!E12=TRUE,Inputs!$B$32,0))))))/Skills!G12,1)))/Inputs!$B$43),G1798*Q1798))*IF(Inputs!$B$38="pvp",1,(1+(Inputs!$B$21+Skills!P12+B1813+(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Skills!A13</f>
        <v/>
      </c>
      <c r="B1799">
        <f>Skills!B13</f>
        <v/>
      </c>
      <c r="C1799">
        <f>Inputs!$B$3&gt;=49</f>
        <v/>
      </c>
      <c r="D1799">
        <f>IF(Skills!C13=1,60+Inputs!$B$25+Inputs!$B$29,IF(Skills!C13=2,90+Inputs!$B$26+Inputs!$B$29,IF(Skills!C13=3,120+Inputs!$B$27+Inputs!$B$29,MAX(0,(Inputs!$B$3-100)*3)+Inputs!$B$28+Inputs!$B$29)))</f>
        <v/>
      </c>
      <c r="E1799">
        <f>INDEX(FactorTable!$B$2:$Y$301, MATCH(ROUND(MIN(300,MAX(1,D1799)),0), FactorTable!$A$2:$A$301,0), Skills!L13+1)</f>
        <v/>
      </c>
      <c r="F1799">
        <f>IF(Skills!M13=TRUE,(Skills!K13/10)*(E1799/1000),Skills!K13/10)+Skills!N13</f>
        <v/>
      </c>
      <c r="G1799">
        <f>Calc!G13</f>
        <v/>
      </c>
      <c r="H1799">
        <f>Calc!H13</f>
        <v/>
      </c>
      <c r="I1799">
        <f>IF(Skills!T13&lt;&gt;"",1+(Skills!T13/10)*(Z1789/1000)/100,1)</f>
        <v/>
      </c>
      <c r="J1799" t="inlineStr"/>
      <c r="K1799" t="inlineStr"/>
      <c r="L1799" t="inlineStr"/>
      <c r="M1799" t="inlineStr"/>
      <c r="N1799" t="inlineStr"/>
      <c r="O1799">
        <f>(1-Summary!$B$11)*S1799+Summary!$B$11*U1799</f>
        <v/>
      </c>
      <c r="P1799">
        <f>IF(B1822=0,0,O1799/B1822)</f>
        <v/>
      </c>
      <c r="Q1799">
        <f>IFERROR(1/IF(Inputs!$B$38="pvp",15,MAX(0.1,Skills!D13-IF(Skills!E13=TRUE,Inputs!$B$32,0))),0)</f>
        <v/>
      </c>
      <c r="R1799" t="n">
        <v>0</v>
      </c>
      <c r="S1799" t="n">
        <v>0</v>
      </c>
      <c r="U1799" t="n">
        <v>0</v>
      </c>
    </row>
    <row r="1800">
      <c r="A1800">
        <f>Skills!A14</f>
        <v/>
      </c>
      <c r="B1800">
        <f>Skills!B14</f>
        <v/>
      </c>
      <c r="C1800">
        <f>Inputs!$B$3&gt;=72</f>
        <v/>
      </c>
      <c r="D1800">
        <f>IF(Skills!C14=1,60+Inputs!$B$25+Inputs!$B$29,IF(Skills!C14=2,90+Inputs!$B$26+Inputs!$B$29,IF(Skills!C14=3,120+Inputs!$B$27+Inputs!$B$29,MAX(0,(Inputs!$B$3-100)*3)+Inputs!$B$28+Inputs!$B$29)))</f>
        <v/>
      </c>
      <c r="E1800">
        <f>INDEX(FactorTable!$B$2:$Y$301, MATCH(ROUND(MIN(300,MAX(1,D1800)),0), FactorTable!$A$2:$A$301,0), Skills!L14+1)</f>
        <v/>
      </c>
      <c r="F1800">
        <f>IF(Skills!M14=TRUE,(Skills!K14/10)*(E1800/1000),Skills!K14/10)+Skills!N14</f>
        <v/>
      </c>
      <c r="G1800">
        <f>Calc!G14</f>
        <v/>
      </c>
      <c r="H1800">
        <f>Calc!H14</f>
        <v/>
      </c>
      <c r="I1800">
        <f>IF(Skills!T14&lt;&gt;"",1+(Skills!T14/10)*(Z1789/1000)/100,1)</f>
        <v/>
      </c>
      <c r="J1800" t="inlineStr"/>
      <c r="K1800" t="inlineStr"/>
      <c r="L1800" t="inlineStr"/>
      <c r="M1800" t="inlineStr"/>
      <c r="N1800" t="inlineStr"/>
      <c r="O1800">
        <f>(1-Summary!$B$11)*S1800+Summary!$B$11*U1800</f>
        <v/>
      </c>
      <c r="P1800">
        <f>IF(B1822=0,0,O1800/B1822)</f>
        <v/>
      </c>
      <c r="Q1800">
        <f>IFERROR(1/IF(Inputs!$B$38="pvp",15,MAX(0.1,Skills!D14-IF(Skills!E14=TRUE,Inputs!$B$32,0))),0)</f>
        <v/>
      </c>
      <c r="R1800" t="n">
        <v>0</v>
      </c>
      <c r="S1800" t="n">
        <v>0</v>
      </c>
      <c r="U1800" t="n">
        <v>0</v>
      </c>
    </row>
    <row r="1801">
      <c r="A1801">
        <f>Skills!A15</f>
        <v/>
      </c>
      <c r="B1801">
        <f>Skills!B15</f>
        <v/>
      </c>
      <c r="C1801">
        <f>Inputs!$B$3&gt;=75</f>
        <v/>
      </c>
      <c r="D1801">
        <f>IF(Skills!C15=1,60+Inputs!$B$25+Inputs!$B$29,IF(Skills!C15=2,90+Inputs!$B$26+Inputs!$B$29,IF(Skills!C15=3,120+Inputs!$B$27+Inputs!$B$29,MAX(0,(Inputs!$B$3-100)*3)+Inputs!$B$28+Inputs!$B$29)))</f>
        <v/>
      </c>
      <c r="E1801">
        <f>INDEX(FactorTable!$B$2:$Y$301, MATCH(ROUND(MIN(300,MAX(1,D1801)),0), FactorTable!$A$2:$A$301,0), Skills!L15+1)</f>
        <v/>
      </c>
      <c r="F1801">
        <f>IF(Skills!M15=TRUE,(Skills!K15/10)*(E1801/1000),Skills!K15/10)+Skills!N15</f>
        <v/>
      </c>
      <c r="G1801">
        <f>Calc!G15</f>
        <v/>
      </c>
      <c r="H1801">
        <f>Calc!H15</f>
        <v/>
      </c>
      <c r="I1801">
        <f>IF(Skills!T15&lt;&gt;"",1+(Skills!T15/10)*(Z1789/1000)/100,1)</f>
        <v/>
      </c>
      <c r="J1801" t="inlineStr"/>
      <c r="K1801" t="inlineStr"/>
      <c r="L1801" t="inlineStr"/>
      <c r="M1801" t="inlineStr"/>
      <c r="N1801" t="inlineStr"/>
      <c r="O1801">
        <f>(1-Summary!$B$11)*S1801+Summary!$B$11*U1801</f>
        <v/>
      </c>
      <c r="P1801">
        <f>IF(B1822=0,0,O1801/B1822)</f>
        <v/>
      </c>
      <c r="Q1801">
        <f>IFERROR(1/IF(Inputs!$B$38="pvp",15,MAX(0.1,Skills!D15-IF(Skills!E15=TRUE,Inputs!$B$32,0))),0)</f>
        <v/>
      </c>
      <c r="R1801" t="n">
        <v>0</v>
      </c>
      <c r="S1801" t="n">
        <v>0</v>
      </c>
      <c r="U1801" t="n">
        <v>0</v>
      </c>
    </row>
    <row r="1802">
      <c r="A1802">
        <f>Skills!A16</f>
        <v/>
      </c>
      <c r="B1802">
        <f>Skills!B16</f>
        <v/>
      </c>
      <c r="C1802">
        <f>Inputs!$B$3&gt;=110</f>
        <v/>
      </c>
      <c r="D1802">
        <f>IF(Skills!C16=1,60+Inputs!$B$25+Inputs!$B$29,IF(Skills!C16=2,90+Inputs!$B$26+Inputs!$B$29,IF(Skills!C16=3,120+Inputs!$B$27+Inputs!$B$29,MAX(0,(Inputs!$B$3-100)*3)+Inputs!$B$28+Inputs!$B$29)))</f>
        <v/>
      </c>
      <c r="E1802">
        <f>INDEX(FactorTable!$B$2:$Y$301, MATCH(ROUND(MIN(300,MAX(1,D1802)),0), FactorTable!$A$2:$A$301,0), Skills!L16+1)</f>
        <v/>
      </c>
      <c r="F1802">
        <f>(Skills!K16/10)*(E1802/1000)*64/45+Skills!N16</f>
        <v/>
      </c>
      <c r="G1802">
        <f>Calc!G16</f>
        <v/>
      </c>
      <c r="H1802">
        <f>Calc!H16</f>
        <v/>
      </c>
      <c r="I1802">
        <f>IF(Skills!T16&lt;&gt;"",1+(Skills!T16/10)*(Z1789/1000)/100,1)</f>
        <v/>
      </c>
      <c r="J1802" t="inlineStr"/>
      <c r="K1802" t="inlineStr"/>
      <c r="L1802" t="inlineStr"/>
      <c r="M1802" t="inlineStr"/>
      <c r="N1802" t="inlineStr"/>
      <c r="O1802">
        <f>(1-Summary!$B$11)*S1802+Summary!$B$11*U1802</f>
        <v/>
      </c>
      <c r="P1802">
        <f>IF(B1822=0,0,O1802/B1822)</f>
        <v/>
      </c>
      <c r="Q1802">
        <f>IFERROR(1/IF(Inputs!$B$38="pvp",15,MAX(0.1,Skills!D16-IF(Skills!E16=TRUE,Inputs!$B$32,0))),0)</f>
        <v/>
      </c>
      <c r="R1802">
        <f>IF(AND(Inputs!$B$38&lt;&gt;"pvp",Inputs!$B$43&gt;0),IF(Inputs!$B$43&lt;=0,0,(INT(Inputs!$B$43/IF(Inputs!$B$38="pvp",15,MAX(0.1,Skills!D16-IF(Skills!E16=TRUE,Inputs!$B$32,0))))+1)),0)</f>
        <v/>
      </c>
      <c r="S1802" t="n">
        <v>0</v>
      </c>
      <c r="U1802" t="n">
        <v>0</v>
      </c>
    </row>
    <row r="1803">
      <c r="A1803">
        <f>Skills!A17</f>
        <v/>
      </c>
      <c r="B1803">
        <f>Skills!B17</f>
        <v/>
      </c>
      <c r="C1803">
        <f>Inputs!$B$3&gt;=33</f>
        <v/>
      </c>
      <c r="D1803">
        <f>IF(Skills!C17=1,60+Inputs!$B$25+Inputs!$B$29,IF(Skills!C17=2,90+Inputs!$B$26+Inputs!$B$29,IF(Skills!C17=3,120+Inputs!$B$27+Inputs!$B$29,MAX(0,(Inputs!$B$3-100)*3)+Inputs!$B$28+Inputs!$B$29)))</f>
        <v/>
      </c>
      <c r="E1803">
        <f>INDEX(FactorTable!$B$2:$Y$301, MATCH(ROUND(MIN(300,MAX(1,D1803)),0), FactorTable!$A$2:$A$301,0), Skills!L17+1)</f>
        <v/>
      </c>
      <c r="F1803">
        <f>IF(Skills!M17=TRUE,(Skills!K17/10)*(E1803/1000),Skills!K17/10)+Skills!N17</f>
        <v/>
      </c>
      <c r="G1803">
        <f>Calc!G17</f>
        <v/>
      </c>
      <c r="H1803">
        <f>Calc!H17</f>
        <v/>
      </c>
      <c r="I1803">
        <f>IF(Skills!T17&lt;&gt;"",1+(Skills!T17/10)*(Z1789/1000)/100,1)</f>
        <v/>
      </c>
      <c r="J1803" t="inlineStr"/>
      <c r="K1803" t="inlineStr"/>
      <c r="L1803" t="inlineStr"/>
      <c r="M1803" t="inlineStr"/>
      <c r="N1803" t="inlineStr"/>
      <c r="O1803">
        <f>(1-Summary!$B$11)*S1803+Summary!$B$11*U1803</f>
        <v/>
      </c>
      <c r="P1803">
        <f>IF(B1822=0,0,O1803/B1822)</f>
        <v/>
      </c>
      <c r="Q1803">
        <f>IFERROR(1/IF(Inputs!$B$38="pvp",15,MAX(0.1,Skills!D17-IF(Skills!E17=TRUE,Inputs!$B$32,0))),0)</f>
        <v/>
      </c>
      <c r="R1803" t="n">
        <v>0</v>
      </c>
      <c r="S1803" t="n">
        <v>0</v>
      </c>
      <c r="U1803" t="n">
        <v>0</v>
      </c>
    </row>
    <row r="1804">
      <c r="A1804">
        <f>Skills!A18</f>
        <v/>
      </c>
      <c r="B1804">
        <f>Skills!B18</f>
        <v/>
      </c>
      <c r="C1804">
        <f>Inputs!$B$3&gt;=43</f>
        <v/>
      </c>
      <c r="D1804">
        <f>IF(Skills!C18=1,60+Inputs!$B$25+Inputs!$B$29,IF(Skills!C18=2,90+Inputs!$B$26+Inputs!$B$29,IF(Skills!C18=3,120+Inputs!$B$27+Inputs!$B$29,MAX(0,(Inputs!$B$3-100)*3)+Inputs!$B$28+Inputs!$B$29)))</f>
        <v/>
      </c>
      <c r="E1804">
        <f>INDEX(FactorTable!$B$2:$Y$301, MATCH(ROUND(MIN(300,MAX(1,D1804)),0), FactorTable!$A$2:$A$301,0), Skills!L18+1)</f>
        <v/>
      </c>
      <c r="F1804">
        <f>IF(Skills!M18=TRUE,(Skills!K18/10)*(E1804/1000),Skills!K18/10)+Skills!N18</f>
        <v/>
      </c>
      <c r="G1804">
        <f>Calc!G18</f>
        <v/>
      </c>
      <c r="H1804">
        <f>Calc!H18</f>
        <v/>
      </c>
      <c r="I1804">
        <f>IF(Skills!T18&lt;&gt;"",1+(Skills!T18/10)*(Z1789/1000)/100,1)</f>
        <v/>
      </c>
      <c r="J1804" t="inlineStr"/>
      <c r="K1804" t="inlineStr"/>
      <c r="L1804" t="inlineStr"/>
      <c r="M1804" t="inlineStr"/>
      <c r="N1804" t="inlineStr"/>
      <c r="O1804">
        <f>(1-Summary!$B$11)*S1804+Summary!$B$11*U1804</f>
        <v/>
      </c>
      <c r="P1804">
        <f>IF(B1822=0,0,O1804/B1822)</f>
        <v/>
      </c>
      <c r="Q1804">
        <f>IFERROR(1/IF(Inputs!$B$38="pvp",15,MAX(0.1,Skills!D18-IF(Skills!E18=TRUE,Inputs!$B$32,0))),0)</f>
        <v/>
      </c>
      <c r="R1804" t="n">
        <v>0</v>
      </c>
      <c r="S1804" t="n">
        <v>0</v>
      </c>
      <c r="U1804" t="n">
        <v>0</v>
      </c>
    </row>
    <row r="1805">
      <c r="A1805">
        <f>Skills!A19</f>
        <v/>
      </c>
      <c r="B1805">
        <f>Skills!B19</f>
        <v/>
      </c>
      <c r="C1805">
        <f>Inputs!$B$3&gt;=50</f>
        <v/>
      </c>
      <c r="D1805">
        <f>IF(Skills!C19=1,60+Inputs!$B$25+Inputs!$B$29,IF(Skills!C19=2,90+Inputs!$B$26+Inputs!$B$29,IF(Skills!C19=3,120+Inputs!$B$27+Inputs!$B$29,MAX(0,(Inputs!$B$3-100)*3)+Inputs!$B$28+Inputs!$B$29)))</f>
        <v/>
      </c>
      <c r="E1805">
        <f>INDEX(FactorTable!$B$2:$Y$301, MATCH(ROUND(MIN(300,MAX(1,D1805)),0), FactorTable!$A$2:$A$301,0), Skills!L19+1)</f>
        <v/>
      </c>
      <c r="F1805">
        <f>IF(Skills!M19=TRUE,(Skills!K19/10)*(E1805/1000),Skills!K19/10)+Skills!N19</f>
        <v/>
      </c>
      <c r="G1805">
        <f>Calc!G19</f>
        <v/>
      </c>
      <c r="H1805">
        <f>Calc!H19</f>
        <v/>
      </c>
      <c r="I1805">
        <f>IF(Skills!T19&lt;&gt;"",1+(Skills!T19/10)*(Z1789/1000)/100,1)</f>
        <v/>
      </c>
      <c r="J1805" t="inlineStr"/>
      <c r="K1805" t="inlineStr"/>
      <c r="L1805" t="inlineStr"/>
      <c r="M1805" t="inlineStr"/>
      <c r="N1805" t="inlineStr"/>
      <c r="O1805">
        <f>(1-Summary!$B$11)*S1805+Summary!$B$11*U1805</f>
        <v/>
      </c>
      <c r="P1805">
        <f>IF(B1822=0,0,O1805/B1822)</f>
        <v/>
      </c>
      <c r="Q1805">
        <f>IFERROR(1/IF(Inputs!$B$38="pvp",15,MAX(0.1,Skills!D19-IF(Skills!E19=TRUE,Inputs!$B$32,0))),0)</f>
        <v/>
      </c>
      <c r="R1805" t="n">
        <v>0</v>
      </c>
      <c r="S1805" t="n">
        <v>0</v>
      </c>
      <c r="U1805" t="n">
        <v>0</v>
      </c>
    </row>
    <row r="1806">
      <c r="A1806">
        <f>Skills!A20</f>
        <v/>
      </c>
      <c r="B1806">
        <f>Skills!B20</f>
        <v/>
      </c>
      <c r="C1806">
        <f>Inputs!$B$3&gt;=74</f>
        <v/>
      </c>
      <c r="D1806">
        <f>IF(Skills!C20=1,60+Inputs!$B$25+Inputs!$B$29,IF(Skills!C20=2,90+Inputs!$B$26+Inputs!$B$29,IF(Skills!C20=3,120+Inputs!$B$27+Inputs!$B$29,MAX(0,(Inputs!$B$3-100)*3)+Inputs!$B$28+Inputs!$B$29)))</f>
        <v/>
      </c>
      <c r="E1806">
        <f>INDEX(FactorTable!$B$2:$Y$301, MATCH(ROUND(MIN(300,MAX(1,D1806)),0), FactorTable!$A$2:$A$301,0), Skills!L20+1)</f>
        <v/>
      </c>
      <c r="F1806">
        <f>IF(Skills!M20=TRUE,(Skills!K20/10)*(E1806/1000),Skills!K20/10)+Skills!N20</f>
        <v/>
      </c>
      <c r="G1806">
        <f>Calc!G20</f>
        <v/>
      </c>
      <c r="H1806">
        <f>Calc!H20</f>
        <v/>
      </c>
      <c r="I1806">
        <f>IF(Skills!T20&lt;&gt;"",1+(Skills!T20/10)*(Z1789/1000)/100,1)</f>
        <v/>
      </c>
      <c r="J1806" t="inlineStr"/>
      <c r="K1806" t="inlineStr"/>
      <c r="L1806" t="inlineStr"/>
      <c r="M1806" t="inlineStr"/>
      <c r="N1806" t="inlineStr"/>
      <c r="O1806">
        <f>(1-Summary!$B$11)*S1806+Summary!$B$11*U1806</f>
        <v/>
      </c>
      <c r="P1806">
        <f>IF(B1822=0,0,O1806/B1822)</f>
        <v/>
      </c>
      <c r="Q1806">
        <f>IFERROR(1/IF(Inputs!$B$38="pvp",15,MAX(0.1,Skills!D20-IF(Skills!E20=TRUE,Inputs!$B$32,0))),0)</f>
        <v/>
      </c>
      <c r="R1806" t="n">
        <v>0</v>
      </c>
      <c r="S1806" t="n">
        <v>0</v>
      </c>
      <c r="U1806" t="n">
        <v>0</v>
      </c>
    </row>
    <row r="1807">
      <c r="A1807">
        <f>Skills!A21</f>
        <v/>
      </c>
      <c r="B1807">
        <f>Skills!B21</f>
        <v/>
      </c>
      <c r="C1807">
        <f>Inputs!$B$3&gt;=74</f>
        <v/>
      </c>
      <c r="D1807">
        <f>IF(Skills!C21=1,60+Inputs!$B$25+Inputs!$B$29,IF(Skills!C21=2,90+Inputs!$B$26+Inputs!$B$29,IF(Skills!C21=3,120+Inputs!$B$27+Inputs!$B$29,MAX(0,(Inputs!$B$3-100)*3)+Inputs!$B$28+Inputs!$B$29)))</f>
        <v/>
      </c>
      <c r="E1807">
        <f>INDEX(FactorTable!$B$2:$Y$301, MATCH(ROUND(MIN(300,MAX(1,D1807)),0), FactorTable!$A$2:$A$301,0), Skills!L21+1)</f>
        <v/>
      </c>
      <c r="F1807">
        <f>IF(Skills!M21=TRUE,(Skills!K21/10)*(E1807/1000),Skills!K21/10)+Skills!N21</f>
        <v/>
      </c>
      <c r="G1807">
        <f>Calc!G21</f>
        <v/>
      </c>
      <c r="H1807">
        <f>Calc!H21</f>
        <v/>
      </c>
      <c r="I1807">
        <f>IF(Skills!T21&lt;&gt;"",1+(Skills!T21/10)*(Z1789/1000)/100,1)</f>
        <v/>
      </c>
      <c r="J1807" t="inlineStr"/>
      <c r="K1807" t="inlineStr"/>
      <c r="L1807" t="inlineStr"/>
      <c r="M1807" t="inlineStr"/>
      <c r="N1807" t="inlineStr"/>
      <c r="O1807">
        <f>(1-Summary!$B$11)*S1807+Summary!$B$11*U1807</f>
        <v/>
      </c>
      <c r="P1807">
        <f>IF(B1822=0,0,O1807/B1822)</f>
        <v/>
      </c>
      <c r="Q1807">
        <f>IFERROR(1/IF(Inputs!$B$38="pvp",15,MAX(0.1,Skills!D21-IF(Skills!E21=TRUE,Inputs!$B$32,0))),0)</f>
        <v/>
      </c>
      <c r="R1807" t="n">
        <v>0</v>
      </c>
      <c r="S1807" t="n">
        <v>0</v>
      </c>
      <c r="U1807" t="n">
        <v>0</v>
      </c>
    </row>
    <row r="1808">
      <c r="A1808">
        <f>Skills!A22</f>
        <v/>
      </c>
      <c r="B1808">
        <f>Skills!B22</f>
        <v/>
      </c>
      <c r="C1808">
        <f>Inputs!$B$3&gt;=117</f>
        <v/>
      </c>
      <c r="D1808">
        <f>IF(Skills!C22=1,60+Inputs!$B$25+Inputs!$B$29,IF(Skills!C22=2,90+Inputs!$B$26+Inputs!$B$29,IF(Skills!C22=3,120+Inputs!$B$27+Inputs!$B$29,MAX(0,(Inputs!$B$3-100)*3)+Inputs!$B$28+Inputs!$B$29)))</f>
        <v/>
      </c>
      <c r="E1808">
        <f>INDEX(FactorTable!$B$2:$Y$301, MATCH(ROUND(MIN(300,MAX(1,D1808)),0), FactorTable!$A$2:$A$301,0), Skills!L22+1)</f>
        <v/>
      </c>
      <c r="F1808">
        <f>IF(Skills!M22=TRUE,(Skills!K22/10)*(E1808/1000),Skills!K22/10)+Skills!N22</f>
        <v/>
      </c>
      <c r="G1808">
        <f>Calc!G22</f>
        <v/>
      </c>
      <c r="H1808">
        <f>Calc!H22</f>
        <v/>
      </c>
      <c r="I1808">
        <f>IF(Skills!T22&lt;&gt;"",1+(Skills!T22/10)*(Z1789/1000)/100,1)</f>
        <v/>
      </c>
      <c r="J1808" t="inlineStr"/>
      <c r="K1808" t="inlineStr"/>
      <c r="L1808" t="inlineStr"/>
      <c r="M1808" t="inlineStr"/>
      <c r="N1808" t="inlineStr"/>
      <c r="O1808">
        <f>(1-Summary!$B$11)*S1808+Summary!$B$11*U1808</f>
        <v/>
      </c>
      <c r="P1808">
        <f>IF(B1822=0,0,O1808/B1822)</f>
        <v/>
      </c>
      <c r="Q1808">
        <f>IFERROR(1/IF(Inputs!$B$38="pvp",15,MAX(0.1,Skills!D22-IF(Skills!E22=TRUE,Inputs!$B$32,0))),0)</f>
        <v/>
      </c>
      <c r="R1808" t="n">
        <v>0</v>
      </c>
      <c r="S1808" t="n">
        <v>0</v>
      </c>
      <c r="U1808" t="n">
        <v>0</v>
      </c>
    </row>
    <row r="1809">
      <c r="A1809">
        <f>Skills!A23</f>
        <v/>
      </c>
      <c r="B1809">
        <f>Skills!B23</f>
        <v/>
      </c>
      <c r="C1809">
        <f>Inputs!$B$3&gt;=120</f>
        <v/>
      </c>
      <c r="D1809">
        <f>IF(Skills!C23=1,60+Inputs!$B$25+Inputs!$B$29,IF(Skills!C23=2,90+Inputs!$B$26+Inputs!$B$29,IF(Skills!C23=3,120+Inputs!$B$27+Inputs!$B$29,MAX(0,(Inputs!$B$3-100)*3)+Inputs!$B$28+Inputs!$B$29)))</f>
        <v/>
      </c>
      <c r="E1809">
        <f>INDEX(FactorTable!$B$2:$Y$301, MATCH(ROUND(MIN(300,MAX(1,D1809)),0), FactorTable!$A$2:$A$301,0), Skills!L23+1)</f>
        <v/>
      </c>
      <c r="F1809">
        <f>IF(Skills!M23=TRUE,(Skills!K23/10)*(E1809/1000),Skills!K23/10)+Skills!N23</f>
        <v/>
      </c>
      <c r="G1809">
        <f>Calc!G23</f>
        <v/>
      </c>
      <c r="H1809">
        <f>Calc!H23</f>
        <v/>
      </c>
      <c r="I1809">
        <f>IF(Skills!T23&lt;&gt;"",1+(Skills!T23/10)*(Z1789/1000)/100,1)</f>
        <v/>
      </c>
      <c r="J1809" t="inlineStr"/>
      <c r="K1809" t="inlineStr"/>
      <c r="L1809" t="inlineStr"/>
      <c r="M1809" t="inlineStr"/>
      <c r="N1809" t="inlineStr"/>
      <c r="O1809">
        <f>(1-Summary!$B$11)*S1809+Summary!$B$11*U1809</f>
        <v/>
      </c>
      <c r="P1809">
        <f>IF(B1822=0,0,O1809/B1822)</f>
        <v/>
      </c>
      <c r="Q1809">
        <f>IFERROR(1/IF(Inputs!$B$38="pvp",15,MAX(0.1,Skills!D23-IF(Skills!E23=TRUE,Inputs!$B$32,0))),0)</f>
        <v/>
      </c>
      <c r="R1809" t="n">
        <v>0</v>
      </c>
      <c r="S1809" t="n">
        <v>0</v>
      </c>
      <c r="U1809" t="n">
        <v>0</v>
      </c>
    </row>
    <row r="1812">
      <c r="A1812" t="inlineStr">
        <is>
          <t>Average Buff Multiplier (Magic Guard + Meditation + Artifact Attack%, summed; then Infinity)</t>
        </is>
      </c>
      <c r="B1812">
        <f>(1+(IF(C1789=TRUE,F1789*IF(AND(Inputs!$B$38&lt;&gt;"pvp",Inputs!$B$43&gt;0),(((R1789-1)*(Skills!S3*(1+(Inputs!$B$34+IF(Inputs!$B$3&gt;=117,F1808,0))/100))+MIN((Skills!S3*(1+(Inputs!$B$34+IF(Inputs!$B$3&gt;=117,F1808,0))/100)),MAX(0,Inputs!$B$43-((R1789-1)*Skills!D3))))/Inputs!$B$43),IF(Inputs!$B$38="pvp",MIN((Skills!S3*(1+(Inputs!$B$34+IF(Inputs!$B$3&gt;=117,F1808,0))/100)),15)/15,(Skills!S3*(1+(Inputs!$B$34+IF(Inputs!$B$3&gt;=117,F1808,0))/100))/Skills!D3)),0)+IF(C1790=TRUE,F1790*IF(AND(Inputs!$B$38&lt;&gt;"pvp",Inputs!$B$43&gt;0),(((R1790-1)*(Skills!S4*(1+(Inputs!$B$34+IF(Inputs!$B$3&gt;=117,F1808,0))/100))+MIN((Skills!S4*(1+(Inputs!$B$34+IF(Inputs!$B$3&gt;=117,F1808,0))/100)),MAX(0,Inputs!$B$43-((R1790-1)*Skills!D4))))/Inputs!$B$43),IF(Inputs!$B$38="pvp",MIN((Skills!S4*(1+(Inputs!$B$34+IF(Inputs!$B$3&gt;=117,F1808,0))/100)),15)/15,(Skills!S4*(1+(Inputs!$B$34+IF(Inputs!$B$3&gt;=117,F1808,0)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1802=TRUE,(1+F1802*IF(AND(Inputs!$B$38&lt;&gt;"pvp",Inputs!$B$43&gt;0),(((R1802-1)*(Skills!S16*(1+(Inputs!$B$34+IF(Inputs!$B$3&gt;=117,F1808,0))/100))+MIN((Skills!S16*(1+(Inputs!$B$34+IF(Inputs!$B$3&gt;=117,F1808,0))/100)),MAX(0,Inputs!$B$43-((R1802-1)*Skills!D16))))/Inputs!$B$43),IF(Inputs!$B$38="pvp",MIN((Skills!S16*(1+(Inputs!$B$34+IF(Inputs!$B$3&gt;=117,F1808,0))/100)),15)/15,(Skills!S16*(1+(Inputs!$B$34+IF(Inputs!$B$3&gt;=117,F1808,0))/100))/Skills!D16))/100),1)</f>
        <v/>
      </c>
    </row>
    <row r="1813">
      <c r="A1813" t="inlineStr">
        <is>
          <t>Monster Damage Taken Bonus % (Freezing Breath - Weaken + Elemental Reset + Artifact Enemy Damage Taken, summed)</t>
        </is>
      </c>
      <c r="B1813">
        <f>IF(Inputs!$B$3&gt;=118,15*IF(Inputs!$B$38="pvp",MIN((30*(1+(Inputs!$B$34+IF(Inputs!$B$3&gt;=117,F1808,0))/100)),15)/15,(30*(1+(Inputs!$B$34+IF(Inputs!$B$3&gt;=117,F1808,0))/100))/Skills!D8),0)+IF(C1800=TRUE,F1800,0)+(IF(AND(ArtifactsInput!$M$35,Inputs!$B$4&lt;&gt;"Chapter Hunt"),CHOOSE(ArtifactsInput!$N$35+1,15,18,21,24,27,30)*(1-EXP(-(0.2*B1816)*5)),0)+IF(AND(ArtifactsInput!$M$22,Inputs!$B$4&lt;&gt;"Chapter Hunt"),CHOOSE(ArtifactsInput!$N$22+1,10,12,14,16,18,20)*((0*(((0.15*B1816*5))^0/1)+1*(((0.15*B1816*5))^1/1)+2*(((0.15*B1816*5))^2/2)+3*(((0.15*B1816*5))^3/6)+4*(((0.15*B1816*5))^4/24)+5*(((0.15*B1816*5))^5/120))/((((0.15*B1816*5))^0/1)+(((0.15*B1816*5))^1/1)+(((0.15*B1816*5))^2/2)+(((0.15*B1816*5))^3/6)+(((0.15*B1816*5))^4/24)+(((0.15*B1816*5))^5/120))),0))</f>
        <v/>
      </c>
    </row>
    <row r="1814">
      <c r="A1814" t="inlineStr">
        <is>
          <t>Damage % Bonus (Frozen Break + Frost Clutch, flat)</t>
        </is>
      </c>
      <c r="B1814">
        <f>IF(Inputs!$B$3&gt;=66,15,0)+IF(Inputs!$B$3&gt;=98,10,0)+IF(Inputs!$B$3&gt;=125,20,0)</f>
        <v/>
      </c>
    </row>
    <row r="1815">
      <c r="A1815" t="inlineStr">
        <is>
          <t>Attack Speed Bonus % (MP Eater - MP Boost, always-on once unlocked)</t>
        </is>
      </c>
      <c r="B1815">
        <f>IF(C1799=TRUE,F1799+(F1803-Calc!F17),0)</f>
        <v/>
      </c>
    </row>
    <row r="1816">
      <c r="A1816" t="inlineStr">
        <is>
          <t>Actions Per Second</t>
        </is>
      </c>
      <c r="B1816">
        <f>1+MIN(150,150*(1-(1-(Inputs!$B$11+(ArtifactsInput!$M$15-ArtifactsInput!$M$15)*CHOOSE(ArtifactsInput!$N$15+1,8,9.6,11.2,12.8,14.4,16))/150)*(1-B1815/150)))/100</f>
        <v/>
      </c>
    </row>
    <row r="1817">
      <c r="A1817" t="inlineStr">
        <is>
          <t>Skill + Buff Cast Rate</t>
        </is>
      </c>
      <c r="B1817">
        <f>IF(AND(Inputs!$B$38&lt;&gt;"pvp",Inputs!$B$43&gt;0),SUMPRODUCT((Skills!E2:E23=TRUE)*(C1788:C1809=TRUE)*R1788:R1809)/Inputs!$B$43,SUMPRODUCT((Skills!E2:E23=TRUE)*(C1788:C1809=TRUE)*Q1788:Q1809))</f>
        <v/>
      </c>
    </row>
    <row r="1818">
      <c r="A1818" t="inlineStr">
        <is>
          <t>Chain Lightning Casts Per Second</t>
        </is>
      </c>
      <c r="B1818">
        <f>MAX(0,B1816-B1817)</f>
        <v/>
      </c>
    </row>
    <row r="1819">
      <c r="A1819" t="inlineStr">
        <is>
          <t>Buff-Casting Startup Delay (s, fixed-duration only)</t>
        </is>
      </c>
      <c r="B1819">
        <f>IF(AND(Inputs!$B$38&lt;&gt;"pvp",Inputs!$B$43&gt;0),SUMPRODUCT((Skills!S2:S23&gt;0)*(Skills!E2:E23=TRUE)*(C1788:C1809=TRUE))/B1816,0)</f>
        <v/>
      </c>
    </row>
    <row r="1820">
      <c r="A1820" t="inlineStr">
        <is>
          <t>Boss-Only Total DPS (this block's swept value)</t>
        </is>
      </c>
      <c r="B1820">
        <f>SUM(S1788:S1809)</f>
        <v/>
      </c>
    </row>
    <row r="1821">
      <c r="A1821" t="inlineStr">
        <is>
          <t>Normal-Only Total DPS (this block's swept value)</t>
        </is>
      </c>
      <c r="B1821">
        <f>SUM(U1788:U1809)</f>
        <v/>
      </c>
    </row>
    <row r="1822">
      <c r="A1822" s="6" t="inlineStr">
        <is>
          <t>TOTAL DPS</t>
        </is>
      </c>
      <c r="B1822" s="6">
        <f>SUM(O1788:O1809)</f>
        <v/>
      </c>
    </row>
    <row r="1825">
      <c r="A1825" s="6" t="inlineStr">
        <is>
          <t>Stat: Soul Contract (Equip)</t>
        </is>
      </c>
    </row>
    <row r="1826">
      <c r="A1826" s="5" t="inlineStr">
        <is>
          <t>Key</t>
        </is>
      </c>
      <c r="B1826" s="5" t="inlineStr">
        <is>
          <t>Name</t>
        </is>
      </c>
      <c r="C1826" s="5" t="inlineStr">
        <is>
          <t>Unlocked</t>
        </is>
      </c>
      <c r="D1826" s="5" t="inlineStr">
        <is>
          <t>InputLevel</t>
        </is>
      </c>
      <c r="E1826" s="5" t="inlineStr">
        <is>
          <t>Factor</t>
        </is>
      </c>
      <c r="F1826" s="5" t="inlineStr">
        <is>
          <t>CoefficientPercent</t>
        </is>
      </c>
      <c r="G1826" s="5" t="inlineStr">
        <is>
          <t>EffectiveHits</t>
        </is>
      </c>
      <c r="H1826" s="5" t="inlineStr">
        <is>
          <t>ProcProbability</t>
        </is>
      </c>
      <c r="I1826" s="5" t="inlineStr">
        <is>
          <t>MapleHeroMultiplier</t>
        </is>
      </c>
      <c r="J1826" s="5" t="inlineStr">
        <is>
          <t>BaseDamage</t>
        </is>
      </c>
      <c r="K1826" s="5" t="inlineStr">
        <is>
          <t>BaseHitDamage</t>
        </is>
      </c>
      <c r="L1826" s="5" t="inlineStr">
        <is>
          <t>NonCritAvg</t>
        </is>
      </c>
      <c r="M1826" s="5" t="inlineStr">
        <is>
          <t>CritAvg</t>
        </is>
      </c>
      <c r="N1826" s="5" t="inlineStr">
        <is>
          <t>ExpectedDamage(perHit)</t>
        </is>
      </c>
      <c r="O1826" s="5" t="inlineStr">
        <is>
          <t>DPS</t>
        </is>
      </c>
      <c r="P1826" s="5" t="inlineStr">
        <is>
          <t>% of Total</t>
        </is>
      </c>
      <c r="R1826" t="inlineStr">
        <is>
          <t>helpers</t>
        </is>
      </c>
    </row>
    <row r="1827">
      <c r="A1827">
        <f>Skills!A2</f>
        <v/>
      </c>
      <c r="B1827">
        <f>Skills!B2</f>
        <v/>
      </c>
      <c r="C1827">
        <f>Inputs!$B$3&gt;=100</f>
        <v/>
      </c>
      <c r="D1827" t="inlineStr"/>
      <c r="E1827" t="inlineStr"/>
      <c r="F1827">
        <f>T1829+Skills!N2</f>
        <v/>
      </c>
      <c r="G1827">
        <f>Calc!G2</f>
        <v/>
      </c>
      <c r="H1827">
        <f>Calc!H2</f>
        <v/>
      </c>
      <c r="I1827">
        <f>IF(Skills!T2&lt;&gt;"",1+(Skills!T2/10)*(Z1828/1000)/100,1)</f>
        <v/>
      </c>
      <c r="J1827">
        <f>((Inputs!$B$6*(1+Inputs!$B$7/100))+(((Inputs!$B$12*(1+Inputs!$B$13/100))-(Inputs!$B$12*(1+Inputs!$B$13/100)))+0.25*(Inputs!$B$14-Inputs!$B$14))*(1+Inputs!$B$7/100))*(F1827/100)</f>
        <v/>
      </c>
      <c r="K1827">
        <f>J1827*(1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F1843-Calc!F18),(Inputs!$B$23+(IF(ArtifactsInput!$M$15,CHOOSE(ArtifactsInput!$N$15+1,25,30,35,40,45,50)/100*(Inputs!$B$11-Inputs!$B$11),0))))/100+(Inputs!$B$23+(IF(ArtifactsInput!$M$15,CHOOSE(ArtifactsInput!$N$15+1,25,30,35,40,45,50)/100*(Inputs!$B$11-Inputs!$B$11),0)))/100)/2</f>
        <v/>
      </c>
      <c r="M1827">
        <f>L1827*(1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(1-Summary!$B$11)*S1827+Summary!$B$11*U1827</f>
        <v/>
      </c>
      <c r="P1827">
        <f>IF(B1861=0,0,O1827/B1861)</f>
        <v/>
      </c>
      <c r="Q1827">
        <f>IFERROR(1/IF(Inputs!$B$38="pvp",15,MAX(0.1,Skills!D2-IF(Skills!E2=TRUE,Inputs!$B$32,0))),0)</f>
        <v/>
      </c>
      <c r="R1827" t="n">
        <v>0</v>
      </c>
      <c r="S1827">
        <f>IF(C1827,(Skills!F2*N1827*B1857)*IF(Inputs!$B$38="pvp",1,1+(Inputs!$B$20+Skills!O2+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27">
        <f>MAX(0,(Inputs!$B$3-100)*3)+Inputs!$B$28+Inputs!$B$29</f>
        <v/>
      </c>
      <c r="U1827">
        <f>IF(C1827,(Skills!F2*N1827*B1857)*IF(Inputs!$B$38="pvp",1,(1+(Inputs!$B$21+Skills!P2+B1852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27">
        <f>MAX(0,(Inputs!$B$3-100)*3)+Inputs!$B$28+Inputs!$B$29</f>
        <v/>
      </c>
    </row>
    <row r="1828">
      <c r="A1828">
        <f>Skills!A3</f>
        <v/>
      </c>
      <c r="B1828">
        <f>Skills!B3</f>
        <v/>
      </c>
      <c r="C1828">
        <f>Inputs!$B$3&gt;=15</f>
        <v/>
      </c>
      <c r="D1828">
        <f>IF(Skills!C3=1,60+Inputs!$B$25+Inputs!$B$29,IF(Skills!C3=2,90+Inputs!$B$26+Inputs!$B$29,IF(Skills!C3=3,120+Inputs!$B$27+Inputs!$B$29,MAX(0,(Inputs!$B$3-100)*3)+Inputs!$B$28+Inputs!$B$29)))</f>
        <v/>
      </c>
      <c r="E1828">
        <f>INDEX(FactorTable!$B$2:$Y$301, MATCH(ROUND(MIN(300,MAX(1,D1828)),0), FactorTable!$A$2:$A$301,0), Skills!L3+1)</f>
        <v/>
      </c>
      <c r="F1828">
        <f>IF(Skills!M3=TRUE,(Skills!K3/10)*(E1828/1000),Skills!K3/10)+Skills!N3</f>
        <v/>
      </c>
      <c r="G1828">
        <f>Calc!G3</f>
        <v/>
      </c>
      <c r="H1828">
        <f>Calc!H3</f>
        <v/>
      </c>
      <c r="I1828">
        <f>IF(Skills!T3&lt;&gt;"",1+(Skills!T3/10)*(Z1828/1000)/100,1)</f>
        <v/>
      </c>
      <c r="J1828" t="inlineStr"/>
      <c r="K1828" t="inlineStr"/>
      <c r="L1828" t="inlineStr"/>
      <c r="M1828" t="inlineStr"/>
      <c r="N1828" t="inlineStr"/>
      <c r="O1828">
        <f>(1-Summary!$B$11)*S1828+Summary!$B$11*U1828</f>
        <v/>
      </c>
      <c r="P1828">
        <f>IF(B1861=0,0,O1828/B1861)</f>
        <v/>
      </c>
      <c r="Q1828">
        <f>IFERROR(1/IF(Inputs!$B$38="pvp",15,MAX(0.1,Skills!D3-IF(Skills!E3=TRUE,Inputs!$B$32,0))),0)</f>
        <v/>
      </c>
      <c r="R1828">
        <f>IF(AND(Inputs!$B$38&lt;&gt;"pvp",Inputs!$B$43&gt;0),IF(Inputs!$B$43&lt;=0,0,(INT(Inputs!$B$43/IF(Inputs!$B$38="pvp",15,MAX(0.1,Skills!D3-IF(Skills!E3=TRUE,Inputs!$B$32,0))))+1)),0)</f>
        <v/>
      </c>
      <c r="S1828" t="n">
        <v>0</v>
      </c>
      <c r="T1828">
        <f>INDEX(FactorTable!$B$2:$Y$301, MATCH(ROUND(MIN(300,MAX(1,T1827)),0), FactorTable!$A$2:$A$301,0), 22)</f>
        <v/>
      </c>
      <c r="U1828" t="n">
        <v>0</v>
      </c>
      <c r="Z1828">
        <f>INDEX(FactorTable!$B$2:$Y$301, MATCH(ROUND(MIN(300,MAX(1,Z1827)),0), FactorTable!$A$2:$A$301,0), 24)</f>
        <v/>
      </c>
    </row>
    <row r="1829">
      <c r="A1829">
        <f>Skills!A4</f>
        <v/>
      </c>
      <c r="B1829">
        <f>Skills!B4</f>
        <v/>
      </c>
      <c r="C1829">
        <f>Inputs!$B$3&gt;=40</f>
        <v/>
      </c>
      <c r="D1829">
        <f>IF(Skills!C4=1,60+Inputs!$B$25+Inputs!$B$29,IF(Skills!C4=2,90+Inputs!$B$26+Inputs!$B$29,IF(Skills!C4=3,120+Inputs!$B$27+Inputs!$B$29,MAX(0,(Inputs!$B$3-100)*3)+Inputs!$B$28+Inputs!$B$29)))</f>
        <v/>
      </c>
      <c r="E1829">
        <f>INDEX(FactorTable!$B$2:$Y$301, MATCH(ROUND(MIN(300,MAX(1,D1829)),0), FactorTable!$A$2:$A$301,0), Skills!L4+1)</f>
        <v/>
      </c>
      <c r="F1829">
        <f>IF(Skills!M4=TRUE,(Skills!K4/10)*(E1829/1000),Skills!K4/10)+Skills!N4</f>
        <v/>
      </c>
      <c r="G1829">
        <f>Calc!G4</f>
        <v/>
      </c>
      <c r="H1829">
        <f>Calc!H4</f>
        <v/>
      </c>
      <c r="I1829">
        <f>IF(Skills!T4&lt;&gt;"",1+(Skills!T4/10)*(Z1828/1000)/100,1)</f>
        <v/>
      </c>
      <c r="J1829" t="inlineStr"/>
      <c r="K1829" t="inlineStr"/>
      <c r="L1829" t="inlineStr"/>
      <c r="M1829" t="inlineStr"/>
      <c r="N1829" t="inlineStr"/>
      <c r="O1829">
        <f>(1-Summary!$B$11)*S1829+Summary!$B$11*U1829</f>
        <v/>
      </c>
      <c r="P1829">
        <f>IF(B1861=0,0,O1829/B1861)</f>
        <v/>
      </c>
      <c r="Q1829">
        <f>IFERROR(1/IF(Inputs!$B$38="pvp",15,MAX(0.1,Skills!D4-IF(Skills!E4=TRUE,Inputs!$B$32,0))),0)</f>
        <v/>
      </c>
      <c r="R1829">
        <f>IF(AND(Inputs!$B$38&lt;&gt;"pvp",Inputs!$B$43&gt;0),IF(Inputs!$B$43&lt;=0,0,(INT(Inputs!$B$43/IF(Inputs!$B$38="pvp",15,MAX(0.1,Skills!D4-IF(Skills!E4=TRUE,Inputs!$B$32,0))))+1)),0)</f>
        <v/>
      </c>
      <c r="S1829" t="n">
        <v>0</v>
      </c>
      <c r="T1829">
        <f>290*T1828/1000</f>
        <v/>
      </c>
      <c r="U1829" t="n">
        <v>0</v>
      </c>
    </row>
    <row r="1830">
      <c r="A1830">
        <f>Skills!A5</f>
        <v/>
      </c>
      <c r="B1830">
        <f>Skills!B5</f>
        <v/>
      </c>
      <c r="C1830">
        <f>Inputs!$B$3&gt;=38</f>
        <v/>
      </c>
      <c r="D1830">
        <f>IF(Skills!C5=1,60+Inputs!$B$25+Inputs!$B$29,IF(Skills!C5=2,90+Inputs!$B$26+Inputs!$B$29,IF(Skills!C5=3,120+Inputs!$B$27+Inputs!$B$29,MAX(0,(Inputs!$B$3-100)*3)+Inputs!$B$28+Inputs!$B$29)))</f>
        <v/>
      </c>
      <c r="E1830">
        <f>INDEX(FactorTable!$B$2:$Y$301, MATCH(ROUND(MIN(300,MAX(1,D1830)),0), FactorTable!$A$2:$A$301,0), Skills!L5+1)</f>
        <v/>
      </c>
      <c r="F1830">
        <f>IF(Skills!M5=TRUE,(Skills!K5/10)*(E1830/1000),Skills!K5/10)+Skills!N5</f>
        <v/>
      </c>
      <c r="G1830">
        <f>Calc!G5</f>
        <v/>
      </c>
      <c r="H1830">
        <f>Calc!H5</f>
        <v/>
      </c>
      <c r="I1830">
        <f>IF(Skills!T5&lt;&gt;"",1+(Skills!T5/10)*(Z1828/1000)/100,1)</f>
        <v/>
      </c>
      <c r="J1830">
        <f>((Inputs!$B$6*(1+Inputs!$B$7/100))+(((Inputs!$B$12*(1+Inputs!$B$13/100))-(Inputs!$B$12*(1+Inputs!$B$13/100)))+0.25*(Inputs!$B$14-Inputs!$B$14))*(1+Inputs!$B$7/100))*(F1830/100)</f>
        <v/>
      </c>
      <c r="K1830">
        <f>J1830*(1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F1843-Calc!F18),(Inputs!$B$23+(IF(ArtifactsInput!$M$15,CHOOSE(ArtifactsInput!$N$15+1,25,30,35,40,45,50)/100*(Inputs!$B$11-Inputs!$B$11),0))))/100+(Inputs!$B$23+(IF(ArtifactsInput!$M$15,CHOOSE(ArtifactsInput!$N$15+1,25,30,35,40,45,50)/100*(Inputs!$B$11-Inputs!$B$11),0)))/100)/2</f>
        <v/>
      </c>
      <c r="M1830">
        <f>L1830*(1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(1-Summary!$B$11)*S1830+Summary!$B$11*U1830</f>
        <v/>
      </c>
      <c r="P1830">
        <f>IF(B1861=0,0,O1830/B1861)</f>
        <v/>
      </c>
      <c r="Q1830">
        <f>IFERROR(1/IF(Inputs!$B$38="pvp",15,MAX(0.1,Skills!D5-IF(Skills!E5=TRUE,Inputs!$B$32,0))),0)</f>
        <v/>
      </c>
      <c r="R1830">
        <f>IF(AND(Inputs!$B$38&lt;&gt;"pvp",Inputs!$B$43&gt;0),IF(MAX(0,Inputs!$B$43-B1858)&lt;=0,0,(INT(MAX(0,Inputs!$B$43-B1858)/IF(Inputs!$B$38="pvp",15,MAX(0.1,Skills!D5-IF(Skills!E5=TRUE,Inputs!$B$32,0))))+1)),0)</f>
        <v/>
      </c>
      <c r="S1830">
        <f>IF(C1830,(H1830*N1830*IF(AND(Inputs!$B$38&lt;&gt;"pvp",Inputs!$B$43&gt;0),((Skills!F5*((R1830-1)*IF(Skills!G5&gt;0,Skills!H5/Skills!G5,1)+IF(Skills!G5&gt;0,MIN(Skills!H5,MAX(0,MAX(0,Inputs!$B$43-B1858)-((R1830-1)*IF(Inputs!$B$38="pvp",15,MAX(0.1,Skills!D5-IF(Skills!E5=TRUE,Inputs!$B$32,0))))))/Skills!G5,1)))/Inputs!$B$43),G1830*Q1830))*IF(Inputs!$B$38="pvp",1,1+(Inputs!$B$20+Skills!O5+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1830*(1-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IF(C1830,(H1830*N1830*IF(AND(Inputs!$B$38&lt;&gt;"pvp",Inputs!$B$43&gt;0),((Skills!F5*((R1830-1)*IF(Skills!G5&gt;0,Skills!H5/Skills!G5,1)+IF(Skills!G5&gt;0,MIN(Skills!H5,MAX(0,MAX(0,Inputs!$B$43-B1858)-((R1830-1)*IF(Inputs!$B$38="pvp",15,MAX(0.1,Skills!D5-IF(Skills!E5=TRUE,Inputs!$B$32,0))))))/Skills!G5,1)))/Inputs!$B$43),G1830*Q1830))*IF(Inputs!$B$38="pvp",1,(1+(Inputs!$B$21+Skills!P5+B1852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Skills!A6</f>
        <v/>
      </c>
      <c r="B1831">
        <f>Skills!B6</f>
        <v/>
      </c>
      <c r="C1831">
        <f>Inputs!$B$3&gt;=63</f>
        <v/>
      </c>
      <c r="D1831">
        <f>IF(Skills!C6=1,60+Inputs!$B$25+Inputs!$B$29,IF(Skills!C6=2,90+Inputs!$B$26+Inputs!$B$29,IF(Skills!C6=3,120+Inputs!$B$27+Inputs!$B$29,MAX(0,(Inputs!$B$3-100)*3)+Inputs!$B$28+Inputs!$B$29)))</f>
        <v/>
      </c>
      <c r="E1831">
        <f>INDEX(FactorTable!$B$2:$Y$301, MATCH(ROUND(MIN(300,MAX(1,D1831)),0), FactorTable!$A$2:$A$301,0), Skills!L6+1)</f>
        <v/>
      </c>
      <c r="F1831">
        <f>IF(Skills!M6=TRUE,(Skills!K6/10)*(E1831/1000),Skills!K6/10)+Skills!N6</f>
        <v/>
      </c>
      <c r="G1831">
        <f>Calc!G6</f>
        <v/>
      </c>
      <c r="H1831">
        <f>Calc!H6</f>
        <v/>
      </c>
      <c r="I1831">
        <f>IF(Skills!T6&lt;&gt;"",1+(Skills!T6/10)*(Z1828/1000)/100,1)</f>
        <v/>
      </c>
      <c r="J1831">
        <f>((Inputs!$B$6*(1+Inputs!$B$7/100))+(((Inputs!$B$12*(1+Inputs!$B$13/100))-(Inputs!$B$12*(1+Inputs!$B$13/100)))+0.25*(Inputs!$B$14-Inputs!$B$14))*(1+Inputs!$B$7/100))*(F1831/100)</f>
        <v/>
      </c>
      <c r="K1831">
        <f>J1831*(1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F1843-Calc!F18),(Inputs!$B$23+(IF(ArtifactsInput!$M$15,CHOOSE(ArtifactsInput!$N$15+1,25,30,35,40,45,50)/100*(Inputs!$B$11-Inputs!$B$11),0))))/100+(Inputs!$B$23+(IF(ArtifactsInput!$M$15,CHOOSE(ArtifactsInput!$N$15+1,25,30,35,40,45,50)/100*(Inputs!$B$11-Inputs!$B$11),0)))/100)/2</f>
        <v/>
      </c>
      <c r="M1831">
        <f>L1831*(1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(1-Summary!$B$11)*S1831+Summary!$B$11*U1831</f>
        <v/>
      </c>
      <c r="P1831">
        <f>IF(B1861=0,0,O1831/B1861)</f>
        <v/>
      </c>
      <c r="Q1831">
        <f>IFERROR(1/IF(Inputs!$B$38="pvp",15,MAX(0.1,Skills!D6-IF(Skills!E6=TRUE,Inputs!$B$32,0))),0)</f>
        <v/>
      </c>
      <c r="R1831">
        <f>IF(AND(Inputs!$B$38&lt;&gt;"pvp",Inputs!$B$43&gt;0),IF(MAX(0,Inputs!$B$43-B1858)&lt;=0,0,(INT(MAX(0,Inputs!$B$43-B1858)/IF(Inputs!$B$38="pvp",15,MAX(0.1,Skills!D6-IF(Skills!E6=TRUE,Inputs!$B$32,0))))+1)),0)</f>
        <v/>
      </c>
      <c r="S1831">
        <f>IF(C1831,(H1831*N1831*IF(AND(Inputs!$B$38&lt;&gt;"pvp",Inputs!$B$43&gt;0),((Skills!F6*((R1831-1)*IF(Skills!G6&gt;0,Skills!H6/Skills!G6,1)+IF(Skills!G6&gt;0,MIN(Skills!H6,MAX(0,MAX(0,Inputs!$B$43-B1858)-((R1831-1)*IF(Inputs!$B$38="pvp",15,MAX(0.1,Skills!D6-IF(Skills!E6=TRUE,Inputs!$B$32,0))))))/Skills!G6,1)))/Inputs!$B$43),G1831*Q1831))*IF(Inputs!$B$38="pvp",1,1+(Inputs!$B$20+Skills!O6+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1831*(1-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1">
        <f>IF(C1831,(H1831*N1831*IF(AND(Inputs!$B$38&lt;&gt;"pvp",Inputs!$B$43&gt;0),((Skills!F6*((R1831-1)*IF(Skills!G6&gt;0,Skills!H6/Skills!G6,1)+IF(Skills!G6&gt;0,MIN(Skills!H6,MAX(0,MAX(0,Inputs!$B$43-B1858)-((R1831-1)*IF(Inputs!$B$38="pvp",15,MAX(0.1,Skills!D6-IF(Skills!E6=TRUE,Inputs!$B$32,0))))))/Skills!G6,1)))/Inputs!$B$43),G1831*Q1831))*IF(Inputs!$B$38="pvp",1,(1+(Inputs!$B$21+Skills!P6+B1852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Skills!A7</f>
        <v/>
      </c>
      <c r="B1832">
        <f>Skills!B7</f>
        <v/>
      </c>
      <c r="C1832">
        <f>Inputs!$B$3&gt;=69</f>
        <v/>
      </c>
      <c r="D1832">
        <f>IF(Skills!C7=1,60+Inputs!$B$25+Inputs!$B$29,IF(Skills!C7=2,90+Inputs!$B$26+Inputs!$B$29,IF(Skills!C7=3,120+Inputs!$B$27+Inputs!$B$29,MAX(0,(Inputs!$B$3-100)*3)+Inputs!$B$28+Inputs!$B$29)))</f>
        <v/>
      </c>
      <c r="E1832">
        <f>INDEX(FactorTable!$B$2:$Y$301, MATCH(ROUND(MIN(300,MAX(1,D1832)),0), FactorTable!$A$2:$A$301,0), Skills!L7+1)</f>
        <v/>
      </c>
      <c r="F1832">
        <f>IF(Skills!M7=TRUE,(Skills!K7/10)*(E1832/1000),Skills!K7/10)+Skills!N7</f>
        <v/>
      </c>
      <c r="G1832">
        <f>Calc!G7</f>
        <v/>
      </c>
      <c r="H1832">
        <f>Calc!H7</f>
        <v/>
      </c>
      <c r="I1832">
        <f>IF(Skills!T7&lt;&gt;"",1+(Skills!T7/10)*(Z1828/1000)/100,1)</f>
        <v/>
      </c>
      <c r="J1832">
        <f>((Inputs!$B$6*(1+Inputs!$B$7/100))+(((Inputs!$B$12*(1+Inputs!$B$13/100))-(Inputs!$B$12*(1+Inputs!$B$13/100)))+0.25*(Inputs!$B$14-Inputs!$B$14))*(1+Inputs!$B$7/100))*(F1832/100)</f>
        <v/>
      </c>
      <c r="K1832">
        <f>J1832*(1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1843-Calc!F18),(Inputs!$B$23+(IF(ArtifactsInput!$M$15,CHOOSE(ArtifactsInput!$N$15+1,25,30,35,40,45,50)/100*(Inputs!$B$11-Inputs!$B$11),0))))/100+(Inputs!$B$23+(IF(ArtifactsInput!$M$15,CHOOSE(ArtifactsInput!$N$15+1,25,30,35,40,45,50)/100*(Inputs!$B$11-Inputs!$B$11),0)))/100)/2</f>
        <v/>
      </c>
      <c r="M1832">
        <f>L1832*(1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IF(B1861=0,0,O1832/B1861)</f>
        <v/>
      </c>
      <c r="Q1832">
        <f>IFERROR(1/IF(Inputs!$B$38="pvp",15,MAX(0.1,Skills!D7-IF(Skills!E7=TRUE,Inputs!$B$32,0))),0)</f>
        <v/>
      </c>
      <c r="R1832">
        <f>IF(AND(Inputs!$B$38&lt;&gt;"pvp",Inputs!$B$43&gt;0),IF(MAX(0,Inputs!$B$43-B1858)&lt;=0,0,(INT(MAX(0,Inputs!$B$43-B1858)/IF(Inputs!$B$38="pvp",15,MAX(0.1,Skills!D7-IF(Skills!E7=TRUE,Inputs!$B$32,0))))+1)),0)</f>
        <v/>
      </c>
      <c r="S1832">
        <f>IF(C1832,(H1832*N1832*IF(AND(Inputs!$B$38&lt;&gt;"pvp",Inputs!$B$43&gt;0),((Skills!F7*((R1832-1)*IF(Skills!G7&gt;0,Skills!H7/Skills!G7,1)+IF(Skills!G7&gt;0,MIN(Skills!H7,MAX(0,MAX(0,Inputs!$B$43-B1858)-((R1832-1)*IF(Inputs!$B$38="pvp",15,MAX(0.1,Skills!D7-IF(Skills!E7=TRUE,Inputs!$B$32,0))))))/Skills!G7,1)))/Inputs!$B$43),G1832*Q1832))*IF(Inputs!$B$38="pvp",1,1+(Inputs!$B$20+Skills!O7+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2">
        <f>IF(C1832,(H1832*N1832*IF(AND(Inputs!$B$38&lt;&gt;"pvp",Inputs!$B$43&gt;0),((Skills!F7*((R1832-1)*IF(Skills!G7&gt;0,Skills!H7/Skills!G7,1)+IF(Skills!G7&gt;0,MIN(Skills!H7,MAX(0,MAX(0,Inputs!$B$43-B1858)-((R1832-1)*IF(Inputs!$B$38="pvp",15,MAX(0.1,Skills!D7-IF(Skills!E7=TRUE,Inputs!$B$32,0))))))/Skills!G7,1)))/Inputs!$B$43),G1832*Q1832))*IF(Inputs!$B$38="pvp",1,(1+(Inputs!$B$21+Skills!P7+B1852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Skills!A8</f>
        <v/>
      </c>
      <c r="B1833">
        <f>Skills!B8</f>
        <v/>
      </c>
      <c r="C1833">
        <f>Inputs!$B$3&gt;=103</f>
        <v/>
      </c>
      <c r="D1833">
        <f>IF(Skills!C8=1,60+Inputs!$B$25+Inputs!$B$29,IF(Skills!C8=2,90+Inputs!$B$26+Inputs!$B$29,IF(Skills!C8=3,120+Inputs!$B$27+Inputs!$B$29,MAX(0,(Inputs!$B$3-100)*3)+Inputs!$B$28+Inputs!$B$29)))</f>
        <v/>
      </c>
      <c r="E1833">
        <f>INDEX(FactorTable!$B$2:$Y$301, MATCH(ROUND(MIN(300,MAX(1,D1833)),0), FactorTable!$A$2:$A$301,0), Skills!L8+1)</f>
        <v/>
      </c>
      <c r="F1833">
        <f>IF(Skills!M8=TRUE,(Skills!K8/10)*(E1833/1000),Skills!K8/10)+Skills!N8</f>
        <v/>
      </c>
      <c r="G1833">
        <f>Calc!G8</f>
        <v/>
      </c>
      <c r="H1833">
        <f>Calc!H8</f>
        <v/>
      </c>
      <c r="I1833">
        <f>IF(Skills!T8&lt;&gt;"",1+(Skills!T8/10)*(Z1828/1000)/100,1)</f>
        <v/>
      </c>
      <c r="J1833">
        <f>((Inputs!$B$6*(1+Inputs!$B$7/100))+(((Inputs!$B$12*(1+Inputs!$B$13/100))-(Inputs!$B$12*(1+Inputs!$B$13/100)))+0.25*(Inputs!$B$14-Inputs!$B$14))*(1+Inputs!$B$7/100))*(F1833/100)</f>
        <v/>
      </c>
      <c r="K1833">
        <f>J1833*(1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1843-Calc!F18),(Inputs!$B$23+(IF(ArtifactsInput!$M$15,CHOOSE(ArtifactsInput!$N$15+1,25,30,35,40,45,50)/100*(Inputs!$B$11-Inputs!$B$11),0))))/100+(Inputs!$B$23+(IF(ArtifactsInput!$M$15,CHOOSE(ArtifactsInput!$N$15+1,25,30,35,40,45,50)/100*(Inputs!$B$11-Inputs!$B$11),0)))/100)/2</f>
        <v/>
      </c>
      <c r="M1833">
        <f>L1833*(1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IF(B1861=0,0,O1833/B1861)</f>
        <v/>
      </c>
      <c r="Q1833">
        <f>IFERROR(1/IF(Inputs!$B$38="pvp",15,MAX(0.1,Skills!D8-IF(Skills!E8=TRUE,Inputs!$B$32,0))),0)</f>
        <v/>
      </c>
      <c r="R1833">
        <f>IF(AND(Inputs!$B$38&lt;&gt;"pvp",Inputs!$B$43&gt;0),IF(MAX(0,Inputs!$B$43-B1858)&lt;=0,0,(INT(MAX(0,Inputs!$B$43-B1858)/IF(Inputs!$B$38="pvp",15,MAX(0.1,Skills!D8-IF(Skills!E8=TRUE,Inputs!$B$32,0))))+1)),0)</f>
        <v/>
      </c>
      <c r="S1833">
        <f>IF(C1833,(H1833*N1833*IF(AND(Inputs!$B$38&lt;&gt;"pvp",Inputs!$B$43&gt;0),((Skills!F8*((R1833-1)*IF(Skills!G8&gt;0,Skills!H8/Skills!G8,1)+IF(Skills!G8&gt;0,MIN(Skills!H8,MAX(0,MAX(0,Inputs!$B$43-B1858)-((R1833-1)*IF(Inputs!$B$38="pvp",15,MAX(0.1,Skills!D8-IF(Skills!E8=TRUE,Inputs!$B$32,0))))))/Skills!G8,1)))/Inputs!$B$43),G1833*Q1833))*IF(Inputs!$B$38="pvp",1,1+(Inputs!$B$20+Skills!O8+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IF(C1833,(H1833*N1833*IF(AND(Inputs!$B$38&lt;&gt;"pvp",Inputs!$B$43&gt;0),((Skills!F8*((R1833-1)*IF(Skills!G8&gt;0,Skills!H8/Skills!G8,1)+IF(Skills!G8&gt;0,MIN(Skills!H8,MAX(0,MAX(0,Inputs!$B$43-B1858)-((R1833-1)*IF(Inputs!$B$38="pvp",15,MAX(0.1,Skills!D8-IF(Skills!E8=TRUE,Inputs!$B$32,0))))))/Skills!G8,1)))/Inputs!$B$43),G1833*Q1833))*IF(Inputs!$B$38="pvp",1,(1+(Inputs!$B$21+Skills!P8+B1852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Skills!A9</f>
        <v/>
      </c>
      <c r="B1834">
        <f>Skills!B9</f>
        <v/>
      </c>
      <c r="C1834">
        <f>Inputs!$B$3&gt;=105</f>
        <v/>
      </c>
      <c r="D1834">
        <f>IF(Skills!C9=1,60+Inputs!$B$25+Inputs!$B$29,IF(Skills!C9=2,90+Inputs!$B$26+Inputs!$B$29,IF(Skills!C9=3,120+Inputs!$B$27+Inputs!$B$29,MAX(0,(Inputs!$B$3-100)*3)+Inputs!$B$28+Inputs!$B$29)))</f>
        <v/>
      </c>
      <c r="E1834">
        <f>INDEX(FactorTable!$B$2:$Y$301, MATCH(ROUND(MIN(300,MAX(1,D1834)),0), FactorTable!$A$2:$A$301,0), Skills!L9+1)</f>
        <v/>
      </c>
      <c r="F1834">
        <f>IF(Skills!M9=TRUE,(Skills!K9/10)*(E1834/1000),Skills!K9/10)+Skills!N9</f>
        <v/>
      </c>
      <c r="G1834">
        <f>Calc!G9</f>
        <v/>
      </c>
      <c r="H1834">
        <f>Calc!H9</f>
        <v/>
      </c>
      <c r="I1834">
        <f>IF(Skills!T9&lt;&gt;"",1+(Skills!T9/10)*(Z1828/1000)/100,1)</f>
        <v/>
      </c>
      <c r="J1834">
        <f>((Inputs!$B$6*(1+Inputs!$B$7/100))+(((Inputs!$B$12*(1+Inputs!$B$13/100))-(Inputs!$B$12*(1+Inputs!$B$13/100)))+0.25*(Inputs!$B$14-Inputs!$B$14))*(1+Inputs!$B$7/100))*(F1834/100)</f>
        <v/>
      </c>
      <c r="K1834">
        <f>J1834*(1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1843-Calc!F18),(Inputs!$B$23+(IF(ArtifactsInput!$M$15,CHOOSE(ArtifactsInput!$N$15+1,25,30,35,40,45,50)/100*(Inputs!$B$11-Inputs!$B$11),0))))/100+(Inputs!$B$23+(IF(ArtifactsInput!$M$15,CHOOSE(ArtifactsInput!$N$15+1,25,30,35,40,45,50)/100*(Inputs!$B$11-Inputs!$B$11),0)))/100)/2</f>
        <v/>
      </c>
      <c r="M1834">
        <f>L1834*(1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IF(B1861=0,0,O1834/B1861)</f>
        <v/>
      </c>
      <c r="Q1834">
        <f>IFERROR(1/IF(Inputs!$B$38="pvp",15,MAX(0.1,Skills!D9-IF(Skills!E9=TRUE,Inputs!$B$32,0))),0)</f>
        <v/>
      </c>
      <c r="R1834">
        <f>IF(AND(Inputs!$B$38&lt;&gt;"pvp",Inputs!$B$43&gt;0),IF(MAX(0,Inputs!$B$43-B1858)&lt;=0,0,(INT(MAX(0,Inputs!$B$43-B1858)/IF(Inputs!$B$38="pvp",15,MAX(0.1,Skills!D9-IF(Skills!E9=TRUE,Inputs!$B$32,0))))+1)),0)</f>
        <v/>
      </c>
      <c r="S1834">
        <f>IF(C1834,(H1834*N1834*IF(AND(Inputs!$B$38&lt;&gt;"pvp",Inputs!$B$43&gt;0),((Skills!F9*((R1834-1)*IF(Skills!G9&gt;0,Skills!H9/Skills!G9,1)+IF(Skills!G9&gt;0,MIN(Skills!H9,MAX(0,MAX(0,Inputs!$B$43-B1858)-((R1834-1)*IF(Inputs!$B$38="pvp",15,MAX(0.1,Skills!D9-IF(Skills!E9=TRUE,Inputs!$B$32,0))))))/Skills!G9,1)))/Inputs!$B$43),G1834*Q1834))*IF(Inputs!$B$38="pvp",1,1+(Inputs!$B$20+Skills!O9+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4">
        <f>IF(C1834,(H1834*N1834*IF(AND(Inputs!$B$38&lt;&gt;"pvp",Inputs!$B$43&gt;0),((Skills!F9*((R1834-1)*IF(Skills!G9&gt;0,Skills!H9/Skills!G9,1)+IF(Skills!G9&gt;0,MIN(Skills!H9,MAX(0,MAX(0,Inputs!$B$43-B1858)-((R1834-1)*IF(Inputs!$B$38="pvp",15,MAX(0.1,Skills!D9-IF(Skills!E9=TRUE,Inputs!$B$32,0))))))/Skills!G9,1)))/Inputs!$B$43),G1834*Q1834))*IF(Inputs!$B$38="pvp",1,(1+(Inputs!$B$21+Skills!P9+B1852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Skills!A10</f>
        <v/>
      </c>
      <c r="B1835">
        <f>Skills!B10</f>
        <v/>
      </c>
      <c r="C1835">
        <f>Inputs!$B$3&gt;=113</f>
        <v/>
      </c>
      <c r="D1835">
        <f>IF(Skills!C10=1,60+Inputs!$B$25+Inputs!$B$29,IF(Skills!C10=2,90+Inputs!$B$26+Inputs!$B$29,IF(Skills!C10=3,120+Inputs!$B$27+Inputs!$B$29,MAX(0,(Inputs!$B$3-100)*3)+Inputs!$B$28+Inputs!$B$29)))</f>
        <v/>
      </c>
      <c r="E1835">
        <f>INDEX(FactorTable!$B$2:$Y$301, MATCH(ROUND(MIN(300,MAX(1,D1835)),0), FactorTable!$A$2:$A$301,0), Skills!L10+1)</f>
        <v/>
      </c>
      <c r="F1835">
        <f>IF(Skills!M10=TRUE,(Skills!K10/10)*(E1835/1000),Skills!K10/10)+Skills!N10</f>
        <v/>
      </c>
      <c r="G1835">
        <f>Calc!G10</f>
        <v/>
      </c>
      <c r="H1835">
        <f>Calc!H10</f>
        <v/>
      </c>
      <c r="I1835">
        <f>IF(Skills!T10&lt;&gt;"",1+(Skills!T10/10)*(Z1828/1000)/100,1)</f>
        <v/>
      </c>
      <c r="J1835">
        <f>((Inputs!$B$6*(1+Inputs!$B$7/100))+(((Inputs!$B$12*(1+Inputs!$B$13/100))-(Inputs!$B$12*(1+Inputs!$B$13/100)))+0.25*(Inputs!$B$14-Inputs!$B$14))*(1+Inputs!$B$7/100))*(F1835/100)</f>
        <v/>
      </c>
      <c r="K1835">
        <f>J1835*(1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1843-Calc!F18),(Inputs!$B$23+(IF(ArtifactsInput!$M$15,CHOOSE(ArtifactsInput!$N$15+1,25,30,35,40,45,50)/100*(Inputs!$B$11-Inputs!$B$11),0))))/100+(Inputs!$B$23+(IF(ArtifactsInput!$M$15,CHOOSE(ArtifactsInput!$N$15+1,25,30,35,40,45,50)/100*(Inputs!$B$11-Inputs!$B$11),0)))/100)/2</f>
        <v/>
      </c>
      <c r="M1835">
        <f>L1835*(1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IF(B1861=0,0,O1835/B1861)</f>
        <v/>
      </c>
      <c r="Q1835">
        <f>IFERROR(1/IF(Inputs!$B$38="pvp",15,MAX(0.1,Skills!D10-IF(Skills!E9=TRUE,Inputs!$B$32,0))),0)</f>
        <v/>
      </c>
      <c r="R1835">
        <f>IF(AND(Inputs!$B$38&lt;&gt;"pvp",Inputs!$B$43&gt;0),IF(MAX(0,Inputs!$B$43-B1858)&lt;=0,0,(INT(MAX(0,Inputs!$B$43-B1858)/IF(Inputs!$B$38="pvp",15,MAX(0.1,Skills!D10-IF(Skills!E9=TRUE,Inputs!$B$32,0))))+1)),0)</f>
        <v/>
      </c>
      <c r="S1835">
        <f>IF(C1835,(H1835*N1835*IF(AND(Inputs!$B$38&lt;&gt;"pvp",Inputs!$B$43&gt;0),((Skills!F10*((R1835-1)*IF(Skills!G10&gt;0,Skills!H10/Skills!G10,1)+IF(Skills!G10&gt;0,MIN(Skills!H10,MAX(0,MAX(0,Inputs!$B$43-B1858)-((R1835-1)*IF(Inputs!$B$38="pvp",15,MAX(0.1,Skills!D10-IF(Skills!E9=TRUE,Inputs!$B$32,0))))))/Skills!G10,1)))/Inputs!$B$43),G1835*Q1835))*IF(Inputs!$B$38="pvp",1,1+(Inputs!$B$20+Skills!O10+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F10*((R1835-1)*IF(Skills!G10&gt;0,Skills!H10/Skills!G10,1)+IF(Skills!G10&gt;0,MIN(Skills!H10,MAX(0,MAX(0,Inputs!$B$43-B1858)-((R1835-1)*IF(Inputs!$B$38="pvp",15,MAX(0.1,Skills!D10-IF(Skills!E9=TRUE,Inputs!$B$32,0))))))/Skills!G10,1)))/Inputs!$B$43),G1835*Q1835))*IF(Inputs!$B$38="pvp",1,(1+(Inputs!$B$21+Skills!P10+B1852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Skills!A11</f>
        <v/>
      </c>
      <c r="B1836">
        <f>Skills!B11</f>
        <v/>
      </c>
      <c r="C1836">
        <f>Inputs!$B$3&gt;=107</f>
        <v/>
      </c>
      <c r="D1836">
        <f>IF(Skills!C11=1,60+Inputs!$B$25+Inputs!$B$29,IF(Skills!C11=2,90+Inputs!$B$26+Inputs!$B$29,IF(Skills!C11=3,120+Inputs!$B$27+Inputs!$B$29,MAX(0,(Inputs!$B$3-100)*3)+Inputs!$B$28+Inputs!$B$29)))</f>
        <v/>
      </c>
      <c r="E1836">
        <f>INDEX(FactorTable!$B$2:$Y$301, MATCH(ROUND(MIN(300,MAX(1,D1836)),0), FactorTable!$A$2:$A$301,0), Skills!L11+1)</f>
        <v/>
      </c>
      <c r="F1836">
        <f>IF(Skills!M11=TRUE,(Skills!K11/10)*(E1836/1000),Skills!K11/10)+Skills!N11</f>
        <v/>
      </c>
      <c r="G1836">
        <f>Calc!G11</f>
        <v/>
      </c>
      <c r="H1836">
        <f>Calc!H11</f>
        <v/>
      </c>
      <c r="I1836">
        <f>IF(Skills!T11&lt;&gt;"",1+(Skills!T11/10)*(Z1828/1000)/100,1)</f>
        <v/>
      </c>
      <c r="J1836">
        <f>((Inputs!$B$6*(1+Inputs!$B$7/100))+(((Inputs!$B$12*(1+Inputs!$B$13/100))-(Inputs!$B$12*(1+Inputs!$B$13/100)))+0.25*(Inputs!$B$14-Inputs!$B$14))*(1+Inputs!$B$7/100))*(F1836/100)</f>
        <v/>
      </c>
      <c r="K1836">
        <f>J1836*(1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F1843-Calc!F18),(Inputs!$B$23+(IF(ArtifactsInput!$M$15,CHOOSE(ArtifactsInput!$N$15+1,25,30,35,40,45,50)/100*(Inputs!$B$11-Inputs!$B$11),0))))/100+(Inputs!$B$23+(IF(ArtifactsInput!$M$15,CHOOSE(ArtifactsInput!$N$15+1,25,30,35,40,45,50)/100*(Inputs!$B$11-Inputs!$B$11),0)))/100)/2</f>
        <v/>
      </c>
      <c r="M1836">
        <f>L1836*(1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(1-Summary!$B$11)*S1836+Summary!$B$11*U1836</f>
        <v/>
      </c>
      <c r="P1836">
        <f>IF(B1861=0,0,O1836/B1861)</f>
        <v/>
      </c>
      <c r="Q1836">
        <f>IFERROR(1/IF(Inputs!$B$38="pvp",15,MAX(0.1,Skills!D11-IF(Skills!E11=TRUE,Inputs!$B$32,0))),0)</f>
        <v/>
      </c>
      <c r="R1836">
        <f>IF(AND(Inputs!$B$38&lt;&gt;"pvp",Inputs!$B$43&gt;0),IF(MAX(0,Inputs!$B$43-B1858)&lt;=0,0,(INT(MAX(0,Inputs!$B$43-B1858)/IF(Inputs!$B$38="pvp",15,MAX(0.1,Skills!D11-IF(Skills!E11=TRUE,Inputs!$B$32,0))))+1)),0)</f>
        <v/>
      </c>
      <c r="S1836">
        <f>IF(C1836,H1836*N1836*IF(AND(Inputs!$B$38&lt;&gt;"pvp",Inputs!$B$43&gt;0),((Skills!F11*((R1836-1)*IF(Skills!G11&gt;0,Skills!H11/Skills!G11,1)+IF(Skills!G11&gt;0,MIN(Skills!H11,MAX(0,MAX(0,Inputs!$B$43-B1858)-((R1836-1)*IF(Inputs!$B$38="pvp",15,MAX(0.1,Skills!D11-IF(Skills!E11=TRUE,Inputs!$B$32,0))))))/Skills!G11,1)))/Inputs!$B$43),G1836*Q1836)*0.5*IF(Inputs!$B$38="pvp",1,1+(Inputs!$B$20+Skills!O11+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1836*(1-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IF(C1836,H1836*N1836*IF(AND(Inputs!$B$38&lt;&gt;"pvp",Inputs!$B$43&gt;0),((Skills!F11*((R1836-1)*IF(Skills!G11&gt;0,Skills!H11/Skills!G11,1)+IF(Skills!G11&gt;0,MIN(Skills!H11,MAX(0,MAX(0,Inputs!$B$43-B1858)-((R1836-1)*IF(Inputs!$B$38="pvp",15,MAX(0.1,Skills!D11-IF(Skills!E11=TRUE,Inputs!$B$32,0))))))/Skills!G11,1)))/Inputs!$B$43),G1836*Q1836)*1*IF(Inputs!$B$38="pvp",1,(1+(Inputs!$B$21+Skills!P11+B1852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Skills!A12</f>
        <v/>
      </c>
      <c r="B1837">
        <f>Skills!B12</f>
        <v/>
      </c>
      <c r="C1837">
        <f>Inputs!$B$3&gt;=115</f>
        <v/>
      </c>
      <c r="D1837">
        <f>IF(Skills!C12=1,60+Inputs!$B$25+Inputs!$B$29,IF(Skills!C12=2,90+Inputs!$B$26+Inputs!$B$29,IF(Skills!C12=3,120+Inputs!$B$27+Inputs!$B$29,MAX(0,(Inputs!$B$3-100)*3)+Inputs!$B$28+Inputs!$B$29)))</f>
        <v/>
      </c>
      <c r="E1837">
        <f>INDEX(FactorTable!$B$2:$Y$301, MATCH(ROUND(MIN(300,MAX(1,D1837)),0), FactorTable!$A$2:$A$301,0), Skills!L12+1)</f>
        <v/>
      </c>
      <c r="F1837">
        <f>IF(Skills!M12=TRUE,(Skills!K12/10)*(E1837/1000),Skills!K12/10)+Skills!N12</f>
        <v/>
      </c>
      <c r="G1837">
        <f>Calc!G12</f>
        <v/>
      </c>
      <c r="H1837">
        <f>Calc!H12</f>
        <v/>
      </c>
      <c r="I1837">
        <f>IF(Skills!T12&lt;&gt;"",1+(Skills!T12/10)*(Z1828/1000)/100,1)</f>
        <v/>
      </c>
      <c r="J1837">
        <f>((Inputs!$B$6*(1+Inputs!$B$7/100))+(((Inputs!$B$12*(1+Inputs!$B$13/100))-(Inputs!$B$12*(1+Inputs!$B$13/100)))+0.25*(Inputs!$B$14-Inputs!$B$14))*(1+Inputs!$B$7/100))*(F1837/100)</f>
        <v/>
      </c>
      <c r="K1837">
        <f>J1837*(1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1843-Calc!F18),(Inputs!$B$23+(IF(ArtifactsInput!$M$15,CHOOSE(ArtifactsInput!$N$15+1,25,30,35,40,45,50)/100*(Inputs!$B$11-Inputs!$B$11),0))))/100+(Inputs!$B$23+(IF(ArtifactsInput!$M$15,CHOOSE(ArtifactsInput!$N$15+1,25,30,35,40,45,50)/100*(Inputs!$B$11-Inputs!$B$11),0)))/100)/2</f>
        <v/>
      </c>
      <c r="M1837">
        <f>L1837*(1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IF(B1861=0,0,O1837/B1861)</f>
        <v/>
      </c>
      <c r="Q1837">
        <f>IFERROR(1/IF(Inputs!$B$38="pvp",15,MAX(0.1,Skills!D12-IF(Skills!E12=TRUE,Inputs!$B$32,0))),0)</f>
        <v/>
      </c>
      <c r="R1837">
        <f>IF(AND(Inputs!$B$38&lt;&gt;"pvp",Inputs!$B$43&gt;0),IF(MAX(0,Inputs!$B$43-B1858)&lt;=0,0,(INT(MAX(0,Inputs!$B$43-B1858)/IF(Inputs!$B$38="pvp",15,MAX(0.1,Skills!D12-IF(Skills!E12=TRUE,Inputs!$B$32,0))))+1)),0)</f>
        <v/>
      </c>
      <c r="S1837">
        <f>IF(C1837,(H1837*N1837*IF(AND(Inputs!$B$38&lt;&gt;"pvp",Inputs!$B$43&gt;0),((Skills!F12*((R1837-1)*IF(Skills!G12&gt;0,Skills!H12/Skills!G12,1)+IF(Skills!G12&gt;0,MIN(Skills!H12,MAX(0,MAX(0,Inputs!$B$43-B1858)-((R1837-1)*IF(Inputs!$B$38="pvp",15,MAX(0.1,Skills!D12-IF(Skills!E12=TRUE,Inputs!$B$32,0))))))/Skills!G12,1)))/Inputs!$B$43),G1837*Q1837))*IF(Inputs!$B$38="pvp",1,1+(Inputs!$B$20+Skills!O12+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F12*((R1837-1)*IF(Skills!G12&gt;0,Skills!H12/Skills!G12,1)+IF(Skills!G12&gt;0,MIN(Skills!H12,MAX(0,MAX(0,Inputs!$B$43-B1858)-((R1837-1)*IF(Inputs!$B$38="pvp",15,MAX(0.1,Skills!D12-IF(Skills!E12=TRUE,Inputs!$B$32,0))))))/Skills!G12,1)))/Inputs!$B$43),G1837*Q1837))*IF(Inputs!$B$38="pvp",1,(1+(Inputs!$B$21+Skills!P12+B1852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Skills!A13</f>
        <v/>
      </c>
      <c r="B1838">
        <f>Skills!B13</f>
        <v/>
      </c>
      <c r="C1838">
        <f>Inputs!$B$3&gt;=49</f>
        <v/>
      </c>
      <c r="D1838">
        <f>IF(Skills!C13=1,60+Inputs!$B$25+Inputs!$B$29,IF(Skills!C13=2,90+Inputs!$B$26+Inputs!$B$29,IF(Skills!C13=3,120+Inputs!$B$27+Inputs!$B$29,MAX(0,(Inputs!$B$3-100)*3)+Inputs!$B$28+Inputs!$B$29)))</f>
        <v/>
      </c>
      <c r="E1838">
        <f>INDEX(FactorTable!$B$2:$Y$301, MATCH(ROUND(MIN(300,MAX(1,D1838)),0), FactorTable!$A$2:$A$301,0), Skills!L13+1)</f>
        <v/>
      </c>
      <c r="F1838">
        <f>IF(Skills!M13=TRUE,(Skills!K13/10)*(E1838/1000),Skills!K13/10)+Skills!N13</f>
        <v/>
      </c>
      <c r="G1838">
        <f>Calc!G13</f>
        <v/>
      </c>
      <c r="H1838">
        <f>Calc!H13</f>
        <v/>
      </c>
      <c r="I1838">
        <f>IF(Skills!T13&lt;&gt;"",1+(Skills!T13/10)*(Z1828/1000)/100,1)</f>
        <v/>
      </c>
      <c r="J1838" t="inlineStr"/>
      <c r="K1838" t="inlineStr"/>
      <c r="L1838" t="inlineStr"/>
      <c r="M1838" t="inlineStr"/>
      <c r="N1838" t="inlineStr"/>
      <c r="O1838">
        <f>(1-Summary!$B$11)*S1838+Summary!$B$11*U1838</f>
        <v/>
      </c>
      <c r="P1838">
        <f>IF(B1861=0,0,O1838/B1861)</f>
        <v/>
      </c>
      <c r="Q1838">
        <f>IFERROR(1/IF(Inputs!$B$38="pvp",15,MAX(0.1,Skills!D13-IF(Skills!E13=TRUE,Inputs!$B$32,0))),0)</f>
        <v/>
      </c>
      <c r="R1838" t="n">
        <v>0</v>
      </c>
      <c r="S1838" t="n">
        <v>0</v>
      </c>
      <c r="U1838" t="n">
        <v>0</v>
      </c>
    </row>
    <row r="1839">
      <c r="A1839">
        <f>Skills!A14</f>
        <v/>
      </c>
      <c r="B1839">
        <f>Skills!B14</f>
        <v/>
      </c>
      <c r="C1839">
        <f>Inputs!$B$3&gt;=72</f>
        <v/>
      </c>
      <c r="D1839">
        <f>IF(Skills!C14=1,60+Inputs!$B$25+Inputs!$B$29,IF(Skills!C14=2,90+Inputs!$B$26+Inputs!$B$29,IF(Skills!C14=3,120+Inputs!$B$27+Inputs!$B$29,MAX(0,(Inputs!$B$3-100)*3)+Inputs!$B$28+Inputs!$B$29)))</f>
        <v/>
      </c>
      <c r="E1839">
        <f>INDEX(FactorTable!$B$2:$Y$301, MATCH(ROUND(MIN(300,MAX(1,D1839)),0), FactorTable!$A$2:$A$301,0), Skills!L14+1)</f>
        <v/>
      </c>
      <c r="F1839">
        <f>IF(Skills!M14=TRUE,(Skills!K14/10)*(E1839/1000),Skills!K14/10)+Skills!N14</f>
        <v/>
      </c>
      <c r="G1839">
        <f>Calc!G14</f>
        <v/>
      </c>
      <c r="H1839">
        <f>Calc!H14</f>
        <v/>
      </c>
      <c r="I1839">
        <f>IF(Skills!T14&lt;&gt;"",1+(Skills!T14/10)*(Z1828/1000)/100,1)</f>
        <v/>
      </c>
      <c r="J1839" t="inlineStr"/>
      <c r="K1839" t="inlineStr"/>
      <c r="L1839" t="inlineStr"/>
      <c r="M1839" t="inlineStr"/>
      <c r="N1839" t="inlineStr"/>
      <c r="O1839">
        <f>(1-Summary!$B$11)*S1839+Summary!$B$11*U1839</f>
        <v/>
      </c>
      <c r="P1839">
        <f>IF(B1861=0,0,O1839/B1861)</f>
        <v/>
      </c>
      <c r="Q1839">
        <f>IFERROR(1/IF(Inputs!$B$38="pvp",15,MAX(0.1,Skills!D14-IF(Skills!E14=TRUE,Inputs!$B$32,0))),0)</f>
        <v/>
      </c>
      <c r="R1839" t="n">
        <v>0</v>
      </c>
      <c r="S1839" t="n">
        <v>0</v>
      </c>
      <c r="U1839" t="n">
        <v>0</v>
      </c>
    </row>
    <row r="1840">
      <c r="A1840">
        <f>Skills!A15</f>
        <v/>
      </c>
      <c r="B1840">
        <f>Skills!B15</f>
        <v/>
      </c>
      <c r="C1840">
        <f>Inputs!$B$3&gt;=75</f>
        <v/>
      </c>
      <c r="D1840">
        <f>IF(Skills!C15=1,60+Inputs!$B$25+Inputs!$B$29,IF(Skills!C15=2,90+Inputs!$B$26+Inputs!$B$29,IF(Skills!C15=3,120+Inputs!$B$27+Inputs!$B$29,MAX(0,(Inputs!$B$3-100)*3)+Inputs!$B$28+Inputs!$B$29)))</f>
        <v/>
      </c>
      <c r="E1840">
        <f>INDEX(FactorTable!$B$2:$Y$301, MATCH(ROUND(MIN(300,MAX(1,D1840)),0), FactorTable!$A$2:$A$301,0), Skills!L15+1)</f>
        <v/>
      </c>
      <c r="F1840">
        <f>IF(Skills!M15=TRUE,(Skills!K15/10)*(E1840/1000),Skills!K15/10)+Skills!N15</f>
        <v/>
      </c>
      <c r="G1840">
        <f>Calc!G15</f>
        <v/>
      </c>
      <c r="H1840">
        <f>Calc!H15</f>
        <v/>
      </c>
      <c r="I1840">
        <f>IF(Skills!T15&lt;&gt;"",1+(Skills!T15/10)*(Z1828/1000)/100,1)</f>
        <v/>
      </c>
      <c r="J1840" t="inlineStr"/>
      <c r="K1840" t="inlineStr"/>
      <c r="L1840" t="inlineStr"/>
      <c r="M1840" t="inlineStr"/>
      <c r="N1840" t="inlineStr"/>
      <c r="O1840">
        <f>(1-Summary!$B$11)*S1840+Summary!$B$11*U1840</f>
        <v/>
      </c>
      <c r="P1840">
        <f>IF(B1861=0,0,O1840/B1861)</f>
        <v/>
      </c>
      <c r="Q1840">
        <f>IFERROR(1/IF(Inputs!$B$38="pvp",15,MAX(0.1,Skills!D15-IF(Skills!E15=TRUE,Inputs!$B$32,0))),0)</f>
        <v/>
      </c>
      <c r="R1840" t="n">
        <v>0</v>
      </c>
      <c r="S1840" t="n">
        <v>0</v>
      </c>
      <c r="U1840" t="n">
        <v>0</v>
      </c>
    </row>
    <row r="1841">
      <c r="A1841">
        <f>Skills!A16</f>
        <v/>
      </c>
      <c r="B1841">
        <f>Skills!B16</f>
        <v/>
      </c>
      <c r="C1841">
        <f>Inputs!$B$3&gt;=110</f>
        <v/>
      </c>
      <c r="D1841">
        <f>IF(Skills!C16=1,60+Inputs!$B$25+Inputs!$B$29,IF(Skills!C16=2,90+Inputs!$B$26+Inputs!$B$29,IF(Skills!C16=3,120+Inputs!$B$27+Inputs!$B$29,MAX(0,(Inputs!$B$3-100)*3)+Inputs!$B$28+Inputs!$B$29)))</f>
        <v/>
      </c>
      <c r="E1841">
        <f>INDEX(FactorTable!$B$2:$Y$301, MATCH(ROUND(MIN(300,MAX(1,D1841)),0), FactorTable!$A$2:$A$301,0), Skills!L16+1)</f>
        <v/>
      </c>
      <c r="F1841">
        <f>(Skills!K16/10)*(E1841/1000)*64/45+Skills!N16</f>
        <v/>
      </c>
      <c r="G1841">
        <f>Calc!G16</f>
        <v/>
      </c>
      <c r="H1841">
        <f>Calc!H16</f>
        <v/>
      </c>
      <c r="I1841">
        <f>IF(Skills!T16&lt;&gt;"",1+(Skills!T16/10)*(Z1828/1000)/100,1)</f>
        <v/>
      </c>
      <c r="J1841" t="inlineStr"/>
      <c r="K1841" t="inlineStr"/>
      <c r="L1841" t="inlineStr"/>
      <c r="M1841" t="inlineStr"/>
      <c r="N1841" t="inlineStr"/>
      <c r="O1841">
        <f>(1-Summary!$B$11)*S1841+Summary!$B$11*U1841</f>
        <v/>
      </c>
      <c r="P1841">
        <f>IF(B1861=0,0,O1841/B1861)</f>
        <v/>
      </c>
      <c r="Q1841">
        <f>IFERROR(1/IF(Inputs!$B$38="pvp",15,MAX(0.1,Skills!D16-IF(Skills!E16=TRUE,Inputs!$B$32,0))),0)</f>
        <v/>
      </c>
      <c r="R1841">
        <f>IF(AND(Inputs!$B$38&lt;&gt;"pvp",Inputs!$B$43&gt;0),IF(Inputs!$B$43&lt;=0,0,(INT(Inputs!$B$43/IF(Inputs!$B$38="pvp",15,MAX(0.1,Skills!D16-IF(Skills!E16=TRUE,Inputs!$B$32,0))))+1)),0)</f>
        <v/>
      </c>
      <c r="S1841" t="n">
        <v>0</v>
      </c>
      <c r="U1841" t="n">
        <v>0</v>
      </c>
    </row>
    <row r="1842">
      <c r="A1842">
        <f>Skills!A17</f>
        <v/>
      </c>
      <c r="B1842">
        <f>Skills!B17</f>
        <v/>
      </c>
      <c r="C1842">
        <f>Inputs!$B$3&gt;=33</f>
        <v/>
      </c>
      <c r="D1842">
        <f>IF(Skills!C17=1,60+Inputs!$B$25+Inputs!$B$29,IF(Skills!C17=2,90+Inputs!$B$26+Inputs!$B$29,IF(Skills!C17=3,120+Inputs!$B$27+Inputs!$B$29,MAX(0,(Inputs!$B$3-100)*3)+Inputs!$B$28+Inputs!$B$29)))</f>
        <v/>
      </c>
      <c r="E1842">
        <f>INDEX(FactorTable!$B$2:$Y$301, MATCH(ROUND(MIN(300,MAX(1,D1842)),0), FactorTable!$A$2:$A$301,0), Skills!L17+1)</f>
        <v/>
      </c>
      <c r="F1842">
        <f>IF(Skills!M17=TRUE,(Skills!K17/10)*(E1842/1000),Skills!K17/10)+Skills!N17</f>
        <v/>
      </c>
      <c r="G1842">
        <f>Calc!G17</f>
        <v/>
      </c>
      <c r="H1842">
        <f>Calc!H17</f>
        <v/>
      </c>
      <c r="I1842">
        <f>IF(Skills!T17&lt;&gt;"",1+(Skills!T17/10)*(Z1828/1000)/100,1)</f>
        <v/>
      </c>
      <c r="J1842" t="inlineStr"/>
      <c r="K1842" t="inlineStr"/>
      <c r="L1842" t="inlineStr"/>
      <c r="M1842" t="inlineStr"/>
      <c r="N1842" t="inlineStr"/>
      <c r="O1842">
        <f>(1-Summary!$B$11)*S1842+Summary!$B$11*U1842</f>
        <v/>
      </c>
      <c r="P1842">
        <f>IF(B1861=0,0,O1842/B1861)</f>
        <v/>
      </c>
      <c r="Q1842">
        <f>IFERROR(1/IF(Inputs!$B$38="pvp",15,MAX(0.1,Skills!D17-IF(Skills!E17=TRUE,Inputs!$B$32,0))),0)</f>
        <v/>
      </c>
      <c r="R1842" t="n">
        <v>0</v>
      </c>
      <c r="S1842" t="n">
        <v>0</v>
      </c>
      <c r="U1842" t="n">
        <v>0</v>
      </c>
    </row>
    <row r="1843">
      <c r="A1843">
        <f>Skills!A18</f>
        <v/>
      </c>
      <c r="B1843">
        <f>Skills!B18</f>
        <v/>
      </c>
      <c r="C1843">
        <f>Inputs!$B$3&gt;=43</f>
        <v/>
      </c>
      <c r="D1843">
        <f>IF(Skills!C18=1,60+Inputs!$B$25+Inputs!$B$29,IF(Skills!C18=2,90+Inputs!$B$26+Inputs!$B$29,IF(Skills!C18=3,120+Inputs!$B$27+Inputs!$B$29,MAX(0,(Inputs!$B$3-100)*3)+Inputs!$B$28+Inputs!$B$29)))</f>
        <v/>
      </c>
      <c r="E1843">
        <f>INDEX(FactorTable!$B$2:$Y$301, MATCH(ROUND(MIN(300,MAX(1,D1843)),0), FactorTable!$A$2:$A$301,0), Skills!L18+1)</f>
        <v/>
      </c>
      <c r="F1843">
        <f>IF(Skills!M18=TRUE,(Skills!K18/10)*(E1843/1000),Skills!K18/10)+Skills!N18</f>
        <v/>
      </c>
      <c r="G1843">
        <f>Calc!G18</f>
        <v/>
      </c>
      <c r="H1843">
        <f>Calc!H18</f>
        <v/>
      </c>
      <c r="I1843">
        <f>IF(Skills!T18&lt;&gt;"",1+(Skills!T18/10)*(Z1828/1000)/100,1)</f>
        <v/>
      </c>
      <c r="J1843" t="inlineStr"/>
      <c r="K1843" t="inlineStr"/>
      <c r="L1843" t="inlineStr"/>
      <c r="M1843" t="inlineStr"/>
      <c r="N1843" t="inlineStr"/>
      <c r="O1843">
        <f>(1-Summary!$B$11)*S1843+Summary!$B$11*U1843</f>
        <v/>
      </c>
      <c r="P1843">
        <f>IF(B1861=0,0,O1843/B1861)</f>
        <v/>
      </c>
      <c r="Q1843">
        <f>IFERROR(1/IF(Inputs!$B$38="pvp",15,MAX(0.1,Skills!D18-IF(Skills!E18=TRUE,Inputs!$B$32,0))),0)</f>
        <v/>
      </c>
      <c r="R1843" t="n">
        <v>0</v>
      </c>
      <c r="S1843" t="n">
        <v>0</v>
      </c>
      <c r="U1843" t="n">
        <v>0</v>
      </c>
    </row>
    <row r="1844">
      <c r="A1844">
        <f>Skills!A19</f>
        <v/>
      </c>
      <c r="B1844">
        <f>Skills!B19</f>
        <v/>
      </c>
      <c r="C1844">
        <f>Inputs!$B$3&gt;=50</f>
        <v/>
      </c>
      <c r="D1844">
        <f>IF(Skills!C19=1,60+Inputs!$B$25+Inputs!$B$29,IF(Skills!C19=2,90+Inputs!$B$26+Inputs!$B$29,IF(Skills!C19=3,120+Inputs!$B$27+Inputs!$B$29,MAX(0,(Inputs!$B$3-100)*3)+Inputs!$B$28+Inputs!$B$29)))</f>
        <v/>
      </c>
      <c r="E1844">
        <f>INDEX(FactorTable!$B$2:$Y$301, MATCH(ROUND(MIN(300,MAX(1,D1844)),0), FactorTable!$A$2:$A$301,0), Skills!L19+1)</f>
        <v/>
      </c>
      <c r="F1844">
        <f>IF(Skills!M19=TRUE,(Skills!K19/10)*(E1844/1000),Skills!K19/10)+Skills!N19</f>
        <v/>
      </c>
      <c r="G1844">
        <f>Calc!G19</f>
        <v/>
      </c>
      <c r="H1844">
        <f>Calc!H19</f>
        <v/>
      </c>
      <c r="I1844">
        <f>IF(Skills!T19&lt;&gt;"",1+(Skills!T19/10)*(Z1828/1000)/100,1)</f>
        <v/>
      </c>
      <c r="J1844" t="inlineStr"/>
      <c r="K1844" t="inlineStr"/>
      <c r="L1844" t="inlineStr"/>
      <c r="M1844" t="inlineStr"/>
      <c r="N1844" t="inlineStr"/>
      <c r="O1844">
        <f>(1-Summary!$B$11)*S1844+Summary!$B$11*U1844</f>
        <v/>
      </c>
      <c r="P1844">
        <f>IF(B1861=0,0,O1844/B1861)</f>
        <v/>
      </c>
      <c r="Q1844">
        <f>IFERROR(1/IF(Inputs!$B$38="pvp",15,MAX(0.1,Skills!D19-IF(Skills!E19=TRUE,Inputs!$B$32,0))),0)</f>
        <v/>
      </c>
      <c r="R1844" t="n">
        <v>0</v>
      </c>
      <c r="S1844" t="n">
        <v>0</v>
      </c>
      <c r="U1844" t="n">
        <v>0</v>
      </c>
    </row>
    <row r="1845">
      <c r="A1845">
        <f>Skills!A20</f>
        <v/>
      </c>
      <c r="B1845">
        <f>Skills!B20</f>
        <v/>
      </c>
      <c r="C1845">
        <f>Inputs!$B$3&gt;=74</f>
        <v/>
      </c>
      <c r="D1845">
        <f>IF(Skills!C20=1,60+Inputs!$B$25+Inputs!$B$29,IF(Skills!C20=2,90+Inputs!$B$26+Inputs!$B$29,IF(Skills!C20=3,120+Inputs!$B$27+Inputs!$B$29,MAX(0,(Inputs!$B$3-100)*3)+Inputs!$B$28+Inputs!$B$29)))</f>
        <v/>
      </c>
      <c r="E1845">
        <f>INDEX(FactorTable!$B$2:$Y$301, MATCH(ROUND(MIN(300,MAX(1,D1845)),0), FactorTable!$A$2:$A$301,0), Skills!L20+1)</f>
        <v/>
      </c>
      <c r="F1845">
        <f>IF(Skills!M20=TRUE,(Skills!K20/10)*(E1845/1000),Skills!K20/10)+Skills!N20</f>
        <v/>
      </c>
      <c r="G1845">
        <f>Calc!G20</f>
        <v/>
      </c>
      <c r="H1845">
        <f>Calc!H20</f>
        <v/>
      </c>
      <c r="I1845">
        <f>IF(Skills!T20&lt;&gt;"",1+(Skills!T20/10)*(Z1828/1000)/100,1)</f>
        <v/>
      </c>
      <c r="J1845" t="inlineStr"/>
      <c r="K1845" t="inlineStr"/>
      <c r="L1845" t="inlineStr"/>
      <c r="M1845" t="inlineStr"/>
      <c r="N1845" t="inlineStr"/>
      <c r="O1845">
        <f>(1-Summary!$B$11)*S1845+Summary!$B$11*U1845</f>
        <v/>
      </c>
      <c r="P1845">
        <f>IF(B1861=0,0,O1845/B1861)</f>
        <v/>
      </c>
      <c r="Q1845">
        <f>IFERROR(1/IF(Inputs!$B$38="pvp",15,MAX(0.1,Skills!D20-IF(Skills!E20=TRUE,Inputs!$B$32,0))),0)</f>
        <v/>
      </c>
      <c r="R1845" t="n">
        <v>0</v>
      </c>
      <c r="S1845" t="n">
        <v>0</v>
      </c>
      <c r="U1845" t="n">
        <v>0</v>
      </c>
    </row>
    <row r="1846">
      <c r="A1846">
        <f>Skills!A21</f>
        <v/>
      </c>
      <c r="B1846">
        <f>Skills!B21</f>
        <v/>
      </c>
      <c r="C1846">
        <f>Inputs!$B$3&gt;=74</f>
        <v/>
      </c>
      <c r="D1846">
        <f>IF(Skills!C21=1,60+Inputs!$B$25+Inputs!$B$29,IF(Skills!C21=2,90+Inputs!$B$26+Inputs!$B$29,IF(Skills!C21=3,120+Inputs!$B$27+Inputs!$B$29,MAX(0,(Inputs!$B$3-100)*3)+Inputs!$B$28+Inputs!$B$29)))</f>
        <v/>
      </c>
      <c r="E1846">
        <f>INDEX(FactorTable!$B$2:$Y$301, MATCH(ROUND(MIN(300,MAX(1,D1846)),0), FactorTable!$A$2:$A$301,0), Skills!L21+1)</f>
        <v/>
      </c>
      <c r="F1846">
        <f>IF(Skills!M21=TRUE,(Skills!K21/10)*(E1846/1000),Skills!K21/10)+Skills!N21</f>
        <v/>
      </c>
      <c r="G1846">
        <f>Calc!G21</f>
        <v/>
      </c>
      <c r="H1846">
        <f>Calc!H21</f>
        <v/>
      </c>
      <c r="I1846">
        <f>IF(Skills!T21&lt;&gt;"",1+(Skills!T21/10)*(Z1828/1000)/100,1)</f>
        <v/>
      </c>
      <c r="J1846" t="inlineStr"/>
      <c r="K1846" t="inlineStr"/>
      <c r="L1846" t="inlineStr"/>
      <c r="M1846" t="inlineStr"/>
      <c r="N1846" t="inlineStr"/>
      <c r="O1846">
        <f>(1-Summary!$B$11)*S1846+Summary!$B$11*U1846</f>
        <v/>
      </c>
      <c r="P1846">
        <f>IF(B1861=0,0,O1846/B1861)</f>
        <v/>
      </c>
      <c r="Q1846">
        <f>IFERROR(1/IF(Inputs!$B$38="pvp",15,MAX(0.1,Skills!D21-IF(Skills!E21=TRUE,Inputs!$B$32,0))),0)</f>
        <v/>
      </c>
      <c r="R1846" t="n">
        <v>0</v>
      </c>
      <c r="S1846" t="n">
        <v>0</v>
      </c>
      <c r="U1846" t="n">
        <v>0</v>
      </c>
    </row>
    <row r="1847">
      <c r="A1847">
        <f>Skills!A22</f>
        <v/>
      </c>
      <c r="B1847">
        <f>Skills!B22</f>
        <v/>
      </c>
      <c r="C1847">
        <f>Inputs!$B$3&gt;=117</f>
        <v/>
      </c>
      <c r="D1847">
        <f>IF(Skills!C22=1,60+Inputs!$B$25+Inputs!$B$29,IF(Skills!C22=2,90+Inputs!$B$26+Inputs!$B$29,IF(Skills!C22=3,120+Inputs!$B$27+Inputs!$B$29,MAX(0,(Inputs!$B$3-100)*3)+Inputs!$B$28+Inputs!$B$29)))</f>
        <v/>
      </c>
      <c r="E1847">
        <f>INDEX(FactorTable!$B$2:$Y$301, MATCH(ROUND(MIN(300,MAX(1,D1847)),0), FactorTable!$A$2:$A$301,0), Skills!L22+1)</f>
        <v/>
      </c>
      <c r="F1847">
        <f>IF(Skills!M22=TRUE,(Skills!K22/10)*(E1847/1000),Skills!K22/10)+Skills!N22</f>
        <v/>
      </c>
      <c r="G1847">
        <f>Calc!G22</f>
        <v/>
      </c>
      <c r="H1847">
        <f>Calc!H22</f>
        <v/>
      </c>
      <c r="I1847">
        <f>IF(Skills!T22&lt;&gt;"",1+(Skills!T22/10)*(Z1828/1000)/100,1)</f>
        <v/>
      </c>
      <c r="J1847" t="inlineStr"/>
      <c r="K1847" t="inlineStr"/>
      <c r="L1847" t="inlineStr"/>
      <c r="M1847" t="inlineStr"/>
      <c r="N1847" t="inlineStr"/>
      <c r="O1847">
        <f>(1-Summary!$B$11)*S1847+Summary!$B$11*U1847</f>
        <v/>
      </c>
      <c r="P1847">
        <f>IF(B1861=0,0,O1847/B1861)</f>
        <v/>
      </c>
      <c r="Q1847">
        <f>IFERROR(1/IF(Inputs!$B$38="pvp",15,MAX(0.1,Skills!D22-IF(Skills!E22=TRUE,Inputs!$B$32,0))),0)</f>
        <v/>
      </c>
      <c r="R1847" t="n">
        <v>0</v>
      </c>
      <c r="S1847" t="n">
        <v>0</v>
      </c>
      <c r="U1847" t="n">
        <v>0</v>
      </c>
    </row>
    <row r="1848">
      <c r="A1848">
        <f>Skills!A23</f>
        <v/>
      </c>
      <c r="B1848">
        <f>Skills!B23</f>
        <v/>
      </c>
      <c r="C1848">
        <f>Inputs!$B$3&gt;=120</f>
        <v/>
      </c>
      <c r="D1848">
        <f>IF(Skills!C23=1,60+Inputs!$B$25+Inputs!$B$29,IF(Skills!C23=2,90+Inputs!$B$26+Inputs!$B$29,IF(Skills!C23=3,120+Inputs!$B$27+Inputs!$B$29,MAX(0,(Inputs!$B$3-100)*3)+Inputs!$B$28+Inputs!$B$29)))</f>
        <v/>
      </c>
      <c r="E1848">
        <f>INDEX(FactorTable!$B$2:$Y$301, MATCH(ROUND(MIN(300,MAX(1,D1848)),0), FactorTable!$A$2:$A$301,0), Skills!L23+1)</f>
        <v/>
      </c>
      <c r="F1848">
        <f>IF(Skills!M23=TRUE,(Skills!K23/10)*(E1848/1000),Skills!K23/10)+Skills!N23</f>
        <v/>
      </c>
      <c r="G1848">
        <f>Calc!G23</f>
        <v/>
      </c>
      <c r="H1848">
        <f>Calc!H23</f>
        <v/>
      </c>
      <c r="I1848">
        <f>IF(Skills!T23&lt;&gt;"",1+(Skills!T23/10)*(Z1828/1000)/100,1)</f>
        <v/>
      </c>
      <c r="J1848" t="inlineStr"/>
      <c r="K1848" t="inlineStr"/>
      <c r="L1848" t="inlineStr"/>
      <c r="M1848" t="inlineStr"/>
      <c r="N1848" t="inlineStr"/>
      <c r="O1848">
        <f>(1-Summary!$B$11)*S1848+Summary!$B$11*U1848</f>
        <v/>
      </c>
      <c r="P1848">
        <f>IF(B1861=0,0,O1848/B1861)</f>
        <v/>
      </c>
      <c r="Q1848">
        <f>IFERROR(1/IF(Inputs!$B$38="pvp",15,MAX(0.1,Skills!D23-IF(Skills!E23=TRUE,Inputs!$B$32,0))),0)</f>
        <v/>
      </c>
      <c r="R1848" t="n">
        <v>0</v>
      </c>
      <c r="S1848" t="n">
        <v>0</v>
      </c>
      <c r="U1848" t="n">
        <v>0</v>
      </c>
    </row>
    <row r="1851">
      <c r="A1851" t="inlineStr">
        <is>
          <t>Average Buff Multiplier (Magic Guard + Meditation + Artifact Attack%, summed; then Infinity)</t>
        </is>
      </c>
      <c r="B1851">
        <f>(1+(IF(C1828=TRUE,F1828*IF(AND(Inputs!$B$38&lt;&gt;"pvp",Inputs!$B$43&gt;0),(((R1828-1)*(Skills!S3*(1+(Inputs!$B$34+IF(Inputs!$B$3&gt;=117,F1847,0))/100))+MIN((Skills!S3*(1+(Inputs!$B$34+IF(Inputs!$B$3&gt;=117,F1847,0))/100)),MAX(0,Inputs!$B$43-((R1828-1)*Skills!D3))))/Inputs!$B$43),IF(Inputs!$B$38="pvp",MIN((Skills!S3*(1+(Inputs!$B$34+IF(Inputs!$B$3&gt;=117,F1847,0))/100)),15)/15,(Skills!S3*(1+(Inputs!$B$34+IF(Inputs!$B$3&gt;=117,F1847,0))/100))/Skills!D3)),0)+IF(C1829=TRUE,F1829*IF(AND(Inputs!$B$38&lt;&gt;"pvp",Inputs!$B$43&gt;0),(((R1829-1)*(Skills!S4*(1+(Inputs!$B$34+IF(Inputs!$B$3&gt;=117,F1847,0))/100))+MIN((Skills!S4*(1+(Inputs!$B$34+IF(Inputs!$B$3&gt;=117,F1847,0))/100)),MAX(0,Inputs!$B$43-((R1829-1)*Skills!D4))))/Inputs!$B$43),IF(Inputs!$B$38="pvp",MIN((Skills!S4*(1+(Inputs!$B$34+IF(Inputs!$B$3&gt;=117,F1847,0))/100)),15)/15,(Skills!S4*(1+(Inputs!$B$34+IF(Inputs!$B$3&gt;=117,F1847,0)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1841=TRUE,(1+F1841*IF(AND(Inputs!$B$38&lt;&gt;"pvp",Inputs!$B$43&gt;0),(((R1841-1)*(Skills!S16*(1+(Inputs!$B$34+IF(Inputs!$B$3&gt;=117,F1847,0))/100))+MIN((Skills!S16*(1+(Inputs!$B$34+IF(Inputs!$B$3&gt;=117,F1847,0))/100)),MAX(0,Inputs!$B$43-((R1841-1)*Skills!D16))))/Inputs!$B$43),IF(Inputs!$B$38="pvp",MIN((Skills!S16*(1+(Inputs!$B$34+IF(Inputs!$B$3&gt;=117,F1847,0))/100)),15)/15,(Skills!S16*(1+(Inputs!$B$34+IF(Inputs!$B$3&gt;=117,F1847,0))/100))/Skills!D16))/100),1)</f>
        <v/>
      </c>
    </row>
    <row r="1852">
      <c r="A1852" t="inlineStr">
        <is>
          <t>Monster Damage Taken Bonus % (Freezing Breath - Weaken + Elemental Reset + Artifact Enemy Damage Taken, summed)</t>
        </is>
      </c>
      <c r="B1852">
        <f>IF(Inputs!$B$3&gt;=118,15*IF(Inputs!$B$38="pvp",MIN((30*(1+(Inputs!$B$34+IF(Inputs!$B$3&gt;=117,F1847,0))/100)),15)/15,(30*(1+(Inputs!$B$34+IF(Inputs!$B$3&gt;=117,F1847,0))/100))/Skills!D8),0)+IF(C1839=TRUE,F1839,0)+(IF(AND(ArtifactsInput!$M$35,Inputs!$B$4&lt;&gt;"Chapter Hunt"),CHOOSE(ArtifactsInput!$N$35+1,15,18,21,24,27,30)*(1-EXP(-(0.2*B1855)*5)),0)+IF(AND(ArtifactsInput!$M$22,Inputs!$B$4&lt;&gt;"Chapter Hunt"),CHOOSE(ArtifactsInput!$N$22+1,10,12,14,16,18,20)*((0*(((0.15*B1855*5))^0/1)+1*(((0.15*B1855*5))^1/1)+2*(((0.15*B1855*5))^2/2)+3*(((0.15*B1855*5))^3/6)+4*(((0.15*B1855*5))^4/24)+5*(((0.15*B1855*5))^5/120))/((((0.15*B1855*5))^0/1)+(((0.15*B1855*5))^1/1)+(((0.15*B1855*5))^2/2)+(((0.15*B1855*5))^3/6)+(((0.15*B1855*5))^4/24)+(((0.15*B1855*5))^5/120))),0))</f>
        <v/>
      </c>
    </row>
    <row r="1853">
      <c r="A1853" t="inlineStr">
        <is>
          <t>Damage % Bonus (Frozen Break + Frost Clutch, flat)</t>
        </is>
      </c>
      <c r="B1853">
        <f>IF(Inputs!$B$3&gt;=66,15,0)+IF(Inputs!$B$3&gt;=98,10,0)+IF(Inputs!$B$3&gt;=125,20,0)</f>
        <v/>
      </c>
    </row>
    <row r="1854">
      <c r="A1854" t="inlineStr">
        <is>
          <t>Attack Speed Bonus % (MP Eater - MP Boost, always-on once unlocked)</t>
        </is>
      </c>
      <c r="B1854">
        <f>IF(C1838=TRUE,F1838+(F1842-Calc!F17),0)</f>
        <v/>
      </c>
    </row>
    <row r="1855">
      <c r="A1855" t="inlineStr">
        <is>
          <t>Actions Per Second</t>
        </is>
      </c>
      <c r="B1855">
        <f>1+MIN(150,150*(1-(1-(Inputs!$B$11+(ArtifactsInput!$M$15-ArtifactsInput!$M$15)*CHOOSE(ArtifactsInput!$N$15+1,8,9.6,11.2,12.8,14.4,16))/150)*(1-B1854/150)))/100</f>
        <v/>
      </c>
    </row>
    <row r="1856">
      <c r="A1856" t="inlineStr">
        <is>
          <t>Skill + Buff Cast Rate</t>
        </is>
      </c>
      <c r="B1856">
        <f>IF(AND(Inputs!$B$38&lt;&gt;"pvp",Inputs!$B$43&gt;0),SUMPRODUCT((Skills!E2:E23=TRUE)*(C1827:C1848=TRUE)*R1827:R1848)/Inputs!$B$43,SUMPRODUCT((Skills!E2:E23=TRUE)*(C1827:C1848=TRUE)*Q1827:Q1848))</f>
        <v/>
      </c>
    </row>
    <row r="1857">
      <c r="A1857" t="inlineStr">
        <is>
          <t>Chain Lightning Casts Per Second</t>
        </is>
      </c>
      <c r="B1857">
        <f>MAX(0,B1855-B1856)</f>
        <v/>
      </c>
    </row>
    <row r="1858">
      <c r="A1858" t="inlineStr">
        <is>
          <t>Buff-Casting Startup Delay (s, fixed-duration only)</t>
        </is>
      </c>
      <c r="B1858">
        <f>IF(AND(Inputs!$B$38&lt;&gt;"pvp",Inputs!$B$43&gt;0),SUMPRODUCT((Skills!S2:S23&gt;0)*(Skills!E2:E23=TRUE)*(C1827:C1848=TRUE))/B1855,0)</f>
        <v/>
      </c>
    </row>
    <row r="1859">
      <c r="A1859" t="inlineStr">
        <is>
          <t>Boss-Only Total DPS (this block's swept value)</t>
        </is>
      </c>
      <c r="B1859">
        <f>SUM(S1827:S1848)</f>
        <v/>
      </c>
    </row>
    <row r="1860">
      <c r="A1860" t="inlineStr">
        <is>
          <t>Normal-Only Total DPS (this block's swept value)</t>
        </is>
      </c>
      <c r="B1860">
        <f>SUM(U1827:U1848)</f>
        <v/>
      </c>
    </row>
    <row r="1861">
      <c r="A1861" s="6" t="inlineStr">
        <is>
          <t>TOTAL DPS</t>
        </is>
      </c>
      <c r="B1861" s="6">
        <f>SUM(O1827:O1848)</f>
        <v/>
      </c>
    </row>
    <row r="1864">
      <c r="A1864" s="6" t="inlineStr">
        <is>
          <t>Stat: Lit Lamp (Equip)</t>
        </is>
      </c>
    </row>
    <row r="1865">
      <c r="A1865" s="5" t="inlineStr">
        <is>
          <t>Key</t>
        </is>
      </c>
      <c r="B1865" s="5" t="inlineStr">
        <is>
          <t>Name</t>
        </is>
      </c>
      <c r="C1865" s="5" t="inlineStr">
        <is>
          <t>Unlocked</t>
        </is>
      </c>
      <c r="D1865" s="5" t="inlineStr">
        <is>
          <t>InputLevel</t>
        </is>
      </c>
      <c r="E1865" s="5" t="inlineStr">
        <is>
          <t>Factor</t>
        </is>
      </c>
      <c r="F1865" s="5" t="inlineStr">
        <is>
          <t>CoefficientPercent</t>
        </is>
      </c>
      <c r="G1865" s="5" t="inlineStr">
        <is>
          <t>EffectiveHits</t>
        </is>
      </c>
      <c r="H1865" s="5" t="inlineStr">
        <is>
          <t>ProcProbability</t>
        </is>
      </c>
      <c r="I1865" s="5" t="inlineStr">
        <is>
          <t>MapleHeroMultiplier</t>
        </is>
      </c>
      <c r="J1865" s="5" t="inlineStr">
        <is>
          <t>BaseDamage</t>
        </is>
      </c>
      <c r="K1865" s="5" t="inlineStr">
        <is>
          <t>BaseHitDamage</t>
        </is>
      </c>
      <c r="L1865" s="5" t="inlineStr">
        <is>
          <t>NonCritAvg</t>
        </is>
      </c>
      <c r="M1865" s="5" t="inlineStr">
        <is>
          <t>CritAvg</t>
        </is>
      </c>
      <c r="N1865" s="5" t="inlineStr">
        <is>
          <t>ExpectedDamage(perHit)</t>
        </is>
      </c>
      <c r="O1865" s="5" t="inlineStr">
        <is>
          <t>DPS</t>
        </is>
      </c>
      <c r="P1865" s="5" t="inlineStr">
        <is>
          <t>% of Total</t>
        </is>
      </c>
      <c r="R1865" t="inlineStr">
        <is>
          <t>helpers</t>
        </is>
      </c>
    </row>
    <row r="1866">
      <c r="A1866">
        <f>Skills!A2</f>
        <v/>
      </c>
      <c r="B1866">
        <f>Skills!B2</f>
        <v/>
      </c>
      <c r="C1866">
        <f>Inputs!$B$3&gt;=100</f>
        <v/>
      </c>
      <c r="D1866" t="inlineStr"/>
      <c r="E1866" t="inlineStr"/>
      <c r="F1866">
        <f>T1868+Skills!N2</f>
        <v/>
      </c>
      <c r="G1866">
        <f>Calc!G2</f>
        <v/>
      </c>
      <c r="H1866">
        <f>Calc!H2</f>
        <v/>
      </c>
      <c r="I1866">
        <f>IF(Skills!T2&lt;&gt;"",1+(Skills!T2/10)*(Z1867/1000)/100,1)</f>
        <v/>
      </c>
      <c r="J1866">
        <f>((Inputs!$B$6*(1+Inputs!$B$7/100))+(((Inputs!$B$12*(1+Inputs!$B$13/100))-(Inputs!$B$12*(1+Inputs!$B$13/100)))+0.25*(Inputs!$B$14-Inputs!$B$14))*(1+Inputs!$B$7/100))*(F1866/100)</f>
        <v/>
      </c>
      <c r="K1866">
        <f>J1866*(1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F1882-Calc!F18),(Inputs!$B$23+(IF(ArtifactsInput!$M$15,CHOOSE(ArtifactsInput!$N$15+1,25,30,35,40,45,50)/100*(Inputs!$B$11-Inputs!$B$11),0))))/100+(Inputs!$B$23+(IF(ArtifactsInput!$M$15,CHOOSE(ArtifactsInput!$N$15+1,25,30,35,40,45,50)/100*(Inputs!$B$11-Inputs!$B$11),0)))/100)/2</f>
        <v/>
      </c>
      <c r="M1866">
        <f>L1866*(1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(1-Summary!$B$11)*S1866+Summary!$B$11*U1866</f>
        <v/>
      </c>
      <c r="P1866">
        <f>IF(B1900=0,0,O1866/B1900)</f>
        <v/>
      </c>
      <c r="Q1866">
        <f>IFERROR(1/IF(Inputs!$B$38="pvp",15,MAX(0.1,Skills!D2-IF(Skills!E2=TRUE,Inputs!$B$32,0))),0)</f>
        <v/>
      </c>
      <c r="R1866" t="n">
        <v>0</v>
      </c>
      <c r="S1866">
        <f>IF(C1866,(Skills!F2*N1866*B1896)*IF(Inputs!$B$38="pvp",1,1+(Inputs!$B$20+Skills!O2+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66">
        <f>MAX(0,(Inputs!$B$3-100)*3)+Inputs!$B$28+Inputs!$B$29</f>
        <v/>
      </c>
      <c r="U1866">
        <f>IF(C1866,(Skills!F2*N1866*B1896)*IF(Inputs!$B$38="pvp",1,(1+(Inputs!$B$21+Skills!P2+B1891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66">
        <f>MAX(0,(Inputs!$B$3-100)*3)+Inputs!$B$28+Inputs!$B$29</f>
        <v/>
      </c>
    </row>
    <row r="1867">
      <c r="A1867">
        <f>Skills!A3</f>
        <v/>
      </c>
      <c r="B1867">
        <f>Skills!B3</f>
        <v/>
      </c>
      <c r="C1867">
        <f>Inputs!$B$3&gt;=15</f>
        <v/>
      </c>
      <c r="D1867">
        <f>IF(Skills!C3=1,60+Inputs!$B$25+Inputs!$B$29,IF(Skills!C3=2,90+Inputs!$B$26+Inputs!$B$29,IF(Skills!C3=3,120+Inputs!$B$27+Inputs!$B$29,MAX(0,(Inputs!$B$3-100)*3)+Inputs!$B$28+Inputs!$B$29)))</f>
        <v/>
      </c>
      <c r="E1867">
        <f>INDEX(FactorTable!$B$2:$Y$301, MATCH(ROUND(MIN(300,MAX(1,D1867)),0), FactorTable!$A$2:$A$301,0), Skills!L3+1)</f>
        <v/>
      </c>
      <c r="F1867">
        <f>IF(Skills!M3=TRUE,(Skills!K3/10)*(E1867/1000),Skills!K3/10)+Skills!N3</f>
        <v/>
      </c>
      <c r="G1867">
        <f>Calc!G3</f>
        <v/>
      </c>
      <c r="H1867">
        <f>Calc!H3</f>
        <v/>
      </c>
      <c r="I1867">
        <f>IF(Skills!T3&lt;&gt;"",1+(Skills!T3/10)*(Z1867/1000)/100,1)</f>
        <v/>
      </c>
      <c r="J1867" t="inlineStr"/>
      <c r="K1867" t="inlineStr"/>
      <c r="L1867" t="inlineStr"/>
      <c r="M1867" t="inlineStr"/>
      <c r="N1867" t="inlineStr"/>
      <c r="O1867">
        <f>(1-Summary!$B$11)*S1867+Summary!$B$11*U1867</f>
        <v/>
      </c>
      <c r="P1867">
        <f>IF(B1900=0,0,O1867/B1900)</f>
        <v/>
      </c>
      <c r="Q1867">
        <f>IFERROR(1/IF(Inputs!$B$38="pvp",15,MAX(0.1,Skills!D3-IF(Skills!E3=TRUE,Inputs!$B$32,0))),0)</f>
        <v/>
      </c>
      <c r="R1867">
        <f>IF(AND(Inputs!$B$38&lt;&gt;"pvp",Inputs!$B$43&gt;0),IF(Inputs!$B$43&lt;=0,0,(INT(Inputs!$B$43/IF(Inputs!$B$38="pvp",15,MAX(0.1,Skills!D3-IF(Skills!E3=TRUE,Inputs!$B$32,0))))+1)),0)</f>
        <v/>
      </c>
      <c r="S1867" t="n">
        <v>0</v>
      </c>
      <c r="T1867">
        <f>INDEX(FactorTable!$B$2:$Y$301, MATCH(ROUND(MIN(300,MAX(1,T1866)),0), FactorTable!$A$2:$A$301,0), 22)</f>
        <v/>
      </c>
      <c r="U1867" t="n">
        <v>0</v>
      </c>
      <c r="Z1867">
        <f>INDEX(FactorTable!$B$2:$Y$301, MATCH(ROUND(MIN(300,MAX(1,Z1866)),0), FactorTable!$A$2:$A$301,0), 24)</f>
        <v/>
      </c>
    </row>
    <row r="1868">
      <c r="A1868">
        <f>Skills!A4</f>
        <v/>
      </c>
      <c r="B1868">
        <f>Skills!B4</f>
        <v/>
      </c>
      <c r="C1868">
        <f>Inputs!$B$3&gt;=40</f>
        <v/>
      </c>
      <c r="D1868">
        <f>IF(Skills!C4=1,60+Inputs!$B$25+Inputs!$B$29,IF(Skills!C4=2,90+Inputs!$B$26+Inputs!$B$29,IF(Skills!C4=3,120+Inputs!$B$27+Inputs!$B$29,MAX(0,(Inputs!$B$3-100)*3)+Inputs!$B$28+Inputs!$B$29)))</f>
        <v/>
      </c>
      <c r="E1868">
        <f>INDEX(FactorTable!$B$2:$Y$301, MATCH(ROUND(MIN(300,MAX(1,D1868)),0), FactorTable!$A$2:$A$301,0), Skills!L4+1)</f>
        <v/>
      </c>
      <c r="F1868">
        <f>IF(Skills!M4=TRUE,(Skills!K4/10)*(E1868/1000),Skills!K4/10)+Skills!N4</f>
        <v/>
      </c>
      <c r="G1868">
        <f>Calc!G4</f>
        <v/>
      </c>
      <c r="H1868">
        <f>Calc!H4</f>
        <v/>
      </c>
      <c r="I1868">
        <f>IF(Skills!T4&lt;&gt;"",1+(Skills!T4/10)*(Z1867/1000)/100,1)</f>
        <v/>
      </c>
      <c r="J1868" t="inlineStr"/>
      <c r="K1868" t="inlineStr"/>
      <c r="L1868" t="inlineStr"/>
      <c r="M1868" t="inlineStr"/>
      <c r="N1868" t="inlineStr"/>
      <c r="O1868">
        <f>(1-Summary!$B$11)*S1868+Summary!$B$11*U1868</f>
        <v/>
      </c>
      <c r="P1868">
        <f>IF(B1900=0,0,O1868/B1900)</f>
        <v/>
      </c>
      <c r="Q1868">
        <f>IFERROR(1/IF(Inputs!$B$38="pvp",15,MAX(0.1,Skills!D4-IF(Skills!E4=TRUE,Inputs!$B$32,0))),0)</f>
        <v/>
      </c>
      <c r="R1868">
        <f>IF(AND(Inputs!$B$38&lt;&gt;"pvp",Inputs!$B$43&gt;0),IF(Inputs!$B$43&lt;=0,0,(INT(Inputs!$B$43/IF(Inputs!$B$38="pvp",15,MAX(0.1,Skills!D4-IF(Skills!E4=TRUE,Inputs!$B$32,0))))+1)),0)</f>
        <v/>
      </c>
      <c r="S1868" t="n">
        <v>0</v>
      </c>
      <c r="T1868">
        <f>290*T1867/1000</f>
        <v/>
      </c>
      <c r="U1868" t="n">
        <v>0</v>
      </c>
    </row>
    <row r="1869">
      <c r="A1869">
        <f>Skills!A5</f>
        <v/>
      </c>
      <c r="B1869">
        <f>Skills!B5</f>
        <v/>
      </c>
      <c r="C1869">
        <f>Inputs!$B$3&gt;=38</f>
        <v/>
      </c>
      <c r="D1869">
        <f>IF(Skills!C5=1,60+Inputs!$B$25+Inputs!$B$29,IF(Skills!C5=2,90+Inputs!$B$26+Inputs!$B$29,IF(Skills!C5=3,120+Inputs!$B$27+Inputs!$B$29,MAX(0,(Inputs!$B$3-100)*3)+Inputs!$B$28+Inputs!$B$29)))</f>
        <v/>
      </c>
      <c r="E1869">
        <f>INDEX(FactorTable!$B$2:$Y$301, MATCH(ROUND(MIN(300,MAX(1,D1869)),0), FactorTable!$A$2:$A$301,0), Skills!L5+1)</f>
        <v/>
      </c>
      <c r="F1869">
        <f>IF(Skills!M5=TRUE,(Skills!K5/10)*(E1869/1000),Skills!K5/10)+Skills!N5</f>
        <v/>
      </c>
      <c r="G1869">
        <f>Calc!G5</f>
        <v/>
      </c>
      <c r="H1869">
        <f>Calc!H5</f>
        <v/>
      </c>
      <c r="I1869">
        <f>IF(Skills!T5&lt;&gt;"",1+(Skills!T5/10)*(Z1867/1000)/100,1)</f>
        <v/>
      </c>
      <c r="J1869">
        <f>((Inputs!$B$6*(1+Inputs!$B$7/100))+(((Inputs!$B$12*(1+Inputs!$B$13/100))-(Inputs!$B$12*(1+Inputs!$B$13/100)))+0.25*(Inputs!$B$14-Inputs!$B$14))*(1+Inputs!$B$7/100))*(F1869/100)</f>
        <v/>
      </c>
      <c r="K1869">
        <f>J1869*(1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F1882-Calc!F18),(Inputs!$B$23+(IF(ArtifactsInput!$M$15,CHOOSE(ArtifactsInput!$N$15+1,25,30,35,40,45,50)/100*(Inputs!$B$11-Inputs!$B$11),0))))/100+(Inputs!$B$23+(IF(ArtifactsInput!$M$15,CHOOSE(ArtifactsInput!$N$15+1,25,30,35,40,45,50)/100*(Inputs!$B$11-Inputs!$B$11),0)))/100)/2</f>
        <v/>
      </c>
      <c r="M1869">
        <f>L1869*(1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(1-Summary!$B$11)*S1869+Summary!$B$11*U1869</f>
        <v/>
      </c>
      <c r="P1869">
        <f>IF(B1900=0,0,O1869/B1900)</f>
        <v/>
      </c>
      <c r="Q1869">
        <f>IFERROR(1/IF(Inputs!$B$38="pvp",15,MAX(0.1,Skills!D5-IF(Skills!E5=TRUE,Inputs!$B$32,0))),0)</f>
        <v/>
      </c>
      <c r="R1869">
        <f>IF(AND(Inputs!$B$38&lt;&gt;"pvp",Inputs!$B$43&gt;0),IF(MAX(0,Inputs!$B$43-B1897)&lt;=0,0,(INT(MAX(0,Inputs!$B$43-B1897)/IF(Inputs!$B$38="pvp",15,MAX(0.1,Skills!D5-IF(Skills!E5=TRUE,Inputs!$B$32,0))))+1)),0)</f>
        <v/>
      </c>
      <c r="S1869">
        <f>IF(C1869,(H1869*N1869*IF(AND(Inputs!$B$38&lt;&gt;"pvp",Inputs!$B$43&gt;0),((Skills!F5*((R1869-1)*IF(Skills!G5&gt;0,Skills!H5/Skills!G5,1)+IF(Skills!G5&gt;0,MIN(Skills!H5,MAX(0,MAX(0,Inputs!$B$43-B1897)-((R1869-1)*IF(Inputs!$B$38="pvp",15,MAX(0.1,Skills!D5-IF(Skills!E5=TRUE,Inputs!$B$32,0))))))/Skills!G5,1)))/Inputs!$B$43),G1869*Q1869))*IF(Inputs!$B$38="pvp",1,1+(Inputs!$B$20+Skills!O5+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1869*(1-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IF(C1869,(H1869*N1869*IF(AND(Inputs!$B$38&lt;&gt;"pvp",Inputs!$B$43&gt;0),((Skills!F5*((R1869-1)*IF(Skills!G5&gt;0,Skills!H5/Skills!G5,1)+IF(Skills!G5&gt;0,MIN(Skills!H5,MAX(0,MAX(0,Inputs!$B$43-B1897)-((R1869-1)*IF(Inputs!$B$38="pvp",15,MAX(0.1,Skills!D5-IF(Skills!E5=TRUE,Inputs!$B$32,0))))))/Skills!G5,1)))/Inputs!$B$43),G1869*Q1869))*IF(Inputs!$B$38="pvp",1,(1+(Inputs!$B$21+Skills!P5+B1891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Skills!A6</f>
        <v/>
      </c>
      <c r="B1870">
        <f>Skills!B6</f>
        <v/>
      </c>
      <c r="C1870">
        <f>Inputs!$B$3&gt;=63</f>
        <v/>
      </c>
      <c r="D1870">
        <f>IF(Skills!C6=1,60+Inputs!$B$25+Inputs!$B$29,IF(Skills!C6=2,90+Inputs!$B$26+Inputs!$B$29,IF(Skills!C6=3,120+Inputs!$B$27+Inputs!$B$29,MAX(0,(Inputs!$B$3-100)*3)+Inputs!$B$28+Inputs!$B$29)))</f>
        <v/>
      </c>
      <c r="E1870">
        <f>INDEX(FactorTable!$B$2:$Y$301, MATCH(ROUND(MIN(300,MAX(1,D1870)),0), FactorTable!$A$2:$A$301,0), Skills!L6+1)</f>
        <v/>
      </c>
      <c r="F1870">
        <f>IF(Skills!M6=TRUE,(Skills!K6/10)*(E1870/1000),Skills!K6/10)+Skills!N6</f>
        <v/>
      </c>
      <c r="G1870">
        <f>Calc!G6</f>
        <v/>
      </c>
      <c r="H1870">
        <f>Calc!H6</f>
        <v/>
      </c>
      <c r="I1870">
        <f>IF(Skills!T6&lt;&gt;"",1+(Skills!T6/10)*(Z1867/1000)/100,1)</f>
        <v/>
      </c>
      <c r="J1870">
        <f>((Inputs!$B$6*(1+Inputs!$B$7/100))+(((Inputs!$B$12*(1+Inputs!$B$13/100))-(Inputs!$B$12*(1+Inputs!$B$13/100)))+0.25*(Inputs!$B$14-Inputs!$B$14))*(1+Inputs!$B$7/100))*(F1870/100)</f>
        <v/>
      </c>
      <c r="K1870">
        <f>J1870*(1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1870)</f>
        <v/>
      </c>
      <c r="L1870">
        <f>K1870*(MIN(Inputs!$B$22+(F1882-Calc!F18),(Inputs!$B$23+(IF(ArtifactsInput!$M$15,CHOOSE(ArtifactsInput!$N$15+1,25,30,35,40,45,50)/100*(Inputs!$B$11-Inputs!$B$11),0))))/100+(Inputs!$B$23+(IF(ArtifactsInput!$M$15,CHOOSE(ArtifactsInput!$N$15+1,25,30,35,40,45,50)/100*(Inputs!$B$11-Inputs!$B$11),0)))/100)/2</f>
        <v/>
      </c>
      <c r="M1870">
        <f>L1870*(1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0">
        <f>L1870*(1-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1870*(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0">
        <f>(1-Summary!$B$11)*S1870+Summary!$B$11*U1870</f>
        <v/>
      </c>
      <c r="P1870">
        <f>IF(B1900=0,0,O1870/B1900)</f>
        <v/>
      </c>
      <c r="Q1870">
        <f>IFERROR(1/IF(Inputs!$B$38="pvp",15,MAX(0.1,Skills!D6-IF(Skills!E6=TRUE,Inputs!$B$32,0))),0)</f>
        <v/>
      </c>
      <c r="R1870">
        <f>IF(AND(Inputs!$B$38&lt;&gt;"pvp",Inputs!$B$43&gt;0),IF(MAX(0,Inputs!$B$43-B1897)&lt;=0,0,(INT(MAX(0,Inputs!$B$43-B1897)/IF(Inputs!$B$38="pvp",15,MAX(0.1,Skills!D6-IF(Skills!E6=TRUE,Inputs!$B$32,0))))+1)),0)</f>
        <v/>
      </c>
      <c r="S1870">
        <f>IF(C1870,(H1870*N1870*IF(AND(Inputs!$B$38&lt;&gt;"pvp",Inputs!$B$43&gt;0),((Skills!F6*((R1870-1)*IF(Skills!G6&gt;0,Skills!H6/Skills!G6,1)+IF(Skills!G6&gt;0,MIN(Skills!H6,MAX(0,MAX(0,Inputs!$B$43-B1897)-((R1870-1)*IF(Inputs!$B$38="pvp",15,MAX(0.1,Skills!D6-IF(Skills!E6=TRUE,Inputs!$B$32,0))))))/Skills!G6,1)))/Inputs!$B$43),G1870*Q1870))*IF(Inputs!$B$38="pvp",1,1+(Inputs!$B$20+Skills!O6+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1870*(1-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1870*(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1870*(1-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1870*(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0">
        <f>IF(C1870,(H1870*N1870*IF(AND(Inputs!$B$38&lt;&gt;"pvp",Inputs!$B$43&gt;0),((Skills!F6*((R1870-1)*IF(Skills!G6&gt;0,Skills!H6/Skills!G6,1)+IF(Skills!G6&gt;0,MIN(Skills!H6,MAX(0,MAX(0,Inputs!$B$43-B1897)-((R1870-1)*IF(Inputs!$B$38="pvp",15,MAX(0.1,Skills!D6-IF(Skills!E6=TRUE,Inputs!$B$32,0))))))/Skills!G6,1)))/Inputs!$B$43),G1870*Q1870))*IF(Inputs!$B$38="pvp",1,(1+(Inputs!$B$21+Skills!P6+B1891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1">
      <c r="A1871">
        <f>Skills!A7</f>
        <v/>
      </c>
      <c r="B1871">
        <f>Skills!B7</f>
        <v/>
      </c>
      <c r="C1871">
        <f>Inputs!$B$3&gt;=69</f>
        <v/>
      </c>
      <c r="D1871">
        <f>IF(Skills!C7=1,60+Inputs!$B$25+Inputs!$B$29,IF(Skills!C7=2,90+Inputs!$B$26+Inputs!$B$29,IF(Skills!C7=3,120+Inputs!$B$27+Inputs!$B$29,MAX(0,(Inputs!$B$3-100)*3)+Inputs!$B$28+Inputs!$B$29)))</f>
        <v/>
      </c>
      <c r="E1871">
        <f>INDEX(FactorTable!$B$2:$Y$301, MATCH(ROUND(MIN(300,MAX(1,D1871)),0), FactorTable!$A$2:$A$301,0), Skills!L7+1)</f>
        <v/>
      </c>
      <c r="F1871">
        <f>IF(Skills!M7=TRUE,(Skills!K7/10)*(E1871/1000),Skills!K7/10)+Skills!N7</f>
        <v/>
      </c>
      <c r="G1871">
        <f>Calc!G7</f>
        <v/>
      </c>
      <c r="H1871">
        <f>Calc!H7</f>
        <v/>
      </c>
      <c r="I1871">
        <f>IF(Skills!T7&lt;&gt;"",1+(Skills!T7/10)*(Z1867/1000)/100,1)</f>
        <v/>
      </c>
      <c r="J1871">
        <f>((Inputs!$B$6*(1+Inputs!$B$7/100))+(((Inputs!$B$12*(1+Inputs!$B$13/100))-(Inputs!$B$12*(1+Inputs!$B$13/100)))+0.25*(Inputs!$B$14-Inputs!$B$14))*(1+Inputs!$B$7/100))*(F1871/100)</f>
        <v/>
      </c>
      <c r="K1871">
        <f>J1871*(1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F1882-Calc!F18),(Inputs!$B$23+(IF(ArtifactsInput!$M$15,CHOOSE(ArtifactsInput!$N$15+1,25,30,35,40,45,50)/100*(Inputs!$B$11-Inputs!$B$11),0))))/100+(Inputs!$B$23+(IF(ArtifactsInput!$M$15,CHOOSE(ArtifactsInput!$N$15+1,25,30,35,40,45,50)/100*(Inputs!$B$11-Inputs!$B$11),0)))/100)/2</f>
        <v/>
      </c>
      <c r="M1871">
        <f>L1871*(1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(1-Summary!$B$11)*S1871+Summary!$B$11*U1871</f>
        <v/>
      </c>
      <c r="P1871">
        <f>IF(B1900=0,0,O1871/B1900)</f>
        <v/>
      </c>
      <c r="Q1871">
        <f>IFERROR(1/IF(Inputs!$B$38="pvp",15,MAX(0.1,Skills!D7-IF(Skills!E7=TRUE,Inputs!$B$32,0))),0)</f>
        <v/>
      </c>
      <c r="R1871">
        <f>IF(AND(Inputs!$B$38&lt;&gt;"pvp",Inputs!$B$43&gt;0),IF(MAX(0,Inputs!$B$43-B1897)&lt;=0,0,(INT(MAX(0,Inputs!$B$43-B1897)/IF(Inputs!$B$38="pvp",15,MAX(0.1,Skills!D7-IF(Skills!E7=TRUE,Inputs!$B$32,0))))+1)),0)</f>
        <v/>
      </c>
      <c r="S1871">
        <f>IF(C1871,(H1871*N1871*IF(AND(Inputs!$B$38&lt;&gt;"pvp",Inputs!$B$43&gt;0),((Skills!F7*((R1871-1)*IF(Skills!G7&gt;0,Skills!H7/Skills!G7,1)+IF(Skills!G7&gt;0,MIN(Skills!H7,MAX(0,MAX(0,Inputs!$B$43-B1897)-((R1871-1)*IF(Inputs!$B$38="pvp",15,MAX(0.1,Skills!D7-IF(Skills!E7=TRUE,Inputs!$B$32,0))))))/Skills!G7,1)))/Inputs!$B$43),G1871*Q1871))*IF(Inputs!$B$38="pvp",1,1+(Inputs!$B$20+Skills!O7+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1871*(1-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1">
        <f>IF(C1871,(H1871*N1871*IF(AND(Inputs!$B$38&lt;&gt;"pvp",Inputs!$B$43&gt;0),((Skills!F7*((R1871-1)*IF(Skills!G7&gt;0,Skills!H7/Skills!G7,1)+IF(Skills!G7&gt;0,MIN(Skills!H7,MAX(0,MAX(0,Inputs!$B$43-B1897)-((R1871-1)*IF(Inputs!$B$38="pvp",15,MAX(0.1,Skills!D7-IF(Skills!E7=TRUE,Inputs!$B$32,0))))))/Skills!G7,1)))/Inputs!$B$43),G1871*Q1871))*IF(Inputs!$B$38="pvp",1,(1+(Inputs!$B$21+Skills!P7+B1891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Skills!A8</f>
        <v/>
      </c>
      <c r="B1872">
        <f>Skills!B8</f>
        <v/>
      </c>
      <c r="C1872">
        <f>Inputs!$B$3&gt;=103</f>
        <v/>
      </c>
      <c r="D1872">
        <f>IF(Skills!C8=1,60+Inputs!$B$25+Inputs!$B$29,IF(Skills!C8=2,90+Inputs!$B$26+Inputs!$B$29,IF(Skills!C8=3,120+Inputs!$B$27+Inputs!$B$29,MAX(0,(Inputs!$B$3-100)*3)+Inputs!$B$28+Inputs!$B$29)))</f>
        <v/>
      </c>
      <c r="E1872">
        <f>INDEX(FactorTable!$B$2:$Y$301, MATCH(ROUND(MIN(300,MAX(1,D1872)),0), FactorTable!$A$2:$A$301,0), Skills!L8+1)</f>
        <v/>
      </c>
      <c r="F1872">
        <f>IF(Skills!M8=TRUE,(Skills!K8/10)*(E1872/1000),Skills!K8/10)+Skills!N8</f>
        <v/>
      </c>
      <c r="G1872">
        <f>Calc!G8</f>
        <v/>
      </c>
      <c r="H1872">
        <f>Calc!H8</f>
        <v/>
      </c>
      <c r="I1872">
        <f>IF(Skills!T8&lt;&gt;"",1+(Skills!T8/10)*(Z1867/1000)/100,1)</f>
        <v/>
      </c>
      <c r="J1872">
        <f>((Inputs!$B$6*(1+Inputs!$B$7/100))+(((Inputs!$B$12*(1+Inputs!$B$13/100))-(Inputs!$B$12*(1+Inputs!$B$13/100)))+0.25*(Inputs!$B$14-Inputs!$B$14))*(1+Inputs!$B$7/100))*(F1872/100)</f>
        <v/>
      </c>
      <c r="K1872">
        <f>J1872*(1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F1882-Calc!F18),(Inputs!$B$23+(IF(ArtifactsInput!$M$15,CHOOSE(ArtifactsInput!$N$15+1,25,30,35,40,45,50)/100*(Inputs!$B$11-Inputs!$B$11),0))))/100+(Inputs!$B$23+(IF(ArtifactsInput!$M$15,CHOOSE(ArtifactsInput!$N$15+1,25,30,35,40,45,50)/100*(Inputs!$B$11-Inputs!$B$11),0)))/100)/2</f>
        <v/>
      </c>
      <c r="M1872">
        <f>L1872*(1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(1-Summary!$B$11)*S1872+Summary!$B$11*U1872</f>
        <v/>
      </c>
      <c r="P1872">
        <f>IF(B1900=0,0,O1872/B1900)</f>
        <v/>
      </c>
      <c r="Q1872">
        <f>IFERROR(1/IF(Inputs!$B$38="pvp",15,MAX(0.1,Skills!D8-IF(Skills!E8=TRUE,Inputs!$B$32,0))),0)</f>
        <v/>
      </c>
      <c r="R1872">
        <f>IF(AND(Inputs!$B$38&lt;&gt;"pvp",Inputs!$B$43&gt;0),IF(MAX(0,Inputs!$B$43-B1897)&lt;=0,0,(INT(MAX(0,Inputs!$B$43-B1897)/IF(Inputs!$B$38="pvp",15,MAX(0.1,Skills!D8-IF(Skills!E8=TRUE,Inputs!$B$32,0))))+1)),0)</f>
        <v/>
      </c>
      <c r="S1872">
        <f>IF(C1872,(H1872*N1872*IF(AND(Inputs!$B$38&lt;&gt;"pvp",Inputs!$B$43&gt;0),((Skills!F8*((R1872-1)*IF(Skills!G8&gt;0,Skills!H8/Skills!G8,1)+IF(Skills!G8&gt;0,MIN(Skills!H8,MAX(0,MAX(0,Inputs!$B$43-B1897)-((R1872-1)*IF(Inputs!$B$38="pvp",15,MAX(0.1,Skills!D8-IF(Skills!E8=TRUE,Inputs!$B$32,0))))))/Skills!G8,1)))/Inputs!$B$43),G1872*Q1872))*IF(Inputs!$B$38="pvp",1,1+(Inputs!$B$20+Skills!O8+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1872*(1-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2">
        <f>IF(C1872,(H1872*N1872*IF(AND(Inputs!$B$38&lt;&gt;"pvp",Inputs!$B$43&gt;0),((Skills!F8*((R1872-1)*IF(Skills!G8&gt;0,Skills!H8/Skills!G8,1)+IF(Skills!G8&gt;0,MIN(Skills!H8,MAX(0,MAX(0,Inputs!$B$43-B1897)-((R1872-1)*IF(Inputs!$B$38="pvp",15,MAX(0.1,Skills!D8-IF(Skills!E8=TRUE,Inputs!$B$32,0))))))/Skills!G8,1)))/Inputs!$B$43),G1872*Q1872))*IF(Inputs!$B$38="pvp",1,(1+(Inputs!$B$21+Skills!P8+B1891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Skills!A9</f>
        <v/>
      </c>
      <c r="B1873">
        <f>Skills!B9</f>
        <v/>
      </c>
      <c r="C1873">
        <f>Inputs!$B$3&gt;=105</f>
        <v/>
      </c>
      <c r="D1873">
        <f>IF(Skills!C9=1,60+Inputs!$B$25+Inputs!$B$29,IF(Skills!C9=2,90+Inputs!$B$26+Inputs!$B$29,IF(Skills!C9=3,120+Inputs!$B$27+Inputs!$B$29,MAX(0,(Inputs!$B$3-100)*3)+Inputs!$B$28+Inputs!$B$29)))</f>
        <v/>
      </c>
      <c r="E1873">
        <f>INDEX(FactorTable!$B$2:$Y$301, MATCH(ROUND(MIN(300,MAX(1,D1873)),0), FactorTable!$A$2:$A$301,0), Skills!L9+1)</f>
        <v/>
      </c>
      <c r="F1873">
        <f>IF(Skills!M9=TRUE,(Skills!K9/10)*(E1873/1000),Skills!K9/10)+Skills!N9</f>
        <v/>
      </c>
      <c r="G1873">
        <f>Calc!G9</f>
        <v/>
      </c>
      <c r="H1873">
        <f>Calc!H9</f>
        <v/>
      </c>
      <c r="I1873">
        <f>IF(Skills!T9&lt;&gt;"",1+(Skills!T9/10)*(Z1867/1000)/100,1)</f>
        <v/>
      </c>
      <c r="J1873">
        <f>((Inputs!$B$6*(1+Inputs!$B$7/100))+(((Inputs!$B$12*(1+Inputs!$B$13/100))-(Inputs!$B$12*(1+Inputs!$B$13/100)))+0.25*(Inputs!$B$14-Inputs!$B$14))*(1+Inputs!$B$7/100))*(F1873/100)</f>
        <v/>
      </c>
      <c r="K1873">
        <f>J1873*(1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F1882-Calc!F18),(Inputs!$B$23+(IF(ArtifactsInput!$M$15,CHOOSE(ArtifactsInput!$N$15+1,25,30,35,40,45,50)/100*(Inputs!$B$11-Inputs!$B$11),0))))/100+(Inputs!$B$23+(IF(ArtifactsInput!$M$15,CHOOSE(ArtifactsInput!$N$15+1,25,30,35,40,45,50)/100*(Inputs!$B$11-Inputs!$B$11),0)))/100)/2</f>
        <v/>
      </c>
      <c r="M1873">
        <f>L1873*(1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(1-Summary!$B$11)*S1873+Summary!$B$11*U1873</f>
        <v/>
      </c>
      <c r="P1873">
        <f>IF(B1900=0,0,O1873/B1900)</f>
        <v/>
      </c>
      <c r="Q1873">
        <f>IFERROR(1/IF(Inputs!$B$38="pvp",15,MAX(0.1,Skills!D9-IF(Skills!E9=TRUE,Inputs!$B$32,0))),0)</f>
        <v/>
      </c>
      <c r="R1873">
        <f>IF(AND(Inputs!$B$38&lt;&gt;"pvp",Inputs!$B$43&gt;0),IF(MAX(0,Inputs!$B$43-B1897)&lt;=0,0,(INT(MAX(0,Inputs!$B$43-B1897)/IF(Inputs!$B$38="pvp",15,MAX(0.1,Skills!D9-IF(Skills!E9=TRUE,Inputs!$B$32,0))))+1)),0)</f>
        <v/>
      </c>
      <c r="S1873">
        <f>IF(C1873,(H1873*N1873*IF(AND(Inputs!$B$38&lt;&gt;"pvp",Inputs!$B$43&gt;0),((Skills!F9*((R1873-1)*IF(Skills!G9&gt;0,Skills!H9/Skills!G9,1)+IF(Skills!G9&gt;0,MIN(Skills!H9,MAX(0,MAX(0,Inputs!$B$43-B1897)-((R1873-1)*IF(Inputs!$B$38="pvp",15,MAX(0.1,Skills!D9-IF(Skills!E9=TRUE,Inputs!$B$32,0))))))/Skills!G9,1)))/Inputs!$B$43),G1873*Q1873))*IF(Inputs!$B$38="pvp",1,1+(Inputs!$B$20+Skills!O9+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1873*(1-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IF(C1873,(H1873*N1873*IF(AND(Inputs!$B$38&lt;&gt;"pvp",Inputs!$B$43&gt;0),((Skills!F9*((R1873-1)*IF(Skills!G9&gt;0,Skills!H9/Skills!G9,1)+IF(Skills!G9&gt;0,MIN(Skills!H9,MAX(0,MAX(0,Inputs!$B$43-B1897)-((R1873-1)*IF(Inputs!$B$38="pvp",15,MAX(0.1,Skills!D9-IF(Skills!E9=TRUE,Inputs!$B$32,0))))))/Skills!G9,1)))/Inputs!$B$43),G1873*Q1873))*IF(Inputs!$B$38="pvp",1,(1+(Inputs!$B$21+Skills!P9+B1891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Skills!A10</f>
        <v/>
      </c>
      <c r="B1874">
        <f>Skills!B10</f>
        <v/>
      </c>
      <c r="C1874">
        <f>Inputs!$B$3&gt;=113</f>
        <v/>
      </c>
      <c r="D1874">
        <f>IF(Skills!C10=1,60+Inputs!$B$25+Inputs!$B$29,IF(Skills!C10=2,90+Inputs!$B$26+Inputs!$B$29,IF(Skills!C10=3,120+Inputs!$B$27+Inputs!$B$29,MAX(0,(Inputs!$B$3-100)*3)+Inputs!$B$28+Inputs!$B$29)))</f>
        <v/>
      </c>
      <c r="E1874">
        <f>INDEX(FactorTable!$B$2:$Y$301, MATCH(ROUND(MIN(300,MAX(1,D1874)),0), FactorTable!$A$2:$A$301,0), Skills!L10+1)</f>
        <v/>
      </c>
      <c r="F1874">
        <f>IF(Skills!M10=TRUE,(Skills!K10/10)*(E1874/1000),Skills!K10/10)+Skills!N10</f>
        <v/>
      </c>
      <c r="G1874">
        <f>Calc!G10</f>
        <v/>
      </c>
      <c r="H1874">
        <f>Calc!H10</f>
        <v/>
      </c>
      <c r="I1874">
        <f>IF(Skills!T10&lt;&gt;"",1+(Skills!T10/10)*(Z1867/1000)/100,1)</f>
        <v/>
      </c>
      <c r="J1874">
        <f>((Inputs!$B$6*(1+Inputs!$B$7/100))+(((Inputs!$B$12*(1+Inputs!$B$13/100))-(Inputs!$B$12*(1+Inputs!$B$13/100)))+0.25*(Inputs!$B$14-Inputs!$B$14))*(1+Inputs!$B$7/100))*(F1874/100)</f>
        <v/>
      </c>
      <c r="K1874">
        <f>J1874*(1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F1882-Calc!F18),(Inputs!$B$23+(IF(ArtifactsInput!$M$15,CHOOSE(ArtifactsInput!$N$15+1,25,30,35,40,45,50)/100*(Inputs!$B$11-Inputs!$B$11),0))))/100+(Inputs!$B$23+(IF(ArtifactsInput!$M$15,CHOOSE(ArtifactsInput!$N$15+1,25,30,35,40,45,50)/100*(Inputs!$B$11-Inputs!$B$11),0)))/100)/2</f>
        <v/>
      </c>
      <c r="M1874">
        <f>L1874*(1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(1-Summary!$B$11)*S1874+Summary!$B$11*U1874</f>
        <v/>
      </c>
      <c r="P1874">
        <f>IF(B1900=0,0,O1874/B1900)</f>
        <v/>
      </c>
      <c r="Q1874">
        <f>IFERROR(1/IF(Inputs!$B$38="pvp",15,MAX(0.1,Skills!D10-IF(Skills!E9=TRUE,Inputs!$B$32,0))),0)</f>
        <v/>
      </c>
      <c r="R1874">
        <f>IF(AND(Inputs!$B$38&lt;&gt;"pvp",Inputs!$B$43&gt;0),IF(MAX(0,Inputs!$B$43-B1897)&lt;=0,0,(INT(MAX(0,Inputs!$B$43-B1897)/IF(Inputs!$B$38="pvp",15,MAX(0.1,Skills!D10-IF(Skills!E9=TRUE,Inputs!$B$32,0))))+1)),0)</f>
        <v/>
      </c>
      <c r="S1874">
        <f>IF(C1874,(H1874*N1874*IF(AND(Inputs!$B$38&lt;&gt;"pvp",Inputs!$B$43&gt;0),((Skills!F10*((R1874-1)*IF(Skills!G10&gt;0,Skills!H10/Skills!G10,1)+IF(Skills!G10&gt;0,MIN(Skills!H10,MAX(0,MAX(0,Inputs!$B$43-B1897)-((R1874-1)*IF(Inputs!$B$38="pvp",15,MAX(0.1,Skills!D10-IF(Skills!E9=TRUE,Inputs!$B$32,0))))))/Skills!G10,1)))/Inputs!$B$43),G1874*Q1874))*IF(Inputs!$B$38="pvp",1,1+(Inputs!$B$20+Skills!O10+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1874*(1-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4">
        <f>IF(C1874,(H1874*N1874*IF(AND(Inputs!$B$38&lt;&gt;"pvp",Inputs!$B$43&gt;0),((Skills!F10*((R1874-1)*IF(Skills!G10&gt;0,Skills!H10/Skills!G10,1)+IF(Skills!G10&gt;0,MIN(Skills!H10,MAX(0,MAX(0,Inputs!$B$43-B1897)-((R1874-1)*IF(Inputs!$B$38="pvp",15,MAX(0.1,Skills!D10-IF(Skills!E9=TRUE,Inputs!$B$32,0))))))/Skills!G10,1)))/Inputs!$B$43),G1874*Q1874))*IF(Inputs!$B$38="pvp",1,(1+(Inputs!$B$21+Skills!P10+B1891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Skills!A11</f>
        <v/>
      </c>
      <c r="B1875">
        <f>Skills!B11</f>
        <v/>
      </c>
      <c r="C1875">
        <f>Inputs!$B$3&gt;=107</f>
        <v/>
      </c>
      <c r="D1875">
        <f>IF(Skills!C11=1,60+Inputs!$B$25+Inputs!$B$29,IF(Skills!C11=2,90+Inputs!$B$26+Inputs!$B$29,IF(Skills!C11=3,120+Inputs!$B$27+Inputs!$B$29,MAX(0,(Inputs!$B$3-100)*3)+Inputs!$B$28+Inputs!$B$29)))</f>
        <v/>
      </c>
      <c r="E1875">
        <f>INDEX(FactorTable!$B$2:$Y$301, MATCH(ROUND(MIN(300,MAX(1,D1875)),0), FactorTable!$A$2:$A$301,0), Skills!L11+1)</f>
        <v/>
      </c>
      <c r="F1875">
        <f>IF(Skills!M11=TRUE,(Skills!K11/10)*(E1875/1000),Skills!K11/10)+Skills!N11</f>
        <v/>
      </c>
      <c r="G1875">
        <f>Calc!G11</f>
        <v/>
      </c>
      <c r="H1875">
        <f>Calc!H11</f>
        <v/>
      </c>
      <c r="I1875">
        <f>IF(Skills!T11&lt;&gt;"",1+(Skills!T11/10)*(Z1867/1000)/100,1)</f>
        <v/>
      </c>
      <c r="J1875">
        <f>((Inputs!$B$6*(1+Inputs!$B$7/100))+(((Inputs!$B$12*(1+Inputs!$B$13/100))-(Inputs!$B$12*(1+Inputs!$B$13/100)))+0.25*(Inputs!$B$14-Inputs!$B$14))*(1+Inputs!$B$7/100))*(F1875/100)</f>
        <v/>
      </c>
      <c r="K1875">
        <f>J1875*(1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F1882-Calc!F18),(Inputs!$B$23+(IF(ArtifactsInput!$M$15,CHOOSE(ArtifactsInput!$N$15+1,25,30,35,40,45,50)/100*(Inputs!$B$11-Inputs!$B$11),0))))/100+(Inputs!$B$23+(IF(ArtifactsInput!$M$15,CHOOSE(ArtifactsInput!$N$15+1,25,30,35,40,45,50)/100*(Inputs!$B$11-Inputs!$B$11),0)))/100)/2</f>
        <v/>
      </c>
      <c r="M1875">
        <f>L1875*(1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(1-Summary!$B$11)*S1875+Summary!$B$11*U1875</f>
        <v/>
      </c>
      <c r="P1875">
        <f>IF(B1900=0,0,O1875/B1900)</f>
        <v/>
      </c>
      <c r="Q1875">
        <f>IFERROR(1/IF(Inputs!$B$38="pvp",15,MAX(0.1,Skills!D11-IF(Skills!E11=TRUE,Inputs!$B$32,0))),0)</f>
        <v/>
      </c>
      <c r="R1875">
        <f>IF(AND(Inputs!$B$38&lt;&gt;"pvp",Inputs!$B$43&gt;0),IF(MAX(0,Inputs!$B$43-B1897)&lt;=0,0,(INT(MAX(0,Inputs!$B$43-B1897)/IF(Inputs!$B$38="pvp",15,MAX(0.1,Skills!D11-IF(Skills!E11=TRUE,Inputs!$B$32,0))))+1)),0)</f>
        <v/>
      </c>
      <c r="S1875">
        <f>IF(C1875,H1875*N1875*IF(AND(Inputs!$B$38&lt;&gt;"pvp",Inputs!$B$43&gt;0),((Skills!F11*((R1875-1)*IF(Skills!G11&gt;0,Skills!H11/Skills!G11,1)+IF(Skills!G11&gt;0,MIN(Skills!H11,MAX(0,MAX(0,Inputs!$B$43-B1897)-((R1875-1)*IF(Inputs!$B$38="pvp",15,MAX(0.1,Skills!D11-IF(Skills!E11=TRUE,Inputs!$B$32,0))))))/Skills!G11,1)))/Inputs!$B$43),G1875*Q1875)*0.5*IF(Inputs!$B$38="pvp",1,1+(Inputs!$B$20+Skills!O11+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1875*(1-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IF(C1875,H1875*N1875*IF(AND(Inputs!$B$38&lt;&gt;"pvp",Inputs!$B$43&gt;0),((Skills!F11*((R1875-1)*IF(Skills!G11&gt;0,Skills!H11/Skills!G11,1)+IF(Skills!G11&gt;0,MIN(Skills!H11,MAX(0,MAX(0,Inputs!$B$43-B1897)-((R1875-1)*IF(Inputs!$B$38="pvp",15,MAX(0.1,Skills!D11-IF(Skills!E11=TRUE,Inputs!$B$32,0))))))/Skills!G11,1)))/Inputs!$B$43),G1875*Q1875)*1*IF(Inputs!$B$38="pvp",1,(1+(Inputs!$B$21+Skills!P11+B1891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Skills!A12</f>
        <v/>
      </c>
      <c r="B1876">
        <f>Skills!B12</f>
        <v/>
      </c>
      <c r="C1876">
        <f>Inputs!$B$3&gt;=115</f>
        <v/>
      </c>
      <c r="D1876">
        <f>IF(Skills!C12=1,60+Inputs!$B$25+Inputs!$B$29,IF(Skills!C12=2,90+Inputs!$B$26+Inputs!$B$29,IF(Skills!C12=3,120+Inputs!$B$27+Inputs!$B$29,MAX(0,(Inputs!$B$3-100)*3)+Inputs!$B$28+Inputs!$B$29)))</f>
        <v/>
      </c>
      <c r="E1876">
        <f>INDEX(FactorTable!$B$2:$Y$301, MATCH(ROUND(MIN(300,MAX(1,D1876)),0), FactorTable!$A$2:$A$301,0), Skills!L12+1)</f>
        <v/>
      </c>
      <c r="F1876">
        <f>IF(Skills!M12=TRUE,(Skills!K12/10)*(E1876/1000),Skills!K12/10)+Skills!N12</f>
        <v/>
      </c>
      <c r="G1876">
        <f>Calc!G12</f>
        <v/>
      </c>
      <c r="H1876">
        <f>Calc!H12</f>
        <v/>
      </c>
      <c r="I1876">
        <f>IF(Skills!T12&lt;&gt;"",1+(Skills!T12/10)*(Z1867/1000)/100,1)</f>
        <v/>
      </c>
      <c r="J1876">
        <f>((Inputs!$B$6*(1+Inputs!$B$7/100))+(((Inputs!$B$12*(1+Inputs!$B$13/100))-(Inputs!$B$12*(1+Inputs!$B$13/100)))+0.25*(Inputs!$B$14-Inputs!$B$14))*(1+Inputs!$B$7/100))*(F1876/100)</f>
        <v/>
      </c>
      <c r="K1876">
        <f>J1876*(1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1882-Calc!F18),(Inputs!$B$23+(IF(ArtifactsInput!$M$15,CHOOSE(ArtifactsInput!$N$15+1,25,30,35,40,45,50)/100*(Inputs!$B$11-Inputs!$B$11),0))))/100+(Inputs!$B$23+(IF(ArtifactsInput!$M$15,CHOOSE(ArtifactsInput!$N$15+1,25,30,35,40,45,50)/100*(Inputs!$B$11-Inputs!$B$11),0)))/100)/2</f>
        <v/>
      </c>
      <c r="M1876">
        <f>L1876*(1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IF(B1900=0,0,O1876/B1900)</f>
        <v/>
      </c>
      <c r="Q1876">
        <f>IFERROR(1/IF(Inputs!$B$38="pvp",15,MAX(0.1,Skills!D12-IF(Skills!E12=TRUE,Inputs!$B$32,0))),0)</f>
        <v/>
      </c>
      <c r="R1876">
        <f>IF(AND(Inputs!$B$38&lt;&gt;"pvp",Inputs!$B$43&gt;0),IF(MAX(0,Inputs!$B$43-B1897)&lt;=0,0,(INT(MAX(0,Inputs!$B$43-B1897)/IF(Inputs!$B$38="pvp",15,MAX(0.1,Skills!D12-IF(Skills!E12=TRUE,Inputs!$B$32,0))))+1)),0)</f>
        <v/>
      </c>
      <c r="S1876">
        <f>IF(C1876,(H1876*N1876*IF(AND(Inputs!$B$38&lt;&gt;"pvp",Inputs!$B$43&gt;0),((Skills!F12*((R1876-1)*IF(Skills!G12&gt;0,Skills!H12/Skills!G12,1)+IF(Skills!G12&gt;0,MIN(Skills!H12,MAX(0,MAX(0,Inputs!$B$43-B1897)-((R1876-1)*IF(Inputs!$B$38="pvp",15,MAX(0.1,Skills!D12-IF(Skills!E12=TRUE,Inputs!$B$32,0))))))/Skills!G12,1)))/Inputs!$B$43),G1876*Q1876))*IF(Inputs!$B$38="pvp",1,1+(Inputs!$B$20+Skills!O12+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6">
        <f>IF(C1876,(H1876*N1876*IF(AND(Inputs!$B$38&lt;&gt;"pvp",Inputs!$B$43&gt;0),((Skills!F12*((R1876-1)*IF(Skills!G12&gt;0,Skills!H12/Skills!G12,1)+IF(Skills!G12&gt;0,MIN(Skills!H12,MAX(0,MAX(0,Inputs!$B$43-B1897)-((R1876-1)*IF(Inputs!$B$38="pvp",15,MAX(0.1,Skills!D12-IF(Skills!E12=TRUE,Inputs!$B$32,0))))))/Skills!G12,1)))/Inputs!$B$43),G1876*Q1876))*IF(Inputs!$B$38="pvp",1,(1+(Inputs!$B$21+Skills!P12+B1891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Skills!A13</f>
        <v/>
      </c>
      <c r="B1877">
        <f>Skills!B13</f>
        <v/>
      </c>
      <c r="C1877">
        <f>Inputs!$B$3&gt;=49</f>
        <v/>
      </c>
      <c r="D1877">
        <f>IF(Skills!C13=1,60+Inputs!$B$25+Inputs!$B$29,IF(Skills!C13=2,90+Inputs!$B$26+Inputs!$B$29,IF(Skills!C13=3,120+Inputs!$B$27+Inputs!$B$29,MAX(0,(Inputs!$B$3-100)*3)+Inputs!$B$28+Inputs!$B$29)))</f>
        <v/>
      </c>
      <c r="E1877">
        <f>INDEX(FactorTable!$B$2:$Y$301, MATCH(ROUND(MIN(300,MAX(1,D1877)),0), FactorTable!$A$2:$A$301,0), Skills!L13+1)</f>
        <v/>
      </c>
      <c r="F1877">
        <f>IF(Skills!M13=TRUE,(Skills!K13/10)*(E1877/1000),Skills!K13/10)+Skills!N13</f>
        <v/>
      </c>
      <c r="G1877">
        <f>Calc!G13</f>
        <v/>
      </c>
      <c r="H1877">
        <f>Calc!H13</f>
        <v/>
      </c>
      <c r="I1877">
        <f>IF(Skills!T13&lt;&gt;"",1+(Skills!T13/10)*(Z1867/1000)/100,1)</f>
        <v/>
      </c>
      <c r="J1877" t="inlineStr"/>
      <c r="K1877" t="inlineStr"/>
      <c r="L1877" t="inlineStr"/>
      <c r="M1877" t="inlineStr"/>
      <c r="N1877" t="inlineStr"/>
      <c r="O1877">
        <f>(1-Summary!$B$11)*S1877+Summary!$B$11*U1877</f>
        <v/>
      </c>
      <c r="P1877">
        <f>IF(B1900=0,0,O1877/B1900)</f>
        <v/>
      </c>
      <c r="Q1877">
        <f>IFERROR(1/IF(Inputs!$B$38="pvp",15,MAX(0.1,Skills!D13-IF(Skills!E13=TRUE,Inputs!$B$32,0))),0)</f>
        <v/>
      </c>
      <c r="R1877" t="n">
        <v>0</v>
      </c>
      <c r="S1877" t="n">
        <v>0</v>
      </c>
      <c r="U1877" t="n">
        <v>0</v>
      </c>
    </row>
    <row r="1878">
      <c r="A1878">
        <f>Skills!A14</f>
        <v/>
      </c>
      <c r="B1878">
        <f>Skills!B14</f>
        <v/>
      </c>
      <c r="C1878">
        <f>Inputs!$B$3&gt;=72</f>
        <v/>
      </c>
      <c r="D1878">
        <f>IF(Skills!C14=1,60+Inputs!$B$25+Inputs!$B$29,IF(Skills!C14=2,90+Inputs!$B$26+Inputs!$B$29,IF(Skills!C14=3,120+Inputs!$B$27+Inputs!$B$29,MAX(0,(Inputs!$B$3-100)*3)+Inputs!$B$28+Inputs!$B$29)))</f>
        <v/>
      </c>
      <c r="E1878">
        <f>INDEX(FactorTable!$B$2:$Y$301, MATCH(ROUND(MIN(300,MAX(1,D1878)),0), FactorTable!$A$2:$A$301,0), Skills!L14+1)</f>
        <v/>
      </c>
      <c r="F1878">
        <f>IF(Skills!M14=TRUE,(Skills!K14/10)*(E1878/1000),Skills!K14/10)+Skills!N14</f>
        <v/>
      </c>
      <c r="G1878">
        <f>Calc!G14</f>
        <v/>
      </c>
      <c r="H1878">
        <f>Calc!H14</f>
        <v/>
      </c>
      <c r="I1878">
        <f>IF(Skills!T14&lt;&gt;"",1+(Skills!T14/10)*(Z1867/1000)/100,1)</f>
        <v/>
      </c>
      <c r="J1878" t="inlineStr"/>
      <c r="K1878" t="inlineStr"/>
      <c r="L1878" t="inlineStr"/>
      <c r="M1878" t="inlineStr"/>
      <c r="N1878" t="inlineStr"/>
      <c r="O1878">
        <f>(1-Summary!$B$11)*S1878+Summary!$B$11*U1878</f>
        <v/>
      </c>
      <c r="P1878">
        <f>IF(B1900=0,0,O1878/B1900)</f>
        <v/>
      </c>
      <c r="Q1878">
        <f>IFERROR(1/IF(Inputs!$B$38="pvp",15,MAX(0.1,Skills!D14-IF(Skills!E14=TRUE,Inputs!$B$32,0))),0)</f>
        <v/>
      </c>
      <c r="R1878" t="n">
        <v>0</v>
      </c>
      <c r="S1878" t="n">
        <v>0</v>
      </c>
      <c r="U1878" t="n">
        <v>0</v>
      </c>
    </row>
    <row r="1879">
      <c r="A1879">
        <f>Skills!A15</f>
        <v/>
      </c>
      <c r="B1879">
        <f>Skills!B15</f>
        <v/>
      </c>
      <c r="C1879">
        <f>Inputs!$B$3&gt;=75</f>
        <v/>
      </c>
      <c r="D1879">
        <f>IF(Skills!C15=1,60+Inputs!$B$25+Inputs!$B$29,IF(Skills!C15=2,90+Inputs!$B$26+Inputs!$B$29,IF(Skills!C15=3,120+Inputs!$B$27+Inputs!$B$29,MAX(0,(Inputs!$B$3-100)*3)+Inputs!$B$28+Inputs!$B$29)))</f>
        <v/>
      </c>
      <c r="E1879">
        <f>INDEX(FactorTable!$B$2:$Y$301, MATCH(ROUND(MIN(300,MAX(1,D1879)),0), FactorTable!$A$2:$A$301,0), Skills!L15+1)</f>
        <v/>
      </c>
      <c r="F1879">
        <f>IF(Skills!M15=TRUE,(Skills!K15/10)*(E1879/1000),Skills!K15/10)+Skills!N15</f>
        <v/>
      </c>
      <c r="G1879">
        <f>Calc!G15</f>
        <v/>
      </c>
      <c r="H1879">
        <f>Calc!H15</f>
        <v/>
      </c>
      <c r="I1879">
        <f>IF(Skills!T15&lt;&gt;"",1+(Skills!T15/10)*(Z1867/1000)/100,1)</f>
        <v/>
      </c>
      <c r="J1879" t="inlineStr"/>
      <c r="K1879" t="inlineStr"/>
      <c r="L1879" t="inlineStr"/>
      <c r="M1879" t="inlineStr"/>
      <c r="N1879" t="inlineStr"/>
      <c r="O1879">
        <f>(1-Summary!$B$11)*S1879+Summary!$B$11*U1879</f>
        <v/>
      </c>
      <c r="P1879">
        <f>IF(B1900=0,0,O1879/B1900)</f>
        <v/>
      </c>
      <c r="Q1879">
        <f>IFERROR(1/IF(Inputs!$B$38="pvp",15,MAX(0.1,Skills!D15-IF(Skills!E15=TRUE,Inputs!$B$32,0))),0)</f>
        <v/>
      </c>
      <c r="R1879" t="n">
        <v>0</v>
      </c>
      <c r="S1879" t="n">
        <v>0</v>
      </c>
      <c r="U1879" t="n">
        <v>0</v>
      </c>
    </row>
    <row r="1880">
      <c r="A1880">
        <f>Skills!A16</f>
        <v/>
      </c>
      <c r="B1880">
        <f>Skills!B16</f>
        <v/>
      </c>
      <c r="C1880">
        <f>Inputs!$B$3&gt;=110</f>
        <v/>
      </c>
      <c r="D1880">
        <f>IF(Skills!C16=1,60+Inputs!$B$25+Inputs!$B$29,IF(Skills!C16=2,90+Inputs!$B$26+Inputs!$B$29,IF(Skills!C16=3,120+Inputs!$B$27+Inputs!$B$29,MAX(0,(Inputs!$B$3-100)*3)+Inputs!$B$28+Inputs!$B$29)))</f>
        <v/>
      </c>
      <c r="E1880">
        <f>INDEX(FactorTable!$B$2:$Y$301, MATCH(ROUND(MIN(300,MAX(1,D1880)),0), FactorTable!$A$2:$A$301,0), Skills!L16+1)</f>
        <v/>
      </c>
      <c r="F1880">
        <f>(Skills!K16/10)*(E1880/1000)*64/45+Skills!N16</f>
        <v/>
      </c>
      <c r="G1880">
        <f>Calc!G16</f>
        <v/>
      </c>
      <c r="H1880">
        <f>Calc!H16</f>
        <v/>
      </c>
      <c r="I1880">
        <f>IF(Skills!T16&lt;&gt;"",1+(Skills!T16/10)*(Z1867/1000)/100,1)</f>
        <v/>
      </c>
      <c r="J1880" t="inlineStr"/>
      <c r="K1880" t="inlineStr"/>
      <c r="L1880" t="inlineStr"/>
      <c r="M1880" t="inlineStr"/>
      <c r="N1880" t="inlineStr"/>
      <c r="O1880">
        <f>(1-Summary!$B$11)*S1880+Summary!$B$11*U1880</f>
        <v/>
      </c>
      <c r="P1880">
        <f>IF(B1900=0,0,O1880/B1900)</f>
        <v/>
      </c>
      <c r="Q1880">
        <f>IFERROR(1/IF(Inputs!$B$38="pvp",15,MAX(0.1,Skills!D16-IF(Skills!E16=TRUE,Inputs!$B$32,0))),0)</f>
        <v/>
      </c>
      <c r="R1880">
        <f>IF(AND(Inputs!$B$38&lt;&gt;"pvp",Inputs!$B$43&gt;0),IF(Inputs!$B$43&lt;=0,0,(INT(Inputs!$B$43/IF(Inputs!$B$38="pvp",15,MAX(0.1,Skills!D16-IF(Skills!E16=TRUE,Inputs!$B$32,0))))+1)),0)</f>
        <v/>
      </c>
      <c r="S1880" t="n">
        <v>0</v>
      </c>
      <c r="U1880" t="n">
        <v>0</v>
      </c>
    </row>
    <row r="1881">
      <c r="A1881">
        <f>Skills!A17</f>
        <v/>
      </c>
      <c r="B1881">
        <f>Skills!B17</f>
        <v/>
      </c>
      <c r="C1881">
        <f>Inputs!$B$3&gt;=33</f>
        <v/>
      </c>
      <c r="D1881">
        <f>IF(Skills!C17=1,60+Inputs!$B$25+Inputs!$B$29,IF(Skills!C17=2,90+Inputs!$B$26+Inputs!$B$29,IF(Skills!C17=3,120+Inputs!$B$27+Inputs!$B$29,MAX(0,(Inputs!$B$3-100)*3)+Inputs!$B$28+Inputs!$B$29)))</f>
        <v/>
      </c>
      <c r="E1881">
        <f>INDEX(FactorTable!$B$2:$Y$301, MATCH(ROUND(MIN(300,MAX(1,D1881)),0), FactorTable!$A$2:$A$301,0), Skills!L17+1)</f>
        <v/>
      </c>
      <c r="F1881">
        <f>IF(Skills!M17=TRUE,(Skills!K17/10)*(E1881/1000),Skills!K17/10)+Skills!N17</f>
        <v/>
      </c>
      <c r="G1881">
        <f>Calc!G17</f>
        <v/>
      </c>
      <c r="H1881">
        <f>Calc!H17</f>
        <v/>
      </c>
      <c r="I1881">
        <f>IF(Skills!T17&lt;&gt;"",1+(Skills!T17/10)*(Z1867/1000)/100,1)</f>
        <v/>
      </c>
      <c r="J1881" t="inlineStr"/>
      <c r="K1881" t="inlineStr"/>
      <c r="L1881" t="inlineStr"/>
      <c r="M1881" t="inlineStr"/>
      <c r="N1881" t="inlineStr"/>
      <c r="O1881">
        <f>(1-Summary!$B$11)*S1881+Summary!$B$11*U1881</f>
        <v/>
      </c>
      <c r="P1881">
        <f>IF(B1900=0,0,O1881/B1900)</f>
        <v/>
      </c>
      <c r="Q1881">
        <f>IFERROR(1/IF(Inputs!$B$38="pvp",15,MAX(0.1,Skills!D17-IF(Skills!E17=TRUE,Inputs!$B$32,0))),0)</f>
        <v/>
      </c>
      <c r="R1881" t="n">
        <v>0</v>
      </c>
      <c r="S1881" t="n">
        <v>0</v>
      </c>
      <c r="U1881" t="n">
        <v>0</v>
      </c>
    </row>
    <row r="1882">
      <c r="A1882">
        <f>Skills!A18</f>
        <v/>
      </c>
      <c r="B1882">
        <f>Skills!B18</f>
        <v/>
      </c>
      <c r="C1882">
        <f>Inputs!$B$3&gt;=43</f>
        <v/>
      </c>
      <c r="D1882">
        <f>IF(Skills!C18=1,60+Inputs!$B$25+Inputs!$B$29,IF(Skills!C18=2,90+Inputs!$B$26+Inputs!$B$29,IF(Skills!C18=3,120+Inputs!$B$27+Inputs!$B$29,MAX(0,(Inputs!$B$3-100)*3)+Inputs!$B$28+Inputs!$B$29)))</f>
        <v/>
      </c>
      <c r="E1882">
        <f>INDEX(FactorTable!$B$2:$Y$301, MATCH(ROUND(MIN(300,MAX(1,D1882)),0), FactorTable!$A$2:$A$301,0), Skills!L18+1)</f>
        <v/>
      </c>
      <c r="F1882">
        <f>IF(Skills!M18=TRUE,(Skills!K18/10)*(E1882/1000),Skills!K18/10)+Skills!N18</f>
        <v/>
      </c>
      <c r="G1882">
        <f>Calc!G18</f>
        <v/>
      </c>
      <c r="H1882">
        <f>Calc!H18</f>
        <v/>
      </c>
      <c r="I1882">
        <f>IF(Skills!T18&lt;&gt;"",1+(Skills!T18/10)*(Z1867/1000)/100,1)</f>
        <v/>
      </c>
      <c r="J1882" t="inlineStr"/>
      <c r="K1882" t="inlineStr"/>
      <c r="L1882" t="inlineStr"/>
      <c r="M1882" t="inlineStr"/>
      <c r="N1882" t="inlineStr"/>
      <c r="O1882">
        <f>(1-Summary!$B$11)*S1882+Summary!$B$11*U1882</f>
        <v/>
      </c>
      <c r="P1882">
        <f>IF(B1900=0,0,O1882/B1900)</f>
        <v/>
      </c>
      <c r="Q1882">
        <f>IFERROR(1/IF(Inputs!$B$38="pvp",15,MAX(0.1,Skills!D18-IF(Skills!E18=TRUE,Inputs!$B$32,0))),0)</f>
        <v/>
      </c>
      <c r="R1882" t="n">
        <v>0</v>
      </c>
      <c r="S1882" t="n">
        <v>0</v>
      </c>
      <c r="U1882" t="n">
        <v>0</v>
      </c>
    </row>
    <row r="1883">
      <c r="A1883">
        <f>Skills!A19</f>
        <v/>
      </c>
      <c r="B1883">
        <f>Skills!B19</f>
        <v/>
      </c>
      <c r="C1883">
        <f>Inputs!$B$3&gt;=50</f>
        <v/>
      </c>
      <c r="D1883">
        <f>IF(Skills!C19=1,60+Inputs!$B$25+Inputs!$B$29,IF(Skills!C19=2,90+Inputs!$B$26+Inputs!$B$29,IF(Skills!C19=3,120+Inputs!$B$27+Inputs!$B$29,MAX(0,(Inputs!$B$3-100)*3)+Inputs!$B$28+Inputs!$B$29)))</f>
        <v/>
      </c>
      <c r="E1883">
        <f>INDEX(FactorTable!$B$2:$Y$301, MATCH(ROUND(MIN(300,MAX(1,D1883)),0), FactorTable!$A$2:$A$301,0), Skills!L19+1)</f>
        <v/>
      </c>
      <c r="F1883">
        <f>IF(Skills!M19=TRUE,(Skills!K19/10)*(E1883/1000),Skills!K19/10)+Skills!N19</f>
        <v/>
      </c>
      <c r="G1883">
        <f>Calc!G19</f>
        <v/>
      </c>
      <c r="H1883">
        <f>Calc!H19</f>
        <v/>
      </c>
      <c r="I1883">
        <f>IF(Skills!T19&lt;&gt;"",1+(Skills!T19/10)*(Z1867/1000)/100,1)</f>
        <v/>
      </c>
      <c r="J1883" t="inlineStr"/>
      <c r="K1883" t="inlineStr"/>
      <c r="L1883" t="inlineStr"/>
      <c r="M1883" t="inlineStr"/>
      <c r="N1883" t="inlineStr"/>
      <c r="O1883">
        <f>(1-Summary!$B$11)*S1883+Summary!$B$11*U1883</f>
        <v/>
      </c>
      <c r="P1883">
        <f>IF(B1900=0,0,O1883/B1900)</f>
        <v/>
      </c>
      <c r="Q1883">
        <f>IFERROR(1/IF(Inputs!$B$38="pvp",15,MAX(0.1,Skills!D19-IF(Skills!E19=TRUE,Inputs!$B$32,0))),0)</f>
        <v/>
      </c>
      <c r="R1883" t="n">
        <v>0</v>
      </c>
      <c r="S1883" t="n">
        <v>0</v>
      </c>
      <c r="U1883" t="n">
        <v>0</v>
      </c>
    </row>
    <row r="1884">
      <c r="A1884">
        <f>Skills!A20</f>
        <v/>
      </c>
      <c r="B1884">
        <f>Skills!B20</f>
        <v/>
      </c>
      <c r="C1884">
        <f>Inputs!$B$3&gt;=74</f>
        <v/>
      </c>
      <c r="D1884">
        <f>IF(Skills!C20=1,60+Inputs!$B$25+Inputs!$B$29,IF(Skills!C20=2,90+Inputs!$B$26+Inputs!$B$29,IF(Skills!C20=3,120+Inputs!$B$27+Inputs!$B$29,MAX(0,(Inputs!$B$3-100)*3)+Inputs!$B$28+Inputs!$B$29)))</f>
        <v/>
      </c>
      <c r="E1884">
        <f>INDEX(FactorTable!$B$2:$Y$301, MATCH(ROUND(MIN(300,MAX(1,D1884)),0), FactorTable!$A$2:$A$301,0), Skills!L20+1)</f>
        <v/>
      </c>
      <c r="F1884">
        <f>IF(Skills!M20=TRUE,(Skills!K20/10)*(E1884/1000),Skills!K20/10)+Skills!N20</f>
        <v/>
      </c>
      <c r="G1884">
        <f>Calc!G20</f>
        <v/>
      </c>
      <c r="H1884">
        <f>Calc!H20</f>
        <v/>
      </c>
      <c r="I1884">
        <f>IF(Skills!T20&lt;&gt;"",1+(Skills!T20/10)*(Z1867/1000)/100,1)</f>
        <v/>
      </c>
      <c r="J1884" t="inlineStr"/>
      <c r="K1884" t="inlineStr"/>
      <c r="L1884" t="inlineStr"/>
      <c r="M1884" t="inlineStr"/>
      <c r="N1884" t="inlineStr"/>
      <c r="O1884">
        <f>(1-Summary!$B$11)*S1884+Summary!$B$11*U1884</f>
        <v/>
      </c>
      <c r="P1884">
        <f>IF(B1900=0,0,O1884/B1900)</f>
        <v/>
      </c>
      <c r="Q1884">
        <f>IFERROR(1/IF(Inputs!$B$38="pvp",15,MAX(0.1,Skills!D20-IF(Skills!E20=TRUE,Inputs!$B$32,0))),0)</f>
        <v/>
      </c>
      <c r="R1884" t="n">
        <v>0</v>
      </c>
      <c r="S1884" t="n">
        <v>0</v>
      </c>
      <c r="U1884" t="n">
        <v>0</v>
      </c>
    </row>
    <row r="1885">
      <c r="A1885">
        <f>Skills!A21</f>
        <v/>
      </c>
      <c r="B1885">
        <f>Skills!B21</f>
        <v/>
      </c>
      <c r="C1885">
        <f>Inputs!$B$3&gt;=74</f>
        <v/>
      </c>
      <c r="D1885">
        <f>IF(Skills!C21=1,60+Inputs!$B$25+Inputs!$B$29,IF(Skills!C21=2,90+Inputs!$B$26+Inputs!$B$29,IF(Skills!C21=3,120+Inputs!$B$27+Inputs!$B$29,MAX(0,(Inputs!$B$3-100)*3)+Inputs!$B$28+Inputs!$B$29)))</f>
        <v/>
      </c>
      <c r="E1885">
        <f>INDEX(FactorTable!$B$2:$Y$301, MATCH(ROUND(MIN(300,MAX(1,D1885)),0), FactorTable!$A$2:$A$301,0), Skills!L21+1)</f>
        <v/>
      </c>
      <c r="F1885">
        <f>IF(Skills!M21=TRUE,(Skills!K21/10)*(E1885/1000),Skills!K21/10)+Skills!N21</f>
        <v/>
      </c>
      <c r="G1885">
        <f>Calc!G21</f>
        <v/>
      </c>
      <c r="H1885">
        <f>Calc!H21</f>
        <v/>
      </c>
      <c r="I1885">
        <f>IF(Skills!T21&lt;&gt;"",1+(Skills!T21/10)*(Z1867/1000)/100,1)</f>
        <v/>
      </c>
      <c r="J1885" t="inlineStr"/>
      <c r="K1885" t="inlineStr"/>
      <c r="L1885" t="inlineStr"/>
      <c r="M1885" t="inlineStr"/>
      <c r="N1885" t="inlineStr"/>
      <c r="O1885">
        <f>(1-Summary!$B$11)*S1885+Summary!$B$11*U1885</f>
        <v/>
      </c>
      <c r="P1885">
        <f>IF(B1900=0,0,O1885/B1900)</f>
        <v/>
      </c>
      <c r="Q1885">
        <f>IFERROR(1/IF(Inputs!$B$38="pvp",15,MAX(0.1,Skills!D21-IF(Skills!E21=TRUE,Inputs!$B$32,0))),0)</f>
        <v/>
      </c>
      <c r="R1885" t="n">
        <v>0</v>
      </c>
      <c r="S1885" t="n">
        <v>0</v>
      </c>
      <c r="U1885" t="n">
        <v>0</v>
      </c>
    </row>
    <row r="1886">
      <c r="A1886">
        <f>Skills!A22</f>
        <v/>
      </c>
      <c r="B1886">
        <f>Skills!B22</f>
        <v/>
      </c>
      <c r="C1886">
        <f>Inputs!$B$3&gt;=117</f>
        <v/>
      </c>
      <c r="D1886">
        <f>IF(Skills!C22=1,60+Inputs!$B$25+Inputs!$B$29,IF(Skills!C22=2,90+Inputs!$B$26+Inputs!$B$29,IF(Skills!C22=3,120+Inputs!$B$27+Inputs!$B$29,MAX(0,(Inputs!$B$3-100)*3)+Inputs!$B$28+Inputs!$B$29)))</f>
        <v/>
      </c>
      <c r="E1886">
        <f>INDEX(FactorTable!$B$2:$Y$301, MATCH(ROUND(MIN(300,MAX(1,D1886)),0), FactorTable!$A$2:$A$301,0), Skills!L22+1)</f>
        <v/>
      </c>
      <c r="F1886">
        <f>IF(Skills!M22=TRUE,(Skills!K22/10)*(E1886/1000),Skills!K22/10)+Skills!N22</f>
        <v/>
      </c>
      <c r="G1886">
        <f>Calc!G22</f>
        <v/>
      </c>
      <c r="H1886">
        <f>Calc!H22</f>
        <v/>
      </c>
      <c r="I1886">
        <f>IF(Skills!T22&lt;&gt;"",1+(Skills!T22/10)*(Z1867/1000)/100,1)</f>
        <v/>
      </c>
      <c r="J1886" t="inlineStr"/>
      <c r="K1886" t="inlineStr"/>
      <c r="L1886" t="inlineStr"/>
      <c r="M1886" t="inlineStr"/>
      <c r="N1886" t="inlineStr"/>
      <c r="O1886">
        <f>(1-Summary!$B$11)*S1886+Summary!$B$11*U1886</f>
        <v/>
      </c>
      <c r="P1886">
        <f>IF(B1900=0,0,O1886/B1900)</f>
        <v/>
      </c>
      <c r="Q1886">
        <f>IFERROR(1/IF(Inputs!$B$38="pvp",15,MAX(0.1,Skills!D22-IF(Skills!E22=TRUE,Inputs!$B$32,0))),0)</f>
        <v/>
      </c>
      <c r="R1886" t="n">
        <v>0</v>
      </c>
      <c r="S1886" t="n">
        <v>0</v>
      </c>
      <c r="U1886" t="n">
        <v>0</v>
      </c>
    </row>
    <row r="1887">
      <c r="A1887">
        <f>Skills!A23</f>
        <v/>
      </c>
      <c r="B1887">
        <f>Skills!B23</f>
        <v/>
      </c>
      <c r="C1887">
        <f>Inputs!$B$3&gt;=120</f>
        <v/>
      </c>
      <c r="D1887">
        <f>IF(Skills!C23=1,60+Inputs!$B$25+Inputs!$B$29,IF(Skills!C23=2,90+Inputs!$B$26+Inputs!$B$29,IF(Skills!C23=3,120+Inputs!$B$27+Inputs!$B$29,MAX(0,(Inputs!$B$3-100)*3)+Inputs!$B$28+Inputs!$B$29)))</f>
        <v/>
      </c>
      <c r="E1887">
        <f>INDEX(FactorTable!$B$2:$Y$301, MATCH(ROUND(MIN(300,MAX(1,D1887)),0), FactorTable!$A$2:$A$301,0), Skills!L23+1)</f>
        <v/>
      </c>
      <c r="F1887">
        <f>IF(Skills!M23=TRUE,(Skills!K23/10)*(E1887/1000),Skills!K23/10)+Skills!N23</f>
        <v/>
      </c>
      <c r="G1887">
        <f>Calc!G23</f>
        <v/>
      </c>
      <c r="H1887">
        <f>Calc!H23</f>
        <v/>
      </c>
      <c r="I1887">
        <f>IF(Skills!T23&lt;&gt;"",1+(Skills!T23/10)*(Z1867/1000)/100,1)</f>
        <v/>
      </c>
      <c r="J1887" t="inlineStr"/>
      <c r="K1887" t="inlineStr"/>
      <c r="L1887" t="inlineStr"/>
      <c r="M1887" t="inlineStr"/>
      <c r="N1887" t="inlineStr"/>
      <c r="O1887">
        <f>(1-Summary!$B$11)*S1887+Summary!$B$11*U1887</f>
        <v/>
      </c>
      <c r="P1887">
        <f>IF(B1900=0,0,O1887/B1900)</f>
        <v/>
      </c>
      <c r="Q1887">
        <f>IFERROR(1/IF(Inputs!$B$38="pvp",15,MAX(0.1,Skills!D23-IF(Skills!E23=TRUE,Inputs!$B$32,0))),0)</f>
        <v/>
      </c>
      <c r="R1887" t="n">
        <v>0</v>
      </c>
      <c r="S1887" t="n">
        <v>0</v>
      </c>
      <c r="U1887" t="n">
        <v>0</v>
      </c>
    </row>
    <row r="1890">
      <c r="A1890" t="inlineStr">
        <is>
          <t>Average Buff Multiplier (Magic Guard + Meditation + Artifact Attack%, summed; then Infinity)</t>
        </is>
      </c>
      <c r="B1890">
        <f>(1+(IF(C1867=TRUE,F1867*IF(AND(Inputs!$B$38&lt;&gt;"pvp",Inputs!$B$43&gt;0),(((R1867-1)*(Skills!S3*(1+(Inputs!$B$34+IF(Inputs!$B$3&gt;=117,F1886,0))/100))+MIN((Skills!S3*(1+(Inputs!$B$34+IF(Inputs!$B$3&gt;=117,F1886,0))/100)),MAX(0,Inputs!$B$43-((R1867-1)*Skills!D3))))/Inputs!$B$43),IF(Inputs!$B$38="pvp",MIN((Skills!S3*(1+(Inputs!$B$34+IF(Inputs!$B$3&gt;=117,F1886,0))/100)),15)/15,(Skills!S3*(1+(Inputs!$B$34+IF(Inputs!$B$3&gt;=117,F1886,0))/100))/Skills!D3)),0)+IF(C1868=TRUE,F1868*IF(AND(Inputs!$B$38&lt;&gt;"pvp",Inputs!$B$43&gt;0),(((R1868-1)*(Skills!S4*(1+(Inputs!$B$34+IF(Inputs!$B$3&gt;=117,F1886,0))/100))+MIN((Skills!S4*(1+(Inputs!$B$34+IF(Inputs!$B$3&gt;=117,F1886,0))/100)),MAX(0,Inputs!$B$43-((R1868-1)*Skills!D4))))/Inputs!$B$43),IF(Inputs!$B$38="pvp",MIN((Skills!S4*(1+(Inputs!$B$34+IF(Inputs!$B$3&gt;=117,F1886,0))/100)),15)/15,(Skills!S4*(1+(Inputs!$B$34+IF(Inputs!$B$3&gt;=117,F1886,0)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1880=TRUE,(1+F1880*IF(AND(Inputs!$B$38&lt;&gt;"pvp",Inputs!$B$43&gt;0),(((R1880-1)*(Skills!S16*(1+(Inputs!$B$34+IF(Inputs!$B$3&gt;=117,F1886,0))/100))+MIN((Skills!S16*(1+(Inputs!$B$34+IF(Inputs!$B$3&gt;=117,F1886,0))/100)),MAX(0,Inputs!$B$43-((R1880-1)*Skills!D16))))/Inputs!$B$43),IF(Inputs!$B$38="pvp",MIN((Skills!S16*(1+(Inputs!$B$34+IF(Inputs!$B$3&gt;=117,F1886,0))/100)),15)/15,(Skills!S16*(1+(Inputs!$B$34+IF(Inputs!$B$3&gt;=117,F1886,0))/100))/Skills!D16))/100),1)</f>
        <v/>
      </c>
    </row>
    <row r="1891">
      <c r="A1891" t="inlineStr">
        <is>
          <t>Monster Damage Taken Bonus % (Freezing Breath - Weaken + Elemental Reset + Artifact Enemy Damage Taken, summed)</t>
        </is>
      </c>
      <c r="B1891">
        <f>IF(Inputs!$B$3&gt;=118,15*IF(Inputs!$B$38="pvp",MIN((30*(1+(Inputs!$B$34+IF(Inputs!$B$3&gt;=117,F1886,0))/100)),15)/15,(30*(1+(Inputs!$B$34+IF(Inputs!$B$3&gt;=117,F1886,0))/100))/Skills!D8),0)+IF(C1878=TRUE,F1878,0)+(IF(AND(ArtifactsInput!$M$35,Inputs!$B$4&lt;&gt;"Chapter Hunt"),CHOOSE(ArtifactsInput!$N$35+1,15,18,21,24,27,30)*(1-EXP(-(0.2*B1894)*5)),0)+IF(AND(ArtifactsInput!$M$22,Inputs!$B$4&lt;&gt;"Chapter Hunt"),CHOOSE(ArtifactsInput!$N$22+1,10,12,14,16,18,20)*((0*(((0.15*B1894*5))^0/1)+1*(((0.15*B1894*5))^1/1)+2*(((0.15*B1894*5))^2/2)+3*(((0.15*B1894*5))^3/6)+4*(((0.15*B1894*5))^4/24)+5*(((0.15*B1894*5))^5/120))/((((0.15*B1894*5))^0/1)+(((0.15*B1894*5))^1/1)+(((0.15*B1894*5))^2/2)+(((0.15*B1894*5))^3/6)+(((0.15*B1894*5))^4/24)+(((0.15*B1894*5))^5/120))),0))</f>
        <v/>
      </c>
    </row>
    <row r="1892">
      <c r="A1892" t="inlineStr">
        <is>
          <t>Damage % Bonus (Frozen Break + Frost Clutch, flat)</t>
        </is>
      </c>
      <c r="B1892">
        <f>IF(Inputs!$B$3&gt;=66,15,0)+IF(Inputs!$B$3&gt;=98,10,0)+IF(Inputs!$B$3&gt;=125,20,0)</f>
        <v/>
      </c>
    </row>
    <row r="1893">
      <c r="A1893" t="inlineStr">
        <is>
          <t>Attack Speed Bonus % (MP Eater - MP Boost, always-on once unlocked)</t>
        </is>
      </c>
      <c r="B1893">
        <f>IF(C1877=TRUE,F1877+(F1881-Calc!F17),0)</f>
        <v/>
      </c>
    </row>
    <row r="1894">
      <c r="A1894" t="inlineStr">
        <is>
          <t>Actions Per Second</t>
        </is>
      </c>
      <c r="B1894">
        <f>1+MIN(150,150*(1-(1-(Inputs!$B$11+(ArtifactsInput!$M$15-ArtifactsInput!$M$15)*CHOOSE(ArtifactsInput!$N$15+1,8,9.6,11.2,12.8,14.4,16))/150)*(1-B1893/150)))/100</f>
        <v/>
      </c>
    </row>
    <row r="1895">
      <c r="A1895" t="inlineStr">
        <is>
          <t>Skill + Buff Cast Rate</t>
        </is>
      </c>
      <c r="B1895">
        <f>IF(AND(Inputs!$B$38&lt;&gt;"pvp",Inputs!$B$43&gt;0),SUMPRODUCT((Skills!E2:E23=TRUE)*(C1866:C1887=TRUE)*R1866:R1887)/Inputs!$B$43,SUMPRODUCT((Skills!E2:E23=TRUE)*(C1866:C1887=TRUE)*Q1866:Q1887))</f>
        <v/>
      </c>
    </row>
    <row r="1896">
      <c r="A1896" t="inlineStr">
        <is>
          <t>Chain Lightning Casts Per Second</t>
        </is>
      </c>
      <c r="B1896">
        <f>MAX(0,B1894-B1895)</f>
        <v/>
      </c>
    </row>
    <row r="1897">
      <c r="A1897" t="inlineStr">
        <is>
          <t>Buff-Casting Startup Delay (s, fixed-duration only)</t>
        </is>
      </c>
      <c r="B1897">
        <f>IF(AND(Inputs!$B$38&lt;&gt;"pvp",Inputs!$B$43&gt;0),SUMPRODUCT((Skills!S2:S23&gt;0)*(Skills!E2:E23=TRUE)*(C1866:C1887=TRUE))/B1894,0)</f>
        <v/>
      </c>
    </row>
    <row r="1898">
      <c r="A1898" t="inlineStr">
        <is>
          <t>Boss-Only Total DPS (this block's swept value)</t>
        </is>
      </c>
      <c r="B1898">
        <f>SUM(S1866:S1887)</f>
        <v/>
      </c>
    </row>
    <row r="1899">
      <c r="A1899" t="inlineStr">
        <is>
          <t>Normal-Only Total DPS (this block's swept value)</t>
        </is>
      </c>
      <c r="B1899">
        <f>SUM(U1866:U1887)</f>
        <v/>
      </c>
    </row>
    <row r="1900">
      <c r="A1900" s="6" t="inlineStr">
        <is>
          <t>TOTAL DPS</t>
        </is>
      </c>
      <c r="B1900" s="6">
        <f>SUM(O1866:O1887)</f>
        <v/>
      </c>
    </row>
    <row r="1903">
      <c r="A1903" s="6" t="inlineStr">
        <is>
          <t>Stat: Soul Pouch (Equip)</t>
        </is>
      </c>
    </row>
    <row r="1904">
      <c r="A1904" s="5" t="inlineStr">
        <is>
          <t>Key</t>
        </is>
      </c>
      <c r="B1904" s="5" t="inlineStr">
        <is>
          <t>Name</t>
        </is>
      </c>
      <c r="C1904" s="5" t="inlineStr">
        <is>
          <t>Unlocked</t>
        </is>
      </c>
      <c r="D1904" s="5" t="inlineStr">
        <is>
          <t>InputLevel</t>
        </is>
      </c>
      <c r="E1904" s="5" t="inlineStr">
        <is>
          <t>Factor</t>
        </is>
      </c>
      <c r="F1904" s="5" t="inlineStr">
        <is>
          <t>CoefficientPercent</t>
        </is>
      </c>
      <c r="G1904" s="5" t="inlineStr">
        <is>
          <t>EffectiveHits</t>
        </is>
      </c>
      <c r="H1904" s="5" t="inlineStr">
        <is>
          <t>ProcProbability</t>
        </is>
      </c>
      <c r="I1904" s="5" t="inlineStr">
        <is>
          <t>MapleHeroMultiplier</t>
        </is>
      </c>
      <c r="J1904" s="5" t="inlineStr">
        <is>
          <t>BaseDamage</t>
        </is>
      </c>
      <c r="K1904" s="5" t="inlineStr">
        <is>
          <t>BaseHitDamage</t>
        </is>
      </c>
      <c r="L1904" s="5" t="inlineStr">
        <is>
          <t>NonCritAvg</t>
        </is>
      </c>
      <c r="M1904" s="5" t="inlineStr">
        <is>
          <t>CritAvg</t>
        </is>
      </c>
      <c r="N1904" s="5" t="inlineStr">
        <is>
          <t>ExpectedDamage(perHit)</t>
        </is>
      </c>
      <c r="O1904" s="5" t="inlineStr">
        <is>
          <t>DPS</t>
        </is>
      </c>
      <c r="P1904" s="5" t="inlineStr">
        <is>
          <t>% of Total</t>
        </is>
      </c>
      <c r="R1904" t="inlineStr">
        <is>
          <t>helpers</t>
        </is>
      </c>
    </row>
    <row r="1905">
      <c r="A1905">
        <f>Skills!A2</f>
        <v/>
      </c>
      <c r="B1905">
        <f>Skills!B2</f>
        <v/>
      </c>
      <c r="C1905">
        <f>Inputs!$B$3&gt;=100</f>
        <v/>
      </c>
      <c r="D1905" t="inlineStr"/>
      <c r="E1905" t="inlineStr"/>
      <c r="F1905">
        <f>T1907+Skills!N2</f>
        <v/>
      </c>
      <c r="G1905">
        <f>Calc!G2</f>
        <v/>
      </c>
      <c r="H1905">
        <f>Calc!H2</f>
        <v/>
      </c>
      <c r="I1905">
        <f>IF(Skills!T2&lt;&gt;"",1+(Skills!T2/10)*(Z1906/1000)/100,1)</f>
        <v/>
      </c>
      <c r="J1905">
        <f>((Inputs!$B$6*(1+Inputs!$B$7/100))+(((Inputs!$B$12*(1+Inputs!$B$13/100))-(Inputs!$B$12*(1+Inputs!$B$13/100)))+0.25*(Inputs!$B$14-Inputs!$B$14))*(1+Inputs!$B$7/100))*(F1905/100)</f>
        <v/>
      </c>
      <c r="K1905">
        <f>J1905*(1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F1921-Calc!F18),(Inputs!$B$23+(IF(ArtifactsInput!$M$15,CHOOSE(ArtifactsInput!$N$15+1,25,30,35,40,45,50)/100*(Inputs!$B$11-Inputs!$B$11),0))))/100+(Inputs!$B$23+(IF(ArtifactsInput!$M$15,CHOOSE(ArtifactsInput!$N$15+1,25,30,35,40,45,50)/100*(Inputs!$B$11-Inputs!$B$11),0)))/100)/2</f>
        <v/>
      </c>
      <c r="M1905">
        <f>L1905*(1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(1-Summary!$B$11)*S1905+Summary!$B$11*U1905</f>
        <v/>
      </c>
      <c r="P1905">
        <f>IF(B1939=0,0,O1905/B1939)</f>
        <v/>
      </c>
      <c r="Q1905">
        <f>IFERROR(1/IF(Inputs!$B$38="pvp",15,MAX(0.1,Skills!D2-IF(Skills!E2=TRUE,Inputs!$B$32,0))),0)</f>
        <v/>
      </c>
      <c r="R1905" t="n">
        <v>0</v>
      </c>
      <c r="S1905">
        <f>IF(C1905,(Skills!F2*N1905*B1935)*IF(Inputs!$B$38="pvp",1,1+(Inputs!$B$20+Skills!O2+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05">
        <f>MAX(0,(Inputs!$B$3-100)*3)+Inputs!$B$28+Inputs!$B$29</f>
        <v/>
      </c>
      <c r="U1905">
        <f>IF(C1905,(Skills!F2*N1905*B1935)*IF(Inputs!$B$38="pvp",1,(1+(Inputs!$B$21+Skills!P2+B1930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05">
        <f>MAX(0,(Inputs!$B$3-100)*3)+Inputs!$B$28+Inputs!$B$29</f>
        <v/>
      </c>
    </row>
    <row r="1906">
      <c r="A1906">
        <f>Skills!A3</f>
        <v/>
      </c>
      <c r="B1906">
        <f>Skills!B3</f>
        <v/>
      </c>
      <c r="C1906">
        <f>Inputs!$B$3&gt;=15</f>
        <v/>
      </c>
      <c r="D1906">
        <f>IF(Skills!C3=1,60+Inputs!$B$25+Inputs!$B$29,IF(Skills!C3=2,90+Inputs!$B$26+Inputs!$B$29,IF(Skills!C3=3,120+Inputs!$B$27+Inputs!$B$29,MAX(0,(Inputs!$B$3-100)*3)+Inputs!$B$28+Inputs!$B$29)))</f>
        <v/>
      </c>
      <c r="E1906">
        <f>INDEX(FactorTable!$B$2:$Y$301, MATCH(ROUND(MIN(300,MAX(1,D1906)),0), FactorTable!$A$2:$A$301,0), Skills!L3+1)</f>
        <v/>
      </c>
      <c r="F1906">
        <f>IF(Skills!M3=TRUE,(Skills!K3/10)*(E1906/1000),Skills!K3/10)+Skills!N3</f>
        <v/>
      </c>
      <c r="G1906">
        <f>Calc!G3</f>
        <v/>
      </c>
      <c r="H1906">
        <f>Calc!H3</f>
        <v/>
      </c>
      <c r="I1906">
        <f>IF(Skills!T3&lt;&gt;"",1+(Skills!T3/10)*(Z1906/1000)/100,1)</f>
        <v/>
      </c>
      <c r="J1906" t="inlineStr"/>
      <c r="K1906" t="inlineStr"/>
      <c r="L1906" t="inlineStr"/>
      <c r="M1906" t="inlineStr"/>
      <c r="N1906" t="inlineStr"/>
      <c r="O1906">
        <f>(1-Summary!$B$11)*S1906+Summary!$B$11*U1906</f>
        <v/>
      </c>
      <c r="P1906">
        <f>IF(B1939=0,0,O1906/B1939)</f>
        <v/>
      </c>
      <c r="Q1906">
        <f>IFERROR(1/IF(Inputs!$B$38="pvp",15,MAX(0.1,Skills!D3-IF(Skills!E3=TRUE,Inputs!$B$32,0))),0)</f>
        <v/>
      </c>
      <c r="R1906">
        <f>IF(AND(Inputs!$B$38&lt;&gt;"pvp",Inputs!$B$43&gt;0),IF(Inputs!$B$43&lt;=0,0,(INT(Inputs!$B$43/IF(Inputs!$B$38="pvp",15,MAX(0.1,Skills!D3-IF(Skills!E3=TRUE,Inputs!$B$32,0))))+1)),0)</f>
        <v/>
      </c>
      <c r="S1906" t="n">
        <v>0</v>
      </c>
      <c r="T1906">
        <f>INDEX(FactorTable!$B$2:$Y$301, MATCH(ROUND(MIN(300,MAX(1,T1905)),0), FactorTable!$A$2:$A$301,0), 22)</f>
        <v/>
      </c>
      <c r="U1906" t="n">
        <v>0</v>
      </c>
      <c r="Z1906">
        <f>INDEX(FactorTable!$B$2:$Y$301, MATCH(ROUND(MIN(300,MAX(1,Z1905)),0), FactorTable!$A$2:$A$301,0), 24)</f>
        <v/>
      </c>
    </row>
    <row r="1907">
      <c r="A1907">
        <f>Skills!A4</f>
        <v/>
      </c>
      <c r="B1907">
        <f>Skills!B4</f>
        <v/>
      </c>
      <c r="C1907">
        <f>Inputs!$B$3&gt;=40</f>
        <v/>
      </c>
      <c r="D1907">
        <f>IF(Skills!C4=1,60+Inputs!$B$25+Inputs!$B$29,IF(Skills!C4=2,90+Inputs!$B$26+Inputs!$B$29,IF(Skills!C4=3,120+Inputs!$B$27+Inputs!$B$29,MAX(0,(Inputs!$B$3-100)*3)+Inputs!$B$28+Inputs!$B$29)))</f>
        <v/>
      </c>
      <c r="E1907">
        <f>INDEX(FactorTable!$B$2:$Y$301, MATCH(ROUND(MIN(300,MAX(1,D1907)),0), FactorTable!$A$2:$A$301,0), Skills!L4+1)</f>
        <v/>
      </c>
      <c r="F1907">
        <f>IF(Skills!M4=TRUE,(Skills!K4/10)*(E1907/1000),Skills!K4/10)+Skills!N4</f>
        <v/>
      </c>
      <c r="G1907">
        <f>Calc!G4</f>
        <v/>
      </c>
      <c r="H1907">
        <f>Calc!H4</f>
        <v/>
      </c>
      <c r="I1907">
        <f>IF(Skills!T4&lt;&gt;"",1+(Skills!T4/10)*(Z1906/1000)/100,1)</f>
        <v/>
      </c>
      <c r="J1907" t="inlineStr"/>
      <c r="K1907" t="inlineStr"/>
      <c r="L1907" t="inlineStr"/>
      <c r="M1907" t="inlineStr"/>
      <c r="N1907" t="inlineStr"/>
      <c r="O1907">
        <f>(1-Summary!$B$11)*S1907+Summary!$B$11*U1907</f>
        <v/>
      </c>
      <c r="P1907">
        <f>IF(B1939=0,0,O1907/B1939)</f>
        <v/>
      </c>
      <c r="Q1907">
        <f>IFERROR(1/IF(Inputs!$B$38="pvp",15,MAX(0.1,Skills!D4-IF(Skills!E4=TRUE,Inputs!$B$32,0))),0)</f>
        <v/>
      </c>
      <c r="R1907">
        <f>IF(AND(Inputs!$B$38&lt;&gt;"pvp",Inputs!$B$43&gt;0),IF(Inputs!$B$43&lt;=0,0,(INT(Inputs!$B$43/IF(Inputs!$B$38="pvp",15,MAX(0.1,Skills!D4-IF(Skills!E4=TRUE,Inputs!$B$32,0))))+1)),0)</f>
        <v/>
      </c>
      <c r="S1907" t="n">
        <v>0</v>
      </c>
      <c r="T1907">
        <f>290*T1906/1000</f>
        <v/>
      </c>
      <c r="U1907" t="n">
        <v>0</v>
      </c>
    </row>
    <row r="1908">
      <c r="A1908">
        <f>Skills!A5</f>
        <v/>
      </c>
      <c r="B1908">
        <f>Skills!B5</f>
        <v/>
      </c>
      <c r="C1908">
        <f>Inputs!$B$3&gt;=38</f>
        <v/>
      </c>
      <c r="D1908">
        <f>IF(Skills!C5=1,60+Inputs!$B$25+Inputs!$B$29,IF(Skills!C5=2,90+Inputs!$B$26+Inputs!$B$29,IF(Skills!C5=3,120+Inputs!$B$27+Inputs!$B$29,MAX(0,(Inputs!$B$3-100)*3)+Inputs!$B$28+Inputs!$B$29)))</f>
        <v/>
      </c>
      <c r="E1908">
        <f>INDEX(FactorTable!$B$2:$Y$301, MATCH(ROUND(MIN(300,MAX(1,D1908)),0), FactorTable!$A$2:$A$301,0), Skills!L5+1)</f>
        <v/>
      </c>
      <c r="F1908">
        <f>IF(Skills!M5=TRUE,(Skills!K5/10)*(E1908/1000),Skills!K5/10)+Skills!N5</f>
        <v/>
      </c>
      <c r="G1908">
        <f>Calc!G5</f>
        <v/>
      </c>
      <c r="H1908">
        <f>Calc!H5</f>
        <v/>
      </c>
      <c r="I1908">
        <f>IF(Skills!T5&lt;&gt;"",1+(Skills!T5/10)*(Z1906/1000)/100,1)</f>
        <v/>
      </c>
      <c r="J1908">
        <f>((Inputs!$B$6*(1+Inputs!$B$7/100))+(((Inputs!$B$12*(1+Inputs!$B$13/100))-(Inputs!$B$12*(1+Inputs!$B$13/100)))+0.25*(Inputs!$B$14-Inputs!$B$14))*(1+Inputs!$B$7/100))*(F1908/100)</f>
        <v/>
      </c>
      <c r="K1908">
        <f>J1908*(1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F1921-Calc!F18),(Inputs!$B$23+(IF(ArtifactsInput!$M$15,CHOOSE(ArtifactsInput!$N$15+1,25,30,35,40,45,50)/100*(Inputs!$B$11-Inputs!$B$11),0))))/100+(Inputs!$B$23+(IF(ArtifactsInput!$M$15,CHOOSE(ArtifactsInput!$N$15+1,25,30,35,40,45,50)/100*(Inputs!$B$11-Inputs!$B$11),0)))/100)/2</f>
        <v/>
      </c>
      <c r="M1908">
        <f>L1908*(1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(1-Summary!$B$11)*S1908+Summary!$B$11*U1908</f>
        <v/>
      </c>
      <c r="P1908">
        <f>IF(B1939=0,0,O1908/B1939)</f>
        <v/>
      </c>
      <c r="Q1908">
        <f>IFERROR(1/IF(Inputs!$B$38="pvp",15,MAX(0.1,Skills!D5-IF(Skills!E5=TRUE,Inputs!$B$32,0))),0)</f>
        <v/>
      </c>
      <c r="R1908">
        <f>IF(AND(Inputs!$B$38&lt;&gt;"pvp",Inputs!$B$43&gt;0),IF(MAX(0,Inputs!$B$43-B1936)&lt;=0,0,(INT(MAX(0,Inputs!$B$43-B1936)/IF(Inputs!$B$38="pvp",15,MAX(0.1,Skills!D5-IF(Skills!E5=TRUE,Inputs!$B$32,0))))+1)),0)</f>
        <v/>
      </c>
      <c r="S1908">
        <f>IF(C1908,(H1908*N1908*IF(AND(Inputs!$B$38&lt;&gt;"pvp",Inputs!$B$43&gt;0),((Skills!F5*((R1908-1)*IF(Skills!G5&gt;0,Skills!H5/Skills!G5,1)+IF(Skills!G5&gt;0,MIN(Skills!H5,MAX(0,MAX(0,Inputs!$B$43-B1936)-((R1908-1)*IF(Inputs!$B$38="pvp",15,MAX(0.1,Skills!D5-IF(Skills!E5=TRUE,Inputs!$B$32,0))))))/Skills!G5,1)))/Inputs!$B$43),G1908*Q1908))*IF(Inputs!$B$38="pvp",1,1+(Inputs!$B$20+Skills!O5+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1908*(1-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8">
        <f>IF(C1908,(H1908*N1908*IF(AND(Inputs!$B$38&lt;&gt;"pvp",Inputs!$B$43&gt;0),((Skills!F5*((R1908-1)*IF(Skills!G5&gt;0,Skills!H5/Skills!G5,1)+IF(Skills!G5&gt;0,MIN(Skills!H5,MAX(0,MAX(0,Inputs!$B$43-B1936)-((R1908-1)*IF(Inputs!$B$38="pvp",15,MAX(0.1,Skills!D5-IF(Skills!E5=TRUE,Inputs!$B$32,0))))))/Skills!G5,1)))/Inputs!$B$43),G1908*Q1908))*IF(Inputs!$B$38="pvp",1,(1+(Inputs!$B$21+Skills!P5+B1930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Skills!A6</f>
        <v/>
      </c>
      <c r="B1909">
        <f>Skills!B6</f>
        <v/>
      </c>
      <c r="C1909">
        <f>Inputs!$B$3&gt;=63</f>
        <v/>
      </c>
      <c r="D1909">
        <f>IF(Skills!C6=1,60+Inputs!$B$25+Inputs!$B$29,IF(Skills!C6=2,90+Inputs!$B$26+Inputs!$B$29,IF(Skills!C6=3,120+Inputs!$B$27+Inputs!$B$29,MAX(0,(Inputs!$B$3-100)*3)+Inputs!$B$28+Inputs!$B$29)))</f>
        <v/>
      </c>
      <c r="E1909">
        <f>INDEX(FactorTable!$B$2:$Y$301, MATCH(ROUND(MIN(300,MAX(1,D1909)),0), FactorTable!$A$2:$A$301,0), Skills!L6+1)</f>
        <v/>
      </c>
      <c r="F1909">
        <f>IF(Skills!M6=TRUE,(Skills!K6/10)*(E1909/1000),Skills!K6/10)+Skills!N6</f>
        <v/>
      </c>
      <c r="G1909">
        <f>Calc!G6</f>
        <v/>
      </c>
      <c r="H1909">
        <f>Calc!H6</f>
        <v/>
      </c>
      <c r="I1909">
        <f>IF(Skills!T6&lt;&gt;"",1+(Skills!T6/10)*(Z1906/1000)/100,1)</f>
        <v/>
      </c>
      <c r="J1909">
        <f>((Inputs!$B$6*(1+Inputs!$B$7/100))+(((Inputs!$B$12*(1+Inputs!$B$13/100))-(Inputs!$B$12*(1+Inputs!$B$13/100)))+0.25*(Inputs!$B$14-Inputs!$B$14))*(1+Inputs!$B$7/100))*(F1909/100)</f>
        <v/>
      </c>
      <c r="K1909">
        <f>J1909*(1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1909)</f>
        <v/>
      </c>
      <c r="L1909">
        <f>K1909*(MIN(Inputs!$B$22+(F1921-Calc!F18),(Inputs!$B$23+(IF(ArtifactsInput!$M$15,CHOOSE(ArtifactsInput!$N$15+1,25,30,35,40,45,50)/100*(Inputs!$B$11-Inputs!$B$11),0))))/100+(Inputs!$B$23+(IF(ArtifactsInput!$M$15,CHOOSE(ArtifactsInput!$N$15+1,25,30,35,40,45,50)/100*(Inputs!$B$11-Inputs!$B$11),0)))/100)/2</f>
        <v/>
      </c>
      <c r="M1909">
        <f>L1909*(1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9">
        <f>L1909*(1-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1909*(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9">
        <f>(1-Summary!$B$11)*S1909+Summary!$B$11*U1909</f>
        <v/>
      </c>
      <c r="P1909">
        <f>IF(B1939=0,0,O1909/B1939)</f>
        <v/>
      </c>
      <c r="Q1909">
        <f>IFERROR(1/IF(Inputs!$B$38="pvp",15,MAX(0.1,Skills!D6-IF(Skills!E6=TRUE,Inputs!$B$32,0))),0)</f>
        <v/>
      </c>
      <c r="R1909">
        <f>IF(AND(Inputs!$B$38&lt;&gt;"pvp",Inputs!$B$43&gt;0),IF(MAX(0,Inputs!$B$43-B1936)&lt;=0,0,(INT(MAX(0,Inputs!$B$43-B1936)/IF(Inputs!$B$38="pvp",15,MAX(0.1,Skills!D6-IF(Skills!E6=TRUE,Inputs!$B$32,0))))+1)),0)</f>
        <v/>
      </c>
      <c r="S1909">
        <f>IF(C1909,(H1909*N1909*IF(AND(Inputs!$B$38&lt;&gt;"pvp",Inputs!$B$43&gt;0),((Skills!F6*((R1909-1)*IF(Skills!G6&gt;0,Skills!H6/Skills!G6,1)+IF(Skills!G6&gt;0,MIN(Skills!H6,MAX(0,MAX(0,Inputs!$B$43-B1936)-((R1909-1)*IF(Inputs!$B$38="pvp",15,MAX(0.1,Skills!D6-IF(Skills!E6=TRUE,Inputs!$B$32,0))))))/Skills!G6,1)))/Inputs!$B$43),G1909*Q1909))*IF(Inputs!$B$38="pvp",1,1+(Inputs!$B$20+Skills!O6+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1909*(1-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1909*(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1909*(1-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1909*(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9">
        <f>IF(C1909,(H1909*N1909*IF(AND(Inputs!$B$38&lt;&gt;"pvp",Inputs!$B$43&gt;0),((Skills!F6*((R1909-1)*IF(Skills!G6&gt;0,Skills!H6/Skills!G6,1)+IF(Skills!G6&gt;0,MIN(Skills!H6,MAX(0,MAX(0,Inputs!$B$43-B1936)-((R1909-1)*IF(Inputs!$B$38="pvp",15,MAX(0.1,Skills!D6-IF(Skills!E6=TRUE,Inputs!$B$32,0))))))/Skills!G6,1)))/Inputs!$B$43),G1909*Q1909))*IF(Inputs!$B$38="pvp",1,(1+(Inputs!$B$21+Skills!P6+B1930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0">
      <c r="A1910">
        <f>Skills!A7</f>
        <v/>
      </c>
      <c r="B1910">
        <f>Skills!B7</f>
        <v/>
      </c>
      <c r="C1910">
        <f>Inputs!$B$3&gt;=69</f>
        <v/>
      </c>
      <c r="D1910">
        <f>IF(Skills!C7=1,60+Inputs!$B$25+Inputs!$B$29,IF(Skills!C7=2,90+Inputs!$B$26+Inputs!$B$29,IF(Skills!C7=3,120+Inputs!$B$27+Inputs!$B$29,MAX(0,(Inputs!$B$3-100)*3)+Inputs!$B$28+Inputs!$B$29)))</f>
        <v/>
      </c>
      <c r="E1910">
        <f>INDEX(FactorTable!$B$2:$Y$301, MATCH(ROUND(MIN(300,MAX(1,D1910)),0), FactorTable!$A$2:$A$301,0), Skills!L7+1)</f>
        <v/>
      </c>
      <c r="F1910">
        <f>IF(Skills!M7=TRUE,(Skills!K7/10)*(E1910/1000),Skills!K7/10)+Skills!N7</f>
        <v/>
      </c>
      <c r="G1910">
        <f>Calc!G7</f>
        <v/>
      </c>
      <c r="H1910">
        <f>Calc!H7</f>
        <v/>
      </c>
      <c r="I1910">
        <f>IF(Skills!T7&lt;&gt;"",1+(Skills!T7/10)*(Z1906/1000)/100,1)</f>
        <v/>
      </c>
      <c r="J1910">
        <f>((Inputs!$B$6*(1+Inputs!$B$7/100))+(((Inputs!$B$12*(1+Inputs!$B$13/100))-(Inputs!$B$12*(1+Inputs!$B$13/100)))+0.25*(Inputs!$B$14-Inputs!$B$14))*(1+Inputs!$B$7/100))*(F1910/100)</f>
        <v/>
      </c>
      <c r="K1910">
        <f>J1910*(1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F1921-Calc!F18),(Inputs!$B$23+(IF(ArtifactsInput!$M$15,CHOOSE(ArtifactsInput!$N$15+1,25,30,35,40,45,50)/100*(Inputs!$B$11-Inputs!$B$11),0))))/100+(Inputs!$B$23+(IF(ArtifactsInput!$M$15,CHOOSE(ArtifactsInput!$N$15+1,25,30,35,40,45,50)/100*(Inputs!$B$11-Inputs!$B$11),0)))/100)/2</f>
        <v/>
      </c>
      <c r="M1910">
        <f>L1910*(1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(1-Summary!$B$11)*S1910+Summary!$B$11*U1910</f>
        <v/>
      </c>
      <c r="P1910">
        <f>IF(B1939=0,0,O1910/B1939)</f>
        <v/>
      </c>
      <c r="Q1910">
        <f>IFERROR(1/IF(Inputs!$B$38="pvp",15,MAX(0.1,Skills!D7-IF(Skills!E7=TRUE,Inputs!$B$32,0))),0)</f>
        <v/>
      </c>
      <c r="R1910">
        <f>IF(AND(Inputs!$B$38&lt;&gt;"pvp",Inputs!$B$43&gt;0),IF(MAX(0,Inputs!$B$43-B1936)&lt;=0,0,(INT(MAX(0,Inputs!$B$43-B1936)/IF(Inputs!$B$38="pvp",15,MAX(0.1,Skills!D7-IF(Skills!E7=TRUE,Inputs!$B$32,0))))+1)),0)</f>
        <v/>
      </c>
      <c r="S1910">
        <f>IF(C1910,(H1910*N1910*IF(AND(Inputs!$B$38&lt;&gt;"pvp",Inputs!$B$43&gt;0),((Skills!F7*((R1910-1)*IF(Skills!G7&gt;0,Skills!H7/Skills!G7,1)+IF(Skills!G7&gt;0,MIN(Skills!H7,MAX(0,MAX(0,Inputs!$B$43-B1936)-((R1910-1)*IF(Inputs!$B$38="pvp",15,MAX(0.1,Skills!D7-IF(Skills!E7=TRUE,Inputs!$B$32,0))))))/Skills!G7,1)))/Inputs!$B$43),G1910*Q1910))*IF(Inputs!$B$38="pvp",1,1+(Inputs!$B$20+Skills!O7+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1910*(1-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0">
        <f>IF(C1910,(H1910*N1910*IF(AND(Inputs!$B$38&lt;&gt;"pvp",Inputs!$B$43&gt;0),((Skills!F7*((R1910-1)*IF(Skills!G7&gt;0,Skills!H7/Skills!G7,1)+IF(Skills!G7&gt;0,MIN(Skills!H7,MAX(0,MAX(0,Inputs!$B$43-B1936)-((R1910-1)*IF(Inputs!$B$38="pvp",15,MAX(0.1,Skills!D7-IF(Skills!E7=TRUE,Inputs!$B$32,0))))))/Skills!G7,1)))/Inputs!$B$43),G1910*Q1910))*IF(Inputs!$B$38="pvp",1,(1+(Inputs!$B$21+Skills!P7+B1930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Skills!A8</f>
        <v/>
      </c>
      <c r="B1911">
        <f>Skills!B8</f>
        <v/>
      </c>
      <c r="C1911">
        <f>Inputs!$B$3&gt;=103</f>
        <v/>
      </c>
      <c r="D1911">
        <f>IF(Skills!C8=1,60+Inputs!$B$25+Inputs!$B$29,IF(Skills!C8=2,90+Inputs!$B$26+Inputs!$B$29,IF(Skills!C8=3,120+Inputs!$B$27+Inputs!$B$29,MAX(0,(Inputs!$B$3-100)*3)+Inputs!$B$28+Inputs!$B$29)))</f>
        <v/>
      </c>
      <c r="E1911">
        <f>INDEX(FactorTable!$B$2:$Y$301, MATCH(ROUND(MIN(300,MAX(1,D1911)),0), FactorTable!$A$2:$A$301,0), Skills!L8+1)</f>
        <v/>
      </c>
      <c r="F1911">
        <f>IF(Skills!M8=TRUE,(Skills!K8/10)*(E1911/1000),Skills!K8/10)+Skills!N8</f>
        <v/>
      </c>
      <c r="G1911">
        <f>Calc!G8</f>
        <v/>
      </c>
      <c r="H1911">
        <f>Calc!H8</f>
        <v/>
      </c>
      <c r="I1911">
        <f>IF(Skills!T8&lt;&gt;"",1+(Skills!T8/10)*(Z1906/1000)/100,1)</f>
        <v/>
      </c>
      <c r="J1911">
        <f>((Inputs!$B$6*(1+Inputs!$B$7/100))+(((Inputs!$B$12*(1+Inputs!$B$13/100))-(Inputs!$B$12*(1+Inputs!$B$13/100)))+0.25*(Inputs!$B$14-Inputs!$B$14))*(1+Inputs!$B$7/100))*(F1911/100)</f>
        <v/>
      </c>
      <c r="K1911">
        <f>J1911*(1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1911)</f>
        <v/>
      </c>
      <c r="L1911">
        <f>K1911*(MIN(Inputs!$B$22+(F1921-Calc!F18),(Inputs!$B$23+(IF(ArtifactsInput!$M$15,CHOOSE(ArtifactsInput!$N$15+1,25,30,35,40,45,50)/100*(Inputs!$B$11-Inputs!$B$11),0))))/100+(Inputs!$B$23+(IF(ArtifactsInput!$M$15,CHOOSE(ArtifactsInput!$N$15+1,25,30,35,40,45,50)/100*(Inputs!$B$11-Inputs!$B$11),0)))/100)/2</f>
        <v/>
      </c>
      <c r="M1911">
        <f>L1911*(1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1">
        <f>L1911*(1-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1">
        <f>(1-Summary!$B$11)*S1911+Summary!$B$11*U1911</f>
        <v/>
      </c>
      <c r="P1911">
        <f>IF(B1939=0,0,O1911/B1939)</f>
        <v/>
      </c>
      <c r="Q1911">
        <f>IFERROR(1/IF(Inputs!$B$38="pvp",15,MAX(0.1,Skills!D8-IF(Skills!E8=TRUE,Inputs!$B$32,0))),0)</f>
        <v/>
      </c>
      <c r="R1911">
        <f>IF(AND(Inputs!$B$38&lt;&gt;"pvp",Inputs!$B$43&gt;0),IF(MAX(0,Inputs!$B$43-B1936)&lt;=0,0,(INT(MAX(0,Inputs!$B$43-B1936)/IF(Inputs!$B$38="pvp",15,MAX(0.1,Skills!D8-IF(Skills!E8=TRUE,Inputs!$B$32,0))))+1)),0)</f>
        <v/>
      </c>
      <c r="S1911">
        <f>IF(C1911,(H1911*N1911*IF(AND(Inputs!$B$38&lt;&gt;"pvp",Inputs!$B$43&gt;0),((Skills!F8*((R1911-1)*IF(Skills!G8&gt;0,Skills!H8/Skills!G8,1)+IF(Skills!G8&gt;0,MIN(Skills!H8,MAX(0,MAX(0,Inputs!$B$43-B1936)-((R1911-1)*IF(Inputs!$B$38="pvp",15,MAX(0.1,Skills!D8-IF(Skills!E8=TRUE,Inputs!$B$32,0))))))/Skills!G8,1)))/Inputs!$B$43),G1911*Q1911))*IF(Inputs!$B$38="pvp",1,1+(Inputs!$B$20+Skills!O8+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1">
        <f>IF(C1911,(H1911*N1911*IF(AND(Inputs!$B$38&lt;&gt;"pvp",Inputs!$B$43&gt;0),((Skills!F8*((R1911-1)*IF(Skills!G8&gt;0,Skills!H8/Skills!G8,1)+IF(Skills!G8&gt;0,MIN(Skills!H8,MAX(0,MAX(0,Inputs!$B$43-B1936)-((R1911-1)*IF(Inputs!$B$38="pvp",15,MAX(0.1,Skills!D8-IF(Skills!E8=TRUE,Inputs!$B$32,0))))))/Skills!G8,1)))/Inputs!$B$43),G1911*Q1911))*IF(Inputs!$B$38="pvp",1,(1+(Inputs!$B$21+Skills!P8+B1930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2">
      <c r="A1912">
        <f>Skills!A9</f>
        <v/>
      </c>
      <c r="B1912">
        <f>Skills!B9</f>
        <v/>
      </c>
      <c r="C1912">
        <f>Inputs!$B$3&gt;=105</f>
        <v/>
      </c>
      <c r="D1912">
        <f>IF(Skills!C9=1,60+Inputs!$B$25+Inputs!$B$29,IF(Skills!C9=2,90+Inputs!$B$26+Inputs!$B$29,IF(Skills!C9=3,120+Inputs!$B$27+Inputs!$B$29,MAX(0,(Inputs!$B$3-100)*3)+Inputs!$B$28+Inputs!$B$29)))</f>
        <v/>
      </c>
      <c r="E1912">
        <f>INDEX(FactorTable!$B$2:$Y$301, MATCH(ROUND(MIN(300,MAX(1,D1912)),0), FactorTable!$A$2:$A$301,0), Skills!L9+1)</f>
        <v/>
      </c>
      <c r="F1912">
        <f>IF(Skills!M9=TRUE,(Skills!K9/10)*(E1912/1000),Skills!K9/10)+Skills!N9</f>
        <v/>
      </c>
      <c r="G1912">
        <f>Calc!G9</f>
        <v/>
      </c>
      <c r="H1912">
        <f>Calc!H9</f>
        <v/>
      </c>
      <c r="I1912">
        <f>IF(Skills!T9&lt;&gt;"",1+(Skills!T9/10)*(Z1906/1000)/100,1)</f>
        <v/>
      </c>
      <c r="J1912">
        <f>((Inputs!$B$6*(1+Inputs!$B$7/100))+(((Inputs!$B$12*(1+Inputs!$B$13/100))-(Inputs!$B$12*(1+Inputs!$B$13/100)))+0.25*(Inputs!$B$14-Inputs!$B$14))*(1+Inputs!$B$7/100))*(F1912/100)</f>
        <v/>
      </c>
      <c r="K1912">
        <f>J1912*(1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F1921-Calc!F18),(Inputs!$B$23+(IF(ArtifactsInput!$M$15,CHOOSE(ArtifactsInput!$N$15+1,25,30,35,40,45,50)/100*(Inputs!$B$11-Inputs!$B$11),0))))/100+(Inputs!$B$23+(IF(ArtifactsInput!$M$15,CHOOSE(ArtifactsInput!$N$15+1,25,30,35,40,45,50)/100*(Inputs!$B$11-Inputs!$B$11),0)))/100)/2</f>
        <v/>
      </c>
      <c r="M1912">
        <f>L1912*(1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(1-Summary!$B$11)*S1912+Summary!$B$11*U1912</f>
        <v/>
      </c>
      <c r="P1912">
        <f>IF(B1939=0,0,O1912/B1939)</f>
        <v/>
      </c>
      <c r="Q1912">
        <f>IFERROR(1/IF(Inputs!$B$38="pvp",15,MAX(0.1,Skills!D9-IF(Skills!E9=TRUE,Inputs!$B$32,0))),0)</f>
        <v/>
      </c>
      <c r="R1912">
        <f>IF(AND(Inputs!$B$38&lt;&gt;"pvp",Inputs!$B$43&gt;0),IF(MAX(0,Inputs!$B$43-B1936)&lt;=0,0,(INT(MAX(0,Inputs!$B$43-B1936)/IF(Inputs!$B$38="pvp",15,MAX(0.1,Skills!D9-IF(Skills!E9=TRUE,Inputs!$B$32,0))))+1)),0)</f>
        <v/>
      </c>
      <c r="S1912">
        <f>IF(C1912,(H1912*N1912*IF(AND(Inputs!$B$38&lt;&gt;"pvp",Inputs!$B$43&gt;0),((Skills!F9*((R1912-1)*IF(Skills!G9&gt;0,Skills!H9/Skills!G9,1)+IF(Skills!G9&gt;0,MIN(Skills!H9,MAX(0,MAX(0,Inputs!$B$43-B1936)-((R1912-1)*IF(Inputs!$B$38="pvp",15,MAX(0.1,Skills!D9-IF(Skills!E9=TRUE,Inputs!$B$32,0))))))/Skills!G9,1)))/Inputs!$B$43),G1912*Q1912))*IF(Inputs!$B$38="pvp",1,1+(Inputs!$B$20+Skills!O9+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1912*(1-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2">
        <f>IF(C1912,(H1912*N1912*IF(AND(Inputs!$B$38&lt;&gt;"pvp",Inputs!$B$43&gt;0),((Skills!F9*((R1912-1)*IF(Skills!G9&gt;0,Skills!H9/Skills!G9,1)+IF(Skills!G9&gt;0,MIN(Skills!H9,MAX(0,MAX(0,Inputs!$B$43-B1936)-((R1912-1)*IF(Inputs!$B$38="pvp",15,MAX(0.1,Skills!D9-IF(Skills!E9=TRUE,Inputs!$B$32,0))))))/Skills!G9,1)))/Inputs!$B$43),G1912*Q1912))*IF(Inputs!$B$38="pvp",1,(1+(Inputs!$B$21+Skills!P9+B1930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Skills!A10</f>
        <v/>
      </c>
      <c r="B1913">
        <f>Skills!B10</f>
        <v/>
      </c>
      <c r="C1913">
        <f>Inputs!$B$3&gt;=113</f>
        <v/>
      </c>
      <c r="D1913">
        <f>IF(Skills!C10=1,60+Inputs!$B$25+Inputs!$B$29,IF(Skills!C10=2,90+Inputs!$B$26+Inputs!$B$29,IF(Skills!C10=3,120+Inputs!$B$27+Inputs!$B$29,MAX(0,(Inputs!$B$3-100)*3)+Inputs!$B$28+Inputs!$B$29)))</f>
        <v/>
      </c>
      <c r="E1913">
        <f>INDEX(FactorTable!$B$2:$Y$301, MATCH(ROUND(MIN(300,MAX(1,D1913)),0), FactorTable!$A$2:$A$301,0), Skills!L10+1)</f>
        <v/>
      </c>
      <c r="F1913">
        <f>IF(Skills!M10=TRUE,(Skills!K10/10)*(E1913/1000),Skills!K10/10)+Skills!N10</f>
        <v/>
      </c>
      <c r="G1913">
        <f>Calc!G10</f>
        <v/>
      </c>
      <c r="H1913">
        <f>Calc!H10</f>
        <v/>
      </c>
      <c r="I1913">
        <f>IF(Skills!T10&lt;&gt;"",1+(Skills!T10/10)*(Z1906/1000)/100,1)</f>
        <v/>
      </c>
      <c r="J1913">
        <f>((Inputs!$B$6*(1+Inputs!$B$7/100))+(((Inputs!$B$12*(1+Inputs!$B$13/100))-(Inputs!$B$12*(1+Inputs!$B$13/100)))+0.25*(Inputs!$B$14-Inputs!$B$14))*(1+Inputs!$B$7/100))*(F1913/100)</f>
        <v/>
      </c>
      <c r="K1913">
        <f>J1913*(1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F1921-Calc!F18),(Inputs!$B$23+(IF(ArtifactsInput!$M$15,CHOOSE(ArtifactsInput!$N$15+1,25,30,35,40,45,50)/100*(Inputs!$B$11-Inputs!$B$11),0))))/100+(Inputs!$B$23+(IF(ArtifactsInput!$M$15,CHOOSE(ArtifactsInput!$N$15+1,25,30,35,40,45,50)/100*(Inputs!$B$11-Inputs!$B$11),0)))/100)/2</f>
        <v/>
      </c>
      <c r="M1913">
        <f>L1913*(1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(1-Summary!$B$11)*S1913+Summary!$B$11*U1913</f>
        <v/>
      </c>
      <c r="P1913">
        <f>IF(B1939=0,0,O1913/B1939)</f>
        <v/>
      </c>
      <c r="Q1913">
        <f>IFERROR(1/IF(Inputs!$B$38="pvp",15,MAX(0.1,Skills!D10-IF(Skills!E9=TRUE,Inputs!$B$32,0))),0)</f>
        <v/>
      </c>
      <c r="R1913">
        <f>IF(AND(Inputs!$B$38&lt;&gt;"pvp",Inputs!$B$43&gt;0),IF(MAX(0,Inputs!$B$43-B1936)&lt;=0,0,(INT(MAX(0,Inputs!$B$43-B1936)/IF(Inputs!$B$38="pvp",15,MAX(0.1,Skills!D10-IF(Skills!E9=TRUE,Inputs!$B$32,0))))+1)),0)</f>
        <v/>
      </c>
      <c r="S1913">
        <f>IF(C1913,(H1913*N1913*IF(AND(Inputs!$B$38&lt;&gt;"pvp",Inputs!$B$43&gt;0),((Skills!F10*((R1913-1)*IF(Skills!G10&gt;0,Skills!H10/Skills!G10,1)+IF(Skills!G10&gt;0,MIN(Skills!H10,MAX(0,MAX(0,Inputs!$B$43-B1936)-((R1913-1)*IF(Inputs!$B$38="pvp",15,MAX(0.1,Skills!D10-IF(Skills!E9=TRUE,Inputs!$B$32,0))))))/Skills!G10,1)))/Inputs!$B$43),G1913*Q1913))*IF(Inputs!$B$38="pvp",1,1+(Inputs!$B$20+Skills!O10+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1913*(1-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IF(C1913,(H1913*N1913*IF(AND(Inputs!$B$38&lt;&gt;"pvp",Inputs!$B$43&gt;0),((Skills!F10*((R1913-1)*IF(Skills!G10&gt;0,Skills!H10/Skills!G10,1)+IF(Skills!G10&gt;0,MIN(Skills!H10,MAX(0,MAX(0,Inputs!$B$43-B1936)-((R1913-1)*IF(Inputs!$B$38="pvp",15,MAX(0.1,Skills!D10-IF(Skills!E9=TRUE,Inputs!$B$32,0))))))/Skills!G10,1)))/Inputs!$B$43),G1913*Q1913))*IF(Inputs!$B$38="pvp",1,(1+(Inputs!$B$21+Skills!P10+B1930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Skills!A11</f>
        <v/>
      </c>
      <c r="B1914">
        <f>Skills!B11</f>
        <v/>
      </c>
      <c r="C1914">
        <f>Inputs!$B$3&gt;=107</f>
        <v/>
      </c>
      <c r="D1914">
        <f>IF(Skills!C11=1,60+Inputs!$B$25+Inputs!$B$29,IF(Skills!C11=2,90+Inputs!$B$26+Inputs!$B$29,IF(Skills!C11=3,120+Inputs!$B$27+Inputs!$B$29,MAX(0,(Inputs!$B$3-100)*3)+Inputs!$B$28+Inputs!$B$29)))</f>
        <v/>
      </c>
      <c r="E1914">
        <f>INDEX(FactorTable!$B$2:$Y$301, MATCH(ROUND(MIN(300,MAX(1,D1914)),0), FactorTable!$A$2:$A$301,0), Skills!L11+1)</f>
        <v/>
      </c>
      <c r="F1914">
        <f>IF(Skills!M11=TRUE,(Skills!K11/10)*(E1914/1000),Skills!K11/10)+Skills!N11</f>
        <v/>
      </c>
      <c r="G1914">
        <f>Calc!G11</f>
        <v/>
      </c>
      <c r="H1914">
        <f>Calc!H11</f>
        <v/>
      </c>
      <c r="I1914">
        <f>IF(Skills!T11&lt;&gt;"",1+(Skills!T11/10)*(Z1906/1000)/100,1)</f>
        <v/>
      </c>
      <c r="J1914">
        <f>((Inputs!$B$6*(1+Inputs!$B$7/100))+(((Inputs!$B$12*(1+Inputs!$B$13/100))-(Inputs!$B$12*(1+Inputs!$B$13/100)))+0.25*(Inputs!$B$14-Inputs!$B$14))*(1+Inputs!$B$7/100))*(F1914/100)</f>
        <v/>
      </c>
      <c r="K1914">
        <f>J1914*(1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F1921-Calc!F18),(Inputs!$B$23+(IF(ArtifactsInput!$M$15,CHOOSE(ArtifactsInput!$N$15+1,25,30,35,40,45,50)/100*(Inputs!$B$11-Inputs!$B$11),0))))/100+(Inputs!$B$23+(IF(ArtifactsInput!$M$15,CHOOSE(ArtifactsInput!$N$15+1,25,30,35,40,45,50)/100*(Inputs!$B$11-Inputs!$B$11),0)))/100)/2</f>
        <v/>
      </c>
      <c r="M1914">
        <f>L1914*(1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(1-Summary!$B$11)*S1914+Summary!$B$11*U1914</f>
        <v/>
      </c>
      <c r="P1914">
        <f>IF(B1939=0,0,O1914/B1939)</f>
        <v/>
      </c>
      <c r="Q1914">
        <f>IFERROR(1/IF(Inputs!$B$38="pvp",15,MAX(0.1,Skills!D11-IF(Skills!E11=TRUE,Inputs!$B$32,0))),0)</f>
        <v/>
      </c>
      <c r="R1914">
        <f>IF(AND(Inputs!$B$38&lt;&gt;"pvp",Inputs!$B$43&gt;0),IF(MAX(0,Inputs!$B$43-B1936)&lt;=0,0,(INT(MAX(0,Inputs!$B$43-B1936)/IF(Inputs!$B$38="pvp",15,MAX(0.1,Skills!D11-IF(Skills!E11=TRUE,Inputs!$B$32,0))))+1)),0)</f>
        <v/>
      </c>
      <c r="S1914">
        <f>IF(C1914,H1914*N1914*IF(AND(Inputs!$B$38&lt;&gt;"pvp",Inputs!$B$43&gt;0),((Skills!F11*((R1914-1)*IF(Skills!G11&gt;0,Skills!H11/Skills!G11,1)+IF(Skills!G11&gt;0,MIN(Skills!H11,MAX(0,MAX(0,Inputs!$B$43-B1936)-((R1914-1)*IF(Inputs!$B$38="pvp",15,MAX(0.1,Skills!D11-IF(Skills!E11=TRUE,Inputs!$B$32,0))))))/Skills!G11,1)))/Inputs!$B$43),G1914*Q1914)*0.5*IF(Inputs!$B$38="pvp",1,1+(Inputs!$B$20+Skills!O11+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1914*(1-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4">
        <f>IF(C1914,H1914*N1914*IF(AND(Inputs!$B$38&lt;&gt;"pvp",Inputs!$B$43&gt;0),((Skills!F11*((R1914-1)*IF(Skills!G11&gt;0,Skills!H11/Skills!G11,1)+IF(Skills!G11&gt;0,MIN(Skills!H11,MAX(0,MAX(0,Inputs!$B$43-B1936)-((R1914-1)*IF(Inputs!$B$38="pvp",15,MAX(0.1,Skills!D11-IF(Skills!E11=TRUE,Inputs!$B$32,0))))))/Skills!G11,1)))/Inputs!$B$43),G1914*Q1914)*1*IF(Inputs!$B$38="pvp",1,(1+(Inputs!$B$21+Skills!P11+B1930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Skills!A12</f>
        <v/>
      </c>
      <c r="B1915">
        <f>Skills!B12</f>
        <v/>
      </c>
      <c r="C1915">
        <f>Inputs!$B$3&gt;=115</f>
        <v/>
      </c>
      <c r="D1915">
        <f>IF(Skills!C12=1,60+Inputs!$B$25+Inputs!$B$29,IF(Skills!C12=2,90+Inputs!$B$26+Inputs!$B$29,IF(Skills!C12=3,120+Inputs!$B$27+Inputs!$B$29,MAX(0,(Inputs!$B$3-100)*3)+Inputs!$B$28+Inputs!$B$29)))</f>
        <v/>
      </c>
      <c r="E1915">
        <f>INDEX(FactorTable!$B$2:$Y$301, MATCH(ROUND(MIN(300,MAX(1,D1915)),0), FactorTable!$A$2:$A$301,0), Skills!L12+1)</f>
        <v/>
      </c>
      <c r="F1915">
        <f>IF(Skills!M12=TRUE,(Skills!K12/10)*(E1915/1000),Skills!K12/10)+Skills!N12</f>
        <v/>
      </c>
      <c r="G1915">
        <f>Calc!G12</f>
        <v/>
      </c>
      <c r="H1915">
        <f>Calc!H12</f>
        <v/>
      </c>
      <c r="I1915">
        <f>IF(Skills!T12&lt;&gt;"",1+(Skills!T12/10)*(Z1906/1000)/100,1)</f>
        <v/>
      </c>
      <c r="J1915">
        <f>((Inputs!$B$6*(1+Inputs!$B$7/100))+(((Inputs!$B$12*(1+Inputs!$B$13/100))-(Inputs!$B$12*(1+Inputs!$B$13/100)))+0.25*(Inputs!$B$14-Inputs!$B$14))*(1+Inputs!$B$7/100))*(F1915/100)</f>
        <v/>
      </c>
      <c r="K1915">
        <f>J1915*(1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F1921-Calc!F18),(Inputs!$B$23+(IF(ArtifactsInput!$M$15,CHOOSE(ArtifactsInput!$N$15+1,25,30,35,40,45,50)/100*(Inputs!$B$11-Inputs!$B$11),0))))/100+(Inputs!$B$23+(IF(ArtifactsInput!$M$15,CHOOSE(ArtifactsInput!$N$15+1,25,30,35,40,45,50)/100*(Inputs!$B$11-Inputs!$B$11),0)))/100)/2</f>
        <v/>
      </c>
      <c r="M1915">
        <f>L1915*(1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(1-Summary!$B$11)*S1915+Summary!$B$11*U1915</f>
        <v/>
      </c>
      <c r="P1915">
        <f>IF(B1939=0,0,O1915/B1939)</f>
        <v/>
      </c>
      <c r="Q1915">
        <f>IFERROR(1/IF(Inputs!$B$38="pvp",15,MAX(0.1,Skills!D12-IF(Skills!E12=TRUE,Inputs!$B$32,0))),0)</f>
        <v/>
      </c>
      <c r="R1915">
        <f>IF(AND(Inputs!$B$38&lt;&gt;"pvp",Inputs!$B$43&gt;0),IF(MAX(0,Inputs!$B$43-B1936)&lt;=0,0,(INT(MAX(0,Inputs!$B$43-B1936)/IF(Inputs!$B$38="pvp",15,MAX(0.1,Skills!D12-IF(Skills!E12=TRUE,Inputs!$B$32,0))))+1)),0)</f>
        <v/>
      </c>
      <c r="S1915">
        <f>IF(C1915,(H1915*N1915*IF(AND(Inputs!$B$38&lt;&gt;"pvp",Inputs!$B$43&gt;0),((Skills!F12*((R1915-1)*IF(Skills!G12&gt;0,Skills!H12/Skills!G12,1)+IF(Skills!G12&gt;0,MIN(Skills!H12,MAX(0,MAX(0,Inputs!$B$43-B1936)-((R1915-1)*IF(Inputs!$B$38="pvp",15,MAX(0.1,Skills!D12-IF(Skills!E12=TRUE,Inputs!$B$32,0))))))/Skills!G12,1)))/Inputs!$B$43),G1915*Q1915))*IF(Inputs!$B$38="pvp",1,1+(Inputs!$B$20+Skills!O12+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IF(C1915,(H1915*N1915*IF(AND(Inputs!$B$38&lt;&gt;"pvp",Inputs!$B$43&gt;0),((Skills!F12*((R1915-1)*IF(Skills!G12&gt;0,Skills!H12/Skills!G12,1)+IF(Skills!G12&gt;0,MIN(Skills!H12,MAX(0,MAX(0,Inputs!$B$43-B1936)-((R1915-1)*IF(Inputs!$B$38="pvp",15,MAX(0.1,Skills!D12-IF(Skills!E12=TRUE,Inputs!$B$32,0))))))/Skills!G12,1)))/Inputs!$B$43),G1915*Q1915))*IF(Inputs!$B$38="pvp",1,(1+(Inputs!$B$21+Skills!P12+B1930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Skills!A13</f>
        <v/>
      </c>
      <c r="B1916">
        <f>Skills!B13</f>
        <v/>
      </c>
      <c r="C1916">
        <f>Inputs!$B$3&gt;=49</f>
        <v/>
      </c>
      <c r="D1916">
        <f>IF(Skills!C13=1,60+Inputs!$B$25+Inputs!$B$29,IF(Skills!C13=2,90+Inputs!$B$26+Inputs!$B$29,IF(Skills!C13=3,120+Inputs!$B$27+Inputs!$B$29,MAX(0,(Inputs!$B$3-100)*3)+Inputs!$B$28+Inputs!$B$29)))</f>
        <v/>
      </c>
      <c r="E1916">
        <f>INDEX(FactorTable!$B$2:$Y$301, MATCH(ROUND(MIN(300,MAX(1,D1916)),0), FactorTable!$A$2:$A$301,0), Skills!L13+1)</f>
        <v/>
      </c>
      <c r="F1916">
        <f>IF(Skills!M13=TRUE,(Skills!K13/10)*(E1916/1000),Skills!K13/10)+Skills!N13</f>
        <v/>
      </c>
      <c r="G1916">
        <f>Calc!G13</f>
        <v/>
      </c>
      <c r="H1916">
        <f>Calc!H13</f>
        <v/>
      </c>
      <c r="I1916">
        <f>IF(Skills!T13&lt;&gt;"",1+(Skills!T13/10)*(Z1906/1000)/100,1)</f>
        <v/>
      </c>
      <c r="J1916" t="inlineStr"/>
      <c r="K1916" t="inlineStr"/>
      <c r="L1916" t="inlineStr"/>
      <c r="M1916" t="inlineStr"/>
      <c r="N1916" t="inlineStr"/>
      <c r="O1916">
        <f>(1-Summary!$B$11)*S1916+Summary!$B$11*U1916</f>
        <v/>
      </c>
      <c r="P1916">
        <f>IF(B1939=0,0,O1916/B1939)</f>
        <v/>
      </c>
      <c r="Q1916">
        <f>IFERROR(1/IF(Inputs!$B$38="pvp",15,MAX(0.1,Skills!D13-IF(Skills!E13=TRUE,Inputs!$B$32,0))),0)</f>
        <v/>
      </c>
      <c r="R1916" t="n">
        <v>0</v>
      </c>
      <c r="S1916" t="n">
        <v>0</v>
      </c>
      <c r="U1916" t="n">
        <v>0</v>
      </c>
    </row>
    <row r="1917">
      <c r="A1917">
        <f>Skills!A14</f>
        <v/>
      </c>
      <c r="B1917">
        <f>Skills!B14</f>
        <v/>
      </c>
      <c r="C1917">
        <f>Inputs!$B$3&gt;=72</f>
        <v/>
      </c>
      <c r="D1917">
        <f>IF(Skills!C14=1,60+Inputs!$B$25+Inputs!$B$29,IF(Skills!C14=2,90+Inputs!$B$26+Inputs!$B$29,IF(Skills!C14=3,120+Inputs!$B$27+Inputs!$B$29,MAX(0,(Inputs!$B$3-100)*3)+Inputs!$B$28+Inputs!$B$29)))</f>
        <v/>
      </c>
      <c r="E1917">
        <f>INDEX(FactorTable!$B$2:$Y$301, MATCH(ROUND(MIN(300,MAX(1,D1917)),0), FactorTable!$A$2:$A$301,0), Skills!L14+1)</f>
        <v/>
      </c>
      <c r="F1917">
        <f>IF(Skills!M14=TRUE,(Skills!K14/10)*(E1917/1000),Skills!K14/10)+Skills!N14</f>
        <v/>
      </c>
      <c r="G1917">
        <f>Calc!G14</f>
        <v/>
      </c>
      <c r="H1917">
        <f>Calc!H14</f>
        <v/>
      </c>
      <c r="I1917">
        <f>IF(Skills!T14&lt;&gt;"",1+(Skills!T14/10)*(Z1906/1000)/100,1)</f>
        <v/>
      </c>
      <c r="J1917" t="inlineStr"/>
      <c r="K1917" t="inlineStr"/>
      <c r="L1917" t="inlineStr"/>
      <c r="M1917" t="inlineStr"/>
      <c r="N1917" t="inlineStr"/>
      <c r="O1917">
        <f>(1-Summary!$B$11)*S1917+Summary!$B$11*U1917</f>
        <v/>
      </c>
      <c r="P1917">
        <f>IF(B1939=0,0,O1917/B1939)</f>
        <v/>
      </c>
      <c r="Q1917">
        <f>IFERROR(1/IF(Inputs!$B$38="pvp",15,MAX(0.1,Skills!D14-IF(Skills!E14=TRUE,Inputs!$B$32,0))),0)</f>
        <v/>
      </c>
      <c r="R1917" t="n">
        <v>0</v>
      </c>
      <c r="S1917" t="n">
        <v>0</v>
      </c>
      <c r="U1917" t="n">
        <v>0</v>
      </c>
    </row>
    <row r="1918">
      <c r="A1918">
        <f>Skills!A15</f>
        <v/>
      </c>
      <c r="B1918">
        <f>Skills!B15</f>
        <v/>
      </c>
      <c r="C1918">
        <f>Inputs!$B$3&gt;=75</f>
        <v/>
      </c>
      <c r="D1918">
        <f>IF(Skills!C15=1,60+Inputs!$B$25+Inputs!$B$29,IF(Skills!C15=2,90+Inputs!$B$26+Inputs!$B$29,IF(Skills!C15=3,120+Inputs!$B$27+Inputs!$B$29,MAX(0,(Inputs!$B$3-100)*3)+Inputs!$B$28+Inputs!$B$29)))</f>
        <v/>
      </c>
      <c r="E1918">
        <f>INDEX(FactorTable!$B$2:$Y$301, MATCH(ROUND(MIN(300,MAX(1,D1918)),0), FactorTable!$A$2:$A$301,0), Skills!L15+1)</f>
        <v/>
      </c>
      <c r="F1918">
        <f>IF(Skills!M15=TRUE,(Skills!K15/10)*(E1918/1000),Skills!K15/10)+Skills!N15</f>
        <v/>
      </c>
      <c r="G1918">
        <f>Calc!G15</f>
        <v/>
      </c>
      <c r="H1918">
        <f>Calc!H15</f>
        <v/>
      </c>
      <c r="I1918">
        <f>IF(Skills!T15&lt;&gt;"",1+(Skills!T15/10)*(Z1906/1000)/100,1)</f>
        <v/>
      </c>
      <c r="J1918" t="inlineStr"/>
      <c r="K1918" t="inlineStr"/>
      <c r="L1918" t="inlineStr"/>
      <c r="M1918" t="inlineStr"/>
      <c r="N1918" t="inlineStr"/>
      <c r="O1918">
        <f>(1-Summary!$B$11)*S1918+Summary!$B$11*U1918</f>
        <v/>
      </c>
      <c r="P1918">
        <f>IF(B1939=0,0,O1918/B1939)</f>
        <v/>
      </c>
      <c r="Q1918">
        <f>IFERROR(1/IF(Inputs!$B$38="pvp",15,MAX(0.1,Skills!D15-IF(Skills!E15=TRUE,Inputs!$B$32,0))),0)</f>
        <v/>
      </c>
      <c r="R1918" t="n">
        <v>0</v>
      </c>
      <c r="S1918" t="n">
        <v>0</v>
      </c>
      <c r="U1918" t="n">
        <v>0</v>
      </c>
    </row>
    <row r="1919">
      <c r="A1919">
        <f>Skills!A16</f>
        <v/>
      </c>
      <c r="B1919">
        <f>Skills!B16</f>
        <v/>
      </c>
      <c r="C1919">
        <f>Inputs!$B$3&gt;=110</f>
        <v/>
      </c>
      <c r="D1919">
        <f>IF(Skills!C16=1,60+Inputs!$B$25+Inputs!$B$29,IF(Skills!C16=2,90+Inputs!$B$26+Inputs!$B$29,IF(Skills!C16=3,120+Inputs!$B$27+Inputs!$B$29,MAX(0,(Inputs!$B$3-100)*3)+Inputs!$B$28+Inputs!$B$29)))</f>
        <v/>
      </c>
      <c r="E1919">
        <f>INDEX(FactorTable!$B$2:$Y$301, MATCH(ROUND(MIN(300,MAX(1,D1919)),0), FactorTable!$A$2:$A$301,0), Skills!L16+1)</f>
        <v/>
      </c>
      <c r="F1919">
        <f>(Skills!K16/10)*(E1919/1000)*64/45+Skills!N16</f>
        <v/>
      </c>
      <c r="G1919">
        <f>Calc!G16</f>
        <v/>
      </c>
      <c r="H1919">
        <f>Calc!H16</f>
        <v/>
      </c>
      <c r="I1919">
        <f>IF(Skills!T16&lt;&gt;"",1+(Skills!T16/10)*(Z1906/1000)/100,1)</f>
        <v/>
      </c>
      <c r="J1919" t="inlineStr"/>
      <c r="K1919" t="inlineStr"/>
      <c r="L1919" t="inlineStr"/>
      <c r="M1919" t="inlineStr"/>
      <c r="N1919" t="inlineStr"/>
      <c r="O1919">
        <f>(1-Summary!$B$11)*S1919+Summary!$B$11*U1919</f>
        <v/>
      </c>
      <c r="P1919">
        <f>IF(B1939=0,0,O1919/B1939)</f>
        <v/>
      </c>
      <c r="Q1919">
        <f>IFERROR(1/IF(Inputs!$B$38="pvp",15,MAX(0.1,Skills!D16-IF(Skills!E16=TRUE,Inputs!$B$32,0))),0)</f>
        <v/>
      </c>
      <c r="R1919">
        <f>IF(AND(Inputs!$B$38&lt;&gt;"pvp",Inputs!$B$43&gt;0),IF(Inputs!$B$43&lt;=0,0,(INT(Inputs!$B$43/IF(Inputs!$B$38="pvp",15,MAX(0.1,Skills!D16-IF(Skills!E16=TRUE,Inputs!$B$32,0))))+1)),0)</f>
        <v/>
      </c>
      <c r="S1919" t="n">
        <v>0</v>
      </c>
      <c r="U1919" t="n">
        <v>0</v>
      </c>
    </row>
    <row r="1920">
      <c r="A1920">
        <f>Skills!A17</f>
        <v/>
      </c>
      <c r="B1920">
        <f>Skills!B17</f>
        <v/>
      </c>
      <c r="C1920">
        <f>Inputs!$B$3&gt;=33</f>
        <v/>
      </c>
      <c r="D1920">
        <f>IF(Skills!C17=1,60+Inputs!$B$25+Inputs!$B$29,IF(Skills!C17=2,90+Inputs!$B$26+Inputs!$B$29,IF(Skills!C17=3,120+Inputs!$B$27+Inputs!$B$29,MAX(0,(Inputs!$B$3-100)*3)+Inputs!$B$28+Inputs!$B$29)))</f>
        <v/>
      </c>
      <c r="E1920">
        <f>INDEX(FactorTable!$B$2:$Y$301, MATCH(ROUND(MIN(300,MAX(1,D1920)),0), FactorTable!$A$2:$A$301,0), Skills!L17+1)</f>
        <v/>
      </c>
      <c r="F1920">
        <f>IF(Skills!M17=TRUE,(Skills!K17/10)*(E1920/1000),Skills!K17/10)+Skills!N17</f>
        <v/>
      </c>
      <c r="G1920">
        <f>Calc!G17</f>
        <v/>
      </c>
      <c r="H1920">
        <f>Calc!H17</f>
        <v/>
      </c>
      <c r="I1920">
        <f>IF(Skills!T17&lt;&gt;"",1+(Skills!T17/10)*(Z1906/1000)/100,1)</f>
        <v/>
      </c>
      <c r="J1920" t="inlineStr"/>
      <c r="K1920" t="inlineStr"/>
      <c r="L1920" t="inlineStr"/>
      <c r="M1920" t="inlineStr"/>
      <c r="N1920" t="inlineStr"/>
      <c r="O1920">
        <f>(1-Summary!$B$11)*S1920+Summary!$B$11*U1920</f>
        <v/>
      </c>
      <c r="P1920">
        <f>IF(B1939=0,0,O1920/B1939)</f>
        <v/>
      </c>
      <c r="Q1920">
        <f>IFERROR(1/IF(Inputs!$B$38="pvp",15,MAX(0.1,Skills!D17-IF(Skills!E17=TRUE,Inputs!$B$32,0))),0)</f>
        <v/>
      </c>
      <c r="R1920" t="n">
        <v>0</v>
      </c>
      <c r="S1920" t="n">
        <v>0</v>
      </c>
      <c r="U1920" t="n">
        <v>0</v>
      </c>
    </row>
    <row r="1921">
      <c r="A1921">
        <f>Skills!A18</f>
        <v/>
      </c>
      <c r="B1921">
        <f>Skills!B18</f>
        <v/>
      </c>
      <c r="C1921">
        <f>Inputs!$B$3&gt;=43</f>
        <v/>
      </c>
      <c r="D1921">
        <f>IF(Skills!C18=1,60+Inputs!$B$25+Inputs!$B$29,IF(Skills!C18=2,90+Inputs!$B$26+Inputs!$B$29,IF(Skills!C18=3,120+Inputs!$B$27+Inputs!$B$29,MAX(0,(Inputs!$B$3-100)*3)+Inputs!$B$28+Inputs!$B$29)))</f>
        <v/>
      </c>
      <c r="E1921">
        <f>INDEX(FactorTable!$B$2:$Y$301, MATCH(ROUND(MIN(300,MAX(1,D1921)),0), FactorTable!$A$2:$A$301,0), Skills!L18+1)</f>
        <v/>
      </c>
      <c r="F1921">
        <f>IF(Skills!M18=TRUE,(Skills!K18/10)*(E1921/1000),Skills!K18/10)+Skills!N18</f>
        <v/>
      </c>
      <c r="G1921">
        <f>Calc!G18</f>
        <v/>
      </c>
      <c r="H1921">
        <f>Calc!H18</f>
        <v/>
      </c>
      <c r="I1921">
        <f>IF(Skills!T18&lt;&gt;"",1+(Skills!T18/10)*(Z1906/1000)/100,1)</f>
        <v/>
      </c>
      <c r="J1921" t="inlineStr"/>
      <c r="K1921" t="inlineStr"/>
      <c r="L1921" t="inlineStr"/>
      <c r="M1921" t="inlineStr"/>
      <c r="N1921" t="inlineStr"/>
      <c r="O1921">
        <f>(1-Summary!$B$11)*S1921+Summary!$B$11*U1921</f>
        <v/>
      </c>
      <c r="P1921">
        <f>IF(B1939=0,0,O1921/B1939)</f>
        <v/>
      </c>
      <c r="Q1921">
        <f>IFERROR(1/IF(Inputs!$B$38="pvp",15,MAX(0.1,Skills!D18-IF(Skills!E18=TRUE,Inputs!$B$32,0))),0)</f>
        <v/>
      </c>
      <c r="R1921" t="n">
        <v>0</v>
      </c>
      <c r="S1921" t="n">
        <v>0</v>
      </c>
      <c r="U1921" t="n">
        <v>0</v>
      </c>
    </row>
    <row r="1922">
      <c r="A1922">
        <f>Skills!A19</f>
        <v/>
      </c>
      <c r="B1922">
        <f>Skills!B19</f>
        <v/>
      </c>
      <c r="C1922">
        <f>Inputs!$B$3&gt;=50</f>
        <v/>
      </c>
      <c r="D1922">
        <f>IF(Skills!C19=1,60+Inputs!$B$25+Inputs!$B$29,IF(Skills!C19=2,90+Inputs!$B$26+Inputs!$B$29,IF(Skills!C19=3,120+Inputs!$B$27+Inputs!$B$29,MAX(0,(Inputs!$B$3-100)*3)+Inputs!$B$28+Inputs!$B$29)))</f>
        <v/>
      </c>
      <c r="E1922">
        <f>INDEX(FactorTable!$B$2:$Y$301, MATCH(ROUND(MIN(300,MAX(1,D1922)),0), FactorTable!$A$2:$A$301,0), Skills!L19+1)</f>
        <v/>
      </c>
      <c r="F1922">
        <f>IF(Skills!M19=TRUE,(Skills!K19/10)*(E1922/1000),Skills!K19/10)+Skills!N19</f>
        <v/>
      </c>
      <c r="G1922">
        <f>Calc!G19</f>
        <v/>
      </c>
      <c r="H1922">
        <f>Calc!H19</f>
        <v/>
      </c>
      <c r="I1922">
        <f>IF(Skills!T19&lt;&gt;"",1+(Skills!T19/10)*(Z1906/1000)/100,1)</f>
        <v/>
      </c>
      <c r="J1922" t="inlineStr"/>
      <c r="K1922" t="inlineStr"/>
      <c r="L1922" t="inlineStr"/>
      <c r="M1922" t="inlineStr"/>
      <c r="N1922" t="inlineStr"/>
      <c r="O1922">
        <f>(1-Summary!$B$11)*S1922+Summary!$B$11*U1922</f>
        <v/>
      </c>
      <c r="P1922">
        <f>IF(B1939=0,0,O1922/B1939)</f>
        <v/>
      </c>
      <c r="Q1922">
        <f>IFERROR(1/IF(Inputs!$B$38="pvp",15,MAX(0.1,Skills!D19-IF(Skills!E19=TRUE,Inputs!$B$32,0))),0)</f>
        <v/>
      </c>
      <c r="R1922" t="n">
        <v>0</v>
      </c>
      <c r="S1922" t="n">
        <v>0</v>
      </c>
      <c r="U1922" t="n">
        <v>0</v>
      </c>
    </row>
    <row r="1923">
      <c r="A1923">
        <f>Skills!A20</f>
        <v/>
      </c>
      <c r="B1923">
        <f>Skills!B20</f>
        <v/>
      </c>
      <c r="C1923">
        <f>Inputs!$B$3&gt;=74</f>
        <v/>
      </c>
      <c r="D1923">
        <f>IF(Skills!C20=1,60+Inputs!$B$25+Inputs!$B$29,IF(Skills!C20=2,90+Inputs!$B$26+Inputs!$B$29,IF(Skills!C20=3,120+Inputs!$B$27+Inputs!$B$29,MAX(0,(Inputs!$B$3-100)*3)+Inputs!$B$28+Inputs!$B$29)))</f>
        <v/>
      </c>
      <c r="E1923">
        <f>INDEX(FactorTable!$B$2:$Y$301, MATCH(ROUND(MIN(300,MAX(1,D1923)),0), FactorTable!$A$2:$A$301,0), Skills!L20+1)</f>
        <v/>
      </c>
      <c r="F1923">
        <f>IF(Skills!M20=TRUE,(Skills!K20/10)*(E1923/1000),Skills!K20/10)+Skills!N20</f>
        <v/>
      </c>
      <c r="G1923">
        <f>Calc!G20</f>
        <v/>
      </c>
      <c r="H1923">
        <f>Calc!H20</f>
        <v/>
      </c>
      <c r="I1923">
        <f>IF(Skills!T20&lt;&gt;"",1+(Skills!T20/10)*(Z1906/1000)/100,1)</f>
        <v/>
      </c>
      <c r="J1923" t="inlineStr"/>
      <c r="K1923" t="inlineStr"/>
      <c r="L1923" t="inlineStr"/>
      <c r="M1923" t="inlineStr"/>
      <c r="N1923" t="inlineStr"/>
      <c r="O1923">
        <f>(1-Summary!$B$11)*S1923+Summary!$B$11*U1923</f>
        <v/>
      </c>
      <c r="P1923">
        <f>IF(B1939=0,0,O1923/B1939)</f>
        <v/>
      </c>
      <c r="Q1923">
        <f>IFERROR(1/IF(Inputs!$B$38="pvp",15,MAX(0.1,Skills!D20-IF(Skills!E20=TRUE,Inputs!$B$32,0))),0)</f>
        <v/>
      </c>
      <c r="R1923" t="n">
        <v>0</v>
      </c>
      <c r="S1923" t="n">
        <v>0</v>
      </c>
      <c r="U1923" t="n">
        <v>0</v>
      </c>
    </row>
    <row r="1924">
      <c r="A1924">
        <f>Skills!A21</f>
        <v/>
      </c>
      <c r="B1924">
        <f>Skills!B21</f>
        <v/>
      </c>
      <c r="C1924">
        <f>Inputs!$B$3&gt;=74</f>
        <v/>
      </c>
      <c r="D1924">
        <f>IF(Skills!C21=1,60+Inputs!$B$25+Inputs!$B$29,IF(Skills!C21=2,90+Inputs!$B$26+Inputs!$B$29,IF(Skills!C21=3,120+Inputs!$B$27+Inputs!$B$29,MAX(0,(Inputs!$B$3-100)*3)+Inputs!$B$28+Inputs!$B$29)))</f>
        <v/>
      </c>
      <c r="E1924">
        <f>INDEX(FactorTable!$B$2:$Y$301, MATCH(ROUND(MIN(300,MAX(1,D1924)),0), FactorTable!$A$2:$A$301,0), Skills!L21+1)</f>
        <v/>
      </c>
      <c r="F1924">
        <f>IF(Skills!M21=TRUE,(Skills!K21/10)*(E1924/1000),Skills!K21/10)+Skills!N21</f>
        <v/>
      </c>
      <c r="G1924">
        <f>Calc!G21</f>
        <v/>
      </c>
      <c r="H1924">
        <f>Calc!H21</f>
        <v/>
      </c>
      <c r="I1924">
        <f>IF(Skills!T21&lt;&gt;"",1+(Skills!T21/10)*(Z1906/1000)/100,1)</f>
        <v/>
      </c>
      <c r="J1924" t="inlineStr"/>
      <c r="K1924" t="inlineStr"/>
      <c r="L1924" t="inlineStr"/>
      <c r="M1924" t="inlineStr"/>
      <c r="N1924" t="inlineStr"/>
      <c r="O1924">
        <f>(1-Summary!$B$11)*S1924+Summary!$B$11*U1924</f>
        <v/>
      </c>
      <c r="P1924">
        <f>IF(B1939=0,0,O1924/B1939)</f>
        <v/>
      </c>
      <c r="Q1924">
        <f>IFERROR(1/IF(Inputs!$B$38="pvp",15,MAX(0.1,Skills!D21-IF(Skills!E21=TRUE,Inputs!$B$32,0))),0)</f>
        <v/>
      </c>
      <c r="R1924" t="n">
        <v>0</v>
      </c>
      <c r="S1924" t="n">
        <v>0</v>
      </c>
      <c r="U1924" t="n">
        <v>0</v>
      </c>
    </row>
    <row r="1925">
      <c r="A1925">
        <f>Skills!A22</f>
        <v/>
      </c>
      <c r="B1925">
        <f>Skills!B22</f>
        <v/>
      </c>
      <c r="C1925">
        <f>Inputs!$B$3&gt;=117</f>
        <v/>
      </c>
      <c r="D1925">
        <f>IF(Skills!C22=1,60+Inputs!$B$25+Inputs!$B$29,IF(Skills!C22=2,90+Inputs!$B$26+Inputs!$B$29,IF(Skills!C22=3,120+Inputs!$B$27+Inputs!$B$29,MAX(0,(Inputs!$B$3-100)*3)+Inputs!$B$28+Inputs!$B$29)))</f>
        <v/>
      </c>
      <c r="E1925">
        <f>INDEX(FactorTable!$B$2:$Y$301, MATCH(ROUND(MIN(300,MAX(1,D1925)),0), FactorTable!$A$2:$A$301,0), Skills!L22+1)</f>
        <v/>
      </c>
      <c r="F1925">
        <f>IF(Skills!M22=TRUE,(Skills!K22/10)*(E1925/1000),Skills!K22/10)+Skills!N22</f>
        <v/>
      </c>
      <c r="G1925">
        <f>Calc!G22</f>
        <v/>
      </c>
      <c r="H1925">
        <f>Calc!H22</f>
        <v/>
      </c>
      <c r="I1925">
        <f>IF(Skills!T22&lt;&gt;"",1+(Skills!T22/10)*(Z1906/1000)/100,1)</f>
        <v/>
      </c>
      <c r="J1925" t="inlineStr"/>
      <c r="K1925" t="inlineStr"/>
      <c r="L1925" t="inlineStr"/>
      <c r="M1925" t="inlineStr"/>
      <c r="N1925" t="inlineStr"/>
      <c r="O1925">
        <f>(1-Summary!$B$11)*S1925+Summary!$B$11*U1925</f>
        <v/>
      </c>
      <c r="P1925">
        <f>IF(B1939=0,0,O1925/B1939)</f>
        <v/>
      </c>
      <c r="Q1925">
        <f>IFERROR(1/IF(Inputs!$B$38="pvp",15,MAX(0.1,Skills!D22-IF(Skills!E22=TRUE,Inputs!$B$32,0))),0)</f>
        <v/>
      </c>
      <c r="R1925" t="n">
        <v>0</v>
      </c>
      <c r="S1925" t="n">
        <v>0</v>
      </c>
      <c r="U1925" t="n">
        <v>0</v>
      </c>
    </row>
    <row r="1926">
      <c r="A1926">
        <f>Skills!A23</f>
        <v/>
      </c>
      <c r="B1926">
        <f>Skills!B23</f>
        <v/>
      </c>
      <c r="C1926">
        <f>Inputs!$B$3&gt;=120</f>
        <v/>
      </c>
      <c r="D1926">
        <f>IF(Skills!C23=1,60+Inputs!$B$25+Inputs!$B$29,IF(Skills!C23=2,90+Inputs!$B$26+Inputs!$B$29,IF(Skills!C23=3,120+Inputs!$B$27+Inputs!$B$29,MAX(0,(Inputs!$B$3-100)*3)+Inputs!$B$28+Inputs!$B$29)))</f>
        <v/>
      </c>
      <c r="E1926">
        <f>INDEX(FactorTable!$B$2:$Y$301, MATCH(ROUND(MIN(300,MAX(1,D1926)),0), FactorTable!$A$2:$A$301,0), Skills!L23+1)</f>
        <v/>
      </c>
      <c r="F1926">
        <f>IF(Skills!M23=TRUE,(Skills!K23/10)*(E1926/1000),Skills!K23/10)+Skills!N23</f>
        <v/>
      </c>
      <c r="G1926">
        <f>Calc!G23</f>
        <v/>
      </c>
      <c r="H1926">
        <f>Calc!H23</f>
        <v/>
      </c>
      <c r="I1926">
        <f>IF(Skills!T23&lt;&gt;"",1+(Skills!T23/10)*(Z1906/1000)/100,1)</f>
        <v/>
      </c>
      <c r="J1926" t="inlineStr"/>
      <c r="K1926" t="inlineStr"/>
      <c r="L1926" t="inlineStr"/>
      <c r="M1926" t="inlineStr"/>
      <c r="N1926" t="inlineStr"/>
      <c r="O1926">
        <f>(1-Summary!$B$11)*S1926+Summary!$B$11*U1926</f>
        <v/>
      </c>
      <c r="P1926">
        <f>IF(B1939=0,0,O1926/B1939)</f>
        <v/>
      </c>
      <c r="Q1926">
        <f>IFERROR(1/IF(Inputs!$B$38="pvp",15,MAX(0.1,Skills!D23-IF(Skills!E23=TRUE,Inputs!$B$32,0))),0)</f>
        <v/>
      </c>
      <c r="R1926" t="n">
        <v>0</v>
      </c>
      <c r="S1926" t="n">
        <v>0</v>
      </c>
      <c r="U1926" t="n">
        <v>0</v>
      </c>
    </row>
    <row r="1929">
      <c r="A1929" t="inlineStr">
        <is>
          <t>Average Buff Multiplier (Magic Guard + Meditation + Artifact Attack%, summed; then Infinity)</t>
        </is>
      </c>
      <c r="B1929">
        <f>(1+(IF(C1906=TRUE,F1906*IF(AND(Inputs!$B$38&lt;&gt;"pvp",Inputs!$B$43&gt;0),(((R1906-1)*(Skills!S3*(1+(Inputs!$B$34+IF(Inputs!$B$3&gt;=117,F1925,0))/100))+MIN((Skills!S3*(1+(Inputs!$B$34+IF(Inputs!$B$3&gt;=117,F1925,0))/100)),MAX(0,Inputs!$B$43-((R1906-1)*Skills!D3))))/Inputs!$B$43),IF(Inputs!$B$38="pvp",MIN((Skills!S3*(1+(Inputs!$B$34+IF(Inputs!$B$3&gt;=117,F1925,0))/100)),15)/15,(Skills!S3*(1+(Inputs!$B$34+IF(Inputs!$B$3&gt;=117,F1925,0))/100))/Skills!D3)),0)+IF(C1907=TRUE,F1907*IF(AND(Inputs!$B$38&lt;&gt;"pvp",Inputs!$B$43&gt;0),(((R1907-1)*(Skills!S4*(1+(Inputs!$B$34+IF(Inputs!$B$3&gt;=117,F1925,0))/100))+MIN((Skills!S4*(1+(Inputs!$B$34+IF(Inputs!$B$3&gt;=117,F1925,0))/100)),MAX(0,Inputs!$B$43-((R1907-1)*Skills!D4))))/Inputs!$B$43),IF(Inputs!$B$38="pvp",MIN((Skills!S4*(1+(Inputs!$B$34+IF(Inputs!$B$3&gt;=117,F1925,0))/100)),15)/15,(Skills!S4*(1+(Inputs!$B$34+IF(Inputs!$B$3&gt;=117,F1925,0)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1919=TRUE,(1+F1919*IF(AND(Inputs!$B$38&lt;&gt;"pvp",Inputs!$B$43&gt;0),(((R1919-1)*(Skills!S16*(1+(Inputs!$B$34+IF(Inputs!$B$3&gt;=117,F1925,0))/100))+MIN((Skills!S16*(1+(Inputs!$B$34+IF(Inputs!$B$3&gt;=117,F1925,0))/100)),MAX(0,Inputs!$B$43-((R1919-1)*Skills!D16))))/Inputs!$B$43),IF(Inputs!$B$38="pvp",MIN((Skills!S16*(1+(Inputs!$B$34+IF(Inputs!$B$3&gt;=117,F1925,0))/100)),15)/15,(Skills!S16*(1+(Inputs!$B$34+IF(Inputs!$B$3&gt;=117,F1925,0))/100))/Skills!D16))/100),1)</f>
        <v/>
      </c>
    </row>
    <row r="1930">
      <c r="A1930" t="inlineStr">
        <is>
          <t>Monster Damage Taken Bonus % (Freezing Breath - Weaken + Elemental Reset + Artifact Enemy Damage Taken, summed)</t>
        </is>
      </c>
      <c r="B1930">
        <f>IF(Inputs!$B$3&gt;=118,15*IF(Inputs!$B$38="pvp",MIN((30*(1+(Inputs!$B$34+IF(Inputs!$B$3&gt;=117,F1925,0))/100)),15)/15,(30*(1+(Inputs!$B$34+IF(Inputs!$B$3&gt;=117,F1925,0))/100))/Skills!D8),0)+IF(C1917=TRUE,F1917,0)+(IF(AND(ArtifactsInput!$M$35,Inputs!$B$4&lt;&gt;"Chapter Hunt"),CHOOSE(ArtifactsInput!$N$35+1,15,18,21,24,27,30)*(1-EXP(-(0.2*B1933)*5)),0)+IF(AND(ArtifactsInput!$M$22,Inputs!$B$4&lt;&gt;"Chapter Hunt"),CHOOSE(ArtifactsInput!$N$22+1,10,12,14,16,18,20)*((0*(((0.15*B1933*5))^0/1)+1*(((0.15*B1933*5))^1/1)+2*(((0.15*B1933*5))^2/2)+3*(((0.15*B1933*5))^3/6)+4*(((0.15*B1933*5))^4/24)+5*(((0.15*B1933*5))^5/120))/((((0.15*B1933*5))^0/1)+(((0.15*B1933*5))^1/1)+(((0.15*B1933*5))^2/2)+(((0.15*B1933*5))^3/6)+(((0.15*B1933*5))^4/24)+(((0.15*B1933*5))^5/120))),0))</f>
        <v/>
      </c>
    </row>
    <row r="1931">
      <c r="A1931" t="inlineStr">
        <is>
          <t>Damage % Bonus (Frozen Break + Frost Clutch, flat)</t>
        </is>
      </c>
      <c r="B1931">
        <f>IF(Inputs!$B$3&gt;=66,15,0)+IF(Inputs!$B$3&gt;=98,10,0)+IF(Inputs!$B$3&gt;=125,20,0)</f>
        <v/>
      </c>
    </row>
    <row r="1932">
      <c r="A1932" t="inlineStr">
        <is>
          <t>Attack Speed Bonus % (MP Eater - MP Boost, always-on once unlocked)</t>
        </is>
      </c>
      <c r="B1932">
        <f>IF(C1916=TRUE,F1916+(F1920-Calc!F17),0)</f>
        <v/>
      </c>
    </row>
    <row r="1933">
      <c r="A1933" t="inlineStr">
        <is>
          <t>Actions Per Second</t>
        </is>
      </c>
      <c r="B1933">
        <f>1+MIN(150,150*(1-(1-(Inputs!$B$11+(ArtifactsInput!$M$15-ArtifactsInput!$M$15)*CHOOSE(ArtifactsInput!$N$15+1,8,9.6,11.2,12.8,14.4,16))/150)*(1-B1932/150)))/100</f>
        <v/>
      </c>
    </row>
    <row r="1934">
      <c r="A1934" t="inlineStr">
        <is>
          <t>Skill + Buff Cast Rate</t>
        </is>
      </c>
      <c r="B1934">
        <f>IF(AND(Inputs!$B$38&lt;&gt;"pvp",Inputs!$B$43&gt;0),SUMPRODUCT((Skills!E2:E23=TRUE)*(C1905:C1926=TRUE)*R1905:R1926)/Inputs!$B$43,SUMPRODUCT((Skills!E2:E23=TRUE)*(C1905:C1926=TRUE)*Q1905:Q1926))</f>
        <v/>
      </c>
    </row>
    <row r="1935">
      <c r="A1935" t="inlineStr">
        <is>
          <t>Chain Lightning Casts Per Second</t>
        </is>
      </c>
      <c r="B1935">
        <f>MAX(0,B1933-B1934)</f>
        <v/>
      </c>
    </row>
    <row r="1936">
      <c r="A1936" t="inlineStr">
        <is>
          <t>Buff-Casting Startup Delay (s, fixed-duration only)</t>
        </is>
      </c>
      <c r="B1936">
        <f>IF(AND(Inputs!$B$38&lt;&gt;"pvp",Inputs!$B$43&gt;0),SUMPRODUCT((Skills!S2:S23&gt;0)*(Skills!E2:E23=TRUE)*(C1905:C1926=TRUE))/B1933,0)</f>
        <v/>
      </c>
    </row>
    <row r="1937">
      <c r="A1937" t="inlineStr">
        <is>
          <t>Boss-Only Total DPS (this block's swept value)</t>
        </is>
      </c>
      <c r="B1937">
        <f>SUM(S1905:S1926)</f>
        <v/>
      </c>
    </row>
    <row r="1938">
      <c r="A1938" t="inlineStr">
        <is>
          <t>Normal-Only Total DPS (this block's swept value)</t>
        </is>
      </c>
      <c r="B1938">
        <f>SUM(U1905:U1926)</f>
        <v/>
      </c>
    </row>
    <row r="1939">
      <c r="A1939" s="6" t="inlineStr">
        <is>
          <t>TOTAL DPS</t>
        </is>
      </c>
      <c r="B1939" s="6">
        <f>SUM(O1905:O1926)</f>
        <v/>
      </c>
    </row>
    <row r="1942">
      <c r="A1942" s="6" t="inlineStr">
        <is>
          <t>Stat: Ancient Text Piece (Equip)</t>
        </is>
      </c>
    </row>
    <row r="1943">
      <c r="A1943" s="5" t="inlineStr">
        <is>
          <t>Key</t>
        </is>
      </c>
      <c r="B1943" s="5" t="inlineStr">
        <is>
          <t>Name</t>
        </is>
      </c>
      <c r="C1943" s="5" t="inlineStr">
        <is>
          <t>Unlocked</t>
        </is>
      </c>
      <c r="D1943" s="5" t="inlineStr">
        <is>
          <t>InputLevel</t>
        </is>
      </c>
      <c r="E1943" s="5" t="inlineStr">
        <is>
          <t>Factor</t>
        </is>
      </c>
      <c r="F1943" s="5" t="inlineStr">
        <is>
          <t>CoefficientPercent</t>
        </is>
      </c>
      <c r="G1943" s="5" t="inlineStr">
        <is>
          <t>EffectiveHits</t>
        </is>
      </c>
      <c r="H1943" s="5" t="inlineStr">
        <is>
          <t>ProcProbability</t>
        </is>
      </c>
      <c r="I1943" s="5" t="inlineStr">
        <is>
          <t>MapleHeroMultiplier</t>
        </is>
      </c>
      <c r="J1943" s="5" t="inlineStr">
        <is>
          <t>BaseDamage</t>
        </is>
      </c>
      <c r="K1943" s="5" t="inlineStr">
        <is>
          <t>BaseHitDamage</t>
        </is>
      </c>
      <c r="L1943" s="5" t="inlineStr">
        <is>
          <t>NonCritAvg</t>
        </is>
      </c>
      <c r="M1943" s="5" t="inlineStr">
        <is>
          <t>CritAvg</t>
        </is>
      </c>
      <c r="N1943" s="5" t="inlineStr">
        <is>
          <t>ExpectedDamage(perHit)</t>
        </is>
      </c>
      <c r="O1943" s="5" t="inlineStr">
        <is>
          <t>DPS</t>
        </is>
      </c>
      <c r="P1943" s="5" t="inlineStr">
        <is>
          <t>% of Total</t>
        </is>
      </c>
      <c r="R1943" t="inlineStr">
        <is>
          <t>helpers</t>
        </is>
      </c>
    </row>
    <row r="1944">
      <c r="A1944">
        <f>Skills!A2</f>
        <v/>
      </c>
      <c r="B1944">
        <f>Skills!B2</f>
        <v/>
      </c>
      <c r="C1944">
        <f>Inputs!$B$3&gt;=100</f>
        <v/>
      </c>
      <c r="D1944" t="inlineStr"/>
      <c r="E1944" t="inlineStr"/>
      <c r="F1944">
        <f>T1946+Skills!N2</f>
        <v/>
      </c>
      <c r="G1944">
        <f>Calc!G2</f>
        <v/>
      </c>
      <c r="H1944">
        <f>Calc!H2</f>
        <v/>
      </c>
      <c r="I1944">
        <f>IF(Skills!T2&lt;&gt;"",1+(Skills!T2/10)*(Z1945/1000)/100,1)</f>
        <v/>
      </c>
      <c r="J1944">
        <f>((Inputs!$B$6*(1+Inputs!$B$7/100))+(((Inputs!$B$12*(1+Inputs!$B$13/100))-(Inputs!$B$12*(1+Inputs!$B$13/100)))+0.25*(Inputs!$B$14-Inputs!$B$14))*(1+Inputs!$B$7/100))*(F1944/100)</f>
        <v/>
      </c>
      <c r="K1944">
        <f>J1944*(1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1944)</f>
        <v/>
      </c>
      <c r="L1944">
        <f>K1944*(MIN(Inputs!$B$22+(F1960-Calc!F18),(Inputs!$B$23+(IF(ArtifactsInput!$M$15,CHOOSE(ArtifactsInput!$N$15+1,25,30,35,40,45,50)/100*(Inputs!$B$11-Inputs!$B$11),0))))/100+(Inputs!$B$23+(IF(ArtifactsInput!$M$15,CHOOSE(ArtifactsInput!$N$15+1,25,30,35,40,45,50)/100*(Inputs!$B$11-Inputs!$B$11),0)))/100)/2</f>
        <v/>
      </c>
      <c r="M1944">
        <f>L1944*(1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4">
        <f>L1944*(1-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1944*(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4">
        <f>(1-Summary!$B$11)*S1944+Summary!$B$11*U1944</f>
        <v/>
      </c>
      <c r="P1944">
        <f>IF(B1978=0,0,O1944/B1978)</f>
        <v/>
      </c>
      <c r="Q1944">
        <f>IFERROR(1/IF(Inputs!$B$38="pvp",15,MAX(0.1,Skills!D2-IF(Skills!E2=TRUE,Inputs!$B$32,0))),0)</f>
        <v/>
      </c>
      <c r="R1944" t="n">
        <v>0</v>
      </c>
      <c r="S1944">
        <f>IF(C1944,(Skills!F2*N1944*B1974)*IF(Inputs!$B$38="pvp",1,1+(Inputs!$B$20+Skills!O2+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44">
        <f>MAX(0,(Inputs!$B$3-100)*3)+Inputs!$B$28+Inputs!$B$29</f>
        <v/>
      </c>
      <c r="U1944">
        <f>IF(C1944,(Skills!F2*N1944*B1974)*IF(Inputs!$B$38="pvp",1,(1+(Inputs!$B$21+Skills!P2+B1969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44">
        <f>MAX(0,(Inputs!$B$3-100)*3)+Inputs!$B$28+Inputs!$B$29</f>
        <v/>
      </c>
    </row>
    <row r="1945">
      <c r="A1945">
        <f>Skills!A3</f>
        <v/>
      </c>
      <c r="B1945">
        <f>Skills!B3</f>
        <v/>
      </c>
      <c r="C1945">
        <f>Inputs!$B$3&gt;=15</f>
        <v/>
      </c>
      <c r="D1945">
        <f>IF(Skills!C3=1,60+Inputs!$B$25+Inputs!$B$29,IF(Skills!C3=2,90+Inputs!$B$26+Inputs!$B$29,IF(Skills!C3=3,120+Inputs!$B$27+Inputs!$B$29,MAX(0,(Inputs!$B$3-100)*3)+Inputs!$B$28+Inputs!$B$29)))</f>
        <v/>
      </c>
      <c r="E1945">
        <f>INDEX(FactorTable!$B$2:$Y$301, MATCH(ROUND(MIN(300,MAX(1,D1945)),0), FactorTable!$A$2:$A$301,0), Skills!L3+1)</f>
        <v/>
      </c>
      <c r="F1945">
        <f>IF(Skills!M3=TRUE,(Skills!K3/10)*(E1945/1000),Skills!K3/10)+Skills!N3</f>
        <v/>
      </c>
      <c r="G1945">
        <f>Calc!G3</f>
        <v/>
      </c>
      <c r="H1945">
        <f>Calc!H3</f>
        <v/>
      </c>
      <c r="I1945">
        <f>IF(Skills!T3&lt;&gt;"",1+(Skills!T3/10)*(Z1945/1000)/100,1)</f>
        <v/>
      </c>
      <c r="J1945" t="inlineStr"/>
      <c r="K1945" t="inlineStr"/>
      <c r="L1945" t="inlineStr"/>
      <c r="M1945" t="inlineStr"/>
      <c r="N1945" t="inlineStr"/>
      <c r="O1945">
        <f>(1-Summary!$B$11)*S1945+Summary!$B$11*U1945</f>
        <v/>
      </c>
      <c r="P1945">
        <f>IF(B1978=0,0,O1945/B1978)</f>
        <v/>
      </c>
      <c r="Q1945">
        <f>IFERROR(1/IF(Inputs!$B$38="pvp",15,MAX(0.1,Skills!D3-IF(Skills!E3=TRUE,Inputs!$B$32,0))),0)</f>
        <v/>
      </c>
      <c r="R1945">
        <f>IF(AND(Inputs!$B$38&lt;&gt;"pvp",Inputs!$B$43&gt;0),IF(Inputs!$B$43&lt;=0,0,(INT(Inputs!$B$43/IF(Inputs!$B$38="pvp",15,MAX(0.1,Skills!D3-IF(Skills!E3=TRUE,Inputs!$B$32,0))))+1)),0)</f>
        <v/>
      </c>
      <c r="S1945" t="n">
        <v>0</v>
      </c>
      <c r="T1945">
        <f>INDEX(FactorTable!$B$2:$Y$301, MATCH(ROUND(MIN(300,MAX(1,T1944)),0), FactorTable!$A$2:$A$301,0), 22)</f>
        <v/>
      </c>
      <c r="U1945" t="n">
        <v>0</v>
      </c>
      <c r="Z1945">
        <f>INDEX(FactorTable!$B$2:$Y$301, MATCH(ROUND(MIN(300,MAX(1,Z1944)),0), FactorTable!$A$2:$A$301,0), 24)</f>
        <v/>
      </c>
    </row>
    <row r="1946">
      <c r="A1946">
        <f>Skills!A4</f>
        <v/>
      </c>
      <c r="B1946">
        <f>Skills!B4</f>
        <v/>
      </c>
      <c r="C1946">
        <f>Inputs!$B$3&gt;=40</f>
        <v/>
      </c>
      <c r="D1946">
        <f>IF(Skills!C4=1,60+Inputs!$B$25+Inputs!$B$29,IF(Skills!C4=2,90+Inputs!$B$26+Inputs!$B$29,IF(Skills!C4=3,120+Inputs!$B$27+Inputs!$B$29,MAX(0,(Inputs!$B$3-100)*3)+Inputs!$B$28+Inputs!$B$29)))</f>
        <v/>
      </c>
      <c r="E1946">
        <f>INDEX(FactorTable!$B$2:$Y$301, MATCH(ROUND(MIN(300,MAX(1,D1946)),0), FactorTable!$A$2:$A$301,0), Skills!L4+1)</f>
        <v/>
      </c>
      <c r="F1946">
        <f>IF(Skills!M4=TRUE,(Skills!K4/10)*(E1946/1000),Skills!K4/10)+Skills!N4</f>
        <v/>
      </c>
      <c r="G1946">
        <f>Calc!G4</f>
        <v/>
      </c>
      <c r="H1946">
        <f>Calc!H4</f>
        <v/>
      </c>
      <c r="I1946">
        <f>IF(Skills!T4&lt;&gt;"",1+(Skills!T4/10)*(Z1945/1000)/100,1)</f>
        <v/>
      </c>
      <c r="J1946" t="inlineStr"/>
      <c r="K1946" t="inlineStr"/>
      <c r="L1946" t="inlineStr"/>
      <c r="M1946" t="inlineStr"/>
      <c r="N1946" t="inlineStr"/>
      <c r="O1946">
        <f>(1-Summary!$B$11)*S1946+Summary!$B$11*U1946</f>
        <v/>
      </c>
      <c r="P1946">
        <f>IF(B1978=0,0,O1946/B1978)</f>
        <v/>
      </c>
      <c r="Q1946">
        <f>IFERROR(1/IF(Inputs!$B$38="pvp",15,MAX(0.1,Skills!D4-IF(Skills!E4=TRUE,Inputs!$B$32,0))),0)</f>
        <v/>
      </c>
      <c r="R1946">
        <f>IF(AND(Inputs!$B$38&lt;&gt;"pvp",Inputs!$B$43&gt;0),IF(Inputs!$B$43&lt;=0,0,(INT(Inputs!$B$43/IF(Inputs!$B$38="pvp",15,MAX(0.1,Skills!D4-IF(Skills!E4=TRUE,Inputs!$B$32,0))))+1)),0)</f>
        <v/>
      </c>
      <c r="S1946" t="n">
        <v>0</v>
      </c>
      <c r="T1946">
        <f>290*T1945/1000</f>
        <v/>
      </c>
      <c r="U1946" t="n">
        <v>0</v>
      </c>
    </row>
    <row r="1947">
      <c r="A1947">
        <f>Skills!A5</f>
        <v/>
      </c>
      <c r="B1947">
        <f>Skills!B5</f>
        <v/>
      </c>
      <c r="C1947">
        <f>Inputs!$B$3&gt;=38</f>
        <v/>
      </c>
      <c r="D1947">
        <f>IF(Skills!C5=1,60+Inputs!$B$25+Inputs!$B$29,IF(Skills!C5=2,90+Inputs!$B$26+Inputs!$B$29,IF(Skills!C5=3,120+Inputs!$B$27+Inputs!$B$29,MAX(0,(Inputs!$B$3-100)*3)+Inputs!$B$28+Inputs!$B$29)))</f>
        <v/>
      </c>
      <c r="E1947">
        <f>INDEX(FactorTable!$B$2:$Y$301, MATCH(ROUND(MIN(300,MAX(1,D1947)),0), FactorTable!$A$2:$A$301,0), Skills!L5+1)</f>
        <v/>
      </c>
      <c r="F1947">
        <f>IF(Skills!M5=TRUE,(Skills!K5/10)*(E1947/1000),Skills!K5/10)+Skills!N5</f>
        <v/>
      </c>
      <c r="G1947">
        <f>Calc!G5</f>
        <v/>
      </c>
      <c r="H1947">
        <f>Calc!H5</f>
        <v/>
      </c>
      <c r="I1947">
        <f>IF(Skills!T5&lt;&gt;"",1+(Skills!T5/10)*(Z1945/1000)/100,1)</f>
        <v/>
      </c>
      <c r="J1947">
        <f>((Inputs!$B$6*(1+Inputs!$B$7/100))+(((Inputs!$B$12*(1+Inputs!$B$13/100))-(Inputs!$B$12*(1+Inputs!$B$13/100)))+0.25*(Inputs!$B$14-Inputs!$B$14))*(1+Inputs!$B$7/100))*(F1947/100)</f>
        <v/>
      </c>
      <c r="K1947">
        <f>J1947*(1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1947)</f>
        <v/>
      </c>
      <c r="L1947">
        <f>K1947*(MIN(Inputs!$B$22+(F1960-Calc!F18),(Inputs!$B$23+(IF(ArtifactsInput!$M$15,CHOOSE(ArtifactsInput!$N$15+1,25,30,35,40,45,50)/100*(Inputs!$B$11-Inputs!$B$11),0))))/100+(Inputs!$B$23+(IF(ArtifactsInput!$M$15,CHOOSE(ArtifactsInput!$N$15+1,25,30,35,40,45,50)/100*(Inputs!$B$11-Inputs!$B$11),0)))/100)/2</f>
        <v/>
      </c>
      <c r="M1947">
        <f>L1947*(1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7">
        <f>L1947*(1-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1947*(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7">
        <f>(1-Summary!$B$11)*S1947+Summary!$B$11*U1947</f>
        <v/>
      </c>
      <c r="P1947">
        <f>IF(B1978=0,0,O1947/B1978)</f>
        <v/>
      </c>
      <c r="Q1947">
        <f>IFERROR(1/IF(Inputs!$B$38="pvp",15,MAX(0.1,Skills!D5-IF(Skills!E5=TRUE,Inputs!$B$32,0))),0)</f>
        <v/>
      </c>
      <c r="R1947">
        <f>IF(AND(Inputs!$B$38&lt;&gt;"pvp",Inputs!$B$43&gt;0),IF(MAX(0,Inputs!$B$43-B1975)&lt;=0,0,(INT(MAX(0,Inputs!$B$43-B1975)/IF(Inputs!$B$38="pvp",15,MAX(0.1,Skills!D5-IF(Skills!E5=TRUE,Inputs!$B$32,0))))+1)),0)</f>
        <v/>
      </c>
      <c r="S1947">
        <f>IF(C1947,(H1947*N1947*IF(AND(Inputs!$B$38&lt;&gt;"pvp",Inputs!$B$43&gt;0),((Skills!F5*((R1947-1)*IF(Skills!G5&gt;0,Skills!H5/Skills!G5,1)+IF(Skills!G5&gt;0,MIN(Skills!H5,MAX(0,MAX(0,Inputs!$B$43-B1975)-((R1947-1)*IF(Inputs!$B$38="pvp",15,MAX(0.1,Skills!D5-IF(Skills!E5=TRUE,Inputs!$B$32,0))))))/Skills!G5,1)))/Inputs!$B$43),G1947*Q1947))*IF(Inputs!$B$38="pvp",1,1+(Inputs!$B$20+Skills!O5+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1947*(1-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1947*(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1947*(1-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1947*(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7">
        <f>IF(C1947,(H1947*N1947*IF(AND(Inputs!$B$38&lt;&gt;"pvp",Inputs!$B$43&gt;0),((Skills!F5*((R1947-1)*IF(Skills!G5&gt;0,Skills!H5/Skills!G5,1)+IF(Skills!G5&gt;0,MIN(Skills!H5,MAX(0,MAX(0,Inputs!$B$43-B1975)-((R1947-1)*IF(Inputs!$B$38="pvp",15,MAX(0.1,Skills!D5-IF(Skills!E5=TRUE,Inputs!$B$32,0))))))/Skills!G5,1)))/Inputs!$B$43),G1947*Q1947))*IF(Inputs!$B$38="pvp",1,(1+(Inputs!$B$21+Skills!P5+B1969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f>Skills!A6</f>
        <v/>
      </c>
      <c r="B1948">
        <f>Skills!B6</f>
        <v/>
      </c>
      <c r="C1948">
        <f>Inputs!$B$3&gt;=63</f>
        <v/>
      </c>
      <c r="D1948">
        <f>IF(Skills!C6=1,60+Inputs!$B$25+Inputs!$B$29,IF(Skills!C6=2,90+Inputs!$B$26+Inputs!$B$29,IF(Skills!C6=3,120+Inputs!$B$27+Inputs!$B$29,MAX(0,(Inputs!$B$3-100)*3)+Inputs!$B$28+Inputs!$B$29)))</f>
        <v/>
      </c>
      <c r="E1948">
        <f>INDEX(FactorTable!$B$2:$Y$301, MATCH(ROUND(MIN(300,MAX(1,D1948)),0), FactorTable!$A$2:$A$301,0), Skills!L6+1)</f>
        <v/>
      </c>
      <c r="F1948">
        <f>IF(Skills!M6=TRUE,(Skills!K6/10)*(E1948/1000),Skills!K6/10)+Skills!N6</f>
        <v/>
      </c>
      <c r="G1948">
        <f>Calc!G6</f>
        <v/>
      </c>
      <c r="H1948">
        <f>Calc!H6</f>
        <v/>
      </c>
      <c r="I1948">
        <f>IF(Skills!T6&lt;&gt;"",1+(Skills!T6/10)*(Z1945/1000)/100,1)</f>
        <v/>
      </c>
      <c r="J1948">
        <f>((Inputs!$B$6*(1+Inputs!$B$7/100))+(((Inputs!$B$12*(1+Inputs!$B$13/100))-(Inputs!$B$12*(1+Inputs!$B$13/100)))+0.25*(Inputs!$B$14-Inputs!$B$14))*(1+Inputs!$B$7/100))*(F1948/100)</f>
        <v/>
      </c>
      <c r="K1948">
        <f>J1948*(1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1948)</f>
        <v/>
      </c>
      <c r="L1948">
        <f>K1948*(MIN(Inputs!$B$22+(F1960-Calc!F18),(Inputs!$B$23+(IF(ArtifactsInput!$M$15,CHOOSE(ArtifactsInput!$N$15+1,25,30,35,40,45,50)/100*(Inputs!$B$11-Inputs!$B$11),0))))/100+(Inputs!$B$23+(IF(ArtifactsInput!$M$15,CHOOSE(ArtifactsInput!$N$15+1,25,30,35,40,45,50)/100*(Inputs!$B$11-Inputs!$B$11),0)))/100)/2</f>
        <v/>
      </c>
      <c r="M1948">
        <f>L1948*(1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8">
        <f>L1948*(1-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1948*(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8">
        <f>(1-Summary!$B$11)*S1948+Summary!$B$11*U1948</f>
        <v/>
      </c>
      <c r="P1948">
        <f>IF(B1978=0,0,O1948/B1978)</f>
        <v/>
      </c>
      <c r="Q1948">
        <f>IFERROR(1/IF(Inputs!$B$38="pvp",15,MAX(0.1,Skills!D6-IF(Skills!E6=TRUE,Inputs!$B$32,0))),0)</f>
        <v/>
      </c>
      <c r="R1948">
        <f>IF(AND(Inputs!$B$38&lt;&gt;"pvp",Inputs!$B$43&gt;0),IF(MAX(0,Inputs!$B$43-B1975)&lt;=0,0,(INT(MAX(0,Inputs!$B$43-B1975)/IF(Inputs!$B$38="pvp",15,MAX(0.1,Skills!D6-IF(Skills!E6=TRUE,Inputs!$B$32,0))))+1)),0)</f>
        <v/>
      </c>
      <c r="S1948">
        <f>IF(C1948,(H1948*N1948*IF(AND(Inputs!$B$38&lt;&gt;"pvp",Inputs!$B$43&gt;0),((Skills!F6*((R1948-1)*IF(Skills!G6&gt;0,Skills!H6/Skills!G6,1)+IF(Skills!G6&gt;0,MIN(Skills!H6,MAX(0,MAX(0,Inputs!$B$43-B1975)-((R1948-1)*IF(Inputs!$B$38="pvp",15,MAX(0.1,Skills!D6-IF(Skills!E6=TRUE,Inputs!$B$32,0))))))/Skills!G6,1)))/Inputs!$B$43),G1948*Q1948))*IF(Inputs!$B$38="pvp",1,1+(Inputs!$B$20+Skills!O6+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1948*(1-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1948*(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1948*(1-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1948*(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8">
        <f>IF(C1948,(H1948*N1948*IF(AND(Inputs!$B$38&lt;&gt;"pvp",Inputs!$B$43&gt;0),((Skills!F6*((R1948-1)*IF(Skills!G6&gt;0,Skills!H6/Skills!G6,1)+IF(Skills!G6&gt;0,MIN(Skills!H6,MAX(0,MAX(0,Inputs!$B$43-B1975)-((R1948-1)*IF(Inputs!$B$38="pvp",15,MAX(0.1,Skills!D6-IF(Skills!E6=TRUE,Inputs!$B$32,0))))))/Skills!G6,1)))/Inputs!$B$43),G1948*Q1948))*IF(Inputs!$B$38="pvp",1,(1+(Inputs!$B$21+Skills!P6+B1969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9">
      <c r="A1949">
        <f>Skills!A7</f>
        <v/>
      </c>
      <c r="B1949">
        <f>Skills!B7</f>
        <v/>
      </c>
      <c r="C1949">
        <f>Inputs!$B$3&gt;=69</f>
        <v/>
      </c>
      <c r="D1949">
        <f>IF(Skills!C7=1,60+Inputs!$B$25+Inputs!$B$29,IF(Skills!C7=2,90+Inputs!$B$26+Inputs!$B$29,IF(Skills!C7=3,120+Inputs!$B$27+Inputs!$B$29,MAX(0,(Inputs!$B$3-100)*3)+Inputs!$B$28+Inputs!$B$29)))</f>
        <v/>
      </c>
      <c r="E1949">
        <f>INDEX(FactorTable!$B$2:$Y$301, MATCH(ROUND(MIN(300,MAX(1,D1949)),0), FactorTable!$A$2:$A$301,0), Skills!L7+1)</f>
        <v/>
      </c>
      <c r="F1949">
        <f>IF(Skills!M7=TRUE,(Skills!K7/10)*(E1949/1000),Skills!K7/10)+Skills!N7</f>
        <v/>
      </c>
      <c r="G1949">
        <f>Calc!G7</f>
        <v/>
      </c>
      <c r="H1949">
        <f>Calc!H7</f>
        <v/>
      </c>
      <c r="I1949">
        <f>IF(Skills!T7&lt;&gt;"",1+(Skills!T7/10)*(Z1945/1000)/100,1)</f>
        <v/>
      </c>
      <c r="J1949">
        <f>((Inputs!$B$6*(1+Inputs!$B$7/100))+(((Inputs!$B$12*(1+Inputs!$B$13/100))-(Inputs!$B$12*(1+Inputs!$B$13/100)))+0.25*(Inputs!$B$14-Inputs!$B$14))*(1+Inputs!$B$7/100))*(F1949/100)</f>
        <v/>
      </c>
      <c r="K1949">
        <f>J1949*(1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F1960-Calc!F18),(Inputs!$B$23+(IF(ArtifactsInput!$M$15,CHOOSE(ArtifactsInput!$N$15+1,25,30,35,40,45,50)/100*(Inputs!$B$11-Inputs!$B$11),0))))/100+(Inputs!$B$23+(IF(ArtifactsInput!$M$15,CHOOSE(ArtifactsInput!$N$15+1,25,30,35,40,45,50)/100*(Inputs!$B$11-Inputs!$B$11),0)))/100)/2</f>
        <v/>
      </c>
      <c r="M1949">
        <f>L1949*(1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(1-Summary!$B$11)*S1949+Summary!$B$11*U1949</f>
        <v/>
      </c>
      <c r="P1949">
        <f>IF(B1978=0,0,O1949/B1978)</f>
        <v/>
      </c>
      <c r="Q1949">
        <f>IFERROR(1/IF(Inputs!$B$38="pvp",15,MAX(0.1,Skills!D7-IF(Skills!E7=TRUE,Inputs!$B$32,0))),0)</f>
        <v/>
      </c>
      <c r="R1949">
        <f>IF(AND(Inputs!$B$38&lt;&gt;"pvp",Inputs!$B$43&gt;0),IF(MAX(0,Inputs!$B$43-B1975)&lt;=0,0,(INT(MAX(0,Inputs!$B$43-B1975)/IF(Inputs!$B$38="pvp",15,MAX(0.1,Skills!D7-IF(Skills!E7=TRUE,Inputs!$B$32,0))))+1)),0)</f>
        <v/>
      </c>
      <c r="S1949">
        <f>IF(C1949,(H1949*N1949*IF(AND(Inputs!$B$38&lt;&gt;"pvp",Inputs!$B$43&gt;0),((Skills!F7*((R1949-1)*IF(Skills!G7&gt;0,Skills!H7/Skills!G7,1)+IF(Skills!G7&gt;0,MIN(Skills!H7,MAX(0,MAX(0,Inputs!$B$43-B1975)-((R1949-1)*IF(Inputs!$B$38="pvp",15,MAX(0.1,Skills!D7-IF(Skills!E7=TRUE,Inputs!$B$32,0))))))/Skills!G7,1)))/Inputs!$B$43),G1949*Q1949))*IF(Inputs!$B$38="pvp",1,1+(Inputs!$B$20+Skills!O7+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1949*(1-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9">
        <f>IF(C1949,(H1949*N1949*IF(AND(Inputs!$B$38&lt;&gt;"pvp",Inputs!$B$43&gt;0),((Skills!F7*((R1949-1)*IF(Skills!G7&gt;0,Skills!H7/Skills!G7,1)+IF(Skills!G7&gt;0,MIN(Skills!H7,MAX(0,MAX(0,Inputs!$B$43-B1975)-((R1949-1)*IF(Inputs!$B$38="pvp",15,MAX(0.1,Skills!D7-IF(Skills!E7=TRUE,Inputs!$B$32,0))))))/Skills!G7,1)))/Inputs!$B$43),G1949*Q1949))*IF(Inputs!$B$38="pvp",1,(1+(Inputs!$B$21+Skills!P7+B1969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Skills!A8</f>
        <v/>
      </c>
      <c r="B1950">
        <f>Skills!B8</f>
        <v/>
      </c>
      <c r="C1950">
        <f>Inputs!$B$3&gt;=103</f>
        <v/>
      </c>
      <c r="D1950">
        <f>IF(Skills!C8=1,60+Inputs!$B$25+Inputs!$B$29,IF(Skills!C8=2,90+Inputs!$B$26+Inputs!$B$29,IF(Skills!C8=3,120+Inputs!$B$27+Inputs!$B$29,MAX(0,(Inputs!$B$3-100)*3)+Inputs!$B$28+Inputs!$B$29)))</f>
        <v/>
      </c>
      <c r="E1950">
        <f>INDEX(FactorTable!$B$2:$Y$301, MATCH(ROUND(MIN(300,MAX(1,D1950)),0), FactorTable!$A$2:$A$301,0), Skills!L8+1)</f>
        <v/>
      </c>
      <c r="F1950">
        <f>IF(Skills!M8=TRUE,(Skills!K8/10)*(E1950/1000),Skills!K8/10)+Skills!N8</f>
        <v/>
      </c>
      <c r="G1950">
        <f>Calc!G8</f>
        <v/>
      </c>
      <c r="H1950">
        <f>Calc!H8</f>
        <v/>
      </c>
      <c r="I1950">
        <f>IF(Skills!T8&lt;&gt;"",1+(Skills!T8/10)*(Z1945/1000)/100,1)</f>
        <v/>
      </c>
      <c r="J1950">
        <f>((Inputs!$B$6*(1+Inputs!$B$7/100))+(((Inputs!$B$12*(1+Inputs!$B$13/100))-(Inputs!$B$12*(1+Inputs!$B$13/100)))+0.25*(Inputs!$B$14-Inputs!$B$14))*(1+Inputs!$B$7/100))*(F1950/100)</f>
        <v/>
      </c>
      <c r="K1950">
        <f>J1950*(1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1950)</f>
        <v/>
      </c>
      <c r="L1950">
        <f>K1950*(MIN(Inputs!$B$22+(F1960-Calc!F18),(Inputs!$B$23+(IF(ArtifactsInput!$M$15,CHOOSE(ArtifactsInput!$N$15+1,25,30,35,40,45,50)/100*(Inputs!$B$11-Inputs!$B$11),0))))/100+(Inputs!$B$23+(IF(ArtifactsInput!$M$15,CHOOSE(ArtifactsInput!$N$15+1,25,30,35,40,45,50)/100*(Inputs!$B$11-Inputs!$B$11),0)))/100)/2</f>
        <v/>
      </c>
      <c r="M1950">
        <f>L1950*(1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0">
        <f>L1950*(1-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1950*(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0">
        <f>(1-Summary!$B$11)*S1950+Summary!$B$11*U1950</f>
        <v/>
      </c>
      <c r="P1950">
        <f>IF(B1978=0,0,O1950/B1978)</f>
        <v/>
      </c>
      <c r="Q1950">
        <f>IFERROR(1/IF(Inputs!$B$38="pvp",15,MAX(0.1,Skills!D8-IF(Skills!E8=TRUE,Inputs!$B$32,0))),0)</f>
        <v/>
      </c>
      <c r="R1950">
        <f>IF(AND(Inputs!$B$38&lt;&gt;"pvp",Inputs!$B$43&gt;0),IF(MAX(0,Inputs!$B$43-B1975)&lt;=0,0,(INT(MAX(0,Inputs!$B$43-B1975)/IF(Inputs!$B$38="pvp",15,MAX(0.1,Skills!D8-IF(Skills!E8=TRUE,Inputs!$B$32,0))))+1)),0)</f>
        <v/>
      </c>
      <c r="S1950">
        <f>IF(C1950,(H1950*N1950*IF(AND(Inputs!$B$38&lt;&gt;"pvp",Inputs!$B$43&gt;0),((Skills!F8*((R1950-1)*IF(Skills!G8&gt;0,Skills!H8/Skills!G8,1)+IF(Skills!G8&gt;0,MIN(Skills!H8,MAX(0,MAX(0,Inputs!$B$43-B1975)-((R1950-1)*IF(Inputs!$B$38="pvp",15,MAX(0.1,Skills!D8-IF(Skills!E8=TRUE,Inputs!$B$32,0))))))/Skills!G8,1)))/Inputs!$B$43),G1950*Q1950))*IF(Inputs!$B$38="pvp",1,1+(Inputs!$B$20+Skills!O8+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1950*(1-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1950*(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1950*(1-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1950*(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0">
        <f>IF(C1950,(H1950*N1950*IF(AND(Inputs!$B$38&lt;&gt;"pvp",Inputs!$B$43&gt;0),((Skills!F8*((R1950-1)*IF(Skills!G8&gt;0,Skills!H8/Skills!G8,1)+IF(Skills!G8&gt;0,MIN(Skills!H8,MAX(0,MAX(0,Inputs!$B$43-B1975)-((R1950-1)*IF(Inputs!$B$38="pvp",15,MAX(0.1,Skills!D8-IF(Skills!E8=TRUE,Inputs!$B$32,0))))))/Skills!G8,1)))/Inputs!$B$43),G1950*Q1950))*IF(Inputs!$B$38="pvp",1,(1+(Inputs!$B$21+Skills!P8+B1969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1">
      <c r="A1951">
        <f>Skills!A9</f>
        <v/>
      </c>
      <c r="B1951">
        <f>Skills!B9</f>
        <v/>
      </c>
      <c r="C1951">
        <f>Inputs!$B$3&gt;=105</f>
        <v/>
      </c>
      <c r="D1951">
        <f>IF(Skills!C9=1,60+Inputs!$B$25+Inputs!$B$29,IF(Skills!C9=2,90+Inputs!$B$26+Inputs!$B$29,IF(Skills!C9=3,120+Inputs!$B$27+Inputs!$B$29,MAX(0,(Inputs!$B$3-100)*3)+Inputs!$B$28+Inputs!$B$29)))</f>
        <v/>
      </c>
      <c r="E1951">
        <f>INDEX(FactorTable!$B$2:$Y$301, MATCH(ROUND(MIN(300,MAX(1,D1951)),0), FactorTable!$A$2:$A$301,0), Skills!L9+1)</f>
        <v/>
      </c>
      <c r="F1951">
        <f>IF(Skills!M9=TRUE,(Skills!K9/10)*(E1951/1000),Skills!K9/10)+Skills!N9</f>
        <v/>
      </c>
      <c r="G1951">
        <f>Calc!G9</f>
        <v/>
      </c>
      <c r="H1951">
        <f>Calc!H9</f>
        <v/>
      </c>
      <c r="I1951">
        <f>IF(Skills!T9&lt;&gt;"",1+(Skills!T9/10)*(Z1945/1000)/100,1)</f>
        <v/>
      </c>
      <c r="J1951">
        <f>((Inputs!$B$6*(1+Inputs!$B$7/100))+(((Inputs!$B$12*(1+Inputs!$B$13/100))-(Inputs!$B$12*(1+Inputs!$B$13/100)))+0.25*(Inputs!$B$14-Inputs!$B$14))*(1+Inputs!$B$7/100))*(F1951/100)</f>
        <v/>
      </c>
      <c r="K1951">
        <f>J1951*(1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F1960-Calc!F18),(Inputs!$B$23+(IF(ArtifactsInput!$M$15,CHOOSE(ArtifactsInput!$N$15+1,25,30,35,40,45,50)/100*(Inputs!$B$11-Inputs!$B$11),0))))/100+(Inputs!$B$23+(IF(ArtifactsInput!$M$15,CHOOSE(ArtifactsInput!$N$15+1,25,30,35,40,45,50)/100*(Inputs!$B$11-Inputs!$B$11),0)))/100)/2</f>
        <v/>
      </c>
      <c r="M1951">
        <f>L1951*(1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(1-Summary!$B$11)*S1951+Summary!$B$11*U1951</f>
        <v/>
      </c>
      <c r="P1951">
        <f>IF(B1978=0,0,O1951/B1978)</f>
        <v/>
      </c>
      <c r="Q1951">
        <f>IFERROR(1/IF(Inputs!$B$38="pvp",15,MAX(0.1,Skills!D9-IF(Skills!E9=TRUE,Inputs!$B$32,0))),0)</f>
        <v/>
      </c>
      <c r="R1951">
        <f>IF(AND(Inputs!$B$38&lt;&gt;"pvp",Inputs!$B$43&gt;0),IF(MAX(0,Inputs!$B$43-B1975)&lt;=0,0,(INT(MAX(0,Inputs!$B$43-B1975)/IF(Inputs!$B$38="pvp",15,MAX(0.1,Skills!D9-IF(Skills!E9=TRUE,Inputs!$B$32,0))))+1)),0)</f>
        <v/>
      </c>
      <c r="S1951">
        <f>IF(C1951,(H1951*N1951*IF(AND(Inputs!$B$38&lt;&gt;"pvp",Inputs!$B$43&gt;0),((Skills!F9*((R1951-1)*IF(Skills!G9&gt;0,Skills!H9/Skills!G9,1)+IF(Skills!G9&gt;0,MIN(Skills!H9,MAX(0,MAX(0,Inputs!$B$43-B1975)-((R1951-1)*IF(Inputs!$B$38="pvp",15,MAX(0.1,Skills!D9-IF(Skills!E9=TRUE,Inputs!$B$32,0))))))/Skills!G9,1)))/Inputs!$B$43),G1951*Q1951))*IF(Inputs!$B$38="pvp",1,1+(Inputs!$B$20+Skills!O9+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1">
        <f>IF(C1951,(H1951*N1951*IF(AND(Inputs!$B$38&lt;&gt;"pvp",Inputs!$B$43&gt;0),((Skills!F9*((R1951-1)*IF(Skills!G9&gt;0,Skills!H9/Skills!G9,1)+IF(Skills!G9&gt;0,MIN(Skills!H9,MAX(0,MAX(0,Inputs!$B$43-B1975)-((R1951-1)*IF(Inputs!$B$38="pvp",15,MAX(0.1,Skills!D9-IF(Skills!E9=TRUE,Inputs!$B$32,0))))))/Skills!G9,1)))/Inputs!$B$43),G1951*Q1951))*IF(Inputs!$B$38="pvp",1,(1+(Inputs!$B$21+Skills!P9+B1969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Skills!A10</f>
        <v/>
      </c>
      <c r="B1952">
        <f>Skills!B10</f>
        <v/>
      </c>
      <c r="C1952">
        <f>Inputs!$B$3&gt;=113</f>
        <v/>
      </c>
      <c r="D1952">
        <f>IF(Skills!C10=1,60+Inputs!$B$25+Inputs!$B$29,IF(Skills!C10=2,90+Inputs!$B$26+Inputs!$B$29,IF(Skills!C10=3,120+Inputs!$B$27+Inputs!$B$29,MAX(0,(Inputs!$B$3-100)*3)+Inputs!$B$28+Inputs!$B$29)))</f>
        <v/>
      </c>
      <c r="E1952">
        <f>INDEX(FactorTable!$B$2:$Y$301, MATCH(ROUND(MIN(300,MAX(1,D1952)),0), FactorTable!$A$2:$A$301,0), Skills!L10+1)</f>
        <v/>
      </c>
      <c r="F1952">
        <f>IF(Skills!M10=TRUE,(Skills!K10/10)*(E1952/1000),Skills!K10/10)+Skills!N10</f>
        <v/>
      </c>
      <c r="G1952">
        <f>Calc!G10</f>
        <v/>
      </c>
      <c r="H1952">
        <f>Calc!H10</f>
        <v/>
      </c>
      <c r="I1952">
        <f>IF(Skills!T10&lt;&gt;"",1+(Skills!T10/10)*(Z1945/1000)/100,1)</f>
        <v/>
      </c>
      <c r="J1952">
        <f>((Inputs!$B$6*(1+Inputs!$B$7/100))+(((Inputs!$B$12*(1+Inputs!$B$13/100))-(Inputs!$B$12*(1+Inputs!$B$13/100)))+0.25*(Inputs!$B$14-Inputs!$B$14))*(1+Inputs!$B$7/100))*(F1952/100)</f>
        <v/>
      </c>
      <c r="K1952">
        <f>J1952*(1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F1960-Calc!F18),(Inputs!$B$23+(IF(ArtifactsInput!$M$15,CHOOSE(ArtifactsInput!$N$15+1,25,30,35,40,45,50)/100*(Inputs!$B$11-Inputs!$B$11),0))))/100+(Inputs!$B$23+(IF(ArtifactsInput!$M$15,CHOOSE(ArtifactsInput!$N$15+1,25,30,35,40,45,50)/100*(Inputs!$B$11-Inputs!$B$11),0)))/100)/2</f>
        <v/>
      </c>
      <c r="M1952">
        <f>L1952*(1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(1-Summary!$B$11)*S1952+Summary!$B$11*U1952</f>
        <v/>
      </c>
      <c r="P1952">
        <f>IF(B1978=0,0,O1952/B1978)</f>
        <v/>
      </c>
      <c r="Q1952">
        <f>IFERROR(1/IF(Inputs!$B$38="pvp",15,MAX(0.1,Skills!D10-IF(Skills!E9=TRUE,Inputs!$B$32,0))),0)</f>
        <v/>
      </c>
      <c r="R1952">
        <f>IF(AND(Inputs!$B$38&lt;&gt;"pvp",Inputs!$B$43&gt;0),IF(MAX(0,Inputs!$B$43-B1975)&lt;=0,0,(INT(MAX(0,Inputs!$B$43-B1975)/IF(Inputs!$B$38="pvp",15,MAX(0.1,Skills!D10-IF(Skills!E9=TRUE,Inputs!$B$32,0))))+1)),0)</f>
        <v/>
      </c>
      <c r="S1952">
        <f>IF(C1952,(H1952*N1952*IF(AND(Inputs!$B$38&lt;&gt;"pvp",Inputs!$B$43&gt;0),((Skills!F10*((R1952-1)*IF(Skills!G10&gt;0,Skills!H10/Skills!G10,1)+IF(Skills!G10&gt;0,MIN(Skills!H10,MAX(0,MAX(0,Inputs!$B$43-B1975)-((R1952-1)*IF(Inputs!$B$38="pvp",15,MAX(0.1,Skills!D10-IF(Skills!E9=TRUE,Inputs!$B$32,0))))))/Skills!G10,1)))/Inputs!$B$43),G1952*Q1952))*IF(Inputs!$B$38="pvp",1,1+(Inputs!$B$20+Skills!O10+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1952*(1-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2">
        <f>IF(C1952,(H1952*N1952*IF(AND(Inputs!$B$38&lt;&gt;"pvp",Inputs!$B$43&gt;0),((Skills!F10*((R1952-1)*IF(Skills!G10&gt;0,Skills!H10/Skills!G10,1)+IF(Skills!G10&gt;0,MIN(Skills!H10,MAX(0,MAX(0,Inputs!$B$43-B1975)-((R1952-1)*IF(Inputs!$B$38="pvp",15,MAX(0.1,Skills!D10-IF(Skills!E9=TRUE,Inputs!$B$32,0))))))/Skills!G10,1)))/Inputs!$B$43),G1952*Q1952))*IF(Inputs!$B$38="pvp",1,(1+(Inputs!$B$21+Skills!P10+B1969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Skills!A11</f>
        <v/>
      </c>
      <c r="B1953">
        <f>Skills!B11</f>
        <v/>
      </c>
      <c r="C1953">
        <f>Inputs!$B$3&gt;=107</f>
        <v/>
      </c>
      <c r="D1953">
        <f>IF(Skills!C11=1,60+Inputs!$B$25+Inputs!$B$29,IF(Skills!C11=2,90+Inputs!$B$26+Inputs!$B$29,IF(Skills!C11=3,120+Inputs!$B$27+Inputs!$B$29,MAX(0,(Inputs!$B$3-100)*3)+Inputs!$B$28+Inputs!$B$29)))</f>
        <v/>
      </c>
      <c r="E1953">
        <f>INDEX(FactorTable!$B$2:$Y$301, MATCH(ROUND(MIN(300,MAX(1,D1953)),0), FactorTable!$A$2:$A$301,0), Skills!L11+1)</f>
        <v/>
      </c>
      <c r="F1953">
        <f>IF(Skills!M11=TRUE,(Skills!K11/10)*(E1953/1000),Skills!K11/10)+Skills!N11</f>
        <v/>
      </c>
      <c r="G1953">
        <f>Calc!G11</f>
        <v/>
      </c>
      <c r="H1953">
        <f>Calc!H11</f>
        <v/>
      </c>
      <c r="I1953">
        <f>IF(Skills!T11&lt;&gt;"",1+(Skills!T11/10)*(Z1945/1000)/100,1)</f>
        <v/>
      </c>
      <c r="J1953">
        <f>((Inputs!$B$6*(1+Inputs!$B$7/100))+(((Inputs!$B$12*(1+Inputs!$B$13/100))-(Inputs!$B$12*(1+Inputs!$B$13/100)))+0.25*(Inputs!$B$14-Inputs!$B$14))*(1+Inputs!$B$7/100))*(F1953/100)</f>
        <v/>
      </c>
      <c r="K1953">
        <f>J1953*(1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F1960-Calc!F18),(Inputs!$B$23+(IF(ArtifactsInput!$M$15,CHOOSE(ArtifactsInput!$N$15+1,25,30,35,40,45,50)/100*(Inputs!$B$11-Inputs!$B$11),0))))/100+(Inputs!$B$23+(IF(ArtifactsInput!$M$15,CHOOSE(ArtifactsInput!$N$15+1,25,30,35,40,45,50)/100*(Inputs!$B$11-Inputs!$B$11),0)))/100)/2</f>
        <v/>
      </c>
      <c r="M1953">
        <f>L1953*(1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(1-Summary!$B$11)*S1953+Summary!$B$11*U1953</f>
        <v/>
      </c>
      <c r="P1953">
        <f>IF(B1978=0,0,O1953/B1978)</f>
        <v/>
      </c>
      <c r="Q1953">
        <f>IFERROR(1/IF(Inputs!$B$38="pvp",15,MAX(0.1,Skills!D11-IF(Skills!E11=TRUE,Inputs!$B$32,0))),0)</f>
        <v/>
      </c>
      <c r="R1953">
        <f>IF(AND(Inputs!$B$38&lt;&gt;"pvp",Inputs!$B$43&gt;0),IF(MAX(0,Inputs!$B$43-B1975)&lt;=0,0,(INT(MAX(0,Inputs!$B$43-B1975)/IF(Inputs!$B$38="pvp",15,MAX(0.1,Skills!D11-IF(Skills!E11=TRUE,Inputs!$B$32,0))))+1)),0)</f>
        <v/>
      </c>
      <c r="S1953">
        <f>IF(C1953,H1953*N1953*IF(AND(Inputs!$B$38&lt;&gt;"pvp",Inputs!$B$43&gt;0),((Skills!F11*((R1953-1)*IF(Skills!G11&gt;0,Skills!H11/Skills!G11,1)+IF(Skills!G11&gt;0,MIN(Skills!H11,MAX(0,MAX(0,Inputs!$B$43-B1975)-((R1953-1)*IF(Inputs!$B$38="pvp",15,MAX(0.1,Skills!D11-IF(Skills!E11=TRUE,Inputs!$B$32,0))))))/Skills!G11,1)))/Inputs!$B$43),G1953*Q1953)*0.5*IF(Inputs!$B$38="pvp",1,1+(Inputs!$B$20+Skills!O11+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1953*(1-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IF(C1953,H1953*N1953*IF(AND(Inputs!$B$38&lt;&gt;"pvp",Inputs!$B$43&gt;0),((Skills!F11*((R1953-1)*IF(Skills!G11&gt;0,Skills!H11/Skills!G11,1)+IF(Skills!G11&gt;0,MIN(Skills!H11,MAX(0,MAX(0,Inputs!$B$43-B1975)-((R1953-1)*IF(Inputs!$B$38="pvp",15,MAX(0.1,Skills!D11-IF(Skills!E11=TRUE,Inputs!$B$32,0))))))/Skills!G11,1)))/Inputs!$B$43),G1953*Q1953)*1*IF(Inputs!$B$38="pvp",1,(1+(Inputs!$B$21+Skills!P11+B1969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Skills!A12</f>
        <v/>
      </c>
      <c r="B1954">
        <f>Skills!B12</f>
        <v/>
      </c>
      <c r="C1954">
        <f>Inputs!$B$3&gt;=115</f>
        <v/>
      </c>
      <c r="D1954">
        <f>IF(Skills!C12=1,60+Inputs!$B$25+Inputs!$B$29,IF(Skills!C12=2,90+Inputs!$B$26+Inputs!$B$29,IF(Skills!C12=3,120+Inputs!$B$27+Inputs!$B$29,MAX(0,(Inputs!$B$3-100)*3)+Inputs!$B$28+Inputs!$B$29)))</f>
        <v/>
      </c>
      <c r="E1954">
        <f>INDEX(FactorTable!$B$2:$Y$301, MATCH(ROUND(MIN(300,MAX(1,D1954)),0), FactorTable!$A$2:$A$301,0), Skills!L12+1)</f>
        <v/>
      </c>
      <c r="F1954">
        <f>IF(Skills!M12=TRUE,(Skills!K12/10)*(E1954/1000),Skills!K12/10)+Skills!N12</f>
        <v/>
      </c>
      <c r="G1954">
        <f>Calc!G12</f>
        <v/>
      </c>
      <c r="H1954">
        <f>Calc!H12</f>
        <v/>
      </c>
      <c r="I1954">
        <f>IF(Skills!T12&lt;&gt;"",1+(Skills!T12/10)*(Z1945/1000)/100,1)</f>
        <v/>
      </c>
      <c r="J1954">
        <f>((Inputs!$B$6*(1+Inputs!$B$7/100))+(((Inputs!$B$12*(1+Inputs!$B$13/100))-(Inputs!$B$12*(1+Inputs!$B$13/100)))+0.25*(Inputs!$B$14-Inputs!$B$14))*(1+Inputs!$B$7/100))*(F1954/100)</f>
        <v/>
      </c>
      <c r="K1954">
        <f>J1954*(1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F1960-Calc!F18),(Inputs!$B$23+(IF(ArtifactsInput!$M$15,CHOOSE(ArtifactsInput!$N$15+1,25,30,35,40,45,50)/100*(Inputs!$B$11-Inputs!$B$11),0))))/100+(Inputs!$B$23+(IF(ArtifactsInput!$M$15,CHOOSE(ArtifactsInput!$N$15+1,25,30,35,40,45,50)/100*(Inputs!$B$11-Inputs!$B$11),0)))/100)/2</f>
        <v/>
      </c>
      <c r="M1954">
        <f>L1954*(1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(1-Summary!$B$11)*S1954+Summary!$B$11*U1954</f>
        <v/>
      </c>
      <c r="P1954">
        <f>IF(B1978=0,0,O1954/B1978)</f>
        <v/>
      </c>
      <c r="Q1954">
        <f>IFERROR(1/IF(Inputs!$B$38="pvp",15,MAX(0.1,Skills!D12-IF(Skills!E12=TRUE,Inputs!$B$32,0))),0)</f>
        <v/>
      </c>
      <c r="R1954">
        <f>IF(AND(Inputs!$B$38&lt;&gt;"pvp",Inputs!$B$43&gt;0),IF(MAX(0,Inputs!$B$43-B1975)&lt;=0,0,(INT(MAX(0,Inputs!$B$43-B1975)/IF(Inputs!$B$38="pvp",15,MAX(0.1,Skills!D12-IF(Skills!E12=TRUE,Inputs!$B$32,0))))+1)),0)</f>
        <v/>
      </c>
      <c r="S1954">
        <f>IF(C1954,(H1954*N1954*IF(AND(Inputs!$B$38&lt;&gt;"pvp",Inputs!$B$43&gt;0),((Skills!F12*((R1954-1)*IF(Skills!G12&gt;0,Skills!H12/Skills!G12,1)+IF(Skills!G12&gt;0,MIN(Skills!H12,MAX(0,MAX(0,Inputs!$B$43-B1975)-((R1954-1)*IF(Inputs!$B$38="pvp",15,MAX(0.1,Skills!D12-IF(Skills!E12=TRUE,Inputs!$B$32,0))))))/Skills!G12,1)))/Inputs!$B$43),G1954*Q1954))*IF(Inputs!$B$38="pvp",1,1+(Inputs!$B$20+Skills!O12+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4">
        <f>IF(C1954,(H1954*N1954*IF(AND(Inputs!$B$38&lt;&gt;"pvp",Inputs!$B$43&gt;0),((Skills!F12*((R1954-1)*IF(Skills!G12&gt;0,Skills!H12/Skills!G12,1)+IF(Skills!G12&gt;0,MIN(Skills!H12,MAX(0,MAX(0,Inputs!$B$43-B1975)-((R1954-1)*IF(Inputs!$B$38="pvp",15,MAX(0.1,Skills!D12-IF(Skills!E12=TRUE,Inputs!$B$32,0))))))/Skills!G12,1)))/Inputs!$B$43),G1954*Q1954))*IF(Inputs!$B$38="pvp",1,(1+(Inputs!$B$21+Skills!P12+B1969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Skills!A13</f>
        <v/>
      </c>
      <c r="B1955">
        <f>Skills!B13</f>
        <v/>
      </c>
      <c r="C1955">
        <f>Inputs!$B$3&gt;=49</f>
        <v/>
      </c>
      <c r="D1955">
        <f>IF(Skills!C13=1,60+Inputs!$B$25+Inputs!$B$29,IF(Skills!C13=2,90+Inputs!$B$26+Inputs!$B$29,IF(Skills!C13=3,120+Inputs!$B$27+Inputs!$B$29,MAX(0,(Inputs!$B$3-100)*3)+Inputs!$B$28+Inputs!$B$29)))</f>
        <v/>
      </c>
      <c r="E1955">
        <f>INDEX(FactorTable!$B$2:$Y$301, MATCH(ROUND(MIN(300,MAX(1,D1955)),0), FactorTable!$A$2:$A$301,0), Skills!L13+1)</f>
        <v/>
      </c>
      <c r="F1955">
        <f>IF(Skills!M13=TRUE,(Skills!K13/10)*(E1955/1000),Skills!K13/10)+Skills!N13</f>
        <v/>
      </c>
      <c r="G1955">
        <f>Calc!G13</f>
        <v/>
      </c>
      <c r="H1955">
        <f>Calc!H13</f>
        <v/>
      </c>
      <c r="I1955">
        <f>IF(Skills!T13&lt;&gt;"",1+(Skills!T13/10)*(Z1945/1000)/100,1)</f>
        <v/>
      </c>
      <c r="J1955" t="inlineStr"/>
      <c r="K1955" t="inlineStr"/>
      <c r="L1955" t="inlineStr"/>
      <c r="M1955" t="inlineStr"/>
      <c r="N1955" t="inlineStr"/>
      <c r="O1955">
        <f>(1-Summary!$B$11)*S1955+Summary!$B$11*U1955</f>
        <v/>
      </c>
      <c r="P1955">
        <f>IF(B1978=0,0,O1955/B1978)</f>
        <v/>
      </c>
      <c r="Q1955">
        <f>IFERROR(1/IF(Inputs!$B$38="pvp",15,MAX(0.1,Skills!D13-IF(Skills!E13=TRUE,Inputs!$B$32,0))),0)</f>
        <v/>
      </c>
      <c r="R1955" t="n">
        <v>0</v>
      </c>
      <c r="S1955" t="n">
        <v>0</v>
      </c>
      <c r="U1955" t="n">
        <v>0</v>
      </c>
    </row>
    <row r="1956">
      <c r="A1956">
        <f>Skills!A14</f>
        <v/>
      </c>
      <c r="B1956">
        <f>Skills!B14</f>
        <v/>
      </c>
      <c r="C1956">
        <f>Inputs!$B$3&gt;=72</f>
        <v/>
      </c>
      <c r="D1956">
        <f>IF(Skills!C14=1,60+Inputs!$B$25+Inputs!$B$29,IF(Skills!C14=2,90+Inputs!$B$26+Inputs!$B$29,IF(Skills!C14=3,120+Inputs!$B$27+Inputs!$B$29,MAX(0,(Inputs!$B$3-100)*3)+Inputs!$B$28+Inputs!$B$29)))</f>
        <v/>
      </c>
      <c r="E1956">
        <f>INDEX(FactorTable!$B$2:$Y$301, MATCH(ROUND(MIN(300,MAX(1,D1956)),0), FactorTable!$A$2:$A$301,0), Skills!L14+1)</f>
        <v/>
      </c>
      <c r="F1956">
        <f>IF(Skills!M14=TRUE,(Skills!K14/10)*(E1956/1000),Skills!K14/10)+Skills!N14</f>
        <v/>
      </c>
      <c r="G1956">
        <f>Calc!G14</f>
        <v/>
      </c>
      <c r="H1956">
        <f>Calc!H14</f>
        <v/>
      </c>
      <c r="I1956">
        <f>IF(Skills!T14&lt;&gt;"",1+(Skills!T14/10)*(Z1945/1000)/100,1)</f>
        <v/>
      </c>
      <c r="J1956" t="inlineStr"/>
      <c r="K1956" t="inlineStr"/>
      <c r="L1956" t="inlineStr"/>
      <c r="M1956" t="inlineStr"/>
      <c r="N1956" t="inlineStr"/>
      <c r="O1956">
        <f>(1-Summary!$B$11)*S1956+Summary!$B$11*U1956</f>
        <v/>
      </c>
      <c r="P1956">
        <f>IF(B1978=0,0,O1956/B1978)</f>
        <v/>
      </c>
      <c r="Q1956">
        <f>IFERROR(1/IF(Inputs!$B$38="pvp",15,MAX(0.1,Skills!D14-IF(Skills!E14=TRUE,Inputs!$B$32,0))),0)</f>
        <v/>
      </c>
      <c r="R1956" t="n">
        <v>0</v>
      </c>
      <c r="S1956" t="n">
        <v>0</v>
      </c>
      <c r="U1956" t="n">
        <v>0</v>
      </c>
    </row>
    <row r="1957">
      <c r="A1957">
        <f>Skills!A15</f>
        <v/>
      </c>
      <c r="B1957">
        <f>Skills!B15</f>
        <v/>
      </c>
      <c r="C1957">
        <f>Inputs!$B$3&gt;=75</f>
        <v/>
      </c>
      <c r="D1957">
        <f>IF(Skills!C15=1,60+Inputs!$B$25+Inputs!$B$29,IF(Skills!C15=2,90+Inputs!$B$26+Inputs!$B$29,IF(Skills!C15=3,120+Inputs!$B$27+Inputs!$B$29,MAX(0,(Inputs!$B$3-100)*3)+Inputs!$B$28+Inputs!$B$29)))</f>
        <v/>
      </c>
      <c r="E1957">
        <f>INDEX(FactorTable!$B$2:$Y$301, MATCH(ROUND(MIN(300,MAX(1,D1957)),0), FactorTable!$A$2:$A$301,0), Skills!L15+1)</f>
        <v/>
      </c>
      <c r="F1957">
        <f>IF(Skills!M15=TRUE,(Skills!K15/10)*(E1957/1000),Skills!K15/10)+Skills!N15</f>
        <v/>
      </c>
      <c r="G1957">
        <f>Calc!G15</f>
        <v/>
      </c>
      <c r="H1957">
        <f>Calc!H15</f>
        <v/>
      </c>
      <c r="I1957">
        <f>IF(Skills!T15&lt;&gt;"",1+(Skills!T15/10)*(Z1945/1000)/100,1)</f>
        <v/>
      </c>
      <c r="J1957" t="inlineStr"/>
      <c r="K1957" t="inlineStr"/>
      <c r="L1957" t="inlineStr"/>
      <c r="M1957" t="inlineStr"/>
      <c r="N1957" t="inlineStr"/>
      <c r="O1957">
        <f>(1-Summary!$B$11)*S1957+Summary!$B$11*U1957</f>
        <v/>
      </c>
      <c r="P1957">
        <f>IF(B1978=0,0,O1957/B1978)</f>
        <v/>
      </c>
      <c r="Q1957">
        <f>IFERROR(1/IF(Inputs!$B$38="pvp",15,MAX(0.1,Skills!D15-IF(Skills!E15=TRUE,Inputs!$B$32,0))),0)</f>
        <v/>
      </c>
      <c r="R1957" t="n">
        <v>0</v>
      </c>
      <c r="S1957" t="n">
        <v>0</v>
      </c>
      <c r="U1957" t="n">
        <v>0</v>
      </c>
    </row>
    <row r="1958">
      <c r="A1958">
        <f>Skills!A16</f>
        <v/>
      </c>
      <c r="B1958">
        <f>Skills!B16</f>
        <v/>
      </c>
      <c r="C1958">
        <f>Inputs!$B$3&gt;=110</f>
        <v/>
      </c>
      <c r="D1958">
        <f>IF(Skills!C16=1,60+Inputs!$B$25+Inputs!$B$29,IF(Skills!C16=2,90+Inputs!$B$26+Inputs!$B$29,IF(Skills!C16=3,120+Inputs!$B$27+Inputs!$B$29,MAX(0,(Inputs!$B$3-100)*3)+Inputs!$B$28+Inputs!$B$29)))</f>
        <v/>
      </c>
      <c r="E1958">
        <f>INDEX(FactorTable!$B$2:$Y$301, MATCH(ROUND(MIN(300,MAX(1,D1958)),0), FactorTable!$A$2:$A$301,0), Skills!L16+1)</f>
        <v/>
      </c>
      <c r="F1958">
        <f>(Skills!K16/10)*(E1958/1000)*64/45+Skills!N16</f>
        <v/>
      </c>
      <c r="G1958">
        <f>Calc!G16</f>
        <v/>
      </c>
      <c r="H1958">
        <f>Calc!H16</f>
        <v/>
      </c>
      <c r="I1958">
        <f>IF(Skills!T16&lt;&gt;"",1+(Skills!T16/10)*(Z1945/1000)/100,1)</f>
        <v/>
      </c>
      <c r="J1958" t="inlineStr"/>
      <c r="K1958" t="inlineStr"/>
      <c r="L1958" t="inlineStr"/>
      <c r="M1958" t="inlineStr"/>
      <c r="N1958" t="inlineStr"/>
      <c r="O1958">
        <f>(1-Summary!$B$11)*S1958+Summary!$B$11*U1958</f>
        <v/>
      </c>
      <c r="P1958">
        <f>IF(B1978=0,0,O1958/B1978)</f>
        <v/>
      </c>
      <c r="Q1958">
        <f>IFERROR(1/IF(Inputs!$B$38="pvp",15,MAX(0.1,Skills!D16-IF(Skills!E16=TRUE,Inputs!$B$32,0))),0)</f>
        <v/>
      </c>
      <c r="R1958">
        <f>IF(AND(Inputs!$B$38&lt;&gt;"pvp",Inputs!$B$43&gt;0),IF(Inputs!$B$43&lt;=0,0,(INT(Inputs!$B$43/IF(Inputs!$B$38="pvp",15,MAX(0.1,Skills!D16-IF(Skills!E16=TRUE,Inputs!$B$32,0))))+1)),0)</f>
        <v/>
      </c>
      <c r="S1958" t="n">
        <v>0</v>
      </c>
      <c r="U1958" t="n">
        <v>0</v>
      </c>
    </row>
    <row r="1959">
      <c r="A1959">
        <f>Skills!A17</f>
        <v/>
      </c>
      <c r="B1959">
        <f>Skills!B17</f>
        <v/>
      </c>
      <c r="C1959">
        <f>Inputs!$B$3&gt;=33</f>
        <v/>
      </c>
      <c r="D1959">
        <f>IF(Skills!C17=1,60+Inputs!$B$25+Inputs!$B$29,IF(Skills!C17=2,90+Inputs!$B$26+Inputs!$B$29,IF(Skills!C17=3,120+Inputs!$B$27+Inputs!$B$29,MAX(0,(Inputs!$B$3-100)*3)+Inputs!$B$28+Inputs!$B$29)))</f>
        <v/>
      </c>
      <c r="E1959">
        <f>INDEX(FactorTable!$B$2:$Y$301, MATCH(ROUND(MIN(300,MAX(1,D1959)),0), FactorTable!$A$2:$A$301,0), Skills!L17+1)</f>
        <v/>
      </c>
      <c r="F1959">
        <f>IF(Skills!M17=TRUE,(Skills!K17/10)*(E1959/1000),Skills!K17/10)+Skills!N17</f>
        <v/>
      </c>
      <c r="G1959">
        <f>Calc!G17</f>
        <v/>
      </c>
      <c r="H1959">
        <f>Calc!H17</f>
        <v/>
      </c>
      <c r="I1959">
        <f>IF(Skills!T17&lt;&gt;"",1+(Skills!T17/10)*(Z1945/1000)/100,1)</f>
        <v/>
      </c>
      <c r="J1959" t="inlineStr"/>
      <c r="K1959" t="inlineStr"/>
      <c r="L1959" t="inlineStr"/>
      <c r="M1959" t="inlineStr"/>
      <c r="N1959" t="inlineStr"/>
      <c r="O1959">
        <f>(1-Summary!$B$11)*S1959+Summary!$B$11*U1959</f>
        <v/>
      </c>
      <c r="P1959">
        <f>IF(B1978=0,0,O1959/B1978)</f>
        <v/>
      </c>
      <c r="Q1959">
        <f>IFERROR(1/IF(Inputs!$B$38="pvp",15,MAX(0.1,Skills!D17-IF(Skills!E17=TRUE,Inputs!$B$32,0))),0)</f>
        <v/>
      </c>
      <c r="R1959" t="n">
        <v>0</v>
      </c>
      <c r="S1959" t="n">
        <v>0</v>
      </c>
      <c r="U1959" t="n">
        <v>0</v>
      </c>
    </row>
    <row r="1960">
      <c r="A1960">
        <f>Skills!A18</f>
        <v/>
      </c>
      <c r="B1960">
        <f>Skills!B18</f>
        <v/>
      </c>
      <c r="C1960">
        <f>Inputs!$B$3&gt;=43</f>
        <v/>
      </c>
      <c r="D1960">
        <f>IF(Skills!C18=1,60+Inputs!$B$25+Inputs!$B$29,IF(Skills!C18=2,90+Inputs!$B$26+Inputs!$B$29,IF(Skills!C18=3,120+Inputs!$B$27+Inputs!$B$29,MAX(0,(Inputs!$B$3-100)*3)+Inputs!$B$28+Inputs!$B$29)))</f>
        <v/>
      </c>
      <c r="E1960">
        <f>INDEX(FactorTable!$B$2:$Y$301, MATCH(ROUND(MIN(300,MAX(1,D1960)),0), FactorTable!$A$2:$A$301,0), Skills!L18+1)</f>
        <v/>
      </c>
      <c r="F1960">
        <f>IF(Skills!M18=TRUE,(Skills!K18/10)*(E1960/1000),Skills!K18/10)+Skills!N18</f>
        <v/>
      </c>
      <c r="G1960">
        <f>Calc!G18</f>
        <v/>
      </c>
      <c r="H1960">
        <f>Calc!H18</f>
        <v/>
      </c>
      <c r="I1960">
        <f>IF(Skills!T18&lt;&gt;"",1+(Skills!T18/10)*(Z1945/1000)/100,1)</f>
        <v/>
      </c>
      <c r="J1960" t="inlineStr"/>
      <c r="K1960" t="inlineStr"/>
      <c r="L1960" t="inlineStr"/>
      <c r="M1960" t="inlineStr"/>
      <c r="N1960" t="inlineStr"/>
      <c r="O1960">
        <f>(1-Summary!$B$11)*S1960+Summary!$B$11*U1960</f>
        <v/>
      </c>
      <c r="P1960">
        <f>IF(B1978=0,0,O1960/B1978)</f>
        <v/>
      </c>
      <c r="Q1960">
        <f>IFERROR(1/IF(Inputs!$B$38="pvp",15,MAX(0.1,Skills!D18-IF(Skills!E18=TRUE,Inputs!$B$32,0))),0)</f>
        <v/>
      </c>
      <c r="R1960" t="n">
        <v>0</v>
      </c>
      <c r="S1960" t="n">
        <v>0</v>
      </c>
      <c r="U1960" t="n">
        <v>0</v>
      </c>
    </row>
    <row r="1961">
      <c r="A1961">
        <f>Skills!A19</f>
        <v/>
      </c>
      <c r="B1961">
        <f>Skills!B19</f>
        <v/>
      </c>
      <c r="C1961">
        <f>Inputs!$B$3&gt;=50</f>
        <v/>
      </c>
      <c r="D1961">
        <f>IF(Skills!C19=1,60+Inputs!$B$25+Inputs!$B$29,IF(Skills!C19=2,90+Inputs!$B$26+Inputs!$B$29,IF(Skills!C19=3,120+Inputs!$B$27+Inputs!$B$29,MAX(0,(Inputs!$B$3-100)*3)+Inputs!$B$28+Inputs!$B$29)))</f>
        <v/>
      </c>
      <c r="E1961">
        <f>INDEX(FactorTable!$B$2:$Y$301, MATCH(ROUND(MIN(300,MAX(1,D1961)),0), FactorTable!$A$2:$A$301,0), Skills!L19+1)</f>
        <v/>
      </c>
      <c r="F1961">
        <f>IF(Skills!M19=TRUE,(Skills!K19/10)*(E1961/1000),Skills!K19/10)+Skills!N19</f>
        <v/>
      </c>
      <c r="G1961">
        <f>Calc!G19</f>
        <v/>
      </c>
      <c r="H1961">
        <f>Calc!H19</f>
        <v/>
      </c>
      <c r="I1961">
        <f>IF(Skills!T19&lt;&gt;"",1+(Skills!T19/10)*(Z1945/1000)/100,1)</f>
        <v/>
      </c>
      <c r="J1961" t="inlineStr"/>
      <c r="K1961" t="inlineStr"/>
      <c r="L1961" t="inlineStr"/>
      <c r="M1961" t="inlineStr"/>
      <c r="N1961" t="inlineStr"/>
      <c r="O1961">
        <f>(1-Summary!$B$11)*S1961+Summary!$B$11*U1961</f>
        <v/>
      </c>
      <c r="P1961">
        <f>IF(B1978=0,0,O1961/B1978)</f>
        <v/>
      </c>
      <c r="Q1961">
        <f>IFERROR(1/IF(Inputs!$B$38="pvp",15,MAX(0.1,Skills!D19-IF(Skills!E19=TRUE,Inputs!$B$32,0))),0)</f>
        <v/>
      </c>
      <c r="R1961" t="n">
        <v>0</v>
      </c>
      <c r="S1961" t="n">
        <v>0</v>
      </c>
      <c r="U1961" t="n">
        <v>0</v>
      </c>
    </row>
    <row r="1962">
      <c r="A1962">
        <f>Skills!A20</f>
        <v/>
      </c>
      <c r="B1962">
        <f>Skills!B20</f>
        <v/>
      </c>
      <c r="C1962">
        <f>Inputs!$B$3&gt;=74</f>
        <v/>
      </c>
      <c r="D1962">
        <f>IF(Skills!C20=1,60+Inputs!$B$25+Inputs!$B$29,IF(Skills!C20=2,90+Inputs!$B$26+Inputs!$B$29,IF(Skills!C20=3,120+Inputs!$B$27+Inputs!$B$29,MAX(0,(Inputs!$B$3-100)*3)+Inputs!$B$28+Inputs!$B$29)))</f>
        <v/>
      </c>
      <c r="E1962">
        <f>INDEX(FactorTable!$B$2:$Y$301, MATCH(ROUND(MIN(300,MAX(1,D1962)),0), FactorTable!$A$2:$A$301,0), Skills!L20+1)</f>
        <v/>
      </c>
      <c r="F1962">
        <f>IF(Skills!M20=TRUE,(Skills!K20/10)*(E1962/1000),Skills!K20/10)+Skills!N20</f>
        <v/>
      </c>
      <c r="G1962">
        <f>Calc!G20</f>
        <v/>
      </c>
      <c r="H1962">
        <f>Calc!H20</f>
        <v/>
      </c>
      <c r="I1962">
        <f>IF(Skills!T20&lt;&gt;"",1+(Skills!T20/10)*(Z1945/1000)/100,1)</f>
        <v/>
      </c>
      <c r="J1962" t="inlineStr"/>
      <c r="K1962" t="inlineStr"/>
      <c r="L1962" t="inlineStr"/>
      <c r="M1962" t="inlineStr"/>
      <c r="N1962" t="inlineStr"/>
      <c r="O1962">
        <f>(1-Summary!$B$11)*S1962+Summary!$B$11*U1962</f>
        <v/>
      </c>
      <c r="P1962">
        <f>IF(B1978=0,0,O1962/B1978)</f>
        <v/>
      </c>
      <c r="Q1962">
        <f>IFERROR(1/IF(Inputs!$B$38="pvp",15,MAX(0.1,Skills!D20-IF(Skills!E20=TRUE,Inputs!$B$32,0))),0)</f>
        <v/>
      </c>
      <c r="R1962" t="n">
        <v>0</v>
      </c>
      <c r="S1962" t="n">
        <v>0</v>
      </c>
      <c r="U1962" t="n">
        <v>0</v>
      </c>
    </row>
    <row r="1963">
      <c r="A1963">
        <f>Skills!A21</f>
        <v/>
      </c>
      <c r="B1963">
        <f>Skills!B21</f>
        <v/>
      </c>
      <c r="C1963">
        <f>Inputs!$B$3&gt;=74</f>
        <v/>
      </c>
      <c r="D1963">
        <f>IF(Skills!C21=1,60+Inputs!$B$25+Inputs!$B$29,IF(Skills!C21=2,90+Inputs!$B$26+Inputs!$B$29,IF(Skills!C21=3,120+Inputs!$B$27+Inputs!$B$29,MAX(0,(Inputs!$B$3-100)*3)+Inputs!$B$28+Inputs!$B$29)))</f>
        <v/>
      </c>
      <c r="E1963">
        <f>INDEX(FactorTable!$B$2:$Y$301, MATCH(ROUND(MIN(300,MAX(1,D1963)),0), FactorTable!$A$2:$A$301,0), Skills!L21+1)</f>
        <v/>
      </c>
      <c r="F1963">
        <f>IF(Skills!M21=TRUE,(Skills!K21/10)*(E1963/1000),Skills!K21/10)+Skills!N21</f>
        <v/>
      </c>
      <c r="G1963">
        <f>Calc!G21</f>
        <v/>
      </c>
      <c r="H1963">
        <f>Calc!H21</f>
        <v/>
      </c>
      <c r="I1963">
        <f>IF(Skills!T21&lt;&gt;"",1+(Skills!T21/10)*(Z1945/1000)/100,1)</f>
        <v/>
      </c>
      <c r="J1963" t="inlineStr"/>
      <c r="K1963" t="inlineStr"/>
      <c r="L1963" t="inlineStr"/>
      <c r="M1963" t="inlineStr"/>
      <c r="N1963" t="inlineStr"/>
      <c r="O1963">
        <f>(1-Summary!$B$11)*S1963+Summary!$B$11*U1963</f>
        <v/>
      </c>
      <c r="P1963">
        <f>IF(B1978=0,0,O1963/B1978)</f>
        <v/>
      </c>
      <c r="Q1963">
        <f>IFERROR(1/IF(Inputs!$B$38="pvp",15,MAX(0.1,Skills!D21-IF(Skills!E21=TRUE,Inputs!$B$32,0))),0)</f>
        <v/>
      </c>
      <c r="R1963" t="n">
        <v>0</v>
      </c>
      <c r="S1963" t="n">
        <v>0</v>
      </c>
      <c r="U1963" t="n">
        <v>0</v>
      </c>
    </row>
    <row r="1964">
      <c r="A1964">
        <f>Skills!A22</f>
        <v/>
      </c>
      <c r="B1964">
        <f>Skills!B22</f>
        <v/>
      </c>
      <c r="C1964">
        <f>Inputs!$B$3&gt;=117</f>
        <v/>
      </c>
      <c r="D1964">
        <f>IF(Skills!C22=1,60+Inputs!$B$25+Inputs!$B$29,IF(Skills!C22=2,90+Inputs!$B$26+Inputs!$B$29,IF(Skills!C22=3,120+Inputs!$B$27+Inputs!$B$29,MAX(0,(Inputs!$B$3-100)*3)+Inputs!$B$28+Inputs!$B$29)))</f>
        <v/>
      </c>
      <c r="E1964">
        <f>INDEX(FactorTable!$B$2:$Y$301, MATCH(ROUND(MIN(300,MAX(1,D1964)),0), FactorTable!$A$2:$A$301,0), Skills!L22+1)</f>
        <v/>
      </c>
      <c r="F1964">
        <f>IF(Skills!M22=TRUE,(Skills!K22/10)*(E1964/1000),Skills!K22/10)+Skills!N22</f>
        <v/>
      </c>
      <c r="G1964">
        <f>Calc!G22</f>
        <v/>
      </c>
      <c r="H1964">
        <f>Calc!H22</f>
        <v/>
      </c>
      <c r="I1964">
        <f>IF(Skills!T22&lt;&gt;"",1+(Skills!T22/10)*(Z1945/1000)/100,1)</f>
        <v/>
      </c>
      <c r="J1964" t="inlineStr"/>
      <c r="K1964" t="inlineStr"/>
      <c r="L1964" t="inlineStr"/>
      <c r="M1964" t="inlineStr"/>
      <c r="N1964" t="inlineStr"/>
      <c r="O1964">
        <f>(1-Summary!$B$11)*S1964+Summary!$B$11*U1964</f>
        <v/>
      </c>
      <c r="P1964">
        <f>IF(B1978=0,0,O1964/B1978)</f>
        <v/>
      </c>
      <c r="Q1964">
        <f>IFERROR(1/IF(Inputs!$B$38="pvp",15,MAX(0.1,Skills!D22-IF(Skills!E22=TRUE,Inputs!$B$32,0))),0)</f>
        <v/>
      </c>
      <c r="R1964" t="n">
        <v>0</v>
      </c>
      <c r="S1964" t="n">
        <v>0</v>
      </c>
      <c r="U1964" t="n">
        <v>0</v>
      </c>
    </row>
    <row r="1965">
      <c r="A1965">
        <f>Skills!A23</f>
        <v/>
      </c>
      <c r="B1965">
        <f>Skills!B23</f>
        <v/>
      </c>
      <c r="C1965">
        <f>Inputs!$B$3&gt;=120</f>
        <v/>
      </c>
      <c r="D1965">
        <f>IF(Skills!C23=1,60+Inputs!$B$25+Inputs!$B$29,IF(Skills!C23=2,90+Inputs!$B$26+Inputs!$B$29,IF(Skills!C23=3,120+Inputs!$B$27+Inputs!$B$29,MAX(0,(Inputs!$B$3-100)*3)+Inputs!$B$28+Inputs!$B$29)))</f>
        <v/>
      </c>
      <c r="E1965">
        <f>INDEX(FactorTable!$B$2:$Y$301, MATCH(ROUND(MIN(300,MAX(1,D1965)),0), FactorTable!$A$2:$A$301,0), Skills!L23+1)</f>
        <v/>
      </c>
      <c r="F1965">
        <f>IF(Skills!M23=TRUE,(Skills!K23/10)*(E1965/1000),Skills!K23/10)+Skills!N23</f>
        <v/>
      </c>
      <c r="G1965">
        <f>Calc!G23</f>
        <v/>
      </c>
      <c r="H1965">
        <f>Calc!H23</f>
        <v/>
      </c>
      <c r="I1965">
        <f>IF(Skills!T23&lt;&gt;"",1+(Skills!T23/10)*(Z1945/1000)/100,1)</f>
        <v/>
      </c>
      <c r="J1965" t="inlineStr"/>
      <c r="K1965" t="inlineStr"/>
      <c r="L1965" t="inlineStr"/>
      <c r="M1965" t="inlineStr"/>
      <c r="N1965" t="inlineStr"/>
      <c r="O1965">
        <f>(1-Summary!$B$11)*S1965+Summary!$B$11*U1965</f>
        <v/>
      </c>
      <c r="P1965">
        <f>IF(B1978=0,0,O1965/B1978)</f>
        <v/>
      </c>
      <c r="Q1965">
        <f>IFERROR(1/IF(Inputs!$B$38="pvp",15,MAX(0.1,Skills!D23-IF(Skills!E23=TRUE,Inputs!$B$32,0))),0)</f>
        <v/>
      </c>
      <c r="R1965" t="n">
        <v>0</v>
      </c>
      <c r="S1965" t="n">
        <v>0</v>
      </c>
      <c r="U1965" t="n">
        <v>0</v>
      </c>
    </row>
    <row r="1968">
      <c r="A1968" t="inlineStr">
        <is>
          <t>Average Buff Multiplier (Magic Guard + Meditation + Artifact Attack%, summed; then Infinity)</t>
        </is>
      </c>
      <c r="B1968">
        <f>(1+(IF(C1945=TRUE,F1945*IF(AND(Inputs!$B$38&lt;&gt;"pvp",Inputs!$B$43&gt;0),(((R1945-1)*(Skills!S3*(1+(Inputs!$B$34+IF(Inputs!$B$3&gt;=117,F1964,0))/100))+MIN((Skills!S3*(1+(Inputs!$B$34+IF(Inputs!$B$3&gt;=117,F1964,0))/100)),MAX(0,Inputs!$B$43-((R1945-1)*Skills!D3))))/Inputs!$B$43),IF(Inputs!$B$38="pvp",MIN((Skills!S3*(1+(Inputs!$B$34+IF(Inputs!$B$3&gt;=117,F1964,0))/100)),15)/15,(Skills!S3*(1+(Inputs!$B$34+IF(Inputs!$B$3&gt;=117,F1964,0))/100))/Skills!D3)),0)+IF(C1946=TRUE,F1946*IF(AND(Inputs!$B$38&lt;&gt;"pvp",Inputs!$B$43&gt;0),(((R1946-1)*(Skills!S4*(1+(Inputs!$B$34+IF(Inputs!$B$3&gt;=117,F1964,0))/100))+MIN((Skills!S4*(1+(Inputs!$B$34+IF(Inputs!$B$3&gt;=117,F1964,0))/100)),MAX(0,Inputs!$B$43-((R1946-1)*Skills!D4))))/Inputs!$B$43),IF(Inputs!$B$38="pvp",MIN((Skills!S4*(1+(Inputs!$B$34+IF(Inputs!$B$3&gt;=117,F1964,0))/100)),15)/15,(Skills!S4*(1+(Inputs!$B$34+IF(Inputs!$B$3&gt;=117,F1964,0)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1958=TRUE,(1+F1958*IF(AND(Inputs!$B$38&lt;&gt;"pvp",Inputs!$B$43&gt;0),(((R1958-1)*(Skills!S16*(1+(Inputs!$B$34+IF(Inputs!$B$3&gt;=117,F1964,0))/100))+MIN((Skills!S16*(1+(Inputs!$B$34+IF(Inputs!$B$3&gt;=117,F1964,0))/100)),MAX(0,Inputs!$B$43-((R1958-1)*Skills!D16))))/Inputs!$B$43),IF(Inputs!$B$38="pvp",MIN((Skills!S16*(1+(Inputs!$B$34+IF(Inputs!$B$3&gt;=117,F1964,0))/100)),15)/15,(Skills!S16*(1+(Inputs!$B$34+IF(Inputs!$B$3&gt;=117,F1964,0))/100))/Skills!D16))/100),1)</f>
        <v/>
      </c>
    </row>
    <row r="1969">
      <c r="A1969" t="inlineStr">
        <is>
          <t>Monster Damage Taken Bonus % (Freezing Breath - Weaken + Elemental Reset + Artifact Enemy Damage Taken, summed)</t>
        </is>
      </c>
      <c r="B1969">
        <f>IF(Inputs!$B$3&gt;=118,15*IF(Inputs!$B$38="pvp",MIN((30*(1+(Inputs!$B$34+IF(Inputs!$B$3&gt;=117,F1964,0))/100)),15)/15,(30*(1+(Inputs!$B$34+IF(Inputs!$B$3&gt;=117,F1964,0))/100))/Skills!D8),0)+IF(C1956=TRUE,F1956,0)+(IF(AND(ArtifactsInput!$M$35,Inputs!$B$4&lt;&gt;"Chapter Hunt"),CHOOSE(ArtifactsInput!$N$35+1,15,18,21,24,27,30)*(1-EXP(-(0.2*B1972)*5)),0)+IF(AND(ArtifactsInput!$M$22,Inputs!$B$4&lt;&gt;"Chapter Hunt"),CHOOSE(ArtifactsInput!$N$22+1,10,12,14,16,18,20)*((0*(((0.15*B1972*5))^0/1)+1*(((0.15*B1972*5))^1/1)+2*(((0.15*B1972*5))^2/2)+3*(((0.15*B1972*5))^3/6)+4*(((0.15*B1972*5))^4/24)+5*(((0.15*B1972*5))^5/120))/((((0.15*B1972*5))^0/1)+(((0.15*B1972*5))^1/1)+(((0.15*B1972*5))^2/2)+(((0.15*B1972*5))^3/6)+(((0.15*B1972*5))^4/24)+(((0.15*B1972*5))^5/120))),0))</f>
        <v/>
      </c>
    </row>
    <row r="1970">
      <c r="A1970" t="inlineStr">
        <is>
          <t>Damage % Bonus (Frozen Break + Frost Clutch, flat)</t>
        </is>
      </c>
      <c r="B1970">
        <f>IF(Inputs!$B$3&gt;=66,15,0)+IF(Inputs!$B$3&gt;=98,10,0)+IF(Inputs!$B$3&gt;=125,20,0)</f>
        <v/>
      </c>
    </row>
    <row r="1971">
      <c r="A1971" t="inlineStr">
        <is>
          <t>Attack Speed Bonus % (MP Eater - MP Boost, always-on once unlocked)</t>
        </is>
      </c>
      <c r="B1971">
        <f>IF(C1955=TRUE,F1955+(F1959-Calc!F17),0)</f>
        <v/>
      </c>
    </row>
    <row r="1972">
      <c r="A1972" t="inlineStr">
        <is>
          <t>Actions Per Second</t>
        </is>
      </c>
      <c r="B1972">
        <f>1+MIN(150,150*(1-(1-(Inputs!$B$11+(ArtifactsInput!$M$15-ArtifactsInput!$M$15)*CHOOSE(ArtifactsInput!$N$15+1,8,9.6,11.2,12.8,14.4,16))/150)*(1-B1971/150)))/100</f>
        <v/>
      </c>
    </row>
    <row r="1973">
      <c r="A1973" t="inlineStr">
        <is>
          <t>Skill + Buff Cast Rate</t>
        </is>
      </c>
      <c r="B1973">
        <f>IF(AND(Inputs!$B$38&lt;&gt;"pvp",Inputs!$B$43&gt;0),SUMPRODUCT((Skills!E2:E23=TRUE)*(C1944:C1965=TRUE)*R1944:R1965)/Inputs!$B$43,SUMPRODUCT((Skills!E2:E23=TRUE)*(C1944:C1965=TRUE)*Q1944:Q1965))</f>
        <v/>
      </c>
    </row>
    <row r="1974">
      <c r="A1974" t="inlineStr">
        <is>
          <t>Chain Lightning Casts Per Second</t>
        </is>
      </c>
      <c r="B1974">
        <f>MAX(0,B1972-B1973)</f>
        <v/>
      </c>
    </row>
    <row r="1975">
      <c r="A1975" t="inlineStr">
        <is>
          <t>Buff-Casting Startup Delay (s, fixed-duration only)</t>
        </is>
      </c>
      <c r="B1975">
        <f>IF(AND(Inputs!$B$38&lt;&gt;"pvp",Inputs!$B$43&gt;0),SUMPRODUCT((Skills!S2:S23&gt;0)*(Skills!E2:E23=TRUE)*(C1944:C1965=TRUE))/B1972,0)</f>
        <v/>
      </c>
    </row>
    <row r="1976">
      <c r="A1976" t="inlineStr">
        <is>
          <t>Boss-Only Total DPS (this block's swept value)</t>
        </is>
      </c>
      <c r="B1976">
        <f>SUM(S1944:S1965)</f>
        <v/>
      </c>
    </row>
    <row r="1977">
      <c r="A1977" t="inlineStr">
        <is>
          <t>Normal-Only Total DPS (this block's swept value)</t>
        </is>
      </c>
      <c r="B1977">
        <f>SUM(U1944:U1965)</f>
        <v/>
      </c>
    </row>
    <row r="1978">
      <c r="A1978" s="6" t="inlineStr">
        <is>
          <t>TOTAL DPS</t>
        </is>
      </c>
      <c r="B1978" s="6">
        <f>SUM(O1944:O1965)</f>
        <v/>
      </c>
    </row>
    <row r="1981">
      <c r="A1981" s="6" t="inlineStr">
        <is>
          <t>Stat: Icy Soul Rock (Equip)</t>
        </is>
      </c>
    </row>
    <row r="1982">
      <c r="A1982" s="5" t="inlineStr">
        <is>
          <t>Key</t>
        </is>
      </c>
      <c r="B1982" s="5" t="inlineStr">
        <is>
          <t>Name</t>
        </is>
      </c>
      <c r="C1982" s="5" t="inlineStr">
        <is>
          <t>Unlocked</t>
        </is>
      </c>
      <c r="D1982" s="5" t="inlineStr">
        <is>
          <t>InputLevel</t>
        </is>
      </c>
      <c r="E1982" s="5" t="inlineStr">
        <is>
          <t>Factor</t>
        </is>
      </c>
      <c r="F1982" s="5" t="inlineStr">
        <is>
          <t>CoefficientPercent</t>
        </is>
      </c>
      <c r="G1982" s="5" t="inlineStr">
        <is>
          <t>EffectiveHits</t>
        </is>
      </c>
      <c r="H1982" s="5" t="inlineStr">
        <is>
          <t>ProcProbability</t>
        </is>
      </c>
      <c r="I1982" s="5" t="inlineStr">
        <is>
          <t>MapleHeroMultiplier</t>
        </is>
      </c>
      <c r="J1982" s="5" t="inlineStr">
        <is>
          <t>BaseDamage</t>
        </is>
      </c>
      <c r="K1982" s="5" t="inlineStr">
        <is>
          <t>BaseHitDamage</t>
        </is>
      </c>
      <c r="L1982" s="5" t="inlineStr">
        <is>
          <t>NonCritAvg</t>
        </is>
      </c>
      <c r="M1982" s="5" t="inlineStr">
        <is>
          <t>CritAvg</t>
        </is>
      </c>
      <c r="N1982" s="5" t="inlineStr">
        <is>
          <t>ExpectedDamage(perHit)</t>
        </is>
      </c>
      <c r="O1982" s="5" t="inlineStr">
        <is>
          <t>DPS</t>
        </is>
      </c>
      <c r="P1982" s="5" t="inlineStr">
        <is>
          <t>% of Total</t>
        </is>
      </c>
      <c r="R1982" t="inlineStr">
        <is>
          <t>helpers</t>
        </is>
      </c>
    </row>
    <row r="1983">
      <c r="A1983">
        <f>Skills!A2</f>
        <v/>
      </c>
      <c r="B1983">
        <f>Skills!B2</f>
        <v/>
      </c>
      <c r="C1983">
        <f>Inputs!$B$3&gt;=100</f>
        <v/>
      </c>
      <c r="D1983" t="inlineStr"/>
      <c r="E1983" t="inlineStr"/>
      <c r="F1983">
        <f>T1985+Skills!N2</f>
        <v/>
      </c>
      <c r="G1983">
        <f>Calc!G2</f>
        <v/>
      </c>
      <c r="H1983">
        <f>Calc!H2</f>
        <v/>
      </c>
      <c r="I1983">
        <f>IF(Skills!T2&lt;&gt;"",1+(Skills!T2/10)*(Z1984/1000)/100,1)</f>
        <v/>
      </c>
      <c r="J1983">
        <f>((Inputs!$B$6*(1+Inputs!$B$7/100))+(((Inputs!$B$12*(1+Inputs!$B$13/100))-(Inputs!$B$12*(1+Inputs!$B$13/100)))+0.25*(Inputs!$B$14-Inputs!$B$14))*(1+Inputs!$B$7/100))*(F1983/100)</f>
        <v/>
      </c>
      <c r="K1983">
        <f>J1983*(1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1983)</f>
        <v/>
      </c>
      <c r="L1983">
        <f>K1983*(MIN(Inputs!$B$22+(F1999-Calc!F18),(Inputs!$B$23+(IF(ArtifactsInput!$M$15,CHOOSE(ArtifactsInput!$N$15+1,25,30,35,40,45,50)/100*(Inputs!$B$11-Inputs!$B$11),0))))/100+(Inputs!$B$23+(IF(ArtifactsInput!$M$15,CHOOSE(ArtifactsInput!$N$15+1,25,30,35,40,45,50)/100*(Inputs!$B$11-Inputs!$B$11),0)))/100)/2</f>
        <v/>
      </c>
      <c r="M1983">
        <f>L1983*(1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3">
        <f>L1983*(1-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1983*(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3">
        <f>(1-Summary!$B$11)*S1983+Summary!$B$11*U1983</f>
        <v/>
      </c>
      <c r="P1983">
        <f>IF(B2017=0,0,O1983/B2017)</f>
        <v/>
      </c>
      <c r="Q1983">
        <f>IFERROR(1/IF(Inputs!$B$38="pvp",15,MAX(0.1,Skills!D2-IF(Skills!E2=TRUE,Inputs!$B$32,0))),0)</f>
        <v/>
      </c>
      <c r="R1983" t="n">
        <v>0</v>
      </c>
      <c r="S1983">
        <f>IF(C1983,(Skills!F2*N1983*B2013)*IF(Inputs!$B$38="pvp",1,1+(Inputs!$B$20+Skills!O2+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83">
        <f>MAX(0,(Inputs!$B$3-100)*3)+Inputs!$B$28+Inputs!$B$29</f>
        <v/>
      </c>
      <c r="U1983">
        <f>IF(C1983,(Skills!F2*N1983*B2013)*IF(Inputs!$B$38="pvp",1,(1+(Inputs!$B$21+Skills!P2+B2008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83">
        <f>MAX(0,(Inputs!$B$3-100)*3)+Inputs!$B$28+Inputs!$B$29</f>
        <v/>
      </c>
    </row>
    <row r="1984">
      <c r="A1984">
        <f>Skills!A3</f>
        <v/>
      </c>
      <c r="B1984">
        <f>Skills!B3</f>
        <v/>
      </c>
      <c r="C1984">
        <f>Inputs!$B$3&gt;=15</f>
        <v/>
      </c>
      <c r="D1984">
        <f>IF(Skills!C3=1,60+Inputs!$B$25+Inputs!$B$29,IF(Skills!C3=2,90+Inputs!$B$26+Inputs!$B$29,IF(Skills!C3=3,120+Inputs!$B$27+Inputs!$B$29,MAX(0,(Inputs!$B$3-100)*3)+Inputs!$B$28+Inputs!$B$29)))</f>
        <v/>
      </c>
      <c r="E1984">
        <f>INDEX(FactorTable!$B$2:$Y$301, MATCH(ROUND(MIN(300,MAX(1,D1984)),0), FactorTable!$A$2:$A$301,0), Skills!L3+1)</f>
        <v/>
      </c>
      <c r="F1984">
        <f>IF(Skills!M3=TRUE,(Skills!K3/10)*(E1984/1000),Skills!K3/10)+Skills!N3</f>
        <v/>
      </c>
      <c r="G1984">
        <f>Calc!G3</f>
        <v/>
      </c>
      <c r="H1984">
        <f>Calc!H3</f>
        <v/>
      </c>
      <c r="I1984">
        <f>IF(Skills!T3&lt;&gt;"",1+(Skills!T3/10)*(Z1984/1000)/100,1)</f>
        <v/>
      </c>
      <c r="J1984" t="inlineStr"/>
      <c r="K1984" t="inlineStr"/>
      <c r="L1984" t="inlineStr"/>
      <c r="M1984" t="inlineStr"/>
      <c r="N1984" t="inlineStr"/>
      <c r="O1984">
        <f>(1-Summary!$B$11)*S1984+Summary!$B$11*U1984</f>
        <v/>
      </c>
      <c r="P1984">
        <f>IF(B2017=0,0,O1984/B2017)</f>
        <v/>
      </c>
      <c r="Q1984">
        <f>IFERROR(1/IF(Inputs!$B$38="pvp",15,MAX(0.1,Skills!D3-IF(Skills!E3=TRUE,Inputs!$B$32,0))),0)</f>
        <v/>
      </c>
      <c r="R1984">
        <f>IF(AND(Inputs!$B$38&lt;&gt;"pvp",Inputs!$B$43&gt;0),IF(Inputs!$B$43&lt;=0,0,(INT(Inputs!$B$43/IF(Inputs!$B$38="pvp",15,MAX(0.1,Skills!D3-IF(Skills!E3=TRUE,Inputs!$B$32,0))))+1)),0)</f>
        <v/>
      </c>
      <c r="S1984" t="n">
        <v>0</v>
      </c>
      <c r="T1984">
        <f>INDEX(FactorTable!$B$2:$Y$301, MATCH(ROUND(MIN(300,MAX(1,T1983)),0), FactorTable!$A$2:$A$301,0), 22)</f>
        <v/>
      </c>
      <c r="U1984" t="n">
        <v>0</v>
      </c>
      <c r="Z1984">
        <f>INDEX(FactorTable!$B$2:$Y$301, MATCH(ROUND(MIN(300,MAX(1,Z1983)),0), FactorTable!$A$2:$A$301,0), 24)</f>
        <v/>
      </c>
    </row>
    <row r="1985">
      <c r="A1985">
        <f>Skills!A4</f>
        <v/>
      </c>
      <c r="B1985">
        <f>Skills!B4</f>
        <v/>
      </c>
      <c r="C1985">
        <f>Inputs!$B$3&gt;=40</f>
        <v/>
      </c>
      <c r="D1985">
        <f>IF(Skills!C4=1,60+Inputs!$B$25+Inputs!$B$29,IF(Skills!C4=2,90+Inputs!$B$26+Inputs!$B$29,IF(Skills!C4=3,120+Inputs!$B$27+Inputs!$B$29,MAX(0,(Inputs!$B$3-100)*3)+Inputs!$B$28+Inputs!$B$29)))</f>
        <v/>
      </c>
      <c r="E1985">
        <f>INDEX(FactorTable!$B$2:$Y$301, MATCH(ROUND(MIN(300,MAX(1,D1985)),0), FactorTable!$A$2:$A$301,0), Skills!L4+1)</f>
        <v/>
      </c>
      <c r="F1985">
        <f>IF(Skills!M4=TRUE,(Skills!K4/10)*(E1985/1000),Skills!K4/10)+Skills!N4</f>
        <v/>
      </c>
      <c r="G1985">
        <f>Calc!G4</f>
        <v/>
      </c>
      <c r="H1985">
        <f>Calc!H4</f>
        <v/>
      </c>
      <c r="I1985">
        <f>IF(Skills!T4&lt;&gt;"",1+(Skills!T4/10)*(Z1984/1000)/100,1)</f>
        <v/>
      </c>
      <c r="J1985" t="inlineStr"/>
      <c r="K1985" t="inlineStr"/>
      <c r="L1985" t="inlineStr"/>
      <c r="M1985" t="inlineStr"/>
      <c r="N1985" t="inlineStr"/>
      <c r="O1985">
        <f>(1-Summary!$B$11)*S1985+Summary!$B$11*U1985</f>
        <v/>
      </c>
      <c r="P1985">
        <f>IF(B2017=0,0,O1985/B2017)</f>
        <v/>
      </c>
      <c r="Q1985">
        <f>IFERROR(1/IF(Inputs!$B$38="pvp",15,MAX(0.1,Skills!D4-IF(Skills!E4=TRUE,Inputs!$B$32,0))),0)</f>
        <v/>
      </c>
      <c r="R1985">
        <f>IF(AND(Inputs!$B$38&lt;&gt;"pvp",Inputs!$B$43&gt;0),IF(Inputs!$B$43&lt;=0,0,(INT(Inputs!$B$43/IF(Inputs!$B$38="pvp",15,MAX(0.1,Skills!D4-IF(Skills!E4=TRUE,Inputs!$B$32,0))))+1)),0)</f>
        <v/>
      </c>
      <c r="S1985" t="n">
        <v>0</v>
      </c>
      <c r="T1985">
        <f>290*T1984/1000</f>
        <v/>
      </c>
      <c r="U1985" t="n">
        <v>0</v>
      </c>
    </row>
    <row r="1986">
      <c r="A1986">
        <f>Skills!A5</f>
        <v/>
      </c>
      <c r="B1986">
        <f>Skills!B5</f>
        <v/>
      </c>
      <c r="C1986">
        <f>Inputs!$B$3&gt;=38</f>
        <v/>
      </c>
      <c r="D1986">
        <f>IF(Skills!C5=1,60+Inputs!$B$25+Inputs!$B$29,IF(Skills!C5=2,90+Inputs!$B$26+Inputs!$B$29,IF(Skills!C5=3,120+Inputs!$B$27+Inputs!$B$29,MAX(0,(Inputs!$B$3-100)*3)+Inputs!$B$28+Inputs!$B$29)))</f>
        <v/>
      </c>
      <c r="E1986">
        <f>INDEX(FactorTable!$B$2:$Y$301, MATCH(ROUND(MIN(300,MAX(1,D1986)),0), FactorTable!$A$2:$A$301,0), Skills!L5+1)</f>
        <v/>
      </c>
      <c r="F1986">
        <f>IF(Skills!M5=TRUE,(Skills!K5/10)*(E1986/1000),Skills!K5/10)+Skills!N5</f>
        <v/>
      </c>
      <c r="G1986">
        <f>Calc!G5</f>
        <v/>
      </c>
      <c r="H1986">
        <f>Calc!H5</f>
        <v/>
      </c>
      <c r="I1986">
        <f>IF(Skills!T5&lt;&gt;"",1+(Skills!T5/10)*(Z1984/1000)/100,1)</f>
        <v/>
      </c>
      <c r="J1986">
        <f>((Inputs!$B$6*(1+Inputs!$B$7/100))+(((Inputs!$B$12*(1+Inputs!$B$13/100))-(Inputs!$B$12*(1+Inputs!$B$13/100)))+0.25*(Inputs!$B$14-Inputs!$B$14))*(1+Inputs!$B$7/100))*(F1986/100)</f>
        <v/>
      </c>
      <c r="K1986">
        <f>J1986*(1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1999-Calc!F18),(Inputs!$B$23+(IF(ArtifactsInput!$M$15,CHOOSE(ArtifactsInput!$N$15+1,25,30,35,40,45,50)/100*(Inputs!$B$11-Inputs!$B$11),0))))/100+(Inputs!$B$23+(IF(ArtifactsInput!$M$15,CHOOSE(ArtifactsInput!$N$15+1,25,30,35,40,45,50)/100*(Inputs!$B$11-Inputs!$B$11),0)))/100)/2</f>
        <v/>
      </c>
      <c r="M1986">
        <f>L1986*(1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6">
        <f>L1986*(1-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IF(B2017=0,0,O1986/B2017)</f>
        <v/>
      </c>
      <c r="Q1986">
        <f>IFERROR(1/IF(Inputs!$B$38="pvp",15,MAX(0.1,Skills!D5-IF(Skills!E5=TRUE,Inputs!$B$32,0))),0)</f>
        <v/>
      </c>
      <c r="R1986">
        <f>IF(AND(Inputs!$B$38&lt;&gt;"pvp",Inputs!$B$43&gt;0),IF(MAX(0,Inputs!$B$43-B2014)&lt;=0,0,(INT(MAX(0,Inputs!$B$43-B2014)/IF(Inputs!$B$38="pvp",15,MAX(0.1,Skills!D5-IF(Skills!E5=TRUE,Inputs!$B$32,0))))+1)),0)</f>
        <v/>
      </c>
      <c r="S1986">
        <f>IF(C1986,(H1986*N1986*IF(AND(Inputs!$B$38&lt;&gt;"pvp",Inputs!$B$43&gt;0),((Skills!F5*((R1986-1)*IF(Skills!G5&gt;0,Skills!H5/Skills!G5,1)+IF(Skills!G5&gt;0,MIN(Skills!H5,MAX(0,MAX(0,Inputs!$B$43-B2014)-((R1986-1)*IF(Inputs!$B$38="pvp",15,MAX(0.1,Skills!D5-IF(Skills!E5=TRUE,Inputs!$B$32,0))))))/Skills!G5,1)))/Inputs!$B$43),G1986*Q1986))*IF(Inputs!$B$38="pvp",1,1+(Inputs!$B$20+Skills!O5+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F5*((R1986-1)*IF(Skills!G5&gt;0,Skills!H5/Skills!G5,1)+IF(Skills!G5&gt;0,MIN(Skills!H5,MAX(0,MAX(0,Inputs!$B$43-B2014)-((R1986-1)*IF(Inputs!$B$38="pvp",15,MAX(0.1,Skills!D5-IF(Skills!E5=TRUE,Inputs!$B$32,0))))))/Skills!G5,1)))/Inputs!$B$43),G1986*Q1986))*IF(Inputs!$B$38="pvp",1,(1+(Inputs!$B$21+Skills!P5+B2008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Skills!A6</f>
        <v/>
      </c>
      <c r="B1987">
        <f>Skills!B6</f>
        <v/>
      </c>
      <c r="C1987">
        <f>Inputs!$B$3&gt;=63</f>
        <v/>
      </c>
      <c r="D1987">
        <f>IF(Skills!C6=1,60+Inputs!$B$25+Inputs!$B$29,IF(Skills!C6=2,90+Inputs!$B$26+Inputs!$B$29,IF(Skills!C6=3,120+Inputs!$B$27+Inputs!$B$29,MAX(0,(Inputs!$B$3-100)*3)+Inputs!$B$28+Inputs!$B$29)))</f>
        <v/>
      </c>
      <c r="E1987">
        <f>INDEX(FactorTable!$B$2:$Y$301, MATCH(ROUND(MIN(300,MAX(1,D1987)),0), FactorTable!$A$2:$A$301,0), Skills!L6+1)</f>
        <v/>
      </c>
      <c r="F1987">
        <f>IF(Skills!M6=TRUE,(Skills!K6/10)*(E1987/1000),Skills!K6/10)+Skills!N6</f>
        <v/>
      </c>
      <c r="G1987">
        <f>Calc!G6</f>
        <v/>
      </c>
      <c r="H1987">
        <f>Calc!H6</f>
        <v/>
      </c>
      <c r="I1987">
        <f>IF(Skills!T6&lt;&gt;"",1+(Skills!T6/10)*(Z1984/1000)/100,1)</f>
        <v/>
      </c>
      <c r="J1987">
        <f>((Inputs!$B$6*(1+Inputs!$B$7/100))+(((Inputs!$B$12*(1+Inputs!$B$13/100))-(Inputs!$B$12*(1+Inputs!$B$13/100)))+0.25*(Inputs!$B$14-Inputs!$B$14))*(1+Inputs!$B$7/100))*(F1987/100)</f>
        <v/>
      </c>
      <c r="K1987">
        <f>J1987*(1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1987)</f>
        <v/>
      </c>
      <c r="L1987">
        <f>K1987*(MIN(Inputs!$B$22+(F1999-Calc!F18),(Inputs!$B$23+(IF(ArtifactsInput!$M$15,CHOOSE(ArtifactsInput!$N$15+1,25,30,35,40,45,50)/100*(Inputs!$B$11-Inputs!$B$11),0))))/100+(Inputs!$B$23+(IF(ArtifactsInput!$M$15,CHOOSE(ArtifactsInput!$N$15+1,25,30,35,40,45,50)/100*(Inputs!$B$11-Inputs!$B$11),0)))/100)/2</f>
        <v/>
      </c>
      <c r="M1987">
        <f>L1987*(1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7">
        <f>L1987*(1-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1987*(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7">
        <f>(1-Summary!$B$11)*S1987+Summary!$B$11*U1987</f>
        <v/>
      </c>
      <c r="P1987">
        <f>IF(B2017=0,0,O1987/B2017)</f>
        <v/>
      </c>
      <c r="Q1987">
        <f>IFERROR(1/IF(Inputs!$B$38="pvp",15,MAX(0.1,Skills!D6-IF(Skills!E6=TRUE,Inputs!$B$32,0))),0)</f>
        <v/>
      </c>
      <c r="R1987">
        <f>IF(AND(Inputs!$B$38&lt;&gt;"pvp",Inputs!$B$43&gt;0),IF(MAX(0,Inputs!$B$43-B2014)&lt;=0,0,(INT(MAX(0,Inputs!$B$43-B2014)/IF(Inputs!$B$38="pvp",15,MAX(0.1,Skills!D6-IF(Skills!E6=TRUE,Inputs!$B$32,0))))+1)),0)</f>
        <v/>
      </c>
      <c r="S1987">
        <f>IF(C1987,(H1987*N1987*IF(AND(Inputs!$B$38&lt;&gt;"pvp",Inputs!$B$43&gt;0),((Skills!F6*((R1987-1)*IF(Skills!G6&gt;0,Skills!H6/Skills!G6,1)+IF(Skills!G6&gt;0,MIN(Skills!H6,MAX(0,MAX(0,Inputs!$B$43-B2014)-((R1987-1)*IF(Inputs!$B$38="pvp",15,MAX(0.1,Skills!D6-IF(Skills!E6=TRUE,Inputs!$B$32,0))))))/Skills!G6,1)))/Inputs!$B$43),G1987*Q1987))*IF(Inputs!$B$38="pvp",1,1+(Inputs!$B$20+Skills!O6+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1987*(1-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1987*(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1987*(1-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1987*(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7">
        <f>IF(C1987,(H1987*N1987*IF(AND(Inputs!$B$38&lt;&gt;"pvp",Inputs!$B$43&gt;0),((Skills!F6*((R1987-1)*IF(Skills!G6&gt;0,Skills!H6/Skills!G6,1)+IF(Skills!G6&gt;0,MIN(Skills!H6,MAX(0,MAX(0,Inputs!$B$43-B2014)-((R1987-1)*IF(Inputs!$B$38="pvp",15,MAX(0.1,Skills!D6-IF(Skills!E6=TRUE,Inputs!$B$32,0))))))/Skills!G6,1)))/Inputs!$B$43),G1987*Q1987))*IF(Inputs!$B$38="pvp",1,(1+(Inputs!$B$21+Skills!P6+B2008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8">
      <c r="A1988">
        <f>Skills!A7</f>
        <v/>
      </c>
      <c r="B1988">
        <f>Skills!B7</f>
        <v/>
      </c>
      <c r="C1988">
        <f>Inputs!$B$3&gt;=69</f>
        <v/>
      </c>
      <c r="D1988">
        <f>IF(Skills!C7=1,60+Inputs!$B$25+Inputs!$B$29,IF(Skills!C7=2,90+Inputs!$B$26+Inputs!$B$29,IF(Skills!C7=3,120+Inputs!$B$27+Inputs!$B$29,MAX(0,(Inputs!$B$3-100)*3)+Inputs!$B$28+Inputs!$B$29)))</f>
        <v/>
      </c>
      <c r="E1988">
        <f>INDEX(FactorTable!$B$2:$Y$301, MATCH(ROUND(MIN(300,MAX(1,D1988)),0), FactorTable!$A$2:$A$301,0), Skills!L7+1)</f>
        <v/>
      </c>
      <c r="F1988">
        <f>IF(Skills!M7=TRUE,(Skills!K7/10)*(E1988/1000),Skills!K7/10)+Skills!N7</f>
        <v/>
      </c>
      <c r="G1988">
        <f>Calc!G7</f>
        <v/>
      </c>
      <c r="H1988">
        <f>Calc!H7</f>
        <v/>
      </c>
      <c r="I1988">
        <f>IF(Skills!T7&lt;&gt;"",1+(Skills!T7/10)*(Z1984/1000)/100,1)</f>
        <v/>
      </c>
      <c r="J1988">
        <f>((Inputs!$B$6*(1+Inputs!$B$7/100))+(((Inputs!$B$12*(1+Inputs!$B$13/100))-(Inputs!$B$12*(1+Inputs!$B$13/100)))+0.25*(Inputs!$B$14-Inputs!$B$14))*(1+Inputs!$B$7/100))*(F1988/100)</f>
        <v/>
      </c>
      <c r="K1988">
        <f>J1988*(1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1988)</f>
        <v/>
      </c>
      <c r="L1988">
        <f>K1988*(MIN(Inputs!$B$22+(F1999-Calc!F18),(Inputs!$B$23+(IF(ArtifactsInput!$M$15,CHOOSE(ArtifactsInput!$N$15+1,25,30,35,40,45,50)/100*(Inputs!$B$11-Inputs!$B$11),0))))/100+(Inputs!$B$23+(IF(ArtifactsInput!$M$15,CHOOSE(ArtifactsInput!$N$15+1,25,30,35,40,45,50)/100*(Inputs!$B$11-Inputs!$B$11),0)))/100)/2</f>
        <v/>
      </c>
      <c r="M1988">
        <f>L1988*(1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8">
        <f>L1988*(1-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1988*(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8">
        <f>(1-Summary!$B$11)*S1988+Summary!$B$11*U1988</f>
        <v/>
      </c>
      <c r="P1988">
        <f>IF(B2017=0,0,O1988/B2017)</f>
        <v/>
      </c>
      <c r="Q1988">
        <f>IFERROR(1/IF(Inputs!$B$38="pvp",15,MAX(0.1,Skills!D7-IF(Skills!E7=TRUE,Inputs!$B$32,0))),0)</f>
        <v/>
      </c>
      <c r="R1988">
        <f>IF(AND(Inputs!$B$38&lt;&gt;"pvp",Inputs!$B$43&gt;0),IF(MAX(0,Inputs!$B$43-B2014)&lt;=0,0,(INT(MAX(0,Inputs!$B$43-B2014)/IF(Inputs!$B$38="pvp",15,MAX(0.1,Skills!D7-IF(Skills!E7=TRUE,Inputs!$B$32,0))))+1)),0)</f>
        <v/>
      </c>
      <c r="S1988">
        <f>IF(C1988,(H1988*N1988*IF(AND(Inputs!$B$38&lt;&gt;"pvp",Inputs!$B$43&gt;0),((Skills!F7*((R1988-1)*IF(Skills!G7&gt;0,Skills!H7/Skills!G7,1)+IF(Skills!G7&gt;0,MIN(Skills!H7,MAX(0,MAX(0,Inputs!$B$43-B2014)-((R1988-1)*IF(Inputs!$B$38="pvp",15,MAX(0.1,Skills!D7-IF(Skills!E7=TRUE,Inputs!$B$32,0))))))/Skills!G7,1)))/Inputs!$B$43),G1988*Q1988))*IF(Inputs!$B$38="pvp",1,1+(Inputs!$B$20+Skills!O7+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1988*(1-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1988*(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1988*(1-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1988*(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8">
        <f>IF(C1988,(H1988*N1988*IF(AND(Inputs!$B$38&lt;&gt;"pvp",Inputs!$B$43&gt;0),((Skills!F7*((R1988-1)*IF(Skills!G7&gt;0,Skills!H7/Skills!G7,1)+IF(Skills!G7&gt;0,MIN(Skills!H7,MAX(0,MAX(0,Inputs!$B$43-B2014)-((R1988-1)*IF(Inputs!$B$38="pvp",15,MAX(0.1,Skills!D7-IF(Skills!E7=TRUE,Inputs!$B$32,0))))))/Skills!G7,1)))/Inputs!$B$43),G1988*Q1988))*IF(Inputs!$B$38="pvp",1,(1+(Inputs!$B$21+Skills!P7+B2008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9">
      <c r="A1989">
        <f>Skills!A8</f>
        <v/>
      </c>
      <c r="B1989">
        <f>Skills!B8</f>
        <v/>
      </c>
      <c r="C1989">
        <f>Inputs!$B$3&gt;=103</f>
        <v/>
      </c>
      <c r="D1989">
        <f>IF(Skills!C8=1,60+Inputs!$B$25+Inputs!$B$29,IF(Skills!C8=2,90+Inputs!$B$26+Inputs!$B$29,IF(Skills!C8=3,120+Inputs!$B$27+Inputs!$B$29,MAX(0,(Inputs!$B$3-100)*3)+Inputs!$B$28+Inputs!$B$29)))</f>
        <v/>
      </c>
      <c r="E1989">
        <f>INDEX(FactorTable!$B$2:$Y$301, MATCH(ROUND(MIN(300,MAX(1,D1989)),0), FactorTable!$A$2:$A$301,0), Skills!L8+1)</f>
        <v/>
      </c>
      <c r="F1989">
        <f>IF(Skills!M8=TRUE,(Skills!K8/10)*(E1989/1000),Skills!K8/10)+Skills!N8</f>
        <v/>
      </c>
      <c r="G1989">
        <f>Calc!G8</f>
        <v/>
      </c>
      <c r="H1989">
        <f>Calc!H8</f>
        <v/>
      </c>
      <c r="I1989">
        <f>IF(Skills!T8&lt;&gt;"",1+(Skills!T8/10)*(Z1984/1000)/100,1)</f>
        <v/>
      </c>
      <c r="J1989">
        <f>((Inputs!$B$6*(1+Inputs!$B$7/100))+(((Inputs!$B$12*(1+Inputs!$B$13/100))-(Inputs!$B$12*(1+Inputs!$B$13/100)))+0.25*(Inputs!$B$14-Inputs!$B$14))*(1+Inputs!$B$7/100))*(F1989/100)</f>
        <v/>
      </c>
      <c r="K1989">
        <f>J1989*(1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1989)</f>
        <v/>
      </c>
      <c r="L1989">
        <f>K1989*(MIN(Inputs!$B$22+(F1999-Calc!F18),(Inputs!$B$23+(IF(ArtifactsInput!$M$15,CHOOSE(ArtifactsInput!$N$15+1,25,30,35,40,45,50)/100*(Inputs!$B$11-Inputs!$B$11),0))))/100+(Inputs!$B$23+(IF(ArtifactsInput!$M$15,CHOOSE(ArtifactsInput!$N$15+1,25,30,35,40,45,50)/100*(Inputs!$B$11-Inputs!$B$11),0)))/100)/2</f>
        <v/>
      </c>
      <c r="M1989">
        <f>L1989*(1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9">
        <f>L1989*(1-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1989*(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9">
        <f>(1-Summary!$B$11)*S1989+Summary!$B$11*U1989</f>
        <v/>
      </c>
      <c r="P1989">
        <f>IF(B2017=0,0,O1989/B2017)</f>
        <v/>
      </c>
      <c r="Q1989">
        <f>IFERROR(1/IF(Inputs!$B$38="pvp",15,MAX(0.1,Skills!D8-IF(Skills!E8=TRUE,Inputs!$B$32,0))),0)</f>
        <v/>
      </c>
      <c r="R1989">
        <f>IF(AND(Inputs!$B$38&lt;&gt;"pvp",Inputs!$B$43&gt;0),IF(MAX(0,Inputs!$B$43-B2014)&lt;=0,0,(INT(MAX(0,Inputs!$B$43-B2014)/IF(Inputs!$B$38="pvp",15,MAX(0.1,Skills!D8-IF(Skills!E8=TRUE,Inputs!$B$32,0))))+1)),0)</f>
        <v/>
      </c>
      <c r="S1989">
        <f>IF(C1989,(H1989*N1989*IF(AND(Inputs!$B$38&lt;&gt;"pvp",Inputs!$B$43&gt;0),((Skills!F8*((R1989-1)*IF(Skills!G8&gt;0,Skills!H8/Skills!G8,1)+IF(Skills!G8&gt;0,MIN(Skills!H8,MAX(0,MAX(0,Inputs!$B$43-B2014)-((R1989-1)*IF(Inputs!$B$38="pvp",15,MAX(0.1,Skills!D8-IF(Skills!E8=TRUE,Inputs!$B$32,0))))))/Skills!G8,1)))/Inputs!$B$43),G1989*Q1989))*IF(Inputs!$B$38="pvp",1,1+(Inputs!$B$20+Skills!O8+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1989*(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1989*(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9">
        <f>IF(C1989,(H1989*N1989*IF(AND(Inputs!$B$38&lt;&gt;"pvp",Inputs!$B$43&gt;0),((Skills!F8*((R1989-1)*IF(Skills!G8&gt;0,Skills!H8/Skills!G8,1)+IF(Skills!G8&gt;0,MIN(Skills!H8,MAX(0,MAX(0,Inputs!$B$43-B2014)-((R1989-1)*IF(Inputs!$B$38="pvp",15,MAX(0.1,Skills!D8-IF(Skills!E8=TRUE,Inputs!$B$32,0))))))/Skills!G8,1)))/Inputs!$B$43),G1989*Q1989))*IF(Inputs!$B$38="pvp",1,(1+(Inputs!$B$21+Skills!P8+B2008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0">
      <c r="A1990">
        <f>Skills!A9</f>
        <v/>
      </c>
      <c r="B1990">
        <f>Skills!B9</f>
        <v/>
      </c>
      <c r="C1990">
        <f>Inputs!$B$3&gt;=105</f>
        <v/>
      </c>
      <c r="D1990">
        <f>IF(Skills!C9=1,60+Inputs!$B$25+Inputs!$B$29,IF(Skills!C9=2,90+Inputs!$B$26+Inputs!$B$29,IF(Skills!C9=3,120+Inputs!$B$27+Inputs!$B$29,MAX(0,(Inputs!$B$3-100)*3)+Inputs!$B$28+Inputs!$B$29)))</f>
        <v/>
      </c>
      <c r="E1990">
        <f>INDEX(FactorTable!$B$2:$Y$301, MATCH(ROUND(MIN(300,MAX(1,D1990)),0), FactorTable!$A$2:$A$301,0), Skills!L9+1)</f>
        <v/>
      </c>
      <c r="F1990">
        <f>IF(Skills!M9=TRUE,(Skills!K9/10)*(E1990/1000),Skills!K9/10)+Skills!N9</f>
        <v/>
      </c>
      <c r="G1990">
        <f>Calc!G9</f>
        <v/>
      </c>
      <c r="H1990">
        <f>Calc!H9</f>
        <v/>
      </c>
      <c r="I1990">
        <f>IF(Skills!T9&lt;&gt;"",1+(Skills!T9/10)*(Z1984/1000)/100,1)</f>
        <v/>
      </c>
      <c r="J1990">
        <f>((Inputs!$B$6*(1+Inputs!$B$7/100))+(((Inputs!$B$12*(1+Inputs!$B$13/100))-(Inputs!$B$12*(1+Inputs!$B$13/100)))+0.25*(Inputs!$B$14-Inputs!$B$14))*(1+Inputs!$B$7/100))*(F1990/100)</f>
        <v/>
      </c>
      <c r="K1990">
        <f>J1990*(1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1999-Calc!F18),(Inputs!$B$23+(IF(ArtifactsInput!$M$15,CHOOSE(ArtifactsInput!$N$15+1,25,30,35,40,45,50)/100*(Inputs!$B$11-Inputs!$B$11),0))))/100+(Inputs!$B$23+(IF(ArtifactsInput!$M$15,CHOOSE(ArtifactsInput!$N$15+1,25,30,35,40,45,50)/100*(Inputs!$B$11-Inputs!$B$11),0)))/100)/2</f>
        <v/>
      </c>
      <c r="M1990">
        <f>L1990*(1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0">
        <f>L1990*(1-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IF(B2017=0,0,O1990/B2017)</f>
        <v/>
      </c>
      <c r="Q1990">
        <f>IFERROR(1/IF(Inputs!$B$38="pvp",15,MAX(0.1,Skills!D9-IF(Skills!E9=TRUE,Inputs!$B$32,0))),0)</f>
        <v/>
      </c>
      <c r="R1990">
        <f>IF(AND(Inputs!$B$38&lt;&gt;"pvp",Inputs!$B$43&gt;0),IF(MAX(0,Inputs!$B$43-B2014)&lt;=0,0,(INT(MAX(0,Inputs!$B$43-B2014)/IF(Inputs!$B$38="pvp",15,MAX(0.1,Skills!D9-IF(Skills!E9=TRUE,Inputs!$B$32,0))))+1)),0)</f>
        <v/>
      </c>
      <c r="S1990">
        <f>IF(C1990,(H1990*N1990*IF(AND(Inputs!$B$38&lt;&gt;"pvp",Inputs!$B$43&gt;0),((Skills!F9*((R1990-1)*IF(Skills!G9&gt;0,Skills!H9/Skills!G9,1)+IF(Skills!G9&gt;0,MIN(Skills!H9,MAX(0,MAX(0,Inputs!$B$43-B2014)-((R1990-1)*IF(Inputs!$B$38="pvp",15,MAX(0.1,Skills!D9-IF(Skills!E9=TRUE,Inputs!$B$32,0))))))/Skills!G9,1)))/Inputs!$B$43),G1990*Q1990))*IF(Inputs!$B$38="pvp",1,1+(Inputs!$B$20+Skills!O9+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F9*((R1990-1)*IF(Skills!G9&gt;0,Skills!H9/Skills!G9,1)+IF(Skills!G9&gt;0,MIN(Skills!H9,MAX(0,MAX(0,Inputs!$B$43-B2014)-((R1990-1)*IF(Inputs!$B$38="pvp",15,MAX(0.1,Skills!D9-IF(Skills!E9=TRUE,Inputs!$B$32,0))))))/Skills!G9,1)))/Inputs!$B$43),G1990*Q1990))*IF(Inputs!$B$38="pvp",1,(1+(Inputs!$B$21+Skills!P9+B2008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1">
      <c r="A1991">
        <f>Skills!A10</f>
        <v/>
      </c>
      <c r="B1991">
        <f>Skills!B10</f>
        <v/>
      </c>
      <c r="C1991">
        <f>Inputs!$B$3&gt;=113</f>
        <v/>
      </c>
      <c r="D1991">
        <f>IF(Skills!C10=1,60+Inputs!$B$25+Inputs!$B$29,IF(Skills!C10=2,90+Inputs!$B$26+Inputs!$B$29,IF(Skills!C10=3,120+Inputs!$B$27+Inputs!$B$29,MAX(0,(Inputs!$B$3-100)*3)+Inputs!$B$28+Inputs!$B$29)))</f>
        <v/>
      </c>
      <c r="E1991">
        <f>INDEX(FactorTable!$B$2:$Y$301, MATCH(ROUND(MIN(300,MAX(1,D1991)),0), FactorTable!$A$2:$A$301,0), Skills!L10+1)</f>
        <v/>
      </c>
      <c r="F1991">
        <f>IF(Skills!M10=TRUE,(Skills!K10/10)*(E1991/1000),Skills!K10/10)+Skills!N10</f>
        <v/>
      </c>
      <c r="G1991">
        <f>Calc!G10</f>
        <v/>
      </c>
      <c r="H1991">
        <f>Calc!H10</f>
        <v/>
      </c>
      <c r="I1991">
        <f>IF(Skills!T10&lt;&gt;"",1+(Skills!T10/10)*(Z1984/1000)/100,1)</f>
        <v/>
      </c>
      <c r="J1991">
        <f>((Inputs!$B$6*(1+Inputs!$B$7/100))+(((Inputs!$B$12*(1+Inputs!$B$13/100))-(Inputs!$B$12*(1+Inputs!$B$13/100)))+0.25*(Inputs!$B$14-Inputs!$B$14))*(1+Inputs!$B$7/100))*(F1991/100)</f>
        <v/>
      </c>
      <c r="K1991">
        <f>J1991*(1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1991)</f>
        <v/>
      </c>
      <c r="L1991">
        <f>K1991*(MIN(Inputs!$B$22+(F1999-Calc!F18),(Inputs!$B$23+(IF(ArtifactsInput!$M$15,CHOOSE(ArtifactsInput!$N$15+1,25,30,35,40,45,50)/100*(Inputs!$B$11-Inputs!$B$11),0))))/100+(Inputs!$B$23+(IF(ArtifactsInput!$M$15,CHOOSE(ArtifactsInput!$N$15+1,25,30,35,40,45,50)/100*(Inputs!$B$11-Inputs!$B$11),0)))/100)/2</f>
        <v/>
      </c>
      <c r="M1991">
        <f>L1991*(1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1">
        <f>L1991*(1-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1">
        <f>(1-Summary!$B$11)*S1991+Summary!$B$11*U1991</f>
        <v/>
      </c>
      <c r="P1991">
        <f>IF(B2017=0,0,O1991/B2017)</f>
        <v/>
      </c>
      <c r="Q1991">
        <f>IFERROR(1/IF(Inputs!$B$38="pvp",15,MAX(0.1,Skills!D10-IF(Skills!E9=TRUE,Inputs!$B$32,0))),0)</f>
        <v/>
      </c>
      <c r="R1991">
        <f>IF(AND(Inputs!$B$38&lt;&gt;"pvp",Inputs!$B$43&gt;0),IF(MAX(0,Inputs!$B$43-B2014)&lt;=0,0,(INT(MAX(0,Inputs!$B$43-B2014)/IF(Inputs!$B$38="pvp",15,MAX(0.1,Skills!D10-IF(Skills!E9=TRUE,Inputs!$B$32,0))))+1)),0)</f>
        <v/>
      </c>
      <c r="S1991">
        <f>IF(C1991,(H1991*N1991*IF(AND(Inputs!$B$38&lt;&gt;"pvp",Inputs!$B$43&gt;0),((Skills!F10*((R1991-1)*IF(Skills!G10&gt;0,Skills!H10/Skills!G10,1)+IF(Skills!G10&gt;0,MIN(Skills!H10,MAX(0,MAX(0,Inputs!$B$43-B2014)-((R1991-1)*IF(Inputs!$B$38="pvp",15,MAX(0.1,Skills!D10-IF(Skills!E9=TRUE,Inputs!$B$32,0))))))/Skills!G10,1)))/Inputs!$B$43),G1991*Q1991))*IF(Inputs!$B$38="pvp",1,1+(Inputs!$B$20+Skills!O10+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1">
        <f>IF(C1991,(H1991*N1991*IF(AND(Inputs!$B$38&lt;&gt;"pvp",Inputs!$B$43&gt;0),((Skills!F10*((R1991-1)*IF(Skills!G10&gt;0,Skills!H10/Skills!G10,1)+IF(Skills!G10&gt;0,MIN(Skills!H10,MAX(0,MAX(0,Inputs!$B$43-B2014)-((R1991-1)*IF(Inputs!$B$38="pvp",15,MAX(0.1,Skills!D10-IF(Skills!E9=TRUE,Inputs!$B$32,0))))))/Skills!G10,1)))/Inputs!$B$43),G1991*Q1991))*IF(Inputs!$B$38="pvp",1,(1+(Inputs!$B$21+Skills!P10+B2008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f>Skills!A11</f>
        <v/>
      </c>
      <c r="B1992">
        <f>Skills!B11</f>
        <v/>
      </c>
      <c r="C1992">
        <f>Inputs!$B$3&gt;=107</f>
        <v/>
      </c>
      <c r="D1992">
        <f>IF(Skills!C11=1,60+Inputs!$B$25+Inputs!$B$29,IF(Skills!C11=2,90+Inputs!$B$26+Inputs!$B$29,IF(Skills!C11=3,120+Inputs!$B$27+Inputs!$B$29,MAX(0,(Inputs!$B$3-100)*3)+Inputs!$B$28+Inputs!$B$29)))</f>
        <v/>
      </c>
      <c r="E1992">
        <f>INDEX(FactorTable!$B$2:$Y$301, MATCH(ROUND(MIN(300,MAX(1,D1992)),0), FactorTable!$A$2:$A$301,0), Skills!L11+1)</f>
        <v/>
      </c>
      <c r="F1992">
        <f>IF(Skills!M11=TRUE,(Skills!K11/10)*(E1992/1000),Skills!K11/10)+Skills!N11</f>
        <v/>
      </c>
      <c r="G1992">
        <f>Calc!G11</f>
        <v/>
      </c>
      <c r="H1992">
        <f>Calc!H11</f>
        <v/>
      </c>
      <c r="I1992">
        <f>IF(Skills!T11&lt;&gt;"",1+(Skills!T11/10)*(Z1984/1000)/100,1)</f>
        <v/>
      </c>
      <c r="J1992">
        <f>((Inputs!$B$6*(1+Inputs!$B$7/100))+(((Inputs!$B$12*(1+Inputs!$B$13/100))-(Inputs!$B$12*(1+Inputs!$B$13/100)))+0.25*(Inputs!$B$14-Inputs!$B$14))*(1+Inputs!$B$7/100))*(F1992/100)</f>
        <v/>
      </c>
      <c r="K1992">
        <f>J1992*(1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F1999-Calc!F18),(Inputs!$B$23+(IF(ArtifactsInput!$M$15,CHOOSE(ArtifactsInput!$N$15+1,25,30,35,40,45,50)/100*(Inputs!$B$11-Inputs!$B$11),0))))/100+(Inputs!$B$23+(IF(ArtifactsInput!$M$15,CHOOSE(ArtifactsInput!$N$15+1,25,30,35,40,45,50)/100*(Inputs!$B$11-Inputs!$B$11),0)))/100)/2</f>
        <v/>
      </c>
      <c r="M1992">
        <f>L1992*(1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2">
        <f>L1992*(1-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(1-Summary!$B$11)*S1992+Summary!$B$11*U1992</f>
        <v/>
      </c>
      <c r="P1992">
        <f>IF(B2017=0,0,O1992/B2017)</f>
        <v/>
      </c>
      <c r="Q1992">
        <f>IFERROR(1/IF(Inputs!$B$38="pvp",15,MAX(0.1,Skills!D11-IF(Skills!E11=TRUE,Inputs!$B$32,0))),0)</f>
        <v/>
      </c>
      <c r="R1992">
        <f>IF(AND(Inputs!$B$38&lt;&gt;"pvp",Inputs!$B$43&gt;0),IF(MAX(0,Inputs!$B$43-B2014)&lt;=0,0,(INT(MAX(0,Inputs!$B$43-B2014)/IF(Inputs!$B$38="pvp",15,MAX(0.1,Skills!D11-IF(Skills!E11=TRUE,Inputs!$B$32,0))))+1)),0)</f>
        <v/>
      </c>
      <c r="S1992">
        <f>IF(C1992,H1992*N1992*IF(AND(Inputs!$B$38&lt;&gt;"pvp",Inputs!$B$43&gt;0),((Skills!F11*((R1992-1)*IF(Skills!G11&gt;0,Skills!H11/Skills!G11,1)+IF(Skills!G11&gt;0,MIN(Skills!H11,MAX(0,MAX(0,Inputs!$B$43-B2014)-((R1992-1)*IF(Inputs!$B$38="pvp",15,MAX(0.1,Skills!D11-IF(Skills!E11=TRUE,Inputs!$B$32,0))))))/Skills!G11,1)))/Inputs!$B$43),G1992*Q1992)*0.5*IF(Inputs!$B$38="pvp",1,1+(Inputs!$B$20+Skills!O11+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1992*(1-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2">
        <f>IF(C1992,H1992*N1992*IF(AND(Inputs!$B$38&lt;&gt;"pvp",Inputs!$B$43&gt;0),((Skills!F11*((R1992-1)*IF(Skills!G11&gt;0,Skills!H11/Skills!G11,1)+IF(Skills!G11&gt;0,MIN(Skills!H11,MAX(0,MAX(0,Inputs!$B$43-B2014)-((R1992-1)*IF(Inputs!$B$38="pvp",15,MAX(0.1,Skills!D11-IF(Skills!E11=TRUE,Inputs!$B$32,0))))))/Skills!G11,1)))/Inputs!$B$43),G1992*Q1992)*1*IF(Inputs!$B$38="pvp",1,(1+(Inputs!$B$21+Skills!P11+B2008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3">
      <c r="A1993">
        <f>Skills!A12</f>
        <v/>
      </c>
      <c r="B1993">
        <f>Skills!B12</f>
        <v/>
      </c>
      <c r="C1993">
        <f>Inputs!$B$3&gt;=115</f>
        <v/>
      </c>
      <c r="D1993">
        <f>IF(Skills!C12=1,60+Inputs!$B$25+Inputs!$B$29,IF(Skills!C12=2,90+Inputs!$B$26+Inputs!$B$29,IF(Skills!C12=3,120+Inputs!$B$27+Inputs!$B$29,MAX(0,(Inputs!$B$3-100)*3)+Inputs!$B$28+Inputs!$B$29)))</f>
        <v/>
      </c>
      <c r="E1993">
        <f>INDEX(FactorTable!$B$2:$Y$301, MATCH(ROUND(MIN(300,MAX(1,D1993)),0), FactorTable!$A$2:$A$301,0), Skills!L12+1)</f>
        <v/>
      </c>
      <c r="F1993">
        <f>IF(Skills!M12=TRUE,(Skills!K12/10)*(E1993/1000),Skills!K12/10)+Skills!N12</f>
        <v/>
      </c>
      <c r="G1993">
        <f>Calc!G12</f>
        <v/>
      </c>
      <c r="H1993">
        <f>Calc!H12</f>
        <v/>
      </c>
      <c r="I1993">
        <f>IF(Skills!T12&lt;&gt;"",1+(Skills!T12/10)*(Z1984/1000)/100,1)</f>
        <v/>
      </c>
      <c r="J1993">
        <f>((Inputs!$B$6*(1+Inputs!$B$7/100))+(((Inputs!$B$12*(1+Inputs!$B$13/100))-(Inputs!$B$12*(1+Inputs!$B$13/100)))+0.25*(Inputs!$B$14-Inputs!$B$14))*(1+Inputs!$B$7/100))*(F1993/100)</f>
        <v/>
      </c>
      <c r="K1993">
        <f>J1993*(1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F1999-Calc!F18),(Inputs!$B$23+(IF(ArtifactsInput!$M$15,CHOOSE(ArtifactsInput!$N$15+1,25,30,35,40,45,50)/100*(Inputs!$B$11-Inputs!$B$11),0))))/100+(Inputs!$B$23+(IF(ArtifactsInput!$M$15,CHOOSE(ArtifactsInput!$N$15+1,25,30,35,40,45,50)/100*(Inputs!$B$11-Inputs!$B$11),0)))/100)/2</f>
        <v/>
      </c>
      <c r="M1993">
        <f>L1993*(1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3">
        <f>L1993*(1-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(1-Summary!$B$11)*S1993+Summary!$B$11*U1993</f>
        <v/>
      </c>
      <c r="P1993">
        <f>IF(B2017=0,0,O1993/B2017)</f>
        <v/>
      </c>
      <c r="Q1993">
        <f>IFERROR(1/IF(Inputs!$B$38="pvp",15,MAX(0.1,Skills!D12-IF(Skills!E12=TRUE,Inputs!$B$32,0))),0)</f>
        <v/>
      </c>
      <c r="R1993">
        <f>IF(AND(Inputs!$B$38&lt;&gt;"pvp",Inputs!$B$43&gt;0),IF(MAX(0,Inputs!$B$43-B2014)&lt;=0,0,(INT(MAX(0,Inputs!$B$43-B2014)/IF(Inputs!$B$38="pvp",15,MAX(0.1,Skills!D12-IF(Skills!E12=TRUE,Inputs!$B$32,0))))+1)),0)</f>
        <v/>
      </c>
      <c r="S1993">
        <f>IF(C1993,(H1993*N1993*IF(AND(Inputs!$B$38&lt;&gt;"pvp",Inputs!$B$43&gt;0),((Skills!F12*((R1993-1)*IF(Skills!G12&gt;0,Skills!H12/Skills!G12,1)+IF(Skills!G12&gt;0,MIN(Skills!H12,MAX(0,MAX(0,Inputs!$B$43-B2014)-((R1993-1)*IF(Inputs!$B$38="pvp",15,MAX(0.1,Skills!D12-IF(Skills!E12=TRUE,Inputs!$B$32,0))))))/Skills!G12,1)))/Inputs!$B$43),G1993*Q1993))*IF(Inputs!$B$38="pvp",1,1+(Inputs!$B$20+Skills!O12+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IF(C1993,(H1993*N1993*IF(AND(Inputs!$B$38&lt;&gt;"pvp",Inputs!$B$43&gt;0),((Skills!F12*((R1993-1)*IF(Skills!G12&gt;0,Skills!H12/Skills!G12,1)+IF(Skills!G12&gt;0,MIN(Skills!H12,MAX(0,MAX(0,Inputs!$B$43-B2014)-((R1993-1)*IF(Inputs!$B$38="pvp",15,MAX(0.1,Skills!D12-IF(Skills!E12=TRUE,Inputs!$B$32,0))))))/Skills!G12,1)))/Inputs!$B$43),G1993*Q1993))*IF(Inputs!$B$38="pvp",1,(1+(Inputs!$B$21+Skills!P12+B2008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Skills!A13</f>
        <v/>
      </c>
      <c r="B1994">
        <f>Skills!B13</f>
        <v/>
      </c>
      <c r="C1994">
        <f>Inputs!$B$3&gt;=49</f>
        <v/>
      </c>
      <c r="D1994">
        <f>IF(Skills!C13=1,60+Inputs!$B$25+Inputs!$B$29,IF(Skills!C13=2,90+Inputs!$B$26+Inputs!$B$29,IF(Skills!C13=3,120+Inputs!$B$27+Inputs!$B$29,MAX(0,(Inputs!$B$3-100)*3)+Inputs!$B$28+Inputs!$B$29)))</f>
        <v/>
      </c>
      <c r="E1994">
        <f>INDEX(FactorTable!$B$2:$Y$301, MATCH(ROUND(MIN(300,MAX(1,D1994)),0), FactorTable!$A$2:$A$301,0), Skills!L13+1)</f>
        <v/>
      </c>
      <c r="F1994">
        <f>IF(Skills!M13=TRUE,(Skills!K13/10)*(E1994/1000),Skills!K13/10)+Skills!N13</f>
        <v/>
      </c>
      <c r="G1994">
        <f>Calc!G13</f>
        <v/>
      </c>
      <c r="H1994">
        <f>Calc!H13</f>
        <v/>
      </c>
      <c r="I1994">
        <f>IF(Skills!T13&lt;&gt;"",1+(Skills!T13/10)*(Z1984/1000)/100,1)</f>
        <v/>
      </c>
      <c r="J1994" t="inlineStr"/>
      <c r="K1994" t="inlineStr"/>
      <c r="L1994" t="inlineStr"/>
      <c r="M1994" t="inlineStr"/>
      <c r="N1994" t="inlineStr"/>
      <c r="O1994">
        <f>(1-Summary!$B$11)*S1994+Summary!$B$11*U1994</f>
        <v/>
      </c>
      <c r="P1994">
        <f>IF(B2017=0,0,O1994/B2017)</f>
        <v/>
      </c>
      <c r="Q1994">
        <f>IFERROR(1/IF(Inputs!$B$38="pvp",15,MAX(0.1,Skills!D13-IF(Skills!E13=TRUE,Inputs!$B$32,0))),0)</f>
        <v/>
      </c>
      <c r="R1994" t="n">
        <v>0</v>
      </c>
      <c r="S1994" t="n">
        <v>0</v>
      </c>
      <c r="U1994" t="n">
        <v>0</v>
      </c>
    </row>
    <row r="1995">
      <c r="A1995">
        <f>Skills!A14</f>
        <v/>
      </c>
      <c r="B1995">
        <f>Skills!B14</f>
        <v/>
      </c>
      <c r="C1995">
        <f>Inputs!$B$3&gt;=72</f>
        <v/>
      </c>
      <c r="D1995">
        <f>IF(Skills!C14=1,60+Inputs!$B$25+Inputs!$B$29,IF(Skills!C14=2,90+Inputs!$B$26+Inputs!$B$29,IF(Skills!C14=3,120+Inputs!$B$27+Inputs!$B$29,MAX(0,(Inputs!$B$3-100)*3)+Inputs!$B$28+Inputs!$B$29)))</f>
        <v/>
      </c>
      <c r="E1995">
        <f>INDEX(FactorTable!$B$2:$Y$301, MATCH(ROUND(MIN(300,MAX(1,D1995)),0), FactorTable!$A$2:$A$301,0), Skills!L14+1)</f>
        <v/>
      </c>
      <c r="F1995">
        <f>IF(Skills!M14=TRUE,(Skills!K14/10)*(E1995/1000),Skills!K14/10)+Skills!N14</f>
        <v/>
      </c>
      <c r="G1995">
        <f>Calc!G14</f>
        <v/>
      </c>
      <c r="H1995">
        <f>Calc!H14</f>
        <v/>
      </c>
      <c r="I1995">
        <f>IF(Skills!T14&lt;&gt;"",1+(Skills!T14/10)*(Z1984/1000)/100,1)</f>
        <v/>
      </c>
      <c r="J1995" t="inlineStr"/>
      <c r="K1995" t="inlineStr"/>
      <c r="L1995" t="inlineStr"/>
      <c r="M1995" t="inlineStr"/>
      <c r="N1995" t="inlineStr"/>
      <c r="O1995">
        <f>(1-Summary!$B$11)*S1995+Summary!$B$11*U1995</f>
        <v/>
      </c>
      <c r="P1995">
        <f>IF(B2017=0,0,O1995/B2017)</f>
        <v/>
      </c>
      <c r="Q1995">
        <f>IFERROR(1/IF(Inputs!$B$38="pvp",15,MAX(0.1,Skills!D14-IF(Skills!E14=TRUE,Inputs!$B$32,0))),0)</f>
        <v/>
      </c>
      <c r="R1995" t="n">
        <v>0</v>
      </c>
      <c r="S1995" t="n">
        <v>0</v>
      </c>
      <c r="U1995" t="n">
        <v>0</v>
      </c>
    </row>
    <row r="1996">
      <c r="A1996">
        <f>Skills!A15</f>
        <v/>
      </c>
      <c r="B1996">
        <f>Skills!B15</f>
        <v/>
      </c>
      <c r="C1996">
        <f>Inputs!$B$3&gt;=75</f>
        <v/>
      </c>
      <c r="D1996">
        <f>IF(Skills!C15=1,60+Inputs!$B$25+Inputs!$B$29,IF(Skills!C15=2,90+Inputs!$B$26+Inputs!$B$29,IF(Skills!C15=3,120+Inputs!$B$27+Inputs!$B$29,MAX(0,(Inputs!$B$3-100)*3)+Inputs!$B$28+Inputs!$B$29)))</f>
        <v/>
      </c>
      <c r="E1996">
        <f>INDEX(FactorTable!$B$2:$Y$301, MATCH(ROUND(MIN(300,MAX(1,D1996)),0), FactorTable!$A$2:$A$301,0), Skills!L15+1)</f>
        <v/>
      </c>
      <c r="F1996">
        <f>IF(Skills!M15=TRUE,(Skills!K15/10)*(E1996/1000),Skills!K15/10)+Skills!N15</f>
        <v/>
      </c>
      <c r="G1996">
        <f>Calc!G15</f>
        <v/>
      </c>
      <c r="H1996">
        <f>Calc!H15</f>
        <v/>
      </c>
      <c r="I1996">
        <f>IF(Skills!T15&lt;&gt;"",1+(Skills!T15/10)*(Z1984/1000)/100,1)</f>
        <v/>
      </c>
      <c r="J1996" t="inlineStr"/>
      <c r="K1996" t="inlineStr"/>
      <c r="L1996" t="inlineStr"/>
      <c r="M1996" t="inlineStr"/>
      <c r="N1996" t="inlineStr"/>
      <c r="O1996">
        <f>(1-Summary!$B$11)*S1996+Summary!$B$11*U1996</f>
        <v/>
      </c>
      <c r="P1996">
        <f>IF(B2017=0,0,O1996/B2017)</f>
        <v/>
      </c>
      <c r="Q1996">
        <f>IFERROR(1/IF(Inputs!$B$38="pvp",15,MAX(0.1,Skills!D15-IF(Skills!E15=TRUE,Inputs!$B$32,0))),0)</f>
        <v/>
      </c>
      <c r="R1996" t="n">
        <v>0</v>
      </c>
      <c r="S1996" t="n">
        <v>0</v>
      </c>
      <c r="U1996" t="n">
        <v>0</v>
      </c>
    </row>
    <row r="1997">
      <c r="A1997">
        <f>Skills!A16</f>
        <v/>
      </c>
      <c r="B1997">
        <f>Skills!B16</f>
        <v/>
      </c>
      <c r="C1997">
        <f>Inputs!$B$3&gt;=110</f>
        <v/>
      </c>
      <c r="D1997">
        <f>IF(Skills!C16=1,60+Inputs!$B$25+Inputs!$B$29,IF(Skills!C16=2,90+Inputs!$B$26+Inputs!$B$29,IF(Skills!C16=3,120+Inputs!$B$27+Inputs!$B$29,MAX(0,(Inputs!$B$3-100)*3)+Inputs!$B$28+Inputs!$B$29)))</f>
        <v/>
      </c>
      <c r="E1997">
        <f>INDEX(FactorTable!$B$2:$Y$301, MATCH(ROUND(MIN(300,MAX(1,D1997)),0), FactorTable!$A$2:$A$301,0), Skills!L16+1)</f>
        <v/>
      </c>
      <c r="F1997">
        <f>(Skills!K16/10)*(E1997/1000)*64/45+Skills!N16</f>
        <v/>
      </c>
      <c r="G1997">
        <f>Calc!G16</f>
        <v/>
      </c>
      <c r="H1997">
        <f>Calc!H16</f>
        <v/>
      </c>
      <c r="I1997">
        <f>IF(Skills!T16&lt;&gt;"",1+(Skills!T16/10)*(Z1984/1000)/100,1)</f>
        <v/>
      </c>
      <c r="J1997" t="inlineStr"/>
      <c r="K1997" t="inlineStr"/>
      <c r="L1997" t="inlineStr"/>
      <c r="M1997" t="inlineStr"/>
      <c r="N1997" t="inlineStr"/>
      <c r="O1997">
        <f>(1-Summary!$B$11)*S1997+Summary!$B$11*U1997</f>
        <v/>
      </c>
      <c r="P1997">
        <f>IF(B2017=0,0,O1997/B2017)</f>
        <v/>
      </c>
      <c r="Q1997">
        <f>IFERROR(1/IF(Inputs!$B$38="pvp",15,MAX(0.1,Skills!D16-IF(Skills!E16=TRUE,Inputs!$B$32,0))),0)</f>
        <v/>
      </c>
      <c r="R1997">
        <f>IF(AND(Inputs!$B$38&lt;&gt;"pvp",Inputs!$B$43&gt;0),IF(Inputs!$B$43&lt;=0,0,(INT(Inputs!$B$43/IF(Inputs!$B$38="pvp",15,MAX(0.1,Skills!D16-IF(Skills!E16=TRUE,Inputs!$B$32,0))))+1)),0)</f>
        <v/>
      </c>
      <c r="S1997" t="n">
        <v>0</v>
      </c>
      <c r="U1997" t="n">
        <v>0</v>
      </c>
    </row>
    <row r="1998">
      <c r="A1998">
        <f>Skills!A17</f>
        <v/>
      </c>
      <c r="B1998">
        <f>Skills!B17</f>
        <v/>
      </c>
      <c r="C1998">
        <f>Inputs!$B$3&gt;=33</f>
        <v/>
      </c>
      <c r="D1998">
        <f>IF(Skills!C17=1,60+Inputs!$B$25+Inputs!$B$29,IF(Skills!C17=2,90+Inputs!$B$26+Inputs!$B$29,IF(Skills!C17=3,120+Inputs!$B$27+Inputs!$B$29,MAX(0,(Inputs!$B$3-100)*3)+Inputs!$B$28+Inputs!$B$29)))</f>
        <v/>
      </c>
      <c r="E1998">
        <f>INDEX(FactorTable!$B$2:$Y$301, MATCH(ROUND(MIN(300,MAX(1,D1998)),0), FactorTable!$A$2:$A$301,0), Skills!L17+1)</f>
        <v/>
      </c>
      <c r="F1998">
        <f>IF(Skills!M17=TRUE,(Skills!K17/10)*(E1998/1000),Skills!K17/10)+Skills!N17</f>
        <v/>
      </c>
      <c r="G1998">
        <f>Calc!G17</f>
        <v/>
      </c>
      <c r="H1998">
        <f>Calc!H17</f>
        <v/>
      </c>
      <c r="I1998">
        <f>IF(Skills!T17&lt;&gt;"",1+(Skills!T17/10)*(Z1984/1000)/100,1)</f>
        <v/>
      </c>
      <c r="J1998" t="inlineStr"/>
      <c r="K1998" t="inlineStr"/>
      <c r="L1998" t="inlineStr"/>
      <c r="M1998" t="inlineStr"/>
      <c r="N1998" t="inlineStr"/>
      <c r="O1998">
        <f>(1-Summary!$B$11)*S1998+Summary!$B$11*U1998</f>
        <v/>
      </c>
      <c r="P1998">
        <f>IF(B2017=0,0,O1998/B2017)</f>
        <v/>
      </c>
      <c r="Q1998">
        <f>IFERROR(1/IF(Inputs!$B$38="pvp",15,MAX(0.1,Skills!D17-IF(Skills!E17=TRUE,Inputs!$B$32,0))),0)</f>
        <v/>
      </c>
      <c r="R1998" t="n">
        <v>0</v>
      </c>
      <c r="S1998" t="n">
        <v>0</v>
      </c>
      <c r="U1998" t="n">
        <v>0</v>
      </c>
    </row>
    <row r="1999">
      <c r="A1999">
        <f>Skills!A18</f>
        <v/>
      </c>
      <c r="B1999">
        <f>Skills!B18</f>
        <v/>
      </c>
      <c r="C1999">
        <f>Inputs!$B$3&gt;=43</f>
        <v/>
      </c>
      <c r="D1999">
        <f>IF(Skills!C18=1,60+Inputs!$B$25+Inputs!$B$29,IF(Skills!C18=2,90+Inputs!$B$26+Inputs!$B$29,IF(Skills!C18=3,120+Inputs!$B$27+Inputs!$B$29,MAX(0,(Inputs!$B$3-100)*3)+Inputs!$B$28+Inputs!$B$29)))</f>
        <v/>
      </c>
      <c r="E1999">
        <f>INDEX(FactorTable!$B$2:$Y$301, MATCH(ROUND(MIN(300,MAX(1,D1999)),0), FactorTable!$A$2:$A$301,0), Skills!L18+1)</f>
        <v/>
      </c>
      <c r="F1999">
        <f>IF(Skills!M18=TRUE,(Skills!K18/10)*(E1999/1000),Skills!K18/10)+Skills!N18</f>
        <v/>
      </c>
      <c r="G1999">
        <f>Calc!G18</f>
        <v/>
      </c>
      <c r="H1999">
        <f>Calc!H18</f>
        <v/>
      </c>
      <c r="I1999">
        <f>IF(Skills!T18&lt;&gt;"",1+(Skills!T18/10)*(Z1984/1000)/100,1)</f>
        <v/>
      </c>
      <c r="J1999" t="inlineStr"/>
      <c r="K1999" t="inlineStr"/>
      <c r="L1999" t="inlineStr"/>
      <c r="M1999" t="inlineStr"/>
      <c r="N1999" t="inlineStr"/>
      <c r="O1999">
        <f>(1-Summary!$B$11)*S1999+Summary!$B$11*U1999</f>
        <v/>
      </c>
      <c r="P1999">
        <f>IF(B2017=0,0,O1999/B2017)</f>
        <v/>
      </c>
      <c r="Q1999">
        <f>IFERROR(1/IF(Inputs!$B$38="pvp",15,MAX(0.1,Skills!D18-IF(Skills!E18=TRUE,Inputs!$B$32,0))),0)</f>
        <v/>
      </c>
      <c r="R1999" t="n">
        <v>0</v>
      </c>
      <c r="S1999" t="n">
        <v>0</v>
      </c>
      <c r="U1999" t="n">
        <v>0</v>
      </c>
    </row>
    <row r="2000">
      <c r="A2000">
        <f>Skills!A19</f>
        <v/>
      </c>
      <c r="B2000">
        <f>Skills!B19</f>
        <v/>
      </c>
      <c r="C2000">
        <f>Inputs!$B$3&gt;=50</f>
        <v/>
      </c>
      <c r="D2000">
        <f>IF(Skills!C19=1,60+Inputs!$B$25+Inputs!$B$29,IF(Skills!C19=2,90+Inputs!$B$26+Inputs!$B$29,IF(Skills!C19=3,120+Inputs!$B$27+Inputs!$B$29,MAX(0,(Inputs!$B$3-100)*3)+Inputs!$B$28+Inputs!$B$29)))</f>
        <v/>
      </c>
      <c r="E2000">
        <f>INDEX(FactorTable!$B$2:$Y$301, MATCH(ROUND(MIN(300,MAX(1,D2000)),0), FactorTable!$A$2:$A$301,0), Skills!L19+1)</f>
        <v/>
      </c>
      <c r="F2000">
        <f>IF(Skills!M19=TRUE,(Skills!K19/10)*(E2000/1000),Skills!K19/10)+Skills!N19</f>
        <v/>
      </c>
      <c r="G2000">
        <f>Calc!G19</f>
        <v/>
      </c>
      <c r="H2000">
        <f>Calc!H19</f>
        <v/>
      </c>
      <c r="I2000">
        <f>IF(Skills!T19&lt;&gt;"",1+(Skills!T19/10)*(Z1984/1000)/100,1)</f>
        <v/>
      </c>
      <c r="J2000" t="inlineStr"/>
      <c r="K2000" t="inlineStr"/>
      <c r="L2000" t="inlineStr"/>
      <c r="M2000" t="inlineStr"/>
      <c r="N2000" t="inlineStr"/>
      <c r="O2000">
        <f>(1-Summary!$B$11)*S2000+Summary!$B$11*U2000</f>
        <v/>
      </c>
      <c r="P2000">
        <f>IF(B2017=0,0,O2000/B2017)</f>
        <v/>
      </c>
      <c r="Q2000">
        <f>IFERROR(1/IF(Inputs!$B$38="pvp",15,MAX(0.1,Skills!D19-IF(Skills!E19=TRUE,Inputs!$B$32,0))),0)</f>
        <v/>
      </c>
      <c r="R2000" t="n">
        <v>0</v>
      </c>
      <c r="S2000" t="n">
        <v>0</v>
      </c>
      <c r="U2000" t="n">
        <v>0</v>
      </c>
    </row>
    <row r="2001">
      <c r="A2001">
        <f>Skills!A20</f>
        <v/>
      </c>
      <c r="B2001">
        <f>Skills!B20</f>
        <v/>
      </c>
      <c r="C2001">
        <f>Inputs!$B$3&gt;=74</f>
        <v/>
      </c>
      <c r="D2001">
        <f>IF(Skills!C20=1,60+Inputs!$B$25+Inputs!$B$29,IF(Skills!C20=2,90+Inputs!$B$26+Inputs!$B$29,IF(Skills!C20=3,120+Inputs!$B$27+Inputs!$B$29,MAX(0,(Inputs!$B$3-100)*3)+Inputs!$B$28+Inputs!$B$29)))</f>
        <v/>
      </c>
      <c r="E2001">
        <f>INDEX(FactorTable!$B$2:$Y$301, MATCH(ROUND(MIN(300,MAX(1,D2001)),0), FactorTable!$A$2:$A$301,0), Skills!L20+1)</f>
        <v/>
      </c>
      <c r="F2001">
        <f>IF(Skills!M20=TRUE,(Skills!K20/10)*(E2001/1000),Skills!K20/10)+Skills!N20</f>
        <v/>
      </c>
      <c r="G2001">
        <f>Calc!G20</f>
        <v/>
      </c>
      <c r="H2001">
        <f>Calc!H20</f>
        <v/>
      </c>
      <c r="I2001">
        <f>IF(Skills!T20&lt;&gt;"",1+(Skills!T20/10)*(Z1984/1000)/100,1)</f>
        <v/>
      </c>
      <c r="J2001" t="inlineStr"/>
      <c r="K2001" t="inlineStr"/>
      <c r="L2001" t="inlineStr"/>
      <c r="M2001" t="inlineStr"/>
      <c r="N2001" t="inlineStr"/>
      <c r="O2001">
        <f>(1-Summary!$B$11)*S2001+Summary!$B$11*U2001</f>
        <v/>
      </c>
      <c r="P2001">
        <f>IF(B2017=0,0,O2001/B2017)</f>
        <v/>
      </c>
      <c r="Q2001">
        <f>IFERROR(1/IF(Inputs!$B$38="pvp",15,MAX(0.1,Skills!D20-IF(Skills!E20=TRUE,Inputs!$B$32,0))),0)</f>
        <v/>
      </c>
      <c r="R2001" t="n">
        <v>0</v>
      </c>
      <c r="S2001" t="n">
        <v>0</v>
      </c>
      <c r="U2001" t="n">
        <v>0</v>
      </c>
    </row>
    <row r="2002">
      <c r="A2002">
        <f>Skills!A21</f>
        <v/>
      </c>
      <c r="B2002">
        <f>Skills!B21</f>
        <v/>
      </c>
      <c r="C2002">
        <f>Inputs!$B$3&gt;=74</f>
        <v/>
      </c>
      <c r="D2002">
        <f>IF(Skills!C21=1,60+Inputs!$B$25+Inputs!$B$29,IF(Skills!C21=2,90+Inputs!$B$26+Inputs!$B$29,IF(Skills!C21=3,120+Inputs!$B$27+Inputs!$B$29,MAX(0,(Inputs!$B$3-100)*3)+Inputs!$B$28+Inputs!$B$29)))</f>
        <v/>
      </c>
      <c r="E2002">
        <f>INDEX(FactorTable!$B$2:$Y$301, MATCH(ROUND(MIN(300,MAX(1,D2002)),0), FactorTable!$A$2:$A$301,0), Skills!L21+1)</f>
        <v/>
      </c>
      <c r="F2002">
        <f>IF(Skills!M21=TRUE,(Skills!K21/10)*(E2002/1000),Skills!K21/10)+Skills!N21</f>
        <v/>
      </c>
      <c r="G2002">
        <f>Calc!G21</f>
        <v/>
      </c>
      <c r="H2002">
        <f>Calc!H21</f>
        <v/>
      </c>
      <c r="I2002">
        <f>IF(Skills!T21&lt;&gt;"",1+(Skills!T21/10)*(Z1984/1000)/100,1)</f>
        <v/>
      </c>
      <c r="J2002" t="inlineStr"/>
      <c r="K2002" t="inlineStr"/>
      <c r="L2002" t="inlineStr"/>
      <c r="M2002" t="inlineStr"/>
      <c r="N2002" t="inlineStr"/>
      <c r="O2002">
        <f>(1-Summary!$B$11)*S2002+Summary!$B$11*U2002</f>
        <v/>
      </c>
      <c r="P2002">
        <f>IF(B2017=0,0,O2002/B2017)</f>
        <v/>
      </c>
      <c r="Q2002">
        <f>IFERROR(1/IF(Inputs!$B$38="pvp",15,MAX(0.1,Skills!D21-IF(Skills!E21=TRUE,Inputs!$B$32,0))),0)</f>
        <v/>
      </c>
      <c r="R2002" t="n">
        <v>0</v>
      </c>
      <c r="S2002" t="n">
        <v>0</v>
      </c>
      <c r="U2002" t="n">
        <v>0</v>
      </c>
    </row>
    <row r="2003">
      <c r="A2003">
        <f>Skills!A22</f>
        <v/>
      </c>
      <c r="B2003">
        <f>Skills!B22</f>
        <v/>
      </c>
      <c r="C2003">
        <f>Inputs!$B$3&gt;=117</f>
        <v/>
      </c>
      <c r="D2003">
        <f>IF(Skills!C22=1,60+Inputs!$B$25+Inputs!$B$29,IF(Skills!C22=2,90+Inputs!$B$26+Inputs!$B$29,IF(Skills!C22=3,120+Inputs!$B$27+Inputs!$B$29,MAX(0,(Inputs!$B$3-100)*3)+Inputs!$B$28+Inputs!$B$29)))</f>
        <v/>
      </c>
      <c r="E2003">
        <f>INDEX(FactorTable!$B$2:$Y$301, MATCH(ROUND(MIN(300,MAX(1,D2003)),0), FactorTable!$A$2:$A$301,0), Skills!L22+1)</f>
        <v/>
      </c>
      <c r="F2003">
        <f>IF(Skills!M22=TRUE,(Skills!K22/10)*(E2003/1000),Skills!K22/10)+Skills!N22</f>
        <v/>
      </c>
      <c r="G2003">
        <f>Calc!G22</f>
        <v/>
      </c>
      <c r="H2003">
        <f>Calc!H22</f>
        <v/>
      </c>
      <c r="I2003">
        <f>IF(Skills!T22&lt;&gt;"",1+(Skills!T22/10)*(Z1984/1000)/100,1)</f>
        <v/>
      </c>
      <c r="J2003" t="inlineStr"/>
      <c r="K2003" t="inlineStr"/>
      <c r="L2003" t="inlineStr"/>
      <c r="M2003" t="inlineStr"/>
      <c r="N2003" t="inlineStr"/>
      <c r="O2003">
        <f>(1-Summary!$B$11)*S2003+Summary!$B$11*U2003</f>
        <v/>
      </c>
      <c r="P2003">
        <f>IF(B2017=0,0,O2003/B2017)</f>
        <v/>
      </c>
      <c r="Q2003">
        <f>IFERROR(1/IF(Inputs!$B$38="pvp",15,MAX(0.1,Skills!D22-IF(Skills!E22=TRUE,Inputs!$B$32,0))),0)</f>
        <v/>
      </c>
      <c r="R2003" t="n">
        <v>0</v>
      </c>
      <c r="S2003" t="n">
        <v>0</v>
      </c>
      <c r="U2003" t="n">
        <v>0</v>
      </c>
    </row>
    <row r="2004">
      <c r="A2004">
        <f>Skills!A23</f>
        <v/>
      </c>
      <c r="B2004">
        <f>Skills!B23</f>
        <v/>
      </c>
      <c r="C2004">
        <f>Inputs!$B$3&gt;=120</f>
        <v/>
      </c>
      <c r="D2004">
        <f>IF(Skills!C23=1,60+Inputs!$B$25+Inputs!$B$29,IF(Skills!C23=2,90+Inputs!$B$26+Inputs!$B$29,IF(Skills!C23=3,120+Inputs!$B$27+Inputs!$B$29,MAX(0,(Inputs!$B$3-100)*3)+Inputs!$B$28+Inputs!$B$29)))</f>
        <v/>
      </c>
      <c r="E2004">
        <f>INDEX(FactorTable!$B$2:$Y$301, MATCH(ROUND(MIN(300,MAX(1,D2004)),0), FactorTable!$A$2:$A$301,0), Skills!L23+1)</f>
        <v/>
      </c>
      <c r="F2004">
        <f>IF(Skills!M23=TRUE,(Skills!K23/10)*(E2004/1000),Skills!K23/10)+Skills!N23</f>
        <v/>
      </c>
      <c r="G2004">
        <f>Calc!G23</f>
        <v/>
      </c>
      <c r="H2004">
        <f>Calc!H23</f>
        <v/>
      </c>
      <c r="I2004">
        <f>IF(Skills!T23&lt;&gt;"",1+(Skills!T23/10)*(Z1984/1000)/100,1)</f>
        <v/>
      </c>
      <c r="J2004" t="inlineStr"/>
      <c r="K2004" t="inlineStr"/>
      <c r="L2004" t="inlineStr"/>
      <c r="M2004" t="inlineStr"/>
      <c r="N2004" t="inlineStr"/>
      <c r="O2004">
        <f>(1-Summary!$B$11)*S2004+Summary!$B$11*U2004</f>
        <v/>
      </c>
      <c r="P2004">
        <f>IF(B2017=0,0,O2004/B2017)</f>
        <v/>
      </c>
      <c r="Q2004">
        <f>IFERROR(1/IF(Inputs!$B$38="pvp",15,MAX(0.1,Skills!D23-IF(Skills!E23=TRUE,Inputs!$B$32,0))),0)</f>
        <v/>
      </c>
      <c r="R2004" t="n">
        <v>0</v>
      </c>
      <c r="S2004" t="n">
        <v>0</v>
      </c>
      <c r="U2004" t="n">
        <v>0</v>
      </c>
    </row>
    <row r="2007">
      <c r="A2007" t="inlineStr">
        <is>
          <t>Average Buff Multiplier (Magic Guard + Meditation + Artifact Attack%, summed; then Infinity)</t>
        </is>
      </c>
      <c r="B2007">
        <f>(1+(IF(C1984=TRUE,F1984*IF(AND(Inputs!$B$38&lt;&gt;"pvp",Inputs!$B$43&gt;0),(((R1984-1)*(Skills!S3*(1+(Inputs!$B$34+IF(Inputs!$B$3&gt;=117,F2003,0))/100))+MIN((Skills!S3*(1+(Inputs!$B$34+IF(Inputs!$B$3&gt;=117,F2003,0))/100)),MAX(0,Inputs!$B$43-((R1984-1)*Skills!D3))))/Inputs!$B$43),IF(Inputs!$B$38="pvp",MIN((Skills!S3*(1+(Inputs!$B$34+IF(Inputs!$B$3&gt;=117,F2003,0))/100)),15)/15,(Skills!S3*(1+(Inputs!$B$34+IF(Inputs!$B$3&gt;=117,F2003,0))/100))/Skills!D3)),0)+IF(C1985=TRUE,F1985*IF(AND(Inputs!$B$38&lt;&gt;"pvp",Inputs!$B$43&gt;0),(((R1985-1)*(Skills!S4*(1+(Inputs!$B$34+IF(Inputs!$B$3&gt;=117,F2003,0))/100))+MIN((Skills!S4*(1+(Inputs!$B$34+IF(Inputs!$B$3&gt;=117,F2003,0))/100)),MAX(0,Inputs!$B$43-((R1985-1)*Skills!D4))))/Inputs!$B$43),IF(Inputs!$B$38="pvp",MIN((Skills!S4*(1+(Inputs!$B$34+IF(Inputs!$B$3&gt;=117,F2003,0))/100)),15)/15,(Skills!S4*(1+(Inputs!$B$34+IF(Inputs!$B$3&gt;=117,F2003,0)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1997=TRUE,(1+F1997*IF(AND(Inputs!$B$38&lt;&gt;"pvp",Inputs!$B$43&gt;0),(((R1997-1)*(Skills!S16*(1+(Inputs!$B$34+IF(Inputs!$B$3&gt;=117,F2003,0))/100))+MIN((Skills!S16*(1+(Inputs!$B$34+IF(Inputs!$B$3&gt;=117,F2003,0))/100)),MAX(0,Inputs!$B$43-((R1997-1)*Skills!D16))))/Inputs!$B$43),IF(Inputs!$B$38="pvp",MIN((Skills!S16*(1+(Inputs!$B$34+IF(Inputs!$B$3&gt;=117,F2003,0))/100)),15)/15,(Skills!S16*(1+(Inputs!$B$34+IF(Inputs!$B$3&gt;=117,F2003,0))/100))/Skills!D16))/100),1)</f>
        <v/>
      </c>
    </row>
    <row r="2008">
      <c r="A2008" t="inlineStr">
        <is>
          <t>Monster Damage Taken Bonus % (Freezing Breath - Weaken + Elemental Reset + Artifact Enemy Damage Taken, summed)</t>
        </is>
      </c>
      <c r="B2008">
        <f>IF(Inputs!$B$3&gt;=118,15*IF(Inputs!$B$38="pvp",MIN((30*(1+(Inputs!$B$34+IF(Inputs!$B$3&gt;=117,F2003,0))/100)),15)/15,(30*(1+(Inputs!$B$34+IF(Inputs!$B$3&gt;=117,F2003,0))/100))/Skills!D8),0)+IF(C1995=TRUE,F1995,0)+(IF(AND(ArtifactsInput!$M$35,Inputs!$B$4&lt;&gt;"Chapter Hunt"),CHOOSE(ArtifactsInput!$N$35+1,15,18,21,24,27,30)*(1-EXP(-(0.2*B2011)*5)),0)+IF(AND(ArtifactsInput!$M$22,Inputs!$B$4&lt;&gt;"Chapter Hunt"),CHOOSE(ArtifactsInput!$N$22+1,10,12,14,16,18,20)*((0*(((0.15*B2011*5))^0/1)+1*(((0.15*B2011*5))^1/1)+2*(((0.15*B2011*5))^2/2)+3*(((0.15*B2011*5))^3/6)+4*(((0.15*B2011*5))^4/24)+5*(((0.15*B2011*5))^5/120))/((((0.15*B2011*5))^0/1)+(((0.15*B2011*5))^1/1)+(((0.15*B2011*5))^2/2)+(((0.15*B2011*5))^3/6)+(((0.15*B2011*5))^4/24)+(((0.15*B2011*5))^5/120))),0))</f>
        <v/>
      </c>
    </row>
    <row r="2009">
      <c r="A2009" t="inlineStr">
        <is>
          <t>Damage % Bonus (Frozen Break + Frost Clutch, flat)</t>
        </is>
      </c>
      <c r="B2009">
        <f>IF(Inputs!$B$3&gt;=66,15,0)+IF(Inputs!$B$3&gt;=98,10,0)+IF(Inputs!$B$3&gt;=125,20,0)</f>
        <v/>
      </c>
    </row>
    <row r="2010">
      <c r="A2010" t="inlineStr">
        <is>
          <t>Attack Speed Bonus % (MP Eater - MP Boost, always-on once unlocked)</t>
        </is>
      </c>
      <c r="B2010">
        <f>IF(C1994=TRUE,F1994+(F1998-Calc!F17),0)</f>
        <v/>
      </c>
    </row>
    <row r="2011">
      <c r="A2011" t="inlineStr">
        <is>
          <t>Actions Per Second</t>
        </is>
      </c>
      <c r="B2011">
        <f>1+MIN(150,150*(1-(1-(Inputs!$B$11+(ArtifactsInput!$M$15-ArtifactsInput!$M$15)*CHOOSE(ArtifactsInput!$N$15+1,8,9.6,11.2,12.8,14.4,16))/150)*(1-B2010/150)))/100</f>
        <v/>
      </c>
    </row>
    <row r="2012">
      <c r="A2012" t="inlineStr">
        <is>
          <t>Skill + Buff Cast Rate</t>
        </is>
      </c>
      <c r="B2012">
        <f>IF(AND(Inputs!$B$38&lt;&gt;"pvp",Inputs!$B$43&gt;0),SUMPRODUCT((Skills!E2:E23=TRUE)*(C1983:C2004=TRUE)*R1983:R2004)/Inputs!$B$43,SUMPRODUCT((Skills!E2:E23=TRUE)*(C1983:C2004=TRUE)*Q1983:Q2004))</f>
        <v/>
      </c>
    </row>
    <row r="2013">
      <c r="A2013" t="inlineStr">
        <is>
          <t>Chain Lightning Casts Per Second</t>
        </is>
      </c>
      <c r="B2013">
        <f>MAX(0,B2011-B2012)</f>
        <v/>
      </c>
    </row>
    <row r="2014">
      <c r="A2014" t="inlineStr">
        <is>
          <t>Buff-Casting Startup Delay (s, fixed-duration only)</t>
        </is>
      </c>
      <c r="B2014">
        <f>IF(AND(Inputs!$B$38&lt;&gt;"pvp",Inputs!$B$43&gt;0),SUMPRODUCT((Skills!S2:S23&gt;0)*(Skills!E2:E23=TRUE)*(C1983:C2004=TRUE))/B2011,0)</f>
        <v/>
      </c>
    </row>
    <row r="2015">
      <c r="A2015" t="inlineStr">
        <is>
          <t>Boss-Only Total DPS (this block's swept value)</t>
        </is>
      </c>
      <c r="B2015">
        <f>SUM(S1983:S2004)</f>
        <v/>
      </c>
    </row>
    <row r="2016">
      <c r="A2016" t="inlineStr">
        <is>
          <t>Normal-Only Total DPS (this block's swept value)</t>
        </is>
      </c>
      <c r="B2016">
        <f>SUM(U1983:U2004)</f>
        <v/>
      </c>
    </row>
    <row r="2017">
      <c r="A2017" s="6" t="inlineStr">
        <is>
          <t>TOTAL DPS</t>
        </is>
      </c>
      <c r="B2017" s="6">
        <f>SUM(O1983:O2004)</f>
        <v/>
      </c>
    </row>
    <row r="2020">
      <c r="A2020" s="6" t="inlineStr">
        <is>
          <t>Stat: Flaming Lava (Equip)</t>
        </is>
      </c>
    </row>
    <row r="2021">
      <c r="A2021" s="5" t="inlineStr">
        <is>
          <t>Key</t>
        </is>
      </c>
      <c r="B2021" s="5" t="inlineStr">
        <is>
          <t>Name</t>
        </is>
      </c>
      <c r="C2021" s="5" t="inlineStr">
        <is>
          <t>Unlocked</t>
        </is>
      </c>
      <c r="D2021" s="5" t="inlineStr">
        <is>
          <t>InputLevel</t>
        </is>
      </c>
      <c r="E2021" s="5" t="inlineStr">
        <is>
          <t>Factor</t>
        </is>
      </c>
      <c r="F2021" s="5" t="inlineStr">
        <is>
          <t>CoefficientPercent</t>
        </is>
      </c>
      <c r="G2021" s="5" t="inlineStr">
        <is>
          <t>EffectiveHits</t>
        </is>
      </c>
      <c r="H2021" s="5" t="inlineStr">
        <is>
          <t>ProcProbability</t>
        </is>
      </c>
      <c r="I2021" s="5" t="inlineStr">
        <is>
          <t>MapleHeroMultiplier</t>
        </is>
      </c>
      <c r="J2021" s="5" t="inlineStr">
        <is>
          <t>BaseDamage</t>
        </is>
      </c>
      <c r="K2021" s="5" t="inlineStr">
        <is>
          <t>BaseHitDamage</t>
        </is>
      </c>
      <c r="L2021" s="5" t="inlineStr">
        <is>
          <t>NonCritAvg</t>
        </is>
      </c>
      <c r="M2021" s="5" t="inlineStr">
        <is>
          <t>CritAvg</t>
        </is>
      </c>
      <c r="N2021" s="5" t="inlineStr">
        <is>
          <t>ExpectedDamage(perHit)</t>
        </is>
      </c>
      <c r="O2021" s="5" t="inlineStr">
        <is>
          <t>DPS</t>
        </is>
      </c>
      <c r="P2021" s="5" t="inlineStr">
        <is>
          <t>% of Total</t>
        </is>
      </c>
      <c r="R2021" t="inlineStr">
        <is>
          <t>helpers</t>
        </is>
      </c>
    </row>
    <row r="2022">
      <c r="A2022">
        <f>Skills!A2</f>
        <v/>
      </c>
      <c r="B2022">
        <f>Skills!B2</f>
        <v/>
      </c>
      <c r="C2022">
        <f>Inputs!$B$3&gt;=100</f>
        <v/>
      </c>
      <c r="D2022" t="inlineStr"/>
      <c r="E2022" t="inlineStr"/>
      <c r="F2022">
        <f>T2024+Skills!N2</f>
        <v/>
      </c>
      <c r="G2022">
        <f>Calc!G2</f>
        <v/>
      </c>
      <c r="H2022">
        <f>Calc!H2</f>
        <v/>
      </c>
      <c r="I2022">
        <f>IF(Skills!T2&lt;&gt;"",1+(Skills!T2/10)*(Z2023/1000)/100,1)</f>
        <v/>
      </c>
      <c r="J2022">
        <f>((Inputs!$B$6*(1+Inputs!$B$7/100))+(((Inputs!$B$12*(1+Inputs!$B$13/100))-(Inputs!$B$12*(1+Inputs!$B$13/100)))+0.25*(Inputs!$B$14-Inputs!$B$14))*(1+Inputs!$B$7/100))*(F2022/100)</f>
        <v/>
      </c>
      <c r="K2022">
        <f>J2022*(1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2038-Calc!F18),(Inputs!$B$23+(IF(ArtifactsInput!$M$15,CHOOSE(ArtifactsInput!$N$15+1,25,30,35,40,45,50)/100*(Inputs!$B$11-Inputs!$B$11),0))))/100+(Inputs!$B$23+(IF(ArtifactsInput!$M$15,CHOOSE(ArtifactsInput!$N$15+1,25,30,35,40,45,50)/100*(Inputs!$B$11-Inputs!$B$11),0)))/100)/2</f>
        <v/>
      </c>
      <c r="M2022">
        <f>L2022*(1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IF(B2056=0,0,O2022/B2056)</f>
        <v/>
      </c>
      <c r="Q2022">
        <f>IFERROR(1/IF(Inputs!$B$38="pvp",15,MAX(0.1,Skills!D2-IF(Skills!E2=TRUE,Inputs!$B$32,0))),0)</f>
        <v/>
      </c>
      <c r="R2022" t="n">
        <v>0</v>
      </c>
      <c r="S2022">
        <f>IF(C2022,(Skills!F2*N2022*B2052)*IF(Inputs!$B$38="pvp",1,1+(Inputs!$B$20+Skills!O2+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22">
        <f>MAX(0,(Inputs!$B$3-100)*3)+Inputs!$B$28+Inputs!$B$29</f>
        <v/>
      </c>
      <c r="U2022">
        <f>IF(C2022,(Skills!F2*N2022*B2052)*IF(Inputs!$B$38="pvp",1,(1+(Inputs!$B$21+Skills!P2+B2047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22">
        <f>MAX(0,(Inputs!$B$3-100)*3)+Inputs!$B$28+Inputs!$B$29</f>
        <v/>
      </c>
    </row>
    <row r="2023">
      <c r="A2023">
        <f>Skills!A3</f>
        <v/>
      </c>
      <c r="B2023">
        <f>Skills!B3</f>
        <v/>
      </c>
      <c r="C2023">
        <f>Inputs!$B$3&gt;=15</f>
        <v/>
      </c>
      <c r="D2023">
        <f>IF(Skills!C3=1,60+Inputs!$B$25+Inputs!$B$29,IF(Skills!C3=2,90+Inputs!$B$26+Inputs!$B$29,IF(Skills!C3=3,120+Inputs!$B$27+Inputs!$B$29,MAX(0,(Inputs!$B$3-100)*3)+Inputs!$B$28+Inputs!$B$29)))</f>
        <v/>
      </c>
      <c r="E2023">
        <f>INDEX(FactorTable!$B$2:$Y$301, MATCH(ROUND(MIN(300,MAX(1,D2023)),0), FactorTable!$A$2:$A$301,0), Skills!L3+1)</f>
        <v/>
      </c>
      <c r="F2023">
        <f>IF(Skills!M3=TRUE,(Skills!K3/10)*(E2023/1000),Skills!K3/10)+Skills!N3</f>
        <v/>
      </c>
      <c r="G2023">
        <f>Calc!G3</f>
        <v/>
      </c>
      <c r="H2023">
        <f>Calc!H3</f>
        <v/>
      </c>
      <c r="I2023">
        <f>IF(Skills!T3&lt;&gt;"",1+(Skills!T3/10)*(Z2023/1000)/100,1)</f>
        <v/>
      </c>
      <c r="J2023" t="inlineStr"/>
      <c r="K2023" t="inlineStr"/>
      <c r="L2023" t="inlineStr"/>
      <c r="M2023" t="inlineStr"/>
      <c r="N2023" t="inlineStr"/>
      <c r="O2023">
        <f>(1-Summary!$B$11)*S2023+Summary!$B$11*U2023</f>
        <v/>
      </c>
      <c r="P2023">
        <f>IF(B2056=0,0,O2023/B2056)</f>
        <v/>
      </c>
      <c r="Q2023">
        <f>IFERROR(1/IF(Inputs!$B$38="pvp",15,MAX(0.1,Skills!D3-IF(Skills!E3=TRUE,Inputs!$B$32,0))),0)</f>
        <v/>
      </c>
      <c r="R2023">
        <f>IF(AND(Inputs!$B$38&lt;&gt;"pvp",Inputs!$B$43&gt;0),IF(Inputs!$B$43&lt;=0,0,(INT(Inputs!$B$43/IF(Inputs!$B$38="pvp",15,MAX(0.1,Skills!D3-IF(Skills!E3=TRUE,Inputs!$B$32,0))))+1)),0)</f>
        <v/>
      </c>
      <c r="S2023" t="n">
        <v>0</v>
      </c>
      <c r="T2023">
        <f>INDEX(FactorTable!$B$2:$Y$301, MATCH(ROUND(MIN(300,MAX(1,T2022)),0), FactorTable!$A$2:$A$301,0), 22)</f>
        <v/>
      </c>
      <c r="U2023" t="n">
        <v>0</v>
      </c>
      <c r="Z2023">
        <f>INDEX(FactorTable!$B$2:$Y$301, MATCH(ROUND(MIN(300,MAX(1,Z2022)),0), FactorTable!$A$2:$A$301,0), 24)</f>
        <v/>
      </c>
    </row>
    <row r="2024">
      <c r="A2024">
        <f>Skills!A4</f>
        <v/>
      </c>
      <c r="B2024">
        <f>Skills!B4</f>
        <v/>
      </c>
      <c r="C2024">
        <f>Inputs!$B$3&gt;=40</f>
        <v/>
      </c>
      <c r="D2024">
        <f>IF(Skills!C4=1,60+Inputs!$B$25+Inputs!$B$29,IF(Skills!C4=2,90+Inputs!$B$26+Inputs!$B$29,IF(Skills!C4=3,120+Inputs!$B$27+Inputs!$B$29,MAX(0,(Inputs!$B$3-100)*3)+Inputs!$B$28+Inputs!$B$29)))</f>
        <v/>
      </c>
      <c r="E2024">
        <f>INDEX(FactorTable!$B$2:$Y$301, MATCH(ROUND(MIN(300,MAX(1,D2024)),0), FactorTable!$A$2:$A$301,0), Skills!L4+1)</f>
        <v/>
      </c>
      <c r="F2024">
        <f>IF(Skills!M4=TRUE,(Skills!K4/10)*(E2024/1000),Skills!K4/10)+Skills!N4</f>
        <v/>
      </c>
      <c r="G2024">
        <f>Calc!G4</f>
        <v/>
      </c>
      <c r="H2024">
        <f>Calc!H4</f>
        <v/>
      </c>
      <c r="I2024">
        <f>IF(Skills!T4&lt;&gt;"",1+(Skills!T4/10)*(Z2023/1000)/100,1)</f>
        <v/>
      </c>
      <c r="J2024" t="inlineStr"/>
      <c r="K2024" t="inlineStr"/>
      <c r="L2024" t="inlineStr"/>
      <c r="M2024" t="inlineStr"/>
      <c r="N2024" t="inlineStr"/>
      <c r="O2024">
        <f>(1-Summary!$B$11)*S2024+Summary!$B$11*U2024</f>
        <v/>
      </c>
      <c r="P2024">
        <f>IF(B2056=0,0,O2024/B2056)</f>
        <v/>
      </c>
      <c r="Q2024">
        <f>IFERROR(1/IF(Inputs!$B$38="pvp",15,MAX(0.1,Skills!D4-IF(Skills!E4=TRUE,Inputs!$B$32,0))),0)</f>
        <v/>
      </c>
      <c r="R2024">
        <f>IF(AND(Inputs!$B$38&lt;&gt;"pvp",Inputs!$B$43&gt;0),IF(Inputs!$B$43&lt;=0,0,(INT(Inputs!$B$43/IF(Inputs!$B$38="pvp",15,MAX(0.1,Skills!D4-IF(Skills!E4=TRUE,Inputs!$B$32,0))))+1)),0)</f>
        <v/>
      </c>
      <c r="S2024" t="n">
        <v>0</v>
      </c>
      <c r="T2024">
        <f>290*T2023/1000</f>
        <v/>
      </c>
      <c r="U2024" t="n">
        <v>0</v>
      </c>
    </row>
    <row r="2025">
      <c r="A2025">
        <f>Skills!A5</f>
        <v/>
      </c>
      <c r="B2025">
        <f>Skills!B5</f>
        <v/>
      </c>
      <c r="C2025">
        <f>Inputs!$B$3&gt;=38</f>
        <v/>
      </c>
      <c r="D2025">
        <f>IF(Skills!C5=1,60+Inputs!$B$25+Inputs!$B$29,IF(Skills!C5=2,90+Inputs!$B$26+Inputs!$B$29,IF(Skills!C5=3,120+Inputs!$B$27+Inputs!$B$29,MAX(0,(Inputs!$B$3-100)*3)+Inputs!$B$28+Inputs!$B$29)))</f>
        <v/>
      </c>
      <c r="E2025">
        <f>INDEX(FactorTable!$B$2:$Y$301, MATCH(ROUND(MIN(300,MAX(1,D2025)),0), FactorTable!$A$2:$A$301,0), Skills!L5+1)</f>
        <v/>
      </c>
      <c r="F2025">
        <f>IF(Skills!M5=TRUE,(Skills!K5/10)*(E2025/1000),Skills!K5/10)+Skills!N5</f>
        <v/>
      </c>
      <c r="G2025">
        <f>Calc!G5</f>
        <v/>
      </c>
      <c r="H2025">
        <f>Calc!H5</f>
        <v/>
      </c>
      <c r="I2025">
        <f>IF(Skills!T5&lt;&gt;"",1+(Skills!T5/10)*(Z2023/1000)/100,1)</f>
        <v/>
      </c>
      <c r="J2025">
        <f>((Inputs!$B$6*(1+Inputs!$B$7/100))+(((Inputs!$B$12*(1+Inputs!$B$13/100))-(Inputs!$B$12*(1+Inputs!$B$13/100)))+0.25*(Inputs!$B$14-Inputs!$B$14))*(1+Inputs!$B$7/100))*(F2025/100)</f>
        <v/>
      </c>
      <c r="K2025">
        <f>J2025*(1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2025)</f>
        <v/>
      </c>
      <c r="L2025">
        <f>K2025*(MIN(Inputs!$B$22+(F2038-Calc!F18),(Inputs!$B$23+(IF(ArtifactsInput!$M$15,CHOOSE(ArtifactsInput!$N$15+1,25,30,35,40,45,50)/100*(Inputs!$B$11-Inputs!$B$11),0))))/100+(Inputs!$B$23+(IF(ArtifactsInput!$M$15,CHOOSE(ArtifactsInput!$N$15+1,25,30,35,40,45,50)/100*(Inputs!$B$11-Inputs!$B$11),0)))/100)/2</f>
        <v/>
      </c>
      <c r="M2025">
        <f>L2025*(1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5">
        <f>L2025*(1-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2025*(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5">
        <f>(1-Summary!$B$11)*S2025+Summary!$B$11*U2025</f>
        <v/>
      </c>
      <c r="P2025">
        <f>IF(B2056=0,0,O2025/B2056)</f>
        <v/>
      </c>
      <c r="Q2025">
        <f>IFERROR(1/IF(Inputs!$B$38="pvp",15,MAX(0.1,Skills!D5-IF(Skills!E5=TRUE,Inputs!$B$32,0))),0)</f>
        <v/>
      </c>
      <c r="R2025">
        <f>IF(AND(Inputs!$B$38&lt;&gt;"pvp",Inputs!$B$43&gt;0),IF(MAX(0,Inputs!$B$43-B2053)&lt;=0,0,(INT(MAX(0,Inputs!$B$43-B2053)/IF(Inputs!$B$38="pvp",15,MAX(0.1,Skills!D5-IF(Skills!E5=TRUE,Inputs!$B$32,0))))+1)),0)</f>
        <v/>
      </c>
      <c r="S2025">
        <f>IF(C2025,(H2025*N2025*IF(AND(Inputs!$B$38&lt;&gt;"pvp",Inputs!$B$43&gt;0),((Skills!F5*((R2025-1)*IF(Skills!G5&gt;0,Skills!H5/Skills!G5,1)+IF(Skills!G5&gt;0,MIN(Skills!H5,MAX(0,MAX(0,Inputs!$B$43-B2053)-((R2025-1)*IF(Inputs!$B$38="pvp",15,MAX(0.1,Skills!D5-IF(Skills!E5=TRUE,Inputs!$B$32,0))))))/Skills!G5,1)))/Inputs!$B$43),G2025*Q2025))*IF(Inputs!$B$38="pvp",1,1+(Inputs!$B$20+Skills!O5+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2025*(1-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2025*(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2025*(1-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2025*(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5">
        <f>IF(C2025,(H2025*N2025*IF(AND(Inputs!$B$38&lt;&gt;"pvp",Inputs!$B$43&gt;0),((Skills!F5*((R2025-1)*IF(Skills!G5&gt;0,Skills!H5/Skills!G5,1)+IF(Skills!G5&gt;0,MIN(Skills!H5,MAX(0,MAX(0,Inputs!$B$43-B2053)-((R2025-1)*IF(Inputs!$B$38="pvp",15,MAX(0.1,Skills!D5-IF(Skills!E5=TRUE,Inputs!$B$32,0))))))/Skills!G5,1)))/Inputs!$B$43),G2025*Q2025))*IF(Inputs!$B$38="pvp",1,(1+(Inputs!$B$21+Skills!P5+B2047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6">
      <c r="A2026">
        <f>Skills!A6</f>
        <v/>
      </c>
      <c r="B2026">
        <f>Skills!B6</f>
        <v/>
      </c>
      <c r="C2026">
        <f>Inputs!$B$3&gt;=63</f>
        <v/>
      </c>
      <c r="D2026">
        <f>IF(Skills!C6=1,60+Inputs!$B$25+Inputs!$B$29,IF(Skills!C6=2,90+Inputs!$B$26+Inputs!$B$29,IF(Skills!C6=3,120+Inputs!$B$27+Inputs!$B$29,MAX(0,(Inputs!$B$3-100)*3)+Inputs!$B$28+Inputs!$B$29)))</f>
        <v/>
      </c>
      <c r="E2026">
        <f>INDEX(FactorTable!$B$2:$Y$301, MATCH(ROUND(MIN(300,MAX(1,D2026)),0), FactorTable!$A$2:$A$301,0), Skills!L6+1)</f>
        <v/>
      </c>
      <c r="F2026">
        <f>IF(Skills!M6=TRUE,(Skills!K6/10)*(E2026/1000),Skills!K6/10)+Skills!N6</f>
        <v/>
      </c>
      <c r="G2026">
        <f>Calc!G6</f>
        <v/>
      </c>
      <c r="H2026">
        <f>Calc!H6</f>
        <v/>
      </c>
      <c r="I2026">
        <f>IF(Skills!T6&lt;&gt;"",1+(Skills!T6/10)*(Z2023/1000)/100,1)</f>
        <v/>
      </c>
      <c r="J2026">
        <f>((Inputs!$B$6*(1+Inputs!$B$7/100))+(((Inputs!$B$12*(1+Inputs!$B$13/100))-(Inputs!$B$12*(1+Inputs!$B$13/100)))+0.25*(Inputs!$B$14-Inputs!$B$14))*(1+Inputs!$B$7/100))*(F2026/100)</f>
        <v/>
      </c>
      <c r="K2026">
        <f>J2026*(1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2026)</f>
        <v/>
      </c>
      <c r="L2026">
        <f>K2026*(MIN(Inputs!$B$22+(F2038-Calc!F18),(Inputs!$B$23+(IF(ArtifactsInput!$M$15,CHOOSE(ArtifactsInput!$N$15+1,25,30,35,40,45,50)/100*(Inputs!$B$11-Inputs!$B$11),0))))/100+(Inputs!$B$23+(IF(ArtifactsInput!$M$15,CHOOSE(ArtifactsInput!$N$15+1,25,30,35,40,45,50)/100*(Inputs!$B$11-Inputs!$B$11),0)))/100)/2</f>
        <v/>
      </c>
      <c r="M2026">
        <f>L2026*(1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6">
        <f>L2026*(1-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2026*(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6">
        <f>(1-Summary!$B$11)*S2026+Summary!$B$11*U2026</f>
        <v/>
      </c>
      <c r="P2026">
        <f>IF(B2056=0,0,O2026/B2056)</f>
        <v/>
      </c>
      <c r="Q2026">
        <f>IFERROR(1/IF(Inputs!$B$38="pvp",15,MAX(0.1,Skills!D6-IF(Skills!E6=TRUE,Inputs!$B$32,0))),0)</f>
        <v/>
      </c>
      <c r="R2026">
        <f>IF(AND(Inputs!$B$38&lt;&gt;"pvp",Inputs!$B$43&gt;0),IF(MAX(0,Inputs!$B$43-B2053)&lt;=0,0,(INT(MAX(0,Inputs!$B$43-B2053)/IF(Inputs!$B$38="pvp",15,MAX(0.1,Skills!D6-IF(Skills!E6=TRUE,Inputs!$B$32,0))))+1)),0)</f>
        <v/>
      </c>
      <c r="S2026">
        <f>IF(C2026,(H2026*N2026*IF(AND(Inputs!$B$38&lt;&gt;"pvp",Inputs!$B$43&gt;0),((Skills!F6*((R2026-1)*IF(Skills!G6&gt;0,Skills!H6/Skills!G6,1)+IF(Skills!G6&gt;0,MIN(Skills!H6,MAX(0,MAX(0,Inputs!$B$43-B2053)-((R2026-1)*IF(Inputs!$B$38="pvp",15,MAX(0.1,Skills!D6-IF(Skills!E6=TRUE,Inputs!$B$32,0))))))/Skills!G6,1)))/Inputs!$B$43),G2026*Q2026))*IF(Inputs!$B$38="pvp",1,1+(Inputs!$B$20+Skills!O6+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2026*(1-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2026*(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2026*(1-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2026*(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6">
        <f>IF(C2026,(H2026*N2026*IF(AND(Inputs!$B$38&lt;&gt;"pvp",Inputs!$B$43&gt;0),((Skills!F6*((R2026-1)*IF(Skills!G6&gt;0,Skills!H6/Skills!G6,1)+IF(Skills!G6&gt;0,MIN(Skills!H6,MAX(0,MAX(0,Inputs!$B$43-B2053)-((R2026-1)*IF(Inputs!$B$38="pvp",15,MAX(0.1,Skills!D6-IF(Skills!E6=TRUE,Inputs!$B$32,0))))))/Skills!G6,1)))/Inputs!$B$43),G2026*Q2026))*IF(Inputs!$B$38="pvp",1,(1+(Inputs!$B$21+Skills!P6+B2047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7">
      <c r="A2027">
        <f>Skills!A7</f>
        <v/>
      </c>
      <c r="B2027">
        <f>Skills!B7</f>
        <v/>
      </c>
      <c r="C2027">
        <f>Inputs!$B$3&gt;=69</f>
        <v/>
      </c>
      <c r="D2027">
        <f>IF(Skills!C7=1,60+Inputs!$B$25+Inputs!$B$29,IF(Skills!C7=2,90+Inputs!$B$26+Inputs!$B$29,IF(Skills!C7=3,120+Inputs!$B$27+Inputs!$B$29,MAX(0,(Inputs!$B$3-100)*3)+Inputs!$B$28+Inputs!$B$29)))</f>
        <v/>
      </c>
      <c r="E2027">
        <f>INDEX(FactorTable!$B$2:$Y$301, MATCH(ROUND(MIN(300,MAX(1,D2027)),0), FactorTable!$A$2:$A$301,0), Skills!L7+1)</f>
        <v/>
      </c>
      <c r="F2027">
        <f>IF(Skills!M7=TRUE,(Skills!K7/10)*(E2027/1000),Skills!K7/10)+Skills!N7</f>
        <v/>
      </c>
      <c r="G2027">
        <f>Calc!G7</f>
        <v/>
      </c>
      <c r="H2027">
        <f>Calc!H7</f>
        <v/>
      </c>
      <c r="I2027">
        <f>IF(Skills!T7&lt;&gt;"",1+(Skills!T7/10)*(Z2023/1000)/100,1)</f>
        <v/>
      </c>
      <c r="J2027">
        <f>((Inputs!$B$6*(1+Inputs!$B$7/100))+(((Inputs!$B$12*(1+Inputs!$B$13/100))-(Inputs!$B$12*(1+Inputs!$B$13/100)))+0.25*(Inputs!$B$14-Inputs!$B$14))*(1+Inputs!$B$7/100))*(F2027/100)</f>
        <v/>
      </c>
      <c r="K2027">
        <f>J2027*(1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2027)</f>
        <v/>
      </c>
      <c r="L2027">
        <f>K2027*(MIN(Inputs!$B$22+(F2038-Calc!F18),(Inputs!$B$23+(IF(ArtifactsInput!$M$15,CHOOSE(ArtifactsInput!$N$15+1,25,30,35,40,45,50)/100*(Inputs!$B$11-Inputs!$B$11),0))))/100+(Inputs!$B$23+(IF(ArtifactsInput!$M$15,CHOOSE(ArtifactsInput!$N$15+1,25,30,35,40,45,50)/100*(Inputs!$B$11-Inputs!$B$11),0)))/100)/2</f>
        <v/>
      </c>
      <c r="M2027">
        <f>L2027*(1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7">
        <f>L2027*(1-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2027*(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7">
        <f>(1-Summary!$B$11)*S2027+Summary!$B$11*U2027</f>
        <v/>
      </c>
      <c r="P2027">
        <f>IF(B2056=0,0,O2027/B2056)</f>
        <v/>
      </c>
      <c r="Q2027">
        <f>IFERROR(1/IF(Inputs!$B$38="pvp",15,MAX(0.1,Skills!D7-IF(Skills!E7=TRUE,Inputs!$B$32,0))),0)</f>
        <v/>
      </c>
      <c r="R2027">
        <f>IF(AND(Inputs!$B$38&lt;&gt;"pvp",Inputs!$B$43&gt;0),IF(MAX(0,Inputs!$B$43-B2053)&lt;=0,0,(INT(MAX(0,Inputs!$B$43-B2053)/IF(Inputs!$B$38="pvp",15,MAX(0.1,Skills!D7-IF(Skills!E7=TRUE,Inputs!$B$32,0))))+1)),0)</f>
        <v/>
      </c>
      <c r="S2027">
        <f>IF(C2027,(H2027*N2027*IF(AND(Inputs!$B$38&lt;&gt;"pvp",Inputs!$B$43&gt;0),((Skills!F7*((R2027-1)*IF(Skills!G7&gt;0,Skills!H7/Skills!G7,1)+IF(Skills!G7&gt;0,MIN(Skills!H7,MAX(0,MAX(0,Inputs!$B$43-B2053)-((R2027-1)*IF(Inputs!$B$38="pvp",15,MAX(0.1,Skills!D7-IF(Skills!E7=TRUE,Inputs!$B$32,0))))))/Skills!G7,1)))/Inputs!$B$43),G2027*Q2027))*IF(Inputs!$B$38="pvp",1,1+(Inputs!$B$20+Skills!O7+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2027*(1-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2027*(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2027*(1-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2027*(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7">
        <f>IF(C2027,(H2027*N2027*IF(AND(Inputs!$B$38&lt;&gt;"pvp",Inputs!$B$43&gt;0),((Skills!F7*((R2027-1)*IF(Skills!G7&gt;0,Skills!H7/Skills!G7,1)+IF(Skills!G7&gt;0,MIN(Skills!H7,MAX(0,MAX(0,Inputs!$B$43-B2053)-((R2027-1)*IF(Inputs!$B$38="pvp",15,MAX(0.1,Skills!D7-IF(Skills!E7=TRUE,Inputs!$B$32,0))))))/Skills!G7,1)))/Inputs!$B$43),G2027*Q2027))*IF(Inputs!$B$38="pvp",1,(1+(Inputs!$B$21+Skills!P7+B2047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8">
      <c r="A2028">
        <f>Skills!A8</f>
        <v/>
      </c>
      <c r="B2028">
        <f>Skills!B8</f>
        <v/>
      </c>
      <c r="C2028">
        <f>Inputs!$B$3&gt;=103</f>
        <v/>
      </c>
      <c r="D2028">
        <f>IF(Skills!C8=1,60+Inputs!$B$25+Inputs!$B$29,IF(Skills!C8=2,90+Inputs!$B$26+Inputs!$B$29,IF(Skills!C8=3,120+Inputs!$B$27+Inputs!$B$29,MAX(0,(Inputs!$B$3-100)*3)+Inputs!$B$28+Inputs!$B$29)))</f>
        <v/>
      </c>
      <c r="E2028">
        <f>INDEX(FactorTable!$B$2:$Y$301, MATCH(ROUND(MIN(300,MAX(1,D2028)),0), FactorTable!$A$2:$A$301,0), Skills!L8+1)</f>
        <v/>
      </c>
      <c r="F2028">
        <f>IF(Skills!M8=TRUE,(Skills!K8/10)*(E2028/1000),Skills!K8/10)+Skills!N8</f>
        <v/>
      </c>
      <c r="G2028">
        <f>Calc!G8</f>
        <v/>
      </c>
      <c r="H2028">
        <f>Calc!H8</f>
        <v/>
      </c>
      <c r="I2028">
        <f>IF(Skills!T8&lt;&gt;"",1+(Skills!T8/10)*(Z2023/1000)/100,1)</f>
        <v/>
      </c>
      <c r="J2028">
        <f>((Inputs!$B$6*(1+Inputs!$B$7/100))+(((Inputs!$B$12*(1+Inputs!$B$13/100))-(Inputs!$B$12*(1+Inputs!$B$13/100)))+0.25*(Inputs!$B$14-Inputs!$B$14))*(1+Inputs!$B$7/100))*(F2028/100)</f>
        <v/>
      </c>
      <c r="K2028">
        <f>J2028*(1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2028)</f>
        <v/>
      </c>
      <c r="L2028">
        <f>K2028*(MIN(Inputs!$B$22+(F2038-Calc!F18),(Inputs!$B$23+(IF(ArtifactsInput!$M$15,CHOOSE(ArtifactsInput!$N$15+1,25,30,35,40,45,50)/100*(Inputs!$B$11-Inputs!$B$11),0))))/100+(Inputs!$B$23+(IF(ArtifactsInput!$M$15,CHOOSE(ArtifactsInput!$N$15+1,25,30,35,40,45,50)/100*(Inputs!$B$11-Inputs!$B$11),0)))/100)/2</f>
        <v/>
      </c>
      <c r="M2028">
        <f>L2028*(1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8">
        <f>L2028*(1-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2028*(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8">
        <f>(1-Summary!$B$11)*S2028+Summary!$B$11*U2028</f>
        <v/>
      </c>
      <c r="P2028">
        <f>IF(B2056=0,0,O2028/B2056)</f>
        <v/>
      </c>
      <c r="Q2028">
        <f>IFERROR(1/IF(Inputs!$B$38="pvp",15,MAX(0.1,Skills!D8-IF(Skills!E8=TRUE,Inputs!$B$32,0))),0)</f>
        <v/>
      </c>
      <c r="R2028">
        <f>IF(AND(Inputs!$B$38&lt;&gt;"pvp",Inputs!$B$43&gt;0),IF(MAX(0,Inputs!$B$43-B2053)&lt;=0,0,(INT(MAX(0,Inputs!$B$43-B2053)/IF(Inputs!$B$38="pvp",15,MAX(0.1,Skills!D8-IF(Skills!E8=TRUE,Inputs!$B$32,0))))+1)),0)</f>
        <v/>
      </c>
      <c r="S2028">
        <f>IF(C2028,(H2028*N2028*IF(AND(Inputs!$B$38&lt;&gt;"pvp",Inputs!$B$43&gt;0),((Skills!F8*((R2028-1)*IF(Skills!G8&gt;0,Skills!H8/Skills!G8,1)+IF(Skills!G8&gt;0,MIN(Skills!H8,MAX(0,MAX(0,Inputs!$B$43-B2053)-((R2028-1)*IF(Inputs!$B$38="pvp",15,MAX(0.1,Skills!D8-IF(Skills!E8=TRUE,Inputs!$B$32,0))))))/Skills!G8,1)))/Inputs!$B$43),G2028*Q2028))*IF(Inputs!$B$38="pvp",1,1+(Inputs!$B$20+Skills!O8+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2028*(1-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2028*(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2028*(1-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2028*(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8">
        <f>IF(C2028,(H2028*N2028*IF(AND(Inputs!$B$38&lt;&gt;"pvp",Inputs!$B$43&gt;0),((Skills!F8*((R2028-1)*IF(Skills!G8&gt;0,Skills!H8/Skills!G8,1)+IF(Skills!G8&gt;0,MIN(Skills!H8,MAX(0,MAX(0,Inputs!$B$43-B2053)-((R2028-1)*IF(Inputs!$B$38="pvp",15,MAX(0.1,Skills!D8-IF(Skills!E8=TRUE,Inputs!$B$32,0))))))/Skills!G8,1)))/Inputs!$B$43),G2028*Q2028))*IF(Inputs!$B$38="pvp",1,(1+(Inputs!$B$21+Skills!P8+B2047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9">
      <c r="A2029">
        <f>Skills!A9</f>
        <v/>
      </c>
      <c r="B2029">
        <f>Skills!B9</f>
        <v/>
      </c>
      <c r="C2029">
        <f>Inputs!$B$3&gt;=105</f>
        <v/>
      </c>
      <c r="D2029">
        <f>IF(Skills!C9=1,60+Inputs!$B$25+Inputs!$B$29,IF(Skills!C9=2,90+Inputs!$B$26+Inputs!$B$29,IF(Skills!C9=3,120+Inputs!$B$27+Inputs!$B$29,MAX(0,(Inputs!$B$3-100)*3)+Inputs!$B$28+Inputs!$B$29)))</f>
        <v/>
      </c>
      <c r="E2029">
        <f>INDEX(FactorTable!$B$2:$Y$301, MATCH(ROUND(MIN(300,MAX(1,D2029)),0), FactorTable!$A$2:$A$301,0), Skills!L9+1)</f>
        <v/>
      </c>
      <c r="F2029">
        <f>IF(Skills!M9=TRUE,(Skills!K9/10)*(E2029/1000),Skills!K9/10)+Skills!N9</f>
        <v/>
      </c>
      <c r="G2029">
        <f>Calc!G9</f>
        <v/>
      </c>
      <c r="H2029">
        <f>Calc!H9</f>
        <v/>
      </c>
      <c r="I2029">
        <f>IF(Skills!T9&lt;&gt;"",1+(Skills!T9/10)*(Z2023/1000)/100,1)</f>
        <v/>
      </c>
      <c r="J2029">
        <f>((Inputs!$B$6*(1+Inputs!$B$7/100))+(((Inputs!$B$12*(1+Inputs!$B$13/100))-(Inputs!$B$12*(1+Inputs!$B$13/100)))+0.25*(Inputs!$B$14-Inputs!$B$14))*(1+Inputs!$B$7/100))*(F2029/100)</f>
        <v/>
      </c>
      <c r="K2029">
        <f>J2029*(1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2029)</f>
        <v/>
      </c>
      <c r="L2029">
        <f>K2029*(MIN(Inputs!$B$22+(F2038-Calc!F18),(Inputs!$B$23+(IF(ArtifactsInput!$M$15,CHOOSE(ArtifactsInput!$N$15+1,25,30,35,40,45,50)/100*(Inputs!$B$11-Inputs!$B$11),0))))/100+(Inputs!$B$23+(IF(ArtifactsInput!$M$15,CHOOSE(ArtifactsInput!$N$15+1,25,30,35,40,45,50)/100*(Inputs!$B$11-Inputs!$B$11),0)))/100)/2</f>
        <v/>
      </c>
      <c r="M2029">
        <f>L2029*(1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9">
        <f>L2029*(1-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2029*(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9">
        <f>(1-Summary!$B$11)*S2029+Summary!$B$11*U2029</f>
        <v/>
      </c>
      <c r="P2029">
        <f>IF(B2056=0,0,O2029/B2056)</f>
        <v/>
      </c>
      <c r="Q2029">
        <f>IFERROR(1/IF(Inputs!$B$38="pvp",15,MAX(0.1,Skills!D9-IF(Skills!E9=TRUE,Inputs!$B$32,0))),0)</f>
        <v/>
      </c>
      <c r="R2029">
        <f>IF(AND(Inputs!$B$38&lt;&gt;"pvp",Inputs!$B$43&gt;0),IF(MAX(0,Inputs!$B$43-B2053)&lt;=0,0,(INT(MAX(0,Inputs!$B$43-B2053)/IF(Inputs!$B$38="pvp",15,MAX(0.1,Skills!D9-IF(Skills!E9=TRUE,Inputs!$B$32,0))))+1)),0)</f>
        <v/>
      </c>
      <c r="S2029">
        <f>IF(C2029,(H2029*N2029*IF(AND(Inputs!$B$38&lt;&gt;"pvp",Inputs!$B$43&gt;0),((Skills!F9*((R2029-1)*IF(Skills!G9&gt;0,Skills!H9/Skills!G9,1)+IF(Skills!G9&gt;0,MIN(Skills!H9,MAX(0,MAX(0,Inputs!$B$43-B2053)-((R2029-1)*IF(Inputs!$B$38="pvp",15,MAX(0.1,Skills!D9-IF(Skills!E9=TRUE,Inputs!$B$32,0))))))/Skills!G9,1)))/Inputs!$B$43),G2029*Q2029))*IF(Inputs!$B$38="pvp",1,1+(Inputs!$B$20+Skills!O9+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2029*(1-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2029*(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2029*(1-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2029*(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9">
        <f>IF(C2029,(H2029*N2029*IF(AND(Inputs!$B$38&lt;&gt;"pvp",Inputs!$B$43&gt;0),((Skills!F9*((R2029-1)*IF(Skills!G9&gt;0,Skills!H9/Skills!G9,1)+IF(Skills!G9&gt;0,MIN(Skills!H9,MAX(0,MAX(0,Inputs!$B$43-B2053)-((R2029-1)*IF(Inputs!$B$38="pvp",15,MAX(0.1,Skills!D9-IF(Skills!E9=TRUE,Inputs!$B$32,0))))))/Skills!G9,1)))/Inputs!$B$43),G2029*Q2029))*IF(Inputs!$B$38="pvp",1,(1+(Inputs!$B$21+Skills!P9+B2047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0">
      <c r="A2030">
        <f>Skills!A10</f>
        <v/>
      </c>
      <c r="B2030">
        <f>Skills!B10</f>
        <v/>
      </c>
      <c r="C2030">
        <f>Inputs!$B$3&gt;=113</f>
        <v/>
      </c>
      <c r="D2030">
        <f>IF(Skills!C10=1,60+Inputs!$B$25+Inputs!$B$29,IF(Skills!C10=2,90+Inputs!$B$26+Inputs!$B$29,IF(Skills!C10=3,120+Inputs!$B$27+Inputs!$B$29,MAX(0,(Inputs!$B$3-100)*3)+Inputs!$B$28+Inputs!$B$29)))</f>
        <v/>
      </c>
      <c r="E2030">
        <f>INDEX(FactorTable!$B$2:$Y$301, MATCH(ROUND(MIN(300,MAX(1,D2030)),0), FactorTable!$A$2:$A$301,0), Skills!L10+1)</f>
        <v/>
      </c>
      <c r="F2030">
        <f>IF(Skills!M10=TRUE,(Skills!K10/10)*(E2030/1000),Skills!K10/10)+Skills!N10</f>
        <v/>
      </c>
      <c r="G2030">
        <f>Calc!G10</f>
        <v/>
      </c>
      <c r="H2030">
        <f>Calc!H10</f>
        <v/>
      </c>
      <c r="I2030">
        <f>IF(Skills!T10&lt;&gt;"",1+(Skills!T10/10)*(Z2023/1000)/100,1)</f>
        <v/>
      </c>
      <c r="J2030">
        <f>((Inputs!$B$6*(1+Inputs!$B$7/100))+(((Inputs!$B$12*(1+Inputs!$B$13/100))-(Inputs!$B$12*(1+Inputs!$B$13/100)))+0.25*(Inputs!$B$14-Inputs!$B$14))*(1+Inputs!$B$7/100))*(F2030/100)</f>
        <v/>
      </c>
      <c r="K2030">
        <f>J2030*(1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2038-Calc!F18),(Inputs!$B$23+(IF(ArtifactsInput!$M$15,CHOOSE(ArtifactsInput!$N$15+1,25,30,35,40,45,50)/100*(Inputs!$B$11-Inputs!$B$11),0))))/100+(Inputs!$B$23+(IF(ArtifactsInput!$M$15,CHOOSE(ArtifactsInput!$N$15+1,25,30,35,40,45,50)/100*(Inputs!$B$11-Inputs!$B$11),0)))/100)/2</f>
        <v/>
      </c>
      <c r="M2030">
        <f>L2030*(1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IF(B2056=0,0,O2030/B2056)</f>
        <v/>
      </c>
      <c r="Q2030">
        <f>IFERROR(1/IF(Inputs!$B$38="pvp",15,MAX(0.1,Skills!D10-IF(Skills!E9=TRUE,Inputs!$B$32,0))),0)</f>
        <v/>
      </c>
      <c r="R2030">
        <f>IF(AND(Inputs!$B$38&lt;&gt;"pvp",Inputs!$B$43&gt;0),IF(MAX(0,Inputs!$B$43-B2053)&lt;=0,0,(INT(MAX(0,Inputs!$B$43-B2053)/IF(Inputs!$B$38="pvp",15,MAX(0.1,Skills!D10-IF(Skills!E9=TRUE,Inputs!$B$32,0))))+1)),0)</f>
        <v/>
      </c>
      <c r="S2030">
        <f>IF(C2030,(H2030*N2030*IF(AND(Inputs!$B$38&lt;&gt;"pvp",Inputs!$B$43&gt;0),((Skills!F10*((R2030-1)*IF(Skills!G10&gt;0,Skills!H10/Skills!G10,1)+IF(Skills!G10&gt;0,MIN(Skills!H10,MAX(0,MAX(0,Inputs!$B$43-B2053)-((R2030-1)*IF(Inputs!$B$38="pvp",15,MAX(0.1,Skills!D10-IF(Skills!E9=TRUE,Inputs!$B$32,0))))))/Skills!G10,1)))/Inputs!$B$43),G2030*Q2030))*IF(Inputs!$B$38="pvp",1,1+(Inputs!$B$20+Skills!O10+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F10*((R2030-1)*IF(Skills!G10&gt;0,Skills!H10/Skills!G10,1)+IF(Skills!G10&gt;0,MIN(Skills!H10,MAX(0,MAX(0,Inputs!$B$43-B2053)-((R2030-1)*IF(Inputs!$B$38="pvp",15,MAX(0.1,Skills!D10-IF(Skills!E9=TRUE,Inputs!$B$32,0))))))/Skills!G10,1)))/Inputs!$B$43),G2030*Q2030))*IF(Inputs!$B$38="pvp",1,(1+(Inputs!$B$21+Skills!P10+B2047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Skills!A11</f>
        <v/>
      </c>
      <c r="B2031">
        <f>Skills!B11</f>
        <v/>
      </c>
      <c r="C2031">
        <f>Inputs!$B$3&gt;=107</f>
        <v/>
      </c>
      <c r="D2031">
        <f>IF(Skills!C11=1,60+Inputs!$B$25+Inputs!$B$29,IF(Skills!C11=2,90+Inputs!$B$26+Inputs!$B$29,IF(Skills!C11=3,120+Inputs!$B$27+Inputs!$B$29,MAX(0,(Inputs!$B$3-100)*3)+Inputs!$B$28+Inputs!$B$29)))</f>
        <v/>
      </c>
      <c r="E2031">
        <f>INDEX(FactorTable!$B$2:$Y$301, MATCH(ROUND(MIN(300,MAX(1,D2031)),0), FactorTable!$A$2:$A$301,0), Skills!L11+1)</f>
        <v/>
      </c>
      <c r="F2031">
        <f>IF(Skills!M11=TRUE,(Skills!K11/10)*(E2031/1000),Skills!K11/10)+Skills!N11</f>
        <v/>
      </c>
      <c r="G2031">
        <f>Calc!G11</f>
        <v/>
      </c>
      <c r="H2031">
        <f>Calc!H11</f>
        <v/>
      </c>
      <c r="I2031">
        <f>IF(Skills!T11&lt;&gt;"",1+(Skills!T11/10)*(Z2023/1000)/100,1)</f>
        <v/>
      </c>
      <c r="J2031">
        <f>((Inputs!$B$6*(1+Inputs!$B$7/100))+(((Inputs!$B$12*(1+Inputs!$B$13/100))-(Inputs!$B$12*(1+Inputs!$B$13/100)))+0.25*(Inputs!$B$14-Inputs!$B$14))*(1+Inputs!$B$7/100))*(F2031/100)</f>
        <v/>
      </c>
      <c r="K2031">
        <f>J2031*(1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2031)</f>
        <v/>
      </c>
      <c r="L2031">
        <f>K2031*(MIN(Inputs!$B$22+(F2038-Calc!F18),(Inputs!$B$23+(IF(ArtifactsInput!$M$15,CHOOSE(ArtifactsInput!$N$15+1,25,30,35,40,45,50)/100*(Inputs!$B$11-Inputs!$B$11),0))))/100+(Inputs!$B$23+(IF(ArtifactsInput!$M$15,CHOOSE(ArtifactsInput!$N$15+1,25,30,35,40,45,50)/100*(Inputs!$B$11-Inputs!$B$11),0)))/100)/2</f>
        <v/>
      </c>
      <c r="M2031">
        <f>L2031*(1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1">
        <f>L2031*(1-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1">
        <f>(1-Summary!$B$11)*S2031+Summary!$B$11*U2031</f>
        <v/>
      </c>
      <c r="P2031">
        <f>IF(B2056=0,0,O2031/B2056)</f>
        <v/>
      </c>
      <c r="Q2031">
        <f>IFERROR(1/IF(Inputs!$B$38="pvp",15,MAX(0.1,Skills!D11-IF(Skills!E11=TRUE,Inputs!$B$32,0))),0)</f>
        <v/>
      </c>
      <c r="R2031">
        <f>IF(AND(Inputs!$B$38&lt;&gt;"pvp",Inputs!$B$43&gt;0),IF(MAX(0,Inputs!$B$43-B2053)&lt;=0,0,(INT(MAX(0,Inputs!$B$43-B2053)/IF(Inputs!$B$38="pvp",15,MAX(0.1,Skills!D11-IF(Skills!E11=TRUE,Inputs!$B$32,0))))+1)),0)</f>
        <v/>
      </c>
      <c r="S2031">
        <f>IF(C2031,H2031*N2031*IF(AND(Inputs!$B$38&lt;&gt;"pvp",Inputs!$B$43&gt;0),((Skills!F11*((R2031-1)*IF(Skills!G11&gt;0,Skills!H11/Skills!G11,1)+IF(Skills!G11&gt;0,MIN(Skills!H11,MAX(0,MAX(0,Inputs!$B$43-B2053)-((R2031-1)*IF(Inputs!$B$38="pvp",15,MAX(0.1,Skills!D11-IF(Skills!E11=TRUE,Inputs!$B$32,0))))))/Skills!G11,1)))/Inputs!$B$43),G2031*Q2031)*0.5*IF(Inputs!$B$38="pvp",1,1+(Inputs!$B$20+Skills!O11+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2031*(1-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1">
        <f>IF(C2031,H2031*N2031*IF(AND(Inputs!$B$38&lt;&gt;"pvp",Inputs!$B$43&gt;0),((Skills!F11*((R2031-1)*IF(Skills!G11&gt;0,Skills!H11/Skills!G11,1)+IF(Skills!G11&gt;0,MIN(Skills!H11,MAX(0,MAX(0,Inputs!$B$43-B2053)-((R2031-1)*IF(Inputs!$B$38="pvp",15,MAX(0.1,Skills!D11-IF(Skills!E11=TRUE,Inputs!$B$32,0))))))/Skills!G11,1)))/Inputs!$B$43),G2031*Q2031)*1*IF(Inputs!$B$38="pvp",1,(1+(Inputs!$B$21+Skills!P11+B2047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2">
      <c r="A2032">
        <f>Skills!A12</f>
        <v/>
      </c>
      <c r="B2032">
        <f>Skills!B12</f>
        <v/>
      </c>
      <c r="C2032">
        <f>Inputs!$B$3&gt;=115</f>
        <v/>
      </c>
      <c r="D2032">
        <f>IF(Skills!C12=1,60+Inputs!$B$25+Inputs!$B$29,IF(Skills!C12=2,90+Inputs!$B$26+Inputs!$B$29,IF(Skills!C12=3,120+Inputs!$B$27+Inputs!$B$29,MAX(0,(Inputs!$B$3-100)*3)+Inputs!$B$28+Inputs!$B$29)))</f>
        <v/>
      </c>
      <c r="E2032">
        <f>INDEX(FactorTable!$B$2:$Y$301, MATCH(ROUND(MIN(300,MAX(1,D2032)),0), FactorTable!$A$2:$A$301,0), Skills!L12+1)</f>
        <v/>
      </c>
      <c r="F2032">
        <f>IF(Skills!M12=TRUE,(Skills!K12/10)*(E2032/1000),Skills!K12/10)+Skills!N12</f>
        <v/>
      </c>
      <c r="G2032">
        <f>Calc!G12</f>
        <v/>
      </c>
      <c r="H2032">
        <f>Calc!H12</f>
        <v/>
      </c>
      <c r="I2032">
        <f>IF(Skills!T12&lt;&gt;"",1+(Skills!T12/10)*(Z2023/1000)/100,1)</f>
        <v/>
      </c>
      <c r="J2032">
        <f>((Inputs!$B$6*(1+Inputs!$B$7/100))+(((Inputs!$B$12*(1+Inputs!$B$13/100))-(Inputs!$B$12*(1+Inputs!$B$13/100)))+0.25*(Inputs!$B$14-Inputs!$B$14))*(1+Inputs!$B$7/100))*(F2032/100)</f>
        <v/>
      </c>
      <c r="K2032">
        <f>J2032*(1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F2038-Calc!F18),(Inputs!$B$23+(IF(ArtifactsInput!$M$15,CHOOSE(ArtifactsInput!$N$15+1,25,30,35,40,45,50)/100*(Inputs!$B$11-Inputs!$B$11),0))))/100+(Inputs!$B$23+(IF(ArtifactsInput!$M$15,CHOOSE(ArtifactsInput!$N$15+1,25,30,35,40,45,50)/100*(Inputs!$B$11-Inputs!$B$11),0)))/100)/2</f>
        <v/>
      </c>
      <c r="M2032">
        <f>L2032*(1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2">
        <f>L2032*(1-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(1-Summary!$B$11)*S2032+Summary!$B$11*U2032</f>
        <v/>
      </c>
      <c r="P2032">
        <f>IF(B2056=0,0,O2032/B2056)</f>
        <v/>
      </c>
      <c r="Q2032">
        <f>IFERROR(1/IF(Inputs!$B$38="pvp",15,MAX(0.1,Skills!D12-IF(Skills!E12=TRUE,Inputs!$B$32,0))),0)</f>
        <v/>
      </c>
      <c r="R2032">
        <f>IF(AND(Inputs!$B$38&lt;&gt;"pvp",Inputs!$B$43&gt;0),IF(MAX(0,Inputs!$B$43-B2053)&lt;=0,0,(INT(MAX(0,Inputs!$B$43-B2053)/IF(Inputs!$B$38="pvp",15,MAX(0.1,Skills!D12-IF(Skills!E12=TRUE,Inputs!$B$32,0))))+1)),0)</f>
        <v/>
      </c>
      <c r="S2032">
        <f>IF(C2032,(H2032*N2032*IF(AND(Inputs!$B$38&lt;&gt;"pvp",Inputs!$B$43&gt;0),((Skills!F12*((R2032-1)*IF(Skills!G12&gt;0,Skills!H12/Skills!G12,1)+IF(Skills!G12&gt;0,MIN(Skills!H12,MAX(0,MAX(0,Inputs!$B$43-B2053)-((R2032-1)*IF(Inputs!$B$38="pvp",15,MAX(0.1,Skills!D12-IF(Skills!E12=TRUE,Inputs!$B$32,0))))))/Skills!G12,1)))/Inputs!$B$43),G2032*Q2032))*IF(Inputs!$B$38="pvp",1,1+(Inputs!$B$20+Skills!O12+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2">
        <f>IF(C2032,(H2032*N2032*IF(AND(Inputs!$B$38&lt;&gt;"pvp",Inputs!$B$43&gt;0),((Skills!F12*((R2032-1)*IF(Skills!G12&gt;0,Skills!H12/Skills!G12,1)+IF(Skills!G12&gt;0,MIN(Skills!H12,MAX(0,MAX(0,Inputs!$B$43-B2053)-((R2032-1)*IF(Inputs!$B$38="pvp",15,MAX(0.1,Skills!D12-IF(Skills!E12=TRUE,Inputs!$B$32,0))))))/Skills!G12,1)))/Inputs!$B$43),G2032*Q2032))*IF(Inputs!$B$38="pvp",1,(1+(Inputs!$B$21+Skills!P12+B2047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3">
      <c r="A2033">
        <f>Skills!A13</f>
        <v/>
      </c>
      <c r="B2033">
        <f>Skills!B13</f>
        <v/>
      </c>
      <c r="C2033">
        <f>Inputs!$B$3&gt;=49</f>
        <v/>
      </c>
      <c r="D2033">
        <f>IF(Skills!C13=1,60+Inputs!$B$25+Inputs!$B$29,IF(Skills!C13=2,90+Inputs!$B$26+Inputs!$B$29,IF(Skills!C13=3,120+Inputs!$B$27+Inputs!$B$29,MAX(0,(Inputs!$B$3-100)*3)+Inputs!$B$28+Inputs!$B$29)))</f>
        <v/>
      </c>
      <c r="E2033">
        <f>INDEX(FactorTable!$B$2:$Y$301, MATCH(ROUND(MIN(300,MAX(1,D2033)),0), FactorTable!$A$2:$A$301,0), Skills!L13+1)</f>
        <v/>
      </c>
      <c r="F2033">
        <f>IF(Skills!M13=TRUE,(Skills!K13/10)*(E2033/1000),Skills!K13/10)+Skills!N13</f>
        <v/>
      </c>
      <c r="G2033">
        <f>Calc!G13</f>
        <v/>
      </c>
      <c r="H2033">
        <f>Calc!H13</f>
        <v/>
      </c>
      <c r="I2033">
        <f>IF(Skills!T13&lt;&gt;"",1+(Skills!T13/10)*(Z2023/1000)/100,1)</f>
        <v/>
      </c>
      <c r="J2033" t="inlineStr"/>
      <c r="K2033" t="inlineStr"/>
      <c r="L2033" t="inlineStr"/>
      <c r="M2033" t="inlineStr"/>
      <c r="N2033" t="inlineStr"/>
      <c r="O2033">
        <f>(1-Summary!$B$11)*S2033+Summary!$B$11*U2033</f>
        <v/>
      </c>
      <c r="P2033">
        <f>IF(B2056=0,0,O2033/B2056)</f>
        <v/>
      </c>
      <c r="Q2033">
        <f>IFERROR(1/IF(Inputs!$B$38="pvp",15,MAX(0.1,Skills!D13-IF(Skills!E13=TRUE,Inputs!$B$32,0))),0)</f>
        <v/>
      </c>
      <c r="R2033" t="n">
        <v>0</v>
      </c>
      <c r="S2033" t="n">
        <v>0</v>
      </c>
      <c r="U2033" t="n">
        <v>0</v>
      </c>
    </row>
    <row r="2034">
      <c r="A2034">
        <f>Skills!A14</f>
        <v/>
      </c>
      <c r="B2034">
        <f>Skills!B14</f>
        <v/>
      </c>
      <c r="C2034">
        <f>Inputs!$B$3&gt;=72</f>
        <v/>
      </c>
      <c r="D2034">
        <f>IF(Skills!C14=1,60+Inputs!$B$25+Inputs!$B$29,IF(Skills!C14=2,90+Inputs!$B$26+Inputs!$B$29,IF(Skills!C14=3,120+Inputs!$B$27+Inputs!$B$29,MAX(0,(Inputs!$B$3-100)*3)+Inputs!$B$28+Inputs!$B$29)))</f>
        <v/>
      </c>
      <c r="E2034">
        <f>INDEX(FactorTable!$B$2:$Y$301, MATCH(ROUND(MIN(300,MAX(1,D2034)),0), FactorTable!$A$2:$A$301,0), Skills!L14+1)</f>
        <v/>
      </c>
      <c r="F2034">
        <f>IF(Skills!M14=TRUE,(Skills!K14/10)*(E2034/1000),Skills!K14/10)+Skills!N14</f>
        <v/>
      </c>
      <c r="G2034">
        <f>Calc!G14</f>
        <v/>
      </c>
      <c r="H2034">
        <f>Calc!H14</f>
        <v/>
      </c>
      <c r="I2034">
        <f>IF(Skills!T14&lt;&gt;"",1+(Skills!T14/10)*(Z2023/1000)/100,1)</f>
        <v/>
      </c>
      <c r="J2034" t="inlineStr"/>
      <c r="K2034" t="inlineStr"/>
      <c r="L2034" t="inlineStr"/>
      <c r="M2034" t="inlineStr"/>
      <c r="N2034" t="inlineStr"/>
      <c r="O2034">
        <f>(1-Summary!$B$11)*S2034+Summary!$B$11*U2034</f>
        <v/>
      </c>
      <c r="P2034">
        <f>IF(B2056=0,0,O2034/B2056)</f>
        <v/>
      </c>
      <c r="Q2034">
        <f>IFERROR(1/IF(Inputs!$B$38="pvp",15,MAX(0.1,Skills!D14-IF(Skills!E14=TRUE,Inputs!$B$32,0))),0)</f>
        <v/>
      </c>
      <c r="R2034" t="n">
        <v>0</v>
      </c>
      <c r="S2034" t="n">
        <v>0</v>
      </c>
      <c r="U2034" t="n">
        <v>0</v>
      </c>
    </row>
    <row r="2035">
      <c r="A2035">
        <f>Skills!A15</f>
        <v/>
      </c>
      <c r="B2035">
        <f>Skills!B15</f>
        <v/>
      </c>
      <c r="C2035">
        <f>Inputs!$B$3&gt;=75</f>
        <v/>
      </c>
      <c r="D2035">
        <f>IF(Skills!C15=1,60+Inputs!$B$25+Inputs!$B$29,IF(Skills!C15=2,90+Inputs!$B$26+Inputs!$B$29,IF(Skills!C15=3,120+Inputs!$B$27+Inputs!$B$29,MAX(0,(Inputs!$B$3-100)*3)+Inputs!$B$28+Inputs!$B$29)))</f>
        <v/>
      </c>
      <c r="E2035">
        <f>INDEX(FactorTable!$B$2:$Y$301, MATCH(ROUND(MIN(300,MAX(1,D2035)),0), FactorTable!$A$2:$A$301,0), Skills!L15+1)</f>
        <v/>
      </c>
      <c r="F2035">
        <f>IF(Skills!M15=TRUE,(Skills!K15/10)*(E2035/1000),Skills!K15/10)+Skills!N15</f>
        <v/>
      </c>
      <c r="G2035">
        <f>Calc!G15</f>
        <v/>
      </c>
      <c r="H2035">
        <f>Calc!H15</f>
        <v/>
      </c>
      <c r="I2035">
        <f>IF(Skills!T15&lt;&gt;"",1+(Skills!T15/10)*(Z2023/1000)/100,1)</f>
        <v/>
      </c>
      <c r="J2035" t="inlineStr"/>
      <c r="K2035" t="inlineStr"/>
      <c r="L2035" t="inlineStr"/>
      <c r="M2035" t="inlineStr"/>
      <c r="N2035" t="inlineStr"/>
      <c r="O2035">
        <f>(1-Summary!$B$11)*S2035+Summary!$B$11*U2035</f>
        <v/>
      </c>
      <c r="P2035">
        <f>IF(B2056=0,0,O2035/B2056)</f>
        <v/>
      </c>
      <c r="Q2035">
        <f>IFERROR(1/IF(Inputs!$B$38="pvp",15,MAX(0.1,Skills!D15-IF(Skills!E15=TRUE,Inputs!$B$32,0))),0)</f>
        <v/>
      </c>
      <c r="R2035" t="n">
        <v>0</v>
      </c>
      <c r="S2035" t="n">
        <v>0</v>
      </c>
      <c r="U2035" t="n">
        <v>0</v>
      </c>
    </row>
    <row r="2036">
      <c r="A2036">
        <f>Skills!A16</f>
        <v/>
      </c>
      <c r="B2036">
        <f>Skills!B16</f>
        <v/>
      </c>
      <c r="C2036">
        <f>Inputs!$B$3&gt;=110</f>
        <v/>
      </c>
      <c r="D2036">
        <f>IF(Skills!C16=1,60+Inputs!$B$25+Inputs!$B$29,IF(Skills!C16=2,90+Inputs!$B$26+Inputs!$B$29,IF(Skills!C16=3,120+Inputs!$B$27+Inputs!$B$29,MAX(0,(Inputs!$B$3-100)*3)+Inputs!$B$28+Inputs!$B$29)))</f>
        <v/>
      </c>
      <c r="E2036">
        <f>INDEX(FactorTable!$B$2:$Y$301, MATCH(ROUND(MIN(300,MAX(1,D2036)),0), FactorTable!$A$2:$A$301,0), Skills!L16+1)</f>
        <v/>
      </c>
      <c r="F2036">
        <f>(Skills!K16/10)*(E2036/1000)*64/45+Skills!N16</f>
        <v/>
      </c>
      <c r="G2036">
        <f>Calc!G16</f>
        <v/>
      </c>
      <c r="H2036">
        <f>Calc!H16</f>
        <v/>
      </c>
      <c r="I2036">
        <f>IF(Skills!T16&lt;&gt;"",1+(Skills!T16/10)*(Z2023/1000)/100,1)</f>
        <v/>
      </c>
      <c r="J2036" t="inlineStr"/>
      <c r="K2036" t="inlineStr"/>
      <c r="L2036" t="inlineStr"/>
      <c r="M2036" t="inlineStr"/>
      <c r="N2036" t="inlineStr"/>
      <c r="O2036">
        <f>(1-Summary!$B$11)*S2036+Summary!$B$11*U2036</f>
        <v/>
      </c>
      <c r="P2036">
        <f>IF(B2056=0,0,O2036/B2056)</f>
        <v/>
      </c>
      <c r="Q2036">
        <f>IFERROR(1/IF(Inputs!$B$38="pvp",15,MAX(0.1,Skills!D16-IF(Skills!E16=TRUE,Inputs!$B$32,0))),0)</f>
        <v/>
      </c>
      <c r="R2036">
        <f>IF(AND(Inputs!$B$38&lt;&gt;"pvp",Inputs!$B$43&gt;0),IF(Inputs!$B$43&lt;=0,0,(INT(Inputs!$B$43/IF(Inputs!$B$38="pvp",15,MAX(0.1,Skills!D16-IF(Skills!E16=TRUE,Inputs!$B$32,0))))+1)),0)</f>
        <v/>
      </c>
      <c r="S2036" t="n">
        <v>0</v>
      </c>
      <c r="U2036" t="n">
        <v>0</v>
      </c>
    </row>
    <row r="2037">
      <c r="A2037">
        <f>Skills!A17</f>
        <v/>
      </c>
      <c r="B2037">
        <f>Skills!B17</f>
        <v/>
      </c>
      <c r="C2037">
        <f>Inputs!$B$3&gt;=33</f>
        <v/>
      </c>
      <c r="D2037">
        <f>IF(Skills!C17=1,60+Inputs!$B$25+Inputs!$B$29,IF(Skills!C17=2,90+Inputs!$B$26+Inputs!$B$29,IF(Skills!C17=3,120+Inputs!$B$27+Inputs!$B$29,MAX(0,(Inputs!$B$3-100)*3)+Inputs!$B$28+Inputs!$B$29)))</f>
        <v/>
      </c>
      <c r="E2037">
        <f>INDEX(FactorTable!$B$2:$Y$301, MATCH(ROUND(MIN(300,MAX(1,D2037)),0), FactorTable!$A$2:$A$301,0), Skills!L17+1)</f>
        <v/>
      </c>
      <c r="F2037">
        <f>IF(Skills!M17=TRUE,(Skills!K17/10)*(E2037/1000),Skills!K17/10)+Skills!N17</f>
        <v/>
      </c>
      <c r="G2037">
        <f>Calc!G17</f>
        <v/>
      </c>
      <c r="H2037">
        <f>Calc!H17</f>
        <v/>
      </c>
      <c r="I2037">
        <f>IF(Skills!T17&lt;&gt;"",1+(Skills!T17/10)*(Z2023/1000)/100,1)</f>
        <v/>
      </c>
      <c r="J2037" t="inlineStr"/>
      <c r="K2037" t="inlineStr"/>
      <c r="L2037" t="inlineStr"/>
      <c r="M2037" t="inlineStr"/>
      <c r="N2037" t="inlineStr"/>
      <c r="O2037">
        <f>(1-Summary!$B$11)*S2037+Summary!$B$11*U2037</f>
        <v/>
      </c>
      <c r="P2037">
        <f>IF(B2056=0,0,O2037/B2056)</f>
        <v/>
      </c>
      <c r="Q2037">
        <f>IFERROR(1/IF(Inputs!$B$38="pvp",15,MAX(0.1,Skills!D17-IF(Skills!E17=TRUE,Inputs!$B$32,0))),0)</f>
        <v/>
      </c>
      <c r="R2037" t="n">
        <v>0</v>
      </c>
      <c r="S2037" t="n">
        <v>0</v>
      </c>
      <c r="U2037" t="n">
        <v>0</v>
      </c>
    </row>
    <row r="2038">
      <c r="A2038">
        <f>Skills!A18</f>
        <v/>
      </c>
      <c r="B2038">
        <f>Skills!B18</f>
        <v/>
      </c>
      <c r="C2038">
        <f>Inputs!$B$3&gt;=43</f>
        <v/>
      </c>
      <c r="D2038">
        <f>IF(Skills!C18=1,60+Inputs!$B$25+Inputs!$B$29,IF(Skills!C18=2,90+Inputs!$B$26+Inputs!$B$29,IF(Skills!C18=3,120+Inputs!$B$27+Inputs!$B$29,MAX(0,(Inputs!$B$3-100)*3)+Inputs!$B$28+Inputs!$B$29)))</f>
        <v/>
      </c>
      <c r="E2038">
        <f>INDEX(FactorTable!$B$2:$Y$301, MATCH(ROUND(MIN(300,MAX(1,D2038)),0), FactorTable!$A$2:$A$301,0), Skills!L18+1)</f>
        <v/>
      </c>
      <c r="F2038">
        <f>IF(Skills!M18=TRUE,(Skills!K18/10)*(E2038/1000),Skills!K18/10)+Skills!N18</f>
        <v/>
      </c>
      <c r="G2038">
        <f>Calc!G18</f>
        <v/>
      </c>
      <c r="H2038">
        <f>Calc!H18</f>
        <v/>
      </c>
      <c r="I2038">
        <f>IF(Skills!T18&lt;&gt;"",1+(Skills!T18/10)*(Z2023/1000)/100,1)</f>
        <v/>
      </c>
      <c r="J2038" t="inlineStr"/>
      <c r="K2038" t="inlineStr"/>
      <c r="L2038" t="inlineStr"/>
      <c r="M2038" t="inlineStr"/>
      <c r="N2038" t="inlineStr"/>
      <c r="O2038">
        <f>(1-Summary!$B$11)*S2038+Summary!$B$11*U2038</f>
        <v/>
      </c>
      <c r="P2038">
        <f>IF(B2056=0,0,O2038/B2056)</f>
        <v/>
      </c>
      <c r="Q2038">
        <f>IFERROR(1/IF(Inputs!$B$38="pvp",15,MAX(0.1,Skills!D18-IF(Skills!E18=TRUE,Inputs!$B$32,0))),0)</f>
        <v/>
      </c>
      <c r="R2038" t="n">
        <v>0</v>
      </c>
      <c r="S2038" t="n">
        <v>0</v>
      </c>
      <c r="U2038" t="n">
        <v>0</v>
      </c>
    </row>
    <row r="2039">
      <c r="A2039">
        <f>Skills!A19</f>
        <v/>
      </c>
      <c r="B2039">
        <f>Skills!B19</f>
        <v/>
      </c>
      <c r="C2039">
        <f>Inputs!$B$3&gt;=50</f>
        <v/>
      </c>
      <c r="D2039">
        <f>IF(Skills!C19=1,60+Inputs!$B$25+Inputs!$B$29,IF(Skills!C19=2,90+Inputs!$B$26+Inputs!$B$29,IF(Skills!C19=3,120+Inputs!$B$27+Inputs!$B$29,MAX(0,(Inputs!$B$3-100)*3)+Inputs!$B$28+Inputs!$B$29)))</f>
        <v/>
      </c>
      <c r="E2039">
        <f>INDEX(FactorTable!$B$2:$Y$301, MATCH(ROUND(MIN(300,MAX(1,D2039)),0), FactorTable!$A$2:$A$301,0), Skills!L19+1)</f>
        <v/>
      </c>
      <c r="F2039">
        <f>IF(Skills!M19=TRUE,(Skills!K19/10)*(E2039/1000),Skills!K19/10)+Skills!N19</f>
        <v/>
      </c>
      <c r="G2039">
        <f>Calc!G19</f>
        <v/>
      </c>
      <c r="H2039">
        <f>Calc!H19</f>
        <v/>
      </c>
      <c r="I2039">
        <f>IF(Skills!T19&lt;&gt;"",1+(Skills!T19/10)*(Z2023/1000)/100,1)</f>
        <v/>
      </c>
      <c r="J2039" t="inlineStr"/>
      <c r="K2039" t="inlineStr"/>
      <c r="L2039" t="inlineStr"/>
      <c r="M2039" t="inlineStr"/>
      <c r="N2039" t="inlineStr"/>
      <c r="O2039">
        <f>(1-Summary!$B$11)*S2039+Summary!$B$11*U2039</f>
        <v/>
      </c>
      <c r="P2039">
        <f>IF(B2056=0,0,O2039/B2056)</f>
        <v/>
      </c>
      <c r="Q2039">
        <f>IFERROR(1/IF(Inputs!$B$38="pvp",15,MAX(0.1,Skills!D19-IF(Skills!E19=TRUE,Inputs!$B$32,0))),0)</f>
        <v/>
      </c>
      <c r="R2039" t="n">
        <v>0</v>
      </c>
      <c r="S2039" t="n">
        <v>0</v>
      </c>
      <c r="U2039" t="n">
        <v>0</v>
      </c>
    </row>
    <row r="2040">
      <c r="A2040">
        <f>Skills!A20</f>
        <v/>
      </c>
      <c r="B2040">
        <f>Skills!B20</f>
        <v/>
      </c>
      <c r="C2040">
        <f>Inputs!$B$3&gt;=74</f>
        <v/>
      </c>
      <c r="D2040">
        <f>IF(Skills!C20=1,60+Inputs!$B$25+Inputs!$B$29,IF(Skills!C20=2,90+Inputs!$B$26+Inputs!$B$29,IF(Skills!C20=3,120+Inputs!$B$27+Inputs!$B$29,MAX(0,(Inputs!$B$3-100)*3)+Inputs!$B$28+Inputs!$B$29)))</f>
        <v/>
      </c>
      <c r="E2040">
        <f>INDEX(FactorTable!$B$2:$Y$301, MATCH(ROUND(MIN(300,MAX(1,D2040)),0), FactorTable!$A$2:$A$301,0), Skills!L20+1)</f>
        <v/>
      </c>
      <c r="F2040">
        <f>IF(Skills!M20=TRUE,(Skills!K20/10)*(E2040/1000),Skills!K20/10)+Skills!N20</f>
        <v/>
      </c>
      <c r="G2040">
        <f>Calc!G20</f>
        <v/>
      </c>
      <c r="H2040">
        <f>Calc!H20</f>
        <v/>
      </c>
      <c r="I2040">
        <f>IF(Skills!T20&lt;&gt;"",1+(Skills!T20/10)*(Z2023/1000)/100,1)</f>
        <v/>
      </c>
      <c r="J2040" t="inlineStr"/>
      <c r="K2040" t="inlineStr"/>
      <c r="L2040" t="inlineStr"/>
      <c r="M2040" t="inlineStr"/>
      <c r="N2040" t="inlineStr"/>
      <c r="O2040">
        <f>(1-Summary!$B$11)*S2040+Summary!$B$11*U2040</f>
        <v/>
      </c>
      <c r="P2040">
        <f>IF(B2056=0,0,O2040/B2056)</f>
        <v/>
      </c>
      <c r="Q2040">
        <f>IFERROR(1/IF(Inputs!$B$38="pvp",15,MAX(0.1,Skills!D20-IF(Skills!E20=TRUE,Inputs!$B$32,0))),0)</f>
        <v/>
      </c>
      <c r="R2040" t="n">
        <v>0</v>
      </c>
      <c r="S2040" t="n">
        <v>0</v>
      </c>
      <c r="U2040" t="n">
        <v>0</v>
      </c>
    </row>
    <row r="2041">
      <c r="A2041">
        <f>Skills!A21</f>
        <v/>
      </c>
      <c r="B2041">
        <f>Skills!B21</f>
        <v/>
      </c>
      <c r="C2041">
        <f>Inputs!$B$3&gt;=74</f>
        <v/>
      </c>
      <c r="D2041">
        <f>IF(Skills!C21=1,60+Inputs!$B$25+Inputs!$B$29,IF(Skills!C21=2,90+Inputs!$B$26+Inputs!$B$29,IF(Skills!C21=3,120+Inputs!$B$27+Inputs!$B$29,MAX(0,(Inputs!$B$3-100)*3)+Inputs!$B$28+Inputs!$B$29)))</f>
        <v/>
      </c>
      <c r="E2041">
        <f>INDEX(FactorTable!$B$2:$Y$301, MATCH(ROUND(MIN(300,MAX(1,D2041)),0), FactorTable!$A$2:$A$301,0), Skills!L21+1)</f>
        <v/>
      </c>
      <c r="F2041">
        <f>IF(Skills!M21=TRUE,(Skills!K21/10)*(E2041/1000),Skills!K21/10)+Skills!N21</f>
        <v/>
      </c>
      <c r="G2041">
        <f>Calc!G21</f>
        <v/>
      </c>
      <c r="H2041">
        <f>Calc!H21</f>
        <v/>
      </c>
      <c r="I2041">
        <f>IF(Skills!T21&lt;&gt;"",1+(Skills!T21/10)*(Z2023/1000)/100,1)</f>
        <v/>
      </c>
      <c r="J2041" t="inlineStr"/>
      <c r="K2041" t="inlineStr"/>
      <c r="L2041" t="inlineStr"/>
      <c r="M2041" t="inlineStr"/>
      <c r="N2041" t="inlineStr"/>
      <c r="O2041">
        <f>(1-Summary!$B$11)*S2041+Summary!$B$11*U2041</f>
        <v/>
      </c>
      <c r="P2041">
        <f>IF(B2056=0,0,O2041/B2056)</f>
        <v/>
      </c>
      <c r="Q2041">
        <f>IFERROR(1/IF(Inputs!$B$38="pvp",15,MAX(0.1,Skills!D21-IF(Skills!E21=TRUE,Inputs!$B$32,0))),0)</f>
        <v/>
      </c>
      <c r="R2041" t="n">
        <v>0</v>
      </c>
      <c r="S2041" t="n">
        <v>0</v>
      </c>
      <c r="U2041" t="n">
        <v>0</v>
      </c>
    </row>
    <row r="2042">
      <c r="A2042">
        <f>Skills!A22</f>
        <v/>
      </c>
      <c r="B2042">
        <f>Skills!B22</f>
        <v/>
      </c>
      <c r="C2042">
        <f>Inputs!$B$3&gt;=117</f>
        <v/>
      </c>
      <c r="D2042">
        <f>IF(Skills!C22=1,60+Inputs!$B$25+Inputs!$B$29,IF(Skills!C22=2,90+Inputs!$B$26+Inputs!$B$29,IF(Skills!C22=3,120+Inputs!$B$27+Inputs!$B$29,MAX(0,(Inputs!$B$3-100)*3)+Inputs!$B$28+Inputs!$B$29)))</f>
        <v/>
      </c>
      <c r="E2042">
        <f>INDEX(FactorTable!$B$2:$Y$301, MATCH(ROUND(MIN(300,MAX(1,D2042)),0), FactorTable!$A$2:$A$301,0), Skills!L22+1)</f>
        <v/>
      </c>
      <c r="F2042">
        <f>IF(Skills!M22=TRUE,(Skills!K22/10)*(E2042/1000),Skills!K22/10)+Skills!N22</f>
        <v/>
      </c>
      <c r="G2042">
        <f>Calc!G22</f>
        <v/>
      </c>
      <c r="H2042">
        <f>Calc!H22</f>
        <v/>
      </c>
      <c r="I2042">
        <f>IF(Skills!T22&lt;&gt;"",1+(Skills!T22/10)*(Z2023/1000)/100,1)</f>
        <v/>
      </c>
      <c r="J2042" t="inlineStr"/>
      <c r="K2042" t="inlineStr"/>
      <c r="L2042" t="inlineStr"/>
      <c r="M2042" t="inlineStr"/>
      <c r="N2042" t="inlineStr"/>
      <c r="O2042">
        <f>(1-Summary!$B$11)*S2042+Summary!$B$11*U2042</f>
        <v/>
      </c>
      <c r="P2042">
        <f>IF(B2056=0,0,O2042/B2056)</f>
        <v/>
      </c>
      <c r="Q2042">
        <f>IFERROR(1/IF(Inputs!$B$38="pvp",15,MAX(0.1,Skills!D22-IF(Skills!E22=TRUE,Inputs!$B$32,0))),0)</f>
        <v/>
      </c>
      <c r="R2042" t="n">
        <v>0</v>
      </c>
      <c r="S2042" t="n">
        <v>0</v>
      </c>
      <c r="U2042" t="n">
        <v>0</v>
      </c>
    </row>
    <row r="2043">
      <c r="A2043">
        <f>Skills!A23</f>
        <v/>
      </c>
      <c r="B2043">
        <f>Skills!B23</f>
        <v/>
      </c>
      <c r="C2043">
        <f>Inputs!$B$3&gt;=120</f>
        <v/>
      </c>
      <c r="D2043">
        <f>IF(Skills!C23=1,60+Inputs!$B$25+Inputs!$B$29,IF(Skills!C23=2,90+Inputs!$B$26+Inputs!$B$29,IF(Skills!C23=3,120+Inputs!$B$27+Inputs!$B$29,MAX(0,(Inputs!$B$3-100)*3)+Inputs!$B$28+Inputs!$B$29)))</f>
        <v/>
      </c>
      <c r="E2043">
        <f>INDEX(FactorTable!$B$2:$Y$301, MATCH(ROUND(MIN(300,MAX(1,D2043)),0), FactorTable!$A$2:$A$301,0), Skills!L23+1)</f>
        <v/>
      </c>
      <c r="F2043">
        <f>IF(Skills!M23=TRUE,(Skills!K23/10)*(E2043/1000),Skills!K23/10)+Skills!N23</f>
        <v/>
      </c>
      <c r="G2043">
        <f>Calc!G23</f>
        <v/>
      </c>
      <c r="H2043">
        <f>Calc!H23</f>
        <v/>
      </c>
      <c r="I2043">
        <f>IF(Skills!T23&lt;&gt;"",1+(Skills!T23/10)*(Z2023/1000)/100,1)</f>
        <v/>
      </c>
      <c r="J2043" t="inlineStr"/>
      <c r="K2043" t="inlineStr"/>
      <c r="L2043" t="inlineStr"/>
      <c r="M2043" t="inlineStr"/>
      <c r="N2043" t="inlineStr"/>
      <c r="O2043">
        <f>(1-Summary!$B$11)*S2043+Summary!$B$11*U2043</f>
        <v/>
      </c>
      <c r="P2043">
        <f>IF(B2056=0,0,O2043/B2056)</f>
        <v/>
      </c>
      <c r="Q2043">
        <f>IFERROR(1/IF(Inputs!$B$38="pvp",15,MAX(0.1,Skills!D23-IF(Skills!E23=TRUE,Inputs!$B$32,0))),0)</f>
        <v/>
      </c>
      <c r="R2043" t="n">
        <v>0</v>
      </c>
      <c r="S2043" t="n">
        <v>0</v>
      </c>
      <c r="U2043" t="n">
        <v>0</v>
      </c>
    </row>
    <row r="2046">
      <c r="A2046" t="inlineStr">
        <is>
          <t>Average Buff Multiplier (Magic Guard + Meditation + Artifact Attack%, summed; then Infinity)</t>
        </is>
      </c>
      <c r="B2046">
        <f>(1+(IF(C2023=TRUE,F2023*IF(AND(Inputs!$B$38&lt;&gt;"pvp",Inputs!$B$43&gt;0),(((R2023-1)*(Skills!S3*(1+(Inputs!$B$34+IF(Inputs!$B$3&gt;=117,F2042,0))/100))+MIN((Skills!S3*(1+(Inputs!$B$34+IF(Inputs!$B$3&gt;=117,F2042,0))/100)),MAX(0,Inputs!$B$43-((R2023-1)*Skills!D3))))/Inputs!$B$43),IF(Inputs!$B$38="pvp",MIN((Skills!S3*(1+(Inputs!$B$34+IF(Inputs!$B$3&gt;=117,F2042,0))/100)),15)/15,(Skills!S3*(1+(Inputs!$B$34+IF(Inputs!$B$3&gt;=117,F2042,0))/100))/Skills!D3)),0)+IF(C2024=TRUE,F2024*IF(AND(Inputs!$B$38&lt;&gt;"pvp",Inputs!$B$43&gt;0),(((R2024-1)*(Skills!S4*(1+(Inputs!$B$34+IF(Inputs!$B$3&gt;=117,F2042,0))/100))+MIN((Skills!S4*(1+(Inputs!$B$34+IF(Inputs!$B$3&gt;=117,F2042,0))/100)),MAX(0,Inputs!$B$43-((R2024-1)*Skills!D4))))/Inputs!$B$43),IF(Inputs!$B$38="pvp",MIN((Skills!S4*(1+(Inputs!$B$34+IF(Inputs!$B$3&gt;=117,F2042,0))/100)),15)/15,(Skills!S4*(1+(Inputs!$B$34+IF(Inputs!$B$3&gt;=117,F2042,0)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2036=TRUE,(1+F2036*IF(AND(Inputs!$B$38&lt;&gt;"pvp",Inputs!$B$43&gt;0),(((R2036-1)*(Skills!S16*(1+(Inputs!$B$34+IF(Inputs!$B$3&gt;=117,F2042,0))/100))+MIN((Skills!S16*(1+(Inputs!$B$34+IF(Inputs!$B$3&gt;=117,F2042,0))/100)),MAX(0,Inputs!$B$43-((R2036-1)*Skills!D16))))/Inputs!$B$43),IF(Inputs!$B$38="pvp",MIN((Skills!S16*(1+(Inputs!$B$34+IF(Inputs!$B$3&gt;=117,F2042,0))/100)),15)/15,(Skills!S16*(1+(Inputs!$B$34+IF(Inputs!$B$3&gt;=117,F2042,0))/100))/Skills!D16))/100),1)</f>
        <v/>
      </c>
    </row>
    <row r="2047">
      <c r="A2047" t="inlineStr">
        <is>
          <t>Monster Damage Taken Bonus % (Freezing Breath - Weaken + Elemental Reset + Artifact Enemy Damage Taken, summed)</t>
        </is>
      </c>
      <c r="B2047">
        <f>IF(Inputs!$B$3&gt;=118,15*IF(Inputs!$B$38="pvp",MIN((30*(1+(Inputs!$B$34+IF(Inputs!$B$3&gt;=117,F2042,0))/100)),15)/15,(30*(1+(Inputs!$B$34+IF(Inputs!$B$3&gt;=117,F2042,0))/100))/Skills!D8),0)+IF(C2034=TRUE,F2034,0)+(IF(AND(ArtifactsInput!$M$35,Inputs!$B$4&lt;&gt;"Chapter Hunt"),CHOOSE(ArtifactsInput!$N$35+1,15,18,21,24,27,30)*(1-EXP(-(0.2*B2050)*5)),0)+IF(AND(ArtifactsInput!$M$22,Inputs!$B$4&lt;&gt;"Chapter Hunt"),CHOOSE(ArtifactsInput!$N$22+1,10,12,14,16,18,20)*((0*(((0.15*B2050*5))^0/1)+1*(((0.15*B2050*5))^1/1)+2*(((0.15*B2050*5))^2/2)+3*(((0.15*B2050*5))^3/6)+4*(((0.15*B2050*5))^4/24)+5*(((0.15*B2050*5))^5/120))/((((0.15*B2050*5))^0/1)+(((0.15*B2050*5))^1/1)+(((0.15*B2050*5))^2/2)+(((0.15*B2050*5))^3/6)+(((0.15*B2050*5))^4/24)+(((0.15*B2050*5))^5/120))),0))</f>
        <v/>
      </c>
    </row>
    <row r="2048">
      <c r="A2048" t="inlineStr">
        <is>
          <t>Damage % Bonus (Frozen Break + Frost Clutch, flat)</t>
        </is>
      </c>
      <c r="B2048">
        <f>IF(Inputs!$B$3&gt;=66,15,0)+IF(Inputs!$B$3&gt;=98,10,0)+IF(Inputs!$B$3&gt;=125,20,0)</f>
        <v/>
      </c>
    </row>
    <row r="2049">
      <c r="A2049" t="inlineStr">
        <is>
          <t>Attack Speed Bonus % (MP Eater - MP Boost, always-on once unlocked)</t>
        </is>
      </c>
      <c r="B2049">
        <f>IF(C2033=TRUE,F2033+(F2037-Calc!F17),0)</f>
        <v/>
      </c>
    </row>
    <row r="2050">
      <c r="A2050" t="inlineStr">
        <is>
          <t>Actions Per Second</t>
        </is>
      </c>
      <c r="B2050">
        <f>1+MIN(150,150*(1-(1-(Inputs!$B$11+(ArtifactsInput!$M$15-ArtifactsInput!$M$15)*CHOOSE(ArtifactsInput!$N$15+1,8,9.6,11.2,12.8,14.4,16))/150)*(1-B2049/150)))/100</f>
        <v/>
      </c>
    </row>
    <row r="2051">
      <c r="A2051" t="inlineStr">
        <is>
          <t>Skill + Buff Cast Rate</t>
        </is>
      </c>
      <c r="B2051">
        <f>IF(AND(Inputs!$B$38&lt;&gt;"pvp",Inputs!$B$43&gt;0),SUMPRODUCT((Skills!E2:E23=TRUE)*(C2022:C2043=TRUE)*R2022:R2043)/Inputs!$B$43,SUMPRODUCT((Skills!E2:E23=TRUE)*(C2022:C2043=TRUE)*Q2022:Q2043))</f>
        <v/>
      </c>
    </row>
    <row r="2052">
      <c r="A2052" t="inlineStr">
        <is>
          <t>Chain Lightning Casts Per Second</t>
        </is>
      </c>
      <c r="B2052">
        <f>MAX(0,B2050-B2051)</f>
        <v/>
      </c>
    </row>
    <row r="2053">
      <c r="A2053" t="inlineStr">
        <is>
          <t>Buff-Casting Startup Delay (s, fixed-duration only)</t>
        </is>
      </c>
      <c r="B2053">
        <f>IF(AND(Inputs!$B$38&lt;&gt;"pvp",Inputs!$B$43&gt;0),SUMPRODUCT((Skills!S2:S23&gt;0)*(Skills!E2:E23=TRUE)*(C2022:C2043=TRUE))/B2050,0)</f>
        <v/>
      </c>
    </row>
    <row r="2054">
      <c r="A2054" t="inlineStr">
        <is>
          <t>Boss-Only Total DPS (this block's swept value)</t>
        </is>
      </c>
      <c r="B2054">
        <f>SUM(S2022:S2043)</f>
        <v/>
      </c>
    </row>
    <row r="2055">
      <c r="A2055" t="inlineStr">
        <is>
          <t>Normal-Only Total DPS (this block's swept value)</t>
        </is>
      </c>
      <c r="B2055">
        <f>SUM(U2022:U2043)</f>
        <v/>
      </c>
    </row>
    <row r="2056">
      <c r="A2056" s="6" t="inlineStr">
        <is>
          <t>TOTAL DPS</t>
        </is>
      </c>
      <c r="B2056" s="6">
        <f>SUM(O2022:O2043)</f>
        <v/>
      </c>
    </row>
    <row r="2059">
      <c r="A2059" s="6" t="inlineStr">
        <is>
          <t>Stat: Sayram's Necklace (Equip)</t>
        </is>
      </c>
    </row>
    <row r="2060">
      <c r="A2060" s="5" t="inlineStr">
        <is>
          <t>Key</t>
        </is>
      </c>
      <c r="B2060" s="5" t="inlineStr">
        <is>
          <t>Name</t>
        </is>
      </c>
      <c r="C2060" s="5" t="inlineStr">
        <is>
          <t>Unlocked</t>
        </is>
      </c>
      <c r="D2060" s="5" t="inlineStr">
        <is>
          <t>InputLevel</t>
        </is>
      </c>
      <c r="E2060" s="5" t="inlineStr">
        <is>
          <t>Factor</t>
        </is>
      </c>
      <c r="F2060" s="5" t="inlineStr">
        <is>
          <t>CoefficientPercent</t>
        </is>
      </c>
      <c r="G2060" s="5" t="inlineStr">
        <is>
          <t>EffectiveHits</t>
        </is>
      </c>
      <c r="H2060" s="5" t="inlineStr">
        <is>
          <t>ProcProbability</t>
        </is>
      </c>
      <c r="I2060" s="5" t="inlineStr">
        <is>
          <t>MapleHeroMultiplier</t>
        </is>
      </c>
      <c r="J2060" s="5" t="inlineStr">
        <is>
          <t>BaseDamage</t>
        </is>
      </c>
      <c r="K2060" s="5" t="inlineStr">
        <is>
          <t>BaseHitDamage</t>
        </is>
      </c>
      <c r="L2060" s="5" t="inlineStr">
        <is>
          <t>NonCritAvg</t>
        </is>
      </c>
      <c r="M2060" s="5" t="inlineStr">
        <is>
          <t>CritAvg</t>
        </is>
      </c>
      <c r="N2060" s="5" t="inlineStr">
        <is>
          <t>ExpectedDamage(perHit)</t>
        </is>
      </c>
      <c r="O2060" s="5" t="inlineStr">
        <is>
          <t>DPS</t>
        </is>
      </c>
      <c r="P2060" s="5" t="inlineStr">
        <is>
          <t>% of Total</t>
        </is>
      </c>
      <c r="R2060" t="inlineStr">
        <is>
          <t>helpers</t>
        </is>
      </c>
    </row>
    <row r="2061">
      <c r="A2061">
        <f>Skills!A2</f>
        <v/>
      </c>
      <c r="B2061">
        <f>Skills!B2</f>
        <v/>
      </c>
      <c r="C2061">
        <f>Inputs!$B$3&gt;=100</f>
        <v/>
      </c>
      <c r="D2061" t="inlineStr"/>
      <c r="E2061" t="inlineStr"/>
      <c r="F2061">
        <f>T2063+Skills!N2</f>
        <v/>
      </c>
      <c r="G2061">
        <f>Calc!G2</f>
        <v/>
      </c>
      <c r="H2061">
        <f>Calc!H2</f>
        <v/>
      </c>
      <c r="I2061">
        <f>IF(Skills!T2&lt;&gt;"",1+(Skills!T2/10)*(Z2062/1000)/100,1)</f>
        <v/>
      </c>
      <c r="J2061">
        <f>((Inputs!$B$6*(1+Inputs!$B$7/100))+(((Inputs!$B$12*(1+Inputs!$B$13/100))-(Inputs!$B$12*(1+Inputs!$B$13/100)))+0.25*(Inputs!$B$14-Inputs!$B$14))*(1+Inputs!$B$7/100))*(F2061/100)</f>
        <v/>
      </c>
      <c r="K2061">
        <f>J2061*(1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F2077-Calc!F18),(Inputs!$B$23+(IF(ArtifactsInput!$M$15,CHOOSE(ArtifactsInput!$N$15+1,25,30,35,40,45,50)/100*(Inputs!$B$11-Inputs!$B$11),0))))/100+(Inputs!$B$23+(IF(ArtifactsInput!$M$15,CHOOSE(ArtifactsInput!$N$15+1,25,30,35,40,45,50)/100*(Inputs!$B$11-Inputs!$B$11),0)))/100)/2</f>
        <v/>
      </c>
      <c r="M2061">
        <f>L2061*(1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(1-Summary!$B$11)*S2061+Summary!$B$11*U2061</f>
        <v/>
      </c>
      <c r="P2061">
        <f>IF(B2095=0,0,O2061/B2095)</f>
        <v/>
      </c>
      <c r="Q2061">
        <f>IFERROR(1/IF(Inputs!$B$38="pvp",15,MAX(0.1,Skills!D2-IF(Skills!E2=TRUE,Inputs!$B$32,0))),0)</f>
        <v/>
      </c>
      <c r="R2061" t="n">
        <v>0</v>
      </c>
      <c r="S2061">
        <f>IF(C2061,(Skills!F2*N2061*B2091)*IF(Inputs!$B$38="pvp",1,1+(Inputs!$B$20+Skills!O2+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1">
        <f>MAX(0,(Inputs!$B$3-100)*3)+Inputs!$B$28+Inputs!$B$29</f>
        <v/>
      </c>
      <c r="U2061">
        <f>IF(C2061,(Skills!F2*N2061*B2091)*IF(Inputs!$B$38="pvp",1,(1+(Inputs!$B$21+Skills!P2+B2086+(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61">
        <f>MAX(0,(Inputs!$B$3-100)*3)+Inputs!$B$28+Inputs!$B$29</f>
        <v/>
      </c>
    </row>
    <row r="2062">
      <c r="A2062">
        <f>Skills!A3</f>
        <v/>
      </c>
      <c r="B2062">
        <f>Skills!B3</f>
        <v/>
      </c>
      <c r="C2062">
        <f>Inputs!$B$3&gt;=15</f>
        <v/>
      </c>
      <c r="D2062">
        <f>IF(Skills!C3=1,60+Inputs!$B$25+Inputs!$B$29,IF(Skills!C3=2,90+Inputs!$B$26+Inputs!$B$29,IF(Skills!C3=3,120+Inputs!$B$27+Inputs!$B$29,MAX(0,(Inputs!$B$3-100)*3)+Inputs!$B$28+Inputs!$B$29)))</f>
        <v/>
      </c>
      <c r="E2062">
        <f>INDEX(FactorTable!$B$2:$Y$301, MATCH(ROUND(MIN(300,MAX(1,D2062)),0), FactorTable!$A$2:$A$301,0), Skills!L3+1)</f>
        <v/>
      </c>
      <c r="F2062">
        <f>IF(Skills!M3=TRUE,(Skills!K3/10)*(E2062/1000),Skills!K3/10)+Skills!N3</f>
        <v/>
      </c>
      <c r="G2062">
        <f>Calc!G3</f>
        <v/>
      </c>
      <c r="H2062">
        <f>Calc!H3</f>
        <v/>
      </c>
      <c r="I2062">
        <f>IF(Skills!T3&lt;&gt;"",1+(Skills!T3/10)*(Z2062/1000)/100,1)</f>
        <v/>
      </c>
      <c r="J2062" t="inlineStr"/>
      <c r="K2062" t="inlineStr"/>
      <c r="L2062" t="inlineStr"/>
      <c r="M2062" t="inlineStr"/>
      <c r="N2062" t="inlineStr"/>
      <c r="O2062">
        <f>(1-Summary!$B$11)*S2062+Summary!$B$11*U2062</f>
        <v/>
      </c>
      <c r="P2062">
        <f>IF(B2095=0,0,O2062/B2095)</f>
        <v/>
      </c>
      <c r="Q2062">
        <f>IFERROR(1/IF(Inputs!$B$38="pvp",15,MAX(0.1,Skills!D3-IF(Skills!E3=TRUE,Inputs!$B$32,0))),0)</f>
        <v/>
      </c>
      <c r="R2062">
        <f>IF(AND(Inputs!$B$38&lt;&gt;"pvp",Inputs!$B$43&gt;0),IF(Inputs!$B$43&lt;=0,0,(INT(Inputs!$B$43/IF(Inputs!$B$38="pvp",15,MAX(0.1,Skills!D3-IF(Skills!E3=TRUE,Inputs!$B$32,0))))+1)),0)</f>
        <v/>
      </c>
      <c r="S2062" t="n">
        <v>0</v>
      </c>
      <c r="T2062">
        <f>INDEX(FactorTable!$B$2:$Y$301, MATCH(ROUND(MIN(300,MAX(1,T2061)),0), FactorTable!$A$2:$A$301,0), 22)</f>
        <v/>
      </c>
      <c r="U2062" t="n">
        <v>0</v>
      </c>
      <c r="Z2062">
        <f>INDEX(FactorTable!$B$2:$Y$301, MATCH(ROUND(MIN(300,MAX(1,Z2061)),0), FactorTable!$A$2:$A$301,0), 24)</f>
        <v/>
      </c>
    </row>
    <row r="2063">
      <c r="A2063">
        <f>Skills!A4</f>
        <v/>
      </c>
      <c r="B2063">
        <f>Skills!B4</f>
        <v/>
      </c>
      <c r="C2063">
        <f>Inputs!$B$3&gt;=40</f>
        <v/>
      </c>
      <c r="D2063">
        <f>IF(Skills!C4=1,60+Inputs!$B$25+Inputs!$B$29,IF(Skills!C4=2,90+Inputs!$B$26+Inputs!$B$29,IF(Skills!C4=3,120+Inputs!$B$27+Inputs!$B$29,MAX(0,(Inputs!$B$3-100)*3)+Inputs!$B$28+Inputs!$B$29)))</f>
        <v/>
      </c>
      <c r="E2063">
        <f>INDEX(FactorTable!$B$2:$Y$301, MATCH(ROUND(MIN(300,MAX(1,D2063)),0), FactorTable!$A$2:$A$301,0), Skills!L4+1)</f>
        <v/>
      </c>
      <c r="F2063">
        <f>IF(Skills!M4=TRUE,(Skills!K4/10)*(E2063/1000),Skills!K4/10)+Skills!N4</f>
        <v/>
      </c>
      <c r="G2063">
        <f>Calc!G4</f>
        <v/>
      </c>
      <c r="H2063">
        <f>Calc!H4</f>
        <v/>
      </c>
      <c r="I2063">
        <f>IF(Skills!T4&lt;&gt;"",1+(Skills!T4/10)*(Z2062/1000)/100,1)</f>
        <v/>
      </c>
      <c r="J2063" t="inlineStr"/>
      <c r="K2063" t="inlineStr"/>
      <c r="L2063" t="inlineStr"/>
      <c r="M2063" t="inlineStr"/>
      <c r="N2063" t="inlineStr"/>
      <c r="O2063">
        <f>(1-Summary!$B$11)*S2063+Summary!$B$11*U2063</f>
        <v/>
      </c>
      <c r="P2063">
        <f>IF(B2095=0,0,O2063/B2095)</f>
        <v/>
      </c>
      <c r="Q2063">
        <f>IFERROR(1/IF(Inputs!$B$38="pvp",15,MAX(0.1,Skills!D4-IF(Skills!E4=TRUE,Inputs!$B$32,0))),0)</f>
        <v/>
      </c>
      <c r="R2063">
        <f>IF(AND(Inputs!$B$38&lt;&gt;"pvp",Inputs!$B$43&gt;0),IF(Inputs!$B$43&lt;=0,0,(INT(Inputs!$B$43/IF(Inputs!$B$38="pvp",15,MAX(0.1,Skills!D4-IF(Skills!E4=TRUE,Inputs!$B$32,0))))+1)),0)</f>
        <v/>
      </c>
      <c r="S2063" t="n">
        <v>0</v>
      </c>
      <c r="T2063">
        <f>290*T2062/1000</f>
        <v/>
      </c>
      <c r="U2063" t="n">
        <v>0</v>
      </c>
    </row>
    <row r="2064">
      <c r="A2064">
        <f>Skills!A5</f>
        <v/>
      </c>
      <c r="B2064">
        <f>Skills!B5</f>
        <v/>
      </c>
      <c r="C2064">
        <f>Inputs!$B$3&gt;=38</f>
        <v/>
      </c>
      <c r="D2064">
        <f>IF(Skills!C5=1,60+Inputs!$B$25+Inputs!$B$29,IF(Skills!C5=2,90+Inputs!$B$26+Inputs!$B$29,IF(Skills!C5=3,120+Inputs!$B$27+Inputs!$B$29,MAX(0,(Inputs!$B$3-100)*3)+Inputs!$B$28+Inputs!$B$29)))</f>
        <v/>
      </c>
      <c r="E2064">
        <f>INDEX(FactorTable!$B$2:$Y$301, MATCH(ROUND(MIN(300,MAX(1,D2064)),0), FactorTable!$A$2:$A$301,0), Skills!L5+1)</f>
        <v/>
      </c>
      <c r="F2064">
        <f>IF(Skills!M5=TRUE,(Skills!K5/10)*(E2064/1000),Skills!K5/10)+Skills!N5</f>
        <v/>
      </c>
      <c r="G2064">
        <f>Calc!G5</f>
        <v/>
      </c>
      <c r="H2064">
        <f>Calc!H5</f>
        <v/>
      </c>
      <c r="I2064">
        <f>IF(Skills!T5&lt;&gt;"",1+(Skills!T5/10)*(Z2062/1000)/100,1)</f>
        <v/>
      </c>
      <c r="J2064">
        <f>((Inputs!$B$6*(1+Inputs!$B$7/100))+(((Inputs!$B$12*(1+Inputs!$B$13/100))-(Inputs!$B$12*(1+Inputs!$B$13/100)))+0.25*(Inputs!$B$14-Inputs!$B$14))*(1+Inputs!$B$7/100))*(F2064/100)</f>
        <v/>
      </c>
      <c r="K2064">
        <f>J2064*(1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2077-Calc!F18),(Inputs!$B$23+(IF(ArtifactsInput!$M$15,CHOOSE(ArtifactsInput!$N$15+1,25,30,35,40,45,50)/100*(Inputs!$B$11-Inputs!$B$11),0))))/100+(Inputs!$B$23+(IF(ArtifactsInput!$M$15,CHOOSE(ArtifactsInput!$N$15+1,25,30,35,40,45,50)/100*(Inputs!$B$11-Inputs!$B$11),0)))/100)/2</f>
        <v/>
      </c>
      <c r="M2064">
        <f>L2064*(1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IF(B2095=0,0,O2064/B2095)</f>
        <v/>
      </c>
      <c r="Q2064">
        <f>IFERROR(1/IF(Inputs!$B$38="pvp",15,MAX(0.1,Skills!D5-IF(Skills!E5=TRUE,Inputs!$B$32,0))),0)</f>
        <v/>
      </c>
      <c r="R2064">
        <f>IF(AND(Inputs!$B$38&lt;&gt;"pvp",Inputs!$B$43&gt;0),IF(MAX(0,Inputs!$B$43-B2092)&lt;=0,0,(INT(MAX(0,Inputs!$B$43-B2092)/IF(Inputs!$B$38="pvp",15,MAX(0.1,Skills!D5-IF(Skills!E5=TRUE,Inputs!$B$32,0))))+1)),0)</f>
        <v/>
      </c>
      <c r="S2064">
        <f>IF(C2064,(H2064*N2064*IF(AND(Inputs!$B$38&lt;&gt;"pvp",Inputs!$B$43&gt;0),((Skills!F5*((R2064-1)*IF(Skills!G5&gt;0,Skills!H5/Skills!G5,1)+IF(Skills!G5&gt;0,MIN(Skills!H5,MAX(0,MAX(0,Inputs!$B$43-B2092)-((R2064-1)*IF(Inputs!$B$38="pvp",15,MAX(0.1,Skills!D5-IF(Skills!E5=TRUE,Inputs!$B$32,0))))))/Skills!G5,1)))/Inputs!$B$43),G2064*Q2064))*IF(Inputs!$B$38="pvp",1,1+(Inputs!$B$20+Skills!O5+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N2064*IF(AND(Inputs!$B$38&lt;&gt;"pvp",Inputs!$B$43&gt;0),((Skills!F5*((R2064-1)*IF(Skills!G5&gt;0,Skills!H5/Skills!G5,1)+IF(Skills!G5&gt;0,MIN(Skills!H5,MAX(0,MAX(0,Inputs!$B$43-B2092)-((R2064-1)*IF(Inputs!$B$38="pvp",15,MAX(0.1,Skills!D5-IF(Skills!E5=TRUE,Inputs!$B$32,0))))))/Skills!G5,1)))/Inputs!$B$43),G2064*Q2064))*IF(Inputs!$B$38="pvp",1,(1+(Inputs!$B$21+Skills!P5+B2086+(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Skills!A6</f>
        <v/>
      </c>
      <c r="B2065">
        <f>Skills!B6</f>
        <v/>
      </c>
      <c r="C2065">
        <f>Inputs!$B$3&gt;=63</f>
        <v/>
      </c>
      <c r="D2065">
        <f>IF(Skills!C6=1,60+Inputs!$B$25+Inputs!$B$29,IF(Skills!C6=2,90+Inputs!$B$26+Inputs!$B$29,IF(Skills!C6=3,120+Inputs!$B$27+Inputs!$B$29,MAX(0,(Inputs!$B$3-100)*3)+Inputs!$B$28+Inputs!$B$29)))</f>
        <v/>
      </c>
      <c r="E2065">
        <f>INDEX(FactorTable!$B$2:$Y$301, MATCH(ROUND(MIN(300,MAX(1,D2065)),0), FactorTable!$A$2:$A$301,0), Skills!L6+1)</f>
        <v/>
      </c>
      <c r="F2065">
        <f>IF(Skills!M6=TRUE,(Skills!K6/10)*(E2065/1000),Skills!K6/10)+Skills!N6</f>
        <v/>
      </c>
      <c r="G2065">
        <f>Calc!G6</f>
        <v/>
      </c>
      <c r="H2065">
        <f>Calc!H6</f>
        <v/>
      </c>
      <c r="I2065">
        <f>IF(Skills!T6&lt;&gt;"",1+(Skills!T6/10)*(Z2062/1000)/100,1)</f>
        <v/>
      </c>
      <c r="J2065">
        <f>((Inputs!$B$6*(1+Inputs!$B$7/100))+(((Inputs!$B$12*(1+Inputs!$B$13/100))-(Inputs!$B$12*(1+Inputs!$B$13/100)))+0.25*(Inputs!$B$14-Inputs!$B$14))*(1+Inputs!$B$7/100))*(F2065/100)</f>
        <v/>
      </c>
      <c r="K2065">
        <f>J2065*(1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2077-Calc!F18),(Inputs!$B$23+(IF(ArtifactsInput!$M$15,CHOOSE(ArtifactsInput!$N$15+1,25,30,35,40,45,50)/100*(Inputs!$B$11-Inputs!$B$11),0))))/100+(Inputs!$B$23+(IF(ArtifactsInput!$M$15,CHOOSE(ArtifactsInput!$N$15+1,25,30,35,40,45,50)/100*(Inputs!$B$11-Inputs!$B$11),0)))/100)/2</f>
        <v/>
      </c>
      <c r="M2065">
        <f>L2065*(1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IF(B2095=0,0,O2065/B2095)</f>
        <v/>
      </c>
      <c r="Q2065">
        <f>IFERROR(1/IF(Inputs!$B$38="pvp",15,MAX(0.1,Skills!D6-IF(Skills!E6=TRUE,Inputs!$B$32,0))),0)</f>
        <v/>
      </c>
      <c r="R2065">
        <f>IF(AND(Inputs!$B$38&lt;&gt;"pvp",Inputs!$B$43&gt;0),IF(MAX(0,Inputs!$B$43-B2092)&lt;=0,0,(INT(MAX(0,Inputs!$B$43-B2092)/IF(Inputs!$B$38="pvp",15,MAX(0.1,Skills!D6-IF(Skills!E6=TRUE,Inputs!$B$32,0))))+1)),0)</f>
        <v/>
      </c>
      <c r="S2065">
        <f>IF(C2065,(H2065*N2065*IF(AND(Inputs!$B$38&lt;&gt;"pvp",Inputs!$B$43&gt;0),((Skills!F6*((R2065-1)*IF(Skills!G6&gt;0,Skills!H6/Skills!G6,1)+IF(Skills!G6&gt;0,MIN(Skills!H6,MAX(0,MAX(0,Inputs!$B$43-B2092)-((R2065-1)*IF(Inputs!$B$38="pvp",15,MAX(0.1,Skills!D6-IF(Skills!E6=TRUE,Inputs!$B$32,0))))))/Skills!G6,1)))/Inputs!$B$43),G2065*Q2065))*IF(Inputs!$B$38="pvp",1,1+(Inputs!$B$20+Skills!O6+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F6*((R2065-1)*IF(Skills!G6&gt;0,Skills!H6/Skills!G6,1)+IF(Skills!G6&gt;0,MIN(Skills!H6,MAX(0,MAX(0,Inputs!$B$43-B2092)-((R2065-1)*IF(Inputs!$B$38="pvp",15,MAX(0.1,Skills!D6-IF(Skills!E6=TRUE,Inputs!$B$32,0))))))/Skills!G6,1)))/Inputs!$B$43),G2065*Q2065))*IF(Inputs!$B$38="pvp",1,(1+(Inputs!$B$21+Skills!P6+B2086+(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Skills!A7</f>
        <v/>
      </c>
      <c r="B2066">
        <f>Skills!B7</f>
        <v/>
      </c>
      <c r="C2066">
        <f>Inputs!$B$3&gt;=69</f>
        <v/>
      </c>
      <c r="D2066">
        <f>IF(Skills!C7=1,60+Inputs!$B$25+Inputs!$B$29,IF(Skills!C7=2,90+Inputs!$B$26+Inputs!$B$29,IF(Skills!C7=3,120+Inputs!$B$27+Inputs!$B$29,MAX(0,(Inputs!$B$3-100)*3)+Inputs!$B$28+Inputs!$B$29)))</f>
        <v/>
      </c>
      <c r="E2066">
        <f>INDEX(FactorTable!$B$2:$Y$301, MATCH(ROUND(MIN(300,MAX(1,D2066)),0), FactorTable!$A$2:$A$301,0), Skills!L7+1)</f>
        <v/>
      </c>
      <c r="F2066">
        <f>IF(Skills!M7=TRUE,(Skills!K7/10)*(E2066/1000),Skills!K7/10)+Skills!N7</f>
        <v/>
      </c>
      <c r="G2066">
        <f>Calc!G7</f>
        <v/>
      </c>
      <c r="H2066">
        <f>Calc!H7</f>
        <v/>
      </c>
      <c r="I2066">
        <f>IF(Skills!T7&lt;&gt;"",1+(Skills!T7/10)*(Z2062/1000)/100,1)</f>
        <v/>
      </c>
      <c r="J2066">
        <f>((Inputs!$B$6*(1+Inputs!$B$7/100))+(((Inputs!$B$12*(1+Inputs!$B$13/100))-(Inputs!$B$12*(1+Inputs!$B$13/100)))+0.25*(Inputs!$B$14-Inputs!$B$14))*(1+Inputs!$B$7/100))*(F2066/100)</f>
        <v/>
      </c>
      <c r="K2066">
        <f>J2066*(1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2077-Calc!F18),(Inputs!$B$23+(IF(ArtifactsInput!$M$15,CHOOSE(ArtifactsInput!$N$15+1,25,30,35,40,45,50)/100*(Inputs!$B$11-Inputs!$B$11),0))))/100+(Inputs!$B$23+(IF(ArtifactsInput!$M$15,CHOOSE(ArtifactsInput!$N$15+1,25,30,35,40,45,50)/100*(Inputs!$B$11-Inputs!$B$11),0)))/100)/2</f>
        <v/>
      </c>
      <c r="M2066">
        <f>L2066*(1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IF(B2095=0,0,O2066/B2095)</f>
        <v/>
      </c>
      <c r="Q2066">
        <f>IFERROR(1/IF(Inputs!$B$38="pvp",15,MAX(0.1,Skills!D7-IF(Skills!E7=TRUE,Inputs!$B$32,0))),0)</f>
        <v/>
      </c>
      <c r="R2066">
        <f>IF(AND(Inputs!$B$38&lt;&gt;"pvp",Inputs!$B$43&gt;0),IF(MAX(0,Inputs!$B$43-B2092)&lt;=0,0,(INT(MAX(0,Inputs!$B$43-B2092)/IF(Inputs!$B$38="pvp",15,MAX(0.1,Skills!D7-IF(Skills!E7=TRUE,Inputs!$B$32,0))))+1)),0)</f>
        <v/>
      </c>
      <c r="S2066">
        <f>IF(C2066,(H2066*N2066*IF(AND(Inputs!$B$38&lt;&gt;"pvp",Inputs!$B$43&gt;0),((Skills!F7*((R2066-1)*IF(Skills!G7&gt;0,Skills!H7/Skills!G7,1)+IF(Skills!G7&gt;0,MIN(Skills!H7,MAX(0,MAX(0,Inputs!$B$43-B2092)-((R2066-1)*IF(Inputs!$B$38="pvp",15,MAX(0.1,Skills!D7-IF(Skills!E7=TRUE,Inputs!$B$32,0))))))/Skills!G7,1)))/Inputs!$B$43),G2066*Q2066))*IF(Inputs!$B$38="pvp",1,1+(Inputs!$B$20+Skills!O7+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F7*((R2066-1)*IF(Skills!G7&gt;0,Skills!H7/Skills!G7,1)+IF(Skills!G7&gt;0,MIN(Skills!H7,MAX(0,MAX(0,Inputs!$B$43-B2092)-((R2066-1)*IF(Inputs!$B$38="pvp",15,MAX(0.1,Skills!D7-IF(Skills!E7=TRUE,Inputs!$B$32,0))))))/Skills!G7,1)))/Inputs!$B$43),G2066*Q2066))*IF(Inputs!$B$38="pvp",1,(1+(Inputs!$B$21+Skills!P7+B2086+(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Skills!A8</f>
        <v/>
      </c>
      <c r="B2067">
        <f>Skills!B8</f>
        <v/>
      </c>
      <c r="C2067">
        <f>Inputs!$B$3&gt;=103</f>
        <v/>
      </c>
      <c r="D2067">
        <f>IF(Skills!C8=1,60+Inputs!$B$25+Inputs!$B$29,IF(Skills!C8=2,90+Inputs!$B$26+Inputs!$B$29,IF(Skills!C8=3,120+Inputs!$B$27+Inputs!$B$29,MAX(0,(Inputs!$B$3-100)*3)+Inputs!$B$28+Inputs!$B$29)))</f>
        <v/>
      </c>
      <c r="E2067">
        <f>INDEX(FactorTable!$B$2:$Y$301, MATCH(ROUND(MIN(300,MAX(1,D2067)),0), FactorTable!$A$2:$A$301,0), Skills!L8+1)</f>
        <v/>
      </c>
      <c r="F2067">
        <f>IF(Skills!M8=TRUE,(Skills!K8/10)*(E2067/1000),Skills!K8/10)+Skills!N8</f>
        <v/>
      </c>
      <c r="G2067">
        <f>Calc!G8</f>
        <v/>
      </c>
      <c r="H2067">
        <f>Calc!H8</f>
        <v/>
      </c>
      <c r="I2067">
        <f>IF(Skills!T8&lt;&gt;"",1+(Skills!T8/10)*(Z2062/1000)/100,1)</f>
        <v/>
      </c>
      <c r="J2067">
        <f>((Inputs!$B$6*(1+Inputs!$B$7/100))+(((Inputs!$B$12*(1+Inputs!$B$13/100))-(Inputs!$B$12*(1+Inputs!$B$13/100)))+0.25*(Inputs!$B$14-Inputs!$B$14))*(1+Inputs!$B$7/100))*(F2067/100)</f>
        <v/>
      </c>
      <c r="K2067">
        <f>J2067*(1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2067)</f>
        <v/>
      </c>
      <c r="L2067">
        <f>K2067*(MIN(Inputs!$B$22+(F2077-Calc!F18),(Inputs!$B$23+(IF(ArtifactsInput!$M$15,CHOOSE(ArtifactsInput!$N$15+1,25,30,35,40,45,50)/100*(Inputs!$B$11-Inputs!$B$11),0))))/100+(Inputs!$B$23+(IF(ArtifactsInput!$M$15,CHOOSE(ArtifactsInput!$N$15+1,25,30,35,40,45,50)/100*(Inputs!$B$11-Inputs!$B$11),0)))/100)/2</f>
        <v/>
      </c>
      <c r="M2067">
        <f>L2067*(1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7">
        <f>L2067*(1-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2067*(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7">
        <f>(1-Summary!$B$11)*S2067+Summary!$B$11*U2067</f>
        <v/>
      </c>
      <c r="P2067">
        <f>IF(B2095=0,0,O2067/B2095)</f>
        <v/>
      </c>
      <c r="Q2067">
        <f>IFERROR(1/IF(Inputs!$B$38="pvp",15,MAX(0.1,Skills!D8-IF(Skills!E8=TRUE,Inputs!$B$32,0))),0)</f>
        <v/>
      </c>
      <c r="R2067">
        <f>IF(AND(Inputs!$B$38&lt;&gt;"pvp",Inputs!$B$43&gt;0),IF(MAX(0,Inputs!$B$43-B2092)&lt;=0,0,(INT(MAX(0,Inputs!$B$43-B2092)/IF(Inputs!$B$38="pvp",15,MAX(0.1,Skills!D8-IF(Skills!E8=TRUE,Inputs!$B$32,0))))+1)),0)</f>
        <v/>
      </c>
      <c r="S2067">
        <f>IF(C2067,(H2067*N2067*IF(AND(Inputs!$B$38&lt;&gt;"pvp",Inputs!$B$43&gt;0),((Skills!F8*((R2067-1)*IF(Skills!G8&gt;0,Skills!H8/Skills!G8,1)+IF(Skills!G8&gt;0,MIN(Skills!H8,MAX(0,MAX(0,Inputs!$B$43-B2092)-((R2067-1)*IF(Inputs!$B$38="pvp",15,MAX(0.1,Skills!D8-IF(Skills!E8=TRUE,Inputs!$B$32,0))))))/Skills!G8,1)))/Inputs!$B$43),G2067*Q2067))*IF(Inputs!$B$38="pvp",1,1+(Inputs!$B$20+Skills!O8+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2067*(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2067*(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7">
        <f>IF(C2067,(H2067*N2067*IF(AND(Inputs!$B$38&lt;&gt;"pvp",Inputs!$B$43&gt;0),((Skills!F8*((R2067-1)*IF(Skills!G8&gt;0,Skills!H8/Skills!G8,1)+IF(Skills!G8&gt;0,MIN(Skills!H8,MAX(0,MAX(0,Inputs!$B$43-B2092)-((R2067-1)*IF(Inputs!$B$38="pvp",15,MAX(0.1,Skills!D8-IF(Skills!E8=TRUE,Inputs!$B$32,0))))))/Skills!G8,1)))/Inputs!$B$43),G2067*Q2067))*IF(Inputs!$B$38="pvp",1,(1+(Inputs!$B$21+Skills!P8+B2086+(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8">
      <c r="A2068">
        <f>Skills!A9</f>
        <v/>
      </c>
      <c r="B2068">
        <f>Skills!B9</f>
        <v/>
      </c>
      <c r="C2068">
        <f>Inputs!$B$3&gt;=105</f>
        <v/>
      </c>
      <c r="D2068">
        <f>IF(Skills!C9=1,60+Inputs!$B$25+Inputs!$B$29,IF(Skills!C9=2,90+Inputs!$B$26+Inputs!$B$29,IF(Skills!C9=3,120+Inputs!$B$27+Inputs!$B$29,MAX(0,(Inputs!$B$3-100)*3)+Inputs!$B$28+Inputs!$B$29)))</f>
        <v/>
      </c>
      <c r="E2068">
        <f>INDEX(FactorTable!$B$2:$Y$301, MATCH(ROUND(MIN(300,MAX(1,D2068)),0), FactorTable!$A$2:$A$301,0), Skills!L9+1)</f>
        <v/>
      </c>
      <c r="F2068">
        <f>IF(Skills!M9=TRUE,(Skills!K9/10)*(E2068/1000),Skills!K9/10)+Skills!N9</f>
        <v/>
      </c>
      <c r="G2068">
        <f>Calc!G9</f>
        <v/>
      </c>
      <c r="H2068">
        <f>Calc!H9</f>
        <v/>
      </c>
      <c r="I2068">
        <f>IF(Skills!T9&lt;&gt;"",1+(Skills!T9/10)*(Z2062/1000)/100,1)</f>
        <v/>
      </c>
      <c r="J2068">
        <f>((Inputs!$B$6*(1+Inputs!$B$7/100))+(((Inputs!$B$12*(1+Inputs!$B$13/100))-(Inputs!$B$12*(1+Inputs!$B$13/100)))+0.25*(Inputs!$B$14-Inputs!$B$14))*(1+Inputs!$B$7/100))*(F2068/100)</f>
        <v/>
      </c>
      <c r="K2068">
        <f>J2068*(1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2068)</f>
        <v/>
      </c>
      <c r="L2068">
        <f>K2068*(MIN(Inputs!$B$22+(F2077-Calc!F18),(Inputs!$B$23+(IF(ArtifactsInput!$M$15,CHOOSE(ArtifactsInput!$N$15+1,25,30,35,40,45,50)/100*(Inputs!$B$11-Inputs!$B$11),0))))/100+(Inputs!$B$23+(IF(ArtifactsInput!$M$15,CHOOSE(ArtifactsInput!$N$15+1,25,30,35,40,45,50)/100*(Inputs!$B$11-Inputs!$B$11),0)))/100)/2</f>
        <v/>
      </c>
      <c r="M2068">
        <f>L2068*(1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8">
        <f>L2068*(1-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2068*(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8">
        <f>(1-Summary!$B$11)*S2068+Summary!$B$11*U2068</f>
        <v/>
      </c>
      <c r="P2068">
        <f>IF(B2095=0,0,O2068/B2095)</f>
        <v/>
      </c>
      <c r="Q2068">
        <f>IFERROR(1/IF(Inputs!$B$38="pvp",15,MAX(0.1,Skills!D9-IF(Skills!E9=TRUE,Inputs!$B$32,0))),0)</f>
        <v/>
      </c>
      <c r="R2068">
        <f>IF(AND(Inputs!$B$38&lt;&gt;"pvp",Inputs!$B$43&gt;0),IF(MAX(0,Inputs!$B$43-B2092)&lt;=0,0,(INT(MAX(0,Inputs!$B$43-B2092)/IF(Inputs!$B$38="pvp",15,MAX(0.1,Skills!D9-IF(Skills!E9=TRUE,Inputs!$B$32,0))))+1)),0)</f>
        <v/>
      </c>
      <c r="S2068">
        <f>IF(C2068,(H2068*N2068*IF(AND(Inputs!$B$38&lt;&gt;"pvp",Inputs!$B$43&gt;0),((Skills!F9*((R2068-1)*IF(Skills!G9&gt;0,Skills!H9/Skills!G9,1)+IF(Skills!G9&gt;0,MIN(Skills!H9,MAX(0,MAX(0,Inputs!$B$43-B2092)-((R2068-1)*IF(Inputs!$B$38="pvp",15,MAX(0.1,Skills!D9-IF(Skills!E9=TRUE,Inputs!$B$32,0))))))/Skills!G9,1)))/Inputs!$B$43),G2068*Q2068))*IF(Inputs!$B$38="pvp",1,1+(Inputs!$B$20+Skills!O9+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2068*(1-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2068*(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2068*(1-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2068*(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8">
        <f>IF(C2068,(H2068*N2068*IF(AND(Inputs!$B$38&lt;&gt;"pvp",Inputs!$B$43&gt;0),((Skills!F9*((R2068-1)*IF(Skills!G9&gt;0,Skills!H9/Skills!G9,1)+IF(Skills!G9&gt;0,MIN(Skills!H9,MAX(0,MAX(0,Inputs!$B$43-B2092)-((R2068-1)*IF(Inputs!$B$38="pvp",15,MAX(0.1,Skills!D9-IF(Skills!E9=TRUE,Inputs!$B$32,0))))))/Skills!G9,1)))/Inputs!$B$43),G2068*Q2068))*IF(Inputs!$B$38="pvp",1,(1+(Inputs!$B$21+Skills!P9+B2086+(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9">
      <c r="A2069">
        <f>Skills!A10</f>
        <v/>
      </c>
      <c r="B2069">
        <f>Skills!B10</f>
        <v/>
      </c>
      <c r="C2069">
        <f>Inputs!$B$3&gt;=113</f>
        <v/>
      </c>
      <c r="D2069">
        <f>IF(Skills!C10=1,60+Inputs!$B$25+Inputs!$B$29,IF(Skills!C10=2,90+Inputs!$B$26+Inputs!$B$29,IF(Skills!C10=3,120+Inputs!$B$27+Inputs!$B$29,MAX(0,(Inputs!$B$3-100)*3)+Inputs!$B$28+Inputs!$B$29)))</f>
        <v/>
      </c>
      <c r="E2069">
        <f>INDEX(FactorTable!$B$2:$Y$301, MATCH(ROUND(MIN(300,MAX(1,D2069)),0), FactorTable!$A$2:$A$301,0), Skills!L10+1)</f>
        <v/>
      </c>
      <c r="F2069">
        <f>IF(Skills!M10=TRUE,(Skills!K10/10)*(E2069/1000),Skills!K10/10)+Skills!N10</f>
        <v/>
      </c>
      <c r="G2069">
        <f>Calc!G10</f>
        <v/>
      </c>
      <c r="H2069">
        <f>Calc!H10</f>
        <v/>
      </c>
      <c r="I2069">
        <f>IF(Skills!T10&lt;&gt;"",1+(Skills!T10/10)*(Z2062/1000)/100,1)</f>
        <v/>
      </c>
      <c r="J2069">
        <f>((Inputs!$B$6*(1+Inputs!$B$7/100))+(((Inputs!$B$12*(1+Inputs!$B$13/100))-(Inputs!$B$12*(1+Inputs!$B$13/100)))+0.25*(Inputs!$B$14-Inputs!$B$14))*(1+Inputs!$B$7/100))*(F2069/100)</f>
        <v/>
      </c>
      <c r="K2069">
        <f>J2069*(1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2069)</f>
        <v/>
      </c>
      <c r="L2069">
        <f>K2069*(MIN(Inputs!$B$22+(F2077-Calc!F18),(Inputs!$B$23+(IF(ArtifactsInput!$M$15,CHOOSE(ArtifactsInput!$N$15+1,25,30,35,40,45,50)/100*(Inputs!$B$11-Inputs!$B$11),0))))/100+(Inputs!$B$23+(IF(ArtifactsInput!$M$15,CHOOSE(ArtifactsInput!$N$15+1,25,30,35,40,45,50)/100*(Inputs!$B$11-Inputs!$B$11),0)))/100)/2</f>
        <v/>
      </c>
      <c r="M2069">
        <f>L2069*(1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9">
        <f>L2069*(1-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2069*(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9">
        <f>(1-Summary!$B$11)*S2069+Summary!$B$11*U2069</f>
        <v/>
      </c>
      <c r="P2069">
        <f>IF(B2095=0,0,O2069/B2095)</f>
        <v/>
      </c>
      <c r="Q2069">
        <f>IFERROR(1/IF(Inputs!$B$38="pvp",15,MAX(0.1,Skills!D10-IF(Skills!E9=TRUE,Inputs!$B$32,0))),0)</f>
        <v/>
      </c>
      <c r="R2069">
        <f>IF(AND(Inputs!$B$38&lt;&gt;"pvp",Inputs!$B$43&gt;0),IF(MAX(0,Inputs!$B$43-B2092)&lt;=0,0,(INT(MAX(0,Inputs!$B$43-B2092)/IF(Inputs!$B$38="pvp",15,MAX(0.1,Skills!D10-IF(Skills!E9=TRUE,Inputs!$B$32,0))))+1)),0)</f>
        <v/>
      </c>
      <c r="S2069">
        <f>IF(C2069,(H2069*N2069*IF(AND(Inputs!$B$38&lt;&gt;"pvp",Inputs!$B$43&gt;0),((Skills!F10*((R2069-1)*IF(Skills!G10&gt;0,Skills!H10/Skills!G10,1)+IF(Skills!G10&gt;0,MIN(Skills!H10,MAX(0,MAX(0,Inputs!$B$43-B2092)-((R2069-1)*IF(Inputs!$B$38="pvp",15,MAX(0.1,Skills!D10-IF(Skills!E9=TRUE,Inputs!$B$32,0))))))/Skills!G10,1)))/Inputs!$B$43),G2069*Q2069))*IF(Inputs!$B$38="pvp",1,1+(Inputs!$B$20+Skills!O10+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2069*(1-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2069*(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2069*(1-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2069*(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9">
        <f>IF(C2069,(H2069*N2069*IF(AND(Inputs!$B$38&lt;&gt;"pvp",Inputs!$B$43&gt;0),((Skills!F10*((R2069-1)*IF(Skills!G10&gt;0,Skills!H10/Skills!G10,1)+IF(Skills!G10&gt;0,MIN(Skills!H10,MAX(0,MAX(0,Inputs!$B$43-B2092)-((R2069-1)*IF(Inputs!$B$38="pvp",15,MAX(0.1,Skills!D10-IF(Skills!E9=TRUE,Inputs!$B$32,0))))))/Skills!G10,1)))/Inputs!$B$43),G2069*Q2069))*IF(Inputs!$B$38="pvp",1,(1+(Inputs!$B$21+Skills!P10+B2086+(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0">
      <c r="A2070">
        <f>Skills!A11</f>
        <v/>
      </c>
      <c r="B2070">
        <f>Skills!B11</f>
        <v/>
      </c>
      <c r="C2070">
        <f>Inputs!$B$3&gt;=107</f>
        <v/>
      </c>
      <c r="D2070">
        <f>IF(Skills!C11=1,60+Inputs!$B$25+Inputs!$B$29,IF(Skills!C11=2,90+Inputs!$B$26+Inputs!$B$29,IF(Skills!C11=3,120+Inputs!$B$27+Inputs!$B$29,MAX(0,(Inputs!$B$3-100)*3)+Inputs!$B$28+Inputs!$B$29)))</f>
        <v/>
      </c>
      <c r="E2070">
        <f>INDEX(FactorTable!$B$2:$Y$301, MATCH(ROUND(MIN(300,MAX(1,D2070)),0), FactorTable!$A$2:$A$301,0), Skills!L11+1)</f>
        <v/>
      </c>
      <c r="F2070">
        <f>IF(Skills!M11=TRUE,(Skills!K11/10)*(E2070/1000),Skills!K11/10)+Skills!N11</f>
        <v/>
      </c>
      <c r="G2070">
        <f>Calc!G11</f>
        <v/>
      </c>
      <c r="H2070">
        <f>Calc!H11</f>
        <v/>
      </c>
      <c r="I2070">
        <f>IF(Skills!T11&lt;&gt;"",1+(Skills!T11/10)*(Z2062/1000)/100,1)</f>
        <v/>
      </c>
      <c r="J2070">
        <f>((Inputs!$B$6*(1+Inputs!$B$7/100))+(((Inputs!$B$12*(1+Inputs!$B$13/100))-(Inputs!$B$12*(1+Inputs!$B$13/100)))+0.25*(Inputs!$B$14-Inputs!$B$14))*(1+Inputs!$B$7/100))*(F2070/100)</f>
        <v/>
      </c>
      <c r="K2070">
        <f>J2070*(1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2070)</f>
        <v/>
      </c>
      <c r="L2070">
        <f>K2070*(MIN(Inputs!$B$22+(F2077-Calc!F18),(Inputs!$B$23+(IF(ArtifactsInput!$M$15,CHOOSE(ArtifactsInput!$N$15+1,25,30,35,40,45,50)/100*(Inputs!$B$11-Inputs!$B$11),0))))/100+(Inputs!$B$23+(IF(ArtifactsInput!$M$15,CHOOSE(ArtifactsInput!$N$15+1,25,30,35,40,45,50)/100*(Inputs!$B$11-Inputs!$B$11),0)))/100)/2</f>
        <v/>
      </c>
      <c r="M2070">
        <f>L2070*(1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0">
        <f>L2070*(1-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2070*(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0">
        <f>(1-Summary!$B$11)*S2070+Summary!$B$11*U2070</f>
        <v/>
      </c>
      <c r="P2070">
        <f>IF(B2095=0,0,O2070/B2095)</f>
        <v/>
      </c>
      <c r="Q2070">
        <f>IFERROR(1/IF(Inputs!$B$38="pvp",15,MAX(0.1,Skills!D11-IF(Skills!E11=TRUE,Inputs!$B$32,0))),0)</f>
        <v/>
      </c>
      <c r="R2070">
        <f>IF(AND(Inputs!$B$38&lt;&gt;"pvp",Inputs!$B$43&gt;0),IF(MAX(0,Inputs!$B$43-B2092)&lt;=0,0,(INT(MAX(0,Inputs!$B$43-B2092)/IF(Inputs!$B$38="pvp",15,MAX(0.1,Skills!D11-IF(Skills!E11=TRUE,Inputs!$B$32,0))))+1)),0)</f>
        <v/>
      </c>
      <c r="S2070">
        <f>IF(C2070,H2070*N2070*IF(AND(Inputs!$B$38&lt;&gt;"pvp",Inputs!$B$43&gt;0),((Skills!F11*((R2070-1)*IF(Skills!G11&gt;0,Skills!H11/Skills!G11,1)+IF(Skills!G11&gt;0,MIN(Skills!H11,MAX(0,MAX(0,Inputs!$B$43-B2092)-((R2070-1)*IF(Inputs!$B$38="pvp",15,MAX(0.1,Skills!D11-IF(Skills!E11=TRUE,Inputs!$B$32,0))))))/Skills!G11,1)))/Inputs!$B$43),G2070*Q2070)*0.5*IF(Inputs!$B$38="pvp",1,1+(Inputs!$B$20+Skills!O11+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2070*(1-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2070*(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2070*(1-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2070*(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0">
        <f>IF(C2070,H2070*N2070*IF(AND(Inputs!$B$38&lt;&gt;"pvp",Inputs!$B$43&gt;0),((Skills!F11*((R2070-1)*IF(Skills!G11&gt;0,Skills!H11/Skills!G11,1)+IF(Skills!G11&gt;0,MIN(Skills!H11,MAX(0,MAX(0,Inputs!$B$43-B2092)-((R2070-1)*IF(Inputs!$B$38="pvp",15,MAX(0.1,Skills!D11-IF(Skills!E11=TRUE,Inputs!$B$32,0))))))/Skills!G11,1)))/Inputs!$B$43),G2070*Q2070)*1*IF(Inputs!$B$38="pvp",1,(1+(Inputs!$B$21+Skills!P11+B2086+(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1">
      <c r="A2071">
        <f>Skills!A12</f>
        <v/>
      </c>
      <c r="B2071">
        <f>Skills!B12</f>
        <v/>
      </c>
      <c r="C2071">
        <f>Inputs!$B$3&gt;=115</f>
        <v/>
      </c>
      <c r="D2071">
        <f>IF(Skills!C12=1,60+Inputs!$B$25+Inputs!$B$29,IF(Skills!C12=2,90+Inputs!$B$26+Inputs!$B$29,IF(Skills!C12=3,120+Inputs!$B$27+Inputs!$B$29,MAX(0,(Inputs!$B$3-100)*3)+Inputs!$B$28+Inputs!$B$29)))</f>
        <v/>
      </c>
      <c r="E2071">
        <f>INDEX(FactorTable!$B$2:$Y$301, MATCH(ROUND(MIN(300,MAX(1,D2071)),0), FactorTable!$A$2:$A$301,0), Skills!L12+1)</f>
        <v/>
      </c>
      <c r="F2071">
        <f>IF(Skills!M12=TRUE,(Skills!K12/10)*(E2071/1000),Skills!K12/10)+Skills!N12</f>
        <v/>
      </c>
      <c r="G2071">
        <f>Calc!G12</f>
        <v/>
      </c>
      <c r="H2071">
        <f>Calc!H12</f>
        <v/>
      </c>
      <c r="I2071">
        <f>IF(Skills!T12&lt;&gt;"",1+(Skills!T12/10)*(Z2062/1000)/100,1)</f>
        <v/>
      </c>
      <c r="J2071">
        <f>((Inputs!$B$6*(1+Inputs!$B$7/100))+(((Inputs!$B$12*(1+Inputs!$B$13/100))-(Inputs!$B$12*(1+Inputs!$B$13/100)))+0.25*(Inputs!$B$14-Inputs!$B$14))*(1+Inputs!$B$7/100))*(F2071/100)</f>
        <v/>
      </c>
      <c r="K2071">
        <f>J2071*(1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2071)</f>
        <v/>
      </c>
      <c r="L2071">
        <f>K2071*(MIN(Inputs!$B$22+(F2077-Calc!F18),(Inputs!$B$23+(IF(ArtifactsInput!$M$15,CHOOSE(ArtifactsInput!$N$15+1,25,30,35,40,45,50)/100*(Inputs!$B$11-Inputs!$B$11),0))))/100+(Inputs!$B$23+(IF(ArtifactsInput!$M$15,CHOOSE(ArtifactsInput!$N$15+1,25,30,35,40,45,50)/100*(Inputs!$B$11-Inputs!$B$11),0)))/100)/2</f>
        <v/>
      </c>
      <c r="M2071">
        <f>L2071*(1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1">
        <f>L2071*(1-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1">
        <f>(1-Summary!$B$11)*S2071+Summary!$B$11*U2071</f>
        <v/>
      </c>
      <c r="P2071">
        <f>IF(B2095=0,0,O2071/B2095)</f>
        <v/>
      </c>
      <c r="Q2071">
        <f>IFERROR(1/IF(Inputs!$B$38="pvp",15,MAX(0.1,Skills!D12-IF(Skills!E12=TRUE,Inputs!$B$32,0))),0)</f>
        <v/>
      </c>
      <c r="R2071">
        <f>IF(AND(Inputs!$B$38&lt;&gt;"pvp",Inputs!$B$43&gt;0),IF(MAX(0,Inputs!$B$43-B2092)&lt;=0,0,(INT(MAX(0,Inputs!$B$43-B2092)/IF(Inputs!$B$38="pvp",15,MAX(0.1,Skills!D12-IF(Skills!E12=TRUE,Inputs!$B$32,0))))+1)),0)</f>
        <v/>
      </c>
      <c r="S2071">
        <f>IF(C2071,(H2071*N2071*IF(AND(Inputs!$B$38&lt;&gt;"pvp",Inputs!$B$43&gt;0),((Skills!F12*((R2071-1)*IF(Skills!G12&gt;0,Skills!H12/Skills!G12,1)+IF(Skills!G12&gt;0,MIN(Skills!H12,MAX(0,MAX(0,Inputs!$B$43-B2092)-((R2071-1)*IF(Inputs!$B$38="pvp",15,MAX(0.1,Skills!D12-IF(Skills!E12=TRUE,Inputs!$B$32,0))))))/Skills!G12,1)))/Inputs!$B$43),G2071*Q2071))*IF(Inputs!$B$38="pvp",1,1+(Inputs!$B$20+Skills!O12+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1">
        <f>IF(C2071,(H2071*N2071*IF(AND(Inputs!$B$38&lt;&gt;"pvp",Inputs!$B$43&gt;0),((Skills!F12*((R2071-1)*IF(Skills!G12&gt;0,Skills!H12/Skills!G12,1)+IF(Skills!G12&gt;0,MIN(Skills!H12,MAX(0,MAX(0,Inputs!$B$43-B2092)-((R2071-1)*IF(Inputs!$B$38="pvp",15,MAX(0.1,Skills!D12-IF(Skills!E12=TRUE,Inputs!$B$32,0))))))/Skills!G12,1)))/Inputs!$B$43),G2071*Q2071))*IF(Inputs!$B$38="pvp",1,(1+(Inputs!$B$21+Skills!P12+B2086+(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2">
      <c r="A2072">
        <f>Skills!A13</f>
        <v/>
      </c>
      <c r="B2072">
        <f>Skills!B13</f>
        <v/>
      </c>
      <c r="C2072">
        <f>Inputs!$B$3&gt;=49</f>
        <v/>
      </c>
      <c r="D2072">
        <f>IF(Skills!C13=1,60+Inputs!$B$25+Inputs!$B$29,IF(Skills!C13=2,90+Inputs!$B$26+Inputs!$B$29,IF(Skills!C13=3,120+Inputs!$B$27+Inputs!$B$29,MAX(0,(Inputs!$B$3-100)*3)+Inputs!$B$28+Inputs!$B$29)))</f>
        <v/>
      </c>
      <c r="E2072">
        <f>INDEX(FactorTable!$B$2:$Y$301, MATCH(ROUND(MIN(300,MAX(1,D2072)),0), FactorTable!$A$2:$A$301,0), Skills!L13+1)</f>
        <v/>
      </c>
      <c r="F2072">
        <f>IF(Skills!M13=TRUE,(Skills!K13/10)*(E2072/1000),Skills!K13/10)+Skills!N13</f>
        <v/>
      </c>
      <c r="G2072">
        <f>Calc!G13</f>
        <v/>
      </c>
      <c r="H2072">
        <f>Calc!H13</f>
        <v/>
      </c>
      <c r="I2072">
        <f>IF(Skills!T13&lt;&gt;"",1+(Skills!T13/10)*(Z2062/1000)/100,1)</f>
        <v/>
      </c>
      <c r="J2072" t="inlineStr"/>
      <c r="K2072" t="inlineStr"/>
      <c r="L2072" t="inlineStr"/>
      <c r="M2072" t="inlineStr"/>
      <c r="N2072" t="inlineStr"/>
      <c r="O2072">
        <f>(1-Summary!$B$11)*S2072+Summary!$B$11*U2072</f>
        <v/>
      </c>
      <c r="P2072">
        <f>IF(B2095=0,0,O2072/B2095)</f>
        <v/>
      </c>
      <c r="Q2072">
        <f>IFERROR(1/IF(Inputs!$B$38="pvp",15,MAX(0.1,Skills!D13-IF(Skills!E13=TRUE,Inputs!$B$32,0))),0)</f>
        <v/>
      </c>
      <c r="R2072" t="n">
        <v>0</v>
      </c>
      <c r="S2072" t="n">
        <v>0</v>
      </c>
      <c r="U2072" t="n">
        <v>0</v>
      </c>
    </row>
    <row r="2073">
      <c r="A2073">
        <f>Skills!A14</f>
        <v/>
      </c>
      <c r="B2073">
        <f>Skills!B14</f>
        <v/>
      </c>
      <c r="C2073">
        <f>Inputs!$B$3&gt;=72</f>
        <v/>
      </c>
      <c r="D2073">
        <f>IF(Skills!C14=1,60+Inputs!$B$25+Inputs!$B$29,IF(Skills!C14=2,90+Inputs!$B$26+Inputs!$B$29,IF(Skills!C14=3,120+Inputs!$B$27+Inputs!$B$29,MAX(0,(Inputs!$B$3-100)*3)+Inputs!$B$28+Inputs!$B$29)))</f>
        <v/>
      </c>
      <c r="E2073">
        <f>INDEX(FactorTable!$B$2:$Y$301, MATCH(ROUND(MIN(300,MAX(1,D2073)),0), FactorTable!$A$2:$A$301,0), Skills!L14+1)</f>
        <v/>
      </c>
      <c r="F2073">
        <f>IF(Skills!M14=TRUE,(Skills!K14/10)*(E2073/1000),Skills!K14/10)+Skills!N14</f>
        <v/>
      </c>
      <c r="G2073">
        <f>Calc!G14</f>
        <v/>
      </c>
      <c r="H2073">
        <f>Calc!H14</f>
        <v/>
      </c>
      <c r="I2073">
        <f>IF(Skills!T14&lt;&gt;"",1+(Skills!T14/10)*(Z2062/1000)/100,1)</f>
        <v/>
      </c>
      <c r="J2073" t="inlineStr"/>
      <c r="K2073" t="inlineStr"/>
      <c r="L2073" t="inlineStr"/>
      <c r="M2073" t="inlineStr"/>
      <c r="N2073" t="inlineStr"/>
      <c r="O2073">
        <f>(1-Summary!$B$11)*S2073+Summary!$B$11*U2073</f>
        <v/>
      </c>
      <c r="P2073">
        <f>IF(B2095=0,0,O2073/B2095)</f>
        <v/>
      </c>
      <c r="Q2073">
        <f>IFERROR(1/IF(Inputs!$B$38="pvp",15,MAX(0.1,Skills!D14-IF(Skills!E14=TRUE,Inputs!$B$32,0))),0)</f>
        <v/>
      </c>
      <c r="R2073" t="n">
        <v>0</v>
      </c>
      <c r="S2073" t="n">
        <v>0</v>
      </c>
      <c r="U2073" t="n">
        <v>0</v>
      </c>
    </row>
    <row r="2074">
      <c r="A2074">
        <f>Skills!A15</f>
        <v/>
      </c>
      <c r="B2074">
        <f>Skills!B15</f>
        <v/>
      </c>
      <c r="C2074">
        <f>Inputs!$B$3&gt;=75</f>
        <v/>
      </c>
      <c r="D2074">
        <f>IF(Skills!C15=1,60+Inputs!$B$25+Inputs!$B$29,IF(Skills!C15=2,90+Inputs!$B$26+Inputs!$B$29,IF(Skills!C15=3,120+Inputs!$B$27+Inputs!$B$29,MAX(0,(Inputs!$B$3-100)*3)+Inputs!$B$28+Inputs!$B$29)))</f>
        <v/>
      </c>
      <c r="E2074">
        <f>INDEX(FactorTable!$B$2:$Y$301, MATCH(ROUND(MIN(300,MAX(1,D2074)),0), FactorTable!$A$2:$A$301,0), Skills!L15+1)</f>
        <v/>
      </c>
      <c r="F2074">
        <f>IF(Skills!M15=TRUE,(Skills!K15/10)*(E2074/1000),Skills!K15/10)+Skills!N15</f>
        <v/>
      </c>
      <c r="G2074">
        <f>Calc!G15</f>
        <v/>
      </c>
      <c r="H2074">
        <f>Calc!H15</f>
        <v/>
      </c>
      <c r="I2074">
        <f>IF(Skills!T15&lt;&gt;"",1+(Skills!T15/10)*(Z2062/1000)/100,1)</f>
        <v/>
      </c>
      <c r="J2074" t="inlineStr"/>
      <c r="K2074" t="inlineStr"/>
      <c r="L2074" t="inlineStr"/>
      <c r="M2074" t="inlineStr"/>
      <c r="N2074" t="inlineStr"/>
      <c r="O2074">
        <f>(1-Summary!$B$11)*S2074+Summary!$B$11*U2074</f>
        <v/>
      </c>
      <c r="P2074">
        <f>IF(B2095=0,0,O2074/B2095)</f>
        <v/>
      </c>
      <c r="Q2074">
        <f>IFERROR(1/IF(Inputs!$B$38="pvp",15,MAX(0.1,Skills!D15-IF(Skills!E15=TRUE,Inputs!$B$32,0))),0)</f>
        <v/>
      </c>
      <c r="R2074" t="n">
        <v>0</v>
      </c>
      <c r="S2074" t="n">
        <v>0</v>
      </c>
      <c r="U2074" t="n">
        <v>0</v>
      </c>
    </row>
    <row r="2075">
      <c r="A2075">
        <f>Skills!A16</f>
        <v/>
      </c>
      <c r="B2075">
        <f>Skills!B16</f>
        <v/>
      </c>
      <c r="C2075">
        <f>Inputs!$B$3&gt;=110</f>
        <v/>
      </c>
      <c r="D2075">
        <f>IF(Skills!C16=1,60+Inputs!$B$25+Inputs!$B$29,IF(Skills!C16=2,90+Inputs!$B$26+Inputs!$B$29,IF(Skills!C16=3,120+Inputs!$B$27+Inputs!$B$29,MAX(0,(Inputs!$B$3-100)*3)+Inputs!$B$28+Inputs!$B$29)))</f>
        <v/>
      </c>
      <c r="E2075">
        <f>INDEX(FactorTable!$B$2:$Y$301, MATCH(ROUND(MIN(300,MAX(1,D2075)),0), FactorTable!$A$2:$A$301,0), Skills!L16+1)</f>
        <v/>
      </c>
      <c r="F2075">
        <f>(Skills!K16/10)*(E2075/1000)*64/45+Skills!N16</f>
        <v/>
      </c>
      <c r="G2075">
        <f>Calc!G16</f>
        <v/>
      </c>
      <c r="H2075">
        <f>Calc!H16</f>
        <v/>
      </c>
      <c r="I2075">
        <f>IF(Skills!T16&lt;&gt;"",1+(Skills!T16/10)*(Z2062/1000)/100,1)</f>
        <v/>
      </c>
      <c r="J2075" t="inlineStr"/>
      <c r="K2075" t="inlineStr"/>
      <c r="L2075" t="inlineStr"/>
      <c r="M2075" t="inlineStr"/>
      <c r="N2075" t="inlineStr"/>
      <c r="O2075">
        <f>(1-Summary!$B$11)*S2075+Summary!$B$11*U2075</f>
        <v/>
      </c>
      <c r="P2075">
        <f>IF(B2095=0,0,O2075/B2095)</f>
        <v/>
      </c>
      <c r="Q2075">
        <f>IFERROR(1/IF(Inputs!$B$38="pvp",15,MAX(0.1,Skills!D16-IF(Skills!E16=TRUE,Inputs!$B$32,0))),0)</f>
        <v/>
      </c>
      <c r="R2075">
        <f>IF(AND(Inputs!$B$38&lt;&gt;"pvp",Inputs!$B$43&gt;0),IF(Inputs!$B$43&lt;=0,0,(INT(Inputs!$B$43/IF(Inputs!$B$38="pvp",15,MAX(0.1,Skills!D16-IF(Skills!E16=TRUE,Inputs!$B$32,0))))+1)),0)</f>
        <v/>
      </c>
      <c r="S2075" t="n">
        <v>0</v>
      </c>
      <c r="U2075" t="n">
        <v>0</v>
      </c>
    </row>
    <row r="2076">
      <c r="A2076">
        <f>Skills!A17</f>
        <v/>
      </c>
      <c r="B2076">
        <f>Skills!B17</f>
        <v/>
      </c>
      <c r="C2076">
        <f>Inputs!$B$3&gt;=33</f>
        <v/>
      </c>
      <c r="D2076">
        <f>IF(Skills!C17=1,60+Inputs!$B$25+Inputs!$B$29,IF(Skills!C17=2,90+Inputs!$B$26+Inputs!$B$29,IF(Skills!C17=3,120+Inputs!$B$27+Inputs!$B$29,MAX(0,(Inputs!$B$3-100)*3)+Inputs!$B$28+Inputs!$B$29)))</f>
        <v/>
      </c>
      <c r="E2076">
        <f>INDEX(FactorTable!$B$2:$Y$301, MATCH(ROUND(MIN(300,MAX(1,D2076)),0), FactorTable!$A$2:$A$301,0), Skills!L17+1)</f>
        <v/>
      </c>
      <c r="F2076">
        <f>IF(Skills!M17=TRUE,(Skills!K17/10)*(E2076/1000),Skills!K17/10)+Skills!N17</f>
        <v/>
      </c>
      <c r="G2076">
        <f>Calc!G17</f>
        <v/>
      </c>
      <c r="H2076">
        <f>Calc!H17</f>
        <v/>
      </c>
      <c r="I2076">
        <f>IF(Skills!T17&lt;&gt;"",1+(Skills!T17/10)*(Z2062/1000)/100,1)</f>
        <v/>
      </c>
      <c r="J2076" t="inlineStr"/>
      <c r="K2076" t="inlineStr"/>
      <c r="L2076" t="inlineStr"/>
      <c r="M2076" t="inlineStr"/>
      <c r="N2076" t="inlineStr"/>
      <c r="O2076">
        <f>(1-Summary!$B$11)*S2076+Summary!$B$11*U2076</f>
        <v/>
      </c>
      <c r="P2076">
        <f>IF(B2095=0,0,O2076/B2095)</f>
        <v/>
      </c>
      <c r="Q2076">
        <f>IFERROR(1/IF(Inputs!$B$38="pvp",15,MAX(0.1,Skills!D17-IF(Skills!E17=TRUE,Inputs!$B$32,0))),0)</f>
        <v/>
      </c>
      <c r="R2076" t="n">
        <v>0</v>
      </c>
      <c r="S2076" t="n">
        <v>0</v>
      </c>
      <c r="U2076" t="n">
        <v>0</v>
      </c>
    </row>
    <row r="2077">
      <c r="A2077">
        <f>Skills!A18</f>
        <v/>
      </c>
      <c r="B2077">
        <f>Skills!B18</f>
        <v/>
      </c>
      <c r="C2077">
        <f>Inputs!$B$3&gt;=43</f>
        <v/>
      </c>
      <c r="D2077">
        <f>IF(Skills!C18=1,60+Inputs!$B$25+Inputs!$B$29,IF(Skills!C18=2,90+Inputs!$B$26+Inputs!$B$29,IF(Skills!C18=3,120+Inputs!$B$27+Inputs!$B$29,MAX(0,(Inputs!$B$3-100)*3)+Inputs!$B$28+Inputs!$B$29)))</f>
        <v/>
      </c>
      <c r="E2077">
        <f>INDEX(FactorTable!$B$2:$Y$301, MATCH(ROUND(MIN(300,MAX(1,D2077)),0), FactorTable!$A$2:$A$301,0), Skills!L18+1)</f>
        <v/>
      </c>
      <c r="F2077">
        <f>IF(Skills!M18=TRUE,(Skills!K18/10)*(E2077/1000),Skills!K18/10)+Skills!N18</f>
        <v/>
      </c>
      <c r="G2077">
        <f>Calc!G18</f>
        <v/>
      </c>
      <c r="H2077">
        <f>Calc!H18</f>
        <v/>
      </c>
      <c r="I2077">
        <f>IF(Skills!T18&lt;&gt;"",1+(Skills!T18/10)*(Z2062/1000)/100,1)</f>
        <v/>
      </c>
      <c r="J2077" t="inlineStr"/>
      <c r="K2077" t="inlineStr"/>
      <c r="L2077" t="inlineStr"/>
      <c r="M2077" t="inlineStr"/>
      <c r="N2077" t="inlineStr"/>
      <c r="O2077">
        <f>(1-Summary!$B$11)*S2077+Summary!$B$11*U2077</f>
        <v/>
      </c>
      <c r="P2077">
        <f>IF(B2095=0,0,O2077/B2095)</f>
        <v/>
      </c>
      <c r="Q2077">
        <f>IFERROR(1/IF(Inputs!$B$38="pvp",15,MAX(0.1,Skills!D18-IF(Skills!E18=TRUE,Inputs!$B$32,0))),0)</f>
        <v/>
      </c>
      <c r="R2077" t="n">
        <v>0</v>
      </c>
      <c r="S2077" t="n">
        <v>0</v>
      </c>
      <c r="U2077" t="n">
        <v>0</v>
      </c>
    </row>
    <row r="2078">
      <c r="A2078">
        <f>Skills!A19</f>
        <v/>
      </c>
      <c r="B2078">
        <f>Skills!B19</f>
        <v/>
      </c>
      <c r="C2078">
        <f>Inputs!$B$3&gt;=50</f>
        <v/>
      </c>
      <c r="D2078">
        <f>IF(Skills!C19=1,60+Inputs!$B$25+Inputs!$B$29,IF(Skills!C19=2,90+Inputs!$B$26+Inputs!$B$29,IF(Skills!C19=3,120+Inputs!$B$27+Inputs!$B$29,MAX(0,(Inputs!$B$3-100)*3)+Inputs!$B$28+Inputs!$B$29)))</f>
        <v/>
      </c>
      <c r="E2078">
        <f>INDEX(FactorTable!$B$2:$Y$301, MATCH(ROUND(MIN(300,MAX(1,D2078)),0), FactorTable!$A$2:$A$301,0), Skills!L19+1)</f>
        <v/>
      </c>
      <c r="F2078">
        <f>IF(Skills!M19=TRUE,(Skills!K19/10)*(E2078/1000),Skills!K19/10)+Skills!N19</f>
        <v/>
      </c>
      <c r="G2078">
        <f>Calc!G19</f>
        <v/>
      </c>
      <c r="H2078">
        <f>Calc!H19</f>
        <v/>
      </c>
      <c r="I2078">
        <f>IF(Skills!T19&lt;&gt;"",1+(Skills!T19/10)*(Z2062/1000)/100,1)</f>
        <v/>
      </c>
      <c r="J2078" t="inlineStr"/>
      <c r="K2078" t="inlineStr"/>
      <c r="L2078" t="inlineStr"/>
      <c r="M2078" t="inlineStr"/>
      <c r="N2078" t="inlineStr"/>
      <c r="O2078">
        <f>(1-Summary!$B$11)*S2078+Summary!$B$11*U2078</f>
        <v/>
      </c>
      <c r="P2078">
        <f>IF(B2095=0,0,O2078/B2095)</f>
        <v/>
      </c>
      <c r="Q2078">
        <f>IFERROR(1/IF(Inputs!$B$38="pvp",15,MAX(0.1,Skills!D19-IF(Skills!E19=TRUE,Inputs!$B$32,0))),0)</f>
        <v/>
      </c>
      <c r="R2078" t="n">
        <v>0</v>
      </c>
      <c r="S2078" t="n">
        <v>0</v>
      </c>
      <c r="U2078" t="n">
        <v>0</v>
      </c>
    </row>
    <row r="2079">
      <c r="A2079">
        <f>Skills!A20</f>
        <v/>
      </c>
      <c r="B2079">
        <f>Skills!B20</f>
        <v/>
      </c>
      <c r="C2079">
        <f>Inputs!$B$3&gt;=74</f>
        <v/>
      </c>
      <c r="D2079">
        <f>IF(Skills!C20=1,60+Inputs!$B$25+Inputs!$B$29,IF(Skills!C20=2,90+Inputs!$B$26+Inputs!$B$29,IF(Skills!C20=3,120+Inputs!$B$27+Inputs!$B$29,MAX(0,(Inputs!$B$3-100)*3)+Inputs!$B$28+Inputs!$B$29)))</f>
        <v/>
      </c>
      <c r="E2079">
        <f>INDEX(FactorTable!$B$2:$Y$301, MATCH(ROUND(MIN(300,MAX(1,D2079)),0), FactorTable!$A$2:$A$301,0), Skills!L20+1)</f>
        <v/>
      </c>
      <c r="F2079">
        <f>IF(Skills!M20=TRUE,(Skills!K20/10)*(E2079/1000),Skills!K20/10)+Skills!N20</f>
        <v/>
      </c>
      <c r="G2079">
        <f>Calc!G20</f>
        <v/>
      </c>
      <c r="H2079">
        <f>Calc!H20</f>
        <v/>
      </c>
      <c r="I2079">
        <f>IF(Skills!T20&lt;&gt;"",1+(Skills!T20/10)*(Z2062/1000)/100,1)</f>
        <v/>
      </c>
      <c r="J2079" t="inlineStr"/>
      <c r="K2079" t="inlineStr"/>
      <c r="L2079" t="inlineStr"/>
      <c r="M2079" t="inlineStr"/>
      <c r="N2079" t="inlineStr"/>
      <c r="O2079">
        <f>(1-Summary!$B$11)*S2079+Summary!$B$11*U2079</f>
        <v/>
      </c>
      <c r="P2079">
        <f>IF(B2095=0,0,O2079/B2095)</f>
        <v/>
      </c>
      <c r="Q2079">
        <f>IFERROR(1/IF(Inputs!$B$38="pvp",15,MAX(0.1,Skills!D20-IF(Skills!E20=TRUE,Inputs!$B$32,0))),0)</f>
        <v/>
      </c>
      <c r="R2079" t="n">
        <v>0</v>
      </c>
      <c r="S2079" t="n">
        <v>0</v>
      </c>
      <c r="U2079" t="n">
        <v>0</v>
      </c>
    </row>
    <row r="2080">
      <c r="A2080">
        <f>Skills!A21</f>
        <v/>
      </c>
      <c r="B2080">
        <f>Skills!B21</f>
        <v/>
      </c>
      <c r="C2080">
        <f>Inputs!$B$3&gt;=74</f>
        <v/>
      </c>
      <c r="D2080">
        <f>IF(Skills!C21=1,60+Inputs!$B$25+Inputs!$B$29,IF(Skills!C21=2,90+Inputs!$B$26+Inputs!$B$29,IF(Skills!C21=3,120+Inputs!$B$27+Inputs!$B$29,MAX(0,(Inputs!$B$3-100)*3)+Inputs!$B$28+Inputs!$B$29)))</f>
        <v/>
      </c>
      <c r="E2080">
        <f>INDEX(FactorTable!$B$2:$Y$301, MATCH(ROUND(MIN(300,MAX(1,D2080)),0), FactorTable!$A$2:$A$301,0), Skills!L21+1)</f>
        <v/>
      </c>
      <c r="F2080">
        <f>IF(Skills!M21=TRUE,(Skills!K21/10)*(E2080/1000),Skills!K21/10)+Skills!N21</f>
        <v/>
      </c>
      <c r="G2080">
        <f>Calc!G21</f>
        <v/>
      </c>
      <c r="H2080">
        <f>Calc!H21</f>
        <v/>
      </c>
      <c r="I2080">
        <f>IF(Skills!T21&lt;&gt;"",1+(Skills!T21/10)*(Z2062/1000)/100,1)</f>
        <v/>
      </c>
      <c r="J2080" t="inlineStr"/>
      <c r="K2080" t="inlineStr"/>
      <c r="L2080" t="inlineStr"/>
      <c r="M2080" t="inlineStr"/>
      <c r="N2080" t="inlineStr"/>
      <c r="O2080">
        <f>(1-Summary!$B$11)*S2080+Summary!$B$11*U2080</f>
        <v/>
      </c>
      <c r="P2080">
        <f>IF(B2095=0,0,O2080/B2095)</f>
        <v/>
      </c>
      <c r="Q2080">
        <f>IFERROR(1/IF(Inputs!$B$38="pvp",15,MAX(0.1,Skills!D21-IF(Skills!E21=TRUE,Inputs!$B$32,0))),0)</f>
        <v/>
      </c>
      <c r="R2080" t="n">
        <v>0</v>
      </c>
      <c r="S2080" t="n">
        <v>0</v>
      </c>
      <c r="U2080" t="n">
        <v>0</v>
      </c>
    </row>
    <row r="2081">
      <c r="A2081">
        <f>Skills!A22</f>
        <v/>
      </c>
      <c r="B2081">
        <f>Skills!B22</f>
        <v/>
      </c>
      <c r="C2081">
        <f>Inputs!$B$3&gt;=117</f>
        <v/>
      </c>
      <c r="D2081">
        <f>IF(Skills!C22=1,60+Inputs!$B$25+Inputs!$B$29,IF(Skills!C22=2,90+Inputs!$B$26+Inputs!$B$29,IF(Skills!C22=3,120+Inputs!$B$27+Inputs!$B$29,MAX(0,(Inputs!$B$3-100)*3)+Inputs!$B$28+Inputs!$B$29)))</f>
        <v/>
      </c>
      <c r="E2081">
        <f>INDEX(FactorTable!$B$2:$Y$301, MATCH(ROUND(MIN(300,MAX(1,D2081)),0), FactorTable!$A$2:$A$301,0), Skills!L22+1)</f>
        <v/>
      </c>
      <c r="F2081">
        <f>IF(Skills!M22=TRUE,(Skills!K22/10)*(E2081/1000),Skills!K22/10)+Skills!N22</f>
        <v/>
      </c>
      <c r="G2081">
        <f>Calc!G22</f>
        <v/>
      </c>
      <c r="H2081">
        <f>Calc!H22</f>
        <v/>
      </c>
      <c r="I2081">
        <f>IF(Skills!T22&lt;&gt;"",1+(Skills!T22/10)*(Z2062/1000)/100,1)</f>
        <v/>
      </c>
      <c r="J2081" t="inlineStr"/>
      <c r="K2081" t="inlineStr"/>
      <c r="L2081" t="inlineStr"/>
      <c r="M2081" t="inlineStr"/>
      <c r="N2081" t="inlineStr"/>
      <c r="O2081">
        <f>(1-Summary!$B$11)*S2081+Summary!$B$11*U2081</f>
        <v/>
      </c>
      <c r="P2081">
        <f>IF(B2095=0,0,O2081/B2095)</f>
        <v/>
      </c>
      <c r="Q2081">
        <f>IFERROR(1/IF(Inputs!$B$38="pvp",15,MAX(0.1,Skills!D22-IF(Skills!E22=TRUE,Inputs!$B$32,0))),0)</f>
        <v/>
      </c>
      <c r="R2081" t="n">
        <v>0</v>
      </c>
      <c r="S2081" t="n">
        <v>0</v>
      </c>
      <c r="U2081" t="n">
        <v>0</v>
      </c>
    </row>
    <row r="2082">
      <c r="A2082">
        <f>Skills!A23</f>
        <v/>
      </c>
      <c r="B2082">
        <f>Skills!B23</f>
        <v/>
      </c>
      <c r="C2082">
        <f>Inputs!$B$3&gt;=120</f>
        <v/>
      </c>
      <c r="D2082">
        <f>IF(Skills!C23=1,60+Inputs!$B$25+Inputs!$B$29,IF(Skills!C23=2,90+Inputs!$B$26+Inputs!$B$29,IF(Skills!C23=3,120+Inputs!$B$27+Inputs!$B$29,MAX(0,(Inputs!$B$3-100)*3)+Inputs!$B$28+Inputs!$B$29)))</f>
        <v/>
      </c>
      <c r="E2082">
        <f>INDEX(FactorTable!$B$2:$Y$301, MATCH(ROUND(MIN(300,MAX(1,D2082)),0), FactorTable!$A$2:$A$301,0), Skills!L23+1)</f>
        <v/>
      </c>
      <c r="F2082">
        <f>IF(Skills!M23=TRUE,(Skills!K23/10)*(E2082/1000),Skills!K23/10)+Skills!N23</f>
        <v/>
      </c>
      <c r="G2082">
        <f>Calc!G23</f>
        <v/>
      </c>
      <c r="H2082">
        <f>Calc!H23</f>
        <v/>
      </c>
      <c r="I2082">
        <f>IF(Skills!T23&lt;&gt;"",1+(Skills!T23/10)*(Z2062/1000)/100,1)</f>
        <v/>
      </c>
      <c r="J2082" t="inlineStr"/>
      <c r="K2082" t="inlineStr"/>
      <c r="L2082" t="inlineStr"/>
      <c r="M2082" t="inlineStr"/>
      <c r="N2082" t="inlineStr"/>
      <c r="O2082">
        <f>(1-Summary!$B$11)*S2082+Summary!$B$11*U2082</f>
        <v/>
      </c>
      <c r="P2082">
        <f>IF(B2095=0,0,O2082/B2095)</f>
        <v/>
      </c>
      <c r="Q2082">
        <f>IFERROR(1/IF(Inputs!$B$38="pvp",15,MAX(0.1,Skills!D23-IF(Skills!E23=TRUE,Inputs!$B$32,0))),0)</f>
        <v/>
      </c>
      <c r="R2082" t="n">
        <v>0</v>
      </c>
      <c r="S2082" t="n">
        <v>0</v>
      </c>
      <c r="U2082" t="n">
        <v>0</v>
      </c>
    </row>
    <row r="2085">
      <c r="A2085" t="inlineStr">
        <is>
          <t>Average Buff Multiplier (Magic Guard + Meditation + Artifact Attack%, summed; then Infinity)</t>
        </is>
      </c>
      <c r="B2085">
        <f>(1+(IF(C2062=TRUE,F2062*IF(AND(Inputs!$B$38&lt;&gt;"pvp",Inputs!$B$43&gt;0),(((R2062-1)*(Skills!S3*(1+(Inputs!$B$34+IF(Inputs!$B$3&gt;=117,F2081,0))/100))+MIN((Skills!S3*(1+(Inputs!$B$34+IF(Inputs!$B$3&gt;=117,F2081,0))/100)),MAX(0,Inputs!$B$43-((R2062-1)*Skills!D3))))/Inputs!$B$43),IF(Inputs!$B$38="pvp",MIN((Skills!S3*(1+(Inputs!$B$34+IF(Inputs!$B$3&gt;=117,F2081,0))/100)),15)/15,(Skills!S3*(1+(Inputs!$B$34+IF(Inputs!$B$3&gt;=117,F2081,0))/100))/Skills!D3)),0)+IF(C2063=TRUE,F2063*IF(AND(Inputs!$B$38&lt;&gt;"pvp",Inputs!$B$43&gt;0),(((R2063-1)*(Skills!S4*(1+(Inputs!$B$34+IF(Inputs!$B$3&gt;=117,F2081,0))/100))+MIN((Skills!S4*(1+(Inputs!$B$34+IF(Inputs!$B$3&gt;=117,F2081,0))/100)),MAX(0,Inputs!$B$43-((R2063-1)*Skills!D4))))/Inputs!$B$43),IF(Inputs!$B$38="pvp",MIN((Skills!S4*(1+(Inputs!$B$34+IF(Inputs!$B$3&gt;=117,F2081,0))/100)),15)/15,(Skills!S4*(1+(Inputs!$B$34+IF(Inputs!$B$3&gt;=117,F2081,0)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2075=TRUE,(1+F2075*IF(AND(Inputs!$B$38&lt;&gt;"pvp",Inputs!$B$43&gt;0),(((R2075-1)*(Skills!S16*(1+(Inputs!$B$34+IF(Inputs!$B$3&gt;=117,F2081,0))/100))+MIN((Skills!S16*(1+(Inputs!$B$34+IF(Inputs!$B$3&gt;=117,F2081,0))/100)),MAX(0,Inputs!$B$43-((R2075-1)*Skills!D16))))/Inputs!$B$43),IF(Inputs!$B$38="pvp",MIN((Skills!S16*(1+(Inputs!$B$34+IF(Inputs!$B$3&gt;=117,F2081,0))/100)),15)/15,(Skills!S16*(1+(Inputs!$B$34+IF(Inputs!$B$3&gt;=117,F2081,0))/100))/Skills!D16))/100),1)</f>
        <v/>
      </c>
    </row>
    <row r="2086">
      <c r="A2086" t="inlineStr">
        <is>
          <t>Monster Damage Taken Bonus % (Freezing Breath - Weaken + Elemental Reset + Artifact Enemy Damage Taken, summed)</t>
        </is>
      </c>
      <c r="B2086">
        <f>IF(Inputs!$B$3&gt;=118,15*IF(Inputs!$B$38="pvp",MIN((30*(1+(Inputs!$B$34+IF(Inputs!$B$3&gt;=117,F2081,0))/100)),15)/15,(30*(1+(Inputs!$B$34+IF(Inputs!$B$3&gt;=117,F2081,0))/100))/Skills!D8),0)+IF(C2073=TRUE,F2073,0)+(IF(AND(ArtifactsInput!$M$35,Inputs!$B$4&lt;&gt;"Chapter Hunt"),CHOOSE(ArtifactsInput!$N$35+1,15,18,21,24,27,30)*(1-EXP(-(0.2*B2089)*5)),0)+IF(AND(ArtifactsInput!$M$22,Inputs!$B$4&lt;&gt;"Chapter Hunt"),CHOOSE(ArtifactsInput!$N$22+1,10,12,14,16,18,20)*((0*(((0.15*B2089*5))^0/1)+1*(((0.15*B2089*5))^1/1)+2*(((0.15*B2089*5))^2/2)+3*(((0.15*B2089*5))^3/6)+4*(((0.15*B2089*5))^4/24)+5*(((0.15*B2089*5))^5/120))/((((0.15*B2089*5))^0/1)+(((0.15*B2089*5))^1/1)+(((0.15*B2089*5))^2/2)+(((0.15*B2089*5))^3/6)+(((0.15*B2089*5))^4/24)+(((0.15*B2089*5))^5/120))),0))</f>
        <v/>
      </c>
    </row>
    <row r="2087">
      <c r="A2087" t="inlineStr">
        <is>
          <t>Damage % Bonus (Frozen Break + Frost Clutch, flat)</t>
        </is>
      </c>
      <c r="B2087">
        <f>IF(Inputs!$B$3&gt;=66,15,0)+IF(Inputs!$B$3&gt;=98,10,0)+IF(Inputs!$B$3&gt;=125,20,0)</f>
        <v/>
      </c>
    </row>
    <row r="2088">
      <c r="A2088" t="inlineStr">
        <is>
          <t>Attack Speed Bonus % (MP Eater - MP Boost, always-on once unlocked)</t>
        </is>
      </c>
      <c r="B2088">
        <f>IF(C2072=TRUE,F2072+(F2076-Calc!F17),0)</f>
        <v/>
      </c>
    </row>
    <row r="2089">
      <c r="A2089" t="inlineStr">
        <is>
          <t>Actions Per Second</t>
        </is>
      </c>
      <c r="B2089">
        <f>1+MIN(150,150*(1-(1-(Inputs!$B$11+(ArtifactsInput!$M$15-ArtifactsInput!$M$15)*CHOOSE(ArtifactsInput!$N$15+1,8,9.6,11.2,12.8,14.4,16))/150)*(1-B2088/150)))/100</f>
        <v/>
      </c>
    </row>
    <row r="2090">
      <c r="A2090" t="inlineStr">
        <is>
          <t>Skill + Buff Cast Rate</t>
        </is>
      </c>
      <c r="B2090">
        <f>IF(AND(Inputs!$B$38&lt;&gt;"pvp",Inputs!$B$43&gt;0),SUMPRODUCT((Skills!E2:E23=TRUE)*(C2061:C2082=TRUE)*R2061:R2082)/Inputs!$B$43,SUMPRODUCT((Skills!E2:E23=TRUE)*(C2061:C2082=TRUE)*Q2061:Q2082))</f>
        <v/>
      </c>
    </row>
    <row r="2091">
      <c r="A2091" t="inlineStr">
        <is>
          <t>Chain Lightning Casts Per Second</t>
        </is>
      </c>
      <c r="B2091">
        <f>MAX(0,B2089-B2090)</f>
        <v/>
      </c>
    </row>
    <row r="2092">
      <c r="A2092" t="inlineStr">
        <is>
          <t>Buff-Casting Startup Delay (s, fixed-duration only)</t>
        </is>
      </c>
      <c r="B2092">
        <f>IF(AND(Inputs!$B$38&lt;&gt;"pvp",Inputs!$B$43&gt;0),SUMPRODUCT((Skills!S2:S23&gt;0)*(Skills!E2:E23=TRUE)*(C2061:C2082=TRUE))/B2089,0)</f>
        <v/>
      </c>
    </row>
    <row r="2093">
      <c r="A2093" t="inlineStr">
        <is>
          <t>Boss-Only Total DPS (this block's swept value)</t>
        </is>
      </c>
      <c r="B2093">
        <f>SUM(S2061:S2082)</f>
        <v/>
      </c>
    </row>
    <row r="2094">
      <c r="A2094" t="inlineStr">
        <is>
          <t>Normal-Only Total DPS (this block's swept value)</t>
        </is>
      </c>
      <c r="B2094">
        <f>SUM(U2061:U2082)</f>
        <v/>
      </c>
    </row>
    <row r="2095">
      <c r="A2095" s="6" t="inlineStr">
        <is>
          <t>TOTAL DPS</t>
        </is>
      </c>
      <c r="B2095" s="6">
        <f>SUM(O2061:O2082)</f>
        <v/>
      </c>
    </row>
    <row r="2098">
      <c r="A2098" s="6" t="inlineStr">
        <is>
          <t>Stat: Bottle of Emotion (Equip)</t>
        </is>
      </c>
    </row>
    <row r="2099">
      <c r="A2099" s="5" t="inlineStr">
        <is>
          <t>Key</t>
        </is>
      </c>
      <c r="B2099" s="5" t="inlineStr">
        <is>
          <t>Name</t>
        </is>
      </c>
      <c r="C2099" s="5" t="inlineStr">
        <is>
          <t>Unlocked</t>
        </is>
      </c>
      <c r="D2099" s="5" t="inlineStr">
        <is>
          <t>InputLevel</t>
        </is>
      </c>
      <c r="E2099" s="5" t="inlineStr">
        <is>
          <t>Factor</t>
        </is>
      </c>
      <c r="F2099" s="5" t="inlineStr">
        <is>
          <t>CoefficientPercent</t>
        </is>
      </c>
      <c r="G2099" s="5" t="inlineStr">
        <is>
          <t>EffectiveHits</t>
        </is>
      </c>
      <c r="H2099" s="5" t="inlineStr">
        <is>
          <t>ProcProbability</t>
        </is>
      </c>
      <c r="I2099" s="5" t="inlineStr">
        <is>
          <t>MapleHeroMultiplier</t>
        </is>
      </c>
      <c r="J2099" s="5" t="inlineStr">
        <is>
          <t>BaseDamage</t>
        </is>
      </c>
      <c r="K2099" s="5" t="inlineStr">
        <is>
          <t>BaseHitDamage</t>
        </is>
      </c>
      <c r="L2099" s="5" t="inlineStr">
        <is>
          <t>NonCritAvg</t>
        </is>
      </c>
      <c r="M2099" s="5" t="inlineStr">
        <is>
          <t>CritAvg</t>
        </is>
      </c>
      <c r="N2099" s="5" t="inlineStr">
        <is>
          <t>ExpectedDamage(perHit)</t>
        </is>
      </c>
      <c r="O2099" s="5" t="inlineStr">
        <is>
          <t>DPS</t>
        </is>
      </c>
      <c r="P2099" s="5" t="inlineStr">
        <is>
          <t>% of Total</t>
        </is>
      </c>
      <c r="R2099" t="inlineStr">
        <is>
          <t>helpers</t>
        </is>
      </c>
    </row>
    <row r="2100">
      <c r="A2100">
        <f>Skills!A2</f>
        <v/>
      </c>
      <c r="B2100">
        <f>Skills!B2</f>
        <v/>
      </c>
      <c r="C2100">
        <f>Inputs!$B$3&gt;=100</f>
        <v/>
      </c>
      <c r="D2100" t="inlineStr"/>
      <c r="E2100" t="inlineStr"/>
      <c r="F2100">
        <f>T2102+Skills!N2</f>
        <v/>
      </c>
      <c r="G2100">
        <f>Calc!G2</f>
        <v/>
      </c>
      <c r="H2100">
        <f>Calc!H2</f>
        <v/>
      </c>
      <c r="I2100">
        <f>IF(Skills!T2&lt;&gt;"",1+(Skills!T2/10)*(Z2101/1000)/100,1)</f>
        <v/>
      </c>
      <c r="J2100">
        <f>((Inputs!$B$6*(1+Inputs!$B$7/100))+(((Inputs!$B$12*(1+Inputs!$B$13/100))-(Inputs!$B$12*(1+Inputs!$B$13/100)))+0.25*(Inputs!$B$14-Inputs!$B$14))*(1+Inputs!$B$7/100))*(F2100/100)</f>
        <v/>
      </c>
      <c r="K2100">
        <f>J2100*(1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F2116-Calc!F18),(Inputs!$B$23+(IF(ArtifactsInput!$M$15,CHOOSE(ArtifactsInput!$N$15+1,25,30,35,40,45,50)/100*(Inputs!$B$11-Inputs!$B$11),0))))/100+(Inputs!$B$23+(IF(ArtifactsInput!$M$15,CHOOSE(ArtifactsInput!$N$15+1,25,30,35,40,45,50)/100*(Inputs!$B$11-Inputs!$B$11),0)))/100)/2</f>
        <v/>
      </c>
      <c r="M2100">
        <f>L2100*(1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(1-Summary!$B$11)*S2100+Summary!$B$11*U2100</f>
        <v/>
      </c>
      <c r="P2100">
        <f>IF(B2134=0,0,O2100/B2134)</f>
        <v/>
      </c>
      <c r="Q2100">
        <f>IFERROR(1/IF(Inputs!$B$38="pvp",15,MAX(0.1,Skills!D2-IF(Skills!E2=TRUE,Inputs!$B$32,0))),0)</f>
        <v/>
      </c>
      <c r="R2100" t="n">
        <v>0</v>
      </c>
      <c r="S2100">
        <f>IF(C2100,(Skills!F2*N2100*B2130)*IF(Inputs!$B$38="pvp",1,1+(Inputs!$B$20+Skills!O2+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00">
        <f>MAX(0,(Inputs!$B$3-100)*3)+Inputs!$B$28+Inputs!$B$29</f>
        <v/>
      </c>
      <c r="U2100">
        <f>IF(C2100,(Skills!F2*N2100*B2130)*IF(Inputs!$B$38="pvp",1,(1+(Inputs!$B$21+Skills!P2+B2125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00">
        <f>MAX(0,(Inputs!$B$3-100)*3)+Inputs!$B$28+Inputs!$B$29</f>
        <v/>
      </c>
    </row>
    <row r="2101">
      <c r="A2101">
        <f>Skills!A3</f>
        <v/>
      </c>
      <c r="B2101">
        <f>Skills!B3</f>
        <v/>
      </c>
      <c r="C2101">
        <f>Inputs!$B$3&gt;=15</f>
        <v/>
      </c>
      <c r="D2101">
        <f>IF(Skills!C3=1,60+Inputs!$B$25+Inputs!$B$29,IF(Skills!C3=2,90+Inputs!$B$26+Inputs!$B$29,IF(Skills!C3=3,120+Inputs!$B$27+Inputs!$B$29,MAX(0,(Inputs!$B$3-100)*3)+Inputs!$B$28+Inputs!$B$29)))</f>
        <v/>
      </c>
      <c r="E2101">
        <f>INDEX(FactorTable!$B$2:$Y$301, MATCH(ROUND(MIN(300,MAX(1,D2101)),0), FactorTable!$A$2:$A$301,0), Skills!L3+1)</f>
        <v/>
      </c>
      <c r="F2101">
        <f>IF(Skills!M3=TRUE,(Skills!K3/10)*(E2101/1000),Skills!K3/10)+Skills!N3</f>
        <v/>
      </c>
      <c r="G2101">
        <f>Calc!G3</f>
        <v/>
      </c>
      <c r="H2101">
        <f>Calc!H3</f>
        <v/>
      </c>
      <c r="I2101">
        <f>IF(Skills!T3&lt;&gt;"",1+(Skills!T3/10)*(Z2101/1000)/100,1)</f>
        <v/>
      </c>
      <c r="J2101" t="inlineStr"/>
      <c r="K2101" t="inlineStr"/>
      <c r="L2101" t="inlineStr"/>
      <c r="M2101" t="inlineStr"/>
      <c r="N2101" t="inlineStr"/>
      <c r="O2101">
        <f>(1-Summary!$B$11)*S2101+Summary!$B$11*U2101</f>
        <v/>
      </c>
      <c r="P2101">
        <f>IF(B2134=0,0,O2101/B2134)</f>
        <v/>
      </c>
      <c r="Q2101">
        <f>IFERROR(1/IF(Inputs!$B$38="pvp",15,MAX(0.1,Skills!D3-IF(Skills!E3=TRUE,Inputs!$B$32,0))),0)</f>
        <v/>
      </c>
      <c r="R2101">
        <f>IF(AND(Inputs!$B$38&lt;&gt;"pvp",Inputs!$B$43&gt;0),IF(Inputs!$B$43&lt;=0,0,(INT(Inputs!$B$43/IF(Inputs!$B$38="pvp",15,MAX(0.1,Skills!D3-IF(Skills!E3=TRUE,Inputs!$B$32,0))))+1)),0)</f>
        <v/>
      </c>
      <c r="S2101" t="n">
        <v>0</v>
      </c>
      <c r="T2101">
        <f>INDEX(FactorTable!$B$2:$Y$301, MATCH(ROUND(MIN(300,MAX(1,T2100)),0), FactorTable!$A$2:$A$301,0), 22)</f>
        <v/>
      </c>
      <c r="U2101" t="n">
        <v>0</v>
      </c>
      <c r="Z2101">
        <f>INDEX(FactorTable!$B$2:$Y$301, MATCH(ROUND(MIN(300,MAX(1,Z2100)),0), FactorTable!$A$2:$A$301,0), 24)</f>
        <v/>
      </c>
    </row>
    <row r="2102">
      <c r="A2102">
        <f>Skills!A4</f>
        <v/>
      </c>
      <c r="B2102">
        <f>Skills!B4</f>
        <v/>
      </c>
      <c r="C2102">
        <f>Inputs!$B$3&gt;=40</f>
        <v/>
      </c>
      <c r="D2102">
        <f>IF(Skills!C4=1,60+Inputs!$B$25+Inputs!$B$29,IF(Skills!C4=2,90+Inputs!$B$26+Inputs!$B$29,IF(Skills!C4=3,120+Inputs!$B$27+Inputs!$B$29,MAX(0,(Inputs!$B$3-100)*3)+Inputs!$B$28+Inputs!$B$29)))</f>
        <v/>
      </c>
      <c r="E2102">
        <f>INDEX(FactorTable!$B$2:$Y$301, MATCH(ROUND(MIN(300,MAX(1,D2102)),0), FactorTable!$A$2:$A$301,0), Skills!L4+1)</f>
        <v/>
      </c>
      <c r="F2102">
        <f>IF(Skills!M4=TRUE,(Skills!K4/10)*(E2102/1000),Skills!K4/10)+Skills!N4</f>
        <v/>
      </c>
      <c r="G2102">
        <f>Calc!G4</f>
        <v/>
      </c>
      <c r="H2102">
        <f>Calc!H4</f>
        <v/>
      </c>
      <c r="I2102">
        <f>IF(Skills!T4&lt;&gt;"",1+(Skills!T4/10)*(Z2101/1000)/100,1)</f>
        <v/>
      </c>
      <c r="J2102" t="inlineStr"/>
      <c r="K2102" t="inlineStr"/>
      <c r="L2102" t="inlineStr"/>
      <c r="M2102" t="inlineStr"/>
      <c r="N2102" t="inlineStr"/>
      <c r="O2102">
        <f>(1-Summary!$B$11)*S2102+Summary!$B$11*U2102</f>
        <v/>
      </c>
      <c r="P2102">
        <f>IF(B2134=0,0,O2102/B2134)</f>
        <v/>
      </c>
      <c r="Q2102">
        <f>IFERROR(1/IF(Inputs!$B$38="pvp",15,MAX(0.1,Skills!D4-IF(Skills!E4=TRUE,Inputs!$B$32,0))),0)</f>
        <v/>
      </c>
      <c r="R2102">
        <f>IF(AND(Inputs!$B$38&lt;&gt;"pvp",Inputs!$B$43&gt;0),IF(Inputs!$B$43&lt;=0,0,(INT(Inputs!$B$43/IF(Inputs!$B$38="pvp",15,MAX(0.1,Skills!D4-IF(Skills!E4=TRUE,Inputs!$B$32,0))))+1)),0)</f>
        <v/>
      </c>
      <c r="S2102" t="n">
        <v>0</v>
      </c>
      <c r="T2102">
        <f>290*T2101/1000</f>
        <v/>
      </c>
      <c r="U2102" t="n">
        <v>0</v>
      </c>
    </row>
    <row r="2103">
      <c r="A2103">
        <f>Skills!A5</f>
        <v/>
      </c>
      <c r="B2103">
        <f>Skills!B5</f>
        <v/>
      </c>
      <c r="C2103">
        <f>Inputs!$B$3&gt;=38</f>
        <v/>
      </c>
      <c r="D2103">
        <f>IF(Skills!C5=1,60+Inputs!$B$25+Inputs!$B$29,IF(Skills!C5=2,90+Inputs!$B$26+Inputs!$B$29,IF(Skills!C5=3,120+Inputs!$B$27+Inputs!$B$29,MAX(0,(Inputs!$B$3-100)*3)+Inputs!$B$28+Inputs!$B$29)))</f>
        <v/>
      </c>
      <c r="E2103">
        <f>INDEX(FactorTable!$B$2:$Y$301, MATCH(ROUND(MIN(300,MAX(1,D2103)),0), FactorTable!$A$2:$A$301,0), Skills!L5+1)</f>
        <v/>
      </c>
      <c r="F2103">
        <f>IF(Skills!M5=TRUE,(Skills!K5/10)*(E2103/1000),Skills!K5/10)+Skills!N5</f>
        <v/>
      </c>
      <c r="G2103">
        <f>Calc!G5</f>
        <v/>
      </c>
      <c r="H2103">
        <f>Calc!H5</f>
        <v/>
      </c>
      <c r="I2103">
        <f>IF(Skills!T5&lt;&gt;"",1+(Skills!T5/10)*(Z2101/1000)/100,1)</f>
        <v/>
      </c>
      <c r="J2103">
        <f>((Inputs!$B$6*(1+Inputs!$B$7/100))+(((Inputs!$B$12*(1+Inputs!$B$13/100))-(Inputs!$B$12*(1+Inputs!$B$13/100)))+0.25*(Inputs!$B$14-Inputs!$B$14))*(1+Inputs!$B$7/100))*(F2103/100)</f>
        <v/>
      </c>
      <c r="K2103">
        <f>J2103*(1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18),(Inputs!$B$23+(IF(ArtifactsInput!$M$15,CHOOSE(ArtifactsInput!$N$15+1,25,30,35,40,45,50)/100*(Inputs!$B$11-Inputs!$B$11),0))))/100+(Inputs!$B$23+(IF(ArtifactsInput!$M$15,CHOOSE(ArtifactsInput!$N$15+1,25,30,35,40,45,50)/100*(Inputs!$B$11-Inputs!$B$11),0)))/100)/2</f>
        <v/>
      </c>
      <c r="M2103">
        <f>L2103*(1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IF(B2134=0,0,O2103/B2134)</f>
        <v/>
      </c>
      <c r="Q2103">
        <f>IFERROR(1/IF(Inputs!$B$38="pvp",15,MAX(0.1,Skills!D5-IF(Skills!E5=TRUE,Inputs!$B$32,0))),0)</f>
        <v/>
      </c>
      <c r="R2103">
        <f>IF(AND(Inputs!$B$38&lt;&gt;"pvp",Inputs!$B$43&gt;0),IF(MAX(0,Inputs!$B$43-B2131)&lt;=0,0,(INT(MAX(0,Inputs!$B$43-B2131)/IF(Inputs!$B$38="pvp",15,MAX(0.1,Skills!D5-IF(Skills!E5=TRUE,Inputs!$B$32,0))))+1)),0)</f>
        <v/>
      </c>
      <c r="S2103">
        <f>IF(C2103,(H2103*N2103*IF(AND(Inputs!$B$38&lt;&gt;"pvp",Inputs!$B$43&gt;0),((Skills!F5*((R2103-1)*IF(Skills!G5&gt;0,Skills!H5/Skills!G5,1)+IF(Skills!G5&gt;0,MIN(Skills!H5,MAX(0,MAX(0,Inputs!$B$43-B2131)-((R2103-1)*IF(Inputs!$B$38="pvp",15,MAX(0.1,Skills!D5-IF(Skills!E5=TRUE,Inputs!$B$32,0))))))/Skills!G5,1)))/Inputs!$B$43),G2103*Q2103))*IF(Inputs!$B$38="pvp",1,1+(Inputs!$B$20+Skills!O5+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F5*((R2103-1)*IF(Skills!G5&gt;0,Skills!H5/Skills!G5,1)+IF(Skills!G5&gt;0,MIN(Skills!H5,MAX(0,MAX(0,Inputs!$B$43-B2131)-((R2103-1)*IF(Inputs!$B$38="pvp",15,MAX(0.1,Skills!D5-IF(Skills!E5=TRUE,Inputs!$B$32,0))))))/Skills!G5,1)))/Inputs!$B$43),G2103*Q2103))*IF(Inputs!$B$38="pvp",1,(1+(Inputs!$B$21+Skills!P5+B2125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Skills!A6</f>
        <v/>
      </c>
      <c r="B2104">
        <f>Skills!B6</f>
        <v/>
      </c>
      <c r="C2104">
        <f>Inputs!$B$3&gt;=63</f>
        <v/>
      </c>
      <c r="D2104">
        <f>IF(Skills!C6=1,60+Inputs!$B$25+Inputs!$B$29,IF(Skills!C6=2,90+Inputs!$B$26+Inputs!$B$29,IF(Skills!C6=3,120+Inputs!$B$27+Inputs!$B$29,MAX(0,(Inputs!$B$3-100)*3)+Inputs!$B$28+Inputs!$B$29)))</f>
        <v/>
      </c>
      <c r="E2104">
        <f>INDEX(FactorTable!$B$2:$Y$301, MATCH(ROUND(MIN(300,MAX(1,D2104)),0), FactorTable!$A$2:$A$301,0), Skills!L6+1)</f>
        <v/>
      </c>
      <c r="F2104">
        <f>IF(Skills!M6=TRUE,(Skills!K6/10)*(E2104/1000),Skills!K6/10)+Skills!N6</f>
        <v/>
      </c>
      <c r="G2104">
        <f>Calc!G6</f>
        <v/>
      </c>
      <c r="H2104">
        <f>Calc!H6</f>
        <v/>
      </c>
      <c r="I2104">
        <f>IF(Skills!T6&lt;&gt;"",1+(Skills!T6/10)*(Z2101/1000)/100,1)</f>
        <v/>
      </c>
      <c r="J2104">
        <f>((Inputs!$B$6*(1+Inputs!$B$7/100))+(((Inputs!$B$12*(1+Inputs!$B$13/100))-(Inputs!$B$12*(1+Inputs!$B$13/100)))+0.25*(Inputs!$B$14-Inputs!$B$14))*(1+Inputs!$B$7/100))*(F2104/100)</f>
        <v/>
      </c>
      <c r="K2104">
        <f>J2104*(1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18),(Inputs!$B$23+(IF(ArtifactsInput!$M$15,CHOOSE(ArtifactsInput!$N$15+1,25,30,35,40,45,50)/100*(Inputs!$B$11-Inputs!$B$11),0))))/100+(Inputs!$B$23+(IF(ArtifactsInput!$M$15,CHOOSE(ArtifactsInput!$N$15+1,25,30,35,40,45,50)/100*(Inputs!$B$11-Inputs!$B$11),0)))/100)/2</f>
        <v/>
      </c>
      <c r="M2104">
        <f>L2104*(1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IF(B2134=0,0,O2104/B2134)</f>
        <v/>
      </c>
      <c r="Q2104">
        <f>IFERROR(1/IF(Inputs!$B$38="pvp",15,MAX(0.1,Skills!D6-IF(Skills!E6=TRUE,Inputs!$B$32,0))),0)</f>
        <v/>
      </c>
      <c r="R2104">
        <f>IF(AND(Inputs!$B$38&lt;&gt;"pvp",Inputs!$B$43&gt;0),IF(MAX(0,Inputs!$B$43-B2131)&lt;=0,0,(INT(MAX(0,Inputs!$B$43-B2131)/IF(Inputs!$B$38="pvp",15,MAX(0.1,Skills!D6-IF(Skills!E6=TRUE,Inputs!$B$32,0))))+1)),0)</f>
        <v/>
      </c>
      <c r="S2104">
        <f>IF(C2104,(H2104*N2104*IF(AND(Inputs!$B$38&lt;&gt;"pvp",Inputs!$B$43&gt;0),((Skills!F6*((R2104-1)*IF(Skills!G6&gt;0,Skills!H6/Skills!G6,1)+IF(Skills!G6&gt;0,MIN(Skills!H6,MAX(0,MAX(0,Inputs!$B$43-B2131)-((R2104-1)*IF(Inputs!$B$38="pvp",15,MAX(0.1,Skills!D6-IF(Skills!E6=TRUE,Inputs!$B$32,0))))))/Skills!G6,1)))/Inputs!$B$43),G2104*Q2104))*IF(Inputs!$B$38="pvp",1,1+(Inputs!$B$20+Skills!O6+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F6*((R2104-1)*IF(Skills!G6&gt;0,Skills!H6/Skills!G6,1)+IF(Skills!G6&gt;0,MIN(Skills!H6,MAX(0,MAX(0,Inputs!$B$43-B2131)-((R2104-1)*IF(Inputs!$B$38="pvp",15,MAX(0.1,Skills!D6-IF(Skills!E6=TRUE,Inputs!$B$32,0))))))/Skills!G6,1)))/Inputs!$B$43),G2104*Q2104))*IF(Inputs!$B$38="pvp",1,(1+(Inputs!$B$21+Skills!P6+B2125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Skills!A7</f>
        <v/>
      </c>
      <c r="B2105">
        <f>Skills!B7</f>
        <v/>
      </c>
      <c r="C2105">
        <f>Inputs!$B$3&gt;=69</f>
        <v/>
      </c>
      <c r="D2105">
        <f>IF(Skills!C7=1,60+Inputs!$B$25+Inputs!$B$29,IF(Skills!C7=2,90+Inputs!$B$26+Inputs!$B$29,IF(Skills!C7=3,120+Inputs!$B$27+Inputs!$B$29,MAX(0,(Inputs!$B$3-100)*3)+Inputs!$B$28+Inputs!$B$29)))</f>
        <v/>
      </c>
      <c r="E2105">
        <f>INDEX(FactorTable!$B$2:$Y$301, MATCH(ROUND(MIN(300,MAX(1,D2105)),0), FactorTable!$A$2:$A$301,0), Skills!L7+1)</f>
        <v/>
      </c>
      <c r="F2105">
        <f>IF(Skills!M7=TRUE,(Skills!K7/10)*(E2105/1000),Skills!K7/10)+Skills!N7</f>
        <v/>
      </c>
      <c r="G2105">
        <f>Calc!G7</f>
        <v/>
      </c>
      <c r="H2105">
        <f>Calc!H7</f>
        <v/>
      </c>
      <c r="I2105">
        <f>IF(Skills!T7&lt;&gt;"",1+(Skills!T7/10)*(Z2101/1000)/100,1)</f>
        <v/>
      </c>
      <c r="J2105">
        <f>((Inputs!$B$6*(1+Inputs!$B$7/100))+(((Inputs!$B$12*(1+Inputs!$B$13/100))-(Inputs!$B$12*(1+Inputs!$B$13/100)))+0.25*(Inputs!$B$14-Inputs!$B$14))*(1+Inputs!$B$7/100))*(F2105/100)</f>
        <v/>
      </c>
      <c r="K2105">
        <f>J2105*(1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F2116-Calc!F18),(Inputs!$B$23+(IF(ArtifactsInput!$M$15,CHOOSE(ArtifactsInput!$N$15+1,25,30,35,40,45,50)/100*(Inputs!$B$11-Inputs!$B$11),0))))/100+(Inputs!$B$23+(IF(ArtifactsInput!$M$15,CHOOSE(ArtifactsInput!$N$15+1,25,30,35,40,45,50)/100*(Inputs!$B$11-Inputs!$B$11),0)))/100)/2</f>
        <v/>
      </c>
      <c r="M2105">
        <f>L2105*(1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(1-Summary!$B$11)*S2105+Summary!$B$11*U2105</f>
        <v/>
      </c>
      <c r="P2105">
        <f>IF(B2134=0,0,O2105/B2134)</f>
        <v/>
      </c>
      <c r="Q2105">
        <f>IFERROR(1/IF(Inputs!$B$38="pvp",15,MAX(0.1,Skills!D7-IF(Skills!E7=TRUE,Inputs!$B$32,0))),0)</f>
        <v/>
      </c>
      <c r="R2105">
        <f>IF(AND(Inputs!$B$38&lt;&gt;"pvp",Inputs!$B$43&gt;0),IF(MAX(0,Inputs!$B$43-B2131)&lt;=0,0,(INT(MAX(0,Inputs!$B$43-B2131)/IF(Inputs!$B$38="pvp",15,MAX(0.1,Skills!D7-IF(Skills!E7=TRUE,Inputs!$B$32,0))))+1)),0)</f>
        <v/>
      </c>
      <c r="S2105">
        <f>IF(C2105,(H2105*N2105*IF(AND(Inputs!$B$38&lt;&gt;"pvp",Inputs!$B$43&gt;0),((Skills!F7*((R2105-1)*IF(Skills!G7&gt;0,Skills!H7/Skills!G7,1)+IF(Skills!G7&gt;0,MIN(Skills!H7,MAX(0,MAX(0,Inputs!$B$43-B2131)-((R2105-1)*IF(Inputs!$B$38="pvp",15,MAX(0.1,Skills!D7-IF(Skills!E7=TRUE,Inputs!$B$32,0))))))/Skills!G7,1)))/Inputs!$B$43),G2105*Q2105))*IF(Inputs!$B$38="pvp",1,1+(Inputs!$B$20+Skills!O7+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2105*(1-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5">
        <f>IF(C2105,(H2105*N2105*IF(AND(Inputs!$B$38&lt;&gt;"pvp",Inputs!$B$43&gt;0),((Skills!F7*((R2105-1)*IF(Skills!G7&gt;0,Skills!H7/Skills!G7,1)+IF(Skills!G7&gt;0,MIN(Skills!H7,MAX(0,MAX(0,Inputs!$B$43-B2131)-((R2105-1)*IF(Inputs!$B$38="pvp",15,MAX(0.1,Skills!D7-IF(Skills!E7=TRUE,Inputs!$B$32,0))))))/Skills!G7,1)))/Inputs!$B$43),G2105*Q2105))*IF(Inputs!$B$38="pvp",1,(1+(Inputs!$B$21+Skills!P7+B2125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Skills!A8</f>
        <v/>
      </c>
      <c r="B2106">
        <f>Skills!B8</f>
        <v/>
      </c>
      <c r="C2106">
        <f>Inputs!$B$3&gt;=103</f>
        <v/>
      </c>
      <c r="D2106">
        <f>IF(Skills!C8=1,60+Inputs!$B$25+Inputs!$B$29,IF(Skills!C8=2,90+Inputs!$B$26+Inputs!$B$29,IF(Skills!C8=3,120+Inputs!$B$27+Inputs!$B$29,MAX(0,(Inputs!$B$3-100)*3)+Inputs!$B$28+Inputs!$B$29)))</f>
        <v/>
      </c>
      <c r="E2106">
        <f>INDEX(FactorTable!$B$2:$Y$301, MATCH(ROUND(MIN(300,MAX(1,D2106)),0), FactorTable!$A$2:$A$301,0), Skills!L8+1)</f>
        <v/>
      </c>
      <c r="F2106">
        <f>IF(Skills!M8=TRUE,(Skills!K8/10)*(E2106/1000),Skills!K8/10)+Skills!N8</f>
        <v/>
      </c>
      <c r="G2106">
        <f>Calc!G8</f>
        <v/>
      </c>
      <c r="H2106">
        <f>Calc!H8</f>
        <v/>
      </c>
      <c r="I2106">
        <f>IF(Skills!T8&lt;&gt;"",1+(Skills!T8/10)*(Z2101/1000)/100,1)</f>
        <v/>
      </c>
      <c r="J2106">
        <f>((Inputs!$B$6*(1+Inputs!$B$7/100))+(((Inputs!$B$12*(1+Inputs!$B$13/100))-(Inputs!$B$12*(1+Inputs!$B$13/100)))+0.25*(Inputs!$B$14-Inputs!$B$14))*(1+Inputs!$B$7/100))*(F2106/100)</f>
        <v/>
      </c>
      <c r="K2106">
        <f>J2106*(1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F2116-Calc!F18),(Inputs!$B$23+(IF(ArtifactsInput!$M$15,CHOOSE(ArtifactsInput!$N$15+1,25,30,35,40,45,50)/100*(Inputs!$B$11-Inputs!$B$11),0))))/100+(Inputs!$B$23+(IF(ArtifactsInput!$M$15,CHOOSE(ArtifactsInput!$N$15+1,25,30,35,40,45,50)/100*(Inputs!$B$11-Inputs!$B$11),0)))/100)/2</f>
        <v/>
      </c>
      <c r="M2106">
        <f>L2106*(1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(1-Summary!$B$11)*S2106+Summary!$B$11*U2106</f>
        <v/>
      </c>
      <c r="P2106">
        <f>IF(B2134=0,0,O2106/B2134)</f>
        <v/>
      </c>
      <c r="Q2106">
        <f>IFERROR(1/IF(Inputs!$B$38="pvp",15,MAX(0.1,Skills!D8-IF(Skills!E8=TRUE,Inputs!$B$32,0))),0)</f>
        <v/>
      </c>
      <c r="R2106">
        <f>IF(AND(Inputs!$B$38&lt;&gt;"pvp",Inputs!$B$43&gt;0),IF(MAX(0,Inputs!$B$43-B2131)&lt;=0,0,(INT(MAX(0,Inputs!$B$43-B2131)/IF(Inputs!$B$38="pvp",15,MAX(0.1,Skills!D8-IF(Skills!E8=TRUE,Inputs!$B$32,0))))+1)),0)</f>
        <v/>
      </c>
      <c r="S2106">
        <f>IF(C2106,(H2106*N2106*IF(AND(Inputs!$B$38&lt;&gt;"pvp",Inputs!$B$43&gt;0),((Skills!F8*((R2106-1)*IF(Skills!G8&gt;0,Skills!H8/Skills!G8,1)+IF(Skills!G8&gt;0,MIN(Skills!H8,MAX(0,MAX(0,Inputs!$B$43-B2131)-((R2106-1)*IF(Inputs!$B$38="pvp",15,MAX(0.1,Skills!D8-IF(Skills!E8=TRUE,Inputs!$B$32,0))))))/Skills!G8,1)))/Inputs!$B$43),G2106*Q2106))*IF(Inputs!$B$38="pvp",1,1+(Inputs!$B$20+Skills!O8+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2106*(1-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6">
        <f>IF(C2106,(H2106*N2106*IF(AND(Inputs!$B$38&lt;&gt;"pvp",Inputs!$B$43&gt;0),((Skills!F8*((R2106-1)*IF(Skills!G8&gt;0,Skills!H8/Skills!G8,1)+IF(Skills!G8&gt;0,MIN(Skills!H8,MAX(0,MAX(0,Inputs!$B$43-B2131)-((R2106-1)*IF(Inputs!$B$38="pvp",15,MAX(0.1,Skills!D8-IF(Skills!E8=TRUE,Inputs!$B$32,0))))))/Skills!G8,1)))/Inputs!$B$43),G2106*Q2106))*IF(Inputs!$B$38="pvp",1,(1+(Inputs!$B$21+Skills!P8+B2125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Skills!A9</f>
        <v/>
      </c>
      <c r="B2107">
        <f>Skills!B9</f>
        <v/>
      </c>
      <c r="C2107">
        <f>Inputs!$B$3&gt;=105</f>
        <v/>
      </c>
      <c r="D2107">
        <f>IF(Skills!C9=1,60+Inputs!$B$25+Inputs!$B$29,IF(Skills!C9=2,90+Inputs!$B$26+Inputs!$B$29,IF(Skills!C9=3,120+Inputs!$B$27+Inputs!$B$29,MAX(0,(Inputs!$B$3-100)*3)+Inputs!$B$28+Inputs!$B$29)))</f>
        <v/>
      </c>
      <c r="E2107">
        <f>INDEX(FactorTable!$B$2:$Y$301, MATCH(ROUND(MIN(300,MAX(1,D2107)),0), FactorTable!$A$2:$A$301,0), Skills!L9+1)</f>
        <v/>
      </c>
      <c r="F2107">
        <f>IF(Skills!M9=TRUE,(Skills!K9/10)*(E2107/1000),Skills!K9/10)+Skills!N9</f>
        <v/>
      </c>
      <c r="G2107">
        <f>Calc!G9</f>
        <v/>
      </c>
      <c r="H2107">
        <f>Calc!H9</f>
        <v/>
      </c>
      <c r="I2107">
        <f>IF(Skills!T9&lt;&gt;"",1+(Skills!T9/10)*(Z2101/1000)/100,1)</f>
        <v/>
      </c>
      <c r="J2107">
        <f>((Inputs!$B$6*(1+Inputs!$B$7/100))+(((Inputs!$B$12*(1+Inputs!$B$13/100))-(Inputs!$B$12*(1+Inputs!$B$13/100)))+0.25*(Inputs!$B$14-Inputs!$B$14))*(1+Inputs!$B$7/100))*(F2107/100)</f>
        <v/>
      </c>
      <c r="K2107">
        <f>J2107*(1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18),(Inputs!$B$23+(IF(ArtifactsInput!$M$15,CHOOSE(ArtifactsInput!$N$15+1,25,30,35,40,45,50)/100*(Inputs!$B$11-Inputs!$B$11),0))))/100+(Inputs!$B$23+(IF(ArtifactsInput!$M$15,CHOOSE(ArtifactsInput!$N$15+1,25,30,35,40,45,50)/100*(Inputs!$B$11-Inputs!$B$11),0)))/100)/2</f>
        <v/>
      </c>
      <c r="M2107">
        <f>L2107*(1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IF(B2134=0,0,O2107/B2134)</f>
        <v/>
      </c>
      <c r="Q2107">
        <f>IFERROR(1/IF(Inputs!$B$38="pvp",15,MAX(0.1,Skills!D9-IF(Skills!E9=TRUE,Inputs!$B$32,0))),0)</f>
        <v/>
      </c>
      <c r="R2107">
        <f>IF(AND(Inputs!$B$38&lt;&gt;"pvp",Inputs!$B$43&gt;0),IF(MAX(0,Inputs!$B$43-B2131)&lt;=0,0,(INT(MAX(0,Inputs!$B$43-B2131)/IF(Inputs!$B$38="pvp",15,MAX(0.1,Skills!D9-IF(Skills!E9=TRUE,Inputs!$B$32,0))))+1)),0)</f>
        <v/>
      </c>
      <c r="S2107">
        <f>IF(C2107,(H2107*N2107*IF(AND(Inputs!$B$38&lt;&gt;"pvp",Inputs!$B$43&gt;0),((Skills!F9*((R2107-1)*IF(Skills!G9&gt;0,Skills!H9/Skills!G9,1)+IF(Skills!G9&gt;0,MIN(Skills!H9,MAX(0,MAX(0,Inputs!$B$43-B2131)-((R2107-1)*IF(Inputs!$B$38="pvp",15,MAX(0.1,Skills!D9-IF(Skills!E9=TRUE,Inputs!$B$32,0))))))/Skills!G9,1)))/Inputs!$B$43),G2107*Q2107))*IF(Inputs!$B$38="pvp",1,1+(Inputs!$B$20+Skills!O9+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F9*((R2107-1)*IF(Skills!G9&gt;0,Skills!H9/Skills!G9,1)+IF(Skills!G9&gt;0,MIN(Skills!H9,MAX(0,MAX(0,Inputs!$B$43-B2131)-((R2107-1)*IF(Inputs!$B$38="pvp",15,MAX(0.1,Skills!D9-IF(Skills!E9=TRUE,Inputs!$B$32,0))))))/Skills!G9,1)))/Inputs!$B$43),G2107*Q2107))*IF(Inputs!$B$38="pvp",1,(1+(Inputs!$B$21+Skills!P9+B2125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Skills!A10</f>
        <v/>
      </c>
      <c r="B2108">
        <f>Skills!B10</f>
        <v/>
      </c>
      <c r="C2108">
        <f>Inputs!$B$3&gt;=113</f>
        <v/>
      </c>
      <c r="D2108">
        <f>IF(Skills!C10=1,60+Inputs!$B$25+Inputs!$B$29,IF(Skills!C10=2,90+Inputs!$B$26+Inputs!$B$29,IF(Skills!C10=3,120+Inputs!$B$27+Inputs!$B$29,MAX(0,(Inputs!$B$3-100)*3)+Inputs!$B$28+Inputs!$B$29)))</f>
        <v/>
      </c>
      <c r="E2108">
        <f>INDEX(FactorTable!$B$2:$Y$301, MATCH(ROUND(MIN(300,MAX(1,D2108)),0), FactorTable!$A$2:$A$301,0), Skills!L10+1)</f>
        <v/>
      </c>
      <c r="F2108">
        <f>IF(Skills!M10=TRUE,(Skills!K10/10)*(E2108/1000),Skills!K10/10)+Skills!N10</f>
        <v/>
      </c>
      <c r="G2108">
        <f>Calc!G10</f>
        <v/>
      </c>
      <c r="H2108">
        <f>Calc!H10</f>
        <v/>
      </c>
      <c r="I2108">
        <f>IF(Skills!T10&lt;&gt;"",1+(Skills!T10/10)*(Z2101/1000)/100,1)</f>
        <v/>
      </c>
      <c r="J2108">
        <f>((Inputs!$B$6*(1+Inputs!$B$7/100))+(((Inputs!$B$12*(1+Inputs!$B$13/100))-(Inputs!$B$12*(1+Inputs!$B$13/100)))+0.25*(Inputs!$B$14-Inputs!$B$14))*(1+Inputs!$B$7/100))*(F2108/100)</f>
        <v/>
      </c>
      <c r="K2108">
        <f>J2108*(1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18),(Inputs!$B$23+(IF(ArtifactsInput!$M$15,CHOOSE(ArtifactsInput!$N$15+1,25,30,35,40,45,50)/100*(Inputs!$B$11-Inputs!$B$11),0))))/100+(Inputs!$B$23+(IF(ArtifactsInput!$M$15,CHOOSE(ArtifactsInput!$N$15+1,25,30,35,40,45,50)/100*(Inputs!$B$11-Inputs!$B$11),0)))/100)/2</f>
        <v/>
      </c>
      <c r="M2108">
        <f>L2108*(1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IF(B2134=0,0,O2108/B2134)</f>
        <v/>
      </c>
      <c r="Q2108">
        <f>IFERROR(1/IF(Inputs!$B$38="pvp",15,MAX(0.1,Skills!D10-IF(Skills!E9=TRUE,Inputs!$B$32,0))),0)</f>
        <v/>
      </c>
      <c r="R2108">
        <f>IF(AND(Inputs!$B$38&lt;&gt;"pvp",Inputs!$B$43&gt;0),IF(MAX(0,Inputs!$B$43-B2131)&lt;=0,0,(INT(MAX(0,Inputs!$B$43-B2131)/IF(Inputs!$B$38="pvp",15,MAX(0.1,Skills!D10-IF(Skills!E9=TRUE,Inputs!$B$32,0))))+1)),0)</f>
        <v/>
      </c>
      <c r="S2108">
        <f>IF(C2108,(H2108*N2108*IF(AND(Inputs!$B$38&lt;&gt;"pvp",Inputs!$B$43&gt;0),((Skills!F10*((R2108-1)*IF(Skills!G10&gt;0,Skills!H10/Skills!G10,1)+IF(Skills!G10&gt;0,MIN(Skills!H10,MAX(0,MAX(0,Inputs!$B$43-B2131)-((R2108-1)*IF(Inputs!$B$38="pvp",15,MAX(0.1,Skills!D10-IF(Skills!E9=TRUE,Inputs!$B$32,0))))))/Skills!G10,1)))/Inputs!$B$43),G2108*Q2108))*IF(Inputs!$B$38="pvp",1,1+(Inputs!$B$20+Skills!O10+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N2108*IF(AND(Inputs!$B$38&lt;&gt;"pvp",Inputs!$B$43&gt;0),((Skills!F10*((R2108-1)*IF(Skills!G10&gt;0,Skills!H10/Skills!G10,1)+IF(Skills!G10&gt;0,MIN(Skills!H10,MAX(0,MAX(0,Inputs!$B$43-B2131)-((R2108-1)*IF(Inputs!$B$38="pvp",15,MAX(0.1,Skills!D10-IF(Skills!E9=TRUE,Inputs!$B$32,0))))))/Skills!G10,1)))/Inputs!$B$43),G2108*Q2108))*IF(Inputs!$B$38="pvp",1,(1+(Inputs!$B$21+Skills!P10+B2125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Skills!A11</f>
        <v/>
      </c>
      <c r="B2109">
        <f>Skills!B11</f>
        <v/>
      </c>
      <c r="C2109">
        <f>Inputs!$B$3&gt;=107</f>
        <v/>
      </c>
      <c r="D2109">
        <f>IF(Skills!C11=1,60+Inputs!$B$25+Inputs!$B$29,IF(Skills!C11=2,90+Inputs!$B$26+Inputs!$B$29,IF(Skills!C11=3,120+Inputs!$B$27+Inputs!$B$29,MAX(0,(Inputs!$B$3-100)*3)+Inputs!$B$28+Inputs!$B$29)))</f>
        <v/>
      </c>
      <c r="E2109">
        <f>INDEX(FactorTable!$B$2:$Y$301, MATCH(ROUND(MIN(300,MAX(1,D2109)),0), FactorTable!$A$2:$A$301,0), Skills!L11+1)</f>
        <v/>
      </c>
      <c r="F2109">
        <f>IF(Skills!M11=TRUE,(Skills!K11/10)*(E2109/1000),Skills!K11/10)+Skills!N11</f>
        <v/>
      </c>
      <c r="G2109">
        <f>Calc!G11</f>
        <v/>
      </c>
      <c r="H2109">
        <f>Calc!H11</f>
        <v/>
      </c>
      <c r="I2109">
        <f>IF(Skills!T11&lt;&gt;"",1+(Skills!T11/10)*(Z2101/1000)/100,1)</f>
        <v/>
      </c>
      <c r="J2109">
        <f>((Inputs!$B$6*(1+Inputs!$B$7/100))+(((Inputs!$B$12*(1+Inputs!$B$13/100))-(Inputs!$B$12*(1+Inputs!$B$13/100)))+0.25*(Inputs!$B$14-Inputs!$B$14))*(1+Inputs!$B$7/100))*(F2109/100)</f>
        <v/>
      </c>
      <c r="K2109">
        <f>J2109*(1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18),(Inputs!$B$23+(IF(ArtifactsInput!$M$15,CHOOSE(ArtifactsInput!$N$15+1,25,30,35,40,45,50)/100*(Inputs!$B$11-Inputs!$B$11),0))))/100+(Inputs!$B$23+(IF(ArtifactsInput!$M$15,CHOOSE(ArtifactsInput!$N$15+1,25,30,35,40,45,50)/100*(Inputs!$B$11-Inputs!$B$11),0)))/100)/2</f>
        <v/>
      </c>
      <c r="M2109">
        <f>L2109*(1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IF(B2134=0,0,O2109/B2134)</f>
        <v/>
      </c>
      <c r="Q2109">
        <f>IFERROR(1/IF(Inputs!$B$38="pvp",15,MAX(0.1,Skills!D11-IF(Skills!E11=TRUE,Inputs!$B$32,0))),0)</f>
        <v/>
      </c>
      <c r="R2109">
        <f>IF(AND(Inputs!$B$38&lt;&gt;"pvp",Inputs!$B$43&gt;0),IF(MAX(0,Inputs!$B$43-B2131)&lt;=0,0,(INT(MAX(0,Inputs!$B$43-B2131)/IF(Inputs!$B$38="pvp",15,MAX(0.1,Skills!D11-IF(Skills!E11=TRUE,Inputs!$B$32,0))))+1)),0)</f>
        <v/>
      </c>
      <c r="S2109">
        <f>IF(C2109,H2109*N2109*IF(AND(Inputs!$B$38&lt;&gt;"pvp",Inputs!$B$43&gt;0),((Skills!F11*((R2109-1)*IF(Skills!G11&gt;0,Skills!H11/Skills!G11,1)+IF(Skills!G11&gt;0,MIN(Skills!H11,MAX(0,MAX(0,Inputs!$B$43-B2131)-((R2109-1)*IF(Inputs!$B$38="pvp",15,MAX(0.1,Skills!D11-IF(Skills!E11=TRUE,Inputs!$B$32,0))))))/Skills!G11,1)))/Inputs!$B$43),G2109*Q2109)*0.5*IF(Inputs!$B$38="pvp",1,1+(Inputs!$B$20+Skills!O11+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F11*((R2109-1)*IF(Skills!G11&gt;0,Skills!H11/Skills!G11,1)+IF(Skills!G11&gt;0,MIN(Skills!H11,MAX(0,MAX(0,Inputs!$B$43-B2131)-((R2109-1)*IF(Inputs!$B$38="pvp",15,MAX(0.1,Skills!D11-IF(Skills!E11=TRUE,Inputs!$B$32,0))))))/Skills!G11,1)))/Inputs!$B$43),G2109*Q2109)*1*IF(Inputs!$B$38="pvp",1,(1+(Inputs!$B$21+Skills!P11+B2125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Skills!A12</f>
        <v/>
      </c>
      <c r="B2110">
        <f>Skills!B12</f>
        <v/>
      </c>
      <c r="C2110">
        <f>Inputs!$B$3&gt;=115</f>
        <v/>
      </c>
      <c r="D2110">
        <f>IF(Skills!C12=1,60+Inputs!$B$25+Inputs!$B$29,IF(Skills!C12=2,90+Inputs!$B$26+Inputs!$B$29,IF(Skills!C12=3,120+Inputs!$B$27+Inputs!$B$29,MAX(0,(Inputs!$B$3-100)*3)+Inputs!$B$28+Inputs!$B$29)))</f>
        <v/>
      </c>
      <c r="E2110">
        <f>INDEX(FactorTable!$B$2:$Y$301, MATCH(ROUND(MIN(300,MAX(1,D2110)),0), FactorTable!$A$2:$A$301,0), Skills!L12+1)</f>
        <v/>
      </c>
      <c r="F2110">
        <f>IF(Skills!M12=TRUE,(Skills!K12/10)*(E2110/1000),Skills!K12/10)+Skills!N12</f>
        <v/>
      </c>
      <c r="G2110">
        <f>Calc!G12</f>
        <v/>
      </c>
      <c r="H2110">
        <f>Calc!H12</f>
        <v/>
      </c>
      <c r="I2110">
        <f>IF(Skills!T12&lt;&gt;"",1+(Skills!T12/10)*(Z2101/1000)/100,1)</f>
        <v/>
      </c>
      <c r="J2110">
        <f>((Inputs!$B$6*(1+Inputs!$B$7/100))+(((Inputs!$B$12*(1+Inputs!$B$13/100))-(Inputs!$B$12*(1+Inputs!$B$13/100)))+0.25*(Inputs!$B$14-Inputs!$B$14))*(1+Inputs!$B$7/100))*(F2110/100)</f>
        <v/>
      </c>
      <c r="K2110">
        <f>J2110*(1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18),(Inputs!$B$23+(IF(ArtifactsInput!$M$15,CHOOSE(ArtifactsInput!$N$15+1,25,30,35,40,45,50)/100*(Inputs!$B$11-Inputs!$B$11),0))))/100+(Inputs!$B$23+(IF(ArtifactsInput!$M$15,CHOOSE(ArtifactsInput!$N$15+1,25,30,35,40,45,50)/100*(Inputs!$B$11-Inputs!$B$11),0)))/100)/2</f>
        <v/>
      </c>
      <c r="M2110">
        <f>L2110*(1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IF(B2134=0,0,O2110/B2134)</f>
        <v/>
      </c>
      <c r="Q2110">
        <f>IFERROR(1/IF(Inputs!$B$38="pvp",15,MAX(0.1,Skills!D12-IF(Skills!E12=TRUE,Inputs!$B$32,0))),0)</f>
        <v/>
      </c>
      <c r="R2110">
        <f>IF(AND(Inputs!$B$38&lt;&gt;"pvp",Inputs!$B$43&gt;0),IF(MAX(0,Inputs!$B$43-B2131)&lt;=0,0,(INT(MAX(0,Inputs!$B$43-B2131)/IF(Inputs!$B$38="pvp",15,MAX(0.1,Skills!D12-IF(Skills!E12=TRUE,Inputs!$B$32,0))))+1)),0)</f>
        <v/>
      </c>
      <c r="S2110">
        <f>IF(C2110,(H2110*N2110*IF(AND(Inputs!$B$38&lt;&gt;"pvp",Inputs!$B$43&gt;0),((Skills!F12*((R2110-1)*IF(Skills!G12&gt;0,Skills!H12/Skills!G12,1)+IF(Skills!G12&gt;0,MIN(Skills!H12,MAX(0,MAX(0,Inputs!$B$43-B2131)-((R2110-1)*IF(Inputs!$B$38="pvp",15,MAX(0.1,Skills!D12-IF(Skills!E12=TRUE,Inputs!$B$32,0))))))/Skills!G12,1)))/Inputs!$B$43),G2110*Q2110))*IF(Inputs!$B$38="pvp",1,1+(Inputs!$B$20+Skills!O12+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F12*((R2110-1)*IF(Skills!G12&gt;0,Skills!H12/Skills!G12,1)+IF(Skills!G12&gt;0,MIN(Skills!H12,MAX(0,MAX(0,Inputs!$B$43-B2131)-((R2110-1)*IF(Inputs!$B$38="pvp",15,MAX(0.1,Skills!D12-IF(Skills!E12=TRUE,Inputs!$B$32,0))))))/Skills!G12,1)))/Inputs!$B$43),G2110*Q2110))*IF(Inputs!$B$38="pvp",1,(1+(Inputs!$B$21+Skills!P12+B2125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Skills!A13</f>
        <v/>
      </c>
      <c r="B2111">
        <f>Skills!B13</f>
        <v/>
      </c>
      <c r="C2111">
        <f>Inputs!$B$3&gt;=49</f>
        <v/>
      </c>
      <c r="D2111">
        <f>IF(Skills!C13=1,60+Inputs!$B$25+Inputs!$B$29,IF(Skills!C13=2,90+Inputs!$B$26+Inputs!$B$29,IF(Skills!C13=3,120+Inputs!$B$27+Inputs!$B$29,MAX(0,(Inputs!$B$3-100)*3)+Inputs!$B$28+Inputs!$B$29)))</f>
        <v/>
      </c>
      <c r="E2111">
        <f>INDEX(FactorTable!$B$2:$Y$301, MATCH(ROUND(MIN(300,MAX(1,D2111)),0), FactorTable!$A$2:$A$301,0), Skills!L13+1)</f>
        <v/>
      </c>
      <c r="F2111">
        <f>IF(Skills!M13=TRUE,(Skills!K13/10)*(E2111/1000),Skills!K13/10)+Skills!N13</f>
        <v/>
      </c>
      <c r="G2111">
        <f>Calc!G13</f>
        <v/>
      </c>
      <c r="H2111">
        <f>Calc!H13</f>
        <v/>
      </c>
      <c r="I2111">
        <f>IF(Skills!T13&lt;&gt;"",1+(Skills!T13/10)*(Z2101/1000)/100,1)</f>
        <v/>
      </c>
      <c r="J2111" t="inlineStr"/>
      <c r="K2111" t="inlineStr"/>
      <c r="L2111" t="inlineStr"/>
      <c r="M2111" t="inlineStr"/>
      <c r="N2111" t="inlineStr"/>
      <c r="O2111">
        <f>(1-Summary!$B$11)*S2111+Summary!$B$11*U2111</f>
        <v/>
      </c>
      <c r="P2111">
        <f>IF(B2134=0,0,O2111/B2134)</f>
        <v/>
      </c>
      <c r="Q2111">
        <f>IFERROR(1/IF(Inputs!$B$38="pvp",15,MAX(0.1,Skills!D13-IF(Skills!E13=TRUE,Inputs!$B$32,0))),0)</f>
        <v/>
      </c>
      <c r="R2111" t="n">
        <v>0</v>
      </c>
      <c r="S2111" t="n">
        <v>0</v>
      </c>
      <c r="U2111" t="n">
        <v>0</v>
      </c>
    </row>
    <row r="2112">
      <c r="A2112">
        <f>Skills!A14</f>
        <v/>
      </c>
      <c r="B2112">
        <f>Skills!B14</f>
        <v/>
      </c>
      <c r="C2112">
        <f>Inputs!$B$3&gt;=72</f>
        <v/>
      </c>
      <c r="D2112">
        <f>IF(Skills!C14=1,60+Inputs!$B$25+Inputs!$B$29,IF(Skills!C14=2,90+Inputs!$B$26+Inputs!$B$29,IF(Skills!C14=3,120+Inputs!$B$27+Inputs!$B$29,MAX(0,(Inputs!$B$3-100)*3)+Inputs!$B$28+Inputs!$B$29)))</f>
        <v/>
      </c>
      <c r="E2112">
        <f>INDEX(FactorTable!$B$2:$Y$301, MATCH(ROUND(MIN(300,MAX(1,D2112)),0), FactorTable!$A$2:$A$301,0), Skills!L14+1)</f>
        <v/>
      </c>
      <c r="F2112">
        <f>IF(Skills!M14=TRUE,(Skills!K14/10)*(E2112/1000),Skills!K14/10)+Skills!N14</f>
        <v/>
      </c>
      <c r="G2112">
        <f>Calc!G14</f>
        <v/>
      </c>
      <c r="H2112">
        <f>Calc!H14</f>
        <v/>
      </c>
      <c r="I2112">
        <f>IF(Skills!T14&lt;&gt;"",1+(Skills!T14/10)*(Z2101/1000)/100,1)</f>
        <v/>
      </c>
      <c r="J2112" t="inlineStr"/>
      <c r="K2112" t="inlineStr"/>
      <c r="L2112" t="inlineStr"/>
      <c r="M2112" t="inlineStr"/>
      <c r="N2112" t="inlineStr"/>
      <c r="O2112">
        <f>(1-Summary!$B$11)*S2112+Summary!$B$11*U2112</f>
        <v/>
      </c>
      <c r="P2112">
        <f>IF(B2134=0,0,O2112/B2134)</f>
        <v/>
      </c>
      <c r="Q2112">
        <f>IFERROR(1/IF(Inputs!$B$38="pvp",15,MAX(0.1,Skills!D14-IF(Skills!E14=TRUE,Inputs!$B$32,0))),0)</f>
        <v/>
      </c>
      <c r="R2112" t="n">
        <v>0</v>
      </c>
      <c r="S2112" t="n">
        <v>0</v>
      </c>
      <c r="U2112" t="n">
        <v>0</v>
      </c>
    </row>
    <row r="2113">
      <c r="A2113">
        <f>Skills!A15</f>
        <v/>
      </c>
      <c r="B2113">
        <f>Skills!B15</f>
        <v/>
      </c>
      <c r="C2113">
        <f>Inputs!$B$3&gt;=75</f>
        <v/>
      </c>
      <c r="D2113">
        <f>IF(Skills!C15=1,60+Inputs!$B$25+Inputs!$B$29,IF(Skills!C15=2,90+Inputs!$B$26+Inputs!$B$29,IF(Skills!C15=3,120+Inputs!$B$27+Inputs!$B$29,MAX(0,(Inputs!$B$3-100)*3)+Inputs!$B$28+Inputs!$B$29)))</f>
        <v/>
      </c>
      <c r="E2113">
        <f>INDEX(FactorTable!$B$2:$Y$301, MATCH(ROUND(MIN(300,MAX(1,D2113)),0), FactorTable!$A$2:$A$301,0), Skills!L15+1)</f>
        <v/>
      </c>
      <c r="F2113">
        <f>IF(Skills!M15=TRUE,(Skills!K15/10)*(E2113/1000),Skills!K15/10)+Skills!N15</f>
        <v/>
      </c>
      <c r="G2113">
        <f>Calc!G15</f>
        <v/>
      </c>
      <c r="H2113">
        <f>Calc!H15</f>
        <v/>
      </c>
      <c r="I2113">
        <f>IF(Skills!T15&lt;&gt;"",1+(Skills!T15/10)*(Z2101/1000)/100,1)</f>
        <v/>
      </c>
      <c r="J2113" t="inlineStr"/>
      <c r="K2113" t="inlineStr"/>
      <c r="L2113" t="inlineStr"/>
      <c r="M2113" t="inlineStr"/>
      <c r="N2113" t="inlineStr"/>
      <c r="O2113">
        <f>(1-Summary!$B$11)*S2113+Summary!$B$11*U2113</f>
        <v/>
      </c>
      <c r="P2113">
        <f>IF(B2134=0,0,O2113/B2134)</f>
        <v/>
      </c>
      <c r="Q2113">
        <f>IFERROR(1/IF(Inputs!$B$38="pvp",15,MAX(0.1,Skills!D15-IF(Skills!E15=TRUE,Inputs!$B$32,0))),0)</f>
        <v/>
      </c>
      <c r="R2113" t="n">
        <v>0</v>
      </c>
      <c r="S2113" t="n">
        <v>0</v>
      </c>
      <c r="U2113" t="n">
        <v>0</v>
      </c>
    </row>
    <row r="2114">
      <c r="A2114">
        <f>Skills!A16</f>
        <v/>
      </c>
      <c r="B2114">
        <f>Skills!B16</f>
        <v/>
      </c>
      <c r="C2114">
        <f>Inputs!$B$3&gt;=110</f>
        <v/>
      </c>
      <c r="D2114">
        <f>IF(Skills!C16=1,60+Inputs!$B$25+Inputs!$B$29,IF(Skills!C16=2,90+Inputs!$B$26+Inputs!$B$29,IF(Skills!C16=3,120+Inputs!$B$27+Inputs!$B$29,MAX(0,(Inputs!$B$3-100)*3)+Inputs!$B$28+Inputs!$B$29)))</f>
        <v/>
      </c>
      <c r="E2114">
        <f>INDEX(FactorTable!$B$2:$Y$301, MATCH(ROUND(MIN(300,MAX(1,D2114)),0), FactorTable!$A$2:$A$301,0), Skills!L16+1)</f>
        <v/>
      </c>
      <c r="F2114">
        <f>(Skills!K16/10)*(E2114/1000)*64/45+Skills!N16</f>
        <v/>
      </c>
      <c r="G2114">
        <f>Calc!G16</f>
        <v/>
      </c>
      <c r="H2114">
        <f>Calc!H16</f>
        <v/>
      </c>
      <c r="I2114">
        <f>IF(Skills!T16&lt;&gt;"",1+(Skills!T16/10)*(Z2101/1000)/100,1)</f>
        <v/>
      </c>
      <c r="J2114" t="inlineStr"/>
      <c r="K2114" t="inlineStr"/>
      <c r="L2114" t="inlineStr"/>
      <c r="M2114" t="inlineStr"/>
      <c r="N2114" t="inlineStr"/>
      <c r="O2114">
        <f>(1-Summary!$B$11)*S2114+Summary!$B$11*U2114</f>
        <v/>
      </c>
      <c r="P2114">
        <f>IF(B2134=0,0,O2114/B2134)</f>
        <v/>
      </c>
      <c r="Q2114">
        <f>IFERROR(1/IF(Inputs!$B$38="pvp",15,MAX(0.1,Skills!D16-IF(Skills!E16=TRUE,Inputs!$B$32,0))),0)</f>
        <v/>
      </c>
      <c r="R2114">
        <f>IF(AND(Inputs!$B$38&lt;&gt;"pvp",Inputs!$B$43&gt;0),IF(Inputs!$B$43&lt;=0,0,(INT(Inputs!$B$43/IF(Inputs!$B$38="pvp",15,MAX(0.1,Skills!D16-IF(Skills!E16=TRUE,Inputs!$B$32,0))))+1)),0)</f>
        <v/>
      </c>
      <c r="S2114" t="n">
        <v>0</v>
      </c>
      <c r="U2114" t="n">
        <v>0</v>
      </c>
    </row>
    <row r="2115">
      <c r="A2115">
        <f>Skills!A17</f>
        <v/>
      </c>
      <c r="B2115">
        <f>Skills!B17</f>
        <v/>
      </c>
      <c r="C2115">
        <f>Inputs!$B$3&gt;=33</f>
        <v/>
      </c>
      <c r="D2115">
        <f>IF(Skills!C17=1,60+Inputs!$B$25+Inputs!$B$29,IF(Skills!C17=2,90+Inputs!$B$26+Inputs!$B$29,IF(Skills!C17=3,120+Inputs!$B$27+Inputs!$B$29,MAX(0,(Inputs!$B$3-100)*3)+Inputs!$B$28+Inputs!$B$29)))</f>
        <v/>
      </c>
      <c r="E2115">
        <f>INDEX(FactorTable!$B$2:$Y$301, MATCH(ROUND(MIN(300,MAX(1,D2115)),0), FactorTable!$A$2:$A$301,0), Skills!L17+1)</f>
        <v/>
      </c>
      <c r="F2115">
        <f>IF(Skills!M17=TRUE,(Skills!K17/10)*(E2115/1000),Skills!K17/10)+Skills!N17</f>
        <v/>
      </c>
      <c r="G2115">
        <f>Calc!G17</f>
        <v/>
      </c>
      <c r="H2115">
        <f>Calc!H17</f>
        <v/>
      </c>
      <c r="I2115">
        <f>IF(Skills!T17&lt;&gt;"",1+(Skills!T17/10)*(Z2101/1000)/100,1)</f>
        <v/>
      </c>
      <c r="J2115" t="inlineStr"/>
      <c r="K2115" t="inlineStr"/>
      <c r="L2115" t="inlineStr"/>
      <c r="M2115" t="inlineStr"/>
      <c r="N2115" t="inlineStr"/>
      <c r="O2115">
        <f>(1-Summary!$B$11)*S2115+Summary!$B$11*U2115</f>
        <v/>
      </c>
      <c r="P2115">
        <f>IF(B2134=0,0,O2115/B2134)</f>
        <v/>
      </c>
      <c r="Q2115">
        <f>IFERROR(1/IF(Inputs!$B$38="pvp",15,MAX(0.1,Skills!D17-IF(Skills!E17=TRUE,Inputs!$B$32,0))),0)</f>
        <v/>
      </c>
      <c r="R2115" t="n">
        <v>0</v>
      </c>
      <c r="S2115" t="n">
        <v>0</v>
      </c>
      <c r="U2115" t="n">
        <v>0</v>
      </c>
    </row>
    <row r="2116">
      <c r="A2116">
        <f>Skills!A18</f>
        <v/>
      </c>
      <c r="B2116">
        <f>Skills!B18</f>
        <v/>
      </c>
      <c r="C2116">
        <f>Inputs!$B$3&gt;=43</f>
        <v/>
      </c>
      <c r="D2116">
        <f>IF(Skills!C18=1,60+Inputs!$B$25+Inputs!$B$29,IF(Skills!C18=2,90+Inputs!$B$26+Inputs!$B$29,IF(Skills!C18=3,120+Inputs!$B$27+Inputs!$B$29,MAX(0,(Inputs!$B$3-100)*3)+Inputs!$B$28+Inputs!$B$29)))</f>
        <v/>
      </c>
      <c r="E2116">
        <f>INDEX(FactorTable!$B$2:$Y$301, MATCH(ROUND(MIN(300,MAX(1,D2116)),0), FactorTable!$A$2:$A$301,0), Skills!L18+1)</f>
        <v/>
      </c>
      <c r="F2116">
        <f>IF(Skills!M18=TRUE,(Skills!K18/10)*(E2116/1000),Skills!K18/10)+Skills!N18</f>
        <v/>
      </c>
      <c r="G2116">
        <f>Calc!G18</f>
        <v/>
      </c>
      <c r="H2116">
        <f>Calc!H18</f>
        <v/>
      </c>
      <c r="I2116">
        <f>IF(Skills!T18&lt;&gt;"",1+(Skills!T18/10)*(Z2101/1000)/100,1)</f>
        <v/>
      </c>
      <c r="J2116" t="inlineStr"/>
      <c r="K2116" t="inlineStr"/>
      <c r="L2116" t="inlineStr"/>
      <c r="M2116" t="inlineStr"/>
      <c r="N2116" t="inlineStr"/>
      <c r="O2116">
        <f>(1-Summary!$B$11)*S2116+Summary!$B$11*U2116</f>
        <v/>
      </c>
      <c r="P2116">
        <f>IF(B2134=0,0,O2116/B2134)</f>
        <v/>
      </c>
      <c r="Q2116">
        <f>IFERROR(1/IF(Inputs!$B$38="pvp",15,MAX(0.1,Skills!D18-IF(Skills!E18=TRUE,Inputs!$B$32,0))),0)</f>
        <v/>
      </c>
      <c r="R2116" t="n">
        <v>0</v>
      </c>
      <c r="S2116" t="n">
        <v>0</v>
      </c>
      <c r="U2116" t="n">
        <v>0</v>
      </c>
    </row>
    <row r="2117">
      <c r="A2117">
        <f>Skills!A19</f>
        <v/>
      </c>
      <c r="B2117">
        <f>Skills!B19</f>
        <v/>
      </c>
      <c r="C2117">
        <f>Inputs!$B$3&gt;=50</f>
        <v/>
      </c>
      <c r="D2117">
        <f>IF(Skills!C19=1,60+Inputs!$B$25+Inputs!$B$29,IF(Skills!C19=2,90+Inputs!$B$26+Inputs!$B$29,IF(Skills!C19=3,120+Inputs!$B$27+Inputs!$B$29,MAX(0,(Inputs!$B$3-100)*3)+Inputs!$B$28+Inputs!$B$29)))</f>
        <v/>
      </c>
      <c r="E2117">
        <f>INDEX(FactorTable!$B$2:$Y$301, MATCH(ROUND(MIN(300,MAX(1,D2117)),0), FactorTable!$A$2:$A$301,0), Skills!L19+1)</f>
        <v/>
      </c>
      <c r="F2117">
        <f>IF(Skills!M19=TRUE,(Skills!K19/10)*(E2117/1000),Skills!K19/10)+Skills!N19</f>
        <v/>
      </c>
      <c r="G2117">
        <f>Calc!G19</f>
        <v/>
      </c>
      <c r="H2117">
        <f>Calc!H19</f>
        <v/>
      </c>
      <c r="I2117">
        <f>IF(Skills!T19&lt;&gt;"",1+(Skills!T19/10)*(Z2101/1000)/100,1)</f>
        <v/>
      </c>
      <c r="J2117" t="inlineStr"/>
      <c r="K2117" t="inlineStr"/>
      <c r="L2117" t="inlineStr"/>
      <c r="M2117" t="inlineStr"/>
      <c r="N2117" t="inlineStr"/>
      <c r="O2117">
        <f>(1-Summary!$B$11)*S2117+Summary!$B$11*U2117</f>
        <v/>
      </c>
      <c r="P2117">
        <f>IF(B2134=0,0,O2117/B2134)</f>
        <v/>
      </c>
      <c r="Q2117">
        <f>IFERROR(1/IF(Inputs!$B$38="pvp",15,MAX(0.1,Skills!D19-IF(Skills!E19=TRUE,Inputs!$B$32,0))),0)</f>
        <v/>
      </c>
      <c r="R2117" t="n">
        <v>0</v>
      </c>
      <c r="S2117" t="n">
        <v>0</v>
      </c>
      <c r="U2117" t="n">
        <v>0</v>
      </c>
    </row>
    <row r="2118">
      <c r="A2118">
        <f>Skills!A20</f>
        <v/>
      </c>
      <c r="B2118">
        <f>Skills!B20</f>
        <v/>
      </c>
      <c r="C2118">
        <f>Inputs!$B$3&gt;=74</f>
        <v/>
      </c>
      <c r="D2118">
        <f>IF(Skills!C20=1,60+Inputs!$B$25+Inputs!$B$29,IF(Skills!C20=2,90+Inputs!$B$26+Inputs!$B$29,IF(Skills!C20=3,120+Inputs!$B$27+Inputs!$B$29,MAX(0,(Inputs!$B$3-100)*3)+Inputs!$B$28+Inputs!$B$29)))</f>
        <v/>
      </c>
      <c r="E2118">
        <f>INDEX(FactorTable!$B$2:$Y$301, MATCH(ROUND(MIN(300,MAX(1,D2118)),0), FactorTable!$A$2:$A$301,0), Skills!L20+1)</f>
        <v/>
      </c>
      <c r="F2118">
        <f>IF(Skills!M20=TRUE,(Skills!K20/10)*(E2118/1000),Skills!K20/10)+Skills!N20</f>
        <v/>
      </c>
      <c r="G2118">
        <f>Calc!G20</f>
        <v/>
      </c>
      <c r="H2118">
        <f>Calc!H20</f>
        <v/>
      </c>
      <c r="I2118">
        <f>IF(Skills!T20&lt;&gt;"",1+(Skills!T20/10)*(Z2101/1000)/100,1)</f>
        <v/>
      </c>
      <c r="J2118" t="inlineStr"/>
      <c r="K2118" t="inlineStr"/>
      <c r="L2118" t="inlineStr"/>
      <c r="M2118" t="inlineStr"/>
      <c r="N2118" t="inlineStr"/>
      <c r="O2118">
        <f>(1-Summary!$B$11)*S2118+Summary!$B$11*U2118</f>
        <v/>
      </c>
      <c r="P2118">
        <f>IF(B2134=0,0,O2118/B2134)</f>
        <v/>
      </c>
      <c r="Q2118">
        <f>IFERROR(1/IF(Inputs!$B$38="pvp",15,MAX(0.1,Skills!D20-IF(Skills!E20=TRUE,Inputs!$B$32,0))),0)</f>
        <v/>
      </c>
      <c r="R2118" t="n">
        <v>0</v>
      </c>
      <c r="S2118" t="n">
        <v>0</v>
      </c>
      <c r="U2118" t="n">
        <v>0</v>
      </c>
    </row>
    <row r="2119">
      <c r="A2119">
        <f>Skills!A21</f>
        <v/>
      </c>
      <c r="B2119">
        <f>Skills!B21</f>
        <v/>
      </c>
      <c r="C2119">
        <f>Inputs!$B$3&gt;=74</f>
        <v/>
      </c>
      <c r="D2119">
        <f>IF(Skills!C21=1,60+Inputs!$B$25+Inputs!$B$29,IF(Skills!C21=2,90+Inputs!$B$26+Inputs!$B$29,IF(Skills!C21=3,120+Inputs!$B$27+Inputs!$B$29,MAX(0,(Inputs!$B$3-100)*3)+Inputs!$B$28+Inputs!$B$29)))</f>
        <v/>
      </c>
      <c r="E2119">
        <f>INDEX(FactorTable!$B$2:$Y$301, MATCH(ROUND(MIN(300,MAX(1,D2119)),0), FactorTable!$A$2:$A$301,0), Skills!L21+1)</f>
        <v/>
      </c>
      <c r="F2119">
        <f>IF(Skills!M21=TRUE,(Skills!K21/10)*(E2119/1000),Skills!K21/10)+Skills!N21</f>
        <v/>
      </c>
      <c r="G2119">
        <f>Calc!G21</f>
        <v/>
      </c>
      <c r="H2119">
        <f>Calc!H21</f>
        <v/>
      </c>
      <c r="I2119">
        <f>IF(Skills!T21&lt;&gt;"",1+(Skills!T21/10)*(Z2101/1000)/100,1)</f>
        <v/>
      </c>
      <c r="J2119" t="inlineStr"/>
      <c r="K2119" t="inlineStr"/>
      <c r="L2119" t="inlineStr"/>
      <c r="M2119" t="inlineStr"/>
      <c r="N2119" t="inlineStr"/>
      <c r="O2119">
        <f>(1-Summary!$B$11)*S2119+Summary!$B$11*U2119</f>
        <v/>
      </c>
      <c r="P2119">
        <f>IF(B2134=0,0,O2119/B2134)</f>
        <v/>
      </c>
      <c r="Q2119">
        <f>IFERROR(1/IF(Inputs!$B$38="pvp",15,MAX(0.1,Skills!D21-IF(Skills!E21=TRUE,Inputs!$B$32,0))),0)</f>
        <v/>
      </c>
      <c r="R2119" t="n">
        <v>0</v>
      </c>
      <c r="S2119" t="n">
        <v>0</v>
      </c>
      <c r="U2119" t="n">
        <v>0</v>
      </c>
    </row>
    <row r="2120">
      <c r="A2120">
        <f>Skills!A22</f>
        <v/>
      </c>
      <c r="B2120">
        <f>Skills!B22</f>
        <v/>
      </c>
      <c r="C2120">
        <f>Inputs!$B$3&gt;=117</f>
        <v/>
      </c>
      <c r="D2120">
        <f>IF(Skills!C22=1,60+Inputs!$B$25+Inputs!$B$29,IF(Skills!C22=2,90+Inputs!$B$26+Inputs!$B$29,IF(Skills!C22=3,120+Inputs!$B$27+Inputs!$B$29,MAX(0,(Inputs!$B$3-100)*3)+Inputs!$B$28+Inputs!$B$29)))</f>
        <v/>
      </c>
      <c r="E2120">
        <f>INDEX(FactorTable!$B$2:$Y$301, MATCH(ROUND(MIN(300,MAX(1,D2120)),0), FactorTable!$A$2:$A$301,0), Skills!L22+1)</f>
        <v/>
      </c>
      <c r="F2120">
        <f>IF(Skills!M22=TRUE,(Skills!K22/10)*(E2120/1000),Skills!K22/10)+Skills!N22</f>
        <v/>
      </c>
      <c r="G2120">
        <f>Calc!G22</f>
        <v/>
      </c>
      <c r="H2120">
        <f>Calc!H22</f>
        <v/>
      </c>
      <c r="I2120">
        <f>IF(Skills!T22&lt;&gt;"",1+(Skills!T22/10)*(Z2101/1000)/100,1)</f>
        <v/>
      </c>
      <c r="J2120" t="inlineStr"/>
      <c r="K2120" t="inlineStr"/>
      <c r="L2120" t="inlineStr"/>
      <c r="M2120" t="inlineStr"/>
      <c r="N2120" t="inlineStr"/>
      <c r="O2120">
        <f>(1-Summary!$B$11)*S2120+Summary!$B$11*U2120</f>
        <v/>
      </c>
      <c r="P2120">
        <f>IF(B2134=0,0,O2120/B2134)</f>
        <v/>
      </c>
      <c r="Q2120">
        <f>IFERROR(1/IF(Inputs!$B$38="pvp",15,MAX(0.1,Skills!D22-IF(Skills!E22=TRUE,Inputs!$B$32,0))),0)</f>
        <v/>
      </c>
      <c r="R2120" t="n">
        <v>0</v>
      </c>
      <c r="S2120" t="n">
        <v>0</v>
      </c>
      <c r="U2120" t="n">
        <v>0</v>
      </c>
    </row>
    <row r="2121">
      <c r="A2121">
        <f>Skills!A23</f>
        <v/>
      </c>
      <c r="B2121">
        <f>Skills!B23</f>
        <v/>
      </c>
      <c r="C2121">
        <f>Inputs!$B$3&gt;=120</f>
        <v/>
      </c>
      <c r="D2121">
        <f>IF(Skills!C23=1,60+Inputs!$B$25+Inputs!$B$29,IF(Skills!C23=2,90+Inputs!$B$26+Inputs!$B$29,IF(Skills!C23=3,120+Inputs!$B$27+Inputs!$B$29,MAX(0,(Inputs!$B$3-100)*3)+Inputs!$B$28+Inputs!$B$29)))</f>
        <v/>
      </c>
      <c r="E2121">
        <f>INDEX(FactorTable!$B$2:$Y$301, MATCH(ROUND(MIN(300,MAX(1,D2121)),0), FactorTable!$A$2:$A$301,0), Skills!L23+1)</f>
        <v/>
      </c>
      <c r="F2121">
        <f>IF(Skills!M23=TRUE,(Skills!K23/10)*(E2121/1000),Skills!K23/10)+Skills!N23</f>
        <v/>
      </c>
      <c r="G2121">
        <f>Calc!G23</f>
        <v/>
      </c>
      <c r="H2121">
        <f>Calc!H23</f>
        <v/>
      </c>
      <c r="I2121">
        <f>IF(Skills!T23&lt;&gt;"",1+(Skills!T23/10)*(Z2101/1000)/100,1)</f>
        <v/>
      </c>
      <c r="J2121" t="inlineStr"/>
      <c r="K2121" t="inlineStr"/>
      <c r="L2121" t="inlineStr"/>
      <c r="M2121" t="inlineStr"/>
      <c r="N2121" t="inlineStr"/>
      <c r="O2121">
        <f>(1-Summary!$B$11)*S2121+Summary!$B$11*U2121</f>
        <v/>
      </c>
      <c r="P2121">
        <f>IF(B2134=0,0,O2121/B2134)</f>
        <v/>
      </c>
      <c r="Q2121">
        <f>IFERROR(1/IF(Inputs!$B$38="pvp",15,MAX(0.1,Skills!D23-IF(Skills!E23=TRUE,Inputs!$B$32,0))),0)</f>
        <v/>
      </c>
      <c r="R2121" t="n">
        <v>0</v>
      </c>
      <c r="S2121" t="n">
        <v>0</v>
      </c>
      <c r="U2121" t="n">
        <v>0</v>
      </c>
    </row>
    <row r="2124">
      <c r="A2124" t="inlineStr">
        <is>
          <t>Average Buff Multiplier (Magic Guard + Meditation + Artifact Attack%, summed; then Infinity)</t>
        </is>
      </c>
      <c r="B2124">
        <f>(1+(IF(C2101=TRUE,F2101*IF(AND(Inputs!$B$38&lt;&gt;"pvp",Inputs!$B$43&gt;0),(((R2101-1)*(Skills!S3*(1+(Inputs!$B$34+IF(Inputs!$B$3&gt;=117,F2120,0))/100))+MIN((Skills!S3*(1+(Inputs!$B$34+IF(Inputs!$B$3&gt;=117,F2120,0))/100)),MAX(0,Inputs!$B$43-((R2101-1)*Skills!D3))))/Inputs!$B$43),IF(Inputs!$B$38="pvp",MIN((Skills!S3*(1+(Inputs!$B$34+IF(Inputs!$B$3&gt;=117,F2120,0))/100)),15)/15,(Skills!S3*(1+(Inputs!$B$34+IF(Inputs!$B$3&gt;=117,F2120,0))/100))/Skills!D3)),0)+IF(C2102=TRUE,F2102*IF(AND(Inputs!$B$38&lt;&gt;"pvp",Inputs!$B$43&gt;0),(((R2102-1)*(Skills!S4*(1+(Inputs!$B$34+IF(Inputs!$B$3&gt;=117,F2120,0))/100))+MIN((Skills!S4*(1+(Inputs!$B$34+IF(Inputs!$B$3&gt;=117,F2120,0))/100)),MAX(0,Inputs!$B$43-((R2102-1)*Skills!D4))))/Inputs!$B$43),IF(Inputs!$B$38="pvp",MIN((Skills!S4*(1+(Inputs!$B$34+IF(Inputs!$B$3&gt;=117,F2120,0))/100)),15)/15,(Skills!S4*(1+(Inputs!$B$34+IF(Inputs!$B$3&gt;=117,F2120,0)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2114=TRUE,(1+F2114*IF(AND(Inputs!$B$38&lt;&gt;"pvp",Inputs!$B$43&gt;0),(((R2114-1)*(Skills!S16*(1+(Inputs!$B$34+IF(Inputs!$B$3&gt;=117,F2120,0))/100))+MIN((Skills!S16*(1+(Inputs!$B$34+IF(Inputs!$B$3&gt;=117,F2120,0))/100)),MAX(0,Inputs!$B$43-((R2114-1)*Skills!D16))))/Inputs!$B$43),IF(Inputs!$B$38="pvp",MIN((Skills!S16*(1+(Inputs!$B$34+IF(Inputs!$B$3&gt;=117,F2120,0))/100)),15)/15,(Skills!S16*(1+(Inputs!$B$34+IF(Inputs!$B$3&gt;=117,F2120,0))/100))/Skills!D16))/100),1)</f>
        <v/>
      </c>
    </row>
    <row r="2125">
      <c r="A2125" t="inlineStr">
        <is>
          <t>Monster Damage Taken Bonus % (Freezing Breath - Weaken + Elemental Reset + Artifact Enemy Damage Taken, summed)</t>
        </is>
      </c>
      <c r="B2125">
        <f>IF(Inputs!$B$3&gt;=118,15*IF(Inputs!$B$38="pvp",MIN((30*(1+(Inputs!$B$34+IF(Inputs!$B$3&gt;=117,F2120,0))/100)),15)/15,(30*(1+(Inputs!$B$34+IF(Inputs!$B$3&gt;=117,F2120,0))/100))/Skills!D8),0)+IF(C2112=TRUE,F2112,0)+(IF(AND(ArtifactsInput!$M$35,Inputs!$B$4&lt;&gt;"Chapter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f>
        <v/>
      </c>
    </row>
    <row r="2126">
      <c r="A2126" t="inlineStr">
        <is>
          <t>Damage % Bonus (Frozen Break + Frost Clutch, flat)</t>
        </is>
      </c>
      <c r="B2126">
        <f>IF(Inputs!$B$3&gt;=66,15,0)+IF(Inputs!$B$3&gt;=98,10,0)+IF(Inputs!$B$3&gt;=125,20,0)</f>
        <v/>
      </c>
    </row>
    <row r="2127">
      <c r="A2127" t="inlineStr">
        <is>
          <t>Attack Speed Bonus % (MP Eater - MP Boost, always-on once unlocked)</t>
        </is>
      </c>
      <c r="B2127">
        <f>IF(C2111=TRUE,F2111+(F2115-Calc!F17),0)</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IF(AND(Inputs!$B$38&lt;&gt;"pvp",Inputs!$B$43&gt;0),SUMPRODUCT((Skills!E2:E23=TRUE)*(C2100:C2121=TRUE)*R2100:R2121)/Inputs!$B$43,SUMPRODUCT((Skills!E2:E23=TRUE)*(C2100:C2121=TRUE)*Q2100:Q2121))</f>
        <v/>
      </c>
    </row>
    <row r="2130">
      <c r="A2130" t="inlineStr">
        <is>
          <t>Chain Lightning Casts Per Second</t>
        </is>
      </c>
      <c r="B2130">
        <f>MAX(0,B2128-B2129)</f>
        <v/>
      </c>
    </row>
    <row r="2131">
      <c r="A2131" t="inlineStr">
        <is>
          <t>Buff-Casting Startup Delay (s, fixed-duration only)</t>
        </is>
      </c>
      <c r="B2131">
        <f>IF(AND(Inputs!$B$38&lt;&gt;"pvp",Inputs!$B$43&gt;0),SUMPRODUCT((Skills!S2:S23&gt;0)*(Skills!E2:E23=TRUE)*(C2100:C2121=TRUE))/B2128,0)</f>
        <v/>
      </c>
    </row>
    <row r="2132">
      <c r="A2132" t="inlineStr">
        <is>
          <t>Boss-Only Total DPS (this block's swept value)</t>
        </is>
      </c>
      <c r="B2132">
        <f>SUM(S2100:S2121)</f>
        <v/>
      </c>
    </row>
    <row r="2133">
      <c r="A2133" t="inlineStr">
        <is>
          <t>Normal-Only Total DPS (this block's swept value)</t>
        </is>
      </c>
      <c r="B2133">
        <f>SUM(U2100:U2121)</f>
        <v/>
      </c>
    </row>
    <row r="2134">
      <c r="A2134" s="6" t="inlineStr">
        <is>
          <t>TOTAL DPS</t>
        </is>
      </c>
      <c r="B2134" s="6">
        <f>SUM(O2100:O2121)</f>
        <v/>
      </c>
    </row>
    <row r="2137">
      <c r="A2137" s="6" t="inlineStr">
        <is>
          <t>Stat: Peach Tree Herb Pouch (Equip)</t>
        </is>
      </c>
    </row>
    <row r="2138">
      <c r="A2138" s="5" t="inlineStr">
        <is>
          <t>Key</t>
        </is>
      </c>
      <c r="B2138" s="5" t="inlineStr">
        <is>
          <t>Name</t>
        </is>
      </c>
      <c r="C2138" s="5" t="inlineStr">
        <is>
          <t>Unlocked</t>
        </is>
      </c>
      <c r="D2138" s="5" t="inlineStr">
        <is>
          <t>InputLevel</t>
        </is>
      </c>
      <c r="E2138" s="5" t="inlineStr">
        <is>
          <t>Factor</t>
        </is>
      </c>
      <c r="F2138" s="5" t="inlineStr">
        <is>
          <t>CoefficientPercent</t>
        </is>
      </c>
      <c r="G2138" s="5" t="inlineStr">
        <is>
          <t>EffectiveHits</t>
        </is>
      </c>
      <c r="H2138" s="5" t="inlineStr">
        <is>
          <t>ProcProbability</t>
        </is>
      </c>
      <c r="I2138" s="5" t="inlineStr">
        <is>
          <t>MapleHeroMultiplier</t>
        </is>
      </c>
      <c r="J2138" s="5" t="inlineStr">
        <is>
          <t>BaseDamage</t>
        </is>
      </c>
      <c r="K2138" s="5" t="inlineStr">
        <is>
          <t>BaseHitDamage</t>
        </is>
      </c>
      <c r="L2138" s="5" t="inlineStr">
        <is>
          <t>NonCritAvg</t>
        </is>
      </c>
      <c r="M2138" s="5" t="inlineStr">
        <is>
          <t>CritAvg</t>
        </is>
      </c>
      <c r="N2138" s="5" t="inlineStr">
        <is>
          <t>ExpectedDamage(perHit)</t>
        </is>
      </c>
      <c r="O2138" s="5" t="inlineStr">
        <is>
          <t>DPS</t>
        </is>
      </c>
      <c r="P2138" s="5" t="inlineStr">
        <is>
          <t>% of Total</t>
        </is>
      </c>
      <c r="R2138" t="inlineStr">
        <is>
          <t>helpers</t>
        </is>
      </c>
    </row>
    <row r="2139">
      <c r="A2139">
        <f>Skills!A2</f>
        <v/>
      </c>
      <c r="B2139">
        <f>Skills!B2</f>
        <v/>
      </c>
      <c r="C2139">
        <f>Inputs!$B$3&gt;=100</f>
        <v/>
      </c>
      <c r="D2139" t="inlineStr"/>
      <c r="E2139" t="inlineStr"/>
      <c r="F2139">
        <f>T2141+Skills!N2</f>
        <v/>
      </c>
      <c r="G2139">
        <f>Calc!G2</f>
        <v/>
      </c>
      <c r="H2139">
        <f>Calc!H2</f>
        <v/>
      </c>
      <c r="I2139">
        <f>IF(Skills!T2&lt;&gt;"",1+(Skills!T2/10)*(Z2140/1000)/100,1)</f>
        <v/>
      </c>
      <c r="J2139">
        <f>((Inputs!$B$6*(1+Inputs!$B$7/100))+(((Inputs!$B$12*(1+Inputs!$B$13/100))-(Inputs!$B$12*(1+Inputs!$B$13/100)))+0.25*(Inputs!$B$14-Inputs!$B$14))*(1+Inputs!$B$7/100))*(F2139/100)</f>
        <v/>
      </c>
      <c r="K2139">
        <f>J2139*(1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F2155-Calc!F18),(Inputs!$B$23+(IF(ArtifactsInput!$M$15,CHOOSE(ArtifactsInput!$N$15+1,25,30,35,40,45,50)/100*(Inputs!$B$11-Inputs!$B$11),0))))/100+(Inputs!$B$23+(IF(ArtifactsInput!$M$15,CHOOSE(ArtifactsInput!$N$15+1,25,30,35,40,45,50)/100*(Inputs!$B$11-Inputs!$B$11),0)))/100)/2</f>
        <v/>
      </c>
      <c r="M2139">
        <f>L2139*(1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(1-Summary!$B$11)*S2139+Summary!$B$11*U2139</f>
        <v/>
      </c>
      <c r="P2139">
        <f>IF(B2173=0,0,O2139/B2173)</f>
        <v/>
      </c>
      <c r="Q2139">
        <f>IFERROR(1/IF(Inputs!$B$38="pvp",15,MAX(0.1,Skills!D2-IF(Skills!E2=TRUE,Inputs!$B$32,0))),0)</f>
        <v/>
      </c>
      <c r="R2139" t="n">
        <v>0</v>
      </c>
      <c r="S2139">
        <f>IF(C2139,(Skills!F2*N2139*B2169)*IF(Inputs!$B$38="pvp",1,1+(Inputs!$B$20+Skills!O2+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39">
        <f>MAX(0,(Inputs!$B$3-100)*3)+Inputs!$B$28+Inputs!$B$29</f>
        <v/>
      </c>
      <c r="U2139">
        <f>IF(C2139,(Skills!F2*N2139*B2169)*IF(Inputs!$B$38="pvp",1,(1+(Inputs!$B$21+Skills!P2+B2164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39">
        <f>MAX(0,(Inputs!$B$3-100)*3)+Inputs!$B$28+Inputs!$B$29</f>
        <v/>
      </c>
    </row>
    <row r="2140">
      <c r="A2140">
        <f>Skills!A3</f>
        <v/>
      </c>
      <c r="B2140">
        <f>Skills!B3</f>
        <v/>
      </c>
      <c r="C2140">
        <f>Inputs!$B$3&gt;=15</f>
        <v/>
      </c>
      <c r="D2140">
        <f>IF(Skills!C3=1,60+Inputs!$B$25+Inputs!$B$29,IF(Skills!C3=2,90+Inputs!$B$26+Inputs!$B$29,IF(Skills!C3=3,120+Inputs!$B$27+Inputs!$B$29,MAX(0,(Inputs!$B$3-100)*3)+Inputs!$B$28+Inputs!$B$29)))</f>
        <v/>
      </c>
      <c r="E2140">
        <f>INDEX(FactorTable!$B$2:$Y$301, MATCH(ROUND(MIN(300,MAX(1,D2140)),0), FactorTable!$A$2:$A$301,0), Skills!L3+1)</f>
        <v/>
      </c>
      <c r="F2140">
        <f>IF(Skills!M3=TRUE,(Skills!K3/10)*(E2140/1000),Skills!K3/10)+Skills!N3</f>
        <v/>
      </c>
      <c r="G2140">
        <f>Calc!G3</f>
        <v/>
      </c>
      <c r="H2140">
        <f>Calc!H3</f>
        <v/>
      </c>
      <c r="I2140">
        <f>IF(Skills!T3&lt;&gt;"",1+(Skills!T3/10)*(Z2140/1000)/100,1)</f>
        <v/>
      </c>
      <c r="J2140" t="inlineStr"/>
      <c r="K2140" t="inlineStr"/>
      <c r="L2140" t="inlineStr"/>
      <c r="M2140" t="inlineStr"/>
      <c r="N2140" t="inlineStr"/>
      <c r="O2140">
        <f>(1-Summary!$B$11)*S2140+Summary!$B$11*U2140</f>
        <v/>
      </c>
      <c r="P2140">
        <f>IF(B2173=0,0,O2140/B2173)</f>
        <v/>
      </c>
      <c r="Q2140">
        <f>IFERROR(1/IF(Inputs!$B$38="pvp",15,MAX(0.1,Skills!D3-IF(Skills!E3=TRUE,Inputs!$B$32,0))),0)</f>
        <v/>
      </c>
      <c r="R2140">
        <f>IF(AND(Inputs!$B$38&lt;&gt;"pvp",Inputs!$B$43&gt;0),IF(Inputs!$B$43&lt;=0,0,(INT(Inputs!$B$43/IF(Inputs!$B$38="pvp",15,MAX(0.1,Skills!D3-IF(Skills!E3=TRUE,Inputs!$B$32,0))))+1)),0)</f>
        <v/>
      </c>
      <c r="S2140" t="n">
        <v>0</v>
      </c>
      <c r="T2140">
        <f>INDEX(FactorTable!$B$2:$Y$301, MATCH(ROUND(MIN(300,MAX(1,T2139)),0), FactorTable!$A$2:$A$301,0), 22)</f>
        <v/>
      </c>
      <c r="U2140" t="n">
        <v>0</v>
      </c>
      <c r="Z2140">
        <f>INDEX(FactorTable!$B$2:$Y$301, MATCH(ROUND(MIN(300,MAX(1,Z2139)),0), FactorTable!$A$2:$A$301,0), 24)</f>
        <v/>
      </c>
    </row>
    <row r="2141">
      <c r="A2141">
        <f>Skills!A4</f>
        <v/>
      </c>
      <c r="B2141">
        <f>Skills!B4</f>
        <v/>
      </c>
      <c r="C2141">
        <f>Inputs!$B$3&gt;=40</f>
        <v/>
      </c>
      <c r="D2141">
        <f>IF(Skills!C4=1,60+Inputs!$B$25+Inputs!$B$29,IF(Skills!C4=2,90+Inputs!$B$26+Inputs!$B$29,IF(Skills!C4=3,120+Inputs!$B$27+Inputs!$B$29,MAX(0,(Inputs!$B$3-100)*3)+Inputs!$B$28+Inputs!$B$29)))</f>
        <v/>
      </c>
      <c r="E2141">
        <f>INDEX(FactorTable!$B$2:$Y$301, MATCH(ROUND(MIN(300,MAX(1,D2141)),0), FactorTable!$A$2:$A$301,0), Skills!L4+1)</f>
        <v/>
      </c>
      <c r="F2141">
        <f>IF(Skills!M4=TRUE,(Skills!K4/10)*(E2141/1000),Skills!K4/10)+Skills!N4</f>
        <v/>
      </c>
      <c r="G2141">
        <f>Calc!G4</f>
        <v/>
      </c>
      <c r="H2141">
        <f>Calc!H4</f>
        <v/>
      </c>
      <c r="I2141">
        <f>IF(Skills!T4&lt;&gt;"",1+(Skills!T4/10)*(Z2140/1000)/100,1)</f>
        <v/>
      </c>
      <c r="J2141" t="inlineStr"/>
      <c r="K2141" t="inlineStr"/>
      <c r="L2141" t="inlineStr"/>
      <c r="M2141" t="inlineStr"/>
      <c r="N2141" t="inlineStr"/>
      <c r="O2141">
        <f>(1-Summary!$B$11)*S2141+Summary!$B$11*U2141</f>
        <v/>
      </c>
      <c r="P2141">
        <f>IF(B2173=0,0,O2141/B2173)</f>
        <v/>
      </c>
      <c r="Q2141">
        <f>IFERROR(1/IF(Inputs!$B$38="pvp",15,MAX(0.1,Skills!D4-IF(Skills!E4=TRUE,Inputs!$B$32,0))),0)</f>
        <v/>
      </c>
      <c r="R2141">
        <f>IF(AND(Inputs!$B$38&lt;&gt;"pvp",Inputs!$B$43&gt;0),IF(Inputs!$B$43&lt;=0,0,(INT(Inputs!$B$43/IF(Inputs!$B$38="pvp",15,MAX(0.1,Skills!D4-IF(Skills!E4=TRUE,Inputs!$B$32,0))))+1)),0)</f>
        <v/>
      </c>
      <c r="S2141" t="n">
        <v>0</v>
      </c>
      <c r="T2141">
        <f>290*T2140/1000</f>
        <v/>
      </c>
      <c r="U2141" t="n">
        <v>0</v>
      </c>
    </row>
    <row r="2142">
      <c r="A2142">
        <f>Skills!A5</f>
        <v/>
      </c>
      <c r="B2142">
        <f>Skills!B5</f>
        <v/>
      </c>
      <c r="C2142">
        <f>Inputs!$B$3&gt;=38</f>
        <v/>
      </c>
      <c r="D2142">
        <f>IF(Skills!C5=1,60+Inputs!$B$25+Inputs!$B$29,IF(Skills!C5=2,90+Inputs!$B$26+Inputs!$B$29,IF(Skills!C5=3,120+Inputs!$B$27+Inputs!$B$29,MAX(0,(Inputs!$B$3-100)*3)+Inputs!$B$28+Inputs!$B$29)))</f>
        <v/>
      </c>
      <c r="E2142">
        <f>INDEX(FactorTable!$B$2:$Y$301, MATCH(ROUND(MIN(300,MAX(1,D2142)),0), FactorTable!$A$2:$A$301,0), Skills!L5+1)</f>
        <v/>
      </c>
      <c r="F2142">
        <f>IF(Skills!M5=TRUE,(Skills!K5/10)*(E2142/1000),Skills!K5/10)+Skills!N5</f>
        <v/>
      </c>
      <c r="G2142">
        <f>Calc!G5</f>
        <v/>
      </c>
      <c r="H2142">
        <f>Calc!H5</f>
        <v/>
      </c>
      <c r="I2142">
        <f>IF(Skills!T5&lt;&gt;"",1+(Skills!T5/10)*(Z2140/1000)/100,1)</f>
        <v/>
      </c>
      <c r="J2142">
        <f>((Inputs!$B$6*(1+Inputs!$B$7/100))+(((Inputs!$B$12*(1+Inputs!$B$13/100))-(Inputs!$B$12*(1+Inputs!$B$13/100)))+0.25*(Inputs!$B$14-Inputs!$B$14))*(1+Inputs!$B$7/100))*(F2142/100)</f>
        <v/>
      </c>
      <c r="K2142">
        <f>J2142*(1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2155-Calc!F18),(Inputs!$B$23+(IF(ArtifactsInput!$M$15,CHOOSE(ArtifactsInput!$N$15+1,25,30,35,40,45,50)/100*(Inputs!$B$11-Inputs!$B$11),0))))/100+(Inputs!$B$23+(IF(ArtifactsInput!$M$15,CHOOSE(ArtifactsInput!$N$15+1,25,30,35,40,45,50)/100*(Inputs!$B$11-Inputs!$B$11),0)))/100)/2</f>
        <v/>
      </c>
      <c r="M2142">
        <f>L2142*(1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IF(B2173=0,0,O2142/B2173)</f>
        <v/>
      </c>
      <c r="Q2142">
        <f>IFERROR(1/IF(Inputs!$B$38="pvp",15,MAX(0.1,Skills!D5-IF(Skills!E5=TRUE,Inputs!$B$32,0))),0)</f>
        <v/>
      </c>
      <c r="R2142">
        <f>IF(AND(Inputs!$B$38&lt;&gt;"pvp",Inputs!$B$43&gt;0),IF(MAX(0,Inputs!$B$43-B2170)&lt;=0,0,(INT(MAX(0,Inputs!$B$43-B2170)/IF(Inputs!$B$38="pvp",15,MAX(0.1,Skills!D5-IF(Skills!E5=TRUE,Inputs!$B$32,0))))+1)),0)</f>
        <v/>
      </c>
      <c r="S2142">
        <f>IF(C2142,(H2142*N2142*IF(AND(Inputs!$B$38&lt;&gt;"pvp",Inputs!$B$43&gt;0),((Skills!F5*((R2142-1)*IF(Skills!G5&gt;0,Skills!H5/Skills!G5,1)+IF(Skills!G5&gt;0,MIN(Skills!H5,MAX(0,MAX(0,Inputs!$B$43-B2170)-((R2142-1)*IF(Inputs!$B$38="pvp",15,MAX(0.1,Skills!D5-IF(Skills!E5=TRUE,Inputs!$B$32,0))))))/Skills!G5,1)))/Inputs!$B$43),G2142*Q2142))*IF(Inputs!$B$38="pvp",1,1+(Inputs!$B$20+Skills!O5+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F(C2142,(H2142*N2142*IF(AND(Inputs!$B$38&lt;&gt;"pvp",Inputs!$B$43&gt;0),((Skills!F5*((R2142-1)*IF(Skills!G5&gt;0,Skills!H5/Skills!G5,1)+IF(Skills!G5&gt;0,MIN(Skills!H5,MAX(0,MAX(0,Inputs!$B$43-B2170)-((R2142-1)*IF(Inputs!$B$38="pvp",15,MAX(0.1,Skills!D5-IF(Skills!E5=TRUE,Inputs!$B$32,0))))))/Skills!G5,1)))/Inputs!$B$43),G2142*Q2142))*IF(Inputs!$B$38="pvp",1,(1+(Inputs!$B$21+Skills!P5+B2164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Skills!A6</f>
        <v/>
      </c>
      <c r="B2143">
        <f>Skills!B6</f>
        <v/>
      </c>
      <c r="C2143">
        <f>Inputs!$B$3&gt;=63</f>
        <v/>
      </c>
      <c r="D2143">
        <f>IF(Skills!C6=1,60+Inputs!$B$25+Inputs!$B$29,IF(Skills!C6=2,90+Inputs!$B$26+Inputs!$B$29,IF(Skills!C6=3,120+Inputs!$B$27+Inputs!$B$29,MAX(0,(Inputs!$B$3-100)*3)+Inputs!$B$28+Inputs!$B$29)))</f>
        <v/>
      </c>
      <c r="E2143">
        <f>INDEX(FactorTable!$B$2:$Y$301, MATCH(ROUND(MIN(300,MAX(1,D2143)),0), FactorTable!$A$2:$A$301,0), Skills!L6+1)</f>
        <v/>
      </c>
      <c r="F2143">
        <f>IF(Skills!M6=TRUE,(Skills!K6/10)*(E2143/1000),Skills!K6/10)+Skills!N6</f>
        <v/>
      </c>
      <c r="G2143">
        <f>Calc!G6</f>
        <v/>
      </c>
      <c r="H2143">
        <f>Calc!H6</f>
        <v/>
      </c>
      <c r="I2143">
        <f>IF(Skills!T6&lt;&gt;"",1+(Skills!T6/10)*(Z2140/1000)/100,1)</f>
        <v/>
      </c>
      <c r="J2143">
        <f>((Inputs!$B$6*(1+Inputs!$B$7/100))+(((Inputs!$B$12*(1+Inputs!$B$13/100))-(Inputs!$B$12*(1+Inputs!$B$13/100)))+0.25*(Inputs!$B$14-Inputs!$B$14))*(1+Inputs!$B$7/100))*(F2143/100)</f>
        <v/>
      </c>
      <c r="K2143">
        <f>J2143*(1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2155-Calc!F18),(Inputs!$B$23+(IF(ArtifactsInput!$M$15,CHOOSE(ArtifactsInput!$N$15+1,25,30,35,40,45,50)/100*(Inputs!$B$11-Inputs!$B$11),0))))/100+(Inputs!$B$23+(IF(ArtifactsInput!$M$15,CHOOSE(ArtifactsInput!$N$15+1,25,30,35,40,45,50)/100*(Inputs!$B$11-Inputs!$B$11),0)))/100)/2</f>
        <v/>
      </c>
      <c r="M2143">
        <f>L2143*(1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IF(B2173=0,0,O2143/B2173)</f>
        <v/>
      </c>
      <c r="Q2143">
        <f>IFERROR(1/IF(Inputs!$B$38="pvp",15,MAX(0.1,Skills!D6-IF(Skills!E6=TRUE,Inputs!$B$32,0))),0)</f>
        <v/>
      </c>
      <c r="R2143">
        <f>IF(AND(Inputs!$B$38&lt;&gt;"pvp",Inputs!$B$43&gt;0),IF(MAX(0,Inputs!$B$43-B2170)&lt;=0,0,(INT(MAX(0,Inputs!$B$43-B2170)/IF(Inputs!$B$38="pvp",15,MAX(0.1,Skills!D6-IF(Skills!E6=TRUE,Inputs!$B$32,0))))+1)),0)</f>
        <v/>
      </c>
      <c r="S2143">
        <f>IF(C2143,(H2143*N2143*IF(AND(Inputs!$B$38&lt;&gt;"pvp",Inputs!$B$43&gt;0),((Skills!F6*((R2143-1)*IF(Skills!G6&gt;0,Skills!H6/Skills!G6,1)+IF(Skills!G6&gt;0,MIN(Skills!H6,MAX(0,MAX(0,Inputs!$B$43-B2170)-((R2143-1)*IF(Inputs!$B$38="pvp",15,MAX(0.1,Skills!D6-IF(Skills!E6=TRUE,Inputs!$B$32,0))))))/Skills!G6,1)))/Inputs!$B$43),G2143*Q2143))*IF(Inputs!$B$38="pvp",1,1+(Inputs!$B$20+Skills!O6+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F6*((R2143-1)*IF(Skills!G6&gt;0,Skills!H6/Skills!G6,1)+IF(Skills!G6&gt;0,MIN(Skills!H6,MAX(0,MAX(0,Inputs!$B$43-B2170)-((R2143-1)*IF(Inputs!$B$38="pvp",15,MAX(0.1,Skills!D6-IF(Skills!E6=TRUE,Inputs!$B$32,0))))))/Skills!G6,1)))/Inputs!$B$43),G2143*Q2143))*IF(Inputs!$B$38="pvp",1,(1+(Inputs!$B$21+Skills!P6+B2164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Skills!A7</f>
        <v/>
      </c>
      <c r="B2144">
        <f>Skills!B7</f>
        <v/>
      </c>
      <c r="C2144">
        <f>Inputs!$B$3&gt;=69</f>
        <v/>
      </c>
      <c r="D2144">
        <f>IF(Skills!C7=1,60+Inputs!$B$25+Inputs!$B$29,IF(Skills!C7=2,90+Inputs!$B$26+Inputs!$B$29,IF(Skills!C7=3,120+Inputs!$B$27+Inputs!$B$29,MAX(0,(Inputs!$B$3-100)*3)+Inputs!$B$28+Inputs!$B$29)))</f>
        <v/>
      </c>
      <c r="E2144">
        <f>INDEX(FactorTable!$B$2:$Y$301, MATCH(ROUND(MIN(300,MAX(1,D2144)),0), FactorTable!$A$2:$A$301,0), Skills!L7+1)</f>
        <v/>
      </c>
      <c r="F2144">
        <f>IF(Skills!M7=TRUE,(Skills!K7/10)*(E2144/1000),Skills!K7/10)+Skills!N7</f>
        <v/>
      </c>
      <c r="G2144">
        <f>Calc!G7</f>
        <v/>
      </c>
      <c r="H2144">
        <f>Calc!H7</f>
        <v/>
      </c>
      <c r="I2144">
        <f>IF(Skills!T7&lt;&gt;"",1+(Skills!T7/10)*(Z2140/1000)/100,1)</f>
        <v/>
      </c>
      <c r="J2144">
        <f>((Inputs!$B$6*(1+Inputs!$B$7/100))+(((Inputs!$B$12*(1+Inputs!$B$13/100))-(Inputs!$B$12*(1+Inputs!$B$13/100)))+0.25*(Inputs!$B$14-Inputs!$B$14))*(1+Inputs!$B$7/100))*(F2144/100)</f>
        <v/>
      </c>
      <c r="K2144">
        <f>J2144*(1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F2155-Calc!F18),(Inputs!$B$23+(IF(ArtifactsInput!$M$15,CHOOSE(ArtifactsInput!$N$15+1,25,30,35,40,45,50)/100*(Inputs!$B$11-Inputs!$B$11),0))))/100+(Inputs!$B$23+(IF(ArtifactsInput!$M$15,CHOOSE(ArtifactsInput!$N$15+1,25,30,35,40,45,50)/100*(Inputs!$B$11-Inputs!$B$11),0)))/100)/2</f>
        <v/>
      </c>
      <c r="M2144">
        <f>L2144*(1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(1-Summary!$B$11)*S2144+Summary!$B$11*U2144</f>
        <v/>
      </c>
      <c r="P2144">
        <f>IF(B2173=0,0,O2144/B2173)</f>
        <v/>
      </c>
      <c r="Q2144">
        <f>IFERROR(1/IF(Inputs!$B$38="pvp",15,MAX(0.1,Skills!D7-IF(Skills!E7=TRUE,Inputs!$B$32,0))),0)</f>
        <v/>
      </c>
      <c r="R2144">
        <f>IF(AND(Inputs!$B$38&lt;&gt;"pvp",Inputs!$B$43&gt;0),IF(MAX(0,Inputs!$B$43-B2170)&lt;=0,0,(INT(MAX(0,Inputs!$B$43-B2170)/IF(Inputs!$B$38="pvp",15,MAX(0.1,Skills!D7-IF(Skills!E7=TRUE,Inputs!$B$32,0))))+1)),0)</f>
        <v/>
      </c>
      <c r="S2144">
        <f>IF(C2144,(H2144*N2144*IF(AND(Inputs!$B$38&lt;&gt;"pvp",Inputs!$B$43&gt;0),((Skills!F7*((R2144-1)*IF(Skills!G7&gt;0,Skills!H7/Skills!G7,1)+IF(Skills!G7&gt;0,MIN(Skills!H7,MAX(0,MAX(0,Inputs!$B$43-B2170)-((R2144-1)*IF(Inputs!$B$38="pvp",15,MAX(0.1,Skills!D7-IF(Skills!E7=TRUE,Inputs!$B$32,0))))))/Skills!G7,1)))/Inputs!$B$43),G2144*Q2144))*IF(Inputs!$B$38="pvp",1,1+(Inputs!$B$20+Skills!O7+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2144*(1-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4">
        <f>IF(C2144,(H2144*N2144*IF(AND(Inputs!$B$38&lt;&gt;"pvp",Inputs!$B$43&gt;0),((Skills!F7*((R2144-1)*IF(Skills!G7&gt;0,Skills!H7/Skills!G7,1)+IF(Skills!G7&gt;0,MIN(Skills!H7,MAX(0,MAX(0,Inputs!$B$43-B2170)-((R2144-1)*IF(Inputs!$B$38="pvp",15,MAX(0.1,Skills!D7-IF(Skills!E7=TRUE,Inputs!$B$32,0))))))/Skills!G7,1)))/Inputs!$B$43),G2144*Q2144))*IF(Inputs!$B$38="pvp",1,(1+(Inputs!$B$21+Skills!P7+B2164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Skills!A8</f>
        <v/>
      </c>
      <c r="B2145">
        <f>Skills!B8</f>
        <v/>
      </c>
      <c r="C2145">
        <f>Inputs!$B$3&gt;=103</f>
        <v/>
      </c>
      <c r="D2145">
        <f>IF(Skills!C8=1,60+Inputs!$B$25+Inputs!$B$29,IF(Skills!C8=2,90+Inputs!$B$26+Inputs!$B$29,IF(Skills!C8=3,120+Inputs!$B$27+Inputs!$B$29,MAX(0,(Inputs!$B$3-100)*3)+Inputs!$B$28+Inputs!$B$29)))</f>
        <v/>
      </c>
      <c r="E2145">
        <f>INDEX(FactorTable!$B$2:$Y$301, MATCH(ROUND(MIN(300,MAX(1,D2145)),0), FactorTable!$A$2:$A$301,0), Skills!L8+1)</f>
        <v/>
      </c>
      <c r="F2145">
        <f>IF(Skills!M8=TRUE,(Skills!K8/10)*(E2145/1000),Skills!K8/10)+Skills!N8</f>
        <v/>
      </c>
      <c r="G2145">
        <f>Calc!G8</f>
        <v/>
      </c>
      <c r="H2145">
        <f>Calc!H8</f>
        <v/>
      </c>
      <c r="I2145">
        <f>IF(Skills!T8&lt;&gt;"",1+(Skills!T8/10)*(Z2140/1000)/100,1)</f>
        <v/>
      </c>
      <c r="J2145">
        <f>((Inputs!$B$6*(1+Inputs!$B$7/100))+(((Inputs!$B$12*(1+Inputs!$B$13/100))-(Inputs!$B$12*(1+Inputs!$B$13/100)))+0.25*(Inputs!$B$14-Inputs!$B$14))*(1+Inputs!$B$7/100))*(F2145/100)</f>
        <v/>
      </c>
      <c r="K2145">
        <f>J2145*(1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2155-Calc!F18),(Inputs!$B$23+(IF(ArtifactsInput!$M$15,CHOOSE(ArtifactsInput!$N$15+1,25,30,35,40,45,50)/100*(Inputs!$B$11-Inputs!$B$11),0))))/100+(Inputs!$B$23+(IF(ArtifactsInput!$M$15,CHOOSE(ArtifactsInput!$N$15+1,25,30,35,40,45,50)/100*(Inputs!$B$11-Inputs!$B$11),0)))/100)/2</f>
        <v/>
      </c>
      <c r="M2145">
        <f>L2145*(1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IF(B2173=0,0,O2145/B2173)</f>
        <v/>
      </c>
      <c r="Q2145">
        <f>IFERROR(1/IF(Inputs!$B$38="pvp",15,MAX(0.1,Skills!D8-IF(Skills!E8=TRUE,Inputs!$B$32,0))),0)</f>
        <v/>
      </c>
      <c r="R2145">
        <f>IF(AND(Inputs!$B$38&lt;&gt;"pvp",Inputs!$B$43&gt;0),IF(MAX(0,Inputs!$B$43-B2170)&lt;=0,0,(INT(MAX(0,Inputs!$B$43-B2170)/IF(Inputs!$B$38="pvp",15,MAX(0.1,Skills!D8-IF(Skills!E8=TRUE,Inputs!$B$32,0))))+1)),0)</f>
        <v/>
      </c>
      <c r="S2145">
        <f>IF(C2145,(H2145*N2145*IF(AND(Inputs!$B$38&lt;&gt;"pvp",Inputs!$B$43&gt;0),((Skills!F8*((R2145-1)*IF(Skills!G8&gt;0,Skills!H8/Skills!G8,1)+IF(Skills!G8&gt;0,MIN(Skills!H8,MAX(0,MAX(0,Inputs!$B$43-B2170)-((R2145-1)*IF(Inputs!$B$38="pvp",15,MAX(0.1,Skills!D8-IF(Skills!E8=TRUE,Inputs!$B$32,0))))))/Skills!G8,1)))/Inputs!$B$43),G2145*Q2145))*IF(Inputs!$B$38="pvp",1,1+(Inputs!$B$20+Skills!O8+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F8*((R2145-1)*IF(Skills!G8&gt;0,Skills!H8/Skills!G8,1)+IF(Skills!G8&gt;0,MIN(Skills!H8,MAX(0,MAX(0,Inputs!$B$43-B2170)-((R2145-1)*IF(Inputs!$B$38="pvp",15,MAX(0.1,Skills!D8-IF(Skills!E8=TRUE,Inputs!$B$32,0))))))/Skills!G8,1)))/Inputs!$B$43),G2145*Q2145))*IF(Inputs!$B$38="pvp",1,(1+(Inputs!$B$21+Skills!P8+B2164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Skills!A9</f>
        <v/>
      </c>
      <c r="B2146">
        <f>Skills!B9</f>
        <v/>
      </c>
      <c r="C2146">
        <f>Inputs!$B$3&gt;=105</f>
        <v/>
      </c>
      <c r="D2146">
        <f>IF(Skills!C9=1,60+Inputs!$B$25+Inputs!$B$29,IF(Skills!C9=2,90+Inputs!$B$26+Inputs!$B$29,IF(Skills!C9=3,120+Inputs!$B$27+Inputs!$B$29,MAX(0,(Inputs!$B$3-100)*3)+Inputs!$B$28+Inputs!$B$29)))</f>
        <v/>
      </c>
      <c r="E2146">
        <f>INDEX(FactorTable!$B$2:$Y$301, MATCH(ROUND(MIN(300,MAX(1,D2146)),0), FactorTable!$A$2:$A$301,0), Skills!L9+1)</f>
        <v/>
      </c>
      <c r="F2146">
        <f>IF(Skills!M9=TRUE,(Skills!K9/10)*(E2146/1000),Skills!K9/10)+Skills!N9</f>
        <v/>
      </c>
      <c r="G2146">
        <f>Calc!G9</f>
        <v/>
      </c>
      <c r="H2146">
        <f>Calc!H9</f>
        <v/>
      </c>
      <c r="I2146">
        <f>IF(Skills!T9&lt;&gt;"",1+(Skills!T9/10)*(Z2140/1000)/100,1)</f>
        <v/>
      </c>
      <c r="J2146">
        <f>((Inputs!$B$6*(1+Inputs!$B$7/100))+(((Inputs!$B$12*(1+Inputs!$B$13/100))-(Inputs!$B$12*(1+Inputs!$B$13/100)))+0.25*(Inputs!$B$14-Inputs!$B$14))*(1+Inputs!$B$7/100))*(F2146/100)</f>
        <v/>
      </c>
      <c r="K2146">
        <f>J2146*(1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2155-Calc!F18),(Inputs!$B$23+(IF(ArtifactsInput!$M$15,CHOOSE(ArtifactsInput!$N$15+1,25,30,35,40,45,50)/100*(Inputs!$B$11-Inputs!$B$11),0))))/100+(Inputs!$B$23+(IF(ArtifactsInput!$M$15,CHOOSE(ArtifactsInput!$N$15+1,25,30,35,40,45,50)/100*(Inputs!$B$11-Inputs!$B$11),0)))/100)/2</f>
        <v/>
      </c>
      <c r="M2146">
        <f>L2146*(1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IF(B2173=0,0,O2146/B2173)</f>
        <v/>
      </c>
      <c r="Q2146">
        <f>IFERROR(1/IF(Inputs!$B$38="pvp",15,MAX(0.1,Skills!D9-IF(Skills!E9=TRUE,Inputs!$B$32,0))),0)</f>
        <v/>
      </c>
      <c r="R2146">
        <f>IF(AND(Inputs!$B$38&lt;&gt;"pvp",Inputs!$B$43&gt;0),IF(MAX(0,Inputs!$B$43-B2170)&lt;=0,0,(INT(MAX(0,Inputs!$B$43-B2170)/IF(Inputs!$B$38="pvp",15,MAX(0.1,Skills!D9-IF(Skills!E9=TRUE,Inputs!$B$32,0))))+1)),0)</f>
        <v/>
      </c>
      <c r="S2146">
        <f>IF(C2146,(H2146*N2146*IF(AND(Inputs!$B$38&lt;&gt;"pvp",Inputs!$B$43&gt;0),((Skills!F9*((R2146-1)*IF(Skills!G9&gt;0,Skills!H9/Skills!G9,1)+IF(Skills!G9&gt;0,MIN(Skills!H9,MAX(0,MAX(0,Inputs!$B$43-B2170)-((R2146-1)*IF(Inputs!$B$38="pvp",15,MAX(0.1,Skills!D9-IF(Skills!E9=TRUE,Inputs!$B$32,0))))))/Skills!G9,1)))/Inputs!$B$43),G2146*Q2146))*IF(Inputs!$B$38="pvp",1,1+(Inputs!$B$20+Skills!O9+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F9*((R2146-1)*IF(Skills!G9&gt;0,Skills!H9/Skills!G9,1)+IF(Skills!G9&gt;0,MIN(Skills!H9,MAX(0,MAX(0,Inputs!$B$43-B2170)-((R2146-1)*IF(Inputs!$B$38="pvp",15,MAX(0.1,Skills!D9-IF(Skills!E9=TRUE,Inputs!$B$32,0))))))/Skills!G9,1)))/Inputs!$B$43),G2146*Q2146))*IF(Inputs!$B$38="pvp",1,(1+(Inputs!$B$21+Skills!P9+B2164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Skills!A10</f>
        <v/>
      </c>
      <c r="B2147">
        <f>Skills!B10</f>
        <v/>
      </c>
      <c r="C2147">
        <f>Inputs!$B$3&gt;=113</f>
        <v/>
      </c>
      <c r="D2147">
        <f>IF(Skills!C10=1,60+Inputs!$B$25+Inputs!$B$29,IF(Skills!C10=2,90+Inputs!$B$26+Inputs!$B$29,IF(Skills!C10=3,120+Inputs!$B$27+Inputs!$B$29,MAX(0,(Inputs!$B$3-100)*3)+Inputs!$B$28+Inputs!$B$29)))</f>
        <v/>
      </c>
      <c r="E2147">
        <f>INDEX(FactorTable!$B$2:$Y$301, MATCH(ROUND(MIN(300,MAX(1,D2147)),0), FactorTable!$A$2:$A$301,0), Skills!L10+1)</f>
        <v/>
      </c>
      <c r="F2147">
        <f>IF(Skills!M10=TRUE,(Skills!K10/10)*(E2147/1000),Skills!K10/10)+Skills!N10</f>
        <v/>
      </c>
      <c r="G2147">
        <f>Calc!G10</f>
        <v/>
      </c>
      <c r="H2147">
        <f>Calc!H10</f>
        <v/>
      </c>
      <c r="I2147">
        <f>IF(Skills!T10&lt;&gt;"",1+(Skills!T10/10)*(Z2140/1000)/100,1)</f>
        <v/>
      </c>
      <c r="J2147">
        <f>((Inputs!$B$6*(1+Inputs!$B$7/100))+(((Inputs!$B$12*(1+Inputs!$B$13/100))-(Inputs!$B$12*(1+Inputs!$B$13/100)))+0.25*(Inputs!$B$14-Inputs!$B$14))*(1+Inputs!$B$7/100))*(F2147/100)</f>
        <v/>
      </c>
      <c r="K2147">
        <f>J2147*(1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2155-Calc!F18),(Inputs!$B$23+(IF(ArtifactsInput!$M$15,CHOOSE(ArtifactsInput!$N$15+1,25,30,35,40,45,50)/100*(Inputs!$B$11-Inputs!$B$11),0))))/100+(Inputs!$B$23+(IF(ArtifactsInput!$M$15,CHOOSE(ArtifactsInput!$N$15+1,25,30,35,40,45,50)/100*(Inputs!$B$11-Inputs!$B$11),0)))/100)/2</f>
        <v/>
      </c>
      <c r="M2147">
        <f>L2147*(1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IF(B2173=0,0,O2147/B2173)</f>
        <v/>
      </c>
      <c r="Q2147">
        <f>IFERROR(1/IF(Inputs!$B$38="pvp",15,MAX(0.1,Skills!D10-IF(Skills!E9=TRUE,Inputs!$B$32,0))),0)</f>
        <v/>
      </c>
      <c r="R2147">
        <f>IF(AND(Inputs!$B$38&lt;&gt;"pvp",Inputs!$B$43&gt;0),IF(MAX(0,Inputs!$B$43-B2170)&lt;=0,0,(INT(MAX(0,Inputs!$B$43-B2170)/IF(Inputs!$B$38="pvp",15,MAX(0.1,Skills!D10-IF(Skills!E9=TRUE,Inputs!$B$32,0))))+1)),0)</f>
        <v/>
      </c>
      <c r="S2147">
        <f>IF(C2147,(H2147*N2147*IF(AND(Inputs!$B$38&lt;&gt;"pvp",Inputs!$B$43&gt;0),((Skills!F10*((R2147-1)*IF(Skills!G10&gt;0,Skills!H10/Skills!G10,1)+IF(Skills!G10&gt;0,MIN(Skills!H10,MAX(0,MAX(0,Inputs!$B$43-B2170)-((R2147-1)*IF(Inputs!$B$38="pvp",15,MAX(0.1,Skills!D10-IF(Skills!E9=TRUE,Inputs!$B$32,0))))))/Skills!G10,1)))/Inputs!$B$43),G2147*Q2147))*IF(Inputs!$B$38="pvp",1,1+(Inputs!$B$20+Skills!O10+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F10*((R2147-1)*IF(Skills!G10&gt;0,Skills!H10/Skills!G10,1)+IF(Skills!G10&gt;0,MIN(Skills!H10,MAX(0,MAX(0,Inputs!$B$43-B2170)-((R2147-1)*IF(Inputs!$B$38="pvp",15,MAX(0.1,Skills!D10-IF(Skills!E9=TRUE,Inputs!$B$32,0))))))/Skills!G10,1)))/Inputs!$B$43),G2147*Q2147))*IF(Inputs!$B$38="pvp",1,(1+(Inputs!$B$21+Skills!P10+B2164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Skills!A11</f>
        <v/>
      </c>
      <c r="B2148">
        <f>Skills!B11</f>
        <v/>
      </c>
      <c r="C2148">
        <f>Inputs!$B$3&gt;=107</f>
        <v/>
      </c>
      <c r="D2148">
        <f>IF(Skills!C11=1,60+Inputs!$B$25+Inputs!$B$29,IF(Skills!C11=2,90+Inputs!$B$26+Inputs!$B$29,IF(Skills!C11=3,120+Inputs!$B$27+Inputs!$B$29,MAX(0,(Inputs!$B$3-100)*3)+Inputs!$B$28+Inputs!$B$29)))</f>
        <v/>
      </c>
      <c r="E2148">
        <f>INDEX(FactorTable!$B$2:$Y$301, MATCH(ROUND(MIN(300,MAX(1,D2148)),0), FactorTable!$A$2:$A$301,0), Skills!L11+1)</f>
        <v/>
      </c>
      <c r="F2148">
        <f>IF(Skills!M11=TRUE,(Skills!K11/10)*(E2148/1000),Skills!K11/10)+Skills!N11</f>
        <v/>
      </c>
      <c r="G2148">
        <f>Calc!G11</f>
        <v/>
      </c>
      <c r="H2148">
        <f>Calc!H11</f>
        <v/>
      </c>
      <c r="I2148">
        <f>IF(Skills!T11&lt;&gt;"",1+(Skills!T11/10)*(Z2140/1000)/100,1)</f>
        <v/>
      </c>
      <c r="J2148">
        <f>((Inputs!$B$6*(1+Inputs!$B$7/100))+(((Inputs!$B$12*(1+Inputs!$B$13/100))-(Inputs!$B$12*(1+Inputs!$B$13/100)))+0.25*(Inputs!$B$14-Inputs!$B$14))*(1+Inputs!$B$7/100))*(F2148/100)</f>
        <v/>
      </c>
      <c r="K2148">
        <f>J2148*(1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2155-Calc!F18),(Inputs!$B$23+(IF(ArtifactsInput!$M$15,CHOOSE(ArtifactsInput!$N$15+1,25,30,35,40,45,50)/100*(Inputs!$B$11-Inputs!$B$11),0))))/100+(Inputs!$B$23+(IF(ArtifactsInput!$M$15,CHOOSE(ArtifactsInput!$N$15+1,25,30,35,40,45,50)/100*(Inputs!$B$11-Inputs!$B$11),0)))/100)/2</f>
        <v/>
      </c>
      <c r="M2148">
        <f>L2148*(1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IF(B2173=0,0,O2148/B2173)</f>
        <v/>
      </c>
      <c r="Q2148">
        <f>IFERROR(1/IF(Inputs!$B$38="pvp",15,MAX(0.1,Skills!D11-IF(Skills!E11=TRUE,Inputs!$B$32,0))),0)</f>
        <v/>
      </c>
      <c r="R2148">
        <f>IF(AND(Inputs!$B$38&lt;&gt;"pvp",Inputs!$B$43&gt;0),IF(MAX(0,Inputs!$B$43-B2170)&lt;=0,0,(INT(MAX(0,Inputs!$B$43-B2170)/IF(Inputs!$B$38="pvp",15,MAX(0.1,Skills!D11-IF(Skills!E11=TRUE,Inputs!$B$32,0))))+1)),0)</f>
        <v/>
      </c>
      <c r="S2148">
        <f>IF(C2148,H2148*N2148*IF(AND(Inputs!$B$38&lt;&gt;"pvp",Inputs!$B$43&gt;0),((Skills!F11*((R2148-1)*IF(Skills!G11&gt;0,Skills!H11/Skills!G11,1)+IF(Skills!G11&gt;0,MIN(Skills!H11,MAX(0,MAX(0,Inputs!$B$43-B2170)-((R2148-1)*IF(Inputs!$B$38="pvp",15,MAX(0.1,Skills!D11-IF(Skills!E11=TRUE,Inputs!$B$32,0))))))/Skills!G11,1)))/Inputs!$B$43),G2148*Q2148)*0.5*IF(Inputs!$B$38="pvp",1,1+(Inputs!$B$20+Skills!O11+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F11*((R2148-1)*IF(Skills!G11&gt;0,Skills!H11/Skills!G11,1)+IF(Skills!G11&gt;0,MIN(Skills!H11,MAX(0,MAX(0,Inputs!$B$43-B2170)-((R2148-1)*IF(Inputs!$B$38="pvp",15,MAX(0.1,Skills!D11-IF(Skills!E11=TRUE,Inputs!$B$32,0))))))/Skills!G11,1)))/Inputs!$B$43),G2148*Q2148)*1*IF(Inputs!$B$38="pvp",1,(1+(Inputs!$B$21+Skills!P11+B2164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Skills!A12</f>
        <v/>
      </c>
      <c r="B2149">
        <f>Skills!B12</f>
        <v/>
      </c>
      <c r="C2149">
        <f>Inputs!$B$3&gt;=115</f>
        <v/>
      </c>
      <c r="D2149">
        <f>IF(Skills!C12=1,60+Inputs!$B$25+Inputs!$B$29,IF(Skills!C12=2,90+Inputs!$B$26+Inputs!$B$29,IF(Skills!C12=3,120+Inputs!$B$27+Inputs!$B$29,MAX(0,(Inputs!$B$3-100)*3)+Inputs!$B$28+Inputs!$B$29)))</f>
        <v/>
      </c>
      <c r="E2149">
        <f>INDEX(FactorTable!$B$2:$Y$301, MATCH(ROUND(MIN(300,MAX(1,D2149)),0), FactorTable!$A$2:$A$301,0), Skills!L12+1)</f>
        <v/>
      </c>
      <c r="F2149">
        <f>IF(Skills!M12=TRUE,(Skills!K12/10)*(E2149/1000),Skills!K12/10)+Skills!N12</f>
        <v/>
      </c>
      <c r="G2149">
        <f>Calc!G12</f>
        <v/>
      </c>
      <c r="H2149">
        <f>Calc!H12</f>
        <v/>
      </c>
      <c r="I2149">
        <f>IF(Skills!T12&lt;&gt;"",1+(Skills!T12/10)*(Z2140/1000)/100,1)</f>
        <v/>
      </c>
      <c r="J2149">
        <f>((Inputs!$B$6*(1+Inputs!$B$7/100))+(((Inputs!$B$12*(1+Inputs!$B$13/100))-(Inputs!$B$12*(1+Inputs!$B$13/100)))+0.25*(Inputs!$B$14-Inputs!$B$14))*(1+Inputs!$B$7/100))*(F2149/100)</f>
        <v/>
      </c>
      <c r="K2149">
        <f>J2149*(1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F2155-Calc!F18),(Inputs!$B$23+(IF(ArtifactsInput!$M$15,CHOOSE(ArtifactsInput!$N$15+1,25,30,35,40,45,50)/100*(Inputs!$B$11-Inputs!$B$11),0))))/100+(Inputs!$B$23+(IF(ArtifactsInput!$M$15,CHOOSE(ArtifactsInput!$N$15+1,25,30,35,40,45,50)/100*(Inputs!$B$11-Inputs!$B$11),0)))/100)/2</f>
        <v/>
      </c>
      <c r="M2149">
        <f>L2149*(1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(1-Summary!$B$11)*S2149+Summary!$B$11*U2149</f>
        <v/>
      </c>
      <c r="P2149">
        <f>IF(B2173=0,0,O2149/B2173)</f>
        <v/>
      </c>
      <c r="Q2149">
        <f>IFERROR(1/IF(Inputs!$B$38="pvp",15,MAX(0.1,Skills!D12-IF(Skills!E12=TRUE,Inputs!$B$32,0))),0)</f>
        <v/>
      </c>
      <c r="R2149">
        <f>IF(AND(Inputs!$B$38&lt;&gt;"pvp",Inputs!$B$43&gt;0),IF(MAX(0,Inputs!$B$43-B2170)&lt;=0,0,(INT(MAX(0,Inputs!$B$43-B2170)/IF(Inputs!$B$38="pvp",15,MAX(0.1,Skills!D12-IF(Skills!E12=TRUE,Inputs!$B$32,0))))+1)),0)</f>
        <v/>
      </c>
      <c r="S2149">
        <f>IF(C2149,(H2149*N2149*IF(AND(Inputs!$B$38&lt;&gt;"pvp",Inputs!$B$43&gt;0),((Skills!F12*((R2149-1)*IF(Skills!G12&gt;0,Skills!H12/Skills!G12,1)+IF(Skills!G12&gt;0,MIN(Skills!H12,MAX(0,MAX(0,Inputs!$B$43-B2170)-((R2149-1)*IF(Inputs!$B$38="pvp",15,MAX(0.1,Skills!D12-IF(Skills!E12=TRUE,Inputs!$B$32,0))))))/Skills!G12,1)))/Inputs!$B$43),G2149*Q2149))*IF(Inputs!$B$38="pvp",1,1+(Inputs!$B$20+Skills!O12+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9">
        <f>IF(C2149,(H2149*N2149*IF(AND(Inputs!$B$38&lt;&gt;"pvp",Inputs!$B$43&gt;0),((Skills!F12*((R2149-1)*IF(Skills!G12&gt;0,Skills!H12/Skills!G12,1)+IF(Skills!G12&gt;0,MIN(Skills!H12,MAX(0,MAX(0,Inputs!$B$43-B2170)-((R2149-1)*IF(Inputs!$B$38="pvp",15,MAX(0.1,Skills!D12-IF(Skills!E12=TRUE,Inputs!$B$32,0))))))/Skills!G12,1)))/Inputs!$B$43),G2149*Q2149))*IF(Inputs!$B$38="pvp",1,(1+(Inputs!$B$21+Skills!P12+B2164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Skills!A13</f>
        <v/>
      </c>
      <c r="B2150">
        <f>Skills!B13</f>
        <v/>
      </c>
      <c r="C2150">
        <f>Inputs!$B$3&gt;=49</f>
        <v/>
      </c>
      <c r="D2150">
        <f>IF(Skills!C13=1,60+Inputs!$B$25+Inputs!$B$29,IF(Skills!C13=2,90+Inputs!$B$26+Inputs!$B$29,IF(Skills!C13=3,120+Inputs!$B$27+Inputs!$B$29,MAX(0,(Inputs!$B$3-100)*3)+Inputs!$B$28+Inputs!$B$29)))</f>
        <v/>
      </c>
      <c r="E2150">
        <f>INDEX(FactorTable!$B$2:$Y$301, MATCH(ROUND(MIN(300,MAX(1,D2150)),0), FactorTable!$A$2:$A$301,0), Skills!L13+1)</f>
        <v/>
      </c>
      <c r="F2150">
        <f>IF(Skills!M13=TRUE,(Skills!K13/10)*(E2150/1000),Skills!K13/10)+Skills!N13</f>
        <v/>
      </c>
      <c r="G2150">
        <f>Calc!G13</f>
        <v/>
      </c>
      <c r="H2150">
        <f>Calc!H13</f>
        <v/>
      </c>
      <c r="I2150">
        <f>IF(Skills!T13&lt;&gt;"",1+(Skills!T13/10)*(Z2140/1000)/100,1)</f>
        <v/>
      </c>
      <c r="J2150" t="inlineStr"/>
      <c r="K2150" t="inlineStr"/>
      <c r="L2150" t="inlineStr"/>
      <c r="M2150" t="inlineStr"/>
      <c r="N2150" t="inlineStr"/>
      <c r="O2150">
        <f>(1-Summary!$B$11)*S2150+Summary!$B$11*U2150</f>
        <v/>
      </c>
      <c r="P2150">
        <f>IF(B2173=0,0,O2150/B2173)</f>
        <v/>
      </c>
      <c r="Q2150">
        <f>IFERROR(1/IF(Inputs!$B$38="pvp",15,MAX(0.1,Skills!D13-IF(Skills!E13=TRUE,Inputs!$B$32,0))),0)</f>
        <v/>
      </c>
      <c r="R2150" t="n">
        <v>0</v>
      </c>
      <c r="S2150" t="n">
        <v>0</v>
      </c>
      <c r="U2150" t="n">
        <v>0</v>
      </c>
    </row>
    <row r="2151">
      <c r="A2151">
        <f>Skills!A14</f>
        <v/>
      </c>
      <c r="B2151">
        <f>Skills!B14</f>
        <v/>
      </c>
      <c r="C2151">
        <f>Inputs!$B$3&gt;=72</f>
        <v/>
      </c>
      <c r="D2151">
        <f>IF(Skills!C14=1,60+Inputs!$B$25+Inputs!$B$29,IF(Skills!C14=2,90+Inputs!$B$26+Inputs!$B$29,IF(Skills!C14=3,120+Inputs!$B$27+Inputs!$B$29,MAX(0,(Inputs!$B$3-100)*3)+Inputs!$B$28+Inputs!$B$29)))</f>
        <v/>
      </c>
      <c r="E2151">
        <f>INDEX(FactorTable!$B$2:$Y$301, MATCH(ROUND(MIN(300,MAX(1,D2151)),0), FactorTable!$A$2:$A$301,0), Skills!L14+1)</f>
        <v/>
      </c>
      <c r="F2151">
        <f>IF(Skills!M14=TRUE,(Skills!K14/10)*(E2151/1000),Skills!K14/10)+Skills!N14</f>
        <v/>
      </c>
      <c r="G2151">
        <f>Calc!G14</f>
        <v/>
      </c>
      <c r="H2151">
        <f>Calc!H14</f>
        <v/>
      </c>
      <c r="I2151">
        <f>IF(Skills!T14&lt;&gt;"",1+(Skills!T14/10)*(Z2140/1000)/100,1)</f>
        <v/>
      </c>
      <c r="J2151" t="inlineStr"/>
      <c r="K2151" t="inlineStr"/>
      <c r="L2151" t="inlineStr"/>
      <c r="M2151" t="inlineStr"/>
      <c r="N2151" t="inlineStr"/>
      <c r="O2151">
        <f>(1-Summary!$B$11)*S2151+Summary!$B$11*U2151</f>
        <v/>
      </c>
      <c r="P2151">
        <f>IF(B2173=0,0,O2151/B2173)</f>
        <v/>
      </c>
      <c r="Q2151">
        <f>IFERROR(1/IF(Inputs!$B$38="pvp",15,MAX(0.1,Skills!D14-IF(Skills!E14=TRUE,Inputs!$B$32,0))),0)</f>
        <v/>
      </c>
      <c r="R2151" t="n">
        <v>0</v>
      </c>
      <c r="S2151" t="n">
        <v>0</v>
      </c>
      <c r="U2151" t="n">
        <v>0</v>
      </c>
    </row>
    <row r="2152">
      <c r="A2152">
        <f>Skills!A15</f>
        <v/>
      </c>
      <c r="B2152">
        <f>Skills!B15</f>
        <v/>
      </c>
      <c r="C2152">
        <f>Inputs!$B$3&gt;=75</f>
        <v/>
      </c>
      <c r="D2152">
        <f>IF(Skills!C15=1,60+Inputs!$B$25+Inputs!$B$29,IF(Skills!C15=2,90+Inputs!$B$26+Inputs!$B$29,IF(Skills!C15=3,120+Inputs!$B$27+Inputs!$B$29,MAX(0,(Inputs!$B$3-100)*3)+Inputs!$B$28+Inputs!$B$29)))</f>
        <v/>
      </c>
      <c r="E2152">
        <f>INDEX(FactorTable!$B$2:$Y$301, MATCH(ROUND(MIN(300,MAX(1,D2152)),0), FactorTable!$A$2:$A$301,0), Skills!L15+1)</f>
        <v/>
      </c>
      <c r="F2152">
        <f>IF(Skills!M15=TRUE,(Skills!K15/10)*(E2152/1000),Skills!K15/10)+Skills!N15</f>
        <v/>
      </c>
      <c r="G2152">
        <f>Calc!G15</f>
        <v/>
      </c>
      <c r="H2152">
        <f>Calc!H15</f>
        <v/>
      </c>
      <c r="I2152">
        <f>IF(Skills!T15&lt;&gt;"",1+(Skills!T15/10)*(Z2140/1000)/100,1)</f>
        <v/>
      </c>
      <c r="J2152" t="inlineStr"/>
      <c r="K2152" t="inlineStr"/>
      <c r="L2152" t="inlineStr"/>
      <c r="M2152" t="inlineStr"/>
      <c r="N2152" t="inlineStr"/>
      <c r="O2152">
        <f>(1-Summary!$B$11)*S2152+Summary!$B$11*U2152</f>
        <v/>
      </c>
      <c r="P2152">
        <f>IF(B2173=0,0,O2152/B2173)</f>
        <v/>
      </c>
      <c r="Q2152">
        <f>IFERROR(1/IF(Inputs!$B$38="pvp",15,MAX(0.1,Skills!D15-IF(Skills!E15=TRUE,Inputs!$B$32,0))),0)</f>
        <v/>
      </c>
      <c r="R2152" t="n">
        <v>0</v>
      </c>
      <c r="S2152" t="n">
        <v>0</v>
      </c>
      <c r="U2152" t="n">
        <v>0</v>
      </c>
    </row>
    <row r="2153">
      <c r="A2153">
        <f>Skills!A16</f>
        <v/>
      </c>
      <c r="B2153">
        <f>Skills!B16</f>
        <v/>
      </c>
      <c r="C2153">
        <f>Inputs!$B$3&gt;=110</f>
        <v/>
      </c>
      <c r="D2153">
        <f>IF(Skills!C16=1,60+Inputs!$B$25+Inputs!$B$29,IF(Skills!C16=2,90+Inputs!$B$26+Inputs!$B$29,IF(Skills!C16=3,120+Inputs!$B$27+Inputs!$B$29,MAX(0,(Inputs!$B$3-100)*3)+Inputs!$B$28+Inputs!$B$29)))</f>
        <v/>
      </c>
      <c r="E2153">
        <f>INDEX(FactorTable!$B$2:$Y$301, MATCH(ROUND(MIN(300,MAX(1,D2153)),0), FactorTable!$A$2:$A$301,0), Skills!L16+1)</f>
        <v/>
      </c>
      <c r="F2153">
        <f>(Skills!K16/10)*(E2153/1000)*64/45+Skills!N16</f>
        <v/>
      </c>
      <c r="G2153">
        <f>Calc!G16</f>
        <v/>
      </c>
      <c r="H2153">
        <f>Calc!H16</f>
        <v/>
      </c>
      <c r="I2153">
        <f>IF(Skills!T16&lt;&gt;"",1+(Skills!T16/10)*(Z2140/1000)/100,1)</f>
        <v/>
      </c>
      <c r="J2153" t="inlineStr"/>
      <c r="K2153" t="inlineStr"/>
      <c r="L2153" t="inlineStr"/>
      <c r="M2153" t="inlineStr"/>
      <c r="N2153" t="inlineStr"/>
      <c r="O2153">
        <f>(1-Summary!$B$11)*S2153+Summary!$B$11*U2153</f>
        <v/>
      </c>
      <c r="P2153">
        <f>IF(B2173=0,0,O2153/B2173)</f>
        <v/>
      </c>
      <c r="Q2153">
        <f>IFERROR(1/IF(Inputs!$B$38="pvp",15,MAX(0.1,Skills!D16-IF(Skills!E16=TRUE,Inputs!$B$32,0))),0)</f>
        <v/>
      </c>
      <c r="R2153">
        <f>IF(AND(Inputs!$B$38&lt;&gt;"pvp",Inputs!$B$43&gt;0),IF(Inputs!$B$43&lt;=0,0,(INT(Inputs!$B$43/IF(Inputs!$B$38="pvp",15,MAX(0.1,Skills!D16-IF(Skills!E16=TRUE,Inputs!$B$32,0))))+1)),0)</f>
        <v/>
      </c>
      <c r="S2153" t="n">
        <v>0</v>
      </c>
      <c r="U2153" t="n">
        <v>0</v>
      </c>
    </row>
    <row r="2154">
      <c r="A2154">
        <f>Skills!A17</f>
        <v/>
      </c>
      <c r="B2154">
        <f>Skills!B17</f>
        <v/>
      </c>
      <c r="C2154">
        <f>Inputs!$B$3&gt;=33</f>
        <v/>
      </c>
      <c r="D2154">
        <f>IF(Skills!C17=1,60+Inputs!$B$25+Inputs!$B$29,IF(Skills!C17=2,90+Inputs!$B$26+Inputs!$B$29,IF(Skills!C17=3,120+Inputs!$B$27+Inputs!$B$29,MAX(0,(Inputs!$B$3-100)*3)+Inputs!$B$28+Inputs!$B$29)))</f>
        <v/>
      </c>
      <c r="E2154">
        <f>INDEX(FactorTable!$B$2:$Y$301, MATCH(ROUND(MIN(300,MAX(1,D2154)),0), FactorTable!$A$2:$A$301,0), Skills!L17+1)</f>
        <v/>
      </c>
      <c r="F2154">
        <f>IF(Skills!M17=TRUE,(Skills!K17/10)*(E2154/1000),Skills!K17/10)+Skills!N17</f>
        <v/>
      </c>
      <c r="G2154">
        <f>Calc!G17</f>
        <v/>
      </c>
      <c r="H2154">
        <f>Calc!H17</f>
        <v/>
      </c>
      <c r="I2154">
        <f>IF(Skills!T17&lt;&gt;"",1+(Skills!T17/10)*(Z2140/1000)/100,1)</f>
        <v/>
      </c>
      <c r="J2154" t="inlineStr"/>
      <c r="K2154" t="inlineStr"/>
      <c r="L2154" t="inlineStr"/>
      <c r="M2154" t="inlineStr"/>
      <c r="N2154" t="inlineStr"/>
      <c r="O2154">
        <f>(1-Summary!$B$11)*S2154+Summary!$B$11*U2154</f>
        <v/>
      </c>
      <c r="P2154">
        <f>IF(B2173=0,0,O2154/B2173)</f>
        <v/>
      </c>
      <c r="Q2154">
        <f>IFERROR(1/IF(Inputs!$B$38="pvp",15,MAX(0.1,Skills!D17-IF(Skills!E17=TRUE,Inputs!$B$32,0))),0)</f>
        <v/>
      </c>
      <c r="R2154" t="n">
        <v>0</v>
      </c>
      <c r="S2154" t="n">
        <v>0</v>
      </c>
      <c r="U2154" t="n">
        <v>0</v>
      </c>
    </row>
    <row r="2155">
      <c r="A2155">
        <f>Skills!A18</f>
        <v/>
      </c>
      <c r="B2155">
        <f>Skills!B18</f>
        <v/>
      </c>
      <c r="C2155">
        <f>Inputs!$B$3&gt;=43</f>
        <v/>
      </c>
      <c r="D2155">
        <f>IF(Skills!C18=1,60+Inputs!$B$25+Inputs!$B$29,IF(Skills!C18=2,90+Inputs!$B$26+Inputs!$B$29,IF(Skills!C18=3,120+Inputs!$B$27+Inputs!$B$29,MAX(0,(Inputs!$B$3-100)*3)+Inputs!$B$28+Inputs!$B$29)))</f>
        <v/>
      </c>
      <c r="E2155">
        <f>INDEX(FactorTable!$B$2:$Y$301, MATCH(ROUND(MIN(300,MAX(1,D2155)),0), FactorTable!$A$2:$A$301,0), Skills!L18+1)</f>
        <v/>
      </c>
      <c r="F2155">
        <f>IF(Skills!M18=TRUE,(Skills!K18/10)*(E2155/1000),Skills!K18/10)+Skills!N18</f>
        <v/>
      </c>
      <c r="G2155">
        <f>Calc!G18</f>
        <v/>
      </c>
      <c r="H2155">
        <f>Calc!H18</f>
        <v/>
      </c>
      <c r="I2155">
        <f>IF(Skills!T18&lt;&gt;"",1+(Skills!T18/10)*(Z2140/1000)/100,1)</f>
        <v/>
      </c>
      <c r="J2155" t="inlineStr"/>
      <c r="K2155" t="inlineStr"/>
      <c r="L2155" t="inlineStr"/>
      <c r="M2155" t="inlineStr"/>
      <c r="N2155" t="inlineStr"/>
      <c r="O2155">
        <f>(1-Summary!$B$11)*S2155+Summary!$B$11*U2155</f>
        <v/>
      </c>
      <c r="P2155">
        <f>IF(B2173=0,0,O2155/B2173)</f>
        <v/>
      </c>
      <c r="Q2155">
        <f>IFERROR(1/IF(Inputs!$B$38="pvp",15,MAX(0.1,Skills!D18-IF(Skills!E18=TRUE,Inputs!$B$32,0))),0)</f>
        <v/>
      </c>
      <c r="R2155" t="n">
        <v>0</v>
      </c>
      <c r="S2155" t="n">
        <v>0</v>
      </c>
      <c r="U2155" t="n">
        <v>0</v>
      </c>
    </row>
    <row r="2156">
      <c r="A2156">
        <f>Skills!A19</f>
        <v/>
      </c>
      <c r="B2156">
        <f>Skills!B19</f>
        <v/>
      </c>
      <c r="C2156">
        <f>Inputs!$B$3&gt;=50</f>
        <v/>
      </c>
      <c r="D2156">
        <f>IF(Skills!C19=1,60+Inputs!$B$25+Inputs!$B$29,IF(Skills!C19=2,90+Inputs!$B$26+Inputs!$B$29,IF(Skills!C19=3,120+Inputs!$B$27+Inputs!$B$29,MAX(0,(Inputs!$B$3-100)*3)+Inputs!$B$28+Inputs!$B$29)))</f>
        <v/>
      </c>
      <c r="E2156">
        <f>INDEX(FactorTable!$B$2:$Y$301, MATCH(ROUND(MIN(300,MAX(1,D2156)),0), FactorTable!$A$2:$A$301,0), Skills!L19+1)</f>
        <v/>
      </c>
      <c r="F2156">
        <f>IF(Skills!M19=TRUE,(Skills!K19/10)*(E2156/1000),Skills!K19/10)+Skills!N19</f>
        <v/>
      </c>
      <c r="G2156">
        <f>Calc!G19</f>
        <v/>
      </c>
      <c r="H2156">
        <f>Calc!H19</f>
        <v/>
      </c>
      <c r="I2156">
        <f>IF(Skills!T19&lt;&gt;"",1+(Skills!T19/10)*(Z2140/1000)/100,1)</f>
        <v/>
      </c>
      <c r="J2156" t="inlineStr"/>
      <c r="K2156" t="inlineStr"/>
      <c r="L2156" t="inlineStr"/>
      <c r="M2156" t="inlineStr"/>
      <c r="N2156" t="inlineStr"/>
      <c r="O2156">
        <f>(1-Summary!$B$11)*S2156+Summary!$B$11*U2156</f>
        <v/>
      </c>
      <c r="P2156">
        <f>IF(B2173=0,0,O2156/B2173)</f>
        <v/>
      </c>
      <c r="Q2156">
        <f>IFERROR(1/IF(Inputs!$B$38="pvp",15,MAX(0.1,Skills!D19-IF(Skills!E19=TRUE,Inputs!$B$32,0))),0)</f>
        <v/>
      </c>
      <c r="R2156" t="n">
        <v>0</v>
      </c>
      <c r="S2156" t="n">
        <v>0</v>
      </c>
      <c r="U2156" t="n">
        <v>0</v>
      </c>
    </row>
    <row r="2157">
      <c r="A2157">
        <f>Skills!A20</f>
        <v/>
      </c>
      <c r="B2157">
        <f>Skills!B20</f>
        <v/>
      </c>
      <c r="C2157">
        <f>Inputs!$B$3&gt;=74</f>
        <v/>
      </c>
      <c r="D2157">
        <f>IF(Skills!C20=1,60+Inputs!$B$25+Inputs!$B$29,IF(Skills!C20=2,90+Inputs!$B$26+Inputs!$B$29,IF(Skills!C20=3,120+Inputs!$B$27+Inputs!$B$29,MAX(0,(Inputs!$B$3-100)*3)+Inputs!$B$28+Inputs!$B$29)))</f>
        <v/>
      </c>
      <c r="E2157">
        <f>INDEX(FactorTable!$B$2:$Y$301, MATCH(ROUND(MIN(300,MAX(1,D2157)),0), FactorTable!$A$2:$A$301,0), Skills!L20+1)</f>
        <v/>
      </c>
      <c r="F2157">
        <f>IF(Skills!M20=TRUE,(Skills!K20/10)*(E2157/1000),Skills!K20/10)+Skills!N20</f>
        <v/>
      </c>
      <c r="G2157">
        <f>Calc!G20</f>
        <v/>
      </c>
      <c r="H2157">
        <f>Calc!H20</f>
        <v/>
      </c>
      <c r="I2157">
        <f>IF(Skills!T20&lt;&gt;"",1+(Skills!T20/10)*(Z2140/1000)/100,1)</f>
        <v/>
      </c>
      <c r="J2157" t="inlineStr"/>
      <c r="K2157" t="inlineStr"/>
      <c r="L2157" t="inlineStr"/>
      <c r="M2157" t="inlineStr"/>
      <c r="N2157" t="inlineStr"/>
      <c r="O2157">
        <f>(1-Summary!$B$11)*S2157+Summary!$B$11*U2157</f>
        <v/>
      </c>
      <c r="P2157">
        <f>IF(B2173=0,0,O2157/B2173)</f>
        <v/>
      </c>
      <c r="Q2157">
        <f>IFERROR(1/IF(Inputs!$B$38="pvp",15,MAX(0.1,Skills!D20-IF(Skills!E20=TRUE,Inputs!$B$32,0))),0)</f>
        <v/>
      </c>
      <c r="R2157" t="n">
        <v>0</v>
      </c>
      <c r="S2157" t="n">
        <v>0</v>
      </c>
      <c r="U2157" t="n">
        <v>0</v>
      </c>
    </row>
    <row r="2158">
      <c r="A2158">
        <f>Skills!A21</f>
        <v/>
      </c>
      <c r="B2158">
        <f>Skills!B21</f>
        <v/>
      </c>
      <c r="C2158">
        <f>Inputs!$B$3&gt;=74</f>
        <v/>
      </c>
      <c r="D2158">
        <f>IF(Skills!C21=1,60+Inputs!$B$25+Inputs!$B$29,IF(Skills!C21=2,90+Inputs!$B$26+Inputs!$B$29,IF(Skills!C21=3,120+Inputs!$B$27+Inputs!$B$29,MAX(0,(Inputs!$B$3-100)*3)+Inputs!$B$28+Inputs!$B$29)))</f>
        <v/>
      </c>
      <c r="E2158">
        <f>INDEX(FactorTable!$B$2:$Y$301, MATCH(ROUND(MIN(300,MAX(1,D2158)),0), FactorTable!$A$2:$A$301,0), Skills!L21+1)</f>
        <v/>
      </c>
      <c r="F2158">
        <f>IF(Skills!M21=TRUE,(Skills!K21/10)*(E2158/1000),Skills!K21/10)+Skills!N21</f>
        <v/>
      </c>
      <c r="G2158">
        <f>Calc!G21</f>
        <v/>
      </c>
      <c r="H2158">
        <f>Calc!H21</f>
        <v/>
      </c>
      <c r="I2158">
        <f>IF(Skills!T21&lt;&gt;"",1+(Skills!T21/10)*(Z2140/1000)/100,1)</f>
        <v/>
      </c>
      <c r="J2158" t="inlineStr"/>
      <c r="K2158" t="inlineStr"/>
      <c r="L2158" t="inlineStr"/>
      <c r="M2158" t="inlineStr"/>
      <c r="N2158" t="inlineStr"/>
      <c r="O2158">
        <f>(1-Summary!$B$11)*S2158+Summary!$B$11*U2158</f>
        <v/>
      </c>
      <c r="P2158">
        <f>IF(B2173=0,0,O2158/B2173)</f>
        <v/>
      </c>
      <c r="Q2158">
        <f>IFERROR(1/IF(Inputs!$B$38="pvp",15,MAX(0.1,Skills!D21-IF(Skills!E21=TRUE,Inputs!$B$32,0))),0)</f>
        <v/>
      </c>
      <c r="R2158" t="n">
        <v>0</v>
      </c>
      <c r="S2158" t="n">
        <v>0</v>
      </c>
      <c r="U2158" t="n">
        <v>0</v>
      </c>
    </row>
    <row r="2159">
      <c r="A2159">
        <f>Skills!A22</f>
        <v/>
      </c>
      <c r="B2159">
        <f>Skills!B22</f>
        <v/>
      </c>
      <c r="C2159">
        <f>Inputs!$B$3&gt;=117</f>
        <v/>
      </c>
      <c r="D2159">
        <f>IF(Skills!C22=1,60+Inputs!$B$25+Inputs!$B$29,IF(Skills!C22=2,90+Inputs!$B$26+Inputs!$B$29,IF(Skills!C22=3,120+Inputs!$B$27+Inputs!$B$29,MAX(0,(Inputs!$B$3-100)*3)+Inputs!$B$28+Inputs!$B$29)))</f>
        <v/>
      </c>
      <c r="E2159">
        <f>INDEX(FactorTable!$B$2:$Y$301, MATCH(ROUND(MIN(300,MAX(1,D2159)),0), FactorTable!$A$2:$A$301,0), Skills!L22+1)</f>
        <v/>
      </c>
      <c r="F2159">
        <f>IF(Skills!M22=TRUE,(Skills!K22/10)*(E2159/1000),Skills!K22/10)+Skills!N22</f>
        <v/>
      </c>
      <c r="G2159">
        <f>Calc!G22</f>
        <v/>
      </c>
      <c r="H2159">
        <f>Calc!H22</f>
        <v/>
      </c>
      <c r="I2159">
        <f>IF(Skills!T22&lt;&gt;"",1+(Skills!T22/10)*(Z2140/1000)/100,1)</f>
        <v/>
      </c>
      <c r="J2159" t="inlineStr"/>
      <c r="K2159" t="inlineStr"/>
      <c r="L2159" t="inlineStr"/>
      <c r="M2159" t="inlineStr"/>
      <c r="N2159" t="inlineStr"/>
      <c r="O2159">
        <f>(1-Summary!$B$11)*S2159+Summary!$B$11*U2159</f>
        <v/>
      </c>
      <c r="P2159">
        <f>IF(B2173=0,0,O2159/B2173)</f>
        <v/>
      </c>
      <c r="Q2159">
        <f>IFERROR(1/IF(Inputs!$B$38="pvp",15,MAX(0.1,Skills!D22-IF(Skills!E22=TRUE,Inputs!$B$32,0))),0)</f>
        <v/>
      </c>
      <c r="R2159" t="n">
        <v>0</v>
      </c>
      <c r="S2159" t="n">
        <v>0</v>
      </c>
      <c r="U2159" t="n">
        <v>0</v>
      </c>
    </row>
    <row r="2160">
      <c r="A2160">
        <f>Skills!A23</f>
        <v/>
      </c>
      <c r="B2160">
        <f>Skills!B23</f>
        <v/>
      </c>
      <c r="C2160">
        <f>Inputs!$B$3&gt;=120</f>
        <v/>
      </c>
      <c r="D2160">
        <f>IF(Skills!C23=1,60+Inputs!$B$25+Inputs!$B$29,IF(Skills!C23=2,90+Inputs!$B$26+Inputs!$B$29,IF(Skills!C23=3,120+Inputs!$B$27+Inputs!$B$29,MAX(0,(Inputs!$B$3-100)*3)+Inputs!$B$28+Inputs!$B$29)))</f>
        <v/>
      </c>
      <c r="E2160">
        <f>INDEX(FactorTable!$B$2:$Y$301, MATCH(ROUND(MIN(300,MAX(1,D2160)),0), FactorTable!$A$2:$A$301,0), Skills!L23+1)</f>
        <v/>
      </c>
      <c r="F2160">
        <f>IF(Skills!M23=TRUE,(Skills!K23/10)*(E2160/1000),Skills!K23/10)+Skills!N23</f>
        <v/>
      </c>
      <c r="G2160">
        <f>Calc!G23</f>
        <v/>
      </c>
      <c r="H2160">
        <f>Calc!H23</f>
        <v/>
      </c>
      <c r="I2160">
        <f>IF(Skills!T23&lt;&gt;"",1+(Skills!T23/10)*(Z2140/1000)/100,1)</f>
        <v/>
      </c>
      <c r="J2160" t="inlineStr"/>
      <c r="K2160" t="inlineStr"/>
      <c r="L2160" t="inlineStr"/>
      <c r="M2160" t="inlineStr"/>
      <c r="N2160" t="inlineStr"/>
      <c r="O2160">
        <f>(1-Summary!$B$11)*S2160+Summary!$B$11*U2160</f>
        <v/>
      </c>
      <c r="P2160">
        <f>IF(B2173=0,0,O2160/B2173)</f>
        <v/>
      </c>
      <c r="Q2160">
        <f>IFERROR(1/IF(Inputs!$B$38="pvp",15,MAX(0.1,Skills!D23-IF(Skills!E23=TRUE,Inputs!$B$32,0))),0)</f>
        <v/>
      </c>
      <c r="R2160" t="n">
        <v>0</v>
      </c>
      <c r="S2160" t="n">
        <v>0</v>
      </c>
      <c r="U2160" t="n">
        <v>0</v>
      </c>
    </row>
    <row r="2163">
      <c r="A2163" t="inlineStr">
        <is>
          <t>Average Buff Multiplier (Magic Guard + Meditation + Artifact Attack%, summed; then Infinity)</t>
        </is>
      </c>
      <c r="B2163">
        <f>(1+(IF(C2140=TRUE,F2140*IF(AND(Inputs!$B$38&lt;&gt;"pvp",Inputs!$B$43&gt;0),(((R2140-1)*(Skills!S3*(1+(Inputs!$B$34+IF(Inputs!$B$3&gt;=117,F2159,0))/100))+MIN((Skills!S3*(1+(Inputs!$B$34+IF(Inputs!$B$3&gt;=117,F2159,0))/100)),MAX(0,Inputs!$B$43-((R2140-1)*Skills!D3))))/Inputs!$B$43),IF(Inputs!$B$38="pvp",MIN((Skills!S3*(1+(Inputs!$B$34+IF(Inputs!$B$3&gt;=117,F2159,0))/100)),15)/15,(Skills!S3*(1+(Inputs!$B$34+IF(Inputs!$B$3&gt;=117,F2159,0))/100))/Skills!D3)),0)+IF(C2141=TRUE,F2141*IF(AND(Inputs!$B$38&lt;&gt;"pvp",Inputs!$B$43&gt;0),(((R2141-1)*(Skills!S4*(1+(Inputs!$B$34+IF(Inputs!$B$3&gt;=117,F2159,0))/100))+MIN((Skills!S4*(1+(Inputs!$B$34+IF(Inputs!$B$3&gt;=117,F2159,0))/100)),MAX(0,Inputs!$B$43-((R2141-1)*Skills!D4))))/Inputs!$B$43),IF(Inputs!$B$38="pvp",MIN((Skills!S4*(1+(Inputs!$B$34+IF(Inputs!$B$3&gt;=117,F2159,0))/100)),15)/15,(Skills!S4*(1+(Inputs!$B$34+IF(Inputs!$B$3&gt;=117,F2159,0)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2153=TRUE,(1+F2153*IF(AND(Inputs!$B$38&lt;&gt;"pvp",Inputs!$B$43&gt;0),(((R2153-1)*(Skills!S16*(1+(Inputs!$B$34+IF(Inputs!$B$3&gt;=117,F2159,0))/100))+MIN((Skills!S16*(1+(Inputs!$B$34+IF(Inputs!$B$3&gt;=117,F2159,0))/100)),MAX(0,Inputs!$B$43-((R2153-1)*Skills!D16))))/Inputs!$B$43),IF(Inputs!$B$38="pvp",MIN((Skills!S16*(1+(Inputs!$B$34+IF(Inputs!$B$3&gt;=117,F2159,0))/100)),15)/15,(Skills!S16*(1+(Inputs!$B$34+IF(Inputs!$B$3&gt;=117,F2159,0))/100))/Skills!D16))/100),1)</f>
        <v/>
      </c>
    </row>
    <row r="2164">
      <c r="A2164" t="inlineStr">
        <is>
          <t>Monster Damage Taken Bonus % (Freezing Breath - Weaken + Elemental Reset + Artifact Enemy Damage Taken, summed)</t>
        </is>
      </c>
      <c r="B2164">
        <f>IF(Inputs!$B$3&gt;=118,15*IF(Inputs!$B$38="pvp",MIN((30*(1+(Inputs!$B$34+IF(Inputs!$B$3&gt;=117,F2159,0))/100)),15)/15,(30*(1+(Inputs!$B$34+IF(Inputs!$B$3&gt;=117,F2159,0))/100))/Skills!D8),0)+IF(C2151=TRUE,F2151,0)+(IF(AND(IF(ArtifactsInput!$M$35,FALSE,TRUE),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f>
        <v/>
      </c>
    </row>
    <row r="2165">
      <c r="A2165" t="inlineStr">
        <is>
          <t>Damage % Bonus (Frozen Break + Frost Clutch, flat)</t>
        </is>
      </c>
      <c r="B2165">
        <f>IF(Inputs!$B$3&gt;=66,15,0)+IF(Inputs!$B$3&gt;=98,10,0)+IF(Inputs!$B$3&gt;=125,20,0)</f>
        <v/>
      </c>
    </row>
    <row r="2166">
      <c r="A2166" t="inlineStr">
        <is>
          <t>Attack Speed Bonus % (MP Eater - MP Boost, always-on once unlocked)</t>
        </is>
      </c>
      <c r="B2166">
        <f>IF(C2150=TRUE,F2150+(F2154-Calc!F17),0)</f>
        <v/>
      </c>
    </row>
    <row r="2167">
      <c r="A2167" t="inlineStr">
        <is>
          <t>Actions Per Second</t>
        </is>
      </c>
      <c r="B2167">
        <f>1+MIN(150,150*(1-(1-(Inputs!$B$11+(ArtifactsInput!$M$15-ArtifactsInput!$M$15)*CHOOSE(ArtifactsInput!$N$15+1,8,9.6,11.2,12.8,14.4,16))/150)*(1-B2166/150)))/100</f>
        <v/>
      </c>
    </row>
    <row r="2168">
      <c r="A2168" t="inlineStr">
        <is>
          <t>Skill + Buff Cast Rate</t>
        </is>
      </c>
      <c r="B2168">
        <f>IF(AND(Inputs!$B$38&lt;&gt;"pvp",Inputs!$B$43&gt;0),SUMPRODUCT((Skills!E2:E23=TRUE)*(C2139:C2160=TRUE)*R2139:R2160)/Inputs!$B$43,SUMPRODUCT((Skills!E2:E23=TRUE)*(C2139:C2160=TRUE)*Q2139:Q2160))</f>
        <v/>
      </c>
    </row>
    <row r="2169">
      <c r="A2169" t="inlineStr">
        <is>
          <t>Chain Lightning Casts Per Second</t>
        </is>
      </c>
      <c r="B2169">
        <f>MAX(0,B2167-B2168)</f>
        <v/>
      </c>
    </row>
    <row r="2170">
      <c r="A2170" t="inlineStr">
        <is>
          <t>Buff-Casting Startup Delay (s, fixed-duration only)</t>
        </is>
      </c>
      <c r="B2170">
        <f>IF(AND(Inputs!$B$38&lt;&gt;"pvp",Inputs!$B$43&gt;0),SUMPRODUCT((Skills!S2:S23&gt;0)*(Skills!E2:E23=TRUE)*(C2139:C2160=TRUE))/B2167,0)</f>
        <v/>
      </c>
    </row>
    <row r="2171">
      <c r="A2171" t="inlineStr">
        <is>
          <t>Boss-Only Total DPS (this block's swept value)</t>
        </is>
      </c>
      <c r="B2171">
        <f>SUM(S2139:S2160)</f>
        <v/>
      </c>
    </row>
    <row r="2172">
      <c r="A2172" t="inlineStr">
        <is>
          <t>Normal-Only Total DPS (this block's swept value)</t>
        </is>
      </c>
      <c r="B2172">
        <f>SUM(U2139:U2160)</f>
        <v/>
      </c>
    </row>
    <row r="2173">
      <c r="A2173" s="6" t="inlineStr">
        <is>
          <t>TOTAL DPS</t>
        </is>
      </c>
      <c r="B2173" s="6">
        <f>SUM(O2139:O2160)</f>
        <v/>
      </c>
    </row>
    <row r="2176">
      <c r="A2176" s="6" t="inlineStr">
        <is>
          <t>Stat: Candle (Equip)</t>
        </is>
      </c>
    </row>
    <row r="2177">
      <c r="A2177" s="5" t="inlineStr">
        <is>
          <t>Key</t>
        </is>
      </c>
      <c r="B2177" s="5" t="inlineStr">
        <is>
          <t>Name</t>
        </is>
      </c>
      <c r="C2177" s="5" t="inlineStr">
        <is>
          <t>Unlocked</t>
        </is>
      </c>
      <c r="D2177" s="5" t="inlineStr">
        <is>
          <t>InputLevel</t>
        </is>
      </c>
      <c r="E2177" s="5" t="inlineStr">
        <is>
          <t>Factor</t>
        </is>
      </c>
      <c r="F2177" s="5" t="inlineStr">
        <is>
          <t>CoefficientPercent</t>
        </is>
      </c>
      <c r="G2177" s="5" t="inlineStr">
        <is>
          <t>EffectiveHits</t>
        </is>
      </c>
      <c r="H2177" s="5" t="inlineStr">
        <is>
          <t>ProcProbability</t>
        </is>
      </c>
      <c r="I2177" s="5" t="inlineStr">
        <is>
          <t>MapleHeroMultiplier</t>
        </is>
      </c>
      <c r="J2177" s="5" t="inlineStr">
        <is>
          <t>BaseDamage</t>
        </is>
      </c>
      <c r="K2177" s="5" t="inlineStr">
        <is>
          <t>BaseHitDamage</t>
        </is>
      </c>
      <c r="L2177" s="5" t="inlineStr">
        <is>
          <t>NonCritAvg</t>
        </is>
      </c>
      <c r="M2177" s="5" t="inlineStr">
        <is>
          <t>CritAvg</t>
        </is>
      </c>
      <c r="N2177" s="5" t="inlineStr">
        <is>
          <t>ExpectedDamage(perHit)</t>
        </is>
      </c>
      <c r="O2177" s="5" t="inlineStr">
        <is>
          <t>DPS</t>
        </is>
      </c>
      <c r="P2177" s="5" t="inlineStr">
        <is>
          <t>% of Total</t>
        </is>
      </c>
      <c r="R2177" t="inlineStr">
        <is>
          <t>helpers</t>
        </is>
      </c>
    </row>
    <row r="2178">
      <c r="A2178">
        <f>Skills!A2</f>
        <v/>
      </c>
      <c r="B2178">
        <f>Skills!B2</f>
        <v/>
      </c>
      <c r="C2178">
        <f>Inputs!$B$3&gt;=100</f>
        <v/>
      </c>
      <c r="D2178" t="inlineStr"/>
      <c r="E2178" t="inlineStr"/>
      <c r="F2178">
        <f>T2180+Skills!N2</f>
        <v/>
      </c>
      <c r="G2178">
        <f>Calc!G2</f>
        <v/>
      </c>
      <c r="H2178">
        <f>Calc!H2</f>
        <v/>
      </c>
      <c r="I2178">
        <f>IF(Skills!T2&lt;&gt;"",1+(Skills!T2/10)*(Z2179/1000)/100,1)</f>
        <v/>
      </c>
      <c r="J2178">
        <f>((Inputs!$B$6*(1+Inputs!$B$7/100))+(((Inputs!$B$12*(1+Inputs!$B$13/100))-(Inputs!$B$12*(1+Inputs!$B$13/100)))+0.25*(Inputs!$B$14-Inputs!$B$14))*(1+Inputs!$B$7/100))*(F2178/100)</f>
        <v/>
      </c>
      <c r="K2178">
        <f>J2178*(1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2178)</f>
        <v/>
      </c>
      <c r="L2178">
        <f>K2178*(MIN(Inputs!$B$22+(F2194-Calc!F18),(Inputs!$B$23+(IF(ArtifactsInput!$M$15,CHOOSE(ArtifactsInput!$N$15+1,25,30,35,40,45,50)/100*(Inputs!$B$11-Inputs!$B$11),0))))/100+(Inputs!$B$23+(IF(ArtifactsInput!$M$15,CHOOSE(ArtifactsInput!$N$15+1,25,30,35,40,45,50)/100*(Inputs!$B$11-Inputs!$B$11),0)))/100)/2</f>
        <v/>
      </c>
      <c r="M2178">
        <f>L2178*(1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8">
        <f>L2178*(1-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(1-Summary!$B$11)*S2178+Summary!$B$11*U2178</f>
        <v/>
      </c>
      <c r="P2178">
        <f>IF(B2212=0,0,O2178/B2212)</f>
        <v/>
      </c>
      <c r="Q2178">
        <f>IFERROR(1/IF(Inputs!$B$38="pvp",15,MAX(0.1,Skills!D2-IF(Skills!E2=TRUE,Inputs!$B$32,0))),0)</f>
        <v/>
      </c>
      <c r="R2178" t="n">
        <v>0</v>
      </c>
      <c r="S2178">
        <f>IF(C2178,(Skills!F2*N2178*B2208)*IF(Inputs!$B$38="pvp",1,1+(Inputs!$B$20+Skills!O2+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78">
        <f>MAX(0,(Inputs!$B$3-100)*3)+Inputs!$B$28+Inputs!$B$29</f>
        <v/>
      </c>
      <c r="U2178">
        <f>IF(C2178,(Skills!F2*N2178*B2208)*IF(Inputs!$B$38="pvp",1,(1+(Inputs!$B$21+Skills!P2+B2203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78">
        <f>MAX(0,(Inputs!$B$3-100)*3)+Inputs!$B$28+Inputs!$B$29</f>
        <v/>
      </c>
    </row>
    <row r="2179">
      <c r="A2179">
        <f>Skills!A3</f>
        <v/>
      </c>
      <c r="B2179">
        <f>Skills!B3</f>
        <v/>
      </c>
      <c r="C2179">
        <f>Inputs!$B$3&gt;=15</f>
        <v/>
      </c>
      <c r="D2179">
        <f>IF(Skills!C3=1,60+Inputs!$B$25+Inputs!$B$29,IF(Skills!C3=2,90+Inputs!$B$26+Inputs!$B$29,IF(Skills!C3=3,120+Inputs!$B$27+Inputs!$B$29,MAX(0,(Inputs!$B$3-100)*3)+Inputs!$B$28+Inputs!$B$29)))</f>
        <v/>
      </c>
      <c r="E2179">
        <f>INDEX(FactorTable!$B$2:$Y$301, MATCH(ROUND(MIN(300,MAX(1,D2179)),0), FactorTable!$A$2:$A$301,0), Skills!L3+1)</f>
        <v/>
      </c>
      <c r="F2179">
        <f>IF(Skills!M3=TRUE,(Skills!K3/10)*(E2179/1000),Skills!K3/10)+Skills!N3</f>
        <v/>
      </c>
      <c r="G2179">
        <f>Calc!G3</f>
        <v/>
      </c>
      <c r="H2179">
        <f>Calc!H3</f>
        <v/>
      </c>
      <c r="I2179">
        <f>IF(Skills!T3&lt;&gt;"",1+(Skills!T3/10)*(Z2179/1000)/100,1)</f>
        <v/>
      </c>
      <c r="J2179" t="inlineStr"/>
      <c r="K2179" t="inlineStr"/>
      <c r="L2179" t="inlineStr"/>
      <c r="M2179" t="inlineStr"/>
      <c r="N2179" t="inlineStr"/>
      <c r="O2179">
        <f>(1-Summary!$B$11)*S2179+Summary!$B$11*U2179</f>
        <v/>
      </c>
      <c r="P2179">
        <f>IF(B2212=0,0,O2179/B2212)</f>
        <v/>
      </c>
      <c r="Q2179">
        <f>IFERROR(1/IF(Inputs!$B$38="pvp",15,MAX(0.1,Skills!D3-IF(Skills!E3=TRUE,Inputs!$B$32,0))),0)</f>
        <v/>
      </c>
      <c r="R2179">
        <f>IF(AND(Inputs!$B$38&lt;&gt;"pvp",Inputs!$B$43&gt;0),IF(Inputs!$B$43&lt;=0,0,(INT(Inputs!$B$43/IF(Inputs!$B$38="pvp",15,MAX(0.1,Skills!D3-IF(Skills!E3=TRUE,Inputs!$B$32,0))))+1)),0)</f>
        <v/>
      </c>
      <c r="S2179" t="n">
        <v>0</v>
      </c>
      <c r="T2179">
        <f>INDEX(FactorTable!$B$2:$Y$301, MATCH(ROUND(MIN(300,MAX(1,T2178)),0), FactorTable!$A$2:$A$301,0), 22)</f>
        <v/>
      </c>
      <c r="U2179" t="n">
        <v>0</v>
      </c>
      <c r="Z2179">
        <f>INDEX(FactorTable!$B$2:$Y$301, MATCH(ROUND(MIN(300,MAX(1,Z2178)),0), FactorTable!$A$2:$A$301,0), 24)</f>
        <v/>
      </c>
    </row>
    <row r="2180">
      <c r="A2180">
        <f>Skills!A4</f>
        <v/>
      </c>
      <c r="B2180">
        <f>Skills!B4</f>
        <v/>
      </c>
      <c r="C2180">
        <f>Inputs!$B$3&gt;=40</f>
        <v/>
      </c>
      <c r="D2180">
        <f>IF(Skills!C4=1,60+Inputs!$B$25+Inputs!$B$29,IF(Skills!C4=2,90+Inputs!$B$26+Inputs!$B$29,IF(Skills!C4=3,120+Inputs!$B$27+Inputs!$B$29,MAX(0,(Inputs!$B$3-100)*3)+Inputs!$B$28+Inputs!$B$29)))</f>
        <v/>
      </c>
      <c r="E2180">
        <f>INDEX(FactorTable!$B$2:$Y$301, MATCH(ROUND(MIN(300,MAX(1,D2180)),0), FactorTable!$A$2:$A$301,0), Skills!L4+1)</f>
        <v/>
      </c>
      <c r="F2180">
        <f>IF(Skills!M4=TRUE,(Skills!K4/10)*(E2180/1000),Skills!K4/10)+Skills!N4</f>
        <v/>
      </c>
      <c r="G2180">
        <f>Calc!G4</f>
        <v/>
      </c>
      <c r="H2180">
        <f>Calc!H4</f>
        <v/>
      </c>
      <c r="I2180">
        <f>IF(Skills!T4&lt;&gt;"",1+(Skills!T4/10)*(Z2179/1000)/100,1)</f>
        <v/>
      </c>
      <c r="J2180" t="inlineStr"/>
      <c r="K2180" t="inlineStr"/>
      <c r="L2180" t="inlineStr"/>
      <c r="M2180" t="inlineStr"/>
      <c r="N2180" t="inlineStr"/>
      <c r="O2180">
        <f>(1-Summary!$B$11)*S2180+Summary!$B$11*U2180</f>
        <v/>
      </c>
      <c r="P2180">
        <f>IF(B2212=0,0,O2180/B2212)</f>
        <v/>
      </c>
      <c r="Q2180">
        <f>IFERROR(1/IF(Inputs!$B$38="pvp",15,MAX(0.1,Skills!D4-IF(Skills!E4=TRUE,Inputs!$B$32,0))),0)</f>
        <v/>
      </c>
      <c r="R2180">
        <f>IF(AND(Inputs!$B$38&lt;&gt;"pvp",Inputs!$B$43&gt;0),IF(Inputs!$B$43&lt;=0,0,(INT(Inputs!$B$43/IF(Inputs!$B$38="pvp",15,MAX(0.1,Skills!D4-IF(Skills!E4=TRUE,Inputs!$B$32,0))))+1)),0)</f>
        <v/>
      </c>
      <c r="S2180" t="n">
        <v>0</v>
      </c>
      <c r="T2180">
        <f>290*T2179/1000</f>
        <v/>
      </c>
      <c r="U2180" t="n">
        <v>0</v>
      </c>
    </row>
    <row r="2181">
      <c r="A2181">
        <f>Skills!A5</f>
        <v/>
      </c>
      <c r="B2181">
        <f>Skills!B5</f>
        <v/>
      </c>
      <c r="C2181">
        <f>Inputs!$B$3&gt;=38</f>
        <v/>
      </c>
      <c r="D2181">
        <f>IF(Skills!C5=1,60+Inputs!$B$25+Inputs!$B$29,IF(Skills!C5=2,90+Inputs!$B$26+Inputs!$B$29,IF(Skills!C5=3,120+Inputs!$B$27+Inputs!$B$29,MAX(0,(Inputs!$B$3-100)*3)+Inputs!$B$28+Inputs!$B$29)))</f>
        <v/>
      </c>
      <c r="E2181">
        <f>INDEX(FactorTable!$B$2:$Y$301, MATCH(ROUND(MIN(300,MAX(1,D2181)),0), FactorTable!$A$2:$A$301,0), Skills!L5+1)</f>
        <v/>
      </c>
      <c r="F2181">
        <f>IF(Skills!M5=TRUE,(Skills!K5/10)*(E2181/1000),Skills!K5/10)+Skills!N5</f>
        <v/>
      </c>
      <c r="G2181">
        <f>Calc!G5</f>
        <v/>
      </c>
      <c r="H2181">
        <f>Calc!H5</f>
        <v/>
      </c>
      <c r="I2181">
        <f>IF(Skills!T5&lt;&gt;"",1+(Skills!T5/10)*(Z2179/1000)/100,1)</f>
        <v/>
      </c>
      <c r="J2181">
        <f>((Inputs!$B$6*(1+Inputs!$B$7/100))+(((Inputs!$B$12*(1+Inputs!$B$13/100))-(Inputs!$B$12*(1+Inputs!$B$13/100)))+0.25*(Inputs!$B$14-Inputs!$B$14))*(1+Inputs!$B$7/100))*(F2181/100)</f>
        <v/>
      </c>
      <c r="K2181">
        <f>J2181*(1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F2194-Calc!F18),(Inputs!$B$23+(IF(ArtifactsInput!$M$15,CHOOSE(ArtifactsInput!$N$15+1,25,30,35,40,45,50)/100*(Inputs!$B$11-Inputs!$B$11),0))))/100+(Inputs!$B$23+(IF(ArtifactsInput!$M$15,CHOOSE(ArtifactsInput!$N$15+1,25,30,35,40,45,50)/100*(Inputs!$B$11-Inputs!$B$11),0)))/100)/2</f>
        <v/>
      </c>
      <c r="M2181">
        <f>L2181*(1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(1-Summary!$B$11)*S2181+Summary!$B$11*U2181</f>
        <v/>
      </c>
      <c r="P2181">
        <f>IF(B2212=0,0,O2181/B2212)</f>
        <v/>
      </c>
      <c r="Q2181">
        <f>IFERROR(1/IF(Inputs!$B$38="pvp",15,MAX(0.1,Skills!D5-IF(Skills!E5=TRUE,Inputs!$B$32,0))),0)</f>
        <v/>
      </c>
      <c r="R2181">
        <f>IF(AND(Inputs!$B$38&lt;&gt;"pvp",Inputs!$B$43&gt;0),IF(MAX(0,Inputs!$B$43-B2209)&lt;=0,0,(INT(MAX(0,Inputs!$B$43-B2209)/IF(Inputs!$B$38="pvp",15,MAX(0.1,Skills!D5-IF(Skills!E5=TRUE,Inputs!$B$32,0))))+1)),0)</f>
        <v/>
      </c>
      <c r="S2181">
        <f>IF(C2181,(H2181*N2181*IF(AND(Inputs!$B$38&lt;&gt;"pvp",Inputs!$B$43&gt;0),((Skills!F5*((R2181-1)*IF(Skills!G5&gt;0,Skills!H5/Skills!G5,1)+IF(Skills!G5&gt;0,MIN(Skills!H5,MAX(0,MAX(0,Inputs!$B$43-B2209)-((R2181-1)*IF(Inputs!$B$38="pvp",15,MAX(0.1,Skills!D5-IF(Skills!E5=TRUE,Inputs!$B$32,0))))))/Skills!G5,1)))/Inputs!$B$43),G2181*Q2181))*IF(Inputs!$B$38="pvp",1,1+(Inputs!$B$20+Skills!O5+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IF(C2181,(H2181*N2181*IF(AND(Inputs!$B$38&lt;&gt;"pvp",Inputs!$B$43&gt;0),((Skills!F5*((R2181-1)*IF(Skills!G5&gt;0,Skills!H5/Skills!G5,1)+IF(Skills!G5&gt;0,MIN(Skills!H5,MAX(0,MAX(0,Inputs!$B$43-B2209)-((R2181-1)*IF(Inputs!$B$38="pvp",15,MAX(0.1,Skills!D5-IF(Skills!E5=TRUE,Inputs!$B$32,0))))))/Skills!G5,1)))/Inputs!$B$43),G2181*Q2181))*IF(Inputs!$B$38="pvp",1,(1+(Inputs!$B$21+Skills!P5+B2203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Skills!A6</f>
        <v/>
      </c>
      <c r="B2182">
        <f>Skills!B6</f>
        <v/>
      </c>
      <c r="C2182">
        <f>Inputs!$B$3&gt;=63</f>
        <v/>
      </c>
      <c r="D2182">
        <f>IF(Skills!C6=1,60+Inputs!$B$25+Inputs!$B$29,IF(Skills!C6=2,90+Inputs!$B$26+Inputs!$B$29,IF(Skills!C6=3,120+Inputs!$B$27+Inputs!$B$29,MAX(0,(Inputs!$B$3-100)*3)+Inputs!$B$28+Inputs!$B$29)))</f>
        <v/>
      </c>
      <c r="E2182">
        <f>INDEX(FactorTable!$B$2:$Y$301, MATCH(ROUND(MIN(300,MAX(1,D2182)),0), FactorTable!$A$2:$A$301,0), Skills!L6+1)</f>
        <v/>
      </c>
      <c r="F2182">
        <f>IF(Skills!M6=TRUE,(Skills!K6/10)*(E2182/1000),Skills!K6/10)+Skills!N6</f>
        <v/>
      </c>
      <c r="G2182">
        <f>Calc!G6</f>
        <v/>
      </c>
      <c r="H2182">
        <f>Calc!H6</f>
        <v/>
      </c>
      <c r="I2182">
        <f>IF(Skills!T6&lt;&gt;"",1+(Skills!T6/10)*(Z2179/1000)/100,1)</f>
        <v/>
      </c>
      <c r="J2182">
        <f>((Inputs!$B$6*(1+Inputs!$B$7/100))+(((Inputs!$B$12*(1+Inputs!$B$13/100))-(Inputs!$B$12*(1+Inputs!$B$13/100)))+0.25*(Inputs!$B$14-Inputs!$B$14))*(1+Inputs!$B$7/100))*(F2182/100)</f>
        <v/>
      </c>
      <c r="K2182">
        <f>J2182*(1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F2194-Calc!F18),(Inputs!$B$23+(IF(ArtifactsInput!$M$15,CHOOSE(ArtifactsInput!$N$15+1,25,30,35,40,45,50)/100*(Inputs!$B$11-Inputs!$B$11),0))))/100+(Inputs!$B$23+(IF(ArtifactsInput!$M$15,CHOOSE(ArtifactsInput!$N$15+1,25,30,35,40,45,50)/100*(Inputs!$B$11-Inputs!$B$11),0)))/100)/2</f>
        <v/>
      </c>
      <c r="M2182">
        <f>L2182*(1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2">
        <f>L2182*(1-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(1-Summary!$B$11)*S2182+Summary!$B$11*U2182</f>
        <v/>
      </c>
      <c r="P2182">
        <f>IF(B2212=0,0,O2182/B2212)</f>
        <v/>
      </c>
      <c r="Q2182">
        <f>IFERROR(1/IF(Inputs!$B$38="pvp",15,MAX(0.1,Skills!D6-IF(Skills!E6=TRUE,Inputs!$B$32,0))),0)</f>
        <v/>
      </c>
      <c r="R2182">
        <f>IF(AND(Inputs!$B$38&lt;&gt;"pvp",Inputs!$B$43&gt;0),IF(MAX(0,Inputs!$B$43-B2209)&lt;=0,0,(INT(MAX(0,Inputs!$B$43-B2209)/IF(Inputs!$B$38="pvp",15,MAX(0.1,Skills!D6-IF(Skills!E6=TRUE,Inputs!$B$32,0))))+1)),0)</f>
        <v/>
      </c>
      <c r="S2182">
        <f>IF(C2182,(H2182*N2182*IF(AND(Inputs!$B$38&lt;&gt;"pvp",Inputs!$B$43&gt;0),((Skills!F6*((R2182-1)*IF(Skills!G6&gt;0,Skills!H6/Skills!G6,1)+IF(Skills!G6&gt;0,MIN(Skills!H6,MAX(0,MAX(0,Inputs!$B$43-B2209)-((R2182-1)*IF(Inputs!$B$38="pvp",15,MAX(0.1,Skills!D6-IF(Skills!E6=TRUE,Inputs!$B$32,0))))))/Skills!G6,1)))/Inputs!$B$43),G2182*Q2182))*IF(Inputs!$B$38="pvp",1,1+(Inputs!$B$20+Skills!O6+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2182*(1-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2">
        <f>IF(C2182,(H2182*N2182*IF(AND(Inputs!$B$38&lt;&gt;"pvp",Inputs!$B$43&gt;0),((Skills!F6*((R2182-1)*IF(Skills!G6&gt;0,Skills!H6/Skills!G6,1)+IF(Skills!G6&gt;0,MIN(Skills!H6,MAX(0,MAX(0,Inputs!$B$43-B2209)-((R2182-1)*IF(Inputs!$B$38="pvp",15,MAX(0.1,Skills!D6-IF(Skills!E6=TRUE,Inputs!$B$32,0))))))/Skills!G6,1)))/Inputs!$B$43),G2182*Q2182))*IF(Inputs!$B$38="pvp",1,(1+(Inputs!$B$21+Skills!P6+B2203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Skills!A7</f>
        <v/>
      </c>
      <c r="B2183">
        <f>Skills!B7</f>
        <v/>
      </c>
      <c r="C2183">
        <f>Inputs!$B$3&gt;=69</f>
        <v/>
      </c>
      <c r="D2183">
        <f>IF(Skills!C7=1,60+Inputs!$B$25+Inputs!$B$29,IF(Skills!C7=2,90+Inputs!$B$26+Inputs!$B$29,IF(Skills!C7=3,120+Inputs!$B$27+Inputs!$B$29,MAX(0,(Inputs!$B$3-100)*3)+Inputs!$B$28+Inputs!$B$29)))</f>
        <v/>
      </c>
      <c r="E2183">
        <f>INDEX(FactorTable!$B$2:$Y$301, MATCH(ROUND(MIN(300,MAX(1,D2183)),0), FactorTable!$A$2:$A$301,0), Skills!L7+1)</f>
        <v/>
      </c>
      <c r="F2183">
        <f>IF(Skills!M7=TRUE,(Skills!K7/10)*(E2183/1000),Skills!K7/10)+Skills!N7</f>
        <v/>
      </c>
      <c r="G2183">
        <f>Calc!G7</f>
        <v/>
      </c>
      <c r="H2183">
        <f>Calc!H7</f>
        <v/>
      </c>
      <c r="I2183">
        <f>IF(Skills!T7&lt;&gt;"",1+(Skills!T7/10)*(Z2179/1000)/100,1)</f>
        <v/>
      </c>
      <c r="J2183">
        <f>((Inputs!$B$6*(1+Inputs!$B$7/100))+(((Inputs!$B$12*(1+Inputs!$B$13/100))-(Inputs!$B$12*(1+Inputs!$B$13/100)))+0.25*(Inputs!$B$14-Inputs!$B$14))*(1+Inputs!$B$7/100))*(F2183/100)</f>
        <v/>
      </c>
      <c r="K2183">
        <f>J2183*(1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F2194-Calc!F18),(Inputs!$B$23+(IF(ArtifactsInput!$M$15,CHOOSE(ArtifactsInput!$N$15+1,25,30,35,40,45,50)/100*(Inputs!$B$11-Inputs!$B$11),0))))/100+(Inputs!$B$23+(IF(ArtifactsInput!$M$15,CHOOSE(ArtifactsInput!$N$15+1,25,30,35,40,45,50)/100*(Inputs!$B$11-Inputs!$B$11),0)))/100)/2</f>
        <v/>
      </c>
      <c r="M2183">
        <f>L2183*(1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(1-Summary!$B$11)*S2183+Summary!$B$11*U2183</f>
        <v/>
      </c>
      <c r="P2183">
        <f>IF(B2212=0,0,O2183/B2212)</f>
        <v/>
      </c>
      <c r="Q2183">
        <f>IFERROR(1/IF(Inputs!$B$38="pvp",15,MAX(0.1,Skills!D7-IF(Skills!E7=TRUE,Inputs!$B$32,0))),0)</f>
        <v/>
      </c>
      <c r="R2183">
        <f>IF(AND(Inputs!$B$38&lt;&gt;"pvp",Inputs!$B$43&gt;0),IF(MAX(0,Inputs!$B$43-B2209)&lt;=0,0,(INT(MAX(0,Inputs!$B$43-B2209)/IF(Inputs!$B$38="pvp",15,MAX(0.1,Skills!D7-IF(Skills!E7=TRUE,Inputs!$B$32,0))))+1)),0)</f>
        <v/>
      </c>
      <c r="S2183">
        <f>IF(C2183,(H2183*N2183*IF(AND(Inputs!$B$38&lt;&gt;"pvp",Inputs!$B$43&gt;0),((Skills!F7*((R2183-1)*IF(Skills!G7&gt;0,Skills!H7/Skills!G7,1)+IF(Skills!G7&gt;0,MIN(Skills!H7,MAX(0,MAX(0,Inputs!$B$43-B2209)-((R2183-1)*IF(Inputs!$B$38="pvp",15,MAX(0.1,Skills!D7-IF(Skills!E7=TRUE,Inputs!$B$32,0))))))/Skills!G7,1)))/Inputs!$B$43),G2183*Q2183))*IF(Inputs!$B$38="pvp",1,1+(Inputs!$B$20+Skills!O7+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2183*(1-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3">
        <f>IF(C2183,(H2183*N2183*IF(AND(Inputs!$B$38&lt;&gt;"pvp",Inputs!$B$43&gt;0),((Skills!F7*((R2183-1)*IF(Skills!G7&gt;0,Skills!H7/Skills!G7,1)+IF(Skills!G7&gt;0,MIN(Skills!H7,MAX(0,MAX(0,Inputs!$B$43-B2209)-((R2183-1)*IF(Inputs!$B$38="pvp",15,MAX(0.1,Skills!D7-IF(Skills!E7=TRUE,Inputs!$B$32,0))))))/Skills!G7,1)))/Inputs!$B$43),G2183*Q2183))*IF(Inputs!$B$38="pvp",1,(1+(Inputs!$B$21+Skills!P7+B2203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Skills!A8</f>
        <v/>
      </c>
      <c r="B2184">
        <f>Skills!B8</f>
        <v/>
      </c>
      <c r="C2184">
        <f>Inputs!$B$3&gt;=103</f>
        <v/>
      </c>
      <c r="D2184">
        <f>IF(Skills!C8=1,60+Inputs!$B$25+Inputs!$B$29,IF(Skills!C8=2,90+Inputs!$B$26+Inputs!$B$29,IF(Skills!C8=3,120+Inputs!$B$27+Inputs!$B$29,MAX(0,(Inputs!$B$3-100)*3)+Inputs!$B$28+Inputs!$B$29)))</f>
        <v/>
      </c>
      <c r="E2184">
        <f>INDEX(FactorTable!$B$2:$Y$301, MATCH(ROUND(MIN(300,MAX(1,D2184)),0), FactorTable!$A$2:$A$301,0), Skills!L8+1)</f>
        <v/>
      </c>
      <c r="F2184">
        <f>IF(Skills!M8=TRUE,(Skills!K8/10)*(E2184/1000),Skills!K8/10)+Skills!N8</f>
        <v/>
      </c>
      <c r="G2184">
        <f>Calc!G8</f>
        <v/>
      </c>
      <c r="H2184">
        <f>Calc!H8</f>
        <v/>
      </c>
      <c r="I2184">
        <f>IF(Skills!T8&lt;&gt;"",1+(Skills!T8/10)*(Z2179/1000)/100,1)</f>
        <v/>
      </c>
      <c r="J2184">
        <f>((Inputs!$B$6*(1+Inputs!$B$7/100))+(((Inputs!$B$12*(1+Inputs!$B$13/100))-(Inputs!$B$12*(1+Inputs!$B$13/100)))+0.25*(Inputs!$B$14-Inputs!$B$14))*(1+Inputs!$B$7/100))*(F2184/100)</f>
        <v/>
      </c>
      <c r="K2184">
        <f>J2184*(1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2194-Calc!F18),(Inputs!$B$23+(IF(ArtifactsInput!$M$15,CHOOSE(ArtifactsInput!$N$15+1,25,30,35,40,45,50)/100*(Inputs!$B$11-Inputs!$B$11),0))))/100+(Inputs!$B$23+(IF(ArtifactsInput!$M$15,CHOOSE(ArtifactsInput!$N$15+1,25,30,35,40,45,50)/100*(Inputs!$B$11-Inputs!$B$11),0)))/100)/2</f>
        <v/>
      </c>
      <c r="M2184">
        <f>L2184*(1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IF(B2212=0,0,O2184/B2212)</f>
        <v/>
      </c>
      <c r="Q2184">
        <f>IFERROR(1/IF(Inputs!$B$38="pvp",15,MAX(0.1,Skills!D8-IF(Skills!E8=TRUE,Inputs!$B$32,0))),0)</f>
        <v/>
      </c>
      <c r="R2184">
        <f>IF(AND(Inputs!$B$38&lt;&gt;"pvp",Inputs!$B$43&gt;0),IF(MAX(0,Inputs!$B$43-B2209)&lt;=0,0,(INT(MAX(0,Inputs!$B$43-B2209)/IF(Inputs!$B$38="pvp",15,MAX(0.1,Skills!D8-IF(Skills!E8=TRUE,Inputs!$B$32,0))))+1)),0)</f>
        <v/>
      </c>
      <c r="S2184">
        <f>IF(C2184,(H2184*N2184*IF(AND(Inputs!$B$38&lt;&gt;"pvp",Inputs!$B$43&gt;0),((Skills!F8*((R2184-1)*IF(Skills!G8&gt;0,Skills!H8/Skills!G8,1)+IF(Skills!G8&gt;0,MIN(Skills!H8,MAX(0,MAX(0,Inputs!$B$43-B2209)-((R2184-1)*IF(Inputs!$B$38="pvp",15,MAX(0.1,Skills!D8-IF(Skills!E8=TRUE,Inputs!$B$32,0))))))/Skills!G8,1)))/Inputs!$B$43),G2184*Q2184))*IF(Inputs!$B$38="pvp",1,1+(Inputs!$B$20+Skills!O8+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4">
        <f>IF(C2184,(H2184*N2184*IF(AND(Inputs!$B$38&lt;&gt;"pvp",Inputs!$B$43&gt;0),((Skills!F8*((R2184-1)*IF(Skills!G8&gt;0,Skills!H8/Skills!G8,1)+IF(Skills!G8&gt;0,MIN(Skills!H8,MAX(0,MAX(0,Inputs!$B$43-B2209)-((R2184-1)*IF(Inputs!$B$38="pvp",15,MAX(0.1,Skills!D8-IF(Skills!E8=TRUE,Inputs!$B$32,0))))))/Skills!G8,1)))/Inputs!$B$43),G2184*Q2184))*IF(Inputs!$B$38="pvp",1,(1+(Inputs!$B$21+Skills!P8+B2203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Skills!A9</f>
        <v/>
      </c>
      <c r="B2185">
        <f>Skills!B9</f>
        <v/>
      </c>
      <c r="C2185">
        <f>Inputs!$B$3&gt;=105</f>
        <v/>
      </c>
      <c r="D2185">
        <f>IF(Skills!C9=1,60+Inputs!$B$25+Inputs!$B$29,IF(Skills!C9=2,90+Inputs!$B$26+Inputs!$B$29,IF(Skills!C9=3,120+Inputs!$B$27+Inputs!$B$29,MAX(0,(Inputs!$B$3-100)*3)+Inputs!$B$28+Inputs!$B$29)))</f>
        <v/>
      </c>
      <c r="E2185">
        <f>INDEX(FactorTable!$B$2:$Y$301, MATCH(ROUND(MIN(300,MAX(1,D2185)),0), FactorTable!$A$2:$A$301,0), Skills!L9+1)</f>
        <v/>
      </c>
      <c r="F2185">
        <f>IF(Skills!M9=TRUE,(Skills!K9/10)*(E2185/1000),Skills!K9/10)+Skills!N9</f>
        <v/>
      </c>
      <c r="G2185">
        <f>Calc!G9</f>
        <v/>
      </c>
      <c r="H2185">
        <f>Calc!H9</f>
        <v/>
      </c>
      <c r="I2185">
        <f>IF(Skills!T9&lt;&gt;"",1+(Skills!T9/10)*(Z2179/1000)/100,1)</f>
        <v/>
      </c>
      <c r="J2185">
        <f>((Inputs!$B$6*(1+Inputs!$B$7/100))+(((Inputs!$B$12*(1+Inputs!$B$13/100))-(Inputs!$B$12*(1+Inputs!$B$13/100)))+0.25*(Inputs!$B$14-Inputs!$B$14))*(1+Inputs!$B$7/100))*(F2185/100)</f>
        <v/>
      </c>
      <c r="K2185">
        <f>J2185*(1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2194-Calc!F18),(Inputs!$B$23+(IF(ArtifactsInput!$M$15,CHOOSE(ArtifactsInput!$N$15+1,25,30,35,40,45,50)/100*(Inputs!$B$11-Inputs!$B$11),0))))/100+(Inputs!$B$23+(IF(ArtifactsInput!$M$15,CHOOSE(ArtifactsInput!$N$15+1,25,30,35,40,45,50)/100*(Inputs!$B$11-Inputs!$B$11),0)))/100)/2</f>
        <v/>
      </c>
      <c r="M2185">
        <f>L2185*(1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IF(B2212=0,0,O2185/B2212)</f>
        <v/>
      </c>
      <c r="Q2185">
        <f>IFERROR(1/IF(Inputs!$B$38="pvp",15,MAX(0.1,Skills!D9-IF(Skills!E9=TRUE,Inputs!$B$32,0))),0)</f>
        <v/>
      </c>
      <c r="R2185">
        <f>IF(AND(Inputs!$B$38&lt;&gt;"pvp",Inputs!$B$43&gt;0),IF(MAX(0,Inputs!$B$43-B2209)&lt;=0,0,(INT(MAX(0,Inputs!$B$43-B2209)/IF(Inputs!$B$38="pvp",15,MAX(0.1,Skills!D9-IF(Skills!E9=TRUE,Inputs!$B$32,0))))+1)),0)</f>
        <v/>
      </c>
      <c r="S2185">
        <f>IF(C2185,(H2185*N2185*IF(AND(Inputs!$B$38&lt;&gt;"pvp",Inputs!$B$43&gt;0),((Skills!F9*((R2185-1)*IF(Skills!G9&gt;0,Skills!H9/Skills!G9,1)+IF(Skills!G9&gt;0,MIN(Skills!H9,MAX(0,MAX(0,Inputs!$B$43-B2209)-((R2185-1)*IF(Inputs!$B$38="pvp",15,MAX(0.1,Skills!D9-IF(Skills!E9=TRUE,Inputs!$B$32,0))))))/Skills!G9,1)))/Inputs!$B$43),G2185*Q2185))*IF(Inputs!$B$38="pvp",1,1+(Inputs!$B$20+Skills!O9+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IF(C2185,(H2185*N2185*IF(AND(Inputs!$B$38&lt;&gt;"pvp",Inputs!$B$43&gt;0),((Skills!F9*((R2185-1)*IF(Skills!G9&gt;0,Skills!H9/Skills!G9,1)+IF(Skills!G9&gt;0,MIN(Skills!H9,MAX(0,MAX(0,Inputs!$B$43-B2209)-((R2185-1)*IF(Inputs!$B$38="pvp",15,MAX(0.1,Skills!D9-IF(Skills!E9=TRUE,Inputs!$B$32,0))))))/Skills!G9,1)))/Inputs!$B$43),G2185*Q2185))*IF(Inputs!$B$38="pvp",1,(1+(Inputs!$B$21+Skills!P9+B2203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Skills!A10</f>
        <v/>
      </c>
      <c r="B2186">
        <f>Skills!B10</f>
        <v/>
      </c>
      <c r="C2186">
        <f>Inputs!$B$3&gt;=113</f>
        <v/>
      </c>
      <c r="D2186">
        <f>IF(Skills!C10=1,60+Inputs!$B$25+Inputs!$B$29,IF(Skills!C10=2,90+Inputs!$B$26+Inputs!$B$29,IF(Skills!C10=3,120+Inputs!$B$27+Inputs!$B$29,MAX(0,(Inputs!$B$3-100)*3)+Inputs!$B$28+Inputs!$B$29)))</f>
        <v/>
      </c>
      <c r="E2186">
        <f>INDEX(FactorTable!$B$2:$Y$301, MATCH(ROUND(MIN(300,MAX(1,D2186)),0), FactorTable!$A$2:$A$301,0), Skills!L10+1)</f>
        <v/>
      </c>
      <c r="F2186">
        <f>IF(Skills!M10=TRUE,(Skills!K10/10)*(E2186/1000),Skills!K10/10)+Skills!N10</f>
        <v/>
      </c>
      <c r="G2186">
        <f>Calc!G10</f>
        <v/>
      </c>
      <c r="H2186">
        <f>Calc!H10</f>
        <v/>
      </c>
      <c r="I2186">
        <f>IF(Skills!T10&lt;&gt;"",1+(Skills!T10/10)*(Z2179/1000)/100,1)</f>
        <v/>
      </c>
      <c r="J2186">
        <f>((Inputs!$B$6*(1+Inputs!$B$7/100))+(((Inputs!$B$12*(1+Inputs!$B$13/100))-(Inputs!$B$12*(1+Inputs!$B$13/100)))+0.25*(Inputs!$B$14-Inputs!$B$14))*(1+Inputs!$B$7/100))*(F2186/100)</f>
        <v/>
      </c>
      <c r="K2186">
        <f>J2186*(1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2194-Calc!F18),(Inputs!$B$23+(IF(ArtifactsInput!$M$15,CHOOSE(ArtifactsInput!$N$15+1,25,30,35,40,45,50)/100*(Inputs!$B$11-Inputs!$B$11),0))))/100+(Inputs!$B$23+(IF(ArtifactsInput!$M$15,CHOOSE(ArtifactsInput!$N$15+1,25,30,35,40,45,50)/100*(Inputs!$B$11-Inputs!$B$11),0)))/100)/2</f>
        <v/>
      </c>
      <c r="M2186">
        <f>L2186*(1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IF(B2212=0,0,O2186/B2212)</f>
        <v/>
      </c>
      <c r="Q2186">
        <f>IFERROR(1/IF(Inputs!$B$38="pvp",15,MAX(0.1,Skills!D10-IF(Skills!E9=TRUE,Inputs!$B$32,0))),0)</f>
        <v/>
      </c>
      <c r="R2186">
        <f>IF(AND(Inputs!$B$38&lt;&gt;"pvp",Inputs!$B$43&gt;0),IF(MAX(0,Inputs!$B$43-B2209)&lt;=0,0,(INT(MAX(0,Inputs!$B$43-B2209)/IF(Inputs!$B$38="pvp",15,MAX(0.1,Skills!D10-IF(Skills!E9=TRUE,Inputs!$B$32,0))))+1)),0)</f>
        <v/>
      </c>
      <c r="S2186">
        <f>IF(C2186,(H2186*N2186*IF(AND(Inputs!$B$38&lt;&gt;"pvp",Inputs!$B$43&gt;0),((Skills!F10*((R2186-1)*IF(Skills!G10&gt;0,Skills!H10/Skills!G10,1)+IF(Skills!G10&gt;0,MIN(Skills!H10,MAX(0,MAX(0,Inputs!$B$43-B2209)-((R2186-1)*IF(Inputs!$B$38="pvp",15,MAX(0.1,Skills!D10-IF(Skills!E9=TRUE,Inputs!$B$32,0))))))/Skills!G10,1)))/Inputs!$B$43),G2186*Q2186))*IF(Inputs!$B$38="pvp",1,1+(Inputs!$B$20+Skills!O10+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F(C2186,(H2186*N2186*IF(AND(Inputs!$B$38&lt;&gt;"pvp",Inputs!$B$43&gt;0),((Skills!F10*((R2186-1)*IF(Skills!G10&gt;0,Skills!H10/Skills!G10,1)+IF(Skills!G10&gt;0,MIN(Skills!H10,MAX(0,MAX(0,Inputs!$B$43-B2209)-((R2186-1)*IF(Inputs!$B$38="pvp",15,MAX(0.1,Skills!D10-IF(Skills!E9=TRUE,Inputs!$B$32,0))))))/Skills!G10,1)))/Inputs!$B$43),G2186*Q2186))*IF(Inputs!$B$38="pvp",1,(1+(Inputs!$B$21+Skills!P10+B2203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Skills!A11</f>
        <v/>
      </c>
      <c r="B2187">
        <f>Skills!B11</f>
        <v/>
      </c>
      <c r="C2187">
        <f>Inputs!$B$3&gt;=107</f>
        <v/>
      </c>
      <c r="D2187">
        <f>IF(Skills!C11=1,60+Inputs!$B$25+Inputs!$B$29,IF(Skills!C11=2,90+Inputs!$B$26+Inputs!$B$29,IF(Skills!C11=3,120+Inputs!$B$27+Inputs!$B$29,MAX(0,(Inputs!$B$3-100)*3)+Inputs!$B$28+Inputs!$B$29)))</f>
        <v/>
      </c>
      <c r="E2187">
        <f>INDEX(FactorTable!$B$2:$Y$301, MATCH(ROUND(MIN(300,MAX(1,D2187)),0), FactorTable!$A$2:$A$301,0), Skills!L11+1)</f>
        <v/>
      </c>
      <c r="F2187">
        <f>IF(Skills!M11=TRUE,(Skills!K11/10)*(E2187/1000),Skills!K11/10)+Skills!N11</f>
        <v/>
      </c>
      <c r="G2187">
        <f>Calc!G11</f>
        <v/>
      </c>
      <c r="H2187">
        <f>Calc!H11</f>
        <v/>
      </c>
      <c r="I2187">
        <f>IF(Skills!T11&lt;&gt;"",1+(Skills!T11/10)*(Z2179/1000)/100,1)</f>
        <v/>
      </c>
      <c r="J2187">
        <f>((Inputs!$B$6*(1+Inputs!$B$7/100))+(((Inputs!$B$12*(1+Inputs!$B$13/100))-(Inputs!$B$12*(1+Inputs!$B$13/100)))+0.25*(Inputs!$B$14-Inputs!$B$14))*(1+Inputs!$B$7/100))*(F2187/100)</f>
        <v/>
      </c>
      <c r="K2187">
        <f>J2187*(1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2194-Calc!F18),(Inputs!$B$23+(IF(ArtifactsInput!$M$15,CHOOSE(ArtifactsInput!$N$15+1,25,30,35,40,45,50)/100*(Inputs!$B$11-Inputs!$B$11),0))))/100+(Inputs!$B$23+(IF(ArtifactsInput!$M$15,CHOOSE(ArtifactsInput!$N$15+1,25,30,35,40,45,50)/100*(Inputs!$B$11-Inputs!$B$11),0)))/100)/2</f>
        <v/>
      </c>
      <c r="M2187">
        <f>L2187*(1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IF(B2212=0,0,O2187/B2212)</f>
        <v/>
      </c>
      <c r="Q2187">
        <f>IFERROR(1/IF(Inputs!$B$38="pvp",15,MAX(0.1,Skills!D11-IF(Skills!E11=TRUE,Inputs!$B$32,0))),0)</f>
        <v/>
      </c>
      <c r="R2187">
        <f>IF(AND(Inputs!$B$38&lt;&gt;"pvp",Inputs!$B$43&gt;0),IF(MAX(0,Inputs!$B$43-B2209)&lt;=0,0,(INT(MAX(0,Inputs!$B$43-B2209)/IF(Inputs!$B$38="pvp",15,MAX(0.1,Skills!D11-IF(Skills!E11=TRUE,Inputs!$B$32,0))))+1)),0)</f>
        <v/>
      </c>
      <c r="S2187">
        <f>IF(C2187,H2187*N2187*IF(AND(Inputs!$B$38&lt;&gt;"pvp",Inputs!$B$43&gt;0),((Skills!F11*((R2187-1)*IF(Skills!G11&gt;0,Skills!H11/Skills!G11,1)+IF(Skills!G11&gt;0,MIN(Skills!H11,MAX(0,MAX(0,Inputs!$B$43-B2209)-((R2187-1)*IF(Inputs!$B$38="pvp",15,MAX(0.1,Skills!D11-IF(Skills!E11=TRUE,Inputs!$B$32,0))))))/Skills!G11,1)))/Inputs!$B$43),G2187*Q2187)*0.5*IF(Inputs!$B$38="pvp",1,1+(Inputs!$B$20+Skills!O11+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F11*((R2187-1)*IF(Skills!G11&gt;0,Skills!H11/Skills!G11,1)+IF(Skills!G11&gt;0,MIN(Skills!H11,MAX(0,MAX(0,Inputs!$B$43-B2209)-((R2187-1)*IF(Inputs!$B$38="pvp",15,MAX(0.1,Skills!D11-IF(Skills!E11=TRUE,Inputs!$B$32,0))))))/Skills!G11,1)))/Inputs!$B$43),G2187*Q2187)*1*IF(Inputs!$B$38="pvp",1,(1+(Inputs!$B$21+Skills!P11+B2203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Skills!A12</f>
        <v/>
      </c>
      <c r="B2188">
        <f>Skills!B12</f>
        <v/>
      </c>
      <c r="C2188">
        <f>Inputs!$B$3&gt;=115</f>
        <v/>
      </c>
      <c r="D2188">
        <f>IF(Skills!C12=1,60+Inputs!$B$25+Inputs!$B$29,IF(Skills!C12=2,90+Inputs!$B$26+Inputs!$B$29,IF(Skills!C12=3,120+Inputs!$B$27+Inputs!$B$29,MAX(0,(Inputs!$B$3-100)*3)+Inputs!$B$28+Inputs!$B$29)))</f>
        <v/>
      </c>
      <c r="E2188">
        <f>INDEX(FactorTable!$B$2:$Y$301, MATCH(ROUND(MIN(300,MAX(1,D2188)),0), FactorTable!$A$2:$A$301,0), Skills!L12+1)</f>
        <v/>
      </c>
      <c r="F2188">
        <f>IF(Skills!M12=TRUE,(Skills!K12/10)*(E2188/1000),Skills!K12/10)+Skills!N12</f>
        <v/>
      </c>
      <c r="G2188">
        <f>Calc!G12</f>
        <v/>
      </c>
      <c r="H2188">
        <f>Calc!H12</f>
        <v/>
      </c>
      <c r="I2188">
        <f>IF(Skills!T12&lt;&gt;"",1+(Skills!T12/10)*(Z2179/1000)/100,1)</f>
        <v/>
      </c>
      <c r="J2188">
        <f>((Inputs!$B$6*(1+Inputs!$B$7/100))+(((Inputs!$B$12*(1+Inputs!$B$13/100))-(Inputs!$B$12*(1+Inputs!$B$13/100)))+0.25*(Inputs!$B$14-Inputs!$B$14))*(1+Inputs!$B$7/100))*(F2188/100)</f>
        <v/>
      </c>
      <c r="K2188">
        <f>J2188*(1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F2194-Calc!F18),(Inputs!$B$23+(IF(ArtifactsInput!$M$15,CHOOSE(ArtifactsInput!$N$15+1,25,30,35,40,45,50)/100*(Inputs!$B$11-Inputs!$B$11),0))))/100+(Inputs!$B$23+(IF(ArtifactsInput!$M$15,CHOOSE(ArtifactsInput!$N$15+1,25,30,35,40,45,50)/100*(Inputs!$B$11-Inputs!$B$11),0)))/100)/2</f>
        <v/>
      </c>
      <c r="M2188">
        <f>L2188*(1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(1-Summary!$B$11)*S2188+Summary!$B$11*U2188</f>
        <v/>
      </c>
      <c r="P2188">
        <f>IF(B2212=0,0,O2188/B2212)</f>
        <v/>
      </c>
      <c r="Q2188">
        <f>IFERROR(1/IF(Inputs!$B$38="pvp",15,MAX(0.1,Skills!D12-IF(Skills!E12=TRUE,Inputs!$B$32,0))),0)</f>
        <v/>
      </c>
      <c r="R2188">
        <f>IF(AND(Inputs!$B$38&lt;&gt;"pvp",Inputs!$B$43&gt;0),IF(MAX(0,Inputs!$B$43-B2209)&lt;=0,0,(INT(MAX(0,Inputs!$B$43-B2209)/IF(Inputs!$B$38="pvp",15,MAX(0.1,Skills!D12-IF(Skills!E12=TRUE,Inputs!$B$32,0))))+1)),0)</f>
        <v/>
      </c>
      <c r="S2188">
        <f>IF(C2188,(H2188*N2188*IF(AND(Inputs!$B$38&lt;&gt;"pvp",Inputs!$B$43&gt;0),((Skills!F12*((R2188-1)*IF(Skills!G12&gt;0,Skills!H12/Skills!G12,1)+IF(Skills!G12&gt;0,MIN(Skills!H12,MAX(0,MAX(0,Inputs!$B$43-B2209)-((R2188-1)*IF(Inputs!$B$38="pvp",15,MAX(0.1,Skills!D12-IF(Skills!E12=TRUE,Inputs!$B$32,0))))))/Skills!G12,1)))/Inputs!$B$43),G2188*Q2188))*IF(Inputs!$B$38="pvp",1,1+(Inputs!$B$20+Skills!O12+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IF(C2188,(H2188*N2188*IF(AND(Inputs!$B$38&lt;&gt;"pvp",Inputs!$B$43&gt;0),((Skills!F12*((R2188-1)*IF(Skills!G12&gt;0,Skills!H12/Skills!G12,1)+IF(Skills!G12&gt;0,MIN(Skills!H12,MAX(0,MAX(0,Inputs!$B$43-B2209)-((R2188-1)*IF(Inputs!$B$38="pvp",15,MAX(0.1,Skills!D12-IF(Skills!E12=TRUE,Inputs!$B$32,0))))))/Skills!G12,1)))/Inputs!$B$43),G2188*Q2188))*IF(Inputs!$B$38="pvp",1,(1+(Inputs!$B$21+Skills!P12+B2203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Skills!A13</f>
        <v/>
      </c>
      <c r="B2189">
        <f>Skills!B13</f>
        <v/>
      </c>
      <c r="C2189">
        <f>Inputs!$B$3&gt;=49</f>
        <v/>
      </c>
      <c r="D2189">
        <f>IF(Skills!C13=1,60+Inputs!$B$25+Inputs!$B$29,IF(Skills!C13=2,90+Inputs!$B$26+Inputs!$B$29,IF(Skills!C13=3,120+Inputs!$B$27+Inputs!$B$29,MAX(0,(Inputs!$B$3-100)*3)+Inputs!$B$28+Inputs!$B$29)))</f>
        <v/>
      </c>
      <c r="E2189">
        <f>INDEX(FactorTable!$B$2:$Y$301, MATCH(ROUND(MIN(300,MAX(1,D2189)),0), FactorTable!$A$2:$A$301,0), Skills!L13+1)</f>
        <v/>
      </c>
      <c r="F2189">
        <f>IF(Skills!M13=TRUE,(Skills!K13/10)*(E2189/1000),Skills!K13/10)+Skills!N13</f>
        <v/>
      </c>
      <c r="G2189">
        <f>Calc!G13</f>
        <v/>
      </c>
      <c r="H2189">
        <f>Calc!H13</f>
        <v/>
      </c>
      <c r="I2189">
        <f>IF(Skills!T13&lt;&gt;"",1+(Skills!T13/10)*(Z2179/1000)/100,1)</f>
        <v/>
      </c>
      <c r="J2189" t="inlineStr"/>
      <c r="K2189" t="inlineStr"/>
      <c r="L2189" t="inlineStr"/>
      <c r="M2189" t="inlineStr"/>
      <c r="N2189" t="inlineStr"/>
      <c r="O2189">
        <f>(1-Summary!$B$11)*S2189+Summary!$B$11*U2189</f>
        <v/>
      </c>
      <c r="P2189">
        <f>IF(B2212=0,0,O2189/B2212)</f>
        <v/>
      </c>
      <c r="Q2189">
        <f>IFERROR(1/IF(Inputs!$B$38="pvp",15,MAX(0.1,Skills!D13-IF(Skills!E13=TRUE,Inputs!$B$32,0))),0)</f>
        <v/>
      </c>
      <c r="R2189" t="n">
        <v>0</v>
      </c>
      <c r="S2189" t="n">
        <v>0</v>
      </c>
      <c r="U2189" t="n">
        <v>0</v>
      </c>
    </row>
    <row r="2190">
      <c r="A2190">
        <f>Skills!A14</f>
        <v/>
      </c>
      <c r="B2190">
        <f>Skills!B14</f>
        <v/>
      </c>
      <c r="C2190">
        <f>Inputs!$B$3&gt;=72</f>
        <v/>
      </c>
      <c r="D2190">
        <f>IF(Skills!C14=1,60+Inputs!$B$25+Inputs!$B$29,IF(Skills!C14=2,90+Inputs!$B$26+Inputs!$B$29,IF(Skills!C14=3,120+Inputs!$B$27+Inputs!$B$29,MAX(0,(Inputs!$B$3-100)*3)+Inputs!$B$28+Inputs!$B$29)))</f>
        <v/>
      </c>
      <c r="E2190">
        <f>INDEX(FactorTable!$B$2:$Y$301, MATCH(ROUND(MIN(300,MAX(1,D2190)),0), FactorTable!$A$2:$A$301,0), Skills!L14+1)</f>
        <v/>
      </c>
      <c r="F2190">
        <f>IF(Skills!M14=TRUE,(Skills!K14/10)*(E2190/1000),Skills!K14/10)+Skills!N14</f>
        <v/>
      </c>
      <c r="G2190">
        <f>Calc!G14</f>
        <v/>
      </c>
      <c r="H2190">
        <f>Calc!H14</f>
        <v/>
      </c>
      <c r="I2190">
        <f>IF(Skills!T14&lt;&gt;"",1+(Skills!T14/10)*(Z2179/1000)/100,1)</f>
        <v/>
      </c>
      <c r="J2190" t="inlineStr"/>
      <c r="K2190" t="inlineStr"/>
      <c r="L2190" t="inlineStr"/>
      <c r="M2190" t="inlineStr"/>
      <c r="N2190" t="inlineStr"/>
      <c r="O2190">
        <f>(1-Summary!$B$11)*S2190+Summary!$B$11*U2190</f>
        <v/>
      </c>
      <c r="P2190">
        <f>IF(B2212=0,0,O2190/B2212)</f>
        <v/>
      </c>
      <c r="Q2190">
        <f>IFERROR(1/IF(Inputs!$B$38="pvp",15,MAX(0.1,Skills!D14-IF(Skills!E14=TRUE,Inputs!$B$32,0))),0)</f>
        <v/>
      </c>
      <c r="R2190" t="n">
        <v>0</v>
      </c>
      <c r="S2190" t="n">
        <v>0</v>
      </c>
      <c r="U2190" t="n">
        <v>0</v>
      </c>
    </row>
    <row r="2191">
      <c r="A2191">
        <f>Skills!A15</f>
        <v/>
      </c>
      <c r="B2191">
        <f>Skills!B15</f>
        <v/>
      </c>
      <c r="C2191">
        <f>Inputs!$B$3&gt;=75</f>
        <v/>
      </c>
      <c r="D2191">
        <f>IF(Skills!C15=1,60+Inputs!$B$25+Inputs!$B$29,IF(Skills!C15=2,90+Inputs!$B$26+Inputs!$B$29,IF(Skills!C15=3,120+Inputs!$B$27+Inputs!$B$29,MAX(0,(Inputs!$B$3-100)*3)+Inputs!$B$28+Inputs!$B$29)))</f>
        <v/>
      </c>
      <c r="E2191">
        <f>INDEX(FactorTable!$B$2:$Y$301, MATCH(ROUND(MIN(300,MAX(1,D2191)),0), FactorTable!$A$2:$A$301,0), Skills!L15+1)</f>
        <v/>
      </c>
      <c r="F2191">
        <f>IF(Skills!M15=TRUE,(Skills!K15/10)*(E2191/1000),Skills!K15/10)+Skills!N15</f>
        <v/>
      </c>
      <c r="G2191">
        <f>Calc!G15</f>
        <v/>
      </c>
      <c r="H2191">
        <f>Calc!H15</f>
        <v/>
      </c>
      <c r="I2191">
        <f>IF(Skills!T15&lt;&gt;"",1+(Skills!T15/10)*(Z2179/1000)/100,1)</f>
        <v/>
      </c>
      <c r="J2191" t="inlineStr"/>
      <c r="K2191" t="inlineStr"/>
      <c r="L2191" t="inlineStr"/>
      <c r="M2191" t="inlineStr"/>
      <c r="N2191" t="inlineStr"/>
      <c r="O2191">
        <f>(1-Summary!$B$11)*S2191+Summary!$B$11*U2191</f>
        <v/>
      </c>
      <c r="P2191">
        <f>IF(B2212=0,0,O2191/B2212)</f>
        <v/>
      </c>
      <c r="Q2191">
        <f>IFERROR(1/IF(Inputs!$B$38="pvp",15,MAX(0.1,Skills!D15-IF(Skills!E15=TRUE,Inputs!$B$32,0))),0)</f>
        <v/>
      </c>
      <c r="R2191" t="n">
        <v>0</v>
      </c>
      <c r="S2191" t="n">
        <v>0</v>
      </c>
      <c r="U2191" t="n">
        <v>0</v>
      </c>
    </row>
    <row r="2192">
      <c r="A2192">
        <f>Skills!A16</f>
        <v/>
      </c>
      <c r="B2192">
        <f>Skills!B16</f>
        <v/>
      </c>
      <c r="C2192">
        <f>Inputs!$B$3&gt;=110</f>
        <v/>
      </c>
      <c r="D2192">
        <f>IF(Skills!C16=1,60+Inputs!$B$25+Inputs!$B$29,IF(Skills!C16=2,90+Inputs!$B$26+Inputs!$B$29,IF(Skills!C16=3,120+Inputs!$B$27+Inputs!$B$29,MAX(0,(Inputs!$B$3-100)*3)+Inputs!$B$28+Inputs!$B$29)))</f>
        <v/>
      </c>
      <c r="E2192">
        <f>INDEX(FactorTable!$B$2:$Y$301, MATCH(ROUND(MIN(300,MAX(1,D2192)),0), FactorTable!$A$2:$A$301,0), Skills!L16+1)</f>
        <v/>
      </c>
      <c r="F2192">
        <f>(Skills!K16/10)*(E2192/1000)*64/45+Skills!N16</f>
        <v/>
      </c>
      <c r="G2192">
        <f>Calc!G16</f>
        <v/>
      </c>
      <c r="H2192">
        <f>Calc!H16</f>
        <v/>
      </c>
      <c r="I2192">
        <f>IF(Skills!T16&lt;&gt;"",1+(Skills!T16/10)*(Z2179/1000)/100,1)</f>
        <v/>
      </c>
      <c r="J2192" t="inlineStr"/>
      <c r="K2192" t="inlineStr"/>
      <c r="L2192" t="inlineStr"/>
      <c r="M2192" t="inlineStr"/>
      <c r="N2192" t="inlineStr"/>
      <c r="O2192">
        <f>(1-Summary!$B$11)*S2192+Summary!$B$11*U2192</f>
        <v/>
      </c>
      <c r="P2192">
        <f>IF(B2212=0,0,O2192/B2212)</f>
        <v/>
      </c>
      <c r="Q2192">
        <f>IFERROR(1/IF(Inputs!$B$38="pvp",15,MAX(0.1,Skills!D16-IF(Skills!E16=TRUE,Inputs!$B$32,0))),0)</f>
        <v/>
      </c>
      <c r="R2192">
        <f>IF(AND(Inputs!$B$38&lt;&gt;"pvp",Inputs!$B$43&gt;0),IF(Inputs!$B$43&lt;=0,0,(INT(Inputs!$B$43/IF(Inputs!$B$38="pvp",15,MAX(0.1,Skills!D16-IF(Skills!E16=TRUE,Inputs!$B$32,0))))+1)),0)</f>
        <v/>
      </c>
      <c r="S2192" t="n">
        <v>0</v>
      </c>
      <c r="U2192" t="n">
        <v>0</v>
      </c>
    </row>
    <row r="2193">
      <c r="A2193">
        <f>Skills!A17</f>
        <v/>
      </c>
      <c r="B2193">
        <f>Skills!B17</f>
        <v/>
      </c>
      <c r="C2193">
        <f>Inputs!$B$3&gt;=33</f>
        <v/>
      </c>
      <c r="D2193">
        <f>IF(Skills!C17=1,60+Inputs!$B$25+Inputs!$B$29,IF(Skills!C17=2,90+Inputs!$B$26+Inputs!$B$29,IF(Skills!C17=3,120+Inputs!$B$27+Inputs!$B$29,MAX(0,(Inputs!$B$3-100)*3)+Inputs!$B$28+Inputs!$B$29)))</f>
        <v/>
      </c>
      <c r="E2193">
        <f>INDEX(FactorTable!$B$2:$Y$301, MATCH(ROUND(MIN(300,MAX(1,D2193)),0), FactorTable!$A$2:$A$301,0), Skills!L17+1)</f>
        <v/>
      </c>
      <c r="F2193">
        <f>IF(Skills!M17=TRUE,(Skills!K17/10)*(E2193/1000),Skills!K17/10)+Skills!N17</f>
        <v/>
      </c>
      <c r="G2193">
        <f>Calc!G17</f>
        <v/>
      </c>
      <c r="H2193">
        <f>Calc!H17</f>
        <v/>
      </c>
      <c r="I2193">
        <f>IF(Skills!T17&lt;&gt;"",1+(Skills!T17/10)*(Z2179/1000)/100,1)</f>
        <v/>
      </c>
      <c r="J2193" t="inlineStr"/>
      <c r="K2193" t="inlineStr"/>
      <c r="L2193" t="inlineStr"/>
      <c r="M2193" t="inlineStr"/>
      <c r="N2193" t="inlineStr"/>
      <c r="O2193">
        <f>(1-Summary!$B$11)*S2193+Summary!$B$11*U2193</f>
        <v/>
      </c>
      <c r="P2193">
        <f>IF(B2212=0,0,O2193/B2212)</f>
        <v/>
      </c>
      <c r="Q2193">
        <f>IFERROR(1/IF(Inputs!$B$38="pvp",15,MAX(0.1,Skills!D17-IF(Skills!E17=TRUE,Inputs!$B$32,0))),0)</f>
        <v/>
      </c>
      <c r="R2193" t="n">
        <v>0</v>
      </c>
      <c r="S2193" t="n">
        <v>0</v>
      </c>
      <c r="U2193" t="n">
        <v>0</v>
      </c>
    </row>
    <row r="2194">
      <c r="A2194">
        <f>Skills!A18</f>
        <v/>
      </c>
      <c r="B2194">
        <f>Skills!B18</f>
        <v/>
      </c>
      <c r="C2194">
        <f>Inputs!$B$3&gt;=43</f>
        <v/>
      </c>
      <c r="D2194">
        <f>IF(Skills!C18=1,60+Inputs!$B$25+Inputs!$B$29,IF(Skills!C18=2,90+Inputs!$B$26+Inputs!$B$29,IF(Skills!C18=3,120+Inputs!$B$27+Inputs!$B$29,MAX(0,(Inputs!$B$3-100)*3)+Inputs!$B$28+Inputs!$B$29)))</f>
        <v/>
      </c>
      <c r="E2194">
        <f>INDEX(FactorTable!$B$2:$Y$301, MATCH(ROUND(MIN(300,MAX(1,D2194)),0), FactorTable!$A$2:$A$301,0), Skills!L18+1)</f>
        <v/>
      </c>
      <c r="F2194">
        <f>IF(Skills!M18=TRUE,(Skills!K18/10)*(E2194/1000),Skills!K18/10)+Skills!N18</f>
        <v/>
      </c>
      <c r="G2194">
        <f>Calc!G18</f>
        <v/>
      </c>
      <c r="H2194">
        <f>Calc!H18</f>
        <v/>
      </c>
      <c r="I2194">
        <f>IF(Skills!T18&lt;&gt;"",1+(Skills!T18/10)*(Z2179/1000)/100,1)</f>
        <v/>
      </c>
      <c r="J2194" t="inlineStr"/>
      <c r="K2194" t="inlineStr"/>
      <c r="L2194" t="inlineStr"/>
      <c r="M2194" t="inlineStr"/>
      <c r="N2194" t="inlineStr"/>
      <c r="O2194">
        <f>(1-Summary!$B$11)*S2194+Summary!$B$11*U2194</f>
        <v/>
      </c>
      <c r="P2194">
        <f>IF(B2212=0,0,O2194/B2212)</f>
        <v/>
      </c>
      <c r="Q2194">
        <f>IFERROR(1/IF(Inputs!$B$38="pvp",15,MAX(0.1,Skills!D18-IF(Skills!E18=TRUE,Inputs!$B$32,0))),0)</f>
        <v/>
      </c>
      <c r="R2194" t="n">
        <v>0</v>
      </c>
      <c r="S2194" t="n">
        <v>0</v>
      </c>
      <c r="U2194" t="n">
        <v>0</v>
      </c>
    </row>
    <row r="2195">
      <c r="A2195">
        <f>Skills!A19</f>
        <v/>
      </c>
      <c r="B2195">
        <f>Skills!B19</f>
        <v/>
      </c>
      <c r="C2195">
        <f>Inputs!$B$3&gt;=50</f>
        <v/>
      </c>
      <c r="D2195">
        <f>IF(Skills!C19=1,60+Inputs!$B$25+Inputs!$B$29,IF(Skills!C19=2,90+Inputs!$B$26+Inputs!$B$29,IF(Skills!C19=3,120+Inputs!$B$27+Inputs!$B$29,MAX(0,(Inputs!$B$3-100)*3)+Inputs!$B$28+Inputs!$B$29)))</f>
        <v/>
      </c>
      <c r="E2195">
        <f>INDEX(FactorTable!$B$2:$Y$301, MATCH(ROUND(MIN(300,MAX(1,D2195)),0), FactorTable!$A$2:$A$301,0), Skills!L19+1)</f>
        <v/>
      </c>
      <c r="F2195">
        <f>IF(Skills!M19=TRUE,(Skills!K19/10)*(E2195/1000),Skills!K19/10)+Skills!N19</f>
        <v/>
      </c>
      <c r="G2195">
        <f>Calc!G19</f>
        <v/>
      </c>
      <c r="H2195">
        <f>Calc!H19</f>
        <v/>
      </c>
      <c r="I2195">
        <f>IF(Skills!T19&lt;&gt;"",1+(Skills!T19/10)*(Z2179/1000)/100,1)</f>
        <v/>
      </c>
      <c r="J2195" t="inlineStr"/>
      <c r="K2195" t="inlineStr"/>
      <c r="L2195" t="inlineStr"/>
      <c r="M2195" t="inlineStr"/>
      <c r="N2195" t="inlineStr"/>
      <c r="O2195">
        <f>(1-Summary!$B$11)*S2195+Summary!$B$11*U2195</f>
        <v/>
      </c>
      <c r="P2195">
        <f>IF(B2212=0,0,O2195/B2212)</f>
        <v/>
      </c>
      <c r="Q2195">
        <f>IFERROR(1/IF(Inputs!$B$38="pvp",15,MAX(0.1,Skills!D19-IF(Skills!E19=TRUE,Inputs!$B$32,0))),0)</f>
        <v/>
      </c>
      <c r="R2195" t="n">
        <v>0</v>
      </c>
      <c r="S2195" t="n">
        <v>0</v>
      </c>
      <c r="U2195" t="n">
        <v>0</v>
      </c>
    </row>
    <row r="2196">
      <c r="A2196">
        <f>Skills!A20</f>
        <v/>
      </c>
      <c r="B2196">
        <f>Skills!B20</f>
        <v/>
      </c>
      <c r="C2196">
        <f>Inputs!$B$3&gt;=74</f>
        <v/>
      </c>
      <c r="D2196">
        <f>IF(Skills!C20=1,60+Inputs!$B$25+Inputs!$B$29,IF(Skills!C20=2,90+Inputs!$B$26+Inputs!$B$29,IF(Skills!C20=3,120+Inputs!$B$27+Inputs!$B$29,MAX(0,(Inputs!$B$3-100)*3)+Inputs!$B$28+Inputs!$B$29)))</f>
        <v/>
      </c>
      <c r="E2196">
        <f>INDEX(FactorTable!$B$2:$Y$301, MATCH(ROUND(MIN(300,MAX(1,D2196)),0), FactorTable!$A$2:$A$301,0), Skills!L20+1)</f>
        <v/>
      </c>
      <c r="F2196">
        <f>IF(Skills!M20=TRUE,(Skills!K20/10)*(E2196/1000),Skills!K20/10)+Skills!N20</f>
        <v/>
      </c>
      <c r="G2196">
        <f>Calc!G20</f>
        <v/>
      </c>
      <c r="H2196">
        <f>Calc!H20</f>
        <v/>
      </c>
      <c r="I2196">
        <f>IF(Skills!T20&lt;&gt;"",1+(Skills!T20/10)*(Z2179/1000)/100,1)</f>
        <v/>
      </c>
      <c r="J2196" t="inlineStr"/>
      <c r="K2196" t="inlineStr"/>
      <c r="L2196" t="inlineStr"/>
      <c r="M2196" t="inlineStr"/>
      <c r="N2196" t="inlineStr"/>
      <c r="O2196">
        <f>(1-Summary!$B$11)*S2196+Summary!$B$11*U2196</f>
        <v/>
      </c>
      <c r="P2196">
        <f>IF(B2212=0,0,O2196/B2212)</f>
        <v/>
      </c>
      <c r="Q2196">
        <f>IFERROR(1/IF(Inputs!$B$38="pvp",15,MAX(0.1,Skills!D20-IF(Skills!E20=TRUE,Inputs!$B$32,0))),0)</f>
        <v/>
      </c>
      <c r="R2196" t="n">
        <v>0</v>
      </c>
      <c r="S2196" t="n">
        <v>0</v>
      </c>
      <c r="U2196" t="n">
        <v>0</v>
      </c>
    </row>
    <row r="2197">
      <c r="A2197">
        <f>Skills!A21</f>
        <v/>
      </c>
      <c r="B2197">
        <f>Skills!B21</f>
        <v/>
      </c>
      <c r="C2197">
        <f>Inputs!$B$3&gt;=74</f>
        <v/>
      </c>
      <c r="D2197">
        <f>IF(Skills!C21=1,60+Inputs!$B$25+Inputs!$B$29,IF(Skills!C21=2,90+Inputs!$B$26+Inputs!$B$29,IF(Skills!C21=3,120+Inputs!$B$27+Inputs!$B$29,MAX(0,(Inputs!$B$3-100)*3)+Inputs!$B$28+Inputs!$B$29)))</f>
        <v/>
      </c>
      <c r="E2197">
        <f>INDEX(FactorTable!$B$2:$Y$301, MATCH(ROUND(MIN(300,MAX(1,D2197)),0), FactorTable!$A$2:$A$301,0), Skills!L21+1)</f>
        <v/>
      </c>
      <c r="F2197">
        <f>IF(Skills!M21=TRUE,(Skills!K21/10)*(E2197/1000),Skills!K21/10)+Skills!N21</f>
        <v/>
      </c>
      <c r="G2197">
        <f>Calc!G21</f>
        <v/>
      </c>
      <c r="H2197">
        <f>Calc!H21</f>
        <v/>
      </c>
      <c r="I2197">
        <f>IF(Skills!T21&lt;&gt;"",1+(Skills!T21/10)*(Z2179/1000)/100,1)</f>
        <v/>
      </c>
      <c r="J2197" t="inlineStr"/>
      <c r="K2197" t="inlineStr"/>
      <c r="L2197" t="inlineStr"/>
      <c r="M2197" t="inlineStr"/>
      <c r="N2197" t="inlineStr"/>
      <c r="O2197">
        <f>(1-Summary!$B$11)*S2197+Summary!$B$11*U2197</f>
        <v/>
      </c>
      <c r="P2197">
        <f>IF(B2212=0,0,O2197/B2212)</f>
        <v/>
      </c>
      <c r="Q2197">
        <f>IFERROR(1/IF(Inputs!$B$38="pvp",15,MAX(0.1,Skills!D21-IF(Skills!E21=TRUE,Inputs!$B$32,0))),0)</f>
        <v/>
      </c>
      <c r="R2197" t="n">
        <v>0</v>
      </c>
      <c r="S2197" t="n">
        <v>0</v>
      </c>
      <c r="U2197" t="n">
        <v>0</v>
      </c>
    </row>
    <row r="2198">
      <c r="A2198">
        <f>Skills!A22</f>
        <v/>
      </c>
      <c r="B2198">
        <f>Skills!B22</f>
        <v/>
      </c>
      <c r="C2198">
        <f>Inputs!$B$3&gt;=117</f>
        <v/>
      </c>
      <c r="D2198">
        <f>IF(Skills!C22=1,60+Inputs!$B$25+Inputs!$B$29,IF(Skills!C22=2,90+Inputs!$B$26+Inputs!$B$29,IF(Skills!C22=3,120+Inputs!$B$27+Inputs!$B$29,MAX(0,(Inputs!$B$3-100)*3)+Inputs!$B$28+Inputs!$B$29)))</f>
        <v/>
      </c>
      <c r="E2198">
        <f>INDEX(FactorTable!$B$2:$Y$301, MATCH(ROUND(MIN(300,MAX(1,D2198)),0), FactorTable!$A$2:$A$301,0), Skills!L22+1)</f>
        <v/>
      </c>
      <c r="F2198">
        <f>IF(Skills!M22=TRUE,(Skills!K22/10)*(E2198/1000),Skills!K22/10)+Skills!N22</f>
        <v/>
      </c>
      <c r="G2198">
        <f>Calc!G22</f>
        <v/>
      </c>
      <c r="H2198">
        <f>Calc!H22</f>
        <v/>
      </c>
      <c r="I2198">
        <f>IF(Skills!T22&lt;&gt;"",1+(Skills!T22/10)*(Z2179/1000)/100,1)</f>
        <v/>
      </c>
      <c r="J2198" t="inlineStr"/>
      <c r="K2198" t="inlineStr"/>
      <c r="L2198" t="inlineStr"/>
      <c r="M2198" t="inlineStr"/>
      <c r="N2198" t="inlineStr"/>
      <c r="O2198">
        <f>(1-Summary!$B$11)*S2198+Summary!$B$11*U2198</f>
        <v/>
      </c>
      <c r="P2198">
        <f>IF(B2212=0,0,O2198/B2212)</f>
        <v/>
      </c>
      <c r="Q2198">
        <f>IFERROR(1/IF(Inputs!$B$38="pvp",15,MAX(0.1,Skills!D22-IF(Skills!E22=TRUE,Inputs!$B$32,0))),0)</f>
        <v/>
      </c>
      <c r="R2198" t="n">
        <v>0</v>
      </c>
      <c r="S2198" t="n">
        <v>0</v>
      </c>
      <c r="U2198" t="n">
        <v>0</v>
      </c>
    </row>
    <row r="2199">
      <c r="A2199">
        <f>Skills!A23</f>
        <v/>
      </c>
      <c r="B2199">
        <f>Skills!B23</f>
        <v/>
      </c>
      <c r="C2199">
        <f>Inputs!$B$3&gt;=120</f>
        <v/>
      </c>
      <c r="D2199">
        <f>IF(Skills!C23=1,60+Inputs!$B$25+Inputs!$B$29,IF(Skills!C23=2,90+Inputs!$B$26+Inputs!$B$29,IF(Skills!C23=3,120+Inputs!$B$27+Inputs!$B$29,MAX(0,(Inputs!$B$3-100)*3)+Inputs!$B$28+Inputs!$B$29)))</f>
        <v/>
      </c>
      <c r="E2199">
        <f>INDEX(FactorTable!$B$2:$Y$301, MATCH(ROUND(MIN(300,MAX(1,D2199)),0), FactorTable!$A$2:$A$301,0), Skills!L23+1)</f>
        <v/>
      </c>
      <c r="F2199">
        <f>IF(Skills!M23=TRUE,(Skills!K23/10)*(E2199/1000),Skills!K23/10)+Skills!N23</f>
        <v/>
      </c>
      <c r="G2199">
        <f>Calc!G23</f>
        <v/>
      </c>
      <c r="H2199">
        <f>Calc!H23</f>
        <v/>
      </c>
      <c r="I2199">
        <f>IF(Skills!T23&lt;&gt;"",1+(Skills!T23/10)*(Z2179/1000)/100,1)</f>
        <v/>
      </c>
      <c r="J2199" t="inlineStr"/>
      <c r="K2199" t="inlineStr"/>
      <c r="L2199" t="inlineStr"/>
      <c r="M2199" t="inlineStr"/>
      <c r="N2199" t="inlineStr"/>
      <c r="O2199">
        <f>(1-Summary!$B$11)*S2199+Summary!$B$11*U2199</f>
        <v/>
      </c>
      <c r="P2199">
        <f>IF(B2212=0,0,O2199/B2212)</f>
        <v/>
      </c>
      <c r="Q2199">
        <f>IFERROR(1/IF(Inputs!$B$38="pvp",15,MAX(0.1,Skills!D23-IF(Skills!E23=TRUE,Inputs!$B$32,0))),0)</f>
        <v/>
      </c>
      <c r="R2199" t="n">
        <v>0</v>
      </c>
      <c r="S2199" t="n">
        <v>0</v>
      </c>
      <c r="U2199" t="n">
        <v>0</v>
      </c>
    </row>
    <row r="2202">
      <c r="A2202" t="inlineStr">
        <is>
          <t>Average Buff Multiplier (Magic Guard + Meditation + Artifact Attack%, summed; then Infinity)</t>
        </is>
      </c>
      <c r="B2202">
        <f>(1+(IF(C2179=TRUE,F2179*IF(AND(Inputs!$B$38&lt;&gt;"pvp",Inputs!$B$43&gt;0),(((R2179-1)*(Skills!S3*(1+(Inputs!$B$34+IF(Inputs!$B$3&gt;=117,F2198,0))/100))+MIN((Skills!S3*(1+(Inputs!$B$34+IF(Inputs!$B$3&gt;=117,F2198,0))/100)),MAX(0,Inputs!$B$43-((R2179-1)*Skills!D3))))/Inputs!$B$43),IF(Inputs!$B$38="pvp",MIN((Skills!S3*(1+(Inputs!$B$34+IF(Inputs!$B$3&gt;=117,F2198,0))/100)),15)/15,(Skills!S3*(1+(Inputs!$B$34+IF(Inputs!$B$3&gt;=117,F2198,0))/100))/Skills!D3)),0)+IF(C2180=TRUE,F2180*IF(AND(Inputs!$B$38&lt;&gt;"pvp",Inputs!$B$43&gt;0),(((R2180-1)*(Skills!S4*(1+(Inputs!$B$34+IF(Inputs!$B$3&gt;=117,F2198,0))/100))+MIN((Skills!S4*(1+(Inputs!$B$34+IF(Inputs!$B$3&gt;=117,F2198,0))/100)),MAX(0,Inputs!$B$43-((R2180-1)*Skills!D4))))/Inputs!$B$43),IF(Inputs!$B$38="pvp",MIN((Skills!S4*(1+(Inputs!$B$34+IF(Inputs!$B$3&gt;=117,F2198,0))/100)),15)/15,(Skills!S4*(1+(Inputs!$B$34+IF(Inputs!$B$3&gt;=117,F2198,0)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2192=TRUE,(1+F2192*IF(AND(Inputs!$B$38&lt;&gt;"pvp",Inputs!$B$43&gt;0),(((R2192-1)*(Skills!S16*(1+(Inputs!$B$34+IF(Inputs!$B$3&gt;=117,F2198,0))/100))+MIN((Skills!S16*(1+(Inputs!$B$34+IF(Inputs!$B$3&gt;=117,F2198,0))/100)),MAX(0,Inputs!$B$43-((R2192-1)*Skills!D16))))/Inputs!$B$43),IF(Inputs!$B$38="pvp",MIN((Skills!S16*(1+(Inputs!$B$34+IF(Inputs!$B$3&gt;=117,F2198,0))/100)),15)/15,(Skills!S16*(1+(Inputs!$B$34+IF(Inputs!$B$3&gt;=117,F2198,0))/100))/Skills!D16))/100),1)</f>
        <v/>
      </c>
    </row>
    <row r="2203">
      <c r="A2203" t="inlineStr">
        <is>
          <t>Monster Damage Taken Bonus % (Freezing Breath - Weaken + Elemental Reset + Artifact Enemy Damage Taken, summed)</t>
        </is>
      </c>
      <c r="B2203">
        <f>IF(Inputs!$B$3&gt;=118,15*IF(Inputs!$B$38="pvp",MIN((30*(1+(Inputs!$B$34+IF(Inputs!$B$3&gt;=117,F2198,0))/100)),15)/15,(30*(1+(Inputs!$B$34+IF(Inputs!$B$3&gt;=117,F2198,0))/100))/Skills!D8),0)+IF(C2190=TRUE,F2190,0)+(IF(AND(ArtifactsInput!$M$35,Inputs!$B$4&lt;&gt;"Chapter Hunt"),CHOOSE(ArtifactsInput!$N$35+1,15,18,21,24,27,30)*(1-EXP(-(0.2*B2206)*5)),0)+IF(AND(ArtifactsInput!$M$22,Inputs!$B$4&lt;&gt;"Chapter Hunt"),CHOOSE(ArtifactsInput!$N$22+1,10,12,14,16,18,20)*((0*(((0.15*B2206*5))^0/1)+1*(((0.15*B2206*5))^1/1)+2*(((0.15*B2206*5))^2/2)+3*(((0.15*B2206*5))^3/6)+4*(((0.15*B2206*5))^4/24)+5*(((0.15*B2206*5))^5/120))/((((0.15*B2206*5))^0/1)+(((0.15*B2206*5))^1/1)+(((0.15*B2206*5))^2/2)+(((0.15*B2206*5))^3/6)+(((0.15*B2206*5))^4/24)+(((0.15*B2206*5))^5/120))),0))</f>
        <v/>
      </c>
    </row>
    <row r="2204">
      <c r="A2204" t="inlineStr">
        <is>
          <t>Damage % Bonus (Frozen Break + Frost Clutch, flat)</t>
        </is>
      </c>
      <c r="B2204">
        <f>IF(Inputs!$B$3&gt;=66,15,0)+IF(Inputs!$B$3&gt;=98,10,0)+IF(Inputs!$B$3&gt;=125,20,0)</f>
        <v/>
      </c>
    </row>
    <row r="2205">
      <c r="A2205" t="inlineStr">
        <is>
          <t>Attack Speed Bonus % (MP Eater - MP Boost, always-on once unlocked)</t>
        </is>
      </c>
      <c r="B2205">
        <f>IF(C2189=TRUE,F2189+(F2193-Calc!F17),0)</f>
        <v/>
      </c>
    </row>
    <row r="2206">
      <c r="A2206" t="inlineStr">
        <is>
          <t>Actions Per Second</t>
        </is>
      </c>
      <c r="B2206">
        <f>1+MIN(150,150*(1-(1-(Inputs!$B$11+(ArtifactsInput!$M$15-ArtifactsInput!$M$15)*CHOOSE(ArtifactsInput!$N$15+1,8,9.6,11.2,12.8,14.4,16))/150)*(1-B2205/150)))/100</f>
        <v/>
      </c>
    </row>
    <row r="2207">
      <c r="A2207" t="inlineStr">
        <is>
          <t>Skill + Buff Cast Rate</t>
        </is>
      </c>
      <c r="B2207">
        <f>IF(AND(Inputs!$B$38&lt;&gt;"pvp",Inputs!$B$43&gt;0),SUMPRODUCT((Skills!E2:E23=TRUE)*(C2178:C2199=TRUE)*R2178:R2199)/Inputs!$B$43,SUMPRODUCT((Skills!E2:E23=TRUE)*(C2178:C2199=TRUE)*Q2178:Q2199))</f>
        <v/>
      </c>
    </row>
    <row r="2208">
      <c r="A2208" t="inlineStr">
        <is>
          <t>Chain Lightning Casts Per Second</t>
        </is>
      </c>
      <c r="B2208">
        <f>MAX(0,B2206-B2207)</f>
        <v/>
      </c>
    </row>
    <row r="2209">
      <c r="A2209" t="inlineStr">
        <is>
          <t>Buff-Casting Startup Delay (s, fixed-duration only)</t>
        </is>
      </c>
      <c r="B2209">
        <f>IF(AND(Inputs!$B$38&lt;&gt;"pvp",Inputs!$B$43&gt;0),SUMPRODUCT((Skills!S2:S23&gt;0)*(Skills!E2:E23=TRUE)*(C2178:C2199=TRUE))/B2206,0)</f>
        <v/>
      </c>
    </row>
    <row r="2210">
      <c r="A2210" t="inlineStr">
        <is>
          <t>Boss-Only Total DPS (this block's swept value)</t>
        </is>
      </c>
      <c r="B2210">
        <f>SUM(S2178:S2199)</f>
        <v/>
      </c>
    </row>
    <row r="2211">
      <c r="A2211" t="inlineStr">
        <is>
          <t>Normal-Only Total DPS (this block's swept value)</t>
        </is>
      </c>
      <c r="B2211">
        <f>SUM(U2178:U2199)</f>
        <v/>
      </c>
    </row>
    <row r="2212">
      <c r="A2212" s="6" t="inlineStr">
        <is>
          <t>TOTAL DPS</t>
        </is>
      </c>
      <c r="B2212" s="6">
        <f>SUM(O2178:O2199)</f>
        <v/>
      </c>
    </row>
    <row r="2215">
      <c r="A2215" s="6" t="inlineStr">
        <is>
          <t>Stat: Alliance Badge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R2216" t="inlineStr">
        <is>
          <t>helpers</t>
        </is>
      </c>
    </row>
    <row r="2217">
      <c r="A2217">
        <f>Skills!A2</f>
        <v/>
      </c>
      <c r="B2217">
        <f>Skills!B2</f>
        <v/>
      </c>
      <c r="C2217">
        <f>Inputs!$B$3&gt;=100</f>
        <v/>
      </c>
      <c r="D2217" t="inlineStr"/>
      <c r="E2217" t="inlineStr"/>
      <c r="F2217">
        <f>T2219+Skills!N2</f>
        <v/>
      </c>
      <c r="G2217">
        <f>Calc!G2</f>
        <v/>
      </c>
      <c r="H2217">
        <f>Calc!H2</f>
        <v/>
      </c>
      <c r="I2217">
        <f>IF(Skills!T2&lt;&gt;"",1+(Skills!T2/10)*(Z2218/1000)/100,1)</f>
        <v/>
      </c>
      <c r="J2217">
        <f>((Inputs!$B$6*(1+Inputs!$B$7/100))+(((Inputs!$B$12*(1+Inputs!$B$13/100))-(Inputs!$B$12*(1+Inputs!$B$13/100)))+0.25*(Inputs!$B$14-Inputs!$B$14))*(1+Inputs!$B$7/100))*(F2217/100)</f>
        <v/>
      </c>
      <c r="K2217">
        <f>J2217*(1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2217)</f>
        <v/>
      </c>
      <c r="L2217">
        <f>K2217*(MIN(Inputs!$B$22+(F2233-Calc!F18),(Inputs!$B$23+(IF(ArtifactsInput!$M$15,CHOOSE(ArtifactsInput!$N$15+1,25,30,35,40,45,50)/100*(Inputs!$B$11-Inputs!$B$11),0))))/100+(Inputs!$B$23+(IF(ArtifactsInput!$M$15,CHOOSE(ArtifactsInput!$N$15+1,25,30,35,40,45,50)/100*(Inputs!$B$11-Inputs!$B$11),0)))/100)/2</f>
        <v/>
      </c>
      <c r="M2217">
        <f>L2217*(1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7">
        <f>L2217*(1-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2217*(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7">
        <f>(1-Summary!$B$11)*S2217+Summary!$B$11*U2217</f>
        <v/>
      </c>
      <c r="P2217">
        <f>IF(B2251=0,0,O2217/B2251)</f>
        <v/>
      </c>
      <c r="Q2217">
        <f>IFERROR(1/IF(Inputs!$B$38="pvp",15,MAX(0.1,Skills!D2-IF(Skills!E2=TRUE,Inputs!$B$32,0))),0)</f>
        <v/>
      </c>
      <c r="R2217" t="n">
        <v>0</v>
      </c>
      <c r="S2217">
        <f>IF(C2217,(Skills!F2*N2217*B2247)*IF(Inputs!$B$38="pvp",1,1+(Inputs!$B$20+Skills!O2+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17">
        <f>MAX(0,(Inputs!$B$3-100)*3)+Inputs!$B$28+Inputs!$B$29</f>
        <v/>
      </c>
      <c r="U2217">
        <f>IF(C2217,(Skills!F2*N2217*B2247)*IF(Inputs!$B$38="pvp",1,(1+(Inputs!$B$21+Skills!P2+B2242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17">
        <f>MAX(0,(Inputs!$B$3-100)*3)+Inputs!$B$28+Inputs!$B$29</f>
        <v/>
      </c>
    </row>
    <row r="2218">
      <c r="A2218">
        <f>Skills!A3</f>
        <v/>
      </c>
      <c r="B2218">
        <f>Skills!B3</f>
        <v/>
      </c>
      <c r="C2218">
        <f>Inputs!$B$3&gt;=15</f>
        <v/>
      </c>
      <c r="D2218">
        <f>IF(Skills!C3=1,60+Inputs!$B$25+Inputs!$B$29,IF(Skills!C3=2,90+Inputs!$B$26+Inputs!$B$29,IF(Skills!C3=3,120+Inputs!$B$27+Inputs!$B$29,MAX(0,(Inputs!$B$3-100)*3)+Inputs!$B$28+Inputs!$B$29)))</f>
        <v/>
      </c>
      <c r="E2218">
        <f>INDEX(FactorTable!$B$2:$Y$301, MATCH(ROUND(MIN(300,MAX(1,D2218)),0), FactorTable!$A$2:$A$301,0), Skills!L3+1)</f>
        <v/>
      </c>
      <c r="F2218">
        <f>IF(Skills!M3=TRUE,(Skills!K3/10)*(E2218/1000),Skills!K3/10)+Skills!N3</f>
        <v/>
      </c>
      <c r="G2218">
        <f>Calc!G3</f>
        <v/>
      </c>
      <c r="H2218">
        <f>Calc!H3</f>
        <v/>
      </c>
      <c r="I2218">
        <f>IF(Skills!T3&lt;&gt;"",1+(Skills!T3/10)*(Z2218/1000)/100,1)</f>
        <v/>
      </c>
      <c r="J2218" t="inlineStr"/>
      <c r="K2218" t="inlineStr"/>
      <c r="L2218" t="inlineStr"/>
      <c r="M2218" t="inlineStr"/>
      <c r="N2218" t="inlineStr"/>
      <c r="O2218">
        <f>(1-Summary!$B$11)*S2218+Summary!$B$11*U2218</f>
        <v/>
      </c>
      <c r="P2218">
        <f>IF(B2251=0,0,O2218/B2251)</f>
        <v/>
      </c>
      <c r="Q2218">
        <f>IFERROR(1/IF(Inputs!$B$38="pvp",15,MAX(0.1,Skills!D3-IF(Skills!E3=TRUE,Inputs!$B$32,0))),0)</f>
        <v/>
      </c>
      <c r="R2218">
        <f>IF(AND(Inputs!$B$38&lt;&gt;"pvp",Inputs!$B$43&gt;0),IF(Inputs!$B$43&lt;=0,0,(INT(Inputs!$B$43/IF(Inputs!$B$38="pvp",15,MAX(0.1,Skills!D3-IF(Skills!E3=TRUE,Inputs!$B$32,0))))+1)),0)</f>
        <v/>
      </c>
      <c r="S2218" t="n">
        <v>0</v>
      </c>
      <c r="T2218">
        <f>INDEX(FactorTable!$B$2:$Y$301, MATCH(ROUND(MIN(300,MAX(1,T2217)),0), FactorTable!$A$2:$A$301,0), 22)</f>
        <v/>
      </c>
      <c r="U2218" t="n">
        <v>0</v>
      </c>
      <c r="Z2218">
        <f>INDEX(FactorTable!$B$2:$Y$301, MATCH(ROUND(MIN(300,MAX(1,Z2217)),0), FactorTable!$A$2:$A$301,0), 24)</f>
        <v/>
      </c>
    </row>
    <row r="2219">
      <c r="A2219">
        <f>Skills!A4</f>
        <v/>
      </c>
      <c r="B2219">
        <f>Skills!B4</f>
        <v/>
      </c>
      <c r="C2219">
        <f>Inputs!$B$3&gt;=40</f>
        <v/>
      </c>
      <c r="D2219">
        <f>IF(Skills!C4=1,60+Inputs!$B$25+Inputs!$B$29,IF(Skills!C4=2,90+Inputs!$B$26+Inputs!$B$29,IF(Skills!C4=3,120+Inputs!$B$27+Inputs!$B$29,MAX(0,(Inputs!$B$3-100)*3)+Inputs!$B$28+Inputs!$B$29)))</f>
        <v/>
      </c>
      <c r="E2219">
        <f>INDEX(FactorTable!$B$2:$Y$301, MATCH(ROUND(MIN(300,MAX(1,D2219)),0), FactorTable!$A$2:$A$301,0), Skills!L4+1)</f>
        <v/>
      </c>
      <c r="F2219">
        <f>IF(Skills!M4=TRUE,(Skills!K4/10)*(E2219/1000),Skills!K4/10)+Skills!N4</f>
        <v/>
      </c>
      <c r="G2219">
        <f>Calc!G4</f>
        <v/>
      </c>
      <c r="H2219">
        <f>Calc!H4</f>
        <v/>
      </c>
      <c r="I2219">
        <f>IF(Skills!T4&lt;&gt;"",1+(Skills!T4/10)*(Z2218/1000)/100,1)</f>
        <v/>
      </c>
      <c r="J2219" t="inlineStr"/>
      <c r="K2219" t="inlineStr"/>
      <c r="L2219" t="inlineStr"/>
      <c r="M2219" t="inlineStr"/>
      <c r="N2219" t="inlineStr"/>
      <c r="O2219">
        <f>(1-Summary!$B$11)*S2219+Summary!$B$11*U2219</f>
        <v/>
      </c>
      <c r="P2219">
        <f>IF(B2251=0,0,O2219/B2251)</f>
        <v/>
      </c>
      <c r="Q2219">
        <f>IFERROR(1/IF(Inputs!$B$38="pvp",15,MAX(0.1,Skills!D4-IF(Skills!E4=TRUE,Inputs!$B$32,0))),0)</f>
        <v/>
      </c>
      <c r="R2219">
        <f>IF(AND(Inputs!$B$38&lt;&gt;"pvp",Inputs!$B$43&gt;0),IF(Inputs!$B$43&lt;=0,0,(INT(Inputs!$B$43/IF(Inputs!$B$38="pvp",15,MAX(0.1,Skills!D4-IF(Skills!E4=TRUE,Inputs!$B$32,0))))+1)),0)</f>
        <v/>
      </c>
      <c r="S2219" t="n">
        <v>0</v>
      </c>
      <c r="T2219">
        <f>290*T2218/1000</f>
        <v/>
      </c>
      <c r="U2219" t="n">
        <v>0</v>
      </c>
    </row>
    <row r="2220">
      <c r="A2220">
        <f>Skills!A5</f>
        <v/>
      </c>
      <c r="B2220">
        <f>Skills!B5</f>
        <v/>
      </c>
      <c r="C2220">
        <f>Inputs!$B$3&gt;=38</f>
        <v/>
      </c>
      <c r="D2220">
        <f>IF(Skills!C5=1,60+Inputs!$B$25+Inputs!$B$29,IF(Skills!C5=2,90+Inputs!$B$26+Inputs!$B$29,IF(Skills!C5=3,120+Inputs!$B$27+Inputs!$B$29,MAX(0,(Inputs!$B$3-100)*3)+Inputs!$B$28+Inputs!$B$29)))</f>
        <v/>
      </c>
      <c r="E2220">
        <f>INDEX(FactorTable!$B$2:$Y$301, MATCH(ROUND(MIN(300,MAX(1,D2220)),0), FactorTable!$A$2:$A$301,0), Skills!L5+1)</f>
        <v/>
      </c>
      <c r="F2220">
        <f>IF(Skills!M5=TRUE,(Skills!K5/10)*(E2220/1000),Skills!K5/10)+Skills!N5</f>
        <v/>
      </c>
      <c r="G2220">
        <f>Calc!G5</f>
        <v/>
      </c>
      <c r="H2220">
        <f>Calc!H5</f>
        <v/>
      </c>
      <c r="I2220">
        <f>IF(Skills!T5&lt;&gt;"",1+(Skills!T5/10)*(Z2218/1000)/100,1)</f>
        <v/>
      </c>
      <c r="J2220">
        <f>((Inputs!$B$6*(1+Inputs!$B$7/100))+(((Inputs!$B$12*(1+Inputs!$B$13/100))-(Inputs!$B$12*(1+Inputs!$B$13/100)))+0.25*(Inputs!$B$14-Inputs!$B$14))*(1+Inputs!$B$7/100))*(F2220/100)</f>
        <v/>
      </c>
      <c r="K2220">
        <f>J2220*(1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F2233-Calc!F18),(Inputs!$B$23+(IF(ArtifactsInput!$M$15,CHOOSE(ArtifactsInput!$N$15+1,25,30,35,40,45,50)/100*(Inputs!$B$11-Inputs!$B$11),0))))/100+(Inputs!$B$23+(IF(ArtifactsInput!$M$15,CHOOSE(ArtifactsInput!$N$15+1,25,30,35,40,45,50)/100*(Inputs!$B$11-Inputs!$B$11),0)))/100)/2</f>
        <v/>
      </c>
      <c r="M2220">
        <f>L2220*(1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(1-Summary!$B$11)*S2220+Summary!$B$11*U2220</f>
        <v/>
      </c>
      <c r="P2220">
        <f>IF(B2251=0,0,O2220/B2251)</f>
        <v/>
      </c>
      <c r="Q2220">
        <f>IFERROR(1/IF(Inputs!$B$38="pvp",15,MAX(0.1,Skills!D5-IF(Skills!E5=TRUE,Inputs!$B$32,0))),0)</f>
        <v/>
      </c>
      <c r="R2220">
        <f>IF(AND(Inputs!$B$38&lt;&gt;"pvp",Inputs!$B$43&gt;0),IF(MAX(0,Inputs!$B$43-B2248)&lt;=0,0,(INT(MAX(0,Inputs!$B$43-B2248)/IF(Inputs!$B$38="pvp",15,MAX(0.1,Skills!D5-IF(Skills!E5=TRUE,Inputs!$B$32,0))))+1)),0)</f>
        <v/>
      </c>
      <c r="S2220">
        <f>IF(C2220,(H2220*N2220*IF(AND(Inputs!$B$38&lt;&gt;"pvp",Inputs!$B$43&gt;0),((Skills!F5*((R2220-1)*IF(Skills!G5&gt;0,Skills!H5/Skills!G5,1)+IF(Skills!G5&gt;0,MIN(Skills!H5,MAX(0,MAX(0,Inputs!$B$43-B2248)-((R2220-1)*IF(Inputs!$B$38="pvp",15,MAX(0.1,Skills!D5-IF(Skills!E5=TRUE,Inputs!$B$32,0))))))/Skills!G5,1)))/Inputs!$B$43),G2220*Q2220))*IF(Inputs!$B$38="pvp",1,1+(Inputs!$B$20+Skills!O5+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2220*(1-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0">
        <f>IF(C2220,(H2220*N2220*IF(AND(Inputs!$B$38&lt;&gt;"pvp",Inputs!$B$43&gt;0),((Skills!F5*((R2220-1)*IF(Skills!G5&gt;0,Skills!H5/Skills!G5,1)+IF(Skills!G5&gt;0,MIN(Skills!H5,MAX(0,MAX(0,Inputs!$B$43-B2248)-((R2220-1)*IF(Inputs!$B$38="pvp",15,MAX(0.1,Skills!D5-IF(Skills!E5=TRUE,Inputs!$B$32,0))))))/Skills!G5,1)))/Inputs!$B$43),G2220*Q2220))*IF(Inputs!$B$38="pvp",1,(1+(Inputs!$B$21+Skills!P5+B2242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Skills!A6</f>
        <v/>
      </c>
      <c r="B2221">
        <f>Skills!B6</f>
        <v/>
      </c>
      <c r="C2221">
        <f>Inputs!$B$3&gt;=63</f>
        <v/>
      </c>
      <c r="D2221">
        <f>IF(Skills!C6=1,60+Inputs!$B$25+Inputs!$B$29,IF(Skills!C6=2,90+Inputs!$B$26+Inputs!$B$29,IF(Skills!C6=3,120+Inputs!$B$27+Inputs!$B$29,MAX(0,(Inputs!$B$3-100)*3)+Inputs!$B$28+Inputs!$B$29)))</f>
        <v/>
      </c>
      <c r="E2221">
        <f>INDEX(FactorTable!$B$2:$Y$301, MATCH(ROUND(MIN(300,MAX(1,D2221)),0), FactorTable!$A$2:$A$301,0), Skills!L6+1)</f>
        <v/>
      </c>
      <c r="F2221">
        <f>IF(Skills!M6=TRUE,(Skills!K6/10)*(E2221/1000),Skills!K6/10)+Skills!N6</f>
        <v/>
      </c>
      <c r="G2221">
        <f>Calc!G6</f>
        <v/>
      </c>
      <c r="H2221">
        <f>Calc!H6</f>
        <v/>
      </c>
      <c r="I2221">
        <f>IF(Skills!T6&lt;&gt;"",1+(Skills!T6/10)*(Z2218/1000)/100,1)</f>
        <v/>
      </c>
      <c r="J2221">
        <f>((Inputs!$B$6*(1+Inputs!$B$7/100))+(((Inputs!$B$12*(1+Inputs!$B$13/100))-(Inputs!$B$12*(1+Inputs!$B$13/100)))+0.25*(Inputs!$B$14-Inputs!$B$14))*(1+Inputs!$B$7/100))*(F2221/100)</f>
        <v/>
      </c>
      <c r="K2221">
        <f>J2221*(1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2221)</f>
        <v/>
      </c>
      <c r="L2221">
        <f>K2221*(MIN(Inputs!$B$22+(F2233-Calc!F18),(Inputs!$B$23+(IF(ArtifactsInput!$M$15,CHOOSE(ArtifactsInput!$N$15+1,25,30,35,40,45,50)/100*(Inputs!$B$11-Inputs!$B$11),0))))/100+(Inputs!$B$23+(IF(ArtifactsInput!$M$15,CHOOSE(ArtifactsInput!$N$15+1,25,30,35,40,45,50)/100*(Inputs!$B$11-Inputs!$B$11),0)))/100)/2</f>
        <v/>
      </c>
      <c r="M2221">
        <f>L2221*(1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(1-Summary!$B$11)*S2221+Summary!$B$11*U2221</f>
        <v/>
      </c>
      <c r="P2221">
        <f>IF(B2251=0,0,O2221/B2251)</f>
        <v/>
      </c>
      <c r="Q2221">
        <f>IFERROR(1/IF(Inputs!$B$38="pvp",15,MAX(0.1,Skills!D6-IF(Skills!E6=TRUE,Inputs!$B$32,0))),0)</f>
        <v/>
      </c>
      <c r="R2221">
        <f>IF(AND(Inputs!$B$38&lt;&gt;"pvp",Inputs!$B$43&gt;0),IF(MAX(0,Inputs!$B$43-B2248)&lt;=0,0,(INT(MAX(0,Inputs!$B$43-B2248)/IF(Inputs!$B$38="pvp",15,MAX(0.1,Skills!D6-IF(Skills!E6=TRUE,Inputs!$B$32,0))))+1)),0)</f>
        <v/>
      </c>
      <c r="S2221">
        <f>IF(C2221,(H2221*N2221*IF(AND(Inputs!$B$38&lt;&gt;"pvp",Inputs!$B$43&gt;0),((Skills!F6*((R2221-1)*IF(Skills!G6&gt;0,Skills!H6/Skills!G6,1)+IF(Skills!G6&gt;0,MIN(Skills!H6,MAX(0,MAX(0,Inputs!$B$43-B2248)-((R2221-1)*IF(Inputs!$B$38="pvp",15,MAX(0.1,Skills!D6-IF(Skills!E6=TRUE,Inputs!$B$32,0))))))/Skills!G6,1)))/Inputs!$B$43),G2221*Q2221))*IF(Inputs!$B$38="pvp",1,1+(Inputs!$B$20+Skills!O6+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2221*(1-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1">
        <f>IF(C2221,(H2221*N2221*IF(AND(Inputs!$B$38&lt;&gt;"pvp",Inputs!$B$43&gt;0),((Skills!F6*((R2221-1)*IF(Skills!G6&gt;0,Skills!H6/Skills!G6,1)+IF(Skills!G6&gt;0,MIN(Skills!H6,MAX(0,MAX(0,Inputs!$B$43-B2248)-((R2221-1)*IF(Inputs!$B$38="pvp",15,MAX(0.1,Skills!D6-IF(Skills!E6=TRUE,Inputs!$B$32,0))))))/Skills!G6,1)))/Inputs!$B$43),G2221*Q2221))*IF(Inputs!$B$38="pvp",1,(1+(Inputs!$B$21+Skills!P6+B2242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Skills!A7</f>
        <v/>
      </c>
      <c r="B2222">
        <f>Skills!B7</f>
        <v/>
      </c>
      <c r="C2222">
        <f>Inputs!$B$3&gt;=69</f>
        <v/>
      </c>
      <c r="D2222">
        <f>IF(Skills!C7=1,60+Inputs!$B$25+Inputs!$B$29,IF(Skills!C7=2,90+Inputs!$B$26+Inputs!$B$29,IF(Skills!C7=3,120+Inputs!$B$27+Inputs!$B$29,MAX(0,(Inputs!$B$3-100)*3)+Inputs!$B$28+Inputs!$B$29)))</f>
        <v/>
      </c>
      <c r="E2222">
        <f>INDEX(FactorTable!$B$2:$Y$301, MATCH(ROUND(MIN(300,MAX(1,D2222)),0), FactorTable!$A$2:$A$301,0), Skills!L7+1)</f>
        <v/>
      </c>
      <c r="F2222">
        <f>IF(Skills!M7=TRUE,(Skills!K7/10)*(E2222/1000),Skills!K7/10)+Skills!N7</f>
        <v/>
      </c>
      <c r="G2222">
        <f>Calc!G7</f>
        <v/>
      </c>
      <c r="H2222">
        <f>Calc!H7</f>
        <v/>
      </c>
      <c r="I2222">
        <f>IF(Skills!T7&lt;&gt;"",1+(Skills!T7/10)*(Z2218/1000)/100,1)</f>
        <v/>
      </c>
      <c r="J2222">
        <f>((Inputs!$B$6*(1+Inputs!$B$7/100))+(((Inputs!$B$12*(1+Inputs!$B$13/100))-(Inputs!$B$12*(1+Inputs!$B$13/100)))+0.25*(Inputs!$B$14-Inputs!$B$14))*(1+Inputs!$B$7/100))*(F2222/100)</f>
        <v/>
      </c>
      <c r="K2222">
        <f>J2222*(1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F2233-Calc!F18),(Inputs!$B$23+(IF(ArtifactsInput!$M$15,CHOOSE(ArtifactsInput!$N$15+1,25,30,35,40,45,50)/100*(Inputs!$B$11-Inputs!$B$11),0))))/100+(Inputs!$B$23+(IF(ArtifactsInput!$M$15,CHOOSE(ArtifactsInput!$N$15+1,25,30,35,40,45,50)/100*(Inputs!$B$11-Inputs!$B$11),0)))/100)/2</f>
        <v/>
      </c>
      <c r="M2222">
        <f>L2222*(1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(1-Summary!$B$11)*S2222+Summary!$B$11*U2222</f>
        <v/>
      </c>
      <c r="P2222">
        <f>IF(B2251=0,0,O2222/B2251)</f>
        <v/>
      </c>
      <c r="Q2222">
        <f>IFERROR(1/IF(Inputs!$B$38="pvp",15,MAX(0.1,Skills!D7-IF(Skills!E7=TRUE,Inputs!$B$32,0))),0)</f>
        <v/>
      </c>
      <c r="R2222">
        <f>IF(AND(Inputs!$B$38&lt;&gt;"pvp",Inputs!$B$43&gt;0),IF(MAX(0,Inputs!$B$43-B2248)&lt;=0,0,(INT(MAX(0,Inputs!$B$43-B2248)/IF(Inputs!$B$38="pvp",15,MAX(0.1,Skills!D7-IF(Skills!E7=TRUE,Inputs!$B$32,0))))+1)),0)</f>
        <v/>
      </c>
      <c r="S2222">
        <f>IF(C2222,(H2222*N2222*IF(AND(Inputs!$B$38&lt;&gt;"pvp",Inputs!$B$43&gt;0),((Skills!F7*((R2222-1)*IF(Skills!G7&gt;0,Skills!H7/Skills!G7,1)+IF(Skills!G7&gt;0,MIN(Skills!H7,MAX(0,MAX(0,Inputs!$B$43-B2248)-((R2222-1)*IF(Inputs!$B$38="pvp",15,MAX(0.1,Skills!D7-IF(Skills!E7=TRUE,Inputs!$B$32,0))))))/Skills!G7,1)))/Inputs!$B$43),G2222*Q2222))*IF(Inputs!$B$38="pvp",1,1+(Inputs!$B$20+Skills!O7+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2">
        <f>IF(C2222,(H2222*N2222*IF(AND(Inputs!$B$38&lt;&gt;"pvp",Inputs!$B$43&gt;0),((Skills!F7*((R2222-1)*IF(Skills!G7&gt;0,Skills!H7/Skills!G7,1)+IF(Skills!G7&gt;0,MIN(Skills!H7,MAX(0,MAX(0,Inputs!$B$43-B2248)-((R2222-1)*IF(Inputs!$B$38="pvp",15,MAX(0.1,Skills!D7-IF(Skills!E7=TRUE,Inputs!$B$32,0))))))/Skills!G7,1)))/Inputs!$B$43),G2222*Q2222))*IF(Inputs!$B$38="pvp",1,(1+(Inputs!$B$21+Skills!P7+B2242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Skills!A8</f>
        <v/>
      </c>
      <c r="B2223">
        <f>Skills!B8</f>
        <v/>
      </c>
      <c r="C2223">
        <f>Inputs!$B$3&gt;=103</f>
        <v/>
      </c>
      <c r="D2223">
        <f>IF(Skills!C8=1,60+Inputs!$B$25+Inputs!$B$29,IF(Skills!C8=2,90+Inputs!$B$26+Inputs!$B$29,IF(Skills!C8=3,120+Inputs!$B$27+Inputs!$B$29,MAX(0,(Inputs!$B$3-100)*3)+Inputs!$B$28+Inputs!$B$29)))</f>
        <v/>
      </c>
      <c r="E2223">
        <f>INDEX(FactorTable!$B$2:$Y$301, MATCH(ROUND(MIN(300,MAX(1,D2223)),0), FactorTable!$A$2:$A$301,0), Skills!L8+1)</f>
        <v/>
      </c>
      <c r="F2223">
        <f>IF(Skills!M8=TRUE,(Skills!K8/10)*(E2223/1000),Skills!K8/10)+Skills!N8</f>
        <v/>
      </c>
      <c r="G2223">
        <f>Calc!G8</f>
        <v/>
      </c>
      <c r="H2223">
        <f>Calc!H8</f>
        <v/>
      </c>
      <c r="I2223">
        <f>IF(Skills!T8&lt;&gt;"",1+(Skills!T8/10)*(Z2218/1000)/100,1)</f>
        <v/>
      </c>
      <c r="J2223">
        <f>((Inputs!$B$6*(1+Inputs!$B$7/100))+(((Inputs!$B$12*(1+Inputs!$B$13/100))-(Inputs!$B$12*(1+Inputs!$B$13/100)))+0.25*(Inputs!$B$14-Inputs!$B$14))*(1+Inputs!$B$7/100))*(F2223/100)</f>
        <v/>
      </c>
      <c r="K2223">
        <f>J2223*(1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F2233-Calc!F18),(Inputs!$B$23+(IF(ArtifactsInput!$M$15,CHOOSE(ArtifactsInput!$N$15+1,25,30,35,40,45,50)/100*(Inputs!$B$11-Inputs!$B$11),0))))/100+(Inputs!$B$23+(IF(ArtifactsInput!$M$15,CHOOSE(ArtifactsInput!$N$15+1,25,30,35,40,45,50)/100*(Inputs!$B$11-Inputs!$B$11),0)))/100)/2</f>
        <v/>
      </c>
      <c r="M2223">
        <f>L2223*(1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(1-Summary!$B$11)*S2223+Summary!$B$11*U2223</f>
        <v/>
      </c>
      <c r="P2223">
        <f>IF(B2251=0,0,O2223/B2251)</f>
        <v/>
      </c>
      <c r="Q2223">
        <f>IFERROR(1/IF(Inputs!$B$38="pvp",15,MAX(0.1,Skills!D8-IF(Skills!E8=TRUE,Inputs!$B$32,0))),0)</f>
        <v/>
      </c>
      <c r="R2223">
        <f>IF(AND(Inputs!$B$38&lt;&gt;"pvp",Inputs!$B$43&gt;0),IF(MAX(0,Inputs!$B$43-B2248)&lt;=0,0,(INT(MAX(0,Inputs!$B$43-B2248)/IF(Inputs!$B$38="pvp",15,MAX(0.1,Skills!D8-IF(Skills!E8=TRUE,Inputs!$B$32,0))))+1)),0)</f>
        <v/>
      </c>
      <c r="S2223">
        <f>IF(C2223,(H2223*N2223*IF(AND(Inputs!$B$38&lt;&gt;"pvp",Inputs!$B$43&gt;0),((Skills!F8*((R2223-1)*IF(Skills!G8&gt;0,Skills!H8/Skills!G8,1)+IF(Skills!G8&gt;0,MIN(Skills!H8,MAX(0,MAX(0,Inputs!$B$43-B2248)-((R2223-1)*IF(Inputs!$B$38="pvp",15,MAX(0.1,Skills!D8-IF(Skills!E8=TRUE,Inputs!$B$32,0))))))/Skills!G8,1)))/Inputs!$B$43),G2223*Q2223))*IF(Inputs!$B$38="pvp",1,1+(Inputs!$B$20+Skills!O8+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2223*(1-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3">
        <f>IF(C2223,(H2223*N2223*IF(AND(Inputs!$B$38&lt;&gt;"pvp",Inputs!$B$43&gt;0),((Skills!F8*((R2223-1)*IF(Skills!G8&gt;0,Skills!H8/Skills!G8,1)+IF(Skills!G8&gt;0,MIN(Skills!H8,MAX(0,MAX(0,Inputs!$B$43-B2248)-((R2223-1)*IF(Inputs!$B$38="pvp",15,MAX(0.1,Skills!D8-IF(Skills!E8=TRUE,Inputs!$B$32,0))))))/Skills!G8,1)))/Inputs!$B$43),G2223*Q2223))*IF(Inputs!$B$38="pvp",1,(1+(Inputs!$B$21+Skills!P8+B2242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Skills!A9</f>
        <v/>
      </c>
      <c r="B2224">
        <f>Skills!B9</f>
        <v/>
      </c>
      <c r="C2224">
        <f>Inputs!$B$3&gt;=105</f>
        <v/>
      </c>
      <c r="D2224">
        <f>IF(Skills!C9=1,60+Inputs!$B$25+Inputs!$B$29,IF(Skills!C9=2,90+Inputs!$B$26+Inputs!$B$29,IF(Skills!C9=3,120+Inputs!$B$27+Inputs!$B$29,MAX(0,(Inputs!$B$3-100)*3)+Inputs!$B$28+Inputs!$B$29)))</f>
        <v/>
      </c>
      <c r="E2224">
        <f>INDEX(FactorTable!$B$2:$Y$301, MATCH(ROUND(MIN(300,MAX(1,D2224)),0), FactorTable!$A$2:$A$301,0), Skills!L9+1)</f>
        <v/>
      </c>
      <c r="F2224">
        <f>IF(Skills!M9=TRUE,(Skills!K9/10)*(E2224/1000),Skills!K9/10)+Skills!N9</f>
        <v/>
      </c>
      <c r="G2224">
        <f>Calc!G9</f>
        <v/>
      </c>
      <c r="H2224">
        <f>Calc!H9</f>
        <v/>
      </c>
      <c r="I2224">
        <f>IF(Skills!T9&lt;&gt;"",1+(Skills!T9/10)*(Z2218/1000)/100,1)</f>
        <v/>
      </c>
      <c r="J2224">
        <f>((Inputs!$B$6*(1+Inputs!$B$7/100))+(((Inputs!$B$12*(1+Inputs!$B$13/100))-(Inputs!$B$12*(1+Inputs!$B$13/100)))+0.25*(Inputs!$B$14-Inputs!$B$14))*(1+Inputs!$B$7/100))*(F2224/100)</f>
        <v/>
      </c>
      <c r="K2224">
        <f>J2224*(1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F2233-Calc!F18),(Inputs!$B$23+(IF(ArtifactsInput!$M$15,CHOOSE(ArtifactsInput!$N$15+1,25,30,35,40,45,50)/100*(Inputs!$B$11-Inputs!$B$11),0))))/100+(Inputs!$B$23+(IF(ArtifactsInput!$M$15,CHOOSE(ArtifactsInput!$N$15+1,25,30,35,40,45,50)/100*(Inputs!$B$11-Inputs!$B$11),0)))/100)/2</f>
        <v/>
      </c>
      <c r="M2224">
        <f>L2224*(1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(1-Summary!$B$11)*S2224+Summary!$B$11*U2224</f>
        <v/>
      </c>
      <c r="P2224">
        <f>IF(B2251=0,0,O2224/B2251)</f>
        <v/>
      </c>
      <c r="Q2224">
        <f>IFERROR(1/IF(Inputs!$B$38="pvp",15,MAX(0.1,Skills!D9-IF(Skills!E9=TRUE,Inputs!$B$32,0))),0)</f>
        <v/>
      </c>
      <c r="R2224">
        <f>IF(AND(Inputs!$B$38&lt;&gt;"pvp",Inputs!$B$43&gt;0),IF(MAX(0,Inputs!$B$43-B2248)&lt;=0,0,(INT(MAX(0,Inputs!$B$43-B2248)/IF(Inputs!$B$38="pvp",15,MAX(0.1,Skills!D9-IF(Skills!E9=TRUE,Inputs!$B$32,0))))+1)),0)</f>
        <v/>
      </c>
      <c r="S2224">
        <f>IF(C2224,(H2224*N2224*IF(AND(Inputs!$B$38&lt;&gt;"pvp",Inputs!$B$43&gt;0),((Skills!F9*((R2224-1)*IF(Skills!G9&gt;0,Skills!H9/Skills!G9,1)+IF(Skills!G9&gt;0,MIN(Skills!H9,MAX(0,MAX(0,Inputs!$B$43-B2248)-((R2224-1)*IF(Inputs!$B$38="pvp",15,MAX(0.1,Skills!D9-IF(Skills!E9=TRUE,Inputs!$B$32,0))))))/Skills!G9,1)))/Inputs!$B$43),G2224*Q2224))*IF(Inputs!$B$38="pvp",1,1+(Inputs!$B$20+Skills!O9+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2224*(1-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4">
        <f>IF(C2224,(H2224*N2224*IF(AND(Inputs!$B$38&lt;&gt;"pvp",Inputs!$B$43&gt;0),((Skills!F9*((R2224-1)*IF(Skills!G9&gt;0,Skills!H9/Skills!G9,1)+IF(Skills!G9&gt;0,MIN(Skills!H9,MAX(0,MAX(0,Inputs!$B$43-B2248)-((R2224-1)*IF(Inputs!$B$38="pvp",15,MAX(0.1,Skills!D9-IF(Skills!E9=TRUE,Inputs!$B$32,0))))))/Skills!G9,1)))/Inputs!$B$43),G2224*Q2224))*IF(Inputs!$B$38="pvp",1,(1+(Inputs!$B$21+Skills!P9+B2242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Skills!A10</f>
        <v/>
      </c>
      <c r="B2225">
        <f>Skills!B10</f>
        <v/>
      </c>
      <c r="C2225">
        <f>Inputs!$B$3&gt;=113</f>
        <v/>
      </c>
      <c r="D2225">
        <f>IF(Skills!C10=1,60+Inputs!$B$25+Inputs!$B$29,IF(Skills!C10=2,90+Inputs!$B$26+Inputs!$B$29,IF(Skills!C10=3,120+Inputs!$B$27+Inputs!$B$29,MAX(0,(Inputs!$B$3-100)*3)+Inputs!$B$28+Inputs!$B$29)))</f>
        <v/>
      </c>
      <c r="E2225">
        <f>INDEX(FactorTable!$B$2:$Y$301, MATCH(ROUND(MIN(300,MAX(1,D2225)),0), FactorTable!$A$2:$A$301,0), Skills!L10+1)</f>
        <v/>
      </c>
      <c r="F2225">
        <f>IF(Skills!M10=TRUE,(Skills!K10/10)*(E2225/1000),Skills!K10/10)+Skills!N10</f>
        <v/>
      </c>
      <c r="G2225">
        <f>Calc!G10</f>
        <v/>
      </c>
      <c r="H2225">
        <f>Calc!H10</f>
        <v/>
      </c>
      <c r="I2225">
        <f>IF(Skills!T10&lt;&gt;"",1+(Skills!T10/10)*(Z2218/1000)/100,1)</f>
        <v/>
      </c>
      <c r="J2225">
        <f>((Inputs!$B$6*(1+Inputs!$B$7/100))+(((Inputs!$B$12*(1+Inputs!$B$13/100))-(Inputs!$B$12*(1+Inputs!$B$13/100)))+0.25*(Inputs!$B$14-Inputs!$B$14))*(1+Inputs!$B$7/100))*(F2225/100)</f>
        <v/>
      </c>
      <c r="K2225">
        <f>J2225*(1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F2233-Calc!F18),(Inputs!$B$23+(IF(ArtifactsInput!$M$15,CHOOSE(ArtifactsInput!$N$15+1,25,30,35,40,45,50)/100*(Inputs!$B$11-Inputs!$B$11),0))))/100+(Inputs!$B$23+(IF(ArtifactsInput!$M$15,CHOOSE(ArtifactsInput!$N$15+1,25,30,35,40,45,50)/100*(Inputs!$B$11-Inputs!$B$11),0)))/100)/2</f>
        <v/>
      </c>
      <c r="M2225">
        <f>L2225*(1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5">
        <f>L2225*(1-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(1-Summary!$B$11)*S2225+Summary!$B$11*U2225</f>
        <v/>
      </c>
      <c r="P2225">
        <f>IF(B2251=0,0,O2225/B2251)</f>
        <v/>
      </c>
      <c r="Q2225">
        <f>IFERROR(1/IF(Inputs!$B$38="pvp",15,MAX(0.1,Skills!D10-IF(Skills!E9=TRUE,Inputs!$B$32,0))),0)</f>
        <v/>
      </c>
      <c r="R2225">
        <f>IF(AND(Inputs!$B$38&lt;&gt;"pvp",Inputs!$B$43&gt;0),IF(MAX(0,Inputs!$B$43-B2248)&lt;=0,0,(INT(MAX(0,Inputs!$B$43-B2248)/IF(Inputs!$B$38="pvp",15,MAX(0.1,Skills!D10-IF(Skills!E9=TRUE,Inputs!$B$32,0))))+1)),0)</f>
        <v/>
      </c>
      <c r="S2225">
        <f>IF(C2225,(H2225*N2225*IF(AND(Inputs!$B$38&lt;&gt;"pvp",Inputs!$B$43&gt;0),((Skills!F10*((R2225-1)*IF(Skills!G10&gt;0,Skills!H10/Skills!G10,1)+IF(Skills!G10&gt;0,MIN(Skills!H10,MAX(0,MAX(0,Inputs!$B$43-B2248)-((R2225-1)*IF(Inputs!$B$38="pvp",15,MAX(0.1,Skills!D10-IF(Skills!E9=TRUE,Inputs!$B$32,0))))))/Skills!G10,1)))/Inputs!$B$43),G2225*Q2225))*IF(Inputs!$B$38="pvp",1,1+(Inputs!$B$20+Skills!O10+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2225*(1-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5">
        <f>IF(C2225,(H2225*N2225*IF(AND(Inputs!$B$38&lt;&gt;"pvp",Inputs!$B$43&gt;0),((Skills!F10*((R2225-1)*IF(Skills!G10&gt;0,Skills!H10/Skills!G10,1)+IF(Skills!G10&gt;0,MIN(Skills!H10,MAX(0,MAX(0,Inputs!$B$43-B2248)-((R2225-1)*IF(Inputs!$B$38="pvp",15,MAX(0.1,Skills!D10-IF(Skills!E9=TRUE,Inputs!$B$32,0))))))/Skills!G10,1)))/Inputs!$B$43),G2225*Q2225))*IF(Inputs!$B$38="pvp",1,(1+(Inputs!$B$21+Skills!P10+B2242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Skills!A11</f>
        <v/>
      </c>
      <c r="B2226">
        <f>Skills!B11</f>
        <v/>
      </c>
      <c r="C2226">
        <f>Inputs!$B$3&gt;=107</f>
        <v/>
      </c>
      <c r="D2226">
        <f>IF(Skills!C11=1,60+Inputs!$B$25+Inputs!$B$29,IF(Skills!C11=2,90+Inputs!$B$26+Inputs!$B$29,IF(Skills!C11=3,120+Inputs!$B$27+Inputs!$B$29,MAX(0,(Inputs!$B$3-100)*3)+Inputs!$B$28+Inputs!$B$29)))</f>
        <v/>
      </c>
      <c r="E2226">
        <f>INDEX(FactorTable!$B$2:$Y$301, MATCH(ROUND(MIN(300,MAX(1,D2226)),0), FactorTable!$A$2:$A$301,0), Skills!L11+1)</f>
        <v/>
      </c>
      <c r="F2226">
        <f>IF(Skills!M11=TRUE,(Skills!K11/10)*(E2226/1000),Skills!K11/10)+Skills!N11</f>
        <v/>
      </c>
      <c r="G2226">
        <f>Calc!G11</f>
        <v/>
      </c>
      <c r="H2226">
        <f>Calc!H11</f>
        <v/>
      </c>
      <c r="I2226">
        <f>IF(Skills!T11&lt;&gt;"",1+(Skills!T11/10)*(Z2218/1000)/100,1)</f>
        <v/>
      </c>
      <c r="J2226">
        <f>((Inputs!$B$6*(1+Inputs!$B$7/100))+(((Inputs!$B$12*(1+Inputs!$B$13/100))-(Inputs!$B$12*(1+Inputs!$B$13/100)))+0.25*(Inputs!$B$14-Inputs!$B$14))*(1+Inputs!$B$7/100))*(F2226/100)</f>
        <v/>
      </c>
      <c r="K2226">
        <f>J2226*(1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F2233-Calc!F18),(Inputs!$B$23+(IF(ArtifactsInput!$M$15,CHOOSE(ArtifactsInput!$N$15+1,25,30,35,40,45,50)/100*(Inputs!$B$11-Inputs!$B$11),0))))/100+(Inputs!$B$23+(IF(ArtifactsInput!$M$15,CHOOSE(ArtifactsInput!$N$15+1,25,30,35,40,45,50)/100*(Inputs!$B$11-Inputs!$B$11),0)))/100)/2</f>
        <v/>
      </c>
      <c r="M2226">
        <f>L2226*(1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6">
        <f>L2226*(1-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(1-Summary!$B$11)*S2226+Summary!$B$11*U2226</f>
        <v/>
      </c>
      <c r="P2226">
        <f>IF(B2251=0,0,O2226/B2251)</f>
        <v/>
      </c>
      <c r="Q2226">
        <f>IFERROR(1/IF(Inputs!$B$38="pvp",15,MAX(0.1,Skills!D11-IF(Skills!E11=TRUE,Inputs!$B$32,0))),0)</f>
        <v/>
      </c>
      <c r="R2226">
        <f>IF(AND(Inputs!$B$38&lt;&gt;"pvp",Inputs!$B$43&gt;0),IF(MAX(0,Inputs!$B$43-B2248)&lt;=0,0,(INT(MAX(0,Inputs!$B$43-B2248)/IF(Inputs!$B$38="pvp",15,MAX(0.1,Skills!D11-IF(Skills!E11=TRUE,Inputs!$B$32,0))))+1)),0)</f>
        <v/>
      </c>
      <c r="S2226">
        <f>IF(C2226,H2226*N2226*IF(AND(Inputs!$B$38&lt;&gt;"pvp",Inputs!$B$43&gt;0),((Skills!F11*((R2226-1)*IF(Skills!G11&gt;0,Skills!H11/Skills!G11,1)+IF(Skills!G11&gt;0,MIN(Skills!H11,MAX(0,MAX(0,Inputs!$B$43-B2248)-((R2226-1)*IF(Inputs!$B$38="pvp",15,MAX(0.1,Skills!D11-IF(Skills!E11=TRUE,Inputs!$B$32,0))))))/Skills!G11,1)))/Inputs!$B$43),G2226*Q2226)*0.5*IF(Inputs!$B$38="pvp",1,1+(Inputs!$B$20+Skills!O11+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2226*(1-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6">
        <f>IF(C2226,H2226*N2226*IF(AND(Inputs!$B$38&lt;&gt;"pvp",Inputs!$B$43&gt;0),((Skills!F11*((R2226-1)*IF(Skills!G11&gt;0,Skills!H11/Skills!G11,1)+IF(Skills!G11&gt;0,MIN(Skills!H11,MAX(0,MAX(0,Inputs!$B$43-B2248)-((R2226-1)*IF(Inputs!$B$38="pvp",15,MAX(0.1,Skills!D11-IF(Skills!E11=TRUE,Inputs!$B$32,0))))))/Skills!G11,1)))/Inputs!$B$43),G2226*Q2226)*1*IF(Inputs!$B$38="pvp",1,(1+(Inputs!$B$21+Skills!P11+B2242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Skills!A12</f>
        <v/>
      </c>
      <c r="B2227">
        <f>Skills!B12</f>
        <v/>
      </c>
      <c r="C2227">
        <f>Inputs!$B$3&gt;=115</f>
        <v/>
      </c>
      <c r="D2227">
        <f>IF(Skills!C12=1,60+Inputs!$B$25+Inputs!$B$29,IF(Skills!C12=2,90+Inputs!$B$26+Inputs!$B$29,IF(Skills!C12=3,120+Inputs!$B$27+Inputs!$B$29,MAX(0,(Inputs!$B$3-100)*3)+Inputs!$B$28+Inputs!$B$29)))</f>
        <v/>
      </c>
      <c r="E2227">
        <f>INDEX(FactorTable!$B$2:$Y$301, MATCH(ROUND(MIN(300,MAX(1,D2227)),0), FactorTable!$A$2:$A$301,0), Skills!L12+1)</f>
        <v/>
      </c>
      <c r="F2227">
        <f>IF(Skills!M12=TRUE,(Skills!K12/10)*(E2227/1000),Skills!K12/10)+Skills!N12</f>
        <v/>
      </c>
      <c r="G2227">
        <f>Calc!G12</f>
        <v/>
      </c>
      <c r="H2227">
        <f>Calc!H12</f>
        <v/>
      </c>
      <c r="I2227">
        <f>IF(Skills!T12&lt;&gt;"",1+(Skills!T12/10)*(Z2218/1000)/100,1)</f>
        <v/>
      </c>
      <c r="J2227">
        <f>((Inputs!$B$6*(1+Inputs!$B$7/100))+(((Inputs!$B$12*(1+Inputs!$B$13/100))-(Inputs!$B$12*(1+Inputs!$B$13/100)))+0.25*(Inputs!$B$14-Inputs!$B$14))*(1+Inputs!$B$7/100))*(F2227/100)</f>
        <v/>
      </c>
      <c r="K2227">
        <f>J2227*(1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F2233-Calc!F18),(Inputs!$B$23+(IF(ArtifactsInput!$M$15,CHOOSE(ArtifactsInput!$N$15+1,25,30,35,40,45,50)/100*(Inputs!$B$11-Inputs!$B$11),0))))/100+(Inputs!$B$23+(IF(ArtifactsInput!$M$15,CHOOSE(ArtifactsInput!$N$15+1,25,30,35,40,45,50)/100*(Inputs!$B$11-Inputs!$B$11),0)))/100)/2</f>
        <v/>
      </c>
      <c r="M2227">
        <f>L2227*(1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7">
        <f>L2227*(1-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(1-Summary!$B$11)*S2227+Summary!$B$11*U2227</f>
        <v/>
      </c>
      <c r="P2227">
        <f>IF(B2251=0,0,O2227/B2251)</f>
        <v/>
      </c>
      <c r="Q2227">
        <f>IFERROR(1/IF(Inputs!$B$38="pvp",15,MAX(0.1,Skills!D12-IF(Skills!E12=TRUE,Inputs!$B$32,0))),0)</f>
        <v/>
      </c>
      <c r="R2227">
        <f>IF(AND(Inputs!$B$38&lt;&gt;"pvp",Inputs!$B$43&gt;0),IF(MAX(0,Inputs!$B$43-B2248)&lt;=0,0,(INT(MAX(0,Inputs!$B$43-B2248)/IF(Inputs!$B$38="pvp",15,MAX(0.1,Skills!D12-IF(Skills!E12=TRUE,Inputs!$B$32,0))))+1)),0)</f>
        <v/>
      </c>
      <c r="S2227">
        <f>IF(C2227,(H2227*N2227*IF(AND(Inputs!$B$38&lt;&gt;"pvp",Inputs!$B$43&gt;0),((Skills!F12*((R2227-1)*IF(Skills!G12&gt;0,Skills!H12/Skills!G12,1)+IF(Skills!G12&gt;0,MIN(Skills!H12,MAX(0,MAX(0,Inputs!$B$43-B2248)-((R2227-1)*IF(Inputs!$B$38="pvp",15,MAX(0.1,Skills!D12-IF(Skills!E12=TRUE,Inputs!$B$32,0))))))/Skills!G12,1)))/Inputs!$B$43),G2227*Q2227))*IF(Inputs!$B$38="pvp",1,1+(Inputs!$B$20+Skills!O12+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7">
        <f>IF(C2227,(H2227*N2227*IF(AND(Inputs!$B$38&lt;&gt;"pvp",Inputs!$B$43&gt;0),((Skills!F12*((R2227-1)*IF(Skills!G12&gt;0,Skills!H12/Skills!G12,1)+IF(Skills!G12&gt;0,MIN(Skills!H12,MAX(0,MAX(0,Inputs!$B$43-B2248)-((R2227-1)*IF(Inputs!$B$38="pvp",15,MAX(0.1,Skills!D12-IF(Skills!E12=TRUE,Inputs!$B$32,0))))))/Skills!G12,1)))/Inputs!$B$43),G2227*Q2227))*IF(Inputs!$B$38="pvp",1,(1+(Inputs!$B$21+Skills!P12+B2242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Skills!A13</f>
        <v/>
      </c>
      <c r="B2228">
        <f>Skills!B13</f>
        <v/>
      </c>
      <c r="C2228">
        <f>Inputs!$B$3&gt;=49</f>
        <v/>
      </c>
      <c r="D2228">
        <f>IF(Skills!C13=1,60+Inputs!$B$25+Inputs!$B$29,IF(Skills!C13=2,90+Inputs!$B$26+Inputs!$B$29,IF(Skills!C13=3,120+Inputs!$B$27+Inputs!$B$29,MAX(0,(Inputs!$B$3-100)*3)+Inputs!$B$28+Inputs!$B$29)))</f>
        <v/>
      </c>
      <c r="E2228">
        <f>INDEX(FactorTable!$B$2:$Y$301, MATCH(ROUND(MIN(300,MAX(1,D2228)),0), FactorTable!$A$2:$A$301,0), Skills!L13+1)</f>
        <v/>
      </c>
      <c r="F2228">
        <f>IF(Skills!M13=TRUE,(Skills!K13/10)*(E2228/1000),Skills!K13/10)+Skills!N13</f>
        <v/>
      </c>
      <c r="G2228">
        <f>Calc!G13</f>
        <v/>
      </c>
      <c r="H2228">
        <f>Calc!H13</f>
        <v/>
      </c>
      <c r="I2228">
        <f>IF(Skills!T13&lt;&gt;"",1+(Skills!T13/10)*(Z2218/1000)/100,1)</f>
        <v/>
      </c>
      <c r="J2228" t="inlineStr"/>
      <c r="K2228" t="inlineStr"/>
      <c r="L2228" t="inlineStr"/>
      <c r="M2228" t="inlineStr"/>
      <c r="N2228" t="inlineStr"/>
      <c r="O2228">
        <f>(1-Summary!$B$11)*S2228+Summary!$B$11*U2228</f>
        <v/>
      </c>
      <c r="P2228">
        <f>IF(B2251=0,0,O2228/B2251)</f>
        <v/>
      </c>
      <c r="Q2228">
        <f>IFERROR(1/IF(Inputs!$B$38="pvp",15,MAX(0.1,Skills!D13-IF(Skills!E13=TRUE,Inputs!$B$32,0))),0)</f>
        <v/>
      </c>
      <c r="R2228" t="n">
        <v>0</v>
      </c>
      <c r="S2228" t="n">
        <v>0</v>
      </c>
      <c r="U2228" t="n">
        <v>0</v>
      </c>
    </row>
    <row r="2229">
      <c r="A2229">
        <f>Skills!A14</f>
        <v/>
      </c>
      <c r="B2229">
        <f>Skills!B14</f>
        <v/>
      </c>
      <c r="C2229">
        <f>Inputs!$B$3&gt;=72</f>
        <v/>
      </c>
      <c r="D2229">
        <f>IF(Skills!C14=1,60+Inputs!$B$25+Inputs!$B$29,IF(Skills!C14=2,90+Inputs!$B$26+Inputs!$B$29,IF(Skills!C14=3,120+Inputs!$B$27+Inputs!$B$29,MAX(0,(Inputs!$B$3-100)*3)+Inputs!$B$28+Inputs!$B$29)))</f>
        <v/>
      </c>
      <c r="E2229">
        <f>INDEX(FactorTable!$B$2:$Y$301, MATCH(ROUND(MIN(300,MAX(1,D2229)),0), FactorTable!$A$2:$A$301,0), Skills!L14+1)</f>
        <v/>
      </c>
      <c r="F2229">
        <f>IF(Skills!M14=TRUE,(Skills!K14/10)*(E2229/1000),Skills!K14/10)+Skills!N14</f>
        <v/>
      </c>
      <c r="G2229">
        <f>Calc!G14</f>
        <v/>
      </c>
      <c r="H2229">
        <f>Calc!H14</f>
        <v/>
      </c>
      <c r="I2229">
        <f>IF(Skills!T14&lt;&gt;"",1+(Skills!T14/10)*(Z2218/1000)/100,1)</f>
        <v/>
      </c>
      <c r="J2229" t="inlineStr"/>
      <c r="K2229" t="inlineStr"/>
      <c r="L2229" t="inlineStr"/>
      <c r="M2229" t="inlineStr"/>
      <c r="N2229" t="inlineStr"/>
      <c r="O2229">
        <f>(1-Summary!$B$11)*S2229+Summary!$B$11*U2229</f>
        <v/>
      </c>
      <c r="P2229">
        <f>IF(B2251=0,0,O2229/B2251)</f>
        <v/>
      </c>
      <c r="Q2229">
        <f>IFERROR(1/IF(Inputs!$B$38="pvp",15,MAX(0.1,Skills!D14-IF(Skills!E14=TRUE,Inputs!$B$32,0))),0)</f>
        <v/>
      </c>
      <c r="R2229" t="n">
        <v>0</v>
      </c>
      <c r="S2229" t="n">
        <v>0</v>
      </c>
      <c r="U2229" t="n">
        <v>0</v>
      </c>
    </row>
    <row r="2230">
      <c r="A2230">
        <f>Skills!A15</f>
        <v/>
      </c>
      <c r="B2230">
        <f>Skills!B15</f>
        <v/>
      </c>
      <c r="C2230">
        <f>Inputs!$B$3&gt;=75</f>
        <v/>
      </c>
      <c r="D2230">
        <f>IF(Skills!C15=1,60+Inputs!$B$25+Inputs!$B$29,IF(Skills!C15=2,90+Inputs!$B$26+Inputs!$B$29,IF(Skills!C15=3,120+Inputs!$B$27+Inputs!$B$29,MAX(0,(Inputs!$B$3-100)*3)+Inputs!$B$28+Inputs!$B$29)))</f>
        <v/>
      </c>
      <c r="E2230">
        <f>INDEX(FactorTable!$B$2:$Y$301, MATCH(ROUND(MIN(300,MAX(1,D2230)),0), FactorTable!$A$2:$A$301,0), Skills!L15+1)</f>
        <v/>
      </c>
      <c r="F2230">
        <f>IF(Skills!M15=TRUE,(Skills!K15/10)*(E2230/1000),Skills!K15/10)+Skills!N15</f>
        <v/>
      </c>
      <c r="G2230">
        <f>Calc!G15</f>
        <v/>
      </c>
      <c r="H2230">
        <f>Calc!H15</f>
        <v/>
      </c>
      <c r="I2230">
        <f>IF(Skills!T15&lt;&gt;"",1+(Skills!T15/10)*(Z2218/1000)/100,1)</f>
        <v/>
      </c>
      <c r="J2230" t="inlineStr"/>
      <c r="K2230" t="inlineStr"/>
      <c r="L2230" t="inlineStr"/>
      <c r="M2230" t="inlineStr"/>
      <c r="N2230" t="inlineStr"/>
      <c r="O2230">
        <f>(1-Summary!$B$11)*S2230+Summary!$B$11*U2230</f>
        <v/>
      </c>
      <c r="P2230">
        <f>IF(B2251=0,0,O2230/B2251)</f>
        <v/>
      </c>
      <c r="Q2230">
        <f>IFERROR(1/IF(Inputs!$B$38="pvp",15,MAX(0.1,Skills!D15-IF(Skills!E15=TRUE,Inputs!$B$32,0))),0)</f>
        <v/>
      </c>
      <c r="R2230" t="n">
        <v>0</v>
      </c>
      <c r="S2230" t="n">
        <v>0</v>
      </c>
      <c r="U2230" t="n">
        <v>0</v>
      </c>
    </row>
    <row r="2231">
      <c r="A2231">
        <f>Skills!A16</f>
        <v/>
      </c>
      <c r="B2231">
        <f>Skills!B16</f>
        <v/>
      </c>
      <c r="C2231">
        <f>Inputs!$B$3&gt;=110</f>
        <v/>
      </c>
      <c r="D2231">
        <f>IF(Skills!C16=1,60+Inputs!$B$25+Inputs!$B$29,IF(Skills!C16=2,90+Inputs!$B$26+Inputs!$B$29,IF(Skills!C16=3,120+Inputs!$B$27+Inputs!$B$29,MAX(0,(Inputs!$B$3-100)*3)+Inputs!$B$28+Inputs!$B$29)))</f>
        <v/>
      </c>
      <c r="E2231">
        <f>INDEX(FactorTable!$B$2:$Y$301, MATCH(ROUND(MIN(300,MAX(1,D2231)),0), FactorTable!$A$2:$A$301,0), Skills!L16+1)</f>
        <v/>
      </c>
      <c r="F2231">
        <f>(Skills!K16/10)*(E2231/1000)*64/45+Skills!N16</f>
        <v/>
      </c>
      <c r="G2231">
        <f>Calc!G16</f>
        <v/>
      </c>
      <c r="H2231">
        <f>Calc!H16</f>
        <v/>
      </c>
      <c r="I2231">
        <f>IF(Skills!T16&lt;&gt;"",1+(Skills!T16/10)*(Z2218/1000)/100,1)</f>
        <v/>
      </c>
      <c r="J2231" t="inlineStr"/>
      <c r="K2231" t="inlineStr"/>
      <c r="L2231" t="inlineStr"/>
      <c r="M2231" t="inlineStr"/>
      <c r="N2231" t="inlineStr"/>
      <c r="O2231">
        <f>(1-Summary!$B$11)*S2231+Summary!$B$11*U2231</f>
        <v/>
      </c>
      <c r="P2231">
        <f>IF(B2251=0,0,O2231/B2251)</f>
        <v/>
      </c>
      <c r="Q2231">
        <f>IFERROR(1/IF(Inputs!$B$38="pvp",15,MAX(0.1,Skills!D16-IF(Skills!E16=TRUE,Inputs!$B$32,0))),0)</f>
        <v/>
      </c>
      <c r="R2231">
        <f>IF(AND(Inputs!$B$38&lt;&gt;"pvp",Inputs!$B$43&gt;0),IF(Inputs!$B$43&lt;=0,0,(INT(Inputs!$B$43/IF(Inputs!$B$38="pvp",15,MAX(0.1,Skills!D16-IF(Skills!E16=TRUE,Inputs!$B$32,0))))+1)),0)</f>
        <v/>
      </c>
      <c r="S2231" t="n">
        <v>0</v>
      </c>
      <c r="U2231" t="n">
        <v>0</v>
      </c>
    </row>
    <row r="2232">
      <c r="A2232">
        <f>Skills!A17</f>
        <v/>
      </c>
      <c r="B2232">
        <f>Skills!B17</f>
        <v/>
      </c>
      <c r="C2232">
        <f>Inputs!$B$3&gt;=33</f>
        <v/>
      </c>
      <c r="D2232">
        <f>IF(Skills!C17=1,60+Inputs!$B$25+Inputs!$B$29,IF(Skills!C17=2,90+Inputs!$B$26+Inputs!$B$29,IF(Skills!C17=3,120+Inputs!$B$27+Inputs!$B$29,MAX(0,(Inputs!$B$3-100)*3)+Inputs!$B$28+Inputs!$B$29)))</f>
        <v/>
      </c>
      <c r="E2232">
        <f>INDEX(FactorTable!$B$2:$Y$301, MATCH(ROUND(MIN(300,MAX(1,D2232)),0), FactorTable!$A$2:$A$301,0), Skills!L17+1)</f>
        <v/>
      </c>
      <c r="F2232">
        <f>IF(Skills!M17=TRUE,(Skills!K17/10)*(E2232/1000),Skills!K17/10)+Skills!N17</f>
        <v/>
      </c>
      <c r="G2232">
        <f>Calc!G17</f>
        <v/>
      </c>
      <c r="H2232">
        <f>Calc!H17</f>
        <v/>
      </c>
      <c r="I2232">
        <f>IF(Skills!T17&lt;&gt;"",1+(Skills!T17/10)*(Z2218/1000)/100,1)</f>
        <v/>
      </c>
      <c r="J2232" t="inlineStr"/>
      <c r="K2232" t="inlineStr"/>
      <c r="L2232" t="inlineStr"/>
      <c r="M2232" t="inlineStr"/>
      <c r="N2232" t="inlineStr"/>
      <c r="O2232">
        <f>(1-Summary!$B$11)*S2232+Summary!$B$11*U2232</f>
        <v/>
      </c>
      <c r="P2232">
        <f>IF(B2251=0,0,O2232/B2251)</f>
        <v/>
      </c>
      <c r="Q2232">
        <f>IFERROR(1/IF(Inputs!$B$38="pvp",15,MAX(0.1,Skills!D17-IF(Skills!E17=TRUE,Inputs!$B$32,0))),0)</f>
        <v/>
      </c>
      <c r="R2232" t="n">
        <v>0</v>
      </c>
      <c r="S2232" t="n">
        <v>0</v>
      </c>
      <c r="U2232" t="n">
        <v>0</v>
      </c>
    </row>
    <row r="2233">
      <c r="A2233">
        <f>Skills!A18</f>
        <v/>
      </c>
      <c r="B2233">
        <f>Skills!B18</f>
        <v/>
      </c>
      <c r="C2233">
        <f>Inputs!$B$3&gt;=43</f>
        <v/>
      </c>
      <c r="D2233">
        <f>IF(Skills!C18=1,60+Inputs!$B$25+Inputs!$B$29,IF(Skills!C18=2,90+Inputs!$B$26+Inputs!$B$29,IF(Skills!C18=3,120+Inputs!$B$27+Inputs!$B$29,MAX(0,(Inputs!$B$3-100)*3)+Inputs!$B$28+Inputs!$B$29)))</f>
        <v/>
      </c>
      <c r="E2233">
        <f>INDEX(FactorTable!$B$2:$Y$301, MATCH(ROUND(MIN(300,MAX(1,D2233)),0), FactorTable!$A$2:$A$301,0), Skills!L18+1)</f>
        <v/>
      </c>
      <c r="F2233">
        <f>IF(Skills!M18=TRUE,(Skills!K18/10)*(E2233/1000),Skills!K18/10)+Skills!N18</f>
        <v/>
      </c>
      <c r="G2233">
        <f>Calc!G18</f>
        <v/>
      </c>
      <c r="H2233">
        <f>Calc!H18</f>
        <v/>
      </c>
      <c r="I2233">
        <f>IF(Skills!T18&lt;&gt;"",1+(Skills!T18/10)*(Z2218/1000)/100,1)</f>
        <v/>
      </c>
      <c r="J2233" t="inlineStr"/>
      <c r="K2233" t="inlineStr"/>
      <c r="L2233" t="inlineStr"/>
      <c r="M2233" t="inlineStr"/>
      <c r="N2233" t="inlineStr"/>
      <c r="O2233">
        <f>(1-Summary!$B$11)*S2233+Summary!$B$11*U2233</f>
        <v/>
      </c>
      <c r="P2233">
        <f>IF(B2251=0,0,O2233/B2251)</f>
        <v/>
      </c>
      <c r="Q2233">
        <f>IFERROR(1/IF(Inputs!$B$38="pvp",15,MAX(0.1,Skills!D18-IF(Skills!E18=TRUE,Inputs!$B$32,0))),0)</f>
        <v/>
      </c>
      <c r="R2233" t="n">
        <v>0</v>
      </c>
      <c r="S2233" t="n">
        <v>0</v>
      </c>
      <c r="U2233" t="n">
        <v>0</v>
      </c>
    </row>
    <row r="2234">
      <c r="A2234">
        <f>Skills!A19</f>
        <v/>
      </c>
      <c r="B2234">
        <f>Skills!B19</f>
        <v/>
      </c>
      <c r="C2234">
        <f>Inputs!$B$3&gt;=50</f>
        <v/>
      </c>
      <c r="D2234">
        <f>IF(Skills!C19=1,60+Inputs!$B$25+Inputs!$B$29,IF(Skills!C19=2,90+Inputs!$B$26+Inputs!$B$29,IF(Skills!C19=3,120+Inputs!$B$27+Inputs!$B$29,MAX(0,(Inputs!$B$3-100)*3)+Inputs!$B$28+Inputs!$B$29)))</f>
        <v/>
      </c>
      <c r="E2234">
        <f>INDEX(FactorTable!$B$2:$Y$301, MATCH(ROUND(MIN(300,MAX(1,D2234)),0), FactorTable!$A$2:$A$301,0), Skills!L19+1)</f>
        <v/>
      </c>
      <c r="F2234">
        <f>IF(Skills!M19=TRUE,(Skills!K19/10)*(E2234/1000),Skills!K19/10)+Skills!N19</f>
        <v/>
      </c>
      <c r="G2234">
        <f>Calc!G19</f>
        <v/>
      </c>
      <c r="H2234">
        <f>Calc!H19</f>
        <v/>
      </c>
      <c r="I2234">
        <f>IF(Skills!T19&lt;&gt;"",1+(Skills!T19/10)*(Z2218/1000)/100,1)</f>
        <v/>
      </c>
      <c r="J2234" t="inlineStr"/>
      <c r="K2234" t="inlineStr"/>
      <c r="L2234" t="inlineStr"/>
      <c r="M2234" t="inlineStr"/>
      <c r="N2234" t="inlineStr"/>
      <c r="O2234">
        <f>(1-Summary!$B$11)*S2234+Summary!$B$11*U2234</f>
        <v/>
      </c>
      <c r="P2234">
        <f>IF(B2251=0,0,O2234/B2251)</f>
        <v/>
      </c>
      <c r="Q2234">
        <f>IFERROR(1/IF(Inputs!$B$38="pvp",15,MAX(0.1,Skills!D19-IF(Skills!E19=TRUE,Inputs!$B$32,0))),0)</f>
        <v/>
      </c>
      <c r="R2234" t="n">
        <v>0</v>
      </c>
      <c r="S2234" t="n">
        <v>0</v>
      </c>
      <c r="U2234" t="n">
        <v>0</v>
      </c>
    </row>
    <row r="2235">
      <c r="A2235">
        <f>Skills!A20</f>
        <v/>
      </c>
      <c r="B2235">
        <f>Skills!B20</f>
        <v/>
      </c>
      <c r="C2235">
        <f>Inputs!$B$3&gt;=74</f>
        <v/>
      </c>
      <c r="D2235">
        <f>IF(Skills!C20=1,60+Inputs!$B$25+Inputs!$B$29,IF(Skills!C20=2,90+Inputs!$B$26+Inputs!$B$29,IF(Skills!C20=3,120+Inputs!$B$27+Inputs!$B$29,MAX(0,(Inputs!$B$3-100)*3)+Inputs!$B$28+Inputs!$B$29)))</f>
        <v/>
      </c>
      <c r="E2235">
        <f>INDEX(FactorTable!$B$2:$Y$301, MATCH(ROUND(MIN(300,MAX(1,D2235)),0), FactorTable!$A$2:$A$301,0), Skills!L20+1)</f>
        <v/>
      </c>
      <c r="F2235">
        <f>IF(Skills!M20=TRUE,(Skills!K20/10)*(E2235/1000),Skills!K20/10)+Skills!N20</f>
        <v/>
      </c>
      <c r="G2235">
        <f>Calc!G20</f>
        <v/>
      </c>
      <c r="H2235">
        <f>Calc!H20</f>
        <v/>
      </c>
      <c r="I2235">
        <f>IF(Skills!T20&lt;&gt;"",1+(Skills!T20/10)*(Z2218/1000)/100,1)</f>
        <v/>
      </c>
      <c r="J2235" t="inlineStr"/>
      <c r="K2235" t="inlineStr"/>
      <c r="L2235" t="inlineStr"/>
      <c r="M2235" t="inlineStr"/>
      <c r="N2235" t="inlineStr"/>
      <c r="O2235">
        <f>(1-Summary!$B$11)*S2235+Summary!$B$11*U2235</f>
        <v/>
      </c>
      <c r="P2235">
        <f>IF(B2251=0,0,O2235/B2251)</f>
        <v/>
      </c>
      <c r="Q2235">
        <f>IFERROR(1/IF(Inputs!$B$38="pvp",15,MAX(0.1,Skills!D20-IF(Skills!E20=TRUE,Inputs!$B$32,0))),0)</f>
        <v/>
      </c>
      <c r="R2235" t="n">
        <v>0</v>
      </c>
      <c r="S2235" t="n">
        <v>0</v>
      </c>
      <c r="U2235" t="n">
        <v>0</v>
      </c>
    </row>
    <row r="2236">
      <c r="A2236">
        <f>Skills!A21</f>
        <v/>
      </c>
      <c r="B2236">
        <f>Skills!B21</f>
        <v/>
      </c>
      <c r="C2236">
        <f>Inputs!$B$3&gt;=74</f>
        <v/>
      </c>
      <c r="D2236">
        <f>IF(Skills!C21=1,60+Inputs!$B$25+Inputs!$B$29,IF(Skills!C21=2,90+Inputs!$B$26+Inputs!$B$29,IF(Skills!C21=3,120+Inputs!$B$27+Inputs!$B$29,MAX(0,(Inputs!$B$3-100)*3)+Inputs!$B$28+Inputs!$B$29)))</f>
        <v/>
      </c>
      <c r="E2236">
        <f>INDEX(FactorTable!$B$2:$Y$301, MATCH(ROUND(MIN(300,MAX(1,D2236)),0), FactorTable!$A$2:$A$301,0), Skills!L21+1)</f>
        <v/>
      </c>
      <c r="F2236">
        <f>IF(Skills!M21=TRUE,(Skills!K21/10)*(E2236/1000),Skills!K21/10)+Skills!N21</f>
        <v/>
      </c>
      <c r="G2236">
        <f>Calc!G21</f>
        <v/>
      </c>
      <c r="H2236">
        <f>Calc!H21</f>
        <v/>
      </c>
      <c r="I2236">
        <f>IF(Skills!T21&lt;&gt;"",1+(Skills!T21/10)*(Z2218/1000)/100,1)</f>
        <v/>
      </c>
      <c r="J2236" t="inlineStr"/>
      <c r="K2236" t="inlineStr"/>
      <c r="L2236" t="inlineStr"/>
      <c r="M2236" t="inlineStr"/>
      <c r="N2236" t="inlineStr"/>
      <c r="O2236">
        <f>(1-Summary!$B$11)*S2236+Summary!$B$11*U2236</f>
        <v/>
      </c>
      <c r="P2236">
        <f>IF(B2251=0,0,O2236/B2251)</f>
        <v/>
      </c>
      <c r="Q2236">
        <f>IFERROR(1/IF(Inputs!$B$38="pvp",15,MAX(0.1,Skills!D21-IF(Skills!E21=TRUE,Inputs!$B$32,0))),0)</f>
        <v/>
      </c>
      <c r="R2236" t="n">
        <v>0</v>
      </c>
      <c r="S2236" t="n">
        <v>0</v>
      </c>
      <c r="U2236" t="n">
        <v>0</v>
      </c>
    </row>
    <row r="2237">
      <c r="A2237">
        <f>Skills!A22</f>
        <v/>
      </c>
      <c r="B2237">
        <f>Skills!B22</f>
        <v/>
      </c>
      <c r="C2237">
        <f>Inputs!$B$3&gt;=117</f>
        <v/>
      </c>
      <c r="D2237">
        <f>IF(Skills!C22=1,60+Inputs!$B$25+Inputs!$B$29,IF(Skills!C22=2,90+Inputs!$B$26+Inputs!$B$29,IF(Skills!C22=3,120+Inputs!$B$27+Inputs!$B$29,MAX(0,(Inputs!$B$3-100)*3)+Inputs!$B$28+Inputs!$B$29)))</f>
        <v/>
      </c>
      <c r="E2237">
        <f>INDEX(FactorTable!$B$2:$Y$301, MATCH(ROUND(MIN(300,MAX(1,D2237)),0), FactorTable!$A$2:$A$301,0), Skills!L22+1)</f>
        <v/>
      </c>
      <c r="F2237">
        <f>IF(Skills!M22=TRUE,(Skills!K22/10)*(E2237/1000),Skills!K22/10)+Skills!N22</f>
        <v/>
      </c>
      <c r="G2237">
        <f>Calc!G22</f>
        <v/>
      </c>
      <c r="H2237">
        <f>Calc!H22</f>
        <v/>
      </c>
      <c r="I2237">
        <f>IF(Skills!T22&lt;&gt;"",1+(Skills!T22/10)*(Z2218/1000)/100,1)</f>
        <v/>
      </c>
      <c r="J2237" t="inlineStr"/>
      <c r="K2237" t="inlineStr"/>
      <c r="L2237" t="inlineStr"/>
      <c r="M2237" t="inlineStr"/>
      <c r="N2237" t="inlineStr"/>
      <c r="O2237">
        <f>(1-Summary!$B$11)*S2237+Summary!$B$11*U2237</f>
        <v/>
      </c>
      <c r="P2237">
        <f>IF(B2251=0,0,O2237/B2251)</f>
        <v/>
      </c>
      <c r="Q2237">
        <f>IFERROR(1/IF(Inputs!$B$38="pvp",15,MAX(0.1,Skills!D22-IF(Skills!E22=TRUE,Inputs!$B$32,0))),0)</f>
        <v/>
      </c>
      <c r="R2237" t="n">
        <v>0</v>
      </c>
      <c r="S2237" t="n">
        <v>0</v>
      </c>
      <c r="U2237" t="n">
        <v>0</v>
      </c>
    </row>
    <row r="2238">
      <c r="A2238">
        <f>Skills!A23</f>
        <v/>
      </c>
      <c r="B2238">
        <f>Skills!B23</f>
        <v/>
      </c>
      <c r="C2238">
        <f>Inputs!$B$3&gt;=120</f>
        <v/>
      </c>
      <c r="D2238">
        <f>IF(Skills!C23=1,60+Inputs!$B$25+Inputs!$B$29,IF(Skills!C23=2,90+Inputs!$B$26+Inputs!$B$29,IF(Skills!C23=3,120+Inputs!$B$27+Inputs!$B$29,MAX(0,(Inputs!$B$3-100)*3)+Inputs!$B$28+Inputs!$B$29)))</f>
        <v/>
      </c>
      <c r="E2238">
        <f>INDEX(FactorTable!$B$2:$Y$301, MATCH(ROUND(MIN(300,MAX(1,D2238)),0), FactorTable!$A$2:$A$301,0), Skills!L23+1)</f>
        <v/>
      </c>
      <c r="F2238">
        <f>IF(Skills!M23=TRUE,(Skills!K23/10)*(E2238/1000),Skills!K23/10)+Skills!N23</f>
        <v/>
      </c>
      <c r="G2238">
        <f>Calc!G23</f>
        <v/>
      </c>
      <c r="H2238">
        <f>Calc!H23</f>
        <v/>
      </c>
      <c r="I2238">
        <f>IF(Skills!T23&lt;&gt;"",1+(Skills!T23/10)*(Z2218/1000)/100,1)</f>
        <v/>
      </c>
      <c r="J2238" t="inlineStr"/>
      <c r="K2238" t="inlineStr"/>
      <c r="L2238" t="inlineStr"/>
      <c r="M2238" t="inlineStr"/>
      <c r="N2238" t="inlineStr"/>
      <c r="O2238">
        <f>(1-Summary!$B$11)*S2238+Summary!$B$11*U2238</f>
        <v/>
      </c>
      <c r="P2238">
        <f>IF(B2251=0,0,O2238/B2251)</f>
        <v/>
      </c>
      <c r="Q2238">
        <f>IFERROR(1/IF(Inputs!$B$38="pvp",15,MAX(0.1,Skills!D23-IF(Skills!E23=TRUE,Inputs!$B$32,0))),0)</f>
        <v/>
      </c>
      <c r="R2238" t="n">
        <v>0</v>
      </c>
      <c r="S2238" t="n">
        <v>0</v>
      </c>
      <c r="U2238" t="n">
        <v>0</v>
      </c>
    </row>
    <row r="2241">
      <c r="A2241" t="inlineStr">
        <is>
          <t>Average Buff Multiplier (Magic Guard + Meditation + Artifact Attack%, summed; then Infinity)</t>
        </is>
      </c>
      <c r="B2241">
        <f>(1+(IF(C2218=TRUE,F2218*IF(AND(Inputs!$B$38&lt;&gt;"pvp",Inputs!$B$43&gt;0),(((R2218-1)*(Skills!S3*(1+(Inputs!$B$34+IF(Inputs!$B$3&gt;=117,F2237,0))/100))+MIN((Skills!S3*(1+(Inputs!$B$34+IF(Inputs!$B$3&gt;=117,F2237,0))/100)),MAX(0,Inputs!$B$43-((R2218-1)*Skills!D3))))/Inputs!$B$43),IF(Inputs!$B$38="pvp",MIN((Skills!S3*(1+(Inputs!$B$34+IF(Inputs!$B$3&gt;=117,F2237,0))/100)),15)/15,(Skills!S3*(1+(Inputs!$B$34+IF(Inputs!$B$3&gt;=117,F2237,0))/100))/Skills!D3)),0)+IF(C2219=TRUE,F2219*IF(AND(Inputs!$B$38&lt;&gt;"pvp",Inputs!$B$43&gt;0),(((R2219-1)*(Skills!S4*(1+(Inputs!$B$34+IF(Inputs!$B$3&gt;=117,F2237,0))/100))+MIN((Skills!S4*(1+(Inputs!$B$34+IF(Inputs!$B$3&gt;=117,F2237,0))/100)),MAX(0,Inputs!$B$43-((R2219-1)*Skills!D4))))/Inputs!$B$43),IF(Inputs!$B$38="pvp",MIN((Skills!S4*(1+(Inputs!$B$34+IF(Inputs!$B$3&gt;=117,F2237,0))/100)),15)/15,(Skills!S4*(1+(Inputs!$B$34+IF(Inputs!$B$3&gt;=117,F2237,0)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2231=TRUE,(1+F2231*IF(AND(Inputs!$B$38&lt;&gt;"pvp",Inputs!$B$43&gt;0),(((R2231-1)*(Skills!S16*(1+(Inputs!$B$34+IF(Inputs!$B$3&gt;=117,F2237,0))/100))+MIN((Skills!S16*(1+(Inputs!$B$34+IF(Inputs!$B$3&gt;=117,F2237,0))/100)),MAX(0,Inputs!$B$43-((R2231-1)*Skills!D16))))/Inputs!$B$43),IF(Inputs!$B$38="pvp",MIN((Skills!S16*(1+(Inputs!$B$34+IF(Inputs!$B$3&gt;=117,F2237,0))/100)),15)/15,(Skills!S16*(1+(Inputs!$B$34+IF(Inputs!$B$3&gt;=117,F2237,0))/100))/Skills!D16))/100),1)</f>
        <v/>
      </c>
    </row>
    <row r="2242">
      <c r="A2242" t="inlineStr">
        <is>
          <t>Monster Damage Taken Bonus % (Freezing Breath - Weaken + Elemental Reset + Artifact Enemy Damage Taken, summed)</t>
        </is>
      </c>
      <c r="B2242">
        <f>IF(Inputs!$B$3&gt;=118,15*IF(Inputs!$B$38="pvp",MIN((30*(1+(Inputs!$B$34+IF(Inputs!$B$3&gt;=117,F2237,0))/100)),15)/15,(30*(1+(Inputs!$B$34+IF(Inputs!$B$3&gt;=117,F2237,0))/100))/Skills!D8),0)+IF(C2229=TRUE,F2229,0)+(IF(AND(ArtifactsInput!$M$35,Inputs!$B$4&lt;&gt;"Chapter Hunt"),CHOOSE(ArtifactsInput!$N$35+1,15,18,21,24,27,30)*(1-EXP(-(0.2*B2245)*5)),0)+IF(AND(ArtifactsInput!$M$22,Inputs!$B$4&lt;&gt;"Chapter Hunt"),CHOOSE(ArtifactsInput!$N$22+1,10,12,14,16,18,20)*((0*(((0.15*B2245*5))^0/1)+1*(((0.15*B2245*5))^1/1)+2*(((0.15*B2245*5))^2/2)+3*(((0.15*B2245*5))^3/6)+4*(((0.15*B2245*5))^4/24)+5*(((0.15*B2245*5))^5/120))/((((0.15*B2245*5))^0/1)+(((0.15*B2245*5))^1/1)+(((0.15*B2245*5))^2/2)+(((0.15*B2245*5))^3/6)+(((0.15*B2245*5))^4/24)+(((0.15*B2245*5))^5/120))),0))</f>
        <v/>
      </c>
    </row>
    <row r="2243">
      <c r="A2243" t="inlineStr">
        <is>
          <t>Damage % Bonus (Frozen Break + Frost Clutch, flat)</t>
        </is>
      </c>
      <c r="B2243">
        <f>IF(Inputs!$B$3&gt;=66,15,0)+IF(Inputs!$B$3&gt;=98,10,0)+IF(Inputs!$B$3&gt;=125,20,0)</f>
        <v/>
      </c>
    </row>
    <row r="2244">
      <c r="A2244" t="inlineStr">
        <is>
          <t>Attack Speed Bonus % (MP Eater - MP Boost, always-on once unlocked)</t>
        </is>
      </c>
      <c r="B2244">
        <f>IF(C2228=TRUE,F2228+(F2232-Calc!F17),0)</f>
        <v/>
      </c>
    </row>
    <row r="2245">
      <c r="A2245" t="inlineStr">
        <is>
          <t>Actions Per Second</t>
        </is>
      </c>
      <c r="B2245">
        <f>1+MIN(150,150*(1-(1-(Inputs!$B$11+(ArtifactsInput!$M$15-ArtifactsInput!$M$15)*CHOOSE(ArtifactsInput!$N$15+1,8,9.6,11.2,12.8,14.4,16))/150)*(1-B2244/150)))/100</f>
        <v/>
      </c>
    </row>
    <row r="2246">
      <c r="A2246" t="inlineStr">
        <is>
          <t>Skill + Buff Cast Rate</t>
        </is>
      </c>
      <c r="B2246">
        <f>IF(AND(Inputs!$B$38&lt;&gt;"pvp",Inputs!$B$43&gt;0),SUMPRODUCT((Skills!E2:E23=TRUE)*(C2217:C2238=TRUE)*R2217:R2238)/Inputs!$B$43,SUMPRODUCT((Skills!E2:E23=TRUE)*(C2217:C2238=TRUE)*Q2217:Q2238))</f>
        <v/>
      </c>
    </row>
    <row r="2247">
      <c r="A2247" t="inlineStr">
        <is>
          <t>Chain Lightning Casts Per Second</t>
        </is>
      </c>
      <c r="B2247">
        <f>MAX(0,B2245-B2246)</f>
        <v/>
      </c>
    </row>
    <row r="2248">
      <c r="A2248" t="inlineStr">
        <is>
          <t>Buff-Casting Startup Delay (s, fixed-duration only)</t>
        </is>
      </c>
      <c r="B2248">
        <f>IF(AND(Inputs!$B$38&lt;&gt;"pvp",Inputs!$B$43&gt;0),SUMPRODUCT((Skills!S2:S23&gt;0)*(Skills!E2:E23=TRUE)*(C2217:C2238=TRUE))/B2245,0)</f>
        <v/>
      </c>
    </row>
    <row r="2249">
      <c r="A2249" t="inlineStr">
        <is>
          <t>Boss-Only Total DPS (this block's swept value)</t>
        </is>
      </c>
      <c r="B2249">
        <f>SUM(S2217:S2238)</f>
        <v/>
      </c>
    </row>
    <row r="2250">
      <c r="A2250" t="inlineStr">
        <is>
          <t>Normal-Only Total DPS (this block's swept value)</t>
        </is>
      </c>
      <c r="B2250">
        <f>SUM(U2217:U2238)</f>
        <v/>
      </c>
    </row>
    <row r="2251">
      <c r="A2251" s="6" t="inlineStr">
        <is>
          <t>TOTAL DPS</t>
        </is>
      </c>
      <c r="B2251" s="6">
        <f>SUM(O2217:O2238)</f>
        <v/>
      </c>
    </row>
    <row r="2254">
      <c r="A2254" s="6" t="inlineStr">
        <is>
          <t>Stat: Horn Flute (Equip)</t>
        </is>
      </c>
    </row>
    <row r="2255">
      <c r="A2255" s="5" t="inlineStr">
        <is>
          <t>Key</t>
        </is>
      </c>
      <c r="B2255" s="5" t="inlineStr">
        <is>
          <t>Name</t>
        </is>
      </c>
      <c r="C2255" s="5" t="inlineStr">
        <is>
          <t>Unlocked</t>
        </is>
      </c>
      <c r="D2255" s="5" t="inlineStr">
        <is>
          <t>InputLevel</t>
        </is>
      </c>
      <c r="E2255" s="5" t="inlineStr">
        <is>
          <t>Factor</t>
        </is>
      </c>
      <c r="F2255" s="5" t="inlineStr">
        <is>
          <t>CoefficientPercent</t>
        </is>
      </c>
      <c r="G2255" s="5" t="inlineStr">
        <is>
          <t>EffectiveHits</t>
        </is>
      </c>
      <c r="H2255" s="5" t="inlineStr">
        <is>
          <t>ProcProbability</t>
        </is>
      </c>
      <c r="I2255" s="5" t="inlineStr">
        <is>
          <t>MapleHeroMultiplier</t>
        </is>
      </c>
      <c r="J2255" s="5" t="inlineStr">
        <is>
          <t>BaseDamage</t>
        </is>
      </c>
      <c r="K2255" s="5" t="inlineStr">
        <is>
          <t>BaseHitDamage</t>
        </is>
      </c>
      <c r="L2255" s="5" t="inlineStr">
        <is>
          <t>NonCritAvg</t>
        </is>
      </c>
      <c r="M2255" s="5" t="inlineStr">
        <is>
          <t>CritAvg</t>
        </is>
      </c>
      <c r="N2255" s="5" t="inlineStr">
        <is>
          <t>ExpectedDamage(perHit)</t>
        </is>
      </c>
      <c r="O2255" s="5" t="inlineStr">
        <is>
          <t>DPS</t>
        </is>
      </c>
      <c r="P2255" s="5" t="inlineStr">
        <is>
          <t>% of Total</t>
        </is>
      </c>
      <c r="R2255" t="inlineStr">
        <is>
          <t>helpers</t>
        </is>
      </c>
    </row>
    <row r="2256">
      <c r="A2256">
        <f>Skills!A2</f>
        <v/>
      </c>
      <c r="B2256">
        <f>Skills!B2</f>
        <v/>
      </c>
      <c r="C2256">
        <f>Inputs!$B$3&gt;=100</f>
        <v/>
      </c>
      <c r="D2256" t="inlineStr"/>
      <c r="E2256" t="inlineStr"/>
      <c r="F2256">
        <f>T2258+Skills!N2</f>
        <v/>
      </c>
      <c r="G2256">
        <f>Calc!G2</f>
        <v/>
      </c>
      <c r="H2256">
        <f>Calc!H2</f>
        <v/>
      </c>
      <c r="I2256">
        <f>IF(Skills!T2&lt;&gt;"",1+(Skills!T2/10)*(Z2257/1000)/100,1)</f>
        <v/>
      </c>
      <c r="J2256">
        <f>((Inputs!$B$6*(1+Inputs!$B$7/100))+(((Inputs!$B$12*(1+Inputs!$B$13/100))-(Inputs!$B$12*(1+Inputs!$B$13/100)))+0.25*(Inputs!$B$14-Inputs!$B$14))*(1+Inputs!$B$7/100))*(F2256/100)</f>
        <v/>
      </c>
      <c r="K2256">
        <f>J2256*(1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2256)</f>
        <v/>
      </c>
      <c r="L2256">
        <f>K2256*(MIN(Inputs!$B$22+(F2272-Calc!F18),(Inputs!$B$23+(IF(ArtifactsInput!$M$15,CHOOSE(ArtifactsInput!$N$15+1,25,30,35,40,45,50)/100*(Inputs!$B$11-Inputs!$B$11),0))))/100+(Inputs!$B$23+(IF(ArtifactsInput!$M$15,CHOOSE(ArtifactsInput!$N$15+1,25,30,35,40,45,50)/100*(Inputs!$B$11-Inputs!$B$11),0)))/100)/2</f>
        <v/>
      </c>
      <c r="M2256">
        <f>L2256*(1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6">
        <f>L2256*(1-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2256*(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6">
        <f>(1-Summary!$B$11)*S2256+Summary!$B$11*U2256</f>
        <v/>
      </c>
      <c r="P2256">
        <f>IF(B2290=0,0,O2256/B2290)</f>
        <v/>
      </c>
      <c r="Q2256">
        <f>IFERROR(1/IF(Inputs!$B$38="pvp",15,MAX(0.1,Skills!D2-IF(Skills!E2=TRUE,Inputs!$B$32,0))),0)</f>
        <v/>
      </c>
      <c r="R2256" t="n">
        <v>0</v>
      </c>
      <c r="S2256">
        <f>IF(C2256,(Skills!F2*N2256*B2286)*IF(Inputs!$B$38="pvp",1,1+(Inputs!$B$20+Skills!O2+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56">
        <f>MAX(0,(Inputs!$B$3-100)*3)+Inputs!$B$28+Inputs!$B$29</f>
        <v/>
      </c>
      <c r="U2256">
        <f>IF(C2256,(Skills!F2*N2256*B2286)*IF(Inputs!$B$38="pvp",1,(1+(Inputs!$B$21+Skills!P2+B2281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56">
        <f>MAX(0,(Inputs!$B$3-100)*3)+Inputs!$B$28+Inputs!$B$29</f>
        <v/>
      </c>
    </row>
    <row r="2257">
      <c r="A2257">
        <f>Skills!A3</f>
        <v/>
      </c>
      <c r="B2257">
        <f>Skills!B3</f>
        <v/>
      </c>
      <c r="C2257">
        <f>Inputs!$B$3&gt;=15</f>
        <v/>
      </c>
      <c r="D2257">
        <f>IF(Skills!C3=1,60+Inputs!$B$25+Inputs!$B$29,IF(Skills!C3=2,90+Inputs!$B$26+Inputs!$B$29,IF(Skills!C3=3,120+Inputs!$B$27+Inputs!$B$29,MAX(0,(Inputs!$B$3-100)*3)+Inputs!$B$28+Inputs!$B$29)))</f>
        <v/>
      </c>
      <c r="E2257">
        <f>INDEX(FactorTable!$B$2:$Y$301, MATCH(ROUND(MIN(300,MAX(1,D2257)),0), FactorTable!$A$2:$A$301,0), Skills!L3+1)</f>
        <v/>
      </c>
      <c r="F2257">
        <f>IF(Skills!M3=TRUE,(Skills!K3/10)*(E2257/1000),Skills!K3/10)+Skills!N3</f>
        <v/>
      </c>
      <c r="G2257">
        <f>Calc!G3</f>
        <v/>
      </c>
      <c r="H2257">
        <f>Calc!H3</f>
        <v/>
      </c>
      <c r="I2257">
        <f>IF(Skills!T3&lt;&gt;"",1+(Skills!T3/10)*(Z2257/1000)/100,1)</f>
        <v/>
      </c>
      <c r="J2257" t="inlineStr"/>
      <c r="K2257" t="inlineStr"/>
      <c r="L2257" t="inlineStr"/>
      <c r="M2257" t="inlineStr"/>
      <c r="N2257" t="inlineStr"/>
      <c r="O2257">
        <f>(1-Summary!$B$11)*S2257+Summary!$B$11*U2257</f>
        <v/>
      </c>
      <c r="P2257">
        <f>IF(B2290=0,0,O2257/B2290)</f>
        <v/>
      </c>
      <c r="Q2257">
        <f>IFERROR(1/IF(Inputs!$B$38="pvp",15,MAX(0.1,Skills!D3-IF(Skills!E3=TRUE,Inputs!$B$32,0))),0)</f>
        <v/>
      </c>
      <c r="R2257">
        <f>IF(AND(Inputs!$B$38&lt;&gt;"pvp",Inputs!$B$43&gt;0),IF(Inputs!$B$43&lt;=0,0,(INT(Inputs!$B$43/IF(Inputs!$B$38="pvp",15,MAX(0.1,Skills!D3-IF(Skills!E3=TRUE,Inputs!$B$32,0))))+1)),0)</f>
        <v/>
      </c>
      <c r="S2257" t="n">
        <v>0</v>
      </c>
      <c r="T2257">
        <f>INDEX(FactorTable!$B$2:$Y$301, MATCH(ROUND(MIN(300,MAX(1,T2256)),0), FactorTable!$A$2:$A$301,0), 22)</f>
        <v/>
      </c>
      <c r="U2257" t="n">
        <v>0</v>
      </c>
      <c r="Z2257">
        <f>INDEX(FactorTable!$B$2:$Y$301, MATCH(ROUND(MIN(300,MAX(1,Z2256)),0), FactorTable!$A$2:$A$301,0), 24)</f>
        <v/>
      </c>
    </row>
    <row r="2258">
      <c r="A2258">
        <f>Skills!A4</f>
        <v/>
      </c>
      <c r="B2258">
        <f>Skills!B4</f>
        <v/>
      </c>
      <c r="C2258">
        <f>Inputs!$B$3&gt;=40</f>
        <v/>
      </c>
      <c r="D2258">
        <f>IF(Skills!C4=1,60+Inputs!$B$25+Inputs!$B$29,IF(Skills!C4=2,90+Inputs!$B$26+Inputs!$B$29,IF(Skills!C4=3,120+Inputs!$B$27+Inputs!$B$29,MAX(0,(Inputs!$B$3-100)*3)+Inputs!$B$28+Inputs!$B$29)))</f>
        <v/>
      </c>
      <c r="E2258">
        <f>INDEX(FactorTable!$B$2:$Y$301, MATCH(ROUND(MIN(300,MAX(1,D2258)),0), FactorTable!$A$2:$A$301,0), Skills!L4+1)</f>
        <v/>
      </c>
      <c r="F2258">
        <f>IF(Skills!M4=TRUE,(Skills!K4/10)*(E2258/1000),Skills!K4/10)+Skills!N4</f>
        <v/>
      </c>
      <c r="G2258">
        <f>Calc!G4</f>
        <v/>
      </c>
      <c r="H2258">
        <f>Calc!H4</f>
        <v/>
      </c>
      <c r="I2258">
        <f>IF(Skills!T4&lt;&gt;"",1+(Skills!T4/10)*(Z2257/1000)/100,1)</f>
        <v/>
      </c>
      <c r="J2258" t="inlineStr"/>
      <c r="K2258" t="inlineStr"/>
      <c r="L2258" t="inlineStr"/>
      <c r="M2258" t="inlineStr"/>
      <c r="N2258" t="inlineStr"/>
      <c r="O2258">
        <f>(1-Summary!$B$11)*S2258+Summary!$B$11*U2258</f>
        <v/>
      </c>
      <c r="P2258">
        <f>IF(B2290=0,0,O2258/B2290)</f>
        <v/>
      </c>
      <c r="Q2258">
        <f>IFERROR(1/IF(Inputs!$B$38="pvp",15,MAX(0.1,Skills!D4-IF(Skills!E4=TRUE,Inputs!$B$32,0))),0)</f>
        <v/>
      </c>
      <c r="R2258">
        <f>IF(AND(Inputs!$B$38&lt;&gt;"pvp",Inputs!$B$43&gt;0),IF(Inputs!$B$43&lt;=0,0,(INT(Inputs!$B$43/IF(Inputs!$B$38="pvp",15,MAX(0.1,Skills!D4-IF(Skills!E4=TRUE,Inputs!$B$32,0))))+1)),0)</f>
        <v/>
      </c>
      <c r="S2258" t="n">
        <v>0</v>
      </c>
      <c r="T2258">
        <f>290*T2257/1000</f>
        <v/>
      </c>
      <c r="U2258" t="n">
        <v>0</v>
      </c>
    </row>
    <row r="2259">
      <c r="A2259">
        <f>Skills!A5</f>
        <v/>
      </c>
      <c r="B2259">
        <f>Skills!B5</f>
        <v/>
      </c>
      <c r="C2259">
        <f>Inputs!$B$3&gt;=38</f>
        <v/>
      </c>
      <c r="D2259">
        <f>IF(Skills!C5=1,60+Inputs!$B$25+Inputs!$B$29,IF(Skills!C5=2,90+Inputs!$B$26+Inputs!$B$29,IF(Skills!C5=3,120+Inputs!$B$27+Inputs!$B$29,MAX(0,(Inputs!$B$3-100)*3)+Inputs!$B$28+Inputs!$B$29)))</f>
        <v/>
      </c>
      <c r="E2259">
        <f>INDEX(FactorTable!$B$2:$Y$301, MATCH(ROUND(MIN(300,MAX(1,D2259)),0), FactorTable!$A$2:$A$301,0), Skills!L5+1)</f>
        <v/>
      </c>
      <c r="F2259">
        <f>IF(Skills!M5=TRUE,(Skills!K5/10)*(E2259/1000),Skills!K5/10)+Skills!N5</f>
        <v/>
      </c>
      <c r="G2259">
        <f>Calc!G5</f>
        <v/>
      </c>
      <c r="H2259">
        <f>Calc!H5</f>
        <v/>
      </c>
      <c r="I2259">
        <f>IF(Skills!T5&lt;&gt;"",1+(Skills!T5/10)*(Z2257/1000)/100,1)</f>
        <v/>
      </c>
      <c r="J2259">
        <f>((Inputs!$B$6*(1+Inputs!$B$7/100))+(((Inputs!$B$12*(1+Inputs!$B$13/100))-(Inputs!$B$12*(1+Inputs!$B$13/100)))+0.25*(Inputs!$B$14-Inputs!$B$14))*(1+Inputs!$B$7/100))*(F2259/100)</f>
        <v/>
      </c>
      <c r="K2259">
        <f>J2259*(1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F2272-Calc!F18),(Inputs!$B$23+(IF(ArtifactsInput!$M$15,CHOOSE(ArtifactsInput!$N$15+1,25,30,35,40,45,50)/100*(Inputs!$B$11-Inputs!$B$11),0))))/100+(Inputs!$B$23+(IF(ArtifactsInput!$M$15,CHOOSE(ArtifactsInput!$N$15+1,25,30,35,40,45,50)/100*(Inputs!$B$11-Inputs!$B$11),0)))/100)/2</f>
        <v/>
      </c>
      <c r="M2259">
        <f>L2259*(1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(1-Summary!$B$11)*S2259+Summary!$B$11*U2259</f>
        <v/>
      </c>
      <c r="P2259">
        <f>IF(B2290=0,0,O2259/B2290)</f>
        <v/>
      </c>
      <c r="Q2259">
        <f>IFERROR(1/IF(Inputs!$B$38="pvp",15,MAX(0.1,Skills!D5-IF(Skills!E5=TRUE,Inputs!$B$32,0))),0)</f>
        <v/>
      </c>
      <c r="R2259">
        <f>IF(AND(Inputs!$B$38&lt;&gt;"pvp",Inputs!$B$43&gt;0),IF(MAX(0,Inputs!$B$43-B2287)&lt;=0,0,(INT(MAX(0,Inputs!$B$43-B2287)/IF(Inputs!$B$38="pvp",15,MAX(0.1,Skills!D5-IF(Skills!E5=TRUE,Inputs!$B$32,0))))+1)),0)</f>
        <v/>
      </c>
      <c r="S2259">
        <f>IF(C2259,(H2259*N2259*IF(AND(Inputs!$B$38&lt;&gt;"pvp",Inputs!$B$43&gt;0),((Skills!F5*((R2259-1)*IF(Skills!G5&gt;0,Skills!H5/Skills!G5,1)+IF(Skills!G5&gt;0,MIN(Skills!H5,MAX(0,MAX(0,Inputs!$B$43-B2287)-((R2259-1)*IF(Inputs!$B$38="pvp",15,MAX(0.1,Skills!D5-IF(Skills!E5=TRUE,Inputs!$B$32,0))))))/Skills!G5,1)))/Inputs!$B$43),G2259*Q2259))*IF(Inputs!$B$38="pvp",1,1+(Inputs!$B$20+Skills!O5+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2259*(1-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IF(C2259,(H2259*N2259*IF(AND(Inputs!$B$38&lt;&gt;"pvp",Inputs!$B$43&gt;0),((Skills!F5*((R2259-1)*IF(Skills!G5&gt;0,Skills!H5/Skills!G5,1)+IF(Skills!G5&gt;0,MIN(Skills!H5,MAX(0,MAX(0,Inputs!$B$43-B2287)-((R2259-1)*IF(Inputs!$B$38="pvp",15,MAX(0.1,Skills!D5-IF(Skills!E5=TRUE,Inputs!$B$32,0))))))/Skills!G5,1)))/Inputs!$B$43),G2259*Q2259))*IF(Inputs!$B$38="pvp",1,(1+(Inputs!$B$21+Skills!P5+B2281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Skills!A6</f>
        <v/>
      </c>
      <c r="B2260">
        <f>Skills!B6</f>
        <v/>
      </c>
      <c r="C2260">
        <f>Inputs!$B$3&gt;=63</f>
        <v/>
      </c>
      <c r="D2260">
        <f>IF(Skills!C6=1,60+Inputs!$B$25+Inputs!$B$29,IF(Skills!C6=2,90+Inputs!$B$26+Inputs!$B$29,IF(Skills!C6=3,120+Inputs!$B$27+Inputs!$B$29,MAX(0,(Inputs!$B$3-100)*3)+Inputs!$B$28+Inputs!$B$29)))</f>
        <v/>
      </c>
      <c r="E2260">
        <f>INDEX(FactorTable!$B$2:$Y$301, MATCH(ROUND(MIN(300,MAX(1,D2260)),0), FactorTable!$A$2:$A$301,0), Skills!L6+1)</f>
        <v/>
      </c>
      <c r="F2260">
        <f>IF(Skills!M6=TRUE,(Skills!K6/10)*(E2260/1000),Skills!K6/10)+Skills!N6</f>
        <v/>
      </c>
      <c r="G2260">
        <f>Calc!G6</f>
        <v/>
      </c>
      <c r="H2260">
        <f>Calc!H6</f>
        <v/>
      </c>
      <c r="I2260">
        <f>IF(Skills!T6&lt;&gt;"",1+(Skills!T6/10)*(Z2257/1000)/100,1)</f>
        <v/>
      </c>
      <c r="J2260">
        <f>((Inputs!$B$6*(1+Inputs!$B$7/100))+(((Inputs!$B$12*(1+Inputs!$B$13/100))-(Inputs!$B$12*(1+Inputs!$B$13/100)))+0.25*(Inputs!$B$14-Inputs!$B$14))*(1+Inputs!$B$7/100))*(F2260/100)</f>
        <v/>
      </c>
      <c r="K2260">
        <f>J2260*(1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2260)</f>
        <v/>
      </c>
      <c r="L2260">
        <f>K2260*(MIN(Inputs!$B$22+(F2272-Calc!F18),(Inputs!$B$23+(IF(ArtifactsInput!$M$15,CHOOSE(ArtifactsInput!$N$15+1,25,30,35,40,45,50)/100*(Inputs!$B$11-Inputs!$B$11),0))))/100+(Inputs!$B$23+(IF(ArtifactsInput!$M$15,CHOOSE(ArtifactsInput!$N$15+1,25,30,35,40,45,50)/100*(Inputs!$B$11-Inputs!$B$11),0)))/100)/2</f>
        <v/>
      </c>
      <c r="M2260">
        <f>L2260*(1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(1-Summary!$B$11)*S2260+Summary!$B$11*U2260</f>
        <v/>
      </c>
      <c r="P2260">
        <f>IF(B2290=0,0,O2260/B2290)</f>
        <v/>
      </c>
      <c r="Q2260">
        <f>IFERROR(1/IF(Inputs!$B$38="pvp",15,MAX(0.1,Skills!D6-IF(Skills!E6=TRUE,Inputs!$B$32,0))),0)</f>
        <v/>
      </c>
      <c r="R2260">
        <f>IF(AND(Inputs!$B$38&lt;&gt;"pvp",Inputs!$B$43&gt;0),IF(MAX(0,Inputs!$B$43-B2287)&lt;=0,0,(INT(MAX(0,Inputs!$B$43-B2287)/IF(Inputs!$B$38="pvp",15,MAX(0.1,Skills!D6-IF(Skills!E6=TRUE,Inputs!$B$32,0))))+1)),0)</f>
        <v/>
      </c>
      <c r="S2260">
        <f>IF(C2260,(H2260*N2260*IF(AND(Inputs!$B$38&lt;&gt;"pvp",Inputs!$B$43&gt;0),((Skills!F6*((R2260-1)*IF(Skills!G6&gt;0,Skills!H6/Skills!G6,1)+IF(Skills!G6&gt;0,MIN(Skills!H6,MAX(0,MAX(0,Inputs!$B$43-B2287)-((R2260-1)*IF(Inputs!$B$38="pvp",15,MAX(0.1,Skills!D6-IF(Skills!E6=TRUE,Inputs!$B$32,0))))))/Skills!G6,1)))/Inputs!$B$43),G2260*Q2260))*IF(Inputs!$B$38="pvp",1,1+(Inputs!$B$20+Skills!O6+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2260*(1-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0">
        <f>IF(C2260,(H2260*N2260*IF(AND(Inputs!$B$38&lt;&gt;"pvp",Inputs!$B$43&gt;0),((Skills!F6*((R2260-1)*IF(Skills!G6&gt;0,Skills!H6/Skills!G6,1)+IF(Skills!G6&gt;0,MIN(Skills!H6,MAX(0,MAX(0,Inputs!$B$43-B2287)-((R2260-1)*IF(Inputs!$B$38="pvp",15,MAX(0.1,Skills!D6-IF(Skills!E6=TRUE,Inputs!$B$32,0))))))/Skills!G6,1)))/Inputs!$B$43),G2260*Q2260))*IF(Inputs!$B$38="pvp",1,(1+(Inputs!$B$21+Skills!P6+B2281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Skills!A7</f>
        <v/>
      </c>
      <c r="B2261">
        <f>Skills!B7</f>
        <v/>
      </c>
      <c r="C2261">
        <f>Inputs!$B$3&gt;=69</f>
        <v/>
      </c>
      <c r="D2261">
        <f>IF(Skills!C7=1,60+Inputs!$B$25+Inputs!$B$29,IF(Skills!C7=2,90+Inputs!$B$26+Inputs!$B$29,IF(Skills!C7=3,120+Inputs!$B$27+Inputs!$B$29,MAX(0,(Inputs!$B$3-100)*3)+Inputs!$B$28+Inputs!$B$29)))</f>
        <v/>
      </c>
      <c r="E2261">
        <f>INDEX(FactorTable!$B$2:$Y$301, MATCH(ROUND(MIN(300,MAX(1,D2261)),0), FactorTable!$A$2:$A$301,0), Skills!L7+1)</f>
        <v/>
      </c>
      <c r="F2261">
        <f>IF(Skills!M7=TRUE,(Skills!K7/10)*(E2261/1000),Skills!K7/10)+Skills!N7</f>
        <v/>
      </c>
      <c r="G2261">
        <f>Calc!G7</f>
        <v/>
      </c>
      <c r="H2261">
        <f>Calc!H7</f>
        <v/>
      </c>
      <c r="I2261">
        <f>IF(Skills!T7&lt;&gt;"",1+(Skills!T7/10)*(Z2257/1000)/100,1)</f>
        <v/>
      </c>
      <c r="J2261">
        <f>((Inputs!$B$6*(1+Inputs!$B$7/100))+(((Inputs!$B$12*(1+Inputs!$B$13/100))-(Inputs!$B$12*(1+Inputs!$B$13/100)))+0.25*(Inputs!$B$14-Inputs!$B$14))*(1+Inputs!$B$7/100))*(F2261/100)</f>
        <v/>
      </c>
      <c r="K2261">
        <f>J2261*(1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F2272-Calc!F18),(Inputs!$B$23+(IF(ArtifactsInput!$M$15,CHOOSE(ArtifactsInput!$N$15+1,25,30,35,40,45,50)/100*(Inputs!$B$11-Inputs!$B$11),0))))/100+(Inputs!$B$23+(IF(ArtifactsInput!$M$15,CHOOSE(ArtifactsInput!$N$15+1,25,30,35,40,45,50)/100*(Inputs!$B$11-Inputs!$B$11),0)))/100)/2</f>
        <v/>
      </c>
      <c r="M2261">
        <f>L2261*(1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(1-Summary!$B$11)*S2261+Summary!$B$11*U2261</f>
        <v/>
      </c>
      <c r="P2261">
        <f>IF(B2290=0,0,O2261/B2290)</f>
        <v/>
      </c>
      <c r="Q2261">
        <f>IFERROR(1/IF(Inputs!$B$38="pvp",15,MAX(0.1,Skills!D7-IF(Skills!E7=TRUE,Inputs!$B$32,0))),0)</f>
        <v/>
      </c>
      <c r="R2261">
        <f>IF(AND(Inputs!$B$38&lt;&gt;"pvp",Inputs!$B$43&gt;0),IF(MAX(0,Inputs!$B$43-B2287)&lt;=0,0,(INT(MAX(0,Inputs!$B$43-B2287)/IF(Inputs!$B$38="pvp",15,MAX(0.1,Skills!D7-IF(Skills!E7=TRUE,Inputs!$B$32,0))))+1)),0)</f>
        <v/>
      </c>
      <c r="S2261">
        <f>IF(C2261,(H2261*N2261*IF(AND(Inputs!$B$38&lt;&gt;"pvp",Inputs!$B$43&gt;0),((Skills!F7*((R2261-1)*IF(Skills!G7&gt;0,Skills!H7/Skills!G7,1)+IF(Skills!G7&gt;0,MIN(Skills!H7,MAX(0,MAX(0,Inputs!$B$43-B2287)-((R2261-1)*IF(Inputs!$B$38="pvp",15,MAX(0.1,Skills!D7-IF(Skills!E7=TRUE,Inputs!$B$32,0))))))/Skills!G7,1)))/Inputs!$B$43),G2261*Q2261))*IF(Inputs!$B$38="pvp",1,1+(Inputs!$B$20+Skills!O7+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1">
        <f>IF(C2261,(H2261*N2261*IF(AND(Inputs!$B$38&lt;&gt;"pvp",Inputs!$B$43&gt;0),((Skills!F7*((R2261-1)*IF(Skills!G7&gt;0,Skills!H7/Skills!G7,1)+IF(Skills!G7&gt;0,MIN(Skills!H7,MAX(0,MAX(0,Inputs!$B$43-B2287)-((R2261-1)*IF(Inputs!$B$38="pvp",15,MAX(0.1,Skills!D7-IF(Skills!E7=TRUE,Inputs!$B$32,0))))))/Skills!G7,1)))/Inputs!$B$43),G2261*Q2261))*IF(Inputs!$B$38="pvp",1,(1+(Inputs!$B$21+Skills!P7+B2281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Skills!A8</f>
        <v/>
      </c>
      <c r="B2262">
        <f>Skills!B8</f>
        <v/>
      </c>
      <c r="C2262">
        <f>Inputs!$B$3&gt;=103</f>
        <v/>
      </c>
      <c r="D2262">
        <f>IF(Skills!C8=1,60+Inputs!$B$25+Inputs!$B$29,IF(Skills!C8=2,90+Inputs!$B$26+Inputs!$B$29,IF(Skills!C8=3,120+Inputs!$B$27+Inputs!$B$29,MAX(0,(Inputs!$B$3-100)*3)+Inputs!$B$28+Inputs!$B$29)))</f>
        <v/>
      </c>
      <c r="E2262">
        <f>INDEX(FactorTable!$B$2:$Y$301, MATCH(ROUND(MIN(300,MAX(1,D2262)),0), FactorTable!$A$2:$A$301,0), Skills!L8+1)</f>
        <v/>
      </c>
      <c r="F2262">
        <f>IF(Skills!M8=TRUE,(Skills!K8/10)*(E2262/1000),Skills!K8/10)+Skills!N8</f>
        <v/>
      </c>
      <c r="G2262">
        <f>Calc!G8</f>
        <v/>
      </c>
      <c r="H2262">
        <f>Calc!H8</f>
        <v/>
      </c>
      <c r="I2262">
        <f>IF(Skills!T8&lt;&gt;"",1+(Skills!T8/10)*(Z2257/1000)/100,1)</f>
        <v/>
      </c>
      <c r="J2262">
        <f>((Inputs!$B$6*(1+Inputs!$B$7/100))+(((Inputs!$B$12*(1+Inputs!$B$13/100))-(Inputs!$B$12*(1+Inputs!$B$13/100)))+0.25*(Inputs!$B$14-Inputs!$B$14))*(1+Inputs!$B$7/100))*(F2262/100)</f>
        <v/>
      </c>
      <c r="K2262">
        <f>J2262*(1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F2272-Calc!F18),(Inputs!$B$23+(IF(ArtifactsInput!$M$15,CHOOSE(ArtifactsInput!$N$15+1,25,30,35,40,45,50)/100*(Inputs!$B$11-Inputs!$B$11),0))))/100+(Inputs!$B$23+(IF(ArtifactsInput!$M$15,CHOOSE(ArtifactsInput!$N$15+1,25,30,35,40,45,50)/100*(Inputs!$B$11-Inputs!$B$11),0)))/100)/2</f>
        <v/>
      </c>
      <c r="M2262">
        <f>L2262*(1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(1-Summary!$B$11)*S2262+Summary!$B$11*U2262</f>
        <v/>
      </c>
      <c r="P2262">
        <f>IF(B2290=0,0,O2262/B2290)</f>
        <v/>
      </c>
      <c r="Q2262">
        <f>IFERROR(1/IF(Inputs!$B$38="pvp",15,MAX(0.1,Skills!D8-IF(Skills!E8=TRUE,Inputs!$B$32,0))),0)</f>
        <v/>
      </c>
      <c r="R2262">
        <f>IF(AND(Inputs!$B$38&lt;&gt;"pvp",Inputs!$B$43&gt;0),IF(MAX(0,Inputs!$B$43-B2287)&lt;=0,0,(INT(MAX(0,Inputs!$B$43-B2287)/IF(Inputs!$B$38="pvp",15,MAX(0.1,Skills!D8-IF(Skills!E8=TRUE,Inputs!$B$32,0))))+1)),0)</f>
        <v/>
      </c>
      <c r="S2262">
        <f>IF(C2262,(H2262*N2262*IF(AND(Inputs!$B$38&lt;&gt;"pvp",Inputs!$B$43&gt;0),((Skills!F8*((R2262-1)*IF(Skills!G8&gt;0,Skills!H8/Skills!G8,1)+IF(Skills!G8&gt;0,MIN(Skills!H8,MAX(0,MAX(0,Inputs!$B$43-B2287)-((R2262-1)*IF(Inputs!$B$38="pvp",15,MAX(0.1,Skills!D8-IF(Skills!E8=TRUE,Inputs!$B$32,0))))))/Skills!G8,1)))/Inputs!$B$43),G2262*Q2262))*IF(Inputs!$B$38="pvp",1,1+(Inputs!$B$20+Skills!O8+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2262*(1-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2">
        <f>IF(C2262,(H2262*N2262*IF(AND(Inputs!$B$38&lt;&gt;"pvp",Inputs!$B$43&gt;0),((Skills!F8*((R2262-1)*IF(Skills!G8&gt;0,Skills!H8/Skills!G8,1)+IF(Skills!G8&gt;0,MIN(Skills!H8,MAX(0,MAX(0,Inputs!$B$43-B2287)-((R2262-1)*IF(Inputs!$B$38="pvp",15,MAX(0.1,Skills!D8-IF(Skills!E8=TRUE,Inputs!$B$32,0))))))/Skills!G8,1)))/Inputs!$B$43),G2262*Q2262))*IF(Inputs!$B$38="pvp",1,(1+(Inputs!$B$21+Skills!P8+B2281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Skills!A9</f>
        <v/>
      </c>
      <c r="B2263">
        <f>Skills!B9</f>
        <v/>
      </c>
      <c r="C2263">
        <f>Inputs!$B$3&gt;=105</f>
        <v/>
      </c>
      <c r="D2263">
        <f>IF(Skills!C9=1,60+Inputs!$B$25+Inputs!$B$29,IF(Skills!C9=2,90+Inputs!$B$26+Inputs!$B$29,IF(Skills!C9=3,120+Inputs!$B$27+Inputs!$B$29,MAX(0,(Inputs!$B$3-100)*3)+Inputs!$B$28+Inputs!$B$29)))</f>
        <v/>
      </c>
      <c r="E2263">
        <f>INDEX(FactorTable!$B$2:$Y$301, MATCH(ROUND(MIN(300,MAX(1,D2263)),0), FactorTable!$A$2:$A$301,0), Skills!L9+1)</f>
        <v/>
      </c>
      <c r="F2263">
        <f>IF(Skills!M9=TRUE,(Skills!K9/10)*(E2263/1000),Skills!K9/10)+Skills!N9</f>
        <v/>
      </c>
      <c r="G2263">
        <f>Calc!G9</f>
        <v/>
      </c>
      <c r="H2263">
        <f>Calc!H9</f>
        <v/>
      </c>
      <c r="I2263">
        <f>IF(Skills!T9&lt;&gt;"",1+(Skills!T9/10)*(Z2257/1000)/100,1)</f>
        <v/>
      </c>
      <c r="J2263">
        <f>((Inputs!$B$6*(1+Inputs!$B$7/100))+(((Inputs!$B$12*(1+Inputs!$B$13/100))-(Inputs!$B$12*(1+Inputs!$B$13/100)))+0.25*(Inputs!$B$14-Inputs!$B$14))*(1+Inputs!$B$7/100))*(F2263/100)</f>
        <v/>
      </c>
      <c r="K2263">
        <f>J2263*(1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F2272-Calc!F18),(Inputs!$B$23+(IF(ArtifactsInput!$M$15,CHOOSE(ArtifactsInput!$N$15+1,25,30,35,40,45,50)/100*(Inputs!$B$11-Inputs!$B$11),0))))/100+(Inputs!$B$23+(IF(ArtifactsInput!$M$15,CHOOSE(ArtifactsInput!$N$15+1,25,30,35,40,45,50)/100*(Inputs!$B$11-Inputs!$B$11),0)))/100)/2</f>
        <v/>
      </c>
      <c r="M2263">
        <f>L2263*(1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(1-Summary!$B$11)*S2263+Summary!$B$11*U2263</f>
        <v/>
      </c>
      <c r="P2263">
        <f>IF(B2290=0,0,O2263/B2290)</f>
        <v/>
      </c>
      <c r="Q2263">
        <f>IFERROR(1/IF(Inputs!$B$38="pvp",15,MAX(0.1,Skills!D9-IF(Skills!E9=TRUE,Inputs!$B$32,0))),0)</f>
        <v/>
      </c>
      <c r="R2263">
        <f>IF(AND(Inputs!$B$38&lt;&gt;"pvp",Inputs!$B$43&gt;0),IF(MAX(0,Inputs!$B$43-B2287)&lt;=0,0,(INT(MAX(0,Inputs!$B$43-B2287)/IF(Inputs!$B$38="pvp",15,MAX(0.1,Skills!D9-IF(Skills!E9=TRUE,Inputs!$B$32,0))))+1)),0)</f>
        <v/>
      </c>
      <c r="S2263">
        <f>IF(C2263,(H2263*N2263*IF(AND(Inputs!$B$38&lt;&gt;"pvp",Inputs!$B$43&gt;0),((Skills!F9*((R2263-1)*IF(Skills!G9&gt;0,Skills!H9/Skills!G9,1)+IF(Skills!G9&gt;0,MIN(Skills!H9,MAX(0,MAX(0,Inputs!$B$43-B2287)-((R2263-1)*IF(Inputs!$B$38="pvp",15,MAX(0.1,Skills!D9-IF(Skills!E9=TRUE,Inputs!$B$32,0))))))/Skills!G9,1)))/Inputs!$B$43),G2263*Q2263))*IF(Inputs!$B$38="pvp",1,1+(Inputs!$B$20+Skills!O9+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2263*(1-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3">
        <f>IF(C2263,(H2263*N2263*IF(AND(Inputs!$B$38&lt;&gt;"pvp",Inputs!$B$43&gt;0),((Skills!F9*((R2263-1)*IF(Skills!G9&gt;0,Skills!H9/Skills!G9,1)+IF(Skills!G9&gt;0,MIN(Skills!H9,MAX(0,MAX(0,Inputs!$B$43-B2287)-((R2263-1)*IF(Inputs!$B$38="pvp",15,MAX(0.1,Skills!D9-IF(Skills!E9=TRUE,Inputs!$B$32,0))))))/Skills!G9,1)))/Inputs!$B$43),G2263*Q2263))*IF(Inputs!$B$38="pvp",1,(1+(Inputs!$B$21+Skills!P9+B2281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Skills!A10</f>
        <v/>
      </c>
      <c r="B2264">
        <f>Skills!B10</f>
        <v/>
      </c>
      <c r="C2264">
        <f>Inputs!$B$3&gt;=113</f>
        <v/>
      </c>
      <c r="D2264">
        <f>IF(Skills!C10=1,60+Inputs!$B$25+Inputs!$B$29,IF(Skills!C10=2,90+Inputs!$B$26+Inputs!$B$29,IF(Skills!C10=3,120+Inputs!$B$27+Inputs!$B$29,MAX(0,(Inputs!$B$3-100)*3)+Inputs!$B$28+Inputs!$B$29)))</f>
        <v/>
      </c>
      <c r="E2264">
        <f>INDEX(FactorTable!$B$2:$Y$301, MATCH(ROUND(MIN(300,MAX(1,D2264)),0), FactorTable!$A$2:$A$301,0), Skills!L10+1)</f>
        <v/>
      </c>
      <c r="F2264">
        <f>IF(Skills!M10=TRUE,(Skills!K10/10)*(E2264/1000),Skills!K10/10)+Skills!N10</f>
        <v/>
      </c>
      <c r="G2264">
        <f>Calc!G10</f>
        <v/>
      </c>
      <c r="H2264">
        <f>Calc!H10</f>
        <v/>
      </c>
      <c r="I2264">
        <f>IF(Skills!T10&lt;&gt;"",1+(Skills!T10/10)*(Z2257/1000)/100,1)</f>
        <v/>
      </c>
      <c r="J2264">
        <f>((Inputs!$B$6*(1+Inputs!$B$7/100))+(((Inputs!$B$12*(1+Inputs!$B$13/100))-(Inputs!$B$12*(1+Inputs!$B$13/100)))+0.25*(Inputs!$B$14-Inputs!$B$14))*(1+Inputs!$B$7/100))*(F2264/100)</f>
        <v/>
      </c>
      <c r="K2264">
        <f>J2264*(1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F2272-Calc!F18),(Inputs!$B$23+(IF(ArtifactsInput!$M$15,CHOOSE(ArtifactsInput!$N$15+1,25,30,35,40,45,50)/100*(Inputs!$B$11-Inputs!$B$11),0))))/100+(Inputs!$B$23+(IF(ArtifactsInput!$M$15,CHOOSE(ArtifactsInput!$N$15+1,25,30,35,40,45,50)/100*(Inputs!$B$11-Inputs!$B$11),0)))/100)/2</f>
        <v/>
      </c>
      <c r="M2264">
        <f>L2264*(1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(1-Summary!$B$11)*S2264+Summary!$B$11*U2264</f>
        <v/>
      </c>
      <c r="P2264">
        <f>IF(B2290=0,0,O2264/B2290)</f>
        <v/>
      </c>
      <c r="Q2264">
        <f>IFERROR(1/IF(Inputs!$B$38="pvp",15,MAX(0.1,Skills!D10-IF(Skills!E9=TRUE,Inputs!$B$32,0))),0)</f>
        <v/>
      </c>
      <c r="R2264">
        <f>IF(AND(Inputs!$B$38&lt;&gt;"pvp",Inputs!$B$43&gt;0),IF(MAX(0,Inputs!$B$43-B2287)&lt;=0,0,(INT(MAX(0,Inputs!$B$43-B2287)/IF(Inputs!$B$38="pvp",15,MAX(0.1,Skills!D10-IF(Skills!E9=TRUE,Inputs!$B$32,0))))+1)),0)</f>
        <v/>
      </c>
      <c r="S2264">
        <f>IF(C2264,(H2264*N2264*IF(AND(Inputs!$B$38&lt;&gt;"pvp",Inputs!$B$43&gt;0),((Skills!F10*((R2264-1)*IF(Skills!G10&gt;0,Skills!H10/Skills!G10,1)+IF(Skills!G10&gt;0,MIN(Skills!H10,MAX(0,MAX(0,Inputs!$B$43-B2287)-((R2264-1)*IF(Inputs!$B$38="pvp",15,MAX(0.1,Skills!D10-IF(Skills!E9=TRUE,Inputs!$B$32,0))))))/Skills!G10,1)))/Inputs!$B$43),G2264*Q2264))*IF(Inputs!$B$38="pvp",1,1+(Inputs!$B$20+Skills!O10+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2264*(1-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4">
        <f>IF(C2264,(H2264*N2264*IF(AND(Inputs!$B$38&lt;&gt;"pvp",Inputs!$B$43&gt;0),((Skills!F10*((R2264-1)*IF(Skills!G10&gt;0,Skills!H10/Skills!G10,1)+IF(Skills!G10&gt;0,MIN(Skills!H10,MAX(0,MAX(0,Inputs!$B$43-B2287)-((R2264-1)*IF(Inputs!$B$38="pvp",15,MAX(0.1,Skills!D10-IF(Skills!E9=TRUE,Inputs!$B$32,0))))))/Skills!G10,1)))/Inputs!$B$43),G2264*Q2264))*IF(Inputs!$B$38="pvp",1,(1+(Inputs!$B$21+Skills!P10+B2281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Skills!A11</f>
        <v/>
      </c>
      <c r="B2265">
        <f>Skills!B11</f>
        <v/>
      </c>
      <c r="C2265">
        <f>Inputs!$B$3&gt;=107</f>
        <v/>
      </c>
      <c r="D2265">
        <f>IF(Skills!C11=1,60+Inputs!$B$25+Inputs!$B$29,IF(Skills!C11=2,90+Inputs!$B$26+Inputs!$B$29,IF(Skills!C11=3,120+Inputs!$B$27+Inputs!$B$29,MAX(0,(Inputs!$B$3-100)*3)+Inputs!$B$28+Inputs!$B$29)))</f>
        <v/>
      </c>
      <c r="E2265">
        <f>INDEX(FactorTable!$B$2:$Y$301, MATCH(ROUND(MIN(300,MAX(1,D2265)),0), FactorTable!$A$2:$A$301,0), Skills!L11+1)</f>
        <v/>
      </c>
      <c r="F2265">
        <f>IF(Skills!M11=TRUE,(Skills!K11/10)*(E2265/1000),Skills!K11/10)+Skills!N11</f>
        <v/>
      </c>
      <c r="G2265">
        <f>Calc!G11</f>
        <v/>
      </c>
      <c r="H2265">
        <f>Calc!H11</f>
        <v/>
      </c>
      <c r="I2265">
        <f>IF(Skills!T11&lt;&gt;"",1+(Skills!T11/10)*(Z2257/1000)/100,1)</f>
        <v/>
      </c>
      <c r="J2265">
        <f>((Inputs!$B$6*(1+Inputs!$B$7/100))+(((Inputs!$B$12*(1+Inputs!$B$13/100))-(Inputs!$B$12*(1+Inputs!$B$13/100)))+0.25*(Inputs!$B$14-Inputs!$B$14))*(1+Inputs!$B$7/100))*(F2265/100)</f>
        <v/>
      </c>
      <c r="K2265">
        <f>J2265*(1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F2272-Calc!F18),(Inputs!$B$23+(IF(ArtifactsInput!$M$15,CHOOSE(ArtifactsInput!$N$15+1,25,30,35,40,45,50)/100*(Inputs!$B$11-Inputs!$B$11),0))))/100+(Inputs!$B$23+(IF(ArtifactsInput!$M$15,CHOOSE(ArtifactsInput!$N$15+1,25,30,35,40,45,50)/100*(Inputs!$B$11-Inputs!$B$11),0)))/100)/2</f>
        <v/>
      </c>
      <c r="M2265">
        <f>L2265*(1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(1-Summary!$B$11)*S2265+Summary!$B$11*U2265</f>
        <v/>
      </c>
      <c r="P2265">
        <f>IF(B2290=0,0,O2265/B2290)</f>
        <v/>
      </c>
      <c r="Q2265">
        <f>IFERROR(1/IF(Inputs!$B$38="pvp",15,MAX(0.1,Skills!D11-IF(Skills!E11=TRUE,Inputs!$B$32,0))),0)</f>
        <v/>
      </c>
      <c r="R2265">
        <f>IF(AND(Inputs!$B$38&lt;&gt;"pvp",Inputs!$B$43&gt;0),IF(MAX(0,Inputs!$B$43-B2287)&lt;=0,0,(INT(MAX(0,Inputs!$B$43-B2287)/IF(Inputs!$B$38="pvp",15,MAX(0.1,Skills!D11-IF(Skills!E11=TRUE,Inputs!$B$32,0))))+1)),0)</f>
        <v/>
      </c>
      <c r="S2265">
        <f>IF(C2265,H2265*N2265*IF(AND(Inputs!$B$38&lt;&gt;"pvp",Inputs!$B$43&gt;0),((Skills!F11*((R2265-1)*IF(Skills!G11&gt;0,Skills!H11/Skills!G11,1)+IF(Skills!G11&gt;0,MIN(Skills!H11,MAX(0,MAX(0,Inputs!$B$43-B2287)-((R2265-1)*IF(Inputs!$B$38="pvp",15,MAX(0.1,Skills!D11-IF(Skills!E11=TRUE,Inputs!$B$32,0))))))/Skills!G11,1)))/Inputs!$B$43),G2265*Q2265)*0.5*IF(Inputs!$B$38="pvp",1,1+(Inputs!$B$20+Skills!O11+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2265*(1-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5">
        <f>IF(C2265,H2265*N2265*IF(AND(Inputs!$B$38&lt;&gt;"pvp",Inputs!$B$43&gt;0),((Skills!F11*((R2265-1)*IF(Skills!G11&gt;0,Skills!H11/Skills!G11,1)+IF(Skills!G11&gt;0,MIN(Skills!H11,MAX(0,MAX(0,Inputs!$B$43-B2287)-((R2265-1)*IF(Inputs!$B$38="pvp",15,MAX(0.1,Skills!D11-IF(Skills!E11=TRUE,Inputs!$B$32,0))))))/Skills!G11,1)))/Inputs!$B$43),G2265*Q2265)*1*IF(Inputs!$B$38="pvp",1,(1+(Inputs!$B$21+Skills!P11+B2281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Skills!A12</f>
        <v/>
      </c>
      <c r="B2266">
        <f>Skills!B12</f>
        <v/>
      </c>
      <c r="C2266">
        <f>Inputs!$B$3&gt;=115</f>
        <v/>
      </c>
      <c r="D2266">
        <f>IF(Skills!C12=1,60+Inputs!$B$25+Inputs!$B$29,IF(Skills!C12=2,90+Inputs!$B$26+Inputs!$B$29,IF(Skills!C12=3,120+Inputs!$B$27+Inputs!$B$29,MAX(0,(Inputs!$B$3-100)*3)+Inputs!$B$28+Inputs!$B$29)))</f>
        <v/>
      </c>
      <c r="E2266">
        <f>INDEX(FactorTable!$B$2:$Y$301, MATCH(ROUND(MIN(300,MAX(1,D2266)),0), FactorTable!$A$2:$A$301,0), Skills!L12+1)</f>
        <v/>
      </c>
      <c r="F2266">
        <f>IF(Skills!M12=TRUE,(Skills!K12/10)*(E2266/1000),Skills!K12/10)+Skills!N12</f>
        <v/>
      </c>
      <c r="G2266">
        <f>Calc!G12</f>
        <v/>
      </c>
      <c r="H2266">
        <f>Calc!H12</f>
        <v/>
      </c>
      <c r="I2266">
        <f>IF(Skills!T12&lt;&gt;"",1+(Skills!T12/10)*(Z2257/1000)/100,1)</f>
        <v/>
      </c>
      <c r="J2266">
        <f>((Inputs!$B$6*(1+Inputs!$B$7/100))+(((Inputs!$B$12*(1+Inputs!$B$13/100))-(Inputs!$B$12*(1+Inputs!$B$13/100)))+0.25*(Inputs!$B$14-Inputs!$B$14))*(1+Inputs!$B$7/100))*(F2266/100)</f>
        <v/>
      </c>
      <c r="K2266">
        <f>J2266*(1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F2272-Calc!F18),(Inputs!$B$23+(IF(ArtifactsInput!$M$15,CHOOSE(ArtifactsInput!$N$15+1,25,30,35,40,45,50)/100*(Inputs!$B$11-Inputs!$B$11),0))))/100+(Inputs!$B$23+(IF(ArtifactsInput!$M$15,CHOOSE(ArtifactsInput!$N$15+1,25,30,35,40,45,50)/100*(Inputs!$B$11-Inputs!$B$11),0)))/100)/2</f>
        <v/>
      </c>
      <c r="M2266">
        <f>L2266*(1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(1-Summary!$B$11)*S2266+Summary!$B$11*U2266</f>
        <v/>
      </c>
      <c r="P2266">
        <f>IF(B2290=0,0,O2266/B2290)</f>
        <v/>
      </c>
      <c r="Q2266">
        <f>IFERROR(1/IF(Inputs!$B$38="pvp",15,MAX(0.1,Skills!D12-IF(Skills!E12=TRUE,Inputs!$B$32,0))),0)</f>
        <v/>
      </c>
      <c r="R2266">
        <f>IF(AND(Inputs!$B$38&lt;&gt;"pvp",Inputs!$B$43&gt;0),IF(MAX(0,Inputs!$B$43-B2287)&lt;=0,0,(INT(MAX(0,Inputs!$B$43-B2287)/IF(Inputs!$B$38="pvp",15,MAX(0.1,Skills!D12-IF(Skills!E12=TRUE,Inputs!$B$32,0))))+1)),0)</f>
        <v/>
      </c>
      <c r="S2266">
        <f>IF(C2266,(H2266*N2266*IF(AND(Inputs!$B$38&lt;&gt;"pvp",Inputs!$B$43&gt;0),((Skills!F12*((R2266-1)*IF(Skills!G12&gt;0,Skills!H12/Skills!G12,1)+IF(Skills!G12&gt;0,MIN(Skills!H12,MAX(0,MAX(0,Inputs!$B$43-B2287)-((R2266-1)*IF(Inputs!$B$38="pvp",15,MAX(0.1,Skills!D12-IF(Skills!E12=TRUE,Inputs!$B$32,0))))))/Skills!G12,1)))/Inputs!$B$43),G2266*Q2266))*IF(Inputs!$B$38="pvp",1,1+(Inputs!$B$20+Skills!O12+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6">
        <f>IF(C2266,(H2266*N2266*IF(AND(Inputs!$B$38&lt;&gt;"pvp",Inputs!$B$43&gt;0),((Skills!F12*((R2266-1)*IF(Skills!G12&gt;0,Skills!H12/Skills!G12,1)+IF(Skills!G12&gt;0,MIN(Skills!H12,MAX(0,MAX(0,Inputs!$B$43-B2287)-((R2266-1)*IF(Inputs!$B$38="pvp",15,MAX(0.1,Skills!D12-IF(Skills!E12=TRUE,Inputs!$B$32,0))))))/Skills!G12,1)))/Inputs!$B$43),G2266*Q2266))*IF(Inputs!$B$38="pvp",1,(1+(Inputs!$B$21+Skills!P12+B2281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Skills!A13</f>
        <v/>
      </c>
      <c r="B2267">
        <f>Skills!B13</f>
        <v/>
      </c>
      <c r="C2267">
        <f>Inputs!$B$3&gt;=49</f>
        <v/>
      </c>
      <c r="D2267">
        <f>IF(Skills!C13=1,60+Inputs!$B$25+Inputs!$B$29,IF(Skills!C13=2,90+Inputs!$B$26+Inputs!$B$29,IF(Skills!C13=3,120+Inputs!$B$27+Inputs!$B$29,MAX(0,(Inputs!$B$3-100)*3)+Inputs!$B$28+Inputs!$B$29)))</f>
        <v/>
      </c>
      <c r="E2267">
        <f>INDEX(FactorTable!$B$2:$Y$301, MATCH(ROUND(MIN(300,MAX(1,D2267)),0), FactorTable!$A$2:$A$301,0), Skills!L13+1)</f>
        <v/>
      </c>
      <c r="F2267">
        <f>IF(Skills!M13=TRUE,(Skills!K13/10)*(E2267/1000),Skills!K13/10)+Skills!N13</f>
        <v/>
      </c>
      <c r="G2267">
        <f>Calc!G13</f>
        <v/>
      </c>
      <c r="H2267">
        <f>Calc!H13</f>
        <v/>
      </c>
      <c r="I2267">
        <f>IF(Skills!T13&lt;&gt;"",1+(Skills!T13/10)*(Z2257/1000)/100,1)</f>
        <v/>
      </c>
      <c r="J2267" t="inlineStr"/>
      <c r="K2267" t="inlineStr"/>
      <c r="L2267" t="inlineStr"/>
      <c r="M2267" t="inlineStr"/>
      <c r="N2267" t="inlineStr"/>
      <c r="O2267">
        <f>(1-Summary!$B$11)*S2267+Summary!$B$11*U2267</f>
        <v/>
      </c>
      <c r="P2267">
        <f>IF(B2290=0,0,O2267/B2290)</f>
        <v/>
      </c>
      <c r="Q2267">
        <f>IFERROR(1/IF(Inputs!$B$38="pvp",15,MAX(0.1,Skills!D13-IF(Skills!E13=TRUE,Inputs!$B$32,0))),0)</f>
        <v/>
      </c>
      <c r="R2267" t="n">
        <v>0</v>
      </c>
      <c r="S2267" t="n">
        <v>0</v>
      </c>
      <c r="U2267" t="n">
        <v>0</v>
      </c>
    </row>
    <row r="2268">
      <c r="A2268">
        <f>Skills!A14</f>
        <v/>
      </c>
      <c r="B2268">
        <f>Skills!B14</f>
        <v/>
      </c>
      <c r="C2268">
        <f>Inputs!$B$3&gt;=72</f>
        <v/>
      </c>
      <c r="D2268">
        <f>IF(Skills!C14=1,60+Inputs!$B$25+Inputs!$B$29,IF(Skills!C14=2,90+Inputs!$B$26+Inputs!$B$29,IF(Skills!C14=3,120+Inputs!$B$27+Inputs!$B$29,MAX(0,(Inputs!$B$3-100)*3)+Inputs!$B$28+Inputs!$B$29)))</f>
        <v/>
      </c>
      <c r="E2268">
        <f>INDEX(FactorTable!$B$2:$Y$301, MATCH(ROUND(MIN(300,MAX(1,D2268)),0), FactorTable!$A$2:$A$301,0), Skills!L14+1)</f>
        <v/>
      </c>
      <c r="F2268">
        <f>IF(Skills!M14=TRUE,(Skills!K14/10)*(E2268/1000),Skills!K14/10)+Skills!N14</f>
        <v/>
      </c>
      <c r="G2268">
        <f>Calc!G14</f>
        <v/>
      </c>
      <c r="H2268">
        <f>Calc!H14</f>
        <v/>
      </c>
      <c r="I2268">
        <f>IF(Skills!T14&lt;&gt;"",1+(Skills!T14/10)*(Z2257/1000)/100,1)</f>
        <v/>
      </c>
      <c r="J2268" t="inlineStr"/>
      <c r="K2268" t="inlineStr"/>
      <c r="L2268" t="inlineStr"/>
      <c r="M2268" t="inlineStr"/>
      <c r="N2268" t="inlineStr"/>
      <c r="O2268">
        <f>(1-Summary!$B$11)*S2268+Summary!$B$11*U2268</f>
        <v/>
      </c>
      <c r="P2268">
        <f>IF(B2290=0,0,O2268/B2290)</f>
        <v/>
      </c>
      <c r="Q2268">
        <f>IFERROR(1/IF(Inputs!$B$38="pvp",15,MAX(0.1,Skills!D14-IF(Skills!E14=TRUE,Inputs!$B$32,0))),0)</f>
        <v/>
      </c>
      <c r="R2268" t="n">
        <v>0</v>
      </c>
      <c r="S2268" t="n">
        <v>0</v>
      </c>
      <c r="U2268" t="n">
        <v>0</v>
      </c>
    </row>
    <row r="2269">
      <c r="A2269">
        <f>Skills!A15</f>
        <v/>
      </c>
      <c r="B2269">
        <f>Skills!B15</f>
        <v/>
      </c>
      <c r="C2269">
        <f>Inputs!$B$3&gt;=75</f>
        <v/>
      </c>
      <c r="D2269">
        <f>IF(Skills!C15=1,60+Inputs!$B$25+Inputs!$B$29,IF(Skills!C15=2,90+Inputs!$B$26+Inputs!$B$29,IF(Skills!C15=3,120+Inputs!$B$27+Inputs!$B$29,MAX(0,(Inputs!$B$3-100)*3)+Inputs!$B$28+Inputs!$B$29)))</f>
        <v/>
      </c>
      <c r="E2269">
        <f>INDEX(FactorTable!$B$2:$Y$301, MATCH(ROUND(MIN(300,MAX(1,D2269)),0), FactorTable!$A$2:$A$301,0), Skills!L15+1)</f>
        <v/>
      </c>
      <c r="F2269">
        <f>IF(Skills!M15=TRUE,(Skills!K15/10)*(E2269/1000),Skills!K15/10)+Skills!N15</f>
        <v/>
      </c>
      <c r="G2269">
        <f>Calc!G15</f>
        <v/>
      </c>
      <c r="H2269">
        <f>Calc!H15</f>
        <v/>
      </c>
      <c r="I2269">
        <f>IF(Skills!T15&lt;&gt;"",1+(Skills!T15/10)*(Z2257/1000)/100,1)</f>
        <v/>
      </c>
      <c r="J2269" t="inlineStr"/>
      <c r="K2269" t="inlineStr"/>
      <c r="L2269" t="inlineStr"/>
      <c r="M2269" t="inlineStr"/>
      <c r="N2269" t="inlineStr"/>
      <c r="O2269">
        <f>(1-Summary!$B$11)*S2269+Summary!$B$11*U2269</f>
        <v/>
      </c>
      <c r="P2269">
        <f>IF(B2290=0,0,O2269/B2290)</f>
        <v/>
      </c>
      <c r="Q2269">
        <f>IFERROR(1/IF(Inputs!$B$38="pvp",15,MAX(0.1,Skills!D15-IF(Skills!E15=TRUE,Inputs!$B$32,0))),0)</f>
        <v/>
      </c>
      <c r="R2269" t="n">
        <v>0</v>
      </c>
      <c r="S2269" t="n">
        <v>0</v>
      </c>
      <c r="U2269" t="n">
        <v>0</v>
      </c>
    </row>
    <row r="2270">
      <c r="A2270">
        <f>Skills!A16</f>
        <v/>
      </c>
      <c r="B2270">
        <f>Skills!B16</f>
        <v/>
      </c>
      <c r="C2270">
        <f>Inputs!$B$3&gt;=110</f>
        <v/>
      </c>
      <c r="D2270">
        <f>IF(Skills!C16=1,60+Inputs!$B$25+Inputs!$B$29,IF(Skills!C16=2,90+Inputs!$B$26+Inputs!$B$29,IF(Skills!C16=3,120+Inputs!$B$27+Inputs!$B$29,MAX(0,(Inputs!$B$3-100)*3)+Inputs!$B$28+Inputs!$B$29)))</f>
        <v/>
      </c>
      <c r="E2270">
        <f>INDEX(FactorTable!$B$2:$Y$301, MATCH(ROUND(MIN(300,MAX(1,D2270)),0), FactorTable!$A$2:$A$301,0), Skills!L16+1)</f>
        <v/>
      </c>
      <c r="F2270">
        <f>(Skills!K16/10)*(E2270/1000)*64/45+Skills!N16</f>
        <v/>
      </c>
      <c r="G2270">
        <f>Calc!G16</f>
        <v/>
      </c>
      <c r="H2270">
        <f>Calc!H16</f>
        <v/>
      </c>
      <c r="I2270">
        <f>IF(Skills!T16&lt;&gt;"",1+(Skills!T16/10)*(Z2257/1000)/100,1)</f>
        <v/>
      </c>
      <c r="J2270" t="inlineStr"/>
      <c r="K2270" t="inlineStr"/>
      <c r="L2270" t="inlineStr"/>
      <c r="M2270" t="inlineStr"/>
      <c r="N2270" t="inlineStr"/>
      <c r="O2270">
        <f>(1-Summary!$B$11)*S2270+Summary!$B$11*U2270</f>
        <v/>
      </c>
      <c r="P2270">
        <f>IF(B2290=0,0,O2270/B2290)</f>
        <v/>
      </c>
      <c r="Q2270">
        <f>IFERROR(1/IF(Inputs!$B$38="pvp",15,MAX(0.1,Skills!D16-IF(Skills!E16=TRUE,Inputs!$B$32,0))),0)</f>
        <v/>
      </c>
      <c r="R2270">
        <f>IF(AND(Inputs!$B$38&lt;&gt;"pvp",Inputs!$B$43&gt;0),IF(Inputs!$B$43&lt;=0,0,(INT(Inputs!$B$43/IF(Inputs!$B$38="pvp",15,MAX(0.1,Skills!D16-IF(Skills!E16=TRUE,Inputs!$B$32,0))))+1)),0)</f>
        <v/>
      </c>
      <c r="S2270" t="n">
        <v>0</v>
      </c>
      <c r="U2270" t="n">
        <v>0</v>
      </c>
    </row>
    <row r="2271">
      <c r="A2271">
        <f>Skills!A17</f>
        <v/>
      </c>
      <c r="B2271">
        <f>Skills!B17</f>
        <v/>
      </c>
      <c r="C2271">
        <f>Inputs!$B$3&gt;=33</f>
        <v/>
      </c>
      <c r="D2271">
        <f>IF(Skills!C17=1,60+Inputs!$B$25+Inputs!$B$29,IF(Skills!C17=2,90+Inputs!$B$26+Inputs!$B$29,IF(Skills!C17=3,120+Inputs!$B$27+Inputs!$B$29,MAX(0,(Inputs!$B$3-100)*3)+Inputs!$B$28+Inputs!$B$29)))</f>
        <v/>
      </c>
      <c r="E2271">
        <f>INDEX(FactorTable!$B$2:$Y$301, MATCH(ROUND(MIN(300,MAX(1,D2271)),0), FactorTable!$A$2:$A$301,0), Skills!L17+1)</f>
        <v/>
      </c>
      <c r="F2271">
        <f>IF(Skills!M17=TRUE,(Skills!K17/10)*(E2271/1000),Skills!K17/10)+Skills!N17</f>
        <v/>
      </c>
      <c r="G2271">
        <f>Calc!G17</f>
        <v/>
      </c>
      <c r="H2271">
        <f>Calc!H17</f>
        <v/>
      </c>
      <c r="I2271">
        <f>IF(Skills!T17&lt;&gt;"",1+(Skills!T17/10)*(Z2257/1000)/100,1)</f>
        <v/>
      </c>
      <c r="J2271" t="inlineStr"/>
      <c r="K2271" t="inlineStr"/>
      <c r="L2271" t="inlineStr"/>
      <c r="M2271" t="inlineStr"/>
      <c r="N2271" t="inlineStr"/>
      <c r="O2271">
        <f>(1-Summary!$B$11)*S2271+Summary!$B$11*U2271</f>
        <v/>
      </c>
      <c r="P2271">
        <f>IF(B2290=0,0,O2271/B2290)</f>
        <v/>
      </c>
      <c r="Q2271">
        <f>IFERROR(1/IF(Inputs!$B$38="pvp",15,MAX(0.1,Skills!D17-IF(Skills!E17=TRUE,Inputs!$B$32,0))),0)</f>
        <v/>
      </c>
      <c r="R2271" t="n">
        <v>0</v>
      </c>
      <c r="S2271" t="n">
        <v>0</v>
      </c>
      <c r="U2271" t="n">
        <v>0</v>
      </c>
    </row>
    <row r="2272">
      <c r="A2272">
        <f>Skills!A18</f>
        <v/>
      </c>
      <c r="B2272">
        <f>Skills!B18</f>
        <v/>
      </c>
      <c r="C2272">
        <f>Inputs!$B$3&gt;=43</f>
        <v/>
      </c>
      <c r="D2272">
        <f>IF(Skills!C18=1,60+Inputs!$B$25+Inputs!$B$29,IF(Skills!C18=2,90+Inputs!$B$26+Inputs!$B$29,IF(Skills!C18=3,120+Inputs!$B$27+Inputs!$B$29,MAX(0,(Inputs!$B$3-100)*3)+Inputs!$B$28+Inputs!$B$29)))</f>
        <v/>
      </c>
      <c r="E2272">
        <f>INDEX(FactorTable!$B$2:$Y$301, MATCH(ROUND(MIN(300,MAX(1,D2272)),0), FactorTable!$A$2:$A$301,0), Skills!L18+1)</f>
        <v/>
      </c>
      <c r="F2272">
        <f>IF(Skills!M18=TRUE,(Skills!K18/10)*(E2272/1000),Skills!K18/10)+Skills!N18</f>
        <v/>
      </c>
      <c r="G2272">
        <f>Calc!G18</f>
        <v/>
      </c>
      <c r="H2272">
        <f>Calc!H18</f>
        <v/>
      </c>
      <c r="I2272">
        <f>IF(Skills!T18&lt;&gt;"",1+(Skills!T18/10)*(Z2257/1000)/100,1)</f>
        <v/>
      </c>
      <c r="J2272" t="inlineStr"/>
      <c r="K2272" t="inlineStr"/>
      <c r="L2272" t="inlineStr"/>
      <c r="M2272" t="inlineStr"/>
      <c r="N2272" t="inlineStr"/>
      <c r="O2272">
        <f>(1-Summary!$B$11)*S2272+Summary!$B$11*U2272</f>
        <v/>
      </c>
      <c r="P2272">
        <f>IF(B2290=0,0,O2272/B2290)</f>
        <v/>
      </c>
      <c r="Q2272">
        <f>IFERROR(1/IF(Inputs!$B$38="pvp",15,MAX(0.1,Skills!D18-IF(Skills!E18=TRUE,Inputs!$B$32,0))),0)</f>
        <v/>
      </c>
      <c r="R2272" t="n">
        <v>0</v>
      </c>
      <c r="S2272" t="n">
        <v>0</v>
      </c>
      <c r="U2272" t="n">
        <v>0</v>
      </c>
    </row>
    <row r="2273">
      <c r="A2273">
        <f>Skills!A19</f>
        <v/>
      </c>
      <c r="B2273">
        <f>Skills!B19</f>
        <v/>
      </c>
      <c r="C2273">
        <f>Inputs!$B$3&gt;=50</f>
        <v/>
      </c>
      <c r="D2273">
        <f>IF(Skills!C19=1,60+Inputs!$B$25+Inputs!$B$29,IF(Skills!C19=2,90+Inputs!$B$26+Inputs!$B$29,IF(Skills!C19=3,120+Inputs!$B$27+Inputs!$B$29,MAX(0,(Inputs!$B$3-100)*3)+Inputs!$B$28+Inputs!$B$29)))</f>
        <v/>
      </c>
      <c r="E2273">
        <f>INDEX(FactorTable!$B$2:$Y$301, MATCH(ROUND(MIN(300,MAX(1,D2273)),0), FactorTable!$A$2:$A$301,0), Skills!L19+1)</f>
        <v/>
      </c>
      <c r="F2273">
        <f>IF(Skills!M19=TRUE,(Skills!K19/10)*(E2273/1000),Skills!K19/10)+Skills!N19</f>
        <v/>
      </c>
      <c r="G2273">
        <f>Calc!G19</f>
        <v/>
      </c>
      <c r="H2273">
        <f>Calc!H19</f>
        <v/>
      </c>
      <c r="I2273">
        <f>IF(Skills!T19&lt;&gt;"",1+(Skills!T19/10)*(Z2257/1000)/100,1)</f>
        <v/>
      </c>
      <c r="J2273" t="inlineStr"/>
      <c r="K2273" t="inlineStr"/>
      <c r="L2273" t="inlineStr"/>
      <c r="M2273" t="inlineStr"/>
      <c r="N2273" t="inlineStr"/>
      <c r="O2273">
        <f>(1-Summary!$B$11)*S2273+Summary!$B$11*U2273</f>
        <v/>
      </c>
      <c r="P2273">
        <f>IF(B2290=0,0,O2273/B2290)</f>
        <v/>
      </c>
      <c r="Q2273">
        <f>IFERROR(1/IF(Inputs!$B$38="pvp",15,MAX(0.1,Skills!D19-IF(Skills!E19=TRUE,Inputs!$B$32,0))),0)</f>
        <v/>
      </c>
      <c r="R2273" t="n">
        <v>0</v>
      </c>
      <c r="S2273" t="n">
        <v>0</v>
      </c>
      <c r="U2273" t="n">
        <v>0</v>
      </c>
    </row>
    <row r="2274">
      <c r="A2274">
        <f>Skills!A20</f>
        <v/>
      </c>
      <c r="B2274">
        <f>Skills!B20</f>
        <v/>
      </c>
      <c r="C2274">
        <f>Inputs!$B$3&gt;=74</f>
        <v/>
      </c>
      <c r="D2274">
        <f>IF(Skills!C20=1,60+Inputs!$B$25+Inputs!$B$29,IF(Skills!C20=2,90+Inputs!$B$26+Inputs!$B$29,IF(Skills!C20=3,120+Inputs!$B$27+Inputs!$B$29,MAX(0,(Inputs!$B$3-100)*3)+Inputs!$B$28+Inputs!$B$29)))</f>
        <v/>
      </c>
      <c r="E2274">
        <f>INDEX(FactorTable!$B$2:$Y$301, MATCH(ROUND(MIN(300,MAX(1,D2274)),0), FactorTable!$A$2:$A$301,0), Skills!L20+1)</f>
        <v/>
      </c>
      <c r="F2274">
        <f>IF(Skills!M20=TRUE,(Skills!K20/10)*(E2274/1000),Skills!K20/10)+Skills!N20</f>
        <v/>
      </c>
      <c r="G2274">
        <f>Calc!G20</f>
        <v/>
      </c>
      <c r="H2274">
        <f>Calc!H20</f>
        <v/>
      </c>
      <c r="I2274">
        <f>IF(Skills!T20&lt;&gt;"",1+(Skills!T20/10)*(Z2257/1000)/100,1)</f>
        <v/>
      </c>
      <c r="J2274" t="inlineStr"/>
      <c r="K2274" t="inlineStr"/>
      <c r="L2274" t="inlineStr"/>
      <c r="M2274" t="inlineStr"/>
      <c r="N2274" t="inlineStr"/>
      <c r="O2274">
        <f>(1-Summary!$B$11)*S2274+Summary!$B$11*U2274</f>
        <v/>
      </c>
      <c r="P2274">
        <f>IF(B2290=0,0,O2274/B2290)</f>
        <v/>
      </c>
      <c r="Q2274">
        <f>IFERROR(1/IF(Inputs!$B$38="pvp",15,MAX(0.1,Skills!D20-IF(Skills!E20=TRUE,Inputs!$B$32,0))),0)</f>
        <v/>
      </c>
      <c r="R2274" t="n">
        <v>0</v>
      </c>
      <c r="S2274" t="n">
        <v>0</v>
      </c>
      <c r="U2274" t="n">
        <v>0</v>
      </c>
    </row>
    <row r="2275">
      <c r="A2275">
        <f>Skills!A21</f>
        <v/>
      </c>
      <c r="B2275">
        <f>Skills!B21</f>
        <v/>
      </c>
      <c r="C2275">
        <f>Inputs!$B$3&gt;=74</f>
        <v/>
      </c>
      <c r="D2275">
        <f>IF(Skills!C21=1,60+Inputs!$B$25+Inputs!$B$29,IF(Skills!C21=2,90+Inputs!$B$26+Inputs!$B$29,IF(Skills!C21=3,120+Inputs!$B$27+Inputs!$B$29,MAX(0,(Inputs!$B$3-100)*3)+Inputs!$B$28+Inputs!$B$29)))</f>
        <v/>
      </c>
      <c r="E2275">
        <f>INDEX(FactorTable!$B$2:$Y$301, MATCH(ROUND(MIN(300,MAX(1,D2275)),0), FactorTable!$A$2:$A$301,0), Skills!L21+1)</f>
        <v/>
      </c>
      <c r="F2275">
        <f>IF(Skills!M21=TRUE,(Skills!K21/10)*(E2275/1000),Skills!K21/10)+Skills!N21</f>
        <v/>
      </c>
      <c r="G2275">
        <f>Calc!G21</f>
        <v/>
      </c>
      <c r="H2275">
        <f>Calc!H21</f>
        <v/>
      </c>
      <c r="I2275">
        <f>IF(Skills!T21&lt;&gt;"",1+(Skills!T21/10)*(Z2257/1000)/100,1)</f>
        <v/>
      </c>
      <c r="J2275" t="inlineStr"/>
      <c r="K2275" t="inlineStr"/>
      <c r="L2275" t="inlineStr"/>
      <c r="M2275" t="inlineStr"/>
      <c r="N2275" t="inlineStr"/>
      <c r="O2275">
        <f>(1-Summary!$B$11)*S2275+Summary!$B$11*U2275</f>
        <v/>
      </c>
      <c r="P2275">
        <f>IF(B2290=0,0,O2275/B2290)</f>
        <v/>
      </c>
      <c r="Q2275">
        <f>IFERROR(1/IF(Inputs!$B$38="pvp",15,MAX(0.1,Skills!D21-IF(Skills!E21=TRUE,Inputs!$B$32,0))),0)</f>
        <v/>
      </c>
      <c r="R2275" t="n">
        <v>0</v>
      </c>
      <c r="S2275" t="n">
        <v>0</v>
      </c>
      <c r="U2275" t="n">
        <v>0</v>
      </c>
    </row>
    <row r="2276">
      <c r="A2276">
        <f>Skills!A22</f>
        <v/>
      </c>
      <c r="B2276">
        <f>Skills!B22</f>
        <v/>
      </c>
      <c r="C2276">
        <f>Inputs!$B$3&gt;=117</f>
        <v/>
      </c>
      <c r="D2276">
        <f>IF(Skills!C22=1,60+Inputs!$B$25+Inputs!$B$29,IF(Skills!C22=2,90+Inputs!$B$26+Inputs!$B$29,IF(Skills!C22=3,120+Inputs!$B$27+Inputs!$B$29,MAX(0,(Inputs!$B$3-100)*3)+Inputs!$B$28+Inputs!$B$29)))</f>
        <v/>
      </c>
      <c r="E2276">
        <f>INDEX(FactorTable!$B$2:$Y$301, MATCH(ROUND(MIN(300,MAX(1,D2276)),0), FactorTable!$A$2:$A$301,0), Skills!L22+1)</f>
        <v/>
      </c>
      <c r="F2276">
        <f>IF(Skills!M22=TRUE,(Skills!K22/10)*(E2276/1000),Skills!K22/10)+Skills!N22</f>
        <v/>
      </c>
      <c r="G2276">
        <f>Calc!G22</f>
        <v/>
      </c>
      <c r="H2276">
        <f>Calc!H22</f>
        <v/>
      </c>
      <c r="I2276">
        <f>IF(Skills!T22&lt;&gt;"",1+(Skills!T22/10)*(Z2257/1000)/100,1)</f>
        <v/>
      </c>
      <c r="J2276" t="inlineStr"/>
      <c r="K2276" t="inlineStr"/>
      <c r="L2276" t="inlineStr"/>
      <c r="M2276" t="inlineStr"/>
      <c r="N2276" t="inlineStr"/>
      <c r="O2276">
        <f>(1-Summary!$B$11)*S2276+Summary!$B$11*U2276</f>
        <v/>
      </c>
      <c r="P2276">
        <f>IF(B2290=0,0,O2276/B2290)</f>
        <v/>
      </c>
      <c r="Q2276">
        <f>IFERROR(1/IF(Inputs!$B$38="pvp",15,MAX(0.1,Skills!D22-IF(Skills!E22=TRUE,Inputs!$B$32,0))),0)</f>
        <v/>
      </c>
      <c r="R2276" t="n">
        <v>0</v>
      </c>
      <c r="S2276" t="n">
        <v>0</v>
      </c>
      <c r="U2276" t="n">
        <v>0</v>
      </c>
    </row>
    <row r="2277">
      <c r="A2277">
        <f>Skills!A23</f>
        <v/>
      </c>
      <c r="B2277">
        <f>Skills!B23</f>
        <v/>
      </c>
      <c r="C2277">
        <f>Inputs!$B$3&gt;=120</f>
        <v/>
      </c>
      <c r="D2277">
        <f>IF(Skills!C23=1,60+Inputs!$B$25+Inputs!$B$29,IF(Skills!C23=2,90+Inputs!$B$26+Inputs!$B$29,IF(Skills!C23=3,120+Inputs!$B$27+Inputs!$B$29,MAX(0,(Inputs!$B$3-100)*3)+Inputs!$B$28+Inputs!$B$29)))</f>
        <v/>
      </c>
      <c r="E2277">
        <f>INDEX(FactorTable!$B$2:$Y$301, MATCH(ROUND(MIN(300,MAX(1,D2277)),0), FactorTable!$A$2:$A$301,0), Skills!L23+1)</f>
        <v/>
      </c>
      <c r="F2277">
        <f>IF(Skills!M23=TRUE,(Skills!K23/10)*(E2277/1000),Skills!K23/10)+Skills!N23</f>
        <v/>
      </c>
      <c r="G2277">
        <f>Calc!G23</f>
        <v/>
      </c>
      <c r="H2277">
        <f>Calc!H23</f>
        <v/>
      </c>
      <c r="I2277">
        <f>IF(Skills!T23&lt;&gt;"",1+(Skills!T23/10)*(Z2257/1000)/100,1)</f>
        <v/>
      </c>
      <c r="J2277" t="inlineStr"/>
      <c r="K2277" t="inlineStr"/>
      <c r="L2277" t="inlineStr"/>
      <c r="M2277" t="inlineStr"/>
      <c r="N2277" t="inlineStr"/>
      <c r="O2277">
        <f>(1-Summary!$B$11)*S2277+Summary!$B$11*U2277</f>
        <v/>
      </c>
      <c r="P2277">
        <f>IF(B2290=0,0,O2277/B2290)</f>
        <v/>
      </c>
      <c r="Q2277">
        <f>IFERROR(1/IF(Inputs!$B$38="pvp",15,MAX(0.1,Skills!D23-IF(Skills!E23=TRUE,Inputs!$B$32,0))),0)</f>
        <v/>
      </c>
      <c r="R2277" t="n">
        <v>0</v>
      </c>
      <c r="S2277" t="n">
        <v>0</v>
      </c>
      <c r="U2277" t="n">
        <v>0</v>
      </c>
    </row>
    <row r="2280">
      <c r="A2280" t="inlineStr">
        <is>
          <t>Average Buff Multiplier (Magic Guard + Meditation + Artifact Attack%, summed; then Infinity)</t>
        </is>
      </c>
      <c r="B2280">
        <f>(1+(IF(C2257=TRUE,F2257*IF(AND(Inputs!$B$38&lt;&gt;"pvp",Inputs!$B$43&gt;0),(((R2257-1)*(Skills!S3*(1+(Inputs!$B$34+IF(Inputs!$B$3&gt;=117,F2276,0))/100))+MIN((Skills!S3*(1+(Inputs!$B$34+IF(Inputs!$B$3&gt;=117,F2276,0))/100)),MAX(0,Inputs!$B$43-((R2257-1)*Skills!D3))))/Inputs!$B$43),IF(Inputs!$B$38="pvp",MIN((Skills!S3*(1+(Inputs!$B$34+IF(Inputs!$B$3&gt;=117,F2276,0))/100)),15)/15,(Skills!S3*(1+(Inputs!$B$34+IF(Inputs!$B$3&gt;=117,F2276,0))/100))/Skills!D3)),0)+IF(C2258=TRUE,F2258*IF(AND(Inputs!$B$38&lt;&gt;"pvp",Inputs!$B$43&gt;0),(((R2258-1)*(Skills!S4*(1+(Inputs!$B$34+IF(Inputs!$B$3&gt;=117,F2276,0))/100))+MIN((Skills!S4*(1+(Inputs!$B$34+IF(Inputs!$B$3&gt;=117,F2276,0))/100)),MAX(0,Inputs!$B$43-((R2258-1)*Skills!D4))))/Inputs!$B$43),IF(Inputs!$B$38="pvp",MIN((Skills!S4*(1+(Inputs!$B$34+IF(Inputs!$B$3&gt;=117,F2276,0))/100)),15)/15,(Skills!S4*(1+(Inputs!$B$34+IF(Inputs!$B$3&gt;=117,F2276,0)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2270=TRUE,(1+F2270*IF(AND(Inputs!$B$38&lt;&gt;"pvp",Inputs!$B$43&gt;0),(((R2270-1)*(Skills!S16*(1+(Inputs!$B$34+IF(Inputs!$B$3&gt;=117,F2276,0))/100))+MIN((Skills!S16*(1+(Inputs!$B$34+IF(Inputs!$B$3&gt;=117,F2276,0))/100)),MAX(0,Inputs!$B$43-((R2270-1)*Skills!D16))))/Inputs!$B$43),IF(Inputs!$B$38="pvp",MIN((Skills!S16*(1+(Inputs!$B$34+IF(Inputs!$B$3&gt;=117,F2276,0))/100)),15)/15,(Skills!S16*(1+(Inputs!$B$34+IF(Inputs!$B$3&gt;=117,F2276,0))/100))/Skills!D16))/100),1)</f>
        <v/>
      </c>
    </row>
    <row r="2281">
      <c r="A2281" t="inlineStr">
        <is>
          <t>Monster Damage Taken Bonus % (Freezing Breath - Weaken + Elemental Reset + Artifact Enemy Damage Taken, summed)</t>
        </is>
      </c>
      <c r="B2281">
        <f>IF(Inputs!$B$3&gt;=118,15*IF(Inputs!$B$38="pvp",MIN((30*(1+(Inputs!$B$34+IF(Inputs!$B$3&gt;=117,F2276,0))/100)),15)/15,(30*(1+(Inputs!$B$34+IF(Inputs!$B$3&gt;=117,F2276,0))/100))/Skills!D8),0)+IF(C2268=TRUE,F2268,0)+(IF(AND(ArtifactsInput!$M$35,Inputs!$B$4&lt;&gt;"Chapter Hunt"),CHOOSE(ArtifactsInput!$N$35+1,15,18,21,24,27,30)*(1-EXP(-(0.2*B2284)*5)),0)+IF(AND(ArtifactsInput!$M$22,Inputs!$B$4&lt;&gt;"Chapter Hunt"),CHOOSE(ArtifactsInput!$N$22+1,10,12,14,16,18,20)*((0*(((0.15*B2284*5))^0/1)+1*(((0.15*B2284*5))^1/1)+2*(((0.15*B2284*5))^2/2)+3*(((0.15*B2284*5))^3/6)+4*(((0.15*B2284*5))^4/24)+5*(((0.15*B2284*5))^5/120))/((((0.15*B2284*5))^0/1)+(((0.15*B2284*5))^1/1)+(((0.15*B2284*5))^2/2)+(((0.15*B2284*5))^3/6)+(((0.15*B2284*5))^4/24)+(((0.15*B2284*5))^5/120))),0))</f>
        <v/>
      </c>
    </row>
    <row r="2282">
      <c r="A2282" t="inlineStr">
        <is>
          <t>Damage % Bonus (Frozen Break + Frost Clutch, flat)</t>
        </is>
      </c>
      <c r="B2282">
        <f>IF(Inputs!$B$3&gt;=66,15,0)+IF(Inputs!$B$3&gt;=98,10,0)+IF(Inputs!$B$3&gt;=125,20,0)</f>
        <v/>
      </c>
    </row>
    <row r="2283">
      <c r="A2283" t="inlineStr">
        <is>
          <t>Attack Speed Bonus % (MP Eater - MP Boost, always-on once unlocked)</t>
        </is>
      </c>
      <c r="B2283">
        <f>IF(C2267=TRUE,F2267+(F2271-Calc!F17),0)</f>
        <v/>
      </c>
    </row>
    <row r="2284">
      <c r="A2284" t="inlineStr">
        <is>
          <t>Actions Per Second</t>
        </is>
      </c>
      <c r="B2284">
        <f>1+MIN(150,150*(1-(1-(Inputs!$B$11+(ArtifactsInput!$M$15-ArtifactsInput!$M$15)*CHOOSE(ArtifactsInput!$N$15+1,8,9.6,11.2,12.8,14.4,16))/150)*(1-B2283/150)))/100</f>
        <v/>
      </c>
    </row>
    <row r="2285">
      <c r="A2285" t="inlineStr">
        <is>
          <t>Skill + Buff Cast Rate</t>
        </is>
      </c>
      <c r="B2285">
        <f>IF(AND(Inputs!$B$38&lt;&gt;"pvp",Inputs!$B$43&gt;0),SUMPRODUCT((Skills!E2:E23=TRUE)*(C2256:C2277=TRUE)*R2256:R2277)/Inputs!$B$43,SUMPRODUCT((Skills!E2:E23=TRUE)*(C2256:C2277=TRUE)*Q2256:Q2277))</f>
        <v/>
      </c>
    </row>
    <row r="2286">
      <c r="A2286" t="inlineStr">
        <is>
          <t>Chain Lightning Casts Per Second</t>
        </is>
      </c>
      <c r="B2286">
        <f>MAX(0,B2284-B2285)</f>
        <v/>
      </c>
    </row>
    <row r="2287">
      <c r="A2287" t="inlineStr">
        <is>
          <t>Buff-Casting Startup Delay (s, fixed-duration only)</t>
        </is>
      </c>
      <c r="B2287">
        <f>IF(AND(Inputs!$B$38&lt;&gt;"pvp",Inputs!$B$43&gt;0),SUMPRODUCT((Skills!S2:S23&gt;0)*(Skills!E2:E23=TRUE)*(C2256:C2277=TRUE))/B2284,0)</f>
        <v/>
      </c>
    </row>
    <row r="2288">
      <c r="A2288" t="inlineStr">
        <is>
          <t>Boss-Only Total DPS (this block's swept value)</t>
        </is>
      </c>
      <c r="B2288">
        <f>SUM(S2256:S2277)</f>
        <v/>
      </c>
    </row>
    <row r="2289">
      <c r="A2289" t="inlineStr">
        <is>
          <t>Normal-Only Total DPS (this block's swept value)</t>
        </is>
      </c>
      <c r="B2289">
        <f>SUM(U2256:U2277)</f>
        <v/>
      </c>
    </row>
    <row r="2290">
      <c r="A2290" s="6" t="inlineStr">
        <is>
          <t>TOTAL DPS</t>
        </is>
      </c>
      <c r="B2290" s="6">
        <f>SUM(O2256:O2277)</f>
        <v/>
      </c>
    </row>
    <row r="2293">
      <c r="A2293" s="6" t="inlineStr">
        <is>
          <t>Stat: Cursed Doll (Equip)</t>
        </is>
      </c>
    </row>
    <row r="2294">
      <c r="A2294" s="5" t="inlineStr">
        <is>
          <t>Key</t>
        </is>
      </c>
      <c r="B2294" s="5" t="inlineStr">
        <is>
          <t>Name</t>
        </is>
      </c>
      <c r="C2294" s="5" t="inlineStr">
        <is>
          <t>Unlocked</t>
        </is>
      </c>
      <c r="D2294" s="5" t="inlineStr">
        <is>
          <t>InputLevel</t>
        </is>
      </c>
      <c r="E2294" s="5" t="inlineStr">
        <is>
          <t>Factor</t>
        </is>
      </c>
      <c r="F2294" s="5" t="inlineStr">
        <is>
          <t>CoefficientPercent</t>
        </is>
      </c>
      <c r="G2294" s="5" t="inlineStr">
        <is>
          <t>EffectiveHits</t>
        </is>
      </c>
      <c r="H2294" s="5" t="inlineStr">
        <is>
          <t>ProcProbability</t>
        </is>
      </c>
      <c r="I2294" s="5" t="inlineStr">
        <is>
          <t>MapleHeroMultiplier</t>
        </is>
      </c>
      <c r="J2294" s="5" t="inlineStr">
        <is>
          <t>BaseDamage</t>
        </is>
      </c>
      <c r="K2294" s="5" t="inlineStr">
        <is>
          <t>BaseHitDamage</t>
        </is>
      </c>
      <c r="L2294" s="5" t="inlineStr">
        <is>
          <t>NonCritAvg</t>
        </is>
      </c>
      <c r="M2294" s="5" t="inlineStr">
        <is>
          <t>CritAvg</t>
        </is>
      </c>
      <c r="N2294" s="5" t="inlineStr">
        <is>
          <t>ExpectedDamage(perHit)</t>
        </is>
      </c>
      <c r="O2294" s="5" t="inlineStr">
        <is>
          <t>DPS</t>
        </is>
      </c>
      <c r="P2294" s="5" t="inlineStr">
        <is>
          <t>% of Total</t>
        </is>
      </c>
      <c r="R2294" t="inlineStr">
        <is>
          <t>helpers</t>
        </is>
      </c>
    </row>
    <row r="2295">
      <c r="A2295">
        <f>Skills!A2</f>
        <v/>
      </c>
      <c r="B2295">
        <f>Skills!B2</f>
        <v/>
      </c>
      <c r="C2295">
        <f>Inputs!$B$3&gt;=100</f>
        <v/>
      </c>
      <c r="D2295" t="inlineStr"/>
      <c r="E2295" t="inlineStr"/>
      <c r="F2295">
        <f>T2297+Skills!N2</f>
        <v/>
      </c>
      <c r="G2295">
        <f>Calc!G2</f>
        <v/>
      </c>
      <c r="H2295">
        <f>Calc!H2</f>
        <v/>
      </c>
      <c r="I2295">
        <f>IF(Skills!T2&lt;&gt;"",1+(Skills!T2/10)*(Z2296/1000)/100,1)</f>
        <v/>
      </c>
      <c r="J2295">
        <f>((Inputs!$B$6*(1+Inputs!$B$7/100))+(((Inputs!$B$12*(1+Inputs!$B$13/100))-(Inputs!$B$12*(1+Inputs!$B$13/100)))+0.25*(Inputs!$B$14-Inputs!$B$14))*(1+Inputs!$B$7/100))*(F2295/100)</f>
        <v/>
      </c>
      <c r="K2295">
        <f>J2295*(1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2295)</f>
        <v/>
      </c>
      <c r="L2295">
        <f>K2295*(MIN(Inputs!$B$22+(F2311-Calc!F18),(Inputs!$B$23+(IF(ArtifactsInput!$M$15,CHOOSE(ArtifactsInput!$N$15+1,25,30,35,40,45,50)/100*(Inputs!$B$11-Inputs!$B$11),0))))/100+(Inputs!$B$23+(IF(ArtifactsInput!$M$15,CHOOSE(ArtifactsInput!$N$15+1,25,30,35,40,45,50)/100*(Inputs!$B$11-Inputs!$B$11),0)))/100)/2</f>
        <v/>
      </c>
      <c r="M2295">
        <f>L2295*(1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5">
        <f>L2295*(1-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2295*(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5">
        <f>(1-Summary!$B$11)*S2295+Summary!$B$11*U2295</f>
        <v/>
      </c>
      <c r="P2295">
        <f>IF(B2329=0,0,O2295/B2329)</f>
        <v/>
      </c>
      <c r="Q2295">
        <f>IFERROR(1/IF(Inputs!$B$38="pvp",15,MAX(0.1,Skills!D2-IF(Skills!E2=TRUE,Inputs!$B$32,0))),0)</f>
        <v/>
      </c>
      <c r="R2295" t="n">
        <v>0</v>
      </c>
      <c r="S2295">
        <f>IF(C2295,(Skills!F2*N2295*B2325)*IF(Inputs!$B$38="pvp",1,1+(Inputs!$B$20+Skills!O2+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95">
        <f>MAX(0,(Inputs!$B$3-100)*3)+Inputs!$B$28+Inputs!$B$29</f>
        <v/>
      </c>
      <c r="U2295">
        <f>IF(C2295,(Skills!F2*N2295*B2325)*IF(Inputs!$B$38="pvp",1,(1+(Inputs!$B$21+Skills!P2+B2320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95">
        <f>MAX(0,(Inputs!$B$3-100)*3)+Inputs!$B$28+Inputs!$B$29</f>
        <v/>
      </c>
    </row>
    <row r="2296">
      <c r="A2296">
        <f>Skills!A3</f>
        <v/>
      </c>
      <c r="B2296">
        <f>Skills!B3</f>
        <v/>
      </c>
      <c r="C2296">
        <f>Inputs!$B$3&gt;=15</f>
        <v/>
      </c>
      <c r="D2296">
        <f>IF(Skills!C3=1,60+Inputs!$B$25+Inputs!$B$29,IF(Skills!C3=2,90+Inputs!$B$26+Inputs!$B$29,IF(Skills!C3=3,120+Inputs!$B$27+Inputs!$B$29,MAX(0,(Inputs!$B$3-100)*3)+Inputs!$B$28+Inputs!$B$29)))</f>
        <v/>
      </c>
      <c r="E2296">
        <f>INDEX(FactorTable!$B$2:$Y$301, MATCH(ROUND(MIN(300,MAX(1,D2296)),0), FactorTable!$A$2:$A$301,0), Skills!L3+1)</f>
        <v/>
      </c>
      <c r="F2296">
        <f>IF(Skills!M3=TRUE,(Skills!K3/10)*(E2296/1000),Skills!K3/10)+Skills!N3</f>
        <v/>
      </c>
      <c r="G2296">
        <f>Calc!G3</f>
        <v/>
      </c>
      <c r="H2296">
        <f>Calc!H3</f>
        <v/>
      </c>
      <c r="I2296">
        <f>IF(Skills!T3&lt;&gt;"",1+(Skills!T3/10)*(Z2296/1000)/100,1)</f>
        <v/>
      </c>
      <c r="J2296" t="inlineStr"/>
      <c r="K2296" t="inlineStr"/>
      <c r="L2296" t="inlineStr"/>
      <c r="M2296" t="inlineStr"/>
      <c r="N2296" t="inlineStr"/>
      <c r="O2296">
        <f>(1-Summary!$B$11)*S2296+Summary!$B$11*U2296</f>
        <v/>
      </c>
      <c r="P2296">
        <f>IF(B2329=0,0,O2296/B2329)</f>
        <v/>
      </c>
      <c r="Q2296">
        <f>IFERROR(1/IF(Inputs!$B$38="pvp",15,MAX(0.1,Skills!D3-IF(Skills!E3=TRUE,Inputs!$B$32,0))),0)</f>
        <v/>
      </c>
      <c r="R2296">
        <f>IF(AND(Inputs!$B$38&lt;&gt;"pvp",Inputs!$B$43&gt;0),IF(Inputs!$B$43&lt;=0,0,(INT(Inputs!$B$43/IF(Inputs!$B$38="pvp",15,MAX(0.1,Skills!D3-IF(Skills!E3=TRUE,Inputs!$B$32,0))))+1)),0)</f>
        <v/>
      </c>
      <c r="S2296" t="n">
        <v>0</v>
      </c>
      <c r="T2296">
        <f>INDEX(FactorTable!$B$2:$Y$301, MATCH(ROUND(MIN(300,MAX(1,T2295)),0), FactorTable!$A$2:$A$301,0), 22)</f>
        <v/>
      </c>
      <c r="U2296" t="n">
        <v>0</v>
      </c>
      <c r="Z2296">
        <f>INDEX(FactorTable!$B$2:$Y$301, MATCH(ROUND(MIN(300,MAX(1,Z2295)),0), FactorTable!$A$2:$A$301,0), 24)</f>
        <v/>
      </c>
    </row>
    <row r="2297">
      <c r="A2297">
        <f>Skills!A4</f>
        <v/>
      </c>
      <c r="B2297">
        <f>Skills!B4</f>
        <v/>
      </c>
      <c r="C2297">
        <f>Inputs!$B$3&gt;=40</f>
        <v/>
      </c>
      <c r="D2297">
        <f>IF(Skills!C4=1,60+Inputs!$B$25+Inputs!$B$29,IF(Skills!C4=2,90+Inputs!$B$26+Inputs!$B$29,IF(Skills!C4=3,120+Inputs!$B$27+Inputs!$B$29,MAX(0,(Inputs!$B$3-100)*3)+Inputs!$B$28+Inputs!$B$29)))</f>
        <v/>
      </c>
      <c r="E2297">
        <f>INDEX(FactorTable!$B$2:$Y$301, MATCH(ROUND(MIN(300,MAX(1,D2297)),0), FactorTable!$A$2:$A$301,0), Skills!L4+1)</f>
        <v/>
      </c>
      <c r="F2297">
        <f>IF(Skills!M4=TRUE,(Skills!K4/10)*(E2297/1000),Skills!K4/10)+Skills!N4</f>
        <v/>
      </c>
      <c r="G2297">
        <f>Calc!G4</f>
        <v/>
      </c>
      <c r="H2297">
        <f>Calc!H4</f>
        <v/>
      </c>
      <c r="I2297">
        <f>IF(Skills!T4&lt;&gt;"",1+(Skills!T4/10)*(Z2296/1000)/100,1)</f>
        <v/>
      </c>
      <c r="J2297" t="inlineStr"/>
      <c r="K2297" t="inlineStr"/>
      <c r="L2297" t="inlineStr"/>
      <c r="M2297" t="inlineStr"/>
      <c r="N2297" t="inlineStr"/>
      <c r="O2297">
        <f>(1-Summary!$B$11)*S2297+Summary!$B$11*U2297</f>
        <v/>
      </c>
      <c r="P2297">
        <f>IF(B2329=0,0,O2297/B2329)</f>
        <v/>
      </c>
      <c r="Q2297">
        <f>IFERROR(1/IF(Inputs!$B$38="pvp",15,MAX(0.1,Skills!D4-IF(Skills!E4=TRUE,Inputs!$B$32,0))),0)</f>
        <v/>
      </c>
      <c r="R2297">
        <f>IF(AND(Inputs!$B$38&lt;&gt;"pvp",Inputs!$B$43&gt;0),IF(Inputs!$B$43&lt;=0,0,(INT(Inputs!$B$43/IF(Inputs!$B$38="pvp",15,MAX(0.1,Skills!D4-IF(Skills!E4=TRUE,Inputs!$B$32,0))))+1)),0)</f>
        <v/>
      </c>
      <c r="S2297" t="n">
        <v>0</v>
      </c>
      <c r="T2297">
        <f>290*T2296/1000</f>
        <v/>
      </c>
      <c r="U2297" t="n">
        <v>0</v>
      </c>
    </row>
    <row r="2298">
      <c r="A2298">
        <f>Skills!A5</f>
        <v/>
      </c>
      <c r="B2298">
        <f>Skills!B5</f>
        <v/>
      </c>
      <c r="C2298">
        <f>Inputs!$B$3&gt;=38</f>
        <v/>
      </c>
      <c r="D2298">
        <f>IF(Skills!C5=1,60+Inputs!$B$25+Inputs!$B$29,IF(Skills!C5=2,90+Inputs!$B$26+Inputs!$B$29,IF(Skills!C5=3,120+Inputs!$B$27+Inputs!$B$29,MAX(0,(Inputs!$B$3-100)*3)+Inputs!$B$28+Inputs!$B$29)))</f>
        <v/>
      </c>
      <c r="E2298">
        <f>INDEX(FactorTable!$B$2:$Y$301, MATCH(ROUND(MIN(300,MAX(1,D2298)),0), FactorTable!$A$2:$A$301,0), Skills!L5+1)</f>
        <v/>
      </c>
      <c r="F2298">
        <f>IF(Skills!M5=TRUE,(Skills!K5/10)*(E2298/1000),Skills!K5/10)+Skills!N5</f>
        <v/>
      </c>
      <c r="G2298">
        <f>Calc!G5</f>
        <v/>
      </c>
      <c r="H2298">
        <f>Calc!H5</f>
        <v/>
      </c>
      <c r="I2298">
        <f>IF(Skills!T5&lt;&gt;"",1+(Skills!T5/10)*(Z2296/1000)/100,1)</f>
        <v/>
      </c>
      <c r="J2298">
        <f>((Inputs!$B$6*(1+Inputs!$B$7/100))+(((Inputs!$B$12*(1+Inputs!$B$13/100))-(Inputs!$B$12*(1+Inputs!$B$13/100)))+0.25*(Inputs!$B$14-Inputs!$B$14))*(1+Inputs!$B$7/100))*(F2298/100)</f>
        <v/>
      </c>
      <c r="K2298">
        <f>J2298*(1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2311-Calc!F18),(Inputs!$B$23+(IF(ArtifactsInput!$M$15,CHOOSE(ArtifactsInput!$N$15+1,25,30,35,40,45,50)/100*(Inputs!$B$11-Inputs!$B$11),0))))/100+(Inputs!$B$23+(IF(ArtifactsInput!$M$15,CHOOSE(ArtifactsInput!$N$15+1,25,30,35,40,45,50)/100*(Inputs!$B$11-Inputs!$B$11),0)))/100)/2</f>
        <v/>
      </c>
      <c r="M2298">
        <f>L2298*(1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IF(B2329=0,0,O2298/B2329)</f>
        <v/>
      </c>
      <c r="Q2298">
        <f>IFERROR(1/IF(Inputs!$B$38="pvp",15,MAX(0.1,Skills!D5-IF(Skills!E5=TRUE,Inputs!$B$32,0))),0)</f>
        <v/>
      </c>
      <c r="R2298">
        <f>IF(AND(Inputs!$B$38&lt;&gt;"pvp",Inputs!$B$43&gt;0),IF(MAX(0,Inputs!$B$43-B2326)&lt;=0,0,(INT(MAX(0,Inputs!$B$43-B2326)/IF(Inputs!$B$38="pvp",15,MAX(0.1,Skills!D5-IF(Skills!E5=TRUE,Inputs!$B$32,0))))+1)),0)</f>
        <v/>
      </c>
      <c r="S2298">
        <f>IF(C2298,(H2298*N2298*IF(AND(Inputs!$B$38&lt;&gt;"pvp",Inputs!$B$43&gt;0),((Skills!F5*((R2298-1)*IF(Skills!G5&gt;0,Skills!H5/Skills!G5,1)+IF(Skills!G5&gt;0,MIN(Skills!H5,MAX(0,MAX(0,Inputs!$B$43-B2326)-((R2298-1)*IF(Inputs!$B$38="pvp",15,MAX(0.1,Skills!D5-IF(Skills!E5=TRUE,Inputs!$B$32,0))))))/Skills!G5,1)))/Inputs!$B$43),G2298*Q2298))*IF(Inputs!$B$38="pvp",1,1+(Inputs!$B$20+Skills!O5+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F5*((R2298-1)*IF(Skills!G5&gt;0,Skills!H5/Skills!G5,1)+IF(Skills!G5&gt;0,MIN(Skills!H5,MAX(0,MAX(0,Inputs!$B$43-B2326)-((R2298-1)*IF(Inputs!$B$38="pvp",15,MAX(0.1,Skills!D5-IF(Skills!E5=TRUE,Inputs!$B$32,0))))))/Skills!G5,1)))/Inputs!$B$43),G2298*Q2298))*IF(Inputs!$B$38="pvp",1,(1+(Inputs!$B$21+Skills!P5+B2320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9">
      <c r="A2299">
        <f>Skills!A6</f>
        <v/>
      </c>
      <c r="B2299">
        <f>Skills!B6</f>
        <v/>
      </c>
      <c r="C2299">
        <f>Inputs!$B$3&gt;=63</f>
        <v/>
      </c>
      <c r="D2299">
        <f>IF(Skills!C6=1,60+Inputs!$B$25+Inputs!$B$29,IF(Skills!C6=2,90+Inputs!$B$26+Inputs!$B$29,IF(Skills!C6=3,120+Inputs!$B$27+Inputs!$B$29,MAX(0,(Inputs!$B$3-100)*3)+Inputs!$B$28+Inputs!$B$29)))</f>
        <v/>
      </c>
      <c r="E2299">
        <f>INDEX(FactorTable!$B$2:$Y$301, MATCH(ROUND(MIN(300,MAX(1,D2299)),0), FactorTable!$A$2:$A$301,0), Skills!L6+1)</f>
        <v/>
      </c>
      <c r="F2299">
        <f>IF(Skills!M6=TRUE,(Skills!K6/10)*(E2299/1000),Skills!K6/10)+Skills!N6</f>
        <v/>
      </c>
      <c r="G2299">
        <f>Calc!G6</f>
        <v/>
      </c>
      <c r="H2299">
        <f>Calc!H6</f>
        <v/>
      </c>
      <c r="I2299">
        <f>IF(Skills!T6&lt;&gt;"",1+(Skills!T6/10)*(Z2296/1000)/100,1)</f>
        <v/>
      </c>
      <c r="J2299">
        <f>((Inputs!$B$6*(1+Inputs!$B$7/100))+(((Inputs!$B$12*(1+Inputs!$B$13/100))-(Inputs!$B$12*(1+Inputs!$B$13/100)))+0.25*(Inputs!$B$14-Inputs!$B$14))*(1+Inputs!$B$7/100))*(F2299/100)</f>
        <v/>
      </c>
      <c r="K2299">
        <f>J2299*(1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2299)</f>
        <v/>
      </c>
      <c r="L2299">
        <f>K2299*(MIN(Inputs!$B$22+(F2311-Calc!F18),(Inputs!$B$23+(IF(ArtifactsInput!$M$15,CHOOSE(ArtifactsInput!$N$15+1,25,30,35,40,45,50)/100*(Inputs!$B$11-Inputs!$B$11),0))))/100+(Inputs!$B$23+(IF(ArtifactsInput!$M$15,CHOOSE(ArtifactsInput!$N$15+1,25,30,35,40,45,50)/100*(Inputs!$B$11-Inputs!$B$11),0)))/100)/2</f>
        <v/>
      </c>
      <c r="M2299">
        <f>L2299*(1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(1-Summary!$B$11)*S2299+Summary!$B$11*U2299</f>
        <v/>
      </c>
      <c r="P2299">
        <f>IF(B2329=0,0,O2299/B2329)</f>
        <v/>
      </c>
      <c r="Q2299">
        <f>IFERROR(1/IF(Inputs!$B$38="pvp",15,MAX(0.1,Skills!D6-IF(Skills!E6=TRUE,Inputs!$B$32,0))),0)</f>
        <v/>
      </c>
      <c r="R2299">
        <f>IF(AND(Inputs!$B$38&lt;&gt;"pvp",Inputs!$B$43&gt;0),IF(MAX(0,Inputs!$B$43-B2326)&lt;=0,0,(INT(MAX(0,Inputs!$B$43-B2326)/IF(Inputs!$B$38="pvp",15,MAX(0.1,Skills!D6-IF(Skills!E6=TRUE,Inputs!$B$32,0))))+1)),0)</f>
        <v/>
      </c>
      <c r="S2299">
        <f>IF(C2299,(H2299*N2299*IF(AND(Inputs!$B$38&lt;&gt;"pvp",Inputs!$B$43&gt;0),((Skills!F6*((R2299-1)*IF(Skills!G6&gt;0,Skills!H6/Skills!G6,1)+IF(Skills!G6&gt;0,MIN(Skills!H6,MAX(0,MAX(0,Inputs!$B$43-B2326)-((R2299-1)*IF(Inputs!$B$38="pvp",15,MAX(0.1,Skills!D6-IF(Skills!E6=TRUE,Inputs!$B$32,0))))))/Skills!G6,1)))/Inputs!$B$43),G2299*Q2299))*IF(Inputs!$B$38="pvp",1,1+(Inputs!$B$20+Skills!O6+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2299*(1-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IF(C2299,(H2299*N2299*IF(AND(Inputs!$B$38&lt;&gt;"pvp",Inputs!$B$43&gt;0),((Skills!F6*((R2299-1)*IF(Skills!G6&gt;0,Skills!H6/Skills!G6,1)+IF(Skills!G6&gt;0,MIN(Skills!H6,MAX(0,MAX(0,Inputs!$B$43-B2326)-((R2299-1)*IF(Inputs!$B$38="pvp",15,MAX(0.1,Skills!D6-IF(Skills!E6=TRUE,Inputs!$B$32,0))))))/Skills!G6,1)))/Inputs!$B$43),G2299*Q2299))*IF(Inputs!$B$38="pvp",1,(1+(Inputs!$B$21+Skills!P6+B2320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Skills!A7</f>
        <v/>
      </c>
      <c r="B2300">
        <f>Skills!B7</f>
        <v/>
      </c>
      <c r="C2300">
        <f>Inputs!$B$3&gt;=69</f>
        <v/>
      </c>
      <c r="D2300">
        <f>IF(Skills!C7=1,60+Inputs!$B$25+Inputs!$B$29,IF(Skills!C7=2,90+Inputs!$B$26+Inputs!$B$29,IF(Skills!C7=3,120+Inputs!$B$27+Inputs!$B$29,MAX(0,(Inputs!$B$3-100)*3)+Inputs!$B$28+Inputs!$B$29)))</f>
        <v/>
      </c>
      <c r="E2300">
        <f>INDEX(FactorTable!$B$2:$Y$301, MATCH(ROUND(MIN(300,MAX(1,D2300)),0), FactorTable!$A$2:$A$301,0), Skills!L7+1)</f>
        <v/>
      </c>
      <c r="F2300">
        <f>IF(Skills!M7=TRUE,(Skills!K7/10)*(E2300/1000),Skills!K7/10)+Skills!N7</f>
        <v/>
      </c>
      <c r="G2300">
        <f>Calc!G7</f>
        <v/>
      </c>
      <c r="H2300">
        <f>Calc!H7</f>
        <v/>
      </c>
      <c r="I2300">
        <f>IF(Skills!T7&lt;&gt;"",1+(Skills!T7/10)*(Z2296/1000)/100,1)</f>
        <v/>
      </c>
      <c r="J2300">
        <f>((Inputs!$B$6*(1+Inputs!$B$7/100))+(((Inputs!$B$12*(1+Inputs!$B$13/100))-(Inputs!$B$12*(1+Inputs!$B$13/100)))+0.25*(Inputs!$B$14-Inputs!$B$14))*(1+Inputs!$B$7/100))*(F2300/100)</f>
        <v/>
      </c>
      <c r="K2300">
        <f>J2300*(1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2300)</f>
        <v/>
      </c>
      <c r="L2300">
        <f>K2300*(MIN(Inputs!$B$22+(F2311-Calc!F18),(Inputs!$B$23+(IF(ArtifactsInput!$M$15,CHOOSE(ArtifactsInput!$N$15+1,25,30,35,40,45,50)/100*(Inputs!$B$11-Inputs!$B$11),0))))/100+(Inputs!$B$23+(IF(ArtifactsInput!$M$15,CHOOSE(ArtifactsInput!$N$15+1,25,30,35,40,45,50)/100*(Inputs!$B$11-Inputs!$B$11),0)))/100)/2</f>
        <v/>
      </c>
      <c r="M2300">
        <f>L2300*(1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0">
        <f>L2300*(1-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2300*(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0">
        <f>(1-Summary!$B$11)*S2300+Summary!$B$11*U2300</f>
        <v/>
      </c>
      <c r="P2300">
        <f>IF(B2329=0,0,O2300/B2329)</f>
        <v/>
      </c>
      <c r="Q2300">
        <f>IFERROR(1/IF(Inputs!$B$38="pvp",15,MAX(0.1,Skills!D7-IF(Skills!E7=TRUE,Inputs!$B$32,0))),0)</f>
        <v/>
      </c>
      <c r="R2300">
        <f>IF(AND(Inputs!$B$38&lt;&gt;"pvp",Inputs!$B$43&gt;0),IF(MAX(0,Inputs!$B$43-B2326)&lt;=0,0,(INT(MAX(0,Inputs!$B$43-B2326)/IF(Inputs!$B$38="pvp",15,MAX(0.1,Skills!D7-IF(Skills!E7=TRUE,Inputs!$B$32,0))))+1)),0)</f>
        <v/>
      </c>
      <c r="S2300">
        <f>IF(C2300,(H2300*N2300*IF(AND(Inputs!$B$38&lt;&gt;"pvp",Inputs!$B$43&gt;0),((Skills!F7*((R2300-1)*IF(Skills!G7&gt;0,Skills!H7/Skills!G7,1)+IF(Skills!G7&gt;0,MIN(Skills!H7,MAX(0,MAX(0,Inputs!$B$43-B2326)-((R2300-1)*IF(Inputs!$B$38="pvp",15,MAX(0.1,Skills!D7-IF(Skills!E7=TRUE,Inputs!$B$32,0))))))/Skills!G7,1)))/Inputs!$B$43),G2300*Q2300))*IF(Inputs!$B$38="pvp",1,1+(Inputs!$B$20+Skills!O7+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2300*(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2300*(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0">
        <f>IF(C2300,(H2300*N2300*IF(AND(Inputs!$B$38&lt;&gt;"pvp",Inputs!$B$43&gt;0),((Skills!F7*((R2300-1)*IF(Skills!G7&gt;0,Skills!H7/Skills!G7,1)+IF(Skills!G7&gt;0,MIN(Skills!H7,MAX(0,MAX(0,Inputs!$B$43-B2326)-((R2300-1)*IF(Inputs!$B$38="pvp",15,MAX(0.1,Skills!D7-IF(Skills!E7=TRUE,Inputs!$B$32,0))))))/Skills!G7,1)))/Inputs!$B$43),G2300*Q2300))*IF(Inputs!$B$38="pvp",1,(1+(Inputs!$B$21+Skills!P7+B2320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1">
      <c r="A2301">
        <f>Skills!A8</f>
        <v/>
      </c>
      <c r="B2301">
        <f>Skills!B8</f>
        <v/>
      </c>
      <c r="C2301">
        <f>Inputs!$B$3&gt;=103</f>
        <v/>
      </c>
      <c r="D2301">
        <f>IF(Skills!C8=1,60+Inputs!$B$25+Inputs!$B$29,IF(Skills!C8=2,90+Inputs!$B$26+Inputs!$B$29,IF(Skills!C8=3,120+Inputs!$B$27+Inputs!$B$29,MAX(0,(Inputs!$B$3-100)*3)+Inputs!$B$28+Inputs!$B$29)))</f>
        <v/>
      </c>
      <c r="E2301">
        <f>INDEX(FactorTable!$B$2:$Y$301, MATCH(ROUND(MIN(300,MAX(1,D2301)),0), FactorTable!$A$2:$A$301,0), Skills!L8+1)</f>
        <v/>
      </c>
      <c r="F2301">
        <f>IF(Skills!M8=TRUE,(Skills!K8/10)*(E2301/1000),Skills!K8/10)+Skills!N8</f>
        <v/>
      </c>
      <c r="G2301">
        <f>Calc!G8</f>
        <v/>
      </c>
      <c r="H2301">
        <f>Calc!H8</f>
        <v/>
      </c>
      <c r="I2301">
        <f>IF(Skills!T8&lt;&gt;"",1+(Skills!T8/10)*(Z2296/1000)/100,1)</f>
        <v/>
      </c>
      <c r="J2301">
        <f>((Inputs!$B$6*(1+Inputs!$B$7/100))+(((Inputs!$B$12*(1+Inputs!$B$13/100))-(Inputs!$B$12*(1+Inputs!$B$13/100)))+0.25*(Inputs!$B$14-Inputs!$B$14))*(1+Inputs!$B$7/100))*(F2301/100)</f>
        <v/>
      </c>
      <c r="K2301">
        <f>J2301*(1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F2311-Calc!F18),(Inputs!$B$23+(IF(ArtifactsInput!$M$15,CHOOSE(ArtifactsInput!$N$15+1,25,30,35,40,45,50)/100*(Inputs!$B$11-Inputs!$B$11),0))))/100+(Inputs!$B$23+(IF(ArtifactsInput!$M$15,CHOOSE(ArtifactsInput!$N$15+1,25,30,35,40,45,50)/100*(Inputs!$B$11-Inputs!$B$11),0)))/100)/2</f>
        <v/>
      </c>
      <c r="M2301">
        <f>L2301*(1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(1-Summary!$B$11)*S2301+Summary!$B$11*U2301</f>
        <v/>
      </c>
      <c r="P2301">
        <f>IF(B2329=0,0,O2301/B2329)</f>
        <v/>
      </c>
      <c r="Q2301">
        <f>IFERROR(1/IF(Inputs!$B$38="pvp",15,MAX(0.1,Skills!D8-IF(Skills!E8=TRUE,Inputs!$B$32,0))),0)</f>
        <v/>
      </c>
      <c r="R2301">
        <f>IF(AND(Inputs!$B$38&lt;&gt;"pvp",Inputs!$B$43&gt;0),IF(MAX(0,Inputs!$B$43-B2326)&lt;=0,0,(INT(MAX(0,Inputs!$B$43-B2326)/IF(Inputs!$B$38="pvp",15,MAX(0.1,Skills!D8-IF(Skills!E8=TRUE,Inputs!$B$32,0))))+1)),0)</f>
        <v/>
      </c>
      <c r="S2301">
        <f>IF(C2301,(H2301*N2301*IF(AND(Inputs!$B$38&lt;&gt;"pvp",Inputs!$B$43&gt;0),((Skills!F8*((R2301-1)*IF(Skills!G8&gt;0,Skills!H8/Skills!G8,1)+IF(Skills!G8&gt;0,MIN(Skills!H8,MAX(0,MAX(0,Inputs!$B$43-B2326)-((R2301-1)*IF(Inputs!$B$38="pvp",15,MAX(0.1,Skills!D8-IF(Skills!E8=TRUE,Inputs!$B$32,0))))))/Skills!G8,1)))/Inputs!$B$43),G2301*Q2301))*IF(Inputs!$B$38="pvp",1,1+(Inputs!$B$20+Skills!O8+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1">
        <f>IF(C2301,(H2301*N2301*IF(AND(Inputs!$B$38&lt;&gt;"pvp",Inputs!$B$43&gt;0),((Skills!F8*((R2301-1)*IF(Skills!G8&gt;0,Skills!H8/Skills!G8,1)+IF(Skills!G8&gt;0,MIN(Skills!H8,MAX(0,MAX(0,Inputs!$B$43-B2326)-((R2301-1)*IF(Inputs!$B$38="pvp",15,MAX(0.1,Skills!D8-IF(Skills!E8=TRUE,Inputs!$B$32,0))))))/Skills!G8,1)))/Inputs!$B$43),G2301*Q2301))*IF(Inputs!$B$38="pvp",1,(1+(Inputs!$B$21+Skills!P8+B2320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Skills!A9</f>
        <v/>
      </c>
      <c r="B2302">
        <f>Skills!B9</f>
        <v/>
      </c>
      <c r="C2302">
        <f>Inputs!$B$3&gt;=105</f>
        <v/>
      </c>
      <c r="D2302">
        <f>IF(Skills!C9=1,60+Inputs!$B$25+Inputs!$B$29,IF(Skills!C9=2,90+Inputs!$B$26+Inputs!$B$29,IF(Skills!C9=3,120+Inputs!$B$27+Inputs!$B$29,MAX(0,(Inputs!$B$3-100)*3)+Inputs!$B$28+Inputs!$B$29)))</f>
        <v/>
      </c>
      <c r="E2302">
        <f>INDEX(FactorTable!$B$2:$Y$301, MATCH(ROUND(MIN(300,MAX(1,D2302)),0), FactorTable!$A$2:$A$301,0), Skills!L9+1)</f>
        <v/>
      </c>
      <c r="F2302">
        <f>IF(Skills!M9=TRUE,(Skills!K9/10)*(E2302/1000),Skills!K9/10)+Skills!N9</f>
        <v/>
      </c>
      <c r="G2302">
        <f>Calc!G9</f>
        <v/>
      </c>
      <c r="H2302">
        <f>Calc!H9</f>
        <v/>
      </c>
      <c r="I2302">
        <f>IF(Skills!T9&lt;&gt;"",1+(Skills!T9/10)*(Z2296/1000)/100,1)</f>
        <v/>
      </c>
      <c r="J2302">
        <f>((Inputs!$B$6*(1+Inputs!$B$7/100))+(((Inputs!$B$12*(1+Inputs!$B$13/100))-(Inputs!$B$12*(1+Inputs!$B$13/100)))+0.25*(Inputs!$B$14-Inputs!$B$14))*(1+Inputs!$B$7/100))*(F2302/100)</f>
        <v/>
      </c>
      <c r="K2302">
        <f>J2302*(1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F2311-Calc!F18),(Inputs!$B$23+(IF(ArtifactsInput!$M$15,CHOOSE(ArtifactsInput!$N$15+1,25,30,35,40,45,50)/100*(Inputs!$B$11-Inputs!$B$11),0))))/100+(Inputs!$B$23+(IF(ArtifactsInput!$M$15,CHOOSE(ArtifactsInput!$N$15+1,25,30,35,40,45,50)/100*(Inputs!$B$11-Inputs!$B$11),0)))/100)/2</f>
        <v/>
      </c>
      <c r="M2302">
        <f>L2302*(1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(1-Summary!$B$11)*S2302+Summary!$B$11*U2302</f>
        <v/>
      </c>
      <c r="P2302">
        <f>IF(B2329=0,0,O2302/B2329)</f>
        <v/>
      </c>
      <c r="Q2302">
        <f>IFERROR(1/IF(Inputs!$B$38="pvp",15,MAX(0.1,Skills!D9-IF(Skills!E9=TRUE,Inputs!$B$32,0))),0)</f>
        <v/>
      </c>
      <c r="R2302">
        <f>IF(AND(Inputs!$B$38&lt;&gt;"pvp",Inputs!$B$43&gt;0),IF(MAX(0,Inputs!$B$43-B2326)&lt;=0,0,(INT(MAX(0,Inputs!$B$43-B2326)/IF(Inputs!$B$38="pvp",15,MAX(0.1,Skills!D9-IF(Skills!E9=TRUE,Inputs!$B$32,0))))+1)),0)</f>
        <v/>
      </c>
      <c r="S2302">
        <f>IF(C2302,(H2302*N2302*IF(AND(Inputs!$B$38&lt;&gt;"pvp",Inputs!$B$43&gt;0),((Skills!F9*((R2302-1)*IF(Skills!G9&gt;0,Skills!H9/Skills!G9,1)+IF(Skills!G9&gt;0,MIN(Skills!H9,MAX(0,MAX(0,Inputs!$B$43-B2326)-((R2302-1)*IF(Inputs!$B$38="pvp",15,MAX(0.1,Skills!D9-IF(Skills!E9=TRUE,Inputs!$B$32,0))))))/Skills!G9,1)))/Inputs!$B$43),G2302*Q2302))*IF(Inputs!$B$38="pvp",1,1+(Inputs!$B$20+Skills!O9+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2302*(1-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2">
        <f>IF(C2302,(H2302*N2302*IF(AND(Inputs!$B$38&lt;&gt;"pvp",Inputs!$B$43&gt;0),((Skills!F9*((R2302-1)*IF(Skills!G9&gt;0,Skills!H9/Skills!G9,1)+IF(Skills!G9&gt;0,MIN(Skills!H9,MAX(0,MAX(0,Inputs!$B$43-B2326)-((R2302-1)*IF(Inputs!$B$38="pvp",15,MAX(0.1,Skills!D9-IF(Skills!E9=TRUE,Inputs!$B$32,0))))))/Skills!G9,1)))/Inputs!$B$43),G2302*Q2302))*IF(Inputs!$B$38="pvp",1,(1+(Inputs!$B$21+Skills!P9+B2320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Skills!A10</f>
        <v/>
      </c>
      <c r="B2303">
        <f>Skills!B10</f>
        <v/>
      </c>
      <c r="C2303">
        <f>Inputs!$B$3&gt;=113</f>
        <v/>
      </c>
      <c r="D2303">
        <f>IF(Skills!C10=1,60+Inputs!$B$25+Inputs!$B$29,IF(Skills!C10=2,90+Inputs!$B$26+Inputs!$B$29,IF(Skills!C10=3,120+Inputs!$B$27+Inputs!$B$29,MAX(0,(Inputs!$B$3-100)*3)+Inputs!$B$28+Inputs!$B$29)))</f>
        <v/>
      </c>
      <c r="E2303">
        <f>INDEX(FactorTable!$B$2:$Y$301, MATCH(ROUND(MIN(300,MAX(1,D2303)),0), FactorTable!$A$2:$A$301,0), Skills!L10+1)</f>
        <v/>
      </c>
      <c r="F2303">
        <f>IF(Skills!M10=TRUE,(Skills!K10/10)*(E2303/1000),Skills!K10/10)+Skills!N10</f>
        <v/>
      </c>
      <c r="G2303">
        <f>Calc!G10</f>
        <v/>
      </c>
      <c r="H2303">
        <f>Calc!H10</f>
        <v/>
      </c>
      <c r="I2303">
        <f>IF(Skills!T10&lt;&gt;"",1+(Skills!T10/10)*(Z2296/1000)/100,1)</f>
        <v/>
      </c>
      <c r="J2303">
        <f>((Inputs!$B$6*(1+Inputs!$B$7/100))+(((Inputs!$B$12*(1+Inputs!$B$13/100))-(Inputs!$B$12*(1+Inputs!$B$13/100)))+0.25*(Inputs!$B$14-Inputs!$B$14))*(1+Inputs!$B$7/100))*(F2303/100)</f>
        <v/>
      </c>
      <c r="K2303">
        <f>J2303*(1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F2311-Calc!F18),(Inputs!$B$23+(IF(ArtifactsInput!$M$15,CHOOSE(ArtifactsInput!$N$15+1,25,30,35,40,45,50)/100*(Inputs!$B$11-Inputs!$B$11),0))))/100+(Inputs!$B$23+(IF(ArtifactsInput!$M$15,CHOOSE(ArtifactsInput!$N$15+1,25,30,35,40,45,50)/100*(Inputs!$B$11-Inputs!$B$11),0)))/100)/2</f>
        <v/>
      </c>
      <c r="M2303">
        <f>L2303*(1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(1-Summary!$B$11)*S2303+Summary!$B$11*U2303</f>
        <v/>
      </c>
      <c r="P2303">
        <f>IF(B2329=0,0,O2303/B2329)</f>
        <v/>
      </c>
      <c r="Q2303">
        <f>IFERROR(1/IF(Inputs!$B$38="pvp",15,MAX(0.1,Skills!D10-IF(Skills!E9=TRUE,Inputs!$B$32,0))),0)</f>
        <v/>
      </c>
      <c r="R2303">
        <f>IF(AND(Inputs!$B$38&lt;&gt;"pvp",Inputs!$B$43&gt;0),IF(MAX(0,Inputs!$B$43-B2326)&lt;=0,0,(INT(MAX(0,Inputs!$B$43-B2326)/IF(Inputs!$B$38="pvp",15,MAX(0.1,Skills!D10-IF(Skills!E9=TRUE,Inputs!$B$32,0))))+1)),0)</f>
        <v/>
      </c>
      <c r="S2303">
        <f>IF(C2303,(H2303*N2303*IF(AND(Inputs!$B$38&lt;&gt;"pvp",Inputs!$B$43&gt;0),((Skills!F10*((R2303-1)*IF(Skills!G10&gt;0,Skills!H10/Skills!G10,1)+IF(Skills!G10&gt;0,MIN(Skills!H10,MAX(0,MAX(0,Inputs!$B$43-B2326)-((R2303-1)*IF(Inputs!$B$38="pvp",15,MAX(0.1,Skills!D10-IF(Skills!E9=TRUE,Inputs!$B$32,0))))))/Skills!G10,1)))/Inputs!$B$43),G2303*Q2303))*IF(Inputs!$B$38="pvp",1,1+(Inputs!$B$20+Skills!O10+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2303*(1-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3">
        <f>IF(C2303,(H2303*N2303*IF(AND(Inputs!$B$38&lt;&gt;"pvp",Inputs!$B$43&gt;0),((Skills!F10*((R2303-1)*IF(Skills!G10&gt;0,Skills!H10/Skills!G10,1)+IF(Skills!G10&gt;0,MIN(Skills!H10,MAX(0,MAX(0,Inputs!$B$43-B2326)-((R2303-1)*IF(Inputs!$B$38="pvp",15,MAX(0.1,Skills!D10-IF(Skills!E9=TRUE,Inputs!$B$32,0))))))/Skills!G10,1)))/Inputs!$B$43),G2303*Q2303))*IF(Inputs!$B$38="pvp",1,(1+(Inputs!$B$21+Skills!P10+B2320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Skills!A11</f>
        <v/>
      </c>
      <c r="B2304">
        <f>Skills!B11</f>
        <v/>
      </c>
      <c r="C2304">
        <f>Inputs!$B$3&gt;=107</f>
        <v/>
      </c>
      <c r="D2304">
        <f>IF(Skills!C11=1,60+Inputs!$B$25+Inputs!$B$29,IF(Skills!C11=2,90+Inputs!$B$26+Inputs!$B$29,IF(Skills!C11=3,120+Inputs!$B$27+Inputs!$B$29,MAX(0,(Inputs!$B$3-100)*3)+Inputs!$B$28+Inputs!$B$29)))</f>
        <v/>
      </c>
      <c r="E2304">
        <f>INDEX(FactorTable!$B$2:$Y$301, MATCH(ROUND(MIN(300,MAX(1,D2304)),0), FactorTable!$A$2:$A$301,0), Skills!L11+1)</f>
        <v/>
      </c>
      <c r="F2304">
        <f>IF(Skills!M11=TRUE,(Skills!K11/10)*(E2304/1000),Skills!K11/10)+Skills!N11</f>
        <v/>
      </c>
      <c r="G2304">
        <f>Calc!G11</f>
        <v/>
      </c>
      <c r="H2304">
        <f>Calc!H11</f>
        <v/>
      </c>
      <c r="I2304">
        <f>IF(Skills!T11&lt;&gt;"",1+(Skills!T11/10)*(Z2296/1000)/100,1)</f>
        <v/>
      </c>
      <c r="J2304">
        <f>((Inputs!$B$6*(1+Inputs!$B$7/100))+(((Inputs!$B$12*(1+Inputs!$B$13/100))-(Inputs!$B$12*(1+Inputs!$B$13/100)))+0.25*(Inputs!$B$14-Inputs!$B$14))*(1+Inputs!$B$7/100))*(F2304/100)</f>
        <v/>
      </c>
      <c r="K2304">
        <f>J2304*(1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F2311-Calc!F18),(Inputs!$B$23+(IF(ArtifactsInput!$M$15,CHOOSE(ArtifactsInput!$N$15+1,25,30,35,40,45,50)/100*(Inputs!$B$11-Inputs!$B$11),0))))/100+(Inputs!$B$23+(IF(ArtifactsInput!$M$15,CHOOSE(ArtifactsInput!$N$15+1,25,30,35,40,45,50)/100*(Inputs!$B$11-Inputs!$B$11),0)))/100)/2</f>
        <v/>
      </c>
      <c r="M2304">
        <f>L2304*(1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(1-Summary!$B$11)*S2304+Summary!$B$11*U2304</f>
        <v/>
      </c>
      <c r="P2304">
        <f>IF(B2329=0,0,O2304/B2329)</f>
        <v/>
      </c>
      <c r="Q2304">
        <f>IFERROR(1/IF(Inputs!$B$38="pvp",15,MAX(0.1,Skills!D11-IF(Skills!E11=TRUE,Inputs!$B$32,0))),0)</f>
        <v/>
      </c>
      <c r="R2304">
        <f>IF(AND(Inputs!$B$38&lt;&gt;"pvp",Inputs!$B$43&gt;0),IF(MAX(0,Inputs!$B$43-B2326)&lt;=0,0,(INT(MAX(0,Inputs!$B$43-B2326)/IF(Inputs!$B$38="pvp",15,MAX(0.1,Skills!D11-IF(Skills!E11=TRUE,Inputs!$B$32,0))))+1)),0)</f>
        <v/>
      </c>
      <c r="S2304">
        <f>IF(C2304,H2304*N2304*IF(AND(Inputs!$B$38&lt;&gt;"pvp",Inputs!$B$43&gt;0),((Skills!F11*((R2304-1)*IF(Skills!G11&gt;0,Skills!H11/Skills!G11,1)+IF(Skills!G11&gt;0,MIN(Skills!H11,MAX(0,MAX(0,Inputs!$B$43-B2326)-((R2304-1)*IF(Inputs!$B$38="pvp",15,MAX(0.1,Skills!D11-IF(Skills!E11=TRUE,Inputs!$B$32,0))))))/Skills!G11,1)))/Inputs!$B$43),G2304*Q2304)*0.5*IF(Inputs!$B$38="pvp",1,1+(Inputs!$B$20+Skills!O11+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2304*(1-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4">
        <f>IF(C2304,H2304*N2304*IF(AND(Inputs!$B$38&lt;&gt;"pvp",Inputs!$B$43&gt;0),((Skills!F11*((R2304-1)*IF(Skills!G11&gt;0,Skills!H11/Skills!G11,1)+IF(Skills!G11&gt;0,MIN(Skills!H11,MAX(0,MAX(0,Inputs!$B$43-B2326)-((R2304-1)*IF(Inputs!$B$38="pvp",15,MAX(0.1,Skills!D11-IF(Skills!E11=TRUE,Inputs!$B$32,0))))))/Skills!G11,1)))/Inputs!$B$43),G2304*Q2304)*1*IF(Inputs!$B$38="pvp",1,(1+(Inputs!$B$21+Skills!P11+B2320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Skills!A12</f>
        <v/>
      </c>
      <c r="B2305">
        <f>Skills!B12</f>
        <v/>
      </c>
      <c r="C2305">
        <f>Inputs!$B$3&gt;=115</f>
        <v/>
      </c>
      <c r="D2305">
        <f>IF(Skills!C12=1,60+Inputs!$B$25+Inputs!$B$29,IF(Skills!C12=2,90+Inputs!$B$26+Inputs!$B$29,IF(Skills!C12=3,120+Inputs!$B$27+Inputs!$B$29,MAX(0,(Inputs!$B$3-100)*3)+Inputs!$B$28+Inputs!$B$29)))</f>
        <v/>
      </c>
      <c r="E2305">
        <f>INDEX(FactorTable!$B$2:$Y$301, MATCH(ROUND(MIN(300,MAX(1,D2305)),0), FactorTable!$A$2:$A$301,0), Skills!L12+1)</f>
        <v/>
      </c>
      <c r="F2305">
        <f>IF(Skills!M12=TRUE,(Skills!K12/10)*(E2305/1000),Skills!K12/10)+Skills!N12</f>
        <v/>
      </c>
      <c r="G2305">
        <f>Calc!G12</f>
        <v/>
      </c>
      <c r="H2305">
        <f>Calc!H12</f>
        <v/>
      </c>
      <c r="I2305">
        <f>IF(Skills!T12&lt;&gt;"",1+(Skills!T12/10)*(Z2296/1000)/100,1)</f>
        <v/>
      </c>
      <c r="J2305">
        <f>((Inputs!$B$6*(1+Inputs!$B$7/100))+(((Inputs!$B$12*(1+Inputs!$B$13/100))-(Inputs!$B$12*(1+Inputs!$B$13/100)))+0.25*(Inputs!$B$14-Inputs!$B$14))*(1+Inputs!$B$7/100))*(F2305/100)</f>
        <v/>
      </c>
      <c r="K2305">
        <f>J2305*(1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F2311-Calc!F18),(Inputs!$B$23+(IF(ArtifactsInput!$M$15,CHOOSE(ArtifactsInput!$N$15+1,25,30,35,40,45,50)/100*(Inputs!$B$11-Inputs!$B$11),0))))/100+(Inputs!$B$23+(IF(ArtifactsInput!$M$15,CHOOSE(ArtifactsInput!$N$15+1,25,30,35,40,45,50)/100*(Inputs!$B$11-Inputs!$B$11),0)))/100)/2</f>
        <v/>
      </c>
      <c r="M2305">
        <f>L2305*(1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(1-Summary!$B$11)*S2305+Summary!$B$11*U2305</f>
        <v/>
      </c>
      <c r="P2305">
        <f>IF(B2329=0,0,O2305/B2329)</f>
        <v/>
      </c>
      <c r="Q2305">
        <f>IFERROR(1/IF(Inputs!$B$38="pvp",15,MAX(0.1,Skills!D12-IF(Skills!E12=TRUE,Inputs!$B$32,0))),0)</f>
        <v/>
      </c>
      <c r="R2305">
        <f>IF(AND(Inputs!$B$38&lt;&gt;"pvp",Inputs!$B$43&gt;0),IF(MAX(0,Inputs!$B$43-B2326)&lt;=0,0,(INT(MAX(0,Inputs!$B$43-B2326)/IF(Inputs!$B$38="pvp",15,MAX(0.1,Skills!D12-IF(Skills!E12=TRUE,Inputs!$B$32,0))))+1)),0)</f>
        <v/>
      </c>
      <c r="S2305">
        <f>IF(C2305,(H2305*N2305*IF(AND(Inputs!$B$38&lt;&gt;"pvp",Inputs!$B$43&gt;0),((Skills!F12*((R2305-1)*IF(Skills!G12&gt;0,Skills!H12/Skills!G12,1)+IF(Skills!G12&gt;0,MIN(Skills!H12,MAX(0,MAX(0,Inputs!$B$43-B2326)-((R2305-1)*IF(Inputs!$B$38="pvp",15,MAX(0.1,Skills!D12-IF(Skills!E12=TRUE,Inputs!$B$32,0))))))/Skills!G12,1)))/Inputs!$B$43),G2305*Q2305))*IF(Inputs!$B$38="pvp",1,1+(Inputs!$B$20+Skills!O12+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5">
        <f>IF(C2305,(H2305*N2305*IF(AND(Inputs!$B$38&lt;&gt;"pvp",Inputs!$B$43&gt;0),((Skills!F12*((R2305-1)*IF(Skills!G12&gt;0,Skills!H12/Skills!G12,1)+IF(Skills!G12&gt;0,MIN(Skills!H12,MAX(0,MAX(0,Inputs!$B$43-B2326)-((R2305-1)*IF(Inputs!$B$38="pvp",15,MAX(0.1,Skills!D12-IF(Skills!E12=TRUE,Inputs!$B$32,0))))))/Skills!G12,1)))/Inputs!$B$43),G2305*Q2305))*IF(Inputs!$B$38="pvp",1,(1+(Inputs!$B$21+Skills!P12+B2320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Skills!A13</f>
        <v/>
      </c>
      <c r="B2306">
        <f>Skills!B13</f>
        <v/>
      </c>
      <c r="C2306">
        <f>Inputs!$B$3&gt;=49</f>
        <v/>
      </c>
      <c r="D2306">
        <f>IF(Skills!C13=1,60+Inputs!$B$25+Inputs!$B$29,IF(Skills!C13=2,90+Inputs!$B$26+Inputs!$B$29,IF(Skills!C13=3,120+Inputs!$B$27+Inputs!$B$29,MAX(0,(Inputs!$B$3-100)*3)+Inputs!$B$28+Inputs!$B$29)))</f>
        <v/>
      </c>
      <c r="E2306">
        <f>INDEX(FactorTable!$B$2:$Y$301, MATCH(ROUND(MIN(300,MAX(1,D2306)),0), FactorTable!$A$2:$A$301,0), Skills!L13+1)</f>
        <v/>
      </c>
      <c r="F2306">
        <f>IF(Skills!M13=TRUE,(Skills!K13/10)*(E2306/1000),Skills!K13/10)+Skills!N13</f>
        <v/>
      </c>
      <c r="G2306">
        <f>Calc!G13</f>
        <v/>
      </c>
      <c r="H2306">
        <f>Calc!H13</f>
        <v/>
      </c>
      <c r="I2306">
        <f>IF(Skills!T13&lt;&gt;"",1+(Skills!T13/10)*(Z2296/1000)/100,1)</f>
        <v/>
      </c>
      <c r="J2306" t="inlineStr"/>
      <c r="K2306" t="inlineStr"/>
      <c r="L2306" t="inlineStr"/>
      <c r="M2306" t="inlineStr"/>
      <c r="N2306" t="inlineStr"/>
      <c r="O2306">
        <f>(1-Summary!$B$11)*S2306+Summary!$B$11*U2306</f>
        <v/>
      </c>
      <c r="P2306">
        <f>IF(B2329=0,0,O2306/B2329)</f>
        <v/>
      </c>
      <c r="Q2306">
        <f>IFERROR(1/IF(Inputs!$B$38="pvp",15,MAX(0.1,Skills!D13-IF(Skills!E13=TRUE,Inputs!$B$32,0))),0)</f>
        <v/>
      </c>
      <c r="R2306" t="n">
        <v>0</v>
      </c>
      <c r="S2306" t="n">
        <v>0</v>
      </c>
      <c r="U2306" t="n">
        <v>0</v>
      </c>
    </row>
    <row r="2307">
      <c r="A2307">
        <f>Skills!A14</f>
        <v/>
      </c>
      <c r="B2307">
        <f>Skills!B14</f>
        <v/>
      </c>
      <c r="C2307">
        <f>Inputs!$B$3&gt;=72</f>
        <v/>
      </c>
      <c r="D2307">
        <f>IF(Skills!C14=1,60+Inputs!$B$25+Inputs!$B$29,IF(Skills!C14=2,90+Inputs!$B$26+Inputs!$B$29,IF(Skills!C14=3,120+Inputs!$B$27+Inputs!$B$29,MAX(0,(Inputs!$B$3-100)*3)+Inputs!$B$28+Inputs!$B$29)))</f>
        <v/>
      </c>
      <c r="E2307">
        <f>INDEX(FactorTable!$B$2:$Y$301, MATCH(ROUND(MIN(300,MAX(1,D2307)),0), FactorTable!$A$2:$A$301,0), Skills!L14+1)</f>
        <v/>
      </c>
      <c r="F2307">
        <f>IF(Skills!M14=TRUE,(Skills!K14/10)*(E2307/1000),Skills!K14/10)+Skills!N14</f>
        <v/>
      </c>
      <c r="G2307">
        <f>Calc!G14</f>
        <v/>
      </c>
      <c r="H2307">
        <f>Calc!H14</f>
        <v/>
      </c>
      <c r="I2307">
        <f>IF(Skills!T14&lt;&gt;"",1+(Skills!T14/10)*(Z2296/1000)/100,1)</f>
        <v/>
      </c>
      <c r="J2307" t="inlineStr"/>
      <c r="K2307" t="inlineStr"/>
      <c r="L2307" t="inlineStr"/>
      <c r="M2307" t="inlineStr"/>
      <c r="N2307" t="inlineStr"/>
      <c r="O2307">
        <f>(1-Summary!$B$11)*S2307+Summary!$B$11*U2307</f>
        <v/>
      </c>
      <c r="P2307">
        <f>IF(B2329=0,0,O2307/B2329)</f>
        <v/>
      </c>
      <c r="Q2307">
        <f>IFERROR(1/IF(Inputs!$B$38="pvp",15,MAX(0.1,Skills!D14-IF(Skills!E14=TRUE,Inputs!$B$32,0))),0)</f>
        <v/>
      </c>
      <c r="R2307" t="n">
        <v>0</v>
      </c>
      <c r="S2307" t="n">
        <v>0</v>
      </c>
      <c r="U2307" t="n">
        <v>0</v>
      </c>
    </row>
    <row r="2308">
      <c r="A2308">
        <f>Skills!A15</f>
        <v/>
      </c>
      <c r="B2308">
        <f>Skills!B15</f>
        <v/>
      </c>
      <c r="C2308">
        <f>Inputs!$B$3&gt;=75</f>
        <v/>
      </c>
      <c r="D2308">
        <f>IF(Skills!C15=1,60+Inputs!$B$25+Inputs!$B$29,IF(Skills!C15=2,90+Inputs!$B$26+Inputs!$B$29,IF(Skills!C15=3,120+Inputs!$B$27+Inputs!$B$29,MAX(0,(Inputs!$B$3-100)*3)+Inputs!$B$28+Inputs!$B$29)))</f>
        <v/>
      </c>
      <c r="E2308">
        <f>INDEX(FactorTable!$B$2:$Y$301, MATCH(ROUND(MIN(300,MAX(1,D2308)),0), FactorTable!$A$2:$A$301,0), Skills!L15+1)</f>
        <v/>
      </c>
      <c r="F2308">
        <f>IF(Skills!M15=TRUE,(Skills!K15/10)*(E2308/1000),Skills!K15/10)+Skills!N15</f>
        <v/>
      </c>
      <c r="G2308">
        <f>Calc!G15</f>
        <v/>
      </c>
      <c r="H2308">
        <f>Calc!H15</f>
        <v/>
      </c>
      <c r="I2308">
        <f>IF(Skills!T15&lt;&gt;"",1+(Skills!T15/10)*(Z2296/1000)/100,1)</f>
        <v/>
      </c>
      <c r="J2308" t="inlineStr"/>
      <c r="K2308" t="inlineStr"/>
      <c r="L2308" t="inlineStr"/>
      <c r="M2308" t="inlineStr"/>
      <c r="N2308" t="inlineStr"/>
      <c r="O2308">
        <f>(1-Summary!$B$11)*S2308+Summary!$B$11*U2308</f>
        <v/>
      </c>
      <c r="P2308">
        <f>IF(B2329=0,0,O2308/B2329)</f>
        <v/>
      </c>
      <c r="Q2308">
        <f>IFERROR(1/IF(Inputs!$B$38="pvp",15,MAX(0.1,Skills!D15-IF(Skills!E15=TRUE,Inputs!$B$32,0))),0)</f>
        <v/>
      </c>
      <c r="R2308" t="n">
        <v>0</v>
      </c>
      <c r="S2308" t="n">
        <v>0</v>
      </c>
      <c r="U2308" t="n">
        <v>0</v>
      </c>
    </row>
    <row r="2309">
      <c r="A2309">
        <f>Skills!A16</f>
        <v/>
      </c>
      <c r="B2309">
        <f>Skills!B16</f>
        <v/>
      </c>
      <c r="C2309">
        <f>Inputs!$B$3&gt;=110</f>
        <v/>
      </c>
      <c r="D2309">
        <f>IF(Skills!C16=1,60+Inputs!$B$25+Inputs!$B$29,IF(Skills!C16=2,90+Inputs!$B$26+Inputs!$B$29,IF(Skills!C16=3,120+Inputs!$B$27+Inputs!$B$29,MAX(0,(Inputs!$B$3-100)*3)+Inputs!$B$28+Inputs!$B$29)))</f>
        <v/>
      </c>
      <c r="E2309">
        <f>INDEX(FactorTable!$B$2:$Y$301, MATCH(ROUND(MIN(300,MAX(1,D2309)),0), FactorTable!$A$2:$A$301,0), Skills!L16+1)</f>
        <v/>
      </c>
      <c r="F2309">
        <f>(Skills!K16/10)*(E2309/1000)*64/45+Skills!N16</f>
        <v/>
      </c>
      <c r="G2309">
        <f>Calc!G16</f>
        <v/>
      </c>
      <c r="H2309">
        <f>Calc!H16</f>
        <v/>
      </c>
      <c r="I2309">
        <f>IF(Skills!T16&lt;&gt;"",1+(Skills!T16/10)*(Z2296/1000)/100,1)</f>
        <v/>
      </c>
      <c r="J2309" t="inlineStr"/>
      <c r="K2309" t="inlineStr"/>
      <c r="L2309" t="inlineStr"/>
      <c r="M2309" t="inlineStr"/>
      <c r="N2309" t="inlineStr"/>
      <c r="O2309">
        <f>(1-Summary!$B$11)*S2309+Summary!$B$11*U2309</f>
        <v/>
      </c>
      <c r="P2309">
        <f>IF(B2329=0,0,O2309/B2329)</f>
        <v/>
      </c>
      <c r="Q2309">
        <f>IFERROR(1/IF(Inputs!$B$38="pvp",15,MAX(0.1,Skills!D16-IF(Skills!E16=TRUE,Inputs!$B$32,0))),0)</f>
        <v/>
      </c>
      <c r="R2309">
        <f>IF(AND(Inputs!$B$38&lt;&gt;"pvp",Inputs!$B$43&gt;0),IF(Inputs!$B$43&lt;=0,0,(INT(Inputs!$B$43/IF(Inputs!$B$38="pvp",15,MAX(0.1,Skills!D16-IF(Skills!E16=TRUE,Inputs!$B$32,0))))+1)),0)</f>
        <v/>
      </c>
      <c r="S2309" t="n">
        <v>0</v>
      </c>
      <c r="U2309" t="n">
        <v>0</v>
      </c>
    </row>
    <row r="2310">
      <c r="A2310">
        <f>Skills!A17</f>
        <v/>
      </c>
      <c r="B2310">
        <f>Skills!B17</f>
        <v/>
      </c>
      <c r="C2310">
        <f>Inputs!$B$3&gt;=33</f>
        <v/>
      </c>
      <c r="D2310">
        <f>IF(Skills!C17=1,60+Inputs!$B$25+Inputs!$B$29,IF(Skills!C17=2,90+Inputs!$B$26+Inputs!$B$29,IF(Skills!C17=3,120+Inputs!$B$27+Inputs!$B$29,MAX(0,(Inputs!$B$3-100)*3)+Inputs!$B$28+Inputs!$B$29)))</f>
        <v/>
      </c>
      <c r="E2310">
        <f>INDEX(FactorTable!$B$2:$Y$301, MATCH(ROUND(MIN(300,MAX(1,D2310)),0), FactorTable!$A$2:$A$301,0), Skills!L17+1)</f>
        <v/>
      </c>
      <c r="F2310">
        <f>IF(Skills!M17=TRUE,(Skills!K17/10)*(E2310/1000),Skills!K17/10)+Skills!N17</f>
        <v/>
      </c>
      <c r="G2310">
        <f>Calc!G17</f>
        <v/>
      </c>
      <c r="H2310">
        <f>Calc!H17</f>
        <v/>
      </c>
      <c r="I2310">
        <f>IF(Skills!T17&lt;&gt;"",1+(Skills!T17/10)*(Z2296/1000)/100,1)</f>
        <v/>
      </c>
      <c r="J2310" t="inlineStr"/>
      <c r="K2310" t="inlineStr"/>
      <c r="L2310" t="inlineStr"/>
      <c r="M2310" t="inlineStr"/>
      <c r="N2310" t="inlineStr"/>
      <c r="O2310">
        <f>(1-Summary!$B$11)*S2310+Summary!$B$11*U2310</f>
        <v/>
      </c>
      <c r="P2310">
        <f>IF(B2329=0,0,O2310/B2329)</f>
        <v/>
      </c>
      <c r="Q2310">
        <f>IFERROR(1/IF(Inputs!$B$38="pvp",15,MAX(0.1,Skills!D17-IF(Skills!E17=TRUE,Inputs!$B$32,0))),0)</f>
        <v/>
      </c>
      <c r="R2310" t="n">
        <v>0</v>
      </c>
      <c r="S2310" t="n">
        <v>0</v>
      </c>
      <c r="U2310" t="n">
        <v>0</v>
      </c>
    </row>
    <row r="2311">
      <c r="A2311">
        <f>Skills!A18</f>
        <v/>
      </c>
      <c r="B2311">
        <f>Skills!B18</f>
        <v/>
      </c>
      <c r="C2311">
        <f>Inputs!$B$3&gt;=43</f>
        <v/>
      </c>
      <c r="D2311">
        <f>IF(Skills!C18=1,60+Inputs!$B$25+Inputs!$B$29,IF(Skills!C18=2,90+Inputs!$B$26+Inputs!$B$29,IF(Skills!C18=3,120+Inputs!$B$27+Inputs!$B$29,MAX(0,(Inputs!$B$3-100)*3)+Inputs!$B$28+Inputs!$B$29)))</f>
        <v/>
      </c>
      <c r="E2311">
        <f>INDEX(FactorTable!$B$2:$Y$301, MATCH(ROUND(MIN(300,MAX(1,D2311)),0), FactorTable!$A$2:$A$301,0), Skills!L18+1)</f>
        <v/>
      </c>
      <c r="F2311">
        <f>IF(Skills!M18=TRUE,(Skills!K18/10)*(E2311/1000),Skills!K18/10)+Skills!N18</f>
        <v/>
      </c>
      <c r="G2311">
        <f>Calc!G18</f>
        <v/>
      </c>
      <c r="H2311">
        <f>Calc!H18</f>
        <v/>
      </c>
      <c r="I2311">
        <f>IF(Skills!T18&lt;&gt;"",1+(Skills!T18/10)*(Z2296/1000)/100,1)</f>
        <v/>
      </c>
      <c r="J2311" t="inlineStr"/>
      <c r="K2311" t="inlineStr"/>
      <c r="L2311" t="inlineStr"/>
      <c r="M2311" t="inlineStr"/>
      <c r="N2311" t="inlineStr"/>
      <c r="O2311">
        <f>(1-Summary!$B$11)*S2311+Summary!$B$11*U2311</f>
        <v/>
      </c>
      <c r="P2311">
        <f>IF(B2329=0,0,O2311/B2329)</f>
        <v/>
      </c>
      <c r="Q2311">
        <f>IFERROR(1/IF(Inputs!$B$38="pvp",15,MAX(0.1,Skills!D18-IF(Skills!E18=TRUE,Inputs!$B$32,0))),0)</f>
        <v/>
      </c>
      <c r="R2311" t="n">
        <v>0</v>
      </c>
      <c r="S2311" t="n">
        <v>0</v>
      </c>
      <c r="U2311" t="n">
        <v>0</v>
      </c>
    </row>
    <row r="2312">
      <c r="A2312">
        <f>Skills!A19</f>
        <v/>
      </c>
      <c r="B2312">
        <f>Skills!B19</f>
        <v/>
      </c>
      <c r="C2312">
        <f>Inputs!$B$3&gt;=50</f>
        <v/>
      </c>
      <c r="D2312">
        <f>IF(Skills!C19=1,60+Inputs!$B$25+Inputs!$B$29,IF(Skills!C19=2,90+Inputs!$B$26+Inputs!$B$29,IF(Skills!C19=3,120+Inputs!$B$27+Inputs!$B$29,MAX(0,(Inputs!$B$3-100)*3)+Inputs!$B$28+Inputs!$B$29)))</f>
        <v/>
      </c>
      <c r="E2312">
        <f>INDEX(FactorTable!$B$2:$Y$301, MATCH(ROUND(MIN(300,MAX(1,D2312)),0), FactorTable!$A$2:$A$301,0), Skills!L19+1)</f>
        <v/>
      </c>
      <c r="F2312">
        <f>IF(Skills!M19=TRUE,(Skills!K19/10)*(E2312/1000),Skills!K19/10)+Skills!N19</f>
        <v/>
      </c>
      <c r="G2312">
        <f>Calc!G19</f>
        <v/>
      </c>
      <c r="H2312">
        <f>Calc!H19</f>
        <v/>
      </c>
      <c r="I2312">
        <f>IF(Skills!T19&lt;&gt;"",1+(Skills!T19/10)*(Z2296/1000)/100,1)</f>
        <v/>
      </c>
      <c r="J2312" t="inlineStr"/>
      <c r="K2312" t="inlineStr"/>
      <c r="L2312" t="inlineStr"/>
      <c r="M2312" t="inlineStr"/>
      <c r="N2312" t="inlineStr"/>
      <c r="O2312">
        <f>(1-Summary!$B$11)*S2312+Summary!$B$11*U2312</f>
        <v/>
      </c>
      <c r="P2312">
        <f>IF(B2329=0,0,O2312/B2329)</f>
        <v/>
      </c>
      <c r="Q2312">
        <f>IFERROR(1/IF(Inputs!$B$38="pvp",15,MAX(0.1,Skills!D19-IF(Skills!E19=TRUE,Inputs!$B$32,0))),0)</f>
        <v/>
      </c>
      <c r="R2312" t="n">
        <v>0</v>
      </c>
      <c r="S2312" t="n">
        <v>0</v>
      </c>
      <c r="U2312" t="n">
        <v>0</v>
      </c>
    </row>
    <row r="2313">
      <c r="A2313">
        <f>Skills!A20</f>
        <v/>
      </c>
      <c r="B2313">
        <f>Skills!B20</f>
        <v/>
      </c>
      <c r="C2313">
        <f>Inputs!$B$3&gt;=74</f>
        <v/>
      </c>
      <c r="D2313">
        <f>IF(Skills!C20=1,60+Inputs!$B$25+Inputs!$B$29,IF(Skills!C20=2,90+Inputs!$B$26+Inputs!$B$29,IF(Skills!C20=3,120+Inputs!$B$27+Inputs!$B$29,MAX(0,(Inputs!$B$3-100)*3)+Inputs!$B$28+Inputs!$B$29)))</f>
        <v/>
      </c>
      <c r="E2313">
        <f>INDEX(FactorTable!$B$2:$Y$301, MATCH(ROUND(MIN(300,MAX(1,D2313)),0), FactorTable!$A$2:$A$301,0), Skills!L20+1)</f>
        <v/>
      </c>
      <c r="F2313">
        <f>IF(Skills!M20=TRUE,(Skills!K20/10)*(E2313/1000),Skills!K20/10)+Skills!N20</f>
        <v/>
      </c>
      <c r="G2313">
        <f>Calc!G20</f>
        <v/>
      </c>
      <c r="H2313">
        <f>Calc!H20</f>
        <v/>
      </c>
      <c r="I2313">
        <f>IF(Skills!T20&lt;&gt;"",1+(Skills!T20/10)*(Z2296/1000)/100,1)</f>
        <v/>
      </c>
      <c r="J2313" t="inlineStr"/>
      <c r="K2313" t="inlineStr"/>
      <c r="L2313" t="inlineStr"/>
      <c r="M2313" t="inlineStr"/>
      <c r="N2313" t="inlineStr"/>
      <c r="O2313">
        <f>(1-Summary!$B$11)*S2313+Summary!$B$11*U2313</f>
        <v/>
      </c>
      <c r="P2313">
        <f>IF(B2329=0,0,O2313/B2329)</f>
        <v/>
      </c>
      <c r="Q2313">
        <f>IFERROR(1/IF(Inputs!$B$38="pvp",15,MAX(0.1,Skills!D20-IF(Skills!E20=TRUE,Inputs!$B$32,0))),0)</f>
        <v/>
      </c>
      <c r="R2313" t="n">
        <v>0</v>
      </c>
      <c r="S2313" t="n">
        <v>0</v>
      </c>
      <c r="U2313" t="n">
        <v>0</v>
      </c>
    </row>
    <row r="2314">
      <c r="A2314">
        <f>Skills!A21</f>
        <v/>
      </c>
      <c r="B2314">
        <f>Skills!B21</f>
        <v/>
      </c>
      <c r="C2314">
        <f>Inputs!$B$3&gt;=74</f>
        <v/>
      </c>
      <c r="D2314">
        <f>IF(Skills!C21=1,60+Inputs!$B$25+Inputs!$B$29,IF(Skills!C21=2,90+Inputs!$B$26+Inputs!$B$29,IF(Skills!C21=3,120+Inputs!$B$27+Inputs!$B$29,MAX(0,(Inputs!$B$3-100)*3)+Inputs!$B$28+Inputs!$B$29)))</f>
        <v/>
      </c>
      <c r="E2314">
        <f>INDEX(FactorTable!$B$2:$Y$301, MATCH(ROUND(MIN(300,MAX(1,D2314)),0), FactorTable!$A$2:$A$301,0), Skills!L21+1)</f>
        <v/>
      </c>
      <c r="F2314">
        <f>IF(Skills!M21=TRUE,(Skills!K21/10)*(E2314/1000),Skills!K21/10)+Skills!N21</f>
        <v/>
      </c>
      <c r="G2314">
        <f>Calc!G21</f>
        <v/>
      </c>
      <c r="H2314">
        <f>Calc!H21</f>
        <v/>
      </c>
      <c r="I2314">
        <f>IF(Skills!T21&lt;&gt;"",1+(Skills!T21/10)*(Z2296/1000)/100,1)</f>
        <v/>
      </c>
      <c r="J2314" t="inlineStr"/>
      <c r="K2314" t="inlineStr"/>
      <c r="L2314" t="inlineStr"/>
      <c r="M2314" t="inlineStr"/>
      <c r="N2314" t="inlineStr"/>
      <c r="O2314">
        <f>(1-Summary!$B$11)*S2314+Summary!$B$11*U2314</f>
        <v/>
      </c>
      <c r="P2314">
        <f>IF(B2329=0,0,O2314/B2329)</f>
        <v/>
      </c>
      <c r="Q2314">
        <f>IFERROR(1/IF(Inputs!$B$38="pvp",15,MAX(0.1,Skills!D21-IF(Skills!E21=TRUE,Inputs!$B$32,0))),0)</f>
        <v/>
      </c>
      <c r="R2314" t="n">
        <v>0</v>
      </c>
      <c r="S2314" t="n">
        <v>0</v>
      </c>
      <c r="U2314" t="n">
        <v>0</v>
      </c>
    </row>
    <row r="2315">
      <c r="A2315">
        <f>Skills!A22</f>
        <v/>
      </c>
      <c r="B2315">
        <f>Skills!B22</f>
        <v/>
      </c>
      <c r="C2315">
        <f>Inputs!$B$3&gt;=117</f>
        <v/>
      </c>
      <c r="D2315">
        <f>IF(Skills!C22=1,60+Inputs!$B$25+Inputs!$B$29,IF(Skills!C22=2,90+Inputs!$B$26+Inputs!$B$29,IF(Skills!C22=3,120+Inputs!$B$27+Inputs!$B$29,MAX(0,(Inputs!$B$3-100)*3)+Inputs!$B$28+Inputs!$B$29)))</f>
        <v/>
      </c>
      <c r="E2315">
        <f>INDEX(FactorTable!$B$2:$Y$301, MATCH(ROUND(MIN(300,MAX(1,D2315)),0), FactorTable!$A$2:$A$301,0), Skills!L22+1)</f>
        <v/>
      </c>
      <c r="F2315">
        <f>IF(Skills!M22=TRUE,(Skills!K22/10)*(E2315/1000),Skills!K22/10)+Skills!N22</f>
        <v/>
      </c>
      <c r="G2315">
        <f>Calc!G22</f>
        <v/>
      </c>
      <c r="H2315">
        <f>Calc!H22</f>
        <v/>
      </c>
      <c r="I2315">
        <f>IF(Skills!T22&lt;&gt;"",1+(Skills!T22/10)*(Z2296/1000)/100,1)</f>
        <v/>
      </c>
      <c r="J2315" t="inlineStr"/>
      <c r="K2315" t="inlineStr"/>
      <c r="L2315" t="inlineStr"/>
      <c r="M2315" t="inlineStr"/>
      <c r="N2315" t="inlineStr"/>
      <c r="O2315">
        <f>(1-Summary!$B$11)*S2315+Summary!$B$11*U2315</f>
        <v/>
      </c>
      <c r="P2315">
        <f>IF(B2329=0,0,O2315/B2329)</f>
        <v/>
      </c>
      <c r="Q2315">
        <f>IFERROR(1/IF(Inputs!$B$38="pvp",15,MAX(0.1,Skills!D22-IF(Skills!E22=TRUE,Inputs!$B$32,0))),0)</f>
        <v/>
      </c>
      <c r="R2315" t="n">
        <v>0</v>
      </c>
      <c r="S2315" t="n">
        <v>0</v>
      </c>
      <c r="U2315" t="n">
        <v>0</v>
      </c>
    </row>
    <row r="2316">
      <c r="A2316">
        <f>Skills!A23</f>
        <v/>
      </c>
      <c r="B2316">
        <f>Skills!B23</f>
        <v/>
      </c>
      <c r="C2316">
        <f>Inputs!$B$3&gt;=120</f>
        <v/>
      </c>
      <c r="D2316">
        <f>IF(Skills!C23=1,60+Inputs!$B$25+Inputs!$B$29,IF(Skills!C23=2,90+Inputs!$B$26+Inputs!$B$29,IF(Skills!C23=3,120+Inputs!$B$27+Inputs!$B$29,MAX(0,(Inputs!$B$3-100)*3)+Inputs!$B$28+Inputs!$B$29)))</f>
        <v/>
      </c>
      <c r="E2316">
        <f>INDEX(FactorTable!$B$2:$Y$301, MATCH(ROUND(MIN(300,MAX(1,D2316)),0), FactorTable!$A$2:$A$301,0), Skills!L23+1)</f>
        <v/>
      </c>
      <c r="F2316">
        <f>IF(Skills!M23=TRUE,(Skills!K23/10)*(E2316/1000),Skills!K23/10)+Skills!N23</f>
        <v/>
      </c>
      <c r="G2316">
        <f>Calc!G23</f>
        <v/>
      </c>
      <c r="H2316">
        <f>Calc!H23</f>
        <v/>
      </c>
      <c r="I2316">
        <f>IF(Skills!T23&lt;&gt;"",1+(Skills!T23/10)*(Z2296/1000)/100,1)</f>
        <v/>
      </c>
      <c r="J2316" t="inlineStr"/>
      <c r="K2316" t="inlineStr"/>
      <c r="L2316" t="inlineStr"/>
      <c r="M2316" t="inlineStr"/>
      <c r="N2316" t="inlineStr"/>
      <c r="O2316">
        <f>(1-Summary!$B$11)*S2316+Summary!$B$11*U2316</f>
        <v/>
      </c>
      <c r="P2316">
        <f>IF(B2329=0,0,O2316/B2329)</f>
        <v/>
      </c>
      <c r="Q2316">
        <f>IFERROR(1/IF(Inputs!$B$38="pvp",15,MAX(0.1,Skills!D23-IF(Skills!E23=TRUE,Inputs!$B$32,0))),0)</f>
        <v/>
      </c>
      <c r="R2316" t="n">
        <v>0</v>
      </c>
      <c r="S2316" t="n">
        <v>0</v>
      </c>
      <c r="U2316" t="n">
        <v>0</v>
      </c>
    </row>
    <row r="2319">
      <c r="A2319" t="inlineStr">
        <is>
          <t>Average Buff Multiplier (Magic Guard + Meditation + Artifact Attack%, summed; then Infinity)</t>
        </is>
      </c>
      <c r="B2319">
        <f>(1+(IF(C2296=TRUE,F2296*IF(AND(Inputs!$B$38&lt;&gt;"pvp",Inputs!$B$43&gt;0),(((R2296-1)*(Skills!S3*(1+(Inputs!$B$34+IF(Inputs!$B$3&gt;=117,F2315,0))/100))+MIN((Skills!S3*(1+(Inputs!$B$34+IF(Inputs!$B$3&gt;=117,F2315,0))/100)),MAX(0,Inputs!$B$43-((R2296-1)*Skills!D3))))/Inputs!$B$43),IF(Inputs!$B$38="pvp",MIN((Skills!S3*(1+(Inputs!$B$34+IF(Inputs!$B$3&gt;=117,F2315,0))/100)),15)/15,(Skills!S3*(1+(Inputs!$B$34+IF(Inputs!$B$3&gt;=117,F2315,0))/100))/Skills!D3)),0)+IF(C2297=TRUE,F2297*IF(AND(Inputs!$B$38&lt;&gt;"pvp",Inputs!$B$43&gt;0),(((R2297-1)*(Skills!S4*(1+(Inputs!$B$34+IF(Inputs!$B$3&gt;=117,F2315,0))/100))+MIN((Skills!S4*(1+(Inputs!$B$34+IF(Inputs!$B$3&gt;=117,F2315,0))/100)),MAX(0,Inputs!$B$43-((R2297-1)*Skills!D4))))/Inputs!$B$43),IF(Inputs!$B$38="pvp",MIN((Skills!S4*(1+(Inputs!$B$34+IF(Inputs!$B$3&gt;=117,F2315,0))/100)),15)/15,(Skills!S4*(1+(Inputs!$B$34+IF(Inputs!$B$3&gt;=117,F2315,0)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2309=TRUE,(1+F2309*IF(AND(Inputs!$B$38&lt;&gt;"pvp",Inputs!$B$43&gt;0),(((R2309-1)*(Skills!S16*(1+(Inputs!$B$34+IF(Inputs!$B$3&gt;=117,F2315,0))/100))+MIN((Skills!S16*(1+(Inputs!$B$34+IF(Inputs!$B$3&gt;=117,F2315,0))/100)),MAX(0,Inputs!$B$43-((R2309-1)*Skills!D16))))/Inputs!$B$43),IF(Inputs!$B$38="pvp",MIN((Skills!S16*(1+(Inputs!$B$34+IF(Inputs!$B$3&gt;=117,F2315,0))/100)),15)/15,(Skills!S16*(1+(Inputs!$B$34+IF(Inputs!$B$3&gt;=117,F2315,0))/100))/Skills!D16))/100),1)</f>
        <v/>
      </c>
    </row>
    <row r="2320">
      <c r="A2320" t="inlineStr">
        <is>
          <t>Monster Damage Taken Bonus % (Freezing Breath - Weaken + Elemental Reset + Artifact Enemy Damage Taken, summed)</t>
        </is>
      </c>
      <c r="B2320">
        <f>IF(Inputs!$B$3&gt;=118,15*IF(Inputs!$B$38="pvp",MIN((30*(1+(Inputs!$B$34+IF(Inputs!$B$3&gt;=117,F2315,0))/100)),15)/15,(30*(1+(Inputs!$B$34+IF(Inputs!$B$3&gt;=117,F2315,0))/100))/Skills!D8),0)+IF(C2307=TRUE,F2307,0)+(IF(AND(ArtifactsInput!$M$35,Inputs!$B$4&lt;&gt;"Chapter Hunt"),CHOOSE(ArtifactsInput!$N$35+1,15,18,21,24,27,30)*(1-EXP(-(0.2*B2323)*5)),0)+IF(AND(ArtifactsInput!$M$22,Inputs!$B$4&lt;&gt;"Chapter Hunt"),CHOOSE(ArtifactsInput!$N$22+1,10,12,14,16,18,20)*((0*(((0.15*B2323*5))^0/1)+1*(((0.15*B2323*5))^1/1)+2*(((0.15*B2323*5))^2/2)+3*(((0.15*B2323*5))^3/6)+4*(((0.15*B2323*5))^4/24)+5*(((0.15*B2323*5))^5/120))/((((0.15*B2323*5))^0/1)+(((0.15*B2323*5))^1/1)+(((0.15*B2323*5))^2/2)+(((0.15*B2323*5))^3/6)+(((0.15*B2323*5))^4/24)+(((0.15*B2323*5))^5/120))),0))</f>
        <v/>
      </c>
    </row>
    <row r="2321">
      <c r="A2321" t="inlineStr">
        <is>
          <t>Damage % Bonus (Frozen Break + Frost Clutch, flat)</t>
        </is>
      </c>
      <c r="B2321">
        <f>IF(Inputs!$B$3&gt;=66,15,0)+IF(Inputs!$B$3&gt;=98,10,0)+IF(Inputs!$B$3&gt;=125,20,0)</f>
        <v/>
      </c>
    </row>
    <row r="2322">
      <c r="A2322" t="inlineStr">
        <is>
          <t>Attack Speed Bonus % (MP Eater - MP Boost, always-on once unlocked)</t>
        </is>
      </c>
      <c r="B2322">
        <f>IF(C2306=TRUE,F2306+(F2310-Calc!F17),0)</f>
        <v/>
      </c>
    </row>
    <row r="2323">
      <c r="A2323" t="inlineStr">
        <is>
          <t>Actions Per Second</t>
        </is>
      </c>
      <c r="B2323">
        <f>1+MIN(150,150*(1-(1-(Inputs!$B$11+(ArtifactsInput!$M$15-ArtifactsInput!$M$15)*CHOOSE(ArtifactsInput!$N$15+1,8,9.6,11.2,12.8,14.4,16))/150)*(1-B2322/150)))/100</f>
        <v/>
      </c>
    </row>
    <row r="2324">
      <c r="A2324" t="inlineStr">
        <is>
          <t>Skill + Buff Cast Rate</t>
        </is>
      </c>
      <c r="B2324">
        <f>IF(AND(Inputs!$B$38&lt;&gt;"pvp",Inputs!$B$43&gt;0),SUMPRODUCT((Skills!E2:E23=TRUE)*(C2295:C2316=TRUE)*R2295:R2316)/Inputs!$B$43,SUMPRODUCT((Skills!E2:E23=TRUE)*(C2295:C2316=TRUE)*Q2295:Q2316))</f>
        <v/>
      </c>
    </row>
    <row r="2325">
      <c r="A2325" t="inlineStr">
        <is>
          <t>Chain Lightning Casts Per Second</t>
        </is>
      </c>
      <c r="B2325">
        <f>MAX(0,B2323-B2324)</f>
        <v/>
      </c>
    </row>
    <row r="2326">
      <c r="A2326" t="inlineStr">
        <is>
          <t>Buff-Casting Startup Delay (s, fixed-duration only)</t>
        </is>
      </c>
      <c r="B2326">
        <f>IF(AND(Inputs!$B$38&lt;&gt;"pvp",Inputs!$B$43&gt;0),SUMPRODUCT((Skills!S2:S23&gt;0)*(Skills!E2:E23=TRUE)*(C2295:C2316=TRUE))/B2323,0)</f>
        <v/>
      </c>
    </row>
    <row r="2327">
      <c r="A2327" t="inlineStr">
        <is>
          <t>Boss-Only Total DPS (this block's swept value)</t>
        </is>
      </c>
      <c r="B2327">
        <f>SUM(S2295:S2316)</f>
        <v/>
      </c>
    </row>
    <row r="2328">
      <c r="A2328" t="inlineStr">
        <is>
          <t>Normal-Only Total DPS (this block's swept value)</t>
        </is>
      </c>
      <c r="B2328">
        <f>SUM(U2295:U2316)</f>
        <v/>
      </c>
    </row>
    <row r="2329">
      <c r="A2329" s="6" t="inlineStr">
        <is>
          <t>TOTAL DPS</t>
        </is>
      </c>
      <c r="B2329" s="6">
        <f>SUM(O2295:O2316)</f>
        <v/>
      </c>
    </row>
    <row r="2332">
      <c r="A2332" s="6" t="inlineStr">
        <is>
          <t>Stat: Reindeer's Spear (Equip)</t>
        </is>
      </c>
    </row>
    <row r="2333">
      <c r="A2333" s="5" t="inlineStr">
        <is>
          <t>Key</t>
        </is>
      </c>
      <c r="B2333" s="5" t="inlineStr">
        <is>
          <t>Name</t>
        </is>
      </c>
      <c r="C2333" s="5" t="inlineStr">
        <is>
          <t>Unlocked</t>
        </is>
      </c>
      <c r="D2333" s="5" t="inlineStr">
        <is>
          <t>InputLevel</t>
        </is>
      </c>
      <c r="E2333" s="5" t="inlineStr">
        <is>
          <t>Factor</t>
        </is>
      </c>
      <c r="F2333" s="5" t="inlineStr">
        <is>
          <t>CoefficientPercent</t>
        </is>
      </c>
      <c r="G2333" s="5" t="inlineStr">
        <is>
          <t>EffectiveHits</t>
        </is>
      </c>
      <c r="H2333" s="5" t="inlineStr">
        <is>
          <t>ProcProbability</t>
        </is>
      </c>
      <c r="I2333" s="5" t="inlineStr">
        <is>
          <t>MapleHeroMultiplier</t>
        </is>
      </c>
      <c r="J2333" s="5" t="inlineStr">
        <is>
          <t>BaseDamage</t>
        </is>
      </c>
      <c r="K2333" s="5" t="inlineStr">
        <is>
          <t>BaseHitDamage</t>
        </is>
      </c>
      <c r="L2333" s="5" t="inlineStr">
        <is>
          <t>NonCritAvg</t>
        </is>
      </c>
      <c r="M2333" s="5" t="inlineStr">
        <is>
          <t>CritAvg</t>
        </is>
      </c>
      <c r="N2333" s="5" t="inlineStr">
        <is>
          <t>ExpectedDamage(perHit)</t>
        </is>
      </c>
      <c r="O2333" s="5" t="inlineStr">
        <is>
          <t>DPS</t>
        </is>
      </c>
      <c r="P2333" s="5" t="inlineStr">
        <is>
          <t>% of Total</t>
        </is>
      </c>
      <c r="R2333" t="inlineStr">
        <is>
          <t>helpers</t>
        </is>
      </c>
    </row>
    <row r="2334">
      <c r="A2334">
        <f>Skills!A2</f>
        <v/>
      </c>
      <c r="B2334">
        <f>Skills!B2</f>
        <v/>
      </c>
      <c r="C2334">
        <f>Inputs!$B$3&gt;=100</f>
        <v/>
      </c>
      <c r="D2334" t="inlineStr"/>
      <c r="E2334" t="inlineStr"/>
      <c r="F2334">
        <f>T2336+Skills!N2</f>
        <v/>
      </c>
      <c r="G2334">
        <f>Calc!G2</f>
        <v/>
      </c>
      <c r="H2334">
        <f>Calc!H2</f>
        <v/>
      </c>
      <c r="I2334">
        <f>IF(Skills!T2&lt;&gt;"",1+(Skills!T2/10)*(Z2335/1000)/100,1)</f>
        <v/>
      </c>
      <c r="J2334">
        <f>((Inputs!$B$6*(1+Inputs!$B$7/100))+(((Inputs!$B$12*(1+Inputs!$B$13/100))-(Inputs!$B$12*(1+Inputs!$B$13/100)))+0.25*(Inputs!$B$14-Inputs!$B$14))*(1+Inputs!$B$7/100))*(F2334/100)</f>
        <v/>
      </c>
      <c r="K2334">
        <f>J2334*(1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F2350-Calc!F18),(Inputs!$B$23+(IF(ArtifactsInput!$M$15,CHOOSE(ArtifactsInput!$N$15+1,25,30,35,40,45,50)/100*(Inputs!$B$11-Inputs!$B$11),0))))/100+(Inputs!$B$23+(IF(ArtifactsInput!$M$15,CHOOSE(ArtifactsInput!$N$15+1,25,30,35,40,45,50)/100*(Inputs!$B$11-Inputs!$B$11),0)))/100)/2</f>
        <v/>
      </c>
      <c r="M2334">
        <f>L2334*(1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(1-Summary!$B$11)*S2334+Summary!$B$11*U2334</f>
        <v/>
      </c>
      <c r="P2334">
        <f>IF(B2368=0,0,O2334/B2368)</f>
        <v/>
      </c>
      <c r="Q2334">
        <f>IFERROR(1/IF(Inputs!$B$38="pvp",15,MAX(0.1,Skills!D2-IF(Skills!E2=TRUE,Inputs!$B$32,0))),0)</f>
        <v/>
      </c>
      <c r="R2334" t="n">
        <v>0</v>
      </c>
      <c r="S2334">
        <f>IF(C2334,(Skills!F2*N2334*B2364)*IF(Inputs!$B$38="pvp",1,1+(Inputs!$B$20+Skills!O2+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34">
        <f>MAX(0,(Inputs!$B$3-100)*3)+Inputs!$B$28+Inputs!$B$29</f>
        <v/>
      </c>
      <c r="U2334">
        <f>IF(C2334,(Skills!F2*N2334*B2364)*IF(Inputs!$B$38="pvp",1,(1+(Inputs!$B$21+Skills!P2+B2359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34">
        <f>MAX(0,(Inputs!$B$3-100)*3)+Inputs!$B$28+Inputs!$B$29</f>
        <v/>
      </c>
    </row>
    <row r="2335">
      <c r="A2335">
        <f>Skills!A3</f>
        <v/>
      </c>
      <c r="B2335">
        <f>Skills!B3</f>
        <v/>
      </c>
      <c r="C2335">
        <f>Inputs!$B$3&gt;=15</f>
        <v/>
      </c>
      <c r="D2335">
        <f>IF(Skills!C3=1,60+Inputs!$B$25+Inputs!$B$29,IF(Skills!C3=2,90+Inputs!$B$26+Inputs!$B$29,IF(Skills!C3=3,120+Inputs!$B$27+Inputs!$B$29,MAX(0,(Inputs!$B$3-100)*3)+Inputs!$B$28+Inputs!$B$29)))</f>
        <v/>
      </c>
      <c r="E2335">
        <f>INDEX(FactorTable!$B$2:$Y$301, MATCH(ROUND(MIN(300,MAX(1,D2335)),0), FactorTable!$A$2:$A$301,0), Skills!L3+1)</f>
        <v/>
      </c>
      <c r="F2335">
        <f>IF(Skills!M3=TRUE,(Skills!K3/10)*(E2335/1000),Skills!K3/10)+Skills!N3</f>
        <v/>
      </c>
      <c r="G2335">
        <f>Calc!G3</f>
        <v/>
      </c>
      <c r="H2335">
        <f>Calc!H3</f>
        <v/>
      </c>
      <c r="I2335">
        <f>IF(Skills!T3&lt;&gt;"",1+(Skills!T3/10)*(Z2335/1000)/100,1)</f>
        <v/>
      </c>
      <c r="J2335" t="inlineStr"/>
      <c r="K2335" t="inlineStr"/>
      <c r="L2335" t="inlineStr"/>
      <c r="M2335" t="inlineStr"/>
      <c r="N2335" t="inlineStr"/>
      <c r="O2335">
        <f>(1-Summary!$B$11)*S2335+Summary!$B$11*U2335</f>
        <v/>
      </c>
      <c r="P2335">
        <f>IF(B2368=0,0,O2335/B2368)</f>
        <v/>
      </c>
      <c r="Q2335">
        <f>IFERROR(1/IF(Inputs!$B$38="pvp",15,MAX(0.1,Skills!D3-IF(Skills!E3=TRUE,Inputs!$B$32,0))),0)</f>
        <v/>
      </c>
      <c r="R2335">
        <f>IF(AND(Inputs!$B$38&lt;&gt;"pvp",Inputs!$B$43&gt;0),IF(Inputs!$B$43&lt;=0,0,(INT(Inputs!$B$43/IF(Inputs!$B$38="pvp",15,MAX(0.1,Skills!D3-IF(Skills!E3=TRUE,Inputs!$B$32,0))))+1)),0)</f>
        <v/>
      </c>
      <c r="S2335" t="n">
        <v>0</v>
      </c>
      <c r="T2335">
        <f>INDEX(FactorTable!$B$2:$Y$301, MATCH(ROUND(MIN(300,MAX(1,T2334)),0), FactorTable!$A$2:$A$301,0), 22)</f>
        <v/>
      </c>
      <c r="U2335" t="n">
        <v>0</v>
      </c>
      <c r="Z2335">
        <f>INDEX(FactorTable!$B$2:$Y$301, MATCH(ROUND(MIN(300,MAX(1,Z2334)),0), FactorTable!$A$2:$A$301,0), 24)</f>
        <v/>
      </c>
    </row>
    <row r="2336">
      <c r="A2336">
        <f>Skills!A4</f>
        <v/>
      </c>
      <c r="B2336">
        <f>Skills!B4</f>
        <v/>
      </c>
      <c r="C2336">
        <f>Inputs!$B$3&gt;=40</f>
        <v/>
      </c>
      <c r="D2336">
        <f>IF(Skills!C4=1,60+Inputs!$B$25+Inputs!$B$29,IF(Skills!C4=2,90+Inputs!$B$26+Inputs!$B$29,IF(Skills!C4=3,120+Inputs!$B$27+Inputs!$B$29,MAX(0,(Inputs!$B$3-100)*3)+Inputs!$B$28+Inputs!$B$29)))</f>
        <v/>
      </c>
      <c r="E2336">
        <f>INDEX(FactorTable!$B$2:$Y$301, MATCH(ROUND(MIN(300,MAX(1,D2336)),0), FactorTable!$A$2:$A$301,0), Skills!L4+1)</f>
        <v/>
      </c>
      <c r="F2336">
        <f>IF(Skills!M4=TRUE,(Skills!K4/10)*(E2336/1000),Skills!K4/10)+Skills!N4</f>
        <v/>
      </c>
      <c r="G2336">
        <f>Calc!G4</f>
        <v/>
      </c>
      <c r="H2336">
        <f>Calc!H4</f>
        <v/>
      </c>
      <c r="I2336">
        <f>IF(Skills!T4&lt;&gt;"",1+(Skills!T4/10)*(Z2335/1000)/100,1)</f>
        <v/>
      </c>
      <c r="J2336" t="inlineStr"/>
      <c r="K2336" t="inlineStr"/>
      <c r="L2336" t="inlineStr"/>
      <c r="M2336" t="inlineStr"/>
      <c r="N2336" t="inlineStr"/>
      <c r="O2336">
        <f>(1-Summary!$B$11)*S2336+Summary!$B$11*U2336</f>
        <v/>
      </c>
      <c r="P2336">
        <f>IF(B2368=0,0,O2336/B2368)</f>
        <v/>
      </c>
      <c r="Q2336">
        <f>IFERROR(1/IF(Inputs!$B$38="pvp",15,MAX(0.1,Skills!D4-IF(Skills!E4=TRUE,Inputs!$B$32,0))),0)</f>
        <v/>
      </c>
      <c r="R2336">
        <f>IF(AND(Inputs!$B$38&lt;&gt;"pvp",Inputs!$B$43&gt;0),IF(Inputs!$B$43&lt;=0,0,(INT(Inputs!$B$43/IF(Inputs!$B$38="pvp",15,MAX(0.1,Skills!D4-IF(Skills!E4=TRUE,Inputs!$B$32,0))))+1)),0)</f>
        <v/>
      </c>
      <c r="S2336" t="n">
        <v>0</v>
      </c>
      <c r="T2336">
        <f>290*T2335/1000</f>
        <v/>
      </c>
      <c r="U2336" t="n">
        <v>0</v>
      </c>
    </row>
    <row r="2337">
      <c r="A2337">
        <f>Skills!A5</f>
        <v/>
      </c>
      <c r="B2337">
        <f>Skills!B5</f>
        <v/>
      </c>
      <c r="C2337">
        <f>Inputs!$B$3&gt;=38</f>
        <v/>
      </c>
      <c r="D2337">
        <f>IF(Skills!C5=1,60+Inputs!$B$25+Inputs!$B$29,IF(Skills!C5=2,90+Inputs!$B$26+Inputs!$B$29,IF(Skills!C5=3,120+Inputs!$B$27+Inputs!$B$29,MAX(0,(Inputs!$B$3-100)*3)+Inputs!$B$28+Inputs!$B$29)))</f>
        <v/>
      </c>
      <c r="E2337">
        <f>INDEX(FactorTable!$B$2:$Y$301, MATCH(ROUND(MIN(300,MAX(1,D2337)),0), FactorTable!$A$2:$A$301,0), Skills!L5+1)</f>
        <v/>
      </c>
      <c r="F2337">
        <f>IF(Skills!M5=TRUE,(Skills!K5/10)*(E2337/1000),Skills!K5/10)+Skills!N5</f>
        <v/>
      </c>
      <c r="G2337">
        <f>Calc!G5</f>
        <v/>
      </c>
      <c r="H2337">
        <f>Calc!H5</f>
        <v/>
      </c>
      <c r="I2337">
        <f>IF(Skills!T5&lt;&gt;"",1+(Skills!T5/10)*(Z2335/1000)/100,1)</f>
        <v/>
      </c>
      <c r="J2337">
        <f>((Inputs!$B$6*(1+Inputs!$B$7/100))+(((Inputs!$B$12*(1+Inputs!$B$13/100))-(Inputs!$B$12*(1+Inputs!$B$13/100)))+0.25*(Inputs!$B$14-Inputs!$B$14))*(1+Inputs!$B$7/100))*(F2337/100)</f>
        <v/>
      </c>
      <c r="K2337">
        <f>J2337*(1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F2350-Calc!F18),(Inputs!$B$23+(IF(ArtifactsInput!$M$15,CHOOSE(ArtifactsInput!$N$15+1,25,30,35,40,45,50)/100*(Inputs!$B$11-Inputs!$B$11),0))))/100+(Inputs!$B$23+(IF(ArtifactsInput!$M$15,CHOOSE(ArtifactsInput!$N$15+1,25,30,35,40,45,50)/100*(Inputs!$B$11-Inputs!$B$11),0)))/100)/2</f>
        <v/>
      </c>
      <c r="M2337">
        <f>L2337*(1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(1-Summary!$B$11)*S2337+Summary!$B$11*U2337</f>
        <v/>
      </c>
      <c r="P2337">
        <f>IF(B2368=0,0,O2337/B2368)</f>
        <v/>
      </c>
      <c r="Q2337">
        <f>IFERROR(1/IF(Inputs!$B$38="pvp",15,MAX(0.1,Skills!D5-IF(Skills!E5=TRUE,Inputs!$B$32,0))),0)</f>
        <v/>
      </c>
      <c r="R2337">
        <f>IF(AND(Inputs!$B$38&lt;&gt;"pvp",Inputs!$B$43&gt;0),IF(MAX(0,Inputs!$B$43-B2365)&lt;=0,0,(INT(MAX(0,Inputs!$B$43-B2365)/IF(Inputs!$B$38="pvp",15,MAX(0.1,Skills!D5-IF(Skills!E5=TRUE,Inputs!$B$32,0))))+1)),0)</f>
        <v/>
      </c>
      <c r="S2337">
        <f>IF(C2337,(H2337*N2337*IF(AND(Inputs!$B$38&lt;&gt;"pvp",Inputs!$B$43&gt;0),((Skills!F5*((R2337-1)*IF(Skills!G5&gt;0,Skills!H5/Skills!G5,1)+IF(Skills!G5&gt;0,MIN(Skills!H5,MAX(0,MAX(0,Inputs!$B$43-B2365)-((R2337-1)*IF(Inputs!$B$38="pvp",15,MAX(0.1,Skills!D5-IF(Skills!E5=TRUE,Inputs!$B$32,0))))))/Skills!G5,1)))/Inputs!$B$43),G2337*Q2337))*IF(Inputs!$B$38="pvp",1,1+(Inputs!$B$20+Skills!O5+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2337*(1-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IF(C2337,(H2337*N2337*IF(AND(Inputs!$B$38&lt;&gt;"pvp",Inputs!$B$43&gt;0),((Skills!F5*((R2337-1)*IF(Skills!G5&gt;0,Skills!H5/Skills!G5,1)+IF(Skills!G5&gt;0,MIN(Skills!H5,MAX(0,MAX(0,Inputs!$B$43-B2365)-((R2337-1)*IF(Inputs!$B$38="pvp",15,MAX(0.1,Skills!D5-IF(Skills!E5=TRUE,Inputs!$B$32,0))))))/Skills!G5,1)))/Inputs!$B$43),G2337*Q2337))*IF(Inputs!$B$38="pvp",1,(1+(Inputs!$B$21+Skills!P5+B2359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Skills!A6</f>
        <v/>
      </c>
      <c r="B2338">
        <f>Skills!B6</f>
        <v/>
      </c>
      <c r="C2338">
        <f>Inputs!$B$3&gt;=63</f>
        <v/>
      </c>
      <c r="D2338">
        <f>IF(Skills!C6=1,60+Inputs!$B$25+Inputs!$B$29,IF(Skills!C6=2,90+Inputs!$B$26+Inputs!$B$29,IF(Skills!C6=3,120+Inputs!$B$27+Inputs!$B$29,MAX(0,(Inputs!$B$3-100)*3)+Inputs!$B$28+Inputs!$B$29)))</f>
        <v/>
      </c>
      <c r="E2338">
        <f>INDEX(FactorTable!$B$2:$Y$301, MATCH(ROUND(MIN(300,MAX(1,D2338)),0), FactorTable!$A$2:$A$301,0), Skills!L6+1)</f>
        <v/>
      </c>
      <c r="F2338">
        <f>IF(Skills!M6=TRUE,(Skills!K6/10)*(E2338/1000),Skills!K6/10)+Skills!N6</f>
        <v/>
      </c>
      <c r="G2338">
        <f>Calc!G6</f>
        <v/>
      </c>
      <c r="H2338">
        <f>Calc!H6</f>
        <v/>
      </c>
      <c r="I2338">
        <f>IF(Skills!T6&lt;&gt;"",1+(Skills!T6/10)*(Z2335/1000)/100,1)</f>
        <v/>
      </c>
      <c r="J2338">
        <f>((Inputs!$B$6*(1+Inputs!$B$7/100))+(((Inputs!$B$12*(1+Inputs!$B$13/100))-(Inputs!$B$12*(1+Inputs!$B$13/100)))+0.25*(Inputs!$B$14-Inputs!$B$14))*(1+Inputs!$B$7/100))*(F2338/100)</f>
        <v/>
      </c>
      <c r="K2338">
        <f>J2338*(1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2350-Calc!F18),(Inputs!$B$23+(IF(ArtifactsInput!$M$15,CHOOSE(ArtifactsInput!$N$15+1,25,30,35,40,45,50)/100*(Inputs!$B$11-Inputs!$B$11),0))))/100+(Inputs!$B$23+(IF(ArtifactsInput!$M$15,CHOOSE(ArtifactsInput!$N$15+1,25,30,35,40,45,50)/100*(Inputs!$B$11-Inputs!$B$11),0)))/100)/2</f>
        <v/>
      </c>
      <c r="M2338">
        <f>L2338*(1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IF(B2368=0,0,O2338/B2368)</f>
        <v/>
      </c>
      <c r="Q2338">
        <f>IFERROR(1/IF(Inputs!$B$38="pvp",15,MAX(0.1,Skills!D6-IF(Skills!E6=TRUE,Inputs!$B$32,0))),0)</f>
        <v/>
      </c>
      <c r="R2338">
        <f>IF(AND(Inputs!$B$38&lt;&gt;"pvp",Inputs!$B$43&gt;0),IF(MAX(0,Inputs!$B$43-B2365)&lt;=0,0,(INT(MAX(0,Inputs!$B$43-B2365)/IF(Inputs!$B$38="pvp",15,MAX(0.1,Skills!D6-IF(Skills!E6=TRUE,Inputs!$B$32,0))))+1)),0)</f>
        <v/>
      </c>
      <c r="S2338">
        <f>IF(C2338,(H2338*N2338*IF(AND(Inputs!$B$38&lt;&gt;"pvp",Inputs!$B$43&gt;0),((Skills!F6*((R2338-1)*IF(Skills!G6&gt;0,Skills!H6/Skills!G6,1)+IF(Skills!G6&gt;0,MIN(Skills!H6,MAX(0,MAX(0,Inputs!$B$43-B2365)-((R2338-1)*IF(Inputs!$B$38="pvp",15,MAX(0.1,Skills!D6-IF(Skills!E6=TRUE,Inputs!$B$32,0))))))/Skills!G6,1)))/Inputs!$B$43),G2338*Q2338))*IF(Inputs!$B$38="pvp",1,1+(Inputs!$B$20+Skills!O6+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2338*(1-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F6*((R2338-1)*IF(Skills!G6&gt;0,Skills!H6/Skills!G6,1)+IF(Skills!G6&gt;0,MIN(Skills!H6,MAX(0,MAX(0,Inputs!$B$43-B2365)-((R2338-1)*IF(Inputs!$B$38="pvp",15,MAX(0.1,Skills!D6-IF(Skills!E6=TRUE,Inputs!$B$32,0))))))/Skills!G6,1)))/Inputs!$B$43),G2338*Q2338))*IF(Inputs!$B$38="pvp",1,(1+(Inputs!$B$21+Skills!P6+B2359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Skills!A7</f>
        <v/>
      </c>
      <c r="B2339">
        <f>Skills!B7</f>
        <v/>
      </c>
      <c r="C2339">
        <f>Inputs!$B$3&gt;=69</f>
        <v/>
      </c>
      <c r="D2339">
        <f>IF(Skills!C7=1,60+Inputs!$B$25+Inputs!$B$29,IF(Skills!C7=2,90+Inputs!$B$26+Inputs!$B$29,IF(Skills!C7=3,120+Inputs!$B$27+Inputs!$B$29,MAX(0,(Inputs!$B$3-100)*3)+Inputs!$B$28+Inputs!$B$29)))</f>
        <v/>
      </c>
      <c r="E2339">
        <f>INDEX(FactorTable!$B$2:$Y$301, MATCH(ROUND(MIN(300,MAX(1,D2339)),0), FactorTable!$A$2:$A$301,0), Skills!L7+1)</f>
        <v/>
      </c>
      <c r="F2339">
        <f>IF(Skills!M7=TRUE,(Skills!K7/10)*(E2339/1000),Skills!K7/10)+Skills!N7</f>
        <v/>
      </c>
      <c r="G2339">
        <f>Calc!G7</f>
        <v/>
      </c>
      <c r="H2339">
        <f>Calc!H7</f>
        <v/>
      </c>
      <c r="I2339">
        <f>IF(Skills!T7&lt;&gt;"",1+(Skills!T7/10)*(Z2335/1000)/100,1)</f>
        <v/>
      </c>
      <c r="J2339">
        <f>((Inputs!$B$6*(1+Inputs!$B$7/100))+(((Inputs!$B$12*(1+Inputs!$B$13/100))-(Inputs!$B$12*(1+Inputs!$B$13/100)))+0.25*(Inputs!$B$14-Inputs!$B$14))*(1+Inputs!$B$7/100))*(F2339/100)</f>
        <v/>
      </c>
      <c r="K2339">
        <f>J2339*(1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F2350-Calc!F18),(Inputs!$B$23+(IF(ArtifactsInput!$M$15,CHOOSE(ArtifactsInput!$N$15+1,25,30,35,40,45,50)/100*(Inputs!$B$11-Inputs!$B$11),0))))/100+(Inputs!$B$23+(IF(ArtifactsInput!$M$15,CHOOSE(ArtifactsInput!$N$15+1,25,30,35,40,45,50)/100*(Inputs!$B$11-Inputs!$B$11),0)))/100)/2</f>
        <v/>
      </c>
      <c r="M2339">
        <f>L2339*(1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(1-Summary!$B$11)*S2339+Summary!$B$11*U2339</f>
        <v/>
      </c>
      <c r="P2339">
        <f>IF(B2368=0,0,O2339/B2368)</f>
        <v/>
      </c>
      <c r="Q2339">
        <f>IFERROR(1/IF(Inputs!$B$38="pvp",15,MAX(0.1,Skills!D7-IF(Skills!E7=TRUE,Inputs!$B$32,0))),0)</f>
        <v/>
      </c>
      <c r="R2339">
        <f>IF(AND(Inputs!$B$38&lt;&gt;"pvp",Inputs!$B$43&gt;0),IF(MAX(0,Inputs!$B$43-B2365)&lt;=0,0,(INT(MAX(0,Inputs!$B$43-B2365)/IF(Inputs!$B$38="pvp",15,MAX(0.1,Skills!D7-IF(Skills!E7=TRUE,Inputs!$B$32,0))))+1)),0)</f>
        <v/>
      </c>
      <c r="S2339">
        <f>IF(C2339,(H2339*N2339*IF(AND(Inputs!$B$38&lt;&gt;"pvp",Inputs!$B$43&gt;0),((Skills!F7*((R2339-1)*IF(Skills!G7&gt;0,Skills!H7/Skills!G7,1)+IF(Skills!G7&gt;0,MIN(Skills!H7,MAX(0,MAX(0,Inputs!$B$43-B2365)-((R2339-1)*IF(Inputs!$B$38="pvp",15,MAX(0.1,Skills!D7-IF(Skills!E7=TRUE,Inputs!$B$32,0))))))/Skills!G7,1)))/Inputs!$B$43),G2339*Q2339))*IF(Inputs!$B$38="pvp",1,1+(Inputs!$B$20+Skills!O7+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2339*(1-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9">
        <f>IF(C2339,(H2339*N2339*IF(AND(Inputs!$B$38&lt;&gt;"pvp",Inputs!$B$43&gt;0),((Skills!F7*((R2339-1)*IF(Skills!G7&gt;0,Skills!H7/Skills!G7,1)+IF(Skills!G7&gt;0,MIN(Skills!H7,MAX(0,MAX(0,Inputs!$B$43-B2365)-((R2339-1)*IF(Inputs!$B$38="pvp",15,MAX(0.1,Skills!D7-IF(Skills!E7=TRUE,Inputs!$B$32,0))))))/Skills!G7,1)))/Inputs!$B$43),G2339*Q2339))*IF(Inputs!$B$38="pvp",1,(1+(Inputs!$B$21+Skills!P7+B2359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Skills!A8</f>
        <v/>
      </c>
      <c r="B2340">
        <f>Skills!B8</f>
        <v/>
      </c>
      <c r="C2340">
        <f>Inputs!$B$3&gt;=103</f>
        <v/>
      </c>
      <c r="D2340">
        <f>IF(Skills!C8=1,60+Inputs!$B$25+Inputs!$B$29,IF(Skills!C8=2,90+Inputs!$B$26+Inputs!$B$29,IF(Skills!C8=3,120+Inputs!$B$27+Inputs!$B$29,MAX(0,(Inputs!$B$3-100)*3)+Inputs!$B$28+Inputs!$B$29)))</f>
        <v/>
      </c>
      <c r="E2340">
        <f>INDEX(FactorTable!$B$2:$Y$301, MATCH(ROUND(MIN(300,MAX(1,D2340)),0), FactorTable!$A$2:$A$301,0), Skills!L8+1)</f>
        <v/>
      </c>
      <c r="F2340">
        <f>IF(Skills!M8=TRUE,(Skills!K8/10)*(E2340/1000),Skills!K8/10)+Skills!N8</f>
        <v/>
      </c>
      <c r="G2340">
        <f>Calc!G8</f>
        <v/>
      </c>
      <c r="H2340">
        <f>Calc!H8</f>
        <v/>
      </c>
      <c r="I2340">
        <f>IF(Skills!T8&lt;&gt;"",1+(Skills!T8/10)*(Z2335/1000)/100,1)</f>
        <v/>
      </c>
      <c r="J2340">
        <f>((Inputs!$B$6*(1+Inputs!$B$7/100))+(((Inputs!$B$12*(1+Inputs!$B$13/100))-(Inputs!$B$12*(1+Inputs!$B$13/100)))+0.25*(Inputs!$B$14-Inputs!$B$14))*(1+Inputs!$B$7/100))*(F2340/100)</f>
        <v/>
      </c>
      <c r="K2340">
        <f>J2340*(1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F2350-Calc!F18),(Inputs!$B$23+(IF(ArtifactsInput!$M$15,CHOOSE(ArtifactsInput!$N$15+1,25,30,35,40,45,50)/100*(Inputs!$B$11-Inputs!$B$11),0))))/100+(Inputs!$B$23+(IF(ArtifactsInput!$M$15,CHOOSE(ArtifactsInput!$N$15+1,25,30,35,40,45,50)/100*(Inputs!$B$11-Inputs!$B$11),0)))/100)/2</f>
        <v/>
      </c>
      <c r="M2340">
        <f>L2340*(1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(1-Summary!$B$11)*S2340+Summary!$B$11*U2340</f>
        <v/>
      </c>
      <c r="P2340">
        <f>IF(B2368=0,0,O2340/B2368)</f>
        <v/>
      </c>
      <c r="Q2340">
        <f>IFERROR(1/IF(Inputs!$B$38="pvp",15,MAX(0.1,Skills!D8-IF(Skills!E8=TRUE,Inputs!$B$32,0))),0)</f>
        <v/>
      </c>
      <c r="R2340">
        <f>IF(AND(Inputs!$B$38&lt;&gt;"pvp",Inputs!$B$43&gt;0),IF(MAX(0,Inputs!$B$43-B2365)&lt;=0,0,(INT(MAX(0,Inputs!$B$43-B2365)/IF(Inputs!$B$38="pvp",15,MAX(0.1,Skills!D8-IF(Skills!E8=TRUE,Inputs!$B$32,0))))+1)),0)</f>
        <v/>
      </c>
      <c r="S2340">
        <f>IF(C2340,(H2340*N2340*IF(AND(Inputs!$B$38&lt;&gt;"pvp",Inputs!$B$43&gt;0),((Skills!F8*((R2340-1)*IF(Skills!G8&gt;0,Skills!H8/Skills!G8,1)+IF(Skills!G8&gt;0,MIN(Skills!H8,MAX(0,MAX(0,Inputs!$B$43-B2365)-((R2340-1)*IF(Inputs!$B$38="pvp",15,MAX(0.1,Skills!D8-IF(Skills!E8=TRUE,Inputs!$B$32,0))))))/Skills!G8,1)))/Inputs!$B$43),G2340*Q2340))*IF(Inputs!$B$38="pvp",1,1+(Inputs!$B$20+Skills!O8+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2340*(1-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0">
        <f>IF(C2340,(H2340*N2340*IF(AND(Inputs!$B$38&lt;&gt;"pvp",Inputs!$B$43&gt;0),((Skills!F8*((R2340-1)*IF(Skills!G8&gt;0,Skills!H8/Skills!G8,1)+IF(Skills!G8&gt;0,MIN(Skills!H8,MAX(0,MAX(0,Inputs!$B$43-B2365)-((R2340-1)*IF(Inputs!$B$38="pvp",15,MAX(0.1,Skills!D8-IF(Skills!E8=TRUE,Inputs!$B$32,0))))))/Skills!G8,1)))/Inputs!$B$43),G2340*Q2340))*IF(Inputs!$B$38="pvp",1,(1+(Inputs!$B$21+Skills!P8+B2359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Skills!A9</f>
        <v/>
      </c>
      <c r="B2341">
        <f>Skills!B9</f>
        <v/>
      </c>
      <c r="C2341">
        <f>Inputs!$B$3&gt;=105</f>
        <v/>
      </c>
      <c r="D2341">
        <f>IF(Skills!C9=1,60+Inputs!$B$25+Inputs!$B$29,IF(Skills!C9=2,90+Inputs!$B$26+Inputs!$B$29,IF(Skills!C9=3,120+Inputs!$B$27+Inputs!$B$29,MAX(0,(Inputs!$B$3-100)*3)+Inputs!$B$28+Inputs!$B$29)))</f>
        <v/>
      </c>
      <c r="E2341">
        <f>INDEX(FactorTable!$B$2:$Y$301, MATCH(ROUND(MIN(300,MAX(1,D2341)),0), FactorTable!$A$2:$A$301,0), Skills!L9+1)</f>
        <v/>
      </c>
      <c r="F2341">
        <f>IF(Skills!M9=TRUE,(Skills!K9/10)*(E2341/1000),Skills!K9/10)+Skills!N9</f>
        <v/>
      </c>
      <c r="G2341">
        <f>Calc!G9</f>
        <v/>
      </c>
      <c r="H2341">
        <f>Calc!H9</f>
        <v/>
      </c>
      <c r="I2341">
        <f>IF(Skills!T9&lt;&gt;"",1+(Skills!T9/10)*(Z2335/1000)/100,1)</f>
        <v/>
      </c>
      <c r="J2341">
        <f>((Inputs!$B$6*(1+Inputs!$B$7/100))+(((Inputs!$B$12*(1+Inputs!$B$13/100))-(Inputs!$B$12*(1+Inputs!$B$13/100)))+0.25*(Inputs!$B$14-Inputs!$B$14))*(1+Inputs!$B$7/100))*(F2341/100)</f>
        <v/>
      </c>
      <c r="K2341">
        <f>J2341*(1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F2350-Calc!F18),(Inputs!$B$23+(IF(ArtifactsInput!$M$15,CHOOSE(ArtifactsInput!$N$15+1,25,30,35,40,45,50)/100*(Inputs!$B$11-Inputs!$B$11),0))))/100+(Inputs!$B$23+(IF(ArtifactsInput!$M$15,CHOOSE(ArtifactsInput!$N$15+1,25,30,35,40,45,50)/100*(Inputs!$B$11-Inputs!$B$11),0)))/100)/2</f>
        <v/>
      </c>
      <c r="M2341">
        <f>L2341*(1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(1-Summary!$B$11)*S2341+Summary!$B$11*U2341</f>
        <v/>
      </c>
      <c r="P2341">
        <f>IF(B2368=0,0,O2341/B2368)</f>
        <v/>
      </c>
      <c r="Q2341">
        <f>IFERROR(1/IF(Inputs!$B$38="pvp",15,MAX(0.1,Skills!D9-IF(Skills!E9=TRUE,Inputs!$B$32,0))),0)</f>
        <v/>
      </c>
      <c r="R2341">
        <f>IF(AND(Inputs!$B$38&lt;&gt;"pvp",Inputs!$B$43&gt;0),IF(MAX(0,Inputs!$B$43-B2365)&lt;=0,0,(INT(MAX(0,Inputs!$B$43-B2365)/IF(Inputs!$B$38="pvp",15,MAX(0.1,Skills!D9-IF(Skills!E9=TRUE,Inputs!$B$32,0))))+1)),0)</f>
        <v/>
      </c>
      <c r="S2341">
        <f>IF(C2341,(H2341*N2341*IF(AND(Inputs!$B$38&lt;&gt;"pvp",Inputs!$B$43&gt;0),((Skills!F9*((R2341-1)*IF(Skills!G9&gt;0,Skills!H9/Skills!G9,1)+IF(Skills!G9&gt;0,MIN(Skills!H9,MAX(0,MAX(0,Inputs!$B$43-B2365)-((R2341-1)*IF(Inputs!$B$38="pvp",15,MAX(0.1,Skills!D9-IF(Skills!E9=TRUE,Inputs!$B$32,0))))))/Skills!G9,1)))/Inputs!$B$43),G2341*Q2341))*IF(Inputs!$B$38="pvp",1,1+(Inputs!$B$20+Skills!O9+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2341*(1-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IF(C2341,(H2341*N2341*IF(AND(Inputs!$B$38&lt;&gt;"pvp",Inputs!$B$43&gt;0),((Skills!F9*((R2341-1)*IF(Skills!G9&gt;0,Skills!H9/Skills!G9,1)+IF(Skills!G9&gt;0,MIN(Skills!H9,MAX(0,MAX(0,Inputs!$B$43-B2365)-((R2341-1)*IF(Inputs!$B$38="pvp",15,MAX(0.1,Skills!D9-IF(Skills!E9=TRUE,Inputs!$B$32,0))))))/Skills!G9,1)))/Inputs!$B$43),G2341*Q2341))*IF(Inputs!$B$38="pvp",1,(1+(Inputs!$B$21+Skills!P9+B2359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Skills!A10</f>
        <v/>
      </c>
      <c r="B2342">
        <f>Skills!B10</f>
        <v/>
      </c>
      <c r="C2342">
        <f>Inputs!$B$3&gt;=113</f>
        <v/>
      </c>
      <c r="D2342">
        <f>IF(Skills!C10=1,60+Inputs!$B$25+Inputs!$B$29,IF(Skills!C10=2,90+Inputs!$B$26+Inputs!$B$29,IF(Skills!C10=3,120+Inputs!$B$27+Inputs!$B$29,MAX(0,(Inputs!$B$3-100)*3)+Inputs!$B$28+Inputs!$B$29)))</f>
        <v/>
      </c>
      <c r="E2342">
        <f>INDEX(FactorTable!$B$2:$Y$301, MATCH(ROUND(MIN(300,MAX(1,D2342)),0), FactorTable!$A$2:$A$301,0), Skills!L10+1)</f>
        <v/>
      </c>
      <c r="F2342">
        <f>IF(Skills!M10=TRUE,(Skills!K10/10)*(E2342/1000),Skills!K10/10)+Skills!N10</f>
        <v/>
      </c>
      <c r="G2342">
        <f>Calc!G10</f>
        <v/>
      </c>
      <c r="H2342">
        <f>Calc!H10</f>
        <v/>
      </c>
      <c r="I2342">
        <f>IF(Skills!T10&lt;&gt;"",1+(Skills!T10/10)*(Z2335/1000)/100,1)</f>
        <v/>
      </c>
      <c r="J2342">
        <f>((Inputs!$B$6*(1+Inputs!$B$7/100))+(((Inputs!$B$12*(1+Inputs!$B$13/100))-(Inputs!$B$12*(1+Inputs!$B$13/100)))+0.25*(Inputs!$B$14-Inputs!$B$14))*(1+Inputs!$B$7/100))*(F2342/100)</f>
        <v/>
      </c>
      <c r="K2342">
        <f>J2342*(1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2350-Calc!F18),(Inputs!$B$23+(IF(ArtifactsInput!$M$15,CHOOSE(ArtifactsInput!$N$15+1,25,30,35,40,45,50)/100*(Inputs!$B$11-Inputs!$B$11),0))))/100+(Inputs!$B$23+(IF(ArtifactsInput!$M$15,CHOOSE(ArtifactsInput!$N$15+1,25,30,35,40,45,50)/100*(Inputs!$B$11-Inputs!$B$11),0)))/100)/2</f>
        <v/>
      </c>
      <c r="M2342">
        <f>L2342*(1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IF(B2368=0,0,O2342/B2368)</f>
        <v/>
      </c>
      <c r="Q2342">
        <f>IFERROR(1/IF(Inputs!$B$38="pvp",15,MAX(0.1,Skills!D10-IF(Skills!E9=TRUE,Inputs!$B$32,0))),0)</f>
        <v/>
      </c>
      <c r="R2342">
        <f>IF(AND(Inputs!$B$38&lt;&gt;"pvp",Inputs!$B$43&gt;0),IF(MAX(0,Inputs!$B$43-B2365)&lt;=0,0,(INT(MAX(0,Inputs!$B$43-B2365)/IF(Inputs!$B$38="pvp",15,MAX(0.1,Skills!D10-IF(Skills!E9=TRUE,Inputs!$B$32,0))))+1)),0)</f>
        <v/>
      </c>
      <c r="S2342">
        <f>IF(C2342,(H2342*N2342*IF(AND(Inputs!$B$38&lt;&gt;"pvp",Inputs!$B$43&gt;0),((Skills!F10*((R2342-1)*IF(Skills!G10&gt;0,Skills!H10/Skills!G10,1)+IF(Skills!G10&gt;0,MIN(Skills!H10,MAX(0,MAX(0,Inputs!$B$43-B2365)-((R2342-1)*IF(Inputs!$B$38="pvp",15,MAX(0.1,Skills!D10-IF(Skills!E9=TRUE,Inputs!$B$32,0))))))/Skills!G10,1)))/Inputs!$B$43),G2342*Q2342))*IF(Inputs!$B$38="pvp",1,1+(Inputs!$B$20+Skills!O10+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2342*(1-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F10*((R2342-1)*IF(Skills!G10&gt;0,Skills!H10/Skills!G10,1)+IF(Skills!G10&gt;0,MIN(Skills!H10,MAX(0,MAX(0,Inputs!$B$43-B2365)-((R2342-1)*IF(Inputs!$B$38="pvp",15,MAX(0.1,Skills!D10-IF(Skills!E9=TRUE,Inputs!$B$32,0))))))/Skills!G10,1)))/Inputs!$B$43),G2342*Q2342))*IF(Inputs!$B$38="pvp",1,(1+(Inputs!$B$21+Skills!P10+B2359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3">
      <c r="A2343">
        <f>Skills!A11</f>
        <v/>
      </c>
      <c r="B2343">
        <f>Skills!B11</f>
        <v/>
      </c>
      <c r="C2343">
        <f>Inputs!$B$3&gt;=107</f>
        <v/>
      </c>
      <c r="D2343">
        <f>IF(Skills!C11=1,60+Inputs!$B$25+Inputs!$B$29,IF(Skills!C11=2,90+Inputs!$B$26+Inputs!$B$29,IF(Skills!C11=3,120+Inputs!$B$27+Inputs!$B$29,MAX(0,(Inputs!$B$3-100)*3)+Inputs!$B$28+Inputs!$B$29)))</f>
        <v/>
      </c>
      <c r="E2343">
        <f>INDEX(FactorTable!$B$2:$Y$301, MATCH(ROUND(MIN(300,MAX(1,D2343)),0), FactorTable!$A$2:$A$301,0), Skills!L11+1)</f>
        <v/>
      </c>
      <c r="F2343">
        <f>IF(Skills!M11=TRUE,(Skills!K11/10)*(E2343/1000),Skills!K11/10)+Skills!N11</f>
        <v/>
      </c>
      <c r="G2343">
        <f>Calc!G11</f>
        <v/>
      </c>
      <c r="H2343">
        <f>Calc!H11</f>
        <v/>
      </c>
      <c r="I2343">
        <f>IF(Skills!T11&lt;&gt;"",1+(Skills!T11/10)*(Z2335/1000)/100,1)</f>
        <v/>
      </c>
      <c r="J2343">
        <f>((Inputs!$B$6*(1+Inputs!$B$7/100))+(((Inputs!$B$12*(1+Inputs!$B$13/100))-(Inputs!$B$12*(1+Inputs!$B$13/100)))+0.25*(Inputs!$B$14-Inputs!$B$14))*(1+Inputs!$B$7/100))*(F2343/100)</f>
        <v/>
      </c>
      <c r="K2343">
        <f>J2343*(1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F2350-Calc!F18),(Inputs!$B$23+(IF(ArtifactsInput!$M$15,CHOOSE(ArtifactsInput!$N$15+1,25,30,35,40,45,50)/100*(Inputs!$B$11-Inputs!$B$11),0))))/100+(Inputs!$B$23+(IF(ArtifactsInput!$M$15,CHOOSE(ArtifactsInput!$N$15+1,25,30,35,40,45,50)/100*(Inputs!$B$11-Inputs!$B$11),0)))/100)/2</f>
        <v/>
      </c>
      <c r="M2343">
        <f>L2343*(1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(1-Summary!$B$11)*S2343+Summary!$B$11*U2343</f>
        <v/>
      </c>
      <c r="P2343">
        <f>IF(B2368=0,0,O2343/B2368)</f>
        <v/>
      </c>
      <c r="Q2343">
        <f>IFERROR(1/IF(Inputs!$B$38="pvp",15,MAX(0.1,Skills!D11-IF(Skills!E11=TRUE,Inputs!$B$32,0))),0)</f>
        <v/>
      </c>
      <c r="R2343">
        <f>IF(AND(Inputs!$B$38&lt;&gt;"pvp",Inputs!$B$43&gt;0),IF(MAX(0,Inputs!$B$43-B2365)&lt;=0,0,(INT(MAX(0,Inputs!$B$43-B2365)/IF(Inputs!$B$38="pvp",15,MAX(0.1,Skills!D11-IF(Skills!E11=TRUE,Inputs!$B$32,0))))+1)),0)</f>
        <v/>
      </c>
      <c r="S2343">
        <f>IF(C2343,H2343*N2343*IF(AND(Inputs!$B$38&lt;&gt;"pvp",Inputs!$B$43&gt;0),((Skills!F11*((R2343-1)*IF(Skills!G11&gt;0,Skills!H11/Skills!G11,1)+IF(Skills!G11&gt;0,MIN(Skills!H11,MAX(0,MAX(0,Inputs!$B$43-B2365)-((R2343-1)*IF(Inputs!$B$38="pvp",15,MAX(0.1,Skills!D11-IF(Skills!E11=TRUE,Inputs!$B$32,0))))))/Skills!G11,1)))/Inputs!$B$43),G2343*Q2343)*0.5*IF(Inputs!$B$38="pvp",1,1+(Inputs!$B$20+Skills!O11+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2343*(1-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3">
        <f>IF(C2343,H2343*N2343*IF(AND(Inputs!$B$38&lt;&gt;"pvp",Inputs!$B$43&gt;0),((Skills!F11*((R2343-1)*IF(Skills!G11&gt;0,Skills!H11/Skills!G11,1)+IF(Skills!G11&gt;0,MIN(Skills!H11,MAX(0,MAX(0,Inputs!$B$43-B2365)-((R2343-1)*IF(Inputs!$B$38="pvp",15,MAX(0.1,Skills!D11-IF(Skills!E11=TRUE,Inputs!$B$32,0))))))/Skills!G11,1)))/Inputs!$B$43),G2343*Q2343)*1*IF(Inputs!$B$38="pvp",1,(1+(Inputs!$B$21+Skills!P11+B2359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Skills!A12</f>
        <v/>
      </c>
      <c r="B2344">
        <f>Skills!B12</f>
        <v/>
      </c>
      <c r="C2344">
        <f>Inputs!$B$3&gt;=115</f>
        <v/>
      </c>
      <c r="D2344">
        <f>IF(Skills!C12=1,60+Inputs!$B$25+Inputs!$B$29,IF(Skills!C12=2,90+Inputs!$B$26+Inputs!$B$29,IF(Skills!C12=3,120+Inputs!$B$27+Inputs!$B$29,MAX(0,(Inputs!$B$3-100)*3)+Inputs!$B$28+Inputs!$B$29)))</f>
        <v/>
      </c>
      <c r="E2344">
        <f>INDEX(FactorTable!$B$2:$Y$301, MATCH(ROUND(MIN(300,MAX(1,D2344)),0), FactorTable!$A$2:$A$301,0), Skills!L12+1)</f>
        <v/>
      </c>
      <c r="F2344">
        <f>IF(Skills!M12=TRUE,(Skills!K12/10)*(E2344/1000),Skills!K12/10)+Skills!N12</f>
        <v/>
      </c>
      <c r="G2344">
        <f>Calc!G12</f>
        <v/>
      </c>
      <c r="H2344">
        <f>Calc!H12</f>
        <v/>
      </c>
      <c r="I2344">
        <f>IF(Skills!T12&lt;&gt;"",1+(Skills!T12/10)*(Z2335/1000)/100,1)</f>
        <v/>
      </c>
      <c r="J2344">
        <f>((Inputs!$B$6*(1+Inputs!$B$7/100))+(((Inputs!$B$12*(1+Inputs!$B$13/100))-(Inputs!$B$12*(1+Inputs!$B$13/100)))+0.25*(Inputs!$B$14-Inputs!$B$14))*(1+Inputs!$B$7/100))*(F2344/100)</f>
        <v/>
      </c>
      <c r="K2344">
        <f>J2344*(1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F2350-Calc!F18),(Inputs!$B$23+(IF(ArtifactsInput!$M$15,CHOOSE(ArtifactsInput!$N$15+1,25,30,35,40,45,50)/100*(Inputs!$B$11-Inputs!$B$11),0))))/100+(Inputs!$B$23+(IF(ArtifactsInput!$M$15,CHOOSE(ArtifactsInput!$N$15+1,25,30,35,40,45,50)/100*(Inputs!$B$11-Inputs!$B$11),0)))/100)/2</f>
        <v/>
      </c>
      <c r="M2344">
        <f>L2344*(1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(1-Summary!$B$11)*S2344+Summary!$B$11*U2344</f>
        <v/>
      </c>
      <c r="P2344">
        <f>IF(B2368=0,0,O2344/B2368)</f>
        <v/>
      </c>
      <c r="Q2344">
        <f>IFERROR(1/IF(Inputs!$B$38="pvp",15,MAX(0.1,Skills!D12-IF(Skills!E12=TRUE,Inputs!$B$32,0))),0)</f>
        <v/>
      </c>
      <c r="R2344">
        <f>IF(AND(Inputs!$B$38&lt;&gt;"pvp",Inputs!$B$43&gt;0),IF(MAX(0,Inputs!$B$43-B2365)&lt;=0,0,(INT(MAX(0,Inputs!$B$43-B2365)/IF(Inputs!$B$38="pvp",15,MAX(0.1,Skills!D12-IF(Skills!E12=TRUE,Inputs!$B$32,0))))+1)),0)</f>
        <v/>
      </c>
      <c r="S2344">
        <f>IF(C2344,(H2344*N2344*IF(AND(Inputs!$B$38&lt;&gt;"pvp",Inputs!$B$43&gt;0),((Skills!F12*((R2344-1)*IF(Skills!G12&gt;0,Skills!H12/Skills!G12,1)+IF(Skills!G12&gt;0,MIN(Skills!H12,MAX(0,MAX(0,Inputs!$B$43-B2365)-((R2344-1)*IF(Inputs!$B$38="pvp",15,MAX(0.1,Skills!D12-IF(Skills!E12=TRUE,Inputs!$B$32,0))))))/Skills!G12,1)))/Inputs!$B$43),G2344*Q2344))*IF(Inputs!$B$38="pvp",1,1+(Inputs!$B$20+Skills!O12+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4">
        <f>IF(C2344,(H2344*N2344*IF(AND(Inputs!$B$38&lt;&gt;"pvp",Inputs!$B$43&gt;0),((Skills!F12*((R2344-1)*IF(Skills!G12&gt;0,Skills!H12/Skills!G12,1)+IF(Skills!G12&gt;0,MIN(Skills!H12,MAX(0,MAX(0,Inputs!$B$43-B2365)-((R2344-1)*IF(Inputs!$B$38="pvp",15,MAX(0.1,Skills!D12-IF(Skills!E12=TRUE,Inputs!$B$32,0))))))/Skills!G12,1)))/Inputs!$B$43),G2344*Q2344))*IF(Inputs!$B$38="pvp",1,(1+(Inputs!$B$21+Skills!P12+B2359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Skills!A13</f>
        <v/>
      </c>
      <c r="B2345">
        <f>Skills!B13</f>
        <v/>
      </c>
      <c r="C2345">
        <f>Inputs!$B$3&gt;=49</f>
        <v/>
      </c>
      <c r="D2345">
        <f>IF(Skills!C13=1,60+Inputs!$B$25+Inputs!$B$29,IF(Skills!C13=2,90+Inputs!$B$26+Inputs!$B$29,IF(Skills!C13=3,120+Inputs!$B$27+Inputs!$B$29,MAX(0,(Inputs!$B$3-100)*3)+Inputs!$B$28+Inputs!$B$29)))</f>
        <v/>
      </c>
      <c r="E2345">
        <f>INDEX(FactorTable!$B$2:$Y$301, MATCH(ROUND(MIN(300,MAX(1,D2345)),0), FactorTable!$A$2:$A$301,0), Skills!L13+1)</f>
        <v/>
      </c>
      <c r="F2345">
        <f>IF(Skills!M13=TRUE,(Skills!K13/10)*(E2345/1000),Skills!K13/10)+Skills!N13</f>
        <v/>
      </c>
      <c r="G2345">
        <f>Calc!G13</f>
        <v/>
      </c>
      <c r="H2345">
        <f>Calc!H13</f>
        <v/>
      </c>
      <c r="I2345">
        <f>IF(Skills!T13&lt;&gt;"",1+(Skills!T13/10)*(Z2335/1000)/100,1)</f>
        <v/>
      </c>
      <c r="J2345" t="inlineStr"/>
      <c r="K2345" t="inlineStr"/>
      <c r="L2345" t="inlineStr"/>
      <c r="M2345" t="inlineStr"/>
      <c r="N2345" t="inlineStr"/>
      <c r="O2345">
        <f>(1-Summary!$B$11)*S2345+Summary!$B$11*U2345</f>
        <v/>
      </c>
      <c r="P2345">
        <f>IF(B2368=0,0,O2345/B2368)</f>
        <v/>
      </c>
      <c r="Q2345">
        <f>IFERROR(1/IF(Inputs!$B$38="pvp",15,MAX(0.1,Skills!D13-IF(Skills!E13=TRUE,Inputs!$B$32,0))),0)</f>
        <v/>
      </c>
      <c r="R2345" t="n">
        <v>0</v>
      </c>
      <c r="S2345" t="n">
        <v>0</v>
      </c>
      <c r="U2345" t="n">
        <v>0</v>
      </c>
    </row>
    <row r="2346">
      <c r="A2346">
        <f>Skills!A14</f>
        <v/>
      </c>
      <c r="B2346">
        <f>Skills!B14</f>
        <v/>
      </c>
      <c r="C2346">
        <f>Inputs!$B$3&gt;=72</f>
        <v/>
      </c>
      <c r="D2346">
        <f>IF(Skills!C14=1,60+Inputs!$B$25+Inputs!$B$29,IF(Skills!C14=2,90+Inputs!$B$26+Inputs!$B$29,IF(Skills!C14=3,120+Inputs!$B$27+Inputs!$B$29,MAX(0,(Inputs!$B$3-100)*3)+Inputs!$B$28+Inputs!$B$29)))</f>
        <v/>
      </c>
      <c r="E2346">
        <f>INDEX(FactorTable!$B$2:$Y$301, MATCH(ROUND(MIN(300,MAX(1,D2346)),0), FactorTable!$A$2:$A$301,0), Skills!L14+1)</f>
        <v/>
      </c>
      <c r="F2346">
        <f>IF(Skills!M14=TRUE,(Skills!K14/10)*(E2346/1000),Skills!K14/10)+Skills!N14</f>
        <v/>
      </c>
      <c r="G2346">
        <f>Calc!G14</f>
        <v/>
      </c>
      <c r="H2346">
        <f>Calc!H14</f>
        <v/>
      </c>
      <c r="I2346">
        <f>IF(Skills!T14&lt;&gt;"",1+(Skills!T14/10)*(Z2335/1000)/100,1)</f>
        <v/>
      </c>
      <c r="J2346" t="inlineStr"/>
      <c r="K2346" t="inlineStr"/>
      <c r="L2346" t="inlineStr"/>
      <c r="M2346" t="inlineStr"/>
      <c r="N2346" t="inlineStr"/>
      <c r="O2346">
        <f>(1-Summary!$B$11)*S2346+Summary!$B$11*U2346</f>
        <v/>
      </c>
      <c r="P2346">
        <f>IF(B2368=0,0,O2346/B2368)</f>
        <v/>
      </c>
      <c r="Q2346">
        <f>IFERROR(1/IF(Inputs!$B$38="pvp",15,MAX(0.1,Skills!D14-IF(Skills!E14=TRUE,Inputs!$B$32,0))),0)</f>
        <v/>
      </c>
      <c r="R2346" t="n">
        <v>0</v>
      </c>
      <c r="S2346" t="n">
        <v>0</v>
      </c>
      <c r="U2346" t="n">
        <v>0</v>
      </c>
    </row>
    <row r="2347">
      <c r="A2347">
        <f>Skills!A15</f>
        <v/>
      </c>
      <c r="B2347">
        <f>Skills!B15</f>
        <v/>
      </c>
      <c r="C2347">
        <f>Inputs!$B$3&gt;=75</f>
        <v/>
      </c>
      <c r="D2347">
        <f>IF(Skills!C15=1,60+Inputs!$B$25+Inputs!$B$29,IF(Skills!C15=2,90+Inputs!$B$26+Inputs!$B$29,IF(Skills!C15=3,120+Inputs!$B$27+Inputs!$B$29,MAX(0,(Inputs!$B$3-100)*3)+Inputs!$B$28+Inputs!$B$29)))</f>
        <v/>
      </c>
      <c r="E2347">
        <f>INDEX(FactorTable!$B$2:$Y$301, MATCH(ROUND(MIN(300,MAX(1,D2347)),0), FactorTable!$A$2:$A$301,0), Skills!L15+1)</f>
        <v/>
      </c>
      <c r="F2347">
        <f>IF(Skills!M15=TRUE,(Skills!K15/10)*(E2347/1000),Skills!K15/10)+Skills!N15</f>
        <v/>
      </c>
      <c r="G2347">
        <f>Calc!G15</f>
        <v/>
      </c>
      <c r="H2347">
        <f>Calc!H15</f>
        <v/>
      </c>
      <c r="I2347">
        <f>IF(Skills!T15&lt;&gt;"",1+(Skills!T15/10)*(Z2335/1000)/100,1)</f>
        <v/>
      </c>
      <c r="J2347" t="inlineStr"/>
      <c r="K2347" t="inlineStr"/>
      <c r="L2347" t="inlineStr"/>
      <c r="M2347" t="inlineStr"/>
      <c r="N2347" t="inlineStr"/>
      <c r="O2347">
        <f>(1-Summary!$B$11)*S2347+Summary!$B$11*U2347</f>
        <v/>
      </c>
      <c r="P2347">
        <f>IF(B2368=0,0,O2347/B2368)</f>
        <v/>
      </c>
      <c r="Q2347">
        <f>IFERROR(1/IF(Inputs!$B$38="pvp",15,MAX(0.1,Skills!D15-IF(Skills!E15=TRUE,Inputs!$B$32,0))),0)</f>
        <v/>
      </c>
      <c r="R2347" t="n">
        <v>0</v>
      </c>
      <c r="S2347" t="n">
        <v>0</v>
      </c>
      <c r="U2347" t="n">
        <v>0</v>
      </c>
    </row>
    <row r="2348">
      <c r="A2348">
        <f>Skills!A16</f>
        <v/>
      </c>
      <c r="B2348">
        <f>Skills!B16</f>
        <v/>
      </c>
      <c r="C2348">
        <f>Inputs!$B$3&gt;=110</f>
        <v/>
      </c>
      <c r="D2348">
        <f>IF(Skills!C16=1,60+Inputs!$B$25+Inputs!$B$29,IF(Skills!C16=2,90+Inputs!$B$26+Inputs!$B$29,IF(Skills!C16=3,120+Inputs!$B$27+Inputs!$B$29,MAX(0,(Inputs!$B$3-100)*3)+Inputs!$B$28+Inputs!$B$29)))</f>
        <v/>
      </c>
      <c r="E2348">
        <f>INDEX(FactorTable!$B$2:$Y$301, MATCH(ROUND(MIN(300,MAX(1,D2348)),0), FactorTable!$A$2:$A$301,0), Skills!L16+1)</f>
        <v/>
      </c>
      <c r="F2348">
        <f>(Skills!K16/10)*(E2348/1000)*64/45+Skills!N16</f>
        <v/>
      </c>
      <c r="G2348">
        <f>Calc!G16</f>
        <v/>
      </c>
      <c r="H2348">
        <f>Calc!H16</f>
        <v/>
      </c>
      <c r="I2348">
        <f>IF(Skills!T16&lt;&gt;"",1+(Skills!T16/10)*(Z2335/1000)/100,1)</f>
        <v/>
      </c>
      <c r="J2348" t="inlineStr"/>
      <c r="K2348" t="inlineStr"/>
      <c r="L2348" t="inlineStr"/>
      <c r="M2348" t="inlineStr"/>
      <c r="N2348" t="inlineStr"/>
      <c r="O2348">
        <f>(1-Summary!$B$11)*S2348+Summary!$B$11*U2348</f>
        <v/>
      </c>
      <c r="P2348">
        <f>IF(B2368=0,0,O2348/B2368)</f>
        <v/>
      </c>
      <c r="Q2348">
        <f>IFERROR(1/IF(Inputs!$B$38="pvp",15,MAX(0.1,Skills!D16-IF(Skills!E16=TRUE,Inputs!$B$32,0))),0)</f>
        <v/>
      </c>
      <c r="R2348">
        <f>IF(AND(Inputs!$B$38&lt;&gt;"pvp",Inputs!$B$43&gt;0),IF(Inputs!$B$43&lt;=0,0,(INT(Inputs!$B$43/IF(Inputs!$B$38="pvp",15,MAX(0.1,Skills!D16-IF(Skills!E16=TRUE,Inputs!$B$32,0))))+1)),0)</f>
        <v/>
      </c>
      <c r="S2348" t="n">
        <v>0</v>
      </c>
      <c r="U2348" t="n">
        <v>0</v>
      </c>
    </row>
    <row r="2349">
      <c r="A2349">
        <f>Skills!A17</f>
        <v/>
      </c>
      <c r="B2349">
        <f>Skills!B17</f>
        <v/>
      </c>
      <c r="C2349">
        <f>Inputs!$B$3&gt;=33</f>
        <v/>
      </c>
      <c r="D2349">
        <f>IF(Skills!C17=1,60+Inputs!$B$25+Inputs!$B$29,IF(Skills!C17=2,90+Inputs!$B$26+Inputs!$B$29,IF(Skills!C17=3,120+Inputs!$B$27+Inputs!$B$29,MAX(0,(Inputs!$B$3-100)*3)+Inputs!$B$28+Inputs!$B$29)))</f>
        <v/>
      </c>
      <c r="E2349">
        <f>INDEX(FactorTable!$B$2:$Y$301, MATCH(ROUND(MIN(300,MAX(1,D2349)),0), FactorTable!$A$2:$A$301,0), Skills!L17+1)</f>
        <v/>
      </c>
      <c r="F2349">
        <f>IF(Skills!M17=TRUE,(Skills!K17/10)*(E2349/1000),Skills!K17/10)+Skills!N17</f>
        <v/>
      </c>
      <c r="G2349">
        <f>Calc!G17</f>
        <v/>
      </c>
      <c r="H2349">
        <f>Calc!H17</f>
        <v/>
      </c>
      <c r="I2349">
        <f>IF(Skills!T17&lt;&gt;"",1+(Skills!T17/10)*(Z2335/1000)/100,1)</f>
        <v/>
      </c>
      <c r="J2349" t="inlineStr"/>
      <c r="K2349" t="inlineStr"/>
      <c r="L2349" t="inlineStr"/>
      <c r="M2349" t="inlineStr"/>
      <c r="N2349" t="inlineStr"/>
      <c r="O2349">
        <f>(1-Summary!$B$11)*S2349+Summary!$B$11*U2349</f>
        <v/>
      </c>
      <c r="P2349">
        <f>IF(B2368=0,0,O2349/B2368)</f>
        <v/>
      </c>
      <c r="Q2349">
        <f>IFERROR(1/IF(Inputs!$B$38="pvp",15,MAX(0.1,Skills!D17-IF(Skills!E17=TRUE,Inputs!$B$32,0))),0)</f>
        <v/>
      </c>
      <c r="R2349" t="n">
        <v>0</v>
      </c>
      <c r="S2349" t="n">
        <v>0</v>
      </c>
      <c r="U2349" t="n">
        <v>0</v>
      </c>
    </row>
    <row r="2350">
      <c r="A2350">
        <f>Skills!A18</f>
        <v/>
      </c>
      <c r="B2350">
        <f>Skills!B18</f>
        <v/>
      </c>
      <c r="C2350">
        <f>Inputs!$B$3&gt;=43</f>
        <v/>
      </c>
      <c r="D2350">
        <f>IF(Skills!C18=1,60+Inputs!$B$25+Inputs!$B$29,IF(Skills!C18=2,90+Inputs!$B$26+Inputs!$B$29,IF(Skills!C18=3,120+Inputs!$B$27+Inputs!$B$29,MAX(0,(Inputs!$B$3-100)*3)+Inputs!$B$28+Inputs!$B$29)))</f>
        <v/>
      </c>
      <c r="E2350">
        <f>INDEX(FactorTable!$B$2:$Y$301, MATCH(ROUND(MIN(300,MAX(1,D2350)),0), FactorTable!$A$2:$A$301,0), Skills!L18+1)</f>
        <v/>
      </c>
      <c r="F2350">
        <f>IF(Skills!M18=TRUE,(Skills!K18/10)*(E2350/1000),Skills!K18/10)+Skills!N18</f>
        <v/>
      </c>
      <c r="G2350">
        <f>Calc!G18</f>
        <v/>
      </c>
      <c r="H2350">
        <f>Calc!H18</f>
        <v/>
      </c>
      <c r="I2350">
        <f>IF(Skills!T18&lt;&gt;"",1+(Skills!T18/10)*(Z2335/1000)/100,1)</f>
        <v/>
      </c>
      <c r="J2350" t="inlineStr"/>
      <c r="K2350" t="inlineStr"/>
      <c r="L2350" t="inlineStr"/>
      <c r="M2350" t="inlineStr"/>
      <c r="N2350" t="inlineStr"/>
      <c r="O2350">
        <f>(1-Summary!$B$11)*S2350+Summary!$B$11*U2350</f>
        <v/>
      </c>
      <c r="P2350">
        <f>IF(B2368=0,0,O2350/B2368)</f>
        <v/>
      </c>
      <c r="Q2350">
        <f>IFERROR(1/IF(Inputs!$B$38="pvp",15,MAX(0.1,Skills!D18-IF(Skills!E18=TRUE,Inputs!$B$32,0))),0)</f>
        <v/>
      </c>
      <c r="R2350" t="n">
        <v>0</v>
      </c>
      <c r="S2350" t="n">
        <v>0</v>
      </c>
      <c r="U2350" t="n">
        <v>0</v>
      </c>
    </row>
    <row r="2351">
      <c r="A2351">
        <f>Skills!A19</f>
        <v/>
      </c>
      <c r="B2351">
        <f>Skills!B19</f>
        <v/>
      </c>
      <c r="C2351">
        <f>Inputs!$B$3&gt;=50</f>
        <v/>
      </c>
      <c r="D2351">
        <f>IF(Skills!C19=1,60+Inputs!$B$25+Inputs!$B$29,IF(Skills!C19=2,90+Inputs!$B$26+Inputs!$B$29,IF(Skills!C19=3,120+Inputs!$B$27+Inputs!$B$29,MAX(0,(Inputs!$B$3-100)*3)+Inputs!$B$28+Inputs!$B$29)))</f>
        <v/>
      </c>
      <c r="E2351">
        <f>INDEX(FactorTable!$B$2:$Y$301, MATCH(ROUND(MIN(300,MAX(1,D2351)),0), FactorTable!$A$2:$A$301,0), Skills!L19+1)</f>
        <v/>
      </c>
      <c r="F2351">
        <f>IF(Skills!M19=TRUE,(Skills!K19/10)*(E2351/1000),Skills!K19/10)+Skills!N19</f>
        <v/>
      </c>
      <c r="G2351">
        <f>Calc!G19</f>
        <v/>
      </c>
      <c r="H2351">
        <f>Calc!H19</f>
        <v/>
      </c>
      <c r="I2351">
        <f>IF(Skills!T19&lt;&gt;"",1+(Skills!T19/10)*(Z2335/1000)/100,1)</f>
        <v/>
      </c>
      <c r="J2351" t="inlineStr"/>
      <c r="K2351" t="inlineStr"/>
      <c r="L2351" t="inlineStr"/>
      <c r="M2351" t="inlineStr"/>
      <c r="N2351" t="inlineStr"/>
      <c r="O2351">
        <f>(1-Summary!$B$11)*S2351+Summary!$B$11*U2351</f>
        <v/>
      </c>
      <c r="P2351">
        <f>IF(B2368=0,0,O2351/B2368)</f>
        <v/>
      </c>
      <c r="Q2351">
        <f>IFERROR(1/IF(Inputs!$B$38="pvp",15,MAX(0.1,Skills!D19-IF(Skills!E19=TRUE,Inputs!$B$32,0))),0)</f>
        <v/>
      </c>
      <c r="R2351" t="n">
        <v>0</v>
      </c>
      <c r="S2351" t="n">
        <v>0</v>
      </c>
      <c r="U2351" t="n">
        <v>0</v>
      </c>
    </row>
    <row r="2352">
      <c r="A2352">
        <f>Skills!A20</f>
        <v/>
      </c>
      <c r="B2352">
        <f>Skills!B20</f>
        <v/>
      </c>
      <c r="C2352">
        <f>Inputs!$B$3&gt;=74</f>
        <v/>
      </c>
      <c r="D2352">
        <f>IF(Skills!C20=1,60+Inputs!$B$25+Inputs!$B$29,IF(Skills!C20=2,90+Inputs!$B$26+Inputs!$B$29,IF(Skills!C20=3,120+Inputs!$B$27+Inputs!$B$29,MAX(0,(Inputs!$B$3-100)*3)+Inputs!$B$28+Inputs!$B$29)))</f>
        <v/>
      </c>
      <c r="E2352">
        <f>INDEX(FactorTable!$B$2:$Y$301, MATCH(ROUND(MIN(300,MAX(1,D2352)),0), FactorTable!$A$2:$A$301,0), Skills!L20+1)</f>
        <v/>
      </c>
      <c r="F2352">
        <f>IF(Skills!M20=TRUE,(Skills!K20/10)*(E2352/1000),Skills!K20/10)+Skills!N20</f>
        <v/>
      </c>
      <c r="G2352">
        <f>Calc!G20</f>
        <v/>
      </c>
      <c r="H2352">
        <f>Calc!H20</f>
        <v/>
      </c>
      <c r="I2352">
        <f>IF(Skills!T20&lt;&gt;"",1+(Skills!T20/10)*(Z2335/1000)/100,1)</f>
        <v/>
      </c>
      <c r="J2352" t="inlineStr"/>
      <c r="K2352" t="inlineStr"/>
      <c r="L2352" t="inlineStr"/>
      <c r="M2352" t="inlineStr"/>
      <c r="N2352" t="inlineStr"/>
      <c r="O2352">
        <f>(1-Summary!$B$11)*S2352+Summary!$B$11*U2352</f>
        <v/>
      </c>
      <c r="P2352">
        <f>IF(B2368=0,0,O2352/B2368)</f>
        <v/>
      </c>
      <c r="Q2352">
        <f>IFERROR(1/IF(Inputs!$B$38="pvp",15,MAX(0.1,Skills!D20-IF(Skills!E20=TRUE,Inputs!$B$32,0))),0)</f>
        <v/>
      </c>
      <c r="R2352" t="n">
        <v>0</v>
      </c>
      <c r="S2352" t="n">
        <v>0</v>
      </c>
      <c r="U2352" t="n">
        <v>0</v>
      </c>
    </row>
    <row r="2353">
      <c r="A2353">
        <f>Skills!A21</f>
        <v/>
      </c>
      <c r="B2353">
        <f>Skills!B21</f>
        <v/>
      </c>
      <c r="C2353">
        <f>Inputs!$B$3&gt;=74</f>
        <v/>
      </c>
      <c r="D2353">
        <f>IF(Skills!C21=1,60+Inputs!$B$25+Inputs!$B$29,IF(Skills!C21=2,90+Inputs!$B$26+Inputs!$B$29,IF(Skills!C21=3,120+Inputs!$B$27+Inputs!$B$29,MAX(0,(Inputs!$B$3-100)*3)+Inputs!$B$28+Inputs!$B$29)))</f>
        <v/>
      </c>
      <c r="E2353">
        <f>INDEX(FactorTable!$B$2:$Y$301, MATCH(ROUND(MIN(300,MAX(1,D2353)),0), FactorTable!$A$2:$A$301,0), Skills!L21+1)</f>
        <v/>
      </c>
      <c r="F2353">
        <f>IF(Skills!M21=TRUE,(Skills!K21/10)*(E2353/1000),Skills!K21/10)+Skills!N21</f>
        <v/>
      </c>
      <c r="G2353">
        <f>Calc!G21</f>
        <v/>
      </c>
      <c r="H2353">
        <f>Calc!H21</f>
        <v/>
      </c>
      <c r="I2353">
        <f>IF(Skills!T21&lt;&gt;"",1+(Skills!T21/10)*(Z2335/1000)/100,1)</f>
        <v/>
      </c>
      <c r="J2353" t="inlineStr"/>
      <c r="K2353" t="inlineStr"/>
      <c r="L2353" t="inlineStr"/>
      <c r="M2353" t="inlineStr"/>
      <c r="N2353" t="inlineStr"/>
      <c r="O2353">
        <f>(1-Summary!$B$11)*S2353+Summary!$B$11*U2353</f>
        <v/>
      </c>
      <c r="P2353">
        <f>IF(B2368=0,0,O2353/B2368)</f>
        <v/>
      </c>
      <c r="Q2353">
        <f>IFERROR(1/IF(Inputs!$B$38="pvp",15,MAX(0.1,Skills!D21-IF(Skills!E21=TRUE,Inputs!$B$32,0))),0)</f>
        <v/>
      </c>
      <c r="R2353" t="n">
        <v>0</v>
      </c>
      <c r="S2353" t="n">
        <v>0</v>
      </c>
      <c r="U2353" t="n">
        <v>0</v>
      </c>
    </row>
    <row r="2354">
      <c r="A2354">
        <f>Skills!A22</f>
        <v/>
      </c>
      <c r="B2354">
        <f>Skills!B22</f>
        <v/>
      </c>
      <c r="C2354">
        <f>Inputs!$B$3&gt;=117</f>
        <v/>
      </c>
      <c r="D2354">
        <f>IF(Skills!C22=1,60+Inputs!$B$25+Inputs!$B$29,IF(Skills!C22=2,90+Inputs!$B$26+Inputs!$B$29,IF(Skills!C22=3,120+Inputs!$B$27+Inputs!$B$29,MAX(0,(Inputs!$B$3-100)*3)+Inputs!$B$28+Inputs!$B$29)))</f>
        <v/>
      </c>
      <c r="E2354">
        <f>INDEX(FactorTable!$B$2:$Y$301, MATCH(ROUND(MIN(300,MAX(1,D2354)),0), FactorTable!$A$2:$A$301,0), Skills!L22+1)</f>
        <v/>
      </c>
      <c r="F2354">
        <f>IF(Skills!M22=TRUE,(Skills!K22/10)*(E2354/1000),Skills!K22/10)+Skills!N22</f>
        <v/>
      </c>
      <c r="G2354">
        <f>Calc!G22</f>
        <v/>
      </c>
      <c r="H2354">
        <f>Calc!H22</f>
        <v/>
      </c>
      <c r="I2354">
        <f>IF(Skills!T22&lt;&gt;"",1+(Skills!T22/10)*(Z2335/1000)/100,1)</f>
        <v/>
      </c>
      <c r="J2354" t="inlineStr"/>
      <c r="K2354" t="inlineStr"/>
      <c r="L2354" t="inlineStr"/>
      <c r="M2354" t="inlineStr"/>
      <c r="N2354" t="inlineStr"/>
      <c r="O2354">
        <f>(1-Summary!$B$11)*S2354+Summary!$B$11*U2354</f>
        <v/>
      </c>
      <c r="P2354">
        <f>IF(B2368=0,0,O2354/B2368)</f>
        <v/>
      </c>
      <c r="Q2354">
        <f>IFERROR(1/IF(Inputs!$B$38="pvp",15,MAX(0.1,Skills!D22-IF(Skills!E22=TRUE,Inputs!$B$32,0))),0)</f>
        <v/>
      </c>
      <c r="R2354" t="n">
        <v>0</v>
      </c>
      <c r="S2354" t="n">
        <v>0</v>
      </c>
      <c r="U2354" t="n">
        <v>0</v>
      </c>
    </row>
    <row r="2355">
      <c r="A2355">
        <f>Skills!A23</f>
        <v/>
      </c>
      <c r="B2355">
        <f>Skills!B23</f>
        <v/>
      </c>
      <c r="C2355">
        <f>Inputs!$B$3&gt;=120</f>
        <v/>
      </c>
      <c r="D2355">
        <f>IF(Skills!C23=1,60+Inputs!$B$25+Inputs!$B$29,IF(Skills!C23=2,90+Inputs!$B$26+Inputs!$B$29,IF(Skills!C23=3,120+Inputs!$B$27+Inputs!$B$29,MAX(0,(Inputs!$B$3-100)*3)+Inputs!$B$28+Inputs!$B$29)))</f>
        <v/>
      </c>
      <c r="E2355">
        <f>INDEX(FactorTable!$B$2:$Y$301, MATCH(ROUND(MIN(300,MAX(1,D2355)),0), FactorTable!$A$2:$A$301,0), Skills!L23+1)</f>
        <v/>
      </c>
      <c r="F2355">
        <f>IF(Skills!M23=TRUE,(Skills!K23/10)*(E2355/1000),Skills!K23/10)+Skills!N23</f>
        <v/>
      </c>
      <c r="G2355">
        <f>Calc!G23</f>
        <v/>
      </c>
      <c r="H2355">
        <f>Calc!H23</f>
        <v/>
      </c>
      <c r="I2355">
        <f>IF(Skills!T23&lt;&gt;"",1+(Skills!T23/10)*(Z2335/1000)/100,1)</f>
        <v/>
      </c>
      <c r="J2355" t="inlineStr"/>
      <c r="K2355" t="inlineStr"/>
      <c r="L2355" t="inlineStr"/>
      <c r="M2355" t="inlineStr"/>
      <c r="N2355" t="inlineStr"/>
      <c r="O2355">
        <f>(1-Summary!$B$11)*S2355+Summary!$B$11*U2355</f>
        <v/>
      </c>
      <c r="P2355">
        <f>IF(B2368=0,0,O2355/B2368)</f>
        <v/>
      </c>
      <c r="Q2355">
        <f>IFERROR(1/IF(Inputs!$B$38="pvp",15,MAX(0.1,Skills!D23-IF(Skills!E23=TRUE,Inputs!$B$32,0))),0)</f>
        <v/>
      </c>
      <c r="R2355" t="n">
        <v>0</v>
      </c>
      <c r="S2355" t="n">
        <v>0</v>
      </c>
      <c r="U2355" t="n">
        <v>0</v>
      </c>
    </row>
    <row r="2358">
      <c r="A2358" t="inlineStr">
        <is>
          <t>Average Buff Multiplier (Magic Guard + Meditation + Artifact Attack%, summed; then Infinity)</t>
        </is>
      </c>
      <c r="B2358">
        <f>(1+(IF(C2335=TRUE,F2335*IF(AND(Inputs!$B$38&lt;&gt;"pvp",Inputs!$B$43&gt;0),(((R2335-1)*(Skills!S3*(1+(Inputs!$B$34+IF(Inputs!$B$3&gt;=117,F2354,0))/100))+MIN((Skills!S3*(1+(Inputs!$B$34+IF(Inputs!$B$3&gt;=117,F2354,0))/100)),MAX(0,Inputs!$B$43-((R2335-1)*Skills!D3))))/Inputs!$B$43),IF(Inputs!$B$38="pvp",MIN((Skills!S3*(1+(Inputs!$B$34+IF(Inputs!$B$3&gt;=117,F2354,0))/100)),15)/15,(Skills!S3*(1+(Inputs!$B$34+IF(Inputs!$B$3&gt;=117,F2354,0))/100))/Skills!D3)),0)+IF(C2336=TRUE,F2336*IF(AND(Inputs!$B$38&lt;&gt;"pvp",Inputs!$B$43&gt;0),(((R2336-1)*(Skills!S4*(1+(Inputs!$B$34+IF(Inputs!$B$3&gt;=117,F2354,0))/100))+MIN((Skills!S4*(1+(Inputs!$B$34+IF(Inputs!$B$3&gt;=117,F2354,0))/100)),MAX(0,Inputs!$B$43-((R2336-1)*Skills!D4))))/Inputs!$B$43),IF(Inputs!$B$38="pvp",MIN((Skills!S4*(1+(Inputs!$B$34+IF(Inputs!$B$3&gt;=117,F2354,0))/100)),15)/15,(Skills!S4*(1+(Inputs!$B$34+IF(Inputs!$B$3&gt;=117,F2354,0)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2348=TRUE,(1+F2348*IF(AND(Inputs!$B$38&lt;&gt;"pvp",Inputs!$B$43&gt;0),(((R2348-1)*(Skills!S16*(1+(Inputs!$B$34+IF(Inputs!$B$3&gt;=117,F2354,0))/100))+MIN((Skills!S16*(1+(Inputs!$B$34+IF(Inputs!$B$3&gt;=117,F2354,0))/100)),MAX(0,Inputs!$B$43-((R2348-1)*Skills!D16))))/Inputs!$B$43),IF(Inputs!$B$38="pvp",MIN((Skills!S16*(1+(Inputs!$B$34+IF(Inputs!$B$3&gt;=117,F2354,0))/100)),15)/15,(Skills!S16*(1+(Inputs!$B$34+IF(Inputs!$B$3&gt;=117,F2354,0))/100))/Skills!D16))/100),1)</f>
        <v/>
      </c>
    </row>
    <row r="2359">
      <c r="A2359" t="inlineStr">
        <is>
          <t>Monster Damage Taken Bonus % (Freezing Breath - Weaken + Elemental Reset + Artifact Enemy Damage Taken, summed)</t>
        </is>
      </c>
      <c r="B2359">
        <f>IF(Inputs!$B$3&gt;=118,15*IF(Inputs!$B$38="pvp",MIN((30*(1+(Inputs!$B$34+IF(Inputs!$B$3&gt;=117,F2354,0))/100)),15)/15,(30*(1+(Inputs!$B$34+IF(Inputs!$B$3&gt;=117,F2354,0))/100))/Skills!D8),0)+IF(C2346=TRUE,F2346,0)+(IF(AND(ArtifactsInput!$M$35,Inputs!$B$4&lt;&gt;"Chapter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f>
        <v/>
      </c>
    </row>
    <row r="2360">
      <c r="A2360" t="inlineStr">
        <is>
          <t>Damage % Bonus (Frozen Break + Frost Clutch, flat)</t>
        </is>
      </c>
      <c r="B2360">
        <f>IF(Inputs!$B$3&gt;=66,15,0)+IF(Inputs!$B$3&gt;=98,10,0)+IF(Inputs!$B$3&gt;=125,20,0)</f>
        <v/>
      </c>
    </row>
    <row r="2361">
      <c r="A2361" t="inlineStr">
        <is>
          <t>Attack Speed Bonus % (MP Eater - MP Boost, always-on once unlocked)</t>
        </is>
      </c>
      <c r="B2361">
        <f>IF(C2345=TRUE,F2345+(F2349-Calc!F17),0)</f>
        <v/>
      </c>
    </row>
    <row r="2362">
      <c r="A2362" t="inlineStr">
        <is>
          <t>Actions Per Second</t>
        </is>
      </c>
      <c r="B2362">
        <f>1+MIN(150,150*(1-(1-(Inputs!$B$11+(ArtifactsInput!$M$15-ArtifactsInput!$M$15)*CHOOSE(ArtifactsInput!$N$15+1,8,9.6,11.2,12.8,14.4,16))/150)*(1-B2361/150)))/100</f>
        <v/>
      </c>
    </row>
    <row r="2363">
      <c r="A2363" t="inlineStr">
        <is>
          <t>Skill + Buff Cast Rate</t>
        </is>
      </c>
      <c r="B2363">
        <f>IF(AND(Inputs!$B$38&lt;&gt;"pvp",Inputs!$B$43&gt;0),SUMPRODUCT((Skills!E2:E23=TRUE)*(C2334:C2355=TRUE)*R2334:R2355)/Inputs!$B$43,SUMPRODUCT((Skills!E2:E23=TRUE)*(C2334:C2355=TRUE)*Q2334:Q2355))</f>
        <v/>
      </c>
    </row>
    <row r="2364">
      <c r="A2364" t="inlineStr">
        <is>
          <t>Chain Lightning Casts Per Second</t>
        </is>
      </c>
      <c r="B2364">
        <f>MAX(0,B2362-B2363)</f>
        <v/>
      </c>
    </row>
    <row r="2365">
      <c r="A2365" t="inlineStr">
        <is>
          <t>Buff-Casting Startup Delay (s, fixed-duration only)</t>
        </is>
      </c>
      <c r="B2365">
        <f>IF(AND(Inputs!$B$38&lt;&gt;"pvp",Inputs!$B$43&gt;0),SUMPRODUCT((Skills!S2:S23&gt;0)*(Skills!E2:E23=TRUE)*(C2334:C2355=TRUE))/B2362,0)</f>
        <v/>
      </c>
    </row>
    <row r="2366">
      <c r="A2366" t="inlineStr">
        <is>
          <t>Boss-Only Total DPS (this block's swept value)</t>
        </is>
      </c>
      <c r="B2366">
        <f>SUM(S2334:S2355)</f>
        <v/>
      </c>
    </row>
    <row r="2367">
      <c r="A2367" t="inlineStr">
        <is>
          <t>Normal-Only Total DPS (this block's swept value)</t>
        </is>
      </c>
      <c r="B2367">
        <f>SUM(U2334:U2355)</f>
        <v/>
      </c>
    </row>
    <row r="2368">
      <c r="A2368" s="6" t="inlineStr">
        <is>
          <t>TOTAL DPS</t>
        </is>
      </c>
      <c r="B2368" s="6">
        <f>SUM(O2334:O2355)</f>
        <v/>
      </c>
    </row>
    <row r="2371">
      <c r="A2371" s="6" t="inlineStr">
        <is>
          <t>Stat: Secret Map (Equip)</t>
        </is>
      </c>
    </row>
    <row r="2372">
      <c r="A2372" s="5" t="inlineStr">
        <is>
          <t>Key</t>
        </is>
      </c>
      <c r="B2372" s="5" t="inlineStr">
        <is>
          <t>Name</t>
        </is>
      </c>
      <c r="C2372" s="5" t="inlineStr">
        <is>
          <t>Unlocked</t>
        </is>
      </c>
      <c r="D2372" s="5" t="inlineStr">
        <is>
          <t>InputLevel</t>
        </is>
      </c>
      <c r="E2372" s="5" t="inlineStr">
        <is>
          <t>Factor</t>
        </is>
      </c>
      <c r="F2372" s="5" t="inlineStr">
        <is>
          <t>CoefficientPercent</t>
        </is>
      </c>
      <c r="G2372" s="5" t="inlineStr">
        <is>
          <t>EffectiveHits</t>
        </is>
      </c>
      <c r="H2372" s="5" t="inlineStr">
        <is>
          <t>ProcProbability</t>
        </is>
      </c>
      <c r="I2372" s="5" t="inlineStr">
        <is>
          <t>MapleHeroMultiplier</t>
        </is>
      </c>
      <c r="J2372" s="5" t="inlineStr">
        <is>
          <t>BaseDamage</t>
        </is>
      </c>
      <c r="K2372" s="5" t="inlineStr">
        <is>
          <t>BaseHitDamage</t>
        </is>
      </c>
      <c r="L2372" s="5" t="inlineStr">
        <is>
          <t>NonCritAvg</t>
        </is>
      </c>
      <c r="M2372" s="5" t="inlineStr">
        <is>
          <t>CritAvg</t>
        </is>
      </c>
      <c r="N2372" s="5" t="inlineStr">
        <is>
          <t>ExpectedDamage(perHit)</t>
        </is>
      </c>
      <c r="O2372" s="5" t="inlineStr">
        <is>
          <t>DPS</t>
        </is>
      </c>
      <c r="P2372" s="5" t="inlineStr">
        <is>
          <t>% of Total</t>
        </is>
      </c>
      <c r="R2372" t="inlineStr">
        <is>
          <t>helpers</t>
        </is>
      </c>
    </row>
    <row r="2373">
      <c r="A2373">
        <f>Skills!A2</f>
        <v/>
      </c>
      <c r="B2373">
        <f>Skills!B2</f>
        <v/>
      </c>
      <c r="C2373">
        <f>Inputs!$B$3&gt;=100</f>
        <v/>
      </c>
      <c r="D2373" t="inlineStr"/>
      <c r="E2373" t="inlineStr"/>
      <c r="F2373">
        <f>T2375+Skills!N2</f>
        <v/>
      </c>
      <c r="G2373">
        <f>Calc!G2</f>
        <v/>
      </c>
      <c r="H2373">
        <f>Calc!H2</f>
        <v/>
      </c>
      <c r="I2373">
        <f>IF(Skills!T2&lt;&gt;"",1+(Skills!T2/10)*(Z2374/1000)/100,1)</f>
        <v/>
      </c>
      <c r="J2373">
        <f>((Inputs!$B$6*(1+Inputs!$B$7/100))+(((Inputs!$B$12*(1+Inputs!$B$13/100))-(Inputs!$B$12*(1+Inputs!$B$13/100)))+0.25*(Inputs!$B$14-Inputs!$B$14))*(1+Inputs!$B$7/100))*(F2373/100)</f>
        <v/>
      </c>
      <c r="K2373">
        <f>J2373*(1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2389-Calc!F18),(Inputs!$B$23+(IF(ArtifactsInput!$M$15,CHOOSE(ArtifactsInput!$N$15+1,25,30,35,40,45,50)/100*(Inputs!$B$11-Inputs!$B$11),0))))/100+(Inputs!$B$23+(IF(ArtifactsInput!$M$15,CHOOSE(ArtifactsInput!$N$15+1,25,30,35,40,45,50)/100*(Inputs!$B$11-Inputs!$B$11),0)))/100)/2</f>
        <v/>
      </c>
      <c r="M2373">
        <f>L2373*(1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IF(B2407=0,0,O2373/B2407)</f>
        <v/>
      </c>
      <c r="Q2373">
        <f>IFERROR(1/IF(Inputs!$B$38="pvp",15,MAX(0.1,Skills!D2-IF(Skills!E2=TRUE,Inputs!$B$32,0))),0)</f>
        <v/>
      </c>
      <c r="R2373" t="n">
        <v>0</v>
      </c>
      <c r="S2373">
        <f>IF(C2373,(Skills!F2*N2373*B2403)*IF(Inputs!$B$38="pvp",1,1+(Inputs!$B$20+Skills!O2+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73">
        <f>MAX(0,(Inputs!$B$3-100)*3)+Inputs!$B$28+Inputs!$B$29</f>
        <v/>
      </c>
      <c r="U2373">
        <f>IF(C2373,(Skills!F2*N2373*B2403)*IF(Inputs!$B$38="pvp",1,(1+(Inputs!$B$21+Skills!P2+B2398+(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73">
        <f>MAX(0,(Inputs!$B$3-100)*3)+Inputs!$B$28+Inputs!$B$29</f>
        <v/>
      </c>
    </row>
    <row r="2374">
      <c r="A2374">
        <f>Skills!A3</f>
        <v/>
      </c>
      <c r="B2374">
        <f>Skills!B3</f>
        <v/>
      </c>
      <c r="C2374">
        <f>Inputs!$B$3&gt;=15</f>
        <v/>
      </c>
      <c r="D2374">
        <f>IF(Skills!C3=1,60+Inputs!$B$25+Inputs!$B$29,IF(Skills!C3=2,90+Inputs!$B$26+Inputs!$B$29,IF(Skills!C3=3,120+Inputs!$B$27+Inputs!$B$29,MAX(0,(Inputs!$B$3-100)*3)+Inputs!$B$28+Inputs!$B$29)))</f>
        <v/>
      </c>
      <c r="E2374">
        <f>INDEX(FactorTable!$B$2:$Y$301, MATCH(ROUND(MIN(300,MAX(1,D2374)),0), FactorTable!$A$2:$A$301,0), Skills!L3+1)</f>
        <v/>
      </c>
      <c r="F2374">
        <f>IF(Skills!M3=TRUE,(Skills!K3/10)*(E2374/1000),Skills!K3/10)+Skills!N3</f>
        <v/>
      </c>
      <c r="G2374">
        <f>Calc!G3</f>
        <v/>
      </c>
      <c r="H2374">
        <f>Calc!H3</f>
        <v/>
      </c>
      <c r="I2374">
        <f>IF(Skills!T3&lt;&gt;"",1+(Skills!T3/10)*(Z2374/1000)/100,1)</f>
        <v/>
      </c>
      <c r="J2374" t="inlineStr"/>
      <c r="K2374" t="inlineStr"/>
      <c r="L2374" t="inlineStr"/>
      <c r="M2374" t="inlineStr"/>
      <c r="N2374" t="inlineStr"/>
      <c r="O2374">
        <f>(1-Summary!$B$11)*S2374+Summary!$B$11*U2374</f>
        <v/>
      </c>
      <c r="P2374">
        <f>IF(B2407=0,0,O2374/B2407)</f>
        <v/>
      </c>
      <c r="Q2374">
        <f>IFERROR(1/IF(Inputs!$B$38="pvp",15,MAX(0.1,Skills!D3-IF(Skills!E3=TRUE,Inputs!$B$32,0))),0)</f>
        <v/>
      </c>
      <c r="R2374">
        <f>IF(AND(Inputs!$B$38&lt;&gt;"pvp",Inputs!$B$43&gt;0),IF(Inputs!$B$43&lt;=0,0,(INT(Inputs!$B$43/IF(Inputs!$B$38="pvp",15,MAX(0.1,Skills!D3-IF(Skills!E3=TRUE,Inputs!$B$32,0))))+1)),0)</f>
        <v/>
      </c>
      <c r="S2374" t="n">
        <v>0</v>
      </c>
      <c r="T2374">
        <f>INDEX(FactorTable!$B$2:$Y$301, MATCH(ROUND(MIN(300,MAX(1,T2373)),0), FactorTable!$A$2:$A$301,0), 22)</f>
        <v/>
      </c>
      <c r="U2374" t="n">
        <v>0</v>
      </c>
      <c r="Z2374">
        <f>INDEX(FactorTable!$B$2:$Y$301, MATCH(ROUND(MIN(300,MAX(1,Z2373)),0), FactorTable!$A$2:$A$301,0), 24)</f>
        <v/>
      </c>
    </row>
    <row r="2375">
      <c r="A2375">
        <f>Skills!A4</f>
        <v/>
      </c>
      <c r="B2375">
        <f>Skills!B4</f>
        <v/>
      </c>
      <c r="C2375">
        <f>Inputs!$B$3&gt;=40</f>
        <v/>
      </c>
      <c r="D2375">
        <f>IF(Skills!C4=1,60+Inputs!$B$25+Inputs!$B$29,IF(Skills!C4=2,90+Inputs!$B$26+Inputs!$B$29,IF(Skills!C4=3,120+Inputs!$B$27+Inputs!$B$29,MAX(0,(Inputs!$B$3-100)*3)+Inputs!$B$28+Inputs!$B$29)))</f>
        <v/>
      </c>
      <c r="E2375">
        <f>INDEX(FactorTable!$B$2:$Y$301, MATCH(ROUND(MIN(300,MAX(1,D2375)),0), FactorTable!$A$2:$A$301,0), Skills!L4+1)</f>
        <v/>
      </c>
      <c r="F2375">
        <f>IF(Skills!M4=TRUE,(Skills!K4/10)*(E2375/1000),Skills!K4/10)+Skills!N4</f>
        <v/>
      </c>
      <c r="G2375">
        <f>Calc!G4</f>
        <v/>
      </c>
      <c r="H2375">
        <f>Calc!H4</f>
        <v/>
      </c>
      <c r="I2375">
        <f>IF(Skills!T4&lt;&gt;"",1+(Skills!T4/10)*(Z2374/1000)/100,1)</f>
        <v/>
      </c>
      <c r="J2375" t="inlineStr"/>
      <c r="K2375" t="inlineStr"/>
      <c r="L2375" t="inlineStr"/>
      <c r="M2375" t="inlineStr"/>
      <c r="N2375" t="inlineStr"/>
      <c r="O2375">
        <f>(1-Summary!$B$11)*S2375+Summary!$B$11*U2375</f>
        <v/>
      </c>
      <c r="P2375">
        <f>IF(B2407=0,0,O2375/B2407)</f>
        <v/>
      </c>
      <c r="Q2375">
        <f>IFERROR(1/IF(Inputs!$B$38="pvp",15,MAX(0.1,Skills!D4-IF(Skills!E4=TRUE,Inputs!$B$32,0))),0)</f>
        <v/>
      </c>
      <c r="R2375">
        <f>IF(AND(Inputs!$B$38&lt;&gt;"pvp",Inputs!$B$43&gt;0),IF(Inputs!$B$43&lt;=0,0,(INT(Inputs!$B$43/IF(Inputs!$B$38="pvp",15,MAX(0.1,Skills!D4-IF(Skills!E4=TRUE,Inputs!$B$32,0))))+1)),0)</f>
        <v/>
      </c>
      <c r="S2375" t="n">
        <v>0</v>
      </c>
      <c r="T2375">
        <f>290*T2374/1000</f>
        <v/>
      </c>
      <c r="U2375" t="n">
        <v>0</v>
      </c>
    </row>
    <row r="2376">
      <c r="A2376">
        <f>Skills!A5</f>
        <v/>
      </c>
      <c r="B2376">
        <f>Skills!B5</f>
        <v/>
      </c>
      <c r="C2376">
        <f>Inputs!$B$3&gt;=38</f>
        <v/>
      </c>
      <c r="D2376">
        <f>IF(Skills!C5=1,60+Inputs!$B$25+Inputs!$B$29,IF(Skills!C5=2,90+Inputs!$B$26+Inputs!$B$29,IF(Skills!C5=3,120+Inputs!$B$27+Inputs!$B$29,MAX(0,(Inputs!$B$3-100)*3)+Inputs!$B$28+Inputs!$B$29)))</f>
        <v/>
      </c>
      <c r="E2376">
        <f>INDEX(FactorTable!$B$2:$Y$301, MATCH(ROUND(MIN(300,MAX(1,D2376)),0), FactorTable!$A$2:$A$301,0), Skills!L5+1)</f>
        <v/>
      </c>
      <c r="F2376">
        <f>IF(Skills!M5=TRUE,(Skills!K5/10)*(E2376/1000),Skills!K5/10)+Skills!N5</f>
        <v/>
      </c>
      <c r="G2376">
        <f>Calc!G5</f>
        <v/>
      </c>
      <c r="H2376">
        <f>Calc!H5</f>
        <v/>
      </c>
      <c r="I2376">
        <f>IF(Skills!T5&lt;&gt;"",1+(Skills!T5/10)*(Z2374/1000)/100,1)</f>
        <v/>
      </c>
      <c r="J2376">
        <f>((Inputs!$B$6*(1+Inputs!$B$7/100))+(((Inputs!$B$12*(1+Inputs!$B$13/100))-(Inputs!$B$12*(1+Inputs!$B$13/100)))+0.25*(Inputs!$B$14-Inputs!$B$14))*(1+Inputs!$B$7/100))*(F2376/100)</f>
        <v/>
      </c>
      <c r="K2376">
        <f>J2376*(1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F2389-Calc!F18),(Inputs!$B$23+(IF(ArtifactsInput!$M$15,CHOOSE(ArtifactsInput!$N$15+1,25,30,35,40,45,50)/100*(Inputs!$B$11-Inputs!$B$11),0))))/100+(Inputs!$B$23+(IF(ArtifactsInput!$M$15,CHOOSE(ArtifactsInput!$N$15+1,25,30,35,40,45,50)/100*(Inputs!$B$11-Inputs!$B$11),0)))/100)/2</f>
        <v/>
      </c>
      <c r="M2376">
        <f>L2376*(1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(1-Summary!$B$11)*S2376+Summary!$B$11*U2376</f>
        <v/>
      </c>
      <c r="P2376">
        <f>IF(B2407=0,0,O2376/B2407)</f>
        <v/>
      </c>
      <c r="Q2376">
        <f>IFERROR(1/IF(Inputs!$B$38="pvp",15,MAX(0.1,Skills!D5-IF(Skills!E5=TRUE,Inputs!$B$32,0))),0)</f>
        <v/>
      </c>
      <c r="R2376">
        <f>IF(AND(Inputs!$B$38&lt;&gt;"pvp",Inputs!$B$43&gt;0),IF(MAX(0,Inputs!$B$43-B2404)&lt;=0,0,(INT(MAX(0,Inputs!$B$43-B2404)/IF(Inputs!$B$38="pvp",15,MAX(0.1,Skills!D5-IF(Skills!E5=TRUE,Inputs!$B$32,0))))+1)),0)</f>
        <v/>
      </c>
      <c r="S2376">
        <f>IF(C2376,(H2376*N2376*IF(AND(Inputs!$B$38&lt;&gt;"pvp",Inputs!$B$43&gt;0),((Skills!F5*((R2376-1)*IF(Skills!G5&gt;0,Skills!H5/Skills!G5,1)+IF(Skills!G5&gt;0,MIN(Skills!H5,MAX(0,MAX(0,Inputs!$B$43-B2404)-((R2376-1)*IF(Inputs!$B$38="pvp",15,MAX(0.1,Skills!D5-IF(Skills!E5=TRUE,Inputs!$B$32,0))))))/Skills!G5,1)))/Inputs!$B$43),G2376*Q2376))*IF(Inputs!$B$38="pvp",1,1+(Inputs!$B$20+Skills!O5+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2376*(1-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IF(C2376,(H2376*N2376*IF(AND(Inputs!$B$38&lt;&gt;"pvp",Inputs!$B$43&gt;0),((Skills!F5*((R2376-1)*IF(Skills!G5&gt;0,Skills!H5/Skills!G5,1)+IF(Skills!G5&gt;0,MIN(Skills!H5,MAX(0,MAX(0,Inputs!$B$43-B2404)-((R2376-1)*IF(Inputs!$B$38="pvp",15,MAX(0.1,Skills!D5-IF(Skills!E5=TRUE,Inputs!$B$32,0))))))/Skills!G5,1)))/Inputs!$B$43),G2376*Q2376))*IF(Inputs!$B$38="pvp",1,(1+(Inputs!$B$21+Skills!P5+B2398+(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Skills!A6</f>
        <v/>
      </c>
      <c r="B2377">
        <f>Skills!B6</f>
        <v/>
      </c>
      <c r="C2377">
        <f>Inputs!$B$3&gt;=63</f>
        <v/>
      </c>
      <c r="D2377">
        <f>IF(Skills!C6=1,60+Inputs!$B$25+Inputs!$B$29,IF(Skills!C6=2,90+Inputs!$B$26+Inputs!$B$29,IF(Skills!C6=3,120+Inputs!$B$27+Inputs!$B$29,MAX(0,(Inputs!$B$3-100)*3)+Inputs!$B$28+Inputs!$B$29)))</f>
        <v/>
      </c>
      <c r="E2377">
        <f>INDEX(FactorTable!$B$2:$Y$301, MATCH(ROUND(MIN(300,MAX(1,D2377)),0), FactorTable!$A$2:$A$301,0), Skills!L6+1)</f>
        <v/>
      </c>
      <c r="F2377">
        <f>IF(Skills!M6=TRUE,(Skills!K6/10)*(E2377/1000),Skills!K6/10)+Skills!N6</f>
        <v/>
      </c>
      <c r="G2377">
        <f>Calc!G6</f>
        <v/>
      </c>
      <c r="H2377">
        <f>Calc!H6</f>
        <v/>
      </c>
      <c r="I2377">
        <f>IF(Skills!T6&lt;&gt;"",1+(Skills!T6/10)*(Z2374/1000)/100,1)</f>
        <v/>
      </c>
      <c r="J2377">
        <f>((Inputs!$B$6*(1+Inputs!$B$7/100))+(((Inputs!$B$12*(1+Inputs!$B$13/100))-(Inputs!$B$12*(1+Inputs!$B$13/100)))+0.25*(Inputs!$B$14-Inputs!$B$14))*(1+Inputs!$B$7/100))*(F2377/100)</f>
        <v/>
      </c>
      <c r="K2377">
        <f>J2377*(1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F2389-Calc!F18),(Inputs!$B$23+(IF(ArtifactsInput!$M$15,CHOOSE(ArtifactsInput!$N$15+1,25,30,35,40,45,50)/100*(Inputs!$B$11-Inputs!$B$11),0))))/100+(Inputs!$B$23+(IF(ArtifactsInput!$M$15,CHOOSE(ArtifactsInput!$N$15+1,25,30,35,40,45,50)/100*(Inputs!$B$11-Inputs!$B$11),0)))/100)/2</f>
        <v/>
      </c>
      <c r="M2377">
        <f>L2377*(1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(1-Summary!$B$11)*S2377+Summary!$B$11*U2377</f>
        <v/>
      </c>
      <c r="P2377">
        <f>IF(B2407=0,0,O2377/B2407)</f>
        <v/>
      </c>
      <c r="Q2377">
        <f>IFERROR(1/IF(Inputs!$B$38="pvp",15,MAX(0.1,Skills!D6-IF(Skills!E6=TRUE,Inputs!$B$32,0))),0)</f>
        <v/>
      </c>
      <c r="R2377">
        <f>IF(AND(Inputs!$B$38&lt;&gt;"pvp",Inputs!$B$43&gt;0),IF(MAX(0,Inputs!$B$43-B2404)&lt;=0,0,(INT(MAX(0,Inputs!$B$43-B2404)/IF(Inputs!$B$38="pvp",15,MAX(0.1,Skills!D6-IF(Skills!E6=TRUE,Inputs!$B$32,0))))+1)),0)</f>
        <v/>
      </c>
      <c r="S2377">
        <f>IF(C2377,(H2377*N2377*IF(AND(Inputs!$B$38&lt;&gt;"pvp",Inputs!$B$43&gt;0),((Skills!F6*((R2377-1)*IF(Skills!G6&gt;0,Skills!H6/Skills!G6,1)+IF(Skills!G6&gt;0,MIN(Skills!H6,MAX(0,MAX(0,Inputs!$B$43-B2404)-((R2377-1)*IF(Inputs!$B$38="pvp",15,MAX(0.1,Skills!D6-IF(Skills!E6=TRUE,Inputs!$B$32,0))))))/Skills!G6,1)))/Inputs!$B$43),G2377*Q2377))*IF(Inputs!$B$38="pvp",1,1+(Inputs!$B$20+Skills!O6+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2377*(1-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F(C2377,(H2377*N2377*IF(AND(Inputs!$B$38&lt;&gt;"pvp",Inputs!$B$43&gt;0),((Skills!F6*((R2377-1)*IF(Skills!G6&gt;0,Skills!H6/Skills!G6,1)+IF(Skills!G6&gt;0,MIN(Skills!H6,MAX(0,MAX(0,Inputs!$B$43-B2404)-((R2377-1)*IF(Inputs!$B$38="pvp",15,MAX(0.1,Skills!D6-IF(Skills!E6=TRUE,Inputs!$B$32,0))))))/Skills!G6,1)))/Inputs!$B$43),G2377*Q2377))*IF(Inputs!$B$38="pvp",1,(1+(Inputs!$B$21+Skills!P6+B2398+(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Skills!A7</f>
        <v/>
      </c>
      <c r="B2378">
        <f>Skills!B7</f>
        <v/>
      </c>
      <c r="C2378">
        <f>Inputs!$B$3&gt;=69</f>
        <v/>
      </c>
      <c r="D2378">
        <f>IF(Skills!C7=1,60+Inputs!$B$25+Inputs!$B$29,IF(Skills!C7=2,90+Inputs!$B$26+Inputs!$B$29,IF(Skills!C7=3,120+Inputs!$B$27+Inputs!$B$29,MAX(0,(Inputs!$B$3-100)*3)+Inputs!$B$28+Inputs!$B$29)))</f>
        <v/>
      </c>
      <c r="E2378">
        <f>INDEX(FactorTable!$B$2:$Y$301, MATCH(ROUND(MIN(300,MAX(1,D2378)),0), FactorTable!$A$2:$A$301,0), Skills!L7+1)</f>
        <v/>
      </c>
      <c r="F2378">
        <f>IF(Skills!M7=TRUE,(Skills!K7/10)*(E2378/1000),Skills!K7/10)+Skills!N7</f>
        <v/>
      </c>
      <c r="G2378">
        <f>Calc!G7</f>
        <v/>
      </c>
      <c r="H2378">
        <f>Calc!H7</f>
        <v/>
      </c>
      <c r="I2378">
        <f>IF(Skills!T7&lt;&gt;"",1+(Skills!T7/10)*(Z2374/1000)/100,1)</f>
        <v/>
      </c>
      <c r="J2378">
        <f>((Inputs!$B$6*(1+Inputs!$B$7/100))+(((Inputs!$B$12*(1+Inputs!$B$13/100))-(Inputs!$B$12*(1+Inputs!$B$13/100)))+0.25*(Inputs!$B$14-Inputs!$B$14))*(1+Inputs!$B$7/100))*(F2378/100)</f>
        <v/>
      </c>
      <c r="K2378">
        <f>J2378*(1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F2389-Calc!F18),(Inputs!$B$23+(IF(ArtifactsInput!$M$15,CHOOSE(ArtifactsInput!$N$15+1,25,30,35,40,45,50)/100*(Inputs!$B$11-Inputs!$B$11),0))))/100+(Inputs!$B$23+(IF(ArtifactsInput!$M$15,CHOOSE(ArtifactsInput!$N$15+1,25,30,35,40,45,50)/100*(Inputs!$B$11-Inputs!$B$11),0)))/100)/2</f>
        <v/>
      </c>
      <c r="M2378">
        <f>L2378*(1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(1-Summary!$B$11)*S2378+Summary!$B$11*U2378</f>
        <v/>
      </c>
      <c r="P2378">
        <f>IF(B2407=0,0,O2378/B2407)</f>
        <v/>
      </c>
      <c r="Q2378">
        <f>IFERROR(1/IF(Inputs!$B$38="pvp",15,MAX(0.1,Skills!D7-IF(Skills!E7=TRUE,Inputs!$B$32,0))),0)</f>
        <v/>
      </c>
      <c r="R2378">
        <f>IF(AND(Inputs!$B$38&lt;&gt;"pvp",Inputs!$B$43&gt;0),IF(MAX(0,Inputs!$B$43-B2404)&lt;=0,0,(INT(MAX(0,Inputs!$B$43-B2404)/IF(Inputs!$B$38="pvp",15,MAX(0.1,Skills!D7-IF(Skills!E7=TRUE,Inputs!$B$32,0))))+1)),0)</f>
        <v/>
      </c>
      <c r="S2378">
        <f>IF(C2378,(H2378*N2378*IF(AND(Inputs!$B$38&lt;&gt;"pvp",Inputs!$B$43&gt;0),((Skills!F7*((R2378-1)*IF(Skills!G7&gt;0,Skills!H7/Skills!G7,1)+IF(Skills!G7&gt;0,MIN(Skills!H7,MAX(0,MAX(0,Inputs!$B$43-B2404)-((R2378-1)*IF(Inputs!$B$38="pvp",15,MAX(0.1,Skills!D7-IF(Skills!E7=TRUE,Inputs!$B$32,0))))))/Skills!G7,1)))/Inputs!$B$43),G2378*Q2378))*IF(Inputs!$B$38="pvp",1,1+(Inputs!$B$20+Skills!O7+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8">
        <f>IF(C2378,(H2378*N2378*IF(AND(Inputs!$B$38&lt;&gt;"pvp",Inputs!$B$43&gt;0),((Skills!F7*((R2378-1)*IF(Skills!G7&gt;0,Skills!H7/Skills!G7,1)+IF(Skills!G7&gt;0,MIN(Skills!H7,MAX(0,MAX(0,Inputs!$B$43-B2404)-((R2378-1)*IF(Inputs!$B$38="pvp",15,MAX(0.1,Skills!D7-IF(Skills!E7=TRUE,Inputs!$B$32,0))))))/Skills!G7,1)))/Inputs!$B$43),G2378*Q2378))*IF(Inputs!$B$38="pvp",1,(1+(Inputs!$B$21+Skills!P7+B2398+(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Skills!A8</f>
        <v/>
      </c>
      <c r="B2379">
        <f>Skills!B8</f>
        <v/>
      </c>
      <c r="C2379">
        <f>Inputs!$B$3&gt;=103</f>
        <v/>
      </c>
      <c r="D2379">
        <f>IF(Skills!C8=1,60+Inputs!$B$25+Inputs!$B$29,IF(Skills!C8=2,90+Inputs!$B$26+Inputs!$B$29,IF(Skills!C8=3,120+Inputs!$B$27+Inputs!$B$29,MAX(0,(Inputs!$B$3-100)*3)+Inputs!$B$28+Inputs!$B$29)))</f>
        <v/>
      </c>
      <c r="E2379">
        <f>INDEX(FactorTable!$B$2:$Y$301, MATCH(ROUND(MIN(300,MAX(1,D2379)),0), FactorTable!$A$2:$A$301,0), Skills!L8+1)</f>
        <v/>
      </c>
      <c r="F2379">
        <f>IF(Skills!M8=TRUE,(Skills!K8/10)*(E2379/1000),Skills!K8/10)+Skills!N8</f>
        <v/>
      </c>
      <c r="G2379">
        <f>Calc!G8</f>
        <v/>
      </c>
      <c r="H2379">
        <f>Calc!H8</f>
        <v/>
      </c>
      <c r="I2379">
        <f>IF(Skills!T8&lt;&gt;"",1+(Skills!T8/10)*(Z2374/1000)/100,1)</f>
        <v/>
      </c>
      <c r="J2379">
        <f>((Inputs!$B$6*(1+Inputs!$B$7/100))+(((Inputs!$B$12*(1+Inputs!$B$13/100))-(Inputs!$B$12*(1+Inputs!$B$13/100)))+0.25*(Inputs!$B$14-Inputs!$B$14))*(1+Inputs!$B$7/100))*(F2379/100)</f>
        <v/>
      </c>
      <c r="K2379">
        <f>J2379*(1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F2389-Calc!F18),(Inputs!$B$23+(IF(ArtifactsInput!$M$15,CHOOSE(ArtifactsInput!$N$15+1,25,30,35,40,45,50)/100*(Inputs!$B$11-Inputs!$B$11),0))))/100+(Inputs!$B$23+(IF(ArtifactsInput!$M$15,CHOOSE(ArtifactsInput!$N$15+1,25,30,35,40,45,50)/100*(Inputs!$B$11-Inputs!$B$11),0)))/100)/2</f>
        <v/>
      </c>
      <c r="M2379">
        <f>L2379*(1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(1-Summary!$B$11)*S2379+Summary!$B$11*U2379</f>
        <v/>
      </c>
      <c r="P2379">
        <f>IF(B2407=0,0,O2379/B2407)</f>
        <v/>
      </c>
      <c r="Q2379">
        <f>IFERROR(1/IF(Inputs!$B$38="pvp",15,MAX(0.1,Skills!D8-IF(Skills!E8=TRUE,Inputs!$B$32,0))),0)</f>
        <v/>
      </c>
      <c r="R2379">
        <f>IF(AND(Inputs!$B$38&lt;&gt;"pvp",Inputs!$B$43&gt;0),IF(MAX(0,Inputs!$B$43-B2404)&lt;=0,0,(INT(MAX(0,Inputs!$B$43-B2404)/IF(Inputs!$B$38="pvp",15,MAX(0.1,Skills!D8-IF(Skills!E8=TRUE,Inputs!$B$32,0))))+1)),0)</f>
        <v/>
      </c>
      <c r="S2379">
        <f>IF(C2379,(H2379*N2379*IF(AND(Inputs!$B$38&lt;&gt;"pvp",Inputs!$B$43&gt;0),((Skills!F8*((R2379-1)*IF(Skills!G8&gt;0,Skills!H8/Skills!G8,1)+IF(Skills!G8&gt;0,MIN(Skills!H8,MAX(0,MAX(0,Inputs!$B$43-B2404)-((R2379-1)*IF(Inputs!$B$38="pvp",15,MAX(0.1,Skills!D8-IF(Skills!E8=TRUE,Inputs!$B$32,0))))))/Skills!G8,1)))/Inputs!$B$43),G2379*Q2379))*IF(Inputs!$B$38="pvp",1,1+(Inputs!$B$20+Skills!O8+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2379*(1-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9">
        <f>IF(C2379,(H2379*N2379*IF(AND(Inputs!$B$38&lt;&gt;"pvp",Inputs!$B$43&gt;0),((Skills!F8*((R2379-1)*IF(Skills!G8&gt;0,Skills!H8/Skills!G8,1)+IF(Skills!G8&gt;0,MIN(Skills!H8,MAX(0,MAX(0,Inputs!$B$43-B2404)-((R2379-1)*IF(Inputs!$B$38="pvp",15,MAX(0.1,Skills!D8-IF(Skills!E8=TRUE,Inputs!$B$32,0))))))/Skills!G8,1)))/Inputs!$B$43),G2379*Q2379))*IF(Inputs!$B$38="pvp",1,(1+(Inputs!$B$21+Skills!P8+B2398+(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Skills!A9</f>
        <v/>
      </c>
      <c r="B2380">
        <f>Skills!B9</f>
        <v/>
      </c>
      <c r="C2380">
        <f>Inputs!$B$3&gt;=105</f>
        <v/>
      </c>
      <c r="D2380">
        <f>IF(Skills!C9=1,60+Inputs!$B$25+Inputs!$B$29,IF(Skills!C9=2,90+Inputs!$B$26+Inputs!$B$29,IF(Skills!C9=3,120+Inputs!$B$27+Inputs!$B$29,MAX(0,(Inputs!$B$3-100)*3)+Inputs!$B$28+Inputs!$B$29)))</f>
        <v/>
      </c>
      <c r="E2380">
        <f>INDEX(FactorTable!$B$2:$Y$301, MATCH(ROUND(MIN(300,MAX(1,D2380)),0), FactorTable!$A$2:$A$301,0), Skills!L9+1)</f>
        <v/>
      </c>
      <c r="F2380">
        <f>IF(Skills!M9=TRUE,(Skills!K9/10)*(E2380/1000),Skills!K9/10)+Skills!N9</f>
        <v/>
      </c>
      <c r="G2380">
        <f>Calc!G9</f>
        <v/>
      </c>
      <c r="H2380">
        <f>Calc!H9</f>
        <v/>
      </c>
      <c r="I2380">
        <f>IF(Skills!T9&lt;&gt;"",1+(Skills!T9/10)*(Z2374/1000)/100,1)</f>
        <v/>
      </c>
      <c r="J2380">
        <f>((Inputs!$B$6*(1+Inputs!$B$7/100))+(((Inputs!$B$12*(1+Inputs!$B$13/100))-(Inputs!$B$12*(1+Inputs!$B$13/100)))+0.25*(Inputs!$B$14-Inputs!$B$14))*(1+Inputs!$B$7/100))*(F2380/100)</f>
        <v/>
      </c>
      <c r="K2380">
        <f>J2380*(1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F2389-Calc!F18),(Inputs!$B$23+(IF(ArtifactsInput!$M$15,CHOOSE(ArtifactsInput!$N$15+1,25,30,35,40,45,50)/100*(Inputs!$B$11-Inputs!$B$11),0))))/100+(Inputs!$B$23+(IF(ArtifactsInput!$M$15,CHOOSE(ArtifactsInput!$N$15+1,25,30,35,40,45,50)/100*(Inputs!$B$11-Inputs!$B$11),0)))/100)/2</f>
        <v/>
      </c>
      <c r="M2380">
        <f>L2380*(1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(1-Summary!$B$11)*S2380+Summary!$B$11*U2380</f>
        <v/>
      </c>
      <c r="P2380">
        <f>IF(B2407=0,0,O2380/B2407)</f>
        <v/>
      </c>
      <c r="Q2380">
        <f>IFERROR(1/IF(Inputs!$B$38="pvp",15,MAX(0.1,Skills!D9-IF(Skills!E9=TRUE,Inputs!$B$32,0))),0)</f>
        <v/>
      </c>
      <c r="R2380">
        <f>IF(AND(Inputs!$B$38&lt;&gt;"pvp",Inputs!$B$43&gt;0),IF(MAX(0,Inputs!$B$43-B2404)&lt;=0,0,(INT(MAX(0,Inputs!$B$43-B2404)/IF(Inputs!$B$38="pvp",15,MAX(0.1,Skills!D9-IF(Skills!E9=TRUE,Inputs!$B$32,0))))+1)),0)</f>
        <v/>
      </c>
      <c r="S2380">
        <f>IF(C2380,(H2380*N2380*IF(AND(Inputs!$B$38&lt;&gt;"pvp",Inputs!$B$43&gt;0),((Skills!F9*((R2380-1)*IF(Skills!G9&gt;0,Skills!H9/Skills!G9,1)+IF(Skills!G9&gt;0,MIN(Skills!H9,MAX(0,MAX(0,Inputs!$B$43-B2404)-((R2380-1)*IF(Inputs!$B$38="pvp",15,MAX(0.1,Skills!D9-IF(Skills!E9=TRUE,Inputs!$B$32,0))))))/Skills!G9,1)))/Inputs!$B$43),G2380*Q2380))*IF(Inputs!$B$38="pvp",1,1+(Inputs!$B$20+Skills!O9+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2380*(1-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0">
        <f>IF(C2380,(H2380*N2380*IF(AND(Inputs!$B$38&lt;&gt;"pvp",Inputs!$B$43&gt;0),((Skills!F9*((R2380-1)*IF(Skills!G9&gt;0,Skills!H9/Skills!G9,1)+IF(Skills!G9&gt;0,MIN(Skills!H9,MAX(0,MAX(0,Inputs!$B$43-B2404)-((R2380-1)*IF(Inputs!$B$38="pvp",15,MAX(0.1,Skills!D9-IF(Skills!E9=TRUE,Inputs!$B$32,0))))))/Skills!G9,1)))/Inputs!$B$43),G2380*Q2380))*IF(Inputs!$B$38="pvp",1,(1+(Inputs!$B$21+Skills!P9+B2398+(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Skills!A10</f>
        <v/>
      </c>
      <c r="B2381">
        <f>Skills!B10</f>
        <v/>
      </c>
      <c r="C2381">
        <f>Inputs!$B$3&gt;=113</f>
        <v/>
      </c>
      <c r="D2381">
        <f>IF(Skills!C10=1,60+Inputs!$B$25+Inputs!$B$29,IF(Skills!C10=2,90+Inputs!$B$26+Inputs!$B$29,IF(Skills!C10=3,120+Inputs!$B$27+Inputs!$B$29,MAX(0,(Inputs!$B$3-100)*3)+Inputs!$B$28+Inputs!$B$29)))</f>
        <v/>
      </c>
      <c r="E2381">
        <f>INDEX(FactorTable!$B$2:$Y$301, MATCH(ROUND(MIN(300,MAX(1,D2381)),0), FactorTable!$A$2:$A$301,0), Skills!L10+1)</f>
        <v/>
      </c>
      <c r="F2381">
        <f>IF(Skills!M10=TRUE,(Skills!K10/10)*(E2381/1000),Skills!K10/10)+Skills!N10</f>
        <v/>
      </c>
      <c r="G2381">
        <f>Calc!G10</f>
        <v/>
      </c>
      <c r="H2381">
        <f>Calc!H10</f>
        <v/>
      </c>
      <c r="I2381">
        <f>IF(Skills!T10&lt;&gt;"",1+(Skills!T10/10)*(Z2374/1000)/100,1)</f>
        <v/>
      </c>
      <c r="J2381">
        <f>((Inputs!$B$6*(1+Inputs!$B$7/100))+(((Inputs!$B$12*(1+Inputs!$B$13/100))-(Inputs!$B$12*(1+Inputs!$B$13/100)))+0.25*(Inputs!$B$14-Inputs!$B$14))*(1+Inputs!$B$7/100))*(F2381/100)</f>
        <v/>
      </c>
      <c r="K2381">
        <f>J2381*(1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F2389-Calc!F18),(Inputs!$B$23+(IF(ArtifactsInput!$M$15,CHOOSE(ArtifactsInput!$N$15+1,25,30,35,40,45,50)/100*(Inputs!$B$11-Inputs!$B$11),0))))/100+(Inputs!$B$23+(IF(ArtifactsInput!$M$15,CHOOSE(ArtifactsInput!$N$15+1,25,30,35,40,45,50)/100*(Inputs!$B$11-Inputs!$B$11),0)))/100)/2</f>
        <v/>
      </c>
      <c r="M2381">
        <f>L2381*(1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(1-Summary!$B$11)*S2381+Summary!$B$11*U2381</f>
        <v/>
      </c>
      <c r="P2381">
        <f>IF(B2407=0,0,O2381/B2407)</f>
        <v/>
      </c>
      <c r="Q2381">
        <f>IFERROR(1/IF(Inputs!$B$38="pvp",15,MAX(0.1,Skills!D10-IF(Skills!E9=TRUE,Inputs!$B$32,0))),0)</f>
        <v/>
      </c>
      <c r="R2381">
        <f>IF(AND(Inputs!$B$38&lt;&gt;"pvp",Inputs!$B$43&gt;0),IF(MAX(0,Inputs!$B$43-B2404)&lt;=0,0,(INT(MAX(0,Inputs!$B$43-B2404)/IF(Inputs!$B$38="pvp",15,MAX(0.1,Skills!D10-IF(Skills!E9=TRUE,Inputs!$B$32,0))))+1)),0)</f>
        <v/>
      </c>
      <c r="S2381">
        <f>IF(C2381,(H2381*N2381*IF(AND(Inputs!$B$38&lt;&gt;"pvp",Inputs!$B$43&gt;0),((Skills!F10*((R2381-1)*IF(Skills!G10&gt;0,Skills!H10/Skills!G10,1)+IF(Skills!G10&gt;0,MIN(Skills!H10,MAX(0,MAX(0,Inputs!$B$43-B2404)-((R2381-1)*IF(Inputs!$B$38="pvp",15,MAX(0.1,Skills!D10-IF(Skills!E9=TRUE,Inputs!$B$32,0))))))/Skills!G10,1)))/Inputs!$B$43),G2381*Q2381))*IF(Inputs!$B$38="pvp",1,1+(Inputs!$B$20+Skills!O10+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1">
        <f>IF(C2381,(H2381*N2381*IF(AND(Inputs!$B$38&lt;&gt;"pvp",Inputs!$B$43&gt;0),((Skills!F10*((R2381-1)*IF(Skills!G10&gt;0,Skills!H10/Skills!G10,1)+IF(Skills!G10&gt;0,MIN(Skills!H10,MAX(0,MAX(0,Inputs!$B$43-B2404)-((R2381-1)*IF(Inputs!$B$38="pvp",15,MAX(0.1,Skills!D10-IF(Skills!E9=TRUE,Inputs!$B$32,0))))))/Skills!G10,1)))/Inputs!$B$43),G2381*Q2381))*IF(Inputs!$B$38="pvp",1,(1+(Inputs!$B$21+Skills!P10+B2398+(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Skills!A11</f>
        <v/>
      </c>
      <c r="B2382">
        <f>Skills!B11</f>
        <v/>
      </c>
      <c r="C2382">
        <f>Inputs!$B$3&gt;=107</f>
        <v/>
      </c>
      <c r="D2382">
        <f>IF(Skills!C11=1,60+Inputs!$B$25+Inputs!$B$29,IF(Skills!C11=2,90+Inputs!$B$26+Inputs!$B$29,IF(Skills!C11=3,120+Inputs!$B$27+Inputs!$B$29,MAX(0,(Inputs!$B$3-100)*3)+Inputs!$B$28+Inputs!$B$29)))</f>
        <v/>
      </c>
      <c r="E2382">
        <f>INDEX(FactorTable!$B$2:$Y$301, MATCH(ROUND(MIN(300,MAX(1,D2382)),0), FactorTable!$A$2:$A$301,0), Skills!L11+1)</f>
        <v/>
      </c>
      <c r="F2382">
        <f>IF(Skills!M11=TRUE,(Skills!K11/10)*(E2382/1000),Skills!K11/10)+Skills!N11</f>
        <v/>
      </c>
      <c r="G2382">
        <f>Calc!G11</f>
        <v/>
      </c>
      <c r="H2382">
        <f>Calc!H11</f>
        <v/>
      </c>
      <c r="I2382">
        <f>IF(Skills!T11&lt;&gt;"",1+(Skills!T11/10)*(Z2374/1000)/100,1)</f>
        <v/>
      </c>
      <c r="J2382">
        <f>((Inputs!$B$6*(1+Inputs!$B$7/100))+(((Inputs!$B$12*(1+Inputs!$B$13/100))-(Inputs!$B$12*(1+Inputs!$B$13/100)))+0.25*(Inputs!$B$14-Inputs!$B$14))*(1+Inputs!$B$7/100))*(F2382/100)</f>
        <v/>
      </c>
      <c r="K2382">
        <f>J2382*(1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2389-Calc!F18),(Inputs!$B$23+(IF(ArtifactsInput!$M$15,CHOOSE(ArtifactsInput!$N$15+1,25,30,35,40,45,50)/100*(Inputs!$B$11-Inputs!$B$11),0))))/100+(Inputs!$B$23+(IF(ArtifactsInput!$M$15,CHOOSE(ArtifactsInput!$N$15+1,25,30,35,40,45,50)/100*(Inputs!$B$11-Inputs!$B$11),0)))/100)/2</f>
        <v/>
      </c>
      <c r="M2382">
        <f>L2382*(1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IF(B2407=0,0,O2382/B2407)</f>
        <v/>
      </c>
      <c r="Q2382">
        <f>IFERROR(1/IF(Inputs!$B$38="pvp",15,MAX(0.1,Skills!D11-IF(Skills!E11=TRUE,Inputs!$B$32,0))),0)</f>
        <v/>
      </c>
      <c r="R2382">
        <f>IF(AND(Inputs!$B$38&lt;&gt;"pvp",Inputs!$B$43&gt;0),IF(MAX(0,Inputs!$B$43-B2404)&lt;=0,0,(INT(MAX(0,Inputs!$B$43-B2404)/IF(Inputs!$B$38="pvp",15,MAX(0.1,Skills!D11-IF(Skills!E11=TRUE,Inputs!$B$32,0))))+1)),0)</f>
        <v/>
      </c>
      <c r="S2382">
        <f>IF(C2382,H2382*N2382*IF(AND(Inputs!$B$38&lt;&gt;"pvp",Inputs!$B$43&gt;0),((Skills!F11*((R2382-1)*IF(Skills!G11&gt;0,Skills!H11/Skills!G11,1)+IF(Skills!G11&gt;0,MIN(Skills!H11,MAX(0,MAX(0,Inputs!$B$43-B2404)-((R2382-1)*IF(Inputs!$B$38="pvp",15,MAX(0.1,Skills!D11-IF(Skills!E11=TRUE,Inputs!$B$32,0))))))/Skills!G11,1)))/Inputs!$B$43),G2382*Q2382)*0.5*IF(Inputs!$B$38="pvp",1,1+(Inputs!$B$20+Skills!O11+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F11*((R2382-1)*IF(Skills!G11&gt;0,Skills!H11/Skills!G11,1)+IF(Skills!G11&gt;0,MIN(Skills!H11,MAX(0,MAX(0,Inputs!$B$43-B2404)-((R2382-1)*IF(Inputs!$B$38="pvp",15,MAX(0.1,Skills!D11-IF(Skills!E11=TRUE,Inputs!$B$32,0))))))/Skills!G11,1)))/Inputs!$B$43),G2382*Q2382)*1*IF(Inputs!$B$38="pvp",1,(1+(Inputs!$B$21+Skills!P11+B2398+(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Skills!A12</f>
        <v/>
      </c>
      <c r="B2383">
        <f>Skills!B12</f>
        <v/>
      </c>
      <c r="C2383">
        <f>Inputs!$B$3&gt;=115</f>
        <v/>
      </c>
      <c r="D2383">
        <f>IF(Skills!C12=1,60+Inputs!$B$25+Inputs!$B$29,IF(Skills!C12=2,90+Inputs!$B$26+Inputs!$B$29,IF(Skills!C12=3,120+Inputs!$B$27+Inputs!$B$29,MAX(0,(Inputs!$B$3-100)*3)+Inputs!$B$28+Inputs!$B$29)))</f>
        <v/>
      </c>
      <c r="E2383">
        <f>INDEX(FactorTable!$B$2:$Y$301, MATCH(ROUND(MIN(300,MAX(1,D2383)),0), FactorTable!$A$2:$A$301,0), Skills!L12+1)</f>
        <v/>
      </c>
      <c r="F2383">
        <f>IF(Skills!M12=TRUE,(Skills!K12/10)*(E2383/1000),Skills!K12/10)+Skills!N12</f>
        <v/>
      </c>
      <c r="G2383">
        <f>Calc!G12</f>
        <v/>
      </c>
      <c r="H2383">
        <f>Calc!H12</f>
        <v/>
      </c>
      <c r="I2383">
        <f>IF(Skills!T12&lt;&gt;"",1+(Skills!T12/10)*(Z2374/1000)/100,1)</f>
        <v/>
      </c>
      <c r="J2383">
        <f>((Inputs!$B$6*(1+Inputs!$B$7/100))+(((Inputs!$B$12*(1+Inputs!$B$13/100))-(Inputs!$B$12*(1+Inputs!$B$13/100)))+0.25*(Inputs!$B$14-Inputs!$B$14))*(1+Inputs!$B$7/100))*(F2383/100)</f>
        <v/>
      </c>
      <c r="K2383">
        <f>J2383*(1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F2389-Calc!F18),(Inputs!$B$23+(IF(ArtifactsInput!$M$15,CHOOSE(ArtifactsInput!$N$15+1,25,30,35,40,45,50)/100*(Inputs!$B$11-Inputs!$B$11),0))))/100+(Inputs!$B$23+(IF(ArtifactsInput!$M$15,CHOOSE(ArtifactsInput!$N$15+1,25,30,35,40,45,50)/100*(Inputs!$B$11-Inputs!$B$11),0)))/100)/2</f>
        <v/>
      </c>
      <c r="M2383">
        <f>L2383*(1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(1-Summary!$B$11)*S2383+Summary!$B$11*U2383</f>
        <v/>
      </c>
      <c r="P2383">
        <f>IF(B2407=0,0,O2383/B2407)</f>
        <v/>
      </c>
      <c r="Q2383">
        <f>IFERROR(1/IF(Inputs!$B$38="pvp",15,MAX(0.1,Skills!D12-IF(Skills!E12=TRUE,Inputs!$B$32,0))),0)</f>
        <v/>
      </c>
      <c r="R2383">
        <f>IF(AND(Inputs!$B$38&lt;&gt;"pvp",Inputs!$B$43&gt;0),IF(MAX(0,Inputs!$B$43-B2404)&lt;=0,0,(INT(MAX(0,Inputs!$B$43-B2404)/IF(Inputs!$B$38="pvp",15,MAX(0.1,Skills!D12-IF(Skills!E12=TRUE,Inputs!$B$32,0))))+1)),0)</f>
        <v/>
      </c>
      <c r="S2383">
        <f>IF(C2383,(H2383*N2383*IF(AND(Inputs!$B$38&lt;&gt;"pvp",Inputs!$B$43&gt;0),((Skills!F12*((R2383-1)*IF(Skills!G12&gt;0,Skills!H12/Skills!G12,1)+IF(Skills!G12&gt;0,MIN(Skills!H12,MAX(0,MAX(0,Inputs!$B$43-B2404)-((R2383-1)*IF(Inputs!$B$38="pvp",15,MAX(0.1,Skills!D12-IF(Skills!E12=TRUE,Inputs!$B$32,0))))))/Skills!G12,1)))/Inputs!$B$43),G2383*Q2383))*IF(Inputs!$B$38="pvp",1,1+(Inputs!$B$20+Skills!O12+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IF(C2383,(H2383*N2383*IF(AND(Inputs!$B$38&lt;&gt;"pvp",Inputs!$B$43&gt;0),((Skills!F12*((R2383-1)*IF(Skills!G12&gt;0,Skills!H12/Skills!G12,1)+IF(Skills!G12&gt;0,MIN(Skills!H12,MAX(0,MAX(0,Inputs!$B$43-B2404)-((R2383-1)*IF(Inputs!$B$38="pvp",15,MAX(0.1,Skills!D12-IF(Skills!E12=TRUE,Inputs!$B$32,0))))))/Skills!G12,1)))/Inputs!$B$43),G2383*Q2383))*IF(Inputs!$B$38="pvp",1,(1+(Inputs!$B$21+Skills!P12+B2398+(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Skills!A13</f>
        <v/>
      </c>
      <c r="B2384">
        <f>Skills!B13</f>
        <v/>
      </c>
      <c r="C2384">
        <f>Inputs!$B$3&gt;=49</f>
        <v/>
      </c>
      <c r="D2384">
        <f>IF(Skills!C13=1,60+Inputs!$B$25+Inputs!$B$29,IF(Skills!C13=2,90+Inputs!$B$26+Inputs!$B$29,IF(Skills!C13=3,120+Inputs!$B$27+Inputs!$B$29,MAX(0,(Inputs!$B$3-100)*3)+Inputs!$B$28+Inputs!$B$29)))</f>
        <v/>
      </c>
      <c r="E2384">
        <f>INDEX(FactorTable!$B$2:$Y$301, MATCH(ROUND(MIN(300,MAX(1,D2384)),0), FactorTable!$A$2:$A$301,0), Skills!L13+1)</f>
        <v/>
      </c>
      <c r="F2384">
        <f>IF(Skills!M13=TRUE,(Skills!K13/10)*(E2384/1000),Skills!K13/10)+Skills!N13</f>
        <v/>
      </c>
      <c r="G2384">
        <f>Calc!G13</f>
        <v/>
      </c>
      <c r="H2384">
        <f>Calc!H13</f>
        <v/>
      </c>
      <c r="I2384">
        <f>IF(Skills!T13&lt;&gt;"",1+(Skills!T13/10)*(Z2374/1000)/100,1)</f>
        <v/>
      </c>
      <c r="J2384" t="inlineStr"/>
      <c r="K2384" t="inlineStr"/>
      <c r="L2384" t="inlineStr"/>
      <c r="M2384" t="inlineStr"/>
      <c r="N2384" t="inlineStr"/>
      <c r="O2384">
        <f>(1-Summary!$B$11)*S2384+Summary!$B$11*U2384</f>
        <v/>
      </c>
      <c r="P2384">
        <f>IF(B2407=0,0,O2384/B2407)</f>
        <v/>
      </c>
      <c r="Q2384">
        <f>IFERROR(1/IF(Inputs!$B$38="pvp",15,MAX(0.1,Skills!D13-IF(Skills!E13=TRUE,Inputs!$B$32,0))),0)</f>
        <v/>
      </c>
      <c r="R2384" t="n">
        <v>0</v>
      </c>
      <c r="S2384" t="n">
        <v>0</v>
      </c>
      <c r="U2384" t="n">
        <v>0</v>
      </c>
    </row>
    <row r="2385">
      <c r="A2385">
        <f>Skills!A14</f>
        <v/>
      </c>
      <c r="B2385">
        <f>Skills!B14</f>
        <v/>
      </c>
      <c r="C2385">
        <f>Inputs!$B$3&gt;=72</f>
        <v/>
      </c>
      <c r="D2385">
        <f>IF(Skills!C14=1,60+Inputs!$B$25+Inputs!$B$29,IF(Skills!C14=2,90+Inputs!$B$26+Inputs!$B$29,IF(Skills!C14=3,120+Inputs!$B$27+Inputs!$B$29,MAX(0,(Inputs!$B$3-100)*3)+Inputs!$B$28+Inputs!$B$29)))</f>
        <v/>
      </c>
      <c r="E2385">
        <f>INDEX(FactorTable!$B$2:$Y$301, MATCH(ROUND(MIN(300,MAX(1,D2385)),0), FactorTable!$A$2:$A$301,0), Skills!L14+1)</f>
        <v/>
      </c>
      <c r="F2385">
        <f>IF(Skills!M14=TRUE,(Skills!K14/10)*(E2385/1000),Skills!K14/10)+Skills!N14</f>
        <v/>
      </c>
      <c r="G2385">
        <f>Calc!G14</f>
        <v/>
      </c>
      <c r="H2385">
        <f>Calc!H14</f>
        <v/>
      </c>
      <c r="I2385">
        <f>IF(Skills!T14&lt;&gt;"",1+(Skills!T14/10)*(Z2374/1000)/100,1)</f>
        <v/>
      </c>
      <c r="J2385" t="inlineStr"/>
      <c r="K2385" t="inlineStr"/>
      <c r="L2385" t="inlineStr"/>
      <c r="M2385" t="inlineStr"/>
      <c r="N2385" t="inlineStr"/>
      <c r="O2385">
        <f>(1-Summary!$B$11)*S2385+Summary!$B$11*U2385</f>
        <v/>
      </c>
      <c r="P2385">
        <f>IF(B2407=0,0,O2385/B2407)</f>
        <v/>
      </c>
      <c r="Q2385">
        <f>IFERROR(1/IF(Inputs!$B$38="pvp",15,MAX(0.1,Skills!D14-IF(Skills!E14=TRUE,Inputs!$B$32,0))),0)</f>
        <v/>
      </c>
      <c r="R2385" t="n">
        <v>0</v>
      </c>
      <c r="S2385" t="n">
        <v>0</v>
      </c>
      <c r="U2385" t="n">
        <v>0</v>
      </c>
    </row>
    <row r="2386">
      <c r="A2386">
        <f>Skills!A15</f>
        <v/>
      </c>
      <c r="B2386">
        <f>Skills!B15</f>
        <v/>
      </c>
      <c r="C2386">
        <f>Inputs!$B$3&gt;=75</f>
        <v/>
      </c>
      <c r="D2386">
        <f>IF(Skills!C15=1,60+Inputs!$B$25+Inputs!$B$29,IF(Skills!C15=2,90+Inputs!$B$26+Inputs!$B$29,IF(Skills!C15=3,120+Inputs!$B$27+Inputs!$B$29,MAX(0,(Inputs!$B$3-100)*3)+Inputs!$B$28+Inputs!$B$29)))</f>
        <v/>
      </c>
      <c r="E2386">
        <f>INDEX(FactorTable!$B$2:$Y$301, MATCH(ROUND(MIN(300,MAX(1,D2386)),0), FactorTable!$A$2:$A$301,0), Skills!L15+1)</f>
        <v/>
      </c>
      <c r="F2386">
        <f>IF(Skills!M15=TRUE,(Skills!K15/10)*(E2386/1000),Skills!K15/10)+Skills!N15</f>
        <v/>
      </c>
      <c r="G2386">
        <f>Calc!G15</f>
        <v/>
      </c>
      <c r="H2386">
        <f>Calc!H15</f>
        <v/>
      </c>
      <c r="I2386">
        <f>IF(Skills!T15&lt;&gt;"",1+(Skills!T15/10)*(Z2374/1000)/100,1)</f>
        <v/>
      </c>
      <c r="J2386" t="inlineStr"/>
      <c r="K2386" t="inlineStr"/>
      <c r="L2386" t="inlineStr"/>
      <c r="M2386" t="inlineStr"/>
      <c r="N2386" t="inlineStr"/>
      <c r="O2386">
        <f>(1-Summary!$B$11)*S2386+Summary!$B$11*U2386</f>
        <v/>
      </c>
      <c r="P2386">
        <f>IF(B2407=0,0,O2386/B2407)</f>
        <v/>
      </c>
      <c r="Q2386">
        <f>IFERROR(1/IF(Inputs!$B$38="pvp",15,MAX(0.1,Skills!D15-IF(Skills!E15=TRUE,Inputs!$B$32,0))),0)</f>
        <v/>
      </c>
      <c r="R2386" t="n">
        <v>0</v>
      </c>
      <c r="S2386" t="n">
        <v>0</v>
      </c>
      <c r="U2386" t="n">
        <v>0</v>
      </c>
    </row>
    <row r="2387">
      <c r="A2387">
        <f>Skills!A16</f>
        <v/>
      </c>
      <c r="B2387">
        <f>Skills!B16</f>
        <v/>
      </c>
      <c r="C2387">
        <f>Inputs!$B$3&gt;=110</f>
        <v/>
      </c>
      <c r="D2387">
        <f>IF(Skills!C16=1,60+Inputs!$B$25+Inputs!$B$29,IF(Skills!C16=2,90+Inputs!$B$26+Inputs!$B$29,IF(Skills!C16=3,120+Inputs!$B$27+Inputs!$B$29,MAX(0,(Inputs!$B$3-100)*3)+Inputs!$B$28+Inputs!$B$29)))</f>
        <v/>
      </c>
      <c r="E2387">
        <f>INDEX(FactorTable!$B$2:$Y$301, MATCH(ROUND(MIN(300,MAX(1,D2387)),0), FactorTable!$A$2:$A$301,0), Skills!L16+1)</f>
        <v/>
      </c>
      <c r="F2387">
        <f>(Skills!K16/10)*(E2387/1000)*64/45+Skills!N16</f>
        <v/>
      </c>
      <c r="G2387">
        <f>Calc!G16</f>
        <v/>
      </c>
      <c r="H2387">
        <f>Calc!H16</f>
        <v/>
      </c>
      <c r="I2387">
        <f>IF(Skills!T16&lt;&gt;"",1+(Skills!T16/10)*(Z2374/1000)/100,1)</f>
        <v/>
      </c>
      <c r="J2387" t="inlineStr"/>
      <c r="K2387" t="inlineStr"/>
      <c r="L2387" t="inlineStr"/>
      <c r="M2387" t="inlineStr"/>
      <c r="N2387" t="inlineStr"/>
      <c r="O2387">
        <f>(1-Summary!$B$11)*S2387+Summary!$B$11*U2387</f>
        <v/>
      </c>
      <c r="P2387">
        <f>IF(B2407=0,0,O2387/B2407)</f>
        <v/>
      </c>
      <c r="Q2387">
        <f>IFERROR(1/IF(Inputs!$B$38="pvp",15,MAX(0.1,Skills!D16-IF(Skills!E16=TRUE,Inputs!$B$32,0))),0)</f>
        <v/>
      </c>
      <c r="R2387">
        <f>IF(AND(Inputs!$B$38&lt;&gt;"pvp",Inputs!$B$43&gt;0),IF(Inputs!$B$43&lt;=0,0,(INT(Inputs!$B$43/IF(Inputs!$B$38="pvp",15,MAX(0.1,Skills!D16-IF(Skills!E16=TRUE,Inputs!$B$32,0))))+1)),0)</f>
        <v/>
      </c>
      <c r="S2387" t="n">
        <v>0</v>
      </c>
      <c r="U2387" t="n">
        <v>0</v>
      </c>
    </row>
    <row r="2388">
      <c r="A2388">
        <f>Skills!A17</f>
        <v/>
      </c>
      <c r="B2388">
        <f>Skills!B17</f>
        <v/>
      </c>
      <c r="C2388">
        <f>Inputs!$B$3&gt;=33</f>
        <v/>
      </c>
      <c r="D2388">
        <f>IF(Skills!C17=1,60+Inputs!$B$25+Inputs!$B$29,IF(Skills!C17=2,90+Inputs!$B$26+Inputs!$B$29,IF(Skills!C17=3,120+Inputs!$B$27+Inputs!$B$29,MAX(0,(Inputs!$B$3-100)*3)+Inputs!$B$28+Inputs!$B$29)))</f>
        <v/>
      </c>
      <c r="E2388">
        <f>INDEX(FactorTable!$B$2:$Y$301, MATCH(ROUND(MIN(300,MAX(1,D2388)),0), FactorTable!$A$2:$A$301,0), Skills!L17+1)</f>
        <v/>
      </c>
      <c r="F2388">
        <f>IF(Skills!M17=TRUE,(Skills!K17/10)*(E2388/1000),Skills!K17/10)+Skills!N17</f>
        <v/>
      </c>
      <c r="G2388">
        <f>Calc!G17</f>
        <v/>
      </c>
      <c r="H2388">
        <f>Calc!H17</f>
        <v/>
      </c>
      <c r="I2388">
        <f>IF(Skills!T17&lt;&gt;"",1+(Skills!T17/10)*(Z2374/1000)/100,1)</f>
        <v/>
      </c>
      <c r="J2388" t="inlineStr"/>
      <c r="K2388" t="inlineStr"/>
      <c r="L2388" t="inlineStr"/>
      <c r="M2388" t="inlineStr"/>
      <c r="N2388" t="inlineStr"/>
      <c r="O2388">
        <f>(1-Summary!$B$11)*S2388+Summary!$B$11*U2388</f>
        <v/>
      </c>
      <c r="P2388">
        <f>IF(B2407=0,0,O2388/B2407)</f>
        <v/>
      </c>
      <c r="Q2388">
        <f>IFERROR(1/IF(Inputs!$B$38="pvp",15,MAX(0.1,Skills!D17-IF(Skills!E17=TRUE,Inputs!$B$32,0))),0)</f>
        <v/>
      </c>
      <c r="R2388" t="n">
        <v>0</v>
      </c>
      <c r="S2388" t="n">
        <v>0</v>
      </c>
      <c r="U2388" t="n">
        <v>0</v>
      </c>
    </row>
    <row r="2389">
      <c r="A2389">
        <f>Skills!A18</f>
        <v/>
      </c>
      <c r="B2389">
        <f>Skills!B18</f>
        <v/>
      </c>
      <c r="C2389">
        <f>Inputs!$B$3&gt;=43</f>
        <v/>
      </c>
      <c r="D2389">
        <f>IF(Skills!C18=1,60+Inputs!$B$25+Inputs!$B$29,IF(Skills!C18=2,90+Inputs!$B$26+Inputs!$B$29,IF(Skills!C18=3,120+Inputs!$B$27+Inputs!$B$29,MAX(0,(Inputs!$B$3-100)*3)+Inputs!$B$28+Inputs!$B$29)))</f>
        <v/>
      </c>
      <c r="E2389">
        <f>INDEX(FactorTable!$B$2:$Y$301, MATCH(ROUND(MIN(300,MAX(1,D2389)),0), FactorTable!$A$2:$A$301,0), Skills!L18+1)</f>
        <v/>
      </c>
      <c r="F2389">
        <f>IF(Skills!M18=TRUE,(Skills!K18/10)*(E2389/1000),Skills!K18/10)+Skills!N18</f>
        <v/>
      </c>
      <c r="G2389">
        <f>Calc!G18</f>
        <v/>
      </c>
      <c r="H2389">
        <f>Calc!H18</f>
        <v/>
      </c>
      <c r="I2389">
        <f>IF(Skills!T18&lt;&gt;"",1+(Skills!T18/10)*(Z2374/1000)/100,1)</f>
        <v/>
      </c>
      <c r="J2389" t="inlineStr"/>
      <c r="K2389" t="inlineStr"/>
      <c r="L2389" t="inlineStr"/>
      <c r="M2389" t="inlineStr"/>
      <c r="N2389" t="inlineStr"/>
      <c r="O2389">
        <f>(1-Summary!$B$11)*S2389+Summary!$B$11*U2389</f>
        <v/>
      </c>
      <c r="P2389">
        <f>IF(B2407=0,0,O2389/B2407)</f>
        <v/>
      </c>
      <c r="Q2389">
        <f>IFERROR(1/IF(Inputs!$B$38="pvp",15,MAX(0.1,Skills!D18-IF(Skills!E18=TRUE,Inputs!$B$32,0))),0)</f>
        <v/>
      </c>
      <c r="R2389" t="n">
        <v>0</v>
      </c>
      <c r="S2389" t="n">
        <v>0</v>
      </c>
      <c r="U2389" t="n">
        <v>0</v>
      </c>
    </row>
    <row r="2390">
      <c r="A2390">
        <f>Skills!A19</f>
        <v/>
      </c>
      <c r="B2390">
        <f>Skills!B19</f>
        <v/>
      </c>
      <c r="C2390">
        <f>Inputs!$B$3&gt;=50</f>
        <v/>
      </c>
      <c r="D2390">
        <f>IF(Skills!C19=1,60+Inputs!$B$25+Inputs!$B$29,IF(Skills!C19=2,90+Inputs!$B$26+Inputs!$B$29,IF(Skills!C19=3,120+Inputs!$B$27+Inputs!$B$29,MAX(0,(Inputs!$B$3-100)*3)+Inputs!$B$28+Inputs!$B$29)))</f>
        <v/>
      </c>
      <c r="E2390">
        <f>INDEX(FactorTable!$B$2:$Y$301, MATCH(ROUND(MIN(300,MAX(1,D2390)),0), FactorTable!$A$2:$A$301,0), Skills!L19+1)</f>
        <v/>
      </c>
      <c r="F2390">
        <f>IF(Skills!M19=TRUE,(Skills!K19/10)*(E2390/1000),Skills!K19/10)+Skills!N19</f>
        <v/>
      </c>
      <c r="G2390">
        <f>Calc!G19</f>
        <v/>
      </c>
      <c r="H2390">
        <f>Calc!H19</f>
        <v/>
      </c>
      <c r="I2390">
        <f>IF(Skills!T19&lt;&gt;"",1+(Skills!T19/10)*(Z2374/1000)/100,1)</f>
        <v/>
      </c>
      <c r="J2390" t="inlineStr"/>
      <c r="K2390" t="inlineStr"/>
      <c r="L2390" t="inlineStr"/>
      <c r="M2390" t="inlineStr"/>
      <c r="N2390" t="inlineStr"/>
      <c r="O2390">
        <f>(1-Summary!$B$11)*S2390+Summary!$B$11*U2390</f>
        <v/>
      </c>
      <c r="P2390">
        <f>IF(B2407=0,0,O2390/B2407)</f>
        <v/>
      </c>
      <c r="Q2390">
        <f>IFERROR(1/IF(Inputs!$B$38="pvp",15,MAX(0.1,Skills!D19-IF(Skills!E19=TRUE,Inputs!$B$32,0))),0)</f>
        <v/>
      </c>
      <c r="R2390" t="n">
        <v>0</v>
      </c>
      <c r="S2390" t="n">
        <v>0</v>
      </c>
      <c r="U2390" t="n">
        <v>0</v>
      </c>
    </row>
    <row r="2391">
      <c r="A2391">
        <f>Skills!A20</f>
        <v/>
      </c>
      <c r="B2391">
        <f>Skills!B20</f>
        <v/>
      </c>
      <c r="C2391">
        <f>Inputs!$B$3&gt;=74</f>
        <v/>
      </c>
      <c r="D2391">
        <f>IF(Skills!C20=1,60+Inputs!$B$25+Inputs!$B$29,IF(Skills!C20=2,90+Inputs!$B$26+Inputs!$B$29,IF(Skills!C20=3,120+Inputs!$B$27+Inputs!$B$29,MAX(0,(Inputs!$B$3-100)*3)+Inputs!$B$28+Inputs!$B$29)))</f>
        <v/>
      </c>
      <c r="E2391">
        <f>INDEX(FactorTable!$B$2:$Y$301, MATCH(ROUND(MIN(300,MAX(1,D2391)),0), FactorTable!$A$2:$A$301,0), Skills!L20+1)</f>
        <v/>
      </c>
      <c r="F2391">
        <f>IF(Skills!M20=TRUE,(Skills!K20/10)*(E2391/1000),Skills!K20/10)+Skills!N20</f>
        <v/>
      </c>
      <c r="G2391">
        <f>Calc!G20</f>
        <v/>
      </c>
      <c r="H2391">
        <f>Calc!H20</f>
        <v/>
      </c>
      <c r="I2391">
        <f>IF(Skills!T20&lt;&gt;"",1+(Skills!T20/10)*(Z2374/1000)/100,1)</f>
        <v/>
      </c>
      <c r="J2391" t="inlineStr"/>
      <c r="K2391" t="inlineStr"/>
      <c r="L2391" t="inlineStr"/>
      <c r="M2391" t="inlineStr"/>
      <c r="N2391" t="inlineStr"/>
      <c r="O2391">
        <f>(1-Summary!$B$11)*S2391+Summary!$B$11*U2391</f>
        <v/>
      </c>
      <c r="P2391">
        <f>IF(B2407=0,0,O2391/B2407)</f>
        <v/>
      </c>
      <c r="Q2391">
        <f>IFERROR(1/IF(Inputs!$B$38="pvp",15,MAX(0.1,Skills!D20-IF(Skills!E20=TRUE,Inputs!$B$32,0))),0)</f>
        <v/>
      </c>
      <c r="R2391" t="n">
        <v>0</v>
      </c>
      <c r="S2391" t="n">
        <v>0</v>
      </c>
      <c r="U2391" t="n">
        <v>0</v>
      </c>
    </row>
    <row r="2392">
      <c r="A2392">
        <f>Skills!A21</f>
        <v/>
      </c>
      <c r="B2392">
        <f>Skills!B21</f>
        <v/>
      </c>
      <c r="C2392">
        <f>Inputs!$B$3&gt;=74</f>
        <v/>
      </c>
      <c r="D2392">
        <f>IF(Skills!C21=1,60+Inputs!$B$25+Inputs!$B$29,IF(Skills!C21=2,90+Inputs!$B$26+Inputs!$B$29,IF(Skills!C21=3,120+Inputs!$B$27+Inputs!$B$29,MAX(0,(Inputs!$B$3-100)*3)+Inputs!$B$28+Inputs!$B$29)))</f>
        <v/>
      </c>
      <c r="E2392">
        <f>INDEX(FactorTable!$B$2:$Y$301, MATCH(ROUND(MIN(300,MAX(1,D2392)),0), FactorTable!$A$2:$A$301,0), Skills!L21+1)</f>
        <v/>
      </c>
      <c r="F2392">
        <f>IF(Skills!M21=TRUE,(Skills!K21/10)*(E2392/1000),Skills!K21/10)+Skills!N21</f>
        <v/>
      </c>
      <c r="G2392">
        <f>Calc!G21</f>
        <v/>
      </c>
      <c r="H2392">
        <f>Calc!H21</f>
        <v/>
      </c>
      <c r="I2392">
        <f>IF(Skills!T21&lt;&gt;"",1+(Skills!T21/10)*(Z2374/1000)/100,1)</f>
        <v/>
      </c>
      <c r="J2392" t="inlineStr"/>
      <c r="K2392" t="inlineStr"/>
      <c r="L2392" t="inlineStr"/>
      <c r="M2392" t="inlineStr"/>
      <c r="N2392" t="inlineStr"/>
      <c r="O2392">
        <f>(1-Summary!$B$11)*S2392+Summary!$B$11*U2392</f>
        <v/>
      </c>
      <c r="P2392">
        <f>IF(B2407=0,0,O2392/B2407)</f>
        <v/>
      </c>
      <c r="Q2392">
        <f>IFERROR(1/IF(Inputs!$B$38="pvp",15,MAX(0.1,Skills!D21-IF(Skills!E21=TRUE,Inputs!$B$32,0))),0)</f>
        <v/>
      </c>
      <c r="R2392" t="n">
        <v>0</v>
      </c>
      <c r="S2392" t="n">
        <v>0</v>
      </c>
      <c r="U2392" t="n">
        <v>0</v>
      </c>
    </row>
    <row r="2393">
      <c r="A2393">
        <f>Skills!A22</f>
        <v/>
      </c>
      <c r="B2393">
        <f>Skills!B22</f>
        <v/>
      </c>
      <c r="C2393">
        <f>Inputs!$B$3&gt;=117</f>
        <v/>
      </c>
      <c r="D2393">
        <f>IF(Skills!C22=1,60+Inputs!$B$25+Inputs!$B$29,IF(Skills!C22=2,90+Inputs!$B$26+Inputs!$B$29,IF(Skills!C22=3,120+Inputs!$B$27+Inputs!$B$29,MAX(0,(Inputs!$B$3-100)*3)+Inputs!$B$28+Inputs!$B$29)))</f>
        <v/>
      </c>
      <c r="E2393">
        <f>INDEX(FactorTable!$B$2:$Y$301, MATCH(ROUND(MIN(300,MAX(1,D2393)),0), FactorTable!$A$2:$A$301,0), Skills!L22+1)</f>
        <v/>
      </c>
      <c r="F2393">
        <f>IF(Skills!M22=TRUE,(Skills!K22/10)*(E2393/1000),Skills!K22/10)+Skills!N22</f>
        <v/>
      </c>
      <c r="G2393">
        <f>Calc!G22</f>
        <v/>
      </c>
      <c r="H2393">
        <f>Calc!H22</f>
        <v/>
      </c>
      <c r="I2393">
        <f>IF(Skills!T22&lt;&gt;"",1+(Skills!T22/10)*(Z2374/1000)/100,1)</f>
        <v/>
      </c>
      <c r="J2393" t="inlineStr"/>
      <c r="K2393" t="inlineStr"/>
      <c r="L2393" t="inlineStr"/>
      <c r="M2393" t="inlineStr"/>
      <c r="N2393" t="inlineStr"/>
      <c r="O2393">
        <f>(1-Summary!$B$11)*S2393+Summary!$B$11*U2393</f>
        <v/>
      </c>
      <c r="P2393">
        <f>IF(B2407=0,0,O2393/B2407)</f>
        <v/>
      </c>
      <c r="Q2393">
        <f>IFERROR(1/IF(Inputs!$B$38="pvp",15,MAX(0.1,Skills!D22-IF(Skills!E22=TRUE,Inputs!$B$32,0))),0)</f>
        <v/>
      </c>
      <c r="R2393" t="n">
        <v>0</v>
      </c>
      <c r="S2393" t="n">
        <v>0</v>
      </c>
      <c r="U2393" t="n">
        <v>0</v>
      </c>
    </row>
    <row r="2394">
      <c r="A2394">
        <f>Skills!A23</f>
        <v/>
      </c>
      <c r="B2394">
        <f>Skills!B23</f>
        <v/>
      </c>
      <c r="C2394">
        <f>Inputs!$B$3&gt;=120</f>
        <v/>
      </c>
      <c r="D2394">
        <f>IF(Skills!C23=1,60+Inputs!$B$25+Inputs!$B$29,IF(Skills!C23=2,90+Inputs!$B$26+Inputs!$B$29,IF(Skills!C23=3,120+Inputs!$B$27+Inputs!$B$29,MAX(0,(Inputs!$B$3-100)*3)+Inputs!$B$28+Inputs!$B$29)))</f>
        <v/>
      </c>
      <c r="E2394">
        <f>INDEX(FactorTable!$B$2:$Y$301, MATCH(ROUND(MIN(300,MAX(1,D2394)),0), FactorTable!$A$2:$A$301,0), Skills!L23+1)</f>
        <v/>
      </c>
      <c r="F2394">
        <f>IF(Skills!M23=TRUE,(Skills!K23/10)*(E2394/1000),Skills!K23/10)+Skills!N23</f>
        <v/>
      </c>
      <c r="G2394">
        <f>Calc!G23</f>
        <v/>
      </c>
      <c r="H2394">
        <f>Calc!H23</f>
        <v/>
      </c>
      <c r="I2394">
        <f>IF(Skills!T23&lt;&gt;"",1+(Skills!T23/10)*(Z2374/1000)/100,1)</f>
        <v/>
      </c>
      <c r="J2394" t="inlineStr"/>
      <c r="K2394" t="inlineStr"/>
      <c r="L2394" t="inlineStr"/>
      <c r="M2394" t="inlineStr"/>
      <c r="N2394" t="inlineStr"/>
      <c r="O2394">
        <f>(1-Summary!$B$11)*S2394+Summary!$B$11*U2394</f>
        <v/>
      </c>
      <c r="P2394">
        <f>IF(B2407=0,0,O2394/B2407)</f>
        <v/>
      </c>
      <c r="Q2394">
        <f>IFERROR(1/IF(Inputs!$B$38="pvp",15,MAX(0.1,Skills!D23-IF(Skills!E23=TRUE,Inputs!$B$32,0))),0)</f>
        <v/>
      </c>
      <c r="R2394" t="n">
        <v>0</v>
      </c>
      <c r="S2394" t="n">
        <v>0</v>
      </c>
      <c r="U2394" t="n">
        <v>0</v>
      </c>
    </row>
    <row r="2397">
      <c r="A2397" t="inlineStr">
        <is>
          <t>Average Buff Multiplier (Magic Guard + Meditation + Artifact Attack%, summed; then Infinity)</t>
        </is>
      </c>
      <c r="B2397">
        <f>(1+(IF(C2374=TRUE,F2374*IF(AND(Inputs!$B$38&lt;&gt;"pvp",Inputs!$B$43&gt;0),(((R2374-1)*(Skills!S3*(1+(Inputs!$B$34+IF(Inputs!$B$3&gt;=117,F2393,0))/100))+MIN((Skills!S3*(1+(Inputs!$B$34+IF(Inputs!$B$3&gt;=117,F2393,0))/100)),MAX(0,Inputs!$B$43-((R2374-1)*Skills!D3))))/Inputs!$B$43),IF(Inputs!$B$38="pvp",MIN((Skills!S3*(1+(Inputs!$B$34+IF(Inputs!$B$3&gt;=117,F2393,0))/100)),15)/15,(Skills!S3*(1+(Inputs!$B$34+IF(Inputs!$B$3&gt;=117,F2393,0))/100))/Skills!D3)),0)+IF(C2375=TRUE,F2375*IF(AND(Inputs!$B$38&lt;&gt;"pvp",Inputs!$B$43&gt;0),(((R2375-1)*(Skills!S4*(1+(Inputs!$B$34+IF(Inputs!$B$3&gt;=117,F2393,0))/100))+MIN((Skills!S4*(1+(Inputs!$B$34+IF(Inputs!$B$3&gt;=117,F2393,0))/100)),MAX(0,Inputs!$B$43-((R2375-1)*Skills!D4))))/Inputs!$B$43),IF(Inputs!$B$38="pvp",MIN((Skills!S4*(1+(Inputs!$B$34+IF(Inputs!$B$3&gt;=117,F2393,0))/100)),15)/15,(Skills!S4*(1+(Inputs!$B$34+IF(Inputs!$B$3&gt;=117,F2393,0)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2387=TRUE,(1+F2387*IF(AND(Inputs!$B$38&lt;&gt;"pvp",Inputs!$B$43&gt;0),(((R2387-1)*(Skills!S16*(1+(Inputs!$B$34+IF(Inputs!$B$3&gt;=117,F2393,0))/100))+MIN((Skills!S16*(1+(Inputs!$B$34+IF(Inputs!$B$3&gt;=117,F2393,0))/100)),MAX(0,Inputs!$B$43-((R2387-1)*Skills!D16))))/Inputs!$B$43),IF(Inputs!$B$38="pvp",MIN((Skills!S16*(1+(Inputs!$B$34+IF(Inputs!$B$3&gt;=117,F2393,0))/100)),15)/15,(Skills!S16*(1+(Inputs!$B$34+IF(Inputs!$B$3&gt;=117,F2393,0))/100))/Skills!D16))/100),1)</f>
        <v/>
      </c>
    </row>
    <row r="2398">
      <c r="A2398" t="inlineStr">
        <is>
          <t>Monster Damage Taken Bonus % (Freezing Breath - Weaken + Elemental Reset + Artifact Enemy Damage Taken, summed)</t>
        </is>
      </c>
      <c r="B2398">
        <f>IF(Inputs!$B$3&gt;=118,15*IF(Inputs!$B$38="pvp",MIN((30*(1+(Inputs!$B$34+IF(Inputs!$B$3&gt;=117,F2393,0))/100)),15)/15,(30*(1+(Inputs!$B$34+IF(Inputs!$B$3&gt;=117,F2393,0))/100))/Skills!D8),0)+IF(C2385=TRUE,F2385,0)+(IF(AND(ArtifactsInput!$M$35,Inputs!$B$4&lt;&gt;"Chapter Hunt"),CHOOSE(ArtifactsInput!$N$35+1,15,18,21,24,27,30)*(1-EXP(-(0.2*B2401)*5)),0)+IF(AND(ArtifactsInput!$M$22,Inputs!$B$4&lt;&gt;"Chapter Hunt"),CHOOSE(ArtifactsInput!$N$22+1,10,12,14,16,18,20)*((0*(((0.15*B2401*5))^0/1)+1*(((0.15*B2401*5))^1/1)+2*(((0.15*B2401*5))^2/2)+3*(((0.15*B2401*5))^3/6)+4*(((0.15*B2401*5))^4/24)+5*(((0.15*B2401*5))^5/120))/((((0.15*B2401*5))^0/1)+(((0.15*B2401*5))^1/1)+(((0.15*B2401*5))^2/2)+(((0.15*B2401*5))^3/6)+(((0.15*B2401*5))^4/24)+(((0.15*B2401*5))^5/120))),0))</f>
        <v/>
      </c>
    </row>
    <row r="2399">
      <c r="A2399" t="inlineStr">
        <is>
          <t>Damage % Bonus (Frozen Break + Frost Clutch, flat)</t>
        </is>
      </c>
      <c r="B2399">
        <f>IF(Inputs!$B$3&gt;=66,15,0)+IF(Inputs!$B$3&gt;=98,10,0)+IF(Inputs!$B$3&gt;=125,20,0)</f>
        <v/>
      </c>
    </row>
    <row r="2400">
      <c r="A2400" t="inlineStr">
        <is>
          <t>Attack Speed Bonus % (MP Eater - MP Boost, always-on once unlocked)</t>
        </is>
      </c>
      <c r="B2400">
        <f>IF(C2384=TRUE,F2384+(F2388-Calc!F17),0)</f>
        <v/>
      </c>
    </row>
    <row r="2401">
      <c r="A2401" t="inlineStr">
        <is>
          <t>Actions Per Second</t>
        </is>
      </c>
      <c r="B2401">
        <f>1+MIN(150,150*(1-(1-(Inputs!$B$11+(ArtifactsInput!$M$15-ArtifactsInput!$M$15)*CHOOSE(ArtifactsInput!$N$15+1,8,9.6,11.2,12.8,14.4,16))/150)*(1-B2400/150)))/100</f>
        <v/>
      </c>
    </row>
    <row r="2402">
      <c r="A2402" t="inlineStr">
        <is>
          <t>Skill + Buff Cast Rate</t>
        </is>
      </c>
      <c r="B2402">
        <f>IF(AND(Inputs!$B$38&lt;&gt;"pvp",Inputs!$B$43&gt;0),SUMPRODUCT((Skills!E2:E23=TRUE)*(C2373:C2394=TRUE)*R2373:R2394)/Inputs!$B$43,SUMPRODUCT((Skills!E2:E23=TRUE)*(C2373:C2394=TRUE)*Q2373:Q2394))</f>
        <v/>
      </c>
    </row>
    <row r="2403">
      <c r="A2403" t="inlineStr">
        <is>
          <t>Chain Lightning Casts Per Second</t>
        </is>
      </c>
      <c r="B2403">
        <f>MAX(0,B2401-B2402)</f>
        <v/>
      </c>
    </row>
    <row r="2404">
      <c r="A2404" t="inlineStr">
        <is>
          <t>Buff-Casting Startup Delay (s, fixed-duration only)</t>
        </is>
      </c>
      <c r="B2404">
        <f>IF(AND(Inputs!$B$38&lt;&gt;"pvp",Inputs!$B$43&gt;0),SUMPRODUCT((Skills!S2:S23&gt;0)*(Skills!E2:E23=TRUE)*(C2373:C2394=TRUE))/B2401,0)</f>
        <v/>
      </c>
    </row>
    <row r="2405">
      <c r="A2405" t="inlineStr">
        <is>
          <t>Boss-Only Total DPS (this block's swept value)</t>
        </is>
      </c>
      <c r="B2405">
        <f>SUM(S2373:S2394)</f>
        <v/>
      </c>
    </row>
    <row r="2406">
      <c r="A2406" t="inlineStr">
        <is>
          <t>Normal-Only Total DPS (this block's swept value)</t>
        </is>
      </c>
      <c r="B2406">
        <f>SUM(U2373:U2394)</f>
        <v/>
      </c>
    </row>
    <row r="2407">
      <c r="A2407" s="6" t="inlineStr">
        <is>
          <t>TOTAL DPS</t>
        </is>
      </c>
      <c r="B2407" s="6">
        <f>SUM(O2373:O2394)</f>
        <v/>
      </c>
    </row>
    <row r="2410">
      <c r="A2410" s="6" t="inlineStr">
        <is>
          <t>Stat: Ring of Cycles (Equip)</t>
        </is>
      </c>
    </row>
    <row r="2411">
      <c r="A2411" s="5" t="inlineStr">
        <is>
          <t>Key</t>
        </is>
      </c>
      <c r="B2411" s="5" t="inlineStr">
        <is>
          <t>Name</t>
        </is>
      </c>
      <c r="C2411" s="5" t="inlineStr">
        <is>
          <t>Unlocked</t>
        </is>
      </c>
      <c r="D2411" s="5" t="inlineStr">
        <is>
          <t>InputLevel</t>
        </is>
      </c>
      <c r="E2411" s="5" t="inlineStr">
        <is>
          <t>Factor</t>
        </is>
      </c>
      <c r="F2411" s="5" t="inlineStr">
        <is>
          <t>CoefficientPercent</t>
        </is>
      </c>
      <c r="G2411" s="5" t="inlineStr">
        <is>
          <t>EffectiveHits</t>
        </is>
      </c>
      <c r="H2411" s="5" t="inlineStr">
        <is>
          <t>ProcProbability</t>
        </is>
      </c>
      <c r="I2411" s="5" t="inlineStr">
        <is>
          <t>MapleHeroMultiplier</t>
        </is>
      </c>
      <c r="J2411" s="5" t="inlineStr">
        <is>
          <t>BaseDamage</t>
        </is>
      </c>
      <c r="K2411" s="5" t="inlineStr">
        <is>
          <t>BaseHitDamage</t>
        </is>
      </c>
      <c r="L2411" s="5" t="inlineStr">
        <is>
          <t>NonCritAvg</t>
        </is>
      </c>
      <c r="M2411" s="5" t="inlineStr">
        <is>
          <t>CritAvg</t>
        </is>
      </c>
      <c r="N2411" s="5" t="inlineStr">
        <is>
          <t>ExpectedDamage(perHit)</t>
        </is>
      </c>
      <c r="O2411" s="5" t="inlineStr">
        <is>
          <t>DPS</t>
        </is>
      </c>
      <c r="P2411" s="5" t="inlineStr">
        <is>
          <t>% of Total</t>
        </is>
      </c>
      <c r="R2411" t="inlineStr">
        <is>
          <t>helpers</t>
        </is>
      </c>
    </row>
    <row r="2412">
      <c r="A2412">
        <f>Skills!A2</f>
        <v/>
      </c>
      <c r="B2412">
        <f>Skills!B2</f>
        <v/>
      </c>
      <c r="C2412">
        <f>Inputs!$B$3&gt;=100</f>
        <v/>
      </c>
      <c r="D2412" t="inlineStr"/>
      <c r="E2412" t="inlineStr"/>
      <c r="F2412">
        <f>T2414+Skills!N2</f>
        <v/>
      </c>
      <c r="G2412">
        <f>Calc!G2</f>
        <v/>
      </c>
      <c r="H2412">
        <f>Calc!H2</f>
        <v/>
      </c>
      <c r="I2412">
        <f>IF(Skills!T2&lt;&gt;"",1+(Skills!T2/10)*(Z2413/1000)/100,1)</f>
        <v/>
      </c>
      <c r="J2412">
        <f>((Inputs!$B$6*(1+Inputs!$B$7/100))+(((Inputs!$B$12*(1+Inputs!$B$13/100))-(Inputs!$B$12*(1+Inputs!$B$13/100)))+0.25*(Inputs!$B$14-Inputs!$B$14))*(1+Inputs!$B$7/100))*(F2412/100)</f>
        <v/>
      </c>
      <c r="K2412">
        <f>J2412*(1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2428-Calc!F18),(Inputs!$B$23+(IF(ArtifactsInput!$M$15,CHOOSE(ArtifactsInput!$N$15+1,25,30,35,40,45,50)/100*(Inputs!$B$11-Inputs!$B$11),0))))/100+(Inputs!$B$23+(IF(ArtifactsInput!$M$15,CHOOSE(ArtifactsInput!$N$15+1,25,30,35,40,45,50)/100*(Inputs!$B$11-Inputs!$B$11),0)))/100)/2</f>
        <v/>
      </c>
      <c r="M2412">
        <f>L2412*(1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IF(B2446=0,0,O2412/B2446)</f>
        <v/>
      </c>
      <c r="Q2412">
        <f>IFERROR(1/IF(Inputs!$B$38="pvp",15,MAX(0.1,Skills!D2-IF(Skills!E2=TRUE,Inputs!$B$32,0))),0)</f>
        <v/>
      </c>
      <c r="R2412" t="n">
        <v>0</v>
      </c>
      <c r="S2412">
        <f>IF(C2412,(Skills!F2*N2412*B2442)*IF(Inputs!$B$38="pvp",1,1+(Inputs!$B$20+Skills!O2+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12">
        <f>MAX(0,(Inputs!$B$3-100)*3)+Inputs!$B$28+Inputs!$B$29</f>
        <v/>
      </c>
      <c r="U2412">
        <f>IF(C2412,(Skills!F2*N2412*B2442)*IF(Inputs!$B$38="pvp",1,(1+(Inputs!$B$21+Skills!P2+B2437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12">
        <f>MAX(0,(Inputs!$B$3-100)*3)+Inputs!$B$28+Inputs!$B$29</f>
        <v/>
      </c>
    </row>
    <row r="2413">
      <c r="A2413">
        <f>Skills!A3</f>
        <v/>
      </c>
      <c r="B2413">
        <f>Skills!B3</f>
        <v/>
      </c>
      <c r="C2413">
        <f>Inputs!$B$3&gt;=15</f>
        <v/>
      </c>
      <c r="D2413">
        <f>IF(Skills!C3=1,60+Inputs!$B$25+Inputs!$B$29,IF(Skills!C3=2,90+Inputs!$B$26+Inputs!$B$29,IF(Skills!C3=3,120+Inputs!$B$27+Inputs!$B$29,MAX(0,(Inputs!$B$3-100)*3)+Inputs!$B$28+Inputs!$B$29)))</f>
        <v/>
      </c>
      <c r="E2413">
        <f>INDEX(FactorTable!$B$2:$Y$301, MATCH(ROUND(MIN(300,MAX(1,D2413)),0), FactorTable!$A$2:$A$301,0), Skills!L3+1)</f>
        <v/>
      </c>
      <c r="F2413">
        <f>IF(Skills!M3=TRUE,(Skills!K3/10)*(E2413/1000),Skills!K3/10)+Skills!N3</f>
        <v/>
      </c>
      <c r="G2413">
        <f>Calc!G3</f>
        <v/>
      </c>
      <c r="H2413">
        <f>Calc!H3</f>
        <v/>
      </c>
      <c r="I2413">
        <f>IF(Skills!T3&lt;&gt;"",1+(Skills!T3/10)*(Z2413/1000)/100,1)</f>
        <v/>
      </c>
      <c r="J2413" t="inlineStr"/>
      <c r="K2413" t="inlineStr"/>
      <c r="L2413" t="inlineStr"/>
      <c r="M2413" t="inlineStr"/>
      <c r="N2413" t="inlineStr"/>
      <c r="O2413">
        <f>(1-Summary!$B$11)*S2413+Summary!$B$11*U2413</f>
        <v/>
      </c>
      <c r="P2413">
        <f>IF(B2446=0,0,O2413/B2446)</f>
        <v/>
      </c>
      <c r="Q2413">
        <f>IFERROR(1/IF(Inputs!$B$38="pvp",15,MAX(0.1,Skills!D3-IF(Skills!E3=TRUE,Inputs!$B$32,0))),0)</f>
        <v/>
      </c>
      <c r="R2413">
        <f>IF(AND(Inputs!$B$38&lt;&gt;"pvp",Inputs!$B$43&gt;0),IF(Inputs!$B$43&lt;=0,0,(INT(Inputs!$B$43/IF(Inputs!$B$38="pvp",15,MAX(0.1,Skills!D3-IF(Skills!E3=TRUE,Inputs!$B$32,0))))+1)),0)</f>
        <v/>
      </c>
      <c r="S2413" t="n">
        <v>0</v>
      </c>
      <c r="T2413">
        <f>INDEX(FactorTable!$B$2:$Y$301, MATCH(ROUND(MIN(300,MAX(1,T2412)),0), FactorTable!$A$2:$A$301,0), 22)</f>
        <v/>
      </c>
      <c r="U2413" t="n">
        <v>0</v>
      </c>
      <c r="Z2413">
        <f>INDEX(FactorTable!$B$2:$Y$301, MATCH(ROUND(MIN(300,MAX(1,Z2412)),0), FactorTable!$A$2:$A$301,0), 24)</f>
        <v/>
      </c>
    </row>
    <row r="2414">
      <c r="A2414">
        <f>Skills!A4</f>
        <v/>
      </c>
      <c r="B2414">
        <f>Skills!B4</f>
        <v/>
      </c>
      <c r="C2414">
        <f>Inputs!$B$3&gt;=40</f>
        <v/>
      </c>
      <c r="D2414">
        <f>IF(Skills!C4=1,60+Inputs!$B$25+Inputs!$B$29,IF(Skills!C4=2,90+Inputs!$B$26+Inputs!$B$29,IF(Skills!C4=3,120+Inputs!$B$27+Inputs!$B$29,MAX(0,(Inputs!$B$3-100)*3)+Inputs!$B$28+Inputs!$B$29)))</f>
        <v/>
      </c>
      <c r="E2414">
        <f>INDEX(FactorTable!$B$2:$Y$301, MATCH(ROUND(MIN(300,MAX(1,D2414)),0), FactorTable!$A$2:$A$301,0), Skills!L4+1)</f>
        <v/>
      </c>
      <c r="F2414">
        <f>IF(Skills!M4=TRUE,(Skills!K4/10)*(E2414/1000),Skills!K4/10)+Skills!N4</f>
        <v/>
      </c>
      <c r="G2414">
        <f>Calc!G4</f>
        <v/>
      </c>
      <c r="H2414">
        <f>Calc!H4</f>
        <v/>
      </c>
      <c r="I2414">
        <f>IF(Skills!T4&lt;&gt;"",1+(Skills!T4/10)*(Z2413/1000)/100,1)</f>
        <v/>
      </c>
      <c r="J2414" t="inlineStr"/>
      <c r="K2414" t="inlineStr"/>
      <c r="L2414" t="inlineStr"/>
      <c r="M2414" t="inlineStr"/>
      <c r="N2414" t="inlineStr"/>
      <c r="O2414">
        <f>(1-Summary!$B$11)*S2414+Summary!$B$11*U2414</f>
        <v/>
      </c>
      <c r="P2414">
        <f>IF(B2446=0,0,O2414/B2446)</f>
        <v/>
      </c>
      <c r="Q2414">
        <f>IFERROR(1/IF(Inputs!$B$38="pvp",15,MAX(0.1,Skills!D4-IF(Skills!E4=TRUE,Inputs!$B$32,0))),0)</f>
        <v/>
      </c>
      <c r="R2414">
        <f>IF(AND(Inputs!$B$38&lt;&gt;"pvp",Inputs!$B$43&gt;0),IF(Inputs!$B$43&lt;=0,0,(INT(Inputs!$B$43/IF(Inputs!$B$38="pvp",15,MAX(0.1,Skills!D4-IF(Skills!E4=TRUE,Inputs!$B$32,0))))+1)),0)</f>
        <v/>
      </c>
      <c r="S2414" t="n">
        <v>0</v>
      </c>
      <c r="T2414">
        <f>290*T2413/1000</f>
        <v/>
      </c>
      <c r="U2414" t="n">
        <v>0</v>
      </c>
    </row>
    <row r="2415">
      <c r="A2415">
        <f>Skills!A5</f>
        <v/>
      </c>
      <c r="B2415">
        <f>Skills!B5</f>
        <v/>
      </c>
      <c r="C2415">
        <f>Inputs!$B$3&gt;=38</f>
        <v/>
      </c>
      <c r="D2415">
        <f>IF(Skills!C5=1,60+Inputs!$B$25+Inputs!$B$29,IF(Skills!C5=2,90+Inputs!$B$26+Inputs!$B$29,IF(Skills!C5=3,120+Inputs!$B$27+Inputs!$B$29,MAX(0,(Inputs!$B$3-100)*3)+Inputs!$B$28+Inputs!$B$29)))</f>
        <v/>
      </c>
      <c r="E2415">
        <f>INDEX(FactorTable!$B$2:$Y$301, MATCH(ROUND(MIN(300,MAX(1,D2415)),0), FactorTable!$A$2:$A$301,0), Skills!L5+1)</f>
        <v/>
      </c>
      <c r="F2415">
        <f>IF(Skills!M5=TRUE,(Skills!K5/10)*(E2415/1000),Skills!K5/10)+Skills!N5</f>
        <v/>
      </c>
      <c r="G2415">
        <f>Calc!G5</f>
        <v/>
      </c>
      <c r="H2415">
        <f>Calc!H5</f>
        <v/>
      </c>
      <c r="I2415">
        <f>IF(Skills!T5&lt;&gt;"",1+(Skills!T5/10)*(Z2413/1000)/100,1)</f>
        <v/>
      </c>
      <c r="J2415">
        <f>((Inputs!$B$6*(1+Inputs!$B$7/100))+(((Inputs!$B$12*(1+Inputs!$B$13/100))-(Inputs!$B$12*(1+Inputs!$B$13/100)))+0.25*(Inputs!$B$14-Inputs!$B$14))*(1+Inputs!$B$7/100))*(F2415/100)</f>
        <v/>
      </c>
      <c r="K2415">
        <f>J2415*(1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5="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2428-Calc!F18),(Inputs!$B$23+(IF(ArtifactsInput!$M$15,CHOOSE(ArtifactsInput!$N$15+1,25,30,35,40,45,50)/100*(Inputs!$B$11-Inputs!$B$11),0))))/100+(Inputs!$B$23+(IF(ArtifactsInput!$M$15,CHOOSE(ArtifactsInput!$N$15+1,25,30,35,40,45,50)/100*(Inputs!$B$11-Inputs!$B$11),0)))/100)/2</f>
        <v/>
      </c>
      <c r="M2415">
        <f>L2415*(1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IF(B2446=0,0,O2415/B2446)</f>
        <v/>
      </c>
      <c r="Q2415">
        <f>IFERROR(1/IF(Inputs!$B$38="pvp",15,MAX(0.1,Skills!D5-IF(Skills!E5=TRUE,Inputs!$B$32,0))),0)</f>
        <v/>
      </c>
      <c r="R2415">
        <f>IF(AND(Inputs!$B$38&lt;&gt;"pvp",Inputs!$B$43&gt;0),IF(MAX(0,Inputs!$B$43-B2443)&lt;=0,0,(INT(MAX(0,Inputs!$B$43-B2443)/IF(Inputs!$B$38="pvp",15,MAX(0.1,Skills!D5-IF(Skills!E5=TRUE,Inputs!$B$32,0))))+1)),0)</f>
        <v/>
      </c>
      <c r="S2415">
        <f>IF(C2415,(H2415*N2415*IF(AND(Inputs!$B$38&lt;&gt;"pvp",Inputs!$B$43&gt;0),((Skills!F5*((R2415-1)*IF(Skills!G5&gt;0,Skills!H5/Skills!G5,1)+IF(Skills!G5&gt;0,MIN(Skills!H5,MAX(0,MAX(0,Inputs!$B$43-B2443)-((R2415-1)*IF(Inputs!$B$38="pvp",15,MAX(0.1,Skills!D5-IF(Skills!E5=TRUE,Inputs!$B$32,0))))))/Skills!G5,1)))/Inputs!$B$43),G2415*Q2415))*IF(Inputs!$B$38="pvp",1,1+(Inputs!$B$20+Skills!O5+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F5*((R2415-1)*IF(Skills!G5&gt;0,Skills!H5/Skills!G5,1)+IF(Skills!G5&gt;0,MIN(Skills!H5,MAX(0,MAX(0,Inputs!$B$43-B2443)-((R2415-1)*IF(Inputs!$B$38="pvp",15,MAX(0.1,Skills!D5-IF(Skills!E5=TRUE,Inputs!$B$32,0))))))/Skills!G5,1)))/Inputs!$B$43),G2415*Q2415))*IF(Inputs!$B$38="pvp",1,(1+(Inputs!$B$21+Skills!P5+B2437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Skills!A6</f>
        <v/>
      </c>
      <c r="B2416">
        <f>Skills!B6</f>
        <v/>
      </c>
      <c r="C2416">
        <f>Inputs!$B$3&gt;=63</f>
        <v/>
      </c>
      <c r="D2416">
        <f>IF(Skills!C6=1,60+Inputs!$B$25+Inputs!$B$29,IF(Skills!C6=2,90+Inputs!$B$26+Inputs!$B$29,IF(Skills!C6=3,120+Inputs!$B$27+Inputs!$B$29,MAX(0,(Inputs!$B$3-100)*3)+Inputs!$B$28+Inputs!$B$29)))</f>
        <v/>
      </c>
      <c r="E2416">
        <f>INDEX(FactorTable!$B$2:$Y$301, MATCH(ROUND(MIN(300,MAX(1,D2416)),0), FactorTable!$A$2:$A$301,0), Skills!L6+1)</f>
        <v/>
      </c>
      <c r="F2416">
        <f>IF(Skills!M6=TRUE,(Skills!K6/10)*(E2416/1000),Skills!K6/10)+Skills!N6</f>
        <v/>
      </c>
      <c r="G2416">
        <f>Calc!G6</f>
        <v/>
      </c>
      <c r="H2416">
        <f>Calc!H6</f>
        <v/>
      </c>
      <c r="I2416">
        <f>IF(Skills!T6&lt;&gt;"",1+(Skills!T6/10)*(Z2413/1000)/100,1)</f>
        <v/>
      </c>
      <c r="J2416">
        <f>((Inputs!$B$6*(1+Inputs!$B$7/100))+(((Inputs!$B$12*(1+Inputs!$B$13/100))-(Inputs!$B$12*(1+Inputs!$B$13/100)))+0.25*(Inputs!$B$14-Inputs!$B$14))*(1+Inputs!$B$7/100))*(F2416/100)</f>
        <v/>
      </c>
      <c r="K2416">
        <f>J2416*(1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6="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2428-Calc!F18),(Inputs!$B$23+(IF(ArtifactsInput!$M$15,CHOOSE(ArtifactsInput!$N$15+1,25,30,35,40,45,50)/100*(Inputs!$B$11-Inputs!$B$11),0))))/100+(Inputs!$B$23+(IF(ArtifactsInput!$M$15,CHOOSE(ArtifactsInput!$N$15+1,25,30,35,40,45,50)/100*(Inputs!$B$11-Inputs!$B$11),0)))/100)/2</f>
        <v/>
      </c>
      <c r="M2416">
        <f>L2416*(1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IF(B2446=0,0,O2416/B2446)</f>
        <v/>
      </c>
      <c r="Q2416">
        <f>IFERROR(1/IF(Inputs!$B$38="pvp",15,MAX(0.1,Skills!D6-IF(Skills!E6=TRUE,Inputs!$B$32,0))),0)</f>
        <v/>
      </c>
      <c r="R2416">
        <f>IF(AND(Inputs!$B$38&lt;&gt;"pvp",Inputs!$B$43&gt;0),IF(MAX(0,Inputs!$B$43-B2443)&lt;=0,0,(INT(MAX(0,Inputs!$B$43-B2443)/IF(Inputs!$B$38="pvp",15,MAX(0.1,Skills!D6-IF(Skills!E6=TRUE,Inputs!$B$32,0))))+1)),0)</f>
        <v/>
      </c>
      <c r="S2416">
        <f>IF(C2416,(H2416*N2416*IF(AND(Inputs!$B$38&lt;&gt;"pvp",Inputs!$B$43&gt;0),((Skills!F6*((R2416-1)*IF(Skills!G6&gt;0,Skills!H6/Skills!G6,1)+IF(Skills!G6&gt;0,MIN(Skills!H6,MAX(0,MAX(0,Inputs!$B$43-B2443)-((R2416-1)*IF(Inputs!$B$38="pvp",15,MAX(0.1,Skills!D6-IF(Skills!E6=TRUE,Inputs!$B$32,0))))))/Skills!G6,1)))/Inputs!$B$43),G2416*Q2416))*IF(Inputs!$B$38="pvp",1,1+(Inputs!$B$20+Skills!O6+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N2416*IF(AND(Inputs!$B$38&lt;&gt;"pvp",Inputs!$B$43&gt;0),((Skills!F6*((R2416-1)*IF(Skills!G6&gt;0,Skills!H6/Skills!G6,1)+IF(Skills!G6&gt;0,MIN(Skills!H6,MAX(0,MAX(0,Inputs!$B$43-B2443)-((R2416-1)*IF(Inputs!$B$38="pvp",15,MAX(0.1,Skills!D6-IF(Skills!E6=TRUE,Inputs!$B$32,0))))))/Skills!G6,1)))/Inputs!$B$43),G2416*Q2416))*IF(Inputs!$B$38="pvp",1,(1+(Inputs!$B$21+Skills!P6+B2437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Skills!A7</f>
        <v/>
      </c>
      <c r="B2417">
        <f>Skills!B7</f>
        <v/>
      </c>
      <c r="C2417">
        <f>Inputs!$B$3&gt;=69</f>
        <v/>
      </c>
      <c r="D2417">
        <f>IF(Skills!C7=1,60+Inputs!$B$25+Inputs!$B$29,IF(Skills!C7=2,90+Inputs!$B$26+Inputs!$B$29,IF(Skills!C7=3,120+Inputs!$B$27+Inputs!$B$29,MAX(0,(Inputs!$B$3-100)*3)+Inputs!$B$28+Inputs!$B$29)))</f>
        <v/>
      </c>
      <c r="E2417">
        <f>INDEX(FactorTable!$B$2:$Y$301, MATCH(ROUND(MIN(300,MAX(1,D2417)),0), FactorTable!$A$2:$A$301,0), Skills!L7+1)</f>
        <v/>
      </c>
      <c r="F2417">
        <f>IF(Skills!M7=TRUE,(Skills!K7/10)*(E2417/1000),Skills!K7/10)+Skills!N7</f>
        <v/>
      </c>
      <c r="G2417">
        <f>Calc!G7</f>
        <v/>
      </c>
      <c r="H2417">
        <f>Calc!H7</f>
        <v/>
      </c>
      <c r="I2417">
        <f>IF(Skills!T7&lt;&gt;"",1+(Skills!T7/10)*(Z2413/1000)/100,1)</f>
        <v/>
      </c>
      <c r="J2417">
        <f>((Inputs!$B$6*(1+Inputs!$B$7/100))+(((Inputs!$B$12*(1+Inputs!$B$13/100))-(Inputs!$B$12*(1+Inputs!$B$13/100)))+0.25*(Inputs!$B$14-Inputs!$B$14))*(1+Inputs!$B$7/100))*(F2417/100)</f>
        <v/>
      </c>
      <c r="K2417">
        <f>J2417*(1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7="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2428-Calc!F18),(Inputs!$B$23+(IF(ArtifactsInput!$M$15,CHOOSE(ArtifactsInput!$N$15+1,25,30,35,40,45,50)/100*(Inputs!$B$11-Inputs!$B$11),0))))/100+(Inputs!$B$23+(IF(ArtifactsInput!$M$15,CHOOSE(ArtifactsInput!$N$15+1,25,30,35,40,45,50)/100*(Inputs!$B$11-Inputs!$B$11),0)))/100)/2</f>
        <v/>
      </c>
      <c r="M2417">
        <f>L2417*(1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IF(B2446=0,0,O2417/B2446)</f>
        <v/>
      </c>
      <c r="Q2417">
        <f>IFERROR(1/IF(Inputs!$B$38="pvp",15,MAX(0.1,Skills!D7-IF(Skills!E7=TRUE,Inputs!$B$32,0))),0)</f>
        <v/>
      </c>
      <c r="R2417">
        <f>IF(AND(Inputs!$B$38&lt;&gt;"pvp",Inputs!$B$43&gt;0),IF(MAX(0,Inputs!$B$43-B2443)&lt;=0,0,(INT(MAX(0,Inputs!$B$43-B2443)/IF(Inputs!$B$38="pvp",15,MAX(0.1,Skills!D7-IF(Skills!E7=TRUE,Inputs!$B$32,0))))+1)),0)</f>
        <v/>
      </c>
      <c r="S2417">
        <f>IF(C2417,(H2417*N2417*IF(AND(Inputs!$B$38&lt;&gt;"pvp",Inputs!$B$43&gt;0),((Skills!F7*((R2417-1)*IF(Skills!G7&gt;0,Skills!H7/Skills!G7,1)+IF(Skills!G7&gt;0,MIN(Skills!H7,MAX(0,MAX(0,Inputs!$B$43-B2443)-((R2417-1)*IF(Inputs!$B$38="pvp",15,MAX(0.1,Skills!D7-IF(Skills!E7=TRUE,Inputs!$B$32,0))))))/Skills!G7,1)))/Inputs!$B$43),G2417*Q2417))*IF(Inputs!$B$38="pvp",1,1+(Inputs!$B$20+Skills!O7+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F7*((R2417-1)*IF(Skills!G7&gt;0,Skills!H7/Skills!G7,1)+IF(Skills!G7&gt;0,MIN(Skills!H7,MAX(0,MAX(0,Inputs!$B$43-B2443)-((R2417-1)*IF(Inputs!$B$38="pvp",15,MAX(0.1,Skills!D7-IF(Skills!E7=TRUE,Inputs!$B$32,0))))))/Skills!G7,1)))/Inputs!$B$43),G2417*Q2417))*IF(Inputs!$B$38="pvp",1,(1+(Inputs!$B$21+Skills!P7+B2437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Skills!A8</f>
        <v/>
      </c>
      <c r="B2418">
        <f>Skills!B8</f>
        <v/>
      </c>
      <c r="C2418">
        <f>Inputs!$B$3&gt;=103</f>
        <v/>
      </c>
      <c r="D2418">
        <f>IF(Skills!C8=1,60+Inputs!$B$25+Inputs!$B$29,IF(Skills!C8=2,90+Inputs!$B$26+Inputs!$B$29,IF(Skills!C8=3,120+Inputs!$B$27+Inputs!$B$29,MAX(0,(Inputs!$B$3-100)*3)+Inputs!$B$28+Inputs!$B$29)))</f>
        <v/>
      </c>
      <c r="E2418">
        <f>INDEX(FactorTable!$B$2:$Y$301, MATCH(ROUND(MIN(300,MAX(1,D2418)),0), FactorTable!$A$2:$A$301,0), Skills!L8+1)</f>
        <v/>
      </c>
      <c r="F2418">
        <f>IF(Skills!M8=TRUE,(Skills!K8/10)*(E2418/1000),Skills!K8/10)+Skills!N8</f>
        <v/>
      </c>
      <c r="G2418">
        <f>Calc!G8</f>
        <v/>
      </c>
      <c r="H2418">
        <f>Calc!H8</f>
        <v/>
      </c>
      <c r="I2418">
        <f>IF(Skills!T8&lt;&gt;"",1+(Skills!T8/10)*(Z2413/1000)/100,1)</f>
        <v/>
      </c>
      <c r="J2418">
        <f>((Inputs!$B$6*(1+Inputs!$B$7/100))+(((Inputs!$B$12*(1+Inputs!$B$13/100))-(Inputs!$B$12*(1+Inputs!$B$13/100)))+0.25*(Inputs!$B$14-Inputs!$B$14))*(1+Inputs!$B$7/100))*(F2418/100)</f>
        <v/>
      </c>
      <c r="K2418">
        <f>J2418*(1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8="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2428-Calc!F18),(Inputs!$B$23+(IF(ArtifactsInput!$M$15,CHOOSE(ArtifactsInput!$N$15+1,25,30,35,40,45,50)/100*(Inputs!$B$11-Inputs!$B$11),0))))/100+(Inputs!$B$23+(IF(ArtifactsInput!$M$15,CHOOSE(ArtifactsInput!$N$15+1,25,30,35,40,45,50)/100*(Inputs!$B$11-Inputs!$B$11),0)))/100)/2</f>
        <v/>
      </c>
      <c r="M2418">
        <f>L2418*(1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IF(B2446=0,0,O2418/B2446)</f>
        <v/>
      </c>
      <c r="Q2418">
        <f>IFERROR(1/IF(Inputs!$B$38="pvp",15,MAX(0.1,Skills!D8-IF(Skills!E8=TRUE,Inputs!$B$32,0))),0)</f>
        <v/>
      </c>
      <c r="R2418">
        <f>IF(AND(Inputs!$B$38&lt;&gt;"pvp",Inputs!$B$43&gt;0),IF(MAX(0,Inputs!$B$43-B2443)&lt;=0,0,(INT(MAX(0,Inputs!$B$43-B2443)/IF(Inputs!$B$38="pvp",15,MAX(0.1,Skills!D8-IF(Skills!E8=TRUE,Inputs!$B$32,0))))+1)),0)</f>
        <v/>
      </c>
      <c r="S2418">
        <f>IF(C2418,(H2418*N2418*IF(AND(Inputs!$B$38&lt;&gt;"pvp",Inputs!$B$43&gt;0),((Skills!F8*((R2418-1)*IF(Skills!G8&gt;0,Skills!H8/Skills!G8,1)+IF(Skills!G8&gt;0,MIN(Skills!H8,MAX(0,MAX(0,Inputs!$B$43-B2443)-((R2418-1)*IF(Inputs!$B$38="pvp",15,MAX(0.1,Skills!D8-IF(Skills!E8=TRUE,Inputs!$B$32,0))))))/Skills!G8,1)))/Inputs!$B$43),G2418*Q2418))*IF(Inputs!$B$38="pvp",1,1+(Inputs!$B$20+Skills!O8+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F8*((R2418-1)*IF(Skills!G8&gt;0,Skills!H8/Skills!G8,1)+IF(Skills!G8&gt;0,MIN(Skills!H8,MAX(0,MAX(0,Inputs!$B$43-B2443)-((R2418-1)*IF(Inputs!$B$38="pvp",15,MAX(0.1,Skills!D8-IF(Skills!E8=TRUE,Inputs!$B$32,0))))))/Skills!G8,1)))/Inputs!$B$43),G2418*Q2418))*IF(Inputs!$B$38="pvp",1,(1+(Inputs!$B$21+Skills!P8+B2437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Skills!A9</f>
        <v/>
      </c>
      <c r="B2419">
        <f>Skills!B9</f>
        <v/>
      </c>
      <c r="C2419">
        <f>Inputs!$B$3&gt;=105</f>
        <v/>
      </c>
      <c r="D2419">
        <f>IF(Skills!C9=1,60+Inputs!$B$25+Inputs!$B$29,IF(Skills!C9=2,90+Inputs!$B$26+Inputs!$B$29,IF(Skills!C9=3,120+Inputs!$B$27+Inputs!$B$29,MAX(0,(Inputs!$B$3-100)*3)+Inputs!$B$28+Inputs!$B$29)))</f>
        <v/>
      </c>
      <c r="E2419">
        <f>INDEX(FactorTable!$B$2:$Y$301, MATCH(ROUND(MIN(300,MAX(1,D2419)),0), FactorTable!$A$2:$A$301,0), Skills!L9+1)</f>
        <v/>
      </c>
      <c r="F2419">
        <f>IF(Skills!M9=TRUE,(Skills!K9/10)*(E2419/1000),Skills!K9/10)+Skills!N9</f>
        <v/>
      </c>
      <c r="G2419">
        <f>Calc!G9</f>
        <v/>
      </c>
      <c r="H2419">
        <f>Calc!H9</f>
        <v/>
      </c>
      <c r="I2419">
        <f>IF(Skills!T9&lt;&gt;"",1+(Skills!T9/10)*(Z2413/1000)/100,1)</f>
        <v/>
      </c>
      <c r="J2419">
        <f>((Inputs!$B$6*(1+Inputs!$B$7/100))+(((Inputs!$B$12*(1+Inputs!$B$13/100))-(Inputs!$B$12*(1+Inputs!$B$13/100)))+0.25*(Inputs!$B$14-Inputs!$B$14))*(1+Inputs!$B$7/100))*(F2419/100)</f>
        <v/>
      </c>
      <c r="K2419">
        <f>J2419*(1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9="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F2428-Calc!F18),(Inputs!$B$23+(IF(ArtifactsInput!$M$15,CHOOSE(ArtifactsInput!$N$15+1,25,30,35,40,45,50)/100*(Inputs!$B$11-Inputs!$B$11),0))))/100+(Inputs!$B$23+(IF(ArtifactsInput!$M$15,CHOOSE(ArtifactsInput!$N$15+1,25,30,35,40,45,50)/100*(Inputs!$B$11-Inputs!$B$11),0)))/100)/2</f>
        <v/>
      </c>
      <c r="M2419">
        <f>L2419*(1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(1-Summary!$B$11)*S2419+Summary!$B$11*U2419</f>
        <v/>
      </c>
      <c r="P2419">
        <f>IF(B2446=0,0,O2419/B2446)</f>
        <v/>
      </c>
      <c r="Q2419">
        <f>IFERROR(1/IF(Inputs!$B$38="pvp",15,MAX(0.1,Skills!D9-IF(Skills!E9=TRUE,Inputs!$B$32,0))),0)</f>
        <v/>
      </c>
      <c r="R2419">
        <f>IF(AND(Inputs!$B$38&lt;&gt;"pvp",Inputs!$B$43&gt;0),IF(MAX(0,Inputs!$B$43-B2443)&lt;=0,0,(INT(MAX(0,Inputs!$B$43-B2443)/IF(Inputs!$B$38="pvp",15,MAX(0.1,Skills!D9-IF(Skills!E9=TRUE,Inputs!$B$32,0))))+1)),0)</f>
        <v/>
      </c>
      <c r="S2419">
        <f>IF(C2419,(H2419*N2419*IF(AND(Inputs!$B$38&lt;&gt;"pvp",Inputs!$B$43&gt;0),((Skills!F9*((R2419-1)*IF(Skills!G9&gt;0,Skills!H9/Skills!G9,1)+IF(Skills!G9&gt;0,MIN(Skills!H9,MAX(0,MAX(0,Inputs!$B$43-B2443)-((R2419-1)*IF(Inputs!$B$38="pvp",15,MAX(0.1,Skills!D9-IF(Skills!E9=TRUE,Inputs!$B$32,0))))))/Skills!G9,1)))/Inputs!$B$43),G2419*Q2419))*IF(Inputs!$B$38="pvp",1,1+(Inputs!$B$20+Skills!O9+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2419*(1-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IF(C2419,(H2419*N2419*IF(AND(Inputs!$B$38&lt;&gt;"pvp",Inputs!$B$43&gt;0),((Skills!F9*((R2419-1)*IF(Skills!G9&gt;0,Skills!H9/Skills!G9,1)+IF(Skills!G9&gt;0,MIN(Skills!H9,MAX(0,MAX(0,Inputs!$B$43-B2443)-((R2419-1)*IF(Inputs!$B$38="pvp",15,MAX(0.1,Skills!D9-IF(Skills!E9=TRUE,Inputs!$B$32,0))))))/Skills!G9,1)))/Inputs!$B$43),G2419*Q2419))*IF(Inputs!$B$38="pvp",1,(1+(Inputs!$B$21+Skills!P9+B2437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Skills!A10</f>
        <v/>
      </c>
      <c r="B2420">
        <f>Skills!B10</f>
        <v/>
      </c>
      <c r="C2420">
        <f>Inputs!$B$3&gt;=113</f>
        <v/>
      </c>
      <c r="D2420">
        <f>IF(Skills!C10=1,60+Inputs!$B$25+Inputs!$B$29,IF(Skills!C10=2,90+Inputs!$B$26+Inputs!$B$29,IF(Skills!C10=3,120+Inputs!$B$27+Inputs!$B$29,MAX(0,(Inputs!$B$3-100)*3)+Inputs!$B$28+Inputs!$B$29)))</f>
        <v/>
      </c>
      <c r="E2420">
        <f>INDEX(FactorTable!$B$2:$Y$301, MATCH(ROUND(MIN(300,MAX(1,D2420)),0), FactorTable!$A$2:$A$301,0), Skills!L10+1)</f>
        <v/>
      </c>
      <c r="F2420">
        <f>IF(Skills!M10=TRUE,(Skills!K10/10)*(E2420/1000),Skills!K10/10)+Skills!N10</f>
        <v/>
      </c>
      <c r="G2420">
        <f>Calc!G10</f>
        <v/>
      </c>
      <c r="H2420">
        <f>Calc!H10</f>
        <v/>
      </c>
      <c r="I2420">
        <f>IF(Skills!T10&lt;&gt;"",1+(Skills!T10/10)*(Z2413/1000)/100,1)</f>
        <v/>
      </c>
      <c r="J2420">
        <f>((Inputs!$B$6*(1+Inputs!$B$7/100))+(((Inputs!$B$12*(1+Inputs!$B$13/100))-(Inputs!$B$12*(1+Inputs!$B$13/100)))+0.25*(Inputs!$B$14-Inputs!$B$14))*(1+Inputs!$B$7/100))*(F2420/100)</f>
        <v/>
      </c>
      <c r="K2420">
        <f>J2420*(1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10="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F2428-Calc!F18),(Inputs!$B$23+(IF(ArtifactsInput!$M$15,CHOOSE(ArtifactsInput!$N$15+1,25,30,35,40,45,50)/100*(Inputs!$B$11-Inputs!$B$11),0))))/100+(Inputs!$B$23+(IF(ArtifactsInput!$M$15,CHOOSE(ArtifactsInput!$N$15+1,25,30,35,40,45,50)/100*(Inputs!$B$11-Inputs!$B$11),0)))/100)/2</f>
        <v/>
      </c>
      <c r="M2420">
        <f>L2420*(1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(1-Summary!$B$11)*S2420+Summary!$B$11*U2420</f>
        <v/>
      </c>
      <c r="P2420">
        <f>IF(B2446=0,0,O2420/B2446)</f>
        <v/>
      </c>
      <c r="Q2420">
        <f>IFERROR(1/IF(Inputs!$B$38="pvp",15,MAX(0.1,Skills!D10-IF(Skills!E9=TRUE,Inputs!$B$32,0))),0)</f>
        <v/>
      </c>
      <c r="R2420">
        <f>IF(AND(Inputs!$B$38&lt;&gt;"pvp",Inputs!$B$43&gt;0),IF(MAX(0,Inputs!$B$43-B2443)&lt;=0,0,(INT(MAX(0,Inputs!$B$43-B2443)/IF(Inputs!$B$38="pvp",15,MAX(0.1,Skills!D10-IF(Skills!E9=TRUE,Inputs!$B$32,0))))+1)),0)</f>
        <v/>
      </c>
      <c r="S2420">
        <f>IF(C2420,(H2420*N2420*IF(AND(Inputs!$B$38&lt;&gt;"pvp",Inputs!$B$43&gt;0),((Skills!F10*((R2420-1)*IF(Skills!G10&gt;0,Skills!H10/Skills!G10,1)+IF(Skills!G10&gt;0,MIN(Skills!H10,MAX(0,MAX(0,Inputs!$B$43-B2443)-((R2420-1)*IF(Inputs!$B$38="pvp",15,MAX(0.1,Skills!D10-IF(Skills!E9=TRUE,Inputs!$B$32,0))))))/Skills!G10,1)))/Inputs!$B$43),G2420*Q2420))*IF(Inputs!$B$38="pvp",1,1+(Inputs!$B$20+Skills!O10+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2420*(1-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0">
        <f>IF(C2420,(H2420*N2420*IF(AND(Inputs!$B$38&lt;&gt;"pvp",Inputs!$B$43&gt;0),((Skills!F10*((R2420-1)*IF(Skills!G10&gt;0,Skills!H10/Skills!G10,1)+IF(Skills!G10&gt;0,MIN(Skills!H10,MAX(0,MAX(0,Inputs!$B$43-B2443)-((R2420-1)*IF(Inputs!$B$38="pvp",15,MAX(0.1,Skills!D10-IF(Skills!E9=TRUE,Inputs!$B$32,0))))))/Skills!G10,1)))/Inputs!$B$43),G2420*Q2420))*IF(Inputs!$B$38="pvp",1,(1+(Inputs!$B$21+Skills!P10+B2437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Skills!A11</f>
        <v/>
      </c>
      <c r="B2421">
        <f>Skills!B11</f>
        <v/>
      </c>
      <c r="C2421">
        <f>Inputs!$B$3&gt;=107</f>
        <v/>
      </c>
      <c r="D2421">
        <f>IF(Skills!C11=1,60+Inputs!$B$25+Inputs!$B$29,IF(Skills!C11=2,90+Inputs!$B$26+Inputs!$B$29,IF(Skills!C11=3,120+Inputs!$B$27+Inputs!$B$29,MAX(0,(Inputs!$B$3-100)*3)+Inputs!$B$28+Inputs!$B$29)))</f>
        <v/>
      </c>
      <c r="E2421">
        <f>INDEX(FactorTable!$B$2:$Y$301, MATCH(ROUND(MIN(300,MAX(1,D2421)),0), FactorTable!$A$2:$A$301,0), Skills!L11+1)</f>
        <v/>
      </c>
      <c r="F2421">
        <f>IF(Skills!M11=TRUE,(Skills!K11/10)*(E2421/1000),Skills!K11/10)+Skills!N11</f>
        <v/>
      </c>
      <c r="G2421">
        <f>Calc!G11</f>
        <v/>
      </c>
      <c r="H2421">
        <f>Calc!H11</f>
        <v/>
      </c>
      <c r="I2421">
        <f>IF(Skills!T11&lt;&gt;"",1+(Skills!T11/10)*(Z2413/1000)/100,1)</f>
        <v/>
      </c>
      <c r="J2421">
        <f>((Inputs!$B$6*(1+Inputs!$B$7/100))+(((Inputs!$B$12*(1+Inputs!$B$13/100))-(Inputs!$B$12*(1+Inputs!$B$13/100)))+0.25*(Inputs!$B$14-Inputs!$B$14))*(1+Inputs!$B$7/100))*(F2421/100)</f>
        <v/>
      </c>
      <c r="K2421">
        <f>J2421*(1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11="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F2428-Calc!F18),(Inputs!$B$23+(IF(ArtifactsInput!$M$15,CHOOSE(ArtifactsInput!$N$15+1,25,30,35,40,45,50)/100*(Inputs!$B$11-Inputs!$B$11),0))))/100+(Inputs!$B$23+(IF(ArtifactsInput!$M$15,CHOOSE(ArtifactsInput!$N$15+1,25,30,35,40,45,50)/100*(Inputs!$B$11-Inputs!$B$11),0)))/100)/2</f>
        <v/>
      </c>
      <c r="M2421">
        <f>L2421*(1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(1-Summary!$B$11)*S2421+Summary!$B$11*U2421</f>
        <v/>
      </c>
      <c r="P2421">
        <f>IF(B2446=0,0,O2421/B2446)</f>
        <v/>
      </c>
      <c r="Q2421">
        <f>IFERROR(1/IF(Inputs!$B$38="pvp",15,MAX(0.1,Skills!D11-IF(Skills!E11=TRUE,Inputs!$B$32,0))),0)</f>
        <v/>
      </c>
      <c r="R2421">
        <f>IF(AND(Inputs!$B$38&lt;&gt;"pvp",Inputs!$B$43&gt;0),IF(MAX(0,Inputs!$B$43-B2443)&lt;=0,0,(INT(MAX(0,Inputs!$B$43-B2443)/IF(Inputs!$B$38="pvp",15,MAX(0.1,Skills!D11-IF(Skills!E11=TRUE,Inputs!$B$32,0))))+1)),0)</f>
        <v/>
      </c>
      <c r="S2421">
        <f>IF(C2421,H2421*N2421*IF(AND(Inputs!$B$38&lt;&gt;"pvp",Inputs!$B$43&gt;0),((Skills!F11*((R2421-1)*IF(Skills!G11&gt;0,Skills!H11/Skills!G11,1)+IF(Skills!G11&gt;0,MIN(Skills!H11,MAX(0,MAX(0,Inputs!$B$43-B2443)-((R2421-1)*IF(Inputs!$B$38="pvp",15,MAX(0.1,Skills!D11-IF(Skills!E11=TRUE,Inputs!$B$32,0))))))/Skills!G11,1)))/Inputs!$B$43),G2421*Q2421)*0.5*IF(Inputs!$B$38="pvp",1,1+(Inputs!$B$20+Skills!O11+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1">
        <f>IF(C2421,H2421*N2421*IF(AND(Inputs!$B$38&lt;&gt;"pvp",Inputs!$B$43&gt;0),((Skills!F11*((R2421-1)*IF(Skills!G11&gt;0,Skills!H11/Skills!G11,1)+IF(Skills!G11&gt;0,MIN(Skills!H11,MAX(0,MAX(0,Inputs!$B$43-B2443)-((R2421-1)*IF(Inputs!$B$38="pvp",15,MAX(0.1,Skills!D11-IF(Skills!E11=TRUE,Inputs!$B$32,0))))))/Skills!G11,1)))/Inputs!$B$43),G2421*Q2421)*1*IF(Inputs!$B$38="pvp",1,(1+(Inputs!$B$21+Skills!P11+B2437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Skills!A12</f>
        <v/>
      </c>
      <c r="B2422">
        <f>Skills!B12</f>
        <v/>
      </c>
      <c r="C2422">
        <f>Inputs!$B$3&gt;=115</f>
        <v/>
      </c>
      <c r="D2422">
        <f>IF(Skills!C12=1,60+Inputs!$B$25+Inputs!$B$29,IF(Skills!C12=2,90+Inputs!$B$26+Inputs!$B$29,IF(Skills!C12=3,120+Inputs!$B$27+Inputs!$B$29,MAX(0,(Inputs!$B$3-100)*3)+Inputs!$B$28+Inputs!$B$29)))</f>
        <v/>
      </c>
      <c r="E2422">
        <f>INDEX(FactorTable!$B$2:$Y$301, MATCH(ROUND(MIN(300,MAX(1,D2422)),0), FactorTable!$A$2:$A$301,0), Skills!L12+1)</f>
        <v/>
      </c>
      <c r="F2422">
        <f>IF(Skills!M12=TRUE,(Skills!K12/10)*(E2422/1000),Skills!K12/10)+Skills!N12</f>
        <v/>
      </c>
      <c r="G2422">
        <f>Calc!G12</f>
        <v/>
      </c>
      <c r="H2422">
        <f>Calc!H12</f>
        <v/>
      </c>
      <c r="I2422">
        <f>IF(Skills!T12&lt;&gt;"",1+(Skills!T12/10)*(Z2413/1000)/100,1)</f>
        <v/>
      </c>
      <c r="J2422">
        <f>((Inputs!$B$6*(1+Inputs!$B$7/100))+(((Inputs!$B$12*(1+Inputs!$B$13/100))-(Inputs!$B$12*(1+Inputs!$B$13/100)))+0.25*(Inputs!$B$14-Inputs!$B$14))*(1+Inputs!$B$7/100))*(F2422/100)</f>
        <v/>
      </c>
      <c r="K2422">
        <f>J2422*(1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12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F2428-Calc!F18),(Inputs!$B$23+(IF(ArtifactsInput!$M$15,CHOOSE(ArtifactsInput!$N$15+1,25,30,35,40,45,50)/100*(Inputs!$B$11-Inputs!$B$11),0))))/100+(Inputs!$B$23+(IF(ArtifactsInput!$M$15,CHOOSE(ArtifactsInput!$N$15+1,25,30,35,40,45,50)/100*(Inputs!$B$11-Inputs!$B$11),0)))/100)/2</f>
        <v/>
      </c>
      <c r="M2422">
        <f>L2422*(1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(1-Summary!$B$11)*S2422+Summary!$B$11*U2422</f>
        <v/>
      </c>
      <c r="P2422">
        <f>IF(B2446=0,0,O2422/B2446)</f>
        <v/>
      </c>
      <c r="Q2422">
        <f>IFERROR(1/IF(Inputs!$B$38="pvp",15,MAX(0.1,Skills!D12-IF(Skills!E12=TRUE,Inputs!$B$32,0))),0)</f>
        <v/>
      </c>
      <c r="R2422">
        <f>IF(AND(Inputs!$B$38&lt;&gt;"pvp",Inputs!$B$43&gt;0),IF(MAX(0,Inputs!$B$43-B2443)&lt;=0,0,(INT(MAX(0,Inputs!$B$43-B2443)/IF(Inputs!$B$38="pvp",15,MAX(0.1,Skills!D12-IF(Skills!E12=TRUE,Inputs!$B$32,0))))+1)),0)</f>
        <v/>
      </c>
      <c r="S2422">
        <f>IF(C2422,(H2422*N2422*IF(AND(Inputs!$B$38&lt;&gt;"pvp",Inputs!$B$43&gt;0),((Skills!F12*((R2422-1)*IF(Skills!G12&gt;0,Skills!H12/Skills!G12,1)+IF(Skills!G12&gt;0,MIN(Skills!H12,MAX(0,MAX(0,Inputs!$B$43-B2443)-((R2422-1)*IF(Inputs!$B$38="pvp",15,MAX(0.1,Skills!D12-IF(Skills!E12=TRUE,Inputs!$B$32,0))))))/Skills!G12,1)))/Inputs!$B$43),G2422*Q2422))*IF(Inputs!$B$38="pvp",1,1+(Inputs!$B$20+Skills!O12+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2">
        <f>IF(C2422,(H2422*N2422*IF(AND(Inputs!$B$38&lt;&gt;"pvp",Inputs!$B$43&gt;0),((Skills!F12*((R2422-1)*IF(Skills!G12&gt;0,Skills!H12/Skills!G12,1)+IF(Skills!G12&gt;0,MIN(Skills!H12,MAX(0,MAX(0,Inputs!$B$43-B2443)-((R2422-1)*IF(Inputs!$B$38="pvp",15,MAX(0.1,Skills!D12-IF(Skills!E12=TRUE,Inputs!$B$32,0))))))/Skills!G12,1)))/Inputs!$B$43),G2422*Q2422))*IF(Inputs!$B$38="pvp",1,(1+(Inputs!$B$21+Skills!P12+B2437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Skills!A13</f>
        <v/>
      </c>
      <c r="B2423">
        <f>Skills!B13</f>
        <v/>
      </c>
      <c r="C2423">
        <f>Inputs!$B$3&gt;=49</f>
        <v/>
      </c>
      <c r="D2423">
        <f>IF(Skills!C13=1,60+Inputs!$B$25+Inputs!$B$29,IF(Skills!C13=2,90+Inputs!$B$26+Inputs!$B$29,IF(Skills!C13=3,120+Inputs!$B$27+Inputs!$B$29,MAX(0,(Inputs!$B$3-100)*3)+Inputs!$B$28+Inputs!$B$29)))</f>
        <v/>
      </c>
      <c r="E2423">
        <f>INDEX(FactorTable!$B$2:$Y$301, MATCH(ROUND(MIN(300,MAX(1,D2423)),0), FactorTable!$A$2:$A$301,0), Skills!L13+1)</f>
        <v/>
      </c>
      <c r="F2423">
        <f>IF(Skills!M13=TRUE,(Skills!K13/10)*(E2423/1000),Skills!K13/10)+Skills!N13</f>
        <v/>
      </c>
      <c r="G2423">
        <f>Calc!G13</f>
        <v/>
      </c>
      <c r="H2423">
        <f>Calc!H13</f>
        <v/>
      </c>
      <c r="I2423">
        <f>IF(Skills!T13&lt;&gt;"",1+(Skills!T13/10)*(Z2413/1000)/100,1)</f>
        <v/>
      </c>
      <c r="J2423" t="inlineStr"/>
      <c r="K2423" t="inlineStr"/>
      <c r="L2423" t="inlineStr"/>
      <c r="M2423" t="inlineStr"/>
      <c r="N2423" t="inlineStr"/>
      <c r="O2423">
        <f>(1-Summary!$B$11)*S2423+Summary!$B$11*U2423</f>
        <v/>
      </c>
      <c r="P2423">
        <f>IF(B2446=0,0,O2423/B2446)</f>
        <v/>
      </c>
      <c r="Q2423">
        <f>IFERROR(1/IF(Inputs!$B$38="pvp",15,MAX(0.1,Skills!D13-IF(Skills!E13=TRUE,Inputs!$B$32,0))),0)</f>
        <v/>
      </c>
      <c r="R2423" t="n">
        <v>0</v>
      </c>
      <c r="S2423" t="n">
        <v>0</v>
      </c>
      <c r="U2423" t="n">
        <v>0</v>
      </c>
    </row>
    <row r="2424">
      <c r="A2424">
        <f>Skills!A14</f>
        <v/>
      </c>
      <c r="B2424">
        <f>Skills!B14</f>
        <v/>
      </c>
      <c r="C2424">
        <f>Inputs!$B$3&gt;=72</f>
        <v/>
      </c>
      <c r="D2424">
        <f>IF(Skills!C14=1,60+Inputs!$B$25+Inputs!$B$29,IF(Skills!C14=2,90+Inputs!$B$26+Inputs!$B$29,IF(Skills!C14=3,120+Inputs!$B$27+Inputs!$B$29,MAX(0,(Inputs!$B$3-100)*3)+Inputs!$B$28+Inputs!$B$29)))</f>
        <v/>
      </c>
      <c r="E2424">
        <f>INDEX(FactorTable!$B$2:$Y$301, MATCH(ROUND(MIN(300,MAX(1,D2424)),0), FactorTable!$A$2:$A$301,0), Skills!L14+1)</f>
        <v/>
      </c>
      <c r="F2424">
        <f>IF(Skills!M14=TRUE,(Skills!K14/10)*(E2424/1000),Skills!K14/10)+Skills!N14</f>
        <v/>
      </c>
      <c r="G2424">
        <f>Calc!G14</f>
        <v/>
      </c>
      <c r="H2424">
        <f>Calc!H14</f>
        <v/>
      </c>
      <c r="I2424">
        <f>IF(Skills!T14&lt;&gt;"",1+(Skills!T14/10)*(Z2413/1000)/100,1)</f>
        <v/>
      </c>
      <c r="J2424" t="inlineStr"/>
      <c r="K2424" t="inlineStr"/>
      <c r="L2424" t="inlineStr"/>
      <c r="M2424" t="inlineStr"/>
      <c r="N2424" t="inlineStr"/>
      <c r="O2424">
        <f>(1-Summary!$B$11)*S2424+Summary!$B$11*U2424</f>
        <v/>
      </c>
      <c r="P2424">
        <f>IF(B2446=0,0,O2424/B2446)</f>
        <v/>
      </c>
      <c r="Q2424">
        <f>IFERROR(1/IF(Inputs!$B$38="pvp",15,MAX(0.1,Skills!D14-IF(Skills!E14=TRUE,Inputs!$B$32,0))),0)</f>
        <v/>
      </c>
      <c r="R2424" t="n">
        <v>0</v>
      </c>
      <c r="S2424" t="n">
        <v>0</v>
      </c>
      <c r="U2424" t="n">
        <v>0</v>
      </c>
    </row>
    <row r="2425">
      <c r="A2425">
        <f>Skills!A15</f>
        <v/>
      </c>
      <c r="B2425">
        <f>Skills!B15</f>
        <v/>
      </c>
      <c r="C2425">
        <f>Inputs!$B$3&gt;=75</f>
        <v/>
      </c>
      <c r="D2425">
        <f>IF(Skills!C15=1,60+Inputs!$B$25+Inputs!$B$29,IF(Skills!C15=2,90+Inputs!$B$26+Inputs!$B$29,IF(Skills!C15=3,120+Inputs!$B$27+Inputs!$B$29,MAX(0,(Inputs!$B$3-100)*3)+Inputs!$B$28+Inputs!$B$29)))</f>
        <v/>
      </c>
      <c r="E2425">
        <f>INDEX(FactorTable!$B$2:$Y$301, MATCH(ROUND(MIN(300,MAX(1,D2425)),0), FactorTable!$A$2:$A$301,0), Skills!L15+1)</f>
        <v/>
      </c>
      <c r="F2425">
        <f>IF(Skills!M15=TRUE,(Skills!K15/10)*(E2425/1000),Skills!K15/10)+Skills!N15</f>
        <v/>
      </c>
      <c r="G2425">
        <f>Calc!G15</f>
        <v/>
      </c>
      <c r="H2425">
        <f>Calc!H15</f>
        <v/>
      </c>
      <c r="I2425">
        <f>IF(Skills!T15&lt;&gt;"",1+(Skills!T15/10)*(Z2413/1000)/100,1)</f>
        <v/>
      </c>
      <c r="J2425" t="inlineStr"/>
      <c r="K2425" t="inlineStr"/>
      <c r="L2425" t="inlineStr"/>
      <c r="M2425" t="inlineStr"/>
      <c r="N2425" t="inlineStr"/>
      <c r="O2425">
        <f>(1-Summary!$B$11)*S2425+Summary!$B$11*U2425</f>
        <v/>
      </c>
      <c r="P2425">
        <f>IF(B2446=0,0,O2425/B2446)</f>
        <v/>
      </c>
      <c r="Q2425">
        <f>IFERROR(1/IF(Inputs!$B$38="pvp",15,MAX(0.1,Skills!D15-IF(Skills!E15=TRUE,Inputs!$B$32,0))),0)</f>
        <v/>
      </c>
      <c r="R2425" t="n">
        <v>0</v>
      </c>
      <c r="S2425" t="n">
        <v>0</v>
      </c>
      <c r="U2425" t="n">
        <v>0</v>
      </c>
    </row>
    <row r="2426">
      <c r="A2426">
        <f>Skills!A16</f>
        <v/>
      </c>
      <c r="B2426">
        <f>Skills!B16</f>
        <v/>
      </c>
      <c r="C2426">
        <f>Inputs!$B$3&gt;=110</f>
        <v/>
      </c>
      <c r="D2426">
        <f>IF(Skills!C16=1,60+Inputs!$B$25+Inputs!$B$29,IF(Skills!C16=2,90+Inputs!$B$26+Inputs!$B$29,IF(Skills!C16=3,120+Inputs!$B$27+Inputs!$B$29,MAX(0,(Inputs!$B$3-100)*3)+Inputs!$B$28+Inputs!$B$29)))</f>
        <v/>
      </c>
      <c r="E2426">
        <f>INDEX(FactorTable!$B$2:$Y$301, MATCH(ROUND(MIN(300,MAX(1,D2426)),0), FactorTable!$A$2:$A$301,0), Skills!L16+1)</f>
        <v/>
      </c>
      <c r="F2426">
        <f>(Skills!K16/10)*(E2426/1000)*64/45+Skills!N16</f>
        <v/>
      </c>
      <c r="G2426">
        <f>Calc!G16</f>
        <v/>
      </c>
      <c r="H2426">
        <f>Calc!H16</f>
        <v/>
      </c>
      <c r="I2426">
        <f>IF(Skills!T16&lt;&gt;"",1+(Skills!T16/10)*(Z2413/1000)/100,1)</f>
        <v/>
      </c>
      <c r="J2426" t="inlineStr"/>
      <c r="K2426" t="inlineStr"/>
      <c r="L2426" t="inlineStr"/>
      <c r="M2426" t="inlineStr"/>
      <c r="N2426" t="inlineStr"/>
      <c r="O2426">
        <f>(1-Summary!$B$11)*S2426+Summary!$B$11*U2426</f>
        <v/>
      </c>
      <c r="P2426">
        <f>IF(B2446=0,0,O2426/B2446)</f>
        <v/>
      </c>
      <c r="Q2426">
        <f>IFERROR(1/IF(Inputs!$B$38="pvp",15,MAX(0.1,Skills!D16-IF(Skills!E16=TRUE,Inputs!$B$32,0))),0)</f>
        <v/>
      </c>
      <c r="R2426">
        <f>IF(AND(Inputs!$B$38&lt;&gt;"pvp",Inputs!$B$43&gt;0),IF(Inputs!$B$43&lt;=0,0,(INT(Inputs!$B$43/IF(Inputs!$B$38="pvp",15,MAX(0.1,Skills!D16-IF(Skills!E16=TRUE,Inputs!$B$32,0))))+1)),0)</f>
        <v/>
      </c>
      <c r="S2426" t="n">
        <v>0</v>
      </c>
      <c r="U2426" t="n">
        <v>0</v>
      </c>
    </row>
    <row r="2427">
      <c r="A2427">
        <f>Skills!A17</f>
        <v/>
      </c>
      <c r="B2427">
        <f>Skills!B17</f>
        <v/>
      </c>
      <c r="C2427">
        <f>Inputs!$B$3&gt;=33</f>
        <v/>
      </c>
      <c r="D2427">
        <f>IF(Skills!C17=1,60+Inputs!$B$25+Inputs!$B$29,IF(Skills!C17=2,90+Inputs!$B$26+Inputs!$B$29,IF(Skills!C17=3,120+Inputs!$B$27+Inputs!$B$29,MAX(0,(Inputs!$B$3-100)*3)+Inputs!$B$28+Inputs!$B$29)))</f>
        <v/>
      </c>
      <c r="E2427">
        <f>INDEX(FactorTable!$B$2:$Y$301, MATCH(ROUND(MIN(300,MAX(1,D2427)),0), FactorTable!$A$2:$A$301,0), Skills!L17+1)</f>
        <v/>
      </c>
      <c r="F2427">
        <f>IF(Skills!M17=TRUE,(Skills!K17/10)*(E2427/1000),Skills!K17/10)+Skills!N17</f>
        <v/>
      </c>
      <c r="G2427">
        <f>Calc!G17</f>
        <v/>
      </c>
      <c r="H2427">
        <f>Calc!H17</f>
        <v/>
      </c>
      <c r="I2427">
        <f>IF(Skills!T17&lt;&gt;"",1+(Skills!T17/10)*(Z2413/1000)/100,1)</f>
        <v/>
      </c>
      <c r="J2427" t="inlineStr"/>
      <c r="K2427" t="inlineStr"/>
      <c r="L2427" t="inlineStr"/>
      <c r="M2427" t="inlineStr"/>
      <c r="N2427" t="inlineStr"/>
      <c r="O2427">
        <f>(1-Summary!$B$11)*S2427+Summary!$B$11*U2427</f>
        <v/>
      </c>
      <c r="P2427">
        <f>IF(B2446=0,0,O2427/B2446)</f>
        <v/>
      </c>
      <c r="Q2427">
        <f>IFERROR(1/IF(Inputs!$B$38="pvp",15,MAX(0.1,Skills!D17-IF(Skills!E17=TRUE,Inputs!$B$32,0))),0)</f>
        <v/>
      </c>
      <c r="R2427" t="n">
        <v>0</v>
      </c>
      <c r="S2427" t="n">
        <v>0</v>
      </c>
      <c r="U2427" t="n">
        <v>0</v>
      </c>
    </row>
    <row r="2428">
      <c r="A2428">
        <f>Skills!A18</f>
        <v/>
      </c>
      <c r="B2428">
        <f>Skills!B18</f>
        <v/>
      </c>
      <c r="C2428">
        <f>Inputs!$B$3&gt;=43</f>
        <v/>
      </c>
      <c r="D2428">
        <f>IF(Skills!C18=1,60+Inputs!$B$25+Inputs!$B$29,IF(Skills!C18=2,90+Inputs!$B$26+Inputs!$B$29,IF(Skills!C18=3,120+Inputs!$B$27+Inputs!$B$29,MAX(0,(Inputs!$B$3-100)*3)+Inputs!$B$28+Inputs!$B$29)))</f>
        <v/>
      </c>
      <c r="E2428">
        <f>INDEX(FactorTable!$B$2:$Y$301, MATCH(ROUND(MIN(300,MAX(1,D2428)),0), FactorTable!$A$2:$A$301,0), Skills!L18+1)</f>
        <v/>
      </c>
      <c r="F2428">
        <f>IF(Skills!M18=TRUE,(Skills!K18/10)*(E2428/1000),Skills!K18/10)+Skills!N18</f>
        <v/>
      </c>
      <c r="G2428">
        <f>Calc!G18</f>
        <v/>
      </c>
      <c r="H2428">
        <f>Calc!H18</f>
        <v/>
      </c>
      <c r="I2428">
        <f>IF(Skills!T18&lt;&gt;"",1+(Skills!T18/10)*(Z2413/1000)/100,1)</f>
        <v/>
      </c>
      <c r="J2428" t="inlineStr"/>
      <c r="K2428" t="inlineStr"/>
      <c r="L2428" t="inlineStr"/>
      <c r="M2428" t="inlineStr"/>
      <c r="N2428" t="inlineStr"/>
      <c r="O2428">
        <f>(1-Summary!$B$11)*S2428+Summary!$B$11*U2428</f>
        <v/>
      </c>
      <c r="P2428">
        <f>IF(B2446=0,0,O2428/B2446)</f>
        <v/>
      </c>
      <c r="Q2428">
        <f>IFERROR(1/IF(Inputs!$B$38="pvp",15,MAX(0.1,Skills!D18-IF(Skills!E18=TRUE,Inputs!$B$32,0))),0)</f>
        <v/>
      </c>
      <c r="R2428" t="n">
        <v>0</v>
      </c>
      <c r="S2428" t="n">
        <v>0</v>
      </c>
      <c r="U2428" t="n">
        <v>0</v>
      </c>
    </row>
    <row r="2429">
      <c r="A2429">
        <f>Skills!A19</f>
        <v/>
      </c>
      <c r="B2429">
        <f>Skills!B19</f>
        <v/>
      </c>
      <c r="C2429">
        <f>Inputs!$B$3&gt;=50</f>
        <v/>
      </c>
      <c r="D2429">
        <f>IF(Skills!C19=1,60+Inputs!$B$25+Inputs!$B$29,IF(Skills!C19=2,90+Inputs!$B$26+Inputs!$B$29,IF(Skills!C19=3,120+Inputs!$B$27+Inputs!$B$29,MAX(0,(Inputs!$B$3-100)*3)+Inputs!$B$28+Inputs!$B$29)))</f>
        <v/>
      </c>
      <c r="E2429">
        <f>INDEX(FactorTable!$B$2:$Y$301, MATCH(ROUND(MIN(300,MAX(1,D2429)),0), FactorTable!$A$2:$A$301,0), Skills!L19+1)</f>
        <v/>
      </c>
      <c r="F2429">
        <f>IF(Skills!M19=TRUE,(Skills!K19/10)*(E2429/1000),Skills!K19/10)+Skills!N19</f>
        <v/>
      </c>
      <c r="G2429">
        <f>Calc!G19</f>
        <v/>
      </c>
      <c r="H2429">
        <f>Calc!H19</f>
        <v/>
      </c>
      <c r="I2429">
        <f>IF(Skills!T19&lt;&gt;"",1+(Skills!T19/10)*(Z2413/1000)/100,1)</f>
        <v/>
      </c>
      <c r="J2429" t="inlineStr"/>
      <c r="K2429" t="inlineStr"/>
      <c r="L2429" t="inlineStr"/>
      <c r="M2429" t="inlineStr"/>
      <c r="N2429" t="inlineStr"/>
      <c r="O2429">
        <f>(1-Summary!$B$11)*S2429+Summary!$B$11*U2429</f>
        <v/>
      </c>
      <c r="P2429">
        <f>IF(B2446=0,0,O2429/B2446)</f>
        <v/>
      </c>
      <c r="Q2429">
        <f>IFERROR(1/IF(Inputs!$B$38="pvp",15,MAX(0.1,Skills!D19-IF(Skills!E19=TRUE,Inputs!$B$32,0))),0)</f>
        <v/>
      </c>
      <c r="R2429" t="n">
        <v>0</v>
      </c>
      <c r="S2429" t="n">
        <v>0</v>
      </c>
      <c r="U2429" t="n">
        <v>0</v>
      </c>
    </row>
    <row r="2430">
      <c r="A2430">
        <f>Skills!A20</f>
        <v/>
      </c>
      <c r="B2430">
        <f>Skills!B20</f>
        <v/>
      </c>
      <c r="C2430">
        <f>Inputs!$B$3&gt;=74</f>
        <v/>
      </c>
      <c r="D2430">
        <f>IF(Skills!C20=1,60+Inputs!$B$25+Inputs!$B$29,IF(Skills!C20=2,90+Inputs!$B$26+Inputs!$B$29,IF(Skills!C20=3,120+Inputs!$B$27+Inputs!$B$29,MAX(0,(Inputs!$B$3-100)*3)+Inputs!$B$28+Inputs!$B$29)))</f>
        <v/>
      </c>
      <c r="E2430">
        <f>INDEX(FactorTable!$B$2:$Y$301, MATCH(ROUND(MIN(300,MAX(1,D2430)),0), FactorTable!$A$2:$A$301,0), Skills!L20+1)</f>
        <v/>
      </c>
      <c r="F2430">
        <f>IF(Skills!M20=TRUE,(Skills!K20/10)*(E2430/1000),Skills!K20/10)+Skills!N20</f>
        <v/>
      </c>
      <c r="G2430">
        <f>Calc!G20</f>
        <v/>
      </c>
      <c r="H2430">
        <f>Calc!H20</f>
        <v/>
      </c>
      <c r="I2430">
        <f>IF(Skills!T20&lt;&gt;"",1+(Skills!T20/10)*(Z2413/1000)/100,1)</f>
        <v/>
      </c>
      <c r="J2430" t="inlineStr"/>
      <c r="K2430" t="inlineStr"/>
      <c r="L2430" t="inlineStr"/>
      <c r="M2430" t="inlineStr"/>
      <c r="N2430" t="inlineStr"/>
      <c r="O2430">
        <f>(1-Summary!$B$11)*S2430+Summary!$B$11*U2430</f>
        <v/>
      </c>
      <c r="P2430">
        <f>IF(B2446=0,0,O2430/B2446)</f>
        <v/>
      </c>
      <c r="Q2430">
        <f>IFERROR(1/IF(Inputs!$B$38="pvp",15,MAX(0.1,Skills!D20-IF(Skills!E20=TRUE,Inputs!$B$32,0))),0)</f>
        <v/>
      </c>
      <c r="R2430" t="n">
        <v>0</v>
      </c>
      <c r="S2430" t="n">
        <v>0</v>
      </c>
      <c r="U2430" t="n">
        <v>0</v>
      </c>
    </row>
    <row r="2431">
      <c r="A2431">
        <f>Skills!A21</f>
        <v/>
      </c>
      <c r="B2431">
        <f>Skills!B21</f>
        <v/>
      </c>
      <c r="C2431">
        <f>Inputs!$B$3&gt;=74</f>
        <v/>
      </c>
      <c r="D2431">
        <f>IF(Skills!C21=1,60+Inputs!$B$25+Inputs!$B$29,IF(Skills!C21=2,90+Inputs!$B$26+Inputs!$B$29,IF(Skills!C21=3,120+Inputs!$B$27+Inputs!$B$29,MAX(0,(Inputs!$B$3-100)*3)+Inputs!$B$28+Inputs!$B$29)))</f>
        <v/>
      </c>
      <c r="E2431">
        <f>INDEX(FactorTable!$B$2:$Y$301, MATCH(ROUND(MIN(300,MAX(1,D2431)),0), FactorTable!$A$2:$A$301,0), Skills!L21+1)</f>
        <v/>
      </c>
      <c r="F2431">
        <f>IF(Skills!M21=TRUE,(Skills!K21/10)*(E2431/1000),Skills!K21/10)+Skills!N21</f>
        <v/>
      </c>
      <c r="G2431">
        <f>Calc!G21</f>
        <v/>
      </c>
      <c r="H2431">
        <f>Calc!H21</f>
        <v/>
      </c>
      <c r="I2431">
        <f>IF(Skills!T21&lt;&gt;"",1+(Skills!T21/10)*(Z2413/1000)/100,1)</f>
        <v/>
      </c>
      <c r="J2431" t="inlineStr"/>
      <c r="K2431" t="inlineStr"/>
      <c r="L2431" t="inlineStr"/>
      <c r="M2431" t="inlineStr"/>
      <c r="N2431" t="inlineStr"/>
      <c r="O2431">
        <f>(1-Summary!$B$11)*S2431+Summary!$B$11*U2431</f>
        <v/>
      </c>
      <c r="P2431">
        <f>IF(B2446=0,0,O2431/B2446)</f>
        <v/>
      </c>
      <c r="Q2431">
        <f>IFERROR(1/IF(Inputs!$B$38="pvp",15,MAX(0.1,Skills!D21-IF(Skills!E21=TRUE,Inputs!$B$32,0))),0)</f>
        <v/>
      </c>
      <c r="R2431" t="n">
        <v>0</v>
      </c>
      <c r="S2431" t="n">
        <v>0</v>
      </c>
      <c r="U2431" t="n">
        <v>0</v>
      </c>
    </row>
    <row r="2432">
      <c r="A2432">
        <f>Skills!A22</f>
        <v/>
      </c>
      <c r="B2432">
        <f>Skills!B22</f>
        <v/>
      </c>
      <c r="C2432">
        <f>Inputs!$B$3&gt;=117</f>
        <v/>
      </c>
      <c r="D2432">
        <f>IF(Skills!C22=1,60+Inputs!$B$25+Inputs!$B$29,IF(Skills!C22=2,90+Inputs!$B$26+Inputs!$B$29,IF(Skills!C22=3,120+Inputs!$B$27+Inputs!$B$29,MAX(0,(Inputs!$B$3-100)*3)+Inputs!$B$28+Inputs!$B$29)))</f>
        <v/>
      </c>
      <c r="E2432">
        <f>INDEX(FactorTable!$B$2:$Y$301, MATCH(ROUND(MIN(300,MAX(1,D2432)),0), FactorTable!$A$2:$A$301,0), Skills!L22+1)</f>
        <v/>
      </c>
      <c r="F2432">
        <f>IF(Skills!M22=TRUE,(Skills!K22/10)*(E2432/1000),Skills!K22/10)+Skills!N22</f>
        <v/>
      </c>
      <c r="G2432">
        <f>Calc!G22</f>
        <v/>
      </c>
      <c r="H2432">
        <f>Calc!H22</f>
        <v/>
      </c>
      <c r="I2432">
        <f>IF(Skills!T22&lt;&gt;"",1+(Skills!T22/10)*(Z2413/1000)/100,1)</f>
        <v/>
      </c>
      <c r="J2432" t="inlineStr"/>
      <c r="K2432" t="inlineStr"/>
      <c r="L2432" t="inlineStr"/>
      <c r="M2432" t="inlineStr"/>
      <c r="N2432" t="inlineStr"/>
      <c r="O2432">
        <f>(1-Summary!$B$11)*S2432+Summary!$B$11*U2432</f>
        <v/>
      </c>
      <c r="P2432">
        <f>IF(B2446=0,0,O2432/B2446)</f>
        <v/>
      </c>
      <c r="Q2432">
        <f>IFERROR(1/IF(Inputs!$B$38="pvp",15,MAX(0.1,Skills!D22-IF(Skills!E22=TRUE,Inputs!$B$32,0))),0)</f>
        <v/>
      </c>
      <c r="R2432" t="n">
        <v>0</v>
      </c>
      <c r="S2432" t="n">
        <v>0</v>
      </c>
      <c r="U2432" t="n">
        <v>0</v>
      </c>
    </row>
    <row r="2433">
      <c r="A2433">
        <f>Skills!A23</f>
        <v/>
      </c>
      <c r="B2433">
        <f>Skills!B23</f>
        <v/>
      </c>
      <c r="C2433">
        <f>Inputs!$B$3&gt;=120</f>
        <v/>
      </c>
      <c r="D2433">
        <f>IF(Skills!C23=1,60+Inputs!$B$25+Inputs!$B$29,IF(Skills!C23=2,90+Inputs!$B$26+Inputs!$B$29,IF(Skills!C23=3,120+Inputs!$B$27+Inputs!$B$29,MAX(0,(Inputs!$B$3-100)*3)+Inputs!$B$28+Inputs!$B$29)))</f>
        <v/>
      </c>
      <c r="E2433">
        <f>INDEX(FactorTable!$B$2:$Y$301, MATCH(ROUND(MIN(300,MAX(1,D2433)),0), FactorTable!$A$2:$A$301,0), Skills!L23+1)</f>
        <v/>
      </c>
      <c r="F2433">
        <f>IF(Skills!M23=TRUE,(Skills!K23/10)*(E2433/1000),Skills!K23/10)+Skills!N23</f>
        <v/>
      </c>
      <c r="G2433">
        <f>Calc!G23</f>
        <v/>
      </c>
      <c r="H2433">
        <f>Calc!H23</f>
        <v/>
      </c>
      <c r="I2433">
        <f>IF(Skills!T23&lt;&gt;"",1+(Skills!T23/10)*(Z2413/1000)/100,1)</f>
        <v/>
      </c>
      <c r="J2433" t="inlineStr"/>
      <c r="K2433" t="inlineStr"/>
      <c r="L2433" t="inlineStr"/>
      <c r="M2433" t="inlineStr"/>
      <c r="N2433" t="inlineStr"/>
      <c r="O2433">
        <f>(1-Summary!$B$11)*S2433+Summary!$B$11*U2433</f>
        <v/>
      </c>
      <c r="P2433">
        <f>IF(B2446=0,0,O2433/B2446)</f>
        <v/>
      </c>
      <c r="Q2433">
        <f>IFERROR(1/IF(Inputs!$B$38="pvp",15,MAX(0.1,Skills!D23-IF(Skills!E23=TRUE,Inputs!$B$32,0))),0)</f>
        <v/>
      </c>
      <c r="R2433" t="n">
        <v>0</v>
      </c>
      <c r="S2433" t="n">
        <v>0</v>
      </c>
      <c r="U2433" t="n">
        <v>0</v>
      </c>
    </row>
    <row r="2436">
      <c r="A2436" t="inlineStr">
        <is>
          <t>Average Buff Multiplier (Magic Guard + Meditation + Artifact Attack%, summed; then Infinity)</t>
        </is>
      </c>
      <c r="B2436">
        <f>(1+(IF(C2413=TRUE,F2413*IF(AND(Inputs!$B$38&lt;&gt;"pvp",Inputs!$B$43&gt;0),(((R2413-1)*(Skills!S3*(1+(Inputs!$B$34+IF(Inputs!$B$3&gt;=117,F2432,0))/100))+MIN((Skills!S3*(1+(Inputs!$B$34+IF(Inputs!$B$3&gt;=117,F2432,0))/100)),MAX(0,Inputs!$B$43-((R2413-1)*Skills!D3))))/Inputs!$B$43),IF(Inputs!$B$38="pvp",MIN((Skills!S3*(1+(Inputs!$B$34+IF(Inputs!$B$3&gt;=117,F2432,0))/100)),15)/15,(Skills!S3*(1+(Inputs!$B$34+IF(Inputs!$B$3&gt;=117,F2432,0))/100))/Skills!D3)),0)+IF(C2414=TRUE,F2414*IF(AND(Inputs!$B$38&lt;&gt;"pvp",Inputs!$B$43&gt;0),(((R2414-1)*(Skills!S4*(1+(Inputs!$B$34+IF(Inputs!$B$3&gt;=117,F2432,0))/100))+MIN((Skills!S4*(1+(Inputs!$B$34+IF(Inputs!$B$3&gt;=117,F2432,0))/100)),MAX(0,Inputs!$B$43-((R2414-1)*Skills!D4))))/Inputs!$B$43),IF(Inputs!$B$38="pvp",MIN((Skills!S4*(1+(Inputs!$B$34+IF(Inputs!$B$3&gt;=117,F2432,0))/100)),15)/15,(Skills!S4*(1+(Inputs!$B$34+IF(Inputs!$B$3&gt;=117,F2432,0)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2426=TRUE,(1+F2426*IF(AND(Inputs!$B$38&lt;&gt;"pvp",Inputs!$B$43&gt;0),(((R2426-1)*(Skills!S16*(1+(Inputs!$B$34+IF(Inputs!$B$3&gt;=117,F2432,0))/100))+MIN((Skills!S16*(1+(Inputs!$B$34+IF(Inputs!$B$3&gt;=117,F2432,0))/100)),MAX(0,Inputs!$B$43-((R2426-1)*Skills!D16))))/Inputs!$B$43),IF(Inputs!$B$38="pvp",MIN((Skills!S16*(1+(Inputs!$B$34+IF(Inputs!$B$3&gt;=117,F2432,0))/100)),15)/15,(Skills!S16*(1+(Inputs!$B$34+IF(Inputs!$B$3&gt;=117,F2432,0))/100))/Skills!D16))/100),1)</f>
        <v/>
      </c>
    </row>
    <row r="2437">
      <c r="A2437" t="inlineStr">
        <is>
          <t>Monster Damage Taken Bonus % (Freezing Breath - Weaken + Elemental Reset + Artifact Enemy Damage Taken, summed)</t>
        </is>
      </c>
      <c r="B2437">
        <f>IF(Inputs!$B$3&gt;=118,15*IF(Inputs!$B$38="pvp",MIN((30*(1+(Inputs!$B$34+IF(Inputs!$B$3&gt;=117,F2432,0))/100)),15)/15,(30*(1+(Inputs!$B$34+IF(Inputs!$B$3&gt;=117,F2432,0))/100))/Skills!D8),0)+IF(C2424=TRUE,F2424,0)+(IF(AND(ArtifactsInput!$M$35,Inputs!$B$4&lt;&gt;"Chapter Hunt"),CHOOSE(ArtifactsInput!$N$35+1,15,18,21,24,27,30)*(1-EXP(-(0.2*B2440)*5)),0)+IF(AND(ArtifactsInput!$M$22,Inputs!$B$4&lt;&gt;"Chapter Hunt"),CHOOSE(ArtifactsInput!$N$22+1,10,12,14,16,18,20)*((0*(((0.15*B2440*5))^0/1)+1*(((0.15*B2440*5))^1/1)+2*(((0.15*B2440*5))^2/2)+3*(((0.15*B2440*5))^3/6)+4*(((0.15*B2440*5))^4/24)+5*(((0.15*B2440*5))^5/120))/((((0.15*B2440*5))^0/1)+(((0.15*B2440*5))^1/1)+(((0.15*B2440*5))^2/2)+(((0.15*B2440*5))^3/6)+(((0.15*B2440*5))^4/24)+(((0.15*B2440*5))^5/120))),0))</f>
        <v/>
      </c>
    </row>
    <row r="2438">
      <c r="A2438" t="inlineStr">
        <is>
          <t>Damage % Bonus (Frozen Break + Frost Clutch, flat)</t>
        </is>
      </c>
      <c r="B2438">
        <f>IF(Inputs!$B$3&gt;=66,15,0)+IF(Inputs!$B$3&gt;=98,10,0)+IF(Inputs!$B$3&gt;=125,20,0)</f>
        <v/>
      </c>
    </row>
    <row r="2439">
      <c r="A2439" t="inlineStr">
        <is>
          <t>Attack Speed Bonus % (MP Eater - MP Boost, always-on once unlocked)</t>
        </is>
      </c>
      <c r="B2439">
        <f>IF(C2423=TRUE,F2423+(F2427-Calc!F17),0)</f>
        <v/>
      </c>
    </row>
    <row r="2440">
      <c r="A2440" t="inlineStr">
        <is>
          <t>Actions Per Second</t>
        </is>
      </c>
      <c r="B2440">
        <f>1+MIN(150,150*(1-(1-(Inputs!$B$11+(ArtifactsInput!$M$15-ArtifactsInput!$M$15)*CHOOSE(ArtifactsInput!$N$15+1,8,9.6,11.2,12.8,14.4,16))/150)*(1-B2439/150)))/100</f>
        <v/>
      </c>
    </row>
    <row r="2441">
      <c r="A2441" t="inlineStr">
        <is>
          <t>Skill + Buff Cast Rate</t>
        </is>
      </c>
      <c r="B2441">
        <f>IF(AND(Inputs!$B$38&lt;&gt;"pvp",Inputs!$B$43&gt;0),SUMPRODUCT((Skills!E2:E23=TRUE)*(C2412:C2433=TRUE)*R2412:R2433)/Inputs!$B$43,SUMPRODUCT((Skills!E2:E23=TRUE)*(C2412:C2433=TRUE)*Q2412:Q2433))</f>
        <v/>
      </c>
    </row>
    <row r="2442">
      <c r="A2442" t="inlineStr">
        <is>
          <t>Chain Lightning Casts Per Second</t>
        </is>
      </c>
      <c r="B2442">
        <f>MAX(0,B2440-B2441)</f>
        <v/>
      </c>
    </row>
    <row r="2443">
      <c r="A2443" t="inlineStr">
        <is>
          <t>Buff-Casting Startup Delay (s, fixed-duration only)</t>
        </is>
      </c>
      <c r="B2443">
        <f>IF(AND(Inputs!$B$38&lt;&gt;"pvp",Inputs!$B$43&gt;0),SUMPRODUCT((Skills!S2:S23&gt;0)*(Skills!E2:E23=TRUE)*(C2412:C2433=TRUE))/B2440,0)</f>
        <v/>
      </c>
    </row>
    <row r="2444">
      <c r="A2444" t="inlineStr">
        <is>
          <t>Boss-Only Total DPS (this block's swept value)</t>
        </is>
      </c>
      <c r="B2444">
        <f>SUM(S2412:S2433)</f>
        <v/>
      </c>
    </row>
    <row r="2445">
      <c r="A2445" t="inlineStr">
        <is>
          <t>Normal-Only Total DPS (this block's swept value)</t>
        </is>
      </c>
      <c r="B2445">
        <f>SUM(U2412:U2433)</f>
        <v/>
      </c>
    </row>
    <row r="2446">
      <c r="A2446" s="6" t="inlineStr">
        <is>
          <t>TOTAL DPS</t>
        </is>
      </c>
      <c r="B2446" s="6">
        <f>SUM(O2412:O2433)</f>
        <v/>
      </c>
    </row>
    <row r="2449">
      <c r="A2449" s="9" t="inlineStr">
        <is>
          <t>Cooldown Reduction Milestone Sweep (absolute CDR seconds, fixed-duration content only)</t>
        </is>
      </c>
    </row>
    <row r="2450">
      <c r="A2450" s="5" t="inlineStr">
        <is>
          <t>CDR (s)</t>
        </is>
      </c>
      <c r="B2450" s="5" t="inlineStr">
        <is>
          <t>Total DPS</t>
        </is>
      </c>
      <c r="C2450" s="5" t="inlineStr">
        <is>
          <t>DPS Gain (vs prior step)</t>
        </is>
      </c>
      <c r="D2450" s="5" t="inlineStr">
        <is>
          <t>% Gain (vs current CDR)</t>
        </is>
      </c>
    </row>
    <row r="2451">
      <c r="A2451" t="n">
        <v>0.5</v>
      </c>
      <c r="B2451">
        <f>B2499</f>
        <v/>
      </c>
      <c r="C2451" t="n">
        <v>0</v>
      </c>
      <c r="D2451">
        <f>IF(Summary!$B$3=0,0,(B2451-Summary!$B$3)/Summary!$B$3*100)</f>
        <v/>
      </c>
    </row>
    <row r="2452">
      <c r="A2452" t="n">
        <v>1</v>
      </c>
      <c r="B2452">
        <f>B2538</f>
        <v/>
      </c>
      <c r="C2452">
        <f>B2452-B2451</f>
        <v/>
      </c>
      <c r="D2452">
        <f>IF(Summary!$B$3=0,0,(B2452-Summary!$B$3)/Summary!$B$3*100)</f>
        <v/>
      </c>
    </row>
    <row r="2453">
      <c r="A2453" t="n">
        <v>1.5</v>
      </c>
      <c r="B2453">
        <f>B2577</f>
        <v/>
      </c>
      <c r="C2453">
        <f>B2453-B2452</f>
        <v/>
      </c>
      <c r="D2453">
        <f>IF(Summary!$B$3=0,0,(B2453-Summary!$B$3)/Summary!$B$3*100)</f>
        <v/>
      </c>
    </row>
    <row r="2454">
      <c r="A2454" t="n">
        <v>2</v>
      </c>
      <c r="B2454">
        <f>B2616</f>
        <v/>
      </c>
      <c r="C2454">
        <f>B2454-B2453</f>
        <v/>
      </c>
      <c r="D2454">
        <f>IF(Summary!$B$3=0,0,(B2454-Summary!$B$3)/Summary!$B$3*100)</f>
        <v/>
      </c>
    </row>
    <row r="2455">
      <c r="A2455" t="n">
        <v>2.5</v>
      </c>
      <c r="B2455">
        <f>B2655</f>
        <v/>
      </c>
      <c r="C2455">
        <f>B2455-B2454</f>
        <v/>
      </c>
      <c r="D2455">
        <f>IF(Summary!$B$3=0,0,(B2455-Summary!$B$3)/Summary!$B$3*100)</f>
        <v/>
      </c>
    </row>
    <row r="2456">
      <c r="A2456" t="n">
        <v>3</v>
      </c>
      <c r="B2456">
        <f>B2694</f>
        <v/>
      </c>
      <c r="C2456">
        <f>B2456-B2455</f>
        <v/>
      </c>
      <c r="D2456">
        <f>IF(Summary!$B$3=0,0,(B2456-Summary!$B$3)/Summary!$B$3*100)</f>
        <v/>
      </c>
    </row>
    <row r="2457">
      <c r="A2457" t="n">
        <v>3.5</v>
      </c>
      <c r="B2457">
        <f>B2733</f>
        <v/>
      </c>
      <c r="C2457">
        <f>B2457-B2456</f>
        <v/>
      </c>
      <c r="D2457">
        <f>IF(Summary!$B$3=0,0,(B2457-Summary!$B$3)/Summary!$B$3*100)</f>
        <v/>
      </c>
    </row>
    <row r="2458">
      <c r="A2458" t="n">
        <v>4</v>
      </c>
      <c r="B2458">
        <f>B2772</f>
        <v/>
      </c>
      <c r="C2458">
        <f>B2458-B2457</f>
        <v/>
      </c>
      <c r="D2458">
        <f>IF(Summary!$B$3=0,0,(B2458-Summary!$B$3)/Summary!$B$3*100)</f>
        <v/>
      </c>
    </row>
    <row r="2459">
      <c r="A2459" t="n">
        <v>4.5</v>
      </c>
      <c r="B2459">
        <f>B2811</f>
        <v/>
      </c>
      <c r="C2459">
        <f>B2459-B2458</f>
        <v/>
      </c>
      <c r="D2459">
        <f>IF(Summary!$B$3=0,0,(B2459-Summary!$B$3)/Summary!$B$3*100)</f>
        <v/>
      </c>
    </row>
    <row r="2460">
      <c r="A2460" t="n">
        <v>5</v>
      </c>
      <c r="B2460">
        <f>B2850</f>
        <v/>
      </c>
      <c r="C2460">
        <f>B2460-B2459</f>
        <v/>
      </c>
      <c r="D2460">
        <f>IF(Summary!$B$3=0,0,(B2460-Summary!$B$3)/Summary!$B$3*100)</f>
        <v/>
      </c>
    </row>
    <row r="2463">
      <c r="A2463" s="6" t="inlineStr">
        <is>
          <t>Stat: CDR = 0.5s</t>
        </is>
      </c>
    </row>
    <row r="2464">
      <c r="A2464" s="5" t="inlineStr">
        <is>
          <t>Key</t>
        </is>
      </c>
      <c r="B2464" s="5" t="inlineStr">
        <is>
          <t>Name</t>
        </is>
      </c>
      <c r="C2464" s="5" t="inlineStr">
        <is>
          <t>Unlocked</t>
        </is>
      </c>
      <c r="D2464" s="5" t="inlineStr">
        <is>
          <t>InputLevel</t>
        </is>
      </c>
      <c r="E2464" s="5" t="inlineStr">
        <is>
          <t>Factor</t>
        </is>
      </c>
      <c r="F2464" s="5" t="inlineStr">
        <is>
          <t>CoefficientPercent</t>
        </is>
      </c>
      <c r="G2464" s="5" t="inlineStr">
        <is>
          <t>EffectiveHits</t>
        </is>
      </c>
      <c r="H2464" s="5" t="inlineStr">
        <is>
          <t>ProcProbability</t>
        </is>
      </c>
      <c r="I2464" s="5" t="inlineStr">
        <is>
          <t>MapleHeroMultiplier</t>
        </is>
      </c>
      <c r="J2464" s="5" t="inlineStr">
        <is>
          <t>BaseDamage</t>
        </is>
      </c>
      <c r="K2464" s="5" t="inlineStr">
        <is>
          <t>BaseHitDamage</t>
        </is>
      </c>
      <c r="L2464" s="5" t="inlineStr">
        <is>
          <t>NonCritAvg</t>
        </is>
      </c>
      <c r="M2464" s="5" t="inlineStr">
        <is>
          <t>CritAvg</t>
        </is>
      </c>
      <c r="N2464" s="5" t="inlineStr">
        <is>
          <t>ExpectedDamage(perHit)</t>
        </is>
      </c>
      <c r="O2464" s="5" t="inlineStr">
        <is>
          <t>DPS</t>
        </is>
      </c>
      <c r="P2464" s="5" t="inlineStr">
        <is>
          <t>% of Total</t>
        </is>
      </c>
      <c r="R2464" t="inlineStr">
        <is>
          <t>helpers</t>
        </is>
      </c>
    </row>
    <row r="2465">
      <c r="A2465">
        <f>Skills!A2</f>
        <v/>
      </c>
      <c r="B2465">
        <f>Skills!B2</f>
        <v/>
      </c>
      <c r="C2465">
        <f>Inputs!$B$3&gt;=100</f>
        <v/>
      </c>
      <c r="D2465" t="inlineStr"/>
      <c r="E2465" t="inlineStr"/>
      <c r="F2465">
        <f>T2467+Skills!N2</f>
        <v/>
      </c>
      <c r="G2465">
        <f>Calc!G2</f>
        <v/>
      </c>
      <c r="H2465">
        <f>Calc!H2</f>
        <v/>
      </c>
      <c r="I2465">
        <f>IF(Skills!T2&lt;&gt;"",1+(Skills!T2/10)*(Z2466/1000)/100,1)</f>
        <v/>
      </c>
      <c r="J2465">
        <f>((Inputs!$B$6*(1+Inputs!$B$7/100))+(((Inputs!$B$12*(1+Inputs!$B$13/100))-(Inputs!$B$12*(1+Inputs!$B$13/100)))+0.25*(Inputs!$B$14-Inputs!$B$14))*(1+Inputs!$B$7/100))*(F2465/100)</f>
        <v/>
      </c>
      <c r="K2465">
        <f>J2465*(1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F2481-Calc!F18),(Inputs!$B$23+(IF(ArtifactsInput!$M$15,CHOOSE(ArtifactsInput!$N$15+1,25,30,35,40,45,50)/100*(Inputs!$B$11-Inputs!$B$11),0))))/100+(Inputs!$B$23+(IF(ArtifactsInput!$M$15,CHOOSE(ArtifactsInput!$N$15+1,25,30,35,40,45,50)/100*(Inputs!$B$11-Inputs!$B$11),0)))/100)/2</f>
        <v/>
      </c>
      <c r="M2465">
        <f>L2465*(1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(1-Summary!$B$11)*S2465+Summary!$B$11*U2465</f>
        <v/>
      </c>
      <c r="P2465">
        <f>IF(B2499=0,0,O2465/B2499)</f>
        <v/>
      </c>
      <c r="Q2465">
        <f>IFERROR(1/IF(Inputs!$B$38="pvp",15,MAX(0.1,Skills!D2-IF(Skills!E2=TRUE,0.5,0))),0)</f>
        <v/>
      </c>
      <c r="R2465" t="n">
        <v>0</v>
      </c>
      <c r="S2465">
        <f>IF(C2465,(Skills!F2*N2465*B2495)*IF(Inputs!$B$38="pvp",1,1+(Inputs!$B$20+Skills!O2+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65">
        <f>MAX(0,(Inputs!$B$3-100)*3)+Inputs!$B$28+Inputs!$B$29</f>
        <v/>
      </c>
      <c r="U2465">
        <f>IF(C2465,(Skills!F2*N2465*B2495)*IF(Inputs!$B$38="pvp",1,(1+(Inputs!$B$21+Skills!P2+B2490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65">
        <f>MAX(0,(Inputs!$B$3-100)*3)+Inputs!$B$28+Inputs!$B$29</f>
        <v/>
      </c>
    </row>
    <row r="2466">
      <c r="A2466">
        <f>Skills!A3</f>
        <v/>
      </c>
      <c r="B2466">
        <f>Skills!B3</f>
        <v/>
      </c>
      <c r="C2466">
        <f>Inputs!$B$3&gt;=15</f>
        <v/>
      </c>
      <c r="D2466">
        <f>IF(Skills!C3=1,60+Inputs!$B$25+Inputs!$B$29,IF(Skills!C3=2,90+Inputs!$B$26+Inputs!$B$29,IF(Skills!C3=3,120+Inputs!$B$27+Inputs!$B$29,MAX(0,(Inputs!$B$3-100)*3)+Inputs!$B$28+Inputs!$B$29)))</f>
        <v/>
      </c>
      <c r="E2466">
        <f>INDEX(FactorTable!$B$2:$Y$301, MATCH(ROUND(MIN(300,MAX(1,D2466)),0), FactorTable!$A$2:$A$301,0), Skills!L3+1)</f>
        <v/>
      </c>
      <c r="F2466">
        <f>IF(Skills!M3=TRUE,(Skills!K3/10)*(E2466/1000),Skills!K3/10)+Skills!N3</f>
        <v/>
      </c>
      <c r="G2466">
        <f>Calc!G3</f>
        <v/>
      </c>
      <c r="H2466">
        <f>Calc!H3</f>
        <v/>
      </c>
      <c r="I2466">
        <f>IF(Skills!T3&lt;&gt;"",1+(Skills!T3/10)*(Z2466/1000)/100,1)</f>
        <v/>
      </c>
      <c r="J2466" t="inlineStr"/>
      <c r="K2466" t="inlineStr"/>
      <c r="L2466" t="inlineStr"/>
      <c r="M2466" t="inlineStr"/>
      <c r="N2466" t="inlineStr"/>
      <c r="O2466">
        <f>(1-Summary!$B$11)*S2466+Summary!$B$11*U2466</f>
        <v/>
      </c>
      <c r="P2466">
        <f>IF(B2499=0,0,O2466/B2499)</f>
        <v/>
      </c>
      <c r="Q2466">
        <f>IFERROR(1/IF(Inputs!$B$38="pvp",15,MAX(0.1,Skills!D3-IF(Skills!E3=TRUE,0.5,0))),0)</f>
        <v/>
      </c>
      <c r="R2466">
        <f>IF(AND(Inputs!$B$38&lt;&gt;"pvp",Inputs!$B$43&gt;0),IF(Inputs!$B$43&lt;=0,0,(INT(Inputs!$B$43/IF(Inputs!$B$38="pvp",15,MAX(0.1,Skills!D3-IF(Skills!E3=TRUE,0.5,0))))+1)),0)</f>
        <v/>
      </c>
      <c r="S2466" t="n">
        <v>0</v>
      </c>
      <c r="T2466">
        <f>INDEX(FactorTable!$B$2:$Y$301, MATCH(ROUND(MIN(300,MAX(1,T2465)),0), FactorTable!$A$2:$A$301,0), 22)</f>
        <v/>
      </c>
      <c r="U2466" t="n">
        <v>0</v>
      </c>
      <c r="Z2466">
        <f>INDEX(FactorTable!$B$2:$Y$301, MATCH(ROUND(MIN(300,MAX(1,Z2465)),0), FactorTable!$A$2:$A$301,0), 24)</f>
        <v/>
      </c>
    </row>
    <row r="2467">
      <c r="A2467">
        <f>Skills!A4</f>
        <v/>
      </c>
      <c r="B2467">
        <f>Skills!B4</f>
        <v/>
      </c>
      <c r="C2467">
        <f>Inputs!$B$3&gt;=40</f>
        <v/>
      </c>
      <c r="D2467">
        <f>IF(Skills!C4=1,60+Inputs!$B$25+Inputs!$B$29,IF(Skills!C4=2,90+Inputs!$B$26+Inputs!$B$29,IF(Skills!C4=3,120+Inputs!$B$27+Inputs!$B$29,MAX(0,(Inputs!$B$3-100)*3)+Inputs!$B$28+Inputs!$B$29)))</f>
        <v/>
      </c>
      <c r="E2467">
        <f>INDEX(FactorTable!$B$2:$Y$301, MATCH(ROUND(MIN(300,MAX(1,D2467)),0), FactorTable!$A$2:$A$301,0), Skills!L4+1)</f>
        <v/>
      </c>
      <c r="F2467">
        <f>IF(Skills!M4=TRUE,(Skills!K4/10)*(E2467/1000),Skills!K4/10)+Skills!N4</f>
        <v/>
      </c>
      <c r="G2467">
        <f>Calc!G4</f>
        <v/>
      </c>
      <c r="H2467">
        <f>Calc!H4</f>
        <v/>
      </c>
      <c r="I2467">
        <f>IF(Skills!T4&lt;&gt;"",1+(Skills!T4/10)*(Z2466/1000)/100,1)</f>
        <v/>
      </c>
      <c r="J2467" t="inlineStr"/>
      <c r="K2467" t="inlineStr"/>
      <c r="L2467" t="inlineStr"/>
      <c r="M2467" t="inlineStr"/>
      <c r="N2467" t="inlineStr"/>
      <c r="O2467">
        <f>(1-Summary!$B$11)*S2467+Summary!$B$11*U2467</f>
        <v/>
      </c>
      <c r="P2467">
        <f>IF(B2499=0,0,O2467/B2499)</f>
        <v/>
      </c>
      <c r="Q2467">
        <f>IFERROR(1/IF(Inputs!$B$38="pvp",15,MAX(0.1,Skills!D4-IF(Skills!E4=TRUE,0.5,0))),0)</f>
        <v/>
      </c>
      <c r="R2467">
        <f>IF(AND(Inputs!$B$38&lt;&gt;"pvp",Inputs!$B$43&gt;0),IF(Inputs!$B$43&lt;=0,0,(INT(Inputs!$B$43/IF(Inputs!$B$38="pvp",15,MAX(0.1,Skills!D4-IF(Skills!E4=TRUE,0.5,0))))+1)),0)</f>
        <v/>
      </c>
      <c r="S2467" t="n">
        <v>0</v>
      </c>
      <c r="T2467">
        <f>290*T2466/1000</f>
        <v/>
      </c>
      <c r="U2467" t="n">
        <v>0</v>
      </c>
    </row>
    <row r="2468">
      <c r="A2468">
        <f>Skills!A5</f>
        <v/>
      </c>
      <c r="B2468">
        <f>Skills!B5</f>
        <v/>
      </c>
      <c r="C2468">
        <f>Inputs!$B$3&gt;=38</f>
        <v/>
      </c>
      <c r="D2468">
        <f>IF(Skills!C5=1,60+Inputs!$B$25+Inputs!$B$29,IF(Skills!C5=2,90+Inputs!$B$26+Inputs!$B$29,IF(Skills!C5=3,120+Inputs!$B$27+Inputs!$B$29,MAX(0,(Inputs!$B$3-100)*3)+Inputs!$B$28+Inputs!$B$29)))</f>
        <v/>
      </c>
      <c r="E2468">
        <f>INDEX(FactorTable!$B$2:$Y$301, MATCH(ROUND(MIN(300,MAX(1,D2468)),0), FactorTable!$A$2:$A$301,0), Skills!L5+1)</f>
        <v/>
      </c>
      <c r="F2468">
        <f>IF(Skills!M5=TRUE,(Skills!K5/10)*(E2468/1000),Skills!K5/10)+Skills!N5</f>
        <v/>
      </c>
      <c r="G2468">
        <f>Calc!G5</f>
        <v/>
      </c>
      <c r="H2468">
        <f>Calc!H5</f>
        <v/>
      </c>
      <c r="I2468">
        <f>IF(Skills!T5&lt;&gt;"",1+(Skills!T5/10)*(Z2466/1000)/100,1)</f>
        <v/>
      </c>
      <c r="J2468">
        <f>((Inputs!$B$6*(1+Inputs!$B$7/100))+(((Inputs!$B$12*(1+Inputs!$B$13/100))-(Inputs!$B$12*(1+Inputs!$B$13/100)))+0.25*(Inputs!$B$14-Inputs!$B$14))*(1+Inputs!$B$7/100))*(F2468/100)</f>
        <v/>
      </c>
      <c r="K2468">
        <f>J2468*(1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2468)</f>
        <v/>
      </c>
      <c r="L2468">
        <f>K2468*(MIN(Inputs!$B$22+(F2481-Calc!F18),(Inputs!$B$23+(IF(ArtifactsInput!$M$15,CHOOSE(ArtifactsInput!$N$15+1,25,30,35,40,45,50)/100*(Inputs!$B$11-Inputs!$B$11),0))))/100+(Inputs!$B$23+(IF(ArtifactsInput!$M$15,CHOOSE(ArtifactsInput!$N$15+1,25,30,35,40,45,50)/100*(Inputs!$B$11-Inputs!$B$11),0)))/100)/2</f>
        <v/>
      </c>
      <c r="M2468">
        <f>L2468*(1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8">
        <f>L2468*(1-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2468*(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8">
        <f>(1-Summary!$B$11)*S2468+Summary!$B$11*U2468</f>
        <v/>
      </c>
      <c r="P2468">
        <f>IF(B2499=0,0,O2468/B2499)</f>
        <v/>
      </c>
      <c r="Q2468">
        <f>IFERROR(1/IF(Inputs!$B$38="pvp",15,MAX(0.1,Skills!D5-IF(Skills!E5=TRUE,0.5,0))),0)</f>
        <v/>
      </c>
      <c r="R2468">
        <f>IF(AND(Inputs!$B$38&lt;&gt;"pvp",Inputs!$B$43&gt;0),IF(MAX(0,Inputs!$B$43-B2496)&lt;=0,0,(INT(MAX(0,Inputs!$B$43-B2496)/IF(Inputs!$B$38="pvp",15,MAX(0.1,Skills!D5-IF(Skills!E5=TRUE,0.5,0))))+1)),0)</f>
        <v/>
      </c>
      <c r="S2468">
        <f>IF(C2468,(H2468*N2468*IF(AND(Inputs!$B$38&lt;&gt;"pvp",Inputs!$B$43&gt;0),((Skills!F5*((R2468-1)*IF(Skills!G5&gt;0,Skills!H5/Skills!G5,1)+IF(Skills!G5&gt;0,MIN(Skills!H5,MAX(0,MAX(0,Inputs!$B$43-B2496)-((R2468-1)*IF(Inputs!$B$38="pvp",15,MAX(0.1,Skills!D5-IF(Skills!E5=TRUE,0.5,0))))))/Skills!G5,1)))/Inputs!$B$43),G2468*Q2468))*IF(Inputs!$B$38="pvp",1,1+(Inputs!$B$20+Skills!O5+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2468*(1-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2468*(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2468*(1-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2468*(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8">
        <f>IF(C2468,(H2468*N2468*IF(AND(Inputs!$B$38&lt;&gt;"pvp",Inputs!$B$43&gt;0),((Skills!F5*((R2468-1)*IF(Skills!G5&gt;0,Skills!H5/Skills!G5,1)+IF(Skills!G5&gt;0,MIN(Skills!H5,MAX(0,MAX(0,Inputs!$B$43-B2496)-((R2468-1)*IF(Inputs!$B$38="pvp",15,MAX(0.1,Skills!D5-IF(Skills!E5=TRUE,0.5,0))))))/Skills!G5,1)))/Inputs!$B$43),G2468*Q2468))*IF(Inputs!$B$38="pvp",1,(1+(Inputs!$B$21+Skills!P5+B2490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9">
      <c r="A2469">
        <f>Skills!A6</f>
        <v/>
      </c>
      <c r="B2469">
        <f>Skills!B6</f>
        <v/>
      </c>
      <c r="C2469">
        <f>Inputs!$B$3&gt;=63</f>
        <v/>
      </c>
      <c r="D2469">
        <f>IF(Skills!C6=1,60+Inputs!$B$25+Inputs!$B$29,IF(Skills!C6=2,90+Inputs!$B$26+Inputs!$B$29,IF(Skills!C6=3,120+Inputs!$B$27+Inputs!$B$29,MAX(0,(Inputs!$B$3-100)*3)+Inputs!$B$28+Inputs!$B$29)))</f>
        <v/>
      </c>
      <c r="E2469">
        <f>INDEX(FactorTable!$B$2:$Y$301, MATCH(ROUND(MIN(300,MAX(1,D2469)),0), FactorTable!$A$2:$A$301,0), Skills!L6+1)</f>
        <v/>
      </c>
      <c r="F2469">
        <f>IF(Skills!M6=TRUE,(Skills!K6/10)*(E2469/1000),Skills!K6/10)+Skills!N6</f>
        <v/>
      </c>
      <c r="G2469">
        <f>Calc!G6</f>
        <v/>
      </c>
      <c r="H2469">
        <f>Calc!H6</f>
        <v/>
      </c>
      <c r="I2469">
        <f>IF(Skills!T6&lt;&gt;"",1+(Skills!T6/10)*(Z2466/1000)/100,1)</f>
        <v/>
      </c>
      <c r="J2469">
        <f>((Inputs!$B$6*(1+Inputs!$B$7/100))+(((Inputs!$B$12*(1+Inputs!$B$13/100))-(Inputs!$B$12*(1+Inputs!$B$13/100)))+0.25*(Inputs!$B$14-Inputs!$B$14))*(1+Inputs!$B$7/100))*(F2469/100)</f>
        <v/>
      </c>
      <c r="K2469">
        <f>J2469*(1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F2481-Calc!F18),(Inputs!$B$23+(IF(ArtifactsInput!$M$15,CHOOSE(ArtifactsInput!$N$15+1,25,30,35,40,45,50)/100*(Inputs!$B$11-Inputs!$B$11),0))))/100+(Inputs!$B$23+(IF(ArtifactsInput!$M$15,CHOOSE(ArtifactsInput!$N$15+1,25,30,35,40,45,50)/100*(Inputs!$B$11-Inputs!$B$11),0)))/100)/2</f>
        <v/>
      </c>
      <c r="M2469">
        <f>L2469*(1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(1-Summary!$B$11)*S2469+Summary!$B$11*U2469</f>
        <v/>
      </c>
      <c r="P2469">
        <f>IF(B2499=0,0,O2469/B2499)</f>
        <v/>
      </c>
      <c r="Q2469">
        <f>IFERROR(1/IF(Inputs!$B$38="pvp",15,MAX(0.1,Skills!D6-IF(Skills!E6=TRUE,0.5,0))),0)</f>
        <v/>
      </c>
      <c r="R2469">
        <f>IF(AND(Inputs!$B$38&lt;&gt;"pvp",Inputs!$B$43&gt;0),IF(MAX(0,Inputs!$B$43-B2496)&lt;=0,0,(INT(MAX(0,Inputs!$B$43-B2496)/IF(Inputs!$B$38="pvp",15,MAX(0.1,Skills!D6-IF(Skills!E6=TRUE,0.5,0))))+1)),0)</f>
        <v/>
      </c>
      <c r="S2469">
        <f>IF(C2469,(H2469*N2469*IF(AND(Inputs!$B$38&lt;&gt;"pvp",Inputs!$B$43&gt;0),((Skills!F6*((R2469-1)*IF(Skills!G6&gt;0,Skills!H6/Skills!G6,1)+IF(Skills!G6&gt;0,MIN(Skills!H6,MAX(0,MAX(0,Inputs!$B$43-B2496)-((R2469-1)*IF(Inputs!$B$38="pvp",15,MAX(0.1,Skills!D6-IF(Skills!E6=TRUE,0.5,0))))))/Skills!G6,1)))/Inputs!$B$43),G2469*Q2469))*IF(Inputs!$B$38="pvp",1,1+(Inputs!$B$20+Skills!O6+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2469*(1-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9">
        <f>IF(C2469,(H2469*N2469*IF(AND(Inputs!$B$38&lt;&gt;"pvp",Inputs!$B$43&gt;0),((Skills!F6*((R2469-1)*IF(Skills!G6&gt;0,Skills!H6/Skills!G6,1)+IF(Skills!G6&gt;0,MIN(Skills!H6,MAX(0,MAX(0,Inputs!$B$43-B2496)-((R2469-1)*IF(Inputs!$B$38="pvp",15,MAX(0.1,Skills!D6-IF(Skills!E6=TRUE,0.5,0))))))/Skills!G6,1)))/Inputs!$B$43),G2469*Q2469))*IF(Inputs!$B$38="pvp",1,(1+(Inputs!$B$21+Skills!P6+B2490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Skills!A7</f>
        <v/>
      </c>
      <c r="B2470">
        <f>Skills!B7</f>
        <v/>
      </c>
      <c r="C2470">
        <f>Inputs!$B$3&gt;=69</f>
        <v/>
      </c>
      <c r="D2470">
        <f>IF(Skills!C7=1,60+Inputs!$B$25+Inputs!$B$29,IF(Skills!C7=2,90+Inputs!$B$26+Inputs!$B$29,IF(Skills!C7=3,120+Inputs!$B$27+Inputs!$B$29,MAX(0,(Inputs!$B$3-100)*3)+Inputs!$B$28+Inputs!$B$29)))</f>
        <v/>
      </c>
      <c r="E2470">
        <f>INDEX(FactorTable!$B$2:$Y$301, MATCH(ROUND(MIN(300,MAX(1,D2470)),0), FactorTable!$A$2:$A$301,0), Skills!L7+1)</f>
        <v/>
      </c>
      <c r="F2470">
        <f>IF(Skills!M7=TRUE,(Skills!K7/10)*(E2470/1000),Skills!K7/10)+Skills!N7</f>
        <v/>
      </c>
      <c r="G2470">
        <f>Calc!G7</f>
        <v/>
      </c>
      <c r="H2470">
        <f>Calc!H7</f>
        <v/>
      </c>
      <c r="I2470">
        <f>IF(Skills!T7&lt;&gt;"",1+(Skills!T7/10)*(Z2466/1000)/100,1)</f>
        <v/>
      </c>
      <c r="J2470">
        <f>((Inputs!$B$6*(1+Inputs!$B$7/100))+(((Inputs!$B$12*(1+Inputs!$B$13/100))-(Inputs!$B$12*(1+Inputs!$B$13/100)))+0.25*(Inputs!$B$14-Inputs!$B$14))*(1+Inputs!$B$7/100))*(F2470/100)</f>
        <v/>
      </c>
      <c r="K2470">
        <f>J2470*(1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2481-Calc!F18),(Inputs!$B$23+(IF(ArtifactsInput!$M$15,CHOOSE(ArtifactsInput!$N$15+1,25,30,35,40,45,50)/100*(Inputs!$B$11-Inputs!$B$11),0))))/100+(Inputs!$B$23+(IF(ArtifactsInput!$M$15,CHOOSE(ArtifactsInput!$N$15+1,25,30,35,40,45,50)/100*(Inputs!$B$11-Inputs!$B$11),0)))/100)/2</f>
        <v/>
      </c>
      <c r="M2470">
        <f>L2470*(1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IF(B2499=0,0,O2470/B2499)</f>
        <v/>
      </c>
      <c r="Q2470">
        <f>IFERROR(1/IF(Inputs!$B$38="pvp",15,MAX(0.1,Skills!D7-IF(Skills!E7=TRUE,0.5,0))),0)</f>
        <v/>
      </c>
      <c r="R2470">
        <f>IF(AND(Inputs!$B$38&lt;&gt;"pvp",Inputs!$B$43&gt;0),IF(MAX(0,Inputs!$B$43-B2496)&lt;=0,0,(INT(MAX(0,Inputs!$B$43-B2496)/IF(Inputs!$B$38="pvp",15,MAX(0.1,Skills!D7-IF(Skills!E7=TRUE,0.5,0))))+1)),0)</f>
        <v/>
      </c>
      <c r="S2470">
        <f>IF(C2470,(H2470*N2470*IF(AND(Inputs!$B$38&lt;&gt;"pvp",Inputs!$B$43&gt;0),((Skills!F7*((R2470-1)*IF(Skills!G7&gt;0,Skills!H7/Skills!G7,1)+IF(Skills!G7&gt;0,MIN(Skills!H7,MAX(0,MAX(0,Inputs!$B$43-B2496)-((R2470-1)*IF(Inputs!$B$38="pvp",15,MAX(0.1,Skills!D7-IF(Skills!E7=TRUE,0.5,0))))))/Skills!G7,1)))/Inputs!$B$43),G2470*Q2470))*IF(Inputs!$B$38="pvp",1,1+(Inputs!$B$20+Skills!O7+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F7*((R2470-1)*IF(Skills!G7&gt;0,Skills!H7/Skills!G7,1)+IF(Skills!G7&gt;0,MIN(Skills!H7,MAX(0,MAX(0,Inputs!$B$43-B2496)-((R2470-1)*IF(Inputs!$B$38="pvp",15,MAX(0.1,Skills!D7-IF(Skills!E7=TRUE,0.5,0))))))/Skills!G7,1)))/Inputs!$B$43),G2470*Q2470))*IF(Inputs!$B$38="pvp",1,(1+(Inputs!$B$21+Skills!P7+B2490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Skills!A8</f>
        <v/>
      </c>
      <c r="B2471">
        <f>Skills!B8</f>
        <v/>
      </c>
      <c r="C2471">
        <f>Inputs!$B$3&gt;=103</f>
        <v/>
      </c>
      <c r="D2471">
        <f>IF(Skills!C8=1,60+Inputs!$B$25+Inputs!$B$29,IF(Skills!C8=2,90+Inputs!$B$26+Inputs!$B$29,IF(Skills!C8=3,120+Inputs!$B$27+Inputs!$B$29,MAX(0,(Inputs!$B$3-100)*3)+Inputs!$B$28+Inputs!$B$29)))</f>
        <v/>
      </c>
      <c r="E2471">
        <f>INDEX(FactorTable!$B$2:$Y$301, MATCH(ROUND(MIN(300,MAX(1,D2471)),0), FactorTable!$A$2:$A$301,0), Skills!L8+1)</f>
        <v/>
      </c>
      <c r="F2471">
        <f>IF(Skills!M8=TRUE,(Skills!K8/10)*(E2471/1000),Skills!K8/10)+Skills!N8</f>
        <v/>
      </c>
      <c r="G2471">
        <f>Calc!G8</f>
        <v/>
      </c>
      <c r="H2471">
        <f>Calc!H8</f>
        <v/>
      </c>
      <c r="I2471">
        <f>IF(Skills!T8&lt;&gt;"",1+(Skills!T8/10)*(Z2466/1000)/100,1)</f>
        <v/>
      </c>
      <c r="J2471">
        <f>((Inputs!$B$6*(1+Inputs!$B$7/100))+(((Inputs!$B$12*(1+Inputs!$B$13/100))-(Inputs!$B$12*(1+Inputs!$B$13/100)))+0.25*(Inputs!$B$14-Inputs!$B$14))*(1+Inputs!$B$7/100))*(F2471/100)</f>
        <v/>
      </c>
      <c r="K2471">
        <f>J2471*(1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F2481-Calc!F18),(Inputs!$B$23+(IF(ArtifactsInput!$M$15,CHOOSE(ArtifactsInput!$N$15+1,25,30,35,40,45,50)/100*(Inputs!$B$11-Inputs!$B$11),0))))/100+(Inputs!$B$23+(IF(ArtifactsInput!$M$15,CHOOSE(ArtifactsInput!$N$15+1,25,30,35,40,45,50)/100*(Inputs!$B$11-Inputs!$B$11),0)))/100)/2</f>
        <v/>
      </c>
      <c r="M2471">
        <f>L2471*(1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(1-Summary!$B$11)*S2471+Summary!$B$11*U2471</f>
        <v/>
      </c>
      <c r="P2471">
        <f>IF(B2499=0,0,O2471/B2499)</f>
        <v/>
      </c>
      <c r="Q2471">
        <f>IFERROR(1/IF(Inputs!$B$38="pvp",15,MAX(0.1,Skills!D8-IF(Skills!E8=TRUE,0.5,0))),0)</f>
        <v/>
      </c>
      <c r="R2471">
        <f>IF(AND(Inputs!$B$38&lt;&gt;"pvp",Inputs!$B$43&gt;0),IF(MAX(0,Inputs!$B$43-B2496)&lt;=0,0,(INT(MAX(0,Inputs!$B$43-B2496)/IF(Inputs!$B$38="pvp",15,MAX(0.1,Skills!D8-IF(Skills!E8=TRUE,0.5,0))))+1)),0)</f>
        <v/>
      </c>
      <c r="S2471">
        <f>IF(C2471,(H2471*N2471*IF(AND(Inputs!$B$38&lt;&gt;"pvp",Inputs!$B$43&gt;0),((Skills!F8*((R2471-1)*IF(Skills!G8&gt;0,Skills!H8/Skills!G8,1)+IF(Skills!G8&gt;0,MIN(Skills!H8,MAX(0,MAX(0,Inputs!$B$43-B2496)-((R2471-1)*IF(Inputs!$B$38="pvp",15,MAX(0.1,Skills!D8-IF(Skills!E8=TRUE,0.5,0))))))/Skills!G8,1)))/Inputs!$B$43),G2471*Q2471))*IF(Inputs!$B$38="pvp",1,1+(Inputs!$B$20+Skills!O8+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2471*(1-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1">
        <f>IF(C2471,(H2471*N2471*IF(AND(Inputs!$B$38&lt;&gt;"pvp",Inputs!$B$43&gt;0),((Skills!F8*((R2471-1)*IF(Skills!G8&gt;0,Skills!H8/Skills!G8,1)+IF(Skills!G8&gt;0,MIN(Skills!H8,MAX(0,MAX(0,Inputs!$B$43-B2496)-((R2471-1)*IF(Inputs!$B$38="pvp",15,MAX(0.1,Skills!D8-IF(Skills!E8=TRUE,0.5,0))))))/Skills!G8,1)))/Inputs!$B$43),G2471*Q2471))*IF(Inputs!$B$38="pvp",1,(1+(Inputs!$B$21+Skills!P8+B2490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Skills!A9</f>
        <v/>
      </c>
      <c r="B2472">
        <f>Skills!B9</f>
        <v/>
      </c>
      <c r="C2472">
        <f>Inputs!$B$3&gt;=105</f>
        <v/>
      </c>
      <c r="D2472">
        <f>IF(Skills!C9=1,60+Inputs!$B$25+Inputs!$B$29,IF(Skills!C9=2,90+Inputs!$B$26+Inputs!$B$29,IF(Skills!C9=3,120+Inputs!$B$27+Inputs!$B$29,MAX(0,(Inputs!$B$3-100)*3)+Inputs!$B$28+Inputs!$B$29)))</f>
        <v/>
      </c>
      <c r="E2472">
        <f>INDEX(FactorTable!$B$2:$Y$301, MATCH(ROUND(MIN(300,MAX(1,D2472)),0), FactorTable!$A$2:$A$301,0), Skills!L9+1)</f>
        <v/>
      </c>
      <c r="F2472">
        <f>IF(Skills!M9=TRUE,(Skills!K9/10)*(E2472/1000),Skills!K9/10)+Skills!N9</f>
        <v/>
      </c>
      <c r="G2472">
        <f>Calc!G9</f>
        <v/>
      </c>
      <c r="H2472">
        <f>Calc!H9</f>
        <v/>
      </c>
      <c r="I2472">
        <f>IF(Skills!T9&lt;&gt;"",1+(Skills!T9/10)*(Z2466/1000)/100,1)</f>
        <v/>
      </c>
      <c r="J2472">
        <f>((Inputs!$B$6*(1+Inputs!$B$7/100))+(((Inputs!$B$12*(1+Inputs!$B$13/100))-(Inputs!$B$12*(1+Inputs!$B$13/100)))+0.25*(Inputs!$B$14-Inputs!$B$14))*(1+Inputs!$B$7/100))*(F2472/100)</f>
        <v/>
      </c>
      <c r="K2472">
        <f>J2472*(1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F2481-Calc!F18),(Inputs!$B$23+(IF(ArtifactsInput!$M$15,CHOOSE(ArtifactsInput!$N$15+1,25,30,35,40,45,50)/100*(Inputs!$B$11-Inputs!$B$11),0))))/100+(Inputs!$B$23+(IF(ArtifactsInput!$M$15,CHOOSE(ArtifactsInput!$N$15+1,25,30,35,40,45,50)/100*(Inputs!$B$11-Inputs!$B$11),0)))/100)/2</f>
        <v/>
      </c>
      <c r="M2472">
        <f>L2472*(1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(1-Summary!$B$11)*S2472+Summary!$B$11*U2472</f>
        <v/>
      </c>
      <c r="P2472">
        <f>IF(B2499=0,0,O2472/B2499)</f>
        <v/>
      </c>
      <c r="Q2472">
        <f>IFERROR(1/IF(Inputs!$B$38="pvp",15,MAX(0.1,Skills!D9-IF(Skills!E9=TRUE,0.5,0))),0)</f>
        <v/>
      </c>
      <c r="R2472">
        <f>IF(AND(Inputs!$B$38&lt;&gt;"pvp",Inputs!$B$43&gt;0),IF(MAX(0,Inputs!$B$43-B2496)&lt;=0,0,(INT(MAX(0,Inputs!$B$43-B2496)/IF(Inputs!$B$38="pvp",15,MAX(0.1,Skills!D9-IF(Skills!E9=TRUE,0.5,0))))+1)),0)</f>
        <v/>
      </c>
      <c r="S2472">
        <f>IF(C2472,(H2472*N2472*IF(AND(Inputs!$B$38&lt;&gt;"pvp",Inputs!$B$43&gt;0),((Skills!F9*((R2472-1)*IF(Skills!G9&gt;0,Skills!H9/Skills!G9,1)+IF(Skills!G9&gt;0,MIN(Skills!H9,MAX(0,MAX(0,Inputs!$B$43-B2496)-((R2472-1)*IF(Inputs!$B$38="pvp",15,MAX(0.1,Skills!D9-IF(Skills!E9=TRUE,0.5,0))))))/Skills!G9,1)))/Inputs!$B$43),G2472*Q2472))*IF(Inputs!$B$38="pvp",1,1+(Inputs!$B$20+Skills!O9+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2472*(1-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2">
        <f>IF(C2472,(H2472*N2472*IF(AND(Inputs!$B$38&lt;&gt;"pvp",Inputs!$B$43&gt;0),((Skills!F9*((R2472-1)*IF(Skills!G9&gt;0,Skills!H9/Skills!G9,1)+IF(Skills!G9&gt;0,MIN(Skills!H9,MAX(0,MAX(0,Inputs!$B$43-B2496)-((R2472-1)*IF(Inputs!$B$38="pvp",15,MAX(0.1,Skills!D9-IF(Skills!E9=TRUE,0.5,0))))))/Skills!G9,1)))/Inputs!$B$43),G2472*Q2472))*IF(Inputs!$B$38="pvp",1,(1+(Inputs!$B$21+Skills!P9+B2490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Skills!A10</f>
        <v/>
      </c>
      <c r="B2473">
        <f>Skills!B10</f>
        <v/>
      </c>
      <c r="C2473">
        <f>Inputs!$B$3&gt;=113</f>
        <v/>
      </c>
      <c r="D2473">
        <f>IF(Skills!C10=1,60+Inputs!$B$25+Inputs!$B$29,IF(Skills!C10=2,90+Inputs!$B$26+Inputs!$B$29,IF(Skills!C10=3,120+Inputs!$B$27+Inputs!$B$29,MAX(0,(Inputs!$B$3-100)*3)+Inputs!$B$28+Inputs!$B$29)))</f>
        <v/>
      </c>
      <c r="E2473">
        <f>INDEX(FactorTable!$B$2:$Y$301, MATCH(ROUND(MIN(300,MAX(1,D2473)),0), FactorTable!$A$2:$A$301,0), Skills!L10+1)</f>
        <v/>
      </c>
      <c r="F2473">
        <f>IF(Skills!M10=TRUE,(Skills!K10/10)*(E2473/1000),Skills!K10/10)+Skills!N10</f>
        <v/>
      </c>
      <c r="G2473">
        <f>Calc!G10</f>
        <v/>
      </c>
      <c r="H2473">
        <f>Calc!H10</f>
        <v/>
      </c>
      <c r="I2473">
        <f>IF(Skills!T10&lt;&gt;"",1+(Skills!T10/10)*(Z2466/1000)/100,1)</f>
        <v/>
      </c>
      <c r="J2473">
        <f>((Inputs!$B$6*(1+Inputs!$B$7/100))+(((Inputs!$B$12*(1+Inputs!$B$13/100))-(Inputs!$B$12*(1+Inputs!$B$13/100)))+0.25*(Inputs!$B$14-Inputs!$B$14))*(1+Inputs!$B$7/100))*(F2473/100)</f>
        <v/>
      </c>
      <c r="K2473">
        <f>J2473*(1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F2481-Calc!F18),(Inputs!$B$23+(IF(ArtifactsInput!$M$15,CHOOSE(ArtifactsInput!$N$15+1,25,30,35,40,45,50)/100*(Inputs!$B$11-Inputs!$B$11),0))))/100+(Inputs!$B$23+(IF(ArtifactsInput!$M$15,CHOOSE(ArtifactsInput!$N$15+1,25,30,35,40,45,50)/100*(Inputs!$B$11-Inputs!$B$11),0)))/100)/2</f>
        <v/>
      </c>
      <c r="M2473">
        <f>L2473*(1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(1-Summary!$B$11)*S2473+Summary!$B$11*U2473</f>
        <v/>
      </c>
      <c r="P2473">
        <f>IF(B2499=0,0,O2473/B2499)</f>
        <v/>
      </c>
      <c r="Q2473">
        <f>IFERROR(1/IF(Inputs!$B$38="pvp",15,MAX(0.1,Skills!D10-IF(Skills!E9=TRUE,0.5,0))),0)</f>
        <v/>
      </c>
      <c r="R2473">
        <f>IF(AND(Inputs!$B$38&lt;&gt;"pvp",Inputs!$B$43&gt;0),IF(MAX(0,Inputs!$B$43-B2496)&lt;=0,0,(INT(MAX(0,Inputs!$B$43-B2496)/IF(Inputs!$B$38="pvp",15,MAX(0.1,Skills!D10-IF(Skills!E9=TRUE,0.5,0))))+1)),0)</f>
        <v/>
      </c>
      <c r="S2473">
        <f>IF(C2473,(H2473*N2473*IF(AND(Inputs!$B$38&lt;&gt;"pvp",Inputs!$B$43&gt;0),((Skills!F10*((R2473-1)*IF(Skills!G10&gt;0,Skills!H10/Skills!G10,1)+IF(Skills!G10&gt;0,MIN(Skills!H10,MAX(0,MAX(0,Inputs!$B$43-B2496)-((R2473-1)*IF(Inputs!$B$38="pvp",15,MAX(0.1,Skills!D10-IF(Skills!E9=TRUE,0.5,0))))))/Skills!G10,1)))/Inputs!$B$43),G2473*Q2473))*IF(Inputs!$B$38="pvp",1,1+(Inputs!$B$20+Skills!O10+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2473*(1-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IF(C2473,(H2473*N2473*IF(AND(Inputs!$B$38&lt;&gt;"pvp",Inputs!$B$43&gt;0),((Skills!F10*((R2473-1)*IF(Skills!G10&gt;0,Skills!H10/Skills!G10,1)+IF(Skills!G10&gt;0,MIN(Skills!H10,MAX(0,MAX(0,Inputs!$B$43-B2496)-((R2473-1)*IF(Inputs!$B$38="pvp",15,MAX(0.1,Skills!D10-IF(Skills!E9=TRUE,0.5,0))))))/Skills!G10,1)))/Inputs!$B$43),G2473*Q2473))*IF(Inputs!$B$38="pvp",1,(1+(Inputs!$B$21+Skills!P10+B2490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Skills!A11</f>
        <v/>
      </c>
      <c r="B2474">
        <f>Skills!B11</f>
        <v/>
      </c>
      <c r="C2474">
        <f>Inputs!$B$3&gt;=107</f>
        <v/>
      </c>
      <c r="D2474">
        <f>IF(Skills!C11=1,60+Inputs!$B$25+Inputs!$B$29,IF(Skills!C11=2,90+Inputs!$B$26+Inputs!$B$29,IF(Skills!C11=3,120+Inputs!$B$27+Inputs!$B$29,MAX(0,(Inputs!$B$3-100)*3)+Inputs!$B$28+Inputs!$B$29)))</f>
        <v/>
      </c>
      <c r="E2474">
        <f>INDEX(FactorTable!$B$2:$Y$301, MATCH(ROUND(MIN(300,MAX(1,D2474)),0), FactorTable!$A$2:$A$301,0), Skills!L11+1)</f>
        <v/>
      </c>
      <c r="F2474">
        <f>IF(Skills!M11=TRUE,(Skills!K11/10)*(E2474/1000),Skills!K11/10)+Skills!N11</f>
        <v/>
      </c>
      <c r="G2474">
        <f>Calc!G11</f>
        <v/>
      </c>
      <c r="H2474">
        <f>Calc!H11</f>
        <v/>
      </c>
      <c r="I2474">
        <f>IF(Skills!T11&lt;&gt;"",1+(Skills!T11/10)*(Z2466/1000)/100,1)</f>
        <v/>
      </c>
      <c r="J2474">
        <f>((Inputs!$B$6*(1+Inputs!$B$7/100))+(((Inputs!$B$12*(1+Inputs!$B$13/100))-(Inputs!$B$12*(1+Inputs!$B$13/100)))+0.25*(Inputs!$B$14-Inputs!$B$14))*(1+Inputs!$B$7/100))*(F2474/100)</f>
        <v/>
      </c>
      <c r="K2474">
        <f>J2474*(1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2481-Calc!F18),(Inputs!$B$23+(IF(ArtifactsInput!$M$15,CHOOSE(ArtifactsInput!$N$15+1,25,30,35,40,45,50)/100*(Inputs!$B$11-Inputs!$B$11),0))))/100+(Inputs!$B$23+(IF(ArtifactsInput!$M$15,CHOOSE(ArtifactsInput!$N$15+1,25,30,35,40,45,50)/100*(Inputs!$B$11-Inputs!$B$11),0)))/100)/2</f>
        <v/>
      </c>
      <c r="M2474">
        <f>L2474*(1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IF(B2499=0,0,O2474/B2499)</f>
        <v/>
      </c>
      <c r="Q2474">
        <f>IFERROR(1/IF(Inputs!$B$38="pvp",15,MAX(0.1,Skills!D11-IF(Skills!E11=TRUE,0.5,0))),0)</f>
        <v/>
      </c>
      <c r="R2474">
        <f>IF(AND(Inputs!$B$38&lt;&gt;"pvp",Inputs!$B$43&gt;0),IF(MAX(0,Inputs!$B$43-B2496)&lt;=0,0,(INT(MAX(0,Inputs!$B$43-B2496)/IF(Inputs!$B$38="pvp",15,MAX(0.1,Skills!D11-IF(Skills!E11=TRUE,0.5,0))))+1)),0)</f>
        <v/>
      </c>
      <c r="S2474">
        <f>IF(C2474,H2474*N2474*IF(AND(Inputs!$B$38&lt;&gt;"pvp",Inputs!$B$43&gt;0),((Skills!F11*((R2474-1)*IF(Skills!G11&gt;0,Skills!H11/Skills!G11,1)+IF(Skills!G11&gt;0,MIN(Skills!H11,MAX(0,MAX(0,Inputs!$B$43-B2496)-((R2474-1)*IF(Inputs!$B$38="pvp",15,MAX(0.1,Skills!D11-IF(Skills!E11=TRUE,0.5,0))))))/Skills!G11,1)))/Inputs!$B$43),G2474*Q2474)*0.5*IF(Inputs!$B$38="pvp",1,1+(Inputs!$B$20+Skills!O11+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F11*((R2474-1)*IF(Skills!G11&gt;0,Skills!H11/Skills!G11,1)+IF(Skills!G11&gt;0,MIN(Skills!H11,MAX(0,MAX(0,Inputs!$B$43-B2496)-((R2474-1)*IF(Inputs!$B$38="pvp",15,MAX(0.1,Skills!D11-IF(Skills!E11=TRUE,0.5,0))))))/Skills!G11,1)))/Inputs!$B$43),G2474*Q2474)*1*IF(Inputs!$B$38="pvp",1,(1+(Inputs!$B$21+Skills!P11+B2490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Skills!A12</f>
        <v/>
      </c>
      <c r="B2475">
        <f>Skills!B12</f>
        <v/>
      </c>
      <c r="C2475">
        <f>Inputs!$B$3&gt;=115</f>
        <v/>
      </c>
      <c r="D2475">
        <f>IF(Skills!C12=1,60+Inputs!$B$25+Inputs!$B$29,IF(Skills!C12=2,90+Inputs!$B$26+Inputs!$B$29,IF(Skills!C12=3,120+Inputs!$B$27+Inputs!$B$29,MAX(0,(Inputs!$B$3-100)*3)+Inputs!$B$28+Inputs!$B$29)))</f>
        <v/>
      </c>
      <c r="E2475">
        <f>INDEX(FactorTable!$B$2:$Y$301, MATCH(ROUND(MIN(300,MAX(1,D2475)),0), FactorTable!$A$2:$A$301,0), Skills!L12+1)</f>
        <v/>
      </c>
      <c r="F2475">
        <f>IF(Skills!M12=TRUE,(Skills!K12/10)*(E2475/1000),Skills!K12/10)+Skills!N12</f>
        <v/>
      </c>
      <c r="G2475">
        <f>Calc!G12</f>
        <v/>
      </c>
      <c r="H2475">
        <f>Calc!H12</f>
        <v/>
      </c>
      <c r="I2475">
        <f>IF(Skills!T12&lt;&gt;"",1+(Skills!T12/10)*(Z2466/1000)/100,1)</f>
        <v/>
      </c>
      <c r="J2475">
        <f>((Inputs!$B$6*(1+Inputs!$B$7/100))+(((Inputs!$B$12*(1+Inputs!$B$13/100))-(Inputs!$B$12*(1+Inputs!$B$13/100)))+0.25*(Inputs!$B$14-Inputs!$B$14))*(1+Inputs!$B$7/100))*(F2475/100)</f>
        <v/>
      </c>
      <c r="K2475">
        <f>J2475*(1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F2481-Calc!F18),(Inputs!$B$23+(IF(ArtifactsInput!$M$15,CHOOSE(ArtifactsInput!$N$15+1,25,30,35,40,45,50)/100*(Inputs!$B$11-Inputs!$B$11),0))))/100+(Inputs!$B$23+(IF(ArtifactsInput!$M$15,CHOOSE(ArtifactsInput!$N$15+1,25,30,35,40,45,50)/100*(Inputs!$B$11-Inputs!$B$11),0)))/100)/2</f>
        <v/>
      </c>
      <c r="M2475">
        <f>L2475*(1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(1-Summary!$B$11)*S2475+Summary!$B$11*U2475</f>
        <v/>
      </c>
      <c r="P2475">
        <f>IF(B2499=0,0,O2475/B2499)</f>
        <v/>
      </c>
      <c r="Q2475">
        <f>IFERROR(1/IF(Inputs!$B$38="pvp",15,MAX(0.1,Skills!D12-IF(Skills!E12=TRUE,0.5,0))),0)</f>
        <v/>
      </c>
      <c r="R2475">
        <f>IF(AND(Inputs!$B$38&lt;&gt;"pvp",Inputs!$B$43&gt;0),IF(MAX(0,Inputs!$B$43-B2496)&lt;=0,0,(INT(MAX(0,Inputs!$B$43-B2496)/IF(Inputs!$B$38="pvp",15,MAX(0.1,Skills!D12-IF(Skills!E12=TRUE,0.5,0))))+1)),0)</f>
        <v/>
      </c>
      <c r="S2475">
        <f>IF(C2475,(H2475*N2475*IF(AND(Inputs!$B$38&lt;&gt;"pvp",Inputs!$B$43&gt;0),((Skills!F12*((R2475-1)*IF(Skills!G12&gt;0,Skills!H12/Skills!G12,1)+IF(Skills!G12&gt;0,MIN(Skills!H12,MAX(0,MAX(0,Inputs!$B$43-B2496)-((R2475-1)*IF(Inputs!$B$38="pvp",15,MAX(0.1,Skills!D12-IF(Skills!E12=TRUE,0.5,0))))))/Skills!G12,1)))/Inputs!$B$43),G2475*Q2475))*IF(Inputs!$B$38="pvp",1,1+(Inputs!$B$20+Skills!O12+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IF(C2475,(H2475*N2475*IF(AND(Inputs!$B$38&lt;&gt;"pvp",Inputs!$B$43&gt;0),((Skills!F12*((R2475-1)*IF(Skills!G12&gt;0,Skills!H12/Skills!G12,1)+IF(Skills!G12&gt;0,MIN(Skills!H12,MAX(0,MAX(0,Inputs!$B$43-B2496)-((R2475-1)*IF(Inputs!$B$38="pvp",15,MAX(0.1,Skills!D12-IF(Skills!E12=TRUE,0.5,0))))))/Skills!G12,1)))/Inputs!$B$43),G2475*Q2475))*IF(Inputs!$B$38="pvp",1,(1+(Inputs!$B$21+Skills!P12+B2490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Skills!A13</f>
        <v/>
      </c>
      <c r="B2476">
        <f>Skills!B13</f>
        <v/>
      </c>
      <c r="C2476">
        <f>Inputs!$B$3&gt;=49</f>
        <v/>
      </c>
      <c r="D2476">
        <f>IF(Skills!C13=1,60+Inputs!$B$25+Inputs!$B$29,IF(Skills!C13=2,90+Inputs!$B$26+Inputs!$B$29,IF(Skills!C13=3,120+Inputs!$B$27+Inputs!$B$29,MAX(0,(Inputs!$B$3-100)*3)+Inputs!$B$28+Inputs!$B$29)))</f>
        <v/>
      </c>
      <c r="E2476">
        <f>INDEX(FactorTable!$B$2:$Y$301, MATCH(ROUND(MIN(300,MAX(1,D2476)),0), FactorTable!$A$2:$A$301,0), Skills!L13+1)</f>
        <v/>
      </c>
      <c r="F2476">
        <f>IF(Skills!M13=TRUE,(Skills!K13/10)*(E2476/1000),Skills!K13/10)+Skills!N13</f>
        <v/>
      </c>
      <c r="G2476">
        <f>Calc!G13</f>
        <v/>
      </c>
      <c r="H2476">
        <f>Calc!H13</f>
        <v/>
      </c>
      <c r="I2476">
        <f>IF(Skills!T13&lt;&gt;"",1+(Skills!T13/10)*(Z2466/1000)/100,1)</f>
        <v/>
      </c>
      <c r="J2476" t="inlineStr"/>
      <c r="K2476" t="inlineStr"/>
      <c r="L2476" t="inlineStr"/>
      <c r="M2476" t="inlineStr"/>
      <c r="N2476" t="inlineStr"/>
      <c r="O2476">
        <f>(1-Summary!$B$11)*S2476+Summary!$B$11*U2476</f>
        <v/>
      </c>
      <c r="P2476">
        <f>IF(B2499=0,0,O2476/B2499)</f>
        <v/>
      </c>
      <c r="Q2476">
        <f>IFERROR(1/IF(Inputs!$B$38="pvp",15,MAX(0.1,Skills!D13-IF(Skills!E13=TRUE,0.5,0))),0)</f>
        <v/>
      </c>
      <c r="R2476" t="n">
        <v>0</v>
      </c>
      <c r="S2476" t="n">
        <v>0</v>
      </c>
      <c r="U2476" t="n">
        <v>0</v>
      </c>
    </row>
    <row r="2477">
      <c r="A2477">
        <f>Skills!A14</f>
        <v/>
      </c>
      <c r="B2477">
        <f>Skills!B14</f>
        <v/>
      </c>
      <c r="C2477">
        <f>Inputs!$B$3&gt;=72</f>
        <v/>
      </c>
      <c r="D2477">
        <f>IF(Skills!C14=1,60+Inputs!$B$25+Inputs!$B$29,IF(Skills!C14=2,90+Inputs!$B$26+Inputs!$B$29,IF(Skills!C14=3,120+Inputs!$B$27+Inputs!$B$29,MAX(0,(Inputs!$B$3-100)*3)+Inputs!$B$28+Inputs!$B$29)))</f>
        <v/>
      </c>
      <c r="E2477">
        <f>INDEX(FactorTable!$B$2:$Y$301, MATCH(ROUND(MIN(300,MAX(1,D2477)),0), FactorTable!$A$2:$A$301,0), Skills!L14+1)</f>
        <v/>
      </c>
      <c r="F2477">
        <f>IF(Skills!M14=TRUE,(Skills!K14/10)*(E2477/1000),Skills!K14/10)+Skills!N14</f>
        <v/>
      </c>
      <c r="G2477">
        <f>Calc!G14</f>
        <v/>
      </c>
      <c r="H2477">
        <f>Calc!H14</f>
        <v/>
      </c>
      <c r="I2477">
        <f>IF(Skills!T14&lt;&gt;"",1+(Skills!T14/10)*(Z2466/1000)/100,1)</f>
        <v/>
      </c>
      <c r="J2477" t="inlineStr"/>
      <c r="K2477" t="inlineStr"/>
      <c r="L2477" t="inlineStr"/>
      <c r="M2477" t="inlineStr"/>
      <c r="N2477" t="inlineStr"/>
      <c r="O2477">
        <f>(1-Summary!$B$11)*S2477+Summary!$B$11*U2477</f>
        <v/>
      </c>
      <c r="P2477">
        <f>IF(B2499=0,0,O2477/B2499)</f>
        <v/>
      </c>
      <c r="Q2477">
        <f>IFERROR(1/IF(Inputs!$B$38="pvp",15,MAX(0.1,Skills!D14-IF(Skills!E14=TRUE,0.5,0))),0)</f>
        <v/>
      </c>
      <c r="R2477" t="n">
        <v>0</v>
      </c>
      <c r="S2477" t="n">
        <v>0</v>
      </c>
      <c r="U2477" t="n">
        <v>0</v>
      </c>
    </row>
    <row r="2478">
      <c r="A2478">
        <f>Skills!A15</f>
        <v/>
      </c>
      <c r="B2478">
        <f>Skills!B15</f>
        <v/>
      </c>
      <c r="C2478">
        <f>Inputs!$B$3&gt;=75</f>
        <v/>
      </c>
      <c r="D2478">
        <f>IF(Skills!C15=1,60+Inputs!$B$25+Inputs!$B$29,IF(Skills!C15=2,90+Inputs!$B$26+Inputs!$B$29,IF(Skills!C15=3,120+Inputs!$B$27+Inputs!$B$29,MAX(0,(Inputs!$B$3-100)*3)+Inputs!$B$28+Inputs!$B$29)))</f>
        <v/>
      </c>
      <c r="E2478">
        <f>INDEX(FactorTable!$B$2:$Y$301, MATCH(ROUND(MIN(300,MAX(1,D2478)),0), FactorTable!$A$2:$A$301,0), Skills!L15+1)</f>
        <v/>
      </c>
      <c r="F2478">
        <f>IF(Skills!M15=TRUE,(Skills!K15/10)*(E2478/1000),Skills!K15/10)+Skills!N15</f>
        <v/>
      </c>
      <c r="G2478">
        <f>Calc!G15</f>
        <v/>
      </c>
      <c r="H2478">
        <f>Calc!H15</f>
        <v/>
      </c>
      <c r="I2478">
        <f>IF(Skills!T15&lt;&gt;"",1+(Skills!T15/10)*(Z2466/1000)/100,1)</f>
        <v/>
      </c>
      <c r="J2478" t="inlineStr"/>
      <c r="K2478" t="inlineStr"/>
      <c r="L2478" t="inlineStr"/>
      <c r="M2478" t="inlineStr"/>
      <c r="N2478" t="inlineStr"/>
      <c r="O2478">
        <f>(1-Summary!$B$11)*S2478+Summary!$B$11*U2478</f>
        <v/>
      </c>
      <c r="P2478">
        <f>IF(B2499=0,0,O2478/B2499)</f>
        <v/>
      </c>
      <c r="Q2478">
        <f>IFERROR(1/IF(Inputs!$B$38="pvp",15,MAX(0.1,Skills!D15-IF(Skills!E15=TRUE,0.5,0))),0)</f>
        <v/>
      </c>
      <c r="R2478" t="n">
        <v>0</v>
      </c>
      <c r="S2478" t="n">
        <v>0</v>
      </c>
      <c r="U2478" t="n">
        <v>0</v>
      </c>
    </row>
    <row r="2479">
      <c r="A2479">
        <f>Skills!A16</f>
        <v/>
      </c>
      <c r="B2479">
        <f>Skills!B16</f>
        <v/>
      </c>
      <c r="C2479">
        <f>Inputs!$B$3&gt;=110</f>
        <v/>
      </c>
      <c r="D2479">
        <f>IF(Skills!C16=1,60+Inputs!$B$25+Inputs!$B$29,IF(Skills!C16=2,90+Inputs!$B$26+Inputs!$B$29,IF(Skills!C16=3,120+Inputs!$B$27+Inputs!$B$29,MAX(0,(Inputs!$B$3-100)*3)+Inputs!$B$28+Inputs!$B$29)))</f>
        <v/>
      </c>
      <c r="E2479">
        <f>INDEX(FactorTable!$B$2:$Y$301, MATCH(ROUND(MIN(300,MAX(1,D2479)),0), FactorTable!$A$2:$A$301,0), Skills!L16+1)</f>
        <v/>
      </c>
      <c r="F2479">
        <f>(Skills!K16/10)*(E2479/1000)*64/45+Skills!N16</f>
        <v/>
      </c>
      <c r="G2479">
        <f>Calc!G16</f>
        <v/>
      </c>
      <c r="H2479">
        <f>Calc!H16</f>
        <v/>
      </c>
      <c r="I2479">
        <f>IF(Skills!T16&lt;&gt;"",1+(Skills!T16/10)*(Z2466/1000)/100,1)</f>
        <v/>
      </c>
      <c r="J2479" t="inlineStr"/>
      <c r="K2479" t="inlineStr"/>
      <c r="L2479" t="inlineStr"/>
      <c r="M2479" t="inlineStr"/>
      <c r="N2479" t="inlineStr"/>
      <c r="O2479">
        <f>(1-Summary!$B$11)*S2479+Summary!$B$11*U2479</f>
        <v/>
      </c>
      <c r="P2479">
        <f>IF(B2499=0,0,O2479/B2499)</f>
        <v/>
      </c>
      <c r="Q2479">
        <f>IFERROR(1/IF(Inputs!$B$38="pvp",15,MAX(0.1,Skills!D16-IF(Skills!E16=TRUE,0.5,0))),0)</f>
        <v/>
      </c>
      <c r="R2479">
        <f>IF(AND(Inputs!$B$38&lt;&gt;"pvp",Inputs!$B$43&gt;0),IF(Inputs!$B$43&lt;=0,0,(INT(Inputs!$B$43/IF(Inputs!$B$38="pvp",15,MAX(0.1,Skills!D16-IF(Skills!E16=TRUE,0.5,0))))+1)),0)</f>
        <v/>
      </c>
      <c r="S2479" t="n">
        <v>0</v>
      </c>
      <c r="U2479" t="n">
        <v>0</v>
      </c>
    </row>
    <row r="2480">
      <c r="A2480">
        <f>Skills!A17</f>
        <v/>
      </c>
      <c r="B2480">
        <f>Skills!B17</f>
        <v/>
      </c>
      <c r="C2480">
        <f>Inputs!$B$3&gt;=33</f>
        <v/>
      </c>
      <c r="D2480">
        <f>IF(Skills!C17=1,60+Inputs!$B$25+Inputs!$B$29,IF(Skills!C17=2,90+Inputs!$B$26+Inputs!$B$29,IF(Skills!C17=3,120+Inputs!$B$27+Inputs!$B$29,MAX(0,(Inputs!$B$3-100)*3)+Inputs!$B$28+Inputs!$B$29)))</f>
        <v/>
      </c>
      <c r="E2480">
        <f>INDEX(FactorTable!$B$2:$Y$301, MATCH(ROUND(MIN(300,MAX(1,D2480)),0), FactorTable!$A$2:$A$301,0), Skills!L17+1)</f>
        <v/>
      </c>
      <c r="F2480">
        <f>IF(Skills!M17=TRUE,(Skills!K17/10)*(E2480/1000),Skills!K17/10)+Skills!N17</f>
        <v/>
      </c>
      <c r="G2480">
        <f>Calc!G17</f>
        <v/>
      </c>
      <c r="H2480">
        <f>Calc!H17</f>
        <v/>
      </c>
      <c r="I2480">
        <f>IF(Skills!T17&lt;&gt;"",1+(Skills!T17/10)*(Z2466/1000)/100,1)</f>
        <v/>
      </c>
      <c r="J2480" t="inlineStr"/>
      <c r="K2480" t="inlineStr"/>
      <c r="L2480" t="inlineStr"/>
      <c r="M2480" t="inlineStr"/>
      <c r="N2480" t="inlineStr"/>
      <c r="O2480">
        <f>(1-Summary!$B$11)*S2480+Summary!$B$11*U2480</f>
        <v/>
      </c>
      <c r="P2480">
        <f>IF(B2499=0,0,O2480/B2499)</f>
        <v/>
      </c>
      <c r="Q2480">
        <f>IFERROR(1/IF(Inputs!$B$38="pvp",15,MAX(0.1,Skills!D17-IF(Skills!E17=TRUE,0.5,0))),0)</f>
        <v/>
      </c>
      <c r="R2480" t="n">
        <v>0</v>
      </c>
      <c r="S2480" t="n">
        <v>0</v>
      </c>
      <c r="U2480" t="n">
        <v>0</v>
      </c>
    </row>
    <row r="2481">
      <c r="A2481">
        <f>Skills!A18</f>
        <v/>
      </c>
      <c r="B2481">
        <f>Skills!B18</f>
        <v/>
      </c>
      <c r="C2481">
        <f>Inputs!$B$3&gt;=43</f>
        <v/>
      </c>
      <c r="D2481">
        <f>IF(Skills!C18=1,60+Inputs!$B$25+Inputs!$B$29,IF(Skills!C18=2,90+Inputs!$B$26+Inputs!$B$29,IF(Skills!C18=3,120+Inputs!$B$27+Inputs!$B$29,MAX(0,(Inputs!$B$3-100)*3)+Inputs!$B$28+Inputs!$B$29)))</f>
        <v/>
      </c>
      <c r="E2481">
        <f>INDEX(FactorTable!$B$2:$Y$301, MATCH(ROUND(MIN(300,MAX(1,D2481)),0), FactorTable!$A$2:$A$301,0), Skills!L18+1)</f>
        <v/>
      </c>
      <c r="F2481">
        <f>IF(Skills!M18=TRUE,(Skills!K18/10)*(E2481/1000),Skills!K18/10)+Skills!N18</f>
        <v/>
      </c>
      <c r="G2481">
        <f>Calc!G18</f>
        <v/>
      </c>
      <c r="H2481">
        <f>Calc!H18</f>
        <v/>
      </c>
      <c r="I2481">
        <f>IF(Skills!T18&lt;&gt;"",1+(Skills!T18/10)*(Z2466/1000)/100,1)</f>
        <v/>
      </c>
      <c r="J2481" t="inlineStr"/>
      <c r="K2481" t="inlineStr"/>
      <c r="L2481" t="inlineStr"/>
      <c r="M2481" t="inlineStr"/>
      <c r="N2481" t="inlineStr"/>
      <c r="O2481">
        <f>(1-Summary!$B$11)*S2481+Summary!$B$11*U2481</f>
        <v/>
      </c>
      <c r="P2481">
        <f>IF(B2499=0,0,O2481/B2499)</f>
        <v/>
      </c>
      <c r="Q2481">
        <f>IFERROR(1/IF(Inputs!$B$38="pvp",15,MAX(0.1,Skills!D18-IF(Skills!E18=TRUE,0.5,0))),0)</f>
        <v/>
      </c>
      <c r="R2481" t="n">
        <v>0</v>
      </c>
      <c r="S2481" t="n">
        <v>0</v>
      </c>
      <c r="U2481" t="n">
        <v>0</v>
      </c>
    </row>
    <row r="2482">
      <c r="A2482">
        <f>Skills!A19</f>
        <v/>
      </c>
      <c r="B2482">
        <f>Skills!B19</f>
        <v/>
      </c>
      <c r="C2482">
        <f>Inputs!$B$3&gt;=50</f>
        <v/>
      </c>
      <c r="D2482">
        <f>IF(Skills!C19=1,60+Inputs!$B$25+Inputs!$B$29,IF(Skills!C19=2,90+Inputs!$B$26+Inputs!$B$29,IF(Skills!C19=3,120+Inputs!$B$27+Inputs!$B$29,MAX(0,(Inputs!$B$3-100)*3)+Inputs!$B$28+Inputs!$B$29)))</f>
        <v/>
      </c>
      <c r="E2482">
        <f>INDEX(FactorTable!$B$2:$Y$301, MATCH(ROUND(MIN(300,MAX(1,D2482)),0), FactorTable!$A$2:$A$301,0), Skills!L19+1)</f>
        <v/>
      </c>
      <c r="F2482">
        <f>IF(Skills!M19=TRUE,(Skills!K19/10)*(E2482/1000),Skills!K19/10)+Skills!N19</f>
        <v/>
      </c>
      <c r="G2482">
        <f>Calc!G19</f>
        <v/>
      </c>
      <c r="H2482">
        <f>Calc!H19</f>
        <v/>
      </c>
      <c r="I2482">
        <f>IF(Skills!T19&lt;&gt;"",1+(Skills!T19/10)*(Z2466/1000)/100,1)</f>
        <v/>
      </c>
      <c r="J2482" t="inlineStr"/>
      <c r="K2482" t="inlineStr"/>
      <c r="L2482" t="inlineStr"/>
      <c r="M2482" t="inlineStr"/>
      <c r="N2482" t="inlineStr"/>
      <c r="O2482">
        <f>(1-Summary!$B$11)*S2482+Summary!$B$11*U2482</f>
        <v/>
      </c>
      <c r="P2482">
        <f>IF(B2499=0,0,O2482/B2499)</f>
        <v/>
      </c>
      <c r="Q2482">
        <f>IFERROR(1/IF(Inputs!$B$38="pvp",15,MAX(0.1,Skills!D19-IF(Skills!E19=TRUE,0.5,0))),0)</f>
        <v/>
      </c>
      <c r="R2482" t="n">
        <v>0</v>
      </c>
      <c r="S2482" t="n">
        <v>0</v>
      </c>
      <c r="U2482" t="n">
        <v>0</v>
      </c>
    </row>
    <row r="2483">
      <c r="A2483">
        <f>Skills!A20</f>
        <v/>
      </c>
      <c r="B2483">
        <f>Skills!B20</f>
        <v/>
      </c>
      <c r="C2483">
        <f>Inputs!$B$3&gt;=74</f>
        <v/>
      </c>
      <c r="D2483">
        <f>IF(Skills!C20=1,60+Inputs!$B$25+Inputs!$B$29,IF(Skills!C20=2,90+Inputs!$B$26+Inputs!$B$29,IF(Skills!C20=3,120+Inputs!$B$27+Inputs!$B$29,MAX(0,(Inputs!$B$3-100)*3)+Inputs!$B$28+Inputs!$B$29)))</f>
        <v/>
      </c>
      <c r="E2483">
        <f>INDEX(FactorTable!$B$2:$Y$301, MATCH(ROUND(MIN(300,MAX(1,D2483)),0), FactorTable!$A$2:$A$301,0), Skills!L20+1)</f>
        <v/>
      </c>
      <c r="F2483">
        <f>IF(Skills!M20=TRUE,(Skills!K20/10)*(E2483/1000),Skills!K20/10)+Skills!N20</f>
        <v/>
      </c>
      <c r="G2483">
        <f>Calc!G20</f>
        <v/>
      </c>
      <c r="H2483">
        <f>Calc!H20</f>
        <v/>
      </c>
      <c r="I2483">
        <f>IF(Skills!T20&lt;&gt;"",1+(Skills!T20/10)*(Z2466/1000)/100,1)</f>
        <v/>
      </c>
      <c r="J2483" t="inlineStr"/>
      <c r="K2483" t="inlineStr"/>
      <c r="L2483" t="inlineStr"/>
      <c r="M2483" t="inlineStr"/>
      <c r="N2483" t="inlineStr"/>
      <c r="O2483">
        <f>(1-Summary!$B$11)*S2483+Summary!$B$11*U2483</f>
        <v/>
      </c>
      <c r="P2483">
        <f>IF(B2499=0,0,O2483/B2499)</f>
        <v/>
      </c>
      <c r="Q2483">
        <f>IFERROR(1/IF(Inputs!$B$38="pvp",15,MAX(0.1,Skills!D20-IF(Skills!E20=TRUE,0.5,0))),0)</f>
        <v/>
      </c>
      <c r="R2483" t="n">
        <v>0</v>
      </c>
      <c r="S2483" t="n">
        <v>0</v>
      </c>
      <c r="U2483" t="n">
        <v>0</v>
      </c>
    </row>
    <row r="2484">
      <c r="A2484">
        <f>Skills!A21</f>
        <v/>
      </c>
      <c r="B2484">
        <f>Skills!B21</f>
        <v/>
      </c>
      <c r="C2484">
        <f>Inputs!$B$3&gt;=74</f>
        <v/>
      </c>
      <c r="D2484">
        <f>IF(Skills!C21=1,60+Inputs!$B$25+Inputs!$B$29,IF(Skills!C21=2,90+Inputs!$B$26+Inputs!$B$29,IF(Skills!C21=3,120+Inputs!$B$27+Inputs!$B$29,MAX(0,(Inputs!$B$3-100)*3)+Inputs!$B$28+Inputs!$B$29)))</f>
        <v/>
      </c>
      <c r="E2484">
        <f>INDEX(FactorTable!$B$2:$Y$301, MATCH(ROUND(MIN(300,MAX(1,D2484)),0), FactorTable!$A$2:$A$301,0), Skills!L21+1)</f>
        <v/>
      </c>
      <c r="F2484">
        <f>IF(Skills!M21=TRUE,(Skills!K21/10)*(E2484/1000),Skills!K21/10)+Skills!N21</f>
        <v/>
      </c>
      <c r="G2484">
        <f>Calc!G21</f>
        <v/>
      </c>
      <c r="H2484">
        <f>Calc!H21</f>
        <v/>
      </c>
      <c r="I2484">
        <f>IF(Skills!T21&lt;&gt;"",1+(Skills!T21/10)*(Z2466/1000)/100,1)</f>
        <v/>
      </c>
      <c r="J2484" t="inlineStr"/>
      <c r="K2484" t="inlineStr"/>
      <c r="L2484" t="inlineStr"/>
      <c r="M2484" t="inlineStr"/>
      <c r="N2484" t="inlineStr"/>
      <c r="O2484">
        <f>(1-Summary!$B$11)*S2484+Summary!$B$11*U2484</f>
        <v/>
      </c>
      <c r="P2484">
        <f>IF(B2499=0,0,O2484/B2499)</f>
        <v/>
      </c>
      <c r="Q2484">
        <f>IFERROR(1/IF(Inputs!$B$38="pvp",15,MAX(0.1,Skills!D21-IF(Skills!E21=TRUE,0.5,0))),0)</f>
        <v/>
      </c>
      <c r="R2484" t="n">
        <v>0</v>
      </c>
      <c r="S2484" t="n">
        <v>0</v>
      </c>
      <c r="U2484" t="n">
        <v>0</v>
      </c>
    </row>
    <row r="2485">
      <c r="A2485">
        <f>Skills!A22</f>
        <v/>
      </c>
      <c r="B2485">
        <f>Skills!B22</f>
        <v/>
      </c>
      <c r="C2485">
        <f>Inputs!$B$3&gt;=117</f>
        <v/>
      </c>
      <c r="D2485">
        <f>IF(Skills!C22=1,60+Inputs!$B$25+Inputs!$B$29,IF(Skills!C22=2,90+Inputs!$B$26+Inputs!$B$29,IF(Skills!C22=3,120+Inputs!$B$27+Inputs!$B$29,MAX(0,(Inputs!$B$3-100)*3)+Inputs!$B$28+Inputs!$B$29)))</f>
        <v/>
      </c>
      <c r="E2485">
        <f>INDEX(FactorTable!$B$2:$Y$301, MATCH(ROUND(MIN(300,MAX(1,D2485)),0), FactorTable!$A$2:$A$301,0), Skills!L22+1)</f>
        <v/>
      </c>
      <c r="F2485">
        <f>IF(Skills!M22=TRUE,(Skills!K22/10)*(E2485/1000),Skills!K22/10)+Skills!N22</f>
        <v/>
      </c>
      <c r="G2485">
        <f>Calc!G22</f>
        <v/>
      </c>
      <c r="H2485">
        <f>Calc!H22</f>
        <v/>
      </c>
      <c r="I2485">
        <f>IF(Skills!T22&lt;&gt;"",1+(Skills!T22/10)*(Z2466/1000)/100,1)</f>
        <v/>
      </c>
      <c r="J2485" t="inlineStr"/>
      <c r="K2485" t="inlineStr"/>
      <c r="L2485" t="inlineStr"/>
      <c r="M2485" t="inlineStr"/>
      <c r="N2485" t="inlineStr"/>
      <c r="O2485">
        <f>(1-Summary!$B$11)*S2485+Summary!$B$11*U2485</f>
        <v/>
      </c>
      <c r="P2485">
        <f>IF(B2499=0,0,O2485/B2499)</f>
        <v/>
      </c>
      <c r="Q2485">
        <f>IFERROR(1/IF(Inputs!$B$38="pvp",15,MAX(0.1,Skills!D22-IF(Skills!E22=TRUE,0.5,0))),0)</f>
        <v/>
      </c>
      <c r="R2485" t="n">
        <v>0</v>
      </c>
      <c r="S2485" t="n">
        <v>0</v>
      </c>
      <c r="U2485" t="n">
        <v>0</v>
      </c>
    </row>
    <row r="2486">
      <c r="A2486">
        <f>Skills!A23</f>
        <v/>
      </c>
      <c r="B2486">
        <f>Skills!B23</f>
        <v/>
      </c>
      <c r="C2486">
        <f>Inputs!$B$3&gt;=120</f>
        <v/>
      </c>
      <c r="D2486">
        <f>IF(Skills!C23=1,60+Inputs!$B$25+Inputs!$B$29,IF(Skills!C23=2,90+Inputs!$B$26+Inputs!$B$29,IF(Skills!C23=3,120+Inputs!$B$27+Inputs!$B$29,MAX(0,(Inputs!$B$3-100)*3)+Inputs!$B$28+Inputs!$B$29)))</f>
        <v/>
      </c>
      <c r="E2486">
        <f>INDEX(FactorTable!$B$2:$Y$301, MATCH(ROUND(MIN(300,MAX(1,D2486)),0), FactorTable!$A$2:$A$301,0), Skills!L23+1)</f>
        <v/>
      </c>
      <c r="F2486">
        <f>IF(Skills!M23=TRUE,(Skills!K23/10)*(E2486/1000),Skills!K23/10)+Skills!N23</f>
        <v/>
      </c>
      <c r="G2486">
        <f>Calc!G23</f>
        <v/>
      </c>
      <c r="H2486">
        <f>Calc!H23</f>
        <v/>
      </c>
      <c r="I2486">
        <f>IF(Skills!T23&lt;&gt;"",1+(Skills!T23/10)*(Z2466/1000)/100,1)</f>
        <v/>
      </c>
      <c r="J2486" t="inlineStr"/>
      <c r="K2486" t="inlineStr"/>
      <c r="L2486" t="inlineStr"/>
      <c r="M2486" t="inlineStr"/>
      <c r="N2486" t="inlineStr"/>
      <c r="O2486">
        <f>(1-Summary!$B$11)*S2486+Summary!$B$11*U2486</f>
        <v/>
      </c>
      <c r="P2486">
        <f>IF(B2499=0,0,O2486/B2499)</f>
        <v/>
      </c>
      <c r="Q2486">
        <f>IFERROR(1/IF(Inputs!$B$38="pvp",15,MAX(0.1,Skills!D23-IF(Skills!E23=TRUE,0.5,0))),0)</f>
        <v/>
      </c>
      <c r="R2486" t="n">
        <v>0</v>
      </c>
      <c r="S2486" t="n">
        <v>0</v>
      </c>
      <c r="U2486" t="n">
        <v>0</v>
      </c>
    </row>
    <row r="2489">
      <c r="A2489" t="inlineStr">
        <is>
          <t>Average Buff Multiplier (Magic Guard + Meditation + Artifact Attack%, summed; then Infinity)</t>
        </is>
      </c>
      <c r="B2489">
        <f>(1+(IF(C2466=TRUE,F2466*IF(AND(Inputs!$B$38&lt;&gt;"pvp",Inputs!$B$43&gt;0),(((R2466-1)*(Skills!S3*(1+(Inputs!$B$34+IF(Inputs!$B$3&gt;=117,F2485,0))/100))+MIN((Skills!S3*(1+(Inputs!$B$34+IF(Inputs!$B$3&gt;=117,F2485,0))/100)),MAX(0,Inputs!$B$43-((R2466-1)*Skills!D3))))/Inputs!$B$43),IF(Inputs!$B$38="pvp",MIN((Skills!S3*(1+(Inputs!$B$34+IF(Inputs!$B$3&gt;=117,F2485,0))/100)),15)/15,(Skills!S3*(1+(Inputs!$B$34+IF(Inputs!$B$3&gt;=117,F2485,0))/100))/Skills!D3)),0)+IF(C2467=TRUE,F2467*IF(AND(Inputs!$B$38&lt;&gt;"pvp",Inputs!$B$43&gt;0),(((R2467-1)*(Skills!S4*(1+(Inputs!$B$34+IF(Inputs!$B$3&gt;=117,F2485,0))/100))+MIN((Skills!S4*(1+(Inputs!$B$34+IF(Inputs!$B$3&gt;=117,F2485,0))/100)),MAX(0,Inputs!$B$43-((R2467-1)*Skills!D4))))/Inputs!$B$43),IF(Inputs!$B$38="pvp",MIN((Skills!S4*(1+(Inputs!$B$34+IF(Inputs!$B$3&gt;=117,F2485,0))/100)),15)/15,(Skills!S4*(1+(Inputs!$B$34+IF(Inputs!$B$3&gt;=117,F2485,0)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2479=TRUE,(1+F2479*IF(AND(Inputs!$B$38&lt;&gt;"pvp",Inputs!$B$43&gt;0),(((R2479-1)*(Skills!S16*(1+(Inputs!$B$34+IF(Inputs!$B$3&gt;=117,F2485,0))/100))+MIN((Skills!S16*(1+(Inputs!$B$34+IF(Inputs!$B$3&gt;=117,F2485,0))/100)),MAX(0,Inputs!$B$43-((R2479-1)*Skills!D16))))/Inputs!$B$43),IF(Inputs!$B$38="pvp",MIN((Skills!S16*(1+(Inputs!$B$34+IF(Inputs!$B$3&gt;=117,F2485,0))/100)),15)/15,(Skills!S16*(1+(Inputs!$B$34+IF(Inputs!$B$3&gt;=117,F2485,0))/100))/Skills!D16))/100),1)</f>
        <v/>
      </c>
    </row>
    <row r="2490">
      <c r="A2490" t="inlineStr">
        <is>
          <t>Monster Damage Taken Bonus % (Freezing Breath - Weaken + Elemental Reset + Artifact Enemy Damage Taken, summed)</t>
        </is>
      </c>
      <c r="B2490">
        <f>IF(Inputs!$B$3&gt;=118,15*IF(Inputs!$B$38="pvp",MIN((30*(1+(Inputs!$B$34+IF(Inputs!$B$3&gt;=117,F2485,0))/100)),15)/15,(30*(1+(Inputs!$B$34+IF(Inputs!$B$3&gt;=117,F2485,0))/100))/Skills!D8),0)+IF(C2477=TRUE,F2477,0)+(IF(AND(ArtifactsInput!$M$35,Inputs!$B$4&lt;&gt;"Chapter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f>
        <v/>
      </c>
    </row>
    <row r="2491">
      <c r="A2491" t="inlineStr">
        <is>
          <t>Damage % Bonus (Frozen Break + Frost Clutch, flat)</t>
        </is>
      </c>
      <c r="B2491">
        <f>IF(Inputs!$B$3&gt;=66,15,0)+IF(Inputs!$B$3&gt;=98,10,0)+IF(Inputs!$B$3&gt;=125,20,0)</f>
        <v/>
      </c>
    </row>
    <row r="2492">
      <c r="A2492" t="inlineStr">
        <is>
          <t>Attack Speed Bonus % (MP Eater - MP Boost, always-on once unlocked)</t>
        </is>
      </c>
      <c r="B2492">
        <f>IF(C2476=TRUE,F2476+(F2480-Calc!F17),0)</f>
        <v/>
      </c>
    </row>
    <row r="2493">
      <c r="A2493" t="inlineStr">
        <is>
          <t>Actions Per Second</t>
        </is>
      </c>
      <c r="B2493">
        <f>1+MIN(150,150*(1-(1-(Inputs!$B$11+(ArtifactsInput!$M$15-ArtifactsInput!$M$15)*CHOOSE(ArtifactsInput!$N$15+1,8,9.6,11.2,12.8,14.4,16))/150)*(1-B2492/150)))/100</f>
        <v/>
      </c>
    </row>
    <row r="2494">
      <c r="A2494" t="inlineStr">
        <is>
          <t>Skill + Buff Cast Rate</t>
        </is>
      </c>
      <c r="B2494">
        <f>IF(AND(Inputs!$B$38&lt;&gt;"pvp",Inputs!$B$43&gt;0),SUMPRODUCT((Skills!E2:E23=TRUE)*(C2465:C2486=TRUE)*R2465:R2486)/Inputs!$B$43,SUMPRODUCT((Skills!E2:E23=TRUE)*(C2465:C2486=TRUE)*Q2465:Q2486))</f>
        <v/>
      </c>
    </row>
    <row r="2495">
      <c r="A2495" t="inlineStr">
        <is>
          <t>Chain Lightning Casts Per Second</t>
        </is>
      </c>
      <c r="B2495">
        <f>MAX(0,B2493-B2494)</f>
        <v/>
      </c>
    </row>
    <row r="2496">
      <c r="A2496" t="inlineStr">
        <is>
          <t>Buff-Casting Startup Delay (s, fixed-duration only)</t>
        </is>
      </c>
      <c r="B2496">
        <f>IF(AND(Inputs!$B$38&lt;&gt;"pvp",Inputs!$B$43&gt;0),SUMPRODUCT((Skills!S2:S23&gt;0)*(Skills!E2:E23=TRUE)*(C2465:C2486=TRUE))/B2493,0)</f>
        <v/>
      </c>
    </row>
    <row r="2497">
      <c r="A2497" t="inlineStr">
        <is>
          <t>Boss-Only Total DPS (this block's swept value)</t>
        </is>
      </c>
      <c r="B2497">
        <f>SUM(S2465:S2486)</f>
        <v/>
      </c>
    </row>
    <row r="2498">
      <c r="A2498" t="inlineStr">
        <is>
          <t>Normal-Only Total DPS (this block's swept value)</t>
        </is>
      </c>
      <c r="B2498">
        <f>SUM(U2465:U2486)</f>
        <v/>
      </c>
    </row>
    <row r="2499">
      <c r="A2499" s="6" t="inlineStr">
        <is>
          <t>TOTAL DPS</t>
        </is>
      </c>
      <c r="B2499" s="6">
        <f>SUM(O2465:O2486)</f>
        <v/>
      </c>
    </row>
    <row r="2502">
      <c r="A2502" s="6" t="inlineStr">
        <is>
          <t>Stat: CDR = 1.0s</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IF(Skills!T2&lt;&gt;"",1+(Skills!T2/10)*(Z2505/1000)/100,1)</f>
        <v/>
      </c>
      <c r="J2504">
        <f>((Inputs!$B$6*(1+Inputs!$B$7/100))+(((Inputs!$B$12*(1+Inputs!$B$13/100))-(Inputs!$B$12*(1+Inputs!$B$13/100)))+0.25*(Inputs!$B$14-Inputs!$B$14))*(1+Inputs!$B$7/100))*(F2504/100)</f>
        <v/>
      </c>
      <c r="K2504">
        <f>J2504*(1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2520-Calc!F18),(Inputs!$B$23+(IF(ArtifactsInput!$M$15,CHOOSE(ArtifactsInput!$N$15+1,25,30,35,40,45,50)/100*(Inputs!$B$11-Inputs!$B$11),0))))/100+(Inputs!$B$23+(IF(ArtifactsInput!$M$15,CHOOSE(ArtifactsInput!$N$15+1,25,30,35,40,45,50)/100*(Inputs!$B$11-Inputs!$B$11),0)))/100)/2</f>
        <v/>
      </c>
      <c r="M2504">
        <f>L2504*(1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IF(B2538=0,0,O2504/B2538)</f>
        <v/>
      </c>
      <c r="Q2504">
        <f>IFERROR(1/IF(Inputs!$B$38="pvp",15,MAX(0.1,Skills!D2-IF(Skills!E2=TRUE,1.0,0))),0)</f>
        <v/>
      </c>
      <c r="R2504" t="n">
        <v>0</v>
      </c>
      <c r="S2504">
        <f>IF(C2504,(Skills!F2*N2504*B2534)*IF(Inputs!$B$38="pvp",1,1+(Inputs!$B$20+Skills!O2+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4">
        <f>MAX(0,(Inputs!$B$3-100)*3)+Inputs!$B$28+Inputs!$B$29</f>
        <v/>
      </c>
      <c r="U2504">
        <f>IF(C2504,(Skills!F2*N2504*B2534)*IF(Inputs!$B$38="pvp",1,(1+(Inputs!$B$21+Skills!P2+B2529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04">
        <f>MAX(0,(Inputs!$B$3-100)*3)+Inputs!$B$28+Inputs!$B$29</f>
        <v/>
      </c>
    </row>
    <row r="2505">
      <c r="A2505">
        <f>Skills!A3</f>
        <v/>
      </c>
      <c r="B2505">
        <f>Skills!B3</f>
        <v/>
      </c>
      <c r="C2505">
        <f>Inputs!$B$3&gt;=15</f>
        <v/>
      </c>
      <c r="D2505">
        <f>IF(Skills!C3=1,60+Inputs!$B$25+Inputs!$B$29,IF(Skills!C3=2,90+Inputs!$B$26+Inputs!$B$29,IF(Skills!C3=3,120+Inputs!$B$27+Inputs!$B$29,MAX(0,(Inputs!$B$3-100)*3)+Inputs!$B$28+Inputs!$B$29)))</f>
        <v/>
      </c>
      <c r="E2505">
        <f>INDEX(FactorTable!$B$2:$Y$301, MATCH(ROUND(MIN(300,MAX(1,D2505)),0), FactorTable!$A$2:$A$301,0), Skills!L3+1)</f>
        <v/>
      </c>
      <c r="F2505">
        <f>IF(Skills!M3=TRUE,(Skills!K3/10)*(E2505/1000),Skills!K3/10)+Skills!N3</f>
        <v/>
      </c>
      <c r="G2505">
        <f>Calc!G3</f>
        <v/>
      </c>
      <c r="H2505">
        <f>Calc!H3</f>
        <v/>
      </c>
      <c r="I2505">
        <f>IF(Skills!T3&lt;&gt;"",1+(Skills!T3/10)*(Z2505/1000)/100,1)</f>
        <v/>
      </c>
      <c r="J2505" t="inlineStr"/>
      <c r="K2505" t="inlineStr"/>
      <c r="L2505" t="inlineStr"/>
      <c r="M2505" t="inlineStr"/>
      <c r="N2505" t="inlineStr"/>
      <c r="O2505">
        <f>(1-Summary!$B$11)*S2505+Summary!$B$11*U2505</f>
        <v/>
      </c>
      <c r="P2505">
        <f>IF(B2538=0,0,O2505/B2538)</f>
        <v/>
      </c>
      <c r="Q2505">
        <f>IFERROR(1/IF(Inputs!$B$38="pvp",15,MAX(0.1,Skills!D3-IF(Skills!E3=TRUE,1.0,0))),0)</f>
        <v/>
      </c>
      <c r="R2505">
        <f>IF(AND(Inputs!$B$38&lt;&gt;"pvp",Inputs!$B$43&gt;0),IF(Inputs!$B$43&lt;=0,0,(INT(Inputs!$B$43/IF(Inputs!$B$38="pvp",15,MAX(0.1,Skills!D3-IF(Skills!E3=TRUE,1.0,0))))+1)),0)</f>
        <v/>
      </c>
      <c r="S2505" t="n">
        <v>0</v>
      </c>
      <c r="T2505">
        <f>INDEX(FactorTable!$B$2:$Y$301, MATCH(ROUND(MIN(300,MAX(1,T2504)),0), FactorTable!$A$2:$A$301,0), 22)</f>
        <v/>
      </c>
      <c r="U2505" t="n">
        <v>0</v>
      </c>
      <c r="Z2505">
        <f>INDEX(FactorTable!$B$2:$Y$301, MATCH(ROUND(MIN(300,MAX(1,Z2504)),0), FactorTable!$A$2:$A$301,0), 24)</f>
        <v/>
      </c>
    </row>
    <row r="2506">
      <c r="A2506">
        <f>Skills!A4</f>
        <v/>
      </c>
      <c r="B2506">
        <f>Skills!B4</f>
        <v/>
      </c>
      <c r="C2506">
        <f>Inputs!$B$3&gt;=40</f>
        <v/>
      </c>
      <c r="D2506">
        <f>IF(Skills!C4=1,60+Inputs!$B$25+Inputs!$B$29,IF(Skills!C4=2,90+Inputs!$B$26+Inputs!$B$29,IF(Skills!C4=3,120+Inputs!$B$27+Inputs!$B$29,MAX(0,(Inputs!$B$3-100)*3)+Inputs!$B$28+Inputs!$B$29)))</f>
        <v/>
      </c>
      <c r="E2506">
        <f>INDEX(FactorTable!$B$2:$Y$301, MATCH(ROUND(MIN(300,MAX(1,D2506)),0), FactorTable!$A$2:$A$301,0), Skills!L4+1)</f>
        <v/>
      </c>
      <c r="F2506">
        <f>IF(Skills!M4=TRUE,(Skills!K4/10)*(E2506/1000),Skills!K4/10)+Skills!N4</f>
        <v/>
      </c>
      <c r="G2506">
        <f>Calc!G4</f>
        <v/>
      </c>
      <c r="H2506">
        <f>Calc!H4</f>
        <v/>
      </c>
      <c r="I2506">
        <f>IF(Skills!T4&lt;&gt;"",1+(Skills!T4/10)*(Z2505/1000)/100,1)</f>
        <v/>
      </c>
      <c r="J2506" t="inlineStr"/>
      <c r="K2506" t="inlineStr"/>
      <c r="L2506" t="inlineStr"/>
      <c r="M2506" t="inlineStr"/>
      <c r="N2506" t="inlineStr"/>
      <c r="O2506">
        <f>(1-Summary!$B$11)*S2506+Summary!$B$11*U2506</f>
        <v/>
      </c>
      <c r="P2506">
        <f>IF(B2538=0,0,O2506/B2538)</f>
        <v/>
      </c>
      <c r="Q2506">
        <f>IFERROR(1/IF(Inputs!$B$38="pvp",15,MAX(0.1,Skills!D4-IF(Skills!E4=TRUE,1.0,0))),0)</f>
        <v/>
      </c>
      <c r="R2506">
        <f>IF(AND(Inputs!$B$38&lt;&gt;"pvp",Inputs!$B$43&gt;0),IF(Inputs!$B$43&lt;=0,0,(INT(Inputs!$B$43/IF(Inputs!$B$38="pvp",15,MAX(0.1,Skills!D4-IF(Skills!E4=TRUE,1.0,0))))+1)),0)</f>
        <v/>
      </c>
      <c r="S2506" t="n">
        <v>0</v>
      </c>
      <c r="T2506">
        <f>290*T2505/1000</f>
        <v/>
      </c>
      <c r="U2506" t="n">
        <v>0</v>
      </c>
    </row>
    <row r="2507">
      <c r="A2507">
        <f>Skills!A5</f>
        <v/>
      </c>
      <c r="B2507">
        <f>Skills!B5</f>
        <v/>
      </c>
      <c r="C2507">
        <f>Inputs!$B$3&gt;=38</f>
        <v/>
      </c>
      <c r="D2507">
        <f>IF(Skills!C5=1,60+Inputs!$B$25+Inputs!$B$29,IF(Skills!C5=2,90+Inputs!$B$26+Inputs!$B$29,IF(Skills!C5=3,120+Inputs!$B$27+Inputs!$B$29,MAX(0,(Inputs!$B$3-100)*3)+Inputs!$B$28+Inputs!$B$29)))</f>
        <v/>
      </c>
      <c r="E2507">
        <f>INDEX(FactorTable!$B$2:$Y$301, MATCH(ROUND(MIN(300,MAX(1,D2507)),0), FactorTable!$A$2:$A$301,0), Skills!L5+1)</f>
        <v/>
      </c>
      <c r="F2507">
        <f>IF(Skills!M5=TRUE,(Skills!K5/10)*(E2507/1000),Skills!K5/10)+Skills!N5</f>
        <v/>
      </c>
      <c r="G2507">
        <f>Calc!G5</f>
        <v/>
      </c>
      <c r="H2507">
        <f>Calc!H5</f>
        <v/>
      </c>
      <c r="I2507">
        <f>IF(Skills!T5&lt;&gt;"",1+(Skills!T5/10)*(Z2505/1000)/100,1)</f>
        <v/>
      </c>
      <c r="J2507">
        <f>((Inputs!$B$6*(1+Inputs!$B$7/100))+(((Inputs!$B$12*(1+Inputs!$B$13/100))-(Inputs!$B$12*(1+Inputs!$B$13/100)))+0.25*(Inputs!$B$14-Inputs!$B$14))*(1+Inputs!$B$7/100))*(F2507/100)</f>
        <v/>
      </c>
      <c r="K2507">
        <f>J2507*(1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F2520-Calc!F18),(Inputs!$B$23+(IF(ArtifactsInput!$M$15,CHOOSE(ArtifactsInput!$N$15+1,25,30,35,40,45,50)/100*(Inputs!$B$11-Inputs!$B$11),0))))/100+(Inputs!$B$23+(IF(ArtifactsInput!$M$15,CHOOSE(ArtifactsInput!$N$15+1,25,30,35,40,45,50)/100*(Inputs!$B$11-Inputs!$B$11),0)))/100)/2</f>
        <v/>
      </c>
      <c r="M2507">
        <f>L2507*(1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(1-Summary!$B$11)*S2507+Summary!$B$11*U2507</f>
        <v/>
      </c>
      <c r="P2507">
        <f>IF(B2538=0,0,O2507/B2538)</f>
        <v/>
      </c>
      <c r="Q2507">
        <f>IFERROR(1/IF(Inputs!$B$38="pvp",15,MAX(0.1,Skills!D5-IF(Skills!E5=TRUE,1.0,0))),0)</f>
        <v/>
      </c>
      <c r="R2507">
        <f>IF(AND(Inputs!$B$38&lt;&gt;"pvp",Inputs!$B$43&gt;0),IF(MAX(0,Inputs!$B$43-B2535)&lt;=0,0,(INT(MAX(0,Inputs!$B$43-B2535)/IF(Inputs!$B$38="pvp",15,MAX(0.1,Skills!D5-IF(Skills!E5=TRUE,1.0,0))))+1)),0)</f>
        <v/>
      </c>
      <c r="S2507">
        <f>IF(C2507,(H2507*N2507*IF(AND(Inputs!$B$38&lt;&gt;"pvp",Inputs!$B$43&gt;0),((Skills!F5*((R2507-1)*IF(Skills!G5&gt;0,Skills!H5/Skills!G5,1)+IF(Skills!G5&gt;0,MIN(Skills!H5,MAX(0,MAX(0,Inputs!$B$43-B2535)-((R2507-1)*IF(Inputs!$B$38="pvp",15,MAX(0.1,Skills!D5-IF(Skills!E5=TRUE,1.0,0))))))/Skills!G5,1)))/Inputs!$B$43),G2507*Q2507))*IF(Inputs!$B$38="pvp",1,1+(Inputs!$B$20+Skills!O5+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2507*(1-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7">
        <f>IF(C2507,(H2507*N2507*IF(AND(Inputs!$B$38&lt;&gt;"pvp",Inputs!$B$43&gt;0),((Skills!F5*((R2507-1)*IF(Skills!G5&gt;0,Skills!H5/Skills!G5,1)+IF(Skills!G5&gt;0,MIN(Skills!H5,MAX(0,MAX(0,Inputs!$B$43-B2535)-((R2507-1)*IF(Inputs!$B$38="pvp",15,MAX(0.1,Skills!D5-IF(Skills!E5=TRUE,1.0,0))))))/Skills!G5,1)))/Inputs!$B$43),G2507*Q2507))*IF(Inputs!$B$38="pvp",1,(1+(Inputs!$B$21+Skills!P5+B2529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Skills!A6</f>
        <v/>
      </c>
      <c r="B2508">
        <f>Skills!B6</f>
        <v/>
      </c>
      <c r="C2508">
        <f>Inputs!$B$3&gt;=63</f>
        <v/>
      </c>
      <c r="D2508">
        <f>IF(Skills!C6=1,60+Inputs!$B$25+Inputs!$B$29,IF(Skills!C6=2,90+Inputs!$B$26+Inputs!$B$29,IF(Skills!C6=3,120+Inputs!$B$27+Inputs!$B$29,MAX(0,(Inputs!$B$3-100)*3)+Inputs!$B$28+Inputs!$B$29)))</f>
        <v/>
      </c>
      <c r="E2508">
        <f>INDEX(FactorTable!$B$2:$Y$301, MATCH(ROUND(MIN(300,MAX(1,D2508)),0), FactorTable!$A$2:$A$301,0), Skills!L6+1)</f>
        <v/>
      </c>
      <c r="F2508">
        <f>IF(Skills!M6=TRUE,(Skills!K6/10)*(E2508/1000),Skills!K6/10)+Skills!N6</f>
        <v/>
      </c>
      <c r="G2508">
        <f>Calc!G6</f>
        <v/>
      </c>
      <c r="H2508">
        <f>Calc!H6</f>
        <v/>
      </c>
      <c r="I2508">
        <f>IF(Skills!T6&lt;&gt;"",1+(Skills!T6/10)*(Z2505/1000)/100,1)</f>
        <v/>
      </c>
      <c r="J2508">
        <f>((Inputs!$B$6*(1+Inputs!$B$7/100))+(((Inputs!$B$12*(1+Inputs!$B$13/100))-(Inputs!$B$12*(1+Inputs!$B$13/100)))+0.25*(Inputs!$B$14-Inputs!$B$14))*(1+Inputs!$B$7/100))*(F2508/100)</f>
        <v/>
      </c>
      <c r="K2508">
        <f>J2508*(1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F2520-Calc!F18),(Inputs!$B$23+(IF(ArtifactsInput!$M$15,CHOOSE(ArtifactsInput!$N$15+1,25,30,35,40,45,50)/100*(Inputs!$B$11-Inputs!$B$11),0))))/100+(Inputs!$B$23+(IF(ArtifactsInput!$M$15,CHOOSE(ArtifactsInput!$N$15+1,25,30,35,40,45,50)/100*(Inputs!$B$11-Inputs!$B$11),0)))/100)/2</f>
        <v/>
      </c>
      <c r="M2508">
        <f>L2508*(1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(1-Summary!$B$11)*S2508+Summary!$B$11*U2508</f>
        <v/>
      </c>
      <c r="P2508">
        <f>IF(B2538=0,0,O2508/B2538)</f>
        <v/>
      </c>
      <c r="Q2508">
        <f>IFERROR(1/IF(Inputs!$B$38="pvp",15,MAX(0.1,Skills!D6-IF(Skills!E6=TRUE,1.0,0))),0)</f>
        <v/>
      </c>
      <c r="R2508">
        <f>IF(AND(Inputs!$B$38&lt;&gt;"pvp",Inputs!$B$43&gt;0),IF(MAX(0,Inputs!$B$43-B2535)&lt;=0,0,(INT(MAX(0,Inputs!$B$43-B2535)/IF(Inputs!$B$38="pvp",15,MAX(0.1,Skills!D6-IF(Skills!E6=TRUE,1.0,0))))+1)),0)</f>
        <v/>
      </c>
      <c r="S2508">
        <f>IF(C2508,(H2508*N2508*IF(AND(Inputs!$B$38&lt;&gt;"pvp",Inputs!$B$43&gt;0),((Skills!F6*((R2508-1)*IF(Skills!G6&gt;0,Skills!H6/Skills!G6,1)+IF(Skills!G6&gt;0,MIN(Skills!H6,MAX(0,MAX(0,Inputs!$B$43-B2535)-((R2508-1)*IF(Inputs!$B$38="pvp",15,MAX(0.1,Skills!D6-IF(Skills!E6=TRUE,1.0,0))))))/Skills!G6,1)))/Inputs!$B$43),G2508*Q2508))*IF(Inputs!$B$38="pvp",1,1+(Inputs!$B$20+Skills!O6+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2508*(1-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8">
        <f>IF(C2508,(H2508*N2508*IF(AND(Inputs!$B$38&lt;&gt;"pvp",Inputs!$B$43&gt;0),((Skills!F6*((R2508-1)*IF(Skills!G6&gt;0,Skills!H6/Skills!G6,1)+IF(Skills!G6&gt;0,MIN(Skills!H6,MAX(0,MAX(0,Inputs!$B$43-B2535)-((R2508-1)*IF(Inputs!$B$38="pvp",15,MAX(0.1,Skills!D6-IF(Skills!E6=TRUE,1.0,0))))))/Skills!G6,1)))/Inputs!$B$43),G2508*Q2508))*IF(Inputs!$B$38="pvp",1,(1+(Inputs!$B$21+Skills!P6+B2529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Skills!A7</f>
        <v/>
      </c>
      <c r="B2509">
        <f>Skills!B7</f>
        <v/>
      </c>
      <c r="C2509">
        <f>Inputs!$B$3&gt;=69</f>
        <v/>
      </c>
      <c r="D2509">
        <f>IF(Skills!C7=1,60+Inputs!$B$25+Inputs!$B$29,IF(Skills!C7=2,90+Inputs!$B$26+Inputs!$B$29,IF(Skills!C7=3,120+Inputs!$B$27+Inputs!$B$29,MAX(0,(Inputs!$B$3-100)*3)+Inputs!$B$28+Inputs!$B$29)))</f>
        <v/>
      </c>
      <c r="E2509">
        <f>INDEX(FactorTable!$B$2:$Y$301, MATCH(ROUND(MIN(300,MAX(1,D2509)),0), FactorTable!$A$2:$A$301,0), Skills!L7+1)</f>
        <v/>
      </c>
      <c r="F2509">
        <f>IF(Skills!M7=TRUE,(Skills!K7/10)*(E2509/1000),Skills!K7/10)+Skills!N7</f>
        <v/>
      </c>
      <c r="G2509">
        <f>Calc!G7</f>
        <v/>
      </c>
      <c r="H2509">
        <f>Calc!H7</f>
        <v/>
      </c>
      <c r="I2509">
        <f>IF(Skills!T7&lt;&gt;"",1+(Skills!T7/10)*(Z2505/1000)/100,1)</f>
        <v/>
      </c>
      <c r="J2509">
        <f>((Inputs!$B$6*(1+Inputs!$B$7/100))+(((Inputs!$B$12*(1+Inputs!$B$13/100))-(Inputs!$B$12*(1+Inputs!$B$13/100)))+0.25*(Inputs!$B$14-Inputs!$B$14))*(1+Inputs!$B$7/100))*(F2509/100)</f>
        <v/>
      </c>
      <c r="K2509">
        <f>J2509*(1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F2520-Calc!F18),(Inputs!$B$23+(IF(ArtifactsInput!$M$15,CHOOSE(ArtifactsInput!$N$15+1,25,30,35,40,45,50)/100*(Inputs!$B$11-Inputs!$B$11),0))))/100+(Inputs!$B$23+(IF(ArtifactsInput!$M$15,CHOOSE(ArtifactsInput!$N$15+1,25,30,35,40,45,50)/100*(Inputs!$B$11-Inputs!$B$11),0)))/100)/2</f>
        <v/>
      </c>
      <c r="M2509">
        <f>L2509*(1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(1-Summary!$B$11)*S2509+Summary!$B$11*U2509</f>
        <v/>
      </c>
      <c r="P2509">
        <f>IF(B2538=0,0,O2509/B2538)</f>
        <v/>
      </c>
      <c r="Q2509">
        <f>IFERROR(1/IF(Inputs!$B$38="pvp",15,MAX(0.1,Skills!D7-IF(Skills!E7=TRUE,1.0,0))),0)</f>
        <v/>
      </c>
      <c r="R2509">
        <f>IF(AND(Inputs!$B$38&lt;&gt;"pvp",Inputs!$B$43&gt;0),IF(MAX(0,Inputs!$B$43-B2535)&lt;=0,0,(INT(MAX(0,Inputs!$B$43-B2535)/IF(Inputs!$B$38="pvp",15,MAX(0.1,Skills!D7-IF(Skills!E7=TRUE,1.0,0))))+1)),0)</f>
        <v/>
      </c>
      <c r="S2509">
        <f>IF(C2509,(H2509*N2509*IF(AND(Inputs!$B$38&lt;&gt;"pvp",Inputs!$B$43&gt;0),((Skills!F7*((R2509-1)*IF(Skills!G7&gt;0,Skills!H7/Skills!G7,1)+IF(Skills!G7&gt;0,MIN(Skills!H7,MAX(0,MAX(0,Inputs!$B$43-B2535)-((R2509-1)*IF(Inputs!$B$38="pvp",15,MAX(0.1,Skills!D7-IF(Skills!E7=TRUE,1.0,0))))))/Skills!G7,1)))/Inputs!$B$43),G2509*Q2509))*IF(Inputs!$B$38="pvp",1,1+(Inputs!$B$20+Skills!O7+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2509*(1-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IF(C2509,(H2509*N2509*IF(AND(Inputs!$B$38&lt;&gt;"pvp",Inputs!$B$43&gt;0),((Skills!F7*((R2509-1)*IF(Skills!G7&gt;0,Skills!H7/Skills!G7,1)+IF(Skills!G7&gt;0,MIN(Skills!H7,MAX(0,MAX(0,Inputs!$B$43-B2535)-((R2509-1)*IF(Inputs!$B$38="pvp",15,MAX(0.1,Skills!D7-IF(Skills!E7=TRUE,1.0,0))))))/Skills!G7,1)))/Inputs!$B$43),G2509*Q2509))*IF(Inputs!$B$38="pvp",1,(1+(Inputs!$B$21+Skills!P7+B2529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Skills!A8</f>
        <v/>
      </c>
      <c r="B2510">
        <f>Skills!B8</f>
        <v/>
      </c>
      <c r="C2510">
        <f>Inputs!$B$3&gt;=103</f>
        <v/>
      </c>
      <c r="D2510">
        <f>IF(Skills!C8=1,60+Inputs!$B$25+Inputs!$B$29,IF(Skills!C8=2,90+Inputs!$B$26+Inputs!$B$29,IF(Skills!C8=3,120+Inputs!$B$27+Inputs!$B$29,MAX(0,(Inputs!$B$3-100)*3)+Inputs!$B$28+Inputs!$B$29)))</f>
        <v/>
      </c>
      <c r="E2510">
        <f>INDEX(FactorTable!$B$2:$Y$301, MATCH(ROUND(MIN(300,MAX(1,D2510)),0), FactorTable!$A$2:$A$301,0), Skills!L8+1)</f>
        <v/>
      </c>
      <c r="F2510">
        <f>IF(Skills!M8=TRUE,(Skills!K8/10)*(E2510/1000),Skills!K8/10)+Skills!N8</f>
        <v/>
      </c>
      <c r="G2510">
        <f>Calc!G8</f>
        <v/>
      </c>
      <c r="H2510">
        <f>Calc!H8</f>
        <v/>
      </c>
      <c r="I2510">
        <f>IF(Skills!T8&lt;&gt;"",1+(Skills!T8/10)*(Z2505/1000)/100,1)</f>
        <v/>
      </c>
      <c r="J2510">
        <f>((Inputs!$B$6*(1+Inputs!$B$7/100))+(((Inputs!$B$12*(1+Inputs!$B$13/100))-(Inputs!$B$12*(1+Inputs!$B$13/100)))+0.25*(Inputs!$B$14-Inputs!$B$14))*(1+Inputs!$B$7/100))*(F2510/100)</f>
        <v/>
      </c>
      <c r="K2510">
        <f>J2510*(1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F2520-Calc!F18),(Inputs!$B$23+(IF(ArtifactsInput!$M$15,CHOOSE(ArtifactsInput!$N$15+1,25,30,35,40,45,50)/100*(Inputs!$B$11-Inputs!$B$11),0))))/100+(Inputs!$B$23+(IF(ArtifactsInput!$M$15,CHOOSE(ArtifactsInput!$N$15+1,25,30,35,40,45,50)/100*(Inputs!$B$11-Inputs!$B$11),0)))/100)/2</f>
        <v/>
      </c>
      <c r="M2510">
        <f>L2510*(1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(1-Summary!$B$11)*S2510+Summary!$B$11*U2510</f>
        <v/>
      </c>
      <c r="P2510">
        <f>IF(B2538=0,0,O2510/B2538)</f>
        <v/>
      </c>
      <c r="Q2510">
        <f>IFERROR(1/IF(Inputs!$B$38="pvp",15,MAX(0.1,Skills!D8-IF(Skills!E8=TRUE,1.0,0))),0)</f>
        <v/>
      </c>
      <c r="R2510">
        <f>IF(AND(Inputs!$B$38&lt;&gt;"pvp",Inputs!$B$43&gt;0),IF(MAX(0,Inputs!$B$43-B2535)&lt;=0,0,(INT(MAX(0,Inputs!$B$43-B2535)/IF(Inputs!$B$38="pvp",15,MAX(0.1,Skills!D8-IF(Skills!E8=TRUE,1.0,0))))+1)),0)</f>
        <v/>
      </c>
      <c r="S2510">
        <f>IF(C2510,(H2510*N2510*IF(AND(Inputs!$B$38&lt;&gt;"pvp",Inputs!$B$43&gt;0),((Skills!F8*((R2510-1)*IF(Skills!G8&gt;0,Skills!H8/Skills!G8,1)+IF(Skills!G8&gt;0,MIN(Skills!H8,MAX(0,MAX(0,Inputs!$B$43-B2535)-((R2510-1)*IF(Inputs!$B$38="pvp",15,MAX(0.1,Skills!D8-IF(Skills!E8=TRUE,1.0,0))))))/Skills!G8,1)))/Inputs!$B$43),G2510*Q2510))*IF(Inputs!$B$38="pvp",1,1+(Inputs!$B$20+Skills!O8+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2510*(1-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0">
        <f>IF(C2510,(H2510*N2510*IF(AND(Inputs!$B$38&lt;&gt;"pvp",Inputs!$B$43&gt;0),((Skills!F8*((R2510-1)*IF(Skills!G8&gt;0,Skills!H8/Skills!G8,1)+IF(Skills!G8&gt;0,MIN(Skills!H8,MAX(0,MAX(0,Inputs!$B$43-B2535)-((R2510-1)*IF(Inputs!$B$38="pvp",15,MAX(0.1,Skills!D8-IF(Skills!E8=TRUE,1.0,0))))))/Skills!G8,1)))/Inputs!$B$43),G2510*Q2510))*IF(Inputs!$B$38="pvp",1,(1+(Inputs!$B$21+Skills!P8+B2529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Skills!A9</f>
        <v/>
      </c>
      <c r="B2511">
        <f>Skills!B9</f>
        <v/>
      </c>
      <c r="C2511">
        <f>Inputs!$B$3&gt;=105</f>
        <v/>
      </c>
      <c r="D2511">
        <f>IF(Skills!C9=1,60+Inputs!$B$25+Inputs!$B$29,IF(Skills!C9=2,90+Inputs!$B$26+Inputs!$B$29,IF(Skills!C9=3,120+Inputs!$B$27+Inputs!$B$29,MAX(0,(Inputs!$B$3-100)*3)+Inputs!$B$28+Inputs!$B$29)))</f>
        <v/>
      </c>
      <c r="E2511">
        <f>INDEX(FactorTable!$B$2:$Y$301, MATCH(ROUND(MIN(300,MAX(1,D2511)),0), FactorTable!$A$2:$A$301,0), Skills!L9+1)</f>
        <v/>
      </c>
      <c r="F2511">
        <f>IF(Skills!M9=TRUE,(Skills!K9/10)*(E2511/1000),Skills!K9/10)+Skills!N9</f>
        <v/>
      </c>
      <c r="G2511">
        <f>Calc!G9</f>
        <v/>
      </c>
      <c r="H2511">
        <f>Calc!H9</f>
        <v/>
      </c>
      <c r="I2511">
        <f>IF(Skills!T9&lt;&gt;"",1+(Skills!T9/10)*(Z2505/1000)/100,1)</f>
        <v/>
      </c>
      <c r="J2511">
        <f>((Inputs!$B$6*(1+Inputs!$B$7/100))+(((Inputs!$B$12*(1+Inputs!$B$13/100))-(Inputs!$B$12*(1+Inputs!$B$13/100)))+0.25*(Inputs!$B$14-Inputs!$B$14))*(1+Inputs!$B$7/100))*(F2511/100)</f>
        <v/>
      </c>
      <c r="K2511">
        <f>J2511*(1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F2520-Calc!F18),(Inputs!$B$23+(IF(ArtifactsInput!$M$15,CHOOSE(ArtifactsInput!$N$15+1,25,30,35,40,45,50)/100*(Inputs!$B$11-Inputs!$B$11),0))))/100+(Inputs!$B$23+(IF(ArtifactsInput!$M$15,CHOOSE(ArtifactsInput!$N$15+1,25,30,35,40,45,50)/100*(Inputs!$B$11-Inputs!$B$11),0)))/100)/2</f>
        <v/>
      </c>
      <c r="M2511">
        <f>L2511*(1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(1-Summary!$B$11)*S2511+Summary!$B$11*U2511</f>
        <v/>
      </c>
      <c r="P2511">
        <f>IF(B2538=0,0,O2511/B2538)</f>
        <v/>
      </c>
      <c r="Q2511">
        <f>IFERROR(1/IF(Inputs!$B$38="pvp",15,MAX(0.1,Skills!D9-IF(Skills!E9=TRUE,1.0,0))),0)</f>
        <v/>
      </c>
      <c r="R2511">
        <f>IF(AND(Inputs!$B$38&lt;&gt;"pvp",Inputs!$B$43&gt;0),IF(MAX(0,Inputs!$B$43-B2535)&lt;=0,0,(INT(MAX(0,Inputs!$B$43-B2535)/IF(Inputs!$B$38="pvp",15,MAX(0.1,Skills!D9-IF(Skills!E9=TRUE,1.0,0))))+1)),0)</f>
        <v/>
      </c>
      <c r="S2511">
        <f>IF(C2511,(H2511*N2511*IF(AND(Inputs!$B$38&lt;&gt;"pvp",Inputs!$B$43&gt;0),((Skills!F9*((R2511-1)*IF(Skills!G9&gt;0,Skills!H9/Skills!G9,1)+IF(Skills!G9&gt;0,MIN(Skills!H9,MAX(0,MAX(0,Inputs!$B$43-B2535)-((R2511-1)*IF(Inputs!$B$38="pvp",15,MAX(0.1,Skills!D9-IF(Skills!E9=TRUE,1.0,0))))))/Skills!G9,1)))/Inputs!$B$43),G2511*Q2511))*IF(Inputs!$B$38="pvp",1,1+(Inputs!$B$20+Skills!O9+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IF(C2511,(H2511*N2511*IF(AND(Inputs!$B$38&lt;&gt;"pvp",Inputs!$B$43&gt;0),((Skills!F9*((R2511-1)*IF(Skills!G9&gt;0,Skills!H9/Skills!G9,1)+IF(Skills!G9&gt;0,MIN(Skills!H9,MAX(0,MAX(0,Inputs!$B$43-B2535)-((R2511-1)*IF(Inputs!$B$38="pvp",15,MAX(0.1,Skills!D9-IF(Skills!E9=TRUE,1.0,0))))))/Skills!G9,1)))/Inputs!$B$43),G2511*Q2511))*IF(Inputs!$B$38="pvp",1,(1+(Inputs!$B$21+Skills!P9+B2529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Skills!A10</f>
        <v/>
      </c>
      <c r="B2512">
        <f>Skills!B10</f>
        <v/>
      </c>
      <c r="C2512">
        <f>Inputs!$B$3&gt;=113</f>
        <v/>
      </c>
      <c r="D2512">
        <f>IF(Skills!C10=1,60+Inputs!$B$25+Inputs!$B$29,IF(Skills!C10=2,90+Inputs!$B$26+Inputs!$B$29,IF(Skills!C10=3,120+Inputs!$B$27+Inputs!$B$29,MAX(0,(Inputs!$B$3-100)*3)+Inputs!$B$28+Inputs!$B$29)))</f>
        <v/>
      </c>
      <c r="E2512">
        <f>INDEX(FactorTable!$B$2:$Y$301, MATCH(ROUND(MIN(300,MAX(1,D2512)),0), FactorTable!$A$2:$A$301,0), Skills!L10+1)</f>
        <v/>
      </c>
      <c r="F2512">
        <f>IF(Skills!M10=TRUE,(Skills!K10/10)*(E2512/1000),Skills!K10/10)+Skills!N10</f>
        <v/>
      </c>
      <c r="G2512">
        <f>Calc!G10</f>
        <v/>
      </c>
      <c r="H2512">
        <f>Calc!H10</f>
        <v/>
      </c>
      <c r="I2512">
        <f>IF(Skills!T10&lt;&gt;"",1+(Skills!T10/10)*(Z2505/1000)/100,1)</f>
        <v/>
      </c>
      <c r="J2512">
        <f>((Inputs!$B$6*(1+Inputs!$B$7/100))+(((Inputs!$B$12*(1+Inputs!$B$13/100))-(Inputs!$B$12*(1+Inputs!$B$13/100)))+0.25*(Inputs!$B$14-Inputs!$B$14))*(1+Inputs!$B$7/100))*(F2512/100)</f>
        <v/>
      </c>
      <c r="K2512">
        <f>J2512*(1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F2520-Calc!F18),(Inputs!$B$23+(IF(ArtifactsInput!$M$15,CHOOSE(ArtifactsInput!$N$15+1,25,30,35,40,45,50)/100*(Inputs!$B$11-Inputs!$B$11),0))))/100+(Inputs!$B$23+(IF(ArtifactsInput!$M$15,CHOOSE(ArtifactsInput!$N$15+1,25,30,35,40,45,50)/100*(Inputs!$B$11-Inputs!$B$11),0)))/100)/2</f>
        <v/>
      </c>
      <c r="M2512">
        <f>L2512*(1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(1-Summary!$B$11)*S2512+Summary!$B$11*U2512</f>
        <v/>
      </c>
      <c r="P2512">
        <f>IF(B2538=0,0,O2512/B2538)</f>
        <v/>
      </c>
      <c r="Q2512">
        <f>IFERROR(1/IF(Inputs!$B$38="pvp",15,MAX(0.1,Skills!D10-IF(Skills!E9=TRUE,1.0,0))),0)</f>
        <v/>
      </c>
      <c r="R2512">
        <f>IF(AND(Inputs!$B$38&lt;&gt;"pvp",Inputs!$B$43&gt;0),IF(MAX(0,Inputs!$B$43-B2535)&lt;=0,0,(INT(MAX(0,Inputs!$B$43-B2535)/IF(Inputs!$B$38="pvp",15,MAX(0.1,Skills!D10-IF(Skills!E9=TRUE,1.0,0))))+1)),0)</f>
        <v/>
      </c>
      <c r="S2512">
        <f>IF(C2512,(H2512*N2512*IF(AND(Inputs!$B$38&lt;&gt;"pvp",Inputs!$B$43&gt;0),((Skills!F10*((R2512-1)*IF(Skills!G10&gt;0,Skills!H10/Skills!G10,1)+IF(Skills!G10&gt;0,MIN(Skills!H10,MAX(0,MAX(0,Inputs!$B$43-B2535)-((R2512-1)*IF(Inputs!$B$38="pvp",15,MAX(0.1,Skills!D10-IF(Skills!E9=TRUE,1.0,0))))))/Skills!G10,1)))/Inputs!$B$43),G2512*Q2512))*IF(Inputs!$B$38="pvp",1,1+(Inputs!$B$20+Skills!O10+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2512*(1-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2">
        <f>IF(C2512,(H2512*N2512*IF(AND(Inputs!$B$38&lt;&gt;"pvp",Inputs!$B$43&gt;0),((Skills!F10*((R2512-1)*IF(Skills!G10&gt;0,Skills!H10/Skills!G10,1)+IF(Skills!G10&gt;0,MIN(Skills!H10,MAX(0,MAX(0,Inputs!$B$43-B2535)-((R2512-1)*IF(Inputs!$B$38="pvp",15,MAX(0.1,Skills!D10-IF(Skills!E9=TRUE,1.0,0))))))/Skills!G10,1)))/Inputs!$B$43),G2512*Q2512))*IF(Inputs!$B$38="pvp",1,(1+(Inputs!$B$21+Skills!P10+B2529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Skills!A11</f>
        <v/>
      </c>
      <c r="B2513">
        <f>Skills!B11</f>
        <v/>
      </c>
      <c r="C2513">
        <f>Inputs!$B$3&gt;=107</f>
        <v/>
      </c>
      <c r="D2513">
        <f>IF(Skills!C11=1,60+Inputs!$B$25+Inputs!$B$29,IF(Skills!C11=2,90+Inputs!$B$26+Inputs!$B$29,IF(Skills!C11=3,120+Inputs!$B$27+Inputs!$B$29,MAX(0,(Inputs!$B$3-100)*3)+Inputs!$B$28+Inputs!$B$29)))</f>
        <v/>
      </c>
      <c r="E2513">
        <f>INDEX(FactorTable!$B$2:$Y$301, MATCH(ROUND(MIN(300,MAX(1,D2513)),0), FactorTable!$A$2:$A$301,0), Skills!L11+1)</f>
        <v/>
      </c>
      <c r="F2513">
        <f>IF(Skills!M11=TRUE,(Skills!K11/10)*(E2513/1000),Skills!K11/10)+Skills!N11</f>
        <v/>
      </c>
      <c r="G2513">
        <f>Calc!G11</f>
        <v/>
      </c>
      <c r="H2513">
        <f>Calc!H11</f>
        <v/>
      </c>
      <c r="I2513">
        <f>IF(Skills!T11&lt;&gt;"",1+(Skills!T11/10)*(Z2505/1000)/100,1)</f>
        <v/>
      </c>
      <c r="J2513">
        <f>((Inputs!$B$6*(1+Inputs!$B$7/100))+(((Inputs!$B$12*(1+Inputs!$B$13/100))-(Inputs!$B$12*(1+Inputs!$B$13/100)))+0.25*(Inputs!$B$14-Inputs!$B$14))*(1+Inputs!$B$7/100))*(F2513/100)</f>
        <v/>
      </c>
      <c r="K2513">
        <f>J2513*(1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F2520-Calc!F18),(Inputs!$B$23+(IF(ArtifactsInput!$M$15,CHOOSE(ArtifactsInput!$N$15+1,25,30,35,40,45,50)/100*(Inputs!$B$11-Inputs!$B$11),0))))/100+(Inputs!$B$23+(IF(ArtifactsInput!$M$15,CHOOSE(ArtifactsInput!$N$15+1,25,30,35,40,45,50)/100*(Inputs!$B$11-Inputs!$B$11),0)))/100)/2</f>
        <v/>
      </c>
      <c r="M2513">
        <f>L2513*(1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(1-Summary!$B$11)*S2513+Summary!$B$11*U2513</f>
        <v/>
      </c>
      <c r="P2513">
        <f>IF(B2538=0,0,O2513/B2538)</f>
        <v/>
      </c>
      <c r="Q2513">
        <f>IFERROR(1/IF(Inputs!$B$38="pvp",15,MAX(0.1,Skills!D11-IF(Skills!E11=TRUE,1.0,0))),0)</f>
        <v/>
      </c>
      <c r="R2513">
        <f>IF(AND(Inputs!$B$38&lt;&gt;"pvp",Inputs!$B$43&gt;0),IF(MAX(0,Inputs!$B$43-B2535)&lt;=0,0,(INT(MAX(0,Inputs!$B$43-B2535)/IF(Inputs!$B$38="pvp",15,MAX(0.1,Skills!D11-IF(Skills!E11=TRUE,1.0,0))))+1)),0)</f>
        <v/>
      </c>
      <c r="S2513">
        <f>IF(C2513,H2513*N2513*IF(AND(Inputs!$B$38&lt;&gt;"pvp",Inputs!$B$43&gt;0),((Skills!F11*((R2513-1)*IF(Skills!G11&gt;0,Skills!H11/Skills!G11,1)+IF(Skills!G11&gt;0,MIN(Skills!H11,MAX(0,MAX(0,Inputs!$B$43-B2535)-((R2513-1)*IF(Inputs!$B$38="pvp",15,MAX(0.1,Skills!D11-IF(Skills!E11=TRUE,1.0,0))))))/Skills!G11,1)))/Inputs!$B$43),G2513*Q2513)*0.5*IF(Inputs!$B$38="pvp",1,1+(Inputs!$B$20+Skills!O11+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2513*(1-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IF(C2513,H2513*N2513*IF(AND(Inputs!$B$38&lt;&gt;"pvp",Inputs!$B$43&gt;0),((Skills!F11*((R2513-1)*IF(Skills!G11&gt;0,Skills!H11/Skills!G11,1)+IF(Skills!G11&gt;0,MIN(Skills!H11,MAX(0,MAX(0,Inputs!$B$43-B2535)-((R2513-1)*IF(Inputs!$B$38="pvp",15,MAX(0.1,Skills!D11-IF(Skills!E11=TRUE,1.0,0))))))/Skills!G11,1)))/Inputs!$B$43),G2513*Q2513)*1*IF(Inputs!$B$38="pvp",1,(1+(Inputs!$B$21+Skills!P11+B2529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Skills!A12</f>
        <v/>
      </c>
      <c r="B2514">
        <f>Skills!B12</f>
        <v/>
      </c>
      <c r="C2514">
        <f>Inputs!$B$3&gt;=115</f>
        <v/>
      </c>
      <c r="D2514">
        <f>IF(Skills!C12=1,60+Inputs!$B$25+Inputs!$B$29,IF(Skills!C12=2,90+Inputs!$B$26+Inputs!$B$29,IF(Skills!C12=3,120+Inputs!$B$27+Inputs!$B$29,MAX(0,(Inputs!$B$3-100)*3)+Inputs!$B$28+Inputs!$B$29)))</f>
        <v/>
      </c>
      <c r="E2514">
        <f>INDEX(FactorTable!$B$2:$Y$301, MATCH(ROUND(MIN(300,MAX(1,D2514)),0), FactorTable!$A$2:$A$301,0), Skills!L12+1)</f>
        <v/>
      </c>
      <c r="F2514">
        <f>IF(Skills!M12=TRUE,(Skills!K12/10)*(E2514/1000),Skills!K12/10)+Skills!N12</f>
        <v/>
      </c>
      <c r="G2514">
        <f>Calc!G12</f>
        <v/>
      </c>
      <c r="H2514">
        <f>Calc!H12</f>
        <v/>
      </c>
      <c r="I2514">
        <f>IF(Skills!T12&lt;&gt;"",1+(Skills!T12/10)*(Z2505/1000)/100,1)</f>
        <v/>
      </c>
      <c r="J2514">
        <f>((Inputs!$B$6*(1+Inputs!$B$7/100))+(((Inputs!$B$12*(1+Inputs!$B$13/100))-(Inputs!$B$12*(1+Inputs!$B$13/100)))+0.25*(Inputs!$B$14-Inputs!$B$14))*(1+Inputs!$B$7/100))*(F2514/100)</f>
        <v/>
      </c>
      <c r="K2514">
        <f>J2514*(1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2520-Calc!F18),(Inputs!$B$23+(IF(ArtifactsInput!$M$15,CHOOSE(ArtifactsInput!$N$15+1,25,30,35,40,45,50)/100*(Inputs!$B$11-Inputs!$B$11),0))))/100+(Inputs!$B$23+(IF(ArtifactsInput!$M$15,CHOOSE(ArtifactsInput!$N$15+1,25,30,35,40,45,50)/100*(Inputs!$B$11-Inputs!$B$11),0)))/100)/2</f>
        <v/>
      </c>
      <c r="M2514">
        <f>L2514*(1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IF(B2538=0,0,O2514/B2538)</f>
        <v/>
      </c>
      <c r="Q2514">
        <f>IFERROR(1/IF(Inputs!$B$38="pvp",15,MAX(0.1,Skills!D12-IF(Skills!E12=TRUE,1.0,0))),0)</f>
        <v/>
      </c>
      <c r="R2514">
        <f>IF(AND(Inputs!$B$38&lt;&gt;"pvp",Inputs!$B$43&gt;0),IF(MAX(0,Inputs!$B$43-B2535)&lt;=0,0,(INT(MAX(0,Inputs!$B$43-B2535)/IF(Inputs!$B$38="pvp",15,MAX(0.1,Skills!D12-IF(Skills!E12=TRUE,1.0,0))))+1)),0)</f>
        <v/>
      </c>
      <c r="S2514">
        <f>IF(C2514,(H2514*N2514*IF(AND(Inputs!$B$38&lt;&gt;"pvp",Inputs!$B$43&gt;0),((Skills!F12*((R2514-1)*IF(Skills!G12&gt;0,Skills!H12/Skills!G12,1)+IF(Skills!G12&gt;0,MIN(Skills!H12,MAX(0,MAX(0,Inputs!$B$43-B2535)-((R2514-1)*IF(Inputs!$B$38="pvp",15,MAX(0.1,Skills!D12-IF(Skills!E12=TRUE,1.0,0))))))/Skills!G12,1)))/Inputs!$B$43),G2514*Q2514))*IF(Inputs!$B$38="pvp",1,1+(Inputs!$B$20+Skills!O12+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F12*((R2514-1)*IF(Skills!G12&gt;0,Skills!H12/Skills!G12,1)+IF(Skills!G12&gt;0,MIN(Skills!H12,MAX(0,MAX(0,Inputs!$B$43-B2535)-((R2514-1)*IF(Inputs!$B$38="pvp",15,MAX(0.1,Skills!D12-IF(Skills!E12=TRUE,1.0,0))))))/Skills!G12,1)))/Inputs!$B$43),G2514*Q2514))*IF(Inputs!$B$38="pvp",1,(1+(Inputs!$B$21+Skills!P12+B2529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Skills!A13</f>
        <v/>
      </c>
      <c r="B2515">
        <f>Skills!B13</f>
        <v/>
      </c>
      <c r="C2515">
        <f>Inputs!$B$3&gt;=49</f>
        <v/>
      </c>
      <c r="D2515">
        <f>IF(Skills!C13=1,60+Inputs!$B$25+Inputs!$B$29,IF(Skills!C13=2,90+Inputs!$B$26+Inputs!$B$29,IF(Skills!C13=3,120+Inputs!$B$27+Inputs!$B$29,MAX(0,(Inputs!$B$3-100)*3)+Inputs!$B$28+Inputs!$B$29)))</f>
        <v/>
      </c>
      <c r="E2515">
        <f>INDEX(FactorTable!$B$2:$Y$301, MATCH(ROUND(MIN(300,MAX(1,D2515)),0), FactorTable!$A$2:$A$301,0), Skills!L13+1)</f>
        <v/>
      </c>
      <c r="F2515">
        <f>IF(Skills!M13=TRUE,(Skills!K13/10)*(E2515/1000),Skills!K13/10)+Skills!N13</f>
        <v/>
      </c>
      <c r="G2515">
        <f>Calc!G13</f>
        <v/>
      </c>
      <c r="H2515">
        <f>Calc!H13</f>
        <v/>
      </c>
      <c r="I2515">
        <f>IF(Skills!T13&lt;&gt;"",1+(Skills!T13/10)*(Z2505/1000)/100,1)</f>
        <v/>
      </c>
      <c r="J2515" t="inlineStr"/>
      <c r="K2515" t="inlineStr"/>
      <c r="L2515" t="inlineStr"/>
      <c r="M2515" t="inlineStr"/>
      <c r="N2515" t="inlineStr"/>
      <c r="O2515">
        <f>(1-Summary!$B$11)*S2515+Summary!$B$11*U2515</f>
        <v/>
      </c>
      <c r="P2515">
        <f>IF(B2538=0,0,O2515/B2538)</f>
        <v/>
      </c>
      <c r="Q2515">
        <f>IFERROR(1/IF(Inputs!$B$38="pvp",15,MAX(0.1,Skills!D13-IF(Skills!E13=TRUE,1.0,0))),0)</f>
        <v/>
      </c>
      <c r="R2515" t="n">
        <v>0</v>
      </c>
      <c r="S2515" t="n">
        <v>0</v>
      </c>
      <c r="U2515" t="n">
        <v>0</v>
      </c>
    </row>
    <row r="2516">
      <c r="A2516">
        <f>Skills!A14</f>
        <v/>
      </c>
      <c r="B2516">
        <f>Skills!B14</f>
        <v/>
      </c>
      <c r="C2516">
        <f>Inputs!$B$3&gt;=72</f>
        <v/>
      </c>
      <c r="D2516">
        <f>IF(Skills!C14=1,60+Inputs!$B$25+Inputs!$B$29,IF(Skills!C14=2,90+Inputs!$B$26+Inputs!$B$29,IF(Skills!C14=3,120+Inputs!$B$27+Inputs!$B$29,MAX(0,(Inputs!$B$3-100)*3)+Inputs!$B$28+Inputs!$B$29)))</f>
        <v/>
      </c>
      <c r="E2516">
        <f>INDEX(FactorTable!$B$2:$Y$301, MATCH(ROUND(MIN(300,MAX(1,D2516)),0), FactorTable!$A$2:$A$301,0), Skills!L14+1)</f>
        <v/>
      </c>
      <c r="F2516">
        <f>IF(Skills!M14=TRUE,(Skills!K14/10)*(E2516/1000),Skills!K14/10)+Skills!N14</f>
        <v/>
      </c>
      <c r="G2516">
        <f>Calc!G14</f>
        <v/>
      </c>
      <c r="H2516">
        <f>Calc!H14</f>
        <v/>
      </c>
      <c r="I2516">
        <f>IF(Skills!T14&lt;&gt;"",1+(Skills!T14/10)*(Z2505/1000)/100,1)</f>
        <v/>
      </c>
      <c r="J2516" t="inlineStr"/>
      <c r="K2516" t="inlineStr"/>
      <c r="L2516" t="inlineStr"/>
      <c r="M2516" t="inlineStr"/>
      <c r="N2516" t="inlineStr"/>
      <c r="O2516">
        <f>(1-Summary!$B$11)*S2516+Summary!$B$11*U2516</f>
        <v/>
      </c>
      <c r="P2516">
        <f>IF(B2538=0,0,O2516/B2538)</f>
        <v/>
      </c>
      <c r="Q2516">
        <f>IFERROR(1/IF(Inputs!$B$38="pvp",15,MAX(0.1,Skills!D14-IF(Skills!E14=TRUE,1.0,0))),0)</f>
        <v/>
      </c>
      <c r="R2516" t="n">
        <v>0</v>
      </c>
      <c r="S2516" t="n">
        <v>0</v>
      </c>
      <c r="U2516" t="n">
        <v>0</v>
      </c>
    </row>
    <row r="2517">
      <c r="A2517">
        <f>Skills!A15</f>
        <v/>
      </c>
      <c r="B2517">
        <f>Skills!B15</f>
        <v/>
      </c>
      <c r="C2517">
        <f>Inputs!$B$3&gt;=75</f>
        <v/>
      </c>
      <c r="D2517">
        <f>IF(Skills!C15=1,60+Inputs!$B$25+Inputs!$B$29,IF(Skills!C15=2,90+Inputs!$B$26+Inputs!$B$29,IF(Skills!C15=3,120+Inputs!$B$27+Inputs!$B$29,MAX(0,(Inputs!$B$3-100)*3)+Inputs!$B$28+Inputs!$B$29)))</f>
        <v/>
      </c>
      <c r="E2517">
        <f>INDEX(FactorTable!$B$2:$Y$301, MATCH(ROUND(MIN(300,MAX(1,D2517)),0), FactorTable!$A$2:$A$301,0), Skills!L15+1)</f>
        <v/>
      </c>
      <c r="F2517">
        <f>IF(Skills!M15=TRUE,(Skills!K15/10)*(E2517/1000),Skills!K15/10)+Skills!N15</f>
        <v/>
      </c>
      <c r="G2517">
        <f>Calc!G15</f>
        <v/>
      </c>
      <c r="H2517">
        <f>Calc!H15</f>
        <v/>
      </c>
      <c r="I2517">
        <f>IF(Skills!T15&lt;&gt;"",1+(Skills!T15/10)*(Z2505/1000)/100,1)</f>
        <v/>
      </c>
      <c r="J2517" t="inlineStr"/>
      <c r="K2517" t="inlineStr"/>
      <c r="L2517" t="inlineStr"/>
      <c r="M2517" t="inlineStr"/>
      <c r="N2517" t="inlineStr"/>
      <c r="O2517">
        <f>(1-Summary!$B$11)*S2517+Summary!$B$11*U2517</f>
        <v/>
      </c>
      <c r="P2517">
        <f>IF(B2538=0,0,O2517/B2538)</f>
        <v/>
      </c>
      <c r="Q2517">
        <f>IFERROR(1/IF(Inputs!$B$38="pvp",15,MAX(0.1,Skills!D15-IF(Skills!E15=TRUE,1.0,0))),0)</f>
        <v/>
      </c>
      <c r="R2517" t="n">
        <v>0</v>
      </c>
      <c r="S2517" t="n">
        <v>0</v>
      </c>
      <c r="U2517" t="n">
        <v>0</v>
      </c>
    </row>
    <row r="2518">
      <c r="A2518">
        <f>Skills!A16</f>
        <v/>
      </c>
      <c r="B2518">
        <f>Skills!B16</f>
        <v/>
      </c>
      <c r="C2518">
        <f>Inputs!$B$3&gt;=110</f>
        <v/>
      </c>
      <c r="D2518">
        <f>IF(Skills!C16=1,60+Inputs!$B$25+Inputs!$B$29,IF(Skills!C16=2,90+Inputs!$B$26+Inputs!$B$29,IF(Skills!C16=3,120+Inputs!$B$27+Inputs!$B$29,MAX(0,(Inputs!$B$3-100)*3)+Inputs!$B$28+Inputs!$B$29)))</f>
        <v/>
      </c>
      <c r="E2518">
        <f>INDEX(FactorTable!$B$2:$Y$301, MATCH(ROUND(MIN(300,MAX(1,D2518)),0), FactorTable!$A$2:$A$301,0), Skills!L16+1)</f>
        <v/>
      </c>
      <c r="F2518">
        <f>(Skills!K16/10)*(E2518/1000)*64/45+Skills!N16</f>
        <v/>
      </c>
      <c r="G2518">
        <f>Calc!G16</f>
        <v/>
      </c>
      <c r="H2518">
        <f>Calc!H16</f>
        <v/>
      </c>
      <c r="I2518">
        <f>IF(Skills!T16&lt;&gt;"",1+(Skills!T16/10)*(Z2505/1000)/100,1)</f>
        <v/>
      </c>
      <c r="J2518" t="inlineStr"/>
      <c r="K2518" t="inlineStr"/>
      <c r="L2518" t="inlineStr"/>
      <c r="M2518" t="inlineStr"/>
      <c r="N2518" t="inlineStr"/>
      <c r="O2518">
        <f>(1-Summary!$B$11)*S2518+Summary!$B$11*U2518</f>
        <v/>
      </c>
      <c r="P2518">
        <f>IF(B2538=0,0,O2518/B2538)</f>
        <v/>
      </c>
      <c r="Q2518">
        <f>IFERROR(1/IF(Inputs!$B$38="pvp",15,MAX(0.1,Skills!D16-IF(Skills!E16=TRUE,1.0,0))),0)</f>
        <v/>
      </c>
      <c r="R2518">
        <f>IF(AND(Inputs!$B$38&lt;&gt;"pvp",Inputs!$B$43&gt;0),IF(Inputs!$B$43&lt;=0,0,(INT(Inputs!$B$43/IF(Inputs!$B$38="pvp",15,MAX(0.1,Skills!D16-IF(Skills!E16=TRUE,1.0,0))))+1)),0)</f>
        <v/>
      </c>
      <c r="S2518" t="n">
        <v>0</v>
      </c>
      <c r="U2518" t="n">
        <v>0</v>
      </c>
    </row>
    <row r="2519">
      <c r="A2519">
        <f>Skills!A17</f>
        <v/>
      </c>
      <c r="B2519">
        <f>Skills!B17</f>
        <v/>
      </c>
      <c r="C2519">
        <f>Inputs!$B$3&gt;=33</f>
        <v/>
      </c>
      <c r="D2519">
        <f>IF(Skills!C17=1,60+Inputs!$B$25+Inputs!$B$29,IF(Skills!C17=2,90+Inputs!$B$26+Inputs!$B$29,IF(Skills!C17=3,120+Inputs!$B$27+Inputs!$B$29,MAX(0,(Inputs!$B$3-100)*3)+Inputs!$B$28+Inputs!$B$29)))</f>
        <v/>
      </c>
      <c r="E2519">
        <f>INDEX(FactorTable!$B$2:$Y$301, MATCH(ROUND(MIN(300,MAX(1,D2519)),0), FactorTable!$A$2:$A$301,0), Skills!L17+1)</f>
        <v/>
      </c>
      <c r="F2519">
        <f>IF(Skills!M17=TRUE,(Skills!K17/10)*(E2519/1000),Skills!K17/10)+Skills!N17</f>
        <v/>
      </c>
      <c r="G2519">
        <f>Calc!G17</f>
        <v/>
      </c>
      <c r="H2519">
        <f>Calc!H17</f>
        <v/>
      </c>
      <c r="I2519">
        <f>IF(Skills!T17&lt;&gt;"",1+(Skills!T17/10)*(Z2505/1000)/100,1)</f>
        <v/>
      </c>
      <c r="J2519" t="inlineStr"/>
      <c r="K2519" t="inlineStr"/>
      <c r="L2519" t="inlineStr"/>
      <c r="M2519" t="inlineStr"/>
      <c r="N2519" t="inlineStr"/>
      <c r="O2519">
        <f>(1-Summary!$B$11)*S2519+Summary!$B$11*U2519</f>
        <v/>
      </c>
      <c r="P2519">
        <f>IF(B2538=0,0,O2519/B2538)</f>
        <v/>
      </c>
      <c r="Q2519">
        <f>IFERROR(1/IF(Inputs!$B$38="pvp",15,MAX(0.1,Skills!D17-IF(Skills!E17=TRUE,1.0,0))),0)</f>
        <v/>
      </c>
      <c r="R2519" t="n">
        <v>0</v>
      </c>
      <c r="S2519" t="n">
        <v>0</v>
      </c>
      <c r="U2519" t="n">
        <v>0</v>
      </c>
    </row>
    <row r="2520">
      <c r="A2520">
        <f>Skills!A18</f>
        <v/>
      </c>
      <c r="B2520">
        <f>Skills!B18</f>
        <v/>
      </c>
      <c r="C2520">
        <f>Inputs!$B$3&gt;=43</f>
        <v/>
      </c>
      <c r="D2520">
        <f>IF(Skills!C18=1,60+Inputs!$B$25+Inputs!$B$29,IF(Skills!C18=2,90+Inputs!$B$26+Inputs!$B$29,IF(Skills!C18=3,120+Inputs!$B$27+Inputs!$B$29,MAX(0,(Inputs!$B$3-100)*3)+Inputs!$B$28+Inputs!$B$29)))</f>
        <v/>
      </c>
      <c r="E2520">
        <f>INDEX(FactorTable!$B$2:$Y$301, MATCH(ROUND(MIN(300,MAX(1,D2520)),0), FactorTable!$A$2:$A$301,0), Skills!L18+1)</f>
        <v/>
      </c>
      <c r="F2520">
        <f>IF(Skills!M18=TRUE,(Skills!K18/10)*(E2520/1000),Skills!K18/10)+Skills!N18</f>
        <v/>
      </c>
      <c r="G2520">
        <f>Calc!G18</f>
        <v/>
      </c>
      <c r="H2520">
        <f>Calc!H18</f>
        <v/>
      </c>
      <c r="I2520">
        <f>IF(Skills!T18&lt;&gt;"",1+(Skills!T18/10)*(Z2505/1000)/100,1)</f>
        <v/>
      </c>
      <c r="J2520" t="inlineStr"/>
      <c r="K2520" t="inlineStr"/>
      <c r="L2520" t="inlineStr"/>
      <c r="M2520" t="inlineStr"/>
      <c r="N2520" t="inlineStr"/>
      <c r="O2520">
        <f>(1-Summary!$B$11)*S2520+Summary!$B$11*U2520</f>
        <v/>
      </c>
      <c r="P2520">
        <f>IF(B2538=0,0,O2520/B2538)</f>
        <v/>
      </c>
      <c r="Q2520">
        <f>IFERROR(1/IF(Inputs!$B$38="pvp",15,MAX(0.1,Skills!D18-IF(Skills!E18=TRUE,1.0,0))),0)</f>
        <v/>
      </c>
      <c r="R2520" t="n">
        <v>0</v>
      </c>
      <c r="S2520" t="n">
        <v>0</v>
      </c>
      <c r="U2520" t="n">
        <v>0</v>
      </c>
    </row>
    <row r="2521">
      <c r="A2521">
        <f>Skills!A19</f>
        <v/>
      </c>
      <c r="B2521">
        <f>Skills!B19</f>
        <v/>
      </c>
      <c r="C2521">
        <f>Inputs!$B$3&gt;=50</f>
        <v/>
      </c>
      <c r="D2521">
        <f>IF(Skills!C19=1,60+Inputs!$B$25+Inputs!$B$29,IF(Skills!C19=2,90+Inputs!$B$26+Inputs!$B$29,IF(Skills!C19=3,120+Inputs!$B$27+Inputs!$B$29,MAX(0,(Inputs!$B$3-100)*3)+Inputs!$B$28+Inputs!$B$29)))</f>
        <v/>
      </c>
      <c r="E2521">
        <f>INDEX(FactorTable!$B$2:$Y$301, MATCH(ROUND(MIN(300,MAX(1,D2521)),0), FactorTable!$A$2:$A$301,0), Skills!L19+1)</f>
        <v/>
      </c>
      <c r="F2521">
        <f>IF(Skills!M19=TRUE,(Skills!K19/10)*(E2521/1000),Skills!K19/10)+Skills!N19</f>
        <v/>
      </c>
      <c r="G2521">
        <f>Calc!G19</f>
        <v/>
      </c>
      <c r="H2521">
        <f>Calc!H19</f>
        <v/>
      </c>
      <c r="I2521">
        <f>IF(Skills!T19&lt;&gt;"",1+(Skills!T19/10)*(Z2505/1000)/100,1)</f>
        <v/>
      </c>
      <c r="J2521" t="inlineStr"/>
      <c r="K2521" t="inlineStr"/>
      <c r="L2521" t="inlineStr"/>
      <c r="M2521" t="inlineStr"/>
      <c r="N2521" t="inlineStr"/>
      <c r="O2521">
        <f>(1-Summary!$B$11)*S2521+Summary!$B$11*U2521</f>
        <v/>
      </c>
      <c r="P2521">
        <f>IF(B2538=0,0,O2521/B2538)</f>
        <v/>
      </c>
      <c r="Q2521">
        <f>IFERROR(1/IF(Inputs!$B$38="pvp",15,MAX(0.1,Skills!D19-IF(Skills!E19=TRUE,1.0,0))),0)</f>
        <v/>
      </c>
      <c r="R2521" t="n">
        <v>0</v>
      </c>
      <c r="S2521" t="n">
        <v>0</v>
      </c>
      <c r="U2521" t="n">
        <v>0</v>
      </c>
    </row>
    <row r="2522">
      <c r="A2522">
        <f>Skills!A20</f>
        <v/>
      </c>
      <c r="B2522">
        <f>Skills!B20</f>
        <v/>
      </c>
      <c r="C2522">
        <f>Inputs!$B$3&gt;=74</f>
        <v/>
      </c>
      <c r="D2522">
        <f>IF(Skills!C20=1,60+Inputs!$B$25+Inputs!$B$29,IF(Skills!C20=2,90+Inputs!$B$26+Inputs!$B$29,IF(Skills!C20=3,120+Inputs!$B$27+Inputs!$B$29,MAX(0,(Inputs!$B$3-100)*3)+Inputs!$B$28+Inputs!$B$29)))</f>
        <v/>
      </c>
      <c r="E2522">
        <f>INDEX(FactorTable!$B$2:$Y$301, MATCH(ROUND(MIN(300,MAX(1,D2522)),0), FactorTable!$A$2:$A$301,0), Skills!L20+1)</f>
        <v/>
      </c>
      <c r="F2522">
        <f>IF(Skills!M20=TRUE,(Skills!K20/10)*(E2522/1000),Skills!K20/10)+Skills!N20</f>
        <v/>
      </c>
      <c r="G2522">
        <f>Calc!G20</f>
        <v/>
      </c>
      <c r="H2522">
        <f>Calc!H20</f>
        <v/>
      </c>
      <c r="I2522">
        <f>IF(Skills!T20&lt;&gt;"",1+(Skills!T20/10)*(Z2505/1000)/100,1)</f>
        <v/>
      </c>
      <c r="J2522" t="inlineStr"/>
      <c r="K2522" t="inlineStr"/>
      <c r="L2522" t="inlineStr"/>
      <c r="M2522" t="inlineStr"/>
      <c r="N2522" t="inlineStr"/>
      <c r="O2522">
        <f>(1-Summary!$B$11)*S2522+Summary!$B$11*U2522</f>
        <v/>
      </c>
      <c r="P2522">
        <f>IF(B2538=0,0,O2522/B2538)</f>
        <v/>
      </c>
      <c r="Q2522">
        <f>IFERROR(1/IF(Inputs!$B$38="pvp",15,MAX(0.1,Skills!D20-IF(Skills!E20=TRUE,1.0,0))),0)</f>
        <v/>
      </c>
      <c r="R2522" t="n">
        <v>0</v>
      </c>
      <c r="S2522" t="n">
        <v>0</v>
      </c>
      <c r="U2522" t="n">
        <v>0</v>
      </c>
    </row>
    <row r="2523">
      <c r="A2523">
        <f>Skills!A21</f>
        <v/>
      </c>
      <c r="B2523">
        <f>Skills!B21</f>
        <v/>
      </c>
      <c r="C2523">
        <f>Inputs!$B$3&gt;=74</f>
        <v/>
      </c>
      <c r="D2523">
        <f>IF(Skills!C21=1,60+Inputs!$B$25+Inputs!$B$29,IF(Skills!C21=2,90+Inputs!$B$26+Inputs!$B$29,IF(Skills!C21=3,120+Inputs!$B$27+Inputs!$B$29,MAX(0,(Inputs!$B$3-100)*3)+Inputs!$B$28+Inputs!$B$29)))</f>
        <v/>
      </c>
      <c r="E2523">
        <f>INDEX(FactorTable!$B$2:$Y$301, MATCH(ROUND(MIN(300,MAX(1,D2523)),0), FactorTable!$A$2:$A$301,0), Skills!L21+1)</f>
        <v/>
      </c>
      <c r="F2523">
        <f>IF(Skills!M21=TRUE,(Skills!K21/10)*(E2523/1000),Skills!K21/10)+Skills!N21</f>
        <v/>
      </c>
      <c r="G2523">
        <f>Calc!G21</f>
        <v/>
      </c>
      <c r="H2523">
        <f>Calc!H21</f>
        <v/>
      </c>
      <c r="I2523">
        <f>IF(Skills!T21&lt;&gt;"",1+(Skills!T21/10)*(Z2505/1000)/100,1)</f>
        <v/>
      </c>
      <c r="J2523" t="inlineStr"/>
      <c r="K2523" t="inlineStr"/>
      <c r="L2523" t="inlineStr"/>
      <c r="M2523" t="inlineStr"/>
      <c r="N2523" t="inlineStr"/>
      <c r="O2523">
        <f>(1-Summary!$B$11)*S2523+Summary!$B$11*U2523</f>
        <v/>
      </c>
      <c r="P2523">
        <f>IF(B2538=0,0,O2523/B2538)</f>
        <v/>
      </c>
      <c r="Q2523">
        <f>IFERROR(1/IF(Inputs!$B$38="pvp",15,MAX(0.1,Skills!D21-IF(Skills!E21=TRUE,1.0,0))),0)</f>
        <v/>
      </c>
      <c r="R2523" t="n">
        <v>0</v>
      </c>
      <c r="S2523" t="n">
        <v>0</v>
      </c>
      <c r="U2523" t="n">
        <v>0</v>
      </c>
    </row>
    <row r="2524">
      <c r="A2524">
        <f>Skills!A22</f>
        <v/>
      </c>
      <c r="B2524">
        <f>Skills!B22</f>
        <v/>
      </c>
      <c r="C2524">
        <f>Inputs!$B$3&gt;=117</f>
        <v/>
      </c>
      <c r="D2524">
        <f>IF(Skills!C22=1,60+Inputs!$B$25+Inputs!$B$29,IF(Skills!C22=2,90+Inputs!$B$26+Inputs!$B$29,IF(Skills!C22=3,120+Inputs!$B$27+Inputs!$B$29,MAX(0,(Inputs!$B$3-100)*3)+Inputs!$B$28+Inputs!$B$29)))</f>
        <v/>
      </c>
      <c r="E2524">
        <f>INDEX(FactorTable!$B$2:$Y$301, MATCH(ROUND(MIN(300,MAX(1,D2524)),0), FactorTable!$A$2:$A$301,0), Skills!L22+1)</f>
        <v/>
      </c>
      <c r="F2524">
        <f>IF(Skills!M22=TRUE,(Skills!K22/10)*(E2524/1000),Skills!K22/10)+Skills!N22</f>
        <v/>
      </c>
      <c r="G2524">
        <f>Calc!G22</f>
        <v/>
      </c>
      <c r="H2524">
        <f>Calc!H22</f>
        <v/>
      </c>
      <c r="I2524">
        <f>IF(Skills!T22&lt;&gt;"",1+(Skills!T22/10)*(Z2505/1000)/100,1)</f>
        <v/>
      </c>
      <c r="J2524" t="inlineStr"/>
      <c r="K2524" t="inlineStr"/>
      <c r="L2524" t="inlineStr"/>
      <c r="M2524" t="inlineStr"/>
      <c r="N2524" t="inlineStr"/>
      <c r="O2524">
        <f>(1-Summary!$B$11)*S2524+Summary!$B$11*U2524</f>
        <v/>
      </c>
      <c r="P2524">
        <f>IF(B2538=0,0,O2524/B2538)</f>
        <v/>
      </c>
      <c r="Q2524">
        <f>IFERROR(1/IF(Inputs!$B$38="pvp",15,MAX(0.1,Skills!D22-IF(Skills!E22=TRUE,1.0,0))),0)</f>
        <v/>
      </c>
      <c r="R2524" t="n">
        <v>0</v>
      </c>
      <c r="S2524" t="n">
        <v>0</v>
      </c>
      <c r="U2524" t="n">
        <v>0</v>
      </c>
    </row>
    <row r="2525">
      <c r="A2525">
        <f>Skills!A23</f>
        <v/>
      </c>
      <c r="B2525">
        <f>Skills!B23</f>
        <v/>
      </c>
      <c r="C2525">
        <f>Inputs!$B$3&gt;=120</f>
        <v/>
      </c>
      <c r="D2525">
        <f>IF(Skills!C23=1,60+Inputs!$B$25+Inputs!$B$29,IF(Skills!C23=2,90+Inputs!$B$26+Inputs!$B$29,IF(Skills!C23=3,120+Inputs!$B$27+Inputs!$B$29,MAX(0,(Inputs!$B$3-100)*3)+Inputs!$B$28+Inputs!$B$29)))</f>
        <v/>
      </c>
      <c r="E2525">
        <f>INDEX(FactorTable!$B$2:$Y$301, MATCH(ROUND(MIN(300,MAX(1,D2525)),0), FactorTable!$A$2:$A$301,0), Skills!L23+1)</f>
        <v/>
      </c>
      <c r="F2525">
        <f>IF(Skills!M23=TRUE,(Skills!K23/10)*(E2525/1000),Skills!K23/10)+Skills!N23</f>
        <v/>
      </c>
      <c r="G2525">
        <f>Calc!G23</f>
        <v/>
      </c>
      <c r="H2525">
        <f>Calc!H23</f>
        <v/>
      </c>
      <c r="I2525">
        <f>IF(Skills!T23&lt;&gt;"",1+(Skills!T23/10)*(Z2505/1000)/100,1)</f>
        <v/>
      </c>
      <c r="J2525" t="inlineStr"/>
      <c r="K2525" t="inlineStr"/>
      <c r="L2525" t="inlineStr"/>
      <c r="M2525" t="inlineStr"/>
      <c r="N2525" t="inlineStr"/>
      <c r="O2525">
        <f>(1-Summary!$B$11)*S2525+Summary!$B$11*U2525</f>
        <v/>
      </c>
      <c r="P2525">
        <f>IF(B2538=0,0,O2525/B2538)</f>
        <v/>
      </c>
      <c r="Q2525">
        <f>IFERROR(1/IF(Inputs!$B$38="pvp",15,MAX(0.1,Skills!D23-IF(Skills!E23=TRUE,1.0,0))),0)</f>
        <v/>
      </c>
      <c r="R2525" t="n">
        <v>0</v>
      </c>
      <c r="S2525" t="n">
        <v>0</v>
      </c>
      <c r="U2525" t="n">
        <v>0</v>
      </c>
    </row>
    <row r="2528">
      <c r="A2528" t="inlineStr">
        <is>
          <t>Average Buff Multiplier (Magic Guard + Meditation + Artifact Attack%, summed; then Infinity)</t>
        </is>
      </c>
      <c r="B2528">
        <f>(1+(IF(C2505=TRUE,F2505*IF(AND(Inputs!$B$38&lt;&gt;"pvp",Inputs!$B$43&gt;0),(((R2505-1)*(Skills!S3*(1+(Inputs!$B$34+IF(Inputs!$B$3&gt;=117,F2524,0))/100))+MIN((Skills!S3*(1+(Inputs!$B$34+IF(Inputs!$B$3&gt;=117,F2524,0))/100)),MAX(0,Inputs!$B$43-((R2505-1)*Skills!D3))))/Inputs!$B$43),IF(Inputs!$B$38="pvp",MIN((Skills!S3*(1+(Inputs!$B$34+IF(Inputs!$B$3&gt;=117,F2524,0))/100)),15)/15,(Skills!S3*(1+(Inputs!$B$34+IF(Inputs!$B$3&gt;=117,F2524,0))/100))/Skills!D3)),0)+IF(C2506=TRUE,F2506*IF(AND(Inputs!$B$38&lt;&gt;"pvp",Inputs!$B$43&gt;0),(((R2506-1)*(Skills!S4*(1+(Inputs!$B$34+IF(Inputs!$B$3&gt;=117,F2524,0))/100))+MIN((Skills!S4*(1+(Inputs!$B$34+IF(Inputs!$B$3&gt;=117,F2524,0))/100)),MAX(0,Inputs!$B$43-((R2506-1)*Skills!D4))))/Inputs!$B$43),IF(Inputs!$B$38="pvp",MIN((Skills!S4*(1+(Inputs!$B$34+IF(Inputs!$B$3&gt;=117,F2524,0))/100)),15)/15,(Skills!S4*(1+(Inputs!$B$34+IF(Inputs!$B$3&gt;=117,F2524,0)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2518=TRUE,(1+F2518*IF(AND(Inputs!$B$38&lt;&gt;"pvp",Inputs!$B$43&gt;0),(((R2518-1)*(Skills!S16*(1+(Inputs!$B$34+IF(Inputs!$B$3&gt;=117,F2524,0))/100))+MIN((Skills!S16*(1+(Inputs!$B$34+IF(Inputs!$B$3&gt;=117,F2524,0))/100)),MAX(0,Inputs!$B$43-((R2518-1)*Skills!D16))))/Inputs!$B$43),IF(Inputs!$B$38="pvp",MIN((Skills!S16*(1+(Inputs!$B$34+IF(Inputs!$B$3&gt;=117,F2524,0))/100)),15)/15,(Skills!S16*(1+(Inputs!$B$34+IF(Inputs!$B$3&gt;=117,F2524,0))/100))/Skills!D16))/100),1)</f>
        <v/>
      </c>
    </row>
    <row r="2529">
      <c r="A2529" t="inlineStr">
        <is>
          <t>Monster Damage Taken Bonus % (Freezing Breath - Weaken + Elemental Reset + Artifact Enemy Damage Taken, summed)</t>
        </is>
      </c>
      <c r="B2529">
        <f>IF(Inputs!$B$3&gt;=118,15*IF(Inputs!$B$38="pvp",MIN((30*(1+(Inputs!$B$34+IF(Inputs!$B$3&gt;=117,F2524,0))/100)),15)/15,(30*(1+(Inputs!$B$34+IF(Inputs!$B$3&gt;=117,F2524,0))/100))/Skills!D8),0)+IF(C2516=TRUE,F2516,0)+(IF(AND(ArtifactsInput!$M$35,Inputs!$B$4&lt;&gt;"Chapter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f>
        <v/>
      </c>
    </row>
    <row r="2530">
      <c r="A2530" t="inlineStr">
        <is>
          <t>Damage % Bonus (Frozen Break + Frost Clutch, flat)</t>
        </is>
      </c>
      <c r="B2530">
        <f>IF(Inputs!$B$3&gt;=66,15,0)+IF(Inputs!$B$3&gt;=98,10,0)+IF(Inputs!$B$3&gt;=125,20,0)</f>
        <v/>
      </c>
    </row>
    <row r="2531">
      <c r="A2531" t="inlineStr">
        <is>
          <t>Attack Speed Bonus % (MP Eater - MP Boost, always-on once unlocked)</t>
        </is>
      </c>
      <c r="B2531">
        <f>IF(C2515=TRUE,F2515+(F2519-Calc!F17),0)</f>
        <v/>
      </c>
    </row>
    <row r="2532">
      <c r="A2532" t="inlineStr">
        <is>
          <t>Actions Per Second</t>
        </is>
      </c>
      <c r="B2532">
        <f>1+MIN(150,150*(1-(1-(Inputs!$B$11+(ArtifactsInput!$M$15-ArtifactsInput!$M$15)*CHOOSE(ArtifactsInput!$N$15+1,8,9.6,11.2,12.8,14.4,16))/150)*(1-B2531/150)))/100</f>
        <v/>
      </c>
    </row>
    <row r="2533">
      <c r="A2533" t="inlineStr">
        <is>
          <t>Skill + Buff Cast Rate</t>
        </is>
      </c>
      <c r="B2533">
        <f>IF(AND(Inputs!$B$38&lt;&gt;"pvp",Inputs!$B$43&gt;0),SUMPRODUCT((Skills!E2:E23=TRUE)*(C2504:C2525=TRUE)*R2504:R2525)/Inputs!$B$43,SUMPRODUCT((Skills!E2:E23=TRUE)*(C2504:C2525=TRUE)*Q2504:Q2525))</f>
        <v/>
      </c>
    </row>
    <row r="2534">
      <c r="A2534" t="inlineStr">
        <is>
          <t>Chain Lightning Casts Per Second</t>
        </is>
      </c>
      <c r="B2534">
        <f>MAX(0,B2532-B2533)</f>
        <v/>
      </c>
    </row>
    <row r="2535">
      <c r="A2535" t="inlineStr">
        <is>
          <t>Buff-Casting Startup Delay (s, fixed-duration only)</t>
        </is>
      </c>
      <c r="B2535">
        <f>IF(AND(Inputs!$B$38&lt;&gt;"pvp",Inputs!$B$43&gt;0),SUMPRODUCT((Skills!S2:S23&gt;0)*(Skills!E2:E23=TRUE)*(C2504:C2525=TRUE))/B2532,0)</f>
        <v/>
      </c>
    </row>
    <row r="2536">
      <c r="A2536" t="inlineStr">
        <is>
          <t>Boss-Only Total DPS (this block's swept value)</t>
        </is>
      </c>
      <c r="B2536">
        <f>SUM(S2504:S2525)</f>
        <v/>
      </c>
    </row>
    <row r="2537">
      <c r="A2537" t="inlineStr">
        <is>
          <t>Normal-Only Total DPS (this block's swept value)</t>
        </is>
      </c>
      <c r="B2537">
        <f>SUM(U2504:U2525)</f>
        <v/>
      </c>
    </row>
    <row r="2538">
      <c r="A2538" s="6" t="inlineStr">
        <is>
          <t>TOTAL DPS</t>
        </is>
      </c>
      <c r="B2538" s="6">
        <f>SUM(O2504:O2525)</f>
        <v/>
      </c>
    </row>
    <row r="2541">
      <c r="A2541" s="6" t="inlineStr">
        <is>
          <t>Stat: CDR = 1.5s</t>
        </is>
      </c>
    </row>
    <row r="2542">
      <c r="A2542" s="5" t="inlineStr">
        <is>
          <t>Key</t>
        </is>
      </c>
      <c r="B2542" s="5" t="inlineStr">
        <is>
          <t>Name</t>
        </is>
      </c>
      <c r="C2542" s="5" t="inlineStr">
        <is>
          <t>Unlocked</t>
        </is>
      </c>
      <c r="D2542" s="5" t="inlineStr">
        <is>
          <t>InputLevel</t>
        </is>
      </c>
      <c r="E2542" s="5" t="inlineStr">
        <is>
          <t>Factor</t>
        </is>
      </c>
      <c r="F2542" s="5" t="inlineStr">
        <is>
          <t>CoefficientPercent</t>
        </is>
      </c>
      <c r="G2542" s="5" t="inlineStr">
        <is>
          <t>EffectiveHits</t>
        </is>
      </c>
      <c r="H2542" s="5" t="inlineStr">
        <is>
          <t>ProcProbability</t>
        </is>
      </c>
      <c r="I2542" s="5" t="inlineStr">
        <is>
          <t>MapleHeroMultiplier</t>
        </is>
      </c>
      <c r="J2542" s="5" t="inlineStr">
        <is>
          <t>BaseDamage</t>
        </is>
      </c>
      <c r="K2542" s="5" t="inlineStr">
        <is>
          <t>BaseHitDamage</t>
        </is>
      </c>
      <c r="L2542" s="5" t="inlineStr">
        <is>
          <t>NonCritAvg</t>
        </is>
      </c>
      <c r="M2542" s="5" t="inlineStr">
        <is>
          <t>CritAvg</t>
        </is>
      </c>
      <c r="N2542" s="5" t="inlineStr">
        <is>
          <t>ExpectedDamage(perHit)</t>
        </is>
      </c>
      <c r="O2542" s="5" t="inlineStr">
        <is>
          <t>DPS</t>
        </is>
      </c>
      <c r="P2542" s="5" t="inlineStr">
        <is>
          <t>% of Total</t>
        </is>
      </c>
      <c r="R2542" t="inlineStr">
        <is>
          <t>helpers</t>
        </is>
      </c>
    </row>
    <row r="2543">
      <c r="A2543">
        <f>Skills!A2</f>
        <v/>
      </c>
      <c r="B2543">
        <f>Skills!B2</f>
        <v/>
      </c>
      <c r="C2543">
        <f>Inputs!$B$3&gt;=100</f>
        <v/>
      </c>
      <c r="D2543" t="inlineStr"/>
      <c r="E2543" t="inlineStr"/>
      <c r="F2543">
        <f>T2545+Skills!N2</f>
        <v/>
      </c>
      <c r="G2543">
        <f>Calc!G2</f>
        <v/>
      </c>
      <c r="H2543">
        <f>Calc!H2</f>
        <v/>
      </c>
      <c r="I2543">
        <f>IF(Skills!T2&lt;&gt;"",1+(Skills!T2/10)*(Z2544/1000)/100,1)</f>
        <v/>
      </c>
      <c r="J2543">
        <f>((Inputs!$B$6*(1+Inputs!$B$7/100))+(((Inputs!$B$12*(1+Inputs!$B$13/100))-(Inputs!$B$12*(1+Inputs!$B$13/100)))+0.25*(Inputs!$B$14-Inputs!$B$14))*(1+Inputs!$B$7/100))*(F2543/100)</f>
        <v/>
      </c>
      <c r="K2543">
        <f>J2543*(1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2559-Calc!F18),(Inputs!$B$23+(IF(ArtifactsInput!$M$15,CHOOSE(ArtifactsInput!$N$15+1,25,30,35,40,45,50)/100*(Inputs!$B$11-Inputs!$B$11),0))))/100+(Inputs!$B$23+(IF(ArtifactsInput!$M$15,CHOOSE(ArtifactsInput!$N$15+1,25,30,35,40,45,50)/100*(Inputs!$B$11-Inputs!$B$11),0)))/100)/2</f>
        <v/>
      </c>
      <c r="M2543">
        <f>L2543*(1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IF(B2577=0,0,O2543/B2577)</f>
        <v/>
      </c>
      <c r="Q2543">
        <f>IFERROR(1/IF(Inputs!$B$38="pvp",15,MAX(0.1,Skills!D2-IF(Skills!E2=TRUE,1.5,0))),0)</f>
        <v/>
      </c>
      <c r="R2543" t="n">
        <v>0</v>
      </c>
      <c r="S2543">
        <f>IF(C2543,(Skills!F2*N2543*B2573)*IF(Inputs!$B$38="pvp",1,1+(Inputs!$B$20+Skills!O2+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43">
        <f>MAX(0,(Inputs!$B$3-100)*3)+Inputs!$B$28+Inputs!$B$29</f>
        <v/>
      </c>
      <c r="U2543">
        <f>IF(C2543,(Skills!F2*N2543*B2573)*IF(Inputs!$B$38="pvp",1,(1+(Inputs!$B$21+Skills!P2+B2568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43">
        <f>MAX(0,(Inputs!$B$3-100)*3)+Inputs!$B$28+Inputs!$B$29</f>
        <v/>
      </c>
    </row>
    <row r="2544">
      <c r="A2544">
        <f>Skills!A3</f>
        <v/>
      </c>
      <c r="B2544">
        <f>Skills!B3</f>
        <v/>
      </c>
      <c r="C2544">
        <f>Inputs!$B$3&gt;=15</f>
        <v/>
      </c>
      <c r="D2544">
        <f>IF(Skills!C3=1,60+Inputs!$B$25+Inputs!$B$29,IF(Skills!C3=2,90+Inputs!$B$26+Inputs!$B$29,IF(Skills!C3=3,120+Inputs!$B$27+Inputs!$B$29,MAX(0,(Inputs!$B$3-100)*3)+Inputs!$B$28+Inputs!$B$29)))</f>
        <v/>
      </c>
      <c r="E2544">
        <f>INDEX(FactorTable!$B$2:$Y$301, MATCH(ROUND(MIN(300,MAX(1,D2544)),0), FactorTable!$A$2:$A$301,0), Skills!L3+1)</f>
        <v/>
      </c>
      <c r="F2544">
        <f>IF(Skills!M3=TRUE,(Skills!K3/10)*(E2544/1000),Skills!K3/10)+Skills!N3</f>
        <v/>
      </c>
      <c r="G2544">
        <f>Calc!G3</f>
        <v/>
      </c>
      <c r="H2544">
        <f>Calc!H3</f>
        <v/>
      </c>
      <c r="I2544">
        <f>IF(Skills!T3&lt;&gt;"",1+(Skills!T3/10)*(Z2544/1000)/100,1)</f>
        <v/>
      </c>
      <c r="J2544" t="inlineStr"/>
      <c r="K2544" t="inlineStr"/>
      <c r="L2544" t="inlineStr"/>
      <c r="M2544" t="inlineStr"/>
      <c r="N2544" t="inlineStr"/>
      <c r="O2544">
        <f>(1-Summary!$B$11)*S2544+Summary!$B$11*U2544</f>
        <v/>
      </c>
      <c r="P2544">
        <f>IF(B2577=0,0,O2544/B2577)</f>
        <v/>
      </c>
      <c r="Q2544">
        <f>IFERROR(1/IF(Inputs!$B$38="pvp",15,MAX(0.1,Skills!D3-IF(Skills!E3=TRUE,1.5,0))),0)</f>
        <v/>
      </c>
      <c r="R2544">
        <f>IF(AND(Inputs!$B$38&lt;&gt;"pvp",Inputs!$B$43&gt;0),IF(Inputs!$B$43&lt;=0,0,(INT(Inputs!$B$43/IF(Inputs!$B$38="pvp",15,MAX(0.1,Skills!D3-IF(Skills!E3=TRUE,1.5,0))))+1)),0)</f>
        <v/>
      </c>
      <c r="S2544" t="n">
        <v>0</v>
      </c>
      <c r="T2544">
        <f>INDEX(FactorTable!$B$2:$Y$301, MATCH(ROUND(MIN(300,MAX(1,T2543)),0), FactorTable!$A$2:$A$301,0), 22)</f>
        <v/>
      </c>
      <c r="U2544" t="n">
        <v>0</v>
      </c>
      <c r="Z2544">
        <f>INDEX(FactorTable!$B$2:$Y$301, MATCH(ROUND(MIN(300,MAX(1,Z2543)),0), FactorTable!$A$2:$A$301,0), 24)</f>
        <v/>
      </c>
    </row>
    <row r="2545">
      <c r="A2545">
        <f>Skills!A4</f>
        <v/>
      </c>
      <c r="B2545">
        <f>Skills!B4</f>
        <v/>
      </c>
      <c r="C2545">
        <f>Inputs!$B$3&gt;=40</f>
        <v/>
      </c>
      <c r="D2545">
        <f>IF(Skills!C4=1,60+Inputs!$B$25+Inputs!$B$29,IF(Skills!C4=2,90+Inputs!$B$26+Inputs!$B$29,IF(Skills!C4=3,120+Inputs!$B$27+Inputs!$B$29,MAX(0,(Inputs!$B$3-100)*3)+Inputs!$B$28+Inputs!$B$29)))</f>
        <v/>
      </c>
      <c r="E2545">
        <f>INDEX(FactorTable!$B$2:$Y$301, MATCH(ROUND(MIN(300,MAX(1,D2545)),0), FactorTable!$A$2:$A$301,0), Skills!L4+1)</f>
        <v/>
      </c>
      <c r="F2545">
        <f>IF(Skills!M4=TRUE,(Skills!K4/10)*(E2545/1000),Skills!K4/10)+Skills!N4</f>
        <v/>
      </c>
      <c r="G2545">
        <f>Calc!G4</f>
        <v/>
      </c>
      <c r="H2545">
        <f>Calc!H4</f>
        <v/>
      </c>
      <c r="I2545">
        <f>IF(Skills!T4&lt;&gt;"",1+(Skills!T4/10)*(Z2544/1000)/100,1)</f>
        <v/>
      </c>
      <c r="J2545" t="inlineStr"/>
      <c r="K2545" t="inlineStr"/>
      <c r="L2545" t="inlineStr"/>
      <c r="M2545" t="inlineStr"/>
      <c r="N2545" t="inlineStr"/>
      <c r="O2545">
        <f>(1-Summary!$B$11)*S2545+Summary!$B$11*U2545</f>
        <v/>
      </c>
      <c r="P2545">
        <f>IF(B2577=0,0,O2545/B2577)</f>
        <v/>
      </c>
      <c r="Q2545">
        <f>IFERROR(1/IF(Inputs!$B$38="pvp",15,MAX(0.1,Skills!D4-IF(Skills!E4=TRUE,1.5,0))),0)</f>
        <v/>
      </c>
      <c r="R2545">
        <f>IF(AND(Inputs!$B$38&lt;&gt;"pvp",Inputs!$B$43&gt;0),IF(Inputs!$B$43&lt;=0,0,(INT(Inputs!$B$43/IF(Inputs!$B$38="pvp",15,MAX(0.1,Skills!D4-IF(Skills!E4=TRUE,1.5,0))))+1)),0)</f>
        <v/>
      </c>
      <c r="S2545" t="n">
        <v>0</v>
      </c>
      <c r="T2545">
        <f>290*T2544/1000</f>
        <v/>
      </c>
      <c r="U2545" t="n">
        <v>0</v>
      </c>
    </row>
    <row r="2546">
      <c r="A2546">
        <f>Skills!A5</f>
        <v/>
      </c>
      <c r="B2546">
        <f>Skills!B5</f>
        <v/>
      </c>
      <c r="C2546">
        <f>Inputs!$B$3&gt;=38</f>
        <v/>
      </c>
      <c r="D2546">
        <f>IF(Skills!C5=1,60+Inputs!$B$25+Inputs!$B$29,IF(Skills!C5=2,90+Inputs!$B$26+Inputs!$B$29,IF(Skills!C5=3,120+Inputs!$B$27+Inputs!$B$29,MAX(0,(Inputs!$B$3-100)*3)+Inputs!$B$28+Inputs!$B$29)))</f>
        <v/>
      </c>
      <c r="E2546">
        <f>INDEX(FactorTable!$B$2:$Y$301, MATCH(ROUND(MIN(300,MAX(1,D2546)),0), FactorTable!$A$2:$A$301,0), Skills!L5+1)</f>
        <v/>
      </c>
      <c r="F2546">
        <f>IF(Skills!M5=TRUE,(Skills!K5/10)*(E2546/1000),Skills!K5/10)+Skills!N5</f>
        <v/>
      </c>
      <c r="G2546">
        <f>Calc!G5</f>
        <v/>
      </c>
      <c r="H2546">
        <f>Calc!H5</f>
        <v/>
      </c>
      <c r="I2546">
        <f>IF(Skills!T5&lt;&gt;"",1+(Skills!T5/10)*(Z2544/1000)/100,1)</f>
        <v/>
      </c>
      <c r="J2546">
        <f>((Inputs!$B$6*(1+Inputs!$B$7/100))+(((Inputs!$B$12*(1+Inputs!$B$13/100))-(Inputs!$B$12*(1+Inputs!$B$13/100)))+0.25*(Inputs!$B$14-Inputs!$B$14))*(1+Inputs!$B$7/100))*(F2546/100)</f>
        <v/>
      </c>
      <c r="K2546">
        <f>J2546*(1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F2559-Calc!F18),(Inputs!$B$23+(IF(ArtifactsInput!$M$15,CHOOSE(ArtifactsInput!$N$15+1,25,30,35,40,45,50)/100*(Inputs!$B$11-Inputs!$B$11),0))))/100+(Inputs!$B$23+(IF(ArtifactsInput!$M$15,CHOOSE(ArtifactsInput!$N$15+1,25,30,35,40,45,50)/100*(Inputs!$B$11-Inputs!$B$11),0)))/100)/2</f>
        <v/>
      </c>
      <c r="M2546">
        <f>L2546*(1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(1-Summary!$B$11)*S2546+Summary!$B$11*U2546</f>
        <v/>
      </c>
      <c r="P2546">
        <f>IF(B2577=0,0,O2546/B2577)</f>
        <v/>
      </c>
      <c r="Q2546">
        <f>IFERROR(1/IF(Inputs!$B$38="pvp",15,MAX(0.1,Skills!D5-IF(Skills!E5=TRUE,1.5,0))),0)</f>
        <v/>
      </c>
      <c r="R2546">
        <f>IF(AND(Inputs!$B$38&lt;&gt;"pvp",Inputs!$B$43&gt;0),IF(MAX(0,Inputs!$B$43-B2574)&lt;=0,0,(INT(MAX(0,Inputs!$B$43-B2574)/IF(Inputs!$B$38="pvp",15,MAX(0.1,Skills!D5-IF(Skills!E5=TRUE,1.5,0))))+1)),0)</f>
        <v/>
      </c>
      <c r="S2546">
        <f>IF(C2546,(H2546*N2546*IF(AND(Inputs!$B$38&lt;&gt;"pvp",Inputs!$B$43&gt;0),((Skills!F5*((R2546-1)*IF(Skills!G5&gt;0,Skills!H5/Skills!G5,1)+IF(Skills!G5&gt;0,MIN(Skills!H5,MAX(0,MAX(0,Inputs!$B$43-B2574)-((R2546-1)*IF(Inputs!$B$38="pvp",15,MAX(0.1,Skills!D5-IF(Skills!E5=TRUE,1.5,0))))))/Skills!G5,1)))/Inputs!$B$43),G2546*Q2546))*IF(Inputs!$B$38="pvp",1,1+(Inputs!$B$20+Skills!O5+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2546*(1-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6">
        <f>IF(C2546,(H2546*N2546*IF(AND(Inputs!$B$38&lt;&gt;"pvp",Inputs!$B$43&gt;0),((Skills!F5*((R2546-1)*IF(Skills!G5&gt;0,Skills!H5/Skills!G5,1)+IF(Skills!G5&gt;0,MIN(Skills!H5,MAX(0,MAX(0,Inputs!$B$43-B2574)-((R2546-1)*IF(Inputs!$B$38="pvp",15,MAX(0.1,Skills!D5-IF(Skills!E5=TRUE,1.5,0))))))/Skills!G5,1)))/Inputs!$B$43),G2546*Q2546))*IF(Inputs!$B$38="pvp",1,(1+(Inputs!$B$21+Skills!P5+B2568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Skills!A6</f>
        <v/>
      </c>
      <c r="B2547">
        <f>Skills!B6</f>
        <v/>
      </c>
      <c r="C2547">
        <f>Inputs!$B$3&gt;=63</f>
        <v/>
      </c>
      <c r="D2547">
        <f>IF(Skills!C6=1,60+Inputs!$B$25+Inputs!$B$29,IF(Skills!C6=2,90+Inputs!$B$26+Inputs!$B$29,IF(Skills!C6=3,120+Inputs!$B$27+Inputs!$B$29,MAX(0,(Inputs!$B$3-100)*3)+Inputs!$B$28+Inputs!$B$29)))</f>
        <v/>
      </c>
      <c r="E2547">
        <f>INDEX(FactorTable!$B$2:$Y$301, MATCH(ROUND(MIN(300,MAX(1,D2547)),0), FactorTable!$A$2:$A$301,0), Skills!L6+1)</f>
        <v/>
      </c>
      <c r="F2547">
        <f>IF(Skills!M6=TRUE,(Skills!K6/10)*(E2547/1000),Skills!K6/10)+Skills!N6</f>
        <v/>
      </c>
      <c r="G2547">
        <f>Calc!G6</f>
        <v/>
      </c>
      <c r="H2547">
        <f>Calc!H6</f>
        <v/>
      </c>
      <c r="I2547">
        <f>IF(Skills!T6&lt;&gt;"",1+(Skills!T6/10)*(Z2544/1000)/100,1)</f>
        <v/>
      </c>
      <c r="J2547">
        <f>((Inputs!$B$6*(1+Inputs!$B$7/100))+(((Inputs!$B$12*(1+Inputs!$B$13/100))-(Inputs!$B$12*(1+Inputs!$B$13/100)))+0.25*(Inputs!$B$14-Inputs!$B$14))*(1+Inputs!$B$7/100))*(F2547/100)</f>
        <v/>
      </c>
      <c r="K2547">
        <f>J2547*(1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2559-Calc!F18),(Inputs!$B$23+(IF(ArtifactsInput!$M$15,CHOOSE(ArtifactsInput!$N$15+1,25,30,35,40,45,50)/100*(Inputs!$B$11-Inputs!$B$11),0))))/100+(Inputs!$B$23+(IF(ArtifactsInput!$M$15,CHOOSE(ArtifactsInput!$N$15+1,25,30,35,40,45,50)/100*(Inputs!$B$11-Inputs!$B$11),0)))/100)/2</f>
        <v/>
      </c>
      <c r="M2547">
        <f>L2547*(1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IF(B2577=0,0,O2547/B2577)</f>
        <v/>
      </c>
      <c r="Q2547">
        <f>IFERROR(1/IF(Inputs!$B$38="pvp",15,MAX(0.1,Skills!D6-IF(Skills!E6=TRUE,1.5,0))),0)</f>
        <v/>
      </c>
      <c r="R2547">
        <f>IF(AND(Inputs!$B$38&lt;&gt;"pvp",Inputs!$B$43&gt;0),IF(MAX(0,Inputs!$B$43-B2574)&lt;=0,0,(INT(MAX(0,Inputs!$B$43-B2574)/IF(Inputs!$B$38="pvp",15,MAX(0.1,Skills!D6-IF(Skills!E6=TRUE,1.5,0))))+1)),0)</f>
        <v/>
      </c>
      <c r="S2547">
        <f>IF(C2547,(H2547*N2547*IF(AND(Inputs!$B$38&lt;&gt;"pvp",Inputs!$B$43&gt;0),((Skills!F6*((R2547-1)*IF(Skills!G6&gt;0,Skills!H6/Skills!G6,1)+IF(Skills!G6&gt;0,MIN(Skills!H6,MAX(0,MAX(0,Inputs!$B$43-B2574)-((R2547-1)*IF(Inputs!$B$38="pvp",15,MAX(0.1,Skills!D6-IF(Skills!E6=TRUE,1.5,0))))))/Skills!G6,1)))/Inputs!$B$43),G2547*Q2547))*IF(Inputs!$B$38="pvp",1,1+(Inputs!$B$20+Skills!O6+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F6*((R2547-1)*IF(Skills!G6&gt;0,Skills!H6/Skills!G6,1)+IF(Skills!G6&gt;0,MIN(Skills!H6,MAX(0,MAX(0,Inputs!$B$43-B2574)-((R2547-1)*IF(Inputs!$B$38="pvp",15,MAX(0.1,Skills!D6-IF(Skills!E6=TRUE,1.5,0))))))/Skills!G6,1)))/Inputs!$B$43),G2547*Q2547))*IF(Inputs!$B$38="pvp",1,(1+(Inputs!$B$21+Skills!P6+B2568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Skills!A7</f>
        <v/>
      </c>
      <c r="B2548">
        <f>Skills!B7</f>
        <v/>
      </c>
      <c r="C2548">
        <f>Inputs!$B$3&gt;=69</f>
        <v/>
      </c>
      <c r="D2548">
        <f>IF(Skills!C7=1,60+Inputs!$B$25+Inputs!$B$29,IF(Skills!C7=2,90+Inputs!$B$26+Inputs!$B$29,IF(Skills!C7=3,120+Inputs!$B$27+Inputs!$B$29,MAX(0,(Inputs!$B$3-100)*3)+Inputs!$B$28+Inputs!$B$29)))</f>
        <v/>
      </c>
      <c r="E2548">
        <f>INDEX(FactorTable!$B$2:$Y$301, MATCH(ROUND(MIN(300,MAX(1,D2548)),0), FactorTable!$A$2:$A$301,0), Skills!L7+1)</f>
        <v/>
      </c>
      <c r="F2548">
        <f>IF(Skills!M7=TRUE,(Skills!K7/10)*(E2548/1000),Skills!K7/10)+Skills!N7</f>
        <v/>
      </c>
      <c r="G2548">
        <f>Calc!G7</f>
        <v/>
      </c>
      <c r="H2548">
        <f>Calc!H7</f>
        <v/>
      </c>
      <c r="I2548">
        <f>IF(Skills!T7&lt;&gt;"",1+(Skills!T7/10)*(Z2544/1000)/100,1)</f>
        <v/>
      </c>
      <c r="J2548">
        <f>((Inputs!$B$6*(1+Inputs!$B$7/100))+(((Inputs!$B$12*(1+Inputs!$B$13/100))-(Inputs!$B$12*(1+Inputs!$B$13/100)))+0.25*(Inputs!$B$14-Inputs!$B$14))*(1+Inputs!$B$7/100))*(F2548/100)</f>
        <v/>
      </c>
      <c r="K2548">
        <f>J2548*(1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2559-Calc!F18),(Inputs!$B$23+(IF(ArtifactsInput!$M$15,CHOOSE(ArtifactsInput!$N$15+1,25,30,35,40,45,50)/100*(Inputs!$B$11-Inputs!$B$11),0))))/100+(Inputs!$B$23+(IF(ArtifactsInput!$M$15,CHOOSE(ArtifactsInput!$N$15+1,25,30,35,40,45,50)/100*(Inputs!$B$11-Inputs!$B$11),0)))/100)/2</f>
        <v/>
      </c>
      <c r="M2548">
        <f>L2548*(1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IF(B2577=0,0,O2548/B2577)</f>
        <v/>
      </c>
      <c r="Q2548">
        <f>IFERROR(1/IF(Inputs!$B$38="pvp",15,MAX(0.1,Skills!D7-IF(Skills!E7=TRUE,1.5,0))),0)</f>
        <v/>
      </c>
      <c r="R2548">
        <f>IF(AND(Inputs!$B$38&lt;&gt;"pvp",Inputs!$B$43&gt;0),IF(MAX(0,Inputs!$B$43-B2574)&lt;=0,0,(INT(MAX(0,Inputs!$B$43-B2574)/IF(Inputs!$B$38="pvp",15,MAX(0.1,Skills!D7-IF(Skills!E7=TRUE,1.5,0))))+1)),0)</f>
        <v/>
      </c>
      <c r="S2548">
        <f>IF(C2548,(H2548*N2548*IF(AND(Inputs!$B$38&lt;&gt;"pvp",Inputs!$B$43&gt;0),((Skills!F7*((R2548-1)*IF(Skills!G7&gt;0,Skills!H7/Skills!G7,1)+IF(Skills!G7&gt;0,MIN(Skills!H7,MAX(0,MAX(0,Inputs!$B$43-B2574)-((R2548-1)*IF(Inputs!$B$38="pvp",15,MAX(0.1,Skills!D7-IF(Skills!E7=TRUE,1.5,0))))))/Skills!G7,1)))/Inputs!$B$43),G2548*Q2548))*IF(Inputs!$B$38="pvp",1,1+(Inputs!$B$20+Skills!O7+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N2548*IF(AND(Inputs!$B$38&lt;&gt;"pvp",Inputs!$B$43&gt;0),((Skills!F7*((R2548-1)*IF(Skills!G7&gt;0,Skills!H7/Skills!G7,1)+IF(Skills!G7&gt;0,MIN(Skills!H7,MAX(0,MAX(0,Inputs!$B$43-B2574)-((R2548-1)*IF(Inputs!$B$38="pvp",15,MAX(0.1,Skills!D7-IF(Skills!E7=TRUE,1.5,0))))))/Skills!G7,1)))/Inputs!$B$43),G2548*Q2548))*IF(Inputs!$B$38="pvp",1,(1+(Inputs!$B$21+Skills!P7+B2568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Skills!A8</f>
        <v/>
      </c>
      <c r="B2549">
        <f>Skills!B8</f>
        <v/>
      </c>
      <c r="C2549">
        <f>Inputs!$B$3&gt;=103</f>
        <v/>
      </c>
      <c r="D2549">
        <f>IF(Skills!C8=1,60+Inputs!$B$25+Inputs!$B$29,IF(Skills!C8=2,90+Inputs!$B$26+Inputs!$B$29,IF(Skills!C8=3,120+Inputs!$B$27+Inputs!$B$29,MAX(0,(Inputs!$B$3-100)*3)+Inputs!$B$28+Inputs!$B$29)))</f>
        <v/>
      </c>
      <c r="E2549">
        <f>INDEX(FactorTable!$B$2:$Y$301, MATCH(ROUND(MIN(300,MAX(1,D2549)),0), FactorTable!$A$2:$A$301,0), Skills!L8+1)</f>
        <v/>
      </c>
      <c r="F2549">
        <f>IF(Skills!M8=TRUE,(Skills!K8/10)*(E2549/1000),Skills!K8/10)+Skills!N8</f>
        <v/>
      </c>
      <c r="G2549">
        <f>Calc!G8</f>
        <v/>
      </c>
      <c r="H2549">
        <f>Calc!H8</f>
        <v/>
      </c>
      <c r="I2549">
        <f>IF(Skills!T8&lt;&gt;"",1+(Skills!T8/10)*(Z2544/1000)/100,1)</f>
        <v/>
      </c>
      <c r="J2549">
        <f>((Inputs!$B$6*(1+Inputs!$B$7/100))+(((Inputs!$B$12*(1+Inputs!$B$13/100))-(Inputs!$B$12*(1+Inputs!$B$13/100)))+0.25*(Inputs!$B$14-Inputs!$B$14))*(1+Inputs!$B$7/100))*(F2549/100)</f>
        <v/>
      </c>
      <c r="K2549">
        <f>J2549*(1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2559-Calc!F18),(Inputs!$B$23+(IF(ArtifactsInput!$M$15,CHOOSE(ArtifactsInput!$N$15+1,25,30,35,40,45,50)/100*(Inputs!$B$11-Inputs!$B$11),0))))/100+(Inputs!$B$23+(IF(ArtifactsInput!$M$15,CHOOSE(ArtifactsInput!$N$15+1,25,30,35,40,45,50)/100*(Inputs!$B$11-Inputs!$B$11),0)))/100)/2</f>
        <v/>
      </c>
      <c r="M2549">
        <f>L2549*(1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IF(B2577=0,0,O2549/B2577)</f>
        <v/>
      </c>
      <c r="Q2549">
        <f>IFERROR(1/IF(Inputs!$B$38="pvp",15,MAX(0.1,Skills!D8-IF(Skills!E8=TRUE,1.5,0))),0)</f>
        <v/>
      </c>
      <c r="R2549">
        <f>IF(AND(Inputs!$B$38&lt;&gt;"pvp",Inputs!$B$43&gt;0),IF(MAX(0,Inputs!$B$43-B2574)&lt;=0,0,(INT(MAX(0,Inputs!$B$43-B2574)/IF(Inputs!$B$38="pvp",15,MAX(0.1,Skills!D8-IF(Skills!E8=TRUE,1.5,0))))+1)),0)</f>
        <v/>
      </c>
      <c r="S2549">
        <f>IF(C2549,(H2549*N2549*IF(AND(Inputs!$B$38&lt;&gt;"pvp",Inputs!$B$43&gt;0),((Skills!F8*((R2549-1)*IF(Skills!G8&gt;0,Skills!H8/Skills!G8,1)+IF(Skills!G8&gt;0,MIN(Skills!H8,MAX(0,MAX(0,Inputs!$B$43-B2574)-((R2549-1)*IF(Inputs!$B$38="pvp",15,MAX(0.1,Skills!D8-IF(Skills!E8=TRUE,1.5,0))))))/Skills!G8,1)))/Inputs!$B$43),G2549*Q2549))*IF(Inputs!$B$38="pvp",1,1+(Inputs!$B$20+Skills!O8+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F8*((R2549-1)*IF(Skills!G8&gt;0,Skills!H8/Skills!G8,1)+IF(Skills!G8&gt;0,MIN(Skills!H8,MAX(0,MAX(0,Inputs!$B$43-B2574)-((R2549-1)*IF(Inputs!$B$38="pvp",15,MAX(0.1,Skills!D8-IF(Skills!E8=TRUE,1.5,0))))))/Skills!G8,1)))/Inputs!$B$43),G2549*Q2549))*IF(Inputs!$B$38="pvp",1,(1+(Inputs!$B$21+Skills!P8+B2568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Skills!A9</f>
        <v/>
      </c>
      <c r="B2550">
        <f>Skills!B9</f>
        <v/>
      </c>
      <c r="C2550">
        <f>Inputs!$B$3&gt;=105</f>
        <v/>
      </c>
      <c r="D2550">
        <f>IF(Skills!C9=1,60+Inputs!$B$25+Inputs!$B$29,IF(Skills!C9=2,90+Inputs!$B$26+Inputs!$B$29,IF(Skills!C9=3,120+Inputs!$B$27+Inputs!$B$29,MAX(0,(Inputs!$B$3-100)*3)+Inputs!$B$28+Inputs!$B$29)))</f>
        <v/>
      </c>
      <c r="E2550">
        <f>INDEX(FactorTable!$B$2:$Y$301, MATCH(ROUND(MIN(300,MAX(1,D2550)),0), FactorTable!$A$2:$A$301,0), Skills!L9+1)</f>
        <v/>
      </c>
      <c r="F2550">
        <f>IF(Skills!M9=TRUE,(Skills!K9/10)*(E2550/1000),Skills!K9/10)+Skills!N9</f>
        <v/>
      </c>
      <c r="G2550">
        <f>Calc!G9</f>
        <v/>
      </c>
      <c r="H2550">
        <f>Calc!H9</f>
        <v/>
      </c>
      <c r="I2550">
        <f>IF(Skills!T9&lt;&gt;"",1+(Skills!T9/10)*(Z2544/1000)/100,1)</f>
        <v/>
      </c>
      <c r="J2550">
        <f>((Inputs!$B$6*(1+Inputs!$B$7/100))+(((Inputs!$B$12*(1+Inputs!$B$13/100))-(Inputs!$B$12*(1+Inputs!$B$13/100)))+0.25*(Inputs!$B$14-Inputs!$B$14))*(1+Inputs!$B$7/100))*(F2550/100)</f>
        <v/>
      </c>
      <c r="K2550">
        <f>J2550*(1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2559-Calc!F18),(Inputs!$B$23+(IF(ArtifactsInput!$M$15,CHOOSE(ArtifactsInput!$N$15+1,25,30,35,40,45,50)/100*(Inputs!$B$11-Inputs!$B$11),0))))/100+(Inputs!$B$23+(IF(ArtifactsInput!$M$15,CHOOSE(ArtifactsInput!$N$15+1,25,30,35,40,45,50)/100*(Inputs!$B$11-Inputs!$B$11),0)))/100)/2</f>
        <v/>
      </c>
      <c r="M2550">
        <f>L2550*(1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IF(B2577=0,0,O2550/B2577)</f>
        <v/>
      </c>
      <c r="Q2550">
        <f>IFERROR(1/IF(Inputs!$B$38="pvp",15,MAX(0.1,Skills!D9-IF(Skills!E9=TRUE,1.5,0))),0)</f>
        <v/>
      </c>
      <c r="R2550">
        <f>IF(AND(Inputs!$B$38&lt;&gt;"pvp",Inputs!$B$43&gt;0),IF(MAX(0,Inputs!$B$43-B2574)&lt;=0,0,(INT(MAX(0,Inputs!$B$43-B2574)/IF(Inputs!$B$38="pvp",15,MAX(0.1,Skills!D9-IF(Skills!E9=TRUE,1.5,0))))+1)),0)</f>
        <v/>
      </c>
      <c r="S2550">
        <f>IF(C2550,(H2550*N2550*IF(AND(Inputs!$B$38&lt;&gt;"pvp",Inputs!$B$43&gt;0),((Skills!F9*((R2550-1)*IF(Skills!G9&gt;0,Skills!H9/Skills!G9,1)+IF(Skills!G9&gt;0,MIN(Skills!H9,MAX(0,MAX(0,Inputs!$B$43-B2574)-((R2550-1)*IF(Inputs!$B$38="pvp",15,MAX(0.1,Skills!D9-IF(Skills!E9=TRUE,1.5,0))))))/Skills!G9,1)))/Inputs!$B$43),G2550*Q2550))*IF(Inputs!$B$38="pvp",1,1+(Inputs!$B$20+Skills!O9+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F9*((R2550-1)*IF(Skills!G9&gt;0,Skills!H9/Skills!G9,1)+IF(Skills!G9&gt;0,MIN(Skills!H9,MAX(0,MAX(0,Inputs!$B$43-B2574)-((R2550-1)*IF(Inputs!$B$38="pvp",15,MAX(0.1,Skills!D9-IF(Skills!E9=TRUE,1.5,0))))))/Skills!G9,1)))/Inputs!$B$43),G2550*Q2550))*IF(Inputs!$B$38="pvp",1,(1+(Inputs!$B$21+Skills!P9+B2568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Skills!A10</f>
        <v/>
      </c>
      <c r="B2551">
        <f>Skills!B10</f>
        <v/>
      </c>
      <c r="C2551">
        <f>Inputs!$B$3&gt;=113</f>
        <v/>
      </c>
      <c r="D2551">
        <f>IF(Skills!C10=1,60+Inputs!$B$25+Inputs!$B$29,IF(Skills!C10=2,90+Inputs!$B$26+Inputs!$B$29,IF(Skills!C10=3,120+Inputs!$B$27+Inputs!$B$29,MAX(0,(Inputs!$B$3-100)*3)+Inputs!$B$28+Inputs!$B$29)))</f>
        <v/>
      </c>
      <c r="E2551">
        <f>INDEX(FactorTable!$B$2:$Y$301, MATCH(ROUND(MIN(300,MAX(1,D2551)),0), FactorTable!$A$2:$A$301,0), Skills!L10+1)</f>
        <v/>
      </c>
      <c r="F2551">
        <f>IF(Skills!M10=TRUE,(Skills!K10/10)*(E2551/1000),Skills!K10/10)+Skills!N10</f>
        <v/>
      </c>
      <c r="G2551">
        <f>Calc!G10</f>
        <v/>
      </c>
      <c r="H2551">
        <f>Calc!H10</f>
        <v/>
      </c>
      <c r="I2551">
        <f>IF(Skills!T10&lt;&gt;"",1+(Skills!T10/10)*(Z2544/1000)/100,1)</f>
        <v/>
      </c>
      <c r="J2551">
        <f>((Inputs!$B$6*(1+Inputs!$B$7/100))+(((Inputs!$B$12*(1+Inputs!$B$13/100))-(Inputs!$B$12*(1+Inputs!$B$13/100)))+0.25*(Inputs!$B$14-Inputs!$B$14))*(1+Inputs!$B$7/100))*(F2551/100)</f>
        <v/>
      </c>
      <c r="K2551">
        <f>J2551*(1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F2559-Calc!F18),(Inputs!$B$23+(IF(ArtifactsInput!$M$15,CHOOSE(ArtifactsInput!$N$15+1,25,30,35,40,45,50)/100*(Inputs!$B$11-Inputs!$B$11),0))))/100+(Inputs!$B$23+(IF(ArtifactsInput!$M$15,CHOOSE(ArtifactsInput!$N$15+1,25,30,35,40,45,50)/100*(Inputs!$B$11-Inputs!$B$11),0)))/100)/2</f>
        <v/>
      </c>
      <c r="M2551">
        <f>L2551*(1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(1-Summary!$B$11)*S2551+Summary!$B$11*U2551</f>
        <v/>
      </c>
      <c r="P2551">
        <f>IF(B2577=0,0,O2551/B2577)</f>
        <v/>
      </c>
      <c r="Q2551">
        <f>IFERROR(1/IF(Inputs!$B$38="pvp",15,MAX(0.1,Skills!D10-IF(Skills!E9=TRUE,1.5,0))),0)</f>
        <v/>
      </c>
      <c r="R2551">
        <f>IF(AND(Inputs!$B$38&lt;&gt;"pvp",Inputs!$B$43&gt;0),IF(MAX(0,Inputs!$B$43-B2574)&lt;=0,0,(INT(MAX(0,Inputs!$B$43-B2574)/IF(Inputs!$B$38="pvp",15,MAX(0.1,Skills!D10-IF(Skills!E9=TRUE,1.5,0))))+1)),0)</f>
        <v/>
      </c>
      <c r="S2551">
        <f>IF(C2551,(H2551*N2551*IF(AND(Inputs!$B$38&lt;&gt;"pvp",Inputs!$B$43&gt;0),((Skills!F10*((R2551-1)*IF(Skills!G10&gt;0,Skills!H10/Skills!G10,1)+IF(Skills!G10&gt;0,MIN(Skills!H10,MAX(0,MAX(0,Inputs!$B$43-B2574)-((R2551-1)*IF(Inputs!$B$38="pvp",15,MAX(0.1,Skills!D10-IF(Skills!E9=TRUE,1.5,0))))))/Skills!G10,1)))/Inputs!$B$43),G2551*Q2551))*IF(Inputs!$B$38="pvp",1,1+(Inputs!$B$20+Skills!O10+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IF(C2551,(H2551*N2551*IF(AND(Inputs!$B$38&lt;&gt;"pvp",Inputs!$B$43&gt;0),((Skills!F10*((R2551-1)*IF(Skills!G10&gt;0,Skills!H10/Skills!G10,1)+IF(Skills!G10&gt;0,MIN(Skills!H10,MAX(0,MAX(0,Inputs!$B$43-B2574)-((R2551-1)*IF(Inputs!$B$38="pvp",15,MAX(0.1,Skills!D10-IF(Skills!E9=TRUE,1.5,0))))))/Skills!G10,1)))/Inputs!$B$43),G2551*Q2551))*IF(Inputs!$B$38="pvp",1,(1+(Inputs!$B$21+Skills!P10+B2568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Skills!A11</f>
        <v/>
      </c>
      <c r="B2552">
        <f>Skills!B11</f>
        <v/>
      </c>
      <c r="C2552">
        <f>Inputs!$B$3&gt;=107</f>
        <v/>
      </c>
      <c r="D2552">
        <f>IF(Skills!C11=1,60+Inputs!$B$25+Inputs!$B$29,IF(Skills!C11=2,90+Inputs!$B$26+Inputs!$B$29,IF(Skills!C11=3,120+Inputs!$B$27+Inputs!$B$29,MAX(0,(Inputs!$B$3-100)*3)+Inputs!$B$28+Inputs!$B$29)))</f>
        <v/>
      </c>
      <c r="E2552">
        <f>INDEX(FactorTable!$B$2:$Y$301, MATCH(ROUND(MIN(300,MAX(1,D2552)),0), FactorTable!$A$2:$A$301,0), Skills!L11+1)</f>
        <v/>
      </c>
      <c r="F2552">
        <f>IF(Skills!M11=TRUE,(Skills!K11/10)*(E2552/1000),Skills!K11/10)+Skills!N11</f>
        <v/>
      </c>
      <c r="G2552">
        <f>Calc!G11</f>
        <v/>
      </c>
      <c r="H2552">
        <f>Calc!H11</f>
        <v/>
      </c>
      <c r="I2552">
        <f>IF(Skills!T11&lt;&gt;"",1+(Skills!T11/10)*(Z2544/1000)/100,1)</f>
        <v/>
      </c>
      <c r="J2552">
        <f>((Inputs!$B$6*(1+Inputs!$B$7/100))+(((Inputs!$B$12*(1+Inputs!$B$13/100))-(Inputs!$B$12*(1+Inputs!$B$13/100)))+0.25*(Inputs!$B$14-Inputs!$B$14))*(1+Inputs!$B$7/100))*(F2552/100)</f>
        <v/>
      </c>
      <c r="K2552">
        <f>J2552*(1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F2559-Calc!F18),(Inputs!$B$23+(IF(ArtifactsInput!$M$15,CHOOSE(ArtifactsInput!$N$15+1,25,30,35,40,45,50)/100*(Inputs!$B$11-Inputs!$B$11),0))))/100+(Inputs!$B$23+(IF(ArtifactsInput!$M$15,CHOOSE(ArtifactsInput!$N$15+1,25,30,35,40,45,50)/100*(Inputs!$B$11-Inputs!$B$11),0)))/100)/2</f>
        <v/>
      </c>
      <c r="M2552">
        <f>L2552*(1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(1-Summary!$B$11)*S2552+Summary!$B$11*U2552</f>
        <v/>
      </c>
      <c r="P2552">
        <f>IF(B2577=0,0,O2552/B2577)</f>
        <v/>
      </c>
      <c r="Q2552">
        <f>IFERROR(1/IF(Inputs!$B$38="pvp",15,MAX(0.1,Skills!D11-IF(Skills!E11=TRUE,1.5,0))),0)</f>
        <v/>
      </c>
      <c r="R2552">
        <f>IF(AND(Inputs!$B$38&lt;&gt;"pvp",Inputs!$B$43&gt;0),IF(MAX(0,Inputs!$B$43-B2574)&lt;=0,0,(INT(MAX(0,Inputs!$B$43-B2574)/IF(Inputs!$B$38="pvp",15,MAX(0.1,Skills!D11-IF(Skills!E11=TRUE,1.5,0))))+1)),0)</f>
        <v/>
      </c>
      <c r="S2552">
        <f>IF(C2552,H2552*N2552*IF(AND(Inputs!$B$38&lt;&gt;"pvp",Inputs!$B$43&gt;0),((Skills!F11*((R2552-1)*IF(Skills!G11&gt;0,Skills!H11/Skills!G11,1)+IF(Skills!G11&gt;0,MIN(Skills!H11,MAX(0,MAX(0,Inputs!$B$43-B2574)-((R2552-1)*IF(Inputs!$B$38="pvp",15,MAX(0.1,Skills!D11-IF(Skills!E11=TRUE,1.5,0))))))/Skills!G11,1)))/Inputs!$B$43),G2552*Q2552)*0.5*IF(Inputs!$B$38="pvp",1,1+(Inputs!$B$20+Skills!O11+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2552*(1-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2">
        <f>IF(C2552,H2552*N2552*IF(AND(Inputs!$B$38&lt;&gt;"pvp",Inputs!$B$43&gt;0),((Skills!F11*((R2552-1)*IF(Skills!G11&gt;0,Skills!H11/Skills!G11,1)+IF(Skills!G11&gt;0,MIN(Skills!H11,MAX(0,MAX(0,Inputs!$B$43-B2574)-((R2552-1)*IF(Inputs!$B$38="pvp",15,MAX(0.1,Skills!D11-IF(Skills!E11=TRUE,1.5,0))))))/Skills!G11,1)))/Inputs!$B$43),G2552*Q2552)*1*IF(Inputs!$B$38="pvp",1,(1+(Inputs!$B$21+Skills!P11+B2568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Skills!A12</f>
        <v/>
      </c>
      <c r="B2553">
        <f>Skills!B12</f>
        <v/>
      </c>
      <c r="C2553">
        <f>Inputs!$B$3&gt;=115</f>
        <v/>
      </c>
      <c r="D2553">
        <f>IF(Skills!C12=1,60+Inputs!$B$25+Inputs!$B$29,IF(Skills!C12=2,90+Inputs!$B$26+Inputs!$B$29,IF(Skills!C12=3,120+Inputs!$B$27+Inputs!$B$29,MAX(0,(Inputs!$B$3-100)*3)+Inputs!$B$28+Inputs!$B$29)))</f>
        <v/>
      </c>
      <c r="E2553">
        <f>INDEX(FactorTable!$B$2:$Y$301, MATCH(ROUND(MIN(300,MAX(1,D2553)),0), FactorTable!$A$2:$A$301,0), Skills!L12+1)</f>
        <v/>
      </c>
      <c r="F2553">
        <f>IF(Skills!M12=TRUE,(Skills!K12/10)*(E2553/1000),Skills!K12/10)+Skills!N12</f>
        <v/>
      </c>
      <c r="G2553">
        <f>Calc!G12</f>
        <v/>
      </c>
      <c r="H2553">
        <f>Calc!H12</f>
        <v/>
      </c>
      <c r="I2553">
        <f>IF(Skills!T12&lt;&gt;"",1+(Skills!T12/10)*(Z2544/1000)/100,1)</f>
        <v/>
      </c>
      <c r="J2553">
        <f>((Inputs!$B$6*(1+Inputs!$B$7/100))+(((Inputs!$B$12*(1+Inputs!$B$13/100))-(Inputs!$B$12*(1+Inputs!$B$13/100)))+0.25*(Inputs!$B$14-Inputs!$B$14))*(1+Inputs!$B$7/100))*(F2553/100)</f>
        <v/>
      </c>
      <c r="K2553">
        <f>J2553*(1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F2559-Calc!F18),(Inputs!$B$23+(IF(ArtifactsInput!$M$15,CHOOSE(ArtifactsInput!$N$15+1,25,30,35,40,45,50)/100*(Inputs!$B$11-Inputs!$B$11),0))))/100+(Inputs!$B$23+(IF(ArtifactsInput!$M$15,CHOOSE(ArtifactsInput!$N$15+1,25,30,35,40,45,50)/100*(Inputs!$B$11-Inputs!$B$11),0)))/100)/2</f>
        <v/>
      </c>
      <c r="M2553">
        <f>L2553*(1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(1-Summary!$B$11)*S2553+Summary!$B$11*U2553</f>
        <v/>
      </c>
      <c r="P2553">
        <f>IF(B2577=0,0,O2553/B2577)</f>
        <v/>
      </c>
      <c r="Q2553">
        <f>IFERROR(1/IF(Inputs!$B$38="pvp",15,MAX(0.1,Skills!D12-IF(Skills!E12=TRUE,1.5,0))),0)</f>
        <v/>
      </c>
      <c r="R2553">
        <f>IF(AND(Inputs!$B$38&lt;&gt;"pvp",Inputs!$B$43&gt;0),IF(MAX(0,Inputs!$B$43-B2574)&lt;=0,0,(INT(MAX(0,Inputs!$B$43-B2574)/IF(Inputs!$B$38="pvp",15,MAX(0.1,Skills!D12-IF(Skills!E12=TRUE,1.5,0))))+1)),0)</f>
        <v/>
      </c>
      <c r="S2553">
        <f>IF(C2553,(H2553*N2553*IF(AND(Inputs!$B$38&lt;&gt;"pvp",Inputs!$B$43&gt;0),((Skills!F12*((R2553-1)*IF(Skills!G12&gt;0,Skills!H12/Skills!G12,1)+IF(Skills!G12&gt;0,MIN(Skills!H12,MAX(0,MAX(0,Inputs!$B$43-B2574)-((R2553-1)*IF(Inputs!$B$38="pvp",15,MAX(0.1,Skills!D12-IF(Skills!E12=TRUE,1.5,0))))))/Skills!G12,1)))/Inputs!$B$43),G2553*Q2553))*IF(Inputs!$B$38="pvp",1,1+(Inputs!$B$20+Skills!O12+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3">
        <f>IF(C2553,(H2553*N2553*IF(AND(Inputs!$B$38&lt;&gt;"pvp",Inputs!$B$43&gt;0),((Skills!F12*((R2553-1)*IF(Skills!G12&gt;0,Skills!H12/Skills!G12,1)+IF(Skills!G12&gt;0,MIN(Skills!H12,MAX(0,MAX(0,Inputs!$B$43-B2574)-((R2553-1)*IF(Inputs!$B$38="pvp",15,MAX(0.1,Skills!D12-IF(Skills!E12=TRUE,1.5,0))))))/Skills!G12,1)))/Inputs!$B$43),G2553*Q2553))*IF(Inputs!$B$38="pvp",1,(1+(Inputs!$B$21+Skills!P12+B2568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Skills!A13</f>
        <v/>
      </c>
      <c r="B2554">
        <f>Skills!B13</f>
        <v/>
      </c>
      <c r="C2554">
        <f>Inputs!$B$3&gt;=49</f>
        <v/>
      </c>
      <c r="D2554">
        <f>IF(Skills!C13=1,60+Inputs!$B$25+Inputs!$B$29,IF(Skills!C13=2,90+Inputs!$B$26+Inputs!$B$29,IF(Skills!C13=3,120+Inputs!$B$27+Inputs!$B$29,MAX(0,(Inputs!$B$3-100)*3)+Inputs!$B$28+Inputs!$B$29)))</f>
        <v/>
      </c>
      <c r="E2554">
        <f>INDEX(FactorTable!$B$2:$Y$301, MATCH(ROUND(MIN(300,MAX(1,D2554)),0), FactorTable!$A$2:$A$301,0), Skills!L13+1)</f>
        <v/>
      </c>
      <c r="F2554">
        <f>IF(Skills!M13=TRUE,(Skills!K13/10)*(E2554/1000),Skills!K13/10)+Skills!N13</f>
        <v/>
      </c>
      <c r="G2554">
        <f>Calc!G13</f>
        <v/>
      </c>
      <c r="H2554">
        <f>Calc!H13</f>
        <v/>
      </c>
      <c r="I2554">
        <f>IF(Skills!T13&lt;&gt;"",1+(Skills!T13/10)*(Z2544/1000)/100,1)</f>
        <v/>
      </c>
      <c r="J2554" t="inlineStr"/>
      <c r="K2554" t="inlineStr"/>
      <c r="L2554" t="inlineStr"/>
      <c r="M2554" t="inlineStr"/>
      <c r="N2554" t="inlineStr"/>
      <c r="O2554">
        <f>(1-Summary!$B$11)*S2554+Summary!$B$11*U2554</f>
        <v/>
      </c>
      <c r="P2554">
        <f>IF(B2577=0,0,O2554/B2577)</f>
        <v/>
      </c>
      <c r="Q2554">
        <f>IFERROR(1/IF(Inputs!$B$38="pvp",15,MAX(0.1,Skills!D13-IF(Skills!E13=TRUE,1.5,0))),0)</f>
        <v/>
      </c>
      <c r="R2554" t="n">
        <v>0</v>
      </c>
      <c r="S2554" t="n">
        <v>0</v>
      </c>
      <c r="U2554" t="n">
        <v>0</v>
      </c>
    </row>
    <row r="2555">
      <c r="A2555">
        <f>Skills!A14</f>
        <v/>
      </c>
      <c r="B2555">
        <f>Skills!B14</f>
        <v/>
      </c>
      <c r="C2555">
        <f>Inputs!$B$3&gt;=72</f>
        <v/>
      </c>
      <c r="D2555">
        <f>IF(Skills!C14=1,60+Inputs!$B$25+Inputs!$B$29,IF(Skills!C14=2,90+Inputs!$B$26+Inputs!$B$29,IF(Skills!C14=3,120+Inputs!$B$27+Inputs!$B$29,MAX(0,(Inputs!$B$3-100)*3)+Inputs!$B$28+Inputs!$B$29)))</f>
        <v/>
      </c>
      <c r="E2555">
        <f>INDEX(FactorTable!$B$2:$Y$301, MATCH(ROUND(MIN(300,MAX(1,D2555)),0), FactorTable!$A$2:$A$301,0), Skills!L14+1)</f>
        <v/>
      </c>
      <c r="F2555">
        <f>IF(Skills!M14=TRUE,(Skills!K14/10)*(E2555/1000),Skills!K14/10)+Skills!N14</f>
        <v/>
      </c>
      <c r="G2555">
        <f>Calc!G14</f>
        <v/>
      </c>
      <c r="H2555">
        <f>Calc!H14</f>
        <v/>
      </c>
      <c r="I2555">
        <f>IF(Skills!T14&lt;&gt;"",1+(Skills!T14/10)*(Z2544/1000)/100,1)</f>
        <v/>
      </c>
      <c r="J2555" t="inlineStr"/>
      <c r="K2555" t="inlineStr"/>
      <c r="L2555" t="inlineStr"/>
      <c r="M2555" t="inlineStr"/>
      <c r="N2555" t="inlineStr"/>
      <c r="O2555">
        <f>(1-Summary!$B$11)*S2555+Summary!$B$11*U2555</f>
        <v/>
      </c>
      <c r="P2555">
        <f>IF(B2577=0,0,O2555/B2577)</f>
        <v/>
      </c>
      <c r="Q2555">
        <f>IFERROR(1/IF(Inputs!$B$38="pvp",15,MAX(0.1,Skills!D14-IF(Skills!E14=TRUE,1.5,0))),0)</f>
        <v/>
      </c>
      <c r="R2555" t="n">
        <v>0</v>
      </c>
      <c r="S2555" t="n">
        <v>0</v>
      </c>
      <c r="U2555" t="n">
        <v>0</v>
      </c>
    </row>
    <row r="2556">
      <c r="A2556">
        <f>Skills!A15</f>
        <v/>
      </c>
      <c r="B2556">
        <f>Skills!B15</f>
        <v/>
      </c>
      <c r="C2556">
        <f>Inputs!$B$3&gt;=75</f>
        <v/>
      </c>
      <c r="D2556">
        <f>IF(Skills!C15=1,60+Inputs!$B$25+Inputs!$B$29,IF(Skills!C15=2,90+Inputs!$B$26+Inputs!$B$29,IF(Skills!C15=3,120+Inputs!$B$27+Inputs!$B$29,MAX(0,(Inputs!$B$3-100)*3)+Inputs!$B$28+Inputs!$B$29)))</f>
        <v/>
      </c>
      <c r="E2556">
        <f>INDEX(FactorTable!$B$2:$Y$301, MATCH(ROUND(MIN(300,MAX(1,D2556)),0), FactorTable!$A$2:$A$301,0), Skills!L15+1)</f>
        <v/>
      </c>
      <c r="F2556">
        <f>IF(Skills!M15=TRUE,(Skills!K15/10)*(E2556/1000),Skills!K15/10)+Skills!N15</f>
        <v/>
      </c>
      <c r="G2556">
        <f>Calc!G15</f>
        <v/>
      </c>
      <c r="H2556">
        <f>Calc!H15</f>
        <v/>
      </c>
      <c r="I2556">
        <f>IF(Skills!T15&lt;&gt;"",1+(Skills!T15/10)*(Z2544/1000)/100,1)</f>
        <v/>
      </c>
      <c r="J2556" t="inlineStr"/>
      <c r="K2556" t="inlineStr"/>
      <c r="L2556" t="inlineStr"/>
      <c r="M2556" t="inlineStr"/>
      <c r="N2556" t="inlineStr"/>
      <c r="O2556">
        <f>(1-Summary!$B$11)*S2556+Summary!$B$11*U2556</f>
        <v/>
      </c>
      <c r="P2556">
        <f>IF(B2577=0,0,O2556/B2577)</f>
        <v/>
      </c>
      <c r="Q2556">
        <f>IFERROR(1/IF(Inputs!$B$38="pvp",15,MAX(0.1,Skills!D15-IF(Skills!E15=TRUE,1.5,0))),0)</f>
        <v/>
      </c>
      <c r="R2556" t="n">
        <v>0</v>
      </c>
      <c r="S2556" t="n">
        <v>0</v>
      </c>
      <c r="U2556" t="n">
        <v>0</v>
      </c>
    </row>
    <row r="2557">
      <c r="A2557">
        <f>Skills!A16</f>
        <v/>
      </c>
      <c r="B2557">
        <f>Skills!B16</f>
        <v/>
      </c>
      <c r="C2557">
        <f>Inputs!$B$3&gt;=110</f>
        <v/>
      </c>
      <c r="D2557">
        <f>IF(Skills!C16=1,60+Inputs!$B$25+Inputs!$B$29,IF(Skills!C16=2,90+Inputs!$B$26+Inputs!$B$29,IF(Skills!C16=3,120+Inputs!$B$27+Inputs!$B$29,MAX(0,(Inputs!$B$3-100)*3)+Inputs!$B$28+Inputs!$B$29)))</f>
        <v/>
      </c>
      <c r="E2557">
        <f>INDEX(FactorTable!$B$2:$Y$301, MATCH(ROUND(MIN(300,MAX(1,D2557)),0), FactorTable!$A$2:$A$301,0), Skills!L16+1)</f>
        <v/>
      </c>
      <c r="F2557">
        <f>(Skills!K16/10)*(E2557/1000)*64/45+Skills!N16</f>
        <v/>
      </c>
      <c r="G2557">
        <f>Calc!G16</f>
        <v/>
      </c>
      <c r="H2557">
        <f>Calc!H16</f>
        <v/>
      </c>
      <c r="I2557">
        <f>IF(Skills!T16&lt;&gt;"",1+(Skills!T16/10)*(Z2544/1000)/100,1)</f>
        <v/>
      </c>
      <c r="J2557" t="inlineStr"/>
      <c r="K2557" t="inlineStr"/>
      <c r="L2557" t="inlineStr"/>
      <c r="M2557" t="inlineStr"/>
      <c r="N2557" t="inlineStr"/>
      <c r="O2557">
        <f>(1-Summary!$B$11)*S2557+Summary!$B$11*U2557</f>
        <v/>
      </c>
      <c r="P2557">
        <f>IF(B2577=0,0,O2557/B2577)</f>
        <v/>
      </c>
      <c r="Q2557">
        <f>IFERROR(1/IF(Inputs!$B$38="pvp",15,MAX(0.1,Skills!D16-IF(Skills!E16=TRUE,1.5,0))),0)</f>
        <v/>
      </c>
      <c r="R2557">
        <f>IF(AND(Inputs!$B$38&lt;&gt;"pvp",Inputs!$B$43&gt;0),IF(Inputs!$B$43&lt;=0,0,(INT(Inputs!$B$43/IF(Inputs!$B$38="pvp",15,MAX(0.1,Skills!D16-IF(Skills!E16=TRUE,1.5,0))))+1)),0)</f>
        <v/>
      </c>
      <c r="S2557" t="n">
        <v>0</v>
      </c>
      <c r="U2557" t="n">
        <v>0</v>
      </c>
    </row>
    <row r="2558">
      <c r="A2558">
        <f>Skills!A17</f>
        <v/>
      </c>
      <c r="B2558">
        <f>Skills!B17</f>
        <v/>
      </c>
      <c r="C2558">
        <f>Inputs!$B$3&gt;=33</f>
        <v/>
      </c>
      <c r="D2558">
        <f>IF(Skills!C17=1,60+Inputs!$B$25+Inputs!$B$29,IF(Skills!C17=2,90+Inputs!$B$26+Inputs!$B$29,IF(Skills!C17=3,120+Inputs!$B$27+Inputs!$B$29,MAX(0,(Inputs!$B$3-100)*3)+Inputs!$B$28+Inputs!$B$29)))</f>
        <v/>
      </c>
      <c r="E2558">
        <f>INDEX(FactorTable!$B$2:$Y$301, MATCH(ROUND(MIN(300,MAX(1,D2558)),0), FactorTable!$A$2:$A$301,0), Skills!L17+1)</f>
        <v/>
      </c>
      <c r="F2558">
        <f>IF(Skills!M17=TRUE,(Skills!K17/10)*(E2558/1000),Skills!K17/10)+Skills!N17</f>
        <v/>
      </c>
      <c r="G2558">
        <f>Calc!G17</f>
        <v/>
      </c>
      <c r="H2558">
        <f>Calc!H17</f>
        <v/>
      </c>
      <c r="I2558">
        <f>IF(Skills!T17&lt;&gt;"",1+(Skills!T17/10)*(Z2544/1000)/100,1)</f>
        <v/>
      </c>
      <c r="J2558" t="inlineStr"/>
      <c r="K2558" t="inlineStr"/>
      <c r="L2558" t="inlineStr"/>
      <c r="M2558" t="inlineStr"/>
      <c r="N2558" t="inlineStr"/>
      <c r="O2558">
        <f>(1-Summary!$B$11)*S2558+Summary!$B$11*U2558</f>
        <v/>
      </c>
      <c r="P2558">
        <f>IF(B2577=0,0,O2558/B2577)</f>
        <v/>
      </c>
      <c r="Q2558">
        <f>IFERROR(1/IF(Inputs!$B$38="pvp",15,MAX(0.1,Skills!D17-IF(Skills!E17=TRUE,1.5,0))),0)</f>
        <v/>
      </c>
      <c r="R2558" t="n">
        <v>0</v>
      </c>
      <c r="S2558" t="n">
        <v>0</v>
      </c>
      <c r="U2558" t="n">
        <v>0</v>
      </c>
    </row>
    <row r="2559">
      <c r="A2559">
        <f>Skills!A18</f>
        <v/>
      </c>
      <c r="B2559">
        <f>Skills!B18</f>
        <v/>
      </c>
      <c r="C2559">
        <f>Inputs!$B$3&gt;=43</f>
        <v/>
      </c>
      <c r="D2559">
        <f>IF(Skills!C18=1,60+Inputs!$B$25+Inputs!$B$29,IF(Skills!C18=2,90+Inputs!$B$26+Inputs!$B$29,IF(Skills!C18=3,120+Inputs!$B$27+Inputs!$B$29,MAX(0,(Inputs!$B$3-100)*3)+Inputs!$B$28+Inputs!$B$29)))</f>
        <v/>
      </c>
      <c r="E2559">
        <f>INDEX(FactorTable!$B$2:$Y$301, MATCH(ROUND(MIN(300,MAX(1,D2559)),0), FactorTable!$A$2:$A$301,0), Skills!L18+1)</f>
        <v/>
      </c>
      <c r="F2559">
        <f>IF(Skills!M18=TRUE,(Skills!K18/10)*(E2559/1000),Skills!K18/10)+Skills!N18</f>
        <v/>
      </c>
      <c r="G2559">
        <f>Calc!G18</f>
        <v/>
      </c>
      <c r="H2559">
        <f>Calc!H18</f>
        <v/>
      </c>
      <c r="I2559">
        <f>IF(Skills!T18&lt;&gt;"",1+(Skills!T18/10)*(Z2544/1000)/100,1)</f>
        <v/>
      </c>
      <c r="J2559" t="inlineStr"/>
      <c r="K2559" t="inlineStr"/>
      <c r="L2559" t="inlineStr"/>
      <c r="M2559" t="inlineStr"/>
      <c r="N2559" t="inlineStr"/>
      <c r="O2559">
        <f>(1-Summary!$B$11)*S2559+Summary!$B$11*U2559</f>
        <v/>
      </c>
      <c r="P2559">
        <f>IF(B2577=0,0,O2559/B2577)</f>
        <v/>
      </c>
      <c r="Q2559">
        <f>IFERROR(1/IF(Inputs!$B$38="pvp",15,MAX(0.1,Skills!D18-IF(Skills!E18=TRUE,1.5,0))),0)</f>
        <v/>
      </c>
      <c r="R2559" t="n">
        <v>0</v>
      </c>
      <c r="S2559" t="n">
        <v>0</v>
      </c>
      <c r="U2559" t="n">
        <v>0</v>
      </c>
    </row>
    <row r="2560">
      <c r="A2560">
        <f>Skills!A19</f>
        <v/>
      </c>
      <c r="B2560">
        <f>Skills!B19</f>
        <v/>
      </c>
      <c r="C2560">
        <f>Inputs!$B$3&gt;=50</f>
        <v/>
      </c>
      <c r="D2560">
        <f>IF(Skills!C19=1,60+Inputs!$B$25+Inputs!$B$29,IF(Skills!C19=2,90+Inputs!$B$26+Inputs!$B$29,IF(Skills!C19=3,120+Inputs!$B$27+Inputs!$B$29,MAX(0,(Inputs!$B$3-100)*3)+Inputs!$B$28+Inputs!$B$29)))</f>
        <v/>
      </c>
      <c r="E2560">
        <f>INDEX(FactorTable!$B$2:$Y$301, MATCH(ROUND(MIN(300,MAX(1,D2560)),0), FactorTable!$A$2:$A$301,0), Skills!L19+1)</f>
        <v/>
      </c>
      <c r="F2560">
        <f>IF(Skills!M19=TRUE,(Skills!K19/10)*(E2560/1000),Skills!K19/10)+Skills!N19</f>
        <v/>
      </c>
      <c r="G2560">
        <f>Calc!G19</f>
        <v/>
      </c>
      <c r="H2560">
        <f>Calc!H19</f>
        <v/>
      </c>
      <c r="I2560">
        <f>IF(Skills!T19&lt;&gt;"",1+(Skills!T19/10)*(Z2544/1000)/100,1)</f>
        <v/>
      </c>
      <c r="J2560" t="inlineStr"/>
      <c r="K2560" t="inlineStr"/>
      <c r="L2560" t="inlineStr"/>
      <c r="M2560" t="inlineStr"/>
      <c r="N2560" t="inlineStr"/>
      <c r="O2560">
        <f>(1-Summary!$B$11)*S2560+Summary!$B$11*U2560</f>
        <v/>
      </c>
      <c r="P2560">
        <f>IF(B2577=0,0,O2560/B2577)</f>
        <v/>
      </c>
      <c r="Q2560">
        <f>IFERROR(1/IF(Inputs!$B$38="pvp",15,MAX(0.1,Skills!D19-IF(Skills!E19=TRUE,1.5,0))),0)</f>
        <v/>
      </c>
      <c r="R2560" t="n">
        <v>0</v>
      </c>
      <c r="S2560" t="n">
        <v>0</v>
      </c>
      <c r="U2560" t="n">
        <v>0</v>
      </c>
    </row>
    <row r="2561">
      <c r="A2561">
        <f>Skills!A20</f>
        <v/>
      </c>
      <c r="B2561">
        <f>Skills!B20</f>
        <v/>
      </c>
      <c r="C2561">
        <f>Inputs!$B$3&gt;=74</f>
        <v/>
      </c>
      <c r="D2561">
        <f>IF(Skills!C20=1,60+Inputs!$B$25+Inputs!$B$29,IF(Skills!C20=2,90+Inputs!$B$26+Inputs!$B$29,IF(Skills!C20=3,120+Inputs!$B$27+Inputs!$B$29,MAX(0,(Inputs!$B$3-100)*3)+Inputs!$B$28+Inputs!$B$29)))</f>
        <v/>
      </c>
      <c r="E2561">
        <f>INDEX(FactorTable!$B$2:$Y$301, MATCH(ROUND(MIN(300,MAX(1,D2561)),0), FactorTable!$A$2:$A$301,0), Skills!L20+1)</f>
        <v/>
      </c>
      <c r="F2561">
        <f>IF(Skills!M20=TRUE,(Skills!K20/10)*(E2561/1000),Skills!K20/10)+Skills!N20</f>
        <v/>
      </c>
      <c r="G2561">
        <f>Calc!G20</f>
        <v/>
      </c>
      <c r="H2561">
        <f>Calc!H20</f>
        <v/>
      </c>
      <c r="I2561">
        <f>IF(Skills!T20&lt;&gt;"",1+(Skills!T20/10)*(Z2544/1000)/100,1)</f>
        <v/>
      </c>
      <c r="J2561" t="inlineStr"/>
      <c r="K2561" t="inlineStr"/>
      <c r="L2561" t="inlineStr"/>
      <c r="M2561" t="inlineStr"/>
      <c r="N2561" t="inlineStr"/>
      <c r="O2561">
        <f>(1-Summary!$B$11)*S2561+Summary!$B$11*U2561</f>
        <v/>
      </c>
      <c r="P2561">
        <f>IF(B2577=0,0,O2561/B2577)</f>
        <v/>
      </c>
      <c r="Q2561">
        <f>IFERROR(1/IF(Inputs!$B$38="pvp",15,MAX(0.1,Skills!D20-IF(Skills!E20=TRUE,1.5,0))),0)</f>
        <v/>
      </c>
      <c r="R2561" t="n">
        <v>0</v>
      </c>
      <c r="S2561" t="n">
        <v>0</v>
      </c>
      <c r="U2561" t="n">
        <v>0</v>
      </c>
    </row>
    <row r="2562">
      <c r="A2562">
        <f>Skills!A21</f>
        <v/>
      </c>
      <c r="B2562">
        <f>Skills!B21</f>
        <v/>
      </c>
      <c r="C2562">
        <f>Inputs!$B$3&gt;=74</f>
        <v/>
      </c>
      <c r="D2562">
        <f>IF(Skills!C21=1,60+Inputs!$B$25+Inputs!$B$29,IF(Skills!C21=2,90+Inputs!$B$26+Inputs!$B$29,IF(Skills!C21=3,120+Inputs!$B$27+Inputs!$B$29,MAX(0,(Inputs!$B$3-100)*3)+Inputs!$B$28+Inputs!$B$29)))</f>
        <v/>
      </c>
      <c r="E2562">
        <f>INDEX(FactorTable!$B$2:$Y$301, MATCH(ROUND(MIN(300,MAX(1,D2562)),0), FactorTable!$A$2:$A$301,0), Skills!L21+1)</f>
        <v/>
      </c>
      <c r="F2562">
        <f>IF(Skills!M21=TRUE,(Skills!K21/10)*(E2562/1000),Skills!K21/10)+Skills!N21</f>
        <v/>
      </c>
      <c r="G2562">
        <f>Calc!G21</f>
        <v/>
      </c>
      <c r="H2562">
        <f>Calc!H21</f>
        <v/>
      </c>
      <c r="I2562">
        <f>IF(Skills!T21&lt;&gt;"",1+(Skills!T21/10)*(Z2544/1000)/100,1)</f>
        <v/>
      </c>
      <c r="J2562" t="inlineStr"/>
      <c r="K2562" t="inlineStr"/>
      <c r="L2562" t="inlineStr"/>
      <c r="M2562" t="inlineStr"/>
      <c r="N2562" t="inlineStr"/>
      <c r="O2562">
        <f>(1-Summary!$B$11)*S2562+Summary!$B$11*U2562</f>
        <v/>
      </c>
      <c r="P2562">
        <f>IF(B2577=0,0,O2562/B2577)</f>
        <v/>
      </c>
      <c r="Q2562">
        <f>IFERROR(1/IF(Inputs!$B$38="pvp",15,MAX(0.1,Skills!D21-IF(Skills!E21=TRUE,1.5,0))),0)</f>
        <v/>
      </c>
      <c r="R2562" t="n">
        <v>0</v>
      </c>
      <c r="S2562" t="n">
        <v>0</v>
      </c>
      <c r="U2562" t="n">
        <v>0</v>
      </c>
    </row>
    <row r="2563">
      <c r="A2563">
        <f>Skills!A22</f>
        <v/>
      </c>
      <c r="B2563">
        <f>Skills!B22</f>
        <v/>
      </c>
      <c r="C2563">
        <f>Inputs!$B$3&gt;=117</f>
        <v/>
      </c>
      <c r="D2563">
        <f>IF(Skills!C22=1,60+Inputs!$B$25+Inputs!$B$29,IF(Skills!C22=2,90+Inputs!$B$26+Inputs!$B$29,IF(Skills!C22=3,120+Inputs!$B$27+Inputs!$B$29,MAX(0,(Inputs!$B$3-100)*3)+Inputs!$B$28+Inputs!$B$29)))</f>
        <v/>
      </c>
      <c r="E2563">
        <f>INDEX(FactorTable!$B$2:$Y$301, MATCH(ROUND(MIN(300,MAX(1,D2563)),0), FactorTable!$A$2:$A$301,0), Skills!L22+1)</f>
        <v/>
      </c>
      <c r="F2563">
        <f>IF(Skills!M22=TRUE,(Skills!K22/10)*(E2563/1000),Skills!K22/10)+Skills!N22</f>
        <v/>
      </c>
      <c r="G2563">
        <f>Calc!G22</f>
        <v/>
      </c>
      <c r="H2563">
        <f>Calc!H22</f>
        <v/>
      </c>
      <c r="I2563">
        <f>IF(Skills!T22&lt;&gt;"",1+(Skills!T22/10)*(Z2544/1000)/100,1)</f>
        <v/>
      </c>
      <c r="J2563" t="inlineStr"/>
      <c r="K2563" t="inlineStr"/>
      <c r="L2563" t="inlineStr"/>
      <c r="M2563" t="inlineStr"/>
      <c r="N2563" t="inlineStr"/>
      <c r="O2563">
        <f>(1-Summary!$B$11)*S2563+Summary!$B$11*U2563</f>
        <v/>
      </c>
      <c r="P2563">
        <f>IF(B2577=0,0,O2563/B2577)</f>
        <v/>
      </c>
      <c r="Q2563">
        <f>IFERROR(1/IF(Inputs!$B$38="pvp",15,MAX(0.1,Skills!D22-IF(Skills!E22=TRUE,1.5,0))),0)</f>
        <v/>
      </c>
      <c r="R2563" t="n">
        <v>0</v>
      </c>
      <c r="S2563" t="n">
        <v>0</v>
      </c>
      <c r="U2563" t="n">
        <v>0</v>
      </c>
    </row>
    <row r="2564">
      <c r="A2564">
        <f>Skills!A23</f>
        <v/>
      </c>
      <c r="B2564">
        <f>Skills!B23</f>
        <v/>
      </c>
      <c r="C2564">
        <f>Inputs!$B$3&gt;=120</f>
        <v/>
      </c>
      <c r="D2564">
        <f>IF(Skills!C23=1,60+Inputs!$B$25+Inputs!$B$29,IF(Skills!C23=2,90+Inputs!$B$26+Inputs!$B$29,IF(Skills!C23=3,120+Inputs!$B$27+Inputs!$B$29,MAX(0,(Inputs!$B$3-100)*3)+Inputs!$B$28+Inputs!$B$29)))</f>
        <v/>
      </c>
      <c r="E2564">
        <f>INDEX(FactorTable!$B$2:$Y$301, MATCH(ROUND(MIN(300,MAX(1,D2564)),0), FactorTable!$A$2:$A$301,0), Skills!L23+1)</f>
        <v/>
      </c>
      <c r="F2564">
        <f>IF(Skills!M23=TRUE,(Skills!K23/10)*(E2564/1000),Skills!K23/10)+Skills!N23</f>
        <v/>
      </c>
      <c r="G2564">
        <f>Calc!G23</f>
        <v/>
      </c>
      <c r="H2564">
        <f>Calc!H23</f>
        <v/>
      </c>
      <c r="I2564">
        <f>IF(Skills!T23&lt;&gt;"",1+(Skills!T23/10)*(Z2544/1000)/100,1)</f>
        <v/>
      </c>
      <c r="J2564" t="inlineStr"/>
      <c r="K2564" t="inlineStr"/>
      <c r="L2564" t="inlineStr"/>
      <c r="M2564" t="inlineStr"/>
      <c r="N2564" t="inlineStr"/>
      <c r="O2564">
        <f>(1-Summary!$B$11)*S2564+Summary!$B$11*U2564</f>
        <v/>
      </c>
      <c r="P2564">
        <f>IF(B2577=0,0,O2564/B2577)</f>
        <v/>
      </c>
      <c r="Q2564">
        <f>IFERROR(1/IF(Inputs!$B$38="pvp",15,MAX(0.1,Skills!D23-IF(Skills!E23=TRUE,1.5,0))),0)</f>
        <v/>
      </c>
      <c r="R2564" t="n">
        <v>0</v>
      </c>
      <c r="S2564" t="n">
        <v>0</v>
      </c>
      <c r="U2564" t="n">
        <v>0</v>
      </c>
    </row>
    <row r="2567">
      <c r="A2567" t="inlineStr">
        <is>
          <t>Average Buff Multiplier (Magic Guard + Meditation + Artifact Attack%, summed; then Infinity)</t>
        </is>
      </c>
      <c r="B2567">
        <f>(1+(IF(C2544=TRUE,F2544*IF(AND(Inputs!$B$38&lt;&gt;"pvp",Inputs!$B$43&gt;0),(((R2544-1)*(Skills!S3*(1+(Inputs!$B$34+IF(Inputs!$B$3&gt;=117,F2563,0))/100))+MIN((Skills!S3*(1+(Inputs!$B$34+IF(Inputs!$B$3&gt;=117,F2563,0))/100)),MAX(0,Inputs!$B$43-((R2544-1)*Skills!D3))))/Inputs!$B$43),IF(Inputs!$B$38="pvp",MIN((Skills!S3*(1+(Inputs!$B$34+IF(Inputs!$B$3&gt;=117,F2563,0))/100)),15)/15,(Skills!S3*(1+(Inputs!$B$34+IF(Inputs!$B$3&gt;=117,F2563,0))/100))/Skills!D3)),0)+IF(C2545=TRUE,F2545*IF(AND(Inputs!$B$38&lt;&gt;"pvp",Inputs!$B$43&gt;0),(((R2545-1)*(Skills!S4*(1+(Inputs!$B$34+IF(Inputs!$B$3&gt;=117,F2563,0))/100))+MIN((Skills!S4*(1+(Inputs!$B$34+IF(Inputs!$B$3&gt;=117,F2563,0))/100)),MAX(0,Inputs!$B$43-((R2545-1)*Skills!D4))))/Inputs!$B$43),IF(Inputs!$B$38="pvp",MIN((Skills!S4*(1+(Inputs!$B$34+IF(Inputs!$B$3&gt;=117,F2563,0))/100)),15)/15,(Skills!S4*(1+(Inputs!$B$34+IF(Inputs!$B$3&gt;=117,F2563,0)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2557=TRUE,(1+F2557*IF(AND(Inputs!$B$38&lt;&gt;"pvp",Inputs!$B$43&gt;0),(((R2557-1)*(Skills!S16*(1+(Inputs!$B$34+IF(Inputs!$B$3&gt;=117,F2563,0))/100))+MIN((Skills!S16*(1+(Inputs!$B$34+IF(Inputs!$B$3&gt;=117,F2563,0))/100)),MAX(0,Inputs!$B$43-((R2557-1)*Skills!D16))))/Inputs!$B$43),IF(Inputs!$B$38="pvp",MIN((Skills!S16*(1+(Inputs!$B$34+IF(Inputs!$B$3&gt;=117,F2563,0))/100)),15)/15,(Skills!S16*(1+(Inputs!$B$34+IF(Inputs!$B$3&gt;=117,F2563,0))/100))/Skills!D16))/100),1)</f>
        <v/>
      </c>
    </row>
    <row r="2568">
      <c r="A2568" t="inlineStr">
        <is>
          <t>Monster Damage Taken Bonus % (Freezing Breath - Weaken + Elemental Reset + Artifact Enemy Damage Taken, summed)</t>
        </is>
      </c>
      <c r="B2568">
        <f>IF(Inputs!$B$3&gt;=118,15*IF(Inputs!$B$38="pvp",MIN((30*(1+(Inputs!$B$34+IF(Inputs!$B$3&gt;=117,F2563,0))/100)),15)/15,(30*(1+(Inputs!$B$34+IF(Inputs!$B$3&gt;=117,F2563,0))/100))/Skills!D8),0)+IF(C2555=TRUE,F2555,0)+(IF(AND(ArtifactsInput!$M$35,Inputs!$B$4&lt;&gt;"Chapter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f>
        <v/>
      </c>
    </row>
    <row r="2569">
      <c r="A2569" t="inlineStr">
        <is>
          <t>Damage % Bonus (Frozen Break + Frost Clutch, flat)</t>
        </is>
      </c>
      <c r="B2569">
        <f>IF(Inputs!$B$3&gt;=66,15,0)+IF(Inputs!$B$3&gt;=98,10,0)+IF(Inputs!$B$3&gt;=125,20,0)</f>
        <v/>
      </c>
    </row>
    <row r="2570">
      <c r="A2570" t="inlineStr">
        <is>
          <t>Attack Speed Bonus % (MP Eater - MP Boost, always-on once unlocked)</t>
        </is>
      </c>
      <c r="B2570">
        <f>IF(C2554=TRUE,F2554+(F2558-Calc!F17),0)</f>
        <v/>
      </c>
    </row>
    <row r="2571">
      <c r="A2571" t="inlineStr">
        <is>
          <t>Actions Per Second</t>
        </is>
      </c>
      <c r="B2571">
        <f>1+MIN(150,150*(1-(1-(Inputs!$B$11+(ArtifactsInput!$M$15-ArtifactsInput!$M$15)*CHOOSE(ArtifactsInput!$N$15+1,8,9.6,11.2,12.8,14.4,16))/150)*(1-B2570/150)))/100</f>
        <v/>
      </c>
    </row>
    <row r="2572">
      <c r="A2572" t="inlineStr">
        <is>
          <t>Skill + Buff Cast Rate</t>
        </is>
      </c>
      <c r="B2572">
        <f>IF(AND(Inputs!$B$38&lt;&gt;"pvp",Inputs!$B$43&gt;0),SUMPRODUCT((Skills!E2:E23=TRUE)*(C2543:C2564=TRUE)*R2543:R2564)/Inputs!$B$43,SUMPRODUCT((Skills!E2:E23=TRUE)*(C2543:C2564=TRUE)*Q2543:Q2564))</f>
        <v/>
      </c>
    </row>
    <row r="2573">
      <c r="A2573" t="inlineStr">
        <is>
          <t>Chain Lightning Casts Per Second</t>
        </is>
      </c>
      <c r="B2573">
        <f>MAX(0,B2571-B2572)</f>
        <v/>
      </c>
    </row>
    <row r="2574">
      <c r="A2574" t="inlineStr">
        <is>
          <t>Buff-Casting Startup Delay (s, fixed-duration only)</t>
        </is>
      </c>
      <c r="B2574">
        <f>IF(AND(Inputs!$B$38&lt;&gt;"pvp",Inputs!$B$43&gt;0),SUMPRODUCT((Skills!S2:S23&gt;0)*(Skills!E2:E23=TRUE)*(C2543:C2564=TRUE))/B2571,0)</f>
        <v/>
      </c>
    </row>
    <row r="2575">
      <c r="A2575" t="inlineStr">
        <is>
          <t>Boss-Only Total DPS (this block's swept value)</t>
        </is>
      </c>
      <c r="B2575">
        <f>SUM(S2543:S2564)</f>
        <v/>
      </c>
    </row>
    <row r="2576">
      <c r="A2576" t="inlineStr">
        <is>
          <t>Normal-Only Total DPS (this block's swept value)</t>
        </is>
      </c>
      <c r="B2576">
        <f>SUM(U2543:U2564)</f>
        <v/>
      </c>
    </row>
    <row r="2577">
      <c r="A2577" s="6" t="inlineStr">
        <is>
          <t>TOTAL DPS</t>
        </is>
      </c>
      <c r="B2577" s="6">
        <f>SUM(O2543:O2564)</f>
        <v/>
      </c>
    </row>
    <row r="2580">
      <c r="A2580" s="6" t="inlineStr">
        <is>
          <t>Stat: CDR = 2.0s</t>
        </is>
      </c>
    </row>
    <row r="2581">
      <c r="A2581" s="5" t="inlineStr">
        <is>
          <t>Key</t>
        </is>
      </c>
      <c r="B2581" s="5" t="inlineStr">
        <is>
          <t>Name</t>
        </is>
      </c>
      <c r="C2581" s="5" t="inlineStr">
        <is>
          <t>Unlocked</t>
        </is>
      </c>
      <c r="D2581" s="5" t="inlineStr">
        <is>
          <t>InputLevel</t>
        </is>
      </c>
      <c r="E2581" s="5" t="inlineStr">
        <is>
          <t>Factor</t>
        </is>
      </c>
      <c r="F2581" s="5" t="inlineStr">
        <is>
          <t>CoefficientPercent</t>
        </is>
      </c>
      <c r="G2581" s="5" t="inlineStr">
        <is>
          <t>EffectiveHits</t>
        </is>
      </c>
      <c r="H2581" s="5" t="inlineStr">
        <is>
          <t>ProcProbability</t>
        </is>
      </c>
      <c r="I2581" s="5" t="inlineStr">
        <is>
          <t>MapleHeroMultiplier</t>
        </is>
      </c>
      <c r="J2581" s="5" t="inlineStr">
        <is>
          <t>BaseDamage</t>
        </is>
      </c>
      <c r="K2581" s="5" t="inlineStr">
        <is>
          <t>BaseHitDamage</t>
        </is>
      </c>
      <c r="L2581" s="5" t="inlineStr">
        <is>
          <t>NonCritAvg</t>
        </is>
      </c>
      <c r="M2581" s="5" t="inlineStr">
        <is>
          <t>CritAvg</t>
        </is>
      </c>
      <c r="N2581" s="5" t="inlineStr">
        <is>
          <t>ExpectedDamage(perHit)</t>
        </is>
      </c>
      <c r="O2581" s="5" t="inlineStr">
        <is>
          <t>DPS</t>
        </is>
      </c>
      <c r="P2581" s="5" t="inlineStr">
        <is>
          <t>% of Total</t>
        </is>
      </c>
      <c r="R2581" t="inlineStr">
        <is>
          <t>helpers</t>
        </is>
      </c>
    </row>
    <row r="2582">
      <c r="A2582">
        <f>Skills!A2</f>
        <v/>
      </c>
      <c r="B2582">
        <f>Skills!B2</f>
        <v/>
      </c>
      <c r="C2582">
        <f>Inputs!$B$3&gt;=100</f>
        <v/>
      </c>
      <c r="D2582" t="inlineStr"/>
      <c r="E2582" t="inlineStr"/>
      <c r="F2582">
        <f>T2584+Skills!N2</f>
        <v/>
      </c>
      <c r="G2582">
        <f>Calc!G2</f>
        <v/>
      </c>
      <c r="H2582">
        <f>Calc!H2</f>
        <v/>
      </c>
      <c r="I2582">
        <f>IF(Skills!T2&lt;&gt;"",1+(Skills!T2/10)*(Z2583/1000)/100,1)</f>
        <v/>
      </c>
      <c r="J2582">
        <f>((Inputs!$B$6*(1+Inputs!$B$7/100))+(((Inputs!$B$12*(1+Inputs!$B$13/100))-(Inputs!$B$12*(1+Inputs!$B$13/100)))+0.25*(Inputs!$B$14-Inputs!$B$14))*(1+Inputs!$B$7/100))*(F2582/100)</f>
        <v/>
      </c>
      <c r="K2582">
        <f>J2582*(1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2598-Calc!F18),(Inputs!$B$23+(IF(ArtifactsInput!$M$15,CHOOSE(ArtifactsInput!$N$15+1,25,30,35,40,45,50)/100*(Inputs!$B$11-Inputs!$B$11),0))))/100+(Inputs!$B$23+(IF(ArtifactsInput!$M$15,CHOOSE(ArtifactsInput!$N$15+1,25,30,35,40,45,50)/100*(Inputs!$B$11-Inputs!$B$11),0)))/100)/2</f>
        <v/>
      </c>
      <c r="M2582">
        <f>L2582*(1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IF(B2616=0,0,O2582/B2616)</f>
        <v/>
      </c>
      <c r="Q2582">
        <f>IFERROR(1/IF(Inputs!$B$38="pvp",15,MAX(0.1,Skills!D2-IF(Skills!E2=TRUE,2.0,0))),0)</f>
        <v/>
      </c>
      <c r="R2582" t="n">
        <v>0</v>
      </c>
      <c r="S2582">
        <f>IF(C2582,(Skills!F2*N2582*B2612)*IF(Inputs!$B$38="pvp",1,1+(Inputs!$B$20+Skills!O2+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MAX(0,(Inputs!$B$3-100)*3)+Inputs!$B$28+Inputs!$B$29</f>
        <v/>
      </c>
      <c r="U2582">
        <f>IF(C2582,(Skills!F2*N2582*B2612)*IF(Inputs!$B$38="pvp",1,(1+(Inputs!$B$21+Skills!P2+B2607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2">
        <f>MAX(0,(Inputs!$B$3-100)*3)+Inputs!$B$28+Inputs!$B$29</f>
        <v/>
      </c>
    </row>
    <row r="2583">
      <c r="A2583">
        <f>Skills!A3</f>
        <v/>
      </c>
      <c r="B2583">
        <f>Skills!B3</f>
        <v/>
      </c>
      <c r="C2583">
        <f>Inputs!$B$3&gt;=15</f>
        <v/>
      </c>
      <c r="D2583">
        <f>IF(Skills!C3=1,60+Inputs!$B$25+Inputs!$B$29,IF(Skills!C3=2,90+Inputs!$B$26+Inputs!$B$29,IF(Skills!C3=3,120+Inputs!$B$27+Inputs!$B$29,MAX(0,(Inputs!$B$3-100)*3)+Inputs!$B$28+Inputs!$B$29)))</f>
        <v/>
      </c>
      <c r="E2583">
        <f>INDEX(FactorTable!$B$2:$Y$301, MATCH(ROUND(MIN(300,MAX(1,D2583)),0), FactorTable!$A$2:$A$301,0), Skills!L3+1)</f>
        <v/>
      </c>
      <c r="F2583">
        <f>IF(Skills!M3=TRUE,(Skills!K3/10)*(E2583/1000),Skills!K3/10)+Skills!N3</f>
        <v/>
      </c>
      <c r="G2583">
        <f>Calc!G3</f>
        <v/>
      </c>
      <c r="H2583">
        <f>Calc!H3</f>
        <v/>
      </c>
      <c r="I2583">
        <f>IF(Skills!T3&lt;&gt;"",1+(Skills!T3/10)*(Z2583/1000)/100,1)</f>
        <v/>
      </c>
      <c r="J2583" t="inlineStr"/>
      <c r="K2583" t="inlineStr"/>
      <c r="L2583" t="inlineStr"/>
      <c r="M2583" t="inlineStr"/>
      <c r="N2583" t="inlineStr"/>
      <c r="O2583">
        <f>(1-Summary!$B$11)*S2583+Summary!$B$11*U2583</f>
        <v/>
      </c>
      <c r="P2583">
        <f>IF(B2616=0,0,O2583/B2616)</f>
        <v/>
      </c>
      <c r="Q2583">
        <f>IFERROR(1/IF(Inputs!$B$38="pvp",15,MAX(0.1,Skills!D3-IF(Skills!E3=TRUE,2.0,0))),0)</f>
        <v/>
      </c>
      <c r="R2583">
        <f>IF(AND(Inputs!$B$38&lt;&gt;"pvp",Inputs!$B$43&gt;0),IF(Inputs!$B$43&lt;=0,0,(INT(Inputs!$B$43/IF(Inputs!$B$38="pvp",15,MAX(0.1,Skills!D3-IF(Skills!E3=TRUE,2.0,0))))+1)),0)</f>
        <v/>
      </c>
      <c r="S2583" t="n">
        <v>0</v>
      </c>
      <c r="T2583">
        <f>INDEX(FactorTable!$B$2:$Y$301, MATCH(ROUND(MIN(300,MAX(1,T2582)),0), FactorTable!$A$2:$A$301,0), 22)</f>
        <v/>
      </c>
      <c r="U2583" t="n">
        <v>0</v>
      </c>
      <c r="Z2583">
        <f>INDEX(FactorTable!$B$2:$Y$301, MATCH(ROUND(MIN(300,MAX(1,Z2582)),0), FactorTable!$A$2:$A$301,0), 24)</f>
        <v/>
      </c>
    </row>
    <row r="2584">
      <c r="A2584">
        <f>Skills!A4</f>
        <v/>
      </c>
      <c r="B2584">
        <f>Skills!B4</f>
        <v/>
      </c>
      <c r="C2584">
        <f>Inputs!$B$3&gt;=40</f>
        <v/>
      </c>
      <c r="D2584">
        <f>IF(Skills!C4=1,60+Inputs!$B$25+Inputs!$B$29,IF(Skills!C4=2,90+Inputs!$B$26+Inputs!$B$29,IF(Skills!C4=3,120+Inputs!$B$27+Inputs!$B$29,MAX(0,(Inputs!$B$3-100)*3)+Inputs!$B$28+Inputs!$B$29)))</f>
        <v/>
      </c>
      <c r="E2584">
        <f>INDEX(FactorTable!$B$2:$Y$301, MATCH(ROUND(MIN(300,MAX(1,D2584)),0), FactorTable!$A$2:$A$301,0), Skills!L4+1)</f>
        <v/>
      </c>
      <c r="F2584">
        <f>IF(Skills!M4=TRUE,(Skills!K4/10)*(E2584/1000),Skills!K4/10)+Skills!N4</f>
        <v/>
      </c>
      <c r="G2584">
        <f>Calc!G4</f>
        <v/>
      </c>
      <c r="H2584">
        <f>Calc!H4</f>
        <v/>
      </c>
      <c r="I2584">
        <f>IF(Skills!T4&lt;&gt;"",1+(Skills!T4/10)*(Z2583/1000)/100,1)</f>
        <v/>
      </c>
      <c r="J2584" t="inlineStr"/>
      <c r="K2584" t="inlineStr"/>
      <c r="L2584" t="inlineStr"/>
      <c r="M2584" t="inlineStr"/>
      <c r="N2584" t="inlineStr"/>
      <c r="O2584">
        <f>(1-Summary!$B$11)*S2584+Summary!$B$11*U2584</f>
        <v/>
      </c>
      <c r="P2584">
        <f>IF(B2616=0,0,O2584/B2616)</f>
        <v/>
      </c>
      <c r="Q2584">
        <f>IFERROR(1/IF(Inputs!$B$38="pvp",15,MAX(0.1,Skills!D4-IF(Skills!E4=TRUE,2.0,0))),0)</f>
        <v/>
      </c>
      <c r="R2584">
        <f>IF(AND(Inputs!$B$38&lt;&gt;"pvp",Inputs!$B$43&gt;0),IF(Inputs!$B$43&lt;=0,0,(INT(Inputs!$B$43/IF(Inputs!$B$38="pvp",15,MAX(0.1,Skills!D4-IF(Skills!E4=TRUE,2.0,0))))+1)),0)</f>
        <v/>
      </c>
      <c r="S2584" t="n">
        <v>0</v>
      </c>
      <c r="T2584">
        <f>290*T2583/1000</f>
        <v/>
      </c>
      <c r="U2584" t="n">
        <v>0</v>
      </c>
    </row>
    <row r="2585">
      <c r="A2585">
        <f>Skills!A5</f>
        <v/>
      </c>
      <c r="B2585">
        <f>Skills!B5</f>
        <v/>
      </c>
      <c r="C2585">
        <f>Inputs!$B$3&gt;=38</f>
        <v/>
      </c>
      <c r="D2585">
        <f>IF(Skills!C5=1,60+Inputs!$B$25+Inputs!$B$29,IF(Skills!C5=2,90+Inputs!$B$26+Inputs!$B$29,IF(Skills!C5=3,120+Inputs!$B$27+Inputs!$B$29,MAX(0,(Inputs!$B$3-100)*3)+Inputs!$B$28+Inputs!$B$29)))</f>
        <v/>
      </c>
      <c r="E2585">
        <f>INDEX(FactorTable!$B$2:$Y$301, MATCH(ROUND(MIN(300,MAX(1,D2585)),0), FactorTable!$A$2:$A$301,0), Skills!L5+1)</f>
        <v/>
      </c>
      <c r="F2585">
        <f>IF(Skills!M5=TRUE,(Skills!K5/10)*(E2585/1000),Skills!K5/10)+Skills!N5</f>
        <v/>
      </c>
      <c r="G2585">
        <f>Calc!G5</f>
        <v/>
      </c>
      <c r="H2585">
        <f>Calc!H5</f>
        <v/>
      </c>
      <c r="I2585">
        <f>IF(Skills!T5&lt;&gt;"",1+(Skills!T5/10)*(Z2583/1000)/100,1)</f>
        <v/>
      </c>
      <c r="J2585">
        <f>((Inputs!$B$6*(1+Inputs!$B$7/100))+(((Inputs!$B$12*(1+Inputs!$B$13/100))-(Inputs!$B$12*(1+Inputs!$B$13/100)))+0.25*(Inputs!$B$14-Inputs!$B$14))*(1+Inputs!$B$7/100))*(F2585/100)</f>
        <v/>
      </c>
      <c r="K2585">
        <f>J2585*(1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2598-Calc!F18),(Inputs!$B$23+(IF(ArtifactsInput!$M$15,CHOOSE(ArtifactsInput!$N$15+1,25,30,35,40,45,50)/100*(Inputs!$B$11-Inputs!$B$11),0))))/100+(Inputs!$B$23+(IF(ArtifactsInput!$M$15,CHOOSE(ArtifactsInput!$N$15+1,25,30,35,40,45,50)/100*(Inputs!$B$11-Inputs!$B$11),0)))/100)/2</f>
        <v/>
      </c>
      <c r="M2585">
        <f>L2585*(1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IF(B2616=0,0,O2585/B2616)</f>
        <v/>
      </c>
      <c r="Q2585">
        <f>IFERROR(1/IF(Inputs!$B$38="pvp",15,MAX(0.1,Skills!D5-IF(Skills!E5=TRUE,2.0,0))),0)</f>
        <v/>
      </c>
      <c r="R2585">
        <f>IF(AND(Inputs!$B$38&lt;&gt;"pvp",Inputs!$B$43&gt;0),IF(MAX(0,Inputs!$B$43-B2613)&lt;=0,0,(INT(MAX(0,Inputs!$B$43-B2613)/IF(Inputs!$B$38="pvp",15,MAX(0.1,Skills!D5-IF(Skills!E5=TRUE,2.0,0))))+1)),0)</f>
        <v/>
      </c>
      <c r="S2585">
        <f>IF(C2585,(H2585*N2585*IF(AND(Inputs!$B$38&lt;&gt;"pvp",Inputs!$B$43&gt;0),((Skills!F5*((R2585-1)*IF(Skills!G5&gt;0,Skills!H5/Skills!G5,1)+IF(Skills!G5&gt;0,MIN(Skills!H5,MAX(0,MAX(0,Inputs!$B$43-B2613)-((R2585-1)*IF(Inputs!$B$38="pvp",15,MAX(0.1,Skills!D5-IF(Skills!E5=TRUE,2.0,0))))))/Skills!G5,1)))/Inputs!$B$43),G2585*Q2585))*IF(Inputs!$B$38="pvp",1,1+(Inputs!$B$20+Skills!O5+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F5*((R2585-1)*IF(Skills!G5&gt;0,Skills!H5/Skills!G5,1)+IF(Skills!G5&gt;0,MIN(Skills!H5,MAX(0,MAX(0,Inputs!$B$43-B2613)-((R2585-1)*IF(Inputs!$B$38="pvp",15,MAX(0.1,Skills!D5-IF(Skills!E5=TRUE,2.0,0))))))/Skills!G5,1)))/Inputs!$B$43),G2585*Q2585))*IF(Inputs!$B$38="pvp",1,(1+(Inputs!$B$21+Skills!P5+B2607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Skills!A6</f>
        <v/>
      </c>
      <c r="B2586">
        <f>Skills!B6</f>
        <v/>
      </c>
      <c r="C2586">
        <f>Inputs!$B$3&gt;=63</f>
        <v/>
      </c>
      <c r="D2586">
        <f>IF(Skills!C6=1,60+Inputs!$B$25+Inputs!$B$29,IF(Skills!C6=2,90+Inputs!$B$26+Inputs!$B$29,IF(Skills!C6=3,120+Inputs!$B$27+Inputs!$B$29,MAX(0,(Inputs!$B$3-100)*3)+Inputs!$B$28+Inputs!$B$29)))</f>
        <v/>
      </c>
      <c r="E2586">
        <f>INDEX(FactorTable!$B$2:$Y$301, MATCH(ROUND(MIN(300,MAX(1,D2586)),0), FactorTable!$A$2:$A$301,0), Skills!L6+1)</f>
        <v/>
      </c>
      <c r="F2586">
        <f>IF(Skills!M6=TRUE,(Skills!K6/10)*(E2586/1000),Skills!K6/10)+Skills!N6</f>
        <v/>
      </c>
      <c r="G2586">
        <f>Calc!G6</f>
        <v/>
      </c>
      <c r="H2586">
        <f>Calc!H6</f>
        <v/>
      </c>
      <c r="I2586">
        <f>IF(Skills!T6&lt;&gt;"",1+(Skills!T6/10)*(Z2583/1000)/100,1)</f>
        <v/>
      </c>
      <c r="J2586">
        <f>((Inputs!$B$6*(1+Inputs!$B$7/100))+(((Inputs!$B$12*(1+Inputs!$B$13/100))-(Inputs!$B$12*(1+Inputs!$B$13/100)))+0.25*(Inputs!$B$14-Inputs!$B$14))*(1+Inputs!$B$7/100))*(F2586/100)</f>
        <v/>
      </c>
      <c r="K2586">
        <f>J2586*(1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2598-Calc!F18),(Inputs!$B$23+(IF(ArtifactsInput!$M$15,CHOOSE(ArtifactsInput!$N$15+1,25,30,35,40,45,50)/100*(Inputs!$B$11-Inputs!$B$11),0))))/100+(Inputs!$B$23+(IF(ArtifactsInput!$M$15,CHOOSE(ArtifactsInput!$N$15+1,25,30,35,40,45,50)/100*(Inputs!$B$11-Inputs!$B$11),0)))/100)/2</f>
        <v/>
      </c>
      <c r="M2586">
        <f>L2586*(1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IF(B2616=0,0,O2586/B2616)</f>
        <v/>
      </c>
      <c r="Q2586">
        <f>IFERROR(1/IF(Inputs!$B$38="pvp",15,MAX(0.1,Skills!D6-IF(Skills!E6=TRUE,2.0,0))),0)</f>
        <v/>
      </c>
      <c r="R2586">
        <f>IF(AND(Inputs!$B$38&lt;&gt;"pvp",Inputs!$B$43&gt;0),IF(MAX(0,Inputs!$B$43-B2613)&lt;=0,0,(INT(MAX(0,Inputs!$B$43-B2613)/IF(Inputs!$B$38="pvp",15,MAX(0.1,Skills!D6-IF(Skills!E6=TRUE,2.0,0))))+1)),0)</f>
        <v/>
      </c>
      <c r="S2586">
        <f>IF(C2586,(H2586*N2586*IF(AND(Inputs!$B$38&lt;&gt;"pvp",Inputs!$B$43&gt;0),((Skills!F6*((R2586-1)*IF(Skills!G6&gt;0,Skills!H6/Skills!G6,1)+IF(Skills!G6&gt;0,MIN(Skills!H6,MAX(0,MAX(0,Inputs!$B$43-B2613)-((R2586-1)*IF(Inputs!$B$38="pvp",15,MAX(0.1,Skills!D6-IF(Skills!E6=TRUE,2.0,0))))))/Skills!G6,1)))/Inputs!$B$43),G2586*Q2586))*IF(Inputs!$B$38="pvp",1,1+(Inputs!$B$20+Skills!O6+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F6*((R2586-1)*IF(Skills!G6&gt;0,Skills!H6/Skills!G6,1)+IF(Skills!G6&gt;0,MIN(Skills!H6,MAX(0,MAX(0,Inputs!$B$43-B2613)-((R2586-1)*IF(Inputs!$B$38="pvp",15,MAX(0.1,Skills!D6-IF(Skills!E6=TRUE,2.0,0))))))/Skills!G6,1)))/Inputs!$B$43),G2586*Q2586))*IF(Inputs!$B$38="pvp",1,(1+(Inputs!$B$21+Skills!P6+B2607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Skills!A7</f>
        <v/>
      </c>
      <c r="B2587">
        <f>Skills!B7</f>
        <v/>
      </c>
      <c r="C2587">
        <f>Inputs!$B$3&gt;=69</f>
        <v/>
      </c>
      <c r="D2587">
        <f>IF(Skills!C7=1,60+Inputs!$B$25+Inputs!$B$29,IF(Skills!C7=2,90+Inputs!$B$26+Inputs!$B$29,IF(Skills!C7=3,120+Inputs!$B$27+Inputs!$B$29,MAX(0,(Inputs!$B$3-100)*3)+Inputs!$B$28+Inputs!$B$29)))</f>
        <v/>
      </c>
      <c r="E2587">
        <f>INDEX(FactorTable!$B$2:$Y$301, MATCH(ROUND(MIN(300,MAX(1,D2587)),0), FactorTable!$A$2:$A$301,0), Skills!L7+1)</f>
        <v/>
      </c>
      <c r="F2587">
        <f>IF(Skills!M7=TRUE,(Skills!K7/10)*(E2587/1000),Skills!K7/10)+Skills!N7</f>
        <v/>
      </c>
      <c r="G2587">
        <f>Calc!G7</f>
        <v/>
      </c>
      <c r="H2587">
        <f>Calc!H7</f>
        <v/>
      </c>
      <c r="I2587">
        <f>IF(Skills!T7&lt;&gt;"",1+(Skills!T7/10)*(Z2583/1000)/100,1)</f>
        <v/>
      </c>
      <c r="J2587">
        <f>((Inputs!$B$6*(1+Inputs!$B$7/100))+(((Inputs!$B$12*(1+Inputs!$B$13/100))-(Inputs!$B$12*(1+Inputs!$B$13/100)))+0.25*(Inputs!$B$14-Inputs!$B$14))*(1+Inputs!$B$7/100))*(F2587/100)</f>
        <v/>
      </c>
      <c r="K2587">
        <f>J2587*(1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2598-Calc!F18),(Inputs!$B$23+(IF(ArtifactsInput!$M$15,CHOOSE(ArtifactsInput!$N$15+1,25,30,35,40,45,50)/100*(Inputs!$B$11-Inputs!$B$11),0))))/100+(Inputs!$B$23+(IF(ArtifactsInput!$M$15,CHOOSE(ArtifactsInput!$N$15+1,25,30,35,40,45,50)/100*(Inputs!$B$11-Inputs!$B$11),0)))/100)/2</f>
        <v/>
      </c>
      <c r="M2587">
        <f>L2587*(1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IF(B2616=0,0,O2587/B2616)</f>
        <v/>
      </c>
      <c r="Q2587">
        <f>IFERROR(1/IF(Inputs!$B$38="pvp",15,MAX(0.1,Skills!D7-IF(Skills!E7=TRUE,2.0,0))),0)</f>
        <v/>
      </c>
      <c r="R2587">
        <f>IF(AND(Inputs!$B$38&lt;&gt;"pvp",Inputs!$B$43&gt;0),IF(MAX(0,Inputs!$B$43-B2613)&lt;=0,0,(INT(MAX(0,Inputs!$B$43-B2613)/IF(Inputs!$B$38="pvp",15,MAX(0.1,Skills!D7-IF(Skills!E7=TRUE,2.0,0))))+1)),0)</f>
        <v/>
      </c>
      <c r="S2587">
        <f>IF(C2587,(H2587*N2587*IF(AND(Inputs!$B$38&lt;&gt;"pvp",Inputs!$B$43&gt;0),((Skills!F7*((R2587-1)*IF(Skills!G7&gt;0,Skills!H7/Skills!G7,1)+IF(Skills!G7&gt;0,MIN(Skills!H7,MAX(0,MAX(0,Inputs!$B$43-B2613)-((R2587-1)*IF(Inputs!$B$38="pvp",15,MAX(0.1,Skills!D7-IF(Skills!E7=TRUE,2.0,0))))))/Skills!G7,1)))/Inputs!$B$43),G2587*Q2587))*IF(Inputs!$B$38="pvp",1,1+(Inputs!$B$20+Skills!O7+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F7*((R2587-1)*IF(Skills!G7&gt;0,Skills!H7/Skills!G7,1)+IF(Skills!G7&gt;0,MIN(Skills!H7,MAX(0,MAX(0,Inputs!$B$43-B2613)-((R2587-1)*IF(Inputs!$B$38="pvp",15,MAX(0.1,Skills!D7-IF(Skills!E7=TRUE,2.0,0))))))/Skills!G7,1)))/Inputs!$B$43),G2587*Q2587))*IF(Inputs!$B$38="pvp",1,(1+(Inputs!$B$21+Skills!P7+B2607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Skills!A8</f>
        <v/>
      </c>
      <c r="B2588">
        <f>Skills!B8</f>
        <v/>
      </c>
      <c r="C2588">
        <f>Inputs!$B$3&gt;=103</f>
        <v/>
      </c>
      <c r="D2588">
        <f>IF(Skills!C8=1,60+Inputs!$B$25+Inputs!$B$29,IF(Skills!C8=2,90+Inputs!$B$26+Inputs!$B$29,IF(Skills!C8=3,120+Inputs!$B$27+Inputs!$B$29,MAX(0,(Inputs!$B$3-100)*3)+Inputs!$B$28+Inputs!$B$29)))</f>
        <v/>
      </c>
      <c r="E2588">
        <f>INDEX(FactorTable!$B$2:$Y$301, MATCH(ROUND(MIN(300,MAX(1,D2588)),0), FactorTable!$A$2:$A$301,0), Skills!L8+1)</f>
        <v/>
      </c>
      <c r="F2588">
        <f>IF(Skills!M8=TRUE,(Skills!K8/10)*(E2588/1000),Skills!K8/10)+Skills!N8</f>
        <v/>
      </c>
      <c r="G2588">
        <f>Calc!G8</f>
        <v/>
      </c>
      <c r="H2588">
        <f>Calc!H8</f>
        <v/>
      </c>
      <c r="I2588">
        <f>IF(Skills!T8&lt;&gt;"",1+(Skills!T8/10)*(Z2583/1000)/100,1)</f>
        <v/>
      </c>
      <c r="J2588">
        <f>((Inputs!$B$6*(1+Inputs!$B$7/100))+(((Inputs!$B$12*(1+Inputs!$B$13/100))-(Inputs!$B$12*(1+Inputs!$B$13/100)))+0.25*(Inputs!$B$14-Inputs!$B$14))*(1+Inputs!$B$7/100))*(F2588/100)</f>
        <v/>
      </c>
      <c r="K2588">
        <f>J2588*(1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2598-Calc!F18),(Inputs!$B$23+(IF(ArtifactsInput!$M$15,CHOOSE(ArtifactsInput!$N$15+1,25,30,35,40,45,50)/100*(Inputs!$B$11-Inputs!$B$11),0))))/100+(Inputs!$B$23+(IF(ArtifactsInput!$M$15,CHOOSE(ArtifactsInput!$N$15+1,25,30,35,40,45,50)/100*(Inputs!$B$11-Inputs!$B$11),0)))/100)/2</f>
        <v/>
      </c>
      <c r="M2588">
        <f>L2588*(1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IF(B2616=0,0,O2588/B2616)</f>
        <v/>
      </c>
      <c r="Q2588">
        <f>IFERROR(1/IF(Inputs!$B$38="pvp",15,MAX(0.1,Skills!D8-IF(Skills!E8=TRUE,2.0,0))),0)</f>
        <v/>
      </c>
      <c r="R2588">
        <f>IF(AND(Inputs!$B$38&lt;&gt;"pvp",Inputs!$B$43&gt;0),IF(MAX(0,Inputs!$B$43-B2613)&lt;=0,0,(INT(MAX(0,Inputs!$B$43-B2613)/IF(Inputs!$B$38="pvp",15,MAX(0.1,Skills!D8-IF(Skills!E8=TRUE,2.0,0))))+1)),0)</f>
        <v/>
      </c>
      <c r="S2588">
        <f>IF(C2588,(H2588*N2588*IF(AND(Inputs!$B$38&lt;&gt;"pvp",Inputs!$B$43&gt;0),((Skills!F8*((R2588-1)*IF(Skills!G8&gt;0,Skills!H8/Skills!G8,1)+IF(Skills!G8&gt;0,MIN(Skills!H8,MAX(0,MAX(0,Inputs!$B$43-B2613)-((R2588-1)*IF(Inputs!$B$38="pvp",15,MAX(0.1,Skills!D8-IF(Skills!E8=TRUE,2.0,0))))))/Skills!G8,1)))/Inputs!$B$43),G2588*Q2588))*IF(Inputs!$B$38="pvp",1,1+(Inputs!$B$20+Skills!O8+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F8*((R2588-1)*IF(Skills!G8&gt;0,Skills!H8/Skills!G8,1)+IF(Skills!G8&gt;0,MIN(Skills!H8,MAX(0,MAX(0,Inputs!$B$43-B2613)-((R2588-1)*IF(Inputs!$B$38="pvp",15,MAX(0.1,Skills!D8-IF(Skills!E8=TRUE,2.0,0))))))/Skills!G8,1)))/Inputs!$B$43),G2588*Q2588))*IF(Inputs!$B$38="pvp",1,(1+(Inputs!$B$21+Skills!P8+B2607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Skills!A9</f>
        <v/>
      </c>
      <c r="B2589">
        <f>Skills!B9</f>
        <v/>
      </c>
      <c r="C2589">
        <f>Inputs!$B$3&gt;=105</f>
        <v/>
      </c>
      <c r="D2589">
        <f>IF(Skills!C9=1,60+Inputs!$B$25+Inputs!$B$29,IF(Skills!C9=2,90+Inputs!$B$26+Inputs!$B$29,IF(Skills!C9=3,120+Inputs!$B$27+Inputs!$B$29,MAX(0,(Inputs!$B$3-100)*3)+Inputs!$B$28+Inputs!$B$29)))</f>
        <v/>
      </c>
      <c r="E2589">
        <f>INDEX(FactorTable!$B$2:$Y$301, MATCH(ROUND(MIN(300,MAX(1,D2589)),0), FactorTable!$A$2:$A$301,0), Skills!L9+1)</f>
        <v/>
      </c>
      <c r="F2589">
        <f>IF(Skills!M9=TRUE,(Skills!K9/10)*(E2589/1000),Skills!K9/10)+Skills!N9</f>
        <v/>
      </c>
      <c r="G2589">
        <f>Calc!G9</f>
        <v/>
      </c>
      <c r="H2589">
        <f>Calc!H9</f>
        <v/>
      </c>
      <c r="I2589">
        <f>IF(Skills!T9&lt;&gt;"",1+(Skills!T9/10)*(Z2583/1000)/100,1)</f>
        <v/>
      </c>
      <c r="J2589">
        <f>((Inputs!$B$6*(1+Inputs!$B$7/100))+(((Inputs!$B$12*(1+Inputs!$B$13/100))-(Inputs!$B$12*(1+Inputs!$B$13/100)))+0.25*(Inputs!$B$14-Inputs!$B$14))*(1+Inputs!$B$7/100))*(F2589/100)</f>
        <v/>
      </c>
      <c r="K2589">
        <f>J2589*(1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F2598-Calc!F18),(Inputs!$B$23+(IF(ArtifactsInput!$M$15,CHOOSE(ArtifactsInput!$N$15+1,25,30,35,40,45,50)/100*(Inputs!$B$11-Inputs!$B$11),0))))/100+(Inputs!$B$23+(IF(ArtifactsInput!$M$15,CHOOSE(ArtifactsInput!$N$15+1,25,30,35,40,45,50)/100*(Inputs!$B$11-Inputs!$B$11),0)))/100)/2</f>
        <v/>
      </c>
      <c r="M2589">
        <f>L2589*(1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(1-Summary!$B$11)*S2589+Summary!$B$11*U2589</f>
        <v/>
      </c>
      <c r="P2589">
        <f>IF(B2616=0,0,O2589/B2616)</f>
        <v/>
      </c>
      <c r="Q2589">
        <f>IFERROR(1/IF(Inputs!$B$38="pvp",15,MAX(0.1,Skills!D9-IF(Skills!E9=TRUE,2.0,0))),0)</f>
        <v/>
      </c>
      <c r="R2589">
        <f>IF(AND(Inputs!$B$38&lt;&gt;"pvp",Inputs!$B$43&gt;0),IF(MAX(0,Inputs!$B$43-B2613)&lt;=0,0,(INT(MAX(0,Inputs!$B$43-B2613)/IF(Inputs!$B$38="pvp",15,MAX(0.1,Skills!D9-IF(Skills!E9=TRUE,2.0,0))))+1)),0)</f>
        <v/>
      </c>
      <c r="S2589">
        <f>IF(C2589,(H2589*N2589*IF(AND(Inputs!$B$38&lt;&gt;"pvp",Inputs!$B$43&gt;0),((Skills!F9*((R2589-1)*IF(Skills!G9&gt;0,Skills!H9/Skills!G9,1)+IF(Skills!G9&gt;0,MIN(Skills!H9,MAX(0,MAX(0,Inputs!$B$43-B2613)-((R2589-1)*IF(Inputs!$B$38="pvp",15,MAX(0.1,Skills!D9-IF(Skills!E9=TRUE,2.0,0))))))/Skills!G9,1)))/Inputs!$B$43),G2589*Q2589))*IF(Inputs!$B$38="pvp",1,1+(Inputs!$B$20+Skills!O9+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9">
        <f>IF(C2589,(H2589*N2589*IF(AND(Inputs!$B$38&lt;&gt;"pvp",Inputs!$B$43&gt;0),((Skills!F9*((R2589-1)*IF(Skills!G9&gt;0,Skills!H9/Skills!G9,1)+IF(Skills!G9&gt;0,MIN(Skills!H9,MAX(0,MAX(0,Inputs!$B$43-B2613)-((R2589-1)*IF(Inputs!$B$38="pvp",15,MAX(0.1,Skills!D9-IF(Skills!E9=TRUE,2.0,0))))))/Skills!G9,1)))/Inputs!$B$43),G2589*Q2589))*IF(Inputs!$B$38="pvp",1,(1+(Inputs!$B$21+Skills!P9+B2607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Skills!A10</f>
        <v/>
      </c>
      <c r="B2590">
        <f>Skills!B10</f>
        <v/>
      </c>
      <c r="C2590">
        <f>Inputs!$B$3&gt;=113</f>
        <v/>
      </c>
      <c r="D2590">
        <f>IF(Skills!C10=1,60+Inputs!$B$25+Inputs!$B$29,IF(Skills!C10=2,90+Inputs!$B$26+Inputs!$B$29,IF(Skills!C10=3,120+Inputs!$B$27+Inputs!$B$29,MAX(0,(Inputs!$B$3-100)*3)+Inputs!$B$28+Inputs!$B$29)))</f>
        <v/>
      </c>
      <c r="E2590">
        <f>INDEX(FactorTable!$B$2:$Y$301, MATCH(ROUND(MIN(300,MAX(1,D2590)),0), FactorTable!$A$2:$A$301,0), Skills!L10+1)</f>
        <v/>
      </c>
      <c r="F2590">
        <f>IF(Skills!M10=TRUE,(Skills!K10/10)*(E2590/1000),Skills!K10/10)+Skills!N10</f>
        <v/>
      </c>
      <c r="G2590">
        <f>Calc!G10</f>
        <v/>
      </c>
      <c r="H2590">
        <f>Calc!H10</f>
        <v/>
      </c>
      <c r="I2590">
        <f>IF(Skills!T10&lt;&gt;"",1+(Skills!T10/10)*(Z2583/1000)/100,1)</f>
        <v/>
      </c>
      <c r="J2590">
        <f>((Inputs!$B$6*(1+Inputs!$B$7/100))+(((Inputs!$B$12*(1+Inputs!$B$13/100))-(Inputs!$B$12*(1+Inputs!$B$13/100)))+0.25*(Inputs!$B$14-Inputs!$B$14))*(1+Inputs!$B$7/100))*(F2590/100)</f>
        <v/>
      </c>
      <c r="K2590">
        <f>J2590*(1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F2598-Calc!F18),(Inputs!$B$23+(IF(ArtifactsInput!$M$15,CHOOSE(ArtifactsInput!$N$15+1,25,30,35,40,45,50)/100*(Inputs!$B$11-Inputs!$B$11),0))))/100+(Inputs!$B$23+(IF(ArtifactsInput!$M$15,CHOOSE(ArtifactsInput!$N$15+1,25,30,35,40,45,50)/100*(Inputs!$B$11-Inputs!$B$11),0)))/100)/2</f>
        <v/>
      </c>
      <c r="M2590">
        <f>L2590*(1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(1-Summary!$B$11)*S2590+Summary!$B$11*U2590</f>
        <v/>
      </c>
      <c r="P2590">
        <f>IF(B2616=0,0,O2590/B2616)</f>
        <v/>
      </c>
      <c r="Q2590">
        <f>IFERROR(1/IF(Inputs!$B$38="pvp",15,MAX(0.1,Skills!D10-IF(Skills!E9=TRUE,2.0,0))),0)</f>
        <v/>
      </c>
      <c r="R2590">
        <f>IF(AND(Inputs!$B$38&lt;&gt;"pvp",Inputs!$B$43&gt;0),IF(MAX(0,Inputs!$B$43-B2613)&lt;=0,0,(INT(MAX(0,Inputs!$B$43-B2613)/IF(Inputs!$B$38="pvp",15,MAX(0.1,Skills!D10-IF(Skills!E9=TRUE,2.0,0))))+1)),0)</f>
        <v/>
      </c>
      <c r="S2590">
        <f>IF(C2590,(H2590*N2590*IF(AND(Inputs!$B$38&lt;&gt;"pvp",Inputs!$B$43&gt;0),((Skills!F10*((R2590-1)*IF(Skills!G10&gt;0,Skills!H10/Skills!G10,1)+IF(Skills!G10&gt;0,MIN(Skills!H10,MAX(0,MAX(0,Inputs!$B$43-B2613)-((R2590-1)*IF(Inputs!$B$38="pvp",15,MAX(0.1,Skills!D10-IF(Skills!E9=TRUE,2.0,0))))))/Skills!G10,1)))/Inputs!$B$43),G2590*Q2590))*IF(Inputs!$B$38="pvp",1,1+(Inputs!$B$20+Skills!O10+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2590*(1-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0">
        <f>IF(C2590,(H2590*N2590*IF(AND(Inputs!$B$38&lt;&gt;"pvp",Inputs!$B$43&gt;0),((Skills!F10*((R2590-1)*IF(Skills!G10&gt;0,Skills!H10/Skills!G10,1)+IF(Skills!G10&gt;0,MIN(Skills!H10,MAX(0,MAX(0,Inputs!$B$43-B2613)-((R2590-1)*IF(Inputs!$B$38="pvp",15,MAX(0.1,Skills!D10-IF(Skills!E9=TRUE,2.0,0))))))/Skills!G10,1)))/Inputs!$B$43),G2590*Q2590))*IF(Inputs!$B$38="pvp",1,(1+(Inputs!$B$21+Skills!P10+B2607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Skills!A11</f>
        <v/>
      </c>
      <c r="B2591">
        <f>Skills!B11</f>
        <v/>
      </c>
      <c r="C2591">
        <f>Inputs!$B$3&gt;=107</f>
        <v/>
      </c>
      <c r="D2591">
        <f>IF(Skills!C11=1,60+Inputs!$B$25+Inputs!$B$29,IF(Skills!C11=2,90+Inputs!$B$26+Inputs!$B$29,IF(Skills!C11=3,120+Inputs!$B$27+Inputs!$B$29,MAX(0,(Inputs!$B$3-100)*3)+Inputs!$B$28+Inputs!$B$29)))</f>
        <v/>
      </c>
      <c r="E2591">
        <f>INDEX(FactorTable!$B$2:$Y$301, MATCH(ROUND(MIN(300,MAX(1,D2591)),0), FactorTable!$A$2:$A$301,0), Skills!L11+1)</f>
        <v/>
      </c>
      <c r="F2591">
        <f>IF(Skills!M11=TRUE,(Skills!K11/10)*(E2591/1000),Skills!K11/10)+Skills!N11</f>
        <v/>
      </c>
      <c r="G2591">
        <f>Calc!G11</f>
        <v/>
      </c>
      <c r="H2591">
        <f>Calc!H11</f>
        <v/>
      </c>
      <c r="I2591">
        <f>IF(Skills!T11&lt;&gt;"",1+(Skills!T11/10)*(Z2583/1000)/100,1)</f>
        <v/>
      </c>
      <c r="J2591">
        <f>((Inputs!$B$6*(1+Inputs!$B$7/100))+(((Inputs!$B$12*(1+Inputs!$B$13/100))-(Inputs!$B$12*(1+Inputs!$B$13/100)))+0.25*(Inputs!$B$14-Inputs!$B$14))*(1+Inputs!$B$7/100))*(F2591/100)</f>
        <v/>
      </c>
      <c r="K2591">
        <f>J2591*(1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2598-Calc!F18),(Inputs!$B$23+(IF(ArtifactsInput!$M$15,CHOOSE(ArtifactsInput!$N$15+1,25,30,35,40,45,50)/100*(Inputs!$B$11-Inputs!$B$11),0))))/100+(Inputs!$B$23+(IF(ArtifactsInput!$M$15,CHOOSE(ArtifactsInput!$N$15+1,25,30,35,40,45,50)/100*(Inputs!$B$11-Inputs!$B$11),0)))/100)/2</f>
        <v/>
      </c>
      <c r="M2591">
        <f>L2591*(1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IF(B2616=0,0,O2591/B2616)</f>
        <v/>
      </c>
      <c r="Q2591">
        <f>IFERROR(1/IF(Inputs!$B$38="pvp",15,MAX(0.1,Skills!D11-IF(Skills!E11=TRUE,2.0,0))),0)</f>
        <v/>
      </c>
      <c r="R2591">
        <f>IF(AND(Inputs!$B$38&lt;&gt;"pvp",Inputs!$B$43&gt;0),IF(MAX(0,Inputs!$B$43-B2613)&lt;=0,0,(INT(MAX(0,Inputs!$B$43-B2613)/IF(Inputs!$B$38="pvp",15,MAX(0.1,Skills!D11-IF(Skills!E11=TRUE,2.0,0))))+1)),0)</f>
        <v/>
      </c>
      <c r="S2591">
        <f>IF(C2591,H2591*N2591*IF(AND(Inputs!$B$38&lt;&gt;"pvp",Inputs!$B$43&gt;0),((Skills!F11*((R2591-1)*IF(Skills!G11&gt;0,Skills!H11/Skills!G11,1)+IF(Skills!G11&gt;0,MIN(Skills!H11,MAX(0,MAX(0,Inputs!$B$43-B2613)-((R2591-1)*IF(Inputs!$B$38="pvp",15,MAX(0.1,Skills!D11-IF(Skills!E11=TRUE,2.0,0))))))/Skills!G11,1)))/Inputs!$B$43),G2591*Q2591)*0.5*IF(Inputs!$B$38="pvp",1,1+(Inputs!$B$20+Skills!O11+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F11*((R2591-1)*IF(Skills!G11&gt;0,Skills!H11/Skills!G11,1)+IF(Skills!G11&gt;0,MIN(Skills!H11,MAX(0,MAX(0,Inputs!$B$43-B2613)-((R2591-1)*IF(Inputs!$B$38="pvp",15,MAX(0.1,Skills!D11-IF(Skills!E11=TRUE,2.0,0))))))/Skills!G11,1)))/Inputs!$B$43),G2591*Q2591)*1*IF(Inputs!$B$38="pvp",1,(1+(Inputs!$B$21+Skills!P11+B2607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Skills!A12</f>
        <v/>
      </c>
      <c r="B2592">
        <f>Skills!B12</f>
        <v/>
      </c>
      <c r="C2592">
        <f>Inputs!$B$3&gt;=115</f>
        <v/>
      </c>
      <c r="D2592">
        <f>IF(Skills!C12=1,60+Inputs!$B$25+Inputs!$B$29,IF(Skills!C12=2,90+Inputs!$B$26+Inputs!$B$29,IF(Skills!C12=3,120+Inputs!$B$27+Inputs!$B$29,MAX(0,(Inputs!$B$3-100)*3)+Inputs!$B$28+Inputs!$B$29)))</f>
        <v/>
      </c>
      <c r="E2592">
        <f>INDEX(FactorTable!$B$2:$Y$301, MATCH(ROUND(MIN(300,MAX(1,D2592)),0), FactorTable!$A$2:$A$301,0), Skills!L12+1)</f>
        <v/>
      </c>
      <c r="F2592">
        <f>IF(Skills!M12=TRUE,(Skills!K12/10)*(E2592/1000),Skills!K12/10)+Skills!N12</f>
        <v/>
      </c>
      <c r="G2592">
        <f>Calc!G12</f>
        <v/>
      </c>
      <c r="H2592">
        <f>Calc!H12</f>
        <v/>
      </c>
      <c r="I2592">
        <f>IF(Skills!T12&lt;&gt;"",1+(Skills!T12/10)*(Z2583/1000)/100,1)</f>
        <v/>
      </c>
      <c r="J2592">
        <f>((Inputs!$B$6*(1+Inputs!$B$7/100))+(((Inputs!$B$12*(1+Inputs!$B$13/100))-(Inputs!$B$12*(1+Inputs!$B$13/100)))+0.25*(Inputs!$B$14-Inputs!$B$14))*(1+Inputs!$B$7/100))*(F2592/100)</f>
        <v/>
      </c>
      <c r="K2592">
        <f>J2592*(1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2598-Calc!F18),(Inputs!$B$23+(IF(ArtifactsInput!$M$15,CHOOSE(ArtifactsInput!$N$15+1,25,30,35,40,45,50)/100*(Inputs!$B$11-Inputs!$B$11),0))))/100+(Inputs!$B$23+(IF(ArtifactsInput!$M$15,CHOOSE(ArtifactsInput!$N$15+1,25,30,35,40,45,50)/100*(Inputs!$B$11-Inputs!$B$11),0)))/100)/2</f>
        <v/>
      </c>
      <c r="M2592">
        <f>L2592*(1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IF(B2616=0,0,O2592/B2616)</f>
        <v/>
      </c>
      <c r="Q2592">
        <f>IFERROR(1/IF(Inputs!$B$38="pvp",15,MAX(0.1,Skills!D12-IF(Skills!E12=TRUE,2.0,0))),0)</f>
        <v/>
      </c>
      <c r="R2592">
        <f>IF(AND(Inputs!$B$38&lt;&gt;"pvp",Inputs!$B$43&gt;0),IF(MAX(0,Inputs!$B$43-B2613)&lt;=0,0,(INT(MAX(0,Inputs!$B$43-B2613)/IF(Inputs!$B$38="pvp",15,MAX(0.1,Skills!D12-IF(Skills!E12=TRUE,2.0,0))))+1)),0)</f>
        <v/>
      </c>
      <c r="S2592">
        <f>IF(C2592,(H2592*N2592*IF(AND(Inputs!$B$38&lt;&gt;"pvp",Inputs!$B$43&gt;0),((Skills!F12*((R2592-1)*IF(Skills!G12&gt;0,Skills!H12/Skills!G12,1)+IF(Skills!G12&gt;0,MIN(Skills!H12,MAX(0,MAX(0,Inputs!$B$43-B2613)-((R2592-1)*IF(Inputs!$B$38="pvp",15,MAX(0.1,Skills!D12-IF(Skills!E12=TRUE,2.0,0))))))/Skills!G12,1)))/Inputs!$B$43),G2592*Q2592))*IF(Inputs!$B$38="pvp",1,1+(Inputs!$B$20+Skills!O12+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N2592*IF(AND(Inputs!$B$38&lt;&gt;"pvp",Inputs!$B$43&gt;0),((Skills!F12*((R2592-1)*IF(Skills!G12&gt;0,Skills!H12/Skills!G12,1)+IF(Skills!G12&gt;0,MIN(Skills!H12,MAX(0,MAX(0,Inputs!$B$43-B2613)-((R2592-1)*IF(Inputs!$B$38="pvp",15,MAX(0.1,Skills!D12-IF(Skills!E12=TRUE,2.0,0))))))/Skills!G12,1)))/Inputs!$B$43),G2592*Q2592))*IF(Inputs!$B$38="pvp",1,(1+(Inputs!$B$21+Skills!P12+B2607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Skills!A13</f>
        <v/>
      </c>
      <c r="B2593">
        <f>Skills!B13</f>
        <v/>
      </c>
      <c r="C2593">
        <f>Inputs!$B$3&gt;=49</f>
        <v/>
      </c>
      <c r="D2593">
        <f>IF(Skills!C13=1,60+Inputs!$B$25+Inputs!$B$29,IF(Skills!C13=2,90+Inputs!$B$26+Inputs!$B$29,IF(Skills!C13=3,120+Inputs!$B$27+Inputs!$B$29,MAX(0,(Inputs!$B$3-100)*3)+Inputs!$B$28+Inputs!$B$29)))</f>
        <v/>
      </c>
      <c r="E2593">
        <f>INDEX(FactorTable!$B$2:$Y$301, MATCH(ROUND(MIN(300,MAX(1,D2593)),0), FactorTable!$A$2:$A$301,0), Skills!L13+1)</f>
        <v/>
      </c>
      <c r="F2593">
        <f>IF(Skills!M13=TRUE,(Skills!K13/10)*(E2593/1000),Skills!K13/10)+Skills!N13</f>
        <v/>
      </c>
      <c r="G2593">
        <f>Calc!G13</f>
        <v/>
      </c>
      <c r="H2593">
        <f>Calc!H13</f>
        <v/>
      </c>
      <c r="I2593">
        <f>IF(Skills!T13&lt;&gt;"",1+(Skills!T13/10)*(Z2583/1000)/100,1)</f>
        <v/>
      </c>
      <c r="J2593" t="inlineStr"/>
      <c r="K2593" t="inlineStr"/>
      <c r="L2593" t="inlineStr"/>
      <c r="M2593" t="inlineStr"/>
      <c r="N2593" t="inlineStr"/>
      <c r="O2593">
        <f>(1-Summary!$B$11)*S2593+Summary!$B$11*U2593</f>
        <v/>
      </c>
      <c r="P2593">
        <f>IF(B2616=0,0,O2593/B2616)</f>
        <v/>
      </c>
      <c r="Q2593">
        <f>IFERROR(1/IF(Inputs!$B$38="pvp",15,MAX(0.1,Skills!D13-IF(Skills!E13=TRUE,2.0,0))),0)</f>
        <v/>
      </c>
      <c r="R2593" t="n">
        <v>0</v>
      </c>
      <c r="S2593" t="n">
        <v>0</v>
      </c>
      <c r="U2593" t="n">
        <v>0</v>
      </c>
    </row>
    <row r="2594">
      <c r="A2594">
        <f>Skills!A14</f>
        <v/>
      </c>
      <c r="B2594">
        <f>Skills!B14</f>
        <v/>
      </c>
      <c r="C2594">
        <f>Inputs!$B$3&gt;=72</f>
        <v/>
      </c>
      <c r="D2594">
        <f>IF(Skills!C14=1,60+Inputs!$B$25+Inputs!$B$29,IF(Skills!C14=2,90+Inputs!$B$26+Inputs!$B$29,IF(Skills!C14=3,120+Inputs!$B$27+Inputs!$B$29,MAX(0,(Inputs!$B$3-100)*3)+Inputs!$B$28+Inputs!$B$29)))</f>
        <v/>
      </c>
      <c r="E2594">
        <f>INDEX(FactorTable!$B$2:$Y$301, MATCH(ROUND(MIN(300,MAX(1,D2594)),0), FactorTable!$A$2:$A$301,0), Skills!L14+1)</f>
        <v/>
      </c>
      <c r="F2594">
        <f>IF(Skills!M14=TRUE,(Skills!K14/10)*(E2594/1000),Skills!K14/10)+Skills!N14</f>
        <v/>
      </c>
      <c r="G2594">
        <f>Calc!G14</f>
        <v/>
      </c>
      <c r="H2594">
        <f>Calc!H14</f>
        <v/>
      </c>
      <c r="I2594">
        <f>IF(Skills!T14&lt;&gt;"",1+(Skills!T14/10)*(Z2583/1000)/100,1)</f>
        <v/>
      </c>
      <c r="J2594" t="inlineStr"/>
      <c r="K2594" t="inlineStr"/>
      <c r="L2594" t="inlineStr"/>
      <c r="M2594" t="inlineStr"/>
      <c r="N2594" t="inlineStr"/>
      <c r="O2594">
        <f>(1-Summary!$B$11)*S2594+Summary!$B$11*U2594</f>
        <v/>
      </c>
      <c r="P2594">
        <f>IF(B2616=0,0,O2594/B2616)</f>
        <v/>
      </c>
      <c r="Q2594">
        <f>IFERROR(1/IF(Inputs!$B$38="pvp",15,MAX(0.1,Skills!D14-IF(Skills!E14=TRUE,2.0,0))),0)</f>
        <v/>
      </c>
      <c r="R2594" t="n">
        <v>0</v>
      </c>
      <c r="S2594" t="n">
        <v>0</v>
      </c>
      <c r="U2594" t="n">
        <v>0</v>
      </c>
    </row>
    <row r="2595">
      <c r="A2595">
        <f>Skills!A15</f>
        <v/>
      </c>
      <c r="B2595">
        <f>Skills!B15</f>
        <v/>
      </c>
      <c r="C2595">
        <f>Inputs!$B$3&gt;=75</f>
        <v/>
      </c>
      <c r="D2595">
        <f>IF(Skills!C15=1,60+Inputs!$B$25+Inputs!$B$29,IF(Skills!C15=2,90+Inputs!$B$26+Inputs!$B$29,IF(Skills!C15=3,120+Inputs!$B$27+Inputs!$B$29,MAX(0,(Inputs!$B$3-100)*3)+Inputs!$B$28+Inputs!$B$29)))</f>
        <v/>
      </c>
      <c r="E2595">
        <f>INDEX(FactorTable!$B$2:$Y$301, MATCH(ROUND(MIN(300,MAX(1,D2595)),0), FactorTable!$A$2:$A$301,0), Skills!L15+1)</f>
        <v/>
      </c>
      <c r="F2595">
        <f>IF(Skills!M15=TRUE,(Skills!K15/10)*(E2595/1000),Skills!K15/10)+Skills!N15</f>
        <v/>
      </c>
      <c r="G2595">
        <f>Calc!G15</f>
        <v/>
      </c>
      <c r="H2595">
        <f>Calc!H15</f>
        <v/>
      </c>
      <c r="I2595">
        <f>IF(Skills!T15&lt;&gt;"",1+(Skills!T15/10)*(Z2583/1000)/100,1)</f>
        <v/>
      </c>
      <c r="J2595" t="inlineStr"/>
      <c r="K2595" t="inlineStr"/>
      <c r="L2595" t="inlineStr"/>
      <c r="M2595" t="inlineStr"/>
      <c r="N2595" t="inlineStr"/>
      <c r="O2595">
        <f>(1-Summary!$B$11)*S2595+Summary!$B$11*U2595</f>
        <v/>
      </c>
      <c r="P2595">
        <f>IF(B2616=0,0,O2595/B2616)</f>
        <v/>
      </c>
      <c r="Q2595">
        <f>IFERROR(1/IF(Inputs!$B$38="pvp",15,MAX(0.1,Skills!D15-IF(Skills!E15=TRUE,2.0,0))),0)</f>
        <v/>
      </c>
      <c r="R2595" t="n">
        <v>0</v>
      </c>
      <c r="S2595" t="n">
        <v>0</v>
      </c>
      <c r="U2595" t="n">
        <v>0</v>
      </c>
    </row>
    <row r="2596">
      <c r="A2596">
        <f>Skills!A16</f>
        <v/>
      </c>
      <c r="B2596">
        <f>Skills!B16</f>
        <v/>
      </c>
      <c r="C2596">
        <f>Inputs!$B$3&gt;=110</f>
        <v/>
      </c>
      <c r="D2596">
        <f>IF(Skills!C16=1,60+Inputs!$B$25+Inputs!$B$29,IF(Skills!C16=2,90+Inputs!$B$26+Inputs!$B$29,IF(Skills!C16=3,120+Inputs!$B$27+Inputs!$B$29,MAX(0,(Inputs!$B$3-100)*3)+Inputs!$B$28+Inputs!$B$29)))</f>
        <v/>
      </c>
      <c r="E2596">
        <f>INDEX(FactorTable!$B$2:$Y$301, MATCH(ROUND(MIN(300,MAX(1,D2596)),0), FactorTable!$A$2:$A$301,0), Skills!L16+1)</f>
        <v/>
      </c>
      <c r="F2596">
        <f>(Skills!K16/10)*(E2596/1000)*64/45+Skills!N16</f>
        <v/>
      </c>
      <c r="G2596">
        <f>Calc!G16</f>
        <v/>
      </c>
      <c r="H2596">
        <f>Calc!H16</f>
        <v/>
      </c>
      <c r="I2596">
        <f>IF(Skills!T16&lt;&gt;"",1+(Skills!T16/10)*(Z2583/1000)/100,1)</f>
        <v/>
      </c>
      <c r="J2596" t="inlineStr"/>
      <c r="K2596" t="inlineStr"/>
      <c r="L2596" t="inlineStr"/>
      <c r="M2596" t="inlineStr"/>
      <c r="N2596" t="inlineStr"/>
      <c r="O2596">
        <f>(1-Summary!$B$11)*S2596+Summary!$B$11*U2596</f>
        <v/>
      </c>
      <c r="P2596">
        <f>IF(B2616=0,0,O2596/B2616)</f>
        <v/>
      </c>
      <c r="Q2596">
        <f>IFERROR(1/IF(Inputs!$B$38="pvp",15,MAX(0.1,Skills!D16-IF(Skills!E16=TRUE,2.0,0))),0)</f>
        <v/>
      </c>
      <c r="R2596">
        <f>IF(AND(Inputs!$B$38&lt;&gt;"pvp",Inputs!$B$43&gt;0),IF(Inputs!$B$43&lt;=0,0,(INT(Inputs!$B$43/IF(Inputs!$B$38="pvp",15,MAX(0.1,Skills!D16-IF(Skills!E16=TRUE,2.0,0))))+1)),0)</f>
        <v/>
      </c>
      <c r="S2596" t="n">
        <v>0</v>
      </c>
      <c r="U2596" t="n">
        <v>0</v>
      </c>
    </row>
    <row r="2597">
      <c r="A2597">
        <f>Skills!A17</f>
        <v/>
      </c>
      <c r="B2597">
        <f>Skills!B17</f>
        <v/>
      </c>
      <c r="C2597">
        <f>Inputs!$B$3&gt;=33</f>
        <v/>
      </c>
      <c r="D2597">
        <f>IF(Skills!C17=1,60+Inputs!$B$25+Inputs!$B$29,IF(Skills!C17=2,90+Inputs!$B$26+Inputs!$B$29,IF(Skills!C17=3,120+Inputs!$B$27+Inputs!$B$29,MAX(0,(Inputs!$B$3-100)*3)+Inputs!$B$28+Inputs!$B$29)))</f>
        <v/>
      </c>
      <c r="E2597">
        <f>INDEX(FactorTable!$B$2:$Y$301, MATCH(ROUND(MIN(300,MAX(1,D2597)),0), FactorTable!$A$2:$A$301,0), Skills!L17+1)</f>
        <v/>
      </c>
      <c r="F2597">
        <f>IF(Skills!M17=TRUE,(Skills!K17/10)*(E2597/1000),Skills!K17/10)+Skills!N17</f>
        <v/>
      </c>
      <c r="G2597">
        <f>Calc!G17</f>
        <v/>
      </c>
      <c r="H2597">
        <f>Calc!H17</f>
        <v/>
      </c>
      <c r="I2597">
        <f>IF(Skills!T17&lt;&gt;"",1+(Skills!T17/10)*(Z2583/1000)/100,1)</f>
        <v/>
      </c>
      <c r="J2597" t="inlineStr"/>
      <c r="K2597" t="inlineStr"/>
      <c r="L2597" t="inlineStr"/>
      <c r="M2597" t="inlineStr"/>
      <c r="N2597" t="inlineStr"/>
      <c r="O2597">
        <f>(1-Summary!$B$11)*S2597+Summary!$B$11*U2597</f>
        <v/>
      </c>
      <c r="P2597">
        <f>IF(B2616=0,0,O2597/B2616)</f>
        <v/>
      </c>
      <c r="Q2597">
        <f>IFERROR(1/IF(Inputs!$B$38="pvp",15,MAX(0.1,Skills!D17-IF(Skills!E17=TRUE,2.0,0))),0)</f>
        <v/>
      </c>
      <c r="R2597" t="n">
        <v>0</v>
      </c>
      <c r="S2597" t="n">
        <v>0</v>
      </c>
      <c r="U2597" t="n">
        <v>0</v>
      </c>
    </row>
    <row r="2598">
      <c r="A2598">
        <f>Skills!A18</f>
        <v/>
      </c>
      <c r="B2598">
        <f>Skills!B18</f>
        <v/>
      </c>
      <c r="C2598">
        <f>Inputs!$B$3&gt;=43</f>
        <v/>
      </c>
      <c r="D2598">
        <f>IF(Skills!C18=1,60+Inputs!$B$25+Inputs!$B$29,IF(Skills!C18=2,90+Inputs!$B$26+Inputs!$B$29,IF(Skills!C18=3,120+Inputs!$B$27+Inputs!$B$29,MAX(0,(Inputs!$B$3-100)*3)+Inputs!$B$28+Inputs!$B$29)))</f>
        <v/>
      </c>
      <c r="E2598">
        <f>INDEX(FactorTable!$B$2:$Y$301, MATCH(ROUND(MIN(300,MAX(1,D2598)),0), FactorTable!$A$2:$A$301,0), Skills!L18+1)</f>
        <v/>
      </c>
      <c r="F2598">
        <f>IF(Skills!M18=TRUE,(Skills!K18/10)*(E2598/1000),Skills!K18/10)+Skills!N18</f>
        <v/>
      </c>
      <c r="G2598">
        <f>Calc!G18</f>
        <v/>
      </c>
      <c r="H2598">
        <f>Calc!H18</f>
        <v/>
      </c>
      <c r="I2598">
        <f>IF(Skills!T18&lt;&gt;"",1+(Skills!T18/10)*(Z2583/1000)/100,1)</f>
        <v/>
      </c>
      <c r="J2598" t="inlineStr"/>
      <c r="K2598" t="inlineStr"/>
      <c r="L2598" t="inlineStr"/>
      <c r="M2598" t="inlineStr"/>
      <c r="N2598" t="inlineStr"/>
      <c r="O2598">
        <f>(1-Summary!$B$11)*S2598+Summary!$B$11*U2598</f>
        <v/>
      </c>
      <c r="P2598">
        <f>IF(B2616=0,0,O2598/B2616)</f>
        <v/>
      </c>
      <c r="Q2598">
        <f>IFERROR(1/IF(Inputs!$B$38="pvp",15,MAX(0.1,Skills!D18-IF(Skills!E18=TRUE,2.0,0))),0)</f>
        <v/>
      </c>
      <c r="R2598" t="n">
        <v>0</v>
      </c>
      <c r="S2598" t="n">
        <v>0</v>
      </c>
      <c r="U2598" t="n">
        <v>0</v>
      </c>
    </row>
    <row r="2599">
      <c r="A2599">
        <f>Skills!A19</f>
        <v/>
      </c>
      <c r="B2599">
        <f>Skills!B19</f>
        <v/>
      </c>
      <c r="C2599">
        <f>Inputs!$B$3&gt;=50</f>
        <v/>
      </c>
      <c r="D2599">
        <f>IF(Skills!C19=1,60+Inputs!$B$25+Inputs!$B$29,IF(Skills!C19=2,90+Inputs!$B$26+Inputs!$B$29,IF(Skills!C19=3,120+Inputs!$B$27+Inputs!$B$29,MAX(0,(Inputs!$B$3-100)*3)+Inputs!$B$28+Inputs!$B$29)))</f>
        <v/>
      </c>
      <c r="E2599">
        <f>INDEX(FactorTable!$B$2:$Y$301, MATCH(ROUND(MIN(300,MAX(1,D2599)),0), FactorTable!$A$2:$A$301,0), Skills!L19+1)</f>
        <v/>
      </c>
      <c r="F2599">
        <f>IF(Skills!M19=TRUE,(Skills!K19/10)*(E2599/1000),Skills!K19/10)+Skills!N19</f>
        <v/>
      </c>
      <c r="G2599">
        <f>Calc!G19</f>
        <v/>
      </c>
      <c r="H2599">
        <f>Calc!H19</f>
        <v/>
      </c>
      <c r="I2599">
        <f>IF(Skills!T19&lt;&gt;"",1+(Skills!T19/10)*(Z2583/1000)/100,1)</f>
        <v/>
      </c>
      <c r="J2599" t="inlineStr"/>
      <c r="K2599" t="inlineStr"/>
      <c r="L2599" t="inlineStr"/>
      <c r="M2599" t="inlineStr"/>
      <c r="N2599" t="inlineStr"/>
      <c r="O2599">
        <f>(1-Summary!$B$11)*S2599+Summary!$B$11*U2599</f>
        <v/>
      </c>
      <c r="P2599">
        <f>IF(B2616=0,0,O2599/B2616)</f>
        <v/>
      </c>
      <c r="Q2599">
        <f>IFERROR(1/IF(Inputs!$B$38="pvp",15,MAX(0.1,Skills!D19-IF(Skills!E19=TRUE,2.0,0))),0)</f>
        <v/>
      </c>
      <c r="R2599" t="n">
        <v>0</v>
      </c>
      <c r="S2599" t="n">
        <v>0</v>
      </c>
      <c r="U2599" t="n">
        <v>0</v>
      </c>
    </row>
    <row r="2600">
      <c r="A2600">
        <f>Skills!A20</f>
        <v/>
      </c>
      <c r="B2600">
        <f>Skills!B20</f>
        <v/>
      </c>
      <c r="C2600">
        <f>Inputs!$B$3&gt;=74</f>
        <v/>
      </c>
      <c r="D2600">
        <f>IF(Skills!C20=1,60+Inputs!$B$25+Inputs!$B$29,IF(Skills!C20=2,90+Inputs!$B$26+Inputs!$B$29,IF(Skills!C20=3,120+Inputs!$B$27+Inputs!$B$29,MAX(0,(Inputs!$B$3-100)*3)+Inputs!$B$28+Inputs!$B$29)))</f>
        <v/>
      </c>
      <c r="E2600">
        <f>INDEX(FactorTable!$B$2:$Y$301, MATCH(ROUND(MIN(300,MAX(1,D2600)),0), FactorTable!$A$2:$A$301,0), Skills!L20+1)</f>
        <v/>
      </c>
      <c r="F2600">
        <f>IF(Skills!M20=TRUE,(Skills!K20/10)*(E2600/1000),Skills!K20/10)+Skills!N20</f>
        <v/>
      </c>
      <c r="G2600">
        <f>Calc!G20</f>
        <v/>
      </c>
      <c r="H2600">
        <f>Calc!H20</f>
        <v/>
      </c>
      <c r="I2600">
        <f>IF(Skills!T20&lt;&gt;"",1+(Skills!T20/10)*(Z2583/1000)/100,1)</f>
        <v/>
      </c>
      <c r="J2600" t="inlineStr"/>
      <c r="K2600" t="inlineStr"/>
      <c r="L2600" t="inlineStr"/>
      <c r="M2600" t="inlineStr"/>
      <c r="N2600" t="inlineStr"/>
      <c r="O2600">
        <f>(1-Summary!$B$11)*S2600+Summary!$B$11*U2600</f>
        <v/>
      </c>
      <c r="P2600">
        <f>IF(B2616=0,0,O2600/B2616)</f>
        <v/>
      </c>
      <c r="Q2600">
        <f>IFERROR(1/IF(Inputs!$B$38="pvp",15,MAX(0.1,Skills!D20-IF(Skills!E20=TRUE,2.0,0))),0)</f>
        <v/>
      </c>
      <c r="R2600" t="n">
        <v>0</v>
      </c>
      <c r="S2600" t="n">
        <v>0</v>
      </c>
      <c r="U2600" t="n">
        <v>0</v>
      </c>
    </row>
    <row r="2601">
      <c r="A2601">
        <f>Skills!A21</f>
        <v/>
      </c>
      <c r="B2601">
        <f>Skills!B21</f>
        <v/>
      </c>
      <c r="C2601">
        <f>Inputs!$B$3&gt;=74</f>
        <v/>
      </c>
      <c r="D2601">
        <f>IF(Skills!C21=1,60+Inputs!$B$25+Inputs!$B$29,IF(Skills!C21=2,90+Inputs!$B$26+Inputs!$B$29,IF(Skills!C21=3,120+Inputs!$B$27+Inputs!$B$29,MAX(0,(Inputs!$B$3-100)*3)+Inputs!$B$28+Inputs!$B$29)))</f>
        <v/>
      </c>
      <c r="E2601">
        <f>INDEX(FactorTable!$B$2:$Y$301, MATCH(ROUND(MIN(300,MAX(1,D2601)),0), FactorTable!$A$2:$A$301,0), Skills!L21+1)</f>
        <v/>
      </c>
      <c r="F2601">
        <f>IF(Skills!M21=TRUE,(Skills!K21/10)*(E2601/1000),Skills!K21/10)+Skills!N21</f>
        <v/>
      </c>
      <c r="G2601">
        <f>Calc!G21</f>
        <v/>
      </c>
      <c r="H2601">
        <f>Calc!H21</f>
        <v/>
      </c>
      <c r="I2601">
        <f>IF(Skills!T21&lt;&gt;"",1+(Skills!T21/10)*(Z2583/1000)/100,1)</f>
        <v/>
      </c>
      <c r="J2601" t="inlineStr"/>
      <c r="K2601" t="inlineStr"/>
      <c r="L2601" t="inlineStr"/>
      <c r="M2601" t="inlineStr"/>
      <c r="N2601" t="inlineStr"/>
      <c r="O2601">
        <f>(1-Summary!$B$11)*S2601+Summary!$B$11*U2601</f>
        <v/>
      </c>
      <c r="P2601">
        <f>IF(B2616=0,0,O2601/B2616)</f>
        <v/>
      </c>
      <c r="Q2601">
        <f>IFERROR(1/IF(Inputs!$B$38="pvp",15,MAX(0.1,Skills!D21-IF(Skills!E21=TRUE,2.0,0))),0)</f>
        <v/>
      </c>
      <c r="R2601" t="n">
        <v>0</v>
      </c>
      <c r="S2601" t="n">
        <v>0</v>
      </c>
      <c r="U2601" t="n">
        <v>0</v>
      </c>
    </row>
    <row r="2602">
      <c r="A2602">
        <f>Skills!A22</f>
        <v/>
      </c>
      <c r="B2602">
        <f>Skills!B22</f>
        <v/>
      </c>
      <c r="C2602">
        <f>Inputs!$B$3&gt;=117</f>
        <v/>
      </c>
      <c r="D2602">
        <f>IF(Skills!C22=1,60+Inputs!$B$25+Inputs!$B$29,IF(Skills!C22=2,90+Inputs!$B$26+Inputs!$B$29,IF(Skills!C22=3,120+Inputs!$B$27+Inputs!$B$29,MAX(0,(Inputs!$B$3-100)*3)+Inputs!$B$28+Inputs!$B$29)))</f>
        <v/>
      </c>
      <c r="E2602">
        <f>INDEX(FactorTable!$B$2:$Y$301, MATCH(ROUND(MIN(300,MAX(1,D2602)),0), FactorTable!$A$2:$A$301,0), Skills!L22+1)</f>
        <v/>
      </c>
      <c r="F2602">
        <f>IF(Skills!M22=TRUE,(Skills!K22/10)*(E2602/1000),Skills!K22/10)+Skills!N22</f>
        <v/>
      </c>
      <c r="G2602">
        <f>Calc!G22</f>
        <v/>
      </c>
      <c r="H2602">
        <f>Calc!H22</f>
        <v/>
      </c>
      <c r="I2602">
        <f>IF(Skills!T22&lt;&gt;"",1+(Skills!T22/10)*(Z2583/1000)/100,1)</f>
        <v/>
      </c>
      <c r="J2602" t="inlineStr"/>
      <c r="K2602" t="inlineStr"/>
      <c r="L2602" t="inlineStr"/>
      <c r="M2602" t="inlineStr"/>
      <c r="N2602" t="inlineStr"/>
      <c r="O2602">
        <f>(1-Summary!$B$11)*S2602+Summary!$B$11*U2602</f>
        <v/>
      </c>
      <c r="P2602">
        <f>IF(B2616=0,0,O2602/B2616)</f>
        <v/>
      </c>
      <c r="Q2602">
        <f>IFERROR(1/IF(Inputs!$B$38="pvp",15,MAX(0.1,Skills!D22-IF(Skills!E22=TRUE,2.0,0))),0)</f>
        <v/>
      </c>
      <c r="R2602" t="n">
        <v>0</v>
      </c>
      <c r="S2602" t="n">
        <v>0</v>
      </c>
      <c r="U2602" t="n">
        <v>0</v>
      </c>
    </row>
    <row r="2603">
      <c r="A2603">
        <f>Skills!A23</f>
        <v/>
      </c>
      <c r="B2603">
        <f>Skills!B23</f>
        <v/>
      </c>
      <c r="C2603">
        <f>Inputs!$B$3&gt;=120</f>
        <v/>
      </c>
      <c r="D2603">
        <f>IF(Skills!C23=1,60+Inputs!$B$25+Inputs!$B$29,IF(Skills!C23=2,90+Inputs!$B$26+Inputs!$B$29,IF(Skills!C23=3,120+Inputs!$B$27+Inputs!$B$29,MAX(0,(Inputs!$B$3-100)*3)+Inputs!$B$28+Inputs!$B$29)))</f>
        <v/>
      </c>
      <c r="E2603">
        <f>INDEX(FactorTable!$B$2:$Y$301, MATCH(ROUND(MIN(300,MAX(1,D2603)),0), FactorTable!$A$2:$A$301,0), Skills!L23+1)</f>
        <v/>
      </c>
      <c r="F2603">
        <f>IF(Skills!M23=TRUE,(Skills!K23/10)*(E2603/1000),Skills!K23/10)+Skills!N23</f>
        <v/>
      </c>
      <c r="G2603">
        <f>Calc!G23</f>
        <v/>
      </c>
      <c r="H2603">
        <f>Calc!H23</f>
        <v/>
      </c>
      <c r="I2603">
        <f>IF(Skills!T23&lt;&gt;"",1+(Skills!T23/10)*(Z2583/1000)/100,1)</f>
        <v/>
      </c>
      <c r="J2603" t="inlineStr"/>
      <c r="K2603" t="inlineStr"/>
      <c r="L2603" t="inlineStr"/>
      <c r="M2603" t="inlineStr"/>
      <c r="N2603" t="inlineStr"/>
      <c r="O2603">
        <f>(1-Summary!$B$11)*S2603+Summary!$B$11*U2603</f>
        <v/>
      </c>
      <c r="P2603">
        <f>IF(B2616=0,0,O2603/B2616)</f>
        <v/>
      </c>
      <c r="Q2603">
        <f>IFERROR(1/IF(Inputs!$B$38="pvp",15,MAX(0.1,Skills!D23-IF(Skills!E23=TRUE,2.0,0))),0)</f>
        <v/>
      </c>
      <c r="R2603" t="n">
        <v>0</v>
      </c>
      <c r="S2603" t="n">
        <v>0</v>
      </c>
      <c r="U2603" t="n">
        <v>0</v>
      </c>
    </row>
    <row r="2606">
      <c r="A2606" t="inlineStr">
        <is>
          <t>Average Buff Multiplier (Magic Guard + Meditation + Artifact Attack%, summed; then Infinity)</t>
        </is>
      </c>
      <c r="B2606">
        <f>(1+(IF(C2583=TRUE,F2583*IF(AND(Inputs!$B$38&lt;&gt;"pvp",Inputs!$B$43&gt;0),(((R2583-1)*(Skills!S3*(1+(Inputs!$B$34+IF(Inputs!$B$3&gt;=117,F2602,0))/100))+MIN((Skills!S3*(1+(Inputs!$B$34+IF(Inputs!$B$3&gt;=117,F2602,0))/100)),MAX(0,Inputs!$B$43-((R2583-1)*Skills!D3))))/Inputs!$B$43),IF(Inputs!$B$38="pvp",MIN((Skills!S3*(1+(Inputs!$B$34+IF(Inputs!$B$3&gt;=117,F2602,0))/100)),15)/15,(Skills!S3*(1+(Inputs!$B$34+IF(Inputs!$B$3&gt;=117,F2602,0))/100))/Skills!D3)),0)+IF(C2584=TRUE,F2584*IF(AND(Inputs!$B$38&lt;&gt;"pvp",Inputs!$B$43&gt;0),(((R2584-1)*(Skills!S4*(1+(Inputs!$B$34+IF(Inputs!$B$3&gt;=117,F2602,0))/100))+MIN((Skills!S4*(1+(Inputs!$B$34+IF(Inputs!$B$3&gt;=117,F2602,0))/100)),MAX(0,Inputs!$B$43-((R2584-1)*Skills!D4))))/Inputs!$B$43),IF(Inputs!$B$38="pvp",MIN((Skills!S4*(1+(Inputs!$B$34+IF(Inputs!$B$3&gt;=117,F2602,0))/100)),15)/15,(Skills!S4*(1+(Inputs!$B$34+IF(Inputs!$B$3&gt;=117,F2602,0)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2596=TRUE,(1+F2596*IF(AND(Inputs!$B$38&lt;&gt;"pvp",Inputs!$B$43&gt;0),(((R2596-1)*(Skills!S16*(1+(Inputs!$B$34+IF(Inputs!$B$3&gt;=117,F2602,0))/100))+MIN((Skills!S16*(1+(Inputs!$B$34+IF(Inputs!$B$3&gt;=117,F2602,0))/100)),MAX(0,Inputs!$B$43-((R2596-1)*Skills!D16))))/Inputs!$B$43),IF(Inputs!$B$38="pvp",MIN((Skills!S16*(1+(Inputs!$B$34+IF(Inputs!$B$3&gt;=117,F2602,0))/100)),15)/15,(Skills!S16*(1+(Inputs!$B$34+IF(Inputs!$B$3&gt;=117,F2602,0))/100))/Skills!D16))/100),1)</f>
        <v/>
      </c>
    </row>
    <row r="2607">
      <c r="A2607" t="inlineStr">
        <is>
          <t>Monster Damage Taken Bonus % (Freezing Breath - Weaken + Elemental Reset + Artifact Enemy Damage Taken, summed)</t>
        </is>
      </c>
      <c r="B2607">
        <f>IF(Inputs!$B$3&gt;=118,15*IF(Inputs!$B$38="pvp",MIN((30*(1+(Inputs!$B$34+IF(Inputs!$B$3&gt;=117,F2602,0))/100)),15)/15,(30*(1+(Inputs!$B$34+IF(Inputs!$B$3&gt;=117,F2602,0))/100))/Skills!D8),0)+IF(C2594=TRUE,F2594,0)+(IF(AND(ArtifactsInput!$M$35,Inputs!$B$4&lt;&gt;"Chapter Hunt"),CHOOSE(ArtifactsInput!$N$35+1,15,18,21,24,27,30)*(1-EXP(-(0.2*B2610)*5)),0)+IF(AND(ArtifactsInput!$M$22,Inputs!$B$4&lt;&gt;"Chapter Hunt"),CHOOSE(ArtifactsInput!$N$22+1,10,12,14,16,18,20)*((0*(((0.15*B2610*5))^0/1)+1*(((0.15*B2610*5))^1/1)+2*(((0.15*B2610*5))^2/2)+3*(((0.15*B2610*5))^3/6)+4*(((0.15*B2610*5))^4/24)+5*(((0.15*B2610*5))^5/120))/((((0.15*B2610*5))^0/1)+(((0.15*B2610*5))^1/1)+(((0.15*B2610*5))^2/2)+(((0.15*B2610*5))^3/6)+(((0.15*B2610*5))^4/24)+(((0.15*B2610*5))^5/120))),0))</f>
        <v/>
      </c>
    </row>
    <row r="2608">
      <c r="A2608" t="inlineStr">
        <is>
          <t>Damage % Bonus (Frozen Break + Frost Clutch, flat)</t>
        </is>
      </c>
      <c r="B2608">
        <f>IF(Inputs!$B$3&gt;=66,15,0)+IF(Inputs!$B$3&gt;=98,10,0)+IF(Inputs!$B$3&gt;=125,20,0)</f>
        <v/>
      </c>
    </row>
    <row r="2609">
      <c r="A2609" t="inlineStr">
        <is>
          <t>Attack Speed Bonus % (MP Eater - MP Boost, always-on once unlocked)</t>
        </is>
      </c>
      <c r="B2609">
        <f>IF(C2593=TRUE,F2593+(F2597-Calc!F17),0)</f>
        <v/>
      </c>
    </row>
    <row r="2610">
      <c r="A2610" t="inlineStr">
        <is>
          <t>Actions Per Second</t>
        </is>
      </c>
      <c r="B2610">
        <f>1+MIN(150,150*(1-(1-(Inputs!$B$11+(ArtifactsInput!$M$15-ArtifactsInput!$M$15)*CHOOSE(ArtifactsInput!$N$15+1,8,9.6,11.2,12.8,14.4,16))/150)*(1-B2609/150)))/100</f>
        <v/>
      </c>
    </row>
    <row r="2611">
      <c r="A2611" t="inlineStr">
        <is>
          <t>Skill + Buff Cast Rate</t>
        </is>
      </c>
      <c r="B2611">
        <f>IF(AND(Inputs!$B$38&lt;&gt;"pvp",Inputs!$B$43&gt;0),SUMPRODUCT((Skills!E2:E23=TRUE)*(C2582:C2603=TRUE)*R2582:R2603)/Inputs!$B$43,SUMPRODUCT((Skills!E2:E23=TRUE)*(C2582:C2603=TRUE)*Q2582:Q2603))</f>
        <v/>
      </c>
    </row>
    <row r="2612">
      <c r="A2612" t="inlineStr">
        <is>
          <t>Chain Lightning Casts Per Second</t>
        </is>
      </c>
      <c r="B2612">
        <f>MAX(0,B2610-B2611)</f>
        <v/>
      </c>
    </row>
    <row r="2613">
      <c r="A2613" t="inlineStr">
        <is>
          <t>Buff-Casting Startup Delay (s, fixed-duration only)</t>
        </is>
      </c>
      <c r="B2613">
        <f>IF(AND(Inputs!$B$38&lt;&gt;"pvp",Inputs!$B$43&gt;0),SUMPRODUCT((Skills!S2:S23&gt;0)*(Skills!E2:E23=TRUE)*(C2582:C2603=TRUE))/B2610,0)</f>
        <v/>
      </c>
    </row>
    <row r="2614">
      <c r="A2614" t="inlineStr">
        <is>
          <t>Boss-Only Total DPS (this block's swept value)</t>
        </is>
      </c>
      <c r="B2614">
        <f>SUM(S2582:S2603)</f>
        <v/>
      </c>
    </row>
    <row r="2615">
      <c r="A2615" t="inlineStr">
        <is>
          <t>Normal-Only Total DPS (this block's swept value)</t>
        </is>
      </c>
      <c r="B2615">
        <f>SUM(U2582:U2603)</f>
        <v/>
      </c>
    </row>
    <row r="2616">
      <c r="A2616" s="6" t="inlineStr">
        <is>
          <t>TOTAL DPS</t>
        </is>
      </c>
      <c r="B2616" s="6">
        <f>SUM(O2582:O2603)</f>
        <v/>
      </c>
    </row>
    <row r="2619">
      <c r="A2619" s="6" t="inlineStr">
        <is>
          <t>Stat: CDR = 2.5s</t>
        </is>
      </c>
    </row>
    <row r="2620">
      <c r="A2620" s="5" t="inlineStr">
        <is>
          <t>Key</t>
        </is>
      </c>
      <c r="B2620" s="5" t="inlineStr">
        <is>
          <t>Name</t>
        </is>
      </c>
      <c r="C2620" s="5" t="inlineStr">
        <is>
          <t>Unlocked</t>
        </is>
      </c>
      <c r="D2620" s="5" t="inlineStr">
        <is>
          <t>InputLevel</t>
        </is>
      </c>
      <c r="E2620" s="5" t="inlineStr">
        <is>
          <t>Factor</t>
        </is>
      </c>
      <c r="F2620" s="5" t="inlineStr">
        <is>
          <t>CoefficientPercent</t>
        </is>
      </c>
      <c r="G2620" s="5" t="inlineStr">
        <is>
          <t>EffectiveHits</t>
        </is>
      </c>
      <c r="H2620" s="5" t="inlineStr">
        <is>
          <t>ProcProbability</t>
        </is>
      </c>
      <c r="I2620" s="5" t="inlineStr">
        <is>
          <t>MapleHeroMultiplier</t>
        </is>
      </c>
      <c r="J2620" s="5" t="inlineStr">
        <is>
          <t>BaseDamage</t>
        </is>
      </c>
      <c r="K2620" s="5" t="inlineStr">
        <is>
          <t>BaseHitDamage</t>
        </is>
      </c>
      <c r="L2620" s="5" t="inlineStr">
        <is>
          <t>NonCritAvg</t>
        </is>
      </c>
      <c r="M2620" s="5" t="inlineStr">
        <is>
          <t>CritAvg</t>
        </is>
      </c>
      <c r="N2620" s="5" t="inlineStr">
        <is>
          <t>ExpectedDamage(perHit)</t>
        </is>
      </c>
      <c r="O2620" s="5" t="inlineStr">
        <is>
          <t>DPS</t>
        </is>
      </c>
      <c r="P2620" s="5" t="inlineStr">
        <is>
          <t>% of Total</t>
        </is>
      </c>
      <c r="R2620" t="inlineStr">
        <is>
          <t>helpers</t>
        </is>
      </c>
    </row>
    <row r="2621">
      <c r="A2621">
        <f>Skills!A2</f>
        <v/>
      </c>
      <c r="B2621">
        <f>Skills!B2</f>
        <v/>
      </c>
      <c r="C2621">
        <f>Inputs!$B$3&gt;=100</f>
        <v/>
      </c>
      <c r="D2621" t="inlineStr"/>
      <c r="E2621" t="inlineStr"/>
      <c r="F2621">
        <f>T2623+Skills!N2</f>
        <v/>
      </c>
      <c r="G2621">
        <f>Calc!G2</f>
        <v/>
      </c>
      <c r="H2621">
        <f>Calc!H2</f>
        <v/>
      </c>
      <c r="I2621">
        <f>IF(Skills!T2&lt;&gt;"",1+(Skills!T2/10)*(Z2622/1000)/100,1)</f>
        <v/>
      </c>
      <c r="J2621">
        <f>((Inputs!$B$6*(1+Inputs!$B$7/100))+(((Inputs!$B$12*(1+Inputs!$B$13/100))-(Inputs!$B$12*(1+Inputs!$B$13/100)))+0.25*(Inputs!$B$14-Inputs!$B$14))*(1+Inputs!$B$7/100))*(F2621/100)</f>
        <v/>
      </c>
      <c r="K2621">
        <f>J2621*(1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F2637-Calc!F18),(Inputs!$B$23+(IF(ArtifactsInput!$M$15,CHOOSE(ArtifactsInput!$N$15+1,25,30,35,40,45,50)/100*(Inputs!$B$11-Inputs!$B$11),0))))/100+(Inputs!$B$23+(IF(ArtifactsInput!$M$15,CHOOSE(ArtifactsInput!$N$15+1,25,30,35,40,45,50)/100*(Inputs!$B$11-Inputs!$B$11),0)))/100)/2</f>
        <v/>
      </c>
      <c r="M2621">
        <f>L2621*(1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(1-Summary!$B$11)*S2621+Summary!$B$11*U2621</f>
        <v/>
      </c>
      <c r="P2621">
        <f>IF(B2655=0,0,O2621/B2655)</f>
        <v/>
      </c>
      <c r="Q2621">
        <f>IFERROR(1/IF(Inputs!$B$38="pvp",15,MAX(0.1,Skills!D2-IF(Skills!E2=TRUE,2.5,0))),0)</f>
        <v/>
      </c>
      <c r="R2621" t="n">
        <v>0</v>
      </c>
      <c r="S2621">
        <f>IF(C2621,(Skills!F2*N2621*B2651)*IF(Inputs!$B$38="pvp",1,1+(Inputs!$B$20+Skills!O2+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1">
        <f>MAX(0,(Inputs!$B$3-100)*3)+Inputs!$B$28+Inputs!$B$29</f>
        <v/>
      </c>
      <c r="U2621">
        <f>IF(C2621,(Skills!F2*N2621*B2651)*IF(Inputs!$B$38="pvp",1,(1+(Inputs!$B$21+Skills!P2+B2646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1">
        <f>MAX(0,(Inputs!$B$3-100)*3)+Inputs!$B$28+Inputs!$B$29</f>
        <v/>
      </c>
    </row>
    <row r="2622">
      <c r="A2622">
        <f>Skills!A3</f>
        <v/>
      </c>
      <c r="B2622">
        <f>Skills!B3</f>
        <v/>
      </c>
      <c r="C2622">
        <f>Inputs!$B$3&gt;=15</f>
        <v/>
      </c>
      <c r="D2622">
        <f>IF(Skills!C3=1,60+Inputs!$B$25+Inputs!$B$29,IF(Skills!C3=2,90+Inputs!$B$26+Inputs!$B$29,IF(Skills!C3=3,120+Inputs!$B$27+Inputs!$B$29,MAX(0,(Inputs!$B$3-100)*3)+Inputs!$B$28+Inputs!$B$29)))</f>
        <v/>
      </c>
      <c r="E2622">
        <f>INDEX(FactorTable!$B$2:$Y$301, MATCH(ROUND(MIN(300,MAX(1,D2622)),0), FactorTable!$A$2:$A$301,0), Skills!L3+1)</f>
        <v/>
      </c>
      <c r="F2622">
        <f>IF(Skills!M3=TRUE,(Skills!K3/10)*(E2622/1000),Skills!K3/10)+Skills!N3</f>
        <v/>
      </c>
      <c r="G2622">
        <f>Calc!G3</f>
        <v/>
      </c>
      <c r="H2622">
        <f>Calc!H3</f>
        <v/>
      </c>
      <c r="I2622">
        <f>IF(Skills!T3&lt;&gt;"",1+(Skills!T3/10)*(Z2622/1000)/100,1)</f>
        <v/>
      </c>
      <c r="J2622" t="inlineStr"/>
      <c r="K2622" t="inlineStr"/>
      <c r="L2622" t="inlineStr"/>
      <c r="M2622" t="inlineStr"/>
      <c r="N2622" t="inlineStr"/>
      <c r="O2622">
        <f>(1-Summary!$B$11)*S2622+Summary!$B$11*U2622</f>
        <v/>
      </c>
      <c r="P2622">
        <f>IF(B2655=0,0,O2622/B2655)</f>
        <v/>
      </c>
      <c r="Q2622">
        <f>IFERROR(1/IF(Inputs!$B$38="pvp",15,MAX(0.1,Skills!D3-IF(Skills!E3=TRUE,2.5,0))),0)</f>
        <v/>
      </c>
      <c r="R2622">
        <f>IF(AND(Inputs!$B$38&lt;&gt;"pvp",Inputs!$B$43&gt;0),IF(Inputs!$B$43&lt;=0,0,(INT(Inputs!$B$43/IF(Inputs!$B$38="pvp",15,MAX(0.1,Skills!D3-IF(Skills!E3=TRUE,2.5,0))))+1)),0)</f>
        <v/>
      </c>
      <c r="S2622" t="n">
        <v>0</v>
      </c>
      <c r="T2622">
        <f>INDEX(FactorTable!$B$2:$Y$301, MATCH(ROUND(MIN(300,MAX(1,T2621)),0), FactorTable!$A$2:$A$301,0), 22)</f>
        <v/>
      </c>
      <c r="U2622" t="n">
        <v>0</v>
      </c>
      <c r="Z2622">
        <f>INDEX(FactorTable!$B$2:$Y$301, MATCH(ROUND(MIN(300,MAX(1,Z2621)),0), FactorTable!$A$2:$A$301,0), 24)</f>
        <v/>
      </c>
    </row>
    <row r="2623">
      <c r="A2623">
        <f>Skills!A4</f>
        <v/>
      </c>
      <c r="B2623">
        <f>Skills!B4</f>
        <v/>
      </c>
      <c r="C2623">
        <f>Inputs!$B$3&gt;=40</f>
        <v/>
      </c>
      <c r="D2623">
        <f>IF(Skills!C4=1,60+Inputs!$B$25+Inputs!$B$29,IF(Skills!C4=2,90+Inputs!$B$26+Inputs!$B$29,IF(Skills!C4=3,120+Inputs!$B$27+Inputs!$B$29,MAX(0,(Inputs!$B$3-100)*3)+Inputs!$B$28+Inputs!$B$29)))</f>
        <v/>
      </c>
      <c r="E2623">
        <f>INDEX(FactorTable!$B$2:$Y$301, MATCH(ROUND(MIN(300,MAX(1,D2623)),0), FactorTable!$A$2:$A$301,0), Skills!L4+1)</f>
        <v/>
      </c>
      <c r="F2623">
        <f>IF(Skills!M4=TRUE,(Skills!K4/10)*(E2623/1000),Skills!K4/10)+Skills!N4</f>
        <v/>
      </c>
      <c r="G2623">
        <f>Calc!G4</f>
        <v/>
      </c>
      <c r="H2623">
        <f>Calc!H4</f>
        <v/>
      </c>
      <c r="I2623">
        <f>IF(Skills!T4&lt;&gt;"",1+(Skills!T4/10)*(Z2622/1000)/100,1)</f>
        <v/>
      </c>
      <c r="J2623" t="inlineStr"/>
      <c r="K2623" t="inlineStr"/>
      <c r="L2623" t="inlineStr"/>
      <c r="M2623" t="inlineStr"/>
      <c r="N2623" t="inlineStr"/>
      <c r="O2623">
        <f>(1-Summary!$B$11)*S2623+Summary!$B$11*U2623</f>
        <v/>
      </c>
      <c r="P2623">
        <f>IF(B2655=0,0,O2623/B2655)</f>
        <v/>
      </c>
      <c r="Q2623">
        <f>IFERROR(1/IF(Inputs!$B$38="pvp",15,MAX(0.1,Skills!D4-IF(Skills!E4=TRUE,2.5,0))),0)</f>
        <v/>
      </c>
      <c r="R2623">
        <f>IF(AND(Inputs!$B$38&lt;&gt;"pvp",Inputs!$B$43&gt;0),IF(Inputs!$B$43&lt;=0,0,(INT(Inputs!$B$43/IF(Inputs!$B$38="pvp",15,MAX(0.1,Skills!D4-IF(Skills!E4=TRUE,2.5,0))))+1)),0)</f>
        <v/>
      </c>
      <c r="S2623" t="n">
        <v>0</v>
      </c>
      <c r="T2623">
        <f>290*T2622/1000</f>
        <v/>
      </c>
      <c r="U2623" t="n">
        <v>0</v>
      </c>
    </row>
    <row r="2624">
      <c r="A2624">
        <f>Skills!A5</f>
        <v/>
      </c>
      <c r="B2624">
        <f>Skills!B5</f>
        <v/>
      </c>
      <c r="C2624">
        <f>Inputs!$B$3&gt;=38</f>
        <v/>
      </c>
      <c r="D2624">
        <f>IF(Skills!C5=1,60+Inputs!$B$25+Inputs!$B$29,IF(Skills!C5=2,90+Inputs!$B$26+Inputs!$B$29,IF(Skills!C5=3,120+Inputs!$B$27+Inputs!$B$29,MAX(0,(Inputs!$B$3-100)*3)+Inputs!$B$28+Inputs!$B$29)))</f>
        <v/>
      </c>
      <c r="E2624">
        <f>INDEX(FactorTable!$B$2:$Y$301, MATCH(ROUND(MIN(300,MAX(1,D2624)),0), FactorTable!$A$2:$A$301,0), Skills!L5+1)</f>
        <v/>
      </c>
      <c r="F2624">
        <f>IF(Skills!M5=TRUE,(Skills!K5/10)*(E2624/1000),Skills!K5/10)+Skills!N5</f>
        <v/>
      </c>
      <c r="G2624">
        <f>Calc!G5</f>
        <v/>
      </c>
      <c r="H2624">
        <f>Calc!H5</f>
        <v/>
      </c>
      <c r="I2624">
        <f>IF(Skills!T5&lt;&gt;"",1+(Skills!T5/10)*(Z2622/1000)/100,1)</f>
        <v/>
      </c>
      <c r="J2624">
        <f>((Inputs!$B$6*(1+Inputs!$B$7/100))+(((Inputs!$B$12*(1+Inputs!$B$13/100))-(Inputs!$B$12*(1+Inputs!$B$13/100)))+0.25*(Inputs!$B$14-Inputs!$B$14))*(1+Inputs!$B$7/100))*(F2624/100)</f>
        <v/>
      </c>
      <c r="K2624">
        <f>J2624*(1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2637-Calc!F18),(Inputs!$B$23+(IF(ArtifactsInput!$M$15,CHOOSE(ArtifactsInput!$N$15+1,25,30,35,40,45,50)/100*(Inputs!$B$11-Inputs!$B$11),0))))/100+(Inputs!$B$23+(IF(ArtifactsInput!$M$15,CHOOSE(ArtifactsInput!$N$15+1,25,30,35,40,45,50)/100*(Inputs!$B$11-Inputs!$B$11),0)))/100)/2</f>
        <v/>
      </c>
      <c r="M2624">
        <f>L2624*(1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IF(B2655=0,0,O2624/B2655)</f>
        <v/>
      </c>
      <c r="Q2624">
        <f>IFERROR(1/IF(Inputs!$B$38="pvp",15,MAX(0.1,Skills!D5-IF(Skills!E5=TRUE,2.5,0))),0)</f>
        <v/>
      </c>
      <c r="R2624">
        <f>IF(AND(Inputs!$B$38&lt;&gt;"pvp",Inputs!$B$43&gt;0),IF(MAX(0,Inputs!$B$43-B2652)&lt;=0,0,(INT(MAX(0,Inputs!$B$43-B2652)/IF(Inputs!$B$38="pvp",15,MAX(0.1,Skills!D5-IF(Skills!E5=TRUE,2.5,0))))+1)),0)</f>
        <v/>
      </c>
      <c r="S2624">
        <f>IF(C2624,(H2624*N2624*IF(AND(Inputs!$B$38&lt;&gt;"pvp",Inputs!$B$43&gt;0),((Skills!F5*((R2624-1)*IF(Skills!G5&gt;0,Skills!H5/Skills!G5,1)+IF(Skills!G5&gt;0,MIN(Skills!H5,MAX(0,MAX(0,Inputs!$B$43-B2652)-((R2624-1)*IF(Inputs!$B$38="pvp",15,MAX(0.1,Skills!D5-IF(Skills!E5=TRUE,2.5,0))))))/Skills!G5,1)))/Inputs!$B$43),G2624*Q2624))*IF(Inputs!$B$38="pvp",1,1+(Inputs!$B$20+Skills!O5+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2624*(1-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4">
        <f>IF(C2624,(H2624*N2624*IF(AND(Inputs!$B$38&lt;&gt;"pvp",Inputs!$B$43&gt;0),((Skills!F5*((R2624-1)*IF(Skills!G5&gt;0,Skills!H5/Skills!G5,1)+IF(Skills!G5&gt;0,MIN(Skills!H5,MAX(0,MAX(0,Inputs!$B$43-B2652)-((R2624-1)*IF(Inputs!$B$38="pvp",15,MAX(0.1,Skills!D5-IF(Skills!E5=TRUE,2.5,0))))))/Skills!G5,1)))/Inputs!$B$43),G2624*Q2624))*IF(Inputs!$B$38="pvp",1,(1+(Inputs!$B$21+Skills!P5+B2646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Skills!A6</f>
        <v/>
      </c>
      <c r="B2625">
        <f>Skills!B6</f>
        <v/>
      </c>
      <c r="C2625">
        <f>Inputs!$B$3&gt;=63</f>
        <v/>
      </c>
      <c r="D2625">
        <f>IF(Skills!C6=1,60+Inputs!$B$25+Inputs!$B$29,IF(Skills!C6=2,90+Inputs!$B$26+Inputs!$B$29,IF(Skills!C6=3,120+Inputs!$B$27+Inputs!$B$29,MAX(0,(Inputs!$B$3-100)*3)+Inputs!$B$28+Inputs!$B$29)))</f>
        <v/>
      </c>
      <c r="E2625">
        <f>INDEX(FactorTable!$B$2:$Y$301, MATCH(ROUND(MIN(300,MAX(1,D2625)),0), FactorTable!$A$2:$A$301,0), Skills!L6+1)</f>
        <v/>
      </c>
      <c r="F2625">
        <f>IF(Skills!M6=TRUE,(Skills!K6/10)*(E2625/1000),Skills!K6/10)+Skills!N6</f>
        <v/>
      </c>
      <c r="G2625">
        <f>Calc!G6</f>
        <v/>
      </c>
      <c r="H2625">
        <f>Calc!H6</f>
        <v/>
      </c>
      <c r="I2625">
        <f>IF(Skills!T6&lt;&gt;"",1+(Skills!T6/10)*(Z2622/1000)/100,1)</f>
        <v/>
      </c>
      <c r="J2625">
        <f>((Inputs!$B$6*(1+Inputs!$B$7/100))+(((Inputs!$B$12*(1+Inputs!$B$13/100))-(Inputs!$B$12*(1+Inputs!$B$13/100)))+0.25*(Inputs!$B$14-Inputs!$B$14))*(1+Inputs!$B$7/100))*(F2625/100)</f>
        <v/>
      </c>
      <c r="K2625">
        <f>J2625*(1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2637-Calc!F18),(Inputs!$B$23+(IF(ArtifactsInput!$M$15,CHOOSE(ArtifactsInput!$N$15+1,25,30,35,40,45,50)/100*(Inputs!$B$11-Inputs!$B$11),0))))/100+(Inputs!$B$23+(IF(ArtifactsInput!$M$15,CHOOSE(ArtifactsInput!$N$15+1,25,30,35,40,45,50)/100*(Inputs!$B$11-Inputs!$B$11),0)))/100)/2</f>
        <v/>
      </c>
      <c r="M2625">
        <f>L2625*(1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IF(B2655=0,0,O2625/B2655)</f>
        <v/>
      </c>
      <c r="Q2625">
        <f>IFERROR(1/IF(Inputs!$B$38="pvp",15,MAX(0.1,Skills!D6-IF(Skills!E6=TRUE,2.5,0))),0)</f>
        <v/>
      </c>
      <c r="R2625">
        <f>IF(AND(Inputs!$B$38&lt;&gt;"pvp",Inputs!$B$43&gt;0),IF(MAX(0,Inputs!$B$43-B2652)&lt;=0,0,(INT(MAX(0,Inputs!$B$43-B2652)/IF(Inputs!$B$38="pvp",15,MAX(0.1,Skills!D6-IF(Skills!E6=TRUE,2.5,0))))+1)),0)</f>
        <v/>
      </c>
      <c r="S2625">
        <f>IF(C2625,(H2625*N2625*IF(AND(Inputs!$B$38&lt;&gt;"pvp",Inputs!$B$43&gt;0),((Skills!F6*((R2625-1)*IF(Skills!G6&gt;0,Skills!H6/Skills!G6,1)+IF(Skills!G6&gt;0,MIN(Skills!H6,MAX(0,MAX(0,Inputs!$B$43-B2652)-((R2625-1)*IF(Inputs!$B$38="pvp",15,MAX(0.1,Skills!D6-IF(Skills!E6=TRUE,2.5,0))))))/Skills!G6,1)))/Inputs!$B$43),G2625*Q2625))*IF(Inputs!$B$38="pvp",1,1+(Inputs!$B$20+Skills!O6+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2625*(1-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5">
        <f>IF(C2625,(H2625*N2625*IF(AND(Inputs!$B$38&lt;&gt;"pvp",Inputs!$B$43&gt;0),((Skills!F6*((R2625-1)*IF(Skills!G6&gt;0,Skills!H6/Skills!G6,1)+IF(Skills!G6&gt;0,MIN(Skills!H6,MAX(0,MAX(0,Inputs!$B$43-B2652)-((R2625-1)*IF(Inputs!$B$38="pvp",15,MAX(0.1,Skills!D6-IF(Skills!E6=TRUE,2.5,0))))))/Skills!G6,1)))/Inputs!$B$43),G2625*Q2625))*IF(Inputs!$B$38="pvp",1,(1+(Inputs!$B$21+Skills!P6+B2646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Skills!A7</f>
        <v/>
      </c>
      <c r="B2626">
        <f>Skills!B7</f>
        <v/>
      </c>
      <c r="C2626">
        <f>Inputs!$B$3&gt;=69</f>
        <v/>
      </c>
      <c r="D2626">
        <f>IF(Skills!C7=1,60+Inputs!$B$25+Inputs!$B$29,IF(Skills!C7=2,90+Inputs!$B$26+Inputs!$B$29,IF(Skills!C7=3,120+Inputs!$B$27+Inputs!$B$29,MAX(0,(Inputs!$B$3-100)*3)+Inputs!$B$28+Inputs!$B$29)))</f>
        <v/>
      </c>
      <c r="E2626">
        <f>INDEX(FactorTable!$B$2:$Y$301, MATCH(ROUND(MIN(300,MAX(1,D2626)),0), FactorTable!$A$2:$A$301,0), Skills!L7+1)</f>
        <v/>
      </c>
      <c r="F2626">
        <f>IF(Skills!M7=TRUE,(Skills!K7/10)*(E2626/1000),Skills!K7/10)+Skills!N7</f>
        <v/>
      </c>
      <c r="G2626">
        <f>Calc!G7</f>
        <v/>
      </c>
      <c r="H2626">
        <f>Calc!H7</f>
        <v/>
      </c>
      <c r="I2626">
        <f>IF(Skills!T7&lt;&gt;"",1+(Skills!T7/10)*(Z2622/1000)/100,1)</f>
        <v/>
      </c>
      <c r="J2626">
        <f>((Inputs!$B$6*(1+Inputs!$B$7/100))+(((Inputs!$B$12*(1+Inputs!$B$13/100))-(Inputs!$B$12*(1+Inputs!$B$13/100)))+0.25*(Inputs!$B$14-Inputs!$B$14))*(1+Inputs!$B$7/100))*(F2626/100)</f>
        <v/>
      </c>
      <c r="K2626">
        <f>J2626*(1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2637-Calc!F18),(Inputs!$B$23+(IF(ArtifactsInput!$M$15,CHOOSE(ArtifactsInput!$N$15+1,25,30,35,40,45,50)/100*(Inputs!$B$11-Inputs!$B$11),0))))/100+(Inputs!$B$23+(IF(ArtifactsInput!$M$15,CHOOSE(ArtifactsInput!$N$15+1,25,30,35,40,45,50)/100*(Inputs!$B$11-Inputs!$B$11),0)))/100)/2</f>
        <v/>
      </c>
      <c r="M2626">
        <f>L2626*(1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IF(B2655=0,0,O2626/B2655)</f>
        <v/>
      </c>
      <c r="Q2626">
        <f>IFERROR(1/IF(Inputs!$B$38="pvp",15,MAX(0.1,Skills!D7-IF(Skills!E7=TRUE,2.5,0))),0)</f>
        <v/>
      </c>
      <c r="R2626">
        <f>IF(AND(Inputs!$B$38&lt;&gt;"pvp",Inputs!$B$43&gt;0),IF(MAX(0,Inputs!$B$43-B2652)&lt;=0,0,(INT(MAX(0,Inputs!$B$43-B2652)/IF(Inputs!$B$38="pvp",15,MAX(0.1,Skills!D7-IF(Skills!E7=TRUE,2.5,0))))+1)),0)</f>
        <v/>
      </c>
      <c r="S2626">
        <f>IF(C2626,(H2626*N2626*IF(AND(Inputs!$B$38&lt;&gt;"pvp",Inputs!$B$43&gt;0),((Skills!F7*((R2626-1)*IF(Skills!G7&gt;0,Skills!H7/Skills!G7,1)+IF(Skills!G7&gt;0,MIN(Skills!H7,MAX(0,MAX(0,Inputs!$B$43-B2652)-((R2626-1)*IF(Inputs!$B$38="pvp",15,MAX(0.1,Skills!D7-IF(Skills!E7=TRUE,2.5,0))))))/Skills!G7,1)))/Inputs!$B$43),G2626*Q2626))*IF(Inputs!$B$38="pvp",1,1+(Inputs!$B$20+Skills!O7+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2626*(1-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6">
        <f>IF(C2626,(H2626*N2626*IF(AND(Inputs!$B$38&lt;&gt;"pvp",Inputs!$B$43&gt;0),((Skills!F7*((R2626-1)*IF(Skills!G7&gt;0,Skills!H7/Skills!G7,1)+IF(Skills!G7&gt;0,MIN(Skills!H7,MAX(0,MAX(0,Inputs!$B$43-B2652)-((R2626-1)*IF(Inputs!$B$38="pvp",15,MAX(0.1,Skills!D7-IF(Skills!E7=TRUE,2.5,0))))))/Skills!G7,1)))/Inputs!$B$43),G2626*Q2626))*IF(Inputs!$B$38="pvp",1,(1+(Inputs!$B$21+Skills!P7+B2646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Skills!A8</f>
        <v/>
      </c>
      <c r="B2627">
        <f>Skills!B8</f>
        <v/>
      </c>
      <c r="C2627">
        <f>Inputs!$B$3&gt;=103</f>
        <v/>
      </c>
      <c r="D2627">
        <f>IF(Skills!C8=1,60+Inputs!$B$25+Inputs!$B$29,IF(Skills!C8=2,90+Inputs!$B$26+Inputs!$B$29,IF(Skills!C8=3,120+Inputs!$B$27+Inputs!$B$29,MAX(0,(Inputs!$B$3-100)*3)+Inputs!$B$28+Inputs!$B$29)))</f>
        <v/>
      </c>
      <c r="E2627">
        <f>INDEX(FactorTable!$B$2:$Y$301, MATCH(ROUND(MIN(300,MAX(1,D2627)),0), FactorTable!$A$2:$A$301,0), Skills!L8+1)</f>
        <v/>
      </c>
      <c r="F2627">
        <f>IF(Skills!M8=TRUE,(Skills!K8/10)*(E2627/1000),Skills!K8/10)+Skills!N8</f>
        <v/>
      </c>
      <c r="G2627">
        <f>Calc!G8</f>
        <v/>
      </c>
      <c r="H2627">
        <f>Calc!H8</f>
        <v/>
      </c>
      <c r="I2627">
        <f>IF(Skills!T8&lt;&gt;"",1+(Skills!T8/10)*(Z2622/1000)/100,1)</f>
        <v/>
      </c>
      <c r="J2627">
        <f>((Inputs!$B$6*(1+Inputs!$B$7/100))+(((Inputs!$B$12*(1+Inputs!$B$13/100))-(Inputs!$B$12*(1+Inputs!$B$13/100)))+0.25*(Inputs!$B$14-Inputs!$B$14))*(1+Inputs!$B$7/100))*(F2627/100)</f>
        <v/>
      </c>
      <c r="K2627">
        <f>J2627*(1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2637-Calc!F18),(Inputs!$B$23+(IF(ArtifactsInput!$M$15,CHOOSE(ArtifactsInput!$N$15+1,25,30,35,40,45,50)/100*(Inputs!$B$11-Inputs!$B$11),0))))/100+(Inputs!$B$23+(IF(ArtifactsInput!$M$15,CHOOSE(ArtifactsInput!$N$15+1,25,30,35,40,45,50)/100*(Inputs!$B$11-Inputs!$B$11),0)))/100)/2</f>
        <v/>
      </c>
      <c r="M2627">
        <f>L2627*(1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IF(B2655=0,0,O2627/B2655)</f>
        <v/>
      </c>
      <c r="Q2627">
        <f>IFERROR(1/IF(Inputs!$B$38="pvp",15,MAX(0.1,Skills!D8-IF(Skills!E8=TRUE,2.5,0))),0)</f>
        <v/>
      </c>
      <c r="R2627">
        <f>IF(AND(Inputs!$B$38&lt;&gt;"pvp",Inputs!$B$43&gt;0),IF(MAX(0,Inputs!$B$43-B2652)&lt;=0,0,(INT(MAX(0,Inputs!$B$43-B2652)/IF(Inputs!$B$38="pvp",15,MAX(0.1,Skills!D8-IF(Skills!E8=TRUE,2.5,0))))+1)),0)</f>
        <v/>
      </c>
      <c r="S2627">
        <f>IF(C2627,(H2627*N2627*IF(AND(Inputs!$B$38&lt;&gt;"pvp",Inputs!$B$43&gt;0),((Skills!F8*((R2627-1)*IF(Skills!G8&gt;0,Skills!H8/Skills!G8,1)+IF(Skills!G8&gt;0,MIN(Skills!H8,MAX(0,MAX(0,Inputs!$B$43-B2652)-((R2627-1)*IF(Inputs!$B$38="pvp",15,MAX(0.1,Skills!D8-IF(Skills!E8=TRUE,2.5,0))))))/Skills!G8,1)))/Inputs!$B$43),G2627*Q2627))*IF(Inputs!$B$38="pvp",1,1+(Inputs!$B$20+Skills!O8+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2627*(1-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F8*((R2627-1)*IF(Skills!G8&gt;0,Skills!H8/Skills!G8,1)+IF(Skills!G8&gt;0,MIN(Skills!H8,MAX(0,MAX(0,Inputs!$B$43-B2652)-((R2627-1)*IF(Inputs!$B$38="pvp",15,MAX(0.1,Skills!D8-IF(Skills!E8=TRUE,2.5,0))))))/Skills!G8,1)))/Inputs!$B$43),G2627*Q2627))*IF(Inputs!$B$38="pvp",1,(1+(Inputs!$B$21+Skills!P8+B2646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Skills!A9</f>
        <v/>
      </c>
      <c r="B2628">
        <f>Skills!B9</f>
        <v/>
      </c>
      <c r="C2628">
        <f>Inputs!$B$3&gt;=105</f>
        <v/>
      </c>
      <c r="D2628">
        <f>IF(Skills!C9=1,60+Inputs!$B$25+Inputs!$B$29,IF(Skills!C9=2,90+Inputs!$B$26+Inputs!$B$29,IF(Skills!C9=3,120+Inputs!$B$27+Inputs!$B$29,MAX(0,(Inputs!$B$3-100)*3)+Inputs!$B$28+Inputs!$B$29)))</f>
        <v/>
      </c>
      <c r="E2628">
        <f>INDEX(FactorTable!$B$2:$Y$301, MATCH(ROUND(MIN(300,MAX(1,D2628)),0), FactorTable!$A$2:$A$301,0), Skills!L9+1)</f>
        <v/>
      </c>
      <c r="F2628">
        <f>IF(Skills!M9=TRUE,(Skills!K9/10)*(E2628/1000),Skills!K9/10)+Skills!N9</f>
        <v/>
      </c>
      <c r="G2628">
        <f>Calc!G9</f>
        <v/>
      </c>
      <c r="H2628">
        <f>Calc!H9</f>
        <v/>
      </c>
      <c r="I2628">
        <f>IF(Skills!T9&lt;&gt;"",1+(Skills!T9/10)*(Z2622/1000)/100,1)</f>
        <v/>
      </c>
      <c r="J2628">
        <f>((Inputs!$B$6*(1+Inputs!$B$7/100))+(((Inputs!$B$12*(1+Inputs!$B$13/100))-(Inputs!$B$12*(1+Inputs!$B$13/100)))+0.25*(Inputs!$B$14-Inputs!$B$14))*(1+Inputs!$B$7/100))*(F2628/100)</f>
        <v/>
      </c>
      <c r="K2628">
        <f>J2628*(1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F2637-Calc!F18),(Inputs!$B$23+(IF(ArtifactsInput!$M$15,CHOOSE(ArtifactsInput!$N$15+1,25,30,35,40,45,50)/100*(Inputs!$B$11-Inputs!$B$11),0))))/100+(Inputs!$B$23+(IF(ArtifactsInput!$M$15,CHOOSE(ArtifactsInput!$N$15+1,25,30,35,40,45,50)/100*(Inputs!$B$11-Inputs!$B$11),0)))/100)/2</f>
        <v/>
      </c>
      <c r="M2628">
        <f>L2628*(1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(1-Summary!$B$11)*S2628+Summary!$B$11*U2628</f>
        <v/>
      </c>
      <c r="P2628">
        <f>IF(B2655=0,0,O2628/B2655)</f>
        <v/>
      </c>
      <c r="Q2628">
        <f>IFERROR(1/IF(Inputs!$B$38="pvp",15,MAX(0.1,Skills!D9-IF(Skills!E9=TRUE,2.5,0))),0)</f>
        <v/>
      </c>
      <c r="R2628">
        <f>IF(AND(Inputs!$B$38&lt;&gt;"pvp",Inputs!$B$43&gt;0),IF(MAX(0,Inputs!$B$43-B2652)&lt;=0,0,(INT(MAX(0,Inputs!$B$43-B2652)/IF(Inputs!$B$38="pvp",15,MAX(0.1,Skills!D9-IF(Skills!E9=TRUE,2.5,0))))+1)),0)</f>
        <v/>
      </c>
      <c r="S2628">
        <f>IF(C2628,(H2628*N2628*IF(AND(Inputs!$B$38&lt;&gt;"pvp",Inputs!$B$43&gt;0),((Skills!F9*((R2628-1)*IF(Skills!G9&gt;0,Skills!H9/Skills!G9,1)+IF(Skills!G9&gt;0,MIN(Skills!H9,MAX(0,MAX(0,Inputs!$B$43-B2652)-((R2628-1)*IF(Inputs!$B$38="pvp",15,MAX(0.1,Skills!D9-IF(Skills!E9=TRUE,2.5,0))))))/Skills!G9,1)))/Inputs!$B$43),G2628*Q2628))*IF(Inputs!$B$38="pvp",1,1+(Inputs!$B$20+Skills!O9+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2628*(1-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8">
        <f>IF(C2628,(H2628*N2628*IF(AND(Inputs!$B$38&lt;&gt;"pvp",Inputs!$B$43&gt;0),((Skills!F9*((R2628-1)*IF(Skills!G9&gt;0,Skills!H9/Skills!G9,1)+IF(Skills!G9&gt;0,MIN(Skills!H9,MAX(0,MAX(0,Inputs!$B$43-B2652)-((R2628-1)*IF(Inputs!$B$38="pvp",15,MAX(0.1,Skills!D9-IF(Skills!E9=TRUE,2.5,0))))))/Skills!G9,1)))/Inputs!$B$43),G2628*Q2628))*IF(Inputs!$B$38="pvp",1,(1+(Inputs!$B$21+Skills!P9+B2646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Skills!A10</f>
        <v/>
      </c>
      <c r="B2629">
        <f>Skills!B10</f>
        <v/>
      </c>
      <c r="C2629">
        <f>Inputs!$B$3&gt;=113</f>
        <v/>
      </c>
      <c r="D2629">
        <f>IF(Skills!C10=1,60+Inputs!$B$25+Inputs!$B$29,IF(Skills!C10=2,90+Inputs!$B$26+Inputs!$B$29,IF(Skills!C10=3,120+Inputs!$B$27+Inputs!$B$29,MAX(0,(Inputs!$B$3-100)*3)+Inputs!$B$28+Inputs!$B$29)))</f>
        <v/>
      </c>
      <c r="E2629">
        <f>INDEX(FactorTable!$B$2:$Y$301, MATCH(ROUND(MIN(300,MAX(1,D2629)),0), FactorTable!$A$2:$A$301,0), Skills!L10+1)</f>
        <v/>
      </c>
      <c r="F2629">
        <f>IF(Skills!M10=TRUE,(Skills!K10/10)*(E2629/1000),Skills!K10/10)+Skills!N10</f>
        <v/>
      </c>
      <c r="G2629">
        <f>Calc!G10</f>
        <v/>
      </c>
      <c r="H2629">
        <f>Calc!H10</f>
        <v/>
      </c>
      <c r="I2629">
        <f>IF(Skills!T10&lt;&gt;"",1+(Skills!T10/10)*(Z2622/1000)/100,1)</f>
        <v/>
      </c>
      <c r="J2629">
        <f>((Inputs!$B$6*(1+Inputs!$B$7/100))+(((Inputs!$B$12*(1+Inputs!$B$13/100))-(Inputs!$B$12*(1+Inputs!$B$13/100)))+0.25*(Inputs!$B$14-Inputs!$B$14))*(1+Inputs!$B$7/100))*(F2629/100)</f>
        <v/>
      </c>
      <c r="K2629">
        <f>J2629*(1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2637-Calc!F18),(Inputs!$B$23+(IF(ArtifactsInput!$M$15,CHOOSE(ArtifactsInput!$N$15+1,25,30,35,40,45,50)/100*(Inputs!$B$11-Inputs!$B$11),0))))/100+(Inputs!$B$23+(IF(ArtifactsInput!$M$15,CHOOSE(ArtifactsInput!$N$15+1,25,30,35,40,45,50)/100*(Inputs!$B$11-Inputs!$B$11),0)))/100)/2</f>
        <v/>
      </c>
      <c r="M2629">
        <f>L2629*(1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IF(B2655=0,0,O2629/B2655)</f>
        <v/>
      </c>
      <c r="Q2629">
        <f>IFERROR(1/IF(Inputs!$B$38="pvp",15,MAX(0.1,Skills!D10-IF(Skills!E9=TRUE,2.5,0))),0)</f>
        <v/>
      </c>
      <c r="R2629">
        <f>IF(AND(Inputs!$B$38&lt;&gt;"pvp",Inputs!$B$43&gt;0),IF(MAX(0,Inputs!$B$43-B2652)&lt;=0,0,(INT(MAX(0,Inputs!$B$43-B2652)/IF(Inputs!$B$38="pvp",15,MAX(0.1,Skills!D10-IF(Skills!E9=TRUE,2.5,0))))+1)),0)</f>
        <v/>
      </c>
      <c r="S2629">
        <f>IF(C2629,(H2629*N2629*IF(AND(Inputs!$B$38&lt;&gt;"pvp",Inputs!$B$43&gt;0),((Skills!F10*((R2629-1)*IF(Skills!G10&gt;0,Skills!H10/Skills!G10,1)+IF(Skills!G10&gt;0,MIN(Skills!H10,MAX(0,MAX(0,Inputs!$B$43-B2652)-((R2629-1)*IF(Inputs!$B$38="pvp",15,MAX(0.1,Skills!D10-IF(Skills!E9=TRUE,2.5,0))))))/Skills!G10,1)))/Inputs!$B$43),G2629*Q2629))*IF(Inputs!$B$38="pvp",1,1+(Inputs!$B$20+Skills!O10+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2629*(1-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F10*((R2629-1)*IF(Skills!G10&gt;0,Skills!H10/Skills!G10,1)+IF(Skills!G10&gt;0,MIN(Skills!H10,MAX(0,MAX(0,Inputs!$B$43-B2652)-((R2629-1)*IF(Inputs!$B$38="pvp",15,MAX(0.1,Skills!D10-IF(Skills!E9=TRUE,2.5,0))))))/Skills!G10,1)))/Inputs!$B$43),G2629*Q2629))*IF(Inputs!$B$38="pvp",1,(1+(Inputs!$B$21+Skills!P10+B2646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Skills!A11</f>
        <v/>
      </c>
      <c r="B2630">
        <f>Skills!B11</f>
        <v/>
      </c>
      <c r="C2630">
        <f>Inputs!$B$3&gt;=107</f>
        <v/>
      </c>
      <c r="D2630">
        <f>IF(Skills!C11=1,60+Inputs!$B$25+Inputs!$B$29,IF(Skills!C11=2,90+Inputs!$B$26+Inputs!$B$29,IF(Skills!C11=3,120+Inputs!$B$27+Inputs!$B$29,MAX(0,(Inputs!$B$3-100)*3)+Inputs!$B$28+Inputs!$B$29)))</f>
        <v/>
      </c>
      <c r="E2630">
        <f>INDEX(FactorTable!$B$2:$Y$301, MATCH(ROUND(MIN(300,MAX(1,D2630)),0), FactorTable!$A$2:$A$301,0), Skills!L11+1)</f>
        <v/>
      </c>
      <c r="F2630">
        <f>IF(Skills!M11=TRUE,(Skills!K11/10)*(E2630/1000),Skills!K11/10)+Skills!N11</f>
        <v/>
      </c>
      <c r="G2630">
        <f>Calc!G11</f>
        <v/>
      </c>
      <c r="H2630">
        <f>Calc!H11</f>
        <v/>
      </c>
      <c r="I2630">
        <f>IF(Skills!T11&lt;&gt;"",1+(Skills!T11/10)*(Z2622/1000)/100,1)</f>
        <v/>
      </c>
      <c r="J2630">
        <f>((Inputs!$B$6*(1+Inputs!$B$7/100))+(((Inputs!$B$12*(1+Inputs!$B$13/100))-(Inputs!$B$12*(1+Inputs!$B$13/100)))+0.25*(Inputs!$B$14-Inputs!$B$14))*(1+Inputs!$B$7/100))*(F2630/100)</f>
        <v/>
      </c>
      <c r="K2630">
        <f>J2630*(1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2637-Calc!F18),(Inputs!$B$23+(IF(ArtifactsInput!$M$15,CHOOSE(ArtifactsInput!$N$15+1,25,30,35,40,45,50)/100*(Inputs!$B$11-Inputs!$B$11),0))))/100+(Inputs!$B$23+(IF(ArtifactsInput!$M$15,CHOOSE(ArtifactsInput!$N$15+1,25,30,35,40,45,50)/100*(Inputs!$B$11-Inputs!$B$11),0)))/100)/2</f>
        <v/>
      </c>
      <c r="M2630">
        <f>L2630*(1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IF(B2655=0,0,O2630/B2655)</f>
        <v/>
      </c>
      <c r="Q2630">
        <f>IFERROR(1/IF(Inputs!$B$38="pvp",15,MAX(0.1,Skills!D11-IF(Skills!E11=TRUE,2.5,0))),0)</f>
        <v/>
      </c>
      <c r="R2630">
        <f>IF(AND(Inputs!$B$38&lt;&gt;"pvp",Inputs!$B$43&gt;0),IF(MAX(0,Inputs!$B$43-B2652)&lt;=0,0,(INT(MAX(0,Inputs!$B$43-B2652)/IF(Inputs!$B$38="pvp",15,MAX(0.1,Skills!D11-IF(Skills!E11=TRUE,2.5,0))))+1)),0)</f>
        <v/>
      </c>
      <c r="S2630">
        <f>IF(C2630,H2630*N2630*IF(AND(Inputs!$B$38&lt;&gt;"pvp",Inputs!$B$43&gt;0),((Skills!F11*((R2630-1)*IF(Skills!G11&gt;0,Skills!H11/Skills!G11,1)+IF(Skills!G11&gt;0,MIN(Skills!H11,MAX(0,MAX(0,Inputs!$B$43-B2652)-((R2630-1)*IF(Inputs!$B$38="pvp",15,MAX(0.1,Skills!D11-IF(Skills!E11=TRUE,2.5,0))))))/Skills!G11,1)))/Inputs!$B$43),G2630*Q2630)*0.5*IF(Inputs!$B$38="pvp",1,1+(Inputs!$B$20+Skills!O11+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2630*(1-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F11*((R2630-1)*IF(Skills!G11&gt;0,Skills!H11/Skills!G11,1)+IF(Skills!G11&gt;0,MIN(Skills!H11,MAX(0,MAX(0,Inputs!$B$43-B2652)-((R2630-1)*IF(Inputs!$B$38="pvp",15,MAX(0.1,Skills!D11-IF(Skills!E11=TRUE,2.5,0))))))/Skills!G11,1)))/Inputs!$B$43),G2630*Q2630)*1*IF(Inputs!$B$38="pvp",1,(1+(Inputs!$B$21+Skills!P11+B2646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Skills!A12</f>
        <v/>
      </c>
      <c r="B2631">
        <f>Skills!B12</f>
        <v/>
      </c>
      <c r="C2631">
        <f>Inputs!$B$3&gt;=115</f>
        <v/>
      </c>
      <c r="D2631">
        <f>IF(Skills!C12=1,60+Inputs!$B$25+Inputs!$B$29,IF(Skills!C12=2,90+Inputs!$B$26+Inputs!$B$29,IF(Skills!C12=3,120+Inputs!$B$27+Inputs!$B$29,MAX(0,(Inputs!$B$3-100)*3)+Inputs!$B$28+Inputs!$B$29)))</f>
        <v/>
      </c>
      <c r="E2631">
        <f>INDEX(FactorTable!$B$2:$Y$301, MATCH(ROUND(MIN(300,MAX(1,D2631)),0), FactorTable!$A$2:$A$301,0), Skills!L12+1)</f>
        <v/>
      </c>
      <c r="F2631">
        <f>IF(Skills!M12=TRUE,(Skills!K12/10)*(E2631/1000),Skills!K12/10)+Skills!N12</f>
        <v/>
      </c>
      <c r="G2631">
        <f>Calc!G12</f>
        <v/>
      </c>
      <c r="H2631">
        <f>Calc!H12</f>
        <v/>
      </c>
      <c r="I2631">
        <f>IF(Skills!T12&lt;&gt;"",1+(Skills!T12/10)*(Z2622/1000)/100,1)</f>
        <v/>
      </c>
      <c r="J2631">
        <f>((Inputs!$B$6*(1+Inputs!$B$7/100))+(((Inputs!$B$12*(1+Inputs!$B$13/100))-(Inputs!$B$12*(1+Inputs!$B$13/100)))+0.25*(Inputs!$B$14-Inputs!$B$14))*(1+Inputs!$B$7/100))*(F2631/100)</f>
        <v/>
      </c>
      <c r="K2631">
        <f>J2631*(1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2637-Calc!F18),(Inputs!$B$23+(IF(ArtifactsInput!$M$15,CHOOSE(ArtifactsInput!$N$15+1,25,30,35,40,45,50)/100*(Inputs!$B$11-Inputs!$B$11),0))))/100+(Inputs!$B$23+(IF(ArtifactsInput!$M$15,CHOOSE(ArtifactsInput!$N$15+1,25,30,35,40,45,50)/100*(Inputs!$B$11-Inputs!$B$11),0)))/100)/2</f>
        <v/>
      </c>
      <c r="M2631">
        <f>L2631*(1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IF(B2655=0,0,O2631/B2655)</f>
        <v/>
      </c>
      <c r="Q2631">
        <f>IFERROR(1/IF(Inputs!$B$38="pvp",15,MAX(0.1,Skills!D12-IF(Skills!E12=TRUE,2.5,0))),0)</f>
        <v/>
      </c>
      <c r="R2631">
        <f>IF(AND(Inputs!$B$38&lt;&gt;"pvp",Inputs!$B$43&gt;0),IF(MAX(0,Inputs!$B$43-B2652)&lt;=0,0,(INT(MAX(0,Inputs!$B$43-B2652)/IF(Inputs!$B$38="pvp",15,MAX(0.1,Skills!D12-IF(Skills!E12=TRUE,2.5,0))))+1)),0)</f>
        <v/>
      </c>
      <c r="S2631">
        <f>IF(C2631,(H2631*N2631*IF(AND(Inputs!$B$38&lt;&gt;"pvp",Inputs!$B$43&gt;0),((Skills!F12*((R2631-1)*IF(Skills!G12&gt;0,Skills!H12/Skills!G12,1)+IF(Skills!G12&gt;0,MIN(Skills!H12,MAX(0,MAX(0,Inputs!$B$43-B2652)-((R2631-1)*IF(Inputs!$B$38="pvp",15,MAX(0.1,Skills!D12-IF(Skills!E12=TRUE,2.5,0))))))/Skills!G12,1)))/Inputs!$B$43),G2631*Q2631))*IF(Inputs!$B$38="pvp",1,1+(Inputs!$B$20+Skills!O12+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F12*((R2631-1)*IF(Skills!G12&gt;0,Skills!H12/Skills!G12,1)+IF(Skills!G12&gt;0,MIN(Skills!H12,MAX(0,MAX(0,Inputs!$B$43-B2652)-((R2631-1)*IF(Inputs!$B$38="pvp",15,MAX(0.1,Skills!D12-IF(Skills!E12=TRUE,2.5,0))))))/Skills!G12,1)))/Inputs!$B$43),G2631*Q2631))*IF(Inputs!$B$38="pvp",1,(1+(Inputs!$B$21+Skills!P12+B2646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Skills!A13</f>
        <v/>
      </c>
      <c r="B2632">
        <f>Skills!B13</f>
        <v/>
      </c>
      <c r="C2632">
        <f>Inputs!$B$3&gt;=49</f>
        <v/>
      </c>
      <c r="D2632">
        <f>IF(Skills!C13=1,60+Inputs!$B$25+Inputs!$B$29,IF(Skills!C13=2,90+Inputs!$B$26+Inputs!$B$29,IF(Skills!C13=3,120+Inputs!$B$27+Inputs!$B$29,MAX(0,(Inputs!$B$3-100)*3)+Inputs!$B$28+Inputs!$B$29)))</f>
        <v/>
      </c>
      <c r="E2632">
        <f>INDEX(FactorTable!$B$2:$Y$301, MATCH(ROUND(MIN(300,MAX(1,D2632)),0), FactorTable!$A$2:$A$301,0), Skills!L13+1)</f>
        <v/>
      </c>
      <c r="F2632">
        <f>IF(Skills!M13=TRUE,(Skills!K13/10)*(E2632/1000),Skills!K13/10)+Skills!N13</f>
        <v/>
      </c>
      <c r="G2632">
        <f>Calc!G13</f>
        <v/>
      </c>
      <c r="H2632">
        <f>Calc!H13</f>
        <v/>
      </c>
      <c r="I2632">
        <f>IF(Skills!T13&lt;&gt;"",1+(Skills!T13/10)*(Z2622/1000)/100,1)</f>
        <v/>
      </c>
      <c r="J2632" t="inlineStr"/>
      <c r="K2632" t="inlineStr"/>
      <c r="L2632" t="inlineStr"/>
      <c r="M2632" t="inlineStr"/>
      <c r="N2632" t="inlineStr"/>
      <c r="O2632">
        <f>(1-Summary!$B$11)*S2632+Summary!$B$11*U2632</f>
        <v/>
      </c>
      <c r="P2632">
        <f>IF(B2655=0,0,O2632/B2655)</f>
        <v/>
      </c>
      <c r="Q2632">
        <f>IFERROR(1/IF(Inputs!$B$38="pvp",15,MAX(0.1,Skills!D13-IF(Skills!E13=TRUE,2.5,0))),0)</f>
        <v/>
      </c>
      <c r="R2632" t="n">
        <v>0</v>
      </c>
      <c r="S2632" t="n">
        <v>0</v>
      </c>
      <c r="U2632" t="n">
        <v>0</v>
      </c>
    </row>
    <row r="2633">
      <c r="A2633">
        <f>Skills!A14</f>
        <v/>
      </c>
      <c r="B2633">
        <f>Skills!B14</f>
        <v/>
      </c>
      <c r="C2633">
        <f>Inputs!$B$3&gt;=72</f>
        <v/>
      </c>
      <c r="D2633">
        <f>IF(Skills!C14=1,60+Inputs!$B$25+Inputs!$B$29,IF(Skills!C14=2,90+Inputs!$B$26+Inputs!$B$29,IF(Skills!C14=3,120+Inputs!$B$27+Inputs!$B$29,MAX(0,(Inputs!$B$3-100)*3)+Inputs!$B$28+Inputs!$B$29)))</f>
        <v/>
      </c>
      <c r="E2633">
        <f>INDEX(FactorTable!$B$2:$Y$301, MATCH(ROUND(MIN(300,MAX(1,D2633)),0), FactorTable!$A$2:$A$301,0), Skills!L14+1)</f>
        <v/>
      </c>
      <c r="F2633">
        <f>IF(Skills!M14=TRUE,(Skills!K14/10)*(E2633/1000),Skills!K14/10)+Skills!N14</f>
        <v/>
      </c>
      <c r="G2633">
        <f>Calc!G14</f>
        <v/>
      </c>
      <c r="H2633">
        <f>Calc!H14</f>
        <v/>
      </c>
      <c r="I2633">
        <f>IF(Skills!T14&lt;&gt;"",1+(Skills!T14/10)*(Z2622/1000)/100,1)</f>
        <v/>
      </c>
      <c r="J2633" t="inlineStr"/>
      <c r="K2633" t="inlineStr"/>
      <c r="L2633" t="inlineStr"/>
      <c r="M2633" t="inlineStr"/>
      <c r="N2633" t="inlineStr"/>
      <c r="O2633">
        <f>(1-Summary!$B$11)*S2633+Summary!$B$11*U2633</f>
        <v/>
      </c>
      <c r="P2633">
        <f>IF(B2655=0,0,O2633/B2655)</f>
        <v/>
      </c>
      <c r="Q2633">
        <f>IFERROR(1/IF(Inputs!$B$38="pvp",15,MAX(0.1,Skills!D14-IF(Skills!E14=TRUE,2.5,0))),0)</f>
        <v/>
      </c>
      <c r="R2633" t="n">
        <v>0</v>
      </c>
      <c r="S2633" t="n">
        <v>0</v>
      </c>
      <c r="U2633" t="n">
        <v>0</v>
      </c>
    </row>
    <row r="2634">
      <c r="A2634">
        <f>Skills!A15</f>
        <v/>
      </c>
      <c r="B2634">
        <f>Skills!B15</f>
        <v/>
      </c>
      <c r="C2634">
        <f>Inputs!$B$3&gt;=75</f>
        <v/>
      </c>
      <c r="D2634">
        <f>IF(Skills!C15=1,60+Inputs!$B$25+Inputs!$B$29,IF(Skills!C15=2,90+Inputs!$B$26+Inputs!$B$29,IF(Skills!C15=3,120+Inputs!$B$27+Inputs!$B$29,MAX(0,(Inputs!$B$3-100)*3)+Inputs!$B$28+Inputs!$B$29)))</f>
        <v/>
      </c>
      <c r="E2634">
        <f>INDEX(FactorTable!$B$2:$Y$301, MATCH(ROUND(MIN(300,MAX(1,D2634)),0), FactorTable!$A$2:$A$301,0), Skills!L15+1)</f>
        <v/>
      </c>
      <c r="F2634">
        <f>IF(Skills!M15=TRUE,(Skills!K15/10)*(E2634/1000),Skills!K15/10)+Skills!N15</f>
        <v/>
      </c>
      <c r="G2634">
        <f>Calc!G15</f>
        <v/>
      </c>
      <c r="H2634">
        <f>Calc!H15</f>
        <v/>
      </c>
      <c r="I2634">
        <f>IF(Skills!T15&lt;&gt;"",1+(Skills!T15/10)*(Z2622/1000)/100,1)</f>
        <v/>
      </c>
      <c r="J2634" t="inlineStr"/>
      <c r="K2634" t="inlineStr"/>
      <c r="L2634" t="inlineStr"/>
      <c r="M2634" t="inlineStr"/>
      <c r="N2634" t="inlineStr"/>
      <c r="O2634">
        <f>(1-Summary!$B$11)*S2634+Summary!$B$11*U2634</f>
        <v/>
      </c>
      <c r="P2634">
        <f>IF(B2655=0,0,O2634/B2655)</f>
        <v/>
      </c>
      <c r="Q2634">
        <f>IFERROR(1/IF(Inputs!$B$38="pvp",15,MAX(0.1,Skills!D15-IF(Skills!E15=TRUE,2.5,0))),0)</f>
        <v/>
      </c>
      <c r="R2634" t="n">
        <v>0</v>
      </c>
      <c r="S2634" t="n">
        <v>0</v>
      </c>
      <c r="U2634" t="n">
        <v>0</v>
      </c>
    </row>
    <row r="2635">
      <c r="A2635">
        <f>Skills!A16</f>
        <v/>
      </c>
      <c r="B2635">
        <f>Skills!B16</f>
        <v/>
      </c>
      <c r="C2635">
        <f>Inputs!$B$3&gt;=110</f>
        <v/>
      </c>
      <c r="D2635">
        <f>IF(Skills!C16=1,60+Inputs!$B$25+Inputs!$B$29,IF(Skills!C16=2,90+Inputs!$B$26+Inputs!$B$29,IF(Skills!C16=3,120+Inputs!$B$27+Inputs!$B$29,MAX(0,(Inputs!$B$3-100)*3)+Inputs!$B$28+Inputs!$B$29)))</f>
        <v/>
      </c>
      <c r="E2635">
        <f>INDEX(FactorTable!$B$2:$Y$301, MATCH(ROUND(MIN(300,MAX(1,D2635)),0), FactorTable!$A$2:$A$301,0), Skills!L16+1)</f>
        <v/>
      </c>
      <c r="F2635">
        <f>(Skills!K16/10)*(E2635/1000)*64/45+Skills!N16</f>
        <v/>
      </c>
      <c r="G2635">
        <f>Calc!G16</f>
        <v/>
      </c>
      <c r="H2635">
        <f>Calc!H16</f>
        <v/>
      </c>
      <c r="I2635">
        <f>IF(Skills!T16&lt;&gt;"",1+(Skills!T16/10)*(Z2622/1000)/100,1)</f>
        <v/>
      </c>
      <c r="J2635" t="inlineStr"/>
      <c r="K2635" t="inlineStr"/>
      <c r="L2635" t="inlineStr"/>
      <c r="M2635" t="inlineStr"/>
      <c r="N2635" t="inlineStr"/>
      <c r="O2635">
        <f>(1-Summary!$B$11)*S2635+Summary!$B$11*U2635</f>
        <v/>
      </c>
      <c r="P2635">
        <f>IF(B2655=0,0,O2635/B2655)</f>
        <v/>
      </c>
      <c r="Q2635">
        <f>IFERROR(1/IF(Inputs!$B$38="pvp",15,MAX(0.1,Skills!D16-IF(Skills!E16=TRUE,2.5,0))),0)</f>
        <v/>
      </c>
      <c r="R2635">
        <f>IF(AND(Inputs!$B$38&lt;&gt;"pvp",Inputs!$B$43&gt;0),IF(Inputs!$B$43&lt;=0,0,(INT(Inputs!$B$43/IF(Inputs!$B$38="pvp",15,MAX(0.1,Skills!D16-IF(Skills!E16=TRUE,2.5,0))))+1)),0)</f>
        <v/>
      </c>
      <c r="S2635" t="n">
        <v>0</v>
      </c>
      <c r="U2635" t="n">
        <v>0</v>
      </c>
    </row>
    <row r="2636">
      <c r="A2636">
        <f>Skills!A17</f>
        <v/>
      </c>
      <c r="B2636">
        <f>Skills!B17</f>
        <v/>
      </c>
      <c r="C2636">
        <f>Inputs!$B$3&gt;=33</f>
        <v/>
      </c>
      <c r="D2636">
        <f>IF(Skills!C17=1,60+Inputs!$B$25+Inputs!$B$29,IF(Skills!C17=2,90+Inputs!$B$26+Inputs!$B$29,IF(Skills!C17=3,120+Inputs!$B$27+Inputs!$B$29,MAX(0,(Inputs!$B$3-100)*3)+Inputs!$B$28+Inputs!$B$29)))</f>
        <v/>
      </c>
      <c r="E2636">
        <f>INDEX(FactorTable!$B$2:$Y$301, MATCH(ROUND(MIN(300,MAX(1,D2636)),0), FactorTable!$A$2:$A$301,0), Skills!L17+1)</f>
        <v/>
      </c>
      <c r="F2636">
        <f>IF(Skills!M17=TRUE,(Skills!K17/10)*(E2636/1000),Skills!K17/10)+Skills!N17</f>
        <v/>
      </c>
      <c r="G2636">
        <f>Calc!G17</f>
        <v/>
      </c>
      <c r="H2636">
        <f>Calc!H17</f>
        <v/>
      </c>
      <c r="I2636">
        <f>IF(Skills!T17&lt;&gt;"",1+(Skills!T17/10)*(Z2622/1000)/100,1)</f>
        <v/>
      </c>
      <c r="J2636" t="inlineStr"/>
      <c r="K2636" t="inlineStr"/>
      <c r="L2636" t="inlineStr"/>
      <c r="M2636" t="inlineStr"/>
      <c r="N2636" t="inlineStr"/>
      <c r="O2636">
        <f>(1-Summary!$B$11)*S2636+Summary!$B$11*U2636</f>
        <v/>
      </c>
      <c r="P2636">
        <f>IF(B2655=0,0,O2636/B2655)</f>
        <v/>
      </c>
      <c r="Q2636">
        <f>IFERROR(1/IF(Inputs!$B$38="pvp",15,MAX(0.1,Skills!D17-IF(Skills!E17=TRUE,2.5,0))),0)</f>
        <v/>
      </c>
      <c r="R2636" t="n">
        <v>0</v>
      </c>
      <c r="S2636" t="n">
        <v>0</v>
      </c>
      <c r="U2636" t="n">
        <v>0</v>
      </c>
    </row>
    <row r="2637">
      <c r="A2637">
        <f>Skills!A18</f>
        <v/>
      </c>
      <c r="B2637">
        <f>Skills!B18</f>
        <v/>
      </c>
      <c r="C2637">
        <f>Inputs!$B$3&gt;=43</f>
        <v/>
      </c>
      <c r="D2637">
        <f>IF(Skills!C18=1,60+Inputs!$B$25+Inputs!$B$29,IF(Skills!C18=2,90+Inputs!$B$26+Inputs!$B$29,IF(Skills!C18=3,120+Inputs!$B$27+Inputs!$B$29,MAX(0,(Inputs!$B$3-100)*3)+Inputs!$B$28+Inputs!$B$29)))</f>
        <v/>
      </c>
      <c r="E2637">
        <f>INDEX(FactorTable!$B$2:$Y$301, MATCH(ROUND(MIN(300,MAX(1,D2637)),0), FactorTable!$A$2:$A$301,0), Skills!L18+1)</f>
        <v/>
      </c>
      <c r="F2637">
        <f>IF(Skills!M18=TRUE,(Skills!K18/10)*(E2637/1000),Skills!K18/10)+Skills!N18</f>
        <v/>
      </c>
      <c r="G2637">
        <f>Calc!G18</f>
        <v/>
      </c>
      <c r="H2637">
        <f>Calc!H18</f>
        <v/>
      </c>
      <c r="I2637">
        <f>IF(Skills!T18&lt;&gt;"",1+(Skills!T18/10)*(Z2622/1000)/100,1)</f>
        <v/>
      </c>
      <c r="J2637" t="inlineStr"/>
      <c r="K2637" t="inlineStr"/>
      <c r="L2637" t="inlineStr"/>
      <c r="M2637" t="inlineStr"/>
      <c r="N2637" t="inlineStr"/>
      <c r="O2637">
        <f>(1-Summary!$B$11)*S2637+Summary!$B$11*U2637</f>
        <v/>
      </c>
      <c r="P2637">
        <f>IF(B2655=0,0,O2637/B2655)</f>
        <v/>
      </c>
      <c r="Q2637">
        <f>IFERROR(1/IF(Inputs!$B$38="pvp",15,MAX(0.1,Skills!D18-IF(Skills!E18=TRUE,2.5,0))),0)</f>
        <v/>
      </c>
      <c r="R2637" t="n">
        <v>0</v>
      </c>
      <c r="S2637" t="n">
        <v>0</v>
      </c>
      <c r="U2637" t="n">
        <v>0</v>
      </c>
    </row>
    <row r="2638">
      <c r="A2638">
        <f>Skills!A19</f>
        <v/>
      </c>
      <c r="B2638">
        <f>Skills!B19</f>
        <v/>
      </c>
      <c r="C2638">
        <f>Inputs!$B$3&gt;=50</f>
        <v/>
      </c>
      <c r="D2638">
        <f>IF(Skills!C19=1,60+Inputs!$B$25+Inputs!$B$29,IF(Skills!C19=2,90+Inputs!$B$26+Inputs!$B$29,IF(Skills!C19=3,120+Inputs!$B$27+Inputs!$B$29,MAX(0,(Inputs!$B$3-100)*3)+Inputs!$B$28+Inputs!$B$29)))</f>
        <v/>
      </c>
      <c r="E2638">
        <f>INDEX(FactorTable!$B$2:$Y$301, MATCH(ROUND(MIN(300,MAX(1,D2638)),0), FactorTable!$A$2:$A$301,0), Skills!L19+1)</f>
        <v/>
      </c>
      <c r="F2638">
        <f>IF(Skills!M19=TRUE,(Skills!K19/10)*(E2638/1000),Skills!K19/10)+Skills!N19</f>
        <v/>
      </c>
      <c r="G2638">
        <f>Calc!G19</f>
        <v/>
      </c>
      <c r="H2638">
        <f>Calc!H19</f>
        <v/>
      </c>
      <c r="I2638">
        <f>IF(Skills!T19&lt;&gt;"",1+(Skills!T19/10)*(Z2622/1000)/100,1)</f>
        <v/>
      </c>
      <c r="J2638" t="inlineStr"/>
      <c r="K2638" t="inlineStr"/>
      <c r="L2638" t="inlineStr"/>
      <c r="M2638" t="inlineStr"/>
      <c r="N2638" t="inlineStr"/>
      <c r="O2638">
        <f>(1-Summary!$B$11)*S2638+Summary!$B$11*U2638</f>
        <v/>
      </c>
      <c r="P2638">
        <f>IF(B2655=0,0,O2638/B2655)</f>
        <v/>
      </c>
      <c r="Q2638">
        <f>IFERROR(1/IF(Inputs!$B$38="pvp",15,MAX(0.1,Skills!D19-IF(Skills!E19=TRUE,2.5,0))),0)</f>
        <v/>
      </c>
      <c r="R2638" t="n">
        <v>0</v>
      </c>
      <c r="S2638" t="n">
        <v>0</v>
      </c>
      <c r="U2638" t="n">
        <v>0</v>
      </c>
    </row>
    <row r="2639">
      <c r="A2639">
        <f>Skills!A20</f>
        <v/>
      </c>
      <c r="B2639">
        <f>Skills!B20</f>
        <v/>
      </c>
      <c r="C2639">
        <f>Inputs!$B$3&gt;=74</f>
        <v/>
      </c>
      <c r="D2639">
        <f>IF(Skills!C20=1,60+Inputs!$B$25+Inputs!$B$29,IF(Skills!C20=2,90+Inputs!$B$26+Inputs!$B$29,IF(Skills!C20=3,120+Inputs!$B$27+Inputs!$B$29,MAX(0,(Inputs!$B$3-100)*3)+Inputs!$B$28+Inputs!$B$29)))</f>
        <v/>
      </c>
      <c r="E2639">
        <f>INDEX(FactorTable!$B$2:$Y$301, MATCH(ROUND(MIN(300,MAX(1,D2639)),0), FactorTable!$A$2:$A$301,0), Skills!L20+1)</f>
        <v/>
      </c>
      <c r="F2639">
        <f>IF(Skills!M20=TRUE,(Skills!K20/10)*(E2639/1000),Skills!K20/10)+Skills!N20</f>
        <v/>
      </c>
      <c r="G2639">
        <f>Calc!G20</f>
        <v/>
      </c>
      <c r="H2639">
        <f>Calc!H20</f>
        <v/>
      </c>
      <c r="I2639">
        <f>IF(Skills!T20&lt;&gt;"",1+(Skills!T20/10)*(Z2622/1000)/100,1)</f>
        <v/>
      </c>
      <c r="J2639" t="inlineStr"/>
      <c r="K2639" t="inlineStr"/>
      <c r="L2639" t="inlineStr"/>
      <c r="M2639" t="inlineStr"/>
      <c r="N2639" t="inlineStr"/>
      <c r="O2639">
        <f>(1-Summary!$B$11)*S2639+Summary!$B$11*U2639</f>
        <v/>
      </c>
      <c r="P2639">
        <f>IF(B2655=0,0,O2639/B2655)</f>
        <v/>
      </c>
      <c r="Q2639">
        <f>IFERROR(1/IF(Inputs!$B$38="pvp",15,MAX(0.1,Skills!D20-IF(Skills!E20=TRUE,2.5,0))),0)</f>
        <v/>
      </c>
      <c r="R2639" t="n">
        <v>0</v>
      </c>
      <c r="S2639" t="n">
        <v>0</v>
      </c>
      <c r="U2639" t="n">
        <v>0</v>
      </c>
    </row>
    <row r="2640">
      <c r="A2640">
        <f>Skills!A21</f>
        <v/>
      </c>
      <c r="B2640">
        <f>Skills!B21</f>
        <v/>
      </c>
      <c r="C2640">
        <f>Inputs!$B$3&gt;=74</f>
        <v/>
      </c>
      <c r="D2640">
        <f>IF(Skills!C21=1,60+Inputs!$B$25+Inputs!$B$29,IF(Skills!C21=2,90+Inputs!$B$26+Inputs!$B$29,IF(Skills!C21=3,120+Inputs!$B$27+Inputs!$B$29,MAX(0,(Inputs!$B$3-100)*3)+Inputs!$B$28+Inputs!$B$29)))</f>
        <v/>
      </c>
      <c r="E2640">
        <f>INDEX(FactorTable!$B$2:$Y$301, MATCH(ROUND(MIN(300,MAX(1,D2640)),0), FactorTable!$A$2:$A$301,0), Skills!L21+1)</f>
        <v/>
      </c>
      <c r="F2640">
        <f>IF(Skills!M21=TRUE,(Skills!K21/10)*(E2640/1000),Skills!K21/10)+Skills!N21</f>
        <v/>
      </c>
      <c r="G2640">
        <f>Calc!G21</f>
        <v/>
      </c>
      <c r="H2640">
        <f>Calc!H21</f>
        <v/>
      </c>
      <c r="I2640">
        <f>IF(Skills!T21&lt;&gt;"",1+(Skills!T21/10)*(Z2622/1000)/100,1)</f>
        <v/>
      </c>
      <c r="J2640" t="inlineStr"/>
      <c r="K2640" t="inlineStr"/>
      <c r="L2640" t="inlineStr"/>
      <c r="M2640" t="inlineStr"/>
      <c r="N2640" t="inlineStr"/>
      <c r="O2640">
        <f>(1-Summary!$B$11)*S2640+Summary!$B$11*U2640</f>
        <v/>
      </c>
      <c r="P2640">
        <f>IF(B2655=0,0,O2640/B2655)</f>
        <v/>
      </c>
      <c r="Q2640">
        <f>IFERROR(1/IF(Inputs!$B$38="pvp",15,MAX(0.1,Skills!D21-IF(Skills!E21=TRUE,2.5,0))),0)</f>
        <v/>
      </c>
      <c r="R2640" t="n">
        <v>0</v>
      </c>
      <c r="S2640" t="n">
        <v>0</v>
      </c>
      <c r="U2640" t="n">
        <v>0</v>
      </c>
    </row>
    <row r="2641">
      <c r="A2641">
        <f>Skills!A22</f>
        <v/>
      </c>
      <c r="B2641">
        <f>Skills!B22</f>
        <v/>
      </c>
      <c r="C2641">
        <f>Inputs!$B$3&gt;=117</f>
        <v/>
      </c>
      <c r="D2641">
        <f>IF(Skills!C22=1,60+Inputs!$B$25+Inputs!$B$29,IF(Skills!C22=2,90+Inputs!$B$26+Inputs!$B$29,IF(Skills!C22=3,120+Inputs!$B$27+Inputs!$B$29,MAX(0,(Inputs!$B$3-100)*3)+Inputs!$B$28+Inputs!$B$29)))</f>
        <v/>
      </c>
      <c r="E2641">
        <f>INDEX(FactorTable!$B$2:$Y$301, MATCH(ROUND(MIN(300,MAX(1,D2641)),0), FactorTable!$A$2:$A$301,0), Skills!L22+1)</f>
        <v/>
      </c>
      <c r="F2641">
        <f>IF(Skills!M22=TRUE,(Skills!K22/10)*(E2641/1000),Skills!K22/10)+Skills!N22</f>
        <v/>
      </c>
      <c r="G2641">
        <f>Calc!G22</f>
        <v/>
      </c>
      <c r="H2641">
        <f>Calc!H22</f>
        <v/>
      </c>
      <c r="I2641">
        <f>IF(Skills!T22&lt;&gt;"",1+(Skills!T22/10)*(Z2622/1000)/100,1)</f>
        <v/>
      </c>
      <c r="J2641" t="inlineStr"/>
      <c r="K2641" t="inlineStr"/>
      <c r="L2641" t="inlineStr"/>
      <c r="M2641" t="inlineStr"/>
      <c r="N2641" t="inlineStr"/>
      <c r="O2641">
        <f>(1-Summary!$B$11)*S2641+Summary!$B$11*U2641</f>
        <v/>
      </c>
      <c r="P2641">
        <f>IF(B2655=0,0,O2641/B2655)</f>
        <v/>
      </c>
      <c r="Q2641">
        <f>IFERROR(1/IF(Inputs!$B$38="pvp",15,MAX(0.1,Skills!D22-IF(Skills!E22=TRUE,2.5,0))),0)</f>
        <v/>
      </c>
      <c r="R2641" t="n">
        <v>0</v>
      </c>
      <c r="S2641" t="n">
        <v>0</v>
      </c>
      <c r="U2641" t="n">
        <v>0</v>
      </c>
    </row>
    <row r="2642">
      <c r="A2642">
        <f>Skills!A23</f>
        <v/>
      </c>
      <c r="B2642">
        <f>Skills!B23</f>
        <v/>
      </c>
      <c r="C2642">
        <f>Inputs!$B$3&gt;=120</f>
        <v/>
      </c>
      <c r="D2642">
        <f>IF(Skills!C23=1,60+Inputs!$B$25+Inputs!$B$29,IF(Skills!C23=2,90+Inputs!$B$26+Inputs!$B$29,IF(Skills!C23=3,120+Inputs!$B$27+Inputs!$B$29,MAX(0,(Inputs!$B$3-100)*3)+Inputs!$B$28+Inputs!$B$29)))</f>
        <v/>
      </c>
      <c r="E2642">
        <f>INDEX(FactorTable!$B$2:$Y$301, MATCH(ROUND(MIN(300,MAX(1,D2642)),0), FactorTable!$A$2:$A$301,0), Skills!L23+1)</f>
        <v/>
      </c>
      <c r="F2642">
        <f>IF(Skills!M23=TRUE,(Skills!K23/10)*(E2642/1000),Skills!K23/10)+Skills!N23</f>
        <v/>
      </c>
      <c r="G2642">
        <f>Calc!G23</f>
        <v/>
      </c>
      <c r="H2642">
        <f>Calc!H23</f>
        <v/>
      </c>
      <c r="I2642">
        <f>IF(Skills!T23&lt;&gt;"",1+(Skills!T23/10)*(Z2622/1000)/100,1)</f>
        <v/>
      </c>
      <c r="J2642" t="inlineStr"/>
      <c r="K2642" t="inlineStr"/>
      <c r="L2642" t="inlineStr"/>
      <c r="M2642" t="inlineStr"/>
      <c r="N2642" t="inlineStr"/>
      <c r="O2642">
        <f>(1-Summary!$B$11)*S2642+Summary!$B$11*U2642</f>
        <v/>
      </c>
      <c r="P2642">
        <f>IF(B2655=0,0,O2642/B2655)</f>
        <v/>
      </c>
      <c r="Q2642">
        <f>IFERROR(1/IF(Inputs!$B$38="pvp",15,MAX(0.1,Skills!D23-IF(Skills!E23=TRUE,2.5,0))),0)</f>
        <v/>
      </c>
      <c r="R2642" t="n">
        <v>0</v>
      </c>
      <c r="S2642" t="n">
        <v>0</v>
      </c>
      <c r="U2642" t="n">
        <v>0</v>
      </c>
    </row>
    <row r="2645">
      <c r="A2645" t="inlineStr">
        <is>
          <t>Average Buff Multiplier (Magic Guard + Meditation + Artifact Attack%, summed; then Infinity)</t>
        </is>
      </c>
      <c r="B2645">
        <f>(1+(IF(C2622=TRUE,F2622*IF(AND(Inputs!$B$38&lt;&gt;"pvp",Inputs!$B$43&gt;0),(((R2622-1)*(Skills!S3*(1+(Inputs!$B$34+IF(Inputs!$B$3&gt;=117,F2641,0))/100))+MIN((Skills!S3*(1+(Inputs!$B$34+IF(Inputs!$B$3&gt;=117,F2641,0))/100)),MAX(0,Inputs!$B$43-((R2622-1)*Skills!D3))))/Inputs!$B$43),IF(Inputs!$B$38="pvp",MIN((Skills!S3*(1+(Inputs!$B$34+IF(Inputs!$B$3&gt;=117,F2641,0))/100)),15)/15,(Skills!S3*(1+(Inputs!$B$34+IF(Inputs!$B$3&gt;=117,F2641,0))/100))/Skills!D3)),0)+IF(C2623=TRUE,F2623*IF(AND(Inputs!$B$38&lt;&gt;"pvp",Inputs!$B$43&gt;0),(((R2623-1)*(Skills!S4*(1+(Inputs!$B$34+IF(Inputs!$B$3&gt;=117,F2641,0))/100))+MIN((Skills!S4*(1+(Inputs!$B$34+IF(Inputs!$B$3&gt;=117,F2641,0))/100)),MAX(0,Inputs!$B$43-((R2623-1)*Skills!D4))))/Inputs!$B$43),IF(Inputs!$B$38="pvp",MIN((Skills!S4*(1+(Inputs!$B$34+IF(Inputs!$B$3&gt;=117,F2641,0))/100)),15)/15,(Skills!S4*(1+(Inputs!$B$34+IF(Inputs!$B$3&gt;=117,F2641,0)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2635=TRUE,(1+F2635*IF(AND(Inputs!$B$38&lt;&gt;"pvp",Inputs!$B$43&gt;0),(((R2635-1)*(Skills!S16*(1+(Inputs!$B$34+IF(Inputs!$B$3&gt;=117,F2641,0))/100))+MIN((Skills!S16*(1+(Inputs!$B$34+IF(Inputs!$B$3&gt;=117,F2641,0))/100)),MAX(0,Inputs!$B$43-((R2635-1)*Skills!D16))))/Inputs!$B$43),IF(Inputs!$B$38="pvp",MIN((Skills!S16*(1+(Inputs!$B$34+IF(Inputs!$B$3&gt;=117,F2641,0))/100)),15)/15,(Skills!S16*(1+(Inputs!$B$34+IF(Inputs!$B$3&gt;=117,F2641,0))/100))/Skills!D16))/100),1)</f>
        <v/>
      </c>
    </row>
    <row r="2646">
      <c r="A2646" t="inlineStr">
        <is>
          <t>Monster Damage Taken Bonus % (Freezing Breath - Weaken + Elemental Reset + Artifact Enemy Damage Taken, summed)</t>
        </is>
      </c>
      <c r="B2646">
        <f>IF(Inputs!$B$3&gt;=118,15*IF(Inputs!$B$38="pvp",MIN((30*(1+(Inputs!$B$34+IF(Inputs!$B$3&gt;=117,F2641,0))/100)),15)/15,(30*(1+(Inputs!$B$34+IF(Inputs!$B$3&gt;=117,F2641,0))/100))/Skills!D8),0)+IF(C2633=TRUE,F2633,0)+(IF(AND(ArtifactsInput!$M$35,Inputs!$B$4&lt;&gt;"Chapter Hunt"),CHOOSE(ArtifactsInput!$N$35+1,15,18,21,24,27,30)*(1-EXP(-(0.2*B2649)*5)),0)+IF(AND(ArtifactsInput!$M$22,Inputs!$B$4&lt;&gt;"Chapter Hunt"),CHOOSE(ArtifactsInput!$N$22+1,10,12,14,16,18,20)*((0*(((0.15*B2649*5))^0/1)+1*(((0.15*B2649*5))^1/1)+2*(((0.15*B2649*5))^2/2)+3*(((0.15*B2649*5))^3/6)+4*(((0.15*B2649*5))^4/24)+5*(((0.15*B2649*5))^5/120))/((((0.15*B2649*5))^0/1)+(((0.15*B2649*5))^1/1)+(((0.15*B2649*5))^2/2)+(((0.15*B2649*5))^3/6)+(((0.15*B2649*5))^4/24)+(((0.15*B2649*5))^5/120))),0))</f>
        <v/>
      </c>
    </row>
    <row r="2647">
      <c r="A2647" t="inlineStr">
        <is>
          <t>Damage % Bonus (Frozen Break + Frost Clutch, flat)</t>
        </is>
      </c>
      <c r="B2647">
        <f>IF(Inputs!$B$3&gt;=66,15,0)+IF(Inputs!$B$3&gt;=98,10,0)+IF(Inputs!$B$3&gt;=125,20,0)</f>
        <v/>
      </c>
    </row>
    <row r="2648">
      <c r="A2648" t="inlineStr">
        <is>
          <t>Attack Speed Bonus % (MP Eater - MP Boost, always-on once unlocked)</t>
        </is>
      </c>
      <c r="B2648">
        <f>IF(C2632=TRUE,F2632+(F2636-Calc!F17),0)</f>
        <v/>
      </c>
    </row>
    <row r="2649">
      <c r="A2649" t="inlineStr">
        <is>
          <t>Actions Per Second</t>
        </is>
      </c>
      <c r="B2649">
        <f>1+MIN(150,150*(1-(1-(Inputs!$B$11+(ArtifactsInput!$M$15-ArtifactsInput!$M$15)*CHOOSE(ArtifactsInput!$N$15+1,8,9.6,11.2,12.8,14.4,16))/150)*(1-B2648/150)))/100</f>
        <v/>
      </c>
    </row>
    <row r="2650">
      <c r="A2650" t="inlineStr">
        <is>
          <t>Skill + Buff Cast Rate</t>
        </is>
      </c>
      <c r="B2650">
        <f>IF(AND(Inputs!$B$38&lt;&gt;"pvp",Inputs!$B$43&gt;0),SUMPRODUCT((Skills!E2:E23=TRUE)*(C2621:C2642=TRUE)*R2621:R2642)/Inputs!$B$43,SUMPRODUCT((Skills!E2:E23=TRUE)*(C2621:C2642=TRUE)*Q2621:Q2642))</f>
        <v/>
      </c>
    </row>
    <row r="2651">
      <c r="A2651" t="inlineStr">
        <is>
          <t>Chain Lightning Casts Per Second</t>
        </is>
      </c>
      <c r="B2651">
        <f>MAX(0,B2649-B2650)</f>
        <v/>
      </c>
    </row>
    <row r="2652">
      <c r="A2652" t="inlineStr">
        <is>
          <t>Buff-Casting Startup Delay (s, fixed-duration only)</t>
        </is>
      </c>
      <c r="B2652">
        <f>IF(AND(Inputs!$B$38&lt;&gt;"pvp",Inputs!$B$43&gt;0),SUMPRODUCT((Skills!S2:S23&gt;0)*(Skills!E2:E23=TRUE)*(C2621:C2642=TRUE))/B2649,0)</f>
        <v/>
      </c>
    </row>
    <row r="2653">
      <c r="A2653" t="inlineStr">
        <is>
          <t>Boss-Only Total DPS (this block's swept value)</t>
        </is>
      </c>
      <c r="B2653">
        <f>SUM(S2621:S2642)</f>
        <v/>
      </c>
    </row>
    <row r="2654">
      <c r="A2654" t="inlineStr">
        <is>
          <t>Normal-Only Total DPS (this block's swept value)</t>
        </is>
      </c>
      <c r="B2654">
        <f>SUM(U2621:U2642)</f>
        <v/>
      </c>
    </row>
    <row r="2655">
      <c r="A2655" s="6" t="inlineStr">
        <is>
          <t>TOTAL DPS</t>
        </is>
      </c>
      <c r="B2655" s="6">
        <f>SUM(O2621:O2642)</f>
        <v/>
      </c>
    </row>
    <row r="2658">
      <c r="A2658" s="6" t="inlineStr">
        <is>
          <t>Stat: CDR = 3.0s</t>
        </is>
      </c>
    </row>
    <row r="2659">
      <c r="A2659" s="5" t="inlineStr">
        <is>
          <t>Key</t>
        </is>
      </c>
      <c r="B2659" s="5" t="inlineStr">
        <is>
          <t>Name</t>
        </is>
      </c>
      <c r="C2659" s="5" t="inlineStr">
        <is>
          <t>Unlocked</t>
        </is>
      </c>
      <c r="D2659" s="5" t="inlineStr">
        <is>
          <t>InputLevel</t>
        </is>
      </c>
      <c r="E2659" s="5" t="inlineStr">
        <is>
          <t>Factor</t>
        </is>
      </c>
      <c r="F2659" s="5" t="inlineStr">
        <is>
          <t>CoefficientPercent</t>
        </is>
      </c>
      <c r="G2659" s="5" t="inlineStr">
        <is>
          <t>EffectiveHits</t>
        </is>
      </c>
      <c r="H2659" s="5" t="inlineStr">
        <is>
          <t>ProcProbability</t>
        </is>
      </c>
      <c r="I2659" s="5" t="inlineStr">
        <is>
          <t>MapleHeroMultiplier</t>
        </is>
      </c>
      <c r="J2659" s="5" t="inlineStr">
        <is>
          <t>BaseDamage</t>
        </is>
      </c>
      <c r="K2659" s="5" t="inlineStr">
        <is>
          <t>BaseHitDamage</t>
        </is>
      </c>
      <c r="L2659" s="5" t="inlineStr">
        <is>
          <t>NonCritAvg</t>
        </is>
      </c>
      <c r="M2659" s="5" t="inlineStr">
        <is>
          <t>CritAvg</t>
        </is>
      </c>
      <c r="N2659" s="5" t="inlineStr">
        <is>
          <t>ExpectedDamage(perHit)</t>
        </is>
      </c>
      <c r="O2659" s="5" t="inlineStr">
        <is>
          <t>DPS</t>
        </is>
      </c>
      <c r="P2659" s="5" t="inlineStr">
        <is>
          <t>% of Total</t>
        </is>
      </c>
      <c r="R2659" t="inlineStr">
        <is>
          <t>helpers</t>
        </is>
      </c>
    </row>
    <row r="2660">
      <c r="A2660">
        <f>Skills!A2</f>
        <v/>
      </c>
      <c r="B2660">
        <f>Skills!B2</f>
        <v/>
      </c>
      <c r="C2660">
        <f>Inputs!$B$3&gt;=100</f>
        <v/>
      </c>
      <c r="D2660" t="inlineStr"/>
      <c r="E2660" t="inlineStr"/>
      <c r="F2660">
        <f>T2662+Skills!N2</f>
        <v/>
      </c>
      <c r="G2660">
        <f>Calc!G2</f>
        <v/>
      </c>
      <c r="H2660">
        <f>Calc!H2</f>
        <v/>
      </c>
      <c r="I2660">
        <f>IF(Skills!T2&lt;&gt;"",1+(Skills!T2/10)*(Z2661/1000)/100,1)</f>
        <v/>
      </c>
      <c r="J2660">
        <f>((Inputs!$B$6*(1+Inputs!$B$7/100))+(((Inputs!$B$12*(1+Inputs!$B$13/100))-(Inputs!$B$12*(1+Inputs!$B$13/100)))+0.25*(Inputs!$B$14-Inputs!$B$14))*(1+Inputs!$B$7/100))*(F2660/100)</f>
        <v/>
      </c>
      <c r="K2660">
        <f>J2660*(1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2660)</f>
        <v/>
      </c>
      <c r="L2660">
        <f>K2660*(MIN(Inputs!$B$22+(F2676-Calc!F18),(Inputs!$B$23+(IF(ArtifactsInput!$M$15,CHOOSE(ArtifactsInput!$N$15+1,25,30,35,40,45,50)/100*(Inputs!$B$11-Inputs!$B$11),0))))/100+(Inputs!$B$23+(IF(ArtifactsInput!$M$15,CHOOSE(ArtifactsInput!$N$15+1,25,30,35,40,45,50)/100*(Inputs!$B$11-Inputs!$B$11),0)))/100)/2</f>
        <v/>
      </c>
      <c r="M2660">
        <f>L2660*(1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0">
        <f>L2660*(1-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2660*(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0">
        <f>(1-Summary!$B$11)*S2660+Summary!$B$11*U2660</f>
        <v/>
      </c>
      <c r="P2660">
        <f>IF(B2694=0,0,O2660/B2694)</f>
        <v/>
      </c>
      <c r="Q2660">
        <f>IFERROR(1/IF(Inputs!$B$38="pvp",15,MAX(0.1,Skills!D2-IF(Skills!E2=TRUE,3.0,0))),0)</f>
        <v/>
      </c>
      <c r="R2660" t="n">
        <v>0</v>
      </c>
      <c r="S2660">
        <f>IF(C2660,(Skills!F2*N2660*B2690)*IF(Inputs!$B$38="pvp",1,1+(Inputs!$B$20+Skills!O2+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0">
        <f>MAX(0,(Inputs!$B$3-100)*3)+Inputs!$B$28+Inputs!$B$29</f>
        <v/>
      </c>
      <c r="U2660">
        <f>IF(C2660,(Skills!F2*N2660*B2690)*IF(Inputs!$B$38="pvp",1,(1+(Inputs!$B$21+Skills!P2+B2685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0">
        <f>MAX(0,(Inputs!$B$3-100)*3)+Inputs!$B$28+Inputs!$B$29</f>
        <v/>
      </c>
    </row>
    <row r="2661">
      <c r="A2661">
        <f>Skills!A3</f>
        <v/>
      </c>
      <c r="B2661">
        <f>Skills!B3</f>
        <v/>
      </c>
      <c r="C2661">
        <f>Inputs!$B$3&gt;=15</f>
        <v/>
      </c>
      <c r="D2661">
        <f>IF(Skills!C3=1,60+Inputs!$B$25+Inputs!$B$29,IF(Skills!C3=2,90+Inputs!$B$26+Inputs!$B$29,IF(Skills!C3=3,120+Inputs!$B$27+Inputs!$B$29,MAX(0,(Inputs!$B$3-100)*3)+Inputs!$B$28+Inputs!$B$29)))</f>
        <v/>
      </c>
      <c r="E2661">
        <f>INDEX(FactorTable!$B$2:$Y$301, MATCH(ROUND(MIN(300,MAX(1,D2661)),0), FactorTable!$A$2:$A$301,0), Skills!L3+1)</f>
        <v/>
      </c>
      <c r="F2661">
        <f>IF(Skills!M3=TRUE,(Skills!K3/10)*(E2661/1000),Skills!K3/10)+Skills!N3</f>
        <v/>
      </c>
      <c r="G2661">
        <f>Calc!G3</f>
        <v/>
      </c>
      <c r="H2661">
        <f>Calc!H3</f>
        <v/>
      </c>
      <c r="I2661">
        <f>IF(Skills!T3&lt;&gt;"",1+(Skills!T3/10)*(Z2661/1000)/100,1)</f>
        <v/>
      </c>
      <c r="J2661" t="inlineStr"/>
      <c r="K2661" t="inlineStr"/>
      <c r="L2661" t="inlineStr"/>
      <c r="M2661" t="inlineStr"/>
      <c r="N2661" t="inlineStr"/>
      <c r="O2661">
        <f>(1-Summary!$B$11)*S2661+Summary!$B$11*U2661</f>
        <v/>
      </c>
      <c r="P2661">
        <f>IF(B2694=0,0,O2661/B2694)</f>
        <v/>
      </c>
      <c r="Q2661">
        <f>IFERROR(1/IF(Inputs!$B$38="pvp",15,MAX(0.1,Skills!D3-IF(Skills!E3=TRUE,3.0,0))),0)</f>
        <v/>
      </c>
      <c r="R2661">
        <f>IF(AND(Inputs!$B$38&lt;&gt;"pvp",Inputs!$B$43&gt;0),IF(Inputs!$B$43&lt;=0,0,(INT(Inputs!$B$43/IF(Inputs!$B$38="pvp",15,MAX(0.1,Skills!D3-IF(Skills!E3=TRUE,3.0,0))))+1)),0)</f>
        <v/>
      </c>
      <c r="S2661" t="n">
        <v>0</v>
      </c>
      <c r="T2661">
        <f>INDEX(FactorTable!$B$2:$Y$301, MATCH(ROUND(MIN(300,MAX(1,T2660)),0), FactorTable!$A$2:$A$301,0), 22)</f>
        <v/>
      </c>
      <c r="U2661" t="n">
        <v>0</v>
      </c>
      <c r="Z2661">
        <f>INDEX(FactorTable!$B$2:$Y$301, MATCH(ROUND(MIN(300,MAX(1,Z2660)),0), FactorTable!$A$2:$A$301,0), 24)</f>
        <v/>
      </c>
    </row>
    <row r="2662">
      <c r="A2662">
        <f>Skills!A4</f>
        <v/>
      </c>
      <c r="B2662">
        <f>Skills!B4</f>
        <v/>
      </c>
      <c r="C2662">
        <f>Inputs!$B$3&gt;=40</f>
        <v/>
      </c>
      <c r="D2662">
        <f>IF(Skills!C4=1,60+Inputs!$B$25+Inputs!$B$29,IF(Skills!C4=2,90+Inputs!$B$26+Inputs!$B$29,IF(Skills!C4=3,120+Inputs!$B$27+Inputs!$B$29,MAX(0,(Inputs!$B$3-100)*3)+Inputs!$B$28+Inputs!$B$29)))</f>
        <v/>
      </c>
      <c r="E2662">
        <f>INDEX(FactorTable!$B$2:$Y$301, MATCH(ROUND(MIN(300,MAX(1,D2662)),0), FactorTable!$A$2:$A$301,0), Skills!L4+1)</f>
        <v/>
      </c>
      <c r="F2662">
        <f>IF(Skills!M4=TRUE,(Skills!K4/10)*(E2662/1000),Skills!K4/10)+Skills!N4</f>
        <v/>
      </c>
      <c r="G2662">
        <f>Calc!G4</f>
        <v/>
      </c>
      <c r="H2662">
        <f>Calc!H4</f>
        <v/>
      </c>
      <c r="I2662">
        <f>IF(Skills!T4&lt;&gt;"",1+(Skills!T4/10)*(Z2661/1000)/100,1)</f>
        <v/>
      </c>
      <c r="J2662" t="inlineStr"/>
      <c r="K2662" t="inlineStr"/>
      <c r="L2662" t="inlineStr"/>
      <c r="M2662" t="inlineStr"/>
      <c r="N2662" t="inlineStr"/>
      <c r="O2662">
        <f>(1-Summary!$B$11)*S2662+Summary!$B$11*U2662</f>
        <v/>
      </c>
      <c r="P2662">
        <f>IF(B2694=0,0,O2662/B2694)</f>
        <v/>
      </c>
      <c r="Q2662">
        <f>IFERROR(1/IF(Inputs!$B$38="pvp",15,MAX(0.1,Skills!D4-IF(Skills!E4=TRUE,3.0,0))),0)</f>
        <v/>
      </c>
      <c r="R2662">
        <f>IF(AND(Inputs!$B$38&lt;&gt;"pvp",Inputs!$B$43&gt;0),IF(Inputs!$B$43&lt;=0,0,(INT(Inputs!$B$43/IF(Inputs!$B$38="pvp",15,MAX(0.1,Skills!D4-IF(Skills!E4=TRUE,3.0,0))))+1)),0)</f>
        <v/>
      </c>
      <c r="S2662" t="n">
        <v>0</v>
      </c>
      <c r="T2662">
        <f>290*T2661/1000</f>
        <v/>
      </c>
      <c r="U2662" t="n">
        <v>0</v>
      </c>
    </row>
    <row r="2663">
      <c r="A2663">
        <f>Skills!A5</f>
        <v/>
      </c>
      <c r="B2663">
        <f>Skills!B5</f>
        <v/>
      </c>
      <c r="C2663">
        <f>Inputs!$B$3&gt;=38</f>
        <v/>
      </c>
      <c r="D2663">
        <f>IF(Skills!C5=1,60+Inputs!$B$25+Inputs!$B$29,IF(Skills!C5=2,90+Inputs!$B$26+Inputs!$B$29,IF(Skills!C5=3,120+Inputs!$B$27+Inputs!$B$29,MAX(0,(Inputs!$B$3-100)*3)+Inputs!$B$28+Inputs!$B$29)))</f>
        <v/>
      </c>
      <c r="E2663">
        <f>INDEX(FactorTable!$B$2:$Y$301, MATCH(ROUND(MIN(300,MAX(1,D2663)),0), FactorTable!$A$2:$A$301,0), Skills!L5+1)</f>
        <v/>
      </c>
      <c r="F2663">
        <f>IF(Skills!M5=TRUE,(Skills!K5/10)*(E2663/1000),Skills!K5/10)+Skills!N5</f>
        <v/>
      </c>
      <c r="G2663">
        <f>Calc!G5</f>
        <v/>
      </c>
      <c r="H2663">
        <f>Calc!H5</f>
        <v/>
      </c>
      <c r="I2663">
        <f>IF(Skills!T5&lt;&gt;"",1+(Skills!T5/10)*(Z2661/1000)/100,1)</f>
        <v/>
      </c>
      <c r="J2663">
        <f>((Inputs!$B$6*(1+Inputs!$B$7/100))+(((Inputs!$B$12*(1+Inputs!$B$13/100))-(Inputs!$B$12*(1+Inputs!$B$13/100)))+0.25*(Inputs!$B$14-Inputs!$B$14))*(1+Inputs!$B$7/100))*(F2663/100)</f>
        <v/>
      </c>
      <c r="K2663">
        <f>J2663*(1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F2676-Calc!F18),(Inputs!$B$23+(IF(ArtifactsInput!$M$15,CHOOSE(ArtifactsInput!$N$15+1,25,30,35,40,45,50)/100*(Inputs!$B$11-Inputs!$B$11),0))))/100+(Inputs!$B$23+(IF(ArtifactsInput!$M$15,CHOOSE(ArtifactsInput!$N$15+1,25,30,35,40,45,50)/100*(Inputs!$B$11-Inputs!$B$11),0)))/100)/2</f>
        <v/>
      </c>
      <c r="M2663">
        <f>L2663*(1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(1-Summary!$B$11)*S2663+Summary!$B$11*U2663</f>
        <v/>
      </c>
      <c r="P2663">
        <f>IF(B2694=0,0,O2663/B2694)</f>
        <v/>
      </c>
      <c r="Q2663">
        <f>IFERROR(1/IF(Inputs!$B$38="pvp",15,MAX(0.1,Skills!D5-IF(Skills!E5=TRUE,3.0,0))),0)</f>
        <v/>
      </c>
      <c r="R2663">
        <f>IF(AND(Inputs!$B$38&lt;&gt;"pvp",Inputs!$B$43&gt;0),IF(MAX(0,Inputs!$B$43-B2691)&lt;=0,0,(INT(MAX(0,Inputs!$B$43-B2691)/IF(Inputs!$B$38="pvp",15,MAX(0.1,Skills!D5-IF(Skills!E5=TRUE,3.0,0))))+1)),0)</f>
        <v/>
      </c>
      <c r="S2663">
        <f>IF(C2663,(H2663*N2663*IF(AND(Inputs!$B$38&lt;&gt;"pvp",Inputs!$B$43&gt;0),((Skills!F5*((R2663-1)*IF(Skills!G5&gt;0,Skills!H5/Skills!G5,1)+IF(Skills!G5&gt;0,MIN(Skills!H5,MAX(0,MAX(0,Inputs!$B$43-B2691)-((R2663-1)*IF(Inputs!$B$38="pvp",15,MAX(0.1,Skills!D5-IF(Skills!E5=TRUE,3.0,0))))))/Skills!G5,1)))/Inputs!$B$43),G2663*Q2663))*IF(Inputs!$B$38="pvp",1,1+(Inputs!$B$20+Skills!O5+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2663*(1-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3">
        <f>IF(C2663,(H2663*N2663*IF(AND(Inputs!$B$38&lt;&gt;"pvp",Inputs!$B$43&gt;0),((Skills!F5*((R2663-1)*IF(Skills!G5&gt;0,Skills!H5/Skills!G5,1)+IF(Skills!G5&gt;0,MIN(Skills!H5,MAX(0,MAX(0,Inputs!$B$43-B2691)-((R2663-1)*IF(Inputs!$B$38="pvp",15,MAX(0.1,Skills!D5-IF(Skills!E5=TRUE,3.0,0))))))/Skills!G5,1)))/Inputs!$B$43),G2663*Q2663))*IF(Inputs!$B$38="pvp",1,(1+(Inputs!$B$21+Skills!P5+B2685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Skills!A6</f>
        <v/>
      </c>
      <c r="B2664">
        <f>Skills!B6</f>
        <v/>
      </c>
      <c r="C2664">
        <f>Inputs!$B$3&gt;=63</f>
        <v/>
      </c>
      <c r="D2664">
        <f>IF(Skills!C6=1,60+Inputs!$B$25+Inputs!$B$29,IF(Skills!C6=2,90+Inputs!$B$26+Inputs!$B$29,IF(Skills!C6=3,120+Inputs!$B$27+Inputs!$B$29,MAX(0,(Inputs!$B$3-100)*3)+Inputs!$B$28+Inputs!$B$29)))</f>
        <v/>
      </c>
      <c r="E2664">
        <f>INDEX(FactorTable!$B$2:$Y$301, MATCH(ROUND(MIN(300,MAX(1,D2664)),0), FactorTable!$A$2:$A$301,0), Skills!L6+1)</f>
        <v/>
      </c>
      <c r="F2664">
        <f>IF(Skills!M6=TRUE,(Skills!K6/10)*(E2664/1000),Skills!K6/10)+Skills!N6</f>
        <v/>
      </c>
      <c r="G2664">
        <f>Calc!G6</f>
        <v/>
      </c>
      <c r="H2664">
        <f>Calc!H6</f>
        <v/>
      </c>
      <c r="I2664">
        <f>IF(Skills!T6&lt;&gt;"",1+(Skills!T6/10)*(Z2661/1000)/100,1)</f>
        <v/>
      </c>
      <c r="J2664">
        <f>((Inputs!$B$6*(1+Inputs!$B$7/100))+(((Inputs!$B$12*(1+Inputs!$B$13/100))-(Inputs!$B$12*(1+Inputs!$B$13/100)))+0.25*(Inputs!$B$14-Inputs!$B$14))*(1+Inputs!$B$7/100))*(F2664/100)</f>
        <v/>
      </c>
      <c r="K2664">
        <f>J2664*(1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F2676-Calc!F18),(Inputs!$B$23+(IF(ArtifactsInput!$M$15,CHOOSE(ArtifactsInput!$N$15+1,25,30,35,40,45,50)/100*(Inputs!$B$11-Inputs!$B$11),0))))/100+(Inputs!$B$23+(IF(ArtifactsInput!$M$15,CHOOSE(ArtifactsInput!$N$15+1,25,30,35,40,45,50)/100*(Inputs!$B$11-Inputs!$B$11),0)))/100)/2</f>
        <v/>
      </c>
      <c r="M2664">
        <f>L2664*(1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(1-Summary!$B$11)*S2664+Summary!$B$11*U2664</f>
        <v/>
      </c>
      <c r="P2664">
        <f>IF(B2694=0,0,O2664/B2694)</f>
        <v/>
      </c>
      <c r="Q2664">
        <f>IFERROR(1/IF(Inputs!$B$38="pvp",15,MAX(0.1,Skills!D6-IF(Skills!E6=TRUE,3.0,0))),0)</f>
        <v/>
      </c>
      <c r="R2664">
        <f>IF(AND(Inputs!$B$38&lt;&gt;"pvp",Inputs!$B$43&gt;0),IF(MAX(0,Inputs!$B$43-B2691)&lt;=0,0,(INT(MAX(0,Inputs!$B$43-B2691)/IF(Inputs!$B$38="pvp",15,MAX(0.1,Skills!D6-IF(Skills!E6=TRUE,3.0,0))))+1)),0)</f>
        <v/>
      </c>
      <c r="S2664">
        <f>IF(C2664,(H2664*N2664*IF(AND(Inputs!$B$38&lt;&gt;"pvp",Inputs!$B$43&gt;0),((Skills!F6*((R2664-1)*IF(Skills!G6&gt;0,Skills!H6/Skills!G6,1)+IF(Skills!G6&gt;0,MIN(Skills!H6,MAX(0,MAX(0,Inputs!$B$43-B2691)-((R2664-1)*IF(Inputs!$B$38="pvp",15,MAX(0.1,Skills!D6-IF(Skills!E6=TRUE,3.0,0))))))/Skills!G6,1)))/Inputs!$B$43),G2664*Q2664))*IF(Inputs!$B$38="pvp",1,1+(Inputs!$B$20+Skills!O6+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2664*(1-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4">
        <f>IF(C2664,(H2664*N2664*IF(AND(Inputs!$B$38&lt;&gt;"pvp",Inputs!$B$43&gt;0),((Skills!F6*((R2664-1)*IF(Skills!G6&gt;0,Skills!H6/Skills!G6,1)+IF(Skills!G6&gt;0,MIN(Skills!H6,MAX(0,MAX(0,Inputs!$B$43-B2691)-((R2664-1)*IF(Inputs!$B$38="pvp",15,MAX(0.1,Skills!D6-IF(Skills!E6=TRUE,3.0,0))))))/Skills!G6,1)))/Inputs!$B$43),G2664*Q2664))*IF(Inputs!$B$38="pvp",1,(1+(Inputs!$B$21+Skills!P6+B2685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Skills!A7</f>
        <v/>
      </c>
      <c r="B2665">
        <f>Skills!B7</f>
        <v/>
      </c>
      <c r="C2665">
        <f>Inputs!$B$3&gt;=69</f>
        <v/>
      </c>
      <c r="D2665">
        <f>IF(Skills!C7=1,60+Inputs!$B$25+Inputs!$B$29,IF(Skills!C7=2,90+Inputs!$B$26+Inputs!$B$29,IF(Skills!C7=3,120+Inputs!$B$27+Inputs!$B$29,MAX(0,(Inputs!$B$3-100)*3)+Inputs!$B$28+Inputs!$B$29)))</f>
        <v/>
      </c>
      <c r="E2665">
        <f>INDEX(FactorTable!$B$2:$Y$301, MATCH(ROUND(MIN(300,MAX(1,D2665)),0), FactorTable!$A$2:$A$301,0), Skills!L7+1)</f>
        <v/>
      </c>
      <c r="F2665">
        <f>IF(Skills!M7=TRUE,(Skills!K7/10)*(E2665/1000),Skills!K7/10)+Skills!N7</f>
        <v/>
      </c>
      <c r="G2665">
        <f>Calc!G7</f>
        <v/>
      </c>
      <c r="H2665">
        <f>Calc!H7</f>
        <v/>
      </c>
      <c r="I2665">
        <f>IF(Skills!T7&lt;&gt;"",1+(Skills!T7/10)*(Z2661/1000)/100,1)</f>
        <v/>
      </c>
      <c r="J2665">
        <f>((Inputs!$B$6*(1+Inputs!$B$7/100))+(((Inputs!$B$12*(1+Inputs!$B$13/100))-(Inputs!$B$12*(1+Inputs!$B$13/100)))+0.25*(Inputs!$B$14-Inputs!$B$14))*(1+Inputs!$B$7/100))*(F2665/100)</f>
        <v/>
      </c>
      <c r="K2665">
        <f>J2665*(1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F2676-Calc!F18),(Inputs!$B$23+(IF(ArtifactsInput!$M$15,CHOOSE(ArtifactsInput!$N$15+1,25,30,35,40,45,50)/100*(Inputs!$B$11-Inputs!$B$11),0))))/100+(Inputs!$B$23+(IF(ArtifactsInput!$M$15,CHOOSE(ArtifactsInput!$N$15+1,25,30,35,40,45,50)/100*(Inputs!$B$11-Inputs!$B$11),0)))/100)/2</f>
        <v/>
      </c>
      <c r="M2665">
        <f>L2665*(1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(1-Summary!$B$11)*S2665+Summary!$B$11*U2665</f>
        <v/>
      </c>
      <c r="P2665">
        <f>IF(B2694=0,0,O2665/B2694)</f>
        <v/>
      </c>
      <c r="Q2665">
        <f>IFERROR(1/IF(Inputs!$B$38="pvp",15,MAX(0.1,Skills!D7-IF(Skills!E7=TRUE,3.0,0))),0)</f>
        <v/>
      </c>
      <c r="R2665">
        <f>IF(AND(Inputs!$B$38&lt;&gt;"pvp",Inputs!$B$43&gt;0),IF(MAX(0,Inputs!$B$43-B2691)&lt;=0,0,(INT(MAX(0,Inputs!$B$43-B2691)/IF(Inputs!$B$38="pvp",15,MAX(0.1,Skills!D7-IF(Skills!E7=TRUE,3.0,0))))+1)),0)</f>
        <v/>
      </c>
      <c r="S2665">
        <f>IF(C2665,(H2665*N2665*IF(AND(Inputs!$B$38&lt;&gt;"pvp",Inputs!$B$43&gt;0),((Skills!F7*((R2665-1)*IF(Skills!G7&gt;0,Skills!H7/Skills!G7,1)+IF(Skills!G7&gt;0,MIN(Skills!H7,MAX(0,MAX(0,Inputs!$B$43-B2691)-((R2665-1)*IF(Inputs!$B$38="pvp",15,MAX(0.1,Skills!D7-IF(Skills!E7=TRUE,3.0,0))))))/Skills!G7,1)))/Inputs!$B$43),G2665*Q2665))*IF(Inputs!$B$38="pvp",1,1+(Inputs!$B$20+Skills!O7+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2665*(1-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5">
        <f>IF(C2665,(H2665*N2665*IF(AND(Inputs!$B$38&lt;&gt;"pvp",Inputs!$B$43&gt;0),((Skills!F7*((R2665-1)*IF(Skills!G7&gt;0,Skills!H7/Skills!G7,1)+IF(Skills!G7&gt;0,MIN(Skills!H7,MAX(0,MAX(0,Inputs!$B$43-B2691)-((R2665-1)*IF(Inputs!$B$38="pvp",15,MAX(0.1,Skills!D7-IF(Skills!E7=TRUE,3.0,0))))))/Skills!G7,1)))/Inputs!$B$43),G2665*Q2665))*IF(Inputs!$B$38="pvp",1,(1+(Inputs!$B$21+Skills!P7+B2685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Skills!A8</f>
        <v/>
      </c>
      <c r="B2666">
        <f>Skills!B8</f>
        <v/>
      </c>
      <c r="C2666">
        <f>Inputs!$B$3&gt;=103</f>
        <v/>
      </c>
      <c r="D2666">
        <f>IF(Skills!C8=1,60+Inputs!$B$25+Inputs!$B$29,IF(Skills!C8=2,90+Inputs!$B$26+Inputs!$B$29,IF(Skills!C8=3,120+Inputs!$B$27+Inputs!$B$29,MAX(0,(Inputs!$B$3-100)*3)+Inputs!$B$28+Inputs!$B$29)))</f>
        <v/>
      </c>
      <c r="E2666">
        <f>INDEX(FactorTable!$B$2:$Y$301, MATCH(ROUND(MIN(300,MAX(1,D2666)),0), FactorTable!$A$2:$A$301,0), Skills!L8+1)</f>
        <v/>
      </c>
      <c r="F2666">
        <f>IF(Skills!M8=TRUE,(Skills!K8/10)*(E2666/1000),Skills!K8/10)+Skills!N8</f>
        <v/>
      </c>
      <c r="G2666">
        <f>Calc!G8</f>
        <v/>
      </c>
      <c r="H2666">
        <f>Calc!H8</f>
        <v/>
      </c>
      <c r="I2666">
        <f>IF(Skills!T8&lt;&gt;"",1+(Skills!T8/10)*(Z2661/1000)/100,1)</f>
        <v/>
      </c>
      <c r="J2666">
        <f>((Inputs!$B$6*(1+Inputs!$B$7/100))+(((Inputs!$B$12*(1+Inputs!$B$13/100))-(Inputs!$B$12*(1+Inputs!$B$13/100)))+0.25*(Inputs!$B$14-Inputs!$B$14))*(1+Inputs!$B$7/100))*(F2666/100)</f>
        <v/>
      </c>
      <c r="K2666">
        <f>J2666*(1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F2676-Calc!F18),(Inputs!$B$23+(IF(ArtifactsInput!$M$15,CHOOSE(ArtifactsInput!$N$15+1,25,30,35,40,45,50)/100*(Inputs!$B$11-Inputs!$B$11),0))))/100+(Inputs!$B$23+(IF(ArtifactsInput!$M$15,CHOOSE(ArtifactsInput!$N$15+1,25,30,35,40,45,50)/100*(Inputs!$B$11-Inputs!$B$11),0)))/100)/2</f>
        <v/>
      </c>
      <c r="M2666">
        <f>L2666*(1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(1-Summary!$B$11)*S2666+Summary!$B$11*U2666</f>
        <v/>
      </c>
      <c r="P2666">
        <f>IF(B2694=0,0,O2666/B2694)</f>
        <v/>
      </c>
      <c r="Q2666">
        <f>IFERROR(1/IF(Inputs!$B$38="pvp",15,MAX(0.1,Skills!D8-IF(Skills!E8=TRUE,3.0,0))),0)</f>
        <v/>
      </c>
      <c r="R2666">
        <f>IF(AND(Inputs!$B$38&lt;&gt;"pvp",Inputs!$B$43&gt;0),IF(MAX(0,Inputs!$B$43-B2691)&lt;=0,0,(INT(MAX(0,Inputs!$B$43-B2691)/IF(Inputs!$B$38="pvp",15,MAX(0.1,Skills!D8-IF(Skills!E8=TRUE,3.0,0))))+1)),0)</f>
        <v/>
      </c>
      <c r="S2666">
        <f>IF(C2666,(H2666*N2666*IF(AND(Inputs!$B$38&lt;&gt;"pvp",Inputs!$B$43&gt;0),((Skills!F8*((R2666-1)*IF(Skills!G8&gt;0,Skills!H8/Skills!G8,1)+IF(Skills!G8&gt;0,MIN(Skills!H8,MAX(0,MAX(0,Inputs!$B$43-B2691)-((R2666-1)*IF(Inputs!$B$38="pvp",15,MAX(0.1,Skills!D8-IF(Skills!E8=TRUE,3.0,0))))))/Skills!G8,1)))/Inputs!$B$43),G2666*Q2666))*IF(Inputs!$B$38="pvp",1,1+(Inputs!$B$20+Skills!O8+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2666*(1-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6">
        <f>IF(C2666,(H2666*N2666*IF(AND(Inputs!$B$38&lt;&gt;"pvp",Inputs!$B$43&gt;0),((Skills!F8*((R2666-1)*IF(Skills!G8&gt;0,Skills!H8/Skills!G8,1)+IF(Skills!G8&gt;0,MIN(Skills!H8,MAX(0,MAX(0,Inputs!$B$43-B2691)-((R2666-1)*IF(Inputs!$B$38="pvp",15,MAX(0.1,Skills!D8-IF(Skills!E8=TRUE,3.0,0))))))/Skills!G8,1)))/Inputs!$B$43),G2666*Q2666))*IF(Inputs!$B$38="pvp",1,(1+(Inputs!$B$21+Skills!P8+B2685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Skills!A9</f>
        <v/>
      </c>
      <c r="B2667">
        <f>Skills!B9</f>
        <v/>
      </c>
      <c r="C2667">
        <f>Inputs!$B$3&gt;=105</f>
        <v/>
      </c>
      <c r="D2667">
        <f>IF(Skills!C9=1,60+Inputs!$B$25+Inputs!$B$29,IF(Skills!C9=2,90+Inputs!$B$26+Inputs!$B$29,IF(Skills!C9=3,120+Inputs!$B$27+Inputs!$B$29,MAX(0,(Inputs!$B$3-100)*3)+Inputs!$B$28+Inputs!$B$29)))</f>
        <v/>
      </c>
      <c r="E2667">
        <f>INDEX(FactorTable!$B$2:$Y$301, MATCH(ROUND(MIN(300,MAX(1,D2667)),0), FactorTable!$A$2:$A$301,0), Skills!L9+1)</f>
        <v/>
      </c>
      <c r="F2667">
        <f>IF(Skills!M9=TRUE,(Skills!K9/10)*(E2667/1000),Skills!K9/10)+Skills!N9</f>
        <v/>
      </c>
      <c r="G2667">
        <f>Calc!G9</f>
        <v/>
      </c>
      <c r="H2667">
        <f>Calc!H9</f>
        <v/>
      </c>
      <c r="I2667">
        <f>IF(Skills!T9&lt;&gt;"",1+(Skills!T9/10)*(Z2661/1000)/100,1)</f>
        <v/>
      </c>
      <c r="J2667">
        <f>((Inputs!$B$6*(1+Inputs!$B$7/100))+(((Inputs!$B$12*(1+Inputs!$B$13/100))-(Inputs!$B$12*(1+Inputs!$B$13/100)))+0.25*(Inputs!$B$14-Inputs!$B$14))*(1+Inputs!$B$7/100))*(F2667/100)</f>
        <v/>
      </c>
      <c r="K2667">
        <f>J2667*(1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2667)</f>
        <v/>
      </c>
      <c r="L2667">
        <f>K2667*(MIN(Inputs!$B$22+(F2676-Calc!F18),(Inputs!$B$23+(IF(ArtifactsInput!$M$15,CHOOSE(ArtifactsInput!$N$15+1,25,30,35,40,45,50)/100*(Inputs!$B$11-Inputs!$B$11),0))))/100+(Inputs!$B$23+(IF(ArtifactsInput!$M$15,CHOOSE(ArtifactsInput!$N$15+1,25,30,35,40,45,50)/100*(Inputs!$B$11-Inputs!$B$11),0)))/100)/2</f>
        <v/>
      </c>
      <c r="M2667">
        <f>L2667*(1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7">
        <f>L2667*(1-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2667*(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7">
        <f>(1-Summary!$B$11)*S2667+Summary!$B$11*U2667</f>
        <v/>
      </c>
      <c r="P2667">
        <f>IF(B2694=0,0,O2667/B2694)</f>
        <v/>
      </c>
      <c r="Q2667">
        <f>IFERROR(1/IF(Inputs!$B$38="pvp",15,MAX(0.1,Skills!D9-IF(Skills!E9=TRUE,3.0,0))),0)</f>
        <v/>
      </c>
      <c r="R2667">
        <f>IF(AND(Inputs!$B$38&lt;&gt;"pvp",Inputs!$B$43&gt;0),IF(MAX(0,Inputs!$B$43-B2691)&lt;=0,0,(INT(MAX(0,Inputs!$B$43-B2691)/IF(Inputs!$B$38="pvp",15,MAX(0.1,Skills!D9-IF(Skills!E9=TRUE,3.0,0))))+1)),0)</f>
        <v/>
      </c>
      <c r="S2667">
        <f>IF(C2667,(H2667*N2667*IF(AND(Inputs!$B$38&lt;&gt;"pvp",Inputs!$B$43&gt;0),((Skills!F9*((R2667-1)*IF(Skills!G9&gt;0,Skills!H9/Skills!G9,1)+IF(Skills!G9&gt;0,MIN(Skills!H9,MAX(0,MAX(0,Inputs!$B$43-B2691)-((R2667-1)*IF(Inputs!$B$38="pvp",15,MAX(0.1,Skills!D9-IF(Skills!E9=TRUE,3.0,0))))))/Skills!G9,1)))/Inputs!$B$43),G2667*Q2667))*IF(Inputs!$B$38="pvp",1,1+(Inputs!$B$20+Skills!O9+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2667*(1-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2667*(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2667*(1-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2667*(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7">
        <f>IF(C2667,(H2667*N2667*IF(AND(Inputs!$B$38&lt;&gt;"pvp",Inputs!$B$43&gt;0),((Skills!F9*((R2667-1)*IF(Skills!G9&gt;0,Skills!H9/Skills!G9,1)+IF(Skills!G9&gt;0,MIN(Skills!H9,MAX(0,MAX(0,Inputs!$B$43-B2691)-((R2667-1)*IF(Inputs!$B$38="pvp",15,MAX(0.1,Skills!D9-IF(Skills!E9=TRUE,3.0,0))))))/Skills!G9,1)))/Inputs!$B$43),G2667*Q2667))*IF(Inputs!$B$38="pvp",1,(1+(Inputs!$B$21+Skills!P9+B2685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8">
      <c r="A2668">
        <f>Skills!A10</f>
        <v/>
      </c>
      <c r="B2668">
        <f>Skills!B10</f>
        <v/>
      </c>
      <c r="C2668">
        <f>Inputs!$B$3&gt;=113</f>
        <v/>
      </c>
      <c r="D2668">
        <f>IF(Skills!C10=1,60+Inputs!$B$25+Inputs!$B$29,IF(Skills!C10=2,90+Inputs!$B$26+Inputs!$B$29,IF(Skills!C10=3,120+Inputs!$B$27+Inputs!$B$29,MAX(0,(Inputs!$B$3-100)*3)+Inputs!$B$28+Inputs!$B$29)))</f>
        <v/>
      </c>
      <c r="E2668">
        <f>INDEX(FactorTable!$B$2:$Y$301, MATCH(ROUND(MIN(300,MAX(1,D2668)),0), FactorTable!$A$2:$A$301,0), Skills!L10+1)</f>
        <v/>
      </c>
      <c r="F2668">
        <f>IF(Skills!M10=TRUE,(Skills!K10/10)*(E2668/1000),Skills!K10/10)+Skills!N10</f>
        <v/>
      </c>
      <c r="G2668">
        <f>Calc!G10</f>
        <v/>
      </c>
      <c r="H2668">
        <f>Calc!H10</f>
        <v/>
      </c>
      <c r="I2668">
        <f>IF(Skills!T10&lt;&gt;"",1+(Skills!T10/10)*(Z2661/1000)/100,1)</f>
        <v/>
      </c>
      <c r="J2668">
        <f>((Inputs!$B$6*(1+Inputs!$B$7/100))+(((Inputs!$B$12*(1+Inputs!$B$13/100))-(Inputs!$B$12*(1+Inputs!$B$13/100)))+0.25*(Inputs!$B$14-Inputs!$B$14))*(1+Inputs!$B$7/100))*(F2668/100)</f>
        <v/>
      </c>
      <c r="K2668">
        <f>J2668*(1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2676-Calc!F18),(Inputs!$B$23+(IF(ArtifactsInput!$M$15,CHOOSE(ArtifactsInput!$N$15+1,25,30,35,40,45,50)/100*(Inputs!$B$11-Inputs!$B$11),0))))/100+(Inputs!$B$23+(IF(ArtifactsInput!$M$15,CHOOSE(ArtifactsInput!$N$15+1,25,30,35,40,45,50)/100*(Inputs!$B$11-Inputs!$B$11),0)))/100)/2</f>
        <v/>
      </c>
      <c r="M2668">
        <f>L2668*(1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IF(B2694=0,0,O2668/B2694)</f>
        <v/>
      </c>
      <c r="Q2668">
        <f>IFERROR(1/IF(Inputs!$B$38="pvp",15,MAX(0.1,Skills!D10-IF(Skills!E9=TRUE,3.0,0))),0)</f>
        <v/>
      </c>
      <c r="R2668">
        <f>IF(AND(Inputs!$B$38&lt;&gt;"pvp",Inputs!$B$43&gt;0),IF(MAX(0,Inputs!$B$43-B2691)&lt;=0,0,(INT(MAX(0,Inputs!$B$43-B2691)/IF(Inputs!$B$38="pvp",15,MAX(0.1,Skills!D10-IF(Skills!E9=TRUE,3.0,0))))+1)),0)</f>
        <v/>
      </c>
      <c r="S2668">
        <f>IF(C2668,(H2668*N2668*IF(AND(Inputs!$B$38&lt;&gt;"pvp",Inputs!$B$43&gt;0),((Skills!F10*((R2668-1)*IF(Skills!G10&gt;0,Skills!H10/Skills!G10,1)+IF(Skills!G10&gt;0,MIN(Skills!H10,MAX(0,MAX(0,Inputs!$B$43-B2691)-((R2668-1)*IF(Inputs!$B$38="pvp",15,MAX(0.1,Skills!D10-IF(Skills!E9=TRUE,3.0,0))))))/Skills!G10,1)))/Inputs!$B$43),G2668*Q2668))*IF(Inputs!$B$38="pvp",1,1+(Inputs!$B$20+Skills!O10+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8">
        <f>IF(C2668,(H2668*N2668*IF(AND(Inputs!$B$38&lt;&gt;"pvp",Inputs!$B$43&gt;0),((Skills!F10*((R2668-1)*IF(Skills!G10&gt;0,Skills!H10/Skills!G10,1)+IF(Skills!G10&gt;0,MIN(Skills!H10,MAX(0,MAX(0,Inputs!$B$43-B2691)-((R2668-1)*IF(Inputs!$B$38="pvp",15,MAX(0.1,Skills!D10-IF(Skills!E9=TRUE,3.0,0))))))/Skills!G10,1)))/Inputs!$B$43),G2668*Q2668))*IF(Inputs!$B$38="pvp",1,(1+(Inputs!$B$21+Skills!P10+B2685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Skills!A11</f>
        <v/>
      </c>
      <c r="B2669">
        <f>Skills!B11</f>
        <v/>
      </c>
      <c r="C2669">
        <f>Inputs!$B$3&gt;=107</f>
        <v/>
      </c>
      <c r="D2669">
        <f>IF(Skills!C11=1,60+Inputs!$B$25+Inputs!$B$29,IF(Skills!C11=2,90+Inputs!$B$26+Inputs!$B$29,IF(Skills!C11=3,120+Inputs!$B$27+Inputs!$B$29,MAX(0,(Inputs!$B$3-100)*3)+Inputs!$B$28+Inputs!$B$29)))</f>
        <v/>
      </c>
      <c r="E2669">
        <f>INDEX(FactorTable!$B$2:$Y$301, MATCH(ROUND(MIN(300,MAX(1,D2669)),0), FactorTable!$A$2:$A$301,0), Skills!L11+1)</f>
        <v/>
      </c>
      <c r="F2669">
        <f>IF(Skills!M11=TRUE,(Skills!K11/10)*(E2669/1000),Skills!K11/10)+Skills!N11</f>
        <v/>
      </c>
      <c r="G2669">
        <f>Calc!G11</f>
        <v/>
      </c>
      <c r="H2669">
        <f>Calc!H11</f>
        <v/>
      </c>
      <c r="I2669">
        <f>IF(Skills!T11&lt;&gt;"",1+(Skills!T11/10)*(Z2661/1000)/100,1)</f>
        <v/>
      </c>
      <c r="J2669">
        <f>((Inputs!$B$6*(1+Inputs!$B$7/100))+(((Inputs!$B$12*(1+Inputs!$B$13/100))-(Inputs!$B$12*(1+Inputs!$B$13/100)))+0.25*(Inputs!$B$14-Inputs!$B$14))*(1+Inputs!$B$7/100))*(F2669/100)</f>
        <v/>
      </c>
      <c r="K2669">
        <f>J2669*(1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2676-Calc!F18),(Inputs!$B$23+(IF(ArtifactsInput!$M$15,CHOOSE(ArtifactsInput!$N$15+1,25,30,35,40,45,50)/100*(Inputs!$B$11-Inputs!$B$11),0))))/100+(Inputs!$B$23+(IF(ArtifactsInput!$M$15,CHOOSE(ArtifactsInput!$N$15+1,25,30,35,40,45,50)/100*(Inputs!$B$11-Inputs!$B$11),0)))/100)/2</f>
        <v/>
      </c>
      <c r="M2669">
        <f>L2669*(1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IF(B2694=0,0,O2669/B2694)</f>
        <v/>
      </c>
      <c r="Q2669">
        <f>IFERROR(1/IF(Inputs!$B$38="pvp",15,MAX(0.1,Skills!D11-IF(Skills!E11=TRUE,3.0,0))),0)</f>
        <v/>
      </c>
      <c r="R2669">
        <f>IF(AND(Inputs!$B$38&lt;&gt;"pvp",Inputs!$B$43&gt;0),IF(MAX(0,Inputs!$B$43-B2691)&lt;=0,0,(INT(MAX(0,Inputs!$B$43-B2691)/IF(Inputs!$B$38="pvp",15,MAX(0.1,Skills!D11-IF(Skills!E11=TRUE,3.0,0))))+1)),0)</f>
        <v/>
      </c>
      <c r="S2669">
        <f>IF(C2669,H2669*N2669*IF(AND(Inputs!$B$38&lt;&gt;"pvp",Inputs!$B$43&gt;0),((Skills!F11*((R2669-1)*IF(Skills!G11&gt;0,Skills!H11/Skills!G11,1)+IF(Skills!G11&gt;0,MIN(Skills!H11,MAX(0,MAX(0,Inputs!$B$43-B2691)-((R2669-1)*IF(Inputs!$B$38="pvp",15,MAX(0.1,Skills!D11-IF(Skills!E11=TRUE,3.0,0))))))/Skills!G11,1)))/Inputs!$B$43),G2669*Q2669)*0.5*IF(Inputs!$B$38="pvp",1,1+(Inputs!$B$20+Skills!O11+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9">
        <f>IF(C2669,H2669*N2669*IF(AND(Inputs!$B$38&lt;&gt;"pvp",Inputs!$B$43&gt;0),((Skills!F11*((R2669-1)*IF(Skills!G11&gt;0,Skills!H11/Skills!G11,1)+IF(Skills!G11&gt;0,MIN(Skills!H11,MAX(0,MAX(0,Inputs!$B$43-B2691)-((R2669-1)*IF(Inputs!$B$38="pvp",15,MAX(0.1,Skills!D11-IF(Skills!E11=TRUE,3.0,0))))))/Skills!G11,1)))/Inputs!$B$43),G2669*Q2669)*1*IF(Inputs!$B$38="pvp",1,(1+(Inputs!$B$21+Skills!P11+B2685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Skills!A12</f>
        <v/>
      </c>
      <c r="B2670">
        <f>Skills!B12</f>
        <v/>
      </c>
      <c r="C2670">
        <f>Inputs!$B$3&gt;=115</f>
        <v/>
      </c>
      <c r="D2670">
        <f>IF(Skills!C12=1,60+Inputs!$B$25+Inputs!$B$29,IF(Skills!C12=2,90+Inputs!$B$26+Inputs!$B$29,IF(Skills!C12=3,120+Inputs!$B$27+Inputs!$B$29,MAX(0,(Inputs!$B$3-100)*3)+Inputs!$B$28+Inputs!$B$29)))</f>
        <v/>
      </c>
      <c r="E2670">
        <f>INDEX(FactorTable!$B$2:$Y$301, MATCH(ROUND(MIN(300,MAX(1,D2670)),0), FactorTable!$A$2:$A$301,0), Skills!L12+1)</f>
        <v/>
      </c>
      <c r="F2670">
        <f>IF(Skills!M12=TRUE,(Skills!K12/10)*(E2670/1000),Skills!K12/10)+Skills!N12</f>
        <v/>
      </c>
      <c r="G2670">
        <f>Calc!G12</f>
        <v/>
      </c>
      <c r="H2670">
        <f>Calc!H12</f>
        <v/>
      </c>
      <c r="I2670">
        <f>IF(Skills!T12&lt;&gt;"",1+(Skills!T12/10)*(Z2661/1000)/100,1)</f>
        <v/>
      </c>
      <c r="J2670">
        <f>((Inputs!$B$6*(1+Inputs!$B$7/100))+(((Inputs!$B$12*(1+Inputs!$B$13/100))-(Inputs!$B$12*(1+Inputs!$B$13/100)))+0.25*(Inputs!$B$14-Inputs!$B$14))*(1+Inputs!$B$7/100))*(F2670/100)</f>
        <v/>
      </c>
      <c r="K2670">
        <f>J2670*(1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2676-Calc!F18),(Inputs!$B$23+(IF(ArtifactsInput!$M$15,CHOOSE(ArtifactsInput!$N$15+1,25,30,35,40,45,50)/100*(Inputs!$B$11-Inputs!$B$11),0))))/100+(Inputs!$B$23+(IF(ArtifactsInput!$M$15,CHOOSE(ArtifactsInput!$N$15+1,25,30,35,40,45,50)/100*(Inputs!$B$11-Inputs!$B$11),0)))/100)/2</f>
        <v/>
      </c>
      <c r="M2670">
        <f>L2670*(1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IF(B2694=0,0,O2670/B2694)</f>
        <v/>
      </c>
      <c r="Q2670">
        <f>IFERROR(1/IF(Inputs!$B$38="pvp",15,MAX(0.1,Skills!D12-IF(Skills!E12=TRUE,3.0,0))),0)</f>
        <v/>
      </c>
      <c r="R2670">
        <f>IF(AND(Inputs!$B$38&lt;&gt;"pvp",Inputs!$B$43&gt;0),IF(MAX(0,Inputs!$B$43-B2691)&lt;=0,0,(INT(MAX(0,Inputs!$B$43-B2691)/IF(Inputs!$B$38="pvp",15,MAX(0.1,Skills!D12-IF(Skills!E12=TRUE,3.0,0))))+1)),0)</f>
        <v/>
      </c>
      <c r="S2670">
        <f>IF(C2670,(H2670*N2670*IF(AND(Inputs!$B$38&lt;&gt;"pvp",Inputs!$B$43&gt;0),((Skills!F12*((R2670-1)*IF(Skills!G12&gt;0,Skills!H12/Skills!G12,1)+IF(Skills!G12&gt;0,MIN(Skills!H12,MAX(0,MAX(0,Inputs!$B$43-B2691)-((R2670-1)*IF(Inputs!$B$38="pvp",15,MAX(0.1,Skills!D12-IF(Skills!E12=TRUE,3.0,0))))))/Skills!G12,1)))/Inputs!$B$43),G2670*Q2670))*IF(Inputs!$B$38="pvp",1,1+(Inputs!$B$20+Skills!O12+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0">
        <f>IF(C2670,(H2670*N2670*IF(AND(Inputs!$B$38&lt;&gt;"pvp",Inputs!$B$43&gt;0),((Skills!F12*((R2670-1)*IF(Skills!G12&gt;0,Skills!H12/Skills!G12,1)+IF(Skills!G12&gt;0,MIN(Skills!H12,MAX(0,MAX(0,Inputs!$B$43-B2691)-((R2670-1)*IF(Inputs!$B$38="pvp",15,MAX(0.1,Skills!D12-IF(Skills!E12=TRUE,3.0,0))))))/Skills!G12,1)))/Inputs!$B$43),G2670*Q2670))*IF(Inputs!$B$38="pvp",1,(1+(Inputs!$B$21+Skills!P12+B2685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Skills!A13</f>
        <v/>
      </c>
      <c r="B2671">
        <f>Skills!B13</f>
        <v/>
      </c>
      <c r="C2671">
        <f>Inputs!$B$3&gt;=49</f>
        <v/>
      </c>
      <c r="D2671">
        <f>IF(Skills!C13=1,60+Inputs!$B$25+Inputs!$B$29,IF(Skills!C13=2,90+Inputs!$B$26+Inputs!$B$29,IF(Skills!C13=3,120+Inputs!$B$27+Inputs!$B$29,MAX(0,(Inputs!$B$3-100)*3)+Inputs!$B$28+Inputs!$B$29)))</f>
        <v/>
      </c>
      <c r="E2671">
        <f>INDEX(FactorTable!$B$2:$Y$301, MATCH(ROUND(MIN(300,MAX(1,D2671)),0), FactorTable!$A$2:$A$301,0), Skills!L13+1)</f>
        <v/>
      </c>
      <c r="F2671">
        <f>IF(Skills!M13=TRUE,(Skills!K13/10)*(E2671/1000),Skills!K13/10)+Skills!N13</f>
        <v/>
      </c>
      <c r="G2671">
        <f>Calc!G13</f>
        <v/>
      </c>
      <c r="H2671">
        <f>Calc!H13</f>
        <v/>
      </c>
      <c r="I2671">
        <f>IF(Skills!T13&lt;&gt;"",1+(Skills!T13/10)*(Z2661/1000)/100,1)</f>
        <v/>
      </c>
      <c r="J2671" t="inlineStr"/>
      <c r="K2671" t="inlineStr"/>
      <c r="L2671" t="inlineStr"/>
      <c r="M2671" t="inlineStr"/>
      <c r="N2671" t="inlineStr"/>
      <c r="O2671">
        <f>(1-Summary!$B$11)*S2671+Summary!$B$11*U2671</f>
        <v/>
      </c>
      <c r="P2671">
        <f>IF(B2694=0,0,O2671/B2694)</f>
        <v/>
      </c>
      <c r="Q2671">
        <f>IFERROR(1/IF(Inputs!$B$38="pvp",15,MAX(0.1,Skills!D13-IF(Skills!E13=TRUE,3.0,0))),0)</f>
        <v/>
      </c>
      <c r="R2671" t="n">
        <v>0</v>
      </c>
      <c r="S2671" t="n">
        <v>0</v>
      </c>
      <c r="U2671" t="n">
        <v>0</v>
      </c>
    </row>
    <row r="2672">
      <c r="A2672">
        <f>Skills!A14</f>
        <v/>
      </c>
      <c r="B2672">
        <f>Skills!B14</f>
        <v/>
      </c>
      <c r="C2672">
        <f>Inputs!$B$3&gt;=72</f>
        <v/>
      </c>
      <c r="D2672">
        <f>IF(Skills!C14=1,60+Inputs!$B$25+Inputs!$B$29,IF(Skills!C14=2,90+Inputs!$B$26+Inputs!$B$29,IF(Skills!C14=3,120+Inputs!$B$27+Inputs!$B$29,MAX(0,(Inputs!$B$3-100)*3)+Inputs!$B$28+Inputs!$B$29)))</f>
        <v/>
      </c>
      <c r="E2672">
        <f>INDEX(FactorTable!$B$2:$Y$301, MATCH(ROUND(MIN(300,MAX(1,D2672)),0), FactorTable!$A$2:$A$301,0), Skills!L14+1)</f>
        <v/>
      </c>
      <c r="F2672">
        <f>IF(Skills!M14=TRUE,(Skills!K14/10)*(E2672/1000),Skills!K14/10)+Skills!N14</f>
        <v/>
      </c>
      <c r="G2672">
        <f>Calc!G14</f>
        <v/>
      </c>
      <c r="H2672">
        <f>Calc!H14</f>
        <v/>
      </c>
      <c r="I2672">
        <f>IF(Skills!T14&lt;&gt;"",1+(Skills!T14/10)*(Z2661/1000)/100,1)</f>
        <v/>
      </c>
      <c r="J2672" t="inlineStr"/>
      <c r="K2672" t="inlineStr"/>
      <c r="L2672" t="inlineStr"/>
      <c r="M2672" t="inlineStr"/>
      <c r="N2672" t="inlineStr"/>
      <c r="O2672">
        <f>(1-Summary!$B$11)*S2672+Summary!$B$11*U2672</f>
        <v/>
      </c>
      <c r="P2672">
        <f>IF(B2694=0,0,O2672/B2694)</f>
        <v/>
      </c>
      <c r="Q2672">
        <f>IFERROR(1/IF(Inputs!$B$38="pvp",15,MAX(0.1,Skills!D14-IF(Skills!E14=TRUE,3.0,0))),0)</f>
        <v/>
      </c>
      <c r="R2672" t="n">
        <v>0</v>
      </c>
      <c r="S2672" t="n">
        <v>0</v>
      </c>
      <c r="U2672" t="n">
        <v>0</v>
      </c>
    </row>
    <row r="2673">
      <c r="A2673">
        <f>Skills!A15</f>
        <v/>
      </c>
      <c r="B2673">
        <f>Skills!B15</f>
        <v/>
      </c>
      <c r="C2673">
        <f>Inputs!$B$3&gt;=75</f>
        <v/>
      </c>
      <c r="D2673">
        <f>IF(Skills!C15=1,60+Inputs!$B$25+Inputs!$B$29,IF(Skills!C15=2,90+Inputs!$B$26+Inputs!$B$29,IF(Skills!C15=3,120+Inputs!$B$27+Inputs!$B$29,MAX(0,(Inputs!$B$3-100)*3)+Inputs!$B$28+Inputs!$B$29)))</f>
        <v/>
      </c>
      <c r="E2673">
        <f>INDEX(FactorTable!$B$2:$Y$301, MATCH(ROUND(MIN(300,MAX(1,D2673)),0), FactorTable!$A$2:$A$301,0), Skills!L15+1)</f>
        <v/>
      </c>
      <c r="F2673">
        <f>IF(Skills!M15=TRUE,(Skills!K15/10)*(E2673/1000),Skills!K15/10)+Skills!N15</f>
        <v/>
      </c>
      <c r="G2673">
        <f>Calc!G15</f>
        <v/>
      </c>
      <c r="H2673">
        <f>Calc!H15</f>
        <v/>
      </c>
      <c r="I2673">
        <f>IF(Skills!T15&lt;&gt;"",1+(Skills!T15/10)*(Z2661/1000)/100,1)</f>
        <v/>
      </c>
      <c r="J2673" t="inlineStr"/>
      <c r="K2673" t="inlineStr"/>
      <c r="L2673" t="inlineStr"/>
      <c r="M2673" t="inlineStr"/>
      <c r="N2673" t="inlineStr"/>
      <c r="O2673">
        <f>(1-Summary!$B$11)*S2673+Summary!$B$11*U2673</f>
        <v/>
      </c>
      <c r="P2673">
        <f>IF(B2694=0,0,O2673/B2694)</f>
        <v/>
      </c>
      <c r="Q2673">
        <f>IFERROR(1/IF(Inputs!$B$38="pvp",15,MAX(0.1,Skills!D15-IF(Skills!E15=TRUE,3.0,0))),0)</f>
        <v/>
      </c>
      <c r="R2673" t="n">
        <v>0</v>
      </c>
      <c r="S2673" t="n">
        <v>0</v>
      </c>
      <c r="U2673" t="n">
        <v>0</v>
      </c>
    </row>
    <row r="2674">
      <c r="A2674">
        <f>Skills!A16</f>
        <v/>
      </c>
      <c r="B2674">
        <f>Skills!B16</f>
        <v/>
      </c>
      <c r="C2674">
        <f>Inputs!$B$3&gt;=110</f>
        <v/>
      </c>
      <c r="D2674">
        <f>IF(Skills!C16=1,60+Inputs!$B$25+Inputs!$B$29,IF(Skills!C16=2,90+Inputs!$B$26+Inputs!$B$29,IF(Skills!C16=3,120+Inputs!$B$27+Inputs!$B$29,MAX(0,(Inputs!$B$3-100)*3)+Inputs!$B$28+Inputs!$B$29)))</f>
        <v/>
      </c>
      <c r="E2674">
        <f>INDEX(FactorTable!$B$2:$Y$301, MATCH(ROUND(MIN(300,MAX(1,D2674)),0), FactorTable!$A$2:$A$301,0), Skills!L16+1)</f>
        <v/>
      </c>
      <c r="F2674">
        <f>(Skills!K16/10)*(E2674/1000)*64/45+Skills!N16</f>
        <v/>
      </c>
      <c r="G2674">
        <f>Calc!G16</f>
        <v/>
      </c>
      <c r="H2674">
        <f>Calc!H16</f>
        <v/>
      </c>
      <c r="I2674">
        <f>IF(Skills!T16&lt;&gt;"",1+(Skills!T16/10)*(Z2661/1000)/100,1)</f>
        <v/>
      </c>
      <c r="J2674" t="inlineStr"/>
      <c r="K2674" t="inlineStr"/>
      <c r="L2674" t="inlineStr"/>
      <c r="M2674" t="inlineStr"/>
      <c r="N2674" t="inlineStr"/>
      <c r="O2674">
        <f>(1-Summary!$B$11)*S2674+Summary!$B$11*U2674</f>
        <v/>
      </c>
      <c r="P2674">
        <f>IF(B2694=0,0,O2674/B2694)</f>
        <v/>
      </c>
      <c r="Q2674">
        <f>IFERROR(1/IF(Inputs!$B$38="pvp",15,MAX(0.1,Skills!D16-IF(Skills!E16=TRUE,3.0,0))),0)</f>
        <v/>
      </c>
      <c r="R2674">
        <f>IF(AND(Inputs!$B$38&lt;&gt;"pvp",Inputs!$B$43&gt;0),IF(Inputs!$B$43&lt;=0,0,(INT(Inputs!$B$43/IF(Inputs!$B$38="pvp",15,MAX(0.1,Skills!D16-IF(Skills!E16=TRUE,3.0,0))))+1)),0)</f>
        <v/>
      </c>
      <c r="S2674" t="n">
        <v>0</v>
      </c>
      <c r="U2674" t="n">
        <v>0</v>
      </c>
    </row>
    <row r="2675">
      <c r="A2675">
        <f>Skills!A17</f>
        <v/>
      </c>
      <c r="B2675">
        <f>Skills!B17</f>
        <v/>
      </c>
      <c r="C2675">
        <f>Inputs!$B$3&gt;=33</f>
        <v/>
      </c>
      <c r="D2675">
        <f>IF(Skills!C17=1,60+Inputs!$B$25+Inputs!$B$29,IF(Skills!C17=2,90+Inputs!$B$26+Inputs!$B$29,IF(Skills!C17=3,120+Inputs!$B$27+Inputs!$B$29,MAX(0,(Inputs!$B$3-100)*3)+Inputs!$B$28+Inputs!$B$29)))</f>
        <v/>
      </c>
      <c r="E2675">
        <f>INDEX(FactorTable!$B$2:$Y$301, MATCH(ROUND(MIN(300,MAX(1,D2675)),0), FactorTable!$A$2:$A$301,0), Skills!L17+1)</f>
        <v/>
      </c>
      <c r="F2675">
        <f>IF(Skills!M17=TRUE,(Skills!K17/10)*(E2675/1000),Skills!K17/10)+Skills!N17</f>
        <v/>
      </c>
      <c r="G2675">
        <f>Calc!G17</f>
        <v/>
      </c>
      <c r="H2675">
        <f>Calc!H17</f>
        <v/>
      </c>
      <c r="I2675">
        <f>IF(Skills!T17&lt;&gt;"",1+(Skills!T17/10)*(Z2661/1000)/100,1)</f>
        <v/>
      </c>
      <c r="J2675" t="inlineStr"/>
      <c r="K2675" t="inlineStr"/>
      <c r="L2675" t="inlineStr"/>
      <c r="M2675" t="inlineStr"/>
      <c r="N2675" t="inlineStr"/>
      <c r="O2675">
        <f>(1-Summary!$B$11)*S2675+Summary!$B$11*U2675</f>
        <v/>
      </c>
      <c r="P2675">
        <f>IF(B2694=0,0,O2675/B2694)</f>
        <v/>
      </c>
      <c r="Q2675">
        <f>IFERROR(1/IF(Inputs!$B$38="pvp",15,MAX(0.1,Skills!D17-IF(Skills!E17=TRUE,3.0,0))),0)</f>
        <v/>
      </c>
      <c r="R2675" t="n">
        <v>0</v>
      </c>
      <c r="S2675" t="n">
        <v>0</v>
      </c>
      <c r="U2675" t="n">
        <v>0</v>
      </c>
    </row>
    <row r="2676">
      <c r="A2676">
        <f>Skills!A18</f>
        <v/>
      </c>
      <c r="B2676">
        <f>Skills!B18</f>
        <v/>
      </c>
      <c r="C2676">
        <f>Inputs!$B$3&gt;=43</f>
        <v/>
      </c>
      <c r="D2676">
        <f>IF(Skills!C18=1,60+Inputs!$B$25+Inputs!$B$29,IF(Skills!C18=2,90+Inputs!$B$26+Inputs!$B$29,IF(Skills!C18=3,120+Inputs!$B$27+Inputs!$B$29,MAX(0,(Inputs!$B$3-100)*3)+Inputs!$B$28+Inputs!$B$29)))</f>
        <v/>
      </c>
      <c r="E2676">
        <f>INDEX(FactorTable!$B$2:$Y$301, MATCH(ROUND(MIN(300,MAX(1,D2676)),0), FactorTable!$A$2:$A$301,0), Skills!L18+1)</f>
        <v/>
      </c>
      <c r="F2676">
        <f>IF(Skills!M18=TRUE,(Skills!K18/10)*(E2676/1000),Skills!K18/10)+Skills!N18</f>
        <v/>
      </c>
      <c r="G2676">
        <f>Calc!G18</f>
        <v/>
      </c>
      <c r="H2676">
        <f>Calc!H18</f>
        <v/>
      </c>
      <c r="I2676">
        <f>IF(Skills!T18&lt;&gt;"",1+(Skills!T18/10)*(Z2661/1000)/100,1)</f>
        <v/>
      </c>
      <c r="J2676" t="inlineStr"/>
      <c r="K2676" t="inlineStr"/>
      <c r="L2676" t="inlineStr"/>
      <c r="M2676" t="inlineStr"/>
      <c r="N2676" t="inlineStr"/>
      <c r="O2676">
        <f>(1-Summary!$B$11)*S2676+Summary!$B$11*U2676</f>
        <v/>
      </c>
      <c r="P2676">
        <f>IF(B2694=0,0,O2676/B2694)</f>
        <v/>
      </c>
      <c r="Q2676">
        <f>IFERROR(1/IF(Inputs!$B$38="pvp",15,MAX(0.1,Skills!D18-IF(Skills!E18=TRUE,3.0,0))),0)</f>
        <v/>
      </c>
      <c r="R2676" t="n">
        <v>0</v>
      </c>
      <c r="S2676" t="n">
        <v>0</v>
      </c>
      <c r="U2676" t="n">
        <v>0</v>
      </c>
    </row>
    <row r="2677">
      <c r="A2677">
        <f>Skills!A19</f>
        <v/>
      </c>
      <c r="B2677">
        <f>Skills!B19</f>
        <v/>
      </c>
      <c r="C2677">
        <f>Inputs!$B$3&gt;=50</f>
        <v/>
      </c>
      <c r="D2677">
        <f>IF(Skills!C19=1,60+Inputs!$B$25+Inputs!$B$29,IF(Skills!C19=2,90+Inputs!$B$26+Inputs!$B$29,IF(Skills!C19=3,120+Inputs!$B$27+Inputs!$B$29,MAX(0,(Inputs!$B$3-100)*3)+Inputs!$B$28+Inputs!$B$29)))</f>
        <v/>
      </c>
      <c r="E2677">
        <f>INDEX(FactorTable!$B$2:$Y$301, MATCH(ROUND(MIN(300,MAX(1,D2677)),0), FactorTable!$A$2:$A$301,0), Skills!L19+1)</f>
        <v/>
      </c>
      <c r="F2677">
        <f>IF(Skills!M19=TRUE,(Skills!K19/10)*(E2677/1000),Skills!K19/10)+Skills!N19</f>
        <v/>
      </c>
      <c r="G2677">
        <f>Calc!G19</f>
        <v/>
      </c>
      <c r="H2677">
        <f>Calc!H19</f>
        <v/>
      </c>
      <c r="I2677">
        <f>IF(Skills!T19&lt;&gt;"",1+(Skills!T19/10)*(Z2661/1000)/100,1)</f>
        <v/>
      </c>
      <c r="J2677" t="inlineStr"/>
      <c r="K2677" t="inlineStr"/>
      <c r="L2677" t="inlineStr"/>
      <c r="M2677" t="inlineStr"/>
      <c r="N2677" t="inlineStr"/>
      <c r="O2677">
        <f>(1-Summary!$B$11)*S2677+Summary!$B$11*U2677</f>
        <v/>
      </c>
      <c r="P2677">
        <f>IF(B2694=0,0,O2677/B2694)</f>
        <v/>
      </c>
      <c r="Q2677">
        <f>IFERROR(1/IF(Inputs!$B$38="pvp",15,MAX(0.1,Skills!D19-IF(Skills!E19=TRUE,3.0,0))),0)</f>
        <v/>
      </c>
      <c r="R2677" t="n">
        <v>0</v>
      </c>
      <c r="S2677" t="n">
        <v>0</v>
      </c>
      <c r="U2677" t="n">
        <v>0</v>
      </c>
    </row>
    <row r="2678">
      <c r="A2678">
        <f>Skills!A20</f>
        <v/>
      </c>
      <c r="B2678">
        <f>Skills!B20</f>
        <v/>
      </c>
      <c r="C2678">
        <f>Inputs!$B$3&gt;=74</f>
        <v/>
      </c>
      <c r="D2678">
        <f>IF(Skills!C20=1,60+Inputs!$B$25+Inputs!$B$29,IF(Skills!C20=2,90+Inputs!$B$26+Inputs!$B$29,IF(Skills!C20=3,120+Inputs!$B$27+Inputs!$B$29,MAX(0,(Inputs!$B$3-100)*3)+Inputs!$B$28+Inputs!$B$29)))</f>
        <v/>
      </c>
      <c r="E2678">
        <f>INDEX(FactorTable!$B$2:$Y$301, MATCH(ROUND(MIN(300,MAX(1,D2678)),0), FactorTable!$A$2:$A$301,0), Skills!L20+1)</f>
        <v/>
      </c>
      <c r="F2678">
        <f>IF(Skills!M20=TRUE,(Skills!K20/10)*(E2678/1000),Skills!K20/10)+Skills!N20</f>
        <v/>
      </c>
      <c r="G2678">
        <f>Calc!G20</f>
        <v/>
      </c>
      <c r="H2678">
        <f>Calc!H20</f>
        <v/>
      </c>
      <c r="I2678">
        <f>IF(Skills!T20&lt;&gt;"",1+(Skills!T20/10)*(Z2661/1000)/100,1)</f>
        <v/>
      </c>
      <c r="J2678" t="inlineStr"/>
      <c r="K2678" t="inlineStr"/>
      <c r="L2678" t="inlineStr"/>
      <c r="M2678" t="inlineStr"/>
      <c r="N2678" t="inlineStr"/>
      <c r="O2678">
        <f>(1-Summary!$B$11)*S2678+Summary!$B$11*U2678</f>
        <v/>
      </c>
      <c r="P2678">
        <f>IF(B2694=0,0,O2678/B2694)</f>
        <v/>
      </c>
      <c r="Q2678">
        <f>IFERROR(1/IF(Inputs!$B$38="pvp",15,MAX(0.1,Skills!D20-IF(Skills!E20=TRUE,3.0,0))),0)</f>
        <v/>
      </c>
      <c r="R2678" t="n">
        <v>0</v>
      </c>
      <c r="S2678" t="n">
        <v>0</v>
      </c>
      <c r="U2678" t="n">
        <v>0</v>
      </c>
    </row>
    <row r="2679">
      <c r="A2679">
        <f>Skills!A21</f>
        <v/>
      </c>
      <c r="B2679">
        <f>Skills!B21</f>
        <v/>
      </c>
      <c r="C2679">
        <f>Inputs!$B$3&gt;=74</f>
        <v/>
      </c>
      <c r="D2679">
        <f>IF(Skills!C21=1,60+Inputs!$B$25+Inputs!$B$29,IF(Skills!C21=2,90+Inputs!$B$26+Inputs!$B$29,IF(Skills!C21=3,120+Inputs!$B$27+Inputs!$B$29,MAX(0,(Inputs!$B$3-100)*3)+Inputs!$B$28+Inputs!$B$29)))</f>
        <v/>
      </c>
      <c r="E2679">
        <f>INDEX(FactorTable!$B$2:$Y$301, MATCH(ROUND(MIN(300,MAX(1,D2679)),0), FactorTable!$A$2:$A$301,0), Skills!L21+1)</f>
        <v/>
      </c>
      <c r="F2679">
        <f>IF(Skills!M21=TRUE,(Skills!K21/10)*(E2679/1000),Skills!K21/10)+Skills!N21</f>
        <v/>
      </c>
      <c r="G2679">
        <f>Calc!G21</f>
        <v/>
      </c>
      <c r="H2679">
        <f>Calc!H21</f>
        <v/>
      </c>
      <c r="I2679">
        <f>IF(Skills!T21&lt;&gt;"",1+(Skills!T21/10)*(Z2661/1000)/100,1)</f>
        <v/>
      </c>
      <c r="J2679" t="inlineStr"/>
      <c r="K2679" t="inlineStr"/>
      <c r="L2679" t="inlineStr"/>
      <c r="M2679" t="inlineStr"/>
      <c r="N2679" t="inlineStr"/>
      <c r="O2679">
        <f>(1-Summary!$B$11)*S2679+Summary!$B$11*U2679</f>
        <v/>
      </c>
      <c r="P2679">
        <f>IF(B2694=0,0,O2679/B2694)</f>
        <v/>
      </c>
      <c r="Q2679">
        <f>IFERROR(1/IF(Inputs!$B$38="pvp",15,MAX(0.1,Skills!D21-IF(Skills!E21=TRUE,3.0,0))),0)</f>
        <v/>
      </c>
      <c r="R2679" t="n">
        <v>0</v>
      </c>
      <c r="S2679" t="n">
        <v>0</v>
      </c>
      <c r="U2679" t="n">
        <v>0</v>
      </c>
    </row>
    <row r="2680">
      <c r="A2680">
        <f>Skills!A22</f>
        <v/>
      </c>
      <c r="B2680">
        <f>Skills!B22</f>
        <v/>
      </c>
      <c r="C2680">
        <f>Inputs!$B$3&gt;=117</f>
        <v/>
      </c>
      <c r="D2680">
        <f>IF(Skills!C22=1,60+Inputs!$B$25+Inputs!$B$29,IF(Skills!C22=2,90+Inputs!$B$26+Inputs!$B$29,IF(Skills!C22=3,120+Inputs!$B$27+Inputs!$B$29,MAX(0,(Inputs!$B$3-100)*3)+Inputs!$B$28+Inputs!$B$29)))</f>
        <v/>
      </c>
      <c r="E2680">
        <f>INDEX(FactorTable!$B$2:$Y$301, MATCH(ROUND(MIN(300,MAX(1,D2680)),0), FactorTable!$A$2:$A$301,0), Skills!L22+1)</f>
        <v/>
      </c>
      <c r="F2680">
        <f>IF(Skills!M22=TRUE,(Skills!K22/10)*(E2680/1000),Skills!K22/10)+Skills!N22</f>
        <v/>
      </c>
      <c r="G2680">
        <f>Calc!G22</f>
        <v/>
      </c>
      <c r="H2680">
        <f>Calc!H22</f>
        <v/>
      </c>
      <c r="I2680">
        <f>IF(Skills!T22&lt;&gt;"",1+(Skills!T22/10)*(Z2661/1000)/100,1)</f>
        <v/>
      </c>
      <c r="J2680" t="inlineStr"/>
      <c r="K2680" t="inlineStr"/>
      <c r="L2680" t="inlineStr"/>
      <c r="M2680" t="inlineStr"/>
      <c r="N2680" t="inlineStr"/>
      <c r="O2680">
        <f>(1-Summary!$B$11)*S2680+Summary!$B$11*U2680</f>
        <v/>
      </c>
      <c r="P2680">
        <f>IF(B2694=0,0,O2680/B2694)</f>
        <v/>
      </c>
      <c r="Q2680">
        <f>IFERROR(1/IF(Inputs!$B$38="pvp",15,MAX(0.1,Skills!D22-IF(Skills!E22=TRUE,3.0,0))),0)</f>
        <v/>
      </c>
      <c r="R2680" t="n">
        <v>0</v>
      </c>
      <c r="S2680" t="n">
        <v>0</v>
      </c>
      <c r="U2680" t="n">
        <v>0</v>
      </c>
    </row>
    <row r="2681">
      <c r="A2681">
        <f>Skills!A23</f>
        <v/>
      </c>
      <c r="B2681">
        <f>Skills!B23</f>
        <v/>
      </c>
      <c r="C2681">
        <f>Inputs!$B$3&gt;=120</f>
        <v/>
      </c>
      <c r="D2681">
        <f>IF(Skills!C23=1,60+Inputs!$B$25+Inputs!$B$29,IF(Skills!C23=2,90+Inputs!$B$26+Inputs!$B$29,IF(Skills!C23=3,120+Inputs!$B$27+Inputs!$B$29,MAX(0,(Inputs!$B$3-100)*3)+Inputs!$B$28+Inputs!$B$29)))</f>
        <v/>
      </c>
      <c r="E2681">
        <f>INDEX(FactorTable!$B$2:$Y$301, MATCH(ROUND(MIN(300,MAX(1,D2681)),0), FactorTable!$A$2:$A$301,0), Skills!L23+1)</f>
        <v/>
      </c>
      <c r="F2681">
        <f>IF(Skills!M23=TRUE,(Skills!K23/10)*(E2681/1000),Skills!K23/10)+Skills!N23</f>
        <v/>
      </c>
      <c r="G2681">
        <f>Calc!G23</f>
        <v/>
      </c>
      <c r="H2681">
        <f>Calc!H23</f>
        <v/>
      </c>
      <c r="I2681">
        <f>IF(Skills!T23&lt;&gt;"",1+(Skills!T23/10)*(Z2661/1000)/100,1)</f>
        <v/>
      </c>
      <c r="J2681" t="inlineStr"/>
      <c r="K2681" t="inlineStr"/>
      <c r="L2681" t="inlineStr"/>
      <c r="M2681" t="inlineStr"/>
      <c r="N2681" t="inlineStr"/>
      <c r="O2681">
        <f>(1-Summary!$B$11)*S2681+Summary!$B$11*U2681</f>
        <v/>
      </c>
      <c r="P2681">
        <f>IF(B2694=0,0,O2681/B2694)</f>
        <v/>
      </c>
      <c r="Q2681">
        <f>IFERROR(1/IF(Inputs!$B$38="pvp",15,MAX(0.1,Skills!D23-IF(Skills!E23=TRUE,3.0,0))),0)</f>
        <v/>
      </c>
      <c r="R2681" t="n">
        <v>0</v>
      </c>
      <c r="S2681" t="n">
        <v>0</v>
      </c>
      <c r="U2681" t="n">
        <v>0</v>
      </c>
    </row>
    <row r="2684">
      <c r="A2684" t="inlineStr">
        <is>
          <t>Average Buff Multiplier (Magic Guard + Meditation + Artifact Attack%, summed; then Infinity)</t>
        </is>
      </c>
      <c r="B2684">
        <f>(1+(IF(C2661=TRUE,F2661*IF(AND(Inputs!$B$38&lt;&gt;"pvp",Inputs!$B$43&gt;0),(((R2661-1)*(Skills!S3*(1+(Inputs!$B$34+IF(Inputs!$B$3&gt;=117,F2680,0))/100))+MIN((Skills!S3*(1+(Inputs!$B$34+IF(Inputs!$B$3&gt;=117,F2680,0))/100)),MAX(0,Inputs!$B$43-((R2661-1)*Skills!D3))))/Inputs!$B$43),IF(Inputs!$B$38="pvp",MIN((Skills!S3*(1+(Inputs!$B$34+IF(Inputs!$B$3&gt;=117,F2680,0))/100)),15)/15,(Skills!S3*(1+(Inputs!$B$34+IF(Inputs!$B$3&gt;=117,F2680,0))/100))/Skills!D3)),0)+IF(C2662=TRUE,F2662*IF(AND(Inputs!$B$38&lt;&gt;"pvp",Inputs!$B$43&gt;0),(((R2662-1)*(Skills!S4*(1+(Inputs!$B$34+IF(Inputs!$B$3&gt;=117,F2680,0))/100))+MIN((Skills!S4*(1+(Inputs!$B$34+IF(Inputs!$B$3&gt;=117,F2680,0))/100)),MAX(0,Inputs!$B$43-((R2662-1)*Skills!D4))))/Inputs!$B$43),IF(Inputs!$B$38="pvp",MIN((Skills!S4*(1+(Inputs!$B$34+IF(Inputs!$B$3&gt;=117,F2680,0))/100)),15)/15,(Skills!S4*(1+(Inputs!$B$34+IF(Inputs!$B$3&gt;=117,F2680,0)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2674=TRUE,(1+F2674*IF(AND(Inputs!$B$38&lt;&gt;"pvp",Inputs!$B$43&gt;0),(((R2674-1)*(Skills!S16*(1+(Inputs!$B$34+IF(Inputs!$B$3&gt;=117,F2680,0))/100))+MIN((Skills!S16*(1+(Inputs!$B$34+IF(Inputs!$B$3&gt;=117,F2680,0))/100)),MAX(0,Inputs!$B$43-((R2674-1)*Skills!D16))))/Inputs!$B$43),IF(Inputs!$B$38="pvp",MIN((Skills!S16*(1+(Inputs!$B$34+IF(Inputs!$B$3&gt;=117,F2680,0))/100)),15)/15,(Skills!S16*(1+(Inputs!$B$34+IF(Inputs!$B$3&gt;=117,F2680,0))/100))/Skills!D16))/100),1)</f>
        <v/>
      </c>
    </row>
    <row r="2685">
      <c r="A2685" t="inlineStr">
        <is>
          <t>Monster Damage Taken Bonus % (Freezing Breath - Weaken + Elemental Reset + Artifact Enemy Damage Taken, summed)</t>
        </is>
      </c>
      <c r="B2685">
        <f>IF(Inputs!$B$3&gt;=118,15*IF(Inputs!$B$38="pvp",MIN((30*(1+(Inputs!$B$34+IF(Inputs!$B$3&gt;=117,F2680,0))/100)),15)/15,(30*(1+(Inputs!$B$34+IF(Inputs!$B$3&gt;=117,F2680,0))/100))/Skills!D8),0)+IF(C2672=TRUE,F2672,0)+(IF(AND(ArtifactsInput!$M$35,Inputs!$B$4&lt;&gt;"Chapter Hunt"),CHOOSE(ArtifactsInput!$N$35+1,15,18,21,24,27,30)*(1-EXP(-(0.2*B2688)*5)),0)+IF(AND(ArtifactsInput!$M$22,Inputs!$B$4&lt;&gt;"Chapter Hunt"),CHOOSE(ArtifactsInput!$N$22+1,10,12,14,16,18,20)*((0*(((0.15*B2688*5))^0/1)+1*(((0.15*B2688*5))^1/1)+2*(((0.15*B2688*5))^2/2)+3*(((0.15*B2688*5))^3/6)+4*(((0.15*B2688*5))^4/24)+5*(((0.15*B2688*5))^5/120))/((((0.15*B2688*5))^0/1)+(((0.15*B2688*5))^1/1)+(((0.15*B2688*5))^2/2)+(((0.15*B2688*5))^3/6)+(((0.15*B2688*5))^4/24)+(((0.15*B2688*5))^5/120))),0))</f>
        <v/>
      </c>
    </row>
    <row r="2686">
      <c r="A2686" t="inlineStr">
        <is>
          <t>Damage % Bonus (Frozen Break + Frost Clutch, flat)</t>
        </is>
      </c>
      <c r="B2686">
        <f>IF(Inputs!$B$3&gt;=66,15,0)+IF(Inputs!$B$3&gt;=98,10,0)+IF(Inputs!$B$3&gt;=125,20,0)</f>
        <v/>
      </c>
    </row>
    <row r="2687">
      <c r="A2687" t="inlineStr">
        <is>
          <t>Attack Speed Bonus % (MP Eater - MP Boost, always-on once unlocked)</t>
        </is>
      </c>
      <c r="B2687">
        <f>IF(C2671=TRUE,F2671+(F2675-Calc!F17),0)</f>
        <v/>
      </c>
    </row>
    <row r="2688">
      <c r="A2688" t="inlineStr">
        <is>
          <t>Actions Per Second</t>
        </is>
      </c>
      <c r="B2688">
        <f>1+MIN(150,150*(1-(1-(Inputs!$B$11+(ArtifactsInput!$M$15-ArtifactsInput!$M$15)*CHOOSE(ArtifactsInput!$N$15+1,8,9.6,11.2,12.8,14.4,16))/150)*(1-B2687/150)))/100</f>
        <v/>
      </c>
    </row>
    <row r="2689">
      <c r="A2689" t="inlineStr">
        <is>
          <t>Skill + Buff Cast Rate</t>
        </is>
      </c>
      <c r="B2689">
        <f>IF(AND(Inputs!$B$38&lt;&gt;"pvp",Inputs!$B$43&gt;0),SUMPRODUCT((Skills!E2:E23=TRUE)*(C2660:C2681=TRUE)*R2660:R2681)/Inputs!$B$43,SUMPRODUCT((Skills!E2:E23=TRUE)*(C2660:C2681=TRUE)*Q2660:Q2681))</f>
        <v/>
      </c>
    </row>
    <row r="2690">
      <c r="A2690" t="inlineStr">
        <is>
          <t>Chain Lightning Casts Per Second</t>
        </is>
      </c>
      <c r="B2690">
        <f>MAX(0,B2688-B2689)</f>
        <v/>
      </c>
    </row>
    <row r="2691">
      <c r="A2691" t="inlineStr">
        <is>
          <t>Buff-Casting Startup Delay (s, fixed-duration only)</t>
        </is>
      </c>
      <c r="B2691">
        <f>IF(AND(Inputs!$B$38&lt;&gt;"pvp",Inputs!$B$43&gt;0),SUMPRODUCT((Skills!S2:S23&gt;0)*(Skills!E2:E23=TRUE)*(C2660:C2681=TRUE))/B2688,0)</f>
        <v/>
      </c>
    </row>
    <row r="2692">
      <c r="A2692" t="inlineStr">
        <is>
          <t>Boss-Only Total DPS (this block's swept value)</t>
        </is>
      </c>
      <c r="B2692">
        <f>SUM(S2660:S2681)</f>
        <v/>
      </c>
    </row>
    <row r="2693">
      <c r="A2693" t="inlineStr">
        <is>
          <t>Normal-Only Total DPS (this block's swept value)</t>
        </is>
      </c>
      <c r="B2693">
        <f>SUM(U2660:U2681)</f>
        <v/>
      </c>
    </row>
    <row r="2694">
      <c r="A2694" s="6" t="inlineStr">
        <is>
          <t>TOTAL DPS</t>
        </is>
      </c>
      <c r="B2694" s="6">
        <f>SUM(O2660:O2681)</f>
        <v/>
      </c>
    </row>
    <row r="2697">
      <c r="A2697" s="6" t="inlineStr">
        <is>
          <t>Stat: CDR = 3.5s</t>
        </is>
      </c>
    </row>
    <row r="2698">
      <c r="A2698" s="5" t="inlineStr">
        <is>
          <t>Key</t>
        </is>
      </c>
      <c r="B2698" s="5" t="inlineStr">
        <is>
          <t>Name</t>
        </is>
      </c>
      <c r="C2698" s="5" t="inlineStr">
        <is>
          <t>Unlocked</t>
        </is>
      </c>
      <c r="D2698" s="5" t="inlineStr">
        <is>
          <t>InputLevel</t>
        </is>
      </c>
      <c r="E2698" s="5" t="inlineStr">
        <is>
          <t>Factor</t>
        </is>
      </c>
      <c r="F2698" s="5" t="inlineStr">
        <is>
          <t>CoefficientPercent</t>
        </is>
      </c>
      <c r="G2698" s="5" t="inlineStr">
        <is>
          <t>EffectiveHits</t>
        </is>
      </c>
      <c r="H2698" s="5" t="inlineStr">
        <is>
          <t>ProcProbability</t>
        </is>
      </c>
      <c r="I2698" s="5" t="inlineStr">
        <is>
          <t>MapleHeroMultiplier</t>
        </is>
      </c>
      <c r="J2698" s="5" t="inlineStr">
        <is>
          <t>BaseDamage</t>
        </is>
      </c>
      <c r="K2698" s="5" t="inlineStr">
        <is>
          <t>BaseHitDamage</t>
        </is>
      </c>
      <c r="L2698" s="5" t="inlineStr">
        <is>
          <t>NonCritAvg</t>
        </is>
      </c>
      <c r="M2698" s="5" t="inlineStr">
        <is>
          <t>CritAvg</t>
        </is>
      </c>
      <c r="N2698" s="5" t="inlineStr">
        <is>
          <t>ExpectedDamage(perHit)</t>
        </is>
      </c>
      <c r="O2698" s="5" t="inlineStr">
        <is>
          <t>DPS</t>
        </is>
      </c>
      <c r="P2698" s="5" t="inlineStr">
        <is>
          <t>% of Total</t>
        </is>
      </c>
      <c r="R2698" t="inlineStr">
        <is>
          <t>helpers</t>
        </is>
      </c>
    </row>
    <row r="2699">
      <c r="A2699">
        <f>Skills!A2</f>
        <v/>
      </c>
      <c r="B2699">
        <f>Skills!B2</f>
        <v/>
      </c>
      <c r="C2699">
        <f>Inputs!$B$3&gt;=100</f>
        <v/>
      </c>
      <c r="D2699" t="inlineStr"/>
      <c r="E2699" t="inlineStr"/>
      <c r="F2699">
        <f>T2701+Skills!N2</f>
        <v/>
      </c>
      <c r="G2699">
        <f>Calc!G2</f>
        <v/>
      </c>
      <c r="H2699">
        <f>Calc!H2</f>
        <v/>
      </c>
      <c r="I2699">
        <f>IF(Skills!T2&lt;&gt;"",1+(Skills!T2/10)*(Z2700/1000)/100,1)</f>
        <v/>
      </c>
      <c r="J2699">
        <f>((Inputs!$B$6*(1+Inputs!$B$7/100))+(((Inputs!$B$12*(1+Inputs!$B$13/100))-(Inputs!$B$12*(1+Inputs!$B$13/100)))+0.25*(Inputs!$B$14-Inputs!$B$14))*(1+Inputs!$B$7/100))*(F2699/100)</f>
        <v/>
      </c>
      <c r="K2699">
        <f>J2699*(1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F2715-Calc!F18),(Inputs!$B$23+(IF(ArtifactsInput!$M$15,CHOOSE(ArtifactsInput!$N$15+1,25,30,35,40,45,50)/100*(Inputs!$B$11-Inputs!$B$11),0))))/100+(Inputs!$B$23+(IF(ArtifactsInput!$M$15,CHOOSE(ArtifactsInput!$N$15+1,25,30,35,40,45,50)/100*(Inputs!$B$11-Inputs!$B$11),0)))/100)/2</f>
        <v/>
      </c>
      <c r="M2699">
        <f>L2699*(1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(1-Summary!$B$11)*S2699+Summary!$B$11*U2699</f>
        <v/>
      </c>
      <c r="P2699">
        <f>IF(B2733=0,0,O2699/B2733)</f>
        <v/>
      </c>
      <c r="Q2699">
        <f>IFERROR(1/IF(Inputs!$B$38="pvp",15,MAX(0.1,Skills!D2-IF(Skills!E2=TRUE,3.5,0))),0)</f>
        <v/>
      </c>
      <c r="R2699" t="n">
        <v>0</v>
      </c>
      <c r="S2699">
        <f>IF(C2699,(Skills!F2*N2699*B2729)*IF(Inputs!$B$38="pvp",1,1+(Inputs!$B$20+Skills!O2+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99">
        <f>MAX(0,(Inputs!$B$3-100)*3)+Inputs!$B$28+Inputs!$B$29</f>
        <v/>
      </c>
      <c r="U2699">
        <f>IF(C2699,(Skills!F2*N2699*B2729)*IF(Inputs!$B$38="pvp",1,(1+(Inputs!$B$21+Skills!P2+B2724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99">
        <f>MAX(0,(Inputs!$B$3-100)*3)+Inputs!$B$28+Inputs!$B$29</f>
        <v/>
      </c>
    </row>
    <row r="2700">
      <c r="A2700">
        <f>Skills!A3</f>
        <v/>
      </c>
      <c r="B2700">
        <f>Skills!B3</f>
        <v/>
      </c>
      <c r="C2700">
        <f>Inputs!$B$3&gt;=15</f>
        <v/>
      </c>
      <c r="D2700">
        <f>IF(Skills!C3=1,60+Inputs!$B$25+Inputs!$B$29,IF(Skills!C3=2,90+Inputs!$B$26+Inputs!$B$29,IF(Skills!C3=3,120+Inputs!$B$27+Inputs!$B$29,MAX(0,(Inputs!$B$3-100)*3)+Inputs!$B$28+Inputs!$B$29)))</f>
        <v/>
      </c>
      <c r="E2700">
        <f>INDEX(FactorTable!$B$2:$Y$301, MATCH(ROUND(MIN(300,MAX(1,D2700)),0), FactorTable!$A$2:$A$301,0), Skills!L3+1)</f>
        <v/>
      </c>
      <c r="F2700">
        <f>IF(Skills!M3=TRUE,(Skills!K3/10)*(E2700/1000),Skills!K3/10)+Skills!N3</f>
        <v/>
      </c>
      <c r="G2700">
        <f>Calc!G3</f>
        <v/>
      </c>
      <c r="H2700">
        <f>Calc!H3</f>
        <v/>
      </c>
      <c r="I2700">
        <f>IF(Skills!T3&lt;&gt;"",1+(Skills!T3/10)*(Z2700/1000)/100,1)</f>
        <v/>
      </c>
      <c r="J2700" t="inlineStr"/>
      <c r="K2700" t="inlineStr"/>
      <c r="L2700" t="inlineStr"/>
      <c r="M2700" t="inlineStr"/>
      <c r="N2700" t="inlineStr"/>
      <c r="O2700">
        <f>(1-Summary!$B$11)*S2700+Summary!$B$11*U2700</f>
        <v/>
      </c>
      <c r="P2700">
        <f>IF(B2733=0,0,O2700/B2733)</f>
        <v/>
      </c>
      <c r="Q2700">
        <f>IFERROR(1/IF(Inputs!$B$38="pvp",15,MAX(0.1,Skills!D3-IF(Skills!E3=TRUE,3.5,0))),0)</f>
        <v/>
      </c>
      <c r="R2700">
        <f>IF(AND(Inputs!$B$38&lt;&gt;"pvp",Inputs!$B$43&gt;0),IF(Inputs!$B$43&lt;=0,0,(INT(Inputs!$B$43/IF(Inputs!$B$38="pvp",15,MAX(0.1,Skills!D3-IF(Skills!E3=TRUE,3.5,0))))+1)),0)</f>
        <v/>
      </c>
      <c r="S2700" t="n">
        <v>0</v>
      </c>
      <c r="T2700">
        <f>INDEX(FactorTable!$B$2:$Y$301, MATCH(ROUND(MIN(300,MAX(1,T2699)),0), FactorTable!$A$2:$A$301,0), 22)</f>
        <v/>
      </c>
      <c r="U2700" t="n">
        <v>0</v>
      </c>
      <c r="Z2700">
        <f>INDEX(FactorTable!$B$2:$Y$301, MATCH(ROUND(MIN(300,MAX(1,Z2699)),0), FactorTable!$A$2:$A$301,0), 24)</f>
        <v/>
      </c>
    </row>
    <row r="2701">
      <c r="A2701">
        <f>Skills!A4</f>
        <v/>
      </c>
      <c r="B2701">
        <f>Skills!B4</f>
        <v/>
      </c>
      <c r="C2701">
        <f>Inputs!$B$3&gt;=40</f>
        <v/>
      </c>
      <c r="D2701">
        <f>IF(Skills!C4=1,60+Inputs!$B$25+Inputs!$B$29,IF(Skills!C4=2,90+Inputs!$B$26+Inputs!$B$29,IF(Skills!C4=3,120+Inputs!$B$27+Inputs!$B$29,MAX(0,(Inputs!$B$3-100)*3)+Inputs!$B$28+Inputs!$B$29)))</f>
        <v/>
      </c>
      <c r="E2701">
        <f>INDEX(FactorTable!$B$2:$Y$301, MATCH(ROUND(MIN(300,MAX(1,D2701)),0), FactorTable!$A$2:$A$301,0), Skills!L4+1)</f>
        <v/>
      </c>
      <c r="F2701">
        <f>IF(Skills!M4=TRUE,(Skills!K4/10)*(E2701/1000),Skills!K4/10)+Skills!N4</f>
        <v/>
      </c>
      <c r="G2701">
        <f>Calc!G4</f>
        <v/>
      </c>
      <c r="H2701">
        <f>Calc!H4</f>
        <v/>
      </c>
      <c r="I2701">
        <f>IF(Skills!T4&lt;&gt;"",1+(Skills!T4/10)*(Z2700/1000)/100,1)</f>
        <v/>
      </c>
      <c r="J2701" t="inlineStr"/>
      <c r="K2701" t="inlineStr"/>
      <c r="L2701" t="inlineStr"/>
      <c r="M2701" t="inlineStr"/>
      <c r="N2701" t="inlineStr"/>
      <c r="O2701">
        <f>(1-Summary!$B$11)*S2701+Summary!$B$11*U2701</f>
        <v/>
      </c>
      <c r="P2701">
        <f>IF(B2733=0,0,O2701/B2733)</f>
        <v/>
      </c>
      <c r="Q2701">
        <f>IFERROR(1/IF(Inputs!$B$38="pvp",15,MAX(0.1,Skills!D4-IF(Skills!E4=TRUE,3.5,0))),0)</f>
        <v/>
      </c>
      <c r="R2701">
        <f>IF(AND(Inputs!$B$38&lt;&gt;"pvp",Inputs!$B$43&gt;0),IF(Inputs!$B$43&lt;=0,0,(INT(Inputs!$B$43/IF(Inputs!$B$38="pvp",15,MAX(0.1,Skills!D4-IF(Skills!E4=TRUE,3.5,0))))+1)),0)</f>
        <v/>
      </c>
      <c r="S2701" t="n">
        <v>0</v>
      </c>
      <c r="T2701">
        <f>290*T2700/1000</f>
        <v/>
      </c>
      <c r="U2701" t="n">
        <v>0</v>
      </c>
    </row>
    <row r="2702">
      <c r="A2702">
        <f>Skills!A5</f>
        <v/>
      </c>
      <c r="B2702">
        <f>Skills!B5</f>
        <v/>
      </c>
      <c r="C2702">
        <f>Inputs!$B$3&gt;=38</f>
        <v/>
      </c>
      <c r="D2702">
        <f>IF(Skills!C5=1,60+Inputs!$B$25+Inputs!$B$29,IF(Skills!C5=2,90+Inputs!$B$26+Inputs!$B$29,IF(Skills!C5=3,120+Inputs!$B$27+Inputs!$B$29,MAX(0,(Inputs!$B$3-100)*3)+Inputs!$B$28+Inputs!$B$29)))</f>
        <v/>
      </c>
      <c r="E2702">
        <f>INDEX(FactorTable!$B$2:$Y$301, MATCH(ROUND(MIN(300,MAX(1,D2702)),0), FactorTable!$A$2:$A$301,0), Skills!L5+1)</f>
        <v/>
      </c>
      <c r="F2702">
        <f>IF(Skills!M5=TRUE,(Skills!K5/10)*(E2702/1000),Skills!K5/10)+Skills!N5</f>
        <v/>
      </c>
      <c r="G2702">
        <f>Calc!G5</f>
        <v/>
      </c>
      <c r="H2702">
        <f>Calc!H5</f>
        <v/>
      </c>
      <c r="I2702">
        <f>IF(Skills!T5&lt;&gt;"",1+(Skills!T5/10)*(Z2700/1000)/100,1)</f>
        <v/>
      </c>
      <c r="J2702">
        <f>((Inputs!$B$6*(1+Inputs!$B$7/100))+(((Inputs!$B$12*(1+Inputs!$B$13/100))-(Inputs!$B$12*(1+Inputs!$B$13/100)))+0.25*(Inputs!$B$14-Inputs!$B$14))*(1+Inputs!$B$7/100))*(F2702/100)</f>
        <v/>
      </c>
      <c r="K2702">
        <f>J2702*(1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F2715-Calc!F18),(Inputs!$B$23+(IF(ArtifactsInput!$M$15,CHOOSE(ArtifactsInput!$N$15+1,25,30,35,40,45,50)/100*(Inputs!$B$11-Inputs!$B$11),0))))/100+(Inputs!$B$23+(IF(ArtifactsInput!$M$15,CHOOSE(ArtifactsInput!$N$15+1,25,30,35,40,45,50)/100*(Inputs!$B$11-Inputs!$B$11),0)))/100)/2</f>
        <v/>
      </c>
      <c r="M2702">
        <f>L2702*(1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(1-Summary!$B$11)*S2702+Summary!$B$11*U2702</f>
        <v/>
      </c>
      <c r="P2702">
        <f>IF(B2733=0,0,O2702/B2733)</f>
        <v/>
      </c>
      <c r="Q2702">
        <f>IFERROR(1/IF(Inputs!$B$38="pvp",15,MAX(0.1,Skills!D5-IF(Skills!E5=TRUE,3.5,0))),0)</f>
        <v/>
      </c>
      <c r="R2702">
        <f>IF(AND(Inputs!$B$38&lt;&gt;"pvp",Inputs!$B$43&gt;0),IF(MAX(0,Inputs!$B$43-B2730)&lt;=0,0,(INT(MAX(0,Inputs!$B$43-B2730)/IF(Inputs!$B$38="pvp",15,MAX(0.1,Skills!D5-IF(Skills!E5=TRUE,3.5,0))))+1)),0)</f>
        <v/>
      </c>
      <c r="S2702">
        <f>IF(C2702,(H2702*N2702*IF(AND(Inputs!$B$38&lt;&gt;"pvp",Inputs!$B$43&gt;0),((Skills!F5*((R2702-1)*IF(Skills!G5&gt;0,Skills!H5/Skills!G5,1)+IF(Skills!G5&gt;0,MIN(Skills!H5,MAX(0,MAX(0,Inputs!$B$43-B2730)-((R2702-1)*IF(Inputs!$B$38="pvp",15,MAX(0.1,Skills!D5-IF(Skills!E5=TRUE,3.5,0))))))/Skills!G5,1)))/Inputs!$B$43),G2702*Q2702))*IF(Inputs!$B$38="pvp",1,1+(Inputs!$B$20+Skills!O5+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2702*(1-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2">
        <f>IF(C2702,(H2702*N2702*IF(AND(Inputs!$B$38&lt;&gt;"pvp",Inputs!$B$43&gt;0),((Skills!F5*((R2702-1)*IF(Skills!G5&gt;0,Skills!H5/Skills!G5,1)+IF(Skills!G5&gt;0,MIN(Skills!H5,MAX(0,MAX(0,Inputs!$B$43-B2730)-((R2702-1)*IF(Inputs!$B$38="pvp",15,MAX(0.1,Skills!D5-IF(Skills!E5=TRUE,3.5,0))))))/Skills!G5,1)))/Inputs!$B$43),G2702*Q2702))*IF(Inputs!$B$38="pvp",1,(1+(Inputs!$B$21+Skills!P5+B2724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Skills!A6</f>
        <v/>
      </c>
      <c r="B2703">
        <f>Skills!B6</f>
        <v/>
      </c>
      <c r="C2703">
        <f>Inputs!$B$3&gt;=63</f>
        <v/>
      </c>
      <c r="D2703">
        <f>IF(Skills!C6=1,60+Inputs!$B$25+Inputs!$B$29,IF(Skills!C6=2,90+Inputs!$B$26+Inputs!$B$29,IF(Skills!C6=3,120+Inputs!$B$27+Inputs!$B$29,MAX(0,(Inputs!$B$3-100)*3)+Inputs!$B$28+Inputs!$B$29)))</f>
        <v/>
      </c>
      <c r="E2703">
        <f>INDEX(FactorTable!$B$2:$Y$301, MATCH(ROUND(MIN(300,MAX(1,D2703)),0), FactorTable!$A$2:$A$301,0), Skills!L6+1)</f>
        <v/>
      </c>
      <c r="F2703">
        <f>IF(Skills!M6=TRUE,(Skills!K6/10)*(E2703/1000),Skills!K6/10)+Skills!N6</f>
        <v/>
      </c>
      <c r="G2703">
        <f>Calc!G6</f>
        <v/>
      </c>
      <c r="H2703">
        <f>Calc!H6</f>
        <v/>
      </c>
      <c r="I2703">
        <f>IF(Skills!T6&lt;&gt;"",1+(Skills!T6/10)*(Z2700/1000)/100,1)</f>
        <v/>
      </c>
      <c r="J2703">
        <f>((Inputs!$B$6*(1+Inputs!$B$7/100))+(((Inputs!$B$12*(1+Inputs!$B$13/100))-(Inputs!$B$12*(1+Inputs!$B$13/100)))+0.25*(Inputs!$B$14-Inputs!$B$14))*(1+Inputs!$B$7/100))*(F2703/100)</f>
        <v/>
      </c>
      <c r="K2703">
        <f>J2703*(1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2703)</f>
        <v/>
      </c>
      <c r="L2703">
        <f>K2703*(MIN(Inputs!$B$22+(F2715-Calc!F18),(Inputs!$B$23+(IF(ArtifactsInput!$M$15,CHOOSE(ArtifactsInput!$N$15+1,25,30,35,40,45,50)/100*(Inputs!$B$11-Inputs!$B$11),0))))/100+(Inputs!$B$23+(IF(ArtifactsInput!$M$15,CHOOSE(ArtifactsInput!$N$15+1,25,30,35,40,45,50)/100*(Inputs!$B$11-Inputs!$B$11),0)))/100)/2</f>
        <v/>
      </c>
      <c r="M2703">
        <f>L2703*(1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3">
        <f>L2703*(1-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2703*(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3">
        <f>(1-Summary!$B$11)*S2703+Summary!$B$11*U2703</f>
        <v/>
      </c>
      <c r="P2703">
        <f>IF(B2733=0,0,O2703/B2733)</f>
        <v/>
      </c>
      <c r="Q2703">
        <f>IFERROR(1/IF(Inputs!$B$38="pvp",15,MAX(0.1,Skills!D6-IF(Skills!E6=TRUE,3.5,0))),0)</f>
        <v/>
      </c>
      <c r="R2703">
        <f>IF(AND(Inputs!$B$38&lt;&gt;"pvp",Inputs!$B$43&gt;0),IF(MAX(0,Inputs!$B$43-B2730)&lt;=0,0,(INT(MAX(0,Inputs!$B$43-B2730)/IF(Inputs!$B$38="pvp",15,MAX(0.1,Skills!D6-IF(Skills!E6=TRUE,3.5,0))))+1)),0)</f>
        <v/>
      </c>
      <c r="S2703">
        <f>IF(C2703,(H2703*N2703*IF(AND(Inputs!$B$38&lt;&gt;"pvp",Inputs!$B$43&gt;0),((Skills!F6*((R2703-1)*IF(Skills!G6&gt;0,Skills!H6/Skills!G6,1)+IF(Skills!G6&gt;0,MIN(Skills!H6,MAX(0,MAX(0,Inputs!$B$43-B2730)-((R2703-1)*IF(Inputs!$B$38="pvp",15,MAX(0.1,Skills!D6-IF(Skills!E6=TRUE,3.5,0))))))/Skills!G6,1)))/Inputs!$B$43),G2703*Q2703))*IF(Inputs!$B$38="pvp",1,1+(Inputs!$B$20+Skills!O6+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2703*(1-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2703*(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2703*(1-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2703*(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3">
        <f>IF(C2703,(H2703*N2703*IF(AND(Inputs!$B$38&lt;&gt;"pvp",Inputs!$B$43&gt;0),((Skills!F6*((R2703-1)*IF(Skills!G6&gt;0,Skills!H6/Skills!G6,1)+IF(Skills!G6&gt;0,MIN(Skills!H6,MAX(0,MAX(0,Inputs!$B$43-B2730)-((R2703-1)*IF(Inputs!$B$38="pvp",15,MAX(0.1,Skills!D6-IF(Skills!E6=TRUE,3.5,0))))))/Skills!G6,1)))/Inputs!$B$43),G2703*Q2703))*IF(Inputs!$B$38="pvp",1,(1+(Inputs!$B$21+Skills!P6+B2724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4">
      <c r="A2704">
        <f>Skills!A7</f>
        <v/>
      </c>
      <c r="B2704">
        <f>Skills!B7</f>
        <v/>
      </c>
      <c r="C2704">
        <f>Inputs!$B$3&gt;=69</f>
        <v/>
      </c>
      <c r="D2704">
        <f>IF(Skills!C7=1,60+Inputs!$B$25+Inputs!$B$29,IF(Skills!C7=2,90+Inputs!$B$26+Inputs!$B$29,IF(Skills!C7=3,120+Inputs!$B$27+Inputs!$B$29,MAX(0,(Inputs!$B$3-100)*3)+Inputs!$B$28+Inputs!$B$29)))</f>
        <v/>
      </c>
      <c r="E2704">
        <f>INDEX(FactorTable!$B$2:$Y$301, MATCH(ROUND(MIN(300,MAX(1,D2704)),0), FactorTable!$A$2:$A$301,0), Skills!L7+1)</f>
        <v/>
      </c>
      <c r="F2704">
        <f>IF(Skills!M7=TRUE,(Skills!K7/10)*(E2704/1000),Skills!K7/10)+Skills!N7</f>
        <v/>
      </c>
      <c r="G2704">
        <f>Calc!G7</f>
        <v/>
      </c>
      <c r="H2704">
        <f>Calc!H7</f>
        <v/>
      </c>
      <c r="I2704">
        <f>IF(Skills!T7&lt;&gt;"",1+(Skills!T7/10)*(Z2700/1000)/100,1)</f>
        <v/>
      </c>
      <c r="J2704">
        <f>((Inputs!$B$6*(1+Inputs!$B$7/100))+(((Inputs!$B$12*(1+Inputs!$B$13/100))-(Inputs!$B$12*(1+Inputs!$B$13/100)))+0.25*(Inputs!$B$14-Inputs!$B$14))*(1+Inputs!$B$7/100))*(F2704/100)</f>
        <v/>
      </c>
      <c r="K2704">
        <f>J2704*(1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F2715-Calc!F18),(Inputs!$B$23+(IF(ArtifactsInput!$M$15,CHOOSE(ArtifactsInput!$N$15+1,25,30,35,40,45,50)/100*(Inputs!$B$11-Inputs!$B$11),0))))/100+(Inputs!$B$23+(IF(ArtifactsInput!$M$15,CHOOSE(ArtifactsInput!$N$15+1,25,30,35,40,45,50)/100*(Inputs!$B$11-Inputs!$B$11),0)))/100)/2</f>
        <v/>
      </c>
      <c r="M2704">
        <f>L2704*(1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(1-Summary!$B$11)*S2704+Summary!$B$11*U2704</f>
        <v/>
      </c>
      <c r="P2704">
        <f>IF(B2733=0,0,O2704/B2733)</f>
        <v/>
      </c>
      <c r="Q2704">
        <f>IFERROR(1/IF(Inputs!$B$38="pvp",15,MAX(0.1,Skills!D7-IF(Skills!E7=TRUE,3.5,0))),0)</f>
        <v/>
      </c>
      <c r="R2704">
        <f>IF(AND(Inputs!$B$38&lt;&gt;"pvp",Inputs!$B$43&gt;0),IF(MAX(0,Inputs!$B$43-B2730)&lt;=0,0,(INT(MAX(0,Inputs!$B$43-B2730)/IF(Inputs!$B$38="pvp",15,MAX(0.1,Skills!D7-IF(Skills!E7=TRUE,3.5,0))))+1)),0)</f>
        <v/>
      </c>
      <c r="S2704">
        <f>IF(C2704,(H2704*N2704*IF(AND(Inputs!$B$38&lt;&gt;"pvp",Inputs!$B$43&gt;0),((Skills!F7*((R2704-1)*IF(Skills!G7&gt;0,Skills!H7/Skills!G7,1)+IF(Skills!G7&gt;0,MIN(Skills!H7,MAX(0,MAX(0,Inputs!$B$43-B2730)-((R2704-1)*IF(Inputs!$B$38="pvp",15,MAX(0.1,Skills!D7-IF(Skills!E7=TRUE,3.5,0))))))/Skills!G7,1)))/Inputs!$B$43),G2704*Q2704))*IF(Inputs!$B$38="pvp",1,1+(Inputs!$B$20+Skills!O7+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2704*(1-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4">
        <f>IF(C2704,(H2704*N2704*IF(AND(Inputs!$B$38&lt;&gt;"pvp",Inputs!$B$43&gt;0),((Skills!F7*((R2704-1)*IF(Skills!G7&gt;0,Skills!H7/Skills!G7,1)+IF(Skills!G7&gt;0,MIN(Skills!H7,MAX(0,MAX(0,Inputs!$B$43-B2730)-((R2704-1)*IF(Inputs!$B$38="pvp",15,MAX(0.1,Skills!D7-IF(Skills!E7=TRUE,3.5,0))))))/Skills!G7,1)))/Inputs!$B$43),G2704*Q2704))*IF(Inputs!$B$38="pvp",1,(1+(Inputs!$B$21+Skills!P7+B2724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Skills!A8</f>
        <v/>
      </c>
      <c r="B2705">
        <f>Skills!B8</f>
        <v/>
      </c>
      <c r="C2705">
        <f>Inputs!$B$3&gt;=103</f>
        <v/>
      </c>
      <c r="D2705">
        <f>IF(Skills!C8=1,60+Inputs!$B$25+Inputs!$B$29,IF(Skills!C8=2,90+Inputs!$B$26+Inputs!$B$29,IF(Skills!C8=3,120+Inputs!$B$27+Inputs!$B$29,MAX(0,(Inputs!$B$3-100)*3)+Inputs!$B$28+Inputs!$B$29)))</f>
        <v/>
      </c>
      <c r="E2705">
        <f>INDEX(FactorTable!$B$2:$Y$301, MATCH(ROUND(MIN(300,MAX(1,D2705)),0), FactorTable!$A$2:$A$301,0), Skills!L8+1)</f>
        <v/>
      </c>
      <c r="F2705">
        <f>IF(Skills!M8=TRUE,(Skills!K8/10)*(E2705/1000),Skills!K8/10)+Skills!N8</f>
        <v/>
      </c>
      <c r="G2705">
        <f>Calc!G8</f>
        <v/>
      </c>
      <c r="H2705">
        <f>Calc!H8</f>
        <v/>
      </c>
      <c r="I2705">
        <f>IF(Skills!T8&lt;&gt;"",1+(Skills!T8/10)*(Z2700/1000)/100,1)</f>
        <v/>
      </c>
      <c r="J2705">
        <f>((Inputs!$B$6*(1+Inputs!$B$7/100))+(((Inputs!$B$12*(1+Inputs!$B$13/100))-(Inputs!$B$12*(1+Inputs!$B$13/100)))+0.25*(Inputs!$B$14-Inputs!$B$14))*(1+Inputs!$B$7/100))*(F2705/100)</f>
        <v/>
      </c>
      <c r="K2705">
        <f>J2705*(1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F2715-Calc!F18),(Inputs!$B$23+(IF(ArtifactsInput!$M$15,CHOOSE(ArtifactsInput!$N$15+1,25,30,35,40,45,50)/100*(Inputs!$B$11-Inputs!$B$11),0))))/100+(Inputs!$B$23+(IF(ArtifactsInput!$M$15,CHOOSE(ArtifactsInput!$N$15+1,25,30,35,40,45,50)/100*(Inputs!$B$11-Inputs!$B$11),0)))/100)/2</f>
        <v/>
      </c>
      <c r="M2705">
        <f>L2705*(1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(1-Summary!$B$11)*S2705+Summary!$B$11*U2705</f>
        <v/>
      </c>
      <c r="P2705">
        <f>IF(B2733=0,0,O2705/B2733)</f>
        <v/>
      </c>
      <c r="Q2705">
        <f>IFERROR(1/IF(Inputs!$B$38="pvp",15,MAX(0.1,Skills!D8-IF(Skills!E8=TRUE,3.5,0))),0)</f>
        <v/>
      </c>
      <c r="R2705">
        <f>IF(AND(Inputs!$B$38&lt;&gt;"pvp",Inputs!$B$43&gt;0),IF(MAX(0,Inputs!$B$43-B2730)&lt;=0,0,(INT(MAX(0,Inputs!$B$43-B2730)/IF(Inputs!$B$38="pvp",15,MAX(0.1,Skills!D8-IF(Skills!E8=TRUE,3.5,0))))+1)),0)</f>
        <v/>
      </c>
      <c r="S2705">
        <f>IF(C2705,(H2705*N2705*IF(AND(Inputs!$B$38&lt;&gt;"pvp",Inputs!$B$43&gt;0),((Skills!F8*((R2705-1)*IF(Skills!G8&gt;0,Skills!H8/Skills!G8,1)+IF(Skills!G8&gt;0,MIN(Skills!H8,MAX(0,MAX(0,Inputs!$B$43-B2730)-((R2705-1)*IF(Inputs!$B$38="pvp",15,MAX(0.1,Skills!D8-IF(Skills!E8=TRUE,3.5,0))))))/Skills!G8,1)))/Inputs!$B$43),G2705*Q2705))*IF(Inputs!$B$38="pvp",1,1+(Inputs!$B$20+Skills!O8+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2705*(1-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5">
        <f>IF(C2705,(H2705*N2705*IF(AND(Inputs!$B$38&lt;&gt;"pvp",Inputs!$B$43&gt;0),((Skills!F8*((R2705-1)*IF(Skills!G8&gt;0,Skills!H8/Skills!G8,1)+IF(Skills!G8&gt;0,MIN(Skills!H8,MAX(0,MAX(0,Inputs!$B$43-B2730)-((R2705-1)*IF(Inputs!$B$38="pvp",15,MAX(0.1,Skills!D8-IF(Skills!E8=TRUE,3.5,0))))))/Skills!G8,1)))/Inputs!$B$43),G2705*Q2705))*IF(Inputs!$B$38="pvp",1,(1+(Inputs!$B$21+Skills!P8+B2724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Skills!A9</f>
        <v/>
      </c>
      <c r="B2706">
        <f>Skills!B9</f>
        <v/>
      </c>
      <c r="C2706">
        <f>Inputs!$B$3&gt;=105</f>
        <v/>
      </c>
      <c r="D2706">
        <f>IF(Skills!C9=1,60+Inputs!$B$25+Inputs!$B$29,IF(Skills!C9=2,90+Inputs!$B$26+Inputs!$B$29,IF(Skills!C9=3,120+Inputs!$B$27+Inputs!$B$29,MAX(0,(Inputs!$B$3-100)*3)+Inputs!$B$28+Inputs!$B$29)))</f>
        <v/>
      </c>
      <c r="E2706">
        <f>INDEX(FactorTable!$B$2:$Y$301, MATCH(ROUND(MIN(300,MAX(1,D2706)),0), FactorTable!$A$2:$A$301,0), Skills!L9+1)</f>
        <v/>
      </c>
      <c r="F2706">
        <f>IF(Skills!M9=TRUE,(Skills!K9/10)*(E2706/1000),Skills!K9/10)+Skills!N9</f>
        <v/>
      </c>
      <c r="G2706">
        <f>Calc!G9</f>
        <v/>
      </c>
      <c r="H2706">
        <f>Calc!H9</f>
        <v/>
      </c>
      <c r="I2706">
        <f>IF(Skills!T9&lt;&gt;"",1+(Skills!T9/10)*(Z2700/1000)/100,1)</f>
        <v/>
      </c>
      <c r="J2706">
        <f>((Inputs!$B$6*(1+Inputs!$B$7/100))+(((Inputs!$B$12*(1+Inputs!$B$13/100))-(Inputs!$B$12*(1+Inputs!$B$13/100)))+0.25*(Inputs!$B$14-Inputs!$B$14))*(1+Inputs!$B$7/100))*(F2706/100)</f>
        <v/>
      </c>
      <c r="K2706">
        <f>J2706*(1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F2715-Calc!F18),(Inputs!$B$23+(IF(ArtifactsInput!$M$15,CHOOSE(ArtifactsInput!$N$15+1,25,30,35,40,45,50)/100*(Inputs!$B$11-Inputs!$B$11),0))))/100+(Inputs!$B$23+(IF(ArtifactsInput!$M$15,CHOOSE(ArtifactsInput!$N$15+1,25,30,35,40,45,50)/100*(Inputs!$B$11-Inputs!$B$11),0)))/100)/2</f>
        <v/>
      </c>
      <c r="M2706">
        <f>L2706*(1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(1-Summary!$B$11)*S2706+Summary!$B$11*U2706</f>
        <v/>
      </c>
      <c r="P2706">
        <f>IF(B2733=0,0,O2706/B2733)</f>
        <v/>
      </c>
      <c r="Q2706">
        <f>IFERROR(1/IF(Inputs!$B$38="pvp",15,MAX(0.1,Skills!D9-IF(Skills!E9=TRUE,3.5,0))),0)</f>
        <v/>
      </c>
      <c r="R2706">
        <f>IF(AND(Inputs!$B$38&lt;&gt;"pvp",Inputs!$B$43&gt;0),IF(MAX(0,Inputs!$B$43-B2730)&lt;=0,0,(INT(MAX(0,Inputs!$B$43-B2730)/IF(Inputs!$B$38="pvp",15,MAX(0.1,Skills!D9-IF(Skills!E9=TRUE,3.5,0))))+1)),0)</f>
        <v/>
      </c>
      <c r="S2706">
        <f>IF(C2706,(H2706*N2706*IF(AND(Inputs!$B$38&lt;&gt;"pvp",Inputs!$B$43&gt;0),((Skills!F9*((R2706-1)*IF(Skills!G9&gt;0,Skills!H9/Skills!G9,1)+IF(Skills!G9&gt;0,MIN(Skills!H9,MAX(0,MAX(0,Inputs!$B$43-B2730)-((R2706-1)*IF(Inputs!$B$38="pvp",15,MAX(0.1,Skills!D9-IF(Skills!E9=TRUE,3.5,0))))))/Skills!G9,1)))/Inputs!$B$43),G2706*Q2706))*IF(Inputs!$B$38="pvp",1,1+(Inputs!$B$20+Skills!O9+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2706*(1-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6">
        <f>IF(C2706,(H2706*N2706*IF(AND(Inputs!$B$38&lt;&gt;"pvp",Inputs!$B$43&gt;0),((Skills!F9*((R2706-1)*IF(Skills!G9&gt;0,Skills!H9/Skills!G9,1)+IF(Skills!G9&gt;0,MIN(Skills!H9,MAX(0,MAX(0,Inputs!$B$43-B2730)-((R2706-1)*IF(Inputs!$B$38="pvp",15,MAX(0.1,Skills!D9-IF(Skills!E9=TRUE,3.5,0))))))/Skills!G9,1)))/Inputs!$B$43),G2706*Q2706))*IF(Inputs!$B$38="pvp",1,(1+(Inputs!$B$21+Skills!P9+B2724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Skills!A10</f>
        <v/>
      </c>
      <c r="B2707">
        <f>Skills!B10</f>
        <v/>
      </c>
      <c r="C2707">
        <f>Inputs!$B$3&gt;=113</f>
        <v/>
      </c>
      <c r="D2707">
        <f>IF(Skills!C10=1,60+Inputs!$B$25+Inputs!$B$29,IF(Skills!C10=2,90+Inputs!$B$26+Inputs!$B$29,IF(Skills!C10=3,120+Inputs!$B$27+Inputs!$B$29,MAX(0,(Inputs!$B$3-100)*3)+Inputs!$B$28+Inputs!$B$29)))</f>
        <v/>
      </c>
      <c r="E2707">
        <f>INDEX(FactorTable!$B$2:$Y$301, MATCH(ROUND(MIN(300,MAX(1,D2707)),0), FactorTable!$A$2:$A$301,0), Skills!L10+1)</f>
        <v/>
      </c>
      <c r="F2707">
        <f>IF(Skills!M10=TRUE,(Skills!K10/10)*(E2707/1000),Skills!K10/10)+Skills!N10</f>
        <v/>
      </c>
      <c r="G2707">
        <f>Calc!G10</f>
        <v/>
      </c>
      <c r="H2707">
        <f>Calc!H10</f>
        <v/>
      </c>
      <c r="I2707">
        <f>IF(Skills!T10&lt;&gt;"",1+(Skills!T10/10)*(Z2700/1000)/100,1)</f>
        <v/>
      </c>
      <c r="J2707">
        <f>((Inputs!$B$6*(1+Inputs!$B$7/100))+(((Inputs!$B$12*(1+Inputs!$B$13/100))-(Inputs!$B$12*(1+Inputs!$B$13/100)))+0.25*(Inputs!$B$14-Inputs!$B$14))*(1+Inputs!$B$7/100))*(F2707/100)</f>
        <v/>
      </c>
      <c r="K2707">
        <f>J2707*(1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F2715-Calc!F18),(Inputs!$B$23+(IF(ArtifactsInput!$M$15,CHOOSE(ArtifactsInput!$N$15+1,25,30,35,40,45,50)/100*(Inputs!$B$11-Inputs!$B$11),0))))/100+(Inputs!$B$23+(IF(ArtifactsInput!$M$15,CHOOSE(ArtifactsInput!$N$15+1,25,30,35,40,45,50)/100*(Inputs!$B$11-Inputs!$B$11),0)))/100)/2</f>
        <v/>
      </c>
      <c r="M2707">
        <f>L2707*(1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(1-Summary!$B$11)*S2707+Summary!$B$11*U2707</f>
        <v/>
      </c>
      <c r="P2707">
        <f>IF(B2733=0,0,O2707/B2733)</f>
        <v/>
      </c>
      <c r="Q2707">
        <f>IFERROR(1/IF(Inputs!$B$38="pvp",15,MAX(0.1,Skills!D10-IF(Skills!E9=TRUE,3.5,0))),0)</f>
        <v/>
      </c>
      <c r="R2707">
        <f>IF(AND(Inputs!$B$38&lt;&gt;"pvp",Inputs!$B$43&gt;0),IF(MAX(0,Inputs!$B$43-B2730)&lt;=0,0,(INT(MAX(0,Inputs!$B$43-B2730)/IF(Inputs!$B$38="pvp",15,MAX(0.1,Skills!D10-IF(Skills!E9=TRUE,3.5,0))))+1)),0)</f>
        <v/>
      </c>
      <c r="S2707">
        <f>IF(C2707,(H2707*N2707*IF(AND(Inputs!$B$38&lt;&gt;"pvp",Inputs!$B$43&gt;0),((Skills!F10*((R2707-1)*IF(Skills!G10&gt;0,Skills!H10/Skills!G10,1)+IF(Skills!G10&gt;0,MIN(Skills!H10,MAX(0,MAX(0,Inputs!$B$43-B2730)-((R2707-1)*IF(Inputs!$B$38="pvp",15,MAX(0.1,Skills!D10-IF(Skills!E9=TRUE,3.5,0))))))/Skills!G10,1)))/Inputs!$B$43),G2707*Q2707))*IF(Inputs!$B$38="pvp",1,1+(Inputs!$B$20+Skills!O10+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2707*(1-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7">
        <f>IF(C2707,(H2707*N2707*IF(AND(Inputs!$B$38&lt;&gt;"pvp",Inputs!$B$43&gt;0),((Skills!F10*((R2707-1)*IF(Skills!G10&gt;0,Skills!H10/Skills!G10,1)+IF(Skills!G10&gt;0,MIN(Skills!H10,MAX(0,MAX(0,Inputs!$B$43-B2730)-((R2707-1)*IF(Inputs!$B$38="pvp",15,MAX(0.1,Skills!D10-IF(Skills!E9=TRUE,3.5,0))))))/Skills!G10,1)))/Inputs!$B$43),G2707*Q2707))*IF(Inputs!$B$38="pvp",1,(1+(Inputs!$B$21+Skills!P10+B2724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Skills!A11</f>
        <v/>
      </c>
      <c r="B2708">
        <f>Skills!B11</f>
        <v/>
      </c>
      <c r="C2708">
        <f>Inputs!$B$3&gt;=107</f>
        <v/>
      </c>
      <c r="D2708">
        <f>IF(Skills!C11=1,60+Inputs!$B$25+Inputs!$B$29,IF(Skills!C11=2,90+Inputs!$B$26+Inputs!$B$29,IF(Skills!C11=3,120+Inputs!$B$27+Inputs!$B$29,MAX(0,(Inputs!$B$3-100)*3)+Inputs!$B$28+Inputs!$B$29)))</f>
        <v/>
      </c>
      <c r="E2708">
        <f>INDEX(FactorTable!$B$2:$Y$301, MATCH(ROUND(MIN(300,MAX(1,D2708)),0), FactorTable!$A$2:$A$301,0), Skills!L11+1)</f>
        <v/>
      </c>
      <c r="F2708">
        <f>IF(Skills!M11=TRUE,(Skills!K11/10)*(E2708/1000),Skills!K11/10)+Skills!N11</f>
        <v/>
      </c>
      <c r="G2708">
        <f>Calc!G11</f>
        <v/>
      </c>
      <c r="H2708">
        <f>Calc!H11</f>
        <v/>
      </c>
      <c r="I2708">
        <f>IF(Skills!T11&lt;&gt;"",1+(Skills!T11/10)*(Z2700/1000)/100,1)</f>
        <v/>
      </c>
      <c r="J2708">
        <f>((Inputs!$B$6*(1+Inputs!$B$7/100))+(((Inputs!$B$12*(1+Inputs!$B$13/100))-(Inputs!$B$12*(1+Inputs!$B$13/100)))+0.25*(Inputs!$B$14-Inputs!$B$14))*(1+Inputs!$B$7/100))*(F2708/100)</f>
        <v/>
      </c>
      <c r="K2708">
        <f>J2708*(1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F2715-Calc!F18),(Inputs!$B$23+(IF(ArtifactsInput!$M$15,CHOOSE(ArtifactsInput!$N$15+1,25,30,35,40,45,50)/100*(Inputs!$B$11-Inputs!$B$11),0))))/100+(Inputs!$B$23+(IF(ArtifactsInput!$M$15,CHOOSE(ArtifactsInput!$N$15+1,25,30,35,40,45,50)/100*(Inputs!$B$11-Inputs!$B$11),0)))/100)/2</f>
        <v/>
      </c>
      <c r="M2708">
        <f>L2708*(1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(1-Summary!$B$11)*S2708+Summary!$B$11*U2708</f>
        <v/>
      </c>
      <c r="P2708">
        <f>IF(B2733=0,0,O2708/B2733)</f>
        <v/>
      </c>
      <c r="Q2708">
        <f>IFERROR(1/IF(Inputs!$B$38="pvp",15,MAX(0.1,Skills!D11-IF(Skills!E11=TRUE,3.5,0))),0)</f>
        <v/>
      </c>
      <c r="R2708">
        <f>IF(AND(Inputs!$B$38&lt;&gt;"pvp",Inputs!$B$43&gt;0),IF(MAX(0,Inputs!$B$43-B2730)&lt;=0,0,(INT(MAX(0,Inputs!$B$43-B2730)/IF(Inputs!$B$38="pvp",15,MAX(0.1,Skills!D11-IF(Skills!E11=TRUE,3.5,0))))+1)),0)</f>
        <v/>
      </c>
      <c r="S2708">
        <f>IF(C2708,H2708*N2708*IF(AND(Inputs!$B$38&lt;&gt;"pvp",Inputs!$B$43&gt;0),((Skills!F11*((R2708-1)*IF(Skills!G11&gt;0,Skills!H11/Skills!G11,1)+IF(Skills!G11&gt;0,MIN(Skills!H11,MAX(0,MAX(0,Inputs!$B$43-B2730)-((R2708-1)*IF(Inputs!$B$38="pvp",15,MAX(0.1,Skills!D11-IF(Skills!E11=TRUE,3.5,0))))))/Skills!G11,1)))/Inputs!$B$43),G2708*Q2708)*0.5*IF(Inputs!$B$38="pvp",1,1+(Inputs!$B$20+Skills!O11+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2708*(1-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8">
        <f>IF(C2708,H2708*N2708*IF(AND(Inputs!$B$38&lt;&gt;"pvp",Inputs!$B$43&gt;0),((Skills!F11*((R2708-1)*IF(Skills!G11&gt;0,Skills!H11/Skills!G11,1)+IF(Skills!G11&gt;0,MIN(Skills!H11,MAX(0,MAX(0,Inputs!$B$43-B2730)-((R2708-1)*IF(Inputs!$B$38="pvp",15,MAX(0.1,Skills!D11-IF(Skills!E11=TRUE,3.5,0))))))/Skills!G11,1)))/Inputs!$B$43),G2708*Q2708)*1*IF(Inputs!$B$38="pvp",1,(1+(Inputs!$B$21+Skills!P11+B2724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Skills!A12</f>
        <v/>
      </c>
      <c r="B2709">
        <f>Skills!B12</f>
        <v/>
      </c>
      <c r="C2709">
        <f>Inputs!$B$3&gt;=115</f>
        <v/>
      </c>
      <c r="D2709">
        <f>IF(Skills!C12=1,60+Inputs!$B$25+Inputs!$B$29,IF(Skills!C12=2,90+Inputs!$B$26+Inputs!$B$29,IF(Skills!C12=3,120+Inputs!$B$27+Inputs!$B$29,MAX(0,(Inputs!$B$3-100)*3)+Inputs!$B$28+Inputs!$B$29)))</f>
        <v/>
      </c>
      <c r="E2709">
        <f>INDEX(FactorTable!$B$2:$Y$301, MATCH(ROUND(MIN(300,MAX(1,D2709)),0), FactorTable!$A$2:$A$301,0), Skills!L12+1)</f>
        <v/>
      </c>
      <c r="F2709">
        <f>IF(Skills!M12=TRUE,(Skills!K12/10)*(E2709/1000),Skills!K12/10)+Skills!N12</f>
        <v/>
      </c>
      <c r="G2709">
        <f>Calc!G12</f>
        <v/>
      </c>
      <c r="H2709">
        <f>Calc!H12</f>
        <v/>
      </c>
      <c r="I2709">
        <f>IF(Skills!T12&lt;&gt;"",1+(Skills!T12/10)*(Z2700/1000)/100,1)</f>
        <v/>
      </c>
      <c r="J2709">
        <f>((Inputs!$B$6*(1+Inputs!$B$7/100))+(((Inputs!$B$12*(1+Inputs!$B$13/100))-(Inputs!$B$12*(1+Inputs!$B$13/100)))+0.25*(Inputs!$B$14-Inputs!$B$14))*(1+Inputs!$B$7/100))*(F2709/100)</f>
        <v/>
      </c>
      <c r="K2709">
        <f>J2709*(1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F2715-Calc!F18),(Inputs!$B$23+(IF(ArtifactsInput!$M$15,CHOOSE(ArtifactsInput!$N$15+1,25,30,35,40,45,50)/100*(Inputs!$B$11-Inputs!$B$11),0))))/100+(Inputs!$B$23+(IF(ArtifactsInput!$M$15,CHOOSE(ArtifactsInput!$N$15+1,25,30,35,40,45,50)/100*(Inputs!$B$11-Inputs!$B$11),0)))/100)/2</f>
        <v/>
      </c>
      <c r="M2709">
        <f>L2709*(1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(1-Summary!$B$11)*S2709+Summary!$B$11*U2709</f>
        <v/>
      </c>
      <c r="P2709">
        <f>IF(B2733=0,0,O2709/B2733)</f>
        <v/>
      </c>
      <c r="Q2709">
        <f>IFERROR(1/IF(Inputs!$B$38="pvp",15,MAX(0.1,Skills!D12-IF(Skills!E12=TRUE,3.5,0))),0)</f>
        <v/>
      </c>
      <c r="R2709">
        <f>IF(AND(Inputs!$B$38&lt;&gt;"pvp",Inputs!$B$43&gt;0),IF(MAX(0,Inputs!$B$43-B2730)&lt;=0,0,(INT(MAX(0,Inputs!$B$43-B2730)/IF(Inputs!$B$38="pvp",15,MAX(0.1,Skills!D12-IF(Skills!E12=TRUE,3.5,0))))+1)),0)</f>
        <v/>
      </c>
      <c r="S2709">
        <f>IF(C2709,(H2709*N2709*IF(AND(Inputs!$B$38&lt;&gt;"pvp",Inputs!$B$43&gt;0),((Skills!F12*((R2709-1)*IF(Skills!G12&gt;0,Skills!H12/Skills!G12,1)+IF(Skills!G12&gt;0,MIN(Skills!H12,MAX(0,MAX(0,Inputs!$B$43-B2730)-((R2709-1)*IF(Inputs!$B$38="pvp",15,MAX(0.1,Skills!D12-IF(Skills!E12=TRUE,3.5,0))))))/Skills!G12,1)))/Inputs!$B$43),G2709*Q2709))*IF(Inputs!$B$38="pvp",1,1+(Inputs!$B$20+Skills!O12+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9">
        <f>IF(C2709,(H2709*N2709*IF(AND(Inputs!$B$38&lt;&gt;"pvp",Inputs!$B$43&gt;0),((Skills!F12*((R2709-1)*IF(Skills!G12&gt;0,Skills!H12/Skills!G12,1)+IF(Skills!G12&gt;0,MIN(Skills!H12,MAX(0,MAX(0,Inputs!$B$43-B2730)-((R2709-1)*IF(Inputs!$B$38="pvp",15,MAX(0.1,Skills!D12-IF(Skills!E12=TRUE,3.5,0))))))/Skills!G12,1)))/Inputs!$B$43),G2709*Q2709))*IF(Inputs!$B$38="pvp",1,(1+(Inputs!$B$21+Skills!P12+B2724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Skills!A13</f>
        <v/>
      </c>
      <c r="B2710">
        <f>Skills!B13</f>
        <v/>
      </c>
      <c r="C2710">
        <f>Inputs!$B$3&gt;=49</f>
        <v/>
      </c>
      <c r="D2710">
        <f>IF(Skills!C13=1,60+Inputs!$B$25+Inputs!$B$29,IF(Skills!C13=2,90+Inputs!$B$26+Inputs!$B$29,IF(Skills!C13=3,120+Inputs!$B$27+Inputs!$B$29,MAX(0,(Inputs!$B$3-100)*3)+Inputs!$B$28+Inputs!$B$29)))</f>
        <v/>
      </c>
      <c r="E2710">
        <f>INDEX(FactorTable!$B$2:$Y$301, MATCH(ROUND(MIN(300,MAX(1,D2710)),0), FactorTable!$A$2:$A$301,0), Skills!L13+1)</f>
        <v/>
      </c>
      <c r="F2710">
        <f>IF(Skills!M13=TRUE,(Skills!K13/10)*(E2710/1000),Skills!K13/10)+Skills!N13</f>
        <v/>
      </c>
      <c r="G2710">
        <f>Calc!G13</f>
        <v/>
      </c>
      <c r="H2710">
        <f>Calc!H13</f>
        <v/>
      </c>
      <c r="I2710">
        <f>IF(Skills!T13&lt;&gt;"",1+(Skills!T13/10)*(Z2700/1000)/100,1)</f>
        <v/>
      </c>
      <c r="J2710" t="inlineStr"/>
      <c r="K2710" t="inlineStr"/>
      <c r="L2710" t="inlineStr"/>
      <c r="M2710" t="inlineStr"/>
      <c r="N2710" t="inlineStr"/>
      <c r="O2710">
        <f>(1-Summary!$B$11)*S2710+Summary!$B$11*U2710</f>
        <v/>
      </c>
      <c r="P2710">
        <f>IF(B2733=0,0,O2710/B2733)</f>
        <v/>
      </c>
      <c r="Q2710">
        <f>IFERROR(1/IF(Inputs!$B$38="pvp",15,MAX(0.1,Skills!D13-IF(Skills!E13=TRUE,3.5,0))),0)</f>
        <v/>
      </c>
      <c r="R2710" t="n">
        <v>0</v>
      </c>
      <c r="S2710" t="n">
        <v>0</v>
      </c>
      <c r="U2710" t="n">
        <v>0</v>
      </c>
    </row>
    <row r="2711">
      <c r="A2711">
        <f>Skills!A14</f>
        <v/>
      </c>
      <c r="B2711">
        <f>Skills!B14</f>
        <v/>
      </c>
      <c r="C2711">
        <f>Inputs!$B$3&gt;=72</f>
        <v/>
      </c>
      <c r="D2711">
        <f>IF(Skills!C14=1,60+Inputs!$B$25+Inputs!$B$29,IF(Skills!C14=2,90+Inputs!$B$26+Inputs!$B$29,IF(Skills!C14=3,120+Inputs!$B$27+Inputs!$B$29,MAX(0,(Inputs!$B$3-100)*3)+Inputs!$B$28+Inputs!$B$29)))</f>
        <v/>
      </c>
      <c r="E2711">
        <f>INDEX(FactorTable!$B$2:$Y$301, MATCH(ROUND(MIN(300,MAX(1,D2711)),0), FactorTable!$A$2:$A$301,0), Skills!L14+1)</f>
        <v/>
      </c>
      <c r="F2711">
        <f>IF(Skills!M14=TRUE,(Skills!K14/10)*(E2711/1000),Skills!K14/10)+Skills!N14</f>
        <v/>
      </c>
      <c r="G2711">
        <f>Calc!G14</f>
        <v/>
      </c>
      <c r="H2711">
        <f>Calc!H14</f>
        <v/>
      </c>
      <c r="I2711">
        <f>IF(Skills!T14&lt;&gt;"",1+(Skills!T14/10)*(Z2700/1000)/100,1)</f>
        <v/>
      </c>
      <c r="J2711" t="inlineStr"/>
      <c r="K2711" t="inlineStr"/>
      <c r="L2711" t="inlineStr"/>
      <c r="M2711" t="inlineStr"/>
      <c r="N2711" t="inlineStr"/>
      <c r="O2711">
        <f>(1-Summary!$B$11)*S2711+Summary!$B$11*U2711</f>
        <v/>
      </c>
      <c r="P2711">
        <f>IF(B2733=0,0,O2711/B2733)</f>
        <v/>
      </c>
      <c r="Q2711">
        <f>IFERROR(1/IF(Inputs!$B$38="pvp",15,MAX(0.1,Skills!D14-IF(Skills!E14=TRUE,3.5,0))),0)</f>
        <v/>
      </c>
      <c r="R2711" t="n">
        <v>0</v>
      </c>
      <c r="S2711" t="n">
        <v>0</v>
      </c>
      <c r="U2711" t="n">
        <v>0</v>
      </c>
    </row>
    <row r="2712">
      <c r="A2712">
        <f>Skills!A15</f>
        <v/>
      </c>
      <c r="B2712">
        <f>Skills!B15</f>
        <v/>
      </c>
      <c r="C2712">
        <f>Inputs!$B$3&gt;=75</f>
        <v/>
      </c>
      <c r="D2712">
        <f>IF(Skills!C15=1,60+Inputs!$B$25+Inputs!$B$29,IF(Skills!C15=2,90+Inputs!$B$26+Inputs!$B$29,IF(Skills!C15=3,120+Inputs!$B$27+Inputs!$B$29,MAX(0,(Inputs!$B$3-100)*3)+Inputs!$B$28+Inputs!$B$29)))</f>
        <v/>
      </c>
      <c r="E2712">
        <f>INDEX(FactorTable!$B$2:$Y$301, MATCH(ROUND(MIN(300,MAX(1,D2712)),0), FactorTable!$A$2:$A$301,0), Skills!L15+1)</f>
        <v/>
      </c>
      <c r="F2712">
        <f>IF(Skills!M15=TRUE,(Skills!K15/10)*(E2712/1000),Skills!K15/10)+Skills!N15</f>
        <v/>
      </c>
      <c r="G2712">
        <f>Calc!G15</f>
        <v/>
      </c>
      <c r="H2712">
        <f>Calc!H15</f>
        <v/>
      </c>
      <c r="I2712">
        <f>IF(Skills!T15&lt;&gt;"",1+(Skills!T15/10)*(Z2700/1000)/100,1)</f>
        <v/>
      </c>
      <c r="J2712" t="inlineStr"/>
      <c r="K2712" t="inlineStr"/>
      <c r="L2712" t="inlineStr"/>
      <c r="M2712" t="inlineStr"/>
      <c r="N2712" t="inlineStr"/>
      <c r="O2712">
        <f>(1-Summary!$B$11)*S2712+Summary!$B$11*U2712</f>
        <v/>
      </c>
      <c r="P2712">
        <f>IF(B2733=0,0,O2712/B2733)</f>
        <v/>
      </c>
      <c r="Q2712">
        <f>IFERROR(1/IF(Inputs!$B$38="pvp",15,MAX(0.1,Skills!D15-IF(Skills!E15=TRUE,3.5,0))),0)</f>
        <v/>
      </c>
      <c r="R2712" t="n">
        <v>0</v>
      </c>
      <c r="S2712" t="n">
        <v>0</v>
      </c>
      <c r="U2712" t="n">
        <v>0</v>
      </c>
    </row>
    <row r="2713">
      <c r="A2713">
        <f>Skills!A16</f>
        <v/>
      </c>
      <c r="B2713">
        <f>Skills!B16</f>
        <v/>
      </c>
      <c r="C2713">
        <f>Inputs!$B$3&gt;=110</f>
        <v/>
      </c>
      <c r="D2713">
        <f>IF(Skills!C16=1,60+Inputs!$B$25+Inputs!$B$29,IF(Skills!C16=2,90+Inputs!$B$26+Inputs!$B$29,IF(Skills!C16=3,120+Inputs!$B$27+Inputs!$B$29,MAX(0,(Inputs!$B$3-100)*3)+Inputs!$B$28+Inputs!$B$29)))</f>
        <v/>
      </c>
      <c r="E2713">
        <f>INDEX(FactorTable!$B$2:$Y$301, MATCH(ROUND(MIN(300,MAX(1,D2713)),0), FactorTable!$A$2:$A$301,0), Skills!L16+1)</f>
        <v/>
      </c>
      <c r="F2713">
        <f>(Skills!K16/10)*(E2713/1000)*64/45+Skills!N16</f>
        <v/>
      </c>
      <c r="G2713">
        <f>Calc!G16</f>
        <v/>
      </c>
      <c r="H2713">
        <f>Calc!H16</f>
        <v/>
      </c>
      <c r="I2713">
        <f>IF(Skills!T16&lt;&gt;"",1+(Skills!T16/10)*(Z2700/1000)/100,1)</f>
        <v/>
      </c>
      <c r="J2713" t="inlineStr"/>
      <c r="K2713" t="inlineStr"/>
      <c r="L2713" t="inlineStr"/>
      <c r="M2713" t="inlineStr"/>
      <c r="N2713" t="inlineStr"/>
      <c r="O2713">
        <f>(1-Summary!$B$11)*S2713+Summary!$B$11*U2713</f>
        <v/>
      </c>
      <c r="P2713">
        <f>IF(B2733=0,0,O2713/B2733)</f>
        <v/>
      </c>
      <c r="Q2713">
        <f>IFERROR(1/IF(Inputs!$B$38="pvp",15,MAX(0.1,Skills!D16-IF(Skills!E16=TRUE,3.5,0))),0)</f>
        <v/>
      </c>
      <c r="R2713">
        <f>IF(AND(Inputs!$B$38&lt;&gt;"pvp",Inputs!$B$43&gt;0),IF(Inputs!$B$43&lt;=0,0,(INT(Inputs!$B$43/IF(Inputs!$B$38="pvp",15,MAX(0.1,Skills!D16-IF(Skills!E16=TRUE,3.5,0))))+1)),0)</f>
        <v/>
      </c>
      <c r="S2713" t="n">
        <v>0</v>
      </c>
      <c r="U2713" t="n">
        <v>0</v>
      </c>
    </row>
    <row r="2714">
      <c r="A2714">
        <f>Skills!A17</f>
        <v/>
      </c>
      <c r="B2714">
        <f>Skills!B17</f>
        <v/>
      </c>
      <c r="C2714">
        <f>Inputs!$B$3&gt;=33</f>
        <v/>
      </c>
      <c r="D2714">
        <f>IF(Skills!C17=1,60+Inputs!$B$25+Inputs!$B$29,IF(Skills!C17=2,90+Inputs!$B$26+Inputs!$B$29,IF(Skills!C17=3,120+Inputs!$B$27+Inputs!$B$29,MAX(0,(Inputs!$B$3-100)*3)+Inputs!$B$28+Inputs!$B$29)))</f>
        <v/>
      </c>
      <c r="E2714">
        <f>INDEX(FactorTable!$B$2:$Y$301, MATCH(ROUND(MIN(300,MAX(1,D2714)),0), FactorTable!$A$2:$A$301,0), Skills!L17+1)</f>
        <v/>
      </c>
      <c r="F2714">
        <f>IF(Skills!M17=TRUE,(Skills!K17/10)*(E2714/1000),Skills!K17/10)+Skills!N17</f>
        <v/>
      </c>
      <c r="G2714">
        <f>Calc!G17</f>
        <v/>
      </c>
      <c r="H2714">
        <f>Calc!H17</f>
        <v/>
      </c>
      <c r="I2714">
        <f>IF(Skills!T17&lt;&gt;"",1+(Skills!T17/10)*(Z2700/1000)/100,1)</f>
        <v/>
      </c>
      <c r="J2714" t="inlineStr"/>
      <c r="K2714" t="inlineStr"/>
      <c r="L2714" t="inlineStr"/>
      <c r="M2714" t="inlineStr"/>
      <c r="N2714" t="inlineStr"/>
      <c r="O2714">
        <f>(1-Summary!$B$11)*S2714+Summary!$B$11*U2714</f>
        <v/>
      </c>
      <c r="P2714">
        <f>IF(B2733=0,0,O2714/B2733)</f>
        <v/>
      </c>
      <c r="Q2714">
        <f>IFERROR(1/IF(Inputs!$B$38="pvp",15,MAX(0.1,Skills!D17-IF(Skills!E17=TRUE,3.5,0))),0)</f>
        <v/>
      </c>
      <c r="R2714" t="n">
        <v>0</v>
      </c>
      <c r="S2714" t="n">
        <v>0</v>
      </c>
      <c r="U2714" t="n">
        <v>0</v>
      </c>
    </row>
    <row r="2715">
      <c r="A2715">
        <f>Skills!A18</f>
        <v/>
      </c>
      <c r="B2715">
        <f>Skills!B18</f>
        <v/>
      </c>
      <c r="C2715">
        <f>Inputs!$B$3&gt;=43</f>
        <v/>
      </c>
      <c r="D2715">
        <f>IF(Skills!C18=1,60+Inputs!$B$25+Inputs!$B$29,IF(Skills!C18=2,90+Inputs!$B$26+Inputs!$B$29,IF(Skills!C18=3,120+Inputs!$B$27+Inputs!$B$29,MAX(0,(Inputs!$B$3-100)*3)+Inputs!$B$28+Inputs!$B$29)))</f>
        <v/>
      </c>
      <c r="E2715">
        <f>INDEX(FactorTable!$B$2:$Y$301, MATCH(ROUND(MIN(300,MAX(1,D2715)),0), FactorTable!$A$2:$A$301,0), Skills!L18+1)</f>
        <v/>
      </c>
      <c r="F2715">
        <f>IF(Skills!M18=TRUE,(Skills!K18/10)*(E2715/1000),Skills!K18/10)+Skills!N18</f>
        <v/>
      </c>
      <c r="G2715">
        <f>Calc!G18</f>
        <v/>
      </c>
      <c r="H2715">
        <f>Calc!H18</f>
        <v/>
      </c>
      <c r="I2715">
        <f>IF(Skills!T18&lt;&gt;"",1+(Skills!T18/10)*(Z2700/1000)/100,1)</f>
        <v/>
      </c>
      <c r="J2715" t="inlineStr"/>
      <c r="K2715" t="inlineStr"/>
      <c r="L2715" t="inlineStr"/>
      <c r="M2715" t="inlineStr"/>
      <c r="N2715" t="inlineStr"/>
      <c r="O2715">
        <f>(1-Summary!$B$11)*S2715+Summary!$B$11*U2715</f>
        <v/>
      </c>
      <c r="P2715">
        <f>IF(B2733=0,0,O2715/B2733)</f>
        <v/>
      </c>
      <c r="Q2715">
        <f>IFERROR(1/IF(Inputs!$B$38="pvp",15,MAX(0.1,Skills!D18-IF(Skills!E18=TRUE,3.5,0))),0)</f>
        <v/>
      </c>
      <c r="R2715" t="n">
        <v>0</v>
      </c>
      <c r="S2715" t="n">
        <v>0</v>
      </c>
      <c r="U2715" t="n">
        <v>0</v>
      </c>
    </row>
    <row r="2716">
      <c r="A2716">
        <f>Skills!A19</f>
        <v/>
      </c>
      <c r="B2716">
        <f>Skills!B19</f>
        <v/>
      </c>
      <c r="C2716">
        <f>Inputs!$B$3&gt;=50</f>
        <v/>
      </c>
      <c r="D2716">
        <f>IF(Skills!C19=1,60+Inputs!$B$25+Inputs!$B$29,IF(Skills!C19=2,90+Inputs!$B$26+Inputs!$B$29,IF(Skills!C19=3,120+Inputs!$B$27+Inputs!$B$29,MAX(0,(Inputs!$B$3-100)*3)+Inputs!$B$28+Inputs!$B$29)))</f>
        <v/>
      </c>
      <c r="E2716">
        <f>INDEX(FactorTable!$B$2:$Y$301, MATCH(ROUND(MIN(300,MAX(1,D2716)),0), FactorTable!$A$2:$A$301,0), Skills!L19+1)</f>
        <v/>
      </c>
      <c r="F2716">
        <f>IF(Skills!M19=TRUE,(Skills!K19/10)*(E2716/1000),Skills!K19/10)+Skills!N19</f>
        <v/>
      </c>
      <c r="G2716">
        <f>Calc!G19</f>
        <v/>
      </c>
      <c r="H2716">
        <f>Calc!H19</f>
        <v/>
      </c>
      <c r="I2716">
        <f>IF(Skills!T19&lt;&gt;"",1+(Skills!T19/10)*(Z2700/1000)/100,1)</f>
        <v/>
      </c>
      <c r="J2716" t="inlineStr"/>
      <c r="K2716" t="inlineStr"/>
      <c r="L2716" t="inlineStr"/>
      <c r="M2716" t="inlineStr"/>
      <c r="N2716" t="inlineStr"/>
      <c r="O2716">
        <f>(1-Summary!$B$11)*S2716+Summary!$B$11*U2716</f>
        <v/>
      </c>
      <c r="P2716">
        <f>IF(B2733=0,0,O2716/B2733)</f>
        <v/>
      </c>
      <c r="Q2716">
        <f>IFERROR(1/IF(Inputs!$B$38="pvp",15,MAX(0.1,Skills!D19-IF(Skills!E19=TRUE,3.5,0))),0)</f>
        <v/>
      </c>
      <c r="R2716" t="n">
        <v>0</v>
      </c>
      <c r="S2716" t="n">
        <v>0</v>
      </c>
      <c r="U2716" t="n">
        <v>0</v>
      </c>
    </row>
    <row r="2717">
      <c r="A2717">
        <f>Skills!A20</f>
        <v/>
      </c>
      <c r="B2717">
        <f>Skills!B20</f>
        <v/>
      </c>
      <c r="C2717">
        <f>Inputs!$B$3&gt;=74</f>
        <v/>
      </c>
      <c r="D2717">
        <f>IF(Skills!C20=1,60+Inputs!$B$25+Inputs!$B$29,IF(Skills!C20=2,90+Inputs!$B$26+Inputs!$B$29,IF(Skills!C20=3,120+Inputs!$B$27+Inputs!$B$29,MAX(0,(Inputs!$B$3-100)*3)+Inputs!$B$28+Inputs!$B$29)))</f>
        <v/>
      </c>
      <c r="E2717">
        <f>INDEX(FactorTable!$B$2:$Y$301, MATCH(ROUND(MIN(300,MAX(1,D2717)),0), FactorTable!$A$2:$A$301,0), Skills!L20+1)</f>
        <v/>
      </c>
      <c r="F2717">
        <f>IF(Skills!M20=TRUE,(Skills!K20/10)*(E2717/1000),Skills!K20/10)+Skills!N20</f>
        <v/>
      </c>
      <c r="G2717">
        <f>Calc!G20</f>
        <v/>
      </c>
      <c r="H2717">
        <f>Calc!H20</f>
        <v/>
      </c>
      <c r="I2717">
        <f>IF(Skills!T20&lt;&gt;"",1+(Skills!T20/10)*(Z2700/1000)/100,1)</f>
        <v/>
      </c>
      <c r="J2717" t="inlineStr"/>
      <c r="K2717" t="inlineStr"/>
      <c r="L2717" t="inlineStr"/>
      <c r="M2717" t="inlineStr"/>
      <c r="N2717" t="inlineStr"/>
      <c r="O2717">
        <f>(1-Summary!$B$11)*S2717+Summary!$B$11*U2717</f>
        <v/>
      </c>
      <c r="P2717">
        <f>IF(B2733=0,0,O2717/B2733)</f>
        <v/>
      </c>
      <c r="Q2717">
        <f>IFERROR(1/IF(Inputs!$B$38="pvp",15,MAX(0.1,Skills!D20-IF(Skills!E20=TRUE,3.5,0))),0)</f>
        <v/>
      </c>
      <c r="R2717" t="n">
        <v>0</v>
      </c>
      <c r="S2717" t="n">
        <v>0</v>
      </c>
      <c r="U2717" t="n">
        <v>0</v>
      </c>
    </row>
    <row r="2718">
      <c r="A2718">
        <f>Skills!A21</f>
        <v/>
      </c>
      <c r="B2718">
        <f>Skills!B21</f>
        <v/>
      </c>
      <c r="C2718">
        <f>Inputs!$B$3&gt;=74</f>
        <v/>
      </c>
      <c r="D2718">
        <f>IF(Skills!C21=1,60+Inputs!$B$25+Inputs!$B$29,IF(Skills!C21=2,90+Inputs!$B$26+Inputs!$B$29,IF(Skills!C21=3,120+Inputs!$B$27+Inputs!$B$29,MAX(0,(Inputs!$B$3-100)*3)+Inputs!$B$28+Inputs!$B$29)))</f>
        <v/>
      </c>
      <c r="E2718">
        <f>INDEX(FactorTable!$B$2:$Y$301, MATCH(ROUND(MIN(300,MAX(1,D2718)),0), FactorTable!$A$2:$A$301,0), Skills!L21+1)</f>
        <v/>
      </c>
      <c r="F2718">
        <f>IF(Skills!M21=TRUE,(Skills!K21/10)*(E2718/1000),Skills!K21/10)+Skills!N21</f>
        <v/>
      </c>
      <c r="G2718">
        <f>Calc!G21</f>
        <v/>
      </c>
      <c r="H2718">
        <f>Calc!H21</f>
        <v/>
      </c>
      <c r="I2718">
        <f>IF(Skills!T21&lt;&gt;"",1+(Skills!T21/10)*(Z2700/1000)/100,1)</f>
        <v/>
      </c>
      <c r="J2718" t="inlineStr"/>
      <c r="K2718" t="inlineStr"/>
      <c r="L2718" t="inlineStr"/>
      <c r="M2718" t="inlineStr"/>
      <c r="N2718" t="inlineStr"/>
      <c r="O2718">
        <f>(1-Summary!$B$11)*S2718+Summary!$B$11*U2718</f>
        <v/>
      </c>
      <c r="P2718">
        <f>IF(B2733=0,0,O2718/B2733)</f>
        <v/>
      </c>
      <c r="Q2718">
        <f>IFERROR(1/IF(Inputs!$B$38="pvp",15,MAX(0.1,Skills!D21-IF(Skills!E21=TRUE,3.5,0))),0)</f>
        <v/>
      </c>
      <c r="R2718" t="n">
        <v>0</v>
      </c>
      <c r="S2718" t="n">
        <v>0</v>
      </c>
      <c r="U2718" t="n">
        <v>0</v>
      </c>
    </row>
    <row r="2719">
      <c r="A2719">
        <f>Skills!A22</f>
        <v/>
      </c>
      <c r="B2719">
        <f>Skills!B22</f>
        <v/>
      </c>
      <c r="C2719">
        <f>Inputs!$B$3&gt;=117</f>
        <v/>
      </c>
      <c r="D2719">
        <f>IF(Skills!C22=1,60+Inputs!$B$25+Inputs!$B$29,IF(Skills!C22=2,90+Inputs!$B$26+Inputs!$B$29,IF(Skills!C22=3,120+Inputs!$B$27+Inputs!$B$29,MAX(0,(Inputs!$B$3-100)*3)+Inputs!$B$28+Inputs!$B$29)))</f>
        <v/>
      </c>
      <c r="E2719">
        <f>INDEX(FactorTable!$B$2:$Y$301, MATCH(ROUND(MIN(300,MAX(1,D2719)),0), FactorTable!$A$2:$A$301,0), Skills!L22+1)</f>
        <v/>
      </c>
      <c r="F2719">
        <f>IF(Skills!M22=TRUE,(Skills!K22/10)*(E2719/1000),Skills!K22/10)+Skills!N22</f>
        <v/>
      </c>
      <c r="G2719">
        <f>Calc!G22</f>
        <v/>
      </c>
      <c r="H2719">
        <f>Calc!H22</f>
        <v/>
      </c>
      <c r="I2719">
        <f>IF(Skills!T22&lt;&gt;"",1+(Skills!T22/10)*(Z2700/1000)/100,1)</f>
        <v/>
      </c>
      <c r="J2719" t="inlineStr"/>
      <c r="K2719" t="inlineStr"/>
      <c r="L2719" t="inlineStr"/>
      <c r="M2719" t="inlineStr"/>
      <c r="N2719" t="inlineStr"/>
      <c r="O2719">
        <f>(1-Summary!$B$11)*S2719+Summary!$B$11*U2719</f>
        <v/>
      </c>
      <c r="P2719">
        <f>IF(B2733=0,0,O2719/B2733)</f>
        <v/>
      </c>
      <c r="Q2719">
        <f>IFERROR(1/IF(Inputs!$B$38="pvp",15,MAX(0.1,Skills!D22-IF(Skills!E22=TRUE,3.5,0))),0)</f>
        <v/>
      </c>
      <c r="R2719" t="n">
        <v>0</v>
      </c>
      <c r="S2719" t="n">
        <v>0</v>
      </c>
      <c r="U2719" t="n">
        <v>0</v>
      </c>
    </row>
    <row r="2720">
      <c r="A2720">
        <f>Skills!A23</f>
        <v/>
      </c>
      <c r="B2720">
        <f>Skills!B23</f>
        <v/>
      </c>
      <c r="C2720">
        <f>Inputs!$B$3&gt;=120</f>
        <v/>
      </c>
      <c r="D2720">
        <f>IF(Skills!C23=1,60+Inputs!$B$25+Inputs!$B$29,IF(Skills!C23=2,90+Inputs!$B$26+Inputs!$B$29,IF(Skills!C23=3,120+Inputs!$B$27+Inputs!$B$29,MAX(0,(Inputs!$B$3-100)*3)+Inputs!$B$28+Inputs!$B$29)))</f>
        <v/>
      </c>
      <c r="E2720">
        <f>INDEX(FactorTable!$B$2:$Y$301, MATCH(ROUND(MIN(300,MAX(1,D2720)),0), FactorTable!$A$2:$A$301,0), Skills!L23+1)</f>
        <v/>
      </c>
      <c r="F2720">
        <f>IF(Skills!M23=TRUE,(Skills!K23/10)*(E2720/1000),Skills!K23/10)+Skills!N23</f>
        <v/>
      </c>
      <c r="G2720">
        <f>Calc!G23</f>
        <v/>
      </c>
      <c r="H2720">
        <f>Calc!H23</f>
        <v/>
      </c>
      <c r="I2720">
        <f>IF(Skills!T23&lt;&gt;"",1+(Skills!T23/10)*(Z2700/1000)/100,1)</f>
        <v/>
      </c>
      <c r="J2720" t="inlineStr"/>
      <c r="K2720" t="inlineStr"/>
      <c r="L2720" t="inlineStr"/>
      <c r="M2720" t="inlineStr"/>
      <c r="N2720" t="inlineStr"/>
      <c r="O2720">
        <f>(1-Summary!$B$11)*S2720+Summary!$B$11*U2720</f>
        <v/>
      </c>
      <c r="P2720">
        <f>IF(B2733=0,0,O2720/B2733)</f>
        <v/>
      </c>
      <c r="Q2720">
        <f>IFERROR(1/IF(Inputs!$B$38="pvp",15,MAX(0.1,Skills!D23-IF(Skills!E23=TRUE,3.5,0))),0)</f>
        <v/>
      </c>
      <c r="R2720" t="n">
        <v>0</v>
      </c>
      <c r="S2720" t="n">
        <v>0</v>
      </c>
      <c r="U2720" t="n">
        <v>0</v>
      </c>
    </row>
    <row r="2723">
      <c r="A2723" t="inlineStr">
        <is>
          <t>Average Buff Multiplier (Magic Guard + Meditation + Artifact Attack%, summed; then Infinity)</t>
        </is>
      </c>
      <c r="B2723">
        <f>(1+(IF(C2700=TRUE,F2700*IF(AND(Inputs!$B$38&lt;&gt;"pvp",Inputs!$B$43&gt;0),(((R2700-1)*(Skills!S3*(1+(Inputs!$B$34+IF(Inputs!$B$3&gt;=117,F2719,0))/100))+MIN((Skills!S3*(1+(Inputs!$B$34+IF(Inputs!$B$3&gt;=117,F2719,0))/100)),MAX(0,Inputs!$B$43-((R2700-1)*Skills!D3))))/Inputs!$B$43),IF(Inputs!$B$38="pvp",MIN((Skills!S3*(1+(Inputs!$B$34+IF(Inputs!$B$3&gt;=117,F2719,0))/100)),15)/15,(Skills!S3*(1+(Inputs!$B$34+IF(Inputs!$B$3&gt;=117,F2719,0))/100))/Skills!D3)),0)+IF(C2701=TRUE,F2701*IF(AND(Inputs!$B$38&lt;&gt;"pvp",Inputs!$B$43&gt;0),(((R2701-1)*(Skills!S4*(1+(Inputs!$B$34+IF(Inputs!$B$3&gt;=117,F2719,0))/100))+MIN((Skills!S4*(1+(Inputs!$B$34+IF(Inputs!$B$3&gt;=117,F2719,0))/100)),MAX(0,Inputs!$B$43-((R2701-1)*Skills!D4))))/Inputs!$B$43),IF(Inputs!$B$38="pvp",MIN((Skills!S4*(1+(Inputs!$B$34+IF(Inputs!$B$3&gt;=117,F2719,0))/100)),15)/15,(Skills!S4*(1+(Inputs!$B$34+IF(Inputs!$B$3&gt;=117,F2719,0)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2713=TRUE,(1+F2713*IF(AND(Inputs!$B$38&lt;&gt;"pvp",Inputs!$B$43&gt;0),(((R2713-1)*(Skills!S16*(1+(Inputs!$B$34+IF(Inputs!$B$3&gt;=117,F2719,0))/100))+MIN((Skills!S16*(1+(Inputs!$B$34+IF(Inputs!$B$3&gt;=117,F2719,0))/100)),MAX(0,Inputs!$B$43-((R2713-1)*Skills!D16))))/Inputs!$B$43),IF(Inputs!$B$38="pvp",MIN((Skills!S16*(1+(Inputs!$B$34+IF(Inputs!$B$3&gt;=117,F2719,0))/100)),15)/15,(Skills!S16*(1+(Inputs!$B$34+IF(Inputs!$B$3&gt;=117,F2719,0))/100))/Skills!D16))/100),1)</f>
        <v/>
      </c>
    </row>
    <row r="2724">
      <c r="A2724" t="inlineStr">
        <is>
          <t>Monster Damage Taken Bonus % (Freezing Breath - Weaken + Elemental Reset + Artifact Enemy Damage Taken, summed)</t>
        </is>
      </c>
      <c r="B2724">
        <f>IF(Inputs!$B$3&gt;=118,15*IF(Inputs!$B$38="pvp",MIN((30*(1+(Inputs!$B$34+IF(Inputs!$B$3&gt;=117,F2719,0))/100)),15)/15,(30*(1+(Inputs!$B$34+IF(Inputs!$B$3&gt;=117,F2719,0))/100))/Skills!D8),0)+IF(C2711=TRUE,F2711,0)+(IF(AND(ArtifactsInput!$M$35,Inputs!$B$4&lt;&gt;"Chapter Hunt"),CHOOSE(ArtifactsInput!$N$35+1,15,18,21,24,27,30)*(1-EXP(-(0.2*B2727)*5)),0)+IF(AND(ArtifactsInput!$M$22,Inputs!$B$4&lt;&gt;"Chapter Hunt"),CHOOSE(ArtifactsInput!$N$22+1,10,12,14,16,18,20)*((0*(((0.15*B2727*5))^0/1)+1*(((0.15*B2727*5))^1/1)+2*(((0.15*B2727*5))^2/2)+3*(((0.15*B2727*5))^3/6)+4*(((0.15*B2727*5))^4/24)+5*(((0.15*B2727*5))^5/120))/((((0.15*B2727*5))^0/1)+(((0.15*B2727*5))^1/1)+(((0.15*B2727*5))^2/2)+(((0.15*B2727*5))^3/6)+(((0.15*B2727*5))^4/24)+(((0.15*B2727*5))^5/120))),0))</f>
        <v/>
      </c>
    </row>
    <row r="2725">
      <c r="A2725" t="inlineStr">
        <is>
          <t>Damage % Bonus (Frozen Break + Frost Clutch, flat)</t>
        </is>
      </c>
      <c r="B2725">
        <f>IF(Inputs!$B$3&gt;=66,15,0)+IF(Inputs!$B$3&gt;=98,10,0)+IF(Inputs!$B$3&gt;=125,20,0)</f>
        <v/>
      </c>
    </row>
    <row r="2726">
      <c r="A2726" t="inlineStr">
        <is>
          <t>Attack Speed Bonus % (MP Eater - MP Boost, always-on once unlocked)</t>
        </is>
      </c>
      <c r="B2726">
        <f>IF(C2710=TRUE,F2710+(F2714-Calc!F17),0)</f>
        <v/>
      </c>
    </row>
    <row r="2727">
      <c r="A2727" t="inlineStr">
        <is>
          <t>Actions Per Second</t>
        </is>
      </c>
      <c r="B2727">
        <f>1+MIN(150,150*(1-(1-(Inputs!$B$11+(ArtifactsInput!$M$15-ArtifactsInput!$M$15)*CHOOSE(ArtifactsInput!$N$15+1,8,9.6,11.2,12.8,14.4,16))/150)*(1-B2726/150)))/100</f>
        <v/>
      </c>
    </row>
    <row r="2728">
      <c r="A2728" t="inlineStr">
        <is>
          <t>Skill + Buff Cast Rate</t>
        </is>
      </c>
      <c r="B2728">
        <f>IF(AND(Inputs!$B$38&lt;&gt;"pvp",Inputs!$B$43&gt;0),SUMPRODUCT((Skills!E2:E23=TRUE)*(C2699:C2720=TRUE)*R2699:R2720)/Inputs!$B$43,SUMPRODUCT((Skills!E2:E23=TRUE)*(C2699:C2720=TRUE)*Q2699:Q2720))</f>
        <v/>
      </c>
    </row>
    <row r="2729">
      <c r="A2729" t="inlineStr">
        <is>
          <t>Chain Lightning Casts Per Second</t>
        </is>
      </c>
      <c r="B2729">
        <f>MAX(0,B2727-B2728)</f>
        <v/>
      </c>
    </row>
    <row r="2730">
      <c r="A2730" t="inlineStr">
        <is>
          <t>Buff-Casting Startup Delay (s, fixed-duration only)</t>
        </is>
      </c>
      <c r="B2730">
        <f>IF(AND(Inputs!$B$38&lt;&gt;"pvp",Inputs!$B$43&gt;0),SUMPRODUCT((Skills!S2:S23&gt;0)*(Skills!E2:E23=TRUE)*(C2699:C2720=TRUE))/B2727,0)</f>
        <v/>
      </c>
    </row>
    <row r="2731">
      <c r="A2731" t="inlineStr">
        <is>
          <t>Boss-Only Total DPS (this block's swept value)</t>
        </is>
      </c>
      <c r="B2731">
        <f>SUM(S2699:S2720)</f>
        <v/>
      </c>
    </row>
    <row r="2732">
      <c r="A2732" t="inlineStr">
        <is>
          <t>Normal-Only Total DPS (this block's swept value)</t>
        </is>
      </c>
      <c r="B2732">
        <f>SUM(U2699:U2720)</f>
        <v/>
      </c>
    </row>
    <row r="2733">
      <c r="A2733" s="6" t="inlineStr">
        <is>
          <t>TOTAL DPS</t>
        </is>
      </c>
      <c r="B2733" s="6">
        <f>SUM(O2699:O2720)</f>
        <v/>
      </c>
    </row>
    <row r="2736">
      <c r="A2736" s="6" t="inlineStr">
        <is>
          <t>Stat: CDR = 4.0s</t>
        </is>
      </c>
    </row>
    <row r="2737">
      <c r="A2737" s="5" t="inlineStr">
        <is>
          <t>Key</t>
        </is>
      </c>
      <c r="B2737" s="5" t="inlineStr">
        <is>
          <t>Name</t>
        </is>
      </c>
      <c r="C2737" s="5" t="inlineStr">
        <is>
          <t>Unlocked</t>
        </is>
      </c>
      <c r="D2737" s="5" t="inlineStr">
        <is>
          <t>InputLevel</t>
        </is>
      </c>
      <c r="E2737" s="5" t="inlineStr">
        <is>
          <t>Factor</t>
        </is>
      </c>
      <c r="F2737" s="5" t="inlineStr">
        <is>
          <t>CoefficientPercent</t>
        </is>
      </c>
      <c r="G2737" s="5" t="inlineStr">
        <is>
          <t>EffectiveHits</t>
        </is>
      </c>
      <c r="H2737" s="5" t="inlineStr">
        <is>
          <t>ProcProbability</t>
        </is>
      </c>
      <c r="I2737" s="5" t="inlineStr">
        <is>
          <t>MapleHeroMultiplier</t>
        </is>
      </c>
      <c r="J2737" s="5" t="inlineStr">
        <is>
          <t>BaseDamage</t>
        </is>
      </c>
      <c r="K2737" s="5" t="inlineStr">
        <is>
          <t>BaseHitDamage</t>
        </is>
      </c>
      <c r="L2737" s="5" t="inlineStr">
        <is>
          <t>NonCritAvg</t>
        </is>
      </c>
      <c r="M2737" s="5" t="inlineStr">
        <is>
          <t>CritAvg</t>
        </is>
      </c>
      <c r="N2737" s="5" t="inlineStr">
        <is>
          <t>ExpectedDamage(perHit)</t>
        </is>
      </c>
      <c r="O2737" s="5" t="inlineStr">
        <is>
          <t>DPS</t>
        </is>
      </c>
      <c r="P2737" s="5" t="inlineStr">
        <is>
          <t>% of Total</t>
        </is>
      </c>
      <c r="R2737" t="inlineStr">
        <is>
          <t>helpers</t>
        </is>
      </c>
    </row>
    <row r="2738">
      <c r="A2738">
        <f>Skills!A2</f>
        <v/>
      </c>
      <c r="B2738">
        <f>Skills!B2</f>
        <v/>
      </c>
      <c r="C2738">
        <f>Inputs!$B$3&gt;=100</f>
        <v/>
      </c>
      <c r="D2738" t="inlineStr"/>
      <c r="E2738" t="inlineStr"/>
      <c r="F2738">
        <f>T2740+Skills!N2</f>
        <v/>
      </c>
      <c r="G2738">
        <f>Calc!G2</f>
        <v/>
      </c>
      <c r="H2738">
        <f>Calc!H2</f>
        <v/>
      </c>
      <c r="I2738">
        <f>IF(Skills!T2&lt;&gt;"",1+(Skills!T2/10)*(Z2739/1000)/100,1)</f>
        <v/>
      </c>
      <c r="J2738">
        <f>((Inputs!$B$6*(1+Inputs!$B$7/100))+(((Inputs!$B$12*(1+Inputs!$B$13/100))-(Inputs!$B$12*(1+Inputs!$B$13/100)))+0.25*(Inputs!$B$14-Inputs!$B$14))*(1+Inputs!$B$7/100))*(F2738/100)</f>
        <v/>
      </c>
      <c r="K2738">
        <f>J2738*(1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2754-Calc!F18),(Inputs!$B$23+(IF(ArtifactsInput!$M$15,CHOOSE(ArtifactsInput!$N$15+1,25,30,35,40,45,50)/100*(Inputs!$B$11-Inputs!$B$11),0))))/100+(Inputs!$B$23+(IF(ArtifactsInput!$M$15,CHOOSE(ArtifactsInput!$N$15+1,25,30,35,40,45,50)/100*(Inputs!$B$11-Inputs!$B$11),0)))/100)/2</f>
        <v/>
      </c>
      <c r="M2738">
        <f>L2738*(1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IF(B2772=0,0,O2738/B2772)</f>
        <v/>
      </c>
      <c r="Q2738">
        <f>IFERROR(1/IF(Inputs!$B$38="pvp",15,MAX(0.1,Skills!D2-IF(Skills!E2=TRUE,4.0,0))),0)</f>
        <v/>
      </c>
      <c r="R2738" t="n">
        <v>0</v>
      </c>
      <c r="S2738">
        <f>IF(C2738,(Skills!F2*N2738*B2768)*IF(Inputs!$B$38="pvp",1,1+(Inputs!$B$20+Skills!O2+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38">
        <f>MAX(0,(Inputs!$B$3-100)*3)+Inputs!$B$28+Inputs!$B$29</f>
        <v/>
      </c>
      <c r="U2738">
        <f>IF(C2738,(Skills!F2*N2738*B2768)*IF(Inputs!$B$38="pvp",1,(1+(Inputs!$B$21+Skills!P2+B2763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38">
        <f>MAX(0,(Inputs!$B$3-100)*3)+Inputs!$B$28+Inputs!$B$29</f>
        <v/>
      </c>
    </row>
    <row r="2739">
      <c r="A2739">
        <f>Skills!A3</f>
        <v/>
      </c>
      <c r="B2739">
        <f>Skills!B3</f>
        <v/>
      </c>
      <c r="C2739">
        <f>Inputs!$B$3&gt;=15</f>
        <v/>
      </c>
      <c r="D2739">
        <f>IF(Skills!C3=1,60+Inputs!$B$25+Inputs!$B$29,IF(Skills!C3=2,90+Inputs!$B$26+Inputs!$B$29,IF(Skills!C3=3,120+Inputs!$B$27+Inputs!$B$29,MAX(0,(Inputs!$B$3-100)*3)+Inputs!$B$28+Inputs!$B$29)))</f>
        <v/>
      </c>
      <c r="E2739">
        <f>INDEX(FactorTable!$B$2:$Y$301, MATCH(ROUND(MIN(300,MAX(1,D2739)),0), FactorTable!$A$2:$A$301,0), Skills!L3+1)</f>
        <v/>
      </c>
      <c r="F2739">
        <f>IF(Skills!M3=TRUE,(Skills!K3/10)*(E2739/1000),Skills!K3/10)+Skills!N3</f>
        <v/>
      </c>
      <c r="G2739">
        <f>Calc!G3</f>
        <v/>
      </c>
      <c r="H2739">
        <f>Calc!H3</f>
        <v/>
      </c>
      <c r="I2739">
        <f>IF(Skills!T3&lt;&gt;"",1+(Skills!T3/10)*(Z2739/1000)/100,1)</f>
        <v/>
      </c>
      <c r="J2739" t="inlineStr"/>
      <c r="K2739" t="inlineStr"/>
      <c r="L2739" t="inlineStr"/>
      <c r="M2739" t="inlineStr"/>
      <c r="N2739" t="inlineStr"/>
      <c r="O2739">
        <f>(1-Summary!$B$11)*S2739+Summary!$B$11*U2739</f>
        <v/>
      </c>
      <c r="P2739">
        <f>IF(B2772=0,0,O2739/B2772)</f>
        <v/>
      </c>
      <c r="Q2739">
        <f>IFERROR(1/IF(Inputs!$B$38="pvp",15,MAX(0.1,Skills!D3-IF(Skills!E3=TRUE,4.0,0))),0)</f>
        <v/>
      </c>
      <c r="R2739">
        <f>IF(AND(Inputs!$B$38&lt;&gt;"pvp",Inputs!$B$43&gt;0),IF(Inputs!$B$43&lt;=0,0,(INT(Inputs!$B$43/IF(Inputs!$B$38="pvp",15,MAX(0.1,Skills!D3-IF(Skills!E3=TRUE,4.0,0))))+1)),0)</f>
        <v/>
      </c>
      <c r="S2739" t="n">
        <v>0</v>
      </c>
      <c r="T2739">
        <f>INDEX(FactorTable!$B$2:$Y$301, MATCH(ROUND(MIN(300,MAX(1,T2738)),0), FactorTable!$A$2:$A$301,0), 22)</f>
        <v/>
      </c>
      <c r="U2739" t="n">
        <v>0</v>
      </c>
      <c r="Z2739">
        <f>INDEX(FactorTable!$B$2:$Y$301, MATCH(ROUND(MIN(300,MAX(1,Z2738)),0), FactorTable!$A$2:$A$301,0), 24)</f>
        <v/>
      </c>
    </row>
    <row r="2740">
      <c r="A2740">
        <f>Skills!A4</f>
        <v/>
      </c>
      <c r="B2740">
        <f>Skills!B4</f>
        <v/>
      </c>
      <c r="C2740">
        <f>Inputs!$B$3&gt;=40</f>
        <v/>
      </c>
      <c r="D2740">
        <f>IF(Skills!C4=1,60+Inputs!$B$25+Inputs!$B$29,IF(Skills!C4=2,90+Inputs!$B$26+Inputs!$B$29,IF(Skills!C4=3,120+Inputs!$B$27+Inputs!$B$29,MAX(0,(Inputs!$B$3-100)*3)+Inputs!$B$28+Inputs!$B$29)))</f>
        <v/>
      </c>
      <c r="E2740">
        <f>INDEX(FactorTable!$B$2:$Y$301, MATCH(ROUND(MIN(300,MAX(1,D2740)),0), FactorTable!$A$2:$A$301,0), Skills!L4+1)</f>
        <v/>
      </c>
      <c r="F2740">
        <f>IF(Skills!M4=TRUE,(Skills!K4/10)*(E2740/1000),Skills!K4/10)+Skills!N4</f>
        <v/>
      </c>
      <c r="G2740">
        <f>Calc!G4</f>
        <v/>
      </c>
      <c r="H2740">
        <f>Calc!H4</f>
        <v/>
      </c>
      <c r="I2740">
        <f>IF(Skills!T4&lt;&gt;"",1+(Skills!T4/10)*(Z2739/1000)/100,1)</f>
        <v/>
      </c>
      <c r="J2740" t="inlineStr"/>
      <c r="K2740" t="inlineStr"/>
      <c r="L2740" t="inlineStr"/>
      <c r="M2740" t="inlineStr"/>
      <c r="N2740" t="inlineStr"/>
      <c r="O2740">
        <f>(1-Summary!$B$11)*S2740+Summary!$B$11*U2740</f>
        <v/>
      </c>
      <c r="P2740">
        <f>IF(B2772=0,0,O2740/B2772)</f>
        <v/>
      </c>
      <c r="Q2740">
        <f>IFERROR(1/IF(Inputs!$B$38="pvp",15,MAX(0.1,Skills!D4-IF(Skills!E4=TRUE,4.0,0))),0)</f>
        <v/>
      </c>
      <c r="R2740">
        <f>IF(AND(Inputs!$B$38&lt;&gt;"pvp",Inputs!$B$43&gt;0),IF(Inputs!$B$43&lt;=0,0,(INT(Inputs!$B$43/IF(Inputs!$B$38="pvp",15,MAX(0.1,Skills!D4-IF(Skills!E4=TRUE,4.0,0))))+1)),0)</f>
        <v/>
      </c>
      <c r="S2740" t="n">
        <v>0</v>
      </c>
      <c r="T2740">
        <f>290*T2739/1000</f>
        <v/>
      </c>
      <c r="U2740" t="n">
        <v>0</v>
      </c>
    </row>
    <row r="2741">
      <c r="A2741">
        <f>Skills!A5</f>
        <v/>
      </c>
      <c r="B2741">
        <f>Skills!B5</f>
        <v/>
      </c>
      <c r="C2741">
        <f>Inputs!$B$3&gt;=38</f>
        <v/>
      </c>
      <c r="D2741">
        <f>IF(Skills!C5=1,60+Inputs!$B$25+Inputs!$B$29,IF(Skills!C5=2,90+Inputs!$B$26+Inputs!$B$29,IF(Skills!C5=3,120+Inputs!$B$27+Inputs!$B$29,MAX(0,(Inputs!$B$3-100)*3)+Inputs!$B$28+Inputs!$B$29)))</f>
        <v/>
      </c>
      <c r="E2741">
        <f>INDEX(FactorTable!$B$2:$Y$301, MATCH(ROUND(MIN(300,MAX(1,D2741)),0), FactorTable!$A$2:$A$301,0), Skills!L5+1)</f>
        <v/>
      </c>
      <c r="F2741">
        <f>IF(Skills!M5=TRUE,(Skills!K5/10)*(E2741/1000),Skills!K5/10)+Skills!N5</f>
        <v/>
      </c>
      <c r="G2741">
        <f>Calc!G5</f>
        <v/>
      </c>
      <c r="H2741">
        <f>Calc!H5</f>
        <v/>
      </c>
      <c r="I2741">
        <f>IF(Skills!T5&lt;&gt;"",1+(Skills!T5/10)*(Z2739/1000)/100,1)</f>
        <v/>
      </c>
      <c r="J2741">
        <f>((Inputs!$B$6*(1+Inputs!$B$7/100))+(((Inputs!$B$12*(1+Inputs!$B$13/100))-(Inputs!$B$12*(1+Inputs!$B$13/100)))+0.25*(Inputs!$B$14-Inputs!$B$14))*(1+Inputs!$B$7/100))*(F2741/100)</f>
        <v/>
      </c>
      <c r="K2741">
        <f>J2741*(1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F2754-Calc!F18),(Inputs!$B$23+(IF(ArtifactsInput!$M$15,CHOOSE(ArtifactsInput!$N$15+1,25,30,35,40,45,50)/100*(Inputs!$B$11-Inputs!$B$11),0))))/100+(Inputs!$B$23+(IF(ArtifactsInput!$M$15,CHOOSE(ArtifactsInput!$N$15+1,25,30,35,40,45,50)/100*(Inputs!$B$11-Inputs!$B$11),0)))/100)/2</f>
        <v/>
      </c>
      <c r="M2741">
        <f>L2741*(1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(1-Summary!$B$11)*S2741+Summary!$B$11*U2741</f>
        <v/>
      </c>
      <c r="P2741">
        <f>IF(B2772=0,0,O2741/B2772)</f>
        <v/>
      </c>
      <c r="Q2741">
        <f>IFERROR(1/IF(Inputs!$B$38="pvp",15,MAX(0.1,Skills!D5-IF(Skills!E5=TRUE,4.0,0))),0)</f>
        <v/>
      </c>
      <c r="R2741">
        <f>IF(AND(Inputs!$B$38&lt;&gt;"pvp",Inputs!$B$43&gt;0),IF(MAX(0,Inputs!$B$43-B2769)&lt;=0,0,(INT(MAX(0,Inputs!$B$43-B2769)/IF(Inputs!$B$38="pvp",15,MAX(0.1,Skills!D5-IF(Skills!E5=TRUE,4.0,0))))+1)),0)</f>
        <v/>
      </c>
      <c r="S2741">
        <f>IF(C2741,(H2741*N2741*IF(AND(Inputs!$B$38&lt;&gt;"pvp",Inputs!$B$43&gt;0),((Skills!F5*((R2741-1)*IF(Skills!G5&gt;0,Skills!H5/Skills!G5,1)+IF(Skills!G5&gt;0,MIN(Skills!H5,MAX(0,MAX(0,Inputs!$B$43-B2769)-((R2741-1)*IF(Inputs!$B$38="pvp",15,MAX(0.1,Skills!D5-IF(Skills!E5=TRUE,4.0,0))))))/Skills!G5,1)))/Inputs!$B$43),G2741*Q2741))*IF(Inputs!$B$38="pvp",1,1+(Inputs!$B$20+Skills!O5+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IF(C2741,(H2741*N2741*IF(AND(Inputs!$B$38&lt;&gt;"pvp",Inputs!$B$43&gt;0),((Skills!F5*((R2741-1)*IF(Skills!G5&gt;0,Skills!H5/Skills!G5,1)+IF(Skills!G5&gt;0,MIN(Skills!H5,MAX(0,MAX(0,Inputs!$B$43-B2769)-((R2741-1)*IF(Inputs!$B$38="pvp",15,MAX(0.1,Skills!D5-IF(Skills!E5=TRUE,4.0,0))))))/Skills!G5,1)))/Inputs!$B$43),G2741*Q2741))*IF(Inputs!$B$38="pvp",1,(1+(Inputs!$B$21+Skills!P5+B2763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Skills!A6</f>
        <v/>
      </c>
      <c r="B2742">
        <f>Skills!B6</f>
        <v/>
      </c>
      <c r="C2742">
        <f>Inputs!$B$3&gt;=63</f>
        <v/>
      </c>
      <c r="D2742">
        <f>IF(Skills!C6=1,60+Inputs!$B$25+Inputs!$B$29,IF(Skills!C6=2,90+Inputs!$B$26+Inputs!$B$29,IF(Skills!C6=3,120+Inputs!$B$27+Inputs!$B$29,MAX(0,(Inputs!$B$3-100)*3)+Inputs!$B$28+Inputs!$B$29)))</f>
        <v/>
      </c>
      <c r="E2742">
        <f>INDEX(FactorTable!$B$2:$Y$301, MATCH(ROUND(MIN(300,MAX(1,D2742)),0), FactorTable!$A$2:$A$301,0), Skills!L6+1)</f>
        <v/>
      </c>
      <c r="F2742">
        <f>IF(Skills!M6=TRUE,(Skills!K6/10)*(E2742/1000),Skills!K6/10)+Skills!N6</f>
        <v/>
      </c>
      <c r="G2742">
        <f>Calc!G6</f>
        <v/>
      </c>
      <c r="H2742">
        <f>Calc!H6</f>
        <v/>
      </c>
      <c r="I2742">
        <f>IF(Skills!T6&lt;&gt;"",1+(Skills!T6/10)*(Z2739/1000)/100,1)</f>
        <v/>
      </c>
      <c r="J2742">
        <f>((Inputs!$B$6*(1+Inputs!$B$7/100))+(((Inputs!$B$12*(1+Inputs!$B$13/100))-(Inputs!$B$12*(1+Inputs!$B$13/100)))+0.25*(Inputs!$B$14-Inputs!$B$14))*(1+Inputs!$B$7/100))*(F2742/100)</f>
        <v/>
      </c>
      <c r="K2742">
        <f>J2742*(1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2742)</f>
        <v/>
      </c>
      <c r="L2742">
        <f>K2742*(MIN(Inputs!$B$22+(F2754-Calc!F18),(Inputs!$B$23+(IF(ArtifactsInput!$M$15,CHOOSE(ArtifactsInput!$N$15+1,25,30,35,40,45,50)/100*(Inputs!$B$11-Inputs!$B$11),0))))/100+(Inputs!$B$23+(IF(ArtifactsInput!$M$15,CHOOSE(ArtifactsInput!$N$15+1,25,30,35,40,45,50)/100*(Inputs!$B$11-Inputs!$B$11),0)))/100)/2</f>
        <v/>
      </c>
      <c r="M2742">
        <f>L2742*(1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(1-Summary!$B$11)*S2742+Summary!$B$11*U2742</f>
        <v/>
      </c>
      <c r="P2742">
        <f>IF(B2772=0,0,O2742/B2772)</f>
        <v/>
      </c>
      <c r="Q2742">
        <f>IFERROR(1/IF(Inputs!$B$38="pvp",15,MAX(0.1,Skills!D6-IF(Skills!E6=TRUE,4.0,0))),0)</f>
        <v/>
      </c>
      <c r="R2742">
        <f>IF(AND(Inputs!$B$38&lt;&gt;"pvp",Inputs!$B$43&gt;0),IF(MAX(0,Inputs!$B$43-B2769)&lt;=0,0,(INT(MAX(0,Inputs!$B$43-B2769)/IF(Inputs!$B$38="pvp",15,MAX(0.1,Skills!D6-IF(Skills!E6=TRUE,4.0,0))))+1)),0)</f>
        <v/>
      </c>
      <c r="S2742">
        <f>IF(C2742,(H2742*N2742*IF(AND(Inputs!$B$38&lt;&gt;"pvp",Inputs!$B$43&gt;0),((Skills!F6*((R2742-1)*IF(Skills!G6&gt;0,Skills!H6/Skills!G6,1)+IF(Skills!G6&gt;0,MIN(Skills!H6,MAX(0,MAX(0,Inputs!$B$43-B2769)-((R2742-1)*IF(Inputs!$B$38="pvp",15,MAX(0.1,Skills!D6-IF(Skills!E6=TRUE,4.0,0))))))/Skills!G6,1)))/Inputs!$B$43),G2742*Q2742))*IF(Inputs!$B$38="pvp",1,1+(Inputs!$B$20+Skills!O6+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2742*(1-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2">
        <f>IF(C2742,(H2742*N2742*IF(AND(Inputs!$B$38&lt;&gt;"pvp",Inputs!$B$43&gt;0),((Skills!F6*((R2742-1)*IF(Skills!G6&gt;0,Skills!H6/Skills!G6,1)+IF(Skills!G6&gt;0,MIN(Skills!H6,MAX(0,MAX(0,Inputs!$B$43-B2769)-((R2742-1)*IF(Inputs!$B$38="pvp",15,MAX(0.1,Skills!D6-IF(Skills!E6=TRUE,4.0,0))))))/Skills!G6,1)))/Inputs!$B$43),G2742*Q2742))*IF(Inputs!$B$38="pvp",1,(1+(Inputs!$B$21+Skills!P6+B2763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Skills!A7</f>
        <v/>
      </c>
      <c r="B2743">
        <f>Skills!B7</f>
        <v/>
      </c>
      <c r="C2743">
        <f>Inputs!$B$3&gt;=69</f>
        <v/>
      </c>
      <c r="D2743">
        <f>IF(Skills!C7=1,60+Inputs!$B$25+Inputs!$B$29,IF(Skills!C7=2,90+Inputs!$B$26+Inputs!$B$29,IF(Skills!C7=3,120+Inputs!$B$27+Inputs!$B$29,MAX(0,(Inputs!$B$3-100)*3)+Inputs!$B$28+Inputs!$B$29)))</f>
        <v/>
      </c>
      <c r="E2743">
        <f>INDEX(FactorTable!$B$2:$Y$301, MATCH(ROUND(MIN(300,MAX(1,D2743)),0), FactorTable!$A$2:$A$301,0), Skills!L7+1)</f>
        <v/>
      </c>
      <c r="F2743">
        <f>IF(Skills!M7=TRUE,(Skills!K7/10)*(E2743/1000),Skills!K7/10)+Skills!N7</f>
        <v/>
      </c>
      <c r="G2743">
        <f>Calc!G7</f>
        <v/>
      </c>
      <c r="H2743">
        <f>Calc!H7</f>
        <v/>
      </c>
      <c r="I2743">
        <f>IF(Skills!T7&lt;&gt;"",1+(Skills!T7/10)*(Z2739/1000)/100,1)</f>
        <v/>
      </c>
      <c r="J2743">
        <f>((Inputs!$B$6*(1+Inputs!$B$7/100))+(((Inputs!$B$12*(1+Inputs!$B$13/100))-(Inputs!$B$12*(1+Inputs!$B$13/100)))+0.25*(Inputs!$B$14-Inputs!$B$14))*(1+Inputs!$B$7/100))*(F2743/100)</f>
        <v/>
      </c>
      <c r="K2743">
        <f>J2743*(1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F2754-Calc!F18),(Inputs!$B$23+(IF(ArtifactsInput!$M$15,CHOOSE(ArtifactsInput!$N$15+1,25,30,35,40,45,50)/100*(Inputs!$B$11-Inputs!$B$11),0))))/100+(Inputs!$B$23+(IF(ArtifactsInput!$M$15,CHOOSE(ArtifactsInput!$N$15+1,25,30,35,40,45,50)/100*(Inputs!$B$11-Inputs!$B$11),0)))/100)/2</f>
        <v/>
      </c>
      <c r="M2743">
        <f>L2743*(1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(1-Summary!$B$11)*S2743+Summary!$B$11*U2743</f>
        <v/>
      </c>
      <c r="P2743">
        <f>IF(B2772=0,0,O2743/B2772)</f>
        <v/>
      </c>
      <c r="Q2743">
        <f>IFERROR(1/IF(Inputs!$B$38="pvp",15,MAX(0.1,Skills!D7-IF(Skills!E7=TRUE,4.0,0))),0)</f>
        <v/>
      </c>
      <c r="R2743">
        <f>IF(AND(Inputs!$B$38&lt;&gt;"pvp",Inputs!$B$43&gt;0),IF(MAX(0,Inputs!$B$43-B2769)&lt;=0,0,(INT(MAX(0,Inputs!$B$43-B2769)/IF(Inputs!$B$38="pvp",15,MAX(0.1,Skills!D7-IF(Skills!E7=TRUE,4.0,0))))+1)),0)</f>
        <v/>
      </c>
      <c r="S2743">
        <f>IF(C2743,(H2743*N2743*IF(AND(Inputs!$B$38&lt;&gt;"pvp",Inputs!$B$43&gt;0),((Skills!F7*((R2743-1)*IF(Skills!G7&gt;0,Skills!H7/Skills!G7,1)+IF(Skills!G7&gt;0,MIN(Skills!H7,MAX(0,MAX(0,Inputs!$B$43-B2769)-((R2743-1)*IF(Inputs!$B$38="pvp",15,MAX(0.1,Skills!D7-IF(Skills!E7=TRUE,4.0,0))))))/Skills!G7,1)))/Inputs!$B$43),G2743*Q2743))*IF(Inputs!$B$38="pvp",1,1+(Inputs!$B$20+Skills!O7+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2743*(1-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3">
        <f>IF(C2743,(H2743*N2743*IF(AND(Inputs!$B$38&lt;&gt;"pvp",Inputs!$B$43&gt;0),((Skills!F7*((R2743-1)*IF(Skills!G7&gt;0,Skills!H7/Skills!G7,1)+IF(Skills!G7&gt;0,MIN(Skills!H7,MAX(0,MAX(0,Inputs!$B$43-B2769)-((R2743-1)*IF(Inputs!$B$38="pvp",15,MAX(0.1,Skills!D7-IF(Skills!E7=TRUE,4.0,0))))))/Skills!G7,1)))/Inputs!$B$43),G2743*Q2743))*IF(Inputs!$B$38="pvp",1,(1+(Inputs!$B$21+Skills!P7+B2763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Skills!A8</f>
        <v/>
      </c>
      <c r="B2744">
        <f>Skills!B8</f>
        <v/>
      </c>
      <c r="C2744">
        <f>Inputs!$B$3&gt;=103</f>
        <v/>
      </c>
      <c r="D2744">
        <f>IF(Skills!C8=1,60+Inputs!$B$25+Inputs!$B$29,IF(Skills!C8=2,90+Inputs!$B$26+Inputs!$B$29,IF(Skills!C8=3,120+Inputs!$B$27+Inputs!$B$29,MAX(0,(Inputs!$B$3-100)*3)+Inputs!$B$28+Inputs!$B$29)))</f>
        <v/>
      </c>
      <c r="E2744">
        <f>INDEX(FactorTable!$B$2:$Y$301, MATCH(ROUND(MIN(300,MAX(1,D2744)),0), FactorTable!$A$2:$A$301,0), Skills!L8+1)</f>
        <v/>
      </c>
      <c r="F2744">
        <f>IF(Skills!M8=TRUE,(Skills!K8/10)*(E2744/1000),Skills!K8/10)+Skills!N8</f>
        <v/>
      </c>
      <c r="G2744">
        <f>Calc!G8</f>
        <v/>
      </c>
      <c r="H2744">
        <f>Calc!H8</f>
        <v/>
      </c>
      <c r="I2744">
        <f>IF(Skills!T8&lt;&gt;"",1+(Skills!T8/10)*(Z2739/1000)/100,1)</f>
        <v/>
      </c>
      <c r="J2744">
        <f>((Inputs!$B$6*(1+Inputs!$B$7/100))+(((Inputs!$B$12*(1+Inputs!$B$13/100))-(Inputs!$B$12*(1+Inputs!$B$13/100)))+0.25*(Inputs!$B$14-Inputs!$B$14))*(1+Inputs!$B$7/100))*(F2744/100)</f>
        <v/>
      </c>
      <c r="K2744">
        <f>J2744*(1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F2754-Calc!F18),(Inputs!$B$23+(IF(ArtifactsInput!$M$15,CHOOSE(ArtifactsInput!$N$15+1,25,30,35,40,45,50)/100*(Inputs!$B$11-Inputs!$B$11),0))))/100+(Inputs!$B$23+(IF(ArtifactsInput!$M$15,CHOOSE(ArtifactsInput!$N$15+1,25,30,35,40,45,50)/100*(Inputs!$B$11-Inputs!$B$11),0)))/100)/2</f>
        <v/>
      </c>
      <c r="M2744">
        <f>L2744*(1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(1-Summary!$B$11)*S2744+Summary!$B$11*U2744</f>
        <v/>
      </c>
      <c r="P2744">
        <f>IF(B2772=0,0,O2744/B2772)</f>
        <v/>
      </c>
      <c r="Q2744">
        <f>IFERROR(1/IF(Inputs!$B$38="pvp",15,MAX(0.1,Skills!D8-IF(Skills!E8=TRUE,4.0,0))),0)</f>
        <v/>
      </c>
      <c r="R2744">
        <f>IF(AND(Inputs!$B$38&lt;&gt;"pvp",Inputs!$B$43&gt;0),IF(MAX(0,Inputs!$B$43-B2769)&lt;=0,0,(INT(MAX(0,Inputs!$B$43-B2769)/IF(Inputs!$B$38="pvp",15,MAX(0.1,Skills!D8-IF(Skills!E8=TRUE,4.0,0))))+1)),0)</f>
        <v/>
      </c>
      <c r="S2744">
        <f>IF(C2744,(H2744*N2744*IF(AND(Inputs!$B$38&lt;&gt;"pvp",Inputs!$B$43&gt;0),((Skills!F8*((R2744-1)*IF(Skills!G8&gt;0,Skills!H8/Skills!G8,1)+IF(Skills!G8&gt;0,MIN(Skills!H8,MAX(0,MAX(0,Inputs!$B$43-B2769)-((R2744-1)*IF(Inputs!$B$38="pvp",15,MAX(0.1,Skills!D8-IF(Skills!E8=TRUE,4.0,0))))))/Skills!G8,1)))/Inputs!$B$43),G2744*Q2744))*IF(Inputs!$B$38="pvp",1,1+(Inputs!$B$20+Skills!O8+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4">
        <f>IF(C2744,(H2744*N2744*IF(AND(Inputs!$B$38&lt;&gt;"pvp",Inputs!$B$43&gt;0),((Skills!F8*((R2744-1)*IF(Skills!G8&gt;0,Skills!H8/Skills!G8,1)+IF(Skills!G8&gt;0,MIN(Skills!H8,MAX(0,MAX(0,Inputs!$B$43-B2769)-((R2744-1)*IF(Inputs!$B$38="pvp",15,MAX(0.1,Skills!D8-IF(Skills!E8=TRUE,4.0,0))))))/Skills!G8,1)))/Inputs!$B$43),G2744*Q2744))*IF(Inputs!$B$38="pvp",1,(1+(Inputs!$B$21+Skills!P8+B2763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Skills!A9</f>
        <v/>
      </c>
      <c r="B2745">
        <f>Skills!B9</f>
        <v/>
      </c>
      <c r="C2745">
        <f>Inputs!$B$3&gt;=105</f>
        <v/>
      </c>
      <c r="D2745">
        <f>IF(Skills!C9=1,60+Inputs!$B$25+Inputs!$B$29,IF(Skills!C9=2,90+Inputs!$B$26+Inputs!$B$29,IF(Skills!C9=3,120+Inputs!$B$27+Inputs!$B$29,MAX(0,(Inputs!$B$3-100)*3)+Inputs!$B$28+Inputs!$B$29)))</f>
        <v/>
      </c>
      <c r="E2745">
        <f>INDEX(FactorTable!$B$2:$Y$301, MATCH(ROUND(MIN(300,MAX(1,D2745)),0), FactorTable!$A$2:$A$301,0), Skills!L9+1)</f>
        <v/>
      </c>
      <c r="F2745">
        <f>IF(Skills!M9=TRUE,(Skills!K9/10)*(E2745/1000),Skills!K9/10)+Skills!N9</f>
        <v/>
      </c>
      <c r="G2745">
        <f>Calc!G9</f>
        <v/>
      </c>
      <c r="H2745">
        <f>Calc!H9</f>
        <v/>
      </c>
      <c r="I2745">
        <f>IF(Skills!T9&lt;&gt;"",1+(Skills!T9/10)*(Z2739/1000)/100,1)</f>
        <v/>
      </c>
      <c r="J2745">
        <f>((Inputs!$B$6*(1+Inputs!$B$7/100))+(((Inputs!$B$12*(1+Inputs!$B$13/100))-(Inputs!$B$12*(1+Inputs!$B$13/100)))+0.25*(Inputs!$B$14-Inputs!$B$14))*(1+Inputs!$B$7/100))*(F2745/100)</f>
        <v/>
      </c>
      <c r="K2745">
        <f>J2745*(1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F2754-Calc!F18),(Inputs!$B$23+(IF(ArtifactsInput!$M$15,CHOOSE(ArtifactsInput!$N$15+1,25,30,35,40,45,50)/100*(Inputs!$B$11-Inputs!$B$11),0))))/100+(Inputs!$B$23+(IF(ArtifactsInput!$M$15,CHOOSE(ArtifactsInput!$N$15+1,25,30,35,40,45,50)/100*(Inputs!$B$11-Inputs!$B$11),0)))/100)/2</f>
        <v/>
      </c>
      <c r="M2745">
        <f>L2745*(1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(1-Summary!$B$11)*S2745+Summary!$B$11*U2745</f>
        <v/>
      </c>
      <c r="P2745">
        <f>IF(B2772=0,0,O2745/B2772)</f>
        <v/>
      </c>
      <c r="Q2745">
        <f>IFERROR(1/IF(Inputs!$B$38="pvp",15,MAX(0.1,Skills!D9-IF(Skills!E9=TRUE,4.0,0))),0)</f>
        <v/>
      </c>
      <c r="R2745">
        <f>IF(AND(Inputs!$B$38&lt;&gt;"pvp",Inputs!$B$43&gt;0),IF(MAX(0,Inputs!$B$43-B2769)&lt;=0,0,(INT(MAX(0,Inputs!$B$43-B2769)/IF(Inputs!$B$38="pvp",15,MAX(0.1,Skills!D9-IF(Skills!E9=TRUE,4.0,0))))+1)),0)</f>
        <v/>
      </c>
      <c r="S2745">
        <f>IF(C2745,(H2745*N2745*IF(AND(Inputs!$B$38&lt;&gt;"pvp",Inputs!$B$43&gt;0),((Skills!F9*((R2745-1)*IF(Skills!G9&gt;0,Skills!H9/Skills!G9,1)+IF(Skills!G9&gt;0,MIN(Skills!H9,MAX(0,MAX(0,Inputs!$B$43-B2769)-((R2745-1)*IF(Inputs!$B$38="pvp",15,MAX(0.1,Skills!D9-IF(Skills!E9=TRUE,4.0,0))))))/Skills!G9,1)))/Inputs!$B$43),G2745*Q2745))*IF(Inputs!$B$38="pvp",1,1+(Inputs!$B$20+Skills!O9+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2745*(1-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5">
        <f>IF(C2745,(H2745*N2745*IF(AND(Inputs!$B$38&lt;&gt;"pvp",Inputs!$B$43&gt;0),((Skills!F9*((R2745-1)*IF(Skills!G9&gt;0,Skills!H9/Skills!G9,1)+IF(Skills!G9&gt;0,MIN(Skills!H9,MAX(0,MAX(0,Inputs!$B$43-B2769)-((R2745-1)*IF(Inputs!$B$38="pvp",15,MAX(0.1,Skills!D9-IF(Skills!E9=TRUE,4.0,0))))))/Skills!G9,1)))/Inputs!$B$43),G2745*Q2745))*IF(Inputs!$B$38="pvp",1,(1+(Inputs!$B$21+Skills!P9+B2763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Skills!A10</f>
        <v/>
      </c>
      <c r="B2746">
        <f>Skills!B10</f>
        <v/>
      </c>
      <c r="C2746">
        <f>Inputs!$B$3&gt;=113</f>
        <v/>
      </c>
      <c r="D2746">
        <f>IF(Skills!C10=1,60+Inputs!$B$25+Inputs!$B$29,IF(Skills!C10=2,90+Inputs!$B$26+Inputs!$B$29,IF(Skills!C10=3,120+Inputs!$B$27+Inputs!$B$29,MAX(0,(Inputs!$B$3-100)*3)+Inputs!$B$28+Inputs!$B$29)))</f>
        <v/>
      </c>
      <c r="E2746">
        <f>INDEX(FactorTable!$B$2:$Y$301, MATCH(ROUND(MIN(300,MAX(1,D2746)),0), FactorTable!$A$2:$A$301,0), Skills!L10+1)</f>
        <v/>
      </c>
      <c r="F2746">
        <f>IF(Skills!M10=TRUE,(Skills!K10/10)*(E2746/1000),Skills!K10/10)+Skills!N10</f>
        <v/>
      </c>
      <c r="G2746">
        <f>Calc!G10</f>
        <v/>
      </c>
      <c r="H2746">
        <f>Calc!H10</f>
        <v/>
      </c>
      <c r="I2746">
        <f>IF(Skills!T10&lt;&gt;"",1+(Skills!T10/10)*(Z2739/1000)/100,1)</f>
        <v/>
      </c>
      <c r="J2746">
        <f>((Inputs!$B$6*(1+Inputs!$B$7/100))+(((Inputs!$B$12*(1+Inputs!$B$13/100))-(Inputs!$B$12*(1+Inputs!$B$13/100)))+0.25*(Inputs!$B$14-Inputs!$B$14))*(1+Inputs!$B$7/100))*(F2746/100)</f>
        <v/>
      </c>
      <c r="K2746">
        <f>J2746*(1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F2754-Calc!F18),(Inputs!$B$23+(IF(ArtifactsInput!$M$15,CHOOSE(ArtifactsInput!$N$15+1,25,30,35,40,45,50)/100*(Inputs!$B$11-Inputs!$B$11),0))))/100+(Inputs!$B$23+(IF(ArtifactsInput!$M$15,CHOOSE(ArtifactsInput!$N$15+1,25,30,35,40,45,50)/100*(Inputs!$B$11-Inputs!$B$11),0)))/100)/2</f>
        <v/>
      </c>
      <c r="M2746">
        <f>L2746*(1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(1-Summary!$B$11)*S2746+Summary!$B$11*U2746</f>
        <v/>
      </c>
      <c r="P2746">
        <f>IF(B2772=0,0,O2746/B2772)</f>
        <v/>
      </c>
      <c r="Q2746">
        <f>IFERROR(1/IF(Inputs!$B$38="pvp",15,MAX(0.1,Skills!D10-IF(Skills!E9=TRUE,4.0,0))),0)</f>
        <v/>
      </c>
      <c r="R2746">
        <f>IF(AND(Inputs!$B$38&lt;&gt;"pvp",Inputs!$B$43&gt;0),IF(MAX(0,Inputs!$B$43-B2769)&lt;=0,0,(INT(MAX(0,Inputs!$B$43-B2769)/IF(Inputs!$B$38="pvp",15,MAX(0.1,Skills!D10-IF(Skills!E9=TRUE,4.0,0))))+1)),0)</f>
        <v/>
      </c>
      <c r="S2746">
        <f>IF(C2746,(H2746*N2746*IF(AND(Inputs!$B$38&lt;&gt;"pvp",Inputs!$B$43&gt;0),((Skills!F10*((R2746-1)*IF(Skills!G10&gt;0,Skills!H10/Skills!G10,1)+IF(Skills!G10&gt;0,MIN(Skills!H10,MAX(0,MAX(0,Inputs!$B$43-B2769)-((R2746-1)*IF(Inputs!$B$38="pvp",15,MAX(0.1,Skills!D10-IF(Skills!E9=TRUE,4.0,0))))))/Skills!G10,1)))/Inputs!$B$43),G2746*Q2746))*IF(Inputs!$B$38="pvp",1,1+(Inputs!$B$20+Skills!O10+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2746*(1-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6">
        <f>IF(C2746,(H2746*N2746*IF(AND(Inputs!$B$38&lt;&gt;"pvp",Inputs!$B$43&gt;0),((Skills!F10*((R2746-1)*IF(Skills!G10&gt;0,Skills!H10/Skills!G10,1)+IF(Skills!G10&gt;0,MIN(Skills!H10,MAX(0,MAX(0,Inputs!$B$43-B2769)-((R2746-1)*IF(Inputs!$B$38="pvp",15,MAX(0.1,Skills!D10-IF(Skills!E9=TRUE,4.0,0))))))/Skills!G10,1)))/Inputs!$B$43),G2746*Q2746))*IF(Inputs!$B$38="pvp",1,(1+(Inputs!$B$21+Skills!P10+B2763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Skills!A11</f>
        <v/>
      </c>
      <c r="B2747">
        <f>Skills!B11</f>
        <v/>
      </c>
      <c r="C2747">
        <f>Inputs!$B$3&gt;=107</f>
        <v/>
      </c>
      <c r="D2747">
        <f>IF(Skills!C11=1,60+Inputs!$B$25+Inputs!$B$29,IF(Skills!C11=2,90+Inputs!$B$26+Inputs!$B$29,IF(Skills!C11=3,120+Inputs!$B$27+Inputs!$B$29,MAX(0,(Inputs!$B$3-100)*3)+Inputs!$B$28+Inputs!$B$29)))</f>
        <v/>
      </c>
      <c r="E2747">
        <f>INDEX(FactorTable!$B$2:$Y$301, MATCH(ROUND(MIN(300,MAX(1,D2747)),0), FactorTable!$A$2:$A$301,0), Skills!L11+1)</f>
        <v/>
      </c>
      <c r="F2747">
        <f>IF(Skills!M11=TRUE,(Skills!K11/10)*(E2747/1000),Skills!K11/10)+Skills!N11</f>
        <v/>
      </c>
      <c r="G2747">
        <f>Calc!G11</f>
        <v/>
      </c>
      <c r="H2747">
        <f>Calc!H11</f>
        <v/>
      </c>
      <c r="I2747">
        <f>IF(Skills!T11&lt;&gt;"",1+(Skills!T11/10)*(Z2739/1000)/100,1)</f>
        <v/>
      </c>
      <c r="J2747">
        <f>((Inputs!$B$6*(1+Inputs!$B$7/100))+(((Inputs!$B$12*(1+Inputs!$B$13/100))-(Inputs!$B$12*(1+Inputs!$B$13/100)))+0.25*(Inputs!$B$14-Inputs!$B$14))*(1+Inputs!$B$7/100))*(F2747/100)</f>
        <v/>
      </c>
      <c r="K2747">
        <f>J2747*(1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F2754-Calc!F18),(Inputs!$B$23+(IF(ArtifactsInput!$M$15,CHOOSE(ArtifactsInput!$N$15+1,25,30,35,40,45,50)/100*(Inputs!$B$11-Inputs!$B$11),0))))/100+(Inputs!$B$23+(IF(ArtifactsInput!$M$15,CHOOSE(ArtifactsInput!$N$15+1,25,30,35,40,45,50)/100*(Inputs!$B$11-Inputs!$B$11),0)))/100)/2</f>
        <v/>
      </c>
      <c r="M2747">
        <f>L2747*(1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(1-Summary!$B$11)*S2747+Summary!$B$11*U2747</f>
        <v/>
      </c>
      <c r="P2747">
        <f>IF(B2772=0,0,O2747/B2772)</f>
        <v/>
      </c>
      <c r="Q2747">
        <f>IFERROR(1/IF(Inputs!$B$38="pvp",15,MAX(0.1,Skills!D11-IF(Skills!E11=TRUE,4.0,0))),0)</f>
        <v/>
      </c>
      <c r="R2747">
        <f>IF(AND(Inputs!$B$38&lt;&gt;"pvp",Inputs!$B$43&gt;0),IF(MAX(0,Inputs!$B$43-B2769)&lt;=0,0,(INT(MAX(0,Inputs!$B$43-B2769)/IF(Inputs!$B$38="pvp",15,MAX(0.1,Skills!D11-IF(Skills!E11=TRUE,4.0,0))))+1)),0)</f>
        <v/>
      </c>
      <c r="S2747">
        <f>IF(C2747,H2747*N2747*IF(AND(Inputs!$B$38&lt;&gt;"pvp",Inputs!$B$43&gt;0),((Skills!F11*((R2747-1)*IF(Skills!G11&gt;0,Skills!H11/Skills!G11,1)+IF(Skills!G11&gt;0,MIN(Skills!H11,MAX(0,MAX(0,Inputs!$B$43-B2769)-((R2747-1)*IF(Inputs!$B$38="pvp",15,MAX(0.1,Skills!D11-IF(Skills!E11=TRUE,4.0,0))))))/Skills!G11,1)))/Inputs!$B$43),G2747*Q2747)*0.5*IF(Inputs!$B$38="pvp",1,1+(Inputs!$B$20+Skills!O11+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2747*(1-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7">
        <f>IF(C2747,H2747*N2747*IF(AND(Inputs!$B$38&lt;&gt;"pvp",Inputs!$B$43&gt;0),((Skills!F11*((R2747-1)*IF(Skills!G11&gt;0,Skills!H11/Skills!G11,1)+IF(Skills!G11&gt;0,MIN(Skills!H11,MAX(0,MAX(0,Inputs!$B$43-B2769)-((R2747-1)*IF(Inputs!$B$38="pvp",15,MAX(0.1,Skills!D11-IF(Skills!E11=TRUE,4.0,0))))))/Skills!G11,1)))/Inputs!$B$43),G2747*Q2747)*1*IF(Inputs!$B$38="pvp",1,(1+(Inputs!$B$21+Skills!P11+B2763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Skills!A12</f>
        <v/>
      </c>
      <c r="B2748">
        <f>Skills!B12</f>
        <v/>
      </c>
      <c r="C2748">
        <f>Inputs!$B$3&gt;=115</f>
        <v/>
      </c>
      <c r="D2748">
        <f>IF(Skills!C12=1,60+Inputs!$B$25+Inputs!$B$29,IF(Skills!C12=2,90+Inputs!$B$26+Inputs!$B$29,IF(Skills!C12=3,120+Inputs!$B$27+Inputs!$B$29,MAX(0,(Inputs!$B$3-100)*3)+Inputs!$B$28+Inputs!$B$29)))</f>
        <v/>
      </c>
      <c r="E2748">
        <f>INDEX(FactorTable!$B$2:$Y$301, MATCH(ROUND(MIN(300,MAX(1,D2748)),0), FactorTable!$A$2:$A$301,0), Skills!L12+1)</f>
        <v/>
      </c>
      <c r="F2748">
        <f>IF(Skills!M12=TRUE,(Skills!K12/10)*(E2748/1000),Skills!K12/10)+Skills!N12</f>
        <v/>
      </c>
      <c r="G2748">
        <f>Calc!G12</f>
        <v/>
      </c>
      <c r="H2748">
        <f>Calc!H12</f>
        <v/>
      </c>
      <c r="I2748">
        <f>IF(Skills!T12&lt;&gt;"",1+(Skills!T12/10)*(Z2739/1000)/100,1)</f>
        <v/>
      </c>
      <c r="J2748">
        <f>((Inputs!$B$6*(1+Inputs!$B$7/100))+(((Inputs!$B$12*(1+Inputs!$B$13/100))-(Inputs!$B$12*(1+Inputs!$B$13/100)))+0.25*(Inputs!$B$14-Inputs!$B$14))*(1+Inputs!$B$7/100))*(F2748/100)</f>
        <v/>
      </c>
      <c r="K2748">
        <f>J2748*(1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F2754-Calc!F18),(Inputs!$B$23+(IF(ArtifactsInput!$M$15,CHOOSE(ArtifactsInput!$N$15+1,25,30,35,40,45,50)/100*(Inputs!$B$11-Inputs!$B$11),0))))/100+(Inputs!$B$23+(IF(ArtifactsInput!$M$15,CHOOSE(ArtifactsInput!$N$15+1,25,30,35,40,45,50)/100*(Inputs!$B$11-Inputs!$B$11),0)))/100)/2</f>
        <v/>
      </c>
      <c r="M2748">
        <f>L2748*(1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(1-Summary!$B$11)*S2748+Summary!$B$11*U2748</f>
        <v/>
      </c>
      <c r="P2748">
        <f>IF(B2772=0,0,O2748/B2772)</f>
        <v/>
      </c>
      <c r="Q2748">
        <f>IFERROR(1/IF(Inputs!$B$38="pvp",15,MAX(0.1,Skills!D12-IF(Skills!E12=TRUE,4.0,0))),0)</f>
        <v/>
      </c>
      <c r="R2748">
        <f>IF(AND(Inputs!$B$38&lt;&gt;"pvp",Inputs!$B$43&gt;0),IF(MAX(0,Inputs!$B$43-B2769)&lt;=0,0,(INT(MAX(0,Inputs!$B$43-B2769)/IF(Inputs!$B$38="pvp",15,MAX(0.1,Skills!D12-IF(Skills!E12=TRUE,4.0,0))))+1)),0)</f>
        <v/>
      </c>
      <c r="S2748">
        <f>IF(C2748,(H2748*N2748*IF(AND(Inputs!$B$38&lt;&gt;"pvp",Inputs!$B$43&gt;0),((Skills!F12*((R2748-1)*IF(Skills!G12&gt;0,Skills!H12/Skills!G12,1)+IF(Skills!G12&gt;0,MIN(Skills!H12,MAX(0,MAX(0,Inputs!$B$43-B2769)-((R2748-1)*IF(Inputs!$B$38="pvp",15,MAX(0.1,Skills!D12-IF(Skills!E12=TRUE,4.0,0))))))/Skills!G12,1)))/Inputs!$B$43),G2748*Q2748))*IF(Inputs!$B$38="pvp",1,1+(Inputs!$B$20+Skills!O12+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8">
        <f>IF(C2748,(H2748*N2748*IF(AND(Inputs!$B$38&lt;&gt;"pvp",Inputs!$B$43&gt;0),((Skills!F12*((R2748-1)*IF(Skills!G12&gt;0,Skills!H12/Skills!G12,1)+IF(Skills!G12&gt;0,MIN(Skills!H12,MAX(0,MAX(0,Inputs!$B$43-B2769)-((R2748-1)*IF(Inputs!$B$38="pvp",15,MAX(0.1,Skills!D12-IF(Skills!E12=TRUE,4.0,0))))))/Skills!G12,1)))/Inputs!$B$43),G2748*Q2748))*IF(Inputs!$B$38="pvp",1,(1+(Inputs!$B$21+Skills!P12+B2763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Skills!A13</f>
        <v/>
      </c>
      <c r="B2749">
        <f>Skills!B13</f>
        <v/>
      </c>
      <c r="C2749">
        <f>Inputs!$B$3&gt;=49</f>
        <v/>
      </c>
      <c r="D2749">
        <f>IF(Skills!C13=1,60+Inputs!$B$25+Inputs!$B$29,IF(Skills!C13=2,90+Inputs!$B$26+Inputs!$B$29,IF(Skills!C13=3,120+Inputs!$B$27+Inputs!$B$29,MAX(0,(Inputs!$B$3-100)*3)+Inputs!$B$28+Inputs!$B$29)))</f>
        <v/>
      </c>
      <c r="E2749">
        <f>INDEX(FactorTable!$B$2:$Y$301, MATCH(ROUND(MIN(300,MAX(1,D2749)),0), FactorTable!$A$2:$A$301,0), Skills!L13+1)</f>
        <v/>
      </c>
      <c r="F2749">
        <f>IF(Skills!M13=TRUE,(Skills!K13/10)*(E2749/1000),Skills!K13/10)+Skills!N13</f>
        <v/>
      </c>
      <c r="G2749">
        <f>Calc!G13</f>
        <v/>
      </c>
      <c r="H2749">
        <f>Calc!H13</f>
        <v/>
      </c>
      <c r="I2749">
        <f>IF(Skills!T13&lt;&gt;"",1+(Skills!T13/10)*(Z2739/1000)/100,1)</f>
        <v/>
      </c>
      <c r="J2749" t="inlineStr"/>
      <c r="K2749" t="inlineStr"/>
      <c r="L2749" t="inlineStr"/>
      <c r="M2749" t="inlineStr"/>
      <c r="N2749" t="inlineStr"/>
      <c r="O2749">
        <f>(1-Summary!$B$11)*S2749+Summary!$B$11*U2749</f>
        <v/>
      </c>
      <c r="P2749">
        <f>IF(B2772=0,0,O2749/B2772)</f>
        <v/>
      </c>
      <c r="Q2749">
        <f>IFERROR(1/IF(Inputs!$B$38="pvp",15,MAX(0.1,Skills!D13-IF(Skills!E13=TRUE,4.0,0))),0)</f>
        <v/>
      </c>
      <c r="R2749" t="n">
        <v>0</v>
      </c>
      <c r="S2749" t="n">
        <v>0</v>
      </c>
      <c r="U2749" t="n">
        <v>0</v>
      </c>
    </row>
    <row r="2750">
      <c r="A2750">
        <f>Skills!A14</f>
        <v/>
      </c>
      <c r="B2750">
        <f>Skills!B14</f>
        <v/>
      </c>
      <c r="C2750">
        <f>Inputs!$B$3&gt;=72</f>
        <v/>
      </c>
      <c r="D2750">
        <f>IF(Skills!C14=1,60+Inputs!$B$25+Inputs!$B$29,IF(Skills!C14=2,90+Inputs!$B$26+Inputs!$B$29,IF(Skills!C14=3,120+Inputs!$B$27+Inputs!$B$29,MAX(0,(Inputs!$B$3-100)*3)+Inputs!$B$28+Inputs!$B$29)))</f>
        <v/>
      </c>
      <c r="E2750">
        <f>INDEX(FactorTable!$B$2:$Y$301, MATCH(ROUND(MIN(300,MAX(1,D2750)),0), FactorTable!$A$2:$A$301,0), Skills!L14+1)</f>
        <v/>
      </c>
      <c r="F2750">
        <f>IF(Skills!M14=TRUE,(Skills!K14/10)*(E2750/1000),Skills!K14/10)+Skills!N14</f>
        <v/>
      </c>
      <c r="G2750">
        <f>Calc!G14</f>
        <v/>
      </c>
      <c r="H2750">
        <f>Calc!H14</f>
        <v/>
      </c>
      <c r="I2750">
        <f>IF(Skills!T14&lt;&gt;"",1+(Skills!T14/10)*(Z2739/1000)/100,1)</f>
        <v/>
      </c>
      <c r="J2750" t="inlineStr"/>
      <c r="K2750" t="inlineStr"/>
      <c r="L2750" t="inlineStr"/>
      <c r="M2750" t="inlineStr"/>
      <c r="N2750" t="inlineStr"/>
      <c r="O2750">
        <f>(1-Summary!$B$11)*S2750+Summary!$B$11*U2750</f>
        <v/>
      </c>
      <c r="P2750">
        <f>IF(B2772=0,0,O2750/B2772)</f>
        <v/>
      </c>
      <c r="Q2750">
        <f>IFERROR(1/IF(Inputs!$B$38="pvp",15,MAX(0.1,Skills!D14-IF(Skills!E14=TRUE,4.0,0))),0)</f>
        <v/>
      </c>
      <c r="R2750" t="n">
        <v>0</v>
      </c>
      <c r="S2750" t="n">
        <v>0</v>
      </c>
      <c r="U2750" t="n">
        <v>0</v>
      </c>
    </row>
    <row r="2751">
      <c r="A2751">
        <f>Skills!A15</f>
        <v/>
      </c>
      <c r="B2751">
        <f>Skills!B15</f>
        <v/>
      </c>
      <c r="C2751">
        <f>Inputs!$B$3&gt;=75</f>
        <v/>
      </c>
      <c r="D2751">
        <f>IF(Skills!C15=1,60+Inputs!$B$25+Inputs!$B$29,IF(Skills!C15=2,90+Inputs!$B$26+Inputs!$B$29,IF(Skills!C15=3,120+Inputs!$B$27+Inputs!$B$29,MAX(0,(Inputs!$B$3-100)*3)+Inputs!$B$28+Inputs!$B$29)))</f>
        <v/>
      </c>
      <c r="E2751">
        <f>INDEX(FactorTable!$B$2:$Y$301, MATCH(ROUND(MIN(300,MAX(1,D2751)),0), FactorTable!$A$2:$A$301,0), Skills!L15+1)</f>
        <v/>
      </c>
      <c r="F2751">
        <f>IF(Skills!M15=TRUE,(Skills!K15/10)*(E2751/1000),Skills!K15/10)+Skills!N15</f>
        <v/>
      </c>
      <c r="G2751">
        <f>Calc!G15</f>
        <v/>
      </c>
      <c r="H2751">
        <f>Calc!H15</f>
        <v/>
      </c>
      <c r="I2751">
        <f>IF(Skills!T15&lt;&gt;"",1+(Skills!T15/10)*(Z2739/1000)/100,1)</f>
        <v/>
      </c>
      <c r="J2751" t="inlineStr"/>
      <c r="K2751" t="inlineStr"/>
      <c r="L2751" t="inlineStr"/>
      <c r="M2751" t="inlineStr"/>
      <c r="N2751" t="inlineStr"/>
      <c r="O2751">
        <f>(1-Summary!$B$11)*S2751+Summary!$B$11*U2751</f>
        <v/>
      </c>
      <c r="P2751">
        <f>IF(B2772=0,0,O2751/B2772)</f>
        <v/>
      </c>
      <c r="Q2751">
        <f>IFERROR(1/IF(Inputs!$B$38="pvp",15,MAX(0.1,Skills!D15-IF(Skills!E15=TRUE,4.0,0))),0)</f>
        <v/>
      </c>
      <c r="R2751" t="n">
        <v>0</v>
      </c>
      <c r="S2751" t="n">
        <v>0</v>
      </c>
      <c r="U2751" t="n">
        <v>0</v>
      </c>
    </row>
    <row r="2752">
      <c r="A2752">
        <f>Skills!A16</f>
        <v/>
      </c>
      <c r="B2752">
        <f>Skills!B16</f>
        <v/>
      </c>
      <c r="C2752">
        <f>Inputs!$B$3&gt;=110</f>
        <v/>
      </c>
      <c r="D2752">
        <f>IF(Skills!C16=1,60+Inputs!$B$25+Inputs!$B$29,IF(Skills!C16=2,90+Inputs!$B$26+Inputs!$B$29,IF(Skills!C16=3,120+Inputs!$B$27+Inputs!$B$29,MAX(0,(Inputs!$B$3-100)*3)+Inputs!$B$28+Inputs!$B$29)))</f>
        <v/>
      </c>
      <c r="E2752">
        <f>INDEX(FactorTable!$B$2:$Y$301, MATCH(ROUND(MIN(300,MAX(1,D2752)),0), FactorTable!$A$2:$A$301,0), Skills!L16+1)</f>
        <v/>
      </c>
      <c r="F2752">
        <f>(Skills!K16/10)*(E2752/1000)*64/45+Skills!N16</f>
        <v/>
      </c>
      <c r="G2752">
        <f>Calc!G16</f>
        <v/>
      </c>
      <c r="H2752">
        <f>Calc!H16</f>
        <v/>
      </c>
      <c r="I2752">
        <f>IF(Skills!T16&lt;&gt;"",1+(Skills!T16/10)*(Z2739/1000)/100,1)</f>
        <v/>
      </c>
      <c r="J2752" t="inlineStr"/>
      <c r="K2752" t="inlineStr"/>
      <c r="L2752" t="inlineStr"/>
      <c r="M2752" t="inlineStr"/>
      <c r="N2752" t="inlineStr"/>
      <c r="O2752">
        <f>(1-Summary!$B$11)*S2752+Summary!$B$11*U2752</f>
        <v/>
      </c>
      <c r="P2752">
        <f>IF(B2772=0,0,O2752/B2772)</f>
        <v/>
      </c>
      <c r="Q2752">
        <f>IFERROR(1/IF(Inputs!$B$38="pvp",15,MAX(0.1,Skills!D16-IF(Skills!E16=TRUE,4.0,0))),0)</f>
        <v/>
      </c>
      <c r="R2752">
        <f>IF(AND(Inputs!$B$38&lt;&gt;"pvp",Inputs!$B$43&gt;0),IF(Inputs!$B$43&lt;=0,0,(INT(Inputs!$B$43/IF(Inputs!$B$38="pvp",15,MAX(0.1,Skills!D16-IF(Skills!E16=TRUE,4.0,0))))+1)),0)</f>
        <v/>
      </c>
      <c r="S2752" t="n">
        <v>0</v>
      </c>
      <c r="U2752" t="n">
        <v>0</v>
      </c>
    </row>
    <row r="2753">
      <c r="A2753">
        <f>Skills!A17</f>
        <v/>
      </c>
      <c r="B2753">
        <f>Skills!B17</f>
        <v/>
      </c>
      <c r="C2753">
        <f>Inputs!$B$3&gt;=33</f>
        <v/>
      </c>
      <c r="D2753">
        <f>IF(Skills!C17=1,60+Inputs!$B$25+Inputs!$B$29,IF(Skills!C17=2,90+Inputs!$B$26+Inputs!$B$29,IF(Skills!C17=3,120+Inputs!$B$27+Inputs!$B$29,MAX(0,(Inputs!$B$3-100)*3)+Inputs!$B$28+Inputs!$B$29)))</f>
        <v/>
      </c>
      <c r="E2753">
        <f>INDEX(FactorTable!$B$2:$Y$301, MATCH(ROUND(MIN(300,MAX(1,D2753)),0), FactorTable!$A$2:$A$301,0), Skills!L17+1)</f>
        <v/>
      </c>
      <c r="F2753">
        <f>IF(Skills!M17=TRUE,(Skills!K17/10)*(E2753/1000),Skills!K17/10)+Skills!N17</f>
        <v/>
      </c>
      <c r="G2753">
        <f>Calc!G17</f>
        <v/>
      </c>
      <c r="H2753">
        <f>Calc!H17</f>
        <v/>
      </c>
      <c r="I2753">
        <f>IF(Skills!T17&lt;&gt;"",1+(Skills!T17/10)*(Z2739/1000)/100,1)</f>
        <v/>
      </c>
      <c r="J2753" t="inlineStr"/>
      <c r="K2753" t="inlineStr"/>
      <c r="L2753" t="inlineStr"/>
      <c r="M2753" t="inlineStr"/>
      <c r="N2753" t="inlineStr"/>
      <c r="O2753">
        <f>(1-Summary!$B$11)*S2753+Summary!$B$11*U2753</f>
        <v/>
      </c>
      <c r="P2753">
        <f>IF(B2772=0,0,O2753/B2772)</f>
        <v/>
      </c>
      <c r="Q2753">
        <f>IFERROR(1/IF(Inputs!$B$38="pvp",15,MAX(0.1,Skills!D17-IF(Skills!E17=TRUE,4.0,0))),0)</f>
        <v/>
      </c>
      <c r="R2753" t="n">
        <v>0</v>
      </c>
      <c r="S2753" t="n">
        <v>0</v>
      </c>
      <c r="U2753" t="n">
        <v>0</v>
      </c>
    </row>
    <row r="2754">
      <c r="A2754">
        <f>Skills!A18</f>
        <v/>
      </c>
      <c r="B2754">
        <f>Skills!B18</f>
        <v/>
      </c>
      <c r="C2754">
        <f>Inputs!$B$3&gt;=43</f>
        <v/>
      </c>
      <c r="D2754">
        <f>IF(Skills!C18=1,60+Inputs!$B$25+Inputs!$B$29,IF(Skills!C18=2,90+Inputs!$B$26+Inputs!$B$29,IF(Skills!C18=3,120+Inputs!$B$27+Inputs!$B$29,MAX(0,(Inputs!$B$3-100)*3)+Inputs!$B$28+Inputs!$B$29)))</f>
        <v/>
      </c>
      <c r="E2754">
        <f>INDEX(FactorTable!$B$2:$Y$301, MATCH(ROUND(MIN(300,MAX(1,D2754)),0), FactorTable!$A$2:$A$301,0), Skills!L18+1)</f>
        <v/>
      </c>
      <c r="F2754">
        <f>IF(Skills!M18=TRUE,(Skills!K18/10)*(E2754/1000),Skills!K18/10)+Skills!N18</f>
        <v/>
      </c>
      <c r="G2754">
        <f>Calc!G18</f>
        <v/>
      </c>
      <c r="H2754">
        <f>Calc!H18</f>
        <v/>
      </c>
      <c r="I2754">
        <f>IF(Skills!T18&lt;&gt;"",1+(Skills!T18/10)*(Z2739/1000)/100,1)</f>
        <v/>
      </c>
      <c r="J2754" t="inlineStr"/>
      <c r="K2754" t="inlineStr"/>
      <c r="L2754" t="inlineStr"/>
      <c r="M2754" t="inlineStr"/>
      <c r="N2754" t="inlineStr"/>
      <c r="O2754">
        <f>(1-Summary!$B$11)*S2754+Summary!$B$11*U2754</f>
        <v/>
      </c>
      <c r="P2754">
        <f>IF(B2772=0,0,O2754/B2772)</f>
        <v/>
      </c>
      <c r="Q2754">
        <f>IFERROR(1/IF(Inputs!$B$38="pvp",15,MAX(0.1,Skills!D18-IF(Skills!E18=TRUE,4.0,0))),0)</f>
        <v/>
      </c>
      <c r="R2754" t="n">
        <v>0</v>
      </c>
      <c r="S2754" t="n">
        <v>0</v>
      </c>
      <c r="U2754" t="n">
        <v>0</v>
      </c>
    </row>
    <row r="2755">
      <c r="A2755">
        <f>Skills!A19</f>
        <v/>
      </c>
      <c r="B2755">
        <f>Skills!B19</f>
        <v/>
      </c>
      <c r="C2755">
        <f>Inputs!$B$3&gt;=50</f>
        <v/>
      </c>
      <c r="D2755">
        <f>IF(Skills!C19=1,60+Inputs!$B$25+Inputs!$B$29,IF(Skills!C19=2,90+Inputs!$B$26+Inputs!$B$29,IF(Skills!C19=3,120+Inputs!$B$27+Inputs!$B$29,MAX(0,(Inputs!$B$3-100)*3)+Inputs!$B$28+Inputs!$B$29)))</f>
        <v/>
      </c>
      <c r="E2755">
        <f>INDEX(FactorTable!$B$2:$Y$301, MATCH(ROUND(MIN(300,MAX(1,D2755)),0), FactorTable!$A$2:$A$301,0), Skills!L19+1)</f>
        <v/>
      </c>
      <c r="F2755">
        <f>IF(Skills!M19=TRUE,(Skills!K19/10)*(E2755/1000),Skills!K19/10)+Skills!N19</f>
        <v/>
      </c>
      <c r="G2755">
        <f>Calc!G19</f>
        <v/>
      </c>
      <c r="H2755">
        <f>Calc!H19</f>
        <v/>
      </c>
      <c r="I2755">
        <f>IF(Skills!T19&lt;&gt;"",1+(Skills!T19/10)*(Z2739/1000)/100,1)</f>
        <v/>
      </c>
      <c r="J2755" t="inlineStr"/>
      <c r="K2755" t="inlineStr"/>
      <c r="L2755" t="inlineStr"/>
      <c r="M2755" t="inlineStr"/>
      <c r="N2755" t="inlineStr"/>
      <c r="O2755">
        <f>(1-Summary!$B$11)*S2755+Summary!$B$11*U2755</f>
        <v/>
      </c>
      <c r="P2755">
        <f>IF(B2772=0,0,O2755/B2772)</f>
        <v/>
      </c>
      <c r="Q2755">
        <f>IFERROR(1/IF(Inputs!$B$38="pvp",15,MAX(0.1,Skills!D19-IF(Skills!E19=TRUE,4.0,0))),0)</f>
        <v/>
      </c>
      <c r="R2755" t="n">
        <v>0</v>
      </c>
      <c r="S2755" t="n">
        <v>0</v>
      </c>
      <c r="U2755" t="n">
        <v>0</v>
      </c>
    </row>
    <row r="2756">
      <c r="A2756">
        <f>Skills!A20</f>
        <v/>
      </c>
      <c r="B2756">
        <f>Skills!B20</f>
        <v/>
      </c>
      <c r="C2756">
        <f>Inputs!$B$3&gt;=74</f>
        <v/>
      </c>
      <c r="D2756">
        <f>IF(Skills!C20=1,60+Inputs!$B$25+Inputs!$B$29,IF(Skills!C20=2,90+Inputs!$B$26+Inputs!$B$29,IF(Skills!C20=3,120+Inputs!$B$27+Inputs!$B$29,MAX(0,(Inputs!$B$3-100)*3)+Inputs!$B$28+Inputs!$B$29)))</f>
        <v/>
      </c>
      <c r="E2756">
        <f>INDEX(FactorTable!$B$2:$Y$301, MATCH(ROUND(MIN(300,MAX(1,D2756)),0), FactorTable!$A$2:$A$301,0), Skills!L20+1)</f>
        <v/>
      </c>
      <c r="F2756">
        <f>IF(Skills!M20=TRUE,(Skills!K20/10)*(E2756/1000),Skills!K20/10)+Skills!N20</f>
        <v/>
      </c>
      <c r="G2756">
        <f>Calc!G20</f>
        <v/>
      </c>
      <c r="H2756">
        <f>Calc!H20</f>
        <v/>
      </c>
      <c r="I2756">
        <f>IF(Skills!T20&lt;&gt;"",1+(Skills!T20/10)*(Z2739/1000)/100,1)</f>
        <v/>
      </c>
      <c r="J2756" t="inlineStr"/>
      <c r="K2756" t="inlineStr"/>
      <c r="L2756" t="inlineStr"/>
      <c r="M2756" t="inlineStr"/>
      <c r="N2756" t="inlineStr"/>
      <c r="O2756">
        <f>(1-Summary!$B$11)*S2756+Summary!$B$11*U2756</f>
        <v/>
      </c>
      <c r="P2756">
        <f>IF(B2772=0,0,O2756/B2772)</f>
        <v/>
      </c>
      <c r="Q2756">
        <f>IFERROR(1/IF(Inputs!$B$38="pvp",15,MAX(0.1,Skills!D20-IF(Skills!E20=TRUE,4.0,0))),0)</f>
        <v/>
      </c>
      <c r="R2756" t="n">
        <v>0</v>
      </c>
      <c r="S2756" t="n">
        <v>0</v>
      </c>
      <c r="U2756" t="n">
        <v>0</v>
      </c>
    </row>
    <row r="2757">
      <c r="A2757">
        <f>Skills!A21</f>
        <v/>
      </c>
      <c r="B2757">
        <f>Skills!B21</f>
        <v/>
      </c>
      <c r="C2757">
        <f>Inputs!$B$3&gt;=74</f>
        <v/>
      </c>
      <c r="D2757">
        <f>IF(Skills!C21=1,60+Inputs!$B$25+Inputs!$B$29,IF(Skills!C21=2,90+Inputs!$B$26+Inputs!$B$29,IF(Skills!C21=3,120+Inputs!$B$27+Inputs!$B$29,MAX(0,(Inputs!$B$3-100)*3)+Inputs!$B$28+Inputs!$B$29)))</f>
        <v/>
      </c>
      <c r="E2757">
        <f>INDEX(FactorTable!$B$2:$Y$301, MATCH(ROUND(MIN(300,MAX(1,D2757)),0), FactorTable!$A$2:$A$301,0), Skills!L21+1)</f>
        <v/>
      </c>
      <c r="F2757">
        <f>IF(Skills!M21=TRUE,(Skills!K21/10)*(E2757/1000),Skills!K21/10)+Skills!N21</f>
        <v/>
      </c>
      <c r="G2757">
        <f>Calc!G21</f>
        <v/>
      </c>
      <c r="H2757">
        <f>Calc!H21</f>
        <v/>
      </c>
      <c r="I2757">
        <f>IF(Skills!T21&lt;&gt;"",1+(Skills!T21/10)*(Z2739/1000)/100,1)</f>
        <v/>
      </c>
      <c r="J2757" t="inlineStr"/>
      <c r="K2757" t="inlineStr"/>
      <c r="L2757" t="inlineStr"/>
      <c r="M2757" t="inlineStr"/>
      <c r="N2757" t="inlineStr"/>
      <c r="O2757">
        <f>(1-Summary!$B$11)*S2757+Summary!$B$11*U2757</f>
        <v/>
      </c>
      <c r="P2757">
        <f>IF(B2772=0,0,O2757/B2772)</f>
        <v/>
      </c>
      <c r="Q2757">
        <f>IFERROR(1/IF(Inputs!$B$38="pvp",15,MAX(0.1,Skills!D21-IF(Skills!E21=TRUE,4.0,0))),0)</f>
        <v/>
      </c>
      <c r="R2757" t="n">
        <v>0</v>
      </c>
      <c r="S2757" t="n">
        <v>0</v>
      </c>
      <c r="U2757" t="n">
        <v>0</v>
      </c>
    </row>
    <row r="2758">
      <c r="A2758">
        <f>Skills!A22</f>
        <v/>
      </c>
      <c r="B2758">
        <f>Skills!B22</f>
        <v/>
      </c>
      <c r="C2758">
        <f>Inputs!$B$3&gt;=117</f>
        <v/>
      </c>
      <c r="D2758">
        <f>IF(Skills!C22=1,60+Inputs!$B$25+Inputs!$B$29,IF(Skills!C22=2,90+Inputs!$B$26+Inputs!$B$29,IF(Skills!C22=3,120+Inputs!$B$27+Inputs!$B$29,MAX(0,(Inputs!$B$3-100)*3)+Inputs!$B$28+Inputs!$B$29)))</f>
        <v/>
      </c>
      <c r="E2758">
        <f>INDEX(FactorTable!$B$2:$Y$301, MATCH(ROUND(MIN(300,MAX(1,D2758)),0), FactorTable!$A$2:$A$301,0), Skills!L22+1)</f>
        <v/>
      </c>
      <c r="F2758">
        <f>IF(Skills!M22=TRUE,(Skills!K22/10)*(E2758/1000),Skills!K22/10)+Skills!N22</f>
        <v/>
      </c>
      <c r="G2758">
        <f>Calc!G22</f>
        <v/>
      </c>
      <c r="H2758">
        <f>Calc!H22</f>
        <v/>
      </c>
      <c r="I2758">
        <f>IF(Skills!T22&lt;&gt;"",1+(Skills!T22/10)*(Z2739/1000)/100,1)</f>
        <v/>
      </c>
      <c r="J2758" t="inlineStr"/>
      <c r="K2758" t="inlineStr"/>
      <c r="L2758" t="inlineStr"/>
      <c r="M2758" t="inlineStr"/>
      <c r="N2758" t="inlineStr"/>
      <c r="O2758">
        <f>(1-Summary!$B$11)*S2758+Summary!$B$11*U2758</f>
        <v/>
      </c>
      <c r="P2758">
        <f>IF(B2772=0,0,O2758/B2772)</f>
        <v/>
      </c>
      <c r="Q2758">
        <f>IFERROR(1/IF(Inputs!$B$38="pvp",15,MAX(0.1,Skills!D22-IF(Skills!E22=TRUE,4.0,0))),0)</f>
        <v/>
      </c>
      <c r="R2758" t="n">
        <v>0</v>
      </c>
      <c r="S2758" t="n">
        <v>0</v>
      </c>
      <c r="U2758" t="n">
        <v>0</v>
      </c>
    </row>
    <row r="2759">
      <c r="A2759">
        <f>Skills!A23</f>
        <v/>
      </c>
      <c r="B2759">
        <f>Skills!B23</f>
        <v/>
      </c>
      <c r="C2759">
        <f>Inputs!$B$3&gt;=120</f>
        <v/>
      </c>
      <c r="D2759">
        <f>IF(Skills!C23=1,60+Inputs!$B$25+Inputs!$B$29,IF(Skills!C23=2,90+Inputs!$B$26+Inputs!$B$29,IF(Skills!C23=3,120+Inputs!$B$27+Inputs!$B$29,MAX(0,(Inputs!$B$3-100)*3)+Inputs!$B$28+Inputs!$B$29)))</f>
        <v/>
      </c>
      <c r="E2759">
        <f>INDEX(FactorTable!$B$2:$Y$301, MATCH(ROUND(MIN(300,MAX(1,D2759)),0), FactorTable!$A$2:$A$301,0), Skills!L23+1)</f>
        <v/>
      </c>
      <c r="F2759">
        <f>IF(Skills!M23=TRUE,(Skills!K23/10)*(E2759/1000),Skills!K23/10)+Skills!N23</f>
        <v/>
      </c>
      <c r="G2759">
        <f>Calc!G23</f>
        <v/>
      </c>
      <c r="H2759">
        <f>Calc!H23</f>
        <v/>
      </c>
      <c r="I2759">
        <f>IF(Skills!T23&lt;&gt;"",1+(Skills!T23/10)*(Z2739/1000)/100,1)</f>
        <v/>
      </c>
      <c r="J2759" t="inlineStr"/>
      <c r="K2759" t="inlineStr"/>
      <c r="L2759" t="inlineStr"/>
      <c r="M2759" t="inlineStr"/>
      <c r="N2759" t="inlineStr"/>
      <c r="O2759">
        <f>(1-Summary!$B$11)*S2759+Summary!$B$11*U2759</f>
        <v/>
      </c>
      <c r="P2759">
        <f>IF(B2772=0,0,O2759/B2772)</f>
        <v/>
      </c>
      <c r="Q2759">
        <f>IFERROR(1/IF(Inputs!$B$38="pvp",15,MAX(0.1,Skills!D23-IF(Skills!E23=TRUE,4.0,0))),0)</f>
        <v/>
      </c>
      <c r="R2759" t="n">
        <v>0</v>
      </c>
      <c r="S2759" t="n">
        <v>0</v>
      </c>
      <c r="U2759" t="n">
        <v>0</v>
      </c>
    </row>
    <row r="2762">
      <c r="A2762" t="inlineStr">
        <is>
          <t>Average Buff Multiplier (Magic Guard + Meditation + Artifact Attack%, summed; then Infinity)</t>
        </is>
      </c>
      <c r="B2762">
        <f>(1+(IF(C2739=TRUE,F2739*IF(AND(Inputs!$B$38&lt;&gt;"pvp",Inputs!$B$43&gt;0),(((R2739-1)*(Skills!S3*(1+(Inputs!$B$34+IF(Inputs!$B$3&gt;=117,F2758,0))/100))+MIN((Skills!S3*(1+(Inputs!$B$34+IF(Inputs!$B$3&gt;=117,F2758,0))/100)),MAX(0,Inputs!$B$43-((R2739-1)*Skills!D3))))/Inputs!$B$43),IF(Inputs!$B$38="pvp",MIN((Skills!S3*(1+(Inputs!$B$34+IF(Inputs!$B$3&gt;=117,F2758,0))/100)),15)/15,(Skills!S3*(1+(Inputs!$B$34+IF(Inputs!$B$3&gt;=117,F2758,0))/100))/Skills!D3)),0)+IF(C2740=TRUE,F2740*IF(AND(Inputs!$B$38&lt;&gt;"pvp",Inputs!$B$43&gt;0),(((R2740-1)*(Skills!S4*(1+(Inputs!$B$34+IF(Inputs!$B$3&gt;=117,F2758,0))/100))+MIN((Skills!S4*(1+(Inputs!$B$34+IF(Inputs!$B$3&gt;=117,F2758,0))/100)),MAX(0,Inputs!$B$43-((R2740-1)*Skills!D4))))/Inputs!$B$43),IF(Inputs!$B$38="pvp",MIN((Skills!S4*(1+(Inputs!$B$34+IF(Inputs!$B$3&gt;=117,F2758,0))/100)),15)/15,(Skills!S4*(1+(Inputs!$B$34+IF(Inputs!$B$3&gt;=117,F2758,0)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2752=TRUE,(1+F2752*IF(AND(Inputs!$B$38&lt;&gt;"pvp",Inputs!$B$43&gt;0),(((R2752-1)*(Skills!S16*(1+(Inputs!$B$34+IF(Inputs!$B$3&gt;=117,F2758,0))/100))+MIN((Skills!S16*(1+(Inputs!$B$34+IF(Inputs!$B$3&gt;=117,F2758,0))/100)),MAX(0,Inputs!$B$43-((R2752-1)*Skills!D16))))/Inputs!$B$43),IF(Inputs!$B$38="pvp",MIN((Skills!S16*(1+(Inputs!$B$34+IF(Inputs!$B$3&gt;=117,F2758,0))/100)),15)/15,(Skills!S16*(1+(Inputs!$B$34+IF(Inputs!$B$3&gt;=117,F2758,0))/100))/Skills!D16))/100),1)</f>
        <v/>
      </c>
    </row>
    <row r="2763">
      <c r="A2763" t="inlineStr">
        <is>
          <t>Monster Damage Taken Bonus % (Freezing Breath - Weaken + Elemental Reset + Artifact Enemy Damage Taken, summed)</t>
        </is>
      </c>
      <c r="B2763">
        <f>IF(Inputs!$B$3&gt;=118,15*IF(Inputs!$B$38="pvp",MIN((30*(1+(Inputs!$B$34+IF(Inputs!$B$3&gt;=117,F2758,0))/100)),15)/15,(30*(1+(Inputs!$B$34+IF(Inputs!$B$3&gt;=117,F2758,0))/100))/Skills!D8),0)+IF(C2750=TRUE,F2750,0)+(IF(AND(ArtifactsInput!$M$35,Inputs!$B$4&lt;&gt;"Chapter Hunt"),CHOOSE(ArtifactsInput!$N$35+1,15,18,21,24,27,30)*(1-EXP(-(0.2*B2766)*5)),0)+IF(AND(ArtifactsInput!$M$22,Inputs!$B$4&lt;&gt;"Chapter Hunt"),CHOOSE(ArtifactsInput!$N$22+1,10,12,14,16,18,20)*((0*(((0.15*B2766*5))^0/1)+1*(((0.15*B2766*5))^1/1)+2*(((0.15*B2766*5))^2/2)+3*(((0.15*B2766*5))^3/6)+4*(((0.15*B2766*5))^4/24)+5*(((0.15*B2766*5))^5/120))/((((0.15*B2766*5))^0/1)+(((0.15*B2766*5))^1/1)+(((0.15*B2766*5))^2/2)+(((0.15*B2766*5))^3/6)+(((0.15*B2766*5))^4/24)+(((0.15*B2766*5))^5/120))),0))</f>
        <v/>
      </c>
    </row>
    <row r="2764">
      <c r="A2764" t="inlineStr">
        <is>
          <t>Damage % Bonus (Frozen Break + Frost Clutch, flat)</t>
        </is>
      </c>
      <c r="B2764">
        <f>IF(Inputs!$B$3&gt;=66,15,0)+IF(Inputs!$B$3&gt;=98,10,0)+IF(Inputs!$B$3&gt;=125,20,0)</f>
        <v/>
      </c>
    </row>
    <row r="2765">
      <c r="A2765" t="inlineStr">
        <is>
          <t>Attack Speed Bonus % (MP Eater - MP Boost, always-on once unlocked)</t>
        </is>
      </c>
      <c r="B2765">
        <f>IF(C2749=TRUE,F2749+(F2753-Calc!F17),0)</f>
        <v/>
      </c>
    </row>
    <row r="2766">
      <c r="A2766" t="inlineStr">
        <is>
          <t>Actions Per Second</t>
        </is>
      </c>
      <c r="B2766">
        <f>1+MIN(150,150*(1-(1-(Inputs!$B$11+(ArtifactsInput!$M$15-ArtifactsInput!$M$15)*CHOOSE(ArtifactsInput!$N$15+1,8,9.6,11.2,12.8,14.4,16))/150)*(1-B2765/150)))/100</f>
        <v/>
      </c>
    </row>
    <row r="2767">
      <c r="A2767" t="inlineStr">
        <is>
          <t>Skill + Buff Cast Rate</t>
        </is>
      </c>
      <c r="B2767">
        <f>IF(AND(Inputs!$B$38&lt;&gt;"pvp",Inputs!$B$43&gt;0),SUMPRODUCT((Skills!E2:E23=TRUE)*(C2738:C2759=TRUE)*R2738:R2759)/Inputs!$B$43,SUMPRODUCT((Skills!E2:E23=TRUE)*(C2738:C2759=TRUE)*Q2738:Q2759))</f>
        <v/>
      </c>
    </row>
    <row r="2768">
      <c r="A2768" t="inlineStr">
        <is>
          <t>Chain Lightning Casts Per Second</t>
        </is>
      </c>
      <c r="B2768">
        <f>MAX(0,B2766-B2767)</f>
        <v/>
      </c>
    </row>
    <row r="2769">
      <c r="A2769" t="inlineStr">
        <is>
          <t>Buff-Casting Startup Delay (s, fixed-duration only)</t>
        </is>
      </c>
      <c r="B2769">
        <f>IF(AND(Inputs!$B$38&lt;&gt;"pvp",Inputs!$B$43&gt;0),SUMPRODUCT((Skills!S2:S23&gt;0)*(Skills!E2:E23=TRUE)*(C2738:C2759=TRUE))/B2766,0)</f>
        <v/>
      </c>
    </row>
    <row r="2770">
      <c r="A2770" t="inlineStr">
        <is>
          <t>Boss-Only Total DPS (this block's swept value)</t>
        </is>
      </c>
      <c r="B2770">
        <f>SUM(S2738:S2759)</f>
        <v/>
      </c>
    </row>
    <row r="2771">
      <c r="A2771" t="inlineStr">
        <is>
          <t>Normal-Only Total DPS (this block's swept value)</t>
        </is>
      </c>
      <c r="B2771">
        <f>SUM(U2738:U2759)</f>
        <v/>
      </c>
    </row>
    <row r="2772">
      <c r="A2772" s="6" t="inlineStr">
        <is>
          <t>TOTAL DPS</t>
        </is>
      </c>
      <c r="B2772" s="6">
        <f>SUM(O2738:O2759)</f>
        <v/>
      </c>
    </row>
    <row r="2775">
      <c r="A2775" s="6" t="inlineStr">
        <is>
          <t>Stat: CDR = 4.5s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R2776" t="inlineStr">
        <is>
          <t>helpers</t>
        </is>
      </c>
    </row>
    <row r="2777">
      <c r="A2777">
        <f>Skills!A2</f>
        <v/>
      </c>
      <c r="B2777">
        <f>Skills!B2</f>
        <v/>
      </c>
      <c r="C2777">
        <f>Inputs!$B$3&gt;=100</f>
        <v/>
      </c>
      <c r="D2777" t="inlineStr"/>
      <c r="E2777" t="inlineStr"/>
      <c r="F2777">
        <f>T2779+Skills!N2</f>
        <v/>
      </c>
      <c r="G2777">
        <f>Calc!G2</f>
        <v/>
      </c>
      <c r="H2777">
        <f>Calc!H2</f>
        <v/>
      </c>
      <c r="I2777">
        <f>IF(Skills!T2&lt;&gt;"",1+(Skills!T2/10)*(Z2778/1000)/100,1)</f>
        <v/>
      </c>
      <c r="J2777">
        <f>((Inputs!$B$6*(1+Inputs!$B$7/100))+(((Inputs!$B$12*(1+Inputs!$B$13/100))-(Inputs!$B$12*(1+Inputs!$B$13/100)))+0.25*(Inputs!$B$14-Inputs!$B$14))*(1+Inputs!$B$7/100))*(F2777/100)</f>
        <v/>
      </c>
      <c r="K2777">
        <f>J2777*(1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2793-Calc!F18),(Inputs!$B$23+(IF(ArtifactsInput!$M$15,CHOOSE(ArtifactsInput!$N$15+1,25,30,35,40,45,50)/100*(Inputs!$B$11-Inputs!$B$11),0))))/100+(Inputs!$B$23+(IF(ArtifactsInput!$M$15,CHOOSE(ArtifactsInput!$N$15+1,25,30,35,40,45,50)/100*(Inputs!$B$11-Inputs!$B$11),0)))/100)/2</f>
        <v/>
      </c>
      <c r="M2777">
        <f>L2777*(1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IF(B2811=0,0,O2777/B2811)</f>
        <v/>
      </c>
      <c r="Q2777">
        <f>IFERROR(1/IF(Inputs!$B$38="pvp",15,MAX(0.1,Skills!D2-IF(Skills!E2=TRUE,4.5,0))),0)</f>
        <v/>
      </c>
      <c r="R2777" t="n">
        <v>0</v>
      </c>
      <c r="S2777">
        <f>IF(C2777,(Skills!F2*N2777*B2807)*IF(Inputs!$B$38="pvp",1,1+(Inputs!$B$20+Skills!O2+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7">
        <f>MAX(0,(Inputs!$B$3-100)*3)+Inputs!$B$28+Inputs!$B$29</f>
        <v/>
      </c>
      <c r="U2777">
        <f>IF(C2777,(Skills!F2*N2777*B2807)*IF(Inputs!$B$38="pvp",1,(1+(Inputs!$B$21+Skills!P2+B2802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7">
        <f>MAX(0,(Inputs!$B$3-100)*3)+Inputs!$B$28+Inputs!$B$29</f>
        <v/>
      </c>
    </row>
    <row r="2778">
      <c r="A2778">
        <f>Skills!A3</f>
        <v/>
      </c>
      <c r="B2778">
        <f>Skills!B3</f>
        <v/>
      </c>
      <c r="C2778">
        <f>Inputs!$B$3&gt;=15</f>
        <v/>
      </c>
      <c r="D2778">
        <f>IF(Skills!C3=1,60+Inputs!$B$25+Inputs!$B$29,IF(Skills!C3=2,90+Inputs!$B$26+Inputs!$B$29,IF(Skills!C3=3,120+Inputs!$B$27+Inputs!$B$29,MAX(0,(Inputs!$B$3-100)*3)+Inputs!$B$28+Inputs!$B$29)))</f>
        <v/>
      </c>
      <c r="E2778">
        <f>INDEX(FactorTable!$B$2:$Y$301, MATCH(ROUND(MIN(300,MAX(1,D2778)),0), FactorTable!$A$2:$A$301,0), Skills!L3+1)</f>
        <v/>
      </c>
      <c r="F2778">
        <f>IF(Skills!M3=TRUE,(Skills!K3/10)*(E2778/1000),Skills!K3/10)+Skills!N3</f>
        <v/>
      </c>
      <c r="G2778">
        <f>Calc!G3</f>
        <v/>
      </c>
      <c r="H2778">
        <f>Calc!H3</f>
        <v/>
      </c>
      <c r="I2778">
        <f>IF(Skills!T3&lt;&gt;"",1+(Skills!T3/10)*(Z2778/1000)/100,1)</f>
        <v/>
      </c>
      <c r="J2778" t="inlineStr"/>
      <c r="K2778" t="inlineStr"/>
      <c r="L2778" t="inlineStr"/>
      <c r="M2778" t="inlineStr"/>
      <c r="N2778" t="inlineStr"/>
      <c r="O2778">
        <f>(1-Summary!$B$11)*S2778+Summary!$B$11*U2778</f>
        <v/>
      </c>
      <c r="P2778">
        <f>IF(B2811=0,0,O2778/B2811)</f>
        <v/>
      </c>
      <c r="Q2778">
        <f>IFERROR(1/IF(Inputs!$B$38="pvp",15,MAX(0.1,Skills!D3-IF(Skills!E3=TRUE,4.5,0))),0)</f>
        <v/>
      </c>
      <c r="R2778">
        <f>IF(AND(Inputs!$B$38&lt;&gt;"pvp",Inputs!$B$43&gt;0),IF(Inputs!$B$43&lt;=0,0,(INT(Inputs!$B$43/IF(Inputs!$B$38="pvp",15,MAX(0.1,Skills!D3-IF(Skills!E3=TRUE,4.5,0))))+1)),0)</f>
        <v/>
      </c>
      <c r="S2778" t="n">
        <v>0</v>
      </c>
      <c r="T2778">
        <f>INDEX(FactorTable!$B$2:$Y$301, MATCH(ROUND(MIN(300,MAX(1,T2777)),0), FactorTable!$A$2:$A$301,0), 22)</f>
        <v/>
      </c>
      <c r="U2778" t="n">
        <v>0</v>
      </c>
      <c r="Z2778">
        <f>INDEX(FactorTable!$B$2:$Y$301, MATCH(ROUND(MIN(300,MAX(1,Z2777)),0), FactorTable!$A$2:$A$301,0), 24)</f>
        <v/>
      </c>
    </row>
    <row r="2779">
      <c r="A2779">
        <f>Skills!A4</f>
        <v/>
      </c>
      <c r="B2779">
        <f>Skills!B4</f>
        <v/>
      </c>
      <c r="C2779">
        <f>Inputs!$B$3&gt;=40</f>
        <v/>
      </c>
      <c r="D2779">
        <f>IF(Skills!C4=1,60+Inputs!$B$25+Inputs!$B$29,IF(Skills!C4=2,90+Inputs!$B$26+Inputs!$B$29,IF(Skills!C4=3,120+Inputs!$B$27+Inputs!$B$29,MAX(0,(Inputs!$B$3-100)*3)+Inputs!$B$28+Inputs!$B$29)))</f>
        <v/>
      </c>
      <c r="E2779">
        <f>INDEX(FactorTable!$B$2:$Y$301, MATCH(ROUND(MIN(300,MAX(1,D2779)),0), FactorTable!$A$2:$A$301,0), Skills!L4+1)</f>
        <v/>
      </c>
      <c r="F2779">
        <f>IF(Skills!M4=TRUE,(Skills!K4/10)*(E2779/1000),Skills!K4/10)+Skills!N4</f>
        <v/>
      </c>
      <c r="G2779">
        <f>Calc!G4</f>
        <v/>
      </c>
      <c r="H2779">
        <f>Calc!H4</f>
        <v/>
      </c>
      <c r="I2779">
        <f>IF(Skills!T4&lt;&gt;"",1+(Skills!T4/10)*(Z2778/1000)/100,1)</f>
        <v/>
      </c>
      <c r="J2779" t="inlineStr"/>
      <c r="K2779" t="inlineStr"/>
      <c r="L2779" t="inlineStr"/>
      <c r="M2779" t="inlineStr"/>
      <c r="N2779" t="inlineStr"/>
      <c r="O2779">
        <f>(1-Summary!$B$11)*S2779+Summary!$B$11*U2779</f>
        <v/>
      </c>
      <c r="P2779">
        <f>IF(B2811=0,0,O2779/B2811)</f>
        <v/>
      </c>
      <c r="Q2779">
        <f>IFERROR(1/IF(Inputs!$B$38="pvp",15,MAX(0.1,Skills!D4-IF(Skills!E4=TRUE,4.5,0))),0)</f>
        <v/>
      </c>
      <c r="R2779">
        <f>IF(AND(Inputs!$B$38&lt;&gt;"pvp",Inputs!$B$43&gt;0),IF(Inputs!$B$43&lt;=0,0,(INT(Inputs!$B$43/IF(Inputs!$B$38="pvp",15,MAX(0.1,Skills!D4-IF(Skills!E4=TRUE,4.5,0))))+1)),0)</f>
        <v/>
      </c>
      <c r="S2779" t="n">
        <v>0</v>
      </c>
      <c r="T2779">
        <f>290*T2778/1000</f>
        <v/>
      </c>
      <c r="U2779" t="n">
        <v>0</v>
      </c>
    </row>
    <row r="2780">
      <c r="A2780">
        <f>Skills!A5</f>
        <v/>
      </c>
      <c r="B2780">
        <f>Skills!B5</f>
        <v/>
      </c>
      <c r="C2780">
        <f>Inputs!$B$3&gt;=38</f>
        <v/>
      </c>
      <c r="D2780">
        <f>IF(Skills!C5=1,60+Inputs!$B$25+Inputs!$B$29,IF(Skills!C5=2,90+Inputs!$B$26+Inputs!$B$29,IF(Skills!C5=3,120+Inputs!$B$27+Inputs!$B$29,MAX(0,(Inputs!$B$3-100)*3)+Inputs!$B$28+Inputs!$B$29)))</f>
        <v/>
      </c>
      <c r="E2780">
        <f>INDEX(FactorTable!$B$2:$Y$301, MATCH(ROUND(MIN(300,MAX(1,D2780)),0), FactorTable!$A$2:$A$301,0), Skills!L5+1)</f>
        <v/>
      </c>
      <c r="F2780">
        <f>IF(Skills!M5=TRUE,(Skills!K5/10)*(E2780/1000),Skills!K5/10)+Skills!N5</f>
        <v/>
      </c>
      <c r="G2780">
        <f>Calc!G5</f>
        <v/>
      </c>
      <c r="H2780">
        <f>Calc!H5</f>
        <v/>
      </c>
      <c r="I2780">
        <f>IF(Skills!T5&lt;&gt;"",1+(Skills!T5/10)*(Z2778/1000)/100,1)</f>
        <v/>
      </c>
      <c r="J2780">
        <f>((Inputs!$B$6*(1+Inputs!$B$7/100))+(((Inputs!$B$12*(1+Inputs!$B$13/100))-(Inputs!$B$12*(1+Inputs!$B$13/100)))+0.25*(Inputs!$B$14-Inputs!$B$14))*(1+Inputs!$B$7/100))*(F2780/100)</f>
        <v/>
      </c>
      <c r="K2780">
        <f>J2780*(1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F2793-Calc!F18),(Inputs!$B$23+(IF(ArtifactsInput!$M$15,CHOOSE(ArtifactsInput!$N$15+1,25,30,35,40,45,50)/100*(Inputs!$B$11-Inputs!$B$11),0))))/100+(Inputs!$B$23+(IF(ArtifactsInput!$M$15,CHOOSE(ArtifactsInput!$N$15+1,25,30,35,40,45,50)/100*(Inputs!$B$11-Inputs!$B$11),0)))/100)/2</f>
        <v/>
      </c>
      <c r="M2780">
        <f>L2780*(1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(1-Summary!$B$11)*S2780+Summary!$B$11*U2780</f>
        <v/>
      </c>
      <c r="P2780">
        <f>IF(B2811=0,0,O2780/B2811)</f>
        <v/>
      </c>
      <c r="Q2780">
        <f>IFERROR(1/IF(Inputs!$B$38="pvp",15,MAX(0.1,Skills!D5-IF(Skills!E5=TRUE,4.5,0))),0)</f>
        <v/>
      </c>
      <c r="R2780">
        <f>IF(AND(Inputs!$B$38&lt;&gt;"pvp",Inputs!$B$43&gt;0),IF(MAX(0,Inputs!$B$43-B2808)&lt;=0,0,(INT(MAX(0,Inputs!$B$43-B2808)/IF(Inputs!$B$38="pvp",15,MAX(0.1,Skills!D5-IF(Skills!E5=TRUE,4.5,0))))+1)),0)</f>
        <v/>
      </c>
      <c r="S2780">
        <f>IF(C2780,(H2780*N2780*IF(AND(Inputs!$B$38&lt;&gt;"pvp",Inputs!$B$43&gt;0),((Skills!F5*((R2780-1)*IF(Skills!G5&gt;0,Skills!H5/Skills!G5,1)+IF(Skills!G5&gt;0,MIN(Skills!H5,MAX(0,MAX(0,Inputs!$B$43-B2808)-((R2780-1)*IF(Inputs!$B$38="pvp",15,MAX(0.1,Skills!D5-IF(Skills!E5=TRUE,4.5,0))))))/Skills!G5,1)))/Inputs!$B$43),G2780*Q2780))*IF(Inputs!$B$38="pvp",1,1+(Inputs!$B$20+Skills!O5+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2780*(1-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0">
        <f>IF(C2780,(H2780*N2780*IF(AND(Inputs!$B$38&lt;&gt;"pvp",Inputs!$B$43&gt;0),((Skills!F5*((R2780-1)*IF(Skills!G5&gt;0,Skills!H5/Skills!G5,1)+IF(Skills!G5&gt;0,MIN(Skills!H5,MAX(0,MAX(0,Inputs!$B$43-B2808)-((R2780-1)*IF(Inputs!$B$38="pvp",15,MAX(0.1,Skills!D5-IF(Skills!E5=TRUE,4.5,0))))))/Skills!G5,1)))/Inputs!$B$43),G2780*Q2780))*IF(Inputs!$B$38="pvp",1,(1+(Inputs!$B$21+Skills!P5+B2802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Skills!A6</f>
        <v/>
      </c>
      <c r="B2781">
        <f>Skills!B6</f>
        <v/>
      </c>
      <c r="C2781">
        <f>Inputs!$B$3&gt;=63</f>
        <v/>
      </c>
      <c r="D2781">
        <f>IF(Skills!C6=1,60+Inputs!$B$25+Inputs!$B$29,IF(Skills!C6=2,90+Inputs!$B$26+Inputs!$B$29,IF(Skills!C6=3,120+Inputs!$B$27+Inputs!$B$29,MAX(0,(Inputs!$B$3-100)*3)+Inputs!$B$28+Inputs!$B$29)))</f>
        <v/>
      </c>
      <c r="E2781">
        <f>INDEX(FactorTable!$B$2:$Y$301, MATCH(ROUND(MIN(300,MAX(1,D2781)),0), FactorTable!$A$2:$A$301,0), Skills!L6+1)</f>
        <v/>
      </c>
      <c r="F2781">
        <f>IF(Skills!M6=TRUE,(Skills!K6/10)*(E2781/1000),Skills!K6/10)+Skills!N6</f>
        <v/>
      </c>
      <c r="G2781">
        <f>Calc!G6</f>
        <v/>
      </c>
      <c r="H2781">
        <f>Calc!H6</f>
        <v/>
      </c>
      <c r="I2781">
        <f>IF(Skills!T6&lt;&gt;"",1+(Skills!T6/10)*(Z2778/1000)/100,1)</f>
        <v/>
      </c>
      <c r="J2781">
        <f>((Inputs!$B$6*(1+Inputs!$B$7/100))+(((Inputs!$B$12*(1+Inputs!$B$13/100))-(Inputs!$B$12*(1+Inputs!$B$13/100)))+0.25*(Inputs!$B$14-Inputs!$B$14))*(1+Inputs!$B$7/100))*(F2781/100)</f>
        <v/>
      </c>
      <c r="K2781">
        <f>J2781*(1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2793-Calc!F18),(Inputs!$B$23+(IF(ArtifactsInput!$M$15,CHOOSE(ArtifactsInput!$N$15+1,25,30,35,40,45,50)/100*(Inputs!$B$11-Inputs!$B$11),0))))/100+(Inputs!$B$23+(IF(ArtifactsInput!$M$15,CHOOSE(ArtifactsInput!$N$15+1,25,30,35,40,45,50)/100*(Inputs!$B$11-Inputs!$B$11),0)))/100)/2</f>
        <v/>
      </c>
      <c r="M2781">
        <f>L2781*(1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IF(B2811=0,0,O2781/B2811)</f>
        <v/>
      </c>
      <c r="Q2781">
        <f>IFERROR(1/IF(Inputs!$B$38="pvp",15,MAX(0.1,Skills!D6-IF(Skills!E6=TRUE,4.5,0))),0)</f>
        <v/>
      </c>
      <c r="R2781">
        <f>IF(AND(Inputs!$B$38&lt;&gt;"pvp",Inputs!$B$43&gt;0),IF(MAX(0,Inputs!$B$43-B2808)&lt;=0,0,(INT(MAX(0,Inputs!$B$43-B2808)/IF(Inputs!$B$38="pvp",15,MAX(0.1,Skills!D6-IF(Skills!E6=TRUE,4.5,0))))+1)),0)</f>
        <v/>
      </c>
      <c r="S2781">
        <f>IF(C2781,(H2781*N2781*IF(AND(Inputs!$B$38&lt;&gt;"pvp",Inputs!$B$43&gt;0),((Skills!F6*((R2781-1)*IF(Skills!G6&gt;0,Skills!H6/Skills!G6,1)+IF(Skills!G6&gt;0,MIN(Skills!H6,MAX(0,MAX(0,Inputs!$B$43-B2808)-((R2781-1)*IF(Inputs!$B$38="pvp",15,MAX(0.1,Skills!D6-IF(Skills!E6=TRUE,4.5,0))))))/Skills!G6,1)))/Inputs!$B$43),G2781*Q2781))*IF(Inputs!$B$38="pvp",1,1+(Inputs!$B$20+Skills!O6+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F6*((R2781-1)*IF(Skills!G6&gt;0,Skills!H6/Skills!G6,1)+IF(Skills!G6&gt;0,MIN(Skills!H6,MAX(0,MAX(0,Inputs!$B$43-B2808)-((R2781-1)*IF(Inputs!$B$38="pvp",15,MAX(0.1,Skills!D6-IF(Skills!E6=TRUE,4.5,0))))))/Skills!G6,1)))/Inputs!$B$43),G2781*Q2781))*IF(Inputs!$B$38="pvp",1,(1+(Inputs!$B$21+Skills!P6+B2802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Skills!A7</f>
        <v/>
      </c>
      <c r="B2782">
        <f>Skills!B7</f>
        <v/>
      </c>
      <c r="C2782">
        <f>Inputs!$B$3&gt;=69</f>
        <v/>
      </c>
      <c r="D2782">
        <f>IF(Skills!C7=1,60+Inputs!$B$25+Inputs!$B$29,IF(Skills!C7=2,90+Inputs!$B$26+Inputs!$B$29,IF(Skills!C7=3,120+Inputs!$B$27+Inputs!$B$29,MAX(0,(Inputs!$B$3-100)*3)+Inputs!$B$28+Inputs!$B$29)))</f>
        <v/>
      </c>
      <c r="E2782">
        <f>INDEX(FactorTable!$B$2:$Y$301, MATCH(ROUND(MIN(300,MAX(1,D2782)),0), FactorTable!$A$2:$A$301,0), Skills!L7+1)</f>
        <v/>
      </c>
      <c r="F2782">
        <f>IF(Skills!M7=TRUE,(Skills!K7/10)*(E2782/1000),Skills!K7/10)+Skills!N7</f>
        <v/>
      </c>
      <c r="G2782">
        <f>Calc!G7</f>
        <v/>
      </c>
      <c r="H2782">
        <f>Calc!H7</f>
        <v/>
      </c>
      <c r="I2782">
        <f>IF(Skills!T7&lt;&gt;"",1+(Skills!T7/10)*(Z2778/1000)/100,1)</f>
        <v/>
      </c>
      <c r="J2782">
        <f>((Inputs!$B$6*(1+Inputs!$B$7/100))+(((Inputs!$B$12*(1+Inputs!$B$13/100))-(Inputs!$B$12*(1+Inputs!$B$13/100)))+0.25*(Inputs!$B$14-Inputs!$B$14))*(1+Inputs!$B$7/100))*(F2782/100)</f>
        <v/>
      </c>
      <c r="K2782">
        <f>J2782*(1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2793-Calc!F18),(Inputs!$B$23+(IF(ArtifactsInput!$M$15,CHOOSE(ArtifactsInput!$N$15+1,25,30,35,40,45,50)/100*(Inputs!$B$11-Inputs!$B$11),0))))/100+(Inputs!$B$23+(IF(ArtifactsInput!$M$15,CHOOSE(ArtifactsInput!$N$15+1,25,30,35,40,45,50)/100*(Inputs!$B$11-Inputs!$B$11),0)))/100)/2</f>
        <v/>
      </c>
      <c r="M2782">
        <f>L2782*(1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IF(B2811=0,0,O2782/B2811)</f>
        <v/>
      </c>
      <c r="Q2782">
        <f>IFERROR(1/IF(Inputs!$B$38="pvp",15,MAX(0.1,Skills!D7-IF(Skills!E7=TRUE,4.5,0))),0)</f>
        <v/>
      </c>
      <c r="R2782">
        <f>IF(AND(Inputs!$B$38&lt;&gt;"pvp",Inputs!$B$43&gt;0),IF(MAX(0,Inputs!$B$43-B2808)&lt;=0,0,(INT(MAX(0,Inputs!$B$43-B2808)/IF(Inputs!$B$38="pvp",15,MAX(0.1,Skills!D7-IF(Skills!E7=TRUE,4.5,0))))+1)),0)</f>
        <v/>
      </c>
      <c r="S2782">
        <f>IF(C2782,(H2782*N2782*IF(AND(Inputs!$B$38&lt;&gt;"pvp",Inputs!$B$43&gt;0),((Skills!F7*((R2782-1)*IF(Skills!G7&gt;0,Skills!H7/Skills!G7,1)+IF(Skills!G7&gt;0,MIN(Skills!H7,MAX(0,MAX(0,Inputs!$B$43-B2808)-((R2782-1)*IF(Inputs!$B$38="pvp",15,MAX(0.1,Skills!D7-IF(Skills!E7=TRUE,4.5,0))))))/Skills!G7,1)))/Inputs!$B$43),G2782*Q2782))*IF(Inputs!$B$38="pvp",1,1+(Inputs!$B$20+Skills!O7+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N2782*IF(AND(Inputs!$B$38&lt;&gt;"pvp",Inputs!$B$43&gt;0),((Skills!F7*((R2782-1)*IF(Skills!G7&gt;0,Skills!H7/Skills!G7,1)+IF(Skills!G7&gt;0,MIN(Skills!H7,MAX(0,MAX(0,Inputs!$B$43-B2808)-((R2782-1)*IF(Inputs!$B$38="pvp",15,MAX(0.1,Skills!D7-IF(Skills!E7=TRUE,4.5,0))))))/Skills!G7,1)))/Inputs!$B$43),G2782*Q2782))*IF(Inputs!$B$38="pvp",1,(1+(Inputs!$B$21+Skills!P7+B2802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Skills!A8</f>
        <v/>
      </c>
      <c r="B2783">
        <f>Skills!B8</f>
        <v/>
      </c>
      <c r="C2783">
        <f>Inputs!$B$3&gt;=103</f>
        <v/>
      </c>
      <c r="D2783">
        <f>IF(Skills!C8=1,60+Inputs!$B$25+Inputs!$B$29,IF(Skills!C8=2,90+Inputs!$B$26+Inputs!$B$29,IF(Skills!C8=3,120+Inputs!$B$27+Inputs!$B$29,MAX(0,(Inputs!$B$3-100)*3)+Inputs!$B$28+Inputs!$B$29)))</f>
        <v/>
      </c>
      <c r="E2783">
        <f>INDEX(FactorTable!$B$2:$Y$301, MATCH(ROUND(MIN(300,MAX(1,D2783)),0), FactorTable!$A$2:$A$301,0), Skills!L8+1)</f>
        <v/>
      </c>
      <c r="F2783">
        <f>IF(Skills!M8=TRUE,(Skills!K8/10)*(E2783/1000),Skills!K8/10)+Skills!N8</f>
        <v/>
      </c>
      <c r="G2783">
        <f>Calc!G8</f>
        <v/>
      </c>
      <c r="H2783">
        <f>Calc!H8</f>
        <v/>
      </c>
      <c r="I2783">
        <f>IF(Skills!T8&lt;&gt;"",1+(Skills!T8/10)*(Z2778/1000)/100,1)</f>
        <v/>
      </c>
      <c r="J2783">
        <f>((Inputs!$B$6*(1+Inputs!$B$7/100))+(((Inputs!$B$12*(1+Inputs!$B$13/100))-(Inputs!$B$12*(1+Inputs!$B$13/100)))+0.25*(Inputs!$B$14-Inputs!$B$14))*(1+Inputs!$B$7/100))*(F2783/100)</f>
        <v/>
      </c>
      <c r="K2783">
        <f>J2783*(1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2793-Calc!F18),(Inputs!$B$23+(IF(ArtifactsInput!$M$15,CHOOSE(ArtifactsInput!$N$15+1,25,30,35,40,45,50)/100*(Inputs!$B$11-Inputs!$B$11),0))))/100+(Inputs!$B$23+(IF(ArtifactsInput!$M$15,CHOOSE(ArtifactsInput!$N$15+1,25,30,35,40,45,50)/100*(Inputs!$B$11-Inputs!$B$11),0)))/100)/2</f>
        <v/>
      </c>
      <c r="M2783">
        <f>L2783*(1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IF(B2811=0,0,O2783/B2811)</f>
        <v/>
      </c>
      <c r="Q2783">
        <f>IFERROR(1/IF(Inputs!$B$38="pvp",15,MAX(0.1,Skills!D8-IF(Skills!E8=TRUE,4.5,0))),0)</f>
        <v/>
      </c>
      <c r="R2783">
        <f>IF(AND(Inputs!$B$38&lt;&gt;"pvp",Inputs!$B$43&gt;0),IF(MAX(0,Inputs!$B$43-B2808)&lt;=0,0,(INT(MAX(0,Inputs!$B$43-B2808)/IF(Inputs!$B$38="pvp",15,MAX(0.1,Skills!D8-IF(Skills!E8=TRUE,4.5,0))))+1)),0)</f>
        <v/>
      </c>
      <c r="S2783">
        <f>IF(C2783,(H2783*N2783*IF(AND(Inputs!$B$38&lt;&gt;"pvp",Inputs!$B$43&gt;0),((Skills!F8*((R2783-1)*IF(Skills!G8&gt;0,Skills!H8/Skills!G8,1)+IF(Skills!G8&gt;0,MIN(Skills!H8,MAX(0,MAX(0,Inputs!$B$43-B2808)-((R2783-1)*IF(Inputs!$B$38="pvp",15,MAX(0.1,Skills!D8-IF(Skills!E8=TRUE,4.5,0))))))/Skills!G8,1)))/Inputs!$B$43),G2783*Q2783))*IF(Inputs!$B$38="pvp",1,1+(Inputs!$B$20+Skills!O8+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F8*((R2783-1)*IF(Skills!G8&gt;0,Skills!H8/Skills!G8,1)+IF(Skills!G8&gt;0,MIN(Skills!H8,MAX(0,MAX(0,Inputs!$B$43-B2808)-((R2783-1)*IF(Inputs!$B$38="pvp",15,MAX(0.1,Skills!D8-IF(Skills!E8=TRUE,4.5,0))))))/Skills!G8,1)))/Inputs!$B$43),G2783*Q2783))*IF(Inputs!$B$38="pvp",1,(1+(Inputs!$B$21+Skills!P8+B2802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Skills!A9</f>
        <v/>
      </c>
      <c r="B2784">
        <f>Skills!B9</f>
        <v/>
      </c>
      <c r="C2784">
        <f>Inputs!$B$3&gt;=105</f>
        <v/>
      </c>
      <c r="D2784">
        <f>IF(Skills!C9=1,60+Inputs!$B$25+Inputs!$B$29,IF(Skills!C9=2,90+Inputs!$B$26+Inputs!$B$29,IF(Skills!C9=3,120+Inputs!$B$27+Inputs!$B$29,MAX(0,(Inputs!$B$3-100)*3)+Inputs!$B$28+Inputs!$B$29)))</f>
        <v/>
      </c>
      <c r="E2784">
        <f>INDEX(FactorTable!$B$2:$Y$301, MATCH(ROUND(MIN(300,MAX(1,D2784)),0), FactorTable!$A$2:$A$301,0), Skills!L9+1)</f>
        <v/>
      </c>
      <c r="F2784">
        <f>IF(Skills!M9=TRUE,(Skills!K9/10)*(E2784/1000),Skills!K9/10)+Skills!N9</f>
        <v/>
      </c>
      <c r="G2784">
        <f>Calc!G9</f>
        <v/>
      </c>
      <c r="H2784">
        <f>Calc!H9</f>
        <v/>
      </c>
      <c r="I2784">
        <f>IF(Skills!T9&lt;&gt;"",1+(Skills!T9/10)*(Z2778/1000)/100,1)</f>
        <v/>
      </c>
      <c r="J2784">
        <f>((Inputs!$B$6*(1+Inputs!$B$7/100))+(((Inputs!$B$12*(1+Inputs!$B$13/100))-(Inputs!$B$12*(1+Inputs!$B$13/100)))+0.25*(Inputs!$B$14-Inputs!$B$14))*(1+Inputs!$B$7/100))*(F2784/100)</f>
        <v/>
      </c>
      <c r="K2784">
        <f>J2784*(1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2793-Calc!F18),(Inputs!$B$23+(IF(ArtifactsInput!$M$15,CHOOSE(ArtifactsInput!$N$15+1,25,30,35,40,45,50)/100*(Inputs!$B$11-Inputs!$B$11),0))))/100+(Inputs!$B$23+(IF(ArtifactsInput!$M$15,CHOOSE(ArtifactsInput!$N$15+1,25,30,35,40,45,50)/100*(Inputs!$B$11-Inputs!$B$11),0)))/100)/2</f>
        <v/>
      </c>
      <c r="M2784">
        <f>L2784*(1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IF(B2811=0,0,O2784/B2811)</f>
        <v/>
      </c>
      <c r="Q2784">
        <f>IFERROR(1/IF(Inputs!$B$38="pvp",15,MAX(0.1,Skills!D9-IF(Skills!E9=TRUE,4.5,0))),0)</f>
        <v/>
      </c>
      <c r="R2784">
        <f>IF(AND(Inputs!$B$38&lt;&gt;"pvp",Inputs!$B$43&gt;0),IF(MAX(0,Inputs!$B$43-B2808)&lt;=0,0,(INT(MAX(0,Inputs!$B$43-B2808)/IF(Inputs!$B$38="pvp",15,MAX(0.1,Skills!D9-IF(Skills!E9=TRUE,4.5,0))))+1)),0)</f>
        <v/>
      </c>
      <c r="S2784">
        <f>IF(C2784,(H2784*N2784*IF(AND(Inputs!$B$38&lt;&gt;"pvp",Inputs!$B$43&gt;0),((Skills!F9*((R2784-1)*IF(Skills!G9&gt;0,Skills!H9/Skills!G9,1)+IF(Skills!G9&gt;0,MIN(Skills!H9,MAX(0,MAX(0,Inputs!$B$43-B2808)-((R2784-1)*IF(Inputs!$B$38="pvp",15,MAX(0.1,Skills!D9-IF(Skills!E9=TRUE,4.5,0))))))/Skills!G9,1)))/Inputs!$B$43),G2784*Q2784))*IF(Inputs!$B$38="pvp",1,1+(Inputs!$B$20+Skills!O9+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F9*((R2784-1)*IF(Skills!G9&gt;0,Skills!H9/Skills!G9,1)+IF(Skills!G9&gt;0,MIN(Skills!H9,MAX(0,MAX(0,Inputs!$B$43-B2808)-((R2784-1)*IF(Inputs!$B$38="pvp",15,MAX(0.1,Skills!D9-IF(Skills!E9=TRUE,4.5,0))))))/Skills!G9,1)))/Inputs!$B$43),G2784*Q2784))*IF(Inputs!$B$38="pvp",1,(1+(Inputs!$B$21+Skills!P9+B2802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Skills!A10</f>
        <v/>
      </c>
      <c r="B2785">
        <f>Skills!B10</f>
        <v/>
      </c>
      <c r="C2785">
        <f>Inputs!$B$3&gt;=113</f>
        <v/>
      </c>
      <c r="D2785">
        <f>IF(Skills!C10=1,60+Inputs!$B$25+Inputs!$B$29,IF(Skills!C10=2,90+Inputs!$B$26+Inputs!$B$29,IF(Skills!C10=3,120+Inputs!$B$27+Inputs!$B$29,MAX(0,(Inputs!$B$3-100)*3)+Inputs!$B$28+Inputs!$B$29)))</f>
        <v/>
      </c>
      <c r="E2785">
        <f>INDEX(FactorTable!$B$2:$Y$301, MATCH(ROUND(MIN(300,MAX(1,D2785)),0), FactorTable!$A$2:$A$301,0), Skills!L10+1)</f>
        <v/>
      </c>
      <c r="F2785">
        <f>IF(Skills!M10=TRUE,(Skills!K10/10)*(E2785/1000),Skills!K10/10)+Skills!N10</f>
        <v/>
      </c>
      <c r="G2785">
        <f>Calc!G10</f>
        <v/>
      </c>
      <c r="H2785">
        <f>Calc!H10</f>
        <v/>
      </c>
      <c r="I2785">
        <f>IF(Skills!T10&lt;&gt;"",1+(Skills!T10/10)*(Z2778/1000)/100,1)</f>
        <v/>
      </c>
      <c r="J2785">
        <f>((Inputs!$B$6*(1+Inputs!$B$7/100))+(((Inputs!$B$12*(1+Inputs!$B$13/100))-(Inputs!$B$12*(1+Inputs!$B$13/100)))+0.25*(Inputs!$B$14-Inputs!$B$14))*(1+Inputs!$B$7/100))*(F2785/100)</f>
        <v/>
      </c>
      <c r="K2785">
        <f>J2785*(1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F2793-Calc!F18),(Inputs!$B$23+(IF(ArtifactsInput!$M$15,CHOOSE(ArtifactsInput!$N$15+1,25,30,35,40,45,50)/100*(Inputs!$B$11-Inputs!$B$11),0))))/100+(Inputs!$B$23+(IF(ArtifactsInput!$M$15,CHOOSE(ArtifactsInput!$N$15+1,25,30,35,40,45,50)/100*(Inputs!$B$11-Inputs!$B$11),0)))/100)/2</f>
        <v/>
      </c>
      <c r="M2785">
        <f>L2785*(1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(1-Summary!$B$11)*S2785+Summary!$B$11*U2785</f>
        <v/>
      </c>
      <c r="P2785">
        <f>IF(B2811=0,0,O2785/B2811)</f>
        <v/>
      </c>
      <c r="Q2785">
        <f>IFERROR(1/IF(Inputs!$B$38="pvp",15,MAX(0.1,Skills!D10-IF(Skills!E9=TRUE,4.5,0))),0)</f>
        <v/>
      </c>
      <c r="R2785">
        <f>IF(AND(Inputs!$B$38&lt;&gt;"pvp",Inputs!$B$43&gt;0),IF(MAX(0,Inputs!$B$43-B2808)&lt;=0,0,(INT(MAX(0,Inputs!$B$43-B2808)/IF(Inputs!$B$38="pvp",15,MAX(0.1,Skills!D10-IF(Skills!E9=TRUE,4.5,0))))+1)),0)</f>
        <v/>
      </c>
      <c r="S2785">
        <f>IF(C2785,(H2785*N2785*IF(AND(Inputs!$B$38&lt;&gt;"pvp",Inputs!$B$43&gt;0),((Skills!F10*((R2785-1)*IF(Skills!G10&gt;0,Skills!H10/Skills!G10,1)+IF(Skills!G10&gt;0,MIN(Skills!H10,MAX(0,MAX(0,Inputs!$B$43-B2808)-((R2785-1)*IF(Inputs!$B$38="pvp",15,MAX(0.1,Skills!D10-IF(Skills!E9=TRUE,4.5,0))))))/Skills!G10,1)))/Inputs!$B$43),G2785*Q2785))*IF(Inputs!$B$38="pvp",1,1+(Inputs!$B$20+Skills!O10+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2785*(1-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5">
        <f>IF(C2785,(H2785*N2785*IF(AND(Inputs!$B$38&lt;&gt;"pvp",Inputs!$B$43&gt;0),((Skills!F10*((R2785-1)*IF(Skills!G10&gt;0,Skills!H10/Skills!G10,1)+IF(Skills!G10&gt;0,MIN(Skills!H10,MAX(0,MAX(0,Inputs!$B$43-B2808)-((R2785-1)*IF(Inputs!$B$38="pvp",15,MAX(0.1,Skills!D10-IF(Skills!E9=TRUE,4.5,0))))))/Skills!G10,1)))/Inputs!$B$43),G2785*Q2785))*IF(Inputs!$B$38="pvp",1,(1+(Inputs!$B$21+Skills!P10+B2802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Skills!A11</f>
        <v/>
      </c>
      <c r="B2786">
        <f>Skills!B11</f>
        <v/>
      </c>
      <c r="C2786">
        <f>Inputs!$B$3&gt;=107</f>
        <v/>
      </c>
      <c r="D2786">
        <f>IF(Skills!C11=1,60+Inputs!$B$25+Inputs!$B$29,IF(Skills!C11=2,90+Inputs!$B$26+Inputs!$B$29,IF(Skills!C11=3,120+Inputs!$B$27+Inputs!$B$29,MAX(0,(Inputs!$B$3-100)*3)+Inputs!$B$28+Inputs!$B$29)))</f>
        <v/>
      </c>
      <c r="E2786">
        <f>INDEX(FactorTable!$B$2:$Y$301, MATCH(ROUND(MIN(300,MAX(1,D2786)),0), FactorTable!$A$2:$A$301,0), Skills!L11+1)</f>
        <v/>
      </c>
      <c r="F2786">
        <f>IF(Skills!M11=TRUE,(Skills!K11/10)*(E2786/1000),Skills!K11/10)+Skills!N11</f>
        <v/>
      </c>
      <c r="G2786">
        <f>Calc!G11</f>
        <v/>
      </c>
      <c r="H2786">
        <f>Calc!H11</f>
        <v/>
      </c>
      <c r="I2786">
        <f>IF(Skills!T11&lt;&gt;"",1+(Skills!T11/10)*(Z2778/1000)/100,1)</f>
        <v/>
      </c>
      <c r="J2786">
        <f>((Inputs!$B$6*(1+Inputs!$B$7/100))+(((Inputs!$B$12*(1+Inputs!$B$13/100))-(Inputs!$B$12*(1+Inputs!$B$13/100)))+0.25*(Inputs!$B$14-Inputs!$B$14))*(1+Inputs!$B$7/100))*(F2786/100)</f>
        <v/>
      </c>
      <c r="K2786">
        <f>J2786*(1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F2793-Calc!F18),(Inputs!$B$23+(IF(ArtifactsInput!$M$15,CHOOSE(ArtifactsInput!$N$15+1,25,30,35,40,45,50)/100*(Inputs!$B$11-Inputs!$B$11),0))))/100+(Inputs!$B$23+(IF(ArtifactsInput!$M$15,CHOOSE(ArtifactsInput!$N$15+1,25,30,35,40,45,50)/100*(Inputs!$B$11-Inputs!$B$11),0)))/100)/2</f>
        <v/>
      </c>
      <c r="M2786">
        <f>L2786*(1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(1-Summary!$B$11)*S2786+Summary!$B$11*U2786</f>
        <v/>
      </c>
      <c r="P2786">
        <f>IF(B2811=0,0,O2786/B2811)</f>
        <v/>
      </c>
      <c r="Q2786">
        <f>IFERROR(1/IF(Inputs!$B$38="pvp",15,MAX(0.1,Skills!D11-IF(Skills!E11=TRUE,4.5,0))),0)</f>
        <v/>
      </c>
      <c r="R2786">
        <f>IF(AND(Inputs!$B$38&lt;&gt;"pvp",Inputs!$B$43&gt;0),IF(MAX(0,Inputs!$B$43-B2808)&lt;=0,0,(INT(MAX(0,Inputs!$B$43-B2808)/IF(Inputs!$B$38="pvp",15,MAX(0.1,Skills!D11-IF(Skills!E11=TRUE,4.5,0))))+1)),0)</f>
        <v/>
      </c>
      <c r="S2786">
        <f>IF(C2786,H2786*N2786*IF(AND(Inputs!$B$38&lt;&gt;"pvp",Inputs!$B$43&gt;0),((Skills!F11*((R2786-1)*IF(Skills!G11&gt;0,Skills!H11/Skills!G11,1)+IF(Skills!G11&gt;0,MIN(Skills!H11,MAX(0,MAX(0,Inputs!$B$43-B2808)-((R2786-1)*IF(Inputs!$B$38="pvp",15,MAX(0.1,Skills!D11-IF(Skills!E11=TRUE,4.5,0))))))/Skills!G11,1)))/Inputs!$B$43),G2786*Q2786)*0.5*IF(Inputs!$B$38="pvp",1,1+(Inputs!$B$20+Skills!O11+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2786*(1-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6">
        <f>IF(C2786,H2786*N2786*IF(AND(Inputs!$B$38&lt;&gt;"pvp",Inputs!$B$43&gt;0),((Skills!F11*((R2786-1)*IF(Skills!G11&gt;0,Skills!H11/Skills!G11,1)+IF(Skills!G11&gt;0,MIN(Skills!H11,MAX(0,MAX(0,Inputs!$B$43-B2808)-((R2786-1)*IF(Inputs!$B$38="pvp",15,MAX(0.1,Skills!D11-IF(Skills!E11=TRUE,4.5,0))))))/Skills!G11,1)))/Inputs!$B$43),G2786*Q2786)*1*IF(Inputs!$B$38="pvp",1,(1+(Inputs!$B$21+Skills!P11+B2802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Skills!A12</f>
        <v/>
      </c>
      <c r="B2787">
        <f>Skills!B12</f>
        <v/>
      </c>
      <c r="C2787">
        <f>Inputs!$B$3&gt;=115</f>
        <v/>
      </c>
      <c r="D2787">
        <f>IF(Skills!C12=1,60+Inputs!$B$25+Inputs!$B$29,IF(Skills!C12=2,90+Inputs!$B$26+Inputs!$B$29,IF(Skills!C12=3,120+Inputs!$B$27+Inputs!$B$29,MAX(0,(Inputs!$B$3-100)*3)+Inputs!$B$28+Inputs!$B$29)))</f>
        <v/>
      </c>
      <c r="E2787">
        <f>INDEX(FactorTable!$B$2:$Y$301, MATCH(ROUND(MIN(300,MAX(1,D2787)),0), FactorTable!$A$2:$A$301,0), Skills!L12+1)</f>
        <v/>
      </c>
      <c r="F2787">
        <f>IF(Skills!M12=TRUE,(Skills!K12/10)*(E2787/1000),Skills!K12/10)+Skills!N12</f>
        <v/>
      </c>
      <c r="G2787">
        <f>Calc!G12</f>
        <v/>
      </c>
      <c r="H2787">
        <f>Calc!H12</f>
        <v/>
      </c>
      <c r="I2787">
        <f>IF(Skills!T12&lt;&gt;"",1+(Skills!T12/10)*(Z2778/1000)/100,1)</f>
        <v/>
      </c>
      <c r="J2787">
        <f>((Inputs!$B$6*(1+Inputs!$B$7/100))+(((Inputs!$B$12*(1+Inputs!$B$13/100))-(Inputs!$B$12*(1+Inputs!$B$13/100)))+0.25*(Inputs!$B$14-Inputs!$B$14))*(1+Inputs!$B$7/100))*(F2787/100)</f>
        <v/>
      </c>
      <c r="K2787">
        <f>J2787*(1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F2793-Calc!F18),(Inputs!$B$23+(IF(ArtifactsInput!$M$15,CHOOSE(ArtifactsInput!$N$15+1,25,30,35,40,45,50)/100*(Inputs!$B$11-Inputs!$B$11),0))))/100+(Inputs!$B$23+(IF(ArtifactsInput!$M$15,CHOOSE(ArtifactsInput!$N$15+1,25,30,35,40,45,50)/100*(Inputs!$B$11-Inputs!$B$11),0)))/100)/2</f>
        <v/>
      </c>
      <c r="M2787">
        <f>L2787*(1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(1-Summary!$B$11)*S2787+Summary!$B$11*U2787</f>
        <v/>
      </c>
      <c r="P2787">
        <f>IF(B2811=0,0,O2787/B2811)</f>
        <v/>
      </c>
      <c r="Q2787">
        <f>IFERROR(1/IF(Inputs!$B$38="pvp",15,MAX(0.1,Skills!D12-IF(Skills!E12=TRUE,4.5,0))),0)</f>
        <v/>
      </c>
      <c r="R2787">
        <f>IF(AND(Inputs!$B$38&lt;&gt;"pvp",Inputs!$B$43&gt;0),IF(MAX(0,Inputs!$B$43-B2808)&lt;=0,0,(INT(MAX(0,Inputs!$B$43-B2808)/IF(Inputs!$B$38="pvp",15,MAX(0.1,Skills!D12-IF(Skills!E12=TRUE,4.5,0))))+1)),0)</f>
        <v/>
      </c>
      <c r="S2787">
        <f>IF(C2787,(H2787*N2787*IF(AND(Inputs!$B$38&lt;&gt;"pvp",Inputs!$B$43&gt;0),((Skills!F12*((R2787-1)*IF(Skills!G12&gt;0,Skills!H12/Skills!G12,1)+IF(Skills!G12&gt;0,MIN(Skills!H12,MAX(0,MAX(0,Inputs!$B$43-B2808)-((R2787-1)*IF(Inputs!$B$38="pvp",15,MAX(0.1,Skills!D12-IF(Skills!E12=TRUE,4.5,0))))))/Skills!G12,1)))/Inputs!$B$43),G2787*Q2787))*IF(Inputs!$B$38="pvp",1,1+(Inputs!$B$20+Skills!O12+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IF(C2787,(H2787*N2787*IF(AND(Inputs!$B$38&lt;&gt;"pvp",Inputs!$B$43&gt;0),((Skills!F12*((R2787-1)*IF(Skills!G12&gt;0,Skills!H12/Skills!G12,1)+IF(Skills!G12&gt;0,MIN(Skills!H12,MAX(0,MAX(0,Inputs!$B$43-B2808)-((R2787-1)*IF(Inputs!$B$38="pvp",15,MAX(0.1,Skills!D12-IF(Skills!E12=TRUE,4.5,0))))))/Skills!G12,1)))/Inputs!$B$43),G2787*Q2787))*IF(Inputs!$B$38="pvp",1,(1+(Inputs!$B$21+Skills!P12+B2802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Skills!A13</f>
        <v/>
      </c>
      <c r="B2788">
        <f>Skills!B13</f>
        <v/>
      </c>
      <c r="C2788">
        <f>Inputs!$B$3&gt;=49</f>
        <v/>
      </c>
      <c r="D2788">
        <f>IF(Skills!C13=1,60+Inputs!$B$25+Inputs!$B$29,IF(Skills!C13=2,90+Inputs!$B$26+Inputs!$B$29,IF(Skills!C13=3,120+Inputs!$B$27+Inputs!$B$29,MAX(0,(Inputs!$B$3-100)*3)+Inputs!$B$28+Inputs!$B$29)))</f>
        <v/>
      </c>
      <c r="E2788">
        <f>INDEX(FactorTable!$B$2:$Y$301, MATCH(ROUND(MIN(300,MAX(1,D2788)),0), FactorTable!$A$2:$A$301,0), Skills!L13+1)</f>
        <v/>
      </c>
      <c r="F2788">
        <f>IF(Skills!M13=TRUE,(Skills!K13/10)*(E2788/1000),Skills!K13/10)+Skills!N13</f>
        <v/>
      </c>
      <c r="G2788">
        <f>Calc!G13</f>
        <v/>
      </c>
      <c r="H2788">
        <f>Calc!H13</f>
        <v/>
      </c>
      <c r="I2788">
        <f>IF(Skills!T13&lt;&gt;"",1+(Skills!T13/10)*(Z2778/1000)/100,1)</f>
        <v/>
      </c>
      <c r="J2788" t="inlineStr"/>
      <c r="K2788" t="inlineStr"/>
      <c r="L2788" t="inlineStr"/>
      <c r="M2788" t="inlineStr"/>
      <c r="N2788" t="inlineStr"/>
      <c r="O2788">
        <f>(1-Summary!$B$11)*S2788+Summary!$B$11*U2788</f>
        <v/>
      </c>
      <c r="P2788">
        <f>IF(B2811=0,0,O2788/B2811)</f>
        <v/>
      </c>
      <c r="Q2788">
        <f>IFERROR(1/IF(Inputs!$B$38="pvp",15,MAX(0.1,Skills!D13-IF(Skills!E13=TRUE,4.5,0))),0)</f>
        <v/>
      </c>
      <c r="R2788" t="n">
        <v>0</v>
      </c>
      <c r="S2788" t="n">
        <v>0</v>
      </c>
      <c r="U2788" t="n">
        <v>0</v>
      </c>
    </row>
    <row r="2789">
      <c r="A2789">
        <f>Skills!A14</f>
        <v/>
      </c>
      <c r="B2789">
        <f>Skills!B14</f>
        <v/>
      </c>
      <c r="C2789">
        <f>Inputs!$B$3&gt;=72</f>
        <v/>
      </c>
      <c r="D2789">
        <f>IF(Skills!C14=1,60+Inputs!$B$25+Inputs!$B$29,IF(Skills!C14=2,90+Inputs!$B$26+Inputs!$B$29,IF(Skills!C14=3,120+Inputs!$B$27+Inputs!$B$29,MAX(0,(Inputs!$B$3-100)*3)+Inputs!$B$28+Inputs!$B$29)))</f>
        <v/>
      </c>
      <c r="E2789">
        <f>INDEX(FactorTable!$B$2:$Y$301, MATCH(ROUND(MIN(300,MAX(1,D2789)),0), FactorTable!$A$2:$A$301,0), Skills!L14+1)</f>
        <v/>
      </c>
      <c r="F2789">
        <f>IF(Skills!M14=TRUE,(Skills!K14/10)*(E2789/1000),Skills!K14/10)+Skills!N14</f>
        <v/>
      </c>
      <c r="G2789">
        <f>Calc!G14</f>
        <v/>
      </c>
      <c r="H2789">
        <f>Calc!H14</f>
        <v/>
      </c>
      <c r="I2789">
        <f>IF(Skills!T14&lt;&gt;"",1+(Skills!T14/10)*(Z2778/1000)/100,1)</f>
        <v/>
      </c>
      <c r="J2789" t="inlineStr"/>
      <c r="K2789" t="inlineStr"/>
      <c r="L2789" t="inlineStr"/>
      <c r="M2789" t="inlineStr"/>
      <c r="N2789" t="inlineStr"/>
      <c r="O2789">
        <f>(1-Summary!$B$11)*S2789+Summary!$B$11*U2789</f>
        <v/>
      </c>
      <c r="P2789">
        <f>IF(B2811=0,0,O2789/B2811)</f>
        <v/>
      </c>
      <c r="Q2789">
        <f>IFERROR(1/IF(Inputs!$B$38="pvp",15,MAX(0.1,Skills!D14-IF(Skills!E14=TRUE,4.5,0))),0)</f>
        <v/>
      </c>
      <c r="R2789" t="n">
        <v>0</v>
      </c>
      <c r="S2789" t="n">
        <v>0</v>
      </c>
      <c r="U2789" t="n">
        <v>0</v>
      </c>
    </row>
    <row r="2790">
      <c r="A2790">
        <f>Skills!A15</f>
        <v/>
      </c>
      <c r="B2790">
        <f>Skills!B15</f>
        <v/>
      </c>
      <c r="C2790">
        <f>Inputs!$B$3&gt;=75</f>
        <v/>
      </c>
      <c r="D2790">
        <f>IF(Skills!C15=1,60+Inputs!$B$25+Inputs!$B$29,IF(Skills!C15=2,90+Inputs!$B$26+Inputs!$B$29,IF(Skills!C15=3,120+Inputs!$B$27+Inputs!$B$29,MAX(0,(Inputs!$B$3-100)*3)+Inputs!$B$28+Inputs!$B$29)))</f>
        <v/>
      </c>
      <c r="E2790">
        <f>INDEX(FactorTable!$B$2:$Y$301, MATCH(ROUND(MIN(300,MAX(1,D2790)),0), FactorTable!$A$2:$A$301,0), Skills!L15+1)</f>
        <v/>
      </c>
      <c r="F2790">
        <f>IF(Skills!M15=TRUE,(Skills!K15/10)*(E2790/1000),Skills!K15/10)+Skills!N15</f>
        <v/>
      </c>
      <c r="G2790">
        <f>Calc!G15</f>
        <v/>
      </c>
      <c r="H2790">
        <f>Calc!H15</f>
        <v/>
      </c>
      <c r="I2790">
        <f>IF(Skills!T15&lt;&gt;"",1+(Skills!T15/10)*(Z2778/1000)/100,1)</f>
        <v/>
      </c>
      <c r="J2790" t="inlineStr"/>
      <c r="K2790" t="inlineStr"/>
      <c r="L2790" t="inlineStr"/>
      <c r="M2790" t="inlineStr"/>
      <c r="N2790" t="inlineStr"/>
      <c r="O2790">
        <f>(1-Summary!$B$11)*S2790+Summary!$B$11*U2790</f>
        <v/>
      </c>
      <c r="P2790">
        <f>IF(B2811=0,0,O2790/B2811)</f>
        <v/>
      </c>
      <c r="Q2790">
        <f>IFERROR(1/IF(Inputs!$B$38="pvp",15,MAX(0.1,Skills!D15-IF(Skills!E15=TRUE,4.5,0))),0)</f>
        <v/>
      </c>
      <c r="R2790" t="n">
        <v>0</v>
      </c>
      <c r="S2790" t="n">
        <v>0</v>
      </c>
      <c r="U2790" t="n">
        <v>0</v>
      </c>
    </row>
    <row r="2791">
      <c r="A2791">
        <f>Skills!A16</f>
        <v/>
      </c>
      <c r="B2791">
        <f>Skills!B16</f>
        <v/>
      </c>
      <c r="C2791">
        <f>Inputs!$B$3&gt;=110</f>
        <v/>
      </c>
      <c r="D2791">
        <f>IF(Skills!C16=1,60+Inputs!$B$25+Inputs!$B$29,IF(Skills!C16=2,90+Inputs!$B$26+Inputs!$B$29,IF(Skills!C16=3,120+Inputs!$B$27+Inputs!$B$29,MAX(0,(Inputs!$B$3-100)*3)+Inputs!$B$28+Inputs!$B$29)))</f>
        <v/>
      </c>
      <c r="E2791">
        <f>INDEX(FactorTable!$B$2:$Y$301, MATCH(ROUND(MIN(300,MAX(1,D2791)),0), FactorTable!$A$2:$A$301,0), Skills!L16+1)</f>
        <v/>
      </c>
      <c r="F2791">
        <f>(Skills!K16/10)*(E2791/1000)*64/45+Skills!N16</f>
        <v/>
      </c>
      <c r="G2791">
        <f>Calc!G16</f>
        <v/>
      </c>
      <c r="H2791">
        <f>Calc!H16</f>
        <v/>
      </c>
      <c r="I2791">
        <f>IF(Skills!T16&lt;&gt;"",1+(Skills!T16/10)*(Z2778/1000)/100,1)</f>
        <v/>
      </c>
      <c r="J2791" t="inlineStr"/>
      <c r="K2791" t="inlineStr"/>
      <c r="L2791" t="inlineStr"/>
      <c r="M2791" t="inlineStr"/>
      <c r="N2791" t="inlineStr"/>
      <c r="O2791">
        <f>(1-Summary!$B$11)*S2791+Summary!$B$11*U2791</f>
        <v/>
      </c>
      <c r="P2791">
        <f>IF(B2811=0,0,O2791/B2811)</f>
        <v/>
      </c>
      <c r="Q2791">
        <f>IFERROR(1/IF(Inputs!$B$38="pvp",15,MAX(0.1,Skills!D16-IF(Skills!E16=TRUE,4.5,0))),0)</f>
        <v/>
      </c>
      <c r="R2791">
        <f>IF(AND(Inputs!$B$38&lt;&gt;"pvp",Inputs!$B$43&gt;0),IF(Inputs!$B$43&lt;=0,0,(INT(Inputs!$B$43/IF(Inputs!$B$38="pvp",15,MAX(0.1,Skills!D16-IF(Skills!E16=TRUE,4.5,0))))+1)),0)</f>
        <v/>
      </c>
      <c r="S2791" t="n">
        <v>0</v>
      </c>
      <c r="U2791" t="n">
        <v>0</v>
      </c>
    </row>
    <row r="2792">
      <c r="A2792">
        <f>Skills!A17</f>
        <v/>
      </c>
      <c r="B2792">
        <f>Skills!B17</f>
        <v/>
      </c>
      <c r="C2792">
        <f>Inputs!$B$3&gt;=33</f>
        <v/>
      </c>
      <c r="D2792">
        <f>IF(Skills!C17=1,60+Inputs!$B$25+Inputs!$B$29,IF(Skills!C17=2,90+Inputs!$B$26+Inputs!$B$29,IF(Skills!C17=3,120+Inputs!$B$27+Inputs!$B$29,MAX(0,(Inputs!$B$3-100)*3)+Inputs!$B$28+Inputs!$B$29)))</f>
        <v/>
      </c>
      <c r="E2792">
        <f>INDEX(FactorTable!$B$2:$Y$301, MATCH(ROUND(MIN(300,MAX(1,D2792)),0), FactorTable!$A$2:$A$301,0), Skills!L17+1)</f>
        <v/>
      </c>
      <c r="F2792">
        <f>IF(Skills!M17=TRUE,(Skills!K17/10)*(E2792/1000),Skills!K17/10)+Skills!N17</f>
        <v/>
      </c>
      <c r="G2792">
        <f>Calc!G17</f>
        <v/>
      </c>
      <c r="H2792">
        <f>Calc!H17</f>
        <v/>
      </c>
      <c r="I2792">
        <f>IF(Skills!T17&lt;&gt;"",1+(Skills!T17/10)*(Z2778/1000)/100,1)</f>
        <v/>
      </c>
      <c r="J2792" t="inlineStr"/>
      <c r="K2792" t="inlineStr"/>
      <c r="L2792" t="inlineStr"/>
      <c r="M2792" t="inlineStr"/>
      <c r="N2792" t="inlineStr"/>
      <c r="O2792">
        <f>(1-Summary!$B$11)*S2792+Summary!$B$11*U2792</f>
        <v/>
      </c>
      <c r="P2792">
        <f>IF(B2811=0,0,O2792/B2811)</f>
        <v/>
      </c>
      <c r="Q2792">
        <f>IFERROR(1/IF(Inputs!$B$38="pvp",15,MAX(0.1,Skills!D17-IF(Skills!E17=TRUE,4.5,0))),0)</f>
        <v/>
      </c>
      <c r="R2792" t="n">
        <v>0</v>
      </c>
      <c r="S2792" t="n">
        <v>0</v>
      </c>
      <c r="U2792" t="n">
        <v>0</v>
      </c>
    </row>
    <row r="2793">
      <c r="A2793">
        <f>Skills!A18</f>
        <v/>
      </c>
      <c r="B2793">
        <f>Skills!B18</f>
        <v/>
      </c>
      <c r="C2793">
        <f>Inputs!$B$3&gt;=43</f>
        <v/>
      </c>
      <c r="D2793">
        <f>IF(Skills!C18=1,60+Inputs!$B$25+Inputs!$B$29,IF(Skills!C18=2,90+Inputs!$B$26+Inputs!$B$29,IF(Skills!C18=3,120+Inputs!$B$27+Inputs!$B$29,MAX(0,(Inputs!$B$3-100)*3)+Inputs!$B$28+Inputs!$B$29)))</f>
        <v/>
      </c>
      <c r="E2793">
        <f>INDEX(FactorTable!$B$2:$Y$301, MATCH(ROUND(MIN(300,MAX(1,D2793)),0), FactorTable!$A$2:$A$301,0), Skills!L18+1)</f>
        <v/>
      </c>
      <c r="F2793">
        <f>IF(Skills!M18=TRUE,(Skills!K18/10)*(E2793/1000),Skills!K18/10)+Skills!N18</f>
        <v/>
      </c>
      <c r="G2793">
        <f>Calc!G18</f>
        <v/>
      </c>
      <c r="H2793">
        <f>Calc!H18</f>
        <v/>
      </c>
      <c r="I2793">
        <f>IF(Skills!T18&lt;&gt;"",1+(Skills!T18/10)*(Z2778/1000)/100,1)</f>
        <v/>
      </c>
      <c r="J2793" t="inlineStr"/>
      <c r="K2793" t="inlineStr"/>
      <c r="L2793" t="inlineStr"/>
      <c r="M2793" t="inlineStr"/>
      <c r="N2793" t="inlineStr"/>
      <c r="O2793">
        <f>(1-Summary!$B$11)*S2793+Summary!$B$11*U2793</f>
        <v/>
      </c>
      <c r="P2793">
        <f>IF(B2811=0,0,O2793/B2811)</f>
        <v/>
      </c>
      <c r="Q2793">
        <f>IFERROR(1/IF(Inputs!$B$38="pvp",15,MAX(0.1,Skills!D18-IF(Skills!E18=TRUE,4.5,0))),0)</f>
        <v/>
      </c>
      <c r="R2793" t="n">
        <v>0</v>
      </c>
      <c r="S2793" t="n">
        <v>0</v>
      </c>
      <c r="U2793" t="n">
        <v>0</v>
      </c>
    </row>
    <row r="2794">
      <c r="A2794">
        <f>Skills!A19</f>
        <v/>
      </c>
      <c r="B2794">
        <f>Skills!B19</f>
        <v/>
      </c>
      <c r="C2794">
        <f>Inputs!$B$3&gt;=50</f>
        <v/>
      </c>
      <c r="D2794">
        <f>IF(Skills!C19=1,60+Inputs!$B$25+Inputs!$B$29,IF(Skills!C19=2,90+Inputs!$B$26+Inputs!$B$29,IF(Skills!C19=3,120+Inputs!$B$27+Inputs!$B$29,MAX(0,(Inputs!$B$3-100)*3)+Inputs!$B$28+Inputs!$B$29)))</f>
        <v/>
      </c>
      <c r="E2794">
        <f>INDEX(FactorTable!$B$2:$Y$301, MATCH(ROUND(MIN(300,MAX(1,D2794)),0), FactorTable!$A$2:$A$301,0), Skills!L19+1)</f>
        <v/>
      </c>
      <c r="F2794">
        <f>IF(Skills!M19=TRUE,(Skills!K19/10)*(E2794/1000),Skills!K19/10)+Skills!N19</f>
        <v/>
      </c>
      <c r="G2794">
        <f>Calc!G19</f>
        <v/>
      </c>
      <c r="H2794">
        <f>Calc!H19</f>
        <v/>
      </c>
      <c r="I2794">
        <f>IF(Skills!T19&lt;&gt;"",1+(Skills!T19/10)*(Z2778/1000)/100,1)</f>
        <v/>
      </c>
      <c r="J2794" t="inlineStr"/>
      <c r="K2794" t="inlineStr"/>
      <c r="L2794" t="inlineStr"/>
      <c r="M2794" t="inlineStr"/>
      <c r="N2794" t="inlineStr"/>
      <c r="O2794">
        <f>(1-Summary!$B$11)*S2794+Summary!$B$11*U2794</f>
        <v/>
      </c>
      <c r="P2794">
        <f>IF(B2811=0,0,O2794/B2811)</f>
        <v/>
      </c>
      <c r="Q2794">
        <f>IFERROR(1/IF(Inputs!$B$38="pvp",15,MAX(0.1,Skills!D19-IF(Skills!E19=TRUE,4.5,0))),0)</f>
        <v/>
      </c>
      <c r="R2794" t="n">
        <v>0</v>
      </c>
      <c r="S2794" t="n">
        <v>0</v>
      </c>
      <c r="U2794" t="n">
        <v>0</v>
      </c>
    </row>
    <row r="2795">
      <c r="A2795">
        <f>Skills!A20</f>
        <v/>
      </c>
      <c r="B2795">
        <f>Skills!B20</f>
        <v/>
      </c>
      <c r="C2795">
        <f>Inputs!$B$3&gt;=74</f>
        <v/>
      </c>
      <c r="D2795">
        <f>IF(Skills!C20=1,60+Inputs!$B$25+Inputs!$B$29,IF(Skills!C20=2,90+Inputs!$B$26+Inputs!$B$29,IF(Skills!C20=3,120+Inputs!$B$27+Inputs!$B$29,MAX(0,(Inputs!$B$3-100)*3)+Inputs!$B$28+Inputs!$B$29)))</f>
        <v/>
      </c>
      <c r="E2795">
        <f>INDEX(FactorTable!$B$2:$Y$301, MATCH(ROUND(MIN(300,MAX(1,D2795)),0), FactorTable!$A$2:$A$301,0), Skills!L20+1)</f>
        <v/>
      </c>
      <c r="F2795">
        <f>IF(Skills!M20=TRUE,(Skills!K20/10)*(E2795/1000),Skills!K20/10)+Skills!N20</f>
        <v/>
      </c>
      <c r="G2795">
        <f>Calc!G20</f>
        <v/>
      </c>
      <c r="H2795">
        <f>Calc!H20</f>
        <v/>
      </c>
      <c r="I2795">
        <f>IF(Skills!T20&lt;&gt;"",1+(Skills!T20/10)*(Z2778/1000)/100,1)</f>
        <v/>
      </c>
      <c r="J2795" t="inlineStr"/>
      <c r="K2795" t="inlineStr"/>
      <c r="L2795" t="inlineStr"/>
      <c r="M2795" t="inlineStr"/>
      <c r="N2795" t="inlineStr"/>
      <c r="O2795">
        <f>(1-Summary!$B$11)*S2795+Summary!$B$11*U2795</f>
        <v/>
      </c>
      <c r="P2795">
        <f>IF(B2811=0,0,O2795/B2811)</f>
        <v/>
      </c>
      <c r="Q2795">
        <f>IFERROR(1/IF(Inputs!$B$38="pvp",15,MAX(0.1,Skills!D20-IF(Skills!E20=TRUE,4.5,0))),0)</f>
        <v/>
      </c>
      <c r="R2795" t="n">
        <v>0</v>
      </c>
      <c r="S2795" t="n">
        <v>0</v>
      </c>
      <c r="U2795" t="n">
        <v>0</v>
      </c>
    </row>
    <row r="2796">
      <c r="A2796">
        <f>Skills!A21</f>
        <v/>
      </c>
      <c r="B2796">
        <f>Skills!B21</f>
        <v/>
      </c>
      <c r="C2796">
        <f>Inputs!$B$3&gt;=74</f>
        <v/>
      </c>
      <c r="D2796">
        <f>IF(Skills!C21=1,60+Inputs!$B$25+Inputs!$B$29,IF(Skills!C21=2,90+Inputs!$B$26+Inputs!$B$29,IF(Skills!C21=3,120+Inputs!$B$27+Inputs!$B$29,MAX(0,(Inputs!$B$3-100)*3)+Inputs!$B$28+Inputs!$B$29)))</f>
        <v/>
      </c>
      <c r="E2796">
        <f>INDEX(FactorTable!$B$2:$Y$301, MATCH(ROUND(MIN(300,MAX(1,D2796)),0), FactorTable!$A$2:$A$301,0), Skills!L21+1)</f>
        <v/>
      </c>
      <c r="F2796">
        <f>IF(Skills!M21=TRUE,(Skills!K21/10)*(E2796/1000),Skills!K21/10)+Skills!N21</f>
        <v/>
      </c>
      <c r="G2796">
        <f>Calc!G21</f>
        <v/>
      </c>
      <c r="H2796">
        <f>Calc!H21</f>
        <v/>
      </c>
      <c r="I2796">
        <f>IF(Skills!T21&lt;&gt;"",1+(Skills!T21/10)*(Z2778/1000)/100,1)</f>
        <v/>
      </c>
      <c r="J2796" t="inlineStr"/>
      <c r="K2796" t="inlineStr"/>
      <c r="L2796" t="inlineStr"/>
      <c r="M2796" t="inlineStr"/>
      <c r="N2796" t="inlineStr"/>
      <c r="O2796">
        <f>(1-Summary!$B$11)*S2796+Summary!$B$11*U2796</f>
        <v/>
      </c>
      <c r="P2796">
        <f>IF(B2811=0,0,O2796/B2811)</f>
        <v/>
      </c>
      <c r="Q2796">
        <f>IFERROR(1/IF(Inputs!$B$38="pvp",15,MAX(0.1,Skills!D21-IF(Skills!E21=TRUE,4.5,0))),0)</f>
        <v/>
      </c>
      <c r="R2796" t="n">
        <v>0</v>
      </c>
      <c r="S2796" t="n">
        <v>0</v>
      </c>
      <c r="U2796" t="n">
        <v>0</v>
      </c>
    </row>
    <row r="2797">
      <c r="A2797">
        <f>Skills!A22</f>
        <v/>
      </c>
      <c r="B2797">
        <f>Skills!B22</f>
        <v/>
      </c>
      <c r="C2797">
        <f>Inputs!$B$3&gt;=117</f>
        <v/>
      </c>
      <c r="D2797">
        <f>IF(Skills!C22=1,60+Inputs!$B$25+Inputs!$B$29,IF(Skills!C22=2,90+Inputs!$B$26+Inputs!$B$29,IF(Skills!C22=3,120+Inputs!$B$27+Inputs!$B$29,MAX(0,(Inputs!$B$3-100)*3)+Inputs!$B$28+Inputs!$B$29)))</f>
        <v/>
      </c>
      <c r="E2797">
        <f>INDEX(FactorTable!$B$2:$Y$301, MATCH(ROUND(MIN(300,MAX(1,D2797)),0), FactorTable!$A$2:$A$301,0), Skills!L22+1)</f>
        <v/>
      </c>
      <c r="F2797">
        <f>IF(Skills!M22=TRUE,(Skills!K22/10)*(E2797/1000),Skills!K22/10)+Skills!N22</f>
        <v/>
      </c>
      <c r="G2797">
        <f>Calc!G22</f>
        <v/>
      </c>
      <c r="H2797">
        <f>Calc!H22</f>
        <v/>
      </c>
      <c r="I2797">
        <f>IF(Skills!T22&lt;&gt;"",1+(Skills!T22/10)*(Z2778/1000)/100,1)</f>
        <v/>
      </c>
      <c r="J2797" t="inlineStr"/>
      <c r="K2797" t="inlineStr"/>
      <c r="L2797" t="inlineStr"/>
      <c r="M2797" t="inlineStr"/>
      <c r="N2797" t="inlineStr"/>
      <c r="O2797">
        <f>(1-Summary!$B$11)*S2797+Summary!$B$11*U2797</f>
        <v/>
      </c>
      <c r="P2797">
        <f>IF(B2811=0,0,O2797/B2811)</f>
        <v/>
      </c>
      <c r="Q2797">
        <f>IFERROR(1/IF(Inputs!$B$38="pvp",15,MAX(0.1,Skills!D22-IF(Skills!E22=TRUE,4.5,0))),0)</f>
        <v/>
      </c>
      <c r="R2797" t="n">
        <v>0</v>
      </c>
      <c r="S2797" t="n">
        <v>0</v>
      </c>
      <c r="U2797" t="n">
        <v>0</v>
      </c>
    </row>
    <row r="2798">
      <c r="A2798">
        <f>Skills!A23</f>
        <v/>
      </c>
      <c r="B2798">
        <f>Skills!B23</f>
        <v/>
      </c>
      <c r="C2798">
        <f>Inputs!$B$3&gt;=120</f>
        <v/>
      </c>
      <c r="D2798">
        <f>IF(Skills!C23=1,60+Inputs!$B$25+Inputs!$B$29,IF(Skills!C23=2,90+Inputs!$B$26+Inputs!$B$29,IF(Skills!C23=3,120+Inputs!$B$27+Inputs!$B$29,MAX(0,(Inputs!$B$3-100)*3)+Inputs!$B$28+Inputs!$B$29)))</f>
        <v/>
      </c>
      <c r="E2798">
        <f>INDEX(FactorTable!$B$2:$Y$301, MATCH(ROUND(MIN(300,MAX(1,D2798)),0), FactorTable!$A$2:$A$301,0), Skills!L23+1)</f>
        <v/>
      </c>
      <c r="F2798">
        <f>IF(Skills!M23=TRUE,(Skills!K23/10)*(E2798/1000),Skills!K23/10)+Skills!N23</f>
        <v/>
      </c>
      <c r="G2798">
        <f>Calc!G23</f>
        <v/>
      </c>
      <c r="H2798">
        <f>Calc!H23</f>
        <v/>
      </c>
      <c r="I2798">
        <f>IF(Skills!T23&lt;&gt;"",1+(Skills!T23/10)*(Z2778/1000)/100,1)</f>
        <v/>
      </c>
      <c r="J2798" t="inlineStr"/>
      <c r="K2798" t="inlineStr"/>
      <c r="L2798" t="inlineStr"/>
      <c r="M2798" t="inlineStr"/>
      <c r="N2798" t="inlineStr"/>
      <c r="O2798">
        <f>(1-Summary!$B$11)*S2798+Summary!$B$11*U2798</f>
        <v/>
      </c>
      <c r="P2798">
        <f>IF(B2811=0,0,O2798/B2811)</f>
        <v/>
      </c>
      <c r="Q2798">
        <f>IFERROR(1/IF(Inputs!$B$38="pvp",15,MAX(0.1,Skills!D23-IF(Skills!E23=TRUE,4.5,0))),0)</f>
        <v/>
      </c>
      <c r="R2798" t="n">
        <v>0</v>
      </c>
      <c r="S2798" t="n">
        <v>0</v>
      </c>
      <c r="U2798" t="n">
        <v>0</v>
      </c>
    </row>
    <row r="2801">
      <c r="A2801" t="inlineStr">
        <is>
          <t>Average Buff Multiplier (Magic Guard + Meditation + Artifact Attack%, summed; then Infinity)</t>
        </is>
      </c>
      <c r="B2801">
        <f>(1+(IF(C2778=TRUE,F2778*IF(AND(Inputs!$B$38&lt;&gt;"pvp",Inputs!$B$43&gt;0),(((R2778-1)*(Skills!S3*(1+(Inputs!$B$34+IF(Inputs!$B$3&gt;=117,F2797,0))/100))+MIN((Skills!S3*(1+(Inputs!$B$34+IF(Inputs!$B$3&gt;=117,F2797,0))/100)),MAX(0,Inputs!$B$43-((R2778-1)*Skills!D3))))/Inputs!$B$43),IF(Inputs!$B$38="pvp",MIN((Skills!S3*(1+(Inputs!$B$34+IF(Inputs!$B$3&gt;=117,F2797,0))/100)),15)/15,(Skills!S3*(1+(Inputs!$B$34+IF(Inputs!$B$3&gt;=117,F2797,0))/100))/Skills!D3)),0)+IF(C2779=TRUE,F2779*IF(AND(Inputs!$B$38&lt;&gt;"pvp",Inputs!$B$43&gt;0),(((R2779-1)*(Skills!S4*(1+(Inputs!$B$34+IF(Inputs!$B$3&gt;=117,F2797,0))/100))+MIN((Skills!S4*(1+(Inputs!$B$34+IF(Inputs!$B$3&gt;=117,F2797,0))/100)),MAX(0,Inputs!$B$43-((R2779-1)*Skills!D4))))/Inputs!$B$43),IF(Inputs!$B$38="pvp",MIN((Skills!S4*(1+(Inputs!$B$34+IF(Inputs!$B$3&gt;=117,F2797,0))/100)),15)/15,(Skills!S4*(1+(Inputs!$B$34+IF(Inputs!$B$3&gt;=117,F2797,0)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2791=TRUE,(1+F2791*IF(AND(Inputs!$B$38&lt;&gt;"pvp",Inputs!$B$43&gt;0),(((R2791-1)*(Skills!S16*(1+(Inputs!$B$34+IF(Inputs!$B$3&gt;=117,F2797,0))/100))+MIN((Skills!S16*(1+(Inputs!$B$34+IF(Inputs!$B$3&gt;=117,F2797,0))/100)),MAX(0,Inputs!$B$43-((R2791-1)*Skills!D16))))/Inputs!$B$43),IF(Inputs!$B$38="pvp",MIN((Skills!S16*(1+(Inputs!$B$34+IF(Inputs!$B$3&gt;=117,F2797,0))/100)),15)/15,(Skills!S16*(1+(Inputs!$B$34+IF(Inputs!$B$3&gt;=117,F2797,0))/100))/Skills!D16))/100),1)</f>
        <v/>
      </c>
    </row>
    <row r="2802">
      <c r="A2802" t="inlineStr">
        <is>
          <t>Monster Damage Taken Bonus % (Freezing Breath - Weaken + Elemental Reset + Artifact Enemy Damage Taken, summed)</t>
        </is>
      </c>
      <c r="B2802">
        <f>IF(Inputs!$B$3&gt;=118,15*IF(Inputs!$B$38="pvp",MIN((30*(1+(Inputs!$B$34+IF(Inputs!$B$3&gt;=117,F2797,0))/100)),15)/15,(30*(1+(Inputs!$B$34+IF(Inputs!$B$3&gt;=117,F2797,0))/100))/Skills!D8),0)+IF(C2789=TRUE,F2789,0)+(IF(AND(ArtifactsInput!$M$35,Inputs!$B$4&lt;&gt;"Chapter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f>
        <v/>
      </c>
    </row>
    <row r="2803">
      <c r="A2803" t="inlineStr">
        <is>
          <t>Damage % Bonus (Frozen Break + Frost Clutch, flat)</t>
        </is>
      </c>
      <c r="B2803">
        <f>IF(Inputs!$B$3&gt;=66,15,0)+IF(Inputs!$B$3&gt;=98,10,0)+IF(Inputs!$B$3&gt;=125,20,0)</f>
        <v/>
      </c>
    </row>
    <row r="2804">
      <c r="A2804" t="inlineStr">
        <is>
          <t>Attack Speed Bonus % (MP Eater - MP Boost, always-on once unlocked)</t>
        </is>
      </c>
      <c r="B2804">
        <f>IF(C2788=TRUE,F2788+(F2792-Calc!F17),0)</f>
        <v/>
      </c>
    </row>
    <row r="2805">
      <c r="A2805" t="inlineStr">
        <is>
          <t>Actions Per Second</t>
        </is>
      </c>
      <c r="B2805">
        <f>1+MIN(150,150*(1-(1-(Inputs!$B$11+(ArtifactsInput!$M$15-ArtifactsInput!$M$15)*CHOOSE(ArtifactsInput!$N$15+1,8,9.6,11.2,12.8,14.4,16))/150)*(1-B2804/150)))/100</f>
        <v/>
      </c>
    </row>
    <row r="2806">
      <c r="A2806" t="inlineStr">
        <is>
          <t>Skill + Buff Cast Rate</t>
        </is>
      </c>
      <c r="B2806">
        <f>IF(AND(Inputs!$B$38&lt;&gt;"pvp",Inputs!$B$43&gt;0),SUMPRODUCT((Skills!E2:E23=TRUE)*(C2777:C2798=TRUE)*R2777:R2798)/Inputs!$B$43,SUMPRODUCT((Skills!E2:E23=TRUE)*(C2777:C2798=TRUE)*Q2777:Q2798))</f>
        <v/>
      </c>
    </row>
    <row r="2807">
      <c r="A2807" t="inlineStr">
        <is>
          <t>Chain Lightning Casts Per Second</t>
        </is>
      </c>
      <c r="B2807">
        <f>MAX(0,B2805-B2806)</f>
        <v/>
      </c>
    </row>
    <row r="2808">
      <c r="A2808" t="inlineStr">
        <is>
          <t>Buff-Casting Startup Delay (s, fixed-duration only)</t>
        </is>
      </c>
      <c r="B2808">
        <f>IF(AND(Inputs!$B$38&lt;&gt;"pvp",Inputs!$B$43&gt;0),SUMPRODUCT((Skills!S2:S23&gt;0)*(Skills!E2:E23=TRUE)*(C2777:C2798=TRUE))/B2805,0)</f>
        <v/>
      </c>
    </row>
    <row r="2809">
      <c r="A2809" t="inlineStr">
        <is>
          <t>Boss-Only Total DPS (this block's swept value)</t>
        </is>
      </c>
      <c r="B2809">
        <f>SUM(S2777:S2798)</f>
        <v/>
      </c>
    </row>
    <row r="2810">
      <c r="A2810" t="inlineStr">
        <is>
          <t>Normal-Only Total DPS (this block's swept value)</t>
        </is>
      </c>
      <c r="B2810">
        <f>SUM(U2777:U2798)</f>
        <v/>
      </c>
    </row>
    <row r="2811">
      <c r="A2811" s="6" t="inlineStr">
        <is>
          <t>TOTAL DPS</t>
        </is>
      </c>
      <c r="B2811" s="6">
        <f>SUM(O2777:O2798)</f>
        <v/>
      </c>
    </row>
    <row r="2814">
      <c r="A2814" s="6" t="inlineStr">
        <is>
          <t>Stat: CDR = 5.0s</t>
        </is>
      </c>
    </row>
    <row r="2815">
      <c r="A2815" s="5" t="inlineStr">
        <is>
          <t>Key</t>
        </is>
      </c>
      <c r="B2815" s="5" t="inlineStr">
        <is>
          <t>Name</t>
        </is>
      </c>
      <c r="C2815" s="5" t="inlineStr">
        <is>
          <t>Unlocked</t>
        </is>
      </c>
      <c r="D2815" s="5" t="inlineStr">
        <is>
          <t>InputLevel</t>
        </is>
      </c>
      <c r="E2815" s="5" t="inlineStr">
        <is>
          <t>Factor</t>
        </is>
      </c>
      <c r="F2815" s="5" t="inlineStr">
        <is>
          <t>CoefficientPercent</t>
        </is>
      </c>
      <c r="G2815" s="5" t="inlineStr">
        <is>
          <t>EffectiveHits</t>
        </is>
      </c>
      <c r="H2815" s="5" t="inlineStr">
        <is>
          <t>ProcProbability</t>
        </is>
      </c>
      <c r="I2815" s="5" t="inlineStr">
        <is>
          <t>MapleHeroMultiplier</t>
        </is>
      </c>
      <c r="J2815" s="5" t="inlineStr">
        <is>
          <t>BaseDamage</t>
        </is>
      </c>
      <c r="K2815" s="5" t="inlineStr">
        <is>
          <t>BaseHitDamage</t>
        </is>
      </c>
      <c r="L2815" s="5" t="inlineStr">
        <is>
          <t>NonCritAvg</t>
        </is>
      </c>
      <c r="M2815" s="5" t="inlineStr">
        <is>
          <t>CritAvg</t>
        </is>
      </c>
      <c r="N2815" s="5" t="inlineStr">
        <is>
          <t>ExpectedDamage(perHit)</t>
        </is>
      </c>
      <c r="O2815" s="5" t="inlineStr">
        <is>
          <t>DPS</t>
        </is>
      </c>
      <c r="P2815" s="5" t="inlineStr">
        <is>
          <t>% of Total</t>
        </is>
      </c>
      <c r="R2815" t="inlineStr">
        <is>
          <t>helpers</t>
        </is>
      </c>
    </row>
    <row r="2816">
      <c r="A2816">
        <f>Skills!A2</f>
        <v/>
      </c>
      <c r="B2816">
        <f>Skills!B2</f>
        <v/>
      </c>
      <c r="C2816">
        <f>Inputs!$B$3&gt;=100</f>
        <v/>
      </c>
      <c r="D2816" t="inlineStr"/>
      <c r="E2816" t="inlineStr"/>
      <c r="F2816">
        <f>T2818+Skills!N2</f>
        <v/>
      </c>
      <c r="G2816">
        <f>Calc!G2</f>
        <v/>
      </c>
      <c r="H2816">
        <f>Calc!H2</f>
        <v/>
      </c>
      <c r="I2816">
        <f>IF(Skills!T2&lt;&gt;"",1+(Skills!T2/10)*(Z2817/1000)/100,1)</f>
        <v/>
      </c>
      <c r="J2816">
        <f>((Inputs!$B$6*(1+Inputs!$B$7/100))+(((Inputs!$B$12*(1+Inputs!$B$13/100))-(Inputs!$B$12*(1+Inputs!$B$13/100)))+0.25*(Inputs!$B$14-Inputs!$B$14))*(1+Inputs!$B$7/100))*(F2816/100)</f>
        <v/>
      </c>
      <c r="K2816">
        <f>J2816*(1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2832-Calc!F18),(Inputs!$B$23+(IF(ArtifactsInput!$M$15,CHOOSE(ArtifactsInput!$N$15+1,25,30,35,40,45,50)/100*(Inputs!$B$11-Inputs!$B$11),0))))/100+(Inputs!$B$23+(IF(ArtifactsInput!$M$15,CHOOSE(ArtifactsInput!$N$15+1,25,30,35,40,45,50)/100*(Inputs!$B$11-Inputs!$B$11),0)))/100)/2</f>
        <v/>
      </c>
      <c r="M2816">
        <f>L2816*(1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IF(B2850=0,0,O2816/B2850)</f>
        <v/>
      </c>
      <c r="Q2816">
        <f>IFERROR(1/IF(Inputs!$B$38="pvp",15,MAX(0.1,Skills!D2-IF(Skills!E2=TRUE,5.0,0))),0)</f>
        <v/>
      </c>
      <c r="R2816" t="n">
        <v>0</v>
      </c>
      <c r="S2816">
        <f>IF(C2816,(Skills!F2*N2816*B2846)*IF(Inputs!$B$38="pvp",1,1+(Inputs!$B$20+Skills!O2+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MAX(0,(Inputs!$B$3-100)*3)+Inputs!$B$28+Inputs!$B$29</f>
        <v/>
      </c>
      <c r="U2816">
        <f>IF(C2816,(Skills!F2*N2816*B2846)*IF(Inputs!$B$38="pvp",1,(1+(Inputs!$B$21+Skills!P2+B2841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6">
        <f>MAX(0,(Inputs!$B$3-100)*3)+Inputs!$B$28+Inputs!$B$29</f>
        <v/>
      </c>
    </row>
    <row r="2817">
      <c r="A2817">
        <f>Skills!A3</f>
        <v/>
      </c>
      <c r="B2817">
        <f>Skills!B3</f>
        <v/>
      </c>
      <c r="C2817">
        <f>Inputs!$B$3&gt;=15</f>
        <v/>
      </c>
      <c r="D2817">
        <f>IF(Skills!C3=1,60+Inputs!$B$25+Inputs!$B$29,IF(Skills!C3=2,90+Inputs!$B$26+Inputs!$B$29,IF(Skills!C3=3,120+Inputs!$B$27+Inputs!$B$29,MAX(0,(Inputs!$B$3-100)*3)+Inputs!$B$28+Inputs!$B$29)))</f>
        <v/>
      </c>
      <c r="E2817">
        <f>INDEX(FactorTable!$B$2:$Y$301, MATCH(ROUND(MIN(300,MAX(1,D2817)),0), FactorTable!$A$2:$A$301,0), Skills!L3+1)</f>
        <v/>
      </c>
      <c r="F2817">
        <f>IF(Skills!M3=TRUE,(Skills!K3/10)*(E2817/1000),Skills!K3/10)+Skills!N3</f>
        <v/>
      </c>
      <c r="G2817">
        <f>Calc!G3</f>
        <v/>
      </c>
      <c r="H2817">
        <f>Calc!H3</f>
        <v/>
      </c>
      <c r="I2817">
        <f>IF(Skills!T3&lt;&gt;"",1+(Skills!T3/10)*(Z2817/1000)/100,1)</f>
        <v/>
      </c>
      <c r="J2817" t="inlineStr"/>
      <c r="K2817" t="inlineStr"/>
      <c r="L2817" t="inlineStr"/>
      <c r="M2817" t="inlineStr"/>
      <c r="N2817" t="inlineStr"/>
      <c r="O2817">
        <f>(1-Summary!$B$11)*S2817+Summary!$B$11*U2817</f>
        <v/>
      </c>
      <c r="P2817">
        <f>IF(B2850=0,0,O2817/B2850)</f>
        <v/>
      </c>
      <c r="Q2817">
        <f>IFERROR(1/IF(Inputs!$B$38="pvp",15,MAX(0.1,Skills!D3-IF(Skills!E3=TRUE,5.0,0))),0)</f>
        <v/>
      </c>
      <c r="R2817">
        <f>IF(AND(Inputs!$B$38&lt;&gt;"pvp",Inputs!$B$43&gt;0),IF(Inputs!$B$43&lt;=0,0,(INT(Inputs!$B$43/IF(Inputs!$B$38="pvp",15,MAX(0.1,Skills!D3-IF(Skills!E3=TRUE,5.0,0))))+1)),0)</f>
        <v/>
      </c>
      <c r="S2817" t="n">
        <v>0</v>
      </c>
      <c r="T2817">
        <f>INDEX(FactorTable!$B$2:$Y$301, MATCH(ROUND(MIN(300,MAX(1,T2816)),0), FactorTable!$A$2:$A$301,0), 22)</f>
        <v/>
      </c>
      <c r="U2817" t="n">
        <v>0</v>
      </c>
      <c r="Z2817">
        <f>INDEX(FactorTable!$B$2:$Y$301, MATCH(ROUND(MIN(300,MAX(1,Z2816)),0), FactorTable!$A$2:$A$301,0), 24)</f>
        <v/>
      </c>
    </row>
    <row r="2818">
      <c r="A2818">
        <f>Skills!A4</f>
        <v/>
      </c>
      <c r="B2818">
        <f>Skills!B4</f>
        <v/>
      </c>
      <c r="C2818">
        <f>Inputs!$B$3&gt;=40</f>
        <v/>
      </c>
      <c r="D2818">
        <f>IF(Skills!C4=1,60+Inputs!$B$25+Inputs!$B$29,IF(Skills!C4=2,90+Inputs!$B$26+Inputs!$B$29,IF(Skills!C4=3,120+Inputs!$B$27+Inputs!$B$29,MAX(0,(Inputs!$B$3-100)*3)+Inputs!$B$28+Inputs!$B$29)))</f>
        <v/>
      </c>
      <c r="E2818">
        <f>INDEX(FactorTable!$B$2:$Y$301, MATCH(ROUND(MIN(300,MAX(1,D2818)),0), FactorTable!$A$2:$A$301,0), Skills!L4+1)</f>
        <v/>
      </c>
      <c r="F2818">
        <f>IF(Skills!M4=TRUE,(Skills!K4/10)*(E2818/1000),Skills!K4/10)+Skills!N4</f>
        <v/>
      </c>
      <c r="G2818">
        <f>Calc!G4</f>
        <v/>
      </c>
      <c r="H2818">
        <f>Calc!H4</f>
        <v/>
      </c>
      <c r="I2818">
        <f>IF(Skills!T4&lt;&gt;"",1+(Skills!T4/10)*(Z2817/1000)/100,1)</f>
        <v/>
      </c>
      <c r="J2818" t="inlineStr"/>
      <c r="K2818" t="inlineStr"/>
      <c r="L2818" t="inlineStr"/>
      <c r="M2818" t="inlineStr"/>
      <c r="N2818" t="inlineStr"/>
      <c r="O2818">
        <f>(1-Summary!$B$11)*S2818+Summary!$B$11*U2818</f>
        <v/>
      </c>
      <c r="P2818">
        <f>IF(B2850=0,0,O2818/B2850)</f>
        <v/>
      </c>
      <c r="Q2818">
        <f>IFERROR(1/IF(Inputs!$B$38="pvp",15,MAX(0.1,Skills!D4-IF(Skills!E4=TRUE,5.0,0))),0)</f>
        <v/>
      </c>
      <c r="R2818">
        <f>IF(AND(Inputs!$B$38&lt;&gt;"pvp",Inputs!$B$43&gt;0),IF(Inputs!$B$43&lt;=0,0,(INT(Inputs!$B$43/IF(Inputs!$B$38="pvp",15,MAX(0.1,Skills!D4-IF(Skills!E4=TRUE,5.0,0))))+1)),0)</f>
        <v/>
      </c>
      <c r="S2818" t="n">
        <v>0</v>
      </c>
      <c r="T2818">
        <f>290*T2817/1000</f>
        <v/>
      </c>
      <c r="U2818" t="n">
        <v>0</v>
      </c>
    </row>
    <row r="2819">
      <c r="A2819">
        <f>Skills!A5</f>
        <v/>
      </c>
      <c r="B2819">
        <f>Skills!B5</f>
        <v/>
      </c>
      <c r="C2819">
        <f>Inputs!$B$3&gt;=38</f>
        <v/>
      </c>
      <c r="D2819">
        <f>IF(Skills!C5=1,60+Inputs!$B$25+Inputs!$B$29,IF(Skills!C5=2,90+Inputs!$B$26+Inputs!$B$29,IF(Skills!C5=3,120+Inputs!$B$27+Inputs!$B$29,MAX(0,(Inputs!$B$3-100)*3)+Inputs!$B$28+Inputs!$B$29)))</f>
        <v/>
      </c>
      <c r="E2819">
        <f>INDEX(FactorTable!$B$2:$Y$301, MATCH(ROUND(MIN(300,MAX(1,D2819)),0), FactorTable!$A$2:$A$301,0), Skills!L5+1)</f>
        <v/>
      </c>
      <c r="F2819">
        <f>IF(Skills!M5=TRUE,(Skills!K5/10)*(E2819/1000),Skills!K5/10)+Skills!N5</f>
        <v/>
      </c>
      <c r="G2819">
        <f>Calc!G5</f>
        <v/>
      </c>
      <c r="H2819">
        <f>Calc!H5</f>
        <v/>
      </c>
      <c r="I2819">
        <f>IF(Skills!T5&lt;&gt;"",1+(Skills!T5/10)*(Z2817/1000)/100,1)</f>
        <v/>
      </c>
      <c r="J2819">
        <f>((Inputs!$B$6*(1+Inputs!$B$7/100))+(((Inputs!$B$12*(1+Inputs!$B$13/100))-(Inputs!$B$12*(1+Inputs!$B$13/100)))+0.25*(Inputs!$B$14-Inputs!$B$14))*(1+Inputs!$B$7/100))*(F2819/100)</f>
        <v/>
      </c>
      <c r="K2819">
        <f>J2819*(1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2832-Calc!F18),(Inputs!$B$23+(IF(ArtifactsInput!$M$15,CHOOSE(ArtifactsInput!$N$15+1,25,30,35,40,45,50)/100*(Inputs!$B$11-Inputs!$B$11),0))))/100+(Inputs!$B$23+(IF(ArtifactsInput!$M$15,CHOOSE(ArtifactsInput!$N$15+1,25,30,35,40,45,50)/100*(Inputs!$B$11-Inputs!$B$11),0)))/100)/2</f>
        <v/>
      </c>
      <c r="M2819">
        <f>L2819*(1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IF(B2850=0,0,O2819/B2850)</f>
        <v/>
      </c>
      <c r="Q2819">
        <f>IFERROR(1/IF(Inputs!$B$38="pvp",15,MAX(0.1,Skills!D5-IF(Skills!E5=TRUE,5.0,0))),0)</f>
        <v/>
      </c>
      <c r="R2819">
        <f>IF(AND(Inputs!$B$38&lt;&gt;"pvp",Inputs!$B$43&gt;0),IF(MAX(0,Inputs!$B$43-B2847)&lt;=0,0,(INT(MAX(0,Inputs!$B$43-B2847)/IF(Inputs!$B$38="pvp",15,MAX(0.1,Skills!D5-IF(Skills!E5=TRUE,5.0,0))))+1)),0)</f>
        <v/>
      </c>
      <c r="S2819">
        <f>IF(C2819,(H2819*N2819*IF(AND(Inputs!$B$38&lt;&gt;"pvp",Inputs!$B$43&gt;0),((Skills!F5*((R2819-1)*IF(Skills!G5&gt;0,Skills!H5/Skills!G5,1)+IF(Skills!G5&gt;0,MIN(Skills!H5,MAX(0,MAX(0,Inputs!$B$43-B2847)-((R2819-1)*IF(Inputs!$B$38="pvp",15,MAX(0.1,Skills!D5-IF(Skills!E5=TRUE,5.0,0))))))/Skills!G5,1)))/Inputs!$B$43),G2819*Q2819))*IF(Inputs!$B$38="pvp",1,1+(Inputs!$B$20+Skills!O5+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F5*((R2819-1)*IF(Skills!G5&gt;0,Skills!H5/Skills!G5,1)+IF(Skills!G5&gt;0,MIN(Skills!H5,MAX(0,MAX(0,Inputs!$B$43-B2847)-((R2819-1)*IF(Inputs!$B$38="pvp",15,MAX(0.1,Skills!D5-IF(Skills!E5=TRUE,5.0,0))))))/Skills!G5,1)))/Inputs!$B$43),G2819*Q2819))*IF(Inputs!$B$38="pvp",1,(1+(Inputs!$B$21+Skills!P5+B2841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Skills!A6</f>
        <v/>
      </c>
      <c r="B2820">
        <f>Skills!B6</f>
        <v/>
      </c>
      <c r="C2820">
        <f>Inputs!$B$3&gt;=63</f>
        <v/>
      </c>
      <c r="D2820">
        <f>IF(Skills!C6=1,60+Inputs!$B$25+Inputs!$B$29,IF(Skills!C6=2,90+Inputs!$B$26+Inputs!$B$29,IF(Skills!C6=3,120+Inputs!$B$27+Inputs!$B$29,MAX(0,(Inputs!$B$3-100)*3)+Inputs!$B$28+Inputs!$B$29)))</f>
        <v/>
      </c>
      <c r="E2820">
        <f>INDEX(FactorTable!$B$2:$Y$301, MATCH(ROUND(MIN(300,MAX(1,D2820)),0), FactorTable!$A$2:$A$301,0), Skills!L6+1)</f>
        <v/>
      </c>
      <c r="F2820">
        <f>IF(Skills!M6=TRUE,(Skills!K6/10)*(E2820/1000),Skills!K6/10)+Skills!N6</f>
        <v/>
      </c>
      <c r="G2820">
        <f>Calc!G6</f>
        <v/>
      </c>
      <c r="H2820">
        <f>Calc!H6</f>
        <v/>
      </c>
      <c r="I2820">
        <f>IF(Skills!T6&lt;&gt;"",1+(Skills!T6/10)*(Z2817/1000)/100,1)</f>
        <v/>
      </c>
      <c r="J2820">
        <f>((Inputs!$B$6*(1+Inputs!$B$7/100))+(((Inputs!$B$12*(1+Inputs!$B$13/100))-(Inputs!$B$12*(1+Inputs!$B$13/100)))+0.25*(Inputs!$B$14-Inputs!$B$14))*(1+Inputs!$B$7/100))*(F2820/100)</f>
        <v/>
      </c>
      <c r="K2820">
        <f>J2820*(1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2832-Calc!F18),(Inputs!$B$23+(IF(ArtifactsInput!$M$15,CHOOSE(ArtifactsInput!$N$15+1,25,30,35,40,45,50)/100*(Inputs!$B$11-Inputs!$B$11),0))))/100+(Inputs!$B$23+(IF(ArtifactsInput!$M$15,CHOOSE(ArtifactsInput!$N$15+1,25,30,35,40,45,50)/100*(Inputs!$B$11-Inputs!$B$11),0)))/100)/2</f>
        <v/>
      </c>
      <c r="M2820">
        <f>L2820*(1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IF(B2850=0,0,O2820/B2850)</f>
        <v/>
      </c>
      <c r="Q2820">
        <f>IFERROR(1/IF(Inputs!$B$38="pvp",15,MAX(0.1,Skills!D6-IF(Skills!E6=TRUE,5.0,0))),0)</f>
        <v/>
      </c>
      <c r="R2820">
        <f>IF(AND(Inputs!$B$38&lt;&gt;"pvp",Inputs!$B$43&gt;0),IF(MAX(0,Inputs!$B$43-B2847)&lt;=0,0,(INT(MAX(0,Inputs!$B$43-B2847)/IF(Inputs!$B$38="pvp",15,MAX(0.1,Skills!D6-IF(Skills!E6=TRUE,5.0,0))))+1)),0)</f>
        <v/>
      </c>
      <c r="S2820">
        <f>IF(C2820,(H2820*N2820*IF(AND(Inputs!$B$38&lt;&gt;"pvp",Inputs!$B$43&gt;0),((Skills!F6*((R2820-1)*IF(Skills!G6&gt;0,Skills!H6/Skills!G6,1)+IF(Skills!G6&gt;0,MIN(Skills!H6,MAX(0,MAX(0,Inputs!$B$43-B2847)-((R2820-1)*IF(Inputs!$B$38="pvp",15,MAX(0.1,Skills!D6-IF(Skills!E6=TRUE,5.0,0))))))/Skills!G6,1)))/Inputs!$B$43),G2820*Q2820))*IF(Inputs!$B$38="pvp",1,1+(Inputs!$B$20+Skills!O6+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F6*((R2820-1)*IF(Skills!G6&gt;0,Skills!H6/Skills!G6,1)+IF(Skills!G6&gt;0,MIN(Skills!H6,MAX(0,MAX(0,Inputs!$B$43-B2847)-((R2820-1)*IF(Inputs!$B$38="pvp",15,MAX(0.1,Skills!D6-IF(Skills!E6=TRUE,5.0,0))))))/Skills!G6,1)))/Inputs!$B$43),G2820*Q2820))*IF(Inputs!$B$38="pvp",1,(1+(Inputs!$B$21+Skills!P6+B2841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Skills!A7</f>
        <v/>
      </c>
      <c r="B2821">
        <f>Skills!B7</f>
        <v/>
      </c>
      <c r="C2821">
        <f>Inputs!$B$3&gt;=69</f>
        <v/>
      </c>
      <c r="D2821">
        <f>IF(Skills!C7=1,60+Inputs!$B$25+Inputs!$B$29,IF(Skills!C7=2,90+Inputs!$B$26+Inputs!$B$29,IF(Skills!C7=3,120+Inputs!$B$27+Inputs!$B$29,MAX(0,(Inputs!$B$3-100)*3)+Inputs!$B$28+Inputs!$B$29)))</f>
        <v/>
      </c>
      <c r="E2821">
        <f>INDEX(FactorTable!$B$2:$Y$301, MATCH(ROUND(MIN(300,MAX(1,D2821)),0), FactorTable!$A$2:$A$301,0), Skills!L7+1)</f>
        <v/>
      </c>
      <c r="F2821">
        <f>IF(Skills!M7=TRUE,(Skills!K7/10)*(E2821/1000),Skills!K7/10)+Skills!N7</f>
        <v/>
      </c>
      <c r="G2821">
        <f>Calc!G7</f>
        <v/>
      </c>
      <c r="H2821">
        <f>Calc!H7</f>
        <v/>
      </c>
      <c r="I2821">
        <f>IF(Skills!T7&lt;&gt;"",1+(Skills!T7/10)*(Z2817/1000)/100,1)</f>
        <v/>
      </c>
      <c r="J2821">
        <f>((Inputs!$B$6*(1+Inputs!$B$7/100))+(((Inputs!$B$12*(1+Inputs!$B$13/100))-(Inputs!$B$12*(1+Inputs!$B$13/100)))+0.25*(Inputs!$B$14-Inputs!$B$14))*(1+Inputs!$B$7/100))*(F2821/100)</f>
        <v/>
      </c>
      <c r="K2821">
        <f>J2821*(1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2832-Calc!F18),(Inputs!$B$23+(IF(ArtifactsInput!$M$15,CHOOSE(ArtifactsInput!$N$15+1,25,30,35,40,45,50)/100*(Inputs!$B$11-Inputs!$B$11),0))))/100+(Inputs!$B$23+(IF(ArtifactsInput!$M$15,CHOOSE(ArtifactsInput!$N$15+1,25,30,35,40,45,50)/100*(Inputs!$B$11-Inputs!$B$11),0)))/100)/2</f>
        <v/>
      </c>
      <c r="M2821">
        <f>L2821*(1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IF(B2850=0,0,O2821/B2850)</f>
        <v/>
      </c>
      <c r="Q2821">
        <f>IFERROR(1/IF(Inputs!$B$38="pvp",15,MAX(0.1,Skills!D7-IF(Skills!E7=TRUE,5.0,0))),0)</f>
        <v/>
      </c>
      <c r="R2821">
        <f>IF(AND(Inputs!$B$38&lt;&gt;"pvp",Inputs!$B$43&gt;0),IF(MAX(0,Inputs!$B$43-B2847)&lt;=0,0,(INT(MAX(0,Inputs!$B$43-B2847)/IF(Inputs!$B$38="pvp",15,MAX(0.1,Skills!D7-IF(Skills!E7=TRUE,5.0,0))))+1)),0)</f>
        <v/>
      </c>
      <c r="S2821">
        <f>IF(C2821,(H2821*N2821*IF(AND(Inputs!$B$38&lt;&gt;"pvp",Inputs!$B$43&gt;0),((Skills!F7*((R2821-1)*IF(Skills!G7&gt;0,Skills!H7/Skills!G7,1)+IF(Skills!G7&gt;0,MIN(Skills!H7,MAX(0,MAX(0,Inputs!$B$43-B2847)-((R2821-1)*IF(Inputs!$B$38="pvp",15,MAX(0.1,Skills!D7-IF(Skills!E7=TRUE,5.0,0))))))/Skills!G7,1)))/Inputs!$B$43),G2821*Q2821))*IF(Inputs!$B$38="pvp",1,1+(Inputs!$B$20+Skills!O7+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F7*((R2821-1)*IF(Skills!G7&gt;0,Skills!H7/Skills!G7,1)+IF(Skills!G7&gt;0,MIN(Skills!H7,MAX(0,MAX(0,Inputs!$B$43-B2847)-((R2821-1)*IF(Inputs!$B$38="pvp",15,MAX(0.1,Skills!D7-IF(Skills!E7=TRUE,5.0,0))))))/Skills!G7,1)))/Inputs!$B$43),G2821*Q2821))*IF(Inputs!$B$38="pvp",1,(1+(Inputs!$B$21+Skills!P7+B2841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Skills!A8</f>
        <v/>
      </c>
      <c r="B2822">
        <f>Skills!B8</f>
        <v/>
      </c>
      <c r="C2822">
        <f>Inputs!$B$3&gt;=103</f>
        <v/>
      </c>
      <c r="D2822">
        <f>IF(Skills!C8=1,60+Inputs!$B$25+Inputs!$B$29,IF(Skills!C8=2,90+Inputs!$B$26+Inputs!$B$29,IF(Skills!C8=3,120+Inputs!$B$27+Inputs!$B$29,MAX(0,(Inputs!$B$3-100)*3)+Inputs!$B$28+Inputs!$B$29)))</f>
        <v/>
      </c>
      <c r="E2822">
        <f>INDEX(FactorTable!$B$2:$Y$301, MATCH(ROUND(MIN(300,MAX(1,D2822)),0), FactorTable!$A$2:$A$301,0), Skills!L8+1)</f>
        <v/>
      </c>
      <c r="F2822">
        <f>IF(Skills!M8=TRUE,(Skills!K8/10)*(E2822/1000),Skills!K8/10)+Skills!N8</f>
        <v/>
      </c>
      <c r="G2822">
        <f>Calc!G8</f>
        <v/>
      </c>
      <c r="H2822">
        <f>Calc!H8</f>
        <v/>
      </c>
      <c r="I2822">
        <f>IF(Skills!T8&lt;&gt;"",1+(Skills!T8/10)*(Z2817/1000)/100,1)</f>
        <v/>
      </c>
      <c r="J2822">
        <f>((Inputs!$B$6*(1+Inputs!$B$7/100))+(((Inputs!$B$12*(1+Inputs!$B$13/100))-(Inputs!$B$12*(1+Inputs!$B$13/100)))+0.25*(Inputs!$B$14-Inputs!$B$14))*(1+Inputs!$B$7/100))*(F2822/100)</f>
        <v/>
      </c>
      <c r="K2822">
        <f>J2822*(1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2832-Calc!F18),(Inputs!$B$23+(IF(ArtifactsInput!$M$15,CHOOSE(ArtifactsInput!$N$15+1,25,30,35,40,45,50)/100*(Inputs!$B$11-Inputs!$B$11),0))))/100+(Inputs!$B$23+(IF(ArtifactsInput!$M$15,CHOOSE(ArtifactsInput!$N$15+1,25,30,35,40,45,50)/100*(Inputs!$B$11-Inputs!$B$11),0)))/100)/2</f>
        <v/>
      </c>
      <c r="M2822">
        <f>L2822*(1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IF(B2850=0,0,O2822/B2850)</f>
        <v/>
      </c>
      <c r="Q2822">
        <f>IFERROR(1/IF(Inputs!$B$38="pvp",15,MAX(0.1,Skills!D8-IF(Skills!E8=TRUE,5.0,0))),0)</f>
        <v/>
      </c>
      <c r="R2822">
        <f>IF(AND(Inputs!$B$38&lt;&gt;"pvp",Inputs!$B$43&gt;0),IF(MAX(0,Inputs!$B$43-B2847)&lt;=0,0,(INT(MAX(0,Inputs!$B$43-B2847)/IF(Inputs!$B$38="pvp",15,MAX(0.1,Skills!D8-IF(Skills!E8=TRUE,5.0,0))))+1)),0)</f>
        <v/>
      </c>
      <c r="S2822">
        <f>IF(C2822,(H2822*N2822*IF(AND(Inputs!$B$38&lt;&gt;"pvp",Inputs!$B$43&gt;0),((Skills!F8*((R2822-1)*IF(Skills!G8&gt;0,Skills!H8/Skills!G8,1)+IF(Skills!G8&gt;0,MIN(Skills!H8,MAX(0,MAX(0,Inputs!$B$43-B2847)-((R2822-1)*IF(Inputs!$B$38="pvp",15,MAX(0.1,Skills!D8-IF(Skills!E8=TRUE,5.0,0))))))/Skills!G8,1)))/Inputs!$B$43),G2822*Q2822))*IF(Inputs!$B$38="pvp",1,1+(Inputs!$B$20+Skills!O8+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F8*((R2822-1)*IF(Skills!G8&gt;0,Skills!H8/Skills!G8,1)+IF(Skills!G8&gt;0,MIN(Skills!H8,MAX(0,MAX(0,Inputs!$B$43-B2847)-((R2822-1)*IF(Inputs!$B$38="pvp",15,MAX(0.1,Skills!D8-IF(Skills!E8=TRUE,5.0,0))))))/Skills!G8,1)))/Inputs!$B$43),G2822*Q2822))*IF(Inputs!$B$38="pvp",1,(1+(Inputs!$B$21+Skills!P8+B2841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Skills!A9</f>
        <v/>
      </c>
      <c r="B2823">
        <f>Skills!B9</f>
        <v/>
      </c>
      <c r="C2823">
        <f>Inputs!$B$3&gt;=105</f>
        <v/>
      </c>
      <c r="D2823">
        <f>IF(Skills!C9=1,60+Inputs!$B$25+Inputs!$B$29,IF(Skills!C9=2,90+Inputs!$B$26+Inputs!$B$29,IF(Skills!C9=3,120+Inputs!$B$27+Inputs!$B$29,MAX(0,(Inputs!$B$3-100)*3)+Inputs!$B$28+Inputs!$B$29)))</f>
        <v/>
      </c>
      <c r="E2823">
        <f>INDEX(FactorTable!$B$2:$Y$301, MATCH(ROUND(MIN(300,MAX(1,D2823)),0), FactorTable!$A$2:$A$301,0), Skills!L9+1)</f>
        <v/>
      </c>
      <c r="F2823">
        <f>IF(Skills!M9=TRUE,(Skills!K9/10)*(E2823/1000),Skills!K9/10)+Skills!N9</f>
        <v/>
      </c>
      <c r="G2823">
        <f>Calc!G9</f>
        <v/>
      </c>
      <c r="H2823">
        <f>Calc!H9</f>
        <v/>
      </c>
      <c r="I2823">
        <f>IF(Skills!T9&lt;&gt;"",1+(Skills!T9/10)*(Z2817/1000)/100,1)</f>
        <v/>
      </c>
      <c r="J2823">
        <f>((Inputs!$B$6*(1+Inputs!$B$7/100))+(((Inputs!$B$12*(1+Inputs!$B$13/100))-(Inputs!$B$12*(1+Inputs!$B$13/100)))+0.25*(Inputs!$B$14-Inputs!$B$14))*(1+Inputs!$B$7/100))*(F2823/100)</f>
        <v/>
      </c>
      <c r="K2823">
        <f>J2823*(1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F2832-Calc!F18),(Inputs!$B$23+(IF(ArtifactsInput!$M$15,CHOOSE(ArtifactsInput!$N$15+1,25,30,35,40,45,50)/100*(Inputs!$B$11-Inputs!$B$11),0))))/100+(Inputs!$B$23+(IF(ArtifactsInput!$M$15,CHOOSE(ArtifactsInput!$N$15+1,25,30,35,40,45,50)/100*(Inputs!$B$11-Inputs!$B$11),0)))/100)/2</f>
        <v/>
      </c>
      <c r="M2823">
        <f>L2823*(1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(1-Summary!$B$11)*S2823+Summary!$B$11*U2823</f>
        <v/>
      </c>
      <c r="P2823">
        <f>IF(B2850=0,0,O2823/B2850)</f>
        <v/>
      </c>
      <c r="Q2823">
        <f>IFERROR(1/IF(Inputs!$B$38="pvp",15,MAX(0.1,Skills!D9-IF(Skills!E9=TRUE,5.0,0))),0)</f>
        <v/>
      </c>
      <c r="R2823">
        <f>IF(AND(Inputs!$B$38&lt;&gt;"pvp",Inputs!$B$43&gt;0),IF(MAX(0,Inputs!$B$43-B2847)&lt;=0,0,(INT(MAX(0,Inputs!$B$43-B2847)/IF(Inputs!$B$38="pvp",15,MAX(0.1,Skills!D9-IF(Skills!E9=TRUE,5.0,0))))+1)),0)</f>
        <v/>
      </c>
      <c r="S2823">
        <f>IF(C2823,(H2823*N2823*IF(AND(Inputs!$B$38&lt;&gt;"pvp",Inputs!$B$43&gt;0),((Skills!F9*((R2823-1)*IF(Skills!G9&gt;0,Skills!H9/Skills!G9,1)+IF(Skills!G9&gt;0,MIN(Skills!H9,MAX(0,MAX(0,Inputs!$B$43-B2847)-((R2823-1)*IF(Inputs!$B$38="pvp",15,MAX(0.1,Skills!D9-IF(Skills!E9=TRUE,5.0,0))))))/Skills!G9,1)))/Inputs!$B$43),G2823*Q2823))*IF(Inputs!$B$38="pvp",1,1+(Inputs!$B$20+Skills!O9+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2823*(1-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3">
        <f>IF(C2823,(H2823*N2823*IF(AND(Inputs!$B$38&lt;&gt;"pvp",Inputs!$B$43&gt;0),((Skills!F9*((R2823-1)*IF(Skills!G9&gt;0,Skills!H9/Skills!G9,1)+IF(Skills!G9&gt;0,MIN(Skills!H9,MAX(0,MAX(0,Inputs!$B$43-B2847)-((R2823-1)*IF(Inputs!$B$38="pvp",15,MAX(0.1,Skills!D9-IF(Skills!E9=TRUE,5.0,0))))))/Skills!G9,1)))/Inputs!$B$43),G2823*Q2823))*IF(Inputs!$B$38="pvp",1,(1+(Inputs!$B$21+Skills!P9+B2841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Skills!A10</f>
        <v/>
      </c>
      <c r="B2824">
        <f>Skills!B10</f>
        <v/>
      </c>
      <c r="C2824">
        <f>Inputs!$B$3&gt;=113</f>
        <v/>
      </c>
      <c r="D2824">
        <f>IF(Skills!C10=1,60+Inputs!$B$25+Inputs!$B$29,IF(Skills!C10=2,90+Inputs!$B$26+Inputs!$B$29,IF(Skills!C10=3,120+Inputs!$B$27+Inputs!$B$29,MAX(0,(Inputs!$B$3-100)*3)+Inputs!$B$28+Inputs!$B$29)))</f>
        <v/>
      </c>
      <c r="E2824">
        <f>INDEX(FactorTable!$B$2:$Y$301, MATCH(ROUND(MIN(300,MAX(1,D2824)),0), FactorTable!$A$2:$A$301,0), Skills!L10+1)</f>
        <v/>
      </c>
      <c r="F2824">
        <f>IF(Skills!M10=TRUE,(Skills!K10/10)*(E2824/1000),Skills!K10/10)+Skills!N10</f>
        <v/>
      </c>
      <c r="G2824">
        <f>Calc!G10</f>
        <v/>
      </c>
      <c r="H2824">
        <f>Calc!H10</f>
        <v/>
      </c>
      <c r="I2824">
        <f>IF(Skills!T10&lt;&gt;"",1+(Skills!T10/10)*(Z2817/1000)/100,1)</f>
        <v/>
      </c>
      <c r="J2824">
        <f>((Inputs!$B$6*(1+Inputs!$B$7/100))+(((Inputs!$B$12*(1+Inputs!$B$13/100))-(Inputs!$B$12*(1+Inputs!$B$13/100)))+0.25*(Inputs!$B$14-Inputs!$B$14))*(1+Inputs!$B$7/100))*(F2824/100)</f>
        <v/>
      </c>
      <c r="K2824">
        <f>J2824*(1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F2832-Calc!F18),(Inputs!$B$23+(IF(ArtifactsInput!$M$15,CHOOSE(ArtifactsInput!$N$15+1,25,30,35,40,45,50)/100*(Inputs!$B$11-Inputs!$B$11),0))))/100+(Inputs!$B$23+(IF(ArtifactsInput!$M$15,CHOOSE(ArtifactsInput!$N$15+1,25,30,35,40,45,50)/100*(Inputs!$B$11-Inputs!$B$11),0)))/100)/2</f>
        <v/>
      </c>
      <c r="M2824">
        <f>L2824*(1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(1-Summary!$B$11)*S2824+Summary!$B$11*U2824</f>
        <v/>
      </c>
      <c r="P2824">
        <f>IF(B2850=0,0,O2824/B2850)</f>
        <v/>
      </c>
      <c r="Q2824">
        <f>IFERROR(1/IF(Inputs!$B$38="pvp",15,MAX(0.1,Skills!D10-IF(Skills!E9=TRUE,5.0,0))),0)</f>
        <v/>
      </c>
      <c r="R2824">
        <f>IF(AND(Inputs!$B$38&lt;&gt;"pvp",Inputs!$B$43&gt;0),IF(MAX(0,Inputs!$B$43-B2847)&lt;=0,0,(INT(MAX(0,Inputs!$B$43-B2847)/IF(Inputs!$B$38="pvp",15,MAX(0.1,Skills!D10-IF(Skills!E9=TRUE,5.0,0))))+1)),0)</f>
        <v/>
      </c>
      <c r="S2824">
        <f>IF(C2824,(H2824*N2824*IF(AND(Inputs!$B$38&lt;&gt;"pvp",Inputs!$B$43&gt;0),((Skills!F10*((R2824-1)*IF(Skills!G10&gt;0,Skills!H10/Skills!G10,1)+IF(Skills!G10&gt;0,MIN(Skills!H10,MAX(0,MAX(0,Inputs!$B$43-B2847)-((R2824-1)*IF(Inputs!$B$38="pvp",15,MAX(0.1,Skills!D10-IF(Skills!E9=TRUE,5.0,0))))))/Skills!G10,1)))/Inputs!$B$43),G2824*Q2824))*IF(Inputs!$B$38="pvp",1,1+(Inputs!$B$20+Skills!O10+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2824*(1-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4">
        <f>IF(C2824,(H2824*N2824*IF(AND(Inputs!$B$38&lt;&gt;"pvp",Inputs!$B$43&gt;0),((Skills!F10*((R2824-1)*IF(Skills!G10&gt;0,Skills!H10/Skills!G10,1)+IF(Skills!G10&gt;0,MIN(Skills!H10,MAX(0,MAX(0,Inputs!$B$43-B2847)-((R2824-1)*IF(Inputs!$B$38="pvp",15,MAX(0.1,Skills!D10-IF(Skills!E9=TRUE,5.0,0))))))/Skills!G10,1)))/Inputs!$B$43),G2824*Q2824))*IF(Inputs!$B$38="pvp",1,(1+(Inputs!$B$21+Skills!P10+B2841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Skills!A11</f>
        <v/>
      </c>
      <c r="B2825">
        <f>Skills!B11</f>
        <v/>
      </c>
      <c r="C2825">
        <f>Inputs!$B$3&gt;=107</f>
        <v/>
      </c>
      <c r="D2825">
        <f>IF(Skills!C11=1,60+Inputs!$B$25+Inputs!$B$29,IF(Skills!C11=2,90+Inputs!$B$26+Inputs!$B$29,IF(Skills!C11=3,120+Inputs!$B$27+Inputs!$B$29,MAX(0,(Inputs!$B$3-100)*3)+Inputs!$B$28+Inputs!$B$29)))</f>
        <v/>
      </c>
      <c r="E2825">
        <f>INDEX(FactorTable!$B$2:$Y$301, MATCH(ROUND(MIN(300,MAX(1,D2825)),0), FactorTable!$A$2:$A$301,0), Skills!L11+1)</f>
        <v/>
      </c>
      <c r="F2825">
        <f>IF(Skills!M11=TRUE,(Skills!K11/10)*(E2825/1000),Skills!K11/10)+Skills!N11</f>
        <v/>
      </c>
      <c r="G2825">
        <f>Calc!G11</f>
        <v/>
      </c>
      <c r="H2825">
        <f>Calc!H11</f>
        <v/>
      </c>
      <c r="I2825">
        <f>IF(Skills!T11&lt;&gt;"",1+(Skills!T11/10)*(Z2817/1000)/100,1)</f>
        <v/>
      </c>
      <c r="J2825">
        <f>((Inputs!$B$6*(1+Inputs!$B$7/100))+(((Inputs!$B$12*(1+Inputs!$B$13/100))-(Inputs!$B$12*(1+Inputs!$B$13/100)))+0.25*(Inputs!$B$14-Inputs!$B$14))*(1+Inputs!$B$7/100))*(F2825/100)</f>
        <v/>
      </c>
      <c r="K2825">
        <f>J2825*(1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2832-Calc!F18),(Inputs!$B$23+(IF(ArtifactsInput!$M$15,CHOOSE(ArtifactsInput!$N$15+1,25,30,35,40,45,50)/100*(Inputs!$B$11-Inputs!$B$11),0))))/100+(Inputs!$B$23+(IF(ArtifactsInput!$M$15,CHOOSE(ArtifactsInput!$N$15+1,25,30,35,40,45,50)/100*(Inputs!$B$11-Inputs!$B$11),0)))/100)/2</f>
        <v/>
      </c>
      <c r="M2825">
        <f>L2825*(1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IF(B2850=0,0,O2825/B2850)</f>
        <v/>
      </c>
      <c r="Q2825">
        <f>IFERROR(1/IF(Inputs!$B$38="pvp",15,MAX(0.1,Skills!D11-IF(Skills!E11=TRUE,5.0,0))),0)</f>
        <v/>
      </c>
      <c r="R2825">
        <f>IF(AND(Inputs!$B$38&lt;&gt;"pvp",Inputs!$B$43&gt;0),IF(MAX(0,Inputs!$B$43-B2847)&lt;=0,0,(INT(MAX(0,Inputs!$B$43-B2847)/IF(Inputs!$B$38="pvp",15,MAX(0.1,Skills!D11-IF(Skills!E11=TRUE,5.0,0))))+1)),0)</f>
        <v/>
      </c>
      <c r="S2825">
        <f>IF(C2825,H2825*N2825*IF(AND(Inputs!$B$38&lt;&gt;"pvp",Inputs!$B$43&gt;0),((Skills!F11*((R2825-1)*IF(Skills!G11&gt;0,Skills!H11/Skills!G11,1)+IF(Skills!G11&gt;0,MIN(Skills!H11,MAX(0,MAX(0,Inputs!$B$43-B2847)-((R2825-1)*IF(Inputs!$B$38="pvp",15,MAX(0.1,Skills!D11-IF(Skills!E11=TRUE,5.0,0))))))/Skills!G11,1)))/Inputs!$B$43),G2825*Q2825)*0.5*IF(Inputs!$B$38="pvp",1,1+(Inputs!$B$20+Skills!O11+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F11*((R2825-1)*IF(Skills!G11&gt;0,Skills!H11/Skills!G11,1)+IF(Skills!G11&gt;0,MIN(Skills!H11,MAX(0,MAX(0,Inputs!$B$43-B2847)-((R2825-1)*IF(Inputs!$B$38="pvp",15,MAX(0.1,Skills!D11-IF(Skills!E11=TRUE,5.0,0))))))/Skills!G11,1)))/Inputs!$B$43),G2825*Q2825)*1*IF(Inputs!$B$38="pvp",1,(1+(Inputs!$B$21+Skills!P11+B2841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Skills!A12</f>
        <v/>
      </c>
      <c r="B2826">
        <f>Skills!B12</f>
        <v/>
      </c>
      <c r="C2826">
        <f>Inputs!$B$3&gt;=115</f>
        <v/>
      </c>
      <c r="D2826">
        <f>IF(Skills!C12=1,60+Inputs!$B$25+Inputs!$B$29,IF(Skills!C12=2,90+Inputs!$B$26+Inputs!$B$29,IF(Skills!C12=3,120+Inputs!$B$27+Inputs!$B$29,MAX(0,(Inputs!$B$3-100)*3)+Inputs!$B$28+Inputs!$B$29)))</f>
        <v/>
      </c>
      <c r="E2826">
        <f>INDEX(FactorTable!$B$2:$Y$301, MATCH(ROUND(MIN(300,MAX(1,D2826)),0), FactorTable!$A$2:$A$301,0), Skills!L12+1)</f>
        <v/>
      </c>
      <c r="F2826">
        <f>IF(Skills!M12=TRUE,(Skills!K12/10)*(E2826/1000),Skills!K12/10)+Skills!N12</f>
        <v/>
      </c>
      <c r="G2826">
        <f>Calc!G12</f>
        <v/>
      </c>
      <c r="H2826">
        <f>Calc!H12</f>
        <v/>
      </c>
      <c r="I2826">
        <f>IF(Skills!T12&lt;&gt;"",1+(Skills!T12/10)*(Z2817/1000)/100,1)</f>
        <v/>
      </c>
      <c r="J2826">
        <f>((Inputs!$B$6*(1+Inputs!$B$7/100))+(((Inputs!$B$12*(1+Inputs!$B$13/100))-(Inputs!$B$12*(1+Inputs!$B$13/100)))+0.25*(Inputs!$B$14-Inputs!$B$14))*(1+Inputs!$B$7/100))*(F2826/100)</f>
        <v/>
      </c>
      <c r="K2826">
        <f>J2826*(1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2832-Calc!F18),(Inputs!$B$23+(IF(ArtifactsInput!$M$15,CHOOSE(ArtifactsInput!$N$15+1,25,30,35,40,45,50)/100*(Inputs!$B$11-Inputs!$B$11),0))))/100+(Inputs!$B$23+(IF(ArtifactsInput!$M$15,CHOOSE(ArtifactsInput!$N$15+1,25,30,35,40,45,50)/100*(Inputs!$B$11-Inputs!$B$11),0)))/100)/2</f>
        <v/>
      </c>
      <c r="M2826">
        <f>L2826*(1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IF(B2850=0,0,O2826/B2850)</f>
        <v/>
      </c>
      <c r="Q2826">
        <f>IFERROR(1/IF(Inputs!$B$38="pvp",15,MAX(0.1,Skills!D12-IF(Skills!E12=TRUE,5.0,0))),0)</f>
        <v/>
      </c>
      <c r="R2826">
        <f>IF(AND(Inputs!$B$38&lt;&gt;"pvp",Inputs!$B$43&gt;0),IF(MAX(0,Inputs!$B$43-B2847)&lt;=0,0,(INT(MAX(0,Inputs!$B$43-B2847)/IF(Inputs!$B$38="pvp",15,MAX(0.1,Skills!D12-IF(Skills!E12=TRUE,5.0,0))))+1)),0)</f>
        <v/>
      </c>
      <c r="S2826">
        <f>IF(C2826,(H2826*N2826*IF(AND(Inputs!$B$38&lt;&gt;"pvp",Inputs!$B$43&gt;0),((Skills!F12*((R2826-1)*IF(Skills!G12&gt;0,Skills!H12/Skills!G12,1)+IF(Skills!G12&gt;0,MIN(Skills!H12,MAX(0,MAX(0,Inputs!$B$43-B2847)-((R2826-1)*IF(Inputs!$B$38="pvp",15,MAX(0.1,Skills!D12-IF(Skills!E12=TRUE,5.0,0))))))/Skills!G12,1)))/Inputs!$B$43),G2826*Q2826))*IF(Inputs!$B$38="pvp",1,1+(Inputs!$B$20+Skills!O12+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N2826*IF(AND(Inputs!$B$38&lt;&gt;"pvp",Inputs!$B$43&gt;0),((Skills!F12*((R2826-1)*IF(Skills!G12&gt;0,Skills!H12/Skills!G12,1)+IF(Skills!G12&gt;0,MIN(Skills!H12,MAX(0,MAX(0,Inputs!$B$43-B2847)-((R2826-1)*IF(Inputs!$B$38="pvp",15,MAX(0.1,Skills!D12-IF(Skills!E12=TRUE,5.0,0))))))/Skills!G12,1)))/Inputs!$B$43),G2826*Q2826))*IF(Inputs!$B$38="pvp",1,(1+(Inputs!$B$21+Skills!P12+B2841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Skills!A13</f>
        <v/>
      </c>
      <c r="B2827">
        <f>Skills!B13</f>
        <v/>
      </c>
      <c r="C2827">
        <f>Inputs!$B$3&gt;=49</f>
        <v/>
      </c>
      <c r="D2827">
        <f>IF(Skills!C13=1,60+Inputs!$B$25+Inputs!$B$29,IF(Skills!C13=2,90+Inputs!$B$26+Inputs!$B$29,IF(Skills!C13=3,120+Inputs!$B$27+Inputs!$B$29,MAX(0,(Inputs!$B$3-100)*3)+Inputs!$B$28+Inputs!$B$29)))</f>
        <v/>
      </c>
      <c r="E2827">
        <f>INDEX(FactorTable!$B$2:$Y$301, MATCH(ROUND(MIN(300,MAX(1,D2827)),0), FactorTable!$A$2:$A$301,0), Skills!L13+1)</f>
        <v/>
      </c>
      <c r="F2827">
        <f>IF(Skills!M13=TRUE,(Skills!K13/10)*(E2827/1000),Skills!K13/10)+Skills!N13</f>
        <v/>
      </c>
      <c r="G2827">
        <f>Calc!G13</f>
        <v/>
      </c>
      <c r="H2827">
        <f>Calc!H13</f>
        <v/>
      </c>
      <c r="I2827">
        <f>IF(Skills!T13&lt;&gt;"",1+(Skills!T13/10)*(Z2817/1000)/100,1)</f>
        <v/>
      </c>
      <c r="J2827" t="inlineStr"/>
      <c r="K2827" t="inlineStr"/>
      <c r="L2827" t="inlineStr"/>
      <c r="M2827" t="inlineStr"/>
      <c r="N2827" t="inlineStr"/>
      <c r="O2827">
        <f>(1-Summary!$B$11)*S2827+Summary!$B$11*U2827</f>
        <v/>
      </c>
      <c r="P2827">
        <f>IF(B2850=0,0,O2827/B2850)</f>
        <v/>
      </c>
      <c r="Q2827">
        <f>IFERROR(1/IF(Inputs!$B$38="pvp",15,MAX(0.1,Skills!D13-IF(Skills!E13=TRUE,5.0,0))),0)</f>
        <v/>
      </c>
      <c r="R2827" t="n">
        <v>0</v>
      </c>
      <c r="S2827" t="n">
        <v>0</v>
      </c>
      <c r="U2827" t="n">
        <v>0</v>
      </c>
    </row>
    <row r="2828">
      <c r="A2828">
        <f>Skills!A14</f>
        <v/>
      </c>
      <c r="B2828">
        <f>Skills!B14</f>
        <v/>
      </c>
      <c r="C2828">
        <f>Inputs!$B$3&gt;=72</f>
        <v/>
      </c>
      <c r="D2828">
        <f>IF(Skills!C14=1,60+Inputs!$B$25+Inputs!$B$29,IF(Skills!C14=2,90+Inputs!$B$26+Inputs!$B$29,IF(Skills!C14=3,120+Inputs!$B$27+Inputs!$B$29,MAX(0,(Inputs!$B$3-100)*3)+Inputs!$B$28+Inputs!$B$29)))</f>
        <v/>
      </c>
      <c r="E2828">
        <f>INDEX(FactorTable!$B$2:$Y$301, MATCH(ROUND(MIN(300,MAX(1,D2828)),0), FactorTable!$A$2:$A$301,0), Skills!L14+1)</f>
        <v/>
      </c>
      <c r="F2828">
        <f>IF(Skills!M14=TRUE,(Skills!K14/10)*(E2828/1000),Skills!K14/10)+Skills!N14</f>
        <v/>
      </c>
      <c r="G2828">
        <f>Calc!G14</f>
        <v/>
      </c>
      <c r="H2828">
        <f>Calc!H14</f>
        <v/>
      </c>
      <c r="I2828">
        <f>IF(Skills!T14&lt;&gt;"",1+(Skills!T14/10)*(Z2817/1000)/100,1)</f>
        <v/>
      </c>
      <c r="J2828" t="inlineStr"/>
      <c r="K2828" t="inlineStr"/>
      <c r="L2828" t="inlineStr"/>
      <c r="M2828" t="inlineStr"/>
      <c r="N2828" t="inlineStr"/>
      <c r="O2828">
        <f>(1-Summary!$B$11)*S2828+Summary!$B$11*U2828</f>
        <v/>
      </c>
      <c r="P2828">
        <f>IF(B2850=0,0,O2828/B2850)</f>
        <v/>
      </c>
      <c r="Q2828">
        <f>IFERROR(1/IF(Inputs!$B$38="pvp",15,MAX(0.1,Skills!D14-IF(Skills!E14=TRUE,5.0,0))),0)</f>
        <v/>
      </c>
      <c r="R2828" t="n">
        <v>0</v>
      </c>
      <c r="S2828" t="n">
        <v>0</v>
      </c>
      <c r="U2828" t="n">
        <v>0</v>
      </c>
    </row>
    <row r="2829">
      <c r="A2829">
        <f>Skills!A15</f>
        <v/>
      </c>
      <c r="B2829">
        <f>Skills!B15</f>
        <v/>
      </c>
      <c r="C2829">
        <f>Inputs!$B$3&gt;=75</f>
        <v/>
      </c>
      <c r="D2829">
        <f>IF(Skills!C15=1,60+Inputs!$B$25+Inputs!$B$29,IF(Skills!C15=2,90+Inputs!$B$26+Inputs!$B$29,IF(Skills!C15=3,120+Inputs!$B$27+Inputs!$B$29,MAX(0,(Inputs!$B$3-100)*3)+Inputs!$B$28+Inputs!$B$29)))</f>
        <v/>
      </c>
      <c r="E2829">
        <f>INDEX(FactorTable!$B$2:$Y$301, MATCH(ROUND(MIN(300,MAX(1,D2829)),0), FactorTable!$A$2:$A$301,0), Skills!L15+1)</f>
        <v/>
      </c>
      <c r="F2829">
        <f>IF(Skills!M15=TRUE,(Skills!K15/10)*(E2829/1000),Skills!K15/10)+Skills!N15</f>
        <v/>
      </c>
      <c r="G2829">
        <f>Calc!G15</f>
        <v/>
      </c>
      <c r="H2829">
        <f>Calc!H15</f>
        <v/>
      </c>
      <c r="I2829">
        <f>IF(Skills!T15&lt;&gt;"",1+(Skills!T15/10)*(Z2817/1000)/100,1)</f>
        <v/>
      </c>
      <c r="J2829" t="inlineStr"/>
      <c r="K2829" t="inlineStr"/>
      <c r="L2829" t="inlineStr"/>
      <c r="M2829" t="inlineStr"/>
      <c r="N2829" t="inlineStr"/>
      <c r="O2829">
        <f>(1-Summary!$B$11)*S2829+Summary!$B$11*U2829</f>
        <v/>
      </c>
      <c r="P2829">
        <f>IF(B2850=0,0,O2829/B2850)</f>
        <v/>
      </c>
      <c r="Q2829">
        <f>IFERROR(1/IF(Inputs!$B$38="pvp",15,MAX(0.1,Skills!D15-IF(Skills!E15=TRUE,5.0,0))),0)</f>
        <v/>
      </c>
      <c r="R2829" t="n">
        <v>0</v>
      </c>
      <c r="S2829" t="n">
        <v>0</v>
      </c>
      <c r="U2829" t="n">
        <v>0</v>
      </c>
    </row>
    <row r="2830">
      <c r="A2830">
        <f>Skills!A16</f>
        <v/>
      </c>
      <c r="B2830">
        <f>Skills!B16</f>
        <v/>
      </c>
      <c r="C2830">
        <f>Inputs!$B$3&gt;=110</f>
        <v/>
      </c>
      <c r="D2830">
        <f>IF(Skills!C16=1,60+Inputs!$B$25+Inputs!$B$29,IF(Skills!C16=2,90+Inputs!$B$26+Inputs!$B$29,IF(Skills!C16=3,120+Inputs!$B$27+Inputs!$B$29,MAX(0,(Inputs!$B$3-100)*3)+Inputs!$B$28+Inputs!$B$29)))</f>
        <v/>
      </c>
      <c r="E2830">
        <f>INDEX(FactorTable!$B$2:$Y$301, MATCH(ROUND(MIN(300,MAX(1,D2830)),0), FactorTable!$A$2:$A$301,0), Skills!L16+1)</f>
        <v/>
      </c>
      <c r="F2830">
        <f>(Skills!K16/10)*(E2830/1000)*64/45+Skills!N16</f>
        <v/>
      </c>
      <c r="G2830">
        <f>Calc!G16</f>
        <v/>
      </c>
      <c r="H2830">
        <f>Calc!H16</f>
        <v/>
      </c>
      <c r="I2830">
        <f>IF(Skills!T16&lt;&gt;"",1+(Skills!T16/10)*(Z2817/1000)/100,1)</f>
        <v/>
      </c>
      <c r="J2830" t="inlineStr"/>
      <c r="K2830" t="inlineStr"/>
      <c r="L2830" t="inlineStr"/>
      <c r="M2830" t="inlineStr"/>
      <c r="N2830" t="inlineStr"/>
      <c r="O2830">
        <f>(1-Summary!$B$11)*S2830+Summary!$B$11*U2830</f>
        <v/>
      </c>
      <c r="P2830">
        <f>IF(B2850=0,0,O2830/B2850)</f>
        <v/>
      </c>
      <c r="Q2830">
        <f>IFERROR(1/IF(Inputs!$B$38="pvp",15,MAX(0.1,Skills!D16-IF(Skills!E16=TRUE,5.0,0))),0)</f>
        <v/>
      </c>
      <c r="R2830">
        <f>IF(AND(Inputs!$B$38&lt;&gt;"pvp",Inputs!$B$43&gt;0),IF(Inputs!$B$43&lt;=0,0,(INT(Inputs!$B$43/IF(Inputs!$B$38="pvp",15,MAX(0.1,Skills!D16-IF(Skills!E16=TRUE,5.0,0))))+1)),0)</f>
        <v/>
      </c>
      <c r="S2830" t="n">
        <v>0</v>
      </c>
      <c r="U2830" t="n">
        <v>0</v>
      </c>
    </row>
    <row r="2831">
      <c r="A2831">
        <f>Skills!A17</f>
        <v/>
      </c>
      <c r="B2831">
        <f>Skills!B17</f>
        <v/>
      </c>
      <c r="C2831">
        <f>Inputs!$B$3&gt;=33</f>
        <v/>
      </c>
      <c r="D2831">
        <f>IF(Skills!C17=1,60+Inputs!$B$25+Inputs!$B$29,IF(Skills!C17=2,90+Inputs!$B$26+Inputs!$B$29,IF(Skills!C17=3,120+Inputs!$B$27+Inputs!$B$29,MAX(0,(Inputs!$B$3-100)*3)+Inputs!$B$28+Inputs!$B$29)))</f>
        <v/>
      </c>
      <c r="E2831">
        <f>INDEX(FactorTable!$B$2:$Y$301, MATCH(ROUND(MIN(300,MAX(1,D2831)),0), FactorTable!$A$2:$A$301,0), Skills!L17+1)</f>
        <v/>
      </c>
      <c r="F2831">
        <f>IF(Skills!M17=TRUE,(Skills!K17/10)*(E2831/1000),Skills!K17/10)+Skills!N17</f>
        <v/>
      </c>
      <c r="G2831">
        <f>Calc!G17</f>
        <v/>
      </c>
      <c r="H2831">
        <f>Calc!H17</f>
        <v/>
      </c>
      <c r="I2831">
        <f>IF(Skills!T17&lt;&gt;"",1+(Skills!T17/10)*(Z2817/1000)/100,1)</f>
        <v/>
      </c>
      <c r="J2831" t="inlineStr"/>
      <c r="K2831" t="inlineStr"/>
      <c r="L2831" t="inlineStr"/>
      <c r="M2831" t="inlineStr"/>
      <c r="N2831" t="inlineStr"/>
      <c r="O2831">
        <f>(1-Summary!$B$11)*S2831+Summary!$B$11*U2831</f>
        <v/>
      </c>
      <c r="P2831">
        <f>IF(B2850=0,0,O2831/B2850)</f>
        <v/>
      </c>
      <c r="Q2831">
        <f>IFERROR(1/IF(Inputs!$B$38="pvp",15,MAX(0.1,Skills!D17-IF(Skills!E17=TRUE,5.0,0))),0)</f>
        <v/>
      </c>
      <c r="R2831" t="n">
        <v>0</v>
      </c>
      <c r="S2831" t="n">
        <v>0</v>
      </c>
      <c r="U2831" t="n">
        <v>0</v>
      </c>
    </row>
    <row r="2832">
      <c r="A2832">
        <f>Skills!A18</f>
        <v/>
      </c>
      <c r="B2832">
        <f>Skills!B18</f>
        <v/>
      </c>
      <c r="C2832">
        <f>Inputs!$B$3&gt;=43</f>
        <v/>
      </c>
      <c r="D2832">
        <f>IF(Skills!C18=1,60+Inputs!$B$25+Inputs!$B$29,IF(Skills!C18=2,90+Inputs!$B$26+Inputs!$B$29,IF(Skills!C18=3,120+Inputs!$B$27+Inputs!$B$29,MAX(0,(Inputs!$B$3-100)*3)+Inputs!$B$28+Inputs!$B$29)))</f>
        <v/>
      </c>
      <c r="E2832">
        <f>INDEX(FactorTable!$B$2:$Y$301, MATCH(ROUND(MIN(300,MAX(1,D2832)),0), FactorTable!$A$2:$A$301,0), Skills!L18+1)</f>
        <v/>
      </c>
      <c r="F2832">
        <f>IF(Skills!M18=TRUE,(Skills!K18/10)*(E2832/1000),Skills!K18/10)+Skills!N18</f>
        <v/>
      </c>
      <c r="G2832">
        <f>Calc!G18</f>
        <v/>
      </c>
      <c r="H2832">
        <f>Calc!H18</f>
        <v/>
      </c>
      <c r="I2832">
        <f>IF(Skills!T18&lt;&gt;"",1+(Skills!T18/10)*(Z2817/1000)/100,1)</f>
        <v/>
      </c>
      <c r="J2832" t="inlineStr"/>
      <c r="K2832" t="inlineStr"/>
      <c r="L2832" t="inlineStr"/>
      <c r="M2832" t="inlineStr"/>
      <c r="N2832" t="inlineStr"/>
      <c r="O2832">
        <f>(1-Summary!$B$11)*S2832+Summary!$B$11*U2832</f>
        <v/>
      </c>
      <c r="P2832">
        <f>IF(B2850=0,0,O2832/B2850)</f>
        <v/>
      </c>
      <c r="Q2832">
        <f>IFERROR(1/IF(Inputs!$B$38="pvp",15,MAX(0.1,Skills!D18-IF(Skills!E18=TRUE,5.0,0))),0)</f>
        <v/>
      </c>
      <c r="R2832" t="n">
        <v>0</v>
      </c>
      <c r="S2832" t="n">
        <v>0</v>
      </c>
      <c r="U2832" t="n">
        <v>0</v>
      </c>
    </row>
    <row r="2833">
      <c r="A2833">
        <f>Skills!A19</f>
        <v/>
      </c>
      <c r="B2833">
        <f>Skills!B19</f>
        <v/>
      </c>
      <c r="C2833">
        <f>Inputs!$B$3&gt;=50</f>
        <v/>
      </c>
      <c r="D2833">
        <f>IF(Skills!C19=1,60+Inputs!$B$25+Inputs!$B$29,IF(Skills!C19=2,90+Inputs!$B$26+Inputs!$B$29,IF(Skills!C19=3,120+Inputs!$B$27+Inputs!$B$29,MAX(0,(Inputs!$B$3-100)*3)+Inputs!$B$28+Inputs!$B$29)))</f>
        <v/>
      </c>
      <c r="E2833">
        <f>INDEX(FactorTable!$B$2:$Y$301, MATCH(ROUND(MIN(300,MAX(1,D2833)),0), FactorTable!$A$2:$A$301,0), Skills!L19+1)</f>
        <v/>
      </c>
      <c r="F2833">
        <f>IF(Skills!M19=TRUE,(Skills!K19/10)*(E2833/1000),Skills!K19/10)+Skills!N19</f>
        <v/>
      </c>
      <c r="G2833">
        <f>Calc!G19</f>
        <v/>
      </c>
      <c r="H2833">
        <f>Calc!H19</f>
        <v/>
      </c>
      <c r="I2833">
        <f>IF(Skills!T19&lt;&gt;"",1+(Skills!T19/10)*(Z2817/1000)/100,1)</f>
        <v/>
      </c>
      <c r="J2833" t="inlineStr"/>
      <c r="K2833" t="inlineStr"/>
      <c r="L2833" t="inlineStr"/>
      <c r="M2833" t="inlineStr"/>
      <c r="N2833" t="inlineStr"/>
      <c r="O2833">
        <f>(1-Summary!$B$11)*S2833+Summary!$B$11*U2833</f>
        <v/>
      </c>
      <c r="P2833">
        <f>IF(B2850=0,0,O2833/B2850)</f>
        <v/>
      </c>
      <c r="Q2833">
        <f>IFERROR(1/IF(Inputs!$B$38="pvp",15,MAX(0.1,Skills!D19-IF(Skills!E19=TRUE,5.0,0))),0)</f>
        <v/>
      </c>
      <c r="R2833" t="n">
        <v>0</v>
      </c>
      <c r="S2833" t="n">
        <v>0</v>
      </c>
      <c r="U2833" t="n">
        <v>0</v>
      </c>
    </row>
    <row r="2834">
      <c r="A2834">
        <f>Skills!A20</f>
        <v/>
      </c>
      <c r="B2834">
        <f>Skills!B20</f>
        <v/>
      </c>
      <c r="C2834">
        <f>Inputs!$B$3&gt;=74</f>
        <v/>
      </c>
      <c r="D2834">
        <f>IF(Skills!C20=1,60+Inputs!$B$25+Inputs!$B$29,IF(Skills!C20=2,90+Inputs!$B$26+Inputs!$B$29,IF(Skills!C20=3,120+Inputs!$B$27+Inputs!$B$29,MAX(0,(Inputs!$B$3-100)*3)+Inputs!$B$28+Inputs!$B$29)))</f>
        <v/>
      </c>
      <c r="E2834">
        <f>INDEX(FactorTable!$B$2:$Y$301, MATCH(ROUND(MIN(300,MAX(1,D2834)),0), FactorTable!$A$2:$A$301,0), Skills!L20+1)</f>
        <v/>
      </c>
      <c r="F2834">
        <f>IF(Skills!M20=TRUE,(Skills!K20/10)*(E2834/1000),Skills!K20/10)+Skills!N20</f>
        <v/>
      </c>
      <c r="G2834">
        <f>Calc!G20</f>
        <v/>
      </c>
      <c r="H2834">
        <f>Calc!H20</f>
        <v/>
      </c>
      <c r="I2834">
        <f>IF(Skills!T20&lt;&gt;"",1+(Skills!T20/10)*(Z2817/1000)/100,1)</f>
        <v/>
      </c>
      <c r="J2834" t="inlineStr"/>
      <c r="K2834" t="inlineStr"/>
      <c r="L2834" t="inlineStr"/>
      <c r="M2834" t="inlineStr"/>
      <c r="N2834" t="inlineStr"/>
      <c r="O2834">
        <f>(1-Summary!$B$11)*S2834+Summary!$B$11*U2834</f>
        <v/>
      </c>
      <c r="P2834">
        <f>IF(B2850=0,0,O2834/B2850)</f>
        <v/>
      </c>
      <c r="Q2834">
        <f>IFERROR(1/IF(Inputs!$B$38="pvp",15,MAX(0.1,Skills!D20-IF(Skills!E20=TRUE,5.0,0))),0)</f>
        <v/>
      </c>
      <c r="R2834" t="n">
        <v>0</v>
      </c>
      <c r="S2834" t="n">
        <v>0</v>
      </c>
      <c r="U2834" t="n">
        <v>0</v>
      </c>
    </row>
    <row r="2835">
      <c r="A2835">
        <f>Skills!A21</f>
        <v/>
      </c>
      <c r="B2835">
        <f>Skills!B21</f>
        <v/>
      </c>
      <c r="C2835">
        <f>Inputs!$B$3&gt;=74</f>
        <v/>
      </c>
      <c r="D2835">
        <f>IF(Skills!C21=1,60+Inputs!$B$25+Inputs!$B$29,IF(Skills!C21=2,90+Inputs!$B$26+Inputs!$B$29,IF(Skills!C21=3,120+Inputs!$B$27+Inputs!$B$29,MAX(0,(Inputs!$B$3-100)*3)+Inputs!$B$28+Inputs!$B$29)))</f>
        <v/>
      </c>
      <c r="E2835">
        <f>INDEX(FactorTable!$B$2:$Y$301, MATCH(ROUND(MIN(300,MAX(1,D2835)),0), FactorTable!$A$2:$A$301,0), Skills!L21+1)</f>
        <v/>
      </c>
      <c r="F2835">
        <f>IF(Skills!M21=TRUE,(Skills!K21/10)*(E2835/1000),Skills!K21/10)+Skills!N21</f>
        <v/>
      </c>
      <c r="G2835">
        <f>Calc!G21</f>
        <v/>
      </c>
      <c r="H2835">
        <f>Calc!H21</f>
        <v/>
      </c>
      <c r="I2835">
        <f>IF(Skills!T21&lt;&gt;"",1+(Skills!T21/10)*(Z2817/1000)/100,1)</f>
        <v/>
      </c>
      <c r="J2835" t="inlineStr"/>
      <c r="K2835" t="inlineStr"/>
      <c r="L2835" t="inlineStr"/>
      <c r="M2835" t="inlineStr"/>
      <c r="N2835" t="inlineStr"/>
      <c r="O2835">
        <f>(1-Summary!$B$11)*S2835+Summary!$B$11*U2835</f>
        <v/>
      </c>
      <c r="P2835">
        <f>IF(B2850=0,0,O2835/B2850)</f>
        <v/>
      </c>
      <c r="Q2835">
        <f>IFERROR(1/IF(Inputs!$B$38="pvp",15,MAX(0.1,Skills!D21-IF(Skills!E21=TRUE,5.0,0))),0)</f>
        <v/>
      </c>
      <c r="R2835" t="n">
        <v>0</v>
      </c>
      <c r="S2835" t="n">
        <v>0</v>
      </c>
      <c r="U2835" t="n">
        <v>0</v>
      </c>
    </row>
    <row r="2836">
      <c r="A2836">
        <f>Skills!A22</f>
        <v/>
      </c>
      <c r="B2836">
        <f>Skills!B22</f>
        <v/>
      </c>
      <c r="C2836">
        <f>Inputs!$B$3&gt;=117</f>
        <v/>
      </c>
      <c r="D2836">
        <f>IF(Skills!C22=1,60+Inputs!$B$25+Inputs!$B$29,IF(Skills!C22=2,90+Inputs!$B$26+Inputs!$B$29,IF(Skills!C22=3,120+Inputs!$B$27+Inputs!$B$29,MAX(0,(Inputs!$B$3-100)*3)+Inputs!$B$28+Inputs!$B$29)))</f>
        <v/>
      </c>
      <c r="E2836">
        <f>INDEX(FactorTable!$B$2:$Y$301, MATCH(ROUND(MIN(300,MAX(1,D2836)),0), FactorTable!$A$2:$A$301,0), Skills!L22+1)</f>
        <v/>
      </c>
      <c r="F2836">
        <f>IF(Skills!M22=TRUE,(Skills!K22/10)*(E2836/1000),Skills!K22/10)+Skills!N22</f>
        <v/>
      </c>
      <c r="G2836">
        <f>Calc!G22</f>
        <v/>
      </c>
      <c r="H2836">
        <f>Calc!H22</f>
        <v/>
      </c>
      <c r="I2836">
        <f>IF(Skills!T22&lt;&gt;"",1+(Skills!T22/10)*(Z2817/1000)/100,1)</f>
        <v/>
      </c>
      <c r="J2836" t="inlineStr"/>
      <c r="K2836" t="inlineStr"/>
      <c r="L2836" t="inlineStr"/>
      <c r="M2836" t="inlineStr"/>
      <c r="N2836" t="inlineStr"/>
      <c r="O2836">
        <f>(1-Summary!$B$11)*S2836+Summary!$B$11*U2836</f>
        <v/>
      </c>
      <c r="P2836">
        <f>IF(B2850=0,0,O2836/B2850)</f>
        <v/>
      </c>
      <c r="Q2836">
        <f>IFERROR(1/IF(Inputs!$B$38="pvp",15,MAX(0.1,Skills!D22-IF(Skills!E22=TRUE,5.0,0))),0)</f>
        <v/>
      </c>
      <c r="R2836" t="n">
        <v>0</v>
      </c>
      <c r="S2836" t="n">
        <v>0</v>
      </c>
      <c r="U2836" t="n">
        <v>0</v>
      </c>
    </row>
    <row r="2837">
      <c r="A2837">
        <f>Skills!A23</f>
        <v/>
      </c>
      <c r="B2837">
        <f>Skills!B23</f>
        <v/>
      </c>
      <c r="C2837">
        <f>Inputs!$B$3&gt;=120</f>
        <v/>
      </c>
      <c r="D2837">
        <f>IF(Skills!C23=1,60+Inputs!$B$25+Inputs!$B$29,IF(Skills!C23=2,90+Inputs!$B$26+Inputs!$B$29,IF(Skills!C23=3,120+Inputs!$B$27+Inputs!$B$29,MAX(0,(Inputs!$B$3-100)*3)+Inputs!$B$28+Inputs!$B$29)))</f>
        <v/>
      </c>
      <c r="E2837">
        <f>INDEX(FactorTable!$B$2:$Y$301, MATCH(ROUND(MIN(300,MAX(1,D2837)),0), FactorTable!$A$2:$A$301,0), Skills!L23+1)</f>
        <v/>
      </c>
      <c r="F2837">
        <f>IF(Skills!M23=TRUE,(Skills!K23/10)*(E2837/1000),Skills!K23/10)+Skills!N23</f>
        <v/>
      </c>
      <c r="G2837">
        <f>Calc!G23</f>
        <v/>
      </c>
      <c r="H2837">
        <f>Calc!H23</f>
        <v/>
      </c>
      <c r="I2837">
        <f>IF(Skills!T23&lt;&gt;"",1+(Skills!T23/10)*(Z2817/1000)/100,1)</f>
        <v/>
      </c>
      <c r="J2837" t="inlineStr"/>
      <c r="K2837" t="inlineStr"/>
      <c r="L2837" t="inlineStr"/>
      <c r="M2837" t="inlineStr"/>
      <c r="N2837" t="inlineStr"/>
      <c r="O2837">
        <f>(1-Summary!$B$11)*S2837+Summary!$B$11*U2837</f>
        <v/>
      </c>
      <c r="P2837">
        <f>IF(B2850=0,0,O2837/B2850)</f>
        <v/>
      </c>
      <c r="Q2837">
        <f>IFERROR(1/IF(Inputs!$B$38="pvp",15,MAX(0.1,Skills!D23-IF(Skills!E23=TRUE,5.0,0))),0)</f>
        <v/>
      </c>
      <c r="R2837" t="n">
        <v>0</v>
      </c>
      <c r="S2837" t="n">
        <v>0</v>
      </c>
      <c r="U2837" t="n">
        <v>0</v>
      </c>
    </row>
    <row r="2840">
      <c r="A2840" t="inlineStr">
        <is>
          <t>Average Buff Multiplier (Magic Guard + Meditation + Artifact Attack%, summed; then Infinity)</t>
        </is>
      </c>
      <c r="B2840">
        <f>(1+(IF(C2817=TRUE,F2817*IF(AND(Inputs!$B$38&lt;&gt;"pvp",Inputs!$B$43&gt;0),(((R2817-1)*(Skills!S3*(1+(Inputs!$B$34+IF(Inputs!$B$3&gt;=117,F2836,0))/100))+MIN((Skills!S3*(1+(Inputs!$B$34+IF(Inputs!$B$3&gt;=117,F2836,0))/100)),MAX(0,Inputs!$B$43-((R2817-1)*Skills!D3))))/Inputs!$B$43),IF(Inputs!$B$38="pvp",MIN((Skills!S3*(1+(Inputs!$B$34+IF(Inputs!$B$3&gt;=117,F2836,0))/100)),15)/15,(Skills!S3*(1+(Inputs!$B$34+IF(Inputs!$B$3&gt;=117,F2836,0))/100))/Skills!D3)),0)+IF(C2818=TRUE,F2818*IF(AND(Inputs!$B$38&lt;&gt;"pvp",Inputs!$B$43&gt;0),(((R2818-1)*(Skills!S4*(1+(Inputs!$B$34+IF(Inputs!$B$3&gt;=117,F2836,0))/100))+MIN((Skills!S4*(1+(Inputs!$B$34+IF(Inputs!$B$3&gt;=117,F2836,0))/100)),MAX(0,Inputs!$B$43-((R2818-1)*Skills!D4))))/Inputs!$B$43),IF(Inputs!$B$38="pvp",MIN((Skills!S4*(1+(Inputs!$B$34+IF(Inputs!$B$3&gt;=117,F2836,0))/100)),15)/15,(Skills!S4*(1+(Inputs!$B$34+IF(Inputs!$B$3&gt;=117,F2836,0)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2830=TRUE,(1+F2830*IF(AND(Inputs!$B$38&lt;&gt;"pvp",Inputs!$B$43&gt;0),(((R2830-1)*(Skills!S16*(1+(Inputs!$B$34+IF(Inputs!$B$3&gt;=117,F2836,0))/100))+MIN((Skills!S16*(1+(Inputs!$B$34+IF(Inputs!$B$3&gt;=117,F2836,0))/100)),MAX(0,Inputs!$B$43-((R2830-1)*Skills!D16))))/Inputs!$B$43),IF(Inputs!$B$38="pvp",MIN((Skills!S16*(1+(Inputs!$B$34+IF(Inputs!$B$3&gt;=117,F2836,0))/100)),15)/15,(Skills!S16*(1+(Inputs!$B$34+IF(Inputs!$B$3&gt;=117,F2836,0))/100))/Skills!D16))/100),1)</f>
        <v/>
      </c>
    </row>
    <row r="2841">
      <c r="A2841" t="inlineStr">
        <is>
          <t>Monster Damage Taken Bonus % (Freezing Breath - Weaken + Elemental Reset + Artifact Enemy Damage Taken, summed)</t>
        </is>
      </c>
      <c r="B2841">
        <f>IF(Inputs!$B$3&gt;=118,15*IF(Inputs!$B$38="pvp",MIN((30*(1+(Inputs!$B$34+IF(Inputs!$B$3&gt;=117,F2836,0))/100)),15)/15,(30*(1+(Inputs!$B$34+IF(Inputs!$B$3&gt;=117,F2836,0))/100))/Skills!D8),0)+IF(C2828=TRUE,F2828,0)+(IF(AND(ArtifactsInput!$M$35,Inputs!$B$4&lt;&gt;"Chapter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f>
        <v/>
      </c>
    </row>
    <row r="2842">
      <c r="A2842" t="inlineStr">
        <is>
          <t>Damage % Bonus (Frozen Break + Frost Clutch, flat)</t>
        </is>
      </c>
      <c r="B2842">
        <f>IF(Inputs!$B$3&gt;=66,15,0)+IF(Inputs!$B$3&gt;=98,10,0)+IF(Inputs!$B$3&gt;=125,20,0)</f>
        <v/>
      </c>
    </row>
    <row r="2843">
      <c r="A2843" t="inlineStr">
        <is>
          <t>Attack Speed Bonus % (MP Eater - MP Boost, always-on once unlocked)</t>
        </is>
      </c>
      <c r="B2843">
        <f>IF(C2827=TRUE,F2827+(F2831-Calc!F17),0)</f>
        <v/>
      </c>
    </row>
    <row r="2844">
      <c r="A2844" t="inlineStr">
        <is>
          <t>Actions Per Second</t>
        </is>
      </c>
      <c r="B2844">
        <f>1+MIN(150,150*(1-(1-(Inputs!$B$11+(ArtifactsInput!$M$15-ArtifactsInput!$M$15)*CHOOSE(ArtifactsInput!$N$15+1,8,9.6,11.2,12.8,14.4,16))/150)*(1-B2843/150)))/100</f>
        <v/>
      </c>
    </row>
    <row r="2845">
      <c r="A2845" t="inlineStr">
        <is>
          <t>Skill + Buff Cast Rate</t>
        </is>
      </c>
      <c r="B2845">
        <f>IF(AND(Inputs!$B$38&lt;&gt;"pvp",Inputs!$B$43&gt;0),SUMPRODUCT((Skills!E2:E23=TRUE)*(C2816:C2837=TRUE)*R2816:R2837)/Inputs!$B$43,SUMPRODUCT((Skills!E2:E23=TRUE)*(C2816:C2837=TRUE)*Q2816:Q2837))</f>
        <v/>
      </c>
    </row>
    <row r="2846">
      <c r="A2846" t="inlineStr">
        <is>
          <t>Chain Lightning Casts Per Second</t>
        </is>
      </c>
      <c r="B2846">
        <f>MAX(0,B2844-B2845)</f>
        <v/>
      </c>
    </row>
    <row r="2847">
      <c r="A2847" t="inlineStr">
        <is>
          <t>Buff-Casting Startup Delay (s, fixed-duration only)</t>
        </is>
      </c>
      <c r="B2847">
        <f>IF(AND(Inputs!$B$38&lt;&gt;"pvp",Inputs!$B$43&gt;0),SUMPRODUCT((Skills!S2:S23&gt;0)*(Skills!E2:E23=TRUE)*(C2816:C2837=TRUE))/B2844,0)</f>
        <v/>
      </c>
    </row>
    <row r="2848">
      <c r="A2848" t="inlineStr">
        <is>
          <t>Boss-Only Total DPS (this block's swept value)</t>
        </is>
      </c>
      <c r="B2848">
        <f>SUM(S2816:S2837)</f>
        <v/>
      </c>
    </row>
    <row r="2849">
      <c r="A2849" t="inlineStr">
        <is>
          <t>Normal-Only Total DPS (this block's swept value)</t>
        </is>
      </c>
      <c r="B2849">
        <f>SUM(U2816:U2837)</f>
        <v/>
      </c>
    </row>
    <row r="2850">
      <c r="A2850" s="6" t="inlineStr">
        <is>
          <t>TOTAL DPS</t>
        </is>
      </c>
      <c r="B2850" s="6">
        <f>SUM(O2816:O2837)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IF(Inputs!$B$9+Artifacts!$B$32&gt;=100,Sensitivity!H15,Sensitivity!H14)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IF(Inputs!$B$9+Artifacts!$B$32&gt;=100,Sensitivity!H15,Sensitivity!H14)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IF(Inputs!$B$9+Artifacts!$B$32&gt;=100,Sensitivity!H15,Sensitivity!H14)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IF(Inputs!$B$9+Artifacts!$B$32&gt;=100,Sensitivity!H15,Sensitivity!H14)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IF(Inputs!$B$9+Artifacts!$B$32&gt;=100,Sensitivity!H15,Sensitivity!H14)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IF(Inputs!$B$9+Artifacts!$B$32&gt;=100,Sensitivity!H15,Sensitivity!H14)</f>
        <v/>
      </c>
    </row>
    <row r="67">
      <c r="A67" t="inlineStr">
        <is>
          <t>ALL</t>
        </is>
      </c>
      <c r="B67" t="inlineStr">
        <is>
          <t>rare</t>
        </is>
      </c>
      <c r="C67" t="n">
        <v>2</v>
      </c>
      <c r="D67" t="inlineStr">
        <is>
          <t>Critical Rate %</t>
        </is>
      </c>
      <c r="E67" t="n">
        <v>4.5</v>
      </c>
      <c r="F67" t="n">
        <v>0.6</v>
      </c>
      <c r="G67" t="b">
        <v>1</v>
      </c>
      <c r="H67">
        <f>IF(Inputs!$B$9+Artifacts!$B$32&gt;=100,Sensitivity!H15,Sensitivity!H14)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IF(Inputs!$B$9+Artifacts!$B$32&gt;=100,Sensitivity!H15,Sensitivity!H14)</f>
        <v/>
      </c>
    </row>
    <row r="99">
      <c r="A99" t="inlineStr">
        <is>
          <t>ALL</t>
        </is>
      </c>
      <c r="B99" t="inlineStr">
        <is>
          <t>rare</t>
        </is>
      </c>
      <c r="C99" t="n">
        <v>3</v>
      </c>
      <c r="D99" t="inlineStr">
        <is>
          <t>Critical Rate %</t>
        </is>
      </c>
      <c r="E99" t="n">
        <v>4.5</v>
      </c>
      <c r="F99" t="n">
        <v>0.2</v>
      </c>
      <c r="G99" t="b">
        <v>1</v>
      </c>
      <c r="H99">
        <f>IF(Inputs!$B$9+Artifacts!$B$32&gt;=100,Sensitivity!H15,Sensitivity!H14)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IF(Inputs!$B$9+Artifacts!$B$32&gt;=100,Sensitivity!H15,Sensitivity!H14)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IF(Inputs!$B$9+Artifacts!$B$32&gt;=100,Sensitivity!H15,Sensitivity!H14)</f>
        <v/>
      </c>
    </row>
    <row r="147">
      <c r="A147" t="inlineStr">
        <is>
          <t>ALL</t>
        </is>
      </c>
      <c r="B147" t="inlineStr">
        <is>
          <t>epic</t>
        </is>
      </c>
      <c r="C147" t="n">
        <v>2</v>
      </c>
      <c r="D147" t="inlineStr">
        <is>
          <t>Critical Rate %</t>
        </is>
      </c>
      <c r="E147" t="n">
        <v>6</v>
      </c>
      <c r="F147" t="n">
        <v>0.6</v>
      </c>
      <c r="G147" t="b">
        <v>1</v>
      </c>
      <c r="H147">
        <f>IF(Inputs!$B$9+Artifacts!$B$32&gt;=100,Sensitivity!H15,Sensitivity!H14)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IF(Inputs!$B$9+Artifacts!$B$32&gt;=100,Sensitivity!H15,Sensitivity!H14)</f>
        <v/>
      </c>
    </row>
    <row r="179">
      <c r="A179" t="inlineStr">
        <is>
          <t>ALL</t>
        </is>
      </c>
      <c r="B179" t="inlineStr">
        <is>
          <t>epic</t>
        </is>
      </c>
      <c r="C179" t="n">
        <v>3</v>
      </c>
      <c r="D179" t="inlineStr">
        <is>
          <t>Critical Rate %</t>
        </is>
      </c>
      <c r="E179" t="n">
        <v>6</v>
      </c>
      <c r="F179" t="n">
        <v>0.2</v>
      </c>
      <c r="G179" t="b">
        <v>1</v>
      </c>
      <c r="H179">
        <f>IF(Inputs!$B$9+Artifacts!$B$32&gt;=100,Sensitivity!H15,Sensitivity!H14)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IF(Inputs!$B$9+Artifacts!$B$32&gt;=100,Sensitivity!H15,Sensitivity!H14)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IF(Inputs!$B$9+Artifacts!$B$32&gt;=100,Sensitivity!H15,Sensitivity!H14)</f>
        <v/>
      </c>
    </row>
    <row r="227">
      <c r="A227" t="inlineStr">
        <is>
          <t>ALL</t>
        </is>
      </c>
      <c r="B227" t="inlineStr">
        <is>
          <t>unique</t>
        </is>
      </c>
      <c r="C227" t="n">
        <v>2</v>
      </c>
      <c r="D227" t="inlineStr">
        <is>
          <t>Critical Rate %</t>
        </is>
      </c>
      <c r="E227" t="n">
        <v>9</v>
      </c>
      <c r="F227" t="n">
        <v>0.6</v>
      </c>
      <c r="G227" t="b">
        <v>1</v>
      </c>
      <c r="H227">
        <f>IF(Inputs!$B$9+Artifacts!$B$32&gt;=100,Sensitivity!H15,Sensitivity!H14)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IF(Inputs!$B$9+Artifacts!$B$32&gt;=100,Sensitivity!H15,Sensitivity!H14)</f>
        <v/>
      </c>
    </row>
    <row r="259">
      <c r="A259" t="inlineStr">
        <is>
          <t>ALL</t>
        </is>
      </c>
      <c r="B259" t="inlineStr">
        <is>
          <t>unique</t>
        </is>
      </c>
      <c r="C259" t="n">
        <v>3</v>
      </c>
      <c r="D259" t="inlineStr">
        <is>
          <t>Critical Rate %</t>
        </is>
      </c>
      <c r="E259" t="n">
        <v>9</v>
      </c>
      <c r="F259" t="n">
        <v>0.2</v>
      </c>
      <c r="G259" t="b">
        <v>1</v>
      </c>
      <c r="H259">
        <f>IF(Inputs!$B$9+Artifacts!$B$32&gt;=100,Sensitivity!H15,Sensitivity!H14)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IF(Inputs!$B$9+Artifacts!$B$32&gt;=100,Sensitivity!H15,Sensitivity!H14)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IF(Inputs!$B$9+Artifacts!$B$32&gt;=100,Sensitivity!H15,Sensitivity!H14)</f>
        <v/>
      </c>
    </row>
    <row r="307">
      <c r="A307" t="inlineStr">
        <is>
          <t>ALL</t>
        </is>
      </c>
      <c r="B307" t="inlineStr">
        <is>
          <t>legendary</t>
        </is>
      </c>
      <c r="C307" t="n">
        <v>2</v>
      </c>
      <c r="D307" t="inlineStr">
        <is>
          <t>Critical Rate %</t>
        </is>
      </c>
      <c r="E307" t="n">
        <v>12</v>
      </c>
      <c r="F307" t="n">
        <v>0.6</v>
      </c>
      <c r="G307" t="b">
        <v>1</v>
      </c>
      <c r="H307">
        <f>IF(Inputs!$B$9+Artifacts!$B$32&gt;=100,Sensitivity!H15,Sensitivity!H14)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IF(Inputs!$B$9+Artifacts!$B$32&gt;=100,Sensitivity!H15,Sensitivity!H14)</f>
        <v/>
      </c>
    </row>
    <row r="339">
      <c r="A339" t="inlineStr">
        <is>
          <t>ALL</t>
        </is>
      </c>
      <c r="B339" t="inlineStr">
        <is>
          <t>legendary</t>
        </is>
      </c>
      <c r="C339" t="n">
        <v>3</v>
      </c>
      <c r="D339" t="inlineStr">
        <is>
          <t>Critical Rate %</t>
        </is>
      </c>
      <c r="E339" t="n">
        <v>12</v>
      </c>
      <c r="F339" t="n">
        <v>0.2</v>
      </c>
      <c r="G339" t="b">
        <v>1</v>
      </c>
      <c r="H339">
        <f>IF(Inputs!$B$9+Artifacts!$B$32&gt;=100,Sensitivity!H15,Sensitivity!H14)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IF(Inputs!$B$9+Artifacts!$B$32&gt;=100,Sensitivity!H15,Sensitivity!H14)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IF(Inputs!$B$9+Artifacts!$B$32&gt;=100,Sensitivity!H15,Sensitivity!H14)</f>
        <v/>
      </c>
    </row>
    <row r="387">
      <c r="A387" t="inlineStr">
        <is>
          <t>ALL</t>
        </is>
      </c>
      <c r="B387" t="inlineStr">
        <is>
          <t>mystic</t>
        </is>
      </c>
      <c r="C387" t="n">
        <v>2</v>
      </c>
      <c r="D387" t="inlineStr">
        <is>
          <t>Critical Rate %</t>
        </is>
      </c>
      <c r="E387" t="n">
        <v>15</v>
      </c>
      <c r="F387" t="n">
        <v>0.6</v>
      </c>
      <c r="G387" t="b">
        <v>1</v>
      </c>
      <c r="H387">
        <f>IF(Inputs!$B$9+Artifacts!$B$32&gt;=100,Sensitivity!H15,Sensitivity!H14)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IF(Inputs!$B$9+Artifacts!$B$32&gt;=100,Sensitivity!H15,Sensitivity!H14)</f>
        <v/>
      </c>
    </row>
    <row r="419">
      <c r="A419" t="inlineStr">
        <is>
          <t>ALL</t>
        </is>
      </c>
      <c r="B419" t="inlineStr">
        <is>
          <t>mystic</t>
        </is>
      </c>
      <c r="C419" t="n">
        <v>3</v>
      </c>
      <c r="D419" t="inlineStr">
        <is>
          <t>Critical Rate %</t>
        </is>
      </c>
      <c r="E419" t="n">
        <v>15</v>
      </c>
      <c r="F419" t="n">
        <v>0.2</v>
      </c>
      <c r="G419" t="b">
        <v>1</v>
      </c>
      <c r="H419">
        <f>IF(Inputs!$B$9+Artifacts!$B$32&gt;=100,Sensitivity!H15,Sensitivity!H14)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2026-09-24T07:52:45Z</dcterms:created>
  <dcterms:modified xsi:type="dcterms:W3CDTF">2026-09-24T07:52:45Z</dcterms:modified>
</cp:coreProperties>
</file>